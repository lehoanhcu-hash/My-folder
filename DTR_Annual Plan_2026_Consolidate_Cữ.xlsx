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\GĐ Tài chính\Báo cáo Consolidate\Dữ liệu Thọ Share\"/>
    </mc:Choice>
  </mc:AlternateContent>
  <xr:revisionPtr revIDLastSave="0" documentId="8_{4095BA03-A86B-4F98-BC8A-E2D8859C67B2}" xr6:coauthVersionLast="47" xr6:coauthVersionMax="47" xr10:uidLastSave="{00000000-0000-0000-0000-000000000000}"/>
  <bookViews>
    <workbookView xWindow="-110" yWindow="-110" windowWidth="19420" windowHeight="10300" activeTab="3" xr2:uid="{0CCF8E27-1740-40FC-804A-3B08EAB7BBD5}"/>
  </bookViews>
  <sheets>
    <sheet name="Hop nhat" sheetId="2" r:id="rId1"/>
    <sheet name="Hop cong" sheetId="3" r:id="rId2"/>
    <sheet name="GDNB" sheetId="1" r:id="rId3"/>
    <sheet name="DTR" sheetId="4" r:id="rId4"/>
    <sheet name="Dai Loc" sheetId="5" r:id="rId5"/>
    <sheet name="Dong Lam" sheetId="6" r:id="rId6"/>
    <sheet name="Khanh Nga" sheetId="7" r:id="rId7"/>
    <sheet name="TDP" sheetId="8" r:id="rId8"/>
    <sheet name="DTRVL" sheetId="9" r:id="rId9"/>
  </sheets>
  <externalReferences>
    <externalReference r:id="rId10"/>
  </externalReferences>
  <definedNames>
    <definedName name="\0">#REF!</definedName>
    <definedName name="\a">#REF!</definedName>
    <definedName name="\b">#REF!</definedName>
    <definedName name="\c">#REF!</definedName>
    <definedName name="\C_">#REF!</definedName>
    <definedName name="\e">#REF!</definedName>
    <definedName name="\f">#REF!</definedName>
    <definedName name="\k">#REF!</definedName>
    <definedName name="\m">#REF!</definedName>
    <definedName name="\o">#REF!</definedName>
    <definedName name="\p">#REF!</definedName>
    <definedName name="\q">#N/A</definedName>
    <definedName name="\r">#REF!</definedName>
    <definedName name="\s">#REF!</definedName>
    <definedName name="\t">#REF!</definedName>
    <definedName name="\x">#REF!</definedName>
    <definedName name="\z">#REF!</definedName>
    <definedName name="_" hidden="1">#N/A</definedName>
    <definedName name="_?" hidden="1">{"revable",#N/A,FALSE,"REVABLE"}</definedName>
    <definedName name="_??" hidden="1">{"sales",#N/A,FALSE,"SALES"}</definedName>
    <definedName name="_???">#REF!</definedName>
    <definedName name="_????" hidden="1">{"hilight1",#N/A,FALSE,"HILIGHT1"}</definedName>
    <definedName name="_?????" hidden="1">{"PRINT_EST",#N/A,FALSE,"ESTMON"}</definedName>
    <definedName name="_??????" hidden="1">{"lev1bt",#N/A,FALSE,"1_LEVB-T"}</definedName>
    <definedName name="_????????">#REF!</definedName>
    <definedName name="_??????????" hidden="1">{"revsale",#N/A,FALSE,"REV-?????"}</definedName>
    <definedName name="_????????????">#REF!</definedName>
    <definedName name="_?????????????">#N/A</definedName>
    <definedName name="_????????????????????_0904" hidden="1">{"balance",#N/A,FALSE,"BALANCE"}</definedName>
    <definedName name="_?_??????">#REF!</definedName>
    <definedName name="_?1_HP_A">#REF!</definedName>
    <definedName name="_?1_HP_B">#REF!</definedName>
    <definedName name="_?2_HP_A">#REF!</definedName>
    <definedName name="_?2_HP_B">#REF!</definedName>
    <definedName name="_?3_HP_A">#REF!</definedName>
    <definedName name="_?3_HP_B">#REF!</definedName>
    <definedName name="_?5_HP">#REF!</definedName>
    <definedName name="_?7" hidden="1">{"PRINT_EST",#N/A,FALSE,"ESTMON"}</definedName>
    <definedName name="__" hidden="1">#N/A</definedName>
    <definedName name="__?" hidden="1">{"revable",#N/A,FALSE,"REVABLE"}</definedName>
    <definedName name="__??" hidden="1">{"sales",#N/A,FALSE,"SALES"}</definedName>
    <definedName name="__???">#N/A</definedName>
    <definedName name="__????" hidden="1">{"hilight1",#N/A,FALSE,"HILIGHT1"}</definedName>
    <definedName name="__?????" hidden="1">{"PRINT_EST",#N/A,FALSE,"ESTMON"}</definedName>
    <definedName name="__??????" hidden="1">{"lev1bt",#N/A,FALSE,"1_LEVB-T"}</definedName>
    <definedName name="__??????????" hidden="1">{"revsale",#N/A,FALSE,"REV-?????"}</definedName>
    <definedName name="__????????????">#REF!</definedName>
    <definedName name="__?????????????">#REF!</definedName>
    <definedName name="__????????????????????_0904" hidden="1">{"balance",#N/A,FALSE,"BALANCE"}</definedName>
    <definedName name="__?7" hidden="1">{"PRINT_EST",#N/A,FALSE,"ESTMON"}</definedName>
    <definedName name="___???" hidden="1">{"revable",#N/A,FALSE,"REVABLE"}</definedName>
    <definedName name="____???" hidden="1">{"revable",#N/A,FALSE,"REVABLE"}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TAX2">#REF!</definedName>
    <definedName name="_____06">#REF!</definedName>
    <definedName name="_____a10" hidden="1">{"sales",#N/A,FALSE,"SALES"}</definedName>
    <definedName name="_____CWF1">#REF!</definedName>
    <definedName name="_____CWF2">#REF!</definedName>
    <definedName name="_____DAT1">#REF!</definedName>
    <definedName name="_____DAT10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UWF1">#REF!</definedName>
    <definedName name="_____UWF2">#REF!</definedName>
    <definedName name="____06">#REF!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{"revsale",#N/A,FALSE,"REV-?????"}</definedName>
    <definedName name="____a9" hidden="1">{"revable",#N/A,FALSE,"REVABLE"}</definedName>
    <definedName name="____CWF1">#REF!</definedName>
    <definedName name="____CWF2">#REF!</definedName>
    <definedName name="____DAT1">#REF!</definedName>
    <definedName name="____DAT10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4" hidden="1">{"'Sheet1'!$L$16"}</definedName>
    <definedName name="____NSO2" localSheetId="5" hidden="1">{"'Sheet1'!$L$16"}</definedName>
    <definedName name="____NSO2" localSheetId="3" hidden="1">{"'Sheet1'!$L$16"}</definedName>
    <definedName name="____NSO2" localSheetId="8" hidden="1">{"'Sheet1'!$L$16"}</definedName>
    <definedName name="____NSO2" localSheetId="1" hidden="1">{"'Sheet1'!$L$16"}</definedName>
    <definedName name="____NSO2" localSheetId="0" hidden="1">{"'Sheet1'!$L$16"}</definedName>
    <definedName name="____NSO2" localSheetId="6" hidden="1">{"'Sheet1'!$L$16"}</definedName>
    <definedName name="____NSO2" localSheetId="7" hidden="1">{"'Sheet1'!$L$16"}</definedName>
    <definedName name="____NSO2" hidden="1">{"'Sheet1'!$L$16"}</definedName>
    <definedName name="____TAX2">#REF!</definedName>
    <definedName name="____UWF1">#REF!</definedName>
    <definedName name="____UWF2">#REF!</definedName>
    <definedName name="___06">#REF!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{"revsale",#N/A,FALSE,"REV-?????"}</definedName>
    <definedName name="___a9" hidden="1">{"revable",#N/A,FALSE,"REVABLE"}</definedName>
    <definedName name="___CWF1">#REF!</definedName>
    <definedName name="___CWF2">#REF!</definedName>
    <definedName name="___DAT1">#REF!</definedName>
    <definedName name="___DAT10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h2" localSheetId="4" hidden="1">{"'Sheet1'!$L$16"}</definedName>
    <definedName name="___h2" localSheetId="5" hidden="1">{"'Sheet1'!$L$16"}</definedName>
    <definedName name="___h2" localSheetId="3" hidden="1">{"'Sheet1'!$L$16"}</definedName>
    <definedName name="___h2" localSheetId="8" hidden="1">{"'Sheet1'!$L$16"}</definedName>
    <definedName name="___h2" localSheetId="1" hidden="1">{"'Sheet1'!$L$16"}</definedName>
    <definedName name="___h2" localSheetId="0" hidden="1">{"'Sheet1'!$L$16"}</definedName>
    <definedName name="___h2" localSheetId="6" hidden="1">{"'Sheet1'!$L$16"}</definedName>
    <definedName name="___h2" localSheetId="7" hidden="1">{"'Sheet1'!$L$16"}</definedName>
    <definedName name="___h2" hidden="1">{"'Sheet1'!$L$16"}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4" hidden="1">{"'Sheet1'!$L$16"}</definedName>
    <definedName name="___NSO2" localSheetId="5" hidden="1">{"'Sheet1'!$L$16"}</definedName>
    <definedName name="___NSO2" localSheetId="3" hidden="1">{"'Sheet1'!$L$16"}</definedName>
    <definedName name="___NSO2" localSheetId="8" hidden="1">{"'Sheet1'!$L$16"}</definedName>
    <definedName name="___NSO2" localSheetId="1" hidden="1">{"'Sheet1'!$L$16"}</definedName>
    <definedName name="___NSO2" localSheetId="0" hidden="1">{"'Sheet1'!$L$16"}</definedName>
    <definedName name="___NSO2" localSheetId="6" hidden="1">{"'Sheet1'!$L$16"}</definedName>
    <definedName name="___NSO2" localSheetId="7" hidden="1">{"'Sheet1'!$L$16"}</definedName>
    <definedName name="___NSO2" hidden="1">{"'Sheet1'!$L$16"}</definedName>
    <definedName name="___TAX2">#REF!</definedName>
    <definedName name="___tm2" localSheetId="4" hidden="1">{#N/A,#N/A,FALSE,"Chi tiÆt"}</definedName>
    <definedName name="___tm2" localSheetId="5" hidden="1">{#N/A,#N/A,FALSE,"Chi tiÆt"}</definedName>
    <definedName name="___tm2" localSheetId="3" hidden="1">{#N/A,#N/A,FALSE,"Chi tiÆt"}</definedName>
    <definedName name="___tm2" localSheetId="8" hidden="1">{#N/A,#N/A,FALSE,"Chi tiÆt"}</definedName>
    <definedName name="___tm2" localSheetId="1" hidden="1">{#N/A,#N/A,FALSE,"Chi tiÆt"}</definedName>
    <definedName name="___tm2" localSheetId="0" hidden="1">{#N/A,#N/A,FALSE,"Chi tiÆt"}</definedName>
    <definedName name="___tm2" localSheetId="6" hidden="1">{#N/A,#N/A,FALSE,"Chi tiÆt"}</definedName>
    <definedName name="___tm2" localSheetId="7" hidden="1">{#N/A,#N/A,FALSE,"Chi tiÆt"}</definedName>
    <definedName name="___tm2" hidden="1">{#N/A,#N/A,FALSE,"Chi tiÆt"}</definedName>
    <definedName name="___UWF1">#REF!</definedName>
    <definedName name="___UWF2">#REF!</definedName>
    <definedName name="__06">#REF!</definedName>
    <definedName name="__13_._Print_Titles">#REF!,#REF!</definedName>
    <definedName name="__16_???" hidden="1">{"revable",#N/A,FALSE,"REVABLE"}</definedName>
    <definedName name="__17_????" hidden="1">{"hilight1",#N/A,FALSE,"HILIGHT1"}</definedName>
    <definedName name="__18_?????" hidden="1">{"PRINT_EST",#N/A,FALSE,"ESTMON"}</definedName>
    <definedName name="__19_??????" hidden="1">{"lev1bt",#N/A,FALSE,"1_LEVB-T"}</definedName>
    <definedName name="__20_??????????" hidden="1">{"revsale",#N/A,FALSE,"REV-?????"}</definedName>
    <definedName name="__22_?????????????">#REF!</definedName>
    <definedName name="__23_????????????????????_0904" hidden="1">{"balance",#N/A,FALSE,"BALANCE"}</definedName>
    <definedName name="__32_?7" hidden="1">{"PRINT_EST",#N/A,FALSE,"ESTMON"}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cad2" localSheetId="4" hidden="1">{#N/A,#N/A,TRUE,"BT M200 da 10x20"}</definedName>
    <definedName name="__cad2" localSheetId="5" hidden="1">{#N/A,#N/A,TRUE,"BT M200 da 10x20"}</definedName>
    <definedName name="__cad2" localSheetId="3" hidden="1">{#N/A,#N/A,TRUE,"BT M200 da 10x20"}</definedName>
    <definedName name="__cad2" localSheetId="8" hidden="1">{#N/A,#N/A,TRUE,"BT M200 da 10x20"}</definedName>
    <definedName name="__cad2" localSheetId="1" hidden="1">{#N/A,#N/A,TRUE,"BT M200 da 10x20"}</definedName>
    <definedName name="__cad2" localSheetId="0" hidden="1">{#N/A,#N/A,TRUE,"BT M200 da 10x20"}</definedName>
    <definedName name="__cad2" localSheetId="6" hidden="1">{#N/A,#N/A,TRUE,"BT M200 da 10x20"}</definedName>
    <definedName name="__cad2" localSheetId="7" hidden="1">{#N/A,#N/A,TRUE,"BT M200 da 10x20"}</definedName>
    <definedName name="__cad2" hidden="1">{#N/A,#N/A,TRUE,"BT M200 da 10x20"}</definedName>
    <definedName name="__CWF1">#REF!</definedName>
    <definedName name="__CWF2">#REF!</definedName>
    <definedName name="__DAT1">#REF!</definedName>
    <definedName name="__DAT10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5" localSheetId="4" hidden="1">{"'Sheet1'!$L$16"}</definedName>
    <definedName name="__f5" localSheetId="5" hidden="1">{"'Sheet1'!$L$16"}</definedName>
    <definedName name="__f5" localSheetId="3" hidden="1">{"'Sheet1'!$L$16"}</definedName>
    <definedName name="__f5" localSheetId="8" hidden="1">{"'Sheet1'!$L$16"}</definedName>
    <definedName name="__f5" localSheetId="1" hidden="1">{"'Sheet1'!$L$16"}</definedName>
    <definedName name="__f5" localSheetId="0" hidden="1">{"'Sheet1'!$L$16"}</definedName>
    <definedName name="__f5" localSheetId="6" hidden="1">{"'Sheet1'!$L$16"}</definedName>
    <definedName name="__f5" localSheetId="7" hidden="1">{"'Sheet1'!$L$16"}</definedName>
    <definedName name="__f5" hidden="1">{"'Sheet1'!$L$16"}</definedName>
    <definedName name="__FDS_HYPERLINK_TOGGLE_STATE__" hidden="1">"ON"</definedName>
    <definedName name="__GROUP">#REF!</definedName>
    <definedName name="__GROUP_BAL">#REF!</definedName>
    <definedName name="__GROUP_INC">#REF!</definedName>
    <definedName name="__h2" localSheetId="4" hidden="1">{"'Sheet1'!$L$16"}</definedName>
    <definedName name="__h2" localSheetId="5" hidden="1">{"'Sheet1'!$L$16"}</definedName>
    <definedName name="__h2" localSheetId="3" hidden="1">{"'Sheet1'!$L$16"}</definedName>
    <definedName name="__h2" localSheetId="8" hidden="1">{"'Sheet1'!$L$16"}</definedName>
    <definedName name="__h2" localSheetId="1" hidden="1">{"'Sheet1'!$L$16"}</definedName>
    <definedName name="__h2" localSheetId="0" hidden="1">{"'Sheet1'!$L$16"}</definedName>
    <definedName name="__h2" localSheetId="6" hidden="1">{"'Sheet1'!$L$16"}</definedName>
    <definedName name="__h2" localSheetId="7" hidden="1">{"'Sheet1'!$L$16"}</definedName>
    <definedName name="__h2" hidden="1">{"'Sheet1'!$L$16"}</definedName>
    <definedName name="__huy1" localSheetId="4" hidden="1">{"'Sheet1'!$L$16"}</definedName>
    <definedName name="__huy1" localSheetId="5" hidden="1">{"'Sheet1'!$L$16"}</definedName>
    <definedName name="__huy1" localSheetId="3" hidden="1">{"'Sheet1'!$L$16"}</definedName>
    <definedName name="__huy1" localSheetId="8" hidden="1">{"'Sheet1'!$L$16"}</definedName>
    <definedName name="__huy1" localSheetId="1" hidden="1">{"'Sheet1'!$L$16"}</definedName>
    <definedName name="__huy1" localSheetId="0" hidden="1">{"'Sheet1'!$L$16"}</definedName>
    <definedName name="__huy1" localSheetId="6" hidden="1">{"'Sheet1'!$L$16"}</definedName>
    <definedName name="__huy1" localSheetId="7" hidden="1">{"'Sheet1'!$L$16"}</definedName>
    <definedName name="__huy1" hidden="1">{"'Sheet1'!$L$16"}</definedName>
    <definedName name="__IntlFixup" hidden="1">TRUE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4" hidden="1">{"'Sheet1'!$L$16"}</definedName>
    <definedName name="__NS03" localSheetId="5" hidden="1">{"'Sheet1'!$L$16"}</definedName>
    <definedName name="__NS03" localSheetId="3" hidden="1">{"'Sheet1'!$L$16"}</definedName>
    <definedName name="__NS03" localSheetId="8" hidden="1">{"'Sheet1'!$L$16"}</definedName>
    <definedName name="__NS03" localSheetId="1" hidden="1">{"'Sheet1'!$L$16"}</definedName>
    <definedName name="__NS03" localSheetId="0" hidden="1">{"'Sheet1'!$L$16"}</definedName>
    <definedName name="__NS03" localSheetId="6" hidden="1">{"'Sheet1'!$L$16"}</definedName>
    <definedName name="__NS03" localSheetId="7" hidden="1">{"'Sheet1'!$L$16"}</definedName>
    <definedName name="__NS03" hidden="1">{"'Sheet1'!$L$16"}</definedName>
    <definedName name="__NSO2" localSheetId="4" hidden="1">{"'Sheet1'!$L$16"}</definedName>
    <definedName name="__NSO2" localSheetId="5" hidden="1">{"'Sheet1'!$L$16"}</definedName>
    <definedName name="__NSO2" localSheetId="3" hidden="1">{"'Sheet1'!$L$16"}</definedName>
    <definedName name="__NSO2" localSheetId="8" hidden="1">{"'Sheet1'!$L$16"}</definedName>
    <definedName name="__NSO2" localSheetId="1" hidden="1">{"'Sheet1'!$L$16"}</definedName>
    <definedName name="__NSO2" localSheetId="0" hidden="1">{"'Sheet1'!$L$16"}</definedName>
    <definedName name="__NSO2" localSheetId="6" hidden="1">{"'Sheet1'!$L$16"}</definedName>
    <definedName name="__NSO2" localSheetId="7" hidden="1">{"'Sheet1'!$L$16"}</definedName>
    <definedName name="__NSO2" hidden="1">{"'Sheet1'!$L$16"}</definedName>
    <definedName name="__T01" hidden="1">#REF!</definedName>
    <definedName name="__TAX2">#REF!</definedName>
    <definedName name="__tm2" localSheetId="4" hidden="1">{#N/A,#N/A,FALSE,"Chi tiÆt"}</definedName>
    <definedName name="__tm2" localSheetId="5" hidden="1">{#N/A,#N/A,FALSE,"Chi tiÆt"}</definedName>
    <definedName name="__tm2" localSheetId="3" hidden="1">{#N/A,#N/A,FALSE,"Chi tiÆt"}</definedName>
    <definedName name="__tm2" localSheetId="8" hidden="1">{#N/A,#N/A,FALSE,"Chi tiÆt"}</definedName>
    <definedName name="__tm2" localSheetId="1" hidden="1">{#N/A,#N/A,FALSE,"Chi tiÆt"}</definedName>
    <definedName name="__tm2" localSheetId="0" hidden="1">{#N/A,#N/A,FALSE,"Chi tiÆt"}</definedName>
    <definedName name="__tm2" localSheetId="6" hidden="1">{#N/A,#N/A,FALSE,"Chi tiÆt"}</definedName>
    <definedName name="__tm2" localSheetId="7" hidden="1">{#N/A,#N/A,FALSE,"Chi tiÆt"}</definedName>
    <definedName name="__tm2" hidden="1">{#N/A,#N/A,FALSE,"Chi tiÆt"}</definedName>
    <definedName name="__UWF1">#REF!</definedName>
    <definedName name="__UWF2">#REF!</definedName>
    <definedName name="__xlfn.BAHTTEXT" hidden="1">#NAME?</definedName>
    <definedName name="_06">#REF!</definedName>
    <definedName name="_1_" hidden="1">#REF!</definedName>
    <definedName name="_1_CREDIT_MASTER">#REF!</definedName>
    <definedName name="_10_._Print_Titles">#REF!,#REF!</definedName>
    <definedName name="_10_.0Print_Titles">#REF!,#REF!</definedName>
    <definedName name="_10_0_0_F" hidden="1">#REF!</definedName>
    <definedName name="_100_????????????????????_0904" hidden="1">{"balance",#N/A,FALSE,"BALANCE"}</definedName>
    <definedName name="_101_?_??????">#REF!</definedName>
    <definedName name="_102">#REF!</definedName>
    <definedName name="_102_?1_HP_A">#REF!</definedName>
    <definedName name="_103_?1_HP_B">#REF!</definedName>
    <definedName name="_104_?2_HP_A">#REF!</definedName>
    <definedName name="_105_?2_HP_B">#REF!</definedName>
    <definedName name="_106_?3_HP_A">#REF!</definedName>
    <definedName name="_107_?3_HP_B">#REF!</definedName>
    <definedName name="_108_?5_HP">#REF!</definedName>
    <definedName name="_10F" hidden="1">#REF!</definedName>
    <definedName name="_11_?" hidden="1">{"revable",#N/A,FALSE,"REVABLE"}</definedName>
    <definedName name="_11_0_0_F" hidden="1">#REF!</definedName>
    <definedName name="_115_?7" hidden="1">{"PRINT_EST",#N/A,FALSE,"ESTMON"}</definedName>
    <definedName name="_119_?7" hidden="1">{"PRINT_EST",#N/A,FALSE,"ESTMON"}</definedName>
    <definedName name="_119F" hidden="1">#REF!</definedName>
    <definedName name="_12_??" hidden="1">{"sales",#N/A,FALSE,"SALES"}</definedName>
    <definedName name="_12_0_0_F" hidden="1">#REF!</definedName>
    <definedName name="_13_._Print_Titles">#REF!,#REF!</definedName>
    <definedName name="_13_???">#REF!</definedName>
    <definedName name="_132_0_0_F" hidden="1">#REF!</definedName>
    <definedName name="_133_0_0_F" hidden="1">#REF!</definedName>
    <definedName name="_135_06">#REF!</definedName>
    <definedName name="_139____0_0_F" hidden="1">#REF!</definedName>
    <definedName name="_14_?" hidden="1">{"revable",#N/A,FALSE,"REVABLE"}</definedName>
    <definedName name="_14_???">#REF!</definedName>
    <definedName name="_143___0_0_F" hidden="1">#REF!</definedName>
    <definedName name="_14F" hidden="1">#REF!</definedName>
    <definedName name="_15_??" hidden="1">{"sales",#N/A,FALSE,"SALES"}</definedName>
    <definedName name="_15_???">#REF!</definedName>
    <definedName name="_15_0_0_F" hidden="1">#REF!</definedName>
    <definedName name="_16_???" hidden="1">{"revable",#N/A,FALSE,"REVABLE"}</definedName>
    <definedName name="_17_????" hidden="1">{"hilight1",#N/A,FALSE,"HILIGHT1"}</definedName>
    <definedName name="_18_?????" hidden="1">{"PRINT_EST",#N/A,FALSE,"ESTMON"}</definedName>
    <definedName name="_19_??????" hidden="1">{"lev1bt",#N/A,FALSE,"1_LEVB-T"}</definedName>
    <definedName name="_2">#REF!</definedName>
    <definedName name="_2__.0Print_Titles">#REF!,#REF!</definedName>
    <definedName name="_2_0_0_F" hidden="1">#REF!</definedName>
    <definedName name="_2_06">#REF!</definedName>
    <definedName name="_20_???" hidden="1">{"revable",#N/A,FALSE,"REVABLE"}</definedName>
    <definedName name="_20_??????????" hidden="1">{"revsale",#N/A,FALSE,"REV-?????"}</definedName>
    <definedName name="_22_?????????????">#REF!</definedName>
    <definedName name="_23_????????????????????_0904" hidden="1">{"balance",#N/A,FALSE,"BALANCE"}</definedName>
    <definedName name="_26_????" hidden="1">{"hilight1",#N/A,FALSE,"HILIGHT1"}</definedName>
    <definedName name="_3__._Print_Titles">#REF!,#REF!</definedName>
    <definedName name="_31_.0Print_Titles">#REF!,#REF!</definedName>
    <definedName name="_32_.0Print_Titles">#REF!,#REF!</definedName>
    <definedName name="_32_?????" hidden="1">{"PRINT_EST",#N/A,FALSE,"ESTMON"}</definedName>
    <definedName name="_32_?7" hidden="1">{"PRINT_EST",#N/A,FALSE,"ESTMON"}</definedName>
    <definedName name="_35____._Print_Titles">#REF!,#REF!</definedName>
    <definedName name="_35F" hidden="1">#REF!</definedName>
    <definedName name="_36_._Print_Titles">#REF!,#REF!</definedName>
    <definedName name="_38_??????" hidden="1">{"lev1bt",#N/A,FALSE,"1_LEVB-T"}</definedName>
    <definedName name="_38_0_0_F" hidden="1">#REF!</definedName>
    <definedName name="_4_.">#REF!,#REF!</definedName>
    <definedName name="_4_.0Print_Titles">#REF!,#REF!</definedName>
    <definedName name="_4___.0Print_Titles">#REF!,#REF!</definedName>
    <definedName name="_40_0_0_F" hidden="1">#REF!</definedName>
    <definedName name="_41_____.0Print_Titles">#REF!,#REF!</definedName>
    <definedName name="_41_0_0_F" hidden="1">#REF!</definedName>
    <definedName name="_43_?" hidden="1">{"revable",#N/A,FALSE,"REVABLE"}</definedName>
    <definedName name="_44_??????????" hidden="1">{"revsale",#N/A,FALSE,"REV-?????"}</definedName>
    <definedName name="_44_______F" hidden="1">#REF!</definedName>
    <definedName name="_47___0_0_F" hidden="1">#REF!</definedName>
    <definedName name="_5">#REF!</definedName>
    <definedName name="_5_.">#REF!,#REF!</definedName>
    <definedName name="_5__0_0_F" hidden="1">#REF!</definedName>
    <definedName name="_50_??" hidden="1">{"sales",#N/A,FALSE,"SALES"}</definedName>
    <definedName name="_50F" hidden="1">#REF!</definedName>
    <definedName name="_53_0_0_F" hidden="1">#REF!</definedName>
    <definedName name="_57_???" hidden="1">{"revable",#N/A,FALSE,"REVABLE"}</definedName>
    <definedName name="_6_._Print_Titles">#REF!,#REF!</definedName>
    <definedName name="_6_?" hidden="1">{"revable",#N/A,FALSE,"REVABLE"}</definedName>
    <definedName name="_6_____F" hidden="1">#REF!</definedName>
    <definedName name="_60">#REF!</definedName>
    <definedName name="_64_????" hidden="1">{"hilight1",#N/A,FALSE,"HILIGHT1"}</definedName>
    <definedName name="_65_????????????????????_0904" hidden="1">{"balance",#N/A,FALSE,"BALANCE"}</definedName>
    <definedName name="_7_">#REF!</definedName>
    <definedName name="_7_.0Print_Titles">#REF!,#REF!</definedName>
    <definedName name="_7_0_0_F" hidden="1">#REF!</definedName>
    <definedName name="_71_?????" hidden="1">{"PRINT_EST",#N/A,FALSE,"ESTMON"}</definedName>
    <definedName name="_78_??????" hidden="1">{"lev1bt",#N/A,FALSE,"1_LEVB-T"}</definedName>
    <definedName name="_85_??????????" hidden="1">{"revsale",#N/A,FALSE,"REV-?????"}</definedName>
    <definedName name="_86_????????????">#REF!</definedName>
    <definedName name="_8F" hidden="1">#REF!</definedName>
    <definedName name="_9_._Print_Titles">#REF!,#REF!</definedName>
    <definedName name="_9_.0Print_Titles">#REF!,#REF!</definedName>
    <definedName name="_90_?????????????">#REF!</definedName>
    <definedName name="_92_?????????????">#REF!</definedName>
    <definedName name="_93_?????????????">#REF!</definedName>
    <definedName name="_a1" localSheetId="4" hidden="1">{"'Sheet1'!$L$16"}</definedName>
    <definedName name="_a1" localSheetId="5" hidden="1">{"'Sheet1'!$L$16"}</definedName>
    <definedName name="_a1" localSheetId="3" hidden="1">{"'Sheet1'!$L$16"}</definedName>
    <definedName name="_a1" localSheetId="8" hidden="1">{"'Sheet1'!$L$16"}</definedName>
    <definedName name="_a1" localSheetId="1" hidden="1">{"'Sheet1'!$L$16"}</definedName>
    <definedName name="_a1" localSheetId="0" hidden="1">{"'Sheet1'!$L$16"}</definedName>
    <definedName name="_a1" localSheetId="6" hidden="1">{"'Sheet1'!$L$16"}</definedName>
    <definedName name="_a1" localSheetId="7" hidden="1">{"'Sheet1'!$L$16"}</definedName>
    <definedName name="_a1" hidden="1">{"'Sheet1'!$L$16"}</definedName>
    <definedName name="_a10" hidden="1">{"sales",#N/A,FALSE,"SALES"}</definedName>
    <definedName name="_A123" hidden="1">#REF!</definedName>
    <definedName name="_a2" localSheetId="4" hidden="1">{"'Sheet1'!$L$16"}</definedName>
    <definedName name="_a2" localSheetId="5" hidden="1">{"'Sheet1'!$L$16"}</definedName>
    <definedName name="_a2" localSheetId="3" hidden="1">{"'Sheet1'!$L$16"}</definedName>
    <definedName name="_a2" localSheetId="8" hidden="1">{"'Sheet1'!$L$16"}</definedName>
    <definedName name="_a2" localSheetId="1" hidden="1">{"'Sheet1'!$L$16"}</definedName>
    <definedName name="_a2" localSheetId="0" hidden="1">{"'Sheet1'!$L$16"}</definedName>
    <definedName name="_a2" localSheetId="6" hidden="1">{"'Sheet1'!$L$16"}</definedName>
    <definedName name="_a2" localSheetId="7" hidden="1">{"'Sheet1'!$L$16"}</definedName>
    <definedName name="_a2" hidden="1">{"'Sheet1'!$L$16"}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sset">#REF!</definedName>
    <definedName name="_AUX16">#REF!</definedName>
    <definedName name="_BLC16">#REF!</definedName>
    <definedName name="_BLC26">#REF!</definedName>
    <definedName name="_Builtin155" hidden="1">#N/A</definedName>
    <definedName name="_cad2" localSheetId="4" hidden="1">{#N/A,#N/A,TRUE,"BT M200 da 10x20"}</definedName>
    <definedName name="_cad2" localSheetId="5" hidden="1">{#N/A,#N/A,TRUE,"BT M200 da 10x20"}</definedName>
    <definedName name="_cad2" localSheetId="3" hidden="1">{#N/A,#N/A,TRUE,"BT M200 da 10x20"}</definedName>
    <definedName name="_cad2" localSheetId="8" hidden="1">{#N/A,#N/A,TRUE,"BT M200 da 10x20"}</definedName>
    <definedName name="_cad2" localSheetId="1" hidden="1">{#N/A,#N/A,TRUE,"BT M200 da 10x20"}</definedName>
    <definedName name="_cad2" localSheetId="0" hidden="1">{#N/A,#N/A,TRUE,"BT M200 da 10x20"}</definedName>
    <definedName name="_cad2" localSheetId="6" hidden="1">{#N/A,#N/A,TRUE,"BT M200 da 10x20"}</definedName>
    <definedName name="_cad2" localSheetId="7" hidden="1">{#N/A,#N/A,TRUE,"BT M200 da 10x20"}</definedName>
    <definedName name="_cad2" hidden="1">{#N/A,#N/A,TRUE,"BT M200 da 10x20"}</definedName>
    <definedName name="_CAS16">#REF!</definedName>
    <definedName name="_CAS26">#REF!</definedName>
    <definedName name="_CD2" localSheetId="4" hidden="1">{"'Sheet1'!$L$16"}</definedName>
    <definedName name="_CD2" localSheetId="5" hidden="1">{"'Sheet1'!$L$16"}</definedName>
    <definedName name="_CD2" localSheetId="3" hidden="1">{"'Sheet1'!$L$16"}</definedName>
    <definedName name="_CD2" localSheetId="8" hidden="1">{"'Sheet1'!$L$16"}</definedName>
    <definedName name="_CD2" localSheetId="1" hidden="1">{"'Sheet1'!$L$16"}</definedName>
    <definedName name="_CD2" localSheetId="0" hidden="1">{"'Sheet1'!$L$16"}</definedName>
    <definedName name="_CD2" localSheetId="6" hidden="1">{"'Sheet1'!$L$16"}</definedName>
    <definedName name="_CD2" localSheetId="7" hidden="1">{"'Sheet1'!$L$16"}</definedName>
    <definedName name="_CD2" hidden="1">{"'Sheet1'!$L$16"}</definedName>
    <definedName name="_CDC6">#REF!</definedName>
    <definedName name="_CE1">#N/A</definedName>
    <definedName name="_CHE26">#REF!</definedName>
    <definedName name="_CUL6">#REF!</definedName>
    <definedName name="_CWF1">#REF!</definedName>
    <definedName name="_CWF2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G16">#REF!</definedName>
    <definedName name="_DIG26">#REF!</definedName>
    <definedName name="_DMP26">#REF!</definedName>
    <definedName name="_DSP6">#REF!</definedName>
    <definedName name="_E">#REF!</definedName>
    <definedName name="_EFT1">#REF!</definedName>
    <definedName name="_EFT2">#REF!</definedName>
    <definedName name="_EFT3">#REF!</definedName>
    <definedName name="_EFT4">#REF!</definedName>
    <definedName name="_EFT5">#REF!</definedName>
    <definedName name="_EFT6">#REF!</definedName>
    <definedName name="_ELE6">#REF!</definedName>
    <definedName name="_ENV1">#REF!</definedName>
    <definedName name="_ENV2">#REF!</definedName>
    <definedName name="_ENV3">#REF!</definedName>
    <definedName name="_ENV4">#REF!</definedName>
    <definedName name="_ENV5">#REF!</definedName>
    <definedName name="_ENV6">#REF!</definedName>
    <definedName name="_EVA16">#REF!</definedName>
    <definedName name="_EVA26">#REF!</definedName>
    <definedName name="_f5" localSheetId="4" hidden="1">{"'Sheet1'!$L$16"}</definedName>
    <definedName name="_f5" localSheetId="5" hidden="1">{"'Sheet1'!$L$16"}</definedName>
    <definedName name="_f5" localSheetId="3" hidden="1">{"'Sheet1'!$L$16"}</definedName>
    <definedName name="_f5" localSheetId="8" hidden="1">{"'Sheet1'!$L$16"}</definedName>
    <definedName name="_f5" localSheetId="1" hidden="1">{"'Sheet1'!$L$16"}</definedName>
    <definedName name="_f5" localSheetId="0" hidden="1">{"'Sheet1'!$L$16"}</definedName>
    <definedName name="_f5" localSheetId="6" hidden="1">{"'Sheet1'!$L$16"}</definedName>
    <definedName name="_f5" localSheetId="7" hidden="1">{"'Sheet1'!$L$16"}</definedName>
    <definedName name="_f5" hidden="1">{"'Sheet1'!$L$16"}</definedName>
    <definedName name="_Fill" localSheetId="4" hidden="1">#REF!</definedName>
    <definedName name="_Fill" localSheetId="5" hidden="1">#REF!</definedName>
    <definedName name="_Fill" localSheetId="3" hidden="1">#REF!</definedName>
    <definedName name="_Fill" localSheetId="8" hidden="1">#REF!</definedName>
    <definedName name="_Fill" localSheetId="1" hidden="1">#REF!</definedName>
    <definedName name="_Fill" localSheetId="0" hidden="1">#REF!</definedName>
    <definedName name="_Fill" localSheetId="6" hidden="1">#REF!</definedName>
    <definedName name="_Fill" localSheetId="7" hidden="1">#REF!</definedName>
    <definedName name="_Fill" hidden="1">#REF!</definedName>
    <definedName name="_xlnm._FilterDatabase" localSheetId="4" hidden="1">'Dai Loc'!$A$5:$N$232</definedName>
    <definedName name="_xlnm._FilterDatabase" localSheetId="5" hidden="1">'Dong Lam'!$A$5:$N$232</definedName>
    <definedName name="_xlnm._FilterDatabase" localSheetId="3" hidden="1">DTR!$A$5:$N$232</definedName>
    <definedName name="_xlnm._FilterDatabase" localSheetId="8" hidden="1">DTRVL!$A$5:$N$232</definedName>
    <definedName name="_xlnm._FilterDatabase" localSheetId="1" hidden="1">'Hop cong'!$A$5:$N$232</definedName>
    <definedName name="_xlnm._FilterDatabase" localSheetId="0" hidden="1">'Hop nhat'!$A$5:$N$232</definedName>
    <definedName name="_xlnm._FilterDatabase" localSheetId="6" hidden="1">'Khanh Nga'!$A$5:$N$232</definedName>
    <definedName name="_xlnm._FilterDatabase" localSheetId="7" hidden="1">TDP!$A$5:$N$232</definedName>
    <definedName name="_xlnm._FilterDatabase" hidden="1">#REF!</definedName>
    <definedName name="_FS1610">#REF!</definedName>
    <definedName name="_Goi8" localSheetId="4" hidden="1">{"'Sheet1'!$L$16"}</definedName>
    <definedName name="_Goi8" localSheetId="5" hidden="1">{"'Sheet1'!$L$16"}</definedName>
    <definedName name="_Goi8" localSheetId="3" hidden="1">{"'Sheet1'!$L$16"}</definedName>
    <definedName name="_Goi8" localSheetId="8" hidden="1">{"'Sheet1'!$L$16"}</definedName>
    <definedName name="_Goi8" localSheetId="1" hidden="1">{"'Sheet1'!$L$16"}</definedName>
    <definedName name="_Goi8" localSheetId="0" hidden="1">{"'Sheet1'!$L$16"}</definedName>
    <definedName name="_Goi8" localSheetId="6" hidden="1">{"'Sheet1'!$L$16"}</definedName>
    <definedName name="_Goi8" localSheetId="7" hidden="1">{"'Sheet1'!$L$16"}</definedName>
    <definedName name="_Goi8" hidden="1">{"'Sheet1'!$L$16"}</definedName>
    <definedName name="_h2" localSheetId="4" hidden="1">{"'Sheet1'!$L$16"}</definedName>
    <definedName name="_h2" localSheetId="5" hidden="1">{"'Sheet1'!$L$16"}</definedName>
    <definedName name="_h2" localSheetId="3" hidden="1">{"'Sheet1'!$L$16"}</definedName>
    <definedName name="_h2" localSheetId="8" hidden="1">{"'Sheet1'!$L$16"}</definedName>
    <definedName name="_h2" localSheetId="1" hidden="1">{"'Sheet1'!$L$16"}</definedName>
    <definedName name="_h2" localSheetId="0" hidden="1">{"'Sheet1'!$L$16"}</definedName>
    <definedName name="_h2" localSheetId="6" hidden="1">{"'Sheet1'!$L$16"}</definedName>
    <definedName name="_h2" localSheetId="7" hidden="1">{"'Sheet1'!$L$16"}</definedName>
    <definedName name="_h2" hidden="1">{"'Sheet1'!$L$16"}</definedName>
    <definedName name="_huy1" localSheetId="4" hidden="1">{"'Sheet1'!$L$16"}</definedName>
    <definedName name="_huy1" localSheetId="5" hidden="1">{"'Sheet1'!$L$16"}</definedName>
    <definedName name="_huy1" localSheetId="3" hidden="1">{"'Sheet1'!$L$16"}</definedName>
    <definedName name="_huy1" localSheetId="8" hidden="1">{"'Sheet1'!$L$16"}</definedName>
    <definedName name="_huy1" localSheetId="1" hidden="1">{"'Sheet1'!$L$16"}</definedName>
    <definedName name="_huy1" localSheetId="0" hidden="1">{"'Sheet1'!$L$16"}</definedName>
    <definedName name="_huy1" localSheetId="6" hidden="1">{"'Sheet1'!$L$16"}</definedName>
    <definedName name="_huy1" localSheetId="7" hidden="1">{"'Sheet1'!$L$16"}</definedName>
    <definedName name="_huy1" hidden="1">{"'Sheet1'!$L$16"}</definedName>
    <definedName name="_ISO6">#REF!</definedName>
    <definedName name="_ITD6">#REF!</definedName>
    <definedName name="_Key1" localSheetId="4" hidden="1">#REF!</definedName>
    <definedName name="_Key1" localSheetId="5" hidden="1">#REF!</definedName>
    <definedName name="_Key1" localSheetId="3" hidden="1">#REF!</definedName>
    <definedName name="_Key1" localSheetId="8" hidden="1">#REF!</definedName>
    <definedName name="_Key1" localSheetId="1" hidden="1">#REF!</definedName>
    <definedName name="_Key1" localSheetId="0" hidden="1">#REF!</definedName>
    <definedName name="_Key1" localSheetId="6" hidden="1">#REF!</definedName>
    <definedName name="_Key1" localSheetId="7" hidden="1">#REF!</definedName>
    <definedName name="_Key1" hidden="1">#REF!</definedName>
    <definedName name="_Key2" localSheetId="4" hidden="1">#REF!</definedName>
    <definedName name="_Key2" localSheetId="5" hidden="1">#REF!</definedName>
    <definedName name="_Key2" localSheetId="3" hidden="1">#REF!</definedName>
    <definedName name="_Key2" localSheetId="8" hidden="1">#REF!</definedName>
    <definedName name="_Key2" localSheetId="1" hidden="1">#REF!</definedName>
    <definedName name="_Key2" localSheetId="0" hidden="1">#REF!</definedName>
    <definedName name="_Key2" localSheetId="6" hidden="1">#REF!</definedName>
    <definedName name="_Key2" localSheetId="7" hidden="1">#REF!</definedName>
    <definedName name="_Key2" hidden="1">#REF!</definedName>
    <definedName name="_key3" hidden="1">#REF!</definedName>
    <definedName name="_key4" hidden="1">#REF!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t">#REF!</definedName>
    <definedName name="_MD1">#REF!</definedName>
    <definedName name="_MD2">#REF!</definedName>
    <definedName name="_MD3">#REF!</definedName>
    <definedName name="_MD4">#REF!</definedName>
    <definedName name="_MD5">#REF!</definedName>
    <definedName name="_MD6">#REF!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4" hidden="1">{"'Sheet1'!$L$16"}</definedName>
    <definedName name="_NS03" localSheetId="5" hidden="1">{"'Sheet1'!$L$16"}</definedName>
    <definedName name="_NS03" localSheetId="3" hidden="1">{"'Sheet1'!$L$16"}</definedName>
    <definedName name="_NS03" localSheetId="8" hidden="1">{"'Sheet1'!$L$16"}</definedName>
    <definedName name="_NS03" localSheetId="1" hidden="1">{"'Sheet1'!$L$16"}</definedName>
    <definedName name="_NS03" localSheetId="0" hidden="1">{"'Sheet1'!$L$16"}</definedName>
    <definedName name="_NS03" localSheetId="6" hidden="1">{"'Sheet1'!$L$16"}</definedName>
    <definedName name="_NS03" localSheetId="7" hidden="1">{"'Sheet1'!$L$16"}</definedName>
    <definedName name="_NS03" hidden="1">{"'Sheet1'!$L$16"}</definedName>
    <definedName name="_NSO2" localSheetId="4" hidden="1">{"'Sheet1'!$L$16"}</definedName>
    <definedName name="_NSO2" localSheetId="5" hidden="1">{"'Sheet1'!$L$16"}</definedName>
    <definedName name="_NSO2" localSheetId="3" hidden="1">{"'Sheet1'!$L$16"}</definedName>
    <definedName name="_NSO2" localSheetId="8" hidden="1">{"'Sheet1'!$L$16"}</definedName>
    <definedName name="_NSO2" localSheetId="1" hidden="1">{"'Sheet1'!$L$16"}</definedName>
    <definedName name="_NSO2" localSheetId="0" hidden="1">{"'Sheet1'!$L$16"}</definedName>
    <definedName name="_NSO2" localSheetId="6" hidden="1">{"'Sheet1'!$L$16"}</definedName>
    <definedName name="_NSO2" localSheetId="7" hidden="1">{"'Sheet1'!$L$16"}</definedName>
    <definedName name="_NSO2" hidden="1">{"'Sheet1'!$L$16"}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D6">#REF!</definedName>
    <definedName name="_PG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L3" localSheetId="4" hidden="1">{"'Sheet1'!$L$16"}</definedName>
    <definedName name="_PL3" localSheetId="5" hidden="1">{"'Sheet1'!$L$16"}</definedName>
    <definedName name="_PL3" localSheetId="3" hidden="1">{"'Sheet1'!$L$16"}</definedName>
    <definedName name="_PL3" localSheetId="8" hidden="1">{"'Sheet1'!$L$16"}</definedName>
    <definedName name="_PL3" localSheetId="1" hidden="1">{"'Sheet1'!$L$16"}</definedName>
    <definedName name="_PL3" localSheetId="0" hidden="1">{"'Sheet1'!$L$16"}</definedName>
    <definedName name="_PL3" localSheetId="6" hidden="1">{"'Sheet1'!$L$16"}</definedName>
    <definedName name="_PL3" localSheetId="7" hidden="1">{"'Sheet1'!$L$16"}</definedName>
    <definedName name="_PL3" hidden="1">{"'Sheet1'!$L$16"}</definedName>
    <definedName name="_PM6">#REF!</definedName>
    <definedName name="_PMD1">#REF!</definedName>
    <definedName name="_PR6">#REF!</definedName>
    <definedName name="_PRG1">#REF!</definedName>
    <definedName name="_PRG2">#REF!</definedName>
    <definedName name="_PRG3">#REF!</definedName>
    <definedName name="_PRG4">#REF!</definedName>
    <definedName name="_PRG5">#REF!</definedName>
    <definedName name="_PRG6">#REF!</definedName>
    <definedName name="_PRM6">#REF!</definedName>
    <definedName name="_QA1">#REF!</definedName>
    <definedName name="_QA2">#REF!</definedName>
    <definedName name="_QA3">#REF!</definedName>
    <definedName name="_QA4">#REF!</definedName>
    <definedName name="_QA5">#REF!</definedName>
    <definedName name="_QA6">#REF!</definedName>
    <definedName name="_REB16">#REF!</definedName>
    <definedName name="_REB26">#REF!</definedName>
    <definedName name="_REC02">#REF!</definedName>
    <definedName name="_REC2">#REF!</definedName>
    <definedName name="_Regression_Out" hidden="1">#REF!</definedName>
    <definedName name="_Regression_X" hidden="1">#REF!</definedName>
    <definedName name="_Regression_Y" hidden="1">#REF!</definedName>
    <definedName name="_RMD2">#REF!</definedName>
    <definedName name="_RMD3">#REF!</definedName>
    <definedName name="_RMD4">#REF!</definedName>
    <definedName name="_RMD5">#REF!</definedName>
    <definedName name="_RMD6">#REF!</definedName>
    <definedName name="_RMP1">#REF!</definedName>
    <definedName name="_RMP2">#REF!</definedName>
    <definedName name="_RMP3">#REF!</definedName>
    <definedName name="_RMP4">#REF!</definedName>
    <definedName name="_RMP5">#REF!</definedName>
    <definedName name="_RMP6">#REF!</definedName>
    <definedName name="_RMZ1">#REF!</definedName>
    <definedName name="_RMZ2">#REF!</definedName>
    <definedName name="_RMZ3">#REF!</definedName>
    <definedName name="_RMZ4">#REF!</definedName>
    <definedName name="_RMZ5">#REF!</definedName>
    <definedName name="_RMZ6">#REF!</definedName>
    <definedName name="_SEC6">#REF!</definedName>
    <definedName name="_SH26">#REF!</definedName>
    <definedName name="_SHD6">#REF!</definedName>
    <definedName name="_SHI16">#REF!</definedName>
    <definedName name="_SOD6">#REF!</definedName>
    <definedName name="_Sort" localSheetId="4" hidden="1">#REF!</definedName>
    <definedName name="_Sort" localSheetId="5" hidden="1">#REF!</definedName>
    <definedName name="_Sort" localSheetId="3" hidden="1">#REF!</definedName>
    <definedName name="_Sort" localSheetId="8" hidden="1">#REF!</definedName>
    <definedName name="_Sort" localSheetId="1" hidden="1">#REF!</definedName>
    <definedName name="_Sort" localSheetId="0" hidden="1">#REF!</definedName>
    <definedName name="_Sort" localSheetId="6" hidden="1">#REF!</definedName>
    <definedName name="_Sort" localSheetId="7" hidden="1">#REF!</definedName>
    <definedName name="_Sort" hidden="1">#REF!</definedName>
    <definedName name="_T01" hidden="1">#REF!</definedName>
    <definedName name="_Table1_In1" localSheetId="4" hidden="1">#REF!</definedName>
    <definedName name="_Table1_In1" localSheetId="5" hidden="1">#REF!</definedName>
    <definedName name="_Table1_In1" localSheetId="3" hidden="1">#REF!</definedName>
    <definedName name="_Table1_In1" localSheetId="8" hidden="1">#REF!</definedName>
    <definedName name="_Table1_In1" localSheetId="1" hidden="1">#REF!</definedName>
    <definedName name="_Table1_In1" localSheetId="0" hidden="1">#REF!</definedName>
    <definedName name="_Table1_In1" localSheetId="6" hidden="1">#REF!</definedName>
    <definedName name="_Table1_In1" localSheetId="7" hidden="1">#REF!</definedName>
    <definedName name="_Table1_In1" hidden="1">#REF!</definedName>
    <definedName name="_Table1_Out" localSheetId="4" hidden="1">#REF!</definedName>
    <definedName name="_Table1_Out" localSheetId="5" hidden="1">#REF!</definedName>
    <definedName name="_Table1_Out" localSheetId="3" hidden="1">#REF!</definedName>
    <definedName name="_Table1_Out" localSheetId="8" hidden="1">#REF!</definedName>
    <definedName name="_Table1_Out" localSheetId="1" hidden="1">#REF!</definedName>
    <definedName name="_Table1_Out" localSheetId="0" hidden="1">#REF!</definedName>
    <definedName name="_Table1_Out" localSheetId="6" hidden="1">#REF!</definedName>
    <definedName name="_Table1_Out" localSheetId="7" hidden="1">#REF!</definedName>
    <definedName name="_Table1_Out" hidden="1">#REF!</definedName>
    <definedName name="_Table2_In1" localSheetId="4" hidden="1">#REF!</definedName>
    <definedName name="_Table2_In1" localSheetId="5" hidden="1">#REF!</definedName>
    <definedName name="_Table2_In1" localSheetId="3" hidden="1">#REF!</definedName>
    <definedName name="_Table2_In1" localSheetId="8" hidden="1">#REF!</definedName>
    <definedName name="_Table2_In1" localSheetId="1" hidden="1">#REF!</definedName>
    <definedName name="_Table2_In1" localSheetId="0" hidden="1">#REF!</definedName>
    <definedName name="_Table2_In1" localSheetId="6" hidden="1">#REF!</definedName>
    <definedName name="_Table2_In1" localSheetId="7" hidden="1">#REF!</definedName>
    <definedName name="_Table2_In1" hidden="1">#REF!</definedName>
    <definedName name="_Table2_In2" localSheetId="4" hidden="1">#REF!</definedName>
    <definedName name="_Table2_In2" localSheetId="5" hidden="1">#REF!</definedName>
    <definedName name="_Table2_In2" localSheetId="3" hidden="1">#REF!</definedName>
    <definedName name="_Table2_In2" localSheetId="8" hidden="1">#REF!</definedName>
    <definedName name="_Table2_In2" localSheetId="1" hidden="1">#REF!</definedName>
    <definedName name="_Table2_In2" localSheetId="0" hidden="1">#REF!</definedName>
    <definedName name="_Table2_In2" localSheetId="6" hidden="1">#REF!</definedName>
    <definedName name="_Table2_In2" localSheetId="7" hidden="1">#REF!</definedName>
    <definedName name="_Table2_In2" hidden="1">#REF!</definedName>
    <definedName name="_Table2_Out" localSheetId="4" hidden="1">#REF!</definedName>
    <definedName name="_Table2_Out" localSheetId="5" hidden="1">#REF!</definedName>
    <definedName name="_Table2_Out" localSheetId="3" hidden="1">#REF!</definedName>
    <definedName name="_Table2_Out" localSheetId="8" hidden="1">#REF!</definedName>
    <definedName name="_Table2_Out" localSheetId="1" hidden="1">#REF!</definedName>
    <definedName name="_Table2_Out" localSheetId="0" hidden="1">#REF!</definedName>
    <definedName name="_Table2_Out" localSheetId="6" hidden="1">#REF!</definedName>
    <definedName name="_Table2_Out" localSheetId="7" hidden="1">#REF!</definedName>
    <definedName name="_Table2_Out" hidden="1">#REF!</definedName>
    <definedName name="_TAX2">#REF!</definedName>
    <definedName name="_tm2" localSheetId="4" hidden="1">{#N/A,#N/A,FALSE,"Chi tiÆt"}</definedName>
    <definedName name="_tm2" localSheetId="5" hidden="1">{#N/A,#N/A,FALSE,"Chi tiÆt"}</definedName>
    <definedName name="_tm2" localSheetId="3" hidden="1">{#N/A,#N/A,FALSE,"Chi tiÆt"}</definedName>
    <definedName name="_tm2" localSheetId="8" hidden="1">{#N/A,#N/A,FALSE,"Chi tiÆt"}</definedName>
    <definedName name="_tm2" localSheetId="1" hidden="1">{#N/A,#N/A,FALSE,"Chi tiÆt"}</definedName>
    <definedName name="_tm2" localSheetId="0" hidden="1">{#N/A,#N/A,FALSE,"Chi tiÆt"}</definedName>
    <definedName name="_tm2" localSheetId="6" hidden="1">{#N/A,#N/A,FALSE,"Chi tiÆt"}</definedName>
    <definedName name="_tm2" localSheetId="7" hidden="1">{#N/A,#N/A,FALSE,"Chi tiÆt"}</definedName>
    <definedName name="_tm2" hidden="1">{#N/A,#N/A,FALSE,"Chi tiÆt"}</definedName>
    <definedName name="_tr" hidden="1">#REF!</definedName>
    <definedName name="_UWF1">#REF!</definedName>
    <definedName name="_UWF2">#REF!</definedName>
    <definedName name="_WT1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w2" localSheetId="4" hidden="1">{#N/A,#N/A,FALSE,"Admin";#N/A,#N/A,FALSE,"Other"}</definedName>
    <definedName name="_ww2" localSheetId="5" hidden="1">{#N/A,#N/A,FALSE,"Admin";#N/A,#N/A,FALSE,"Other"}</definedName>
    <definedName name="_ww2" localSheetId="3" hidden="1">{#N/A,#N/A,FALSE,"Admin";#N/A,#N/A,FALSE,"Other"}</definedName>
    <definedName name="_ww2" localSheetId="8" hidden="1">{#N/A,#N/A,FALSE,"Admin";#N/A,#N/A,FALSE,"Other"}</definedName>
    <definedName name="_ww2" localSheetId="1" hidden="1">{#N/A,#N/A,FALSE,"Admin";#N/A,#N/A,FALSE,"Other"}</definedName>
    <definedName name="_ww2" localSheetId="0" hidden="1">{#N/A,#N/A,FALSE,"Admin";#N/A,#N/A,FALSE,"Other"}</definedName>
    <definedName name="_ww2" localSheetId="6" hidden="1">{#N/A,#N/A,FALSE,"Admin";#N/A,#N/A,FALSE,"Other"}</definedName>
    <definedName name="_ww2" localSheetId="7" hidden="1">{#N/A,#N/A,FALSE,"Admin";#N/A,#N/A,FALSE,"Other"}</definedName>
    <definedName name="_ww2" hidden="1">{#N/A,#N/A,FALSE,"Admin";#N/A,#N/A,FALSE,"Other"}</definedName>
    <definedName name="_YD6">#REF!</definedName>
    <definedName name="_ขายวัสดุ">#REF!</definedName>
    <definedName name="_ขายสินทรัพย์">#REF!</definedName>
    <definedName name="A">#REF!</definedName>
    <definedName name="â" localSheetId="4" hidden="1">{"'Sheet1'!$L$16"}</definedName>
    <definedName name="â" localSheetId="5" hidden="1">{"'Sheet1'!$L$16"}</definedName>
    <definedName name="â" localSheetId="3" hidden="1">{"'Sheet1'!$L$16"}</definedName>
    <definedName name="â" localSheetId="8" hidden="1">{"'Sheet1'!$L$16"}</definedName>
    <definedName name="â" localSheetId="1" hidden="1">{"'Sheet1'!$L$16"}</definedName>
    <definedName name="â" localSheetId="0" hidden="1">{"'Sheet1'!$L$16"}</definedName>
    <definedName name="â" localSheetId="6" hidden="1">{"'Sheet1'!$L$16"}</definedName>
    <definedName name="â" localSheetId="7" hidden="1">{"'Sheet1'!$L$16"}</definedName>
    <definedName name="â" hidden="1">{"'Sheet1'!$L$16"}</definedName>
    <definedName name="AA" localSheetId="4" hidden="1">{"F3 detail",#N/A,FALSE,"F1";"F3 Presentation",#N/A,FALSE,"F3 "}</definedName>
    <definedName name="AA" localSheetId="5" hidden="1">{"F3 detail",#N/A,FALSE,"F1";"F3 Presentation",#N/A,FALSE,"F3 "}</definedName>
    <definedName name="AA" localSheetId="3" hidden="1">{"F3 detail",#N/A,FALSE,"F1";"F3 Presentation",#N/A,FALSE,"F3 "}</definedName>
    <definedName name="AA" localSheetId="8" hidden="1">{"F3 detail",#N/A,FALSE,"F1";"F3 Presentation",#N/A,FALSE,"F3 "}</definedName>
    <definedName name="AA" localSheetId="1" hidden="1">{"F3 detail",#N/A,FALSE,"F1";"F3 Presentation",#N/A,FALSE,"F3 "}</definedName>
    <definedName name="AA" localSheetId="0" hidden="1">{"F3 detail",#N/A,FALSE,"F1";"F3 Presentation",#N/A,FALSE,"F3 "}</definedName>
    <definedName name="AA" localSheetId="6" hidden="1">{"F3 detail",#N/A,FALSE,"F1";"F3 Presentation",#N/A,FALSE,"F3 "}</definedName>
    <definedName name="AA" localSheetId="7" hidden="1">{"F3 detail",#N/A,FALSE,"F1";"F3 Presentation",#N/A,FALSE,"F3 "}</definedName>
    <definedName name="AA" hidden="1">{"F3 detail",#N/A,FALSE,"F1";"F3 Presentation",#N/A,FALSE,"F3 "}</definedName>
    <definedName name="AA_Class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4" hidden="1">{"Profit",#N/A,FALSE,"448k";"Capital",#N/A,FALSE,"448k"}</definedName>
    <definedName name="aaaaa" localSheetId="5" hidden="1">{"Profit",#N/A,FALSE,"448k";"Capital",#N/A,FALSE,"448k"}</definedName>
    <definedName name="aaaaa" localSheetId="3" hidden="1">{"Profit",#N/A,FALSE,"448k";"Capital",#N/A,FALSE,"448k"}</definedName>
    <definedName name="aaaaa" localSheetId="8" hidden="1">{"Profit",#N/A,FALSE,"448k";"Capital",#N/A,FALSE,"448k"}</definedName>
    <definedName name="aaaaa" localSheetId="1" hidden="1">{"Profit",#N/A,FALSE,"448k";"Capital",#N/A,FALSE,"448k"}</definedName>
    <definedName name="aaaaa" localSheetId="0" hidden="1">{"Profit",#N/A,FALSE,"448k";"Capital",#N/A,FALSE,"448k"}</definedName>
    <definedName name="aaaaa" localSheetId="6" hidden="1">{"Profit",#N/A,FALSE,"448k";"Capital",#N/A,FALSE,"448k"}</definedName>
    <definedName name="aaaaa" localSheetId="7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ADMIN">#REF!</definedName>
    <definedName name="ab">#REF!</definedName>
    <definedName name="AccessOpt" hidden="1">"Yes"</definedName>
    <definedName name="ACELL">#REF!</definedName>
    <definedName name="ACHEMICAL">#REF!</definedName>
    <definedName name="ACHENG">#REF!</definedName>
    <definedName name="Actual">#REF!</definedName>
    <definedName name="ADESP">#REF!</definedName>
    <definedName name="ADMIN6">#REF!</definedName>
    <definedName name="ADMINAA">#REF!</definedName>
    <definedName name="AENV">#REF!</definedName>
    <definedName name="AGREEN">#REF!</definedName>
    <definedName name="AISO">#REF!</definedName>
    <definedName name="All_CCtr">#REF!</definedName>
    <definedName name="All_CCtr_Code">#REF!</definedName>
    <definedName name="All_CCtr_List">#REF!</definedName>
    <definedName name="AMD">#REF!</definedName>
    <definedName name="AmtPlnDP">#REF!</definedName>
    <definedName name="anscount" hidden="1">2</definedName>
    <definedName name="APC">#REF!</definedName>
    <definedName name="APM">#REF!</definedName>
    <definedName name="APR">#REF!</definedName>
    <definedName name="AQA">#REF!</definedName>
    <definedName name="ar">#REF!</definedName>
    <definedName name="ARMP">#REF!</definedName>
    <definedName name="ARMZ">#REF!</definedName>
    <definedName name="AS2DocOpenMode" hidden="1">"AS2DocumentEdit"</definedName>
    <definedName name="asdf" hidden="1">#REF!</definedName>
    <definedName name="ASHEETING">#REF!</definedName>
    <definedName name="ASODA">#REF!</definedName>
    <definedName name="ass" hidden="1">{"revable",#N/A,FALSE,"REVABLE"}</definedName>
    <definedName name="AssetClass">#REF!</definedName>
    <definedName name="AUC_Add">#REF!</definedName>
    <definedName name="AUC_deduct">#REF!</definedName>
    <definedName name="AUG">#REF!</definedName>
    <definedName name="_xlnm.Auto_Open">#REF!</definedName>
    <definedName name="AUX1AA">#REF!</definedName>
    <definedName name="AYARD">#REF!</definedName>
    <definedName name="B">#REF!</definedName>
    <definedName name="b_expen">#REF!</definedName>
    <definedName name="BACKYTD">#REF!</definedName>
    <definedName name="BalAct_CYrApr">#REF!</definedName>
    <definedName name="BalAct_CYrAug">#REF!</definedName>
    <definedName name="BalAct_CYrDec">#REF!</definedName>
    <definedName name="BalAct_CYrFeb">#REF!</definedName>
    <definedName name="BalAct_CYrJan">#REF!</definedName>
    <definedName name="BalAct_CYrJul">#REF!</definedName>
    <definedName name="BalAct_CYrJun">#REF!</definedName>
    <definedName name="BalAct_CYrMar">#REF!</definedName>
    <definedName name="BalAct_CYrMay">#REF!</definedName>
    <definedName name="BalAct_CYrNov">#REF!</definedName>
    <definedName name="BalAct_CYrOct">#REF!</definedName>
    <definedName name="BalAct_CYrSep">#REF!</definedName>
    <definedName name="BalAct_LYrDec">#REF!</definedName>
    <definedName name="BalAct_LYrNov">#REF!</definedName>
    <definedName name="BalAct_LYrOct">#REF!</definedName>
    <definedName name="BalCmm_CYrApr">#REF!</definedName>
    <definedName name="BalCmm_CYrAug">#REF!</definedName>
    <definedName name="BalCmm_CYrDec">#REF!</definedName>
    <definedName name="BalCmm_CYrFeb">#REF!</definedName>
    <definedName name="BalCmm_CYrJan">#REF!</definedName>
    <definedName name="BalCmm_CYrJul">#REF!</definedName>
    <definedName name="BalCmm_CYrJun">#REF!</definedName>
    <definedName name="BalCmm_CYrMar">#REF!</definedName>
    <definedName name="BalCmm_CYrMay">#REF!</definedName>
    <definedName name="BalCmm_CYrNov">#REF!</definedName>
    <definedName name="BalCmm_CYrOct">#REF!</definedName>
    <definedName name="BalCmm_CYrSep">#REF!</definedName>
    <definedName name="BalCmm_LYrDec">#REF!</definedName>
    <definedName name="BalCmm_LYrNov">#REF!</definedName>
    <definedName name="BalCmm_LYrOct">#REF!</definedName>
    <definedName name="bang11">#REF!</definedName>
    <definedName name="banking1" localSheetId="4" hidden="1">{"'Sheet1'!$L$16"}</definedName>
    <definedName name="banking1" localSheetId="5" hidden="1">{"'Sheet1'!$L$16"}</definedName>
    <definedName name="banking1" localSheetId="3" hidden="1">{"'Sheet1'!$L$16"}</definedName>
    <definedName name="banking1" localSheetId="8" hidden="1">{"'Sheet1'!$L$16"}</definedName>
    <definedName name="banking1" localSheetId="1" hidden="1">{"'Sheet1'!$L$16"}</definedName>
    <definedName name="banking1" localSheetId="0" hidden="1">{"'Sheet1'!$L$16"}</definedName>
    <definedName name="banking1" localSheetId="6" hidden="1">{"'Sheet1'!$L$16"}</definedName>
    <definedName name="banking1" localSheetId="7" hidden="1">{"'Sheet1'!$L$16"}</definedName>
    <definedName name="banking1" hidden="1">{"'Sheet1'!$L$16"}</definedName>
    <definedName name="bb">#REF!</definedName>
    <definedName name="BBB" localSheetId="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Export">"$#REF!.$A$1:$V$633"</definedName>
    <definedName name="BhtUSD">#REF!</definedName>
    <definedName name="bi" localSheetId="4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3" hidden="1">{"HK PR",#N/A,FALSE,"HK";"SUMMARY",#N/A,FALSE,"PAYROLL";"SUMMARY",#N/A,FALSE,"PAYROLL";"HK PR",#N/A,FALSE,"HK"}</definedName>
    <definedName name="bi" localSheetId="8" hidden="1">{"HK PR",#N/A,FALSE,"HK";"SUMMARY",#N/A,FALSE,"PAYROLL";"SUMMARY",#N/A,FALSE,"PAYROLL";"HK PR",#N/A,FALSE,"HK"}</definedName>
    <definedName name="bi" localSheetId="1" hidden="1">{"HK PR",#N/A,FALSE,"HK";"SUMMARY",#N/A,FALSE,"PAYROLL";"SUMMARY",#N/A,FALSE,"PAYROLL";"HK PR",#N/A,FALSE,"HK"}</definedName>
    <definedName name="bi" localSheetId="0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localSheetId="7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4" hidden="1">{"'Sheet1'!$L$16"}</definedName>
    <definedName name="bieudo" localSheetId="5" hidden="1">{"'Sheet1'!$L$16"}</definedName>
    <definedName name="bieudo" localSheetId="3" hidden="1">{"'Sheet1'!$L$16"}</definedName>
    <definedName name="bieudo" localSheetId="8" hidden="1">{"'Sheet1'!$L$16"}</definedName>
    <definedName name="bieudo" localSheetId="1" hidden="1">{"'Sheet1'!$L$16"}</definedName>
    <definedName name="bieudo" localSheetId="0" hidden="1">{"'Sheet1'!$L$16"}</definedName>
    <definedName name="bieudo" localSheetId="6" hidden="1">{"'Sheet1'!$L$16"}</definedName>
    <definedName name="bieudo" localSheetId="7" hidden="1">{"'Sheet1'!$L$16"}</definedName>
    <definedName name="bieudo" hidden="1">{"'Sheet1'!$L$16"}</definedName>
    <definedName name="bieudo1" localSheetId="4" hidden="1">{"'Sheet1'!$L$16"}</definedName>
    <definedName name="bieudo1" localSheetId="5" hidden="1">{"'Sheet1'!$L$16"}</definedName>
    <definedName name="bieudo1" localSheetId="3" hidden="1">{"'Sheet1'!$L$16"}</definedName>
    <definedName name="bieudo1" localSheetId="8" hidden="1">{"'Sheet1'!$L$16"}</definedName>
    <definedName name="bieudo1" localSheetId="1" hidden="1">{"'Sheet1'!$L$16"}</definedName>
    <definedName name="bieudo1" localSheetId="0" hidden="1">{"'Sheet1'!$L$16"}</definedName>
    <definedName name="bieudo1" localSheetId="6" hidden="1">{"'Sheet1'!$L$16"}</definedName>
    <definedName name="bieudo1" localSheetId="7" hidden="1">{"'Sheet1'!$L$16"}</definedName>
    <definedName name="bieudo1" hidden="1">{"'Sheet1'!$L$16"}</definedName>
    <definedName name="binh1" localSheetId="4" hidden="1">{"'Sheet1'!$L$16"}</definedName>
    <definedName name="binh1" localSheetId="5" hidden="1">{"'Sheet1'!$L$16"}</definedName>
    <definedName name="binh1" localSheetId="3" hidden="1">{"'Sheet1'!$L$16"}</definedName>
    <definedName name="binh1" localSheetId="8" hidden="1">{"'Sheet1'!$L$16"}</definedName>
    <definedName name="binh1" localSheetId="1" hidden="1">{"'Sheet1'!$L$16"}</definedName>
    <definedName name="binh1" localSheetId="0" hidden="1">{"'Sheet1'!$L$16"}</definedName>
    <definedName name="binh1" localSheetId="6" hidden="1">{"'Sheet1'!$L$16"}</definedName>
    <definedName name="binh1" localSheetId="7" hidden="1">{"'Sheet1'!$L$16"}</definedName>
    <definedName name="binh1" hidden="1">{"'Sheet1'!$L$16"}</definedName>
    <definedName name="BLE1AA">#REF!</definedName>
    <definedName name="BLE2AA">#REF!</definedName>
    <definedName name="BO005BDC81E98343A093AADEF94EB59FAF" hidden="1">#REF!</definedName>
    <definedName name="BO00D8F3CF7CD2475BB9B1385DA290D0F5" hidden="1">#REF!</definedName>
    <definedName name="BO01D0E16CBD0C473996504B44510A2B25" localSheetId="4" hidden="1">#REF!</definedName>
    <definedName name="BO01D0E16CBD0C473996504B44510A2B25" localSheetId="5" hidden="1">#REF!</definedName>
    <definedName name="BO01D0E16CBD0C473996504B44510A2B25" localSheetId="3" hidden="1">#REF!</definedName>
    <definedName name="BO01D0E16CBD0C473996504B44510A2B25" localSheetId="8" hidden="1">#REF!</definedName>
    <definedName name="BO01D0E16CBD0C473996504B44510A2B25" localSheetId="1" hidden="1">#REF!</definedName>
    <definedName name="BO01D0E16CBD0C473996504B44510A2B25" localSheetId="0" hidden="1">#REF!</definedName>
    <definedName name="BO01D0E16CBD0C473996504B44510A2B25" localSheetId="6" hidden="1">#REF!</definedName>
    <definedName name="BO01D0E16CBD0C473996504B44510A2B25" localSheetId="7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4" hidden="1">#REF!</definedName>
    <definedName name="BO048C4D3FE93F49AA8198D2880A899608" localSheetId="5" hidden="1">#REF!</definedName>
    <definedName name="BO048C4D3FE93F49AA8198D2880A899608" localSheetId="3" hidden="1">#REF!</definedName>
    <definedName name="BO048C4D3FE93F49AA8198D2880A899608" localSheetId="8" hidden="1">#REF!</definedName>
    <definedName name="BO048C4D3FE93F49AA8198D2880A899608" localSheetId="1" hidden="1">#REF!</definedName>
    <definedName name="BO048C4D3FE93F49AA8198D2880A899608" localSheetId="0" hidden="1">#REF!</definedName>
    <definedName name="BO048C4D3FE93F49AA8198D2880A899608" localSheetId="6" hidden="1">#REF!</definedName>
    <definedName name="BO048C4D3FE93F49AA8198D2880A899608" localSheetId="7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4" hidden="1">#REF!</definedName>
    <definedName name="BO099F887F9C5F4068BA6B8F1084394257" localSheetId="5" hidden="1">#REF!</definedName>
    <definedName name="BO099F887F9C5F4068BA6B8F1084394257" localSheetId="3" hidden="1">#REF!</definedName>
    <definedName name="BO099F887F9C5F4068BA6B8F1084394257" localSheetId="8" hidden="1">#REF!</definedName>
    <definedName name="BO099F887F9C5F4068BA6B8F1084394257" localSheetId="1" hidden="1">#REF!</definedName>
    <definedName name="BO099F887F9C5F4068BA6B8F1084394257" localSheetId="0" hidden="1">#REF!</definedName>
    <definedName name="BO099F887F9C5F4068BA6B8F1084394257" localSheetId="6" hidden="1">#REF!</definedName>
    <definedName name="BO099F887F9C5F4068BA6B8F1084394257" localSheetId="7" hidden="1">#REF!</definedName>
    <definedName name="BO099F887F9C5F4068BA6B8F1084394257" hidden="1">#REF!</definedName>
    <definedName name="BO09B01FBE487D42169A0B01DC62FE7DDC" localSheetId="4" hidden="1">#REF!</definedName>
    <definedName name="BO09B01FBE487D42169A0B01DC62FE7DDC" localSheetId="5" hidden="1">#REF!</definedName>
    <definedName name="BO09B01FBE487D42169A0B01DC62FE7DDC" localSheetId="3" hidden="1">#REF!</definedName>
    <definedName name="BO09B01FBE487D42169A0B01DC62FE7DDC" localSheetId="8" hidden="1">#REF!</definedName>
    <definedName name="BO09B01FBE487D42169A0B01DC62FE7DDC" localSheetId="1" hidden="1">#REF!</definedName>
    <definedName name="BO09B01FBE487D42169A0B01DC62FE7DDC" localSheetId="0" hidden="1">#REF!</definedName>
    <definedName name="BO09B01FBE487D42169A0B01DC62FE7DDC" localSheetId="6" hidden="1">#REF!</definedName>
    <definedName name="BO09B01FBE487D42169A0B01DC62FE7DDC" localSheetId="7" hidden="1">#REF!</definedName>
    <definedName name="BO09B01FBE487D42169A0B01DC62FE7DDC" hidden="1">#REF!</definedName>
    <definedName name="BO09C3E790E8D9462BAE7754E47C08E4E9" localSheetId="4" hidden="1">#REF!</definedName>
    <definedName name="BO09C3E790E8D9462BAE7754E47C08E4E9" localSheetId="5" hidden="1">#REF!</definedName>
    <definedName name="BO09C3E790E8D9462BAE7754E47C08E4E9" localSheetId="3" hidden="1">#REF!</definedName>
    <definedName name="BO09C3E790E8D9462BAE7754E47C08E4E9" localSheetId="8" hidden="1">#REF!</definedName>
    <definedName name="BO09C3E790E8D9462BAE7754E47C08E4E9" localSheetId="1" hidden="1">#REF!</definedName>
    <definedName name="BO09C3E790E8D9462BAE7754E47C08E4E9" localSheetId="0" hidden="1">#REF!</definedName>
    <definedName name="BO09C3E790E8D9462BAE7754E47C08E4E9" localSheetId="6" hidden="1">#REF!</definedName>
    <definedName name="BO09C3E790E8D9462BAE7754E47C08E4E9" localSheetId="7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4" hidden="1">#REF!</definedName>
    <definedName name="BO0E1E2F80FC8D4C0DB3564683D16EEFC1" localSheetId="5" hidden="1">#REF!</definedName>
    <definedName name="BO0E1E2F80FC8D4C0DB3564683D16EEFC1" localSheetId="3" hidden="1">#REF!</definedName>
    <definedName name="BO0E1E2F80FC8D4C0DB3564683D16EEFC1" localSheetId="8" hidden="1">#REF!</definedName>
    <definedName name="BO0E1E2F80FC8D4C0DB3564683D16EEFC1" localSheetId="1" hidden="1">#REF!</definedName>
    <definedName name="BO0E1E2F80FC8D4C0DB3564683D16EEFC1" localSheetId="0" hidden="1">#REF!</definedName>
    <definedName name="BO0E1E2F80FC8D4C0DB3564683D16EEFC1" localSheetId="6" hidden="1">#REF!</definedName>
    <definedName name="BO0E1E2F80FC8D4C0DB3564683D16EEFC1" localSheetId="7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4" hidden="1">#REF!</definedName>
    <definedName name="BO100DAFF26E56419D9A8CFC5AE2565CB4" localSheetId="5" hidden="1">#REF!</definedName>
    <definedName name="BO100DAFF26E56419D9A8CFC5AE2565CB4" localSheetId="3" hidden="1">#REF!</definedName>
    <definedName name="BO100DAFF26E56419D9A8CFC5AE2565CB4" localSheetId="8" hidden="1">#REF!</definedName>
    <definedName name="BO100DAFF26E56419D9A8CFC5AE2565CB4" localSheetId="1" hidden="1">#REF!</definedName>
    <definedName name="BO100DAFF26E56419D9A8CFC5AE2565CB4" localSheetId="0" hidden="1">#REF!</definedName>
    <definedName name="BO100DAFF26E56419D9A8CFC5AE2565CB4" localSheetId="6" hidden="1">#REF!</definedName>
    <definedName name="BO100DAFF26E56419D9A8CFC5AE2565CB4" localSheetId="7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4" hidden="1">#REF!</definedName>
    <definedName name="BO1BD3FB86C9A0455BB37599C94BB564CE" localSheetId="5" hidden="1">#REF!</definedName>
    <definedName name="BO1BD3FB86C9A0455BB37599C94BB564CE" localSheetId="3" hidden="1">#REF!</definedName>
    <definedName name="BO1BD3FB86C9A0455BB37599C94BB564CE" localSheetId="8" hidden="1">#REF!</definedName>
    <definedName name="BO1BD3FB86C9A0455BB37599C94BB564CE" localSheetId="1" hidden="1">#REF!</definedName>
    <definedName name="BO1BD3FB86C9A0455BB37599C94BB564CE" localSheetId="0" hidden="1">#REF!</definedName>
    <definedName name="BO1BD3FB86C9A0455BB37599C94BB564CE" localSheetId="6" hidden="1">#REF!</definedName>
    <definedName name="BO1BD3FB86C9A0455BB37599C94BB564CE" localSheetId="7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4" hidden="1">#REF!</definedName>
    <definedName name="BO2672883EFAC5493481EFB4B31BDD63E6" localSheetId="5" hidden="1">#REF!</definedName>
    <definedName name="BO2672883EFAC5493481EFB4B31BDD63E6" localSheetId="3" hidden="1">#REF!</definedName>
    <definedName name="BO2672883EFAC5493481EFB4B31BDD63E6" localSheetId="8" hidden="1">#REF!</definedName>
    <definedName name="BO2672883EFAC5493481EFB4B31BDD63E6" localSheetId="1" hidden="1">#REF!</definedName>
    <definedName name="BO2672883EFAC5493481EFB4B31BDD63E6" localSheetId="0" hidden="1">#REF!</definedName>
    <definedName name="BO2672883EFAC5493481EFB4B31BDD63E6" localSheetId="6" hidden="1">#REF!</definedName>
    <definedName name="BO2672883EFAC5493481EFB4B31BDD63E6" localSheetId="7" hidden="1">#REF!</definedName>
    <definedName name="BO2672883EFAC5493481EFB4B31BDD63E6" hidden="1">#REF!</definedName>
    <definedName name="BO276A19D8C2B04DC29C9152E8680B3A3A" localSheetId="4" hidden="1">#REF!</definedName>
    <definedName name="BO276A19D8C2B04DC29C9152E8680B3A3A" localSheetId="5" hidden="1">#REF!</definedName>
    <definedName name="BO276A19D8C2B04DC29C9152E8680B3A3A" localSheetId="3" hidden="1">#REF!</definedName>
    <definedName name="BO276A19D8C2B04DC29C9152E8680B3A3A" localSheetId="8" hidden="1">#REF!</definedName>
    <definedName name="BO276A19D8C2B04DC29C9152E8680B3A3A" localSheetId="1" hidden="1">#REF!</definedName>
    <definedName name="BO276A19D8C2B04DC29C9152E8680B3A3A" localSheetId="0" hidden="1">#REF!</definedName>
    <definedName name="BO276A19D8C2B04DC29C9152E8680B3A3A" localSheetId="6" hidden="1">#REF!</definedName>
    <definedName name="BO276A19D8C2B04DC29C9152E8680B3A3A" localSheetId="7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4" hidden="1">#REF!</definedName>
    <definedName name="BO2C9B63E184774916BE8749B98B8AE796" localSheetId="5" hidden="1">#REF!</definedName>
    <definedName name="BO2C9B63E184774916BE8749B98B8AE796" localSheetId="3" hidden="1">#REF!</definedName>
    <definedName name="BO2C9B63E184774916BE8749B98B8AE796" localSheetId="8" hidden="1">#REF!</definedName>
    <definedName name="BO2C9B63E184774916BE8749B98B8AE796" localSheetId="1" hidden="1">#REF!</definedName>
    <definedName name="BO2C9B63E184774916BE8749B98B8AE796" localSheetId="0" hidden="1">#REF!</definedName>
    <definedName name="BO2C9B63E184774916BE8749B98B8AE796" localSheetId="6" hidden="1">#REF!</definedName>
    <definedName name="BO2C9B63E184774916BE8749B98B8AE796" localSheetId="7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4" hidden="1">#REF!</definedName>
    <definedName name="BO3728122716B1408E8B7F370B9BBFDADD" localSheetId="5" hidden="1">#REF!</definedName>
    <definedName name="BO3728122716B1408E8B7F370B9BBFDADD" localSheetId="3" hidden="1">#REF!</definedName>
    <definedName name="BO3728122716B1408E8B7F370B9BBFDADD" localSheetId="8" hidden="1">#REF!</definedName>
    <definedName name="BO3728122716B1408E8B7F370B9BBFDADD" localSheetId="1" hidden="1">#REF!</definedName>
    <definedName name="BO3728122716B1408E8B7F370B9BBFDADD" localSheetId="0" hidden="1">#REF!</definedName>
    <definedName name="BO3728122716B1408E8B7F370B9BBFDADD" localSheetId="6" hidden="1">#REF!</definedName>
    <definedName name="BO3728122716B1408E8B7F370B9BBFDADD" localSheetId="7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4" hidden="1">#REF!</definedName>
    <definedName name="BO37A8522087C146439B47E95567DA2B00" localSheetId="5" hidden="1">#REF!</definedName>
    <definedName name="BO37A8522087C146439B47E95567DA2B00" localSheetId="3" hidden="1">#REF!</definedName>
    <definedName name="BO37A8522087C146439B47E95567DA2B00" localSheetId="8" hidden="1">#REF!</definedName>
    <definedName name="BO37A8522087C146439B47E95567DA2B00" localSheetId="1" hidden="1">#REF!</definedName>
    <definedName name="BO37A8522087C146439B47E95567DA2B00" localSheetId="0" hidden="1">#REF!</definedName>
    <definedName name="BO37A8522087C146439B47E95567DA2B00" localSheetId="6" hidden="1">#REF!</definedName>
    <definedName name="BO37A8522087C146439B47E95567DA2B00" localSheetId="7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4" hidden="1">#REF!</definedName>
    <definedName name="BO3909BFA3143A4B58B6B8CEB581E9528C" localSheetId="5" hidden="1">#REF!</definedName>
    <definedName name="BO3909BFA3143A4B58B6B8CEB581E9528C" localSheetId="3" hidden="1">#REF!</definedName>
    <definedName name="BO3909BFA3143A4B58B6B8CEB581E9528C" localSheetId="8" hidden="1">#REF!</definedName>
    <definedName name="BO3909BFA3143A4B58B6B8CEB581E9528C" localSheetId="1" hidden="1">#REF!</definedName>
    <definedName name="BO3909BFA3143A4B58B6B8CEB581E9528C" localSheetId="0" hidden="1">#REF!</definedName>
    <definedName name="BO3909BFA3143A4B58B6B8CEB581E9528C" localSheetId="6" hidden="1">#REF!</definedName>
    <definedName name="BO3909BFA3143A4B58B6B8CEB581E9528C" localSheetId="7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4" hidden="1">#REF!</definedName>
    <definedName name="BO4057EC314CEC47798B0627DC202DE337" localSheetId="5" hidden="1">#REF!</definedName>
    <definedName name="BO4057EC314CEC47798B0627DC202DE337" localSheetId="3" hidden="1">#REF!</definedName>
    <definedName name="BO4057EC314CEC47798B0627DC202DE337" localSheetId="8" hidden="1">#REF!</definedName>
    <definedName name="BO4057EC314CEC47798B0627DC202DE337" localSheetId="1" hidden="1">#REF!</definedName>
    <definedName name="BO4057EC314CEC47798B0627DC202DE337" localSheetId="0" hidden="1">#REF!</definedName>
    <definedName name="BO4057EC314CEC47798B0627DC202DE337" localSheetId="6" hidden="1">#REF!</definedName>
    <definedName name="BO4057EC314CEC47798B0627DC202DE337" localSheetId="7" hidden="1">#REF!</definedName>
    <definedName name="BO4057EC314CEC47798B0627DC202DE337" hidden="1">#REF!</definedName>
    <definedName name="BO4325C4CE5A6A40EDB239CE3FEA93D616" localSheetId="4" hidden="1">#REF!</definedName>
    <definedName name="BO4325C4CE5A6A40EDB239CE3FEA93D616" localSheetId="5" hidden="1">#REF!</definedName>
    <definedName name="BO4325C4CE5A6A40EDB239CE3FEA93D616" localSheetId="3" hidden="1">#REF!</definedName>
    <definedName name="BO4325C4CE5A6A40EDB239CE3FEA93D616" localSheetId="8" hidden="1">#REF!</definedName>
    <definedName name="BO4325C4CE5A6A40EDB239CE3FEA93D616" localSheetId="1" hidden="1">#REF!</definedName>
    <definedName name="BO4325C4CE5A6A40EDB239CE3FEA93D616" localSheetId="0" hidden="1">#REF!</definedName>
    <definedName name="BO4325C4CE5A6A40EDB239CE3FEA93D616" localSheetId="6" hidden="1">#REF!</definedName>
    <definedName name="BO4325C4CE5A6A40EDB239CE3FEA93D616" localSheetId="7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4" hidden="1">#REF!</definedName>
    <definedName name="BO4AAF3ED43D1F4BA0A617F05B5FA98022" localSheetId="5" hidden="1">#REF!</definedName>
    <definedName name="BO4AAF3ED43D1F4BA0A617F05B5FA98022" localSheetId="3" hidden="1">#REF!</definedName>
    <definedName name="BO4AAF3ED43D1F4BA0A617F05B5FA98022" localSheetId="8" hidden="1">#REF!</definedName>
    <definedName name="BO4AAF3ED43D1F4BA0A617F05B5FA98022" localSheetId="1" hidden="1">#REF!</definedName>
    <definedName name="BO4AAF3ED43D1F4BA0A617F05B5FA98022" localSheetId="0" hidden="1">#REF!</definedName>
    <definedName name="BO4AAF3ED43D1F4BA0A617F05B5FA98022" localSheetId="6" hidden="1">#REF!</definedName>
    <definedName name="BO4AAF3ED43D1F4BA0A617F05B5FA98022" localSheetId="7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4" hidden="1">#REF!</definedName>
    <definedName name="BO5C902D60CF47456FA169B1087280482B" localSheetId="5" hidden="1">#REF!</definedName>
    <definedName name="BO5C902D60CF47456FA169B1087280482B" localSheetId="3" hidden="1">#REF!</definedName>
    <definedName name="BO5C902D60CF47456FA169B1087280482B" localSheetId="8" hidden="1">#REF!</definedName>
    <definedName name="BO5C902D60CF47456FA169B1087280482B" localSheetId="1" hidden="1">#REF!</definedName>
    <definedName name="BO5C902D60CF47456FA169B1087280482B" localSheetId="0" hidden="1">#REF!</definedName>
    <definedName name="BO5C902D60CF47456FA169B1087280482B" localSheetId="6" hidden="1">#REF!</definedName>
    <definedName name="BO5C902D60CF47456FA169B1087280482B" localSheetId="7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4" hidden="1">#REF!</definedName>
    <definedName name="BO5D45774D31BA47B8AE1E174DE6B88DC5" localSheetId="5" hidden="1">#REF!</definedName>
    <definedName name="BO5D45774D31BA47B8AE1E174DE6B88DC5" localSheetId="3" hidden="1">#REF!</definedName>
    <definedName name="BO5D45774D31BA47B8AE1E174DE6B88DC5" localSheetId="8" hidden="1">#REF!</definedName>
    <definedName name="BO5D45774D31BA47B8AE1E174DE6B88DC5" localSheetId="1" hidden="1">#REF!</definedName>
    <definedName name="BO5D45774D31BA47B8AE1E174DE6B88DC5" localSheetId="0" hidden="1">#REF!</definedName>
    <definedName name="BO5D45774D31BA47B8AE1E174DE6B88DC5" localSheetId="6" hidden="1">#REF!</definedName>
    <definedName name="BO5D45774D31BA47B8AE1E174DE6B88DC5" localSheetId="7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4" hidden="1">#REF!</definedName>
    <definedName name="BO5E15162F9C004ABAA5599FEAD7B0B618" localSheetId="5" hidden="1">#REF!</definedName>
    <definedName name="BO5E15162F9C004ABAA5599FEAD7B0B618" localSheetId="3" hidden="1">#REF!</definedName>
    <definedName name="BO5E15162F9C004ABAA5599FEAD7B0B618" localSheetId="8" hidden="1">#REF!</definedName>
    <definedName name="BO5E15162F9C004ABAA5599FEAD7B0B618" localSheetId="1" hidden="1">#REF!</definedName>
    <definedName name="BO5E15162F9C004ABAA5599FEAD7B0B618" localSheetId="0" hidden="1">#REF!</definedName>
    <definedName name="BO5E15162F9C004ABAA5599FEAD7B0B618" localSheetId="6" hidden="1">#REF!</definedName>
    <definedName name="BO5E15162F9C004ABAA5599FEAD7B0B618" localSheetId="7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4" hidden="1">#REF!</definedName>
    <definedName name="BO65A8281E60C44053BCA2C62905C7294C" localSheetId="5" hidden="1">#REF!</definedName>
    <definedName name="BO65A8281E60C44053BCA2C62905C7294C" localSheetId="3" hidden="1">#REF!</definedName>
    <definedName name="BO65A8281E60C44053BCA2C62905C7294C" localSheetId="8" hidden="1">#REF!</definedName>
    <definedName name="BO65A8281E60C44053BCA2C62905C7294C" localSheetId="1" hidden="1">#REF!</definedName>
    <definedName name="BO65A8281E60C44053BCA2C62905C7294C" localSheetId="0" hidden="1">#REF!</definedName>
    <definedName name="BO65A8281E60C44053BCA2C62905C7294C" localSheetId="6" hidden="1">#REF!</definedName>
    <definedName name="BO65A8281E60C44053BCA2C62905C7294C" localSheetId="7" hidden="1">#REF!</definedName>
    <definedName name="BO65A8281E60C44053BCA2C62905C7294C" hidden="1">#REF!</definedName>
    <definedName name="BO67533EA6D04240D48B3A9395CDECDB8D" localSheetId="4" hidden="1">#REF!</definedName>
    <definedName name="BO67533EA6D04240D48B3A9395CDECDB8D" localSheetId="5" hidden="1">#REF!</definedName>
    <definedName name="BO67533EA6D04240D48B3A9395CDECDB8D" localSheetId="3" hidden="1">#REF!</definedName>
    <definedName name="BO67533EA6D04240D48B3A9395CDECDB8D" localSheetId="8" hidden="1">#REF!</definedName>
    <definedName name="BO67533EA6D04240D48B3A9395CDECDB8D" localSheetId="1" hidden="1">#REF!</definedName>
    <definedName name="BO67533EA6D04240D48B3A9395CDECDB8D" localSheetId="0" hidden="1">#REF!</definedName>
    <definedName name="BO67533EA6D04240D48B3A9395CDECDB8D" localSheetId="6" hidden="1">#REF!</definedName>
    <definedName name="BO67533EA6D04240D48B3A9395CDECDB8D" localSheetId="7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4" hidden="1">#REF!</definedName>
    <definedName name="BO733E15FC2902430994339FF32CD32B87" localSheetId="5" hidden="1">#REF!</definedName>
    <definedName name="BO733E15FC2902430994339FF32CD32B87" localSheetId="3" hidden="1">#REF!</definedName>
    <definedName name="BO733E15FC2902430994339FF32CD32B87" localSheetId="8" hidden="1">#REF!</definedName>
    <definedName name="BO733E15FC2902430994339FF32CD32B87" localSheetId="1" hidden="1">#REF!</definedName>
    <definedName name="BO733E15FC2902430994339FF32CD32B87" localSheetId="0" hidden="1">#REF!</definedName>
    <definedName name="BO733E15FC2902430994339FF32CD32B87" localSheetId="6" hidden="1">#REF!</definedName>
    <definedName name="BO733E15FC2902430994339FF32CD32B87" localSheetId="7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4" hidden="1">#REF!</definedName>
    <definedName name="BO8F69E36AA533438FB255DE448D2F78C1" localSheetId="5" hidden="1">#REF!</definedName>
    <definedName name="BO8F69E36AA533438FB255DE448D2F78C1" localSheetId="3" hidden="1">#REF!</definedName>
    <definedName name="BO8F69E36AA533438FB255DE448D2F78C1" localSheetId="8" hidden="1">#REF!</definedName>
    <definedName name="BO8F69E36AA533438FB255DE448D2F78C1" localSheetId="1" hidden="1">#REF!</definedName>
    <definedName name="BO8F69E36AA533438FB255DE448D2F78C1" localSheetId="0" hidden="1">#REF!</definedName>
    <definedName name="BO8F69E36AA533438FB255DE448D2F78C1" localSheetId="6" hidden="1">#REF!</definedName>
    <definedName name="BO8F69E36AA533438FB255DE448D2F78C1" localSheetId="7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4" hidden="1">#REF!</definedName>
    <definedName name="BO904BCFDAB4C44A96A1BAD24E7B5C4CFB" localSheetId="5" hidden="1">#REF!</definedName>
    <definedName name="BO904BCFDAB4C44A96A1BAD24E7B5C4CFB" localSheetId="3" hidden="1">#REF!</definedName>
    <definedName name="BO904BCFDAB4C44A96A1BAD24E7B5C4CFB" localSheetId="8" hidden="1">#REF!</definedName>
    <definedName name="BO904BCFDAB4C44A96A1BAD24E7B5C4CFB" localSheetId="1" hidden="1">#REF!</definedName>
    <definedName name="BO904BCFDAB4C44A96A1BAD24E7B5C4CFB" localSheetId="0" hidden="1">#REF!</definedName>
    <definedName name="BO904BCFDAB4C44A96A1BAD24E7B5C4CFB" localSheetId="6" hidden="1">#REF!</definedName>
    <definedName name="BO904BCFDAB4C44A96A1BAD24E7B5C4CFB" localSheetId="7" hidden="1">#REF!</definedName>
    <definedName name="BO904BCFDAB4C44A96A1BAD24E7B5C4CFB" hidden="1">#REF!</definedName>
    <definedName name="BO91B1C71622B84DC09FCF82790CCC6703" localSheetId="4" hidden="1">#REF!</definedName>
    <definedName name="BO91B1C71622B84DC09FCF82790CCC6703" localSheetId="5" hidden="1">#REF!</definedName>
    <definedName name="BO91B1C71622B84DC09FCF82790CCC6703" localSheetId="3" hidden="1">#REF!</definedName>
    <definedName name="BO91B1C71622B84DC09FCF82790CCC6703" localSheetId="8" hidden="1">#REF!</definedName>
    <definedName name="BO91B1C71622B84DC09FCF82790CCC6703" localSheetId="1" hidden="1">#REF!</definedName>
    <definedName name="BO91B1C71622B84DC09FCF82790CCC6703" localSheetId="0" hidden="1">#REF!</definedName>
    <definedName name="BO91B1C71622B84DC09FCF82790CCC6703" localSheetId="6" hidden="1">#REF!</definedName>
    <definedName name="BO91B1C71622B84DC09FCF82790CCC6703" localSheetId="7" hidden="1">#REF!</definedName>
    <definedName name="BO91B1C71622B84DC09FCF82790CCC6703" hidden="1">#REF!</definedName>
    <definedName name="BO9268349F1CCF49DEB0561574CF57C558" localSheetId="4" hidden="1">#REF!</definedName>
    <definedName name="BO9268349F1CCF49DEB0561574CF57C558" localSheetId="5" hidden="1">#REF!</definedName>
    <definedName name="BO9268349F1CCF49DEB0561574CF57C558" localSheetId="3" hidden="1">#REF!</definedName>
    <definedName name="BO9268349F1CCF49DEB0561574CF57C558" localSheetId="8" hidden="1">#REF!</definedName>
    <definedName name="BO9268349F1CCF49DEB0561574CF57C558" localSheetId="1" hidden="1">#REF!</definedName>
    <definedName name="BO9268349F1CCF49DEB0561574CF57C558" localSheetId="0" hidden="1">#REF!</definedName>
    <definedName name="BO9268349F1CCF49DEB0561574CF57C558" localSheetId="6" hidden="1">#REF!</definedName>
    <definedName name="BO9268349F1CCF49DEB0561574CF57C558" localSheetId="7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4" hidden="1">#REF!</definedName>
    <definedName name="BOA12F3EEDA20B4FD9B8C4F5748C7E15C6" localSheetId="5" hidden="1">#REF!</definedName>
    <definedName name="BOA12F3EEDA20B4FD9B8C4F5748C7E15C6" localSheetId="3" hidden="1">#REF!</definedName>
    <definedName name="BOA12F3EEDA20B4FD9B8C4F5748C7E15C6" localSheetId="8" hidden="1">#REF!</definedName>
    <definedName name="BOA12F3EEDA20B4FD9B8C4F5748C7E15C6" localSheetId="1" hidden="1">#REF!</definedName>
    <definedName name="BOA12F3EEDA20B4FD9B8C4F5748C7E15C6" localSheetId="0" hidden="1">#REF!</definedName>
    <definedName name="BOA12F3EEDA20B4FD9B8C4F5748C7E15C6" localSheetId="6" hidden="1">#REF!</definedName>
    <definedName name="BOA12F3EEDA20B4FD9B8C4F5748C7E15C6" localSheetId="7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4" hidden="1">#REF!</definedName>
    <definedName name="BOAAB11C84339D4299BFC1AA6D04698F2A" localSheetId="5" hidden="1">#REF!</definedName>
    <definedName name="BOAAB11C84339D4299BFC1AA6D04698F2A" localSheetId="3" hidden="1">#REF!</definedName>
    <definedName name="BOAAB11C84339D4299BFC1AA6D04698F2A" localSheetId="8" hidden="1">#REF!</definedName>
    <definedName name="BOAAB11C84339D4299BFC1AA6D04698F2A" localSheetId="1" hidden="1">#REF!</definedName>
    <definedName name="BOAAB11C84339D4299BFC1AA6D04698F2A" localSheetId="0" hidden="1">#REF!</definedName>
    <definedName name="BOAAB11C84339D4299BFC1AA6D04698F2A" localSheetId="6" hidden="1">#REF!</definedName>
    <definedName name="BOAAB11C84339D4299BFC1AA6D04698F2A" localSheetId="7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4" hidden="1">#REF!</definedName>
    <definedName name="BOB61F1D7767114687812A69756748869E" localSheetId="5" hidden="1">#REF!</definedName>
    <definedName name="BOB61F1D7767114687812A69756748869E" localSheetId="3" hidden="1">#REF!</definedName>
    <definedName name="BOB61F1D7767114687812A69756748869E" localSheetId="8" hidden="1">#REF!</definedName>
    <definedName name="BOB61F1D7767114687812A69756748869E" localSheetId="1" hidden="1">#REF!</definedName>
    <definedName name="BOB61F1D7767114687812A69756748869E" localSheetId="0" hidden="1">#REF!</definedName>
    <definedName name="BOB61F1D7767114687812A69756748869E" localSheetId="6" hidden="1">#REF!</definedName>
    <definedName name="BOB61F1D7767114687812A69756748869E" localSheetId="7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4" hidden="1">#REF!</definedName>
    <definedName name="BOBD17ACF591A04BA2A7F3EA73A1F5EFD0" localSheetId="5" hidden="1">#REF!</definedName>
    <definedName name="BOBD17ACF591A04BA2A7F3EA73A1F5EFD0" localSheetId="3" hidden="1">#REF!</definedName>
    <definedName name="BOBD17ACF591A04BA2A7F3EA73A1F5EFD0" localSheetId="8" hidden="1">#REF!</definedName>
    <definedName name="BOBD17ACF591A04BA2A7F3EA73A1F5EFD0" localSheetId="1" hidden="1">#REF!</definedName>
    <definedName name="BOBD17ACF591A04BA2A7F3EA73A1F5EFD0" localSheetId="0" hidden="1">#REF!</definedName>
    <definedName name="BOBD17ACF591A04BA2A7F3EA73A1F5EFD0" localSheetId="6" hidden="1">#REF!</definedName>
    <definedName name="BOBD17ACF591A04BA2A7F3EA73A1F5EFD0" localSheetId="7" hidden="1">#REF!</definedName>
    <definedName name="BOBD17ACF591A04BA2A7F3EA73A1F5EFD0" hidden="1">#REF!</definedName>
    <definedName name="BOBE9E067C7210472B81073CBDC8230580" localSheetId="4" hidden="1">#REF!</definedName>
    <definedName name="BOBE9E067C7210472B81073CBDC8230580" localSheetId="5" hidden="1">#REF!</definedName>
    <definedName name="BOBE9E067C7210472B81073CBDC8230580" localSheetId="3" hidden="1">#REF!</definedName>
    <definedName name="BOBE9E067C7210472B81073CBDC8230580" localSheetId="8" hidden="1">#REF!</definedName>
    <definedName name="BOBE9E067C7210472B81073CBDC8230580" localSheetId="1" hidden="1">#REF!</definedName>
    <definedName name="BOBE9E067C7210472B81073CBDC8230580" localSheetId="0" hidden="1">#REF!</definedName>
    <definedName name="BOBE9E067C7210472B81073CBDC8230580" localSheetId="6" hidden="1">#REF!</definedName>
    <definedName name="BOBE9E067C7210472B81073CBDC8230580" localSheetId="7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4" hidden="1">#REF!</definedName>
    <definedName name="BOCCF334A9BDB64C2697AE9352A937B6E5" localSheetId="5" hidden="1">#REF!</definedName>
    <definedName name="BOCCF334A9BDB64C2697AE9352A937B6E5" localSheetId="3" hidden="1">#REF!</definedName>
    <definedName name="BOCCF334A9BDB64C2697AE9352A937B6E5" localSheetId="8" hidden="1">#REF!</definedName>
    <definedName name="BOCCF334A9BDB64C2697AE9352A937B6E5" localSheetId="1" hidden="1">#REF!</definedName>
    <definedName name="BOCCF334A9BDB64C2697AE9352A937B6E5" localSheetId="0" hidden="1">#REF!</definedName>
    <definedName name="BOCCF334A9BDB64C2697AE9352A937B6E5" localSheetId="6" hidden="1">#REF!</definedName>
    <definedName name="BOCCF334A9BDB64C2697AE9352A937B6E5" localSheetId="7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4" hidden="1">#REF!</definedName>
    <definedName name="BOD0382903153C4298A06C72FB4C2F82BC" localSheetId="5" hidden="1">#REF!</definedName>
    <definedName name="BOD0382903153C4298A06C72FB4C2F82BC" localSheetId="3" hidden="1">#REF!</definedName>
    <definedName name="BOD0382903153C4298A06C72FB4C2F82BC" localSheetId="8" hidden="1">#REF!</definedName>
    <definedName name="BOD0382903153C4298A06C72FB4C2F82BC" localSheetId="1" hidden="1">#REF!</definedName>
    <definedName name="BOD0382903153C4298A06C72FB4C2F82BC" localSheetId="0" hidden="1">#REF!</definedName>
    <definedName name="BOD0382903153C4298A06C72FB4C2F82BC" localSheetId="6" hidden="1">#REF!</definedName>
    <definedName name="BOD0382903153C4298A06C72FB4C2F82BC" localSheetId="7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4" hidden="1">#REF!</definedName>
    <definedName name="BOD4D26CA1C52F43BDBE4F64A3B560F6ED" localSheetId="5" hidden="1">#REF!</definedName>
    <definedName name="BOD4D26CA1C52F43BDBE4F64A3B560F6ED" localSheetId="3" hidden="1">#REF!</definedName>
    <definedName name="BOD4D26CA1C52F43BDBE4F64A3B560F6ED" localSheetId="8" hidden="1">#REF!</definedName>
    <definedName name="BOD4D26CA1C52F43BDBE4F64A3B560F6ED" localSheetId="1" hidden="1">#REF!</definedName>
    <definedName name="BOD4D26CA1C52F43BDBE4F64A3B560F6ED" localSheetId="0" hidden="1">#REF!</definedName>
    <definedName name="BOD4D26CA1C52F43BDBE4F64A3B560F6ED" localSheetId="6" hidden="1">#REF!</definedName>
    <definedName name="BOD4D26CA1C52F43BDBE4F64A3B560F6ED" localSheetId="7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4" hidden="1">#REF!</definedName>
    <definedName name="BOD789790B96514DC59042719B5805E3D6" localSheetId="5" hidden="1">#REF!</definedName>
    <definedName name="BOD789790B96514DC59042719B5805E3D6" localSheetId="3" hidden="1">#REF!</definedName>
    <definedName name="BOD789790B96514DC59042719B5805E3D6" localSheetId="8" hidden="1">#REF!</definedName>
    <definedName name="BOD789790B96514DC59042719B5805E3D6" localSheetId="1" hidden="1">#REF!</definedName>
    <definedName name="BOD789790B96514DC59042719B5805E3D6" localSheetId="0" hidden="1">#REF!</definedName>
    <definedName name="BOD789790B96514DC59042719B5805E3D6" localSheetId="6" hidden="1">#REF!</definedName>
    <definedName name="BOD789790B96514DC59042719B5805E3D6" localSheetId="7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4" hidden="1">#REF!</definedName>
    <definedName name="BOE84FCC406C184191AFE42CCF04997FEE" localSheetId="5" hidden="1">#REF!</definedName>
    <definedName name="BOE84FCC406C184191AFE42CCF04997FEE" localSheetId="3" hidden="1">#REF!</definedName>
    <definedName name="BOE84FCC406C184191AFE42CCF04997FEE" localSheetId="8" hidden="1">#REF!</definedName>
    <definedName name="BOE84FCC406C184191AFE42CCF04997FEE" localSheetId="1" hidden="1">#REF!</definedName>
    <definedName name="BOE84FCC406C184191AFE42CCF04997FEE" localSheetId="0" hidden="1">#REF!</definedName>
    <definedName name="BOE84FCC406C184191AFE42CCF04997FEE" localSheetId="6" hidden="1">#REF!</definedName>
    <definedName name="BOE84FCC406C184191AFE42CCF04997FEE" localSheetId="7" hidden="1">#REF!</definedName>
    <definedName name="BOE84FCC406C184191AFE42CCF04997FEE" hidden="1">#REF!</definedName>
    <definedName name="BOE8C9C3ED265B48589109A08A9505A1D1" localSheetId="4" hidden="1">#REF!</definedName>
    <definedName name="BOE8C9C3ED265B48589109A08A9505A1D1" localSheetId="5" hidden="1">#REF!</definedName>
    <definedName name="BOE8C9C3ED265B48589109A08A9505A1D1" localSheetId="3" hidden="1">#REF!</definedName>
    <definedName name="BOE8C9C3ED265B48589109A08A9505A1D1" localSheetId="8" hidden="1">#REF!</definedName>
    <definedName name="BOE8C9C3ED265B48589109A08A9505A1D1" localSheetId="1" hidden="1">#REF!</definedName>
    <definedName name="BOE8C9C3ED265B48589109A08A9505A1D1" localSheetId="0" hidden="1">#REF!</definedName>
    <definedName name="BOE8C9C3ED265B48589109A08A9505A1D1" localSheetId="6" hidden="1">#REF!</definedName>
    <definedName name="BOE8C9C3ED265B48589109A08A9505A1D1" localSheetId="7" hidden="1">#REF!</definedName>
    <definedName name="BOE8C9C3ED265B48589109A08A9505A1D1" hidden="1">#REF!</definedName>
    <definedName name="BOEAFDF322262145CB86BF48DC1DB6B5A2" localSheetId="4" hidden="1">#REF!</definedName>
    <definedName name="BOEAFDF322262145CB86BF48DC1DB6B5A2" localSheetId="5" hidden="1">#REF!</definedName>
    <definedName name="BOEAFDF322262145CB86BF48DC1DB6B5A2" localSheetId="3" hidden="1">#REF!</definedName>
    <definedName name="BOEAFDF322262145CB86BF48DC1DB6B5A2" localSheetId="8" hidden="1">#REF!</definedName>
    <definedName name="BOEAFDF322262145CB86BF48DC1DB6B5A2" localSheetId="1" hidden="1">#REF!</definedName>
    <definedName name="BOEAFDF322262145CB86BF48DC1DB6B5A2" localSheetId="0" hidden="1">#REF!</definedName>
    <definedName name="BOEAFDF322262145CB86BF48DC1DB6B5A2" localSheetId="6" hidden="1">#REF!</definedName>
    <definedName name="BOEAFDF322262145CB86BF48DC1DB6B5A2" localSheetId="7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4" hidden="1">#REF!</definedName>
    <definedName name="BOF2EBB03F32CB43D982795A06A0CE7F14" localSheetId="5" hidden="1">#REF!</definedName>
    <definedName name="BOF2EBB03F32CB43D982795A06A0CE7F14" localSheetId="3" hidden="1">#REF!</definedName>
    <definedName name="BOF2EBB03F32CB43D982795A06A0CE7F14" localSheetId="8" hidden="1">#REF!</definedName>
    <definedName name="BOF2EBB03F32CB43D982795A06A0CE7F14" localSheetId="1" hidden="1">#REF!</definedName>
    <definedName name="BOF2EBB03F32CB43D982795A06A0CE7F14" localSheetId="0" hidden="1">#REF!</definedName>
    <definedName name="BOF2EBB03F32CB43D982795A06A0CE7F14" localSheetId="6" hidden="1">#REF!</definedName>
    <definedName name="BOF2EBB03F32CB43D982795A06A0CE7F14" localSheetId="7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4" hidden="1">#REF!</definedName>
    <definedName name="BOF3F8EC36F0584B21B040E4FAE9B8810F" localSheetId="5" hidden="1">#REF!</definedName>
    <definedName name="BOF3F8EC36F0584B21B040E4FAE9B8810F" localSheetId="3" hidden="1">#REF!</definedName>
    <definedName name="BOF3F8EC36F0584B21B040E4FAE9B8810F" localSheetId="8" hidden="1">#REF!</definedName>
    <definedName name="BOF3F8EC36F0584B21B040E4FAE9B8810F" localSheetId="1" hidden="1">#REF!</definedName>
    <definedName name="BOF3F8EC36F0584B21B040E4FAE9B8810F" localSheetId="0" hidden="1">#REF!</definedName>
    <definedName name="BOF3F8EC36F0584B21B040E4FAE9B8810F" localSheetId="6" hidden="1">#REF!</definedName>
    <definedName name="BOF3F8EC36F0584B21B040E4FAE9B8810F" localSheetId="7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4" hidden="1">#REF!</definedName>
    <definedName name="BOF6C9B9EED16443ED8CB7FF99A5DBCC26" localSheetId="5" hidden="1">#REF!</definedName>
    <definedName name="BOF6C9B9EED16443ED8CB7FF99A5DBCC26" localSheetId="3" hidden="1">#REF!</definedName>
    <definedName name="BOF6C9B9EED16443ED8CB7FF99A5DBCC26" localSheetId="8" hidden="1">#REF!</definedName>
    <definedName name="BOF6C9B9EED16443ED8CB7FF99A5DBCC26" localSheetId="1" hidden="1">#REF!</definedName>
    <definedName name="BOF6C9B9EED16443ED8CB7FF99A5DBCC26" localSheetId="0" hidden="1">#REF!</definedName>
    <definedName name="BOF6C9B9EED16443ED8CB7FF99A5DBCC26" localSheetId="6" hidden="1">#REF!</definedName>
    <definedName name="BOF6C9B9EED16443ED8CB7FF99A5DBCC26" localSheetId="7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4" hidden="1">#REF!</definedName>
    <definedName name="BOFC3CE9B777E942BF8427BC366D3B0A70" localSheetId="5" hidden="1">#REF!</definedName>
    <definedName name="BOFC3CE9B777E942BF8427BC366D3B0A70" localSheetId="3" hidden="1">#REF!</definedName>
    <definedName name="BOFC3CE9B777E942BF8427BC366D3B0A70" localSheetId="8" hidden="1">#REF!</definedName>
    <definedName name="BOFC3CE9B777E942BF8427BC366D3B0A70" localSheetId="1" hidden="1">#REF!</definedName>
    <definedName name="BOFC3CE9B777E942BF8427BC366D3B0A70" localSheetId="0" hidden="1">#REF!</definedName>
    <definedName name="BOFC3CE9B777E942BF8427BC366D3B0A70" localSheetId="6" hidden="1">#REF!</definedName>
    <definedName name="BOFC3CE9B777E942BF8427BC366D3B0A70" localSheetId="7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BT">#REF!</definedName>
    <definedName name="Bust">#REF!</definedName>
    <definedName name="C_">#REF!</definedName>
    <definedName name="caccccc" localSheetId="4" hidden="1">{"'Sheet1'!$L$16"}</definedName>
    <definedName name="caccccc" localSheetId="5" hidden="1">{"'Sheet1'!$L$16"}</definedName>
    <definedName name="caccccc" localSheetId="3" hidden="1">{"'Sheet1'!$L$16"}</definedName>
    <definedName name="caccccc" localSheetId="8" hidden="1">{"'Sheet1'!$L$16"}</definedName>
    <definedName name="caccccc" localSheetId="1" hidden="1">{"'Sheet1'!$L$16"}</definedName>
    <definedName name="caccccc" localSheetId="0" hidden="1">{"'Sheet1'!$L$16"}</definedName>
    <definedName name="caccccc" localSheetId="6" hidden="1">{"'Sheet1'!$L$16"}</definedName>
    <definedName name="caccccc" localSheetId="7" hidden="1">{"'Sheet1'!$L$16"}</definedName>
    <definedName name="caccccc" hidden="1">{"'Sheet1'!$L$16"}</definedName>
    <definedName name="CAG">#REF!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R_230_01_01__Return_Goods_By_Machine">#REF!</definedName>
    <definedName name="CAR_230_01_02__Return_Goods_By_Section_Name">#REF!</definedName>
    <definedName name="CAR_240_01_01_Return_Goods_F70">#REF!</definedName>
    <definedName name="CAR_240_02_01_Return_Goods_F84">#REF!</definedName>
    <definedName name="CAR_240_03_01_Return_Goods_F85">#REF!</definedName>
    <definedName name="CAR_240_04_01_Return_Goods_F100">#REF!</definedName>
    <definedName name="CAR_240_05_01_Return_Goods_F108">#REF!</definedName>
    <definedName name="CAR_240_06_01_Return_Goods_F116">#REF!</definedName>
    <definedName name="CAR_240_07_01_Return_Goods_F109">#REF!</definedName>
    <definedName name="CAR_240_08_01_Return_Goods_F115">#REF!</definedName>
    <definedName name="CAR_240_09_01_Return_Goods_F140">#REF!</definedName>
    <definedName name="CAR_240_10_01_Return_Goods_F113">#REF!</definedName>
    <definedName name="CAR_240_11_01_Return_Goods_D_C">#REF!</definedName>
    <definedName name="CAUS1AA">#REF!</definedName>
    <definedName name="CAUS2AA">#REF!</definedName>
    <definedName name="cc">#REF!</definedName>
    <definedName name="ccc" hidden="1">{"PRINT_EST",#N/A,FALSE,"ESTMON"}</definedName>
    <definedName name="CCÑCangdung10.2" localSheetId="4" hidden="1">{"'Sheet1'!$L$16"}</definedName>
    <definedName name="CCÑCangdung10.2" localSheetId="5" hidden="1">{"'Sheet1'!$L$16"}</definedName>
    <definedName name="CCÑCangdung10.2" localSheetId="3" hidden="1">{"'Sheet1'!$L$16"}</definedName>
    <definedName name="CCÑCangdung10.2" localSheetId="8" hidden="1">{"'Sheet1'!$L$16"}</definedName>
    <definedName name="CCÑCangdung10.2" localSheetId="1" hidden="1">{"'Sheet1'!$L$16"}</definedName>
    <definedName name="CCÑCangdung10.2" localSheetId="0" hidden="1">{"'Sheet1'!$L$16"}</definedName>
    <definedName name="CCÑCangdung10.2" localSheetId="6" hidden="1">{"'Sheet1'!$L$16"}</definedName>
    <definedName name="CCÑCangdung10.2" localSheetId="7" hidden="1">{"'Sheet1'!$L$16"}</definedName>
    <definedName name="CCÑCangdung10.2" hidden="1">{"'Sheet1'!$L$16"}</definedName>
    <definedName name="CDCAA">#REF!</definedName>
    <definedName name="CEData">#REF!</definedName>
    <definedName name="CEData_Cls">#REF!</definedName>
    <definedName name="Changes">#REF!</definedName>
    <definedName name="Chart3" localSheetId="4" hidden="1">{"'Sheet1'!$L$16"}</definedName>
    <definedName name="Chart3" localSheetId="5" hidden="1">{"'Sheet1'!$L$16"}</definedName>
    <definedName name="Chart3" localSheetId="3" hidden="1">{"'Sheet1'!$L$16"}</definedName>
    <definedName name="Chart3" localSheetId="8" hidden="1">{"'Sheet1'!$L$16"}</definedName>
    <definedName name="Chart3" localSheetId="1" hidden="1">{"'Sheet1'!$L$16"}</definedName>
    <definedName name="Chart3" localSheetId="0" hidden="1">{"'Sheet1'!$L$16"}</definedName>
    <definedName name="Chart3" localSheetId="6" hidden="1">{"'Sheet1'!$L$16"}</definedName>
    <definedName name="Chart3" localSheetId="7" hidden="1">{"'Sheet1'!$L$16"}</definedName>
    <definedName name="Chart3" hidden="1">{"'Sheet1'!$L$16"}</definedName>
    <definedName name="CHDI6">#REF!</definedName>
    <definedName name="CHEAA">#REF!</definedName>
    <definedName name="check_sold_to">#REF!</definedName>
    <definedName name="CHIP16">#REF!</definedName>
    <definedName name="CHIP26">#REF!</definedName>
    <definedName name="Chiphi" localSheetId="4" hidden="1">{"'Sheet1'!$L$16"}</definedName>
    <definedName name="Chiphi" localSheetId="5" hidden="1">{"'Sheet1'!$L$16"}</definedName>
    <definedName name="Chiphi" localSheetId="3" hidden="1">{"'Sheet1'!$L$16"}</definedName>
    <definedName name="Chiphi" localSheetId="8" hidden="1">{"'Sheet1'!$L$16"}</definedName>
    <definedName name="Chiphi" localSheetId="1" hidden="1">{"'Sheet1'!$L$16"}</definedName>
    <definedName name="Chiphi" localSheetId="0" hidden="1">{"'Sheet1'!$L$16"}</definedName>
    <definedName name="Chiphi" localSheetId="6" hidden="1">{"'Sheet1'!$L$16"}</definedName>
    <definedName name="Chiphi" localSheetId="7" hidden="1">{"'Sheet1'!$L$16"}</definedName>
    <definedName name="Chiphi" hidden="1">{"'Sheet1'!$L$16"}</definedName>
    <definedName name="CHLAA">#REF!</definedName>
    <definedName name="CHLDAA">#REF!</definedName>
    <definedName name="CHLOR6">#REF!</definedName>
    <definedName name="CHOP1AA">#REF!</definedName>
    <definedName name="CHOP2AA">#REF!</definedName>
    <definedName name="CIQWBGuid" hidden="1">"31f98984-787e-48fc-adc8-ee1c3151ce60"</definedName>
    <definedName name="class0xx_1xx">#REF!</definedName>
    <definedName name="class0xx_2xx">#REF!</definedName>
    <definedName name="class0xx_3xx">#REF!</definedName>
    <definedName name="class1xx_1xx">#REF!</definedName>
    <definedName name="class1xx_2xx">#REF!</definedName>
    <definedName name="class1xx_3xx">#REF!</definedName>
    <definedName name="class2xx_1xx">#REF!</definedName>
    <definedName name="class2xx_2xx">#REF!</definedName>
    <definedName name="class2xx_3xx">#REF!</definedName>
    <definedName name="class2xx_AdjDP">#REF!</definedName>
    <definedName name="class3xx_1xx">#REF!</definedName>
    <definedName name="class3xx_2xx">#REF!</definedName>
    <definedName name="class3xx_3xx">#REF!</definedName>
    <definedName name="class4xx_1xx">#REF!</definedName>
    <definedName name="class4xx_2xx">#REF!</definedName>
    <definedName name="class4xx_3xx">#REF!</definedName>
    <definedName name="class6xx_1xx">#REF!</definedName>
    <definedName name="class6xx_2xx">#REF!</definedName>
    <definedName name="class6xx_3xx">#REF!</definedName>
    <definedName name="class6xx_AUC">#REF!</definedName>
    <definedName name="classAUC_1xx">#REF!</definedName>
    <definedName name="classAUC_2xx">#REF!</definedName>
    <definedName name="classAUC_3xx">#REF!</definedName>
    <definedName name="classAUC_adj">#REF!</definedName>
    <definedName name="classAUC_toIntengible">#REF!</definedName>
    <definedName name="classDown_1xx">#REF!</definedName>
    <definedName name="classDown_2xx">#REF!</definedName>
    <definedName name="classDown_3xx">#REF!</definedName>
    <definedName name="ClsBalCrVND">#REF!</definedName>
    <definedName name="ClsBalDrVND">#REF!</definedName>
    <definedName name="COA_SelectAll">#REF!</definedName>
    <definedName name="Code" hidden="1">#REF!</definedName>
    <definedName name="Code_CCtr_Ele_ExAA">#REF!</definedName>
    <definedName name="Code_CCtr_Ele_ExIO">#REF!</definedName>
    <definedName name="Code_CCtr_Ele_License">#REF!</definedName>
    <definedName name="Code_CCtr_Ele_NewCE">#REF!</definedName>
    <definedName name="Com">#REF!</definedName>
    <definedName name="CONTB">#REF!</definedName>
    <definedName name="CONTBT">#REF!</definedName>
    <definedName name="Continue">#REF!</definedName>
    <definedName name="COPY_YTD">#N/A</definedName>
    <definedName name="COTO6">#REF!</definedName>
    <definedName name="CP" localSheetId="4" hidden="1">{"'Sheet1'!$L$16"}</definedName>
    <definedName name="CP" localSheetId="5" hidden="1">{"'Sheet1'!$L$16"}</definedName>
    <definedName name="CP" localSheetId="3" hidden="1">{"'Sheet1'!$L$16"}</definedName>
    <definedName name="CP" localSheetId="8" hidden="1">{"'Sheet1'!$L$16"}</definedName>
    <definedName name="CP" localSheetId="1" hidden="1">{"'Sheet1'!$L$16"}</definedName>
    <definedName name="CP" localSheetId="0" hidden="1">{"'Sheet1'!$L$16"}</definedName>
    <definedName name="CP" localSheetId="6" hidden="1">{"'Sheet1'!$L$16"}</definedName>
    <definedName name="CP" localSheetId="7" hidden="1">{"'Sheet1'!$L$16"}</definedName>
    <definedName name="CP" hidden="1">{"'Sheet1'!$L$16"}</definedName>
    <definedName name="cq">#REF!</definedName>
    <definedName name="_xlnm.Criteria">#REF!</definedName>
    <definedName name="CT" localSheetId="4" hidden="1">{#N/A,#N/A,TRUE,"BT M200 da 10x20"}</definedName>
    <definedName name="CT" localSheetId="5" hidden="1">{#N/A,#N/A,TRUE,"BT M200 da 10x20"}</definedName>
    <definedName name="CT" localSheetId="3" hidden="1">{#N/A,#N/A,TRUE,"BT M200 da 10x20"}</definedName>
    <definedName name="CT" localSheetId="8" hidden="1">{#N/A,#N/A,TRUE,"BT M200 da 10x20"}</definedName>
    <definedName name="CT" localSheetId="1" hidden="1">{#N/A,#N/A,TRUE,"BT M200 da 10x20"}</definedName>
    <definedName name="CT" localSheetId="0" hidden="1">{#N/A,#N/A,TRUE,"BT M200 da 10x20"}</definedName>
    <definedName name="CT" localSheetId="6" hidden="1">{#N/A,#N/A,TRUE,"BT M200 da 10x20"}</definedName>
    <definedName name="CT" localSheetId="7" hidden="1">{#N/A,#N/A,TRUE,"BT M200 da 10x20"}</definedName>
    <definedName name="CT" hidden="1">{#N/A,#N/A,TRUE,"BT M200 da 10x20"}</definedName>
    <definedName name="Ctl_Account">#REF!</definedName>
    <definedName name="CTOWER6">#REF!</definedName>
    <definedName name="CUR">#REF!</definedName>
    <definedName name="CUR_SUM">#REF!</definedName>
    <definedName name="CURA">#REF!</definedName>
    <definedName name="CURI">#REF!</definedName>
    <definedName name="Curr_M">#REF!</definedName>
    <definedName name="Current">#REF!</definedName>
    <definedName name="CurrM">#REF!</definedName>
    <definedName name="CurrM_day">#REF!</definedName>
    <definedName name="CurrY">#REF!</definedName>
    <definedName name="CustList">#REF!</definedName>
    <definedName name="CustomerId">#REF!</definedName>
    <definedName name="CustomerName">#REF!</definedName>
    <definedName name="CWF">#REF!</definedName>
    <definedName name="d" hidden="1">#REF!</definedName>
    <definedName name="da" localSheetId="4" hidden="1">{"'Sheet1'!$L$16"}</definedName>
    <definedName name="da" localSheetId="5" hidden="1">{"'Sheet1'!$L$16"}</definedName>
    <definedName name="da" localSheetId="3" hidden="1">{"'Sheet1'!$L$16"}</definedName>
    <definedName name="da" localSheetId="8" hidden="1">{"'Sheet1'!$L$16"}</definedName>
    <definedName name="da" localSheetId="1" hidden="1">{"'Sheet1'!$L$16"}</definedName>
    <definedName name="da" localSheetId="0" hidden="1">{"'Sheet1'!$L$16"}</definedName>
    <definedName name="da" localSheetId="6" hidden="1">{"'Sheet1'!$L$16"}</definedName>
    <definedName name="da" localSheetId="7" hidden="1">{"'Sheet1'!$L$16"}</definedName>
    <definedName name="da" hidden="1">{"'Sheet1'!$L$16"}</definedName>
    <definedName name="data">#REF!</definedName>
    <definedName name="data_for_credit_limit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bo_CustomerSalesData">#REF!</definedName>
    <definedName name="d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4" hidden="1">{"'Sheet1'!$L$16"}</definedName>
    <definedName name="ddd" localSheetId="5" hidden="1">{"'Sheet1'!$L$16"}</definedName>
    <definedName name="ddd" localSheetId="3" hidden="1">{"'Sheet1'!$L$16"}</definedName>
    <definedName name="ddd" localSheetId="8" hidden="1">{"'Sheet1'!$L$16"}</definedName>
    <definedName name="ddd" localSheetId="1" hidden="1">{"'Sheet1'!$L$16"}</definedName>
    <definedName name="ddd" localSheetId="0" hidden="1">{"'Sheet1'!$L$16"}</definedName>
    <definedName name="ddd" localSheetId="6" hidden="1">{"'Sheet1'!$L$16"}</definedName>
    <definedName name="ddd" localSheetId="7" hidden="1">{"'Sheet1'!$L$16"}</definedName>
    <definedName name="ddd" hidden="1">{"'Sheet1'!$L$16"}</definedName>
    <definedName name="DEBARK26">#REF!</definedName>
    <definedName name="DEBARKAA">#REF!</definedName>
    <definedName name="DEC">#REF!</definedName>
    <definedName name="DenDK" localSheetId="4" hidden="1">{"'Sheet1'!$L$16"}</definedName>
    <definedName name="DenDK" localSheetId="5" hidden="1">{"'Sheet1'!$L$16"}</definedName>
    <definedName name="DenDK" localSheetId="3" hidden="1">{"'Sheet1'!$L$16"}</definedName>
    <definedName name="DenDK" localSheetId="8" hidden="1">{"'Sheet1'!$L$16"}</definedName>
    <definedName name="DenDK" localSheetId="1" hidden="1">{"'Sheet1'!$L$16"}</definedName>
    <definedName name="DenDK" localSheetId="0" hidden="1">{"'Sheet1'!$L$16"}</definedName>
    <definedName name="DenDK" localSheetId="6" hidden="1">{"'Sheet1'!$L$16"}</definedName>
    <definedName name="DenDK" localSheetId="7" hidden="1">{"'Sheet1'!$L$16"}</definedName>
    <definedName name="DenDK" hidden="1">{"'Sheet1'!$L$16"}</definedName>
    <definedName name="Depr._2004">#REF!</definedName>
    <definedName name="Depr._2005">#REF!</definedName>
    <definedName name="Depr._2006">#REF!</definedName>
    <definedName name="Depr._2007">#REF!</definedName>
    <definedName name="Depr._2008">#REF!</definedName>
    <definedName name="Depr._2009">#REF!</definedName>
    <definedName name="DEPSAA">#REF!</definedName>
    <definedName name="deryhrfm" localSheetId="4" hidden="1">{"'Sheet1'!$L$16"}</definedName>
    <definedName name="deryhrfm" localSheetId="5" hidden="1">{"'Sheet1'!$L$16"}</definedName>
    <definedName name="deryhrfm" localSheetId="3" hidden="1">{"'Sheet1'!$L$16"}</definedName>
    <definedName name="deryhrfm" localSheetId="8" hidden="1">{"'Sheet1'!$L$16"}</definedName>
    <definedName name="deryhrfm" localSheetId="1" hidden="1">{"'Sheet1'!$L$16"}</definedName>
    <definedName name="deryhrfm" localSheetId="0" hidden="1">{"'Sheet1'!$L$16"}</definedName>
    <definedName name="deryhrfm" localSheetId="6" hidden="1">{"'Sheet1'!$L$16"}</definedName>
    <definedName name="deryhrfm" localSheetId="7" hidden="1">{"'Sheet1'!$L$16"}</definedName>
    <definedName name="deryhrfm" hidden="1">{"'Sheet1'!$L$16"}</definedName>
    <definedName name="df" hidden="1">#REF!</definedName>
    <definedName name="dfdsfsdfds" localSheetId="4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3" hidden="1">{"HK PR",#N/A,FALSE,"HK";"SUMMARY",#N/A,FALSE,"PAYROLL";"SUMMARY",#N/A,FALSE,"PAYROLL";"HK PR",#N/A,FALSE,"HK"}</definedName>
    <definedName name="dfdsfsdfds" localSheetId="8" hidden="1">{"HK PR",#N/A,FALSE,"HK";"SUMMARY",#N/A,FALSE,"PAYROLL";"SUMMARY",#N/A,FALSE,"PAYROLL";"HK PR",#N/A,FALSE,"HK"}</definedName>
    <definedName name="dfdsfsdfds" localSheetId="1" hidden="1">{"HK PR",#N/A,FALSE,"HK";"SUMMARY",#N/A,FALSE,"PAYROLL";"SUMMARY",#N/A,FALSE,"PAYROLL";"HK PR",#N/A,FALSE,"HK"}</definedName>
    <definedName name="dfdsfsdfds" localSheetId="0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localSheetId="7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4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3" hidden="1">{"HK PR",#N/A,FALSE,"HK";"SUMMARY",#N/A,FALSE,"PAYROLL";"SUMMARY",#N/A,FALSE,"PAYROLL";"HK PR",#N/A,FALSE,"HK"}</definedName>
    <definedName name="dfsd" localSheetId="8" hidden="1">{"HK PR",#N/A,FALSE,"HK";"SUMMARY",#N/A,FALSE,"PAYROLL";"SUMMARY",#N/A,FALSE,"PAYROLL";"HK PR",#N/A,FALSE,"HK"}</definedName>
    <definedName name="dfsd" localSheetId="1" hidden="1">{"HK PR",#N/A,FALSE,"HK";"SUMMARY",#N/A,FALSE,"PAYROLL";"SUMMARY",#N/A,FALSE,"PAYROLL";"HK PR",#N/A,FALSE,"HK"}</definedName>
    <definedName name="dfsd" localSheetId="0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localSheetId="7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4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3" hidden="1">{"HK PR",#N/A,FALSE,"HK";"SUMMARY",#N/A,FALSE,"PAYROLL";"SUMMARY",#N/A,FALSE,"PAYROLL";"HK PR",#N/A,FALSE,"HK"}</definedName>
    <definedName name="dfsdfsdf" localSheetId="8" hidden="1">{"HK PR",#N/A,FALSE,"HK";"SUMMARY",#N/A,FALSE,"PAYROLL";"SUMMARY",#N/A,FALSE,"PAYROLL";"HK PR",#N/A,FALSE,"HK"}</definedName>
    <definedName name="dfsdfsdf" localSheetId="1" hidden="1">{"HK PR",#N/A,FALSE,"HK";"SUMMARY",#N/A,FALSE,"PAYROLL";"SUMMARY",#N/A,FALSE,"PAYROLL";"HK PR",#N/A,FALSE,"HK"}</definedName>
    <definedName name="dfsdfsdf" localSheetId="0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localSheetId="7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4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3" hidden="1">{"HK PR",#N/A,FALSE,"HK";"SUMMARY",#N/A,FALSE,"PAYROLL";"SUMMARY",#N/A,FALSE,"PAYROLL";"HK PR",#N/A,FALSE,"HK"}</definedName>
    <definedName name="dfsdsd" localSheetId="8" hidden="1">{"HK PR",#N/A,FALSE,"HK";"SUMMARY",#N/A,FALSE,"PAYROLL";"SUMMARY",#N/A,FALSE,"PAYROLL";"HK PR",#N/A,FALSE,"HK"}</definedName>
    <definedName name="dfsdsd" localSheetId="1" hidden="1">{"HK PR",#N/A,FALSE,"HK";"SUMMARY",#N/A,FALSE,"PAYROLL";"SUMMARY",#N/A,FALSE,"PAYROLL";"HK PR",#N/A,FALSE,"HK"}</definedName>
    <definedName name="dfsdsd" localSheetId="0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localSheetId="7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fsg">#REF!</definedName>
    <definedName name="DGFDGJEROYTMHTRH" localSheetId="4" hidden="1">{#N/A,#N/A,TRUE,"BT M200 da 10x20"}</definedName>
    <definedName name="DGFDGJEROYTMHTRH" localSheetId="5" hidden="1">{#N/A,#N/A,TRUE,"BT M200 da 10x20"}</definedName>
    <definedName name="DGFDGJEROYTMHTRH" localSheetId="3" hidden="1">{#N/A,#N/A,TRUE,"BT M200 da 10x20"}</definedName>
    <definedName name="DGFDGJEROYTMHTRH" localSheetId="8" hidden="1">{#N/A,#N/A,TRUE,"BT M200 da 10x20"}</definedName>
    <definedName name="DGFDGJEROYTMHTRH" localSheetId="1" hidden="1">{#N/A,#N/A,TRUE,"BT M200 da 10x20"}</definedName>
    <definedName name="DGFDGJEROYTMHTRH" localSheetId="0" hidden="1">{#N/A,#N/A,TRUE,"BT M200 da 10x20"}</definedName>
    <definedName name="DGFDGJEROYTMHTRH" localSheetId="6" hidden="1">{#N/A,#N/A,TRUE,"BT M200 da 10x20"}</definedName>
    <definedName name="DGFDGJEROYTMHTRH" localSheetId="7" hidden="1">{#N/A,#N/A,TRUE,"BT M200 da 10x20"}</definedName>
    <definedName name="DGFDGJEROYTMHTRH" hidden="1">{#N/A,#N/A,TRUE,"BT M200 da 10x20"}</definedName>
    <definedName name="DiabanQL">#REF!</definedName>
    <definedName name="DIG1AA">#REF!</definedName>
    <definedName name="DIG2AA">#REF!</definedName>
    <definedName name="Discount" hidden="1">#REF!</definedName>
    <definedName name="display_area_2" hidden="1">#REF!</definedName>
    <definedName name="djt" localSheetId="4" hidden="1">{"'Sheet1'!$L$16"}</definedName>
    <definedName name="djt" localSheetId="5" hidden="1">{"'Sheet1'!$L$16"}</definedName>
    <definedName name="djt" localSheetId="3" hidden="1">{"'Sheet1'!$L$16"}</definedName>
    <definedName name="djt" localSheetId="8" hidden="1">{"'Sheet1'!$L$16"}</definedName>
    <definedName name="djt" localSheetId="1" hidden="1">{"'Sheet1'!$L$16"}</definedName>
    <definedName name="djt" localSheetId="0" hidden="1">{"'Sheet1'!$L$16"}</definedName>
    <definedName name="djt" localSheetId="6" hidden="1">{"'Sheet1'!$L$16"}</definedName>
    <definedName name="djt" localSheetId="7" hidden="1">{"'Sheet1'!$L$16"}</definedName>
    <definedName name="djt" hidden="1">{"'Sheet1'!$L$16"}</definedName>
    <definedName name="DM2AA">#REF!</definedName>
    <definedName name="DMD">#REF!</definedName>
    <definedName name="DMKH">#REF!</definedName>
    <definedName name="DN" hidden="1">#REF!</definedName>
    <definedName name="Documents_array">#REF!</definedName>
    <definedName name="down_180">#REF!</definedName>
    <definedName name="down_181">#REF!</definedName>
    <definedName name="DP_CE2005">#REF!</definedName>
    <definedName name="DP_CE2006">#REF!</definedName>
    <definedName name="DP_CE2007">#REF!</definedName>
    <definedName name="DP_CE2008">#REF!</definedName>
    <definedName name="DP_CE2009">#REF!</definedName>
    <definedName name="DP_ExAA_Year">#REF!</definedName>
    <definedName name="DP_ExCE_Year">#REF!</definedName>
    <definedName name="DP_License_Year">#REF!</definedName>
    <definedName name="DP_NewCE_Year">#REF!</definedName>
    <definedName name="DRAWAA">#REF!</definedName>
    <definedName name="DRAWING6">#REF!</definedName>
    <definedName name="ds\" hidden="1">#REF!</definedName>
    <definedName name="dsad" localSheetId="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4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dgf">#REF!</definedName>
    <definedName name="dsovd" localSheetId="4" hidden="1">{"'Sheet1'!$L$16"}</definedName>
    <definedName name="dsovd" localSheetId="5" hidden="1">{"'Sheet1'!$L$16"}</definedName>
    <definedName name="dsovd" localSheetId="3" hidden="1">{"'Sheet1'!$L$16"}</definedName>
    <definedName name="dsovd" localSheetId="8" hidden="1">{"'Sheet1'!$L$16"}</definedName>
    <definedName name="dsovd" localSheetId="1" hidden="1">{"'Sheet1'!$L$16"}</definedName>
    <definedName name="dsovd" localSheetId="0" hidden="1">{"'Sheet1'!$L$16"}</definedName>
    <definedName name="dsovd" localSheetId="6" hidden="1">{"'Sheet1'!$L$16"}</definedName>
    <definedName name="dsovd" localSheetId="7" hidden="1">{"'Sheet1'!$L$16"}</definedName>
    <definedName name="dsovd" hidden="1">{"'Sheet1'!$L$16"}</definedName>
    <definedName name="DUST16">#REF!</definedName>
    <definedName name="DUSTAA">#REF!</definedName>
    <definedName name="DWPRICE" localSheetId="4" hidden="1">#REF!</definedName>
    <definedName name="DWPRICE" localSheetId="5" hidden="1">#REF!</definedName>
    <definedName name="DWPRICE" localSheetId="3" hidden="1">#REF!</definedName>
    <definedName name="DWPRICE" localSheetId="8" hidden="1">#REF!</definedName>
    <definedName name="DWPRICE" localSheetId="1" hidden="1">#REF!</definedName>
    <definedName name="DWPRICE" localSheetId="0" hidden="1">#REF!</definedName>
    <definedName name="DWPRICE" localSheetId="6" hidden="1">#REF!</definedName>
    <definedName name="DWPRICE" localSheetId="7" hidden="1">#REF!</definedName>
    <definedName name="DWPRICE" hidden="1">#REF!</definedName>
    <definedName name="E">#REF!</definedName>
    <definedName name="eee" hidden="1">{"revsale",#N/A,FALSE,"REV-ยุพดี"}</definedName>
    <definedName name="EFFTAA">#REF!</definedName>
    <definedName name="ELECAA">#REF!</definedName>
    <definedName name="ENVAA">#REF!</definedName>
    <definedName name="Escalation">#REF!</definedName>
    <definedName name="Escalation2001">#REF!</definedName>
    <definedName name="ESTATE6">#REF!</definedName>
    <definedName name="ESTATEAA">#REF!</definedName>
    <definedName name="EVAP2AA">#REF!</definedName>
    <definedName name="EVAPAA">#REF!</definedName>
    <definedName name="EVOLUTION_DES_ROI" localSheetId="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XP????PI_SKIC">#REF!</definedName>
    <definedName name="EXPเกินPI_SKIC">#REF!</definedName>
    <definedName name="f" hidden="1">{"index",#N/A,FALSE,"INDEX"}</definedName>
    <definedName name="FCode" hidden="1">#REF!</definedName>
    <definedName name="fdfdf" localSheetId="4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3" hidden="1">{"HK PR",#N/A,FALSE,"HK";"SUMMARY",#N/A,FALSE,"PAYROLL";"SUMMARY",#N/A,FALSE,"PAYROLL";"HK PR",#N/A,FALSE,"HK"}</definedName>
    <definedName name="fdfdf" localSheetId="8" hidden="1">{"HK PR",#N/A,FALSE,"HK";"SUMMARY",#N/A,FALSE,"PAYROLL";"SUMMARY",#N/A,FALSE,"PAYROLL";"HK PR",#N/A,FALSE,"HK"}</definedName>
    <definedName name="fdfdf" localSheetId="1" hidden="1">{"HK PR",#N/A,FALSE,"HK";"SUMMARY",#N/A,FALSE,"PAYROLL";"SUMMARY",#N/A,FALSE,"PAYROLL";"HK PR",#N/A,FALSE,"HK"}</definedName>
    <definedName name="fdfdf" localSheetId="0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localSheetId="7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dsf">#REF!</definedName>
    <definedName name="FEB">#REF!</definedName>
    <definedName name="FEED1AA">#REF!</definedName>
    <definedName name="FEED2AA">#REF!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7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">#REF!</definedName>
    <definedName name="fgafg" hidden="1">#REF!</definedName>
    <definedName name="FGCode">#REF!</definedName>
    <definedName name="fgfgfgfg" hidden="1">#REF!</definedName>
    <definedName name="fggdfg" localSheetId="4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3" hidden="1">{"HK PR",#N/A,FALSE,"HK";"SUMMARY",#N/A,FALSE,"PAYROLL";"SUMMARY",#N/A,FALSE,"PAYROLL";"HK PR",#N/A,FALSE,"HK"}</definedName>
    <definedName name="fggdfg" localSheetId="8" hidden="1">{"HK PR",#N/A,FALSE,"HK";"SUMMARY",#N/A,FALSE,"PAYROLL";"SUMMARY",#N/A,FALSE,"PAYROLL";"HK PR",#N/A,FALSE,"HK"}</definedName>
    <definedName name="fggdfg" localSheetId="1" hidden="1">{"HK PR",#N/A,FALSE,"HK";"SUMMARY",#N/A,FALSE,"PAYROLL";"SUMMARY",#N/A,FALSE,"PAYROLL";"HK PR",#N/A,FALSE,"HK"}</definedName>
    <definedName name="fggdfg" localSheetId="0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localSheetId="7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IRE6">#REF!</definedName>
    <definedName name="FIREAA">#REF!</definedName>
    <definedName name="Flute_Table">#REF!</definedName>
    <definedName name="Flute_Type">#REF!</definedName>
    <definedName name="FOREVER" localSheetId="4" hidden="1">{#N/A,#N/A,FALSE,"Chi tiÆt"}</definedName>
    <definedName name="FOREVER" localSheetId="5" hidden="1">{#N/A,#N/A,FALSE,"Chi tiÆt"}</definedName>
    <definedName name="FOREVER" localSheetId="3" hidden="1">{#N/A,#N/A,FALSE,"Chi tiÆt"}</definedName>
    <definedName name="FOREVER" localSheetId="8" hidden="1">{#N/A,#N/A,FALSE,"Chi tiÆt"}</definedName>
    <definedName name="FOREVER" localSheetId="1" hidden="1">{#N/A,#N/A,FALSE,"Chi tiÆt"}</definedName>
    <definedName name="FOREVER" localSheetId="0" hidden="1">{#N/A,#N/A,FALSE,"Chi tiÆt"}</definedName>
    <definedName name="FOREVER" localSheetId="6" hidden="1">{#N/A,#N/A,FALSE,"Chi tiÆt"}</definedName>
    <definedName name="FOREVER" localSheetId="7" hidden="1">{#N/A,#N/A,FALSE,"Chi tiÆt"}</definedName>
    <definedName name="FOREVER" hidden="1">{#N/A,#N/A,FALSE,"Chi tiÆt"}</definedName>
    <definedName name="fre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4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3" hidden="1">{"HK PR",#N/A,FALSE,"HK";"SUMMARY",#N/A,FALSE,"PAYROLL";"SUMMARY",#N/A,FALSE,"PAYROLL";"HK PR",#N/A,FALSE,"HK"}</definedName>
    <definedName name="fsdfdsf" localSheetId="8" hidden="1">{"HK PR",#N/A,FALSE,"HK";"SUMMARY",#N/A,FALSE,"PAYROLL";"SUMMARY",#N/A,FALSE,"PAYROLL";"HK PR",#N/A,FALSE,"HK"}</definedName>
    <definedName name="fsdfdsf" localSheetId="1" hidden="1">{"HK PR",#N/A,FALSE,"HK";"SUMMARY",#N/A,FALSE,"PAYROLL";"SUMMARY",#N/A,FALSE,"PAYROLL";"HK PR",#N/A,FALSE,"HK"}</definedName>
    <definedName name="fsdfdsf" localSheetId="0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localSheetId="7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future">#REF!</definedName>
    <definedName name="fwefw">#REF!</definedName>
    <definedName name="FX">#REF!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hidden="1">{"index",#N/A,FALSE,"INDEX"}</definedName>
    <definedName name="ghdfgdf" localSheetId="4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3" hidden="1">{"HK PR",#N/A,FALSE,"HK";"SUMMARY",#N/A,FALSE,"PAYROLL";"SUMMARY",#N/A,FALSE,"PAYROLL";"HK PR",#N/A,FALSE,"HK"}</definedName>
    <definedName name="ghdfgdf" localSheetId="8" hidden="1">{"HK PR",#N/A,FALSE,"HK";"SUMMARY",#N/A,FALSE,"PAYROLL";"SUMMARY",#N/A,FALSE,"PAYROLL";"HK PR",#N/A,FALSE,"HK"}</definedName>
    <definedName name="ghdfgdf" localSheetId="1" hidden="1">{"HK PR",#N/A,FALSE,"HK";"SUMMARY",#N/A,FALSE,"PAYROLL";"SUMMARY",#N/A,FALSE,"PAYROLL";"HK PR",#N/A,FALSE,"HK"}</definedName>
    <definedName name="ghdfgdf" localSheetId="0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localSheetId="7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4" hidden="1">{#N/A,#N/A,FALSE,"sum";#N/A,#N/A,FALSE,"MARTV";#N/A,#N/A,FALSE,"APRTV"}</definedName>
    <definedName name="GHF" localSheetId="5" hidden="1">{#N/A,#N/A,FALSE,"sum";#N/A,#N/A,FALSE,"MARTV";#N/A,#N/A,FALSE,"APRTV"}</definedName>
    <definedName name="GHF" localSheetId="3" hidden="1">{#N/A,#N/A,FALSE,"sum";#N/A,#N/A,FALSE,"MARTV";#N/A,#N/A,FALSE,"APRTV"}</definedName>
    <definedName name="GHF" localSheetId="8" hidden="1">{#N/A,#N/A,FALSE,"sum";#N/A,#N/A,FALSE,"MARTV";#N/A,#N/A,FALSE,"APRTV"}</definedName>
    <definedName name="GHF" localSheetId="1" hidden="1">{#N/A,#N/A,FALSE,"sum";#N/A,#N/A,FALSE,"MARTV";#N/A,#N/A,FALSE,"APRTV"}</definedName>
    <definedName name="GHF" localSheetId="0" hidden="1">{#N/A,#N/A,FALSE,"sum";#N/A,#N/A,FALSE,"MARTV";#N/A,#N/A,FALSE,"APRTV"}</definedName>
    <definedName name="GHF" localSheetId="6" hidden="1">{#N/A,#N/A,FALSE,"sum";#N/A,#N/A,FALSE,"MARTV";#N/A,#N/A,FALSE,"APRTV"}</definedName>
    <definedName name="GHF" localSheetId="7" hidden="1">{#N/A,#N/A,FALSE,"sum";#N/A,#N/A,FALSE,"MARTV";#N/A,#N/A,FALSE,"APRTV"}</definedName>
    <definedName name="GHF" hidden="1">{#N/A,#N/A,FALSE,"sum";#N/A,#N/A,FALSE,"MARTV";#N/A,#N/A,FALSE,"APRTV"}</definedName>
    <definedName name="GJVIF" localSheetId="4" hidden="1">{"Profit",#N/A,FALSE,"4500(12)";"Capital",#N/A,FALSE,"4500(12)";"Profit",#N/A,FALSE,"Cisco4000";"Capital",#N/A,FALSE,"Cisco4000"}</definedName>
    <definedName name="GJVIF" localSheetId="5" hidden="1">{"Profit",#N/A,FALSE,"4500(12)";"Capital",#N/A,FALSE,"4500(12)";"Profit",#N/A,FALSE,"Cisco4000";"Capital",#N/A,FALSE,"Cisco4000"}</definedName>
    <definedName name="GJVIF" localSheetId="3" hidden="1">{"Profit",#N/A,FALSE,"4500(12)";"Capital",#N/A,FALSE,"4500(12)";"Profit",#N/A,FALSE,"Cisco4000";"Capital",#N/A,FALSE,"Cisco4000"}</definedName>
    <definedName name="GJVIF" localSheetId="8" hidden="1">{"Profit",#N/A,FALSE,"4500(12)";"Capital",#N/A,FALSE,"4500(12)";"Profit",#N/A,FALSE,"Cisco4000";"Capital",#N/A,FALSE,"Cisco4000"}</definedName>
    <definedName name="GJVIF" localSheetId="1" hidden="1">{"Profit",#N/A,FALSE,"4500(12)";"Capital",#N/A,FALSE,"4500(12)";"Profit",#N/A,FALSE,"Cisco4000";"Capital",#N/A,FALSE,"Cisco4000"}</definedName>
    <definedName name="GJVIF" localSheetId="0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localSheetId="7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4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3" hidden="1">{"HK PR",#N/A,FALSE,"HK";"SUMMARY",#N/A,FALSE,"PAYROLL";"SUMMARY",#N/A,FALSE,"PAYROLL";"HK PR",#N/A,FALSE,"HK"}</definedName>
    <definedName name="gnfg" localSheetId="8" hidden="1">{"HK PR",#N/A,FALSE,"HK";"SUMMARY",#N/A,FALSE,"PAYROLL";"SUMMARY",#N/A,FALSE,"PAYROLL";"HK PR",#N/A,FALSE,"HK"}</definedName>
    <definedName name="gnfg" localSheetId="1" hidden="1">{"HK PR",#N/A,FALSE,"HK";"SUMMARY",#N/A,FALSE,"PAYROLL";"SUMMARY",#N/A,FALSE,"PAYROLL";"HK PR",#N/A,FALSE,"HK"}</definedName>
    <definedName name="gnfg" localSheetId="0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localSheetId="7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ramme">#REF!</definedName>
    <definedName name="graph">#REF!</definedName>
    <definedName name="grgrdg">#REF!</definedName>
    <definedName name="GTM" localSheetId="4" hidden="1">{"'Sheet1'!$L$16"}</definedName>
    <definedName name="GTM" localSheetId="5" hidden="1">{"'Sheet1'!$L$16"}</definedName>
    <definedName name="GTM" localSheetId="3" hidden="1">{"'Sheet1'!$L$16"}</definedName>
    <definedName name="GTM" localSheetId="8" hidden="1">{"'Sheet1'!$L$16"}</definedName>
    <definedName name="GTM" localSheetId="1" hidden="1">{"'Sheet1'!$L$16"}</definedName>
    <definedName name="GTM" localSheetId="0" hidden="1">{"'Sheet1'!$L$16"}</definedName>
    <definedName name="GTM" localSheetId="6" hidden="1">{"'Sheet1'!$L$16"}</definedName>
    <definedName name="GTM" localSheetId="7" hidden="1">{"'Sheet1'!$L$16"}</definedName>
    <definedName name="GTM" hidden="1">{"'Sheet1'!$L$16"}</definedName>
    <definedName name="GUEST6">#REF!</definedName>
    <definedName name="GUESTAA">#REF!</definedName>
    <definedName name="h" localSheetId="4" hidden="1">{"'Sheet1'!$L$16"}</definedName>
    <definedName name="h" localSheetId="5" hidden="1">{"'Sheet1'!$L$16"}</definedName>
    <definedName name="h" localSheetId="3" hidden="1">{"'Sheet1'!$L$16"}</definedName>
    <definedName name="h" localSheetId="8" hidden="1">{"'Sheet1'!$L$16"}</definedName>
    <definedName name="h" localSheetId="1" hidden="1">{"'Sheet1'!$L$16"}</definedName>
    <definedName name="h" localSheetId="0" hidden="1">{"'Sheet1'!$L$16"}</definedName>
    <definedName name="h" localSheetId="6" hidden="1">{"'Sheet1'!$L$16"}</definedName>
    <definedName name="h" localSheetId="7" hidden="1">{"'Sheet1'!$L$16"}</definedName>
    <definedName name="h" hidden="1">{"'Sheet1'!$L$16"}</definedName>
    <definedName name="ha" localSheetId="4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3" hidden="1">{"Reader",#N/A,FALSE,"Summary";"Reader",#N/A,FALSE,"Buildup";"Reader",#N/A,FALSE,"Financials";"Reader",#N/A,FALSE,"Debt &amp; Other"}</definedName>
    <definedName name="ha" localSheetId="8" hidden="1">{"Reader",#N/A,FALSE,"Summary";"Reader",#N/A,FALSE,"Buildup";"Reader",#N/A,FALSE,"Financials";"Reader",#N/A,FALSE,"Debt &amp; Other"}</definedName>
    <definedName name="ha" localSheetId="1" hidden="1">{"Reader",#N/A,FALSE,"Summary";"Reader",#N/A,FALSE,"Buildup";"Reader",#N/A,FALSE,"Financials";"Reader",#N/A,FALSE,"Debt &amp; Other"}</definedName>
    <definedName name="ha" localSheetId="0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localSheetId="7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4" hidden="1">{"'Sheet1'!$L$16"}</definedName>
    <definedName name="hanh" localSheetId="5" hidden="1">{"'Sheet1'!$L$16"}</definedName>
    <definedName name="hanh" localSheetId="3" hidden="1">{"'Sheet1'!$L$16"}</definedName>
    <definedName name="hanh" localSheetId="8" hidden="1">{"'Sheet1'!$L$16"}</definedName>
    <definedName name="hanh" localSheetId="1" hidden="1">{"'Sheet1'!$L$16"}</definedName>
    <definedName name="hanh" localSheetId="0" hidden="1">{"'Sheet1'!$L$16"}</definedName>
    <definedName name="hanh" localSheetId="6" hidden="1">{"'Sheet1'!$L$16"}</definedName>
    <definedName name="hanh" localSheetId="7" hidden="1">{"'Sheet1'!$L$16"}</definedName>
    <definedName name="hanh" hidden="1">{"'Sheet1'!$L$16"}</definedName>
    <definedName name="hbbbbbb" localSheetId="4" hidden="1">{"'Sheet1'!$L$16"}</definedName>
    <definedName name="hbbbbbb" localSheetId="5" hidden="1">{"'Sheet1'!$L$16"}</definedName>
    <definedName name="hbbbbbb" localSheetId="3" hidden="1">{"'Sheet1'!$L$16"}</definedName>
    <definedName name="hbbbbbb" localSheetId="8" hidden="1">{"'Sheet1'!$L$16"}</definedName>
    <definedName name="hbbbbbb" localSheetId="1" hidden="1">{"'Sheet1'!$L$16"}</definedName>
    <definedName name="hbbbbbb" localSheetId="0" hidden="1">{"'Sheet1'!$L$16"}</definedName>
    <definedName name="hbbbbbb" localSheetId="6" hidden="1">{"'Sheet1'!$L$16"}</definedName>
    <definedName name="hbbbbbb" localSheetId="7" hidden="1">{"'Sheet1'!$L$16"}</definedName>
    <definedName name="hbbbbbb" hidden="1">{"'Sheet1'!$L$16"}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ello">#REF!</definedName>
    <definedName name="hfgdas" hidden="1">#REF!</definedName>
    <definedName name="hghghg" localSheetId="4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3" hidden="1">{"HK PR",#N/A,FALSE,"HK";"SUMMARY",#N/A,FALSE,"PAYROLL";"SUMMARY",#N/A,FALSE,"PAYROLL";"HK PR",#N/A,FALSE,"HK"}</definedName>
    <definedName name="hghghg" localSheetId="8" hidden="1">{"HK PR",#N/A,FALSE,"HK";"SUMMARY",#N/A,FALSE,"PAYROLL";"SUMMARY",#N/A,FALSE,"PAYROLL";"HK PR",#N/A,FALSE,"HK"}</definedName>
    <definedName name="hghghg" localSheetId="1" hidden="1">{"HK PR",#N/A,FALSE,"HK";"SUMMARY",#N/A,FALSE,"PAYROLL";"SUMMARY",#N/A,FALSE,"PAYROLL";"HK PR",#N/A,FALSE,"HK"}</definedName>
    <definedName name="hghghg" localSheetId="0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localSheetId="7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4" hidden="1">{"'Sheet1'!$L$16"}</definedName>
    <definedName name="hghghghg" localSheetId="5" hidden="1">{"'Sheet1'!$L$16"}</definedName>
    <definedName name="hghghghg" localSheetId="3" hidden="1">{"'Sheet1'!$L$16"}</definedName>
    <definedName name="hghghghg" localSheetId="8" hidden="1">{"'Sheet1'!$L$16"}</definedName>
    <definedName name="hghghghg" localSheetId="1" hidden="1">{"'Sheet1'!$L$16"}</definedName>
    <definedName name="hghghghg" localSheetId="0" hidden="1">{"'Sheet1'!$L$16"}</definedName>
    <definedName name="hghghghg" localSheetId="6" hidden="1">{"'Sheet1'!$L$16"}</definedName>
    <definedName name="hghghghg" localSheetId="7" hidden="1">{"'Sheet1'!$L$16"}</definedName>
    <definedName name="hghghghg" hidden="1">{"'Sheet1'!$L$16"}</definedName>
    <definedName name="hh" localSheetId="4" hidden="1">{"'Sheet1'!$L$16"}</definedName>
    <definedName name="hh" localSheetId="5" hidden="1">{"'Sheet1'!$L$16"}</definedName>
    <definedName name="hh" localSheetId="3" hidden="1">{"'Sheet1'!$L$16"}</definedName>
    <definedName name="hh" localSheetId="8" hidden="1">{"'Sheet1'!$L$16"}</definedName>
    <definedName name="hh" localSheetId="1" hidden="1">{"'Sheet1'!$L$16"}</definedName>
    <definedName name="hh" localSheetId="0" hidden="1">{"'Sheet1'!$L$16"}</definedName>
    <definedName name="hh" localSheetId="6" hidden="1">{"'Sheet1'!$L$16"}</definedName>
    <definedName name="hh" localSheetId="7" hidden="1">{"'Sheet1'!$L$16"}</definedName>
    <definedName name="hh" hidden="1">{"'Sheet1'!$L$16"}</definedName>
    <definedName name="hhh" localSheetId="4" hidden="1">{"'Sheet1'!$L$16"}</definedName>
    <definedName name="hhh" localSheetId="5" hidden="1">{"'Sheet1'!$L$16"}</definedName>
    <definedName name="hhh" localSheetId="3" hidden="1">{"'Sheet1'!$L$16"}</definedName>
    <definedName name="hhh" localSheetId="8" hidden="1">{"'Sheet1'!$L$16"}</definedName>
    <definedName name="hhh" localSheetId="1" hidden="1">{"'Sheet1'!$L$16"}</definedName>
    <definedName name="hhh" localSheetId="0" hidden="1">{"'Sheet1'!$L$16"}</definedName>
    <definedName name="hhh" localSheetId="6" hidden="1">{"'Sheet1'!$L$16"}</definedName>
    <definedName name="hhh" localSheetId="7" hidden="1">{"'Sheet1'!$L$16"}</definedName>
    <definedName name="hhh" hidden="1">{"'Sheet1'!$L$16"}</definedName>
    <definedName name="hhhh" localSheetId="4" hidden="1">{"'Sheet1'!$L$16"}</definedName>
    <definedName name="hhhh" localSheetId="5" hidden="1">{"'Sheet1'!$L$16"}</definedName>
    <definedName name="hhhh" localSheetId="3" hidden="1">{"'Sheet1'!$L$16"}</definedName>
    <definedName name="hhhh" localSheetId="8" hidden="1">{"'Sheet1'!$L$16"}</definedName>
    <definedName name="hhhh" localSheetId="1" hidden="1">{"'Sheet1'!$L$16"}</definedName>
    <definedName name="hhhh" localSheetId="0" hidden="1">{"'Sheet1'!$L$16"}</definedName>
    <definedName name="hhhh" localSheetId="6" hidden="1">{"'Sheet1'!$L$16"}</definedName>
    <definedName name="hhhh" localSheetId="7" hidden="1">{"'Sheet1'!$L$16"}</definedName>
    <definedName name="hhhh" hidden="1">{"'Sheet1'!$L$16"}</definedName>
    <definedName name="hhhhh" localSheetId="4" hidden="1">{"'Sheet1'!$L$16"}</definedName>
    <definedName name="hhhhh" localSheetId="5" hidden="1">{"'Sheet1'!$L$16"}</definedName>
    <definedName name="hhhhh" localSheetId="3" hidden="1">{"'Sheet1'!$L$16"}</definedName>
    <definedName name="hhhhh" localSheetId="8" hidden="1">{"'Sheet1'!$L$16"}</definedName>
    <definedName name="hhhhh" localSheetId="1" hidden="1">{"'Sheet1'!$L$16"}</definedName>
    <definedName name="hhhhh" localSheetId="0" hidden="1">{"'Sheet1'!$L$16"}</definedName>
    <definedName name="hhhhh" localSheetId="6" hidden="1">{"'Sheet1'!$L$16"}</definedName>
    <definedName name="hhhhh" localSheetId="7" hidden="1">{"'Sheet1'!$L$16"}</definedName>
    <definedName name="hhhhh" hidden="1">{"'Sheet1'!$L$16"}</definedName>
    <definedName name="hhhhhh" localSheetId="4" hidden="1">{"'Sheet1'!$L$16"}</definedName>
    <definedName name="hhhhhh" localSheetId="5" hidden="1">{"'Sheet1'!$L$16"}</definedName>
    <definedName name="hhhhhh" localSheetId="3" hidden="1">{"'Sheet1'!$L$16"}</definedName>
    <definedName name="hhhhhh" localSheetId="8" hidden="1">{"'Sheet1'!$L$16"}</definedName>
    <definedName name="hhhhhh" localSheetId="1" hidden="1">{"'Sheet1'!$L$16"}</definedName>
    <definedName name="hhhhhh" localSheetId="0" hidden="1">{"'Sheet1'!$L$16"}</definedName>
    <definedName name="hhhhhh" localSheetId="6" hidden="1">{"'Sheet1'!$L$16"}</definedName>
    <definedName name="hhhhhh" localSheetId="7" hidden="1">{"'Sheet1'!$L$16"}</definedName>
    <definedName name="hhhhhh" hidden="1">{"'Sheet1'!$L$16"}</definedName>
    <definedName name="HiddenRows" hidden="1">#REF!</definedName>
    <definedName name="hide">#N/A</definedName>
    <definedName name="HIEU" localSheetId="4" hidden="1">{"'Sheet1'!$L$16"}</definedName>
    <definedName name="HIEU" localSheetId="5" hidden="1">{"'Sheet1'!$L$16"}</definedName>
    <definedName name="HIEU" localSheetId="3" hidden="1">{"'Sheet1'!$L$16"}</definedName>
    <definedName name="HIEU" localSheetId="8" hidden="1">{"'Sheet1'!$L$16"}</definedName>
    <definedName name="HIEU" localSheetId="1" hidden="1">{"'Sheet1'!$L$16"}</definedName>
    <definedName name="HIEU" localSheetId="0" hidden="1">{"'Sheet1'!$L$16"}</definedName>
    <definedName name="HIEU" localSheetId="6" hidden="1">{"'Sheet1'!$L$16"}</definedName>
    <definedName name="HIEU" localSheetId="7" hidden="1">{"'Sheet1'!$L$16"}</definedName>
    <definedName name="HIEU" hidden="1">{"'Sheet1'!$L$16"}</definedName>
    <definedName name="hjjkl" localSheetId="4" hidden="1">{"'Sheet1'!$L$16"}</definedName>
    <definedName name="hjjkl" localSheetId="5" hidden="1">{"'Sheet1'!$L$16"}</definedName>
    <definedName name="hjjkl" localSheetId="3" hidden="1">{"'Sheet1'!$L$16"}</definedName>
    <definedName name="hjjkl" localSheetId="8" hidden="1">{"'Sheet1'!$L$16"}</definedName>
    <definedName name="hjjkl" localSheetId="1" hidden="1">{"'Sheet1'!$L$16"}</definedName>
    <definedName name="hjjkl" localSheetId="0" hidden="1">{"'Sheet1'!$L$16"}</definedName>
    <definedName name="hjjkl" localSheetId="6" hidden="1">{"'Sheet1'!$L$16"}</definedName>
    <definedName name="hjjkl" localSheetId="7" hidden="1">{"'Sheet1'!$L$16"}</definedName>
    <definedName name="hjjkl" hidden="1">{"'Sheet1'!$L$16"}</definedName>
    <definedName name="HK" localSheetId="4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3" hidden="1">{"Reader",#N/A,FALSE,"Summary";"Reader",#N/A,FALSE,"Buildup";"Reader",#N/A,FALSE,"Financials";"Reader",#N/A,FALSE,"Debt &amp; Other"}</definedName>
    <definedName name="HK" localSheetId="8" hidden="1">{"Reader",#N/A,FALSE,"Summary";"Reader",#N/A,FALSE,"Buildup";"Reader",#N/A,FALSE,"Financials";"Reader",#N/A,FALSE,"Debt &amp; Other"}</definedName>
    <definedName name="HK" localSheetId="1" hidden="1">{"Reader",#N/A,FALSE,"Summary";"Reader",#N/A,FALSE,"Buildup";"Reader",#N/A,FALSE,"Financials";"Reader",#N/A,FALSE,"Debt &amp; Other"}</definedName>
    <definedName name="HK" localSheetId="0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localSheetId="7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4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3" hidden="1">{"Reader",#N/A,FALSE,"Summary";"Reader",#N/A,FALSE,"Buildup";"Reader",#N/A,FALSE,"Financials";"Reader",#N/A,FALSE,"Debt &amp; Other"}</definedName>
    <definedName name="hka" localSheetId="8" hidden="1">{"Reader",#N/A,FALSE,"Summary";"Reader",#N/A,FALSE,"Buildup";"Reader",#N/A,FALSE,"Financials";"Reader",#N/A,FALSE,"Debt &amp; Other"}</definedName>
    <definedName name="hka" localSheetId="1" hidden="1">{"Reader",#N/A,FALSE,"Summary";"Reader",#N/A,FALSE,"Buildup";"Reader",#N/A,FALSE,"Financials";"Reader",#N/A,FALSE,"Debt &amp; Other"}</definedName>
    <definedName name="hka" localSheetId="0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localSheetId="7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4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3" hidden="1">{"Reader",#N/A,FALSE,"Summary";"Reader",#N/A,FALSE,"Buildup";"Reader",#N/A,FALSE,"Financials";"Reader",#N/A,FALSE,"Debt &amp; Other"}</definedName>
    <definedName name="hp" localSheetId="8" hidden="1">{"Reader",#N/A,FALSE,"Summary";"Reader",#N/A,FALSE,"Buildup";"Reader",#N/A,FALSE,"Financials";"Reader",#N/A,FALSE,"Debt &amp; Other"}</definedName>
    <definedName name="hp" localSheetId="1" hidden="1">{"Reader",#N/A,FALSE,"Summary";"Reader",#N/A,FALSE,"Buildup";"Reader",#N/A,FALSE,"Financials";"Reader",#N/A,FALSE,"Debt &amp; Other"}</definedName>
    <definedName name="hp" localSheetId="0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localSheetId="7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4" hidden="1">{#N/A,#N/A,TRUE,"BT M200 da 10x20"}</definedName>
    <definedName name="htg" localSheetId="5" hidden="1">{#N/A,#N/A,TRUE,"BT M200 da 10x20"}</definedName>
    <definedName name="htg" localSheetId="3" hidden="1">{#N/A,#N/A,TRUE,"BT M200 da 10x20"}</definedName>
    <definedName name="htg" localSheetId="8" hidden="1">{#N/A,#N/A,TRUE,"BT M200 da 10x20"}</definedName>
    <definedName name="htg" localSheetId="1" hidden="1">{#N/A,#N/A,TRUE,"BT M200 da 10x20"}</definedName>
    <definedName name="htg" localSheetId="0" hidden="1">{#N/A,#N/A,TRUE,"BT M200 da 10x20"}</definedName>
    <definedName name="htg" localSheetId="6" hidden="1">{#N/A,#N/A,TRUE,"BT M200 da 10x20"}</definedName>
    <definedName name="htg" localSheetId="7" hidden="1">{#N/A,#N/A,TRUE,"BT M200 da 10x20"}</definedName>
    <definedName name="htg" hidden="1">{#N/A,#N/A,TRUE,"BT M200 da 10x20"}</definedName>
    <definedName name="html" localSheetId="4" hidden="1">{"'Sheet1'!$L$16"}</definedName>
    <definedName name="html" localSheetId="5" hidden="1">{"'Sheet1'!$L$16"}</definedName>
    <definedName name="html" localSheetId="3" hidden="1">{"'Sheet1'!$L$16"}</definedName>
    <definedName name="html" localSheetId="8" hidden="1">{"'Sheet1'!$L$16"}</definedName>
    <definedName name="html" localSheetId="1" hidden="1">{"'Sheet1'!$L$16"}</definedName>
    <definedName name="html" localSheetId="0" hidden="1">{"'Sheet1'!$L$16"}</definedName>
    <definedName name="html" localSheetId="6" hidden="1">{"'Sheet1'!$L$16"}</definedName>
    <definedName name="html" localSheetId="7" hidden="1">{"'Sheet1'!$L$16"}</definedName>
    <definedName name="html" hidden="1">{"'Sheet1'!$L$16"}</definedName>
    <definedName name="HTML_CodePage" hidden="1">950</definedName>
    <definedName name="HTML_Control" localSheetId="4" hidden="1">{"'Sheet1'!$L$16"}</definedName>
    <definedName name="HTML_Control" localSheetId="5" hidden="1">{"'Sheet1'!$L$16"}</definedName>
    <definedName name="HTML_Control" localSheetId="3" hidden="1">{"'Sheet1'!$L$16"}</definedName>
    <definedName name="HTML_Control" localSheetId="8" hidden="1">{"'Sheet1'!$L$16"}</definedName>
    <definedName name="HTML_Control" localSheetId="1" hidden="1">{"'Sheet1'!$L$16"}</definedName>
    <definedName name="HTML_Control" localSheetId="0" hidden="1">{"'Sheet1'!$L$16"}</definedName>
    <definedName name="HTML_Control" localSheetId="6" hidden="1">{"'Sheet1'!$L$16"}</definedName>
    <definedName name="HTML_Control" localSheetId="7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4" hidden="1">"C:\2689\Q\國內\00q3961台化龍德PTA3建造\MyHTML.htm"</definedName>
    <definedName name="HTML_PathFile" localSheetId="5" hidden="1">"C:\2689\Q\國內\00q3961台化龍德PTA3建造\MyHTML.htm"</definedName>
    <definedName name="HTML_PathFile" localSheetId="3" hidden="1">"C:\2689\Q\國內\00q3961台化龍德PTA3建造\MyHTML.htm"</definedName>
    <definedName name="HTML_PathFile" localSheetId="8" hidden="1">"C:\2689\Q\國內\00q3961台化龍德PTA3建造\MyHTML.htm"</definedName>
    <definedName name="HTML_PathFile" localSheetId="1" hidden="1">"C:\2689\Q\國內\00q3961台化龍德PTA3建造\MyHTML.htm"</definedName>
    <definedName name="HTML_PathFile" localSheetId="0" hidden="1">"C:\2689\Q\國內\00q3961台化龍德PTA3建造\MyHTML.htm"</definedName>
    <definedName name="HTML_PathFile" localSheetId="6" hidden="1">"C:\2689\Q\國內\00q3961台化龍德PTA3建造\MyHTML.htm"</definedName>
    <definedName name="HTML_PathFile" localSheetId="7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4" hidden="1">{"'Sheet1'!$L$16"}</definedName>
    <definedName name="htmll" localSheetId="5" hidden="1">{"'Sheet1'!$L$16"}</definedName>
    <definedName name="htmll" localSheetId="3" hidden="1">{"'Sheet1'!$L$16"}</definedName>
    <definedName name="htmll" localSheetId="8" hidden="1">{"'Sheet1'!$L$16"}</definedName>
    <definedName name="htmll" localSheetId="1" hidden="1">{"'Sheet1'!$L$16"}</definedName>
    <definedName name="htmll" localSheetId="0" hidden="1">{"'Sheet1'!$L$16"}</definedName>
    <definedName name="htmll" localSheetId="6" hidden="1">{"'Sheet1'!$L$16"}</definedName>
    <definedName name="htmll" localSheetId="7" hidden="1">{"'Sheet1'!$L$16"}</definedName>
    <definedName name="htmll" hidden="1">{"'Sheet1'!$L$16"}</definedName>
    <definedName name="HTTK" localSheetId="4">#REF!</definedName>
    <definedName name="HTTK" localSheetId="5">#REF!</definedName>
    <definedName name="HTTK" localSheetId="3">#REF!</definedName>
    <definedName name="HTTK" localSheetId="8">#REF!</definedName>
    <definedName name="HTTK" localSheetId="1">#REF!</definedName>
    <definedName name="HTTK" localSheetId="0">#REF!</definedName>
    <definedName name="HTTK" localSheetId="6">#REF!</definedName>
    <definedName name="HTTK" localSheetId="7">#REF!</definedName>
    <definedName name="HTTK">#REF!</definedName>
    <definedName name="huong" localSheetId="4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3" hidden="1">{"HK PR",#N/A,FALSE,"HK";"SUMMARY",#N/A,FALSE,"PAYROLL";"SUMMARY",#N/A,FALSE,"PAYROLL";"HK PR",#N/A,FALSE,"HK"}</definedName>
    <definedName name="huong" localSheetId="8" hidden="1">{"HK PR",#N/A,FALSE,"HK";"SUMMARY",#N/A,FALSE,"PAYROLL";"SUMMARY",#N/A,FALSE,"PAYROLL";"HK PR",#N/A,FALSE,"HK"}</definedName>
    <definedName name="huong" localSheetId="1" hidden="1">{"HK PR",#N/A,FALSE,"HK";"SUMMARY",#N/A,FALSE,"PAYROLL";"SUMMARY",#N/A,FALSE,"PAYROLL";"HK PR",#N/A,FALSE,"HK"}</definedName>
    <definedName name="huong" localSheetId="0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localSheetId="7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4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3" hidden="1">{"HK PR",#N/A,FALSE,"HK";"SUMMARY",#N/A,FALSE,"PAYROLL";"SUMMARY",#N/A,FALSE,"PAYROLL";"HK PR",#N/A,FALSE,"HK"}</definedName>
    <definedName name="huongu" localSheetId="8" hidden="1">{"HK PR",#N/A,FALSE,"HK";"SUMMARY",#N/A,FALSE,"PAYROLL";"SUMMARY",#N/A,FALSE,"PAYROLL";"HK PR",#N/A,FALSE,"HK"}</definedName>
    <definedName name="huongu" localSheetId="1" hidden="1">{"HK PR",#N/A,FALSE,"HK";"SUMMARY",#N/A,FALSE,"PAYROLL";"SUMMARY",#N/A,FALSE,"PAYROLL";"HK PR",#N/A,FALSE,"HK"}</definedName>
    <definedName name="huongu" localSheetId="0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localSheetId="7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ppc">#N/A</definedName>
    <definedName name="huy" localSheetId="4" hidden="1">{"'Sheet1'!$L$16"}</definedName>
    <definedName name="huy" localSheetId="5" hidden="1">{"'Sheet1'!$L$16"}</definedName>
    <definedName name="huy" localSheetId="3" hidden="1">{"'Sheet1'!$L$16"}</definedName>
    <definedName name="huy" localSheetId="8" hidden="1">{"'Sheet1'!$L$16"}</definedName>
    <definedName name="huy" localSheetId="1" hidden="1">{"'Sheet1'!$L$16"}</definedName>
    <definedName name="huy" localSheetId="0" hidden="1">{"'Sheet1'!$L$16"}</definedName>
    <definedName name="huy" localSheetId="6" hidden="1">{"'Sheet1'!$L$16"}</definedName>
    <definedName name="huy" localSheetId="7" hidden="1">{"'Sheet1'!$L$16"}</definedName>
    <definedName name="huy" hidden="1">{"'Sheet1'!$L$16"}</definedName>
    <definedName name="huyy" localSheetId="4" hidden="1">{"'Sheet1'!$L$16"}</definedName>
    <definedName name="huyy" localSheetId="5" hidden="1">{"'Sheet1'!$L$16"}</definedName>
    <definedName name="huyy" localSheetId="3" hidden="1">{"'Sheet1'!$L$16"}</definedName>
    <definedName name="huyy" localSheetId="8" hidden="1">{"'Sheet1'!$L$16"}</definedName>
    <definedName name="huyy" localSheetId="1" hidden="1">{"'Sheet1'!$L$16"}</definedName>
    <definedName name="huyy" localSheetId="0" hidden="1">{"'Sheet1'!$L$16"}</definedName>
    <definedName name="huyy" localSheetId="6" hidden="1">{"'Sheet1'!$L$16"}</definedName>
    <definedName name="huyy" localSheetId="7" hidden="1">{"'Sheet1'!$L$16"}</definedName>
    <definedName name="huyy" hidden="1">{"'Sheet1'!$L$16"}</definedName>
    <definedName name="huyyy" localSheetId="4" hidden="1">{"'Sheet1'!$L$16"}</definedName>
    <definedName name="huyyy" localSheetId="5" hidden="1">{"'Sheet1'!$L$16"}</definedName>
    <definedName name="huyyy" localSheetId="3" hidden="1">{"'Sheet1'!$L$16"}</definedName>
    <definedName name="huyyy" localSheetId="8" hidden="1">{"'Sheet1'!$L$16"}</definedName>
    <definedName name="huyyy" localSheetId="1" hidden="1">{"'Sheet1'!$L$16"}</definedName>
    <definedName name="huyyy" localSheetId="0" hidden="1">{"'Sheet1'!$L$16"}</definedName>
    <definedName name="huyyy" localSheetId="6" hidden="1">{"'Sheet1'!$L$16"}</definedName>
    <definedName name="huyyy" localSheetId="7" hidden="1">{"'Sheet1'!$L$16"}</definedName>
    <definedName name="huyyy" hidden="1">{"'Sheet1'!$L$16"}</definedName>
    <definedName name="HYDAA">#REF!</definedName>
    <definedName name="i" hidden="1">{"hilight3",#N/A,FALSE,"HILIGHT3"}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>#N/A</definedName>
    <definedName name="in" hidden="1">#REF!</definedName>
    <definedName name="INPUT">#REF!</definedName>
    <definedName name="INST6">#REF!</definedName>
    <definedName name="INSTAA">#REF!</definedName>
    <definedName name="inter_new">#REF!</definedName>
    <definedName name="INTEREST">#N/A</definedName>
    <definedName name="Intl">#REF!</definedName>
    <definedName name="Intr">#REF!</definedName>
    <definedName name="IO_Movement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4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3" hidden="1">{"HK PR",#N/A,FALSE,"HK";"SUMMARY",#N/A,FALSE,"PAYROLL";"SUMMARY",#N/A,FALSE,"PAYROLL";"HK PR",#N/A,FALSE,"HK"}</definedName>
    <definedName name="IS" localSheetId="8" hidden="1">{"HK PR",#N/A,FALSE,"HK";"SUMMARY",#N/A,FALSE,"PAYROLL";"SUMMARY",#N/A,FALSE,"PAYROLL";"HK PR",#N/A,FALSE,"HK"}</definedName>
    <definedName name="IS" localSheetId="1" hidden="1">{"HK PR",#N/A,FALSE,"HK";"SUMMARY",#N/A,FALSE,"PAYROLL";"SUMMARY",#N/A,FALSE,"PAYROLL";"HK PR",#N/A,FALSE,"HK"}</definedName>
    <definedName name="IS" localSheetId="0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localSheetId="7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ISOAA">#REF!</definedName>
    <definedName name="ITDAA">#REF!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AN">#REF!</definedName>
    <definedName name="jan_dec">#REF!</definedName>
    <definedName name="jan_june">#REF!</definedName>
    <definedName name="JIPATA">#REF!</definedName>
    <definedName name="j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4" hidden="1">{"'Sheet1'!$L$16"}</definedName>
    <definedName name="jjj" localSheetId="5" hidden="1">{"'Sheet1'!$L$16"}</definedName>
    <definedName name="jjj" localSheetId="3" hidden="1">{"'Sheet1'!$L$16"}</definedName>
    <definedName name="jjj" localSheetId="8" hidden="1">{"'Sheet1'!$L$16"}</definedName>
    <definedName name="jjj" localSheetId="1" hidden="1">{"'Sheet1'!$L$16"}</definedName>
    <definedName name="jjj" localSheetId="0" hidden="1">{"'Sheet1'!$L$16"}</definedName>
    <definedName name="jjj" localSheetId="6" hidden="1">{"'Sheet1'!$L$16"}</definedName>
    <definedName name="jjj" localSheetId="7" hidden="1">{"'Sheet1'!$L$16"}</definedName>
    <definedName name="jjj" hidden="1">{"'Sheet1'!$L$16"}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k">#REF!</definedName>
    <definedName name="JP">#REF!</definedName>
    <definedName name="JPY">#REF!</definedName>
    <definedName name="ju" localSheetId="4" hidden="1">{"'Sheet1'!$L$16"}</definedName>
    <definedName name="ju" localSheetId="5" hidden="1">{"'Sheet1'!$L$16"}</definedName>
    <definedName name="ju" localSheetId="3" hidden="1">{"'Sheet1'!$L$16"}</definedName>
    <definedName name="ju" localSheetId="8" hidden="1">{"'Sheet1'!$L$16"}</definedName>
    <definedName name="ju" localSheetId="1" hidden="1">{"'Sheet1'!$L$16"}</definedName>
    <definedName name="ju" localSheetId="0" hidden="1">{"'Sheet1'!$L$16"}</definedName>
    <definedName name="ju" localSheetId="6" hidden="1">{"'Sheet1'!$L$16"}</definedName>
    <definedName name="ju" localSheetId="7" hidden="1">{"'Sheet1'!$L$16"}</definedName>
    <definedName name="ju" hidden="1">{"'Sheet1'!$L$16"}</definedName>
    <definedName name="jul_dec">#REF!</definedName>
    <definedName name="JUN">#REF!</definedName>
    <definedName name="k" localSheetId="4" hidden="1">{"'Sheet1'!$L$16"}</definedName>
    <definedName name="k" localSheetId="5" hidden="1">{"'Sheet1'!$L$16"}</definedName>
    <definedName name="k" localSheetId="3" hidden="1">{"'Sheet1'!$L$16"}</definedName>
    <definedName name="k" localSheetId="8" hidden="1">{"'Sheet1'!$L$16"}</definedName>
    <definedName name="k" localSheetId="1" hidden="1">{"'Sheet1'!$L$16"}</definedName>
    <definedName name="k" localSheetId="0" hidden="1">{"'Sheet1'!$L$16"}</definedName>
    <definedName name="k" localSheetId="6" hidden="1">{"'Sheet1'!$L$16"}</definedName>
    <definedName name="k" localSheetId="7" hidden="1">{"'Sheet1'!$L$16"}</definedName>
    <definedName name="K" hidden="1">{"'Sheet1'!$L$16"}</definedName>
    <definedName name="kai_Tprofile_Report">#REF!</definedName>
    <definedName name="kk" hidden="1">#REF!</definedName>
    <definedName name="kkk" hidden="1">{"lev2monbt",#N/A,FALSE,"2_levmonB-T"}</definedName>
    <definedName name="KU" localSheetId="4" hidden="1">{"'Sheet1'!$L$16"}</definedName>
    <definedName name="KU" localSheetId="5" hidden="1">{"'Sheet1'!$L$16"}</definedName>
    <definedName name="KU" localSheetId="3" hidden="1">{"'Sheet1'!$L$16"}</definedName>
    <definedName name="KU" localSheetId="8" hidden="1">{"'Sheet1'!$L$16"}</definedName>
    <definedName name="KU" localSheetId="1" hidden="1">{"'Sheet1'!$L$16"}</definedName>
    <definedName name="KU" localSheetId="0" hidden="1">{"'Sheet1'!$L$16"}</definedName>
    <definedName name="KU" localSheetId="6" hidden="1">{"'Sheet1'!$L$16"}</definedName>
    <definedName name="KU" localSheetId="7" hidden="1">{"'Sheet1'!$L$16"}</definedName>
    <definedName name="KU" hidden="1">{"'Sheet1'!$L$16"}</definedName>
    <definedName name="kyd.ChngCell.01." localSheetId="4" hidden="1">#REF!</definedName>
    <definedName name="kyd.ChngCell.01." localSheetId="5" hidden="1">#REF!</definedName>
    <definedName name="kyd.ChngCell.01." localSheetId="3" hidden="1">#REF!</definedName>
    <definedName name="kyd.ChngCell.01." localSheetId="8" hidden="1">#REF!</definedName>
    <definedName name="kyd.ChngCell.01." localSheetId="1" hidden="1">#REF!</definedName>
    <definedName name="kyd.ChngCell.01." localSheetId="0" hidden="1">#REF!</definedName>
    <definedName name="kyd.ChngCell.01." localSheetId="6" hidden="1">#REF!</definedName>
    <definedName name="kyd.ChngCell.01." localSheetId="7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4" hidden="1">#REF!</definedName>
    <definedName name="kyd.ElementList.01." localSheetId="5" hidden="1">#REF!</definedName>
    <definedName name="kyd.ElementList.01." localSheetId="3" hidden="1">#REF!</definedName>
    <definedName name="kyd.ElementList.01." localSheetId="8" hidden="1">#REF!</definedName>
    <definedName name="kyd.ElementList.01." localSheetId="1" hidden="1">#REF!</definedName>
    <definedName name="kyd.ElementList.01." localSheetId="0" hidden="1">#REF!</definedName>
    <definedName name="kyd.ElementList.01." localSheetId="6" hidden="1">#REF!</definedName>
    <definedName name="kyd.ElementList.01." localSheetId="7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hidden="1">{"revable",#N/A,FALSE,"REVABLE"}</definedName>
    <definedName name="Lai" localSheetId="4" hidden="1">{"'Sheet1'!$L$16"}</definedName>
    <definedName name="Lai" localSheetId="5" hidden="1">{"'Sheet1'!$L$16"}</definedName>
    <definedName name="Lai" localSheetId="3" hidden="1">{"'Sheet1'!$L$16"}</definedName>
    <definedName name="Lai" localSheetId="8" hidden="1">{"'Sheet1'!$L$16"}</definedName>
    <definedName name="Lai" localSheetId="1" hidden="1">{"'Sheet1'!$L$16"}</definedName>
    <definedName name="Lai" localSheetId="0" hidden="1">{"'Sheet1'!$L$16"}</definedName>
    <definedName name="Lai" localSheetId="6" hidden="1">{"'Sheet1'!$L$16"}</definedName>
    <definedName name="Lai" localSheetId="7" hidden="1">{"'Sheet1'!$L$16"}</definedName>
    <definedName name="Lai" hidden="1">{"'Sheet1'!$L$16"}</definedName>
    <definedName name="LAM" localSheetId="4" hidden="1">{#N/A,#N/A,TRUE,"BT M200 da 10x20"}</definedName>
    <definedName name="LAM" localSheetId="5" hidden="1">{#N/A,#N/A,TRUE,"BT M200 da 10x20"}</definedName>
    <definedName name="LAM" localSheetId="3" hidden="1">{#N/A,#N/A,TRUE,"BT M200 da 10x20"}</definedName>
    <definedName name="LAM" localSheetId="8" hidden="1">{#N/A,#N/A,TRUE,"BT M200 da 10x20"}</definedName>
    <definedName name="LAM" localSheetId="1" hidden="1">{#N/A,#N/A,TRUE,"BT M200 da 10x20"}</definedName>
    <definedName name="LAM" localSheetId="0" hidden="1">{#N/A,#N/A,TRUE,"BT M200 da 10x20"}</definedName>
    <definedName name="LAM" localSheetId="6" hidden="1">{#N/A,#N/A,TRUE,"BT M200 da 10x20"}</definedName>
    <definedName name="LAM" localSheetId="7" hidden="1">{#N/A,#N/A,TRUE,"BT M200 da 10x20"}</definedName>
    <definedName name="LAM" hidden="1">{#N/A,#N/A,TRUE,"BT M200 da 10x20"}</definedName>
    <definedName name="lan" localSheetId="4" hidden="1">{#N/A,#N/A,TRUE,"BT M200 da 10x20"}</definedName>
    <definedName name="lan" localSheetId="5" hidden="1">{#N/A,#N/A,TRUE,"BT M200 da 10x20"}</definedName>
    <definedName name="lan" localSheetId="3" hidden="1">{#N/A,#N/A,TRUE,"BT M200 da 10x20"}</definedName>
    <definedName name="lan" localSheetId="8" hidden="1">{#N/A,#N/A,TRUE,"BT M200 da 10x20"}</definedName>
    <definedName name="lan" localSheetId="1" hidden="1">{#N/A,#N/A,TRUE,"BT M200 da 10x20"}</definedName>
    <definedName name="lan" localSheetId="0" hidden="1">{#N/A,#N/A,TRUE,"BT M200 da 10x20"}</definedName>
    <definedName name="lan" localSheetId="6" hidden="1">{#N/A,#N/A,TRUE,"BT M200 da 10x20"}</definedName>
    <definedName name="lan" localSheetId="7" hidden="1">{#N/A,#N/A,TRUE,"BT M200 da 10x20"}</definedName>
    <definedName name="lan" hidden="1">{#N/A,#N/A,TRUE,"BT M200 da 10x20"}</definedName>
    <definedName name="Last_M">#REF!</definedName>
    <definedName name="LAST1">#N/A</definedName>
    <definedName name="LAST2">#N/A</definedName>
    <definedName name="limcount" hidden="1">1</definedName>
    <definedName name="LIME26">#REF!</definedName>
    <definedName name="LIME2AA">#REF!</definedName>
    <definedName name="List_of_Customers">#REF!</definedName>
    <definedName name="List_Status">#REF!</definedName>
    <definedName name="lll" hidden="1">{"sales",#N/A,FALSE,"SALES"}</definedName>
    <definedName name="LLLL" localSheetId="4" hidden="1">{#N/A,#N/A,FALSE,"Chi tiÆt"}</definedName>
    <definedName name="LLLL" localSheetId="5" hidden="1">{#N/A,#N/A,FALSE,"Chi tiÆt"}</definedName>
    <definedName name="LLLL" localSheetId="3" hidden="1">{#N/A,#N/A,FALSE,"Chi tiÆt"}</definedName>
    <definedName name="LLLL" localSheetId="8" hidden="1">{#N/A,#N/A,FALSE,"Chi tiÆt"}</definedName>
    <definedName name="LLLL" localSheetId="1" hidden="1">{#N/A,#N/A,FALSE,"Chi tiÆt"}</definedName>
    <definedName name="LLLL" localSheetId="0" hidden="1">{#N/A,#N/A,FALSE,"Chi tiÆt"}</definedName>
    <definedName name="LLLL" localSheetId="6" hidden="1">{#N/A,#N/A,FALSE,"Chi tiÆt"}</definedName>
    <definedName name="LLLL" localSheetId="7" hidden="1">{#N/A,#N/A,FALSE,"Chi tiÆt"}</definedName>
    <definedName name="LLLL" hidden="1">{#N/A,#N/A,FALSE,"Chi tiÆt"}</definedName>
    <definedName name="LLLLL" localSheetId="4" hidden="1">{#N/A,#N/A,FALSE,"Chi tiÆt"}</definedName>
    <definedName name="LLLLL" localSheetId="5" hidden="1">{#N/A,#N/A,FALSE,"Chi tiÆt"}</definedName>
    <definedName name="LLLLL" localSheetId="3" hidden="1">{#N/A,#N/A,FALSE,"Chi tiÆt"}</definedName>
    <definedName name="LLLLL" localSheetId="8" hidden="1">{#N/A,#N/A,FALSE,"Chi tiÆt"}</definedName>
    <definedName name="LLLLL" localSheetId="1" hidden="1">{#N/A,#N/A,FALSE,"Chi tiÆt"}</definedName>
    <definedName name="LLLLL" localSheetId="0" hidden="1">{#N/A,#N/A,FALSE,"Chi tiÆt"}</definedName>
    <definedName name="LLLLL" localSheetId="6" hidden="1">{#N/A,#N/A,FALSE,"Chi tiÆt"}</definedName>
    <definedName name="LLLLL" localSheetId="7" hidden="1">{#N/A,#N/A,FALSE,"Chi tiÆt"}</definedName>
    <definedName name="LLLLL" hidden="1">{#N/A,#N/A,FALSE,"Chi tiÆt"}</definedName>
    <definedName name="Loan" hidden="1">#REF!</definedName>
    <definedName name="m" hidden="1">{"income",#N/A,FALSE,"INCOME"}</definedName>
    <definedName name="Macro1">#REF!</definedName>
    <definedName name="Macro2">#REF!</definedName>
    <definedName name="Macro3">#REF!</definedName>
    <definedName name="MAIN">#REF!</definedName>
    <definedName name="Manu2">#REF!</definedName>
    <definedName name="Manu3">#REF!</definedName>
    <definedName name="MAR">#REF!</definedName>
    <definedName name="MAY">#REF!</definedName>
    <definedName name="mco" localSheetId="4" hidden="1">{"'Sheet1'!$L$16"}</definedName>
    <definedName name="mco" localSheetId="5" hidden="1">{"'Sheet1'!$L$16"}</definedName>
    <definedName name="mco" localSheetId="3" hidden="1">{"'Sheet1'!$L$16"}</definedName>
    <definedName name="mco" localSheetId="8" hidden="1">{"'Sheet1'!$L$16"}</definedName>
    <definedName name="mco" localSheetId="1" hidden="1">{"'Sheet1'!$L$16"}</definedName>
    <definedName name="mco" localSheetId="0" hidden="1">{"'Sheet1'!$L$16"}</definedName>
    <definedName name="mco" localSheetId="6" hidden="1">{"'Sheet1'!$L$16"}</definedName>
    <definedName name="mco" localSheetId="7" hidden="1">{"'Sheet1'!$L$16"}</definedName>
    <definedName name="mco" hidden="1">{"'Sheet1'!$L$16"}</definedName>
    <definedName name="MDAA">#REF!</definedName>
    <definedName name="MECD6">#REF!</definedName>
    <definedName name="MECH6">#REF!</definedName>
    <definedName name="MECHAA">#REF!</definedName>
    <definedName name="MECHEAA">#REF!</definedName>
    <definedName name="MEDICAL6">#REF!</definedName>
    <definedName name="MEDICALAA">#REF!</definedName>
    <definedName name="mg" localSheetId="4" hidden="1">{#N/A,#N/A,FALSE,"Chi tiÆt"}</definedName>
    <definedName name="mg" localSheetId="5" hidden="1">{#N/A,#N/A,FALSE,"Chi tiÆt"}</definedName>
    <definedName name="mg" localSheetId="3" hidden="1">{#N/A,#N/A,FALSE,"Chi tiÆt"}</definedName>
    <definedName name="mg" localSheetId="8" hidden="1">{#N/A,#N/A,FALSE,"Chi tiÆt"}</definedName>
    <definedName name="mg" localSheetId="1" hidden="1">{#N/A,#N/A,FALSE,"Chi tiÆt"}</definedName>
    <definedName name="mg" localSheetId="0" hidden="1">{#N/A,#N/A,FALSE,"Chi tiÆt"}</definedName>
    <definedName name="mg" localSheetId="6" hidden="1">{#N/A,#N/A,FALSE,"Chi tiÆt"}</definedName>
    <definedName name="mg" localSheetId="7" hidden="1">{#N/A,#N/A,FALSE,"Chi tiÆt"}</definedName>
    <definedName name="mg" hidden="1">{#N/A,#N/A,FALSE,"Chi tiÆt"}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4" hidden="1">{"'Sheet1'!$L$16"}</definedName>
    <definedName name="moi" localSheetId="5" hidden="1">{"'Sheet1'!$L$16"}</definedName>
    <definedName name="moi" localSheetId="3" hidden="1">{"'Sheet1'!$L$16"}</definedName>
    <definedName name="moi" localSheetId="8" hidden="1">{"'Sheet1'!$L$16"}</definedName>
    <definedName name="moi" localSheetId="1" hidden="1">{"'Sheet1'!$L$16"}</definedName>
    <definedName name="moi" localSheetId="0" hidden="1">{"'Sheet1'!$L$16"}</definedName>
    <definedName name="moi" localSheetId="6" hidden="1">{"'Sheet1'!$L$16"}</definedName>
    <definedName name="moi" localSheetId="7" hidden="1">{"'Sheet1'!$L$16"}</definedName>
    <definedName name="moi" hidden="1">{"'Sheet1'!$L$16"}</definedName>
    <definedName name="month" localSheetId="4">'Dai Loc'!$4:$4</definedName>
    <definedName name="month" localSheetId="5">'Dong Lam'!$4:$4</definedName>
    <definedName name="month" localSheetId="3">DTR!$4:$4</definedName>
    <definedName name="month" localSheetId="8">DTRVL!$4:$4</definedName>
    <definedName name="month" localSheetId="1">'Hop cong'!$4:$4</definedName>
    <definedName name="month" localSheetId="0">'Hop nhat'!$4:$4</definedName>
    <definedName name="month" localSheetId="6">'Khanh Nga'!$4:$4</definedName>
    <definedName name="month" localSheetId="7">TDP!$4:$4</definedName>
    <definedName name="MONTH">#REF!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vAss_CYrApr">#REF!</definedName>
    <definedName name="MovAss_CYrAug">#REF!</definedName>
    <definedName name="MovAss_CYrDec">#REF!</definedName>
    <definedName name="MovAss_CYrFeb">#REF!</definedName>
    <definedName name="MovAss_CYrJan">#REF!</definedName>
    <definedName name="MovAss_CYrJul">#REF!</definedName>
    <definedName name="MovAss_CYrJun">#REF!</definedName>
    <definedName name="MovAss_CYrMar">#REF!</definedName>
    <definedName name="MovAss_CYrMay">#REF!</definedName>
    <definedName name="MovAss_CYrNov">#REF!</definedName>
    <definedName name="MovAss_CYrOct">#REF!</definedName>
    <definedName name="MovAss_CYrSep">#REF!</definedName>
    <definedName name="MovAss_LYrDec">#REF!</definedName>
    <definedName name="MovAss_LYrNov">#REF!</definedName>
    <definedName name="MovAss_LYrOct">#REF!</definedName>
    <definedName name="MS">#REF!</definedName>
    <definedName name="MTH">#REF!</definedName>
    <definedName name="MTT_ClsIO">#REF!</definedName>
    <definedName name="mua" localSheetId="4" hidden="1">{"'Sheet1'!$L$16"}</definedName>
    <definedName name="mua" localSheetId="5" hidden="1">{"'Sheet1'!$L$16"}</definedName>
    <definedName name="mua" localSheetId="3" hidden="1">{"'Sheet1'!$L$16"}</definedName>
    <definedName name="mua" localSheetId="8" hidden="1">{"'Sheet1'!$L$16"}</definedName>
    <definedName name="mua" localSheetId="1" hidden="1">{"'Sheet1'!$L$16"}</definedName>
    <definedName name="mua" localSheetId="0" hidden="1">{"'Sheet1'!$L$16"}</definedName>
    <definedName name="mua" localSheetId="6" hidden="1">{"'Sheet1'!$L$16"}</definedName>
    <definedName name="mua" localSheetId="7" hidden="1">{"'Sheet1'!$L$16"}</definedName>
    <definedName name="mua" hidden="1">{"'Sheet1'!$L$16"}</definedName>
    <definedName name="N" localSheetId="4" hidden="1">{"'Sheet1'!$L$16"}</definedName>
    <definedName name="N" localSheetId="5" hidden="1">{"'Sheet1'!$L$16"}</definedName>
    <definedName name="N" localSheetId="3" hidden="1">{"'Sheet1'!$L$16"}</definedName>
    <definedName name="N" localSheetId="8" hidden="1">{"'Sheet1'!$L$16"}</definedName>
    <definedName name="N" localSheetId="1" hidden="1">{"'Sheet1'!$L$16"}</definedName>
    <definedName name="N" localSheetId="0" hidden="1">{"'Sheet1'!$L$16"}</definedName>
    <definedName name="N" localSheetId="6" hidden="1">{"'Sheet1'!$L$16"}</definedName>
    <definedName name="N" localSheetId="7" hidden="1">{"'Sheet1'!$L$16"}</definedName>
    <definedName name="n" hidden="1">{"F3 detail",#N/A,FALSE,"F1";"F3 Presentation",#N/A,FALSE,"F3 "}</definedName>
    <definedName name="Next_M">#REF!</definedName>
    <definedName name="ngay1" localSheetId="4">#REF!</definedName>
    <definedName name="ngay1" localSheetId="5">#REF!</definedName>
    <definedName name="ngay1" localSheetId="3">#REF!</definedName>
    <definedName name="ngay1" localSheetId="8">#REF!</definedName>
    <definedName name="ngay1" localSheetId="1">#REF!</definedName>
    <definedName name="ngay1" localSheetId="0">#REF!</definedName>
    <definedName name="ngay1" localSheetId="6">#REF!</definedName>
    <definedName name="ngay1" localSheetId="7">#REF!</definedName>
    <definedName name="ngay1">#REF!</definedName>
    <definedName name="ngay2" localSheetId="4">#REF!</definedName>
    <definedName name="ngay2" localSheetId="5">#REF!</definedName>
    <definedName name="ngay2" localSheetId="3">#REF!</definedName>
    <definedName name="ngay2" localSheetId="8">#REF!</definedName>
    <definedName name="ngay2" localSheetId="1">#REF!</definedName>
    <definedName name="ngay2" localSheetId="0">#REF!</definedName>
    <definedName name="ngay2" localSheetId="6">#REF!</definedName>
    <definedName name="ngay2" localSheetId="7">#REF!</definedName>
    <definedName name="ngay2">#REF!</definedName>
    <definedName name="Nhan_Phieu_san_xuat_Thang_2_2002_List">#REF!</definedName>
    <definedName name="Nitrogen">#REF!</definedName>
    <definedName name="nn" localSheetId="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RMAL">#REF!</definedName>
    <definedName name="NOV">#REF!</definedName>
    <definedName name="NPP" hidden="1">#REF!</definedName>
    <definedName name="nwe" localSheetId="4" hidden="1">{"'Sheet1'!$L$16"}</definedName>
    <definedName name="nwe" localSheetId="5" hidden="1">{"'Sheet1'!$L$16"}</definedName>
    <definedName name="nwe" localSheetId="3" hidden="1">{"'Sheet1'!$L$16"}</definedName>
    <definedName name="nwe" localSheetId="8" hidden="1">{"'Sheet1'!$L$16"}</definedName>
    <definedName name="nwe" localSheetId="1" hidden="1">{"'Sheet1'!$L$16"}</definedName>
    <definedName name="nwe" localSheetId="0" hidden="1">{"'Sheet1'!$L$16"}</definedName>
    <definedName name="nwe" localSheetId="6" hidden="1">{"'Sheet1'!$L$16"}</definedName>
    <definedName name="nwe" localSheetId="7" hidden="1">{"'Sheet1'!$L$16"}</definedName>
    <definedName name="nwe" hidden="1">{"'Sheet1'!$L$16"}</definedName>
    <definedName name="o" hidden="1">{"index",#N/A,FALSE,"INDEX"}</definedName>
    <definedName name="OCT">#REF!</definedName>
    <definedName name="Oct_04">#REF!</definedName>
    <definedName name="ooo" hidden="1">{"PRINT_EST",#N/A,FALSE,"ESTMON"}</definedName>
    <definedName name="OpnBalCrVND">#REF!</definedName>
    <definedName name="OpnBalDrVND">#REF!</definedName>
    <definedName name="Order_Master">#REF!</definedName>
    <definedName name="OrderTable" hidden="1">#REF!</definedName>
    <definedName name="Origin">#REF!</definedName>
    <definedName name="OUTPUT">#REF!</definedName>
    <definedName name="OXYAA">#REF!</definedName>
    <definedName name="OXYGEN6">#REF!</definedName>
    <definedName name="p" hidden="1">{"revsale",#N/A,FALSE,"REV-ยุพดี"}</definedName>
    <definedName name="P_Noptien">#REF!</definedName>
    <definedName name="PaperSize">#REF!</definedName>
    <definedName name="PC_msg" hidden="1">"Yes"</definedName>
    <definedName name="PENV">#REF!</definedName>
    <definedName name="PGREENAA">#REF!</definedName>
    <definedName name="PHRAA">#REF!</definedName>
    <definedName name="PHUONG" localSheetId="4" hidden="1">{#N/A,#N/A,TRUE,"BT M200 da 10x20"}</definedName>
    <definedName name="PHUONG" localSheetId="5" hidden="1">{#N/A,#N/A,TRUE,"BT M200 da 10x20"}</definedName>
    <definedName name="PHUONG" localSheetId="3" hidden="1">{#N/A,#N/A,TRUE,"BT M200 da 10x20"}</definedName>
    <definedName name="PHUONG" localSheetId="8" hidden="1">{#N/A,#N/A,TRUE,"BT M200 da 10x20"}</definedName>
    <definedName name="PHUONG" localSheetId="1" hidden="1">{#N/A,#N/A,TRUE,"BT M200 da 10x20"}</definedName>
    <definedName name="PHUONG" localSheetId="0" hidden="1">{#N/A,#N/A,TRUE,"BT M200 da 10x20"}</definedName>
    <definedName name="PHUONG" localSheetId="6" hidden="1">{#N/A,#N/A,TRUE,"BT M200 da 10x20"}</definedName>
    <definedName name="PHUONG" localSheetId="7" hidden="1">{#N/A,#N/A,TRUE,"BT M200 da 10x20"}</definedName>
    <definedName name="PHUONG" hidden="1">{#N/A,#N/A,TRUE,"BT M200 da 10x20"}</definedName>
    <definedName name="PJCAA">#REF!</definedName>
    <definedName name="PKTN." localSheetId="4" hidden="1">{"'Sheet1'!$L$16"}</definedName>
    <definedName name="PKTN." localSheetId="5" hidden="1">{"'Sheet1'!$L$16"}</definedName>
    <definedName name="PKTN." localSheetId="3" hidden="1">{"'Sheet1'!$L$16"}</definedName>
    <definedName name="PKTN." localSheetId="8" hidden="1">{"'Sheet1'!$L$16"}</definedName>
    <definedName name="PKTN." localSheetId="1" hidden="1">{"'Sheet1'!$L$16"}</definedName>
    <definedName name="PKTN." localSheetId="0" hidden="1">{"'Sheet1'!$L$16"}</definedName>
    <definedName name="PKTN." localSheetId="6" hidden="1">{"'Sheet1'!$L$16"}</definedName>
    <definedName name="PKTN." localSheetId="7" hidden="1">{"'Sheet1'!$L$16"}</definedName>
    <definedName name="PKTN." hidden="1">{"'Sheet1'!$L$16"}</definedName>
    <definedName name="PKTNN" localSheetId="4" hidden="1">{"'Sheet1'!$L$16"}</definedName>
    <definedName name="PKTNN" localSheetId="5" hidden="1">{"'Sheet1'!$L$16"}</definedName>
    <definedName name="PKTNN" localSheetId="3" hidden="1">{"'Sheet1'!$L$16"}</definedName>
    <definedName name="PKTNN" localSheetId="8" hidden="1">{"'Sheet1'!$L$16"}</definedName>
    <definedName name="PKTNN" localSheetId="1" hidden="1">{"'Sheet1'!$L$16"}</definedName>
    <definedName name="PKTNN" localSheetId="0" hidden="1">{"'Sheet1'!$L$16"}</definedName>
    <definedName name="PKTNN" localSheetId="6" hidden="1">{"'Sheet1'!$L$16"}</definedName>
    <definedName name="PKTNN" localSheetId="7" hidden="1">{"'Sheet1'!$L$16"}</definedName>
    <definedName name="PKTNN" hidden="1">{"'Sheet1'!$L$16"}</definedName>
    <definedName name="PlanAsset">#REF!</definedName>
    <definedName name="PLANC">#REF!</definedName>
    <definedName name="PLANCI">#REF!</definedName>
    <definedName name="PLANY">#REF!</definedName>
    <definedName name="PLANYI">#REF!</definedName>
    <definedName name="PlnYr">#REF!</definedName>
    <definedName name="PM">#REF!</definedName>
    <definedName name="POWER26">#REF!</definedName>
    <definedName name="POWER2AA">#REF!</definedName>
    <definedName name="POWER6">#REF!</definedName>
    <definedName name="POWERAA">#REF!</definedName>
    <definedName name="PP" hidden="1">{"'Model'!$A$1:$N$53"}</definedName>
    <definedName name="PPGREEN">#REF!</definedName>
    <definedName name="PPJCELL">#REF!</definedName>
    <definedName name="ppp" hidden="1">{"revsale",#N/A,FALSE,"REV-ยุพดี"}</definedName>
    <definedName name="PQA">#REF!</definedName>
    <definedName name="PRAA">#REF!</definedName>
    <definedName name="present">#REF!</definedName>
    <definedName name="PRINT">#REF!</definedName>
    <definedName name="_xlnm.Print_Area">#REF!</definedName>
    <definedName name="Print_Area_MI">#REF!</definedName>
    <definedName name="Print_Titles_MI">#REF!,#REF!</definedName>
    <definedName name="PRMP">#REF!</definedName>
    <definedName name="PRMZ">#REF!</definedName>
    <definedName name="PRO">#REF!</definedName>
    <definedName name="PROC">#REF!</definedName>
    <definedName name="PROCUR">#REF!</definedName>
    <definedName name="ProdForm" hidden="1">#REF!</definedName>
    <definedName name="PRODUAA">#REF!</definedName>
    <definedName name="Product" hidden="1">#REF!</definedName>
    <definedName name="PROY">#REF!</definedName>
    <definedName name="PROYTD">#REF!</definedName>
    <definedName name="Prt_All">#REF!</definedName>
    <definedName name="Prt_AssetMaster">#REF!</definedName>
    <definedName name="Prt_Monthly">#REF!</definedName>
    <definedName name="Prt_PPE">#REF!</definedName>
    <definedName name="Prt_Qtr">#REF!</definedName>
    <definedName name="Prt_toMR">#REF!</definedName>
    <definedName name="PS">#REF!</definedName>
    <definedName name="PSCKC">#REF!</definedName>
    <definedName name="PSCKN">#REF!</definedName>
    <definedName name="PSDKC">#REF!</definedName>
    <definedName name="PSDKN">#REF!</definedName>
    <definedName name="PULPAA">#REF!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AAA">#REF!</definedName>
    <definedName name="qeqe" localSheetId="4" hidden="1">{"'Sheet1'!$L$16"}</definedName>
    <definedName name="qeqe" localSheetId="5" hidden="1">{"'Sheet1'!$L$16"}</definedName>
    <definedName name="qeqe" localSheetId="3" hidden="1">{"'Sheet1'!$L$16"}</definedName>
    <definedName name="qeqe" localSheetId="8" hidden="1">{"'Sheet1'!$L$16"}</definedName>
    <definedName name="qeqe" localSheetId="1" hidden="1">{"'Sheet1'!$L$16"}</definedName>
    <definedName name="qeqe" localSheetId="0" hidden="1">{"'Sheet1'!$L$16"}</definedName>
    <definedName name="qeqe" localSheetId="6" hidden="1">{"'Sheet1'!$L$16"}</definedName>
    <definedName name="qeqe" localSheetId="7" hidden="1">{"'Sheet1'!$L$16"}</definedName>
    <definedName name="qeqe" hidden="1">{"'Sheet1'!$L$16"}</definedName>
    <definedName name="qqq" hidden="1">{"sales",#N/A,FALSE,"SALES"}</definedName>
    <definedName name="qry_Stock_Age_4">#REF!</definedName>
    <definedName name="Query1">#REF!</definedName>
    <definedName name="Query2">#REF!</definedName>
    <definedName name="RADMIN">#REF!</definedName>
    <definedName name="Range">#REF!</definedName>
    <definedName name="rate">#REF!</definedName>
    <definedName name="rateapr">#REF!</definedName>
    <definedName name="ratefeb">#REF!</definedName>
    <definedName name="ratejan">#REF!</definedName>
    <definedName name="RCArea" hidden="1">#REF!</definedName>
    <definedName name="RCDC">#REF!</definedName>
    <definedName name="RCHEMICAL">#REF!</definedName>
    <definedName name="RDESP">#REF!</definedName>
    <definedName name="RDRAWING">#REF!</definedName>
    <definedName name="REC1AA">#REF!</definedName>
    <definedName name="REC2AA">#REF!</definedName>
    <definedName name="_xlnm.Recorder">#REF!</definedName>
    <definedName name="RELEC">#REF!</definedName>
    <definedName name="REPCO_CCtr">#REF!,#REF!,#REF!,#REF!,#REF!,#REF!,#REF!</definedName>
    <definedName name="Report_Mth">#REF!</definedName>
    <definedName name="Req_CCtr">#REF!</definedName>
    <definedName name="RESTATE">#REF!</definedName>
    <definedName name="Revised">#REF!</definedName>
    <definedName name="RFIRE">#REF!</definedName>
    <definedName name="rfju" localSheetId="4" hidden="1">{"'Sheet1'!$L$16"}</definedName>
    <definedName name="rfju" localSheetId="5" hidden="1">{"'Sheet1'!$L$16"}</definedName>
    <definedName name="rfju" localSheetId="3" hidden="1">{"'Sheet1'!$L$16"}</definedName>
    <definedName name="rfju" localSheetId="8" hidden="1">{"'Sheet1'!$L$16"}</definedName>
    <definedName name="rfju" localSheetId="1" hidden="1">{"'Sheet1'!$L$16"}</definedName>
    <definedName name="rfju" localSheetId="0" hidden="1">{"'Sheet1'!$L$16"}</definedName>
    <definedName name="rfju" localSheetId="6" hidden="1">{"'Sheet1'!$L$16"}</definedName>
    <definedName name="rfju" localSheetId="7" hidden="1">{"'Sheet1'!$L$16"}</definedName>
    <definedName name="rfju" hidden="1">{"'Sheet1'!$L$16"}</definedName>
    <definedName name="RGUEST">#REF!</definedName>
    <definedName name="RINST">#REF!</definedName>
    <definedName name="RISO">#REF!</definedName>
    <definedName name="RITD">#REF!</definedName>
    <definedName name="RMDAA">#REF!</definedName>
    <definedName name="RMECD">#REF!</definedName>
    <definedName name="RMECH">#REF!</definedName>
    <definedName name="Rmedical">#REF!</definedName>
    <definedName name="RMPAA">#REF!</definedName>
    <definedName name="RMZAA">#REF!</definedName>
    <definedName name="ROC_CCtr">#REF!</definedName>
    <definedName name="ROC_IO">#REF!</definedName>
    <definedName name="ROYAL">#N/A</definedName>
    <definedName name="RPD">#REF!</definedName>
    <definedName name="RPM">#REF!</definedName>
    <definedName name="RPOWER">#REF!</definedName>
    <definedName name="RPR">#REF!</definedName>
    <definedName name="RPRE">#REF!</definedName>
    <definedName name="rrr" hidden="1">{"lev2tytbt",#N/A,FALSE,"2_LEVYTDB-T"}</definedName>
    <definedName name="RSEC">#REF!</definedName>
    <definedName name="RSHEETING">#REF!</definedName>
    <definedName name="RSODA">#REF!</definedName>
    <definedName name="RSTORE">#REF!</definedName>
    <definedName name="rter" localSheetId="4" hidden="1">{#N/A,#N/A,FALSE,"sum";#N/A,#N/A,FALSE,"MARTV";#N/A,#N/A,FALSE,"APRTV"}</definedName>
    <definedName name="rter" localSheetId="5" hidden="1">{#N/A,#N/A,FALSE,"sum";#N/A,#N/A,FALSE,"MARTV";#N/A,#N/A,FALSE,"APRTV"}</definedName>
    <definedName name="rter" localSheetId="3" hidden="1">{#N/A,#N/A,FALSE,"sum";#N/A,#N/A,FALSE,"MARTV";#N/A,#N/A,FALSE,"APRTV"}</definedName>
    <definedName name="rter" localSheetId="8" hidden="1">{#N/A,#N/A,FALSE,"sum";#N/A,#N/A,FALSE,"MARTV";#N/A,#N/A,FALSE,"APRTV"}</definedName>
    <definedName name="rter" localSheetId="1" hidden="1">{#N/A,#N/A,FALSE,"sum";#N/A,#N/A,FALSE,"MARTV";#N/A,#N/A,FALSE,"APRTV"}</definedName>
    <definedName name="rter" localSheetId="0" hidden="1">{#N/A,#N/A,FALSE,"sum";#N/A,#N/A,FALSE,"MARTV";#N/A,#N/A,FALSE,"APRTV"}</definedName>
    <definedName name="rter" localSheetId="6" hidden="1">{#N/A,#N/A,FALSE,"sum";#N/A,#N/A,FALSE,"MARTV";#N/A,#N/A,FALSE,"APRTV"}</definedName>
    <definedName name="rter" localSheetId="7" hidden="1">{#N/A,#N/A,FALSE,"sum";#N/A,#N/A,FALSE,"MARTV";#N/A,#N/A,FALSE,"APRTV"}</definedName>
    <definedName name="rter" hidden="1">{#N/A,#N/A,FALSE,"sum";#N/A,#N/A,FALSE,"MARTV";#N/A,#N/A,FALSE,"APRTV"}</definedName>
    <definedName name="ru" localSheetId="4" hidden="1">{"'Sheet1'!$L$16"}</definedName>
    <definedName name="ru" localSheetId="5" hidden="1">{"'Sheet1'!$L$16"}</definedName>
    <definedName name="ru" localSheetId="3" hidden="1">{"'Sheet1'!$L$16"}</definedName>
    <definedName name="ru" localSheetId="8" hidden="1">{"'Sheet1'!$L$16"}</definedName>
    <definedName name="ru" localSheetId="1" hidden="1">{"'Sheet1'!$L$16"}</definedName>
    <definedName name="ru" localSheetId="0" hidden="1">{"'Sheet1'!$L$16"}</definedName>
    <definedName name="ru" localSheetId="6" hidden="1">{"'Sheet1'!$L$16"}</definedName>
    <definedName name="ru" localSheetId="7" hidden="1">{"'Sheet1'!$L$16"}</definedName>
    <definedName name="ru" hidden="1">{"'Sheet1'!$L$16"}</definedName>
    <definedName name="RWASTE">#REF!</definedName>
    <definedName name="RYARD">#REF!</definedName>
    <definedName name="S" localSheetId="4" hidden="1">{"'Sheet1'!$L$16"}</definedName>
    <definedName name="S" localSheetId="5" hidden="1">{"'Sheet1'!$L$16"}</definedName>
    <definedName name="S" localSheetId="3" hidden="1">{"'Sheet1'!$L$16"}</definedName>
    <definedName name="S" localSheetId="8" hidden="1">{"'Sheet1'!$L$16"}</definedName>
    <definedName name="S" localSheetId="1" hidden="1">{"'Sheet1'!$L$16"}</definedName>
    <definedName name="S" localSheetId="0" hidden="1">{"'Sheet1'!$L$16"}</definedName>
    <definedName name="S" localSheetId="6" hidden="1">{"'Sheet1'!$L$16"}</definedName>
    <definedName name="S" localSheetId="7" hidden="1">{"'Sheet1'!$L$16"}</definedName>
    <definedName name="S" hidden="1">{"'Sheet1'!$L$16"}</definedName>
    <definedName name="SA">#REF!</definedName>
    <definedName name="sad" localSheetId="4" hidden="1">{0}</definedName>
    <definedName name="sad" localSheetId="5" hidden="1">{0}</definedName>
    <definedName name="sad" localSheetId="3" hidden="1">{0}</definedName>
    <definedName name="sad" localSheetId="8" hidden="1">{0}</definedName>
    <definedName name="sad" localSheetId="1" hidden="1">{0}</definedName>
    <definedName name="sad" localSheetId="0" hidden="1">{0}</definedName>
    <definedName name="sad" localSheetId="6" hidden="1">{0}</definedName>
    <definedName name="sad" localSheetId="7" hidden="1">{0}</definedName>
    <definedName name="sad" hidden="1">{0}</definedName>
    <definedName name="SAFTYAA">#REF!</definedName>
    <definedName name="SALE">#REF!</definedName>
    <definedName name="sales_2002">#REF!</definedName>
    <definedName name="SANG" localSheetId="4" hidden="1">{#N/A,#N/A,FALSE,"sum";#N/A,#N/A,FALSE,"MARTV";#N/A,#N/A,FALSE,"APRTV"}</definedName>
    <definedName name="SANG" localSheetId="5" hidden="1">{#N/A,#N/A,FALSE,"sum";#N/A,#N/A,FALSE,"MARTV";#N/A,#N/A,FALSE,"APRTV"}</definedName>
    <definedName name="SANG" localSheetId="3" hidden="1">{#N/A,#N/A,FALSE,"sum";#N/A,#N/A,FALSE,"MARTV";#N/A,#N/A,FALSE,"APRTV"}</definedName>
    <definedName name="SANG" localSheetId="8" hidden="1">{#N/A,#N/A,FALSE,"sum";#N/A,#N/A,FALSE,"MARTV";#N/A,#N/A,FALSE,"APRTV"}</definedName>
    <definedName name="SANG" localSheetId="1" hidden="1">{#N/A,#N/A,FALSE,"sum";#N/A,#N/A,FALSE,"MARTV";#N/A,#N/A,FALSE,"APRTV"}</definedName>
    <definedName name="SANG" localSheetId="0" hidden="1">{#N/A,#N/A,FALSE,"sum";#N/A,#N/A,FALSE,"MARTV";#N/A,#N/A,FALSE,"APRTV"}</definedName>
    <definedName name="SANG" localSheetId="6" hidden="1">{#N/A,#N/A,FALSE,"sum";#N/A,#N/A,FALSE,"MARTV";#N/A,#N/A,FALSE,"APRTV"}</definedName>
    <definedName name="SANG" localSheetId="7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APDWH">#REF!</definedName>
    <definedName name="SC" localSheetId="4" hidden="1">{"'Sheet1'!$L$16"}</definedName>
    <definedName name="SC" localSheetId="5" hidden="1">{"'Sheet1'!$L$16"}</definedName>
    <definedName name="SC" localSheetId="3" hidden="1">{"'Sheet1'!$L$16"}</definedName>
    <definedName name="SC" localSheetId="8" hidden="1">{"'Sheet1'!$L$16"}</definedName>
    <definedName name="SC" localSheetId="1" hidden="1">{"'Sheet1'!$L$16"}</definedName>
    <definedName name="SC" localSheetId="0" hidden="1">{"'Sheet1'!$L$16"}</definedName>
    <definedName name="SC" localSheetId="6" hidden="1">{"'Sheet1'!$L$16"}</definedName>
    <definedName name="SC" localSheetId="7" hidden="1">{"'Sheet1'!$L$16"}</definedName>
    <definedName name="SC" hidden="1">{"'Sheet1'!$L$16"}</definedName>
    <definedName name="sdadss" localSheetId="4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3" hidden="1">{"HK PR",#N/A,FALSE,"HK";"SUMMARY",#N/A,FALSE,"PAYROLL";"SUMMARY",#N/A,FALSE,"PAYROLL";"HK PR",#N/A,FALSE,"HK"}</definedName>
    <definedName name="sdadss" localSheetId="8" hidden="1">{"HK PR",#N/A,FALSE,"HK";"SUMMARY",#N/A,FALSE,"PAYROLL";"SUMMARY",#N/A,FALSE,"PAYROLL";"HK PR",#N/A,FALSE,"HK"}</definedName>
    <definedName name="sdadss" localSheetId="1" hidden="1">{"HK PR",#N/A,FALSE,"HK";"SUMMARY",#N/A,FALSE,"PAYROLL";"SUMMARY",#N/A,FALSE,"PAYROLL";"HK PR",#N/A,FALSE,"HK"}</definedName>
    <definedName name="sdadss" localSheetId="0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localSheetId="7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4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3" hidden="1">{"HK PR",#N/A,FALSE,"HK";"SUMMARY",#N/A,FALSE,"PAYROLL";"SUMMARY",#N/A,FALSE,"PAYROLL";"HK PR",#N/A,FALSE,"HK"}</definedName>
    <definedName name="sdsdasd" localSheetId="8" hidden="1">{"HK PR",#N/A,FALSE,"HK";"SUMMARY",#N/A,FALSE,"PAYROLL";"SUMMARY",#N/A,FALSE,"PAYROLL";"HK PR",#N/A,FALSE,"HK"}</definedName>
    <definedName name="sdsdasd" localSheetId="1" hidden="1">{"HK PR",#N/A,FALSE,"HK";"SUMMARY",#N/A,FALSE,"PAYROLL";"SUMMARY",#N/A,FALSE,"PAYROLL";"HK PR",#N/A,FALSE,"HK"}</definedName>
    <definedName name="sdsdasd" localSheetId="0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localSheetId="7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4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3" hidden="1">{"HK PR",#N/A,FALSE,"HK";"SUMMARY",#N/A,FALSE,"PAYROLL";"SUMMARY",#N/A,FALSE,"PAYROLL";"HK PR",#N/A,FALSE,"HK"}</definedName>
    <definedName name="sdsds" localSheetId="8" hidden="1">{"HK PR",#N/A,FALSE,"HK";"SUMMARY",#N/A,FALSE,"PAYROLL";"SUMMARY",#N/A,FALSE,"PAYROLL";"HK PR",#N/A,FALSE,"HK"}</definedName>
    <definedName name="sdsds" localSheetId="1" hidden="1">{"HK PR",#N/A,FALSE,"HK";"SUMMARY",#N/A,FALSE,"PAYROLL";"SUMMARY",#N/A,FALSE,"PAYROLL";"HK PR",#N/A,FALSE,"HK"}</definedName>
    <definedName name="sdsds" localSheetId="0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localSheetId="7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UAA">#REF!</definedName>
    <definedName name="sencount" hidden="1">1</definedName>
    <definedName name="SEP">#REF!</definedName>
    <definedName name="SHD1AA">#REF!</definedName>
    <definedName name="SHD2AA">#REF!</definedName>
    <definedName name="SHDAA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IS">#REF!</definedName>
    <definedName name="Size">#REF!</definedName>
    <definedName name="SizeLimit">#REF!</definedName>
    <definedName name="SL" localSheetId="4" hidden="1">{"Profit",#N/A,FALSE,"Cisco4500";"Capital",#N/A,FALSE,"Cisco4500"}</definedName>
    <definedName name="SL" localSheetId="5" hidden="1">{"Profit",#N/A,FALSE,"Cisco4500";"Capital",#N/A,FALSE,"Cisco4500"}</definedName>
    <definedName name="SL" localSheetId="3" hidden="1">{"Profit",#N/A,FALSE,"Cisco4500";"Capital",#N/A,FALSE,"Cisco4500"}</definedName>
    <definedName name="SL" localSheetId="8" hidden="1">{"Profit",#N/A,FALSE,"Cisco4500";"Capital",#N/A,FALSE,"Cisco4500"}</definedName>
    <definedName name="SL" localSheetId="1" hidden="1">{"Profit",#N/A,FALSE,"Cisco4500";"Capital",#N/A,FALSE,"Cisco4500"}</definedName>
    <definedName name="SL" localSheetId="0" hidden="1">{"Profit",#N/A,FALSE,"Cisco4500";"Capital",#N/A,FALSE,"Cisco4500"}</definedName>
    <definedName name="SL" localSheetId="6" hidden="1">{"Profit",#N/A,FALSE,"Cisco4500";"Capital",#N/A,FALSE,"Cisco4500"}</definedName>
    <definedName name="SL" localSheetId="7" hidden="1">{"Profit",#N/A,FALSE,"Cisco4500";"Capital",#N/A,FALSE,"Cisco4500"}</definedName>
    <definedName name="SL" hidden="1">{"Profit",#N/A,FALSE,"Cisco4500";"Capital",#N/A,FALSE,"Cisco4500"}</definedName>
    <definedName name="SODAAA">#REF!</definedName>
    <definedName name="solver_adj" localSheetId="4" hidden="1">#REF!</definedName>
    <definedName name="solver_adj" localSheetId="5" hidden="1">#REF!</definedName>
    <definedName name="solver_adj" localSheetId="3" hidden="1">#REF!</definedName>
    <definedName name="solver_adj" localSheetId="8" hidden="1">#REF!</definedName>
    <definedName name="solver_adj" localSheetId="1" hidden="1">#REF!</definedName>
    <definedName name="solver_adj" localSheetId="0" hidden="1">#REF!</definedName>
    <definedName name="solver_adj" localSheetId="6" hidden="1">#REF!</definedName>
    <definedName name="solver_adj" localSheetId="7" hidden="1">#REF!</definedName>
    <definedName name="solver_adj" hidden="1">#REF!</definedName>
    <definedName name="solver_lhs1" localSheetId="4" hidden="1">#REF!</definedName>
    <definedName name="solver_lhs1" localSheetId="5" hidden="1">#REF!</definedName>
    <definedName name="solver_lhs1" localSheetId="3" hidden="1">#REF!</definedName>
    <definedName name="solver_lhs1" localSheetId="8" hidden="1">#REF!</definedName>
    <definedName name="solver_lhs1" localSheetId="1" hidden="1">#REF!</definedName>
    <definedName name="solver_lhs1" localSheetId="0" hidden="1">#REF!</definedName>
    <definedName name="solver_lhs1" localSheetId="6" hidden="1">#REF!</definedName>
    <definedName name="solver_lhs1" localSheetId="7" hidden="1">#REF!</definedName>
    <definedName name="solver_lhs1" hidden="1">#REF!</definedName>
    <definedName name="solver_lin" hidden="1">0</definedName>
    <definedName name="solver_num" hidden="1">1</definedName>
    <definedName name="solver_opt" localSheetId="4" hidden="1">#REF!</definedName>
    <definedName name="solver_opt" localSheetId="5" hidden="1">#REF!</definedName>
    <definedName name="solver_opt" localSheetId="3" hidden="1">#REF!</definedName>
    <definedName name="solver_opt" localSheetId="8" hidden="1">#REF!</definedName>
    <definedName name="solver_opt" localSheetId="1" hidden="1">#REF!</definedName>
    <definedName name="solver_opt" localSheetId="0" hidden="1">#REF!</definedName>
    <definedName name="solver_opt" localSheetId="6" hidden="1">#REF!</definedName>
    <definedName name="solver_opt" localSheetId="7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hidden="1">#REF!</definedName>
    <definedName name="srgsaergfsergaerg" localSheetId="4" hidden="1">{"month_a",#N/A,FALSE,"ACTUALS";"ytd_a",#N/A,FALSE,"ACTUALS"}</definedName>
    <definedName name="srgsaergfsergaerg" localSheetId="5" hidden="1">{"month_a",#N/A,FALSE,"ACTUALS";"ytd_a",#N/A,FALSE,"ACTUALS"}</definedName>
    <definedName name="srgsaergfsergaerg" localSheetId="3" hidden="1">{"month_a",#N/A,FALSE,"ACTUALS";"ytd_a",#N/A,FALSE,"ACTUALS"}</definedName>
    <definedName name="srgsaergfsergaerg" localSheetId="8" hidden="1">{"month_a",#N/A,FALSE,"ACTUALS";"ytd_a",#N/A,FALSE,"ACTUALS"}</definedName>
    <definedName name="srgsaergfsergaerg" localSheetId="1" hidden="1">{"month_a",#N/A,FALSE,"ACTUALS";"ytd_a",#N/A,FALSE,"ACTUALS"}</definedName>
    <definedName name="srgsaergfsergaerg" localSheetId="0" hidden="1">{"month_a",#N/A,FALSE,"ACTUALS";"ytd_a",#N/A,FALSE,"ACTUALS"}</definedName>
    <definedName name="srgsaergfsergaerg" localSheetId="6" hidden="1">{"month_a",#N/A,FALSE,"ACTUALS";"ytd_a",#N/A,FALSE,"ACTUALS"}</definedName>
    <definedName name="srgsaergfsergaerg" localSheetId="7" hidden="1">{"month_a",#N/A,FALSE,"ACTUALS";"ytd_a",#N/A,FALSE,"ACTUALS"}</definedName>
    <definedName name="srgsaergfsergaerg" hidden="1">{"month_a",#N/A,FALSE,"ACTUALS";"ytd_a",#N/A,FALSE,"ACTUALS"}</definedName>
    <definedName name="SS" localSheetId="4" hidden="1">{"'Sheet1'!$L$16"}</definedName>
    <definedName name="SS" localSheetId="5" hidden="1">{"'Sheet1'!$L$16"}</definedName>
    <definedName name="SS" localSheetId="3" hidden="1">{"'Sheet1'!$L$16"}</definedName>
    <definedName name="SS" localSheetId="8" hidden="1">{"'Sheet1'!$L$16"}</definedName>
    <definedName name="SS" localSheetId="1" hidden="1">{"'Sheet1'!$L$16"}</definedName>
    <definedName name="SS" localSheetId="0" hidden="1">{"'Sheet1'!$L$16"}</definedName>
    <definedName name="SS" localSheetId="6" hidden="1">{"'Sheet1'!$L$16"}</definedName>
    <definedName name="SS" localSheetId="7" hidden="1">{"'Sheet1'!$L$16"}</definedName>
    <definedName name="SS" hidden="1">{"'Sheet1'!$L$16"}</definedName>
    <definedName name="SSF">#REF!</definedName>
    <definedName name="SSW">#REF!</definedName>
    <definedName name="ssxsdcdsfcdsf" localSheetId="4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3" hidden="1">{"HK PR",#N/A,FALSE,"HK";"SUMMARY",#N/A,FALSE,"PAYROLL";"SUMMARY",#N/A,FALSE,"PAYROLL";"HK PR",#N/A,FALSE,"HK"}</definedName>
    <definedName name="ssxsdcdsfcdsf" localSheetId="8" hidden="1">{"HK PR",#N/A,FALSE,"HK";"SUMMARY",#N/A,FALSE,"PAYROLL";"SUMMARY",#N/A,FALSE,"PAYROLL";"HK PR",#N/A,FALSE,"HK"}</definedName>
    <definedName name="ssxsdcdsfcdsf" localSheetId="1" hidden="1">{"HK PR",#N/A,FALSE,"HK";"SUMMARY",#N/A,FALSE,"PAYROLL";"SUMMARY",#N/A,FALSE,"PAYROLL";"HK PR",#N/A,FALSE,"HK"}</definedName>
    <definedName name="ssxsdcdsfcdsf" localSheetId="0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localSheetId="7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tatus">#REF!</definedName>
    <definedName name="STORE6">#REF!</definedName>
    <definedName name="STOREAA">#REF!</definedName>
    <definedName name="SULAA">#REF!</definedName>
    <definedName name="SUMBS">#REF!,#REF!,#REF!,#REF!,#REF!,#REF!,#REF!,#REF!,#REF!,#REF!</definedName>
    <definedName name="SUMPS">#REF!,#REF!,#REF!,#REF!,#REF!,#REF!,#REF!,#REF!,#REF!,#REF!,#REF!,#REF!,#REF!,#REF!</definedName>
    <definedName name="SuperUser" hidden="1">FALSE</definedName>
    <definedName name="t" localSheetId="4" hidden="1">{"F3 Presentation",#N/A,FALSE,"F3 ";"F3 detail",#N/A,FALSE,"F3 "}</definedName>
    <definedName name="t" localSheetId="5" hidden="1">{"F3 Presentation",#N/A,FALSE,"F3 ";"F3 detail",#N/A,FALSE,"F3 "}</definedName>
    <definedName name="t" localSheetId="3" hidden="1">{"F3 Presentation",#N/A,FALSE,"F3 ";"F3 detail",#N/A,FALSE,"F3 "}</definedName>
    <definedName name="t" localSheetId="8" hidden="1">{"F3 Presentation",#N/A,FALSE,"F3 ";"F3 detail",#N/A,FALSE,"F3 "}</definedName>
    <definedName name="t" localSheetId="1" hidden="1">{"F3 Presentation",#N/A,FALSE,"F3 ";"F3 detail",#N/A,FALSE,"F3 "}</definedName>
    <definedName name="t" localSheetId="0" hidden="1">{"F3 Presentation",#N/A,FALSE,"F3 ";"F3 detail",#N/A,FALSE,"F3 "}</definedName>
    <definedName name="t" localSheetId="6" hidden="1">{"F3 Presentation",#N/A,FALSE,"F3 ";"F3 detail",#N/A,FALSE,"F3 "}</definedName>
    <definedName name="t" localSheetId="7" hidden="1">{"F3 Presentation",#N/A,FALSE,"F3 ";"F3 detail",#N/A,FALSE,"F3 "}</definedName>
    <definedName name="t" hidden="1">{"F3 Presentation",#N/A,FALSE,"F3 ";"F3 detail",#N/A,FALSE,"F3 "}</definedName>
    <definedName name="taisan" localSheetId="4" hidden="1">{"'Sheet1'!$L$16"}</definedName>
    <definedName name="taisan" localSheetId="5" hidden="1">{"'Sheet1'!$L$16"}</definedName>
    <definedName name="taisan" localSheetId="3" hidden="1">{"'Sheet1'!$L$16"}</definedName>
    <definedName name="taisan" localSheetId="8" hidden="1">{"'Sheet1'!$L$16"}</definedName>
    <definedName name="taisan" localSheetId="1" hidden="1">{"'Sheet1'!$L$16"}</definedName>
    <definedName name="taisan" localSheetId="0" hidden="1">{"'Sheet1'!$L$16"}</definedName>
    <definedName name="taisan" localSheetId="6" hidden="1">{"'Sheet1'!$L$16"}</definedName>
    <definedName name="taisan" localSheetId="7" hidden="1">{"'Sheet1'!$L$16"}</definedName>
    <definedName name="taisan" hidden="1">{"'Sheet1'!$L$16"}</definedName>
    <definedName name="Tan" localSheetId="4" hidden="1">{"'Sheet1'!$L$16"}</definedName>
    <definedName name="Tan" localSheetId="5" hidden="1">{"'Sheet1'!$L$16"}</definedName>
    <definedName name="Tan" localSheetId="3" hidden="1">{"'Sheet1'!$L$16"}</definedName>
    <definedName name="Tan" localSheetId="8" hidden="1">{"'Sheet1'!$L$16"}</definedName>
    <definedName name="Tan" localSheetId="1" hidden="1">{"'Sheet1'!$L$16"}</definedName>
    <definedName name="Tan" localSheetId="0" hidden="1">{"'Sheet1'!$L$16"}</definedName>
    <definedName name="Tan" localSheetId="6" hidden="1">{"'Sheet1'!$L$16"}</definedName>
    <definedName name="Tan" localSheetId="7" hidden="1">{"'Sheet1'!$L$16"}</definedName>
    <definedName name="Tan" hidden="1">{"'Sheet1'!$L$16"}</definedName>
    <definedName name="TAX">#N/A</definedName>
    <definedName name="TB">#REF!</definedName>
    <definedName name="tbl_ProdInfo" hidden="1">#REF!</definedName>
    <definedName name="TCC">#REF!</definedName>
    <definedName name="tcr">#REF!</definedName>
    <definedName name="TEST0">#REF!</definedName>
    <definedName name="TESTHKEY">#REF!</definedName>
    <definedName name="TESTKEYS">#REF!</definedName>
    <definedName name="TESTVKEY">#REF!</definedName>
    <definedName name="TFC">#REF!</definedName>
    <definedName name="TG1AA">#REF!</definedName>
    <definedName name="TG2AA">#REF!</definedName>
    <definedName name="TH" localSheetId="4" hidden="1">{"'Sheet1'!$L$16"}</definedName>
    <definedName name="TH" localSheetId="5" hidden="1">{"'Sheet1'!$L$16"}</definedName>
    <definedName name="TH" localSheetId="3" hidden="1">{"'Sheet1'!$L$16"}</definedName>
    <definedName name="TH" localSheetId="8" hidden="1">{"'Sheet1'!$L$16"}</definedName>
    <definedName name="TH" localSheetId="1" hidden="1">{"'Sheet1'!$L$16"}</definedName>
    <definedName name="TH" localSheetId="0" hidden="1">{"'Sheet1'!$L$16"}</definedName>
    <definedName name="TH" localSheetId="6" hidden="1">{"'Sheet1'!$L$16"}</definedName>
    <definedName name="TH" localSheetId="7" hidden="1">{"'Sheet1'!$L$16"}</definedName>
    <definedName name="TH" hidden="1">{"'Sheet1'!$L$16"}</definedName>
    <definedName name="tha" localSheetId="4" hidden="1">{"'Sheet1'!$L$16"}</definedName>
    <definedName name="tha" localSheetId="5" hidden="1">{"'Sheet1'!$L$16"}</definedName>
    <definedName name="tha" localSheetId="3" hidden="1">{"'Sheet1'!$L$16"}</definedName>
    <definedName name="tha" localSheetId="8" hidden="1">{"'Sheet1'!$L$16"}</definedName>
    <definedName name="tha" localSheetId="1" hidden="1">{"'Sheet1'!$L$16"}</definedName>
    <definedName name="tha" localSheetId="0" hidden="1">{"'Sheet1'!$L$16"}</definedName>
    <definedName name="tha" localSheetId="6" hidden="1">{"'Sheet1'!$L$16"}</definedName>
    <definedName name="tha" localSheetId="7" hidden="1">{"'Sheet1'!$L$16"}</definedName>
    <definedName name="tha" hidden="1">{"'Sheet1'!$L$16"}</definedName>
    <definedName name="thanh" localSheetId="4" hidden="1">{"'Sheet1'!$L$16"}</definedName>
    <definedName name="thanh" localSheetId="5" hidden="1">{"'Sheet1'!$L$16"}</definedName>
    <definedName name="thanh" localSheetId="3" hidden="1">{"'Sheet1'!$L$16"}</definedName>
    <definedName name="thanh" localSheetId="8" hidden="1">{"'Sheet1'!$L$16"}</definedName>
    <definedName name="thanh" localSheetId="1" hidden="1">{"'Sheet1'!$L$16"}</definedName>
    <definedName name="thanh" localSheetId="0" hidden="1">{"'Sheet1'!$L$16"}</definedName>
    <definedName name="thanh" localSheetId="6" hidden="1">{"'Sheet1'!$L$16"}</definedName>
    <definedName name="thanh" localSheetId="7" hidden="1">{"'Sheet1'!$L$16"}</definedName>
    <definedName name="thanh" hidden="1">{"'Sheet1'!$L$16"}</definedName>
    <definedName name="thanhthao" localSheetId="4" hidden="1">{#N/A,#N/A,FALSE,"Chi tiÆt"}</definedName>
    <definedName name="thanhthao" localSheetId="5" hidden="1">{#N/A,#N/A,FALSE,"Chi tiÆt"}</definedName>
    <definedName name="thanhthao" localSheetId="3" hidden="1">{#N/A,#N/A,FALSE,"Chi tiÆt"}</definedName>
    <definedName name="thanhthao" localSheetId="8" hidden="1">{#N/A,#N/A,FALSE,"Chi tiÆt"}</definedName>
    <definedName name="thanhthao" localSheetId="1" hidden="1">{#N/A,#N/A,FALSE,"Chi tiÆt"}</definedName>
    <definedName name="thanhthao" localSheetId="0" hidden="1">{#N/A,#N/A,FALSE,"Chi tiÆt"}</definedName>
    <definedName name="thanhthao" localSheetId="6" hidden="1">{#N/A,#N/A,FALSE,"Chi tiÆt"}</definedName>
    <definedName name="thanhthao" localSheetId="7" hidden="1">{#N/A,#N/A,FALSE,"Chi tiÆt"}</definedName>
    <definedName name="thanhthao" hidden="1">{#N/A,#N/A,FALSE,"Chi tiÆt"}</definedName>
    <definedName name="THCP2" localSheetId="4" hidden="1">{"'Sheet1'!$L$16"}</definedName>
    <definedName name="THCP2" localSheetId="5" hidden="1">{"'Sheet1'!$L$16"}</definedName>
    <definedName name="THCP2" localSheetId="3" hidden="1">{"'Sheet1'!$L$16"}</definedName>
    <definedName name="THCP2" localSheetId="8" hidden="1">{"'Sheet1'!$L$16"}</definedName>
    <definedName name="THCP2" localSheetId="1" hidden="1">{"'Sheet1'!$L$16"}</definedName>
    <definedName name="THCP2" localSheetId="0" hidden="1">{"'Sheet1'!$L$16"}</definedName>
    <definedName name="THCP2" localSheetId="6" hidden="1">{"'Sheet1'!$L$16"}</definedName>
    <definedName name="THCP2" localSheetId="7" hidden="1">{"'Sheet1'!$L$16"}</definedName>
    <definedName name="THCP2" hidden="1">{"'Sheet1'!$L$16"}</definedName>
    <definedName name="THCPCTD" localSheetId="4" hidden="1">{"'Sheet1'!$L$16"}</definedName>
    <definedName name="THCPCTD" localSheetId="5" hidden="1">{"'Sheet1'!$L$16"}</definedName>
    <definedName name="THCPCTD" localSheetId="3" hidden="1">{"'Sheet1'!$L$16"}</definedName>
    <definedName name="THCPCTD" localSheetId="8" hidden="1">{"'Sheet1'!$L$16"}</definedName>
    <definedName name="THCPCTD" localSheetId="1" hidden="1">{"'Sheet1'!$L$16"}</definedName>
    <definedName name="THCPCTD" localSheetId="0" hidden="1">{"'Sheet1'!$L$16"}</definedName>
    <definedName name="THCPCTD" localSheetId="6" hidden="1">{"'Sheet1'!$L$16"}</definedName>
    <definedName name="THCPCTD" localSheetId="7" hidden="1">{"'Sheet1'!$L$16"}</definedName>
    <definedName name="THCPCTD" hidden="1">{"'Sheet1'!$L$16"}</definedName>
    <definedName name="Thepsan" localSheetId="4" hidden="1">{"'Sheet1'!$L$16"}</definedName>
    <definedName name="Thepsan" localSheetId="5" hidden="1">{"'Sheet1'!$L$16"}</definedName>
    <definedName name="Thepsan" localSheetId="3" hidden="1">{"'Sheet1'!$L$16"}</definedName>
    <definedName name="Thepsan" localSheetId="8" hidden="1">{"'Sheet1'!$L$16"}</definedName>
    <definedName name="Thepsan" localSheetId="1" hidden="1">{"'Sheet1'!$L$16"}</definedName>
    <definedName name="Thepsan" localSheetId="0" hidden="1">{"'Sheet1'!$L$16"}</definedName>
    <definedName name="Thepsan" localSheetId="6" hidden="1">{"'Sheet1'!$L$16"}</definedName>
    <definedName name="Thepsan" localSheetId="7" hidden="1">{"'Sheet1'!$L$16"}</definedName>
    <definedName name="Thepsan" hidden="1">{"'Sheet1'!$L$16"}</definedName>
    <definedName name="thepsan2" localSheetId="4" hidden="1">{"'Sheet1'!$L$16"}</definedName>
    <definedName name="thepsan2" localSheetId="5" hidden="1">{"'Sheet1'!$L$16"}</definedName>
    <definedName name="thepsan2" localSheetId="3" hidden="1">{"'Sheet1'!$L$16"}</definedName>
    <definedName name="thepsan2" localSheetId="8" hidden="1">{"'Sheet1'!$L$16"}</definedName>
    <definedName name="thepsan2" localSheetId="1" hidden="1">{"'Sheet1'!$L$16"}</definedName>
    <definedName name="thepsan2" localSheetId="0" hidden="1">{"'Sheet1'!$L$16"}</definedName>
    <definedName name="thepsan2" localSheetId="6" hidden="1">{"'Sheet1'!$L$16"}</definedName>
    <definedName name="thepsan2" localSheetId="7" hidden="1">{"'Sheet1'!$L$16"}</definedName>
    <definedName name="thepsan2" hidden="1">{"'Sheet1'!$L$16"}</definedName>
    <definedName name="thu" localSheetId="4" hidden="1">{"'Sheet1'!$L$16"}</definedName>
    <definedName name="thu" localSheetId="5" hidden="1">{"'Sheet1'!$L$16"}</definedName>
    <definedName name="thu" localSheetId="3" hidden="1">{"'Sheet1'!$L$16"}</definedName>
    <definedName name="thu" localSheetId="8" hidden="1">{"'Sheet1'!$L$16"}</definedName>
    <definedName name="thu" localSheetId="1" hidden="1">{"'Sheet1'!$L$16"}</definedName>
    <definedName name="thu" localSheetId="0" hidden="1">{"'Sheet1'!$L$16"}</definedName>
    <definedName name="thu" localSheetId="6" hidden="1">{"'Sheet1'!$L$16"}</definedName>
    <definedName name="thu" localSheetId="7" hidden="1">{"'Sheet1'!$L$16"}</definedName>
    <definedName name="thu" hidden="1">{"'Sheet1'!$L$16"}</definedName>
    <definedName name="THU_MAKH">#REF!</definedName>
    <definedName name="THU_ST">#REF!</definedName>
    <definedName name="TIEN_BCX">#REF!</definedName>
    <definedName name="TM" localSheetId="4" hidden="1">{"'Sheet1'!$L$16"}</definedName>
    <definedName name="TM" localSheetId="5" hidden="1">{"'Sheet1'!$L$16"}</definedName>
    <definedName name="TM" localSheetId="3" hidden="1">{"'Sheet1'!$L$16"}</definedName>
    <definedName name="TM" localSheetId="8" hidden="1">{"'Sheet1'!$L$16"}</definedName>
    <definedName name="TM" localSheetId="1" hidden="1">{"'Sheet1'!$L$16"}</definedName>
    <definedName name="TM" localSheetId="0" hidden="1">{"'Sheet1'!$L$16"}</definedName>
    <definedName name="TM" localSheetId="6" hidden="1">{"'Sheet1'!$L$16"}</definedName>
    <definedName name="TM" localSheetId="7" hidden="1">{"'Sheet1'!$L$16"}</definedName>
    <definedName name="TM" hidden="1">{"'Sheet1'!$L$16"}</definedName>
    <definedName name="TON">#REF!</definedName>
    <definedName name="Tonghop" localSheetId="4" hidden="1">{"'Sheet1'!$L$16"}</definedName>
    <definedName name="Tonghop" localSheetId="5" hidden="1">{"'Sheet1'!$L$16"}</definedName>
    <definedName name="Tonghop" localSheetId="3" hidden="1">{"'Sheet1'!$L$16"}</definedName>
    <definedName name="Tonghop" localSheetId="8" hidden="1">{"'Sheet1'!$L$16"}</definedName>
    <definedName name="Tonghop" localSheetId="1" hidden="1">{"'Sheet1'!$L$16"}</definedName>
    <definedName name="Tonghop" localSheetId="0" hidden="1">{"'Sheet1'!$L$16"}</definedName>
    <definedName name="Tonghop" localSheetId="6" hidden="1">{"'Sheet1'!$L$16"}</definedName>
    <definedName name="Tonghop" localSheetId="7" hidden="1">{"'Sheet1'!$L$16"}</definedName>
    <definedName name="Tonghop" hidden="1">{"'Sheet1'!$L$16"}</definedName>
    <definedName name="TRAA">#REF!</definedName>
    <definedName name="TRAN">#N/A</definedName>
    <definedName name="trygmdgdh" localSheetId="4" hidden="1">{"'Sheet1'!$L$16"}</definedName>
    <definedName name="trygmdgdh" localSheetId="5" hidden="1">{"'Sheet1'!$L$16"}</definedName>
    <definedName name="trygmdgdh" localSheetId="3" hidden="1">{"'Sheet1'!$L$16"}</definedName>
    <definedName name="trygmdgdh" localSheetId="8" hidden="1">{"'Sheet1'!$L$16"}</definedName>
    <definedName name="trygmdgdh" localSheetId="1" hidden="1">{"'Sheet1'!$L$16"}</definedName>
    <definedName name="trygmdgdh" localSheetId="0" hidden="1">{"'Sheet1'!$L$16"}</definedName>
    <definedName name="trygmdgdh" localSheetId="6" hidden="1">{"'Sheet1'!$L$16"}</definedName>
    <definedName name="trygmdgdh" localSheetId="7" hidden="1">{"'Sheet1'!$L$16"}</definedName>
    <definedName name="trygmdgdh" hidden="1">{"'Sheet1'!$L$16"}</definedName>
    <definedName name="TTSC" localSheetId="4" hidden="1">{"'Sheet1'!$L$16"}</definedName>
    <definedName name="TTSC" localSheetId="5" hidden="1">{"'Sheet1'!$L$16"}</definedName>
    <definedName name="TTSC" localSheetId="3" hidden="1">{"'Sheet1'!$L$16"}</definedName>
    <definedName name="TTSC" localSheetId="8" hidden="1">{"'Sheet1'!$L$16"}</definedName>
    <definedName name="TTSC" localSheetId="1" hidden="1">{"'Sheet1'!$L$16"}</definedName>
    <definedName name="TTSC" localSheetId="0" hidden="1">{"'Sheet1'!$L$16"}</definedName>
    <definedName name="TTSC" localSheetId="6" hidden="1">{"'Sheet1'!$L$16"}</definedName>
    <definedName name="TTSC" localSheetId="7" hidden="1">{"'Sheet1'!$L$16"}</definedName>
    <definedName name="TTSC" hidden="1">{"'Sheet1'!$L$16"}</definedName>
    <definedName name="ttt" localSheetId="4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3" hidden="1">{"Teacher",#N/A,FALSE,"Summary";"Teacher",#N/A,FALSE,"Assumptions";"Teacher",#N/A,FALSE,"Buildup";"Teacher",#N/A,FALSE,"Financials";"Teacher",#N/A,FALSE,"Debt &amp; Other"}</definedName>
    <definedName name="ttt" localSheetId="8" hidden="1">{"Teacher",#N/A,FALSE,"Summary";"Teacher",#N/A,FALSE,"Assumptions";"Teacher",#N/A,FALSE,"Buildup";"Teacher",#N/A,FALSE,"Financials";"Teacher",#N/A,FALSE,"Debt &amp; Other"}</definedName>
    <definedName name="ttt" localSheetId="1" hidden="1">{"Teacher",#N/A,FALSE,"Summary";"Teacher",#N/A,FALSE,"Assumptions";"Teacher",#N/A,FALSE,"Buildup";"Teacher",#N/A,FALSE,"Financials";"Teacher",#N/A,FALSE,"Debt &amp; Other"}</definedName>
    <definedName name="ttt" localSheetId="0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localSheetId="7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localSheetId="4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3" hidden="1">{"Reader",#N/A,FALSE,"Summary";"Reader",#N/A,FALSE,"Buildup";"Reader",#N/A,FALSE,"Financials";"Reader",#N/A,FALSE,"Debt &amp; Other"}</definedName>
    <definedName name="ttttt" localSheetId="8" hidden="1">{"Reader",#N/A,FALSE,"Summary";"Reader",#N/A,FALSE,"Buildup";"Reader",#N/A,FALSE,"Financials";"Reader",#N/A,FALSE,"Debt &amp; Other"}</definedName>
    <definedName name="ttttt" localSheetId="1" hidden="1">{"Reader",#N/A,FALSE,"Summary";"Reader",#N/A,FALSE,"Buildup";"Reader",#N/A,FALSE,"Financials";"Reader",#N/A,FALSE,"Debt &amp; Other"}</definedName>
    <definedName name="ttttt" localSheetId="0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localSheetId="7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4" hidden="1">{"'Sheet1'!$L$16"}</definedName>
    <definedName name="tuy" localSheetId="5" hidden="1">{"'Sheet1'!$L$16"}</definedName>
    <definedName name="tuy" localSheetId="3" hidden="1">{"'Sheet1'!$L$16"}</definedName>
    <definedName name="tuy" localSheetId="8" hidden="1">{"'Sheet1'!$L$16"}</definedName>
    <definedName name="tuy" localSheetId="1" hidden="1">{"'Sheet1'!$L$16"}</definedName>
    <definedName name="tuy" localSheetId="0" hidden="1">{"'Sheet1'!$L$16"}</definedName>
    <definedName name="tuy" localSheetId="6" hidden="1">{"'Sheet1'!$L$16"}</definedName>
    <definedName name="tuy" localSheetId="7" hidden="1">{"'Sheet1'!$L$16"}</definedName>
    <definedName name="tuy" hidden="1">{"'Sheet1'!$L$16"}</definedName>
    <definedName name="ty" hidden="1">#REF!</definedName>
    <definedName name="Type_table">#REF!</definedName>
    <definedName name="Types" hidden="1">#REF!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4" hidden="1">{#N/A,#N/A,TRUE,"BT M200 da 10x20"}</definedName>
    <definedName name="UGVG" localSheetId="5" hidden="1">{#N/A,#N/A,TRUE,"BT M200 da 10x20"}</definedName>
    <definedName name="UGVG" localSheetId="3" hidden="1">{#N/A,#N/A,TRUE,"BT M200 da 10x20"}</definedName>
    <definedName name="UGVG" localSheetId="8" hidden="1">{#N/A,#N/A,TRUE,"BT M200 da 10x20"}</definedName>
    <definedName name="UGVG" localSheetId="1" hidden="1">{#N/A,#N/A,TRUE,"BT M200 da 10x20"}</definedName>
    <definedName name="UGVG" localSheetId="0" hidden="1">{#N/A,#N/A,TRUE,"BT M200 da 10x20"}</definedName>
    <definedName name="UGVG" localSheetId="6" hidden="1">{#N/A,#N/A,TRUE,"BT M200 da 10x20"}</definedName>
    <definedName name="UGVG" localSheetId="7" hidden="1">{#N/A,#N/A,TRUE,"BT M200 da 10x20"}</definedName>
    <definedName name="UGVG" hidden="1">{#N/A,#N/A,TRUE,"BT M200 da 10x20"}</definedName>
    <definedName name="uhuppc">#N/A</definedName>
    <definedName name="unhide">#N/A</definedName>
    <definedName name="USD">#REF!</definedName>
    <definedName name="UserName">#REF!</definedName>
    <definedName name="uuu">#N/A</definedName>
    <definedName name="UWF">#REF!</definedName>
    <definedName name="V">#N/A</definedName>
    <definedName name="Value_COCurr">#REF!</definedName>
    <definedName name="VGSFDBDFNF">#REF!</definedName>
    <definedName name="VOLC">#REF!</definedName>
    <definedName name="VOLY">#REF!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hidden="1">{"PRINT_EST",#N/A,FALSE,"ESTMON"}</definedName>
    <definedName name="WASH16">#REF!</definedName>
    <definedName name="WASH1AA">#REF!</definedName>
    <definedName name="WASH26">#REF!</definedName>
    <definedName name="WASH2AA">#REF!</definedName>
    <definedName name="WASTE6">#REF!</definedName>
    <definedName name="WASTEAA">#REF!</definedName>
    <definedName name="WATAA">#REF!</definedName>
    <definedName name="Water">#REF!</definedName>
    <definedName name="wf" localSheetId="4" hidden="1">#REF!</definedName>
    <definedName name="wf" localSheetId="5" hidden="1">#REF!</definedName>
    <definedName name="wf" localSheetId="3" hidden="1">#REF!</definedName>
    <definedName name="wf" localSheetId="8" hidden="1">#REF!</definedName>
    <definedName name="wf" localSheetId="1" hidden="1">#REF!</definedName>
    <definedName name="wf" localSheetId="0" hidden="1">#REF!</definedName>
    <definedName name="wf" localSheetId="6" hidden="1">#REF!</definedName>
    <definedName name="wf" localSheetId="7" hidden="1">#REF!</definedName>
    <definedName name="wf" hidden="1">#REF!</definedName>
    <definedName name="wrn" hidden="1">{"lev2ytd",#N/A,FALSE,"2_LEVYTD"}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localSheetId="4" hidden="1">{"Profit",#N/A,FALSE,"448k";"Capital",#N/A,FALSE,"448k"}</definedName>
    <definedName name="wrn.448k." localSheetId="5" hidden="1">{"Profit",#N/A,FALSE,"448k";"Capital",#N/A,FALSE,"448k"}</definedName>
    <definedName name="wrn.448k." localSheetId="3" hidden="1">{"Profit",#N/A,FALSE,"448k";"Capital",#N/A,FALSE,"448k"}</definedName>
    <definedName name="wrn.448k." localSheetId="8" hidden="1">{"Profit",#N/A,FALSE,"448k";"Capital",#N/A,FALSE,"448k"}</definedName>
    <definedName name="wrn.448k." localSheetId="1" hidden="1">{"Profit",#N/A,FALSE,"448k";"Capital",#N/A,FALSE,"448k"}</definedName>
    <definedName name="wrn.448k." localSheetId="0" hidden="1">{"Profit",#N/A,FALSE,"448k";"Capital",#N/A,FALSE,"448k"}</definedName>
    <definedName name="wrn.448k." localSheetId="6" hidden="1">{"Profit",#N/A,FALSE,"448k";"Capital",#N/A,FALSE,"448k"}</definedName>
    <definedName name="wrn.448k." localSheetId="7" hidden="1">{"Profit",#N/A,FALSE,"448k";"Capital",#N/A,FALSE,"448k"}</definedName>
    <definedName name="wrn.448k." hidden="1">{"Profit",#N/A,FALSE,"448k";"Capital",#N/A,FALSE,"448k"}</definedName>
    <definedName name="wrn.4500_4P." localSheetId="4" hidden="1">{"Profit",#N/A,FALSE,"4500(4P)";"Capital",#N/A,FALSE,"4500(4P)"}</definedName>
    <definedName name="wrn.4500_4P." localSheetId="5" hidden="1">{"Profit",#N/A,FALSE,"4500(4P)";"Capital",#N/A,FALSE,"4500(4P)"}</definedName>
    <definedName name="wrn.4500_4P." localSheetId="3" hidden="1">{"Profit",#N/A,FALSE,"4500(4P)";"Capital",#N/A,FALSE,"4500(4P)"}</definedName>
    <definedName name="wrn.4500_4P." localSheetId="8" hidden="1">{"Profit",#N/A,FALSE,"4500(4P)";"Capital",#N/A,FALSE,"4500(4P)"}</definedName>
    <definedName name="wrn.4500_4P." localSheetId="1" hidden="1">{"Profit",#N/A,FALSE,"4500(4P)";"Capital",#N/A,FALSE,"4500(4P)"}</definedName>
    <definedName name="wrn.4500_4P." localSheetId="0" hidden="1">{"Profit",#N/A,FALSE,"4500(4P)";"Capital",#N/A,FALSE,"4500(4P)"}</definedName>
    <definedName name="wrn.4500_4P." localSheetId="6" hidden="1">{"Profit",#N/A,FALSE,"4500(4P)";"Capital",#N/A,FALSE,"4500(4P)"}</definedName>
    <definedName name="wrn.4500_4P." localSheetId="7" hidden="1">{"Profit",#N/A,FALSE,"4500(4P)";"Capital",#N/A,FALSE,"4500(4P)"}</definedName>
    <definedName name="wrn.4500_4P." hidden="1">{"Profit",#N/A,FALSE,"4500(4P)";"Capital",#N/A,FALSE,"4500(4P)"}</definedName>
    <definedName name="wrn.4500_6P." localSheetId="4" hidden="1">{"Profit",#N/A,FALSE,"4500(6P)";"Capital",#N/A,FALSE,"4500(6P)"}</definedName>
    <definedName name="wrn.4500_6P." localSheetId="5" hidden="1">{"Profit",#N/A,FALSE,"4500(6P)";"Capital",#N/A,FALSE,"4500(6P)"}</definedName>
    <definedName name="wrn.4500_6P." localSheetId="3" hidden="1">{"Profit",#N/A,FALSE,"4500(6P)";"Capital",#N/A,FALSE,"4500(6P)"}</definedName>
    <definedName name="wrn.4500_6P." localSheetId="8" hidden="1">{"Profit",#N/A,FALSE,"4500(6P)";"Capital",#N/A,FALSE,"4500(6P)"}</definedName>
    <definedName name="wrn.4500_6P." localSheetId="1" hidden="1">{"Profit",#N/A,FALSE,"4500(6P)";"Capital",#N/A,FALSE,"4500(6P)"}</definedName>
    <definedName name="wrn.4500_6P." localSheetId="0" hidden="1">{"Profit",#N/A,FALSE,"4500(6P)";"Capital",#N/A,FALSE,"4500(6P)"}</definedName>
    <definedName name="wrn.4500_6P." localSheetId="6" hidden="1">{"Profit",#N/A,FALSE,"4500(6P)";"Capital",#N/A,FALSE,"4500(6P)"}</definedName>
    <definedName name="wrn.4500_6P." localSheetId="7" hidden="1">{"Profit",#N/A,FALSE,"4500(6P)";"Capital",#N/A,FALSE,"4500(6P)"}</definedName>
    <definedName name="wrn.4500_6P." hidden="1">{"Profit",#N/A,FALSE,"4500(6P)";"Capital",#N/A,FALSE,"4500(6P)"}</definedName>
    <definedName name="wrn.4500_8P." localSheetId="4" hidden="1">{"Profit",#N/A,FALSE,"4500(8P)";"Capital",#N/A,FALSE,"4500(8P)"}</definedName>
    <definedName name="wrn.4500_8P." localSheetId="5" hidden="1">{"Profit",#N/A,FALSE,"4500(8P)";"Capital",#N/A,FALSE,"4500(8P)"}</definedName>
    <definedName name="wrn.4500_8P." localSheetId="3" hidden="1">{"Profit",#N/A,FALSE,"4500(8P)";"Capital",#N/A,FALSE,"4500(8P)"}</definedName>
    <definedName name="wrn.4500_8P." localSheetId="8" hidden="1">{"Profit",#N/A,FALSE,"4500(8P)";"Capital",#N/A,FALSE,"4500(8P)"}</definedName>
    <definedName name="wrn.4500_8P." localSheetId="1" hidden="1">{"Profit",#N/A,FALSE,"4500(8P)";"Capital",#N/A,FALSE,"4500(8P)"}</definedName>
    <definedName name="wrn.4500_8P." localSheetId="0" hidden="1">{"Profit",#N/A,FALSE,"4500(8P)";"Capital",#N/A,FALSE,"4500(8P)"}</definedName>
    <definedName name="wrn.4500_8P." localSheetId="6" hidden="1">{"Profit",#N/A,FALSE,"4500(8P)";"Capital",#N/A,FALSE,"4500(8P)"}</definedName>
    <definedName name="wrn.4500_8P." localSheetId="7" hidden="1">{"Profit",#N/A,FALSE,"4500(8P)";"Capital",#N/A,FALSE,"4500(8P)"}</definedName>
    <definedName name="wrn.4500_8P." hidden="1">{"Profit",#N/A,FALSE,"4500(8P)";"Capital",#N/A,FALSE,"4500(8P)"}</definedName>
    <definedName name="wrn.ACCRUE._.PAYROLL." localSheetId="4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3" hidden="1">{"HK PR",#N/A,FALSE,"HK";"SUMMARY",#N/A,FALSE,"PAYROLL";"SUMMARY",#N/A,FALSE,"PAYROLL";"HK PR",#N/A,FALSE,"HK"}</definedName>
    <definedName name="wrn.ACCRUE._.PAYROLL." localSheetId="8" hidden="1">{"HK PR",#N/A,FALSE,"HK";"SUMMARY",#N/A,FALSE,"PAYROLL";"SUMMARY",#N/A,FALSE,"PAYROLL";"HK PR",#N/A,FALSE,"HK"}</definedName>
    <definedName name="wrn.ACCRUE._.PAYROLL." localSheetId="1" hidden="1">{"HK PR",#N/A,FALSE,"HK";"SUMMARY",#N/A,FALSE,"PAYROLL";"SUMMARY",#N/A,FALSE,"PAYROLL";"HK PR",#N/A,FALSE,"HK"}</definedName>
    <definedName name="wrn.ACCRUE._.PAYROLL." localSheetId="0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localSheetId="7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4" hidden="1">{"Acq_matrix",#N/A,FALSE,"Acquisition Matrix"}</definedName>
    <definedName name="wrn.Acquisition_matrix." localSheetId="5" hidden="1">{"Acq_matrix",#N/A,FALSE,"Acquisition Matrix"}</definedName>
    <definedName name="wrn.Acquisition_matrix." localSheetId="3" hidden="1">{"Acq_matrix",#N/A,FALSE,"Acquisition Matrix"}</definedName>
    <definedName name="wrn.Acquisition_matrix." localSheetId="8" hidden="1">{"Acq_matrix",#N/A,FALSE,"Acquisition Matrix"}</definedName>
    <definedName name="wrn.Acquisition_matrix." localSheetId="1" hidden="1">{"Acq_matrix",#N/A,FALSE,"Acquisition Matrix"}</definedName>
    <definedName name="wrn.Acquisition_matrix." localSheetId="0" hidden="1">{"Acq_matrix",#N/A,FALSE,"Acquisition Matrix"}</definedName>
    <definedName name="wrn.Acquisition_matrix." localSheetId="6" hidden="1">{"Acq_matrix",#N/A,FALSE,"Acquisition Matrix"}</definedName>
    <definedName name="wrn.Acquisition_matrix." localSheetId="7" hidden="1">{"Acq_matrix",#N/A,FALSE,"Acquisition Matrix"}</definedName>
    <definedName name="wrn.Acquisition_matrix." hidden="1">{"Acq_matrix",#N/A,FALSE,"Acquisition Matrix"}</definedName>
    <definedName name="wrn.adj95." localSheetId="4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3" hidden="1">{"adj95mult",#N/A,FALSE,"COMPCO";"adj95est",#N/A,FALSE,"COMPCO"}</definedName>
    <definedName name="wrn.adj95." localSheetId="8" hidden="1">{"adj95mult",#N/A,FALSE,"COMPCO";"adj95est",#N/A,FALSE,"COMPCO"}</definedName>
    <definedName name="wrn.adj95." localSheetId="1" hidden="1">{"adj95mult",#N/A,FALSE,"COMPCO";"adj95est",#N/A,FALSE,"COMPCO"}</definedName>
    <definedName name="wrn.adj95." localSheetId="0" hidden="1">{"adj95mult",#N/A,FALSE,"COMPCO";"adj95est",#N/A,FALSE,"COMPCO"}</definedName>
    <definedName name="wrn.adj95." localSheetId="6" hidden="1">{"adj95mult",#N/A,FALSE,"COMPCO";"adj95est",#N/A,FALSE,"COMPCO"}</definedName>
    <definedName name="wrn.adj95." localSheetId="7" hidden="1">{"adj95mult",#N/A,FALSE,"COMPCO";"adj95est",#N/A,FALSE,"COMPCO"}</definedName>
    <definedName name="wrn.adj95." hidden="1">{"adj95mult",#N/A,FALSE,"COMPCO";"adj95est",#N/A,FALSE,"COMPCO"}</definedName>
    <definedName name="wrn.ALL." localSheetId="4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3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8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0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7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4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8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7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4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3" hidden="1">{"AQUIRORDCF",#N/A,FALSE,"Merger consequences";"Acquirorassns",#N/A,FALSE,"Merger consequences"}</definedName>
    <definedName name="wrn.AQUIROR._.DCF." localSheetId="8" hidden="1">{"AQUIRORDCF",#N/A,FALSE,"Merger consequences";"Acquirorassns",#N/A,FALSE,"Merger consequences"}</definedName>
    <definedName name="wrn.AQUIROR._.DCF." localSheetId="1" hidden="1">{"AQUIRORDCF",#N/A,FALSE,"Merger consequences";"Acquirorassns",#N/A,FALSE,"Merger consequences"}</definedName>
    <definedName name="wrn.AQUIROR._.DCF." localSheetId="0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localSheetId="7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localSheetId="4" hidden="1">{#N/A,#N/A,FALSE,"sum";#N/A,#N/A,FALSE,"MARTV";#N/A,#N/A,FALSE,"APRTV"}</definedName>
    <definedName name="wrn.BAOCAO." localSheetId="5" hidden="1">{#N/A,#N/A,FALSE,"sum";#N/A,#N/A,FALSE,"MARTV";#N/A,#N/A,FALSE,"APRTV"}</definedName>
    <definedName name="wrn.BAOCAO." localSheetId="3" hidden="1">{#N/A,#N/A,FALSE,"sum";#N/A,#N/A,FALSE,"MARTV";#N/A,#N/A,FALSE,"APRTV"}</definedName>
    <definedName name="wrn.BAOCAO." localSheetId="8" hidden="1">{#N/A,#N/A,FALSE,"sum";#N/A,#N/A,FALSE,"MARTV";#N/A,#N/A,FALSE,"APRTV"}</definedName>
    <definedName name="wrn.BAOCAO." localSheetId="1" hidden="1">{#N/A,#N/A,FALSE,"sum";#N/A,#N/A,FALSE,"MARTV";#N/A,#N/A,FALSE,"APRTV"}</definedName>
    <definedName name="wrn.BAOCAO." localSheetId="0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localSheetId="7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4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5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3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8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0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7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4" hidden="1">{"CapitalInput",#N/A,FALSE,"Equipt Input";"Capital Profile",#N/A,FALSE,"Equipt Input"}</definedName>
    <definedName name="wrn.Capital." localSheetId="5" hidden="1">{"CapitalInput",#N/A,FALSE,"Equipt Input";"Capital Profile",#N/A,FALSE,"Equipt Input"}</definedName>
    <definedName name="wrn.Capital." localSheetId="3" hidden="1">{"CapitalInput",#N/A,FALSE,"Equipt Input";"Capital Profile",#N/A,FALSE,"Equipt Input"}</definedName>
    <definedName name="wrn.Capital." localSheetId="8" hidden="1">{"CapitalInput",#N/A,FALSE,"Equipt Input";"Capital Profile",#N/A,FALSE,"Equipt Input"}</definedName>
    <definedName name="wrn.Capital." localSheetId="1" hidden="1">{"CapitalInput",#N/A,FALSE,"Equipt Input";"Capital Profile",#N/A,FALSE,"Equipt Input"}</definedName>
    <definedName name="wrn.Capital." localSheetId="0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localSheetId="7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localSheetId="4" hidden="1">{#N/A,#N/A,FALSE,"Chi tiÆt"}</definedName>
    <definedName name="wrn.chi._.tiÆt." localSheetId="5" hidden="1">{#N/A,#N/A,FALSE,"Chi tiÆt"}</definedName>
    <definedName name="wrn.chi._.tiÆt." localSheetId="3" hidden="1">{#N/A,#N/A,FALSE,"Chi tiÆt"}</definedName>
    <definedName name="wrn.chi._.tiÆt." localSheetId="8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localSheetId="6" hidden="1">{#N/A,#N/A,FALSE,"Chi tiÆt"}</definedName>
    <definedName name="wrn.chi._.tiÆt." localSheetId="7" hidden="1">{#N/A,#N/A,FALSE,"Chi tiÆt"}</definedName>
    <definedName name="wrn.chi._.tiÆt." hidden="1">{#N/A,#N/A,FALSE,"Chi tiÆt"}</definedName>
    <definedName name="wrn.cisco2501." localSheetId="4" hidden="1">{"Profit",#N/A,FALSE,"cisco2501";"Capital",#N/A,FALSE,"cisco2501"}</definedName>
    <definedName name="wrn.cisco2501." localSheetId="5" hidden="1">{"Profit",#N/A,FALSE,"cisco2501";"Capital",#N/A,FALSE,"cisco2501"}</definedName>
    <definedName name="wrn.cisco2501." localSheetId="3" hidden="1">{"Profit",#N/A,FALSE,"cisco2501";"Capital",#N/A,FALSE,"cisco2501"}</definedName>
    <definedName name="wrn.cisco2501." localSheetId="8" hidden="1">{"Profit",#N/A,FALSE,"cisco2501";"Capital",#N/A,FALSE,"cisco2501"}</definedName>
    <definedName name="wrn.cisco2501." localSheetId="1" hidden="1">{"Profit",#N/A,FALSE,"cisco2501";"Capital",#N/A,FALSE,"cisco2501"}</definedName>
    <definedName name="wrn.cisco2501." localSheetId="0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localSheetId="7" hidden="1">{"Profit",#N/A,FALSE,"cisco2501";"Capital",#N/A,FALSE,"cisco2501"}</definedName>
    <definedName name="wrn.cisco2501." hidden="1">{"Profit",#N/A,FALSE,"cisco2501";"Capital",#N/A,FALSE,"cisco2501"}</definedName>
    <definedName name="wrn.cisco2501a." localSheetId="4" hidden="1">{"Profit",#N/A,FALSE,"Cisco2501a";"Capital",#N/A,FALSE,"Cisco2501a"}</definedName>
    <definedName name="wrn.cisco2501a." localSheetId="5" hidden="1">{"Profit",#N/A,FALSE,"Cisco2501a";"Capital",#N/A,FALSE,"Cisco2501a"}</definedName>
    <definedName name="wrn.cisco2501a." localSheetId="3" hidden="1">{"Profit",#N/A,FALSE,"Cisco2501a";"Capital",#N/A,FALSE,"Cisco2501a"}</definedName>
    <definedName name="wrn.cisco2501a." localSheetId="8" hidden="1">{"Profit",#N/A,FALSE,"Cisco2501a";"Capital",#N/A,FALSE,"Cisco2501a"}</definedName>
    <definedName name="wrn.cisco2501a." localSheetId="1" hidden="1">{"Profit",#N/A,FALSE,"Cisco2501a";"Capital",#N/A,FALSE,"Cisco2501a"}</definedName>
    <definedName name="wrn.cisco2501a." localSheetId="0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localSheetId="7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4" hidden="1">{"Profit",#N/A,FALSE,"Cisco2514";"Capital",#N/A,FALSE,"Cisco2514"}</definedName>
    <definedName name="wrn.cisco2514." localSheetId="5" hidden="1">{"Profit",#N/A,FALSE,"Cisco2514";"Capital",#N/A,FALSE,"Cisco2514"}</definedName>
    <definedName name="wrn.cisco2514." localSheetId="3" hidden="1">{"Profit",#N/A,FALSE,"Cisco2514";"Capital",#N/A,FALSE,"Cisco2514"}</definedName>
    <definedName name="wrn.cisco2514." localSheetId="8" hidden="1">{"Profit",#N/A,FALSE,"Cisco2514";"Capital",#N/A,FALSE,"Cisco2514"}</definedName>
    <definedName name="wrn.cisco2514." localSheetId="1" hidden="1">{"Profit",#N/A,FALSE,"Cisco2514";"Capital",#N/A,FALSE,"Cisco2514"}</definedName>
    <definedName name="wrn.cisco2514." localSheetId="0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localSheetId="7" hidden="1">{"Profit",#N/A,FALSE,"Cisco2514";"Capital",#N/A,FALSE,"Cisco2514"}</definedName>
    <definedName name="wrn.cisco2514." hidden="1">{"Profit",#N/A,FALSE,"Cisco2514";"Capital",#N/A,FALSE,"Cisco2514"}</definedName>
    <definedName name="wrn.cisco4000." localSheetId="4" hidden="1">{"Profit",#N/A,FALSE,"4500(12)";"Capital",#N/A,FALSE,"4500(12)";"Profit",#N/A,FALSE,"Cisco4000";"Capital",#N/A,FALSE,"Cisco4000"}</definedName>
    <definedName name="wrn.cisco4000." localSheetId="5" hidden="1">{"Profit",#N/A,FALSE,"4500(12)";"Capital",#N/A,FALSE,"4500(12)";"Profit",#N/A,FALSE,"Cisco4000";"Capital",#N/A,FALSE,"Cisco4000"}</definedName>
    <definedName name="wrn.cisco4000." localSheetId="3" hidden="1">{"Profit",#N/A,FALSE,"4500(12)";"Capital",#N/A,FALSE,"4500(12)";"Profit",#N/A,FALSE,"Cisco4000";"Capital",#N/A,FALSE,"Cisco4000"}</definedName>
    <definedName name="wrn.cisco4000." localSheetId="8" hidden="1">{"Profit",#N/A,FALSE,"4500(12)";"Capital",#N/A,FALSE,"4500(12)";"Profit",#N/A,FALSE,"Cisco4000";"Capital",#N/A,FALSE,"Cisco4000"}</definedName>
    <definedName name="wrn.cisco4000." localSheetId="1" hidden="1">{"Profit",#N/A,FALSE,"4500(12)";"Capital",#N/A,FALSE,"4500(12)";"Profit",#N/A,FALSE,"Cisco4000";"Capital",#N/A,FALSE,"Cisco4000"}</definedName>
    <definedName name="wrn.cisco4000." localSheetId="0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localSheetId="7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4" hidden="1">{"Profit",#N/A,FALSE,"Cisco4500";"Capital",#N/A,FALSE,"Cisco4500"}</definedName>
    <definedName name="wrn.cisco4500." localSheetId="5" hidden="1">{"Profit",#N/A,FALSE,"Cisco4500";"Capital",#N/A,FALSE,"Cisco4500"}</definedName>
    <definedName name="wrn.cisco4500." localSheetId="3" hidden="1">{"Profit",#N/A,FALSE,"Cisco4500";"Capital",#N/A,FALSE,"Cisco4500"}</definedName>
    <definedName name="wrn.cisco4500." localSheetId="8" hidden="1">{"Profit",#N/A,FALSE,"Cisco4500";"Capital",#N/A,FALSE,"Cisco4500"}</definedName>
    <definedName name="wrn.cisco4500." localSheetId="1" hidden="1">{"Profit",#N/A,FALSE,"Cisco4500";"Capital",#N/A,FALSE,"Cisco4500"}</definedName>
    <definedName name="wrn.cisco4500." localSheetId="0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localSheetId="7" hidden="1">{"Profit",#N/A,FALSE,"Cisco4500";"Capital",#N/A,FALSE,"Cisco4500"}</definedName>
    <definedName name="wrn.cisco4500." hidden="1">{"Profit",#N/A,FALSE,"Cisco4500";"Capital",#N/A,FALSE,"Cisco4500"}</definedName>
    <definedName name="wrn.Cisco4500p." localSheetId="4" hidden="1">{"Profit",#N/A,FALSE,"Cisco 4500p";"Capital",#N/A,FALSE,"Cisco 4500p"}</definedName>
    <definedName name="wrn.Cisco4500p." localSheetId="5" hidden="1">{"Profit",#N/A,FALSE,"Cisco 4500p";"Capital",#N/A,FALSE,"Cisco 4500p"}</definedName>
    <definedName name="wrn.Cisco4500p." localSheetId="3" hidden="1">{"Profit",#N/A,FALSE,"Cisco 4500p";"Capital",#N/A,FALSE,"Cisco 4500p"}</definedName>
    <definedName name="wrn.Cisco4500p." localSheetId="8" hidden="1">{"Profit",#N/A,FALSE,"Cisco 4500p";"Capital",#N/A,FALSE,"Cisco 4500p"}</definedName>
    <definedName name="wrn.Cisco4500p." localSheetId="1" hidden="1">{"Profit",#N/A,FALSE,"Cisco 4500p";"Capital",#N/A,FALSE,"Cisco 4500p"}</definedName>
    <definedName name="wrn.Cisco4500p." localSheetId="0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localSheetId="7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4" hidden="1">{"Profit",#N/A,FALSE,"Cisco7000a";"Capital",#N/A,FALSE,"Cisco7000a"}</definedName>
    <definedName name="wrn.cisco7000a." localSheetId="5" hidden="1">{"Profit",#N/A,FALSE,"Cisco7000a";"Capital",#N/A,FALSE,"Cisco7000a"}</definedName>
    <definedName name="wrn.cisco7000a." localSheetId="3" hidden="1">{"Profit",#N/A,FALSE,"Cisco7000a";"Capital",#N/A,FALSE,"Cisco7000a"}</definedName>
    <definedName name="wrn.cisco7000a." localSheetId="8" hidden="1">{"Profit",#N/A,FALSE,"Cisco7000a";"Capital",#N/A,FALSE,"Cisco7000a"}</definedName>
    <definedName name="wrn.cisco7000a." localSheetId="1" hidden="1">{"Profit",#N/A,FALSE,"Cisco7000a";"Capital",#N/A,FALSE,"Cisco7000a"}</definedName>
    <definedName name="wrn.cisco7000a." localSheetId="0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localSheetId="7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4" hidden="1">{"Profit",#N/A,FALSE,"ciscoags+";"Capital",#N/A,FALSE,"ciscoags+"}</definedName>
    <definedName name="wrn.CiscoAGS." localSheetId="5" hidden="1">{"Profit",#N/A,FALSE,"ciscoags+";"Capital",#N/A,FALSE,"ciscoags+"}</definedName>
    <definedName name="wrn.CiscoAGS." localSheetId="3" hidden="1">{"Profit",#N/A,FALSE,"ciscoags+";"Capital",#N/A,FALSE,"ciscoags+"}</definedName>
    <definedName name="wrn.CiscoAGS." localSheetId="8" hidden="1">{"Profit",#N/A,FALSE,"ciscoags+";"Capital",#N/A,FALSE,"ciscoags+"}</definedName>
    <definedName name="wrn.CiscoAGS." localSheetId="1" hidden="1">{"Profit",#N/A,FALSE,"ciscoags+";"Capital",#N/A,FALSE,"ciscoags+"}</definedName>
    <definedName name="wrn.CiscoAGS." localSheetId="0" hidden="1">{"Profit",#N/A,FALSE,"ciscoags+";"Capital",#N/A,FALSE,"ciscoags+"}</definedName>
    <definedName name="wrn.CiscoAGS." localSheetId="6" hidden="1">{"Profit",#N/A,FALSE,"ciscoags+";"Capital",#N/A,FALSE,"ciscoags+"}</definedName>
    <definedName name="wrn.CiscoAGS." localSheetId="7" hidden="1">{"Profit",#N/A,FALSE,"ciscoags+";"Capital",#N/A,FALSE,"ciscoags+"}</definedName>
    <definedName name="wrn.CiscoAGS." hidden="1">{"Profit",#N/A,FALSE,"ciscoags+";"Capital",#N/A,FALSE,"ciscoags+"}</definedName>
    <definedName name="wrn.compco." localSheetId="4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3" hidden="1">{"mult96",#N/A,FALSE,"PETCOMP";"est96",#N/A,FALSE,"PETCOMP";"mult95",#N/A,FALSE,"PETCOMP";"est95",#N/A,FALSE,"PETCOMP";"multltm",#N/A,FALSE,"PETCOMP";"resultltm",#N/A,FALSE,"PETCOMP"}</definedName>
    <definedName name="wrn.compco." localSheetId="8" hidden="1">{"mult96",#N/A,FALSE,"PETCOMP";"est96",#N/A,FALSE,"PETCOMP";"mult95",#N/A,FALSE,"PETCOMP";"est95",#N/A,FALSE,"PETCOMP";"multltm",#N/A,FALSE,"PETCOMP";"resultltm",#N/A,FALSE,"PETCOMP"}</definedName>
    <definedName name="wrn.compco." localSheetId="1" hidden="1">{"mult96",#N/A,FALSE,"PETCOMP";"est96",#N/A,FALSE,"PETCOMP";"mult95",#N/A,FALSE,"PETCOMP";"est95",#N/A,FALSE,"PETCOMP";"multltm",#N/A,FALSE,"PETCOMP";"resultltm",#N/A,FALSE,"PETCOMP"}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localSheetId="7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4" hidden="1">{"PLCustom",#N/A,FALSE,"P&amp;L summary"}</definedName>
    <definedName name="wrn.CustomPrice." localSheetId="5" hidden="1">{"PLCustom",#N/A,FALSE,"P&amp;L summary"}</definedName>
    <definedName name="wrn.CustomPrice." localSheetId="3" hidden="1">{"PLCustom",#N/A,FALSE,"P&amp;L summary"}</definedName>
    <definedName name="wrn.CustomPrice." localSheetId="8" hidden="1">{"PLCustom",#N/A,FALSE,"P&amp;L summary"}</definedName>
    <definedName name="wrn.CustomPrice." localSheetId="1" hidden="1">{"PLCustom",#N/A,FALSE,"P&amp;L summary"}</definedName>
    <definedName name="wrn.CustomPrice." localSheetId="0" hidden="1">{"PLCustom",#N/A,FALSE,"P&amp;L summary"}</definedName>
    <definedName name="wrn.CustomPrice." localSheetId="6" hidden="1">{"PLCustom",#N/A,FALSE,"P&amp;L summary"}</definedName>
    <definedName name="wrn.CustomPrice." localSheetId="7" hidden="1">{"PLCustom",#N/A,FALSE,"P&amp;L summary"}</definedName>
    <definedName name="wrn.CustomPrice." hidden="1">{"PLCustom",#N/A,FALSE,"P&amp;L summary"}</definedName>
    <definedName name="wrn.DCF." localSheetId="4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3" hidden="1">{"DCF1",#N/A,FALSE,"SIERRA DCF";"MATRIX1",#N/A,FALSE,"SIERRA DCF"}</definedName>
    <definedName name="wrn.DCF." localSheetId="8" hidden="1">{"DCF1",#N/A,FALSE,"SIERRA DCF";"MATRIX1",#N/A,FALSE,"SIERRA DCF"}</definedName>
    <definedName name="wrn.DCF." localSheetId="1" hidden="1">{"DCF1",#N/A,FALSE,"SIERRA DCF";"MATRIX1",#N/A,FALSE,"SIERRA DCF"}</definedName>
    <definedName name="wrn.DCF." localSheetId="0" hidden="1">{"DCF1",#N/A,FALSE,"SIERRA DCF";"MATRIX1",#N/A,FALSE,"SIERRA DCF"}</definedName>
    <definedName name="wrn.DCF." localSheetId="6" hidden="1">{"DCF1",#N/A,FALSE,"SIERRA DCF";"MATRIX1",#N/A,FALSE,"SIERRA DCF"}</definedName>
    <definedName name="wrn.DCF." localSheetId="7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4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3" hidden="1">{"qchm_dcf",#N/A,FALSE,"QCHMDCF2";"qchm_terminal",#N/A,FALSE,"QCHMDCF2"}</definedName>
    <definedName name="wrn.DCF_Terminal_Value_qchm." localSheetId="8" hidden="1">{"qchm_dcf",#N/A,FALSE,"QCHMDCF2";"qchm_terminal",#N/A,FALSE,"QCHMDCF2"}</definedName>
    <definedName name="wrn.DCF_Terminal_Value_qchm." localSheetId="1" hidden="1">{"qchm_dcf",#N/A,FALSE,"QCHMDCF2";"qchm_terminal",#N/A,FALSE,"QCHMDCF2"}</definedName>
    <definedName name="wrn.DCF_Terminal_Value_qchm." localSheetId="0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localSheetId="7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4" hidden="1">{"Depn",#N/A,TRUE,"Equipt Input"}</definedName>
    <definedName name="wrn.Depn." localSheetId="5" hidden="1">{"Depn",#N/A,TRUE,"Equipt Input"}</definedName>
    <definedName name="wrn.Depn." localSheetId="3" hidden="1">{"Depn",#N/A,TRUE,"Equipt Input"}</definedName>
    <definedName name="wrn.Depn." localSheetId="8" hidden="1">{"Depn",#N/A,TRUE,"Equipt Input"}</definedName>
    <definedName name="wrn.Depn." localSheetId="1" hidden="1">{"Depn",#N/A,TRUE,"Equipt Input"}</definedName>
    <definedName name="wrn.Depn." localSheetId="0" hidden="1">{"Depn",#N/A,TRUE,"Equipt Input"}</definedName>
    <definedName name="wrn.Depn." localSheetId="6" hidden="1">{"Depn",#N/A,TRUE,"Equipt Input"}</definedName>
    <definedName name="wrn.Depn." localSheetId="7" hidden="1">{"Depn",#N/A,TRUE,"Equipt Input"}</definedName>
    <definedName name="wrn.Depn." hidden="1">{"Depn",#N/A,TRUE,"Equipt Input"}</definedName>
    <definedName name="wrn.Economic._.Value._.Added._.Analysis." localSheetId="4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3" hidden="1">{"EVA",#N/A,FALSE,"EVA";"WACC",#N/A,FALSE,"WACC"}</definedName>
    <definedName name="wrn.Economic._.Value._.Added._.Analysis." localSheetId="8" hidden="1">{"EVA",#N/A,FALSE,"EVA";"WACC",#N/A,FALSE,"WACC"}</definedName>
    <definedName name="wrn.Economic._.Value._.Added._.Analysis." localSheetId="1" hidden="1">{"EVA",#N/A,FALSE,"EVA";"WACC",#N/A,FALSE,"WACC"}</definedName>
    <definedName name="wrn.Economic._.Value._.Added._.Analysis." localSheetId="0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localSheetId="7" hidden="1">{"EVA",#N/A,FALSE,"EVA";"WACC",#N/A,FALSE,"WACC"}</definedName>
    <definedName name="wrn.Economic._.Value._.Added._.Analysis." hidden="1">{"EVA",#N/A,FALSE,"EVA";"WACC",#N/A,FALSE,"WACC"}</definedName>
    <definedName name="wrn.extn_2501." localSheetId="4" hidden="1">{"Profit",#N/A,FALSE,"extn_2501";"Capital",#N/A,FALSE,"extn_2501"}</definedName>
    <definedName name="wrn.extn_2501." localSheetId="5" hidden="1">{"Profit",#N/A,FALSE,"extn_2501";"Capital",#N/A,FALSE,"extn_2501"}</definedName>
    <definedName name="wrn.extn_2501." localSheetId="3" hidden="1">{"Profit",#N/A,FALSE,"extn_2501";"Capital",#N/A,FALSE,"extn_2501"}</definedName>
    <definedName name="wrn.extn_2501." localSheetId="8" hidden="1">{"Profit",#N/A,FALSE,"extn_2501";"Capital",#N/A,FALSE,"extn_2501"}</definedName>
    <definedName name="wrn.extn_2501." localSheetId="1" hidden="1">{"Profit",#N/A,FALSE,"extn_2501";"Capital",#N/A,FALSE,"extn_2501"}</definedName>
    <definedName name="wrn.extn_2501." localSheetId="0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localSheetId="7" hidden="1">{"Profit",#N/A,FALSE,"extn_2501";"Capital",#N/A,FALSE,"extn_2501"}</definedName>
    <definedName name="wrn.extn_2501." hidden="1">{"Profit",#N/A,FALSE,"extn_2501";"Capital",#N/A,FALSE,"extn_2501"}</definedName>
    <definedName name="wrn.Financials." localSheetId="4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5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3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8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0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7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4" hidden="1">{"finsumm",#N/A,FALSE,"Finsumm";"graph",#N/A,FALSE,"Finsumm";"costgraph",#N/A,FALSE,"Finsumm";"costbreakdown",#N/A,FALSE,"Finsumm"}</definedName>
    <definedName name="wrn.finsummary." localSheetId="5" hidden="1">{"finsumm",#N/A,FALSE,"Finsumm";"graph",#N/A,FALSE,"Finsumm";"costgraph",#N/A,FALSE,"Finsumm";"costbreakdown",#N/A,FALSE,"Finsumm"}</definedName>
    <definedName name="wrn.finsummary." localSheetId="3" hidden="1">{"finsumm",#N/A,FALSE,"Finsumm";"graph",#N/A,FALSE,"Finsumm";"costgraph",#N/A,FALSE,"Finsumm";"costbreakdown",#N/A,FALSE,"Finsumm"}</definedName>
    <definedName name="wrn.finsummary." localSheetId="8" hidden="1">{"finsumm",#N/A,FALSE,"Finsumm";"graph",#N/A,FALSE,"Finsumm";"costgraph",#N/A,FALSE,"Finsumm";"costbreakdown",#N/A,FALSE,"Finsumm"}</definedName>
    <definedName name="wrn.finsummary." localSheetId="1" hidden="1">{"finsumm",#N/A,FALSE,"Finsumm";"graph",#N/A,FALSE,"Finsumm";"costgraph",#N/A,FALSE,"Finsumm";"costbreakdown",#N/A,FALSE,"Finsumm"}</definedName>
    <definedName name="wrn.finsummary." localSheetId="0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localSheetId="7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4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3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8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0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7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4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3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8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0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7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3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localSheetId="4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5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3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8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0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7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4" hidden="1">{"month_a",#N/A,FALSE,"ACTUALS";"ytd_a",#N/A,FALSE,"ACTUALS"}</definedName>
    <definedName name="wrn.MONTH._.YTD." localSheetId="5" hidden="1">{"month_a",#N/A,FALSE,"ACTUALS";"ytd_a",#N/A,FALSE,"ACTUALS"}</definedName>
    <definedName name="wrn.MONTH._.YTD." localSheetId="3" hidden="1">{"month_a",#N/A,FALSE,"ACTUALS";"ytd_a",#N/A,FALSE,"ACTUALS"}</definedName>
    <definedName name="wrn.MONTH._.YTD." localSheetId="8" hidden="1">{"month_a",#N/A,FALSE,"ACTUALS";"ytd_a",#N/A,FALSE,"ACTUALS"}</definedName>
    <definedName name="wrn.MONTH._.YTD." localSheetId="1" hidden="1">{"month_a",#N/A,FALSE,"ACTUALS";"ytd_a",#N/A,FALSE,"ACTUALS"}</definedName>
    <definedName name="wrn.MONTH._.YTD." localSheetId="0" hidden="1">{"month_a",#N/A,FALSE,"ACTUALS";"ytd_a",#N/A,FALSE,"ACTUALS"}</definedName>
    <definedName name="wrn.MONTH._.YTD." localSheetId="6" hidden="1">{"month_a",#N/A,FALSE,"ACTUALS";"ytd_a",#N/A,FALSE,"ACTUALS"}</definedName>
    <definedName name="wrn.MONTH._.YTD." localSheetId="7" hidden="1">{"month_a",#N/A,FALSE,"ACTUALS";"ytd_a",#N/A,FALSE,"ACTUALS"}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4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3" hidden="1">{#N/A,#N/A,FALSE,"Tabelle2";#N/A,#N/A,FALSE,"Tabelle1"}</definedName>
    <definedName name="wrn.Monthly._.Statement." localSheetId="8" hidden="1">{#N/A,#N/A,FALSE,"Tabelle2";#N/A,#N/A,FALSE,"Tabelle1"}</definedName>
    <definedName name="wrn.Monthly._.Statement." localSheetId="1" hidden="1">{#N/A,#N/A,FALSE,"Tabelle2";#N/A,#N/A,FALSE,"Tabelle1"}</definedName>
    <definedName name="wrn.Monthly._.Statement." localSheetId="0" hidden="1">{#N/A,#N/A,FALSE,"Tabelle2";#N/A,#N/A,FALSE,"Tabelle1"}</definedName>
    <definedName name="wrn.Monthly._.Statement." localSheetId="6" hidden="1">{#N/A,#N/A,FALSE,"Tabelle2";#N/A,#N/A,FALSE,"Tabelle1"}</definedName>
    <definedName name="wrn.Monthly._.Statement." localSheetId="7" hidden="1">{#N/A,#N/A,FALSE,"Tabelle2";#N/A,#N/A,FALSE,"Tabelle1"}</definedName>
    <definedName name="wrn.Monthly._.Statement." hidden="1">{#N/A,#N/A,FALSE,"Tabelle2";#N/A,#N/A,FALSE,"Tabelle1"}</definedName>
    <definedName name="wrn.NonPay." localSheetId="4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5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3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8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0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7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4" hidden="1">{#N/A,#N/A,FALSE,"Assumptions";"Basedata",#N/A,FALSE,"BASEINPUT";"Checklist",#N/A,FALSE,"BASEINPUT"}</definedName>
    <definedName name="wrn.Notes." localSheetId="5" hidden="1">{#N/A,#N/A,FALSE,"Assumptions";"Basedata",#N/A,FALSE,"BASEINPUT";"Checklist",#N/A,FALSE,"BASEINPUT"}</definedName>
    <definedName name="wrn.Notes." localSheetId="3" hidden="1">{#N/A,#N/A,FALSE,"Assumptions";"Basedata",#N/A,FALSE,"BASEINPUT";"Checklist",#N/A,FALSE,"BASEINPUT"}</definedName>
    <definedName name="wrn.Notes." localSheetId="8" hidden="1">{#N/A,#N/A,FALSE,"Assumptions";"Basedata",#N/A,FALSE,"BASEINPUT";"Checklist",#N/A,FALSE,"BASEINPUT"}</definedName>
    <definedName name="wrn.Notes." localSheetId="1" hidden="1">{#N/A,#N/A,FALSE,"Assumptions";"Basedata",#N/A,FALSE,"BASEINPUT";"Checklist",#N/A,FALSE,"BASEINPUT"}</definedName>
    <definedName name="wrn.Notes." localSheetId="0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localSheetId="7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4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3" hidden="1">{"DCF","UPSIDE CASE",FALSE,"Sheet1";"DCF","BASE CASE",FALSE,"Sheet1";"DCF","DOWNSIDE CASE",FALSE,"Sheet1"}</definedName>
    <definedName name="wrn.OUTPUT." localSheetId="8" hidden="1">{"DCF","UPSIDE CASE",FALSE,"Sheet1";"DCF","BASE CASE",FALSE,"Sheet1";"DCF","DOWNSIDE CASE",FALSE,"Sheet1"}</definedName>
    <definedName name="wrn.OUTPUT." localSheetId="1" hidden="1">{"DCF","UPSIDE CASE",FALSE,"Sheet1";"DCF","BASE CASE",FALSE,"Sheet1";"DCF","DOWNSIDE CASE",FALSE,"Sheet1"}</definedName>
    <definedName name="wrn.OUTPUT." localSheetId="0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localSheetId="7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4" hidden="1">{#N/A,#N/A,TRUE,"Tæng hîp"}</definedName>
    <definedName name="wrn.phak." localSheetId="5" hidden="1">{#N/A,#N/A,TRUE,"Tæng hîp"}</definedName>
    <definedName name="wrn.phak." localSheetId="3" hidden="1">{#N/A,#N/A,TRUE,"Tæng hîp"}</definedName>
    <definedName name="wrn.phak." localSheetId="8" hidden="1">{#N/A,#N/A,TRUE,"Tæng hîp"}</definedName>
    <definedName name="wrn.phak." localSheetId="1" hidden="1">{#N/A,#N/A,TRUE,"Tæng hîp"}</definedName>
    <definedName name="wrn.phak." localSheetId="0" hidden="1">{#N/A,#N/A,TRUE,"Tæng hîp"}</definedName>
    <definedName name="wrn.phak." localSheetId="6" hidden="1">{#N/A,#N/A,TRUE,"Tæng hîp"}</definedName>
    <definedName name="wrn.phak." localSheetId="7" hidden="1">{#N/A,#N/A,TRUE,"Tæng hîp"}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4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5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3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8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0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7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4" hidden="1">{#N/A,#N/A,FALSE,"Admin";#N/A,#N/A,FALSE,"Other"}</definedName>
    <definedName name="wrn.print." localSheetId="5" hidden="1">{#N/A,#N/A,FALSE,"Admin";#N/A,#N/A,FALSE,"Other"}</definedName>
    <definedName name="wrn.print." localSheetId="3" hidden="1">{#N/A,#N/A,FALSE,"Admin";#N/A,#N/A,FALSE,"Other"}</definedName>
    <definedName name="wrn.print." localSheetId="8" hidden="1">{#N/A,#N/A,FALSE,"Admin";#N/A,#N/A,FALSE,"Other"}</definedName>
    <definedName name="wrn.print." localSheetId="1" hidden="1">{#N/A,#N/A,FALSE,"Admin";#N/A,#N/A,FALSE,"Other"}</definedName>
    <definedName name="wrn.print." localSheetId="0" hidden="1">{#N/A,#N/A,FALSE,"Admin";#N/A,#N/A,FALSE,"Other"}</definedName>
    <definedName name="wrn.print." localSheetId="6" hidden="1">{#N/A,#N/A,FALSE,"Admin";#N/A,#N/A,FALSE,"Other"}</definedName>
    <definedName name="wrn.print." localSheetId="7" hidden="1">{#N/A,#N/A,FALSE,"Admin";#N/A,#N/A,FALSE,"Other"}</definedName>
    <definedName name="wrn.print." hidden="1">{#N/A,#N/A,FALSE,"Admin";#N/A,#N/A,FALSE,"Other"}</definedName>
    <definedName name="wrn.Reader." localSheetId="4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3" hidden="1">{"Reader",#N/A,FALSE,"Summary";"Reader",#N/A,FALSE,"Buildup";"Reader",#N/A,FALSE,"Financials";"Reader",#N/A,FALSE,"Debt &amp; Other"}</definedName>
    <definedName name="wrn.Reader." localSheetId="8" hidden="1">{"Reader",#N/A,FALSE,"Summary";"Reader",#N/A,FALSE,"Buildup";"Reader",#N/A,FALSE,"Financials";"Reader",#N/A,FALSE,"Debt &amp; Other"}</definedName>
    <definedName name="wrn.Reader." localSheetId="1" hidden="1">{"Reader",#N/A,FALSE,"Summary";"Reader",#N/A,FALSE,"Buildup";"Reader",#N/A,FALSE,"Financials";"Reader",#N/A,FALSE,"Debt &amp; Other"}</definedName>
    <definedName name="wrn.Reader." localSheetId="0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localSheetId="7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4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5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3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8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7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localSheetId="4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5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3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8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0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7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4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3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1" hidden="1">{"Header",#N/A,TRUE,"Summary";"ProjectInfo",#N/A,TRUE,"Total Value"}</definedName>
    <definedName name="wrn.SummaryReport." localSheetId="0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3" hidden="1">{"targetdcf",#N/A,FALSE,"Merger consequences";"TARGETASSU",#N/A,FALSE,"Merger consequences";"TERMINAL VALUE",#N/A,FALSE,"Merger consequences"}</definedName>
    <definedName name="wrn.TARGET._.DCF." localSheetId="8" hidden="1">{"targetdcf",#N/A,FALSE,"Merger consequences";"TARGETASSU",#N/A,FALSE,"Merger consequences";"TERMINAL VALUE",#N/A,FALSE,"Merger consequences"}</definedName>
    <definedName name="wrn.TARGET._.DCF." localSheetId="1" hidden="1">{"targetdcf",#N/A,FALSE,"Merger consequences";"TARGETASSU",#N/A,FALSE,"Merger consequences";"TERMINAL VALUE",#N/A,FALSE,"Merger consequences"}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localSheetId="7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4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3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8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0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7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4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3" hidden="1">{"Teacher",#N/A,FALSE,"Summary";"Teacher",#N/A,FALSE,"Assumptions";"Teacher",#N/A,FALSE,"Buildup";"Teacher",#N/A,FALSE,"Financials";"Teacher",#N/A,FALSE,"Debt &amp; Other"}</definedName>
    <definedName name="wrn.Teacher." localSheetId="8" hidden="1">{"Teacher",#N/A,FALSE,"Summary";"Teacher",#N/A,FALSE,"Assumptions";"Teacher",#N/A,FALSE,"Buildup";"Teacher",#N/A,FALSE,"Financials";"Teacher",#N/A,FALSE,"Debt &amp; Other"}</definedName>
    <definedName name="wrn.Teacher." localSheetId="1" hidden="1">{"Teacher",#N/A,FALSE,"Summary";"Teacher",#N/A,FALSE,"Assumptions";"Teacher",#N/A,FALSE,"Buildup";"Teacher",#N/A,FALSE,"Financials";"Teacher",#N/A,FALSE,"Debt &amp; Other"}</definedName>
    <definedName name="wrn.Teacher." localSheetId="0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localSheetId="7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4" hidden="1">{"F3 Presentation",#N/A,FALSE,"F3 ";"F3 detail",#N/A,FALSE,"F3 "}</definedName>
    <definedName name="wrn.test." localSheetId="5" hidden="1">{"F3 Presentation",#N/A,FALSE,"F3 ";"F3 detail",#N/A,FALSE,"F3 "}</definedName>
    <definedName name="wrn.test." localSheetId="3" hidden="1">{"F3 Presentation",#N/A,FALSE,"F3 ";"F3 detail",#N/A,FALSE,"F3 "}</definedName>
    <definedName name="wrn.test." localSheetId="8" hidden="1">{"F3 Presentation",#N/A,FALSE,"F3 ";"F3 detail",#N/A,FALSE,"F3 "}</definedName>
    <definedName name="wrn.test." localSheetId="1" hidden="1">{"F3 Presentation",#N/A,FALSE,"F3 ";"F3 detail",#N/A,FALSE,"F3 "}</definedName>
    <definedName name="wrn.test." localSheetId="0" hidden="1">{"F3 Presentation",#N/A,FALSE,"F3 ";"F3 detail",#N/A,FALSE,"F3 "}</definedName>
    <definedName name="wrn.test." localSheetId="6" hidden="1">{"F3 Presentation",#N/A,FALSE,"F3 ";"F3 detail",#N/A,FALSE,"F3 "}</definedName>
    <definedName name="wrn.test." localSheetId="7" hidden="1">{"F3 Presentation",#N/A,FALSE,"F3 ";"F3 detail",#N/A,FALSE,"F3 "}</definedName>
    <definedName name="wrn.test." hidden="1">{"F3 Presentation",#N/A,FALSE,"F3 ";"F3 detail",#N/A,FALSE,"F3 "}</definedName>
    <definedName name="wrn.test2." localSheetId="4" hidden="1">{"F3 detail",#N/A,FALSE,"F3 ";"F3 Presentation",#N/A,FALSE,"F3 "}</definedName>
    <definedName name="wrn.test2." localSheetId="5" hidden="1">{"F3 detail",#N/A,FALSE,"F3 ";"F3 Presentation",#N/A,FALSE,"F3 "}</definedName>
    <definedName name="wrn.test2." localSheetId="3" hidden="1">{"F3 detail",#N/A,FALSE,"F3 ";"F3 Presentation",#N/A,FALSE,"F3 "}</definedName>
    <definedName name="wrn.test2." localSheetId="8" hidden="1">{"F3 detail",#N/A,FALSE,"F3 ";"F3 Presentation",#N/A,FALSE,"F3 "}</definedName>
    <definedName name="wrn.test2." localSheetId="1" hidden="1">{"F3 detail",#N/A,FALSE,"F3 ";"F3 Presentation",#N/A,FALSE,"F3 "}</definedName>
    <definedName name="wrn.test2." localSheetId="0" hidden="1">{"F3 detail",#N/A,FALSE,"F3 ";"F3 Presentation",#N/A,FALSE,"F3 "}</definedName>
    <definedName name="wrn.test2." localSheetId="6" hidden="1">{"F3 detail",#N/A,FALSE,"F3 ";"F3 Presentation",#N/A,FALSE,"F3 "}</definedName>
    <definedName name="wrn.test2." localSheetId="7" hidden="1">{"F3 detail",#N/A,FALSE,"F3 ";"F3 Presentation",#N/A,FALSE,"F3 "}</definedName>
    <definedName name="wrn.test2." hidden="1">{"F3 detail",#N/A,FALSE,"F3 ";"F3 Presentation",#N/A,FALSE,"F3 "}</definedName>
    <definedName name="wrn.test3." localSheetId="4" hidden="1">{"F3 detail",#N/A,FALSE,"F1";"F3 Presentation",#N/A,FALSE,"F3 "}</definedName>
    <definedName name="wrn.test3." localSheetId="5" hidden="1">{"F3 detail",#N/A,FALSE,"F1";"F3 Presentation",#N/A,FALSE,"F3 "}</definedName>
    <definedName name="wrn.test3." localSheetId="3" hidden="1">{"F3 detail",#N/A,FALSE,"F1";"F3 Presentation",#N/A,FALSE,"F3 "}</definedName>
    <definedName name="wrn.test3." localSheetId="8" hidden="1">{"F3 detail",#N/A,FALSE,"F1";"F3 Presentation",#N/A,FALSE,"F3 "}</definedName>
    <definedName name="wrn.test3." localSheetId="1" hidden="1">{"F3 detail",#N/A,FALSE,"F1";"F3 Presentation",#N/A,FALSE,"F3 "}</definedName>
    <definedName name="wrn.test3." localSheetId="0" hidden="1">{"F3 detail",#N/A,FALSE,"F1";"F3 Presentation",#N/A,FALSE,"F3 "}</definedName>
    <definedName name="wrn.test3." localSheetId="6" hidden="1">{"F3 detail",#N/A,FALSE,"F1";"F3 Presentation",#N/A,FALSE,"F3 "}</definedName>
    <definedName name="wrn.test3." localSheetId="7" hidden="1">{"F3 detail",#N/A,FALSE,"F1";"F3 Presentation",#N/A,FALSE,"F3 "}</definedName>
    <definedName name="wrn.test3." hidden="1">{"F3 detail",#N/A,FALSE,"F1";"F3 Presentation",#N/A,FALSE,"F3 "}</definedName>
    <definedName name="wrn.vd." localSheetId="4" hidden="1">{#N/A,#N/A,TRUE,"BT M200 da 10x20"}</definedName>
    <definedName name="wrn.vd." localSheetId="5" hidden="1">{#N/A,#N/A,TRUE,"BT M200 da 10x20"}</definedName>
    <definedName name="wrn.vd." localSheetId="3" hidden="1">{#N/A,#N/A,TRUE,"BT M200 da 10x20"}</definedName>
    <definedName name="wrn.vd." localSheetId="8" hidden="1">{#N/A,#N/A,TRUE,"BT M200 da 10x20"}</definedName>
    <definedName name="wrn.vd." localSheetId="1" hidden="1">{#N/A,#N/A,TRUE,"BT M200 da 10x20"}</definedName>
    <definedName name="wrn.vd." localSheetId="0" hidden="1">{#N/A,#N/A,TRUE,"BT M200 da 10x20"}</definedName>
    <definedName name="wrn.vd." localSheetId="6" hidden="1">{#N/A,#N/A,TRUE,"BT M200 da 10x20"}</definedName>
    <definedName name="wrn.vd." localSheetId="7" hidden="1">{#N/A,#N/A,TRUE,"BT M200 da 10x20"}</definedName>
    <definedName name="wrn.vd." hidden="1">{#N/A,#N/A,TRUE,"BT M200 da 10x20"}</definedName>
    <definedName name="WRN2.NONPAY" localSheetId="4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5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3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8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0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7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hidden="1">{"revable",#N/A,FALSE,"REVABLE"}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hidden="1">#REF!</definedName>
    <definedName name="xdfgsg" localSheetId="4" hidden="1">{"Profit",#N/A,FALSE,"Cisco7000a";"Capital",#N/A,FALSE,"Cisco7000a"}</definedName>
    <definedName name="xdfgsg" localSheetId="5" hidden="1">{"Profit",#N/A,FALSE,"Cisco7000a";"Capital",#N/A,FALSE,"Cisco7000a"}</definedName>
    <definedName name="xdfgsg" localSheetId="3" hidden="1">{"Profit",#N/A,FALSE,"Cisco7000a";"Capital",#N/A,FALSE,"Cisco7000a"}</definedName>
    <definedName name="xdfgsg" localSheetId="8" hidden="1">{"Profit",#N/A,FALSE,"Cisco7000a";"Capital",#N/A,FALSE,"Cisco7000a"}</definedName>
    <definedName name="xdfgsg" localSheetId="1" hidden="1">{"Profit",#N/A,FALSE,"Cisco7000a";"Capital",#N/A,FALSE,"Cisco7000a"}</definedName>
    <definedName name="xdfgsg" localSheetId="0" hidden="1">{"Profit",#N/A,FALSE,"Cisco7000a";"Capital",#N/A,FALSE,"Cisco7000a"}</definedName>
    <definedName name="xdfgsg" localSheetId="6" hidden="1">{"Profit",#N/A,FALSE,"Cisco7000a";"Capital",#N/A,FALSE,"Cisco7000a"}</definedName>
    <definedName name="xdfgsg" localSheetId="7" hidden="1">{"Profit",#N/A,FALSE,"Cisco7000a";"Capital",#N/A,FALSE,"Cisco7000a"}</definedName>
    <definedName name="xdfgsg" hidden="1">{"Profit",#N/A,FALSE,"Cisco7000a";"Capital",#N/A,FALSE,"Cisco7000a"}</definedName>
    <definedName name="xkeogjana" localSheetId="4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3" hidden="1">{"Reader",#N/A,FALSE,"Summary";"Reader",#N/A,FALSE,"Buildup";"Reader",#N/A,FALSE,"Financials";"Reader",#N/A,FALSE,"Debt &amp; Other"}</definedName>
    <definedName name="xkeogjana" localSheetId="8" hidden="1">{"Reader",#N/A,FALSE,"Summary";"Reader",#N/A,FALSE,"Buildup";"Reader",#N/A,FALSE,"Financials";"Reader",#N/A,FALSE,"Debt &amp; Other"}</definedName>
    <definedName name="xkeogjana" localSheetId="1" hidden="1">{"Reader",#N/A,FALSE,"Summary";"Reader",#N/A,FALSE,"Buildup";"Reader",#N/A,FALSE,"Financials";"Reader",#N/A,FALSE,"Debt &amp; Other"}</definedName>
    <definedName name="xkeogjana" localSheetId="0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localSheetId="7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4" hidden="1">{"F3 detail",#N/A,FALSE,"F1";"F3 Presentation",#N/A,FALSE,"F3 "}</definedName>
    <definedName name="xls" localSheetId="5" hidden="1">{"F3 detail",#N/A,FALSE,"F1";"F3 Presentation",#N/A,FALSE,"F3 "}</definedName>
    <definedName name="xls" localSheetId="3" hidden="1">{"F3 detail",#N/A,FALSE,"F1";"F3 Presentation",#N/A,FALSE,"F3 "}</definedName>
    <definedName name="xls" localSheetId="8" hidden="1">{"F3 detail",#N/A,FALSE,"F1";"F3 Presentation",#N/A,FALSE,"F3 "}</definedName>
    <definedName name="xls" localSheetId="1" hidden="1">{"F3 detail",#N/A,FALSE,"F1";"F3 Presentation",#N/A,FALSE,"F3 "}</definedName>
    <definedName name="xls" localSheetId="0" hidden="1">{"F3 detail",#N/A,FALSE,"F1";"F3 Presentation",#N/A,FALSE,"F3 "}</definedName>
    <definedName name="xls" localSheetId="6" hidden="1">{"F3 detail",#N/A,FALSE,"F1";"F3 Presentation",#N/A,FALSE,"F3 "}</definedName>
    <definedName name="xls" localSheetId="7" hidden="1">{"F3 detail",#N/A,FALSE,"F1";"F3 Presentation",#N/A,FALSE,"F3 "}</definedName>
    <definedName name="xls" hidden="1">{"F3 detail",#N/A,FALSE,"F1";"F3 Presentation",#N/A,FALSE,"F3 "}</definedName>
    <definedName name="XTRACT">#REF!</definedName>
    <definedName name="xx" hidden="1">#REF!</definedName>
    <definedName name="xxxx" localSheetId="4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3" hidden="1">{"HK PR",#N/A,FALSE,"HK";"SUMMARY",#N/A,FALSE,"PAYROLL";"SUMMARY",#N/A,FALSE,"PAYROLL";"HK PR",#N/A,FALSE,"HK"}</definedName>
    <definedName name="xxxx" localSheetId="8" hidden="1">{"HK PR",#N/A,FALSE,"HK";"SUMMARY",#N/A,FALSE,"PAYROLL";"SUMMARY",#N/A,FALSE,"PAYROLL";"HK PR",#N/A,FALSE,"HK"}</definedName>
    <definedName name="xxxx" localSheetId="1" hidden="1">{"HK PR",#N/A,FALSE,"HK";"SUMMARY",#N/A,FALSE,"PAYROLL";"SUMMARY",#N/A,FALSE,"PAYROLL";"HK PR",#N/A,FALSE,"HK"}</definedName>
    <definedName name="xxxx" localSheetId="0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localSheetId="7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4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3" hidden="1">{"HK PR",#N/A,FALSE,"HK";"SUMMARY",#N/A,FALSE,"PAYROLL";"SUMMARY",#N/A,FALSE,"PAYROLL";"HK PR",#N/A,FALSE,"HK"}</definedName>
    <definedName name="xxxxx" localSheetId="8" hidden="1">{"HK PR",#N/A,FALSE,"HK";"SUMMARY",#N/A,FALSE,"PAYROLL";"SUMMARY",#N/A,FALSE,"PAYROLL";"HK PR",#N/A,FALSE,"HK"}</definedName>
    <definedName name="xxxxx" localSheetId="1" hidden="1">{"HK PR",#N/A,FALSE,"HK";"SUMMARY",#N/A,FALSE,"PAYROLL";"SUMMARY",#N/A,FALSE,"PAYROLL";"HK PR",#N/A,FALSE,"HK"}</definedName>
    <definedName name="xxxxx" localSheetId="0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localSheetId="7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xzvxz">#REF!</definedName>
    <definedName name="y" hidden="1">{"revsale",#N/A,FALSE,"REV-ยุพดี"}</definedName>
    <definedName name="YARDAA">#REF!</definedName>
    <definedName name="year" localSheetId="4">'Dai Loc'!$3:$3</definedName>
    <definedName name="year" localSheetId="5">'Dong Lam'!$3:$3</definedName>
    <definedName name="year" localSheetId="3">DTR!$3:$3</definedName>
    <definedName name="year" localSheetId="8">DTRVL!$3:$3</definedName>
    <definedName name="year" localSheetId="1">'Hop cong'!$3:$3</definedName>
    <definedName name="year" localSheetId="0">'Hop nhat'!$3:$3</definedName>
    <definedName name="year" localSheetId="6">'Khanh Nga'!$3:$3</definedName>
    <definedName name="year" localSheetId="7">TDP!$3:$3</definedName>
    <definedName name="year">'[1]DT Xanh'!$3:$3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TDA">#REF!</definedName>
    <definedName name="YTDI">#REF!</definedName>
    <definedName name="yu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3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hidden="1">{"revsale",#N/A,FALSE,"REV-ยุพดี"}</definedName>
    <definedName name="เงินสด" hidden="1">{"lev1bt",#N/A,FALSE,"1_LEVB-T"}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hidden="1">{"lev2ytd",#N/A,FALSE,"2_LEVYTD"}</definedName>
    <definedName name="ขายเกินวงเงิน">#N/A</definedName>
    <definedName name="ฃ" hidden="1">{"cashflow",#N/A,FALSE,"CASHFLOW 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hidden="1">{"revsale",#N/A,FALSE,"REV-ยุพดี"}</definedName>
    <definedName name="ง" hidden="1">{"level1",#N/A,FALSE,"1_LEV";"LEVEL1",#N/A,FALSE,"1_LEV"}</definedName>
    <definedName name="จ" hidden="1">{"lev2mon",#N/A,FALSE,"2_levmon"}</definedName>
    <definedName name="จ_เกษียณ">#REF!</definedName>
    <definedName name="จ1_HP_A">#REF!</definedName>
    <definedName name="จ1_HP_B">#REF!</definedName>
    <definedName name="จ2_HP_A">#REF!</definedName>
    <definedName name="จ2_HP_B">#REF!</definedName>
    <definedName name="จ3_HP_A">#REF!</definedName>
    <definedName name="จ3_HP_B">#REF!</definedName>
    <definedName name="จจจ" hidden="1">{"revsale",#N/A,FALSE,"REV-ยุพดี"}</definedName>
    <definedName name="ช">#REF!</definedName>
    <definedName name="ชชช" hidden="1">{"income",#N/A,FALSE,"INCOME"}</definedName>
    <definedName name="ด" hidden="1">{"lev2tytbt",#N/A,FALSE,"2_LEVYTDB-T"}</definedName>
    <definedName name="ดดดด" hidden="1">{"lev1bt",#N/A,FALSE,"1_LEVB-T"}</definedName>
    <definedName name="ต" hidden="1">{"cashflow",#N/A,FALSE,"CASHFLOW "}</definedName>
    <definedName name="ถ" hidden="1">{"balance",#N/A,FALSE,"BALANCE"}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">#N/A</definedName>
    <definedName name="นยบ" hidden="1">{"revable",#N/A,FALSE,"REVABLE"}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hidden="1">{"hilight1",#N/A,FALSE,"HILIGHT1"}</definedName>
    <definedName name="บ5_HP">#REF!</definedName>
    <definedName name="บบบ" hidden="1">{"lev2mon",#N/A,FALSE,"2_levmon"}</definedName>
    <definedName name="ป">#REF!</definedName>
    <definedName name="ผ">#N/A</definedName>
    <definedName name="ฝ">#N/A</definedName>
    <definedName name="พ" hidden="1">{"sales",#N/A,FALSE,"SALES"}</definedName>
    <definedName name="พพพ" hidden="1">{"revsale",#N/A,FALSE,"REV-ยุพดี"}</definedName>
    <definedName name="ฟ7" hidden="1">{"PRINT_EST",#N/A,FALSE,"ESTMON"}</definedName>
    <definedName name="ฟฟ">#REF!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hidden="1">{"hilight2",#N/A,FALSE,"HILIGHT2"}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hidden="1">{"sales",#N/A,FALSE,"SALES"}</definedName>
    <definedName name="ยยย" hidden="1">{"sales",#N/A,FALSE,"SALES"}</definedName>
    <definedName name="ร">#N/A</definedName>
    <definedName name="รรร" hidden="1">{"revable",#N/A,FALSE,"REVABLE"}</definedName>
    <definedName name="รา" hidden="1">{"hilight1",#N/A,FALSE,"HILIGHT1"}</definedName>
    <definedName name="รายงานประชุมสินเชื่อ_0904" hidden="1">{"balance",#N/A,FALSE,"BALANCE"}</definedName>
    <definedName name="ล" hidden="1">{"lev2monbt",#N/A,FALSE,"2_levmonB-T"}</definedName>
    <definedName name="ลูกค้าเงินสด">#REF!</definedName>
    <definedName name="ว" hidden="1">{"lev1bt",#N/A,FALSE,"1_LEVB-T"}</definedName>
    <definedName name="วยนบ" hidden="1">{"sales",#N/A,FALSE,"SALES"}</definedName>
    <definedName name="วววว" hidden="1">{"hilight1",#N/A,FALSE,"HILIGHT1"}</definedName>
    <definedName name="ววววว" hidden="1">{"PRINT_EST",#N/A,FALSE,"ESTMON"}</definedName>
    <definedName name="วาระประชุม1004" hidden="1">{"lev1bt",#N/A,FALSE,"1_LEVB-T"}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hidden="1">{"revsale",#N/A,FALSE,"REV-ยุพดี"}</definedName>
    <definedName name="สว">#REF!</definedName>
    <definedName name="สสส" hidden="1">{"sales",#N/A,FALSE,"SALES"}</definedName>
    <definedName name="ห" hidden="1">{"revable",#N/A,FALSE,"REVABLE"}</definedName>
    <definedName name="หห" hidden="1">{"sales",#N/A,FALSE,"SALES"}</definedName>
    <definedName name="หหห" hidden="1">{"revable",#N/A,FALSE,"REVABLE"}</definedName>
    <definedName name="อ" hidden="1">{"balance",#N/A,FALSE,"BALANCE"}</definedName>
    <definedName name="อออ" hidden="1">{"PRINT_EST",#N/A,FALSE,"ESTMON"}</definedName>
    <definedName name="ๆ" hidden="1">{"lev2monbt",#N/A,FALSE,"2_levmonB-T"}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34" i="2" l="1"/>
  <c r="AK134" i="2"/>
  <c r="AJ134" i="2"/>
  <c r="AI134" i="2"/>
  <c r="AH134" i="2"/>
  <c r="AG134" i="2"/>
  <c r="AF134" i="2"/>
  <c r="AE134" i="2"/>
  <c r="AM134" i="2" s="1"/>
  <c r="AD134" i="2"/>
  <c r="AC134" i="2"/>
  <c r="AB134" i="2"/>
  <c r="AA134" i="2"/>
  <c r="AL325" i="9"/>
  <c r="AK325" i="9"/>
  <c r="AJ325" i="9"/>
  <c r="AI325" i="9"/>
  <c r="AH325" i="9"/>
  <c r="AG325" i="9"/>
  <c r="AF325" i="9"/>
  <c r="AE325" i="9"/>
  <c r="AD325" i="9"/>
  <c r="AC325" i="9"/>
  <c r="AB325" i="9"/>
  <c r="AA325" i="9"/>
  <c r="AL324" i="9"/>
  <c r="AK324" i="9"/>
  <c r="AJ324" i="9"/>
  <c r="AI324" i="9"/>
  <c r="AH324" i="9"/>
  <c r="AG324" i="9"/>
  <c r="AF324" i="9"/>
  <c r="AE324" i="9"/>
  <c r="AD324" i="9"/>
  <c r="AC324" i="9"/>
  <c r="AB324" i="9"/>
  <c r="AA324" i="9"/>
  <c r="A324" i="9"/>
  <c r="AL323" i="9"/>
  <c r="AK323" i="9"/>
  <c r="AJ323" i="9"/>
  <c r="AI323" i="9"/>
  <c r="AH323" i="9"/>
  <c r="AG323" i="9"/>
  <c r="AF323" i="9"/>
  <c r="AE323" i="9"/>
  <c r="AD323" i="9"/>
  <c r="AC323" i="9"/>
  <c r="AB323" i="9"/>
  <c r="AA323" i="9"/>
  <c r="AL322" i="9"/>
  <c r="AK322" i="9"/>
  <c r="AJ322" i="9"/>
  <c r="AI322" i="9"/>
  <c r="AH322" i="9"/>
  <c r="AG322" i="9"/>
  <c r="AF322" i="9"/>
  <c r="AE322" i="9"/>
  <c r="AD322" i="9"/>
  <c r="AC322" i="9"/>
  <c r="AB322" i="9"/>
  <c r="AA322" i="9"/>
  <c r="AL321" i="9"/>
  <c r="AK321" i="9"/>
  <c r="AJ321" i="9"/>
  <c r="AI321" i="9"/>
  <c r="AH321" i="9"/>
  <c r="AG321" i="9"/>
  <c r="AF321" i="9"/>
  <c r="AE321" i="9"/>
  <c r="AD321" i="9"/>
  <c r="AC321" i="9"/>
  <c r="AB321" i="9"/>
  <c r="AA321" i="9"/>
  <c r="AL320" i="9"/>
  <c r="AK320" i="9"/>
  <c r="AJ320" i="9"/>
  <c r="AI320" i="9"/>
  <c r="AH320" i="9"/>
  <c r="AG320" i="9"/>
  <c r="AF320" i="9"/>
  <c r="AE320" i="9"/>
  <c r="AD320" i="9"/>
  <c r="AC320" i="9"/>
  <c r="AB320" i="9"/>
  <c r="AA320" i="9"/>
  <c r="AL319" i="9"/>
  <c r="AK319" i="9"/>
  <c r="AJ319" i="9"/>
  <c r="AI319" i="9"/>
  <c r="AH319" i="9"/>
  <c r="AG319" i="9"/>
  <c r="AF319" i="9"/>
  <c r="AE319" i="9"/>
  <c r="AD319" i="9"/>
  <c r="AC319" i="9"/>
  <c r="AB319" i="9"/>
  <c r="AA319" i="9"/>
  <c r="AL318" i="9"/>
  <c r="AK318" i="9"/>
  <c r="AJ318" i="9"/>
  <c r="AI318" i="9"/>
  <c r="AH318" i="9"/>
  <c r="AG318" i="9"/>
  <c r="AF318" i="9"/>
  <c r="AE318" i="9"/>
  <c r="AD318" i="9"/>
  <c r="AC318" i="9"/>
  <c r="AB318" i="9"/>
  <c r="AA318" i="9"/>
  <c r="AL317" i="9"/>
  <c r="AK317" i="9"/>
  <c r="AJ317" i="9"/>
  <c r="AI317" i="9"/>
  <c r="AH317" i="9"/>
  <c r="AG317" i="9"/>
  <c r="AF317" i="9"/>
  <c r="AE317" i="9"/>
  <c r="AD317" i="9"/>
  <c r="AC317" i="9"/>
  <c r="AB317" i="9"/>
  <c r="AA317" i="9"/>
  <c r="AL316" i="9"/>
  <c r="AK316" i="9"/>
  <c r="AJ316" i="9"/>
  <c r="AI316" i="9"/>
  <c r="AH316" i="9"/>
  <c r="AG316" i="9"/>
  <c r="AF316" i="9"/>
  <c r="AE316" i="9"/>
  <c r="AD316" i="9"/>
  <c r="AC316" i="9"/>
  <c r="AB316" i="9"/>
  <c r="AA316" i="9"/>
  <c r="AL315" i="9"/>
  <c r="AK315" i="9"/>
  <c r="AJ315" i="9"/>
  <c r="AI315" i="9"/>
  <c r="AH315" i="9"/>
  <c r="AG315" i="9"/>
  <c r="AF315" i="9"/>
  <c r="AE315" i="9"/>
  <c r="AD315" i="9"/>
  <c r="AC315" i="9"/>
  <c r="AB315" i="9"/>
  <c r="AA315" i="9"/>
  <c r="AL314" i="9"/>
  <c r="AK314" i="9"/>
  <c r="AJ314" i="9"/>
  <c r="AI314" i="9"/>
  <c r="AH314" i="9"/>
  <c r="AG314" i="9"/>
  <c r="AF314" i="9"/>
  <c r="AE314" i="9"/>
  <c r="AD314" i="9"/>
  <c r="AC314" i="9"/>
  <c r="AB314" i="9"/>
  <c r="AA314" i="9"/>
  <c r="AL313" i="9"/>
  <c r="AK313" i="9"/>
  <c r="AJ313" i="9"/>
  <c r="AI313" i="9"/>
  <c r="AH313" i="9"/>
  <c r="AG313" i="9"/>
  <c r="AF313" i="9"/>
  <c r="AE313" i="9"/>
  <c r="AD313" i="9"/>
  <c r="AC313" i="9"/>
  <c r="AB313" i="9"/>
  <c r="AA313" i="9"/>
  <c r="AL312" i="9"/>
  <c r="AK312" i="9"/>
  <c r="AJ312" i="9"/>
  <c r="AI312" i="9"/>
  <c r="AH312" i="9"/>
  <c r="AG312" i="9"/>
  <c r="AF312" i="9"/>
  <c r="AE312" i="9"/>
  <c r="AD312" i="9"/>
  <c r="AC312" i="9"/>
  <c r="AB312" i="9"/>
  <c r="AA312" i="9"/>
  <c r="AL311" i="9"/>
  <c r="AK311" i="9"/>
  <c r="AJ311" i="9"/>
  <c r="AI311" i="9"/>
  <c r="AH311" i="9"/>
  <c r="AG311" i="9"/>
  <c r="AF311" i="9"/>
  <c r="AE311" i="9"/>
  <c r="AD311" i="9"/>
  <c r="AC311" i="9"/>
  <c r="AB311" i="9"/>
  <c r="AA311" i="9"/>
  <c r="AL310" i="9"/>
  <c r="AK310" i="9"/>
  <c r="AJ310" i="9"/>
  <c r="AI310" i="9"/>
  <c r="AH310" i="9"/>
  <c r="AG310" i="9"/>
  <c r="AF310" i="9"/>
  <c r="AE310" i="9"/>
  <c r="AD310" i="9"/>
  <c r="AC310" i="9"/>
  <c r="AB310" i="9"/>
  <c r="AA310" i="9"/>
  <c r="AL309" i="9"/>
  <c r="AK309" i="9"/>
  <c r="AJ309" i="9"/>
  <c r="AI309" i="9"/>
  <c r="AH309" i="9"/>
  <c r="AG309" i="9"/>
  <c r="AF309" i="9"/>
  <c r="AE309" i="9"/>
  <c r="AD309" i="9"/>
  <c r="AC309" i="9"/>
  <c r="AB309" i="9"/>
  <c r="AA309" i="9"/>
  <c r="Y309" i="9"/>
  <c r="AL308" i="9"/>
  <c r="AK308" i="9"/>
  <c r="AJ308" i="9"/>
  <c r="AI308" i="9"/>
  <c r="AH308" i="9"/>
  <c r="AG308" i="9"/>
  <c r="AF308" i="9"/>
  <c r="AE308" i="9"/>
  <c r="AD308" i="9"/>
  <c r="AC308" i="9"/>
  <c r="AB308" i="9"/>
  <c r="AA308" i="9"/>
  <c r="AL307" i="9"/>
  <c r="AK307" i="9"/>
  <c r="AJ307" i="9"/>
  <c r="AI307" i="9"/>
  <c r="AH307" i="9"/>
  <c r="AG307" i="9"/>
  <c r="AF307" i="9"/>
  <c r="AE307" i="9"/>
  <c r="AD307" i="9"/>
  <c r="AC307" i="9"/>
  <c r="AB307" i="9"/>
  <c r="AA307" i="9"/>
  <c r="AL306" i="9"/>
  <c r="AK306" i="9"/>
  <c r="AJ306" i="9"/>
  <c r="AI306" i="9"/>
  <c r="AH306" i="9"/>
  <c r="AG306" i="9"/>
  <c r="AF306" i="9"/>
  <c r="AE306" i="9"/>
  <c r="AD306" i="9"/>
  <c r="AC306" i="9"/>
  <c r="AB306" i="9"/>
  <c r="AA306" i="9"/>
  <c r="A306" i="9"/>
  <c r="AL305" i="9"/>
  <c r="AK305" i="9"/>
  <c r="AJ305" i="9"/>
  <c r="AI305" i="9"/>
  <c r="AH305" i="9"/>
  <c r="AG305" i="9"/>
  <c r="AF305" i="9"/>
  <c r="AE305" i="9"/>
  <c r="AD305" i="9"/>
  <c r="AC305" i="9"/>
  <c r="AB305" i="9"/>
  <c r="AA305" i="9"/>
  <c r="AL304" i="9"/>
  <c r="AK304" i="9"/>
  <c r="AJ304" i="9"/>
  <c r="AI304" i="9"/>
  <c r="AH304" i="9"/>
  <c r="AG304" i="9"/>
  <c r="AF304" i="9"/>
  <c r="AE304" i="9"/>
  <c r="AD304" i="9"/>
  <c r="AC304" i="9"/>
  <c r="AB304" i="9"/>
  <c r="AA304" i="9"/>
  <c r="A304" i="9"/>
  <c r="A322" i="9" s="1"/>
  <c r="AL303" i="9"/>
  <c r="AK303" i="9"/>
  <c r="AJ303" i="9"/>
  <c r="AI303" i="9"/>
  <c r="AH303" i="9"/>
  <c r="AG303" i="9"/>
  <c r="AF303" i="9"/>
  <c r="AE303" i="9"/>
  <c r="AD303" i="9"/>
  <c r="AC303" i="9"/>
  <c r="AB303" i="9"/>
  <c r="AA303" i="9"/>
  <c r="AL302" i="9"/>
  <c r="AK302" i="9"/>
  <c r="AJ302" i="9"/>
  <c r="AI302" i="9"/>
  <c r="AH302" i="9"/>
  <c r="AG302" i="9"/>
  <c r="AF302" i="9"/>
  <c r="AE302" i="9"/>
  <c r="AD302" i="9"/>
  <c r="AC302" i="9"/>
  <c r="AB302" i="9"/>
  <c r="AA302" i="9"/>
  <c r="A302" i="9"/>
  <c r="A320" i="9" s="1"/>
  <c r="AL301" i="9"/>
  <c r="AK301" i="9"/>
  <c r="AJ301" i="9"/>
  <c r="AI301" i="9"/>
  <c r="AH301" i="9"/>
  <c r="AG301" i="9"/>
  <c r="AF301" i="9"/>
  <c r="AE301" i="9"/>
  <c r="AD301" i="9"/>
  <c r="AC301" i="9"/>
  <c r="AB301" i="9"/>
  <c r="AA301" i="9"/>
  <c r="AL300" i="9"/>
  <c r="AK300" i="9"/>
  <c r="AJ300" i="9"/>
  <c r="AI300" i="9"/>
  <c r="AH300" i="9"/>
  <c r="AG300" i="9"/>
  <c r="AF300" i="9"/>
  <c r="AE300" i="9"/>
  <c r="AD300" i="9"/>
  <c r="AC300" i="9"/>
  <c r="AB300" i="9"/>
  <c r="AA300" i="9"/>
  <c r="AL299" i="9"/>
  <c r="AK299" i="9"/>
  <c r="AJ299" i="9"/>
  <c r="AI299" i="9"/>
  <c r="AH299" i="9"/>
  <c r="AG299" i="9"/>
  <c r="AF299" i="9"/>
  <c r="AE299" i="9"/>
  <c r="AD299" i="9"/>
  <c r="AC299" i="9"/>
  <c r="AB299" i="9"/>
  <c r="AA299" i="9"/>
  <c r="A299" i="9"/>
  <c r="AL298" i="9"/>
  <c r="AK298" i="9"/>
  <c r="AJ298" i="9"/>
  <c r="AI298" i="9"/>
  <c r="AH298" i="9"/>
  <c r="AG298" i="9"/>
  <c r="AF298" i="9"/>
  <c r="AE298" i="9"/>
  <c r="AD298" i="9"/>
  <c r="AC298" i="9"/>
  <c r="AB298" i="9"/>
  <c r="AA298" i="9"/>
  <c r="A298" i="9"/>
  <c r="AL297" i="9"/>
  <c r="AK297" i="9"/>
  <c r="AJ297" i="9"/>
  <c r="AI297" i="9"/>
  <c r="AH297" i="9"/>
  <c r="AG297" i="9"/>
  <c r="AF297" i="9"/>
  <c r="AE297" i="9"/>
  <c r="AD297" i="9"/>
  <c r="AC297" i="9"/>
  <c r="AB297" i="9"/>
  <c r="AA297" i="9"/>
  <c r="A297" i="9"/>
  <c r="A315" i="9" s="1"/>
  <c r="AL296" i="9"/>
  <c r="AK296" i="9"/>
  <c r="AJ296" i="9"/>
  <c r="AI296" i="9"/>
  <c r="AH296" i="9"/>
  <c r="AG296" i="9"/>
  <c r="AF296" i="9"/>
  <c r="AE296" i="9"/>
  <c r="AD296" i="9"/>
  <c r="AC296" i="9"/>
  <c r="AB296" i="9"/>
  <c r="AA296" i="9"/>
  <c r="AL295" i="9"/>
  <c r="AK295" i="9"/>
  <c r="AJ295" i="9"/>
  <c r="AI295" i="9"/>
  <c r="AH295" i="9"/>
  <c r="AG295" i="9"/>
  <c r="AF295" i="9"/>
  <c r="AE295" i="9"/>
  <c r="AD295" i="9"/>
  <c r="AC295" i="9"/>
  <c r="AB295" i="9"/>
  <c r="AA295" i="9"/>
  <c r="A295" i="9"/>
  <c r="A313" i="9" s="1"/>
  <c r="AL294" i="9"/>
  <c r="AK294" i="9"/>
  <c r="AJ294" i="9"/>
  <c r="AI294" i="9"/>
  <c r="AH294" i="9"/>
  <c r="AG294" i="9"/>
  <c r="AF294" i="9"/>
  <c r="AE294" i="9"/>
  <c r="AD294" i="9"/>
  <c r="AC294" i="9"/>
  <c r="AB294" i="9"/>
  <c r="AA294" i="9"/>
  <c r="AL293" i="9"/>
  <c r="AK293" i="9"/>
  <c r="AJ293" i="9"/>
  <c r="AI293" i="9"/>
  <c r="AH293" i="9"/>
  <c r="AG293" i="9"/>
  <c r="AF293" i="9"/>
  <c r="AE293" i="9"/>
  <c r="AD293" i="9"/>
  <c r="AC293" i="9"/>
  <c r="AB293" i="9"/>
  <c r="AA293" i="9"/>
  <c r="AL292" i="9"/>
  <c r="AK292" i="9"/>
  <c r="AJ292" i="9"/>
  <c r="AI292" i="9"/>
  <c r="AH292" i="9"/>
  <c r="AG292" i="9"/>
  <c r="AF292" i="9"/>
  <c r="AE292" i="9"/>
  <c r="AD292" i="9"/>
  <c r="AC292" i="9"/>
  <c r="AB292" i="9"/>
  <c r="AA292" i="9"/>
  <c r="AL291" i="9"/>
  <c r="AK291" i="9"/>
  <c r="AJ291" i="9"/>
  <c r="AI291" i="9"/>
  <c r="AH291" i="9"/>
  <c r="AG291" i="9"/>
  <c r="AF291" i="9"/>
  <c r="AE291" i="9"/>
  <c r="AD291" i="9"/>
  <c r="AC291" i="9"/>
  <c r="AB291" i="9"/>
  <c r="AA291" i="9"/>
  <c r="AL290" i="9"/>
  <c r="AK290" i="9"/>
  <c r="AJ290" i="9"/>
  <c r="AI290" i="9"/>
  <c r="AH290" i="9"/>
  <c r="AG290" i="9"/>
  <c r="AF290" i="9"/>
  <c r="AE290" i="9"/>
  <c r="AD290" i="9"/>
  <c r="AC290" i="9"/>
  <c r="AB290" i="9"/>
  <c r="AA290" i="9"/>
  <c r="AL289" i="9"/>
  <c r="AK289" i="9"/>
  <c r="AJ289" i="9"/>
  <c r="AI289" i="9"/>
  <c r="AH289" i="9"/>
  <c r="AG289" i="9"/>
  <c r="AF289" i="9"/>
  <c r="AE289" i="9"/>
  <c r="AD289" i="9"/>
  <c r="AC289" i="9"/>
  <c r="AB289" i="9"/>
  <c r="AA289" i="9"/>
  <c r="AL288" i="9"/>
  <c r="AK288" i="9"/>
  <c r="AJ288" i="9"/>
  <c r="AI288" i="9"/>
  <c r="AH288" i="9"/>
  <c r="AG288" i="9"/>
  <c r="AF288" i="9"/>
  <c r="AE288" i="9"/>
  <c r="AD288" i="9"/>
  <c r="AC288" i="9"/>
  <c r="AB288" i="9"/>
  <c r="AA288" i="9"/>
  <c r="AL287" i="9"/>
  <c r="AK287" i="9"/>
  <c r="AJ287" i="9"/>
  <c r="AI287" i="9"/>
  <c r="AH287" i="9"/>
  <c r="AG287" i="9"/>
  <c r="AF287" i="9"/>
  <c r="AE287" i="9"/>
  <c r="AD287" i="9"/>
  <c r="AC287" i="9"/>
  <c r="AB287" i="9"/>
  <c r="AA287" i="9"/>
  <c r="A287" i="9"/>
  <c r="A305" i="9" s="1"/>
  <c r="A323" i="9" s="1"/>
  <c r="AL286" i="9"/>
  <c r="AK286" i="9"/>
  <c r="AJ286" i="9"/>
  <c r="AI286" i="9"/>
  <c r="AH286" i="9"/>
  <c r="AG286" i="9"/>
  <c r="AF286" i="9"/>
  <c r="AE286" i="9"/>
  <c r="AD286" i="9"/>
  <c r="AC286" i="9"/>
  <c r="AB286" i="9"/>
  <c r="AA286" i="9"/>
  <c r="AL285" i="9"/>
  <c r="AK285" i="9"/>
  <c r="AJ285" i="9"/>
  <c r="AI285" i="9"/>
  <c r="AH285" i="9"/>
  <c r="AG285" i="9"/>
  <c r="AF285" i="9"/>
  <c r="AE285" i="9"/>
  <c r="AD285" i="9"/>
  <c r="AC285" i="9"/>
  <c r="AB285" i="9"/>
  <c r="AA285" i="9"/>
  <c r="A285" i="9"/>
  <c r="A294" i="9" s="1"/>
  <c r="A312" i="9" s="1"/>
  <c r="AL284" i="9"/>
  <c r="AK284" i="9"/>
  <c r="AJ284" i="9"/>
  <c r="AI284" i="9"/>
  <c r="AH284" i="9"/>
  <c r="AG284" i="9"/>
  <c r="AF284" i="9"/>
  <c r="AE284" i="9"/>
  <c r="AD284" i="9"/>
  <c r="AC284" i="9"/>
  <c r="AB284" i="9"/>
  <c r="AA284" i="9"/>
  <c r="A284" i="9"/>
  <c r="A293" i="9" s="1"/>
  <c r="A311" i="9" s="1"/>
  <c r="AL283" i="9"/>
  <c r="AK283" i="9"/>
  <c r="AJ283" i="9"/>
  <c r="AI283" i="9"/>
  <c r="AH283" i="9"/>
  <c r="AG283" i="9"/>
  <c r="AF283" i="9"/>
  <c r="AE283" i="9"/>
  <c r="AD283" i="9"/>
  <c r="AC283" i="9"/>
  <c r="AB283" i="9"/>
  <c r="AA283" i="9"/>
  <c r="A283" i="9"/>
  <c r="A292" i="9" s="1"/>
  <c r="A310" i="9" s="1"/>
  <c r="AL282" i="9"/>
  <c r="AK282" i="9"/>
  <c r="AJ282" i="9"/>
  <c r="AI282" i="9"/>
  <c r="AH282" i="9"/>
  <c r="AG282" i="9"/>
  <c r="AF282" i="9"/>
  <c r="AE282" i="9"/>
  <c r="AD282" i="9"/>
  <c r="AC282" i="9"/>
  <c r="AB282" i="9"/>
  <c r="AA282" i="9"/>
  <c r="AL281" i="9"/>
  <c r="AK281" i="9"/>
  <c r="AJ281" i="9"/>
  <c r="AI281" i="9"/>
  <c r="AH281" i="9"/>
  <c r="AG281" i="9"/>
  <c r="AF281" i="9"/>
  <c r="AE281" i="9"/>
  <c r="AD281" i="9"/>
  <c r="AC281" i="9"/>
  <c r="AB281" i="9"/>
  <c r="AA281" i="9"/>
  <c r="A281" i="9"/>
  <c r="AL280" i="9"/>
  <c r="AK280" i="9"/>
  <c r="AJ280" i="9"/>
  <c r="AI280" i="9"/>
  <c r="AH280" i="9"/>
  <c r="AG280" i="9"/>
  <c r="AF280" i="9"/>
  <c r="AE280" i="9"/>
  <c r="AD280" i="9"/>
  <c r="AC280" i="9"/>
  <c r="AB280" i="9"/>
  <c r="AA280" i="9"/>
  <c r="A280" i="9"/>
  <c r="AL279" i="9"/>
  <c r="AK279" i="9"/>
  <c r="AJ279" i="9"/>
  <c r="AI279" i="9"/>
  <c r="AH279" i="9"/>
  <c r="AG279" i="9"/>
  <c r="AF279" i="9"/>
  <c r="AE279" i="9"/>
  <c r="AD279" i="9"/>
  <c r="AC279" i="9"/>
  <c r="AB279" i="9"/>
  <c r="AA279" i="9"/>
  <c r="A279" i="9"/>
  <c r="AL278" i="9"/>
  <c r="AK278" i="9"/>
  <c r="AJ278" i="9"/>
  <c r="AI278" i="9"/>
  <c r="AH278" i="9"/>
  <c r="AG278" i="9"/>
  <c r="AF278" i="9"/>
  <c r="AE278" i="9"/>
  <c r="AD278" i="9"/>
  <c r="AC278" i="9"/>
  <c r="AB278" i="9"/>
  <c r="AA278" i="9"/>
  <c r="A278" i="9"/>
  <c r="AL277" i="9"/>
  <c r="AK277" i="9"/>
  <c r="AJ277" i="9"/>
  <c r="AI277" i="9"/>
  <c r="AH277" i="9"/>
  <c r="AG277" i="9"/>
  <c r="AF277" i="9"/>
  <c r="AE277" i="9"/>
  <c r="AD277" i="9"/>
  <c r="AC277" i="9"/>
  <c r="AB277" i="9"/>
  <c r="AA277" i="9"/>
  <c r="A277" i="9"/>
  <c r="AL276" i="9"/>
  <c r="AK276" i="9"/>
  <c r="AJ276" i="9"/>
  <c r="AI276" i="9"/>
  <c r="AH276" i="9"/>
  <c r="AG276" i="9"/>
  <c r="AF276" i="9"/>
  <c r="AE276" i="9"/>
  <c r="AD276" i="9"/>
  <c r="AC276" i="9"/>
  <c r="AB276" i="9"/>
  <c r="AA276" i="9"/>
  <c r="A276" i="9"/>
  <c r="AL275" i="9"/>
  <c r="AK275" i="9"/>
  <c r="AJ275" i="9"/>
  <c r="AI275" i="9"/>
  <c r="AH275" i="9"/>
  <c r="AG275" i="9"/>
  <c r="AF275" i="9"/>
  <c r="AE275" i="9"/>
  <c r="AD275" i="9"/>
  <c r="AC275" i="9"/>
  <c r="AB275" i="9"/>
  <c r="AA275" i="9"/>
  <c r="A275" i="9"/>
  <c r="AL274" i="9"/>
  <c r="AK274" i="9"/>
  <c r="AJ274" i="9"/>
  <c r="AI274" i="9"/>
  <c r="AH274" i="9"/>
  <c r="AG274" i="9"/>
  <c r="AF274" i="9"/>
  <c r="AE274" i="9"/>
  <c r="AD274" i="9"/>
  <c r="AC274" i="9"/>
  <c r="AB274" i="9"/>
  <c r="AA274" i="9"/>
  <c r="A274" i="9"/>
  <c r="AL273" i="9"/>
  <c r="AK273" i="9"/>
  <c r="AJ273" i="9"/>
  <c r="AI273" i="9"/>
  <c r="AH273" i="9"/>
  <c r="AG273" i="9"/>
  <c r="AF273" i="9"/>
  <c r="AE273" i="9"/>
  <c r="AD273" i="9"/>
  <c r="AC273" i="9"/>
  <c r="AB273" i="9"/>
  <c r="AA273" i="9"/>
  <c r="AL272" i="9"/>
  <c r="AK272" i="9"/>
  <c r="AJ272" i="9"/>
  <c r="AI272" i="9"/>
  <c r="AH272" i="9"/>
  <c r="AG272" i="9"/>
  <c r="AF272" i="9"/>
  <c r="AE272" i="9"/>
  <c r="AD272" i="9"/>
  <c r="AC272" i="9"/>
  <c r="AB272" i="9"/>
  <c r="AA272" i="9"/>
  <c r="AL271" i="9"/>
  <c r="AK271" i="9"/>
  <c r="AJ271" i="9"/>
  <c r="AI271" i="9"/>
  <c r="AH271" i="9"/>
  <c r="AG271" i="9"/>
  <c r="AF271" i="9"/>
  <c r="AE271" i="9"/>
  <c r="AD271" i="9"/>
  <c r="AC271" i="9"/>
  <c r="AB271" i="9"/>
  <c r="AA271" i="9"/>
  <c r="AL270" i="9"/>
  <c r="AK270" i="9"/>
  <c r="AJ270" i="9"/>
  <c r="AI270" i="9"/>
  <c r="AH270" i="9"/>
  <c r="AG270" i="9"/>
  <c r="AF270" i="9"/>
  <c r="AE270" i="9"/>
  <c r="AD270" i="9"/>
  <c r="AC270" i="9"/>
  <c r="AB270" i="9"/>
  <c r="AA270" i="9"/>
  <c r="AL269" i="9"/>
  <c r="AK269" i="9"/>
  <c r="AJ269" i="9"/>
  <c r="AI269" i="9"/>
  <c r="AH269" i="9"/>
  <c r="AG269" i="9"/>
  <c r="AF269" i="9"/>
  <c r="AE269" i="9"/>
  <c r="AD269" i="9"/>
  <c r="AC269" i="9"/>
  <c r="AB269" i="9"/>
  <c r="AA269" i="9"/>
  <c r="AL268" i="9"/>
  <c r="AK268" i="9"/>
  <c r="AJ268" i="9"/>
  <c r="AI268" i="9"/>
  <c r="AH268" i="9"/>
  <c r="AG268" i="9"/>
  <c r="AF268" i="9"/>
  <c r="AE268" i="9"/>
  <c r="AD268" i="9"/>
  <c r="AC268" i="9"/>
  <c r="AB268" i="9"/>
  <c r="AA268" i="9"/>
  <c r="AL267" i="9"/>
  <c r="AK267" i="9"/>
  <c r="AJ267" i="9"/>
  <c r="AI267" i="9"/>
  <c r="AH267" i="9"/>
  <c r="AG267" i="9"/>
  <c r="AF267" i="9"/>
  <c r="AE267" i="9"/>
  <c r="AD267" i="9"/>
  <c r="AC267" i="9"/>
  <c r="AB267" i="9"/>
  <c r="AA267" i="9"/>
  <c r="AL266" i="9"/>
  <c r="AK266" i="9"/>
  <c r="AJ266" i="9"/>
  <c r="AI266" i="9"/>
  <c r="AH266" i="9"/>
  <c r="AG266" i="9"/>
  <c r="AF266" i="9"/>
  <c r="AE266" i="9"/>
  <c r="AD266" i="9"/>
  <c r="AC266" i="9"/>
  <c r="AB266" i="9"/>
  <c r="AA266" i="9"/>
  <c r="AL265" i="9"/>
  <c r="AK265" i="9"/>
  <c r="AJ265" i="9"/>
  <c r="AI265" i="9"/>
  <c r="AH265" i="9"/>
  <c r="AG265" i="9"/>
  <c r="AF265" i="9"/>
  <c r="AE265" i="9"/>
  <c r="AD265" i="9"/>
  <c r="AC265" i="9"/>
  <c r="AB265" i="9"/>
  <c r="AA265" i="9"/>
  <c r="AL264" i="9"/>
  <c r="AK264" i="9"/>
  <c r="AJ264" i="9"/>
  <c r="AI264" i="9"/>
  <c r="AH264" i="9"/>
  <c r="AG264" i="9"/>
  <c r="AF264" i="9"/>
  <c r="AE264" i="9"/>
  <c r="AD264" i="9"/>
  <c r="AC264" i="9"/>
  <c r="AB264" i="9"/>
  <c r="AA264" i="9"/>
  <c r="AL263" i="9"/>
  <c r="AK263" i="9"/>
  <c r="AJ263" i="9"/>
  <c r="AI263" i="9"/>
  <c r="AH263" i="9"/>
  <c r="AG263" i="9"/>
  <c r="AF263" i="9"/>
  <c r="AE263" i="9"/>
  <c r="AD263" i="9"/>
  <c r="AC263" i="9"/>
  <c r="AB263" i="9"/>
  <c r="AA263" i="9"/>
  <c r="AL262" i="9"/>
  <c r="AK262" i="9"/>
  <c r="AJ262" i="9"/>
  <c r="AI262" i="9"/>
  <c r="AH262" i="9"/>
  <c r="AG262" i="9"/>
  <c r="AF262" i="9"/>
  <c r="AE262" i="9"/>
  <c r="AD262" i="9"/>
  <c r="AC262" i="9"/>
  <c r="AB262" i="9"/>
  <c r="AA262" i="9"/>
  <c r="AL261" i="9"/>
  <c r="AK261" i="9"/>
  <c r="AJ261" i="9"/>
  <c r="AI261" i="9"/>
  <c r="AH261" i="9"/>
  <c r="AG261" i="9"/>
  <c r="AF261" i="9"/>
  <c r="AE261" i="9"/>
  <c r="AD261" i="9"/>
  <c r="AC261" i="9"/>
  <c r="AB261" i="9"/>
  <c r="AA261" i="9"/>
  <c r="AL260" i="9"/>
  <c r="AK260" i="9"/>
  <c r="AJ260" i="9"/>
  <c r="AI260" i="9"/>
  <c r="AH260" i="9"/>
  <c r="AG260" i="9"/>
  <c r="AF260" i="9"/>
  <c r="AE260" i="9"/>
  <c r="AD260" i="9"/>
  <c r="AC260" i="9"/>
  <c r="AB260" i="9"/>
  <c r="AA260" i="9"/>
  <c r="AL259" i="9"/>
  <c r="AK259" i="9"/>
  <c r="AJ259" i="9"/>
  <c r="AI259" i="9"/>
  <c r="AH259" i="9"/>
  <c r="AG259" i="9"/>
  <c r="AF259" i="9"/>
  <c r="AE259" i="9"/>
  <c r="AD259" i="9"/>
  <c r="AC259" i="9"/>
  <c r="AB259" i="9"/>
  <c r="AA259" i="9"/>
  <c r="AL258" i="9"/>
  <c r="AK258" i="9"/>
  <c r="AJ258" i="9"/>
  <c r="AI258" i="9"/>
  <c r="AH258" i="9"/>
  <c r="AG258" i="9"/>
  <c r="AF258" i="9"/>
  <c r="AE258" i="9"/>
  <c r="AD258" i="9"/>
  <c r="AC258" i="9"/>
  <c r="AB258" i="9"/>
  <c r="AA258" i="9"/>
  <c r="AL257" i="9"/>
  <c r="AK257" i="9"/>
  <c r="AJ257" i="9"/>
  <c r="AI257" i="9"/>
  <c r="AH257" i="9"/>
  <c r="AG257" i="9"/>
  <c r="AF257" i="9"/>
  <c r="AE257" i="9"/>
  <c r="AD257" i="9"/>
  <c r="AC257" i="9"/>
  <c r="AB257" i="9"/>
  <c r="AA257" i="9"/>
  <c r="AL256" i="9"/>
  <c r="AK256" i="9"/>
  <c r="AJ256" i="9"/>
  <c r="AI256" i="9"/>
  <c r="AH256" i="9"/>
  <c r="AG256" i="9"/>
  <c r="AF256" i="9"/>
  <c r="AE256" i="9"/>
  <c r="AD256" i="9"/>
  <c r="AC256" i="9"/>
  <c r="AB256" i="9"/>
  <c r="AA256" i="9"/>
  <c r="AL255" i="9"/>
  <c r="AK255" i="9"/>
  <c r="AJ255" i="9"/>
  <c r="AI255" i="9"/>
  <c r="AH255" i="9"/>
  <c r="AG255" i="9"/>
  <c r="AF255" i="9"/>
  <c r="AE255" i="9"/>
  <c r="AD255" i="9"/>
  <c r="AC255" i="9"/>
  <c r="AB255" i="9"/>
  <c r="AA255" i="9"/>
  <c r="AG252" i="9"/>
  <c r="X252" i="9"/>
  <c r="P252" i="9"/>
  <c r="H252" i="9"/>
  <c r="AL251" i="9"/>
  <c r="AL252" i="9" s="1"/>
  <c r="AK251" i="9"/>
  <c r="AK252" i="9" s="1"/>
  <c r="AJ251" i="9"/>
  <c r="AJ252" i="9" s="1"/>
  <c r="AI251" i="9"/>
  <c r="AI252" i="9" s="1"/>
  <c r="AH251" i="9"/>
  <c r="AG251" i="9"/>
  <c r="AF251" i="9"/>
  <c r="AE251" i="9"/>
  <c r="AE252" i="9" s="1"/>
  <c r="AD251" i="9"/>
  <c r="AD252" i="9" s="1"/>
  <c r="AC251" i="9"/>
  <c r="AC252" i="9" s="1"/>
  <c r="AB251" i="9"/>
  <c r="AB252" i="9" s="1"/>
  <c r="AA251" i="9"/>
  <c r="AA252" i="9" s="1"/>
  <c r="Y251" i="9"/>
  <c r="X251" i="9"/>
  <c r="W251" i="9"/>
  <c r="V251" i="9"/>
  <c r="V252" i="9" s="1"/>
  <c r="U251" i="9"/>
  <c r="U252" i="9" s="1"/>
  <c r="T251" i="9"/>
  <c r="T252" i="9" s="1"/>
  <c r="S251" i="9"/>
  <c r="S252" i="9" s="1"/>
  <c r="R251" i="9"/>
  <c r="R252" i="9" s="1"/>
  <c r="Q251" i="9"/>
  <c r="P251" i="9"/>
  <c r="O251" i="9"/>
  <c r="N251" i="9"/>
  <c r="N252" i="9" s="1"/>
  <c r="M251" i="9"/>
  <c r="M252" i="9" s="1"/>
  <c r="L251" i="9"/>
  <c r="L252" i="9" s="1"/>
  <c r="K251" i="9"/>
  <c r="K252" i="9" s="1"/>
  <c r="J251" i="9"/>
  <c r="J252" i="9" s="1"/>
  <c r="I251" i="9"/>
  <c r="H251" i="9"/>
  <c r="G251" i="9"/>
  <c r="F251" i="9"/>
  <c r="F252" i="9" s="1"/>
  <c r="E251" i="9"/>
  <c r="E252" i="9" s="1"/>
  <c r="D251" i="9"/>
  <c r="D252" i="9" s="1"/>
  <c r="C251" i="9"/>
  <c r="C252" i="9" s="1"/>
  <c r="AL250" i="9"/>
  <c r="AK250" i="9"/>
  <c r="AJ250" i="9"/>
  <c r="AI250" i="9"/>
  <c r="AH250" i="9"/>
  <c r="AG250" i="9"/>
  <c r="AF250" i="9"/>
  <c r="AE250" i="9"/>
  <c r="AD250" i="9"/>
  <c r="AC250" i="9"/>
  <c r="AB250" i="9"/>
  <c r="AA250" i="9"/>
  <c r="Y250" i="9"/>
  <c r="X250" i="9"/>
  <c r="W250" i="9"/>
  <c r="V250" i="9"/>
  <c r="U250" i="9"/>
  <c r="T250" i="9"/>
  <c r="S250" i="9"/>
  <c r="R250" i="9"/>
  <c r="Q250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AL248" i="9"/>
  <c r="AK248" i="9"/>
  <c r="AJ248" i="9"/>
  <c r="AI248" i="9"/>
  <c r="AH248" i="9"/>
  <c r="AG248" i="9"/>
  <c r="AF248" i="9"/>
  <c r="AE248" i="9"/>
  <c r="AD248" i="9"/>
  <c r="AC248" i="9"/>
  <c r="AB248" i="9"/>
  <c r="AA248" i="9"/>
  <c r="AL247" i="9"/>
  <c r="AK247" i="9"/>
  <c r="AJ247" i="9"/>
  <c r="AI247" i="9"/>
  <c r="AH247" i="9"/>
  <c r="AG247" i="9"/>
  <c r="AF247" i="9"/>
  <c r="AE247" i="9"/>
  <c r="AD247" i="9"/>
  <c r="AC247" i="9"/>
  <c r="AB247" i="9"/>
  <c r="AA247" i="9"/>
  <c r="AL246" i="9"/>
  <c r="AK246" i="9"/>
  <c r="AJ246" i="9"/>
  <c r="AI246" i="9"/>
  <c r="AH246" i="9"/>
  <c r="AG246" i="9"/>
  <c r="AF246" i="9"/>
  <c r="AE246" i="9"/>
  <c r="AD246" i="9"/>
  <c r="AC246" i="9"/>
  <c r="AB246" i="9"/>
  <c r="AA246" i="9"/>
  <c r="AL245" i="9"/>
  <c r="AK245" i="9"/>
  <c r="AJ245" i="9"/>
  <c r="AI245" i="9"/>
  <c r="AH245" i="9"/>
  <c r="AG245" i="9"/>
  <c r="AF245" i="9"/>
  <c r="AE245" i="9"/>
  <c r="AD245" i="9"/>
  <c r="AC245" i="9"/>
  <c r="AB245" i="9"/>
  <c r="AA245" i="9"/>
  <c r="AL244" i="9"/>
  <c r="AL249" i="9" s="1"/>
  <c r="AK244" i="9"/>
  <c r="AK249" i="9" s="1"/>
  <c r="AJ244" i="9"/>
  <c r="AJ249" i="9" s="1"/>
  <c r="AI244" i="9"/>
  <c r="AH244" i="9"/>
  <c r="AG244" i="9"/>
  <c r="AG249" i="9" s="1"/>
  <c r="AF244" i="9"/>
  <c r="AF249" i="9" s="1"/>
  <c r="AE244" i="9"/>
  <c r="AE249" i="9" s="1"/>
  <c r="AD244" i="9"/>
  <c r="AD249" i="9" s="1"/>
  <c r="AC244" i="9"/>
  <c r="AC249" i="9" s="1"/>
  <c r="AB244" i="9"/>
  <c r="AB249" i="9" s="1"/>
  <c r="AA244" i="9"/>
  <c r="Y244" i="9"/>
  <c r="X244" i="9"/>
  <c r="X249" i="9" s="1"/>
  <c r="W244" i="9"/>
  <c r="W249" i="9" s="1"/>
  <c r="V244" i="9"/>
  <c r="V249" i="9" s="1"/>
  <c r="U244" i="9"/>
  <c r="U249" i="9" s="1"/>
  <c r="T244" i="9"/>
  <c r="T249" i="9" s="1"/>
  <c r="S244" i="9"/>
  <c r="S249" i="9" s="1"/>
  <c r="R244" i="9"/>
  <c r="Q244" i="9"/>
  <c r="P244" i="9"/>
  <c r="P249" i="9" s="1"/>
  <c r="O244" i="9"/>
  <c r="O249" i="9" s="1"/>
  <c r="N244" i="9"/>
  <c r="N249" i="9" s="1"/>
  <c r="M244" i="9"/>
  <c r="M249" i="9" s="1"/>
  <c r="L244" i="9"/>
  <c r="L249" i="9" s="1"/>
  <c r="K244" i="9"/>
  <c r="K249" i="9" s="1"/>
  <c r="J244" i="9"/>
  <c r="I244" i="9"/>
  <c r="H244" i="9"/>
  <c r="H249" i="9" s="1"/>
  <c r="G244" i="9"/>
  <c r="G249" i="9" s="1"/>
  <c r="F244" i="9"/>
  <c r="F249" i="9" s="1"/>
  <c r="E244" i="9"/>
  <c r="E249" i="9" s="1"/>
  <c r="D244" i="9"/>
  <c r="D249" i="9" s="1"/>
  <c r="C244" i="9"/>
  <c r="C249" i="9" s="1"/>
  <c r="AF243" i="9"/>
  <c r="W243" i="9"/>
  <c r="O243" i="9"/>
  <c r="G243" i="9"/>
  <c r="AL242" i="9"/>
  <c r="AK242" i="9"/>
  <c r="AJ242" i="9"/>
  <c r="AI242" i="9"/>
  <c r="AH242" i="9"/>
  <c r="AG242" i="9"/>
  <c r="AF242" i="9"/>
  <c r="AE242" i="9"/>
  <c r="AD242" i="9"/>
  <c r="AC242" i="9"/>
  <c r="AB242" i="9"/>
  <c r="AA242" i="9"/>
  <c r="AL241" i="9"/>
  <c r="AK241" i="9"/>
  <c r="AJ241" i="9"/>
  <c r="AI241" i="9"/>
  <c r="AH241" i="9"/>
  <c r="AG241" i="9"/>
  <c r="AF241" i="9"/>
  <c r="AE241" i="9"/>
  <c r="AD241" i="9"/>
  <c r="AC241" i="9"/>
  <c r="AB241" i="9"/>
  <c r="AA241" i="9"/>
  <c r="AL240" i="9"/>
  <c r="AK240" i="9"/>
  <c r="AJ240" i="9"/>
  <c r="AI240" i="9"/>
  <c r="AH240" i="9"/>
  <c r="AG240" i="9"/>
  <c r="AF240" i="9"/>
  <c r="AE240" i="9"/>
  <c r="AD240" i="9"/>
  <c r="AC240" i="9"/>
  <c r="AB240" i="9"/>
  <c r="AA240" i="9"/>
  <c r="AL239" i="9"/>
  <c r="AK239" i="9"/>
  <c r="AJ239" i="9"/>
  <c r="AI239" i="9"/>
  <c r="AH239" i="9"/>
  <c r="AG239" i="9"/>
  <c r="AF239" i="9"/>
  <c r="AE239" i="9"/>
  <c r="AD239" i="9"/>
  <c r="AC239" i="9"/>
  <c r="AB239" i="9"/>
  <c r="AA239" i="9"/>
  <c r="AL238" i="9"/>
  <c r="AK238" i="9"/>
  <c r="AJ238" i="9"/>
  <c r="AI238" i="9"/>
  <c r="AH238" i="9"/>
  <c r="AG238" i="9"/>
  <c r="AF238" i="9"/>
  <c r="AE238" i="9"/>
  <c r="AD238" i="9"/>
  <c r="AC238" i="9"/>
  <c r="AB238" i="9"/>
  <c r="AA238" i="9"/>
  <c r="AL237" i="9"/>
  <c r="AK237" i="9"/>
  <c r="AJ237" i="9"/>
  <c r="AI237" i="9"/>
  <c r="AH237" i="9"/>
  <c r="AG237" i="9"/>
  <c r="AF237" i="9"/>
  <c r="AE237" i="9"/>
  <c r="AD237" i="9"/>
  <c r="AC237" i="9"/>
  <c r="AB237" i="9"/>
  <c r="AA237" i="9"/>
  <c r="AL236" i="9"/>
  <c r="AK236" i="9"/>
  <c r="AJ236" i="9"/>
  <c r="AI236" i="9"/>
  <c r="AH236" i="9"/>
  <c r="AG236" i="9"/>
  <c r="AF236" i="9"/>
  <c r="AE236" i="9"/>
  <c r="AD236" i="9"/>
  <c r="AC236" i="9"/>
  <c r="AB236" i="9"/>
  <c r="AA236" i="9"/>
  <c r="AL235" i="9"/>
  <c r="AL243" i="9" s="1"/>
  <c r="AK235" i="9"/>
  <c r="AK243" i="9" s="1"/>
  <c r="AJ235" i="9"/>
  <c r="AI235" i="9"/>
  <c r="AI243" i="9" s="1"/>
  <c r="AH235" i="9"/>
  <c r="AG235" i="9"/>
  <c r="AG243" i="9" s="1"/>
  <c r="AF235" i="9"/>
  <c r="AE235" i="9"/>
  <c r="AE243" i="9" s="1"/>
  <c r="AD235" i="9"/>
  <c r="AD243" i="9" s="1"/>
  <c r="AC235" i="9"/>
  <c r="AC243" i="9" s="1"/>
  <c r="AB235" i="9"/>
  <c r="AA235" i="9"/>
  <c r="AA243" i="9" s="1"/>
  <c r="Y235" i="9"/>
  <c r="X235" i="9"/>
  <c r="X243" i="9" s="1"/>
  <c r="W235" i="9"/>
  <c r="V235" i="9"/>
  <c r="V243" i="9" s="1"/>
  <c r="U235" i="9"/>
  <c r="U243" i="9" s="1"/>
  <c r="T235" i="9"/>
  <c r="T243" i="9" s="1"/>
  <c r="S235" i="9"/>
  <c r="R235" i="9"/>
  <c r="R243" i="9" s="1"/>
  <c r="Q235" i="9"/>
  <c r="P235" i="9"/>
  <c r="P243" i="9" s="1"/>
  <c r="O235" i="9"/>
  <c r="N235" i="9"/>
  <c r="N243" i="9" s="1"/>
  <c r="M235" i="9"/>
  <c r="M243" i="9" s="1"/>
  <c r="L235" i="9"/>
  <c r="L243" i="9" s="1"/>
  <c r="K235" i="9"/>
  <c r="J235" i="9"/>
  <c r="J243" i="9" s="1"/>
  <c r="I235" i="9"/>
  <c r="H235" i="9"/>
  <c r="H243" i="9" s="1"/>
  <c r="G235" i="9"/>
  <c r="F235" i="9"/>
  <c r="F243" i="9" s="1"/>
  <c r="E235" i="9"/>
  <c r="E243" i="9" s="1"/>
  <c r="D235" i="9"/>
  <c r="D243" i="9" s="1"/>
  <c r="C235" i="9"/>
  <c r="AL233" i="9"/>
  <c r="AL234" i="9" s="1"/>
  <c r="AK233" i="9"/>
  <c r="AK234" i="9" s="1"/>
  <c r="AJ233" i="9"/>
  <c r="AI233" i="9"/>
  <c r="AH233" i="9"/>
  <c r="AG233" i="9"/>
  <c r="AG234" i="9" s="1"/>
  <c r="AF233" i="9"/>
  <c r="AF234" i="9" s="1"/>
  <c r="AE233" i="9"/>
  <c r="AE234" i="9" s="1"/>
  <c r="AD233" i="9"/>
  <c r="AD234" i="9" s="1"/>
  <c r="AC233" i="9"/>
  <c r="AC234" i="9" s="1"/>
  <c r="AB233" i="9"/>
  <c r="AA233" i="9"/>
  <c r="Y233" i="9"/>
  <c r="W233" i="9"/>
  <c r="W234" i="9" s="1"/>
  <c r="V233" i="9"/>
  <c r="V234" i="9" s="1"/>
  <c r="U233" i="9"/>
  <c r="U234" i="9" s="1"/>
  <c r="T233" i="9"/>
  <c r="T234" i="9" s="1"/>
  <c r="S233" i="9"/>
  <c r="R233" i="9"/>
  <c r="Q233" i="9"/>
  <c r="P233" i="9"/>
  <c r="P234" i="9" s="1"/>
  <c r="O233" i="9"/>
  <c r="O234" i="9" s="1"/>
  <c r="N233" i="9"/>
  <c r="N234" i="9" s="1"/>
  <c r="M233" i="9"/>
  <c r="M234" i="9" s="1"/>
  <c r="L233" i="9"/>
  <c r="L234" i="9" s="1"/>
  <c r="K233" i="9"/>
  <c r="J233" i="9"/>
  <c r="I233" i="9"/>
  <c r="H233" i="9"/>
  <c r="H234" i="9" s="1"/>
  <c r="G233" i="9"/>
  <c r="G234" i="9" s="1"/>
  <c r="F233" i="9"/>
  <c r="F234" i="9" s="1"/>
  <c r="E233" i="9"/>
  <c r="E234" i="9" s="1"/>
  <c r="AF232" i="9"/>
  <c r="W232" i="9"/>
  <c r="O232" i="9"/>
  <c r="G232" i="9"/>
  <c r="AL231" i="9"/>
  <c r="AL232" i="9" s="1"/>
  <c r="AK231" i="9"/>
  <c r="AK232" i="9" s="1"/>
  <c r="AJ231" i="9"/>
  <c r="AJ232" i="9" s="1"/>
  <c r="AI231" i="9"/>
  <c r="AI232" i="9" s="1"/>
  <c r="AH231" i="9"/>
  <c r="AG231" i="9"/>
  <c r="AF231" i="9"/>
  <c r="AE231" i="9"/>
  <c r="AE232" i="9" s="1"/>
  <c r="AD231" i="9"/>
  <c r="AD232" i="9" s="1"/>
  <c r="AC231" i="9"/>
  <c r="AC232" i="9" s="1"/>
  <c r="AB231" i="9"/>
  <c r="AB232" i="9" s="1"/>
  <c r="AA231" i="9"/>
  <c r="AA232" i="9" s="1"/>
  <c r="Y231" i="9"/>
  <c r="X231" i="9"/>
  <c r="W231" i="9"/>
  <c r="V231" i="9"/>
  <c r="V232" i="9" s="1"/>
  <c r="U231" i="9"/>
  <c r="U232" i="9" s="1"/>
  <c r="T231" i="9"/>
  <c r="T232" i="9" s="1"/>
  <c r="S231" i="9"/>
  <c r="S232" i="9" s="1"/>
  <c r="R231" i="9"/>
  <c r="R232" i="9" s="1"/>
  <c r="Q231" i="9"/>
  <c r="P231" i="9"/>
  <c r="O231" i="9"/>
  <c r="N231" i="9"/>
  <c r="N232" i="9" s="1"/>
  <c r="M231" i="9"/>
  <c r="M232" i="9" s="1"/>
  <c r="L231" i="9"/>
  <c r="L232" i="9" s="1"/>
  <c r="K231" i="9"/>
  <c r="K232" i="9" s="1"/>
  <c r="J231" i="9"/>
  <c r="J232" i="9" s="1"/>
  <c r="I231" i="9"/>
  <c r="H231" i="9"/>
  <c r="G231" i="9"/>
  <c r="F231" i="9"/>
  <c r="F232" i="9" s="1"/>
  <c r="E231" i="9"/>
  <c r="E232" i="9" s="1"/>
  <c r="D231" i="9"/>
  <c r="D232" i="9" s="1"/>
  <c r="C231" i="9"/>
  <c r="C232" i="9" s="1"/>
  <c r="W230" i="9"/>
  <c r="V230" i="9"/>
  <c r="U230" i="9"/>
  <c r="O230" i="9"/>
  <c r="N230" i="9"/>
  <c r="M230" i="9"/>
  <c r="G230" i="9"/>
  <c r="F230" i="9"/>
  <c r="E230" i="9"/>
  <c r="Y229" i="9"/>
  <c r="Y230" i="9" s="1"/>
  <c r="W229" i="9"/>
  <c r="V229" i="9"/>
  <c r="U229" i="9"/>
  <c r="T229" i="9"/>
  <c r="T230" i="9" s="1"/>
  <c r="S229" i="9"/>
  <c r="S230" i="9" s="1"/>
  <c r="R229" i="9"/>
  <c r="R230" i="9" s="1"/>
  <c r="Q229" i="9"/>
  <c r="Q230" i="9" s="1"/>
  <c r="P229" i="9"/>
  <c r="P230" i="9" s="1"/>
  <c r="O229" i="9"/>
  <c r="N229" i="9"/>
  <c r="M229" i="9"/>
  <c r="L229" i="9"/>
  <c r="L230" i="9" s="1"/>
  <c r="K229" i="9"/>
  <c r="K230" i="9" s="1"/>
  <c r="J229" i="9"/>
  <c r="J230" i="9" s="1"/>
  <c r="I229" i="9"/>
  <c r="I230" i="9" s="1"/>
  <c r="H229" i="9"/>
  <c r="H230" i="9" s="1"/>
  <c r="G229" i="9"/>
  <c r="F229" i="9"/>
  <c r="E229" i="9"/>
  <c r="U228" i="9"/>
  <c r="T228" i="9"/>
  <c r="S228" i="9"/>
  <c r="M228" i="9"/>
  <c r="L228" i="9"/>
  <c r="K228" i="9"/>
  <c r="E228" i="9"/>
  <c r="Y227" i="9"/>
  <c r="Y228" i="9" s="1"/>
  <c r="W227" i="9"/>
  <c r="W228" i="9" s="1"/>
  <c r="V227" i="9"/>
  <c r="V228" i="9" s="1"/>
  <c r="U227" i="9"/>
  <c r="T227" i="9"/>
  <c r="S227" i="9"/>
  <c r="R227" i="9"/>
  <c r="R228" i="9" s="1"/>
  <c r="Q227" i="9"/>
  <c r="Q228" i="9" s="1"/>
  <c r="P227" i="9"/>
  <c r="P228" i="9" s="1"/>
  <c r="O227" i="9"/>
  <c r="O228" i="9" s="1"/>
  <c r="N227" i="9"/>
  <c r="N228" i="9" s="1"/>
  <c r="M227" i="9"/>
  <c r="L227" i="9"/>
  <c r="K227" i="9"/>
  <c r="J227" i="9"/>
  <c r="J228" i="9" s="1"/>
  <c r="I227" i="9"/>
  <c r="I228" i="9" s="1"/>
  <c r="H227" i="9"/>
  <c r="H228" i="9" s="1"/>
  <c r="G227" i="9"/>
  <c r="G228" i="9" s="1"/>
  <c r="F227" i="9"/>
  <c r="F228" i="9" s="1"/>
  <c r="E227" i="9"/>
  <c r="Y225" i="9"/>
  <c r="X225" i="9"/>
  <c r="X226" i="9" s="1"/>
  <c r="W225" i="9"/>
  <c r="W226" i="9" s="1"/>
  <c r="V225" i="9"/>
  <c r="V226" i="9" s="1"/>
  <c r="U225" i="9"/>
  <c r="U226" i="9" s="1"/>
  <c r="T225" i="9"/>
  <c r="T226" i="9" s="1"/>
  <c r="S225" i="9"/>
  <c r="R225" i="9"/>
  <c r="Q225" i="9"/>
  <c r="P225" i="9"/>
  <c r="P226" i="9" s="1"/>
  <c r="O225" i="9"/>
  <c r="O226" i="9" s="1"/>
  <c r="N225" i="9"/>
  <c r="N226" i="9" s="1"/>
  <c r="M225" i="9"/>
  <c r="M226" i="9" s="1"/>
  <c r="L225" i="9"/>
  <c r="L226" i="9" s="1"/>
  <c r="K225" i="9"/>
  <c r="J225" i="9"/>
  <c r="I225" i="9"/>
  <c r="H225" i="9"/>
  <c r="H226" i="9" s="1"/>
  <c r="G225" i="9"/>
  <c r="G226" i="9" s="1"/>
  <c r="F225" i="9"/>
  <c r="F226" i="9" s="1"/>
  <c r="E225" i="9"/>
  <c r="E226" i="9" s="1"/>
  <c r="D225" i="9"/>
  <c r="D226" i="9" s="1"/>
  <c r="C225" i="9"/>
  <c r="AF224" i="9"/>
  <c r="W224" i="9"/>
  <c r="O224" i="9"/>
  <c r="G224" i="9"/>
  <c r="AL223" i="9"/>
  <c r="AK223" i="9"/>
  <c r="AJ223" i="9"/>
  <c r="AI223" i="9"/>
  <c r="AH223" i="9"/>
  <c r="AG223" i="9"/>
  <c r="AF223" i="9"/>
  <c r="AE223" i="9"/>
  <c r="AD223" i="9"/>
  <c r="AC223" i="9"/>
  <c r="AB223" i="9"/>
  <c r="AA223" i="9"/>
  <c r="AL222" i="9"/>
  <c r="AK222" i="9"/>
  <c r="AJ222" i="9"/>
  <c r="AI222" i="9"/>
  <c r="AH222" i="9"/>
  <c r="AG222" i="9"/>
  <c r="AF222" i="9"/>
  <c r="AE222" i="9"/>
  <c r="AD222" i="9"/>
  <c r="AC222" i="9"/>
  <c r="AB222" i="9"/>
  <c r="AA222" i="9"/>
  <c r="AL221" i="9"/>
  <c r="AK221" i="9"/>
  <c r="AJ221" i="9"/>
  <c r="AI221" i="9"/>
  <c r="AH221" i="9"/>
  <c r="AG221" i="9"/>
  <c r="AF221" i="9"/>
  <c r="AE221" i="9"/>
  <c r="AD221" i="9"/>
  <c r="AC221" i="9"/>
  <c r="AB221" i="9"/>
  <c r="AA221" i="9"/>
  <c r="AL220" i="9"/>
  <c r="AK220" i="9"/>
  <c r="AJ220" i="9"/>
  <c r="AI220" i="9"/>
  <c r="AH220" i="9"/>
  <c r="AG220" i="9"/>
  <c r="AF220" i="9"/>
  <c r="AE220" i="9"/>
  <c r="AD220" i="9"/>
  <c r="AC220" i="9"/>
  <c r="AB220" i="9"/>
  <c r="AA220" i="9"/>
  <c r="AL219" i="9"/>
  <c r="AK219" i="9"/>
  <c r="AJ219" i="9"/>
  <c r="AI219" i="9"/>
  <c r="AH219" i="9"/>
  <c r="AG219" i="9"/>
  <c r="AF219" i="9"/>
  <c r="AE219" i="9"/>
  <c r="AD219" i="9"/>
  <c r="AC219" i="9"/>
  <c r="AB219" i="9"/>
  <c r="AA219" i="9"/>
  <c r="AL218" i="9"/>
  <c r="AK218" i="9"/>
  <c r="AJ218" i="9"/>
  <c r="AI218" i="9"/>
  <c r="AH218" i="9"/>
  <c r="AG218" i="9"/>
  <c r="AF218" i="9"/>
  <c r="AE218" i="9"/>
  <c r="AD218" i="9"/>
  <c r="AC218" i="9"/>
  <c r="AB218" i="9"/>
  <c r="AA218" i="9"/>
  <c r="AL217" i="9"/>
  <c r="AK217" i="9"/>
  <c r="AJ217" i="9"/>
  <c r="AI217" i="9"/>
  <c r="AH217" i="9"/>
  <c r="AG217" i="9"/>
  <c r="AF217" i="9"/>
  <c r="AE217" i="9"/>
  <c r="AD217" i="9"/>
  <c r="AC217" i="9"/>
  <c r="AB217" i="9"/>
  <c r="AA217" i="9"/>
  <c r="AL216" i="9"/>
  <c r="AK216" i="9"/>
  <c r="AJ216" i="9"/>
  <c r="AI216" i="9"/>
  <c r="AH216" i="9"/>
  <c r="AG216" i="9"/>
  <c r="AF216" i="9"/>
  <c r="AE216" i="9"/>
  <c r="AD216" i="9"/>
  <c r="AC216" i="9"/>
  <c r="AB216" i="9"/>
  <c r="AA216" i="9"/>
  <c r="AL215" i="9"/>
  <c r="AK215" i="9"/>
  <c r="AJ215" i="9"/>
  <c r="AI215" i="9"/>
  <c r="AH215" i="9"/>
  <c r="AG215" i="9"/>
  <c r="AF215" i="9"/>
  <c r="AE215" i="9"/>
  <c r="AD215" i="9"/>
  <c r="AC215" i="9"/>
  <c r="AB215" i="9"/>
  <c r="AA215" i="9"/>
  <c r="AL214" i="9"/>
  <c r="AK214" i="9"/>
  <c r="AJ214" i="9"/>
  <c r="AI214" i="9"/>
  <c r="AH214" i="9"/>
  <c r="AG214" i="9"/>
  <c r="AF214" i="9"/>
  <c r="AE214" i="9"/>
  <c r="AD214" i="9"/>
  <c r="AC214" i="9"/>
  <c r="AB214" i="9"/>
  <c r="AA214" i="9"/>
  <c r="AL213" i="9"/>
  <c r="AK213" i="9"/>
  <c r="AJ213" i="9"/>
  <c r="AI213" i="9"/>
  <c r="AH213" i="9"/>
  <c r="AG213" i="9"/>
  <c r="AF213" i="9"/>
  <c r="AE213" i="9"/>
  <c r="AD213" i="9"/>
  <c r="AC213" i="9"/>
  <c r="AB213" i="9"/>
  <c r="AA213" i="9"/>
  <c r="AL212" i="9"/>
  <c r="AK212" i="9"/>
  <c r="AJ212" i="9"/>
  <c r="AI212" i="9"/>
  <c r="AH212" i="9"/>
  <c r="AG212" i="9"/>
  <c r="AF212" i="9"/>
  <c r="AE212" i="9"/>
  <c r="AD212" i="9"/>
  <c r="AC212" i="9"/>
  <c r="AB212" i="9"/>
  <c r="AA212" i="9"/>
  <c r="AL211" i="9"/>
  <c r="AL224" i="9" s="1"/>
  <c r="AK211" i="9"/>
  <c r="AK224" i="9" s="1"/>
  <c r="AJ211" i="9"/>
  <c r="AJ224" i="9" s="1"/>
  <c r="AI211" i="9"/>
  <c r="AI224" i="9" s="1"/>
  <c r="AH211" i="9"/>
  <c r="AH224" i="9" s="1"/>
  <c r="AG211" i="9"/>
  <c r="AF211" i="9"/>
  <c r="AE211" i="9"/>
  <c r="AE224" i="9" s="1"/>
  <c r="AD211" i="9"/>
  <c r="AD224" i="9" s="1"/>
  <c r="AC211" i="9"/>
  <c r="AC224" i="9" s="1"/>
  <c r="AB211" i="9"/>
  <c r="AB224" i="9" s="1"/>
  <c r="AA211" i="9"/>
  <c r="AA224" i="9" s="1"/>
  <c r="Y211" i="9"/>
  <c r="Y224" i="9" s="1"/>
  <c r="X211" i="9"/>
  <c r="W211" i="9"/>
  <c r="V211" i="9"/>
  <c r="V224" i="9" s="1"/>
  <c r="U211" i="9"/>
  <c r="U224" i="9" s="1"/>
  <c r="T211" i="9"/>
  <c r="T224" i="9" s="1"/>
  <c r="S211" i="9"/>
  <c r="S224" i="9" s="1"/>
  <c r="R211" i="9"/>
  <c r="R224" i="9" s="1"/>
  <c r="Q211" i="9"/>
  <c r="Q224" i="9" s="1"/>
  <c r="P211" i="9"/>
  <c r="O211" i="9"/>
  <c r="N211" i="9"/>
  <c r="N224" i="9" s="1"/>
  <c r="M211" i="9"/>
  <c r="M224" i="9" s="1"/>
  <c r="L211" i="9"/>
  <c r="L224" i="9" s="1"/>
  <c r="K211" i="9"/>
  <c r="K224" i="9" s="1"/>
  <c r="J211" i="9"/>
  <c r="J224" i="9" s="1"/>
  <c r="I211" i="9"/>
  <c r="I224" i="9" s="1"/>
  <c r="H211" i="9"/>
  <c r="G211" i="9"/>
  <c r="F211" i="9"/>
  <c r="F224" i="9" s="1"/>
  <c r="E211" i="9"/>
  <c r="E224" i="9" s="1"/>
  <c r="D211" i="9"/>
  <c r="D224" i="9" s="1"/>
  <c r="C211" i="9"/>
  <c r="C224" i="9" s="1"/>
  <c r="AL210" i="9"/>
  <c r="AK210" i="9"/>
  <c r="AJ210" i="9"/>
  <c r="AI210" i="9"/>
  <c r="AH210" i="9"/>
  <c r="AG210" i="9"/>
  <c r="AF210" i="9"/>
  <c r="AE210" i="9"/>
  <c r="AD210" i="9"/>
  <c r="AC210" i="9"/>
  <c r="AB210" i="9"/>
  <c r="AA210" i="9"/>
  <c r="AL209" i="9"/>
  <c r="AK209" i="9"/>
  <c r="AJ209" i="9"/>
  <c r="AI209" i="9"/>
  <c r="AH209" i="9"/>
  <c r="AG209" i="9"/>
  <c r="AF209" i="9"/>
  <c r="AE209" i="9"/>
  <c r="AD209" i="9"/>
  <c r="AC209" i="9"/>
  <c r="AB209" i="9"/>
  <c r="AA209" i="9"/>
  <c r="AL208" i="9"/>
  <c r="AK208" i="9"/>
  <c r="AJ208" i="9"/>
  <c r="AI208" i="9"/>
  <c r="AH208" i="9"/>
  <c r="AG208" i="9"/>
  <c r="AF208" i="9"/>
  <c r="AE208" i="9"/>
  <c r="AD208" i="9"/>
  <c r="AC208" i="9"/>
  <c r="AB208" i="9"/>
  <c r="AA208" i="9"/>
  <c r="AL207" i="9"/>
  <c r="AK207" i="9"/>
  <c r="AJ207" i="9"/>
  <c r="AJ243" i="9" s="1"/>
  <c r="AI207" i="9"/>
  <c r="AI249" i="9" s="1"/>
  <c r="AH207" i="9"/>
  <c r="AH249" i="9" s="1"/>
  <c r="AG207" i="9"/>
  <c r="AG232" i="9" s="1"/>
  <c r="AF207" i="9"/>
  <c r="AF252" i="9" s="1"/>
  <c r="AE207" i="9"/>
  <c r="AD207" i="9"/>
  <c r="AC207" i="9"/>
  <c r="AB207" i="9"/>
  <c r="AB243" i="9" s="1"/>
  <c r="AA207" i="9"/>
  <c r="AA249" i="9" s="1"/>
  <c r="Y207" i="9"/>
  <c r="Y249" i="9" s="1"/>
  <c r="X207" i="9"/>
  <c r="X232" i="9" s="1"/>
  <c r="W207" i="9"/>
  <c r="W252" i="9" s="1"/>
  <c r="V207" i="9"/>
  <c r="U207" i="9"/>
  <c r="T207" i="9"/>
  <c r="S207" i="9"/>
  <c r="S243" i="9" s="1"/>
  <c r="R207" i="9"/>
  <c r="R249" i="9" s="1"/>
  <c r="Q207" i="9"/>
  <c r="Q249" i="9" s="1"/>
  <c r="P207" i="9"/>
  <c r="P232" i="9" s="1"/>
  <c r="O207" i="9"/>
  <c r="O252" i="9" s="1"/>
  <c r="N207" i="9"/>
  <c r="M207" i="9"/>
  <c r="L207" i="9"/>
  <c r="K207" i="9"/>
  <c r="K243" i="9" s="1"/>
  <c r="J207" i="9"/>
  <c r="J249" i="9" s="1"/>
  <c r="I207" i="9"/>
  <c r="I249" i="9" s="1"/>
  <c r="H207" i="9"/>
  <c r="H232" i="9" s="1"/>
  <c r="G207" i="9"/>
  <c r="G252" i="9" s="1"/>
  <c r="F207" i="9"/>
  <c r="E207" i="9"/>
  <c r="D207" i="9"/>
  <c r="C207" i="9"/>
  <c r="C243" i="9" s="1"/>
  <c r="AL206" i="9"/>
  <c r="AK206" i="9"/>
  <c r="AJ206" i="9"/>
  <c r="AD206" i="9"/>
  <c r="AC206" i="9"/>
  <c r="AB206" i="9"/>
  <c r="U206" i="9"/>
  <c r="T206" i="9"/>
  <c r="S206" i="9"/>
  <c r="M206" i="9"/>
  <c r="L206" i="9"/>
  <c r="K206" i="9"/>
  <c r="E206" i="9"/>
  <c r="D206" i="9"/>
  <c r="C206" i="9"/>
  <c r="AL205" i="9"/>
  <c r="AK205" i="9"/>
  <c r="AJ205" i="9"/>
  <c r="AI205" i="9"/>
  <c r="AH205" i="9"/>
  <c r="AH206" i="9" s="1"/>
  <c r="AG205" i="9"/>
  <c r="AG206" i="9" s="1"/>
  <c r="AF205" i="9"/>
  <c r="AF206" i="9" s="1"/>
  <c r="AE205" i="9"/>
  <c r="AE206" i="9" s="1"/>
  <c r="AD205" i="9"/>
  <c r="AC205" i="9"/>
  <c r="AB205" i="9"/>
  <c r="AA205" i="9"/>
  <c r="Y205" i="9"/>
  <c r="Y206" i="9" s="1"/>
  <c r="X205" i="9"/>
  <c r="X206" i="9" s="1"/>
  <c r="W205" i="9"/>
  <c r="W206" i="9" s="1"/>
  <c r="V205" i="9"/>
  <c r="V206" i="9" s="1"/>
  <c r="U205" i="9"/>
  <c r="T205" i="9"/>
  <c r="S205" i="9"/>
  <c r="R205" i="9"/>
  <c r="Q205" i="9"/>
  <c r="Q206" i="9" s="1"/>
  <c r="P205" i="9"/>
  <c r="P206" i="9" s="1"/>
  <c r="O205" i="9"/>
  <c r="O206" i="9" s="1"/>
  <c r="N205" i="9"/>
  <c r="N206" i="9" s="1"/>
  <c r="M205" i="9"/>
  <c r="L205" i="9"/>
  <c r="K205" i="9"/>
  <c r="J205" i="9"/>
  <c r="I205" i="9"/>
  <c r="I206" i="9" s="1"/>
  <c r="H205" i="9"/>
  <c r="H206" i="9" s="1"/>
  <c r="G205" i="9"/>
  <c r="G206" i="9" s="1"/>
  <c r="F205" i="9"/>
  <c r="F206" i="9" s="1"/>
  <c r="E205" i="9"/>
  <c r="D205" i="9"/>
  <c r="C205" i="9"/>
  <c r="AL204" i="9"/>
  <c r="AK204" i="9"/>
  <c r="AJ204" i="9"/>
  <c r="AI204" i="9"/>
  <c r="AI206" i="9" s="1"/>
  <c r="AH204" i="9"/>
  <c r="AG204" i="9"/>
  <c r="AF204" i="9"/>
  <c r="AE204" i="9"/>
  <c r="AD204" i="9"/>
  <c r="AC204" i="9"/>
  <c r="AB204" i="9"/>
  <c r="AA204" i="9"/>
  <c r="AA206" i="9" s="1"/>
  <c r="Y204" i="9"/>
  <c r="X204" i="9"/>
  <c r="W204" i="9"/>
  <c r="V204" i="9"/>
  <c r="U204" i="9"/>
  <c r="T204" i="9"/>
  <c r="S204" i="9"/>
  <c r="R204" i="9"/>
  <c r="R206" i="9" s="1"/>
  <c r="Q204" i="9"/>
  <c r="P204" i="9"/>
  <c r="O204" i="9"/>
  <c r="N204" i="9"/>
  <c r="M204" i="9"/>
  <c r="L204" i="9"/>
  <c r="K204" i="9"/>
  <c r="J204" i="9"/>
  <c r="J206" i="9" s="1"/>
  <c r="I204" i="9"/>
  <c r="H204" i="9"/>
  <c r="G204" i="9"/>
  <c r="F204" i="9"/>
  <c r="E204" i="9"/>
  <c r="D204" i="9"/>
  <c r="C204" i="9"/>
  <c r="AL203" i="9"/>
  <c r="AK203" i="9"/>
  <c r="AJ203" i="9"/>
  <c r="AI203" i="9"/>
  <c r="AH203" i="9"/>
  <c r="AG203" i="9"/>
  <c r="AF203" i="9"/>
  <c r="AE203" i="9"/>
  <c r="AD203" i="9"/>
  <c r="AC203" i="9"/>
  <c r="AB203" i="9"/>
  <c r="AA203" i="9"/>
  <c r="Y203" i="9"/>
  <c r="X203" i="9"/>
  <c r="W203" i="9"/>
  <c r="V203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AL202" i="9"/>
  <c r="AK202" i="9"/>
  <c r="AJ202" i="9"/>
  <c r="AI202" i="9"/>
  <c r="AH202" i="9"/>
  <c r="AG202" i="9"/>
  <c r="AF202" i="9"/>
  <c r="AE202" i="9"/>
  <c r="AD202" i="9"/>
  <c r="AC202" i="9"/>
  <c r="AB202" i="9"/>
  <c r="AA202" i="9"/>
  <c r="AL201" i="9"/>
  <c r="AK201" i="9"/>
  <c r="AJ201" i="9"/>
  <c r="AI201" i="9"/>
  <c r="AH201" i="9"/>
  <c r="AG201" i="9"/>
  <c r="AF201" i="9"/>
  <c r="AE201" i="9"/>
  <c r="AD201" i="9"/>
  <c r="AC201" i="9"/>
  <c r="AB201" i="9"/>
  <c r="AA201" i="9"/>
  <c r="AL200" i="9"/>
  <c r="AK200" i="9"/>
  <c r="AJ200" i="9"/>
  <c r="AI200" i="9"/>
  <c r="AH200" i="9"/>
  <c r="AG200" i="9"/>
  <c r="AF200" i="9"/>
  <c r="AE200" i="9"/>
  <c r="AD200" i="9"/>
  <c r="AC200" i="9"/>
  <c r="AB200" i="9"/>
  <c r="AA200" i="9"/>
  <c r="AL199" i="9"/>
  <c r="AK199" i="9"/>
  <c r="AJ199" i="9"/>
  <c r="AI199" i="9"/>
  <c r="AH199" i="9"/>
  <c r="AG199" i="9"/>
  <c r="AF199" i="9"/>
  <c r="AE199" i="9"/>
  <c r="AD199" i="9"/>
  <c r="AC199" i="9"/>
  <c r="AB199" i="9"/>
  <c r="AA199" i="9"/>
  <c r="AL196" i="9"/>
  <c r="AK196" i="9"/>
  <c r="AJ196" i="9"/>
  <c r="AI196" i="9"/>
  <c r="AH196" i="9"/>
  <c r="AG196" i="9"/>
  <c r="AF196" i="9"/>
  <c r="AE196" i="9"/>
  <c r="AD196" i="9"/>
  <c r="AC196" i="9"/>
  <c r="AB196" i="9"/>
  <c r="AA196" i="9"/>
  <c r="AL195" i="9"/>
  <c r="AK195" i="9"/>
  <c r="AJ195" i="9"/>
  <c r="AI195" i="9"/>
  <c r="AH195" i="9"/>
  <c r="AG195" i="9"/>
  <c r="AF195" i="9"/>
  <c r="AE195" i="9"/>
  <c r="AD195" i="9"/>
  <c r="AC195" i="9"/>
  <c r="AB195" i="9"/>
  <c r="AA195" i="9"/>
  <c r="AL194" i="9"/>
  <c r="AK194" i="9"/>
  <c r="AJ194" i="9"/>
  <c r="AI194" i="9"/>
  <c r="AH194" i="9"/>
  <c r="AG194" i="9"/>
  <c r="AF194" i="9"/>
  <c r="AE194" i="9"/>
  <c r="AD194" i="9"/>
  <c r="AC194" i="9"/>
  <c r="AB194" i="9"/>
  <c r="AA194" i="9"/>
  <c r="P194" i="9"/>
  <c r="AL193" i="9"/>
  <c r="AK193" i="9"/>
  <c r="AJ193" i="9"/>
  <c r="AI193" i="9"/>
  <c r="AH193" i="9"/>
  <c r="AG193" i="9"/>
  <c r="AF193" i="9"/>
  <c r="AE193" i="9"/>
  <c r="AD193" i="9"/>
  <c r="AC193" i="9"/>
  <c r="AB193" i="9"/>
  <c r="AA193" i="9"/>
  <c r="W193" i="9"/>
  <c r="V193" i="9"/>
  <c r="U193" i="9"/>
  <c r="T193" i="9"/>
  <c r="S193" i="9"/>
  <c r="R193" i="9"/>
  <c r="Q193" i="9"/>
  <c r="P193" i="9"/>
  <c r="P196" i="9" s="1"/>
  <c r="AL192" i="9"/>
  <c r="AK192" i="9"/>
  <c r="AJ192" i="9"/>
  <c r="AI192" i="9"/>
  <c r="AH192" i="9"/>
  <c r="AG192" i="9"/>
  <c r="AF192" i="9"/>
  <c r="AE192" i="9"/>
  <c r="AD192" i="9"/>
  <c r="AC192" i="9"/>
  <c r="AB192" i="9"/>
  <c r="AA192" i="9"/>
  <c r="Y192" i="9"/>
  <c r="X192" i="9"/>
  <c r="D192" i="9"/>
  <c r="C192" i="9"/>
  <c r="AL191" i="9"/>
  <c r="AK191" i="9"/>
  <c r="AJ191" i="9"/>
  <c r="AI191" i="9"/>
  <c r="AH191" i="9"/>
  <c r="AG191" i="9"/>
  <c r="AF191" i="9"/>
  <c r="AE191" i="9"/>
  <c r="AD191" i="9"/>
  <c r="AC191" i="9"/>
  <c r="AB191" i="9"/>
  <c r="AA191" i="9"/>
  <c r="AL190" i="9"/>
  <c r="AK190" i="9"/>
  <c r="AJ190" i="9"/>
  <c r="AI190" i="9"/>
  <c r="AH190" i="9"/>
  <c r="AG190" i="9"/>
  <c r="AF190" i="9"/>
  <c r="AE190" i="9"/>
  <c r="AD190" i="9"/>
  <c r="AC190" i="9"/>
  <c r="AB190" i="9"/>
  <c r="AA190" i="9"/>
  <c r="AL189" i="9"/>
  <c r="AK189" i="9"/>
  <c r="AJ189" i="9"/>
  <c r="AI189" i="9"/>
  <c r="AH189" i="9"/>
  <c r="AG189" i="9"/>
  <c r="AF189" i="9"/>
  <c r="AE189" i="9"/>
  <c r="AD189" i="9"/>
  <c r="AC189" i="9"/>
  <c r="AB189" i="9"/>
  <c r="AA189" i="9"/>
  <c r="AL188" i="9"/>
  <c r="AK188" i="9"/>
  <c r="AJ188" i="9"/>
  <c r="AI188" i="9"/>
  <c r="AH188" i="9"/>
  <c r="AG188" i="9"/>
  <c r="AF188" i="9"/>
  <c r="AE188" i="9"/>
  <c r="AD188" i="9"/>
  <c r="AC188" i="9"/>
  <c r="AB188" i="9"/>
  <c r="AA188" i="9"/>
  <c r="AL187" i="9"/>
  <c r="AK187" i="9"/>
  <c r="AJ187" i="9"/>
  <c r="AI187" i="9"/>
  <c r="AH187" i="9"/>
  <c r="AG187" i="9"/>
  <c r="AF187" i="9"/>
  <c r="AE187" i="9"/>
  <c r="AD187" i="9"/>
  <c r="AC187" i="9"/>
  <c r="AB187" i="9"/>
  <c r="AA187" i="9"/>
  <c r="AL186" i="9"/>
  <c r="AK186" i="9"/>
  <c r="AJ186" i="9"/>
  <c r="AI186" i="9"/>
  <c r="AH186" i="9"/>
  <c r="AG186" i="9"/>
  <c r="AF186" i="9"/>
  <c r="AE186" i="9"/>
  <c r="AD186" i="9"/>
  <c r="AC186" i="9"/>
  <c r="AB186" i="9"/>
  <c r="AA186" i="9"/>
  <c r="AL185" i="9"/>
  <c r="AK185" i="9"/>
  <c r="AJ185" i="9"/>
  <c r="AI185" i="9"/>
  <c r="AH185" i="9"/>
  <c r="AG185" i="9"/>
  <c r="AF185" i="9"/>
  <c r="AE185" i="9"/>
  <c r="AD185" i="9"/>
  <c r="AC185" i="9"/>
  <c r="AB185" i="9"/>
  <c r="AA185" i="9"/>
  <c r="AL184" i="9"/>
  <c r="AK184" i="9"/>
  <c r="AJ184" i="9"/>
  <c r="AI184" i="9"/>
  <c r="AH184" i="9"/>
  <c r="AG184" i="9"/>
  <c r="AF184" i="9"/>
  <c r="AE184" i="9"/>
  <c r="AD184" i="9"/>
  <c r="AC184" i="9"/>
  <c r="AB184" i="9"/>
  <c r="AA184" i="9"/>
  <c r="Y184" i="9"/>
  <c r="AL183" i="9"/>
  <c r="AK183" i="9"/>
  <c r="AJ183" i="9"/>
  <c r="AI183" i="9"/>
  <c r="AH183" i="9"/>
  <c r="AG183" i="9"/>
  <c r="AF183" i="9"/>
  <c r="AE183" i="9"/>
  <c r="AD183" i="9"/>
  <c r="AC183" i="9"/>
  <c r="AB183" i="9"/>
  <c r="AA183" i="9"/>
  <c r="C183" i="9"/>
  <c r="C184" i="9" s="1"/>
  <c r="AL182" i="9"/>
  <c r="AK182" i="9"/>
  <c r="AJ182" i="9"/>
  <c r="AI182" i="9"/>
  <c r="AH182" i="9"/>
  <c r="AG182" i="9"/>
  <c r="AF182" i="9"/>
  <c r="AE182" i="9"/>
  <c r="AD182" i="9"/>
  <c r="AC182" i="9"/>
  <c r="AB182" i="9"/>
  <c r="AA182" i="9"/>
  <c r="AL181" i="9"/>
  <c r="AK181" i="9"/>
  <c r="AJ181" i="9"/>
  <c r="AI181" i="9"/>
  <c r="AH181" i="9"/>
  <c r="AG181" i="9"/>
  <c r="AF181" i="9"/>
  <c r="AE181" i="9"/>
  <c r="AD181" i="9"/>
  <c r="AC181" i="9"/>
  <c r="AB181" i="9"/>
  <c r="AA181" i="9"/>
  <c r="AL180" i="9"/>
  <c r="AK180" i="9"/>
  <c r="AJ180" i="9"/>
  <c r="AI180" i="9"/>
  <c r="AH180" i="9"/>
  <c r="AG180" i="9"/>
  <c r="AF180" i="9"/>
  <c r="AE180" i="9"/>
  <c r="AD180" i="9"/>
  <c r="AC180" i="9"/>
  <c r="AB180" i="9"/>
  <c r="AA180" i="9"/>
  <c r="AL179" i="9"/>
  <c r="AK179" i="9"/>
  <c r="AJ179" i="9"/>
  <c r="AI179" i="9"/>
  <c r="AH179" i="9"/>
  <c r="AG179" i="9"/>
  <c r="AF179" i="9"/>
  <c r="AE179" i="9"/>
  <c r="AD179" i="9"/>
  <c r="AC179" i="9"/>
  <c r="AB179" i="9"/>
  <c r="AA179" i="9"/>
  <c r="AL178" i="9"/>
  <c r="AK178" i="9"/>
  <c r="AJ178" i="9"/>
  <c r="AI178" i="9"/>
  <c r="AH178" i="9"/>
  <c r="AG178" i="9"/>
  <c r="AF178" i="9"/>
  <c r="AE178" i="9"/>
  <c r="AD178" i="9"/>
  <c r="AC178" i="9"/>
  <c r="AB178" i="9"/>
  <c r="AA178" i="9"/>
  <c r="AL177" i="9"/>
  <c r="AK177" i="9"/>
  <c r="AJ177" i="9"/>
  <c r="AI177" i="9"/>
  <c r="AH177" i="9"/>
  <c r="AG177" i="9"/>
  <c r="AF177" i="9"/>
  <c r="AE177" i="9"/>
  <c r="AD177" i="9"/>
  <c r="AC177" i="9"/>
  <c r="AB177" i="9"/>
  <c r="AA177" i="9"/>
  <c r="AL176" i="9"/>
  <c r="AK176" i="9"/>
  <c r="AJ176" i="9"/>
  <c r="AI176" i="9"/>
  <c r="AH176" i="9"/>
  <c r="AG176" i="9"/>
  <c r="AF176" i="9"/>
  <c r="AE176" i="9"/>
  <c r="AD176" i="9"/>
  <c r="AC176" i="9"/>
  <c r="AB176" i="9"/>
  <c r="AA176" i="9"/>
  <c r="AL175" i="9"/>
  <c r="AK175" i="9"/>
  <c r="AJ175" i="9"/>
  <c r="AI175" i="9"/>
  <c r="AH175" i="9"/>
  <c r="AG175" i="9"/>
  <c r="AF175" i="9"/>
  <c r="AE175" i="9"/>
  <c r="AD175" i="9"/>
  <c r="AC175" i="9"/>
  <c r="AB175" i="9"/>
  <c r="AA175" i="9"/>
  <c r="AL174" i="9"/>
  <c r="AK174" i="9"/>
  <c r="AJ174" i="9"/>
  <c r="AI174" i="9"/>
  <c r="AH174" i="9"/>
  <c r="AG174" i="9"/>
  <c r="AF174" i="9"/>
  <c r="AE174" i="9"/>
  <c r="AD174" i="9"/>
  <c r="AC174" i="9"/>
  <c r="AB174" i="9"/>
  <c r="AA174" i="9"/>
  <c r="AL173" i="9"/>
  <c r="AK173" i="9"/>
  <c r="AJ173" i="9"/>
  <c r="AI173" i="9"/>
  <c r="AH173" i="9"/>
  <c r="AG173" i="9"/>
  <c r="AF173" i="9"/>
  <c r="AE173" i="9"/>
  <c r="AD173" i="9"/>
  <c r="AC173" i="9"/>
  <c r="AB173" i="9"/>
  <c r="AA173" i="9"/>
  <c r="AL172" i="9"/>
  <c r="AK172" i="9"/>
  <c r="AJ172" i="9"/>
  <c r="AI172" i="9"/>
  <c r="AH172" i="9"/>
  <c r="AG172" i="9"/>
  <c r="AF172" i="9"/>
  <c r="AE172" i="9"/>
  <c r="AD172" i="9"/>
  <c r="AC172" i="9"/>
  <c r="AB172" i="9"/>
  <c r="AA172" i="9"/>
  <c r="AL171" i="9"/>
  <c r="AK171" i="9"/>
  <c r="AJ171" i="9"/>
  <c r="AI171" i="9"/>
  <c r="AH171" i="9"/>
  <c r="AG171" i="9"/>
  <c r="AF171" i="9"/>
  <c r="AE171" i="9"/>
  <c r="AD171" i="9"/>
  <c r="AC171" i="9"/>
  <c r="AB171" i="9"/>
  <c r="AA171" i="9"/>
  <c r="AL170" i="9"/>
  <c r="AK170" i="9"/>
  <c r="AJ170" i="9"/>
  <c r="AI170" i="9"/>
  <c r="AH170" i="9"/>
  <c r="AG170" i="9"/>
  <c r="AF170" i="9"/>
  <c r="AE170" i="9"/>
  <c r="AD170" i="9"/>
  <c r="AC170" i="9"/>
  <c r="AB170" i="9"/>
  <c r="AA170" i="9"/>
  <c r="AL169" i="9"/>
  <c r="AK169" i="9"/>
  <c r="AJ169" i="9"/>
  <c r="AI169" i="9"/>
  <c r="AH169" i="9"/>
  <c r="AG169" i="9"/>
  <c r="AF169" i="9"/>
  <c r="AE169" i="9"/>
  <c r="AD169" i="9"/>
  <c r="AC169" i="9"/>
  <c r="AB169" i="9"/>
  <c r="AA169" i="9"/>
  <c r="AL168" i="9"/>
  <c r="AK168" i="9"/>
  <c r="AJ168" i="9"/>
  <c r="AI168" i="9"/>
  <c r="AH168" i="9"/>
  <c r="AG168" i="9"/>
  <c r="AF168" i="9"/>
  <c r="AE168" i="9"/>
  <c r="AD168" i="9"/>
  <c r="AC168" i="9"/>
  <c r="AB168" i="9"/>
  <c r="AA168" i="9"/>
  <c r="AL167" i="9"/>
  <c r="AK167" i="9"/>
  <c r="AJ167" i="9"/>
  <c r="AI167" i="9"/>
  <c r="AH167" i="9"/>
  <c r="AG167" i="9"/>
  <c r="AF167" i="9"/>
  <c r="AE167" i="9"/>
  <c r="AD167" i="9"/>
  <c r="AC167" i="9"/>
  <c r="AB167" i="9"/>
  <c r="AA167" i="9"/>
  <c r="AL166" i="9"/>
  <c r="AK166" i="9"/>
  <c r="AJ166" i="9"/>
  <c r="AI166" i="9"/>
  <c r="AH166" i="9"/>
  <c r="AG166" i="9"/>
  <c r="AF166" i="9"/>
  <c r="AE166" i="9"/>
  <c r="AD166" i="9"/>
  <c r="AC166" i="9"/>
  <c r="AB166" i="9"/>
  <c r="AA166" i="9"/>
  <c r="AL165" i="9"/>
  <c r="AK165" i="9"/>
  <c r="AJ165" i="9"/>
  <c r="AI165" i="9"/>
  <c r="AH165" i="9"/>
  <c r="AG165" i="9"/>
  <c r="AF165" i="9"/>
  <c r="AE165" i="9"/>
  <c r="AD165" i="9"/>
  <c r="AC165" i="9"/>
  <c r="AB165" i="9"/>
  <c r="AA165" i="9"/>
  <c r="AL164" i="9"/>
  <c r="AK164" i="9"/>
  <c r="AJ164" i="9"/>
  <c r="AI164" i="9"/>
  <c r="AH164" i="9"/>
  <c r="AG164" i="9"/>
  <c r="AF164" i="9"/>
  <c r="AE164" i="9"/>
  <c r="AD164" i="9"/>
  <c r="AC164" i="9"/>
  <c r="AB164" i="9"/>
  <c r="AA164" i="9"/>
  <c r="AL163" i="9"/>
  <c r="AK163" i="9"/>
  <c r="AJ163" i="9"/>
  <c r="AI163" i="9"/>
  <c r="AH163" i="9"/>
  <c r="AG163" i="9"/>
  <c r="AF163" i="9"/>
  <c r="AE163" i="9"/>
  <c r="AD163" i="9"/>
  <c r="AC163" i="9"/>
  <c r="AB163" i="9"/>
  <c r="AA163" i="9"/>
  <c r="AL162" i="9"/>
  <c r="AK162" i="9"/>
  <c r="AJ162" i="9"/>
  <c r="AI162" i="9"/>
  <c r="AH162" i="9"/>
  <c r="AG162" i="9"/>
  <c r="AF162" i="9"/>
  <c r="AE162" i="9"/>
  <c r="AD162" i="9"/>
  <c r="AC162" i="9"/>
  <c r="AB162" i="9"/>
  <c r="AA162" i="9"/>
  <c r="X162" i="9"/>
  <c r="X183" i="9" s="1"/>
  <c r="X184" i="9" s="1"/>
  <c r="D162" i="9"/>
  <c r="D183" i="9" s="1"/>
  <c r="D184" i="9" s="1"/>
  <c r="C162" i="9"/>
  <c r="AL161" i="9"/>
  <c r="AK161" i="9"/>
  <c r="AJ161" i="9"/>
  <c r="AI161" i="9"/>
  <c r="AH161" i="9"/>
  <c r="AG161" i="9"/>
  <c r="AF161" i="9"/>
  <c r="AE161" i="9"/>
  <c r="AD161" i="9"/>
  <c r="AC161" i="9"/>
  <c r="AB161" i="9"/>
  <c r="AA161" i="9"/>
  <c r="AL160" i="9"/>
  <c r="AK160" i="9"/>
  <c r="AJ160" i="9"/>
  <c r="AI160" i="9"/>
  <c r="AH160" i="9"/>
  <c r="AG160" i="9"/>
  <c r="AF160" i="9"/>
  <c r="AE160" i="9"/>
  <c r="AD160" i="9"/>
  <c r="AC160" i="9"/>
  <c r="AB160" i="9"/>
  <c r="AA160" i="9"/>
  <c r="AL159" i="9"/>
  <c r="AK159" i="9"/>
  <c r="AJ159" i="9"/>
  <c r="AI159" i="9"/>
  <c r="AH159" i="9"/>
  <c r="AG159" i="9"/>
  <c r="AF159" i="9"/>
  <c r="AE159" i="9"/>
  <c r="AD159" i="9"/>
  <c r="AC159" i="9"/>
  <c r="AB159" i="9"/>
  <c r="AA159" i="9"/>
  <c r="AL158" i="9"/>
  <c r="AK158" i="9"/>
  <c r="AJ158" i="9"/>
  <c r="AI158" i="9"/>
  <c r="AH158" i="9"/>
  <c r="AG158" i="9"/>
  <c r="AF158" i="9"/>
  <c r="AE158" i="9"/>
  <c r="AD158" i="9"/>
  <c r="AC158" i="9"/>
  <c r="AB158" i="9"/>
  <c r="AA158" i="9"/>
  <c r="AL157" i="9"/>
  <c r="AK157" i="9"/>
  <c r="AJ157" i="9"/>
  <c r="AI157" i="9"/>
  <c r="AH157" i="9"/>
  <c r="AG157" i="9"/>
  <c r="AF157" i="9"/>
  <c r="AE157" i="9"/>
  <c r="AD157" i="9"/>
  <c r="AC157" i="9"/>
  <c r="AB157" i="9"/>
  <c r="AA157" i="9"/>
  <c r="Y157" i="9"/>
  <c r="Y165" i="9" s="1"/>
  <c r="Y175" i="9" s="1"/>
  <c r="Y193" i="9" s="1"/>
  <c r="Y196" i="9" s="1"/>
  <c r="Y197" i="9" s="1"/>
  <c r="AM153" i="9"/>
  <c r="AM152" i="9"/>
  <c r="AM151" i="9"/>
  <c r="AL149" i="9"/>
  <c r="AK149" i="9"/>
  <c r="AJ149" i="9"/>
  <c r="AI149" i="9"/>
  <c r="AH149" i="9"/>
  <c r="AG149" i="9"/>
  <c r="AF149" i="9"/>
  <c r="AE149" i="9"/>
  <c r="AD149" i="9"/>
  <c r="AM149" i="9" s="1"/>
  <c r="AC149" i="9"/>
  <c r="AB149" i="9"/>
  <c r="AA149" i="9"/>
  <c r="D149" i="9"/>
  <c r="AM148" i="9"/>
  <c r="AM147" i="9"/>
  <c r="AL146" i="9"/>
  <c r="AL150" i="9" s="1"/>
  <c r="AI146" i="9"/>
  <c r="AI150" i="9" s="1"/>
  <c r="AH146" i="9"/>
  <c r="AH150" i="9" s="1"/>
  <c r="AG146" i="9"/>
  <c r="AG150" i="9" s="1"/>
  <c r="AF146" i="9"/>
  <c r="AF150" i="9" s="1"/>
  <c r="AE146" i="9"/>
  <c r="AE150" i="9" s="1"/>
  <c r="AD146" i="9"/>
  <c r="AD150" i="9" s="1"/>
  <c r="AA146" i="9"/>
  <c r="AA150" i="9" s="1"/>
  <c r="X146" i="9"/>
  <c r="X150" i="9" s="1"/>
  <c r="D146" i="9"/>
  <c r="D150" i="9" s="1"/>
  <c r="C146" i="9"/>
  <c r="C150" i="9" s="1"/>
  <c r="AM145" i="9"/>
  <c r="AM144" i="9"/>
  <c r="AM143" i="9"/>
  <c r="AM142" i="9"/>
  <c r="AM141" i="9"/>
  <c r="AM140" i="9"/>
  <c r="AL139" i="9"/>
  <c r="AL225" i="9" s="1"/>
  <c r="AL226" i="9" s="1"/>
  <c r="AK139" i="9"/>
  <c r="AK225" i="9" s="1"/>
  <c r="AK226" i="9" s="1"/>
  <c r="AJ139" i="9"/>
  <c r="AJ225" i="9" s="1"/>
  <c r="AJ226" i="9" s="1"/>
  <c r="AI139" i="9"/>
  <c r="AI225" i="9" s="1"/>
  <c r="AI226" i="9" s="1"/>
  <c r="AH139" i="9"/>
  <c r="AH225" i="9" s="1"/>
  <c r="AH226" i="9" s="1"/>
  <c r="AG139" i="9"/>
  <c r="AG225" i="9" s="1"/>
  <c r="AG226" i="9" s="1"/>
  <c r="AF139" i="9"/>
  <c r="AF225" i="9" s="1"/>
  <c r="AF226" i="9" s="1"/>
  <c r="AE139" i="9"/>
  <c r="AE225" i="9" s="1"/>
  <c r="AE226" i="9" s="1"/>
  <c r="AD139" i="9"/>
  <c r="AD225" i="9" s="1"/>
  <c r="AD226" i="9" s="1"/>
  <c r="AC139" i="9"/>
  <c r="AC225" i="9" s="1"/>
  <c r="AC226" i="9" s="1"/>
  <c r="AB139" i="9"/>
  <c r="AB225" i="9" s="1"/>
  <c r="AB226" i="9" s="1"/>
  <c r="AA139" i="9"/>
  <c r="AA225" i="9" s="1"/>
  <c r="AA226" i="9" s="1"/>
  <c r="AM138" i="9"/>
  <c r="AM137" i="9"/>
  <c r="AM136" i="9"/>
  <c r="AM135" i="9"/>
  <c r="Y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AL131" i="9"/>
  <c r="AK131" i="9"/>
  <c r="AJ131" i="9"/>
  <c r="AI131" i="9"/>
  <c r="AH131" i="9"/>
  <c r="AG131" i="9"/>
  <c r="AF131" i="9"/>
  <c r="AE131" i="9"/>
  <c r="AD131" i="9"/>
  <c r="AC131" i="9"/>
  <c r="AB131" i="9"/>
  <c r="AA131" i="9"/>
  <c r="AL130" i="9"/>
  <c r="AK130" i="9"/>
  <c r="AJ130" i="9"/>
  <c r="AI130" i="9"/>
  <c r="AH130" i="9"/>
  <c r="AG130" i="9"/>
  <c r="AF130" i="9"/>
  <c r="AE130" i="9"/>
  <c r="AD130" i="9"/>
  <c r="AC130" i="9"/>
  <c r="AB130" i="9"/>
  <c r="AA130" i="9"/>
  <c r="AL129" i="9"/>
  <c r="AK129" i="9"/>
  <c r="AJ129" i="9"/>
  <c r="AI129" i="9"/>
  <c r="AH129" i="9"/>
  <c r="AG129" i="9"/>
  <c r="AF129" i="9"/>
  <c r="AE129" i="9"/>
  <c r="AD129" i="9"/>
  <c r="AC129" i="9"/>
  <c r="AB129" i="9"/>
  <c r="AA129" i="9"/>
  <c r="AL128" i="9"/>
  <c r="AK128" i="9"/>
  <c r="AJ128" i="9"/>
  <c r="AI128" i="9"/>
  <c r="AH128" i="9"/>
  <c r="AG128" i="9"/>
  <c r="AF128" i="9"/>
  <c r="AE128" i="9"/>
  <c r="AD128" i="9"/>
  <c r="AC128" i="9"/>
  <c r="AB128" i="9"/>
  <c r="AA128" i="9"/>
  <c r="X128" i="9"/>
  <c r="I128" i="9"/>
  <c r="G128" i="9"/>
  <c r="F128" i="9"/>
  <c r="E128" i="9"/>
  <c r="D128" i="9"/>
  <c r="C128" i="9"/>
  <c r="AL127" i="9"/>
  <c r="AK127" i="9"/>
  <c r="AJ127" i="9"/>
  <c r="AI127" i="9"/>
  <c r="AH127" i="9"/>
  <c r="AG127" i="9"/>
  <c r="AF127" i="9"/>
  <c r="AE127" i="9"/>
  <c r="AD127" i="9"/>
  <c r="AC127" i="9"/>
  <c r="AB127" i="9"/>
  <c r="AA127" i="9"/>
  <c r="AL126" i="9"/>
  <c r="AK126" i="9"/>
  <c r="AJ126" i="9"/>
  <c r="AI126" i="9"/>
  <c r="AH126" i="9"/>
  <c r="AG126" i="9"/>
  <c r="AF126" i="9"/>
  <c r="AE126" i="9"/>
  <c r="AD126" i="9"/>
  <c r="AC126" i="9"/>
  <c r="AB126" i="9"/>
  <c r="AA126" i="9"/>
  <c r="AL125" i="9"/>
  <c r="AK125" i="9"/>
  <c r="AJ125" i="9"/>
  <c r="AI125" i="9"/>
  <c r="AH125" i="9"/>
  <c r="AG125" i="9"/>
  <c r="AF125" i="9"/>
  <c r="AE125" i="9"/>
  <c r="AD125" i="9"/>
  <c r="AC125" i="9"/>
  <c r="AB125" i="9"/>
  <c r="AA125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AL123" i="9"/>
  <c r="AK123" i="9"/>
  <c r="AJ123" i="9"/>
  <c r="AI123" i="9"/>
  <c r="AH123" i="9"/>
  <c r="AG123" i="9"/>
  <c r="AF123" i="9"/>
  <c r="AE123" i="9"/>
  <c r="AD123" i="9"/>
  <c r="AC123" i="9"/>
  <c r="AB123" i="9"/>
  <c r="AA123" i="9"/>
  <c r="AL122" i="9"/>
  <c r="AK122" i="9"/>
  <c r="AJ122" i="9"/>
  <c r="AI122" i="9"/>
  <c r="AH122" i="9"/>
  <c r="AG122" i="9"/>
  <c r="AF122" i="9"/>
  <c r="AE122" i="9"/>
  <c r="AD122" i="9"/>
  <c r="AC122" i="9"/>
  <c r="AB122" i="9"/>
  <c r="AA122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AL120" i="9"/>
  <c r="AK120" i="9"/>
  <c r="AJ120" i="9"/>
  <c r="AI120" i="9"/>
  <c r="AH120" i="9"/>
  <c r="AG120" i="9"/>
  <c r="AF120" i="9"/>
  <c r="AE120" i="9"/>
  <c r="AD120" i="9"/>
  <c r="AC120" i="9"/>
  <c r="AB120" i="9"/>
  <c r="AA120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X117" i="9"/>
  <c r="I117" i="9"/>
  <c r="H117" i="9"/>
  <c r="G117" i="9"/>
  <c r="F117" i="9"/>
  <c r="E117" i="9"/>
  <c r="D117" i="9"/>
  <c r="C117" i="9"/>
  <c r="AL116" i="9"/>
  <c r="AK116" i="9"/>
  <c r="AJ116" i="9"/>
  <c r="AI116" i="9"/>
  <c r="AH116" i="9"/>
  <c r="AG116" i="9"/>
  <c r="AF116" i="9"/>
  <c r="AE116" i="9"/>
  <c r="AD116" i="9"/>
  <c r="AC116" i="9"/>
  <c r="AB116" i="9"/>
  <c r="AA116" i="9"/>
  <c r="AL115" i="9"/>
  <c r="AK115" i="9"/>
  <c r="AJ115" i="9"/>
  <c r="AI115" i="9"/>
  <c r="AH115" i="9"/>
  <c r="AG115" i="9"/>
  <c r="AF115" i="9"/>
  <c r="AE115" i="9"/>
  <c r="AD115" i="9"/>
  <c r="AC115" i="9"/>
  <c r="AB115" i="9"/>
  <c r="AA115" i="9"/>
  <c r="AL114" i="9"/>
  <c r="AK114" i="9"/>
  <c r="AJ114" i="9"/>
  <c r="AI114" i="9"/>
  <c r="AH114" i="9"/>
  <c r="AG114" i="9"/>
  <c r="AF114" i="9"/>
  <c r="AE114" i="9"/>
  <c r="AD114" i="9"/>
  <c r="AC114" i="9"/>
  <c r="AB114" i="9"/>
  <c r="AA114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AL111" i="9"/>
  <c r="AK111" i="9"/>
  <c r="AJ111" i="9"/>
  <c r="AI111" i="9"/>
  <c r="AH111" i="9"/>
  <c r="AG111" i="9"/>
  <c r="AF111" i="9"/>
  <c r="AE111" i="9"/>
  <c r="AD111" i="9"/>
  <c r="AC111" i="9"/>
  <c r="AB111" i="9"/>
  <c r="AA111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AL99" i="9"/>
  <c r="AK99" i="9"/>
  <c r="AJ99" i="9"/>
  <c r="AI99" i="9"/>
  <c r="AH99" i="9"/>
  <c r="AG99" i="9"/>
  <c r="AF99" i="9"/>
  <c r="AE99" i="9"/>
  <c r="AD99" i="9"/>
  <c r="AC99" i="9"/>
  <c r="AB99" i="9"/>
  <c r="AA99" i="9"/>
  <c r="AL98" i="9"/>
  <c r="AK98" i="9"/>
  <c r="AJ98" i="9"/>
  <c r="AI98" i="9"/>
  <c r="AH98" i="9"/>
  <c r="AG98" i="9"/>
  <c r="AF98" i="9"/>
  <c r="AE98" i="9"/>
  <c r="AD98" i="9"/>
  <c r="AC98" i="9"/>
  <c r="AB98" i="9"/>
  <c r="AA98" i="9"/>
  <c r="AL97" i="9"/>
  <c r="AK97" i="9"/>
  <c r="AJ97" i="9"/>
  <c r="AI97" i="9"/>
  <c r="AH97" i="9"/>
  <c r="AG97" i="9"/>
  <c r="AF97" i="9"/>
  <c r="AE97" i="9"/>
  <c r="AD97" i="9"/>
  <c r="AC97" i="9"/>
  <c r="AB97" i="9"/>
  <c r="AA97" i="9"/>
  <c r="AL96" i="9"/>
  <c r="AK96" i="9"/>
  <c r="AJ96" i="9"/>
  <c r="AI96" i="9"/>
  <c r="AH96" i="9"/>
  <c r="AG96" i="9"/>
  <c r="AF96" i="9"/>
  <c r="AE96" i="9"/>
  <c r="AD96" i="9"/>
  <c r="AC96" i="9"/>
  <c r="AB96" i="9"/>
  <c r="AA96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X85" i="9"/>
  <c r="X84" i="9" s="1"/>
  <c r="X131" i="9" s="1"/>
  <c r="I85" i="9"/>
  <c r="I84" i="9" s="1"/>
  <c r="I131" i="9" s="1"/>
  <c r="H85" i="9"/>
  <c r="H84" i="9" s="1"/>
  <c r="H131" i="9" s="1"/>
  <c r="G85" i="9"/>
  <c r="F85" i="9"/>
  <c r="E85" i="9"/>
  <c r="D85" i="9"/>
  <c r="C85" i="9"/>
  <c r="C84" i="9" s="1"/>
  <c r="C131" i="9" s="1"/>
  <c r="AL84" i="9"/>
  <c r="AK84" i="9"/>
  <c r="AJ84" i="9"/>
  <c r="AI84" i="9"/>
  <c r="AH84" i="9"/>
  <c r="AG84" i="9"/>
  <c r="AF84" i="9"/>
  <c r="AE84" i="9"/>
  <c r="AD84" i="9"/>
  <c r="AC84" i="9"/>
  <c r="AB84" i="9"/>
  <c r="AA84" i="9"/>
  <c r="G84" i="9"/>
  <c r="G131" i="9" s="1"/>
  <c r="F84" i="9"/>
  <c r="F131" i="9" s="1"/>
  <c r="E84" i="9"/>
  <c r="E131" i="9" s="1"/>
  <c r="D84" i="9"/>
  <c r="D131" i="9" s="1"/>
  <c r="AL83" i="9"/>
  <c r="AK83" i="9"/>
  <c r="AJ83" i="9"/>
  <c r="AI83" i="9"/>
  <c r="AH83" i="9"/>
  <c r="AG83" i="9"/>
  <c r="AF83" i="9"/>
  <c r="AE83" i="9"/>
  <c r="AD83" i="9"/>
  <c r="AC83" i="9"/>
  <c r="AB83" i="9"/>
  <c r="AA83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AL67" i="9"/>
  <c r="AK67" i="9"/>
  <c r="AJ67" i="9"/>
  <c r="AI67" i="9"/>
  <c r="AH67" i="9"/>
  <c r="AG67" i="9"/>
  <c r="AF67" i="9"/>
  <c r="AE67" i="9"/>
  <c r="AD67" i="9"/>
  <c r="AC67" i="9"/>
  <c r="AB67" i="9"/>
  <c r="AA67" i="9"/>
  <c r="AL66" i="9"/>
  <c r="AK66" i="9"/>
  <c r="AJ66" i="9"/>
  <c r="AI66" i="9"/>
  <c r="AH66" i="9"/>
  <c r="AG66" i="9"/>
  <c r="AF66" i="9"/>
  <c r="AE66" i="9"/>
  <c r="AD66" i="9"/>
  <c r="AC66" i="9"/>
  <c r="AB66" i="9"/>
  <c r="AA66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X53" i="9"/>
  <c r="I53" i="9"/>
  <c r="G53" i="9"/>
  <c r="F53" i="9"/>
  <c r="E53" i="9"/>
  <c r="D53" i="9"/>
  <c r="C53" i="9"/>
  <c r="C46" i="9" s="1"/>
  <c r="C38" i="9" s="1"/>
  <c r="AL52" i="9"/>
  <c r="AK52" i="9"/>
  <c r="AJ52" i="9"/>
  <c r="AI52" i="9"/>
  <c r="AH52" i="9"/>
  <c r="AG52" i="9"/>
  <c r="AF52" i="9"/>
  <c r="AE52" i="9"/>
  <c r="AD52" i="9"/>
  <c r="AC52" i="9"/>
  <c r="AB52" i="9"/>
  <c r="AA52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X47" i="9"/>
  <c r="I47" i="9"/>
  <c r="I46" i="9" s="1"/>
  <c r="I38" i="9" s="1"/>
  <c r="G47" i="9"/>
  <c r="F47" i="9"/>
  <c r="F46" i="9" s="1"/>
  <c r="F38" i="9" s="1"/>
  <c r="E47" i="9"/>
  <c r="D47" i="9"/>
  <c r="C47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X46" i="9"/>
  <c r="E46" i="9"/>
  <c r="E38" i="9" s="1"/>
  <c r="D46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X38" i="9"/>
  <c r="D38" i="9"/>
  <c r="D83" i="9" s="1"/>
  <c r="AL37" i="9"/>
  <c r="AK37" i="9"/>
  <c r="AJ37" i="9"/>
  <c r="AI37" i="9"/>
  <c r="AH37" i="9"/>
  <c r="AG37" i="9"/>
  <c r="AF37" i="9"/>
  <c r="AE37" i="9"/>
  <c r="AD37" i="9"/>
  <c r="AC37" i="9"/>
  <c r="AB37" i="9"/>
  <c r="AA37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X32" i="9"/>
  <c r="I32" i="9"/>
  <c r="G32" i="9"/>
  <c r="F32" i="9"/>
  <c r="E32" i="9"/>
  <c r="D32" i="9"/>
  <c r="C32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X17" i="9"/>
  <c r="I17" i="9"/>
  <c r="G17" i="9"/>
  <c r="F17" i="9"/>
  <c r="E17" i="9"/>
  <c r="D17" i="9"/>
  <c r="C17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X10" i="9"/>
  <c r="I10" i="9"/>
  <c r="G10" i="9"/>
  <c r="F10" i="9"/>
  <c r="E10" i="9"/>
  <c r="D10" i="9"/>
  <c r="C10" i="9"/>
  <c r="AL9" i="9"/>
  <c r="AK9" i="9"/>
  <c r="AJ9" i="9"/>
  <c r="AI9" i="9"/>
  <c r="AH9" i="9"/>
  <c r="AG9" i="9"/>
  <c r="AF9" i="9"/>
  <c r="AE9" i="9"/>
  <c r="AD9" i="9"/>
  <c r="AC9" i="9"/>
  <c r="AB9" i="9"/>
  <c r="AA9" i="9"/>
  <c r="AL8" i="9"/>
  <c r="AK8" i="9"/>
  <c r="AJ8" i="9"/>
  <c r="AI8" i="9"/>
  <c r="AH8" i="9"/>
  <c r="AG8" i="9"/>
  <c r="AF8" i="9"/>
  <c r="AE8" i="9"/>
  <c r="AD8" i="9"/>
  <c r="AC8" i="9"/>
  <c r="AB8" i="9"/>
  <c r="AA8" i="9"/>
  <c r="AL7" i="9"/>
  <c r="AK7" i="9"/>
  <c r="AJ7" i="9"/>
  <c r="AI7" i="9"/>
  <c r="AH7" i="9"/>
  <c r="AG7" i="9"/>
  <c r="AF7" i="9"/>
  <c r="AE7" i="9"/>
  <c r="AD7" i="9"/>
  <c r="AC7" i="9"/>
  <c r="AB7" i="9"/>
  <c r="AA7" i="9"/>
  <c r="X7" i="9"/>
  <c r="I7" i="9"/>
  <c r="I6" i="9" s="1"/>
  <c r="H7" i="9"/>
  <c r="G7" i="9"/>
  <c r="F7" i="9"/>
  <c r="E7" i="9"/>
  <c r="D7" i="9"/>
  <c r="D6" i="9" s="1"/>
  <c r="C7" i="9"/>
  <c r="C6" i="9" s="1"/>
  <c r="AL6" i="9"/>
  <c r="AK6" i="9"/>
  <c r="AJ6" i="9"/>
  <c r="AI6" i="9"/>
  <c r="AH6" i="9"/>
  <c r="AG6" i="9"/>
  <c r="AF6" i="9"/>
  <c r="AE6" i="9"/>
  <c r="AD6" i="9"/>
  <c r="AC6" i="9"/>
  <c r="AB6" i="9"/>
  <c r="AA6" i="9"/>
  <c r="H6" i="9"/>
  <c r="H83" i="9" s="1"/>
  <c r="G6" i="9"/>
  <c r="F6" i="9"/>
  <c r="E6" i="9"/>
  <c r="P3" i="9"/>
  <c r="Q3" i="9" s="1"/>
  <c r="R3" i="9" s="1"/>
  <c r="S3" i="9" s="1"/>
  <c r="T3" i="9" s="1"/>
  <c r="U3" i="9" s="1"/>
  <c r="V3" i="9" s="1"/>
  <c r="W3" i="9" s="1"/>
  <c r="X3" i="9" s="1"/>
  <c r="Y3" i="9" s="1"/>
  <c r="E3" i="9"/>
  <c r="F3" i="9" s="1"/>
  <c r="G3" i="9" s="1"/>
  <c r="H3" i="9" s="1"/>
  <c r="I3" i="9" s="1"/>
  <c r="J3" i="9" s="1"/>
  <c r="K3" i="9" s="1"/>
  <c r="L3" i="9" s="1"/>
  <c r="M3" i="9" s="1"/>
  <c r="N3" i="9" s="1"/>
  <c r="D3" i="9"/>
  <c r="AL325" i="8"/>
  <c r="AK325" i="8"/>
  <c r="AJ325" i="8"/>
  <c r="AI325" i="8"/>
  <c r="AH325" i="8"/>
  <c r="AG325" i="8"/>
  <c r="AF325" i="8"/>
  <c r="AE325" i="8"/>
  <c r="AD325" i="8"/>
  <c r="AC325" i="8"/>
  <c r="AB325" i="8"/>
  <c r="AA325" i="8"/>
  <c r="AL324" i="8"/>
  <c r="AK324" i="8"/>
  <c r="AJ324" i="8"/>
  <c r="AI324" i="8"/>
  <c r="AH324" i="8"/>
  <c r="AG324" i="8"/>
  <c r="AF324" i="8"/>
  <c r="AE324" i="8"/>
  <c r="AD324" i="8"/>
  <c r="AC324" i="8"/>
  <c r="AB324" i="8"/>
  <c r="AA324" i="8"/>
  <c r="AL323" i="8"/>
  <c r="AK323" i="8"/>
  <c r="AJ323" i="8"/>
  <c r="AI323" i="8"/>
  <c r="AH323" i="8"/>
  <c r="AG323" i="8"/>
  <c r="AF323" i="8"/>
  <c r="AE323" i="8"/>
  <c r="AD323" i="8"/>
  <c r="AC323" i="8"/>
  <c r="AB323" i="8"/>
  <c r="AA323" i="8"/>
  <c r="AL322" i="8"/>
  <c r="AK322" i="8"/>
  <c r="AJ322" i="8"/>
  <c r="AI322" i="8"/>
  <c r="AH322" i="8"/>
  <c r="AG322" i="8"/>
  <c r="AF322" i="8"/>
  <c r="AE322" i="8"/>
  <c r="AD322" i="8"/>
  <c r="AC322" i="8"/>
  <c r="AB322" i="8"/>
  <c r="AA322" i="8"/>
  <c r="A322" i="8"/>
  <c r="AL321" i="8"/>
  <c r="AK321" i="8"/>
  <c r="AJ321" i="8"/>
  <c r="AI321" i="8"/>
  <c r="AH321" i="8"/>
  <c r="AG321" i="8"/>
  <c r="AF321" i="8"/>
  <c r="AE321" i="8"/>
  <c r="AD321" i="8"/>
  <c r="AC321" i="8"/>
  <c r="AB321" i="8"/>
  <c r="AA321" i="8"/>
  <c r="AL320" i="8"/>
  <c r="AK320" i="8"/>
  <c r="AJ320" i="8"/>
  <c r="AI320" i="8"/>
  <c r="AH320" i="8"/>
  <c r="AG320" i="8"/>
  <c r="AF320" i="8"/>
  <c r="AE320" i="8"/>
  <c r="AD320" i="8"/>
  <c r="AC320" i="8"/>
  <c r="AB320" i="8"/>
  <c r="AA320" i="8"/>
  <c r="AL319" i="8"/>
  <c r="AK319" i="8"/>
  <c r="AJ319" i="8"/>
  <c r="AI319" i="8"/>
  <c r="AH319" i="8"/>
  <c r="AG319" i="8"/>
  <c r="AF319" i="8"/>
  <c r="AE319" i="8"/>
  <c r="AD319" i="8"/>
  <c r="AC319" i="8"/>
  <c r="AB319" i="8"/>
  <c r="AA319" i="8"/>
  <c r="AL318" i="8"/>
  <c r="AK318" i="8"/>
  <c r="AJ318" i="8"/>
  <c r="AI318" i="8"/>
  <c r="AH318" i="8"/>
  <c r="AG318" i="8"/>
  <c r="AF318" i="8"/>
  <c r="AE318" i="8"/>
  <c r="AD318" i="8"/>
  <c r="AC318" i="8"/>
  <c r="AB318" i="8"/>
  <c r="AA318" i="8"/>
  <c r="AL317" i="8"/>
  <c r="AK317" i="8"/>
  <c r="AJ317" i="8"/>
  <c r="AI317" i="8"/>
  <c r="AH317" i="8"/>
  <c r="AG317" i="8"/>
  <c r="AF317" i="8"/>
  <c r="AE317" i="8"/>
  <c r="AD317" i="8"/>
  <c r="AC317" i="8"/>
  <c r="AB317" i="8"/>
  <c r="AA317" i="8"/>
  <c r="AL316" i="8"/>
  <c r="AK316" i="8"/>
  <c r="AJ316" i="8"/>
  <c r="AI316" i="8"/>
  <c r="AH316" i="8"/>
  <c r="AG316" i="8"/>
  <c r="AF316" i="8"/>
  <c r="AE316" i="8"/>
  <c r="AD316" i="8"/>
  <c r="AC316" i="8"/>
  <c r="AB316" i="8"/>
  <c r="AA316" i="8"/>
  <c r="AL315" i="8"/>
  <c r="AK315" i="8"/>
  <c r="AJ315" i="8"/>
  <c r="AI315" i="8"/>
  <c r="AH315" i="8"/>
  <c r="AG315" i="8"/>
  <c r="AF315" i="8"/>
  <c r="AE315" i="8"/>
  <c r="AD315" i="8"/>
  <c r="AC315" i="8"/>
  <c r="AB315" i="8"/>
  <c r="AA315" i="8"/>
  <c r="A315" i="8"/>
  <c r="AL314" i="8"/>
  <c r="AK314" i="8"/>
  <c r="AJ314" i="8"/>
  <c r="AI314" i="8"/>
  <c r="AH314" i="8"/>
  <c r="AG314" i="8"/>
  <c r="AF314" i="8"/>
  <c r="AE314" i="8"/>
  <c r="AD314" i="8"/>
  <c r="AC314" i="8"/>
  <c r="AB314" i="8"/>
  <c r="AA314" i="8"/>
  <c r="AL313" i="8"/>
  <c r="AK313" i="8"/>
  <c r="AJ313" i="8"/>
  <c r="AI313" i="8"/>
  <c r="AH313" i="8"/>
  <c r="AG313" i="8"/>
  <c r="AF313" i="8"/>
  <c r="AE313" i="8"/>
  <c r="AD313" i="8"/>
  <c r="AC313" i="8"/>
  <c r="AB313" i="8"/>
  <c r="AA313" i="8"/>
  <c r="A313" i="8"/>
  <c r="AL312" i="8"/>
  <c r="AK312" i="8"/>
  <c r="AJ312" i="8"/>
  <c r="AI312" i="8"/>
  <c r="AH312" i="8"/>
  <c r="AG312" i="8"/>
  <c r="AF312" i="8"/>
  <c r="AE312" i="8"/>
  <c r="AD312" i="8"/>
  <c r="AC312" i="8"/>
  <c r="AB312" i="8"/>
  <c r="AA312" i="8"/>
  <c r="AL311" i="8"/>
  <c r="AK311" i="8"/>
  <c r="AJ311" i="8"/>
  <c r="AI311" i="8"/>
  <c r="AH311" i="8"/>
  <c r="AG311" i="8"/>
  <c r="AF311" i="8"/>
  <c r="AE311" i="8"/>
  <c r="AD311" i="8"/>
  <c r="AC311" i="8"/>
  <c r="AB311" i="8"/>
  <c r="AA311" i="8"/>
  <c r="AL310" i="8"/>
  <c r="AK310" i="8"/>
  <c r="AJ310" i="8"/>
  <c r="AI310" i="8"/>
  <c r="AH310" i="8"/>
  <c r="AG310" i="8"/>
  <c r="AF310" i="8"/>
  <c r="AE310" i="8"/>
  <c r="AD310" i="8"/>
  <c r="AC310" i="8"/>
  <c r="AB310" i="8"/>
  <c r="AA310" i="8"/>
  <c r="AL309" i="8"/>
  <c r="AK309" i="8"/>
  <c r="AJ309" i="8"/>
  <c r="AI309" i="8"/>
  <c r="AH309" i="8"/>
  <c r="AG309" i="8"/>
  <c r="AF309" i="8"/>
  <c r="AE309" i="8"/>
  <c r="AD309" i="8"/>
  <c r="AC309" i="8"/>
  <c r="AB309" i="8"/>
  <c r="AA309" i="8"/>
  <c r="Y309" i="8"/>
  <c r="AL308" i="8"/>
  <c r="AK308" i="8"/>
  <c r="AJ308" i="8"/>
  <c r="AI308" i="8"/>
  <c r="AH308" i="8"/>
  <c r="AG308" i="8"/>
  <c r="AF308" i="8"/>
  <c r="AE308" i="8"/>
  <c r="AD308" i="8"/>
  <c r="AC308" i="8"/>
  <c r="AB308" i="8"/>
  <c r="AA308" i="8"/>
  <c r="AL307" i="8"/>
  <c r="AK307" i="8"/>
  <c r="AJ307" i="8"/>
  <c r="AI307" i="8"/>
  <c r="AH307" i="8"/>
  <c r="AG307" i="8"/>
  <c r="AF307" i="8"/>
  <c r="AE307" i="8"/>
  <c r="AD307" i="8"/>
  <c r="AC307" i="8"/>
  <c r="AB307" i="8"/>
  <c r="AA307" i="8"/>
  <c r="AL306" i="8"/>
  <c r="AK306" i="8"/>
  <c r="AJ306" i="8"/>
  <c r="AI306" i="8"/>
  <c r="AH306" i="8"/>
  <c r="AG306" i="8"/>
  <c r="AF306" i="8"/>
  <c r="AE306" i="8"/>
  <c r="AD306" i="8"/>
  <c r="AC306" i="8"/>
  <c r="AB306" i="8"/>
  <c r="AA306" i="8"/>
  <c r="A306" i="8"/>
  <c r="A324" i="8" s="1"/>
  <c r="AL305" i="8"/>
  <c r="AK305" i="8"/>
  <c r="AJ305" i="8"/>
  <c r="AI305" i="8"/>
  <c r="AH305" i="8"/>
  <c r="AG305" i="8"/>
  <c r="AF305" i="8"/>
  <c r="AE305" i="8"/>
  <c r="AD305" i="8"/>
  <c r="AC305" i="8"/>
  <c r="AB305" i="8"/>
  <c r="AA305" i="8"/>
  <c r="A305" i="8"/>
  <c r="A323" i="8" s="1"/>
  <c r="AL304" i="8"/>
  <c r="AK304" i="8"/>
  <c r="AJ304" i="8"/>
  <c r="AI304" i="8"/>
  <c r="AH304" i="8"/>
  <c r="AG304" i="8"/>
  <c r="AF304" i="8"/>
  <c r="AE304" i="8"/>
  <c r="AD304" i="8"/>
  <c r="AC304" i="8"/>
  <c r="AB304" i="8"/>
  <c r="AA304" i="8"/>
  <c r="A304" i="8"/>
  <c r="AL303" i="8"/>
  <c r="AK303" i="8"/>
  <c r="AJ303" i="8"/>
  <c r="AI303" i="8"/>
  <c r="AH303" i="8"/>
  <c r="AG303" i="8"/>
  <c r="AF303" i="8"/>
  <c r="AE303" i="8"/>
  <c r="AD303" i="8"/>
  <c r="AC303" i="8"/>
  <c r="AB303" i="8"/>
  <c r="AA303" i="8"/>
  <c r="A303" i="8"/>
  <c r="A321" i="8" s="1"/>
  <c r="AL302" i="8"/>
  <c r="AK302" i="8"/>
  <c r="AJ302" i="8"/>
  <c r="AI302" i="8"/>
  <c r="AH302" i="8"/>
  <c r="AG302" i="8"/>
  <c r="AF302" i="8"/>
  <c r="AE302" i="8"/>
  <c r="AD302" i="8"/>
  <c r="AC302" i="8"/>
  <c r="AB302" i="8"/>
  <c r="AA302" i="8"/>
  <c r="AL301" i="8"/>
  <c r="AK301" i="8"/>
  <c r="AJ301" i="8"/>
  <c r="AI301" i="8"/>
  <c r="AH301" i="8"/>
  <c r="AG301" i="8"/>
  <c r="AF301" i="8"/>
  <c r="AE301" i="8"/>
  <c r="AD301" i="8"/>
  <c r="AC301" i="8"/>
  <c r="AB301" i="8"/>
  <c r="AA301" i="8"/>
  <c r="A301" i="8"/>
  <c r="A319" i="8" s="1"/>
  <c r="AL300" i="8"/>
  <c r="AK300" i="8"/>
  <c r="AJ300" i="8"/>
  <c r="AI300" i="8"/>
  <c r="AH300" i="8"/>
  <c r="AG300" i="8"/>
  <c r="AF300" i="8"/>
  <c r="AE300" i="8"/>
  <c r="AD300" i="8"/>
  <c r="AC300" i="8"/>
  <c r="AB300" i="8"/>
  <c r="AA300" i="8"/>
  <c r="AL299" i="8"/>
  <c r="AK299" i="8"/>
  <c r="AJ299" i="8"/>
  <c r="AI299" i="8"/>
  <c r="AH299" i="8"/>
  <c r="AG299" i="8"/>
  <c r="AF299" i="8"/>
  <c r="AE299" i="8"/>
  <c r="AD299" i="8"/>
  <c r="AC299" i="8"/>
  <c r="AB299" i="8"/>
  <c r="AA299" i="8"/>
  <c r="A299" i="8"/>
  <c r="AL298" i="8"/>
  <c r="AK298" i="8"/>
  <c r="AJ298" i="8"/>
  <c r="AI298" i="8"/>
  <c r="AH298" i="8"/>
  <c r="AG298" i="8"/>
  <c r="AF298" i="8"/>
  <c r="AE298" i="8"/>
  <c r="AD298" i="8"/>
  <c r="AC298" i="8"/>
  <c r="AB298" i="8"/>
  <c r="AA298" i="8"/>
  <c r="A298" i="8"/>
  <c r="AL297" i="8"/>
  <c r="AK297" i="8"/>
  <c r="AJ297" i="8"/>
  <c r="AI297" i="8"/>
  <c r="AH297" i="8"/>
  <c r="AG297" i="8"/>
  <c r="AF297" i="8"/>
  <c r="AE297" i="8"/>
  <c r="AD297" i="8"/>
  <c r="AC297" i="8"/>
  <c r="AB297" i="8"/>
  <c r="AA297" i="8"/>
  <c r="A297" i="8"/>
  <c r="AL296" i="8"/>
  <c r="AK296" i="8"/>
  <c r="AJ296" i="8"/>
  <c r="AI296" i="8"/>
  <c r="AH296" i="8"/>
  <c r="AG296" i="8"/>
  <c r="AF296" i="8"/>
  <c r="AE296" i="8"/>
  <c r="AD296" i="8"/>
  <c r="AC296" i="8"/>
  <c r="AB296" i="8"/>
  <c r="AA296" i="8"/>
  <c r="A296" i="8"/>
  <c r="A314" i="8" s="1"/>
  <c r="AL295" i="8"/>
  <c r="AK295" i="8"/>
  <c r="AJ295" i="8"/>
  <c r="AI295" i="8"/>
  <c r="AH295" i="8"/>
  <c r="AG295" i="8"/>
  <c r="AF295" i="8"/>
  <c r="AE295" i="8"/>
  <c r="AD295" i="8"/>
  <c r="AC295" i="8"/>
  <c r="AB295" i="8"/>
  <c r="AA295" i="8"/>
  <c r="A295" i="8"/>
  <c r="AL294" i="8"/>
  <c r="AK294" i="8"/>
  <c r="AJ294" i="8"/>
  <c r="AI294" i="8"/>
  <c r="AH294" i="8"/>
  <c r="AG294" i="8"/>
  <c r="AF294" i="8"/>
  <c r="AE294" i="8"/>
  <c r="AD294" i="8"/>
  <c r="AC294" i="8"/>
  <c r="AB294" i="8"/>
  <c r="AA294" i="8"/>
  <c r="AL293" i="8"/>
  <c r="AK293" i="8"/>
  <c r="AJ293" i="8"/>
  <c r="AI293" i="8"/>
  <c r="AH293" i="8"/>
  <c r="AG293" i="8"/>
  <c r="AF293" i="8"/>
  <c r="AE293" i="8"/>
  <c r="AD293" i="8"/>
  <c r="AC293" i="8"/>
  <c r="AB293" i="8"/>
  <c r="AA293" i="8"/>
  <c r="AL292" i="8"/>
  <c r="AK292" i="8"/>
  <c r="AJ292" i="8"/>
  <c r="AI292" i="8"/>
  <c r="AH292" i="8"/>
  <c r="AG292" i="8"/>
  <c r="AF292" i="8"/>
  <c r="AE292" i="8"/>
  <c r="AD292" i="8"/>
  <c r="AC292" i="8"/>
  <c r="AB292" i="8"/>
  <c r="AA292" i="8"/>
  <c r="AL291" i="8"/>
  <c r="AK291" i="8"/>
  <c r="AJ291" i="8"/>
  <c r="AI291" i="8"/>
  <c r="AH291" i="8"/>
  <c r="AG291" i="8"/>
  <c r="AF291" i="8"/>
  <c r="AE291" i="8"/>
  <c r="AD291" i="8"/>
  <c r="AC291" i="8"/>
  <c r="AB291" i="8"/>
  <c r="AA291" i="8"/>
  <c r="AL290" i="8"/>
  <c r="AK290" i="8"/>
  <c r="AJ290" i="8"/>
  <c r="AI290" i="8"/>
  <c r="AH290" i="8"/>
  <c r="AG290" i="8"/>
  <c r="AF290" i="8"/>
  <c r="AE290" i="8"/>
  <c r="AD290" i="8"/>
  <c r="AC290" i="8"/>
  <c r="AB290" i="8"/>
  <c r="AA290" i="8"/>
  <c r="AL289" i="8"/>
  <c r="AK289" i="8"/>
  <c r="AJ289" i="8"/>
  <c r="AI289" i="8"/>
  <c r="AH289" i="8"/>
  <c r="AG289" i="8"/>
  <c r="AF289" i="8"/>
  <c r="AE289" i="8"/>
  <c r="AD289" i="8"/>
  <c r="AC289" i="8"/>
  <c r="AB289" i="8"/>
  <c r="AA289" i="8"/>
  <c r="AL288" i="8"/>
  <c r="AK288" i="8"/>
  <c r="AJ288" i="8"/>
  <c r="AI288" i="8"/>
  <c r="AH288" i="8"/>
  <c r="AG288" i="8"/>
  <c r="AF288" i="8"/>
  <c r="AE288" i="8"/>
  <c r="AD288" i="8"/>
  <c r="AC288" i="8"/>
  <c r="AB288" i="8"/>
  <c r="AA288" i="8"/>
  <c r="AL287" i="8"/>
  <c r="AK287" i="8"/>
  <c r="AJ287" i="8"/>
  <c r="AI287" i="8"/>
  <c r="AH287" i="8"/>
  <c r="AG287" i="8"/>
  <c r="AF287" i="8"/>
  <c r="AE287" i="8"/>
  <c r="AD287" i="8"/>
  <c r="AC287" i="8"/>
  <c r="AB287" i="8"/>
  <c r="AA287" i="8"/>
  <c r="A287" i="8"/>
  <c r="AL286" i="8"/>
  <c r="AK286" i="8"/>
  <c r="AJ286" i="8"/>
  <c r="AI286" i="8"/>
  <c r="AH286" i="8"/>
  <c r="AG286" i="8"/>
  <c r="AF286" i="8"/>
  <c r="AE286" i="8"/>
  <c r="AD286" i="8"/>
  <c r="AC286" i="8"/>
  <c r="AB286" i="8"/>
  <c r="AA286" i="8"/>
  <c r="AL285" i="8"/>
  <c r="AK285" i="8"/>
  <c r="AJ285" i="8"/>
  <c r="AI285" i="8"/>
  <c r="AH285" i="8"/>
  <c r="AG285" i="8"/>
  <c r="AF285" i="8"/>
  <c r="AE285" i="8"/>
  <c r="AD285" i="8"/>
  <c r="AC285" i="8"/>
  <c r="AB285" i="8"/>
  <c r="AA285" i="8"/>
  <c r="A285" i="8"/>
  <c r="A294" i="8" s="1"/>
  <c r="A312" i="8" s="1"/>
  <c r="AL284" i="8"/>
  <c r="AK284" i="8"/>
  <c r="AJ284" i="8"/>
  <c r="AI284" i="8"/>
  <c r="AH284" i="8"/>
  <c r="AG284" i="8"/>
  <c r="AF284" i="8"/>
  <c r="AE284" i="8"/>
  <c r="AD284" i="8"/>
  <c r="AC284" i="8"/>
  <c r="AB284" i="8"/>
  <c r="AA284" i="8"/>
  <c r="A284" i="8"/>
  <c r="A302" i="8" s="1"/>
  <c r="A320" i="8" s="1"/>
  <c r="AL283" i="8"/>
  <c r="AK283" i="8"/>
  <c r="AJ283" i="8"/>
  <c r="AI283" i="8"/>
  <c r="AH283" i="8"/>
  <c r="AG283" i="8"/>
  <c r="AF283" i="8"/>
  <c r="AE283" i="8"/>
  <c r="AD283" i="8"/>
  <c r="AC283" i="8"/>
  <c r="AB283" i="8"/>
  <c r="AA283" i="8"/>
  <c r="A283" i="8"/>
  <c r="A292" i="8" s="1"/>
  <c r="A310" i="8" s="1"/>
  <c r="AL282" i="8"/>
  <c r="AK282" i="8"/>
  <c r="AJ282" i="8"/>
  <c r="AI282" i="8"/>
  <c r="AH282" i="8"/>
  <c r="AG282" i="8"/>
  <c r="AF282" i="8"/>
  <c r="AE282" i="8"/>
  <c r="AD282" i="8"/>
  <c r="AC282" i="8"/>
  <c r="AB282" i="8"/>
  <c r="AA282" i="8"/>
  <c r="AL281" i="8"/>
  <c r="AK281" i="8"/>
  <c r="AJ281" i="8"/>
  <c r="AI281" i="8"/>
  <c r="AH281" i="8"/>
  <c r="AG281" i="8"/>
  <c r="AF281" i="8"/>
  <c r="AE281" i="8"/>
  <c r="AD281" i="8"/>
  <c r="AC281" i="8"/>
  <c r="AB281" i="8"/>
  <c r="AA281" i="8"/>
  <c r="A281" i="8"/>
  <c r="AL280" i="8"/>
  <c r="AK280" i="8"/>
  <c r="AJ280" i="8"/>
  <c r="AI280" i="8"/>
  <c r="AH280" i="8"/>
  <c r="AG280" i="8"/>
  <c r="AF280" i="8"/>
  <c r="AE280" i="8"/>
  <c r="AD280" i="8"/>
  <c r="AC280" i="8"/>
  <c r="AB280" i="8"/>
  <c r="AA280" i="8"/>
  <c r="A280" i="8"/>
  <c r="AL279" i="8"/>
  <c r="AK279" i="8"/>
  <c r="AJ279" i="8"/>
  <c r="AI279" i="8"/>
  <c r="AH279" i="8"/>
  <c r="AG279" i="8"/>
  <c r="AF279" i="8"/>
  <c r="AE279" i="8"/>
  <c r="AD279" i="8"/>
  <c r="AC279" i="8"/>
  <c r="AB279" i="8"/>
  <c r="AA279" i="8"/>
  <c r="A279" i="8"/>
  <c r="AL278" i="8"/>
  <c r="AK278" i="8"/>
  <c r="AJ278" i="8"/>
  <c r="AI278" i="8"/>
  <c r="AH278" i="8"/>
  <c r="AG278" i="8"/>
  <c r="AF278" i="8"/>
  <c r="AE278" i="8"/>
  <c r="AD278" i="8"/>
  <c r="AC278" i="8"/>
  <c r="AB278" i="8"/>
  <c r="AA278" i="8"/>
  <c r="A278" i="8"/>
  <c r="AL277" i="8"/>
  <c r="AK277" i="8"/>
  <c r="AJ277" i="8"/>
  <c r="AI277" i="8"/>
  <c r="AH277" i="8"/>
  <c r="AG277" i="8"/>
  <c r="AF277" i="8"/>
  <c r="AE277" i="8"/>
  <c r="AD277" i="8"/>
  <c r="AC277" i="8"/>
  <c r="AB277" i="8"/>
  <c r="AA277" i="8"/>
  <c r="A277" i="8"/>
  <c r="AL276" i="8"/>
  <c r="AK276" i="8"/>
  <c r="AJ276" i="8"/>
  <c r="AI276" i="8"/>
  <c r="AH276" i="8"/>
  <c r="AG276" i="8"/>
  <c r="AF276" i="8"/>
  <c r="AE276" i="8"/>
  <c r="AD276" i="8"/>
  <c r="AC276" i="8"/>
  <c r="AB276" i="8"/>
  <c r="AA276" i="8"/>
  <c r="A276" i="8"/>
  <c r="AL275" i="8"/>
  <c r="AK275" i="8"/>
  <c r="AJ275" i="8"/>
  <c r="AI275" i="8"/>
  <c r="AH275" i="8"/>
  <c r="AG275" i="8"/>
  <c r="AF275" i="8"/>
  <c r="AE275" i="8"/>
  <c r="AD275" i="8"/>
  <c r="AC275" i="8"/>
  <c r="AB275" i="8"/>
  <c r="AA275" i="8"/>
  <c r="A275" i="8"/>
  <c r="AL274" i="8"/>
  <c r="AK274" i="8"/>
  <c r="AJ274" i="8"/>
  <c r="AI274" i="8"/>
  <c r="AH274" i="8"/>
  <c r="AG274" i="8"/>
  <c r="AF274" i="8"/>
  <c r="AE274" i="8"/>
  <c r="AD274" i="8"/>
  <c r="AC274" i="8"/>
  <c r="AB274" i="8"/>
  <c r="AA274" i="8"/>
  <c r="A274" i="8"/>
  <c r="AL273" i="8"/>
  <c r="AK273" i="8"/>
  <c r="AJ273" i="8"/>
  <c r="AI273" i="8"/>
  <c r="AH273" i="8"/>
  <c r="AG273" i="8"/>
  <c r="AF273" i="8"/>
  <c r="AE273" i="8"/>
  <c r="AD273" i="8"/>
  <c r="AC273" i="8"/>
  <c r="AB273" i="8"/>
  <c r="AA273" i="8"/>
  <c r="AL272" i="8"/>
  <c r="AK272" i="8"/>
  <c r="AJ272" i="8"/>
  <c r="AI272" i="8"/>
  <c r="AH272" i="8"/>
  <c r="AG272" i="8"/>
  <c r="AF272" i="8"/>
  <c r="AE272" i="8"/>
  <c r="AD272" i="8"/>
  <c r="AC272" i="8"/>
  <c r="AB272" i="8"/>
  <c r="AA272" i="8"/>
  <c r="AL271" i="8"/>
  <c r="AK271" i="8"/>
  <c r="AJ271" i="8"/>
  <c r="AI271" i="8"/>
  <c r="AH271" i="8"/>
  <c r="AG271" i="8"/>
  <c r="AF271" i="8"/>
  <c r="AE271" i="8"/>
  <c r="AD271" i="8"/>
  <c r="AC271" i="8"/>
  <c r="AB271" i="8"/>
  <c r="AA271" i="8"/>
  <c r="AL270" i="8"/>
  <c r="AK270" i="8"/>
  <c r="AJ270" i="8"/>
  <c r="AI270" i="8"/>
  <c r="AH270" i="8"/>
  <c r="AG270" i="8"/>
  <c r="AF270" i="8"/>
  <c r="AE270" i="8"/>
  <c r="AD270" i="8"/>
  <c r="AC270" i="8"/>
  <c r="AB270" i="8"/>
  <c r="AA270" i="8"/>
  <c r="AL269" i="8"/>
  <c r="AK269" i="8"/>
  <c r="AJ269" i="8"/>
  <c r="AI269" i="8"/>
  <c r="AH269" i="8"/>
  <c r="AG269" i="8"/>
  <c r="AF269" i="8"/>
  <c r="AE269" i="8"/>
  <c r="AD269" i="8"/>
  <c r="AC269" i="8"/>
  <c r="AB269" i="8"/>
  <c r="AA269" i="8"/>
  <c r="AL268" i="8"/>
  <c r="AK268" i="8"/>
  <c r="AJ268" i="8"/>
  <c r="AI268" i="8"/>
  <c r="AH268" i="8"/>
  <c r="AG268" i="8"/>
  <c r="AF268" i="8"/>
  <c r="AE268" i="8"/>
  <c r="AD268" i="8"/>
  <c r="AC268" i="8"/>
  <c r="AB268" i="8"/>
  <c r="AA268" i="8"/>
  <c r="AL267" i="8"/>
  <c r="AK267" i="8"/>
  <c r="AJ267" i="8"/>
  <c r="AI267" i="8"/>
  <c r="AH267" i="8"/>
  <c r="AG267" i="8"/>
  <c r="AF267" i="8"/>
  <c r="AE267" i="8"/>
  <c r="AD267" i="8"/>
  <c r="AC267" i="8"/>
  <c r="AB267" i="8"/>
  <c r="AA267" i="8"/>
  <c r="AL266" i="8"/>
  <c r="AK266" i="8"/>
  <c r="AJ266" i="8"/>
  <c r="AI266" i="8"/>
  <c r="AH266" i="8"/>
  <c r="AG266" i="8"/>
  <c r="AF266" i="8"/>
  <c r="AE266" i="8"/>
  <c r="AD266" i="8"/>
  <c r="AC266" i="8"/>
  <c r="AB266" i="8"/>
  <c r="AA266" i="8"/>
  <c r="AL265" i="8"/>
  <c r="AK265" i="8"/>
  <c r="AJ265" i="8"/>
  <c r="AI265" i="8"/>
  <c r="AH265" i="8"/>
  <c r="AG265" i="8"/>
  <c r="AF265" i="8"/>
  <c r="AE265" i="8"/>
  <c r="AD265" i="8"/>
  <c r="AC265" i="8"/>
  <c r="AB265" i="8"/>
  <c r="AA265" i="8"/>
  <c r="AL264" i="8"/>
  <c r="AK264" i="8"/>
  <c r="AJ264" i="8"/>
  <c r="AI264" i="8"/>
  <c r="AH264" i="8"/>
  <c r="AG264" i="8"/>
  <c r="AF264" i="8"/>
  <c r="AE264" i="8"/>
  <c r="AD264" i="8"/>
  <c r="AC264" i="8"/>
  <c r="AB264" i="8"/>
  <c r="AA264" i="8"/>
  <c r="AL263" i="8"/>
  <c r="AK263" i="8"/>
  <c r="AJ263" i="8"/>
  <c r="AI263" i="8"/>
  <c r="AH263" i="8"/>
  <c r="AG263" i="8"/>
  <c r="AF263" i="8"/>
  <c r="AE263" i="8"/>
  <c r="AD263" i="8"/>
  <c r="AC263" i="8"/>
  <c r="AB263" i="8"/>
  <c r="AA263" i="8"/>
  <c r="AL262" i="8"/>
  <c r="AK262" i="8"/>
  <c r="AJ262" i="8"/>
  <c r="AI262" i="8"/>
  <c r="AH262" i="8"/>
  <c r="AG262" i="8"/>
  <c r="AF262" i="8"/>
  <c r="AE262" i="8"/>
  <c r="AD262" i="8"/>
  <c r="AC262" i="8"/>
  <c r="AB262" i="8"/>
  <c r="AA262" i="8"/>
  <c r="AL261" i="8"/>
  <c r="AK261" i="8"/>
  <c r="AJ261" i="8"/>
  <c r="AI261" i="8"/>
  <c r="AH261" i="8"/>
  <c r="AG261" i="8"/>
  <c r="AF261" i="8"/>
  <c r="AE261" i="8"/>
  <c r="AD261" i="8"/>
  <c r="AC261" i="8"/>
  <c r="AB261" i="8"/>
  <c r="AA261" i="8"/>
  <c r="AL260" i="8"/>
  <c r="AK260" i="8"/>
  <c r="AJ260" i="8"/>
  <c r="AI260" i="8"/>
  <c r="AH260" i="8"/>
  <c r="AG260" i="8"/>
  <c r="AF260" i="8"/>
  <c r="AE260" i="8"/>
  <c r="AD260" i="8"/>
  <c r="AC260" i="8"/>
  <c r="AB260" i="8"/>
  <c r="AA260" i="8"/>
  <c r="AL259" i="8"/>
  <c r="AK259" i="8"/>
  <c r="AJ259" i="8"/>
  <c r="AI259" i="8"/>
  <c r="AH259" i="8"/>
  <c r="AG259" i="8"/>
  <c r="AF259" i="8"/>
  <c r="AE259" i="8"/>
  <c r="AD259" i="8"/>
  <c r="AC259" i="8"/>
  <c r="AB259" i="8"/>
  <c r="AA259" i="8"/>
  <c r="AL258" i="8"/>
  <c r="AK258" i="8"/>
  <c r="AJ258" i="8"/>
  <c r="AI258" i="8"/>
  <c r="AH258" i="8"/>
  <c r="AG258" i="8"/>
  <c r="AF258" i="8"/>
  <c r="AE258" i="8"/>
  <c r="AD258" i="8"/>
  <c r="AC258" i="8"/>
  <c r="AB258" i="8"/>
  <c r="AA258" i="8"/>
  <c r="AL257" i="8"/>
  <c r="AK257" i="8"/>
  <c r="AJ257" i="8"/>
  <c r="AI257" i="8"/>
  <c r="AH257" i="8"/>
  <c r="AG257" i="8"/>
  <c r="AF257" i="8"/>
  <c r="AE257" i="8"/>
  <c r="AD257" i="8"/>
  <c r="AC257" i="8"/>
  <c r="AB257" i="8"/>
  <c r="AA257" i="8"/>
  <c r="AL256" i="8"/>
  <c r="AK256" i="8"/>
  <c r="AJ256" i="8"/>
  <c r="AI256" i="8"/>
  <c r="AH256" i="8"/>
  <c r="AG256" i="8"/>
  <c r="AF256" i="8"/>
  <c r="AE256" i="8"/>
  <c r="AD256" i="8"/>
  <c r="AC256" i="8"/>
  <c r="AB256" i="8"/>
  <c r="AA256" i="8"/>
  <c r="AL255" i="8"/>
  <c r="AK255" i="8"/>
  <c r="AJ255" i="8"/>
  <c r="AI255" i="8"/>
  <c r="AH255" i="8"/>
  <c r="AG255" i="8"/>
  <c r="AF255" i="8"/>
  <c r="AE255" i="8"/>
  <c r="AD255" i="8"/>
  <c r="AC255" i="8"/>
  <c r="AB255" i="8"/>
  <c r="AA255" i="8"/>
  <c r="AL252" i="8"/>
  <c r="AI252" i="8"/>
  <c r="R252" i="8"/>
  <c r="P252" i="8"/>
  <c r="F252" i="8"/>
  <c r="AL251" i="8"/>
  <c r="AK251" i="8"/>
  <c r="AK252" i="8" s="1"/>
  <c r="AJ251" i="8"/>
  <c r="AJ252" i="8" s="1"/>
  <c r="AI251" i="8"/>
  <c r="AH251" i="8"/>
  <c r="AG251" i="8"/>
  <c r="AF251" i="8"/>
  <c r="AE251" i="8"/>
  <c r="AE252" i="8" s="1"/>
  <c r="AD251" i="8"/>
  <c r="AD252" i="8" s="1"/>
  <c r="AC251" i="8"/>
  <c r="AC252" i="8" s="1"/>
  <c r="AB251" i="8"/>
  <c r="AB252" i="8" s="1"/>
  <c r="AA251" i="8"/>
  <c r="Y251" i="8"/>
  <c r="Y252" i="8" s="1"/>
  <c r="X251" i="8"/>
  <c r="W251" i="8"/>
  <c r="V251" i="8"/>
  <c r="V252" i="8" s="1"/>
  <c r="U251" i="8"/>
  <c r="U252" i="8" s="1"/>
  <c r="T251" i="8"/>
  <c r="T252" i="8" s="1"/>
  <c r="S251" i="8"/>
  <c r="S252" i="8" s="1"/>
  <c r="R251" i="8"/>
  <c r="Q251" i="8"/>
  <c r="P251" i="8"/>
  <c r="O251" i="8"/>
  <c r="N251" i="8"/>
  <c r="N252" i="8" s="1"/>
  <c r="M251" i="8"/>
  <c r="M252" i="8" s="1"/>
  <c r="L251" i="8"/>
  <c r="L252" i="8" s="1"/>
  <c r="K251" i="8"/>
  <c r="J251" i="8"/>
  <c r="I251" i="8"/>
  <c r="I252" i="8" s="1"/>
  <c r="H251" i="8"/>
  <c r="G251" i="8"/>
  <c r="F251" i="8"/>
  <c r="E251" i="8"/>
  <c r="E252" i="8" s="1"/>
  <c r="D251" i="8"/>
  <c r="D252" i="8" s="1"/>
  <c r="C251" i="8"/>
  <c r="AL250" i="8"/>
  <c r="AK250" i="8"/>
  <c r="AJ250" i="8"/>
  <c r="AI250" i="8"/>
  <c r="AH250" i="8"/>
  <c r="AG250" i="8"/>
  <c r="AF250" i="8"/>
  <c r="AE250" i="8"/>
  <c r="AD250" i="8"/>
  <c r="AC250" i="8"/>
  <c r="AB250" i="8"/>
  <c r="AA250" i="8"/>
  <c r="Y250" i="8"/>
  <c r="X250" i="8"/>
  <c r="W250" i="8"/>
  <c r="V250" i="8"/>
  <c r="U250" i="8"/>
  <c r="T250" i="8"/>
  <c r="S250" i="8"/>
  <c r="R250" i="8"/>
  <c r="Q250" i="8"/>
  <c r="P250" i="8"/>
  <c r="O250" i="8"/>
  <c r="N250" i="8"/>
  <c r="M250" i="8"/>
  <c r="L250" i="8"/>
  <c r="K250" i="8"/>
  <c r="J250" i="8"/>
  <c r="I250" i="8"/>
  <c r="H250" i="8"/>
  <c r="G250" i="8"/>
  <c r="F250" i="8"/>
  <c r="E250" i="8"/>
  <c r="D250" i="8"/>
  <c r="C250" i="8"/>
  <c r="AE249" i="8"/>
  <c r="W249" i="8"/>
  <c r="V249" i="8"/>
  <c r="N249" i="8"/>
  <c r="M249" i="8"/>
  <c r="L249" i="8"/>
  <c r="F249" i="8"/>
  <c r="E249" i="8"/>
  <c r="D249" i="8"/>
  <c r="AL248" i="8"/>
  <c r="AK248" i="8"/>
  <c r="AJ248" i="8"/>
  <c r="AI248" i="8"/>
  <c r="AH248" i="8"/>
  <c r="AG248" i="8"/>
  <c r="AF248" i="8"/>
  <c r="AE248" i="8"/>
  <c r="AD248" i="8"/>
  <c r="AC248" i="8"/>
  <c r="AB248" i="8"/>
  <c r="AA248" i="8"/>
  <c r="Y248" i="8"/>
  <c r="X248" i="8"/>
  <c r="W248" i="8"/>
  <c r="V248" i="8"/>
  <c r="Q248" i="8"/>
  <c r="P248" i="8"/>
  <c r="O248" i="8"/>
  <c r="N248" i="8"/>
  <c r="M248" i="8"/>
  <c r="I248" i="8"/>
  <c r="H248" i="8"/>
  <c r="G248" i="8"/>
  <c r="F248" i="8"/>
  <c r="D248" i="8"/>
  <c r="AL247" i="8"/>
  <c r="AK247" i="8"/>
  <c r="AJ247" i="8"/>
  <c r="AI247" i="8"/>
  <c r="AH247" i="8"/>
  <c r="AG247" i="8"/>
  <c r="AF247" i="8"/>
  <c r="AE247" i="8"/>
  <c r="AD247" i="8"/>
  <c r="AC247" i="8"/>
  <c r="AB247" i="8"/>
  <c r="AA247" i="8"/>
  <c r="AL246" i="8"/>
  <c r="AK246" i="8"/>
  <c r="AJ246" i="8"/>
  <c r="AI246" i="8"/>
  <c r="AH246" i="8"/>
  <c r="AG246" i="8"/>
  <c r="AF246" i="8"/>
  <c r="AE246" i="8"/>
  <c r="AD246" i="8"/>
  <c r="AC246" i="8"/>
  <c r="AB246" i="8"/>
  <c r="AA246" i="8"/>
  <c r="AL245" i="8"/>
  <c r="AK245" i="8"/>
  <c r="AJ245" i="8"/>
  <c r="AI245" i="8"/>
  <c r="AH245" i="8"/>
  <c r="AG245" i="8"/>
  <c r="AF245" i="8"/>
  <c r="AE245" i="8"/>
  <c r="AD245" i="8"/>
  <c r="AC245" i="8"/>
  <c r="AB245" i="8"/>
  <c r="AA245" i="8"/>
  <c r="AL244" i="8"/>
  <c r="AL249" i="8" s="1"/>
  <c r="AK244" i="8"/>
  <c r="AK249" i="8" s="1"/>
  <c r="AJ244" i="8"/>
  <c r="AI244" i="8"/>
  <c r="AI249" i="8" s="1"/>
  <c r="AH244" i="8"/>
  <c r="AG244" i="8"/>
  <c r="AF244" i="8"/>
  <c r="AE244" i="8"/>
  <c r="AD244" i="8"/>
  <c r="AD249" i="8" s="1"/>
  <c r="AC244" i="8"/>
  <c r="AC249" i="8" s="1"/>
  <c r="AB244" i="8"/>
  <c r="AA244" i="8"/>
  <c r="Y244" i="8"/>
  <c r="X244" i="8"/>
  <c r="W244" i="8"/>
  <c r="V244" i="8"/>
  <c r="U244" i="8"/>
  <c r="U248" i="8" s="1"/>
  <c r="T244" i="8"/>
  <c r="S244" i="8"/>
  <c r="R244" i="8"/>
  <c r="Q244" i="8"/>
  <c r="P244" i="8"/>
  <c r="O244" i="8"/>
  <c r="N244" i="8"/>
  <c r="M244" i="8"/>
  <c r="L244" i="8"/>
  <c r="L248" i="8" s="1"/>
  <c r="K244" i="8"/>
  <c r="J244" i="8"/>
  <c r="I244" i="8"/>
  <c r="H244" i="8"/>
  <c r="G244" i="8"/>
  <c r="F244" i="8"/>
  <c r="E244" i="8"/>
  <c r="E248" i="8" s="1"/>
  <c r="D244" i="8"/>
  <c r="C244" i="8"/>
  <c r="C248" i="8" s="1"/>
  <c r="AG243" i="8"/>
  <c r="AE243" i="8"/>
  <c r="P243" i="8"/>
  <c r="N243" i="8"/>
  <c r="AL242" i="8"/>
  <c r="AK242" i="8"/>
  <c r="AJ242" i="8"/>
  <c r="AI242" i="8"/>
  <c r="AH242" i="8"/>
  <c r="AG242" i="8"/>
  <c r="AF242" i="8"/>
  <c r="AE242" i="8"/>
  <c r="AD242" i="8"/>
  <c r="AC242" i="8"/>
  <c r="AB242" i="8"/>
  <c r="AA242" i="8"/>
  <c r="AL241" i="8"/>
  <c r="AK241" i="8"/>
  <c r="AJ241" i="8"/>
  <c r="AI241" i="8"/>
  <c r="AH241" i="8"/>
  <c r="AG241" i="8"/>
  <c r="AF241" i="8"/>
  <c r="AE241" i="8"/>
  <c r="AD241" i="8"/>
  <c r="AC241" i="8"/>
  <c r="AB241" i="8"/>
  <c r="AA241" i="8"/>
  <c r="AL240" i="8"/>
  <c r="AK240" i="8"/>
  <c r="AJ240" i="8"/>
  <c r="AI240" i="8"/>
  <c r="AH240" i="8"/>
  <c r="AG240" i="8"/>
  <c r="AF240" i="8"/>
  <c r="AE240" i="8"/>
  <c r="AD240" i="8"/>
  <c r="AC240" i="8"/>
  <c r="AB240" i="8"/>
  <c r="AA240" i="8"/>
  <c r="AL239" i="8"/>
  <c r="AK239" i="8"/>
  <c r="AJ239" i="8"/>
  <c r="AI239" i="8"/>
  <c r="AH239" i="8"/>
  <c r="AG239" i="8"/>
  <c r="AF239" i="8"/>
  <c r="AE239" i="8"/>
  <c r="AD239" i="8"/>
  <c r="AC239" i="8"/>
  <c r="AB239" i="8"/>
  <c r="AA239" i="8"/>
  <c r="AL238" i="8"/>
  <c r="AK238" i="8"/>
  <c r="AJ238" i="8"/>
  <c r="AI238" i="8"/>
  <c r="AH238" i="8"/>
  <c r="AG238" i="8"/>
  <c r="AF238" i="8"/>
  <c r="AE238" i="8"/>
  <c r="AD238" i="8"/>
  <c r="AC238" i="8"/>
  <c r="AB238" i="8"/>
  <c r="AA238" i="8"/>
  <c r="AL237" i="8"/>
  <c r="AK237" i="8"/>
  <c r="AJ237" i="8"/>
  <c r="AI237" i="8"/>
  <c r="AH237" i="8"/>
  <c r="AG237" i="8"/>
  <c r="AF237" i="8"/>
  <c r="AE237" i="8"/>
  <c r="AD237" i="8"/>
  <c r="AC237" i="8"/>
  <c r="AB237" i="8"/>
  <c r="AA237" i="8"/>
  <c r="AL236" i="8"/>
  <c r="AK236" i="8"/>
  <c r="AJ236" i="8"/>
  <c r="AI236" i="8"/>
  <c r="AH236" i="8"/>
  <c r="AG236" i="8"/>
  <c r="AF236" i="8"/>
  <c r="AE236" i="8"/>
  <c r="AD236" i="8"/>
  <c r="AC236" i="8"/>
  <c r="AB236" i="8"/>
  <c r="AA236" i="8"/>
  <c r="AL235" i="8"/>
  <c r="AL243" i="8" s="1"/>
  <c r="AK235" i="8"/>
  <c r="AK243" i="8" s="1"/>
  <c r="AJ235" i="8"/>
  <c r="AI235" i="8"/>
  <c r="AH235" i="8"/>
  <c r="AG235" i="8"/>
  <c r="AF235" i="8"/>
  <c r="AF243" i="8" s="1"/>
  <c r="AE235" i="8"/>
  <c r="AD235" i="8"/>
  <c r="AD243" i="8" s="1"/>
  <c r="AC235" i="8"/>
  <c r="AC243" i="8" s="1"/>
  <c r="AB235" i="8"/>
  <c r="AA235" i="8"/>
  <c r="Y235" i="8"/>
  <c r="X235" i="8"/>
  <c r="W235" i="8"/>
  <c r="W243" i="8" s="1"/>
  <c r="V235" i="8"/>
  <c r="V243" i="8" s="1"/>
  <c r="U235" i="8"/>
  <c r="U243" i="8" s="1"/>
  <c r="T235" i="8"/>
  <c r="T243" i="8" s="1"/>
  <c r="S235" i="8"/>
  <c r="R235" i="8"/>
  <c r="Q235" i="8"/>
  <c r="P235" i="8"/>
  <c r="O235" i="8"/>
  <c r="O243" i="8" s="1"/>
  <c r="N235" i="8"/>
  <c r="M235" i="8"/>
  <c r="M243" i="8" s="1"/>
  <c r="L235" i="8"/>
  <c r="L243" i="8" s="1"/>
  <c r="K235" i="8"/>
  <c r="J235" i="8"/>
  <c r="I235" i="8"/>
  <c r="H235" i="8"/>
  <c r="G235" i="8"/>
  <c r="G243" i="8" s="1"/>
  <c r="F235" i="8"/>
  <c r="F243" i="8" s="1"/>
  <c r="E235" i="8"/>
  <c r="E243" i="8" s="1"/>
  <c r="D235" i="8"/>
  <c r="D243" i="8" s="1"/>
  <c r="C235" i="8"/>
  <c r="AF234" i="8"/>
  <c r="O234" i="8"/>
  <c r="AL233" i="8"/>
  <c r="AL234" i="8" s="1"/>
  <c r="AK233" i="8"/>
  <c r="AK234" i="8" s="1"/>
  <c r="AJ233" i="8"/>
  <c r="AI233" i="8"/>
  <c r="AI234" i="8" s="1"/>
  <c r="AH233" i="8"/>
  <c r="AG233" i="8"/>
  <c r="AF233" i="8"/>
  <c r="AE233" i="8"/>
  <c r="AE234" i="8" s="1"/>
  <c r="AD233" i="8"/>
  <c r="AD234" i="8" s="1"/>
  <c r="AC233" i="8"/>
  <c r="AC234" i="8" s="1"/>
  <c r="AB233" i="8"/>
  <c r="AA233" i="8"/>
  <c r="AA234" i="8" s="1"/>
  <c r="Y233" i="8"/>
  <c r="X233" i="8"/>
  <c r="W233" i="8"/>
  <c r="V233" i="8"/>
  <c r="V234" i="8" s="1"/>
  <c r="U233" i="8"/>
  <c r="U234" i="8" s="1"/>
  <c r="T233" i="8"/>
  <c r="T234" i="8" s="1"/>
  <c r="S233" i="8"/>
  <c r="R233" i="8"/>
  <c r="R234" i="8" s="1"/>
  <c r="Q233" i="8"/>
  <c r="P233" i="8"/>
  <c r="O233" i="8"/>
  <c r="N233" i="8"/>
  <c r="N234" i="8" s="1"/>
  <c r="M233" i="8"/>
  <c r="M234" i="8" s="1"/>
  <c r="L233" i="8"/>
  <c r="L234" i="8" s="1"/>
  <c r="K233" i="8"/>
  <c r="J233" i="8"/>
  <c r="J234" i="8" s="1"/>
  <c r="AL232" i="8"/>
  <c r="AF232" i="8"/>
  <c r="AE232" i="8"/>
  <c r="AD232" i="8"/>
  <c r="V232" i="8"/>
  <c r="U232" i="8"/>
  <c r="O232" i="8"/>
  <c r="N232" i="8"/>
  <c r="M232" i="8"/>
  <c r="F232" i="8"/>
  <c r="E232" i="8"/>
  <c r="AL231" i="8"/>
  <c r="AK231" i="8"/>
  <c r="AK232" i="8" s="1"/>
  <c r="AJ231" i="8"/>
  <c r="AI231" i="8"/>
  <c r="AI232" i="8" s="1"/>
  <c r="AH231" i="8"/>
  <c r="AG231" i="8"/>
  <c r="AG232" i="8" s="1"/>
  <c r="AF231" i="8"/>
  <c r="AE231" i="8"/>
  <c r="AD231" i="8"/>
  <c r="AC231" i="8"/>
  <c r="AC232" i="8" s="1"/>
  <c r="AB231" i="8"/>
  <c r="AA231" i="8"/>
  <c r="AA232" i="8" s="1"/>
  <c r="Y231" i="8"/>
  <c r="X231" i="8"/>
  <c r="X232" i="8" s="1"/>
  <c r="W231" i="8"/>
  <c r="V231" i="8"/>
  <c r="U231" i="8"/>
  <c r="T231" i="8"/>
  <c r="T232" i="8" s="1"/>
  <c r="S231" i="8"/>
  <c r="R231" i="8"/>
  <c r="R232" i="8" s="1"/>
  <c r="Q231" i="8"/>
  <c r="P231" i="8"/>
  <c r="P232" i="8" s="1"/>
  <c r="O231" i="8"/>
  <c r="N231" i="8"/>
  <c r="M231" i="8"/>
  <c r="L231" i="8"/>
  <c r="L232" i="8" s="1"/>
  <c r="K231" i="8"/>
  <c r="J231" i="8"/>
  <c r="J232" i="8" s="1"/>
  <c r="I231" i="8"/>
  <c r="H231" i="8"/>
  <c r="H232" i="8" s="1"/>
  <c r="G231" i="8"/>
  <c r="F231" i="8"/>
  <c r="E231" i="8"/>
  <c r="D231" i="8"/>
  <c r="D232" i="8" s="1"/>
  <c r="C231" i="8"/>
  <c r="AL230" i="8"/>
  <c r="V230" i="8"/>
  <c r="U230" i="8"/>
  <c r="T230" i="8"/>
  <c r="M230" i="8"/>
  <c r="L230" i="8"/>
  <c r="AE229" i="8"/>
  <c r="AE230" i="8" s="1"/>
  <c r="Y229" i="8"/>
  <c r="X229" i="8"/>
  <c r="X230" i="8" s="1"/>
  <c r="W229" i="8"/>
  <c r="V229" i="8"/>
  <c r="U229" i="8"/>
  <c r="T229" i="8"/>
  <c r="S229" i="8"/>
  <c r="R229" i="8"/>
  <c r="R230" i="8" s="1"/>
  <c r="Q229" i="8"/>
  <c r="P229" i="8"/>
  <c r="P230" i="8" s="1"/>
  <c r="O229" i="8"/>
  <c r="N229" i="8"/>
  <c r="N230" i="8" s="1"/>
  <c r="M229" i="8"/>
  <c r="L229" i="8"/>
  <c r="K229" i="8"/>
  <c r="J229" i="8"/>
  <c r="J230" i="8" s="1"/>
  <c r="AB228" i="8"/>
  <c r="K228" i="8"/>
  <c r="AL227" i="8"/>
  <c r="AL228" i="8" s="1"/>
  <c r="AK227" i="8"/>
  <c r="AK228" i="8" s="1"/>
  <c r="AJ227" i="8"/>
  <c r="AI227" i="8"/>
  <c r="AH227" i="8"/>
  <c r="AG227" i="8"/>
  <c r="AF227" i="8"/>
  <c r="AE227" i="8"/>
  <c r="AE228" i="8" s="1"/>
  <c r="AD227" i="8"/>
  <c r="AD228" i="8" s="1"/>
  <c r="AC227" i="8"/>
  <c r="AC228" i="8" s="1"/>
  <c r="AB227" i="8"/>
  <c r="AA227" i="8"/>
  <c r="Y227" i="8"/>
  <c r="X227" i="8"/>
  <c r="W227" i="8"/>
  <c r="V227" i="8"/>
  <c r="V228" i="8" s="1"/>
  <c r="U227" i="8"/>
  <c r="U228" i="8" s="1"/>
  <c r="T227" i="8"/>
  <c r="T228" i="8" s="1"/>
  <c r="S227" i="8"/>
  <c r="R227" i="8"/>
  <c r="Q227" i="8"/>
  <c r="P227" i="8"/>
  <c r="O227" i="8"/>
  <c r="N227" i="8"/>
  <c r="N228" i="8" s="1"/>
  <c r="M227" i="8"/>
  <c r="M228" i="8" s="1"/>
  <c r="L227" i="8"/>
  <c r="L228" i="8" s="1"/>
  <c r="K227" i="8"/>
  <c r="J227" i="8"/>
  <c r="AF226" i="8"/>
  <c r="O226" i="8"/>
  <c r="AL225" i="8"/>
  <c r="AL226" i="8" s="1"/>
  <c r="AD225" i="8"/>
  <c r="AD226" i="8" s="1"/>
  <c r="Y225" i="8"/>
  <c r="X225" i="8"/>
  <c r="W225" i="8"/>
  <c r="V225" i="8"/>
  <c r="V226" i="8" s="1"/>
  <c r="U225" i="8"/>
  <c r="U226" i="8" s="1"/>
  <c r="T225" i="8"/>
  <c r="T226" i="8" s="1"/>
  <c r="S225" i="8"/>
  <c r="R225" i="8"/>
  <c r="Q225" i="8"/>
  <c r="P225" i="8"/>
  <c r="O225" i="8"/>
  <c r="N225" i="8"/>
  <c r="N226" i="8" s="1"/>
  <c r="M225" i="8"/>
  <c r="M226" i="8" s="1"/>
  <c r="L225" i="8"/>
  <c r="L226" i="8" s="1"/>
  <c r="K225" i="8"/>
  <c r="J225" i="8"/>
  <c r="I225" i="8"/>
  <c r="H225" i="8"/>
  <c r="G225" i="8"/>
  <c r="F225" i="8"/>
  <c r="F226" i="8" s="1"/>
  <c r="E225" i="8"/>
  <c r="E226" i="8" s="1"/>
  <c r="D225" i="8"/>
  <c r="D226" i="8" s="1"/>
  <c r="C225" i="8"/>
  <c r="AL224" i="8"/>
  <c r="AF224" i="8"/>
  <c r="AE224" i="8"/>
  <c r="AD224" i="8"/>
  <c r="V224" i="8"/>
  <c r="U224" i="8"/>
  <c r="O224" i="8"/>
  <c r="N224" i="8"/>
  <c r="M224" i="8"/>
  <c r="F224" i="8"/>
  <c r="E224" i="8"/>
  <c r="AL223" i="8"/>
  <c r="AK223" i="8"/>
  <c r="AJ223" i="8"/>
  <c r="AI223" i="8"/>
  <c r="AH223" i="8"/>
  <c r="AG223" i="8"/>
  <c r="AF223" i="8"/>
  <c r="AE223" i="8"/>
  <c r="AD223" i="8"/>
  <c r="AC223" i="8"/>
  <c r="AB223" i="8"/>
  <c r="AA223" i="8"/>
  <c r="AL222" i="8"/>
  <c r="AK222" i="8"/>
  <c r="AJ222" i="8"/>
  <c r="AI222" i="8"/>
  <c r="AH222" i="8"/>
  <c r="AG222" i="8"/>
  <c r="AF222" i="8"/>
  <c r="AE222" i="8"/>
  <c r="AD222" i="8"/>
  <c r="AC222" i="8"/>
  <c r="AB222" i="8"/>
  <c r="AA222" i="8"/>
  <c r="AL221" i="8"/>
  <c r="AK221" i="8"/>
  <c r="AJ221" i="8"/>
  <c r="AI221" i="8"/>
  <c r="AH221" i="8"/>
  <c r="AG221" i="8"/>
  <c r="AF221" i="8"/>
  <c r="AE221" i="8"/>
  <c r="AD221" i="8"/>
  <c r="AC221" i="8"/>
  <c r="AB221" i="8"/>
  <c r="AA221" i="8"/>
  <c r="AL220" i="8"/>
  <c r="AK220" i="8"/>
  <c r="AJ220" i="8"/>
  <c r="AI220" i="8"/>
  <c r="AH220" i="8"/>
  <c r="AG220" i="8"/>
  <c r="AF220" i="8"/>
  <c r="AE220" i="8"/>
  <c r="AD220" i="8"/>
  <c r="AC220" i="8"/>
  <c r="AB220" i="8"/>
  <c r="AA220" i="8"/>
  <c r="AL219" i="8"/>
  <c r="AK219" i="8"/>
  <c r="AJ219" i="8"/>
  <c r="AI219" i="8"/>
  <c r="AH219" i="8"/>
  <c r="AG219" i="8"/>
  <c r="AF219" i="8"/>
  <c r="AE219" i="8"/>
  <c r="AD219" i="8"/>
  <c r="AC219" i="8"/>
  <c r="AB219" i="8"/>
  <c r="AA219" i="8"/>
  <c r="AL218" i="8"/>
  <c r="AK218" i="8"/>
  <c r="AJ218" i="8"/>
  <c r="AI218" i="8"/>
  <c r="AH218" i="8"/>
  <c r="AG218" i="8"/>
  <c r="AF218" i="8"/>
  <c r="AE218" i="8"/>
  <c r="AD218" i="8"/>
  <c r="AC218" i="8"/>
  <c r="AB218" i="8"/>
  <c r="AA218" i="8"/>
  <c r="AL217" i="8"/>
  <c r="AK217" i="8"/>
  <c r="AJ217" i="8"/>
  <c r="AI217" i="8"/>
  <c r="AH217" i="8"/>
  <c r="AG217" i="8"/>
  <c r="AF217" i="8"/>
  <c r="AE217" i="8"/>
  <c r="AD217" i="8"/>
  <c r="AC217" i="8"/>
  <c r="AB217" i="8"/>
  <c r="AA217" i="8"/>
  <c r="AL216" i="8"/>
  <c r="AK216" i="8"/>
  <c r="AJ216" i="8"/>
  <c r="AI216" i="8"/>
  <c r="AH216" i="8"/>
  <c r="AG216" i="8"/>
  <c r="AF216" i="8"/>
  <c r="AE216" i="8"/>
  <c r="AD216" i="8"/>
  <c r="AC216" i="8"/>
  <c r="AB216" i="8"/>
  <c r="AA216" i="8"/>
  <c r="AL215" i="8"/>
  <c r="AK215" i="8"/>
  <c r="AJ215" i="8"/>
  <c r="AI215" i="8"/>
  <c r="AH215" i="8"/>
  <c r="AG215" i="8"/>
  <c r="AF215" i="8"/>
  <c r="AE215" i="8"/>
  <c r="AD215" i="8"/>
  <c r="AC215" i="8"/>
  <c r="AB215" i="8"/>
  <c r="AA215" i="8"/>
  <c r="AL214" i="8"/>
  <c r="AK214" i="8"/>
  <c r="AJ214" i="8"/>
  <c r="AI214" i="8"/>
  <c r="AH214" i="8"/>
  <c r="AG214" i="8"/>
  <c r="AF214" i="8"/>
  <c r="AE214" i="8"/>
  <c r="AD214" i="8"/>
  <c r="AC214" i="8"/>
  <c r="AB214" i="8"/>
  <c r="AA214" i="8"/>
  <c r="AL213" i="8"/>
  <c r="AK213" i="8"/>
  <c r="AJ213" i="8"/>
  <c r="AI213" i="8"/>
  <c r="AH213" i="8"/>
  <c r="AG213" i="8"/>
  <c r="AF213" i="8"/>
  <c r="AE213" i="8"/>
  <c r="AD213" i="8"/>
  <c r="AC213" i="8"/>
  <c r="AB213" i="8"/>
  <c r="AA213" i="8"/>
  <c r="AL212" i="8"/>
  <c r="AK212" i="8"/>
  <c r="AJ212" i="8"/>
  <c r="AI212" i="8"/>
  <c r="AH212" i="8"/>
  <c r="AG212" i="8"/>
  <c r="AF212" i="8"/>
  <c r="AE212" i="8"/>
  <c r="AD212" i="8"/>
  <c r="AC212" i="8"/>
  <c r="AB212" i="8"/>
  <c r="AA212" i="8"/>
  <c r="AL211" i="8"/>
  <c r="AK211" i="8"/>
  <c r="AK224" i="8" s="1"/>
  <c r="AJ211" i="8"/>
  <c r="AI211" i="8"/>
  <c r="AI224" i="8" s="1"/>
  <c r="AH211" i="8"/>
  <c r="AG211" i="8"/>
  <c r="AG224" i="8" s="1"/>
  <c r="AF211" i="8"/>
  <c r="AE211" i="8"/>
  <c r="AD211" i="8"/>
  <c r="AC211" i="8"/>
  <c r="AC224" i="8" s="1"/>
  <c r="AB211" i="8"/>
  <c r="AA211" i="8"/>
  <c r="AA224" i="8" s="1"/>
  <c r="Y211" i="8"/>
  <c r="X211" i="8"/>
  <c r="X224" i="8" s="1"/>
  <c r="W211" i="8"/>
  <c r="V211" i="8"/>
  <c r="U211" i="8"/>
  <c r="T211" i="8"/>
  <c r="T224" i="8" s="1"/>
  <c r="S211" i="8"/>
  <c r="R211" i="8"/>
  <c r="R224" i="8" s="1"/>
  <c r="Q211" i="8"/>
  <c r="P211" i="8"/>
  <c r="P224" i="8" s="1"/>
  <c r="O211" i="8"/>
  <c r="N211" i="8"/>
  <c r="M211" i="8"/>
  <c r="L211" i="8"/>
  <c r="L224" i="8" s="1"/>
  <c r="K211" i="8"/>
  <c r="J211" i="8"/>
  <c r="J224" i="8" s="1"/>
  <c r="I211" i="8"/>
  <c r="H211" i="8"/>
  <c r="H224" i="8" s="1"/>
  <c r="G211" i="8"/>
  <c r="F211" i="8"/>
  <c r="E211" i="8"/>
  <c r="D211" i="8"/>
  <c r="D224" i="8" s="1"/>
  <c r="C211" i="8"/>
  <c r="AL210" i="8"/>
  <c r="AK210" i="8"/>
  <c r="AJ210" i="8"/>
  <c r="AI210" i="8"/>
  <c r="AH210" i="8"/>
  <c r="AG210" i="8"/>
  <c r="AF210" i="8"/>
  <c r="AE210" i="8"/>
  <c r="AD210" i="8"/>
  <c r="AC210" i="8"/>
  <c r="AB210" i="8"/>
  <c r="AA210" i="8"/>
  <c r="AL209" i="8"/>
  <c r="AK209" i="8"/>
  <c r="AJ209" i="8"/>
  <c r="AI209" i="8"/>
  <c r="AH209" i="8"/>
  <c r="AG209" i="8"/>
  <c r="AF209" i="8"/>
  <c r="AE209" i="8"/>
  <c r="AD209" i="8"/>
  <c r="AC209" i="8"/>
  <c r="AB209" i="8"/>
  <c r="AA209" i="8"/>
  <c r="AL208" i="8"/>
  <c r="AK208" i="8"/>
  <c r="AJ208" i="8"/>
  <c r="AI208" i="8"/>
  <c r="AH208" i="8"/>
  <c r="AG208" i="8"/>
  <c r="AF208" i="8"/>
  <c r="AE208" i="8"/>
  <c r="AD208" i="8"/>
  <c r="AC208" i="8"/>
  <c r="AB208" i="8"/>
  <c r="AA208" i="8"/>
  <c r="AL207" i="8"/>
  <c r="AK207" i="8"/>
  <c r="AJ207" i="8"/>
  <c r="AJ243" i="8" s="1"/>
  <c r="AI207" i="8"/>
  <c r="AI243" i="8" s="1"/>
  <c r="AH207" i="8"/>
  <c r="AH243" i="8" s="1"/>
  <c r="AG207" i="8"/>
  <c r="AG252" i="8" s="1"/>
  <c r="AF207" i="8"/>
  <c r="AF249" i="8" s="1"/>
  <c r="AE207" i="8"/>
  <c r="AD207" i="8"/>
  <c r="AC207" i="8"/>
  <c r="AB207" i="8"/>
  <c r="AB243" i="8" s="1"/>
  <c r="AA207" i="8"/>
  <c r="AA243" i="8" s="1"/>
  <c r="Y207" i="8"/>
  <c r="Y243" i="8" s="1"/>
  <c r="X207" i="8"/>
  <c r="X234" i="8" s="1"/>
  <c r="W207" i="8"/>
  <c r="W234" i="8" s="1"/>
  <c r="V207" i="8"/>
  <c r="U207" i="8"/>
  <c r="T207" i="8"/>
  <c r="S207" i="8"/>
  <c r="S243" i="8" s="1"/>
  <c r="R207" i="8"/>
  <c r="R243" i="8" s="1"/>
  <c r="Q207" i="8"/>
  <c r="P207" i="8"/>
  <c r="P234" i="8" s="1"/>
  <c r="O207" i="8"/>
  <c r="O249" i="8" s="1"/>
  <c r="N207" i="8"/>
  <c r="M207" i="8"/>
  <c r="L207" i="8"/>
  <c r="K207" i="8"/>
  <c r="K243" i="8" s="1"/>
  <c r="J207" i="8"/>
  <c r="J243" i="8" s="1"/>
  <c r="I207" i="8"/>
  <c r="I226" i="8" s="1"/>
  <c r="H207" i="8"/>
  <c r="H252" i="8" s="1"/>
  <c r="G207" i="8"/>
  <c r="G249" i="8" s="1"/>
  <c r="F207" i="8"/>
  <c r="E207" i="8"/>
  <c r="D207" i="8"/>
  <c r="C207" i="8"/>
  <c r="C243" i="8" s="1"/>
  <c r="AK206" i="8"/>
  <c r="AJ206" i="8"/>
  <c r="AI206" i="8"/>
  <c r="AB206" i="8"/>
  <c r="AA206" i="8"/>
  <c r="V206" i="8"/>
  <c r="L206" i="8"/>
  <c r="K206" i="8"/>
  <c r="J206" i="8"/>
  <c r="F206" i="8"/>
  <c r="C206" i="8"/>
  <c r="AL205" i="8"/>
  <c r="AL206" i="8" s="1"/>
  <c r="AK205" i="8"/>
  <c r="AJ205" i="8"/>
  <c r="AI205" i="8"/>
  <c r="AH205" i="8"/>
  <c r="AH206" i="8" s="1"/>
  <c r="AG205" i="8"/>
  <c r="AF205" i="8"/>
  <c r="AF206" i="8" s="1"/>
  <c r="AE205" i="8"/>
  <c r="AE206" i="8" s="1"/>
  <c r="AD205" i="8"/>
  <c r="AD206" i="8" s="1"/>
  <c r="AC205" i="8"/>
  <c r="AB205" i="8"/>
  <c r="AA205" i="8"/>
  <c r="Y205" i="8"/>
  <c r="Y206" i="8" s="1"/>
  <c r="X205" i="8"/>
  <c r="W205" i="8"/>
  <c r="W206" i="8" s="1"/>
  <c r="V205" i="8"/>
  <c r="U205" i="8"/>
  <c r="U206" i="8" s="1"/>
  <c r="T205" i="8"/>
  <c r="S205" i="8"/>
  <c r="R205" i="8"/>
  <c r="Q205" i="8"/>
  <c r="Q206" i="8" s="1"/>
  <c r="P205" i="8"/>
  <c r="O205" i="8"/>
  <c r="O206" i="8" s="1"/>
  <c r="N205" i="8"/>
  <c r="N206" i="8" s="1"/>
  <c r="M205" i="8"/>
  <c r="M206" i="8" s="1"/>
  <c r="L205" i="8"/>
  <c r="K205" i="8"/>
  <c r="J205" i="8"/>
  <c r="I205" i="8"/>
  <c r="I206" i="8" s="1"/>
  <c r="H205" i="8"/>
  <c r="G205" i="8"/>
  <c r="G206" i="8" s="1"/>
  <c r="F205" i="8"/>
  <c r="E205" i="8"/>
  <c r="E206" i="8" s="1"/>
  <c r="D205" i="8"/>
  <c r="C205" i="8"/>
  <c r="AL204" i="8"/>
  <c r="AK204" i="8"/>
  <c r="AJ204" i="8"/>
  <c r="AI204" i="8"/>
  <c r="AH204" i="8"/>
  <c r="AG204" i="8"/>
  <c r="AF204" i="8"/>
  <c r="AE204" i="8"/>
  <c r="AD204" i="8"/>
  <c r="AC204" i="8"/>
  <c r="AC206" i="8" s="1"/>
  <c r="AB204" i="8"/>
  <c r="AA204" i="8"/>
  <c r="Y204" i="8"/>
  <c r="X204" i="8"/>
  <c r="W204" i="8"/>
  <c r="V204" i="8"/>
  <c r="U204" i="8"/>
  <c r="T204" i="8"/>
  <c r="T206" i="8" s="1"/>
  <c r="S204" i="8"/>
  <c r="S206" i="8" s="1"/>
  <c r="R204" i="8"/>
  <c r="R206" i="8" s="1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D206" i="8" s="1"/>
  <c r="C204" i="8"/>
  <c r="AL203" i="8"/>
  <c r="AK203" i="8"/>
  <c r="AJ203" i="8"/>
  <c r="AI203" i="8"/>
  <c r="AH203" i="8"/>
  <c r="AG203" i="8"/>
  <c r="AF203" i="8"/>
  <c r="AE203" i="8"/>
  <c r="AD203" i="8"/>
  <c r="AC203" i="8"/>
  <c r="AB203" i="8"/>
  <c r="AA203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C203" i="8"/>
  <c r="AL202" i="8"/>
  <c r="AK202" i="8"/>
  <c r="AJ202" i="8"/>
  <c r="AI202" i="8"/>
  <c r="AH202" i="8"/>
  <c r="AG202" i="8"/>
  <c r="AF202" i="8"/>
  <c r="AE202" i="8"/>
  <c r="AD202" i="8"/>
  <c r="AC202" i="8"/>
  <c r="AB202" i="8"/>
  <c r="AA202" i="8"/>
  <c r="AL201" i="8"/>
  <c r="AK201" i="8"/>
  <c r="AJ201" i="8"/>
  <c r="AI201" i="8"/>
  <c r="AH201" i="8"/>
  <c r="AG201" i="8"/>
  <c r="AF201" i="8"/>
  <c r="AE201" i="8"/>
  <c r="AD201" i="8"/>
  <c r="AC201" i="8"/>
  <c r="AB201" i="8"/>
  <c r="AA201" i="8"/>
  <c r="AL200" i="8"/>
  <c r="AK200" i="8"/>
  <c r="AJ200" i="8"/>
  <c r="AI200" i="8"/>
  <c r="AH200" i="8"/>
  <c r="AG200" i="8"/>
  <c r="AF200" i="8"/>
  <c r="AE200" i="8"/>
  <c r="AD200" i="8"/>
  <c r="AC200" i="8"/>
  <c r="AB200" i="8"/>
  <c r="AA200" i="8"/>
  <c r="AL199" i="8"/>
  <c r="AK199" i="8"/>
  <c r="AJ199" i="8"/>
  <c r="AI199" i="8"/>
  <c r="AH199" i="8"/>
  <c r="AG199" i="8"/>
  <c r="AF199" i="8"/>
  <c r="AE199" i="8"/>
  <c r="AD199" i="8"/>
  <c r="AC199" i="8"/>
  <c r="AB199" i="8"/>
  <c r="AA199" i="8"/>
  <c r="AL196" i="8"/>
  <c r="AK196" i="8"/>
  <c r="AJ196" i="8"/>
  <c r="AI196" i="8"/>
  <c r="AH196" i="8"/>
  <c r="AG196" i="8"/>
  <c r="AF196" i="8"/>
  <c r="AE196" i="8"/>
  <c r="AD196" i="8"/>
  <c r="AC196" i="8"/>
  <c r="AB196" i="8"/>
  <c r="AA196" i="8"/>
  <c r="AL195" i="8"/>
  <c r="AK195" i="8"/>
  <c r="AJ195" i="8"/>
  <c r="AI195" i="8"/>
  <c r="AH195" i="8"/>
  <c r="AG195" i="8"/>
  <c r="AF195" i="8"/>
  <c r="AE195" i="8"/>
  <c r="AD195" i="8"/>
  <c r="AC195" i="8"/>
  <c r="AB195" i="8"/>
  <c r="AA195" i="8"/>
  <c r="AL194" i="8"/>
  <c r="AK194" i="8"/>
  <c r="AJ194" i="8"/>
  <c r="AI194" i="8"/>
  <c r="AH194" i="8"/>
  <c r="AG194" i="8"/>
  <c r="AF194" i="8"/>
  <c r="AE194" i="8"/>
  <c r="AD194" i="8"/>
  <c r="AC194" i="8"/>
  <c r="AB194" i="8"/>
  <c r="AA194" i="8"/>
  <c r="AL193" i="8"/>
  <c r="AK193" i="8"/>
  <c r="AJ193" i="8"/>
  <c r="AI193" i="8"/>
  <c r="AH193" i="8"/>
  <c r="AG193" i="8"/>
  <c r="AF193" i="8"/>
  <c r="AE193" i="8"/>
  <c r="AD193" i="8"/>
  <c r="AC193" i="8"/>
  <c r="AB193" i="8"/>
  <c r="AA193" i="8"/>
  <c r="AL192" i="8"/>
  <c r="AK192" i="8"/>
  <c r="AJ192" i="8"/>
  <c r="AI192" i="8"/>
  <c r="AH192" i="8"/>
  <c r="AG192" i="8"/>
  <c r="AF192" i="8"/>
  <c r="AE192" i="8"/>
  <c r="AD192" i="8"/>
  <c r="AC192" i="8"/>
  <c r="AB192" i="8"/>
  <c r="AA192" i="8"/>
  <c r="X192" i="8"/>
  <c r="W192" i="8"/>
  <c r="V192" i="8"/>
  <c r="U192" i="8"/>
  <c r="T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L191" i="8"/>
  <c r="AK191" i="8"/>
  <c r="AJ191" i="8"/>
  <c r="AI191" i="8"/>
  <c r="AH191" i="8"/>
  <c r="AG191" i="8"/>
  <c r="AF191" i="8"/>
  <c r="AE191" i="8"/>
  <c r="AD191" i="8"/>
  <c r="AC191" i="8"/>
  <c r="AB191" i="8"/>
  <c r="AA191" i="8"/>
  <c r="AL190" i="8"/>
  <c r="AK190" i="8"/>
  <c r="AJ190" i="8"/>
  <c r="AI190" i="8"/>
  <c r="AH190" i="8"/>
  <c r="AG190" i="8"/>
  <c r="AF190" i="8"/>
  <c r="AE190" i="8"/>
  <c r="AD190" i="8"/>
  <c r="AC190" i="8"/>
  <c r="AB190" i="8"/>
  <c r="AA190" i="8"/>
  <c r="AL189" i="8"/>
  <c r="AK189" i="8"/>
  <c r="AJ189" i="8"/>
  <c r="AI189" i="8"/>
  <c r="AH189" i="8"/>
  <c r="AG189" i="8"/>
  <c r="AF189" i="8"/>
  <c r="AE189" i="8"/>
  <c r="AD189" i="8"/>
  <c r="AC189" i="8"/>
  <c r="AB189" i="8"/>
  <c r="AA189" i="8"/>
  <c r="AL188" i="8"/>
  <c r="AK188" i="8"/>
  <c r="AJ188" i="8"/>
  <c r="AI188" i="8"/>
  <c r="AH188" i="8"/>
  <c r="AG188" i="8"/>
  <c r="AF188" i="8"/>
  <c r="AE188" i="8"/>
  <c r="AD188" i="8"/>
  <c r="AC188" i="8"/>
  <c r="AB188" i="8"/>
  <c r="AA188" i="8"/>
  <c r="AL187" i="8"/>
  <c r="AK187" i="8"/>
  <c r="AJ187" i="8"/>
  <c r="AI187" i="8"/>
  <c r="AH187" i="8"/>
  <c r="AG187" i="8"/>
  <c r="AF187" i="8"/>
  <c r="AE187" i="8"/>
  <c r="AD187" i="8"/>
  <c r="AC187" i="8"/>
  <c r="AB187" i="8"/>
  <c r="AA187" i="8"/>
  <c r="AL186" i="8"/>
  <c r="AK186" i="8"/>
  <c r="AJ186" i="8"/>
  <c r="AI186" i="8"/>
  <c r="AH186" i="8"/>
  <c r="AG186" i="8"/>
  <c r="AF186" i="8"/>
  <c r="AE186" i="8"/>
  <c r="AD186" i="8"/>
  <c r="AC186" i="8"/>
  <c r="AB186" i="8"/>
  <c r="AA186" i="8"/>
  <c r="V186" i="8"/>
  <c r="U186" i="8"/>
  <c r="T186" i="8"/>
  <c r="S186" i="8"/>
  <c r="S192" i="8" s="1"/>
  <c r="R186" i="8"/>
  <c r="R192" i="8" s="1"/>
  <c r="Q186" i="8"/>
  <c r="Q192" i="8" s="1"/>
  <c r="P186" i="8"/>
  <c r="P192" i="8" s="1"/>
  <c r="O186" i="8"/>
  <c r="O192" i="8" s="1"/>
  <c r="N186" i="8"/>
  <c r="M186" i="8"/>
  <c r="AL185" i="8"/>
  <c r="AK185" i="8"/>
  <c r="AJ185" i="8"/>
  <c r="AI185" i="8"/>
  <c r="AH185" i="8"/>
  <c r="AG185" i="8"/>
  <c r="AF185" i="8"/>
  <c r="AE185" i="8"/>
  <c r="AD185" i="8"/>
  <c r="AC185" i="8"/>
  <c r="AB185" i="8"/>
  <c r="AA185" i="8"/>
  <c r="AL184" i="8"/>
  <c r="AK184" i="8"/>
  <c r="AJ184" i="8"/>
  <c r="AI184" i="8"/>
  <c r="AH184" i="8"/>
  <c r="AG184" i="8"/>
  <c r="AF184" i="8"/>
  <c r="AE184" i="8"/>
  <c r="AD184" i="8"/>
  <c r="AC184" i="8"/>
  <c r="AB184" i="8"/>
  <c r="AA184" i="8"/>
  <c r="T184" i="8"/>
  <c r="P184" i="8"/>
  <c r="H184" i="8"/>
  <c r="AL183" i="8"/>
  <c r="AK183" i="8"/>
  <c r="AJ183" i="8"/>
  <c r="AI183" i="8"/>
  <c r="AH183" i="8"/>
  <c r="AG183" i="8"/>
  <c r="AF183" i="8"/>
  <c r="AE183" i="8"/>
  <c r="AD183" i="8"/>
  <c r="AC183" i="8"/>
  <c r="AB183" i="8"/>
  <c r="AA183" i="8"/>
  <c r="Y183" i="8"/>
  <c r="Y184" i="8" s="1"/>
  <c r="X183" i="8"/>
  <c r="X184" i="8" s="1"/>
  <c r="S183" i="8"/>
  <c r="S184" i="8" s="1"/>
  <c r="R183" i="8"/>
  <c r="R184" i="8" s="1"/>
  <c r="P183" i="8"/>
  <c r="O183" i="8"/>
  <c r="O184" i="8" s="1"/>
  <c r="K183" i="8"/>
  <c r="K184" i="8" s="1"/>
  <c r="J183" i="8"/>
  <c r="J184" i="8" s="1"/>
  <c r="I183" i="8"/>
  <c r="I184" i="8" s="1"/>
  <c r="H183" i="8"/>
  <c r="AL182" i="8"/>
  <c r="AK182" i="8"/>
  <c r="AJ182" i="8"/>
  <c r="AI182" i="8"/>
  <c r="AH182" i="8"/>
  <c r="AG182" i="8"/>
  <c r="AF182" i="8"/>
  <c r="AE182" i="8"/>
  <c r="AD182" i="8"/>
  <c r="AC182" i="8"/>
  <c r="AB182" i="8"/>
  <c r="AA182" i="8"/>
  <c r="AL181" i="8"/>
  <c r="AK181" i="8"/>
  <c r="AJ181" i="8"/>
  <c r="AI181" i="8"/>
  <c r="AH181" i="8"/>
  <c r="AG181" i="8"/>
  <c r="AF181" i="8"/>
  <c r="AE181" i="8"/>
  <c r="AD181" i="8"/>
  <c r="AC181" i="8"/>
  <c r="AB181" i="8"/>
  <c r="AA181" i="8"/>
  <c r="AL180" i="8"/>
  <c r="AK180" i="8"/>
  <c r="AJ180" i="8"/>
  <c r="AI180" i="8"/>
  <c r="AH180" i="8"/>
  <c r="AG180" i="8"/>
  <c r="AF180" i="8"/>
  <c r="AE180" i="8"/>
  <c r="AD180" i="8"/>
  <c r="AC180" i="8"/>
  <c r="AB180" i="8"/>
  <c r="AA180" i="8"/>
  <c r="AL179" i="8"/>
  <c r="AK179" i="8"/>
  <c r="AJ179" i="8"/>
  <c r="AI179" i="8"/>
  <c r="AH179" i="8"/>
  <c r="AG179" i="8"/>
  <c r="AF179" i="8"/>
  <c r="AE179" i="8"/>
  <c r="AD179" i="8"/>
  <c r="AC179" i="8"/>
  <c r="AB179" i="8"/>
  <c r="AA179" i="8"/>
  <c r="AL178" i="8"/>
  <c r="AK178" i="8"/>
  <c r="AJ178" i="8"/>
  <c r="AI178" i="8"/>
  <c r="AH178" i="8"/>
  <c r="AG178" i="8"/>
  <c r="AF178" i="8"/>
  <c r="AE178" i="8"/>
  <c r="AD178" i="8"/>
  <c r="AC178" i="8"/>
  <c r="AB178" i="8"/>
  <c r="AA178" i="8"/>
  <c r="AL177" i="8"/>
  <c r="AK177" i="8"/>
  <c r="AJ177" i="8"/>
  <c r="AI177" i="8"/>
  <c r="AH177" i="8"/>
  <c r="AG177" i="8"/>
  <c r="AF177" i="8"/>
  <c r="AE177" i="8"/>
  <c r="AD177" i="8"/>
  <c r="AC177" i="8"/>
  <c r="AB177" i="8"/>
  <c r="AA177" i="8"/>
  <c r="AL176" i="8"/>
  <c r="AK176" i="8"/>
  <c r="AJ176" i="8"/>
  <c r="AI176" i="8"/>
  <c r="AH176" i="8"/>
  <c r="AG176" i="8"/>
  <c r="AF176" i="8"/>
  <c r="AE176" i="8"/>
  <c r="AD176" i="8"/>
  <c r="AC176" i="8"/>
  <c r="AB176" i="8"/>
  <c r="AA176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AL174" i="8"/>
  <c r="AK174" i="8"/>
  <c r="AJ174" i="8"/>
  <c r="AI174" i="8"/>
  <c r="AH174" i="8"/>
  <c r="AG174" i="8"/>
  <c r="AF174" i="8"/>
  <c r="AE174" i="8"/>
  <c r="AD174" i="8"/>
  <c r="AC174" i="8"/>
  <c r="AB174" i="8"/>
  <c r="AA174" i="8"/>
  <c r="AL173" i="8"/>
  <c r="AK173" i="8"/>
  <c r="AJ173" i="8"/>
  <c r="AI173" i="8"/>
  <c r="AH173" i="8"/>
  <c r="AG173" i="8"/>
  <c r="AF173" i="8"/>
  <c r="AE173" i="8"/>
  <c r="AD173" i="8"/>
  <c r="AC173" i="8"/>
  <c r="AB173" i="8"/>
  <c r="AA173" i="8"/>
  <c r="AL172" i="8"/>
  <c r="AK172" i="8"/>
  <c r="AJ172" i="8"/>
  <c r="AI172" i="8"/>
  <c r="AH172" i="8"/>
  <c r="AG172" i="8"/>
  <c r="AF172" i="8"/>
  <c r="AE172" i="8"/>
  <c r="AD172" i="8"/>
  <c r="AC172" i="8"/>
  <c r="AB172" i="8"/>
  <c r="AA172" i="8"/>
  <c r="AL171" i="8"/>
  <c r="AK171" i="8"/>
  <c r="AJ171" i="8"/>
  <c r="AI171" i="8"/>
  <c r="AH171" i="8"/>
  <c r="AG171" i="8"/>
  <c r="AF171" i="8"/>
  <c r="AE171" i="8"/>
  <c r="AD171" i="8"/>
  <c r="AC171" i="8"/>
  <c r="AB171" i="8"/>
  <c r="AA171" i="8"/>
  <c r="AL170" i="8"/>
  <c r="AK170" i="8"/>
  <c r="AJ170" i="8"/>
  <c r="AI170" i="8"/>
  <c r="AH170" i="8"/>
  <c r="AG170" i="8"/>
  <c r="AF170" i="8"/>
  <c r="AE170" i="8"/>
  <c r="AD170" i="8"/>
  <c r="AC170" i="8"/>
  <c r="AB170" i="8"/>
  <c r="AA170" i="8"/>
  <c r="AL169" i="8"/>
  <c r="AK169" i="8"/>
  <c r="AJ169" i="8"/>
  <c r="AI169" i="8"/>
  <c r="AH169" i="8"/>
  <c r="AG169" i="8"/>
  <c r="AF169" i="8"/>
  <c r="AE169" i="8"/>
  <c r="AD169" i="8"/>
  <c r="AC169" i="8"/>
  <c r="AB169" i="8"/>
  <c r="AA169" i="8"/>
  <c r="Y169" i="8"/>
  <c r="W169" i="8"/>
  <c r="V169" i="8"/>
  <c r="U169" i="8"/>
  <c r="T169" i="8"/>
  <c r="S169" i="8"/>
  <c r="R169" i="8"/>
  <c r="Q169" i="8"/>
  <c r="P169" i="8"/>
  <c r="O169" i="8"/>
  <c r="N169" i="8"/>
  <c r="M169" i="8"/>
  <c r="AL168" i="8"/>
  <c r="AK168" i="8"/>
  <c r="AJ168" i="8"/>
  <c r="AI168" i="8"/>
  <c r="AH168" i="8"/>
  <c r="AG168" i="8"/>
  <c r="AF168" i="8"/>
  <c r="AE168" i="8"/>
  <c r="AD168" i="8"/>
  <c r="AC168" i="8"/>
  <c r="AB168" i="8"/>
  <c r="AA168" i="8"/>
  <c r="Y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AL167" i="8"/>
  <c r="AK167" i="8"/>
  <c r="AJ167" i="8"/>
  <c r="AI167" i="8"/>
  <c r="AH167" i="8"/>
  <c r="AG167" i="8"/>
  <c r="AF167" i="8"/>
  <c r="AE167" i="8"/>
  <c r="AD167" i="8"/>
  <c r="AC167" i="8"/>
  <c r="AB167" i="8"/>
  <c r="AA167" i="8"/>
  <c r="AL166" i="8"/>
  <c r="AK166" i="8"/>
  <c r="AJ166" i="8"/>
  <c r="AI166" i="8"/>
  <c r="AH166" i="8"/>
  <c r="AG166" i="8"/>
  <c r="AF166" i="8"/>
  <c r="AE166" i="8"/>
  <c r="AD166" i="8"/>
  <c r="AC166" i="8"/>
  <c r="AB166" i="8"/>
  <c r="AA166" i="8"/>
  <c r="Y166" i="8"/>
  <c r="W166" i="8"/>
  <c r="V166" i="8"/>
  <c r="U166" i="8"/>
  <c r="T166" i="8"/>
  <c r="S166" i="8"/>
  <c r="R166" i="8"/>
  <c r="Q166" i="8"/>
  <c r="P166" i="8"/>
  <c r="O166" i="8"/>
  <c r="N166" i="8"/>
  <c r="M166" i="8"/>
  <c r="I166" i="8"/>
  <c r="H166" i="8"/>
  <c r="G166" i="8"/>
  <c r="F166" i="8"/>
  <c r="E166" i="8"/>
  <c r="AL165" i="8"/>
  <c r="AK165" i="8"/>
  <c r="AJ165" i="8"/>
  <c r="AI165" i="8"/>
  <c r="AH165" i="8"/>
  <c r="AG165" i="8"/>
  <c r="AF165" i="8"/>
  <c r="AE165" i="8"/>
  <c r="AD165" i="8"/>
  <c r="AC165" i="8"/>
  <c r="AB165" i="8"/>
  <c r="AA165" i="8"/>
  <c r="K165" i="8"/>
  <c r="AL164" i="8"/>
  <c r="AK164" i="8"/>
  <c r="AJ164" i="8"/>
  <c r="AI164" i="8"/>
  <c r="AH164" i="8"/>
  <c r="AG164" i="8"/>
  <c r="AF164" i="8"/>
  <c r="AE164" i="8"/>
  <c r="AD164" i="8"/>
  <c r="AC164" i="8"/>
  <c r="AB164" i="8"/>
  <c r="AA164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AL162" i="8"/>
  <c r="AK162" i="8"/>
  <c r="AJ162" i="8"/>
  <c r="AI162" i="8"/>
  <c r="AH162" i="8"/>
  <c r="AG162" i="8"/>
  <c r="AF162" i="8"/>
  <c r="AE162" i="8"/>
  <c r="AD162" i="8"/>
  <c r="AC162" i="8"/>
  <c r="AB162" i="8"/>
  <c r="AA162" i="8"/>
  <c r="Y162" i="8"/>
  <c r="X162" i="8"/>
  <c r="W162" i="8"/>
  <c r="W183" i="8" s="1"/>
  <c r="W184" i="8" s="1"/>
  <c r="V162" i="8"/>
  <c r="V183" i="8" s="1"/>
  <c r="V184" i="8" s="1"/>
  <c r="U162" i="8"/>
  <c r="T162" i="8"/>
  <c r="T183" i="8" s="1"/>
  <c r="S162" i="8"/>
  <c r="S165" i="8" s="1"/>
  <c r="S175" i="8" s="1"/>
  <c r="R162" i="8"/>
  <c r="Q162" i="8"/>
  <c r="Q183" i="8" s="1"/>
  <c r="Q184" i="8" s="1"/>
  <c r="P162" i="8"/>
  <c r="O162" i="8"/>
  <c r="N162" i="8"/>
  <c r="N183" i="8" s="1"/>
  <c r="N184" i="8" s="1"/>
  <c r="M162" i="8"/>
  <c r="L162" i="8"/>
  <c r="L183" i="8" s="1"/>
  <c r="L184" i="8" s="1"/>
  <c r="K162" i="8"/>
  <c r="J162" i="8"/>
  <c r="I162" i="8"/>
  <c r="H162" i="8"/>
  <c r="G162" i="8"/>
  <c r="G183" i="8" s="1"/>
  <c r="G184" i="8" s="1"/>
  <c r="F162" i="8"/>
  <c r="F183" i="8" s="1"/>
  <c r="F184" i="8" s="1"/>
  <c r="E162" i="8"/>
  <c r="E183" i="8" s="1"/>
  <c r="E184" i="8" s="1"/>
  <c r="D162" i="8"/>
  <c r="D183" i="8" s="1"/>
  <c r="D184" i="8" s="1"/>
  <c r="C162" i="8"/>
  <c r="C183" i="8" s="1"/>
  <c r="C184" i="8" s="1"/>
  <c r="AL161" i="8"/>
  <c r="AK161" i="8"/>
  <c r="AJ161" i="8"/>
  <c r="AI161" i="8"/>
  <c r="AH161" i="8"/>
  <c r="AG161" i="8"/>
  <c r="AF161" i="8"/>
  <c r="AE161" i="8"/>
  <c r="AD161" i="8"/>
  <c r="AC161" i="8"/>
  <c r="AB161" i="8"/>
  <c r="AA161" i="8"/>
  <c r="AL160" i="8"/>
  <c r="AK160" i="8"/>
  <c r="AJ160" i="8"/>
  <c r="AI160" i="8"/>
  <c r="AH160" i="8"/>
  <c r="AG160" i="8"/>
  <c r="AF160" i="8"/>
  <c r="AE160" i="8"/>
  <c r="AD160" i="8"/>
  <c r="AC160" i="8"/>
  <c r="AB160" i="8"/>
  <c r="AA160" i="8"/>
  <c r="AL159" i="8"/>
  <c r="AL229" i="8" s="1"/>
  <c r="AK159" i="8"/>
  <c r="AK229" i="8" s="1"/>
  <c r="AK230" i="8" s="1"/>
  <c r="AJ159" i="8"/>
  <c r="AJ229" i="8" s="1"/>
  <c r="AJ230" i="8" s="1"/>
  <c r="AI159" i="8"/>
  <c r="AI229" i="8" s="1"/>
  <c r="AI230" i="8" s="1"/>
  <c r="AH159" i="8"/>
  <c r="AH229" i="8" s="1"/>
  <c r="AH230" i="8" s="1"/>
  <c r="AG159" i="8"/>
  <c r="AG229" i="8" s="1"/>
  <c r="AG230" i="8" s="1"/>
  <c r="AF159" i="8"/>
  <c r="AF229" i="8" s="1"/>
  <c r="AF230" i="8" s="1"/>
  <c r="AE159" i="8"/>
  <c r="AD159" i="8"/>
  <c r="AD229" i="8" s="1"/>
  <c r="AD230" i="8" s="1"/>
  <c r="AC159" i="8"/>
  <c r="AC229" i="8" s="1"/>
  <c r="AC230" i="8" s="1"/>
  <c r="AB159" i="8"/>
  <c r="AB229" i="8" s="1"/>
  <c r="AB230" i="8" s="1"/>
  <c r="AA159" i="8"/>
  <c r="AA229" i="8" s="1"/>
  <c r="AA230" i="8" s="1"/>
  <c r="AL158" i="8"/>
  <c r="AK158" i="8"/>
  <c r="AJ158" i="8"/>
  <c r="AI158" i="8"/>
  <c r="AH158" i="8"/>
  <c r="AG158" i="8"/>
  <c r="AF158" i="8"/>
  <c r="AE158" i="8"/>
  <c r="AD158" i="8"/>
  <c r="AC158" i="8"/>
  <c r="AB158" i="8"/>
  <c r="AA158" i="8"/>
  <c r="AL157" i="8"/>
  <c r="AK157" i="8"/>
  <c r="AJ157" i="8"/>
  <c r="AI157" i="8"/>
  <c r="AH157" i="8"/>
  <c r="AG157" i="8"/>
  <c r="AF157" i="8"/>
  <c r="AE157" i="8"/>
  <c r="AD157" i="8"/>
  <c r="AC157" i="8"/>
  <c r="AB157" i="8"/>
  <c r="AA157" i="8"/>
  <c r="Y157" i="8"/>
  <c r="Y165" i="8" s="1"/>
  <c r="Y175" i="8" s="1"/>
  <c r="Y193" i="8" s="1"/>
  <c r="X157" i="8"/>
  <c r="X165" i="8" s="1"/>
  <c r="X175" i="8" s="1"/>
  <c r="W157" i="8"/>
  <c r="V157" i="8"/>
  <c r="U157" i="8"/>
  <c r="T157" i="8"/>
  <c r="T165" i="8" s="1"/>
  <c r="T175" i="8" s="1"/>
  <c r="T193" i="8" s="1"/>
  <c r="S157" i="8"/>
  <c r="R157" i="8"/>
  <c r="R165" i="8" s="1"/>
  <c r="R175" i="8" s="1"/>
  <c r="R193" i="8" s="1"/>
  <c r="Q157" i="8"/>
  <c r="Q165" i="8" s="1"/>
  <c r="Q175" i="8" s="1"/>
  <c r="P157" i="8"/>
  <c r="P165" i="8" s="1"/>
  <c r="P175" i="8" s="1"/>
  <c r="P193" i="8" s="1"/>
  <c r="O157" i="8"/>
  <c r="N157" i="8"/>
  <c r="M157" i="8"/>
  <c r="L157" i="8"/>
  <c r="K157" i="8"/>
  <c r="K168" i="8" s="1"/>
  <c r="J157" i="8"/>
  <c r="J165" i="8" s="1"/>
  <c r="J175" i="8" s="1"/>
  <c r="J193" i="8" s="1"/>
  <c r="AL154" i="8"/>
  <c r="AK154" i="8"/>
  <c r="AJ154" i="8"/>
  <c r="AI154" i="8"/>
  <c r="AH154" i="8"/>
  <c r="AG154" i="8"/>
  <c r="AF154" i="8"/>
  <c r="AE154" i="8"/>
  <c r="AD154" i="8"/>
  <c r="AC154" i="8"/>
  <c r="AB154" i="8"/>
  <c r="AA154" i="8"/>
  <c r="AM153" i="8"/>
  <c r="C153" i="8"/>
  <c r="C233" i="8" s="1"/>
  <c r="C234" i="8" s="1"/>
  <c r="AM152" i="8"/>
  <c r="AM151" i="8"/>
  <c r="AM154" i="8" s="1"/>
  <c r="AM150" i="8"/>
  <c r="F150" i="8"/>
  <c r="F157" i="8" s="1"/>
  <c r="F165" i="8" s="1"/>
  <c r="F175" i="8" s="1"/>
  <c r="F193" i="8" s="1"/>
  <c r="E150" i="8"/>
  <c r="C150" i="8"/>
  <c r="AL149" i="8"/>
  <c r="AK149" i="8"/>
  <c r="AJ149" i="8"/>
  <c r="AI149" i="8"/>
  <c r="AH149" i="8"/>
  <c r="AG149" i="8"/>
  <c r="AF149" i="8"/>
  <c r="AE149" i="8"/>
  <c r="AD149" i="8"/>
  <c r="AC149" i="8"/>
  <c r="AB149" i="8"/>
  <c r="AA149" i="8"/>
  <c r="I149" i="8"/>
  <c r="H149" i="8"/>
  <c r="G149" i="8"/>
  <c r="G150" i="8" s="1"/>
  <c r="F149" i="8"/>
  <c r="E149" i="8"/>
  <c r="D149" i="8"/>
  <c r="AM148" i="8"/>
  <c r="AM147" i="8"/>
  <c r="AF146" i="8"/>
  <c r="I146" i="8"/>
  <c r="I150" i="8" s="1"/>
  <c r="H146" i="8"/>
  <c r="H150" i="8" s="1"/>
  <c r="G146" i="8"/>
  <c r="F146" i="8"/>
  <c r="E146" i="8"/>
  <c r="D146" i="8"/>
  <c r="C146" i="8"/>
  <c r="AM145" i="8"/>
  <c r="AM144" i="8"/>
  <c r="AM143" i="8"/>
  <c r="AM142" i="8"/>
  <c r="AM141" i="8"/>
  <c r="AM140" i="8"/>
  <c r="AL139" i="8"/>
  <c r="AL146" i="8" s="1"/>
  <c r="AK139" i="8"/>
  <c r="AK225" i="8" s="1"/>
  <c r="AK226" i="8" s="1"/>
  <c r="AJ139" i="8"/>
  <c r="AJ146" i="8" s="1"/>
  <c r="AI139" i="8"/>
  <c r="AI225" i="8" s="1"/>
  <c r="AI226" i="8" s="1"/>
  <c r="AH139" i="8"/>
  <c r="AH225" i="8" s="1"/>
  <c r="AH226" i="8" s="1"/>
  <c r="AG139" i="8"/>
  <c r="AG225" i="8" s="1"/>
  <c r="AG226" i="8" s="1"/>
  <c r="AF139" i="8"/>
  <c r="AF225" i="8" s="1"/>
  <c r="AE139" i="8"/>
  <c r="AE225" i="8" s="1"/>
  <c r="AE226" i="8" s="1"/>
  <c r="AD139" i="8"/>
  <c r="AD146" i="8" s="1"/>
  <c r="AC139" i="8"/>
  <c r="AC146" i="8" s="1"/>
  <c r="AB139" i="8"/>
  <c r="AB146" i="8" s="1"/>
  <c r="AA139" i="8"/>
  <c r="AA225" i="8" s="1"/>
  <c r="AA226" i="8" s="1"/>
  <c r="AM138" i="8"/>
  <c r="AM137" i="8"/>
  <c r="AM136" i="8"/>
  <c r="AM135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G131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AL128" i="8"/>
  <c r="AK128" i="8"/>
  <c r="AJ128" i="8"/>
  <c r="AI128" i="8"/>
  <c r="AH128" i="8"/>
  <c r="AG128" i="8"/>
  <c r="AF128" i="8"/>
  <c r="AE128" i="8"/>
  <c r="AD128" i="8"/>
  <c r="AC128" i="8"/>
  <c r="AB128" i="8"/>
  <c r="AA128" i="8"/>
  <c r="I128" i="8"/>
  <c r="G128" i="8"/>
  <c r="F128" i="8"/>
  <c r="E128" i="8"/>
  <c r="D128" i="8"/>
  <c r="C128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AL126" i="8"/>
  <c r="AK126" i="8"/>
  <c r="AJ126" i="8"/>
  <c r="AI126" i="8"/>
  <c r="AH126" i="8"/>
  <c r="AG126" i="8"/>
  <c r="AF126" i="8"/>
  <c r="AE126" i="8"/>
  <c r="AD126" i="8"/>
  <c r="AC126" i="8"/>
  <c r="AB126" i="8"/>
  <c r="AA126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AL123" i="8"/>
  <c r="AK123" i="8"/>
  <c r="AJ123" i="8"/>
  <c r="AI123" i="8"/>
  <c r="AH123" i="8"/>
  <c r="AG123" i="8"/>
  <c r="AF123" i="8"/>
  <c r="AE123" i="8"/>
  <c r="AD123" i="8"/>
  <c r="AC123" i="8"/>
  <c r="AB123" i="8"/>
  <c r="AA123" i="8"/>
  <c r="AL122" i="8"/>
  <c r="AK122" i="8"/>
  <c r="AJ122" i="8"/>
  <c r="AI122" i="8"/>
  <c r="AH122" i="8"/>
  <c r="AG122" i="8"/>
  <c r="AF122" i="8"/>
  <c r="AE122" i="8"/>
  <c r="AD122" i="8"/>
  <c r="AC122" i="8"/>
  <c r="AB122" i="8"/>
  <c r="AA122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AL120" i="8"/>
  <c r="AK120" i="8"/>
  <c r="AJ120" i="8"/>
  <c r="AI120" i="8"/>
  <c r="AH120" i="8"/>
  <c r="AG120" i="8"/>
  <c r="AF120" i="8"/>
  <c r="AE120" i="8"/>
  <c r="AD120" i="8"/>
  <c r="AC120" i="8"/>
  <c r="AB120" i="8"/>
  <c r="AA120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I117" i="8"/>
  <c r="H117" i="8"/>
  <c r="G117" i="8"/>
  <c r="F117" i="8"/>
  <c r="E117" i="8"/>
  <c r="D117" i="8"/>
  <c r="C117" i="8"/>
  <c r="AL116" i="8"/>
  <c r="AK116" i="8"/>
  <c r="AJ116" i="8"/>
  <c r="AI116" i="8"/>
  <c r="AH116" i="8"/>
  <c r="AG116" i="8"/>
  <c r="AF116" i="8"/>
  <c r="AE116" i="8"/>
  <c r="AD116" i="8"/>
  <c r="AC116" i="8"/>
  <c r="AB116" i="8"/>
  <c r="AA116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I85" i="8"/>
  <c r="I84" i="8" s="1"/>
  <c r="I131" i="8" s="1"/>
  <c r="H85" i="8"/>
  <c r="H84" i="8" s="1"/>
  <c r="H131" i="8" s="1"/>
  <c r="G85" i="8"/>
  <c r="F85" i="8"/>
  <c r="E85" i="8"/>
  <c r="D85" i="8"/>
  <c r="D84" i="8" s="1"/>
  <c r="D131" i="8" s="1"/>
  <c r="C85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G84" i="8"/>
  <c r="F84" i="8"/>
  <c r="F131" i="8" s="1"/>
  <c r="E84" i="8"/>
  <c r="E131" i="8" s="1"/>
  <c r="E132" i="8" s="1"/>
  <c r="C84" i="8"/>
  <c r="C131" i="8" s="1"/>
  <c r="AL83" i="8"/>
  <c r="AK83" i="8"/>
  <c r="AJ83" i="8"/>
  <c r="AI83" i="8"/>
  <c r="AH83" i="8"/>
  <c r="AG83" i="8"/>
  <c r="AF83" i="8"/>
  <c r="AE83" i="8"/>
  <c r="AD83" i="8"/>
  <c r="AC83" i="8"/>
  <c r="AB83" i="8"/>
  <c r="AA83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I53" i="8"/>
  <c r="G53" i="8"/>
  <c r="F53" i="8"/>
  <c r="E53" i="8"/>
  <c r="D53" i="8"/>
  <c r="C53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I47" i="8"/>
  <c r="G47" i="8"/>
  <c r="G46" i="8" s="1"/>
  <c r="G38" i="8" s="1"/>
  <c r="F47" i="8"/>
  <c r="E47" i="8"/>
  <c r="D47" i="8"/>
  <c r="D46" i="8" s="1"/>
  <c r="D38" i="8" s="1"/>
  <c r="C47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I46" i="8"/>
  <c r="I38" i="8" s="1"/>
  <c r="F46" i="8"/>
  <c r="F38" i="8" s="1"/>
  <c r="E46" i="8"/>
  <c r="C46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E38" i="8"/>
  <c r="E83" i="8" s="1"/>
  <c r="C38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I32" i="8"/>
  <c r="G32" i="8"/>
  <c r="F32" i="8"/>
  <c r="E32" i="8"/>
  <c r="D32" i="8"/>
  <c r="C32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I17" i="8"/>
  <c r="G17" i="8"/>
  <c r="F17" i="8"/>
  <c r="E17" i="8"/>
  <c r="D17" i="8"/>
  <c r="C17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I10" i="8"/>
  <c r="G10" i="8"/>
  <c r="F10" i="8"/>
  <c r="E10" i="8"/>
  <c r="D10" i="8"/>
  <c r="C10" i="8"/>
  <c r="AL9" i="8"/>
  <c r="AK9" i="8"/>
  <c r="AJ9" i="8"/>
  <c r="AI9" i="8"/>
  <c r="AH9" i="8"/>
  <c r="AG9" i="8"/>
  <c r="AF9" i="8"/>
  <c r="AE9" i="8"/>
  <c r="AD9" i="8"/>
  <c r="AC9" i="8"/>
  <c r="AB9" i="8"/>
  <c r="AA9" i="8"/>
  <c r="AL8" i="8"/>
  <c r="AK8" i="8"/>
  <c r="AJ8" i="8"/>
  <c r="AI8" i="8"/>
  <c r="AH8" i="8"/>
  <c r="AG8" i="8"/>
  <c r="AF8" i="8"/>
  <c r="AE8" i="8"/>
  <c r="AD8" i="8"/>
  <c r="AC8" i="8"/>
  <c r="AB8" i="8"/>
  <c r="AA8" i="8"/>
  <c r="AL7" i="8"/>
  <c r="AK7" i="8"/>
  <c r="AJ7" i="8"/>
  <c r="AI7" i="8"/>
  <c r="AH7" i="8"/>
  <c r="AG7" i="8"/>
  <c r="AF7" i="8"/>
  <c r="AE7" i="8"/>
  <c r="AD7" i="8"/>
  <c r="AC7" i="8"/>
  <c r="AB7" i="8"/>
  <c r="AA7" i="8"/>
  <c r="I7" i="8"/>
  <c r="I6" i="8" s="1"/>
  <c r="H7" i="8"/>
  <c r="H6" i="8" s="1"/>
  <c r="H83" i="8" s="1"/>
  <c r="G7" i="8"/>
  <c r="G6" i="8" s="1"/>
  <c r="F7" i="8"/>
  <c r="E7" i="8"/>
  <c r="D7" i="8"/>
  <c r="C7" i="8"/>
  <c r="C6" i="8" s="1"/>
  <c r="AL6" i="8"/>
  <c r="AK6" i="8"/>
  <c r="AJ6" i="8"/>
  <c r="AI6" i="8"/>
  <c r="AH6" i="8"/>
  <c r="AG6" i="8"/>
  <c r="AF6" i="8"/>
  <c r="AE6" i="8"/>
  <c r="AD6" i="8"/>
  <c r="AC6" i="8"/>
  <c r="AB6" i="8"/>
  <c r="AA6" i="8"/>
  <c r="E6" i="8"/>
  <c r="D6" i="8"/>
  <c r="S3" i="8"/>
  <c r="T3" i="8" s="1"/>
  <c r="U3" i="8" s="1"/>
  <c r="V3" i="8" s="1"/>
  <c r="W3" i="8" s="1"/>
  <c r="X3" i="8" s="1"/>
  <c r="Y3" i="8" s="1"/>
  <c r="P3" i="8"/>
  <c r="Q3" i="8" s="1"/>
  <c r="R3" i="8" s="1"/>
  <c r="D3" i="8"/>
  <c r="E3" i="8" s="1"/>
  <c r="F3" i="8" s="1"/>
  <c r="G3" i="8" s="1"/>
  <c r="H3" i="8" s="1"/>
  <c r="I3" i="8" s="1"/>
  <c r="J3" i="8" s="1"/>
  <c r="K3" i="8" s="1"/>
  <c r="L3" i="8" s="1"/>
  <c r="M3" i="8" s="1"/>
  <c r="N3" i="8" s="1"/>
  <c r="AL325" i="7"/>
  <c r="AK325" i="7"/>
  <c r="AJ325" i="7"/>
  <c r="AI325" i="7"/>
  <c r="AH325" i="7"/>
  <c r="AG325" i="7"/>
  <c r="AF325" i="7"/>
  <c r="AE325" i="7"/>
  <c r="AD325" i="7"/>
  <c r="AC325" i="7"/>
  <c r="AB325" i="7"/>
  <c r="AA325" i="7"/>
  <c r="AL324" i="7"/>
  <c r="AK324" i="7"/>
  <c r="AJ324" i="7"/>
  <c r="AI324" i="7"/>
  <c r="AH324" i="7"/>
  <c r="AG324" i="7"/>
  <c r="AF324" i="7"/>
  <c r="AE324" i="7"/>
  <c r="AD324" i="7"/>
  <c r="AC324" i="7"/>
  <c r="AB324" i="7"/>
  <c r="AA324" i="7"/>
  <c r="AL323" i="7"/>
  <c r="AK323" i="7"/>
  <c r="AJ323" i="7"/>
  <c r="AI323" i="7"/>
  <c r="AH323" i="7"/>
  <c r="AG323" i="7"/>
  <c r="AF323" i="7"/>
  <c r="AE323" i="7"/>
  <c r="AD323" i="7"/>
  <c r="AC323" i="7"/>
  <c r="AB323" i="7"/>
  <c r="AA323" i="7"/>
  <c r="AL322" i="7"/>
  <c r="AK322" i="7"/>
  <c r="AJ322" i="7"/>
  <c r="AI322" i="7"/>
  <c r="AH322" i="7"/>
  <c r="AG322" i="7"/>
  <c r="AF322" i="7"/>
  <c r="AE322" i="7"/>
  <c r="AD322" i="7"/>
  <c r="AC322" i="7"/>
  <c r="AB322" i="7"/>
  <c r="AA322" i="7"/>
  <c r="AL321" i="7"/>
  <c r="AK321" i="7"/>
  <c r="AJ321" i="7"/>
  <c r="AI321" i="7"/>
  <c r="AH321" i="7"/>
  <c r="AG321" i="7"/>
  <c r="AF321" i="7"/>
  <c r="AE321" i="7"/>
  <c r="AD321" i="7"/>
  <c r="AC321" i="7"/>
  <c r="AB321" i="7"/>
  <c r="AA321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AL319" i="7"/>
  <c r="AK319" i="7"/>
  <c r="AJ319" i="7"/>
  <c r="AI319" i="7"/>
  <c r="AH319" i="7"/>
  <c r="AG319" i="7"/>
  <c r="AF319" i="7"/>
  <c r="AE319" i="7"/>
  <c r="AD319" i="7"/>
  <c r="AC319" i="7"/>
  <c r="AB319" i="7"/>
  <c r="AA319" i="7"/>
  <c r="A319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AL317" i="7"/>
  <c r="AK317" i="7"/>
  <c r="AJ317" i="7"/>
  <c r="AI317" i="7"/>
  <c r="AH317" i="7"/>
  <c r="AG317" i="7"/>
  <c r="AF317" i="7"/>
  <c r="AE317" i="7"/>
  <c r="AD317" i="7"/>
  <c r="AC317" i="7"/>
  <c r="AB317" i="7"/>
  <c r="AA317" i="7"/>
  <c r="AL316" i="7"/>
  <c r="AK316" i="7"/>
  <c r="AJ316" i="7"/>
  <c r="AI316" i="7"/>
  <c r="AH316" i="7"/>
  <c r="AG316" i="7"/>
  <c r="AF316" i="7"/>
  <c r="AE316" i="7"/>
  <c r="AD316" i="7"/>
  <c r="AC316" i="7"/>
  <c r="AB316" i="7"/>
  <c r="AA316" i="7"/>
  <c r="AL315" i="7"/>
  <c r="AK315" i="7"/>
  <c r="AJ315" i="7"/>
  <c r="AI315" i="7"/>
  <c r="AH315" i="7"/>
  <c r="AG315" i="7"/>
  <c r="AF315" i="7"/>
  <c r="AE315" i="7"/>
  <c r="AD315" i="7"/>
  <c r="AC315" i="7"/>
  <c r="AB315" i="7"/>
  <c r="AA315" i="7"/>
  <c r="AL314" i="7"/>
  <c r="AK314" i="7"/>
  <c r="AJ314" i="7"/>
  <c r="AI314" i="7"/>
  <c r="AH314" i="7"/>
  <c r="AG314" i="7"/>
  <c r="AF314" i="7"/>
  <c r="AE314" i="7"/>
  <c r="AD314" i="7"/>
  <c r="AC314" i="7"/>
  <c r="AB314" i="7"/>
  <c r="AA314" i="7"/>
  <c r="AL313" i="7"/>
  <c r="AK313" i="7"/>
  <c r="AJ313" i="7"/>
  <c r="AI313" i="7"/>
  <c r="AH313" i="7"/>
  <c r="AG313" i="7"/>
  <c r="AF313" i="7"/>
  <c r="AE313" i="7"/>
  <c r="AD313" i="7"/>
  <c r="AC313" i="7"/>
  <c r="AB313" i="7"/>
  <c r="AA313" i="7"/>
  <c r="A313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AL311" i="7"/>
  <c r="AK311" i="7"/>
  <c r="AJ311" i="7"/>
  <c r="AI311" i="7"/>
  <c r="AH311" i="7"/>
  <c r="AG311" i="7"/>
  <c r="AF311" i="7"/>
  <c r="AE311" i="7"/>
  <c r="AD311" i="7"/>
  <c r="AC311" i="7"/>
  <c r="AB311" i="7"/>
  <c r="AA311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AL309" i="7"/>
  <c r="AK309" i="7"/>
  <c r="AJ309" i="7"/>
  <c r="AI309" i="7"/>
  <c r="AH309" i="7"/>
  <c r="AG309" i="7"/>
  <c r="AF309" i="7"/>
  <c r="AE309" i="7"/>
  <c r="AD309" i="7"/>
  <c r="AC309" i="7"/>
  <c r="AB309" i="7"/>
  <c r="AA309" i="7"/>
  <c r="Y309" i="7"/>
  <c r="AL308" i="7"/>
  <c r="AK308" i="7"/>
  <c r="AJ308" i="7"/>
  <c r="AI308" i="7"/>
  <c r="AH308" i="7"/>
  <c r="AG308" i="7"/>
  <c r="AF308" i="7"/>
  <c r="AE308" i="7"/>
  <c r="AD308" i="7"/>
  <c r="AC308" i="7"/>
  <c r="AB308" i="7"/>
  <c r="AA308" i="7"/>
  <c r="AL307" i="7"/>
  <c r="AK307" i="7"/>
  <c r="AJ307" i="7"/>
  <c r="AI307" i="7"/>
  <c r="AH307" i="7"/>
  <c r="AG307" i="7"/>
  <c r="AF307" i="7"/>
  <c r="AE307" i="7"/>
  <c r="AD307" i="7"/>
  <c r="AC307" i="7"/>
  <c r="AB307" i="7"/>
  <c r="AA307" i="7"/>
  <c r="AL306" i="7"/>
  <c r="AK306" i="7"/>
  <c r="AJ306" i="7"/>
  <c r="AI306" i="7"/>
  <c r="AH306" i="7"/>
  <c r="AG306" i="7"/>
  <c r="AF306" i="7"/>
  <c r="AE306" i="7"/>
  <c r="AD306" i="7"/>
  <c r="AC306" i="7"/>
  <c r="AB306" i="7"/>
  <c r="AA306" i="7"/>
  <c r="A306" i="7"/>
  <c r="A324" i="7" s="1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A304" i="7"/>
  <c r="A322" i="7" s="1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A299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A298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A297" i="7"/>
  <c r="A315" i="7" s="1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A295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A287" i="7"/>
  <c r="A296" i="7" s="1"/>
  <c r="A314" i="7" s="1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A285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A284" i="7"/>
  <c r="A293" i="7" s="1"/>
  <c r="A311" i="7" s="1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A283" i="7"/>
  <c r="A301" i="7" s="1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A281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A280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A279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A278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A277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A276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A275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A274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AJ252" i="7"/>
  <c r="W252" i="7"/>
  <c r="I252" i="7"/>
  <c r="AL251" i="7"/>
  <c r="AK251" i="7"/>
  <c r="AK252" i="7" s="1"/>
  <c r="AJ251" i="7"/>
  <c r="AI251" i="7"/>
  <c r="AI252" i="7" s="1"/>
  <c r="AH251" i="7"/>
  <c r="AG251" i="7"/>
  <c r="AF251" i="7"/>
  <c r="AF252" i="7" s="1"/>
  <c r="AE251" i="7"/>
  <c r="AE252" i="7" s="1"/>
  <c r="AD251" i="7"/>
  <c r="AC251" i="7"/>
  <c r="AB251" i="7"/>
  <c r="AA251" i="7"/>
  <c r="AA252" i="7" s="1"/>
  <c r="Y251" i="7"/>
  <c r="X251" i="7"/>
  <c r="W251" i="7"/>
  <c r="V251" i="7"/>
  <c r="V252" i="7" s="1"/>
  <c r="U251" i="7"/>
  <c r="T251" i="7"/>
  <c r="S251" i="7"/>
  <c r="R251" i="7"/>
  <c r="R252" i="7" s="1"/>
  <c r="Q251" i="7"/>
  <c r="P251" i="7"/>
  <c r="O251" i="7"/>
  <c r="N251" i="7"/>
  <c r="N252" i="7" s="1"/>
  <c r="M251" i="7"/>
  <c r="L251" i="7"/>
  <c r="L252" i="7" s="1"/>
  <c r="K251" i="7"/>
  <c r="K252" i="7" s="1"/>
  <c r="J251" i="7"/>
  <c r="J252" i="7" s="1"/>
  <c r="I251" i="7"/>
  <c r="H251" i="7"/>
  <c r="G251" i="7"/>
  <c r="G252" i="7" s="1"/>
  <c r="F251" i="7"/>
  <c r="F252" i="7" s="1"/>
  <c r="E251" i="7"/>
  <c r="D251" i="7"/>
  <c r="C251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AI249" i="7"/>
  <c r="AD249" i="7"/>
  <c r="U249" i="7"/>
  <c r="Q249" i="7"/>
  <c r="J249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AL244" i="7"/>
  <c r="AL249" i="7" s="1"/>
  <c r="AK244" i="7"/>
  <c r="AJ244" i="7"/>
  <c r="AI244" i="7"/>
  <c r="AH244" i="7"/>
  <c r="AG244" i="7"/>
  <c r="AG249" i="7" s="1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T249" i="7" s="1"/>
  <c r="S244" i="7"/>
  <c r="R244" i="7"/>
  <c r="Q244" i="7"/>
  <c r="P244" i="7"/>
  <c r="O244" i="7"/>
  <c r="N244" i="7"/>
  <c r="M244" i="7"/>
  <c r="M249" i="7" s="1"/>
  <c r="L244" i="7"/>
  <c r="K244" i="7"/>
  <c r="J244" i="7"/>
  <c r="I244" i="7"/>
  <c r="H244" i="7"/>
  <c r="H249" i="7" s="1"/>
  <c r="G244" i="7"/>
  <c r="F244" i="7"/>
  <c r="E244" i="7"/>
  <c r="E249" i="7" s="1"/>
  <c r="D244" i="7"/>
  <c r="C244" i="7"/>
  <c r="AE243" i="7"/>
  <c r="P243" i="7"/>
  <c r="C243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AL235" i="7"/>
  <c r="AL243" i="7" s="1"/>
  <c r="AK235" i="7"/>
  <c r="AJ235" i="7"/>
  <c r="AI235" i="7"/>
  <c r="AI243" i="7" s="1"/>
  <c r="AH235" i="7"/>
  <c r="AG235" i="7"/>
  <c r="AF235" i="7"/>
  <c r="AF243" i="7" s="1"/>
  <c r="AE235" i="7"/>
  <c r="AD235" i="7"/>
  <c r="AD243" i="7" s="1"/>
  <c r="AC235" i="7"/>
  <c r="AB235" i="7"/>
  <c r="AA235" i="7"/>
  <c r="AA243" i="7" s="1"/>
  <c r="Y235" i="7"/>
  <c r="X235" i="7"/>
  <c r="W235" i="7"/>
  <c r="V235" i="7"/>
  <c r="V243" i="7" s="1"/>
  <c r="U235" i="7"/>
  <c r="U243" i="7" s="1"/>
  <c r="T235" i="7"/>
  <c r="S235" i="7"/>
  <c r="R235" i="7"/>
  <c r="R243" i="7" s="1"/>
  <c r="Q235" i="7"/>
  <c r="P235" i="7"/>
  <c r="O235" i="7"/>
  <c r="N235" i="7"/>
  <c r="N243" i="7" s="1"/>
  <c r="M235" i="7"/>
  <c r="M243" i="7" s="1"/>
  <c r="L235" i="7"/>
  <c r="K235" i="7"/>
  <c r="J235" i="7"/>
  <c r="J243" i="7" s="1"/>
  <c r="I235" i="7"/>
  <c r="H235" i="7"/>
  <c r="G235" i="7"/>
  <c r="G243" i="7" s="1"/>
  <c r="F235" i="7"/>
  <c r="F243" i="7" s="1"/>
  <c r="E235" i="7"/>
  <c r="E243" i="7" s="1"/>
  <c r="D235" i="7"/>
  <c r="C235" i="7"/>
  <c r="V234" i="7"/>
  <c r="U234" i="7"/>
  <c r="P234" i="7"/>
  <c r="N234" i="7"/>
  <c r="J234" i="7"/>
  <c r="E234" i="7"/>
  <c r="Y233" i="7"/>
  <c r="X233" i="7"/>
  <c r="X234" i="7" s="1"/>
  <c r="W233" i="7"/>
  <c r="V233" i="7"/>
  <c r="U233" i="7"/>
  <c r="T233" i="7"/>
  <c r="T234" i="7" s="1"/>
  <c r="S233" i="7"/>
  <c r="R233" i="7"/>
  <c r="Q233" i="7"/>
  <c r="Q234" i="7" s="1"/>
  <c r="P233" i="7"/>
  <c r="O233" i="7"/>
  <c r="N233" i="7"/>
  <c r="M233" i="7"/>
  <c r="L233" i="7"/>
  <c r="L234" i="7" s="1"/>
  <c r="K233" i="7"/>
  <c r="J233" i="7"/>
  <c r="I233" i="7"/>
  <c r="H233" i="7"/>
  <c r="H234" i="7" s="1"/>
  <c r="G233" i="7"/>
  <c r="F233" i="7"/>
  <c r="E233" i="7"/>
  <c r="D233" i="7"/>
  <c r="D234" i="7" s="1"/>
  <c r="C233" i="7"/>
  <c r="AI232" i="7"/>
  <c r="V232" i="7"/>
  <c r="R232" i="7"/>
  <c r="G232" i="7"/>
  <c r="F232" i="7"/>
  <c r="AL231" i="7"/>
  <c r="AL232" i="7" s="1"/>
  <c r="AK231" i="7"/>
  <c r="AJ231" i="7"/>
  <c r="AI231" i="7"/>
  <c r="AH231" i="7"/>
  <c r="AH232" i="7" s="1"/>
  <c r="AG231" i="7"/>
  <c r="AF231" i="7"/>
  <c r="AE231" i="7"/>
  <c r="AE232" i="7" s="1"/>
  <c r="AD231" i="7"/>
  <c r="AD232" i="7" s="1"/>
  <c r="AC231" i="7"/>
  <c r="AB231" i="7"/>
  <c r="AA231" i="7"/>
  <c r="Y231" i="7"/>
  <c r="Y232" i="7" s="1"/>
  <c r="X231" i="7"/>
  <c r="W231" i="7"/>
  <c r="V231" i="7"/>
  <c r="U231" i="7"/>
  <c r="U232" i="7" s="1"/>
  <c r="T231" i="7"/>
  <c r="S231" i="7"/>
  <c r="S232" i="7" s="1"/>
  <c r="R231" i="7"/>
  <c r="Q231" i="7"/>
  <c r="Q232" i="7" s="1"/>
  <c r="P231" i="7"/>
  <c r="O231" i="7"/>
  <c r="O232" i="7" s="1"/>
  <c r="N231" i="7"/>
  <c r="N232" i="7" s="1"/>
  <c r="M231" i="7"/>
  <c r="M232" i="7" s="1"/>
  <c r="L231" i="7"/>
  <c r="K231" i="7"/>
  <c r="J231" i="7"/>
  <c r="I231" i="7"/>
  <c r="I232" i="7" s="1"/>
  <c r="H231" i="7"/>
  <c r="G231" i="7"/>
  <c r="F231" i="7"/>
  <c r="E231" i="7"/>
  <c r="E232" i="7" s="1"/>
  <c r="D231" i="7"/>
  <c r="C231" i="7"/>
  <c r="Y230" i="7"/>
  <c r="U230" i="7"/>
  <c r="R230" i="7"/>
  <c r="N230" i="7"/>
  <c r="M230" i="7"/>
  <c r="J230" i="7"/>
  <c r="Y229" i="7"/>
  <c r="X229" i="7"/>
  <c r="W229" i="7"/>
  <c r="V229" i="7"/>
  <c r="V230" i="7" s="1"/>
  <c r="U229" i="7"/>
  <c r="T229" i="7"/>
  <c r="S229" i="7"/>
  <c r="S230" i="7" s="1"/>
  <c r="R229" i="7"/>
  <c r="Q229" i="7"/>
  <c r="P229" i="7"/>
  <c r="P230" i="7" s="1"/>
  <c r="O229" i="7"/>
  <c r="N229" i="7"/>
  <c r="M229" i="7"/>
  <c r="L229" i="7"/>
  <c r="K229" i="7"/>
  <c r="K230" i="7" s="1"/>
  <c r="J229" i="7"/>
  <c r="I229" i="7"/>
  <c r="H229" i="7"/>
  <c r="G229" i="7"/>
  <c r="F229" i="7"/>
  <c r="F230" i="7" s="1"/>
  <c r="E229" i="7"/>
  <c r="E230" i="7" s="1"/>
  <c r="D229" i="7"/>
  <c r="C229" i="7"/>
  <c r="C230" i="7" s="1"/>
  <c r="J228" i="7"/>
  <c r="Y227" i="7"/>
  <c r="X227" i="7"/>
  <c r="W227" i="7"/>
  <c r="V227" i="7"/>
  <c r="V228" i="7" s="1"/>
  <c r="U227" i="7"/>
  <c r="T227" i="7"/>
  <c r="T228" i="7" s="1"/>
  <c r="S227" i="7"/>
  <c r="S228" i="7" s="1"/>
  <c r="R227" i="7"/>
  <c r="R228" i="7" s="1"/>
  <c r="Q227" i="7"/>
  <c r="Q228" i="7" s="1"/>
  <c r="P227" i="7"/>
  <c r="O227" i="7"/>
  <c r="O228" i="7" s="1"/>
  <c r="N227" i="7"/>
  <c r="N228" i="7" s="1"/>
  <c r="M227" i="7"/>
  <c r="L227" i="7"/>
  <c r="K227" i="7"/>
  <c r="K228" i="7" s="1"/>
  <c r="J227" i="7"/>
  <c r="I227" i="7"/>
  <c r="H227" i="7"/>
  <c r="G227" i="7"/>
  <c r="G228" i="7" s="1"/>
  <c r="F227" i="7"/>
  <c r="F228" i="7" s="1"/>
  <c r="E227" i="7"/>
  <c r="D227" i="7"/>
  <c r="C227" i="7"/>
  <c r="C228" i="7" s="1"/>
  <c r="N226" i="7"/>
  <c r="J226" i="7"/>
  <c r="F226" i="7"/>
  <c r="E226" i="7"/>
  <c r="AK225" i="7"/>
  <c r="AK226" i="7" s="1"/>
  <c r="AJ225" i="7"/>
  <c r="AB225" i="7"/>
  <c r="AB226" i="7" s="1"/>
  <c r="Y225" i="7"/>
  <c r="X225" i="7"/>
  <c r="W225" i="7"/>
  <c r="V225" i="7"/>
  <c r="U225" i="7"/>
  <c r="U226" i="7" s="1"/>
  <c r="T225" i="7"/>
  <c r="S225" i="7"/>
  <c r="S226" i="7" s="1"/>
  <c r="R225" i="7"/>
  <c r="R226" i="7" s="1"/>
  <c r="Q225" i="7"/>
  <c r="Q226" i="7" s="1"/>
  <c r="P225" i="7"/>
  <c r="P226" i="7" s="1"/>
  <c r="O225" i="7"/>
  <c r="O226" i="7" s="1"/>
  <c r="N225" i="7"/>
  <c r="M225" i="7"/>
  <c r="M226" i="7" s="1"/>
  <c r="L225" i="7"/>
  <c r="L226" i="7" s="1"/>
  <c r="K225" i="7"/>
  <c r="K226" i="7" s="1"/>
  <c r="J225" i="7"/>
  <c r="I225" i="7"/>
  <c r="H225" i="7"/>
  <c r="H226" i="7" s="1"/>
  <c r="G225" i="7"/>
  <c r="G226" i="7" s="1"/>
  <c r="F225" i="7"/>
  <c r="E225" i="7"/>
  <c r="D225" i="7"/>
  <c r="C225" i="7"/>
  <c r="C226" i="7" s="1"/>
  <c r="N224" i="7"/>
  <c r="K224" i="7"/>
  <c r="J224" i="7"/>
  <c r="F224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AL211" i="7"/>
  <c r="AL224" i="7" s="1"/>
  <c r="AK211" i="7"/>
  <c r="AK224" i="7" s="1"/>
  <c r="AJ211" i="7"/>
  <c r="AI211" i="7"/>
  <c r="AI224" i="7" s="1"/>
  <c r="AH211" i="7"/>
  <c r="AH224" i="7" s="1"/>
  <c r="AG211" i="7"/>
  <c r="AG224" i="7" s="1"/>
  <c r="AF211" i="7"/>
  <c r="AF224" i="7" s="1"/>
  <c r="AE211" i="7"/>
  <c r="AE224" i="7" s="1"/>
  <c r="AD211" i="7"/>
  <c r="AD224" i="7" s="1"/>
  <c r="AC211" i="7"/>
  <c r="AC224" i="7" s="1"/>
  <c r="AB211" i="7"/>
  <c r="AB224" i="7" s="1"/>
  <c r="AA211" i="7"/>
  <c r="AA224" i="7" s="1"/>
  <c r="Y211" i="7"/>
  <c r="Y224" i="7" s="1"/>
  <c r="X211" i="7"/>
  <c r="X224" i="7" s="1"/>
  <c r="W211" i="7"/>
  <c r="V211" i="7"/>
  <c r="V224" i="7" s="1"/>
  <c r="U211" i="7"/>
  <c r="U224" i="7" s="1"/>
  <c r="T211" i="7"/>
  <c r="S211" i="7"/>
  <c r="R211" i="7"/>
  <c r="R224" i="7" s="1"/>
  <c r="Q211" i="7"/>
  <c r="Q224" i="7" s="1"/>
  <c r="P211" i="7"/>
  <c r="P224" i="7" s="1"/>
  <c r="O211" i="7"/>
  <c r="N211" i="7"/>
  <c r="M211" i="7"/>
  <c r="M224" i="7" s="1"/>
  <c r="L211" i="7"/>
  <c r="L224" i="7" s="1"/>
  <c r="K211" i="7"/>
  <c r="J211" i="7"/>
  <c r="I211" i="7"/>
  <c r="I224" i="7" s="1"/>
  <c r="H211" i="7"/>
  <c r="H224" i="7" s="1"/>
  <c r="G211" i="7"/>
  <c r="F211" i="7"/>
  <c r="E211" i="7"/>
  <c r="E224" i="7" s="1"/>
  <c r="D211" i="7"/>
  <c r="D224" i="7" s="1"/>
  <c r="C211" i="7"/>
  <c r="C224" i="7" s="1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AL207" i="7"/>
  <c r="AL252" i="7" s="1"/>
  <c r="AK207" i="7"/>
  <c r="AK249" i="7" s="1"/>
  <c r="AJ207" i="7"/>
  <c r="AJ232" i="7" s="1"/>
  <c r="AI207" i="7"/>
  <c r="AH207" i="7"/>
  <c r="AH249" i="7" s="1"/>
  <c r="AG207" i="7"/>
  <c r="AG232" i="7" s="1"/>
  <c r="AF207" i="7"/>
  <c r="AF232" i="7" s="1"/>
  <c r="AE207" i="7"/>
  <c r="AE249" i="7" s="1"/>
  <c r="AD207" i="7"/>
  <c r="AD252" i="7" s="1"/>
  <c r="AC207" i="7"/>
  <c r="AC252" i="7" s="1"/>
  <c r="AB207" i="7"/>
  <c r="AB252" i="7" s="1"/>
  <c r="AA207" i="7"/>
  <c r="AA249" i="7" s="1"/>
  <c r="Y207" i="7"/>
  <c r="Y249" i="7" s="1"/>
  <c r="X207" i="7"/>
  <c r="X243" i="7" s="1"/>
  <c r="W207" i="7"/>
  <c r="W243" i="7" s="1"/>
  <c r="V207" i="7"/>
  <c r="V249" i="7" s="1"/>
  <c r="U207" i="7"/>
  <c r="U252" i="7" s="1"/>
  <c r="T207" i="7"/>
  <c r="T230" i="7" s="1"/>
  <c r="S207" i="7"/>
  <c r="S243" i="7" s="1"/>
  <c r="R207" i="7"/>
  <c r="R234" i="7" s="1"/>
  <c r="Q207" i="7"/>
  <c r="Q252" i="7" s="1"/>
  <c r="P207" i="7"/>
  <c r="P228" i="7" s="1"/>
  <c r="O207" i="7"/>
  <c r="O224" i="7" s="1"/>
  <c r="N207" i="7"/>
  <c r="N249" i="7" s="1"/>
  <c r="M207" i="7"/>
  <c r="M252" i="7" s="1"/>
  <c r="L207" i="7"/>
  <c r="L249" i="7" s="1"/>
  <c r="K207" i="7"/>
  <c r="K243" i="7" s="1"/>
  <c r="J207" i="7"/>
  <c r="J232" i="7" s="1"/>
  <c r="I207" i="7"/>
  <c r="I230" i="7" s="1"/>
  <c r="H207" i="7"/>
  <c r="H243" i="7" s="1"/>
  <c r="G207" i="7"/>
  <c r="G224" i="7" s="1"/>
  <c r="F207" i="7"/>
  <c r="F249" i="7" s="1"/>
  <c r="E207" i="7"/>
  <c r="E252" i="7" s="1"/>
  <c r="D207" i="7"/>
  <c r="D252" i="7" s="1"/>
  <c r="C207" i="7"/>
  <c r="C232" i="7" s="1"/>
  <c r="W206" i="7"/>
  <c r="S206" i="7"/>
  <c r="O206" i="7"/>
  <c r="K206" i="7"/>
  <c r="G206" i="7"/>
  <c r="C206" i="7"/>
  <c r="AL205" i="7"/>
  <c r="AL206" i="7" s="1"/>
  <c r="AK205" i="7"/>
  <c r="AJ205" i="7"/>
  <c r="AI205" i="7"/>
  <c r="AH205" i="7"/>
  <c r="AG205" i="7"/>
  <c r="AG206" i="7" s="1"/>
  <c r="AF205" i="7"/>
  <c r="AE205" i="7"/>
  <c r="AE206" i="7" s="1"/>
  <c r="AD205" i="7"/>
  <c r="AD206" i="7" s="1"/>
  <c r="AC205" i="7"/>
  <c r="AB205" i="7"/>
  <c r="AA205" i="7"/>
  <c r="Y205" i="7"/>
  <c r="Y206" i="7" s="1"/>
  <c r="X205" i="7"/>
  <c r="X206" i="7" s="1"/>
  <c r="W205" i="7"/>
  <c r="V205" i="7"/>
  <c r="V206" i="7" s="1"/>
  <c r="U205" i="7"/>
  <c r="U206" i="7" s="1"/>
  <c r="T205" i="7"/>
  <c r="S205" i="7"/>
  <c r="R205" i="7"/>
  <c r="R206" i="7" s="1"/>
  <c r="Q205" i="7"/>
  <c r="Q206" i="7" s="1"/>
  <c r="P205" i="7"/>
  <c r="P206" i="7" s="1"/>
  <c r="O205" i="7"/>
  <c r="N205" i="7"/>
  <c r="N206" i="7" s="1"/>
  <c r="M205" i="7"/>
  <c r="M206" i="7" s="1"/>
  <c r="L205" i="7"/>
  <c r="K205" i="7"/>
  <c r="J205" i="7"/>
  <c r="J206" i="7" s="1"/>
  <c r="I205" i="7"/>
  <c r="I206" i="7" s="1"/>
  <c r="H205" i="7"/>
  <c r="H206" i="7" s="1"/>
  <c r="G205" i="7"/>
  <c r="F205" i="7"/>
  <c r="F206" i="7" s="1"/>
  <c r="E205" i="7"/>
  <c r="E206" i="7" s="1"/>
  <c r="D205" i="7"/>
  <c r="C205" i="7"/>
  <c r="AL204" i="7"/>
  <c r="AG204" i="7"/>
  <c r="AD204" i="7"/>
  <c r="Y204" i="7"/>
  <c r="X204" i="7"/>
  <c r="W204" i="7"/>
  <c r="V204" i="7"/>
  <c r="U204" i="7"/>
  <c r="T204" i="7"/>
  <c r="T206" i="7" s="1"/>
  <c r="S204" i="7"/>
  <c r="R204" i="7"/>
  <c r="Q204" i="7"/>
  <c r="P204" i="7"/>
  <c r="O204" i="7"/>
  <c r="N204" i="7"/>
  <c r="M204" i="7"/>
  <c r="L204" i="7"/>
  <c r="L206" i="7" s="1"/>
  <c r="K204" i="7"/>
  <c r="J204" i="7"/>
  <c r="I204" i="7"/>
  <c r="H204" i="7"/>
  <c r="G204" i="7"/>
  <c r="F204" i="7"/>
  <c r="E204" i="7"/>
  <c r="D204" i="7"/>
  <c r="D206" i="7" s="1"/>
  <c r="C204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Y197" i="7"/>
  <c r="X197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V193" i="7"/>
  <c r="V196" i="7" s="1"/>
  <c r="U193" i="7"/>
  <c r="U196" i="7" s="1"/>
  <c r="U197" i="7" s="1"/>
  <c r="R193" i="7"/>
  <c r="R196" i="7" s="1"/>
  <c r="R197" i="7" s="1"/>
  <c r="M193" i="7"/>
  <c r="M196" i="7" s="1"/>
  <c r="M197" i="7" s="1"/>
  <c r="J193" i="7"/>
  <c r="J196" i="7" s="1"/>
  <c r="J197" i="7" s="1"/>
  <c r="F193" i="7"/>
  <c r="F196" i="7" s="1"/>
  <c r="F197" i="7" s="1"/>
  <c r="E193" i="7"/>
  <c r="E196" i="7" s="1"/>
  <c r="E197" i="7" s="1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W192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V184" i="7"/>
  <c r="U184" i="7"/>
  <c r="T184" i="7"/>
  <c r="T193" i="7" s="1"/>
  <c r="T196" i="7" s="1"/>
  <c r="T197" i="7" s="1"/>
  <c r="S184" i="7"/>
  <c r="S193" i="7" s="1"/>
  <c r="S196" i="7" s="1"/>
  <c r="S197" i="7" s="1"/>
  <c r="R184" i="7"/>
  <c r="Q184" i="7"/>
  <c r="Q193" i="7" s="1"/>
  <c r="Q196" i="7" s="1"/>
  <c r="Q197" i="7" s="1"/>
  <c r="P184" i="7"/>
  <c r="P193" i="7" s="1"/>
  <c r="P196" i="7" s="1"/>
  <c r="P197" i="7" s="1"/>
  <c r="O184" i="7"/>
  <c r="O193" i="7" s="1"/>
  <c r="O196" i="7" s="1"/>
  <c r="O197" i="7" s="1"/>
  <c r="N184" i="7"/>
  <c r="M184" i="7"/>
  <c r="L184" i="7"/>
  <c r="L193" i="7" s="1"/>
  <c r="L196" i="7" s="1"/>
  <c r="L197" i="7" s="1"/>
  <c r="K184" i="7"/>
  <c r="K193" i="7" s="1"/>
  <c r="K196" i="7" s="1"/>
  <c r="K197" i="7" s="1"/>
  <c r="J184" i="7"/>
  <c r="I184" i="7"/>
  <c r="I193" i="7" s="1"/>
  <c r="I196" i="7" s="1"/>
  <c r="I197" i="7" s="1"/>
  <c r="H184" i="7"/>
  <c r="H193" i="7" s="1"/>
  <c r="H196" i="7" s="1"/>
  <c r="H197" i="7" s="1"/>
  <c r="G184" i="7"/>
  <c r="G193" i="7" s="1"/>
  <c r="G196" i="7" s="1"/>
  <c r="G197" i="7" s="1"/>
  <c r="F184" i="7"/>
  <c r="E184" i="7"/>
  <c r="D184" i="7"/>
  <c r="D193" i="7" s="1"/>
  <c r="D196" i="7" s="1"/>
  <c r="D197" i="7" s="1"/>
  <c r="C184" i="7"/>
  <c r="C193" i="7" s="1"/>
  <c r="C196" i="7" s="1"/>
  <c r="C197" i="7" s="1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W181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N168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N165" i="7"/>
  <c r="N175" i="7" s="1"/>
  <c r="N193" i="7" s="1"/>
  <c r="N196" i="7" s="1"/>
  <c r="N197" i="7" s="1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W162" i="7"/>
  <c r="W165" i="7" s="1"/>
  <c r="W175" i="7" s="1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W157" i="7"/>
  <c r="N157" i="7"/>
  <c r="N154" i="7"/>
  <c r="AM152" i="7"/>
  <c r="AM151" i="7"/>
  <c r="AJ150" i="7"/>
  <c r="AJ229" i="7" s="1"/>
  <c r="AJ230" i="7" s="1"/>
  <c r="AB150" i="7"/>
  <c r="AL149" i="7"/>
  <c r="AK149" i="7"/>
  <c r="AJ149" i="7"/>
  <c r="AI149" i="7"/>
  <c r="AH149" i="7"/>
  <c r="AG149" i="7"/>
  <c r="AF149" i="7"/>
  <c r="AE149" i="7"/>
  <c r="AD149" i="7"/>
  <c r="AC149" i="7"/>
  <c r="AB149" i="7"/>
  <c r="AM149" i="7" s="1"/>
  <c r="AA149" i="7"/>
  <c r="AM148" i="7"/>
  <c r="AM147" i="7"/>
  <c r="AK146" i="7"/>
  <c r="AK150" i="7" s="1"/>
  <c r="AJ146" i="7"/>
  <c r="AF146" i="7"/>
  <c r="AF150" i="7" s="1"/>
  <c r="AC146" i="7"/>
  <c r="AC150" i="7" s="1"/>
  <c r="AB146" i="7"/>
  <c r="AM145" i="7"/>
  <c r="AM144" i="7"/>
  <c r="AM143" i="7"/>
  <c r="AM142" i="7"/>
  <c r="AM141" i="7"/>
  <c r="AM140" i="7"/>
  <c r="AL139" i="7"/>
  <c r="AL225" i="7" s="1"/>
  <c r="AL226" i="7" s="1"/>
  <c r="AK139" i="7"/>
  <c r="AJ139" i="7"/>
  <c r="AI139" i="7"/>
  <c r="AI146" i="7" s="1"/>
  <c r="AI150" i="7" s="1"/>
  <c r="AH139" i="7"/>
  <c r="AH225" i="7" s="1"/>
  <c r="AH226" i="7" s="1"/>
  <c r="AG139" i="7"/>
  <c r="AG225" i="7" s="1"/>
  <c r="AG226" i="7" s="1"/>
  <c r="AF139" i="7"/>
  <c r="AF225" i="7" s="1"/>
  <c r="AF226" i="7" s="1"/>
  <c r="AE139" i="7"/>
  <c r="AE225" i="7" s="1"/>
  <c r="AE226" i="7" s="1"/>
  <c r="AD139" i="7"/>
  <c r="AD225" i="7" s="1"/>
  <c r="AD226" i="7" s="1"/>
  <c r="AC139" i="7"/>
  <c r="AC225" i="7" s="1"/>
  <c r="AC226" i="7" s="1"/>
  <c r="AB139" i="7"/>
  <c r="AA139" i="7"/>
  <c r="AM139" i="7" s="1"/>
  <c r="AM138" i="7"/>
  <c r="AM137" i="7"/>
  <c r="AM136" i="7"/>
  <c r="AL135" i="7"/>
  <c r="AK135" i="7"/>
  <c r="AK204" i="7" s="1"/>
  <c r="AK206" i="7" s="1"/>
  <c r="AJ135" i="7"/>
  <c r="AJ204" i="7" s="1"/>
  <c r="AJ206" i="7" s="1"/>
  <c r="AI135" i="7"/>
  <c r="AI204" i="7" s="1"/>
  <c r="AH135" i="7"/>
  <c r="AH204" i="7" s="1"/>
  <c r="AG135" i="7"/>
  <c r="AF135" i="7"/>
  <c r="AF204" i="7" s="1"/>
  <c r="AF206" i="7" s="1"/>
  <c r="AE135" i="7"/>
  <c r="AE204" i="7" s="1"/>
  <c r="AD135" i="7"/>
  <c r="AC135" i="7"/>
  <c r="AC204" i="7" s="1"/>
  <c r="AC206" i="7" s="1"/>
  <c r="AB135" i="7"/>
  <c r="AB204" i="7" s="1"/>
  <c r="AB206" i="7" s="1"/>
  <c r="AA135" i="7"/>
  <c r="AA204" i="7" s="1"/>
  <c r="AM134" i="7"/>
  <c r="Y132" i="7"/>
  <c r="X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W128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W117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W85" i="7"/>
  <c r="W84" i="7" s="1"/>
  <c r="W131" i="7" s="1"/>
  <c r="AL84" i="7"/>
  <c r="AK84" i="7"/>
  <c r="AJ84" i="7"/>
  <c r="AI84" i="7"/>
  <c r="AH84" i="7"/>
  <c r="AG84" i="7"/>
  <c r="AF84" i="7"/>
  <c r="AE84" i="7"/>
  <c r="AD84" i="7"/>
  <c r="AC84" i="7"/>
  <c r="AB84" i="7"/>
  <c r="AA84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W53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W47" i="7"/>
  <c r="W46" i="7" s="1"/>
  <c r="W38" i="7" s="1"/>
  <c r="AL46" i="7"/>
  <c r="AK46" i="7"/>
  <c r="AJ46" i="7"/>
  <c r="AI46" i="7"/>
  <c r="AH46" i="7"/>
  <c r="AG46" i="7"/>
  <c r="AF46" i="7"/>
  <c r="AE46" i="7"/>
  <c r="AD46" i="7"/>
  <c r="AC46" i="7"/>
  <c r="AB46" i="7"/>
  <c r="AA46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W17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W10" i="7"/>
  <c r="AL9" i="7"/>
  <c r="AK9" i="7"/>
  <c r="AJ9" i="7"/>
  <c r="AI9" i="7"/>
  <c r="AH9" i="7"/>
  <c r="AG9" i="7"/>
  <c r="AF9" i="7"/>
  <c r="AE9" i="7"/>
  <c r="AD9" i="7"/>
  <c r="AC9" i="7"/>
  <c r="AB9" i="7"/>
  <c r="AA9" i="7"/>
  <c r="AL8" i="7"/>
  <c r="AK8" i="7"/>
  <c r="AJ8" i="7"/>
  <c r="AI8" i="7"/>
  <c r="AH8" i="7"/>
  <c r="AG8" i="7"/>
  <c r="AF8" i="7"/>
  <c r="AE8" i="7"/>
  <c r="AD8" i="7"/>
  <c r="AC8" i="7"/>
  <c r="AB8" i="7"/>
  <c r="AA8" i="7"/>
  <c r="AL7" i="7"/>
  <c r="AK7" i="7"/>
  <c r="AJ7" i="7"/>
  <c r="AI7" i="7"/>
  <c r="AH7" i="7"/>
  <c r="AG7" i="7"/>
  <c r="AF7" i="7"/>
  <c r="AE7" i="7"/>
  <c r="AD7" i="7"/>
  <c r="AC7" i="7"/>
  <c r="AB7" i="7"/>
  <c r="AA7" i="7"/>
  <c r="W7" i="7"/>
  <c r="W6" i="7" s="1"/>
  <c r="AL6" i="7"/>
  <c r="AK6" i="7"/>
  <c r="AJ6" i="7"/>
  <c r="AI6" i="7"/>
  <c r="AH6" i="7"/>
  <c r="AG6" i="7"/>
  <c r="AF6" i="7"/>
  <c r="AE6" i="7"/>
  <c r="AD6" i="7"/>
  <c r="AC6" i="7"/>
  <c r="AB6" i="7"/>
  <c r="AA6" i="7"/>
  <c r="P3" i="7"/>
  <c r="Q3" i="7" s="1"/>
  <c r="R3" i="7" s="1"/>
  <c r="S3" i="7" s="1"/>
  <c r="T3" i="7" s="1"/>
  <c r="U3" i="7" s="1"/>
  <c r="V3" i="7" s="1"/>
  <c r="W3" i="7" s="1"/>
  <c r="X3" i="7" s="1"/>
  <c r="Y3" i="7" s="1"/>
  <c r="D3" i="7"/>
  <c r="E3" i="7" s="1"/>
  <c r="F3" i="7" s="1"/>
  <c r="G3" i="7" s="1"/>
  <c r="H3" i="7" s="1"/>
  <c r="I3" i="7" s="1"/>
  <c r="J3" i="7" s="1"/>
  <c r="K3" i="7" s="1"/>
  <c r="L3" i="7" s="1"/>
  <c r="M3" i="7" s="1"/>
  <c r="N3" i="7" s="1"/>
  <c r="AL325" i="6"/>
  <c r="AK325" i="6"/>
  <c r="AJ325" i="6"/>
  <c r="AI325" i="6"/>
  <c r="AH325" i="6"/>
  <c r="AG325" i="6"/>
  <c r="AF325" i="6"/>
  <c r="AE325" i="6"/>
  <c r="AD325" i="6"/>
  <c r="AC325" i="6"/>
  <c r="AB325" i="6"/>
  <c r="AA325" i="6"/>
  <c r="AL324" i="6"/>
  <c r="AK324" i="6"/>
  <c r="AJ324" i="6"/>
  <c r="AI324" i="6"/>
  <c r="AH324" i="6"/>
  <c r="AG324" i="6"/>
  <c r="AF324" i="6"/>
  <c r="AE324" i="6"/>
  <c r="AD324" i="6"/>
  <c r="AC324" i="6"/>
  <c r="AB324" i="6"/>
  <c r="AA324" i="6"/>
  <c r="A324" i="6"/>
  <c r="AL323" i="6"/>
  <c r="AK323" i="6"/>
  <c r="AJ323" i="6"/>
  <c r="AI323" i="6"/>
  <c r="AH323" i="6"/>
  <c r="AG323" i="6"/>
  <c r="AF323" i="6"/>
  <c r="AE323" i="6"/>
  <c r="AD323" i="6"/>
  <c r="AC323" i="6"/>
  <c r="AB323" i="6"/>
  <c r="AA323" i="6"/>
  <c r="AL322" i="6"/>
  <c r="AK322" i="6"/>
  <c r="AJ322" i="6"/>
  <c r="AI322" i="6"/>
  <c r="AH322" i="6"/>
  <c r="AG322" i="6"/>
  <c r="AF322" i="6"/>
  <c r="AE322" i="6"/>
  <c r="AD322" i="6"/>
  <c r="AC322" i="6"/>
  <c r="AB322" i="6"/>
  <c r="AA322" i="6"/>
  <c r="AL321" i="6"/>
  <c r="AK321" i="6"/>
  <c r="AJ321" i="6"/>
  <c r="AI321" i="6"/>
  <c r="AH321" i="6"/>
  <c r="AG321" i="6"/>
  <c r="AF321" i="6"/>
  <c r="AE321" i="6"/>
  <c r="AD321" i="6"/>
  <c r="AC321" i="6"/>
  <c r="AB321" i="6"/>
  <c r="AA321" i="6"/>
  <c r="AL320" i="6"/>
  <c r="AK320" i="6"/>
  <c r="AJ320" i="6"/>
  <c r="AI320" i="6"/>
  <c r="AH320" i="6"/>
  <c r="AG320" i="6"/>
  <c r="AF320" i="6"/>
  <c r="AE320" i="6"/>
  <c r="AD320" i="6"/>
  <c r="AC320" i="6"/>
  <c r="AB320" i="6"/>
  <c r="AA320" i="6"/>
  <c r="AL319" i="6"/>
  <c r="AK319" i="6"/>
  <c r="AJ319" i="6"/>
  <c r="AI319" i="6"/>
  <c r="AH319" i="6"/>
  <c r="AG319" i="6"/>
  <c r="AF319" i="6"/>
  <c r="AE319" i="6"/>
  <c r="AD319" i="6"/>
  <c r="AC319" i="6"/>
  <c r="AB319" i="6"/>
  <c r="AA319" i="6"/>
  <c r="AL318" i="6"/>
  <c r="AK318" i="6"/>
  <c r="AJ318" i="6"/>
  <c r="AI318" i="6"/>
  <c r="AH318" i="6"/>
  <c r="AG318" i="6"/>
  <c r="AF318" i="6"/>
  <c r="AE318" i="6"/>
  <c r="AD318" i="6"/>
  <c r="AC318" i="6"/>
  <c r="AB318" i="6"/>
  <c r="AA318" i="6"/>
  <c r="AL317" i="6"/>
  <c r="AK317" i="6"/>
  <c r="AJ317" i="6"/>
  <c r="AI317" i="6"/>
  <c r="AH317" i="6"/>
  <c r="AG317" i="6"/>
  <c r="AF317" i="6"/>
  <c r="AE317" i="6"/>
  <c r="AD317" i="6"/>
  <c r="AC317" i="6"/>
  <c r="AB317" i="6"/>
  <c r="AA317" i="6"/>
  <c r="AL316" i="6"/>
  <c r="AK316" i="6"/>
  <c r="AJ316" i="6"/>
  <c r="AI316" i="6"/>
  <c r="AH316" i="6"/>
  <c r="AG316" i="6"/>
  <c r="AF316" i="6"/>
  <c r="AE316" i="6"/>
  <c r="AD316" i="6"/>
  <c r="AC316" i="6"/>
  <c r="AB316" i="6"/>
  <c r="AA316" i="6"/>
  <c r="AL315" i="6"/>
  <c r="AK315" i="6"/>
  <c r="AJ315" i="6"/>
  <c r="AI315" i="6"/>
  <c r="AH315" i="6"/>
  <c r="AG315" i="6"/>
  <c r="AF315" i="6"/>
  <c r="AE315" i="6"/>
  <c r="AD315" i="6"/>
  <c r="AC315" i="6"/>
  <c r="AB315" i="6"/>
  <c r="AA315" i="6"/>
  <c r="AL314" i="6"/>
  <c r="AK314" i="6"/>
  <c r="AJ314" i="6"/>
  <c r="AI314" i="6"/>
  <c r="AH314" i="6"/>
  <c r="AG314" i="6"/>
  <c r="AF314" i="6"/>
  <c r="AE314" i="6"/>
  <c r="AD314" i="6"/>
  <c r="AC314" i="6"/>
  <c r="AB314" i="6"/>
  <c r="AA314" i="6"/>
  <c r="AL313" i="6"/>
  <c r="AK313" i="6"/>
  <c r="AJ313" i="6"/>
  <c r="AI313" i="6"/>
  <c r="AH313" i="6"/>
  <c r="AG313" i="6"/>
  <c r="AF313" i="6"/>
  <c r="AE313" i="6"/>
  <c r="AD313" i="6"/>
  <c r="AC313" i="6"/>
  <c r="AB313" i="6"/>
  <c r="AA313" i="6"/>
  <c r="A313" i="6"/>
  <c r="AL312" i="6"/>
  <c r="AK312" i="6"/>
  <c r="AJ312" i="6"/>
  <c r="AI312" i="6"/>
  <c r="AH312" i="6"/>
  <c r="AG312" i="6"/>
  <c r="AF312" i="6"/>
  <c r="AE312" i="6"/>
  <c r="AD312" i="6"/>
  <c r="AC312" i="6"/>
  <c r="AB312" i="6"/>
  <c r="AA312" i="6"/>
  <c r="AL311" i="6"/>
  <c r="AK311" i="6"/>
  <c r="AJ311" i="6"/>
  <c r="AI311" i="6"/>
  <c r="AH311" i="6"/>
  <c r="AG311" i="6"/>
  <c r="AF311" i="6"/>
  <c r="AE311" i="6"/>
  <c r="AD311" i="6"/>
  <c r="AC311" i="6"/>
  <c r="AB311" i="6"/>
  <c r="AA311" i="6"/>
  <c r="AL310" i="6"/>
  <c r="AK310" i="6"/>
  <c r="AJ310" i="6"/>
  <c r="AI310" i="6"/>
  <c r="AH310" i="6"/>
  <c r="AG310" i="6"/>
  <c r="AF310" i="6"/>
  <c r="AE310" i="6"/>
  <c r="AD310" i="6"/>
  <c r="AC310" i="6"/>
  <c r="AB310" i="6"/>
  <c r="AA310" i="6"/>
  <c r="AL309" i="6"/>
  <c r="AK309" i="6"/>
  <c r="AJ309" i="6"/>
  <c r="AI309" i="6"/>
  <c r="AH309" i="6"/>
  <c r="AG309" i="6"/>
  <c r="AF309" i="6"/>
  <c r="AE309" i="6"/>
  <c r="AD309" i="6"/>
  <c r="AC309" i="6"/>
  <c r="AB309" i="6"/>
  <c r="AA309" i="6"/>
  <c r="Y309" i="6"/>
  <c r="AL308" i="6"/>
  <c r="AK308" i="6"/>
  <c r="AJ308" i="6"/>
  <c r="AI308" i="6"/>
  <c r="AH308" i="6"/>
  <c r="AG308" i="6"/>
  <c r="AF308" i="6"/>
  <c r="AE308" i="6"/>
  <c r="AD308" i="6"/>
  <c r="AC308" i="6"/>
  <c r="AB308" i="6"/>
  <c r="AA308" i="6"/>
  <c r="AL307" i="6"/>
  <c r="AK307" i="6"/>
  <c r="AJ307" i="6"/>
  <c r="AI307" i="6"/>
  <c r="AH307" i="6"/>
  <c r="AG307" i="6"/>
  <c r="AF307" i="6"/>
  <c r="AE307" i="6"/>
  <c r="AD307" i="6"/>
  <c r="AC307" i="6"/>
  <c r="AB307" i="6"/>
  <c r="AA307" i="6"/>
  <c r="AL306" i="6"/>
  <c r="AK306" i="6"/>
  <c r="AJ306" i="6"/>
  <c r="AI306" i="6"/>
  <c r="AH306" i="6"/>
  <c r="AG306" i="6"/>
  <c r="AF306" i="6"/>
  <c r="AE306" i="6"/>
  <c r="AD306" i="6"/>
  <c r="AC306" i="6"/>
  <c r="AB306" i="6"/>
  <c r="AA306" i="6"/>
  <c r="A306" i="6"/>
  <c r="AL305" i="6"/>
  <c r="AK305" i="6"/>
  <c r="AJ305" i="6"/>
  <c r="AI305" i="6"/>
  <c r="AH305" i="6"/>
  <c r="AG305" i="6"/>
  <c r="AF305" i="6"/>
  <c r="AE305" i="6"/>
  <c r="AD305" i="6"/>
  <c r="AC305" i="6"/>
  <c r="AB305" i="6"/>
  <c r="AA305" i="6"/>
  <c r="AL304" i="6"/>
  <c r="AK304" i="6"/>
  <c r="AJ304" i="6"/>
  <c r="AI304" i="6"/>
  <c r="AH304" i="6"/>
  <c r="AG304" i="6"/>
  <c r="AF304" i="6"/>
  <c r="AE304" i="6"/>
  <c r="AD304" i="6"/>
  <c r="AC304" i="6"/>
  <c r="AB304" i="6"/>
  <c r="AA304" i="6"/>
  <c r="A304" i="6"/>
  <c r="A322" i="6" s="1"/>
  <c r="AL303" i="6"/>
  <c r="AK303" i="6"/>
  <c r="AJ303" i="6"/>
  <c r="AI303" i="6"/>
  <c r="AH303" i="6"/>
  <c r="AG303" i="6"/>
  <c r="AF303" i="6"/>
  <c r="AE303" i="6"/>
  <c r="AD303" i="6"/>
  <c r="AC303" i="6"/>
  <c r="AB303" i="6"/>
  <c r="AA303" i="6"/>
  <c r="AL302" i="6"/>
  <c r="AK302" i="6"/>
  <c r="AJ302" i="6"/>
  <c r="AI302" i="6"/>
  <c r="AH302" i="6"/>
  <c r="AG302" i="6"/>
  <c r="AF302" i="6"/>
  <c r="AE302" i="6"/>
  <c r="AD302" i="6"/>
  <c r="AC302" i="6"/>
  <c r="AB302" i="6"/>
  <c r="AA302" i="6"/>
  <c r="AL301" i="6"/>
  <c r="AK301" i="6"/>
  <c r="AJ301" i="6"/>
  <c r="AI301" i="6"/>
  <c r="AH301" i="6"/>
  <c r="AG301" i="6"/>
  <c r="AF301" i="6"/>
  <c r="AE301" i="6"/>
  <c r="AD301" i="6"/>
  <c r="AC301" i="6"/>
  <c r="AB301" i="6"/>
  <c r="AA301" i="6"/>
  <c r="AL300" i="6"/>
  <c r="AK300" i="6"/>
  <c r="AJ300" i="6"/>
  <c r="AI300" i="6"/>
  <c r="AH300" i="6"/>
  <c r="AG300" i="6"/>
  <c r="AF300" i="6"/>
  <c r="AE300" i="6"/>
  <c r="AD300" i="6"/>
  <c r="AC300" i="6"/>
  <c r="AB300" i="6"/>
  <c r="AA300" i="6"/>
  <c r="AL299" i="6"/>
  <c r="AK299" i="6"/>
  <c r="AJ299" i="6"/>
  <c r="AI299" i="6"/>
  <c r="AH299" i="6"/>
  <c r="AG299" i="6"/>
  <c r="AF299" i="6"/>
  <c r="AE299" i="6"/>
  <c r="AD299" i="6"/>
  <c r="AC299" i="6"/>
  <c r="AB299" i="6"/>
  <c r="AA299" i="6"/>
  <c r="A299" i="6"/>
  <c r="AL298" i="6"/>
  <c r="AK298" i="6"/>
  <c r="AJ298" i="6"/>
  <c r="AI298" i="6"/>
  <c r="AH298" i="6"/>
  <c r="AG298" i="6"/>
  <c r="AF298" i="6"/>
  <c r="AE298" i="6"/>
  <c r="AD298" i="6"/>
  <c r="AC298" i="6"/>
  <c r="AB298" i="6"/>
  <c r="AA298" i="6"/>
  <c r="A298" i="6"/>
  <c r="AL297" i="6"/>
  <c r="AK297" i="6"/>
  <c r="AJ297" i="6"/>
  <c r="AI297" i="6"/>
  <c r="AH297" i="6"/>
  <c r="AG297" i="6"/>
  <c r="AF297" i="6"/>
  <c r="AE297" i="6"/>
  <c r="AD297" i="6"/>
  <c r="AC297" i="6"/>
  <c r="AB297" i="6"/>
  <c r="AA297" i="6"/>
  <c r="A297" i="6"/>
  <c r="A315" i="6" s="1"/>
  <c r="AL296" i="6"/>
  <c r="AK296" i="6"/>
  <c r="AJ296" i="6"/>
  <c r="AI296" i="6"/>
  <c r="AH296" i="6"/>
  <c r="AG296" i="6"/>
  <c r="AF296" i="6"/>
  <c r="AE296" i="6"/>
  <c r="AD296" i="6"/>
  <c r="AC296" i="6"/>
  <c r="AB296" i="6"/>
  <c r="AA296" i="6"/>
  <c r="AL295" i="6"/>
  <c r="AK295" i="6"/>
  <c r="AJ295" i="6"/>
  <c r="AI295" i="6"/>
  <c r="AH295" i="6"/>
  <c r="AG295" i="6"/>
  <c r="AF295" i="6"/>
  <c r="AE295" i="6"/>
  <c r="AD295" i="6"/>
  <c r="AC295" i="6"/>
  <c r="AB295" i="6"/>
  <c r="AA295" i="6"/>
  <c r="A295" i="6"/>
  <c r="AL294" i="6"/>
  <c r="AK294" i="6"/>
  <c r="AJ294" i="6"/>
  <c r="AI294" i="6"/>
  <c r="AH294" i="6"/>
  <c r="AG294" i="6"/>
  <c r="AF294" i="6"/>
  <c r="AE294" i="6"/>
  <c r="AD294" i="6"/>
  <c r="AC294" i="6"/>
  <c r="AB294" i="6"/>
  <c r="AA294" i="6"/>
  <c r="A294" i="6"/>
  <c r="A312" i="6" s="1"/>
  <c r="AL293" i="6"/>
  <c r="AK293" i="6"/>
  <c r="AJ293" i="6"/>
  <c r="AI293" i="6"/>
  <c r="AH293" i="6"/>
  <c r="AG293" i="6"/>
  <c r="AF293" i="6"/>
  <c r="AE293" i="6"/>
  <c r="AD293" i="6"/>
  <c r="AC293" i="6"/>
  <c r="AB293" i="6"/>
  <c r="AA293" i="6"/>
  <c r="AL292" i="6"/>
  <c r="AK292" i="6"/>
  <c r="AJ292" i="6"/>
  <c r="AI292" i="6"/>
  <c r="AH292" i="6"/>
  <c r="AG292" i="6"/>
  <c r="AF292" i="6"/>
  <c r="AE292" i="6"/>
  <c r="AD292" i="6"/>
  <c r="AC292" i="6"/>
  <c r="AB292" i="6"/>
  <c r="AA292" i="6"/>
  <c r="AL291" i="6"/>
  <c r="AK291" i="6"/>
  <c r="AJ291" i="6"/>
  <c r="AI291" i="6"/>
  <c r="AH291" i="6"/>
  <c r="AG291" i="6"/>
  <c r="AF291" i="6"/>
  <c r="AE291" i="6"/>
  <c r="AD291" i="6"/>
  <c r="AC291" i="6"/>
  <c r="AB291" i="6"/>
  <c r="AA291" i="6"/>
  <c r="AL290" i="6"/>
  <c r="AK290" i="6"/>
  <c r="AJ290" i="6"/>
  <c r="AI290" i="6"/>
  <c r="AH290" i="6"/>
  <c r="AG290" i="6"/>
  <c r="AF290" i="6"/>
  <c r="AE290" i="6"/>
  <c r="AD290" i="6"/>
  <c r="AC290" i="6"/>
  <c r="AB290" i="6"/>
  <c r="AA290" i="6"/>
  <c r="AL289" i="6"/>
  <c r="AK289" i="6"/>
  <c r="AJ289" i="6"/>
  <c r="AI289" i="6"/>
  <c r="AH289" i="6"/>
  <c r="AG289" i="6"/>
  <c r="AF289" i="6"/>
  <c r="AE289" i="6"/>
  <c r="AD289" i="6"/>
  <c r="AC289" i="6"/>
  <c r="AB289" i="6"/>
  <c r="AA289" i="6"/>
  <c r="AL288" i="6"/>
  <c r="AK288" i="6"/>
  <c r="AJ288" i="6"/>
  <c r="AI288" i="6"/>
  <c r="AH288" i="6"/>
  <c r="AG288" i="6"/>
  <c r="AF288" i="6"/>
  <c r="AE288" i="6"/>
  <c r="AD288" i="6"/>
  <c r="AC288" i="6"/>
  <c r="AB288" i="6"/>
  <c r="AA288" i="6"/>
  <c r="AL287" i="6"/>
  <c r="AK287" i="6"/>
  <c r="AJ287" i="6"/>
  <c r="AI287" i="6"/>
  <c r="AH287" i="6"/>
  <c r="AG287" i="6"/>
  <c r="AF287" i="6"/>
  <c r="AE287" i="6"/>
  <c r="AD287" i="6"/>
  <c r="AC287" i="6"/>
  <c r="AB287" i="6"/>
  <c r="AA287" i="6"/>
  <c r="A287" i="6"/>
  <c r="A305" i="6" s="1"/>
  <c r="A323" i="6" s="1"/>
  <c r="AL286" i="6"/>
  <c r="AK286" i="6"/>
  <c r="AJ286" i="6"/>
  <c r="AI286" i="6"/>
  <c r="AH286" i="6"/>
  <c r="AG286" i="6"/>
  <c r="AF286" i="6"/>
  <c r="AE286" i="6"/>
  <c r="AD286" i="6"/>
  <c r="AC286" i="6"/>
  <c r="AB286" i="6"/>
  <c r="AA286" i="6"/>
  <c r="AL285" i="6"/>
  <c r="AK285" i="6"/>
  <c r="AJ285" i="6"/>
  <c r="AI285" i="6"/>
  <c r="AH285" i="6"/>
  <c r="AG285" i="6"/>
  <c r="AF285" i="6"/>
  <c r="AE285" i="6"/>
  <c r="AD285" i="6"/>
  <c r="AC285" i="6"/>
  <c r="AB285" i="6"/>
  <c r="AA285" i="6"/>
  <c r="A285" i="6"/>
  <c r="A303" i="6" s="1"/>
  <c r="A321" i="6" s="1"/>
  <c r="AL284" i="6"/>
  <c r="AK284" i="6"/>
  <c r="AJ284" i="6"/>
  <c r="AI284" i="6"/>
  <c r="AH284" i="6"/>
  <c r="AG284" i="6"/>
  <c r="AF284" i="6"/>
  <c r="AE284" i="6"/>
  <c r="AD284" i="6"/>
  <c r="AC284" i="6"/>
  <c r="AB284" i="6"/>
  <c r="AA284" i="6"/>
  <c r="A284" i="6"/>
  <c r="A302" i="6" s="1"/>
  <c r="A320" i="6" s="1"/>
  <c r="AL283" i="6"/>
  <c r="AK283" i="6"/>
  <c r="AJ283" i="6"/>
  <c r="AI283" i="6"/>
  <c r="AH283" i="6"/>
  <c r="AG283" i="6"/>
  <c r="AF283" i="6"/>
  <c r="AE283" i="6"/>
  <c r="AD283" i="6"/>
  <c r="AC283" i="6"/>
  <c r="AB283" i="6"/>
  <c r="AA283" i="6"/>
  <c r="A283" i="6"/>
  <c r="A292" i="6" s="1"/>
  <c r="A310" i="6" s="1"/>
  <c r="AL282" i="6"/>
  <c r="AK282" i="6"/>
  <c r="AJ282" i="6"/>
  <c r="AI282" i="6"/>
  <c r="AH282" i="6"/>
  <c r="AG282" i="6"/>
  <c r="AF282" i="6"/>
  <c r="AE282" i="6"/>
  <c r="AD282" i="6"/>
  <c r="AC282" i="6"/>
  <c r="AB282" i="6"/>
  <c r="AA282" i="6"/>
  <c r="AL281" i="6"/>
  <c r="AK281" i="6"/>
  <c r="AJ281" i="6"/>
  <c r="AI281" i="6"/>
  <c r="AH281" i="6"/>
  <c r="AG281" i="6"/>
  <c r="AF281" i="6"/>
  <c r="AE281" i="6"/>
  <c r="AD281" i="6"/>
  <c r="AC281" i="6"/>
  <c r="AB281" i="6"/>
  <c r="AA281" i="6"/>
  <c r="A281" i="6"/>
  <c r="AL280" i="6"/>
  <c r="AK280" i="6"/>
  <c r="AJ280" i="6"/>
  <c r="AI280" i="6"/>
  <c r="AH280" i="6"/>
  <c r="AG280" i="6"/>
  <c r="AF280" i="6"/>
  <c r="AE280" i="6"/>
  <c r="AD280" i="6"/>
  <c r="AC280" i="6"/>
  <c r="AB280" i="6"/>
  <c r="AA280" i="6"/>
  <c r="A280" i="6"/>
  <c r="AL279" i="6"/>
  <c r="AK279" i="6"/>
  <c r="AJ279" i="6"/>
  <c r="AI279" i="6"/>
  <c r="AH279" i="6"/>
  <c r="AG279" i="6"/>
  <c r="AF279" i="6"/>
  <c r="AE279" i="6"/>
  <c r="AD279" i="6"/>
  <c r="AC279" i="6"/>
  <c r="AB279" i="6"/>
  <c r="AA279" i="6"/>
  <c r="A279" i="6"/>
  <c r="AL278" i="6"/>
  <c r="AK278" i="6"/>
  <c r="AJ278" i="6"/>
  <c r="AI278" i="6"/>
  <c r="AH278" i="6"/>
  <c r="AG278" i="6"/>
  <c r="AF278" i="6"/>
  <c r="AE278" i="6"/>
  <c r="AD278" i="6"/>
  <c r="AC278" i="6"/>
  <c r="AB278" i="6"/>
  <c r="AA278" i="6"/>
  <c r="A278" i="6"/>
  <c r="AL277" i="6"/>
  <c r="AK277" i="6"/>
  <c r="AJ277" i="6"/>
  <c r="AI277" i="6"/>
  <c r="AH277" i="6"/>
  <c r="AG277" i="6"/>
  <c r="AF277" i="6"/>
  <c r="AE277" i="6"/>
  <c r="AD277" i="6"/>
  <c r="AC277" i="6"/>
  <c r="AB277" i="6"/>
  <c r="AA277" i="6"/>
  <c r="A277" i="6"/>
  <c r="AL276" i="6"/>
  <c r="AK276" i="6"/>
  <c r="AJ276" i="6"/>
  <c r="AI276" i="6"/>
  <c r="AH276" i="6"/>
  <c r="AG276" i="6"/>
  <c r="AF276" i="6"/>
  <c r="AE276" i="6"/>
  <c r="AD276" i="6"/>
  <c r="AC276" i="6"/>
  <c r="AB276" i="6"/>
  <c r="AA276" i="6"/>
  <c r="A276" i="6"/>
  <c r="AL275" i="6"/>
  <c r="AK275" i="6"/>
  <c r="AJ275" i="6"/>
  <c r="AI275" i="6"/>
  <c r="AH275" i="6"/>
  <c r="AG275" i="6"/>
  <c r="AF275" i="6"/>
  <c r="AE275" i="6"/>
  <c r="AD275" i="6"/>
  <c r="AC275" i="6"/>
  <c r="AB275" i="6"/>
  <c r="AA275" i="6"/>
  <c r="A275" i="6"/>
  <c r="AL274" i="6"/>
  <c r="AK274" i="6"/>
  <c r="AJ274" i="6"/>
  <c r="AI274" i="6"/>
  <c r="AH274" i="6"/>
  <c r="AG274" i="6"/>
  <c r="AF274" i="6"/>
  <c r="AE274" i="6"/>
  <c r="AD274" i="6"/>
  <c r="AC274" i="6"/>
  <c r="AB274" i="6"/>
  <c r="AA274" i="6"/>
  <c r="A274" i="6"/>
  <c r="AL273" i="6"/>
  <c r="AK273" i="6"/>
  <c r="AJ273" i="6"/>
  <c r="AI273" i="6"/>
  <c r="AH273" i="6"/>
  <c r="AG273" i="6"/>
  <c r="AF273" i="6"/>
  <c r="AE273" i="6"/>
  <c r="AD273" i="6"/>
  <c r="AC273" i="6"/>
  <c r="AB273" i="6"/>
  <c r="AA273" i="6"/>
  <c r="AL272" i="6"/>
  <c r="AK272" i="6"/>
  <c r="AJ272" i="6"/>
  <c r="AI272" i="6"/>
  <c r="AH272" i="6"/>
  <c r="AG272" i="6"/>
  <c r="AF272" i="6"/>
  <c r="AE272" i="6"/>
  <c r="AD272" i="6"/>
  <c r="AC272" i="6"/>
  <c r="AB272" i="6"/>
  <c r="AA272" i="6"/>
  <c r="AL271" i="6"/>
  <c r="AK271" i="6"/>
  <c r="AJ271" i="6"/>
  <c r="AI271" i="6"/>
  <c r="AH271" i="6"/>
  <c r="AG271" i="6"/>
  <c r="AF271" i="6"/>
  <c r="AE271" i="6"/>
  <c r="AD271" i="6"/>
  <c r="AC271" i="6"/>
  <c r="AB271" i="6"/>
  <c r="AA271" i="6"/>
  <c r="AL270" i="6"/>
  <c r="AK270" i="6"/>
  <c r="AJ270" i="6"/>
  <c r="AI270" i="6"/>
  <c r="AH270" i="6"/>
  <c r="AG270" i="6"/>
  <c r="AF270" i="6"/>
  <c r="AE270" i="6"/>
  <c r="AD270" i="6"/>
  <c r="AC270" i="6"/>
  <c r="AB270" i="6"/>
  <c r="AA270" i="6"/>
  <c r="AL269" i="6"/>
  <c r="AK269" i="6"/>
  <c r="AJ269" i="6"/>
  <c r="AI269" i="6"/>
  <c r="AH269" i="6"/>
  <c r="AG269" i="6"/>
  <c r="AF269" i="6"/>
  <c r="AE269" i="6"/>
  <c r="AD269" i="6"/>
  <c r="AC269" i="6"/>
  <c r="AB269" i="6"/>
  <c r="AA269" i="6"/>
  <c r="AL268" i="6"/>
  <c r="AK268" i="6"/>
  <c r="AJ268" i="6"/>
  <c r="AI268" i="6"/>
  <c r="AH268" i="6"/>
  <c r="AG268" i="6"/>
  <c r="AF268" i="6"/>
  <c r="AE268" i="6"/>
  <c r="AD268" i="6"/>
  <c r="AC268" i="6"/>
  <c r="AB268" i="6"/>
  <c r="AA268" i="6"/>
  <c r="AL267" i="6"/>
  <c r="AK267" i="6"/>
  <c r="AJ267" i="6"/>
  <c r="AI267" i="6"/>
  <c r="AH267" i="6"/>
  <c r="AG267" i="6"/>
  <c r="AF267" i="6"/>
  <c r="AE267" i="6"/>
  <c r="AD267" i="6"/>
  <c r="AC267" i="6"/>
  <c r="AB267" i="6"/>
  <c r="AA267" i="6"/>
  <c r="AL266" i="6"/>
  <c r="AK266" i="6"/>
  <c r="AJ266" i="6"/>
  <c r="AI266" i="6"/>
  <c r="AH266" i="6"/>
  <c r="AG266" i="6"/>
  <c r="AF266" i="6"/>
  <c r="AE266" i="6"/>
  <c r="AD266" i="6"/>
  <c r="AC266" i="6"/>
  <c r="AB266" i="6"/>
  <c r="AA266" i="6"/>
  <c r="AL265" i="6"/>
  <c r="AK265" i="6"/>
  <c r="AJ265" i="6"/>
  <c r="AI265" i="6"/>
  <c r="AH265" i="6"/>
  <c r="AG265" i="6"/>
  <c r="AF265" i="6"/>
  <c r="AE265" i="6"/>
  <c r="AD265" i="6"/>
  <c r="AC265" i="6"/>
  <c r="AB265" i="6"/>
  <c r="AA265" i="6"/>
  <c r="AL264" i="6"/>
  <c r="AK264" i="6"/>
  <c r="AJ264" i="6"/>
  <c r="AI264" i="6"/>
  <c r="AH264" i="6"/>
  <c r="AG264" i="6"/>
  <c r="AF264" i="6"/>
  <c r="AE264" i="6"/>
  <c r="AD264" i="6"/>
  <c r="AC264" i="6"/>
  <c r="AB264" i="6"/>
  <c r="AA264" i="6"/>
  <c r="AL263" i="6"/>
  <c r="AK263" i="6"/>
  <c r="AJ263" i="6"/>
  <c r="AI263" i="6"/>
  <c r="AH263" i="6"/>
  <c r="AG263" i="6"/>
  <c r="AF263" i="6"/>
  <c r="AE263" i="6"/>
  <c r="AD263" i="6"/>
  <c r="AC263" i="6"/>
  <c r="AB263" i="6"/>
  <c r="AA263" i="6"/>
  <c r="AL262" i="6"/>
  <c r="AK262" i="6"/>
  <c r="AJ262" i="6"/>
  <c r="AI262" i="6"/>
  <c r="AH262" i="6"/>
  <c r="AG262" i="6"/>
  <c r="AF262" i="6"/>
  <c r="AE262" i="6"/>
  <c r="AD262" i="6"/>
  <c r="AC262" i="6"/>
  <c r="AB262" i="6"/>
  <c r="AA262" i="6"/>
  <c r="AL261" i="6"/>
  <c r="AK261" i="6"/>
  <c r="AJ261" i="6"/>
  <c r="AI261" i="6"/>
  <c r="AH261" i="6"/>
  <c r="AG261" i="6"/>
  <c r="AF261" i="6"/>
  <c r="AE261" i="6"/>
  <c r="AD261" i="6"/>
  <c r="AC261" i="6"/>
  <c r="AB261" i="6"/>
  <c r="AA261" i="6"/>
  <c r="AL260" i="6"/>
  <c r="AK260" i="6"/>
  <c r="AJ260" i="6"/>
  <c r="AI260" i="6"/>
  <c r="AH260" i="6"/>
  <c r="AG260" i="6"/>
  <c r="AF260" i="6"/>
  <c r="AE260" i="6"/>
  <c r="AD260" i="6"/>
  <c r="AC260" i="6"/>
  <c r="AB260" i="6"/>
  <c r="AA260" i="6"/>
  <c r="AL259" i="6"/>
  <c r="AK259" i="6"/>
  <c r="AJ259" i="6"/>
  <c r="AI259" i="6"/>
  <c r="AH259" i="6"/>
  <c r="AG259" i="6"/>
  <c r="AF259" i="6"/>
  <c r="AE259" i="6"/>
  <c r="AD259" i="6"/>
  <c r="AC259" i="6"/>
  <c r="AB259" i="6"/>
  <c r="AA259" i="6"/>
  <c r="AL258" i="6"/>
  <c r="AK258" i="6"/>
  <c r="AJ258" i="6"/>
  <c r="AI258" i="6"/>
  <c r="AH258" i="6"/>
  <c r="AG258" i="6"/>
  <c r="AF258" i="6"/>
  <c r="AE258" i="6"/>
  <c r="AD258" i="6"/>
  <c r="AC258" i="6"/>
  <c r="AB258" i="6"/>
  <c r="AA258" i="6"/>
  <c r="AL257" i="6"/>
  <c r="AK257" i="6"/>
  <c r="AJ257" i="6"/>
  <c r="AI257" i="6"/>
  <c r="AH257" i="6"/>
  <c r="AG257" i="6"/>
  <c r="AF257" i="6"/>
  <c r="AE257" i="6"/>
  <c r="AD257" i="6"/>
  <c r="AC257" i="6"/>
  <c r="AB257" i="6"/>
  <c r="AA257" i="6"/>
  <c r="AL256" i="6"/>
  <c r="AK256" i="6"/>
  <c r="AJ256" i="6"/>
  <c r="AI256" i="6"/>
  <c r="AH256" i="6"/>
  <c r="AG256" i="6"/>
  <c r="AF256" i="6"/>
  <c r="AE256" i="6"/>
  <c r="AD256" i="6"/>
  <c r="AC256" i="6"/>
  <c r="AB256" i="6"/>
  <c r="AA256" i="6"/>
  <c r="AL255" i="6"/>
  <c r="AK255" i="6"/>
  <c r="AJ255" i="6"/>
  <c r="AI255" i="6"/>
  <c r="AH255" i="6"/>
  <c r="AG255" i="6"/>
  <c r="AF255" i="6"/>
  <c r="AE255" i="6"/>
  <c r="AD255" i="6"/>
  <c r="AC255" i="6"/>
  <c r="AB255" i="6"/>
  <c r="AA255" i="6"/>
  <c r="AL252" i="6"/>
  <c r="AK252" i="6"/>
  <c r="Y252" i="6"/>
  <c r="E252" i="6"/>
  <c r="D252" i="6"/>
  <c r="AL251" i="6"/>
  <c r="AK251" i="6"/>
  <c r="AJ251" i="6"/>
  <c r="AJ252" i="6" s="1"/>
  <c r="AI251" i="6"/>
  <c r="AH251" i="6"/>
  <c r="AG251" i="6"/>
  <c r="AG252" i="6" s="1"/>
  <c r="AF251" i="6"/>
  <c r="AF252" i="6" s="1"/>
  <c r="AE251" i="6"/>
  <c r="AD251" i="6"/>
  <c r="AC251" i="6"/>
  <c r="AC252" i="6" s="1"/>
  <c r="AB251" i="6"/>
  <c r="AA251" i="6"/>
  <c r="Y251" i="6"/>
  <c r="X251" i="6"/>
  <c r="X252" i="6" s="1"/>
  <c r="W251" i="6"/>
  <c r="W252" i="6" s="1"/>
  <c r="V251" i="6"/>
  <c r="U251" i="6"/>
  <c r="T251" i="6"/>
  <c r="T252" i="6" s="1"/>
  <c r="S251" i="6"/>
  <c r="S252" i="6" s="1"/>
  <c r="R251" i="6"/>
  <c r="Q251" i="6"/>
  <c r="P251" i="6"/>
  <c r="P252" i="6" s="1"/>
  <c r="O251" i="6"/>
  <c r="O252" i="6" s="1"/>
  <c r="N251" i="6"/>
  <c r="M251" i="6"/>
  <c r="L251" i="6"/>
  <c r="L252" i="6" s="1"/>
  <c r="K251" i="6"/>
  <c r="J251" i="6"/>
  <c r="I251" i="6"/>
  <c r="H251" i="6"/>
  <c r="H252" i="6" s="1"/>
  <c r="G251" i="6"/>
  <c r="G252" i="6" s="1"/>
  <c r="F251" i="6"/>
  <c r="E251" i="6"/>
  <c r="D251" i="6"/>
  <c r="C251" i="6"/>
  <c r="C252" i="6" s="1"/>
  <c r="AL250" i="6"/>
  <c r="AK250" i="6"/>
  <c r="AJ250" i="6"/>
  <c r="AI250" i="6"/>
  <c r="AH250" i="6"/>
  <c r="AG250" i="6"/>
  <c r="AF250" i="6"/>
  <c r="AE250" i="6"/>
  <c r="AD250" i="6"/>
  <c r="AC250" i="6"/>
  <c r="AB250" i="6"/>
  <c r="AA250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H250" i="6"/>
  <c r="G250" i="6"/>
  <c r="F250" i="6"/>
  <c r="E250" i="6"/>
  <c r="D250" i="6"/>
  <c r="C250" i="6"/>
  <c r="AC249" i="6"/>
  <c r="L249" i="6"/>
  <c r="F249" i="6"/>
  <c r="AL248" i="6"/>
  <c r="AK248" i="6"/>
  <c r="AJ248" i="6"/>
  <c r="AI248" i="6"/>
  <c r="AH248" i="6"/>
  <c r="AG248" i="6"/>
  <c r="AF248" i="6"/>
  <c r="AE248" i="6"/>
  <c r="AD248" i="6"/>
  <c r="AC248" i="6"/>
  <c r="AB248" i="6"/>
  <c r="AA248" i="6"/>
  <c r="X248" i="6"/>
  <c r="W248" i="6"/>
  <c r="U248" i="6"/>
  <c r="S248" i="6"/>
  <c r="AL247" i="6"/>
  <c r="AK247" i="6"/>
  <c r="AJ247" i="6"/>
  <c r="AI247" i="6"/>
  <c r="AH247" i="6"/>
  <c r="AG247" i="6"/>
  <c r="AF247" i="6"/>
  <c r="AE247" i="6"/>
  <c r="AD247" i="6"/>
  <c r="AC247" i="6"/>
  <c r="AB247" i="6"/>
  <c r="AA247" i="6"/>
  <c r="AL246" i="6"/>
  <c r="AK246" i="6"/>
  <c r="AJ246" i="6"/>
  <c r="AI246" i="6"/>
  <c r="AH246" i="6"/>
  <c r="AG246" i="6"/>
  <c r="AF246" i="6"/>
  <c r="AE246" i="6"/>
  <c r="AD246" i="6"/>
  <c r="AC246" i="6"/>
  <c r="AB246" i="6"/>
  <c r="AA246" i="6"/>
  <c r="AL245" i="6"/>
  <c r="AK245" i="6"/>
  <c r="AJ245" i="6"/>
  <c r="AI245" i="6"/>
  <c r="AH245" i="6"/>
  <c r="AG245" i="6"/>
  <c r="AF245" i="6"/>
  <c r="AE245" i="6"/>
  <c r="AD245" i="6"/>
  <c r="AC245" i="6"/>
  <c r="AB245" i="6"/>
  <c r="AA245" i="6"/>
  <c r="AL244" i="6"/>
  <c r="AK244" i="6"/>
  <c r="AK249" i="6" s="1"/>
  <c r="AJ244" i="6"/>
  <c r="AI244" i="6"/>
  <c r="AI249" i="6" s="1"/>
  <c r="AH244" i="6"/>
  <c r="AH249" i="6" s="1"/>
  <c r="AG244" i="6"/>
  <c r="AG249" i="6" s="1"/>
  <c r="AF244" i="6"/>
  <c r="AE244" i="6"/>
  <c r="AD244" i="6"/>
  <c r="AC244" i="6"/>
  <c r="AB244" i="6"/>
  <c r="AA244" i="6"/>
  <c r="Y244" i="6"/>
  <c r="Y249" i="6" s="1"/>
  <c r="X244" i="6"/>
  <c r="X249" i="6" s="1"/>
  <c r="W244" i="6"/>
  <c r="V244" i="6"/>
  <c r="V248" i="6" s="1"/>
  <c r="U244" i="6"/>
  <c r="T244" i="6"/>
  <c r="T248" i="6" s="1"/>
  <c r="S244" i="6"/>
  <c r="R244" i="6"/>
  <c r="R248" i="6" s="1"/>
  <c r="Q244" i="6"/>
  <c r="Q248" i="6" s="1"/>
  <c r="P244" i="6"/>
  <c r="P248" i="6" s="1"/>
  <c r="O244" i="6"/>
  <c r="O248" i="6" s="1"/>
  <c r="N244" i="6"/>
  <c r="M244" i="6"/>
  <c r="L244" i="6"/>
  <c r="K244" i="6"/>
  <c r="J244" i="6"/>
  <c r="I244" i="6"/>
  <c r="I249" i="6" s="1"/>
  <c r="H244" i="6"/>
  <c r="H249" i="6" s="1"/>
  <c r="G244" i="6"/>
  <c r="F244" i="6"/>
  <c r="E244" i="6"/>
  <c r="D244" i="6"/>
  <c r="D249" i="6" s="1"/>
  <c r="C244" i="6"/>
  <c r="AK243" i="6"/>
  <c r="R243" i="6"/>
  <c r="AL242" i="6"/>
  <c r="AK242" i="6"/>
  <c r="AJ242" i="6"/>
  <c r="AI242" i="6"/>
  <c r="AH242" i="6"/>
  <c r="AG242" i="6"/>
  <c r="AF242" i="6"/>
  <c r="AE242" i="6"/>
  <c r="AD242" i="6"/>
  <c r="AC242" i="6"/>
  <c r="AB242" i="6"/>
  <c r="AA242" i="6"/>
  <c r="AL241" i="6"/>
  <c r="AK241" i="6"/>
  <c r="AJ241" i="6"/>
  <c r="AI241" i="6"/>
  <c r="AH241" i="6"/>
  <c r="AG241" i="6"/>
  <c r="AF241" i="6"/>
  <c r="AE241" i="6"/>
  <c r="AD241" i="6"/>
  <c r="AC241" i="6"/>
  <c r="AB241" i="6"/>
  <c r="AA241" i="6"/>
  <c r="AL240" i="6"/>
  <c r="AK240" i="6"/>
  <c r="AJ240" i="6"/>
  <c r="AI240" i="6"/>
  <c r="AH240" i="6"/>
  <c r="AG240" i="6"/>
  <c r="AF240" i="6"/>
  <c r="AE240" i="6"/>
  <c r="AD240" i="6"/>
  <c r="AC240" i="6"/>
  <c r="AB240" i="6"/>
  <c r="AA240" i="6"/>
  <c r="AL239" i="6"/>
  <c r="AK239" i="6"/>
  <c r="AJ239" i="6"/>
  <c r="AI239" i="6"/>
  <c r="AH239" i="6"/>
  <c r="AG239" i="6"/>
  <c r="AF239" i="6"/>
  <c r="AE239" i="6"/>
  <c r="AD239" i="6"/>
  <c r="AC239" i="6"/>
  <c r="AB239" i="6"/>
  <c r="AA239" i="6"/>
  <c r="AL238" i="6"/>
  <c r="AK238" i="6"/>
  <c r="AJ238" i="6"/>
  <c r="AI238" i="6"/>
  <c r="AH238" i="6"/>
  <c r="AG238" i="6"/>
  <c r="AF238" i="6"/>
  <c r="AE238" i="6"/>
  <c r="AD238" i="6"/>
  <c r="AC238" i="6"/>
  <c r="AB238" i="6"/>
  <c r="AA238" i="6"/>
  <c r="AL237" i="6"/>
  <c r="AK237" i="6"/>
  <c r="AJ237" i="6"/>
  <c r="AI237" i="6"/>
  <c r="AH237" i="6"/>
  <c r="AG237" i="6"/>
  <c r="AF237" i="6"/>
  <c r="AE237" i="6"/>
  <c r="AD237" i="6"/>
  <c r="AC237" i="6"/>
  <c r="AB237" i="6"/>
  <c r="AA237" i="6"/>
  <c r="AL236" i="6"/>
  <c r="AK236" i="6"/>
  <c r="AJ236" i="6"/>
  <c r="AI236" i="6"/>
  <c r="AH236" i="6"/>
  <c r="AG236" i="6"/>
  <c r="AF236" i="6"/>
  <c r="AE236" i="6"/>
  <c r="AD236" i="6"/>
  <c r="AC236" i="6"/>
  <c r="AB236" i="6"/>
  <c r="AA236" i="6"/>
  <c r="AL235" i="6"/>
  <c r="AL243" i="6" s="1"/>
  <c r="AK235" i="6"/>
  <c r="AJ235" i="6"/>
  <c r="AI235" i="6"/>
  <c r="AH235" i="6"/>
  <c r="AH243" i="6" s="1"/>
  <c r="AG235" i="6"/>
  <c r="AG243" i="6" s="1"/>
  <c r="AF235" i="6"/>
  <c r="AE235" i="6"/>
  <c r="AD235" i="6"/>
  <c r="AD243" i="6" s="1"/>
  <c r="AC235" i="6"/>
  <c r="AC243" i="6" s="1"/>
  <c r="AB235" i="6"/>
  <c r="AA235" i="6"/>
  <c r="Y235" i="6"/>
  <c r="Y243" i="6" s="1"/>
  <c r="X235" i="6"/>
  <c r="X243" i="6" s="1"/>
  <c r="W235" i="6"/>
  <c r="W243" i="6" s="1"/>
  <c r="V235" i="6"/>
  <c r="U235" i="6"/>
  <c r="U243" i="6" s="1"/>
  <c r="T235" i="6"/>
  <c r="T243" i="6" s="1"/>
  <c r="S235" i="6"/>
  <c r="S243" i="6" s="1"/>
  <c r="R235" i="6"/>
  <c r="Q235" i="6"/>
  <c r="Q243" i="6" s="1"/>
  <c r="P235" i="6"/>
  <c r="P243" i="6" s="1"/>
  <c r="O235" i="6"/>
  <c r="O243" i="6" s="1"/>
  <c r="N235" i="6"/>
  <c r="N243" i="6" s="1"/>
  <c r="M235" i="6"/>
  <c r="M243" i="6" s="1"/>
  <c r="L235" i="6"/>
  <c r="L243" i="6" s="1"/>
  <c r="K235" i="6"/>
  <c r="K243" i="6" s="1"/>
  <c r="J235" i="6"/>
  <c r="J243" i="6" s="1"/>
  <c r="I235" i="6"/>
  <c r="I243" i="6" s="1"/>
  <c r="H235" i="6"/>
  <c r="H243" i="6" s="1"/>
  <c r="G235" i="6"/>
  <c r="G243" i="6" s="1"/>
  <c r="F235" i="6"/>
  <c r="F243" i="6" s="1"/>
  <c r="E235" i="6"/>
  <c r="E243" i="6" s="1"/>
  <c r="D235" i="6"/>
  <c r="D243" i="6" s="1"/>
  <c r="C235" i="6"/>
  <c r="C243" i="6" s="1"/>
  <c r="X234" i="6"/>
  <c r="T234" i="6"/>
  <c r="P234" i="6"/>
  <c r="L234" i="6"/>
  <c r="H234" i="6"/>
  <c r="D234" i="6"/>
  <c r="Y233" i="6"/>
  <c r="Y234" i="6" s="1"/>
  <c r="X233" i="6"/>
  <c r="W233" i="6"/>
  <c r="W234" i="6" s="1"/>
  <c r="V233" i="6"/>
  <c r="V234" i="6" s="1"/>
  <c r="U233" i="6"/>
  <c r="U234" i="6" s="1"/>
  <c r="T233" i="6"/>
  <c r="S233" i="6"/>
  <c r="R233" i="6"/>
  <c r="R234" i="6" s="1"/>
  <c r="Q233" i="6"/>
  <c r="Q234" i="6" s="1"/>
  <c r="P233" i="6"/>
  <c r="O233" i="6"/>
  <c r="O234" i="6" s="1"/>
  <c r="N233" i="6"/>
  <c r="N234" i="6" s="1"/>
  <c r="M233" i="6"/>
  <c r="M234" i="6" s="1"/>
  <c r="L233" i="6"/>
  <c r="K233" i="6"/>
  <c r="J233" i="6"/>
  <c r="J234" i="6" s="1"/>
  <c r="I233" i="6"/>
  <c r="I234" i="6" s="1"/>
  <c r="H233" i="6"/>
  <c r="G233" i="6"/>
  <c r="G234" i="6" s="1"/>
  <c r="F233" i="6"/>
  <c r="F234" i="6" s="1"/>
  <c r="E233" i="6"/>
  <c r="E234" i="6" s="1"/>
  <c r="D233" i="6"/>
  <c r="C233" i="6"/>
  <c r="AI232" i="6"/>
  <c r="AH232" i="6"/>
  <c r="AA232" i="6"/>
  <c r="Y232" i="6"/>
  <c r="R232" i="6"/>
  <c r="Q232" i="6"/>
  <c r="J232" i="6"/>
  <c r="I232" i="6"/>
  <c r="AL231" i="6"/>
  <c r="AL232" i="6" s="1"/>
  <c r="AK231" i="6"/>
  <c r="AK232" i="6" s="1"/>
  <c r="AJ231" i="6"/>
  <c r="AJ232" i="6" s="1"/>
  <c r="AI231" i="6"/>
  <c r="AH231" i="6"/>
  <c r="AG231" i="6"/>
  <c r="AG232" i="6" s="1"/>
  <c r="AF231" i="6"/>
  <c r="AF232" i="6" s="1"/>
  <c r="AE231" i="6"/>
  <c r="AD231" i="6"/>
  <c r="AD232" i="6" s="1"/>
  <c r="AC231" i="6"/>
  <c r="AC232" i="6" s="1"/>
  <c r="AB231" i="6"/>
  <c r="AB232" i="6" s="1"/>
  <c r="AA231" i="6"/>
  <c r="Y231" i="6"/>
  <c r="X231" i="6"/>
  <c r="X232" i="6" s="1"/>
  <c r="W231" i="6"/>
  <c r="W232" i="6" s="1"/>
  <c r="V231" i="6"/>
  <c r="U231" i="6"/>
  <c r="U232" i="6" s="1"/>
  <c r="T231" i="6"/>
  <c r="T232" i="6" s="1"/>
  <c r="S231" i="6"/>
  <c r="S232" i="6" s="1"/>
  <c r="R231" i="6"/>
  <c r="Q231" i="6"/>
  <c r="P231" i="6"/>
  <c r="P232" i="6" s="1"/>
  <c r="O231" i="6"/>
  <c r="O232" i="6" s="1"/>
  <c r="N231" i="6"/>
  <c r="M231" i="6"/>
  <c r="M232" i="6" s="1"/>
  <c r="L231" i="6"/>
  <c r="L232" i="6" s="1"/>
  <c r="K231" i="6"/>
  <c r="K232" i="6" s="1"/>
  <c r="J231" i="6"/>
  <c r="I231" i="6"/>
  <c r="H231" i="6"/>
  <c r="H232" i="6" s="1"/>
  <c r="G231" i="6"/>
  <c r="G232" i="6" s="1"/>
  <c r="F231" i="6"/>
  <c r="E231" i="6"/>
  <c r="E232" i="6" s="1"/>
  <c r="D231" i="6"/>
  <c r="D232" i="6" s="1"/>
  <c r="C231" i="6"/>
  <c r="C232" i="6" s="1"/>
  <c r="X230" i="6"/>
  <c r="T230" i="6"/>
  <c r="P230" i="6"/>
  <c r="L230" i="6"/>
  <c r="H230" i="6"/>
  <c r="D230" i="6"/>
  <c r="Y229" i="6"/>
  <c r="Y230" i="6" s="1"/>
  <c r="X229" i="6"/>
  <c r="W229" i="6"/>
  <c r="V229" i="6"/>
  <c r="V230" i="6" s="1"/>
  <c r="U229" i="6"/>
  <c r="U230" i="6" s="1"/>
  <c r="T229" i="6"/>
  <c r="S229" i="6"/>
  <c r="S230" i="6" s="1"/>
  <c r="R229" i="6"/>
  <c r="R230" i="6" s="1"/>
  <c r="Q229" i="6"/>
  <c r="Q230" i="6" s="1"/>
  <c r="P229" i="6"/>
  <c r="O229" i="6"/>
  <c r="N229" i="6"/>
  <c r="N230" i="6" s="1"/>
  <c r="M229" i="6"/>
  <c r="M230" i="6" s="1"/>
  <c r="L229" i="6"/>
  <c r="K229" i="6"/>
  <c r="K230" i="6" s="1"/>
  <c r="J229" i="6"/>
  <c r="J230" i="6" s="1"/>
  <c r="I229" i="6"/>
  <c r="I230" i="6" s="1"/>
  <c r="H229" i="6"/>
  <c r="G229" i="6"/>
  <c r="F229" i="6"/>
  <c r="F230" i="6" s="1"/>
  <c r="E229" i="6"/>
  <c r="E230" i="6" s="1"/>
  <c r="D229" i="6"/>
  <c r="C229" i="6"/>
  <c r="C230" i="6" s="1"/>
  <c r="V228" i="6"/>
  <c r="N228" i="6"/>
  <c r="F228" i="6"/>
  <c r="Y227" i="6"/>
  <c r="Y228" i="6" s="1"/>
  <c r="X227" i="6"/>
  <c r="X228" i="6" s="1"/>
  <c r="W227" i="6"/>
  <c r="W228" i="6" s="1"/>
  <c r="V227" i="6"/>
  <c r="U227" i="6"/>
  <c r="T227" i="6"/>
  <c r="T228" i="6" s="1"/>
  <c r="S227" i="6"/>
  <c r="S228" i="6" s="1"/>
  <c r="R227" i="6"/>
  <c r="Q227" i="6"/>
  <c r="Q228" i="6" s="1"/>
  <c r="P227" i="6"/>
  <c r="P228" i="6" s="1"/>
  <c r="O227" i="6"/>
  <c r="O228" i="6" s="1"/>
  <c r="N227" i="6"/>
  <c r="M227" i="6"/>
  <c r="L227" i="6"/>
  <c r="L228" i="6" s="1"/>
  <c r="K227" i="6"/>
  <c r="K228" i="6" s="1"/>
  <c r="J227" i="6"/>
  <c r="I227" i="6"/>
  <c r="I228" i="6" s="1"/>
  <c r="H227" i="6"/>
  <c r="H228" i="6" s="1"/>
  <c r="G227" i="6"/>
  <c r="G228" i="6" s="1"/>
  <c r="F227" i="6"/>
  <c r="E227" i="6"/>
  <c r="D227" i="6"/>
  <c r="D228" i="6" s="1"/>
  <c r="C227" i="6"/>
  <c r="C228" i="6" s="1"/>
  <c r="X226" i="6"/>
  <c r="T226" i="6"/>
  <c r="P226" i="6"/>
  <c r="L226" i="6"/>
  <c r="H226" i="6"/>
  <c r="D226" i="6"/>
  <c r="AF225" i="6"/>
  <c r="AF226" i="6" s="1"/>
  <c r="Y225" i="6"/>
  <c r="Y226" i="6" s="1"/>
  <c r="X225" i="6"/>
  <c r="W225" i="6"/>
  <c r="W226" i="6" s="1"/>
  <c r="V225" i="6"/>
  <c r="V226" i="6" s="1"/>
  <c r="U225" i="6"/>
  <c r="U226" i="6" s="1"/>
  <c r="T225" i="6"/>
  <c r="S225" i="6"/>
  <c r="R225" i="6"/>
  <c r="R226" i="6" s="1"/>
  <c r="Q225" i="6"/>
  <c r="Q226" i="6" s="1"/>
  <c r="P225" i="6"/>
  <c r="O225" i="6"/>
  <c r="O226" i="6" s="1"/>
  <c r="N225" i="6"/>
  <c r="N226" i="6" s="1"/>
  <c r="M225" i="6"/>
  <c r="M226" i="6" s="1"/>
  <c r="L225" i="6"/>
  <c r="K225" i="6"/>
  <c r="J225" i="6"/>
  <c r="J226" i="6" s="1"/>
  <c r="I225" i="6"/>
  <c r="I226" i="6" s="1"/>
  <c r="H225" i="6"/>
  <c r="G225" i="6"/>
  <c r="G226" i="6" s="1"/>
  <c r="F225" i="6"/>
  <c r="F226" i="6" s="1"/>
  <c r="E225" i="6"/>
  <c r="E226" i="6" s="1"/>
  <c r="D225" i="6"/>
  <c r="C225" i="6"/>
  <c r="AI224" i="6"/>
  <c r="AH224" i="6"/>
  <c r="AA224" i="6"/>
  <c r="Y224" i="6"/>
  <c r="R224" i="6"/>
  <c r="Q224" i="6"/>
  <c r="J224" i="6"/>
  <c r="I224" i="6"/>
  <c r="AL223" i="6"/>
  <c r="AK223" i="6"/>
  <c r="AJ223" i="6"/>
  <c r="AI223" i="6"/>
  <c r="AH223" i="6"/>
  <c r="AG223" i="6"/>
  <c r="AF223" i="6"/>
  <c r="AE223" i="6"/>
  <c r="AD223" i="6"/>
  <c r="AC223" i="6"/>
  <c r="AB223" i="6"/>
  <c r="AA223" i="6"/>
  <c r="AL222" i="6"/>
  <c r="AK222" i="6"/>
  <c r="AJ222" i="6"/>
  <c r="AI222" i="6"/>
  <c r="AH222" i="6"/>
  <c r="AG222" i="6"/>
  <c r="AF222" i="6"/>
  <c r="AE222" i="6"/>
  <c r="AD222" i="6"/>
  <c r="AC222" i="6"/>
  <c r="AB222" i="6"/>
  <c r="AA222" i="6"/>
  <c r="AL221" i="6"/>
  <c r="AK221" i="6"/>
  <c r="AJ221" i="6"/>
  <c r="AI221" i="6"/>
  <c r="AH221" i="6"/>
  <c r="AG221" i="6"/>
  <c r="AF221" i="6"/>
  <c r="AE221" i="6"/>
  <c r="AD221" i="6"/>
  <c r="AC221" i="6"/>
  <c r="AB221" i="6"/>
  <c r="AA221" i="6"/>
  <c r="AL220" i="6"/>
  <c r="AK220" i="6"/>
  <c r="AJ220" i="6"/>
  <c r="AI220" i="6"/>
  <c r="AH220" i="6"/>
  <c r="AG220" i="6"/>
  <c r="AF220" i="6"/>
  <c r="AE220" i="6"/>
  <c r="AD220" i="6"/>
  <c r="AC220" i="6"/>
  <c r="AB220" i="6"/>
  <c r="AA220" i="6"/>
  <c r="AL219" i="6"/>
  <c r="AK219" i="6"/>
  <c r="AJ219" i="6"/>
  <c r="AI219" i="6"/>
  <c r="AH219" i="6"/>
  <c r="AG219" i="6"/>
  <c r="AF219" i="6"/>
  <c r="AE219" i="6"/>
  <c r="AD219" i="6"/>
  <c r="AC219" i="6"/>
  <c r="AB219" i="6"/>
  <c r="AA219" i="6"/>
  <c r="AL218" i="6"/>
  <c r="AK218" i="6"/>
  <c r="AJ218" i="6"/>
  <c r="AI218" i="6"/>
  <c r="AH218" i="6"/>
  <c r="AG218" i="6"/>
  <c r="AF218" i="6"/>
  <c r="AE218" i="6"/>
  <c r="AD218" i="6"/>
  <c r="AC218" i="6"/>
  <c r="AB218" i="6"/>
  <c r="AA218" i="6"/>
  <c r="AL217" i="6"/>
  <c r="AK217" i="6"/>
  <c r="AJ217" i="6"/>
  <c r="AI217" i="6"/>
  <c r="AH217" i="6"/>
  <c r="AG217" i="6"/>
  <c r="AF217" i="6"/>
  <c r="AE217" i="6"/>
  <c r="AD217" i="6"/>
  <c r="AC217" i="6"/>
  <c r="AB217" i="6"/>
  <c r="AA217" i="6"/>
  <c r="AL216" i="6"/>
  <c r="AK216" i="6"/>
  <c r="AJ216" i="6"/>
  <c r="AI216" i="6"/>
  <c r="AH216" i="6"/>
  <c r="AG216" i="6"/>
  <c r="AF216" i="6"/>
  <c r="AE216" i="6"/>
  <c r="AD216" i="6"/>
  <c r="AC216" i="6"/>
  <c r="AB216" i="6"/>
  <c r="AA216" i="6"/>
  <c r="AL215" i="6"/>
  <c r="AK215" i="6"/>
  <c r="AJ215" i="6"/>
  <c r="AI215" i="6"/>
  <c r="AH215" i="6"/>
  <c r="AG215" i="6"/>
  <c r="AF215" i="6"/>
  <c r="AE215" i="6"/>
  <c r="AD215" i="6"/>
  <c r="AC215" i="6"/>
  <c r="AB215" i="6"/>
  <c r="AA215" i="6"/>
  <c r="AL214" i="6"/>
  <c r="AK214" i="6"/>
  <c r="AJ214" i="6"/>
  <c r="AI214" i="6"/>
  <c r="AH214" i="6"/>
  <c r="AG214" i="6"/>
  <c r="AF214" i="6"/>
  <c r="AE214" i="6"/>
  <c r="AD214" i="6"/>
  <c r="AC214" i="6"/>
  <c r="AB214" i="6"/>
  <c r="AA214" i="6"/>
  <c r="AL213" i="6"/>
  <c r="AK213" i="6"/>
  <c r="AJ213" i="6"/>
  <c r="AI213" i="6"/>
  <c r="AH213" i="6"/>
  <c r="AG213" i="6"/>
  <c r="AF213" i="6"/>
  <c r="AE213" i="6"/>
  <c r="AD213" i="6"/>
  <c r="AC213" i="6"/>
  <c r="AB213" i="6"/>
  <c r="AA213" i="6"/>
  <c r="AL212" i="6"/>
  <c r="AK212" i="6"/>
  <c r="AJ212" i="6"/>
  <c r="AI212" i="6"/>
  <c r="AH212" i="6"/>
  <c r="AG212" i="6"/>
  <c r="AF212" i="6"/>
  <c r="AE212" i="6"/>
  <c r="AD212" i="6"/>
  <c r="AC212" i="6"/>
  <c r="AB212" i="6"/>
  <c r="AA212" i="6"/>
  <c r="AL211" i="6"/>
  <c r="AL224" i="6" s="1"/>
  <c r="AK211" i="6"/>
  <c r="AK224" i="6" s="1"/>
  <c r="AJ211" i="6"/>
  <c r="AJ224" i="6" s="1"/>
  <c r="AI211" i="6"/>
  <c r="AH211" i="6"/>
  <c r="AG211" i="6"/>
  <c r="AG224" i="6" s="1"/>
  <c r="AF211" i="6"/>
  <c r="AF224" i="6" s="1"/>
  <c r="AE211" i="6"/>
  <c r="AD211" i="6"/>
  <c r="AD224" i="6" s="1"/>
  <c r="AC211" i="6"/>
  <c r="AC224" i="6" s="1"/>
  <c r="AB211" i="6"/>
  <c r="AB224" i="6" s="1"/>
  <c r="AA211" i="6"/>
  <c r="Y211" i="6"/>
  <c r="X211" i="6"/>
  <c r="X224" i="6" s="1"/>
  <c r="W211" i="6"/>
  <c r="W224" i="6" s="1"/>
  <c r="V211" i="6"/>
  <c r="U211" i="6"/>
  <c r="U224" i="6" s="1"/>
  <c r="T211" i="6"/>
  <c r="T224" i="6" s="1"/>
  <c r="S211" i="6"/>
  <c r="S224" i="6" s="1"/>
  <c r="R211" i="6"/>
  <c r="Q211" i="6"/>
  <c r="P211" i="6"/>
  <c r="P224" i="6" s="1"/>
  <c r="O211" i="6"/>
  <c r="O224" i="6" s="1"/>
  <c r="N211" i="6"/>
  <c r="M211" i="6"/>
  <c r="M224" i="6" s="1"/>
  <c r="L211" i="6"/>
  <c r="L224" i="6" s="1"/>
  <c r="K211" i="6"/>
  <c r="K224" i="6" s="1"/>
  <c r="J211" i="6"/>
  <c r="I211" i="6"/>
  <c r="H211" i="6"/>
  <c r="H224" i="6" s="1"/>
  <c r="G211" i="6"/>
  <c r="G224" i="6" s="1"/>
  <c r="F211" i="6"/>
  <c r="E211" i="6"/>
  <c r="E224" i="6" s="1"/>
  <c r="D211" i="6"/>
  <c r="D224" i="6" s="1"/>
  <c r="C211" i="6"/>
  <c r="C224" i="6" s="1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AL209" i="6"/>
  <c r="AK209" i="6"/>
  <c r="AJ209" i="6"/>
  <c r="AI209" i="6"/>
  <c r="AH209" i="6"/>
  <c r="AG209" i="6"/>
  <c r="AF209" i="6"/>
  <c r="AE209" i="6"/>
  <c r="AD209" i="6"/>
  <c r="AC209" i="6"/>
  <c r="AB209" i="6"/>
  <c r="AA209" i="6"/>
  <c r="X209" i="6"/>
  <c r="V209" i="6"/>
  <c r="T209" i="6"/>
  <c r="P209" i="6"/>
  <c r="N209" i="6"/>
  <c r="L209" i="6"/>
  <c r="H209" i="6"/>
  <c r="F209" i="6"/>
  <c r="D209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AL207" i="6"/>
  <c r="AL249" i="6" s="1"/>
  <c r="AK207" i="6"/>
  <c r="AJ207" i="6"/>
  <c r="AJ243" i="6" s="1"/>
  <c r="AI207" i="6"/>
  <c r="AI243" i="6" s="1"/>
  <c r="AH207" i="6"/>
  <c r="AH252" i="6" s="1"/>
  <c r="AG207" i="6"/>
  <c r="AF207" i="6"/>
  <c r="AF243" i="6" s="1"/>
  <c r="AE207" i="6"/>
  <c r="AE232" i="6" s="1"/>
  <c r="AD207" i="6"/>
  <c r="AD252" i="6" s="1"/>
  <c r="AC207" i="6"/>
  <c r="AB207" i="6"/>
  <c r="AB252" i="6" s="1"/>
  <c r="AA207" i="6"/>
  <c r="AA249" i="6" s="1"/>
  <c r="Y207" i="6"/>
  <c r="Y209" i="6" s="1"/>
  <c r="X207" i="6"/>
  <c r="W207" i="6"/>
  <c r="W209" i="6" s="1"/>
  <c r="V207" i="6"/>
  <c r="V249" i="6" s="1"/>
  <c r="U207" i="6"/>
  <c r="U252" i="6" s="1"/>
  <c r="T207" i="6"/>
  <c r="S207" i="6"/>
  <c r="S234" i="6" s="1"/>
  <c r="R207" i="6"/>
  <c r="R209" i="6" s="1"/>
  <c r="Q207" i="6"/>
  <c r="Q209" i="6" s="1"/>
  <c r="P207" i="6"/>
  <c r="O207" i="6"/>
  <c r="O209" i="6" s="1"/>
  <c r="N207" i="6"/>
  <c r="N249" i="6" s="1"/>
  <c r="M207" i="6"/>
  <c r="M252" i="6" s="1"/>
  <c r="L207" i="6"/>
  <c r="K207" i="6"/>
  <c r="K252" i="6" s="1"/>
  <c r="J207" i="6"/>
  <c r="J209" i="6" s="1"/>
  <c r="I207" i="6"/>
  <c r="I209" i="6" s="1"/>
  <c r="H207" i="6"/>
  <c r="G207" i="6"/>
  <c r="G209" i="6" s="1"/>
  <c r="F207" i="6"/>
  <c r="F232" i="6" s="1"/>
  <c r="E207" i="6"/>
  <c r="E209" i="6" s="1"/>
  <c r="D207" i="6"/>
  <c r="C207" i="6"/>
  <c r="C234" i="6" s="1"/>
  <c r="AL206" i="6"/>
  <c r="AI206" i="6"/>
  <c r="AG206" i="6"/>
  <c r="AE206" i="6"/>
  <c r="AD206" i="6"/>
  <c r="AA206" i="6"/>
  <c r="X206" i="6"/>
  <c r="V206" i="6"/>
  <c r="U206" i="6"/>
  <c r="R206" i="6"/>
  <c r="P206" i="6"/>
  <c r="N206" i="6"/>
  <c r="M206" i="6"/>
  <c r="J206" i="6"/>
  <c r="H206" i="6"/>
  <c r="F206" i="6"/>
  <c r="E206" i="6"/>
  <c r="AL205" i="6"/>
  <c r="AK205" i="6"/>
  <c r="AK206" i="6" s="1"/>
  <c r="AJ205" i="6"/>
  <c r="AJ206" i="6" s="1"/>
  <c r="AI205" i="6"/>
  <c r="AH205" i="6"/>
  <c r="AH206" i="6" s="1"/>
  <c r="AG205" i="6"/>
  <c r="AF205" i="6"/>
  <c r="AF206" i="6" s="1"/>
  <c r="AE205" i="6"/>
  <c r="AD205" i="6"/>
  <c r="AC205" i="6"/>
  <c r="AC206" i="6" s="1"/>
  <c r="AB205" i="6"/>
  <c r="AB206" i="6" s="1"/>
  <c r="AA205" i="6"/>
  <c r="Y205" i="6"/>
  <c r="Y206" i="6" s="1"/>
  <c r="X205" i="6"/>
  <c r="W205" i="6"/>
  <c r="W206" i="6" s="1"/>
  <c r="V205" i="6"/>
  <c r="U205" i="6"/>
  <c r="T205" i="6"/>
  <c r="T206" i="6" s="1"/>
  <c r="S205" i="6"/>
  <c r="S206" i="6" s="1"/>
  <c r="R205" i="6"/>
  <c r="Q205" i="6"/>
  <c r="Q206" i="6" s="1"/>
  <c r="P205" i="6"/>
  <c r="O205" i="6"/>
  <c r="O206" i="6" s="1"/>
  <c r="N205" i="6"/>
  <c r="M205" i="6"/>
  <c r="L205" i="6"/>
  <c r="L206" i="6" s="1"/>
  <c r="K205" i="6"/>
  <c r="K206" i="6" s="1"/>
  <c r="J205" i="6"/>
  <c r="I205" i="6"/>
  <c r="I206" i="6" s="1"/>
  <c r="H205" i="6"/>
  <c r="G205" i="6"/>
  <c r="G206" i="6" s="1"/>
  <c r="F205" i="6"/>
  <c r="E205" i="6"/>
  <c r="D205" i="6"/>
  <c r="D206" i="6" s="1"/>
  <c r="C205" i="6"/>
  <c r="C206" i="6" s="1"/>
  <c r="AL204" i="6"/>
  <c r="AK204" i="6"/>
  <c r="AJ204" i="6"/>
  <c r="AI204" i="6"/>
  <c r="AH204" i="6"/>
  <c r="AG204" i="6"/>
  <c r="AF204" i="6"/>
  <c r="AE204" i="6"/>
  <c r="AD204" i="6"/>
  <c r="AC204" i="6"/>
  <c r="AB204" i="6"/>
  <c r="AA204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C204" i="6"/>
  <c r="AL203" i="6"/>
  <c r="AK203" i="6"/>
  <c r="AJ203" i="6"/>
  <c r="AI203" i="6"/>
  <c r="AH203" i="6"/>
  <c r="AG203" i="6"/>
  <c r="AF203" i="6"/>
  <c r="AE203" i="6"/>
  <c r="AD203" i="6"/>
  <c r="AC203" i="6"/>
  <c r="AB203" i="6"/>
  <c r="AA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C203" i="6"/>
  <c r="AL202" i="6"/>
  <c r="AK202" i="6"/>
  <c r="AJ202" i="6"/>
  <c r="AI202" i="6"/>
  <c r="AH202" i="6"/>
  <c r="AG202" i="6"/>
  <c r="AF202" i="6"/>
  <c r="AE202" i="6"/>
  <c r="AD202" i="6"/>
  <c r="AC202" i="6"/>
  <c r="AB202" i="6"/>
  <c r="AA202" i="6"/>
  <c r="AL201" i="6"/>
  <c r="AK201" i="6"/>
  <c r="AJ201" i="6"/>
  <c r="AI201" i="6"/>
  <c r="AH201" i="6"/>
  <c r="AG201" i="6"/>
  <c r="AF201" i="6"/>
  <c r="AE201" i="6"/>
  <c r="AD201" i="6"/>
  <c r="AC201" i="6"/>
  <c r="AB201" i="6"/>
  <c r="AA201" i="6"/>
  <c r="AL200" i="6"/>
  <c r="AK200" i="6"/>
  <c r="AJ200" i="6"/>
  <c r="AI200" i="6"/>
  <c r="AH200" i="6"/>
  <c r="AG200" i="6"/>
  <c r="AF200" i="6"/>
  <c r="AE200" i="6"/>
  <c r="AD200" i="6"/>
  <c r="AC200" i="6"/>
  <c r="AB200" i="6"/>
  <c r="AA200" i="6"/>
  <c r="AL199" i="6"/>
  <c r="AK199" i="6"/>
  <c r="AJ199" i="6"/>
  <c r="AI199" i="6"/>
  <c r="AH199" i="6"/>
  <c r="AG199" i="6"/>
  <c r="AF199" i="6"/>
  <c r="AE199" i="6"/>
  <c r="AD199" i="6"/>
  <c r="AC199" i="6"/>
  <c r="AB199" i="6"/>
  <c r="AA199" i="6"/>
  <c r="Y197" i="6"/>
  <c r="X197" i="6"/>
  <c r="V197" i="6"/>
  <c r="U197" i="6"/>
  <c r="T197" i="6"/>
  <c r="R197" i="6"/>
  <c r="P197" i="6"/>
  <c r="N197" i="6"/>
  <c r="M197" i="6"/>
  <c r="L197" i="6"/>
  <c r="J197" i="6"/>
  <c r="H197" i="6"/>
  <c r="F197" i="6"/>
  <c r="E197" i="6"/>
  <c r="D197" i="6"/>
  <c r="AL196" i="6"/>
  <c r="AK196" i="6"/>
  <c r="AJ196" i="6"/>
  <c r="AI196" i="6"/>
  <c r="AH196" i="6"/>
  <c r="AG196" i="6"/>
  <c r="AF196" i="6"/>
  <c r="AE196" i="6"/>
  <c r="AD196" i="6"/>
  <c r="AC196" i="6"/>
  <c r="AB196" i="6"/>
  <c r="AA196" i="6"/>
  <c r="V196" i="6"/>
  <c r="W194" i="6" s="1"/>
  <c r="U196" i="6"/>
  <c r="T196" i="6"/>
  <c r="S196" i="6"/>
  <c r="S197" i="6" s="1"/>
  <c r="R196" i="6"/>
  <c r="Q196" i="6"/>
  <c r="Q197" i="6" s="1"/>
  <c r="P196" i="6"/>
  <c r="O196" i="6"/>
  <c r="O197" i="6" s="1"/>
  <c r="N196" i="6"/>
  <c r="M196" i="6"/>
  <c r="L196" i="6"/>
  <c r="K196" i="6"/>
  <c r="K197" i="6" s="1"/>
  <c r="J196" i="6"/>
  <c r="I196" i="6"/>
  <c r="I197" i="6" s="1"/>
  <c r="H196" i="6"/>
  <c r="G196" i="6"/>
  <c r="G197" i="6" s="1"/>
  <c r="F196" i="6"/>
  <c r="E196" i="6"/>
  <c r="D196" i="6"/>
  <c r="C196" i="6"/>
  <c r="C197" i="6" s="1"/>
  <c r="AL195" i="6"/>
  <c r="AK195" i="6"/>
  <c r="AJ195" i="6"/>
  <c r="AI195" i="6"/>
  <c r="AH195" i="6"/>
  <c r="AG195" i="6"/>
  <c r="AF195" i="6"/>
  <c r="AE195" i="6"/>
  <c r="AD195" i="6"/>
  <c r="AC195" i="6"/>
  <c r="AB195" i="6"/>
  <c r="AA195" i="6"/>
  <c r="AL194" i="6"/>
  <c r="AK194" i="6"/>
  <c r="AJ194" i="6"/>
  <c r="AI194" i="6"/>
  <c r="AH194" i="6"/>
  <c r="AG194" i="6"/>
  <c r="AF194" i="6"/>
  <c r="AE194" i="6"/>
  <c r="AD194" i="6"/>
  <c r="AC194" i="6"/>
  <c r="AB194" i="6"/>
  <c r="AA194" i="6"/>
  <c r="AL193" i="6"/>
  <c r="AK193" i="6"/>
  <c r="AJ193" i="6"/>
  <c r="AI193" i="6"/>
  <c r="AH193" i="6"/>
  <c r="AG193" i="6"/>
  <c r="AF193" i="6"/>
  <c r="AE193" i="6"/>
  <c r="AD193" i="6"/>
  <c r="AC193" i="6"/>
  <c r="AB193" i="6"/>
  <c r="AA193" i="6"/>
  <c r="AL192" i="6"/>
  <c r="AK192" i="6"/>
  <c r="AJ192" i="6"/>
  <c r="AI192" i="6"/>
  <c r="AH192" i="6"/>
  <c r="AG192" i="6"/>
  <c r="AF192" i="6"/>
  <c r="AE192" i="6"/>
  <c r="AD192" i="6"/>
  <c r="AC192" i="6"/>
  <c r="AB192" i="6"/>
  <c r="AA192" i="6"/>
  <c r="W192" i="6"/>
  <c r="AL191" i="6"/>
  <c r="AK191" i="6"/>
  <c r="AJ191" i="6"/>
  <c r="AI191" i="6"/>
  <c r="AH191" i="6"/>
  <c r="AG191" i="6"/>
  <c r="AF191" i="6"/>
  <c r="AE191" i="6"/>
  <c r="AD191" i="6"/>
  <c r="AC191" i="6"/>
  <c r="AB191" i="6"/>
  <c r="AA191" i="6"/>
  <c r="AL190" i="6"/>
  <c r="AK190" i="6"/>
  <c r="AJ190" i="6"/>
  <c r="AI190" i="6"/>
  <c r="AH190" i="6"/>
  <c r="AG190" i="6"/>
  <c r="AF190" i="6"/>
  <c r="AE190" i="6"/>
  <c r="AD190" i="6"/>
  <c r="AC190" i="6"/>
  <c r="AB190" i="6"/>
  <c r="AA190" i="6"/>
  <c r="AL189" i="6"/>
  <c r="AK189" i="6"/>
  <c r="AJ189" i="6"/>
  <c r="AI189" i="6"/>
  <c r="AH189" i="6"/>
  <c r="AG189" i="6"/>
  <c r="AF189" i="6"/>
  <c r="AE189" i="6"/>
  <c r="AD189" i="6"/>
  <c r="AC189" i="6"/>
  <c r="AB189" i="6"/>
  <c r="AA189" i="6"/>
  <c r="AL188" i="6"/>
  <c r="AK188" i="6"/>
  <c r="AJ188" i="6"/>
  <c r="AI188" i="6"/>
  <c r="AH188" i="6"/>
  <c r="AG188" i="6"/>
  <c r="AF188" i="6"/>
  <c r="AE188" i="6"/>
  <c r="AD188" i="6"/>
  <c r="AC188" i="6"/>
  <c r="AB188" i="6"/>
  <c r="AA188" i="6"/>
  <c r="AL187" i="6"/>
  <c r="AK187" i="6"/>
  <c r="AJ187" i="6"/>
  <c r="AI187" i="6"/>
  <c r="AH187" i="6"/>
  <c r="AG187" i="6"/>
  <c r="AF187" i="6"/>
  <c r="AE187" i="6"/>
  <c r="AD187" i="6"/>
  <c r="AC187" i="6"/>
  <c r="AB187" i="6"/>
  <c r="AA187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W181" i="6"/>
  <c r="AL180" i="6"/>
  <c r="AK180" i="6"/>
  <c r="AJ180" i="6"/>
  <c r="AI180" i="6"/>
  <c r="AH180" i="6"/>
  <c r="AG180" i="6"/>
  <c r="AF180" i="6"/>
  <c r="AE180" i="6"/>
  <c r="AD180" i="6"/>
  <c r="AC180" i="6"/>
  <c r="AB180" i="6"/>
  <c r="AA180" i="6"/>
  <c r="AL179" i="6"/>
  <c r="AK179" i="6"/>
  <c r="AJ179" i="6"/>
  <c r="AI179" i="6"/>
  <c r="AH179" i="6"/>
  <c r="AG179" i="6"/>
  <c r="AF179" i="6"/>
  <c r="AE179" i="6"/>
  <c r="AD179" i="6"/>
  <c r="AC179" i="6"/>
  <c r="AB179" i="6"/>
  <c r="AA179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AL177" i="6"/>
  <c r="AK177" i="6"/>
  <c r="AJ177" i="6"/>
  <c r="AI177" i="6"/>
  <c r="AH177" i="6"/>
  <c r="AG177" i="6"/>
  <c r="AF177" i="6"/>
  <c r="AE177" i="6"/>
  <c r="AD177" i="6"/>
  <c r="AC177" i="6"/>
  <c r="AB177" i="6"/>
  <c r="AA177" i="6"/>
  <c r="AL176" i="6"/>
  <c r="AK176" i="6"/>
  <c r="AJ176" i="6"/>
  <c r="AI176" i="6"/>
  <c r="AH176" i="6"/>
  <c r="AG176" i="6"/>
  <c r="AF176" i="6"/>
  <c r="AE176" i="6"/>
  <c r="AD176" i="6"/>
  <c r="AC176" i="6"/>
  <c r="AB176" i="6"/>
  <c r="AA176" i="6"/>
  <c r="AL175" i="6"/>
  <c r="AK175" i="6"/>
  <c r="AJ175" i="6"/>
  <c r="AI175" i="6"/>
  <c r="AH175" i="6"/>
  <c r="AG175" i="6"/>
  <c r="AF175" i="6"/>
  <c r="AE175" i="6"/>
  <c r="AD175" i="6"/>
  <c r="AC175" i="6"/>
  <c r="AB175" i="6"/>
  <c r="AA175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AL173" i="6"/>
  <c r="AK173" i="6"/>
  <c r="AJ173" i="6"/>
  <c r="AI173" i="6"/>
  <c r="AH173" i="6"/>
  <c r="AG173" i="6"/>
  <c r="AF173" i="6"/>
  <c r="AE173" i="6"/>
  <c r="AD173" i="6"/>
  <c r="AC173" i="6"/>
  <c r="AB173" i="6"/>
  <c r="AA173" i="6"/>
  <c r="AL172" i="6"/>
  <c r="AK172" i="6"/>
  <c r="AJ172" i="6"/>
  <c r="AI172" i="6"/>
  <c r="AH172" i="6"/>
  <c r="AG172" i="6"/>
  <c r="AF172" i="6"/>
  <c r="AE172" i="6"/>
  <c r="AD172" i="6"/>
  <c r="AC172" i="6"/>
  <c r="AB172" i="6"/>
  <c r="AA172" i="6"/>
  <c r="AL171" i="6"/>
  <c r="AK171" i="6"/>
  <c r="AJ171" i="6"/>
  <c r="AI171" i="6"/>
  <c r="AH171" i="6"/>
  <c r="AG171" i="6"/>
  <c r="AF171" i="6"/>
  <c r="AE171" i="6"/>
  <c r="AD171" i="6"/>
  <c r="AC171" i="6"/>
  <c r="AB171" i="6"/>
  <c r="AA171" i="6"/>
  <c r="AL170" i="6"/>
  <c r="AK170" i="6"/>
  <c r="AJ170" i="6"/>
  <c r="AI170" i="6"/>
  <c r="AH170" i="6"/>
  <c r="AG170" i="6"/>
  <c r="AF170" i="6"/>
  <c r="AE170" i="6"/>
  <c r="AD170" i="6"/>
  <c r="AC170" i="6"/>
  <c r="AB170" i="6"/>
  <c r="AA170" i="6"/>
  <c r="AL169" i="6"/>
  <c r="AK169" i="6"/>
  <c r="AJ169" i="6"/>
  <c r="AI169" i="6"/>
  <c r="AH169" i="6"/>
  <c r="AG169" i="6"/>
  <c r="AF169" i="6"/>
  <c r="AE169" i="6"/>
  <c r="AD169" i="6"/>
  <c r="AC169" i="6"/>
  <c r="AB169" i="6"/>
  <c r="AA169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AL167" i="6"/>
  <c r="AK167" i="6"/>
  <c r="AJ167" i="6"/>
  <c r="AI167" i="6"/>
  <c r="AH167" i="6"/>
  <c r="AG167" i="6"/>
  <c r="AF167" i="6"/>
  <c r="AE167" i="6"/>
  <c r="AD167" i="6"/>
  <c r="AC167" i="6"/>
  <c r="AB167" i="6"/>
  <c r="AA167" i="6"/>
  <c r="AL166" i="6"/>
  <c r="AK166" i="6"/>
  <c r="AJ166" i="6"/>
  <c r="AI166" i="6"/>
  <c r="AH166" i="6"/>
  <c r="AG166" i="6"/>
  <c r="AF166" i="6"/>
  <c r="AE166" i="6"/>
  <c r="AD166" i="6"/>
  <c r="AC166" i="6"/>
  <c r="AB166" i="6"/>
  <c r="AA166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W165" i="6"/>
  <c r="W175" i="6" s="1"/>
  <c r="W193" i="6" s="1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W162" i="6"/>
  <c r="W183" i="6" s="1"/>
  <c r="W184" i="6" s="1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AL157" i="6"/>
  <c r="AK157" i="6"/>
  <c r="AJ157" i="6"/>
  <c r="AI157" i="6"/>
  <c r="AH157" i="6"/>
  <c r="AG157" i="6"/>
  <c r="AF157" i="6"/>
  <c r="AE157" i="6"/>
  <c r="AD157" i="6"/>
  <c r="AC157" i="6"/>
  <c r="AB157" i="6"/>
  <c r="AA157" i="6"/>
  <c r="W157" i="6"/>
  <c r="AM152" i="6"/>
  <c r="AM151" i="6"/>
  <c r="AL150" i="6"/>
  <c r="AL227" i="6" s="1"/>
  <c r="AL228" i="6" s="1"/>
  <c r="AD150" i="6"/>
  <c r="AD227" i="6" s="1"/>
  <c r="AD228" i="6" s="1"/>
  <c r="AL149" i="6"/>
  <c r="AK149" i="6"/>
  <c r="AJ149" i="6"/>
  <c r="AI149" i="6"/>
  <c r="AH149" i="6"/>
  <c r="AG149" i="6"/>
  <c r="AF149" i="6"/>
  <c r="AE149" i="6"/>
  <c r="AD149" i="6"/>
  <c r="AC149" i="6"/>
  <c r="AB149" i="6"/>
  <c r="AA149" i="6"/>
  <c r="AM149" i="6" s="1"/>
  <c r="AM148" i="6"/>
  <c r="AM147" i="6"/>
  <c r="AL146" i="6"/>
  <c r="AJ146" i="6"/>
  <c r="AJ150" i="6" s="1"/>
  <c r="AI146" i="6"/>
  <c r="AI150" i="6" s="1"/>
  <c r="AH146" i="6"/>
  <c r="AH150" i="6" s="1"/>
  <c r="AG146" i="6"/>
  <c r="AG150" i="6" s="1"/>
  <c r="AD146" i="6"/>
  <c r="AB146" i="6"/>
  <c r="AB150" i="6" s="1"/>
  <c r="AA146" i="6"/>
  <c r="AA150" i="6" s="1"/>
  <c r="AM145" i="6"/>
  <c r="AM144" i="6"/>
  <c r="AM143" i="6"/>
  <c r="AM142" i="6"/>
  <c r="AM141" i="6"/>
  <c r="AM140" i="6"/>
  <c r="AL139" i="6"/>
  <c r="AL225" i="6" s="1"/>
  <c r="AL226" i="6" s="1"/>
  <c r="AK139" i="6"/>
  <c r="AK225" i="6" s="1"/>
  <c r="AK226" i="6" s="1"/>
  <c r="AJ139" i="6"/>
  <c r="AJ225" i="6" s="1"/>
  <c r="AJ226" i="6" s="1"/>
  <c r="AI139" i="6"/>
  <c r="AI225" i="6" s="1"/>
  <c r="AI226" i="6" s="1"/>
  <c r="AH139" i="6"/>
  <c r="AH225" i="6" s="1"/>
  <c r="AH226" i="6" s="1"/>
  <c r="AG139" i="6"/>
  <c r="AG225" i="6" s="1"/>
  <c r="AG226" i="6" s="1"/>
  <c r="AF139" i="6"/>
  <c r="AF146" i="6" s="1"/>
  <c r="AF150" i="6" s="1"/>
  <c r="AE139" i="6"/>
  <c r="AE146" i="6" s="1"/>
  <c r="AE150" i="6" s="1"/>
  <c r="AD139" i="6"/>
  <c r="AD225" i="6" s="1"/>
  <c r="AD226" i="6" s="1"/>
  <c r="AC139" i="6"/>
  <c r="AC225" i="6" s="1"/>
  <c r="AC226" i="6" s="1"/>
  <c r="AB139" i="6"/>
  <c r="AB225" i="6" s="1"/>
  <c r="AB226" i="6" s="1"/>
  <c r="AA139" i="6"/>
  <c r="AA225" i="6" s="1"/>
  <c r="AA226" i="6" s="1"/>
  <c r="AM138" i="6"/>
  <c r="AM137" i="6"/>
  <c r="AM136" i="6"/>
  <c r="AM135" i="6"/>
  <c r="AM134" i="6"/>
  <c r="Y132" i="6"/>
  <c r="X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W131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AL118" i="6"/>
  <c r="AK118" i="6"/>
  <c r="AJ118" i="6"/>
  <c r="AI118" i="6"/>
  <c r="AH118" i="6"/>
  <c r="AG118" i="6"/>
  <c r="AF118" i="6"/>
  <c r="AE118" i="6"/>
  <c r="AD118" i="6"/>
  <c r="AC118" i="6"/>
  <c r="AB118" i="6"/>
  <c r="AA118" i="6"/>
  <c r="AL117" i="6"/>
  <c r="AK117" i="6"/>
  <c r="AJ117" i="6"/>
  <c r="AI117" i="6"/>
  <c r="AH117" i="6"/>
  <c r="AG117" i="6"/>
  <c r="AF117" i="6"/>
  <c r="AE117" i="6"/>
  <c r="AD117" i="6"/>
  <c r="AC117" i="6"/>
  <c r="AB117" i="6"/>
  <c r="AA117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AL102" i="6"/>
  <c r="AK102" i="6"/>
  <c r="AJ102" i="6"/>
  <c r="AI102" i="6"/>
  <c r="AH102" i="6"/>
  <c r="AG102" i="6"/>
  <c r="AF102" i="6"/>
  <c r="AE102" i="6"/>
  <c r="AD102" i="6"/>
  <c r="AC102" i="6"/>
  <c r="AB102" i="6"/>
  <c r="AA102" i="6"/>
  <c r="AL101" i="6"/>
  <c r="AK101" i="6"/>
  <c r="AJ101" i="6"/>
  <c r="AI101" i="6"/>
  <c r="AH101" i="6"/>
  <c r="AG101" i="6"/>
  <c r="AF101" i="6"/>
  <c r="AE101" i="6"/>
  <c r="AD101" i="6"/>
  <c r="AC101" i="6"/>
  <c r="AB101" i="6"/>
  <c r="AA101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AL87" i="6"/>
  <c r="AK87" i="6"/>
  <c r="AJ87" i="6"/>
  <c r="AI87" i="6"/>
  <c r="AH87" i="6"/>
  <c r="AG87" i="6"/>
  <c r="AF87" i="6"/>
  <c r="AE87" i="6"/>
  <c r="AD87" i="6"/>
  <c r="AC87" i="6"/>
  <c r="AB87" i="6"/>
  <c r="AA87" i="6"/>
  <c r="AL86" i="6"/>
  <c r="AK86" i="6"/>
  <c r="AJ86" i="6"/>
  <c r="AI86" i="6"/>
  <c r="AH86" i="6"/>
  <c r="AG86" i="6"/>
  <c r="AF86" i="6"/>
  <c r="AE86" i="6"/>
  <c r="AD86" i="6"/>
  <c r="AC86" i="6"/>
  <c r="AB86" i="6"/>
  <c r="AA86" i="6"/>
  <c r="AL85" i="6"/>
  <c r="AK85" i="6"/>
  <c r="AJ85" i="6"/>
  <c r="AI85" i="6"/>
  <c r="AH85" i="6"/>
  <c r="AG85" i="6"/>
  <c r="AF85" i="6"/>
  <c r="AE85" i="6"/>
  <c r="AD85" i="6"/>
  <c r="AC85" i="6"/>
  <c r="AB85" i="6"/>
  <c r="AA85" i="6"/>
  <c r="AL84" i="6"/>
  <c r="AK84" i="6"/>
  <c r="AJ84" i="6"/>
  <c r="AI84" i="6"/>
  <c r="AH84" i="6"/>
  <c r="AG84" i="6"/>
  <c r="AF84" i="6"/>
  <c r="AE84" i="6"/>
  <c r="AD84" i="6"/>
  <c r="AC84" i="6"/>
  <c r="AB84" i="6"/>
  <c r="AA84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AL69" i="6"/>
  <c r="AK69" i="6"/>
  <c r="AJ69" i="6"/>
  <c r="AI69" i="6"/>
  <c r="AH69" i="6"/>
  <c r="AG69" i="6"/>
  <c r="AF69" i="6"/>
  <c r="AE69" i="6"/>
  <c r="AD69" i="6"/>
  <c r="AC69" i="6"/>
  <c r="AB69" i="6"/>
  <c r="AA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W53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W47" i="6"/>
  <c r="W46" i="6" s="1"/>
  <c r="W38" i="6" s="1"/>
  <c r="W83" i="6" s="1"/>
  <c r="W132" i="6" s="1"/>
  <c r="AL46" i="6"/>
  <c r="AK46" i="6"/>
  <c r="AJ46" i="6"/>
  <c r="AI46" i="6"/>
  <c r="AH46" i="6"/>
  <c r="AG46" i="6"/>
  <c r="AF46" i="6"/>
  <c r="AE46" i="6"/>
  <c r="AD46" i="6"/>
  <c r="AC46" i="6"/>
  <c r="AB46" i="6"/>
  <c r="AA46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W32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W17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W10" i="6"/>
  <c r="W6" i="6" s="1"/>
  <c r="AL9" i="6"/>
  <c r="AK9" i="6"/>
  <c r="AJ9" i="6"/>
  <c r="AI9" i="6"/>
  <c r="AH9" i="6"/>
  <c r="AG9" i="6"/>
  <c r="AF9" i="6"/>
  <c r="AE9" i="6"/>
  <c r="AD9" i="6"/>
  <c r="AC9" i="6"/>
  <c r="AB9" i="6"/>
  <c r="AA9" i="6"/>
  <c r="AL8" i="6"/>
  <c r="AK8" i="6"/>
  <c r="AJ8" i="6"/>
  <c r="AI8" i="6"/>
  <c r="AH8" i="6"/>
  <c r="AG8" i="6"/>
  <c r="AF8" i="6"/>
  <c r="AE8" i="6"/>
  <c r="AD8" i="6"/>
  <c r="AC8" i="6"/>
  <c r="AB8" i="6"/>
  <c r="AA8" i="6"/>
  <c r="AL7" i="6"/>
  <c r="AK7" i="6"/>
  <c r="AJ7" i="6"/>
  <c r="AI7" i="6"/>
  <c r="AH7" i="6"/>
  <c r="AG7" i="6"/>
  <c r="AF7" i="6"/>
  <c r="AE7" i="6"/>
  <c r="AD7" i="6"/>
  <c r="AC7" i="6"/>
  <c r="AB7" i="6"/>
  <c r="AA7" i="6"/>
  <c r="W7" i="6"/>
  <c r="AL6" i="6"/>
  <c r="AK6" i="6"/>
  <c r="AJ6" i="6"/>
  <c r="AI6" i="6"/>
  <c r="AH6" i="6"/>
  <c r="AG6" i="6"/>
  <c r="AF6" i="6"/>
  <c r="AE6" i="6"/>
  <c r="AD6" i="6"/>
  <c r="AC6" i="6"/>
  <c r="AB6" i="6"/>
  <c r="AA6" i="6"/>
  <c r="Q3" i="6"/>
  <c r="R3" i="6" s="1"/>
  <c r="S3" i="6" s="1"/>
  <c r="T3" i="6" s="1"/>
  <c r="U3" i="6" s="1"/>
  <c r="V3" i="6" s="1"/>
  <c r="W3" i="6" s="1"/>
  <c r="X3" i="6" s="1"/>
  <c r="Y3" i="6" s="1"/>
  <c r="P3" i="6"/>
  <c r="H3" i="6"/>
  <c r="I3" i="6" s="1"/>
  <c r="J3" i="6" s="1"/>
  <c r="K3" i="6" s="1"/>
  <c r="L3" i="6" s="1"/>
  <c r="M3" i="6" s="1"/>
  <c r="N3" i="6" s="1"/>
  <c r="G3" i="6"/>
  <c r="F3" i="6"/>
  <c r="E3" i="6"/>
  <c r="D3" i="6"/>
  <c r="AL325" i="5"/>
  <c r="AK325" i="5"/>
  <c r="AJ325" i="5"/>
  <c r="AI325" i="5"/>
  <c r="AH325" i="5"/>
  <c r="AG325" i="5"/>
  <c r="AF325" i="5"/>
  <c r="AE325" i="5"/>
  <c r="AD325" i="5"/>
  <c r="AC325" i="5"/>
  <c r="AB325" i="5"/>
  <c r="AA325" i="5"/>
  <c r="AL324" i="5"/>
  <c r="AK324" i="5"/>
  <c r="AJ324" i="5"/>
  <c r="AI324" i="5"/>
  <c r="AH324" i="5"/>
  <c r="AG324" i="5"/>
  <c r="AF324" i="5"/>
  <c r="AE324" i="5"/>
  <c r="AD324" i="5"/>
  <c r="AC324" i="5"/>
  <c r="AB324" i="5"/>
  <c r="AA324" i="5"/>
  <c r="A324" i="5"/>
  <c r="AL323" i="5"/>
  <c r="AK323" i="5"/>
  <c r="AJ323" i="5"/>
  <c r="AI323" i="5"/>
  <c r="AH323" i="5"/>
  <c r="AG323" i="5"/>
  <c r="AF323" i="5"/>
  <c r="AE323" i="5"/>
  <c r="AD323" i="5"/>
  <c r="AC323" i="5"/>
  <c r="AB323" i="5"/>
  <c r="AA323" i="5"/>
  <c r="AL322" i="5"/>
  <c r="AK322" i="5"/>
  <c r="AJ322" i="5"/>
  <c r="AI322" i="5"/>
  <c r="AH322" i="5"/>
  <c r="AG322" i="5"/>
  <c r="AF322" i="5"/>
  <c r="AE322" i="5"/>
  <c r="AD322" i="5"/>
  <c r="AC322" i="5"/>
  <c r="AB322" i="5"/>
  <c r="AA322" i="5"/>
  <c r="AL321" i="5"/>
  <c r="AK321" i="5"/>
  <c r="AJ321" i="5"/>
  <c r="AI321" i="5"/>
  <c r="AH321" i="5"/>
  <c r="AG321" i="5"/>
  <c r="AF321" i="5"/>
  <c r="AE321" i="5"/>
  <c r="AD321" i="5"/>
  <c r="AC321" i="5"/>
  <c r="AB321" i="5"/>
  <c r="AA321" i="5"/>
  <c r="AL320" i="5"/>
  <c r="AK320" i="5"/>
  <c r="AJ320" i="5"/>
  <c r="AI320" i="5"/>
  <c r="AH320" i="5"/>
  <c r="AG320" i="5"/>
  <c r="AF320" i="5"/>
  <c r="AE320" i="5"/>
  <c r="AD320" i="5"/>
  <c r="AC320" i="5"/>
  <c r="AB320" i="5"/>
  <c r="AA320" i="5"/>
  <c r="AL319" i="5"/>
  <c r="AK319" i="5"/>
  <c r="AJ319" i="5"/>
  <c r="AI319" i="5"/>
  <c r="AH319" i="5"/>
  <c r="AG319" i="5"/>
  <c r="AF319" i="5"/>
  <c r="AE319" i="5"/>
  <c r="AD319" i="5"/>
  <c r="AC319" i="5"/>
  <c r="AB319" i="5"/>
  <c r="AA319" i="5"/>
  <c r="AL318" i="5"/>
  <c r="AK318" i="5"/>
  <c r="AJ318" i="5"/>
  <c r="AI318" i="5"/>
  <c r="AH318" i="5"/>
  <c r="AG318" i="5"/>
  <c r="AF318" i="5"/>
  <c r="AE318" i="5"/>
  <c r="AD318" i="5"/>
  <c r="AC318" i="5"/>
  <c r="AB318" i="5"/>
  <c r="AA318" i="5"/>
  <c r="AL317" i="5"/>
  <c r="AK317" i="5"/>
  <c r="AJ317" i="5"/>
  <c r="AI317" i="5"/>
  <c r="AH317" i="5"/>
  <c r="AG317" i="5"/>
  <c r="AF317" i="5"/>
  <c r="AE317" i="5"/>
  <c r="AD317" i="5"/>
  <c r="AC317" i="5"/>
  <c r="AB317" i="5"/>
  <c r="AA317" i="5"/>
  <c r="AL316" i="5"/>
  <c r="AK316" i="5"/>
  <c r="AJ316" i="5"/>
  <c r="AI316" i="5"/>
  <c r="AH316" i="5"/>
  <c r="AG316" i="5"/>
  <c r="AF316" i="5"/>
  <c r="AE316" i="5"/>
  <c r="AD316" i="5"/>
  <c r="AC316" i="5"/>
  <c r="AB316" i="5"/>
  <c r="AA316" i="5"/>
  <c r="AL315" i="5"/>
  <c r="AK315" i="5"/>
  <c r="AJ315" i="5"/>
  <c r="AI315" i="5"/>
  <c r="AH315" i="5"/>
  <c r="AG315" i="5"/>
  <c r="AF315" i="5"/>
  <c r="AE315" i="5"/>
  <c r="AD315" i="5"/>
  <c r="AC315" i="5"/>
  <c r="AB315" i="5"/>
  <c r="AA315" i="5"/>
  <c r="AL314" i="5"/>
  <c r="AK314" i="5"/>
  <c r="AJ314" i="5"/>
  <c r="AI314" i="5"/>
  <c r="AH314" i="5"/>
  <c r="AG314" i="5"/>
  <c r="AF314" i="5"/>
  <c r="AE314" i="5"/>
  <c r="AD314" i="5"/>
  <c r="AC314" i="5"/>
  <c r="AB314" i="5"/>
  <c r="AA314" i="5"/>
  <c r="AL313" i="5"/>
  <c r="AK313" i="5"/>
  <c r="AJ313" i="5"/>
  <c r="AI313" i="5"/>
  <c r="AH313" i="5"/>
  <c r="AG313" i="5"/>
  <c r="AF313" i="5"/>
  <c r="AE313" i="5"/>
  <c r="AD313" i="5"/>
  <c r="AC313" i="5"/>
  <c r="AB313" i="5"/>
  <c r="AA313" i="5"/>
  <c r="AL312" i="5"/>
  <c r="AK312" i="5"/>
  <c r="AJ312" i="5"/>
  <c r="AI312" i="5"/>
  <c r="AH312" i="5"/>
  <c r="AG312" i="5"/>
  <c r="AF312" i="5"/>
  <c r="AE312" i="5"/>
  <c r="AD312" i="5"/>
  <c r="AC312" i="5"/>
  <c r="AB312" i="5"/>
  <c r="AA312" i="5"/>
  <c r="AL311" i="5"/>
  <c r="AK311" i="5"/>
  <c r="AJ311" i="5"/>
  <c r="AI311" i="5"/>
  <c r="AH311" i="5"/>
  <c r="AG311" i="5"/>
  <c r="AF311" i="5"/>
  <c r="AE311" i="5"/>
  <c r="AD311" i="5"/>
  <c r="AC311" i="5"/>
  <c r="AB311" i="5"/>
  <c r="AA311" i="5"/>
  <c r="AL310" i="5"/>
  <c r="AK310" i="5"/>
  <c r="AJ310" i="5"/>
  <c r="AI310" i="5"/>
  <c r="AH310" i="5"/>
  <c r="AG310" i="5"/>
  <c r="AF310" i="5"/>
  <c r="AE310" i="5"/>
  <c r="AD310" i="5"/>
  <c r="AC310" i="5"/>
  <c r="AB310" i="5"/>
  <c r="AA310" i="5"/>
  <c r="AL309" i="5"/>
  <c r="AK309" i="5"/>
  <c r="AJ309" i="5"/>
  <c r="AI309" i="5"/>
  <c r="AH309" i="5"/>
  <c r="AG309" i="5"/>
  <c r="AF309" i="5"/>
  <c r="AE309" i="5"/>
  <c r="AD309" i="5"/>
  <c r="AC309" i="5"/>
  <c r="AB309" i="5"/>
  <c r="AA309" i="5"/>
  <c r="Y309" i="5"/>
  <c r="AL308" i="5"/>
  <c r="AK308" i="5"/>
  <c r="AJ308" i="5"/>
  <c r="AI308" i="5"/>
  <c r="AH308" i="5"/>
  <c r="AG308" i="5"/>
  <c r="AF308" i="5"/>
  <c r="AE308" i="5"/>
  <c r="AD308" i="5"/>
  <c r="AC308" i="5"/>
  <c r="AB308" i="5"/>
  <c r="AA308" i="5"/>
  <c r="AL307" i="5"/>
  <c r="AK307" i="5"/>
  <c r="AJ307" i="5"/>
  <c r="AI307" i="5"/>
  <c r="AH307" i="5"/>
  <c r="AG307" i="5"/>
  <c r="AF307" i="5"/>
  <c r="AE307" i="5"/>
  <c r="AD307" i="5"/>
  <c r="AC307" i="5"/>
  <c r="AB307" i="5"/>
  <c r="AA307" i="5"/>
  <c r="AL306" i="5"/>
  <c r="AK306" i="5"/>
  <c r="AJ306" i="5"/>
  <c r="AI306" i="5"/>
  <c r="AH306" i="5"/>
  <c r="AG306" i="5"/>
  <c r="AF306" i="5"/>
  <c r="AE306" i="5"/>
  <c r="AD306" i="5"/>
  <c r="AC306" i="5"/>
  <c r="AB306" i="5"/>
  <c r="AA306" i="5"/>
  <c r="A306" i="5"/>
  <c r="AL305" i="5"/>
  <c r="AK305" i="5"/>
  <c r="AJ305" i="5"/>
  <c r="AI305" i="5"/>
  <c r="AH305" i="5"/>
  <c r="AG305" i="5"/>
  <c r="AF305" i="5"/>
  <c r="AE305" i="5"/>
  <c r="AD305" i="5"/>
  <c r="AC305" i="5"/>
  <c r="AB305" i="5"/>
  <c r="AA305" i="5"/>
  <c r="AL304" i="5"/>
  <c r="AK304" i="5"/>
  <c r="AJ304" i="5"/>
  <c r="AI304" i="5"/>
  <c r="AH304" i="5"/>
  <c r="AG304" i="5"/>
  <c r="AF304" i="5"/>
  <c r="AE304" i="5"/>
  <c r="AD304" i="5"/>
  <c r="AC304" i="5"/>
  <c r="AB304" i="5"/>
  <c r="AA304" i="5"/>
  <c r="A304" i="5"/>
  <c r="A322" i="5" s="1"/>
  <c r="AL303" i="5"/>
  <c r="AK303" i="5"/>
  <c r="AJ303" i="5"/>
  <c r="AI303" i="5"/>
  <c r="AH303" i="5"/>
  <c r="AG303" i="5"/>
  <c r="AF303" i="5"/>
  <c r="AE303" i="5"/>
  <c r="AD303" i="5"/>
  <c r="AC303" i="5"/>
  <c r="AB303" i="5"/>
  <c r="AA303" i="5"/>
  <c r="AL302" i="5"/>
  <c r="AK302" i="5"/>
  <c r="AJ302" i="5"/>
  <c r="AI302" i="5"/>
  <c r="AH302" i="5"/>
  <c r="AG302" i="5"/>
  <c r="AF302" i="5"/>
  <c r="AE302" i="5"/>
  <c r="AD302" i="5"/>
  <c r="AC302" i="5"/>
  <c r="AB302" i="5"/>
  <c r="AA302" i="5"/>
  <c r="A302" i="5"/>
  <c r="A320" i="5" s="1"/>
  <c r="AL301" i="5"/>
  <c r="AK301" i="5"/>
  <c r="AJ301" i="5"/>
  <c r="AI301" i="5"/>
  <c r="AH301" i="5"/>
  <c r="AG301" i="5"/>
  <c r="AF301" i="5"/>
  <c r="AE301" i="5"/>
  <c r="AD301" i="5"/>
  <c r="AC301" i="5"/>
  <c r="AB301" i="5"/>
  <c r="AA301" i="5"/>
  <c r="AL300" i="5"/>
  <c r="AK300" i="5"/>
  <c r="AJ300" i="5"/>
  <c r="AI300" i="5"/>
  <c r="AH300" i="5"/>
  <c r="AG300" i="5"/>
  <c r="AF300" i="5"/>
  <c r="AE300" i="5"/>
  <c r="AD300" i="5"/>
  <c r="AC300" i="5"/>
  <c r="AB300" i="5"/>
  <c r="AA300" i="5"/>
  <c r="AL299" i="5"/>
  <c r="AK299" i="5"/>
  <c r="AJ299" i="5"/>
  <c r="AI299" i="5"/>
  <c r="AH299" i="5"/>
  <c r="AG299" i="5"/>
  <c r="AF299" i="5"/>
  <c r="AE299" i="5"/>
  <c r="AD299" i="5"/>
  <c r="AC299" i="5"/>
  <c r="AB299" i="5"/>
  <c r="AA299" i="5"/>
  <c r="A299" i="5"/>
  <c r="AL298" i="5"/>
  <c r="AK298" i="5"/>
  <c r="AJ298" i="5"/>
  <c r="AI298" i="5"/>
  <c r="AH298" i="5"/>
  <c r="AG298" i="5"/>
  <c r="AF298" i="5"/>
  <c r="AE298" i="5"/>
  <c r="AD298" i="5"/>
  <c r="AC298" i="5"/>
  <c r="AB298" i="5"/>
  <c r="AA298" i="5"/>
  <c r="A298" i="5"/>
  <c r="AL297" i="5"/>
  <c r="AK297" i="5"/>
  <c r="AJ297" i="5"/>
  <c r="AI297" i="5"/>
  <c r="AH297" i="5"/>
  <c r="AG297" i="5"/>
  <c r="AF297" i="5"/>
  <c r="AE297" i="5"/>
  <c r="AD297" i="5"/>
  <c r="AC297" i="5"/>
  <c r="AB297" i="5"/>
  <c r="AA297" i="5"/>
  <c r="A297" i="5"/>
  <c r="A315" i="5" s="1"/>
  <c r="AL296" i="5"/>
  <c r="AK296" i="5"/>
  <c r="AJ296" i="5"/>
  <c r="AI296" i="5"/>
  <c r="AH296" i="5"/>
  <c r="AG296" i="5"/>
  <c r="AF296" i="5"/>
  <c r="AE296" i="5"/>
  <c r="AD296" i="5"/>
  <c r="AC296" i="5"/>
  <c r="AB296" i="5"/>
  <c r="AA296" i="5"/>
  <c r="AL295" i="5"/>
  <c r="AK295" i="5"/>
  <c r="AJ295" i="5"/>
  <c r="AI295" i="5"/>
  <c r="AH295" i="5"/>
  <c r="AG295" i="5"/>
  <c r="AF295" i="5"/>
  <c r="AE295" i="5"/>
  <c r="AD295" i="5"/>
  <c r="AC295" i="5"/>
  <c r="AB295" i="5"/>
  <c r="AA295" i="5"/>
  <c r="A295" i="5"/>
  <c r="A313" i="5" s="1"/>
  <c r="AL294" i="5"/>
  <c r="AK294" i="5"/>
  <c r="AJ294" i="5"/>
  <c r="AI294" i="5"/>
  <c r="AH294" i="5"/>
  <c r="AG294" i="5"/>
  <c r="AF294" i="5"/>
  <c r="AE294" i="5"/>
  <c r="AD294" i="5"/>
  <c r="AC294" i="5"/>
  <c r="AB294" i="5"/>
  <c r="AA294" i="5"/>
  <c r="AL293" i="5"/>
  <c r="AK293" i="5"/>
  <c r="AJ293" i="5"/>
  <c r="AI293" i="5"/>
  <c r="AH293" i="5"/>
  <c r="AG293" i="5"/>
  <c r="AF293" i="5"/>
  <c r="AE293" i="5"/>
  <c r="AD293" i="5"/>
  <c r="AC293" i="5"/>
  <c r="AB293" i="5"/>
  <c r="AA293" i="5"/>
  <c r="AL292" i="5"/>
  <c r="AK292" i="5"/>
  <c r="AJ292" i="5"/>
  <c r="AI292" i="5"/>
  <c r="AH292" i="5"/>
  <c r="AG292" i="5"/>
  <c r="AF292" i="5"/>
  <c r="AE292" i="5"/>
  <c r="AD292" i="5"/>
  <c r="AC292" i="5"/>
  <c r="AB292" i="5"/>
  <c r="AA292" i="5"/>
  <c r="AL291" i="5"/>
  <c r="AK291" i="5"/>
  <c r="AJ291" i="5"/>
  <c r="AI291" i="5"/>
  <c r="AH291" i="5"/>
  <c r="AG291" i="5"/>
  <c r="AF291" i="5"/>
  <c r="AE291" i="5"/>
  <c r="AD291" i="5"/>
  <c r="AC291" i="5"/>
  <c r="AB291" i="5"/>
  <c r="AA291" i="5"/>
  <c r="AL290" i="5"/>
  <c r="AK290" i="5"/>
  <c r="AJ290" i="5"/>
  <c r="AI290" i="5"/>
  <c r="AH290" i="5"/>
  <c r="AG290" i="5"/>
  <c r="AF290" i="5"/>
  <c r="AE290" i="5"/>
  <c r="AD290" i="5"/>
  <c r="AC290" i="5"/>
  <c r="AB290" i="5"/>
  <c r="AA290" i="5"/>
  <c r="AL289" i="5"/>
  <c r="AK289" i="5"/>
  <c r="AJ289" i="5"/>
  <c r="AI289" i="5"/>
  <c r="AH289" i="5"/>
  <c r="AG289" i="5"/>
  <c r="AF289" i="5"/>
  <c r="AE289" i="5"/>
  <c r="AD289" i="5"/>
  <c r="AC289" i="5"/>
  <c r="AB289" i="5"/>
  <c r="AA289" i="5"/>
  <c r="AL288" i="5"/>
  <c r="AK288" i="5"/>
  <c r="AJ288" i="5"/>
  <c r="AI288" i="5"/>
  <c r="AH288" i="5"/>
  <c r="AG288" i="5"/>
  <c r="AF288" i="5"/>
  <c r="AE288" i="5"/>
  <c r="AD288" i="5"/>
  <c r="AC288" i="5"/>
  <c r="AB288" i="5"/>
  <c r="AA288" i="5"/>
  <c r="AL287" i="5"/>
  <c r="AK287" i="5"/>
  <c r="AJ287" i="5"/>
  <c r="AI287" i="5"/>
  <c r="AH287" i="5"/>
  <c r="AG287" i="5"/>
  <c r="AF287" i="5"/>
  <c r="AE287" i="5"/>
  <c r="AD287" i="5"/>
  <c r="AC287" i="5"/>
  <c r="AB287" i="5"/>
  <c r="AA287" i="5"/>
  <c r="A287" i="5"/>
  <c r="A296" i="5" s="1"/>
  <c r="A314" i="5" s="1"/>
  <c r="AL286" i="5"/>
  <c r="AK286" i="5"/>
  <c r="AJ286" i="5"/>
  <c r="AI286" i="5"/>
  <c r="AH286" i="5"/>
  <c r="AG286" i="5"/>
  <c r="AF286" i="5"/>
  <c r="AE286" i="5"/>
  <c r="AD286" i="5"/>
  <c r="AC286" i="5"/>
  <c r="AB286" i="5"/>
  <c r="AA286" i="5"/>
  <c r="AL285" i="5"/>
  <c r="AK285" i="5"/>
  <c r="AJ285" i="5"/>
  <c r="AI285" i="5"/>
  <c r="AH285" i="5"/>
  <c r="AG285" i="5"/>
  <c r="AF285" i="5"/>
  <c r="AE285" i="5"/>
  <c r="AD285" i="5"/>
  <c r="AC285" i="5"/>
  <c r="AB285" i="5"/>
  <c r="AA285" i="5"/>
  <c r="A285" i="5"/>
  <c r="A303" i="5" s="1"/>
  <c r="A321" i="5" s="1"/>
  <c r="AL284" i="5"/>
  <c r="AK284" i="5"/>
  <c r="AJ284" i="5"/>
  <c r="AI284" i="5"/>
  <c r="AH284" i="5"/>
  <c r="AG284" i="5"/>
  <c r="AF284" i="5"/>
  <c r="AE284" i="5"/>
  <c r="AD284" i="5"/>
  <c r="AC284" i="5"/>
  <c r="AB284" i="5"/>
  <c r="AA284" i="5"/>
  <c r="A284" i="5"/>
  <c r="A293" i="5" s="1"/>
  <c r="A311" i="5" s="1"/>
  <c r="AL283" i="5"/>
  <c r="AK283" i="5"/>
  <c r="AJ283" i="5"/>
  <c r="AI283" i="5"/>
  <c r="AH283" i="5"/>
  <c r="AG283" i="5"/>
  <c r="AF283" i="5"/>
  <c r="AE283" i="5"/>
  <c r="AD283" i="5"/>
  <c r="AC283" i="5"/>
  <c r="AB283" i="5"/>
  <c r="AA283" i="5"/>
  <c r="A283" i="5"/>
  <c r="A301" i="5" s="1"/>
  <c r="A319" i="5" s="1"/>
  <c r="AL282" i="5"/>
  <c r="AK282" i="5"/>
  <c r="AJ282" i="5"/>
  <c r="AI282" i="5"/>
  <c r="AH282" i="5"/>
  <c r="AG282" i="5"/>
  <c r="AF282" i="5"/>
  <c r="AE282" i="5"/>
  <c r="AD282" i="5"/>
  <c r="AC282" i="5"/>
  <c r="AB282" i="5"/>
  <c r="AA282" i="5"/>
  <c r="AL281" i="5"/>
  <c r="AK281" i="5"/>
  <c r="AJ281" i="5"/>
  <c r="AI281" i="5"/>
  <c r="AH281" i="5"/>
  <c r="AG281" i="5"/>
  <c r="AF281" i="5"/>
  <c r="AE281" i="5"/>
  <c r="AD281" i="5"/>
  <c r="AC281" i="5"/>
  <c r="AB281" i="5"/>
  <c r="AA281" i="5"/>
  <c r="A281" i="5"/>
  <c r="AL280" i="5"/>
  <c r="AK280" i="5"/>
  <c r="AJ280" i="5"/>
  <c r="AI280" i="5"/>
  <c r="AH280" i="5"/>
  <c r="AG280" i="5"/>
  <c r="AF280" i="5"/>
  <c r="AE280" i="5"/>
  <c r="AD280" i="5"/>
  <c r="AC280" i="5"/>
  <c r="AB280" i="5"/>
  <c r="AA280" i="5"/>
  <c r="A280" i="5"/>
  <c r="AL279" i="5"/>
  <c r="AK279" i="5"/>
  <c r="AJ279" i="5"/>
  <c r="AI279" i="5"/>
  <c r="AH279" i="5"/>
  <c r="AG279" i="5"/>
  <c r="AF279" i="5"/>
  <c r="AE279" i="5"/>
  <c r="AD279" i="5"/>
  <c r="AC279" i="5"/>
  <c r="AB279" i="5"/>
  <c r="AA279" i="5"/>
  <c r="A279" i="5"/>
  <c r="AL278" i="5"/>
  <c r="AK278" i="5"/>
  <c r="AJ278" i="5"/>
  <c r="AI278" i="5"/>
  <c r="AH278" i="5"/>
  <c r="AG278" i="5"/>
  <c r="AF278" i="5"/>
  <c r="AE278" i="5"/>
  <c r="AD278" i="5"/>
  <c r="AC278" i="5"/>
  <c r="AB278" i="5"/>
  <c r="AA278" i="5"/>
  <c r="A278" i="5"/>
  <c r="AL277" i="5"/>
  <c r="AK277" i="5"/>
  <c r="AJ277" i="5"/>
  <c r="AI277" i="5"/>
  <c r="AH277" i="5"/>
  <c r="AG277" i="5"/>
  <c r="AF277" i="5"/>
  <c r="AE277" i="5"/>
  <c r="AD277" i="5"/>
  <c r="AC277" i="5"/>
  <c r="AB277" i="5"/>
  <c r="AA277" i="5"/>
  <c r="A277" i="5"/>
  <c r="AL276" i="5"/>
  <c r="AK276" i="5"/>
  <c r="AJ276" i="5"/>
  <c r="AI276" i="5"/>
  <c r="AH276" i="5"/>
  <c r="AG276" i="5"/>
  <c r="AF276" i="5"/>
  <c r="AE276" i="5"/>
  <c r="AD276" i="5"/>
  <c r="AC276" i="5"/>
  <c r="AB276" i="5"/>
  <c r="AA276" i="5"/>
  <c r="A276" i="5"/>
  <c r="AL275" i="5"/>
  <c r="AK275" i="5"/>
  <c r="AJ275" i="5"/>
  <c r="AI275" i="5"/>
  <c r="AH275" i="5"/>
  <c r="AG275" i="5"/>
  <c r="AF275" i="5"/>
  <c r="AE275" i="5"/>
  <c r="AD275" i="5"/>
  <c r="AC275" i="5"/>
  <c r="AB275" i="5"/>
  <c r="AA275" i="5"/>
  <c r="A275" i="5"/>
  <c r="AL274" i="5"/>
  <c r="AK274" i="5"/>
  <c r="AJ274" i="5"/>
  <c r="AI274" i="5"/>
  <c r="AH274" i="5"/>
  <c r="AG274" i="5"/>
  <c r="AF274" i="5"/>
  <c r="AE274" i="5"/>
  <c r="AD274" i="5"/>
  <c r="AC274" i="5"/>
  <c r="AB274" i="5"/>
  <c r="AA274" i="5"/>
  <c r="A274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AL270" i="5"/>
  <c r="AK270" i="5"/>
  <c r="AJ270" i="5"/>
  <c r="AI270" i="5"/>
  <c r="AH270" i="5"/>
  <c r="AG270" i="5"/>
  <c r="AF270" i="5"/>
  <c r="AE270" i="5"/>
  <c r="AD270" i="5"/>
  <c r="AC270" i="5"/>
  <c r="AB270" i="5"/>
  <c r="AA270" i="5"/>
  <c r="AL269" i="5"/>
  <c r="AK269" i="5"/>
  <c r="AJ269" i="5"/>
  <c r="AI269" i="5"/>
  <c r="AH269" i="5"/>
  <c r="AG269" i="5"/>
  <c r="AF269" i="5"/>
  <c r="AE269" i="5"/>
  <c r="AD269" i="5"/>
  <c r="AC269" i="5"/>
  <c r="AB269" i="5"/>
  <c r="AA269" i="5"/>
  <c r="AL268" i="5"/>
  <c r="AK268" i="5"/>
  <c r="AJ268" i="5"/>
  <c r="AI268" i="5"/>
  <c r="AH268" i="5"/>
  <c r="AG268" i="5"/>
  <c r="AF268" i="5"/>
  <c r="AE268" i="5"/>
  <c r="AD268" i="5"/>
  <c r="AC268" i="5"/>
  <c r="AB268" i="5"/>
  <c r="AA268" i="5"/>
  <c r="AL267" i="5"/>
  <c r="AK267" i="5"/>
  <c r="AJ267" i="5"/>
  <c r="AI267" i="5"/>
  <c r="AH267" i="5"/>
  <c r="AG267" i="5"/>
  <c r="AF267" i="5"/>
  <c r="AE267" i="5"/>
  <c r="AD267" i="5"/>
  <c r="AC267" i="5"/>
  <c r="AB267" i="5"/>
  <c r="AA267" i="5"/>
  <c r="AL266" i="5"/>
  <c r="AK266" i="5"/>
  <c r="AJ266" i="5"/>
  <c r="AI266" i="5"/>
  <c r="AH266" i="5"/>
  <c r="AG266" i="5"/>
  <c r="AF266" i="5"/>
  <c r="AE266" i="5"/>
  <c r="AD266" i="5"/>
  <c r="AC266" i="5"/>
  <c r="AB266" i="5"/>
  <c r="AA266" i="5"/>
  <c r="AL265" i="5"/>
  <c r="AK265" i="5"/>
  <c r="AJ265" i="5"/>
  <c r="AI265" i="5"/>
  <c r="AH265" i="5"/>
  <c r="AG265" i="5"/>
  <c r="AF265" i="5"/>
  <c r="AE265" i="5"/>
  <c r="AD265" i="5"/>
  <c r="AC265" i="5"/>
  <c r="AB265" i="5"/>
  <c r="AA265" i="5"/>
  <c r="AL264" i="5"/>
  <c r="AK264" i="5"/>
  <c r="AJ264" i="5"/>
  <c r="AI264" i="5"/>
  <c r="AH264" i="5"/>
  <c r="AG264" i="5"/>
  <c r="AF264" i="5"/>
  <c r="AE264" i="5"/>
  <c r="AD264" i="5"/>
  <c r="AC264" i="5"/>
  <c r="AB264" i="5"/>
  <c r="AA264" i="5"/>
  <c r="AL263" i="5"/>
  <c r="AK263" i="5"/>
  <c r="AJ263" i="5"/>
  <c r="AI263" i="5"/>
  <c r="AH263" i="5"/>
  <c r="AG263" i="5"/>
  <c r="AF263" i="5"/>
  <c r="AE263" i="5"/>
  <c r="AD263" i="5"/>
  <c r="AC263" i="5"/>
  <c r="AB263" i="5"/>
  <c r="AA263" i="5"/>
  <c r="AL262" i="5"/>
  <c r="AK262" i="5"/>
  <c r="AJ262" i="5"/>
  <c r="AI262" i="5"/>
  <c r="AH262" i="5"/>
  <c r="AG262" i="5"/>
  <c r="AF262" i="5"/>
  <c r="AE262" i="5"/>
  <c r="AD262" i="5"/>
  <c r="AC262" i="5"/>
  <c r="AB262" i="5"/>
  <c r="AA262" i="5"/>
  <c r="AL261" i="5"/>
  <c r="AK261" i="5"/>
  <c r="AJ261" i="5"/>
  <c r="AI261" i="5"/>
  <c r="AH261" i="5"/>
  <c r="AG261" i="5"/>
  <c r="AF261" i="5"/>
  <c r="AE261" i="5"/>
  <c r="AD261" i="5"/>
  <c r="AC261" i="5"/>
  <c r="AB261" i="5"/>
  <c r="AA261" i="5"/>
  <c r="AL260" i="5"/>
  <c r="AK260" i="5"/>
  <c r="AJ260" i="5"/>
  <c r="AI260" i="5"/>
  <c r="AH260" i="5"/>
  <c r="AG260" i="5"/>
  <c r="AF260" i="5"/>
  <c r="AE260" i="5"/>
  <c r="AD260" i="5"/>
  <c r="AC260" i="5"/>
  <c r="AB260" i="5"/>
  <c r="AA260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AL258" i="5"/>
  <c r="AK258" i="5"/>
  <c r="AJ258" i="5"/>
  <c r="AI258" i="5"/>
  <c r="AH258" i="5"/>
  <c r="AG258" i="5"/>
  <c r="AF258" i="5"/>
  <c r="AE258" i="5"/>
  <c r="AD258" i="5"/>
  <c r="AC258" i="5"/>
  <c r="AB258" i="5"/>
  <c r="AA258" i="5"/>
  <c r="AL257" i="5"/>
  <c r="AK257" i="5"/>
  <c r="AJ257" i="5"/>
  <c r="AI257" i="5"/>
  <c r="AH257" i="5"/>
  <c r="AG257" i="5"/>
  <c r="AF257" i="5"/>
  <c r="AE257" i="5"/>
  <c r="AD257" i="5"/>
  <c r="AC257" i="5"/>
  <c r="AB257" i="5"/>
  <c r="AA257" i="5"/>
  <c r="AL256" i="5"/>
  <c r="AK256" i="5"/>
  <c r="AJ256" i="5"/>
  <c r="AI256" i="5"/>
  <c r="AH256" i="5"/>
  <c r="AG256" i="5"/>
  <c r="AF256" i="5"/>
  <c r="AE256" i="5"/>
  <c r="AD256" i="5"/>
  <c r="AC256" i="5"/>
  <c r="AB256" i="5"/>
  <c r="AA256" i="5"/>
  <c r="AL255" i="5"/>
  <c r="AK255" i="5"/>
  <c r="AJ255" i="5"/>
  <c r="AI255" i="5"/>
  <c r="AH255" i="5"/>
  <c r="AG255" i="5"/>
  <c r="AF255" i="5"/>
  <c r="AE255" i="5"/>
  <c r="AD255" i="5"/>
  <c r="AC255" i="5"/>
  <c r="AB255" i="5"/>
  <c r="AA255" i="5"/>
  <c r="AH252" i="5"/>
  <c r="Y252" i="5"/>
  <c r="Q252" i="5"/>
  <c r="I252" i="5"/>
  <c r="AL251" i="5"/>
  <c r="AK251" i="5"/>
  <c r="AK252" i="5" s="1"/>
  <c r="AJ251" i="5"/>
  <c r="AJ252" i="5" s="1"/>
  <c r="AI251" i="5"/>
  <c r="AI252" i="5" s="1"/>
  <c r="AH251" i="5"/>
  <c r="AG251" i="5"/>
  <c r="AG252" i="5" s="1"/>
  <c r="AF251" i="5"/>
  <c r="AF252" i="5" s="1"/>
  <c r="AE251" i="5"/>
  <c r="AD251" i="5"/>
  <c r="AC251" i="5"/>
  <c r="AC252" i="5" s="1"/>
  <c r="AB251" i="5"/>
  <c r="AB252" i="5" s="1"/>
  <c r="AA251" i="5"/>
  <c r="AA252" i="5" s="1"/>
  <c r="Y251" i="5"/>
  <c r="X251" i="5"/>
  <c r="W251" i="5"/>
  <c r="V251" i="5"/>
  <c r="U251" i="5"/>
  <c r="T251" i="5"/>
  <c r="T252" i="5" s="1"/>
  <c r="S251" i="5"/>
  <c r="S252" i="5" s="1"/>
  <c r="R251" i="5"/>
  <c r="R252" i="5" s="1"/>
  <c r="Q251" i="5"/>
  <c r="P251" i="5"/>
  <c r="O251" i="5"/>
  <c r="N251" i="5"/>
  <c r="M251" i="5"/>
  <c r="L251" i="5"/>
  <c r="L252" i="5" s="1"/>
  <c r="K251" i="5"/>
  <c r="K252" i="5" s="1"/>
  <c r="J251" i="5"/>
  <c r="J252" i="5" s="1"/>
  <c r="I251" i="5"/>
  <c r="H251" i="5"/>
  <c r="H252" i="5" s="1"/>
  <c r="G251" i="5"/>
  <c r="G252" i="5" s="1"/>
  <c r="F251" i="5"/>
  <c r="E251" i="5"/>
  <c r="D251" i="5"/>
  <c r="D252" i="5" s="1"/>
  <c r="C251" i="5"/>
  <c r="C252" i="5" s="1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AI249" i="5"/>
  <c r="AH249" i="5"/>
  <c r="Y249" i="5"/>
  <c r="R249" i="5"/>
  <c r="Q249" i="5"/>
  <c r="I249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Y248" i="5"/>
  <c r="X248" i="5"/>
  <c r="U248" i="5"/>
  <c r="T248" i="5"/>
  <c r="S248" i="5"/>
  <c r="Q248" i="5"/>
  <c r="M248" i="5"/>
  <c r="L248" i="5"/>
  <c r="K248" i="5"/>
  <c r="I248" i="5"/>
  <c r="H248" i="5"/>
  <c r="E248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AA249" i="5" s="1"/>
  <c r="Y244" i="5"/>
  <c r="X244" i="5"/>
  <c r="X249" i="5" s="1"/>
  <c r="W244" i="5"/>
  <c r="V244" i="5"/>
  <c r="V248" i="5" s="1"/>
  <c r="U244" i="5"/>
  <c r="T244" i="5"/>
  <c r="S244" i="5"/>
  <c r="R244" i="5"/>
  <c r="R248" i="5" s="1"/>
  <c r="Q244" i="5"/>
  <c r="P244" i="5"/>
  <c r="P248" i="5" s="1"/>
  <c r="O244" i="5"/>
  <c r="N244" i="5"/>
  <c r="N248" i="5" s="1"/>
  <c r="M244" i="5"/>
  <c r="L244" i="5"/>
  <c r="K244" i="5"/>
  <c r="J244" i="5"/>
  <c r="J248" i="5" s="1"/>
  <c r="I244" i="5"/>
  <c r="H244" i="5"/>
  <c r="G244" i="5"/>
  <c r="F244" i="5"/>
  <c r="F248" i="5" s="1"/>
  <c r="E244" i="5"/>
  <c r="D244" i="5"/>
  <c r="C244" i="5"/>
  <c r="C248" i="5" s="1"/>
  <c r="AB243" i="5"/>
  <c r="S243" i="5"/>
  <c r="F243" i="5"/>
  <c r="C243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AL235" i="5"/>
  <c r="AL243" i="5" s="1"/>
  <c r="AK235" i="5"/>
  <c r="AK243" i="5" s="1"/>
  <c r="AJ235" i="5"/>
  <c r="AI235" i="5"/>
  <c r="AI243" i="5" s="1"/>
  <c r="AH235" i="5"/>
  <c r="AH243" i="5" s="1"/>
  <c r="AG235" i="5"/>
  <c r="AF235" i="5"/>
  <c r="AE235" i="5"/>
  <c r="AD235" i="5"/>
  <c r="AC235" i="5"/>
  <c r="AC243" i="5" s="1"/>
  <c r="AB235" i="5"/>
  <c r="AA235" i="5"/>
  <c r="AA243" i="5" s="1"/>
  <c r="Y235" i="5"/>
  <c r="Y243" i="5" s="1"/>
  <c r="X235" i="5"/>
  <c r="W235" i="5"/>
  <c r="V235" i="5"/>
  <c r="V243" i="5" s="1"/>
  <c r="U235" i="5"/>
  <c r="U243" i="5" s="1"/>
  <c r="T235" i="5"/>
  <c r="T243" i="5" s="1"/>
  <c r="S235" i="5"/>
  <c r="R235" i="5"/>
  <c r="R243" i="5" s="1"/>
  <c r="Q235" i="5"/>
  <c r="Q243" i="5" s="1"/>
  <c r="P235" i="5"/>
  <c r="O235" i="5"/>
  <c r="N235" i="5"/>
  <c r="M235" i="5"/>
  <c r="M243" i="5" s="1"/>
  <c r="L235" i="5"/>
  <c r="L243" i="5" s="1"/>
  <c r="K235" i="5"/>
  <c r="J235" i="5"/>
  <c r="J243" i="5" s="1"/>
  <c r="I235" i="5"/>
  <c r="I243" i="5" s="1"/>
  <c r="H235" i="5"/>
  <c r="G235" i="5"/>
  <c r="F235" i="5"/>
  <c r="E235" i="5"/>
  <c r="D235" i="5"/>
  <c r="D243" i="5" s="1"/>
  <c r="C235" i="5"/>
  <c r="Y234" i="5"/>
  <c r="Q234" i="5"/>
  <c r="L234" i="5"/>
  <c r="I234" i="5"/>
  <c r="D234" i="5"/>
  <c r="AA233" i="5"/>
  <c r="AA234" i="5" s="1"/>
  <c r="Y233" i="5"/>
  <c r="X233" i="5"/>
  <c r="W233" i="5"/>
  <c r="W234" i="5" s="1"/>
  <c r="V233" i="5"/>
  <c r="U233" i="5"/>
  <c r="T233" i="5"/>
  <c r="T234" i="5" s="1"/>
  <c r="S233" i="5"/>
  <c r="R233" i="5"/>
  <c r="R234" i="5" s="1"/>
  <c r="Q233" i="5"/>
  <c r="P233" i="5"/>
  <c r="P234" i="5" s="1"/>
  <c r="O233" i="5"/>
  <c r="N233" i="5"/>
  <c r="M233" i="5"/>
  <c r="L233" i="5"/>
  <c r="K233" i="5"/>
  <c r="J233" i="5"/>
  <c r="J234" i="5" s="1"/>
  <c r="I233" i="5"/>
  <c r="H233" i="5"/>
  <c r="H234" i="5" s="1"/>
  <c r="G233" i="5"/>
  <c r="G234" i="5" s="1"/>
  <c r="F233" i="5"/>
  <c r="E233" i="5"/>
  <c r="D233" i="5"/>
  <c r="C233" i="5"/>
  <c r="AJ232" i="5"/>
  <c r="V232" i="5"/>
  <c r="S232" i="5"/>
  <c r="K232" i="5"/>
  <c r="AL231" i="5"/>
  <c r="AK231" i="5"/>
  <c r="AJ231" i="5"/>
  <c r="AI231" i="5"/>
  <c r="AI232" i="5" s="1"/>
  <c r="AH231" i="5"/>
  <c r="AH232" i="5" s="1"/>
  <c r="AG231" i="5"/>
  <c r="AF231" i="5"/>
  <c r="AE231" i="5"/>
  <c r="AD231" i="5"/>
  <c r="AD232" i="5" s="1"/>
  <c r="AC231" i="5"/>
  <c r="AB231" i="5"/>
  <c r="AA231" i="5"/>
  <c r="AA232" i="5" s="1"/>
  <c r="Y231" i="5"/>
  <c r="Y232" i="5" s="1"/>
  <c r="X231" i="5"/>
  <c r="W231" i="5"/>
  <c r="V231" i="5"/>
  <c r="U231" i="5"/>
  <c r="T231" i="5"/>
  <c r="S231" i="5"/>
  <c r="R231" i="5"/>
  <c r="R232" i="5" s="1"/>
  <c r="Q231" i="5"/>
  <c r="Q232" i="5" s="1"/>
  <c r="P231" i="5"/>
  <c r="O231" i="5"/>
  <c r="N231" i="5"/>
  <c r="M231" i="5"/>
  <c r="L231" i="5"/>
  <c r="K231" i="5"/>
  <c r="J231" i="5"/>
  <c r="J232" i="5" s="1"/>
  <c r="I231" i="5"/>
  <c r="I232" i="5" s="1"/>
  <c r="H231" i="5"/>
  <c r="G231" i="5"/>
  <c r="F231" i="5"/>
  <c r="E231" i="5"/>
  <c r="D231" i="5"/>
  <c r="C231" i="5"/>
  <c r="Y230" i="5"/>
  <c r="R230" i="5"/>
  <c r="Q230" i="5"/>
  <c r="M230" i="5"/>
  <c r="L230" i="5"/>
  <c r="K230" i="5"/>
  <c r="J230" i="5"/>
  <c r="I230" i="5"/>
  <c r="D230" i="5"/>
  <c r="C230" i="5"/>
  <c r="Y229" i="5"/>
  <c r="X229" i="5"/>
  <c r="X230" i="5" s="1"/>
  <c r="W229" i="5"/>
  <c r="V229" i="5"/>
  <c r="U229" i="5"/>
  <c r="T229" i="5"/>
  <c r="S229" i="5"/>
  <c r="S230" i="5" s="1"/>
  <c r="R229" i="5"/>
  <c r="Q229" i="5"/>
  <c r="P229" i="5"/>
  <c r="P230" i="5" s="1"/>
  <c r="O229" i="5"/>
  <c r="N229" i="5"/>
  <c r="M229" i="5"/>
  <c r="L229" i="5"/>
  <c r="K229" i="5"/>
  <c r="J229" i="5"/>
  <c r="I229" i="5"/>
  <c r="H229" i="5"/>
  <c r="H230" i="5" s="1"/>
  <c r="G229" i="5"/>
  <c r="F229" i="5"/>
  <c r="E229" i="5"/>
  <c r="D229" i="5"/>
  <c r="C229" i="5"/>
  <c r="Y228" i="5"/>
  <c r="V228" i="5"/>
  <c r="S228" i="5"/>
  <c r="R228" i="5"/>
  <c r="Q228" i="5"/>
  <c r="J228" i="5"/>
  <c r="I228" i="5"/>
  <c r="C228" i="5"/>
  <c r="AA227" i="5"/>
  <c r="AA228" i="5" s="1"/>
  <c r="Y227" i="5"/>
  <c r="X227" i="5"/>
  <c r="W227" i="5"/>
  <c r="V227" i="5"/>
  <c r="U227" i="5"/>
  <c r="U228" i="5" s="1"/>
  <c r="T227" i="5"/>
  <c r="T228" i="5" s="1"/>
  <c r="S227" i="5"/>
  <c r="R227" i="5"/>
  <c r="Q227" i="5"/>
  <c r="P227" i="5"/>
  <c r="O227" i="5"/>
  <c r="N227" i="5"/>
  <c r="N228" i="5" s="1"/>
  <c r="M227" i="5"/>
  <c r="M228" i="5" s="1"/>
  <c r="L227" i="5"/>
  <c r="L228" i="5" s="1"/>
  <c r="K227" i="5"/>
  <c r="J227" i="5"/>
  <c r="I227" i="5"/>
  <c r="H227" i="5"/>
  <c r="G227" i="5"/>
  <c r="F227" i="5"/>
  <c r="E227" i="5"/>
  <c r="E228" i="5" s="1"/>
  <c r="D227" i="5"/>
  <c r="D228" i="5" s="1"/>
  <c r="C227" i="5"/>
  <c r="AD226" i="5"/>
  <c r="Y226" i="5"/>
  <c r="Q226" i="5"/>
  <c r="I226" i="5"/>
  <c r="AG225" i="5"/>
  <c r="AG226" i="5" s="1"/>
  <c r="AF225" i="5"/>
  <c r="AF226" i="5" s="1"/>
  <c r="AA225" i="5"/>
  <c r="AA226" i="5" s="1"/>
  <c r="Y225" i="5"/>
  <c r="X225" i="5"/>
  <c r="W225" i="5"/>
  <c r="W226" i="5" s="1"/>
  <c r="V225" i="5"/>
  <c r="U225" i="5"/>
  <c r="T225" i="5"/>
  <c r="T226" i="5" s="1"/>
  <c r="S225" i="5"/>
  <c r="S226" i="5" s="1"/>
  <c r="R225" i="5"/>
  <c r="R226" i="5" s="1"/>
  <c r="Q225" i="5"/>
  <c r="P225" i="5"/>
  <c r="O225" i="5"/>
  <c r="N225" i="5"/>
  <c r="M225" i="5"/>
  <c r="L225" i="5"/>
  <c r="L226" i="5" s="1"/>
  <c r="K225" i="5"/>
  <c r="K226" i="5" s="1"/>
  <c r="J225" i="5"/>
  <c r="J226" i="5" s="1"/>
  <c r="I225" i="5"/>
  <c r="H225" i="5"/>
  <c r="G225" i="5"/>
  <c r="F225" i="5"/>
  <c r="E225" i="5"/>
  <c r="D225" i="5"/>
  <c r="D226" i="5" s="1"/>
  <c r="C225" i="5"/>
  <c r="C226" i="5" s="1"/>
  <c r="AI224" i="5"/>
  <c r="U224" i="5"/>
  <c r="T224" i="5"/>
  <c r="S224" i="5"/>
  <c r="R224" i="5"/>
  <c r="L224" i="5"/>
  <c r="K224" i="5"/>
  <c r="J224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Y223" i="5"/>
  <c r="R223" i="5"/>
  <c r="Q223" i="5"/>
  <c r="P223" i="5"/>
  <c r="I223" i="5"/>
  <c r="H223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C215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AL211" i="5"/>
  <c r="AL224" i="5" s="1"/>
  <c r="AK211" i="5"/>
  <c r="AJ211" i="5"/>
  <c r="AI211" i="5"/>
  <c r="AH211" i="5"/>
  <c r="AH224" i="5" s="1"/>
  <c r="AG211" i="5"/>
  <c r="AF211" i="5"/>
  <c r="AE211" i="5"/>
  <c r="AE224" i="5" s="1"/>
  <c r="AD211" i="5"/>
  <c r="AD224" i="5" s="1"/>
  <c r="AC211" i="5"/>
  <c r="AB211" i="5"/>
  <c r="AA211" i="5"/>
  <c r="AA224" i="5" s="1"/>
  <c r="Y211" i="5"/>
  <c r="Y224" i="5" s="1"/>
  <c r="X211" i="5"/>
  <c r="W211" i="5"/>
  <c r="W223" i="5" s="1"/>
  <c r="V211" i="5"/>
  <c r="V223" i="5" s="1"/>
  <c r="U211" i="5"/>
  <c r="U223" i="5" s="1"/>
  <c r="T211" i="5"/>
  <c r="T223" i="5" s="1"/>
  <c r="S211" i="5"/>
  <c r="S223" i="5" s="1"/>
  <c r="R211" i="5"/>
  <c r="Q211" i="5"/>
  <c r="Q224" i="5" s="1"/>
  <c r="P211" i="5"/>
  <c r="O211" i="5"/>
  <c r="O224" i="5" s="1"/>
  <c r="N211" i="5"/>
  <c r="N223" i="5" s="1"/>
  <c r="M211" i="5"/>
  <c r="M223" i="5" s="1"/>
  <c r="L211" i="5"/>
  <c r="L223" i="5" s="1"/>
  <c r="K211" i="5"/>
  <c r="K223" i="5" s="1"/>
  <c r="J211" i="5"/>
  <c r="J223" i="5" s="1"/>
  <c r="I211" i="5"/>
  <c r="I224" i="5" s="1"/>
  <c r="H211" i="5"/>
  <c r="G211" i="5"/>
  <c r="G223" i="5" s="1"/>
  <c r="F211" i="5"/>
  <c r="F223" i="5" s="1"/>
  <c r="E211" i="5"/>
  <c r="E224" i="5" s="1"/>
  <c r="D211" i="5"/>
  <c r="D223" i="5" s="1"/>
  <c r="C211" i="5"/>
  <c r="C223" i="5" s="1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Y209" i="5"/>
  <c r="U209" i="5"/>
  <c r="T209" i="5"/>
  <c r="Q209" i="5"/>
  <c r="L209" i="5"/>
  <c r="I209" i="5"/>
  <c r="H209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AL207" i="5"/>
  <c r="AL249" i="5" s="1"/>
  <c r="AK207" i="5"/>
  <c r="AK232" i="5" s="1"/>
  <c r="AJ207" i="5"/>
  <c r="AJ243" i="5" s="1"/>
  <c r="AI207" i="5"/>
  <c r="AH207" i="5"/>
  <c r="AG207" i="5"/>
  <c r="AG249" i="5" s="1"/>
  <c r="AF207" i="5"/>
  <c r="AF243" i="5" s="1"/>
  <c r="AE207" i="5"/>
  <c r="AE252" i="5" s="1"/>
  <c r="AD207" i="5"/>
  <c r="AD252" i="5" s="1"/>
  <c r="AC207" i="5"/>
  <c r="AC232" i="5" s="1"/>
  <c r="AB207" i="5"/>
  <c r="AB224" i="5" s="1"/>
  <c r="AA207" i="5"/>
  <c r="Y207" i="5"/>
  <c r="X207" i="5"/>
  <c r="X228" i="5" s="1"/>
  <c r="W207" i="5"/>
  <c r="W243" i="5" s="1"/>
  <c r="V207" i="5"/>
  <c r="U207" i="5"/>
  <c r="U252" i="5" s="1"/>
  <c r="T207" i="5"/>
  <c r="T232" i="5" s="1"/>
  <c r="S207" i="5"/>
  <c r="S209" i="5" s="1"/>
  <c r="R207" i="5"/>
  <c r="R209" i="5" s="1"/>
  <c r="Q207" i="5"/>
  <c r="P207" i="5"/>
  <c r="P228" i="5" s="1"/>
  <c r="O207" i="5"/>
  <c r="O232" i="5" s="1"/>
  <c r="N207" i="5"/>
  <c r="N243" i="5" s="1"/>
  <c r="M207" i="5"/>
  <c r="M226" i="5" s="1"/>
  <c r="L207" i="5"/>
  <c r="L232" i="5" s="1"/>
  <c r="K207" i="5"/>
  <c r="K209" i="5" s="1"/>
  <c r="J207" i="5"/>
  <c r="J209" i="5" s="1"/>
  <c r="I207" i="5"/>
  <c r="H207" i="5"/>
  <c r="H228" i="5" s="1"/>
  <c r="G207" i="5"/>
  <c r="G243" i="5" s="1"/>
  <c r="F207" i="5"/>
  <c r="F232" i="5" s="1"/>
  <c r="E207" i="5"/>
  <c r="E209" i="5" s="1"/>
  <c r="D207" i="5"/>
  <c r="D232" i="5" s="1"/>
  <c r="C207" i="5"/>
  <c r="C209" i="5" s="1"/>
  <c r="W206" i="5"/>
  <c r="V206" i="5"/>
  <c r="O206" i="5"/>
  <c r="N206" i="5"/>
  <c r="J206" i="5"/>
  <c r="I206" i="5"/>
  <c r="H206" i="5"/>
  <c r="G206" i="5"/>
  <c r="AL205" i="5"/>
  <c r="AK205" i="5"/>
  <c r="AJ205" i="5"/>
  <c r="AJ206" i="5" s="1"/>
  <c r="AI205" i="5"/>
  <c r="AI206" i="5" s="1"/>
  <c r="AH205" i="5"/>
  <c r="AG205" i="5"/>
  <c r="AF205" i="5"/>
  <c r="AE205" i="5"/>
  <c r="AD205" i="5"/>
  <c r="AC205" i="5"/>
  <c r="AB205" i="5"/>
  <c r="AB206" i="5" s="1"/>
  <c r="AA205" i="5"/>
  <c r="AA206" i="5" s="1"/>
  <c r="Y205" i="5"/>
  <c r="Y206" i="5" s="1"/>
  <c r="X205" i="5"/>
  <c r="W205" i="5"/>
  <c r="V205" i="5"/>
  <c r="U205" i="5"/>
  <c r="T205" i="5"/>
  <c r="S205" i="5"/>
  <c r="S206" i="5" s="1"/>
  <c r="R205" i="5"/>
  <c r="R206" i="5" s="1"/>
  <c r="Q205" i="5"/>
  <c r="Q206" i="5" s="1"/>
  <c r="P205" i="5"/>
  <c r="O205" i="5"/>
  <c r="N205" i="5"/>
  <c r="M205" i="5"/>
  <c r="L205" i="5"/>
  <c r="K205" i="5"/>
  <c r="K206" i="5" s="1"/>
  <c r="J205" i="5"/>
  <c r="I205" i="5"/>
  <c r="H205" i="5"/>
  <c r="G205" i="5"/>
  <c r="F205" i="5"/>
  <c r="F206" i="5" s="1"/>
  <c r="E205" i="5"/>
  <c r="D205" i="5"/>
  <c r="C205" i="5"/>
  <c r="C206" i="5" s="1"/>
  <c r="AA204" i="5"/>
  <c r="Y204" i="5"/>
  <c r="X204" i="5"/>
  <c r="X206" i="5" s="1"/>
  <c r="W204" i="5"/>
  <c r="V204" i="5"/>
  <c r="U204" i="5"/>
  <c r="T204" i="5"/>
  <c r="S204" i="5"/>
  <c r="R204" i="5"/>
  <c r="Q204" i="5"/>
  <c r="P204" i="5"/>
  <c r="P206" i="5" s="1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Y197" i="5"/>
  <c r="X197" i="5"/>
  <c r="U197" i="5"/>
  <c r="T197" i="5"/>
  <c r="S197" i="5"/>
  <c r="R197" i="5"/>
  <c r="M197" i="5"/>
  <c r="L197" i="5"/>
  <c r="K197" i="5"/>
  <c r="J197" i="5"/>
  <c r="E197" i="5"/>
  <c r="D197" i="5"/>
  <c r="C197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V196" i="5"/>
  <c r="W194" i="5" s="1"/>
  <c r="U196" i="5"/>
  <c r="T196" i="5"/>
  <c r="S196" i="5"/>
  <c r="R196" i="5"/>
  <c r="Q196" i="5"/>
  <c r="Q197" i="5" s="1"/>
  <c r="P196" i="5"/>
  <c r="P197" i="5" s="1"/>
  <c r="O196" i="5"/>
  <c r="O197" i="5" s="1"/>
  <c r="N196" i="5"/>
  <c r="N197" i="5" s="1"/>
  <c r="M196" i="5"/>
  <c r="L196" i="5"/>
  <c r="K196" i="5"/>
  <c r="J196" i="5"/>
  <c r="I196" i="5"/>
  <c r="I197" i="5" s="1"/>
  <c r="H196" i="5"/>
  <c r="H197" i="5" s="1"/>
  <c r="G196" i="5"/>
  <c r="G197" i="5" s="1"/>
  <c r="F196" i="5"/>
  <c r="F197" i="5" s="1"/>
  <c r="E196" i="5"/>
  <c r="D196" i="5"/>
  <c r="C196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W192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W184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W181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W162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AA229" i="5" s="1"/>
  <c r="AA230" i="5" s="1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W157" i="5"/>
  <c r="W165" i="5" s="1"/>
  <c r="W175" i="5" s="1"/>
  <c r="W193" i="5" s="1"/>
  <c r="AK153" i="5"/>
  <c r="AL233" i="5" s="1"/>
  <c r="AL234" i="5" s="1"/>
  <c r="AC153" i="5"/>
  <c r="AD233" i="5" s="1"/>
  <c r="AD234" i="5" s="1"/>
  <c r="AM152" i="5"/>
  <c r="AM151" i="5"/>
  <c r="AK150" i="5"/>
  <c r="AL229" i="5" s="1"/>
  <c r="AL230" i="5" s="1"/>
  <c r="AC150" i="5"/>
  <c r="AD229" i="5" s="1"/>
  <c r="AD230" i="5" s="1"/>
  <c r="AL149" i="5"/>
  <c r="AK149" i="5"/>
  <c r="AJ149" i="5"/>
  <c r="AI149" i="5"/>
  <c r="AH149" i="5"/>
  <c r="AG149" i="5"/>
  <c r="AF149" i="5"/>
  <c r="AE149" i="5"/>
  <c r="AM149" i="5" s="1"/>
  <c r="AD149" i="5"/>
  <c r="AC149" i="5"/>
  <c r="AB149" i="5"/>
  <c r="AA149" i="5"/>
  <c r="AM148" i="5"/>
  <c r="AM147" i="5"/>
  <c r="AL146" i="5"/>
  <c r="AL150" i="5" s="1"/>
  <c r="AK146" i="5"/>
  <c r="AG146" i="5"/>
  <c r="AG150" i="5" s="1"/>
  <c r="AF146" i="5"/>
  <c r="AF150" i="5" s="1"/>
  <c r="AE146" i="5"/>
  <c r="AE150" i="5" s="1"/>
  <c r="AD146" i="5"/>
  <c r="AD150" i="5" s="1"/>
  <c r="AC146" i="5"/>
  <c r="AM145" i="5"/>
  <c r="AM144" i="5"/>
  <c r="AM143" i="5"/>
  <c r="AM142" i="5"/>
  <c r="AM141" i="5"/>
  <c r="AM140" i="5"/>
  <c r="AL139" i="5"/>
  <c r="AK139" i="5"/>
  <c r="AL225" i="5" s="1"/>
  <c r="AL226" i="5" s="1"/>
  <c r="AJ139" i="5"/>
  <c r="AK225" i="5" s="1"/>
  <c r="AK226" i="5" s="1"/>
  <c r="AI139" i="5"/>
  <c r="AJ225" i="5" s="1"/>
  <c r="AJ226" i="5" s="1"/>
  <c r="AH139" i="5"/>
  <c r="AI225" i="5" s="1"/>
  <c r="AI226" i="5" s="1"/>
  <c r="AG139" i="5"/>
  <c r="AH225" i="5" s="1"/>
  <c r="AH226" i="5" s="1"/>
  <c r="AF139" i="5"/>
  <c r="AE139" i="5"/>
  <c r="AD139" i="5"/>
  <c r="AE225" i="5" s="1"/>
  <c r="AC139" i="5"/>
  <c r="AD225" i="5" s="1"/>
  <c r="AB139" i="5"/>
  <c r="AB146" i="5" s="1"/>
  <c r="AB150" i="5" s="1"/>
  <c r="AA139" i="5"/>
  <c r="AM139" i="5" s="1"/>
  <c r="AM138" i="5"/>
  <c r="AM137" i="5"/>
  <c r="AM136" i="5"/>
  <c r="AL135" i="5"/>
  <c r="AK135" i="5"/>
  <c r="AL204" i="5" s="1"/>
  <c r="AJ135" i="5"/>
  <c r="AK204" i="5" s="1"/>
  <c r="AI135" i="5"/>
  <c r="AJ204" i="5" s="1"/>
  <c r="AH135" i="5"/>
  <c r="AI204" i="5" s="1"/>
  <c r="AG135" i="5"/>
  <c r="AH204" i="5" s="1"/>
  <c r="AH206" i="5" s="1"/>
  <c r="AF135" i="5"/>
  <c r="AG204" i="5" s="1"/>
  <c r="AG206" i="5" s="1"/>
  <c r="AE135" i="5"/>
  <c r="AF204" i="5" s="1"/>
  <c r="AF206" i="5" s="1"/>
  <c r="AD135" i="5"/>
  <c r="AE204" i="5" s="1"/>
  <c r="AE206" i="5" s="1"/>
  <c r="AC135" i="5"/>
  <c r="AD204" i="5" s="1"/>
  <c r="AB135" i="5"/>
  <c r="AC204" i="5" s="1"/>
  <c r="AA135" i="5"/>
  <c r="AB204" i="5" s="1"/>
  <c r="AM134" i="5"/>
  <c r="Y132" i="5"/>
  <c r="X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W131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W53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W47" i="5"/>
  <c r="W46" i="5" s="1"/>
  <c r="W38" i="5" s="1"/>
  <c r="AL46" i="5"/>
  <c r="AK46" i="5"/>
  <c r="AJ46" i="5"/>
  <c r="AI46" i="5"/>
  <c r="AH46" i="5"/>
  <c r="AG46" i="5"/>
  <c r="AF46" i="5"/>
  <c r="AE46" i="5"/>
  <c r="AD46" i="5"/>
  <c r="AC46" i="5"/>
  <c r="AB46" i="5"/>
  <c r="AA46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W32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W17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W10" i="5"/>
  <c r="W6" i="5" s="1"/>
  <c r="AL9" i="5"/>
  <c r="AK9" i="5"/>
  <c r="AJ9" i="5"/>
  <c r="AI9" i="5"/>
  <c r="AH9" i="5"/>
  <c r="AG9" i="5"/>
  <c r="AF9" i="5"/>
  <c r="AE9" i="5"/>
  <c r="AD9" i="5"/>
  <c r="AC9" i="5"/>
  <c r="AB9" i="5"/>
  <c r="AA9" i="5"/>
  <c r="AL8" i="5"/>
  <c r="AK8" i="5"/>
  <c r="AJ8" i="5"/>
  <c r="AI8" i="5"/>
  <c r="AH8" i="5"/>
  <c r="AG8" i="5"/>
  <c r="AF8" i="5"/>
  <c r="AE8" i="5"/>
  <c r="AD8" i="5"/>
  <c r="AC8" i="5"/>
  <c r="AB8" i="5"/>
  <c r="AA8" i="5"/>
  <c r="AL7" i="5"/>
  <c r="AK7" i="5"/>
  <c r="AJ7" i="5"/>
  <c r="AI7" i="5"/>
  <c r="AH7" i="5"/>
  <c r="AG7" i="5"/>
  <c r="AF7" i="5"/>
  <c r="AE7" i="5"/>
  <c r="AD7" i="5"/>
  <c r="AC7" i="5"/>
  <c r="AB7" i="5"/>
  <c r="AA7" i="5"/>
  <c r="W7" i="5"/>
  <c r="AL6" i="5"/>
  <c r="AK6" i="5"/>
  <c r="AJ6" i="5"/>
  <c r="AI6" i="5"/>
  <c r="AH6" i="5"/>
  <c r="AG6" i="5"/>
  <c r="AF6" i="5"/>
  <c r="AE6" i="5"/>
  <c r="AD6" i="5"/>
  <c r="AC6" i="5"/>
  <c r="AB6" i="5"/>
  <c r="AA6" i="5"/>
  <c r="P3" i="5"/>
  <c r="Q3" i="5" s="1"/>
  <c r="R3" i="5" s="1"/>
  <c r="S3" i="5" s="1"/>
  <c r="T3" i="5" s="1"/>
  <c r="U3" i="5" s="1"/>
  <c r="V3" i="5" s="1"/>
  <c r="W3" i="5" s="1"/>
  <c r="X3" i="5" s="1"/>
  <c r="Y3" i="5" s="1"/>
  <c r="D3" i="5"/>
  <c r="E3" i="5" s="1"/>
  <c r="F3" i="5" s="1"/>
  <c r="G3" i="5" s="1"/>
  <c r="H3" i="5" s="1"/>
  <c r="I3" i="5" s="1"/>
  <c r="J3" i="5" s="1"/>
  <c r="K3" i="5" s="1"/>
  <c r="L3" i="5" s="1"/>
  <c r="M3" i="5" s="1"/>
  <c r="N3" i="5" s="1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A324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A321" i="4"/>
  <c r="AL320" i="4"/>
  <c r="AK320" i="4"/>
  <c r="AJ320" i="4"/>
  <c r="AI320" i="4"/>
  <c r="AH320" i="4"/>
  <c r="AG320" i="4"/>
  <c r="AF320" i="4"/>
  <c r="AE320" i="4"/>
  <c r="AD320" i="4"/>
  <c r="AC320" i="4"/>
  <c r="AB320" i="4"/>
  <c r="AA320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A313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Y309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A306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A304" i="4"/>
  <c r="A322" i="4" s="1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A303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A301" i="4"/>
  <c r="A319" i="4" s="1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X300" i="4"/>
  <c r="P300" i="4"/>
  <c r="H300" i="4"/>
  <c r="E300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A299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A298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A297" i="4"/>
  <c r="A315" i="4" s="1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A295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A294" i="4"/>
  <c r="A312" i="4" s="1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A292" i="4"/>
  <c r="A310" i="4" s="1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Y291" i="4"/>
  <c r="X291" i="4"/>
  <c r="W291" i="4"/>
  <c r="V291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A287" i="4"/>
  <c r="A296" i="4" s="1"/>
  <c r="A314" i="4" s="1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A285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A284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A283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Y282" i="4"/>
  <c r="Y300" i="4" s="1"/>
  <c r="X282" i="4"/>
  <c r="W282" i="4"/>
  <c r="V282" i="4"/>
  <c r="U282" i="4"/>
  <c r="U300" i="4" s="1"/>
  <c r="T282" i="4"/>
  <c r="T300" i="4" s="1"/>
  <c r="S282" i="4"/>
  <c r="S300" i="4" s="1"/>
  <c r="R282" i="4"/>
  <c r="R300" i="4" s="1"/>
  <c r="Q282" i="4"/>
  <c r="Q300" i="4" s="1"/>
  <c r="P282" i="4"/>
  <c r="O282" i="4"/>
  <c r="N282" i="4"/>
  <c r="M282" i="4"/>
  <c r="M300" i="4" s="1"/>
  <c r="L282" i="4"/>
  <c r="L300" i="4" s="1"/>
  <c r="K282" i="4"/>
  <c r="K300" i="4" s="1"/>
  <c r="J282" i="4"/>
  <c r="J300" i="4" s="1"/>
  <c r="I282" i="4"/>
  <c r="I300" i="4" s="1"/>
  <c r="H282" i="4"/>
  <c r="G282" i="4"/>
  <c r="F282" i="4"/>
  <c r="E282" i="4"/>
  <c r="D282" i="4"/>
  <c r="D300" i="4" s="1"/>
  <c r="C282" i="4"/>
  <c r="C300" i="4" s="1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A281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A280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A279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A278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A277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A276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A275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A274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Y273" i="4"/>
  <c r="X273" i="4"/>
  <c r="W273" i="4"/>
  <c r="V273" i="4"/>
  <c r="U273" i="4"/>
  <c r="T273" i="4"/>
  <c r="S273" i="4"/>
  <c r="R273" i="4"/>
  <c r="Q273" i="4"/>
  <c r="P273" i="4"/>
  <c r="O273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Y264" i="4"/>
  <c r="X264" i="4"/>
  <c r="W264" i="4"/>
  <c r="V264" i="4"/>
  <c r="V300" i="4" s="1"/>
  <c r="U264" i="4"/>
  <c r="T264" i="4"/>
  <c r="S264" i="4"/>
  <c r="R264" i="4"/>
  <c r="Q264" i="4"/>
  <c r="P264" i="4"/>
  <c r="O264" i="4"/>
  <c r="N264" i="4"/>
  <c r="N300" i="4" s="1"/>
  <c r="M264" i="4"/>
  <c r="L264" i="4"/>
  <c r="K264" i="4"/>
  <c r="J264" i="4"/>
  <c r="I264" i="4"/>
  <c r="H264" i="4"/>
  <c r="G264" i="4"/>
  <c r="F264" i="4"/>
  <c r="F300" i="4" s="1"/>
  <c r="E264" i="4"/>
  <c r="D264" i="4"/>
  <c r="C264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AJ252" i="4"/>
  <c r="X252" i="4"/>
  <c r="M252" i="4"/>
  <c r="C252" i="4"/>
  <c r="AL251" i="4"/>
  <c r="AL252" i="4" s="1"/>
  <c r="AK251" i="4"/>
  <c r="AJ251" i="4"/>
  <c r="AI251" i="4"/>
  <c r="AH251" i="4"/>
  <c r="AG251" i="4"/>
  <c r="AG252" i="4" s="1"/>
  <c r="AF251" i="4"/>
  <c r="AE251" i="4"/>
  <c r="AE252" i="4" s="1"/>
  <c r="AD251" i="4"/>
  <c r="AD252" i="4" s="1"/>
  <c r="AC251" i="4"/>
  <c r="AB251" i="4"/>
  <c r="AB252" i="4" s="1"/>
  <c r="AA251" i="4"/>
  <c r="Y251" i="4"/>
  <c r="X251" i="4"/>
  <c r="W251" i="4"/>
  <c r="V251" i="4"/>
  <c r="V252" i="4" s="1"/>
  <c r="U251" i="4"/>
  <c r="U252" i="4" s="1"/>
  <c r="T251" i="4"/>
  <c r="S251" i="4"/>
  <c r="S252" i="4" s="1"/>
  <c r="R251" i="4"/>
  <c r="Q251" i="4"/>
  <c r="P251" i="4"/>
  <c r="P252" i="4" s="1"/>
  <c r="O251" i="4"/>
  <c r="N251" i="4"/>
  <c r="N252" i="4" s="1"/>
  <c r="M251" i="4"/>
  <c r="L251" i="4"/>
  <c r="K251" i="4"/>
  <c r="K252" i="4" s="1"/>
  <c r="J251" i="4"/>
  <c r="I251" i="4"/>
  <c r="H251" i="4"/>
  <c r="H252" i="4" s="1"/>
  <c r="G251" i="4"/>
  <c r="F251" i="4"/>
  <c r="F252" i="4" s="1"/>
  <c r="E251" i="4"/>
  <c r="E252" i="4" s="1"/>
  <c r="D251" i="4"/>
  <c r="C251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AL249" i="4"/>
  <c r="AK249" i="4"/>
  <c r="AJ249" i="4"/>
  <c r="AD249" i="4"/>
  <c r="AB249" i="4"/>
  <c r="Y249" i="4"/>
  <c r="U249" i="4"/>
  <c r="S249" i="4"/>
  <c r="N249" i="4"/>
  <c r="M249" i="4"/>
  <c r="K249" i="4"/>
  <c r="E249" i="4"/>
  <c r="D249" i="4"/>
  <c r="C249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AL244" i="4"/>
  <c r="AK244" i="4"/>
  <c r="AJ244" i="4"/>
  <c r="AI244" i="4"/>
  <c r="AH244" i="4"/>
  <c r="AH249" i="4" s="1"/>
  <c r="AG244" i="4"/>
  <c r="AF244" i="4"/>
  <c r="AF249" i="4" s="1"/>
  <c r="AE244" i="4"/>
  <c r="AE249" i="4" s="1"/>
  <c r="AD244" i="4"/>
  <c r="AC244" i="4"/>
  <c r="AC249" i="4" s="1"/>
  <c r="AB244" i="4"/>
  <c r="AA244" i="4"/>
  <c r="Y244" i="4"/>
  <c r="X244" i="4"/>
  <c r="W244" i="4"/>
  <c r="W249" i="4" s="1"/>
  <c r="V244" i="4"/>
  <c r="V249" i="4" s="1"/>
  <c r="U244" i="4"/>
  <c r="T244" i="4"/>
  <c r="T249" i="4" s="1"/>
  <c r="S244" i="4"/>
  <c r="R244" i="4"/>
  <c r="Q244" i="4"/>
  <c r="Q249" i="4" s="1"/>
  <c r="P244" i="4"/>
  <c r="O244" i="4"/>
  <c r="O249" i="4" s="1"/>
  <c r="N244" i="4"/>
  <c r="M244" i="4"/>
  <c r="L244" i="4"/>
  <c r="L249" i="4" s="1"/>
  <c r="K244" i="4"/>
  <c r="J244" i="4"/>
  <c r="I244" i="4"/>
  <c r="I249" i="4" s="1"/>
  <c r="H244" i="4"/>
  <c r="G244" i="4"/>
  <c r="G249" i="4" s="1"/>
  <c r="F244" i="4"/>
  <c r="F249" i="4" s="1"/>
  <c r="E244" i="4"/>
  <c r="D244" i="4"/>
  <c r="C244" i="4"/>
  <c r="AJ243" i="4"/>
  <c r="AI243" i="4"/>
  <c r="AB243" i="4"/>
  <c r="Y243" i="4"/>
  <c r="S243" i="4"/>
  <c r="F243" i="4"/>
  <c r="C243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AL235" i="4"/>
  <c r="AL243" i="4" s="1"/>
  <c r="AK235" i="4"/>
  <c r="AK243" i="4" s="1"/>
  <c r="AJ235" i="4"/>
  <c r="AI235" i="4"/>
  <c r="AH235" i="4"/>
  <c r="AG235" i="4"/>
  <c r="AF235" i="4"/>
  <c r="AE235" i="4"/>
  <c r="AE243" i="4" s="1"/>
  <c r="AD235" i="4"/>
  <c r="AD243" i="4" s="1"/>
  <c r="AC235" i="4"/>
  <c r="AC243" i="4" s="1"/>
  <c r="AB235" i="4"/>
  <c r="AA235" i="4"/>
  <c r="AA243" i="4" s="1"/>
  <c r="Y235" i="4"/>
  <c r="X235" i="4"/>
  <c r="W235" i="4"/>
  <c r="V235" i="4"/>
  <c r="V243" i="4" s="1"/>
  <c r="U235" i="4"/>
  <c r="U243" i="4" s="1"/>
  <c r="T235" i="4"/>
  <c r="T243" i="4" s="1"/>
  <c r="S235" i="4"/>
  <c r="R235" i="4"/>
  <c r="R243" i="4" s="1"/>
  <c r="Q235" i="4"/>
  <c r="P235" i="4"/>
  <c r="O235" i="4"/>
  <c r="N235" i="4"/>
  <c r="N243" i="4" s="1"/>
  <c r="M235" i="4"/>
  <c r="M243" i="4" s="1"/>
  <c r="L235" i="4"/>
  <c r="L243" i="4" s="1"/>
  <c r="K235" i="4"/>
  <c r="K243" i="4" s="1"/>
  <c r="J235" i="4"/>
  <c r="J243" i="4" s="1"/>
  <c r="I235" i="4"/>
  <c r="H235" i="4"/>
  <c r="G235" i="4"/>
  <c r="F235" i="4"/>
  <c r="E235" i="4"/>
  <c r="E243" i="4" s="1"/>
  <c r="D235" i="4"/>
  <c r="D243" i="4" s="1"/>
  <c r="C235" i="4"/>
  <c r="V234" i="4"/>
  <c r="U234" i="4"/>
  <c r="S234" i="4"/>
  <c r="M234" i="4"/>
  <c r="E234" i="4"/>
  <c r="D234" i="4"/>
  <c r="C234" i="4"/>
  <c r="Y233" i="4"/>
  <c r="X233" i="4"/>
  <c r="X234" i="4" s="1"/>
  <c r="W233" i="4"/>
  <c r="V233" i="4"/>
  <c r="U233" i="4"/>
  <c r="T233" i="4"/>
  <c r="T234" i="4" s="1"/>
  <c r="S233" i="4"/>
  <c r="R233" i="4"/>
  <c r="Q233" i="4"/>
  <c r="Q234" i="4" s="1"/>
  <c r="P233" i="4"/>
  <c r="P234" i="4" s="1"/>
  <c r="O233" i="4"/>
  <c r="O234" i="4" s="1"/>
  <c r="N233" i="4"/>
  <c r="N234" i="4" s="1"/>
  <c r="M233" i="4"/>
  <c r="L233" i="4"/>
  <c r="L234" i="4" s="1"/>
  <c r="K233" i="4"/>
  <c r="K234" i="4" s="1"/>
  <c r="J233" i="4"/>
  <c r="I233" i="4"/>
  <c r="H233" i="4"/>
  <c r="H234" i="4" s="1"/>
  <c r="G233" i="4"/>
  <c r="F233" i="4"/>
  <c r="F234" i="4" s="1"/>
  <c r="E233" i="4"/>
  <c r="D233" i="4"/>
  <c r="C233" i="4"/>
  <c r="V232" i="4"/>
  <c r="S232" i="4"/>
  <c r="M232" i="4"/>
  <c r="E232" i="4"/>
  <c r="AL231" i="4"/>
  <c r="AL232" i="4" s="1"/>
  <c r="AK231" i="4"/>
  <c r="AK232" i="4" s="1"/>
  <c r="AJ231" i="4"/>
  <c r="AJ232" i="4" s="1"/>
  <c r="AI231" i="4"/>
  <c r="AI232" i="4" s="1"/>
  <c r="AH231" i="4"/>
  <c r="AH232" i="4" s="1"/>
  <c r="AG231" i="4"/>
  <c r="AG232" i="4" s="1"/>
  <c r="AF231" i="4"/>
  <c r="AE231" i="4"/>
  <c r="AD231" i="4"/>
  <c r="AD232" i="4" s="1"/>
  <c r="AC231" i="4"/>
  <c r="AB231" i="4"/>
  <c r="AB232" i="4" s="1"/>
  <c r="AA231" i="4"/>
  <c r="Y231" i="4"/>
  <c r="Y232" i="4" s="1"/>
  <c r="X231" i="4"/>
  <c r="X232" i="4" s="1"/>
  <c r="W231" i="4"/>
  <c r="V231" i="4"/>
  <c r="U231" i="4"/>
  <c r="U232" i="4" s="1"/>
  <c r="T231" i="4"/>
  <c r="T232" i="4" s="1"/>
  <c r="S231" i="4"/>
  <c r="R231" i="4"/>
  <c r="R232" i="4" s="1"/>
  <c r="Q231" i="4"/>
  <c r="Q232" i="4" s="1"/>
  <c r="P231" i="4"/>
  <c r="P232" i="4" s="1"/>
  <c r="O231" i="4"/>
  <c r="O232" i="4" s="1"/>
  <c r="N231" i="4"/>
  <c r="M231" i="4"/>
  <c r="L231" i="4"/>
  <c r="K231" i="4"/>
  <c r="K232" i="4" s="1"/>
  <c r="J231" i="4"/>
  <c r="I231" i="4"/>
  <c r="I232" i="4" s="1"/>
  <c r="H231" i="4"/>
  <c r="H232" i="4" s="1"/>
  <c r="G231" i="4"/>
  <c r="G232" i="4" s="1"/>
  <c r="F231" i="4"/>
  <c r="E231" i="4"/>
  <c r="D231" i="4"/>
  <c r="C231" i="4"/>
  <c r="C232" i="4" s="1"/>
  <c r="S230" i="4"/>
  <c r="K230" i="4"/>
  <c r="C230" i="4"/>
  <c r="AE229" i="4"/>
  <c r="AE230" i="4" s="1"/>
  <c r="Y229" i="4"/>
  <c r="Y230" i="4" s="1"/>
  <c r="X229" i="4"/>
  <c r="W229" i="4"/>
  <c r="W230" i="4" s="1"/>
  <c r="V229" i="4"/>
  <c r="V230" i="4" s="1"/>
  <c r="U229" i="4"/>
  <c r="U230" i="4" s="1"/>
  <c r="T229" i="4"/>
  <c r="S229" i="4"/>
  <c r="R229" i="4"/>
  <c r="Q229" i="4"/>
  <c r="Q230" i="4" s="1"/>
  <c r="P229" i="4"/>
  <c r="O229" i="4"/>
  <c r="O230" i="4" s="1"/>
  <c r="N229" i="4"/>
  <c r="N230" i="4" s="1"/>
  <c r="M229" i="4"/>
  <c r="M230" i="4" s="1"/>
  <c r="L229" i="4"/>
  <c r="K229" i="4"/>
  <c r="J229" i="4"/>
  <c r="I229" i="4"/>
  <c r="I230" i="4" s="1"/>
  <c r="H229" i="4"/>
  <c r="G229" i="4"/>
  <c r="G230" i="4" s="1"/>
  <c r="F229" i="4"/>
  <c r="F230" i="4" s="1"/>
  <c r="E229" i="4"/>
  <c r="E230" i="4" s="1"/>
  <c r="D229" i="4"/>
  <c r="C229" i="4"/>
  <c r="Y228" i="4"/>
  <c r="Q228" i="4"/>
  <c r="I228" i="4"/>
  <c r="AK227" i="4"/>
  <c r="AK228" i="4" s="1"/>
  <c r="AC227" i="4"/>
  <c r="AC228" i="4" s="1"/>
  <c r="Y227" i="4"/>
  <c r="X227" i="4"/>
  <c r="W227" i="4"/>
  <c r="W228" i="4" s="1"/>
  <c r="V227" i="4"/>
  <c r="U227" i="4"/>
  <c r="U228" i="4" s="1"/>
  <c r="T227" i="4"/>
  <c r="T228" i="4" s="1"/>
  <c r="S227" i="4"/>
  <c r="S228" i="4" s="1"/>
  <c r="R227" i="4"/>
  <c r="Q227" i="4"/>
  <c r="P227" i="4"/>
  <c r="O227" i="4"/>
  <c r="O228" i="4" s="1"/>
  <c r="N227" i="4"/>
  <c r="M227" i="4"/>
  <c r="M228" i="4" s="1"/>
  <c r="L227" i="4"/>
  <c r="L228" i="4" s="1"/>
  <c r="K227" i="4"/>
  <c r="K228" i="4" s="1"/>
  <c r="J227" i="4"/>
  <c r="I227" i="4"/>
  <c r="H227" i="4"/>
  <c r="G227" i="4"/>
  <c r="G228" i="4" s="1"/>
  <c r="F227" i="4"/>
  <c r="E227" i="4"/>
  <c r="E228" i="4" s="1"/>
  <c r="D227" i="4"/>
  <c r="D228" i="4" s="1"/>
  <c r="C227" i="4"/>
  <c r="C228" i="4" s="1"/>
  <c r="Y225" i="4"/>
  <c r="Y226" i="4" s="1"/>
  <c r="X225" i="4"/>
  <c r="W225" i="4"/>
  <c r="V225" i="4"/>
  <c r="U225" i="4"/>
  <c r="U226" i="4" s="1"/>
  <c r="T225" i="4"/>
  <c r="S225" i="4"/>
  <c r="S226" i="4" s="1"/>
  <c r="R225" i="4"/>
  <c r="R226" i="4" s="1"/>
  <c r="Q225" i="4"/>
  <c r="Q226" i="4" s="1"/>
  <c r="P225" i="4"/>
  <c r="O225" i="4"/>
  <c r="N225" i="4"/>
  <c r="M225" i="4"/>
  <c r="M226" i="4" s="1"/>
  <c r="L225" i="4"/>
  <c r="K225" i="4"/>
  <c r="K226" i="4" s="1"/>
  <c r="J225" i="4"/>
  <c r="J226" i="4" s="1"/>
  <c r="I225" i="4"/>
  <c r="I226" i="4" s="1"/>
  <c r="H225" i="4"/>
  <c r="G225" i="4"/>
  <c r="F225" i="4"/>
  <c r="E225" i="4"/>
  <c r="E226" i="4" s="1"/>
  <c r="D225" i="4"/>
  <c r="C225" i="4"/>
  <c r="C226" i="4" s="1"/>
  <c r="AL224" i="4"/>
  <c r="AD224" i="4"/>
  <c r="U224" i="4"/>
  <c r="M224" i="4"/>
  <c r="E224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AL211" i="4"/>
  <c r="AK211" i="4"/>
  <c r="AJ211" i="4"/>
  <c r="AJ224" i="4" s="1"/>
  <c r="AI211" i="4"/>
  <c r="AI224" i="4" s="1"/>
  <c r="AH211" i="4"/>
  <c r="AH224" i="4" s="1"/>
  <c r="AG211" i="4"/>
  <c r="AG224" i="4" s="1"/>
  <c r="AF211" i="4"/>
  <c r="AF224" i="4" s="1"/>
  <c r="AE211" i="4"/>
  <c r="AD211" i="4"/>
  <c r="AC211" i="4"/>
  <c r="AB211" i="4"/>
  <c r="AB224" i="4" s="1"/>
  <c r="AA211" i="4"/>
  <c r="AA224" i="4" s="1"/>
  <c r="Y211" i="4"/>
  <c r="Y224" i="4" s="1"/>
  <c r="X211" i="4"/>
  <c r="X224" i="4" s="1"/>
  <c r="W211" i="4"/>
  <c r="W224" i="4" s="1"/>
  <c r="V211" i="4"/>
  <c r="U211" i="4"/>
  <c r="T211" i="4"/>
  <c r="S211" i="4"/>
  <c r="S224" i="4" s="1"/>
  <c r="R211" i="4"/>
  <c r="R224" i="4" s="1"/>
  <c r="Q211" i="4"/>
  <c r="Q224" i="4" s="1"/>
  <c r="P211" i="4"/>
  <c r="P224" i="4" s="1"/>
  <c r="O211" i="4"/>
  <c r="O224" i="4" s="1"/>
  <c r="N211" i="4"/>
  <c r="M211" i="4"/>
  <c r="L211" i="4"/>
  <c r="K211" i="4"/>
  <c r="K224" i="4" s="1"/>
  <c r="J211" i="4"/>
  <c r="J224" i="4" s="1"/>
  <c r="I211" i="4"/>
  <c r="I224" i="4" s="1"/>
  <c r="H211" i="4"/>
  <c r="H224" i="4" s="1"/>
  <c r="G211" i="4"/>
  <c r="G224" i="4" s="1"/>
  <c r="F211" i="4"/>
  <c r="E211" i="4"/>
  <c r="D211" i="4"/>
  <c r="C211" i="4"/>
  <c r="C224" i="4" s="1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AL207" i="4"/>
  <c r="AK207" i="4"/>
  <c r="AK252" i="4" s="1"/>
  <c r="AJ207" i="4"/>
  <c r="AI207" i="4"/>
  <c r="AI252" i="4" s="1"/>
  <c r="AH207" i="4"/>
  <c r="AH243" i="4" s="1"/>
  <c r="AG207" i="4"/>
  <c r="AF207" i="4"/>
  <c r="AF243" i="4" s="1"/>
  <c r="AE207" i="4"/>
  <c r="AE224" i="4" s="1"/>
  <c r="AD207" i="4"/>
  <c r="AC207" i="4"/>
  <c r="AC232" i="4" s="1"/>
  <c r="AB207" i="4"/>
  <c r="AA207" i="4"/>
  <c r="AA232" i="4" s="1"/>
  <c r="Y207" i="4"/>
  <c r="Y234" i="4" s="1"/>
  <c r="X207" i="4"/>
  <c r="X230" i="4" s="1"/>
  <c r="W207" i="4"/>
  <c r="W234" i="4" s="1"/>
  <c r="V207" i="4"/>
  <c r="V228" i="4" s="1"/>
  <c r="U207" i="4"/>
  <c r="T207" i="4"/>
  <c r="T252" i="4" s="1"/>
  <c r="S207" i="4"/>
  <c r="R207" i="4"/>
  <c r="R252" i="4" s="1"/>
  <c r="Q207" i="4"/>
  <c r="Q243" i="4" s="1"/>
  <c r="P207" i="4"/>
  <c r="P230" i="4" s="1"/>
  <c r="O207" i="4"/>
  <c r="O243" i="4" s="1"/>
  <c r="N207" i="4"/>
  <c r="N228" i="4" s="1"/>
  <c r="M207" i="4"/>
  <c r="L207" i="4"/>
  <c r="L226" i="4" s="1"/>
  <c r="K207" i="4"/>
  <c r="J207" i="4"/>
  <c r="J252" i="4" s="1"/>
  <c r="I207" i="4"/>
  <c r="I234" i="4" s="1"/>
  <c r="H207" i="4"/>
  <c r="H230" i="4" s="1"/>
  <c r="G207" i="4"/>
  <c r="G234" i="4" s="1"/>
  <c r="F207" i="4"/>
  <c r="F228" i="4" s="1"/>
  <c r="E207" i="4"/>
  <c r="D207" i="4"/>
  <c r="D226" i="4" s="1"/>
  <c r="C207" i="4"/>
  <c r="W206" i="4"/>
  <c r="S206" i="4"/>
  <c r="R206" i="4"/>
  <c r="O206" i="4"/>
  <c r="K206" i="4"/>
  <c r="J206" i="4"/>
  <c r="G206" i="4"/>
  <c r="C206" i="4"/>
  <c r="AL205" i="4"/>
  <c r="AL206" i="4" s="1"/>
  <c r="AK205" i="4"/>
  <c r="AJ205" i="4"/>
  <c r="AI205" i="4"/>
  <c r="AH205" i="4"/>
  <c r="AG205" i="4"/>
  <c r="AG206" i="4" s="1"/>
  <c r="AF205" i="4"/>
  <c r="AE205" i="4"/>
  <c r="AE206" i="4" s="1"/>
  <c r="AD205" i="4"/>
  <c r="AD206" i="4" s="1"/>
  <c r="AC205" i="4"/>
  <c r="AB205" i="4"/>
  <c r="AA205" i="4"/>
  <c r="Y205" i="4"/>
  <c r="X205" i="4"/>
  <c r="X206" i="4" s="1"/>
  <c r="W205" i="4"/>
  <c r="V205" i="4"/>
  <c r="V206" i="4" s="1"/>
  <c r="U205" i="4"/>
  <c r="U206" i="4" s="1"/>
  <c r="T205" i="4"/>
  <c r="T206" i="4" s="1"/>
  <c r="S205" i="4"/>
  <c r="R205" i="4"/>
  <c r="Q205" i="4"/>
  <c r="P205" i="4"/>
  <c r="P206" i="4" s="1"/>
  <c r="O205" i="4"/>
  <c r="N205" i="4"/>
  <c r="N206" i="4" s="1"/>
  <c r="M205" i="4"/>
  <c r="M206" i="4" s="1"/>
  <c r="L205" i="4"/>
  <c r="L206" i="4" s="1"/>
  <c r="K205" i="4"/>
  <c r="J205" i="4"/>
  <c r="I205" i="4"/>
  <c r="H205" i="4"/>
  <c r="H206" i="4" s="1"/>
  <c r="G205" i="4"/>
  <c r="F205" i="4"/>
  <c r="F206" i="4" s="1"/>
  <c r="E205" i="4"/>
  <c r="E206" i="4" s="1"/>
  <c r="D205" i="4"/>
  <c r="D206" i="4" s="1"/>
  <c r="C205" i="4"/>
  <c r="AG204" i="4"/>
  <c r="Y204" i="4"/>
  <c r="Y206" i="4" s="1"/>
  <c r="X204" i="4"/>
  <c r="W204" i="4"/>
  <c r="V204" i="4"/>
  <c r="U204" i="4"/>
  <c r="T204" i="4"/>
  <c r="S204" i="4"/>
  <c r="R204" i="4"/>
  <c r="Q204" i="4"/>
  <c r="Q206" i="4" s="1"/>
  <c r="P204" i="4"/>
  <c r="O204" i="4"/>
  <c r="N204" i="4"/>
  <c r="M204" i="4"/>
  <c r="L204" i="4"/>
  <c r="K204" i="4"/>
  <c r="J204" i="4"/>
  <c r="I204" i="4"/>
  <c r="I206" i="4" s="1"/>
  <c r="H204" i="4"/>
  <c r="G204" i="4"/>
  <c r="F204" i="4"/>
  <c r="E204" i="4"/>
  <c r="D204" i="4"/>
  <c r="C204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Y197" i="4"/>
  <c r="X197" i="4"/>
  <c r="N197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O194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W192" i="4"/>
  <c r="W193" i="4" s="1"/>
  <c r="V192" i="4"/>
  <c r="V193" i="4" s="1"/>
  <c r="U192" i="4"/>
  <c r="U193" i="4" s="1"/>
  <c r="T192" i="4"/>
  <c r="T193" i="4" s="1"/>
  <c r="S192" i="4"/>
  <c r="S193" i="4" s="1"/>
  <c r="R192" i="4"/>
  <c r="R193" i="4" s="1"/>
  <c r="Q192" i="4"/>
  <c r="P192" i="4"/>
  <c r="O192" i="4"/>
  <c r="O193" i="4" s="1"/>
  <c r="O196" i="4" s="1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W184" i="4"/>
  <c r="V184" i="4"/>
  <c r="U184" i="4"/>
  <c r="T184" i="4"/>
  <c r="S184" i="4"/>
  <c r="R184" i="4"/>
  <c r="Q184" i="4"/>
  <c r="P184" i="4"/>
  <c r="O184" i="4"/>
  <c r="K184" i="4"/>
  <c r="E184" i="4"/>
  <c r="E193" i="4" s="1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W175" i="4"/>
  <c r="V175" i="4"/>
  <c r="U175" i="4"/>
  <c r="T175" i="4"/>
  <c r="S175" i="4"/>
  <c r="R175" i="4"/>
  <c r="M175" i="4"/>
  <c r="M193" i="4" s="1"/>
  <c r="L175" i="4"/>
  <c r="L193" i="4" s="1"/>
  <c r="K175" i="4"/>
  <c r="K193" i="4" s="1"/>
  <c r="J175" i="4"/>
  <c r="J193" i="4" s="1"/>
  <c r="I175" i="4"/>
  <c r="I193" i="4" s="1"/>
  <c r="H175" i="4"/>
  <c r="H193" i="4" s="1"/>
  <c r="G175" i="4"/>
  <c r="G193" i="4" s="1"/>
  <c r="F175" i="4"/>
  <c r="F193" i="4" s="1"/>
  <c r="E175" i="4"/>
  <c r="D175" i="4"/>
  <c r="D193" i="4" s="1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C174" i="4"/>
  <c r="C175" i="4" s="1"/>
  <c r="C193" i="4" s="1"/>
  <c r="C196" i="4" s="1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F173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Q165" i="4"/>
  <c r="Q175" i="4" s="1"/>
  <c r="P165" i="4"/>
  <c r="P175" i="4" s="1"/>
  <c r="O165" i="4"/>
  <c r="O175" i="4" s="1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AK153" i="4"/>
  <c r="AK233" i="4" s="1"/>
  <c r="AK234" i="4" s="1"/>
  <c r="AC153" i="4"/>
  <c r="AC233" i="4" s="1"/>
  <c r="AC234" i="4" s="1"/>
  <c r="AM152" i="4"/>
  <c r="AM151" i="4"/>
  <c r="AK150" i="4"/>
  <c r="AK229" i="4" s="1"/>
  <c r="AK230" i="4" s="1"/>
  <c r="AE150" i="4"/>
  <c r="AE227" i="4" s="1"/>
  <c r="AE228" i="4" s="1"/>
  <c r="AC150" i="4"/>
  <c r="AC229" i="4" s="1"/>
  <c r="AC230" i="4" s="1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AM149" i="4" s="1"/>
  <c r="AM148" i="4"/>
  <c r="AM147" i="4"/>
  <c r="AK146" i="4"/>
  <c r="AH146" i="4"/>
  <c r="AH150" i="4" s="1"/>
  <c r="AG146" i="4"/>
  <c r="AG150" i="4" s="1"/>
  <c r="AF146" i="4"/>
  <c r="AF150" i="4" s="1"/>
  <c r="AE146" i="4"/>
  <c r="AC146" i="4"/>
  <c r="AM145" i="4"/>
  <c r="AM144" i="4"/>
  <c r="AM143" i="4"/>
  <c r="AM142" i="4"/>
  <c r="AM141" i="4"/>
  <c r="AM140" i="4"/>
  <c r="AL139" i="4"/>
  <c r="AL146" i="4" s="1"/>
  <c r="AL150" i="4" s="1"/>
  <c r="AK139" i="4"/>
  <c r="AK225" i="4" s="1"/>
  <c r="AK226" i="4" s="1"/>
  <c r="AJ139" i="4"/>
  <c r="AJ146" i="4" s="1"/>
  <c r="AJ150" i="4" s="1"/>
  <c r="AI139" i="4"/>
  <c r="AI146" i="4" s="1"/>
  <c r="AI150" i="4" s="1"/>
  <c r="AH139" i="4"/>
  <c r="AH225" i="4" s="1"/>
  <c r="AH226" i="4" s="1"/>
  <c r="AG139" i="4"/>
  <c r="AG225" i="4" s="1"/>
  <c r="AG226" i="4" s="1"/>
  <c r="AF139" i="4"/>
  <c r="AF225" i="4" s="1"/>
  <c r="AF226" i="4" s="1"/>
  <c r="AE139" i="4"/>
  <c r="AE225" i="4" s="1"/>
  <c r="AE226" i="4" s="1"/>
  <c r="AD139" i="4"/>
  <c r="AD146" i="4" s="1"/>
  <c r="AD150" i="4" s="1"/>
  <c r="AC139" i="4"/>
  <c r="AC225" i="4" s="1"/>
  <c r="AC226" i="4" s="1"/>
  <c r="AB139" i="4"/>
  <c r="AB146" i="4" s="1"/>
  <c r="AB150" i="4" s="1"/>
  <c r="AA139" i="4"/>
  <c r="AM139" i="4" s="1"/>
  <c r="AM138" i="4"/>
  <c r="AM137" i="4"/>
  <c r="AM136" i="4"/>
  <c r="AL135" i="4"/>
  <c r="AL204" i="4" s="1"/>
  <c r="AK135" i="4"/>
  <c r="AK204" i="4" s="1"/>
  <c r="AJ135" i="4"/>
  <c r="AJ204" i="4" s="1"/>
  <c r="AJ206" i="4" s="1"/>
  <c r="AI135" i="4"/>
  <c r="AI204" i="4" s="1"/>
  <c r="AI206" i="4" s="1"/>
  <c r="AH135" i="4"/>
  <c r="AH204" i="4" s="1"/>
  <c r="AH206" i="4" s="1"/>
  <c r="AG135" i="4"/>
  <c r="AF135" i="4"/>
  <c r="AF204" i="4" s="1"/>
  <c r="AF206" i="4" s="1"/>
  <c r="AE135" i="4"/>
  <c r="AE204" i="4" s="1"/>
  <c r="AD135" i="4"/>
  <c r="AD204" i="4" s="1"/>
  <c r="AC135" i="4"/>
  <c r="AC204" i="4" s="1"/>
  <c r="AB135" i="4"/>
  <c r="AB204" i="4" s="1"/>
  <c r="AB206" i="4" s="1"/>
  <c r="AA135" i="4"/>
  <c r="AM135" i="4" s="1"/>
  <c r="AM134" i="4"/>
  <c r="Y132" i="4"/>
  <c r="X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Y17" i="4"/>
  <c r="X17" i="4"/>
  <c r="X17" i="3" s="1"/>
  <c r="W17" i="4"/>
  <c r="V17" i="4"/>
  <c r="V17" i="2" s="1"/>
  <c r="U17" i="4"/>
  <c r="U17" i="3" s="1"/>
  <c r="T17" i="4"/>
  <c r="T17" i="2" s="1"/>
  <c r="S17" i="4"/>
  <c r="R17" i="4"/>
  <c r="R17" i="3" s="1"/>
  <c r="Q17" i="4"/>
  <c r="P17" i="4"/>
  <c r="P17" i="3" s="1"/>
  <c r="O17" i="4"/>
  <c r="O17" i="3" s="1"/>
  <c r="N17" i="4"/>
  <c r="N17" i="2" s="1"/>
  <c r="M17" i="4"/>
  <c r="L17" i="4"/>
  <c r="K17" i="4"/>
  <c r="J17" i="4"/>
  <c r="I17" i="4"/>
  <c r="H17" i="4"/>
  <c r="H17" i="3" s="1"/>
  <c r="G17" i="4"/>
  <c r="G17" i="3" s="1"/>
  <c r="F17" i="4"/>
  <c r="E17" i="4"/>
  <c r="D17" i="4"/>
  <c r="D17" i="2" s="1"/>
  <c r="C17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Y10" i="4"/>
  <c r="Y10" i="3" s="1"/>
  <c r="X10" i="4"/>
  <c r="X10" i="3" s="1"/>
  <c r="W10" i="4"/>
  <c r="W10" i="3" s="1"/>
  <c r="V10" i="4"/>
  <c r="U10" i="4"/>
  <c r="U10" i="3" s="1"/>
  <c r="T10" i="4"/>
  <c r="S10" i="4"/>
  <c r="S10" i="3" s="1"/>
  <c r="R10" i="4"/>
  <c r="Q10" i="4"/>
  <c r="Q10" i="3" s="1"/>
  <c r="P10" i="4"/>
  <c r="P10" i="3" s="1"/>
  <c r="O10" i="4"/>
  <c r="O10" i="3" s="1"/>
  <c r="N10" i="4"/>
  <c r="M10" i="4"/>
  <c r="M10" i="3" s="1"/>
  <c r="L10" i="4"/>
  <c r="K10" i="4"/>
  <c r="K10" i="3" s="1"/>
  <c r="J10" i="4"/>
  <c r="I10" i="4"/>
  <c r="I10" i="3" s="1"/>
  <c r="H10" i="4"/>
  <c r="H10" i="3" s="1"/>
  <c r="G10" i="4"/>
  <c r="G10" i="3" s="1"/>
  <c r="F10" i="4"/>
  <c r="E10" i="4"/>
  <c r="E10" i="3" s="1"/>
  <c r="D10" i="4"/>
  <c r="C10" i="4"/>
  <c r="AL9" i="4"/>
  <c r="AK9" i="4"/>
  <c r="AJ9" i="4"/>
  <c r="AI9" i="4"/>
  <c r="AH9" i="4"/>
  <c r="AG9" i="4"/>
  <c r="AF9" i="4"/>
  <c r="AE9" i="4"/>
  <c r="AD9" i="4"/>
  <c r="AC9" i="4"/>
  <c r="AB9" i="4"/>
  <c r="AA9" i="4"/>
  <c r="AL8" i="4"/>
  <c r="AK8" i="4"/>
  <c r="AJ8" i="4"/>
  <c r="AI8" i="4"/>
  <c r="AH8" i="4"/>
  <c r="AG8" i="4"/>
  <c r="AF8" i="4"/>
  <c r="AE8" i="4"/>
  <c r="AD8" i="4"/>
  <c r="AC8" i="4"/>
  <c r="AB8" i="4"/>
  <c r="AA8" i="4"/>
  <c r="AL7" i="4"/>
  <c r="AK7" i="4"/>
  <c r="AJ7" i="4"/>
  <c r="AI7" i="4"/>
  <c r="AH7" i="4"/>
  <c r="AG7" i="4"/>
  <c r="AF7" i="4"/>
  <c r="AE7" i="4"/>
  <c r="AD7" i="4"/>
  <c r="AC7" i="4"/>
  <c r="AB7" i="4"/>
  <c r="AA7" i="4"/>
  <c r="AL6" i="4"/>
  <c r="AK6" i="4"/>
  <c r="AJ6" i="4"/>
  <c r="AI6" i="4"/>
  <c r="AH6" i="4"/>
  <c r="AG6" i="4"/>
  <c r="AF6" i="4"/>
  <c r="AE6" i="4"/>
  <c r="AD6" i="4"/>
  <c r="AC6" i="4"/>
  <c r="AB6" i="4"/>
  <c r="AA6" i="4"/>
  <c r="W3" i="4"/>
  <c r="X3" i="4" s="1"/>
  <c r="Y3" i="4" s="1"/>
  <c r="Z3" i="4" s="1"/>
  <c r="Q3" i="4"/>
  <c r="R3" i="4" s="1"/>
  <c r="S3" i="4" s="1"/>
  <c r="T3" i="4" s="1"/>
  <c r="U3" i="4" s="1"/>
  <c r="V3" i="4" s="1"/>
  <c r="P3" i="4"/>
  <c r="F3" i="4"/>
  <c r="G3" i="4" s="1"/>
  <c r="H3" i="4" s="1"/>
  <c r="I3" i="4" s="1"/>
  <c r="J3" i="4" s="1"/>
  <c r="K3" i="4" s="1"/>
  <c r="L3" i="4" s="1"/>
  <c r="M3" i="4" s="1"/>
  <c r="N3" i="4" s="1"/>
  <c r="D3" i="4"/>
  <c r="E3" i="4" s="1"/>
  <c r="Y2" i="4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Z331" i="3"/>
  <c r="Y331" i="3"/>
  <c r="X331" i="3"/>
  <c r="W331" i="3"/>
  <c r="V331" i="3"/>
  <c r="U331" i="3"/>
  <c r="U326" i="3" s="1"/>
  <c r="T331" i="3"/>
  <c r="S331" i="3"/>
  <c r="R331" i="3"/>
  <c r="Q331" i="3"/>
  <c r="P331" i="3"/>
  <c r="O331" i="3"/>
  <c r="N331" i="3"/>
  <c r="M331" i="3"/>
  <c r="M326" i="3" s="1"/>
  <c r="L331" i="3"/>
  <c r="K331" i="3"/>
  <c r="J331" i="3"/>
  <c r="I331" i="3"/>
  <c r="H331" i="3"/>
  <c r="G331" i="3"/>
  <c r="F331" i="3"/>
  <c r="E331" i="3"/>
  <c r="D331" i="3"/>
  <c r="C331" i="3"/>
  <c r="A331" i="3"/>
  <c r="Z330" i="3"/>
  <c r="Y330" i="3"/>
  <c r="X330" i="3"/>
  <c r="X326" i="3" s="1"/>
  <c r="W330" i="3"/>
  <c r="V330" i="3"/>
  <c r="U330" i="3"/>
  <c r="T330" i="3"/>
  <c r="S330" i="3"/>
  <c r="R330" i="3"/>
  <c r="Q330" i="3"/>
  <c r="P330" i="3"/>
  <c r="P326" i="3" s="1"/>
  <c r="O330" i="3"/>
  <c r="N330" i="3"/>
  <c r="N326" i="3" s="1"/>
  <c r="M330" i="3"/>
  <c r="L330" i="3"/>
  <c r="K330" i="3"/>
  <c r="J330" i="3"/>
  <c r="I330" i="3"/>
  <c r="H330" i="3"/>
  <c r="G330" i="3"/>
  <c r="F330" i="3"/>
  <c r="F326" i="3" s="1"/>
  <c r="E330" i="3"/>
  <c r="D330" i="3"/>
  <c r="C330" i="3"/>
  <c r="A330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Z328" i="3"/>
  <c r="Y328" i="3"/>
  <c r="X328" i="3"/>
  <c r="W328" i="3"/>
  <c r="V328" i="3"/>
  <c r="U328" i="3"/>
  <c r="T328" i="3"/>
  <c r="S328" i="3"/>
  <c r="R328" i="3"/>
  <c r="R326" i="3" s="1"/>
  <c r="Q328" i="3"/>
  <c r="P328" i="3"/>
  <c r="O328" i="3"/>
  <c r="N328" i="3"/>
  <c r="M328" i="3"/>
  <c r="L328" i="3"/>
  <c r="K328" i="3"/>
  <c r="J328" i="3"/>
  <c r="J326" i="3" s="1"/>
  <c r="I328" i="3"/>
  <c r="H328" i="3"/>
  <c r="G328" i="3"/>
  <c r="F328" i="3"/>
  <c r="E328" i="3"/>
  <c r="D328" i="3"/>
  <c r="C328" i="3"/>
  <c r="Z327" i="3"/>
  <c r="Y327" i="3"/>
  <c r="X327" i="3"/>
  <c r="W327" i="3"/>
  <c r="W326" i="3" s="1"/>
  <c r="V327" i="3"/>
  <c r="U327" i="3"/>
  <c r="T327" i="3"/>
  <c r="S327" i="3"/>
  <c r="R327" i="3"/>
  <c r="Q327" i="3"/>
  <c r="Q326" i="3" s="1"/>
  <c r="P327" i="3"/>
  <c r="O327" i="3"/>
  <c r="O326" i="3" s="1"/>
  <c r="N327" i="3"/>
  <c r="M327" i="3"/>
  <c r="L327" i="3"/>
  <c r="K327" i="3"/>
  <c r="J327" i="3"/>
  <c r="I327" i="3"/>
  <c r="H327" i="3"/>
  <c r="G327" i="3"/>
  <c r="G326" i="3" s="1"/>
  <c r="F327" i="3"/>
  <c r="E327" i="3"/>
  <c r="D327" i="3"/>
  <c r="C327" i="3"/>
  <c r="Z326" i="3"/>
  <c r="Y326" i="3"/>
  <c r="I326" i="3"/>
  <c r="D326" i="3"/>
  <c r="R324" i="3"/>
  <c r="H324" i="3"/>
  <c r="E324" i="3"/>
  <c r="Z323" i="3"/>
  <c r="X323" i="3"/>
  <c r="E323" i="3"/>
  <c r="A323" i="3"/>
  <c r="A332" i="3" s="1"/>
  <c r="X322" i="3"/>
  <c r="E322" i="3"/>
  <c r="Z321" i="3"/>
  <c r="R321" i="3"/>
  <c r="H321" i="3"/>
  <c r="E321" i="3"/>
  <c r="X320" i="3"/>
  <c r="S320" i="3"/>
  <c r="H320" i="3"/>
  <c r="E320" i="3"/>
  <c r="A320" i="3"/>
  <c r="A329" i="3" s="1"/>
  <c r="X319" i="3"/>
  <c r="I319" i="3"/>
  <c r="A319" i="3"/>
  <c r="A328" i="3" s="1"/>
  <c r="X318" i="3"/>
  <c r="E318" i="3"/>
  <c r="A318" i="3"/>
  <c r="A327" i="3" s="1"/>
  <c r="Z315" i="3"/>
  <c r="Y315" i="3"/>
  <c r="X315" i="3"/>
  <c r="W315" i="3"/>
  <c r="V315" i="3"/>
  <c r="U315" i="3"/>
  <c r="T315" i="3"/>
  <c r="S315" i="3"/>
  <c r="R315" i="3"/>
  <c r="R323" i="3" s="1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Z314" i="3"/>
  <c r="Z322" i="3" s="1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Z312" i="3"/>
  <c r="Y312" i="3"/>
  <c r="X312" i="3"/>
  <c r="W312" i="3"/>
  <c r="V312" i="3"/>
  <c r="U312" i="3"/>
  <c r="T312" i="3"/>
  <c r="S312" i="3"/>
  <c r="R312" i="3"/>
  <c r="R320" i="3" s="1"/>
  <c r="Q312" i="3"/>
  <c r="P312" i="3"/>
  <c r="O312" i="3"/>
  <c r="N312" i="3"/>
  <c r="M312" i="3"/>
  <c r="L312" i="3"/>
  <c r="K312" i="3"/>
  <c r="J312" i="3"/>
  <c r="I312" i="3"/>
  <c r="H312" i="3"/>
  <c r="G312" i="3"/>
  <c r="F312" i="3"/>
  <c r="F309" i="3" s="1"/>
  <c r="E312" i="3"/>
  <c r="D312" i="3"/>
  <c r="C312" i="3"/>
  <c r="Z311" i="3"/>
  <c r="Z309" i="3" s="1"/>
  <c r="Z324" i="3" s="1"/>
  <c r="Y311" i="3"/>
  <c r="X311" i="3"/>
  <c r="V311" i="3"/>
  <c r="U311" i="3"/>
  <c r="T311" i="3"/>
  <c r="S311" i="3"/>
  <c r="R311" i="3"/>
  <c r="R319" i="3" s="1"/>
  <c r="Q311" i="3"/>
  <c r="P311" i="3"/>
  <c r="N311" i="3"/>
  <c r="M311" i="3"/>
  <c r="L311" i="3"/>
  <c r="K311" i="3"/>
  <c r="J311" i="3"/>
  <c r="I311" i="3"/>
  <c r="H311" i="3"/>
  <c r="F311" i="3"/>
  <c r="E311" i="3"/>
  <c r="D311" i="3"/>
  <c r="C311" i="3"/>
  <c r="Z310" i="3"/>
  <c r="Y310" i="3"/>
  <c r="X310" i="3"/>
  <c r="W310" i="3"/>
  <c r="V310" i="3"/>
  <c r="U310" i="3"/>
  <c r="T310" i="3"/>
  <c r="S310" i="3"/>
  <c r="S309" i="3" s="1"/>
  <c r="R310" i="3"/>
  <c r="Q310" i="3"/>
  <c r="P310" i="3"/>
  <c r="P309" i="3" s="1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Y309" i="3"/>
  <c r="Y324" i="3" s="1"/>
  <c r="X309" i="3"/>
  <c r="X324" i="3" s="1"/>
  <c r="V309" i="3"/>
  <c r="V324" i="3" s="1"/>
  <c r="R309" i="3"/>
  <c r="R318" i="3" s="1"/>
  <c r="J309" i="3"/>
  <c r="I309" i="3"/>
  <c r="H309" i="3"/>
  <c r="E309" i="3"/>
  <c r="X307" i="3"/>
  <c r="T307" i="3"/>
  <c r="C307" i="3"/>
  <c r="C306" i="3"/>
  <c r="A305" i="3"/>
  <c r="C304" i="3"/>
  <c r="O302" i="3"/>
  <c r="L302" i="3"/>
  <c r="A302" i="3"/>
  <c r="A301" i="3"/>
  <c r="X297" i="3"/>
  <c r="X306" i="3" s="1"/>
  <c r="V297" i="3"/>
  <c r="S297" i="3"/>
  <c r="L297" i="3"/>
  <c r="K297" i="3"/>
  <c r="J297" i="3"/>
  <c r="J306" i="3" s="1"/>
  <c r="F297" i="3"/>
  <c r="A297" i="3"/>
  <c r="A306" i="3" s="1"/>
  <c r="U296" i="3"/>
  <c r="Q296" i="3"/>
  <c r="M296" i="3"/>
  <c r="M305" i="3" s="1"/>
  <c r="D296" i="3"/>
  <c r="D305" i="3" s="1"/>
  <c r="A296" i="3"/>
  <c r="Z295" i="3"/>
  <c r="V295" i="3"/>
  <c r="S295" i="3"/>
  <c r="L295" i="3"/>
  <c r="K295" i="3"/>
  <c r="J295" i="3"/>
  <c r="J304" i="3" s="1"/>
  <c r="C295" i="3"/>
  <c r="A295" i="3"/>
  <c r="A304" i="3" s="1"/>
  <c r="V294" i="3"/>
  <c r="T294" i="3"/>
  <c r="T303" i="3" s="1"/>
  <c r="R294" i="3"/>
  <c r="R303" i="3" s="1"/>
  <c r="N294" i="3"/>
  <c r="L294" i="3"/>
  <c r="L303" i="3" s="1"/>
  <c r="D294" i="3"/>
  <c r="A294" i="3"/>
  <c r="A303" i="3" s="1"/>
  <c r="U293" i="3"/>
  <c r="T293" i="3"/>
  <c r="S293" i="3"/>
  <c r="K293" i="3"/>
  <c r="G293" i="3"/>
  <c r="G302" i="3" s="1"/>
  <c r="F293" i="3"/>
  <c r="Y292" i="3"/>
  <c r="U292" i="3"/>
  <c r="N292" i="3"/>
  <c r="M292" i="3"/>
  <c r="L292" i="3"/>
  <c r="I292" i="3"/>
  <c r="I301" i="3" s="1"/>
  <c r="E292" i="3"/>
  <c r="D292" i="3"/>
  <c r="C292" i="3"/>
  <c r="C301" i="3" s="1"/>
  <c r="X291" i="3"/>
  <c r="X308" i="3" s="1"/>
  <c r="T291" i="3"/>
  <c r="T308" i="3" s="1"/>
  <c r="D291" i="3"/>
  <c r="A289" i="3"/>
  <c r="A288" i="3"/>
  <c r="A287" i="3"/>
  <c r="A286" i="3"/>
  <c r="A285" i="3"/>
  <c r="A284" i="3"/>
  <c r="A283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Z279" i="3"/>
  <c r="Y279" i="3"/>
  <c r="X279" i="3"/>
  <c r="W279" i="3"/>
  <c r="V279" i="3"/>
  <c r="U279" i="3"/>
  <c r="T279" i="3"/>
  <c r="T297" i="3" s="1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Z278" i="3"/>
  <c r="Y278" i="3"/>
  <c r="X278" i="3"/>
  <c r="X273" i="3" s="1"/>
  <c r="W278" i="3"/>
  <c r="V278" i="3"/>
  <c r="U278" i="3"/>
  <c r="T278" i="3"/>
  <c r="S278" i="3"/>
  <c r="R278" i="3"/>
  <c r="Q278" i="3"/>
  <c r="P278" i="3"/>
  <c r="O278" i="3"/>
  <c r="N278" i="3"/>
  <c r="M278" i="3"/>
  <c r="L278" i="3"/>
  <c r="L273" i="3" s="1"/>
  <c r="L291" i="3" s="1"/>
  <c r="K278" i="3"/>
  <c r="J278" i="3"/>
  <c r="I278" i="3"/>
  <c r="H278" i="3"/>
  <c r="G278" i="3"/>
  <c r="F278" i="3"/>
  <c r="E278" i="3"/>
  <c r="E296" i="3" s="1"/>
  <c r="D278" i="3"/>
  <c r="D273" i="3" s="1"/>
  <c r="C278" i="3"/>
  <c r="A278" i="3"/>
  <c r="Z277" i="3"/>
  <c r="Y277" i="3"/>
  <c r="X277" i="3"/>
  <c r="W277" i="3"/>
  <c r="V277" i="3"/>
  <c r="U277" i="3"/>
  <c r="U295" i="3" s="1"/>
  <c r="T277" i="3"/>
  <c r="T295" i="3" s="1"/>
  <c r="S277" i="3"/>
  <c r="R277" i="3"/>
  <c r="Q277" i="3"/>
  <c r="P277" i="3"/>
  <c r="O277" i="3"/>
  <c r="N277" i="3"/>
  <c r="N295" i="3" s="1"/>
  <c r="M277" i="3"/>
  <c r="M295" i="3" s="1"/>
  <c r="L277" i="3"/>
  <c r="K277" i="3"/>
  <c r="J277" i="3"/>
  <c r="I277" i="3"/>
  <c r="H277" i="3"/>
  <c r="G277" i="3"/>
  <c r="F277" i="3"/>
  <c r="F295" i="3" s="1"/>
  <c r="E277" i="3"/>
  <c r="E295" i="3" s="1"/>
  <c r="D277" i="3"/>
  <c r="C277" i="3"/>
  <c r="Z276" i="3"/>
  <c r="Y276" i="3"/>
  <c r="Y273" i="3" s="1"/>
  <c r="Y291" i="3" s="1"/>
  <c r="X276" i="3"/>
  <c r="W276" i="3"/>
  <c r="V276" i="3"/>
  <c r="U276" i="3"/>
  <c r="T276" i="3"/>
  <c r="S276" i="3"/>
  <c r="R276" i="3"/>
  <c r="Q276" i="3"/>
  <c r="P276" i="3"/>
  <c r="O276" i="3"/>
  <c r="N276" i="3"/>
  <c r="M276" i="3"/>
  <c r="M294" i="3" s="1"/>
  <c r="L276" i="3"/>
  <c r="K276" i="3"/>
  <c r="J276" i="3"/>
  <c r="I276" i="3"/>
  <c r="H276" i="3"/>
  <c r="G276" i="3"/>
  <c r="F276" i="3"/>
  <c r="E276" i="3"/>
  <c r="E294" i="3" s="1"/>
  <c r="D276" i="3"/>
  <c r="C276" i="3"/>
  <c r="A276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N293" i="3" s="1"/>
  <c r="M275" i="3"/>
  <c r="M293" i="3" s="1"/>
  <c r="L275" i="3"/>
  <c r="K275" i="3"/>
  <c r="J275" i="3"/>
  <c r="I275" i="3"/>
  <c r="I273" i="3" s="1"/>
  <c r="I291" i="3" s="1"/>
  <c r="H275" i="3"/>
  <c r="G275" i="3"/>
  <c r="F275" i="3"/>
  <c r="E275" i="3"/>
  <c r="D275" i="3"/>
  <c r="C275" i="3"/>
  <c r="A275" i="3"/>
  <c r="A293" i="3" s="1"/>
  <c r="Z274" i="3"/>
  <c r="Y274" i="3"/>
  <c r="X274" i="3"/>
  <c r="W274" i="3"/>
  <c r="W273" i="3" s="1"/>
  <c r="V274" i="3"/>
  <c r="U274" i="3"/>
  <c r="T274" i="3"/>
  <c r="S274" i="3"/>
  <c r="S273" i="3" s="1"/>
  <c r="R274" i="3"/>
  <c r="Q274" i="3"/>
  <c r="P274" i="3"/>
  <c r="O274" i="3"/>
  <c r="N274" i="3"/>
  <c r="M274" i="3"/>
  <c r="L274" i="3"/>
  <c r="K274" i="3"/>
  <c r="K273" i="3" s="1"/>
  <c r="J274" i="3"/>
  <c r="I274" i="3"/>
  <c r="H274" i="3"/>
  <c r="G274" i="3"/>
  <c r="G273" i="3" s="1"/>
  <c r="G291" i="3" s="1"/>
  <c r="F274" i="3"/>
  <c r="E274" i="3"/>
  <c r="D274" i="3"/>
  <c r="C274" i="3"/>
  <c r="A274" i="3"/>
  <c r="A292" i="3" s="1"/>
  <c r="T273" i="3"/>
  <c r="R273" i="3"/>
  <c r="R291" i="3" s="1"/>
  <c r="R308" i="3" s="1"/>
  <c r="O273" i="3"/>
  <c r="M273" i="3"/>
  <c r="M291" i="3" s="1"/>
  <c r="J273" i="3"/>
  <c r="J291" i="3" s="1"/>
  <c r="C273" i="3"/>
  <c r="C291" i="3" s="1"/>
  <c r="C308" i="3" s="1"/>
  <c r="A271" i="3"/>
  <c r="A270" i="3"/>
  <c r="A269" i="3"/>
  <c r="A268" i="3"/>
  <c r="A267" i="3"/>
  <c r="A266" i="3"/>
  <c r="A265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Z261" i="3"/>
  <c r="Z297" i="3" s="1"/>
  <c r="Y261" i="3"/>
  <c r="Y297" i="3" s="1"/>
  <c r="Y306" i="3" s="1"/>
  <c r="X261" i="3"/>
  <c r="W261" i="3"/>
  <c r="W297" i="3" s="1"/>
  <c r="V261" i="3"/>
  <c r="U261" i="3"/>
  <c r="U297" i="3" s="1"/>
  <c r="T261" i="3"/>
  <c r="S261" i="3"/>
  <c r="R261" i="3"/>
  <c r="R297" i="3" s="1"/>
  <c r="R306" i="3" s="1"/>
  <c r="Q261" i="3"/>
  <c r="Q297" i="3" s="1"/>
  <c r="P261" i="3"/>
  <c r="P297" i="3" s="1"/>
  <c r="O261" i="3"/>
  <c r="O297" i="3" s="1"/>
  <c r="N261" i="3"/>
  <c r="N297" i="3" s="1"/>
  <c r="M261" i="3"/>
  <c r="M297" i="3" s="1"/>
  <c r="L261" i="3"/>
  <c r="K261" i="3"/>
  <c r="J261" i="3"/>
  <c r="I261" i="3"/>
  <c r="I297" i="3" s="1"/>
  <c r="I306" i="3" s="1"/>
  <c r="H261" i="3"/>
  <c r="H297" i="3" s="1"/>
  <c r="G261" i="3"/>
  <c r="G297" i="3" s="1"/>
  <c r="G306" i="3" s="1"/>
  <c r="F261" i="3"/>
  <c r="E261" i="3"/>
  <c r="E297" i="3" s="1"/>
  <c r="D261" i="3"/>
  <c r="C261" i="3"/>
  <c r="C297" i="3" s="1"/>
  <c r="Z260" i="3"/>
  <c r="Z296" i="3" s="1"/>
  <c r="Y260" i="3"/>
  <c r="Y296" i="3" s="1"/>
  <c r="Y305" i="3" s="1"/>
  <c r="X260" i="3"/>
  <c r="X296" i="3" s="1"/>
  <c r="X305" i="3" s="1"/>
  <c r="W260" i="3"/>
  <c r="W296" i="3" s="1"/>
  <c r="V260" i="3"/>
  <c r="V296" i="3" s="1"/>
  <c r="U260" i="3"/>
  <c r="T260" i="3"/>
  <c r="S260" i="3"/>
  <c r="S296" i="3" s="1"/>
  <c r="R260" i="3"/>
  <c r="R296" i="3" s="1"/>
  <c r="Q260" i="3"/>
  <c r="P260" i="3"/>
  <c r="P296" i="3" s="1"/>
  <c r="O260" i="3"/>
  <c r="O296" i="3" s="1"/>
  <c r="N260" i="3"/>
  <c r="N296" i="3" s="1"/>
  <c r="M260" i="3"/>
  <c r="L260" i="3"/>
  <c r="K260" i="3"/>
  <c r="K296" i="3" s="1"/>
  <c r="J260" i="3"/>
  <c r="J296" i="3" s="1"/>
  <c r="J305" i="3" s="1"/>
  <c r="I260" i="3"/>
  <c r="I296" i="3" s="1"/>
  <c r="H260" i="3"/>
  <c r="H296" i="3" s="1"/>
  <c r="G260" i="3"/>
  <c r="G296" i="3" s="1"/>
  <c r="G305" i="3" s="1"/>
  <c r="F260" i="3"/>
  <c r="F296" i="3" s="1"/>
  <c r="E260" i="3"/>
  <c r="D260" i="3"/>
  <c r="C260" i="3"/>
  <c r="C296" i="3" s="1"/>
  <c r="Z259" i="3"/>
  <c r="Y259" i="3"/>
  <c r="Y295" i="3" s="1"/>
  <c r="X259" i="3"/>
  <c r="X295" i="3" s="1"/>
  <c r="X304" i="3" s="1"/>
  <c r="W259" i="3"/>
  <c r="W295" i="3" s="1"/>
  <c r="V259" i="3"/>
  <c r="U259" i="3"/>
  <c r="T259" i="3"/>
  <c r="S259" i="3"/>
  <c r="R259" i="3"/>
  <c r="R295" i="3" s="1"/>
  <c r="Q259" i="3"/>
  <c r="Q295" i="3" s="1"/>
  <c r="P259" i="3"/>
  <c r="P295" i="3" s="1"/>
  <c r="O259" i="3"/>
  <c r="O295" i="3" s="1"/>
  <c r="N259" i="3"/>
  <c r="M259" i="3"/>
  <c r="L259" i="3"/>
  <c r="K259" i="3"/>
  <c r="J259" i="3"/>
  <c r="I259" i="3"/>
  <c r="I295" i="3" s="1"/>
  <c r="H259" i="3"/>
  <c r="H295" i="3" s="1"/>
  <c r="G259" i="3"/>
  <c r="G295" i="3" s="1"/>
  <c r="G304" i="3" s="1"/>
  <c r="F259" i="3"/>
  <c r="E259" i="3"/>
  <c r="D259" i="3"/>
  <c r="D295" i="3" s="1"/>
  <c r="D304" i="3" s="1"/>
  <c r="C259" i="3"/>
  <c r="Z258" i="3"/>
  <c r="Z294" i="3" s="1"/>
  <c r="Y258" i="3"/>
  <c r="Y294" i="3" s="1"/>
  <c r="X258" i="3"/>
  <c r="X294" i="3" s="1"/>
  <c r="W258" i="3"/>
  <c r="W294" i="3" s="1"/>
  <c r="V258" i="3"/>
  <c r="U258" i="3"/>
  <c r="T258" i="3"/>
  <c r="S258" i="3"/>
  <c r="S294" i="3" s="1"/>
  <c r="R258" i="3"/>
  <c r="Q258" i="3"/>
  <c r="Q294" i="3" s="1"/>
  <c r="P258" i="3"/>
  <c r="P294" i="3" s="1"/>
  <c r="O258" i="3"/>
  <c r="O294" i="3" s="1"/>
  <c r="N258" i="3"/>
  <c r="M258" i="3"/>
  <c r="L258" i="3"/>
  <c r="K258" i="3"/>
  <c r="K294" i="3" s="1"/>
  <c r="J258" i="3"/>
  <c r="J294" i="3" s="1"/>
  <c r="J303" i="3" s="1"/>
  <c r="I258" i="3"/>
  <c r="I294" i="3" s="1"/>
  <c r="H258" i="3"/>
  <c r="H294" i="3" s="1"/>
  <c r="G258" i="3"/>
  <c r="G294" i="3" s="1"/>
  <c r="G303" i="3" s="1"/>
  <c r="F258" i="3"/>
  <c r="E258" i="3"/>
  <c r="D258" i="3"/>
  <c r="C258" i="3"/>
  <c r="C294" i="3" s="1"/>
  <c r="Z257" i="3"/>
  <c r="Z293" i="3" s="1"/>
  <c r="Y257" i="3"/>
  <c r="Y293" i="3" s="1"/>
  <c r="X257" i="3"/>
  <c r="X293" i="3" s="1"/>
  <c r="X302" i="3" s="1"/>
  <c r="W257" i="3"/>
  <c r="W293" i="3" s="1"/>
  <c r="V257" i="3"/>
  <c r="U257" i="3"/>
  <c r="T257" i="3"/>
  <c r="S257" i="3"/>
  <c r="R257" i="3"/>
  <c r="R293" i="3" s="1"/>
  <c r="R302" i="3" s="1"/>
  <c r="Q257" i="3"/>
  <c r="Q293" i="3" s="1"/>
  <c r="P257" i="3"/>
  <c r="P293" i="3" s="1"/>
  <c r="O257" i="3"/>
  <c r="O293" i="3" s="1"/>
  <c r="N257" i="3"/>
  <c r="M257" i="3"/>
  <c r="L257" i="3"/>
  <c r="L293" i="3" s="1"/>
  <c r="K257" i="3"/>
  <c r="J257" i="3"/>
  <c r="J293" i="3" s="1"/>
  <c r="I257" i="3"/>
  <c r="I293" i="3" s="1"/>
  <c r="H257" i="3"/>
  <c r="H293" i="3" s="1"/>
  <c r="G257" i="3"/>
  <c r="F257" i="3"/>
  <c r="E257" i="3"/>
  <c r="D257" i="3"/>
  <c r="D293" i="3" s="1"/>
  <c r="C257" i="3"/>
  <c r="C293" i="3" s="1"/>
  <c r="C302" i="3" s="1"/>
  <c r="Z256" i="3"/>
  <c r="Z292" i="3" s="1"/>
  <c r="Y256" i="3"/>
  <c r="X256" i="3"/>
  <c r="X292" i="3" s="1"/>
  <c r="W256" i="3"/>
  <c r="W292" i="3" s="1"/>
  <c r="V256" i="3"/>
  <c r="U256" i="3"/>
  <c r="T256" i="3"/>
  <c r="T292" i="3" s="1"/>
  <c r="S256" i="3"/>
  <c r="S292" i="3" s="1"/>
  <c r="R256" i="3"/>
  <c r="R292" i="3" s="1"/>
  <c r="R301" i="3" s="1"/>
  <c r="Q256" i="3"/>
  <c r="Q292" i="3" s="1"/>
  <c r="P256" i="3"/>
  <c r="P292" i="3" s="1"/>
  <c r="O256" i="3"/>
  <c r="O292" i="3" s="1"/>
  <c r="N256" i="3"/>
  <c r="M256" i="3"/>
  <c r="L256" i="3"/>
  <c r="K256" i="3"/>
  <c r="K292" i="3" s="1"/>
  <c r="J256" i="3"/>
  <c r="J292" i="3" s="1"/>
  <c r="I256" i="3"/>
  <c r="H256" i="3"/>
  <c r="H292" i="3" s="1"/>
  <c r="G256" i="3"/>
  <c r="G292" i="3" s="1"/>
  <c r="G301" i="3" s="1"/>
  <c r="F256" i="3"/>
  <c r="E256" i="3"/>
  <c r="D256" i="3"/>
  <c r="C256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O291" i="3" s="1"/>
  <c r="N255" i="3"/>
  <c r="M255" i="3"/>
  <c r="L255" i="3"/>
  <c r="K255" i="3"/>
  <c r="J255" i="3"/>
  <c r="I255" i="3"/>
  <c r="H255" i="3"/>
  <c r="Z252" i="3"/>
  <c r="T252" i="3"/>
  <c r="D252" i="3"/>
  <c r="Z251" i="3"/>
  <c r="V251" i="3"/>
  <c r="V252" i="3" s="1"/>
  <c r="T251" i="3"/>
  <c r="R251" i="3"/>
  <c r="N251" i="3"/>
  <c r="J251" i="3"/>
  <c r="J252" i="3" s="1"/>
  <c r="V250" i="3"/>
  <c r="N250" i="3"/>
  <c r="L250" i="3"/>
  <c r="F250" i="3"/>
  <c r="D250" i="3"/>
  <c r="F249" i="3"/>
  <c r="Z248" i="3"/>
  <c r="X248" i="3"/>
  <c r="V248" i="3"/>
  <c r="U248" i="3"/>
  <c r="Q248" i="3"/>
  <c r="P248" i="3"/>
  <c r="N248" i="3"/>
  <c r="M248" i="3"/>
  <c r="L248" i="3"/>
  <c r="I248" i="3"/>
  <c r="H248" i="3"/>
  <c r="F248" i="3"/>
  <c r="E248" i="3"/>
  <c r="C248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V244" i="3"/>
  <c r="V249" i="3" s="1"/>
  <c r="N244" i="3"/>
  <c r="N249" i="3" s="1"/>
  <c r="L244" i="3"/>
  <c r="J244" i="3"/>
  <c r="J249" i="3" s="1"/>
  <c r="I244" i="3"/>
  <c r="I249" i="3" s="1"/>
  <c r="F244" i="3"/>
  <c r="D244" i="3"/>
  <c r="M243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Z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X235" i="3"/>
  <c r="X243" i="3" s="1"/>
  <c r="V235" i="3"/>
  <c r="V243" i="3" s="1"/>
  <c r="T235" i="3"/>
  <c r="T243" i="3" s="1"/>
  <c r="O235" i="3"/>
  <c r="J235" i="3"/>
  <c r="J243" i="3" s="1"/>
  <c r="H235" i="3"/>
  <c r="H243" i="3" s="1"/>
  <c r="G235" i="3"/>
  <c r="F235" i="3"/>
  <c r="F243" i="3" s="1"/>
  <c r="D235" i="3"/>
  <c r="N234" i="3"/>
  <c r="L234" i="3"/>
  <c r="V233" i="3"/>
  <c r="V234" i="3" s="1"/>
  <c r="T233" i="3"/>
  <c r="T234" i="3" s="1"/>
  <c r="S233" i="3"/>
  <c r="R233" i="3"/>
  <c r="N233" i="3"/>
  <c r="L233" i="3"/>
  <c r="K233" i="3"/>
  <c r="J233" i="3"/>
  <c r="J234" i="3" s="1"/>
  <c r="L232" i="3"/>
  <c r="W231" i="3"/>
  <c r="V231" i="3"/>
  <c r="V232" i="3" s="1"/>
  <c r="U231" i="3"/>
  <c r="T231" i="3"/>
  <c r="T232" i="3" s="1"/>
  <c r="R231" i="3"/>
  <c r="R232" i="3" s="1"/>
  <c r="N231" i="3"/>
  <c r="L231" i="3"/>
  <c r="H231" i="3"/>
  <c r="H232" i="3" s="1"/>
  <c r="F231" i="3"/>
  <c r="F232" i="3" s="1"/>
  <c r="E231" i="3"/>
  <c r="E232" i="3" s="1"/>
  <c r="W229" i="3"/>
  <c r="V229" i="3"/>
  <c r="V230" i="3" s="1"/>
  <c r="T229" i="3"/>
  <c r="T230" i="3" s="1"/>
  <c r="P229" i="3"/>
  <c r="P230" i="3" s="1"/>
  <c r="G229" i="3"/>
  <c r="M228" i="3"/>
  <c r="Z227" i="3"/>
  <c r="Z228" i="3" s="1"/>
  <c r="T227" i="3"/>
  <c r="T228" i="3" s="1"/>
  <c r="P227" i="3"/>
  <c r="P228" i="3" s="1"/>
  <c r="O227" i="3"/>
  <c r="M227" i="3"/>
  <c r="J227" i="3"/>
  <c r="J228" i="3" s="1"/>
  <c r="H227" i="3"/>
  <c r="H228" i="3" s="1"/>
  <c r="G227" i="3"/>
  <c r="X226" i="3"/>
  <c r="P226" i="3"/>
  <c r="M226" i="3"/>
  <c r="X225" i="3"/>
  <c r="U225" i="3"/>
  <c r="S225" i="3"/>
  <c r="O225" i="3"/>
  <c r="M225" i="3"/>
  <c r="K225" i="3"/>
  <c r="H225" i="3"/>
  <c r="H226" i="3" s="1"/>
  <c r="E225" i="3"/>
  <c r="C225" i="3"/>
  <c r="U224" i="3"/>
  <c r="E224" i="3"/>
  <c r="Z223" i="3"/>
  <c r="Y223" i="3"/>
  <c r="W223" i="3"/>
  <c r="V223" i="3"/>
  <c r="U223" i="3"/>
  <c r="T223" i="3"/>
  <c r="S223" i="3"/>
  <c r="R223" i="3"/>
  <c r="Q223" i="3"/>
  <c r="P223" i="3"/>
  <c r="N223" i="3"/>
  <c r="M223" i="3"/>
  <c r="L223" i="3"/>
  <c r="K223" i="3"/>
  <c r="J223" i="3"/>
  <c r="I223" i="3"/>
  <c r="H223" i="3"/>
  <c r="G223" i="3"/>
  <c r="F223" i="3"/>
  <c r="D223" i="3"/>
  <c r="C223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V211" i="3"/>
  <c r="V224" i="3" s="1"/>
  <c r="U211" i="3"/>
  <c r="O211" i="3"/>
  <c r="M211" i="3"/>
  <c r="M224" i="3" s="1"/>
  <c r="K211" i="3"/>
  <c r="K224" i="3" s="1"/>
  <c r="F211" i="3"/>
  <c r="F224" i="3" s="1"/>
  <c r="E211" i="3"/>
  <c r="C211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Z209" i="3"/>
  <c r="Y209" i="3"/>
  <c r="T209" i="3"/>
  <c r="R209" i="3"/>
  <c r="Q209" i="3"/>
  <c r="L209" i="3"/>
  <c r="J209" i="3"/>
  <c r="I209" i="3"/>
  <c r="H209" i="3"/>
  <c r="E209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Z207" i="3"/>
  <c r="V207" i="3"/>
  <c r="T207" i="3"/>
  <c r="S207" i="3"/>
  <c r="R207" i="3"/>
  <c r="P207" i="3"/>
  <c r="P234" i="3" s="1"/>
  <c r="N207" i="3"/>
  <c r="N252" i="3" s="1"/>
  <c r="L207" i="3"/>
  <c r="J207" i="3"/>
  <c r="E207" i="3"/>
  <c r="E228" i="3" s="1"/>
  <c r="C207" i="3"/>
  <c r="C249" i="3" s="1"/>
  <c r="W205" i="3"/>
  <c r="W206" i="3" s="1"/>
  <c r="U205" i="3"/>
  <c r="U206" i="3" s="1"/>
  <c r="S205" i="3"/>
  <c r="S206" i="3" s="1"/>
  <c r="M205" i="3"/>
  <c r="K205" i="3"/>
  <c r="K206" i="3" s="1"/>
  <c r="E205" i="3"/>
  <c r="E206" i="3" s="1"/>
  <c r="C205" i="3"/>
  <c r="C206" i="3" s="1"/>
  <c r="U204" i="3"/>
  <c r="S204" i="3"/>
  <c r="P204" i="3"/>
  <c r="O204" i="3"/>
  <c r="O206" i="3" s="1"/>
  <c r="M204" i="3"/>
  <c r="M206" i="3" s="1"/>
  <c r="K204" i="3"/>
  <c r="G204" i="3"/>
  <c r="V203" i="3"/>
  <c r="U203" i="3"/>
  <c r="S203" i="3"/>
  <c r="P203" i="3"/>
  <c r="O203" i="3"/>
  <c r="M203" i="3"/>
  <c r="J203" i="3"/>
  <c r="F203" i="3"/>
  <c r="E203" i="3"/>
  <c r="C203" i="3"/>
  <c r="Z196" i="3"/>
  <c r="C196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Z194" i="3"/>
  <c r="O194" i="3"/>
  <c r="C194" i="3"/>
  <c r="Z193" i="3"/>
  <c r="Y193" i="3"/>
  <c r="R193" i="3"/>
  <c r="J193" i="3"/>
  <c r="F193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Z184" i="3"/>
  <c r="Y184" i="3"/>
  <c r="X184" i="3"/>
  <c r="V184" i="3"/>
  <c r="T184" i="3"/>
  <c r="S184" i="3"/>
  <c r="R184" i="3"/>
  <c r="Q184" i="3"/>
  <c r="P184" i="3"/>
  <c r="O184" i="3"/>
  <c r="N184" i="3"/>
  <c r="L184" i="3"/>
  <c r="K184" i="3"/>
  <c r="J184" i="3"/>
  <c r="I184" i="3"/>
  <c r="H184" i="3"/>
  <c r="G184" i="3"/>
  <c r="F184" i="3"/>
  <c r="E184" i="3"/>
  <c r="D184" i="3"/>
  <c r="C184" i="3"/>
  <c r="Z183" i="3"/>
  <c r="Y183" i="3"/>
  <c r="X183" i="3"/>
  <c r="V183" i="3"/>
  <c r="T183" i="3"/>
  <c r="S183" i="3"/>
  <c r="R183" i="3"/>
  <c r="Q183" i="3"/>
  <c r="P183" i="3"/>
  <c r="O183" i="3"/>
  <c r="N183" i="3"/>
  <c r="L183" i="3"/>
  <c r="K183" i="3"/>
  <c r="J183" i="3"/>
  <c r="I183" i="3"/>
  <c r="H183" i="3"/>
  <c r="G183" i="3"/>
  <c r="F183" i="3"/>
  <c r="E183" i="3"/>
  <c r="D183" i="3"/>
  <c r="C183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Z175" i="3"/>
  <c r="Y175" i="3"/>
  <c r="T175" i="3"/>
  <c r="S175" i="3"/>
  <c r="R175" i="3"/>
  <c r="Q175" i="3"/>
  <c r="J175" i="3"/>
  <c r="F175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Z165" i="3"/>
  <c r="Y165" i="3"/>
  <c r="T165" i="3"/>
  <c r="S165" i="3"/>
  <c r="R165" i="3"/>
  <c r="Q165" i="3"/>
  <c r="P165" i="3"/>
  <c r="K165" i="3"/>
  <c r="J165" i="3"/>
  <c r="F165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Z159" i="3"/>
  <c r="Z229" i="3" s="1"/>
  <c r="Z230" i="3" s="1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Z157" i="3"/>
  <c r="X157" i="3"/>
  <c r="W157" i="3"/>
  <c r="U157" i="3"/>
  <c r="O157" i="3"/>
  <c r="N157" i="3"/>
  <c r="M157" i="3"/>
  <c r="J157" i="3"/>
  <c r="G157" i="3"/>
  <c r="E157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Z153" i="3"/>
  <c r="Z233" i="3" s="1"/>
  <c r="Z234" i="3" s="1"/>
  <c r="Y153" i="3"/>
  <c r="Y233" i="3" s="1"/>
  <c r="W153" i="3"/>
  <c r="W233" i="3" s="1"/>
  <c r="V153" i="3"/>
  <c r="U153" i="3"/>
  <c r="U233" i="3" s="1"/>
  <c r="U234" i="3" s="1"/>
  <c r="T153" i="3"/>
  <c r="S153" i="3"/>
  <c r="R153" i="3"/>
  <c r="Q153" i="3"/>
  <c r="Q233" i="3" s="1"/>
  <c r="P153" i="3"/>
  <c r="P233" i="3" s="1"/>
  <c r="O153" i="3"/>
  <c r="N153" i="3"/>
  <c r="M153" i="3"/>
  <c r="M233" i="3" s="1"/>
  <c r="M234" i="3" s="1"/>
  <c r="L153" i="3"/>
  <c r="K153" i="3"/>
  <c r="J153" i="3"/>
  <c r="AN152" i="3"/>
  <c r="AL152" i="3"/>
  <c r="AK152" i="3"/>
  <c r="AJ152" i="3"/>
  <c r="AI152" i="3"/>
  <c r="AH152" i="3"/>
  <c r="AH152" i="2" s="1"/>
  <c r="AG152" i="3"/>
  <c r="AF152" i="3"/>
  <c r="AE152" i="3"/>
  <c r="AD152" i="3"/>
  <c r="AC152" i="3"/>
  <c r="AB152" i="3"/>
  <c r="AA152" i="3"/>
  <c r="Z152" i="3"/>
  <c r="Y152" i="3"/>
  <c r="X152" i="3"/>
  <c r="X231" i="3" s="1"/>
  <c r="X232" i="3" s="1"/>
  <c r="W152" i="3"/>
  <c r="V152" i="3"/>
  <c r="U152" i="3"/>
  <c r="T152" i="3"/>
  <c r="S152" i="3"/>
  <c r="R152" i="3"/>
  <c r="Q152" i="3"/>
  <c r="P152" i="3"/>
  <c r="P231" i="3" s="1"/>
  <c r="P232" i="3" s="1"/>
  <c r="O152" i="3"/>
  <c r="N152" i="3"/>
  <c r="M152" i="3"/>
  <c r="L152" i="3"/>
  <c r="K152" i="3"/>
  <c r="J152" i="3"/>
  <c r="I152" i="3"/>
  <c r="H152" i="3"/>
  <c r="G152" i="3"/>
  <c r="F152" i="3"/>
  <c r="E152" i="3"/>
  <c r="D152" i="3"/>
  <c r="D231" i="3" s="1"/>
  <c r="C152" i="3"/>
  <c r="AL151" i="3"/>
  <c r="AK151" i="3"/>
  <c r="AK151" i="2" s="1"/>
  <c r="AJ151" i="3"/>
  <c r="AI151" i="3"/>
  <c r="AI151" i="2" s="1"/>
  <c r="AH151" i="3"/>
  <c r="AG151" i="3"/>
  <c r="AG151" i="2" s="1"/>
  <c r="AF151" i="3"/>
  <c r="AE151" i="3"/>
  <c r="AE151" i="2" s="1"/>
  <c r="AD151" i="3"/>
  <c r="AC151" i="3"/>
  <c r="AB151" i="3"/>
  <c r="AA151" i="3"/>
  <c r="Z151" i="3"/>
  <c r="Y151" i="3"/>
  <c r="Y231" i="3" s="1"/>
  <c r="X151" i="3"/>
  <c r="W151" i="3"/>
  <c r="V151" i="3"/>
  <c r="U151" i="3"/>
  <c r="T151" i="3"/>
  <c r="S151" i="3"/>
  <c r="S231" i="3" s="1"/>
  <c r="S232" i="3" s="1"/>
  <c r="R151" i="3"/>
  <c r="Q151" i="3"/>
  <c r="Q231" i="3" s="1"/>
  <c r="P151" i="3"/>
  <c r="O151" i="3"/>
  <c r="N151" i="3"/>
  <c r="M151" i="3"/>
  <c r="M231" i="3" s="1"/>
  <c r="M232" i="3" s="1"/>
  <c r="L151" i="3"/>
  <c r="K151" i="3"/>
  <c r="K231" i="3" s="1"/>
  <c r="K232" i="3" s="1"/>
  <c r="J151" i="3"/>
  <c r="I151" i="3"/>
  <c r="I231" i="3" s="1"/>
  <c r="H151" i="3"/>
  <c r="G151" i="3"/>
  <c r="G231" i="3" s="1"/>
  <c r="F151" i="3"/>
  <c r="E151" i="3"/>
  <c r="D151" i="3"/>
  <c r="C151" i="3"/>
  <c r="C231" i="3" s="1"/>
  <c r="C232" i="3" s="1"/>
  <c r="Z150" i="3"/>
  <c r="Y150" i="3"/>
  <c r="X150" i="3"/>
  <c r="W150" i="3"/>
  <c r="W227" i="3" s="1"/>
  <c r="V150" i="3"/>
  <c r="V157" i="3" s="1"/>
  <c r="U150" i="3"/>
  <c r="U227" i="3" s="1"/>
  <c r="T150" i="3"/>
  <c r="T157" i="3" s="1"/>
  <c r="S150" i="3"/>
  <c r="S227" i="3" s="1"/>
  <c r="S228" i="3" s="1"/>
  <c r="R150" i="3"/>
  <c r="R157" i="3" s="1"/>
  <c r="Q150" i="3"/>
  <c r="P150" i="3"/>
  <c r="P157" i="3" s="1"/>
  <c r="O150" i="3"/>
  <c r="N150" i="3"/>
  <c r="M150" i="3"/>
  <c r="L150" i="3"/>
  <c r="K150" i="3"/>
  <c r="J150" i="3"/>
  <c r="I150" i="3"/>
  <c r="H150" i="3"/>
  <c r="H157" i="3" s="1"/>
  <c r="G150" i="3"/>
  <c r="F150" i="3"/>
  <c r="F157" i="3" s="1"/>
  <c r="E150" i="3"/>
  <c r="E227" i="3" s="1"/>
  <c r="C150" i="3"/>
  <c r="AL149" i="3"/>
  <c r="AJ149" i="3"/>
  <c r="AH149" i="3"/>
  <c r="AF149" i="3"/>
  <c r="AD149" i="3"/>
  <c r="AB149" i="3"/>
  <c r="Z149" i="3"/>
  <c r="Y149" i="3"/>
  <c r="X149" i="3"/>
  <c r="W149" i="3"/>
  <c r="V149" i="3"/>
  <c r="U149" i="3"/>
  <c r="T149" i="3"/>
  <c r="S149" i="3"/>
  <c r="R149" i="3"/>
  <c r="Q149" i="3"/>
  <c r="P149" i="3"/>
  <c r="AN149" i="3" s="1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AL148" i="3"/>
  <c r="AK148" i="3"/>
  <c r="AJ148" i="3"/>
  <c r="AI148" i="3"/>
  <c r="AH148" i="3"/>
  <c r="AG148" i="3"/>
  <c r="AF148" i="3"/>
  <c r="AE148" i="3"/>
  <c r="AE148" i="2" s="1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AN148" i="3" s="1"/>
  <c r="N148" i="3"/>
  <c r="M148" i="3"/>
  <c r="L148" i="3"/>
  <c r="K148" i="3"/>
  <c r="J148" i="3"/>
  <c r="I148" i="3"/>
  <c r="H148" i="3"/>
  <c r="G148" i="3"/>
  <c r="F148" i="3"/>
  <c r="E148" i="3"/>
  <c r="D148" i="3"/>
  <c r="C148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AL145" i="3"/>
  <c r="AK145" i="3"/>
  <c r="AK145" i="2" s="1"/>
  <c r="AJ145" i="3"/>
  <c r="AI145" i="3"/>
  <c r="AH145" i="3"/>
  <c r="AG145" i="3"/>
  <c r="AG145" i="2" s="1"/>
  <c r="AF145" i="3"/>
  <c r="AE145" i="3"/>
  <c r="AE145" i="2" s="1"/>
  <c r="AD145" i="3"/>
  <c r="AC145" i="3"/>
  <c r="AC145" i="2" s="1"/>
  <c r="AB145" i="3"/>
  <c r="AA145" i="3"/>
  <c r="Z145" i="3"/>
  <c r="Z244" i="3" s="1"/>
  <c r="Z249" i="3" s="1"/>
  <c r="Y145" i="3"/>
  <c r="Y244" i="3" s="1"/>
  <c r="Y249" i="3" s="1"/>
  <c r="X145" i="3"/>
  <c r="X244" i="3" s="1"/>
  <c r="X249" i="3" s="1"/>
  <c r="W145" i="3"/>
  <c r="W244" i="3" s="1"/>
  <c r="V145" i="3"/>
  <c r="U145" i="3"/>
  <c r="U244" i="3" s="1"/>
  <c r="T145" i="3"/>
  <c r="T244" i="3" s="1"/>
  <c r="T249" i="3" s="1"/>
  <c r="S145" i="3"/>
  <c r="S244" i="3" s="1"/>
  <c r="S249" i="3" s="1"/>
  <c r="R145" i="3"/>
  <c r="R244" i="3" s="1"/>
  <c r="Q145" i="3"/>
  <c r="Q244" i="3" s="1"/>
  <c r="P145" i="3"/>
  <c r="P244" i="3" s="1"/>
  <c r="O145" i="3"/>
  <c r="O244" i="3" s="1"/>
  <c r="N145" i="3"/>
  <c r="M145" i="3"/>
  <c r="M244" i="3" s="1"/>
  <c r="M249" i="3" s="1"/>
  <c r="L145" i="3"/>
  <c r="K145" i="3"/>
  <c r="K244" i="3" s="1"/>
  <c r="J145" i="3"/>
  <c r="I145" i="3"/>
  <c r="H145" i="3"/>
  <c r="H244" i="3" s="1"/>
  <c r="G145" i="3"/>
  <c r="G244" i="3" s="1"/>
  <c r="F145" i="3"/>
  <c r="E145" i="3"/>
  <c r="E244" i="3" s="1"/>
  <c r="E249" i="3" s="1"/>
  <c r="D145" i="3"/>
  <c r="C145" i="3"/>
  <c r="C244" i="3" s="1"/>
  <c r="AL144" i="3"/>
  <c r="AK144" i="3"/>
  <c r="AJ144" i="3"/>
  <c r="AI144" i="3"/>
  <c r="AI144" i="2" s="1"/>
  <c r="AH144" i="3"/>
  <c r="AH144" i="2" s="1"/>
  <c r="AG144" i="3"/>
  <c r="AG144" i="2" s="1"/>
  <c r="AF144" i="3"/>
  <c r="AE144" i="3"/>
  <c r="AD144" i="3"/>
  <c r="AC144" i="3"/>
  <c r="AB144" i="3"/>
  <c r="AA144" i="3"/>
  <c r="Z144" i="3"/>
  <c r="Z235" i="3" s="1"/>
  <c r="Z243" i="3" s="1"/>
  <c r="Y144" i="3"/>
  <c r="Y235" i="3" s="1"/>
  <c r="Y243" i="3" s="1"/>
  <c r="X144" i="3"/>
  <c r="W144" i="3"/>
  <c r="W235" i="3" s="1"/>
  <c r="V144" i="3"/>
  <c r="U144" i="3"/>
  <c r="U235" i="3" s="1"/>
  <c r="T144" i="3"/>
  <c r="S144" i="3"/>
  <c r="S235" i="3" s="1"/>
  <c r="S243" i="3" s="1"/>
  <c r="R144" i="3"/>
  <c r="R235" i="3" s="1"/>
  <c r="Q144" i="3"/>
  <c r="Q235" i="3" s="1"/>
  <c r="Q243" i="3" s="1"/>
  <c r="P144" i="3"/>
  <c r="P235" i="3" s="1"/>
  <c r="O144" i="3"/>
  <c r="N144" i="3"/>
  <c r="N235" i="3" s="1"/>
  <c r="N243" i="3" s="1"/>
  <c r="M144" i="3"/>
  <c r="M235" i="3" s="1"/>
  <c r="L144" i="3"/>
  <c r="L235" i="3" s="1"/>
  <c r="K144" i="3"/>
  <c r="K235" i="3" s="1"/>
  <c r="K243" i="3" s="1"/>
  <c r="J144" i="3"/>
  <c r="I144" i="3"/>
  <c r="I235" i="3" s="1"/>
  <c r="I243" i="3" s="1"/>
  <c r="H144" i="3"/>
  <c r="G144" i="3"/>
  <c r="F144" i="3"/>
  <c r="E144" i="3"/>
  <c r="E235" i="3" s="1"/>
  <c r="E243" i="3" s="1"/>
  <c r="D144" i="3"/>
  <c r="C144" i="3"/>
  <c r="C235" i="3" s="1"/>
  <c r="C243" i="3" s="1"/>
  <c r="AL143" i="3"/>
  <c r="AK143" i="3"/>
  <c r="AK143" i="2" s="1"/>
  <c r="AJ143" i="3"/>
  <c r="AI143" i="3"/>
  <c r="AI143" i="2" s="1"/>
  <c r="AH143" i="3"/>
  <c r="AG143" i="3"/>
  <c r="AG143" i="2" s="1"/>
  <c r="AF143" i="3"/>
  <c r="AE143" i="3"/>
  <c r="AE143" i="2" s="1"/>
  <c r="AD143" i="3"/>
  <c r="AC143" i="3"/>
  <c r="AC143" i="2" s="1"/>
  <c r="AB143" i="3"/>
  <c r="AA143" i="3"/>
  <c r="Z143" i="3"/>
  <c r="Y143" i="3"/>
  <c r="Y251" i="3" s="1"/>
  <c r="Y252" i="3" s="1"/>
  <c r="X143" i="3"/>
  <c r="X251" i="3" s="1"/>
  <c r="X252" i="3" s="1"/>
  <c r="W143" i="3"/>
  <c r="W251" i="3" s="1"/>
  <c r="V143" i="3"/>
  <c r="U143" i="3"/>
  <c r="U251" i="3" s="1"/>
  <c r="T143" i="3"/>
  <c r="S143" i="3"/>
  <c r="S251" i="3" s="1"/>
  <c r="R143" i="3"/>
  <c r="Q143" i="3"/>
  <c r="Q251" i="3" s="1"/>
  <c r="Q252" i="3" s="1"/>
  <c r="P143" i="3"/>
  <c r="P251" i="3" s="1"/>
  <c r="O143" i="3"/>
  <c r="N143" i="3"/>
  <c r="M143" i="3"/>
  <c r="L143" i="3"/>
  <c r="L251" i="3" s="1"/>
  <c r="K143" i="3"/>
  <c r="K251" i="3" s="1"/>
  <c r="K252" i="3" s="1"/>
  <c r="J143" i="3"/>
  <c r="I143" i="3"/>
  <c r="I251" i="3" s="1"/>
  <c r="I252" i="3" s="1"/>
  <c r="H143" i="3"/>
  <c r="H251" i="3" s="1"/>
  <c r="G143" i="3"/>
  <c r="G251" i="3" s="1"/>
  <c r="F143" i="3"/>
  <c r="F251" i="3" s="1"/>
  <c r="E143" i="3"/>
  <c r="E251" i="3" s="1"/>
  <c r="E252" i="3" s="1"/>
  <c r="D143" i="3"/>
  <c r="D251" i="3" s="1"/>
  <c r="C143" i="3"/>
  <c r="C251" i="3" s="1"/>
  <c r="AL142" i="3"/>
  <c r="AK142" i="3"/>
  <c r="AK142" i="2" s="1"/>
  <c r="AJ142" i="3"/>
  <c r="AI142" i="3"/>
  <c r="AI142" i="2" s="1"/>
  <c r="AH142" i="3"/>
  <c r="AG142" i="3"/>
  <c r="AF142" i="3"/>
  <c r="AE142" i="3"/>
  <c r="AD142" i="3"/>
  <c r="AC142" i="3"/>
  <c r="AC142" i="2" s="1"/>
  <c r="AB142" i="3"/>
  <c r="AA142" i="3"/>
  <c r="Z142" i="3"/>
  <c r="Z250" i="3" s="1"/>
  <c r="Y142" i="3"/>
  <c r="Y250" i="3" s="1"/>
  <c r="X142" i="3"/>
  <c r="X250" i="3" s="1"/>
  <c r="W142" i="3"/>
  <c r="W250" i="3" s="1"/>
  <c r="V142" i="3"/>
  <c r="U142" i="3"/>
  <c r="U250" i="3" s="1"/>
  <c r="T142" i="3"/>
  <c r="T250" i="3" s="1"/>
  <c r="S142" i="3"/>
  <c r="S250" i="3" s="1"/>
  <c r="R142" i="3"/>
  <c r="R250" i="3" s="1"/>
  <c r="Q142" i="3"/>
  <c r="Q250" i="3" s="1"/>
  <c r="P142" i="3"/>
  <c r="P250" i="3" s="1"/>
  <c r="O142" i="3"/>
  <c r="O250" i="3" s="1"/>
  <c r="N142" i="3"/>
  <c r="M142" i="3"/>
  <c r="M250" i="3" s="1"/>
  <c r="L142" i="3"/>
  <c r="K142" i="3"/>
  <c r="K250" i="3" s="1"/>
  <c r="J142" i="3"/>
  <c r="J250" i="3" s="1"/>
  <c r="I142" i="3"/>
  <c r="I250" i="3" s="1"/>
  <c r="H142" i="3"/>
  <c r="H250" i="3" s="1"/>
  <c r="G142" i="3"/>
  <c r="G250" i="3" s="1"/>
  <c r="F142" i="3"/>
  <c r="E142" i="3"/>
  <c r="E250" i="3" s="1"/>
  <c r="D142" i="3"/>
  <c r="C142" i="3"/>
  <c r="C250" i="3" s="1"/>
  <c r="AL141" i="3"/>
  <c r="AK141" i="3"/>
  <c r="AK141" i="2" s="1"/>
  <c r="AJ141" i="3"/>
  <c r="AI141" i="3"/>
  <c r="AI141" i="2" s="1"/>
  <c r="AH141" i="3"/>
  <c r="AG141" i="3"/>
  <c r="AG141" i="2" s="1"/>
  <c r="AF141" i="3"/>
  <c r="AE141" i="3"/>
  <c r="AD141" i="3"/>
  <c r="AC141" i="3"/>
  <c r="AC141" i="2" s="1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AN140" i="3"/>
  <c r="AL140" i="3"/>
  <c r="AL140" i="2" s="1"/>
  <c r="AK140" i="3"/>
  <c r="AJ140" i="3"/>
  <c r="AJ140" i="2" s="1"/>
  <c r="AI140" i="3"/>
  <c r="AH140" i="3"/>
  <c r="AG140" i="3"/>
  <c r="AF140" i="3"/>
  <c r="AF140" i="2" s="1"/>
  <c r="AE140" i="3"/>
  <c r="AD140" i="3"/>
  <c r="AD140" i="2" s="1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AF139" i="3"/>
  <c r="AF146" i="3" s="1"/>
  <c r="AF150" i="3" s="1"/>
  <c r="AF153" i="3" s="1"/>
  <c r="AD139" i="3"/>
  <c r="AD146" i="3" s="1"/>
  <c r="AD150" i="3" s="1"/>
  <c r="AD153" i="3" s="1"/>
  <c r="Z139" i="3"/>
  <c r="Z225" i="3" s="1"/>
  <c r="Z226" i="3" s="1"/>
  <c r="Y139" i="3"/>
  <c r="Y225" i="3" s="1"/>
  <c r="X139" i="3"/>
  <c r="W139" i="3"/>
  <c r="W225" i="3" s="1"/>
  <c r="V139" i="3"/>
  <c r="V225" i="3" s="1"/>
  <c r="V226" i="3" s="1"/>
  <c r="U139" i="3"/>
  <c r="T139" i="3"/>
  <c r="T225" i="3" s="1"/>
  <c r="T226" i="3" s="1"/>
  <c r="S139" i="3"/>
  <c r="R139" i="3"/>
  <c r="Q139" i="3"/>
  <c r="Q225" i="3" s="1"/>
  <c r="P139" i="3"/>
  <c r="P225" i="3" s="1"/>
  <c r="O139" i="3"/>
  <c r="N139" i="3"/>
  <c r="N225" i="3" s="1"/>
  <c r="N226" i="3" s="1"/>
  <c r="M139" i="3"/>
  <c r="L139" i="3"/>
  <c r="L225" i="3" s="1"/>
  <c r="L226" i="3" s="1"/>
  <c r="K139" i="3"/>
  <c r="J139" i="3"/>
  <c r="J225" i="3" s="1"/>
  <c r="J226" i="3" s="1"/>
  <c r="I139" i="3"/>
  <c r="I225" i="3" s="1"/>
  <c r="H139" i="3"/>
  <c r="G139" i="3"/>
  <c r="G225" i="3" s="1"/>
  <c r="F139" i="3"/>
  <c r="F225" i="3" s="1"/>
  <c r="F226" i="3" s="1"/>
  <c r="E139" i="3"/>
  <c r="D139" i="3"/>
  <c r="D225" i="3" s="1"/>
  <c r="D226" i="3" s="1"/>
  <c r="C139" i="3"/>
  <c r="AL138" i="3"/>
  <c r="AL139" i="3" s="1"/>
  <c r="AL146" i="3" s="1"/>
  <c r="AL150" i="3" s="1"/>
  <c r="AL153" i="3" s="1"/>
  <c r="AK138" i="3"/>
  <c r="AJ138" i="3"/>
  <c r="AI138" i="3"/>
  <c r="AH138" i="3"/>
  <c r="AG138" i="3"/>
  <c r="AF138" i="3"/>
  <c r="AF138" i="2" s="1"/>
  <c r="AE138" i="3"/>
  <c r="AD138" i="3"/>
  <c r="AC138" i="3"/>
  <c r="AB138" i="3"/>
  <c r="AA138" i="3"/>
  <c r="Z138" i="3"/>
  <c r="Z211" i="3" s="1"/>
  <c r="Z224" i="3" s="1"/>
  <c r="Y138" i="3"/>
  <c r="Y211" i="3" s="1"/>
  <c r="X138" i="3"/>
  <c r="X211" i="3" s="1"/>
  <c r="X224" i="3" s="1"/>
  <c r="W138" i="3"/>
  <c r="W211" i="3" s="1"/>
  <c r="V138" i="3"/>
  <c r="U138" i="3"/>
  <c r="T138" i="3"/>
  <c r="T211" i="3" s="1"/>
  <c r="T224" i="3" s="1"/>
  <c r="S138" i="3"/>
  <c r="S211" i="3" s="1"/>
  <c r="R138" i="3"/>
  <c r="R211" i="3" s="1"/>
  <c r="R224" i="3" s="1"/>
  <c r="Q138" i="3"/>
  <c r="Q211" i="3" s="1"/>
  <c r="P138" i="3"/>
  <c r="O138" i="3"/>
  <c r="N138" i="3"/>
  <c r="N211" i="3" s="1"/>
  <c r="N224" i="3" s="1"/>
  <c r="M138" i="3"/>
  <c r="L138" i="3"/>
  <c r="L211" i="3" s="1"/>
  <c r="L224" i="3" s="1"/>
  <c r="K138" i="3"/>
  <c r="J138" i="3"/>
  <c r="J211" i="3" s="1"/>
  <c r="J224" i="3" s="1"/>
  <c r="I138" i="3"/>
  <c r="I211" i="3" s="1"/>
  <c r="H138" i="3"/>
  <c r="H211" i="3" s="1"/>
  <c r="H224" i="3" s="1"/>
  <c r="G138" i="3"/>
  <c r="G211" i="3" s="1"/>
  <c r="F138" i="3"/>
  <c r="E138" i="3"/>
  <c r="D138" i="3"/>
  <c r="D211" i="3" s="1"/>
  <c r="D224" i="3" s="1"/>
  <c r="C138" i="3"/>
  <c r="AL137" i="3"/>
  <c r="AK137" i="3"/>
  <c r="AJ137" i="3"/>
  <c r="AI137" i="3"/>
  <c r="AH137" i="3"/>
  <c r="AG137" i="3"/>
  <c r="AF137" i="3"/>
  <c r="AE137" i="3"/>
  <c r="AE137" i="2" s="1"/>
  <c r="AD137" i="3"/>
  <c r="AC137" i="3"/>
  <c r="AB137" i="3"/>
  <c r="AA137" i="3"/>
  <c r="Z137" i="3"/>
  <c r="Y137" i="3"/>
  <c r="Y207" i="3" s="1"/>
  <c r="X137" i="3"/>
  <c r="X207" i="3" s="1"/>
  <c r="W137" i="3"/>
  <c r="W207" i="3" s="1"/>
  <c r="V137" i="3"/>
  <c r="U137" i="3"/>
  <c r="U207" i="3" s="1"/>
  <c r="U228" i="3" s="1"/>
  <c r="T137" i="3"/>
  <c r="S137" i="3"/>
  <c r="R137" i="3"/>
  <c r="Q137" i="3"/>
  <c r="Q207" i="3" s="1"/>
  <c r="P137" i="3"/>
  <c r="O137" i="3"/>
  <c r="N137" i="3"/>
  <c r="M137" i="3"/>
  <c r="M207" i="3" s="1"/>
  <c r="L137" i="3"/>
  <c r="K137" i="3"/>
  <c r="K207" i="3" s="1"/>
  <c r="J137" i="3"/>
  <c r="I137" i="3"/>
  <c r="I207" i="3" s="1"/>
  <c r="H137" i="3"/>
  <c r="H207" i="3" s="1"/>
  <c r="G137" i="3"/>
  <c r="G207" i="3" s="1"/>
  <c r="F137" i="3"/>
  <c r="F207" i="3" s="1"/>
  <c r="E137" i="3"/>
  <c r="D137" i="3"/>
  <c r="D207" i="3" s="1"/>
  <c r="D243" i="3" s="1"/>
  <c r="C137" i="3"/>
  <c r="AL136" i="3"/>
  <c r="AL136" i="2" s="1"/>
  <c r="AK136" i="3"/>
  <c r="AJ136" i="3"/>
  <c r="AJ136" i="2" s="1"/>
  <c r="AI136" i="3"/>
  <c r="AH136" i="3"/>
  <c r="AH136" i="2" s="1"/>
  <c r="AG136" i="3"/>
  <c r="AF136" i="3"/>
  <c r="AE136" i="3"/>
  <c r="AD136" i="3"/>
  <c r="AD136" i="2" s="1"/>
  <c r="AC136" i="3"/>
  <c r="AB136" i="3"/>
  <c r="AA136" i="3"/>
  <c r="Z136" i="3"/>
  <c r="Z205" i="3" s="1"/>
  <c r="Y136" i="3"/>
  <c r="Y205" i="3" s="1"/>
  <c r="X136" i="3"/>
  <c r="X205" i="3" s="1"/>
  <c r="W136" i="3"/>
  <c r="V136" i="3"/>
  <c r="V205" i="3" s="1"/>
  <c r="U136" i="3"/>
  <c r="T136" i="3"/>
  <c r="S136" i="3"/>
  <c r="R136" i="3"/>
  <c r="R205" i="3" s="1"/>
  <c r="Q136" i="3"/>
  <c r="Q205" i="3" s="1"/>
  <c r="P136" i="3"/>
  <c r="P205" i="3" s="1"/>
  <c r="P206" i="3" s="1"/>
  <c r="O136" i="3"/>
  <c r="O205" i="3" s="1"/>
  <c r="N136" i="3"/>
  <c r="N205" i="3" s="1"/>
  <c r="N206" i="3" s="1"/>
  <c r="M136" i="3"/>
  <c r="L136" i="3"/>
  <c r="L205" i="3" s="1"/>
  <c r="L206" i="3" s="1"/>
  <c r="K136" i="3"/>
  <c r="J136" i="3"/>
  <c r="J205" i="3" s="1"/>
  <c r="J206" i="3" s="1"/>
  <c r="I136" i="3"/>
  <c r="I205" i="3" s="1"/>
  <c r="H136" i="3"/>
  <c r="H205" i="3" s="1"/>
  <c r="H206" i="3" s="1"/>
  <c r="G136" i="3"/>
  <c r="G205" i="3" s="1"/>
  <c r="F136" i="3"/>
  <c r="F205" i="3" s="1"/>
  <c r="F206" i="3" s="1"/>
  <c r="E136" i="3"/>
  <c r="D136" i="3"/>
  <c r="D205" i="3" s="1"/>
  <c r="D206" i="3" s="1"/>
  <c r="C136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Z204" i="3" s="1"/>
  <c r="Y135" i="3"/>
  <c r="Y204" i="3" s="1"/>
  <c r="X135" i="3"/>
  <c r="X204" i="3" s="1"/>
  <c r="X206" i="3" s="1"/>
  <c r="W135" i="3"/>
  <c r="W204" i="3" s="1"/>
  <c r="V135" i="3"/>
  <c r="V204" i="3" s="1"/>
  <c r="U135" i="3"/>
  <c r="T135" i="3"/>
  <c r="T204" i="3" s="1"/>
  <c r="S135" i="3"/>
  <c r="R135" i="3"/>
  <c r="Q135" i="3"/>
  <c r="Q204" i="3" s="1"/>
  <c r="P135" i="3"/>
  <c r="O135" i="3"/>
  <c r="N135" i="3"/>
  <c r="N204" i="3" s="1"/>
  <c r="M135" i="3"/>
  <c r="L135" i="3"/>
  <c r="L204" i="3" s="1"/>
  <c r="K135" i="3"/>
  <c r="J135" i="3"/>
  <c r="J204" i="3" s="1"/>
  <c r="I135" i="3"/>
  <c r="I204" i="3" s="1"/>
  <c r="H135" i="3"/>
  <c r="H204" i="3" s="1"/>
  <c r="G135" i="3"/>
  <c r="F135" i="3"/>
  <c r="F204" i="3" s="1"/>
  <c r="E135" i="3"/>
  <c r="E204" i="3" s="1"/>
  <c r="D135" i="3"/>
  <c r="D204" i="3" s="1"/>
  <c r="C135" i="3"/>
  <c r="C204" i="3" s="1"/>
  <c r="AL134" i="3"/>
  <c r="AK134" i="3"/>
  <c r="AJ134" i="3"/>
  <c r="AI134" i="3"/>
  <c r="AH134" i="3"/>
  <c r="AG134" i="3"/>
  <c r="AF134" i="3"/>
  <c r="AE134" i="3"/>
  <c r="AD134" i="3"/>
  <c r="AC134" i="3"/>
  <c r="AB134" i="3"/>
  <c r="AM134" i="3" s="1"/>
  <c r="AA134" i="3"/>
  <c r="Z134" i="3"/>
  <c r="Z203" i="3" s="1"/>
  <c r="Y134" i="3"/>
  <c r="Y203" i="3" s="1"/>
  <c r="X134" i="3"/>
  <c r="X203" i="3" s="1"/>
  <c r="W134" i="3"/>
  <c r="W203" i="3" s="1"/>
  <c r="V134" i="3"/>
  <c r="U134" i="3"/>
  <c r="T134" i="3"/>
  <c r="T203" i="3" s="1"/>
  <c r="S134" i="3"/>
  <c r="R134" i="3"/>
  <c r="R203" i="3" s="1"/>
  <c r="Q134" i="3"/>
  <c r="Q203" i="3" s="1"/>
  <c r="P134" i="3"/>
  <c r="O134" i="3"/>
  <c r="N134" i="3"/>
  <c r="N203" i="3" s="1"/>
  <c r="M134" i="3"/>
  <c r="L134" i="3"/>
  <c r="L203" i="3" s="1"/>
  <c r="K134" i="3"/>
  <c r="K203" i="3" s="1"/>
  <c r="J134" i="3"/>
  <c r="I134" i="3"/>
  <c r="I203" i="3" s="1"/>
  <c r="H134" i="3"/>
  <c r="H203" i="3" s="1"/>
  <c r="G134" i="3"/>
  <c r="G203" i="3" s="1"/>
  <c r="F134" i="3"/>
  <c r="E134" i="3"/>
  <c r="D134" i="3"/>
  <c r="D203" i="3" s="1"/>
  <c r="C134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Z132" i="3"/>
  <c r="V132" i="3"/>
  <c r="Q132" i="3"/>
  <c r="N132" i="3"/>
  <c r="J132" i="3"/>
  <c r="H132" i="3"/>
  <c r="Z131" i="3"/>
  <c r="Y131" i="3"/>
  <c r="X131" i="3"/>
  <c r="W131" i="3"/>
  <c r="V131" i="3"/>
  <c r="U131" i="3"/>
  <c r="U132" i="3" s="1"/>
  <c r="T131" i="3"/>
  <c r="T132" i="3" s="1"/>
  <c r="S131" i="3"/>
  <c r="R131" i="3"/>
  <c r="R132" i="3" s="1"/>
  <c r="Q131" i="3"/>
  <c r="P131" i="3"/>
  <c r="P132" i="3" s="1"/>
  <c r="O131" i="3"/>
  <c r="N131" i="3"/>
  <c r="M131" i="3"/>
  <c r="M132" i="3" s="1"/>
  <c r="L131" i="3"/>
  <c r="K131" i="3"/>
  <c r="J131" i="3"/>
  <c r="I131" i="3"/>
  <c r="H131" i="3"/>
  <c r="G131" i="3"/>
  <c r="F131" i="3"/>
  <c r="E131" i="3"/>
  <c r="D131" i="3"/>
  <c r="C131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Z83" i="3"/>
  <c r="Y83" i="3"/>
  <c r="Y132" i="3" s="1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H83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F46" i="3"/>
  <c r="E46" i="3"/>
  <c r="D46" i="3"/>
  <c r="C46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F38" i="3"/>
  <c r="E38" i="3"/>
  <c r="D38" i="3"/>
  <c r="C38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Z17" i="3"/>
  <c r="Y17" i="3"/>
  <c r="W17" i="3"/>
  <c r="V17" i="3"/>
  <c r="S17" i="3"/>
  <c r="Q17" i="3"/>
  <c r="K17" i="3"/>
  <c r="J17" i="3"/>
  <c r="I17" i="3"/>
  <c r="C17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Z10" i="3"/>
  <c r="V10" i="3"/>
  <c r="T10" i="3"/>
  <c r="R10" i="3"/>
  <c r="N10" i="3"/>
  <c r="L10" i="3"/>
  <c r="J10" i="3"/>
  <c r="F10" i="3"/>
  <c r="D10" i="3"/>
  <c r="C10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C197" i="3" s="1"/>
  <c r="Z6" i="3"/>
  <c r="Y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E6" i="3"/>
  <c r="D6" i="3"/>
  <c r="C6" i="3"/>
  <c r="P3" i="3"/>
  <c r="Q3" i="3" s="1"/>
  <c r="R3" i="3" s="1"/>
  <c r="S3" i="3" s="1"/>
  <c r="T3" i="3" s="1"/>
  <c r="U3" i="3" s="1"/>
  <c r="V3" i="3" s="1"/>
  <c r="W3" i="3" s="1"/>
  <c r="X3" i="3" s="1"/>
  <c r="Y3" i="3" s="1"/>
  <c r="Z3" i="3" s="1"/>
  <c r="E3" i="3"/>
  <c r="F3" i="3" s="1"/>
  <c r="G3" i="3" s="1"/>
  <c r="H3" i="3" s="1"/>
  <c r="I3" i="3" s="1"/>
  <c r="J3" i="3" s="1"/>
  <c r="K3" i="3" s="1"/>
  <c r="L3" i="3" s="1"/>
  <c r="M3" i="3" s="1"/>
  <c r="N3" i="3" s="1"/>
  <c r="D3" i="3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A332" i="2"/>
  <c r="Z331" i="2"/>
  <c r="Y331" i="2"/>
  <c r="X331" i="2"/>
  <c r="W331" i="2"/>
  <c r="V331" i="2"/>
  <c r="U331" i="2"/>
  <c r="T331" i="2"/>
  <c r="S331" i="2"/>
  <c r="R331" i="2"/>
  <c r="Q331" i="2"/>
  <c r="P331" i="2"/>
  <c r="P326" i="2" s="1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331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A330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D326" i="2" s="1"/>
  <c r="C329" i="2"/>
  <c r="A329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Z327" i="2"/>
  <c r="Y327" i="2"/>
  <c r="X327" i="2"/>
  <c r="W327" i="2"/>
  <c r="V327" i="2"/>
  <c r="V326" i="2" s="1"/>
  <c r="U327" i="2"/>
  <c r="U326" i="2" s="1"/>
  <c r="T327" i="2"/>
  <c r="S327" i="2"/>
  <c r="R327" i="2"/>
  <c r="Q327" i="2"/>
  <c r="P327" i="2"/>
  <c r="O327" i="2"/>
  <c r="N327" i="2"/>
  <c r="N326" i="2" s="1"/>
  <c r="M327" i="2"/>
  <c r="M326" i="2" s="1"/>
  <c r="L327" i="2"/>
  <c r="K327" i="2"/>
  <c r="J327" i="2"/>
  <c r="I327" i="2"/>
  <c r="H327" i="2"/>
  <c r="G327" i="2"/>
  <c r="F327" i="2"/>
  <c r="F326" i="2" s="1"/>
  <c r="E327" i="2"/>
  <c r="E326" i="2" s="1"/>
  <c r="D327" i="2"/>
  <c r="C327" i="2"/>
  <c r="G326" i="2"/>
  <c r="U324" i="2"/>
  <c r="M324" i="2"/>
  <c r="H324" i="2"/>
  <c r="E324" i="2"/>
  <c r="U323" i="2"/>
  <c r="M323" i="2"/>
  <c r="E323" i="2"/>
  <c r="D323" i="2"/>
  <c r="A323" i="2"/>
  <c r="U322" i="2"/>
  <c r="M322" i="2"/>
  <c r="E322" i="2"/>
  <c r="U321" i="2"/>
  <c r="M321" i="2"/>
  <c r="E321" i="2"/>
  <c r="U320" i="2"/>
  <c r="N320" i="2"/>
  <c r="M320" i="2"/>
  <c r="E320" i="2"/>
  <c r="A320" i="2"/>
  <c r="U319" i="2"/>
  <c r="Q319" i="2"/>
  <c r="M319" i="2"/>
  <c r="E319" i="2"/>
  <c r="D319" i="2"/>
  <c r="A319" i="2"/>
  <c r="A328" i="2" s="1"/>
  <c r="U318" i="2"/>
  <c r="M318" i="2"/>
  <c r="E318" i="2"/>
  <c r="A318" i="2"/>
  <c r="A327" i="2" s="1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H321" i="2" s="1"/>
  <c r="G313" i="2"/>
  <c r="F313" i="2"/>
  <c r="E313" i="2"/>
  <c r="D313" i="2"/>
  <c r="C313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Z311" i="2"/>
  <c r="Y311" i="2"/>
  <c r="X311" i="2"/>
  <c r="V311" i="2"/>
  <c r="U311" i="2"/>
  <c r="T311" i="2"/>
  <c r="S311" i="2"/>
  <c r="R311" i="2"/>
  <c r="Q311" i="2"/>
  <c r="P311" i="2"/>
  <c r="N311" i="2"/>
  <c r="N309" i="2" s="1"/>
  <c r="N324" i="2" s="1"/>
  <c r="M311" i="2"/>
  <c r="L311" i="2"/>
  <c r="K311" i="2"/>
  <c r="J311" i="2"/>
  <c r="I311" i="2"/>
  <c r="H311" i="2"/>
  <c r="F311" i="2"/>
  <c r="E311" i="2"/>
  <c r="D311" i="2"/>
  <c r="C311" i="2"/>
  <c r="Z310" i="2"/>
  <c r="Y310" i="2"/>
  <c r="X310" i="2"/>
  <c r="W310" i="2"/>
  <c r="V310" i="2"/>
  <c r="U310" i="2"/>
  <c r="T310" i="2"/>
  <c r="S310" i="2"/>
  <c r="R310" i="2"/>
  <c r="Q310" i="2"/>
  <c r="Q318" i="2" s="1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C309" i="2" s="1"/>
  <c r="Z309" i="2"/>
  <c r="Z324" i="2" s="1"/>
  <c r="Y309" i="2"/>
  <c r="Y320" i="2" s="1"/>
  <c r="U309" i="2"/>
  <c r="Q309" i="2"/>
  <c r="Q324" i="2" s="1"/>
  <c r="P309" i="2"/>
  <c r="P324" i="2" s="1"/>
  <c r="M309" i="2"/>
  <c r="I309" i="2"/>
  <c r="H309" i="2"/>
  <c r="H318" i="2" s="1"/>
  <c r="E309" i="2"/>
  <c r="D309" i="2"/>
  <c r="D324" i="2" s="1"/>
  <c r="V308" i="2"/>
  <c r="V307" i="2"/>
  <c r="V304" i="2"/>
  <c r="V303" i="2"/>
  <c r="S303" i="2"/>
  <c r="W302" i="2"/>
  <c r="S302" i="2"/>
  <c r="S301" i="2"/>
  <c r="X297" i="2"/>
  <c r="U297" i="2"/>
  <c r="R297" i="2"/>
  <c r="P297" i="2"/>
  <c r="N297" i="2"/>
  <c r="L297" i="2"/>
  <c r="G297" i="2"/>
  <c r="D297" i="2"/>
  <c r="A297" i="2"/>
  <c r="A306" i="2" s="1"/>
  <c r="R296" i="2"/>
  <c r="P296" i="2"/>
  <c r="N296" i="2"/>
  <c r="N305" i="2" s="1"/>
  <c r="M296" i="2"/>
  <c r="K296" i="2"/>
  <c r="J296" i="2"/>
  <c r="A296" i="2"/>
  <c r="A305" i="2" s="1"/>
  <c r="Z295" i="2"/>
  <c r="T295" i="2"/>
  <c r="S295" i="2"/>
  <c r="P295" i="2"/>
  <c r="N295" i="2"/>
  <c r="K295" i="2"/>
  <c r="A295" i="2"/>
  <c r="A304" i="2" s="1"/>
  <c r="Z294" i="2"/>
  <c r="Y294" i="2"/>
  <c r="W294" i="2"/>
  <c r="P294" i="2"/>
  <c r="O294" i="2"/>
  <c r="K294" i="2"/>
  <c r="D294" i="2"/>
  <c r="A294" i="2"/>
  <c r="A303" i="2" s="1"/>
  <c r="X293" i="2"/>
  <c r="V293" i="2"/>
  <c r="T293" i="2"/>
  <c r="R293" i="2"/>
  <c r="P293" i="2"/>
  <c r="N293" i="2"/>
  <c r="N302" i="2" s="1"/>
  <c r="M293" i="2"/>
  <c r="L293" i="2"/>
  <c r="K293" i="2"/>
  <c r="D293" i="2"/>
  <c r="A293" i="2"/>
  <c r="A302" i="2" s="1"/>
  <c r="S292" i="2"/>
  <c r="R292" i="2"/>
  <c r="R301" i="2" s="1"/>
  <c r="O292" i="2"/>
  <c r="M292" i="2"/>
  <c r="K292" i="2"/>
  <c r="C292" i="2"/>
  <c r="R291" i="2"/>
  <c r="A289" i="2"/>
  <c r="A288" i="2"/>
  <c r="A287" i="2"/>
  <c r="A286" i="2"/>
  <c r="A284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Z279" i="2"/>
  <c r="Y279" i="2"/>
  <c r="X279" i="2"/>
  <c r="W279" i="2"/>
  <c r="W297" i="2" s="1"/>
  <c r="W306" i="2" s="1"/>
  <c r="V279" i="2"/>
  <c r="U279" i="2"/>
  <c r="T279" i="2"/>
  <c r="S279" i="2"/>
  <c r="R279" i="2"/>
  <c r="Q279" i="2"/>
  <c r="P279" i="2"/>
  <c r="O279" i="2"/>
  <c r="O297" i="2" s="1"/>
  <c r="N279" i="2"/>
  <c r="M279" i="2"/>
  <c r="L279" i="2"/>
  <c r="K279" i="2"/>
  <c r="J279" i="2"/>
  <c r="I279" i="2"/>
  <c r="H279" i="2"/>
  <c r="G279" i="2"/>
  <c r="F279" i="2"/>
  <c r="E279" i="2"/>
  <c r="D279" i="2"/>
  <c r="C279" i="2"/>
  <c r="Z278" i="2"/>
  <c r="Y278" i="2"/>
  <c r="X278" i="2"/>
  <c r="W278" i="2"/>
  <c r="W273" i="2" s="1"/>
  <c r="W291" i="2" s="1"/>
  <c r="W308" i="2" s="1"/>
  <c r="V278" i="2"/>
  <c r="U278" i="2"/>
  <c r="T278" i="2"/>
  <c r="S278" i="2"/>
  <c r="S296" i="2" s="1"/>
  <c r="R278" i="2"/>
  <c r="Q278" i="2"/>
  <c r="P278" i="2"/>
  <c r="O278" i="2"/>
  <c r="N278" i="2"/>
  <c r="M278" i="2"/>
  <c r="L278" i="2"/>
  <c r="K278" i="2"/>
  <c r="J278" i="2"/>
  <c r="I278" i="2"/>
  <c r="H278" i="2"/>
  <c r="G278" i="2"/>
  <c r="G273" i="2" s="1"/>
  <c r="G291" i="2" s="1"/>
  <c r="F278" i="2"/>
  <c r="E278" i="2"/>
  <c r="D278" i="2"/>
  <c r="C278" i="2"/>
  <c r="C296" i="2" s="1"/>
  <c r="A278" i="2"/>
  <c r="Z277" i="2"/>
  <c r="Y277" i="2"/>
  <c r="X277" i="2"/>
  <c r="W277" i="2"/>
  <c r="V277" i="2"/>
  <c r="U277" i="2"/>
  <c r="T277" i="2"/>
  <c r="S277" i="2"/>
  <c r="R277" i="2"/>
  <c r="R295" i="2" s="1"/>
  <c r="Q277" i="2"/>
  <c r="P277" i="2"/>
  <c r="O277" i="2"/>
  <c r="N277" i="2"/>
  <c r="M277" i="2"/>
  <c r="L277" i="2"/>
  <c r="K277" i="2"/>
  <c r="J277" i="2"/>
  <c r="J295" i="2" s="1"/>
  <c r="I277" i="2"/>
  <c r="H277" i="2"/>
  <c r="G277" i="2"/>
  <c r="F277" i="2"/>
  <c r="E277" i="2"/>
  <c r="D277" i="2"/>
  <c r="D295" i="2" s="1"/>
  <c r="C277" i="2"/>
  <c r="C295" i="2" s="1"/>
  <c r="Z276" i="2"/>
  <c r="Y276" i="2"/>
  <c r="X276" i="2"/>
  <c r="X294" i="2" s="1"/>
  <c r="W276" i="2"/>
  <c r="V276" i="2"/>
  <c r="U276" i="2"/>
  <c r="T276" i="2"/>
  <c r="T294" i="2" s="1"/>
  <c r="S276" i="2"/>
  <c r="S294" i="2" s="1"/>
  <c r="R276" i="2"/>
  <c r="R294" i="2" s="1"/>
  <c r="Q276" i="2"/>
  <c r="P276" i="2"/>
  <c r="P273" i="2" s="1"/>
  <c r="P291" i="2" s="1"/>
  <c r="O276" i="2"/>
  <c r="N276" i="2"/>
  <c r="M276" i="2"/>
  <c r="L276" i="2"/>
  <c r="K276" i="2"/>
  <c r="J276" i="2"/>
  <c r="I276" i="2"/>
  <c r="H276" i="2"/>
  <c r="H273" i="2" s="1"/>
  <c r="H291" i="2" s="1"/>
  <c r="G276" i="2"/>
  <c r="F276" i="2"/>
  <c r="E276" i="2"/>
  <c r="D276" i="2"/>
  <c r="C276" i="2"/>
  <c r="C294" i="2" s="1"/>
  <c r="A276" i="2"/>
  <c r="A285" i="2" s="1"/>
  <c r="Z275" i="2"/>
  <c r="Y275" i="2"/>
  <c r="Y273" i="2" s="1"/>
  <c r="X275" i="2"/>
  <c r="W275" i="2"/>
  <c r="V275" i="2"/>
  <c r="U275" i="2"/>
  <c r="T275" i="2"/>
  <c r="S275" i="2"/>
  <c r="S293" i="2" s="1"/>
  <c r="R275" i="2"/>
  <c r="Q275" i="2"/>
  <c r="Q273" i="2" s="1"/>
  <c r="P275" i="2"/>
  <c r="O275" i="2"/>
  <c r="N275" i="2"/>
  <c r="M275" i="2"/>
  <c r="M273" i="2" s="1"/>
  <c r="L275" i="2"/>
  <c r="K275" i="2"/>
  <c r="J275" i="2"/>
  <c r="I275" i="2"/>
  <c r="I273" i="2" s="1"/>
  <c r="I291" i="2" s="1"/>
  <c r="H275" i="2"/>
  <c r="G275" i="2"/>
  <c r="F275" i="2"/>
  <c r="E275" i="2"/>
  <c r="E273" i="2" s="1"/>
  <c r="E291" i="2" s="1"/>
  <c r="D275" i="2"/>
  <c r="C275" i="2"/>
  <c r="A275" i="2"/>
  <c r="Z274" i="2"/>
  <c r="Z273" i="2" s="1"/>
  <c r="Z291" i="2" s="1"/>
  <c r="Y274" i="2"/>
  <c r="X274" i="2"/>
  <c r="W274" i="2"/>
  <c r="V274" i="2"/>
  <c r="V273" i="2" s="1"/>
  <c r="V291" i="2" s="1"/>
  <c r="U274" i="2"/>
  <c r="T274" i="2"/>
  <c r="S274" i="2"/>
  <c r="R274" i="2"/>
  <c r="Q274" i="2"/>
  <c r="P274" i="2"/>
  <c r="O274" i="2"/>
  <c r="N274" i="2"/>
  <c r="N273" i="2" s="1"/>
  <c r="N291" i="2" s="1"/>
  <c r="M274" i="2"/>
  <c r="L274" i="2"/>
  <c r="K274" i="2"/>
  <c r="J274" i="2"/>
  <c r="I274" i="2"/>
  <c r="H274" i="2"/>
  <c r="G274" i="2"/>
  <c r="F274" i="2"/>
  <c r="F273" i="2" s="1"/>
  <c r="F291" i="2" s="1"/>
  <c r="E274" i="2"/>
  <c r="D274" i="2"/>
  <c r="C274" i="2"/>
  <c r="A274" i="2"/>
  <c r="A283" i="2" s="1"/>
  <c r="U273" i="2"/>
  <c r="U291" i="2" s="1"/>
  <c r="S273" i="2"/>
  <c r="S291" i="2" s="1"/>
  <c r="R273" i="2"/>
  <c r="A271" i="2"/>
  <c r="A270" i="2"/>
  <c r="A269" i="2"/>
  <c r="A268" i="2"/>
  <c r="A267" i="2"/>
  <c r="A266" i="2"/>
  <c r="A265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Z261" i="2"/>
  <c r="Z297" i="2" s="1"/>
  <c r="Y261" i="2"/>
  <c r="Y297" i="2" s="1"/>
  <c r="X261" i="2"/>
  <c r="W261" i="2"/>
  <c r="V261" i="2"/>
  <c r="V297" i="2" s="1"/>
  <c r="V306" i="2" s="1"/>
  <c r="U261" i="2"/>
  <c r="T261" i="2"/>
  <c r="T297" i="2" s="1"/>
  <c r="S261" i="2"/>
  <c r="S297" i="2" s="1"/>
  <c r="R261" i="2"/>
  <c r="Q261" i="2"/>
  <c r="Q297" i="2" s="1"/>
  <c r="P261" i="2"/>
  <c r="O261" i="2"/>
  <c r="N261" i="2"/>
  <c r="M261" i="2"/>
  <c r="M297" i="2" s="1"/>
  <c r="L261" i="2"/>
  <c r="K261" i="2"/>
  <c r="K297" i="2" s="1"/>
  <c r="J261" i="2"/>
  <c r="J297" i="2" s="1"/>
  <c r="I261" i="2"/>
  <c r="I297" i="2" s="1"/>
  <c r="I306" i="2" s="1"/>
  <c r="H261" i="2"/>
  <c r="H297" i="2" s="1"/>
  <c r="G261" i="2"/>
  <c r="F261" i="2"/>
  <c r="F297" i="2" s="1"/>
  <c r="E261" i="2"/>
  <c r="E297" i="2" s="1"/>
  <c r="E306" i="2" s="1"/>
  <c r="D261" i="2"/>
  <c r="C261" i="2"/>
  <c r="C297" i="2" s="1"/>
  <c r="Z260" i="2"/>
  <c r="Z296" i="2" s="1"/>
  <c r="Y260" i="2"/>
  <c r="Y296" i="2" s="1"/>
  <c r="X260" i="2"/>
  <c r="X296" i="2" s="1"/>
  <c r="W260" i="2"/>
  <c r="V260" i="2"/>
  <c r="V296" i="2" s="1"/>
  <c r="V305" i="2" s="1"/>
  <c r="U260" i="2"/>
  <c r="U296" i="2" s="1"/>
  <c r="U305" i="2" s="1"/>
  <c r="T260" i="2"/>
  <c r="T296" i="2" s="1"/>
  <c r="S260" i="2"/>
  <c r="R260" i="2"/>
  <c r="Q260" i="2"/>
  <c r="Q296" i="2" s="1"/>
  <c r="P260" i="2"/>
  <c r="O260" i="2"/>
  <c r="N260" i="2"/>
  <c r="M260" i="2"/>
  <c r="L260" i="2"/>
  <c r="L296" i="2" s="1"/>
  <c r="K260" i="2"/>
  <c r="J260" i="2"/>
  <c r="I260" i="2"/>
  <c r="I296" i="2" s="1"/>
  <c r="I305" i="2" s="1"/>
  <c r="H260" i="2"/>
  <c r="H296" i="2" s="1"/>
  <c r="G260" i="2"/>
  <c r="F260" i="2"/>
  <c r="F296" i="2" s="1"/>
  <c r="E260" i="2"/>
  <c r="E296" i="2" s="1"/>
  <c r="E305" i="2" s="1"/>
  <c r="D260" i="2"/>
  <c r="D296" i="2" s="1"/>
  <c r="C260" i="2"/>
  <c r="Z259" i="2"/>
  <c r="Y259" i="2"/>
  <c r="Y295" i="2" s="1"/>
  <c r="X259" i="2"/>
  <c r="W259" i="2"/>
  <c r="W295" i="2" s="1"/>
  <c r="V259" i="2"/>
  <c r="V295" i="2" s="1"/>
  <c r="U259" i="2"/>
  <c r="U295" i="2" s="1"/>
  <c r="T259" i="2"/>
  <c r="S259" i="2"/>
  <c r="R259" i="2"/>
  <c r="Q259" i="2"/>
  <c r="Q295" i="2" s="1"/>
  <c r="P259" i="2"/>
  <c r="O259" i="2"/>
  <c r="O295" i="2" s="1"/>
  <c r="N259" i="2"/>
  <c r="M259" i="2"/>
  <c r="M295" i="2" s="1"/>
  <c r="L259" i="2"/>
  <c r="K259" i="2"/>
  <c r="J259" i="2"/>
  <c r="I259" i="2"/>
  <c r="I295" i="2" s="1"/>
  <c r="I304" i="2" s="1"/>
  <c r="H259" i="2"/>
  <c r="H295" i="2" s="1"/>
  <c r="H304" i="2" s="1"/>
  <c r="G259" i="2"/>
  <c r="G295" i="2" s="1"/>
  <c r="F259" i="2"/>
  <c r="F295" i="2" s="1"/>
  <c r="E259" i="2"/>
  <c r="E295" i="2" s="1"/>
  <c r="E304" i="2" s="1"/>
  <c r="D259" i="2"/>
  <c r="C259" i="2"/>
  <c r="Z258" i="2"/>
  <c r="Y258" i="2"/>
  <c r="X258" i="2"/>
  <c r="W258" i="2"/>
  <c r="V258" i="2"/>
  <c r="V294" i="2" s="1"/>
  <c r="U258" i="2"/>
  <c r="U294" i="2" s="1"/>
  <c r="T258" i="2"/>
  <c r="S258" i="2"/>
  <c r="R258" i="2"/>
  <c r="Q258" i="2"/>
  <c r="Q294" i="2" s="1"/>
  <c r="P258" i="2"/>
  <c r="O258" i="2"/>
  <c r="N258" i="2"/>
  <c r="N294" i="2" s="1"/>
  <c r="N303" i="2" s="1"/>
  <c r="M258" i="2"/>
  <c r="M294" i="2" s="1"/>
  <c r="L258" i="2"/>
  <c r="K258" i="2"/>
  <c r="J258" i="2"/>
  <c r="I258" i="2"/>
  <c r="I294" i="2" s="1"/>
  <c r="I303" i="2" s="1"/>
  <c r="H258" i="2"/>
  <c r="H294" i="2" s="1"/>
  <c r="H303" i="2" s="1"/>
  <c r="G258" i="2"/>
  <c r="G294" i="2" s="1"/>
  <c r="F258" i="2"/>
  <c r="F294" i="2" s="1"/>
  <c r="E258" i="2"/>
  <c r="E294" i="2" s="1"/>
  <c r="E303" i="2" s="1"/>
  <c r="D258" i="2"/>
  <c r="C258" i="2"/>
  <c r="Z257" i="2"/>
  <c r="Z293" i="2" s="1"/>
  <c r="Y257" i="2"/>
  <c r="Y293" i="2" s="1"/>
  <c r="X257" i="2"/>
  <c r="W257" i="2"/>
  <c r="W293" i="2" s="1"/>
  <c r="V257" i="2"/>
  <c r="U257" i="2"/>
  <c r="U293" i="2" s="1"/>
  <c r="T257" i="2"/>
  <c r="S257" i="2"/>
  <c r="R257" i="2"/>
  <c r="Q257" i="2"/>
  <c r="Q293" i="2" s="1"/>
  <c r="P257" i="2"/>
  <c r="O257" i="2"/>
  <c r="O293" i="2" s="1"/>
  <c r="N257" i="2"/>
  <c r="M257" i="2"/>
  <c r="L257" i="2"/>
  <c r="K257" i="2"/>
  <c r="J257" i="2"/>
  <c r="J293" i="2" s="1"/>
  <c r="I257" i="2"/>
  <c r="I293" i="2" s="1"/>
  <c r="H257" i="2"/>
  <c r="H293" i="2" s="1"/>
  <c r="G257" i="2"/>
  <c r="G293" i="2" s="1"/>
  <c r="F257" i="2"/>
  <c r="F293" i="2" s="1"/>
  <c r="E257" i="2"/>
  <c r="E293" i="2" s="1"/>
  <c r="E302" i="2" s="1"/>
  <c r="D257" i="2"/>
  <c r="C257" i="2"/>
  <c r="Z256" i="2"/>
  <c r="Y256" i="2"/>
  <c r="Y292" i="2" s="1"/>
  <c r="X256" i="2"/>
  <c r="W256" i="2"/>
  <c r="W292" i="2" s="1"/>
  <c r="V256" i="2"/>
  <c r="U256" i="2"/>
  <c r="U292" i="2" s="1"/>
  <c r="T256" i="2"/>
  <c r="S256" i="2"/>
  <c r="R256" i="2"/>
  <c r="Q256" i="2"/>
  <c r="Q292" i="2" s="1"/>
  <c r="P256" i="2"/>
  <c r="O256" i="2"/>
  <c r="N256" i="2"/>
  <c r="M256" i="2"/>
  <c r="L256" i="2"/>
  <c r="K256" i="2"/>
  <c r="J256" i="2"/>
  <c r="I256" i="2"/>
  <c r="I292" i="2" s="1"/>
  <c r="I301" i="2" s="1"/>
  <c r="H256" i="2"/>
  <c r="G256" i="2"/>
  <c r="G292" i="2" s="1"/>
  <c r="F256" i="2"/>
  <c r="F292" i="2" s="1"/>
  <c r="E256" i="2"/>
  <c r="E292" i="2" s="1"/>
  <c r="E301" i="2" s="1"/>
  <c r="D256" i="2"/>
  <c r="C256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Y252" i="2"/>
  <c r="U252" i="2"/>
  <c r="E252" i="2"/>
  <c r="Y251" i="2"/>
  <c r="W251" i="2"/>
  <c r="W252" i="2" s="1"/>
  <c r="U251" i="2"/>
  <c r="O251" i="2"/>
  <c r="M251" i="2"/>
  <c r="K251" i="2"/>
  <c r="I251" i="2"/>
  <c r="I252" i="2" s="1"/>
  <c r="G251" i="2"/>
  <c r="G252" i="2" s="1"/>
  <c r="Z250" i="2"/>
  <c r="X250" i="2"/>
  <c r="T250" i="2"/>
  <c r="Q250" i="2"/>
  <c r="L250" i="2"/>
  <c r="J250" i="2"/>
  <c r="H250" i="2"/>
  <c r="C250" i="2"/>
  <c r="W249" i="2"/>
  <c r="R249" i="2"/>
  <c r="G249" i="2"/>
  <c r="Z248" i="2"/>
  <c r="X248" i="2"/>
  <c r="V248" i="2"/>
  <c r="U248" i="2"/>
  <c r="Q248" i="2"/>
  <c r="P248" i="2"/>
  <c r="N248" i="2"/>
  <c r="M248" i="2"/>
  <c r="L248" i="2"/>
  <c r="I248" i="2"/>
  <c r="H248" i="2"/>
  <c r="F248" i="2"/>
  <c r="E248" i="2"/>
  <c r="C248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Z244" i="2"/>
  <c r="Z249" i="2" s="1"/>
  <c r="W244" i="2"/>
  <c r="U244" i="2"/>
  <c r="O244" i="2"/>
  <c r="O249" i="2" s="1"/>
  <c r="M244" i="2"/>
  <c r="M249" i="2" s="1"/>
  <c r="K244" i="2"/>
  <c r="E244" i="2"/>
  <c r="E249" i="2" s="1"/>
  <c r="D244" i="2"/>
  <c r="C244" i="2"/>
  <c r="C249" i="2" s="1"/>
  <c r="M243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Z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Z235" i="2"/>
  <c r="Z243" i="2" s="1"/>
  <c r="Y235" i="2"/>
  <c r="Y243" i="2" s="1"/>
  <c r="W235" i="2"/>
  <c r="W243" i="2" s="1"/>
  <c r="S235" i="2"/>
  <c r="S243" i="2" s="1"/>
  <c r="Q235" i="2"/>
  <c r="P235" i="2"/>
  <c r="P243" i="2" s="1"/>
  <c r="O235" i="2"/>
  <c r="O243" i="2" s="1"/>
  <c r="M235" i="2"/>
  <c r="L235" i="2"/>
  <c r="J235" i="2"/>
  <c r="D235" i="2"/>
  <c r="C235" i="2"/>
  <c r="C243" i="2" s="1"/>
  <c r="P234" i="2"/>
  <c r="M234" i="2"/>
  <c r="U233" i="2"/>
  <c r="U234" i="2" s="1"/>
  <c r="P233" i="2"/>
  <c r="O233" i="2"/>
  <c r="O234" i="2" s="1"/>
  <c r="L233" i="2"/>
  <c r="U232" i="2"/>
  <c r="O232" i="2"/>
  <c r="M232" i="2"/>
  <c r="I232" i="2"/>
  <c r="T231" i="2"/>
  <c r="Q231" i="2"/>
  <c r="O231" i="2"/>
  <c r="L231" i="2"/>
  <c r="I231" i="2"/>
  <c r="Y230" i="2"/>
  <c r="C229" i="2"/>
  <c r="C230" i="2" s="1"/>
  <c r="Z227" i="2"/>
  <c r="Y227" i="2"/>
  <c r="Y228" i="2" s="1"/>
  <c r="X227" i="2"/>
  <c r="X228" i="2" s="1"/>
  <c r="S227" i="2"/>
  <c r="S228" i="2" s="1"/>
  <c r="L227" i="2"/>
  <c r="J227" i="2"/>
  <c r="J228" i="2" s="1"/>
  <c r="C227" i="2"/>
  <c r="C228" i="2" s="1"/>
  <c r="Y226" i="2"/>
  <c r="W226" i="2"/>
  <c r="S226" i="2"/>
  <c r="G226" i="2"/>
  <c r="Y225" i="2"/>
  <c r="X225" i="2"/>
  <c r="X226" i="2" s="1"/>
  <c r="U225" i="2"/>
  <c r="U226" i="2" s="1"/>
  <c r="S225" i="2"/>
  <c r="O225" i="2"/>
  <c r="O226" i="2" s="1"/>
  <c r="L225" i="2"/>
  <c r="J225" i="2"/>
  <c r="I225" i="2"/>
  <c r="I226" i="2" s="1"/>
  <c r="G225" i="2"/>
  <c r="E225" i="2"/>
  <c r="C225" i="2"/>
  <c r="C226" i="2" s="1"/>
  <c r="W224" i="2"/>
  <c r="R224" i="2"/>
  <c r="Z223" i="2"/>
  <c r="Y223" i="2"/>
  <c r="W223" i="2"/>
  <c r="V223" i="2"/>
  <c r="U223" i="2"/>
  <c r="T223" i="2"/>
  <c r="S223" i="2"/>
  <c r="R223" i="2"/>
  <c r="Q223" i="2"/>
  <c r="P223" i="2"/>
  <c r="N223" i="2"/>
  <c r="M223" i="2"/>
  <c r="L223" i="2"/>
  <c r="K223" i="2"/>
  <c r="J223" i="2"/>
  <c r="I223" i="2"/>
  <c r="H223" i="2"/>
  <c r="G223" i="2"/>
  <c r="F223" i="2"/>
  <c r="D223" i="2"/>
  <c r="C223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Z211" i="2"/>
  <c r="X211" i="2"/>
  <c r="R211" i="2"/>
  <c r="Q211" i="2"/>
  <c r="Q224" i="2" s="1"/>
  <c r="J211" i="2"/>
  <c r="I211" i="2"/>
  <c r="I224" i="2" s="1"/>
  <c r="H211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Z209" i="2"/>
  <c r="Y209" i="2"/>
  <c r="T209" i="2"/>
  <c r="R209" i="2"/>
  <c r="Q209" i="2"/>
  <c r="L209" i="2"/>
  <c r="J209" i="2"/>
  <c r="I209" i="2"/>
  <c r="H209" i="2"/>
  <c r="E209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X207" i="2"/>
  <c r="X224" i="2" s="1"/>
  <c r="W207" i="2"/>
  <c r="U207" i="2"/>
  <c r="S207" i="2"/>
  <c r="S252" i="2" s="1"/>
  <c r="O207" i="2"/>
  <c r="O252" i="2" s="1"/>
  <c r="M207" i="2"/>
  <c r="M226" i="2" s="1"/>
  <c r="K207" i="2"/>
  <c r="K226" i="2" s="1"/>
  <c r="E207" i="2"/>
  <c r="C207" i="2"/>
  <c r="T206" i="2"/>
  <c r="K206" i="2"/>
  <c r="Z205" i="2"/>
  <c r="X205" i="2"/>
  <c r="X206" i="2" s="1"/>
  <c r="W205" i="2"/>
  <c r="W206" i="2" s="1"/>
  <c r="U205" i="2"/>
  <c r="U206" i="2" s="1"/>
  <c r="Q205" i="2"/>
  <c r="M205" i="2"/>
  <c r="M206" i="2" s="1"/>
  <c r="L205" i="2"/>
  <c r="L206" i="2" s="1"/>
  <c r="J205" i="2"/>
  <c r="E205" i="2"/>
  <c r="E206" i="2" s="1"/>
  <c r="D205" i="2"/>
  <c r="D206" i="2" s="1"/>
  <c r="C205" i="2"/>
  <c r="Y204" i="2"/>
  <c r="W204" i="2"/>
  <c r="U204" i="2"/>
  <c r="T204" i="2"/>
  <c r="M204" i="2"/>
  <c r="L204" i="2"/>
  <c r="K204" i="2"/>
  <c r="J204" i="2"/>
  <c r="J206" i="2" s="1"/>
  <c r="I204" i="2"/>
  <c r="I206" i="2" s="1"/>
  <c r="G204" i="2"/>
  <c r="D204" i="2"/>
  <c r="Z203" i="2"/>
  <c r="Y203" i="2"/>
  <c r="X203" i="2"/>
  <c r="U203" i="2"/>
  <c r="S203" i="2"/>
  <c r="Q203" i="2"/>
  <c r="L203" i="2"/>
  <c r="J203" i="2"/>
  <c r="I203" i="2"/>
  <c r="H203" i="2"/>
  <c r="E203" i="2"/>
  <c r="Z196" i="2"/>
  <c r="C196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Z194" i="2"/>
  <c r="O194" i="2"/>
  <c r="C194" i="2"/>
  <c r="Z193" i="2"/>
  <c r="Y193" i="2"/>
  <c r="R193" i="2"/>
  <c r="J193" i="2"/>
  <c r="F193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Z184" i="2"/>
  <c r="Y184" i="2"/>
  <c r="X184" i="2"/>
  <c r="V184" i="2"/>
  <c r="T184" i="2"/>
  <c r="S184" i="2"/>
  <c r="R184" i="2"/>
  <c r="Q184" i="2"/>
  <c r="P184" i="2"/>
  <c r="O184" i="2"/>
  <c r="N184" i="2"/>
  <c r="L184" i="2"/>
  <c r="K184" i="2"/>
  <c r="J184" i="2"/>
  <c r="I184" i="2"/>
  <c r="H184" i="2"/>
  <c r="G184" i="2"/>
  <c r="F184" i="2"/>
  <c r="E184" i="2"/>
  <c r="D184" i="2"/>
  <c r="C184" i="2"/>
  <c r="Z183" i="2"/>
  <c r="Y183" i="2"/>
  <c r="X183" i="2"/>
  <c r="V183" i="2"/>
  <c r="T183" i="2"/>
  <c r="S183" i="2"/>
  <c r="R183" i="2"/>
  <c r="Q183" i="2"/>
  <c r="P183" i="2"/>
  <c r="O183" i="2"/>
  <c r="N183" i="2"/>
  <c r="L183" i="2"/>
  <c r="K183" i="2"/>
  <c r="J183" i="2"/>
  <c r="I183" i="2"/>
  <c r="H183" i="2"/>
  <c r="G183" i="2"/>
  <c r="F183" i="2"/>
  <c r="E183" i="2"/>
  <c r="D183" i="2"/>
  <c r="C183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Z175" i="2"/>
  <c r="Y175" i="2"/>
  <c r="T175" i="2"/>
  <c r="S175" i="2"/>
  <c r="R175" i="2"/>
  <c r="Q175" i="2"/>
  <c r="J175" i="2"/>
  <c r="F175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Z165" i="2"/>
  <c r="Y165" i="2"/>
  <c r="T165" i="2"/>
  <c r="S165" i="2"/>
  <c r="R165" i="2"/>
  <c r="Q165" i="2"/>
  <c r="P165" i="2"/>
  <c r="K165" i="2"/>
  <c r="J165" i="2"/>
  <c r="F165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Z159" i="2"/>
  <c r="Z229" i="2" s="1"/>
  <c r="Z230" i="2" s="1"/>
  <c r="Y159" i="2"/>
  <c r="X159" i="2"/>
  <c r="W159" i="2"/>
  <c r="V159" i="2"/>
  <c r="U159" i="2"/>
  <c r="T159" i="2"/>
  <c r="T229" i="2" s="1"/>
  <c r="T230" i="2" s="1"/>
  <c r="S159" i="2"/>
  <c r="R159" i="2"/>
  <c r="Q159" i="2"/>
  <c r="P159" i="2"/>
  <c r="O159" i="2"/>
  <c r="N159" i="2"/>
  <c r="M159" i="2"/>
  <c r="L159" i="2"/>
  <c r="L229" i="2" s="1"/>
  <c r="K159" i="2"/>
  <c r="J159" i="2"/>
  <c r="I159" i="2"/>
  <c r="H159" i="2"/>
  <c r="G159" i="2"/>
  <c r="F159" i="2"/>
  <c r="E159" i="2"/>
  <c r="D159" i="2"/>
  <c r="C159" i="2"/>
  <c r="Z157" i="2"/>
  <c r="X157" i="2"/>
  <c r="V157" i="2"/>
  <c r="T157" i="2"/>
  <c r="R157" i="2"/>
  <c r="Q157" i="2"/>
  <c r="P157" i="2"/>
  <c r="N157" i="2"/>
  <c r="L157" i="2"/>
  <c r="J157" i="2"/>
  <c r="I157" i="2"/>
  <c r="H157" i="2"/>
  <c r="F157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Z153" i="2"/>
  <c r="Z233" i="2" s="1"/>
  <c r="Z234" i="2" s="1"/>
  <c r="Y153" i="2"/>
  <c r="Y233" i="2" s="1"/>
  <c r="Y234" i="2" s="1"/>
  <c r="W153" i="2"/>
  <c r="W233" i="2" s="1"/>
  <c r="W234" i="2" s="1"/>
  <c r="V153" i="2"/>
  <c r="V233" i="2" s="1"/>
  <c r="U153" i="2"/>
  <c r="T153" i="2"/>
  <c r="T233" i="2" s="1"/>
  <c r="S153" i="2"/>
  <c r="S233" i="2" s="1"/>
  <c r="S234" i="2" s="1"/>
  <c r="R153" i="2"/>
  <c r="R233" i="2" s="1"/>
  <c r="R234" i="2" s="1"/>
  <c r="Q153" i="2"/>
  <c r="Q233" i="2" s="1"/>
  <c r="Q234" i="2" s="1"/>
  <c r="P153" i="2"/>
  <c r="O153" i="2"/>
  <c r="N153" i="2"/>
  <c r="N233" i="2" s="1"/>
  <c r="M153" i="2"/>
  <c r="M233" i="2" s="1"/>
  <c r="L153" i="2"/>
  <c r="K153" i="2"/>
  <c r="K233" i="2" s="1"/>
  <c r="K234" i="2" s="1"/>
  <c r="J153" i="2"/>
  <c r="J233" i="2" s="1"/>
  <c r="J234" i="2" s="1"/>
  <c r="AL152" i="2"/>
  <c r="AK152" i="2"/>
  <c r="AJ152" i="2"/>
  <c r="AI152" i="2"/>
  <c r="AG152" i="2"/>
  <c r="AF152" i="2"/>
  <c r="AE152" i="2"/>
  <c r="AD152" i="2"/>
  <c r="AC152" i="2"/>
  <c r="AB152" i="2"/>
  <c r="AA152" i="2"/>
  <c r="Z152" i="2"/>
  <c r="Y152" i="2"/>
  <c r="X152" i="2"/>
  <c r="X231" i="2" s="1"/>
  <c r="X232" i="2" s="1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K231" i="2" s="1"/>
  <c r="K232" i="2" s="1"/>
  <c r="J152" i="2"/>
  <c r="I152" i="2"/>
  <c r="H152" i="2"/>
  <c r="G152" i="2"/>
  <c r="F152" i="2"/>
  <c r="E152" i="2"/>
  <c r="D152" i="2"/>
  <c r="C152" i="2"/>
  <c r="C231" i="2" s="1"/>
  <c r="C232" i="2" s="1"/>
  <c r="AL151" i="2"/>
  <c r="AJ151" i="2"/>
  <c r="AH151" i="2"/>
  <c r="AF151" i="2"/>
  <c r="AD151" i="2"/>
  <c r="AC151" i="2"/>
  <c r="AB151" i="2"/>
  <c r="Z151" i="2"/>
  <c r="Z231" i="2" s="1"/>
  <c r="Z232" i="2" s="1"/>
  <c r="Y151" i="2"/>
  <c r="X151" i="2"/>
  <c r="W151" i="2"/>
  <c r="W231" i="2" s="1"/>
  <c r="W232" i="2" s="1"/>
  <c r="V151" i="2"/>
  <c r="V231" i="2" s="1"/>
  <c r="U151" i="2"/>
  <c r="U231" i="2" s="1"/>
  <c r="T151" i="2"/>
  <c r="S151" i="2"/>
  <c r="R151" i="2"/>
  <c r="R231" i="2" s="1"/>
  <c r="R232" i="2" s="1"/>
  <c r="Q151" i="2"/>
  <c r="P151" i="2"/>
  <c r="O151" i="2"/>
  <c r="N151" i="2"/>
  <c r="N231" i="2" s="1"/>
  <c r="M151" i="2"/>
  <c r="M231" i="2" s="1"/>
  <c r="L151" i="2"/>
  <c r="K151" i="2"/>
  <c r="J151" i="2"/>
  <c r="J231" i="2" s="1"/>
  <c r="I151" i="2"/>
  <c r="H151" i="2"/>
  <c r="G151" i="2"/>
  <c r="G231" i="2" s="1"/>
  <c r="G232" i="2" s="1"/>
  <c r="F151" i="2"/>
  <c r="F231" i="2" s="1"/>
  <c r="E151" i="2"/>
  <c r="E231" i="2" s="1"/>
  <c r="E232" i="2" s="1"/>
  <c r="D151" i="2"/>
  <c r="D231" i="2" s="1"/>
  <c r="C151" i="2"/>
  <c r="Z150" i="2"/>
  <c r="Y150" i="2"/>
  <c r="Y229" i="2" s="1"/>
  <c r="X150" i="2"/>
  <c r="W150" i="2"/>
  <c r="W157" i="2" s="1"/>
  <c r="V150" i="2"/>
  <c r="U150" i="2"/>
  <c r="T150" i="2"/>
  <c r="T227" i="2" s="1"/>
  <c r="S150" i="2"/>
  <c r="R150" i="2"/>
  <c r="Q150" i="2"/>
  <c r="Q227" i="2" s="1"/>
  <c r="P150" i="2"/>
  <c r="O150" i="2"/>
  <c r="N150" i="2"/>
  <c r="M150" i="2"/>
  <c r="M157" i="2" s="1"/>
  <c r="L150" i="2"/>
  <c r="K150" i="2"/>
  <c r="J150" i="2"/>
  <c r="I150" i="2"/>
  <c r="H150" i="2"/>
  <c r="H227" i="2" s="1"/>
  <c r="H228" i="2" s="1"/>
  <c r="G150" i="2"/>
  <c r="G229" i="2" s="1"/>
  <c r="G230" i="2" s="1"/>
  <c r="F150" i="2"/>
  <c r="E150" i="2"/>
  <c r="C150" i="2"/>
  <c r="C157" i="2" s="1"/>
  <c r="AH149" i="2"/>
  <c r="AF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AL148" i="2"/>
  <c r="AK148" i="2"/>
  <c r="AJ148" i="2"/>
  <c r="AJ149" i="2" s="1"/>
  <c r="AI148" i="2"/>
  <c r="AH148" i="2"/>
  <c r="AG148" i="2"/>
  <c r="AF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AL147" i="2"/>
  <c r="AL149" i="2" s="1"/>
  <c r="AJ147" i="2"/>
  <c r="AH147" i="2"/>
  <c r="AF147" i="2"/>
  <c r="AE147" i="2"/>
  <c r="AE149" i="2" s="1"/>
  <c r="AD147" i="2"/>
  <c r="AD149" i="2" s="1"/>
  <c r="AB147" i="2"/>
  <c r="AB149" i="2" s="1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AL145" i="2"/>
  <c r="AJ145" i="2"/>
  <c r="AI145" i="2"/>
  <c r="AH145" i="2"/>
  <c r="AF145" i="2"/>
  <c r="AD145" i="2"/>
  <c r="AB145" i="2"/>
  <c r="Z145" i="2"/>
  <c r="Y145" i="2"/>
  <c r="Y244" i="2" s="1"/>
  <c r="Y249" i="2" s="1"/>
  <c r="X145" i="2"/>
  <c r="X244" i="2" s="1"/>
  <c r="X249" i="2" s="1"/>
  <c r="W145" i="2"/>
  <c r="V145" i="2"/>
  <c r="V244" i="2" s="1"/>
  <c r="U145" i="2"/>
  <c r="T145" i="2"/>
  <c r="T244" i="2" s="1"/>
  <c r="S145" i="2"/>
  <c r="S244" i="2" s="1"/>
  <c r="S249" i="2" s="1"/>
  <c r="R145" i="2"/>
  <c r="R244" i="2" s="1"/>
  <c r="Q145" i="2"/>
  <c r="Q244" i="2" s="1"/>
  <c r="Q249" i="2" s="1"/>
  <c r="P145" i="2"/>
  <c r="P244" i="2" s="1"/>
  <c r="P249" i="2" s="1"/>
  <c r="O145" i="2"/>
  <c r="N145" i="2"/>
  <c r="N244" i="2" s="1"/>
  <c r="M145" i="2"/>
  <c r="L145" i="2"/>
  <c r="L244" i="2" s="1"/>
  <c r="K145" i="2"/>
  <c r="J145" i="2"/>
  <c r="J244" i="2" s="1"/>
  <c r="I145" i="2"/>
  <c r="I244" i="2" s="1"/>
  <c r="I249" i="2" s="1"/>
  <c r="H145" i="2"/>
  <c r="H244" i="2" s="1"/>
  <c r="H249" i="2" s="1"/>
  <c r="G145" i="2"/>
  <c r="G244" i="2" s="1"/>
  <c r="F145" i="2"/>
  <c r="F244" i="2" s="1"/>
  <c r="E145" i="2"/>
  <c r="D145" i="2"/>
  <c r="C145" i="2"/>
  <c r="AL144" i="2"/>
  <c r="AK144" i="2"/>
  <c r="AJ144" i="2"/>
  <c r="AF144" i="2"/>
  <c r="AE144" i="2"/>
  <c r="AD144" i="2"/>
  <c r="AC144" i="2"/>
  <c r="AB144" i="2"/>
  <c r="Z144" i="2"/>
  <c r="Y144" i="2"/>
  <c r="X144" i="2"/>
  <c r="X235" i="2" s="1"/>
  <c r="X243" i="2" s="1"/>
  <c r="W144" i="2"/>
  <c r="V144" i="2"/>
  <c r="V235" i="2" s="1"/>
  <c r="U144" i="2"/>
  <c r="U235" i="2" s="1"/>
  <c r="U243" i="2" s="1"/>
  <c r="T144" i="2"/>
  <c r="T235" i="2" s="1"/>
  <c r="S144" i="2"/>
  <c r="R144" i="2"/>
  <c r="R235" i="2" s="1"/>
  <c r="R243" i="2" s="1"/>
  <c r="Q144" i="2"/>
  <c r="P144" i="2"/>
  <c r="O144" i="2"/>
  <c r="N144" i="2"/>
  <c r="N235" i="2" s="1"/>
  <c r="M144" i="2"/>
  <c r="L144" i="2"/>
  <c r="K144" i="2"/>
  <c r="K235" i="2" s="1"/>
  <c r="J144" i="2"/>
  <c r="I144" i="2"/>
  <c r="I235" i="2" s="1"/>
  <c r="I243" i="2" s="1"/>
  <c r="H144" i="2"/>
  <c r="H235" i="2" s="1"/>
  <c r="H243" i="2" s="1"/>
  <c r="G144" i="2"/>
  <c r="G235" i="2" s="1"/>
  <c r="G243" i="2" s="1"/>
  <c r="F144" i="2"/>
  <c r="F235" i="2" s="1"/>
  <c r="E144" i="2"/>
  <c r="E235" i="2" s="1"/>
  <c r="E243" i="2" s="1"/>
  <c r="D144" i="2"/>
  <c r="C144" i="2"/>
  <c r="AL143" i="2"/>
  <c r="AJ143" i="2"/>
  <c r="AH143" i="2"/>
  <c r="AF143" i="2"/>
  <c r="AD143" i="2"/>
  <c r="AB143" i="2"/>
  <c r="Z143" i="2"/>
  <c r="Z251" i="2" s="1"/>
  <c r="Y143" i="2"/>
  <c r="X143" i="2"/>
  <c r="W143" i="2"/>
  <c r="V143" i="2"/>
  <c r="V251" i="2" s="1"/>
  <c r="U143" i="2"/>
  <c r="T143" i="2"/>
  <c r="T251" i="2" s="1"/>
  <c r="T252" i="2" s="1"/>
  <c r="S143" i="2"/>
  <c r="S251" i="2" s="1"/>
  <c r="R143" i="2"/>
  <c r="R251" i="2" s="1"/>
  <c r="Q143" i="2"/>
  <c r="Q251" i="2" s="1"/>
  <c r="P143" i="2"/>
  <c r="P251" i="2" s="1"/>
  <c r="P252" i="2" s="1"/>
  <c r="O143" i="2"/>
  <c r="N143" i="2"/>
  <c r="N251" i="2" s="1"/>
  <c r="M143" i="2"/>
  <c r="L143" i="2"/>
  <c r="L251" i="2" s="1"/>
  <c r="K143" i="2"/>
  <c r="J143" i="2"/>
  <c r="J251" i="2" s="1"/>
  <c r="I143" i="2"/>
  <c r="H143" i="2"/>
  <c r="G143" i="2"/>
  <c r="F143" i="2"/>
  <c r="F251" i="2" s="1"/>
  <c r="E143" i="2"/>
  <c r="E251" i="2" s="1"/>
  <c r="D143" i="2"/>
  <c r="D251" i="2" s="1"/>
  <c r="D252" i="2" s="1"/>
  <c r="C143" i="2"/>
  <c r="C251" i="2" s="1"/>
  <c r="C252" i="2" s="1"/>
  <c r="AL142" i="2"/>
  <c r="AJ142" i="2"/>
  <c r="AH142" i="2"/>
  <c r="AG142" i="2"/>
  <c r="AF142" i="2"/>
  <c r="AE142" i="2"/>
  <c r="AD142" i="2"/>
  <c r="AB142" i="2"/>
  <c r="Z142" i="2"/>
  <c r="Y142" i="2"/>
  <c r="Y250" i="2" s="1"/>
  <c r="X142" i="2"/>
  <c r="W142" i="2"/>
  <c r="W250" i="2" s="1"/>
  <c r="V142" i="2"/>
  <c r="V250" i="2" s="1"/>
  <c r="U142" i="2"/>
  <c r="U250" i="2" s="1"/>
  <c r="T142" i="2"/>
  <c r="S142" i="2"/>
  <c r="S250" i="2" s="1"/>
  <c r="R142" i="2"/>
  <c r="R250" i="2" s="1"/>
  <c r="Q142" i="2"/>
  <c r="P142" i="2"/>
  <c r="P250" i="2" s="1"/>
  <c r="O142" i="2"/>
  <c r="O250" i="2" s="1"/>
  <c r="N142" i="2"/>
  <c r="N250" i="2" s="1"/>
  <c r="M142" i="2"/>
  <c r="M250" i="2" s="1"/>
  <c r="L142" i="2"/>
  <c r="K142" i="2"/>
  <c r="K250" i="2" s="1"/>
  <c r="J142" i="2"/>
  <c r="I142" i="2"/>
  <c r="I250" i="2" s="1"/>
  <c r="H142" i="2"/>
  <c r="G142" i="2"/>
  <c r="G250" i="2" s="1"/>
  <c r="F142" i="2"/>
  <c r="F250" i="2" s="1"/>
  <c r="E142" i="2"/>
  <c r="E250" i="2" s="1"/>
  <c r="D142" i="2"/>
  <c r="D250" i="2" s="1"/>
  <c r="C142" i="2"/>
  <c r="AL141" i="2"/>
  <c r="AJ141" i="2"/>
  <c r="AH141" i="2"/>
  <c r="AF141" i="2"/>
  <c r="AE141" i="2"/>
  <c r="AD141" i="2"/>
  <c r="AB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K140" i="2"/>
  <c r="AI140" i="2"/>
  <c r="AH140" i="2"/>
  <c r="AG140" i="2"/>
  <c r="AE140" i="2"/>
  <c r="AC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L139" i="2"/>
  <c r="AL146" i="2" s="1"/>
  <c r="AL150" i="2" s="1"/>
  <c r="AL153" i="2" s="1"/>
  <c r="Z139" i="2"/>
  <c r="Z225" i="2" s="1"/>
  <c r="Y139" i="2"/>
  <c r="X139" i="2"/>
  <c r="W139" i="2"/>
  <c r="W225" i="2" s="1"/>
  <c r="V139" i="2"/>
  <c r="V225" i="2" s="1"/>
  <c r="V226" i="2" s="1"/>
  <c r="U139" i="2"/>
  <c r="T139" i="2"/>
  <c r="T225" i="2" s="1"/>
  <c r="S139" i="2"/>
  <c r="R139" i="2"/>
  <c r="R225" i="2" s="1"/>
  <c r="R226" i="2" s="1"/>
  <c r="Q139" i="2"/>
  <c r="Q225" i="2" s="1"/>
  <c r="P139" i="2"/>
  <c r="P225" i="2" s="1"/>
  <c r="P226" i="2" s="1"/>
  <c r="O139" i="2"/>
  <c r="N139" i="2"/>
  <c r="N225" i="2" s="1"/>
  <c r="N226" i="2" s="1"/>
  <c r="M139" i="2"/>
  <c r="M225" i="2" s="1"/>
  <c r="L139" i="2"/>
  <c r="K139" i="2"/>
  <c r="K225" i="2" s="1"/>
  <c r="J139" i="2"/>
  <c r="I139" i="2"/>
  <c r="H139" i="2"/>
  <c r="H225" i="2" s="1"/>
  <c r="G139" i="2"/>
  <c r="F139" i="2"/>
  <c r="F225" i="2" s="1"/>
  <c r="F226" i="2" s="1"/>
  <c r="E139" i="2"/>
  <c r="D139" i="2"/>
  <c r="D225" i="2" s="1"/>
  <c r="C139" i="2"/>
  <c r="AL138" i="2"/>
  <c r="AK138" i="2"/>
  <c r="AI138" i="2"/>
  <c r="AG138" i="2"/>
  <c r="AE138" i="2"/>
  <c r="AD138" i="2"/>
  <c r="AC138" i="2"/>
  <c r="AB138" i="2"/>
  <c r="AA138" i="2"/>
  <c r="Z138" i="2"/>
  <c r="Y138" i="2"/>
  <c r="Y211" i="2" s="1"/>
  <c r="Y224" i="2" s="1"/>
  <c r="X138" i="2"/>
  <c r="W138" i="2"/>
  <c r="W211" i="2" s="1"/>
  <c r="V138" i="2"/>
  <c r="V211" i="2" s="1"/>
  <c r="U138" i="2"/>
  <c r="U211" i="2" s="1"/>
  <c r="U224" i="2" s="1"/>
  <c r="T138" i="2"/>
  <c r="T211" i="2" s="1"/>
  <c r="T224" i="2" s="1"/>
  <c r="S138" i="2"/>
  <c r="S211" i="2" s="1"/>
  <c r="S224" i="2" s="1"/>
  <c r="R138" i="2"/>
  <c r="Q138" i="2"/>
  <c r="P138" i="2"/>
  <c r="P211" i="2" s="1"/>
  <c r="P224" i="2" s="1"/>
  <c r="O138" i="2"/>
  <c r="O211" i="2" s="1"/>
  <c r="O224" i="2" s="1"/>
  <c r="N138" i="2"/>
  <c r="N211" i="2" s="1"/>
  <c r="M138" i="2"/>
  <c r="M211" i="2" s="1"/>
  <c r="M224" i="2" s="1"/>
  <c r="L138" i="2"/>
  <c r="L211" i="2" s="1"/>
  <c r="K138" i="2"/>
  <c r="K211" i="2" s="1"/>
  <c r="J138" i="2"/>
  <c r="I138" i="2"/>
  <c r="H138" i="2"/>
  <c r="G138" i="2"/>
  <c r="G211" i="2" s="1"/>
  <c r="G224" i="2" s="1"/>
  <c r="F138" i="2"/>
  <c r="F211" i="2" s="1"/>
  <c r="E138" i="2"/>
  <c r="E211" i="2" s="1"/>
  <c r="E224" i="2" s="1"/>
  <c r="D138" i="2"/>
  <c r="D211" i="2" s="1"/>
  <c r="C138" i="2"/>
  <c r="C211" i="2" s="1"/>
  <c r="C224" i="2" s="1"/>
  <c r="AL137" i="2"/>
  <c r="AJ137" i="2"/>
  <c r="AJ135" i="2" s="1"/>
  <c r="AH137" i="2"/>
  <c r="AF137" i="2"/>
  <c r="AF135" i="2" s="1"/>
  <c r="AD137" i="2"/>
  <c r="AD139" i="2" s="1"/>
  <c r="AD146" i="2" s="1"/>
  <c r="AB137" i="2"/>
  <c r="Z137" i="2"/>
  <c r="Z207" i="2" s="1"/>
  <c r="Z228" i="2" s="1"/>
  <c r="Y137" i="2"/>
  <c r="Y207" i="2" s="1"/>
  <c r="X137" i="2"/>
  <c r="W137" i="2"/>
  <c r="V137" i="2"/>
  <c r="V207" i="2" s="1"/>
  <c r="U137" i="2"/>
  <c r="T137" i="2"/>
  <c r="T207" i="2" s="1"/>
  <c r="T249" i="2" s="1"/>
  <c r="S137" i="2"/>
  <c r="R137" i="2"/>
  <c r="R207" i="2" s="1"/>
  <c r="Q137" i="2"/>
  <c r="Q207" i="2" s="1"/>
  <c r="Q252" i="2" s="1"/>
  <c r="P137" i="2"/>
  <c r="P207" i="2" s="1"/>
  <c r="O137" i="2"/>
  <c r="N137" i="2"/>
  <c r="N207" i="2" s="1"/>
  <c r="M137" i="2"/>
  <c r="L137" i="2"/>
  <c r="L207" i="2" s="1"/>
  <c r="L224" i="2" s="1"/>
  <c r="K137" i="2"/>
  <c r="J137" i="2"/>
  <c r="J207" i="2" s="1"/>
  <c r="J252" i="2" s="1"/>
  <c r="I137" i="2"/>
  <c r="I207" i="2" s="1"/>
  <c r="H137" i="2"/>
  <c r="H207" i="2" s="1"/>
  <c r="G137" i="2"/>
  <c r="G207" i="2" s="1"/>
  <c r="F137" i="2"/>
  <c r="F207" i="2" s="1"/>
  <c r="E137" i="2"/>
  <c r="D137" i="2"/>
  <c r="D207" i="2" s="1"/>
  <c r="D249" i="2" s="1"/>
  <c r="C137" i="2"/>
  <c r="AK136" i="2"/>
  <c r="AI136" i="2"/>
  <c r="AG136" i="2"/>
  <c r="AF136" i="2"/>
  <c r="AE136" i="2"/>
  <c r="AC136" i="2"/>
  <c r="AA136" i="2"/>
  <c r="Z136" i="2"/>
  <c r="Y136" i="2"/>
  <c r="Y205" i="2" s="1"/>
  <c r="Y206" i="2" s="1"/>
  <c r="X136" i="2"/>
  <c r="W136" i="2"/>
  <c r="V136" i="2"/>
  <c r="V205" i="2" s="1"/>
  <c r="V206" i="2" s="1"/>
  <c r="U136" i="2"/>
  <c r="T136" i="2"/>
  <c r="T205" i="2" s="1"/>
  <c r="S136" i="2"/>
  <c r="S205" i="2" s="1"/>
  <c r="R136" i="2"/>
  <c r="R205" i="2" s="1"/>
  <c r="Q136" i="2"/>
  <c r="P136" i="2"/>
  <c r="P205" i="2" s="1"/>
  <c r="O136" i="2"/>
  <c r="O205" i="2" s="1"/>
  <c r="O206" i="2" s="1"/>
  <c r="N136" i="2"/>
  <c r="N205" i="2" s="1"/>
  <c r="N206" i="2" s="1"/>
  <c r="M136" i="2"/>
  <c r="L136" i="2"/>
  <c r="K136" i="2"/>
  <c r="K205" i="2" s="1"/>
  <c r="J136" i="2"/>
  <c r="I136" i="2"/>
  <c r="I205" i="2" s="1"/>
  <c r="H136" i="2"/>
  <c r="H205" i="2" s="1"/>
  <c r="H206" i="2" s="1"/>
  <c r="G136" i="2"/>
  <c r="G205" i="2" s="1"/>
  <c r="G206" i="2" s="1"/>
  <c r="F136" i="2"/>
  <c r="F205" i="2" s="1"/>
  <c r="F206" i="2" s="1"/>
  <c r="E136" i="2"/>
  <c r="D136" i="2"/>
  <c r="C136" i="2"/>
  <c r="AL135" i="2"/>
  <c r="AH135" i="2"/>
  <c r="AD135" i="2"/>
  <c r="Z135" i="2"/>
  <c r="Z204" i="2" s="1"/>
  <c r="Z206" i="2" s="1"/>
  <c r="Y135" i="2"/>
  <c r="X135" i="2"/>
  <c r="X204" i="2" s="1"/>
  <c r="W135" i="2"/>
  <c r="V135" i="2"/>
  <c r="V204" i="2" s="1"/>
  <c r="U135" i="2"/>
  <c r="T135" i="2"/>
  <c r="S135" i="2"/>
  <c r="S204" i="2" s="1"/>
  <c r="R135" i="2"/>
  <c r="R204" i="2" s="1"/>
  <c r="R206" i="2" s="1"/>
  <c r="Q135" i="2"/>
  <c r="Q204" i="2" s="1"/>
  <c r="P135" i="2"/>
  <c r="P204" i="2" s="1"/>
  <c r="O135" i="2"/>
  <c r="O204" i="2" s="1"/>
  <c r="N135" i="2"/>
  <c r="N204" i="2" s="1"/>
  <c r="M135" i="2"/>
  <c r="L135" i="2"/>
  <c r="K135" i="2"/>
  <c r="J135" i="2"/>
  <c r="I135" i="2"/>
  <c r="H135" i="2"/>
  <c r="H204" i="2" s="1"/>
  <c r="G135" i="2"/>
  <c r="F135" i="2"/>
  <c r="F204" i="2" s="1"/>
  <c r="E135" i="2"/>
  <c r="E204" i="2" s="1"/>
  <c r="D135" i="2"/>
  <c r="C135" i="2"/>
  <c r="C204" i="2" s="1"/>
  <c r="Z134" i="2"/>
  <c r="Y134" i="2"/>
  <c r="X134" i="2"/>
  <c r="W134" i="2"/>
  <c r="W203" i="2" s="1"/>
  <c r="V134" i="2"/>
  <c r="V203" i="2" s="1"/>
  <c r="U134" i="2"/>
  <c r="T134" i="2"/>
  <c r="T203" i="2" s="1"/>
  <c r="S134" i="2"/>
  <c r="R134" i="2"/>
  <c r="R203" i="2" s="1"/>
  <c r="Q134" i="2"/>
  <c r="P134" i="2"/>
  <c r="P203" i="2" s="1"/>
  <c r="O134" i="2"/>
  <c r="O203" i="2" s="1"/>
  <c r="N134" i="2"/>
  <c r="N203" i="2" s="1"/>
  <c r="M134" i="2"/>
  <c r="M203" i="2" s="1"/>
  <c r="L134" i="2"/>
  <c r="K134" i="2"/>
  <c r="K203" i="2" s="1"/>
  <c r="J134" i="2"/>
  <c r="I134" i="2"/>
  <c r="H134" i="2"/>
  <c r="G134" i="2"/>
  <c r="G203" i="2" s="1"/>
  <c r="F134" i="2"/>
  <c r="F203" i="2" s="1"/>
  <c r="E134" i="2"/>
  <c r="D134" i="2"/>
  <c r="D203" i="2" s="1"/>
  <c r="C134" i="2"/>
  <c r="C203" i="2" s="1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U132" i="2"/>
  <c r="S132" i="2"/>
  <c r="K132" i="2"/>
  <c r="J132" i="2"/>
  <c r="Z131" i="2"/>
  <c r="Z132" i="2" s="1"/>
  <c r="Y131" i="2"/>
  <c r="X131" i="2"/>
  <c r="W131" i="2"/>
  <c r="V131" i="2"/>
  <c r="V132" i="2" s="1"/>
  <c r="U131" i="2"/>
  <c r="T131" i="2"/>
  <c r="T132" i="2" s="1"/>
  <c r="S131" i="2"/>
  <c r="R131" i="2"/>
  <c r="R132" i="2" s="1"/>
  <c r="Q131" i="2"/>
  <c r="Q132" i="2" s="1"/>
  <c r="P131" i="2"/>
  <c r="O131" i="2"/>
  <c r="N131" i="2"/>
  <c r="N132" i="2" s="1"/>
  <c r="M131" i="2"/>
  <c r="L131" i="2"/>
  <c r="L132" i="2" s="1"/>
  <c r="K131" i="2"/>
  <c r="J131" i="2"/>
  <c r="I131" i="2"/>
  <c r="H131" i="2"/>
  <c r="G131" i="2"/>
  <c r="F131" i="2"/>
  <c r="E131" i="2"/>
  <c r="D131" i="2"/>
  <c r="C131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Z83" i="2"/>
  <c r="Y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H83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F46" i="2"/>
  <c r="E46" i="2"/>
  <c r="D46" i="2"/>
  <c r="C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F38" i="2"/>
  <c r="E38" i="2"/>
  <c r="D38" i="2"/>
  <c r="C38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Z17" i="2"/>
  <c r="Y17" i="2"/>
  <c r="X17" i="2"/>
  <c r="W17" i="2"/>
  <c r="U17" i="2"/>
  <c r="S17" i="2"/>
  <c r="Q17" i="2"/>
  <c r="O17" i="2"/>
  <c r="K17" i="2"/>
  <c r="J17" i="2"/>
  <c r="I17" i="2"/>
  <c r="G17" i="2"/>
  <c r="C17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Z10" i="2"/>
  <c r="Y10" i="2"/>
  <c r="X10" i="2"/>
  <c r="V10" i="2"/>
  <c r="T10" i="2"/>
  <c r="S10" i="2"/>
  <c r="R10" i="2"/>
  <c r="Q10" i="2"/>
  <c r="P10" i="2"/>
  <c r="N10" i="2"/>
  <c r="L10" i="2"/>
  <c r="K10" i="2"/>
  <c r="J10" i="2"/>
  <c r="I10" i="2"/>
  <c r="H10" i="2"/>
  <c r="F10" i="2"/>
  <c r="D10" i="2"/>
  <c r="C10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Z7" i="2"/>
  <c r="Z197" i="2" s="1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C197" i="2" s="1"/>
  <c r="Z6" i="2"/>
  <c r="Y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E6" i="2"/>
  <c r="D6" i="2"/>
  <c r="C6" i="2"/>
  <c r="W3" i="2"/>
  <c r="X3" i="2" s="1"/>
  <c r="Y3" i="2" s="1"/>
  <c r="Z3" i="2" s="1"/>
  <c r="R3" i="2"/>
  <c r="S3" i="2" s="1"/>
  <c r="T3" i="2" s="1"/>
  <c r="U3" i="2" s="1"/>
  <c r="V3" i="2" s="1"/>
  <c r="P3" i="2"/>
  <c r="Q3" i="2" s="1"/>
  <c r="D3" i="2"/>
  <c r="E3" i="2" s="1"/>
  <c r="F3" i="2" s="1"/>
  <c r="G3" i="2" s="1"/>
  <c r="H3" i="2" s="1"/>
  <c r="I3" i="2" s="1"/>
  <c r="J3" i="2" s="1"/>
  <c r="K3" i="2" s="1"/>
  <c r="L3" i="2" s="1"/>
  <c r="M3" i="2" s="1"/>
  <c r="N3" i="2" s="1"/>
  <c r="S32" i="1"/>
  <c r="R32" i="1"/>
  <c r="Q32" i="1"/>
  <c r="P32" i="1"/>
  <c r="O32" i="1"/>
  <c r="N32" i="1"/>
  <c r="M32" i="1"/>
  <c r="L32" i="1"/>
  <c r="K32" i="1"/>
  <c r="J32" i="1"/>
  <c r="I32" i="1"/>
  <c r="H32" i="1"/>
  <c r="T31" i="1"/>
  <c r="T30" i="1"/>
  <c r="T29" i="1"/>
  <c r="Q28" i="1"/>
  <c r="P28" i="1"/>
  <c r="O28" i="1"/>
  <c r="N28" i="1"/>
  <c r="K28" i="1"/>
  <c r="I28" i="1"/>
  <c r="H28" i="1"/>
  <c r="T27" i="1"/>
  <c r="S28" i="1"/>
  <c r="R28" i="1"/>
  <c r="M28" i="1"/>
  <c r="L28" i="1"/>
  <c r="T26" i="1"/>
  <c r="J28" i="1"/>
  <c r="T25" i="1"/>
  <c r="T24" i="1"/>
  <c r="S23" i="1"/>
  <c r="R23" i="1"/>
  <c r="Q23" i="1"/>
  <c r="P23" i="1"/>
  <c r="O23" i="1"/>
  <c r="N23" i="1"/>
  <c r="M23" i="1"/>
  <c r="L23" i="1"/>
  <c r="K23" i="1"/>
  <c r="J23" i="1"/>
  <c r="T23" i="1" s="1"/>
  <c r="I23" i="1"/>
  <c r="H23" i="1"/>
  <c r="T22" i="1"/>
  <c r="P21" i="1"/>
  <c r="Q21" i="1"/>
  <c r="N21" i="1"/>
  <c r="T19" i="1"/>
  <c r="T18" i="1"/>
  <c r="T17" i="1"/>
  <c r="K21" i="1"/>
  <c r="L21" i="1"/>
  <c r="J21" i="1"/>
  <c r="S14" i="1"/>
  <c r="R14" i="1"/>
  <c r="Q14" i="1"/>
  <c r="P14" i="1"/>
  <c r="O14" i="1"/>
  <c r="N14" i="1"/>
  <c r="M14" i="1"/>
  <c r="L14" i="1"/>
  <c r="K14" i="1"/>
  <c r="J14" i="1"/>
  <c r="I14" i="1"/>
  <c r="H14" i="1"/>
  <c r="T13" i="1"/>
  <c r="T12" i="1"/>
  <c r="T11" i="1"/>
  <c r="T10" i="1"/>
  <c r="T9" i="1"/>
  <c r="T8" i="1"/>
  <c r="R7" i="1"/>
  <c r="Q7" i="1"/>
  <c r="P7" i="1"/>
  <c r="L7" i="1"/>
  <c r="J7" i="1"/>
  <c r="I7" i="1"/>
  <c r="H7" i="1"/>
  <c r="T6" i="1"/>
  <c r="S7" i="1"/>
  <c r="O7" i="1"/>
  <c r="N7" i="1"/>
  <c r="M7" i="1"/>
  <c r="K7" i="1"/>
  <c r="T4" i="1"/>
  <c r="T3" i="1"/>
  <c r="N33" i="1" l="1"/>
  <c r="P33" i="1"/>
  <c r="L33" i="1"/>
  <c r="L230" i="2"/>
  <c r="AE135" i="2"/>
  <c r="AE139" i="2"/>
  <c r="AE146" i="2" s="1"/>
  <c r="AE150" i="2" s="1"/>
  <c r="AE153" i="2" s="1"/>
  <c r="P324" i="3"/>
  <c r="P320" i="3"/>
  <c r="P318" i="3"/>
  <c r="P322" i="3"/>
  <c r="P323" i="3"/>
  <c r="P319" i="3"/>
  <c r="T205" i="3"/>
  <c r="T206" i="3" s="1"/>
  <c r="AN136" i="3"/>
  <c r="H132" i="2"/>
  <c r="P132" i="2"/>
  <c r="H251" i="2"/>
  <c r="H252" i="2" s="1"/>
  <c r="H229" i="2"/>
  <c r="H230" i="2" s="1"/>
  <c r="X251" i="2"/>
  <c r="X252" i="2" s="1"/>
  <c r="X229" i="2"/>
  <c r="X230" i="2" s="1"/>
  <c r="I334" i="2"/>
  <c r="I308" i="2"/>
  <c r="I307" i="2"/>
  <c r="H307" i="2"/>
  <c r="H302" i="2"/>
  <c r="H308" i="2"/>
  <c r="H306" i="2"/>
  <c r="H305" i="2"/>
  <c r="H334" i="2"/>
  <c r="P308" i="2"/>
  <c r="P334" i="2"/>
  <c r="P307" i="2"/>
  <c r="G334" i="2"/>
  <c r="G308" i="2"/>
  <c r="G307" i="2"/>
  <c r="G302" i="2"/>
  <c r="G301" i="2"/>
  <c r="S326" i="2"/>
  <c r="Z326" i="2"/>
  <c r="W228" i="3"/>
  <c r="W232" i="3"/>
  <c r="AM137" i="3"/>
  <c r="C321" i="3"/>
  <c r="AM136" i="3"/>
  <c r="AO136" i="3" s="1"/>
  <c r="AB136" i="2"/>
  <c r="AM136" i="2" s="1"/>
  <c r="T15" i="1"/>
  <c r="R308" i="2"/>
  <c r="R307" i="2"/>
  <c r="R306" i="2"/>
  <c r="T326" i="2"/>
  <c r="AC149" i="3"/>
  <c r="AC147" i="2"/>
  <c r="AC149" i="2" s="1"/>
  <c r="AK149" i="3"/>
  <c r="AK147" i="2"/>
  <c r="AK149" i="2" s="1"/>
  <c r="O207" i="3"/>
  <c r="AN137" i="3"/>
  <c r="J33" i="1"/>
  <c r="T14" i="1"/>
  <c r="J226" i="2"/>
  <c r="L232" i="2"/>
  <c r="L234" i="2"/>
  <c r="AN139" i="3"/>
  <c r="W234" i="3"/>
  <c r="O308" i="3"/>
  <c r="O307" i="3"/>
  <c r="O334" i="3"/>
  <c r="G252" i="3"/>
  <c r="G224" i="3"/>
  <c r="G228" i="3"/>
  <c r="G226" i="3"/>
  <c r="L226" i="2"/>
  <c r="J243" i="2"/>
  <c r="G306" i="2"/>
  <c r="V321" i="2"/>
  <c r="AM144" i="3"/>
  <c r="AO144" i="3" s="1"/>
  <c r="AP144" i="3" s="1"/>
  <c r="AA144" i="2"/>
  <c r="AM144" i="2" s="1"/>
  <c r="Y306" i="2"/>
  <c r="F334" i="2"/>
  <c r="F307" i="2"/>
  <c r="F308" i="2"/>
  <c r="AE139" i="3"/>
  <c r="AE146" i="3" s="1"/>
  <c r="AE150" i="3" s="1"/>
  <c r="AE153" i="3" s="1"/>
  <c r="AA151" i="2"/>
  <c r="AM151" i="2" s="1"/>
  <c r="AM151" i="3"/>
  <c r="G249" i="3"/>
  <c r="Y334" i="3"/>
  <c r="Y307" i="3"/>
  <c r="Y308" i="3"/>
  <c r="W224" i="3"/>
  <c r="W230" i="3"/>
  <c r="G243" i="3"/>
  <c r="U308" i="2"/>
  <c r="U307" i="2"/>
  <c r="U334" i="2"/>
  <c r="U304" i="2"/>
  <c r="U303" i="2"/>
  <c r="U302" i="2"/>
  <c r="O33" i="1"/>
  <c r="Z206" i="3"/>
  <c r="Q33" i="1"/>
  <c r="AD150" i="2"/>
  <c r="AD153" i="2" s="1"/>
  <c r="D226" i="2"/>
  <c r="T226" i="2"/>
  <c r="F252" i="2"/>
  <c r="N252" i="2"/>
  <c r="V252" i="2"/>
  <c r="F249" i="2"/>
  <c r="N249" i="2"/>
  <c r="V249" i="2"/>
  <c r="AM148" i="2"/>
  <c r="T228" i="2"/>
  <c r="Q206" i="2"/>
  <c r="F301" i="2"/>
  <c r="F302" i="2"/>
  <c r="F304" i="2"/>
  <c r="F306" i="2"/>
  <c r="P303" i="2"/>
  <c r="P304" i="2"/>
  <c r="K305" i="2"/>
  <c r="U306" i="2"/>
  <c r="I324" i="2"/>
  <c r="I320" i="2"/>
  <c r="J309" i="2"/>
  <c r="J324" i="2" s="1"/>
  <c r="Z318" i="2"/>
  <c r="C326" i="2"/>
  <c r="K326" i="2"/>
  <c r="J326" i="2"/>
  <c r="AM142" i="3"/>
  <c r="AA147" i="2"/>
  <c r="AA149" i="3"/>
  <c r="AM149" i="3" s="1"/>
  <c r="AO149" i="3" s="1"/>
  <c r="AP149" i="3" s="1"/>
  <c r="AM147" i="3"/>
  <c r="AO147" i="3" s="1"/>
  <c r="AP147" i="3" s="1"/>
  <c r="AI149" i="3"/>
  <c r="AI147" i="2"/>
  <c r="AI149" i="2" s="1"/>
  <c r="AM148" i="3"/>
  <c r="AO148" i="3" s="1"/>
  <c r="U232" i="3"/>
  <c r="O301" i="3"/>
  <c r="O303" i="3"/>
  <c r="O304" i="3"/>
  <c r="O305" i="3"/>
  <c r="O306" i="3"/>
  <c r="Y301" i="3"/>
  <c r="J324" i="3"/>
  <c r="J320" i="3"/>
  <c r="J318" i="3"/>
  <c r="T7" i="1"/>
  <c r="T32" i="1"/>
  <c r="O132" i="2"/>
  <c r="AA142" i="2"/>
  <c r="AM142" i="2" s="1"/>
  <c r="E157" i="2"/>
  <c r="E229" i="2"/>
  <c r="E230" i="2" s="1"/>
  <c r="E227" i="2"/>
  <c r="E228" i="2" s="1"/>
  <c r="U157" i="2"/>
  <c r="U229" i="2"/>
  <c r="U230" i="2" s="1"/>
  <c r="U227" i="2"/>
  <c r="U228" i="2" s="1"/>
  <c r="H231" i="2"/>
  <c r="H232" i="2" s="1"/>
  <c r="J224" i="2"/>
  <c r="K224" i="2"/>
  <c r="W227" i="2"/>
  <c r="W228" i="2" s="1"/>
  <c r="M229" i="2"/>
  <c r="M230" i="2" s="1"/>
  <c r="D243" i="2"/>
  <c r="K252" i="2"/>
  <c r="G303" i="2"/>
  <c r="G304" i="2"/>
  <c r="W304" i="2"/>
  <c r="G296" i="2"/>
  <c r="G305" i="2" s="1"/>
  <c r="S334" i="2"/>
  <c r="S307" i="2"/>
  <c r="S304" i="2"/>
  <c r="W301" i="2"/>
  <c r="S305" i="2"/>
  <c r="S306" i="2"/>
  <c r="S308" i="2"/>
  <c r="C324" i="2"/>
  <c r="C322" i="2"/>
  <c r="K309" i="2"/>
  <c r="K319" i="2" s="1"/>
  <c r="S309" i="2"/>
  <c r="C319" i="2"/>
  <c r="F321" i="2"/>
  <c r="N321" i="2"/>
  <c r="N322" i="2"/>
  <c r="N323" i="2"/>
  <c r="I321" i="2"/>
  <c r="I322" i="2"/>
  <c r="L326" i="2"/>
  <c r="W334" i="2"/>
  <c r="D17" i="3"/>
  <c r="P211" i="3"/>
  <c r="P224" i="3" s="1"/>
  <c r="AN138" i="3"/>
  <c r="W252" i="3"/>
  <c r="R243" i="3"/>
  <c r="U249" i="3"/>
  <c r="N227" i="3"/>
  <c r="N228" i="3" s="1"/>
  <c r="N229" i="3"/>
  <c r="N230" i="3" s="1"/>
  <c r="S234" i="3"/>
  <c r="S226" i="3"/>
  <c r="S224" i="3"/>
  <c r="R252" i="3"/>
  <c r="H304" i="3"/>
  <c r="I307" i="3"/>
  <c r="I308" i="3"/>
  <c r="Q305" i="3"/>
  <c r="J321" i="3"/>
  <c r="L17" i="2"/>
  <c r="L17" i="3"/>
  <c r="J232" i="2"/>
  <c r="Z307" i="2"/>
  <c r="Z308" i="2"/>
  <c r="Z306" i="2"/>
  <c r="Z305" i="2"/>
  <c r="Q291" i="2"/>
  <c r="Q302" i="2" s="1"/>
  <c r="Z303" i="2"/>
  <c r="P305" i="2"/>
  <c r="Z302" i="2"/>
  <c r="Z334" i="2"/>
  <c r="AH138" i="2"/>
  <c r="AH139" i="2" s="1"/>
  <c r="AH146" i="2" s="1"/>
  <c r="AH150" i="2" s="1"/>
  <c r="AH153" i="2" s="1"/>
  <c r="AH139" i="3"/>
  <c r="AH146" i="3" s="1"/>
  <c r="AH150" i="3" s="1"/>
  <c r="AH153" i="3" s="1"/>
  <c r="AA141" i="2"/>
  <c r="AM141" i="2" s="1"/>
  <c r="AM141" i="3"/>
  <c r="AM152" i="2"/>
  <c r="T232" i="2"/>
  <c r="J292" i="2"/>
  <c r="J273" i="2"/>
  <c r="J291" i="2" s="1"/>
  <c r="Y291" i="2"/>
  <c r="Y303" i="2" s="1"/>
  <c r="W303" i="2"/>
  <c r="W307" i="2"/>
  <c r="X319" i="2"/>
  <c r="P320" i="2"/>
  <c r="P321" i="2"/>
  <c r="P322" i="2"/>
  <c r="P323" i="2"/>
  <c r="Z319" i="2"/>
  <c r="O233" i="3"/>
  <c r="O234" i="3" s="1"/>
  <c r="R225" i="3"/>
  <c r="R226" i="3" s="1"/>
  <c r="E17" i="3"/>
  <c r="E17" i="2"/>
  <c r="M17" i="3"/>
  <c r="M17" i="2"/>
  <c r="T5" i="1"/>
  <c r="P206" i="2"/>
  <c r="H226" i="2"/>
  <c r="R252" i="2"/>
  <c r="Z252" i="2"/>
  <c r="T243" i="2"/>
  <c r="J249" i="2"/>
  <c r="S231" i="2"/>
  <c r="S232" i="2" s="1"/>
  <c r="G157" i="2"/>
  <c r="G227" i="2"/>
  <c r="G228" i="2" s="1"/>
  <c r="A292" i="2"/>
  <c r="A301" i="2" s="1"/>
  <c r="V292" i="2"/>
  <c r="V301" i="2" s="1"/>
  <c r="P302" i="2"/>
  <c r="Z304" i="2"/>
  <c r="R305" i="2"/>
  <c r="R309" i="2"/>
  <c r="R324" i="2" s="1"/>
  <c r="Q321" i="2"/>
  <c r="W326" i="2"/>
  <c r="R204" i="3"/>
  <c r="R206" i="3" s="1"/>
  <c r="AN135" i="3"/>
  <c r="V206" i="3"/>
  <c r="AG139" i="3"/>
  <c r="AG146" i="3" s="1"/>
  <c r="AG137" i="2"/>
  <c r="U243" i="3"/>
  <c r="O224" i="3"/>
  <c r="J334" i="3"/>
  <c r="J307" i="3"/>
  <c r="J308" i="3"/>
  <c r="J301" i="3"/>
  <c r="D307" i="3"/>
  <c r="D334" i="3"/>
  <c r="D308" i="3"/>
  <c r="D302" i="3"/>
  <c r="V304" i="3"/>
  <c r="K319" i="3"/>
  <c r="I334" i="3"/>
  <c r="Y132" i="2"/>
  <c r="K243" i="2"/>
  <c r="T234" i="2"/>
  <c r="W229" i="2"/>
  <c r="W230" i="2" s="1"/>
  <c r="I302" i="2"/>
  <c r="T16" i="1"/>
  <c r="R21" i="1"/>
  <c r="R33" i="1" s="1"/>
  <c r="E10" i="2"/>
  <c r="M10" i="2"/>
  <c r="U10" i="2"/>
  <c r="Q226" i="2"/>
  <c r="Q228" i="2"/>
  <c r="D232" i="2"/>
  <c r="N234" i="2"/>
  <c r="V234" i="2"/>
  <c r="Q243" i="2"/>
  <c r="D273" i="2"/>
  <c r="D291" i="2" s="1"/>
  <c r="L273" i="2"/>
  <c r="L291" i="2" s="1"/>
  <c r="L292" i="2"/>
  <c r="L301" i="2" s="1"/>
  <c r="T273" i="2"/>
  <c r="T291" i="2" s="1"/>
  <c r="T292" i="2"/>
  <c r="C273" i="2"/>
  <c r="C291" i="2" s="1"/>
  <c r="C306" i="2" s="1"/>
  <c r="K273" i="2"/>
  <c r="K291" i="2" s="1"/>
  <c r="K306" i="2" s="1"/>
  <c r="R303" i="2"/>
  <c r="R304" i="2"/>
  <c r="R302" i="2"/>
  <c r="N306" i="2"/>
  <c r="H319" i="2"/>
  <c r="J320" i="2"/>
  <c r="R320" i="2"/>
  <c r="Z320" i="2"/>
  <c r="J321" i="2"/>
  <c r="R321" i="2"/>
  <c r="Z321" i="2"/>
  <c r="J322" i="2"/>
  <c r="Z322" i="2"/>
  <c r="R323" i="2"/>
  <c r="Z323" i="2"/>
  <c r="C320" i="2"/>
  <c r="O132" i="3"/>
  <c r="AN134" i="3"/>
  <c r="AO134" i="3" s="1"/>
  <c r="AP134" i="3" s="1"/>
  <c r="G206" i="3"/>
  <c r="AM138" i="3"/>
  <c r="AO138" i="3" s="1"/>
  <c r="AP138" i="3" s="1"/>
  <c r="AB139" i="3"/>
  <c r="AB146" i="3" s="1"/>
  <c r="AB150" i="3" s="1"/>
  <c r="AB153" i="3" s="1"/>
  <c r="AJ139" i="3"/>
  <c r="AJ146" i="3" s="1"/>
  <c r="AJ150" i="3" s="1"/>
  <c r="AJ153" i="3" s="1"/>
  <c r="AJ138" i="2"/>
  <c r="AJ139" i="2" s="1"/>
  <c r="AJ146" i="2" s="1"/>
  <c r="AJ150" i="2" s="1"/>
  <c r="AJ153" i="2" s="1"/>
  <c r="C252" i="3"/>
  <c r="S252" i="3"/>
  <c r="AA143" i="2"/>
  <c r="AM143" i="2" s="1"/>
  <c r="AM143" i="3"/>
  <c r="Q249" i="3"/>
  <c r="L252" i="3"/>
  <c r="L243" i="3"/>
  <c r="F227" i="3"/>
  <c r="F228" i="3" s="1"/>
  <c r="E229" i="3"/>
  <c r="E230" i="3" s="1"/>
  <c r="M334" i="3"/>
  <c r="M307" i="3"/>
  <c r="M308" i="3"/>
  <c r="M306" i="3"/>
  <c r="M303" i="3"/>
  <c r="M301" i="3"/>
  <c r="Z304" i="3"/>
  <c r="C309" i="3"/>
  <c r="C318" i="3" s="1"/>
  <c r="K309" i="3"/>
  <c r="K321" i="3" s="1"/>
  <c r="S324" i="3"/>
  <c r="S321" i="3"/>
  <c r="C319" i="3"/>
  <c r="L319" i="3"/>
  <c r="L309" i="3"/>
  <c r="U309" i="3"/>
  <c r="F324" i="3"/>
  <c r="F319" i="3"/>
  <c r="N309" i="3"/>
  <c r="V320" i="3"/>
  <c r="F321" i="3"/>
  <c r="V321" i="3"/>
  <c r="F322" i="3"/>
  <c r="V322" i="3"/>
  <c r="F323" i="3"/>
  <c r="N323" i="3"/>
  <c r="V323" i="3"/>
  <c r="S318" i="3"/>
  <c r="O21" i="1"/>
  <c r="H21" i="1"/>
  <c r="H33" i="1" s="1"/>
  <c r="S21" i="1"/>
  <c r="D224" i="2"/>
  <c r="Z226" i="2"/>
  <c r="L252" i="2"/>
  <c r="F243" i="2"/>
  <c r="N243" i="2"/>
  <c r="V243" i="2"/>
  <c r="L249" i="2"/>
  <c r="J229" i="2"/>
  <c r="J230" i="2" s="1"/>
  <c r="L228" i="2"/>
  <c r="L294" i="2"/>
  <c r="L303" i="2" s="1"/>
  <c r="L295" i="2"/>
  <c r="L304" i="2" s="1"/>
  <c r="C303" i="2"/>
  <c r="C304" i="2"/>
  <c r="D292" i="2"/>
  <c r="D301" i="2" s="1"/>
  <c r="C293" i="2"/>
  <c r="K304" i="2"/>
  <c r="W296" i="2"/>
  <c r="W305" i="2" s="1"/>
  <c r="F309" i="2"/>
  <c r="F323" i="2" s="1"/>
  <c r="V309" i="2"/>
  <c r="V320" i="2" s="1"/>
  <c r="S320" i="2"/>
  <c r="C323" i="2"/>
  <c r="N319" i="2"/>
  <c r="AM135" i="3"/>
  <c r="AO135" i="3" s="1"/>
  <c r="AP135" i="3" s="1"/>
  <c r="AA139" i="3"/>
  <c r="AA137" i="2"/>
  <c r="AI139" i="3"/>
  <c r="AI146" i="3" s="1"/>
  <c r="AI150" i="3" s="1"/>
  <c r="AI153" i="3" s="1"/>
  <c r="AI137" i="2"/>
  <c r="AN144" i="3"/>
  <c r="W243" i="3"/>
  <c r="R249" i="3"/>
  <c r="AG147" i="2"/>
  <c r="AG149" i="2" s="1"/>
  <c r="AG149" i="3"/>
  <c r="K157" i="3"/>
  <c r="K227" i="3"/>
  <c r="K228" i="3" s="1"/>
  <c r="K229" i="3"/>
  <c r="K230" i="3" s="1"/>
  <c r="S229" i="3"/>
  <c r="S230" i="3" s="1"/>
  <c r="S157" i="3"/>
  <c r="G232" i="3"/>
  <c r="AN151" i="3"/>
  <c r="O231" i="3"/>
  <c r="O232" i="3" s="1"/>
  <c r="U226" i="3"/>
  <c r="V227" i="3"/>
  <c r="V228" i="3" s="1"/>
  <c r="F229" i="3"/>
  <c r="F230" i="3" s="1"/>
  <c r="R234" i="3"/>
  <c r="G334" i="3"/>
  <c r="W291" i="3"/>
  <c r="W305" i="3" s="1"/>
  <c r="M304" i="3"/>
  <c r="L307" i="3"/>
  <c r="L308" i="3"/>
  <c r="T302" i="3"/>
  <c r="N301" i="3"/>
  <c r="I303" i="3"/>
  <c r="F320" i="3"/>
  <c r="Y322" i="3"/>
  <c r="X334" i="3"/>
  <c r="O229" i="2"/>
  <c r="O230" i="2" s="1"/>
  <c r="O227" i="2"/>
  <c r="O228" i="2" s="1"/>
  <c r="O157" i="2"/>
  <c r="K249" i="2"/>
  <c r="Q301" i="2"/>
  <c r="K33" i="1"/>
  <c r="S33" i="1"/>
  <c r="I21" i="1"/>
  <c r="I33" i="1" s="1"/>
  <c r="G10" i="2"/>
  <c r="O10" i="2"/>
  <c r="W10" i="2"/>
  <c r="M132" i="2"/>
  <c r="S206" i="2"/>
  <c r="AB135" i="2"/>
  <c r="AB139" i="2"/>
  <c r="AB146" i="2" s="1"/>
  <c r="AB150" i="2" s="1"/>
  <c r="AB153" i="2" s="1"/>
  <c r="AF139" i="2"/>
  <c r="AF146" i="2" s="1"/>
  <c r="AF150" i="2" s="1"/>
  <c r="AF153" i="2" s="1"/>
  <c r="K157" i="2"/>
  <c r="K227" i="2"/>
  <c r="K228" i="2" s="1"/>
  <c r="S157" i="2"/>
  <c r="S229" i="2"/>
  <c r="S230" i="2" s="1"/>
  <c r="F232" i="2"/>
  <c r="N232" i="2"/>
  <c r="V232" i="2"/>
  <c r="H224" i="2"/>
  <c r="M227" i="2"/>
  <c r="M228" i="2" s="1"/>
  <c r="K229" i="2"/>
  <c r="K230" i="2" s="1"/>
  <c r="U301" i="2"/>
  <c r="M304" i="2"/>
  <c r="N308" i="2"/>
  <c r="N307" i="2"/>
  <c r="V334" i="2"/>
  <c r="E308" i="2"/>
  <c r="E307" i="2"/>
  <c r="E334" i="2"/>
  <c r="M291" i="2"/>
  <c r="M301" i="2" s="1"/>
  <c r="D304" i="2"/>
  <c r="C305" i="2"/>
  <c r="K301" i="2"/>
  <c r="D302" i="2"/>
  <c r="V302" i="2"/>
  <c r="N304" i="2"/>
  <c r="Y324" i="2"/>
  <c r="Y322" i="2"/>
  <c r="Y321" i="2"/>
  <c r="I318" i="2"/>
  <c r="Y318" i="2"/>
  <c r="J319" i="2"/>
  <c r="S319" i="2"/>
  <c r="D320" i="2"/>
  <c r="D321" i="2"/>
  <c r="D322" i="2"/>
  <c r="C318" i="2"/>
  <c r="N334" i="2"/>
  <c r="T17" i="3"/>
  <c r="AM140" i="3"/>
  <c r="AO140" i="3" s="1"/>
  <c r="AB140" i="2"/>
  <c r="AM140" i="2" s="1"/>
  <c r="AN141" i="3"/>
  <c r="M229" i="3"/>
  <c r="M230" i="3" s="1"/>
  <c r="M251" i="3"/>
  <c r="M252" i="3" s="1"/>
  <c r="U252" i="3"/>
  <c r="K249" i="3"/>
  <c r="AM145" i="3"/>
  <c r="AO145" i="3" s="1"/>
  <c r="AP145" i="3" s="1"/>
  <c r="AA145" i="2"/>
  <c r="AM145" i="2" s="1"/>
  <c r="C227" i="3"/>
  <c r="C228" i="3" s="1"/>
  <c r="C229" i="3"/>
  <c r="C230" i="3" s="1"/>
  <c r="C157" i="3"/>
  <c r="G230" i="3"/>
  <c r="I321" i="3"/>
  <c r="I323" i="3"/>
  <c r="I320" i="3"/>
  <c r="I324" i="3"/>
  <c r="AH227" i="4"/>
  <c r="AH228" i="4" s="1"/>
  <c r="AH153" i="4"/>
  <c r="AH229" i="4"/>
  <c r="AH230" i="4" s="1"/>
  <c r="AH154" i="4"/>
  <c r="P175" i="3"/>
  <c r="P175" i="2"/>
  <c r="M21" i="1"/>
  <c r="M33" i="1" s="1"/>
  <c r="T20" i="1"/>
  <c r="H17" i="2"/>
  <c r="R17" i="2"/>
  <c r="Y157" i="2"/>
  <c r="T193" i="2"/>
  <c r="L243" i="2"/>
  <c r="Z292" i="2"/>
  <c r="Z301" i="2" s="1"/>
  <c r="J294" i="2"/>
  <c r="X309" i="2"/>
  <c r="P318" i="2"/>
  <c r="I319" i="2"/>
  <c r="R319" i="2"/>
  <c r="K320" i="2"/>
  <c r="C321" i="2"/>
  <c r="K323" i="2"/>
  <c r="R326" i="2"/>
  <c r="R334" i="2" s="1"/>
  <c r="L227" i="3"/>
  <c r="L228" i="3" s="1"/>
  <c r="L229" i="3"/>
  <c r="L230" i="3" s="1"/>
  <c r="L157" i="3"/>
  <c r="R227" i="3"/>
  <c r="R228" i="3" s="1"/>
  <c r="R229" i="3"/>
  <c r="R230" i="3" s="1"/>
  <c r="D249" i="3"/>
  <c r="K291" i="3"/>
  <c r="K304" i="3" s="1"/>
  <c r="S291" i="3"/>
  <c r="S304" i="3" s="1"/>
  <c r="R307" i="3"/>
  <c r="H322" i="3"/>
  <c r="H323" i="3"/>
  <c r="I318" i="3"/>
  <c r="Q309" i="3"/>
  <c r="Q318" i="3" s="1"/>
  <c r="Y318" i="3"/>
  <c r="J319" i="3"/>
  <c r="S319" i="3"/>
  <c r="D320" i="3"/>
  <c r="D309" i="3"/>
  <c r="L320" i="3"/>
  <c r="D321" i="3"/>
  <c r="L321" i="3"/>
  <c r="L322" i="3"/>
  <c r="D323" i="3"/>
  <c r="H326" i="3"/>
  <c r="F17" i="3"/>
  <c r="F17" i="2"/>
  <c r="V224" i="2"/>
  <c r="P229" i="2"/>
  <c r="P230" i="2" s="1"/>
  <c r="F305" i="2"/>
  <c r="D306" i="2"/>
  <c r="M302" i="3"/>
  <c r="D303" i="3"/>
  <c r="L304" i="3"/>
  <c r="L306" i="3"/>
  <c r="N224" i="2"/>
  <c r="T28" i="1"/>
  <c r="P231" i="2"/>
  <c r="P232" i="2" s="1"/>
  <c r="Z224" i="2"/>
  <c r="P227" i="2"/>
  <c r="P228" i="2" s="1"/>
  <c r="Q229" i="2"/>
  <c r="Q230" i="2" s="1"/>
  <c r="M252" i="2"/>
  <c r="O296" i="2"/>
  <c r="O273" i="2"/>
  <c r="O291" i="2" s="1"/>
  <c r="O302" i="2" s="1"/>
  <c r="H320" i="2"/>
  <c r="H322" i="2"/>
  <c r="X322" i="2"/>
  <c r="X301" i="3"/>
  <c r="X303" i="3"/>
  <c r="T304" i="3"/>
  <c r="F224" i="2"/>
  <c r="Q232" i="2"/>
  <c r="N292" i="2"/>
  <c r="N301" i="2" s="1"/>
  <c r="F303" i="2"/>
  <c r="D318" i="2"/>
  <c r="L318" i="2"/>
  <c r="O326" i="2"/>
  <c r="W226" i="3"/>
  <c r="X229" i="3"/>
  <c r="X230" i="3" s="1"/>
  <c r="X227" i="3"/>
  <c r="X228" i="3" s="1"/>
  <c r="C224" i="3"/>
  <c r="H229" i="3"/>
  <c r="H230" i="3" s="1"/>
  <c r="K234" i="3"/>
  <c r="L249" i="3"/>
  <c r="I302" i="3"/>
  <c r="Y302" i="3"/>
  <c r="Y303" i="3"/>
  <c r="I304" i="3"/>
  <c r="Y304" i="3"/>
  <c r="I305" i="3"/>
  <c r="G308" i="3"/>
  <c r="G307" i="3"/>
  <c r="U294" i="3"/>
  <c r="U273" i="3"/>
  <c r="U291" i="3" s="1"/>
  <c r="U305" i="3" s="1"/>
  <c r="E304" i="3"/>
  <c r="T306" i="3"/>
  <c r="P321" i="3"/>
  <c r="R334" i="3"/>
  <c r="I227" i="2"/>
  <c r="I228" i="2" s="1"/>
  <c r="I229" i="2"/>
  <c r="I230" i="2" s="1"/>
  <c r="C206" i="2"/>
  <c r="X273" i="2"/>
  <c r="X291" i="2" s="1"/>
  <c r="P306" i="2"/>
  <c r="T309" i="2"/>
  <c r="T324" i="2" s="1"/>
  <c r="H323" i="2"/>
  <c r="N17" i="3"/>
  <c r="AC139" i="3"/>
  <c r="AC146" i="3" s="1"/>
  <c r="AC150" i="3" s="1"/>
  <c r="AC153" i="3" s="1"/>
  <c r="AC137" i="2"/>
  <c r="AK139" i="3"/>
  <c r="AK146" i="3" s="1"/>
  <c r="AK137" i="2"/>
  <c r="O251" i="3"/>
  <c r="O252" i="3" s="1"/>
  <c r="O229" i="3"/>
  <c r="O230" i="3" s="1"/>
  <c r="O249" i="3"/>
  <c r="W249" i="3"/>
  <c r="AN146" i="3"/>
  <c r="AN147" i="3"/>
  <c r="AE149" i="3"/>
  <c r="I229" i="3"/>
  <c r="I230" i="3" s="1"/>
  <c r="I227" i="3"/>
  <c r="I228" i="3" s="1"/>
  <c r="I157" i="3"/>
  <c r="Q229" i="3"/>
  <c r="Q230" i="3" s="1"/>
  <c r="Q227" i="3"/>
  <c r="Q228" i="3" s="1"/>
  <c r="Q157" i="3"/>
  <c r="Y229" i="3"/>
  <c r="Y230" i="3" s="1"/>
  <c r="Y227" i="3"/>
  <c r="Y228" i="3" s="1"/>
  <c r="Y157" i="3"/>
  <c r="I232" i="3"/>
  <c r="Q232" i="3"/>
  <c r="Y232" i="3"/>
  <c r="AM152" i="3"/>
  <c r="AO152" i="3" s="1"/>
  <c r="C226" i="3"/>
  <c r="E226" i="3"/>
  <c r="J302" i="3"/>
  <c r="R304" i="3"/>
  <c r="R305" i="3"/>
  <c r="E305" i="3"/>
  <c r="D301" i="3"/>
  <c r="Y319" i="3"/>
  <c r="I322" i="3"/>
  <c r="P17" i="2"/>
  <c r="R227" i="2"/>
  <c r="R228" i="2" s="1"/>
  <c r="R229" i="2"/>
  <c r="R230" i="2" s="1"/>
  <c r="Y231" i="2"/>
  <c r="Y232" i="2" s="1"/>
  <c r="E226" i="2"/>
  <c r="U249" i="2"/>
  <c r="H292" i="2"/>
  <c r="H301" i="2" s="1"/>
  <c r="P292" i="2"/>
  <c r="P301" i="2" s="1"/>
  <c r="X292" i="2"/>
  <c r="X301" i="2" s="1"/>
  <c r="X295" i="2"/>
  <c r="X304" i="2" s="1"/>
  <c r="L309" i="2"/>
  <c r="L323" i="2" s="1"/>
  <c r="N318" i="2"/>
  <c r="P319" i="2"/>
  <c r="Y319" i="2"/>
  <c r="Q320" i="2"/>
  <c r="Q322" i="2"/>
  <c r="I323" i="2"/>
  <c r="Q323" i="2"/>
  <c r="Y323" i="2"/>
  <c r="I326" i="2"/>
  <c r="Q326" i="2"/>
  <c r="Y326" i="2"/>
  <c r="H326" i="2"/>
  <c r="X326" i="2"/>
  <c r="L132" i="3"/>
  <c r="AN142" i="3"/>
  <c r="H252" i="3"/>
  <c r="P252" i="3"/>
  <c r="AN143" i="3"/>
  <c r="P243" i="3"/>
  <c r="H249" i="3"/>
  <c r="P249" i="3"/>
  <c r="AN145" i="3"/>
  <c r="J229" i="3"/>
  <c r="J230" i="3" s="1"/>
  <c r="D232" i="3"/>
  <c r="T193" i="3"/>
  <c r="N232" i="3"/>
  <c r="K301" i="3"/>
  <c r="S301" i="3"/>
  <c r="C303" i="3"/>
  <c r="C305" i="3"/>
  <c r="H319" i="3"/>
  <c r="Z320" i="3"/>
  <c r="J322" i="3"/>
  <c r="R322" i="3"/>
  <c r="J323" i="3"/>
  <c r="Z319" i="3"/>
  <c r="V326" i="3"/>
  <c r="E326" i="3"/>
  <c r="F229" i="2"/>
  <c r="F230" i="2" s="1"/>
  <c r="F227" i="2"/>
  <c r="F228" i="2" s="1"/>
  <c r="N229" i="2"/>
  <c r="N230" i="2" s="1"/>
  <c r="N227" i="2"/>
  <c r="N228" i="2" s="1"/>
  <c r="V229" i="2"/>
  <c r="V230" i="2" s="1"/>
  <c r="V227" i="2"/>
  <c r="V228" i="2" s="1"/>
  <c r="K132" i="3"/>
  <c r="S132" i="3"/>
  <c r="I206" i="3"/>
  <c r="Q206" i="3"/>
  <c r="Y206" i="3"/>
  <c r="I224" i="3"/>
  <c r="Q224" i="3"/>
  <c r="Y224" i="3"/>
  <c r="I226" i="3"/>
  <c r="Q226" i="3"/>
  <c r="Y226" i="3"/>
  <c r="F252" i="3"/>
  <c r="AN150" i="3"/>
  <c r="O228" i="3"/>
  <c r="H273" i="3"/>
  <c r="H291" i="3" s="1"/>
  <c r="H301" i="3" s="1"/>
  <c r="P273" i="3"/>
  <c r="P291" i="3" s="1"/>
  <c r="P301" i="3" s="1"/>
  <c r="N304" i="3"/>
  <c r="L301" i="3"/>
  <c r="F318" i="3"/>
  <c r="V318" i="3"/>
  <c r="Y320" i="3"/>
  <c r="Y321" i="3"/>
  <c r="Y323" i="3"/>
  <c r="L326" i="3"/>
  <c r="L334" i="3" s="1"/>
  <c r="T326" i="3"/>
  <c r="T334" i="3" s="1"/>
  <c r="AI227" i="4"/>
  <c r="AI228" i="4" s="1"/>
  <c r="AI153" i="4"/>
  <c r="AI229" i="4"/>
  <c r="AI230" i="4" s="1"/>
  <c r="AI154" i="4"/>
  <c r="Z197" i="3"/>
  <c r="J231" i="3"/>
  <c r="J232" i="3" s="1"/>
  <c r="Z231" i="3"/>
  <c r="Z232" i="3" s="1"/>
  <c r="K226" i="3"/>
  <c r="L296" i="3"/>
  <c r="L305" i="3" s="1"/>
  <c r="F273" i="3"/>
  <c r="F291" i="3" s="1"/>
  <c r="F302" i="3" s="1"/>
  <c r="F292" i="3"/>
  <c r="F301" i="3" s="1"/>
  <c r="N273" i="3"/>
  <c r="N291" i="3" s="1"/>
  <c r="N306" i="3" s="1"/>
  <c r="V273" i="3"/>
  <c r="V291" i="3" s="1"/>
  <c r="E273" i="3"/>
  <c r="E291" i="3" s="1"/>
  <c r="E293" i="3"/>
  <c r="E302" i="3" s="1"/>
  <c r="V292" i="3"/>
  <c r="V301" i="3" s="1"/>
  <c r="D318" i="3"/>
  <c r="L318" i="3"/>
  <c r="T309" i="3"/>
  <c r="T322" i="3" s="1"/>
  <c r="M309" i="3"/>
  <c r="M320" i="3" s="1"/>
  <c r="V319" i="3"/>
  <c r="C326" i="3"/>
  <c r="C334" i="3" s="1"/>
  <c r="K326" i="3"/>
  <c r="S326" i="3"/>
  <c r="U229" i="3"/>
  <c r="U230" i="3" s="1"/>
  <c r="V293" i="3"/>
  <c r="V302" i="3" s="1"/>
  <c r="F294" i="3"/>
  <c r="F303" i="3" s="1"/>
  <c r="Z318" i="3"/>
  <c r="M323" i="3"/>
  <c r="X321" i="3"/>
  <c r="AB229" i="4"/>
  <c r="AB230" i="4" s="1"/>
  <c r="AB227" i="4"/>
  <c r="AB228" i="4" s="1"/>
  <c r="AB153" i="4"/>
  <c r="AJ229" i="4"/>
  <c r="AJ230" i="4" s="1"/>
  <c r="AJ227" i="4"/>
  <c r="AJ228" i="4" s="1"/>
  <c r="AJ153" i="4"/>
  <c r="AJ154" i="4" s="1"/>
  <c r="O197" i="4"/>
  <c r="P194" i="4"/>
  <c r="Q234" i="3"/>
  <c r="Y234" i="3"/>
  <c r="T301" i="3"/>
  <c r="T296" i="3"/>
  <c r="T305" i="3" s="1"/>
  <c r="D297" i="3"/>
  <c r="D306" i="3" s="1"/>
  <c r="Z273" i="3"/>
  <c r="Z291" i="3" s="1"/>
  <c r="Z305" i="3" s="1"/>
  <c r="Q273" i="3"/>
  <c r="Q291" i="3" s="1"/>
  <c r="Q301" i="3" s="1"/>
  <c r="H318" i="3"/>
  <c r="C320" i="3"/>
  <c r="S322" i="3"/>
  <c r="C323" i="3"/>
  <c r="K323" i="3"/>
  <c r="S323" i="3"/>
  <c r="E319" i="3"/>
  <c r="AC206" i="4"/>
  <c r="AK206" i="4"/>
  <c r="D196" i="4"/>
  <c r="P193" i="4"/>
  <c r="AD227" i="4"/>
  <c r="AD228" i="4" s="1"/>
  <c r="AD153" i="4"/>
  <c r="AD229" i="4"/>
  <c r="AD230" i="4" s="1"/>
  <c r="AL227" i="4"/>
  <c r="AL228" i="4" s="1"/>
  <c r="AL153" i="4"/>
  <c r="AL154" i="4" s="1"/>
  <c r="AL229" i="4"/>
  <c r="AL230" i="4" s="1"/>
  <c r="Q193" i="4"/>
  <c r="AF227" i="4"/>
  <c r="AF228" i="4" s="1"/>
  <c r="AF153" i="4"/>
  <c r="AF229" i="4"/>
  <c r="AF230" i="4" s="1"/>
  <c r="AF154" i="4"/>
  <c r="AG227" i="4"/>
  <c r="AG228" i="4" s="1"/>
  <c r="AG153" i="4"/>
  <c r="AG154" i="4" s="1"/>
  <c r="AG229" i="4"/>
  <c r="AG230" i="4" s="1"/>
  <c r="D194" i="4"/>
  <c r="C197" i="4"/>
  <c r="D224" i="4"/>
  <c r="L224" i="4"/>
  <c r="T224" i="4"/>
  <c r="AC224" i="4"/>
  <c r="AK224" i="4"/>
  <c r="F226" i="4"/>
  <c r="N226" i="4"/>
  <c r="V226" i="4"/>
  <c r="H228" i="4"/>
  <c r="P228" i="4"/>
  <c r="X228" i="4"/>
  <c r="J230" i="4"/>
  <c r="R230" i="4"/>
  <c r="D232" i="4"/>
  <c r="L232" i="4"/>
  <c r="AE232" i="4"/>
  <c r="W243" i="4"/>
  <c r="L252" i="4"/>
  <c r="AF227" i="5"/>
  <c r="AF228" i="5" s="1"/>
  <c r="AF229" i="5"/>
  <c r="AF230" i="5" s="1"/>
  <c r="AE153" i="5"/>
  <c r="AF233" i="5" s="1"/>
  <c r="AF234" i="5" s="1"/>
  <c r="AE154" i="5"/>
  <c r="AA225" i="4"/>
  <c r="AA226" i="4" s="1"/>
  <c r="AI225" i="4"/>
  <c r="AI226" i="4" s="1"/>
  <c r="G226" i="4"/>
  <c r="O226" i="4"/>
  <c r="W226" i="4"/>
  <c r="AF232" i="4"/>
  <c r="W132" i="5"/>
  <c r="AG227" i="5"/>
  <c r="AG228" i="5" s="1"/>
  <c r="AF153" i="5"/>
  <c r="AG233" i="5" s="1"/>
  <c r="AG234" i="5" s="1"/>
  <c r="AG229" i="5"/>
  <c r="AG230" i="5" s="1"/>
  <c r="F224" i="4"/>
  <c r="N224" i="4"/>
  <c r="V224" i="4"/>
  <c r="AB225" i="4"/>
  <c r="AB226" i="4" s="1"/>
  <c r="AJ225" i="4"/>
  <c r="AJ226" i="4" s="1"/>
  <c r="H226" i="4"/>
  <c r="P226" i="4"/>
  <c r="X226" i="4"/>
  <c r="J228" i="4"/>
  <c r="R228" i="4"/>
  <c r="D230" i="4"/>
  <c r="L230" i="4"/>
  <c r="T230" i="4"/>
  <c r="F232" i="4"/>
  <c r="N232" i="4"/>
  <c r="W232" i="4"/>
  <c r="G243" i="4"/>
  <c r="H249" i="4"/>
  <c r="P249" i="4"/>
  <c r="X249" i="4"/>
  <c r="AG249" i="4"/>
  <c r="G252" i="4"/>
  <c r="O252" i="4"/>
  <c r="W252" i="4"/>
  <c r="AF252" i="4"/>
  <c r="D252" i="4"/>
  <c r="AA252" i="4"/>
  <c r="A293" i="4"/>
  <c r="A311" i="4" s="1"/>
  <c r="A302" i="4"/>
  <c r="A320" i="4" s="1"/>
  <c r="AH229" i="5"/>
  <c r="AH230" i="5" s="1"/>
  <c r="AG153" i="5"/>
  <c r="AH233" i="5" s="1"/>
  <c r="AH234" i="5" s="1"/>
  <c r="AH227" i="5"/>
  <c r="AH228" i="5" s="1"/>
  <c r="AG154" i="5"/>
  <c r="AE153" i="4"/>
  <c r="AA204" i="4"/>
  <c r="AA206" i="4" s="1"/>
  <c r="I243" i="4"/>
  <c r="W197" i="5"/>
  <c r="AA146" i="4"/>
  <c r="AD225" i="4"/>
  <c r="AD226" i="4" s="1"/>
  <c r="AL225" i="4"/>
  <c r="AL226" i="4" s="1"/>
  <c r="H243" i="4"/>
  <c r="P243" i="4"/>
  <c r="X243" i="4"/>
  <c r="AG243" i="4"/>
  <c r="J249" i="4"/>
  <c r="R249" i="4"/>
  <c r="AA249" i="4"/>
  <c r="AI249" i="4"/>
  <c r="I252" i="4"/>
  <c r="Q252" i="4"/>
  <c r="Y252" i="4"/>
  <c r="AH252" i="4"/>
  <c r="AC252" i="4"/>
  <c r="AL153" i="5"/>
  <c r="AL154" i="5" s="1"/>
  <c r="AB154" i="5"/>
  <c r="AC229" i="5"/>
  <c r="AC230" i="5" s="1"/>
  <c r="AB153" i="5"/>
  <c r="AC233" i="5" s="1"/>
  <c r="AC234" i="5" s="1"/>
  <c r="AC227" i="5"/>
  <c r="AC228" i="5" s="1"/>
  <c r="W196" i="5"/>
  <c r="AC154" i="4"/>
  <c r="AK154" i="4"/>
  <c r="T226" i="4"/>
  <c r="J232" i="4"/>
  <c r="J234" i="4"/>
  <c r="R234" i="4"/>
  <c r="G300" i="4"/>
  <c r="O300" i="4"/>
  <c r="W300" i="4"/>
  <c r="W83" i="5"/>
  <c r="AE229" i="5"/>
  <c r="AE230" i="5" s="1"/>
  <c r="AD153" i="5"/>
  <c r="AE233" i="5" s="1"/>
  <c r="AE234" i="5" s="1"/>
  <c r="AE227" i="5"/>
  <c r="AE228" i="5" s="1"/>
  <c r="A305" i="4"/>
  <c r="A323" i="4" s="1"/>
  <c r="AC154" i="5"/>
  <c r="AK154" i="5"/>
  <c r="F209" i="5"/>
  <c r="P209" i="5"/>
  <c r="E223" i="5"/>
  <c r="O223" i="5"/>
  <c r="F224" i="5"/>
  <c r="AC224" i="5"/>
  <c r="AB225" i="5"/>
  <c r="AB226" i="5" s="1"/>
  <c r="N226" i="5"/>
  <c r="X226" i="5"/>
  <c r="F230" i="5"/>
  <c r="N230" i="5"/>
  <c r="V230" i="5"/>
  <c r="T230" i="5"/>
  <c r="E232" i="5"/>
  <c r="AE232" i="5"/>
  <c r="D249" i="5"/>
  <c r="L249" i="5"/>
  <c r="T249" i="5"/>
  <c r="AC249" i="5"/>
  <c r="AK249" i="5"/>
  <c r="P249" i="5"/>
  <c r="AD249" i="5"/>
  <c r="W252" i="5"/>
  <c r="AE227" i="6"/>
  <c r="AE228" i="6" s="1"/>
  <c r="AE229" i="6"/>
  <c r="AE230" i="6" s="1"/>
  <c r="AE153" i="6"/>
  <c r="AE233" i="6" s="1"/>
  <c r="AE234" i="6" s="1"/>
  <c r="G209" i="5"/>
  <c r="G224" i="5"/>
  <c r="AC225" i="5"/>
  <c r="AC226" i="5" s="1"/>
  <c r="E226" i="5"/>
  <c r="O226" i="5"/>
  <c r="F228" i="5"/>
  <c r="G230" i="5"/>
  <c r="O230" i="5"/>
  <c r="W230" i="5"/>
  <c r="U230" i="5"/>
  <c r="H232" i="5"/>
  <c r="P232" i="5"/>
  <c r="X232" i="5"/>
  <c r="AG232" i="5"/>
  <c r="AF232" i="5"/>
  <c r="X234" i="5"/>
  <c r="O243" i="5"/>
  <c r="AD243" i="5"/>
  <c r="E249" i="5"/>
  <c r="AE249" i="5"/>
  <c r="X252" i="5"/>
  <c r="AL252" i="5"/>
  <c r="AF227" i="6"/>
  <c r="AF228" i="6" s="1"/>
  <c r="AF154" i="6"/>
  <c r="AF229" i="6"/>
  <c r="AF230" i="6" s="1"/>
  <c r="AF153" i="6"/>
  <c r="AF233" i="6" s="1"/>
  <c r="AF234" i="6" s="1"/>
  <c r="AG229" i="6"/>
  <c r="AG230" i="6" s="1"/>
  <c r="AG153" i="6"/>
  <c r="AG233" i="6" s="1"/>
  <c r="AG234" i="6" s="1"/>
  <c r="AG227" i="6"/>
  <c r="AG228" i="6" s="1"/>
  <c r="F252" i="5"/>
  <c r="F234" i="5"/>
  <c r="N252" i="5"/>
  <c r="N234" i="5"/>
  <c r="V252" i="5"/>
  <c r="V234" i="5"/>
  <c r="F226" i="5"/>
  <c r="P226" i="5"/>
  <c r="AD227" i="5"/>
  <c r="AD228" i="5" s="1"/>
  <c r="G228" i="5"/>
  <c r="G232" i="5"/>
  <c r="U232" i="5"/>
  <c r="M234" i="5"/>
  <c r="E243" i="5"/>
  <c r="AE243" i="5"/>
  <c r="F249" i="5"/>
  <c r="M252" i="5"/>
  <c r="AH229" i="6"/>
  <c r="AH230" i="6" s="1"/>
  <c r="AH153" i="6"/>
  <c r="AH233" i="6" s="1"/>
  <c r="AH234" i="6" s="1"/>
  <c r="AH227" i="6"/>
  <c r="AH228" i="6" s="1"/>
  <c r="AF224" i="5"/>
  <c r="G226" i="5"/>
  <c r="O234" i="5"/>
  <c r="G248" i="5"/>
  <c r="G249" i="5"/>
  <c r="O248" i="5"/>
  <c r="O249" i="5"/>
  <c r="W248" i="5"/>
  <c r="W249" i="5"/>
  <c r="AF249" i="5"/>
  <c r="H249" i="5"/>
  <c r="U249" i="5"/>
  <c r="O252" i="5"/>
  <c r="AI153" i="6"/>
  <c r="AI233" i="6" s="1"/>
  <c r="AI234" i="6" s="1"/>
  <c r="AI227" i="6"/>
  <c r="AI228" i="6" s="1"/>
  <c r="AI229" i="6"/>
  <c r="AI230" i="6" s="1"/>
  <c r="V197" i="5"/>
  <c r="D206" i="5"/>
  <c r="L206" i="5"/>
  <c r="T206" i="5"/>
  <c r="AC206" i="5"/>
  <c r="AK206" i="5"/>
  <c r="V209" i="5"/>
  <c r="V224" i="5"/>
  <c r="H226" i="5"/>
  <c r="W228" i="5"/>
  <c r="W232" i="5"/>
  <c r="AL232" i="5"/>
  <c r="V249" i="5"/>
  <c r="P252" i="5"/>
  <c r="AJ153" i="6"/>
  <c r="AJ233" i="6" s="1"/>
  <c r="AJ234" i="6" s="1"/>
  <c r="AJ227" i="6"/>
  <c r="AJ228" i="6" s="1"/>
  <c r="AJ154" i="6"/>
  <c r="AJ229" i="6"/>
  <c r="AJ230" i="6" s="1"/>
  <c r="W196" i="6"/>
  <c r="AH146" i="5"/>
  <c r="AH150" i="5" s="1"/>
  <c r="E206" i="5"/>
  <c r="M206" i="5"/>
  <c r="U206" i="5"/>
  <c r="AD206" i="5"/>
  <c r="AL206" i="5"/>
  <c r="M209" i="5"/>
  <c r="W209" i="5"/>
  <c r="H224" i="5"/>
  <c r="P224" i="5"/>
  <c r="X224" i="5"/>
  <c r="AG224" i="5"/>
  <c r="C224" i="5"/>
  <c r="M224" i="5"/>
  <c r="W224" i="5"/>
  <c r="AJ224" i="5"/>
  <c r="U226" i="5"/>
  <c r="K228" i="5"/>
  <c r="E230" i="5"/>
  <c r="M232" i="5"/>
  <c r="C234" i="5"/>
  <c r="K234" i="5"/>
  <c r="S234" i="5"/>
  <c r="E234" i="5"/>
  <c r="J249" i="5"/>
  <c r="E252" i="5"/>
  <c r="AE226" i="5"/>
  <c r="AA146" i="5"/>
  <c r="AI146" i="5"/>
  <c r="AI150" i="5" s="1"/>
  <c r="D209" i="5"/>
  <c r="N209" i="5"/>
  <c r="X209" i="5"/>
  <c r="D224" i="5"/>
  <c r="N224" i="5"/>
  <c r="AK224" i="5"/>
  <c r="V226" i="5"/>
  <c r="N232" i="5"/>
  <c r="AB232" i="5"/>
  <c r="K243" i="5"/>
  <c r="M249" i="5"/>
  <c r="W197" i="6"/>
  <c r="AA153" i="6"/>
  <c r="AA154" i="6" s="1"/>
  <c r="AA227" i="6"/>
  <c r="AA228" i="6" s="1"/>
  <c r="AA229" i="6"/>
  <c r="AA230" i="6" s="1"/>
  <c r="AM135" i="5"/>
  <c r="AJ146" i="5"/>
  <c r="AJ150" i="5" s="1"/>
  <c r="O209" i="5"/>
  <c r="X223" i="5"/>
  <c r="AL227" i="5"/>
  <c r="AL228" i="5" s="1"/>
  <c r="O228" i="5"/>
  <c r="C232" i="5"/>
  <c r="U234" i="5"/>
  <c r="H243" i="5"/>
  <c r="P243" i="5"/>
  <c r="X243" i="5"/>
  <c r="AG243" i="5"/>
  <c r="C249" i="5"/>
  <c r="K249" i="5"/>
  <c r="S249" i="5"/>
  <c r="AB249" i="5"/>
  <c r="AJ249" i="5"/>
  <c r="D248" i="5"/>
  <c r="N249" i="5"/>
  <c r="AB153" i="6"/>
  <c r="AB233" i="6" s="1"/>
  <c r="AB234" i="6" s="1"/>
  <c r="AB227" i="6"/>
  <c r="AB228" i="6" s="1"/>
  <c r="AB229" i="6"/>
  <c r="AB230" i="6" s="1"/>
  <c r="A292" i="5"/>
  <c r="A310" i="5" s="1"/>
  <c r="A305" i="5"/>
  <c r="A323" i="5" s="1"/>
  <c r="AD153" i="6"/>
  <c r="AD233" i="6" s="1"/>
  <c r="AD234" i="6" s="1"/>
  <c r="AL153" i="6"/>
  <c r="AL233" i="6" s="1"/>
  <c r="AL234" i="6" s="1"/>
  <c r="C209" i="6"/>
  <c r="K209" i="6"/>
  <c r="S209" i="6"/>
  <c r="AE225" i="6"/>
  <c r="AE226" i="6" s="1"/>
  <c r="C226" i="6"/>
  <c r="K226" i="6"/>
  <c r="S226" i="6"/>
  <c r="E228" i="6"/>
  <c r="M228" i="6"/>
  <c r="U228" i="6"/>
  <c r="G230" i="6"/>
  <c r="O230" i="6"/>
  <c r="W230" i="6"/>
  <c r="K234" i="6"/>
  <c r="AA243" i="6"/>
  <c r="E249" i="6"/>
  <c r="P249" i="6"/>
  <c r="AK227" i="7"/>
  <c r="AK228" i="7" s="1"/>
  <c r="AK153" i="7"/>
  <c r="AK233" i="7" s="1"/>
  <c r="AK234" i="7" s="1"/>
  <c r="AK229" i="7"/>
  <c r="AK230" i="7" s="1"/>
  <c r="AK154" i="7"/>
  <c r="AB243" i="6"/>
  <c r="Q249" i="6"/>
  <c r="A294" i="5"/>
  <c r="A312" i="5" s="1"/>
  <c r="M209" i="6"/>
  <c r="U209" i="6"/>
  <c r="Y239" i="6"/>
  <c r="Y248" i="6"/>
  <c r="R249" i="6"/>
  <c r="AD249" i="6"/>
  <c r="Q252" i="6"/>
  <c r="AI229" i="7"/>
  <c r="AI230" i="7" s="1"/>
  <c r="AI154" i="7"/>
  <c r="AI227" i="7"/>
  <c r="AI228" i="7" s="1"/>
  <c r="AI153" i="7"/>
  <c r="AI233" i="7" s="1"/>
  <c r="AI234" i="7" s="1"/>
  <c r="AM139" i="6"/>
  <c r="AD229" i="6"/>
  <c r="AD230" i="6" s="1"/>
  <c r="AL229" i="6"/>
  <c r="AL230" i="6" s="1"/>
  <c r="C249" i="6"/>
  <c r="K249" i="6"/>
  <c r="S249" i="6"/>
  <c r="AB249" i="6"/>
  <c r="AJ249" i="6"/>
  <c r="T249" i="6"/>
  <c r="AE249" i="6"/>
  <c r="J252" i="6"/>
  <c r="R252" i="6"/>
  <c r="AA252" i="6"/>
  <c r="AI252" i="6"/>
  <c r="W83" i="7"/>
  <c r="AH206" i="7"/>
  <c r="AC146" i="6"/>
  <c r="AC150" i="6" s="1"/>
  <c r="AK146" i="6"/>
  <c r="AK150" i="6" s="1"/>
  <c r="AE243" i="6"/>
  <c r="J249" i="6"/>
  <c r="U249" i="6"/>
  <c r="I252" i="6"/>
  <c r="AA206" i="7"/>
  <c r="AI206" i="7"/>
  <c r="AD154" i="6"/>
  <c r="F224" i="6"/>
  <c r="N224" i="6"/>
  <c r="V224" i="6"/>
  <c r="AE224" i="6"/>
  <c r="J228" i="6"/>
  <c r="R228" i="6"/>
  <c r="N232" i="6"/>
  <c r="V232" i="6"/>
  <c r="V243" i="6"/>
  <c r="W132" i="7"/>
  <c r="AC227" i="7"/>
  <c r="AC228" i="7" s="1"/>
  <c r="AC229" i="7"/>
  <c r="AC230" i="7" s="1"/>
  <c r="AC153" i="7"/>
  <c r="AC233" i="7" s="1"/>
  <c r="AC234" i="7" s="1"/>
  <c r="AC154" i="7"/>
  <c r="W194" i="7"/>
  <c r="V197" i="7"/>
  <c r="M249" i="6"/>
  <c r="AF227" i="7"/>
  <c r="AF228" i="7" s="1"/>
  <c r="AF153" i="7"/>
  <c r="AF233" i="7" s="1"/>
  <c r="AF234" i="7" s="1"/>
  <c r="AF229" i="7"/>
  <c r="AF230" i="7" s="1"/>
  <c r="AF154" i="7"/>
  <c r="G249" i="6"/>
  <c r="O249" i="6"/>
  <c r="W249" i="6"/>
  <c r="AF249" i="6"/>
  <c r="F252" i="6"/>
  <c r="N252" i="6"/>
  <c r="V252" i="6"/>
  <c r="AE252" i="6"/>
  <c r="AB154" i="7"/>
  <c r="A296" i="6"/>
  <c r="A314" i="6" s="1"/>
  <c r="A301" i="6"/>
  <c r="A319" i="6" s="1"/>
  <c r="AD146" i="7"/>
  <c r="AD150" i="7" s="1"/>
  <c r="AL146" i="7"/>
  <c r="AL150" i="7" s="1"/>
  <c r="AI225" i="7"/>
  <c r="AI226" i="7" s="1"/>
  <c r="H228" i="7"/>
  <c r="L230" i="7"/>
  <c r="D232" i="7"/>
  <c r="AA232" i="7"/>
  <c r="AK232" i="7"/>
  <c r="M234" i="7"/>
  <c r="S252" i="7"/>
  <c r="AG252" i="7"/>
  <c r="A302" i="7"/>
  <c r="A320" i="7" s="1"/>
  <c r="A293" i="6"/>
  <c r="A311" i="6" s="1"/>
  <c r="AE146" i="7"/>
  <c r="AE150" i="7" s="1"/>
  <c r="AB153" i="7"/>
  <c r="AB233" i="7" s="1"/>
  <c r="AB234" i="7" s="1"/>
  <c r="AJ153" i="7"/>
  <c r="AJ233" i="7" s="1"/>
  <c r="AJ234" i="7" s="1"/>
  <c r="S224" i="7"/>
  <c r="AA225" i="7"/>
  <c r="AA226" i="7" s="1"/>
  <c r="AJ226" i="7"/>
  <c r="I226" i="7"/>
  <c r="AJ227" i="7"/>
  <c r="AJ228" i="7" s="1"/>
  <c r="I228" i="7"/>
  <c r="AB229" i="7"/>
  <c r="AB230" i="7" s="1"/>
  <c r="X230" i="7"/>
  <c r="P232" i="7"/>
  <c r="AB232" i="7"/>
  <c r="C234" i="7"/>
  <c r="K234" i="7"/>
  <c r="S234" i="7"/>
  <c r="Y234" i="7"/>
  <c r="I243" i="7"/>
  <c r="Q243" i="7"/>
  <c r="Y243" i="7"/>
  <c r="AH243" i="7"/>
  <c r="O243" i="7"/>
  <c r="AB243" i="7"/>
  <c r="P249" i="7"/>
  <c r="AC249" i="7"/>
  <c r="H252" i="7"/>
  <c r="T252" i="7"/>
  <c r="AH252" i="7"/>
  <c r="D83" i="8"/>
  <c r="D132" i="8" s="1"/>
  <c r="T224" i="7"/>
  <c r="T226" i="7"/>
  <c r="AB227" i="7"/>
  <c r="AB228" i="7" s="1"/>
  <c r="D230" i="7"/>
  <c r="AC232" i="7"/>
  <c r="D249" i="7"/>
  <c r="AG146" i="7"/>
  <c r="AG150" i="7" s="1"/>
  <c r="H232" i="7"/>
  <c r="F234" i="7"/>
  <c r="G249" i="7"/>
  <c r="O249" i="7"/>
  <c r="W249" i="7"/>
  <c r="AF249" i="7"/>
  <c r="R249" i="7"/>
  <c r="X252" i="7"/>
  <c r="I83" i="8"/>
  <c r="S193" i="8"/>
  <c r="AH146" i="7"/>
  <c r="AH150" i="7" s="1"/>
  <c r="W183" i="7"/>
  <c r="D226" i="7"/>
  <c r="V226" i="7"/>
  <c r="E228" i="7"/>
  <c r="M228" i="7"/>
  <c r="U228" i="7"/>
  <c r="L228" i="7"/>
  <c r="Q230" i="7"/>
  <c r="T232" i="7"/>
  <c r="D243" i="7"/>
  <c r="L243" i="7"/>
  <c r="T243" i="7"/>
  <c r="AC243" i="7"/>
  <c r="AK243" i="7"/>
  <c r="AG243" i="7"/>
  <c r="Y252" i="7"/>
  <c r="F6" i="8"/>
  <c r="F83" i="8" s="1"/>
  <c r="G83" i="8"/>
  <c r="G132" i="8" s="1"/>
  <c r="H153" i="8"/>
  <c r="H227" i="8"/>
  <c r="H228" i="8" s="1"/>
  <c r="H229" i="8"/>
  <c r="H230" i="8" s="1"/>
  <c r="H157" i="8"/>
  <c r="H165" i="8" s="1"/>
  <c r="G153" i="8"/>
  <c r="G229" i="8"/>
  <c r="G230" i="8" s="1"/>
  <c r="G227" i="8"/>
  <c r="G228" i="8" s="1"/>
  <c r="G157" i="8"/>
  <c r="G165" i="8" s="1"/>
  <c r="AA146" i="7"/>
  <c r="W224" i="7"/>
  <c r="W226" i="7"/>
  <c r="D228" i="7"/>
  <c r="W228" i="7"/>
  <c r="H230" i="7"/>
  <c r="K232" i="7"/>
  <c r="G234" i="7"/>
  <c r="O234" i="7"/>
  <c r="W234" i="7"/>
  <c r="I234" i="7"/>
  <c r="I249" i="7"/>
  <c r="O252" i="7"/>
  <c r="H132" i="8"/>
  <c r="I227" i="8"/>
  <c r="I228" i="8" s="1"/>
  <c r="I153" i="8"/>
  <c r="I229" i="8"/>
  <c r="I230" i="8" s="1"/>
  <c r="I157" i="8"/>
  <c r="I165" i="8" s="1"/>
  <c r="X193" i="8"/>
  <c r="AM135" i="7"/>
  <c r="X226" i="7"/>
  <c r="X228" i="7"/>
  <c r="G230" i="7"/>
  <c r="O230" i="7"/>
  <c r="W230" i="7"/>
  <c r="L232" i="7"/>
  <c r="W232" i="7"/>
  <c r="AJ243" i="7"/>
  <c r="X249" i="7"/>
  <c r="C252" i="7"/>
  <c r="P252" i="7"/>
  <c r="A303" i="7"/>
  <c r="A321" i="7" s="1"/>
  <c r="A294" i="7"/>
  <c r="A312" i="7" s="1"/>
  <c r="C83" i="8"/>
  <c r="C132" i="8" s="1"/>
  <c r="I132" i="8"/>
  <c r="Q193" i="8"/>
  <c r="AJ154" i="7"/>
  <c r="AJ224" i="7"/>
  <c r="Y226" i="7"/>
  <c r="Y228" i="7"/>
  <c r="X232" i="7"/>
  <c r="C249" i="7"/>
  <c r="K249" i="7"/>
  <c r="S249" i="7"/>
  <c r="AB249" i="7"/>
  <c r="AJ249" i="7"/>
  <c r="AG146" i="8"/>
  <c r="O165" i="8"/>
  <c r="W165" i="8"/>
  <c r="K175" i="8"/>
  <c r="V165" i="8"/>
  <c r="G224" i="8"/>
  <c r="W224" i="8"/>
  <c r="AC225" i="8"/>
  <c r="AC226" i="8" s="1"/>
  <c r="Y226" i="8"/>
  <c r="F227" i="8"/>
  <c r="F228" i="8" s="1"/>
  <c r="P228" i="8"/>
  <c r="X228" i="8"/>
  <c r="AG228" i="8"/>
  <c r="Y228" i="8"/>
  <c r="F229" i="8"/>
  <c r="F230" i="8" s="1"/>
  <c r="S230" i="8"/>
  <c r="G232" i="8"/>
  <c r="W232" i="8"/>
  <c r="Y234" i="8"/>
  <c r="H243" i="8"/>
  <c r="X243" i="8"/>
  <c r="C249" i="8"/>
  <c r="U249" i="8"/>
  <c r="X252" i="8"/>
  <c r="C83" i="9"/>
  <c r="H132" i="9"/>
  <c r="A292" i="7"/>
  <c r="A310" i="7" s="1"/>
  <c r="A305" i="7"/>
  <c r="A323" i="7" s="1"/>
  <c r="AH146" i="8"/>
  <c r="C227" i="8"/>
  <c r="C228" i="8" s="1"/>
  <c r="C229" i="8"/>
  <c r="C230" i="8" s="1"/>
  <c r="C157" i="8"/>
  <c r="C165" i="8" s="1"/>
  <c r="M183" i="8"/>
  <c r="M165" i="8"/>
  <c r="U183" i="8"/>
  <c r="U165" i="8"/>
  <c r="L165" i="8"/>
  <c r="I224" i="8"/>
  <c r="Q224" i="8"/>
  <c r="Y224" i="8"/>
  <c r="AH224" i="8"/>
  <c r="J226" i="8"/>
  <c r="J228" i="8"/>
  <c r="AA228" i="8"/>
  <c r="O230" i="8"/>
  <c r="W230" i="8"/>
  <c r="I232" i="8"/>
  <c r="Q232" i="8"/>
  <c r="Y232" i="8"/>
  <c r="AH232" i="8"/>
  <c r="AH252" i="8"/>
  <c r="J252" i="8"/>
  <c r="AI146" i="8"/>
  <c r="E229" i="8"/>
  <c r="E230" i="8" s="1"/>
  <c r="E157" i="8"/>
  <c r="E165" i="8" s="1"/>
  <c r="N165" i="8"/>
  <c r="I249" i="8"/>
  <c r="I243" i="8"/>
  <c r="Q249" i="8"/>
  <c r="Q243" i="8"/>
  <c r="AK146" i="8"/>
  <c r="C224" i="8"/>
  <c r="K224" i="8"/>
  <c r="S224" i="8"/>
  <c r="AB224" i="8"/>
  <c r="AJ224" i="8"/>
  <c r="AJ225" i="8"/>
  <c r="AJ226" i="8" s="1"/>
  <c r="P226" i="8"/>
  <c r="Q230" i="8"/>
  <c r="Y230" i="8"/>
  <c r="C232" i="8"/>
  <c r="K232" i="8"/>
  <c r="S232" i="8"/>
  <c r="AB232" i="8"/>
  <c r="AJ232" i="8"/>
  <c r="K234" i="8"/>
  <c r="S234" i="8"/>
  <c r="AB234" i="8"/>
  <c r="AJ234" i="8"/>
  <c r="AG234" i="8"/>
  <c r="Y249" i="8"/>
  <c r="C252" i="8"/>
  <c r="K252" i="8"/>
  <c r="Q252" i="8"/>
  <c r="AA146" i="8"/>
  <c r="AM146" i="8" s="1"/>
  <c r="E153" i="8"/>
  <c r="Q226" i="8"/>
  <c r="Q228" i="8"/>
  <c r="AH228" i="8"/>
  <c r="K230" i="8"/>
  <c r="Q234" i="8"/>
  <c r="AH234" i="8"/>
  <c r="AM149" i="8"/>
  <c r="F153" i="8"/>
  <c r="R226" i="8"/>
  <c r="R228" i="8"/>
  <c r="AI228" i="8"/>
  <c r="J249" i="8"/>
  <c r="J248" i="8"/>
  <c r="R249" i="8"/>
  <c r="R248" i="8"/>
  <c r="AA249" i="8"/>
  <c r="AM139" i="8"/>
  <c r="D150" i="8"/>
  <c r="AE146" i="8"/>
  <c r="G226" i="8"/>
  <c r="W226" i="8"/>
  <c r="S228" i="8"/>
  <c r="AJ228" i="8"/>
  <c r="K248" i="8"/>
  <c r="K249" i="8"/>
  <c r="S248" i="8"/>
  <c r="S249" i="8"/>
  <c r="AB249" i="8"/>
  <c r="AJ249" i="8"/>
  <c r="AH249" i="8"/>
  <c r="I83" i="9"/>
  <c r="I132" i="9" s="1"/>
  <c r="H206" i="8"/>
  <c r="P206" i="8"/>
  <c r="X206" i="8"/>
  <c r="AG206" i="8"/>
  <c r="C226" i="8"/>
  <c r="K226" i="8"/>
  <c r="S226" i="8"/>
  <c r="AB225" i="8"/>
  <c r="AB226" i="8" s="1"/>
  <c r="H226" i="8"/>
  <c r="X226" i="8"/>
  <c r="E227" i="8"/>
  <c r="E228" i="8" s="1"/>
  <c r="O228" i="8"/>
  <c r="W228" i="8"/>
  <c r="AF228" i="8"/>
  <c r="T249" i="8"/>
  <c r="T248" i="8"/>
  <c r="AA252" i="8"/>
  <c r="E83" i="9"/>
  <c r="E132" i="9" s="1"/>
  <c r="AE227" i="9"/>
  <c r="AE228" i="9" s="1"/>
  <c r="AE229" i="9"/>
  <c r="AE230" i="9" s="1"/>
  <c r="AE154" i="9"/>
  <c r="A293" i="8"/>
  <c r="A311" i="8" s="1"/>
  <c r="F83" i="9"/>
  <c r="AF229" i="9"/>
  <c r="AF230" i="9" s="1"/>
  <c r="AF154" i="9"/>
  <c r="AF227" i="9"/>
  <c r="AF228" i="9" s="1"/>
  <c r="G46" i="9"/>
  <c r="D132" i="9"/>
  <c r="X132" i="9"/>
  <c r="AG229" i="9"/>
  <c r="AG230" i="9" s="1"/>
  <c r="AG154" i="9"/>
  <c r="AG227" i="9"/>
  <c r="AG228" i="9" s="1"/>
  <c r="Q194" i="9"/>
  <c r="Q196" i="9" s="1"/>
  <c r="P197" i="9"/>
  <c r="C132" i="9"/>
  <c r="C227" i="9"/>
  <c r="C228" i="9" s="1"/>
  <c r="C229" i="9"/>
  <c r="C230" i="9" s="1"/>
  <c r="C157" i="9"/>
  <c r="C165" i="9" s="1"/>
  <c r="C175" i="9" s="1"/>
  <c r="C193" i="9" s="1"/>
  <c r="C153" i="9"/>
  <c r="AH154" i="9"/>
  <c r="AH227" i="9"/>
  <c r="AH228" i="9" s="1"/>
  <c r="AH229" i="9"/>
  <c r="AH230" i="9" s="1"/>
  <c r="F132" i="9"/>
  <c r="D227" i="9"/>
  <c r="D228" i="9" s="1"/>
  <c r="D229" i="9"/>
  <c r="D230" i="9" s="1"/>
  <c r="D157" i="9"/>
  <c r="D165" i="9" s="1"/>
  <c r="D175" i="9" s="1"/>
  <c r="D193" i="9" s="1"/>
  <c r="D153" i="9"/>
  <c r="D233" i="9" s="1"/>
  <c r="D234" i="9" s="1"/>
  <c r="AI154" i="9"/>
  <c r="AI227" i="9"/>
  <c r="AI228" i="9" s="1"/>
  <c r="AI229" i="9"/>
  <c r="AI230" i="9" s="1"/>
  <c r="X6" i="9"/>
  <c r="X83" i="9"/>
  <c r="X229" i="9"/>
  <c r="X230" i="9" s="1"/>
  <c r="X157" i="9"/>
  <c r="X165" i="9" s="1"/>
  <c r="X153" i="9"/>
  <c r="X227" i="9"/>
  <c r="X228" i="9" s="1"/>
  <c r="AL227" i="9"/>
  <c r="AL228" i="9" s="1"/>
  <c r="AL229" i="9"/>
  <c r="AL230" i="9" s="1"/>
  <c r="AL154" i="9"/>
  <c r="H249" i="8"/>
  <c r="P249" i="8"/>
  <c r="X249" i="8"/>
  <c r="AG249" i="8"/>
  <c r="G252" i="8"/>
  <c r="O252" i="8"/>
  <c r="W252" i="8"/>
  <c r="AF252" i="8"/>
  <c r="AA154" i="9"/>
  <c r="AA227" i="9"/>
  <c r="AA228" i="9" s="1"/>
  <c r="AA229" i="9"/>
  <c r="AA230" i="9" s="1"/>
  <c r="AD227" i="9"/>
  <c r="AD228" i="9" s="1"/>
  <c r="AD229" i="9"/>
  <c r="AD230" i="9" s="1"/>
  <c r="AD154" i="9"/>
  <c r="AM139" i="9"/>
  <c r="H224" i="9"/>
  <c r="P224" i="9"/>
  <c r="X224" i="9"/>
  <c r="AG224" i="9"/>
  <c r="J226" i="9"/>
  <c r="R226" i="9"/>
  <c r="J234" i="9"/>
  <c r="R234" i="9"/>
  <c r="AA234" i="9"/>
  <c r="AI234" i="9"/>
  <c r="I252" i="9"/>
  <c r="Q252" i="9"/>
  <c r="Y252" i="9"/>
  <c r="AH252" i="9"/>
  <c r="C226" i="9"/>
  <c r="K226" i="9"/>
  <c r="S226" i="9"/>
  <c r="I232" i="9"/>
  <c r="Q232" i="9"/>
  <c r="Y232" i="9"/>
  <c r="AH232" i="9"/>
  <c r="K234" i="9"/>
  <c r="S234" i="9"/>
  <c r="AB234" i="9"/>
  <c r="AJ234" i="9"/>
  <c r="I243" i="9"/>
  <c r="Q243" i="9"/>
  <c r="Y243" i="9"/>
  <c r="AH243" i="9"/>
  <c r="A296" i="9"/>
  <c r="A314" i="9" s="1"/>
  <c r="A301" i="9"/>
  <c r="A319" i="9" s="1"/>
  <c r="AB146" i="9"/>
  <c r="AJ146" i="9"/>
  <c r="AJ150" i="9" s="1"/>
  <c r="A303" i="9"/>
  <c r="A321" i="9" s="1"/>
  <c r="AC146" i="9"/>
  <c r="AC150" i="9" s="1"/>
  <c r="AK146" i="9"/>
  <c r="AK150" i="9" s="1"/>
  <c r="I226" i="9"/>
  <c r="Q226" i="9"/>
  <c r="Y226" i="9"/>
  <c r="I234" i="9"/>
  <c r="Q234" i="9"/>
  <c r="Y234" i="9"/>
  <c r="AH234" i="9"/>
  <c r="F83" i="2" l="1"/>
  <c r="F132" i="2" s="1"/>
  <c r="F83" i="3"/>
  <c r="F132" i="3" s="1"/>
  <c r="F132" i="8"/>
  <c r="T33" i="1"/>
  <c r="AM146" i="9"/>
  <c r="AB150" i="9"/>
  <c r="U175" i="8"/>
  <c r="U165" i="3"/>
  <c r="U165" i="2"/>
  <c r="AC153" i="6"/>
  <c r="AC227" i="6"/>
  <c r="AC228" i="6" s="1"/>
  <c r="AC154" i="6"/>
  <c r="AC229" i="6"/>
  <c r="AC230" i="6" s="1"/>
  <c r="T308" i="2"/>
  <c r="T307" i="2"/>
  <c r="T334" i="2"/>
  <c r="T306" i="2"/>
  <c r="X6" i="3"/>
  <c r="X6" i="2"/>
  <c r="W175" i="8"/>
  <c r="W165" i="2"/>
  <c r="W165" i="3"/>
  <c r="AM150" i="6"/>
  <c r="T321" i="2"/>
  <c r="T302" i="2"/>
  <c r="N324" i="3"/>
  <c r="N319" i="3"/>
  <c r="N322" i="3"/>
  <c r="W306" i="3"/>
  <c r="T319" i="2"/>
  <c r="AO137" i="3"/>
  <c r="AP137" i="3" s="1"/>
  <c r="G38" i="9"/>
  <c r="G46" i="2"/>
  <c r="G46" i="3"/>
  <c r="M175" i="8"/>
  <c r="M165" i="2"/>
  <c r="M165" i="3"/>
  <c r="O175" i="8"/>
  <c r="O165" i="2"/>
  <c r="O165" i="3"/>
  <c r="I233" i="8"/>
  <c r="I234" i="8" s="1"/>
  <c r="I153" i="3"/>
  <c r="I233" i="3" s="1"/>
  <c r="I234" i="3" s="1"/>
  <c r="I153" i="2"/>
  <c r="I233" i="2" s="1"/>
  <c r="I234" i="2" s="1"/>
  <c r="G175" i="8"/>
  <c r="G165" i="3"/>
  <c r="G165" i="2"/>
  <c r="Y239" i="3"/>
  <c r="Y239" i="2"/>
  <c r="S209" i="2"/>
  <c r="S209" i="3"/>
  <c r="AB154" i="6"/>
  <c r="AA150" i="5"/>
  <c r="AM146" i="5"/>
  <c r="V209" i="2"/>
  <c r="V209" i="3"/>
  <c r="AI154" i="6"/>
  <c r="W248" i="2"/>
  <c r="W248" i="3"/>
  <c r="AH154" i="6"/>
  <c r="G311" i="3"/>
  <c r="G311" i="2"/>
  <c r="D194" i="3"/>
  <c r="D194" i="2"/>
  <c r="E334" i="3"/>
  <c r="E308" i="3"/>
  <c r="E307" i="3"/>
  <c r="E301" i="3"/>
  <c r="AI233" i="4"/>
  <c r="AI234" i="4" s="1"/>
  <c r="AI154" i="2"/>
  <c r="Q320" i="3"/>
  <c r="K302" i="3"/>
  <c r="P305" i="3"/>
  <c r="T318" i="2"/>
  <c r="T320" i="3"/>
  <c r="X324" i="2"/>
  <c r="X321" i="2"/>
  <c r="X320" i="2"/>
  <c r="X318" i="2"/>
  <c r="L321" i="2"/>
  <c r="E306" i="3"/>
  <c r="C302" i="2"/>
  <c r="N320" i="3"/>
  <c r="C301" i="2"/>
  <c r="L308" i="2"/>
  <c r="L305" i="2"/>
  <c r="L307" i="2"/>
  <c r="L302" i="2"/>
  <c r="L334" i="2"/>
  <c r="S302" i="3"/>
  <c r="Q303" i="2"/>
  <c r="W301" i="3"/>
  <c r="AA149" i="2"/>
  <c r="AM149" i="2" s="1"/>
  <c r="AM147" i="2"/>
  <c r="Y305" i="2"/>
  <c r="R318" i="2"/>
  <c r="E303" i="3"/>
  <c r="M306" i="2"/>
  <c r="AG227" i="7"/>
  <c r="AG228" i="7" s="1"/>
  <c r="AG153" i="7"/>
  <c r="AG233" i="7" s="1"/>
  <c r="AG234" i="7" s="1"/>
  <c r="AG229" i="7"/>
  <c r="AG230" i="7" s="1"/>
  <c r="AG154" i="7"/>
  <c r="AJ233" i="4"/>
  <c r="AJ234" i="4" s="1"/>
  <c r="J307" i="2"/>
  <c r="J308" i="2"/>
  <c r="J306" i="2"/>
  <c r="J305" i="2"/>
  <c r="J334" i="2"/>
  <c r="J302" i="2"/>
  <c r="J248" i="3"/>
  <c r="J248" i="2"/>
  <c r="U184" i="8"/>
  <c r="U183" i="3"/>
  <c r="U183" i="2"/>
  <c r="Q322" i="3"/>
  <c r="Q324" i="3"/>
  <c r="Q319" i="3"/>
  <c r="W302" i="3"/>
  <c r="D83" i="2"/>
  <c r="D132" i="2" s="1"/>
  <c r="D83" i="3"/>
  <c r="D132" i="3" s="1"/>
  <c r="U209" i="2"/>
  <c r="U209" i="3"/>
  <c r="K209" i="2"/>
  <c r="K209" i="3"/>
  <c r="AD154" i="5"/>
  <c r="AE233" i="4"/>
  <c r="AE234" i="4" s="1"/>
  <c r="AF233" i="4"/>
  <c r="AF234" i="4" s="1"/>
  <c r="AF154" i="2"/>
  <c r="AF154" i="3"/>
  <c r="M318" i="3"/>
  <c r="M322" i="3"/>
  <c r="M321" i="3"/>
  <c r="M324" i="3"/>
  <c r="V307" i="3"/>
  <c r="V334" i="3"/>
  <c r="V308" i="3"/>
  <c r="V305" i="3"/>
  <c r="V303" i="3"/>
  <c r="V306" i="3"/>
  <c r="AK139" i="2"/>
  <c r="AK146" i="2" s="1"/>
  <c r="AK150" i="2" s="1"/>
  <c r="AK153" i="2" s="1"/>
  <c r="AK135" i="2"/>
  <c r="X334" i="2"/>
  <c r="X307" i="2"/>
  <c r="X305" i="2"/>
  <c r="X308" i="2"/>
  <c r="Q304" i="3"/>
  <c r="X302" i="2"/>
  <c r="D334" i="2"/>
  <c r="D308" i="2"/>
  <c r="D307" i="2"/>
  <c r="F320" i="2"/>
  <c r="AO142" i="3"/>
  <c r="AP142" i="3" s="1"/>
  <c r="Q306" i="3"/>
  <c r="Y304" i="2"/>
  <c r="K322" i="3"/>
  <c r="M303" i="2"/>
  <c r="O334" i="2"/>
  <c r="O307" i="2"/>
  <c r="O308" i="2"/>
  <c r="S307" i="3"/>
  <c r="S308" i="3"/>
  <c r="S334" i="3"/>
  <c r="S303" i="3"/>
  <c r="AA150" i="7"/>
  <c r="AM146" i="7"/>
  <c r="H334" i="3"/>
  <c r="H308" i="3"/>
  <c r="H307" i="3"/>
  <c r="H303" i="3"/>
  <c r="H306" i="3"/>
  <c r="O305" i="2"/>
  <c r="K307" i="3"/>
  <c r="K334" i="3"/>
  <c r="K305" i="3"/>
  <c r="K306" i="3"/>
  <c r="K308" i="3"/>
  <c r="J301" i="2"/>
  <c r="H302" i="3"/>
  <c r="M184" i="8"/>
  <c r="M183" i="3"/>
  <c r="M183" i="2"/>
  <c r="AK154" i="9"/>
  <c r="AK227" i="9"/>
  <c r="AK228" i="9" s="1"/>
  <c r="AK229" i="9"/>
  <c r="AK230" i="9" s="1"/>
  <c r="X233" i="9"/>
  <c r="X234" i="9" s="1"/>
  <c r="X153" i="3"/>
  <c r="X153" i="2"/>
  <c r="X233" i="2" s="1"/>
  <c r="X234" i="2" s="1"/>
  <c r="R194" i="9"/>
  <c r="R196" i="9" s="1"/>
  <c r="Q197" i="9"/>
  <c r="S248" i="2"/>
  <c r="S248" i="3"/>
  <c r="D229" i="8"/>
  <c r="D230" i="8" s="1"/>
  <c r="D227" i="8"/>
  <c r="D228" i="8" s="1"/>
  <c r="D157" i="8"/>
  <c r="D165" i="8" s="1"/>
  <c r="D153" i="8"/>
  <c r="D150" i="2"/>
  <c r="D150" i="3"/>
  <c r="N175" i="8"/>
  <c r="N165" i="3"/>
  <c r="N165" i="2"/>
  <c r="C175" i="8"/>
  <c r="C165" i="3"/>
  <c r="C165" i="2"/>
  <c r="F6" i="2"/>
  <c r="F6" i="3"/>
  <c r="W184" i="7"/>
  <c r="W183" i="3"/>
  <c r="W183" i="2"/>
  <c r="AL227" i="7"/>
  <c r="AL228" i="7" s="1"/>
  <c r="AL153" i="7"/>
  <c r="AL233" i="7" s="1"/>
  <c r="AL234" i="7" s="1"/>
  <c r="AL229" i="7"/>
  <c r="AL230" i="7" s="1"/>
  <c r="AL154" i="7"/>
  <c r="C209" i="2"/>
  <c r="C209" i="3"/>
  <c r="X223" i="3"/>
  <c r="X223" i="2"/>
  <c r="AA233" i="6"/>
  <c r="AA234" i="6" s="1"/>
  <c r="O248" i="3"/>
  <c r="O248" i="2"/>
  <c r="G209" i="3"/>
  <c r="G209" i="2"/>
  <c r="O223" i="2"/>
  <c r="O223" i="3"/>
  <c r="AD233" i="4"/>
  <c r="AD234" i="4" s="1"/>
  <c r="AB233" i="4"/>
  <c r="AB234" i="4" s="1"/>
  <c r="AB154" i="2"/>
  <c r="AB154" i="3"/>
  <c r="M319" i="3"/>
  <c r="N307" i="3"/>
  <c r="N334" i="3"/>
  <c r="N308" i="3"/>
  <c r="N305" i="3"/>
  <c r="N318" i="3"/>
  <c r="S305" i="3"/>
  <c r="AK150" i="3"/>
  <c r="AK153" i="3" s="1"/>
  <c r="O304" i="2"/>
  <c r="D324" i="3"/>
  <c r="D319" i="3"/>
  <c r="J303" i="2"/>
  <c r="T320" i="2"/>
  <c r="T303" i="2"/>
  <c r="AI139" i="2"/>
  <c r="AI146" i="2" s="1"/>
  <c r="AI150" i="2" s="1"/>
  <c r="AI153" i="2" s="1"/>
  <c r="AI135" i="2"/>
  <c r="T21" i="1"/>
  <c r="K318" i="3"/>
  <c r="AO143" i="3"/>
  <c r="AP143" i="3" s="1"/>
  <c r="Z306" i="3"/>
  <c r="X323" i="2"/>
  <c r="L306" i="2"/>
  <c r="Q303" i="3"/>
  <c r="Y302" i="2"/>
  <c r="K193" i="8"/>
  <c r="K175" i="3"/>
  <c r="K175" i="2"/>
  <c r="W308" i="3"/>
  <c r="W307" i="3"/>
  <c r="W334" i="3"/>
  <c r="H233" i="8"/>
  <c r="H234" i="8" s="1"/>
  <c r="H153" i="3"/>
  <c r="H233" i="3" s="1"/>
  <c r="H234" i="3" s="1"/>
  <c r="H153" i="2"/>
  <c r="H233" i="2" s="1"/>
  <c r="H234" i="2" s="1"/>
  <c r="E83" i="3"/>
  <c r="E132" i="3" s="1"/>
  <c r="E83" i="2"/>
  <c r="E132" i="2" s="1"/>
  <c r="Q321" i="3"/>
  <c r="AC139" i="2"/>
  <c r="AC146" i="2" s="1"/>
  <c r="AC150" i="2" s="1"/>
  <c r="AC153" i="2" s="1"/>
  <c r="AC135" i="2"/>
  <c r="U334" i="3"/>
  <c r="U307" i="3"/>
  <c r="U308" i="3"/>
  <c r="U301" i="3"/>
  <c r="U306" i="3"/>
  <c r="U304" i="3"/>
  <c r="T323" i="2"/>
  <c r="M308" i="2"/>
  <c r="M307" i="2"/>
  <c r="M334" i="2"/>
  <c r="V324" i="2"/>
  <c r="V323" i="2"/>
  <c r="U323" i="3"/>
  <c r="U322" i="3"/>
  <c r="U318" i="3"/>
  <c r="U324" i="3"/>
  <c r="U320" i="3"/>
  <c r="U321" i="3"/>
  <c r="K324" i="3"/>
  <c r="K320" i="3"/>
  <c r="R322" i="2"/>
  <c r="K334" i="2"/>
  <c r="K308" i="2"/>
  <c r="K307" i="2"/>
  <c r="K303" i="2"/>
  <c r="AG135" i="2"/>
  <c r="AG139" i="2"/>
  <c r="AG146" i="2" s="1"/>
  <c r="AG150" i="2" s="1"/>
  <c r="AG153" i="2" s="1"/>
  <c r="AG154" i="2" s="1"/>
  <c r="D303" i="2"/>
  <c r="AO141" i="3"/>
  <c r="AP141" i="3" s="1"/>
  <c r="S322" i="2"/>
  <c r="S324" i="2"/>
  <c r="S321" i="2"/>
  <c r="S323" i="2"/>
  <c r="W304" i="3"/>
  <c r="J318" i="2"/>
  <c r="M302" i="2"/>
  <c r="Y301" i="2"/>
  <c r="J323" i="2"/>
  <c r="X306" i="2"/>
  <c r="L319" i="2"/>
  <c r="X83" i="3"/>
  <c r="X132" i="3" s="1"/>
  <c r="X83" i="2"/>
  <c r="X132" i="2" s="1"/>
  <c r="C83" i="3"/>
  <c r="C132" i="3" s="1"/>
  <c r="C83" i="2"/>
  <c r="C132" i="2" s="1"/>
  <c r="D209" i="2"/>
  <c r="D209" i="3"/>
  <c r="P308" i="3"/>
  <c r="P307" i="3"/>
  <c r="P334" i="3"/>
  <c r="P302" i="3"/>
  <c r="P304" i="3"/>
  <c r="T304" i="2"/>
  <c r="AC154" i="9"/>
  <c r="AC227" i="9"/>
  <c r="AC228" i="9" s="1"/>
  <c r="AC229" i="9"/>
  <c r="AC230" i="9" s="1"/>
  <c r="X175" i="9"/>
  <c r="X165" i="2"/>
  <c r="X165" i="3"/>
  <c r="C233" i="9"/>
  <c r="C234" i="9" s="1"/>
  <c r="C153" i="2"/>
  <c r="C233" i="2" s="1"/>
  <c r="C234" i="2" s="1"/>
  <c r="C153" i="3"/>
  <c r="C233" i="3" s="1"/>
  <c r="C234" i="3" s="1"/>
  <c r="AD227" i="7"/>
  <c r="AD228" i="7" s="1"/>
  <c r="AD229" i="7"/>
  <c r="AD230" i="7" s="1"/>
  <c r="AD153" i="7"/>
  <c r="AD233" i="7" s="1"/>
  <c r="AD234" i="7" s="1"/>
  <c r="AD154" i="7"/>
  <c r="AI229" i="5"/>
  <c r="AI230" i="5" s="1"/>
  <c r="AI227" i="5"/>
  <c r="AI228" i="5" s="1"/>
  <c r="AH154" i="5"/>
  <c r="AH153" i="5"/>
  <c r="AI233" i="5" s="1"/>
  <c r="AI234" i="5" s="1"/>
  <c r="E223" i="2"/>
  <c r="E223" i="3"/>
  <c r="AG233" i="4"/>
  <c r="AG234" i="4" s="1"/>
  <c r="Q193" i="3"/>
  <c r="Q193" i="2"/>
  <c r="Q334" i="3"/>
  <c r="Q308" i="3"/>
  <c r="Q307" i="3"/>
  <c r="T324" i="3"/>
  <c r="T319" i="3"/>
  <c r="T318" i="3"/>
  <c r="T323" i="3"/>
  <c r="K248" i="2"/>
  <c r="K248" i="3"/>
  <c r="F233" i="8"/>
  <c r="F234" i="8" s="1"/>
  <c r="F153" i="3"/>
  <c r="F233" i="3" s="1"/>
  <c r="F234" i="3" s="1"/>
  <c r="F153" i="2"/>
  <c r="F233" i="2" s="1"/>
  <c r="F234" i="2" s="1"/>
  <c r="E233" i="8"/>
  <c r="E234" i="8" s="1"/>
  <c r="E153" i="2"/>
  <c r="E233" i="2" s="1"/>
  <c r="E234" i="2" s="1"/>
  <c r="E153" i="3"/>
  <c r="E233" i="3" s="1"/>
  <c r="E234" i="3" s="1"/>
  <c r="H175" i="8"/>
  <c r="H165" i="3"/>
  <c r="H165" i="2"/>
  <c r="S193" i="3"/>
  <c r="S193" i="2"/>
  <c r="AM146" i="6"/>
  <c r="D248" i="3"/>
  <c r="D248" i="2"/>
  <c r="AK227" i="5"/>
  <c r="AK228" i="5" s="1"/>
  <c r="AK229" i="5"/>
  <c r="AK230" i="5" s="1"/>
  <c r="AJ153" i="5"/>
  <c r="AK233" i="5" s="1"/>
  <c r="AK234" i="5" s="1"/>
  <c r="X209" i="2"/>
  <c r="X209" i="3"/>
  <c r="W209" i="3"/>
  <c r="W209" i="2"/>
  <c r="G248" i="3"/>
  <c r="G248" i="2"/>
  <c r="P209" i="3"/>
  <c r="P209" i="2"/>
  <c r="AF154" i="5"/>
  <c r="AE154" i="4"/>
  <c r="AD154" i="4"/>
  <c r="Z334" i="3"/>
  <c r="Z308" i="3"/>
  <c r="Z307" i="3"/>
  <c r="Z301" i="3"/>
  <c r="AB154" i="4"/>
  <c r="F306" i="3"/>
  <c r="F305" i="3"/>
  <c r="F308" i="3"/>
  <c r="F307" i="3"/>
  <c r="F334" i="3"/>
  <c r="F304" i="3"/>
  <c r="K303" i="3"/>
  <c r="U303" i="3"/>
  <c r="D322" i="3"/>
  <c r="AH233" i="4"/>
  <c r="AH234" i="4" s="1"/>
  <c r="O303" i="2"/>
  <c r="AA139" i="2"/>
  <c r="AM137" i="2"/>
  <c r="AA135" i="2"/>
  <c r="AM135" i="2" s="1"/>
  <c r="F319" i="2"/>
  <c r="F324" i="2"/>
  <c r="F318" i="2"/>
  <c r="T305" i="2"/>
  <c r="N321" i="3"/>
  <c r="U319" i="3"/>
  <c r="C334" i="2"/>
  <c r="C308" i="2"/>
  <c r="C307" i="2"/>
  <c r="AG150" i="3"/>
  <c r="AG153" i="3" s="1"/>
  <c r="AG154" i="3" s="1"/>
  <c r="V318" i="2"/>
  <c r="Z303" i="3"/>
  <c r="X303" i="2"/>
  <c r="O306" i="2"/>
  <c r="P306" i="3"/>
  <c r="S318" i="2"/>
  <c r="M305" i="2"/>
  <c r="AM138" i="2"/>
  <c r="K302" i="2"/>
  <c r="I175" i="8"/>
  <c r="I165" i="3"/>
  <c r="I165" i="2"/>
  <c r="W311" i="3"/>
  <c r="W311" i="2"/>
  <c r="AL233" i="4"/>
  <c r="AL234" i="4" s="1"/>
  <c r="AL154" i="3"/>
  <c r="AL154" i="2"/>
  <c r="Y248" i="2"/>
  <c r="Y248" i="3"/>
  <c r="AJ227" i="5"/>
  <c r="AJ228" i="5" s="1"/>
  <c r="AJ229" i="5"/>
  <c r="AJ230" i="5" s="1"/>
  <c r="AI153" i="5"/>
  <c r="AJ233" i="5" s="1"/>
  <c r="AJ234" i="5" s="1"/>
  <c r="O311" i="3"/>
  <c r="O311" i="2"/>
  <c r="E194" i="4"/>
  <c r="D197" i="4"/>
  <c r="D196" i="3"/>
  <c r="D197" i="3" s="1"/>
  <c r="D196" i="2"/>
  <c r="D197" i="2" s="1"/>
  <c r="E175" i="8"/>
  <c r="E165" i="3"/>
  <c r="E165" i="2"/>
  <c r="G233" i="8"/>
  <c r="G234" i="8" s="1"/>
  <c r="G153" i="2"/>
  <c r="G233" i="2" s="1"/>
  <c r="G234" i="2" s="1"/>
  <c r="G153" i="3"/>
  <c r="G233" i="3" s="1"/>
  <c r="G234" i="3" s="1"/>
  <c r="AH227" i="7"/>
  <c r="AH228" i="7" s="1"/>
  <c r="AH153" i="7"/>
  <c r="AH233" i="7" s="1"/>
  <c r="AH234" i="7" s="1"/>
  <c r="AH229" i="7"/>
  <c r="AH230" i="7" s="1"/>
  <c r="AH154" i="7"/>
  <c r="O209" i="3"/>
  <c r="O209" i="2"/>
  <c r="AJ154" i="9"/>
  <c r="AJ227" i="9"/>
  <c r="AJ228" i="9" s="1"/>
  <c r="AJ229" i="9"/>
  <c r="AJ230" i="9" s="1"/>
  <c r="T248" i="3"/>
  <c r="T248" i="2"/>
  <c r="R248" i="3"/>
  <c r="R248" i="2"/>
  <c r="L175" i="8"/>
  <c r="L165" i="3"/>
  <c r="L165" i="2"/>
  <c r="V175" i="8"/>
  <c r="V165" i="3"/>
  <c r="V165" i="2"/>
  <c r="I83" i="3"/>
  <c r="I132" i="3" s="1"/>
  <c r="I83" i="2"/>
  <c r="I132" i="2" s="1"/>
  <c r="AE229" i="7"/>
  <c r="AE230" i="7" s="1"/>
  <c r="AE227" i="7"/>
  <c r="AE228" i="7" s="1"/>
  <c r="AE153" i="7"/>
  <c r="AE233" i="7" s="1"/>
  <c r="AE234" i="7" s="1"/>
  <c r="AE154" i="7"/>
  <c r="AL154" i="6"/>
  <c r="AK153" i="6"/>
  <c r="AK227" i="6"/>
  <c r="AK228" i="6" s="1"/>
  <c r="AK229" i="6"/>
  <c r="AK230" i="6" s="1"/>
  <c r="N209" i="2"/>
  <c r="N209" i="3"/>
  <c r="M209" i="2"/>
  <c r="M209" i="3"/>
  <c r="AG154" i="6"/>
  <c r="AE154" i="6"/>
  <c r="F209" i="2"/>
  <c r="F209" i="3"/>
  <c r="W83" i="3"/>
  <c r="W132" i="3" s="1"/>
  <c r="W83" i="2"/>
  <c r="W132" i="2" s="1"/>
  <c r="AA150" i="4"/>
  <c r="AM146" i="4"/>
  <c r="P196" i="4"/>
  <c r="P193" i="3"/>
  <c r="P193" i="2"/>
  <c r="Q323" i="3"/>
  <c r="L324" i="2"/>
  <c r="L322" i="2"/>
  <c r="L320" i="2"/>
  <c r="S306" i="3"/>
  <c r="Q302" i="3"/>
  <c r="P303" i="3"/>
  <c r="T321" i="3"/>
  <c r="N303" i="3"/>
  <c r="T322" i="2"/>
  <c r="U302" i="3"/>
  <c r="N302" i="3"/>
  <c r="AM139" i="3"/>
  <c r="AO139" i="3" s="1"/>
  <c r="AP139" i="3" s="1"/>
  <c r="AA146" i="3"/>
  <c r="D305" i="2"/>
  <c r="L324" i="3"/>
  <c r="L323" i="3"/>
  <c r="C324" i="3"/>
  <c r="C322" i="3"/>
  <c r="T301" i="2"/>
  <c r="Z302" i="3"/>
  <c r="Y307" i="2"/>
  <c r="Y308" i="2"/>
  <c r="Y334" i="2"/>
  <c r="Q307" i="2"/>
  <c r="Q334" i="2"/>
  <c r="Q308" i="2"/>
  <c r="Q306" i="2"/>
  <c r="Q305" i="2"/>
  <c r="Q304" i="2"/>
  <c r="H305" i="3"/>
  <c r="F322" i="2"/>
  <c r="K324" i="2"/>
  <c r="K321" i="2"/>
  <c r="K322" i="2"/>
  <c r="K318" i="2"/>
  <c r="O301" i="2"/>
  <c r="W303" i="3"/>
  <c r="AO151" i="3"/>
  <c r="J304" i="2"/>
  <c r="O243" i="3"/>
  <c r="O226" i="3"/>
  <c r="V322" i="2"/>
  <c r="V319" i="2"/>
  <c r="W184" i="3" l="1"/>
  <c r="W184" i="2"/>
  <c r="W193" i="7"/>
  <c r="N193" i="8"/>
  <c r="N175" i="2"/>
  <c r="N175" i="3"/>
  <c r="AE154" i="2"/>
  <c r="G309" i="3"/>
  <c r="AB227" i="5"/>
  <c r="AB228" i="5" s="1"/>
  <c r="AA154" i="5"/>
  <c r="AM150" i="5"/>
  <c r="AB229" i="5"/>
  <c r="AB230" i="5" s="1"/>
  <c r="AA153" i="5"/>
  <c r="G193" i="8"/>
  <c r="G175" i="3"/>
  <c r="G175" i="2"/>
  <c r="AM146" i="3"/>
  <c r="AO146" i="3" s="1"/>
  <c r="AP146" i="3" s="1"/>
  <c r="AA150" i="3"/>
  <c r="O309" i="3"/>
  <c r="O319" i="3" s="1"/>
  <c r="AB154" i="9"/>
  <c r="AB227" i="9"/>
  <c r="AB228" i="9" s="1"/>
  <c r="AB229" i="9"/>
  <c r="AB230" i="9" s="1"/>
  <c r="AM150" i="9"/>
  <c r="AM154" i="9" s="1"/>
  <c r="E193" i="8"/>
  <c r="E175" i="3"/>
  <c r="E175" i="2"/>
  <c r="D229" i="3"/>
  <c r="D230" i="3" s="1"/>
  <c r="D157" i="3"/>
  <c r="D227" i="3"/>
  <c r="D228" i="3" s="1"/>
  <c r="AE154" i="3"/>
  <c r="M193" i="8"/>
  <c r="M175" i="3"/>
  <c r="M175" i="2"/>
  <c r="W193" i="8"/>
  <c r="W175" i="3"/>
  <c r="W175" i="2"/>
  <c r="O193" i="8"/>
  <c r="O175" i="3"/>
  <c r="O175" i="2"/>
  <c r="G309" i="2"/>
  <c r="W309" i="2"/>
  <c r="W319" i="2" s="1"/>
  <c r="AI154" i="5"/>
  <c r="V193" i="8"/>
  <c r="V175" i="2"/>
  <c r="V175" i="3"/>
  <c r="AA146" i="2"/>
  <c r="AM139" i="2"/>
  <c r="X193" i="9"/>
  <c r="X175" i="3"/>
  <c r="X175" i="2"/>
  <c r="D229" i="2"/>
  <c r="D230" i="2" s="1"/>
  <c r="D227" i="2"/>
  <c r="D228" i="2" s="1"/>
  <c r="D157" i="2"/>
  <c r="S194" i="9"/>
  <c r="S196" i="9" s="1"/>
  <c r="R197" i="9"/>
  <c r="AA229" i="7"/>
  <c r="AA230" i="7" s="1"/>
  <c r="AM150" i="7"/>
  <c r="AA227" i="7"/>
  <c r="AA228" i="7" s="1"/>
  <c r="AA153" i="7"/>
  <c r="AA154" i="7" s="1"/>
  <c r="U184" i="3"/>
  <c r="U184" i="2"/>
  <c r="U193" i="8"/>
  <c r="U175" i="3"/>
  <c r="U175" i="2"/>
  <c r="K196" i="8"/>
  <c r="K193" i="3"/>
  <c r="K193" i="2"/>
  <c r="AI154" i="3"/>
  <c r="AA227" i="4"/>
  <c r="AA228" i="4" s="1"/>
  <c r="AA153" i="4"/>
  <c r="AA154" i="4" s="1"/>
  <c r="AA229" i="4"/>
  <c r="AA230" i="4" s="1"/>
  <c r="AM150" i="4"/>
  <c r="W309" i="3"/>
  <c r="AJ154" i="5"/>
  <c r="H193" i="8"/>
  <c r="H175" i="3"/>
  <c r="H175" i="2"/>
  <c r="AD154" i="2"/>
  <c r="D233" i="8"/>
  <c r="D234" i="8" s="1"/>
  <c r="D153" i="2"/>
  <c r="D233" i="2" s="1"/>
  <c r="D234" i="2" s="1"/>
  <c r="D153" i="3"/>
  <c r="D233" i="3" s="1"/>
  <c r="D234" i="3" s="1"/>
  <c r="M184" i="3"/>
  <c r="M184" i="2"/>
  <c r="AJ154" i="2"/>
  <c r="AC233" i="6"/>
  <c r="AC234" i="6" s="1"/>
  <c r="AC154" i="3"/>
  <c r="AC154" i="2"/>
  <c r="AK233" i="6"/>
  <c r="AK234" i="6" s="1"/>
  <c r="AK154" i="2"/>
  <c r="AK154" i="3"/>
  <c r="AK154" i="6"/>
  <c r="E194" i="3"/>
  <c r="E194" i="2"/>
  <c r="E196" i="4"/>
  <c r="I193" i="8"/>
  <c r="I175" i="3"/>
  <c r="I175" i="2"/>
  <c r="AH154" i="3"/>
  <c r="AD154" i="3"/>
  <c r="AM153" i="6"/>
  <c r="AM154" i="6" s="1"/>
  <c r="D175" i="8"/>
  <c r="D165" i="3"/>
  <c r="D165" i="2"/>
  <c r="X233" i="3"/>
  <c r="X234" i="3" s="1"/>
  <c r="AN153" i="3"/>
  <c r="AJ154" i="3"/>
  <c r="G83" i="9"/>
  <c r="G38" i="2"/>
  <c r="G38" i="3"/>
  <c r="P197" i="4"/>
  <c r="Q194" i="4"/>
  <c r="L193" i="8"/>
  <c r="L175" i="2"/>
  <c r="L175" i="3"/>
  <c r="O309" i="2"/>
  <c r="O319" i="2"/>
  <c r="AH154" i="2"/>
  <c r="C193" i="8"/>
  <c r="C175" i="3"/>
  <c r="C175" i="2"/>
  <c r="C193" i="3" l="1"/>
  <c r="C193" i="2"/>
  <c r="E197" i="4"/>
  <c r="F194" i="4"/>
  <c r="E196" i="2"/>
  <c r="E197" i="2" s="1"/>
  <c r="E196" i="3"/>
  <c r="E197" i="3" s="1"/>
  <c r="AB233" i="5"/>
  <c r="AB234" i="5" s="1"/>
  <c r="AM153" i="5"/>
  <c r="AM154" i="5" s="1"/>
  <c r="O196" i="8"/>
  <c r="O193" i="2"/>
  <c r="O193" i="3"/>
  <c r="G193" i="3"/>
  <c r="G193" i="2"/>
  <c r="O321" i="2"/>
  <c r="O320" i="2"/>
  <c r="O318" i="2"/>
  <c r="O323" i="2"/>
  <c r="O324" i="2"/>
  <c r="O322" i="2"/>
  <c r="D193" i="8"/>
  <c r="D175" i="3"/>
  <c r="D175" i="2"/>
  <c r="X193" i="3"/>
  <c r="X193" i="2"/>
  <c r="W324" i="2"/>
  <c r="W323" i="2"/>
  <c r="W320" i="2"/>
  <c r="W322" i="2"/>
  <c r="W318" i="2"/>
  <c r="W321" i="2"/>
  <c r="G324" i="3"/>
  <c r="G321" i="3"/>
  <c r="G323" i="3"/>
  <c r="G320" i="3"/>
  <c r="G318" i="3"/>
  <c r="G322" i="3"/>
  <c r="AM154" i="4"/>
  <c r="U193" i="2"/>
  <c r="U193" i="3"/>
  <c r="G322" i="2"/>
  <c r="G324" i="2"/>
  <c r="G320" i="2"/>
  <c r="G323" i="2"/>
  <c r="G321" i="2"/>
  <c r="G318" i="2"/>
  <c r="O323" i="3"/>
  <c r="O320" i="3"/>
  <c r="O318" i="3"/>
  <c r="O324" i="3"/>
  <c r="O321" i="3"/>
  <c r="O322" i="3"/>
  <c r="N193" i="3"/>
  <c r="N193" i="2"/>
  <c r="Q196" i="4"/>
  <c r="I193" i="3"/>
  <c r="I193" i="2"/>
  <c r="AA233" i="4"/>
  <c r="AA234" i="4" s="1"/>
  <c r="AM153" i="4"/>
  <c r="AA154" i="3"/>
  <c r="G132" i="9"/>
  <c r="G83" i="3"/>
  <c r="G132" i="3" s="1"/>
  <c r="G83" i="2"/>
  <c r="G132" i="2" s="1"/>
  <c r="H193" i="2"/>
  <c r="H193" i="3"/>
  <c r="S197" i="9"/>
  <c r="T194" i="9"/>
  <c r="T196" i="9" s="1"/>
  <c r="AA150" i="2"/>
  <c r="AM146" i="2"/>
  <c r="G319" i="2"/>
  <c r="AA153" i="3"/>
  <c r="AM153" i="3" s="1"/>
  <c r="AO153" i="3" s="1"/>
  <c r="AP153" i="3" s="1"/>
  <c r="AM150" i="3"/>
  <c r="AO150" i="3" s="1"/>
  <c r="AP150" i="3" s="1"/>
  <c r="W196" i="7"/>
  <c r="W197" i="7" s="1"/>
  <c r="W193" i="3"/>
  <c r="W193" i="2"/>
  <c r="W318" i="3"/>
  <c r="W324" i="3"/>
  <c r="W322" i="3"/>
  <c r="W321" i="3"/>
  <c r="W323" i="3"/>
  <c r="W320" i="3"/>
  <c r="V193" i="2"/>
  <c r="V193" i="3"/>
  <c r="L196" i="8"/>
  <c r="L193" i="3"/>
  <c r="L193" i="2"/>
  <c r="E193" i="2"/>
  <c r="E193" i="3"/>
  <c r="W319" i="3"/>
  <c r="AA233" i="7"/>
  <c r="AA234" i="7" s="1"/>
  <c r="AM153" i="7"/>
  <c r="AM154" i="7" s="1"/>
  <c r="M196" i="8"/>
  <c r="M193" i="3"/>
  <c r="M193" i="2"/>
  <c r="G319" i="3"/>
  <c r="AM154" i="3" l="1"/>
  <c r="D193" i="3"/>
  <c r="D193" i="2"/>
  <c r="F194" i="2"/>
  <c r="F194" i="3"/>
  <c r="F196" i="4"/>
  <c r="N194" i="8"/>
  <c r="M197" i="8"/>
  <c r="T197" i="9"/>
  <c r="U194" i="9"/>
  <c r="U196" i="9" s="1"/>
  <c r="Q197" i="4"/>
  <c r="R194" i="4"/>
  <c r="P194" i="8"/>
  <c r="O197" i="8"/>
  <c r="O196" i="3"/>
  <c r="O197" i="3" s="1"/>
  <c r="O196" i="2"/>
  <c r="O197" i="2" s="1"/>
  <c r="AA153" i="2"/>
  <c r="AM150" i="2"/>
  <c r="P196" i="8" l="1"/>
  <c r="P194" i="2"/>
  <c r="P194" i="3"/>
  <c r="F197" i="4"/>
  <c r="G194" i="4"/>
  <c r="F196" i="2"/>
  <c r="F197" i="2" s="1"/>
  <c r="F196" i="3"/>
  <c r="F197" i="3" s="1"/>
  <c r="R196" i="4"/>
  <c r="N196" i="8"/>
  <c r="N194" i="2"/>
  <c r="N194" i="3"/>
  <c r="AM153" i="2"/>
  <c r="AM154" i="2" s="1"/>
  <c r="AA154" i="2"/>
  <c r="V194" i="9"/>
  <c r="V196" i="9" s="1"/>
  <c r="U197" i="9"/>
  <c r="G194" i="3" l="1"/>
  <c r="G194" i="2"/>
  <c r="G196" i="4"/>
  <c r="N197" i="8"/>
  <c r="N196" i="2"/>
  <c r="N197" i="2" s="1"/>
  <c r="N196" i="3"/>
  <c r="N197" i="3" s="1"/>
  <c r="W194" i="9"/>
  <c r="W196" i="9" s="1"/>
  <c r="V197" i="9"/>
  <c r="S194" i="4"/>
  <c r="R197" i="4"/>
  <c r="Q194" i="8"/>
  <c r="P197" i="8"/>
  <c r="P196" i="3"/>
  <c r="P197" i="3" s="1"/>
  <c r="P196" i="2"/>
  <c r="P197" i="2" s="1"/>
  <c r="Q196" i="8" l="1"/>
  <c r="Q194" i="2"/>
  <c r="Q194" i="3"/>
  <c r="G197" i="4"/>
  <c r="H194" i="4"/>
  <c r="G196" i="3"/>
  <c r="G197" i="3" s="1"/>
  <c r="G196" i="2"/>
  <c r="G197" i="2" s="1"/>
  <c r="X194" i="9"/>
  <c r="X196" i="9" s="1"/>
  <c r="X197" i="9" s="1"/>
  <c r="W197" i="9"/>
  <c r="S196" i="4"/>
  <c r="H194" i="3" l="1"/>
  <c r="H194" i="2"/>
  <c r="H196" i="4"/>
  <c r="T194" i="4"/>
  <c r="S197" i="4"/>
  <c r="Q197" i="8"/>
  <c r="R194" i="8"/>
  <c r="Q196" i="2"/>
  <c r="Q197" i="2" s="1"/>
  <c r="Q196" i="3"/>
  <c r="Q197" i="3" s="1"/>
  <c r="H197" i="4" l="1"/>
  <c r="I194" i="4"/>
  <c r="H196" i="3"/>
  <c r="H197" i="3" s="1"/>
  <c r="H196" i="2"/>
  <c r="H197" i="2" s="1"/>
  <c r="T196" i="4"/>
  <c r="R196" i="8"/>
  <c r="R194" i="2"/>
  <c r="R194" i="3"/>
  <c r="U194" i="4" l="1"/>
  <c r="T197" i="4"/>
  <c r="I194" i="3"/>
  <c r="I194" i="2"/>
  <c r="I196" i="4"/>
  <c r="R197" i="8"/>
  <c r="S194" i="8"/>
  <c r="R196" i="3"/>
  <c r="R197" i="3" s="1"/>
  <c r="R196" i="2"/>
  <c r="R197" i="2" s="1"/>
  <c r="I197" i="4" l="1"/>
  <c r="J194" i="4"/>
  <c r="I196" i="3"/>
  <c r="I197" i="3" s="1"/>
  <c r="I196" i="2"/>
  <c r="I197" i="2" s="1"/>
  <c r="S196" i="8"/>
  <c r="S194" i="2"/>
  <c r="S194" i="3"/>
  <c r="U196" i="4"/>
  <c r="T194" i="8" l="1"/>
  <c r="S197" i="8"/>
  <c r="S196" i="3"/>
  <c r="S197" i="3" s="1"/>
  <c r="S196" i="2"/>
  <c r="S197" i="2" s="1"/>
  <c r="V194" i="4"/>
  <c r="U197" i="4"/>
  <c r="J194" i="3"/>
  <c r="J194" i="2"/>
  <c r="J196" i="4"/>
  <c r="V196" i="4" l="1"/>
  <c r="K194" i="4"/>
  <c r="J197" i="4"/>
  <c r="J196" i="3"/>
  <c r="J197" i="3" s="1"/>
  <c r="J196" i="2"/>
  <c r="J197" i="2" s="1"/>
  <c r="T196" i="8"/>
  <c r="T194" i="3"/>
  <c r="T194" i="2"/>
  <c r="K194" i="2" l="1"/>
  <c r="K194" i="3"/>
  <c r="K196" i="4"/>
  <c r="V197" i="4"/>
  <c r="W194" i="4"/>
  <c r="U194" i="8"/>
  <c r="T197" i="8"/>
  <c r="T196" i="3"/>
  <c r="T197" i="3" s="1"/>
  <c r="T196" i="2"/>
  <c r="T197" i="2" s="1"/>
  <c r="W196" i="4" l="1"/>
  <c r="L194" i="4"/>
  <c r="K197" i="4"/>
  <c r="K196" i="3"/>
  <c r="K197" i="3" s="1"/>
  <c r="K196" i="2"/>
  <c r="K197" i="2" s="1"/>
  <c r="U196" i="8"/>
  <c r="U194" i="2"/>
  <c r="U194" i="3"/>
  <c r="L194" i="3" l="1"/>
  <c r="L194" i="2"/>
  <c r="L196" i="4"/>
  <c r="W197" i="4"/>
  <c r="V194" i="8"/>
  <c r="U197" i="8"/>
  <c r="U196" i="3"/>
  <c r="U197" i="3" s="1"/>
  <c r="U196" i="2"/>
  <c r="U197" i="2" s="1"/>
  <c r="V196" i="8" l="1"/>
  <c r="V194" i="2"/>
  <c r="V194" i="3"/>
  <c r="M194" i="4"/>
  <c r="L197" i="4"/>
  <c r="L196" i="2"/>
  <c r="L197" i="2" s="1"/>
  <c r="L196" i="3"/>
  <c r="L197" i="3" s="1"/>
  <c r="M194" i="2" l="1"/>
  <c r="M194" i="3"/>
  <c r="M196" i="4"/>
  <c r="W194" i="8"/>
  <c r="V197" i="8"/>
  <c r="V196" i="3"/>
  <c r="V197" i="3" s="1"/>
  <c r="V196" i="2"/>
  <c r="V197" i="2" s="1"/>
  <c r="W196" i="8" l="1"/>
  <c r="W194" i="3"/>
  <c r="W194" i="2"/>
  <c r="M197" i="4"/>
  <c r="M196" i="3"/>
  <c r="M197" i="3" s="1"/>
  <c r="M196" i="2"/>
  <c r="M197" i="2" s="1"/>
  <c r="X194" i="8" l="1"/>
  <c r="W197" i="8"/>
  <c r="W196" i="3"/>
  <c r="W197" i="3" s="1"/>
  <c r="W196" i="2"/>
  <c r="W197" i="2" s="1"/>
  <c r="X196" i="8" l="1"/>
  <c r="X194" i="3"/>
  <c r="X194" i="2"/>
  <c r="Y194" i="8" l="1"/>
  <c r="X197" i="8"/>
  <c r="X196" i="2"/>
  <c r="X197" i="2" s="1"/>
  <c r="X196" i="3"/>
  <c r="X197" i="3" s="1"/>
  <c r="Y196" i="8" l="1"/>
  <c r="Y194" i="3"/>
  <c r="Y194" i="2"/>
  <c r="Y197" i="8" l="1"/>
  <c r="Y196" i="3"/>
  <c r="Y197" i="3" s="1"/>
  <c r="Y196" i="2"/>
  <c r="Y19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0" authorId="0" shapeId="0" xr:uid="{FF68742D-7B76-477F-9C28-22F62032CE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phí quyết toán thuế 400tr</t>
        </r>
      </text>
    </comment>
    <comment ref="D130" authorId="0" shapeId="0" xr:uid="{A7A64C28-1571-4FBA-A350-EBBF1B59E3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phạt quyết toán thuế 10 năm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0" authorId="0" shapeId="0" xr:uid="{CAF61132-E5B1-4119-8D2B-16DB2088AF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phí quyết toán thuế 400tr</t>
        </r>
      </text>
    </comment>
    <comment ref="D130" authorId="0" shapeId="0" xr:uid="{21AA43DE-286B-439E-8AEE-8C9815C40A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phạt quyết toán thuế 10 năm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3" authorId="0" shapeId="0" xr:uid="{AA23C130-B661-4548-AAB7-2F75F9C4F6BE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M181" authorId="0" shapeId="0" xr:uid="{356317D0-DB63-4E71-954B-7BD217838E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3" authorId="0" shapeId="0" xr:uid="{345D2673-FE22-4910-8059-624BA3FD95E5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M181" authorId="0" shapeId="0" xr:uid="{33A2A533-602B-4F1A-8240-3C21C345048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3" authorId="0" shapeId="0" xr:uid="{B39D1403-0915-4565-8D10-CC55E2B97AFB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M181" authorId="0" shapeId="0" xr:uid="{A67C6EEA-9537-43E5-8A96-8EAEA0EF8A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63" authorId="0" shapeId="0" xr:uid="{70F1E91B-0D4F-451B-9FE4-207FB0D5B8C2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M181" authorId="0" shapeId="0" xr:uid="{67290B3C-B0E5-4317-97FA-8655662474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0" authorId="0" shapeId="0" xr:uid="{DCC26F2E-162D-4156-B069-148C9C58AB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phí quyết toán thuế 400tr</t>
        </r>
      </text>
    </comment>
    <comment ref="D130" authorId="0" shapeId="0" xr:uid="{74236EA8-633B-4EEB-AC5F-7127CD55E5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phạt quyết toán thuế 10 năm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30" authorId="0" shapeId="0" xr:uid="{2817D444-941F-41D7-B186-C22938E73B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phí quyết toán thuế 400tr</t>
        </r>
      </text>
    </comment>
    <comment ref="D130" authorId="0" shapeId="0" xr:uid="{B3ECBF45-D8C2-46FE-8861-DBFA4FF661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phạt quyết toán thuế 10 năm</t>
        </r>
      </text>
    </comment>
  </commentList>
</comments>
</file>

<file path=xl/sharedStrings.xml><?xml version="1.0" encoding="utf-8"?>
<sst xmlns="http://schemas.openxmlformats.org/spreadsheetml/2006/main" count="3567" uniqueCount="380">
  <si>
    <t>TỔNG HỢP GIAO DỊCH DOANH THU, CHI PHÍ NỘI BỘ - KẾ HOẠCH 2026</t>
  </si>
  <si>
    <t>Nhóm Cty</t>
  </si>
  <si>
    <t>STT</t>
  </si>
  <si>
    <t>CÔNG TY BÁN</t>
  </si>
  <si>
    <t>CÔNG TY MUA</t>
  </si>
  <si>
    <t>TK doanh thu của Cty bán (511/515/711)</t>
  </si>
  <si>
    <t>TK chi phí của Cty mua (632/…)</t>
  </si>
  <si>
    <t>Diễn giải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</si>
  <si>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</si>
  <si>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</si>
  <si>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</si>
  <si>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</si>
  <si>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</si>
  <si>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</si>
  <si>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</si>
  <si>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</si>
  <si>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</si>
  <si>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</si>
  <si>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</si>
  <si>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</si>
  <si>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Tổng 2026</t>
  </si>
  <si>
    <t>Holding</t>
  </si>
  <si>
    <t>CTCP DT Group</t>
  </si>
  <si>
    <t>DT Xanh</t>
  </si>
  <si>
    <t>TNHH Nhựa DT</t>
  </si>
  <si>
    <t>Natec, Plenma</t>
  </si>
  <si>
    <t>DTR Tây Ninh</t>
  </si>
  <si>
    <t>Tổng:</t>
  </si>
  <si>
    <t>Recycle</t>
  </si>
  <si>
    <t>PLASCENE</t>
  </si>
  <si>
    <t>Bán hạt nhựa</t>
  </si>
  <si>
    <t>Đại Lộc</t>
  </si>
  <si>
    <t>Bán chai nhựa phế liệu</t>
  </si>
  <si>
    <t>Đồng Lâm</t>
  </si>
  <si>
    <t>Khánh Nga</t>
  </si>
  <si>
    <t>Tân Đại Phát</t>
  </si>
  <si>
    <t>DTR Vĩnh Long</t>
  </si>
  <si>
    <t>Mold</t>
  </si>
  <si>
    <t>MIDA</t>
  </si>
  <si>
    <t>Lãi cho vay</t>
  </si>
  <si>
    <t>DUFO</t>
  </si>
  <si>
    <t>Cho thuê nhà xưởng</t>
  </si>
  <si>
    <t>Bán sản phẩm nhựa</t>
  </si>
  <si>
    <t>MIDA, NATEC, Plenma, Đại Lộc</t>
  </si>
  <si>
    <t>NATEC</t>
  </si>
  <si>
    <t>xxx</t>
  </si>
  <si>
    <t>Bán sản phẩm/gia công khuôn</t>
  </si>
  <si>
    <t>PLENMA</t>
  </si>
  <si>
    <t>DTR+Đồng Lâm+Mida+Plascene</t>
  </si>
  <si>
    <t>632 (khấu hao-&gt; loại trừ theo giá vốn của Plenma)</t>
  </si>
  <si>
    <t>Bán MMTB</t>
  </si>
  <si>
    <t>USA</t>
  </si>
  <si>
    <t>Real Estate</t>
  </si>
  <si>
    <t>Cát Vân</t>
  </si>
  <si>
    <t>Tân Bình</t>
  </si>
  <si>
    <t>Thạnh Phát</t>
  </si>
  <si>
    <t>Service</t>
  </si>
  <si>
    <t>Tân Lợi Phát</t>
  </si>
  <si>
    <t>Cho thuê kho</t>
  </si>
  <si>
    <t>Đà Nẵng</t>
  </si>
  <si>
    <t>Yến Nhất Vương</t>
  </si>
  <si>
    <t>TỔNG:</t>
  </si>
  <si>
    <t>GROUP (CONSOLIDATED TÁI CHẾ &amp; THU MUA)</t>
  </si>
  <si>
    <t>VND</t>
  </si>
  <si>
    <t>PHẦN I-BÁO CÁO TÌNH HÌNH TÀI CHÍNH</t>
  </si>
  <si>
    <t>Index BS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</si>
  <si>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</si>
  <si>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</si>
  <si>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</si>
  <si>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</si>
  <si>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</si>
  <si>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</si>
  <si>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</si>
  <si>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</si>
  <si>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</si>
  <si>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</si>
  <si>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</si>
  <si>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</si>
  <si>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</si>
  <si>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</si>
  <si>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</si>
  <si>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</si>
  <si>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</si>
  <si>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</si>
  <si>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</si>
  <si>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</si>
  <si>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</si>
  <si>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</si>
  <si>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</si>
  <si>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</si>
  <si>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</si>
  <si>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</si>
  <si>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</si>
  <si>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</si>
  <si>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</si>
  <si>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</si>
  <si>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</si>
  <si>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</si>
  <si>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</si>
  <si>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</si>
  <si>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</si>
  <si>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</si>
  <si>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</si>
  <si>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</si>
  <si>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</si>
  <si>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</si>
  <si>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</si>
  <si>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</si>
  <si>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</si>
  <si>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</si>
  <si>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1.Hàng tồn kho</t>
  </si>
  <si>
    <t>2.Dự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</si>
  <si>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</si>
  <si>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</si>
  <si>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</si>
  <si>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</si>
  <si>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</si>
  <si>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</si>
  <si>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</si>
  <si>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</si>
  <si>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</si>
  <si>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</si>
  <si>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B-TÀI SẢN DÀI HẠN</t>
  </si>
  <si>
    <t>I- Các khoản phải thu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</si>
  <si>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</si>
  <si>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</si>
  <si>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</si>
  <si>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</si>
  <si>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</si>
  <si>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</si>
  <si>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II.Tài sản cố định</t>
  </si>
  <si>
    <t>1.Tài sản cố định hữu hình</t>
  </si>
  <si>
    <t>Nguyên giá TSCĐ HH</t>
  </si>
  <si>
    <t>Giá trị hao mòn luỹ kế TSCĐ HH(*)</t>
  </si>
  <si>
    <t>2. Tài sản cố định thuê tài chính</t>
  </si>
  <si>
    <t>Nguyên giá TSCĐ thuê tài chính</t>
  </si>
  <si>
    <t>Giá trị hao mòn luỹ kế TSCĐ thuê tài chính</t>
  </si>
  <si>
    <t>3. Tài sản cố định vô hình</t>
  </si>
  <si>
    <t>Nguyên giá TSCĐ vô hình</t>
  </si>
  <si>
    <t>Giá trị hao mòn luỹ kế TSCĐ vô hình(*)</t>
  </si>
  <si>
    <t>III.Tài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</si>
  <si>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</si>
  <si>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</si>
  <si>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</si>
  <si>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Nguyên giá</t>
  </si>
  <si>
    <t>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</si>
  <si>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</si>
  <si>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</si>
  <si>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</si>
  <si>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</si>
  <si>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Nguyên giá bất động sản đầu tư</t>
  </si>
  <si>
    <t>Giá trị hao mòn luỹ kế BĐSĐT(*)</t>
  </si>
  <si>
    <t>V.Tài sản dở dang dài hạn</t>
  </si>
  <si>
    <t>1.Chi phí sản xuất, kinh doanh dở dang dài hạn</t>
  </si>
  <si>
    <t>2.Chi phí xây dựng cơ bản dở dang</t>
  </si>
  <si>
    <t>VI.Đầu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</si>
  <si>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</si>
  <si>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</si>
  <si>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</si>
  <si>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</si>
  <si>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</si>
  <si>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</si>
  <si>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</si>
  <si>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</si>
  <si>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</si>
  <si>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</si>
  <si>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</si>
  <si>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TÀI SẢN</t>
  </si>
  <si>
    <t>C-NỢ PHẢI TRẢ</t>
  </si>
  <si>
    <t>I.Nợ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</si>
  <si>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</si>
  <si>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</si>
  <si>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</si>
  <si>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</si>
  <si>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</si>
  <si>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</si>
  <si>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</si>
  <si>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</si>
  <si>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</si>
  <si>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</si>
  <si>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</si>
  <si>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</si>
  <si>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</si>
  <si>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</si>
  <si>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</si>
  <si>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</si>
  <si>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</si>
  <si>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</si>
  <si>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</si>
  <si>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</si>
  <si>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</si>
  <si>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</si>
  <si>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</si>
  <si>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</si>
  <si>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</si>
  <si>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</si>
  <si>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</si>
  <si>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</si>
  <si>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</si>
  <si>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</si>
  <si>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D-VỐN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</si>
  <si>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</si>
  <si>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</si>
  <si>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</si>
  <si>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</si>
  <si>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</si>
  <si>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</si>
  <si>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</si>
  <si>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</si>
  <si>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</si>
  <si>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</si>
  <si>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</si>
  <si>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</si>
  <si>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</si>
  <si>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</si>
  <si>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TỔNG NGUỒN VỐN</t>
  </si>
  <si>
    <t>PHẦN II-KẾT QUẢ HOẠT ĐỘNG KINH DOANH</t>
  </si>
  <si>
    <t>Index PL</t>
  </si>
  <si>
    <t>Hợp nhất 2026</t>
  </si>
  <si>
    <t>Sản lượng (Tấn)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</si>
  <si>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</si>
  <si>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</si>
  <si>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</si>
  <si>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</si>
  <si>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</si>
  <si>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</si>
  <si>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</si>
  <si>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</si>
  <si>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</si>
  <si>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</si>
  <si>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</si>
  <si>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</si>
  <si>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</si>
  <si>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</si>
  <si>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</si>
  <si>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</si>
  <si>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</si>
  <si>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</si>
  <si>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</si>
  <si>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Check:</t>
  </si>
  <si>
    <t>PHẦN III- LƯU CHUYỂN TIỀN TỆ</t>
  </si>
  <si>
    <t>Index CF</t>
  </si>
  <si>
    <t>I. Lưu chuyển tiền từ hoạt động kinh doanh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</si>
  <si>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</si>
  <si>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</si>
  <si>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</si>
  <si>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</si>
  <si>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</si>
  <si>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</si>
  <si>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</si>
  <si>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</si>
  <si>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</si>
  <si>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</si>
  <si>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</si>
  <si>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các khoản phải trả ( Không bao gồm lãi vay phải trả, thuế TNDN phải nộp )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</si>
  <si>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</si>
  <si>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</si>
  <si>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</si>
  <si>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</si>
  <si>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</si>
  <si>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</si>
  <si>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kinh doanh</t>
  </si>
  <si>
    <t>II. Lưu chuyển tiền từ hoạt động đầu tư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</si>
  <si>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</si>
  <si>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</si>
  <si>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</si>
  <si>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</si>
  <si>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</si>
  <si>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</si>
  <si>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</si>
  <si>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Lưu chuyển tiền thuần từ hoạt động đầu tư</t>
  </si>
  <si>
    <t>III. Lưu chuyển tiền từ hoạt động tài chính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</si>
  <si>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</si>
  <si>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</si>
  <si>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</si>
  <si>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</si>
  <si>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</si>
  <si>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</si>
  <si>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</si>
  <si>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</si>
  <si>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</si>
  <si>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</si>
  <si>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</si>
  <si>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PHẦN IV: CHI PHÍ THEO YẾU TỐ</t>
  </si>
  <si>
    <t>Index PL Element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</si>
  <si>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</si>
  <si>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</si>
  <si>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</si>
  <si>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</si>
  <si>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</si>
  <si>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</si>
  <si>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</si>
  <si>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</si>
  <si>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</si>
  <si>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</si>
  <si>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</si>
  <si>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</si>
  <si>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</si>
  <si>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</si>
  <si>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</si>
  <si>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</si>
  <si>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</si>
  <si>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</si>
  <si>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</si>
  <si>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</si>
  <si>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</si>
  <si>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</si>
  <si>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</si>
  <si>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</si>
  <si>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</si>
  <si>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</si>
  <si>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</si>
  <si>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</si>
  <si>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Loợi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</si>
  <si>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</si>
  <si>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</si>
  <si>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</si>
  <si>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</si>
  <si>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</si>
  <si>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</si>
  <si>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</si>
  <si>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</si>
  <si>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</si>
  <si>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</si>
  <si>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</si>
  <si>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</si>
  <si>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</si>
  <si>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</si>
  <si>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</si>
  <si>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</si>
  <si>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</si>
  <si>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</si>
  <si>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</si>
  <si>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</si>
  <si>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</si>
  <si>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</si>
  <si>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</si>
  <si>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</si>
  <si>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</si>
  <si>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PHẦN V: CHI TIẾT NỢ VAY NGÂN HÀNG</t>
  </si>
  <si>
    <t>Vay ngắn hạn ngân hàng</t>
  </si>
  <si>
    <t>ACB</t>
  </si>
  <si>
    <t>VietinBank</t>
  </si>
  <si>
    <t>Vietcombank</t>
  </si>
  <si>
    <t>BIDV</t>
  </si>
  <si>
    <t>Standard Chartered</t>
  </si>
  <si>
    <t>VILC</t>
  </si>
  <si>
    <t>IVB</t>
  </si>
  <si>
    <t>Lãi suất vay ngắn hạn (%)</t>
  </si>
  <si>
    <t>Vay trung hạn Ngân hàng</t>
  </si>
  <si>
    <t>Lãi suất vay trung hạn (%)</t>
  </si>
  <si>
    <t>TỔNG DƯ NỢ VAY NGÂN HÀNG</t>
  </si>
  <si>
    <t>Tỷ trọng dư nợ</t>
  </si>
  <si>
    <t>SỐ DƯ NỢ VAY THEO CÔNG TY</t>
  </si>
  <si>
    <t>DAI LOC</t>
  </si>
  <si>
    <t>DTR</t>
  </si>
  <si>
    <t>DTRVL</t>
  </si>
  <si>
    <t>TDP</t>
  </si>
  <si>
    <t>KHANH NGA</t>
  </si>
  <si>
    <t>DONGLAM</t>
  </si>
  <si>
    <t>`CÁC KHOẢN TIỀN GỬI TIẾT KIỆM</t>
  </si>
  <si>
    <t>NỢ VAY THUẦN</t>
  </si>
  <si>
    <t>GROUP (CONBINE TÁI CHẾ &amp; THU MUA)</t>
  </si>
  <si>
    <t>Tổng hợp 2026</t>
  </si>
  <si>
    <t>Tổng hợp 205</t>
  </si>
  <si>
    <t>2026 vs 2025</t>
  </si>
  <si>
    <t>%</t>
  </si>
  <si>
    <t>CTY CP NHỰA TÁI CHẾ DUY TÂN</t>
  </si>
  <si>
    <t>Lợi nhuận trước thuế</t>
  </si>
  <si>
    <t>Index Loan</t>
  </si>
  <si>
    <t>Hạn mức vay ngắn hạn</t>
  </si>
  <si>
    <t>TỔNG SỐ DƯ NỢ VAY NGÂN HÀNG</t>
  </si>
  <si>
    <t>SỐ DƯ TIỀN TẠI CÁC NGÂN HÀNG</t>
  </si>
  <si>
    <t>SỐ DƯ TIỀN GỬI TIẾT KIỆM TẠI CÁC NGÂN HÀNG</t>
  </si>
  <si>
    <t>CÔNG TY TNHH THU MUA PHẾ LIỆU ĐẠI LỘC</t>
  </si>
  <si>
    <t>CÔNG TY TNHH MTV ĐỒNG LÂM</t>
  </si>
  <si>
    <t>CÔNG TY TNHH THU MUA PHẾ LIỆU KHÁNH NGA</t>
  </si>
  <si>
    <t xml:space="preserve">CTY CỔ PHẦN TÁI CHẾ TÂN ĐẠI PHÁT </t>
  </si>
  <si>
    <t/>
  </si>
  <si>
    <t>CTY CỔ PHẦN TÁI CHẾ DUY TÂN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</si>
</sst>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_);\(0\)"/>
    <numFmt numFmtId="167" formatCode="_(* #,##0.0_);_(* \(#,##0.0\);_(* &quot;-&quot;??_);_(@_)"/>
    <numFmt numFmtId="168" formatCode="#,##0;[Red]#,##0"/>
    <numFmt numFmtId="169" formatCode="0.0%"/>
    <numFmt numFmtId="170" formatCode="#,##0,,"/>
  </numFmts>
  <fonts count="95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3"/>
    </font>
    <font>
      <b/>
      <sz val="10"/>
      <color theme="1"/>
      <name val="Arial"/>
      <family val="2"/>
      <charset val="163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Arial"/>
      <family val="2"/>
    </font>
    <font>
      <b/>
      <sz val="11"/>
      <color indexed="12"/>
      <name val="Times New Roman"/>
      <family val="1"/>
    </font>
    <font>
      <sz val="10"/>
      <name val="VNI-Times"/>
    </font>
    <font>
      <b/>
      <sz val="11"/>
      <color rgb="FF0000F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0"/>
      <color theme="1"/>
      <name val="VNI-Times"/>
    </font>
    <font>
      <sz val="11"/>
      <color theme="1"/>
      <name val="Times New Roman"/>
      <family val="1"/>
    </font>
    <font>
      <b/>
      <sz val="11"/>
      <color rgb="FF3333CC"/>
      <name val="Times New Roman"/>
      <family val="1"/>
      <charset val="163"/>
    </font>
    <font>
      <b/>
      <sz val="11"/>
      <color rgb="FF3333CC"/>
      <name val="Times New Roman"/>
      <family val="1"/>
    </font>
    <font>
      <b/>
      <sz val="10"/>
      <color rgb="FF3333CC"/>
      <name val="VNI-Times"/>
    </font>
    <font>
      <sz val="11"/>
      <color rgb="FFFF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0"/>
      <color theme="1"/>
      <name val="VNI-Times"/>
    </font>
    <font>
      <b/>
      <sz val="14"/>
      <color theme="5" tint="-0.249977111117893"/>
      <name val="Times New Roman"/>
      <family val="1"/>
    </font>
    <font>
      <b/>
      <sz val="11"/>
      <color theme="0"/>
      <name val="Arial"/>
      <family val="2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1"/>
      <name val="Times New Roman"/>
      <family val="1"/>
    </font>
    <font>
      <b/>
      <sz val="14"/>
      <color rgb="FFFF0000"/>
      <name val="Times New Roman"/>
      <family val="1"/>
    </font>
    <font>
      <sz val="10"/>
      <name val="Times New Roman"/>
      <family val="1"/>
    </font>
    <font>
      <b/>
      <sz val="11"/>
      <color rgb="FFFF0000"/>
      <name val="Arial"/>
      <family val="2"/>
    </font>
    <font>
      <b/>
      <sz val="10"/>
      <color rgb="FF0000FF"/>
      <name val="Arial"/>
      <family val="2"/>
    </font>
    <font>
      <b/>
      <sz val="11"/>
      <color rgb="FF008000"/>
      <name val="Times New Roman"/>
      <family val="1"/>
      <charset val="163"/>
    </font>
    <font>
      <b/>
      <sz val="10"/>
      <color indexed="17"/>
      <name val="Arial"/>
      <family val="2"/>
    </font>
    <font>
      <b/>
      <sz val="10"/>
      <color rgb="FF008000"/>
      <name val="Arial"/>
      <family val="2"/>
      <charset val="163"/>
    </font>
    <font>
      <b/>
      <sz val="11"/>
      <color rgb="FF0000FF"/>
      <name val="Times New Roman"/>
      <family val="1"/>
      <charset val="163"/>
    </font>
    <font>
      <b/>
      <sz val="10"/>
      <color indexed="12"/>
      <name val="Arial"/>
      <family val="2"/>
    </font>
    <font>
      <b/>
      <sz val="10"/>
      <color rgb="FF0000FF"/>
      <name val="Arial"/>
      <family val="2"/>
      <charset val="163"/>
    </font>
    <font>
      <sz val="10"/>
      <color theme="1"/>
      <name val="Arial"/>
      <family val="2"/>
    </font>
    <font>
      <sz val="11"/>
      <color indexed="8"/>
      <name val="Times New Roman"/>
      <family val="1"/>
    </font>
    <font>
      <b/>
      <sz val="11"/>
      <color indexed="17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0"/>
      <color rgb="FF0000FF"/>
      <name val="Arial"/>
      <family val="2"/>
    </font>
    <font>
      <b/>
      <sz val="11"/>
      <color rgb="FF0000FF"/>
      <name val="Arial"/>
      <family val="2"/>
      <charset val="163"/>
    </font>
    <font>
      <sz val="11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i/>
      <sz val="10"/>
      <color theme="1"/>
      <name val="Arial"/>
      <family val="2"/>
      <charset val="163"/>
    </font>
    <font>
      <b/>
      <sz val="11"/>
      <color rgb="FF0000FF"/>
      <name val="Arial"/>
      <family val="2"/>
    </font>
    <font>
      <b/>
      <u/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FF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Times New Roman"/>
      <family val="1"/>
    </font>
    <font>
      <sz val="10"/>
      <color indexed="12"/>
      <name val="Times New Roman"/>
      <family val="1"/>
    </font>
    <font>
      <sz val="10"/>
      <color rgb="FFFF0000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FF"/>
      <name val="Times New Roman"/>
      <family val="1"/>
      <charset val="163"/>
    </font>
    <font>
      <sz val="10"/>
      <color rgb="FF0000FF"/>
      <name val="Arial"/>
      <family val="2"/>
    </font>
    <font>
      <sz val="10"/>
      <name val="Arial"/>
      <family val="2"/>
      <charset val="163"/>
    </font>
    <font>
      <b/>
      <sz val="11"/>
      <color indexed="12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"/>
      <family val="2"/>
    </font>
    <font>
      <sz val="10"/>
      <color theme="5" tint="-0.249977111117893"/>
      <name val="Arial Nova"/>
      <family val="2"/>
    </font>
    <font>
      <b/>
      <sz val="11"/>
      <color rgb="FF0000FF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2"/>
      <name val="VNI-Times"/>
    </font>
    <font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1"/>
      <color rgb="FFFF0000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i/>
      <sz val="10"/>
      <name val="Times New Roman"/>
      <family val="1"/>
    </font>
    <font>
      <i/>
      <sz val="10"/>
      <name val="VNI-Times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9"/>
      <color rgb="FF0000FF"/>
      <name val="Arial"/>
      <family val="2"/>
      <charset val="163"/>
    </font>
    <font>
      <b/>
      <u/>
      <sz val="9"/>
      <color rgb="FF0000FF"/>
      <name val="Arial"/>
      <family val="2"/>
    </font>
    <font>
      <b/>
      <sz val="10"/>
      <name val="VNI-Times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indexed="8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indexed="64"/>
      </top>
      <bottom style="thin">
        <color rgb="FF00B0F0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/>
    <xf numFmtId="43" fontId="8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44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 indent="1"/>
    </xf>
    <xf numFmtId="0" fontId="0" fillId="2" borderId="0" xfId="0" applyFill="1" applyAlignment="1">
      <alignment vertical="center"/>
    </xf>
    <xf numFmtId="3" fontId="7" fillId="3" borderId="1" xfId="3" applyNumberFormat="1" applyFont="1" applyFill="1" applyBorder="1" applyAlignment="1">
      <alignment horizontal="left" vertical="center" wrapText="1" indent="1"/>
    </xf>
    <xf numFmtId="3" fontId="7" fillId="3" borderId="2" xfId="3" applyNumberFormat="1" applyFont="1" applyFill="1" applyBorder="1" applyAlignment="1">
      <alignment horizontal="left" vertical="center" wrapText="1" indent="1"/>
    </xf>
    <xf numFmtId="165" fontId="9" fillId="4" borderId="2" xfId="4" applyNumberFormat="1" applyFont="1" applyFill="1" applyBorder="1" applyAlignment="1">
      <alignment horizontal="center" vertical="center" wrapText="1"/>
    </xf>
    <xf numFmtId="166" fontId="9" fillId="5" borderId="1" xfId="4" applyNumberFormat="1" applyFont="1" applyFill="1" applyBorder="1" applyAlignment="1">
      <alignment horizontal="center" vertical="center" wrapText="1"/>
    </xf>
    <xf numFmtId="0" fontId="8" fillId="2" borderId="0" xfId="5" applyFill="1" applyAlignment="1">
      <alignment vertical="center"/>
    </xf>
    <xf numFmtId="3" fontId="11" fillId="0" borderId="3" xfId="3" quotePrefix="1" applyNumberFormat="1" applyFont="1" applyBorder="1" applyAlignment="1">
      <alignment horizontal="center" vertical="center" wrapText="1"/>
    </xf>
    <xf numFmtId="3" fontId="11" fillId="0" borderId="3" xfId="3" quotePrefix="1" applyNumberFormat="1" applyFont="1" applyBorder="1" applyAlignment="1">
      <alignment horizontal="left" vertical="center" wrapText="1"/>
    </xf>
    <xf numFmtId="3" fontId="11" fillId="0" borderId="3" xfId="3" quotePrefix="1" applyNumberFormat="1" applyFont="1" applyBorder="1" applyAlignment="1">
      <alignment horizontal="left" vertical="center" wrapText="1" indent="1"/>
    </xf>
    <xf numFmtId="165" fontId="10" fillId="0" borderId="3" xfId="1" applyNumberFormat="1" applyFont="1" applyBorder="1" applyAlignment="1" applyProtection="1">
      <alignment vertical="center" wrapText="1"/>
      <protection locked="0"/>
    </xf>
    <xf numFmtId="0" fontId="12" fillId="2" borderId="0" xfId="5" applyFont="1" applyFill="1" applyAlignment="1">
      <alignment vertical="center"/>
    </xf>
    <xf numFmtId="3" fontId="11" fillId="0" borderId="4" xfId="3" quotePrefix="1" applyNumberFormat="1" applyFont="1" applyBorder="1" applyAlignment="1">
      <alignment horizontal="center" vertical="center" wrapText="1"/>
    </xf>
    <xf numFmtId="3" fontId="11" fillId="0" borderId="4" xfId="3" quotePrefix="1" applyNumberFormat="1" applyFont="1" applyBorder="1" applyAlignment="1">
      <alignment horizontal="left" vertical="center" wrapText="1"/>
    </xf>
    <xf numFmtId="3" fontId="11" fillId="0" borderId="4" xfId="3" quotePrefix="1" applyNumberFormat="1" applyFont="1" applyBorder="1" applyAlignment="1">
      <alignment horizontal="left" vertical="center" wrapText="1" indent="1"/>
    </xf>
    <xf numFmtId="165" fontId="13" fillId="0" borderId="4" xfId="1" applyNumberFormat="1" applyFont="1" applyBorder="1" applyAlignment="1" applyProtection="1">
      <alignment vertical="center" wrapText="1"/>
      <protection locked="0"/>
    </xf>
    <xf numFmtId="165" fontId="10" fillId="0" borderId="4" xfId="1" applyNumberFormat="1" applyFont="1" applyBorder="1" applyAlignment="1" applyProtection="1">
      <alignment vertical="center" wrapText="1"/>
      <protection locked="0"/>
    </xf>
    <xf numFmtId="3" fontId="14" fillId="6" borderId="5" xfId="3" quotePrefix="1" applyNumberFormat="1" applyFont="1" applyFill="1" applyBorder="1" applyAlignment="1">
      <alignment horizontal="center" vertical="center" wrapText="1"/>
    </xf>
    <xf numFmtId="3" fontId="14" fillId="6" borderId="5" xfId="3" quotePrefix="1" applyNumberFormat="1" applyFont="1" applyFill="1" applyBorder="1" applyAlignment="1">
      <alignment horizontal="left" vertical="center" wrapText="1"/>
    </xf>
    <xf numFmtId="3" fontId="14" fillId="6" borderId="5" xfId="3" quotePrefix="1" applyNumberFormat="1" applyFont="1" applyFill="1" applyBorder="1" applyAlignment="1">
      <alignment horizontal="left" vertical="center" wrapText="1" indent="1"/>
    </xf>
    <xf numFmtId="165" fontId="15" fillId="6" borderId="5" xfId="1" applyNumberFormat="1" applyFont="1" applyFill="1" applyBorder="1" applyAlignment="1" applyProtection="1">
      <alignment vertical="center" wrapText="1"/>
      <protection locked="0"/>
    </xf>
    <xf numFmtId="0" fontId="16" fillId="2" borderId="0" xfId="5" applyFont="1" applyFill="1" applyAlignment="1">
      <alignment vertical="center"/>
    </xf>
    <xf numFmtId="165" fontId="13" fillId="0" borderId="3" xfId="1" applyNumberFormat="1" applyFont="1" applyBorder="1" applyAlignment="1" applyProtection="1">
      <alignment vertical="center" wrapText="1"/>
      <protection locked="0"/>
    </xf>
    <xf numFmtId="165" fontId="16" fillId="2" borderId="0" xfId="5" applyNumberFormat="1" applyFont="1" applyFill="1" applyAlignment="1">
      <alignment vertical="center"/>
    </xf>
    <xf numFmtId="3" fontId="17" fillId="2" borderId="3" xfId="3" quotePrefix="1" applyNumberFormat="1" applyFont="1" applyFill="1" applyBorder="1" applyAlignment="1">
      <alignment horizontal="center" vertical="center" wrapText="1"/>
    </xf>
    <xf numFmtId="3" fontId="11" fillId="0" borderId="6" xfId="3" quotePrefix="1" applyNumberFormat="1" applyFont="1" applyBorder="1" applyAlignment="1">
      <alignment horizontal="center" vertical="center" wrapText="1"/>
    </xf>
    <xf numFmtId="3" fontId="11" fillId="0" borderId="6" xfId="3" quotePrefix="1" applyNumberFormat="1" applyFont="1" applyBorder="1" applyAlignment="1">
      <alignment horizontal="left" vertical="center" wrapText="1"/>
    </xf>
    <xf numFmtId="165" fontId="13" fillId="0" borderId="6" xfId="1" applyNumberFormat="1" applyFont="1" applyBorder="1" applyAlignment="1" applyProtection="1">
      <alignment vertical="center" wrapText="1"/>
      <protection locked="0"/>
    </xf>
    <xf numFmtId="165" fontId="10" fillId="0" borderId="6" xfId="1" applyNumberFormat="1" applyFont="1" applyBorder="1" applyAlignment="1" applyProtection="1">
      <alignment vertical="center" wrapText="1"/>
      <protection locked="0"/>
    </xf>
    <xf numFmtId="165" fontId="12" fillId="2" borderId="0" xfId="5" applyNumberFormat="1" applyFont="1" applyFill="1" applyAlignment="1">
      <alignment vertical="center"/>
    </xf>
    <xf numFmtId="3" fontId="18" fillId="6" borderId="7" xfId="3" quotePrefix="1" applyNumberFormat="1" applyFont="1" applyFill="1" applyBorder="1" applyAlignment="1">
      <alignment horizontal="center" vertical="center" wrapText="1"/>
    </xf>
    <xf numFmtId="3" fontId="18" fillId="6" borderId="7" xfId="3" quotePrefix="1" applyNumberFormat="1" applyFont="1" applyFill="1" applyBorder="1" applyAlignment="1">
      <alignment horizontal="left" vertical="center" wrapText="1"/>
    </xf>
    <xf numFmtId="3" fontId="18" fillId="6" borderId="7" xfId="3" quotePrefix="1" applyNumberFormat="1" applyFont="1" applyFill="1" applyBorder="1" applyAlignment="1">
      <alignment horizontal="left" vertical="center" wrapText="1" indent="1"/>
    </xf>
    <xf numFmtId="165" fontId="10" fillId="6" borderId="7" xfId="1" applyNumberFormat="1" applyFont="1" applyFill="1" applyBorder="1" applyAlignment="1" applyProtection="1">
      <alignment vertical="center" wrapText="1"/>
      <protection locked="0"/>
    </xf>
    <xf numFmtId="0" fontId="19" fillId="2" borderId="0" xfId="5" applyFont="1" applyFill="1" applyAlignment="1">
      <alignment vertical="center"/>
    </xf>
    <xf numFmtId="165" fontId="0" fillId="2" borderId="0" xfId="0" applyNumberFormat="1" applyFill="1" applyAlignment="1">
      <alignment vertical="center"/>
    </xf>
    <xf numFmtId="0" fontId="20" fillId="0" borderId="0" xfId="3" applyFont="1" applyAlignment="1">
      <alignment horizontal="left" vertical="center"/>
    </xf>
    <xf numFmtId="0" fontId="21" fillId="0" borderId="8" xfId="3" applyFont="1" applyBorder="1" applyAlignment="1">
      <alignment horizontal="center" vertical="center" wrapText="1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8" fillId="0" borderId="0" xfId="5" applyAlignment="1">
      <alignment vertical="center"/>
    </xf>
    <xf numFmtId="0" fontId="24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 wrapText="1"/>
    </xf>
    <xf numFmtId="37" fontId="23" fillId="0" borderId="0" xfId="3" applyNumberFormat="1" applyFont="1" applyAlignment="1">
      <alignment horizontal="center" vertical="center"/>
    </xf>
    <xf numFmtId="0" fontId="25" fillId="0" borderId="0" xfId="3" applyFont="1" applyAlignment="1">
      <alignment horizontal="left" vertical="center"/>
    </xf>
    <xf numFmtId="0" fontId="23" fillId="5" borderId="0" xfId="3" applyFont="1" applyFill="1" applyAlignment="1">
      <alignment horizontal="center" vertical="center"/>
    </xf>
    <xf numFmtId="0" fontId="26" fillId="0" borderId="0" xfId="3" applyFont="1" applyAlignment="1">
      <alignment vertical="center"/>
    </xf>
    <xf numFmtId="0" fontId="27" fillId="0" borderId="0" xfId="3" applyFont="1" applyAlignment="1">
      <alignment horizontal="center" vertical="center"/>
    </xf>
    <xf numFmtId="0" fontId="7" fillId="3" borderId="9" xfId="3" applyFont="1" applyFill="1" applyBorder="1" applyAlignment="1">
      <alignment horizontal="left" vertical="center" wrapText="1"/>
    </xf>
    <xf numFmtId="0" fontId="28" fillId="7" borderId="9" xfId="3" applyFont="1" applyFill="1" applyBorder="1" applyAlignment="1">
      <alignment horizontal="center" vertical="center" wrapText="1"/>
    </xf>
    <xf numFmtId="0" fontId="9" fillId="7" borderId="9" xfId="3" applyFont="1" applyFill="1" applyBorder="1" applyAlignment="1">
      <alignment horizontal="center" vertical="center" wrapText="1"/>
    </xf>
    <xf numFmtId="0" fontId="9" fillId="7" borderId="10" xfId="3" applyFont="1" applyFill="1" applyBorder="1" applyAlignment="1">
      <alignment horizontal="center" vertical="center" wrapText="1"/>
    </xf>
    <xf numFmtId="0" fontId="9" fillId="7" borderId="7" xfId="3" applyFont="1" applyFill="1" applyBorder="1" applyAlignment="1">
      <alignment horizontal="center" vertical="center" wrapText="1"/>
    </xf>
    <xf numFmtId="0" fontId="29" fillId="0" borderId="9" xfId="3" applyFont="1" applyBorder="1" applyAlignment="1">
      <alignment horizontal="left" vertical="center" wrapText="1"/>
    </xf>
    <xf numFmtId="0" fontId="30" fillId="0" borderId="11" xfId="6" applyNumberFormat="1" applyFont="1" applyFill="1" applyBorder="1" applyAlignment="1" applyProtection="1">
      <alignment horizontal="center" vertical="center" wrapText="1"/>
    </xf>
    <xf numFmtId="165" fontId="31" fillId="0" borderId="9" xfId="6" applyNumberFormat="1" applyFont="1" applyFill="1" applyBorder="1" applyAlignment="1">
      <alignment vertical="center" wrapText="1"/>
    </xf>
    <xf numFmtId="0" fontId="32" fillId="0" borderId="9" xfId="3" applyFont="1" applyBorder="1" applyAlignment="1">
      <alignment horizontal="left" vertical="center" wrapText="1"/>
    </xf>
    <xf numFmtId="0" fontId="33" fillId="0" borderId="11" xfId="6" applyNumberFormat="1" applyFont="1" applyFill="1" applyBorder="1" applyAlignment="1" applyProtection="1">
      <alignment horizontal="center" vertical="center" wrapText="1"/>
    </xf>
    <xf numFmtId="165" fontId="34" fillId="0" borderId="9" xfId="6" applyNumberFormat="1" applyFont="1" applyFill="1" applyBorder="1" applyAlignment="1">
      <alignment vertical="center" wrapText="1"/>
    </xf>
    <xf numFmtId="0" fontId="13" fillId="0" borderId="9" xfId="3" applyFont="1" applyBorder="1" applyAlignment="1">
      <alignment horizontal="left" vertical="center" wrapText="1"/>
    </xf>
    <xf numFmtId="3" fontId="35" fillId="0" borderId="11" xfId="3" applyNumberFormat="1" applyFont="1" applyBorder="1" applyAlignment="1">
      <alignment horizontal="center" vertical="center" wrapText="1"/>
    </xf>
    <xf numFmtId="165" fontId="35" fillId="0" borderId="9" xfId="6" applyNumberFormat="1" applyFont="1" applyFill="1" applyBorder="1" applyAlignment="1">
      <alignment vertical="center" wrapText="1"/>
    </xf>
    <xf numFmtId="3" fontId="33" fillId="0" borderId="11" xfId="3" applyNumberFormat="1" applyFont="1" applyBorder="1" applyAlignment="1">
      <alignment horizontal="center" vertical="center" wrapText="1"/>
    </xf>
    <xf numFmtId="0" fontId="13" fillId="0" borderId="11" xfId="3" applyFont="1" applyBorder="1" applyAlignment="1">
      <alignment horizontal="left" vertical="center" wrapText="1"/>
    </xf>
    <xf numFmtId="0" fontId="36" fillId="0" borderId="9" xfId="3" applyFont="1" applyBorder="1" applyAlignment="1">
      <alignment horizontal="left" vertical="center" wrapText="1"/>
    </xf>
    <xf numFmtId="0" fontId="36" fillId="0" borderId="11" xfId="3" applyFont="1" applyBorder="1" applyAlignment="1">
      <alignment horizontal="left" vertical="center" wrapText="1"/>
    </xf>
    <xf numFmtId="165" fontId="35" fillId="0" borderId="10" xfId="6" applyNumberFormat="1" applyFont="1" applyFill="1" applyBorder="1" applyAlignment="1">
      <alignment vertical="center" wrapText="1"/>
    </xf>
    <xf numFmtId="0" fontId="37" fillId="0" borderId="9" xfId="3" applyFont="1" applyBorder="1" applyAlignment="1">
      <alignment horizontal="left" vertical="center" wrapText="1"/>
    </xf>
    <xf numFmtId="3" fontId="30" fillId="0" borderId="11" xfId="3" applyNumberFormat="1" applyFont="1" applyBorder="1" applyAlignment="1">
      <alignment horizontal="center" vertical="center" wrapText="1"/>
    </xf>
    <xf numFmtId="0" fontId="7" fillId="0" borderId="9" xfId="3" applyFont="1" applyBorder="1" applyAlignment="1">
      <alignment horizontal="left" vertical="center" wrapText="1"/>
    </xf>
    <xf numFmtId="165" fontId="13" fillId="0" borderId="9" xfId="4" applyNumberFormat="1" applyFont="1" applyFill="1" applyBorder="1" applyAlignment="1" applyProtection="1">
      <alignment horizontal="left" vertical="center" wrapText="1"/>
    </xf>
    <xf numFmtId="3" fontId="8" fillId="0" borderId="0" xfId="5" applyNumberFormat="1" applyAlignment="1">
      <alignment vertical="center"/>
    </xf>
    <xf numFmtId="0" fontId="7" fillId="0" borderId="11" xfId="3" applyFont="1" applyBorder="1" applyAlignment="1">
      <alignment horizontal="left" vertical="center" wrapText="1"/>
    </xf>
    <xf numFmtId="0" fontId="9" fillId="0" borderId="11" xfId="3" applyFont="1" applyBorder="1" applyAlignment="1">
      <alignment horizontal="left" vertical="center" wrapText="1"/>
    </xf>
    <xf numFmtId="165" fontId="28" fillId="0" borderId="9" xfId="6" applyNumberFormat="1" applyFont="1" applyFill="1" applyBorder="1" applyAlignment="1">
      <alignment vertical="center" wrapText="1"/>
    </xf>
    <xf numFmtId="0" fontId="38" fillId="0" borderId="0" xfId="5" applyFont="1" applyAlignment="1">
      <alignment vertical="center"/>
    </xf>
    <xf numFmtId="3" fontId="38" fillId="0" borderId="0" xfId="5" applyNumberFormat="1" applyFont="1" applyAlignment="1">
      <alignment vertical="center"/>
    </xf>
    <xf numFmtId="0" fontId="39" fillId="7" borderId="9" xfId="3" applyFont="1" applyFill="1" applyBorder="1" applyAlignment="1">
      <alignment horizontal="center" vertical="center" wrapText="1"/>
    </xf>
    <xf numFmtId="3" fontId="40" fillId="7" borderId="11" xfId="3" applyNumberFormat="1" applyFont="1" applyFill="1" applyBorder="1" applyAlignment="1">
      <alignment horizontal="center" vertical="center" wrapText="1"/>
    </xf>
    <xf numFmtId="3" fontId="41" fillId="7" borderId="11" xfId="3" applyNumberFormat="1" applyFont="1" applyFill="1" applyBorder="1" applyAlignment="1">
      <alignment vertical="center" wrapText="1"/>
    </xf>
    <xf numFmtId="0" fontId="42" fillId="0" borderId="0" xfId="5" applyFont="1" applyAlignment="1">
      <alignment vertical="center"/>
    </xf>
    <xf numFmtId="3" fontId="42" fillId="0" borderId="0" xfId="5" applyNumberFormat="1" applyFont="1" applyAlignment="1">
      <alignment vertical="center"/>
    </xf>
    <xf numFmtId="165" fontId="35" fillId="0" borderId="9" xfId="4" applyNumberFormat="1" applyFont="1" applyFill="1" applyBorder="1" applyAlignment="1">
      <alignment vertical="center" wrapText="1"/>
    </xf>
    <xf numFmtId="0" fontId="43" fillId="0" borderId="9" xfId="3" applyFont="1" applyBorder="1" applyAlignment="1">
      <alignment horizontal="left" vertical="center" wrapText="1"/>
    </xf>
    <xf numFmtId="3" fontId="35" fillId="0" borderId="11" xfId="0" applyNumberFormat="1" applyFont="1" applyBorder="1" applyAlignment="1">
      <alignment horizontal="center" vertical="center" wrapText="1"/>
    </xf>
    <xf numFmtId="165" fontId="1" fillId="0" borderId="9" xfId="4" applyNumberFormat="1" applyFont="1" applyFill="1" applyBorder="1" applyAlignment="1">
      <alignment vertical="center" wrapText="1"/>
    </xf>
    <xf numFmtId="0" fontId="44" fillId="0" borderId="9" xfId="3" applyFont="1" applyBorder="1" applyAlignment="1">
      <alignment horizontal="left" vertical="center" wrapText="1"/>
    </xf>
    <xf numFmtId="165" fontId="45" fillId="0" borderId="9" xfId="6" applyNumberFormat="1" applyFont="1" applyFill="1" applyBorder="1" applyAlignment="1">
      <alignment vertical="center" wrapText="1"/>
    </xf>
    <xf numFmtId="0" fontId="23" fillId="7" borderId="11" xfId="3" applyFont="1" applyFill="1" applyBorder="1" applyAlignment="1">
      <alignment horizontal="center" vertical="center" wrapText="1"/>
    </xf>
    <xf numFmtId="3" fontId="28" fillId="7" borderId="11" xfId="3" applyNumberFormat="1" applyFont="1" applyFill="1" applyBorder="1" applyAlignment="1">
      <alignment horizontal="center" vertical="center" wrapText="1"/>
    </xf>
    <xf numFmtId="3" fontId="46" fillId="7" borderId="11" xfId="3" applyNumberFormat="1" applyFont="1" applyFill="1" applyBorder="1" applyAlignment="1">
      <alignment vertical="center" wrapText="1"/>
    </xf>
    <xf numFmtId="43" fontId="26" fillId="0" borderId="0" xfId="4" applyFont="1" applyBorder="1" applyAlignment="1">
      <alignment horizontal="center" vertical="center" wrapText="1"/>
    </xf>
    <xf numFmtId="43" fontId="6" fillId="0" borderId="0" xfId="4" applyFont="1" applyBorder="1" applyAlignment="1">
      <alignment horizontal="center" vertical="center" wrapText="1"/>
    </xf>
    <xf numFmtId="41" fontId="6" fillId="0" borderId="0" xfId="4" applyNumberFormat="1" applyFont="1" applyBorder="1" applyAlignment="1">
      <alignment horizontal="center" vertical="center" wrapText="1"/>
    </xf>
    <xf numFmtId="0" fontId="8" fillId="0" borderId="0" xfId="5" applyAlignment="1">
      <alignment horizontal="centerContinuous" vertical="center"/>
    </xf>
    <xf numFmtId="3" fontId="8" fillId="0" borderId="0" xfId="5" applyNumberFormat="1" applyAlignment="1">
      <alignment horizontal="centerContinuous" vertical="center"/>
    </xf>
    <xf numFmtId="3" fontId="7" fillId="3" borderId="9" xfId="3" applyNumberFormat="1" applyFont="1" applyFill="1" applyBorder="1" applyAlignment="1">
      <alignment horizontal="left" vertical="center" wrapText="1"/>
    </xf>
    <xf numFmtId="0" fontId="28" fillId="7" borderId="10" xfId="4" applyNumberFormat="1" applyFont="1" applyFill="1" applyBorder="1" applyAlignment="1" applyProtection="1">
      <alignment horizontal="center" vertical="center" wrapText="1"/>
    </xf>
    <xf numFmtId="165" fontId="9" fillId="7" borderId="10" xfId="4" applyNumberFormat="1" applyFont="1" applyFill="1" applyBorder="1" applyAlignment="1">
      <alignment horizontal="center" vertical="center" wrapText="1"/>
    </xf>
    <xf numFmtId="165" fontId="9" fillId="4" borderId="10" xfId="4" applyNumberFormat="1" applyFont="1" applyFill="1" applyBorder="1" applyAlignment="1">
      <alignment horizontal="center" vertical="center" wrapText="1"/>
    </xf>
    <xf numFmtId="165" fontId="9" fillId="8" borderId="9" xfId="4" applyNumberFormat="1" applyFont="1" applyFill="1" applyBorder="1" applyAlignment="1">
      <alignment horizontal="center" vertical="center" wrapText="1"/>
    </xf>
    <xf numFmtId="3" fontId="47" fillId="0" borderId="9" xfId="3" applyNumberFormat="1" applyFont="1" applyBorder="1" applyAlignment="1">
      <alignment horizontal="left" vertical="center"/>
    </xf>
    <xf numFmtId="0" fontId="48" fillId="0" borderId="11" xfId="6" applyNumberFormat="1" applyFont="1" applyFill="1" applyBorder="1" applyAlignment="1" applyProtection="1">
      <alignment horizontal="center" vertical="center" wrapText="1"/>
    </xf>
    <xf numFmtId="167" fontId="48" fillId="0" borderId="11" xfId="6" applyNumberFormat="1" applyFont="1" applyFill="1" applyBorder="1" applyAlignment="1">
      <alignment horizontal="right" vertical="center" wrapText="1"/>
    </xf>
    <xf numFmtId="0" fontId="26" fillId="0" borderId="0" xfId="5" applyFont="1" applyAlignment="1">
      <alignment vertical="center"/>
    </xf>
    <xf numFmtId="3" fontId="49" fillId="0" borderId="9" xfId="3" applyNumberFormat="1" applyFont="1" applyBorder="1" applyAlignment="1">
      <alignment horizontal="left" vertical="center"/>
    </xf>
    <xf numFmtId="3" fontId="50" fillId="0" borderId="11" xfId="3" applyNumberFormat="1" applyFont="1" applyBorder="1" applyAlignment="1">
      <alignment horizontal="center" vertical="center" wrapText="1"/>
    </xf>
    <xf numFmtId="165" fontId="49" fillId="0" borderId="9" xfId="6" applyNumberFormat="1" applyFont="1" applyFill="1" applyBorder="1" applyAlignment="1">
      <alignment vertical="center" wrapText="1"/>
    </xf>
    <xf numFmtId="3" fontId="49" fillId="9" borderId="11" xfId="0" applyNumberFormat="1" applyFont="1" applyFill="1" applyBorder="1" applyAlignment="1" applyProtection="1">
      <alignment vertical="center" wrapText="1"/>
      <protection locked="0"/>
    </xf>
    <xf numFmtId="0" fontId="51" fillId="0" borderId="0" xfId="5" applyFont="1" applyAlignment="1">
      <alignment vertical="center"/>
    </xf>
    <xf numFmtId="3" fontId="52" fillId="0" borderId="9" xfId="3" applyNumberFormat="1" applyFont="1" applyBorder="1" applyAlignment="1">
      <alignment horizontal="left" vertical="center"/>
    </xf>
    <xf numFmtId="3" fontId="53" fillId="0" borderId="11" xfId="3" applyNumberFormat="1" applyFont="1" applyBorder="1" applyAlignment="1">
      <alignment horizontal="center" vertical="center" wrapText="1"/>
    </xf>
    <xf numFmtId="165" fontId="53" fillId="0" borderId="9" xfId="6" applyNumberFormat="1" applyFont="1" applyFill="1" applyBorder="1" applyAlignment="1">
      <alignment vertical="center" wrapText="1"/>
    </xf>
    <xf numFmtId="3" fontId="49" fillId="0" borderId="11" xfId="3" applyNumberFormat="1" applyFont="1" applyBorder="1" applyAlignment="1">
      <alignment horizontal="center" vertical="center" wrapText="1"/>
    </xf>
    <xf numFmtId="165" fontId="49" fillId="2" borderId="9" xfId="6" applyNumberFormat="1" applyFont="1" applyFill="1" applyBorder="1" applyAlignment="1">
      <alignment vertical="center" wrapText="1"/>
    </xf>
    <xf numFmtId="3" fontId="53" fillId="0" borderId="9" xfId="3" applyNumberFormat="1" applyFont="1" applyBorder="1" applyAlignment="1">
      <alignment horizontal="center" vertical="center" wrapText="1"/>
    </xf>
    <xf numFmtId="165" fontId="53" fillId="2" borderId="9" xfId="6" applyNumberFormat="1" applyFont="1" applyFill="1" applyBorder="1" applyAlignment="1">
      <alignment vertical="center" wrapText="1"/>
    </xf>
    <xf numFmtId="165" fontId="26" fillId="9" borderId="12" xfId="6" applyNumberFormat="1" applyFont="1" applyFill="1" applyBorder="1" applyAlignment="1" applyProtection="1">
      <alignment horizontal="center" vertical="center" wrapText="1"/>
      <protection locked="0"/>
    </xf>
    <xf numFmtId="3" fontId="50" fillId="0" borderId="11" xfId="0" applyNumberFormat="1" applyFont="1" applyBorder="1" applyAlignment="1">
      <alignment horizontal="center" vertical="center" wrapText="1"/>
    </xf>
    <xf numFmtId="165" fontId="54" fillId="0" borderId="9" xfId="6" applyNumberFormat="1" applyFont="1" applyFill="1" applyBorder="1" applyAlignment="1">
      <alignment vertical="center" wrapText="1"/>
    </xf>
    <xf numFmtId="3" fontId="50" fillId="2" borderId="11" xfId="0" applyNumberFormat="1" applyFont="1" applyFill="1" applyBorder="1" applyAlignment="1" applyProtection="1">
      <alignment vertical="center" wrapText="1"/>
      <protection locked="0"/>
    </xf>
    <xf numFmtId="3" fontId="50" fillId="0" borderId="11" xfId="0" applyNumberFormat="1" applyFont="1" applyBorder="1" applyAlignment="1" applyProtection="1">
      <alignment vertical="center" wrapText="1"/>
      <protection locked="0"/>
    </xf>
    <xf numFmtId="3" fontId="50" fillId="9" borderId="11" xfId="0" applyNumberFormat="1" applyFont="1" applyFill="1" applyBorder="1" applyAlignment="1" applyProtection="1">
      <alignment vertical="center" wrapText="1"/>
      <protection locked="0"/>
    </xf>
    <xf numFmtId="165" fontId="54" fillId="2" borderId="9" xfId="6" applyNumberFormat="1" applyFont="1" applyFill="1" applyBorder="1" applyAlignment="1">
      <alignment vertical="center" wrapText="1"/>
    </xf>
    <xf numFmtId="3" fontId="52" fillId="9" borderId="11" xfId="0" applyNumberFormat="1" applyFont="1" applyFill="1" applyBorder="1" applyAlignment="1" applyProtection="1">
      <alignment vertical="center" wrapText="1"/>
      <protection locked="0"/>
    </xf>
    <xf numFmtId="3" fontId="53" fillId="0" borderId="9" xfId="3" applyNumberFormat="1" applyFont="1" applyBorder="1" applyAlignment="1">
      <alignment horizontal="left" vertical="center"/>
    </xf>
    <xf numFmtId="3" fontId="53" fillId="9" borderId="11" xfId="0" applyNumberFormat="1" applyFont="1" applyFill="1" applyBorder="1" applyAlignment="1" applyProtection="1">
      <alignment vertical="center" wrapText="1"/>
      <protection locked="0"/>
    </xf>
    <xf numFmtId="0" fontId="53" fillId="0" borderId="0" xfId="5" applyFont="1" applyAlignment="1">
      <alignment vertical="center"/>
    </xf>
    <xf numFmtId="3" fontId="52" fillId="9" borderId="11" xfId="3" applyNumberFormat="1" applyFont="1" applyFill="1" applyBorder="1" applyAlignment="1" applyProtection="1">
      <alignment vertical="center" wrapText="1"/>
      <protection locked="0"/>
    </xf>
    <xf numFmtId="3" fontId="49" fillId="2" borderId="11" xfId="0" applyNumberFormat="1" applyFont="1" applyFill="1" applyBorder="1" applyAlignment="1" applyProtection="1">
      <alignment vertical="center" wrapText="1"/>
      <protection locked="0"/>
    </xf>
    <xf numFmtId="3" fontId="49" fillId="0" borderId="11" xfId="0" applyNumberFormat="1" applyFont="1" applyBorder="1" applyAlignment="1" applyProtection="1">
      <alignment vertical="center" wrapText="1"/>
      <protection locked="0"/>
    </xf>
    <xf numFmtId="3" fontId="26" fillId="0" borderId="9" xfId="3" applyNumberFormat="1" applyFont="1" applyBorder="1" applyAlignment="1">
      <alignment horizontal="left" vertical="center"/>
    </xf>
    <xf numFmtId="165" fontId="26" fillId="0" borderId="9" xfId="6" applyNumberFormat="1" applyFont="1" applyFill="1" applyBorder="1" applyAlignment="1">
      <alignment vertical="center" wrapText="1"/>
    </xf>
    <xf numFmtId="165" fontId="26" fillId="2" borderId="9" xfId="6" applyNumberFormat="1" applyFont="1" applyFill="1" applyBorder="1" applyAlignment="1">
      <alignment vertical="center" wrapText="1"/>
    </xf>
    <xf numFmtId="3" fontId="55" fillId="9" borderId="11" xfId="0" applyNumberFormat="1" applyFont="1" applyFill="1" applyBorder="1" applyAlignment="1" applyProtection="1">
      <alignment vertical="center" wrapText="1"/>
      <protection locked="0"/>
    </xf>
    <xf numFmtId="168" fontId="53" fillId="0" borderId="0" xfId="3" applyNumberFormat="1" applyFont="1" applyAlignment="1">
      <alignment horizontal="right" vertical="center" wrapText="1"/>
    </xf>
    <xf numFmtId="9" fontId="35" fillId="0" borderId="0" xfId="7" applyFont="1" applyFill="1" applyBorder="1" applyAlignment="1">
      <alignment horizontal="right" vertical="center" wrapText="1"/>
    </xf>
    <xf numFmtId="165" fontId="35" fillId="0" borderId="0" xfId="6" applyNumberFormat="1" applyFont="1" applyFill="1" applyBorder="1" applyAlignment="1">
      <alignment horizontal="right" vertical="center" wrapText="1"/>
    </xf>
    <xf numFmtId="165" fontId="35" fillId="0" borderId="0" xfId="4" applyNumberFormat="1" applyFont="1" applyFill="1" applyBorder="1" applyAlignment="1">
      <alignment horizontal="right" vertical="center" wrapText="1"/>
    </xf>
    <xf numFmtId="168" fontId="56" fillId="0" borderId="0" xfId="3" applyNumberFormat="1" applyFont="1" applyAlignment="1">
      <alignment horizontal="right" vertical="center" wrapText="1"/>
    </xf>
    <xf numFmtId="165" fontId="8" fillId="0" borderId="0" xfId="5" applyNumberFormat="1" applyAlignment="1">
      <alignment vertical="center"/>
    </xf>
    <xf numFmtId="0" fontId="33" fillId="3" borderId="11" xfId="3" applyFont="1" applyFill="1" applyBorder="1" applyAlignment="1">
      <alignment horizontal="center" vertical="center" wrapText="1"/>
    </xf>
    <xf numFmtId="0" fontId="32" fillId="0" borderId="9" xfId="3" applyFont="1" applyBorder="1" applyAlignment="1">
      <alignment vertical="center"/>
    </xf>
    <xf numFmtId="0" fontId="28" fillId="0" borderId="11" xfId="3" applyFont="1" applyBorder="1" applyAlignment="1">
      <alignment horizontal="center" vertical="center"/>
    </xf>
    <xf numFmtId="165" fontId="57" fillId="0" borderId="9" xfId="6" applyNumberFormat="1" applyFont="1" applyFill="1" applyBorder="1" applyAlignment="1">
      <alignment vertical="center" wrapText="1"/>
    </xf>
    <xf numFmtId="165" fontId="57" fillId="0" borderId="10" xfId="6" applyNumberFormat="1" applyFont="1" applyFill="1" applyBorder="1" applyAlignment="1">
      <alignment vertical="center" wrapText="1"/>
    </xf>
    <xf numFmtId="0" fontId="58" fillId="0" borderId="9" xfId="3" applyFont="1" applyBorder="1" applyAlignment="1">
      <alignment vertical="center"/>
    </xf>
    <xf numFmtId="0" fontId="59" fillId="0" borderId="11" xfId="3" applyFont="1" applyBorder="1" applyAlignment="1">
      <alignment horizontal="center" vertical="center"/>
    </xf>
    <xf numFmtId="165" fontId="2" fillId="0" borderId="9" xfId="6" applyNumberFormat="1" applyFont="1" applyFill="1" applyBorder="1" applyAlignment="1">
      <alignment vertical="center" wrapText="1"/>
    </xf>
    <xf numFmtId="165" fontId="2" fillId="0" borderId="10" xfId="6" applyNumberFormat="1" applyFont="1" applyFill="1" applyBorder="1" applyAlignment="1">
      <alignment vertical="center" wrapText="1"/>
    </xf>
    <xf numFmtId="0" fontId="24" fillId="0" borderId="9" xfId="3" quotePrefix="1" applyFont="1" applyBorder="1" applyAlignment="1">
      <alignment horizontal="left" vertical="center"/>
    </xf>
    <xf numFmtId="0" fontId="6" fillId="0" borderId="11" xfId="3" quotePrefix="1" applyBorder="1" applyAlignment="1">
      <alignment horizontal="center" vertical="center"/>
    </xf>
    <xf numFmtId="165" fontId="35" fillId="0" borderId="1" xfId="6" applyNumberFormat="1" applyFont="1" applyFill="1" applyBorder="1" applyAlignment="1">
      <alignment vertical="center" wrapText="1"/>
    </xf>
    <xf numFmtId="0" fontId="32" fillId="0" borderId="9" xfId="3" quotePrefix="1" applyFont="1" applyBorder="1" applyAlignment="1">
      <alignment horizontal="left" vertical="center"/>
    </xf>
    <xf numFmtId="0" fontId="28" fillId="0" borderId="11" xfId="3" quotePrefix="1" applyFont="1" applyBorder="1" applyAlignment="1">
      <alignment horizontal="center" vertical="center"/>
    </xf>
    <xf numFmtId="0" fontId="36" fillId="0" borderId="9" xfId="3" quotePrefix="1" applyFont="1" applyBorder="1" applyAlignment="1">
      <alignment horizontal="left" vertical="center"/>
    </xf>
    <xf numFmtId="0" fontId="60" fillId="0" borderId="11" xfId="3" quotePrefix="1" applyFont="1" applyBorder="1" applyAlignment="1">
      <alignment horizontal="center" vertical="center"/>
    </xf>
    <xf numFmtId="0" fontId="36" fillId="0" borderId="9" xfId="3" quotePrefix="1" applyFont="1" applyBorder="1" applyAlignment="1">
      <alignment horizontal="left" vertical="center" wrapText="1"/>
    </xf>
    <xf numFmtId="0" fontId="60" fillId="0" borderId="11" xfId="3" quotePrefix="1" applyFont="1" applyBorder="1" applyAlignment="1">
      <alignment horizontal="center" vertical="center" wrapText="1"/>
    </xf>
    <xf numFmtId="0" fontId="32" fillId="0" borderId="9" xfId="3" applyFont="1" applyBorder="1" applyAlignment="1">
      <alignment horizontal="left" vertical="center"/>
    </xf>
    <xf numFmtId="165" fontId="57" fillId="0" borderId="13" xfId="6" applyNumberFormat="1" applyFont="1" applyFill="1" applyBorder="1" applyAlignment="1">
      <alignment vertical="center" wrapText="1"/>
    </xf>
    <xf numFmtId="0" fontId="24" fillId="0" borderId="9" xfId="3" applyFont="1" applyBorder="1" applyAlignment="1">
      <alignment horizontal="left" vertical="center"/>
    </xf>
    <xf numFmtId="0" fontId="6" fillId="0" borderId="11" xfId="3" applyBorder="1" applyAlignment="1">
      <alignment horizontal="center" vertical="center"/>
    </xf>
    <xf numFmtId="165" fontId="35" fillId="0" borderId="14" xfId="6" applyNumberFormat="1" applyFont="1" applyFill="1" applyBorder="1" applyAlignment="1">
      <alignment vertical="center" wrapText="1"/>
    </xf>
    <xf numFmtId="0" fontId="32" fillId="10" borderId="9" xfId="3" applyFont="1" applyFill="1" applyBorder="1" applyAlignment="1">
      <alignment vertical="center"/>
    </xf>
    <xf numFmtId="0" fontId="28" fillId="10" borderId="11" xfId="3" applyFont="1" applyFill="1" applyBorder="1" applyAlignment="1">
      <alignment horizontal="center" vertical="center"/>
    </xf>
    <xf numFmtId="165" fontId="34" fillId="11" borderId="9" xfId="6" applyNumberFormat="1" applyFont="1" applyFill="1" applyBorder="1" applyAlignment="1">
      <alignment vertical="center" wrapText="1"/>
    </xf>
    <xf numFmtId="0" fontId="61" fillId="0" borderId="9" xfId="3" applyFont="1" applyBorder="1" applyAlignment="1">
      <alignment horizontal="left" vertical="center"/>
    </xf>
    <xf numFmtId="0" fontId="62" fillId="0" borderId="11" xfId="3" applyFont="1" applyBorder="1" applyAlignment="1">
      <alignment horizontal="center" vertical="center"/>
    </xf>
    <xf numFmtId="165" fontId="63" fillId="0" borderId="9" xfId="6" applyNumberFormat="1" applyFont="1" applyFill="1" applyBorder="1" applyAlignment="1">
      <alignment vertical="center" wrapText="1"/>
    </xf>
    <xf numFmtId="165" fontId="34" fillId="0" borderId="10" xfId="6" applyNumberFormat="1" applyFont="1" applyFill="1" applyBorder="1" applyAlignment="1">
      <alignment vertical="center" wrapText="1"/>
    </xf>
    <xf numFmtId="0" fontId="6" fillId="0" borderId="0" xfId="3" applyAlignment="1">
      <alignment vertical="center"/>
    </xf>
    <xf numFmtId="165" fontId="6" fillId="0" borderId="0" xfId="4" applyNumberFormat="1" applyFont="1" applyAlignment="1">
      <alignment vertical="center"/>
    </xf>
    <xf numFmtId="0" fontId="64" fillId="3" borderId="9" xfId="3" applyFont="1" applyFill="1" applyBorder="1" applyAlignment="1">
      <alignment horizontal="left" vertical="center" wrapText="1"/>
    </xf>
    <xf numFmtId="0" fontId="33" fillId="3" borderId="9" xfId="3" applyFont="1" applyFill="1" applyBorder="1" applyAlignment="1">
      <alignment horizontal="center" vertical="center" wrapText="1"/>
    </xf>
    <xf numFmtId="0" fontId="65" fillId="0" borderId="9" xfId="3" applyFont="1" applyBorder="1" applyAlignment="1">
      <alignment horizontal="left" vertical="center" wrapText="1"/>
    </xf>
    <xf numFmtId="0" fontId="66" fillId="0" borderId="11" xfId="3" applyFont="1" applyBorder="1" applyAlignment="1">
      <alignment horizontal="center" vertical="center" wrapText="1"/>
    </xf>
    <xf numFmtId="3" fontId="67" fillId="0" borderId="9" xfId="5" applyNumberFormat="1" applyFont="1" applyBorder="1" applyAlignment="1" applyProtection="1">
      <alignment vertical="center"/>
      <protection hidden="1"/>
    </xf>
    <xf numFmtId="0" fontId="68" fillId="0" borderId="9" xfId="3" applyFont="1" applyBorder="1" applyAlignment="1">
      <alignment horizontal="left" vertical="center" wrapText="1"/>
    </xf>
    <xf numFmtId="0" fontId="28" fillId="0" borderId="11" xfId="3" applyFont="1" applyBorder="1" applyAlignment="1">
      <alignment horizontal="center" vertical="center" wrapText="1"/>
    </xf>
    <xf numFmtId="3" fontId="69" fillId="0" borderId="9" xfId="3" applyNumberFormat="1" applyFont="1" applyBorder="1" applyAlignment="1" applyProtection="1">
      <alignment vertical="center"/>
      <protection hidden="1"/>
    </xf>
    <xf numFmtId="0" fontId="70" fillId="0" borderId="9" xfId="3" applyFont="1" applyBorder="1" applyAlignment="1">
      <alignment horizontal="left" vertical="center" wrapText="1"/>
    </xf>
    <xf numFmtId="0" fontId="62" fillId="0" borderId="11" xfId="3" applyFont="1" applyBorder="1" applyAlignment="1">
      <alignment horizontal="center" vertical="center" wrapText="1"/>
    </xf>
    <xf numFmtId="3" fontId="71" fillId="0" borderId="9" xfId="3" applyNumberFormat="1" applyFont="1" applyBorder="1" applyAlignment="1" applyProtection="1">
      <alignment vertical="center"/>
      <protection hidden="1"/>
    </xf>
    <xf numFmtId="169" fontId="71" fillId="0" borderId="9" xfId="2" applyNumberFormat="1" applyFont="1" applyBorder="1" applyAlignment="1" applyProtection="1">
      <alignment vertical="center"/>
      <protection hidden="1"/>
    </xf>
    <xf numFmtId="3" fontId="72" fillId="0" borderId="9" xfId="3" applyNumberFormat="1" applyFont="1" applyBorder="1" applyAlignment="1" applyProtection="1">
      <alignment vertical="center"/>
      <protection hidden="1"/>
    </xf>
    <xf numFmtId="3" fontId="67" fillId="0" borderId="9" xfId="3" applyNumberFormat="1" applyFont="1" applyBorder="1" applyAlignment="1" applyProtection="1">
      <alignment vertical="center"/>
      <protection hidden="1"/>
    </xf>
    <xf numFmtId="0" fontId="65" fillId="0" borderId="9" xfId="3" applyFont="1" applyBorder="1" applyAlignment="1">
      <alignment horizontal="left" vertical="center"/>
    </xf>
    <xf numFmtId="0" fontId="66" fillId="0" borderId="11" xfId="3" applyFont="1" applyBorder="1" applyAlignment="1">
      <alignment horizontal="center" vertical="center"/>
    </xf>
    <xf numFmtId="169" fontId="72" fillId="0" borderId="9" xfId="2" applyNumberFormat="1" applyFont="1" applyBorder="1" applyAlignment="1" applyProtection="1">
      <alignment vertical="center"/>
      <protection hidden="1"/>
    </xf>
    <xf numFmtId="0" fontId="68" fillId="0" borderId="9" xfId="3" applyFont="1" applyBorder="1" applyAlignment="1">
      <alignment horizontal="left" vertical="center"/>
    </xf>
    <xf numFmtId="0" fontId="70" fillId="0" borderId="9" xfId="3" applyFont="1" applyBorder="1" applyAlignment="1">
      <alignment horizontal="left" vertical="center"/>
    </xf>
    <xf numFmtId="0" fontId="62" fillId="0" borderId="9" xfId="3" applyFont="1" applyBorder="1" applyAlignment="1">
      <alignment horizontal="center" vertical="center"/>
    </xf>
    <xf numFmtId="0" fontId="51" fillId="0" borderId="15" xfId="3" applyFont="1" applyBorder="1" applyAlignment="1">
      <alignment vertical="center"/>
    </xf>
    <xf numFmtId="0" fontId="6" fillId="0" borderId="15" xfId="3" applyBorder="1" applyAlignment="1">
      <alignment vertical="center"/>
    </xf>
    <xf numFmtId="0" fontId="26" fillId="0" borderId="15" xfId="3" applyFont="1" applyBorder="1" applyAlignment="1">
      <alignment vertical="center"/>
    </xf>
    <xf numFmtId="3" fontId="51" fillId="0" borderId="15" xfId="3" applyNumberFormat="1" applyFont="1" applyBorder="1" applyAlignment="1">
      <alignment vertical="center"/>
    </xf>
    <xf numFmtId="0" fontId="26" fillId="0" borderId="0" xfId="3" applyFont="1" applyAlignment="1">
      <alignment horizontal="left" vertical="center"/>
    </xf>
    <xf numFmtId="3" fontId="26" fillId="0" borderId="0" xfId="3" applyNumberFormat="1" applyFont="1" applyAlignment="1">
      <alignment vertical="center"/>
    </xf>
    <xf numFmtId="0" fontId="51" fillId="0" borderId="0" xfId="3" applyFont="1" applyAlignment="1">
      <alignment vertical="center"/>
    </xf>
    <xf numFmtId="0" fontId="51" fillId="0" borderId="16" xfId="3" applyFont="1" applyBorder="1" applyAlignment="1">
      <alignment vertical="center"/>
    </xf>
    <xf numFmtId="0" fontId="6" fillId="0" borderId="16" xfId="3" applyBorder="1" applyAlignment="1">
      <alignment vertical="center"/>
    </xf>
    <xf numFmtId="3" fontId="51" fillId="0" borderId="16" xfId="3" applyNumberFormat="1" applyFont="1" applyBorder="1" applyAlignment="1">
      <alignment vertical="center"/>
    </xf>
    <xf numFmtId="0" fontId="73" fillId="0" borderId="15" xfId="3" applyFont="1" applyBorder="1" applyAlignment="1">
      <alignment vertical="center"/>
    </xf>
    <xf numFmtId="10" fontId="26" fillId="0" borderId="0" xfId="3" applyNumberFormat="1" applyFont="1" applyAlignment="1">
      <alignment vertical="center"/>
    </xf>
    <xf numFmtId="165" fontId="26" fillId="0" borderId="0" xfId="3" applyNumberFormat="1" applyFont="1" applyAlignment="1">
      <alignment vertical="center"/>
    </xf>
    <xf numFmtId="3" fontId="51" fillId="0" borderId="0" xfId="3" applyNumberFormat="1" applyFont="1" applyAlignment="1">
      <alignment vertical="center"/>
    </xf>
    <xf numFmtId="0" fontId="73" fillId="0" borderId="0" xfId="3" applyFont="1" applyAlignment="1">
      <alignment vertical="center"/>
    </xf>
    <xf numFmtId="165" fontId="51" fillId="0" borderId="0" xfId="3" applyNumberFormat="1" applyFont="1" applyAlignment="1">
      <alignment vertical="center"/>
    </xf>
    <xf numFmtId="166" fontId="9" fillId="5" borderId="9" xfId="4" applyNumberFormat="1" applyFont="1" applyFill="1" applyBorder="1" applyAlignment="1">
      <alignment horizontal="center" vertical="center" wrapText="1"/>
    </xf>
    <xf numFmtId="165" fontId="9" fillId="12" borderId="9" xfId="4" applyNumberFormat="1" applyFont="1" applyFill="1" applyBorder="1" applyAlignment="1">
      <alignment horizontal="center" vertical="center" wrapText="1"/>
    </xf>
    <xf numFmtId="9" fontId="48" fillId="0" borderId="11" xfId="2" applyFont="1" applyFill="1" applyBorder="1" applyAlignment="1">
      <alignment horizontal="center" vertical="center" wrapText="1"/>
    </xf>
    <xf numFmtId="9" fontId="49" fillId="9" borderId="11" xfId="2" applyFont="1" applyFill="1" applyBorder="1" applyAlignment="1" applyProtection="1">
      <alignment horizontal="center" vertical="center" wrapText="1"/>
      <protection locked="0"/>
    </xf>
    <xf numFmtId="9" fontId="53" fillId="9" borderId="11" xfId="2" applyFont="1" applyFill="1" applyBorder="1" applyAlignment="1" applyProtection="1">
      <alignment horizontal="center" vertical="center" wrapText="1"/>
      <protection locked="0"/>
    </xf>
    <xf numFmtId="3" fontId="51" fillId="0" borderId="0" xfId="5" applyNumberFormat="1" applyFont="1" applyAlignment="1">
      <alignment vertical="center"/>
    </xf>
    <xf numFmtId="9" fontId="52" fillId="9" borderId="11" xfId="2" applyFont="1" applyFill="1" applyBorder="1" applyAlignment="1" applyProtection="1">
      <alignment horizontal="center" vertical="center" wrapText="1"/>
      <protection locked="0"/>
    </xf>
    <xf numFmtId="9" fontId="50" fillId="9" borderId="11" xfId="2" applyFont="1" applyFill="1" applyBorder="1" applyAlignment="1" applyProtection="1">
      <alignment horizontal="center" vertical="center" wrapText="1"/>
      <protection locked="0"/>
    </xf>
    <xf numFmtId="9" fontId="55" fillId="9" borderId="11" xfId="2" applyFont="1" applyFill="1" applyBorder="1" applyAlignment="1" applyProtection="1">
      <alignment horizontal="center" vertical="center" wrapText="1"/>
      <protection locked="0"/>
    </xf>
    <xf numFmtId="3" fontId="22" fillId="0" borderId="0" xfId="3" applyNumberFormat="1" applyFont="1" applyAlignment="1">
      <alignment horizontal="center" vertical="center"/>
    </xf>
    <xf numFmtId="165" fontId="23" fillId="0" borderId="0" xfId="3" applyNumberFormat="1" applyFont="1" applyAlignment="1">
      <alignment horizontal="center" vertical="center"/>
    </xf>
    <xf numFmtId="3" fontId="23" fillId="0" borderId="0" xfId="3" applyNumberFormat="1" applyFont="1" applyAlignment="1">
      <alignment horizontal="center" vertical="center"/>
    </xf>
    <xf numFmtId="4" fontId="23" fillId="0" borderId="0" xfId="3" applyNumberFormat="1" applyFont="1" applyAlignment="1">
      <alignment horizontal="center" vertical="center"/>
    </xf>
    <xf numFmtId="165" fontId="37" fillId="0" borderId="11" xfId="6" applyNumberFormat="1" applyFont="1" applyFill="1" applyBorder="1" applyAlignment="1" applyProtection="1">
      <alignment vertical="center" wrapText="1"/>
      <protection locked="0"/>
    </xf>
    <xf numFmtId="165" fontId="37" fillId="0" borderId="11" xfId="8" applyNumberFormat="1" applyFont="1" applyFill="1" applyBorder="1" applyAlignment="1" applyProtection="1">
      <alignment vertical="center" wrapText="1"/>
      <protection locked="0"/>
    </xf>
    <xf numFmtId="165" fontId="7" fillId="0" borderId="11" xfId="6" applyNumberFormat="1" applyFont="1" applyFill="1" applyBorder="1" applyAlignment="1" applyProtection="1">
      <alignment vertical="center" wrapText="1"/>
      <protection locked="0"/>
    </xf>
    <xf numFmtId="165" fontId="7" fillId="0" borderId="11" xfId="8" applyNumberFormat="1" applyFont="1" applyFill="1" applyBorder="1" applyAlignment="1" applyProtection="1">
      <alignment vertical="center" wrapText="1"/>
      <protection locked="0"/>
    </xf>
    <xf numFmtId="3" fontId="76" fillId="0" borderId="11" xfId="3" applyNumberFormat="1" applyFont="1" applyBorder="1" applyAlignment="1" applyProtection="1">
      <alignment vertical="center" wrapText="1"/>
      <protection locked="0"/>
    </xf>
    <xf numFmtId="3" fontId="76" fillId="0" borderId="10" xfId="0" applyNumberFormat="1" applyFont="1" applyBorder="1" applyAlignment="1">
      <alignment vertical="center" wrapText="1"/>
    </xf>
    <xf numFmtId="3" fontId="76" fillId="0" borderId="9" xfId="0" applyNumberFormat="1" applyFont="1" applyBorder="1" applyAlignment="1">
      <alignment vertical="center" wrapText="1"/>
    </xf>
    <xf numFmtId="3" fontId="77" fillId="0" borderId="11" xfId="3" applyNumberFormat="1" applyFont="1" applyBorder="1" applyAlignment="1" applyProtection="1">
      <alignment vertical="center" wrapText="1"/>
      <protection locked="0"/>
    </xf>
    <xf numFmtId="3" fontId="7" fillId="0" borderId="11" xfId="3" applyNumberFormat="1" applyFont="1" applyBorder="1" applyAlignment="1" applyProtection="1">
      <alignment vertical="center" wrapText="1"/>
      <protection locked="0"/>
    </xf>
    <xf numFmtId="3" fontId="7" fillId="0" borderId="11" xfId="0" applyNumberFormat="1" applyFont="1" applyBorder="1" applyAlignment="1" applyProtection="1">
      <alignment vertical="center" wrapText="1"/>
      <protection locked="0"/>
    </xf>
    <xf numFmtId="3" fontId="78" fillId="0" borderId="10" xfId="0" applyNumberFormat="1" applyFont="1" applyBorder="1" applyAlignment="1">
      <alignment vertical="center" wrapText="1"/>
    </xf>
    <xf numFmtId="3" fontId="79" fillId="0" borderId="10" xfId="0" applyNumberFormat="1" applyFont="1" applyBorder="1" applyAlignment="1">
      <alignment vertical="center" wrapText="1"/>
    </xf>
    <xf numFmtId="165" fontId="79" fillId="0" borderId="10" xfId="0" applyNumberFormat="1" applyFont="1" applyBorder="1" applyAlignment="1">
      <alignment horizontal="right" vertical="center" wrapText="1"/>
    </xf>
    <xf numFmtId="3" fontId="77" fillId="0" borderId="10" xfId="0" applyNumberFormat="1" applyFont="1" applyBorder="1" applyAlignment="1">
      <alignment vertical="center" wrapText="1"/>
    </xf>
    <xf numFmtId="3" fontId="76" fillId="0" borderId="17" xfId="0" applyNumberFormat="1" applyFont="1" applyBorder="1" applyAlignment="1">
      <alignment vertical="center" wrapText="1"/>
    </xf>
    <xf numFmtId="3" fontId="37" fillId="0" borderId="11" xfId="3" applyNumberFormat="1" applyFont="1" applyBorder="1" applyAlignment="1" applyProtection="1">
      <alignment vertical="center" wrapText="1"/>
      <protection locked="0"/>
    </xf>
    <xf numFmtId="3" fontId="37" fillId="0" borderId="11" xfId="0" applyNumberFormat="1" applyFont="1" applyBorder="1" applyAlignment="1" applyProtection="1">
      <alignment vertical="center" wrapText="1"/>
      <protection locked="0"/>
    </xf>
    <xf numFmtId="3" fontId="7" fillId="0" borderId="9" xfId="0" applyNumberFormat="1" applyFont="1" applyBorder="1" applyAlignment="1" applyProtection="1">
      <alignment vertical="center" wrapText="1"/>
      <protection locked="0"/>
    </xf>
    <xf numFmtId="165" fontId="79" fillId="0" borderId="9" xfId="0" applyNumberFormat="1" applyFont="1" applyBorder="1" applyAlignment="1">
      <alignment vertical="center" wrapText="1"/>
    </xf>
    <xf numFmtId="3" fontId="76" fillId="0" borderId="9" xfId="3" applyNumberFormat="1" applyFont="1" applyBorder="1" applyAlignment="1" applyProtection="1">
      <alignment vertical="center" wrapText="1"/>
      <protection locked="0"/>
    </xf>
    <xf numFmtId="165" fontId="79" fillId="0" borderId="10" xfId="0" applyNumberFormat="1" applyFont="1" applyBorder="1" applyAlignment="1">
      <alignment vertical="center" wrapText="1"/>
    </xf>
    <xf numFmtId="165" fontId="79" fillId="0" borderId="17" xfId="0" applyNumberFormat="1" applyFont="1" applyBorder="1" applyAlignment="1">
      <alignment vertical="center" wrapText="1"/>
    </xf>
    <xf numFmtId="3" fontId="77" fillId="0" borderId="9" xfId="0" applyNumberFormat="1" applyFont="1" applyBorder="1" applyAlignment="1">
      <alignment vertical="center" wrapText="1"/>
    </xf>
    <xf numFmtId="3" fontId="79" fillId="0" borderId="9" xfId="0" applyNumberFormat="1" applyFont="1" applyBorder="1" applyAlignment="1">
      <alignment vertical="center" wrapText="1"/>
    </xf>
    <xf numFmtId="3" fontId="80" fillId="7" borderId="11" xfId="3" applyNumberFormat="1" applyFont="1" applyFill="1" applyBorder="1" applyAlignment="1" applyProtection="1">
      <alignment vertical="center" wrapText="1"/>
      <protection locked="0"/>
    </xf>
    <xf numFmtId="3" fontId="80" fillId="7" borderId="11" xfId="0" applyNumberFormat="1" applyFont="1" applyFill="1" applyBorder="1" applyAlignment="1" applyProtection="1">
      <alignment vertical="center" wrapText="1"/>
      <protection locked="0"/>
    </xf>
    <xf numFmtId="0" fontId="81" fillId="0" borderId="0" xfId="5" applyFont="1" applyAlignment="1">
      <alignment vertical="center"/>
    </xf>
    <xf numFmtId="165" fontId="78" fillId="0" borderId="10" xfId="0" applyNumberFormat="1" applyFont="1" applyBorder="1" applyAlignment="1">
      <alignment horizontal="right" vertical="center" wrapText="1"/>
    </xf>
    <xf numFmtId="3" fontId="76" fillId="0" borderId="17" xfId="3" applyNumberFormat="1" applyFont="1" applyBorder="1" applyAlignment="1" applyProtection="1">
      <alignment vertical="center" wrapText="1"/>
      <protection locked="0"/>
    </xf>
    <xf numFmtId="3" fontId="37" fillId="0" borderId="17" xfId="0" applyNumberFormat="1" applyFont="1" applyBorder="1" applyAlignment="1" applyProtection="1">
      <alignment vertical="center" wrapText="1"/>
      <protection locked="0"/>
    </xf>
    <xf numFmtId="3" fontId="37" fillId="0" borderId="9" xfId="0" applyNumberFormat="1" applyFont="1" applyBorder="1" applyAlignment="1" applyProtection="1">
      <alignment vertical="center" wrapText="1"/>
      <protection locked="0"/>
    </xf>
    <xf numFmtId="3" fontId="79" fillId="0" borderId="17" xfId="0" applyNumberFormat="1" applyFont="1" applyBorder="1" applyAlignment="1">
      <alignment vertical="center" wrapText="1"/>
    </xf>
    <xf numFmtId="3" fontId="76" fillId="0" borderId="11" xfId="0" applyNumberFormat="1" applyFont="1" applyBorder="1" applyAlignment="1" applyProtection="1">
      <alignment vertical="center" wrapText="1"/>
      <protection locked="0"/>
    </xf>
    <xf numFmtId="165" fontId="76" fillId="2" borderId="10" xfId="0" applyNumberFormat="1" applyFont="1" applyFill="1" applyBorder="1" applyAlignment="1">
      <alignment horizontal="right" vertical="center" wrapText="1"/>
    </xf>
    <xf numFmtId="3" fontId="76" fillId="0" borderId="9" xfId="0" applyNumberFormat="1" applyFont="1" applyBorder="1" applyAlignment="1" applyProtection="1">
      <alignment vertical="center" wrapText="1"/>
      <protection locked="0"/>
    </xf>
    <xf numFmtId="3" fontId="23" fillId="7" borderId="11" xfId="3" applyNumberFormat="1" applyFont="1" applyFill="1" applyBorder="1" applyAlignment="1" applyProtection="1">
      <alignment vertical="center" wrapText="1"/>
      <protection locked="0"/>
    </xf>
    <xf numFmtId="3" fontId="23" fillId="7" borderId="11" xfId="0" applyNumberFormat="1" applyFont="1" applyFill="1" applyBorder="1" applyAlignment="1" applyProtection="1">
      <alignment vertical="center" wrapText="1"/>
      <protection locked="0"/>
    </xf>
    <xf numFmtId="3" fontId="9" fillId="7" borderId="17" xfId="0" applyNumberFormat="1" applyFont="1" applyFill="1" applyBorder="1" applyAlignment="1" applyProtection="1">
      <alignment vertical="center" wrapText="1"/>
      <protection locked="0"/>
    </xf>
    <xf numFmtId="3" fontId="23" fillId="7" borderId="9" xfId="0" applyNumberFormat="1" applyFont="1" applyFill="1" applyBorder="1" applyAlignment="1" applyProtection="1">
      <alignment vertical="center" wrapText="1"/>
      <protection locked="0"/>
    </xf>
    <xf numFmtId="0" fontId="82" fillId="0" borderId="0" xfId="5" applyFont="1" applyAlignment="1">
      <alignment vertical="center"/>
    </xf>
    <xf numFmtId="165" fontId="6" fillId="0" borderId="0" xfId="4" applyNumberFormat="1" applyFont="1" applyBorder="1" applyAlignment="1">
      <alignment horizontal="center" vertical="center" wrapText="1"/>
    </xf>
    <xf numFmtId="3" fontId="6" fillId="0" borderId="0" xfId="4" applyNumberFormat="1" applyFont="1" applyBorder="1" applyAlignment="1">
      <alignment horizontal="center" vertical="center" wrapText="1"/>
    </xf>
    <xf numFmtId="165" fontId="6" fillId="0" borderId="0" xfId="4" applyNumberFormat="1" applyFont="1" applyBorder="1" applyAlignment="1">
      <alignment horizontal="centerContinuous" vertical="center" wrapText="1"/>
    </xf>
    <xf numFmtId="167" fontId="48" fillId="0" borderId="17" xfId="6" applyNumberFormat="1" applyFont="1" applyFill="1" applyBorder="1" applyAlignment="1">
      <alignment horizontal="right" vertical="center" wrapText="1"/>
    </xf>
    <xf numFmtId="165" fontId="48" fillId="0" borderId="17" xfId="4" applyNumberFormat="1" applyFont="1" applyFill="1" applyBorder="1" applyAlignment="1">
      <alignment horizontal="right" vertical="center" wrapText="1"/>
    </xf>
    <xf numFmtId="165" fontId="48" fillId="0" borderId="11" xfId="4" applyNumberFormat="1" applyFont="1" applyFill="1" applyBorder="1" applyAlignment="1">
      <alignment horizontal="right" vertical="center" wrapText="1"/>
    </xf>
    <xf numFmtId="165" fontId="48" fillId="0" borderId="11" xfId="1" applyNumberFormat="1" applyFont="1" applyFill="1" applyBorder="1" applyAlignment="1">
      <alignment horizontal="right" vertical="center" wrapText="1"/>
    </xf>
    <xf numFmtId="165" fontId="48" fillId="0" borderId="17" xfId="6" applyNumberFormat="1" applyFont="1" applyBorder="1" applyAlignment="1">
      <alignment horizontal="right" vertical="center" wrapText="1"/>
    </xf>
    <xf numFmtId="165" fontId="48" fillId="0" borderId="17" xfId="1" applyNumberFormat="1" applyFont="1" applyFill="1" applyBorder="1" applyAlignment="1">
      <alignment horizontal="right" vertical="center" wrapText="1"/>
    </xf>
    <xf numFmtId="3" fontId="50" fillId="0" borderId="11" xfId="3" applyNumberFormat="1" applyFont="1" applyBorder="1" applyAlignment="1" applyProtection="1">
      <alignment vertical="center" wrapText="1"/>
      <protection locked="0"/>
    </xf>
    <xf numFmtId="165" fontId="50" fillId="0" borderId="11" xfId="1" applyNumberFormat="1" applyFont="1" applyBorder="1" applyAlignment="1" applyProtection="1">
      <alignment vertical="center" wrapText="1"/>
      <protection locked="0"/>
    </xf>
    <xf numFmtId="165" fontId="49" fillId="0" borderId="11" xfId="1" applyNumberFormat="1" applyFont="1" applyBorder="1" applyAlignment="1" applyProtection="1">
      <alignment vertical="center" wrapText="1"/>
      <protection locked="0"/>
    </xf>
    <xf numFmtId="3" fontId="53" fillId="0" borderId="11" xfId="3" applyNumberFormat="1" applyFont="1" applyBorder="1" applyAlignment="1" applyProtection="1">
      <alignment vertical="center" wrapText="1"/>
      <protection locked="0"/>
    </xf>
    <xf numFmtId="3" fontId="52" fillId="0" borderId="11" xfId="3" applyNumberFormat="1" applyFont="1" applyBorder="1" applyAlignment="1" applyProtection="1">
      <alignment vertical="center" wrapText="1"/>
      <protection locked="0"/>
    </xf>
    <xf numFmtId="3" fontId="52" fillId="0" borderId="11" xfId="0" applyNumberFormat="1" applyFont="1" applyBorder="1" applyAlignment="1" applyProtection="1">
      <alignment vertical="center" wrapText="1"/>
      <protection locked="0"/>
    </xf>
    <xf numFmtId="165" fontId="52" fillId="0" borderId="11" xfId="1" applyNumberFormat="1" applyFont="1" applyBorder="1" applyAlignment="1" applyProtection="1">
      <alignment vertical="center" wrapText="1"/>
      <protection locked="0"/>
    </xf>
    <xf numFmtId="3" fontId="49" fillId="0" borderId="11" xfId="3" applyNumberFormat="1" applyFont="1" applyBorder="1" applyAlignment="1" applyProtection="1">
      <alignment vertical="center" wrapText="1"/>
      <protection locked="0"/>
    </xf>
    <xf numFmtId="3" fontId="53" fillId="0" borderId="9" xfId="3" applyNumberFormat="1" applyFont="1" applyBorder="1" applyAlignment="1" applyProtection="1">
      <alignment vertical="center" wrapText="1"/>
      <protection locked="0"/>
    </xf>
    <xf numFmtId="165" fontId="26" fillId="0" borderId="12" xfId="6" applyNumberFormat="1" applyFont="1" applyBorder="1" applyAlignment="1" applyProtection="1">
      <alignment horizontal="center" vertical="center" wrapText="1"/>
      <protection locked="0"/>
    </xf>
    <xf numFmtId="165" fontId="26" fillId="0" borderId="12" xfId="6" applyNumberFormat="1" applyFont="1" applyFill="1" applyBorder="1" applyAlignment="1" applyProtection="1">
      <alignment horizontal="center" vertical="center" wrapText="1"/>
      <protection locked="0"/>
    </xf>
    <xf numFmtId="165" fontId="26" fillId="0" borderId="12" xfId="1" applyNumberFormat="1" applyFont="1" applyBorder="1" applyAlignment="1" applyProtection="1">
      <alignment horizontal="center" vertical="center" wrapText="1"/>
      <protection locked="0"/>
    </xf>
    <xf numFmtId="165" fontId="26" fillId="2" borderId="12" xfId="6" applyNumberFormat="1" applyFont="1" applyFill="1" applyBorder="1" applyAlignment="1" applyProtection="1">
      <alignment horizontal="center" vertical="center" wrapText="1"/>
      <protection locked="0"/>
    </xf>
    <xf numFmtId="3" fontId="52" fillId="2" borderId="11" xfId="0" applyNumberFormat="1" applyFont="1" applyFill="1" applyBorder="1" applyAlignment="1" applyProtection="1">
      <alignment vertical="center" wrapText="1"/>
      <protection locked="0"/>
    </xf>
    <xf numFmtId="3" fontId="52" fillId="2" borderId="11" xfId="3" applyNumberFormat="1" applyFont="1" applyFill="1" applyBorder="1" applyAlignment="1" applyProtection="1">
      <alignment vertical="center" wrapText="1"/>
      <protection locked="0"/>
    </xf>
    <xf numFmtId="3" fontId="55" fillId="0" borderId="11" xfId="3" applyNumberFormat="1" applyFont="1" applyBorder="1" applyAlignment="1" applyProtection="1">
      <alignment vertical="center" wrapText="1"/>
      <protection locked="0"/>
    </xf>
    <xf numFmtId="3" fontId="55" fillId="0" borderId="11" xfId="0" applyNumberFormat="1" applyFont="1" applyBorder="1" applyAlignment="1" applyProtection="1">
      <alignment vertical="center" wrapText="1"/>
      <protection locked="0"/>
    </xf>
    <xf numFmtId="165" fontId="55" fillId="0" borderId="11" xfId="1" applyNumberFormat="1" applyFont="1" applyBorder="1" applyAlignment="1" applyProtection="1">
      <alignment vertical="center" wrapText="1"/>
      <protection locked="0"/>
    </xf>
    <xf numFmtId="3" fontId="55" fillId="2" borderId="11" xfId="0" applyNumberFormat="1" applyFont="1" applyFill="1" applyBorder="1" applyAlignment="1" applyProtection="1">
      <alignment vertical="center" wrapText="1"/>
      <protection locked="0"/>
    </xf>
    <xf numFmtId="165" fontId="83" fillId="2" borderId="0" xfId="6" applyNumberFormat="1" applyFont="1" applyFill="1" applyBorder="1" applyAlignment="1">
      <alignment horizontal="right" vertical="center" wrapText="1"/>
    </xf>
    <xf numFmtId="165" fontId="83" fillId="0" borderId="0" xfId="6" applyNumberFormat="1" applyFont="1" applyFill="1" applyBorder="1" applyAlignment="1">
      <alignment horizontal="right" vertical="center" wrapText="1"/>
    </xf>
    <xf numFmtId="165" fontId="7" fillId="0" borderId="11" xfId="3" applyNumberFormat="1" applyFont="1" applyBorder="1" applyAlignment="1" applyProtection="1">
      <alignment vertical="center" wrapText="1"/>
      <protection locked="0"/>
    </xf>
    <xf numFmtId="3" fontId="7" fillId="0" borderId="11" xfId="3" applyNumberFormat="1" applyFont="1" applyBorder="1" applyAlignment="1" applyProtection="1">
      <alignment horizontal="right" vertical="center" wrapText="1"/>
      <protection locked="0"/>
    </xf>
    <xf numFmtId="0" fontId="84" fillId="0" borderId="11" xfId="0" applyFont="1" applyBorder="1" applyAlignment="1" applyProtection="1">
      <alignment vertical="center"/>
      <protection locked="0"/>
    </xf>
    <xf numFmtId="3" fontId="84" fillId="0" borderId="11" xfId="0" applyNumberFormat="1" applyFont="1" applyBorder="1" applyAlignment="1" applyProtection="1">
      <alignment horizontal="right" vertical="center"/>
      <protection locked="0"/>
    </xf>
    <xf numFmtId="165" fontId="78" fillId="0" borderId="9" xfId="0" quotePrefix="1" applyNumberFormat="1" applyFont="1" applyBorder="1" applyAlignment="1">
      <alignment horizontal="right" vertical="center"/>
    </xf>
    <xf numFmtId="3" fontId="79" fillId="0" borderId="11" xfId="0" applyNumberFormat="1" applyFont="1" applyBorder="1" applyAlignment="1">
      <alignment vertical="center" wrapText="1"/>
    </xf>
    <xf numFmtId="3" fontId="79" fillId="0" borderId="11" xfId="0" applyNumberFormat="1" applyFont="1" applyBorder="1" applyAlignment="1">
      <alignment horizontal="right" vertical="center" wrapText="1"/>
    </xf>
    <xf numFmtId="165" fontId="24" fillId="0" borderId="11" xfId="6" quotePrefix="1" applyNumberFormat="1" applyFont="1" applyFill="1" applyBorder="1" applyAlignment="1" applyProtection="1">
      <alignment horizontal="left" vertical="center"/>
      <protection locked="0"/>
    </xf>
    <xf numFmtId="3" fontId="24" fillId="0" borderId="11" xfId="6" quotePrefix="1" applyNumberFormat="1" applyFont="1" applyFill="1" applyBorder="1" applyAlignment="1" applyProtection="1">
      <alignment horizontal="right" vertical="center"/>
      <protection locked="0"/>
    </xf>
    <xf numFmtId="3" fontId="78" fillId="0" borderId="9" xfId="0" quotePrefix="1" applyNumberFormat="1" applyFont="1" applyBorder="1" applyAlignment="1">
      <alignment vertical="center"/>
    </xf>
    <xf numFmtId="3" fontId="78" fillId="0" borderId="9" xfId="0" quotePrefix="1" applyNumberFormat="1" applyFont="1" applyBorder="1" applyAlignment="1">
      <alignment horizontal="right" vertical="center"/>
    </xf>
    <xf numFmtId="3" fontId="85" fillId="0" borderId="9" xfId="0" quotePrefix="1" applyNumberFormat="1" applyFont="1" applyBorder="1" applyAlignment="1">
      <alignment vertical="center"/>
    </xf>
    <xf numFmtId="165" fontId="24" fillId="0" borderId="11" xfId="8" quotePrefix="1" applyNumberFormat="1" applyFont="1" applyFill="1" applyBorder="1" applyAlignment="1" applyProtection="1">
      <alignment horizontal="left" vertical="center"/>
      <protection locked="0"/>
    </xf>
    <xf numFmtId="165" fontId="9" fillId="0" borderId="11" xfId="8" quotePrefix="1" applyNumberFormat="1" applyFont="1" applyFill="1" applyBorder="1" applyAlignment="1" applyProtection="1">
      <alignment horizontal="left" vertical="center"/>
      <protection locked="0"/>
    </xf>
    <xf numFmtId="3" fontId="9" fillId="0" borderId="11" xfId="8" quotePrefix="1" applyNumberFormat="1" applyFont="1" applyFill="1" applyBorder="1" applyAlignment="1" applyProtection="1">
      <alignment horizontal="right" vertical="center"/>
      <protection locked="0"/>
    </xf>
    <xf numFmtId="3" fontId="78" fillId="0" borderId="11" xfId="0" quotePrefix="1" applyNumberFormat="1" applyFont="1" applyBorder="1" applyAlignment="1">
      <alignment horizontal="right" vertical="center"/>
    </xf>
    <xf numFmtId="3" fontId="24" fillId="0" borderId="11" xfId="8" quotePrefix="1" applyNumberFormat="1" applyFont="1" applyFill="1" applyBorder="1" applyAlignment="1" applyProtection="1">
      <alignment horizontal="right" vertical="center"/>
      <protection locked="0"/>
    </xf>
    <xf numFmtId="165" fontId="7" fillId="0" borderId="11" xfId="8" applyNumberFormat="1" applyFont="1" applyFill="1" applyBorder="1" applyAlignment="1" applyProtection="1">
      <alignment horizontal="left" vertical="center"/>
      <protection locked="0"/>
    </xf>
    <xf numFmtId="3" fontId="7" fillId="0" borderId="11" xfId="8" applyNumberFormat="1" applyFont="1" applyFill="1" applyBorder="1" applyAlignment="1" applyProtection="1">
      <alignment horizontal="right" vertical="center"/>
      <protection locked="0"/>
    </xf>
    <xf numFmtId="165" fontId="9" fillId="0" borderId="11" xfId="8" applyNumberFormat="1" applyFont="1" applyFill="1" applyBorder="1" applyAlignment="1" applyProtection="1">
      <alignment vertical="center"/>
      <protection locked="0"/>
    </xf>
    <xf numFmtId="165" fontId="9" fillId="0" borderId="11" xfId="6" applyNumberFormat="1" applyFont="1" applyFill="1" applyBorder="1" applyAlignment="1" applyProtection="1">
      <alignment vertical="center"/>
      <protection locked="0"/>
    </xf>
    <xf numFmtId="3" fontId="9" fillId="0" borderId="11" xfId="6" applyNumberFormat="1" applyFont="1" applyFill="1" applyBorder="1" applyAlignment="1" applyProtection="1">
      <alignment horizontal="right" vertical="center"/>
      <protection locked="0"/>
    </xf>
    <xf numFmtId="3" fontId="78" fillId="0" borderId="11" xfId="0" quotePrefix="1" applyNumberFormat="1" applyFont="1" applyBorder="1" applyAlignment="1">
      <alignment vertical="center"/>
    </xf>
    <xf numFmtId="165" fontId="78" fillId="0" borderId="11" xfId="0" quotePrefix="1" applyNumberFormat="1" applyFont="1" applyBorder="1" applyAlignment="1">
      <alignment horizontal="right" vertical="center"/>
    </xf>
    <xf numFmtId="165" fontId="7" fillId="0" borderId="11" xfId="8" applyNumberFormat="1" applyFont="1" applyFill="1" applyBorder="1" applyAlignment="1" applyProtection="1">
      <alignment vertical="center"/>
      <protection locked="0"/>
    </xf>
    <xf numFmtId="165" fontId="7" fillId="10" borderId="11" xfId="6" applyNumberFormat="1" applyFont="1" applyFill="1" applyBorder="1" applyAlignment="1" applyProtection="1">
      <alignment vertical="center"/>
      <protection locked="0"/>
    </xf>
    <xf numFmtId="3" fontId="7" fillId="10" borderId="11" xfId="6" applyNumberFormat="1" applyFont="1" applyFill="1" applyBorder="1" applyAlignment="1" applyProtection="1">
      <alignment horizontal="right" vertical="center"/>
      <protection locked="0"/>
    </xf>
    <xf numFmtId="0" fontId="86" fillId="0" borderId="11" xfId="0" applyFont="1" applyBorder="1" applyAlignment="1" applyProtection="1">
      <alignment horizontal="right" vertical="center"/>
      <protection locked="0"/>
    </xf>
    <xf numFmtId="0" fontId="86" fillId="0" borderId="11" xfId="3" applyFont="1" applyBorder="1" applyAlignment="1" applyProtection="1">
      <alignment horizontal="right" vertical="center"/>
      <protection locked="0"/>
    </xf>
    <xf numFmtId="3" fontId="87" fillId="0" borderId="11" xfId="3" applyNumberFormat="1" applyFont="1" applyBorder="1" applyAlignment="1" applyProtection="1">
      <alignment horizontal="right" vertical="center" wrapText="1"/>
      <protection locked="0"/>
    </xf>
    <xf numFmtId="3" fontId="86" fillId="0" borderId="11" xfId="3" applyNumberFormat="1" applyFont="1" applyBorder="1" applyAlignment="1" applyProtection="1">
      <alignment horizontal="right" vertical="center"/>
      <protection locked="0"/>
    </xf>
    <xf numFmtId="169" fontId="26" fillId="0" borderId="0" xfId="2" applyNumberFormat="1" applyFont="1" applyAlignment="1">
      <alignment vertical="center"/>
    </xf>
    <xf numFmtId="0" fontId="77" fillId="3" borderId="9" xfId="3" applyFont="1" applyFill="1" applyBorder="1" applyAlignment="1">
      <alignment horizontal="left" vertical="center" wrapText="1"/>
    </xf>
    <xf numFmtId="3" fontId="51" fillId="0" borderId="15" xfId="3" applyNumberFormat="1" applyFont="1" applyBorder="1" applyAlignment="1">
      <alignment horizontal="center" vertical="center"/>
    </xf>
    <xf numFmtId="3" fontId="26" fillId="0" borderId="0" xfId="3" applyNumberFormat="1" applyFont="1" applyAlignment="1">
      <alignment horizontal="center" vertical="center"/>
    </xf>
    <xf numFmtId="3" fontId="51" fillId="0" borderId="0" xfId="3" applyNumberFormat="1" applyFont="1" applyAlignment="1">
      <alignment horizontal="center" vertical="center"/>
    </xf>
    <xf numFmtId="10" fontId="51" fillId="0" borderId="0" xfId="3" applyNumberFormat="1" applyFont="1" applyAlignment="1">
      <alignment vertical="center"/>
    </xf>
    <xf numFmtId="3" fontId="51" fillId="0" borderId="16" xfId="3" applyNumberFormat="1" applyFont="1" applyBorder="1" applyAlignment="1">
      <alignment horizontal="center" vertical="center"/>
    </xf>
    <xf numFmtId="3" fontId="88" fillId="0" borderId="0" xfId="3" applyNumberFormat="1" applyFont="1" applyAlignment="1">
      <alignment vertical="center"/>
    </xf>
    <xf numFmtId="0" fontId="89" fillId="0" borderId="0" xfId="5" applyFont="1" applyAlignment="1">
      <alignment vertical="center"/>
    </xf>
    <xf numFmtId="0" fontId="26" fillId="0" borderId="0" xfId="3" applyFont="1" applyAlignment="1">
      <alignment horizontal="center" vertical="center"/>
    </xf>
    <xf numFmtId="3" fontId="37" fillId="0" borderId="11" xfId="6" applyNumberFormat="1" applyFont="1" applyFill="1" applyBorder="1" applyAlignment="1" applyProtection="1">
      <alignment vertical="center" wrapText="1"/>
      <protection locked="0"/>
    </xf>
    <xf numFmtId="3" fontId="7" fillId="0" borderId="11" xfId="6" applyNumberFormat="1" applyFont="1" applyFill="1" applyBorder="1" applyAlignment="1" applyProtection="1">
      <alignment vertical="center" wrapText="1"/>
      <protection locked="0"/>
    </xf>
    <xf numFmtId="165" fontId="48" fillId="0" borderId="17" xfId="6" applyNumberFormat="1" applyFont="1" applyFill="1" applyBorder="1" applyAlignment="1">
      <alignment horizontal="right" vertical="center" wrapText="1"/>
    </xf>
    <xf numFmtId="3" fontId="7" fillId="0" borderId="11" xfId="0" applyNumberFormat="1" applyFont="1" applyBorder="1" applyAlignment="1" applyProtection="1">
      <alignment vertical="center"/>
      <protection locked="0"/>
    </xf>
    <xf numFmtId="3" fontId="7" fillId="0" borderId="11" xfId="0" applyNumberFormat="1" applyFont="1" applyBorder="1" applyAlignment="1" applyProtection="1">
      <alignment horizontal="right" vertical="center"/>
      <protection locked="0"/>
    </xf>
    <xf numFmtId="165" fontId="85" fillId="0" borderId="9" xfId="0" quotePrefix="1" applyNumberFormat="1" applyFont="1" applyBorder="1" applyAlignment="1">
      <alignment horizontal="right" vertical="center"/>
    </xf>
    <xf numFmtId="3" fontId="85" fillId="0" borderId="9" xfId="0" quotePrefix="1" applyNumberFormat="1" applyFont="1" applyBorder="1" applyAlignment="1">
      <alignment horizontal="right" vertical="center"/>
    </xf>
    <xf numFmtId="165" fontId="7" fillId="0" borderId="11" xfId="6" applyNumberFormat="1" applyFont="1" applyFill="1" applyBorder="1" applyAlignment="1" applyProtection="1">
      <alignment horizontal="left" vertical="center"/>
      <protection locked="0"/>
    </xf>
    <xf numFmtId="3" fontId="7" fillId="0" borderId="11" xfId="6" applyNumberFormat="1" applyFont="1" applyFill="1" applyBorder="1" applyAlignment="1" applyProtection="1">
      <alignment horizontal="right" vertical="center"/>
      <protection locked="0"/>
    </xf>
    <xf numFmtId="165" fontId="7" fillId="10" borderId="11" xfId="8" applyNumberFormat="1" applyFont="1" applyFill="1" applyBorder="1" applyAlignment="1" applyProtection="1">
      <alignment vertical="center"/>
      <protection locked="0"/>
    </xf>
    <xf numFmtId="165" fontId="7" fillId="0" borderId="11" xfId="6" applyNumberFormat="1" applyFont="1" applyFill="1" applyBorder="1" applyAlignment="1" applyProtection="1">
      <alignment vertical="center"/>
      <protection locked="0"/>
    </xf>
    <xf numFmtId="0" fontId="86" fillId="0" borderId="11" xfId="0" applyFont="1" applyBorder="1" applyAlignment="1" applyProtection="1">
      <alignment horizontal="left" vertical="center"/>
      <protection locked="0"/>
    </xf>
    <xf numFmtId="0" fontId="86" fillId="0" borderId="11" xfId="3" applyFont="1" applyBorder="1" applyAlignment="1" applyProtection="1">
      <alignment horizontal="left" vertical="center"/>
      <protection locked="0"/>
    </xf>
    <xf numFmtId="170" fontId="68" fillId="7" borderId="10" xfId="5" applyNumberFormat="1" applyFont="1" applyFill="1" applyBorder="1" applyAlignment="1" applyProtection="1">
      <alignment horizontal="center" vertical="center" wrapText="1"/>
      <protection locked="0"/>
    </xf>
    <xf numFmtId="0" fontId="71" fillId="0" borderId="0" xfId="3" applyFont="1" applyAlignment="1">
      <alignment vertical="center"/>
    </xf>
    <xf numFmtId="0" fontId="71" fillId="0" borderId="0" xfId="3" applyFont="1" applyAlignment="1">
      <alignment horizontal="center" vertical="center"/>
    </xf>
    <xf numFmtId="3" fontId="71" fillId="0" borderId="0" xfId="3" applyNumberFormat="1" applyFont="1" applyAlignment="1">
      <alignment vertical="center"/>
    </xf>
    <xf numFmtId="3" fontId="9" fillId="7" borderId="10" xfId="3" applyNumberFormat="1" applyFont="1" applyFill="1" applyBorder="1" applyAlignment="1">
      <alignment horizontal="center" vertical="center" wrapText="1"/>
    </xf>
    <xf numFmtId="3" fontId="9" fillId="7" borderId="9" xfId="3" applyNumberFormat="1" applyFont="1" applyFill="1" applyBorder="1" applyAlignment="1">
      <alignment horizontal="center" vertical="center" wrapText="1"/>
    </xf>
    <xf numFmtId="3" fontId="26" fillId="0" borderId="15" xfId="3" applyNumberFormat="1" applyFont="1" applyBorder="1" applyAlignment="1">
      <alignment vertical="center"/>
    </xf>
    <xf numFmtId="165" fontId="48" fillId="0" borderId="17" xfId="1" applyNumberFormat="1" applyFont="1" applyBorder="1" applyAlignment="1">
      <alignment horizontal="right" vertical="center" wrapText="1"/>
    </xf>
    <xf numFmtId="165" fontId="49" fillId="9" borderId="11" xfId="1" applyNumberFormat="1" applyFont="1" applyFill="1" applyBorder="1" applyAlignment="1" applyProtection="1">
      <alignment vertical="center" wrapText="1"/>
      <protection locked="0"/>
    </xf>
    <xf numFmtId="165" fontId="49" fillId="2" borderId="11" xfId="1" applyNumberFormat="1" applyFont="1" applyFill="1" applyBorder="1" applyAlignment="1" applyProtection="1">
      <alignment vertical="center" wrapText="1"/>
      <protection locked="0"/>
    </xf>
    <xf numFmtId="3" fontId="26" fillId="0" borderId="0" xfId="5" applyNumberFormat="1" applyFont="1" applyAlignment="1">
      <alignment vertical="center"/>
    </xf>
    <xf numFmtId="165" fontId="26" fillId="2" borderId="12" xfId="1" applyNumberFormat="1" applyFont="1" applyFill="1" applyBorder="1" applyAlignment="1" applyProtection="1">
      <alignment horizontal="center" vertical="center" wrapText="1"/>
      <protection locked="0"/>
    </xf>
    <xf numFmtId="165" fontId="26" fillId="9" borderId="12" xfId="1" applyNumberFormat="1" applyFont="1" applyFill="1" applyBorder="1" applyAlignment="1" applyProtection="1">
      <alignment horizontal="center" vertical="center" wrapText="1"/>
      <protection locked="0"/>
    </xf>
    <xf numFmtId="165" fontId="50" fillId="2" borderId="11" xfId="1" applyNumberFormat="1" applyFont="1" applyFill="1" applyBorder="1" applyAlignment="1" applyProtection="1">
      <alignment vertical="center" wrapText="1"/>
      <protection locked="0"/>
    </xf>
    <xf numFmtId="165" fontId="50" fillId="9" borderId="11" xfId="1" applyNumberFormat="1" applyFont="1" applyFill="1" applyBorder="1" applyAlignment="1" applyProtection="1">
      <alignment vertical="center" wrapText="1"/>
      <protection locked="0"/>
    </xf>
    <xf numFmtId="165" fontId="52" fillId="2" borderId="11" xfId="1" applyNumberFormat="1" applyFont="1" applyFill="1" applyBorder="1" applyAlignment="1" applyProtection="1">
      <alignment vertical="center" wrapText="1"/>
      <protection locked="0"/>
    </xf>
    <xf numFmtId="165" fontId="52" fillId="9" borderId="11" xfId="1" applyNumberFormat="1" applyFont="1" applyFill="1" applyBorder="1" applyAlignment="1" applyProtection="1">
      <alignment vertical="center" wrapText="1"/>
      <protection locked="0"/>
    </xf>
    <xf numFmtId="165" fontId="55" fillId="2" borderId="11" xfId="1" applyNumberFormat="1" applyFont="1" applyFill="1" applyBorder="1" applyAlignment="1" applyProtection="1">
      <alignment vertical="center" wrapText="1"/>
      <protection locked="0"/>
    </xf>
    <xf numFmtId="165" fontId="55" fillId="9" borderId="11" xfId="1" applyNumberFormat="1" applyFont="1" applyFill="1" applyBorder="1" applyAlignment="1" applyProtection="1">
      <alignment vertical="center" wrapText="1"/>
      <protection locked="0"/>
    </xf>
    <xf numFmtId="3" fontId="76" fillId="0" borderId="14" xfId="3" applyNumberFormat="1" applyFont="1" applyBorder="1" applyAlignment="1" applyProtection="1">
      <alignment vertical="center" wrapText="1"/>
      <protection locked="0"/>
    </xf>
    <xf numFmtId="3" fontId="7" fillId="10" borderId="11" xfId="8" applyNumberFormat="1" applyFont="1" applyFill="1" applyBorder="1" applyAlignment="1" applyProtection="1">
      <alignment horizontal="right" vertical="center"/>
      <protection locked="0"/>
    </xf>
    <xf numFmtId="165" fontId="31" fillId="0" borderId="10" xfId="6" applyNumberFormat="1" applyFont="1" applyFill="1" applyBorder="1" applyAlignment="1">
      <alignment vertical="center" wrapText="1"/>
    </xf>
    <xf numFmtId="165" fontId="31" fillId="0" borderId="10" xfId="4" applyNumberFormat="1" applyFont="1" applyFill="1" applyBorder="1" applyAlignment="1">
      <alignment vertical="center" wrapText="1"/>
    </xf>
    <xf numFmtId="165" fontId="31" fillId="0" borderId="18" xfId="4" applyNumberFormat="1" applyFont="1" applyFill="1" applyBorder="1" applyAlignment="1">
      <alignment vertical="center" wrapText="1"/>
    </xf>
    <xf numFmtId="3" fontId="31" fillId="0" borderId="10" xfId="4" applyNumberFormat="1" applyFont="1" applyFill="1" applyBorder="1" applyAlignment="1">
      <alignment vertical="center" wrapText="1"/>
    </xf>
    <xf numFmtId="3" fontId="31" fillId="0" borderId="9" xfId="4" applyNumberFormat="1" applyFont="1" applyFill="1" applyBorder="1" applyAlignment="1">
      <alignment vertical="center" wrapText="1"/>
    </xf>
    <xf numFmtId="165" fontId="34" fillId="0" borderId="10" xfId="4" applyNumberFormat="1" applyFont="1" applyFill="1" applyBorder="1" applyAlignment="1">
      <alignment vertical="center" wrapText="1"/>
    </xf>
    <xf numFmtId="165" fontId="34" fillId="0" borderId="9" xfId="4" applyNumberFormat="1" applyFont="1" applyFill="1" applyBorder="1" applyAlignment="1">
      <alignment vertical="center" wrapText="1"/>
    </xf>
    <xf numFmtId="3" fontId="34" fillId="0" borderId="10" xfId="4" applyNumberFormat="1" applyFont="1" applyFill="1" applyBorder="1" applyAlignment="1">
      <alignment vertical="center" wrapText="1"/>
    </xf>
    <xf numFmtId="3" fontId="34" fillId="0" borderId="9" xfId="4" applyNumberFormat="1" applyFont="1" applyFill="1" applyBorder="1" applyAlignment="1">
      <alignment vertical="center" wrapText="1"/>
    </xf>
    <xf numFmtId="165" fontId="35" fillId="0" borderId="10" xfId="4" applyNumberFormat="1" applyFont="1" applyFill="1" applyBorder="1" applyAlignment="1">
      <alignment vertical="center" wrapText="1"/>
    </xf>
    <xf numFmtId="3" fontId="35" fillId="0" borderId="10" xfId="4" applyNumberFormat="1" applyFont="1" applyFill="1" applyBorder="1" applyAlignment="1">
      <alignment vertical="center" wrapText="1"/>
    </xf>
    <xf numFmtId="3" fontId="35" fillId="0" borderId="9" xfId="4" applyNumberFormat="1" applyFont="1" applyFill="1" applyBorder="1" applyAlignment="1">
      <alignment vertical="center" wrapText="1"/>
    </xf>
    <xf numFmtId="3" fontId="34" fillId="0" borderId="10" xfId="6" applyNumberFormat="1" applyFont="1" applyFill="1" applyBorder="1" applyAlignment="1">
      <alignment vertical="center" wrapText="1"/>
    </xf>
    <xf numFmtId="3" fontId="34" fillId="0" borderId="9" xfId="6" applyNumberFormat="1" applyFont="1" applyFill="1" applyBorder="1" applyAlignment="1">
      <alignment vertical="center" wrapText="1"/>
    </xf>
    <xf numFmtId="3" fontId="35" fillId="0" borderId="10" xfId="6" applyNumberFormat="1" applyFont="1" applyFill="1" applyBorder="1" applyAlignment="1">
      <alignment vertical="center" wrapText="1"/>
    </xf>
    <xf numFmtId="3" fontId="35" fillId="0" borderId="9" xfId="6" applyNumberFormat="1" applyFont="1" applyFill="1" applyBorder="1" applyAlignment="1">
      <alignment vertical="center" wrapText="1"/>
    </xf>
    <xf numFmtId="165" fontId="62" fillId="0" borderId="10" xfId="6" applyNumberFormat="1" applyFont="1" applyFill="1" applyBorder="1" applyAlignment="1">
      <alignment vertical="center" wrapText="1"/>
    </xf>
    <xf numFmtId="165" fontId="28" fillId="0" borderId="10" xfId="6" applyNumberFormat="1" applyFont="1" applyFill="1" applyBorder="1" applyAlignment="1">
      <alignment vertical="center" wrapText="1"/>
    </xf>
    <xf numFmtId="165" fontId="28" fillId="0" borderId="10" xfId="4" applyNumberFormat="1" applyFont="1" applyFill="1" applyBorder="1" applyAlignment="1">
      <alignment vertical="center" wrapText="1"/>
    </xf>
    <xf numFmtId="165" fontId="28" fillId="0" borderId="9" xfId="4" applyNumberFormat="1" applyFont="1" applyFill="1" applyBorder="1" applyAlignment="1">
      <alignment vertical="center" wrapText="1"/>
    </xf>
    <xf numFmtId="3" fontId="28" fillId="0" borderId="10" xfId="4" applyNumberFormat="1" applyFont="1" applyFill="1" applyBorder="1" applyAlignment="1">
      <alignment vertical="center" wrapText="1"/>
    </xf>
    <xf numFmtId="3" fontId="28" fillId="0" borderId="9" xfId="4" applyNumberFormat="1" applyFont="1" applyFill="1" applyBorder="1" applyAlignment="1">
      <alignment vertical="center" wrapText="1"/>
    </xf>
    <xf numFmtId="3" fontId="92" fillId="7" borderId="11" xfId="3" applyNumberFormat="1" applyFont="1" applyFill="1" applyBorder="1" applyAlignment="1">
      <alignment vertical="center" wrapText="1"/>
    </xf>
    <xf numFmtId="3" fontId="92" fillId="7" borderId="17" xfId="3" applyNumberFormat="1" applyFont="1" applyFill="1" applyBorder="1" applyAlignment="1">
      <alignment vertical="center" wrapText="1"/>
    </xf>
    <xf numFmtId="165" fontId="92" fillId="7" borderId="17" xfId="4" applyNumberFormat="1" applyFont="1" applyFill="1" applyBorder="1" applyAlignment="1">
      <alignment vertical="center" wrapText="1"/>
    </xf>
    <xf numFmtId="165" fontId="92" fillId="7" borderId="9" xfId="4" applyNumberFormat="1" applyFont="1" applyFill="1" applyBorder="1" applyAlignment="1">
      <alignment vertical="center" wrapText="1"/>
    </xf>
    <xf numFmtId="3" fontId="92" fillId="7" borderId="17" xfId="4" applyNumberFormat="1" applyFont="1" applyFill="1" applyBorder="1" applyAlignment="1">
      <alignment vertical="center" wrapText="1"/>
    </xf>
    <xf numFmtId="3" fontId="92" fillId="7" borderId="11" xfId="4" applyNumberFormat="1" applyFont="1" applyFill="1" applyBorder="1" applyAlignment="1">
      <alignment vertical="center" wrapText="1"/>
    </xf>
    <xf numFmtId="165" fontId="31" fillId="0" borderId="9" xfId="4" applyNumberFormat="1" applyFont="1" applyFill="1" applyBorder="1" applyAlignment="1">
      <alignment vertical="center" wrapText="1"/>
    </xf>
    <xf numFmtId="3" fontId="1" fillId="0" borderId="9" xfId="4" applyNumberFormat="1" applyFont="1" applyFill="1" applyBorder="1" applyAlignment="1">
      <alignment vertical="center" wrapText="1"/>
    </xf>
    <xf numFmtId="3" fontId="45" fillId="0" borderId="9" xfId="6" applyNumberFormat="1" applyFont="1" applyFill="1" applyBorder="1" applyAlignment="1">
      <alignment vertical="center" wrapText="1"/>
    </xf>
    <xf numFmtId="165" fontId="45" fillId="0" borderId="10" xfId="6" applyNumberFormat="1" applyFont="1" applyFill="1" applyBorder="1" applyAlignment="1">
      <alignment vertical="center" wrapText="1"/>
    </xf>
    <xf numFmtId="165" fontId="45" fillId="0" borderId="10" xfId="4" applyNumberFormat="1" applyFont="1" applyFill="1" applyBorder="1" applyAlignment="1">
      <alignment vertical="center" wrapText="1"/>
    </xf>
    <xf numFmtId="165" fontId="45" fillId="0" borderId="9" xfId="4" applyNumberFormat="1" applyFont="1" applyFill="1" applyBorder="1" applyAlignment="1">
      <alignment vertical="center" wrapText="1"/>
    </xf>
    <xf numFmtId="3" fontId="45" fillId="0" borderId="10" xfId="4" applyNumberFormat="1" applyFont="1" applyFill="1" applyBorder="1" applyAlignment="1">
      <alignment vertical="center" wrapText="1"/>
    </xf>
    <xf numFmtId="3" fontId="45" fillId="0" borderId="9" xfId="4" applyNumberFormat="1" applyFont="1" applyFill="1" applyBorder="1" applyAlignment="1">
      <alignment vertical="center" wrapText="1"/>
    </xf>
    <xf numFmtId="3" fontId="93" fillId="7" borderId="11" xfId="3" applyNumberFormat="1" applyFont="1" applyFill="1" applyBorder="1" applyAlignment="1">
      <alignment vertical="center" wrapText="1"/>
    </xf>
    <xf numFmtId="3" fontId="93" fillId="7" borderId="17" xfId="3" applyNumberFormat="1" applyFont="1" applyFill="1" applyBorder="1" applyAlignment="1">
      <alignment vertical="center" wrapText="1"/>
    </xf>
    <xf numFmtId="165" fontId="93" fillId="7" borderId="17" xfId="4" applyNumberFormat="1" applyFont="1" applyFill="1" applyBorder="1" applyAlignment="1">
      <alignment vertical="center" wrapText="1"/>
    </xf>
    <xf numFmtId="165" fontId="93" fillId="7" borderId="9" xfId="4" applyNumberFormat="1" applyFont="1" applyFill="1" applyBorder="1" applyAlignment="1">
      <alignment vertical="center" wrapText="1"/>
    </xf>
    <xf numFmtId="3" fontId="93" fillId="7" borderId="17" xfId="4" applyNumberFormat="1" applyFont="1" applyFill="1" applyBorder="1" applyAlignment="1">
      <alignment vertical="center" wrapText="1"/>
    </xf>
    <xf numFmtId="3" fontId="93" fillId="7" borderId="11" xfId="4" applyNumberFormat="1" applyFont="1" applyFill="1" applyBorder="1" applyAlignment="1">
      <alignment vertical="center" wrapText="1"/>
    </xf>
    <xf numFmtId="167" fontId="48" fillId="0" borderId="9" xfId="6" applyNumberFormat="1" applyFont="1" applyFill="1" applyBorder="1" applyAlignment="1">
      <alignment horizontal="right" vertical="center" wrapText="1"/>
    </xf>
    <xf numFmtId="165" fontId="48" fillId="0" borderId="9" xfId="4" applyNumberFormat="1" applyFont="1" applyFill="1" applyBorder="1" applyAlignment="1">
      <alignment horizontal="right" vertical="center" wrapText="1"/>
    </xf>
    <xf numFmtId="165" fontId="54" fillId="0" borderId="10" xfId="6" applyNumberFormat="1" applyFont="1" applyFill="1" applyBorder="1" applyAlignment="1">
      <alignment vertical="center" wrapText="1"/>
    </xf>
    <xf numFmtId="165" fontId="54" fillId="0" borderId="10" xfId="4" applyNumberFormat="1" applyFont="1" applyFill="1" applyBorder="1" applyAlignment="1">
      <alignment vertical="center" wrapText="1"/>
    </xf>
    <xf numFmtId="165" fontId="54" fillId="0" borderId="9" xfId="4" applyNumberFormat="1" applyFont="1" applyFill="1" applyBorder="1" applyAlignment="1">
      <alignment vertical="center" wrapText="1"/>
    </xf>
    <xf numFmtId="165" fontId="53" fillId="0" borderId="10" xfId="6" applyNumberFormat="1" applyFont="1" applyFill="1" applyBorder="1" applyAlignment="1">
      <alignment vertical="center" wrapText="1"/>
    </xf>
    <xf numFmtId="165" fontId="53" fillId="0" borderId="10" xfId="4" applyNumberFormat="1" applyFont="1" applyFill="1" applyBorder="1" applyAlignment="1">
      <alignment vertical="center" wrapText="1"/>
    </xf>
    <xf numFmtId="165" fontId="53" fillId="0" borderId="9" xfId="4" applyNumberFormat="1" applyFont="1" applyFill="1" applyBorder="1" applyAlignment="1">
      <alignment vertical="center" wrapText="1"/>
    </xf>
    <xf numFmtId="165" fontId="49" fillId="0" borderId="10" xfId="6" applyNumberFormat="1" applyFont="1" applyFill="1" applyBorder="1" applyAlignment="1">
      <alignment vertical="center" wrapText="1"/>
    </xf>
    <xf numFmtId="3" fontId="57" fillId="0" borderId="10" xfId="6" applyNumberFormat="1" applyFont="1" applyFill="1" applyBorder="1" applyAlignment="1">
      <alignment vertical="center" wrapText="1"/>
    </xf>
    <xf numFmtId="3" fontId="57" fillId="0" borderId="9" xfId="6" applyNumberFormat="1" applyFont="1" applyFill="1" applyBorder="1" applyAlignment="1">
      <alignment vertical="center" wrapText="1"/>
    </xf>
    <xf numFmtId="3" fontId="2" fillId="0" borderId="10" xfId="6" applyNumberFormat="1" applyFont="1" applyFill="1" applyBorder="1" applyAlignment="1">
      <alignment vertical="center" wrapText="1"/>
    </xf>
    <xf numFmtId="3" fontId="2" fillId="0" borderId="9" xfId="6" applyNumberFormat="1" applyFont="1" applyFill="1" applyBorder="1" applyAlignment="1">
      <alignment vertical="center" wrapText="1"/>
    </xf>
    <xf numFmtId="165" fontId="34" fillId="11" borderId="10" xfId="6" applyNumberFormat="1" applyFont="1" applyFill="1" applyBorder="1" applyAlignment="1">
      <alignment vertical="center" wrapText="1"/>
    </xf>
    <xf numFmtId="3" fontId="34" fillId="11" borderId="10" xfId="6" applyNumberFormat="1" applyFont="1" applyFill="1" applyBorder="1" applyAlignment="1">
      <alignment vertical="center" wrapText="1"/>
    </xf>
    <xf numFmtId="3" fontId="34" fillId="11" borderId="9" xfId="6" applyNumberFormat="1" applyFont="1" applyFill="1" applyBorder="1" applyAlignment="1">
      <alignment vertical="center" wrapText="1"/>
    </xf>
    <xf numFmtId="0" fontId="94" fillId="0" borderId="0" xfId="5" applyFont="1" applyAlignment="1">
      <alignment vertical="center"/>
    </xf>
    <xf numFmtId="165" fontId="6" fillId="0" borderId="0" xfId="6" applyNumberFormat="1" applyFont="1" applyAlignment="1">
      <alignment vertical="center"/>
    </xf>
    <xf numFmtId="3" fontId="71" fillId="0" borderId="0" xfId="9" applyNumberFormat="1" applyFont="1" applyAlignment="1">
      <alignment vertical="center"/>
    </xf>
    <xf numFmtId="3" fontId="31" fillId="0" borderId="18" xfId="4" applyNumberFormat="1" applyFont="1" applyFill="1" applyBorder="1" applyAlignment="1">
      <alignment vertical="center" wrapText="1"/>
    </xf>
    <xf numFmtId="3" fontId="92" fillId="7" borderId="9" xfId="4" applyNumberFormat="1" applyFont="1" applyFill="1" applyBorder="1" applyAlignment="1">
      <alignment vertical="center" wrapText="1"/>
    </xf>
    <xf numFmtId="3" fontId="93" fillId="7" borderId="9" xfId="4" applyNumberFormat="1" applyFont="1" applyFill="1" applyBorder="1" applyAlignment="1">
      <alignment vertical="center" wrapText="1"/>
    </xf>
    <xf numFmtId="165" fontId="9" fillId="7" borderId="9" xfId="4" applyNumberFormat="1" applyFont="1" applyFill="1" applyBorder="1" applyAlignment="1">
      <alignment horizontal="center" vertical="center" wrapText="1"/>
    </xf>
    <xf numFmtId="3" fontId="48" fillId="0" borderId="11" xfId="4" applyNumberFormat="1" applyFont="1" applyFill="1" applyBorder="1" applyAlignment="1">
      <alignment horizontal="right" vertical="center" wrapText="1"/>
    </xf>
    <xf numFmtId="3" fontId="54" fillId="0" borderId="9" xfId="4" applyNumberFormat="1" applyFont="1" applyFill="1" applyBorder="1" applyAlignment="1">
      <alignment vertical="center" wrapText="1"/>
    </xf>
    <xf numFmtId="3" fontId="53" fillId="0" borderId="9" xfId="4" applyNumberFormat="1" applyFont="1" applyFill="1" applyBorder="1" applyAlignment="1">
      <alignment vertical="center" wrapText="1"/>
    </xf>
    <xf numFmtId="3" fontId="49" fillId="0" borderId="9" xfId="6" applyNumberFormat="1" applyFont="1" applyFill="1" applyBorder="1" applyAlignment="1">
      <alignment vertical="center" wrapText="1"/>
    </xf>
    <xf numFmtId="170" fontId="68" fillId="7" borderId="9" xfId="5" applyNumberFormat="1" applyFont="1" applyFill="1" applyBorder="1" applyAlignment="1" applyProtection="1">
      <alignment horizontal="center" vertical="center" wrapText="1"/>
      <protection locked="0"/>
    </xf>
    <xf numFmtId="3" fontId="10" fillId="0" borderId="3" xfId="3" quotePrefix="1" applyNumberFormat="1" applyFont="1" applyBorder="1" applyAlignment="1">
      <alignment horizontal="center" vertical="center" wrapText="1"/>
    </xf>
    <xf numFmtId="3" fontId="10" fillId="0" borderId="4" xfId="3" quotePrefix="1" applyNumberFormat="1" applyFont="1" applyBorder="1" applyAlignment="1">
      <alignment horizontal="center" vertical="center" wrapText="1"/>
    </xf>
    <xf numFmtId="3" fontId="10" fillId="0" borderId="5" xfId="3" quotePrefix="1" applyNumberFormat="1" applyFont="1" applyBorder="1" applyAlignment="1">
      <alignment horizontal="center" vertical="center" wrapText="1"/>
    </xf>
    <xf numFmtId="3" fontId="10" fillId="0" borderId="6" xfId="3" quotePrefix="1" applyNumberFormat="1" applyFont="1" applyBorder="1" applyAlignment="1">
      <alignment horizontal="center" vertical="center" wrapText="1"/>
    </xf>
  </cellXfs>
  <cellStyles count="10">
    <cellStyle name="Comma" xfId="1" builtinId="3"/>
    <cellStyle name="Comma 2" xfId="9" xr:uid="{BD43A46F-E640-4A8C-B639-29F88E1B79E4}"/>
    <cellStyle name="Comma 3" xfId="4" xr:uid="{F25F84D2-5589-44DE-9950-6485DC9FFE80}"/>
    <cellStyle name="Comma 5" xfId="8" xr:uid="{CB96F677-1D65-436D-9BCF-BED8A52989EC}"/>
    <cellStyle name="Comma 5 2" xfId="6" xr:uid="{DE3FA4DC-F408-4DF2-AEEA-5834E79E964E}"/>
    <cellStyle name="Normal" xfId="0" builtinId="0"/>
    <cellStyle name="Normal 2" xfId="3" xr:uid="{E3F7B28D-97D8-416F-A27A-2A7F19840C50}"/>
    <cellStyle name="Normal 3" xfId="5" xr:uid="{13D9C81C-EB6D-4FCD-8EC1-AA677647164D}"/>
    <cellStyle name="Percent" xfId="2" builtinId="5"/>
    <cellStyle name="Percent 2 2" xfId="7" xr:uid="{7FBD8D31-69BA-4251-8962-CB97B5679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.sharepoint.com/sites/duytan-holding/fad/COR/01.NG&#194;N%20S&#193;CH/AP%202026/00.H&#7906;P%20NH&#7844;T/00.Performance%20by%20Company%20-%20KHNS%202026.xlsx" TargetMode="External"/><Relationship Id="rId1" Type="http://schemas.openxmlformats.org/officeDocument/2006/relationships/externalLinkPath" Target="https://dtg.sharepoint.com/sites/duytan-holding/fad/COR/01.NG&#194;N%20S&#193;CH/AP%202026/00.H&#7906;P%20NH&#7844;T/00.Performance%20by%20Company%20-%20KHN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emplate_FS"/>
      <sheetName val="Slicer"/>
      <sheetName val="Yearly Performance"/>
      <sheetName val="Access Control Matrix"/>
      <sheetName val="Info"/>
      <sheetName val="Shareholders"/>
      <sheetName val="KPIs"/>
      <sheetName val="FS matrix"/>
      <sheetName val="Data"/>
      <sheetName val="Data query"/>
      <sheetName val="Performance"/>
      <sheetName val="GDNB"/>
      <sheetName val="Con_All_Cty"/>
      <sheetName val="Con_All_thang"/>
      <sheetName val="Con_All_Non US"/>
      <sheetName val="Con_Holding"/>
      <sheetName val="Con_Recycle"/>
      <sheetName val="Con_Mold"/>
      <sheetName val="Con_Real Estate"/>
      <sheetName val="Con_Service"/>
      <sheetName val="Com_All"/>
      <sheetName val="Consolidate"/>
      <sheetName val="Com_All_Non US"/>
      <sheetName val="Com_Holding"/>
      <sheetName val="Com_Recycle"/>
      <sheetName val="Com_Mold"/>
      <sheetName val="Com_Real Estate"/>
      <sheetName val="Com_Service"/>
      <sheetName val="DT Group"/>
      <sheetName val="DT Xanh"/>
      <sheetName val="TNHH Nhua"/>
      <sheetName val="TNHH DT"/>
      <sheetName val="DTG"/>
      <sheetName val="DTR"/>
      <sheetName val="Dai Loc"/>
      <sheetName val="Dong Lam"/>
      <sheetName val="Khanh Nga"/>
      <sheetName val="TDP"/>
      <sheetName val="DTRVL"/>
      <sheetName val="MIDA"/>
      <sheetName val="DUFO"/>
      <sheetName val="NATEC"/>
      <sheetName val="Plenma"/>
      <sheetName val="Plascene"/>
      <sheetName val="CAT VAN"/>
      <sheetName val="Tan Binh"/>
      <sheetName val="Thanh Phat"/>
      <sheetName val="TLP"/>
      <sheetName val="DA NANG"/>
      <sheetName val="YNV"/>
      <sheetName val="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C3">
            <v>2024</v>
          </cell>
          <cell r="D3">
            <v>2024</v>
          </cell>
          <cell r="E3">
            <v>2024</v>
          </cell>
          <cell r="F3">
            <v>2024</v>
          </cell>
          <cell r="G3">
            <v>2024</v>
          </cell>
          <cell r="H3">
            <v>2024</v>
          </cell>
          <cell r="I3">
            <v>2024</v>
          </cell>
          <cell r="J3">
            <v>2024</v>
          </cell>
          <cell r="K3">
            <v>2024</v>
          </cell>
          <cell r="L3">
            <v>2024</v>
          </cell>
          <cell r="M3">
            <v>2024</v>
          </cell>
          <cell r="N3">
            <v>2024</v>
          </cell>
          <cell r="O3">
            <v>2025</v>
          </cell>
          <cell r="P3">
            <v>2025</v>
          </cell>
          <cell r="Q3">
            <v>2025</v>
          </cell>
          <cell r="R3">
            <v>2025</v>
          </cell>
          <cell r="S3">
            <v>2025</v>
          </cell>
          <cell r="T3">
            <v>2025</v>
          </cell>
          <cell r="U3">
            <v>2025</v>
          </cell>
          <cell r="V3">
            <v>2025</v>
          </cell>
          <cell r="W3">
            <v>2025</v>
          </cell>
          <cell r="X3">
            <v>2025</v>
          </cell>
          <cell r="Y3">
            <v>2025</v>
          </cell>
          <cell r="Z3">
            <v>2025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2AE8-E45B-4E4C-ADA0-7C9317ABE785}">
  <sheetPr>
    <tabColor theme="4" tint="0.39997558519241921"/>
    <outlinePr summaryBelow="0" summaryRight="0"/>
  </sheetPr>
  <dimension ref="A1:AZ334"/>
  <sheetViews>
    <sheetView showGridLines="0" showZeros="0" zoomScale="80" zoomScaleNormal="80" workbookViewId="0">
      <pane xSplit="1" ySplit="5" topLeftCell="AI133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L153" sqref="AL153"/>
    </sheetView>
  </sheetViews>
  <sheetFormatPr defaultColWidth="9.26953125" defaultRowHeight="15" customHeight="1" outlineLevelRow="1" outlineLevelCol="1"/>
  <cols>
    <col min="1" max="1" width="49" style="49" customWidth="1"/>
    <col min="2" max="2" width="8.1796875" style="174" hidden="1" customWidth="1" collapsed="1"/>
    <col min="3" max="6" width="19.54296875" style="49" hidden="1" customWidth="1" outlineLevel="1"/>
    <col min="7" max="14" width="20" style="49" hidden="1" customWidth="1" outlineLevel="1"/>
    <col min="15" max="17" width="19.54296875" style="49" hidden="1" customWidth="1" outlineLevel="1"/>
    <col min="18" max="22" width="19.26953125" style="49" hidden="1" customWidth="1" outlineLevel="1"/>
    <col min="23" max="25" width="20" style="49" hidden="1" customWidth="1" outlineLevel="1"/>
    <col min="26" max="26" width="18.81640625" style="49" hidden="1" customWidth="1" outlineLevel="1"/>
    <col min="27" max="27" width="17.54296875" style="43" bestFit="1" customWidth="1"/>
    <col min="28" max="28" width="17.81640625" style="74" bestFit="1" customWidth="1"/>
    <col min="29" max="31" width="17.81640625" style="43" bestFit="1" customWidth="1"/>
    <col min="32" max="33" width="18.26953125" style="43" bestFit="1" customWidth="1"/>
    <col min="34" max="36" width="18.54296875" style="43" bestFit="1" customWidth="1"/>
    <col min="37" max="37" width="17.81640625" style="43" bestFit="1" customWidth="1"/>
    <col min="38" max="38" width="18.26953125" style="43" bestFit="1" customWidth="1"/>
    <col min="39" max="39" width="18.7265625" style="43" bestFit="1" customWidth="1"/>
    <col min="40" max="43" width="9.26953125" style="43"/>
    <col min="44" max="44" width="7.81640625" style="43" customWidth="1"/>
    <col min="45" max="16384" width="9.26953125" style="43"/>
  </cols>
  <sheetData>
    <row r="1" spans="1:26" ht="19.5" customHeight="1">
      <c r="A1" s="39" t="s">
        <v>62</v>
      </c>
      <c r="B1" s="40"/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1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9.5" hidden="1" customHeight="1">
      <c r="A2" s="44" t="s">
        <v>63</v>
      </c>
      <c r="B2" s="45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1"/>
      <c r="P2" s="42"/>
      <c r="Q2" s="42"/>
      <c r="R2" s="42"/>
      <c r="S2" s="42"/>
      <c r="T2" s="42"/>
      <c r="U2" s="42"/>
      <c r="V2" s="46"/>
      <c r="W2" s="42"/>
      <c r="X2" s="42"/>
      <c r="Y2" s="42"/>
      <c r="Z2" s="42"/>
    </row>
    <row r="3" spans="1:26" ht="19.5" hidden="1" customHeight="1">
      <c r="A3" s="47"/>
      <c r="B3" s="45"/>
      <c r="C3" s="48">
        <v>2024</v>
      </c>
      <c r="D3" s="42">
        <f>C3</f>
        <v>2024</v>
      </c>
      <c r="E3" s="42">
        <f>D3</f>
        <v>2024</v>
      </c>
      <c r="F3" s="42">
        <f t="shared" ref="F3:N3" si="0">E3</f>
        <v>2024</v>
      </c>
      <c r="G3" s="42">
        <f t="shared" si="0"/>
        <v>2024</v>
      </c>
      <c r="H3" s="42">
        <f>G3</f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8">
        <v>2025</v>
      </c>
      <c r="P3" s="42">
        <f>O3</f>
        <v>2025</v>
      </c>
      <c r="Q3" s="42">
        <f>P3</f>
        <v>2025</v>
      </c>
      <c r="R3" s="42">
        <f>Q3</f>
        <v>2025</v>
      </c>
      <c r="S3" s="42">
        <f>R3</f>
        <v>2025</v>
      </c>
      <c r="T3" s="42">
        <f>S3</f>
        <v>2025</v>
      </c>
      <c r="U3" s="42">
        <f t="shared" ref="U3:Z3" si="1">T3</f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f t="shared" si="1"/>
        <v>2025</v>
      </c>
    </row>
    <row r="4" spans="1:26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</row>
    <row r="5" spans="1:26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3" t="s">
        <v>78</v>
      </c>
      <c r="P5" s="53" t="s">
        <v>79</v>
      </c>
      <c r="Q5" s="53" t="s">
        <v>80</v>
      </c>
      <c r="R5" s="53" t="s">
        <v>81</v>
      </c>
      <c r="S5" s="53" t="s">
        <v>82</v>
      </c>
      <c r="T5" s="53" t="s">
        <v>83</v>
      </c>
      <c r="U5" s="53" t="s">
        <v>84</v>
      </c>
      <c r="V5" s="53" t="s">
        <v>85</v>
      </c>
      <c r="W5" s="53" t="s">
        <v>86</v>
      </c>
      <c r="X5" s="53" t="s">
        <v>87</v>
      </c>
      <c r="Y5" s="53" t="s">
        <v>88</v>
      </c>
      <c r="Z5" s="53" t="s">
        <v>89</v>
      </c>
    </row>
    <row r="6" spans="1:26" ht="15" hidden="1" customHeight="1" outlineLevel="1">
      <c r="A6" s="56" t="s">
        <v>90</v>
      </c>
      <c r="B6" s="57">
        <v>1</v>
      </c>
      <c r="C6" s="58">
        <f>DTR!C6+'Dai Loc'!C6+'Dong Lam'!C6+'Khanh Nga'!C6+TDP!C6+DTRVL!C6</f>
        <v>842504987537</v>
      </c>
      <c r="D6" s="58">
        <f>DTR!D6+'Dai Loc'!D6+'Dong Lam'!D6+'Khanh Nga'!D6+TDP!D6+DTRVL!D6</f>
        <v>828028218928</v>
      </c>
      <c r="E6" s="58">
        <f>DTR!E6+'Dai Loc'!E6+'Dong Lam'!E6+'Khanh Nga'!E6+TDP!E6+DTRVL!E6</f>
        <v>866642137961.85999</v>
      </c>
      <c r="F6" s="58">
        <f>DTR!F6+'Dai Loc'!F6+'Dong Lam'!F6+'Khanh Nga'!F6+TDP!F6+DTRVL!F6</f>
        <v>928663771131.88196</v>
      </c>
      <c r="G6" s="58">
        <f>DTR!G6+'Dai Loc'!G6+'Dong Lam'!G6+'Khanh Nga'!G6+TDP!G6+DTRVL!G6</f>
        <v>974972463666</v>
      </c>
      <c r="H6" s="58">
        <f>DTR!H6+'Dai Loc'!H6+'Dong Lam'!H6+'Khanh Nga'!H6+TDP!H6+DTRVL!H6</f>
        <v>1000977606992</v>
      </c>
      <c r="I6" s="58">
        <f>DTR!I6+'Dai Loc'!I6+'Dong Lam'!I6+'Khanh Nga'!I6+TDP!I6+DTRVL!I6</f>
        <v>945309048746</v>
      </c>
      <c r="J6" s="58">
        <f>DTR!J6+'Dai Loc'!J6+'Dong Lam'!J6+'Khanh Nga'!J6+TDP!J6+DTRVL!J6</f>
        <v>891517737502</v>
      </c>
      <c r="K6" s="58">
        <f>DTR!K6+'Dai Loc'!K6+'Dong Lam'!K6+'Khanh Nga'!K6+TDP!K6+DTRVL!K6</f>
        <v>936081186419</v>
      </c>
      <c r="L6" s="58">
        <f>DTR!L6+'Dai Loc'!L6+'Dong Lam'!L6+'Khanh Nga'!L6+TDP!L6+DTRVL!L6</f>
        <v>958515464055</v>
      </c>
      <c r="M6" s="58">
        <f>DTR!M6+'Dai Loc'!M6+'Dong Lam'!M6+'Khanh Nga'!M6+TDP!M6+DTRVL!M6</f>
        <v>1056118226546</v>
      </c>
      <c r="N6" s="58">
        <f>DTR!N6+'Dai Loc'!N6+'Dong Lam'!N6+'Khanh Nga'!N6+TDP!N6+DTRVL!N6</f>
        <v>1029421488703.4821</v>
      </c>
      <c r="O6" s="58">
        <f>DTR!O6+'Dai Loc'!O6+'Dong Lam'!O6+'Khanh Nga'!O6+TDP!O6+DTRVL!O6</f>
        <v>954748296331.99988</v>
      </c>
      <c r="P6" s="58">
        <f>DTR!P6+'Dai Loc'!P6+'Dong Lam'!P6+'Khanh Nga'!P6+TDP!P6+DTRVL!P6</f>
        <v>877023182835</v>
      </c>
      <c r="Q6" s="58">
        <f>DTR!Q6+'Dai Loc'!Q6+'Dong Lam'!Q6+'Khanh Nga'!Q6+TDP!Q6+DTRVL!Q6</f>
        <v>926484056508.48206</v>
      </c>
      <c r="R6" s="58">
        <f>DTR!R6+'Dai Loc'!R6+'Dong Lam'!R6+'Khanh Nga'!R6+TDP!R6+DTRVL!R6</f>
        <v>989123220558</v>
      </c>
      <c r="S6" s="58">
        <f>DTR!S6+'Dai Loc'!S6+'Dong Lam'!S6+'Khanh Nga'!S6+TDP!S6+DTRVL!S6</f>
        <v>1043494783381</v>
      </c>
      <c r="T6" s="58">
        <f>DTR!T6+'Dai Loc'!T6+'Dong Lam'!T6+'Khanh Nga'!T6+TDP!T6+DTRVL!T6</f>
        <v>1075521458975.4821</v>
      </c>
      <c r="U6" s="58">
        <f>DTR!U6+'Dai Loc'!U6+'Dong Lam'!U6+'Khanh Nga'!U6+TDP!U6+DTRVL!U6</f>
        <v>1073841120904.4821</v>
      </c>
      <c r="V6" s="58">
        <f>DTR!V6+'Dai Loc'!V6+'Dong Lam'!V6+'Khanh Nga'!V6+TDP!V6+DTRVL!V6</f>
        <v>1139773704415.4819</v>
      </c>
      <c r="W6" s="58">
        <f>DTR!W6+'Dai Loc'!W6+'Dong Lam'!W6+'Khanh Nga'!W6+TDP!W6+DTRVL!W6</f>
        <v>1115503103952.4819</v>
      </c>
      <c r="X6" s="58">
        <f>DTR!X6+'Dai Loc'!X6+'Dong Lam'!X6+'Khanh Nga'!X6+TDP!X6+DTRVL!X6</f>
        <v>1056233588295.4821</v>
      </c>
      <c r="Y6" s="58">
        <f>DTR!Y6+'Dai Loc'!Y6+'Dong Lam'!Y6+'Khanh Nga'!Y6+TDP!Y6+DTRVL!Y6</f>
        <v>1031774824737.4821</v>
      </c>
      <c r="Z6" s="58">
        <f>DTR!Z6+'Dai Loc'!Z6+'Dong Lam'!Z6+'Khanh Nga'!Z6+TDP!Z6+DTRVL!Z6</f>
        <v>1027131422218</v>
      </c>
    </row>
    <row r="7" spans="1:26" ht="15" hidden="1" customHeight="1" outlineLevel="1">
      <c r="A7" s="59" t="s">
        <v>91</v>
      </c>
      <c r="B7" s="60">
        <v>2</v>
      </c>
      <c r="C7" s="61">
        <f>DTR!C7+'Dai Loc'!C7+'Dong Lam'!C7+'Khanh Nga'!C7+TDP!C7+DTRVL!C7</f>
        <v>46633249760</v>
      </c>
      <c r="D7" s="61">
        <f>DTR!D7+'Dai Loc'!D7+'Dong Lam'!D7+'Khanh Nga'!D7+TDP!D7+DTRVL!D7</f>
        <v>35851802774</v>
      </c>
      <c r="E7" s="61">
        <f>DTR!E7+'Dai Loc'!E7+'Dong Lam'!E7+'Khanh Nga'!E7+TDP!E7+DTRVL!E7</f>
        <v>26393055917</v>
      </c>
      <c r="F7" s="61">
        <f>DTR!F7+'Dai Loc'!F7+'Dong Lam'!F7+'Khanh Nga'!F7+TDP!F7+DTRVL!F7</f>
        <v>34593153167</v>
      </c>
      <c r="G7" s="61">
        <f>DTR!G7+'Dai Loc'!G7+'Dong Lam'!G7+'Khanh Nga'!G7+TDP!G7+DTRVL!G7</f>
        <v>33199136312</v>
      </c>
      <c r="H7" s="61">
        <f>DTR!H7+'Dai Loc'!H7+'Dong Lam'!H7+'Khanh Nga'!H7+TDP!H7+DTRVL!H7</f>
        <v>19638634542</v>
      </c>
      <c r="I7" s="61">
        <f>DTR!I7+'Dai Loc'!I7+'Dong Lam'!I7+'Khanh Nga'!I7+TDP!I7+DTRVL!I7</f>
        <v>56271006190</v>
      </c>
      <c r="J7" s="61">
        <f>DTR!J7+'Dai Loc'!J7+'Dong Lam'!J7+'Khanh Nga'!J7+TDP!J7+DTRVL!J7</f>
        <v>35429490170</v>
      </c>
      <c r="K7" s="61">
        <f>DTR!K7+'Dai Loc'!K7+'Dong Lam'!K7+'Khanh Nga'!K7+TDP!K7+DTRVL!K7</f>
        <v>48429525475</v>
      </c>
      <c r="L7" s="61">
        <f>DTR!L7+'Dai Loc'!L7+'Dong Lam'!L7+'Khanh Nga'!L7+TDP!L7+DTRVL!L7</f>
        <v>78014775934</v>
      </c>
      <c r="M7" s="61">
        <f>DTR!M7+'Dai Loc'!M7+'Dong Lam'!M7+'Khanh Nga'!M7+TDP!M7+DTRVL!M7</f>
        <v>81105192016</v>
      </c>
      <c r="N7" s="61">
        <f>DTR!N7+'Dai Loc'!N7+'Dong Lam'!N7+'Khanh Nga'!N7+TDP!N7+DTRVL!N7</f>
        <v>78515947311</v>
      </c>
      <c r="O7" s="61">
        <f>DTR!O7+'Dai Loc'!O7+'Dong Lam'!O7+'Khanh Nga'!O7+TDP!O7+DTRVL!O7</f>
        <v>108757458297</v>
      </c>
      <c r="P7" s="61">
        <f>DTR!P7+'Dai Loc'!P7+'Dong Lam'!P7+'Khanh Nga'!P7+TDP!P7+DTRVL!P7</f>
        <v>63047560922</v>
      </c>
      <c r="Q7" s="61">
        <f>DTR!Q7+'Dai Loc'!Q7+'Dong Lam'!Q7+'Khanh Nga'!Q7+TDP!Q7+DTRVL!Q7</f>
        <v>57546333332</v>
      </c>
      <c r="R7" s="61">
        <f>DTR!R7+'Dai Loc'!R7+'Dong Lam'!R7+'Khanh Nga'!R7+TDP!R7+DTRVL!R7</f>
        <v>72781093895</v>
      </c>
      <c r="S7" s="61">
        <f>DTR!S7+'Dai Loc'!S7+'Dong Lam'!S7+'Khanh Nga'!S7+TDP!S7+DTRVL!S7</f>
        <v>53850392378</v>
      </c>
      <c r="T7" s="61">
        <f>DTR!T7+'Dai Loc'!T7+'Dong Lam'!T7+'Khanh Nga'!T7+TDP!T7+DTRVL!T7</f>
        <v>47310681042</v>
      </c>
      <c r="U7" s="61">
        <f>DTR!U7+'Dai Loc'!U7+'Dong Lam'!U7+'Khanh Nga'!U7+TDP!U7+DTRVL!U7</f>
        <v>46943683940</v>
      </c>
      <c r="V7" s="61">
        <f>DTR!V7+'Dai Loc'!V7+'Dong Lam'!V7+'Khanh Nga'!V7+TDP!V7+DTRVL!V7</f>
        <v>52760383890</v>
      </c>
      <c r="W7" s="61">
        <f>DTR!W7+'Dai Loc'!W7+'Dong Lam'!W7+'Khanh Nga'!W7+TDP!W7+DTRVL!W7</f>
        <v>94749581700</v>
      </c>
      <c r="X7" s="61">
        <f>DTR!X7+'Dai Loc'!X7+'Dong Lam'!X7+'Khanh Nga'!X7+TDP!X7+DTRVL!X7</f>
        <v>86336513720</v>
      </c>
      <c r="Y7" s="61">
        <f>DTR!Y7+'Dai Loc'!Y7+'Dong Lam'!Y7+'Khanh Nga'!Y7+TDP!Y7+DTRVL!Y7</f>
        <v>82814145673</v>
      </c>
      <c r="Z7" s="61">
        <f>DTR!Z7+'Dai Loc'!Z7+'Dong Lam'!Z7+'Khanh Nga'!Z7+TDP!Z7+DTRVL!Z7</f>
        <v>63226156108</v>
      </c>
    </row>
    <row r="8" spans="1:26" ht="15" hidden="1" customHeight="1" outlineLevel="1">
      <c r="A8" s="62" t="s">
        <v>92</v>
      </c>
      <c r="B8" s="63">
        <v>3</v>
      </c>
      <c r="C8" s="64">
        <f>DTR!C8+'Dai Loc'!C8+'Dong Lam'!C8+'Khanh Nga'!C8+TDP!C8+DTRVL!C8</f>
        <v>39793249760</v>
      </c>
      <c r="D8" s="64">
        <f>DTR!D8+'Dai Loc'!D8+'Dong Lam'!D8+'Khanh Nga'!D8+TDP!D8+DTRVL!D8</f>
        <v>29011802774</v>
      </c>
      <c r="E8" s="64">
        <f>DTR!E8+'Dai Loc'!E8+'Dong Lam'!E8+'Khanh Nga'!E8+TDP!E8+DTRVL!E8</f>
        <v>21563055917</v>
      </c>
      <c r="F8" s="64">
        <f>DTR!F8+'Dai Loc'!F8+'Dong Lam'!F8+'Khanh Nga'!F8+TDP!F8+DTRVL!F8</f>
        <v>25763153167</v>
      </c>
      <c r="G8" s="64">
        <f>DTR!G8+'Dai Loc'!G8+'Dong Lam'!G8+'Khanh Nga'!G8+TDP!G8+DTRVL!G8</f>
        <v>24369136312</v>
      </c>
      <c r="H8" s="64">
        <f>DTR!H8+'Dai Loc'!H8+'Dong Lam'!H8+'Khanh Nga'!H8+TDP!H8+DTRVL!H8</f>
        <v>14808634542</v>
      </c>
      <c r="I8" s="64">
        <f>DTR!I8+'Dai Loc'!I8+'Dong Lam'!I8+'Khanh Nga'!I8+TDP!I8+DTRVL!I8</f>
        <v>48441006190</v>
      </c>
      <c r="J8" s="64">
        <f>DTR!J8+'Dai Loc'!J8+'Dong Lam'!J8+'Khanh Nga'!J8+TDP!J8+DTRVL!J8</f>
        <v>27599490170</v>
      </c>
      <c r="K8" s="64">
        <f>DTR!K8+'Dai Loc'!K8+'Dong Lam'!K8+'Khanh Nga'!K8+TDP!K8+DTRVL!K8</f>
        <v>41429525475</v>
      </c>
      <c r="L8" s="64">
        <f>DTR!L8+'Dai Loc'!L8+'Dong Lam'!L8+'Khanh Nga'!L8+TDP!L8+DTRVL!L8</f>
        <v>71014775934</v>
      </c>
      <c r="M8" s="64">
        <f>DTR!M8+'Dai Loc'!M8+'Dong Lam'!M8+'Khanh Nga'!M8+TDP!M8+DTRVL!M8</f>
        <v>74105192016</v>
      </c>
      <c r="N8" s="64">
        <f>DTR!N8+'Dai Loc'!N8+'Dong Lam'!N8+'Khanh Nga'!N8+TDP!N8+DTRVL!N8</f>
        <v>61515947311</v>
      </c>
      <c r="O8" s="64">
        <f>DTR!O8+'Dai Loc'!O8+'Dong Lam'!O8+'Khanh Nga'!O8+TDP!O8+DTRVL!O8</f>
        <v>98917458297</v>
      </c>
      <c r="P8" s="64">
        <f>DTR!P8+'Dai Loc'!P8+'Dong Lam'!P8+'Khanh Nga'!P8+TDP!P8+DTRVL!P8</f>
        <v>53207560922</v>
      </c>
      <c r="Q8" s="64">
        <f>DTR!Q8+'Dai Loc'!Q8+'Dong Lam'!Q8+'Khanh Nga'!Q8+TDP!Q8+DTRVL!Q8</f>
        <v>49746333332</v>
      </c>
      <c r="R8" s="64">
        <f>DTR!R8+'Dai Loc'!R8+'Dong Lam'!R8+'Khanh Nga'!R8+TDP!R8+DTRVL!R8</f>
        <v>64981093895</v>
      </c>
      <c r="S8" s="64">
        <f>DTR!S8+'Dai Loc'!S8+'Dong Lam'!S8+'Khanh Nga'!S8+TDP!S8+DTRVL!S8</f>
        <v>46850392378</v>
      </c>
      <c r="T8" s="64">
        <f>DTR!T8+'Dai Loc'!T8+'Dong Lam'!T8+'Khanh Nga'!T8+TDP!T8+DTRVL!T8</f>
        <v>40310681042</v>
      </c>
      <c r="U8" s="64">
        <f>DTR!U8+'Dai Loc'!U8+'Dong Lam'!U8+'Khanh Nga'!U8+TDP!U8+DTRVL!U8</f>
        <v>40943683940</v>
      </c>
      <c r="V8" s="64">
        <f>DTR!V8+'Dai Loc'!V8+'Dong Lam'!V8+'Khanh Nga'!V8+TDP!V8+DTRVL!V8</f>
        <v>46060383890</v>
      </c>
      <c r="W8" s="64">
        <f>DTR!W8+'Dai Loc'!W8+'Dong Lam'!W8+'Khanh Nga'!W8+TDP!W8+DTRVL!W8</f>
        <v>88049581700</v>
      </c>
      <c r="X8" s="64">
        <f>DTR!X8+'Dai Loc'!X8+'Dong Lam'!X8+'Khanh Nga'!X8+TDP!X8+DTRVL!X8</f>
        <v>51636513720</v>
      </c>
      <c r="Y8" s="64">
        <f>DTR!Y8+'Dai Loc'!Y8+'Dong Lam'!Y8+'Khanh Nga'!Y8+TDP!Y8+DTRVL!Y8</f>
        <v>50114145673</v>
      </c>
      <c r="Z8" s="64">
        <f>DTR!Z8+'Dai Loc'!Z8+'Dong Lam'!Z8+'Khanh Nga'!Z8+TDP!Z8+DTRVL!Z8</f>
        <v>53526156108</v>
      </c>
    </row>
    <row r="9" spans="1:26" ht="15" hidden="1" customHeight="1" outlineLevel="1">
      <c r="A9" s="62" t="s">
        <v>93</v>
      </c>
      <c r="B9" s="63">
        <v>4</v>
      </c>
      <c r="C9" s="64">
        <f>DTR!C9+'Dai Loc'!C9+'Dong Lam'!C9+'Khanh Nga'!C9+TDP!C9+DTRVL!C9</f>
        <v>6840000000</v>
      </c>
      <c r="D9" s="64">
        <f>DTR!D9+'Dai Loc'!D9+'Dong Lam'!D9+'Khanh Nga'!D9+TDP!D9+DTRVL!D9</f>
        <v>6840000000</v>
      </c>
      <c r="E9" s="64">
        <f>DTR!E9+'Dai Loc'!E9+'Dong Lam'!E9+'Khanh Nga'!E9+TDP!E9+DTRVL!E9</f>
        <v>4830000000</v>
      </c>
      <c r="F9" s="64">
        <f>DTR!F9+'Dai Loc'!F9+'Dong Lam'!F9+'Khanh Nga'!F9+TDP!F9+DTRVL!F9</f>
        <v>8830000000</v>
      </c>
      <c r="G9" s="64">
        <f>DTR!G9+'Dai Loc'!G9+'Dong Lam'!G9+'Khanh Nga'!G9+TDP!G9+DTRVL!G9</f>
        <v>8830000000</v>
      </c>
      <c r="H9" s="64">
        <f>DTR!H9+'Dai Loc'!H9+'Dong Lam'!H9+'Khanh Nga'!H9+TDP!H9+DTRVL!H9</f>
        <v>4830000000</v>
      </c>
      <c r="I9" s="64">
        <f>DTR!I9+'Dai Loc'!I9+'Dong Lam'!I9+'Khanh Nga'!I9+TDP!I9+DTRVL!I9</f>
        <v>7830000000</v>
      </c>
      <c r="J9" s="64">
        <f>DTR!J9+'Dai Loc'!J9+'Dong Lam'!J9+'Khanh Nga'!J9+TDP!J9+DTRVL!J9</f>
        <v>7830000000</v>
      </c>
      <c r="K9" s="64">
        <f>DTR!K9+'Dai Loc'!K9+'Dong Lam'!K9+'Khanh Nga'!K9+TDP!K9+DTRVL!K9</f>
        <v>7000000000</v>
      </c>
      <c r="L9" s="64">
        <f>DTR!L9+'Dai Loc'!L9+'Dong Lam'!L9+'Khanh Nga'!L9+TDP!L9+DTRVL!L9</f>
        <v>7000000000</v>
      </c>
      <c r="M9" s="64">
        <f>DTR!M9+'Dai Loc'!M9+'Dong Lam'!M9+'Khanh Nga'!M9+TDP!M9+DTRVL!M9</f>
        <v>7000000000</v>
      </c>
      <c r="N9" s="64">
        <f>DTR!N9+'Dai Loc'!N9+'Dong Lam'!N9+'Khanh Nga'!N9+TDP!N9+DTRVL!N9</f>
        <v>17000000000</v>
      </c>
      <c r="O9" s="64">
        <f>DTR!O9+'Dai Loc'!O9+'Dong Lam'!O9+'Khanh Nga'!O9+TDP!O9+DTRVL!O9</f>
        <v>9840000000</v>
      </c>
      <c r="P9" s="64">
        <f>DTR!P9+'Dai Loc'!P9+'Dong Lam'!P9+'Khanh Nga'!P9+TDP!P9+DTRVL!P9</f>
        <v>9840000000</v>
      </c>
      <c r="Q9" s="64">
        <f>DTR!Q9+'Dai Loc'!Q9+'Dong Lam'!Q9+'Khanh Nga'!Q9+TDP!Q9+DTRVL!Q9</f>
        <v>7800000000</v>
      </c>
      <c r="R9" s="64">
        <f>DTR!R9+'Dai Loc'!R9+'Dong Lam'!R9+'Khanh Nga'!R9+TDP!R9+DTRVL!R9</f>
        <v>7800000000</v>
      </c>
      <c r="S9" s="64">
        <f>DTR!S9+'Dai Loc'!S9+'Dong Lam'!S9+'Khanh Nga'!S9+TDP!S9+DTRVL!S9</f>
        <v>7000000000</v>
      </c>
      <c r="T9" s="64">
        <f>DTR!T9+'Dai Loc'!T9+'Dong Lam'!T9+'Khanh Nga'!T9+TDP!T9+DTRVL!T9</f>
        <v>7000000000</v>
      </c>
      <c r="U9" s="64">
        <f>DTR!U9+'Dai Loc'!U9+'Dong Lam'!U9+'Khanh Nga'!U9+TDP!U9+DTRVL!U9</f>
        <v>6000000000</v>
      </c>
      <c r="V9" s="64">
        <f>DTR!V9+'Dai Loc'!V9+'Dong Lam'!V9+'Khanh Nga'!V9+TDP!V9+DTRVL!V9</f>
        <v>6700000000</v>
      </c>
      <c r="W9" s="64">
        <f>DTR!W9+'Dai Loc'!W9+'Dong Lam'!W9+'Khanh Nga'!W9+TDP!W9+DTRVL!W9</f>
        <v>6700000000</v>
      </c>
      <c r="X9" s="64">
        <f>DTR!X9+'Dai Loc'!X9+'Dong Lam'!X9+'Khanh Nga'!X9+TDP!X9+DTRVL!X9</f>
        <v>34700000000</v>
      </c>
      <c r="Y9" s="64">
        <f>DTR!Y9+'Dai Loc'!Y9+'Dong Lam'!Y9+'Khanh Nga'!Y9+TDP!Y9+DTRVL!Y9</f>
        <v>32700000000</v>
      </c>
      <c r="Z9" s="64">
        <f>DTR!Z9+'Dai Loc'!Z9+'Dong Lam'!Z9+'Khanh Nga'!Z9+TDP!Z9+DTRVL!Z9</f>
        <v>9700000000</v>
      </c>
    </row>
    <row r="10" spans="1:26" ht="15" hidden="1" customHeight="1" outlineLevel="1">
      <c r="A10" s="59" t="s">
        <v>94</v>
      </c>
      <c r="B10" s="65">
        <v>5</v>
      </c>
      <c r="C10" s="61">
        <f>DTR!C10+'Dai Loc'!C10+'Dong Lam'!C10+'Khanh Nga'!C10+TDP!C10+DTRVL!C10</f>
        <v>108051581921</v>
      </c>
      <c r="D10" s="61">
        <f>DTR!D10+'Dai Loc'!D10+'Dong Lam'!D10+'Khanh Nga'!D10+TDP!D10+DTRVL!D10</f>
        <v>108041861921</v>
      </c>
      <c r="E10" s="61">
        <f>DTR!E10+'Dai Loc'!E10+'Dong Lam'!E10+'Khanh Nga'!E10+TDP!E10+DTRVL!E10</f>
        <v>108032141921</v>
      </c>
      <c r="F10" s="61">
        <f>DTR!F10+'Dai Loc'!F10+'Dong Lam'!F10+'Khanh Nga'!F10+TDP!F10+DTRVL!F10</f>
        <v>97522421921</v>
      </c>
      <c r="G10" s="61">
        <f>DTR!G10+'Dai Loc'!G10+'Dong Lam'!G10+'Khanh Nga'!G10+TDP!G10+DTRVL!G10</f>
        <v>97512701921</v>
      </c>
      <c r="H10" s="61">
        <f>DTR!H10+'Dai Loc'!H10+'Dong Lam'!H10+'Khanh Nga'!H10+TDP!H10+DTRVL!H10</f>
        <v>77502981921</v>
      </c>
      <c r="I10" s="61">
        <f>DTR!I10+'Dai Loc'!I10+'Dong Lam'!I10+'Khanh Nga'!I10+TDP!I10+DTRVL!I10</f>
        <v>57993261921</v>
      </c>
      <c r="J10" s="61">
        <f>DTR!J10+'Dai Loc'!J10+'Dong Lam'!J10+'Khanh Nga'!J10+TDP!J10+DTRVL!J10</f>
        <v>57983541921</v>
      </c>
      <c r="K10" s="61">
        <f>DTR!K10+'Dai Loc'!K10+'Dong Lam'!K10+'Khanh Nga'!K10+TDP!K10+DTRVL!K10</f>
        <v>58813541921</v>
      </c>
      <c r="L10" s="61">
        <f>DTR!L10+'Dai Loc'!L10+'Dong Lam'!L10+'Khanh Nga'!L10+TDP!L10+DTRVL!L10</f>
        <v>58794101921</v>
      </c>
      <c r="M10" s="61">
        <f>DTR!M10+'Dai Loc'!M10+'Dong Lam'!M10+'Khanh Nga'!M10+TDP!M10+DTRVL!M10</f>
        <v>98794101921</v>
      </c>
      <c r="N10" s="61">
        <f>DTR!N10+'Dai Loc'!N10+'Dong Lam'!N10+'Khanh Nga'!N10+TDP!N10+DTRVL!N10</f>
        <v>78774661921</v>
      </c>
      <c r="O10" s="61">
        <f>DTR!O10+'Dai Loc'!O10+'Dong Lam'!O10+'Khanh Nga'!O10+TDP!O10+DTRVL!O10</f>
        <v>77915221921</v>
      </c>
      <c r="P10" s="61">
        <f>DTR!P10+'Dai Loc'!P10+'Dong Lam'!P10+'Khanh Nga'!P10+TDP!P10+DTRVL!P10</f>
        <v>61415221921</v>
      </c>
      <c r="Q10" s="61">
        <f>DTR!Q10+'Dai Loc'!Q10+'Dong Lam'!Q10+'Khanh Nga'!Q10+TDP!Q10+DTRVL!Q10</f>
        <v>101255221921</v>
      </c>
      <c r="R10" s="61">
        <f>DTR!R10+'Dai Loc'!R10+'Dong Lam'!R10+'Khanh Nga'!R10+TDP!R10+DTRVL!R10</f>
        <v>125755221921</v>
      </c>
      <c r="S10" s="61">
        <f>DTR!S10+'Dai Loc'!S10+'Dong Lam'!S10+'Khanh Nga'!S10+TDP!S10+DTRVL!S10</f>
        <v>135726061921</v>
      </c>
      <c r="T10" s="61">
        <f>DTR!T10+'Dai Loc'!T10+'Dong Lam'!T10+'Khanh Nga'!T10+TDP!T10+DTRVL!T10</f>
        <v>135706621921</v>
      </c>
      <c r="U10" s="61">
        <f>DTR!U10+'Dai Loc'!U10+'Dong Lam'!U10+'Khanh Nga'!U10+TDP!U10+DTRVL!U10</f>
        <v>120706621921</v>
      </c>
      <c r="V10" s="61">
        <f>DTR!V10+'Dai Loc'!V10+'Dong Lam'!V10+'Khanh Nga'!V10+TDP!V10+DTRVL!V10</f>
        <v>120901021921</v>
      </c>
      <c r="W10" s="61">
        <f>DTR!W10+'Dai Loc'!W10+'Dong Lam'!W10+'Khanh Nga'!W10+TDP!W10+DTRVL!W10</f>
        <v>108901021921</v>
      </c>
      <c r="X10" s="61">
        <f>DTR!X10+'Dai Loc'!X10+'Dong Lam'!X10+'Khanh Nga'!X10+TDP!X10+DTRVL!X10</f>
        <v>88901021921</v>
      </c>
      <c r="Y10" s="61">
        <f>DTR!Y10+'Dai Loc'!Y10+'Dong Lam'!Y10+'Khanh Nga'!Y10+TDP!Y10+DTRVL!Y10</f>
        <v>78901021921</v>
      </c>
      <c r="Z10" s="61">
        <f>DTR!Z10+'Dai Loc'!Z10+'Dong Lam'!Z10+'Khanh Nga'!Z10+TDP!Z10+DTRVL!Z10</f>
        <v>79901021921</v>
      </c>
    </row>
    <row r="11" spans="1:26" ht="15" hidden="1" customHeight="1" outlineLevel="1">
      <c r="A11" s="62" t="s">
        <v>95</v>
      </c>
      <c r="B11" s="63">
        <v>6</v>
      </c>
      <c r="C11" s="64">
        <f>DTR!C11+'Dai Loc'!C11+'Dong Lam'!C11+'Khanh Nga'!C11+TDP!C11+DTRVL!C11</f>
        <v>0</v>
      </c>
      <c r="D11" s="64">
        <f>DTR!D11+'Dai Loc'!D11+'Dong Lam'!D11+'Khanh Nga'!D11+TDP!D11+DTRVL!D11</f>
        <v>0</v>
      </c>
      <c r="E11" s="64">
        <f>DTR!E11+'Dai Loc'!E11+'Dong Lam'!E11+'Khanh Nga'!E11+TDP!E11+DTRVL!E11</f>
        <v>0</v>
      </c>
      <c r="F11" s="64">
        <f>DTR!F11+'Dai Loc'!F11+'Dong Lam'!F11+'Khanh Nga'!F11+TDP!F11+DTRVL!F11</f>
        <v>0</v>
      </c>
      <c r="G11" s="64">
        <f>DTR!G11+'Dai Loc'!G11+'Dong Lam'!G11+'Khanh Nga'!G11+TDP!G11+DTRVL!G11</f>
        <v>0</v>
      </c>
      <c r="H11" s="64">
        <f>DTR!H11+'Dai Loc'!H11+'Dong Lam'!H11+'Khanh Nga'!H11+TDP!H11+DTRVL!H11</f>
        <v>0</v>
      </c>
      <c r="I11" s="64">
        <f>DTR!I11+'Dai Loc'!I11+'Dong Lam'!I11+'Khanh Nga'!I11+TDP!I11+DTRVL!I11</f>
        <v>0</v>
      </c>
      <c r="J11" s="64">
        <f>DTR!J11+'Dai Loc'!J11+'Dong Lam'!J11+'Khanh Nga'!J11+TDP!J11+DTRVL!J11</f>
        <v>0</v>
      </c>
      <c r="K11" s="64">
        <f>DTR!K11+'Dai Loc'!K11+'Dong Lam'!K11+'Khanh Nga'!K11+TDP!K11+DTRVL!K11</f>
        <v>0</v>
      </c>
      <c r="L11" s="64">
        <f>DTR!L11+'Dai Loc'!L11+'Dong Lam'!L11+'Khanh Nga'!L11+TDP!L11+DTRVL!L11</f>
        <v>0</v>
      </c>
      <c r="M11" s="64">
        <f>DTR!M11+'Dai Loc'!M11+'Dong Lam'!M11+'Khanh Nga'!M11+TDP!M11+DTRVL!M11</f>
        <v>0</v>
      </c>
      <c r="N11" s="64">
        <f>DTR!N11+'Dai Loc'!N11+'Dong Lam'!N11+'Khanh Nga'!N11+TDP!N11+DTRVL!N11</f>
        <v>0</v>
      </c>
      <c r="O11" s="64">
        <f>DTR!O11+'Dai Loc'!O11+'Dong Lam'!O11+'Khanh Nga'!O11+TDP!O11+DTRVL!O11</f>
        <v>0</v>
      </c>
      <c r="P11" s="64">
        <f>DTR!P11+'Dai Loc'!P11+'Dong Lam'!P11+'Khanh Nga'!P11+TDP!P11+DTRVL!P11</f>
        <v>0</v>
      </c>
      <c r="Q11" s="64">
        <f>DTR!Q11+'Dai Loc'!Q11+'Dong Lam'!Q11+'Khanh Nga'!Q11+TDP!Q11+DTRVL!Q11</f>
        <v>0</v>
      </c>
      <c r="R11" s="64">
        <f>DTR!R11+'Dai Loc'!R11+'Dong Lam'!R11+'Khanh Nga'!R11+TDP!R11+DTRVL!R11</f>
        <v>0</v>
      </c>
      <c r="S11" s="64">
        <f>DTR!S11+'Dai Loc'!S11+'Dong Lam'!S11+'Khanh Nga'!S11+TDP!S11+DTRVL!S11</f>
        <v>0</v>
      </c>
      <c r="T11" s="64">
        <f>DTR!T11+'Dai Loc'!T11+'Dong Lam'!T11+'Khanh Nga'!T11+TDP!T11+DTRVL!T11</f>
        <v>0</v>
      </c>
      <c r="U11" s="64">
        <f>DTR!U11+'Dai Loc'!U11+'Dong Lam'!U11+'Khanh Nga'!U11+TDP!U11+DTRVL!U11</f>
        <v>0</v>
      </c>
      <c r="V11" s="64">
        <f>DTR!V11+'Dai Loc'!V11+'Dong Lam'!V11+'Khanh Nga'!V11+TDP!V11+DTRVL!V11</f>
        <v>0</v>
      </c>
      <c r="W11" s="64">
        <f>DTR!W11+'Dai Loc'!W11+'Dong Lam'!W11+'Khanh Nga'!W11+TDP!W11+DTRVL!W11</f>
        <v>0</v>
      </c>
      <c r="X11" s="64">
        <f>DTR!X11+'Dai Loc'!X11+'Dong Lam'!X11+'Khanh Nga'!X11+TDP!X11+DTRVL!X11</f>
        <v>0</v>
      </c>
      <c r="Y11" s="64">
        <f>DTR!Y11+'Dai Loc'!Y11+'Dong Lam'!Y11+'Khanh Nga'!Y11+TDP!Y11+DTRVL!Y11</f>
        <v>0</v>
      </c>
      <c r="Z11" s="64">
        <f>DTR!Z11+'Dai Loc'!Z11+'Dong Lam'!Z11+'Khanh Nga'!Z11+TDP!Z11+DTRVL!Z11</f>
        <v>0</v>
      </c>
    </row>
    <row r="12" spans="1:26" ht="15" hidden="1" customHeight="1" outlineLevel="1">
      <c r="A12" s="62" t="s">
        <v>96</v>
      </c>
      <c r="B12" s="63">
        <v>7</v>
      </c>
      <c r="C12" s="64">
        <f>DTR!C12+'Dai Loc'!C12+'Dong Lam'!C12+'Khanh Nga'!C12+TDP!C12+DTRVL!C12</f>
        <v>0</v>
      </c>
      <c r="D12" s="64">
        <f>DTR!D12+'Dai Loc'!D12+'Dong Lam'!D12+'Khanh Nga'!D12+TDP!D12+DTRVL!D12</f>
        <v>0</v>
      </c>
      <c r="E12" s="64">
        <f>DTR!E12+'Dai Loc'!E12+'Dong Lam'!E12+'Khanh Nga'!E12+TDP!E12+DTRVL!E12</f>
        <v>0</v>
      </c>
      <c r="F12" s="64">
        <f>DTR!F12+'Dai Loc'!F12+'Dong Lam'!F12+'Khanh Nga'!F12+TDP!F12+DTRVL!F12</f>
        <v>0</v>
      </c>
      <c r="G12" s="64">
        <f>DTR!G12+'Dai Loc'!G12+'Dong Lam'!G12+'Khanh Nga'!G12+TDP!G12+DTRVL!G12</f>
        <v>0</v>
      </c>
      <c r="H12" s="64">
        <f>DTR!H12+'Dai Loc'!H12+'Dong Lam'!H12+'Khanh Nga'!H12+TDP!H12+DTRVL!H12</f>
        <v>0</v>
      </c>
      <c r="I12" s="64">
        <f>DTR!I12+'Dai Loc'!I12+'Dong Lam'!I12+'Khanh Nga'!I12+TDP!I12+DTRVL!I12</f>
        <v>0</v>
      </c>
      <c r="J12" s="64">
        <f>DTR!J12+'Dai Loc'!J12+'Dong Lam'!J12+'Khanh Nga'!J12+TDP!J12+DTRVL!J12</f>
        <v>0</v>
      </c>
      <c r="K12" s="64">
        <f>DTR!K12+'Dai Loc'!K12+'Dong Lam'!K12+'Khanh Nga'!K12+TDP!K12+DTRVL!K12</f>
        <v>0</v>
      </c>
      <c r="L12" s="64">
        <f>DTR!L12+'Dai Loc'!L12+'Dong Lam'!L12+'Khanh Nga'!L12+TDP!L12+DTRVL!L12</f>
        <v>0</v>
      </c>
      <c r="M12" s="64">
        <f>DTR!M12+'Dai Loc'!M12+'Dong Lam'!M12+'Khanh Nga'!M12+TDP!M12+DTRVL!M12</f>
        <v>0</v>
      </c>
      <c r="N12" s="64">
        <f>DTR!N12+'Dai Loc'!N12+'Dong Lam'!N12+'Khanh Nga'!N12+TDP!N12+DTRVL!N12</f>
        <v>0</v>
      </c>
      <c r="O12" s="64">
        <f>DTR!O12+'Dai Loc'!O12+'Dong Lam'!O12+'Khanh Nga'!O12+TDP!O12+DTRVL!O12</f>
        <v>0</v>
      </c>
      <c r="P12" s="64">
        <f>DTR!P12+'Dai Loc'!P12+'Dong Lam'!P12+'Khanh Nga'!P12+TDP!P12+DTRVL!P12</f>
        <v>0</v>
      </c>
      <c r="Q12" s="64">
        <f>DTR!Q12+'Dai Loc'!Q12+'Dong Lam'!Q12+'Khanh Nga'!Q12+TDP!Q12+DTRVL!Q12</f>
        <v>0</v>
      </c>
      <c r="R12" s="64">
        <f>DTR!R12+'Dai Loc'!R12+'Dong Lam'!R12+'Khanh Nga'!R12+TDP!R12+DTRVL!R12</f>
        <v>0</v>
      </c>
      <c r="S12" s="64">
        <f>DTR!S12+'Dai Loc'!S12+'Dong Lam'!S12+'Khanh Nga'!S12+TDP!S12+DTRVL!S12</f>
        <v>0</v>
      </c>
      <c r="T12" s="64">
        <f>DTR!T12+'Dai Loc'!T12+'Dong Lam'!T12+'Khanh Nga'!T12+TDP!T12+DTRVL!T12</f>
        <v>0</v>
      </c>
      <c r="U12" s="64">
        <f>DTR!U12+'Dai Loc'!U12+'Dong Lam'!U12+'Khanh Nga'!U12+TDP!U12+DTRVL!U12</f>
        <v>0</v>
      </c>
      <c r="V12" s="64">
        <f>DTR!V12+'Dai Loc'!V12+'Dong Lam'!V12+'Khanh Nga'!V12+TDP!V12+DTRVL!V12</f>
        <v>0</v>
      </c>
      <c r="W12" s="64">
        <f>DTR!W12+'Dai Loc'!W12+'Dong Lam'!W12+'Khanh Nga'!W12+TDP!W12+DTRVL!W12</f>
        <v>0</v>
      </c>
      <c r="X12" s="64">
        <f>DTR!X12+'Dai Loc'!X12+'Dong Lam'!X12+'Khanh Nga'!X12+TDP!X12+DTRVL!X12</f>
        <v>0</v>
      </c>
      <c r="Y12" s="64">
        <f>DTR!Y12+'Dai Loc'!Y12+'Dong Lam'!Y12+'Khanh Nga'!Y12+TDP!Y12+DTRVL!Y12</f>
        <v>0</v>
      </c>
      <c r="Z12" s="64">
        <f>DTR!Z12+'Dai Loc'!Z12+'Dong Lam'!Z12+'Khanh Nga'!Z12+TDP!Z12+DTRVL!Z12</f>
        <v>0</v>
      </c>
    </row>
    <row r="13" spans="1:26" ht="15" hidden="1" customHeight="1" outlineLevel="1">
      <c r="A13" s="66" t="s">
        <v>97</v>
      </c>
      <c r="B13" s="63">
        <v>8</v>
      </c>
      <c r="C13" s="64">
        <f>DTR!C13+'Dai Loc'!C13+'Dong Lam'!C13+'Khanh Nga'!C13+TDP!C13+DTRVL!C13</f>
        <v>108051581921</v>
      </c>
      <c r="D13" s="64">
        <f>DTR!D13+'Dai Loc'!D13+'Dong Lam'!D13+'Khanh Nga'!D13+TDP!D13+DTRVL!D13</f>
        <v>108041861921</v>
      </c>
      <c r="E13" s="64">
        <f>DTR!E13+'Dai Loc'!E13+'Dong Lam'!E13+'Khanh Nga'!E13+TDP!E13+DTRVL!E13</f>
        <v>108032141921</v>
      </c>
      <c r="F13" s="64">
        <f>DTR!F13+'Dai Loc'!F13+'Dong Lam'!F13+'Khanh Nga'!F13+TDP!F13+DTRVL!F13</f>
        <v>97522421921</v>
      </c>
      <c r="G13" s="64">
        <f>DTR!G13+'Dai Loc'!G13+'Dong Lam'!G13+'Khanh Nga'!G13+TDP!G13+DTRVL!G13</f>
        <v>97512701921</v>
      </c>
      <c r="H13" s="64">
        <f>DTR!H13+'Dai Loc'!H13+'Dong Lam'!H13+'Khanh Nga'!H13+TDP!H13+DTRVL!H13</f>
        <v>77502981921</v>
      </c>
      <c r="I13" s="64">
        <f>DTR!I13+'Dai Loc'!I13+'Dong Lam'!I13+'Khanh Nga'!I13+TDP!I13+DTRVL!I13</f>
        <v>57993261921</v>
      </c>
      <c r="J13" s="64">
        <f>DTR!J13+'Dai Loc'!J13+'Dong Lam'!J13+'Khanh Nga'!J13+TDP!J13+DTRVL!J13</f>
        <v>57983541921</v>
      </c>
      <c r="K13" s="64">
        <f>DTR!K13+'Dai Loc'!K13+'Dong Lam'!K13+'Khanh Nga'!K13+TDP!K13+DTRVL!K13</f>
        <v>58813541921</v>
      </c>
      <c r="L13" s="64">
        <f>DTR!L13+'Dai Loc'!L13+'Dong Lam'!L13+'Khanh Nga'!L13+TDP!L13+DTRVL!L13</f>
        <v>58794101921</v>
      </c>
      <c r="M13" s="64">
        <f>DTR!M13+'Dai Loc'!M13+'Dong Lam'!M13+'Khanh Nga'!M13+TDP!M13+DTRVL!M13</f>
        <v>98794101921</v>
      </c>
      <c r="N13" s="64">
        <f>DTR!N13+'Dai Loc'!N13+'Dong Lam'!N13+'Khanh Nga'!N13+TDP!N13+DTRVL!N13</f>
        <v>78774661921</v>
      </c>
      <c r="O13" s="64">
        <f>DTR!O13+'Dai Loc'!O13+'Dong Lam'!O13+'Khanh Nga'!O13+TDP!O13+DTRVL!O13</f>
        <v>77915221921</v>
      </c>
      <c r="P13" s="64">
        <f>DTR!P13+'Dai Loc'!P13+'Dong Lam'!P13+'Khanh Nga'!P13+TDP!P13+DTRVL!P13</f>
        <v>61415221921</v>
      </c>
      <c r="Q13" s="64">
        <f>DTR!Q13+'Dai Loc'!Q13+'Dong Lam'!Q13+'Khanh Nga'!Q13+TDP!Q13+DTRVL!Q13</f>
        <v>101255221921</v>
      </c>
      <c r="R13" s="64">
        <f>DTR!R13+'Dai Loc'!R13+'Dong Lam'!R13+'Khanh Nga'!R13+TDP!R13+DTRVL!R13</f>
        <v>125755221921</v>
      </c>
      <c r="S13" s="64">
        <f>DTR!S13+'Dai Loc'!S13+'Dong Lam'!S13+'Khanh Nga'!S13+TDP!S13+DTRVL!S13</f>
        <v>135726061921</v>
      </c>
      <c r="T13" s="64">
        <f>DTR!T13+'Dai Loc'!T13+'Dong Lam'!T13+'Khanh Nga'!T13+TDP!T13+DTRVL!T13</f>
        <v>135706621921</v>
      </c>
      <c r="U13" s="64">
        <f>DTR!U13+'Dai Loc'!U13+'Dong Lam'!U13+'Khanh Nga'!U13+TDP!U13+DTRVL!U13</f>
        <v>120706621921</v>
      </c>
      <c r="V13" s="64">
        <f>DTR!V13+'Dai Loc'!V13+'Dong Lam'!V13+'Khanh Nga'!V13+TDP!V13+DTRVL!V13</f>
        <v>120901021921</v>
      </c>
      <c r="W13" s="64">
        <f>DTR!W13+'Dai Loc'!W13+'Dong Lam'!W13+'Khanh Nga'!W13+TDP!W13+DTRVL!W13</f>
        <v>108901021921</v>
      </c>
      <c r="X13" s="64">
        <f>DTR!X13+'Dai Loc'!X13+'Dong Lam'!X13+'Khanh Nga'!X13+TDP!X13+DTRVL!X13</f>
        <v>88901021921</v>
      </c>
      <c r="Y13" s="64">
        <f>DTR!Y13+'Dai Loc'!Y13+'Dong Lam'!Y13+'Khanh Nga'!Y13+TDP!Y13+DTRVL!Y13</f>
        <v>78901021921</v>
      </c>
      <c r="Z13" s="64">
        <f>DTR!Z13+'Dai Loc'!Z13+'Dong Lam'!Z13+'Khanh Nga'!Z13+TDP!Z13+DTRVL!Z13</f>
        <v>79901021921</v>
      </c>
    </row>
    <row r="14" spans="1:26" ht="15" hidden="1" customHeight="1" outlineLevel="1">
      <c r="A14" s="66" t="s">
        <v>98</v>
      </c>
      <c r="B14" s="63">
        <v>9</v>
      </c>
      <c r="C14" s="64">
        <f>DTR!C14+'Dai Loc'!C14+'Dong Lam'!C14+'Khanh Nga'!C14+TDP!C14+DTRVL!C14</f>
        <v>0</v>
      </c>
      <c r="D14" s="64">
        <f>DTR!D14+'Dai Loc'!D14+'Dong Lam'!D14+'Khanh Nga'!D14+TDP!D14+DTRVL!D14</f>
        <v>0</v>
      </c>
      <c r="E14" s="64">
        <f>DTR!E14+'Dai Loc'!E14+'Dong Lam'!E14+'Khanh Nga'!E14+TDP!E14+DTRVL!E14</f>
        <v>0</v>
      </c>
      <c r="F14" s="64">
        <f>DTR!F14+'Dai Loc'!F14+'Dong Lam'!F14+'Khanh Nga'!F14+TDP!F14+DTRVL!F14</f>
        <v>0</v>
      </c>
      <c r="G14" s="64">
        <f>DTR!G14+'Dai Loc'!G14+'Dong Lam'!G14+'Khanh Nga'!G14+TDP!G14+DTRVL!G14</f>
        <v>0</v>
      </c>
      <c r="H14" s="64">
        <f>DTR!H14+'Dai Loc'!H14+'Dong Lam'!H14+'Khanh Nga'!H14+TDP!H14+DTRVL!H14</f>
        <v>0</v>
      </c>
      <c r="I14" s="64">
        <f>DTR!I14+'Dai Loc'!I14+'Dong Lam'!I14+'Khanh Nga'!I14+TDP!I14+DTRVL!I14</f>
        <v>0</v>
      </c>
      <c r="J14" s="64">
        <f>DTR!J14+'Dai Loc'!J14+'Dong Lam'!J14+'Khanh Nga'!J14+TDP!J14+DTRVL!J14</f>
        <v>0</v>
      </c>
      <c r="K14" s="64">
        <f>DTR!K14+'Dai Loc'!K14+'Dong Lam'!K14+'Khanh Nga'!K14+TDP!K14+DTRVL!K14</f>
        <v>0</v>
      </c>
      <c r="L14" s="64">
        <f>DTR!L14+'Dai Loc'!L14+'Dong Lam'!L14+'Khanh Nga'!L14+TDP!L14+DTRVL!L14</f>
        <v>0</v>
      </c>
      <c r="M14" s="64">
        <f>DTR!M14+'Dai Loc'!M14+'Dong Lam'!M14+'Khanh Nga'!M14+TDP!M14+DTRVL!M14</f>
        <v>0</v>
      </c>
      <c r="N14" s="64">
        <f>DTR!N14+'Dai Loc'!N14+'Dong Lam'!N14+'Khanh Nga'!N14+TDP!N14+DTRVL!N14</f>
        <v>0</v>
      </c>
      <c r="O14" s="64">
        <f>DTR!O14+'Dai Loc'!O14+'Dong Lam'!O14+'Khanh Nga'!O14+TDP!O14+DTRVL!O14</f>
        <v>0</v>
      </c>
      <c r="P14" s="64">
        <f>DTR!P14+'Dai Loc'!P14+'Dong Lam'!P14+'Khanh Nga'!P14+TDP!P14+DTRVL!P14</f>
        <v>0</v>
      </c>
      <c r="Q14" s="64">
        <f>DTR!Q14+'Dai Loc'!Q14+'Dong Lam'!Q14+'Khanh Nga'!Q14+TDP!Q14+DTRVL!Q14</f>
        <v>0</v>
      </c>
      <c r="R14" s="64">
        <f>DTR!R14+'Dai Loc'!R14+'Dong Lam'!R14+'Khanh Nga'!R14+TDP!R14+DTRVL!R14</f>
        <v>0</v>
      </c>
      <c r="S14" s="64">
        <f>DTR!S14+'Dai Loc'!S14+'Dong Lam'!S14+'Khanh Nga'!S14+TDP!S14+DTRVL!S14</f>
        <v>0</v>
      </c>
      <c r="T14" s="64">
        <f>DTR!T14+'Dai Loc'!T14+'Dong Lam'!T14+'Khanh Nga'!T14+TDP!T14+DTRVL!T14</f>
        <v>0</v>
      </c>
      <c r="U14" s="64">
        <f>DTR!U14+'Dai Loc'!U14+'Dong Lam'!U14+'Khanh Nga'!U14+TDP!U14+DTRVL!U14</f>
        <v>0</v>
      </c>
      <c r="V14" s="64">
        <f>DTR!V14+'Dai Loc'!V14+'Dong Lam'!V14+'Khanh Nga'!V14+TDP!V14+DTRVL!V14</f>
        <v>0</v>
      </c>
      <c r="W14" s="64">
        <f>DTR!W14+'Dai Loc'!W14+'Dong Lam'!W14+'Khanh Nga'!W14+TDP!W14+DTRVL!W14</f>
        <v>0</v>
      </c>
      <c r="X14" s="64">
        <f>DTR!X14+'Dai Loc'!X14+'Dong Lam'!X14+'Khanh Nga'!X14+TDP!X14+DTRVL!X14</f>
        <v>0</v>
      </c>
      <c r="Y14" s="64">
        <f>DTR!Y14+'Dai Loc'!Y14+'Dong Lam'!Y14+'Khanh Nga'!Y14+TDP!Y14+DTRVL!Y14</f>
        <v>0</v>
      </c>
      <c r="Z14" s="64">
        <f>DTR!Z14+'Dai Loc'!Z14+'Dong Lam'!Z14+'Khanh Nga'!Z14+TDP!Z14+DTRVL!Z14</f>
        <v>0</v>
      </c>
    </row>
    <row r="15" spans="1:26" ht="15" hidden="1" customHeight="1" outlineLevel="1">
      <c r="A15" s="66" t="s">
        <v>99</v>
      </c>
      <c r="B15" s="63">
        <v>10</v>
      </c>
      <c r="C15" s="64">
        <f>DTR!C15+'Dai Loc'!C15+'Dong Lam'!C15+'Khanh Nga'!C15+TDP!C15+DTRVL!C15</f>
        <v>0</v>
      </c>
      <c r="D15" s="64">
        <f>DTR!D15+'Dai Loc'!D15+'Dong Lam'!D15+'Khanh Nga'!D15+TDP!D15+DTRVL!D15</f>
        <v>0</v>
      </c>
      <c r="E15" s="64">
        <f>DTR!E15+'Dai Loc'!E15+'Dong Lam'!E15+'Khanh Nga'!E15+TDP!E15+DTRVL!E15</f>
        <v>0</v>
      </c>
      <c r="F15" s="64">
        <f>DTR!F15+'Dai Loc'!F15+'Dong Lam'!F15+'Khanh Nga'!F15+TDP!F15+DTRVL!F15</f>
        <v>0</v>
      </c>
      <c r="G15" s="64">
        <f>DTR!G15+'Dai Loc'!G15+'Dong Lam'!G15+'Khanh Nga'!G15+TDP!G15+DTRVL!G15</f>
        <v>0</v>
      </c>
      <c r="H15" s="64">
        <f>DTR!H15+'Dai Loc'!H15+'Dong Lam'!H15+'Khanh Nga'!H15+TDP!H15+DTRVL!H15</f>
        <v>0</v>
      </c>
      <c r="I15" s="64">
        <f>DTR!I15+'Dai Loc'!I15+'Dong Lam'!I15+'Khanh Nga'!I15+TDP!I15+DTRVL!I15</f>
        <v>0</v>
      </c>
      <c r="J15" s="64">
        <f>DTR!J15+'Dai Loc'!J15+'Dong Lam'!J15+'Khanh Nga'!J15+TDP!J15+DTRVL!J15</f>
        <v>0</v>
      </c>
      <c r="K15" s="64">
        <f>DTR!K15+'Dai Loc'!K15+'Dong Lam'!K15+'Khanh Nga'!K15+TDP!K15+DTRVL!K15</f>
        <v>0</v>
      </c>
      <c r="L15" s="64">
        <f>DTR!L15+'Dai Loc'!L15+'Dong Lam'!L15+'Khanh Nga'!L15+TDP!L15+DTRVL!L15</f>
        <v>0</v>
      </c>
      <c r="M15" s="64">
        <f>DTR!M15+'Dai Loc'!M15+'Dong Lam'!M15+'Khanh Nga'!M15+TDP!M15+DTRVL!M15</f>
        <v>0</v>
      </c>
      <c r="N15" s="64">
        <f>DTR!N15+'Dai Loc'!N15+'Dong Lam'!N15+'Khanh Nga'!N15+TDP!N15+DTRVL!N15</f>
        <v>0</v>
      </c>
      <c r="O15" s="64">
        <f>DTR!O15+'Dai Loc'!O15+'Dong Lam'!O15+'Khanh Nga'!O15+TDP!O15+DTRVL!O15</f>
        <v>0</v>
      </c>
      <c r="P15" s="64">
        <f>DTR!P15+'Dai Loc'!P15+'Dong Lam'!P15+'Khanh Nga'!P15+TDP!P15+DTRVL!P15</f>
        <v>0</v>
      </c>
      <c r="Q15" s="64">
        <f>DTR!Q15+'Dai Loc'!Q15+'Dong Lam'!Q15+'Khanh Nga'!Q15+TDP!Q15+DTRVL!Q15</f>
        <v>0</v>
      </c>
      <c r="R15" s="64">
        <f>DTR!R15+'Dai Loc'!R15+'Dong Lam'!R15+'Khanh Nga'!R15+TDP!R15+DTRVL!R15</f>
        <v>0</v>
      </c>
      <c r="S15" s="64">
        <f>DTR!S15+'Dai Loc'!S15+'Dong Lam'!S15+'Khanh Nga'!S15+TDP!S15+DTRVL!S15</f>
        <v>0</v>
      </c>
      <c r="T15" s="64">
        <f>DTR!T15+'Dai Loc'!T15+'Dong Lam'!T15+'Khanh Nga'!T15+TDP!T15+DTRVL!T15</f>
        <v>0</v>
      </c>
      <c r="U15" s="64">
        <f>DTR!U15+'Dai Loc'!U15+'Dong Lam'!U15+'Khanh Nga'!U15+TDP!U15+DTRVL!U15</f>
        <v>0</v>
      </c>
      <c r="V15" s="64">
        <f>DTR!V15+'Dai Loc'!V15+'Dong Lam'!V15+'Khanh Nga'!V15+TDP!V15+DTRVL!V15</f>
        <v>0</v>
      </c>
      <c r="W15" s="64">
        <f>DTR!W15+'Dai Loc'!W15+'Dong Lam'!W15+'Khanh Nga'!W15+TDP!W15+DTRVL!W15</f>
        <v>0</v>
      </c>
      <c r="X15" s="64">
        <f>DTR!X15+'Dai Loc'!X15+'Dong Lam'!X15+'Khanh Nga'!X15+TDP!X15+DTRVL!X15</f>
        <v>0</v>
      </c>
      <c r="Y15" s="64">
        <f>DTR!Y15+'Dai Loc'!Y15+'Dong Lam'!Y15+'Khanh Nga'!Y15+TDP!Y15+DTRVL!Y15</f>
        <v>0</v>
      </c>
      <c r="Z15" s="64">
        <f>DTR!Z15+'Dai Loc'!Z15+'Dong Lam'!Z15+'Khanh Nga'!Z15+TDP!Z15+DTRVL!Z15</f>
        <v>0</v>
      </c>
    </row>
    <row r="16" spans="1:26" ht="15" hidden="1" customHeight="1" outlineLevel="1">
      <c r="A16" s="66" t="s">
        <v>100</v>
      </c>
      <c r="B16" s="63">
        <v>11</v>
      </c>
      <c r="C16" s="64">
        <f>DTR!C16+'Dai Loc'!C16+'Dong Lam'!C16+'Khanh Nga'!C16+TDP!C16+DTRVL!C16</f>
        <v>0</v>
      </c>
      <c r="D16" s="64">
        <f>DTR!D16+'Dai Loc'!D16+'Dong Lam'!D16+'Khanh Nga'!D16+TDP!D16+DTRVL!D16</f>
        <v>0</v>
      </c>
      <c r="E16" s="64">
        <f>DTR!E16+'Dai Loc'!E16+'Dong Lam'!E16+'Khanh Nga'!E16+TDP!E16+DTRVL!E16</f>
        <v>0</v>
      </c>
      <c r="F16" s="64">
        <f>DTR!F16+'Dai Loc'!F16+'Dong Lam'!F16+'Khanh Nga'!F16+TDP!F16+DTRVL!F16</f>
        <v>0</v>
      </c>
      <c r="G16" s="64">
        <f>DTR!G16+'Dai Loc'!G16+'Dong Lam'!G16+'Khanh Nga'!G16+TDP!G16+DTRVL!G16</f>
        <v>0</v>
      </c>
      <c r="H16" s="64">
        <f>DTR!H16+'Dai Loc'!H16+'Dong Lam'!H16+'Khanh Nga'!H16+TDP!H16+DTRVL!H16</f>
        <v>0</v>
      </c>
      <c r="I16" s="64">
        <f>DTR!I16+'Dai Loc'!I16+'Dong Lam'!I16+'Khanh Nga'!I16+TDP!I16+DTRVL!I16</f>
        <v>0</v>
      </c>
      <c r="J16" s="64">
        <f>DTR!J16+'Dai Loc'!J16+'Dong Lam'!J16+'Khanh Nga'!J16+TDP!J16+DTRVL!J16</f>
        <v>0</v>
      </c>
      <c r="K16" s="64">
        <f>DTR!K16+'Dai Loc'!K16+'Dong Lam'!K16+'Khanh Nga'!K16+TDP!K16+DTRVL!K16</f>
        <v>0</v>
      </c>
      <c r="L16" s="64">
        <f>DTR!L16+'Dai Loc'!L16+'Dong Lam'!L16+'Khanh Nga'!L16+TDP!L16+DTRVL!L16</f>
        <v>0</v>
      </c>
      <c r="M16" s="64">
        <f>DTR!M16+'Dai Loc'!M16+'Dong Lam'!M16+'Khanh Nga'!M16+TDP!M16+DTRVL!M16</f>
        <v>0</v>
      </c>
      <c r="N16" s="64">
        <f>DTR!N16+'Dai Loc'!N16+'Dong Lam'!N16+'Khanh Nga'!N16+TDP!N16+DTRVL!N16</f>
        <v>0</v>
      </c>
      <c r="O16" s="64">
        <f>DTR!O16+'Dai Loc'!O16+'Dong Lam'!O16+'Khanh Nga'!O16+TDP!O16+DTRVL!O16</f>
        <v>0</v>
      </c>
      <c r="P16" s="64">
        <f>DTR!P16+'Dai Loc'!P16+'Dong Lam'!P16+'Khanh Nga'!P16+TDP!P16+DTRVL!P16</f>
        <v>0</v>
      </c>
      <c r="Q16" s="64">
        <f>DTR!Q16+'Dai Loc'!Q16+'Dong Lam'!Q16+'Khanh Nga'!Q16+TDP!Q16+DTRVL!Q16</f>
        <v>0</v>
      </c>
      <c r="R16" s="64">
        <f>DTR!R16+'Dai Loc'!R16+'Dong Lam'!R16+'Khanh Nga'!R16+TDP!R16+DTRVL!R16</f>
        <v>0</v>
      </c>
      <c r="S16" s="64">
        <f>DTR!S16+'Dai Loc'!S16+'Dong Lam'!S16+'Khanh Nga'!S16+TDP!S16+DTRVL!S16</f>
        <v>0</v>
      </c>
      <c r="T16" s="64">
        <f>DTR!T16+'Dai Loc'!T16+'Dong Lam'!T16+'Khanh Nga'!T16+TDP!T16+DTRVL!T16</f>
        <v>0</v>
      </c>
      <c r="U16" s="64">
        <f>DTR!U16+'Dai Loc'!U16+'Dong Lam'!U16+'Khanh Nga'!U16+TDP!U16+DTRVL!U16</f>
        <v>0</v>
      </c>
      <c r="V16" s="64">
        <f>DTR!V16+'Dai Loc'!V16+'Dong Lam'!V16+'Khanh Nga'!V16+TDP!V16+DTRVL!V16</f>
        <v>0</v>
      </c>
      <c r="W16" s="64">
        <f>DTR!W16+'Dai Loc'!W16+'Dong Lam'!W16+'Khanh Nga'!W16+TDP!W16+DTRVL!W16</f>
        <v>0</v>
      </c>
      <c r="X16" s="64">
        <f>DTR!X16+'Dai Loc'!X16+'Dong Lam'!X16+'Khanh Nga'!X16+TDP!X16+DTRVL!X16</f>
        <v>0</v>
      </c>
      <c r="Y16" s="64">
        <f>DTR!Y16+'Dai Loc'!Y16+'Dong Lam'!Y16+'Khanh Nga'!Y16+TDP!Y16+DTRVL!Y16</f>
        <v>0</v>
      </c>
      <c r="Z16" s="64">
        <f>DTR!Z16+'Dai Loc'!Z16+'Dong Lam'!Z16+'Khanh Nga'!Z16+TDP!Z16+DTRVL!Z16</f>
        <v>0</v>
      </c>
    </row>
    <row r="17" spans="1:26" ht="15" hidden="1" customHeight="1" outlineLevel="1">
      <c r="A17" s="59" t="s">
        <v>101</v>
      </c>
      <c r="B17" s="65">
        <v>12</v>
      </c>
      <c r="C17" s="61">
        <f>DTR!C17+'Dai Loc'!C17+'Dong Lam'!C17+'Khanh Nga'!C17+TDP!C17+DTRVL!C17</f>
        <v>208760771261.14001</v>
      </c>
      <c r="D17" s="61">
        <f>DTR!D17+'Dai Loc'!D17+'Dong Lam'!D17+'Khanh Nga'!D17+TDP!D17+DTRVL!D17</f>
        <v>193914556321.14001</v>
      </c>
      <c r="E17" s="61">
        <f>DTR!E17+'Dai Loc'!E17+'Dong Lam'!E17+'Khanh Nga'!E17+TDP!E17+DTRVL!E17</f>
        <v>201044728738</v>
      </c>
      <c r="F17" s="61">
        <f>DTR!F17+'Dai Loc'!F17+'Dong Lam'!F17+'Khanh Nga'!F17+TDP!F17+DTRVL!F17</f>
        <v>218534804131</v>
      </c>
      <c r="G17" s="61">
        <f>DTR!G17+'Dai Loc'!G17+'Dong Lam'!G17+'Khanh Nga'!G17+TDP!G17+DTRVL!G17</f>
        <v>221552374341.74799</v>
      </c>
      <c r="H17" s="61">
        <f>DTR!H17+'Dai Loc'!H17+'Dong Lam'!H17+'Khanh Nga'!H17+TDP!H17+DTRVL!H17</f>
        <v>247679067362.74799</v>
      </c>
      <c r="I17" s="61">
        <f>DTR!I17+'Dai Loc'!I17+'Dong Lam'!I17+'Khanh Nga'!I17+TDP!I17+DTRVL!I17</f>
        <v>152821201175.51801</v>
      </c>
      <c r="J17" s="61">
        <f>DTR!J17+'Dai Loc'!J17+'Dong Lam'!J17+'Khanh Nga'!J17+TDP!J17+DTRVL!J17</f>
        <v>177806369111.51801</v>
      </c>
      <c r="K17" s="61">
        <f>DTR!K17+'Dai Loc'!K17+'Dong Lam'!K17+'Khanh Nga'!K17+TDP!K17+DTRVL!K17</f>
        <v>209006347244.51801</v>
      </c>
      <c r="L17" s="61">
        <f>DTR!L17+'Dai Loc'!L17+'Dong Lam'!L17+'Khanh Nga'!L17+TDP!L17+DTRVL!L17</f>
        <v>202825461782.51801</v>
      </c>
      <c r="M17" s="61">
        <f>DTR!M17+'Dai Loc'!M17+'Dong Lam'!M17+'Khanh Nga'!M17+TDP!M17+DTRVL!M17</f>
        <v>243037929149.51801</v>
      </c>
      <c r="N17" s="61">
        <f>DTR!N17+'Dai Loc'!N17+'Dong Lam'!N17+'Khanh Nga'!N17+TDP!N17+DTRVL!N17</f>
        <v>226296560348</v>
      </c>
      <c r="O17" s="61">
        <f>DTR!O17+'Dai Loc'!O17+'Dong Lam'!O17+'Khanh Nga'!O17+TDP!O17+DTRVL!O17</f>
        <v>153416423920.51791</v>
      </c>
      <c r="P17" s="61">
        <f>DTR!P17+'Dai Loc'!P17+'Dong Lam'!P17+'Khanh Nga'!P17+TDP!P17+DTRVL!P17</f>
        <v>217154178930.51801</v>
      </c>
      <c r="Q17" s="61">
        <f>DTR!Q17+'Dai Loc'!Q17+'Dong Lam'!Q17+'Khanh Nga'!Q17+TDP!Q17+DTRVL!Q17</f>
        <v>246529441022</v>
      </c>
      <c r="R17" s="61">
        <f>DTR!R17+'Dai Loc'!R17+'Dong Lam'!R17+'Khanh Nga'!R17+TDP!R17+DTRVL!R17</f>
        <v>206452282899.51801</v>
      </c>
      <c r="S17" s="61">
        <f>DTR!S17+'Dai Loc'!S17+'Dong Lam'!S17+'Khanh Nga'!S17+TDP!S17+DTRVL!S17</f>
        <v>255926801601.51801</v>
      </c>
      <c r="T17" s="61">
        <f>DTR!T17+'Dai Loc'!T17+'Dong Lam'!T17+'Khanh Nga'!T17+TDP!T17+DTRVL!T17</f>
        <v>265046822387</v>
      </c>
      <c r="U17" s="61">
        <f>DTR!U17+'Dai Loc'!U17+'Dong Lam'!U17+'Khanh Nga'!U17+TDP!U17+DTRVL!U17</f>
        <v>256776358002</v>
      </c>
      <c r="V17" s="61">
        <f>DTR!V17+'Dai Loc'!V17+'Dong Lam'!V17+'Khanh Nga'!V17+TDP!V17+DTRVL!V17</f>
        <v>347217970131</v>
      </c>
      <c r="W17" s="61">
        <f>DTR!W17+'Dai Loc'!W17+'Dong Lam'!W17+'Khanh Nga'!W17+TDP!W17+DTRVL!W17</f>
        <v>288263459254</v>
      </c>
      <c r="X17" s="61">
        <f>DTR!X17+'Dai Loc'!X17+'Dong Lam'!X17+'Khanh Nga'!X17+TDP!X17+DTRVL!X17</f>
        <v>278479673888</v>
      </c>
      <c r="Y17" s="61">
        <f>DTR!Y17+'Dai Loc'!Y17+'Dong Lam'!Y17+'Khanh Nga'!Y17+TDP!Y17+DTRVL!Y17</f>
        <v>267498956449</v>
      </c>
      <c r="Z17" s="61">
        <f>DTR!Z17+'Dai Loc'!Z17+'Dong Lam'!Z17+'Khanh Nga'!Z17+TDP!Z17+DTRVL!Z17</f>
        <v>287452852834</v>
      </c>
    </row>
    <row r="18" spans="1:26" ht="15" hidden="1" customHeight="1" outlineLevel="1">
      <c r="A18" s="67" t="s">
        <v>102</v>
      </c>
      <c r="B18" s="63">
        <v>13</v>
      </c>
      <c r="C18" s="64">
        <f>DTR!C18+'Dai Loc'!C18+'Dong Lam'!C18+'Khanh Nga'!C18+TDP!C18+DTRVL!C18</f>
        <v>139866573147</v>
      </c>
      <c r="D18" s="64">
        <f>DTR!D18+'Dai Loc'!D18+'Dong Lam'!D18+'Khanh Nga'!D18+TDP!D18+DTRVL!D18</f>
        <v>145639317187</v>
      </c>
      <c r="E18" s="64">
        <f>DTR!E18+'Dai Loc'!E18+'Dong Lam'!E18+'Khanh Nga'!E18+TDP!E18+DTRVL!E18</f>
        <v>145029363992</v>
      </c>
      <c r="F18" s="64">
        <f>DTR!F18+'Dai Loc'!F18+'Dong Lam'!F18+'Khanh Nga'!F18+TDP!F18+DTRVL!F18</f>
        <v>158990592845</v>
      </c>
      <c r="G18" s="64">
        <f>DTR!G18+'Dai Loc'!G18+'Dong Lam'!G18+'Khanh Nga'!G18+TDP!G18+DTRVL!G18</f>
        <v>169879811667</v>
      </c>
      <c r="H18" s="64">
        <f>DTR!H18+'Dai Loc'!H18+'Dong Lam'!H18+'Khanh Nga'!H18+TDP!H18+DTRVL!H18</f>
        <v>169929811366</v>
      </c>
      <c r="I18" s="64">
        <f>DTR!I18+'Dai Loc'!I18+'Dong Lam'!I18+'Khanh Nga'!I18+TDP!I18+DTRVL!I18</f>
        <v>102331112462</v>
      </c>
      <c r="J18" s="64">
        <f>DTR!J18+'Dai Loc'!J18+'Dong Lam'!J18+'Khanh Nga'!J18+TDP!J18+DTRVL!J18</f>
        <v>127587662576</v>
      </c>
      <c r="K18" s="64">
        <f>DTR!K18+'Dai Loc'!K18+'Dong Lam'!K18+'Khanh Nga'!K18+TDP!K18+DTRVL!K18</f>
        <v>161236707683</v>
      </c>
      <c r="L18" s="64">
        <f>DTR!L18+'Dai Loc'!L18+'Dong Lam'!L18+'Khanh Nga'!L18+TDP!L18+DTRVL!L18</f>
        <v>156193512518</v>
      </c>
      <c r="M18" s="64">
        <f>DTR!M18+'Dai Loc'!M18+'Dong Lam'!M18+'Khanh Nga'!M18+TDP!M18+DTRVL!M18</f>
        <v>158918995344</v>
      </c>
      <c r="N18" s="64">
        <f>DTR!N18+'Dai Loc'!N18+'Dong Lam'!N18+'Khanh Nga'!N18+TDP!N18+DTRVL!N18</f>
        <v>159389289311</v>
      </c>
      <c r="O18" s="64">
        <f>DTR!O18+'Dai Loc'!O18+'Dong Lam'!O18+'Khanh Nga'!O18+TDP!O18+DTRVL!O18</f>
        <v>113701901890</v>
      </c>
      <c r="P18" s="64">
        <f>DTR!P18+'Dai Loc'!P18+'Dong Lam'!P18+'Khanh Nga'!P18+TDP!P18+DTRVL!P18</f>
        <v>170046486972</v>
      </c>
      <c r="Q18" s="64">
        <f>DTR!Q18+'Dai Loc'!Q18+'Dong Lam'!Q18+'Khanh Nga'!Q18+TDP!Q18+DTRVL!Q18</f>
        <v>209405535919</v>
      </c>
      <c r="R18" s="64">
        <f>DTR!R18+'Dai Loc'!R18+'Dong Lam'!R18+'Khanh Nga'!R18+TDP!R18+DTRVL!R18</f>
        <v>163509162106</v>
      </c>
      <c r="S18" s="64">
        <f>DTR!S18+'Dai Loc'!S18+'Dong Lam'!S18+'Khanh Nga'!S18+TDP!S18+DTRVL!S18</f>
        <v>177734732744</v>
      </c>
      <c r="T18" s="64">
        <f>DTR!T18+'Dai Loc'!T18+'Dong Lam'!T18+'Khanh Nga'!T18+TDP!T18+DTRVL!T18</f>
        <v>162106367908</v>
      </c>
      <c r="U18" s="64">
        <f>DTR!U18+'Dai Loc'!U18+'Dong Lam'!U18+'Khanh Nga'!U18+TDP!U18+DTRVL!U18</f>
        <v>159236236016</v>
      </c>
      <c r="V18" s="64">
        <f>DTR!V18+'Dai Loc'!V18+'Dong Lam'!V18+'Khanh Nga'!V18+TDP!V18+DTRVL!V18</f>
        <v>197594299976</v>
      </c>
      <c r="W18" s="64">
        <f>DTR!W18+'Dai Loc'!W18+'Dong Lam'!W18+'Khanh Nga'!W18+TDP!W18+DTRVL!W18</f>
        <v>164521731901</v>
      </c>
      <c r="X18" s="64">
        <f>DTR!X18+'Dai Loc'!X18+'Dong Lam'!X18+'Khanh Nga'!X18+TDP!X18+DTRVL!X18</f>
        <v>160731498434</v>
      </c>
      <c r="Y18" s="64">
        <f>DTR!Y18+'Dai Loc'!Y18+'Dong Lam'!Y18+'Khanh Nga'!Y18+TDP!Y18+DTRVL!Y18</f>
        <v>164239419507</v>
      </c>
      <c r="Z18" s="64">
        <f>DTR!Z18+'Dai Loc'!Z18+'Dong Lam'!Z18+'Khanh Nga'!Z18+TDP!Z18+DTRVL!Z18</f>
        <v>160025654959</v>
      </c>
    </row>
    <row r="19" spans="1:26" ht="15" hidden="1" customHeight="1" outlineLevel="1">
      <c r="A19" s="67" t="s">
        <v>103</v>
      </c>
      <c r="B19" s="63">
        <v>14</v>
      </c>
      <c r="C19" s="64">
        <f>DTR!C19+'Dai Loc'!C19+'Dong Lam'!C19+'Khanh Nga'!C19+TDP!C19+DTRVL!C19</f>
        <v>19848285706</v>
      </c>
      <c r="D19" s="64">
        <f>DTR!D19+'Dai Loc'!D19+'Dong Lam'!D19+'Khanh Nga'!D19+TDP!D19+DTRVL!D19</f>
        <v>18001368927</v>
      </c>
      <c r="E19" s="64">
        <f>DTR!E19+'Dai Loc'!E19+'Dong Lam'!E19+'Khanh Nga'!E19+TDP!E19+DTRVL!E19</f>
        <v>17409185425</v>
      </c>
      <c r="F19" s="64">
        <f>DTR!F19+'Dai Loc'!F19+'Dong Lam'!F19+'Khanh Nga'!F19+TDP!F19+DTRVL!F19</f>
        <v>18980934468</v>
      </c>
      <c r="G19" s="64">
        <f>DTR!G19+'Dai Loc'!G19+'Dong Lam'!G19+'Khanh Nga'!G19+TDP!G19+DTRVL!G19</f>
        <v>18972917626</v>
      </c>
      <c r="H19" s="64">
        <f>DTR!H19+'Dai Loc'!H19+'Dong Lam'!H19+'Khanh Nga'!H19+TDP!H19+DTRVL!H19</f>
        <v>16946912554</v>
      </c>
      <c r="I19" s="64">
        <f>DTR!I19+'Dai Loc'!I19+'Dong Lam'!I19+'Khanh Nga'!I19+TDP!I19+DTRVL!I19</f>
        <v>15624304617</v>
      </c>
      <c r="J19" s="64">
        <f>DTR!J19+'Dai Loc'!J19+'Dong Lam'!J19+'Khanh Nga'!J19+TDP!J19+DTRVL!J19</f>
        <v>15352055458</v>
      </c>
      <c r="K19" s="64">
        <f>DTR!K19+'Dai Loc'!K19+'Dong Lam'!K19+'Khanh Nga'!K19+TDP!K19+DTRVL!K19</f>
        <v>12264421488</v>
      </c>
      <c r="L19" s="64">
        <f>DTR!L19+'Dai Loc'!L19+'Dong Lam'!L19+'Khanh Nga'!L19+TDP!L19+DTRVL!L19</f>
        <v>10758004465</v>
      </c>
      <c r="M19" s="64">
        <f>DTR!M19+'Dai Loc'!M19+'Dong Lam'!M19+'Khanh Nga'!M19+TDP!M19+DTRVL!M19</f>
        <v>12010431039</v>
      </c>
      <c r="N19" s="64">
        <f>DTR!N19+'Dai Loc'!N19+'Dong Lam'!N19+'Khanh Nga'!N19+TDP!N19+DTRVL!N19</f>
        <v>24401454639</v>
      </c>
      <c r="O19" s="64">
        <f>DTR!O19+'Dai Loc'!O19+'Dong Lam'!O19+'Khanh Nga'!O19+TDP!O19+DTRVL!O19</f>
        <v>18219388431</v>
      </c>
      <c r="P19" s="64">
        <f>DTR!P19+'Dai Loc'!P19+'Dong Lam'!P19+'Khanh Nga'!P19+TDP!P19+DTRVL!P19</f>
        <v>24146304860</v>
      </c>
      <c r="Q19" s="64">
        <f>DTR!Q19+'Dai Loc'!Q19+'Dong Lam'!Q19+'Khanh Nga'!Q19+TDP!Q19+DTRVL!Q19</f>
        <v>26108830735</v>
      </c>
      <c r="R19" s="64">
        <f>DTR!R19+'Dai Loc'!R19+'Dong Lam'!R19+'Khanh Nga'!R19+TDP!R19+DTRVL!R19</f>
        <v>31592684967</v>
      </c>
      <c r="S19" s="64">
        <f>DTR!S19+'Dai Loc'!S19+'Dong Lam'!S19+'Khanh Nga'!S19+TDP!S19+DTRVL!S19</f>
        <v>66949284043</v>
      </c>
      <c r="T19" s="64">
        <f>DTR!T19+'Dai Loc'!T19+'Dong Lam'!T19+'Khanh Nga'!T19+TDP!T19+DTRVL!T19</f>
        <v>70079388780</v>
      </c>
      <c r="U19" s="64">
        <f>DTR!U19+'Dai Loc'!U19+'Dong Lam'!U19+'Khanh Nga'!U19+TDP!U19+DTRVL!U19</f>
        <v>64387763054</v>
      </c>
      <c r="V19" s="64">
        <f>DTR!V19+'Dai Loc'!V19+'Dong Lam'!V19+'Khanh Nga'!V19+TDP!V19+DTRVL!V19</f>
        <v>82324561908</v>
      </c>
      <c r="W19" s="64">
        <f>DTR!W19+'Dai Loc'!W19+'Dong Lam'!W19+'Khanh Nga'!W19+TDP!W19+DTRVL!W19</f>
        <v>86922374935</v>
      </c>
      <c r="X19" s="64">
        <f>DTR!X19+'Dai Loc'!X19+'Dong Lam'!X19+'Khanh Nga'!X19+TDP!X19+DTRVL!X19</f>
        <v>81828814836</v>
      </c>
      <c r="Y19" s="64">
        <f>DTR!Y19+'Dai Loc'!Y19+'Dong Lam'!Y19+'Khanh Nga'!Y19+TDP!Y19+DTRVL!Y19</f>
        <v>67286468607</v>
      </c>
      <c r="Z19" s="64">
        <f>DTR!Z19+'Dai Loc'!Z19+'Dong Lam'!Z19+'Khanh Nga'!Z19+TDP!Z19+DTRVL!Z19</f>
        <v>73343632745</v>
      </c>
    </row>
    <row r="20" spans="1:26" ht="15" hidden="1" customHeight="1" outlineLevel="1">
      <c r="A20" s="67" t="s">
        <v>104</v>
      </c>
      <c r="B20" s="63">
        <v>15</v>
      </c>
      <c r="C20" s="64">
        <f>DTR!C20+'Dai Loc'!C20+'Dong Lam'!C20+'Khanh Nga'!C20+TDP!C20+DTRVL!C20</f>
        <v>0</v>
      </c>
      <c r="D20" s="64">
        <f>DTR!D20+'Dai Loc'!D20+'Dong Lam'!D20+'Khanh Nga'!D20+TDP!D20+DTRVL!D20</f>
        <v>0</v>
      </c>
      <c r="E20" s="64">
        <f>DTR!E20+'Dai Loc'!E20+'Dong Lam'!E20+'Khanh Nga'!E20+TDP!E20+DTRVL!E20</f>
        <v>0</v>
      </c>
      <c r="F20" s="64">
        <f>DTR!F20+'Dai Loc'!F20+'Dong Lam'!F20+'Khanh Nga'!F20+TDP!F20+DTRVL!F20</f>
        <v>0</v>
      </c>
      <c r="G20" s="64">
        <f>DTR!G20+'Dai Loc'!G20+'Dong Lam'!G20+'Khanh Nga'!G20+TDP!G20+DTRVL!G20</f>
        <v>0</v>
      </c>
      <c r="H20" s="64">
        <f>DTR!H20+'Dai Loc'!H20+'Dong Lam'!H20+'Khanh Nga'!H20+TDP!H20+DTRVL!H20</f>
        <v>0</v>
      </c>
      <c r="I20" s="64">
        <f>DTR!I20+'Dai Loc'!I20+'Dong Lam'!I20+'Khanh Nga'!I20+TDP!I20+DTRVL!I20</f>
        <v>0</v>
      </c>
      <c r="J20" s="64">
        <f>DTR!J20+'Dai Loc'!J20+'Dong Lam'!J20+'Khanh Nga'!J20+TDP!J20+DTRVL!J20</f>
        <v>0</v>
      </c>
      <c r="K20" s="64">
        <f>DTR!K20+'Dai Loc'!K20+'Dong Lam'!K20+'Khanh Nga'!K20+TDP!K20+DTRVL!K20</f>
        <v>0</v>
      </c>
      <c r="L20" s="64">
        <f>DTR!L20+'Dai Loc'!L20+'Dong Lam'!L20+'Khanh Nga'!L20+TDP!L20+DTRVL!L20</f>
        <v>0</v>
      </c>
      <c r="M20" s="64">
        <f>DTR!M20+'Dai Loc'!M20+'Dong Lam'!M20+'Khanh Nga'!M20+TDP!M20+DTRVL!M20</f>
        <v>0</v>
      </c>
      <c r="N20" s="64">
        <f>DTR!N20+'Dai Loc'!N20+'Dong Lam'!N20+'Khanh Nga'!N20+TDP!N20+DTRVL!N20</f>
        <v>0</v>
      </c>
      <c r="O20" s="64">
        <f>DTR!O20+'Dai Loc'!O20+'Dong Lam'!O20+'Khanh Nga'!O20+TDP!O20+DTRVL!O20</f>
        <v>0</v>
      </c>
      <c r="P20" s="64">
        <f>DTR!P20+'Dai Loc'!P20+'Dong Lam'!P20+'Khanh Nga'!P20+TDP!P20+DTRVL!P20</f>
        <v>0</v>
      </c>
      <c r="Q20" s="64">
        <f>DTR!Q20+'Dai Loc'!Q20+'Dong Lam'!Q20+'Khanh Nga'!Q20+TDP!Q20+DTRVL!Q20</f>
        <v>0</v>
      </c>
      <c r="R20" s="64">
        <f>DTR!R20+'Dai Loc'!R20+'Dong Lam'!R20+'Khanh Nga'!R20+TDP!R20+DTRVL!R20</f>
        <v>0</v>
      </c>
      <c r="S20" s="64">
        <f>DTR!S20+'Dai Loc'!S20+'Dong Lam'!S20+'Khanh Nga'!S20+TDP!S20+DTRVL!S20</f>
        <v>0</v>
      </c>
      <c r="T20" s="64">
        <f>DTR!T20+'Dai Loc'!T20+'Dong Lam'!T20+'Khanh Nga'!T20+TDP!T20+DTRVL!T20</f>
        <v>0</v>
      </c>
      <c r="U20" s="64">
        <f>DTR!U20+'Dai Loc'!U20+'Dong Lam'!U20+'Khanh Nga'!U20+TDP!U20+DTRVL!U20</f>
        <v>0</v>
      </c>
      <c r="V20" s="64">
        <f>DTR!V20+'Dai Loc'!V20+'Dong Lam'!V20+'Khanh Nga'!V20+TDP!V20+DTRVL!V20</f>
        <v>0</v>
      </c>
      <c r="W20" s="64">
        <f>DTR!W20+'Dai Loc'!W20+'Dong Lam'!W20+'Khanh Nga'!W20+TDP!W20+DTRVL!W20</f>
        <v>0</v>
      </c>
      <c r="X20" s="64">
        <f>DTR!X20+'Dai Loc'!X20+'Dong Lam'!X20+'Khanh Nga'!X20+TDP!X20+DTRVL!X20</f>
        <v>0</v>
      </c>
      <c r="Y20" s="64">
        <f>DTR!Y20+'Dai Loc'!Y20+'Dong Lam'!Y20+'Khanh Nga'!Y20+TDP!Y20+DTRVL!Y20</f>
        <v>0</v>
      </c>
      <c r="Z20" s="64">
        <f>DTR!Z20+'Dai Loc'!Z20+'Dong Lam'!Z20+'Khanh Nga'!Z20+TDP!Z20+DTRVL!Z20</f>
        <v>0</v>
      </c>
    </row>
    <row r="21" spans="1:26" ht="15" hidden="1" customHeight="1" outlineLevel="1">
      <c r="A21" s="67" t="s">
        <v>105</v>
      </c>
      <c r="B21" s="63">
        <v>16</v>
      </c>
      <c r="C21" s="64">
        <f>DTR!C21+'Dai Loc'!C21+'Dong Lam'!C21+'Khanh Nga'!C21+TDP!C21+DTRVL!C21</f>
        <v>0</v>
      </c>
      <c r="D21" s="64">
        <f>DTR!D21+'Dai Loc'!D21+'Dong Lam'!D21+'Khanh Nga'!D21+TDP!D21+DTRVL!D21</f>
        <v>0</v>
      </c>
      <c r="E21" s="64">
        <f>DTR!E21+'Dai Loc'!E21+'Dong Lam'!E21+'Khanh Nga'!E21+TDP!E21+DTRVL!E21</f>
        <v>0</v>
      </c>
      <c r="F21" s="64">
        <f>DTR!F21+'Dai Loc'!F21+'Dong Lam'!F21+'Khanh Nga'!F21+TDP!F21+DTRVL!F21</f>
        <v>0</v>
      </c>
      <c r="G21" s="64">
        <f>DTR!G21+'Dai Loc'!G21+'Dong Lam'!G21+'Khanh Nga'!G21+TDP!G21+DTRVL!G21</f>
        <v>0</v>
      </c>
      <c r="H21" s="64">
        <f>DTR!H21+'Dai Loc'!H21+'Dong Lam'!H21+'Khanh Nga'!H21+TDP!H21+DTRVL!H21</f>
        <v>0</v>
      </c>
      <c r="I21" s="64">
        <f>DTR!I21+'Dai Loc'!I21+'Dong Lam'!I21+'Khanh Nga'!I21+TDP!I21+DTRVL!I21</f>
        <v>0</v>
      </c>
      <c r="J21" s="64">
        <f>DTR!J21+'Dai Loc'!J21+'Dong Lam'!J21+'Khanh Nga'!J21+TDP!J21+DTRVL!J21</f>
        <v>0</v>
      </c>
      <c r="K21" s="64">
        <f>DTR!K21+'Dai Loc'!K21+'Dong Lam'!K21+'Khanh Nga'!K21+TDP!K21+DTRVL!K21</f>
        <v>0</v>
      </c>
      <c r="L21" s="64">
        <f>DTR!L21+'Dai Loc'!L21+'Dong Lam'!L21+'Khanh Nga'!L21+TDP!L21+DTRVL!L21</f>
        <v>0</v>
      </c>
      <c r="M21" s="64">
        <f>DTR!M21+'Dai Loc'!M21+'Dong Lam'!M21+'Khanh Nga'!M21+TDP!M21+DTRVL!M21</f>
        <v>0</v>
      </c>
      <c r="N21" s="64">
        <f>DTR!N21+'Dai Loc'!N21+'Dong Lam'!N21+'Khanh Nga'!N21+TDP!N21+DTRVL!N21</f>
        <v>0</v>
      </c>
      <c r="O21" s="64">
        <f>DTR!O21+'Dai Loc'!O21+'Dong Lam'!O21+'Khanh Nga'!O21+TDP!O21+DTRVL!O21</f>
        <v>0</v>
      </c>
      <c r="P21" s="64">
        <f>DTR!P21+'Dai Loc'!P21+'Dong Lam'!P21+'Khanh Nga'!P21+TDP!P21+DTRVL!P21</f>
        <v>0</v>
      </c>
      <c r="Q21" s="64">
        <f>DTR!Q21+'Dai Loc'!Q21+'Dong Lam'!Q21+'Khanh Nga'!Q21+TDP!Q21+DTRVL!Q21</f>
        <v>0</v>
      </c>
      <c r="R21" s="64">
        <f>DTR!R21+'Dai Loc'!R21+'Dong Lam'!R21+'Khanh Nga'!R21+TDP!R21+DTRVL!R21</f>
        <v>0</v>
      </c>
      <c r="S21" s="64">
        <f>DTR!S21+'Dai Loc'!S21+'Dong Lam'!S21+'Khanh Nga'!S21+TDP!S21+DTRVL!S21</f>
        <v>0</v>
      </c>
      <c r="T21" s="64">
        <f>DTR!T21+'Dai Loc'!T21+'Dong Lam'!T21+'Khanh Nga'!T21+TDP!T21+DTRVL!T21</f>
        <v>0</v>
      </c>
      <c r="U21" s="64">
        <f>DTR!U21+'Dai Loc'!U21+'Dong Lam'!U21+'Khanh Nga'!U21+TDP!U21+DTRVL!U21</f>
        <v>0</v>
      </c>
      <c r="V21" s="64">
        <f>DTR!V21+'Dai Loc'!V21+'Dong Lam'!V21+'Khanh Nga'!V21+TDP!V21+DTRVL!V21</f>
        <v>0</v>
      </c>
      <c r="W21" s="64">
        <f>DTR!W21+'Dai Loc'!W21+'Dong Lam'!W21+'Khanh Nga'!W21+TDP!W21+DTRVL!W21</f>
        <v>0</v>
      </c>
      <c r="X21" s="64">
        <f>DTR!X21+'Dai Loc'!X21+'Dong Lam'!X21+'Khanh Nga'!X21+TDP!X21+DTRVL!X21</f>
        <v>0</v>
      </c>
      <c r="Y21" s="64">
        <f>DTR!Y21+'Dai Loc'!Y21+'Dong Lam'!Y21+'Khanh Nga'!Y21+TDP!Y21+DTRVL!Y21</f>
        <v>0</v>
      </c>
      <c r="Z21" s="64">
        <f>DTR!Z21+'Dai Loc'!Z21+'Dong Lam'!Z21+'Khanh Nga'!Z21+TDP!Z21+DTRVL!Z21</f>
        <v>0</v>
      </c>
    </row>
    <row r="22" spans="1:26" ht="15" hidden="1" customHeight="1" outlineLevel="1">
      <c r="A22" s="67" t="s">
        <v>106</v>
      </c>
      <c r="B22" s="63">
        <v>17</v>
      </c>
      <c r="C22" s="64">
        <f>DTR!C22+'Dai Loc'!C22+'Dong Lam'!C22+'Khanh Nga'!C22+TDP!C22+DTRVL!C22</f>
        <v>49691047547.139999</v>
      </c>
      <c r="D22" s="64">
        <f>DTR!D22+'Dai Loc'!D22+'Dong Lam'!D22+'Khanh Nga'!D22+TDP!D22+DTRVL!D22</f>
        <v>30919005346.139999</v>
      </c>
      <c r="E22" s="64">
        <f>DTR!E22+'Dai Loc'!E22+'Dong Lam'!E22+'Khanh Nga'!E22+TDP!E22+DTRVL!E22</f>
        <v>30825313041</v>
      </c>
      <c r="F22" s="64">
        <f>DTR!F22+'Dai Loc'!F22+'Dong Lam'!F22+'Khanh Nga'!F22+TDP!F22+DTRVL!F22</f>
        <v>32782410538</v>
      </c>
      <c r="G22" s="64">
        <f>DTR!G22+'Dai Loc'!G22+'Dong Lam'!G22+'Khanh Nga'!G22+TDP!G22+DTRVL!G22</f>
        <v>33344780187.748001</v>
      </c>
      <c r="H22" s="64">
        <f>DTR!H22+'Dai Loc'!H22+'Dong Lam'!H22+'Khanh Nga'!H22+TDP!H22+DTRVL!H22</f>
        <v>61447478581.748001</v>
      </c>
      <c r="I22" s="64">
        <f>DTR!I22+'Dai Loc'!I22+'Dong Lam'!I22+'Khanh Nga'!I22+TDP!I22+DTRVL!I22</f>
        <v>35510919235.517998</v>
      </c>
      <c r="J22" s="64">
        <f>DTR!J22+'Dai Loc'!J22+'Dong Lam'!J22+'Khanh Nga'!J22+TDP!J22+DTRVL!J22</f>
        <v>35511786216.517998</v>
      </c>
      <c r="K22" s="64">
        <f>DTR!K22+'Dai Loc'!K22+'Dong Lam'!K22+'Khanh Nga'!K22+TDP!K22+DTRVL!K22</f>
        <v>36150353212.517998</v>
      </c>
      <c r="L22" s="64">
        <f>DTR!L22+'Dai Loc'!L22+'Dong Lam'!L22+'Khanh Nga'!L22+TDP!L22+DTRVL!L22</f>
        <v>36519079938.517998</v>
      </c>
      <c r="M22" s="64">
        <f>DTR!M22+'Dai Loc'!M22+'Dong Lam'!M22+'Khanh Nga'!M22+TDP!M22+DTRVL!M22</f>
        <v>72633112041.518005</v>
      </c>
      <c r="N22" s="64">
        <f>DTR!N22+'Dai Loc'!N22+'Dong Lam'!N22+'Khanh Nga'!N22+TDP!N22+DTRVL!N22</f>
        <v>42505816398</v>
      </c>
      <c r="O22" s="64">
        <f>DTR!O22+'Dai Loc'!O22+'Dong Lam'!O22+'Khanh Nga'!O22+TDP!O22+DTRVL!O22</f>
        <v>21495133599.517899</v>
      </c>
      <c r="P22" s="64">
        <f>DTR!P22+'Dai Loc'!P22+'Dong Lam'!P22+'Khanh Nga'!P22+TDP!P22+DTRVL!P22</f>
        <v>22961387098.518002</v>
      </c>
      <c r="Q22" s="64">
        <f>DTR!Q22+'Dai Loc'!Q22+'Dong Lam'!Q22+'Khanh Nga'!Q22+TDP!Q22+DTRVL!Q22</f>
        <v>11015074368</v>
      </c>
      <c r="R22" s="64">
        <f>DTR!R22+'Dai Loc'!R22+'Dong Lam'!R22+'Khanh Nga'!R22+TDP!R22+DTRVL!R22</f>
        <v>11350435826.518</v>
      </c>
      <c r="S22" s="64">
        <f>DTR!S22+'Dai Loc'!S22+'Dong Lam'!S22+'Khanh Nga'!S22+TDP!S22+DTRVL!S22</f>
        <v>11242784814.518</v>
      </c>
      <c r="T22" s="64">
        <f>DTR!T22+'Dai Loc'!T22+'Dong Lam'!T22+'Khanh Nga'!T22+TDP!T22+DTRVL!T22</f>
        <v>32861065699</v>
      </c>
      <c r="U22" s="64">
        <f>DTR!U22+'Dai Loc'!U22+'Dong Lam'!U22+'Khanh Nga'!U22+TDP!U22+DTRVL!U22</f>
        <v>33152358932</v>
      </c>
      <c r="V22" s="64">
        <f>DTR!V22+'Dai Loc'!V22+'Dong Lam'!V22+'Khanh Nga'!V22+TDP!V22+DTRVL!V22</f>
        <v>67299108247</v>
      </c>
      <c r="W22" s="64">
        <f>DTR!W22+'Dai Loc'!W22+'Dong Lam'!W22+'Khanh Nga'!W22+TDP!W22+DTRVL!W22</f>
        <v>36819352418</v>
      </c>
      <c r="X22" s="64">
        <f>DTR!X22+'Dai Loc'!X22+'Dong Lam'!X22+'Khanh Nga'!X22+TDP!X22+DTRVL!X22</f>
        <v>35919360618</v>
      </c>
      <c r="Y22" s="64">
        <f>DTR!Y22+'Dai Loc'!Y22+'Dong Lam'!Y22+'Khanh Nga'!Y22+TDP!Y22+DTRVL!Y22</f>
        <v>35973068335</v>
      </c>
      <c r="Z22" s="64">
        <f>DTR!Z22+'Dai Loc'!Z22+'Dong Lam'!Z22+'Khanh Nga'!Z22+TDP!Z22+DTRVL!Z22</f>
        <v>54515556786</v>
      </c>
    </row>
    <row r="23" spans="1:26" ht="15" hidden="1" customHeight="1" outlineLevel="1">
      <c r="A23" s="67" t="s">
        <v>107</v>
      </c>
      <c r="B23" s="63">
        <v>18</v>
      </c>
      <c r="C23" s="64">
        <f>DTR!C23+'Dai Loc'!C23+'Dong Lam'!C23+'Khanh Nga'!C23+TDP!C23+DTRVL!C23</f>
        <v>-120525864</v>
      </c>
      <c r="D23" s="64">
        <f>DTR!D23+'Dai Loc'!D23+'Dong Lam'!D23+'Khanh Nga'!D23+TDP!D23+DTRVL!D23</f>
        <v>-120525864</v>
      </c>
      <c r="E23" s="64">
        <f>DTR!E23+'Dai Loc'!E23+'Dong Lam'!E23+'Khanh Nga'!E23+TDP!E23+DTRVL!E23</f>
        <v>-120525864</v>
      </c>
      <c r="F23" s="64">
        <f>DTR!F23+'Dai Loc'!F23+'Dong Lam'!F23+'Khanh Nga'!F23+TDP!F23+DTRVL!F23</f>
        <v>-120525864</v>
      </c>
      <c r="G23" s="64">
        <f>DTR!G23+'Dai Loc'!G23+'Dong Lam'!G23+'Khanh Nga'!G23+TDP!G23+DTRVL!G23</f>
        <v>-120525864</v>
      </c>
      <c r="H23" s="64">
        <f>DTR!H23+'Dai Loc'!H23+'Dong Lam'!H23+'Khanh Nga'!H23+TDP!H23+DTRVL!H23</f>
        <v>-120525864</v>
      </c>
      <c r="I23" s="64">
        <f>DTR!I23+'Dai Loc'!I23+'Dong Lam'!I23+'Khanh Nga'!I23+TDP!I23+DTRVL!I23</f>
        <v>-120525864</v>
      </c>
      <c r="J23" s="64">
        <f>DTR!J23+'Dai Loc'!J23+'Dong Lam'!J23+'Khanh Nga'!J23+TDP!J23+DTRVL!J23</f>
        <v>-120525864</v>
      </c>
      <c r="K23" s="64">
        <f>DTR!K23+'Dai Loc'!K23+'Dong Lam'!K23+'Khanh Nga'!K23+TDP!K23+DTRVL!K23</f>
        <v>-120525864</v>
      </c>
      <c r="L23" s="64">
        <f>DTR!L23+'Dai Loc'!L23+'Dong Lam'!L23+'Khanh Nga'!L23+TDP!L23+DTRVL!L23</f>
        <v>-120525864</v>
      </c>
      <c r="M23" s="64">
        <f>DTR!M23+'Dai Loc'!M23+'Dong Lam'!M23+'Khanh Nga'!M23+TDP!M23+DTRVL!M23</f>
        <v>0</v>
      </c>
      <c r="N23" s="64">
        <f>DTR!N23+'Dai Loc'!N23+'Dong Lam'!N23+'Khanh Nga'!N23+TDP!N23+DTRVL!N23</f>
        <v>0</v>
      </c>
      <c r="O23" s="64">
        <f>DTR!O23+'Dai Loc'!O23+'Dong Lam'!O23+'Khanh Nga'!O23+TDP!O23+DTRVL!O23</f>
        <v>0</v>
      </c>
      <c r="P23" s="64">
        <f>DTR!P23+'Dai Loc'!P23+'Dong Lam'!P23+'Khanh Nga'!P23+TDP!P23+DTRVL!P23</f>
        <v>0</v>
      </c>
      <c r="Q23" s="64">
        <f>DTR!Q23+'Dai Loc'!Q23+'Dong Lam'!Q23+'Khanh Nga'!Q23+TDP!Q23+DTRVL!Q23</f>
        <v>0</v>
      </c>
      <c r="R23" s="64">
        <f>DTR!R23+'Dai Loc'!R23+'Dong Lam'!R23+'Khanh Nga'!R23+TDP!R23+DTRVL!R23</f>
        <v>0</v>
      </c>
      <c r="S23" s="64">
        <f>DTR!S23+'Dai Loc'!S23+'Dong Lam'!S23+'Khanh Nga'!S23+TDP!S23+DTRVL!S23</f>
        <v>0</v>
      </c>
      <c r="T23" s="64">
        <f>DTR!T23+'Dai Loc'!T23+'Dong Lam'!T23+'Khanh Nga'!T23+TDP!T23+DTRVL!T23</f>
        <v>0</v>
      </c>
      <c r="U23" s="64">
        <f>DTR!U23+'Dai Loc'!U23+'Dong Lam'!U23+'Khanh Nga'!U23+TDP!U23+DTRVL!U23</f>
        <v>0</v>
      </c>
      <c r="V23" s="64">
        <f>DTR!V23+'Dai Loc'!V23+'Dong Lam'!V23+'Khanh Nga'!V23+TDP!V23+DTRVL!V23</f>
        <v>0</v>
      </c>
      <c r="W23" s="64">
        <f>DTR!W23+'Dai Loc'!W23+'Dong Lam'!W23+'Khanh Nga'!W23+TDP!W23+DTRVL!W23</f>
        <v>0</v>
      </c>
      <c r="X23" s="64">
        <f>DTR!X23+'Dai Loc'!X23+'Dong Lam'!X23+'Khanh Nga'!X23+TDP!X23+DTRVL!X23</f>
        <v>0</v>
      </c>
      <c r="Y23" s="64">
        <f>DTR!Y23+'Dai Loc'!Y23+'Dong Lam'!Y23+'Khanh Nga'!Y23+TDP!Y23+DTRVL!Y23</f>
        <v>0</v>
      </c>
      <c r="Z23" s="64">
        <f>DTR!Z23+'Dai Loc'!Z23+'Dong Lam'!Z23+'Khanh Nga'!Z23+TDP!Z23+DTRVL!Z23</f>
        <v>-609095700</v>
      </c>
    </row>
    <row r="24" spans="1:26" ht="15" hidden="1" customHeight="1" outlineLevel="1">
      <c r="A24" s="68" t="s">
        <v>108</v>
      </c>
      <c r="B24" s="63">
        <v>19</v>
      </c>
      <c r="C24" s="64">
        <f>DTR!C24+'Dai Loc'!C24+'Dong Lam'!C24+'Khanh Nga'!C24+TDP!C24+DTRVL!C24</f>
        <v>-524609275</v>
      </c>
      <c r="D24" s="64">
        <f>DTR!D24+'Dai Loc'!D24+'Dong Lam'!D24+'Khanh Nga'!D24+TDP!D24+DTRVL!D24</f>
        <v>-524609275</v>
      </c>
      <c r="E24" s="64">
        <f>DTR!E24+'Dai Loc'!E24+'Dong Lam'!E24+'Khanh Nga'!E24+TDP!E24+DTRVL!E24</f>
        <v>7901392144</v>
      </c>
      <c r="F24" s="64">
        <f>DTR!F24+'Dai Loc'!F24+'Dong Lam'!F24+'Khanh Nga'!F24+TDP!F24+DTRVL!F24</f>
        <v>7901392144</v>
      </c>
      <c r="G24" s="64">
        <f>DTR!G24+'Dai Loc'!G24+'Dong Lam'!G24+'Khanh Nga'!G24+TDP!G24+DTRVL!G24</f>
        <v>-524609275</v>
      </c>
      <c r="H24" s="64">
        <f>DTR!H24+'Dai Loc'!H24+'Dong Lam'!H24+'Khanh Nga'!H24+TDP!H24+DTRVL!H24</f>
        <v>-524609275</v>
      </c>
      <c r="I24" s="64">
        <f>DTR!I24+'Dai Loc'!I24+'Dong Lam'!I24+'Khanh Nga'!I24+TDP!I24+DTRVL!I24</f>
        <v>-524609275</v>
      </c>
      <c r="J24" s="64">
        <f>DTR!J24+'Dai Loc'!J24+'Dong Lam'!J24+'Khanh Nga'!J24+TDP!J24+DTRVL!J24</f>
        <v>-524609275</v>
      </c>
      <c r="K24" s="64">
        <f>DTR!K24+'Dai Loc'!K24+'Dong Lam'!K24+'Khanh Nga'!K24+TDP!K24+DTRVL!K24</f>
        <v>-524609275</v>
      </c>
      <c r="L24" s="64">
        <f>DTR!L24+'Dai Loc'!L24+'Dong Lam'!L24+'Khanh Nga'!L24+TDP!L24+DTRVL!L24</f>
        <v>-524609275</v>
      </c>
      <c r="M24" s="64">
        <f>DTR!M24+'Dai Loc'!M24+'Dong Lam'!M24+'Khanh Nga'!M24+TDP!M24+DTRVL!M24</f>
        <v>-524609275</v>
      </c>
      <c r="N24" s="64">
        <f>DTR!N24+'Dai Loc'!N24+'Dong Lam'!N24+'Khanh Nga'!N24+TDP!N24+DTRVL!N24</f>
        <v>0</v>
      </c>
      <c r="O24" s="64">
        <f>DTR!O24+'Dai Loc'!O24+'Dong Lam'!O24+'Khanh Nga'!O24+TDP!O24+DTRVL!O24</f>
        <v>0</v>
      </c>
      <c r="P24" s="64">
        <f>DTR!P24+'Dai Loc'!P24+'Dong Lam'!P24+'Khanh Nga'!P24+TDP!P24+DTRVL!P24</f>
        <v>0</v>
      </c>
      <c r="Q24" s="64">
        <f>DTR!Q24+'Dai Loc'!Q24+'Dong Lam'!Q24+'Khanh Nga'!Q24+TDP!Q24+DTRVL!Q24</f>
        <v>0</v>
      </c>
      <c r="R24" s="64">
        <f>DTR!R24+'Dai Loc'!R24+'Dong Lam'!R24+'Khanh Nga'!R24+TDP!R24+DTRVL!R24</f>
        <v>0</v>
      </c>
      <c r="S24" s="64">
        <f>DTR!S24+'Dai Loc'!S24+'Dong Lam'!S24+'Khanh Nga'!S24+TDP!S24+DTRVL!S24</f>
        <v>0</v>
      </c>
      <c r="T24" s="64">
        <f>DTR!T24+'Dai Loc'!T24+'Dong Lam'!T24+'Khanh Nga'!T24+TDP!T24+DTRVL!T24</f>
        <v>0</v>
      </c>
      <c r="U24" s="64">
        <f>DTR!U24+'Dai Loc'!U24+'Dong Lam'!U24+'Khanh Nga'!U24+TDP!U24+DTRVL!U24</f>
        <v>0</v>
      </c>
      <c r="V24" s="64">
        <f>DTR!V24+'Dai Loc'!V24+'Dong Lam'!V24+'Khanh Nga'!V24+TDP!V24+DTRVL!V24</f>
        <v>0</v>
      </c>
      <c r="W24" s="64">
        <f>DTR!W24+'Dai Loc'!W24+'Dong Lam'!W24+'Khanh Nga'!W24+TDP!W24+DTRVL!W24</f>
        <v>0</v>
      </c>
      <c r="X24" s="64">
        <f>DTR!X24+'Dai Loc'!X24+'Dong Lam'!X24+'Khanh Nga'!X24+TDP!X24+DTRVL!X24</f>
        <v>0</v>
      </c>
      <c r="Y24" s="64">
        <f>DTR!Y24+'Dai Loc'!Y24+'Dong Lam'!Y24+'Khanh Nga'!Y24+TDP!Y24+DTRVL!Y24</f>
        <v>0</v>
      </c>
      <c r="Z24" s="64">
        <f>DTR!Z24+'Dai Loc'!Z24+'Dong Lam'!Z24+'Khanh Nga'!Z24+TDP!Z24+DTRVL!Z24</f>
        <v>177104044</v>
      </c>
    </row>
    <row r="25" spans="1:26" ht="15" hidden="1" customHeight="1" outlineLevel="1">
      <c r="A25" s="59" t="s">
        <v>109</v>
      </c>
      <c r="B25" s="65">
        <v>20</v>
      </c>
      <c r="C25" s="61">
        <f>DTR!C25+'Dai Loc'!C25+'Dong Lam'!C25+'Khanh Nga'!C25+TDP!C25+DTRVL!C25</f>
        <v>430096484178.85999</v>
      </c>
      <c r="D25" s="61">
        <f>DTR!D25+'Dai Loc'!D25+'Dong Lam'!D25+'Khanh Nga'!D25+TDP!D25+DTRVL!D25</f>
        <v>437301765372.85999</v>
      </c>
      <c r="E25" s="61">
        <f>DTR!E25+'Dai Loc'!E25+'Dong Lam'!E25+'Khanh Nga'!E25+TDP!E25+DTRVL!E25</f>
        <v>477162060831.85999</v>
      </c>
      <c r="F25" s="61">
        <f>DTR!F25+'Dai Loc'!F25+'Dong Lam'!F25+'Khanh Nga'!F25+TDP!F25+DTRVL!F25</f>
        <v>517614404978.88202</v>
      </c>
      <c r="G25" s="61">
        <f>DTR!G25+'Dai Loc'!G25+'Dong Lam'!G25+'Khanh Nga'!G25+TDP!G25+DTRVL!G25</f>
        <v>557633015691.25195</v>
      </c>
      <c r="H25" s="61">
        <f>DTR!H25+'Dai Loc'!H25+'Dong Lam'!H25+'Khanh Nga'!H25+TDP!H25+DTRVL!H25</f>
        <v>613742905725.25195</v>
      </c>
      <c r="I25" s="61">
        <f>DTR!I25+'Dai Loc'!I25+'Dong Lam'!I25+'Khanh Nga'!I25+TDP!I25+DTRVL!I25</f>
        <v>630876783389.48206</v>
      </c>
      <c r="J25" s="61">
        <f>DTR!J25+'Dai Loc'!J25+'Dong Lam'!J25+'Khanh Nga'!J25+TDP!J25+DTRVL!J25</f>
        <v>571035083187.48206</v>
      </c>
      <c r="K25" s="61">
        <f>DTR!K25+'Dai Loc'!K25+'Dong Lam'!K25+'Khanh Nga'!K25+TDP!K25+DTRVL!K25</f>
        <v>562348665912.48206</v>
      </c>
      <c r="L25" s="61">
        <f>DTR!L25+'Dai Loc'!L25+'Dong Lam'!L25+'Khanh Nga'!L25+TDP!L25+DTRVL!L25</f>
        <v>558117702257.48206</v>
      </c>
      <c r="M25" s="61">
        <f>DTR!M25+'Dai Loc'!M25+'Dong Lam'!M25+'Khanh Nga'!M25+TDP!M25+DTRVL!M25</f>
        <v>599902987900.48206</v>
      </c>
      <c r="N25" s="61">
        <f>DTR!N25+'Dai Loc'!N25+'Dong Lam'!N25+'Khanh Nga'!N25+TDP!N25+DTRVL!N25</f>
        <v>614300196665.48206</v>
      </c>
      <c r="O25" s="61">
        <f>DTR!O25+'Dai Loc'!O25+'Dong Lam'!O25+'Khanh Nga'!O25+TDP!O25+DTRVL!O25</f>
        <v>580289170770.48206</v>
      </c>
      <c r="P25" s="61">
        <f>DTR!P25+'Dai Loc'!P25+'Dong Lam'!P25+'Khanh Nga'!P25+TDP!P25+DTRVL!P25</f>
        <v>500149972125.48199</v>
      </c>
      <c r="Q25" s="61">
        <f>DTR!Q25+'Dai Loc'!Q25+'Dong Lam'!Q25+'Khanh Nga'!Q25+TDP!Q25+DTRVL!Q25</f>
        <v>480641555258.48199</v>
      </c>
      <c r="R25" s="61">
        <f>DTR!R25+'Dai Loc'!R25+'Dong Lam'!R25+'Khanh Nga'!R25+TDP!R25+DTRVL!R25</f>
        <v>534948091340.48199</v>
      </c>
      <c r="S25" s="61">
        <f>DTR!S25+'Dai Loc'!S25+'Dong Lam'!S25+'Khanh Nga'!S25+TDP!S25+DTRVL!S25</f>
        <v>540062379851.48199</v>
      </c>
      <c r="T25" s="61">
        <f>DTR!T25+'Dai Loc'!T25+'Dong Lam'!T25+'Khanh Nga'!T25+TDP!T25+DTRVL!T25</f>
        <v>559774086836.48206</v>
      </c>
      <c r="U25" s="61">
        <f>DTR!U25+'Dai Loc'!U25+'Dong Lam'!U25+'Khanh Nga'!U25+TDP!U25+DTRVL!U25</f>
        <v>574368996605.48206</v>
      </c>
      <c r="V25" s="61">
        <f>DTR!V25+'Dai Loc'!V25+'Dong Lam'!V25+'Khanh Nga'!V25+TDP!V25+DTRVL!V25</f>
        <v>572758965444.48206</v>
      </c>
      <c r="W25" s="61">
        <f>DTR!W25+'Dai Loc'!W25+'Dong Lam'!W25+'Khanh Nga'!W25+TDP!W25+DTRVL!W25</f>
        <v>576109442562.48206</v>
      </c>
      <c r="X25" s="61">
        <f>DTR!X25+'Dai Loc'!X25+'Dong Lam'!X25+'Khanh Nga'!X25+TDP!X25+DTRVL!X25</f>
        <v>555856951749.48206</v>
      </c>
      <c r="Y25" s="61">
        <f>DTR!Y25+'Dai Loc'!Y25+'Dong Lam'!Y25+'Khanh Nga'!Y25+TDP!Y25+DTRVL!Y25</f>
        <v>558085932410.48206</v>
      </c>
      <c r="Z25" s="61">
        <f>DTR!Z25+'Dai Loc'!Z25+'Dong Lam'!Z25+'Khanh Nga'!Z25+TDP!Z25+DTRVL!Z25</f>
        <v>573616174194</v>
      </c>
    </row>
    <row r="26" spans="1:26" ht="15" hidden="1" customHeight="1" outlineLevel="1">
      <c r="A26" s="62" t="s">
        <v>110</v>
      </c>
      <c r="B26" s="63">
        <v>21</v>
      </c>
      <c r="C26" s="64">
        <f>DTR!C26+'Dai Loc'!C26+'Dong Lam'!C26+'Khanh Nga'!C26+TDP!C26+DTRVL!C26</f>
        <v>430096484178.85999</v>
      </c>
      <c r="D26" s="64">
        <f>DTR!D26+'Dai Loc'!D26+'Dong Lam'!D26+'Khanh Nga'!D26+TDP!D26+DTRVL!D26</f>
        <v>437301765372.85999</v>
      </c>
      <c r="E26" s="64">
        <f>DTR!E26+'Dai Loc'!E26+'Dong Lam'!E26+'Khanh Nga'!E26+TDP!E26+DTRVL!E26</f>
        <v>477162060831.85999</v>
      </c>
      <c r="F26" s="64">
        <f>DTR!F26+'Dai Loc'!F26+'Dong Lam'!F26+'Khanh Nga'!F26+TDP!F26+DTRVL!F26</f>
        <v>517614404978.88202</v>
      </c>
      <c r="G26" s="64">
        <f>DTR!G26+'Dai Loc'!G26+'Dong Lam'!G26+'Khanh Nga'!G26+TDP!G26+DTRVL!G26</f>
        <v>557633015691.25195</v>
      </c>
      <c r="H26" s="64">
        <f>DTR!H26+'Dai Loc'!H26+'Dong Lam'!H26+'Khanh Nga'!H26+TDP!H26+DTRVL!H26</f>
        <v>613742905725.25195</v>
      </c>
      <c r="I26" s="64">
        <f>DTR!I26+'Dai Loc'!I26+'Dong Lam'!I26+'Khanh Nga'!I26+TDP!I26+DTRVL!I26</f>
        <v>630876783389.48206</v>
      </c>
      <c r="J26" s="64">
        <f>DTR!J26+'Dai Loc'!J26+'Dong Lam'!J26+'Khanh Nga'!J26+TDP!J26+DTRVL!J26</f>
        <v>571035083187.48206</v>
      </c>
      <c r="K26" s="64">
        <f>DTR!K26+'Dai Loc'!K26+'Dong Lam'!K26+'Khanh Nga'!K26+TDP!K26+DTRVL!K26</f>
        <v>562348665912.48206</v>
      </c>
      <c r="L26" s="64">
        <f>DTR!L26+'Dai Loc'!L26+'Dong Lam'!L26+'Khanh Nga'!L26+TDP!L26+DTRVL!L26</f>
        <v>558117702257.48206</v>
      </c>
      <c r="M26" s="64">
        <f>DTR!M26+'Dai Loc'!M26+'Dong Lam'!M26+'Khanh Nga'!M26+TDP!M26+DTRVL!M26</f>
        <v>599902987900.48206</v>
      </c>
      <c r="N26" s="64">
        <f>DTR!N26+'Dai Loc'!N26+'Dong Lam'!N26+'Khanh Nga'!N26+TDP!N26+DTRVL!N26</f>
        <v>614300196665.48206</v>
      </c>
      <c r="O26" s="64">
        <f>DTR!O26+'Dai Loc'!O26+'Dong Lam'!O26+'Khanh Nga'!O26+TDP!O26+DTRVL!O26</f>
        <v>580289170770.48206</v>
      </c>
      <c r="P26" s="64">
        <f>DTR!P26+'Dai Loc'!P26+'Dong Lam'!P26+'Khanh Nga'!P26+TDP!P26+DTRVL!P26</f>
        <v>500149972125.48199</v>
      </c>
      <c r="Q26" s="64">
        <f>DTR!Q26+'Dai Loc'!Q26+'Dong Lam'!Q26+'Khanh Nga'!Q26+TDP!Q26+DTRVL!Q26</f>
        <v>480641555258.48199</v>
      </c>
      <c r="R26" s="64">
        <f>DTR!R26+'Dai Loc'!R26+'Dong Lam'!R26+'Khanh Nga'!R26+TDP!R26+DTRVL!R26</f>
        <v>534948091340.48199</v>
      </c>
      <c r="S26" s="64">
        <f>DTR!S26+'Dai Loc'!S26+'Dong Lam'!S26+'Khanh Nga'!S26+TDP!S26+DTRVL!S26</f>
        <v>540062379851.48199</v>
      </c>
      <c r="T26" s="64">
        <f>DTR!T26+'Dai Loc'!T26+'Dong Lam'!T26+'Khanh Nga'!T26+TDP!T26+DTRVL!T26</f>
        <v>559774086836.48206</v>
      </c>
      <c r="U26" s="64">
        <f>DTR!U26+'Dai Loc'!U26+'Dong Lam'!U26+'Khanh Nga'!U26+TDP!U26+DTRVL!U26</f>
        <v>574368996605.48206</v>
      </c>
      <c r="V26" s="64">
        <f>DTR!V26+'Dai Loc'!V26+'Dong Lam'!V26+'Khanh Nga'!V26+TDP!V26+DTRVL!V26</f>
        <v>572758965444.48206</v>
      </c>
      <c r="W26" s="64">
        <f>DTR!W26+'Dai Loc'!W26+'Dong Lam'!W26+'Khanh Nga'!W26+TDP!W26+DTRVL!W26</f>
        <v>576109442562.48206</v>
      </c>
      <c r="X26" s="64">
        <f>DTR!X26+'Dai Loc'!X26+'Dong Lam'!X26+'Khanh Nga'!X26+TDP!X26+DTRVL!X26</f>
        <v>555856951749.48206</v>
      </c>
      <c r="Y26" s="64">
        <f>DTR!Y26+'Dai Loc'!Y26+'Dong Lam'!Y26+'Khanh Nga'!Y26+TDP!Y26+DTRVL!Y26</f>
        <v>558085932410.48206</v>
      </c>
      <c r="Z26" s="64">
        <f>DTR!Z26+'Dai Loc'!Z26+'Dong Lam'!Z26+'Khanh Nga'!Z26+TDP!Z26+DTRVL!Z26</f>
        <v>573616174194</v>
      </c>
    </row>
    <row r="27" spans="1:26" ht="15" hidden="1" customHeight="1" outlineLevel="1">
      <c r="A27" s="62" t="s">
        <v>111</v>
      </c>
      <c r="B27" s="63">
        <v>22</v>
      </c>
      <c r="C27" s="64">
        <f>DTR!C27+'Dai Loc'!C27+'Dong Lam'!C27+'Khanh Nga'!C27+TDP!C27+DTRVL!C27</f>
        <v>0</v>
      </c>
      <c r="D27" s="64">
        <f>DTR!D27+'Dai Loc'!D27+'Dong Lam'!D27+'Khanh Nga'!D27+TDP!D27+DTRVL!D27</f>
        <v>0</v>
      </c>
      <c r="E27" s="64">
        <f>DTR!E27+'Dai Loc'!E27+'Dong Lam'!E27+'Khanh Nga'!E27+TDP!E27+DTRVL!E27</f>
        <v>0</v>
      </c>
      <c r="F27" s="64">
        <f>DTR!F27+'Dai Loc'!F27+'Dong Lam'!F27+'Khanh Nga'!F27+TDP!F27+DTRVL!F27</f>
        <v>0</v>
      </c>
      <c r="G27" s="64">
        <f>DTR!G27+'Dai Loc'!G27+'Dong Lam'!G27+'Khanh Nga'!G27+TDP!G27+DTRVL!G27</f>
        <v>0</v>
      </c>
      <c r="H27" s="64">
        <f>DTR!H27+'Dai Loc'!H27+'Dong Lam'!H27+'Khanh Nga'!H27+TDP!H27+DTRVL!H27</f>
        <v>0</v>
      </c>
      <c r="I27" s="64">
        <f>DTR!I27+'Dai Loc'!I27+'Dong Lam'!I27+'Khanh Nga'!I27+TDP!I27+DTRVL!I27</f>
        <v>0</v>
      </c>
      <c r="J27" s="64">
        <f>DTR!J27+'Dai Loc'!J27+'Dong Lam'!J27+'Khanh Nga'!J27+TDP!J27+DTRVL!J27</f>
        <v>0</v>
      </c>
      <c r="K27" s="64">
        <f>DTR!K27+'Dai Loc'!K27+'Dong Lam'!K27+'Khanh Nga'!K27+TDP!K27+DTRVL!K27</f>
        <v>0</v>
      </c>
      <c r="L27" s="64">
        <f>DTR!L27+'Dai Loc'!L27+'Dong Lam'!L27+'Khanh Nga'!L27+TDP!L27+DTRVL!L27</f>
        <v>0</v>
      </c>
      <c r="M27" s="64">
        <f>DTR!M27+'Dai Loc'!M27+'Dong Lam'!M27+'Khanh Nga'!M27+TDP!M27+DTRVL!M27</f>
        <v>0</v>
      </c>
      <c r="N27" s="64">
        <f>DTR!N27+'Dai Loc'!N27+'Dong Lam'!N27+'Khanh Nga'!N27+TDP!N27+DTRVL!N27</f>
        <v>0</v>
      </c>
      <c r="O27" s="64">
        <f>DTR!O27+'Dai Loc'!O27+'Dong Lam'!O27+'Khanh Nga'!O27+TDP!O27+DTRVL!O27</f>
        <v>0</v>
      </c>
      <c r="P27" s="64">
        <f>DTR!P27+'Dai Loc'!P27+'Dong Lam'!P27+'Khanh Nga'!P27+TDP!P27+DTRVL!P27</f>
        <v>0</v>
      </c>
      <c r="Q27" s="64">
        <f>DTR!Q27+'Dai Loc'!Q27+'Dong Lam'!Q27+'Khanh Nga'!Q27+TDP!Q27+DTRVL!Q27</f>
        <v>0</v>
      </c>
      <c r="R27" s="64">
        <f>DTR!R27+'Dai Loc'!R27+'Dong Lam'!R27+'Khanh Nga'!R27+TDP!R27+DTRVL!R27</f>
        <v>0</v>
      </c>
      <c r="S27" s="64">
        <f>DTR!S27+'Dai Loc'!S27+'Dong Lam'!S27+'Khanh Nga'!S27+TDP!S27+DTRVL!S27</f>
        <v>0</v>
      </c>
      <c r="T27" s="64">
        <f>DTR!T27+'Dai Loc'!T27+'Dong Lam'!T27+'Khanh Nga'!T27+TDP!T27+DTRVL!T27</f>
        <v>0</v>
      </c>
      <c r="U27" s="64">
        <f>DTR!U27+'Dai Loc'!U27+'Dong Lam'!U27+'Khanh Nga'!U27+TDP!U27+DTRVL!U27</f>
        <v>0</v>
      </c>
      <c r="V27" s="64">
        <f>DTR!V27+'Dai Loc'!V27+'Dong Lam'!V27+'Khanh Nga'!V27+TDP!V27+DTRVL!V27</f>
        <v>0</v>
      </c>
      <c r="W27" s="64">
        <f>DTR!W27+'Dai Loc'!W27+'Dong Lam'!W27+'Khanh Nga'!W27+TDP!W27+DTRVL!W27</f>
        <v>0</v>
      </c>
      <c r="X27" s="64">
        <f>DTR!X27+'Dai Loc'!X27+'Dong Lam'!X27+'Khanh Nga'!X27+TDP!X27+DTRVL!X27</f>
        <v>0</v>
      </c>
      <c r="Y27" s="64">
        <f>DTR!Y27+'Dai Loc'!Y27+'Dong Lam'!Y27+'Khanh Nga'!Y27+TDP!Y27+DTRVL!Y27</f>
        <v>0</v>
      </c>
      <c r="Z27" s="64">
        <f>DTR!Z27+'Dai Loc'!Z27+'Dong Lam'!Z27+'Khanh Nga'!Z27+TDP!Z27+DTRVL!Z27</f>
        <v>0</v>
      </c>
    </row>
    <row r="28" spans="1:26" ht="15" hidden="1" customHeight="1" outlineLevel="1">
      <c r="A28" s="59" t="s">
        <v>112</v>
      </c>
      <c r="B28" s="65">
        <v>23</v>
      </c>
      <c r="C28" s="64">
        <f>DTR!C28+'Dai Loc'!C28+'Dong Lam'!C28+'Khanh Nga'!C28+TDP!C28+DTRVL!C28</f>
        <v>0</v>
      </c>
      <c r="D28" s="64">
        <f>DTR!D28+'Dai Loc'!D28+'Dong Lam'!D28+'Khanh Nga'!D28+TDP!D28+DTRVL!D28</f>
        <v>0</v>
      </c>
      <c r="E28" s="64">
        <f>DTR!E28+'Dai Loc'!E28+'Dong Lam'!E28+'Khanh Nga'!E28+TDP!E28+DTRVL!E28</f>
        <v>0</v>
      </c>
      <c r="F28" s="64">
        <f>DTR!F28+'Dai Loc'!F28+'Dong Lam'!F28+'Khanh Nga'!F28+TDP!F28+DTRVL!F28</f>
        <v>0</v>
      </c>
      <c r="G28" s="64">
        <f>DTR!G28+'Dai Loc'!G28+'Dong Lam'!G28+'Khanh Nga'!G28+TDP!G28+DTRVL!G28</f>
        <v>0</v>
      </c>
      <c r="H28" s="64">
        <f>DTR!H28+'Dai Loc'!H28+'Dong Lam'!H28+'Khanh Nga'!H28+TDP!H28+DTRVL!H28</f>
        <v>0</v>
      </c>
      <c r="I28" s="64">
        <f>DTR!I28+'Dai Loc'!I28+'Dong Lam'!I28+'Khanh Nga'!I28+TDP!I28+DTRVL!I28</f>
        <v>0</v>
      </c>
      <c r="J28" s="64">
        <f>DTR!J28+'Dai Loc'!J28+'Dong Lam'!J28+'Khanh Nga'!J28+TDP!J28+DTRVL!J28</f>
        <v>0</v>
      </c>
      <c r="K28" s="64">
        <f>DTR!K28+'Dai Loc'!K28+'Dong Lam'!K28+'Khanh Nga'!K28+TDP!K28+DTRVL!K28</f>
        <v>0</v>
      </c>
      <c r="L28" s="64">
        <f>DTR!L28+'Dai Loc'!L28+'Dong Lam'!L28+'Khanh Nga'!L28+TDP!L28+DTRVL!L28</f>
        <v>0</v>
      </c>
      <c r="M28" s="64">
        <f>DTR!M28+'Dai Loc'!M28+'Dong Lam'!M28+'Khanh Nga'!M28+TDP!M28+DTRVL!M28</f>
        <v>0</v>
      </c>
      <c r="N28" s="64">
        <f>DTR!N28+'Dai Loc'!N28+'Dong Lam'!N28+'Khanh Nga'!N28+TDP!N28+DTRVL!N28</f>
        <v>0</v>
      </c>
      <c r="O28" s="64">
        <f>DTR!O28+'Dai Loc'!O28+'Dong Lam'!O28+'Khanh Nga'!O28+TDP!O28+DTRVL!O28</f>
        <v>0</v>
      </c>
      <c r="P28" s="64">
        <f>DTR!P28+'Dai Loc'!P28+'Dong Lam'!P28+'Khanh Nga'!P28+TDP!P28+DTRVL!P28</f>
        <v>0</v>
      </c>
      <c r="Q28" s="64">
        <f>DTR!Q28+'Dai Loc'!Q28+'Dong Lam'!Q28+'Khanh Nga'!Q28+TDP!Q28+DTRVL!Q28</f>
        <v>0</v>
      </c>
      <c r="R28" s="64">
        <f>DTR!R28+'Dai Loc'!R28+'Dong Lam'!R28+'Khanh Nga'!R28+TDP!R28+DTRVL!R28</f>
        <v>0</v>
      </c>
      <c r="S28" s="64">
        <f>DTR!S28+'Dai Loc'!S28+'Dong Lam'!S28+'Khanh Nga'!S28+TDP!S28+DTRVL!S28</f>
        <v>0</v>
      </c>
      <c r="T28" s="64">
        <f>DTR!T28+'Dai Loc'!T28+'Dong Lam'!T28+'Khanh Nga'!T28+TDP!T28+DTRVL!T28</f>
        <v>0</v>
      </c>
      <c r="U28" s="64">
        <f>DTR!U28+'Dai Loc'!U28+'Dong Lam'!U28+'Khanh Nga'!U28+TDP!U28+DTRVL!U28</f>
        <v>0</v>
      </c>
      <c r="V28" s="64">
        <f>DTR!V28+'Dai Loc'!V28+'Dong Lam'!V28+'Khanh Nga'!V28+TDP!V28+DTRVL!V28</f>
        <v>0</v>
      </c>
      <c r="W28" s="64">
        <f>DTR!W28+'Dai Loc'!W28+'Dong Lam'!W28+'Khanh Nga'!W28+TDP!W28+DTRVL!W28</f>
        <v>0</v>
      </c>
      <c r="X28" s="64">
        <f>DTR!X28+'Dai Loc'!X28+'Dong Lam'!X28+'Khanh Nga'!X28+TDP!X28+DTRVL!X28</f>
        <v>0</v>
      </c>
      <c r="Y28" s="64">
        <f>DTR!Y28+'Dai Loc'!Y28+'Dong Lam'!Y28+'Khanh Nga'!Y28+TDP!Y28+DTRVL!Y28</f>
        <v>0</v>
      </c>
      <c r="Z28" s="64">
        <f>DTR!Z28+'Dai Loc'!Z28+'Dong Lam'!Z28+'Khanh Nga'!Z28+TDP!Z28+DTRVL!Z28</f>
        <v>0</v>
      </c>
    </row>
    <row r="29" spans="1:26" ht="15" hidden="1" customHeight="1" outlineLevel="1">
      <c r="A29" s="62" t="s">
        <v>113</v>
      </c>
      <c r="B29" s="63">
        <v>24</v>
      </c>
      <c r="C29" s="64">
        <f>DTR!C29+'Dai Loc'!C29+'Dong Lam'!C29+'Khanh Nga'!C29+TDP!C29+DTRVL!C29</f>
        <v>0</v>
      </c>
      <c r="D29" s="64">
        <f>DTR!D29+'Dai Loc'!D29+'Dong Lam'!D29+'Khanh Nga'!D29+TDP!D29+DTRVL!D29</f>
        <v>0</v>
      </c>
      <c r="E29" s="64">
        <f>DTR!E29+'Dai Loc'!E29+'Dong Lam'!E29+'Khanh Nga'!E29+TDP!E29+DTRVL!E29</f>
        <v>0</v>
      </c>
      <c r="F29" s="64">
        <f>DTR!F29+'Dai Loc'!F29+'Dong Lam'!F29+'Khanh Nga'!F29+TDP!F29+DTRVL!F29</f>
        <v>0</v>
      </c>
      <c r="G29" s="64">
        <f>DTR!G29+'Dai Loc'!G29+'Dong Lam'!G29+'Khanh Nga'!G29+TDP!G29+DTRVL!G29</f>
        <v>0</v>
      </c>
      <c r="H29" s="64">
        <f>DTR!H29+'Dai Loc'!H29+'Dong Lam'!H29+'Khanh Nga'!H29+TDP!H29+DTRVL!H29</f>
        <v>0</v>
      </c>
      <c r="I29" s="64">
        <f>DTR!I29+'Dai Loc'!I29+'Dong Lam'!I29+'Khanh Nga'!I29+TDP!I29+DTRVL!I29</f>
        <v>0</v>
      </c>
      <c r="J29" s="64">
        <f>DTR!J29+'Dai Loc'!J29+'Dong Lam'!J29+'Khanh Nga'!J29+TDP!J29+DTRVL!J29</f>
        <v>0</v>
      </c>
      <c r="K29" s="64">
        <f>DTR!K29+'Dai Loc'!K29+'Dong Lam'!K29+'Khanh Nga'!K29+TDP!K29+DTRVL!K29</f>
        <v>0</v>
      </c>
      <c r="L29" s="64">
        <f>DTR!L29+'Dai Loc'!L29+'Dong Lam'!L29+'Khanh Nga'!L29+TDP!L29+DTRVL!L29</f>
        <v>0</v>
      </c>
      <c r="M29" s="64">
        <f>DTR!M29+'Dai Loc'!M29+'Dong Lam'!M29+'Khanh Nga'!M29+TDP!M29+DTRVL!M29</f>
        <v>0</v>
      </c>
      <c r="N29" s="64">
        <f>DTR!N29+'Dai Loc'!N29+'Dong Lam'!N29+'Khanh Nga'!N29+TDP!N29+DTRVL!N29</f>
        <v>0</v>
      </c>
      <c r="O29" s="64">
        <f>DTR!O29+'Dai Loc'!O29+'Dong Lam'!O29+'Khanh Nga'!O29+TDP!O29+DTRVL!O29</f>
        <v>0</v>
      </c>
      <c r="P29" s="64">
        <f>DTR!P29+'Dai Loc'!P29+'Dong Lam'!P29+'Khanh Nga'!P29+TDP!P29+DTRVL!P29</f>
        <v>0</v>
      </c>
      <c r="Q29" s="64">
        <f>DTR!Q29+'Dai Loc'!Q29+'Dong Lam'!Q29+'Khanh Nga'!Q29+TDP!Q29+DTRVL!Q29</f>
        <v>0</v>
      </c>
      <c r="R29" s="64">
        <f>DTR!R29+'Dai Loc'!R29+'Dong Lam'!R29+'Khanh Nga'!R29+TDP!R29+DTRVL!R29</f>
        <v>0</v>
      </c>
      <c r="S29" s="64">
        <f>DTR!S29+'Dai Loc'!S29+'Dong Lam'!S29+'Khanh Nga'!S29+TDP!S29+DTRVL!S29</f>
        <v>0</v>
      </c>
      <c r="T29" s="64">
        <f>DTR!T29+'Dai Loc'!T29+'Dong Lam'!T29+'Khanh Nga'!T29+TDP!T29+DTRVL!T29</f>
        <v>0</v>
      </c>
      <c r="U29" s="64">
        <f>DTR!U29+'Dai Loc'!U29+'Dong Lam'!U29+'Khanh Nga'!U29+TDP!U29+DTRVL!U29</f>
        <v>0</v>
      </c>
      <c r="V29" s="64">
        <f>DTR!V29+'Dai Loc'!V29+'Dong Lam'!V29+'Khanh Nga'!V29+TDP!V29+DTRVL!V29</f>
        <v>0</v>
      </c>
      <c r="W29" s="64">
        <f>DTR!W29+'Dai Loc'!W29+'Dong Lam'!W29+'Khanh Nga'!W29+TDP!W29+DTRVL!W29</f>
        <v>0</v>
      </c>
      <c r="X29" s="64">
        <f>DTR!X29+'Dai Loc'!X29+'Dong Lam'!X29+'Khanh Nga'!X29+TDP!X29+DTRVL!X29</f>
        <v>0</v>
      </c>
      <c r="Y29" s="64">
        <f>DTR!Y29+'Dai Loc'!Y29+'Dong Lam'!Y29+'Khanh Nga'!Y29+TDP!Y29+DTRVL!Y29</f>
        <v>0</v>
      </c>
      <c r="Z29" s="64">
        <f>DTR!Z29+'Dai Loc'!Z29+'Dong Lam'!Z29+'Khanh Nga'!Z29+TDP!Z29+DTRVL!Z29</f>
        <v>0</v>
      </c>
    </row>
    <row r="30" spans="1:26" ht="15" hidden="1" customHeight="1" outlineLevel="1">
      <c r="A30" s="62" t="s">
        <v>114</v>
      </c>
      <c r="B30" s="63">
        <v>25</v>
      </c>
      <c r="C30" s="64">
        <f>DTR!C30+'Dai Loc'!C30+'Dong Lam'!C30+'Khanh Nga'!C30+TDP!C30+DTRVL!C30</f>
        <v>0</v>
      </c>
      <c r="D30" s="64">
        <f>DTR!D30+'Dai Loc'!D30+'Dong Lam'!D30+'Khanh Nga'!D30+TDP!D30+DTRVL!D30</f>
        <v>0</v>
      </c>
      <c r="E30" s="64">
        <f>DTR!E30+'Dai Loc'!E30+'Dong Lam'!E30+'Khanh Nga'!E30+TDP!E30+DTRVL!E30</f>
        <v>0</v>
      </c>
      <c r="F30" s="64">
        <f>DTR!F30+'Dai Loc'!F30+'Dong Lam'!F30+'Khanh Nga'!F30+TDP!F30+DTRVL!F30</f>
        <v>0</v>
      </c>
      <c r="G30" s="64">
        <f>DTR!G30+'Dai Loc'!G30+'Dong Lam'!G30+'Khanh Nga'!G30+TDP!G30+DTRVL!G30</f>
        <v>0</v>
      </c>
      <c r="H30" s="64">
        <f>DTR!H30+'Dai Loc'!H30+'Dong Lam'!H30+'Khanh Nga'!H30+TDP!H30+DTRVL!H30</f>
        <v>0</v>
      </c>
      <c r="I30" s="64">
        <f>DTR!I30+'Dai Loc'!I30+'Dong Lam'!I30+'Khanh Nga'!I30+TDP!I30+DTRVL!I30</f>
        <v>0</v>
      </c>
      <c r="J30" s="64">
        <f>DTR!J30+'Dai Loc'!J30+'Dong Lam'!J30+'Khanh Nga'!J30+TDP!J30+DTRVL!J30</f>
        <v>0</v>
      </c>
      <c r="K30" s="64">
        <f>DTR!K30+'Dai Loc'!K30+'Dong Lam'!K30+'Khanh Nga'!K30+TDP!K30+DTRVL!K30</f>
        <v>0</v>
      </c>
      <c r="L30" s="64">
        <f>DTR!L30+'Dai Loc'!L30+'Dong Lam'!L30+'Khanh Nga'!L30+TDP!L30+DTRVL!L30</f>
        <v>0</v>
      </c>
      <c r="M30" s="64">
        <f>DTR!M30+'Dai Loc'!M30+'Dong Lam'!M30+'Khanh Nga'!M30+TDP!M30+DTRVL!M30</f>
        <v>0</v>
      </c>
      <c r="N30" s="64">
        <f>DTR!N30+'Dai Loc'!N30+'Dong Lam'!N30+'Khanh Nga'!N30+TDP!N30+DTRVL!N30</f>
        <v>0</v>
      </c>
      <c r="O30" s="64">
        <f>DTR!O30+'Dai Loc'!O30+'Dong Lam'!O30+'Khanh Nga'!O30+TDP!O30+DTRVL!O30</f>
        <v>0</v>
      </c>
      <c r="P30" s="64">
        <f>DTR!P30+'Dai Loc'!P30+'Dong Lam'!P30+'Khanh Nga'!P30+TDP!P30+DTRVL!P30</f>
        <v>0</v>
      </c>
      <c r="Q30" s="64">
        <f>DTR!Q30+'Dai Loc'!Q30+'Dong Lam'!Q30+'Khanh Nga'!Q30+TDP!Q30+DTRVL!Q30</f>
        <v>0</v>
      </c>
      <c r="R30" s="64">
        <f>DTR!R30+'Dai Loc'!R30+'Dong Lam'!R30+'Khanh Nga'!R30+TDP!R30+DTRVL!R30</f>
        <v>0</v>
      </c>
      <c r="S30" s="64">
        <f>DTR!S30+'Dai Loc'!S30+'Dong Lam'!S30+'Khanh Nga'!S30+TDP!S30+DTRVL!S30</f>
        <v>0</v>
      </c>
      <c r="T30" s="64">
        <f>DTR!T30+'Dai Loc'!T30+'Dong Lam'!T30+'Khanh Nga'!T30+TDP!T30+DTRVL!T30</f>
        <v>0</v>
      </c>
      <c r="U30" s="64">
        <f>DTR!U30+'Dai Loc'!U30+'Dong Lam'!U30+'Khanh Nga'!U30+TDP!U30+DTRVL!U30</f>
        <v>0</v>
      </c>
      <c r="V30" s="64">
        <f>DTR!V30+'Dai Loc'!V30+'Dong Lam'!V30+'Khanh Nga'!V30+TDP!V30+DTRVL!V30</f>
        <v>0</v>
      </c>
      <c r="W30" s="64">
        <f>DTR!W30+'Dai Loc'!W30+'Dong Lam'!W30+'Khanh Nga'!W30+TDP!W30+DTRVL!W30</f>
        <v>0</v>
      </c>
      <c r="X30" s="64">
        <f>DTR!X30+'Dai Loc'!X30+'Dong Lam'!X30+'Khanh Nga'!X30+TDP!X30+DTRVL!X30</f>
        <v>0</v>
      </c>
      <c r="Y30" s="64">
        <f>DTR!Y30+'Dai Loc'!Y30+'Dong Lam'!Y30+'Khanh Nga'!Y30+TDP!Y30+DTRVL!Y30</f>
        <v>0</v>
      </c>
      <c r="Z30" s="64">
        <f>DTR!Z30+'Dai Loc'!Z30+'Dong Lam'!Z30+'Khanh Nga'!Z30+TDP!Z30+DTRVL!Z30</f>
        <v>0</v>
      </c>
    </row>
    <row r="31" spans="1:26" ht="15" hidden="1" customHeight="1" outlineLevel="1">
      <c r="A31" s="62" t="s">
        <v>115</v>
      </c>
      <c r="B31" s="63">
        <v>26</v>
      </c>
      <c r="C31" s="64">
        <f>DTR!C31+'Dai Loc'!C31+'Dong Lam'!C31+'Khanh Nga'!C31+TDP!C31+DTRVL!C31</f>
        <v>0</v>
      </c>
      <c r="D31" s="64">
        <f>DTR!D31+'Dai Loc'!D31+'Dong Lam'!D31+'Khanh Nga'!D31+TDP!D31+DTRVL!D31</f>
        <v>0</v>
      </c>
      <c r="E31" s="64">
        <f>DTR!E31+'Dai Loc'!E31+'Dong Lam'!E31+'Khanh Nga'!E31+TDP!E31+DTRVL!E31</f>
        <v>0</v>
      </c>
      <c r="F31" s="64">
        <f>DTR!F31+'Dai Loc'!F31+'Dong Lam'!F31+'Khanh Nga'!F31+TDP!F31+DTRVL!F31</f>
        <v>0</v>
      </c>
      <c r="G31" s="64">
        <f>DTR!G31+'Dai Loc'!G31+'Dong Lam'!G31+'Khanh Nga'!G31+TDP!G31+DTRVL!G31</f>
        <v>0</v>
      </c>
      <c r="H31" s="64">
        <f>DTR!H31+'Dai Loc'!H31+'Dong Lam'!H31+'Khanh Nga'!H31+TDP!H31+DTRVL!H31</f>
        <v>0</v>
      </c>
      <c r="I31" s="64">
        <f>DTR!I31+'Dai Loc'!I31+'Dong Lam'!I31+'Khanh Nga'!I31+TDP!I31+DTRVL!I31</f>
        <v>0</v>
      </c>
      <c r="J31" s="64">
        <f>DTR!J31+'Dai Loc'!J31+'Dong Lam'!J31+'Khanh Nga'!J31+TDP!J31+DTRVL!J31</f>
        <v>0</v>
      </c>
      <c r="K31" s="64">
        <f>DTR!K31+'Dai Loc'!K31+'Dong Lam'!K31+'Khanh Nga'!K31+TDP!K31+DTRVL!K31</f>
        <v>0</v>
      </c>
      <c r="L31" s="64">
        <f>DTR!L31+'Dai Loc'!L31+'Dong Lam'!L31+'Khanh Nga'!L31+TDP!L31+DTRVL!L31</f>
        <v>0</v>
      </c>
      <c r="M31" s="64">
        <f>DTR!M31+'Dai Loc'!M31+'Dong Lam'!M31+'Khanh Nga'!M31+TDP!M31+DTRVL!M31</f>
        <v>0</v>
      </c>
      <c r="N31" s="64">
        <f>DTR!N31+'Dai Loc'!N31+'Dong Lam'!N31+'Khanh Nga'!N31+TDP!N31+DTRVL!N31</f>
        <v>0</v>
      </c>
      <c r="O31" s="64">
        <f>DTR!O31+'Dai Loc'!O31+'Dong Lam'!O31+'Khanh Nga'!O31+TDP!O31+DTRVL!O31</f>
        <v>0</v>
      </c>
      <c r="P31" s="64">
        <f>DTR!P31+'Dai Loc'!P31+'Dong Lam'!P31+'Khanh Nga'!P31+TDP!P31+DTRVL!P31</f>
        <v>0</v>
      </c>
      <c r="Q31" s="64">
        <f>DTR!Q31+'Dai Loc'!Q31+'Dong Lam'!Q31+'Khanh Nga'!Q31+TDP!Q31+DTRVL!Q31</f>
        <v>0</v>
      </c>
      <c r="R31" s="64">
        <f>DTR!R31+'Dai Loc'!R31+'Dong Lam'!R31+'Khanh Nga'!R31+TDP!R31+DTRVL!R31</f>
        <v>0</v>
      </c>
      <c r="S31" s="64">
        <f>DTR!S31+'Dai Loc'!S31+'Dong Lam'!S31+'Khanh Nga'!S31+TDP!S31+DTRVL!S31</f>
        <v>0</v>
      </c>
      <c r="T31" s="64">
        <f>DTR!T31+'Dai Loc'!T31+'Dong Lam'!T31+'Khanh Nga'!T31+TDP!T31+DTRVL!T31</f>
        <v>0</v>
      </c>
      <c r="U31" s="64">
        <f>DTR!U31+'Dai Loc'!U31+'Dong Lam'!U31+'Khanh Nga'!U31+TDP!U31+DTRVL!U31</f>
        <v>0</v>
      </c>
      <c r="V31" s="64">
        <f>DTR!V31+'Dai Loc'!V31+'Dong Lam'!V31+'Khanh Nga'!V31+TDP!V31+DTRVL!V31</f>
        <v>0</v>
      </c>
      <c r="W31" s="64">
        <f>DTR!W31+'Dai Loc'!W31+'Dong Lam'!W31+'Khanh Nga'!W31+TDP!W31+DTRVL!W31</f>
        <v>0</v>
      </c>
      <c r="X31" s="64">
        <f>DTR!X31+'Dai Loc'!X31+'Dong Lam'!X31+'Khanh Nga'!X31+TDP!X31+DTRVL!X31</f>
        <v>0</v>
      </c>
      <c r="Y31" s="64">
        <f>DTR!Y31+'Dai Loc'!Y31+'Dong Lam'!Y31+'Khanh Nga'!Y31+TDP!Y31+DTRVL!Y31</f>
        <v>0</v>
      </c>
      <c r="Z31" s="64">
        <f>DTR!Z31+'Dai Loc'!Z31+'Dong Lam'!Z31+'Khanh Nga'!Z31+TDP!Z31+DTRVL!Z31</f>
        <v>0</v>
      </c>
    </row>
    <row r="32" spans="1:26" ht="15" hidden="1" customHeight="1" outlineLevel="1">
      <c r="A32" s="59" t="s">
        <v>116</v>
      </c>
      <c r="B32" s="65">
        <v>27</v>
      </c>
      <c r="C32" s="61">
        <f>DTR!C32+'Dai Loc'!C32+'Dong Lam'!C32+'Khanh Nga'!C32+TDP!C32+DTRVL!C32</f>
        <v>48962900416</v>
      </c>
      <c r="D32" s="61">
        <f>DTR!D32+'Dai Loc'!D32+'Dong Lam'!D32+'Khanh Nga'!D32+TDP!D32+DTRVL!D32</f>
        <v>52918232539</v>
      </c>
      <c r="E32" s="61">
        <f>DTR!E32+'Dai Loc'!E32+'Dong Lam'!E32+'Khanh Nga'!E32+TDP!E32+DTRVL!E32</f>
        <v>54010150554</v>
      </c>
      <c r="F32" s="61">
        <f>DTR!F32+'Dai Loc'!F32+'Dong Lam'!F32+'Khanh Nga'!F32+TDP!F32+DTRVL!F32</f>
        <v>60398986934</v>
      </c>
      <c r="G32" s="61">
        <f>DTR!G32+'Dai Loc'!G32+'Dong Lam'!G32+'Khanh Nga'!G32+TDP!G32+DTRVL!G32</f>
        <v>65075235400</v>
      </c>
      <c r="H32" s="61">
        <f>DTR!H32+'Dai Loc'!H32+'Dong Lam'!H32+'Khanh Nga'!H32+TDP!H32+DTRVL!H32</f>
        <v>42414017441</v>
      </c>
      <c r="I32" s="61">
        <f>DTR!I32+'Dai Loc'!I32+'Dong Lam'!I32+'Khanh Nga'!I32+TDP!I32+DTRVL!I32</f>
        <v>47346796070</v>
      </c>
      <c r="J32" s="61">
        <f>DTR!J32+'Dai Loc'!J32+'Dong Lam'!J32+'Khanh Nga'!J32+TDP!J32+DTRVL!J32</f>
        <v>49263253112</v>
      </c>
      <c r="K32" s="61">
        <f>DTR!K32+'Dai Loc'!K32+'Dong Lam'!K32+'Khanh Nga'!K32+TDP!K32+DTRVL!K32</f>
        <v>57483105866</v>
      </c>
      <c r="L32" s="61">
        <f>DTR!L32+'Dai Loc'!L32+'Dong Lam'!L32+'Khanh Nga'!L32+TDP!L32+DTRVL!L32</f>
        <v>60763422160</v>
      </c>
      <c r="M32" s="61">
        <f>DTR!M32+'Dai Loc'!M32+'Dong Lam'!M32+'Khanh Nga'!M32+TDP!M32+DTRVL!M32</f>
        <v>33278015559</v>
      </c>
      <c r="N32" s="61">
        <f>DTR!N32+'Dai Loc'!N32+'Dong Lam'!N32+'Khanh Nga'!N32+TDP!N32+DTRVL!N32</f>
        <v>31534122458</v>
      </c>
      <c r="O32" s="61">
        <f>DTR!O32+'Dai Loc'!O32+'Dong Lam'!O32+'Khanh Nga'!O32+TDP!O32+DTRVL!O32</f>
        <v>34370021423</v>
      </c>
      <c r="P32" s="61">
        <f>DTR!P32+'Dai Loc'!P32+'Dong Lam'!P32+'Khanh Nga'!P32+TDP!P32+DTRVL!P32</f>
        <v>35256248936</v>
      </c>
      <c r="Q32" s="61">
        <f>DTR!Q32+'Dai Loc'!Q32+'Dong Lam'!Q32+'Khanh Nga'!Q32+TDP!Q32+DTRVL!Q32</f>
        <v>40511504975</v>
      </c>
      <c r="R32" s="61">
        <f>DTR!R32+'Dai Loc'!R32+'Dong Lam'!R32+'Khanh Nga'!R32+TDP!R32+DTRVL!R32</f>
        <v>49186530502</v>
      </c>
      <c r="S32" s="61">
        <f>DTR!S32+'Dai Loc'!S32+'Dong Lam'!S32+'Khanh Nga'!S32+TDP!S32+DTRVL!S32</f>
        <v>57929147629</v>
      </c>
      <c r="T32" s="61">
        <f>DTR!T32+'Dai Loc'!T32+'Dong Lam'!T32+'Khanh Nga'!T32+TDP!T32+DTRVL!T32</f>
        <v>67683246789</v>
      </c>
      <c r="U32" s="61">
        <f>DTR!U32+'Dai Loc'!U32+'Dong Lam'!U32+'Khanh Nga'!U32+TDP!U32+DTRVL!U32</f>
        <v>75045460436</v>
      </c>
      <c r="V32" s="61">
        <f>DTR!V32+'Dai Loc'!V32+'Dong Lam'!V32+'Khanh Nga'!V32+TDP!V32+DTRVL!V32</f>
        <v>46135363029</v>
      </c>
      <c r="W32" s="61">
        <f>DTR!W32+'Dai Loc'!W32+'Dong Lam'!W32+'Khanh Nga'!W32+TDP!W32+DTRVL!W32</f>
        <v>47479598515</v>
      </c>
      <c r="X32" s="61">
        <f>DTR!X32+'Dai Loc'!X32+'Dong Lam'!X32+'Khanh Nga'!X32+TDP!X32+DTRVL!X32</f>
        <v>46659427017</v>
      </c>
      <c r="Y32" s="61">
        <f>DTR!Y32+'Dai Loc'!Y32+'Dong Lam'!Y32+'Khanh Nga'!Y32+TDP!Y32+DTRVL!Y32</f>
        <v>44474768284</v>
      </c>
      <c r="Z32" s="61">
        <f>DTR!Z32+'Dai Loc'!Z32+'Dong Lam'!Z32+'Khanh Nga'!Z32+TDP!Z32+DTRVL!Z32</f>
        <v>22935217161</v>
      </c>
    </row>
    <row r="33" spans="1:26" ht="15" hidden="1" customHeight="1" outlineLevel="1">
      <c r="A33" s="67" t="s">
        <v>117</v>
      </c>
      <c r="B33" s="63">
        <v>28</v>
      </c>
      <c r="C33" s="64">
        <f>DTR!C33+'Dai Loc'!C33+'Dong Lam'!C33+'Khanh Nga'!C33+TDP!C33+DTRVL!C33</f>
        <v>7035999486</v>
      </c>
      <c r="D33" s="64">
        <f>DTR!D33+'Dai Loc'!D33+'Dong Lam'!D33+'Khanh Nga'!D33+TDP!D33+DTRVL!D33</f>
        <v>8848304154</v>
      </c>
      <c r="E33" s="64">
        <f>DTR!E33+'Dai Loc'!E33+'Dong Lam'!E33+'Khanh Nga'!E33+TDP!E33+DTRVL!E33</f>
        <v>7783371139</v>
      </c>
      <c r="F33" s="64">
        <f>DTR!F33+'Dai Loc'!F33+'Dong Lam'!F33+'Khanh Nga'!F33+TDP!F33+DTRVL!F33</f>
        <v>8731138492</v>
      </c>
      <c r="G33" s="64">
        <f>DTR!G33+'Dai Loc'!G33+'Dong Lam'!G33+'Khanh Nga'!G33+TDP!G33+DTRVL!G33</f>
        <v>8451404044</v>
      </c>
      <c r="H33" s="64">
        <f>DTR!H33+'Dai Loc'!H33+'Dong Lam'!H33+'Khanh Nga'!H33+TDP!H33+DTRVL!H33</f>
        <v>9556103747</v>
      </c>
      <c r="I33" s="64">
        <f>DTR!I33+'Dai Loc'!I33+'Dong Lam'!I33+'Khanh Nga'!I33+TDP!I33+DTRVL!I33</f>
        <v>11050173464</v>
      </c>
      <c r="J33" s="64">
        <f>DTR!J33+'Dai Loc'!J33+'Dong Lam'!J33+'Khanh Nga'!J33+TDP!J33+DTRVL!J33</f>
        <v>11388113648</v>
      </c>
      <c r="K33" s="64">
        <f>DTR!K33+'Dai Loc'!K33+'Dong Lam'!K33+'Khanh Nga'!K33+TDP!K33+DTRVL!K33</f>
        <v>12602861919</v>
      </c>
      <c r="L33" s="64">
        <f>DTR!L33+'Dai Loc'!L33+'Dong Lam'!L33+'Khanh Nga'!L33+TDP!L33+DTRVL!L33</f>
        <v>11727591383</v>
      </c>
      <c r="M33" s="64">
        <f>DTR!M33+'Dai Loc'!M33+'Dong Lam'!M33+'Khanh Nga'!M33+TDP!M33+DTRVL!M33</f>
        <v>10973880534</v>
      </c>
      <c r="N33" s="64">
        <f>DTR!N33+'Dai Loc'!N33+'Dong Lam'!N33+'Khanh Nga'!N33+TDP!N33+DTRVL!N33</f>
        <v>10657489774</v>
      </c>
      <c r="O33" s="64">
        <f>DTR!O33+'Dai Loc'!O33+'Dong Lam'!O33+'Khanh Nga'!O33+TDP!O33+DTRVL!O33</f>
        <v>11395924021</v>
      </c>
      <c r="P33" s="64">
        <f>DTR!P33+'Dai Loc'!P33+'Dong Lam'!P33+'Khanh Nga'!P33+TDP!P33+DTRVL!P33</f>
        <v>11989589155</v>
      </c>
      <c r="Q33" s="64">
        <f>DTR!Q33+'Dai Loc'!Q33+'Dong Lam'!Q33+'Khanh Nga'!Q33+TDP!Q33+DTRVL!Q33</f>
        <v>11598601196</v>
      </c>
      <c r="R33" s="64">
        <f>DTR!R33+'Dai Loc'!R33+'Dong Lam'!R33+'Khanh Nga'!R33+TDP!R33+DTRVL!R33</f>
        <v>10468261049</v>
      </c>
      <c r="S33" s="64">
        <f>DTR!S33+'Dai Loc'!S33+'Dong Lam'!S33+'Khanh Nga'!S33+TDP!S33+DTRVL!S33</f>
        <v>9171782469</v>
      </c>
      <c r="T33" s="64">
        <f>DTR!T33+'Dai Loc'!T33+'Dong Lam'!T33+'Khanh Nga'!T33+TDP!T33+DTRVL!T33</f>
        <v>14684835555</v>
      </c>
      <c r="U33" s="64">
        <f>DTR!U33+'Dai Loc'!U33+'Dong Lam'!U33+'Khanh Nga'!U33+TDP!U33+DTRVL!U33</f>
        <v>15885866296</v>
      </c>
      <c r="V33" s="64">
        <f>DTR!V33+'Dai Loc'!V33+'Dong Lam'!V33+'Khanh Nga'!V33+TDP!V33+DTRVL!V33</f>
        <v>16474015139</v>
      </c>
      <c r="W33" s="64">
        <f>DTR!W33+'Dai Loc'!W33+'Dong Lam'!W33+'Khanh Nga'!W33+TDP!W33+DTRVL!W33</f>
        <v>13849463748</v>
      </c>
      <c r="X33" s="64">
        <f>DTR!X33+'Dai Loc'!X33+'Dong Lam'!X33+'Khanh Nga'!X33+TDP!X33+DTRVL!X33</f>
        <v>11763139600</v>
      </c>
      <c r="Y33" s="64">
        <f>DTR!Y33+'Dai Loc'!Y33+'Dong Lam'!Y33+'Khanh Nga'!Y33+TDP!Y33+DTRVL!Y33</f>
        <v>9200737004</v>
      </c>
      <c r="Z33" s="64">
        <f>DTR!Z33+'Dai Loc'!Z33+'Dong Lam'!Z33+'Khanh Nga'!Z33+TDP!Z33+DTRVL!Z33</f>
        <v>9324178185</v>
      </c>
    </row>
    <row r="34" spans="1:26" ht="15" hidden="1" customHeight="1" outlineLevel="1">
      <c r="A34" s="67" t="s">
        <v>118</v>
      </c>
      <c r="B34" s="63">
        <v>29</v>
      </c>
      <c r="C34" s="69">
        <f>DTR!C34+'Dai Loc'!C34+'Dong Lam'!C34+'Khanh Nga'!C34+TDP!C34+DTRVL!C34</f>
        <v>41926900930</v>
      </c>
      <c r="D34" s="69">
        <f>DTR!D34+'Dai Loc'!D34+'Dong Lam'!D34+'Khanh Nga'!D34+TDP!D34+DTRVL!D34</f>
        <v>43981339223</v>
      </c>
      <c r="E34" s="69">
        <f>DTR!E34+'Dai Loc'!E34+'Dong Lam'!E34+'Khanh Nga'!E34+TDP!E34+DTRVL!E34</f>
        <v>46171681706</v>
      </c>
      <c r="F34" s="69">
        <f>DTR!F34+'Dai Loc'!F34+'Dong Lam'!F34+'Khanh Nga'!F34+TDP!F34+DTRVL!F34</f>
        <v>51636650946</v>
      </c>
      <c r="G34" s="69">
        <f>DTR!G34+'Dai Loc'!G34+'Dong Lam'!G34+'Khanh Nga'!G34+TDP!G34+DTRVL!G34</f>
        <v>56579510013</v>
      </c>
      <c r="H34" s="69">
        <f>DTR!H34+'Dai Loc'!H34+'Dong Lam'!H34+'Khanh Nga'!H34+TDP!H34+DTRVL!H34</f>
        <v>32789088899</v>
      </c>
      <c r="I34" s="69">
        <f>DTR!I34+'Dai Loc'!I34+'Dong Lam'!I34+'Khanh Nga'!I34+TDP!I34+DTRVL!I34</f>
        <v>36250538837</v>
      </c>
      <c r="J34" s="69">
        <f>DTR!J34+'Dai Loc'!J34+'Dong Lam'!J34+'Khanh Nga'!J34+TDP!J34+DTRVL!J34</f>
        <v>37779643794</v>
      </c>
      <c r="K34" s="69">
        <f>DTR!K34+'Dai Loc'!K34+'Dong Lam'!K34+'Khanh Nga'!K34+TDP!K34+DTRVL!K34</f>
        <v>44831223018</v>
      </c>
      <c r="L34" s="69">
        <f>DTR!L34+'Dai Loc'!L34+'Dong Lam'!L34+'Khanh Nga'!L34+TDP!L34+DTRVL!L34</f>
        <v>48983963098</v>
      </c>
      <c r="M34" s="69">
        <f>DTR!M34+'Dai Loc'!M34+'Dong Lam'!M34+'Khanh Nga'!M34+TDP!M34+DTRVL!M34</f>
        <v>22259084600</v>
      </c>
      <c r="N34" s="69">
        <f>DTR!N34+'Dai Loc'!N34+'Dong Lam'!N34+'Khanh Nga'!N34+TDP!N34+DTRVL!N34</f>
        <v>20876632684</v>
      </c>
      <c r="O34" s="69">
        <f>DTR!O34+'Dai Loc'!O34+'Dong Lam'!O34+'Khanh Nga'!O34+TDP!O34+DTRVL!O34</f>
        <v>22974097402</v>
      </c>
      <c r="P34" s="69">
        <f>DTR!P34+'Dai Loc'!P34+'Dong Lam'!P34+'Khanh Nga'!P34+TDP!P34+DTRVL!P34</f>
        <v>23262789748</v>
      </c>
      <c r="Q34" s="69">
        <f>DTR!Q34+'Dai Loc'!Q34+'Dong Lam'!Q34+'Khanh Nga'!Q34+TDP!Q34+DTRVL!Q34</f>
        <v>28912903779</v>
      </c>
      <c r="R34" s="69">
        <f>DTR!R34+'Dai Loc'!R34+'Dong Lam'!R34+'Khanh Nga'!R34+TDP!R34+DTRVL!R34</f>
        <v>38718269453</v>
      </c>
      <c r="S34" s="69">
        <f>DTR!S34+'Dai Loc'!S34+'Dong Lam'!S34+'Khanh Nga'!S34+TDP!S34+DTRVL!S34</f>
        <v>48757365160</v>
      </c>
      <c r="T34" s="69">
        <f>DTR!T34+'Dai Loc'!T34+'Dong Lam'!T34+'Khanh Nga'!T34+TDP!T34+DTRVL!T34</f>
        <v>52998411234</v>
      </c>
      <c r="U34" s="69">
        <f>DTR!U34+'Dai Loc'!U34+'Dong Lam'!U34+'Khanh Nga'!U34+TDP!U34+DTRVL!U34</f>
        <v>59147931882</v>
      </c>
      <c r="V34" s="69">
        <f>DTR!V34+'Dai Loc'!V34+'Dong Lam'!V34+'Khanh Nga'!V34+TDP!V34+DTRVL!V34</f>
        <v>29661347890</v>
      </c>
      <c r="W34" s="69">
        <f>DTR!W34+'Dai Loc'!W34+'Dong Lam'!W34+'Khanh Nga'!W34+TDP!W34+DTRVL!W34</f>
        <v>33630134767</v>
      </c>
      <c r="X34" s="69">
        <f>DTR!X34+'Dai Loc'!X34+'Dong Lam'!X34+'Khanh Nga'!X34+TDP!X34+DTRVL!X34</f>
        <v>34896287417</v>
      </c>
      <c r="Y34" s="69">
        <f>DTR!Y34+'Dai Loc'!Y34+'Dong Lam'!Y34+'Khanh Nga'!Y34+TDP!Y34+DTRVL!Y34</f>
        <v>35274031280</v>
      </c>
      <c r="Z34" s="69">
        <f>DTR!Z34+'Dai Loc'!Z34+'Dong Lam'!Z34+'Khanh Nga'!Z34+TDP!Z34+DTRVL!Z34</f>
        <v>13611038976</v>
      </c>
    </row>
    <row r="35" spans="1:26" ht="15" hidden="1" customHeight="1" outlineLevel="1">
      <c r="A35" s="67" t="s">
        <v>119</v>
      </c>
      <c r="B35" s="63">
        <v>30</v>
      </c>
      <c r="C35" s="64">
        <f>DTR!C35+'Dai Loc'!C35+'Dong Lam'!C35+'Khanh Nga'!C35+TDP!C35+DTRVL!C35</f>
        <v>0</v>
      </c>
      <c r="D35" s="64">
        <f>DTR!D35+'Dai Loc'!D35+'Dong Lam'!D35+'Khanh Nga'!D35+TDP!D35+DTRVL!D35</f>
        <v>88589162</v>
      </c>
      <c r="E35" s="64">
        <f>DTR!E35+'Dai Loc'!E35+'Dong Lam'!E35+'Khanh Nga'!E35+TDP!E35+DTRVL!E35</f>
        <v>55097709</v>
      </c>
      <c r="F35" s="64">
        <f>DTR!F35+'Dai Loc'!F35+'Dong Lam'!F35+'Khanh Nga'!F35+TDP!F35+DTRVL!F35</f>
        <v>31197496</v>
      </c>
      <c r="G35" s="64">
        <f>DTR!G35+'Dai Loc'!G35+'Dong Lam'!G35+'Khanh Nga'!G35+TDP!G35+DTRVL!G35</f>
        <v>44321343</v>
      </c>
      <c r="H35" s="64">
        <f>DTR!H35+'Dai Loc'!H35+'Dong Lam'!H35+'Khanh Nga'!H35+TDP!H35+DTRVL!H35</f>
        <v>68824795</v>
      </c>
      <c r="I35" s="64">
        <f>DTR!I35+'Dai Loc'!I35+'Dong Lam'!I35+'Khanh Nga'!I35+TDP!I35+DTRVL!I35</f>
        <v>46083769</v>
      </c>
      <c r="J35" s="64">
        <f>DTR!J35+'Dai Loc'!J35+'Dong Lam'!J35+'Khanh Nga'!J35+TDP!J35+DTRVL!J35</f>
        <v>95495670</v>
      </c>
      <c r="K35" s="64">
        <f>DTR!K35+'Dai Loc'!K35+'Dong Lam'!K35+'Khanh Nga'!K35+TDP!K35+DTRVL!K35</f>
        <v>49020929</v>
      </c>
      <c r="L35" s="64">
        <f>DTR!L35+'Dai Loc'!L35+'Dong Lam'!L35+'Khanh Nga'!L35+TDP!L35+DTRVL!L35</f>
        <v>51867679</v>
      </c>
      <c r="M35" s="64">
        <f>DTR!M35+'Dai Loc'!M35+'Dong Lam'!M35+'Khanh Nga'!M35+TDP!M35+DTRVL!M35</f>
        <v>45050425</v>
      </c>
      <c r="N35" s="64">
        <f>DTR!N35+'Dai Loc'!N35+'Dong Lam'!N35+'Khanh Nga'!N35+TDP!N35+DTRVL!N35</f>
        <v>0</v>
      </c>
      <c r="O35" s="64">
        <f>DTR!O35+'Dai Loc'!O35+'Dong Lam'!O35+'Khanh Nga'!O35+TDP!O35+DTRVL!O35</f>
        <v>0</v>
      </c>
      <c r="P35" s="64">
        <f>DTR!P35+'Dai Loc'!P35+'Dong Lam'!P35+'Khanh Nga'!P35+TDP!P35+DTRVL!P35</f>
        <v>3870033</v>
      </c>
      <c r="Q35" s="64">
        <f>DTR!Q35+'Dai Loc'!Q35+'Dong Lam'!Q35+'Khanh Nga'!Q35+TDP!Q35+DTRVL!Q35</f>
        <v>0</v>
      </c>
      <c r="R35" s="64">
        <f>DTR!R35+'Dai Loc'!R35+'Dong Lam'!R35+'Khanh Nga'!R35+TDP!R35+DTRVL!R35</f>
        <v>0</v>
      </c>
      <c r="S35" s="64">
        <f>DTR!S35+'Dai Loc'!S35+'Dong Lam'!S35+'Khanh Nga'!S35+TDP!S35+DTRVL!S35</f>
        <v>0</v>
      </c>
      <c r="T35" s="64">
        <f>DTR!T35+'Dai Loc'!T35+'Dong Lam'!T35+'Khanh Nga'!T35+TDP!T35+DTRVL!T35</f>
        <v>0</v>
      </c>
      <c r="U35" s="64">
        <f>DTR!U35+'Dai Loc'!U35+'Dong Lam'!U35+'Khanh Nga'!U35+TDP!U35+DTRVL!U35</f>
        <v>11662258</v>
      </c>
      <c r="V35" s="64">
        <f>DTR!V35+'Dai Loc'!V35+'Dong Lam'!V35+'Khanh Nga'!V35+TDP!V35+DTRVL!V35</f>
        <v>0</v>
      </c>
      <c r="W35" s="64">
        <f>DTR!W35+'Dai Loc'!W35+'Dong Lam'!W35+'Khanh Nga'!W35+TDP!W35+DTRVL!W35</f>
        <v>0</v>
      </c>
      <c r="X35" s="64">
        <f>DTR!X35+'Dai Loc'!X35+'Dong Lam'!X35+'Khanh Nga'!X35+TDP!X35+DTRVL!X35</f>
        <v>0</v>
      </c>
      <c r="Y35" s="64">
        <f>DTR!Y35+'Dai Loc'!Y35+'Dong Lam'!Y35+'Khanh Nga'!Y35+TDP!Y35+DTRVL!Y35</f>
        <v>0</v>
      </c>
      <c r="Z35" s="64">
        <f>DTR!Z35+'Dai Loc'!Z35+'Dong Lam'!Z35+'Khanh Nga'!Z35+TDP!Z35+DTRVL!Z35</f>
        <v>0</v>
      </c>
    </row>
    <row r="36" spans="1:26" ht="15" hidden="1" customHeight="1" outlineLevel="1">
      <c r="A36" s="67" t="s">
        <v>120</v>
      </c>
      <c r="B36" s="63">
        <v>31</v>
      </c>
      <c r="C36" s="64">
        <f>DTR!C36+'Dai Loc'!C36+'Dong Lam'!C36+'Khanh Nga'!C36+TDP!C36+DTRVL!C36</f>
        <v>0</v>
      </c>
      <c r="D36" s="64">
        <f>DTR!D36+'Dai Loc'!D36+'Dong Lam'!D36+'Khanh Nga'!D36+TDP!D36+DTRVL!D36</f>
        <v>0</v>
      </c>
      <c r="E36" s="64">
        <f>DTR!E36+'Dai Loc'!E36+'Dong Lam'!E36+'Khanh Nga'!E36+TDP!E36+DTRVL!E36</f>
        <v>0</v>
      </c>
      <c r="F36" s="64">
        <f>DTR!F36+'Dai Loc'!F36+'Dong Lam'!F36+'Khanh Nga'!F36+TDP!F36+DTRVL!F36</f>
        <v>0</v>
      </c>
      <c r="G36" s="64">
        <f>DTR!G36+'Dai Loc'!G36+'Dong Lam'!G36+'Khanh Nga'!G36+TDP!G36+DTRVL!G36</f>
        <v>0</v>
      </c>
      <c r="H36" s="64">
        <f>DTR!H36+'Dai Loc'!H36+'Dong Lam'!H36+'Khanh Nga'!H36+TDP!H36+DTRVL!H36</f>
        <v>0</v>
      </c>
      <c r="I36" s="64">
        <f>DTR!I36+'Dai Loc'!I36+'Dong Lam'!I36+'Khanh Nga'!I36+TDP!I36+DTRVL!I36</f>
        <v>0</v>
      </c>
      <c r="J36" s="64">
        <f>DTR!J36+'Dai Loc'!J36+'Dong Lam'!J36+'Khanh Nga'!J36+TDP!J36+DTRVL!J36</f>
        <v>0</v>
      </c>
      <c r="K36" s="64">
        <f>DTR!K36+'Dai Loc'!K36+'Dong Lam'!K36+'Khanh Nga'!K36+TDP!K36+DTRVL!K36</f>
        <v>0</v>
      </c>
      <c r="L36" s="64">
        <f>DTR!L36+'Dai Loc'!L36+'Dong Lam'!L36+'Khanh Nga'!L36+TDP!L36+DTRVL!L36</f>
        <v>0</v>
      </c>
      <c r="M36" s="64">
        <f>DTR!M36+'Dai Loc'!M36+'Dong Lam'!M36+'Khanh Nga'!M36+TDP!M36+DTRVL!M36</f>
        <v>0</v>
      </c>
      <c r="N36" s="64">
        <f>DTR!N36+'Dai Loc'!N36+'Dong Lam'!N36+'Khanh Nga'!N36+TDP!N36+DTRVL!N36</f>
        <v>0</v>
      </c>
      <c r="O36" s="64">
        <f>DTR!O36+'Dai Loc'!O36+'Dong Lam'!O36+'Khanh Nga'!O36+TDP!O36+DTRVL!O36</f>
        <v>0</v>
      </c>
      <c r="P36" s="64">
        <f>DTR!P36+'Dai Loc'!P36+'Dong Lam'!P36+'Khanh Nga'!P36+TDP!P36+DTRVL!P36</f>
        <v>0</v>
      </c>
      <c r="Q36" s="64">
        <f>DTR!Q36+'Dai Loc'!Q36+'Dong Lam'!Q36+'Khanh Nga'!Q36+TDP!Q36+DTRVL!Q36</f>
        <v>0</v>
      </c>
      <c r="R36" s="64">
        <f>DTR!R36+'Dai Loc'!R36+'Dong Lam'!R36+'Khanh Nga'!R36+TDP!R36+DTRVL!R36</f>
        <v>0</v>
      </c>
      <c r="S36" s="64">
        <f>DTR!S36+'Dai Loc'!S36+'Dong Lam'!S36+'Khanh Nga'!S36+TDP!S36+DTRVL!S36</f>
        <v>0</v>
      </c>
      <c r="T36" s="64">
        <f>DTR!T36+'Dai Loc'!T36+'Dong Lam'!T36+'Khanh Nga'!T36+TDP!T36+DTRVL!T36</f>
        <v>0</v>
      </c>
      <c r="U36" s="64">
        <f>DTR!U36+'Dai Loc'!U36+'Dong Lam'!U36+'Khanh Nga'!U36+TDP!U36+DTRVL!U36</f>
        <v>0</v>
      </c>
      <c r="V36" s="64">
        <f>DTR!V36+'Dai Loc'!V36+'Dong Lam'!V36+'Khanh Nga'!V36+TDP!V36+DTRVL!V36</f>
        <v>0</v>
      </c>
      <c r="W36" s="64">
        <f>DTR!W36+'Dai Loc'!W36+'Dong Lam'!W36+'Khanh Nga'!W36+TDP!W36+DTRVL!W36</f>
        <v>0</v>
      </c>
      <c r="X36" s="64">
        <f>DTR!X36+'Dai Loc'!X36+'Dong Lam'!X36+'Khanh Nga'!X36+TDP!X36+DTRVL!X36</f>
        <v>0</v>
      </c>
      <c r="Y36" s="64">
        <f>DTR!Y36+'Dai Loc'!Y36+'Dong Lam'!Y36+'Khanh Nga'!Y36+TDP!Y36+DTRVL!Y36</f>
        <v>0</v>
      </c>
      <c r="Z36" s="64">
        <f>DTR!Z36+'Dai Loc'!Z36+'Dong Lam'!Z36+'Khanh Nga'!Z36+TDP!Z36+DTRVL!Z36</f>
        <v>0</v>
      </c>
    </row>
    <row r="37" spans="1:26" ht="15" hidden="1" customHeight="1" outlineLevel="1">
      <c r="A37" s="67" t="s">
        <v>121</v>
      </c>
      <c r="B37" s="63">
        <v>32</v>
      </c>
      <c r="C37" s="64">
        <f>DTR!C37+'Dai Loc'!C37+'Dong Lam'!C37+'Khanh Nga'!C37+TDP!C37+DTRVL!C37</f>
        <v>0</v>
      </c>
      <c r="D37" s="64">
        <f>DTR!D37+'Dai Loc'!D37+'Dong Lam'!D37+'Khanh Nga'!D37+TDP!D37+DTRVL!D37</f>
        <v>0</v>
      </c>
      <c r="E37" s="64">
        <f>DTR!E37+'Dai Loc'!E37+'Dong Lam'!E37+'Khanh Nga'!E37+TDP!E37+DTRVL!E37</f>
        <v>0</v>
      </c>
      <c r="F37" s="64">
        <f>DTR!F37+'Dai Loc'!F37+'Dong Lam'!F37+'Khanh Nga'!F37+TDP!F37+DTRVL!F37</f>
        <v>0</v>
      </c>
      <c r="G37" s="64">
        <f>DTR!G37+'Dai Loc'!G37+'Dong Lam'!G37+'Khanh Nga'!G37+TDP!G37+DTRVL!G37</f>
        <v>0</v>
      </c>
      <c r="H37" s="64">
        <f>DTR!H37+'Dai Loc'!H37+'Dong Lam'!H37+'Khanh Nga'!H37+TDP!H37+DTRVL!H37</f>
        <v>0</v>
      </c>
      <c r="I37" s="64">
        <f>DTR!I37+'Dai Loc'!I37+'Dong Lam'!I37+'Khanh Nga'!I37+TDP!I37+DTRVL!I37</f>
        <v>0</v>
      </c>
      <c r="J37" s="64">
        <f>DTR!J37+'Dai Loc'!J37+'Dong Lam'!J37+'Khanh Nga'!J37+TDP!J37+DTRVL!J37</f>
        <v>0</v>
      </c>
      <c r="K37" s="64">
        <f>DTR!K37+'Dai Loc'!K37+'Dong Lam'!K37+'Khanh Nga'!K37+TDP!K37+DTRVL!K37</f>
        <v>0</v>
      </c>
      <c r="L37" s="64">
        <f>DTR!L37+'Dai Loc'!L37+'Dong Lam'!L37+'Khanh Nga'!L37+TDP!L37+DTRVL!L37</f>
        <v>0</v>
      </c>
      <c r="M37" s="64">
        <f>DTR!M37+'Dai Loc'!M37+'Dong Lam'!M37+'Khanh Nga'!M37+TDP!M37+DTRVL!M37</f>
        <v>0</v>
      </c>
      <c r="N37" s="64">
        <f>DTR!N37+'Dai Loc'!N37+'Dong Lam'!N37+'Khanh Nga'!N37+TDP!N37+DTRVL!N37</f>
        <v>0</v>
      </c>
      <c r="O37" s="64">
        <f>DTR!O37+'Dai Loc'!O37+'Dong Lam'!O37+'Khanh Nga'!O37+TDP!O37+DTRVL!O37</f>
        <v>0</v>
      </c>
      <c r="P37" s="64">
        <f>DTR!P37+'Dai Loc'!P37+'Dong Lam'!P37+'Khanh Nga'!P37+TDP!P37+DTRVL!P37</f>
        <v>0</v>
      </c>
      <c r="Q37" s="64">
        <f>DTR!Q37+'Dai Loc'!Q37+'Dong Lam'!Q37+'Khanh Nga'!Q37+TDP!Q37+DTRVL!Q37</f>
        <v>0</v>
      </c>
      <c r="R37" s="64">
        <f>DTR!R37+'Dai Loc'!R37+'Dong Lam'!R37+'Khanh Nga'!R37+TDP!R37+DTRVL!R37</f>
        <v>0</v>
      </c>
      <c r="S37" s="64">
        <f>DTR!S37+'Dai Loc'!S37+'Dong Lam'!S37+'Khanh Nga'!S37+TDP!S37+DTRVL!S37</f>
        <v>0</v>
      </c>
      <c r="T37" s="64">
        <f>DTR!T37+'Dai Loc'!T37+'Dong Lam'!T37+'Khanh Nga'!T37+TDP!T37+DTRVL!T37</f>
        <v>0</v>
      </c>
      <c r="U37" s="64">
        <f>DTR!U37+'Dai Loc'!U37+'Dong Lam'!U37+'Khanh Nga'!U37+TDP!U37+DTRVL!U37</f>
        <v>0</v>
      </c>
      <c r="V37" s="64">
        <f>DTR!V37+'Dai Loc'!V37+'Dong Lam'!V37+'Khanh Nga'!V37+TDP!V37+DTRVL!V37</f>
        <v>0</v>
      </c>
      <c r="W37" s="64">
        <f>DTR!W37+'Dai Loc'!W37+'Dong Lam'!W37+'Khanh Nga'!W37+TDP!W37+DTRVL!W37</f>
        <v>0</v>
      </c>
      <c r="X37" s="64">
        <f>DTR!X37+'Dai Loc'!X37+'Dong Lam'!X37+'Khanh Nga'!X37+TDP!X37+DTRVL!X37</f>
        <v>0</v>
      </c>
      <c r="Y37" s="64">
        <f>DTR!Y37+'Dai Loc'!Y37+'Dong Lam'!Y37+'Khanh Nga'!Y37+TDP!Y37+DTRVL!Y37</f>
        <v>0</v>
      </c>
      <c r="Z37" s="64">
        <f>DTR!Z37+'Dai Loc'!Z37+'Dong Lam'!Z37+'Khanh Nga'!Z37+TDP!Z37+DTRVL!Z37</f>
        <v>0</v>
      </c>
    </row>
    <row r="38" spans="1:26" ht="14" hidden="1" outlineLevel="1">
      <c r="A38" s="70" t="s">
        <v>122</v>
      </c>
      <c r="B38" s="71">
        <v>33</v>
      </c>
      <c r="C38" s="64">
        <f>DTR!C38+'Dai Loc'!C38+'Dong Lam'!C38+'Khanh Nga'!C38+TDP!C38+DTRVL!C38</f>
        <v>332625414815</v>
      </c>
      <c r="D38" s="64">
        <f>DTR!D38+'Dai Loc'!D38+'Dong Lam'!D38+'Khanh Nga'!D38+TDP!D38+DTRVL!D38</f>
        <v>328842339529</v>
      </c>
      <c r="E38" s="64">
        <f>DTR!E38+'Dai Loc'!E38+'Dong Lam'!E38+'Khanh Nga'!E38+TDP!E38+DTRVL!E38</f>
        <v>326860219147</v>
      </c>
      <c r="F38" s="64">
        <f>DTR!F38+'Dai Loc'!F38+'Dong Lam'!F38+'Khanh Nga'!F38+TDP!F38+DTRVL!F38</f>
        <v>325876836997</v>
      </c>
      <c r="G38" s="64">
        <f>DTR!G38+'Dai Loc'!G38+'Dong Lam'!G38+'Khanh Nga'!G38+TDP!G38+DTRVL!G38</f>
        <v>323966420495</v>
      </c>
      <c r="H38" s="64">
        <f>DTR!H38+'Dai Loc'!H38+'Dong Lam'!H38+'Khanh Nga'!H38+TDP!H38+DTRVL!H38</f>
        <v>324626376319</v>
      </c>
      <c r="I38" s="64">
        <f>DTR!I38+'Dai Loc'!I38+'Dong Lam'!I38+'Khanh Nga'!I38+TDP!I38+DTRVL!I38</f>
        <v>322169750156</v>
      </c>
      <c r="J38" s="64">
        <f>DTR!J38+'Dai Loc'!J38+'Dong Lam'!J38+'Khanh Nga'!J38+TDP!J38+DTRVL!J38</f>
        <v>326771678464</v>
      </c>
      <c r="K38" s="64">
        <f>DTR!K38+'Dai Loc'!K38+'Dong Lam'!K38+'Khanh Nga'!K38+TDP!K38+DTRVL!K38</f>
        <v>324411130594</v>
      </c>
      <c r="L38" s="64">
        <f>DTR!L38+'Dai Loc'!L38+'Dong Lam'!L38+'Khanh Nga'!L38+TDP!L38+DTRVL!L38</f>
        <v>324205243077</v>
      </c>
      <c r="M38" s="64">
        <f>DTR!M38+'Dai Loc'!M38+'Dong Lam'!M38+'Khanh Nga'!M38+TDP!M38+DTRVL!M38</f>
        <v>324813983532</v>
      </c>
      <c r="N38" s="64">
        <f>DTR!N38+'Dai Loc'!N38+'Dong Lam'!N38+'Khanh Nga'!N38+TDP!N38+DTRVL!N38</f>
        <v>336474874329</v>
      </c>
      <c r="O38" s="64">
        <f>DTR!O38+'Dai Loc'!O38+'Dong Lam'!O38+'Khanh Nga'!O38+TDP!O38+DTRVL!O38</f>
        <v>340380140059</v>
      </c>
      <c r="P38" s="64">
        <f>DTR!P38+'Dai Loc'!P38+'Dong Lam'!P38+'Khanh Nga'!P38+TDP!P38+DTRVL!P38</f>
        <v>335623957890</v>
      </c>
      <c r="Q38" s="64">
        <f>DTR!Q38+'Dai Loc'!Q38+'Dong Lam'!Q38+'Khanh Nga'!Q38+TDP!Q38+DTRVL!Q38</f>
        <v>337167352653</v>
      </c>
      <c r="R38" s="64">
        <f>DTR!R38+'Dai Loc'!R38+'Dong Lam'!R38+'Khanh Nga'!R38+TDP!R38+DTRVL!R38</f>
        <v>345195829633</v>
      </c>
      <c r="S38" s="64">
        <f>DTR!S38+'Dai Loc'!S38+'Dong Lam'!S38+'Khanh Nga'!S38+TDP!S38+DTRVL!S38</f>
        <v>349130154104</v>
      </c>
      <c r="T38" s="64">
        <f>DTR!T38+'Dai Loc'!T38+'Dong Lam'!T38+'Khanh Nga'!T38+TDP!T38+DTRVL!T38</f>
        <v>349265800786</v>
      </c>
      <c r="U38" s="64">
        <f>DTR!U38+'Dai Loc'!U38+'Dong Lam'!U38+'Khanh Nga'!U38+TDP!U38+DTRVL!U38</f>
        <v>347766774950</v>
      </c>
      <c r="V38" s="64">
        <f>DTR!V38+'Dai Loc'!V38+'Dong Lam'!V38+'Khanh Nga'!V38+TDP!V38+DTRVL!V38</f>
        <v>347596408883</v>
      </c>
      <c r="W38" s="64">
        <f>DTR!W38+'Dai Loc'!W38+'Dong Lam'!W38+'Khanh Nga'!W38+TDP!W38+DTRVL!W38</f>
        <v>354522543809</v>
      </c>
      <c r="X38" s="64">
        <f>DTR!X38+'Dai Loc'!X38+'Dong Lam'!X38+'Khanh Nga'!X38+TDP!X38+DTRVL!X38</f>
        <v>365541010978</v>
      </c>
      <c r="Y38" s="64">
        <f>DTR!Y38+'Dai Loc'!Y38+'Dong Lam'!Y38+'Khanh Nga'!Y38+TDP!Y38+DTRVL!Y38</f>
        <v>364826588171</v>
      </c>
      <c r="Z38" s="64">
        <f>DTR!Z38+'Dai Loc'!Z38+'Dong Lam'!Z38+'Khanh Nga'!Z38+TDP!Z38+DTRVL!Z38</f>
        <v>371988899872</v>
      </c>
    </row>
    <row r="39" spans="1:26" ht="15" hidden="1" customHeight="1" outlineLevel="1">
      <c r="A39" s="59" t="s">
        <v>123</v>
      </c>
      <c r="B39" s="65">
        <v>34</v>
      </c>
      <c r="C39" s="61">
        <f>DTR!C39+'Dai Loc'!C39+'Dong Lam'!C39+'Khanh Nga'!C39+TDP!C39+DTRVL!C39</f>
        <v>240000000</v>
      </c>
      <c r="D39" s="61">
        <f>DTR!D39+'Dai Loc'!D39+'Dong Lam'!D39+'Khanh Nga'!D39+TDP!D39+DTRVL!D39</f>
        <v>240000000</v>
      </c>
      <c r="E39" s="61">
        <f>DTR!E39+'Dai Loc'!E39+'Dong Lam'!E39+'Khanh Nga'!E39+TDP!E39+DTRVL!E39</f>
        <v>240000000</v>
      </c>
      <c r="F39" s="61">
        <f>DTR!F39+'Dai Loc'!F39+'Dong Lam'!F39+'Khanh Nga'!F39+TDP!F39+DTRVL!F39</f>
        <v>240000000</v>
      </c>
      <c r="G39" s="61">
        <f>DTR!G39+'Dai Loc'!G39+'Dong Lam'!G39+'Khanh Nga'!G39+TDP!G39+DTRVL!G39</f>
        <v>240000000</v>
      </c>
      <c r="H39" s="61">
        <f>DTR!H39+'Dai Loc'!H39+'Dong Lam'!H39+'Khanh Nga'!H39+TDP!H39+DTRVL!H39</f>
        <v>1140000000</v>
      </c>
      <c r="I39" s="61">
        <f>DTR!I39+'Dai Loc'!I39+'Dong Lam'!I39+'Khanh Nga'!I39+TDP!I39+DTRVL!I39</f>
        <v>930823092</v>
      </c>
      <c r="J39" s="61">
        <f>DTR!J39+'Dai Loc'!J39+'Dong Lam'!J39+'Khanh Nga'!J39+TDP!J39+DTRVL!J39</f>
        <v>930823092</v>
      </c>
      <c r="K39" s="61">
        <f>DTR!K39+'Dai Loc'!K39+'Dong Lam'!K39+'Khanh Nga'!K39+TDP!K39+DTRVL!K39</f>
        <v>930823092</v>
      </c>
      <c r="L39" s="61">
        <f>DTR!L39+'Dai Loc'!L39+'Dong Lam'!L39+'Khanh Nga'!L39+TDP!L39+DTRVL!L39</f>
        <v>930823092</v>
      </c>
      <c r="M39" s="61">
        <f>DTR!M39+'Dai Loc'!M39+'Dong Lam'!M39+'Khanh Nga'!M39+TDP!M39+DTRVL!M39</f>
        <v>930823092</v>
      </c>
      <c r="N39" s="61">
        <f>DTR!N39+'Dai Loc'!N39+'Dong Lam'!N39+'Khanh Nga'!N39+TDP!N39+DTRVL!N39</f>
        <v>6530823092</v>
      </c>
      <c r="O39" s="61">
        <f>DTR!O39+'Dai Loc'!O39+'Dong Lam'!O39+'Khanh Nga'!O39+TDP!O39+DTRVL!O39</f>
        <v>6530823092</v>
      </c>
      <c r="P39" s="61">
        <f>DTR!P39+'Dai Loc'!P39+'Dong Lam'!P39+'Khanh Nga'!P39+TDP!P39+DTRVL!P39</f>
        <v>6530823092</v>
      </c>
      <c r="Q39" s="61">
        <f>DTR!Q39+'Dai Loc'!Q39+'Dong Lam'!Q39+'Khanh Nga'!Q39+TDP!Q39+DTRVL!Q39</f>
        <v>6530823092</v>
      </c>
      <c r="R39" s="61">
        <f>DTR!R39+'Dai Loc'!R39+'Dong Lam'!R39+'Khanh Nga'!R39+TDP!R39+DTRVL!R39</f>
        <v>6530823092</v>
      </c>
      <c r="S39" s="61">
        <f>DTR!S39+'Dai Loc'!S39+'Dong Lam'!S39+'Khanh Nga'!S39+TDP!S39+DTRVL!S39</f>
        <v>6530823092</v>
      </c>
      <c r="T39" s="61">
        <f>DTR!T39+'Dai Loc'!T39+'Dong Lam'!T39+'Khanh Nga'!T39+TDP!T39+DTRVL!T39</f>
        <v>6530823092</v>
      </c>
      <c r="U39" s="61">
        <f>DTR!U39+'Dai Loc'!U39+'Dong Lam'!U39+'Khanh Nga'!U39+TDP!U39+DTRVL!U39</f>
        <v>6530823092</v>
      </c>
      <c r="V39" s="61">
        <f>DTR!V39+'Dai Loc'!V39+'Dong Lam'!V39+'Khanh Nga'!V39+TDP!V39+DTRVL!V39</f>
        <v>6530823092</v>
      </c>
      <c r="W39" s="61">
        <f>DTR!W39+'Dai Loc'!W39+'Dong Lam'!W39+'Khanh Nga'!W39+TDP!W39+DTRVL!W39</f>
        <v>6530823092</v>
      </c>
      <c r="X39" s="61">
        <f>DTR!X39+'Dai Loc'!X39+'Dong Lam'!X39+'Khanh Nga'!X39+TDP!X39+DTRVL!X39</f>
        <v>6530823092</v>
      </c>
      <c r="Y39" s="61">
        <f>DTR!Y39+'Dai Loc'!Y39+'Dong Lam'!Y39+'Khanh Nga'!Y39+TDP!Y39+DTRVL!Y39</f>
        <v>6530823092</v>
      </c>
      <c r="Z39" s="61">
        <f>DTR!Z39+'Dai Loc'!Z39+'Dong Lam'!Z39+'Khanh Nga'!Z39+TDP!Z39+DTRVL!Z39</f>
        <v>6530823092</v>
      </c>
    </row>
    <row r="40" spans="1:26" ht="15" hidden="1" customHeight="1" outlineLevel="1">
      <c r="A40" s="62" t="s">
        <v>124</v>
      </c>
      <c r="B40" s="63">
        <v>35</v>
      </c>
      <c r="C40" s="64">
        <f>DTR!C40+'Dai Loc'!C40+'Dong Lam'!C40+'Khanh Nga'!C40+TDP!C40+DTRVL!C40</f>
        <v>0</v>
      </c>
      <c r="D40" s="64">
        <f>DTR!D40+'Dai Loc'!D40+'Dong Lam'!D40+'Khanh Nga'!D40+TDP!D40+DTRVL!D40</f>
        <v>0</v>
      </c>
      <c r="E40" s="64">
        <f>DTR!E40+'Dai Loc'!E40+'Dong Lam'!E40+'Khanh Nga'!E40+TDP!E40+DTRVL!E40</f>
        <v>0</v>
      </c>
      <c r="F40" s="64">
        <f>DTR!F40+'Dai Loc'!F40+'Dong Lam'!F40+'Khanh Nga'!F40+TDP!F40+DTRVL!F40</f>
        <v>0</v>
      </c>
      <c r="G40" s="64">
        <f>DTR!G40+'Dai Loc'!G40+'Dong Lam'!G40+'Khanh Nga'!G40+TDP!G40+DTRVL!G40</f>
        <v>0</v>
      </c>
      <c r="H40" s="64">
        <f>DTR!H40+'Dai Loc'!H40+'Dong Lam'!H40+'Khanh Nga'!H40+TDP!H40+DTRVL!H40</f>
        <v>0</v>
      </c>
      <c r="I40" s="64">
        <f>DTR!I40+'Dai Loc'!I40+'Dong Lam'!I40+'Khanh Nga'!I40+TDP!I40+DTRVL!I40</f>
        <v>0</v>
      </c>
      <c r="J40" s="64">
        <f>DTR!J40+'Dai Loc'!J40+'Dong Lam'!J40+'Khanh Nga'!J40+TDP!J40+DTRVL!J40</f>
        <v>0</v>
      </c>
      <c r="K40" s="64">
        <f>DTR!K40+'Dai Loc'!K40+'Dong Lam'!K40+'Khanh Nga'!K40+TDP!K40+DTRVL!K40</f>
        <v>0</v>
      </c>
      <c r="L40" s="64">
        <f>DTR!L40+'Dai Loc'!L40+'Dong Lam'!L40+'Khanh Nga'!L40+TDP!L40+DTRVL!L40</f>
        <v>0</v>
      </c>
      <c r="M40" s="64">
        <f>DTR!M40+'Dai Loc'!M40+'Dong Lam'!M40+'Khanh Nga'!M40+TDP!M40+DTRVL!M40</f>
        <v>0</v>
      </c>
      <c r="N40" s="64">
        <f>DTR!N40+'Dai Loc'!N40+'Dong Lam'!N40+'Khanh Nga'!N40+TDP!N40+DTRVL!N40</f>
        <v>0</v>
      </c>
      <c r="O40" s="64">
        <f>DTR!O40+'Dai Loc'!O40+'Dong Lam'!O40+'Khanh Nga'!O40+TDP!O40+DTRVL!O40</f>
        <v>0</v>
      </c>
      <c r="P40" s="64">
        <f>DTR!P40+'Dai Loc'!P40+'Dong Lam'!P40+'Khanh Nga'!P40+TDP!P40+DTRVL!P40</f>
        <v>0</v>
      </c>
      <c r="Q40" s="64">
        <f>DTR!Q40+'Dai Loc'!Q40+'Dong Lam'!Q40+'Khanh Nga'!Q40+TDP!Q40+DTRVL!Q40</f>
        <v>0</v>
      </c>
      <c r="R40" s="64">
        <f>DTR!R40+'Dai Loc'!R40+'Dong Lam'!R40+'Khanh Nga'!R40+TDP!R40+DTRVL!R40</f>
        <v>0</v>
      </c>
      <c r="S40" s="64">
        <f>DTR!S40+'Dai Loc'!S40+'Dong Lam'!S40+'Khanh Nga'!S40+TDP!S40+DTRVL!S40</f>
        <v>0</v>
      </c>
      <c r="T40" s="64">
        <f>DTR!T40+'Dai Loc'!T40+'Dong Lam'!T40+'Khanh Nga'!T40+TDP!T40+DTRVL!T40</f>
        <v>0</v>
      </c>
      <c r="U40" s="64">
        <f>DTR!U40+'Dai Loc'!U40+'Dong Lam'!U40+'Khanh Nga'!U40+TDP!U40+DTRVL!U40</f>
        <v>0</v>
      </c>
      <c r="V40" s="64">
        <f>DTR!V40+'Dai Loc'!V40+'Dong Lam'!V40+'Khanh Nga'!V40+TDP!V40+DTRVL!V40</f>
        <v>0</v>
      </c>
      <c r="W40" s="64">
        <f>DTR!W40+'Dai Loc'!W40+'Dong Lam'!W40+'Khanh Nga'!W40+TDP!W40+DTRVL!W40</f>
        <v>0</v>
      </c>
      <c r="X40" s="64">
        <f>DTR!X40+'Dai Loc'!X40+'Dong Lam'!X40+'Khanh Nga'!X40+TDP!X40+DTRVL!X40</f>
        <v>0</v>
      </c>
      <c r="Y40" s="64">
        <f>DTR!Y40+'Dai Loc'!Y40+'Dong Lam'!Y40+'Khanh Nga'!Y40+TDP!Y40+DTRVL!Y40</f>
        <v>0</v>
      </c>
      <c r="Z40" s="64">
        <f>DTR!Z40+'Dai Loc'!Z40+'Dong Lam'!Z40+'Khanh Nga'!Z40+TDP!Z40+DTRVL!Z40</f>
        <v>0</v>
      </c>
    </row>
    <row r="41" spans="1:26" ht="15" hidden="1" customHeight="1" outlineLevel="1">
      <c r="A41" s="62" t="s">
        <v>125</v>
      </c>
      <c r="B41" s="63">
        <v>36</v>
      </c>
      <c r="C41" s="64">
        <f>DTR!C41+'Dai Loc'!C41+'Dong Lam'!C41+'Khanh Nga'!C41+TDP!C41+DTRVL!C41</f>
        <v>0</v>
      </c>
      <c r="D41" s="64">
        <f>DTR!D41+'Dai Loc'!D41+'Dong Lam'!D41+'Khanh Nga'!D41+TDP!D41+DTRVL!D41</f>
        <v>0</v>
      </c>
      <c r="E41" s="64">
        <f>DTR!E41+'Dai Loc'!E41+'Dong Lam'!E41+'Khanh Nga'!E41+TDP!E41+DTRVL!E41</f>
        <v>0</v>
      </c>
      <c r="F41" s="64">
        <f>DTR!F41+'Dai Loc'!F41+'Dong Lam'!F41+'Khanh Nga'!F41+TDP!F41+DTRVL!F41</f>
        <v>0</v>
      </c>
      <c r="G41" s="64">
        <f>DTR!G41+'Dai Loc'!G41+'Dong Lam'!G41+'Khanh Nga'!G41+TDP!G41+DTRVL!G41</f>
        <v>0</v>
      </c>
      <c r="H41" s="64">
        <f>DTR!H41+'Dai Loc'!H41+'Dong Lam'!H41+'Khanh Nga'!H41+TDP!H41+DTRVL!H41</f>
        <v>0</v>
      </c>
      <c r="I41" s="64">
        <f>DTR!I41+'Dai Loc'!I41+'Dong Lam'!I41+'Khanh Nga'!I41+TDP!I41+DTRVL!I41</f>
        <v>0</v>
      </c>
      <c r="J41" s="64">
        <f>DTR!J41+'Dai Loc'!J41+'Dong Lam'!J41+'Khanh Nga'!J41+TDP!J41+DTRVL!J41</f>
        <v>0</v>
      </c>
      <c r="K41" s="64">
        <f>DTR!K41+'Dai Loc'!K41+'Dong Lam'!K41+'Khanh Nga'!K41+TDP!K41+DTRVL!K41</f>
        <v>0</v>
      </c>
      <c r="L41" s="64">
        <f>DTR!L41+'Dai Loc'!L41+'Dong Lam'!L41+'Khanh Nga'!L41+TDP!L41+DTRVL!L41</f>
        <v>0</v>
      </c>
      <c r="M41" s="64">
        <f>DTR!M41+'Dai Loc'!M41+'Dong Lam'!M41+'Khanh Nga'!M41+TDP!M41+DTRVL!M41</f>
        <v>0</v>
      </c>
      <c r="N41" s="64">
        <f>DTR!N41+'Dai Loc'!N41+'Dong Lam'!N41+'Khanh Nga'!N41+TDP!N41+DTRVL!N41</f>
        <v>0</v>
      </c>
      <c r="O41" s="64">
        <f>DTR!O41+'Dai Loc'!O41+'Dong Lam'!O41+'Khanh Nga'!O41+TDP!O41+DTRVL!O41</f>
        <v>0</v>
      </c>
      <c r="P41" s="64">
        <f>DTR!P41+'Dai Loc'!P41+'Dong Lam'!P41+'Khanh Nga'!P41+TDP!P41+DTRVL!P41</f>
        <v>0</v>
      </c>
      <c r="Q41" s="64">
        <f>DTR!Q41+'Dai Loc'!Q41+'Dong Lam'!Q41+'Khanh Nga'!Q41+TDP!Q41+DTRVL!Q41</f>
        <v>0</v>
      </c>
      <c r="R41" s="64">
        <f>DTR!R41+'Dai Loc'!R41+'Dong Lam'!R41+'Khanh Nga'!R41+TDP!R41+DTRVL!R41</f>
        <v>0</v>
      </c>
      <c r="S41" s="64">
        <f>DTR!S41+'Dai Loc'!S41+'Dong Lam'!S41+'Khanh Nga'!S41+TDP!S41+DTRVL!S41</f>
        <v>0</v>
      </c>
      <c r="T41" s="64">
        <f>DTR!T41+'Dai Loc'!T41+'Dong Lam'!T41+'Khanh Nga'!T41+TDP!T41+DTRVL!T41</f>
        <v>0</v>
      </c>
      <c r="U41" s="64">
        <f>DTR!U41+'Dai Loc'!U41+'Dong Lam'!U41+'Khanh Nga'!U41+TDP!U41+DTRVL!U41</f>
        <v>0</v>
      </c>
      <c r="V41" s="64">
        <f>DTR!V41+'Dai Loc'!V41+'Dong Lam'!V41+'Khanh Nga'!V41+TDP!V41+DTRVL!V41</f>
        <v>0</v>
      </c>
      <c r="W41" s="64">
        <f>DTR!W41+'Dai Loc'!W41+'Dong Lam'!W41+'Khanh Nga'!W41+TDP!W41+DTRVL!W41</f>
        <v>0</v>
      </c>
      <c r="X41" s="64">
        <f>DTR!X41+'Dai Loc'!X41+'Dong Lam'!X41+'Khanh Nga'!X41+TDP!X41+DTRVL!X41</f>
        <v>0</v>
      </c>
      <c r="Y41" s="64">
        <f>DTR!Y41+'Dai Loc'!Y41+'Dong Lam'!Y41+'Khanh Nga'!Y41+TDP!Y41+DTRVL!Y41</f>
        <v>0</v>
      </c>
      <c r="Z41" s="64">
        <f>DTR!Z41+'Dai Loc'!Z41+'Dong Lam'!Z41+'Khanh Nga'!Z41+TDP!Z41+DTRVL!Z41</f>
        <v>0</v>
      </c>
    </row>
    <row r="42" spans="1:26" ht="15" hidden="1" customHeight="1" outlineLevel="1">
      <c r="A42" s="62" t="s">
        <v>126</v>
      </c>
      <c r="B42" s="63">
        <v>37</v>
      </c>
      <c r="C42" s="64">
        <f>DTR!C42+'Dai Loc'!C42+'Dong Lam'!C42+'Khanh Nga'!C42+TDP!C42+DTRVL!C42</f>
        <v>0</v>
      </c>
      <c r="D42" s="64">
        <f>DTR!D42+'Dai Loc'!D42+'Dong Lam'!D42+'Khanh Nga'!D42+TDP!D42+DTRVL!D42</f>
        <v>0</v>
      </c>
      <c r="E42" s="64">
        <f>DTR!E42+'Dai Loc'!E42+'Dong Lam'!E42+'Khanh Nga'!E42+TDP!E42+DTRVL!E42</f>
        <v>0</v>
      </c>
      <c r="F42" s="64">
        <f>DTR!F42+'Dai Loc'!F42+'Dong Lam'!F42+'Khanh Nga'!F42+TDP!F42+DTRVL!F42</f>
        <v>0</v>
      </c>
      <c r="G42" s="64">
        <f>DTR!G42+'Dai Loc'!G42+'Dong Lam'!G42+'Khanh Nga'!G42+TDP!G42+DTRVL!G42</f>
        <v>0</v>
      </c>
      <c r="H42" s="64">
        <f>DTR!H42+'Dai Loc'!H42+'Dong Lam'!H42+'Khanh Nga'!H42+TDP!H42+DTRVL!H42</f>
        <v>0</v>
      </c>
      <c r="I42" s="64">
        <f>DTR!I42+'Dai Loc'!I42+'Dong Lam'!I42+'Khanh Nga'!I42+TDP!I42+DTRVL!I42</f>
        <v>0</v>
      </c>
      <c r="J42" s="64">
        <f>DTR!J42+'Dai Loc'!J42+'Dong Lam'!J42+'Khanh Nga'!J42+TDP!J42+DTRVL!J42</f>
        <v>0</v>
      </c>
      <c r="K42" s="64">
        <f>DTR!K42+'Dai Loc'!K42+'Dong Lam'!K42+'Khanh Nga'!K42+TDP!K42+DTRVL!K42</f>
        <v>0</v>
      </c>
      <c r="L42" s="64">
        <f>DTR!L42+'Dai Loc'!L42+'Dong Lam'!L42+'Khanh Nga'!L42+TDP!L42+DTRVL!L42</f>
        <v>0</v>
      </c>
      <c r="M42" s="64">
        <f>DTR!M42+'Dai Loc'!M42+'Dong Lam'!M42+'Khanh Nga'!M42+TDP!M42+DTRVL!M42</f>
        <v>0</v>
      </c>
      <c r="N42" s="64">
        <f>DTR!N42+'Dai Loc'!N42+'Dong Lam'!N42+'Khanh Nga'!N42+TDP!N42+DTRVL!N42</f>
        <v>0</v>
      </c>
      <c r="O42" s="64">
        <f>DTR!O42+'Dai Loc'!O42+'Dong Lam'!O42+'Khanh Nga'!O42+TDP!O42+DTRVL!O42</f>
        <v>0</v>
      </c>
      <c r="P42" s="64">
        <f>DTR!P42+'Dai Loc'!P42+'Dong Lam'!P42+'Khanh Nga'!P42+TDP!P42+DTRVL!P42</f>
        <v>0</v>
      </c>
      <c r="Q42" s="64">
        <f>DTR!Q42+'Dai Loc'!Q42+'Dong Lam'!Q42+'Khanh Nga'!Q42+TDP!Q42+DTRVL!Q42</f>
        <v>0</v>
      </c>
      <c r="R42" s="64">
        <f>DTR!R42+'Dai Loc'!R42+'Dong Lam'!R42+'Khanh Nga'!R42+TDP!R42+DTRVL!R42</f>
        <v>0</v>
      </c>
      <c r="S42" s="64">
        <f>DTR!S42+'Dai Loc'!S42+'Dong Lam'!S42+'Khanh Nga'!S42+TDP!S42+DTRVL!S42</f>
        <v>0</v>
      </c>
      <c r="T42" s="64">
        <f>DTR!T42+'Dai Loc'!T42+'Dong Lam'!T42+'Khanh Nga'!T42+TDP!T42+DTRVL!T42</f>
        <v>0</v>
      </c>
      <c r="U42" s="64">
        <f>DTR!U42+'Dai Loc'!U42+'Dong Lam'!U42+'Khanh Nga'!U42+TDP!U42+DTRVL!U42</f>
        <v>0</v>
      </c>
      <c r="V42" s="64">
        <f>DTR!V42+'Dai Loc'!V42+'Dong Lam'!V42+'Khanh Nga'!V42+TDP!V42+DTRVL!V42</f>
        <v>0</v>
      </c>
      <c r="W42" s="64">
        <f>DTR!W42+'Dai Loc'!W42+'Dong Lam'!W42+'Khanh Nga'!W42+TDP!W42+DTRVL!W42</f>
        <v>0</v>
      </c>
      <c r="X42" s="64">
        <f>DTR!X42+'Dai Loc'!X42+'Dong Lam'!X42+'Khanh Nga'!X42+TDP!X42+DTRVL!X42</f>
        <v>0</v>
      </c>
      <c r="Y42" s="64">
        <f>DTR!Y42+'Dai Loc'!Y42+'Dong Lam'!Y42+'Khanh Nga'!Y42+TDP!Y42+DTRVL!Y42</f>
        <v>0</v>
      </c>
      <c r="Z42" s="64">
        <f>DTR!Z42+'Dai Loc'!Z42+'Dong Lam'!Z42+'Khanh Nga'!Z42+TDP!Z42+DTRVL!Z42</f>
        <v>0</v>
      </c>
    </row>
    <row r="43" spans="1:26" ht="15" hidden="1" customHeight="1" outlineLevel="1">
      <c r="A43" s="62" t="s">
        <v>127</v>
      </c>
      <c r="B43" s="63">
        <v>38</v>
      </c>
      <c r="C43" s="64">
        <f>DTR!C43+'Dai Loc'!C43+'Dong Lam'!C43+'Khanh Nga'!C43+TDP!C43+DTRVL!C43</f>
        <v>0</v>
      </c>
      <c r="D43" s="64">
        <f>DTR!D43+'Dai Loc'!D43+'Dong Lam'!D43+'Khanh Nga'!D43+TDP!D43+DTRVL!D43</f>
        <v>0</v>
      </c>
      <c r="E43" s="64">
        <f>DTR!E43+'Dai Loc'!E43+'Dong Lam'!E43+'Khanh Nga'!E43+TDP!E43+DTRVL!E43</f>
        <v>0</v>
      </c>
      <c r="F43" s="64">
        <f>DTR!F43+'Dai Loc'!F43+'Dong Lam'!F43+'Khanh Nga'!F43+TDP!F43+DTRVL!F43</f>
        <v>0</v>
      </c>
      <c r="G43" s="64">
        <f>DTR!G43+'Dai Loc'!G43+'Dong Lam'!G43+'Khanh Nga'!G43+TDP!G43+DTRVL!G43</f>
        <v>0</v>
      </c>
      <c r="H43" s="64">
        <f>DTR!H43+'Dai Loc'!H43+'Dong Lam'!H43+'Khanh Nga'!H43+TDP!H43+DTRVL!H43</f>
        <v>0</v>
      </c>
      <c r="I43" s="64">
        <f>DTR!I43+'Dai Loc'!I43+'Dong Lam'!I43+'Khanh Nga'!I43+TDP!I43+DTRVL!I43</f>
        <v>0</v>
      </c>
      <c r="J43" s="64">
        <f>DTR!J43+'Dai Loc'!J43+'Dong Lam'!J43+'Khanh Nga'!J43+TDP!J43+DTRVL!J43</f>
        <v>0</v>
      </c>
      <c r="K43" s="64">
        <f>DTR!K43+'Dai Loc'!K43+'Dong Lam'!K43+'Khanh Nga'!K43+TDP!K43+DTRVL!K43</f>
        <v>0</v>
      </c>
      <c r="L43" s="64">
        <f>DTR!L43+'Dai Loc'!L43+'Dong Lam'!L43+'Khanh Nga'!L43+TDP!L43+DTRVL!L43</f>
        <v>0</v>
      </c>
      <c r="M43" s="64">
        <f>DTR!M43+'Dai Loc'!M43+'Dong Lam'!M43+'Khanh Nga'!M43+TDP!M43+DTRVL!M43</f>
        <v>0</v>
      </c>
      <c r="N43" s="64">
        <f>DTR!N43+'Dai Loc'!N43+'Dong Lam'!N43+'Khanh Nga'!N43+TDP!N43+DTRVL!N43</f>
        <v>0</v>
      </c>
      <c r="O43" s="64">
        <f>DTR!O43+'Dai Loc'!O43+'Dong Lam'!O43+'Khanh Nga'!O43+TDP!O43+DTRVL!O43</f>
        <v>0</v>
      </c>
      <c r="P43" s="64">
        <f>DTR!P43+'Dai Loc'!P43+'Dong Lam'!P43+'Khanh Nga'!P43+TDP!P43+DTRVL!P43</f>
        <v>0</v>
      </c>
      <c r="Q43" s="64">
        <f>DTR!Q43+'Dai Loc'!Q43+'Dong Lam'!Q43+'Khanh Nga'!Q43+TDP!Q43+DTRVL!Q43</f>
        <v>0</v>
      </c>
      <c r="R43" s="64">
        <f>DTR!R43+'Dai Loc'!R43+'Dong Lam'!R43+'Khanh Nga'!R43+TDP!R43+DTRVL!R43</f>
        <v>0</v>
      </c>
      <c r="S43" s="64">
        <f>DTR!S43+'Dai Loc'!S43+'Dong Lam'!S43+'Khanh Nga'!S43+TDP!S43+DTRVL!S43</f>
        <v>0</v>
      </c>
      <c r="T43" s="64">
        <f>DTR!T43+'Dai Loc'!T43+'Dong Lam'!T43+'Khanh Nga'!T43+TDP!T43+DTRVL!T43</f>
        <v>0</v>
      </c>
      <c r="U43" s="64">
        <f>DTR!U43+'Dai Loc'!U43+'Dong Lam'!U43+'Khanh Nga'!U43+TDP!U43+DTRVL!U43</f>
        <v>0</v>
      </c>
      <c r="V43" s="64">
        <f>DTR!V43+'Dai Loc'!V43+'Dong Lam'!V43+'Khanh Nga'!V43+TDP!V43+DTRVL!V43</f>
        <v>0</v>
      </c>
      <c r="W43" s="64">
        <f>DTR!W43+'Dai Loc'!W43+'Dong Lam'!W43+'Khanh Nga'!W43+TDP!W43+DTRVL!W43</f>
        <v>0</v>
      </c>
      <c r="X43" s="64">
        <f>DTR!X43+'Dai Loc'!X43+'Dong Lam'!X43+'Khanh Nga'!X43+TDP!X43+DTRVL!X43</f>
        <v>0</v>
      </c>
      <c r="Y43" s="64">
        <f>DTR!Y43+'Dai Loc'!Y43+'Dong Lam'!Y43+'Khanh Nga'!Y43+TDP!Y43+DTRVL!Y43</f>
        <v>0</v>
      </c>
      <c r="Z43" s="64">
        <f>DTR!Z43+'Dai Loc'!Z43+'Dong Lam'!Z43+'Khanh Nga'!Z43+TDP!Z43+DTRVL!Z43</f>
        <v>0</v>
      </c>
    </row>
    <row r="44" spans="1:26" ht="15" hidden="1" customHeight="1" outlineLevel="1">
      <c r="A44" s="62" t="s">
        <v>128</v>
      </c>
      <c r="B44" s="63">
        <v>39</v>
      </c>
      <c r="C44" s="64">
        <f>DTR!C44+'Dai Loc'!C44+'Dong Lam'!C44+'Khanh Nga'!C44+TDP!C44+DTRVL!C44</f>
        <v>240000000</v>
      </c>
      <c r="D44" s="64">
        <f>DTR!D44+'Dai Loc'!D44+'Dong Lam'!D44+'Khanh Nga'!D44+TDP!D44+DTRVL!D44</f>
        <v>240000000</v>
      </c>
      <c r="E44" s="64">
        <f>DTR!E44+'Dai Loc'!E44+'Dong Lam'!E44+'Khanh Nga'!E44+TDP!E44+DTRVL!E44</f>
        <v>240000000</v>
      </c>
      <c r="F44" s="64">
        <f>DTR!F44+'Dai Loc'!F44+'Dong Lam'!F44+'Khanh Nga'!F44+TDP!F44+DTRVL!F44</f>
        <v>240000000</v>
      </c>
      <c r="G44" s="64">
        <f>DTR!G44+'Dai Loc'!G44+'Dong Lam'!G44+'Khanh Nga'!G44+TDP!G44+DTRVL!G44</f>
        <v>240000000</v>
      </c>
      <c r="H44" s="64">
        <f>DTR!H44+'Dai Loc'!H44+'Dong Lam'!H44+'Khanh Nga'!H44+TDP!H44+DTRVL!H44</f>
        <v>1140000000</v>
      </c>
      <c r="I44" s="64">
        <f>DTR!I44+'Dai Loc'!I44+'Dong Lam'!I44+'Khanh Nga'!I44+TDP!I44+DTRVL!I44</f>
        <v>930823092</v>
      </c>
      <c r="J44" s="64">
        <f>DTR!J44+'Dai Loc'!J44+'Dong Lam'!J44+'Khanh Nga'!J44+TDP!J44+DTRVL!J44</f>
        <v>930823092</v>
      </c>
      <c r="K44" s="64">
        <f>DTR!K44+'Dai Loc'!K44+'Dong Lam'!K44+'Khanh Nga'!K44+TDP!K44+DTRVL!K44</f>
        <v>930823092</v>
      </c>
      <c r="L44" s="64">
        <f>DTR!L44+'Dai Loc'!L44+'Dong Lam'!L44+'Khanh Nga'!L44+TDP!L44+DTRVL!L44</f>
        <v>930823092</v>
      </c>
      <c r="M44" s="64">
        <f>DTR!M44+'Dai Loc'!M44+'Dong Lam'!M44+'Khanh Nga'!M44+TDP!M44+DTRVL!M44</f>
        <v>930823092</v>
      </c>
      <c r="N44" s="64">
        <f>DTR!N44+'Dai Loc'!N44+'Dong Lam'!N44+'Khanh Nga'!N44+TDP!N44+DTRVL!N44</f>
        <v>6530823092</v>
      </c>
      <c r="O44" s="64">
        <f>DTR!O44+'Dai Loc'!O44+'Dong Lam'!O44+'Khanh Nga'!O44+TDP!O44+DTRVL!O44</f>
        <v>6530823092</v>
      </c>
      <c r="P44" s="64">
        <f>DTR!P44+'Dai Loc'!P44+'Dong Lam'!P44+'Khanh Nga'!P44+TDP!P44+DTRVL!P44</f>
        <v>6530823092</v>
      </c>
      <c r="Q44" s="64">
        <f>DTR!Q44+'Dai Loc'!Q44+'Dong Lam'!Q44+'Khanh Nga'!Q44+TDP!Q44+DTRVL!Q44</f>
        <v>6530823092</v>
      </c>
      <c r="R44" s="64">
        <f>DTR!R44+'Dai Loc'!R44+'Dong Lam'!R44+'Khanh Nga'!R44+TDP!R44+DTRVL!R44</f>
        <v>6530823092</v>
      </c>
      <c r="S44" s="64">
        <f>DTR!S44+'Dai Loc'!S44+'Dong Lam'!S44+'Khanh Nga'!S44+TDP!S44+DTRVL!S44</f>
        <v>6530823092</v>
      </c>
      <c r="T44" s="64">
        <f>DTR!T44+'Dai Loc'!T44+'Dong Lam'!T44+'Khanh Nga'!T44+TDP!T44+DTRVL!T44</f>
        <v>6530823092</v>
      </c>
      <c r="U44" s="64">
        <f>DTR!U44+'Dai Loc'!U44+'Dong Lam'!U44+'Khanh Nga'!U44+TDP!U44+DTRVL!U44</f>
        <v>6530823092</v>
      </c>
      <c r="V44" s="64">
        <f>DTR!V44+'Dai Loc'!V44+'Dong Lam'!V44+'Khanh Nga'!V44+TDP!V44+DTRVL!V44</f>
        <v>6530823092</v>
      </c>
      <c r="W44" s="64">
        <f>DTR!W44+'Dai Loc'!W44+'Dong Lam'!W44+'Khanh Nga'!W44+TDP!W44+DTRVL!W44</f>
        <v>6530823092</v>
      </c>
      <c r="X44" s="64">
        <f>DTR!X44+'Dai Loc'!X44+'Dong Lam'!X44+'Khanh Nga'!X44+TDP!X44+DTRVL!X44</f>
        <v>6530823092</v>
      </c>
      <c r="Y44" s="64">
        <f>DTR!Y44+'Dai Loc'!Y44+'Dong Lam'!Y44+'Khanh Nga'!Y44+TDP!Y44+DTRVL!Y44</f>
        <v>6530823092</v>
      </c>
      <c r="Z44" s="64">
        <f>DTR!Z44+'Dai Loc'!Z44+'Dong Lam'!Z44+'Khanh Nga'!Z44+TDP!Z44+DTRVL!Z44</f>
        <v>6530823092</v>
      </c>
    </row>
    <row r="45" spans="1:26" ht="15" hidden="1" customHeight="1" outlineLevel="1">
      <c r="A45" s="62" t="s">
        <v>129</v>
      </c>
      <c r="B45" s="63">
        <v>40</v>
      </c>
      <c r="C45" s="64">
        <f>DTR!C45+'Dai Loc'!C45+'Dong Lam'!C45+'Khanh Nga'!C45+TDP!C45+DTRVL!C45</f>
        <v>0</v>
      </c>
      <c r="D45" s="64">
        <f>DTR!D45+'Dai Loc'!D45+'Dong Lam'!D45+'Khanh Nga'!D45+TDP!D45+DTRVL!D45</f>
        <v>0</v>
      </c>
      <c r="E45" s="64">
        <f>DTR!E45+'Dai Loc'!E45+'Dong Lam'!E45+'Khanh Nga'!E45+TDP!E45+DTRVL!E45</f>
        <v>0</v>
      </c>
      <c r="F45" s="64">
        <f>DTR!F45+'Dai Loc'!F45+'Dong Lam'!F45+'Khanh Nga'!F45+TDP!F45+DTRVL!F45</f>
        <v>0</v>
      </c>
      <c r="G45" s="64">
        <f>DTR!G45+'Dai Loc'!G45+'Dong Lam'!G45+'Khanh Nga'!G45+TDP!G45+DTRVL!G45</f>
        <v>0</v>
      </c>
      <c r="H45" s="64">
        <f>DTR!H45+'Dai Loc'!H45+'Dong Lam'!H45+'Khanh Nga'!H45+TDP!H45+DTRVL!H45</f>
        <v>0</v>
      </c>
      <c r="I45" s="64">
        <f>DTR!I45+'Dai Loc'!I45+'Dong Lam'!I45+'Khanh Nga'!I45+TDP!I45+DTRVL!I45</f>
        <v>0</v>
      </c>
      <c r="J45" s="64">
        <f>DTR!J45+'Dai Loc'!J45+'Dong Lam'!J45+'Khanh Nga'!J45+TDP!J45+DTRVL!J45</f>
        <v>0</v>
      </c>
      <c r="K45" s="64">
        <f>DTR!K45+'Dai Loc'!K45+'Dong Lam'!K45+'Khanh Nga'!K45+TDP!K45+DTRVL!K45</f>
        <v>0</v>
      </c>
      <c r="L45" s="64">
        <f>DTR!L45+'Dai Loc'!L45+'Dong Lam'!L45+'Khanh Nga'!L45+TDP!L45+DTRVL!L45</f>
        <v>0</v>
      </c>
      <c r="M45" s="64">
        <f>DTR!M45+'Dai Loc'!M45+'Dong Lam'!M45+'Khanh Nga'!M45+TDP!M45+DTRVL!M45</f>
        <v>0</v>
      </c>
      <c r="N45" s="64">
        <f>DTR!N45+'Dai Loc'!N45+'Dong Lam'!N45+'Khanh Nga'!N45+TDP!N45+DTRVL!N45</f>
        <v>0</v>
      </c>
      <c r="O45" s="64">
        <f>DTR!O45+'Dai Loc'!O45+'Dong Lam'!O45+'Khanh Nga'!O45+TDP!O45+DTRVL!O45</f>
        <v>0</v>
      </c>
      <c r="P45" s="64">
        <f>DTR!P45+'Dai Loc'!P45+'Dong Lam'!P45+'Khanh Nga'!P45+TDP!P45+DTRVL!P45</f>
        <v>0</v>
      </c>
      <c r="Q45" s="64">
        <f>DTR!Q45+'Dai Loc'!Q45+'Dong Lam'!Q45+'Khanh Nga'!Q45+TDP!Q45+DTRVL!Q45</f>
        <v>0</v>
      </c>
      <c r="R45" s="64">
        <f>DTR!R45+'Dai Loc'!R45+'Dong Lam'!R45+'Khanh Nga'!R45+TDP!R45+DTRVL!R45</f>
        <v>0</v>
      </c>
      <c r="S45" s="64">
        <f>DTR!S45+'Dai Loc'!S45+'Dong Lam'!S45+'Khanh Nga'!S45+TDP!S45+DTRVL!S45</f>
        <v>0</v>
      </c>
      <c r="T45" s="64">
        <f>DTR!T45+'Dai Loc'!T45+'Dong Lam'!T45+'Khanh Nga'!T45+TDP!T45+DTRVL!T45</f>
        <v>0</v>
      </c>
      <c r="U45" s="64">
        <f>DTR!U45+'Dai Loc'!U45+'Dong Lam'!U45+'Khanh Nga'!U45+TDP!U45+DTRVL!U45</f>
        <v>0</v>
      </c>
      <c r="V45" s="64">
        <f>DTR!V45+'Dai Loc'!V45+'Dong Lam'!V45+'Khanh Nga'!V45+TDP!V45+DTRVL!V45</f>
        <v>0</v>
      </c>
      <c r="W45" s="64">
        <f>DTR!W45+'Dai Loc'!W45+'Dong Lam'!W45+'Khanh Nga'!W45+TDP!W45+DTRVL!W45</f>
        <v>0</v>
      </c>
      <c r="X45" s="64">
        <f>DTR!X45+'Dai Loc'!X45+'Dong Lam'!X45+'Khanh Nga'!X45+TDP!X45+DTRVL!X45</f>
        <v>0</v>
      </c>
      <c r="Y45" s="64">
        <f>DTR!Y45+'Dai Loc'!Y45+'Dong Lam'!Y45+'Khanh Nga'!Y45+TDP!Y45+DTRVL!Y45</f>
        <v>0</v>
      </c>
      <c r="Z45" s="64">
        <f>DTR!Z45+'Dai Loc'!Z45+'Dong Lam'!Z45+'Khanh Nga'!Z45+TDP!Z45+DTRVL!Z45</f>
        <v>0</v>
      </c>
    </row>
    <row r="46" spans="1:26" ht="15" hidden="1" customHeight="1" outlineLevel="1">
      <c r="A46" s="72" t="s">
        <v>130</v>
      </c>
      <c r="B46" s="65">
        <v>41</v>
      </c>
      <c r="C46" s="64">
        <f>DTR!C46+'Dai Loc'!C46+'Dong Lam'!C46+'Khanh Nga'!C46+TDP!C46+DTRVL!C46</f>
        <v>249655788198</v>
      </c>
      <c r="D46" s="64">
        <f>DTR!D46+'Dai Loc'!D46+'Dong Lam'!D46+'Khanh Nga'!D46+TDP!D46+DTRVL!D46</f>
        <v>245716365002</v>
      </c>
      <c r="E46" s="64">
        <f>DTR!E46+'Dai Loc'!E46+'Dong Lam'!E46+'Khanh Nga'!E46+TDP!E46+DTRVL!E46</f>
        <v>275559746506</v>
      </c>
      <c r="F46" s="64">
        <f>DTR!F46+'Dai Loc'!F46+'Dong Lam'!F46+'Khanh Nga'!F46+TDP!F46+DTRVL!F46</f>
        <v>277827593851</v>
      </c>
      <c r="G46" s="64">
        <f>DTR!G46+'Dai Loc'!G46+'Dong Lam'!G46+'Khanh Nga'!G46+TDP!G46+DTRVL!G46</f>
        <v>276054917951</v>
      </c>
      <c r="H46" s="64">
        <f>DTR!H46+'Dai Loc'!H46+'Dong Lam'!H46+'Khanh Nga'!H46+TDP!H46+DTRVL!H46</f>
        <v>271729373194</v>
      </c>
      <c r="I46" s="64">
        <f>DTR!I46+'Dai Loc'!I46+'Dong Lam'!I46+'Khanh Nga'!I46+TDP!I46+DTRVL!I46</f>
        <v>269325388109</v>
      </c>
      <c r="J46" s="64">
        <f>DTR!J46+'Dai Loc'!J46+'Dong Lam'!J46+'Khanh Nga'!J46+TDP!J46+DTRVL!J46</f>
        <v>275400557911</v>
      </c>
      <c r="K46" s="64">
        <f>DTR!K46+'Dai Loc'!K46+'Dong Lam'!K46+'Khanh Nga'!K46+TDP!K46+DTRVL!K46</f>
        <v>272127241547</v>
      </c>
      <c r="L46" s="64">
        <f>DTR!L46+'Dai Loc'!L46+'Dong Lam'!L46+'Khanh Nga'!L46+TDP!L46+DTRVL!L46</f>
        <v>271857790006</v>
      </c>
      <c r="M46" s="64">
        <f>DTR!M46+'Dai Loc'!M46+'Dong Lam'!M46+'Khanh Nga'!M46+TDP!M46+DTRVL!M46</f>
        <v>287235595670</v>
      </c>
      <c r="N46" s="64">
        <f>DTR!N46+'Dai Loc'!N46+'Dong Lam'!N46+'Khanh Nga'!N46+TDP!N46+DTRVL!N46</f>
        <v>284367832366</v>
      </c>
      <c r="O46" s="64">
        <f>DTR!O46+'Dai Loc'!O46+'Dong Lam'!O46+'Khanh Nga'!O46+TDP!O46+DTRVL!O46</f>
        <v>280850195913</v>
      </c>
      <c r="P46" s="64">
        <f>DTR!P46+'Dai Loc'!P46+'Dong Lam'!P46+'Khanh Nga'!P46+TDP!P46+DTRVL!P46</f>
        <v>286751550270</v>
      </c>
      <c r="Q46" s="64">
        <f>DTR!Q46+'Dai Loc'!Q46+'Dong Lam'!Q46+'Khanh Nga'!Q46+TDP!Q46+DTRVL!Q46</f>
        <v>290751177313</v>
      </c>
      <c r="R46" s="64">
        <f>DTR!R46+'Dai Loc'!R46+'Dong Lam'!R46+'Khanh Nga'!R46+TDP!R46+DTRVL!R46</f>
        <v>287962022032</v>
      </c>
      <c r="S46" s="64">
        <f>DTR!S46+'Dai Loc'!S46+'Dong Lam'!S46+'Khanh Nga'!S46+TDP!S46+DTRVL!S46</f>
        <v>282781975426</v>
      </c>
      <c r="T46" s="64">
        <f>DTR!T46+'Dai Loc'!T46+'Dong Lam'!T46+'Khanh Nga'!T46+TDP!T46+DTRVL!T46</f>
        <v>278127416000</v>
      </c>
      <c r="U46" s="64">
        <f>DTR!U46+'Dai Loc'!U46+'Dong Lam'!U46+'Khanh Nga'!U46+TDP!U46+DTRVL!U46</f>
        <v>275654584449</v>
      </c>
      <c r="V46" s="64">
        <f>DTR!V46+'Dai Loc'!V46+'Dong Lam'!V46+'Khanh Nga'!V46+TDP!V46+DTRVL!V46</f>
        <v>293217640642</v>
      </c>
      <c r="W46" s="64">
        <f>DTR!W46+'Dai Loc'!W46+'Dong Lam'!W46+'Khanh Nga'!W46+TDP!W46+DTRVL!W46</f>
        <v>289918627327</v>
      </c>
      <c r="X46" s="64">
        <f>DTR!X46+'Dai Loc'!X46+'Dong Lam'!X46+'Khanh Nga'!X46+TDP!X46+DTRVL!X46</f>
        <v>287386592779</v>
      </c>
      <c r="Y46" s="64">
        <f>DTR!Y46+'Dai Loc'!Y46+'Dong Lam'!Y46+'Khanh Nga'!Y46+TDP!Y46+DTRVL!Y46</f>
        <v>291084744995</v>
      </c>
      <c r="Z46" s="64">
        <f>DTR!Z46+'Dai Loc'!Z46+'Dong Lam'!Z46+'Khanh Nga'!Z46+TDP!Z46+DTRVL!Z46</f>
        <v>289480570421</v>
      </c>
    </row>
    <row r="47" spans="1:26" ht="15" hidden="1" customHeight="1" outlineLevel="1">
      <c r="A47" s="72" t="s">
        <v>131</v>
      </c>
      <c r="B47" s="65">
        <v>42</v>
      </c>
      <c r="C47" s="64">
        <f>DTR!C47+'Dai Loc'!C47+'Dong Lam'!C47+'Khanh Nga'!C47+TDP!C47+DTRVL!C47</f>
        <v>247686311862</v>
      </c>
      <c r="D47" s="64">
        <f>DTR!D47+'Dai Loc'!D47+'Dong Lam'!D47+'Khanh Nga'!D47+TDP!D47+DTRVL!D47</f>
        <v>243789053467</v>
      </c>
      <c r="E47" s="64">
        <f>DTR!E47+'Dai Loc'!E47+'Dong Lam'!E47+'Khanh Nga'!E47+TDP!E47+DTRVL!E47</f>
        <v>273243299734</v>
      </c>
      <c r="F47" s="64">
        <f>DTR!F47+'Dai Loc'!F47+'Dong Lam'!F47+'Khanh Nga'!F47+TDP!F47+DTRVL!F47</f>
        <v>275565292437</v>
      </c>
      <c r="G47" s="64">
        <f>DTR!G47+'Dai Loc'!G47+'Dong Lam'!G47+'Khanh Nga'!G47+TDP!G47+DTRVL!G47</f>
        <v>273846761895</v>
      </c>
      <c r="H47" s="64">
        <f>DTR!H47+'Dai Loc'!H47+'Dong Lam'!H47+'Khanh Nga'!H47+TDP!H47+DTRVL!H47</f>
        <v>269575362499</v>
      </c>
      <c r="I47" s="64">
        <f>DTR!I47+'Dai Loc'!I47+'Dong Lam'!I47+'Khanh Nga'!I47+TDP!I47+DTRVL!I47</f>
        <v>267225522772</v>
      </c>
      <c r="J47" s="64">
        <f>DTR!J47+'Dai Loc'!J47+'Dong Lam'!J47+'Khanh Nga'!J47+TDP!J47+DTRVL!J47</f>
        <v>273354837931</v>
      </c>
      <c r="K47" s="64">
        <f>DTR!K47+'Dai Loc'!K47+'Dong Lam'!K47+'Khanh Nga'!K47+TDP!K47+DTRVL!K47</f>
        <v>270135666926</v>
      </c>
      <c r="L47" s="64">
        <f>DTR!L47+'Dai Loc'!L47+'Dong Lam'!L47+'Khanh Nga'!L47+TDP!L47+DTRVL!L47</f>
        <v>269920360744</v>
      </c>
      <c r="M47" s="64">
        <f>DTR!M47+'Dai Loc'!M47+'Dong Lam'!M47+'Khanh Nga'!M47+TDP!M47+DTRVL!M47</f>
        <v>259897766310</v>
      </c>
      <c r="N47" s="64">
        <f>DTR!N47+'Dai Loc'!N47+'Dong Lam'!N47+'Khanh Nga'!N47+TDP!N47+DTRVL!N47</f>
        <v>257088680605</v>
      </c>
      <c r="O47" s="64">
        <f>DTR!O47+'Dai Loc'!O47+'Dong Lam'!O47+'Khanh Nga'!O47+TDP!O47+DTRVL!O47</f>
        <v>254173542509</v>
      </c>
      <c r="P47" s="64">
        <f>DTR!P47+'Dai Loc'!P47+'Dong Lam'!P47+'Khanh Nga'!P47+TDP!P47+DTRVL!P47</f>
        <v>260677395229</v>
      </c>
      <c r="Q47" s="64">
        <f>DTR!Q47+'Dai Loc'!Q47+'Dong Lam'!Q47+'Khanh Nga'!Q47+TDP!Q47+DTRVL!Q47</f>
        <v>264791909848</v>
      </c>
      <c r="R47" s="64">
        <f>DTR!R47+'Dai Loc'!R47+'Dong Lam'!R47+'Khanh Nga'!R47+TDP!R47+DTRVL!R47</f>
        <v>262618797672</v>
      </c>
      <c r="S47" s="64">
        <f>DTR!S47+'Dai Loc'!S47+'Dong Lam'!S47+'Khanh Nga'!S47+TDP!S47+DTRVL!S47</f>
        <v>258054794170</v>
      </c>
      <c r="T47" s="64">
        <f>DTR!T47+'Dai Loc'!T47+'Dong Lam'!T47+'Khanh Nga'!T47+TDP!T47+DTRVL!T47</f>
        <v>254016277850</v>
      </c>
      <c r="U47" s="64">
        <f>DTR!U47+'Dai Loc'!U47+'Dong Lam'!U47+'Khanh Nga'!U47+TDP!U47+DTRVL!U47</f>
        <v>252159489399</v>
      </c>
      <c r="V47" s="64">
        <f>DTR!V47+'Dai Loc'!V47+'Dong Lam'!V47+'Khanh Nga'!V47+TDP!V47+DTRVL!V47</f>
        <v>270337414891</v>
      </c>
      <c r="W47" s="64">
        <f>DTR!W47+'Dai Loc'!W47+'Dong Lam'!W47+'Khanh Nga'!W47+TDP!W47+DTRVL!W47</f>
        <v>265713293890</v>
      </c>
      <c r="X47" s="64">
        <f>DTR!X47+'Dai Loc'!X47+'Dong Lam'!X47+'Khanh Nga'!X47+TDP!X47+DTRVL!X47</f>
        <v>263835030905</v>
      </c>
      <c r="Y47" s="64">
        <f>DTR!Y47+'Dai Loc'!Y47+'Dong Lam'!Y47+'Khanh Nga'!Y47+TDP!Y47+DTRVL!Y47</f>
        <v>268186954686</v>
      </c>
      <c r="Z47" s="64">
        <f>DTR!Z47+'Dai Loc'!Z47+'Dong Lam'!Z47+'Khanh Nga'!Z47+TDP!Z47+DTRVL!Z47</f>
        <v>267236551676</v>
      </c>
    </row>
    <row r="48" spans="1:26" ht="15" hidden="1" customHeight="1" outlineLevel="1">
      <c r="A48" s="73" t="s">
        <v>132</v>
      </c>
      <c r="B48" s="63">
        <v>43</v>
      </c>
      <c r="C48" s="64">
        <f>DTR!C48+'Dai Loc'!C48+'Dong Lam'!C48+'Khanh Nga'!C48+TDP!C48+DTRVL!C48</f>
        <v>320763061585</v>
      </c>
      <c r="D48" s="64">
        <f>DTR!D48+'Dai Loc'!D48+'Dong Lam'!D48+'Khanh Nga'!D48+TDP!D48+DTRVL!D48</f>
        <v>320763061585</v>
      </c>
      <c r="E48" s="64">
        <f>DTR!E48+'Dai Loc'!E48+'Dong Lam'!E48+'Khanh Nga'!E48+TDP!E48+DTRVL!E48</f>
        <v>354111019751</v>
      </c>
      <c r="F48" s="64">
        <f>DTR!F48+'Dai Loc'!F48+'Dong Lam'!F48+'Khanh Nga'!F48+TDP!F48+DTRVL!F48</f>
        <v>360410194088</v>
      </c>
      <c r="G48" s="64">
        <f>DTR!G48+'Dai Loc'!G48+'Dong Lam'!G48+'Khanh Nga'!G48+TDP!G48+DTRVL!G48</f>
        <v>362896921284</v>
      </c>
      <c r="H48" s="64">
        <f>DTR!H48+'Dai Loc'!H48+'Dong Lam'!H48+'Khanh Nga'!H48+TDP!H48+DTRVL!H48</f>
        <v>362777184617</v>
      </c>
      <c r="I48" s="64">
        <f>DTR!I48+'Dai Loc'!I48+'Dong Lam'!I48+'Khanh Nga'!I48+TDP!I48+DTRVL!I48</f>
        <v>364651866569</v>
      </c>
      <c r="J48" s="64">
        <f>DTR!J48+'Dai Loc'!J48+'Dong Lam'!J48+'Khanh Nga'!J48+TDP!J48+DTRVL!J48</f>
        <v>374855872549</v>
      </c>
      <c r="K48" s="64">
        <f>DTR!K48+'Dai Loc'!K48+'Dong Lam'!K48+'Khanh Nga'!K48+TDP!K48+DTRVL!K48</f>
        <v>376024168845</v>
      </c>
      <c r="L48" s="64">
        <f>DTR!L48+'Dai Loc'!L48+'Dong Lam'!L48+'Khanh Nga'!L48+TDP!L48+DTRVL!L48</f>
        <v>380073671166</v>
      </c>
      <c r="M48" s="64">
        <f>DTR!M48+'Dai Loc'!M48+'Dong Lam'!M48+'Khanh Nga'!M48+TDP!M48+DTRVL!M48</f>
        <v>358508874510</v>
      </c>
      <c r="N48" s="64">
        <f>DTR!N48+'Dai Loc'!N48+'Dong Lam'!N48+'Khanh Nga'!N48+TDP!N48+DTRVL!N48</f>
        <v>359916452008</v>
      </c>
      <c r="O48" s="64">
        <f>DTR!O48+'Dai Loc'!O48+'Dong Lam'!O48+'Khanh Nga'!O48+TDP!O48+DTRVL!O48</f>
        <v>361070968177</v>
      </c>
      <c r="P48" s="64">
        <f>DTR!P48+'Dai Loc'!P48+'Dong Lam'!P48+'Khanh Nga'!P48+TDP!P48+DTRVL!P48</f>
        <v>371841366827</v>
      </c>
      <c r="Q48" s="64">
        <f>DTR!Q48+'Dai Loc'!Q48+'Dong Lam'!Q48+'Khanh Nga'!Q48+TDP!Q48+DTRVL!Q48</f>
        <v>380424978133</v>
      </c>
      <c r="R48" s="64">
        <f>DTR!R48+'Dai Loc'!R48+'Dong Lam'!R48+'Khanh Nga'!R48+TDP!R48+DTRVL!R48</f>
        <v>382236063184</v>
      </c>
      <c r="S48" s="64">
        <f>DTR!S48+'Dai Loc'!S48+'Dong Lam'!S48+'Khanh Nga'!S48+TDP!S48+DTRVL!S48</f>
        <v>382230780224</v>
      </c>
      <c r="T48" s="64">
        <f>DTR!T48+'Dai Loc'!T48+'Dong Lam'!T48+'Khanh Nga'!T48+TDP!T48+DTRVL!T48</f>
        <v>382070975608</v>
      </c>
      <c r="U48" s="64">
        <f>DTR!U48+'Dai Loc'!U48+'Dong Lam'!U48+'Khanh Nga'!U48+TDP!U48+DTRVL!U48</f>
        <v>384541494580</v>
      </c>
      <c r="V48" s="64">
        <f>DTR!V48+'Dai Loc'!V48+'Dong Lam'!V48+'Khanh Nga'!V48+TDP!V48+DTRVL!V48</f>
        <v>406915782897</v>
      </c>
      <c r="W48" s="64">
        <f>DTR!W48+'Dai Loc'!W48+'Dong Lam'!W48+'Khanh Nga'!W48+TDP!W48+DTRVL!W48</f>
        <v>407229367127</v>
      </c>
      <c r="X48" s="64">
        <f>DTR!X48+'Dai Loc'!X48+'Dong Lam'!X48+'Khanh Nga'!X48+TDP!X48+DTRVL!X48</f>
        <v>410101780731</v>
      </c>
      <c r="Y48" s="64">
        <f>DTR!Y48+'Dai Loc'!Y48+'Dong Lam'!Y48+'Khanh Nga'!Y48+TDP!Y48+DTRVL!Y48</f>
        <v>419369408793</v>
      </c>
      <c r="Z48" s="64">
        <f>DTR!Z48+'Dai Loc'!Z48+'Dong Lam'!Z48+'Khanh Nga'!Z48+TDP!Z48+DTRVL!Z48</f>
        <v>423362642418</v>
      </c>
    </row>
    <row r="49" spans="1:26" ht="15" hidden="1" customHeight="1" outlineLevel="1">
      <c r="A49" s="73" t="s">
        <v>133</v>
      </c>
      <c r="B49" s="63">
        <v>44</v>
      </c>
      <c r="C49" s="64">
        <f>DTR!C49+'Dai Loc'!C49+'Dong Lam'!C49+'Khanh Nga'!C49+TDP!C49+DTRVL!C49</f>
        <v>-73076749723</v>
      </c>
      <c r="D49" s="64">
        <f>DTR!D49+'Dai Loc'!D49+'Dong Lam'!D49+'Khanh Nga'!D49+TDP!D49+DTRVL!D49</f>
        <v>-76974008118</v>
      </c>
      <c r="E49" s="64">
        <f>DTR!E49+'Dai Loc'!E49+'Dong Lam'!E49+'Khanh Nga'!E49+TDP!E49+DTRVL!E49</f>
        <v>-80867720017</v>
      </c>
      <c r="F49" s="64">
        <f>DTR!F49+'Dai Loc'!F49+'Dong Lam'!F49+'Khanh Nga'!F49+TDP!F49+DTRVL!F49</f>
        <v>-84844901651</v>
      </c>
      <c r="G49" s="64">
        <f>DTR!G49+'Dai Loc'!G49+'Dong Lam'!G49+'Khanh Nga'!G49+TDP!G49+DTRVL!G49</f>
        <v>-89050159389</v>
      </c>
      <c r="H49" s="64">
        <f>DTR!H49+'Dai Loc'!H49+'Dong Lam'!H49+'Khanh Nga'!H49+TDP!H49+DTRVL!H49</f>
        <v>-93201822118</v>
      </c>
      <c r="I49" s="64">
        <f>DTR!I49+'Dai Loc'!I49+'Dong Lam'!I49+'Khanh Nga'!I49+TDP!I49+DTRVL!I49</f>
        <v>-97426343797</v>
      </c>
      <c r="J49" s="64">
        <f>DTR!J49+'Dai Loc'!J49+'Dong Lam'!J49+'Khanh Nga'!J49+TDP!J49+DTRVL!J49</f>
        <v>-101501034618</v>
      </c>
      <c r="K49" s="64">
        <f>DTR!K49+'Dai Loc'!K49+'Dong Lam'!K49+'Khanh Nga'!K49+TDP!K49+DTRVL!K49</f>
        <v>-105888501919</v>
      </c>
      <c r="L49" s="64">
        <f>DTR!L49+'Dai Loc'!L49+'Dong Lam'!L49+'Khanh Nga'!L49+TDP!L49+DTRVL!L49</f>
        <v>-110153310422</v>
      </c>
      <c r="M49" s="64">
        <f>DTR!M49+'Dai Loc'!M49+'Dong Lam'!M49+'Khanh Nga'!M49+TDP!M49+DTRVL!M49</f>
        <v>-98611108200</v>
      </c>
      <c r="N49" s="64">
        <f>DTR!N49+'Dai Loc'!N49+'Dong Lam'!N49+'Khanh Nga'!N49+TDP!N49+DTRVL!N49</f>
        <v>-102827771403</v>
      </c>
      <c r="O49" s="64">
        <f>DTR!O49+'Dai Loc'!O49+'Dong Lam'!O49+'Khanh Nga'!O49+TDP!O49+DTRVL!O49</f>
        <v>-106897425668</v>
      </c>
      <c r="P49" s="64">
        <f>DTR!P49+'Dai Loc'!P49+'Dong Lam'!P49+'Khanh Nga'!P49+TDP!P49+DTRVL!P49</f>
        <v>-111163971598</v>
      </c>
      <c r="Q49" s="64">
        <f>DTR!Q49+'Dai Loc'!Q49+'Dong Lam'!Q49+'Khanh Nga'!Q49+TDP!Q49+DTRVL!Q49</f>
        <v>-115633068285</v>
      </c>
      <c r="R49" s="64">
        <f>DTR!R49+'Dai Loc'!R49+'Dong Lam'!R49+'Khanh Nga'!R49+TDP!R49+DTRVL!R49</f>
        <v>-119617265512</v>
      </c>
      <c r="S49" s="64">
        <f>DTR!S49+'Dai Loc'!S49+'Dong Lam'!S49+'Khanh Nga'!S49+TDP!S49+DTRVL!S49</f>
        <v>-124175986054</v>
      </c>
      <c r="T49" s="64">
        <f>DTR!T49+'Dai Loc'!T49+'Dong Lam'!T49+'Khanh Nga'!T49+TDP!T49+DTRVL!T49</f>
        <v>-128054697758</v>
      </c>
      <c r="U49" s="64">
        <f>DTR!U49+'Dai Loc'!U49+'Dong Lam'!U49+'Khanh Nga'!U49+TDP!U49+DTRVL!U49</f>
        <v>-132382005181</v>
      </c>
      <c r="V49" s="64">
        <f>DTR!V49+'Dai Loc'!V49+'Dong Lam'!V49+'Khanh Nga'!V49+TDP!V49+DTRVL!V49</f>
        <v>-136578368006</v>
      </c>
      <c r="W49" s="64">
        <f>DTR!W49+'Dai Loc'!W49+'Dong Lam'!W49+'Khanh Nga'!W49+TDP!W49+DTRVL!W49</f>
        <v>-141516073237</v>
      </c>
      <c r="X49" s="64">
        <f>DTR!X49+'Dai Loc'!X49+'Dong Lam'!X49+'Khanh Nga'!X49+TDP!X49+DTRVL!X49</f>
        <v>-146266749826</v>
      </c>
      <c r="Y49" s="64">
        <f>DTR!Y49+'Dai Loc'!Y49+'Dong Lam'!Y49+'Khanh Nga'!Y49+TDP!Y49+DTRVL!Y49</f>
        <v>-151182454107</v>
      </c>
      <c r="Z49" s="64">
        <f>DTR!Z49+'Dai Loc'!Z49+'Dong Lam'!Z49+'Khanh Nga'!Z49+TDP!Z49+DTRVL!Z49</f>
        <v>-156126090742</v>
      </c>
    </row>
    <row r="50" spans="1:26" ht="15" hidden="1" customHeight="1" outlineLevel="1">
      <c r="A50" s="72" t="s">
        <v>134</v>
      </c>
      <c r="B50" s="65">
        <v>45</v>
      </c>
      <c r="C50" s="64">
        <f>DTR!C50+'Dai Loc'!C50+'Dong Lam'!C50+'Khanh Nga'!C50+TDP!C50+DTRVL!C50</f>
        <v>21543584</v>
      </c>
      <c r="D50" s="64">
        <f>DTR!D50+'Dai Loc'!D50+'Dong Lam'!D50+'Khanh Nga'!D50+TDP!D50+DTRVL!D50</f>
        <v>20347932</v>
      </c>
      <c r="E50" s="64">
        <f>DTR!E50+'Dai Loc'!E50+'Dong Lam'!E50+'Khanh Nga'!E50+TDP!E50+DTRVL!E50</f>
        <v>19152280</v>
      </c>
      <c r="F50" s="64">
        <f>DTR!F50+'Dai Loc'!F50+'Dong Lam'!F50+'Khanh Nga'!F50+TDP!F50+DTRVL!F50</f>
        <v>17956628</v>
      </c>
      <c r="G50" s="64">
        <f>DTR!G50+'Dai Loc'!G50+'Dong Lam'!G50+'Khanh Nga'!G50+TDP!G50+DTRVL!G50</f>
        <v>16760976</v>
      </c>
      <c r="H50" s="64">
        <f>DTR!H50+'Dai Loc'!H50+'Dong Lam'!H50+'Khanh Nga'!H50+TDP!H50+DTRVL!H50</f>
        <v>15565324</v>
      </c>
      <c r="I50" s="64">
        <f>DTR!I50+'Dai Loc'!I50+'Dong Lam'!I50+'Khanh Nga'!I50+TDP!I50+DTRVL!I50</f>
        <v>14369672</v>
      </c>
      <c r="J50" s="64">
        <f>DTR!J50+'Dai Loc'!J50+'Dong Lam'!J50+'Khanh Nga'!J50+TDP!J50+DTRVL!J50</f>
        <v>13174020</v>
      </c>
      <c r="K50" s="64">
        <f>DTR!K50+'Dai Loc'!K50+'Dong Lam'!K50+'Khanh Nga'!K50+TDP!K50+DTRVL!K50</f>
        <v>11978368</v>
      </c>
      <c r="L50" s="64">
        <f>DTR!L50+'Dai Loc'!L50+'Dong Lam'!L50+'Khanh Nga'!L50+TDP!L50+DTRVL!L50</f>
        <v>10782716</v>
      </c>
      <c r="M50" s="64">
        <f>DTR!M50+'Dai Loc'!M50+'Dong Lam'!M50+'Khanh Nga'!M50+TDP!M50+DTRVL!M50</f>
        <v>25464132519</v>
      </c>
      <c r="N50" s="64">
        <f>DTR!N50+'Dai Loc'!N50+'Dong Lam'!N50+'Khanh Nga'!N50+TDP!N50+DTRVL!N50</f>
        <v>24929281727</v>
      </c>
      <c r="O50" s="64">
        <f>DTR!O50+'Dai Loc'!O50+'Dong Lam'!O50+'Khanh Nga'!O50+TDP!O50+DTRVL!O50</f>
        <v>24387235175</v>
      </c>
      <c r="P50" s="64">
        <f>DTR!P50+'Dai Loc'!P50+'Dong Lam'!P50+'Khanh Nga'!P50+TDP!P50+DTRVL!P50</f>
        <v>23853580028</v>
      </c>
      <c r="Q50" s="64">
        <f>DTR!Q50+'Dai Loc'!Q50+'Dong Lam'!Q50+'Khanh Nga'!Q50+TDP!Q50+DTRVL!Q50</f>
        <v>23319924886</v>
      </c>
      <c r="R50" s="64">
        <f>DTR!R50+'Dai Loc'!R50+'Dong Lam'!R50+'Khanh Nga'!R50+TDP!R50+DTRVL!R50</f>
        <v>22786269743</v>
      </c>
      <c r="S50" s="64">
        <f>DTR!S50+'Dai Loc'!S50+'Dong Lam'!S50+'Khanh Nga'!S50+TDP!S50+DTRVL!S50</f>
        <v>22252614599</v>
      </c>
      <c r="T50" s="64">
        <f>DTR!T50+'Dai Loc'!T50+'Dong Lam'!T50+'Khanh Nga'!T50+TDP!T50+DTRVL!T50</f>
        <v>21718959455</v>
      </c>
      <c r="U50" s="64">
        <f>DTR!U50+'Dai Loc'!U50+'Dong Lam'!U50+'Khanh Nga'!U50+TDP!U50+DTRVL!U50</f>
        <v>21185304314</v>
      </c>
      <c r="V50" s="64">
        <f>DTR!V50+'Dai Loc'!V50+'Dong Lam'!V50+'Khanh Nga'!V50+TDP!V50+DTRVL!V50</f>
        <v>20651649171</v>
      </c>
      <c r="W50" s="64">
        <f>DTR!W50+'Dai Loc'!W50+'Dong Lam'!W50+'Khanh Nga'!W50+TDP!W50+DTRVL!W50</f>
        <v>20117994030</v>
      </c>
      <c r="X50" s="64">
        <f>DTR!X50+'Dai Loc'!X50+'Dong Lam'!X50+'Khanh Nga'!X50+TDP!X50+DTRVL!X50</f>
        <v>19584338888</v>
      </c>
      <c r="Y50" s="64">
        <f>DTR!Y50+'Dai Loc'!Y50+'Dong Lam'!Y50+'Khanh Nga'!Y50+TDP!Y50+DTRVL!Y50</f>
        <v>19050683744</v>
      </c>
      <c r="Z50" s="64">
        <f>DTR!Z50+'Dai Loc'!Z50+'Dong Lam'!Z50+'Khanh Nga'!Z50+TDP!Z50+DTRVL!Z50</f>
        <v>18517028601</v>
      </c>
    </row>
    <row r="51" spans="1:26" ht="15" hidden="1" customHeight="1" outlineLevel="1">
      <c r="A51" s="73" t="s">
        <v>135</v>
      </c>
      <c r="B51" s="63">
        <v>46</v>
      </c>
      <c r="C51" s="64">
        <f>DTR!C51+'Dai Loc'!C51+'Dong Lam'!C51+'Khanh Nga'!C51+TDP!C51+DTRVL!C51</f>
        <v>55000000</v>
      </c>
      <c r="D51" s="64">
        <f>DTR!D51+'Dai Loc'!D51+'Dong Lam'!D51+'Khanh Nga'!D51+TDP!D51+DTRVL!D51</f>
        <v>55000000</v>
      </c>
      <c r="E51" s="64">
        <f>DTR!E51+'Dai Loc'!E51+'Dong Lam'!E51+'Khanh Nga'!E51+TDP!E51+DTRVL!E51</f>
        <v>55000000</v>
      </c>
      <c r="F51" s="64">
        <f>DTR!F51+'Dai Loc'!F51+'Dong Lam'!F51+'Khanh Nga'!F51+TDP!F51+DTRVL!F51</f>
        <v>55000000</v>
      </c>
      <c r="G51" s="64">
        <f>DTR!G51+'Dai Loc'!G51+'Dong Lam'!G51+'Khanh Nga'!G51+TDP!G51+DTRVL!G51</f>
        <v>55000000</v>
      </c>
      <c r="H51" s="64">
        <f>DTR!H51+'Dai Loc'!H51+'Dong Lam'!H51+'Khanh Nga'!H51+TDP!H51+DTRVL!H51</f>
        <v>55000000</v>
      </c>
      <c r="I51" s="64">
        <f>DTR!I51+'Dai Loc'!I51+'Dong Lam'!I51+'Khanh Nga'!I51+TDP!I51+DTRVL!I51</f>
        <v>55000000</v>
      </c>
      <c r="J51" s="64">
        <f>DTR!J51+'Dai Loc'!J51+'Dong Lam'!J51+'Khanh Nga'!J51+TDP!J51+DTRVL!J51</f>
        <v>55000000</v>
      </c>
      <c r="K51" s="64">
        <f>DTR!K51+'Dai Loc'!K51+'Dong Lam'!K51+'Khanh Nga'!K51+TDP!K51+DTRVL!K51</f>
        <v>55000000</v>
      </c>
      <c r="L51" s="64">
        <f>DTR!L51+'Dai Loc'!L51+'Dong Lam'!L51+'Khanh Nga'!L51+TDP!L51+DTRVL!L51</f>
        <v>55000000</v>
      </c>
      <c r="M51" s="64">
        <f>DTR!M51+'Dai Loc'!M51+'Dong Lam'!M51+'Khanh Nga'!M51+TDP!M51+DTRVL!M51</f>
        <v>25509545455</v>
      </c>
      <c r="N51" s="64">
        <f>DTR!N51+'Dai Loc'!N51+'Dong Lam'!N51+'Khanh Nga'!N51+TDP!N51+DTRVL!N51</f>
        <v>25509545455</v>
      </c>
      <c r="O51" s="64">
        <f>DTR!O51+'Dai Loc'!O51+'Dong Lam'!O51+'Khanh Nga'!O51+TDP!O51+DTRVL!O51</f>
        <v>25454545455</v>
      </c>
      <c r="P51" s="64">
        <f>DTR!P51+'Dai Loc'!P51+'Dong Lam'!P51+'Khanh Nga'!P51+TDP!P51+DTRVL!P51</f>
        <v>25454545455</v>
      </c>
      <c r="Q51" s="64">
        <f>DTR!Q51+'Dai Loc'!Q51+'Dong Lam'!Q51+'Khanh Nga'!Q51+TDP!Q51+DTRVL!Q51</f>
        <v>25454545455</v>
      </c>
      <c r="R51" s="64">
        <f>DTR!R51+'Dai Loc'!R51+'Dong Lam'!R51+'Khanh Nga'!R51+TDP!R51+DTRVL!R51</f>
        <v>25454545455</v>
      </c>
      <c r="S51" s="64">
        <f>DTR!S51+'Dai Loc'!S51+'Dong Lam'!S51+'Khanh Nga'!S51+TDP!S51+DTRVL!S51</f>
        <v>25454545455</v>
      </c>
      <c r="T51" s="64">
        <f>DTR!T51+'Dai Loc'!T51+'Dong Lam'!T51+'Khanh Nga'!T51+TDP!T51+DTRVL!T51</f>
        <v>25454545455</v>
      </c>
      <c r="U51" s="64">
        <f>DTR!U51+'Dai Loc'!U51+'Dong Lam'!U51+'Khanh Nga'!U51+TDP!U51+DTRVL!U51</f>
        <v>25454545455</v>
      </c>
      <c r="V51" s="64">
        <f>DTR!V51+'Dai Loc'!V51+'Dong Lam'!V51+'Khanh Nga'!V51+TDP!V51+DTRVL!V51</f>
        <v>25454545455</v>
      </c>
      <c r="W51" s="64">
        <f>DTR!W51+'Dai Loc'!W51+'Dong Lam'!W51+'Khanh Nga'!W51+TDP!W51+DTRVL!W51</f>
        <v>25454545455</v>
      </c>
      <c r="X51" s="64">
        <f>DTR!X51+'Dai Loc'!X51+'Dong Lam'!X51+'Khanh Nga'!X51+TDP!X51+DTRVL!X51</f>
        <v>25454545455</v>
      </c>
      <c r="Y51" s="64">
        <f>DTR!Y51+'Dai Loc'!Y51+'Dong Lam'!Y51+'Khanh Nga'!Y51+TDP!Y51+DTRVL!Y51</f>
        <v>25454545455</v>
      </c>
      <c r="Z51" s="64">
        <f>DTR!Z51+'Dai Loc'!Z51+'Dong Lam'!Z51+'Khanh Nga'!Z51+TDP!Z51+DTRVL!Z51</f>
        <v>25454545455</v>
      </c>
    </row>
    <row r="52" spans="1:26" ht="15" hidden="1" customHeight="1" outlineLevel="1">
      <c r="A52" s="73" t="s">
        <v>136</v>
      </c>
      <c r="B52" s="63">
        <v>47</v>
      </c>
      <c r="C52" s="64">
        <f>DTR!C52+'Dai Loc'!C52+'Dong Lam'!C52+'Khanh Nga'!C52+TDP!C52+DTRVL!C52</f>
        <v>-33456416</v>
      </c>
      <c r="D52" s="64">
        <f>DTR!D52+'Dai Loc'!D52+'Dong Lam'!D52+'Khanh Nga'!D52+TDP!D52+DTRVL!D52</f>
        <v>-34652068</v>
      </c>
      <c r="E52" s="64">
        <f>DTR!E52+'Dai Loc'!E52+'Dong Lam'!E52+'Khanh Nga'!E52+TDP!E52+DTRVL!E52</f>
        <v>-35847720</v>
      </c>
      <c r="F52" s="64">
        <f>DTR!F52+'Dai Loc'!F52+'Dong Lam'!F52+'Khanh Nga'!F52+TDP!F52+DTRVL!F52</f>
        <v>-37043372</v>
      </c>
      <c r="G52" s="64">
        <f>DTR!G52+'Dai Loc'!G52+'Dong Lam'!G52+'Khanh Nga'!G52+TDP!G52+DTRVL!G52</f>
        <v>-38239024</v>
      </c>
      <c r="H52" s="64">
        <f>DTR!H52+'Dai Loc'!H52+'Dong Lam'!H52+'Khanh Nga'!H52+TDP!H52+DTRVL!H52</f>
        <v>-39434676</v>
      </c>
      <c r="I52" s="64">
        <f>DTR!I52+'Dai Loc'!I52+'Dong Lam'!I52+'Khanh Nga'!I52+TDP!I52+DTRVL!I52</f>
        <v>-40630328</v>
      </c>
      <c r="J52" s="64">
        <f>DTR!J52+'Dai Loc'!J52+'Dong Lam'!J52+'Khanh Nga'!J52+TDP!J52+DTRVL!J52</f>
        <v>-41825980</v>
      </c>
      <c r="K52" s="64">
        <f>DTR!K52+'Dai Loc'!K52+'Dong Lam'!K52+'Khanh Nga'!K52+TDP!K52+DTRVL!K52</f>
        <v>-43021632</v>
      </c>
      <c r="L52" s="64">
        <f>DTR!L52+'Dai Loc'!L52+'Dong Lam'!L52+'Khanh Nga'!L52+TDP!L52+DTRVL!L52</f>
        <v>-44217284</v>
      </c>
      <c r="M52" s="64">
        <f>DTR!M52+'Dai Loc'!M52+'Dong Lam'!M52+'Khanh Nga'!M52+TDP!M52+DTRVL!M52</f>
        <v>-45412936</v>
      </c>
      <c r="N52" s="64">
        <f>DTR!N52+'Dai Loc'!N52+'Dong Lam'!N52+'Khanh Nga'!N52+TDP!N52+DTRVL!N52</f>
        <v>-580263728</v>
      </c>
      <c r="O52" s="64">
        <f>DTR!O52+'Dai Loc'!O52+'Dong Lam'!O52+'Khanh Nga'!O52+TDP!O52+DTRVL!O52</f>
        <v>-1067310280</v>
      </c>
      <c r="P52" s="64">
        <f>DTR!P52+'Dai Loc'!P52+'Dong Lam'!P52+'Khanh Nga'!P52+TDP!P52+DTRVL!P52</f>
        <v>-1600965427</v>
      </c>
      <c r="Q52" s="64">
        <f>DTR!Q52+'Dai Loc'!Q52+'Dong Lam'!Q52+'Khanh Nga'!Q52+TDP!Q52+DTRVL!Q52</f>
        <v>-2134620569</v>
      </c>
      <c r="R52" s="64">
        <f>DTR!R52+'Dai Loc'!R52+'Dong Lam'!R52+'Khanh Nga'!R52+TDP!R52+DTRVL!R52</f>
        <v>-2668275712</v>
      </c>
      <c r="S52" s="64">
        <f>DTR!S52+'Dai Loc'!S52+'Dong Lam'!S52+'Khanh Nga'!S52+TDP!S52+DTRVL!S52</f>
        <v>-3201930856</v>
      </c>
      <c r="T52" s="64">
        <f>DTR!T52+'Dai Loc'!T52+'Dong Lam'!T52+'Khanh Nga'!T52+TDP!T52+DTRVL!T52</f>
        <v>-3735586000</v>
      </c>
      <c r="U52" s="64">
        <f>DTR!U52+'Dai Loc'!U52+'Dong Lam'!U52+'Khanh Nga'!U52+TDP!U52+DTRVL!U52</f>
        <v>-4269241141</v>
      </c>
      <c r="V52" s="64">
        <f>DTR!V52+'Dai Loc'!V52+'Dong Lam'!V52+'Khanh Nga'!V52+TDP!V52+DTRVL!V52</f>
        <v>-4802896284</v>
      </c>
      <c r="W52" s="64">
        <f>DTR!W52+'Dai Loc'!W52+'Dong Lam'!W52+'Khanh Nga'!W52+TDP!W52+DTRVL!W52</f>
        <v>-5336551425</v>
      </c>
      <c r="X52" s="64">
        <f>DTR!X52+'Dai Loc'!X52+'Dong Lam'!X52+'Khanh Nga'!X52+TDP!X52+DTRVL!X52</f>
        <v>-5870206567</v>
      </c>
      <c r="Y52" s="64">
        <f>DTR!Y52+'Dai Loc'!Y52+'Dong Lam'!Y52+'Khanh Nga'!Y52+TDP!Y52+DTRVL!Y52</f>
        <v>-6403861711</v>
      </c>
      <c r="Z52" s="64">
        <f>DTR!Z52+'Dai Loc'!Z52+'Dong Lam'!Z52+'Khanh Nga'!Z52+TDP!Z52+DTRVL!Z52</f>
        <v>-6937516854</v>
      </c>
    </row>
    <row r="53" spans="1:26" ht="15" hidden="1" customHeight="1" outlineLevel="1">
      <c r="A53" s="72" t="s">
        <v>137</v>
      </c>
      <c r="B53" s="65">
        <v>48</v>
      </c>
      <c r="C53" s="64">
        <f>DTR!C53+'Dai Loc'!C53+'Dong Lam'!C53+'Khanh Nga'!C53+TDP!C53+DTRVL!C53</f>
        <v>1947932752</v>
      </c>
      <c r="D53" s="64">
        <f>DTR!D53+'Dai Loc'!D53+'Dong Lam'!D53+'Khanh Nga'!D53+TDP!D53+DTRVL!D53</f>
        <v>1906963603</v>
      </c>
      <c r="E53" s="64">
        <f>DTR!E53+'Dai Loc'!E53+'Dong Lam'!E53+'Khanh Nga'!E53+TDP!E53+DTRVL!E53</f>
        <v>2297294492</v>
      </c>
      <c r="F53" s="64">
        <f>DTR!F53+'Dai Loc'!F53+'Dong Lam'!F53+'Khanh Nga'!F53+TDP!F53+DTRVL!F53</f>
        <v>2244344786</v>
      </c>
      <c r="G53" s="64">
        <f>DTR!G53+'Dai Loc'!G53+'Dong Lam'!G53+'Khanh Nga'!G53+TDP!G53+DTRVL!G53</f>
        <v>2191395080</v>
      </c>
      <c r="H53" s="64">
        <f>DTR!H53+'Dai Loc'!H53+'Dong Lam'!H53+'Khanh Nga'!H53+TDP!H53+DTRVL!H53</f>
        <v>2138445371</v>
      </c>
      <c r="I53" s="64">
        <f>DTR!I53+'Dai Loc'!I53+'Dong Lam'!I53+'Khanh Nga'!I53+TDP!I53+DTRVL!I53</f>
        <v>2085495665</v>
      </c>
      <c r="J53" s="64">
        <f>DTR!J53+'Dai Loc'!J53+'Dong Lam'!J53+'Khanh Nga'!J53+TDP!J53+DTRVL!J53</f>
        <v>2032545960</v>
      </c>
      <c r="K53" s="64">
        <f>DTR!K53+'Dai Loc'!K53+'Dong Lam'!K53+'Khanh Nga'!K53+TDP!K53+DTRVL!K53</f>
        <v>1979596253</v>
      </c>
      <c r="L53" s="64">
        <f>DTR!L53+'Dai Loc'!L53+'Dong Lam'!L53+'Khanh Nga'!L53+TDP!L53+DTRVL!L53</f>
        <v>1926646546</v>
      </c>
      <c r="M53" s="64">
        <f>DTR!M53+'Dai Loc'!M53+'Dong Lam'!M53+'Khanh Nga'!M53+TDP!M53+DTRVL!M53</f>
        <v>1873696841</v>
      </c>
      <c r="N53" s="64">
        <f>DTR!N53+'Dai Loc'!N53+'Dong Lam'!N53+'Khanh Nga'!N53+TDP!N53+DTRVL!N53</f>
        <v>2349870034</v>
      </c>
      <c r="O53" s="64">
        <f>DTR!O53+'Dai Loc'!O53+'Dong Lam'!O53+'Khanh Nga'!O53+TDP!O53+DTRVL!O53</f>
        <v>2289418229</v>
      </c>
      <c r="P53" s="64">
        <f>DTR!P53+'Dai Loc'!P53+'Dong Lam'!P53+'Khanh Nga'!P53+TDP!P53+DTRVL!P53</f>
        <v>2220575013</v>
      </c>
      <c r="Q53" s="64">
        <f>DTR!Q53+'Dai Loc'!Q53+'Dong Lam'!Q53+'Khanh Nga'!Q53+TDP!Q53+DTRVL!Q53</f>
        <v>2639342579</v>
      </c>
      <c r="R53" s="64">
        <f>DTR!R53+'Dai Loc'!R53+'Dong Lam'!R53+'Khanh Nga'!R53+TDP!R53+DTRVL!R53</f>
        <v>2556954617</v>
      </c>
      <c r="S53" s="64">
        <f>DTR!S53+'Dai Loc'!S53+'Dong Lam'!S53+'Khanh Nga'!S53+TDP!S53+DTRVL!S53</f>
        <v>2474566657</v>
      </c>
      <c r="T53" s="64">
        <f>DTR!T53+'Dai Loc'!T53+'Dong Lam'!T53+'Khanh Nga'!T53+TDP!T53+DTRVL!T53</f>
        <v>2392178695</v>
      </c>
      <c r="U53" s="64">
        <f>DTR!U53+'Dai Loc'!U53+'Dong Lam'!U53+'Khanh Nga'!U53+TDP!U53+DTRVL!U53</f>
        <v>2309790736</v>
      </c>
      <c r="V53" s="64">
        <f>DTR!V53+'Dai Loc'!V53+'Dong Lam'!V53+'Khanh Nga'!V53+TDP!V53+DTRVL!V53</f>
        <v>2228576580</v>
      </c>
      <c r="W53" s="64">
        <f>DTR!W53+'Dai Loc'!W53+'Dong Lam'!W53+'Khanh Nga'!W53+TDP!W53+DTRVL!W53</f>
        <v>4087339407</v>
      </c>
      <c r="X53" s="64">
        <f>DTR!X53+'Dai Loc'!X53+'Dong Lam'!X53+'Khanh Nga'!X53+TDP!X53+DTRVL!X53</f>
        <v>3967222986</v>
      </c>
      <c r="Y53" s="64">
        <f>DTR!Y53+'Dai Loc'!Y53+'Dong Lam'!Y53+'Khanh Nga'!Y53+TDP!Y53+DTRVL!Y53</f>
        <v>3847106565</v>
      </c>
      <c r="Z53" s="64">
        <f>DTR!Z53+'Dai Loc'!Z53+'Dong Lam'!Z53+'Khanh Nga'!Z53+TDP!Z53+DTRVL!Z53</f>
        <v>3726990144</v>
      </c>
    </row>
    <row r="54" spans="1:26" ht="15" hidden="1" customHeight="1" outlineLevel="1">
      <c r="A54" s="73" t="s">
        <v>138</v>
      </c>
      <c r="B54" s="63">
        <v>49</v>
      </c>
      <c r="C54" s="64">
        <f>DTR!C54+'Dai Loc'!C54+'Dong Lam'!C54+'Khanh Nga'!C54+TDP!C54+DTRVL!C54</f>
        <v>3076542391</v>
      </c>
      <c r="D54" s="64">
        <f>DTR!D54+'Dai Loc'!D54+'Dong Lam'!D54+'Khanh Nga'!D54+TDP!D54+DTRVL!D54</f>
        <v>3076542391</v>
      </c>
      <c r="E54" s="64">
        <f>DTR!E54+'Dai Loc'!E54+'Dong Lam'!E54+'Khanh Nga'!E54+TDP!E54+DTRVL!E54</f>
        <v>3507842430</v>
      </c>
      <c r="F54" s="64">
        <f>DTR!F54+'Dai Loc'!F54+'Dong Lam'!F54+'Khanh Nga'!F54+TDP!F54+DTRVL!F54</f>
        <v>3507842430</v>
      </c>
      <c r="G54" s="64">
        <f>DTR!G54+'Dai Loc'!G54+'Dong Lam'!G54+'Khanh Nga'!G54+TDP!G54+DTRVL!G54</f>
        <v>3507842430</v>
      </c>
      <c r="H54" s="64">
        <f>DTR!H54+'Dai Loc'!H54+'Dong Lam'!H54+'Khanh Nga'!H54+TDP!H54+DTRVL!H54</f>
        <v>3507842430</v>
      </c>
      <c r="I54" s="64">
        <f>DTR!I54+'Dai Loc'!I54+'Dong Lam'!I54+'Khanh Nga'!I54+TDP!I54+DTRVL!I54</f>
        <v>3507842430</v>
      </c>
      <c r="J54" s="64">
        <f>DTR!J54+'Dai Loc'!J54+'Dong Lam'!J54+'Khanh Nga'!J54+TDP!J54+DTRVL!J54</f>
        <v>3507842430</v>
      </c>
      <c r="K54" s="64">
        <f>DTR!K54+'Dai Loc'!K54+'Dong Lam'!K54+'Khanh Nga'!K54+TDP!K54+DTRVL!K54</f>
        <v>3507842430</v>
      </c>
      <c r="L54" s="64">
        <f>DTR!L54+'Dai Loc'!L54+'Dong Lam'!L54+'Khanh Nga'!L54+TDP!L54+DTRVL!L54</f>
        <v>3507842430</v>
      </c>
      <c r="M54" s="64">
        <f>DTR!M54+'Dai Loc'!M54+'Dong Lam'!M54+'Khanh Nga'!M54+TDP!M54+DTRVL!M54</f>
        <v>3507842430</v>
      </c>
      <c r="N54" s="64">
        <f>DTR!N54+'Dai Loc'!N54+'Dong Lam'!N54+'Khanh Nga'!N54+TDP!N54+DTRVL!N54</f>
        <v>4036965329</v>
      </c>
      <c r="O54" s="64">
        <f>DTR!O54+'Dai Loc'!O54+'Dong Lam'!O54+'Khanh Nga'!O54+TDP!O54+DTRVL!O54</f>
        <v>4091965329</v>
      </c>
      <c r="P54" s="64">
        <f>DTR!P54+'Dai Loc'!P54+'Dong Lam'!P54+'Khanh Nga'!P54+TDP!P54+DTRVL!P54</f>
        <v>4091965329</v>
      </c>
      <c r="Q54" s="64">
        <f>DTR!Q54+'Dai Loc'!Q54+'Dong Lam'!Q54+'Khanh Nga'!Q54+TDP!Q54+DTRVL!Q54</f>
        <v>4579576112</v>
      </c>
      <c r="R54" s="64">
        <f>DTR!R54+'Dai Loc'!R54+'Dong Lam'!R54+'Khanh Nga'!R54+TDP!R54+DTRVL!R54</f>
        <v>4579576112</v>
      </c>
      <c r="S54" s="64">
        <f>DTR!S54+'Dai Loc'!S54+'Dong Lam'!S54+'Khanh Nga'!S54+TDP!S54+DTRVL!S54</f>
        <v>4579576112</v>
      </c>
      <c r="T54" s="64">
        <f>DTR!T54+'Dai Loc'!T54+'Dong Lam'!T54+'Khanh Nga'!T54+TDP!T54+DTRVL!T54</f>
        <v>4579576112</v>
      </c>
      <c r="U54" s="64">
        <f>DTR!U54+'Dai Loc'!U54+'Dong Lam'!U54+'Khanh Nga'!U54+TDP!U54+DTRVL!U54</f>
        <v>4579576112</v>
      </c>
      <c r="V54" s="64">
        <f>DTR!V54+'Dai Loc'!V54+'Dong Lam'!V54+'Khanh Nga'!V54+TDP!V54+DTRVL!V54</f>
        <v>4579576112</v>
      </c>
      <c r="W54" s="64">
        <f>DTR!W54+'Dai Loc'!W54+'Dong Lam'!W54+'Khanh Nga'!W54+TDP!W54+DTRVL!W54</f>
        <v>6518070070</v>
      </c>
      <c r="X54" s="64">
        <f>DTR!X54+'Dai Loc'!X54+'Dong Lam'!X54+'Khanh Nga'!X54+TDP!X54+DTRVL!X54</f>
        <v>6518070070</v>
      </c>
      <c r="Y54" s="64">
        <f>DTR!Y54+'Dai Loc'!Y54+'Dong Lam'!Y54+'Khanh Nga'!Y54+TDP!Y54+DTRVL!Y54</f>
        <v>6518070070</v>
      </c>
      <c r="Z54" s="64">
        <f>DTR!Z54+'Dai Loc'!Z54+'Dong Lam'!Z54+'Khanh Nga'!Z54+TDP!Z54+DTRVL!Z54</f>
        <v>6518070070</v>
      </c>
    </row>
    <row r="55" spans="1:26" ht="15" hidden="1" customHeight="1" outlineLevel="1">
      <c r="A55" s="73" t="s">
        <v>139</v>
      </c>
      <c r="B55" s="63">
        <v>50</v>
      </c>
      <c r="C55" s="64">
        <f>DTR!C55+'Dai Loc'!C55+'Dong Lam'!C55+'Khanh Nga'!C55+TDP!C55+DTRVL!C55</f>
        <v>-1128609639</v>
      </c>
      <c r="D55" s="64">
        <f>DTR!D55+'Dai Loc'!D55+'Dong Lam'!D55+'Khanh Nga'!D55+TDP!D55+DTRVL!D55</f>
        <v>-1169578788</v>
      </c>
      <c r="E55" s="64">
        <f>DTR!E55+'Dai Loc'!E55+'Dong Lam'!E55+'Khanh Nga'!E55+TDP!E55+DTRVL!E55</f>
        <v>-1210547938</v>
      </c>
      <c r="F55" s="64">
        <f>DTR!F55+'Dai Loc'!F55+'Dong Lam'!F55+'Khanh Nga'!F55+TDP!F55+DTRVL!F55</f>
        <v>-1263497644</v>
      </c>
      <c r="G55" s="64">
        <f>DTR!G55+'Dai Loc'!G55+'Dong Lam'!G55+'Khanh Nga'!G55+TDP!G55+DTRVL!G55</f>
        <v>-1316447350</v>
      </c>
      <c r="H55" s="64">
        <f>DTR!H55+'Dai Loc'!H55+'Dong Lam'!H55+'Khanh Nga'!H55+TDP!H55+DTRVL!H55</f>
        <v>-1369397059</v>
      </c>
      <c r="I55" s="64">
        <f>DTR!I55+'Dai Loc'!I55+'Dong Lam'!I55+'Khanh Nga'!I55+TDP!I55+DTRVL!I55</f>
        <v>-1422346765</v>
      </c>
      <c r="J55" s="64">
        <f>DTR!J55+'Dai Loc'!J55+'Dong Lam'!J55+'Khanh Nga'!J55+TDP!J55+DTRVL!J55</f>
        <v>-1475296470</v>
      </c>
      <c r="K55" s="64">
        <f>DTR!K55+'Dai Loc'!K55+'Dong Lam'!K55+'Khanh Nga'!K55+TDP!K55+DTRVL!K55</f>
        <v>-1528246177</v>
      </c>
      <c r="L55" s="64">
        <f>DTR!L55+'Dai Loc'!L55+'Dong Lam'!L55+'Khanh Nga'!L55+TDP!L55+DTRVL!L55</f>
        <v>-1581195884</v>
      </c>
      <c r="M55" s="64">
        <f>DTR!M55+'Dai Loc'!M55+'Dong Lam'!M55+'Khanh Nga'!M55+TDP!M55+DTRVL!M55</f>
        <v>-1634145589</v>
      </c>
      <c r="N55" s="64">
        <f>DTR!N55+'Dai Loc'!N55+'Dong Lam'!N55+'Khanh Nga'!N55+TDP!N55+DTRVL!N55</f>
        <v>-1687095295</v>
      </c>
      <c r="O55" s="64">
        <f>DTR!O55+'Dai Loc'!O55+'Dong Lam'!O55+'Khanh Nga'!O55+TDP!O55+DTRVL!O55</f>
        <v>-1802547100</v>
      </c>
      <c r="P55" s="64">
        <f>DTR!P55+'Dai Loc'!P55+'Dong Lam'!P55+'Khanh Nga'!P55+TDP!P55+DTRVL!P55</f>
        <v>-1871390316</v>
      </c>
      <c r="Q55" s="64">
        <f>DTR!Q55+'Dai Loc'!Q55+'Dong Lam'!Q55+'Khanh Nga'!Q55+TDP!Q55+DTRVL!Q55</f>
        <v>-1940233533</v>
      </c>
      <c r="R55" s="64">
        <f>DTR!R55+'Dai Loc'!R55+'Dong Lam'!R55+'Khanh Nga'!R55+TDP!R55+DTRVL!R55</f>
        <v>-2022621495</v>
      </c>
      <c r="S55" s="64">
        <f>DTR!S55+'Dai Loc'!S55+'Dong Lam'!S55+'Khanh Nga'!S55+TDP!S55+DTRVL!S55</f>
        <v>-2105009455</v>
      </c>
      <c r="T55" s="64">
        <f>DTR!T55+'Dai Loc'!T55+'Dong Lam'!T55+'Khanh Nga'!T55+TDP!T55+DTRVL!T55</f>
        <v>-2187397417</v>
      </c>
      <c r="U55" s="64">
        <f>DTR!U55+'Dai Loc'!U55+'Dong Lam'!U55+'Khanh Nga'!U55+TDP!U55+DTRVL!U55</f>
        <v>-2269785376</v>
      </c>
      <c r="V55" s="64">
        <f>DTR!V55+'Dai Loc'!V55+'Dong Lam'!V55+'Khanh Nga'!V55+TDP!V55+DTRVL!V55</f>
        <v>-2350999532</v>
      </c>
      <c r="W55" s="64">
        <f>DTR!W55+'Dai Loc'!W55+'Dong Lam'!W55+'Khanh Nga'!W55+TDP!W55+DTRVL!W55</f>
        <v>-2430730663</v>
      </c>
      <c r="X55" s="64">
        <f>DTR!X55+'Dai Loc'!X55+'Dong Lam'!X55+'Khanh Nga'!X55+TDP!X55+DTRVL!X55</f>
        <v>-2550847084</v>
      </c>
      <c r="Y55" s="64">
        <f>DTR!Y55+'Dai Loc'!Y55+'Dong Lam'!Y55+'Khanh Nga'!Y55+TDP!Y55+DTRVL!Y55</f>
        <v>-2670963505</v>
      </c>
      <c r="Z55" s="64">
        <f>DTR!Z55+'Dai Loc'!Z55+'Dong Lam'!Z55+'Khanh Nga'!Z55+TDP!Z55+DTRVL!Z55</f>
        <v>-2791079926</v>
      </c>
    </row>
    <row r="56" spans="1:26" ht="15" hidden="1" customHeight="1" outlineLevel="1">
      <c r="A56" s="72" t="s">
        <v>140</v>
      </c>
      <c r="B56" s="65">
        <v>51</v>
      </c>
      <c r="C56" s="64">
        <f>DTR!C56+'Dai Loc'!C56+'Dong Lam'!C56+'Khanh Nga'!C56+TDP!C56+DTRVL!C56</f>
        <v>0</v>
      </c>
      <c r="D56" s="64">
        <f>DTR!D56+'Dai Loc'!D56+'Dong Lam'!D56+'Khanh Nga'!D56+TDP!D56+DTRVL!D56</f>
        <v>0</v>
      </c>
      <c r="E56" s="64">
        <f>DTR!E56+'Dai Loc'!E56+'Dong Lam'!E56+'Khanh Nga'!E56+TDP!E56+DTRVL!E56</f>
        <v>0</v>
      </c>
      <c r="F56" s="64">
        <f>DTR!F56+'Dai Loc'!F56+'Dong Lam'!F56+'Khanh Nga'!F56+TDP!F56+DTRVL!F56</f>
        <v>0</v>
      </c>
      <c r="G56" s="64">
        <f>DTR!G56+'Dai Loc'!G56+'Dong Lam'!G56+'Khanh Nga'!G56+TDP!G56+DTRVL!G56</f>
        <v>0</v>
      </c>
      <c r="H56" s="64">
        <f>DTR!H56+'Dai Loc'!H56+'Dong Lam'!H56+'Khanh Nga'!H56+TDP!H56+DTRVL!H56</f>
        <v>0</v>
      </c>
      <c r="I56" s="64">
        <f>DTR!I56+'Dai Loc'!I56+'Dong Lam'!I56+'Khanh Nga'!I56+TDP!I56+DTRVL!I56</f>
        <v>0</v>
      </c>
      <c r="J56" s="64">
        <f>DTR!J56+'Dai Loc'!J56+'Dong Lam'!J56+'Khanh Nga'!J56+TDP!J56+DTRVL!J56</f>
        <v>0</v>
      </c>
      <c r="K56" s="64">
        <f>DTR!K56+'Dai Loc'!K56+'Dong Lam'!K56+'Khanh Nga'!K56+TDP!K56+DTRVL!K56</f>
        <v>0</v>
      </c>
      <c r="L56" s="64">
        <f>DTR!L56+'Dai Loc'!L56+'Dong Lam'!L56+'Khanh Nga'!L56+TDP!L56+DTRVL!L56</f>
        <v>0</v>
      </c>
      <c r="M56" s="64">
        <f>DTR!M56+'Dai Loc'!M56+'Dong Lam'!M56+'Khanh Nga'!M56+TDP!M56+DTRVL!M56</f>
        <v>0</v>
      </c>
      <c r="N56" s="64">
        <f>DTR!N56+'Dai Loc'!N56+'Dong Lam'!N56+'Khanh Nga'!N56+TDP!N56+DTRVL!N56</f>
        <v>0</v>
      </c>
      <c r="O56" s="64">
        <f>DTR!O56+'Dai Loc'!O56+'Dong Lam'!O56+'Khanh Nga'!O56+TDP!O56+DTRVL!O56</f>
        <v>0</v>
      </c>
      <c r="P56" s="64">
        <f>DTR!P56+'Dai Loc'!P56+'Dong Lam'!P56+'Khanh Nga'!P56+TDP!P56+DTRVL!P56</f>
        <v>0</v>
      </c>
      <c r="Q56" s="64">
        <f>DTR!Q56+'Dai Loc'!Q56+'Dong Lam'!Q56+'Khanh Nga'!Q56+TDP!Q56+DTRVL!Q56</f>
        <v>0</v>
      </c>
      <c r="R56" s="64">
        <f>DTR!R56+'Dai Loc'!R56+'Dong Lam'!R56+'Khanh Nga'!R56+TDP!R56+DTRVL!R56</f>
        <v>0</v>
      </c>
      <c r="S56" s="64">
        <f>DTR!S56+'Dai Loc'!S56+'Dong Lam'!S56+'Khanh Nga'!S56+TDP!S56+DTRVL!S56</f>
        <v>0</v>
      </c>
      <c r="T56" s="64">
        <f>DTR!T56+'Dai Loc'!T56+'Dong Lam'!T56+'Khanh Nga'!T56+TDP!T56+DTRVL!T56</f>
        <v>0</v>
      </c>
      <c r="U56" s="64">
        <f>DTR!U56+'Dai Loc'!U56+'Dong Lam'!U56+'Khanh Nga'!U56+TDP!U56+DTRVL!U56</f>
        <v>0</v>
      </c>
      <c r="V56" s="64">
        <f>DTR!V56+'Dai Loc'!V56+'Dong Lam'!V56+'Khanh Nga'!V56+TDP!V56+DTRVL!V56</f>
        <v>0</v>
      </c>
      <c r="W56" s="64">
        <f>DTR!W56+'Dai Loc'!W56+'Dong Lam'!W56+'Khanh Nga'!W56+TDP!W56+DTRVL!W56</f>
        <v>0</v>
      </c>
      <c r="X56" s="64">
        <f>DTR!X56+'Dai Loc'!X56+'Dong Lam'!X56+'Khanh Nga'!X56+TDP!X56+DTRVL!X56</f>
        <v>0</v>
      </c>
      <c r="Y56" s="64">
        <f>DTR!Y56+'Dai Loc'!Y56+'Dong Lam'!Y56+'Khanh Nga'!Y56+TDP!Y56+DTRVL!Y56</f>
        <v>0</v>
      </c>
      <c r="Z56" s="64">
        <f>DTR!Z56+'Dai Loc'!Z56+'Dong Lam'!Z56+'Khanh Nga'!Z56+TDP!Z56+DTRVL!Z56</f>
        <v>0</v>
      </c>
    </row>
    <row r="57" spans="1:26" ht="15" hidden="1" customHeight="1" outlineLevel="1">
      <c r="A57" s="73" t="s">
        <v>141</v>
      </c>
      <c r="B57" s="63">
        <v>52</v>
      </c>
      <c r="C57" s="64">
        <f>DTR!C57+'Dai Loc'!C57+'Dong Lam'!C57+'Khanh Nga'!C57+TDP!C57+DTRVL!C57</f>
        <v>0</v>
      </c>
      <c r="D57" s="64">
        <f>DTR!D57+'Dai Loc'!D57+'Dong Lam'!D57+'Khanh Nga'!D57+TDP!D57+DTRVL!D57</f>
        <v>0</v>
      </c>
      <c r="E57" s="64">
        <f>DTR!E57+'Dai Loc'!E57+'Dong Lam'!E57+'Khanh Nga'!E57+TDP!E57+DTRVL!E57</f>
        <v>0</v>
      </c>
      <c r="F57" s="64">
        <f>DTR!F57+'Dai Loc'!F57+'Dong Lam'!F57+'Khanh Nga'!F57+TDP!F57+DTRVL!F57</f>
        <v>0</v>
      </c>
      <c r="G57" s="64">
        <f>DTR!G57+'Dai Loc'!G57+'Dong Lam'!G57+'Khanh Nga'!G57+TDP!G57+DTRVL!G57</f>
        <v>0</v>
      </c>
      <c r="H57" s="64">
        <f>DTR!H57+'Dai Loc'!H57+'Dong Lam'!H57+'Khanh Nga'!H57+TDP!H57+DTRVL!H57</f>
        <v>0</v>
      </c>
      <c r="I57" s="64">
        <f>DTR!I57+'Dai Loc'!I57+'Dong Lam'!I57+'Khanh Nga'!I57+TDP!I57+DTRVL!I57</f>
        <v>0</v>
      </c>
      <c r="J57" s="64">
        <f>DTR!J57+'Dai Loc'!J57+'Dong Lam'!J57+'Khanh Nga'!J57+TDP!J57+DTRVL!J57</f>
        <v>0</v>
      </c>
      <c r="K57" s="64">
        <f>DTR!K57+'Dai Loc'!K57+'Dong Lam'!K57+'Khanh Nga'!K57+TDP!K57+DTRVL!K57</f>
        <v>0</v>
      </c>
      <c r="L57" s="64">
        <f>DTR!L57+'Dai Loc'!L57+'Dong Lam'!L57+'Khanh Nga'!L57+TDP!L57+DTRVL!L57</f>
        <v>0</v>
      </c>
      <c r="M57" s="64">
        <f>DTR!M57+'Dai Loc'!M57+'Dong Lam'!M57+'Khanh Nga'!M57+TDP!M57+DTRVL!M57</f>
        <v>0</v>
      </c>
      <c r="N57" s="64">
        <f>DTR!N57+'Dai Loc'!N57+'Dong Lam'!N57+'Khanh Nga'!N57+TDP!N57+DTRVL!N57</f>
        <v>0</v>
      </c>
      <c r="O57" s="64">
        <f>DTR!O57+'Dai Loc'!O57+'Dong Lam'!O57+'Khanh Nga'!O57+TDP!O57+DTRVL!O57</f>
        <v>0</v>
      </c>
      <c r="P57" s="64">
        <f>DTR!P57+'Dai Loc'!P57+'Dong Lam'!P57+'Khanh Nga'!P57+TDP!P57+DTRVL!P57</f>
        <v>0</v>
      </c>
      <c r="Q57" s="64">
        <f>DTR!Q57+'Dai Loc'!Q57+'Dong Lam'!Q57+'Khanh Nga'!Q57+TDP!Q57+DTRVL!Q57</f>
        <v>0</v>
      </c>
      <c r="R57" s="64">
        <f>DTR!R57+'Dai Loc'!R57+'Dong Lam'!R57+'Khanh Nga'!R57+TDP!R57+DTRVL!R57</f>
        <v>0</v>
      </c>
      <c r="S57" s="64">
        <f>DTR!S57+'Dai Loc'!S57+'Dong Lam'!S57+'Khanh Nga'!S57+TDP!S57+DTRVL!S57</f>
        <v>0</v>
      </c>
      <c r="T57" s="64">
        <f>DTR!T57+'Dai Loc'!T57+'Dong Lam'!T57+'Khanh Nga'!T57+TDP!T57+DTRVL!T57</f>
        <v>0</v>
      </c>
      <c r="U57" s="64">
        <f>DTR!U57+'Dai Loc'!U57+'Dong Lam'!U57+'Khanh Nga'!U57+TDP!U57+DTRVL!U57</f>
        <v>0</v>
      </c>
      <c r="V57" s="64">
        <f>DTR!V57+'Dai Loc'!V57+'Dong Lam'!V57+'Khanh Nga'!V57+TDP!V57+DTRVL!V57</f>
        <v>0</v>
      </c>
      <c r="W57" s="64">
        <f>DTR!W57+'Dai Loc'!W57+'Dong Lam'!W57+'Khanh Nga'!W57+TDP!W57+DTRVL!W57</f>
        <v>0</v>
      </c>
      <c r="X57" s="64">
        <f>DTR!X57+'Dai Loc'!X57+'Dong Lam'!X57+'Khanh Nga'!X57+TDP!X57+DTRVL!X57</f>
        <v>0</v>
      </c>
      <c r="Y57" s="64">
        <f>DTR!Y57+'Dai Loc'!Y57+'Dong Lam'!Y57+'Khanh Nga'!Y57+TDP!Y57+DTRVL!Y57</f>
        <v>0</v>
      </c>
      <c r="Z57" s="64">
        <f>DTR!Z57+'Dai Loc'!Z57+'Dong Lam'!Z57+'Khanh Nga'!Z57+TDP!Z57+DTRVL!Z57</f>
        <v>0</v>
      </c>
    </row>
    <row r="58" spans="1:26" ht="15" hidden="1" customHeight="1" outlineLevel="1">
      <c r="A58" s="73" t="s">
        <v>142</v>
      </c>
      <c r="B58" s="63">
        <v>53</v>
      </c>
      <c r="C58" s="64">
        <f>DTR!C58+'Dai Loc'!C58+'Dong Lam'!C58+'Khanh Nga'!C58+TDP!C58+DTRVL!C58</f>
        <v>0</v>
      </c>
      <c r="D58" s="64">
        <f>DTR!D58+'Dai Loc'!D58+'Dong Lam'!D58+'Khanh Nga'!D58+TDP!D58+DTRVL!D58</f>
        <v>0</v>
      </c>
      <c r="E58" s="64">
        <f>DTR!E58+'Dai Loc'!E58+'Dong Lam'!E58+'Khanh Nga'!E58+TDP!E58+DTRVL!E58</f>
        <v>0</v>
      </c>
      <c r="F58" s="64">
        <f>DTR!F58+'Dai Loc'!F58+'Dong Lam'!F58+'Khanh Nga'!F58+TDP!F58+DTRVL!F58</f>
        <v>0</v>
      </c>
      <c r="G58" s="64">
        <f>DTR!G58+'Dai Loc'!G58+'Dong Lam'!G58+'Khanh Nga'!G58+TDP!G58+DTRVL!G58</f>
        <v>0</v>
      </c>
      <c r="H58" s="64">
        <f>DTR!H58+'Dai Loc'!H58+'Dong Lam'!H58+'Khanh Nga'!H58+TDP!H58+DTRVL!H58</f>
        <v>0</v>
      </c>
      <c r="I58" s="64">
        <f>DTR!I58+'Dai Loc'!I58+'Dong Lam'!I58+'Khanh Nga'!I58+TDP!I58+DTRVL!I58</f>
        <v>0</v>
      </c>
      <c r="J58" s="64">
        <f>DTR!J58+'Dai Loc'!J58+'Dong Lam'!J58+'Khanh Nga'!J58+TDP!J58+DTRVL!J58</f>
        <v>0</v>
      </c>
      <c r="K58" s="64">
        <f>DTR!K58+'Dai Loc'!K58+'Dong Lam'!K58+'Khanh Nga'!K58+TDP!K58+DTRVL!K58</f>
        <v>0</v>
      </c>
      <c r="L58" s="64">
        <f>DTR!L58+'Dai Loc'!L58+'Dong Lam'!L58+'Khanh Nga'!L58+TDP!L58+DTRVL!L58</f>
        <v>0</v>
      </c>
      <c r="M58" s="64">
        <f>DTR!M58+'Dai Loc'!M58+'Dong Lam'!M58+'Khanh Nga'!M58+TDP!M58+DTRVL!M58</f>
        <v>0</v>
      </c>
      <c r="N58" s="64">
        <f>DTR!N58+'Dai Loc'!N58+'Dong Lam'!N58+'Khanh Nga'!N58+TDP!N58+DTRVL!N58</f>
        <v>0</v>
      </c>
      <c r="O58" s="64">
        <f>DTR!O58+'Dai Loc'!O58+'Dong Lam'!O58+'Khanh Nga'!O58+TDP!O58+DTRVL!O58</f>
        <v>0</v>
      </c>
      <c r="P58" s="64">
        <f>DTR!P58+'Dai Loc'!P58+'Dong Lam'!P58+'Khanh Nga'!P58+TDP!P58+DTRVL!P58</f>
        <v>0</v>
      </c>
      <c r="Q58" s="64">
        <f>DTR!Q58+'Dai Loc'!Q58+'Dong Lam'!Q58+'Khanh Nga'!Q58+TDP!Q58+DTRVL!Q58</f>
        <v>0</v>
      </c>
      <c r="R58" s="64">
        <f>DTR!R58+'Dai Loc'!R58+'Dong Lam'!R58+'Khanh Nga'!R58+TDP!R58+DTRVL!R58</f>
        <v>0</v>
      </c>
      <c r="S58" s="64">
        <f>DTR!S58+'Dai Loc'!S58+'Dong Lam'!S58+'Khanh Nga'!S58+TDP!S58+DTRVL!S58</f>
        <v>0</v>
      </c>
      <c r="T58" s="64">
        <f>DTR!T58+'Dai Loc'!T58+'Dong Lam'!T58+'Khanh Nga'!T58+TDP!T58+DTRVL!T58</f>
        <v>0</v>
      </c>
      <c r="U58" s="64">
        <f>DTR!U58+'Dai Loc'!U58+'Dong Lam'!U58+'Khanh Nga'!U58+TDP!U58+DTRVL!U58</f>
        <v>0</v>
      </c>
      <c r="V58" s="64">
        <f>DTR!V58+'Dai Loc'!V58+'Dong Lam'!V58+'Khanh Nga'!V58+TDP!V58+DTRVL!V58</f>
        <v>0</v>
      </c>
      <c r="W58" s="64">
        <f>DTR!W58+'Dai Loc'!W58+'Dong Lam'!W58+'Khanh Nga'!W58+TDP!W58+DTRVL!W58</f>
        <v>0</v>
      </c>
      <c r="X58" s="64">
        <f>DTR!X58+'Dai Loc'!X58+'Dong Lam'!X58+'Khanh Nga'!X58+TDP!X58+DTRVL!X58</f>
        <v>0</v>
      </c>
      <c r="Y58" s="64">
        <f>DTR!Y58+'Dai Loc'!Y58+'Dong Lam'!Y58+'Khanh Nga'!Y58+TDP!Y58+DTRVL!Y58</f>
        <v>0</v>
      </c>
      <c r="Z58" s="64">
        <f>DTR!Z58+'Dai Loc'!Z58+'Dong Lam'!Z58+'Khanh Nga'!Z58+TDP!Z58+DTRVL!Z58</f>
        <v>0</v>
      </c>
    </row>
    <row r="59" spans="1:26" ht="15" hidden="1" customHeight="1" outlineLevel="1">
      <c r="A59" s="73" t="s">
        <v>143</v>
      </c>
      <c r="B59" s="63">
        <v>54</v>
      </c>
      <c r="C59" s="64">
        <f>DTR!C59+'Dai Loc'!C59+'Dong Lam'!C59+'Khanh Nga'!C59+TDP!C59+DTRVL!C59</f>
        <v>0</v>
      </c>
      <c r="D59" s="64">
        <f>DTR!D59+'Dai Loc'!D59+'Dong Lam'!D59+'Khanh Nga'!D59+TDP!D59+DTRVL!D59</f>
        <v>0</v>
      </c>
      <c r="E59" s="64">
        <f>DTR!E59+'Dai Loc'!E59+'Dong Lam'!E59+'Khanh Nga'!E59+TDP!E59+DTRVL!E59</f>
        <v>0</v>
      </c>
      <c r="F59" s="64">
        <f>DTR!F59+'Dai Loc'!F59+'Dong Lam'!F59+'Khanh Nga'!F59+TDP!F59+DTRVL!F59</f>
        <v>0</v>
      </c>
      <c r="G59" s="64">
        <f>DTR!G59+'Dai Loc'!G59+'Dong Lam'!G59+'Khanh Nga'!G59+TDP!G59+DTRVL!G59</f>
        <v>0</v>
      </c>
      <c r="H59" s="64">
        <f>DTR!H59+'Dai Loc'!H59+'Dong Lam'!H59+'Khanh Nga'!H59+TDP!H59+DTRVL!H59</f>
        <v>0</v>
      </c>
      <c r="I59" s="64">
        <f>DTR!I59+'Dai Loc'!I59+'Dong Lam'!I59+'Khanh Nga'!I59+TDP!I59+DTRVL!I59</f>
        <v>0</v>
      </c>
      <c r="J59" s="64">
        <f>DTR!J59+'Dai Loc'!J59+'Dong Lam'!J59+'Khanh Nga'!J59+TDP!J59+DTRVL!J59</f>
        <v>0</v>
      </c>
      <c r="K59" s="64">
        <f>DTR!K59+'Dai Loc'!K59+'Dong Lam'!K59+'Khanh Nga'!K59+TDP!K59+DTRVL!K59</f>
        <v>0</v>
      </c>
      <c r="L59" s="64">
        <f>DTR!L59+'Dai Loc'!L59+'Dong Lam'!L59+'Khanh Nga'!L59+TDP!L59+DTRVL!L59</f>
        <v>0</v>
      </c>
      <c r="M59" s="64">
        <f>DTR!M59+'Dai Loc'!M59+'Dong Lam'!M59+'Khanh Nga'!M59+TDP!M59+DTRVL!M59</f>
        <v>0</v>
      </c>
      <c r="N59" s="64">
        <f>DTR!N59+'Dai Loc'!N59+'Dong Lam'!N59+'Khanh Nga'!N59+TDP!N59+DTRVL!N59</f>
        <v>0</v>
      </c>
      <c r="O59" s="64">
        <f>DTR!O59+'Dai Loc'!O59+'Dong Lam'!O59+'Khanh Nga'!O59+TDP!O59+DTRVL!O59</f>
        <v>0</v>
      </c>
      <c r="P59" s="64">
        <f>DTR!P59+'Dai Loc'!P59+'Dong Lam'!P59+'Khanh Nga'!P59+TDP!P59+DTRVL!P59</f>
        <v>0</v>
      </c>
      <c r="Q59" s="64">
        <f>DTR!Q59+'Dai Loc'!Q59+'Dong Lam'!Q59+'Khanh Nga'!Q59+TDP!Q59+DTRVL!Q59</f>
        <v>0</v>
      </c>
      <c r="R59" s="64">
        <f>DTR!R59+'Dai Loc'!R59+'Dong Lam'!R59+'Khanh Nga'!R59+TDP!R59+DTRVL!R59</f>
        <v>0</v>
      </c>
      <c r="S59" s="64">
        <f>DTR!S59+'Dai Loc'!S59+'Dong Lam'!S59+'Khanh Nga'!S59+TDP!S59+DTRVL!S59</f>
        <v>0</v>
      </c>
      <c r="T59" s="64">
        <f>DTR!T59+'Dai Loc'!T59+'Dong Lam'!T59+'Khanh Nga'!T59+TDP!T59+DTRVL!T59</f>
        <v>0</v>
      </c>
      <c r="U59" s="64">
        <f>DTR!U59+'Dai Loc'!U59+'Dong Lam'!U59+'Khanh Nga'!U59+TDP!U59+DTRVL!U59</f>
        <v>0</v>
      </c>
      <c r="V59" s="64">
        <f>DTR!V59+'Dai Loc'!V59+'Dong Lam'!V59+'Khanh Nga'!V59+TDP!V59+DTRVL!V59</f>
        <v>0</v>
      </c>
      <c r="W59" s="64">
        <f>DTR!W59+'Dai Loc'!W59+'Dong Lam'!W59+'Khanh Nga'!W59+TDP!W59+DTRVL!W59</f>
        <v>0</v>
      </c>
      <c r="X59" s="64">
        <f>DTR!X59+'Dai Loc'!X59+'Dong Lam'!X59+'Khanh Nga'!X59+TDP!X59+DTRVL!X59</f>
        <v>0</v>
      </c>
      <c r="Y59" s="64">
        <f>DTR!Y59+'Dai Loc'!Y59+'Dong Lam'!Y59+'Khanh Nga'!Y59+TDP!Y59+DTRVL!Y59</f>
        <v>0</v>
      </c>
      <c r="Z59" s="64">
        <f>DTR!Z59+'Dai Loc'!Z59+'Dong Lam'!Z59+'Khanh Nga'!Z59+TDP!Z59+DTRVL!Z59</f>
        <v>0</v>
      </c>
    </row>
    <row r="60" spans="1:26" ht="15" hidden="1" customHeight="1" outlineLevel="1">
      <c r="A60" s="73" t="s">
        <v>144</v>
      </c>
      <c r="B60" s="63">
        <v>55</v>
      </c>
      <c r="C60" s="64">
        <f>DTR!C60+'Dai Loc'!C60+'Dong Lam'!C60+'Khanh Nga'!C60+TDP!C60+DTRVL!C60</f>
        <v>0</v>
      </c>
      <c r="D60" s="64">
        <f>DTR!D60+'Dai Loc'!D60+'Dong Lam'!D60+'Khanh Nga'!D60+TDP!D60+DTRVL!D60</f>
        <v>0</v>
      </c>
      <c r="E60" s="64">
        <f>DTR!E60+'Dai Loc'!E60+'Dong Lam'!E60+'Khanh Nga'!E60+TDP!E60+DTRVL!E60</f>
        <v>0</v>
      </c>
      <c r="F60" s="64">
        <f>DTR!F60+'Dai Loc'!F60+'Dong Lam'!F60+'Khanh Nga'!F60+TDP!F60+DTRVL!F60</f>
        <v>0</v>
      </c>
      <c r="G60" s="64">
        <f>DTR!G60+'Dai Loc'!G60+'Dong Lam'!G60+'Khanh Nga'!G60+TDP!G60+DTRVL!G60</f>
        <v>0</v>
      </c>
      <c r="H60" s="64">
        <f>DTR!H60+'Dai Loc'!H60+'Dong Lam'!H60+'Khanh Nga'!H60+TDP!H60+DTRVL!H60</f>
        <v>0</v>
      </c>
      <c r="I60" s="64">
        <f>DTR!I60+'Dai Loc'!I60+'Dong Lam'!I60+'Khanh Nga'!I60+TDP!I60+DTRVL!I60</f>
        <v>0</v>
      </c>
      <c r="J60" s="64">
        <f>DTR!J60+'Dai Loc'!J60+'Dong Lam'!J60+'Khanh Nga'!J60+TDP!J60+DTRVL!J60</f>
        <v>0</v>
      </c>
      <c r="K60" s="64">
        <f>DTR!K60+'Dai Loc'!K60+'Dong Lam'!K60+'Khanh Nga'!K60+TDP!K60+DTRVL!K60</f>
        <v>0</v>
      </c>
      <c r="L60" s="64">
        <f>DTR!L60+'Dai Loc'!L60+'Dong Lam'!L60+'Khanh Nga'!L60+TDP!L60+DTRVL!L60</f>
        <v>0</v>
      </c>
      <c r="M60" s="64">
        <f>DTR!M60+'Dai Loc'!M60+'Dong Lam'!M60+'Khanh Nga'!M60+TDP!M60+DTRVL!M60</f>
        <v>0</v>
      </c>
      <c r="N60" s="64">
        <f>DTR!N60+'Dai Loc'!N60+'Dong Lam'!N60+'Khanh Nga'!N60+TDP!N60+DTRVL!N60</f>
        <v>0</v>
      </c>
      <c r="O60" s="64">
        <f>DTR!O60+'Dai Loc'!O60+'Dong Lam'!O60+'Khanh Nga'!O60+TDP!O60+DTRVL!O60</f>
        <v>0</v>
      </c>
      <c r="P60" s="64">
        <f>DTR!P60+'Dai Loc'!P60+'Dong Lam'!P60+'Khanh Nga'!P60+TDP!P60+DTRVL!P60</f>
        <v>0</v>
      </c>
      <c r="Q60" s="64">
        <f>DTR!Q60+'Dai Loc'!Q60+'Dong Lam'!Q60+'Khanh Nga'!Q60+TDP!Q60+DTRVL!Q60</f>
        <v>0</v>
      </c>
      <c r="R60" s="64">
        <f>DTR!R60+'Dai Loc'!R60+'Dong Lam'!R60+'Khanh Nga'!R60+TDP!R60+DTRVL!R60</f>
        <v>0</v>
      </c>
      <c r="S60" s="64">
        <f>DTR!S60+'Dai Loc'!S60+'Dong Lam'!S60+'Khanh Nga'!S60+TDP!S60+DTRVL!S60</f>
        <v>0</v>
      </c>
      <c r="T60" s="64">
        <f>DTR!T60+'Dai Loc'!T60+'Dong Lam'!T60+'Khanh Nga'!T60+TDP!T60+DTRVL!T60</f>
        <v>0</v>
      </c>
      <c r="U60" s="64">
        <f>DTR!U60+'Dai Loc'!U60+'Dong Lam'!U60+'Khanh Nga'!U60+TDP!U60+DTRVL!U60</f>
        <v>0</v>
      </c>
      <c r="V60" s="64">
        <f>DTR!V60+'Dai Loc'!V60+'Dong Lam'!V60+'Khanh Nga'!V60+TDP!V60+DTRVL!V60</f>
        <v>0</v>
      </c>
      <c r="W60" s="64">
        <f>DTR!W60+'Dai Loc'!W60+'Dong Lam'!W60+'Khanh Nga'!W60+TDP!W60+DTRVL!W60</f>
        <v>0</v>
      </c>
      <c r="X60" s="64">
        <f>DTR!X60+'Dai Loc'!X60+'Dong Lam'!X60+'Khanh Nga'!X60+TDP!X60+DTRVL!X60</f>
        <v>0</v>
      </c>
      <c r="Y60" s="64">
        <f>DTR!Y60+'Dai Loc'!Y60+'Dong Lam'!Y60+'Khanh Nga'!Y60+TDP!Y60+DTRVL!Y60</f>
        <v>0</v>
      </c>
      <c r="Z60" s="64">
        <f>DTR!Z60+'Dai Loc'!Z60+'Dong Lam'!Z60+'Khanh Nga'!Z60+TDP!Z60+DTRVL!Z60</f>
        <v>0</v>
      </c>
    </row>
    <row r="61" spans="1:26" ht="15" hidden="1" customHeight="1" outlineLevel="1">
      <c r="A61" s="73" t="s">
        <v>145</v>
      </c>
      <c r="B61" s="63">
        <v>56</v>
      </c>
      <c r="C61" s="64">
        <f>DTR!C61+'Dai Loc'!C61+'Dong Lam'!C61+'Khanh Nga'!C61+TDP!C61+DTRVL!C61</f>
        <v>0</v>
      </c>
      <c r="D61" s="64">
        <f>DTR!D61+'Dai Loc'!D61+'Dong Lam'!D61+'Khanh Nga'!D61+TDP!D61+DTRVL!D61</f>
        <v>0</v>
      </c>
      <c r="E61" s="64">
        <f>DTR!E61+'Dai Loc'!E61+'Dong Lam'!E61+'Khanh Nga'!E61+TDP!E61+DTRVL!E61</f>
        <v>0</v>
      </c>
      <c r="F61" s="64">
        <f>DTR!F61+'Dai Loc'!F61+'Dong Lam'!F61+'Khanh Nga'!F61+TDP!F61+DTRVL!F61</f>
        <v>0</v>
      </c>
      <c r="G61" s="64">
        <f>DTR!G61+'Dai Loc'!G61+'Dong Lam'!G61+'Khanh Nga'!G61+TDP!G61+DTRVL!G61</f>
        <v>0</v>
      </c>
      <c r="H61" s="64">
        <f>DTR!H61+'Dai Loc'!H61+'Dong Lam'!H61+'Khanh Nga'!H61+TDP!H61+DTRVL!H61</f>
        <v>0</v>
      </c>
      <c r="I61" s="64">
        <f>DTR!I61+'Dai Loc'!I61+'Dong Lam'!I61+'Khanh Nga'!I61+TDP!I61+DTRVL!I61</f>
        <v>0</v>
      </c>
      <c r="J61" s="64">
        <f>DTR!J61+'Dai Loc'!J61+'Dong Lam'!J61+'Khanh Nga'!J61+TDP!J61+DTRVL!J61</f>
        <v>0</v>
      </c>
      <c r="K61" s="64">
        <f>DTR!K61+'Dai Loc'!K61+'Dong Lam'!K61+'Khanh Nga'!K61+TDP!K61+DTRVL!K61</f>
        <v>0</v>
      </c>
      <c r="L61" s="64">
        <f>DTR!L61+'Dai Loc'!L61+'Dong Lam'!L61+'Khanh Nga'!L61+TDP!L61+DTRVL!L61</f>
        <v>0</v>
      </c>
      <c r="M61" s="64">
        <f>DTR!M61+'Dai Loc'!M61+'Dong Lam'!M61+'Khanh Nga'!M61+TDP!M61+DTRVL!M61</f>
        <v>0</v>
      </c>
      <c r="N61" s="64">
        <f>DTR!N61+'Dai Loc'!N61+'Dong Lam'!N61+'Khanh Nga'!N61+TDP!N61+DTRVL!N61</f>
        <v>0</v>
      </c>
      <c r="O61" s="64">
        <f>DTR!O61+'Dai Loc'!O61+'Dong Lam'!O61+'Khanh Nga'!O61+TDP!O61+DTRVL!O61</f>
        <v>0</v>
      </c>
      <c r="P61" s="64">
        <f>DTR!P61+'Dai Loc'!P61+'Dong Lam'!P61+'Khanh Nga'!P61+TDP!P61+DTRVL!P61</f>
        <v>0</v>
      </c>
      <c r="Q61" s="64">
        <f>DTR!Q61+'Dai Loc'!Q61+'Dong Lam'!Q61+'Khanh Nga'!Q61+TDP!Q61+DTRVL!Q61</f>
        <v>0</v>
      </c>
      <c r="R61" s="64">
        <f>DTR!R61+'Dai Loc'!R61+'Dong Lam'!R61+'Khanh Nga'!R61+TDP!R61+DTRVL!R61</f>
        <v>0</v>
      </c>
      <c r="S61" s="64">
        <f>DTR!S61+'Dai Loc'!S61+'Dong Lam'!S61+'Khanh Nga'!S61+TDP!S61+DTRVL!S61</f>
        <v>0</v>
      </c>
      <c r="T61" s="64">
        <f>DTR!T61+'Dai Loc'!T61+'Dong Lam'!T61+'Khanh Nga'!T61+TDP!T61+DTRVL!T61</f>
        <v>0</v>
      </c>
      <c r="U61" s="64">
        <f>DTR!U61+'Dai Loc'!U61+'Dong Lam'!U61+'Khanh Nga'!U61+TDP!U61+DTRVL!U61</f>
        <v>0</v>
      </c>
      <c r="V61" s="64">
        <f>DTR!V61+'Dai Loc'!V61+'Dong Lam'!V61+'Khanh Nga'!V61+TDP!V61+DTRVL!V61</f>
        <v>0</v>
      </c>
      <c r="W61" s="64">
        <f>DTR!W61+'Dai Loc'!W61+'Dong Lam'!W61+'Khanh Nga'!W61+TDP!W61+DTRVL!W61</f>
        <v>0</v>
      </c>
      <c r="X61" s="64">
        <f>DTR!X61+'Dai Loc'!X61+'Dong Lam'!X61+'Khanh Nga'!X61+TDP!X61+DTRVL!X61</f>
        <v>0</v>
      </c>
      <c r="Y61" s="64">
        <f>DTR!Y61+'Dai Loc'!Y61+'Dong Lam'!Y61+'Khanh Nga'!Y61+TDP!Y61+DTRVL!Y61</f>
        <v>0</v>
      </c>
      <c r="Z61" s="64">
        <f>DTR!Z61+'Dai Loc'!Z61+'Dong Lam'!Z61+'Khanh Nga'!Z61+TDP!Z61+DTRVL!Z61</f>
        <v>0</v>
      </c>
    </row>
    <row r="62" spans="1:26" ht="15" hidden="1" customHeight="1" outlineLevel="1">
      <c r="A62" s="73" t="s">
        <v>146</v>
      </c>
      <c r="B62" s="63">
        <v>57</v>
      </c>
      <c r="C62" s="64">
        <f>DTR!C62+'Dai Loc'!C62+'Dong Lam'!C62+'Khanh Nga'!C62+TDP!C62+DTRVL!C62</f>
        <v>0</v>
      </c>
      <c r="D62" s="64">
        <f>DTR!D62+'Dai Loc'!D62+'Dong Lam'!D62+'Khanh Nga'!D62+TDP!D62+DTRVL!D62</f>
        <v>0</v>
      </c>
      <c r="E62" s="64">
        <f>DTR!E62+'Dai Loc'!E62+'Dong Lam'!E62+'Khanh Nga'!E62+TDP!E62+DTRVL!E62</f>
        <v>0</v>
      </c>
      <c r="F62" s="64">
        <f>DTR!F62+'Dai Loc'!F62+'Dong Lam'!F62+'Khanh Nga'!F62+TDP!F62+DTRVL!F62</f>
        <v>0</v>
      </c>
      <c r="G62" s="64">
        <f>DTR!G62+'Dai Loc'!G62+'Dong Lam'!G62+'Khanh Nga'!G62+TDP!G62+DTRVL!G62</f>
        <v>0</v>
      </c>
      <c r="H62" s="64">
        <f>DTR!H62+'Dai Loc'!H62+'Dong Lam'!H62+'Khanh Nga'!H62+TDP!H62+DTRVL!H62</f>
        <v>0</v>
      </c>
      <c r="I62" s="64">
        <f>DTR!I62+'Dai Loc'!I62+'Dong Lam'!I62+'Khanh Nga'!I62+TDP!I62+DTRVL!I62</f>
        <v>0</v>
      </c>
      <c r="J62" s="64">
        <f>DTR!J62+'Dai Loc'!J62+'Dong Lam'!J62+'Khanh Nga'!J62+TDP!J62+DTRVL!J62</f>
        <v>0</v>
      </c>
      <c r="K62" s="64">
        <f>DTR!K62+'Dai Loc'!K62+'Dong Lam'!K62+'Khanh Nga'!K62+TDP!K62+DTRVL!K62</f>
        <v>0</v>
      </c>
      <c r="L62" s="64">
        <f>DTR!L62+'Dai Loc'!L62+'Dong Lam'!L62+'Khanh Nga'!L62+TDP!L62+DTRVL!L62</f>
        <v>0</v>
      </c>
      <c r="M62" s="64">
        <f>DTR!M62+'Dai Loc'!M62+'Dong Lam'!M62+'Khanh Nga'!M62+TDP!M62+DTRVL!M62</f>
        <v>0</v>
      </c>
      <c r="N62" s="64">
        <f>DTR!N62+'Dai Loc'!N62+'Dong Lam'!N62+'Khanh Nga'!N62+TDP!N62+DTRVL!N62</f>
        <v>0</v>
      </c>
      <c r="O62" s="64">
        <f>DTR!O62+'Dai Loc'!O62+'Dong Lam'!O62+'Khanh Nga'!O62+TDP!O62+DTRVL!O62</f>
        <v>0</v>
      </c>
      <c r="P62" s="64">
        <f>DTR!P62+'Dai Loc'!P62+'Dong Lam'!P62+'Khanh Nga'!P62+TDP!P62+DTRVL!P62</f>
        <v>0</v>
      </c>
      <c r="Q62" s="64">
        <f>DTR!Q62+'Dai Loc'!Q62+'Dong Lam'!Q62+'Khanh Nga'!Q62+TDP!Q62+DTRVL!Q62</f>
        <v>0</v>
      </c>
      <c r="R62" s="64">
        <f>DTR!R62+'Dai Loc'!R62+'Dong Lam'!R62+'Khanh Nga'!R62+TDP!R62+DTRVL!R62</f>
        <v>0</v>
      </c>
      <c r="S62" s="64">
        <f>DTR!S62+'Dai Loc'!S62+'Dong Lam'!S62+'Khanh Nga'!S62+TDP!S62+DTRVL!S62</f>
        <v>0</v>
      </c>
      <c r="T62" s="64">
        <f>DTR!T62+'Dai Loc'!T62+'Dong Lam'!T62+'Khanh Nga'!T62+TDP!T62+DTRVL!T62</f>
        <v>0</v>
      </c>
      <c r="U62" s="64">
        <f>DTR!U62+'Dai Loc'!U62+'Dong Lam'!U62+'Khanh Nga'!U62+TDP!U62+DTRVL!U62</f>
        <v>0</v>
      </c>
      <c r="V62" s="64">
        <f>DTR!V62+'Dai Loc'!V62+'Dong Lam'!V62+'Khanh Nga'!V62+TDP!V62+DTRVL!V62</f>
        <v>0</v>
      </c>
      <c r="W62" s="64">
        <f>DTR!W62+'Dai Loc'!W62+'Dong Lam'!W62+'Khanh Nga'!W62+TDP!W62+DTRVL!W62</f>
        <v>0</v>
      </c>
      <c r="X62" s="64">
        <f>DTR!X62+'Dai Loc'!X62+'Dong Lam'!X62+'Khanh Nga'!X62+TDP!X62+DTRVL!X62</f>
        <v>0</v>
      </c>
      <c r="Y62" s="64">
        <f>DTR!Y62+'Dai Loc'!Y62+'Dong Lam'!Y62+'Khanh Nga'!Y62+TDP!Y62+DTRVL!Y62</f>
        <v>0</v>
      </c>
      <c r="Z62" s="64">
        <f>DTR!Z62+'Dai Loc'!Z62+'Dong Lam'!Z62+'Khanh Nga'!Z62+TDP!Z62+DTRVL!Z62</f>
        <v>0</v>
      </c>
    </row>
    <row r="63" spans="1:26" ht="15" hidden="1" customHeight="1" outlineLevel="1">
      <c r="A63" s="73" t="s">
        <v>147</v>
      </c>
      <c r="B63" s="63">
        <v>58</v>
      </c>
      <c r="C63" s="64">
        <f>DTR!C63+'Dai Loc'!C63+'Dong Lam'!C63+'Khanh Nga'!C63+TDP!C63+DTRVL!C63</f>
        <v>0</v>
      </c>
      <c r="D63" s="64">
        <f>DTR!D63+'Dai Loc'!D63+'Dong Lam'!D63+'Khanh Nga'!D63+TDP!D63+DTRVL!D63</f>
        <v>0</v>
      </c>
      <c r="E63" s="64">
        <f>DTR!E63+'Dai Loc'!E63+'Dong Lam'!E63+'Khanh Nga'!E63+TDP!E63+DTRVL!E63</f>
        <v>0</v>
      </c>
      <c r="F63" s="64">
        <f>DTR!F63+'Dai Loc'!F63+'Dong Lam'!F63+'Khanh Nga'!F63+TDP!F63+DTRVL!F63</f>
        <v>0</v>
      </c>
      <c r="G63" s="64">
        <f>DTR!G63+'Dai Loc'!G63+'Dong Lam'!G63+'Khanh Nga'!G63+TDP!G63+DTRVL!G63</f>
        <v>0</v>
      </c>
      <c r="H63" s="64">
        <f>DTR!H63+'Dai Loc'!H63+'Dong Lam'!H63+'Khanh Nga'!H63+TDP!H63+DTRVL!H63</f>
        <v>0</v>
      </c>
      <c r="I63" s="64">
        <f>DTR!I63+'Dai Loc'!I63+'Dong Lam'!I63+'Khanh Nga'!I63+TDP!I63+DTRVL!I63</f>
        <v>0</v>
      </c>
      <c r="J63" s="64">
        <f>DTR!J63+'Dai Loc'!J63+'Dong Lam'!J63+'Khanh Nga'!J63+TDP!J63+DTRVL!J63</f>
        <v>0</v>
      </c>
      <c r="K63" s="64">
        <f>DTR!K63+'Dai Loc'!K63+'Dong Lam'!K63+'Khanh Nga'!K63+TDP!K63+DTRVL!K63</f>
        <v>0</v>
      </c>
      <c r="L63" s="64">
        <f>DTR!L63+'Dai Loc'!L63+'Dong Lam'!L63+'Khanh Nga'!L63+TDP!L63+DTRVL!L63</f>
        <v>0</v>
      </c>
      <c r="M63" s="64">
        <f>DTR!M63+'Dai Loc'!M63+'Dong Lam'!M63+'Khanh Nga'!M63+TDP!M63+DTRVL!M63</f>
        <v>0</v>
      </c>
      <c r="N63" s="64">
        <f>DTR!N63+'Dai Loc'!N63+'Dong Lam'!N63+'Khanh Nga'!N63+TDP!N63+DTRVL!N63</f>
        <v>0</v>
      </c>
      <c r="O63" s="64">
        <f>DTR!O63+'Dai Loc'!O63+'Dong Lam'!O63+'Khanh Nga'!O63+TDP!O63+DTRVL!O63</f>
        <v>0</v>
      </c>
      <c r="P63" s="64">
        <f>DTR!P63+'Dai Loc'!P63+'Dong Lam'!P63+'Khanh Nga'!P63+TDP!P63+DTRVL!P63</f>
        <v>0</v>
      </c>
      <c r="Q63" s="64">
        <f>DTR!Q63+'Dai Loc'!Q63+'Dong Lam'!Q63+'Khanh Nga'!Q63+TDP!Q63+DTRVL!Q63</f>
        <v>0</v>
      </c>
      <c r="R63" s="64">
        <f>DTR!R63+'Dai Loc'!R63+'Dong Lam'!R63+'Khanh Nga'!R63+TDP!R63+DTRVL!R63</f>
        <v>0</v>
      </c>
      <c r="S63" s="64">
        <f>DTR!S63+'Dai Loc'!S63+'Dong Lam'!S63+'Khanh Nga'!S63+TDP!S63+DTRVL!S63</f>
        <v>0</v>
      </c>
      <c r="T63" s="64">
        <f>DTR!T63+'Dai Loc'!T63+'Dong Lam'!T63+'Khanh Nga'!T63+TDP!T63+DTRVL!T63</f>
        <v>0</v>
      </c>
      <c r="U63" s="64">
        <f>DTR!U63+'Dai Loc'!U63+'Dong Lam'!U63+'Khanh Nga'!U63+TDP!U63+DTRVL!U63</f>
        <v>0</v>
      </c>
      <c r="V63" s="64">
        <f>DTR!V63+'Dai Loc'!V63+'Dong Lam'!V63+'Khanh Nga'!V63+TDP!V63+DTRVL!V63</f>
        <v>0</v>
      </c>
      <c r="W63" s="64">
        <f>DTR!W63+'Dai Loc'!W63+'Dong Lam'!W63+'Khanh Nga'!W63+TDP!W63+DTRVL!W63</f>
        <v>0</v>
      </c>
      <c r="X63" s="64">
        <f>DTR!X63+'Dai Loc'!X63+'Dong Lam'!X63+'Khanh Nga'!X63+TDP!X63+DTRVL!X63</f>
        <v>0</v>
      </c>
      <c r="Y63" s="64">
        <f>DTR!Y63+'Dai Loc'!Y63+'Dong Lam'!Y63+'Khanh Nga'!Y63+TDP!Y63+DTRVL!Y63</f>
        <v>0</v>
      </c>
      <c r="Z63" s="64">
        <f>DTR!Z63+'Dai Loc'!Z63+'Dong Lam'!Z63+'Khanh Nga'!Z63+TDP!Z63+DTRVL!Z63</f>
        <v>0</v>
      </c>
    </row>
    <row r="64" spans="1:26" ht="15" hidden="1" customHeight="1" outlineLevel="1">
      <c r="A64" s="73" t="s">
        <v>148</v>
      </c>
      <c r="B64" s="63">
        <v>59</v>
      </c>
      <c r="C64" s="64">
        <f>DTR!C64+'Dai Loc'!C64+'Dong Lam'!C64+'Khanh Nga'!C64+TDP!C64+DTRVL!C64</f>
        <v>0</v>
      </c>
      <c r="D64" s="64">
        <f>DTR!D64+'Dai Loc'!D64+'Dong Lam'!D64+'Khanh Nga'!D64+TDP!D64+DTRVL!D64</f>
        <v>0</v>
      </c>
      <c r="E64" s="64">
        <f>DTR!E64+'Dai Loc'!E64+'Dong Lam'!E64+'Khanh Nga'!E64+TDP!E64+DTRVL!E64</f>
        <v>0</v>
      </c>
      <c r="F64" s="64">
        <f>DTR!F64+'Dai Loc'!F64+'Dong Lam'!F64+'Khanh Nga'!F64+TDP!F64+DTRVL!F64</f>
        <v>0</v>
      </c>
      <c r="G64" s="64">
        <f>DTR!G64+'Dai Loc'!G64+'Dong Lam'!G64+'Khanh Nga'!G64+TDP!G64+DTRVL!G64</f>
        <v>0</v>
      </c>
      <c r="H64" s="64">
        <f>DTR!H64+'Dai Loc'!H64+'Dong Lam'!H64+'Khanh Nga'!H64+TDP!H64+DTRVL!H64</f>
        <v>0</v>
      </c>
      <c r="I64" s="64">
        <f>DTR!I64+'Dai Loc'!I64+'Dong Lam'!I64+'Khanh Nga'!I64+TDP!I64+DTRVL!I64</f>
        <v>0</v>
      </c>
      <c r="J64" s="64">
        <f>DTR!J64+'Dai Loc'!J64+'Dong Lam'!J64+'Khanh Nga'!J64+TDP!J64+DTRVL!J64</f>
        <v>0</v>
      </c>
      <c r="K64" s="64">
        <f>DTR!K64+'Dai Loc'!K64+'Dong Lam'!K64+'Khanh Nga'!K64+TDP!K64+DTRVL!K64</f>
        <v>0</v>
      </c>
      <c r="L64" s="64">
        <f>DTR!L64+'Dai Loc'!L64+'Dong Lam'!L64+'Khanh Nga'!L64+TDP!L64+DTRVL!L64</f>
        <v>0</v>
      </c>
      <c r="M64" s="64">
        <f>DTR!M64+'Dai Loc'!M64+'Dong Lam'!M64+'Khanh Nga'!M64+TDP!M64+DTRVL!M64</f>
        <v>0</v>
      </c>
      <c r="N64" s="64">
        <f>DTR!N64+'Dai Loc'!N64+'Dong Lam'!N64+'Khanh Nga'!N64+TDP!N64+DTRVL!N64</f>
        <v>0</v>
      </c>
      <c r="O64" s="64">
        <f>DTR!O64+'Dai Loc'!O64+'Dong Lam'!O64+'Khanh Nga'!O64+TDP!O64+DTRVL!O64</f>
        <v>0</v>
      </c>
      <c r="P64" s="64">
        <f>DTR!P64+'Dai Loc'!P64+'Dong Lam'!P64+'Khanh Nga'!P64+TDP!P64+DTRVL!P64</f>
        <v>0</v>
      </c>
      <c r="Q64" s="64">
        <f>DTR!Q64+'Dai Loc'!Q64+'Dong Lam'!Q64+'Khanh Nga'!Q64+TDP!Q64+DTRVL!Q64</f>
        <v>0</v>
      </c>
      <c r="R64" s="64">
        <f>DTR!R64+'Dai Loc'!R64+'Dong Lam'!R64+'Khanh Nga'!R64+TDP!R64+DTRVL!R64</f>
        <v>0</v>
      </c>
      <c r="S64" s="64">
        <f>DTR!S64+'Dai Loc'!S64+'Dong Lam'!S64+'Khanh Nga'!S64+TDP!S64+DTRVL!S64</f>
        <v>0</v>
      </c>
      <c r="T64" s="64">
        <f>DTR!T64+'Dai Loc'!T64+'Dong Lam'!T64+'Khanh Nga'!T64+TDP!T64+DTRVL!T64</f>
        <v>0</v>
      </c>
      <c r="U64" s="64">
        <f>DTR!U64+'Dai Loc'!U64+'Dong Lam'!U64+'Khanh Nga'!U64+TDP!U64+DTRVL!U64</f>
        <v>0</v>
      </c>
      <c r="V64" s="64">
        <f>DTR!V64+'Dai Loc'!V64+'Dong Lam'!V64+'Khanh Nga'!V64+TDP!V64+DTRVL!V64</f>
        <v>0</v>
      </c>
      <c r="W64" s="64">
        <f>DTR!W64+'Dai Loc'!W64+'Dong Lam'!W64+'Khanh Nga'!W64+TDP!W64+DTRVL!W64</f>
        <v>0</v>
      </c>
      <c r="X64" s="64">
        <f>DTR!X64+'Dai Loc'!X64+'Dong Lam'!X64+'Khanh Nga'!X64+TDP!X64+DTRVL!X64</f>
        <v>0</v>
      </c>
      <c r="Y64" s="64">
        <f>DTR!Y64+'Dai Loc'!Y64+'Dong Lam'!Y64+'Khanh Nga'!Y64+TDP!Y64+DTRVL!Y64</f>
        <v>0</v>
      </c>
      <c r="Z64" s="64">
        <f>DTR!Z64+'Dai Loc'!Z64+'Dong Lam'!Z64+'Khanh Nga'!Z64+TDP!Z64+DTRVL!Z64</f>
        <v>0</v>
      </c>
    </row>
    <row r="65" spans="1:28" ht="15" hidden="1" customHeight="1" outlineLevel="1">
      <c r="A65" s="72" t="s">
        <v>149</v>
      </c>
      <c r="B65" s="65">
        <v>60</v>
      </c>
      <c r="C65" s="64">
        <f>DTR!C65+'Dai Loc'!C65+'Dong Lam'!C65+'Khanh Nga'!C65+TDP!C65+DTRVL!C65</f>
        <v>0</v>
      </c>
      <c r="D65" s="64">
        <f>DTR!D65+'Dai Loc'!D65+'Dong Lam'!D65+'Khanh Nga'!D65+TDP!D65+DTRVL!D65</f>
        <v>0</v>
      </c>
      <c r="E65" s="64">
        <f>DTR!E65+'Dai Loc'!E65+'Dong Lam'!E65+'Khanh Nga'!E65+TDP!E65+DTRVL!E65</f>
        <v>0</v>
      </c>
      <c r="F65" s="64">
        <f>DTR!F65+'Dai Loc'!F65+'Dong Lam'!F65+'Khanh Nga'!F65+TDP!F65+DTRVL!F65</f>
        <v>0</v>
      </c>
      <c r="G65" s="64">
        <f>DTR!G65+'Dai Loc'!G65+'Dong Lam'!G65+'Khanh Nga'!G65+TDP!G65+DTRVL!G65</f>
        <v>0</v>
      </c>
      <c r="H65" s="64">
        <f>DTR!H65+'Dai Loc'!H65+'Dong Lam'!H65+'Khanh Nga'!H65+TDP!H65+DTRVL!H65</f>
        <v>0</v>
      </c>
      <c r="I65" s="64">
        <f>DTR!I65+'Dai Loc'!I65+'Dong Lam'!I65+'Khanh Nga'!I65+TDP!I65+DTRVL!I65</f>
        <v>0</v>
      </c>
      <c r="J65" s="64">
        <f>DTR!J65+'Dai Loc'!J65+'Dong Lam'!J65+'Khanh Nga'!J65+TDP!J65+DTRVL!J65</f>
        <v>0</v>
      </c>
      <c r="K65" s="64">
        <f>DTR!K65+'Dai Loc'!K65+'Dong Lam'!K65+'Khanh Nga'!K65+TDP!K65+DTRVL!K65</f>
        <v>0</v>
      </c>
      <c r="L65" s="64">
        <f>DTR!L65+'Dai Loc'!L65+'Dong Lam'!L65+'Khanh Nga'!L65+TDP!L65+DTRVL!L65</f>
        <v>0</v>
      </c>
      <c r="M65" s="64">
        <f>DTR!M65+'Dai Loc'!M65+'Dong Lam'!M65+'Khanh Nga'!M65+TDP!M65+DTRVL!M65</f>
        <v>0</v>
      </c>
      <c r="N65" s="64">
        <f>DTR!N65+'Dai Loc'!N65+'Dong Lam'!N65+'Khanh Nga'!N65+TDP!N65+DTRVL!N65</f>
        <v>0</v>
      </c>
      <c r="O65" s="64">
        <f>DTR!O65+'Dai Loc'!O65+'Dong Lam'!O65+'Khanh Nga'!O65+TDP!O65+DTRVL!O65</f>
        <v>0</v>
      </c>
      <c r="P65" s="64">
        <f>DTR!P65+'Dai Loc'!P65+'Dong Lam'!P65+'Khanh Nga'!P65+TDP!P65+DTRVL!P65</f>
        <v>0</v>
      </c>
      <c r="Q65" s="64">
        <f>DTR!Q65+'Dai Loc'!Q65+'Dong Lam'!Q65+'Khanh Nga'!Q65+TDP!Q65+DTRVL!Q65</f>
        <v>0</v>
      </c>
      <c r="R65" s="64">
        <f>DTR!R65+'Dai Loc'!R65+'Dong Lam'!R65+'Khanh Nga'!R65+TDP!R65+DTRVL!R65</f>
        <v>0</v>
      </c>
      <c r="S65" s="64">
        <f>DTR!S65+'Dai Loc'!S65+'Dong Lam'!S65+'Khanh Nga'!S65+TDP!S65+DTRVL!S65</f>
        <v>0</v>
      </c>
      <c r="T65" s="64">
        <f>DTR!T65+'Dai Loc'!T65+'Dong Lam'!T65+'Khanh Nga'!T65+TDP!T65+DTRVL!T65</f>
        <v>0</v>
      </c>
      <c r="U65" s="64">
        <f>DTR!U65+'Dai Loc'!U65+'Dong Lam'!U65+'Khanh Nga'!U65+TDP!U65+DTRVL!U65</f>
        <v>0</v>
      </c>
      <c r="V65" s="64">
        <f>DTR!V65+'Dai Loc'!V65+'Dong Lam'!V65+'Khanh Nga'!V65+TDP!V65+DTRVL!V65</f>
        <v>0</v>
      </c>
      <c r="W65" s="64">
        <f>DTR!W65+'Dai Loc'!W65+'Dong Lam'!W65+'Khanh Nga'!W65+TDP!W65+DTRVL!W65</f>
        <v>0</v>
      </c>
      <c r="X65" s="64">
        <f>DTR!X65+'Dai Loc'!X65+'Dong Lam'!X65+'Khanh Nga'!X65+TDP!X65+DTRVL!X65</f>
        <v>0</v>
      </c>
      <c r="Y65" s="64">
        <f>DTR!Y65+'Dai Loc'!Y65+'Dong Lam'!Y65+'Khanh Nga'!Y65+TDP!Y65+DTRVL!Y65</f>
        <v>0</v>
      </c>
      <c r="Z65" s="64">
        <f>DTR!Z65+'Dai Loc'!Z65+'Dong Lam'!Z65+'Khanh Nga'!Z65+TDP!Z65+DTRVL!Z65</f>
        <v>0</v>
      </c>
    </row>
    <row r="66" spans="1:28" ht="15" hidden="1" customHeight="1" outlineLevel="1">
      <c r="A66" s="62" t="s">
        <v>150</v>
      </c>
      <c r="B66" s="63">
        <v>61</v>
      </c>
      <c r="C66" s="64">
        <f>DTR!C66+'Dai Loc'!C66+'Dong Lam'!C66+'Khanh Nga'!C66+TDP!C66+DTRVL!C66</f>
        <v>0</v>
      </c>
      <c r="D66" s="64">
        <f>DTR!D66+'Dai Loc'!D66+'Dong Lam'!D66+'Khanh Nga'!D66+TDP!D66+DTRVL!D66</f>
        <v>0</v>
      </c>
      <c r="E66" s="64">
        <f>DTR!E66+'Dai Loc'!E66+'Dong Lam'!E66+'Khanh Nga'!E66+TDP!E66+DTRVL!E66</f>
        <v>0</v>
      </c>
      <c r="F66" s="64">
        <f>DTR!F66+'Dai Loc'!F66+'Dong Lam'!F66+'Khanh Nga'!F66+TDP!F66+DTRVL!F66</f>
        <v>0</v>
      </c>
      <c r="G66" s="64">
        <f>DTR!G66+'Dai Loc'!G66+'Dong Lam'!G66+'Khanh Nga'!G66+TDP!G66+DTRVL!G66</f>
        <v>0</v>
      </c>
      <c r="H66" s="64">
        <f>DTR!H66+'Dai Loc'!H66+'Dong Lam'!H66+'Khanh Nga'!H66+TDP!H66+DTRVL!H66</f>
        <v>0</v>
      </c>
      <c r="I66" s="64">
        <f>DTR!I66+'Dai Loc'!I66+'Dong Lam'!I66+'Khanh Nga'!I66+TDP!I66+DTRVL!I66</f>
        <v>0</v>
      </c>
      <c r="J66" s="64">
        <f>DTR!J66+'Dai Loc'!J66+'Dong Lam'!J66+'Khanh Nga'!J66+TDP!J66+DTRVL!J66</f>
        <v>0</v>
      </c>
      <c r="K66" s="64">
        <f>DTR!K66+'Dai Loc'!K66+'Dong Lam'!K66+'Khanh Nga'!K66+TDP!K66+DTRVL!K66</f>
        <v>0</v>
      </c>
      <c r="L66" s="64">
        <f>DTR!L66+'Dai Loc'!L66+'Dong Lam'!L66+'Khanh Nga'!L66+TDP!L66+DTRVL!L66</f>
        <v>0</v>
      </c>
      <c r="M66" s="64">
        <f>DTR!M66+'Dai Loc'!M66+'Dong Lam'!M66+'Khanh Nga'!M66+TDP!M66+DTRVL!M66</f>
        <v>0</v>
      </c>
      <c r="N66" s="64">
        <f>DTR!N66+'Dai Loc'!N66+'Dong Lam'!N66+'Khanh Nga'!N66+TDP!N66+DTRVL!N66</f>
        <v>0</v>
      </c>
      <c r="O66" s="64">
        <f>DTR!O66+'Dai Loc'!O66+'Dong Lam'!O66+'Khanh Nga'!O66+TDP!O66+DTRVL!O66</f>
        <v>0</v>
      </c>
      <c r="P66" s="64">
        <f>DTR!P66+'Dai Loc'!P66+'Dong Lam'!P66+'Khanh Nga'!P66+TDP!P66+DTRVL!P66</f>
        <v>0</v>
      </c>
      <c r="Q66" s="64">
        <f>DTR!Q66+'Dai Loc'!Q66+'Dong Lam'!Q66+'Khanh Nga'!Q66+TDP!Q66+DTRVL!Q66</f>
        <v>0</v>
      </c>
      <c r="R66" s="64">
        <f>DTR!R66+'Dai Loc'!R66+'Dong Lam'!R66+'Khanh Nga'!R66+TDP!R66+DTRVL!R66</f>
        <v>0</v>
      </c>
      <c r="S66" s="64">
        <f>DTR!S66+'Dai Loc'!S66+'Dong Lam'!S66+'Khanh Nga'!S66+TDP!S66+DTRVL!S66</f>
        <v>0</v>
      </c>
      <c r="T66" s="64">
        <f>DTR!T66+'Dai Loc'!T66+'Dong Lam'!T66+'Khanh Nga'!T66+TDP!T66+DTRVL!T66</f>
        <v>0</v>
      </c>
      <c r="U66" s="64">
        <f>DTR!U66+'Dai Loc'!U66+'Dong Lam'!U66+'Khanh Nga'!U66+TDP!U66+DTRVL!U66</f>
        <v>0</v>
      </c>
      <c r="V66" s="64">
        <f>DTR!V66+'Dai Loc'!V66+'Dong Lam'!V66+'Khanh Nga'!V66+TDP!V66+DTRVL!V66</f>
        <v>0</v>
      </c>
      <c r="W66" s="64">
        <f>DTR!W66+'Dai Loc'!W66+'Dong Lam'!W66+'Khanh Nga'!W66+TDP!W66+DTRVL!W66</f>
        <v>0</v>
      </c>
      <c r="X66" s="64">
        <f>DTR!X66+'Dai Loc'!X66+'Dong Lam'!X66+'Khanh Nga'!X66+TDP!X66+DTRVL!X66</f>
        <v>0</v>
      </c>
      <c r="Y66" s="64">
        <f>DTR!Y66+'Dai Loc'!Y66+'Dong Lam'!Y66+'Khanh Nga'!Y66+TDP!Y66+DTRVL!Y66</f>
        <v>0</v>
      </c>
      <c r="Z66" s="64">
        <f>DTR!Z66+'Dai Loc'!Z66+'Dong Lam'!Z66+'Khanh Nga'!Z66+TDP!Z66+DTRVL!Z66</f>
        <v>0</v>
      </c>
    </row>
    <row r="67" spans="1:28" ht="15" hidden="1" customHeight="1" outlineLevel="1">
      <c r="A67" s="62" t="s">
        <v>151</v>
      </c>
      <c r="B67" s="63">
        <v>62</v>
      </c>
      <c r="C67" s="64">
        <f>DTR!C67+'Dai Loc'!C67+'Dong Lam'!C67+'Khanh Nga'!C67+TDP!C67+DTRVL!C67</f>
        <v>0</v>
      </c>
      <c r="D67" s="64">
        <f>DTR!D67+'Dai Loc'!D67+'Dong Lam'!D67+'Khanh Nga'!D67+TDP!D67+DTRVL!D67</f>
        <v>0</v>
      </c>
      <c r="E67" s="64">
        <f>DTR!E67+'Dai Loc'!E67+'Dong Lam'!E67+'Khanh Nga'!E67+TDP!E67+DTRVL!E67</f>
        <v>0</v>
      </c>
      <c r="F67" s="64">
        <f>DTR!F67+'Dai Loc'!F67+'Dong Lam'!F67+'Khanh Nga'!F67+TDP!F67+DTRVL!F67</f>
        <v>0</v>
      </c>
      <c r="G67" s="64">
        <f>DTR!G67+'Dai Loc'!G67+'Dong Lam'!G67+'Khanh Nga'!G67+TDP!G67+DTRVL!G67</f>
        <v>0</v>
      </c>
      <c r="H67" s="64">
        <f>DTR!H67+'Dai Loc'!H67+'Dong Lam'!H67+'Khanh Nga'!H67+TDP!H67+DTRVL!H67</f>
        <v>0</v>
      </c>
      <c r="I67" s="64">
        <f>DTR!I67+'Dai Loc'!I67+'Dong Lam'!I67+'Khanh Nga'!I67+TDP!I67+DTRVL!I67</f>
        <v>0</v>
      </c>
      <c r="J67" s="64">
        <f>DTR!J67+'Dai Loc'!J67+'Dong Lam'!J67+'Khanh Nga'!J67+TDP!J67+DTRVL!J67</f>
        <v>0</v>
      </c>
      <c r="K67" s="64">
        <f>DTR!K67+'Dai Loc'!K67+'Dong Lam'!K67+'Khanh Nga'!K67+TDP!K67+DTRVL!K67</f>
        <v>0</v>
      </c>
      <c r="L67" s="64">
        <f>DTR!L67+'Dai Loc'!L67+'Dong Lam'!L67+'Khanh Nga'!L67+TDP!L67+DTRVL!L67</f>
        <v>0</v>
      </c>
      <c r="M67" s="64">
        <f>DTR!M67+'Dai Loc'!M67+'Dong Lam'!M67+'Khanh Nga'!M67+TDP!M67+DTRVL!M67</f>
        <v>0</v>
      </c>
      <c r="N67" s="64">
        <f>DTR!N67+'Dai Loc'!N67+'Dong Lam'!N67+'Khanh Nga'!N67+TDP!N67+DTRVL!N67</f>
        <v>0</v>
      </c>
      <c r="O67" s="64">
        <f>DTR!O67+'Dai Loc'!O67+'Dong Lam'!O67+'Khanh Nga'!O67+TDP!O67+DTRVL!O67</f>
        <v>0</v>
      </c>
      <c r="P67" s="64">
        <f>DTR!P67+'Dai Loc'!P67+'Dong Lam'!P67+'Khanh Nga'!P67+TDP!P67+DTRVL!P67</f>
        <v>0</v>
      </c>
      <c r="Q67" s="64">
        <f>DTR!Q67+'Dai Loc'!Q67+'Dong Lam'!Q67+'Khanh Nga'!Q67+TDP!Q67+DTRVL!Q67</f>
        <v>0</v>
      </c>
      <c r="R67" s="64">
        <f>DTR!R67+'Dai Loc'!R67+'Dong Lam'!R67+'Khanh Nga'!R67+TDP!R67+DTRVL!R67</f>
        <v>0</v>
      </c>
      <c r="S67" s="64">
        <f>DTR!S67+'Dai Loc'!S67+'Dong Lam'!S67+'Khanh Nga'!S67+TDP!S67+DTRVL!S67</f>
        <v>0</v>
      </c>
      <c r="T67" s="64">
        <f>DTR!T67+'Dai Loc'!T67+'Dong Lam'!T67+'Khanh Nga'!T67+TDP!T67+DTRVL!T67</f>
        <v>0</v>
      </c>
      <c r="U67" s="64">
        <f>DTR!U67+'Dai Loc'!U67+'Dong Lam'!U67+'Khanh Nga'!U67+TDP!U67+DTRVL!U67</f>
        <v>0</v>
      </c>
      <c r="V67" s="64">
        <f>DTR!V67+'Dai Loc'!V67+'Dong Lam'!V67+'Khanh Nga'!V67+TDP!V67+DTRVL!V67</f>
        <v>0</v>
      </c>
      <c r="W67" s="64">
        <f>DTR!W67+'Dai Loc'!W67+'Dong Lam'!W67+'Khanh Nga'!W67+TDP!W67+DTRVL!W67</f>
        <v>0</v>
      </c>
      <c r="X67" s="64">
        <f>DTR!X67+'Dai Loc'!X67+'Dong Lam'!X67+'Khanh Nga'!X67+TDP!X67+DTRVL!X67</f>
        <v>0</v>
      </c>
      <c r="Y67" s="64">
        <f>DTR!Y67+'Dai Loc'!Y67+'Dong Lam'!Y67+'Khanh Nga'!Y67+TDP!Y67+DTRVL!Y67</f>
        <v>0</v>
      </c>
      <c r="Z67" s="64">
        <f>DTR!Z67+'Dai Loc'!Z67+'Dong Lam'!Z67+'Khanh Nga'!Z67+TDP!Z67+DTRVL!Z67</f>
        <v>0</v>
      </c>
    </row>
    <row r="68" spans="1:28" ht="15" hidden="1" customHeight="1" outlineLevel="1">
      <c r="A68" s="72" t="s">
        <v>152</v>
      </c>
      <c r="B68" s="65">
        <v>63</v>
      </c>
      <c r="C68" s="64">
        <f>DTR!C68+'Dai Loc'!C68+'Dong Lam'!C68+'Khanh Nga'!C68+TDP!C68+DTRVL!C68</f>
        <v>77329584118</v>
      </c>
      <c r="D68" s="64">
        <f>DTR!D68+'Dai Loc'!D68+'Dong Lam'!D68+'Khanh Nga'!D68+TDP!D68+DTRVL!D68</f>
        <v>77763600271</v>
      </c>
      <c r="E68" s="64">
        <f>DTR!E68+'Dai Loc'!E68+'Dong Lam'!E68+'Khanh Nga'!E68+TDP!E68+DTRVL!E68</f>
        <v>44952330241</v>
      </c>
      <c r="F68" s="64">
        <f>DTR!F68+'Dai Loc'!F68+'Dong Lam'!F68+'Khanh Nga'!F68+TDP!F68+DTRVL!F68</f>
        <v>41117545565</v>
      </c>
      <c r="G68" s="64">
        <f>DTR!G68+'Dai Loc'!G68+'Dong Lam'!G68+'Khanh Nga'!G68+TDP!G68+DTRVL!G68</f>
        <v>41598285505</v>
      </c>
      <c r="H68" s="64">
        <f>DTR!H68+'Dai Loc'!H68+'Dong Lam'!H68+'Khanh Nga'!H68+TDP!H68+DTRVL!H68</f>
        <v>45834019605</v>
      </c>
      <c r="I68" s="64">
        <f>DTR!I68+'Dai Loc'!I68+'Dong Lam'!I68+'Khanh Nga'!I68+TDP!I68+DTRVL!I68</f>
        <v>45620157237</v>
      </c>
      <c r="J68" s="64">
        <f>DTR!J68+'Dai Loc'!J68+'Dong Lam'!J68+'Khanh Nga'!J68+TDP!J68+DTRVL!J68</f>
        <v>43295611577</v>
      </c>
      <c r="K68" s="64">
        <f>DTR!K68+'Dai Loc'!K68+'Dong Lam'!K68+'Khanh Nga'!K68+TDP!K68+DTRVL!K68</f>
        <v>44563784234</v>
      </c>
      <c r="L68" s="64">
        <f>DTR!L68+'Dai Loc'!L68+'Dong Lam'!L68+'Khanh Nga'!L68+TDP!L68+DTRVL!L68</f>
        <v>44870745260</v>
      </c>
      <c r="M68" s="64">
        <f>DTR!M68+'Dai Loc'!M68+'Dong Lam'!M68+'Khanh Nga'!M68+TDP!M68+DTRVL!M68</f>
        <v>29903428024</v>
      </c>
      <c r="N68" s="64">
        <f>DTR!N68+'Dai Loc'!N68+'Dong Lam'!N68+'Khanh Nga'!N68+TDP!N68+DTRVL!N68</f>
        <v>38102315137</v>
      </c>
      <c r="O68" s="64">
        <f>DTR!O68+'Dai Loc'!O68+'Dong Lam'!O68+'Khanh Nga'!O68+TDP!O68+DTRVL!O68</f>
        <v>47351685312</v>
      </c>
      <c r="P68" s="64">
        <f>DTR!P68+'Dai Loc'!P68+'Dong Lam'!P68+'Khanh Nga'!P68+TDP!P68+DTRVL!P68</f>
        <v>33270243294</v>
      </c>
      <c r="Q68" s="64">
        <f>DTR!Q68+'Dai Loc'!Q68+'Dong Lam'!Q68+'Khanh Nga'!Q68+TDP!Q68+DTRVL!Q68</f>
        <v>28917153034</v>
      </c>
      <c r="R68" s="64">
        <f>DTR!R68+'Dai Loc'!R68+'Dong Lam'!R68+'Khanh Nga'!R68+TDP!R68+DTRVL!R68</f>
        <v>39983110298</v>
      </c>
      <c r="S68" s="64">
        <f>DTR!S68+'Dai Loc'!S68+'Dong Lam'!S68+'Khanh Nga'!S68+TDP!S68+DTRVL!S68</f>
        <v>48611974769</v>
      </c>
      <c r="T68" s="64">
        <f>DTR!T68+'Dai Loc'!T68+'Dong Lam'!T68+'Khanh Nga'!T68+TDP!T68+DTRVL!T68</f>
        <v>52991191597</v>
      </c>
      <c r="U68" s="64">
        <f>DTR!U68+'Dai Loc'!U68+'Dong Lam'!U68+'Khanh Nga'!U68+TDP!U68+DTRVL!U68</f>
        <v>54380932320</v>
      </c>
      <c r="V68" s="64">
        <f>DTR!V68+'Dai Loc'!V68+'Dong Lam'!V68+'Khanh Nga'!V68+TDP!V68+DTRVL!V68</f>
        <v>36472336589</v>
      </c>
      <c r="W68" s="64">
        <f>DTR!W68+'Dai Loc'!W68+'Dong Lam'!W68+'Khanh Nga'!W68+TDP!W68+DTRVL!W68</f>
        <v>46588311385</v>
      </c>
      <c r="X68" s="64">
        <f>DTR!X68+'Dai Loc'!X68+'Dong Lam'!X68+'Khanh Nga'!X68+TDP!X68+DTRVL!X68</f>
        <v>59728156173</v>
      </c>
      <c r="Y68" s="64">
        <f>DTR!Y68+'Dai Loc'!Y68+'Dong Lam'!Y68+'Khanh Nga'!Y68+TDP!Y68+DTRVL!Y68</f>
        <v>55496100548</v>
      </c>
      <c r="Z68" s="64">
        <f>DTR!Z68+'Dai Loc'!Z68+'Dong Lam'!Z68+'Khanh Nga'!Z68+TDP!Z68+DTRVL!Z68</f>
        <v>64594176344</v>
      </c>
    </row>
    <row r="69" spans="1:28" ht="15" hidden="1" customHeight="1" outlineLevel="1">
      <c r="A69" s="62" t="s">
        <v>153</v>
      </c>
      <c r="B69" s="63">
        <v>64</v>
      </c>
      <c r="C69" s="64">
        <f>DTR!C69+'Dai Loc'!C69+'Dong Lam'!C69+'Khanh Nga'!C69+TDP!C69+DTRVL!C69</f>
        <v>419846709</v>
      </c>
      <c r="D69" s="64">
        <f>DTR!D69+'Dai Loc'!D69+'Dong Lam'!D69+'Khanh Nga'!D69+TDP!D69+DTRVL!D69</f>
        <v>408674531</v>
      </c>
      <c r="E69" s="64">
        <f>DTR!E69+'Dai Loc'!E69+'Dong Lam'!E69+'Khanh Nga'!E69+TDP!E69+DTRVL!E69</f>
        <v>403047661</v>
      </c>
      <c r="F69" s="64">
        <f>DTR!F69+'Dai Loc'!F69+'Dong Lam'!F69+'Khanh Nga'!F69+TDP!F69+DTRVL!F69</f>
        <v>390879241</v>
      </c>
      <c r="G69" s="64">
        <f>DTR!G69+'Dai Loc'!G69+'Dong Lam'!G69+'Khanh Nga'!G69+TDP!G69+DTRVL!G69</f>
        <v>460263307</v>
      </c>
      <c r="H69" s="64">
        <f>DTR!H69+'Dai Loc'!H69+'Dong Lam'!H69+'Khanh Nga'!H69+TDP!H69+DTRVL!H69</f>
        <v>598268760</v>
      </c>
      <c r="I69" s="64">
        <f>DTR!I69+'Dai Loc'!I69+'Dong Lam'!I69+'Khanh Nga'!I69+TDP!I69+DTRVL!I69</f>
        <v>546898463</v>
      </c>
      <c r="J69" s="64">
        <f>DTR!J69+'Dai Loc'!J69+'Dong Lam'!J69+'Khanh Nga'!J69+TDP!J69+DTRVL!J69</f>
        <v>461756176</v>
      </c>
      <c r="K69" s="64">
        <f>DTR!K69+'Dai Loc'!K69+'Dong Lam'!K69+'Khanh Nga'!K69+TDP!K69+DTRVL!K69</f>
        <v>440940331</v>
      </c>
      <c r="L69" s="64">
        <f>DTR!L69+'Dai Loc'!L69+'Dong Lam'!L69+'Khanh Nga'!L69+TDP!L69+DTRVL!L69</f>
        <v>412338743</v>
      </c>
      <c r="M69" s="64">
        <f>DTR!M69+'Dai Loc'!M69+'Dong Lam'!M69+'Khanh Nga'!M69+TDP!M69+DTRVL!M69</f>
        <v>361348558</v>
      </c>
      <c r="N69" s="64">
        <f>DTR!N69+'Dai Loc'!N69+'Dong Lam'!N69+'Khanh Nga'!N69+TDP!N69+DTRVL!N69</f>
        <v>344917157</v>
      </c>
      <c r="O69" s="64">
        <f>DTR!O69+'Dai Loc'!O69+'Dong Lam'!O69+'Khanh Nga'!O69+TDP!O69+DTRVL!O69</f>
        <v>0</v>
      </c>
      <c r="P69" s="64">
        <f>DTR!P69+'Dai Loc'!P69+'Dong Lam'!P69+'Khanh Nga'!P69+TDP!P69+DTRVL!P69</f>
        <v>0</v>
      </c>
      <c r="Q69" s="64">
        <f>DTR!Q69+'Dai Loc'!Q69+'Dong Lam'!Q69+'Khanh Nga'!Q69+TDP!Q69+DTRVL!Q69</f>
        <v>0</v>
      </c>
      <c r="R69" s="64">
        <f>DTR!R69+'Dai Loc'!R69+'Dong Lam'!R69+'Khanh Nga'!R69+TDP!R69+DTRVL!R69</f>
        <v>0</v>
      </c>
      <c r="S69" s="64">
        <f>DTR!S69+'Dai Loc'!S69+'Dong Lam'!S69+'Khanh Nga'!S69+TDP!S69+DTRVL!S69</f>
        <v>0</v>
      </c>
      <c r="T69" s="64">
        <f>DTR!T69+'Dai Loc'!T69+'Dong Lam'!T69+'Khanh Nga'!T69+TDP!T69+DTRVL!T69</f>
        <v>0</v>
      </c>
      <c r="U69" s="64">
        <f>DTR!U69+'Dai Loc'!U69+'Dong Lam'!U69+'Khanh Nga'!U69+TDP!U69+DTRVL!U69</f>
        <v>0</v>
      </c>
      <c r="V69" s="64">
        <f>DTR!V69+'Dai Loc'!V69+'Dong Lam'!V69+'Khanh Nga'!V69+TDP!V69+DTRVL!V69</f>
        <v>0</v>
      </c>
      <c r="W69" s="64">
        <f>DTR!W69+'Dai Loc'!W69+'Dong Lam'!W69+'Khanh Nga'!W69+TDP!W69+DTRVL!W69</f>
        <v>0</v>
      </c>
      <c r="X69" s="64">
        <f>DTR!X69+'Dai Loc'!X69+'Dong Lam'!X69+'Khanh Nga'!X69+TDP!X69+DTRVL!X69</f>
        <v>0</v>
      </c>
      <c r="Y69" s="64">
        <f>DTR!Y69+'Dai Loc'!Y69+'Dong Lam'!Y69+'Khanh Nga'!Y69+TDP!Y69+DTRVL!Y69</f>
        <v>10176000</v>
      </c>
      <c r="Z69" s="64">
        <f>DTR!Z69+'Dai Loc'!Z69+'Dong Lam'!Z69+'Khanh Nga'!Z69+TDP!Z69+DTRVL!Z69</f>
        <v>10176000</v>
      </c>
    </row>
    <row r="70" spans="1:28" ht="15" hidden="1" customHeight="1" outlineLevel="1">
      <c r="A70" s="62" t="s">
        <v>154</v>
      </c>
      <c r="B70" s="63">
        <v>65</v>
      </c>
      <c r="C70" s="64">
        <f>DTR!C70+'Dai Loc'!C70+'Dong Lam'!C70+'Khanh Nga'!C70+TDP!C70+DTRVL!C70</f>
        <v>76909737409</v>
      </c>
      <c r="D70" s="64">
        <f>DTR!D70+'Dai Loc'!D70+'Dong Lam'!D70+'Khanh Nga'!D70+TDP!D70+DTRVL!D70</f>
        <v>77354925740</v>
      </c>
      <c r="E70" s="64">
        <f>DTR!E70+'Dai Loc'!E70+'Dong Lam'!E70+'Khanh Nga'!E70+TDP!E70+DTRVL!E70</f>
        <v>44549282580</v>
      </c>
      <c r="F70" s="64">
        <f>DTR!F70+'Dai Loc'!F70+'Dong Lam'!F70+'Khanh Nga'!F70+TDP!F70+DTRVL!F70</f>
        <v>40726666324</v>
      </c>
      <c r="G70" s="64">
        <f>DTR!G70+'Dai Loc'!G70+'Dong Lam'!G70+'Khanh Nga'!G70+TDP!G70+DTRVL!G70</f>
        <v>41138022198</v>
      </c>
      <c r="H70" s="64">
        <f>DTR!H70+'Dai Loc'!H70+'Dong Lam'!H70+'Khanh Nga'!H70+TDP!H70+DTRVL!H70</f>
        <v>45235750845</v>
      </c>
      <c r="I70" s="64">
        <f>DTR!I70+'Dai Loc'!I70+'Dong Lam'!I70+'Khanh Nga'!I70+TDP!I70+DTRVL!I70</f>
        <v>45073258774</v>
      </c>
      <c r="J70" s="64">
        <f>DTR!J70+'Dai Loc'!J70+'Dong Lam'!J70+'Khanh Nga'!J70+TDP!J70+DTRVL!J70</f>
        <v>42833855401</v>
      </c>
      <c r="K70" s="64">
        <f>DTR!K70+'Dai Loc'!K70+'Dong Lam'!K70+'Khanh Nga'!K70+TDP!K70+DTRVL!K70</f>
        <v>44122843903</v>
      </c>
      <c r="L70" s="64">
        <f>DTR!L70+'Dai Loc'!L70+'Dong Lam'!L70+'Khanh Nga'!L70+TDP!L70+DTRVL!L70</f>
        <v>44458406517</v>
      </c>
      <c r="M70" s="64">
        <f>DTR!M70+'Dai Loc'!M70+'Dong Lam'!M70+'Khanh Nga'!M70+TDP!M70+DTRVL!M70</f>
        <v>29542079466</v>
      </c>
      <c r="N70" s="64">
        <f>DTR!N70+'Dai Loc'!N70+'Dong Lam'!N70+'Khanh Nga'!N70+TDP!N70+DTRVL!N70</f>
        <v>37757397980</v>
      </c>
      <c r="O70" s="64">
        <f>DTR!O70+'Dai Loc'!O70+'Dong Lam'!O70+'Khanh Nga'!O70+TDP!O70+DTRVL!O70</f>
        <v>47351685312</v>
      </c>
      <c r="P70" s="64">
        <f>DTR!P70+'Dai Loc'!P70+'Dong Lam'!P70+'Khanh Nga'!P70+TDP!P70+DTRVL!P70</f>
        <v>33270243294</v>
      </c>
      <c r="Q70" s="64">
        <f>DTR!Q70+'Dai Loc'!Q70+'Dong Lam'!Q70+'Khanh Nga'!Q70+TDP!Q70+DTRVL!Q70</f>
        <v>28917153034</v>
      </c>
      <c r="R70" s="64">
        <f>DTR!R70+'Dai Loc'!R70+'Dong Lam'!R70+'Khanh Nga'!R70+TDP!R70+DTRVL!R70</f>
        <v>39983110298</v>
      </c>
      <c r="S70" s="64">
        <f>DTR!S70+'Dai Loc'!S70+'Dong Lam'!S70+'Khanh Nga'!S70+TDP!S70+DTRVL!S70</f>
        <v>48611974769</v>
      </c>
      <c r="T70" s="64">
        <f>DTR!T70+'Dai Loc'!T70+'Dong Lam'!T70+'Khanh Nga'!T70+TDP!T70+DTRVL!T70</f>
        <v>52991191597</v>
      </c>
      <c r="U70" s="64">
        <f>DTR!U70+'Dai Loc'!U70+'Dong Lam'!U70+'Khanh Nga'!U70+TDP!U70+DTRVL!U70</f>
        <v>54380932320</v>
      </c>
      <c r="V70" s="64">
        <f>DTR!V70+'Dai Loc'!V70+'Dong Lam'!V70+'Khanh Nga'!V70+TDP!V70+DTRVL!V70</f>
        <v>36472336589</v>
      </c>
      <c r="W70" s="64">
        <f>DTR!W70+'Dai Loc'!W70+'Dong Lam'!W70+'Khanh Nga'!W70+TDP!W70+DTRVL!W70</f>
        <v>46588311385</v>
      </c>
      <c r="X70" s="64">
        <f>DTR!X70+'Dai Loc'!X70+'Dong Lam'!X70+'Khanh Nga'!X70+TDP!X70+DTRVL!X70</f>
        <v>59728156173</v>
      </c>
      <c r="Y70" s="64">
        <f>DTR!Y70+'Dai Loc'!Y70+'Dong Lam'!Y70+'Khanh Nga'!Y70+TDP!Y70+DTRVL!Y70</f>
        <v>55485924548</v>
      </c>
      <c r="Z70" s="64">
        <f>DTR!Z70+'Dai Loc'!Z70+'Dong Lam'!Z70+'Khanh Nga'!Z70+TDP!Z70+DTRVL!Z70</f>
        <v>64584000344</v>
      </c>
    </row>
    <row r="71" spans="1:28" ht="15" hidden="1" customHeight="1" outlineLevel="1">
      <c r="A71" s="75" t="s">
        <v>155</v>
      </c>
      <c r="B71" s="65">
        <v>66</v>
      </c>
      <c r="C71" s="64">
        <f>DTR!C71+'Dai Loc'!C71+'Dong Lam'!C71+'Khanh Nga'!C71+TDP!C71+DTRVL!C71</f>
        <v>0</v>
      </c>
      <c r="D71" s="64">
        <f>DTR!D71+'Dai Loc'!D71+'Dong Lam'!D71+'Khanh Nga'!D71+TDP!D71+DTRVL!D71</f>
        <v>0</v>
      </c>
      <c r="E71" s="64">
        <f>DTR!E71+'Dai Loc'!E71+'Dong Lam'!E71+'Khanh Nga'!E71+TDP!E71+DTRVL!E71</f>
        <v>0</v>
      </c>
      <c r="F71" s="64">
        <f>DTR!F71+'Dai Loc'!F71+'Dong Lam'!F71+'Khanh Nga'!F71+TDP!F71+DTRVL!F71</f>
        <v>0</v>
      </c>
      <c r="G71" s="64">
        <f>DTR!G71+'Dai Loc'!G71+'Dong Lam'!G71+'Khanh Nga'!G71+TDP!G71+DTRVL!G71</f>
        <v>0</v>
      </c>
      <c r="H71" s="64">
        <f>DTR!H71+'Dai Loc'!H71+'Dong Lam'!H71+'Khanh Nga'!H71+TDP!H71+DTRVL!H71</f>
        <v>0</v>
      </c>
      <c r="I71" s="64">
        <f>DTR!I71+'Dai Loc'!I71+'Dong Lam'!I71+'Khanh Nga'!I71+TDP!I71+DTRVL!I71</f>
        <v>0</v>
      </c>
      <c r="J71" s="64">
        <f>DTR!J71+'Dai Loc'!J71+'Dong Lam'!J71+'Khanh Nga'!J71+TDP!J71+DTRVL!J71</f>
        <v>0</v>
      </c>
      <c r="K71" s="64">
        <f>DTR!K71+'Dai Loc'!K71+'Dong Lam'!K71+'Khanh Nga'!K71+TDP!K71+DTRVL!K71</f>
        <v>0</v>
      </c>
      <c r="L71" s="64">
        <f>DTR!L71+'Dai Loc'!L71+'Dong Lam'!L71+'Khanh Nga'!L71+TDP!L71+DTRVL!L71</f>
        <v>0</v>
      </c>
      <c r="M71" s="64">
        <f>DTR!M71+'Dai Loc'!M71+'Dong Lam'!M71+'Khanh Nga'!M71+TDP!M71+DTRVL!M71</f>
        <v>0</v>
      </c>
      <c r="N71" s="64">
        <f>DTR!N71+'Dai Loc'!N71+'Dong Lam'!N71+'Khanh Nga'!N71+TDP!N71+DTRVL!N71</f>
        <v>0</v>
      </c>
      <c r="O71" s="64">
        <f>DTR!O71+'Dai Loc'!O71+'Dong Lam'!O71+'Khanh Nga'!O71+TDP!O71+DTRVL!O71</f>
        <v>0</v>
      </c>
      <c r="P71" s="64">
        <f>DTR!P71+'Dai Loc'!P71+'Dong Lam'!P71+'Khanh Nga'!P71+TDP!P71+DTRVL!P71</f>
        <v>0</v>
      </c>
      <c r="Q71" s="64">
        <f>DTR!Q71+'Dai Loc'!Q71+'Dong Lam'!Q71+'Khanh Nga'!Q71+TDP!Q71+DTRVL!Q71</f>
        <v>0</v>
      </c>
      <c r="R71" s="64">
        <f>DTR!R71+'Dai Loc'!R71+'Dong Lam'!R71+'Khanh Nga'!R71+TDP!R71+DTRVL!R71</f>
        <v>0</v>
      </c>
      <c r="S71" s="64">
        <f>DTR!S71+'Dai Loc'!S71+'Dong Lam'!S71+'Khanh Nga'!S71+TDP!S71+DTRVL!S71</f>
        <v>0</v>
      </c>
      <c r="T71" s="64">
        <f>DTR!T71+'Dai Loc'!T71+'Dong Lam'!T71+'Khanh Nga'!T71+TDP!T71+DTRVL!T71</f>
        <v>0</v>
      </c>
      <c r="U71" s="64">
        <f>DTR!U71+'Dai Loc'!U71+'Dong Lam'!U71+'Khanh Nga'!U71+TDP!U71+DTRVL!U71</f>
        <v>0</v>
      </c>
      <c r="V71" s="64">
        <f>DTR!V71+'Dai Loc'!V71+'Dong Lam'!V71+'Khanh Nga'!V71+TDP!V71+DTRVL!V71</f>
        <v>0</v>
      </c>
      <c r="W71" s="64">
        <f>DTR!W71+'Dai Loc'!W71+'Dong Lam'!W71+'Khanh Nga'!W71+TDP!W71+DTRVL!W71</f>
        <v>0</v>
      </c>
      <c r="X71" s="64">
        <f>DTR!X71+'Dai Loc'!X71+'Dong Lam'!X71+'Khanh Nga'!X71+TDP!X71+DTRVL!X71</f>
        <v>0</v>
      </c>
      <c r="Y71" s="64">
        <f>DTR!Y71+'Dai Loc'!Y71+'Dong Lam'!Y71+'Khanh Nga'!Y71+TDP!Y71+DTRVL!Y71</f>
        <v>0</v>
      </c>
      <c r="Z71" s="64">
        <f>DTR!Z71+'Dai Loc'!Z71+'Dong Lam'!Z71+'Khanh Nga'!Z71+TDP!Z71+DTRVL!Z71</f>
        <v>0</v>
      </c>
    </row>
    <row r="72" spans="1:28" ht="15" hidden="1" customHeight="1" outlineLevel="1">
      <c r="A72" s="62" t="s">
        <v>156</v>
      </c>
      <c r="B72" s="63">
        <v>67</v>
      </c>
      <c r="C72" s="64">
        <f>DTR!C72+'Dai Loc'!C72+'Dong Lam'!C72+'Khanh Nga'!C72+TDP!C72+DTRVL!C72</f>
        <v>0</v>
      </c>
      <c r="D72" s="64">
        <f>DTR!D72+'Dai Loc'!D72+'Dong Lam'!D72+'Khanh Nga'!D72+TDP!D72+DTRVL!D72</f>
        <v>0</v>
      </c>
      <c r="E72" s="64">
        <f>DTR!E72+'Dai Loc'!E72+'Dong Lam'!E72+'Khanh Nga'!E72+TDP!E72+DTRVL!E72</f>
        <v>0</v>
      </c>
      <c r="F72" s="64">
        <f>DTR!F72+'Dai Loc'!F72+'Dong Lam'!F72+'Khanh Nga'!F72+TDP!F72+DTRVL!F72</f>
        <v>0</v>
      </c>
      <c r="G72" s="64">
        <f>DTR!G72+'Dai Loc'!G72+'Dong Lam'!G72+'Khanh Nga'!G72+TDP!G72+DTRVL!G72</f>
        <v>0</v>
      </c>
      <c r="H72" s="64">
        <f>DTR!H72+'Dai Loc'!H72+'Dong Lam'!H72+'Khanh Nga'!H72+TDP!H72+DTRVL!H72</f>
        <v>0</v>
      </c>
      <c r="I72" s="64">
        <f>DTR!I72+'Dai Loc'!I72+'Dong Lam'!I72+'Khanh Nga'!I72+TDP!I72+DTRVL!I72</f>
        <v>0</v>
      </c>
      <c r="J72" s="64">
        <f>DTR!J72+'Dai Loc'!J72+'Dong Lam'!J72+'Khanh Nga'!J72+TDP!J72+DTRVL!J72</f>
        <v>0</v>
      </c>
      <c r="K72" s="64">
        <f>DTR!K72+'Dai Loc'!K72+'Dong Lam'!K72+'Khanh Nga'!K72+TDP!K72+DTRVL!K72</f>
        <v>0</v>
      </c>
      <c r="L72" s="64">
        <f>DTR!L72+'Dai Loc'!L72+'Dong Lam'!L72+'Khanh Nga'!L72+TDP!L72+DTRVL!L72</f>
        <v>0</v>
      </c>
      <c r="M72" s="64">
        <f>DTR!M72+'Dai Loc'!M72+'Dong Lam'!M72+'Khanh Nga'!M72+TDP!M72+DTRVL!M72</f>
        <v>0</v>
      </c>
      <c r="N72" s="64">
        <f>DTR!N72+'Dai Loc'!N72+'Dong Lam'!N72+'Khanh Nga'!N72+TDP!N72+DTRVL!N72</f>
        <v>0</v>
      </c>
      <c r="O72" s="64">
        <f>DTR!O72+'Dai Loc'!O72+'Dong Lam'!O72+'Khanh Nga'!O72+TDP!O72+DTRVL!O72</f>
        <v>0</v>
      </c>
      <c r="P72" s="64">
        <f>DTR!P72+'Dai Loc'!P72+'Dong Lam'!P72+'Khanh Nga'!P72+TDP!P72+DTRVL!P72</f>
        <v>0</v>
      </c>
      <c r="Q72" s="64">
        <f>DTR!Q72+'Dai Loc'!Q72+'Dong Lam'!Q72+'Khanh Nga'!Q72+TDP!Q72+DTRVL!Q72</f>
        <v>0</v>
      </c>
      <c r="R72" s="64">
        <f>DTR!R72+'Dai Loc'!R72+'Dong Lam'!R72+'Khanh Nga'!R72+TDP!R72+DTRVL!R72</f>
        <v>0</v>
      </c>
      <c r="S72" s="64">
        <f>DTR!S72+'Dai Loc'!S72+'Dong Lam'!S72+'Khanh Nga'!S72+TDP!S72+DTRVL!S72</f>
        <v>0</v>
      </c>
      <c r="T72" s="64">
        <f>DTR!T72+'Dai Loc'!T72+'Dong Lam'!T72+'Khanh Nga'!T72+TDP!T72+DTRVL!T72</f>
        <v>0</v>
      </c>
      <c r="U72" s="64">
        <f>DTR!U72+'Dai Loc'!U72+'Dong Lam'!U72+'Khanh Nga'!U72+TDP!U72+DTRVL!U72</f>
        <v>0</v>
      </c>
      <c r="V72" s="64">
        <f>DTR!V72+'Dai Loc'!V72+'Dong Lam'!V72+'Khanh Nga'!V72+TDP!V72+DTRVL!V72</f>
        <v>0</v>
      </c>
      <c r="W72" s="64">
        <f>DTR!W72+'Dai Loc'!W72+'Dong Lam'!W72+'Khanh Nga'!W72+TDP!W72+DTRVL!W72</f>
        <v>0</v>
      </c>
      <c r="X72" s="64">
        <f>DTR!X72+'Dai Loc'!X72+'Dong Lam'!X72+'Khanh Nga'!X72+TDP!X72+DTRVL!X72</f>
        <v>0</v>
      </c>
      <c r="Y72" s="64">
        <f>DTR!Y72+'Dai Loc'!Y72+'Dong Lam'!Y72+'Khanh Nga'!Y72+TDP!Y72+DTRVL!Y72</f>
        <v>0</v>
      </c>
      <c r="Z72" s="64">
        <f>DTR!Z72+'Dai Loc'!Z72+'Dong Lam'!Z72+'Khanh Nga'!Z72+TDP!Z72+DTRVL!Z72</f>
        <v>0</v>
      </c>
    </row>
    <row r="73" spans="1:28" ht="15" hidden="1" customHeight="1" outlineLevel="1">
      <c r="A73" s="62" t="s">
        <v>157</v>
      </c>
      <c r="B73" s="63">
        <v>68</v>
      </c>
      <c r="C73" s="64">
        <f>DTR!C73+'Dai Loc'!C73+'Dong Lam'!C73+'Khanh Nga'!C73+TDP!C73+DTRVL!C73</f>
        <v>0</v>
      </c>
      <c r="D73" s="64">
        <f>DTR!D73+'Dai Loc'!D73+'Dong Lam'!D73+'Khanh Nga'!D73+TDP!D73+DTRVL!D73</f>
        <v>0</v>
      </c>
      <c r="E73" s="64">
        <f>DTR!E73+'Dai Loc'!E73+'Dong Lam'!E73+'Khanh Nga'!E73+TDP!E73+DTRVL!E73</f>
        <v>0</v>
      </c>
      <c r="F73" s="64">
        <f>DTR!F73+'Dai Loc'!F73+'Dong Lam'!F73+'Khanh Nga'!F73+TDP!F73+DTRVL!F73</f>
        <v>0</v>
      </c>
      <c r="G73" s="64">
        <f>DTR!G73+'Dai Loc'!G73+'Dong Lam'!G73+'Khanh Nga'!G73+TDP!G73+DTRVL!G73</f>
        <v>0</v>
      </c>
      <c r="H73" s="64">
        <f>DTR!H73+'Dai Loc'!H73+'Dong Lam'!H73+'Khanh Nga'!H73+TDP!H73+DTRVL!H73</f>
        <v>0</v>
      </c>
      <c r="I73" s="64">
        <f>DTR!I73+'Dai Loc'!I73+'Dong Lam'!I73+'Khanh Nga'!I73+TDP!I73+DTRVL!I73</f>
        <v>0</v>
      </c>
      <c r="J73" s="64">
        <f>DTR!J73+'Dai Loc'!J73+'Dong Lam'!J73+'Khanh Nga'!J73+TDP!J73+DTRVL!J73</f>
        <v>0</v>
      </c>
      <c r="K73" s="64">
        <f>DTR!K73+'Dai Loc'!K73+'Dong Lam'!K73+'Khanh Nga'!K73+TDP!K73+DTRVL!K73</f>
        <v>0</v>
      </c>
      <c r="L73" s="64">
        <f>DTR!L73+'Dai Loc'!L73+'Dong Lam'!L73+'Khanh Nga'!L73+TDP!L73+DTRVL!L73</f>
        <v>0</v>
      </c>
      <c r="M73" s="64">
        <f>DTR!M73+'Dai Loc'!M73+'Dong Lam'!M73+'Khanh Nga'!M73+TDP!M73+DTRVL!M73</f>
        <v>0</v>
      </c>
      <c r="N73" s="64">
        <f>DTR!N73+'Dai Loc'!N73+'Dong Lam'!N73+'Khanh Nga'!N73+TDP!N73+DTRVL!N73</f>
        <v>0</v>
      </c>
      <c r="O73" s="64">
        <f>DTR!O73+'Dai Loc'!O73+'Dong Lam'!O73+'Khanh Nga'!O73+TDP!O73+DTRVL!O73</f>
        <v>0</v>
      </c>
      <c r="P73" s="64">
        <f>DTR!P73+'Dai Loc'!P73+'Dong Lam'!P73+'Khanh Nga'!P73+TDP!P73+DTRVL!P73</f>
        <v>0</v>
      </c>
      <c r="Q73" s="64">
        <f>DTR!Q73+'Dai Loc'!Q73+'Dong Lam'!Q73+'Khanh Nga'!Q73+TDP!Q73+DTRVL!Q73</f>
        <v>0</v>
      </c>
      <c r="R73" s="64">
        <f>DTR!R73+'Dai Loc'!R73+'Dong Lam'!R73+'Khanh Nga'!R73+TDP!R73+DTRVL!R73</f>
        <v>0</v>
      </c>
      <c r="S73" s="64">
        <f>DTR!S73+'Dai Loc'!S73+'Dong Lam'!S73+'Khanh Nga'!S73+TDP!S73+DTRVL!S73</f>
        <v>0</v>
      </c>
      <c r="T73" s="64">
        <f>DTR!T73+'Dai Loc'!T73+'Dong Lam'!T73+'Khanh Nga'!T73+TDP!T73+DTRVL!T73</f>
        <v>0</v>
      </c>
      <c r="U73" s="64">
        <f>DTR!U73+'Dai Loc'!U73+'Dong Lam'!U73+'Khanh Nga'!U73+TDP!U73+DTRVL!U73</f>
        <v>0</v>
      </c>
      <c r="V73" s="64">
        <f>DTR!V73+'Dai Loc'!V73+'Dong Lam'!V73+'Khanh Nga'!V73+TDP!V73+DTRVL!V73</f>
        <v>0</v>
      </c>
      <c r="W73" s="64">
        <f>DTR!W73+'Dai Loc'!W73+'Dong Lam'!W73+'Khanh Nga'!W73+TDP!W73+DTRVL!W73</f>
        <v>0</v>
      </c>
      <c r="X73" s="64">
        <f>DTR!X73+'Dai Loc'!X73+'Dong Lam'!X73+'Khanh Nga'!X73+TDP!X73+DTRVL!X73</f>
        <v>0</v>
      </c>
      <c r="Y73" s="64">
        <f>DTR!Y73+'Dai Loc'!Y73+'Dong Lam'!Y73+'Khanh Nga'!Y73+TDP!Y73+DTRVL!Y73</f>
        <v>0</v>
      </c>
      <c r="Z73" s="64">
        <f>DTR!Z73+'Dai Loc'!Z73+'Dong Lam'!Z73+'Khanh Nga'!Z73+TDP!Z73+DTRVL!Z73</f>
        <v>0</v>
      </c>
    </row>
    <row r="74" spans="1:28" ht="15" hidden="1" customHeight="1" outlineLevel="1">
      <c r="A74" s="62" t="s">
        <v>158</v>
      </c>
      <c r="B74" s="63">
        <v>69</v>
      </c>
      <c r="C74" s="64">
        <f>DTR!C74+'Dai Loc'!C74+'Dong Lam'!C74+'Khanh Nga'!C74+TDP!C74+DTRVL!C74</f>
        <v>0</v>
      </c>
      <c r="D74" s="64">
        <f>DTR!D74+'Dai Loc'!D74+'Dong Lam'!D74+'Khanh Nga'!D74+TDP!D74+DTRVL!D74</f>
        <v>0</v>
      </c>
      <c r="E74" s="64">
        <f>DTR!E74+'Dai Loc'!E74+'Dong Lam'!E74+'Khanh Nga'!E74+TDP!E74+DTRVL!E74</f>
        <v>0</v>
      </c>
      <c r="F74" s="64">
        <f>DTR!F74+'Dai Loc'!F74+'Dong Lam'!F74+'Khanh Nga'!F74+TDP!F74+DTRVL!F74</f>
        <v>0</v>
      </c>
      <c r="G74" s="64">
        <f>DTR!G74+'Dai Loc'!G74+'Dong Lam'!G74+'Khanh Nga'!G74+TDP!G74+DTRVL!G74</f>
        <v>0</v>
      </c>
      <c r="H74" s="64">
        <f>DTR!H74+'Dai Loc'!H74+'Dong Lam'!H74+'Khanh Nga'!H74+TDP!H74+DTRVL!H74</f>
        <v>0</v>
      </c>
      <c r="I74" s="64">
        <f>DTR!I74+'Dai Loc'!I74+'Dong Lam'!I74+'Khanh Nga'!I74+TDP!I74+DTRVL!I74</f>
        <v>0</v>
      </c>
      <c r="J74" s="64">
        <f>DTR!J74+'Dai Loc'!J74+'Dong Lam'!J74+'Khanh Nga'!J74+TDP!J74+DTRVL!J74</f>
        <v>0</v>
      </c>
      <c r="K74" s="64">
        <f>DTR!K74+'Dai Loc'!K74+'Dong Lam'!K74+'Khanh Nga'!K74+TDP!K74+DTRVL!K74</f>
        <v>0</v>
      </c>
      <c r="L74" s="64">
        <f>DTR!L74+'Dai Loc'!L74+'Dong Lam'!L74+'Khanh Nga'!L74+TDP!L74+DTRVL!L74</f>
        <v>0</v>
      </c>
      <c r="M74" s="64">
        <f>DTR!M74+'Dai Loc'!M74+'Dong Lam'!M74+'Khanh Nga'!M74+TDP!M74+DTRVL!M74</f>
        <v>0</v>
      </c>
      <c r="N74" s="64">
        <f>DTR!N74+'Dai Loc'!N74+'Dong Lam'!N74+'Khanh Nga'!N74+TDP!N74+DTRVL!N74</f>
        <v>0</v>
      </c>
      <c r="O74" s="64">
        <f>DTR!O74+'Dai Loc'!O74+'Dong Lam'!O74+'Khanh Nga'!O74+TDP!O74+DTRVL!O74</f>
        <v>0</v>
      </c>
      <c r="P74" s="64">
        <f>DTR!P74+'Dai Loc'!P74+'Dong Lam'!P74+'Khanh Nga'!P74+TDP!P74+DTRVL!P74</f>
        <v>0</v>
      </c>
      <c r="Q74" s="64">
        <f>DTR!Q74+'Dai Loc'!Q74+'Dong Lam'!Q74+'Khanh Nga'!Q74+TDP!Q74+DTRVL!Q74</f>
        <v>0</v>
      </c>
      <c r="R74" s="64">
        <f>DTR!R74+'Dai Loc'!R74+'Dong Lam'!R74+'Khanh Nga'!R74+TDP!R74+DTRVL!R74</f>
        <v>0</v>
      </c>
      <c r="S74" s="64">
        <f>DTR!S74+'Dai Loc'!S74+'Dong Lam'!S74+'Khanh Nga'!S74+TDP!S74+DTRVL!S74</f>
        <v>0</v>
      </c>
      <c r="T74" s="64">
        <f>DTR!T74+'Dai Loc'!T74+'Dong Lam'!T74+'Khanh Nga'!T74+TDP!T74+DTRVL!T74</f>
        <v>0</v>
      </c>
      <c r="U74" s="64">
        <f>DTR!U74+'Dai Loc'!U74+'Dong Lam'!U74+'Khanh Nga'!U74+TDP!U74+DTRVL!U74</f>
        <v>0</v>
      </c>
      <c r="V74" s="64">
        <f>DTR!V74+'Dai Loc'!V74+'Dong Lam'!V74+'Khanh Nga'!V74+TDP!V74+DTRVL!V74</f>
        <v>0</v>
      </c>
      <c r="W74" s="64">
        <f>DTR!W74+'Dai Loc'!W74+'Dong Lam'!W74+'Khanh Nga'!W74+TDP!W74+DTRVL!W74</f>
        <v>0</v>
      </c>
      <c r="X74" s="64">
        <f>DTR!X74+'Dai Loc'!X74+'Dong Lam'!X74+'Khanh Nga'!X74+TDP!X74+DTRVL!X74</f>
        <v>0</v>
      </c>
      <c r="Y74" s="64">
        <f>DTR!Y74+'Dai Loc'!Y74+'Dong Lam'!Y74+'Khanh Nga'!Y74+TDP!Y74+DTRVL!Y74</f>
        <v>0</v>
      </c>
      <c r="Z74" s="64">
        <f>DTR!Z74+'Dai Loc'!Z74+'Dong Lam'!Z74+'Khanh Nga'!Z74+TDP!Z74+DTRVL!Z74</f>
        <v>0</v>
      </c>
    </row>
    <row r="75" spans="1:28" ht="15" hidden="1" customHeight="1" outlineLevel="1">
      <c r="A75" s="62" t="s">
        <v>159</v>
      </c>
      <c r="B75" s="63">
        <v>70</v>
      </c>
      <c r="C75" s="64">
        <f>DTR!C75+'Dai Loc'!C75+'Dong Lam'!C75+'Khanh Nga'!C75+TDP!C75+DTRVL!C75</f>
        <v>0</v>
      </c>
      <c r="D75" s="64">
        <f>DTR!D75+'Dai Loc'!D75+'Dong Lam'!D75+'Khanh Nga'!D75+TDP!D75+DTRVL!D75</f>
        <v>0</v>
      </c>
      <c r="E75" s="64">
        <f>DTR!E75+'Dai Loc'!E75+'Dong Lam'!E75+'Khanh Nga'!E75+TDP!E75+DTRVL!E75</f>
        <v>0</v>
      </c>
      <c r="F75" s="64">
        <f>DTR!F75+'Dai Loc'!F75+'Dong Lam'!F75+'Khanh Nga'!F75+TDP!F75+DTRVL!F75</f>
        <v>0</v>
      </c>
      <c r="G75" s="64">
        <f>DTR!G75+'Dai Loc'!G75+'Dong Lam'!G75+'Khanh Nga'!G75+TDP!G75+DTRVL!G75</f>
        <v>0</v>
      </c>
      <c r="H75" s="64">
        <f>DTR!H75+'Dai Loc'!H75+'Dong Lam'!H75+'Khanh Nga'!H75+TDP!H75+DTRVL!H75</f>
        <v>0</v>
      </c>
      <c r="I75" s="64">
        <f>DTR!I75+'Dai Loc'!I75+'Dong Lam'!I75+'Khanh Nga'!I75+TDP!I75+DTRVL!I75</f>
        <v>0</v>
      </c>
      <c r="J75" s="64">
        <f>DTR!J75+'Dai Loc'!J75+'Dong Lam'!J75+'Khanh Nga'!J75+TDP!J75+DTRVL!J75</f>
        <v>0</v>
      </c>
      <c r="K75" s="64">
        <f>DTR!K75+'Dai Loc'!K75+'Dong Lam'!K75+'Khanh Nga'!K75+TDP!K75+DTRVL!K75</f>
        <v>0</v>
      </c>
      <c r="L75" s="64">
        <f>DTR!L75+'Dai Loc'!L75+'Dong Lam'!L75+'Khanh Nga'!L75+TDP!L75+DTRVL!L75</f>
        <v>0</v>
      </c>
      <c r="M75" s="64">
        <f>DTR!M75+'Dai Loc'!M75+'Dong Lam'!M75+'Khanh Nga'!M75+TDP!M75+DTRVL!M75</f>
        <v>0</v>
      </c>
      <c r="N75" s="64">
        <f>DTR!N75+'Dai Loc'!N75+'Dong Lam'!N75+'Khanh Nga'!N75+TDP!N75+DTRVL!N75</f>
        <v>0</v>
      </c>
      <c r="O75" s="64">
        <f>DTR!O75+'Dai Loc'!O75+'Dong Lam'!O75+'Khanh Nga'!O75+TDP!O75+DTRVL!O75</f>
        <v>0</v>
      </c>
      <c r="P75" s="64">
        <f>DTR!P75+'Dai Loc'!P75+'Dong Lam'!P75+'Khanh Nga'!P75+TDP!P75+DTRVL!P75</f>
        <v>0</v>
      </c>
      <c r="Q75" s="64">
        <f>DTR!Q75+'Dai Loc'!Q75+'Dong Lam'!Q75+'Khanh Nga'!Q75+TDP!Q75+DTRVL!Q75</f>
        <v>0</v>
      </c>
      <c r="R75" s="64">
        <f>DTR!R75+'Dai Loc'!R75+'Dong Lam'!R75+'Khanh Nga'!R75+TDP!R75+DTRVL!R75</f>
        <v>0</v>
      </c>
      <c r="S75" s="64">
        <f>DTR!S75+'Dai Loc'!S75+'Dong Lam'!S75+'Khanh Nga'!S75+TDP!S75+DTRVL!S75</f>
        <v>0</v>
      </c>
      <c r="T75" s="64">
        <f>DTR!T75+'Dai Loc'!T75+'Dong Lam'!T75+'Khanh Nga'!T75+TDP!T75+DTRVL!T75</f>
        <v>0</v>
      </c>
      <c r="U75" s="64">
        <f>DTR!U75+'Dai Loc'!U75+'Dong Lam'!U75+'Khanh Nga'!U75+TDP!U75+DTRVL!U75</f>
        <v>0</v>
      </c>
      <c r="V75" s="64">
        <f>DTR!V75+'Dai Loc'!V75+'Dong Lam'!V75+'Khanh Nga'!V75+TDP!V75+DTRVL!V75</f>
        <v>0</v>
      </c>
      <c r="W75" s="64">
        <f>DTR!W75+'Dai Loc'!W75+'Dong Lam'!W75+'Khanh Nga'!W75+TDP!W75+DTRVL!W75</f>
        <v>0</v>
      </c>
      <c r="X75" s="64">
        <f>DTR!X75+'Dai Loc'!X75+'Dong Lam'!X75+'Khanh Nga'!X75+TDP!X75+DTRVL!X75</f>
        <v>0</v>
      </c>
      <c r="Y75" s="64">
        <f>DTR!Y75+'Dai Loc'!Y75+'Dong Lam'!Y75+'Khanh Nga'!Y75+TDP!Y75+DTRVL!Y75</f>
        <v>0</v>
      </c>
      <c r="Z75" s="64">
        <f>DTR!Z75+'Dai Loc'!Z75+'Dong Lam'!Z75+'Khanh Nga'!Z75+TDP!Z75+DTRVL!Z75</f>
        <v>0</v>
      </c>
    </row>
    <row r="76" spans="1:28" ht="15" hidden="1" customHeight="1" outlineLevel="1">
      <c r="A76" s="66" t="s">
        <v>160</v>
      </c>
      <c r="B76" s="63">
        <v>71</v>
      </c>
      <c r="C76" s="64">
        <f>DTR!C76+'Dai Loc'!C76+'Dong Lam'!C76+'Khanh Nga'!C76+TDP!C76+DTRVL!C76</f>
        <v>0</v>
      </c>
      <c r="D76" s="64">
        <f>DTR!D76+'Dai Loc'!D76+'Dong Lam'!D76+'Khanh Nga'!D76+TDP!D76+DTRVL!D76</f>
        <v>0</v>
      </c>
      <c r="E76" s="64">
        <f>DTR!E76+'Dai Loc'!E76+'Dong Lam'!E76+'Khanh Nga'!E76+TDP!E76+DTRVL!E76</f>
        <v>0</v>
      </c>
      <c r="F76" s="64">
        <f>DTR!F76+'Dai Loc'!F76+'Dong Lam'!F76+'Khanh Nga'!F76+TDP!F76+DTRVL!F76</f>
        <v>0</v>
      </c>
      <c r="G76" s="64">
        <f>DTR!G76+'Dai Loc'!G76+'Dong Lam'!G76+'Khanh Nga'!G76+TDP!G76+DTRVL!G76</f>
        <v>0</v>
      </c>
      <c r="H76" s="64">
        <f>DTR!H76+'Dai Loc'!H76+'Dong Lam'!H76+'Khanh Nga'!H76+TDP!H76+DTRVL!H76</f>
        <v>0</v>
      </c>
      <c r="I76" s="64">
        <f>DTR!I76+'Dai Loc'!I76+'Dong Lam'!I76+'Khanh Nga'!I76+TDP!I76+DTRVL!I76</f>
        <v>0</v>
      </c>
      <c r="J76" s="64">
        <f>DTR!J76+'Dai Loc'!J76+'Dong Lam'!J76+'Khanh Nga'!J76+TDP!J76+DTRVL!J76</f>
        <v>0</v>
      </c>
      <c r="K76" s="64">
        <f>DTR!K76+'Dai Loc'!K76+'Dong Lam'!K76+'Khanh Nga'!K76+TDP!K76+DTRVL!K76</f>
        <v>0</v>
      </c>
      <c r="L76" s="64">
        <f>DTR!L76+'Dai Loc'!L76+'Dong Lam'!L76+'Khanh Nga'!L76+TDP!L76+DTRVL!L76</f>
        <v>0</v>
      </c>
      <c r="M76" s="64">
        <f>DTR!M76+'Dai Loc'!M76+'Dong Lam'!M76+'Khanh Nga'!M76+TDP!M76+DTRVL!M76</f>
        <v>0</v>
      </c>
      <c r="N76" s="64">
        <f>DTR!N76+'Dai Loc'!N76+'Dong Lam'!N76+'Khanh Nga'!N76+TDP!N76+DTRVL!N76</f>
        <v>0</v>
      </c>
      <c r="O76" s="64">
        <f>DTR!O76+'Dai Loc'!O76+'Dong Lam'!O76+'Khanh Nga'!O76+TDP!O76+DTRVL!O76</f>
        <v>0</v>
      </c>
      <c r="P76" s="64">
        <f>DTR!P76+'Dai Loc'!P76+'Dong Lam'!P76+'Khanh Nga'!P76+TDP!P76+DTRVL!P76</f>
        <v>0</v>
      </c>
      <c r="Q76" s="64">
        <f>DTR!Q76+'Dai Loc'!Q76+'Dong Lam'!Q76+'Khanh Nga'!Q76+TDP!Q76+DTRVL!Q76</f>
        <v>0</v>
      </c>
      <c r="R76" s="64">
        <f>DTR!R76+'Dai Loc'!R76+'Dong Lam'!R76+'Khanh Nga'!R76+TDP!R76+DTRVL!R76</f>
        <v>0</v>
      </c>
      <c r="S76" s="64">
        <f>DTR!S76+'Dai Loc'!S76+'Dong Lam'!S76+'Khanh Nga'!S76+TDP!S76+DTRVL!S76</f>
        <v>0</v>
      </c>
      <c r="T76" s="64">
        <f>DTR!T76+'Dai Loc'!T76+'Dong Lam'!T76+'Khanh Nga'!T76+TDP!T76+DTRVL!T76</f>
        <v>0</v>
      </c>
      <c r="U76" s="64">
        <f>DTR!U76+'Dai Loc'!U76+'Dong Lam'!U76+'Khanh Nga'!U76+TDP!U76+DTRVL!U76</f>
        <v>0</v>
      </c>
      <c r="V76" s="64">
        <f>DTR!V76+'Dai Loc'!V76+'Dong Lam'!V76+'Khanh Nga'!V76+TDP!V76+DTRVL!V76</f>
        <v>0</v>
      </c>
      <c r="W76" s="64">
        <f>DTR!W76+'Dai Loc'!W76+'Dong Lam'!W76+'Khanh Nga'!W76+TDP!W76+DTRVL!W76</f>
        <v>0</v>
      </c>
      <c r="X76" s="64">
        <f>DTR!X76+'Dai Loc'!X76+'Dong Lam'!X76+'Khanh Nga'!X76+TDP!X76+DTRVL!X76</f>
        <v>0</v>
      </c>
      <c r="Y76" s="64">
        <f>DTR!Y76+'Dai Loc'!Y76+'Dong Lam'!Y76+'Khanh Nga'!Y76+TDP!Y76+DTRVL!Y76</f>
        <v>0</v>
      </c>
      <c r="Z76" s="64">
        <f>DTR!Z76+'Dai Loc'!Z76+'Dong Lam'!Z76+'Khanh Nga'!Z76+TDP!Z76+DTRVL!Z76</f>
        <v>0</v>
      </c>
    </row>
    <row r="77" spans="1:28" ht="15" hidden="1" customHeight="1" outlineLevel="1">
      <c r="A77" s="66" t="s">
        <v>161</v>
      </c>
      <c r="B77" s="63">
        <v>72</v>
      </c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8" s="78" customFormat="1" ht="15" hidden="1" customHeight="1" outlineLevel="1">
      <c r="A78" s="76" t="s">
        <v>162</v>
      </c>
      <c r="B78" s="65">
        <v>73</v>
      </c>
      <c r="C78" s="77">
        <f>DTR!C78+'Dai Loc'!C78+'Dong Lam'!C78+'Khanh Nga'!C78+TDP!C78+DTRVL!C78</f>
        <v>5400042499</v>
      </c>
      <c r="D78" s="77">
        <f>DTR!D78+'Dai Loc'!D78+'Dong Lam'!D78+'Khanh Nga'!D78+TDP!D78+DTRVL!D78</f>
        <v>5122374256</v>
      </c>
      <c r="E78" s="77">
        <f>DTR!E78+'Dai Loc'!E78+'Dong Lam'!E78+'Khanh Nga'!E78+TDP!E78+DTRVL!E78</f>
        <v>6108142400</v>
      </c>
      <c r="F78" s="77">
        <f>DTR!F78+'Dai Loc'!F78+'Dong Lam'!F78+'Khanh Nga'!F78+TDP!F78+DTRVL!F78</f>
        <v>6691697581</v>
      </c>
      <c r="G78" s="77">
        <f>DTR!G78+'Dai Loc'!G78+'Dong Lam'!G78+'Khanh Nga'!G78+TDP!G78+DTRVL!G78</f>
        <v>6073217039</v>
      </c>
      <c r="H78" s="77">
        <f>DTR!H78+'Dai Loc'!H78+'Dong Lam'!H78+'Khanh Nga'!H78+TDP!H78+DTRVL!H78</f>
        <v>5922983520</v>
      </c>
      <c r="I78" s="77">
        <f>DTR!I78+'Dai Loc'!I78+'Dong Lam'!I78+'Khanh Nga'!I78+TDP!I78+DTRVL!I78</f>
        <v>6293381718</v>
      </c>
      <c r="J78" s="77">
        <f>DTR!J78+'Dai Loc'!J78+'Dong Lam'!J78+'Khanh Nga'!J78+TDP!J78+DTRVL!J78</f>
        <v>7144685884</v>
      </c>
      <c r="K78" s="77">
        <f>DTR!K78+'Dai Loc'!K78+'Dong Lam'!K78+'Khanh Nga'!K78+TDP!K78+DTRVL!K78</f>
        <v>6789281721</v>
      </c>
      <c r="L78" s="77">
        <f>DTR!L78+'Dai Loc'!L78+'Dong Lam'!L78+'Khanh Nga'!L78+TDP!L78+DTRVL!L78</f>
        <v>6545884719</v>
      </c>
      <c r="M78" s="77">
        <f>DTR!M78+'Dai Loc'!M78+'Dong Lam'!M78+'Khanh Nga'!M78+TDP!M78+DTRVL!M78</f>
        <v>6744136746</v>
      </c>
      <c r="N78" s="77">
        <f>DTR!N78+'Dai Loc'!N78+'Dong Lam'!N78+'Khanh Nga'!N78+TDP!N78+DTRVL!N78</f>
        <v>7473903734</v>
      </c>
      <c r="O78" s="77">
        <f>DTR!O78+'Dai Loc'!O78+'Dong Lam'!O78+'Khanh Nga'!O78+TDP!O78+DTRVL!O78</f>
        <v>5647435742</v>
      </c>
      <c r="P78" s="77">
        <f>DTR!P78+'Dai Loc'!P78+'Dong Lam'!P78+'Khanh Nga'!P78+TDP!P78+DTRVL!P78</f>
        <v>9071341234</v>
      </c>
      <c r="Q78" s="77">
        <f>DTR!Q78+'Dai Loc'!Q78+'Dong Lam'!Q78+'Khanh Nga'!Q78+TDP!Q78+DTRVL!Q78</f>
        <v>10968199214</v>
      </c>
      <c r="R78" s="77">
        <f>DTR!R78+'Dai Loc'!R78+'Dong Lam'!R78+'Khanh Nga'!R78+TDP!R78+DTRVL!R78</f>
        <v>10719874211</v>
      </c>
      <c r="S78" s="77">
        <f>DTR!S78+'Dai Loc'!S78+'Dong Lam'!S78+'Khanh Nga'!S78+TDP!S78+DTRVL!S78</f>
        <v>11205380817</v>
      </c>
      <c r="T78" s="77">
        <f>DTR!T78+'Dai Loc'!T78+'Dong Lam'!T78+'Khanh Nga'!T78+TDP!T78+DTRVL!T78</f>
        <v>11616370097</v>
      </c>
      <c r="U78" s="77">
        <f>DTR!U78+'Dai Loc'!U78+'Dong Lam'!U78+'Khanh Nga'!U78+TDP!U78+DTRVL!U78</f>
        <v>11200435089</v>
      </c>
      <c r="V78" s="77">
        <f>DTR!V78+'Dai Loc'!V78+'Dong Lam'!V78+'Khanh Nga'!V78+TDP!V78+DTRVL!V78</f>
        <v>11375608560</v>
      </c>
      <c r="W78" s="77">
        <f>DTR!W78+'Dai Loc'!W78+'Dong Lam'!W78+'Khanh Nga'!W78+TDP!W78+DTRVL!W78</f>
        <v>11484782005</v>
      </c>
      <c r="X78" s="77">
        <f>DTR!X78+'Dai Loc'!X78+'Dong Lam'!X78+'Khanh Nga'!X78+TDP!X78+DTRVL!X78</f>
        <v>11895438934</v>
      </c>
      <c r="Y78" s="77">
        <f>DTR!Y78+'Dai Loc'!Y78+'Dong Lam'!Y78+'Khanh Nga'!Y78+TDP!Y78+DTRVL!Y78</f>
        <v>11714919536</v>
      </c>
      <c r="Z78" s="77">
        <f>DTR!Z78+'Dai Loc'!Z78+'Dong Lam'!Z78+'Khanh Nga'!Z78+TDP!Z78+DTRVL!Z78</f>
        <v>11383330015</v>
      </c>
      <c r="AB78" s="79"/>
    </row>
    <row r="79" spans="1:28" ht="15" hidden="1" customHeight="1" outlineLevel="1">
      <c r="A79" s="67" t="s">
        <v>163</v>
      </c>
      <c r="B79" s="63">
        <v>74</v>
      </c>
      <c r="C79" s="64">
        <f>DTR!C79+'Dai Loc'!C79+'Dong Lam'!C79+'Khanh Nga'!C79+TDP!C79+DTRVL!C79</f>
        <v>5400042499</v>
      </c>
      <c r="D79" s="64">
        <f>DTR!D79+'Dai Loc'!D79+'Dong Lam'!D79+'Khanh Nga'!D79+TDP!D79+DTRVL!D79</f>
        <v>5122374256</v>
      </c>
      <c r="E79" s="64">
        <f>DTR!E79+'Dai Loc'!E79+'Dong Lam'!E79+'Khanh Nga'!E79+TDP!E79+DTRVL!E79</f>
        <v>6108142400</v>
      </c>
      <c r="F79" s="64">
        <f>DTR!F79+'Dai Loc'!F79+'Dong Lam'!F79+'Khanh Nga'!F79+TDP!F79+DTRVL!F79</f>
        <v>6691697581</v>
      </c>
      <c r="G79" s="64">
        <f>DTR!G79+'Dai Loc'!G79+'Dong Lam'!G79+'Khanh Nga'!G79+TDP!G79+DTRVL!G79</f>
        <v>6073217039</v>
      </c>
      <c r="H79" s="64">
        <f>DTR!H79+'Dai Loc'!H79+'Dong Lam'!H79+'Khanh Nga'!H79+TDP!H79+DTRVL!H79</f>
        <v>5922983520</v>
      </c>
      <c r="I79" s="64">
        <f>DTR!I79+'Dai Loc'!I79+'Dong Lam'!I79+'Khanh Nga'!I79+TDP!I79+DTRVL!I79</f>
        <v>6293381718</v>
      </c>
      <c r="J79" s="64">
        <f>DTR!J79+'Dai Loc'!J79+'Dong Lam'!J79+'Khanh Nga'!J79+TDP!J79+DTRVL!J79</f>
        <v>7144685884</v>
      </c>
      <c r="K79" s="64">
        <f>DTR!K79+'Dai Loc'!K79+'Dong Lam'!K79+'Khanh Nga'!K79+TDP!K79+DTRVL!K79</f>
        <v>6789281721</v>
      </c>
      <c r="L79" s="64">
        <f>DTR!L79+'Dai Loc'!L79+'Dong Lam'!L79+'Khanh Nga'!L79+TDP!L79+DTRVL!L79</f>
        <v>6545884719</v>
      </c>
      <c r="M79" s="64">
        <f>DTR!M79+'Dai Loc'!M79+'Dong Lam'!M79+'Khanh Nga'!M79+TDP!M79+DTRVL!M79</f>
        <v>6744136746</v>
      </c>
      <c r="N79" s="64">
        <f>DTR!N79+'Dai Loc'!N79+'Dong Lam'!N79+'Khanh Nga'!N79+TDP!N79+DTRVL!N79</f>
        <v>7473903734</v>
      </c>
      <c r="O79" s="64">
        <f>DTR!O79+'Dai Loc'!O79+'Dong Lam'!O79+'Khanh Nga'!O79+TDP!O79+DTRVL!O79</f>
        <v>7486377052</v>
      </c>
      <c r="P79" s="64">
        <f>DTR!P79+'Dai Loc'!P79+'Dong Lam'!P79+'Khanh Nga'!P79+TDP!P79+DTRVL!P79</f>
        <v>10902239544</v>
      </c>
      <c r="Q79" s="64">
        <f>DTR!Q79+'Dai Loc'!Q79+'Dong Lam'!Q79+'Khanh Nga'!Q79+TDP!Q79+DTRVL!Q79</f>
        <v>10938837524</v>
      </c>
      <c r="R79" s="64">
        <f>DTR!R79+'Dai Loc'!R79+'Dong Lam'!R79+'Khanh Nga'!R79+TDP!R79+DTRVL!R79</f>
        <v>10690512521</v>
      </c>
      <c r="S79" s="64">
        <f>DTR!S79+'Dai Loc'!S79+'Dong Lam'!S79+'Khanh Nga'!S79+TDP!S79+DTRVL!S79</f>
        <v>11176019127</v>
      </c>
      <c r="T79" s="64">
        <f>DTR!T79+'Dai Loc'!T79+'Dong Lam'!T79+'Khanh Nga'!T79+TDP!T79+DTRVL!T79</f>
        <v>11587008407</v>
      </c>
      <c r="U79" s="64">
        <f>DTR!U79+'Dai Loc'!U79+'Dong Lam'!U79+'Khanh Nga'!U79+TDP!U79+DTRVL!U79</f>
        <v>11200435089</v>
      </c>
      <c r="V79" s="64">
        <f>DTR!V79+'Dai Loc'!V79+'Dong Lam'!V79+'Khanh Nga'!V79+TDP!V79+DTRVL!V79</f>
        <v>11375608560</v>
      </c>
      <c r="W79" s="64">
        <f>DTR!W79+'Dai Loc'!W79+'Dong Lam'!W79+'Khanh Nga'!W79+TDP!W79+DTRVL!W79</f>
        <v>11484782005</v>
      </c>
      <c r="X79" s="64">
        <f>DTR!X79+'Dai Loc'!X79+'Dong Lam'!X79+'Khanh Nga'!X79+TDP!X79+DTRVL!X79</f>
        <v>11895438934</v>
      </c>
      <c r="Y79" s="64">
        <f>DTR!Y79+'Dai Loc'!Y79+'Dong Lam'!Y79+'Khanh Nga'!Y79+TDP!Y79+DTRVL!Y79</f>
        <v>11714919536</v>
      </c>
      <c r="Z79" s="64">
        <f>DTR!Z79+'Dai Loc'!Z79+'Dong Lam'!Z79+'Khanh Nga'!Z79+TDP!Z79+DTRVL!Z79</f>
        <v>11383330015</v>
      </c>
    </row>
    <row r="80" spans="1:28" ht="15" hidden="1" customHeight="1" outlineLevel="1">
      <c r="A80" s="67" t="s">
        <v>164</v>
      </c>
      <c r="B80" s="63">
        <v>75</v>
      </c>
      <c r="C80" s="64">
        <f>DTR!C80+'Dai Loc'!C80+'Dong Lam'!C80+'Khanh Nga'!C80+TDP!C80+DTRVL!C80</f>
        <v>0</v>
      </c>
      <c r="D80" s="64">
        <f>DTR!D80+'Dai Loc'!D80+'Dong Lam'!D80+'Khanh Nga'!D80+TDP!D80+DTRVL!D80</f>
        <v>0</v>
      </c>
      <c r="E80" s="64">
        <f>DTR!E80+'Dai Loc'!E80+'Dong Lam'!E80+'Khanh Nga'!E80+TDP!E80+DTRVL!E80</f>
        <v>0</v>
      </c>
      <c r="F80" s="64">
        <f>DTR!F80+'Dai Loc'!F80+'Dong Lam'!F80+'Khanh Nga'!F80+TDP!F80+DTRVL!F80</f>
        <v>0</v>
      </c>
      <c r="G80" s="64">
        <f>DTR!G80+'Dai Loc'!G80+'Dong Lam'!G80+'Khanh Nga'!G80+TDP!G80+DTRVL!G80</f>
        <v>0</v>
      </c>
      <c r="H80" s="64">
        <f>DTR!H80+'Dai Loc'!H80+'Dong Lam'!H80+'Khanh Nga'!H80+TDP!H80+DTRVL!H80</f>
        <v>0</v>
      </c>
      <c r="I80" s="64">
        <f>DTR!I80+'Dai Loc'!I80+'Dong Lam'!I80+'Khanh Nga'!I80+TDP!I80+DTRVL!I80</f>
        <v>0</v>
      </c>
      <c r="J80" s="64">
        <f>DTR!J80+'Dai Loc'!J80+'Dong Lam'!J80+'Khanh Nga'!J80+TDP!J80+DTRVL!J80</f>
        <v>0</v>
      </c>
      <c r="K80" s="64">
        <f>DTR!K80+'Dai Loc'!K80+'Dong Lam'!K80+'Khanh Nga'!K80+TDP!K80+DTRVL!K80</f>
        <v>0</v>
      </c>
      <c r="L80" s="64">
        <f>DTR!L80+'Dai Loc'!L80+'Dong Lam'!L80+'Khanh Nga'!L80+TDP!L80+DTRVL!L80</f>
        <v>0</v>
      </c>
      <c r="M80" s="64">
        <f>DTR!M80+'Dai Loc'!M80+'Dong Lam'!M80+'Khanh Nga'!M80+TDP!M80+DTRVL!M80</f>
        <v>0</v>
      </c>
      <c r="N80" s="64">
        <f>DTR!N80+'Dai Loc'!N80+'Dong Lam'!N80+'Khanh Nga'!N80+TDP!N80+DTRVL!N80</f>
        <v>0</v>
      </c>
      <c r="O80" s="64">
        <f>DTR!O80+'Dai Loc'!O80+'Dong Lam'!O80+'Khanh Nga'!O80+TDP!O80+DTRVL!O80</f>
        <v>-1838941310</v>
      </c>
      <c r="P80" s="64">
        <f>DTR!P80+'Dai Loc'!P80+'Dong Lam'!P80+'Khanh Nga'!P80+TDP!P80+DTRVL!P80</f>
        <v>-1830898310</v>
      </c>
      <c r="Q80" s="64">
        <f>DTR!Q80+'Dai Loc'!Q80+'Dong Lam'!Q80+'Khanh Nga'!Q80+TDP!Q80+DTRVL!Q80</f>
        <v>29361690</v>
      </c>
      <c r="R80" s="64">
        <f>DTR!R80+'Dai Loc'!R80+'Dong Lam'!R80+'Khanh Nga'!R80+TDP!R80+DTRVL!R80</f>
        <v>29361690</v>
      </c>
      <c r="S80" s="64">
        <f>DTR!S80+'Dai Loc'!S80+'Dong Lam'!S80+'Khanh Nga'!S80+TDP!S80+DTRVL!S80</f>
        <v>29361690</v>
      </c>
      <c r="T80" s="64">
        <f>DTR!T80+'Dai Loc'!T80+'Dong Lam'!T80+'Khanh Nga'!T80+TDP!T80+DTRVL!T80</f>
        <v>29361690</v>
      </c>
      <c r="U80" s="64">
        <f>DTR!U80+'Dai Loc'!U80+'Dong Lam'!U80+'Khanh Nga'!U80+TDP!U80+DTRVL!U80</f>
        <v>0</v>
      </c>
      <c r="V80" s="64">
        <f>DTR!V80+'Dai Loc'!V80+'Dong Lam'!V80+'Khanh Nga'!V80+TDP!V80+DTRVL!V80</f>
        <v>0</v>
      </c>
      <c r="W80" s="64">
        <f>DTR!W80+'Dai Loc'!W80+'Dong Lam'!W80+'Khanh Nga'!W80+TDP!W80+DTRVL!W80</f>
        <v>0</v>
      </c>
      <c r="X80" s="64">
        <f>DTR!X80+'Dai Loc'!X80+'Dong Lam'!X80+'Khanh Nga'!X80+TDP!X80+DTRVL!X80</f>
        <v>0</v>
      </c>
      <c r="Y80" s="64">
        <f>DTR!Y80+'Dai Loc'!Y80+'Dong Lam'!Y80+'Khanh Nga'!Y80+TDP!Y80+DTRVL!Y80</f>
        <v>0</v>
      </c>
      <c r="Z80" s="64">
        <f>DTR!Z80+'Dai Loc'!Z80+'Dong Lam'!Z80+'Khanh Nga'!Z80+TDP!Z80+DTRVL!Z80</f>
        <v>0</v>
      </c>
    </row>
    <row r="81" spans="1:28" ht="15" hidden="1" customHeight="1" outlineLevel="1">
      <c r="A81" s="67" t="s">
        <v>165</v>
      </c>
      <c r="B81" s="63">
        <v>76</v>
      </c>
      <c r="C81" s="64">
        <f>DTR!C81+'Dai Loc'!C81+'Dong Lam'!C81+'Khanh Nga'!C81+TDP!C81+DTRVL!C81</f>
        <v>0</v>
      </c>
      <c r="D81" s="64">
        <f>DTR!D81+'Dai Loc'!D81+'Dong Lam'!D81+'Khanh Nga'!D81+TDP!D81+DTRVL!D81</f>
        <v>0</v>
      </c>
      <c r="E81" s="64">
        <f>DTR!E81+'Dai Loc'!E81+'Dong Lam'!E81+'Khanh Nga'!E81+TDP!E81+DTRVL!E81</f>
        <v>0</v>
      </c>
      <c r="F81" s="64">
        <f>DTR!F81+'Dai Loc'!F81+'Dong Lam'!F81+'Khanh Nga'!F81+TDP!F81+DTRVL!F81</f>
        <v>0</v>
      </c>
      <c r="G81" s="64">
        <f>DTR!G81+'Dai Loc'!G81+'Dong Lam'!G81+'Khanh Nga'!G81+TDP!G81+DTRVL!G81</f>
        <v>0</v>
      </c>
      <c r="H81" s="64">
        <f>DTR!H81+'Dai Loc'!H81+'Dong Lam'!H81+'Khanh Nga'!H81+TDP!H81+DTRVL!H81</f>
        <v>0</v>
      </c>
      <c r="I81" s="64">
        <f>DTR!I81+'Dai Loc'!I81+'Dong Lam'!I81+'Khanh Nga'!I81+TDP!I81+DTRVL!I81</f>
        <v>0</v>
      </c>
      <c r="J81" s="64">
        <f>DTR!J81+'Dai Loc'!J81+'Dong Lam'!J81+'Khanh Nga'!J81+TDP!J81+DTRVL!J81</f>
        <v>0</v>
      </c>
      <c r="K81" s="64">
        <f>DTR!K81+'Dai Loc'!K81+'Dong Lam'!K81+'Khanh Nga'!K81+TDP!K81+DTRVL!K81</f>
        <v>0</v>
      </c>
      <c r="L81" s="64">
        <f>DTR!L81+'Dai Loc'!L81+'Dong Lam'!L81+'Khanh Nga'!L81+TDP!L81+DTRVL!L81</f>
        <v>0</v>
      </c>
      <c r="M81" s="64">
        <f>DTR!M81+'Dai Loc'!M81+'Dong Lam'!M81+'Khanh Nga'!M81+TDP!M81+DTRVL!M81</f>
        <v>0</v>
      </c>
      <c r="N81" s="64">
        <f>DTR!N81+'Dai Loc'!N81+'Dong Lam'!N81+'Khanh Nga'!N81+TDP!N81+DTRVL!N81</f>
        <v>0</v>
      </c>
      <c r="O81" s="64">
        <f>DTR!O81+'Dai Loc'!O81+'Dong Lam'!O81+'Khanh Nga'!O81+TDP!O81+DTRVL!O81</f>
        <v>0</v>
      </c>
      <c r="P81" s="64">
        <f>DTR!P81+'Dai Loc'!P81+'Dong Lam'!P81+'Khanh Nga'!P81+TDP!P81+DTRVL!P81</f>
        <v>0</v>
      </c>
      <c r="Q81" s="64">
        <f>DTR!Q81+'Dai Loc'!Q81+'Dong Lam'!Q81+'Khanh Nga'!Q81+TDP!Q81+DTRVL!Q81</f>
        <v>0</v>
      </c>
      <c r="R81" s="64">
        <f>DTR!R81+'Dai Loc'!R81+'Dong Lam'!R81+'Khanh Nga'!R81+TDP!R81+DTRVL!R81</f>
        <v>0</v>
      </c>
      <c r="S81" s="64">
        <f>DTR!S81+'Dai Loc'!S81+'Dong Lam'!S81+'Khanh Nga'!S81+TDP!S81+DTRVL!S81</f>
        <v>0</v>
      </c>
      <c r="T81" s="64">
        <f>DTR!T81+'Dai Loc'!T81+'Dong Lam'!T81+'Khanh Nga'!T81+TDP!T81+DTRVL!T81</f>
        <v>0</v>
      </c>
      <c r="U81" s="64">
        <f>DTR!U81+'Dai Loc'!U81+'Dong Lam'!U81+'Khanh Nga'!U81+TDP!U81+DTRVL!U81</f>
        <v>0</v>
      </c>
      <c r="V81" s="64">
        <f>DTR!V81+'Dai Loc'!V81+'Dong Lam'!V81+'Khanh Nga'!V81+TDP!V81+DTRVL!V81</f>
        <v>0</v>
      </c>
      <c r="W81" s="64">
        <f>DTR!W81+'Dai Loc'!W81+'Dong Lam'!W81+'Khanh Nga'!W81+TDP!W81+DTRVL!W81</f>
        <v>0</v>
      </c>
      <c r="X81" s="64">
        <f>DTR!X81+'Dai Loc'!X81+'Dong Lam'!X81+'Khanh Nga'!X81+TDP!X81+DTRVL!X81</f>
        <v>0</v>
      </c>
      <c r="Y81" s="64">
        <f>DTR!Y81+'Dai Loc'!Y81+'Dong Lam'!Y81+'Khanh Nga'!Y81+TDP!Y81+DTRVL!Y81</f>
        <v>0</v>
      </c>
      <c r="Z81" s="64">
        <f>DTR!Z81+'Dai Loc'!Z81+'Dong Lam'!Z81+'Khanh Nga'!Z81+TDP!Z81+DTRVL!Z81</f>
        <v>0</v>
      </c>
    </row>
    <row r="82" spans="1:28" ht="15" hidden="1" customHeight="1" outlineLevel="1">
      <c r="A82" s="67" t="s">
        <v>166</v>
      </c>
      <c r="B82" s="63">
        <v>77</v>
      </c>
      <c r="C82" s="64">
        <f>DTR!C82+'Dai Loc'!C82+'Dong Lam'!C82+'Khanh Nga'!C82+TDP!C82+DTRVL!C82</f>
        <v>0</v>
      </c>
      <c r="D82" s="64">
        <f>DTR!D82+'Dai Loc'!D82+'Dong Lam'!D82+'Khanh Nga'!D82+TDP!D82+DTRVL!D82</f>
        <v>0</v>
      </c>
      <c r="E82" s="64">
        <f>DTR!E82+'Dai Loc'!E82+'Dong Lam'!E82+'Khanh Nga'!E82+TDP!E82+DTRVL!E82</f>
        <v>0</v>
      </c>
      <c r="F82" s="64">
        <f>DTR!F82+'Dai Loc'!F82+'Dong Lam'!F82+'Khanh Nga'!F82+TDP!F82+DTRVL!F82</f>
        <v>0</v>
      </c>
      <c r="G82" s="64">
        <f>DTR!G82+'Dai Loc'!G82+'Dong Lam'!G82+'Khanh Nga'!G82+TDP!G82+DTRVL!G82</f>
        <v>0</v>
      </c>
      <c r="H82" s="64">
        <f>DTR!H82+'Dai Loc'!H82+'Dong Lam'!H82+'Khanh Nga'!H82+TDP!H82+DTRVL!H82</f>
        <v>0</v>
      </c>
      <c r="I82" s="64">
        <f>DTR!I82+'Dai Loc'!I82+'Dong Lam'!I82+'Khanh Nga'!I82+TDP!I82+DTRVL!I82</f>
        <v>0</v>
      </c>
      <c r="J82" s="64">
        <f>DTR!J82+'Dai Loc'!J82+'Dong Lam'!J82+'Khanh Nga'!J82+TDP!J82+DTRVL!J82</f>
        <v>0</v>
      </c>
      <c r="K82" s="64">
        <f>DTR!K82+'Dai Loc'!K82+'Dong Lam'!K82+'Khanh Nga'!K82+TDP!K82+DTRVL!K82</f>
        <v>0</v>
      </c>
      <c r="L82" s="64">
        <f>DTR!L82+'Dai Loc'!L82+'Dong Lam'!L82+'Khanh Nga'!L82+TDP!L82+DTRVL!L82</f>
        <v>0</v>
      </c>
      <c r="M82" s="64">
        <f>DTR!M82+'Dai Loc'!M82+'Dong Lam'!M82+'Khanh Nga'!M82+TDP!M82+DTRVL!M82</f>
        <v>0</v>
      </c>
      <c r="N82" s="64">
        <f>DTR!N82+'Dai Loc'!N82+'Dong Lam'!N82+'Khanh Nga'!N82+TDP!N82+DTRVL!N82</f>
        <v>0</v>
      </c>
      <c r="O82" s="64">
        <f>DTR!O82+'Dai Loc'!O82+'Dong Lam'!O82+'Khanh Nga'!O82+TDP!O82+DTRVL!O82</f>
        <v>0</v>
      </c>
      <c r="P82" s="64">
        <f>DTR!P82+'Dai Loc'!P82+'Dong Lam'!P82+'Khanh Nga'!P82+TDP!P82+DTRVL!P82</f>
        <v>0</v>
      </c>
      <c r="Q82" s="64">
        <f>DTR!Q82+'Dai Loc'!Q82+'Dong Lam'!Q82+'Khanh Nga'!Q82+TDP!Q82+DTRVL!Q82</f>
        <v>0</v>
      </c>
      <c r="R82" s="64">
        <f>DTR!R82+'Dai Loc'!R82+'Dong Lam'!R82+'Khanh Nga'!R82+TDP!R82+DTRVL!R82</f>
        <v>0</v>
      </c>
      <c r="S82" s="64">
        <f>DTR!S82+'Dai Loc'!S82+'Dong Lam'!S82+'Khanh Nga'!S82+TDP!S82+DTRVL!S82</f>
        <v>0</v>
      </c>
      <c r="T82" s="64">
        <f>DTR!T82+'Dai Loc'!T82+'Dong Lam'!T82+'Khanh Nga'!T82+TDP!T82+DTRVL!T82</f>
        <v>0</v>
      </c>
      <c r="U82" s="64">
        <f>DTR!U82+'Dai Loc'!U82+'Dong Lam'!U82+'Khanh Nga'!U82+TDP!U82+DTRVL!U82</f>
        <v>0</v>
      </c>
      <c r="V82" s="64">
        <f>DTR!V82+'Dai Loc'!V82+'Dong Lam'!V82+'Khanh Nga'!V82+TDP!V82+DTRVL!V82</f>
        <v>0</v>
      </c>
      <c r="W82" s="64">
        <f>DTR!W82+'Dai Loc'!W82+'Dong Lam'!W82+'Khanh Nga'!W82+TDP!W82+DTRVL!W82</f>
        <v>0</v>
      </c>
      <c r="X82" s="64">
        <f>DTR!X82+'Dai Loc'!X82+'Dong Lam'!X82+'Khanh Nga'!X82+TDP!X82+DTRVL!X82</f>
        <v>0</v>
      </c>
      <c r="Y82" s="64">
        <f>DTR!Y82+'Dai Loc'!Y82+'Dong Lam'!Y82+'Khanh Nga'!Y82+TDP!Y82+DTRVL!Y82</f>
        <v>0</v>
      </c>
      <c r="Z82" s="64">
        <f>DTR!Z82+'Dai Loc'!Z82+'Dong Lam'!Z82+'Khanh Nga'!Z82+TDP!Z82+DTRVL!Z82</f>
        <v>0</v>
      </c>
    </row>
    <row r="83" spans="1:28" s="83" customFormat="1" ht="15" hidden="1" customHeight="1" outlineLevel="1">
      <c r="A83" s="80" t="s">
        <v>167</v>
      </c>
      <c r="B83" s="81">
        <v>78</v>
      </c>
      <c r="C83" s="82">
        <f>DTR!C83+'Dai Loc'!C83+'Dong Lam'!C83+'Khanh Nga'!C83+TDP!C83+DTRVL!C83</f>
        <v>1175130402352</v>
      </c>
      <c r="D83" s="82">
        <f>DTR!D83+'Dai Loc'!D83+'Dong Lam'!D83+'Khanh Nga'!D83+TDP!D83+DTRVL!D83</f>
        <v>1156870558457</v>
      </c>
      <c r="E83" s="82">
        <f>DTR!E83+'Dai Loc'!E83+'Dong Lam'!E83+'Khanh Nga'!E83+TDP!E83+DTRVL!E83</f>
        <v>1193502357108.8601</v>
      </c>
      <c r="F83" s="82">
        <f>DTR!F83+'Dai Loc'!F83+'Dong Lam'!F83+'Khanh Nga'!F83+TDP!F83+DTRVL!F83</f>
        <v>1254540608128.8821</v>
      </c>
      <c r="G83" s="82">
        <f>DTR!G83+'Dai Loc'!G83+'Dong Lam'!G83+'Khanh Nga'!G83+TDP!G83+DTRVL!G83</f>
        <v>1298938884161</v>
      </c>
      <c r="H83" s="82">
        <f>DTR!H83+'Dai Loc'!H83+'Dong Lam'!H83+'Khanh Nga'!H83+TDP!H83+DTRVL!H83</f>
        <v>1325603983311</v>
      </c>
      <c r="I83" s="82">
        <f>DTR!I83+'Dai Loc'!I83+'Dong Lam'!I83+'Khanh Nga'!I83+TDP!I83+DTRVL!I83</f>
        <v>1267478798902</v>
      </c>
      <c r="J83" s="82">
        <f>DTR!J83+'Dai Loc'!J83+'Dong Lam'!J83+'Khanh Nga'!J83+TDP!J83+DTRVL!J83</f>
        <v>1218289415966</v>
      </c>
      <c r="K83" s="82">
        <f>DTR!K83+'Dai Loc'!K83+'Dong Lam'!K83+'Khanh Nga'!K83+TDP!K83+DTRVL!K83</f>
        <v>1260492317013</v>
      </c>
      <c r="L83" s="82">
        <f>DTR!L83+'Dai Loc'!L83+'Dong Lam'!L83+'Khanh Nga'!L83+TDP!L83+DTRVL!L83</f>
        <v>1282720707132</v>
      </c>
      <c r="M83" s="82">
        <f>DTR!M83+'Dai Loc'!M83+'Dong Lam'!M83+'Khanh Nga'!M83+TDP!M83+DTRVL!M83</f>
        <v>1380932210078</v>
      </c>
      <c r="N83" s="82">
        <f>DTR!N83+'Dai Loc'!N83+'Dong Lam'!N83+'Khanh Nga'!N83+TDP!N83+DTRVL!N83</f>
        <v>1365896363032.4819</v>
      </c>
      <c r="O83" s="82">
        <f>DTR!O83+'Dai Loc'!O83+'Dong Lam'!O83+'Khanh Nga'!O83+TDP!O83+DTRVL!O83</f>
        <v>1295128436391</v>
      </c>
      <c r="P83" s="82">
        <f>DTR!P83+'Dai Loc'!P83+'Dong Lam'!P83+'Khanh Nga'!P83+TDP!P83+DTRVL!P83</f>
        <v>1212647140725</v>
      </c>
      <c r="Q83" s="82">
        <f>DTR!Q83+'Dai Loc'!Q83+'Dong Lam'!Q83+'Khanh Nga'!Q83+TDP!Q83+DTRVL!Q83</f>
        <v>1263651409161.4819</v>
      </c>
      <c r="R83" s="82">
        <f>DTR!R83+'Dai Loc'!R83+'Dong Lam'!R83+'Khanh Nga'!R83+TDP!R83+DTRVL!R83</f>
        <v>1334319050191</v>
      </c>
      <c r="S83" s="82">
        <f>DTR!S83+'Dai Loc'!S83+'Dong Lam'!S83+'Khanh Nga'!S83+TDP!S83+DTRVL!S83</f>
        <v>1392624937485</v>
      </c>
      <c r="T83" s="82">
        <f>DTR!T83+'Dai Loc'!T83+'Dong Lam'!T83+'Khanh Nga'!T83+TDP!T83+DTRVL!T83</f>
        <v>1424787259761.4819</v>
      </c>
      <c r="U83" s="82">
        <f>DTR!U83+'Dai Loc'!U83+'Dong Lam'!U83+'Khanh Nga'!U83+TDP!U83+DTRVL!U83</f>
        <v>1421607895854.4819</v>
      </c>
      <c r="V83" s="82">
        <f>DTR!V83+'Dai Loc'!V83+'Dong Lam'!V83+'Khanh Nga'!V83+TDP!V83+DTRVL!V83</f>
        <v>1487370113298.4819</v>
      </c>
      <c r="W83" s="82">
        <f>DTR!W83+'Dai Loc'!W83+'Dong Lam'!W83+'Khanh Nga'!W83+TDP!W83+DTRVL!W83</f>
        <v>1470025647761.4819</v>
      </c>
      <c r="X83" s="82">
        <f>DTR!X83+'Dai Loc'!X83+'Dong Lam'!X83+'Khanh Nga'!X83+TDP!X83+DTRVL!X83</f>
        <v>1421774599273.4819</v>
      </c>
      <c r="Y83" s="82">
        <f>DTR!Y83+'Dai Loc'!Y83+'Dong Lam'!Y83+'Khanh Nga'!Y83+TDP!Y83+DTRVL!Y83</f>
        <v>1396601412908.4819</v>
      </c>
      <c r="Z83" s="82">
        <f>DTR!Z83+'Dai Loc'!Z83+'Dong Lam'!Z83+'Khanh Nga'!Z83+TDP!Z83+DTRVL!Z83</f>
        <v>1399120322090</v>
      </c>
      <c r="AB83" s="84"/>
    </row>
    <row r="84" spans="1:28" ht="15" hidden="1" customHeight="1" outlineLevel="1">
      <c r="A84" s="56" t="s">
        <v>168</v>
      </c>
      <c r="B84" s="71">
        <v>79</v>
      </c>
      <c r="C84" s="58">
        <f>DTR!C84+'Dai Loc'!C84+'Dong Lam'!C84+'Khanh Nga'!C84+TDP!C84+DTRVL!C84</f>
        <v>319278887594</v>
      </c>
      <c r="D84" s="58">
        <f>DTR!D84+'Dai Loc'!D84+'Dong Lam'!D84+'Khanh Nga'!D84+TDP!D84+DTRVL!D84</f>
        <v>307757355551</v>
      </c>
      <c r="E84" s="58">
        <f>DTR!E84+'Dai Loc'!E84+'Dong Lam'!E84+'Khanh Nga'!E84+TDP!E84+DTRVL!E84</f>
        <v>347132475490.85999</v>
      </c>
      <c r="F84" s="58">
        <f>DTR!F84+'Dai Loc'!F84+'Dong Lam'!F84+'Khanh Nga'!F84+TDP!F84+DTRVL!F84</f>
        <v>406502386093.88202</v>
      </c>
      <c r="G84" s="58">
        <f>DTR!G84+'Dai Loc'!G84+'Dong Lam'!G84+'Khanh Nga'!G84+TDP!G84+DTRVL!G84</f>
        <v>456592470300</v>
      </c>
      <c r="H84" s="58">
        <f>DTR!H84+'Dai Loc'!H84+'Dong Lam'!H84+'Khanh Nga'!H84+TDP!H84+DTRVL!H84</f>
        <v>495400218095</v>
      </c>
      <c r="I84" s="58">
        <f>DTR!I84+'Dai Loc'!I84+'Dong Lam'!I84+'Khanh Nga'!I84+TDP!I84+DTRVL!I84</f>
        <v>452469310020</v>
      </c>
      <c r="J84" s="58">
        <f>DTR!J84+'Dai Loc'!J84+'Dong Lam'!J84+'Khanh Nga'!J84+TDP!J84+DTRVL!J84</f>
        <v>413326247943</v>
      </c>
      <c r="K84" s="58">
        <f>DTR!K84+'Dai Loc'!K84+'Dong Lam'!K84+'Khanh Nga'!K84+TDP!K84+DTRVL!K84</f>
        <v>447411505392</v>
      </c>
      <c r="L84" s="58">
        <f>DTR!L84+'Dai Loc'!L84+'Dong Lam'!L84+'Khanh Nga'!L84+TDP!L84+DTRVL!L84</f>
        <v>475985642175</v>
      </c>
      <c r="M84" s="58">
        <f>DTR!M84+'Dai Loc'!M84+'Dong Lam'!M84+'Khanh Nga'!M84+TDP!M84+DTRVL!M84</f>
        <v>560249294793</v>
      </c>
      <c r="N84" s="58">
        <f>DTR!N84+'Dai Loc'!N84+'Dong Lam'!N84+'Khanh Nga'!N84+TDP!N84+DTRVL!N84</f>
        <v>455639093773.48199</v>
      </c>
      <c r="O84" s="58">
        <f>DTR!O84+'Dai Loc'!O84+'Dong Lam'!O84+'Khanh Nga'!O84+TDP!O84+DTRVL!O84</f>
        <v>382660556107</v>
      </c>
      <c r="P84" s="58">
        <f>DTR!P84+'Dai Loc'!P84+'Dong Lam'!P84+'Khanh Nga'!P84+TDP!P84+DTRVL!P84</f>
        <v>286119031755</v>
      </c>
      <c r="Q84" s="58">
        <f>DTR!Q84+'Dai Loc'!Q84+'Dong Lam'!Q84+'Khanh Nga'!Q84+TDP!Q84+DTRVL!Q84</f>
        <v>331379040308.48199</v>
      </c>
      <c r="R84" s="58">
        <f>DTR!R84+'Dai Loc'!R84+'Dong Lam'!R84+'Khanh Nga'!R84+TDP!R84+DTRVL!R84</f>
        <v>398787471104</v>
      </c>
      <c r="S84" s="58">
        <f>DTR!S84+'Dai Loc'!S84+'Dong Lam'!S84+'Khanh Nga'!S84+TDP!S84+DTRVL!S84</f>
        <v>447794839269</v>
      </c>
      <c r="T84" s="58">
        <f>DTR!T84+'Dai Loc'!T84+'Dong Lam'!T84+'Khanh Nga'!T84+TDP!T84+DTRVL!T84</f>
        <v>479271660301.48199</v>
      </c>
      <c r="U84" s="58">
        <f>DTR!U84+'Dai Loc'!U84+'Dong Lam'!U84+'Khanh Nga'!U84+TDP!U84+DTRVL!U84</f>
        <v>472848307424.48212</v>
      </c>
      <c r="V84" s="58">
        <f>DTR!V84+'Dai Loc'!V84+'Dong Lam'!V84+'Khanh Nga'!V84+TDP!V84+DTRVL!V84</f>
        <v>536061371686.48212</v>
      </c>
      <c r="W84" s="58">
        <f>DTR!W84+'Dai Loc'!W84+'Dong Lam'!W84+'Khanh Nga'!W84+TDP!W84+DTRVL!W84</f>
        <v>529887793899.48199</v>
      </c>
      <c r="X84" s="58">
        <f>DTR!X84+'Dai Loc'!X84+'Dong Lam'!X84+'Khanh Nga'!X84+TDP!X84+DTRVL!X84</f>
        <v>486535727530.48199</v>
      </c>
      <c r="Y84" s="58">
        <f>DTR!Y84+'Dai Loc'!Y84+'Dong Lam'!Y84+'Khanh Nga'!Y84+TDP!Y84+DTRVL!Y84</f>
        <v>468849595141.48199</v>
      </c>
      <c r="Z84" s="58">
        <f>DTR!Z84+'Dai Loc'!Z84+'Dong Lam'!Z84+'Khanh Nga'!Z84+TDP!Z84+DTRVL!Z84</f>
        <v>451967241879</v>
      </c>
    </row>
    <row r="85" spans="1:28" ht="15" hidden="1" customHeight="1" outlineLevel="1">
      <c r="A85" s="59" t="s">
        <v>169</v>
      </c>
      <c r="B85" s="65">
        <v>80</v>
      </c>
      <c r="C85" s="61">
        <f>DTR!C85+'Dai Loc'!C85+'Dong Lam'!C85+'Khanh Nga'!C85+TDP!C85+DTRVL!C85</f>
        <v>208892476524</v>
      </c>
      <c r="D85" s="61">
        <f>DTR!D85+'Dai Loc'!D85+'Dong Lam'!D85+'Khanh Nga'!D85+TDP!D85+DTRVL!D85</f>
        <v>197465004481</v>
      </c>
      <c r="E85" s="61">
        <f>DTR!E85+'Dai Loc'!E85+'Dong Lam'!E85+'Khanh Nga'!E85+TDP!E85+DTRVL!E85</f>
        <v>236899124420.85999</v>
      </c>
      <c r="F85" s="61">
        <f>DTR!F85+'Dai Loc'!F85+'Dong Lam'!F85+'Khanh Nga'!F85+TDP!F85+DTRVL!F85</f>
        <v>296564228415.88202</v>
      </c>
      <c r="G85" s="61">
        <f>DTR!G85+'Dai Loc'!G85+'Dong Lam'!G85+'Khanh Nga'!G85+TDP!G85+DTRVL!G85</f>
        <v>348607602622</v>
      </c>
      <c r="H85" s="61">
        <f>DTR!H85+'Dai Loc'!H85+'Dong Lam'!H85+'Khanh Nga'!H85+TDP!H85+DTRVL!H85</f>
        <v>386086182417</v>
      </c>
      <c r="I85" s="61">
        <f>DTR!I85+'Dai Loc'!I85+'Dong Lam'!I85+'Khanh Nga'!I85+TDP!I85+DTRVL!I85</f>
        <v>343042467734</v>
      </c>
      <c r="J85" s="61">
        <f>DTR!J85+'Dai Loc'!J85+'Dong Lam'!J85+'Khanh Nga'!J85+TDP!J85+DTRVL!J85</f>
        <v>304556465657</v>
      </c>
      <c r="K85" s="61">
        <f>DTR!K85+'Dai Loc'!K85+'Dong Lam'!K85+'Khanh Nga'!K85+TDP!K85+DTRVL!K85</f>
        <v>338046723106</v>
      </c>
      <c r="L85" s="61">
        <f>DTR!L85+'Dai Loc'!L85+'Dong Lam'!L85+'Khanh Nga'!L85+TDP!L85+DTRVL!L85</f>
        <v>366397053281</v>
      </c>
      <c r="M85" s="61">
        <f>DTR!M85+'Dai Loc'!M85+'Dong Lam'!M85+'Khanh Nga'!M85+TDP!M85+DTRVL!M85</f>
        <v>424034765899</v>
      </c>
      <c r="N85" s="61">
        <f>DTR!N85+'Dai Loc'!N85+'Dong Lam'!N85+'Khanh Nga'!N85+TDP!N85+DTRVL!N85</f>
        <v>338131748251.48199</v>
      </c>
      <c r="O85" s="61">
        <f>DTR!O85+'Dai Loc'!O85+'Dong Lam'!O85+'Khanh Nga'!O85+TDP!O85+DTRVL!O85</f>
        <v>241480214161</v>
      </c>
      <c r="P85" s="61">
        <f>DTR!P85+'Dai Loc'!P85+'Dong Lam'!P85+'Khanh Nga'!P85+TDP!P85+DTRVL!P85</f>
        <v>149186527587</v>
      </c>
      <c r="Q85" s="61">
        <f>DTR!Q85+'Dai Loc'!Q85+'Dong Lam'!Q85+'Khanh Nga'!Q85+TDP!Q85+DTRVL!Q85</f>
        <v>195283313918.48199</v>
      </c>
      <c r="R85" s="61">
        <f>DTR!R85+'Dai Loc'!R85+'Dong Lam'!R85+'Khanh Nga'!R85+TDP!R85+DTRVL!R85</f>
        <v>263764715884</v>
      </c>
      <c r="S85" s="61">
        <f>DTR!S85+'Dai Loc'!S85+'Dong Lam'!S85+'Khanh Nga'!S85+TDP!S85+DTRVL!S85</f>
        <v>317019921827</v>
      </c>
      <c r="T85" s="61">
        <f>DTR!T85+'Dai Loc'!T85+'Dong Lam'!T85+'Khanh Nga'!T85+TDP!T85+DTRVL!T85</f>
        <v>369379868907.48199</v>
      </c>
      <c r="U85" s="61">
        <f>DTR!U85+'Dai Loc'!U85+'Dong Lam'!U85+'Khanh Nga'!U85+TDP!U85+DTRVL!U85</f>
        <v>364029487200.48212</v>
      </c>
      <c r="V85" s="61">
        <f>DTR!V85+'Dai Loc'!V85+'Dong Lam'!V85+'Khanh Nga'!V85+TDP!V85+DTRVL!V85</f>
        <v>428827861240.48212</v>
      </c>
      <c r="W85" s="61">
        <f>DTR!W85+'Dai Loc'!W85+'Dong Lam'!W85+'Khanh Nga'!W85+TDP!W85+DTRVL!W85</f>
        <v>423491061231.48199</v>
      </c>
      <c r="X85" s="61">
        <f>DTR!X85+'Dai Loc'!X85+'Dong Lam'!X85+'Khanh Nga'!X85+TDP!X85+DTRVL!X85</f>
        <v>385192593588.48199</v>
      </c>
      <c r="Y85" s="61">
        <f>DTR!Y85+'Dai Loc'!Y85+'Dong Lam'!Y85+'Khanh Nga'!Y85+TDP!Y85+DTRVL!Y85</f>
        <v>366448222199.48199</v>
      </c>
      <c r="Z85" s="61">
        <f>DTR!Z85+'Dai Loc'!Z85+'Dong Lam'!Z85+'Khanh Nga'!Z85+TDP!Z85+DTRVL!Z85</f>
        <v>368814987525</v>
      </c>
    </row>
    <row r="86" spans="1:28" ht="15" hidden="1" customHeight="1" outlineLevel="1">
      <c r="A86" s="67" t="s">
        <v>170</v>
      </c>
      <c r="B86" s="63">
        <v>81</v>
      </c>
      <c r="C86" s="64">
        <f>DTR!C86+'Dai Loc'!C86+'Dong Lam'!C86+'Khanh Nga'!C86+TDP!C86+DTRVL!C86</f>
        <v>82949409956</v>
      </c>
      <c r="D86" s="64">
        <f>DTR!D86+'Dai Loc'!D86+'Dong Lam'!D86+'Khanh Nga'!D86+TDP!D86+DTRVL!D86</f>
        <v>85403340041</v>
      </c>
      <c r="E86" s="64">
        <f>DTR!E86+'Dai Loc'!E86+'Dong Lam'!E86+'Khanh Nga'!E86+TDP!E86+DTRVL!E86</f>
        <v>89847500656</v>
      </c>
      <c r="F86" s="64">
        <f>DTR!F86+'Dai Loc'!F86+'Dong Lam'!F86+'Khanh Nga'!F86+TDP!F86+DTRVL!F86</f>
        <v>92084070378</v>
      </c>
      <c r="G86" s="64">
        <f>DTR!G86+'Dai Loc'!G86+'Dong Lam'!G86+'Khanh Nga'!G86+TDP!G86+DTRVL!G86</f>
        <v>97185029412</v>
      </c>
      <c r="H86" s="64">
        <f>DTR!H86+'Dai Loc'!H86+'Dong Lam'!H86+'Khanh Nga'!H86+TDP!H86+DTRVL!H86</f>
        <v>129200888383</v>
      </c>
      <c r="I86" s="64">
        <f>DTR!I86+'Dai Loc'!I86+'Dong Lam'!I86+'Khanh Nga'!I86+TDP!I86+DTRVL!I86</f>
        <v>101456785709</v>
      </c>
      <c r="J86" s="64">
        <f>DTR!J86+'Dai Loc'!J86+'Dong Lam'!J86+'Khanh Nga'!J86+TDP!J86+DTRVL!J86</f>
        <v>115528799746</v>
      </c>
      <c r="K86" s="64">
        <f>DTR!K86+'Dai Loc'!K86+'Dong Lam'!K86+'Khanh Nga'!K86+TDP!K86+DTRVL!K86</f>
        <v>154591767517</v>
      </c>
      <c r="L86" s="64">
        <f>DTR!L86+'Dai Loc'!L86+'Dong Lam'!L86+'Khanh Nga'!L86+TDP!L86+DTRVL!L86</f>
        <v>155116256899</v>
      </c>
      <c r="M86" s="64">
        <f>DTR!M86+'Dai Loc'!M86+'Dong Lam'!M86+'Khanh Nga'!M86+TDP!M86+DTRVL!M86</f>
        <v>163705606191</v>
      </c>
      <c r="N86" s="64">
        <f>DTR!N86+'Dai Loc'!N86+'Dong Lam'!N86+'Khanh Nga'!N86+TDP!N86+DTRVL!N86</f>
        <v>51214283090</v>
      </c>
      <c r="O86" s="64">
        <f>DTR!O86+'Dai Loc'!O86+'Dong Lam'!O86+'Khanh Nga'!O86+TDP!O86+DTRVL!O86</f>
        <v>31540067237</v>
      </c>
      <c r="P86" s="64">
        <f>DTR!P86+'Dai Loc'!P86+'Dong Lam'!P86+'Khanh Nga'!P86+TDP!P86+DTRVL!P86</f>
        <v>31335788440</v>
      </c>
      <c r="Q86" s="64">
        <f>DTR!Q86+'Dai Loc'!Q86+'Dong Lam'!Q86+'Khanh Nga'!Q86+TDP!Q86+DTRVL!Q86</f>
        <v>50987333343</v>
      </c>
      <c r="R86" s="64">
        <f>DTR!R86+'Dai Loc'!R86+'Dong Lam'!R86+'Khanh Nga'!R86+TDP!R86+DTRVL!R86</f>
        <v>52255043007</v>
      </c>
      <c r="S86" s="64">
        <f>DTR!S86+'Dai Loc'!S86+'Dong Lam'!S86+'Khanh Nga'!S86+TDP!S86+DTRVL!S86</f>
        <v>53884801313</v>
      </c>
      <c r="T86" s="64">
        <f>DTR!T86+'Dai Loc'!T86+'Dong Lam'!T86+'Khanh Nga'!T86+TDP!T86+DTRVL!T86</f>
        <v>68071757035</v>
      </c>
      <c r="U86" s="64">
        <f>DTR!U86+'Dai Loc'!U86+'Dong Lam'!U86+'Khanh Nga'!U86+TDP!U86+DTRVL!U86</f>
        <v>25729330082</v>
      </c>
      <c r="V86" s="64">
        <f>DTR!V86+'Dai Loc'!V86+'Dong Lam'!V86+'Khanh Nga'!V86+TDP!V86+DTRVL!V86</f>
        <v>34075061573</v>
      </c>
      <c r="W86" s="64">
        <f>DTR!W86+'Dai Loc'!W86+'Dong Lam'!W86+'Khanh Nga'!W86+TDP!W86+DTRVL!W86</f>
        <v>40338356505</v>
      </c>
      <c r="X86" s="64">
        <f>DTR!X86+'Dai Loc'!X86+'Dong Lam'!X86+'Khanh Nga'!X86+TDP!X86+DTRVL!X86</f>
        <v>51367985440</v>
      </c>
      <c r="Y86" s="64">
        <f>DTR!Y86+'Dai Loc'!Y86+'Dong Lam'!Y86+'Khanh Nga'!Y86+TDP!Y86+DTRVL!Y86</f>
        <v>42761191239</v>
      </c>
      <c r="Z86" s="64">
        <f>DTR!Z86+'Dai Loc'!Z86+'Dong Lam'!Z86+'Khanh Nga'!Z86+TDP!Z86+DTRVL!Z86</f>
        <v>35590749044</v>
      </c>
    </row>
    <row r="87" spans="1:28" ht="15" hidden="1" customHeight="1" outlineLevel="1">
      <c r="A87" s="67" t="s">
        <v>171</v>
      </c>
      <c r="B87" s="63">
        <v>82</v>
      </c>
      <c r="C87" s="64">
        <f>DTR!C87+'Dai Loc'!C87+'Dong Lam'!C87+'Khanh Nga'!C87+TDP!C87+DTRVL!C87</f>
        <v>4031903040</v>
      </c>
      <c r="D87" s="64">
        <f>DTR!D87+'Dai Loc'!D87+'Dong Lam'!D87+'Khanh Nga'!D87+TDP!D87+DTRVL!D87</f>
        <v>0</v>
      </c>
      <c r="E87" s="64">
        <f>DTR!E87+'Dai Loc'!E87+'Dong Lam'!E87+'Khanh Nga'!E87+TDP!E87+DTRVL!E87</f>
        <v>-540918440</v>
      </c>
      <c r="F87" s="64">
        <f>DTR!F87+'Dai Loc'!F87+'Dong Lam'!F87+'Khanh Nga'!F87+TDP!F87+DTRVL!F87</f>
        <v>4278155246</v>
      </c>
      <c r="G87" s="64">
        <f>DTR!G87+'Dai Loc'!G87+'Dong Lam'!G87+'Khanh Nga'!G87+TDP!G87+DTRVL!G87</f>
        <v>14753134850</v>
      </c>
      <c r="H87" s="64">
        <f>DTR!H87+'Dai Loc'!H87+'Dong Lam'!H87+'Khanh Nga'!H87+TDP!H87+DTRVL!H87</f>
        <v>36030101433</v>
      </c>
      <c r="I87" s="64">
        <f>DTR!I87+'Dai Loc'!I87+'Dong Lam'!I87+'Khanh Nga'!I87+TDP!I87+DTRVL!I87</f>
        <v>34757495667</v>
      </c>
      <c r="J87" s="64">
        <f>DTR!J87+'Dai Loc'!J87+'Dong Lam'!J87+'Khanh Nga'!J87+TDP!J87+DTRVL!J87</f>
        <v>16991723009</v>
      </c>
      <c r="K87" s="64">
        <f>DTR!K87+'Dai Loc'!K87+'Dong Lam'!K87+'Khanh Nga'!K87+TDP!K87+DTRVL!K87</f>
        <v>39469513</v>
      </c>
      <c r="L87" s="64">
        <f>DTR!L87+'Dai Loc'!L87+'Dong Lam'!L87+'Khanh Nga'!L87+TDP!L87+DTRVL!L87</f>
        <v>10373831336</v>
      </c>
      <c r="M87" s="64">
        <f>DTR!M87+'Dai Loc'!M87+'Dong Lam'!M87+'Khanh Nga'!M87+TDP!M87+DTRVL!M87</f>
        <v>37975916928</v>
      </c>
      <c r="N87" s="64">
        <f>DTR!N87+'Dai Loc'!N87+'Dong Lam'!N87+'Khanh Nga'!N87+TDP!N87+DTRVL!N87</f>
        <v>41546475913</v>
      </c>
      <c r="O87" s="64">
        <f>DTR!O87+'Dai Loc'!O87+'Dong Lam'!O87+'Khanh Nga'!O87+TDP!O87+DTRVL!O87</f>
        <v>37388020046</v>
      </c>
      <c r="P87" s="64">
        <f>DTR!P87+'Dai Loc'!P87+'Dong Lam'!P87+'Khanh Nga'!P87+TDP!P87+DTRVL!P87</f>
        <v>24873527409</v>
      </c>
      <c r="Q87" s="64">
        <f>DTR!Q87+'Dai Loc'!Q87+'Dong Lam'!Q87+'Khanh Nga'!Q87+TDP!Q87+DTRVL!Q87</f>
        <v>19353309699</v>
      </c>
      <c r="R87" s="64">
        <f>DTR!R87+'Dai Loc'!R87+'Dong Lam'!R87+'Khanh Nga'!R87+TDP!R87+DTRVL!R87</f>
        <v>7908722750</v>
      </c>
      <c r="S87" s="64">
        <f>DTR!S87+'Dai Loc'!S87+'Dong Lam'!S87+'Khanh Nga'!S87+TDP!S87+DTRVL!S87</f>
        <v>2627365353</v>
      </c>
      <c r="T87" s="64">
        <f>DTR!T87+'Dai Loc'!T87+'Dong Lam'!T87+'Khanh Nga'!T87+TDP!T87+DTRVL!T87</f>
        <v>18289832600</v>
      </c>
      <c r="U87" s="64">
        <f>DTR!U87+'Dai Loc'!U87+'Dong Lam'!U87+'Khanh Nga'!U87+TDP!U87+DTRVL!U87</f>
        <v>32576169059</v>
      </c>
      <c r="V87" s="64">
        <f>DTR!V87+'Dai Loc'!V87+'Dong Lam'!V87+'Khanh Nga'!V87+TDP!V87+DTRVL!V87</f>
        <v>35655587500</v>
      </c>
      <c r="W87" s="64">
        <f>DTR!W87+'Dai Loc'!W87+'Dong Lam'!W87+'Khanh Nga'!W87+TDP!W87+DTRVL!W87</f>
        <v>26919036667</v>
      </c>
      <c r="X87" s="64">
        <f>DTR!X87+'Dai Loc'!X87+'Dong Lam'!X87+'Khanh Nga'!X87+TDP!X87+DTRVL!X87</f>
        <v>19595558890</v>
      </c>
      <c r="Y87" s="64">
        <f>DTR!Y87+'Dai Loc'!Y87+'Dong Lam'!Y87+'Khanh Nga'!Y87+TDP!Y87+DTRVL!Y87</f>
        <v>13678517870</v>
      </c>
      <c r="Z87" s="64">
        <f>DTR!Z87+'Dai Loc'!Z87+'Dong Lam'!Z87+'Khanh Nga'!Z87+TDP!Z87+DTRVL!Z87</f>
        <v>27242108550</v>
      </c>
    </row>
    <row r="88" spans="1:28" ht="15" hidden="1" customHeight="1" outlineLevel="1">
      <c r="A88" s="67" t="s">
        <v>172</v>
      </c>
      <c r="B88" s="63">
        <v>83</v>
      </c>
      <c r="C88" s="64">
        <f>DTR!C88+'Dai Loc'!C88+'Dong Lam'!C88+'Khanh Nga'!C88+TDP!C88+DTRVL!C88</f>
        <v>0</v>
      </c>
      <c r="D88" s="64">
        <f>DTR!D88+'Dai Loc'!D88+'Dong Lam'!D88+'Khanh Nga'!D88+TDP!D88+DTRVL!D88</f>
        <v>0</v>
      </c>
      <c r="E88" s="64">
        <f>DTR!E88+'Dai Loc'!E88+'Dong Lam'!E88+'Khanh Nga'!E88+TDP!E88+DTRVL!E88</f>
        <v>0</v>
      </c>
      <c r="F88" s="64">
        <f>DTR!F88+'Dai Loc'!F88+'Dong Lam'!F88+'Khanh Nga'!F88+TDP!F88+DTRVL!F88</f>
        <v>0</v>
      </c>
      <c r="G88" s="64">
        <f>DTR!G88+'Dai Loc'!G88+'Dong Lam'!G88+'Khanh Nga'!G88+TDP!G88+DTRVL!G88</f>
        <v>0</v>
      </c>
      <c r="H88" s="64">
        <f>DTR!H88+'Dai Loc'!H88+'Dong Lam'!H88+'Khanh Nga'!H88+TDP!H88+DTRVL!H88</f>
        <v>0</v>
      </c>
      <c r="I88" s="64">
        <f>DTR!I88+'Dai Loc'!I88+'Dong Lam'!I88+'Khanh Nga'!I88+TDP!I88+DTRVL!I88</f>
        <v>0</v>
      </c>
      <c r="J88" s="64">
        <f>DTR!J88+'Dai Loc'!J88+'Dong Lam'!J88+'Khanh Nga'!J88+TDP!J88+DTRVL!J88</f>
        <v>0</v>
      </c>
      <c r="K88" s="64">
        <f>DTR!K88+'Dai Loc'!K88+'Dong Lam'!K88+'Khanh Nga'!K88+TDP!K88+DTRVL!K88</f>
        <v>0</v>
      </c>
      <c r="L88" s="64">
        <f>DTR!L88+'Dai Loc'!L88+'Dong Lam'!L88+'Khanh Nga'!L88+TDP!L88+DTRVL!L88</f>
        <v>0</v>
      </c>
      <c r="M88" s="64">
        <f>DTR!M88+'Dai Loc'!M88+'Dong Lam'!M88+'Khanh Nga'!M88+TDP!M88+DTRVL!M88</f>
        <v>0</v>
      </c>
      <c r="N88" s="64">
        <f>DTR!N88+'Dai Loc'!N88+'Dong Lam'!N88+'Khanh Nga'!N88+TDP!N88+DTRVL!N88</f>
        <v>0</v>
      </c>
      <c r="O88" s="64">
        <f>DTR!O88+'Dai Loc'!O88+'Dong Lam'!O88+'Khanh Nga'!O88+TDP!O88+DTRVL!O88</f>
        <v>0</v>
      </c>
      <c r="P88" s="64">
        <f>DTR!P88+'Dai Loc'!P88+'Dong Lam'!P88+'Khanh Nga'!P88+TDP!P88+DTRVL!P88</f>
        <v>0</v>
      </c>
      <c r="Q88" s="64">
        <f>DTR!Q88+'Dai Loc'!Q88+'Dong Lam'!Q88+'Khanh Nga'!Q88+TDP!Q88+DTRVL!Q88</f>
        <v>0</v>
      </c>
      <c r="R88" s="64">
        <f>DTR!R88+'Dai Loc'!R88+'Dong Lam'!R88+'Khanh Nga'!R88+TDP!R88+DTRVL!R88</f>
        <v>0</v>
      </c>
      <c r="S88" s="64">
        <f>DTR!S88+'Dai Loc'!S88+'Dong Lam'!S88+'Khanh Nga'!S88+TDP!S88+DTRVL!S88</f>
        <v>0</v>
      </c>
      <c r="T88" s="64">
        <f>DTR!T88+'Dai Loc'!T88+'Dong Lam'!T88+'Khanh Nga'!T88+TDP!T88+DTRVL!T88</f>
        <v>0</v>
      </c>
      <c r="U88" s="64">
        <f>DTR!U88+'Dai Loc'!U88+'Dong Lam'!U88+'Khanh Nga'!U88+TDP!U88+DTRVL!U88</f>
        <v>0</v>
      </c>
      <c r="V88" s="64">
        <f>DTR!V88+'Dai Loc'!V88+'Dong Lam'!V88+'Khanh Nga'!V88+TDP!V88+DTRVL!V88</f>
        <v>0</v>
      </c>
      <c r="W88" s="64">
        <f>DTR!W88+'Dai Loc'!W88+'Dong Lam'!W88+'Khanh Nga'!W88+TDP!W88+DTRVL!W88</f>
        <v>0</v>
      </c>
      <c r="X88" s="64">
        <f>DTR!X88+'Dai Loc'!X88+'Dong Lam'!X88+'Khanh Nga'!X88+TDP!X88+DTRVL!X88</f>
        <v>0</v>
      </c>
      <c r="Y88" s="64">
        <f>DTR!Y88+'Dai Loc'!Y88+'Dong Lam'!Y88+'Khanh Nga'!Y88+TDP!Y88+DTRVL!Y88</f>
        <v>0</v>
      </c>
      <c r="Z88" s="64">
        <f>DTR!Z88+'Dai Loc'!Z88+'Dong Lam'!Z88+'Khanh Nga'!Z88+TDP!Z88+DTRVL!Z88</f>
        <v>0</v>
      </c>
    </row>
    <row r="89" spans="1:28" ht="15" hidden="1" customHeight="1" outlineLevel="1">
      <c r="A89" s="67" t="s">
        <v>173</v>
      </c>
      <c r="B89" s="63">
        <v>84</v>
      </c>
      <c r="C89" s="64">
        <f>DTR!C89+'Dai Loc'!C89+'Dong Lam'!C89+'Khanh Nga'!C89+TDP!C89+DTRVL!C89</f>
        <v>10498883610</v>
      </c>
      <c r="D89" s="64">
        <f>DTR!D89+'Dai Loc'!D89+'Dong Lam'!D89+'Khanh Nga'!D89+TDP!D89+DTRVL!D89</f>
        <v>3689814164</v>
      </c>
      <c r="E89" s="64">
        <f>DTR!E89+'Dai Loc'!E89+'Dong Lam'!E89+'Khanh Nga'!E89+TDP!E89+DTRVL!E89</f>
        <v>4062755871</v>
      </c>
      <c r="F89" s="64">
        <f>DTR!F89+'Dai Loc'!F89+'Dong Lam'!F89+'Khanh Nga'!F89+TDP!F89+DTRVL!F89</f>
        <v>1384290807</v>
      </c>
      <c r="G89" s="64">
        <f>DTR!G89+'Dai Loc'!G89+'Dong Lam'!G89+'Khanh Nga'!G89+TDP!G89+DTRVL!G89</f>
        <v>2308850961</v>
      </c>
      <c r="H89" s="64">
        <f>DTR!H89+'Dai Loc'!H89+'Dong Lam'!H89+'Khanh Nga'!H89+TDP!H89+DTRVL!H89</f>
        <v>3118570444</v>
      </c>
      <c r="I89" s="64">
        <f>DTR!I89+'Dai Loc'!I89+'Dong Lam'!I89+'Khanh Nga'!I89+TDP!I89+DTRVL!I89</f>
        <v>1058457452</v>
      </c>
      <c r="J89" s="64">
        <f>DTR!J89+'Dai Loc'!J89+'Dong Lam'!J89+'Khanh Nga'!J89+TDP!J89+DTRVL!J89</f>
        <v>1211020482</v>
      </c>
      <c r="K89" s="64">
        <f>DTR!K89+'Dai Loc'!K89+'Dong Lam'!K89+'Khanh Nga'!K89+TDP!K89+DTRVL!K89</f>
        <v>2139521500</v>
      </c>
      <c r="L89" s="64">
        <f>DTR!L89+'Dai Loc'!L89+'Dong Lam'!L89+'Khanh Nga'!L89+TDP!L89+DTRVL!L89</f>
        <v>1189419782</v>
      </c>
      <c r="M89" s="64">
        <f>DTR!M89+'Dai Loc'!M89+'Dong Lam'!M89+'Khanh Nga'!M89+TDP!M89+DTRVL!M89</f>
        <v>1509849868</v>
      </c>
      <c r="N89" s="64">
        <f>DTR!N89+'Dai Loc'!N89+'Dong Lam'!N89+'Khanh Nga'!N89+TDP!N89+DTRVL!N89</f>
        <v>9527733939</v>
      </c>
      <c r="O89" s="64">
        <f>DTR!O89+'Dai Loc'!O89+'Dong Lam'!O89+'Khanh Nga'!O89+TDP!O89+DTRVL!O89</f>
        <v>3269238961</v>
      </c>
      <c r="P89" s="64">
        <f>DTR!P89+'Dai Loc'!P89+'Dong Lam'!P89+'Khanh Nga'!P89+TDP!P89+DTRVL!P89</f>
        <v>5753987528</v>
      </c>
      <c r="Q89" s="64">
        <f>DTR!Q89+'Dai Loc'!Q89+'Dong Lam'!Q89+'Khanh Nga'!Q89+TDP!Q89+DTRVL!Q89</f>
        <v>9117684571</v>
      </c>
      <c r="R89" s="64">
        <f>DTR!R89+'Dai Loc'!R89+'Dong Lam'!R89+'Khanh Nga'!R89+TDP!R89+DTRVL!R89</f>
        <v>9695857514</v>
      </c>
      <c r="S89" s="64">
        <f>DTR!S89+'Dai Loc'!S89+'Dong Lam'!S89+'Khanh Nga'!S89+TDP!S89+DTRVL!S89</f>
        <v>14897920840</v>
      </c>
      <c r="T89" s="64">
        <f>DTR!T89+'Dai Loc'!T89+'Dong Lam'!T89+'Khanh Nga'!T89+TDP!T89+DTRVL!T89</f>
        <v>12417210865</v>
      </c>
      <c r="U89" s="64">
        <f>DTR!U89+'Dai Loc'!U89+'Dong Lam'!U89+'Khanh Nga'!U89+TDP!U89+DTRVL!U89</f>
        <v>8626660891</v>
      </c>
      <c r="V89" s="64">
        <f>DTR!V89+'Dai Loc'!V89+'Dong Lam'!V89+'Khanh Nga'!V89+TDP!V89+DTRVL!V89</f>
        <v>9156127696</v>
      </c>
      <c r="W89" s="64">
        <f>DTR!W89+'Dai Loc'!W89+'Dong Lam'!W89+'Khanh Nga'!W89+TDP!W89+DTRVL!W89</f>
        <v>7004035223</v>
      </c>
      <c r="X89" s="64">
        <f>DTR!X89+'Dai Loc'!X89+'Dong Lam'!X89+'Khanh Nga'!X89+TDP!X89+DTRVL!X89</f>
        <v>6028567487</v>
      </c>
      <c r="Y89" s="64">
        <f>DTR!Y89+'Dai Loc'!Y89+'Dong Lam'!Y89+'Khanh Nga'!Y89+TDP!Y89+DTRVL!Y89</f>
        <v>4386912961</v>
      </c>
      <c r="Z89" s="64">
        <f>DTR!Z89+'Dai Loc'!Z89+'Dong Lam'!Z89+'Khanh Nga'!Z89+TDP!Z89+DTRVL!Z89</f>
        <v>7281246280</v>
      </c>
    </row>
    <row r="90" spans="1:28" ht="15" hidden="1" customHeight="1" outlineLevel="1">
      <c r="A90" s="67" t="s">
        <v>174</v>
      </c>
      <c r="B90" s="63">
        <v>85</v>
      </c>
      <c r="C90" s="64">
        <f>DTR!C90+'Dai Loc'!C90+'Dong Lam'!C90+'Khanh Nga'!C90+TDP!C90+DTRVL!C90</f>
        <v>11362712285</v>
      </c>
      <c r="D90" s="64">
        <f>DTR!D90+'Dai Loc'!D90+'Dong Lam'!D90+'Khanh Nga'!D90+TDP!D90+DTRVL!D90</f>
        <v>7261112290</v>
      </c>
      <c r="E90" s="64">
        <f>DTR!E90+'Dai Loc'!E90+'Dong Lam'!E90+'Khanh Nga'!E90+TDP!E90+DTRVL!E90</f>
        <v>7584838673</v>
      </c>
      <c r="F90" s="64">
        <f>DTR!F90+'Dai Loc'!F90+'Dong Lam'!F90+'Khanh Nga'!F90+TDP!F90+DTRVL!F90</f>
        <v>8802335330</v>
      </c>
      <c r="G90" s="64">
        <f>DTR!G90+'Dai Loc'!G90+'Dong Lam'!G90+'Khanh Nga'!G90+TDP!G90+DTRVL!G90</f>
        <v>8252419463</v>
      </c>
      <c r="H90" s="64">
        <f>DTR!H90+'Dai Loc'!H90+'Dong Lam'!H90+'Khanh Nga'!H90+TDP!H90+DTRVL!H90</f>
        <v>8124186029</v>
      </c>
      <c r="I90" s="64">
        <f>DTR!I90+'Dai Loc'!I90+'Dong Lam'!I90+'Khanh Nga'!I90+TDP!I90+DTRVL!I90</f>
        <v>7811815324</v>
      </c>
      <c r="J90" s="64">
        <f>DTR!J90+'Dai Loc'!J90+'Dong Lam'!J90+'Khanh Nga'!J90+TDP!J90+DTRVL!J90</f>
        <v>457937876</v>
      </c>
      <c r="K90" s="64">
        <f>DTR!K90+'Dai Loc'!K90+'Dong Lam'!K90+'Khanh Nga'!K90+TDP!K90+DTRVL!K90</f>
        <v>8485574144</v>
      </c>
      <c r="L90" s="64">
        <f>DTR!L90+'Dai Loc'!L90+'Dong Lam'!L90+'Khanh Nga'!L90+TDP!L90+DTRVL!L90</f>
        <v>8401248944</v>
      </c>
      <c r="M90" s="64">
        <f>DTR!M90+'Dai Loc'!M90+'Dong Lam'!M90+'Khanh Nga'!M90+TDP!M90+DTRVL!M90</f>
        <v>8616270563</v>
      </c>
      <c r="N90" s="64">
        <f>DTR!N90+'Dai Loc'!N90+'Dong Lam'!N90+'Khanh Nga'!N90+TDP!N90+DTRVL!N90</f>
        <v>12882678899</v>
      </c>
      <c r="O90" s="64">
        <f>DTR!O90+'Dai Loc'!O90+'Dong Lam'!O90+'Khanh Nga'!O90+TDP!O90+DTRVL!O90</f>
        <v>8655764617</v>
      </c>
      <c r="P90" s="64">
        <f>DTR!P90+'Dai Loc'!P90+'Dong Lam'!P90+'Khanh Nga'!P90+TDP!P90+DTRVL!P90</f>
        <v>9095727516</v>
      </c>
      <c r="Q90" s="64">
        <f>DTR!Q90+'Dai Loc'!Q90+'Dong Lam'!Q90+'Khanh Nga'!Q90+TDP!Q90+DTRVL!Q90</f>
        <v>9239322502</v>
      </c>
      <c r="R90" s="64">
        <f>DTR!R90+'Dai Loc'!R90+'Dong Lam'!R90+'Khanh Nga'!R90+TDP!R90+DTRVL!R90</f>
        <v>519338426</v>
      </c>
      <c r="S90" s="64">
        <f>DTR!S90+'Dai Loc'!S90+'Dong Lam'!S90+'Khanh Nga'!S90+TDP!S90+DTRVL!S90</f>
        <v>10493661520</v>
      </c>
      <c r="T90" s="64">
        <f>DTR!T90+'Dai Loc'!T90+'Dong Lam'!T90+'Khanh Nga'!T90+TDP!T90+DTRVL!T90</f>
        <v>10746467156</v>
      </c>
      <c r="U90" s="64">
        <f>DTR!U90+'Dai Loc'!U90+'Dong Lam'!U90+'Khanh Nga'!U90+TDP!U90+DTRVL!U90</f>
        <v>10421088708</v>
      </c>
      <c r="V90" s="64">
        <f>DTR!V90+'Dai Loc'!V90+'Dong Lam'!V90+'Khanh Nga'!V90+TDP!V90+DTRVL!V90</f>
        <v>10791732094</v>
      </c>
      <c r="W90" s="64">
        <f>DTR!W90+'Dai Loc'!W90+'Dong Lam'!W90+'Khanh Nga'!W90+TDP!W90+DTRVL!W90</f>
        <v>11366691930</v>
      </c>
      <c r="X90" s="64">
        <f>DTR!X90+'Dai Loc'!X90+'Dong Lam'!X90+'Khanh Nga'!X90+TDP!X90+DTRVL!X90</f>
        <v>10525542918</v>
      </c>
      <c r="Y90" s="64">
        <f>DTR!Y90+'Dai Loc'!Y90+'Dong Lam'!Y90+'Khanh Nga'!Y90+TDP!Y90+DTRVL!Y90</f>
        <v>10283351512</v>
      </c>
      <c r="Z90" s="64">
        <f>DTR!Z90+'Dai Loc'!Z90+'Dong Lam'!Z90+'Khanh Nga'!Z90+TDP!Z90+DTRVL!Z90</f>
        <v>10866562186</v>
      </c>
    </row>
    <row r="91" spans="1:28" ht="15" hidden="1" customHeight="1" outlineLevel="1">
      <c r="A91" s="67" t="s">
        <v>175</v>
      </c>
      <c r="B91" s="63">
        <v>86</v>
      </c>
      <c r="C91" s="64">
        <f>DTR!C91+'Dai Loc'!C91+'Dong Lam'!C91+'Khanh Nga'!C91+TDP!C91+DTRVL!C91</f>
        <v>16153446903</v>
      </c>
      <c r="D91" s="64">
        <f>DTR!D91+'Dai Loc'!D91+'Dong Lam'!D91+'Khanh Nga'!D91+TDP!D91+DTRVL!D91</f>
        <v>22420169080</v>
      </c>
      <c r="E91" s="64">
        <f>DTR!E91+'Dai Loc'!E91+'Dong Lam'!E91+'Khanh Nga'!E91+TDP!E91+DTRVL!E91</f>
        <v>7052345407</v>
      </c>
      <c r="F91" s="64">
        <f>DTR!F91+'Dai Loc'!F91+'Dong Lam'!F91+'Khanh Nga'!F91+TDP!F91+DTRVL!F91</f>
        <v>17025705880</v>
      </c>
      <c r="G91" s="64">
        <f>DTR!G91+'Dai Loc'!G91+'Dong Lam'!G91+'Khanh Nga'!G91+TDP!G91+DTRVL!G91</f>
        <v>26551396101</v>
      </c>
      <c r="H91" s="64">
        <f>DTR!H91+'Dai Loc'!H91+'Dong Lam'!H91+'Khanh Nga'!H91+TDP!H91+DTRVL!H91</f>
        <v>9643768625</v>
      </c>
      <c r="I91" s="64">
        <f>DTR!I91+'Dai Loc'!I91+'Dong Lam'!I91+'Khanh Nga'!I91+TDP!I91+DTRVL!I91</f>
        <v>19498083536</v>
      </c>
      <c r="J91" s="64">
        <f>DTR!J91+'Dai Loc'!J91+'Dong Lam'!J91+'Khanh Nga'!J91+TDP!J91+DTRVL!J91</f>
        <v>32054507492</v>
      </c>
      <c r="K91" s="64">
        <f>DTR!K91+'Dai Loc'!K91+'Dong Lam'!K91+'Khanh Nga'!K91+TDP!K91+DTRVL!K91</f>
        <v>17871987185</v>
      </c>
      <c r="L91" s="64">
        <f>DTR!L91+'Dai Loc'!L91+'Dong Lam'!L91+'Khanh Nga'!L91+TDP!L91+DTRVL!L91</f>
        <v>25354416886</v>
      </c>
      <c r="M91" s="64">
        <f>DTR!M91+'Dai Loc'!M91+'Dong Lam'!M91+'Khanh Nga'!M91+TDP!M91+DTRVL!M91</f>
        <v>33287993453</v>
      </c>
      <c r="N91" s="64">
        <f>DTR!N91+'Dai Loc'!N91+'Dong Lam'!N91+'Khanh Nga'!N91+TDP!N91+DTRVL!N91</f>
        <v>17891877693</v>
      </c>
      <c r="O91" s="64">
        <f>DTR!O91+'Dai Loc'!O91+'Dong Lam'!O91+'Khanh Nga'!O91+TDP!O91+DTRVL!O91</f>
        <v>12873679613</v>
      </c>
      <c r="P91" s="64">
        <f>DTR!P91+'Dai Loc'!P91+'Dong Lam'!P91+'Khanh Nga'!P91+TDP!P91+DTRVL!P91</f>
        <v>18374210204</v>
      </c>
      <c r="Q91" s="64">
        <f>DTR!Q91+'Dai Loc'!Q91+'Dong Lam'!Q91+'Khanh Nga'!Q91+TDP!Q91+DTRVL!Q91</f>
        <v>-5606260254</v>
      </c>
      <c r="R91" s="64">
        <f>DTR!R91+'Dai Loc'!R91+'Dong Lam'!R91+'Khanh Nga'!R91+TDP!R91+DTRVL!R91</f>
        <v>-3804295862</v>
      </c>
      <c r="S91" s="64">
        <f>DTR!S91+'Dai Loc'!S91+'Dong Lam'!S91+'Khanh Nga'!S91+TDP!S91+DTRVL!S91</f>
        <v>98594660</v>
      </c>
      <c r="T91" s="64">
        <f>DTR!T91+'Dai Loc'!T91+'Dong Lam'!T91+'Khanh Nga'!T91+TDP!T91+DTRVL!T91</f>
        <v>1515541421</v>
      </c>
      <c r="U91" s="64">
        <f>DTR!U91+'Dai Loc'!U91+'Dong Lam'!U91+'Khanh Nga'!U91+TDP!U91+DTRVL!U91</f>
        <v>17721365268</v>
      </c>
      <c r="V91" s="64">
        <f>DTR!V91+'Dai Loc'!V91+'Dong Lam'!V91+'Khanh Nga'!V91+TDP!V91+DTRVL!V91</f>
        <v>23723350128</v>
      </c>
      <c r="W91" s="64">
        <f>DTR!W91+'Dai Loc'!W91+'Dong Lam'!W91+'Khanh Nga'!W91+TDP!W91+DTRVL!W91</f>
        <v>16832372739</v>
      </c>
      <c r="X91" s="64">
        <f>DTR!X91+'Dai Loc'!X91+'Dong Lam'!X91+'Khanh Nga'!X91+TDP!X91+DTRVL!X91</f>
        <v>22569568619</v>
      </c>
      <c r="Y91" s="64">
        <f>DTR!Y91+'Dai Loc'!Y91+'Dong Lam'!Y91+'Khanh Nga'!Y91+TDP!Y91+DTRVL!Y91</f>
        <v>27478663520</v>
      </c>
      <c r="Z91" s="64">
        <f>DTR!Z91+'Dai Loc'!Z91+'Dong Lam'!Z91+'Khanh Nga'!Z91+TDP!Z91+DTRVL!Z91</f>
        <v>14384193531</v>
      </c>
    </row>
    <row r="92" spans="1:28" ht="15" hidden="1" customHeight="1" outlineLevel="1">
      <c r="A92" s="67" t="s">
        <v>176</v>
      </c>
      <c r="B92" s="63">
        <v>87</v>
      </c>
      <c r="C92" s="64">
        <f>DTR!C92+'Dai Loc'!C92+'Dong Lam'!C92+'Khanh Nga'!C92+TDP!C92+DTRVL!C92</f>
        <v>0</v>
      </c>
      <c r="D92" s="64">
        <f>DTR!D92+'Dai Loc'!D92+'Dong Lam'!D92+'Khanh Nga'!D92+TDP!D92+DTRVL!D92</f>
        <v>0</v>
      </c>
      <c r="E92" s="64">
        <f>DTR!E92+'Dai Loc'!E92+'Dong Lam'!E92+'Khanh Nga'!E92+TDP!E92+DTRVL!E92</f>
        <v>0</v>
      </c>
      <c r="F92" s="64">
        <f>DTR!F92+'Dai Loc'!F92+'Dong Lam'!F92+'Khanh Nga'!F92+TDP!F92+DTRVL!F92</f>
        <v>0</v>
      </c>
      <c r="G92" s="64">
        <f>DTR!G92+'Dai Loc'!G92+'Dong Lam'!G92+'Khanh Nga'!G92+TDP!G92+DTRVL!G92</f>
        <v>0</v>
      </c>
      <c r="H92" s="64">
        <f>DTR!H92+'Dai Loc'!H92+'Dong Lam'!H92+'Khanh Nga'!H92+TDP!H92+DTRVL!H92</f>
        <v>0</v>
      </c>
      <c r="I92" s="64">
        <f>DTR!I92+'Dai Loc'!I92+'Dong Lam'!I92+'Khanh Nga'!I92+TDP!I92+DTRVL!I92</f>
        <v>0</v>
      </c>
      <c r="J92" s="64">
        <f>DTR!J92+'Dai Loc'!J92+'Dong Lam'!J92+'Khanh Nga'!J92+TDP!J92+DTRVL!J92</f>
        <v>0</v>
      </c>
      <c r="K92" s="64">
        <f>DTR!K92+'Dai Loc'!K92+'Dong Lam'!K92+'Khanh Nga'!K92+TDP!K92+DTRVL!K92</f>
        <v>0</v>
      </c>
      <c r="L92" s="64">
        <f>DTR!L92+'Dai Loc'!L92+'Dong Lam'!L92+'Khanh Nga'!L92+TDP!L92+DTRVL!L92</f>
        <v>0</v>
      </c>
      <c r="M92" s="64">
        <f>DTR!M92+'Dai Loc'!M92+'Dong Lam'!M92+'Khanh Nga'!M92+TDP!M92+DTRVL!M92</f>
        <v>0</v>
      </c>
      <c r="N92" s="64">
        <f>DTR!N92+'Dai Loc'!N92+'Dong Lam'!N92+'Khanh Nga'!N92+TDP!N92+DTRVL!N92</f>
        <v>0</v>
      </c>
      <c r="O92" s="64">
        <f>DTR!O92+'Dai Loc'!O92+'Dong Lam'!O92+'Khanh Nga'!O92+TDP!O92+DTRVL!O92</f>
        <v>0</v>
      </c>
      <c r="P92" s="64">
        <f>DTR!P92+'Dai Loc'!P92+'Dong Lam'!P92+'Khanh Nga'!P92+TDP!P92+DTRVL!P92</f>
        <v>0</v>
      </c>
      <c r="Q92" s="64">
        <f>DTR!Q92+'Dai Loc'!Q92+'Dong Lam'!Q92+'Khanh Nga'!Q92+TDP!Q92+DTRVL!Q92</f>
        <v>0</v>
      </c>
      <c r="R92" s="64">
        <f>DTR!R92+'Dai Loc'!R92+'Dong Lam'!R92+'Khanh Nga'!R92+TDP!R92+DTRVL!R92</f>
        <v>0</v>
      </c>
      <c r="S92" s="64">
        <f>DTR!S92+'Dai Loc'!S92+'Dong Lam'!S92+'Khanh Nga'!S92+TDP!S92+DTRVL!S92</f>
        <v>0</v>
      </c>
      <c r="T92" s="64">
        <f>DTR!T92+'Dai Loc'!T92+'Dong Lam'!T92+'Khanh Nga'!T92+TDP!T92+DTRVL!T92</f>
        <v>0</v>
      </c>
      <c r="U92" s="64">
        <f>DTR!U92+'Dai Loc'!U92+'Dong Lam'!U92+'Khanh Nga'!U92+TDP!U92+DTRVL!U92</f>
        <v>0</v>
      </c>
      <c r="V92" s="64">
        <f>DTR!V92+'Dai Loc'!V92+'Dong Lam'!V92+'Khanh Nga'!V92+TDP!V92+DTRVL!V92</f>
        <v>0</v>
      </c>
      <c r="W92" s="64">
        <f>DTR!W92+'Dai Loc'!W92+'Dong Lam'!W92+'Khanh Nga'!W92+TDP!W92+DTRVL!W92</f>
        <v>0</v>
      </c>
      <c r="X92" s="64">
        <f>DTR!X92+'Dai Loc'!X92+'Dong Lam'!X92+'Khanh Nga'!X92+TDP!X92+DTRVL!X92</f>
        <v>0</v>
      </c>
      <c r="Y92" s="64">
        <f>DTR!Y92+'Dai Loc'!Y92+'Dong Lam'!Y92+'Khanh Nga'!Y92+TDP!Y92+DTRVL!Y92</f>
        <v>0</v>
      </c>
      <c r="Z92" s="64">
        <f>DTR!Z92+'Dai Loc'!Z92+'Dong Lam'!Z92+'Khanh Nga'!Z92+TDP!Z92+DTRVL!Z92</f>
        <v>0</v>
      </c>
    </row>
    <row r="93" spans="1:28" ht="15" hidden="1" customHeight="1" outlineLevel="1">
      <c r="A93" s="67" t="s">
        <v>177</v>
      </c>
      <c r="B93" s="63">
        <v>88</v>
      </c>
      <c r="C93" s="64">
        <f>DTR!C93+'Dai Loc'!C93+'Dong Lam'!C93+'Khanh Nga'!C93+TDP!C93+DTRVL!C93</f>
        <v>0</v>
      </c>
      <c r="D93" s="64">
        <f>DTR!D93+'Dai Loc'!D93+'Dong Lam'!D93+'Khanh Nga'!D93+TDP!D93+DTRVL!D93</f>
        <v>0</v>
      </c>
      <c r="E93" s="64">
        <f>DTR!E93+'Dai Loc'!E93+'Dong Lam'!E93+'Khanh Nga'!E93+TDP!E93+DTRVL!E93</f>
        <v>0</v>
      </c>
      <c r="F93" s="64">
        <f>DTR!F93+'Dai Loc'!F93+'Dong Lam'!F93+'Khanh Nga'!F93+TDP!F93+DTRVL!F93</f>
        <v>0</v>
      </c>
      <c r="G93" s="64">
        <f>DTR!G93+'Dai Loc'!G93+'Dong Lam'!G93+'Khanh Nga'!G93+TDP!G93+DTRVL!G93</f>
        <v>0</v>
      </c>
      <c r="H93" s="64">
        <f>DTR!H93+'Dai Loc'!H93+'Dong Lam'!H93+'Khanh Nga'!H93+TDP!H93+DTRVL!H93</f>
        <v>0</v>
      </c>
      <c r="I93" s="64">
        <f>DTR!I93+'Dai Loc'!I93+'Dong Lam'!I93+'Khanh Nga'!I93+TDP!I93+DTRVL!I93</f>
        <v>0</v>
      </c>
      <c r="J93" s="64">
        <f>DTR!J93+'Dai Loc'!J93+'Dong Lam'!J93+'Khanh Nga'!J93+TDP!J93+DTRVL!J93</f>
        <v>0</v>
      </c>
      <c r="K93" s="64">
        <f>DTR!K93+'Dai Loc'!K93+'Dong Lam'!K93+'Khanh Nga'!K93+TDP!K93+DTRVL!K93</f>
        <v>0</v>
      </c>
      <c r="L93" s="64">
        <f>DTR!L93+'Dai Loc'!L93+'Dong Lam'!L93+'Khanh Nga'!L93+TDP!L93+DTRVL!L93</f>
        <v>0</v>
      </c>
      <c r="M93" s="64">
        <f>DTR!M93+'Dai Loc'!M93+'Dong Lam'!M93+'Khanh Nga'!M93+TDP!M93+DTRVL!M93</f>
        <v>0</v>
      </c>
      <c r="N93" s="64">
        <f>DTR!N93+'Dai Loc'!N93+'Dong Lam'!N93+'Khanh Nga'!N93+TDP!N93+DTRVL!N93</f>
        <v>0</v>
      </c>
      <c r="O93" s="64">
        <f>DTR!O93+'Dai Loc'!O93+'Dong Lam'!O93+'Khanh Nga'!O93+TDP!O93+DTRVL!O93</f>
        <v>0</v>
      </c>
      <c r="P93" s="64">
        <f>DTR!P93+'Dai Loc'!P93+'Dong Lam'!P93+'Khanh Nga'!P93+TDP!P93+DTRVL!P93</f>
        <v>0</v>
      </c>
      <c r="Q93" s="64">
        <f>DTR!Q93+'Dai Loc'!Q93+'Dong Lam'!Q93+'Khanh Nga'!Q93+TDP!Q93+DTRVL!Q93</f>
        <v>0</v>
      </c>
      <c r="R93" s="64">
        <f>DTR!R93+'Dai Loc'!R93+'Dong Lam'!R93+'Khanh Nga'!R93+TDP!R93+DTRVL!R93</f>
        <v>0</v>
      </c>
      <c r="S93" s="64">
        <f>DTR!S93+'Dai Loc'!S93+'Dong Lam'!S93+'Khanh Nga'!S93+TDP!S93+DTRVL!S93</f>
        <v>0</v>
      </c>
      <c r="T93" s="64">
        <f>DTR!T93+'Dai Loc'!T93+'Dong Lam'!T93+'Khanh Nga'!T93+TDP!T93+DTRVL!T93</f>
        <v>0</v>
      </c>
      <c r="U93" s="64">
        <f>DTR!U93+'Dai Loc'!U93+'Dong Lam'!U93+'Khanh Nga'!U93+TDP!U93+DTRVL!U93</f>
        <v>0</v>
      </c>
      <c r="V93" s="64">
        <f>DTR!V93+'Dai Loc'!V93+'Dong Lam'!V93+'Khanh Nga'!V93+TDP!V93+DTRVL!V93</f>
        <v>0</v>
      </c>
      <c r="W93" s="64">
        <f>DTR!W93+'Dai Loc'!W93+'Dong Lam'!W93+'Khanh Nga'!W93+TDP!W93+DTRVL!W93</f>
        <v>0</v>
      </c>
      <c r="X93" s="64">
        <f>DTR!X93+'Dai Loc'!X93+'Dong Lam'!X93+'Khanh Nga'!X93+TDP!X93+DTRVL!X93</f>
        <v>0</v>
      </c>
      <c r="Y93" s="64">
        <f>DTR!Y93+'Dai Loc'!Y93+'Dong Lam'!Y93+'Khanh Nga'!Y93+TDP!Y93+DTRVL!Y93</f>
        <v>0</v>
      </c>
      <c r="Z93" s="64">
        <f>DTR!Z93+'Dai Loc'!Z93+'Dong Lam'!Z93+'Khanh Nga'!Z93+TDP!Z93+DTRVL!Z93</f>
        <v>0</v>
      </c>
    </row>
    <row r="94" spans="1:28" ht="15" hidden="1" customHeight="1" outlineLevel="1">
      <c r="A94" s="67" t="s">
        <v>178</v>
      </c>
      <c r="B94" s="63">
        <v>89</v>
      </c>
      <c r="C94" s="64">
        <f>DTR!C94+'Dai Loc'!C94+'Dong Lam'!C94+'Khanh Nga'!C94+TDP!C94+DTRVL!C94</f>
        <v>0</v>
      </c>
      <c r="D94" s="64">
        <f>DTR!D94+'Dai Loc'!D94+'Dong Lam'!D94+'Khanh Nga'!D94+TDP!D94+DTRVL!D94</f>
        <v>0</v>
      </c>
      <c r="E94" s="64">
        <f>DTR!E94+'Dai Loc'!E94+'Dong Lam'!E94+'Khanh Nga'!E94+TDP!E94+DTRVL!E94</f>
        <v>0</v>
      </c>
      <c r="F94" s="64">
        <f>DTR!F94+'Dai Loc'!F94+'Dong Lam'!F94+'Khanh Nga'!F94+TDP!F94+DTRVL!F94</f>
        <v>0</v>
      </c>
      <c r="G94" s="64">
        <f>DTR!G94+'Dai Loc'!G94+'Dong Lam'!G94+'Khanh Nga'!G94+TDP!G94+DTRVL!G94</f>
        <v>0</v>
      </c>
      <c r="H94" s="64">
        <f>DTR!H94+'Dai Loc'!H94+'Dong Lam'!H94+'Khanh Nga'!H94+TDP!H94+DTRVL!H94</f>
        <v>0</v>
      </c>
      <c r="I94" s="64">
        <f>DTR!I94+'Dai Loc'!I94+'Dong Lam'!I94+'Khanh Nga'!I94+TDP!I94+DTRVL!I94</f>
        <v>0</v>
      </c>
      <c r="J94" s="64">
        <f>DTR!J94+'Dai Loc'!J94+'Dong Lam'!J94+'Khanh Nga'!J94+TDP!J94+DTRVL!J94</f>
        <v>0</v>
      </c>
      <c r="K94" s="64">
        <f>DTR!K94+'Dai Loc'!K94+'Dong Lam'!K94+'Khanh Nga'!K94+TDP!K94+DTRVL!K94</f>
        <v>0</v>
      </c>
      <c r="L94" s="64">
        <f>DTR!L94+'Dai Loc'!L94+'Dong Lam'!L94+'Khanh Nga'!L94+TDP!L94+DTRVL!L94</f>
        <v>0</v>
      </c>
      <c r="M94" s="64">
        <f>DTR!M94+'Dai Loc'!M94+'Dong Lam'!M94+'Khanh Nga'!M94+TDP!M94+DTRVL!M94</f>
        <v>0</v>
      </c>
      <c r="N94" s="64">
        <f>DTR!N94+'Dai Loc'!N94+'Dong Lam'!N94+'Khanh Nga'!N94+TDP!N94+DTRVL!N94</f>
        <v>0</v>
      </c>
      <c r="O94" s="64">
        <f>DTR!O94+'Dai Loc'!O94+'Dong Lam'!O94+'Khanh Nga'!O94+TDP!O94+DTRVL!O94</f>
        <v>0</v>
      </c>
      <c r="P94" s="64">
        <f>DTR!P94+'Dai Loc'!P94+'Dong Lam'!P94+'Khanh Nga'!P94+TDP!P94+DTRVL!P94</f>
        <v>0</v>
      </c>
      <c r="Q94" s="64">
        <f>DTR!Q94+'Dai Loc'!Q94+'Dong Lam'!Q94+'Khanh Nga'!Q94+TDP!Q94+DTRVL!Q94</f>
        <v>0</v>
      </c>
      <c r="R94" s="64">
        <f>DTR!R94+'Dai Loc'!R94+'Dong Lam'!R94+'Khanh Nga'!R94+TDP!R94+DTRVL!R94</f>
        <v>0</v>
      </c>
      <c r="S94" s="64">
        <f>DTR!S94+'Dai Loc'!S94+'Dong Lam'!S94+'Khanh Nga'!S94+TDP!S94+DTRVL!S94</f>
        <v>0</v>
      </c>
      <c r="T94" s="64">
        <f>DTR!T94+'Dai Loc'!T94+'Dong Lam'!T94+'Khanh Nga'!T94+TDP!T94+DTRVL!T94</f>
        <v>0</v>
      </c>
      <c r="U94" s="64">
        <f>DTR!U94+'Dai Loc'!U94+'Dong Lam'!U94+'Khanh Nga'!U94+TDP!U94+DTRVL!U94</f>
        <v>0</v>
      </c>
      <c r="V94" s="64">
        <f>DTR!V94+'Dai Loc'!V94+'Dong Lam'!V94+'Khanh Nga'!V94+TDP!V94+DTRVL!V94</f>
        <v>0</v>
      </c>
      <c r="W94" s="64">
        <f>DTR!W94+'Dai Loc'!W94+'Dong Lam'!W94+'Khanh Nga'!W94+TDP!W94+DTRVL!W94</f>
        <v>0</v>
      </c>
      <c r="X94" s="64">
        <f>DTR!X94+'Dai Loc'!X94+'Dong Lam'!X94+'Khanh Nga'!X94+TDP!X94+DTRVL!X94</f>
        <v>0</v>
      </c>
      <c r="Y94" s="64">
        <f>DTR!Y94+'Dai Loc'!Y94+'Dong Lam'!Y94+'Khanh Nga'!Y94+TDP!Y94+DTRVL!Y94</f>
        <v>0</v>
      </c>
      <c r="Z94" s="64">
        <f>DTR!Z94+'Dai Loc'!Z94+'Dong Lam'!Z94+'Khanh Nga'!Z94+TDP!Z94+DTRVL!Z94</f>
        <v>0</v>
      </c>
    </row>
    <row r="95" spans="1:28" ht="15" hidden="1" customHeight="1" outlineLevel="1">
      <c r="A95" s="67" t="s">
        <v>179</v>
      </c>
      <c r="B95" s="63">
        <v>90</v>
      </c>
      <c r="C95" s="64">
        <f>DTR!C95+'Dai Loc'!C95+'Dong Lam'!C95+'Khanh Nga'!C95+TDP!C95+DTRVL!C95</f>
        <v>20696481661</v>
      </c>
      <c r="D95" s="64">
        <f>DTR!D95+'Dai Loc'!D95+'Dong Lam'!D95+'Khanh Nga'!D95+TDP!D95+DTRVL!D95</f>
        <v>20595840087</v>
      </c>
      <c r="E95" s="64">
        <f>DTR!E95+'Dai Loc'!E95+'Dong Lam'!E95+'Khanh Nga'!E95+TDP!E95+DTRVL!E95</f>
        <v>26813125892.860001</v>
      </c>
      <c r="F95" s="64">
        <f>DTR!F95+'Dai Loc'!F95+'Dong Lam'!F95+'Khanh Nga'!F95+TDP!F95+DTRVL!F95</f>
        <v>27765488547.882</v>
      </c>
      <c r="G95" s="64">
        <f>DTR!G95+'Dai Loc'!G95+'Dong Lam'!G95+'Khanh Nga'!G95+TDP!G95+DTRVL!G95</f>
        <v>20403961843</v>
      </c>
      <c r="H95" s="64">
        <f>DTR!H95+'Dai Loc'!H95+'Dong Lam'!H95+'Khanh Nga'!H95+TDP!H95+DTRVL!H95</f>
        <v>8973254724</v>
      </c>
      <c r="I95" s="64">
        <f>DTR!I95+'Dai Loc'!I95+'Dong Lam'!I95+'Khanh Nga'!I95+TDP!I95+DTRVL!I95</f>
        <v>9334621417</v>
      </c>
      <c r="J95" s="64">
        <f>DTR!J95+'Dai Loc'!J95+'Dong Lam'!J95+'Khanh Nga'!J95+TDP!J95+DTRVL!J95</f>
        <v>12038191666</v>
      </c>
      <c r="K95" s="64">
        <f>DTR!K95+'Dai Loc'!K95+'Dong Lam'!K95+'Khanh Nga'!K95+TDP!K95+DTRVL!K95</f>
        <v>14568081439</v>
      </c>
      <c r="L95" s="64">
        <f>DTR!L95+'Dai Loc'!L95+'Dong Lam'!L95+'Khanh Nga'!L95+TDP!L95+DTRVL!L95</f>
        <v>9244155132</v>
      </c>
      <c r="M95" s="64">
        <f>DTR!M95+'Dai Loc'!M95+'Dong Lam'!M95+'Khanh Nga'!M95+TDP!M95+DTRVL!M95</f>
        <v>12004819534</v>
      </c>
      <c r="N95" s="64">
        <f>DTR!N95+'Dai Loc'!N95+'Dong Lam'!N95+'Khanh Nga'!N95+TDP!N95+DTRVL!N95</f>
        <v>11216627279.482</v>
      </c>
      <c r="O95" s="64">
        <f>DTR!O95+'Dai Loc'!O95+'Dong Lam'!O95+'Khanh Nga'!O95+TDP!O95+DTRVL!O95</f>
        <v>11890639716</v>
      </c>
      <c r="P95" s="64">
        <f>DTR!P95+'Dai Loc'!P95+'Dong Lam'!P95+'Khanh Nga'!P95+TDP!P95+DTRVL!P95</f>
        <v>15214207492</v>
      </c>
      <c r="Q95" s="64">
        <f>DTR!Q95+'Dai Loc'!Q95+'Dong Lam'!Q95+'Khanh Nga'!Q95+TDP!Q95+DTRVL!Q95</f>
        <v>13274237856.482</v>
      </c>
      <c r="R95" s="64">
        <f>DTR!R95+'Dai Loc'!R95+'Dong Lam'!R95+'Khanh Nga'!R95+TDP!R95+DTRVL!R95</f>
        <v>23351476909</v>
      </c>
      <c r="S95" s="64">
        <f>DTR!S95+'Dai Loc'!S95+'Dong Lam'!S95+'Khanh Nga'!S95+TDP!S95+DTRVL!S95</f>
        <v>33444587733</v>
      </c>
      <c r="T95" s="64">
        <f>DTR!T95+'Dai Loc'!T95+'Dong Lam'!T95+'Khanh Nga'!T95+TDP!T95+DTRVL!T95</f>
        <v>19043714839.482002</v>
      </c>
      <c r="U95" s="64">
        <f>DTR!U95+'Dai Loc'!U95+'Dong Lam'!U95+'Khanh Nga'!U95+TDP!U95+DTRVL!U95</f>
        <v>17481729946.482101</v>
      </c>
      <c r="V95" s="64">
        <f>DTR!V95+'Dai Loc'!V95+'Dong Lam'!V95+'Khanh Nga'!V95+TDP!V95+DTRVL!V95</f>
        <v>19912766033.482101</v>
      </c>
      <c r="W95" s="64">
        <f>DTR!W95+'Dai Loc'!W95+'Dong Lam'!W95+'Khanh Nga'!W95+TDP!W95+DTRVL!W95</f>
        <v>9977435941.4820004</v>
      </c>
      <c r="X95" s="64">
        <f>DTR!X95+'Dai Loc'!X95+'Dong Lam'!X95+'Khanh Nga'!X95+TDP!X95+DTRVL!X95</f>
        <v>10333921176.482</v>
      </c>
      <c r="Y95" s="64">
        <f>DTR!Y95+'Dai Loc'!Y95+'Dong Lam'!Y95+'Khanh Nga'!Y95+TDP!Y95+DTRVL!Y95</f>
        <v>11722247952.482</v>
      </c>
      <c r="Z95" s="64">
        <f>DTR!Z95+'Dai Loc'!Z95+'Dong Lam'!Z95+'Khanh Nga'!Z95+TDP!Z95+DTRVL!Z95</f>
        <v>9789616230</v>
      </c>
    </row>
    <row r="96" spans="1:28" ht="15" hidden="1" customHeight="1" outlineLevel="1">
      <c r="A96" s="67" t="s">
        <v>180</v>
      </c>
      <c r="B96" s="63">
        <v>91</v>
      </c>
      <c r="C96" s="64">
        <f>DTR!C96+'Dai Loc'!C96+'Dong Lam'!C96+'Khanh Nga'!C96+TDP!C96+DTRVL!C96</f>
        <v>62822745245</v>
      </c>
      <c r="D96" s="64">
        <f>DTR!D96+'Dai Loc'!D96+'Dong Lam'!D96+'Khanh Nga'!D96+TDP!D96+DTRVL!D96</f>
        <v>57847834995</v>
      </c>
      <c r="E96" s="64">
        <f>DTR!E96+'Dai Loc'!E96+'Dong Lam'!E96+'Khanh Nga'!E96+TDP!E96+DTRVL!E96</f>
        <v>101832582537</v>
      </c>
      <c r="F96" s="64">
        <f>DTR!F96+'Dai Loc'!F96+'Dong Lam'!F96+'Khanh Nga'!F96+TDP!F96+DTRVL!F96</f>
        <v>144977288403</v>
      </c>
      <c r="G96" s="64">
        <f>DTR!G96+'Dai Loc'!G96+'Dong Lam'!G96+'Khanh Nga'!G96+TDP!G96+DTRVL!G96</f>
        <v>178905916168</v>
      </c>
      <c r="H96" s="64">
        <f>DTR!H96+'Dai Loc'!H96+'Dong Lam'!H96+'Khanh Nga'!H96+TDP!H96+DTRVL!H96</f>
        <v>190748518955</v>
      </c>
      <c r="I96" s="64">
        <f>DTR!I96+'Dai Loc'!I96+'Dong Lam'!I96+'Khanh Nga'!I96+TDP!I96+DTRVL!I96</f>
        <v>168894814805</v>
      </c>
      <c r="J96" s="64">
        <f>DTR!J96+'Dai Loc'!J96+'Dong Lam'!J96+'Khanh Nga'!J96+TDP!J96+DTRVL!J96</f>
        <v>126048766562</v>
      </c>
      <c r="K96" s="64">
        <f>DTR!K96+'Dai Loc'!K96+'Dong Lam'!K96+'Khanh Nga'!K96+TDP!K96+DTRVL!K96</f>
        <v>139654417984</v>
      </c>
      <c r="L96" s="64">
        <f>DTR!L96+'Dai Loc'!L96+'Dong Lam'!L96+'Khanh Nga'!L96+TDP!L96+DTRVL!L96</f>
        <v>155306260478</v>
      </c>
      <c r="M96" s="64">
        <f>DTR!M96+'Dai Loc'!M96+'Dong Lam'!M96+'Khanh Nga'!M96+TDP!M96+DTRVL!M96</f>
        <v>165536679982</v>
      </c>
      <c r="N96" s="64">
        <f>DTR!N96+'Dai Loc'!N96+'Dong Lam'!N96+'Khanh Nga'!N96+TDP!N96+DTRVL!N96</f>
        <v>192629821718</v>
      </c>
      <c r="O96" s="64">
        <f>DTR!O96+'Dai Loc'!O96+'Dong Lam'!O96+'Khanh Nga'!O96+TDP!O96+DTRVL!O96</f>
        <v>134925554251</v>
      </c>
      <c r="P96" s="64">
        <f>DTR!P96+'Dai Loc'!P96+'Dong Lam'!P96+'Khanh Nga'!P96+TDP!P96+DTRVL!P96</f>
        <v>43611829278</v>
      </c>
      <c r="Q96" s="64">
        <f>DTR!Q96+'Dai Loc'!Q96+'Dong Lam'!Q96+'Khanh Nga'!Q96+TDP!Q96+DTRVL!Q96</f>
        <v>98003020481</v>
      </c>
      <c r="R96" s="64">
        <f>DTR!R96+'Dai Loc'!R96+'Dong Lam'!R96+'Khanh Nga'!R96+TDP!R96+DTRVL!R96</f>
        <v>172928907420</v>
      </c>
      <c r="S96" s="64">
        <f>DTR!S96+'Dai Loc'!S96+'Dong Lam'!S96+'Khanh Nga'!S96+TDP!S96+DTRVL!S96</f>
        <v>200666324688</v>
      </c>
      <c r="T96" s="64">
        <f>DTR!T96+'Dai Loc'!T96+'Dong Lam'!T96+'Khanh Nga'!T96+TDP!T96+DTRVL!T96</f>
        <v>238388679271</v>
      </c>
      <c r="U96" s="64">
        <f>DTR!U96+'Dai Loc'!U96+'Dong Lam'!U96+'Khanh Nga'!U96+TDP!U96+DTRVL!U96</f>
        <v>250573370780</v>
      </c>
      <c r="V96" s="64">
        <f>DTR!V96+'Dai Loc'!V96+'Dong Lam'!V96+'Khanh Nga'!V96+TDP!V96+DTRVL!V96</f>
        <v>294832243750</v>
      </c>
      <c r="W96" s="64">
        <f>DTR!W96+'Dai Loc'!W96+'Dong Lam'!W96+'Khanh Nga'!W96+TDP!W96+DTRVL!W96</f>
        <v>309616499760</v>
      </c>
      <c r="X96" s="64">
        <f>DTR!X96+'Dai Loc'!X96+'Dong Lam'!X96+'Khanh Nga'!X96+TDP!X96+DTRVL!X96</f>
        <v>263334816592</v>
      </c>
      <c r="Y96" s="64">
        <f>DTR!Y96+'Dai Loc'!Y96+'Dong Lam'!Y96+'Khanh Nga'!Y96+TDP!Y96+DTRVL!Y96</f>
        <v>254700704679</v>
      </c>
      <c r="Z96" s="64">
        <f>DTR!Z96+'Dai Loc'!Z96+'Dong Lam'!Z96+'Khanh Nga'!Z96+TDP!Z96+DTRVL!Z96</f>
        <v>262225979238</v>
      </c>
    </row>
    <row r="97" spans="1:26" ht="15" hidden="1" customHeight="1" outlineLevel="1">
      <c r="A97" s="67" t="s">
        <v>181</v>
      </c>
      <c r="B97" s="63">
        <v>92</v>
      </c>
      <c r="C97" s="64">
        <f>DTR!C97+'Dai Loc'!C97+'Dong Lam'!C97+'Khanh Nga'!C97+TDP!C97+DTRVL!C97</f>
        <v>0</v>
      </c>
      <c r="D97" s="64">
        <f>DTR!D97+'Dai Loc'!D97+'Dong Lam'!D97+'Khanh Nga'!D97+TDP!D97+DTRVL!D97</f>
        <v>0</v>
      </c>
      <c r="E97" s="64">
        <f>DTR!E97+'Dai Loc'!E97+'Dong Lam'!E97+'Khanh Nga'!E97+TDP!E97+DTRVL!E97</f>
        <v>0</v>
      </c>
      <c r="F97" s="64">
        <f>DTR!F97+'Dai Loc'!F97+'Dong Lam'!F97+'Khanh Nga'!F97+TDP!F97+DTRVL!F97</f>
        <v>0</v>
      </c>
      <c r="G97" s="64">
        <f>DTR!G97+'Dai Loc'!G97+'Dong Lam'!G97+'Khanh Nga'!G97+TDP!G97+DTRVL!G97</f>
        <v>0</v>
      </c>
      <c r="H97" s="64">
        <f>DTR!H97+'Dai Loc'!H97+'Dong Lam'!H97+'Khanh Nga'!H97+TDP!H97+DTRVL!H97</f>
        <v>0</v>
      </c>
      <c r="I97" s="64">
        <f>DTR!I97+'Dai Loc'!I97+'Dong Lam'!I97+'Khanh Nga'!I97+TDP!I97+DTRVL!I97</f>
        <v>0</v>
      </c>
      <c r="J97" s="64">
        <f>DTR!J97+'Dai Loc'!J97+'Dong Lam'!J97+'Khanh Nga'!J97+TDP!J97+DTRVL!J97</f>
        <v>0</v>
      </c>
      <c r="K97" s="64">
        <f>DTR!K97+'Dai Loc'!K97+'Dong Lam'!K97+'Khanh Nga'!K97+TDP!K97+DTRVL!K97</f>
        <v>0</v>
      </c>
      <c r="L97" s="64">
        <f>DTR!L97+'Dai Loc'!L97+'Dong Lam'!L97+'Khanh Nga'!L97+TDP!L97+DTRVL!L97</f>
        <v>0</v>
      </c>
      <c r="M97" s="64">
        <f>DTR!M97+'Dai Loc'!M97+'Dong Lam'!M97+'Khanh Nga'!M97+TDP!M97+DTRVL!M97</f>
        <v>0</v>
      </c>
      <c r="N97" s="64">
        <f>DTR!N97+'Dai Loc'!N97+'Dong Lam'!N97+'Khanh Nga'!N97+TDP!N97+DTRVL!N97</f>
        <v>0</v>
      </c>
      <c r="O97" s="64">
        <f>DTR!O97+'Dai Loc'!O97+'Dong Lam'!O97+'Khanh Nga'!O97+TDP!O97+DTRVL!O97</f>
        <v>0</v>
      </c>
      <c r="P97" s="64">
        <f>DTR!P97+'Dai Loc'!P97+'Dong Lam'!P97+'Khanh Nga'!P97+TDP!P97+DTRVL!P97</f>
        <v>0</v>
      </c>
      <c r="Q97" s="64">
        <f>DTR!Q97+'Dai Loc'!Q97+'Dong Lam'!Q97+'Khanh Nga'!Q97+TDP!Q97+DTRVL!Q97</f>
        <v>0</v>
      </c>
      <c r="R97" s="64">
        <f>DTR!R97+'Dai Loc'!R97+'Dong Lam'!R97+'Khanh Nga'!R97+TDP!R97+DTRVL!R97</f>
        <v>0</v>
      </c>
      <c r="S97" s="64">
        <f>DTR!S97+'Dai Loc'!S97+'Dong Lam'!S97+'Khanh Nga'!S97+TDP!S97+DTRVL!S97</f>
        <v>0</v>
      </c>
      <c r="T97" s="64">
        <f>DTR!T97+'Dai Loc'!T97+'Dong Lam'!T97+'Khanh Nga'!T97+TDP!T97+DTRVL!T97</f>
        <v>0</v>
      </c>
      <c r="U97" s="64">
        <f>DTR!U97+'Dai Loc'!U97+'Dong Lam'!U97+'Khanh Nga'!U97+TDP!U97+DTRVL!U97</f>
        <v>0</v>
      </c>
      <c r="V97" s="64">
        <f>DTR!V97+'Dai Loc'!V97+'Dong Lam'!V97+'Khanh Nga'!V97+TDP!V97+DTRVL!V97</f>
        <v>0</v>
      </c>
      <c r="W97" s="64">
        <f>DTR!W97+'Dai Loc'!W97+'Dong Lam'!W97+'Khanh Nga'!W97+TDP!W97+DTRVL!W97</f>
        <v>0</v>
      </c>
      <c r="X97" s="64">
        <f>DTR!X97+'Dai Loc'!X97+'Dong Lam'!X97+'Khanh Nga'!X97+TDP!X97+DTRVL!X97</f>
        <v>0</v>
      </c>
      <c r="Y97" s="64">
        <f>DTR!Y97+'Dai Loc'!Y97+'Dong Lam'!Y97+'Khanh Nga'!Y97+TDP!Y97+DTRVL!Y97</f>
        <v>0</v>
      </c>
      <c r="Z97" s="64">
        <f>DTR!Z97+'Dai Loc'!Z97+'Dong Lam'!Z97+'Khanh Nga'!Z97+TDP!Z97+DTRVL!Z97</f>
        <v>0</v>
      </c>
    </row>
    <row r="98" spans="1:26" ht="15" hidden="1" customHeight="1" outlineLevel="1">
      <c r="A98" s="67" t="s">
        <v>182</v>
      </c>
      <c r="B98" s="63">
        <v>93</v>
      </c>
      <c r="C98" s="64">
        <f>DTR!C98+'Dai Loc'!C98+'Dong Lam'!C98+'Khanh Nga'!C98+TDP!C98+DTRVL!C98</f>
        <v>376893824</v>
      </c>
      <c r="D98" s="64">
        <f>DTR!D98+'Dai Loc'!D98+'Dong Lam'!D98+'Khanh Nga'!D98+TDP!D98+DTRVL!D98</f>
        <v>246893824</v>
      </c>
      <c r="E98" s="64">
        <f>DTR!E98+'Dai Loc'!E98+'Dong Lam'!E98+'Khanh Nga'!E98+TDP!E98+DTRVL!E98</f>
        <v>246893824</v>
      </c>
      <c r="F98" s="64">
        <f>DTR!F98+'Dai Loc'!F98+'Dong Lam'!F98+'Khanh Nga'!F98+TDP!F98+DTRVL!F98</f>
        <v>246893824</v>
      </c>
      <c r="G98" s="64">
        <f>DTR!G98+'Dai Loc'!G98+'Dong Lam'!G98+'Khanh Nga'!G98+TDP!G98+DTRVL!G98</f>
        <v>246893824</v>
      </c>
      <c r="H98" s="64">
        <f>DTR!H98+'Dai Loc'!H98+'Dong Lam'!H98+'Khanh Nga'!H98+TDP!H98+DTRVL!H98</f>
        <v>246893824</v>
      </c>
      <c r="I98" s="64">
        <f>DTR!I98+'Dai Loc'!I98+'Dong Lam'!I98+'Khanh Nga'!I98+TDP!I98+DTRVL!I98</f>
        <v>230393824</v>
      </c>
      <c r="J98" s="64">
        <f>DTR!J98+'Dai Loc'!J98+'Dong Lam'!J98+'Khanh Nga'!J98+TDP!J98+DTRVL!J98</f>
        <v>226143824</v>
      </c>
      <c r="K98" s="64">
        <f>DTR!K98+'Dai Loc'!K98+'Dong Lam'!K98+'Khanh Nga'!K98+TDP!K98+DTRVL!K98</f>
        <v>695903824</v>
      </c>
      <c r="L98" s="64">
        <f>DTR!L98+'Dai Loc'!L98+'Dong Lam'!L98+'Khanh Nga'!L98+TDP!L98+DTRVL!L98</f>
        <v>1411463824</v>
      </c>
      <c r="M98" s="64">
        <f>DTR!M98+'Dai Loc'!M98+'Dong Lam'!M98+'Khanh Nga'!M98+TDP!M98+DTRVL!M98</f>
        <v>1397629380</v>
      </c>
      <c r="N98" s="64">
        <f>DTR!N98+'Dai Loc'!N98+'Dong Lam'!N98+'Khanh Nga'!N98+TDP!N98+DTRVL!N98</f>
        <v>1222249720</v>
      </c>
      <c r="O98" s="64">
        <f>DTR!O98+'Dai Loc'!O98+'Dong Lam'!O98+'Khanh Nga'!O98+TDP!O98+DTRVL!O98</f>
        <v>937249720</v>
      </c>
      <c r="P98" s="64">
        <f>DTR!P98+'Dai Loc'!P98+'Dong Lam'!P98+'Khanh Nga'!P98+TDP!P98+DTRVL!P98</f>
        <v>927249720</v>
      </c>
      <c r="Q98" s="64">
        <f>DTR!Q98+'Dai Loc'!Q98+'Dong Lam'!Q98+'Khanh Nga'!Q98+TDP!Q98+DTRVL!Q98</f>
        <v>914665720</v>
      </c>
      <c r="R98" s="64">
        <f>DTR!R98+'Dai Loc'!R98+'Dong Lam'!R98+'Khanh Nga'!R98+TDP!R98+DTRVL!R98</f>
        <v>909665720</v>
      </c>
      <c r="S98" s="64">
        <f>DTR!S98+'Dai Loc'!S98+'Dong Lam'!S98+'Khanh Nga'!S98+TDP!S98+DTRVL!S98</f>
        <v>906665720</v>
      </c>
      <c r="T98" s="64">
        <f>DTR!T98+'Dai Loc'!T98+'Dong Lam'!T98+'Khanh Nga'!T98+TDP!T98+DTRVL!T98</f>
        <v>906665720</v>
      </c>
      <c r="U98" s="64">
        <f>DTR!U98+'Dai Loc'!U98+'Dong Lam'!U98+'Khanh Nga'!U98+TDP!U98+DTRVL!U98</f>
        <v>899772466</v>
      </c>
      <c r="V98" s="64">
        <f>DTR!V98+'Dai Loc'!V98+'Dong Lam'!V98+'Khanh Nga'!V98+TDP!V98+DTRVL!V98</f>
        <v>680992466</v>
      </c>
      <c r="W98" s="64">
        <f>DTR!W98+'Dai Loc'!W98+'Dong Lam'!W98+'Khanh Nga'!W98+TDP!W98+DTRVL!W98</f>
        <v>1436632466</v>
      </c>
      <c r="X98" s="64">
        <f>DTR!X98+'Dai Loc'!X98+'Dong Lam'!X98+'Khanh Nga'!X98+TDP!X98+DTRVL!X98</f>
        <v>1436632466</v>
      </c>
      <c r="Y98" s="64">
        <f>DTR!Y98+'Dai Loc'!Y98+'Dong Lam'!Y98+'Khanh Nga'!Y98+TDP!Y98+DTRVL!Y98</f>
        <v>1436632466</v>
      </c>
      <c r="Z98" s="64">
        <f>DTR!Z98+'Dai Loc'!Z98+'Dong Lam'!Z98+'Khanh Nga'!Z98+TDP!Z98+DTRVL!Z98</f>
        <v>1434532466</v>
      </c>
    </row>
    <row r="99" spans="1:26" ht="15" hidden="1" customHeight="1" outlineLevel="1">
      <c r="A99" s="68" t="s">
        <v>183</v>
      </c>
      <c r="B99" s="63">
        <v>94</v>
      </c>
      <c r="C99" s="64">
        <f>DTR!C99+'Dai Loc'!C99+'Dong Lam'!C99+'Khanh Nga'!C99+TDP!C99+DTRVL!C99</f>
        <v>0</v>
      </c>
      <c r="D99" s="64">
        <f>DTR!D99+'Dai Loc'!D99+'Dong Lam'!D99+'Khanh Nga'!D99+TDP!D99+DTRVL!D99</f>
        <v>0</v>
      </c>
      <c r="E99" s="64">
        <f>DTR!E99+'Dai Loc'!E99+'Dong Lam'!E99+'Khanh Nga'!E99+TDP!E99+DTRVL!E99</f>
        <v>0</v>
      </c>
      <c r="F99" s="64">
        <f>DTR!F99+'Dai Loc'!F99+'Dong Lam'!F99+'Khanh Nga'!F99+TDP!F99+DTRVL!F99</f>
        <v>0</v>
      </c>
      <c r="G99" s="64">
        <f>DTR!G99+'Dai Loc'!G99+'Dong Lam'!G99+'Khanh Nga'!G99+TDP!G99+DTRVL!G99</f>
        <v>0</v>
      </c>
      <c r="H99" s="64">
        <f>DTR!H99+'Dai Loc'!H99+'Dong Lam'!H99+'Khanh Nga'!H99+TDP!H99+DTRVL!H99</f>
        <v>0</v>
      </c>
      <c r="I99" s="64">
        <f>DTR!I99+'Dai Loc'!I99+'Dong Lam'!I99+'Khanh Nga'!I99+TDP!I99+DTRVL!I99</f>
        <v>0</v>
      </c>
      <c r="J99" s="64">
        <f>DTR!J99+'Dai Loc'!J99+'Dong Lam'!J99+'Khanh Nga'!J99+TDP!J99+DTRVL!J99</f>
        <v>0</v>
      </c>
      <c r="K99" s="64">
        <f>DTR!K99+'Dai Loc'!K99+'Dong Lam'!K99+'Khanh Nga'!K99+TDP!K99+DTRVL!K99</f>
        <v>0</v>
      </c>
      <c r="L99" s="64">
        <f>DTR!L99+'Dai Loc'!L99+'Dong Lam'!L99+'Khanh Nga'!L99+TDP!L99+DTRVL!L99</f>
        <v>0</v>
      </c>
      <c r="M99" s="64">
        <f>DTR!M99+'Dai Loc'!M99+'Dong Lam'!M99+'Khanh Nga'!M99+TDP!M99+DTRVL!M99</f>
        <v>0</v>
      </c>
      <c r="N99" s="64">
        <f>DTR!N99+'Dai Loc'!N99+'Dong Lam'!N99+'Khanh Nga'!N99+TDP!N99+DTRVL!N99</f>
        <v>0</v>
      </c>
      <c r="O99" s="64">
        <f>DTR!O99+'Dai Loc'!O99+'Dong Lam'!O99+'Khanh Nga'!O99+TDP!O99+DTRVL!O99</f>
        <v>0</v>
      </c>
      <c r="P99" s="64">
        <f>DTR!P99+'Dai Loc'!P99+'Dong Lam'!P99+'Khanh Nga'!P99+TDP!P99+DTRVL!P99</f>
        <v>0</v>
      </c>
      <c r="Q99" s="64">
        <f>DTR!Q99+'Dai Loc'!Q99+'Dong Lam'!Q99+'Khanh Nga'!Q99+TDP!Q99+DTRVL!Q99</f>
        <v>0</v>
      </c>
      <c r="R99" s="64">
        <f>DTR!R99+'Dai Loc'!R99+'Dong Lam'!R99+'Khanh Nga'!R99+TDP!R99+DTRVL!R99</f>
        <v>0</v>
      </c>
      <c r="S99" s="64">
        <f>DTR!S99+'Dai Loc'!S99+'Dong Lam'!S99+'Khanh Nga'!S99+TDP!S99+DTRVL!S99</f>
        <v>0</v>
      </c>
      <c r="T99" s="64">
        <f>DTR!T99+'Dai Loc'!T99+'Dong Lam'!T99+'Khanh Nga'!T99+TDP!T99+DTRVL!T99</f>
        <v>0</v>
      </c>
      <c r="U99" s="64">
        <f>DTR!U99+'Dai Loc'!U99+'Dong Lam'!U99+'Khanh Nga'!U99+TDP!U99+DTRVL!U99</f>
        <v>0</v>
      </c>
      <c r="V99" s="64">
        <f>DTR!V99+'Dai Loc'!V99+'Dong Lam'!V99+'Khanh Nga'!V99+TDP!V99+DTRVL!V99</f>
        <v>0</v>
      </c>
      <c r="W99" s="64">
        <f>DTR!W99+'Dai Loc'!W99+'Dong Lam'!W99+'Khanh Nga'!W99+TDP!W99+DTRVL!W99</f>
        <v>0</v>
      </c>
      <c r="X99" s="64">
        <f>DTR!X99+'Dai Loc'!X99+'Dong Lam'!X99+'Khanh Nga'!X99+TDP!X99+DTRVL!X99</f>
        <v>0</v>
      </c>
      <c r="Y99" s="64">
        <f>DTR!Y99+'Dai Loc'!Y99+'Dong Lam'!Y99+'Khanh Nga'!Y99+TDP!Y99+DTRVL!Y99</f>
        <v>0</v>
      </c>
      <c r="Z99" s="64">
        <f>DTR!Z99+'Dai Loc'!Z99+'Dong Lam'!Z99+'Khanh Nga'!Z99+TDP!Z99+DTRVL!Z99</f>
        <v>0</v>
      </c>
    </row>
    <row r="100" spans="1:26" ht="15" hidden="1" customHeight="1" outlineLevel="1">
      <c r="A100" s="68" t="s">
        <v>184</v>
      </c>
      <c r="B100" s="63">
        <v>95</v>
      </c>
      <c r="C100" s="64">
        <f>DTR!C100+'Dai Loc'!C100+'Dong Lam'!C100+'Khanh Nga'!C100+TDP!C100+DTRVL!C100</f>
        <v>0</v>
      </c>
      <c r="D100" s="64">
        <f>DTR!D100+'Dai Loc'!D100+'Dong Lam'!D100+'Khanh Nga'!D100+TDP!D100+DTRVL!D100</f>
        <v>0</v>
      </c>
      <c r="E100" s="64">
        <f>DTR!E100+'Dai Loc'!E100+'Dong Lam'!E100+'Khanh Nga'!E100+TDP!E100+DTRVL!E100</f>
        <v>0</v>
      </c>
      <c r="F100" s="64">
        <f>DTR!F100+'Dai Loc'!F100+'Dong Lam'!F100+'Khanh Nga'!F100+TDP!F100+DTRVL!F100</f>
        <v>0</v>
      </c>
      <c r="G100" s="64">
        <f>DTR!G100+'Dai Loc'!G100+'Dong Lam'!G100+'Khanh Nga'!G100+TDP!G100+DTRVL!G100</f>
        <v>0</v>
      </c>
      <c r="H100" s="64">
        <f>DTR!H100+'Dai Loc'!H100+'Dong Lam'!H100+'Khanh Nga'!H100+TDP!H100+DTRVL!H100</f>
        <v>0</v>
      </c>
      <c r="I100" s="64">
        <f>DTR!I100+'Dai Loc'!I100+'Dong Lam'!I100+'Khanh Nga'!I100+TDP!I100+DTRVL!I100</f>
        <v>0</v>
      </c>
      <c r="J100" s="64">
        <f>DTR!J100+'Dai Loc'!J100+'Dong Lam'!J100+'Khanh Nga'!J100+TDP!J100+DTRVL!J100</f>
        <v>0</v>
      </c>
      <c r="K100" s="64">
        <f>DTR!K100+'Dai Loc'!K100+'Dong Lam'!K100+'Khanh Nga'!K100+TDP!K100+DTRVL!K100</f>
        <v>0</v>
      </c>
      <c r="L100" s="64">
        <f>DTR!L100+'Dai Loc'!L100+'Dong Lam'!L100+'Khanh Nga'!L100+TDP!L100+DTRVL!L100</f>
        <v>0</v>
      </c>
      <c r="M100" s="64">
        <f>DTR!M100+'Dai Loc'!M100+'Dong Lam'!M100+'Khanh Nga'!M100+TDP!M100+DTRVL!M100</f>
        <v>0</v>
      </c>
      <c r="N100" s="64">
        <f>DTR!N100+'Dai Loc'!N100+'Dong Lam'!N100+'Khanh Nga'!N100+TDP!N100+DTRVL!N100</f>
        <v>0</v>
      </c>
      <c r="O100" s="64">
        <f>DTR!O100+'Dai Loc'!O100+'Dong Lam'!O100+'Khanh Nga'!O100+TDP!O100+DTRVL!O100</f>
        <v>0</v>
      </c>
      <c r="P100" s="64">
        <f>DTR!P100+'Dai Loc'!P100+'Dong Lam'!P100+'Khanh Nga'!P100+TDP!P100+DTRVL!P100</f>
        <v>0</v>
      </c>
      <c r="Q100" s="64">
        <f>DTR!Q100+'Dai Loc'!Q100+'Dong Lam'!Q100+'Khanh Nga'!Q100+TDP!Q100+DTRVL!Q100</f>
        <v>0</v>
      </c>
      <c r="R100" s="64">
        <f>DTR!R100+'Dai Loc'!R100+'Dong Lam'!R100+'Khanh Nga'!R100+TDP!R100+DTRVL!R100</f>
        <v>0</v>
      </c>
      <c r="S100" s="64">
        <f>DTR!S100+'Dai Loc'!S100+'Dong Lam'!S100+'Khanh Nga'!S100+TDP!S100+DTRVL!S100</f>
        <v>0</v>
      </c>
      <c r="T100" s="64">
        <f>DTR!T100+'Dai Loc'!T100+'Dong Lam'!T100+'Khanh Nga'!T100+TDP!T100+DTRVL!T100</f>
        <v>0</v>
      </c>
      <c r="U100" s="64">
        <f>DTR!U100+'Dai Loc'!U100+'Dong Lam'!U100+'Khanh Nga'!U100+TDP!U100+DTRVL!U100</f>
        <v>0</v>
      </c>
      <c r="V100" s="64">
        <f>DTR!V100+'Dai Loc'!V100+'Dong Lam'!V100+'Khanh Nga'!V100+TDP!V100+DTRVL!V100</f>
        <v>0</v>
      </c>
      <c r="W100" s="64">
        <f>DTR!W100+'Dai Loc'!W100+'Dong Lam'!W100+'Khanh Nga'!W100+TDP!W100+DTRVL!W100</f>
        <v>0</v>
      </c>
      <c r="X100" s="64">
        <f>DTR!X100+'Dai Loc'!X100+'Dong Lam'!X100+'Khanh Nga'!X100+TDP!X100+DTRVL!X100</f>
        <v>0</v>
      </c>
      <c r="Y100" s="64">
        <f>DTR!Y100+'Dai Loc'!Y100+'Dong Lam'!Y100+'Khanh Nga'!Y100+TDP!Y100+DTRVL!Y100</f>
        <v>0</v>
      </c>
      <c r="Z100" s="64">
        <f>DTR!Z100+'Dai Loc'!Z100+'Dong Lam'!Z100+'Khanh Nga'!Z100+TDP!Z100+DTRVL!Z100</f>
        <v>0</v>
      </c>
    </row>
    <row r="101" spans="1:26" ht="15" hidden="1" customHeight="1" outlineLevel="1">
      <c r="A101" s="72" t="s">
        <v>185</v>
      </c>
      <c r="B101" s="65">
        <v>96</v>
      </c>
      <c r="C101" s="64">
        <f>DTR!C101+'Dai Loc'!C101+'Dong Lam'!C101+'Khanh Nga'!C101+TDP!C101+DTRVL!C101</f>
        <v>110386411070</v>
      </c>
      <c r="D101" s="64">
        <f>DTR!D101+'Dai Loc'!D101+'Dong Lam'!D101+'Khanh Nga'!D101+TDP!D101+DTRVL!D101</f>
        <v>110292351070</v>
      </c>
      <c r="E101" s="64">
        <f>DTR!E101+'Dai Loc'!E101+'Dong Lam'!E101+'Khanh Nga'!E101+TDP!E101+DTRVL!E101</f>
        <v>110233351070</v>
      </c>
      <c r="F101" s="64">
        <f>DTR!F101+'Dai Loc'!F101+'Dong Lam'!F101+'Khanh Nga'!F101+TDP!F101+DTRVL!F101</f>
        <v>109938157678</v>
      </c>
      <c r="G101" s="64">
        <f>DTR!G101+'Dai Loc'!G101+'Dong Lam'!G101+'Khanh Nga'!G101+TDP!G101+DTRVL!G101</f>
        <v>107984867678</v>
      </c>
      <c r="H101" s="64">
        <f>DTR!H101+'Dai Loc'!H101+'Dong Lam'!H101+'Khanh Nga'!H101+TDP!H101+DTRVL!H101</f>
        <v>109314035678</v>
      </c>
      <c r="I101" s="64">
        <f>DTR!I101+'Dai Loc'!I101+'Dong Lam'!I101+'Khanh Nga'!I101+TDP!I101+DTRVL!I101</f>
        <v>109426842286</v>
      </c>
      <c r="J101" s="64">
        <f>DTR!J101+'Dai Loc'!J101+'Dong Lam'!J101+'Khanh Nga'!J101+TDP!J101+DTRVL!J101</f>
        <v>108769782286</v>
      </c>
      <c r="K101" s="64">
        <f>DTR!K101+'Dai Loc'!K101+'Dong Lam'!K101+'Khanh Nga'!K101+TDP!K101+DTRVL!K101</f>
        <v>109364782286</v>
      </c>
      <c r="L101" s="64">
        <f>DTR!L101+'Dai Loc'!L101+'Dong Lam'!L101+'Khanh Nga'!L101+TDP!L101+DTRVL!L101</f>
        <v>109588588894</v>
      </c>
      <c r="M101" s="64">
        <f>DTR!M101+'Dai Loc'!M101+'Dong Lam'!M101+'Khanh Nga'!M101+TDP!M101+DTRVL!M101</f>
        <v>136214528894</v>
      </c>
      <c r="N101" s="64">
        <f>DTR!N101+'Dai Loc'!N101+'Dong Lam'!N101+'Khanh Nga'!N101+TDP!N101+DTRVL!N101</f>
        <v>117507345522</v>
      </c>
      <c r="O101" s="64">
        <f>DTR!O101+'Dai Loc'!O101+'Dong Lam'!O101+'Khanh Nga'!O101+TDP!O101+DTRVL!O101</f>
        <v>141180341946</v>
      </c>
      <c r="P101" s="64">
        <f>DTR!P101+'Dai Loc'!P101+'Dong Lam'!P101+'Khanh Nga'!P101+TDP!P101+DTRVL!P101</f>
        <v>136932504168</v>
      </c>
      <c r="Q101" s="64">
        <f>DTR!Q101+'Dai Loc'!Q101+'Dong Lam'!Q101+'Khanh Nga'!Q101+TDP!Q101+DTRVL!Q101</f>
        <v>136095726390</v>
      </c>
      <c r="R101" s="64">
        <f>DTR!R101+'Dai Loc'!R101+'Dong Lam'!R101+'Khanh Nga'!R101+TDP!R101+DTRVL!R101</f>
        <v>135022755220</v>
      </c>
      <c r="S101" s="64">
        <f>DTR!S101+'Dai Loc'!S101+'Dong Lam'!S101+'Khanh Nga'!S101+TDP!S101+DTRVL!S101</f>
        <v>130774917442</v>
      </c>
      <c r="T101" s="64">
        <f>DTR!T101+'Dai Loc'!T101+'Dong Lam'!T101+'Khanh Nga'!T101+TDP!T101+DTRVL!T101</f>
        <v>109891791394</v>
      </c>
      <c r="U101" s="64">
        <f>DTR!U101+'Dai Loc'!U101+'Dong Lam'!U101+'Khanh Nga'!U101+TDP!U101+DTRVL!U101</f>
        <v>108818820224</v>
      </c>
      <c r="V101" s="64">
        <f>DTR!V101+'Dai Loc'!V101+'Dong Lam'!V101+'Khanh Nga'!V101+TDP!V101+DTRVL!V101</f>
        <v>107233510446</v>
      </c>
      <c r="W101" s="64">
        <f>DTR!W101+'Dai Loc'!W101+'Dong Lam'!W101+'Khanh Nga'!W101+TDP!W101+DTRVL!W101</f>
        <v>106396732668</v>
      </c>
      <c r="X101" s="64">
        <f>DTR!X101+'Dai Loc'!X101+'Dong Lam'!X101+'Khanh Nga'!X101+TDP!X101+DTRVL!X101</f>
        <v>101343133942</v>
      </c>
      <c r="Y101" s="64">
        <f>DTR!Y101+'Dai Loc'!Y101+'Dong Lam'!Y101+'Khanh Nga'!Y101+TDP!Y101+DTRVL!Y101</f>
        <v>102401372942</v>
      </c>
      <c r="Z101" s="64">
        <f>DTR!Z101+'Dai Loc'!Z101+'Dong Lam'!Z101+'Khanh Nga'!Z101+TDP!Z101+DTRVL!Z101</f>
        <v>83152254354</v>
      </c>
    </row>
    <row r="102" spans="1:26" ht="15" hidden="1" customHeight="1" outlineLevel="1">
      <c r="A102" s="67" t="s">
        <v>186</v>
      </c>
      <c r="B102" s="63">
        <v>97</v>
      </c>
      <c r="C102" s="64">
        <f>DTR!C102+'Dai Loc'!C102+'Dong Lam'!C102+'Khanh Nga'!C102+TDP!C102+DTRVL!C102</f>
        <v>0</v>
      </c>
      <c r="D102" s="64">
        <f>DTR!D102+'Dai Loc'!D102+'Dong Lam'!D102+'Khanh Nga'!D102+TDP!D102+DTRVL!D102</f>
        <v>0</v>
      </c>
      <c r="E102" s="64">
        <f>DTR!E102+'Dai Loc'!E102+'Dong Lam'!E102+'Khanh Nga'!E102+TDP!E102+DTRVL!E102</f>
        <v>0</v>
      </c>
      <c r="F102" s="64">
        <f>DTR!F102+'Dai Loc'!F102+'Dong Lam'!F102+'Khanh Nga'!F102+TDP!F102+DTRVL!F102</f>
        <v>0</v>
      </c>
      <c r="G102" s="64">
        <f>DTR!G102+'Dai Loc'!G102+'Dong Lam'!G102+'Khanh Nga'!G102+TDP!G102+DTRVL!G102</f>
        <v>0</v>
      </c>
      <c r="H102" s="64">
        <f>DTR!H102+'Dai Loc'!H102+'Dong Lam'!H102+'Khanh Nga'!H102+TDP!H102+DTRVL!H102</f>
        <v>0</v>
      </c>
      <c r="I102" s="64">
        <f>DTR!I102+'Dai Loc'!I102+'Dong Lam'!I102+'Khanh Nga'!I102+TDP!I102+DTRVL!I102</f>
        <v>0</v>
      </c>
      <c r="J102" s="64">
        <f>DTR!J102+'Dai Loc'!J102+'Dong Lam'!J102+'Khanh Nga'!J102+TDP!J102+DTRVL!J102</f>
        <v>0</v>
      </c>
      <c r="K102" s="64">
        <f>DTR!K102+'Dai Loc'!K102+'Dong Lam'!K102+'Khanh Nga'!K102+TDP!K102+DTRVL!K102</f>
        <v>0</v>
      </c>
      <c r="L102" s="64">
        <f>DTR!L102+'Dai Loc'!L102+'Dong Lam'!L102+'Khanh Nga'!L102+TDP!L102+DTRVL!L102</f>
        <v>0</v>
      </c>
      <c r="M102" s="64">
        <f>DTR!M102+'Dai Loc'!M102+'Dong Lam'!M102+'Khanh Nga'!M102+TDP!M102+DTRVL!M102</f>
        <v>0</v>
      </c>
      <c r="N102" s="64">
        <f>DTR!N102+'Dai Loc'!N102+'Dong Lam'!N102+'Khanh Nga'!N102+TDP!N102+DTRVL!N102</f>
        <v>0</v>
      </c>
      <c r="O102" s="64">
        <f>DTR!O102+'Dai Loc'!O102+'Dong Lam'!O102+'Khanh Nga'!O102+TDP!O102+DTRVL!O102</f>
        <v>0</v>
      </c>
      <c r="P102" s="64">
        <f>DTR!P102+'Dai Loc'!P102+'Dong Lam'!P102+'Khanh Nga'!P102+TDP!P102+DTRVL!P102</f>
        <v>0</v>
      </c>
      <c r="Q102" s="64">
        <f>DTR!Q102+'Dai Loc'!Q102+'Dong Lam'!Q102+'Khanh Nga'!Q102+TDP!Q102+DTRVL!Q102</f>
        <v>0</v>
      </c>
      <c r="R102" s="64">
        <f>DTR!R102+'Dai Loc'!R102+'Dong Lam'!R102+'Khanh Nga'!R102+TDP!R102+DTRVL!R102</f>
        <v>0</v>
      </c>
      <c r="S102" s="64">
        <f>DTR!S102+'Dai Loc'!S102+'Dong Lam'!S102+'Khanh Nga'!S102+TDP!S102+DTRVL!S102</f>
        <v>0</v>
      </c>
      <c r="T102" s="64">
        <f>DTR!T102+'Dai Loc'!T102+'Dong Lam'!T102+'Khanh Nga'!T102+TDP!T102+DTRVL!T102</f>
        <v>0</v>
      </c>
      <c r="U102" s="64">
        <f>DTR!U102+'Dai Loc'!U102+'Dong Lam'!U102+'Khanh Nga'!U102+TDP!U102+DTRVL!U102</f>
        <v>0</v>
      </c>
      <c r="V102" s="64">
        <f>DTR!V102+'Dai Loc'!V102+'Dong Lam'!V102+'Khanh Nga'!V102+TDP!V102+DTRVL!V102</f>
        <v>0</v>
      </c>
      <c r="W102" s="64">
        <f>DTR!W102+'Dai Loc'!W102+'Dong Lam'!W102+'Khanh Nga'!W102+TDP!W102+DTRVL!W102</f>
        <v>0</v>
      </c>
      <c r="X102" s="64">
        <f>DTR!X102+'Dai Loc'!X102+'Dong Lam'!X102+'Khanh Nga'!X102+TDP!X102+DTRVL!X102</f>
        <v>0</v>
      </c>
      <c r="Y102" s="64">
        <f>DTR!Y102+'Dai Loc'!Y102+'Dong Lam'!Y102+'Khanh Nga'!Y102+TDP!Y102+DTRVL!Y102</f>
        <v>0</v>
      </c>
      <c r="Z102" s="64">
        <f>DTR!Z102+'Dai Loc'!Z102+'Dong Lam'!Z102+'Khanh Nga'!Z102+TDP!Z102+DTRVL!Z102</f>
        <v>0</v>
      </c>
    </row>
    <row r="103" spans="1:26" ht="15" hidden="1" customHeight="1" outlineLevel="1">
      <c r="A103" s="67" t="s">
        <v>187</v>
      </c>
      <c r="B103" s="63">
        <v>98</v>
      </c>
      <c r="C103" s="64">
        <f>DTR!C103+'Dai Loc'!C103+'Dong Lam'!C103+'Khanh Nga'!C103+TDP!C103+DTRVL!C103</f>
        <v>0</v>
      </c>
      <c r="D103" s="64">
        <f>DTR!D103+'Dai Loc'!D103+'Dong Lam'!D103+'Khanh Nga'!D103+TDP!D103+DTRVL!D103</f>
        <v>0</v>
      </c>
      <c r="E103" s="64">
        <f>DTR!E103+'Dai Loc'!E103+'Dong Lam'!E103+'Khanh Nga'!E103+TDP!E103+DTRVL!E103</f>
        <v>0</v>
      </c>
      <c r="F103" s="64">
        <f>DTR!F103+'Dai Loc'!F103+'Dong Lam'!F103+'Khanh Nga'!F103+TDP!F103+DTRVL!F103</f>
        <v>0</v>
      </c>
      <c r="G103" s="64">
        <f>DTR!G103+'Dai Loc'!G103+'Dong Lam'!G103+'Khanh Nga'!G103+TDP!G103+DTRVL!G103</f>
        <v>0</v>
      </c>
      <c r="H103" s="64">
        <f>DTR!H103+'Dai Loc'!H103+'Dong Lam'!H103+'Khanh Nga'!H103+TDP!H103+DTRVL!H103</f>
        <v>0</v>
      </c>
      <c r="I103" s="64">
        <f>DTR!I103+'Dai Loc'!I103+'Dong Lam'!I103+'Khanh Nga'!I103+TDP!I103+DTRVL!I103</f>
        <v>0</v>
      </c>
      <c r="J103" s="64">
        <f>DTR!J103+'Dai Loc'!J103+'Dong Lam'!J103+'Khanh Nga'!J103+TDP!J103+DTRVL!J103</f>
        <v>0</v>
      </c>
      <c r="K103" s="64">
        <f>DTR!K103+'Dai Loc'!K103+'Dong Lam'!K103+'Khanh Nga'!K103+TDP!K103+DTRVL!K103</f>
        <v>0</v>
      </c>
      <c r="L103" s="64">
        <f>DTR!L103+'Dai Loc'!L103+'Dong Lam'!L103+'Khanh Nga'!L103+TDP!L103+DTRVL!L103</f>
        <v>0</v>
      </c>
      <c r="M103" s="64">
        <f>DTR!M103+'Dai Loc'!M103+'Dong Lam'!M103+'Khanh Nga'!M103+TDP!M103+DTRVL!M103</f>
        <v>0</v>
      </c>
      <c r="N103" s="64">
        <f>DTR!N103+'Dai Loc'!N103+'Dong Lam'!N103+'Khanh Nga'!N103+TDP!N103+DTRVL!N103</f>
        <v>0</v>
      </c>
      <c r="O103" s="64">
        <f>DTR!O103+'Dai Loc'!O103+'Dong Lam'!O103+'Khanh Nga'!O103+TDP!O103+DTRVL!O103</f>
        <v>0</v>
      </c>
      <c r="P103" s="64">
        <f>DTR!P103+'Dai Loc'!P103+'Dong Lam'!P103+'Khanh Nga'!P103+TDP!P103+DTRVL!P103</f>
        <v>0</v>
      </c>
      <c r="Q103" s="64">
        <f>DTR!Q103+'Dai Loc'!Q103+'Dong Lam'!Q103+'Khanh Nga'!Q103+TDP!Q103+DTRVL!Q103</f>
        <v>0</v>
      </c>
      <c r="R103" s="64">
        <f>DTR!R103+'Dai Loc'!R103+'Dong Lam'!R103+'Khanh Nga'!R103+TDP!R103+DTRVL!R103</f>
        <v>0</v>
      </c>
      <c r="S103" s="64">
        <f>DTR!S103+'Dai Loc'!S103+'Dong Lam'!S103+'Khanh Nga'!S103+TDP!S103+DTRVL!S103</f>
        <v>0</v>
      </c>
      <c r="T103" s="64">
        <f>DTR!T103+'Dai Loc'!T103+'Dong Lam'!T103+'Khanh Nga'!T103+TDP!T103+DTRVL!T103</f>
        <v>0</v>
      </c>
      <c r="U103" s="64">
        <f>DTR!U103+'Dai Loc'!U103+'Dong Lam'!U103+'Khanh Nga'!U103+TDP!U103+DTRVL!U103</f>
        <v>0</v>
      </c>
      <c r="V103" s="64">
        <f>DTR!V103+'Dai Loc'!V103+'Dong Lam'!V103+'Khanh Nga'!V103+TDP!V103+DTRVL!V103</f>
        <v>0</v>
      </c>
      <c r="W103" s="64">
        <f>DTR!W103+'Dai Loc'!W103+'Dong Lam'!W103+'Khanh Nga'!W103+TDP!W103+DTRVL!W103</f>
        <v>0</v>
      </c>
      <c r="X103" s="64">
        <f>DTR!X103+'Dai Loc'!X103+'Dong Lam'!X103+'Khanh Nga'!X103+TDP!X103+DTRVL!X103</f>
        <v>0</v>
      </c>
      <c r="Y103" s="64">
        <f>DTR!Y103+'Dai Loc'!Y103+'Dong Lam'!Y103+'Khanh Nga'!Y103+TDP!Y103+DTRVL!Y103</f>
        <v>0</v>
      </c>
      <c r="Z103" s="64">
        <f>DTR!Z103+'Dai Loc'!Z103+'Dong Lam'!Z103+'Khanh Nga'!Z103+TDP!Z103+DTRVL!Z103</f>
        <v>0</v>
      </c>
    </row>
    <row r="104" spans="1:26" ht="15" hidden="1" customHeight="1" outlineLevel="1">
      <c r="A104" s="67" t="s">
        <v>188</v>
      </c>
      <c r="B104" s="63">
        <v>99</v>
      </c>
      <c r="C104" s="64">
        <f>DTR!C104+'Dai Loc'!C104+'Dong Lam'!C104+'Khanh Nga'!C104+TDP!C104+DTRVL!C104</f>
        <v>0</v>
      </c>
      <c r="D104" s="64">
        <f>DTR!D104+'Dai Loc'!D104+'Dong Lam'!D104+'Khanh Nga'!D104+TDP!D104+DTRVL!D104</f>
        <v>0</v>
      </c>
      <c r="E104" s="64">
        <f>DTR!E104+'Dai Loc'!E104+'Dong Lam'!E104+'Khanh Nga'!E104+TDP!E104+DTRVL!E104</f>
        <v>0</v>
      </c>
      <c r="F104" s="64">
        <f>DTR!F104+'Dai Loc'!F104+'Dong Lam'!F104+'Khanh Nga'!F104+TDP!F104+DTRVL!F104</f>
        <v>0</v>
      </c>
      <c r="G104" s="64">
        <f>DTR!G104+'Dai Loc'!G104+'Dong Lam'!G104+'Khanh Nga'!G104+TDP!G104+DTRVL!G104</f>
        <v>0</v>
      </c>
      <c r="H104" s="64">
        <f>DTR!H104+'Dai Loc'!H104+'Dong Lam'!H104+'Khanh Nga'!H104+TDP!H104+DTRVL!H104</f>
        <v>0</v>
      </c>
      <c r="I104" s="64">
        <f>DTR!I104+'Dai Loc'!I104+'Dong Lam'!I104+'Khanh Nga'!I104+TDP!I104+DTRVL!I104</f>
        <v>0</v>
      </c>
      <c r="J104" s="64">
        <f>DTR!J104+'Dai Loc'!J104+'Dong Lam'!J104+'Khanh Nga'!J104+TDP!J104+DTRVL!J104</f>
        <v>0</v>
      </c>
      <c r="K104" s="64">
        <f>DTR!K104+'Dai Loc'!K104+'Dong Lam'!K104+'Khanh Nga'!K104+TDP!K104+DTRVL!K104</f>
        <v>0</v>
      </c>
      <c r="L104" s="64">
        <f>DTR!L104+'Dai Loc'!L104+'Dong Lam'!L104+'Khanh Nga'!L104+TDP!L104+DTRVL!L104</f>
        <v>0</v>
      </c>
      <c r="M104" s="64">
        <f>DTR!M104+'Dai Loc'!M104+'Dong Lam'!M104+'Khanh Nga'!M104+TDP!M104+DTRVL!M104</f>
        <v>0</v>
      </c>
      <c r="N104" s="64">
        <f>DTR!N104+'Dai Loc'!N104+'Dong Lam'!N104+'Khanh Nga'!N104+TDP!N104+DTRVL!N104</f>
        <v>0</v>
      </c>
      <c r="O104" s="64">
        <f>DTR!O104+'Dai Loc'!O104+'Dong Lam'!O104+'Khanh Nga'!O104+TDP!O104+DTRVL!O104</f>
        <v>0</v>
      </c>
      <c r="P104" s="64">
        <f>DTR!P104+'Dai Loc'!P104+'Dong Lam'!P104+'Khanh Nga'!P104+TDP!P104+DTRVL!P104</f>
        <v>0</v>
      </c>
      <c r="Q104" s="64">
        <f>DTR!Q104+'Dai Loc'!Q104+'Dong Lam'!Q104+'Khanh Nga'!Q104+TDP!Q104+DTRVL!Q104</f>
        <v>0</v>
      </c>
      <c r="R104" s="64">
        <f>DTR!R104+'Dai Loc'!R104+'Dong Lam'!R104+'Khanh Nga'!R104+TDP!R104+DTRVL!R104</f>
        <v>0</v>
      </c>
      <c r="S104" s="64">
        <f>DTR!S104+'Dai Loc'!S104+'Dong Lam'!S104+'Khanh Nga'!S104+TDP!S104+DTRVL!S104</f>
        <v>0</v>
      </c>
      <c r="T104" s="64">
        <f>DTR!T104+'Dai Loc'!T104+'Dong Lam'!T104+'Khanh Nga'!T104+TDP!T104+DTRVL!T104</f>
        <v>0</v>
      </c>
      <c r="U104" s="64">
        <f>DTR!U104+'Dai Loc'!U104+'Dong Lam'!U104+'Khanh Nga'!U104+TDP!U104+DTRVL!U104</f>
        <v>0</v>
      </c>
      <c r="V104" s="64">
        <f>DTR!V104+'Dai Loc'!V104+'Dong Lam'!V104+'Khanh Nga'!V104+TDP!V104+DTRVL!V104</f>
        <v>0</v>
      </c>
      <c r="W104" s="64">
        <f>DTR!W104+'Dai Loc'!W104+'Dong Lam'!W104+'Khanh Nga'!W104+TDP!W104+DTRVL!W104</f>
        <v>0</v>
      </c>
      <c r="X104" s="64">
        <f>DTR!X104+'Dai Loc'!X104+'Dong Lam'!X104+'Khanh Nga'!X104+TDP!X104+DTRVL!X104</f>
        <v>0</v>
      </c>
      <c r="Y104" s="64">
        <f>DTR!Y104+'Dai Loc'!Y104+'Dong Lam'!Y104+'Khanh Nga'!Y104+TDP!Y104+DTRVL!Y104</f>
        <v>0</v>
      </c>
      <c r="Z104" s="64">
        <f>DTR!Z104+'Dai Loc'!Z104+'Dong Lam'!Z104+'Khanh Nga'!Z104+TDP!Z104+DTRVL!Z104</f>
        <v>0</v>
      </c>
    </row>
    <row r="105" spans="1:26" ht="15" hidden="1" customHeight="1" outlineLevel="1">
      <c r="A105" s="67" t="s">
        <v>189</v>
      </c>
      <c r="B105" s="63">
        <v>100</v>
      </c>
      <c r="C105" s="64">
        <f>DTR!C105+'Dai Loc'!C105+'Dong Lam'!C105+'Khanh Nga'!C105+TDP!C105+DTRVL!C105</f>
        <v>0</v>
      </c>
      <c r="D105" s="64">
        <f>DTR!D105+'Dai Loc'!D105+'Dong Lam'!D105+'Khanh Nga'!D105+TDP!D105+DTRVL!D105</f>
        <v>0</v>
      </c>
      <c r="E105" s="64">
        <f>DTR!E105+'Dai Loc'!E105+'Dong Lam'!E105+'Khanh Nga'!E105+TDP!E105+DTRVL!E105</f>
        <v>0</v>
      </c>
      <c r="F105" s="64">
        <f>DTR!F105+'Dai Loc'!F105+'Dong Lam'!F105+'Khanh Nga'!F105+TDP!F105+DTRVL!F105</f>
        <v>0</v>
      </c>
      <c r="G105" s="64">
        <f>DTR!G105+'Dai Loc'!G105+'Dong Lam'!G105+'Khanh Nga'!G105+TDP!G105+DTRVL!G105</f>
        <v>0</v>
      </c>
      <c r="H105" s="64">
        <f>DTR!H105+'Dai Loc'!H105+'Dong Lam'!H105+'Khanh Nga'!H105+TDP!H105+DTRVL!H105</f>
        <v>0</v>
      </c>
      <c r="I105" s="64">
        <f>DTR!I105+'Dai Loc'!I105+'Dong Lam'!I105+'Khanh Nga'!I105+TDP!I105+DTRVL!I105</f>
        <v>0</v>
      </c>
      <c r="J105" s="64">
        <f>DTR!J105+'Dai Loc'!J105+'Dong Lam'!J105+'Khanh Nga'!J105+TDP!J105+DTRVL!J105</f>
        <v>0</v>
      </c>
      <c r="K105" s="64">
        <f>DTR!K105+'Dai Loc'!K105+'Dong Lam'!K105+'Khanh Nga'!K105+TDP!K105+DTRVL!K105</f>
        <v>0</v>
      </c>
      <c r="L105" s="64">
        <f>DTR!L105+'Dai Loc'!L105+'Dong Lam'!L105+'Khanh Nga'!L105+TDP!L105+DTRVL!L105</f>
        <v>0</v>
      </c>
      <c r="M105" s="64">
        <f>DTR!M105+'Dai Loc'!M105+'Dong Lam'!M105+'Khanh Nga'!M105+TDP!M105+DTRVL!M105</f>
        <v>0</v>
      </c>
      <c r="N105" s="64">
        <f>DTR!N105+'Dai Loc'!N105+'Dong Lam'!N105+'Khanh Nga'!N105+TDP!N105+DTRVL!N105</f>
        <v>0</v>
      </c>
      <c r="O105" s="64">
        <f>DTR!O105+'Dai Loc'!O105+'Dong Lam'!O105+'Khanh Nga'!O105+TDP!O105+DTRVL!O105</f>
        <v>0</v>
      </c>
      <c r="P105" s="64">
        <f>DTR!P105+'Dai Loc'!P105+'Dong Lam'!P105+'Khanh Nga'!P105+TDP!P105+DTRVL!P105</f>
        <v>0</v>
      </c>
      <c r="Q105" s="64">
        <f>DTR!Q105+'Dai Loc'!Q105+'Dong Lam'!Q105+'Khanh Nga'!Q105+TDP!Q105+DTRVL!Q105</f>
        <v>0</v>
      </c>
      <c r="R105" s="64">
        <f>DTR!R105+'Dai Loc'!R105+'Dong Lam'!R105+'Khanh Nga'!R105+TDP!R105+DTRVL!R105</f>
        <v>0</v>
      </c>
      <c r="S105" s="64">
        <f>DTR!S105+'Dai Loc'!S105+'Dong Lam'!S105+'Khanh Nga'!S105+TDP!S105+DTRVL!S105</f>
        <v>0</v>
      </c>
      <c r="T105" s="64">
        <f>DTR!T105+'Dai Loc'!T105+'Dong Lam'!T105+'Khanh Nga'!T105+TDP!T105+DTRVL!T105</f>
        <v>0</v>
      </c>
      <c r="U105" s="64">
        <f>DTR!U105+'Dai Loc'!U105+'Dong Lam'!U105+'Khanh Nga'!U105+TDP!U105+DTRVL!U105</f>
        <v>0</v>
      </c>
      <c r="V105" s="64">
        <f>DTR!V105+'Dai Loc'!V105+'Dong Lam'!V105+'Khanh Nga'!V105+TDP!V105+DTRVL!V105</f>
        <v>0</v>
      </c>
      <c r="W105" s="64">
        <f>DTR!W105+'Dai Loc'!W105+'Dong Lam'!W105+'Khanh Nga'!W105+TDP!W105+DTRVL!W105</f>
        <v>0</v>
      </c>
      <c r="X105" s="64">
        <f>DTR!X105+'Dai Loc'!X105+'Dong Lam'!X105+'Khanh Nga'!X105+TDP!X105+DTRVL!X105</f>
        <v>0</v>
      </c>
      <c r="Y105" s="64">
        <f>DTR!Y105+'Dai Loc'!Y105+'Dong Lam'!Y105+'Khanh Nga'!Y105+TDP!Y105+DTRVL!Y105</f>
        <v>0</v>
      </c>
      <c r="Z105" s="64">
        <f>DTR!Z105+'Dai Loc'!Z105+'Dong Lam'!Z105+'Khanh Nga'!Z105+TDP!Z105+DTRVL!Z105</f>
        <v>0</v>
      </c>
    </row>
    <row r="106" spans="1:26" ht="15" hidden="1" customHeight="1" outlineLevel="1">
      <c r="A106" s="67" t="s">
        <v>190</v>
      </c>
      <c r="B106" s="63">
        <v>101</v>
      </c>
      <c r="C106" s="64">
        <f>DTR!C106+'Dai Loc'!C106+'Dong Lam'!C106+'Khanh Nga'!C106+TDP!C106+DTRVL!C106</f>
        <v>0</v>
      </c>
      <c r="D106" s="64">
        <f>DTR!D106+'Dai Loc'!D106+'Dong Lam'!D106+'Khanh Nga'!D106+TDP!D106+DTRVL!D106</f>
        <v>0</v>
      </c>
      <c r="E106" s="64">
        <f>DTR!E106+'Dai Loc'!E106+'Dong Lam'!E106+'Khanh Nga'!E106+TDP!E106+DTRVL!E106</f>
        <v>0</v>
      </c>
      <c r="F106" s="64">
        <f>DTR!F106+'Dai Loc'!F106+'Dong Lam'!F106+'Khanh Nga'!F106+TDP!F106+DTRVL!F106</f>
        <v>0</v>
      </c>
      <c r="G106" s="64">
        <f>DTR!G106+'Dai Loc'!G106+'Dong Lam'!G106+'Khanh Nga'!G106+TDP!G106+DTRVL!G106</f>
        <v>0</v>
      </c>
      <c r="H106" s="64">
        <f>DTR!H106+'Dai Loc'!H106+'Dong Lam'!H106+'Khanh Nga'!H106+TDP!H106+DTRVL!H106</f>
        <v>0</v>
      </c>
      <c r="I106" s="64">
        <f>DTR!I106+'Dai Loc'!I106+'Dong Lam'!I106+'Khanh Nga'!I106+TDP!I106+DTRVL!I106</f>
        <v>0</v>
      </c>
      <c r="J106" s="64">
        <f>DTR!J106+'Dai Loc'!J106+'Dong Lam'!J106+'Khanh Nga'!J106+TDP!J106+DTRVL!J106</f>
        <v>0</v>
      </c>
      <c r="K106" s="64">
        <f>DTR!K106+'Dai Loc'!K106+'Dong Lam'!K106+'Khanh Nga'!K106+TDP!K106+DTRVL!K106</f>
        <v>0</v>
      </c>
      <c r="L106" s="64">
        <f>DTR!L106+'Dai Loc'!L106+'Dong Lam'!L106+'Khanh Nga'!L106+TDP!L106+DTRVL!L106</f>
        <v>0</v>
      </c>
      <c r="M106" s="64">
        <f>DTR!M106+'Dai Loc'!M106+'Dong Lam'!M106+'Khanh Nga'!M106+TDP!M106+DTRVL!M106</f>
        <v>0</v>
      </c>
      <c r="N106" s="64">
        <f>DTR!N106+'Dai Loc'!N106+'Dong Lam'!N106+'Khanh Nga'!N106+TDP!N106+DTRVL!N106</f>
        <v>0</v>
      </c>
      <c r="O106" s="64">
        <f>DTR!O106+'Dai Loc'!O106+'Dong Lam'!O106+'Khanh Nga'!O106+TDP!O106+DTRVL!O106</f>
        <v>0</v>
      </c>
      <c r="P106" s="64">
        <f>DTR!P106+'Dai Loc'!P106+'Dong Lam'!P106+'Khanh Nga'!P106+TDP!P106+DTRVL!P106</f>
        <v>0</v>
      </c>
      <c r="Q106" s="64">
        <f>DTR!Q106+'Dai Loc'!Q106+'Dong Lam'!Q106+'Khanh Nga'!Q106+TDP!Q106+DTRVL!Q106</f>
        <v>0</v>
      </c>
      <c r="R106" s="64">
        <f>DTR!R106+'Dai Loc'!R106+'Dong Lam'!R106+'Khanh Nga'!R106+TDP!R106+DTRVL!R106</f>
        <v>0</v>
      </c>
      <c r="S106" s="64">
        <f>DTR!S106+'Dai Loc'!S106+'Dong Lam'!S106+'Khanh Nga'!S106+TDP!S106+DTRVL!S106</f>
        <v>0</v>
      </c>
      <c r="T106" s="64">
        <f>DTR!T106+'Dai Loc'!T106+'Dong Lam'!T106+'Khanh Nga'!T106+TDP!T106+DTRVL!T106</f>
        <v>0</v>
      </c>
      <c r="U106" s="64">
        <f>DTR!U106+'Dai Loc'!U106+'Dong Lam'!U106+'Khanh Nga'!U106+TDP!U106+DTRVL!U106</f>
        <v>0</v>
      </c>
      <c r="V106" s="64">
        <f>DTR!V106+'Dai Loc'!V106+'Dong Lam'!V106+'Khanh Nga'!V106+TDP!V106+DTRVL!V106</f>
        <v>0</v>
      </c>
      <c r="W106" s="64">
        <f>DTR!W106+'Dai Loc'!W106+'Dong Lam'!W106+'Khanh Nga'!W106+TDP!W106+DTRVL!W106</f>
        <v>0</v>
      </c>
      <c r="X106" s="64">
        <f>DTR!X106+'Dai Loc'!X106+'Dong Lam'!X106+'Khanh Nga'!X106+TDP!X106+DTRVL!X106</f>
        <v>0</v>
      </c>
      <c r="Y106" s="64">
        <f>DTR!Y106+'Dai Loc'!Y106+'Dong Lam'!Y106+'Khanh Nga'!Y106+TDP!Y106+DTRVL!Y106</f>
        <v>0</v>
      </c>
      <c r="Z106" s="64">
        <f>DTR!Z106+'Dai Loc'!Z106+'Dong Lam'!Z106+'Khanh Nga'!Z106+TDP!Z106+DTRVL!Z106</f>
        <v>0</v>
      </c>
    </row>
    <row r="107" spans="1:26" ht="15" hidden="1" customHeight="1" outlineLevel="1">
      <c r="A107" s="67" t="s">
        <v>191</v>
      </c>
      <c r="B107" s="63">
        <v>102</v>
      </c>
      <c r="C107" s="64">
        <f>DTR!C107+'Dai Loc'!C107+'Dong Lam'!C107+'Khanh Nga'!C107+TDP!C107+DTRVL!C107</f>
        <v>0</v>
      </c>
      <c r="D107" s="64">
        <f>DTR!D107+'Dai Loc'!D107+'Dong Lam'!D107+'Khanh Nga'!D107+TDP!D107+DTRVL!D107</f>
        <v>0</v>
      </c>
      <c r="E107" s="64">
        <f>DTR!E107+'Dai Loc'!E107+'Dong Lam'!E107+'Khanh Nga'!E107+TDP!E107+DTRVL!E107</f>
        <v>0</v>
      </c>
      <c r="F107" s="64">
        <f>DTR!F107+'Dai Loc'!F107+'Dong Lam'!F107+'Khanh Nga'!F107+TDP!F107+DTRVL!F107</f>
        <v>0</v>
      </c>
      <c r="G107" s="64">
        <f>DTR!G107+'Dai Loc'!G107+'Dong Lam'!G107+'Khanh Nga'!G107+TDP!G107+DTRVL!G107</f>
        <v>0</v>
      </c>
      <c r="H107" s="64">
        <f>DTR!H107+'Dai Loc'!H107+'Dong Lam'!H107+'Khanh Nga'!H107+TDP!H107+DTRVL!H107</f>
        <v>0</v>
      </c>
      <c r="I107" s="64">
        <f>DTR!I107+'Dai Loc'!I107+'Dong Lam'!I107+'Khanh Nga'!I107+TDP!I107+DTRVL!I107</f>
        <v>0</v>
      </c>
      <c r="J107" s="64">
        <f>DTR!J107+'Dai Loc'!J107+'Dong Lam'!J107+'Khanh Nga'!J107+TDP!J107+DTRVL!J107</f>
        <v>0</v>
      </c>
      <c r="K107" s="64">
        <f>DTR!K107+'Dai Loc'!K107+'Dong Lam'!K107+'Khanh Nga'!K107+TDP!K107+DTRVL!K107</f>
        <v>0</v>
      </c>
      <c r="L107" s="64">
        <f>DTR!L107+'Dai Loc'!L107+'Dong Lam'!L107+'Khanh Nga'!L107+TDP!L107+DTRVL!L107</f>
        <v>0</v>
      </c>
      <c r="M107" s="64">
        <f>DTR!M107+'Dai Loc'!M107+'Dong Lam'!M107+'Khanh Nga'!M107+TDP!M107+DTRVL!M107</f>
        <v>0</v>
      </c>
      <c r="N107" s="64">
        <f>DTR!N107+'Dai Loc'!N107+'Dong Lam'!N107+'Khanh Nga'!N107+TDP!N107+DTRVL!N107</f>
        <v>0</v>
      </c>
      <c r="O107" s="64">
        <f>DTR!O107+'Dai Loc'!O107+'Dong Lam'!O107+'Khanh Nga'!O107+TDP!O107+DTRVL!O107</f>
        <v>0</v>
      </c>
      <c r="P107" s="64">
        <f>DTR!P107+'Dai Loc'!P107+'Dong Lam'!P107+'Khanh Nga'!P107+TDP!P107+DTRVL!P107</f>
        <v>0</v>
      </c>
      <c r="Q107" s="64">
        <f>DTR!Q107+'Dai Loc'!Q107+'Dong Lam'!Q107+'Khanh Nga'!Q107+TDP!Q107+DTRVL!Q107</f>
        <v>0</v>
      </c>
      <c r="R107" s="64">
        <f>DTR!R107+'Dai Loc'!R107+'Dong Lam'!R107+'Khanh Nga'!R107+TDP!R107+DTRVL!R107</f>
        <v>0</v>
      </c>
      <c r="S107" s="64">
        <f>DTR!S107+'Dai Loc'!S107+'Dong Lam'!S107+'Khanh Nga'!S107+TDP!S107+DTRVL!S107</f>
        <v>0</v>
      </c>
      <c r="T107" s="64">
        <f>DTR!T107+'Dai Loc'!T107+'Dong Lam'!T107+'Khanh Nga'!T107+TDP!T107+DTRVL!T107</f>
        <v>0</v>
      </c>
      <c r="U107" s="64">
        <f>DTR!U107+'Dai Loc'!U107+'Dong Lam'!U107+'Khanh Nga'!U107+TDP!U107+DTRVL!U107</f>
        <v>0</v>
      </c>
      <c r="V107" s="64">
        <f>DTR!V107+'Dai Loc'!V107+'Dong Lam'!V107+'Khanh Nga'!V107+TDP!V107+DTRVL!V107</f>
        <v>0</v>
      </c>
      <c r="W107" s="64">
        <f>DTR!W107+'Dai Loc'!W107+'Dong Lam'!W107+'Khanh Nga'!W107+TDP!W107+DTRVL!W107</f>
        <v>0</v>
      </c>
      <c r="X107" s="64">
        <f>DTR!X107+'Dai Loc'!X107+'Dong Lam'!X107+'Khanh Nga'!X107+TDP!X107+DTRVL!X107</f>
        <v>0</v>
      </c>
      <c r="Y107" s="64">
        <f>DTR!Y107+'Dai Loc'!Y107+'Dong Lam'!Y107+'Khanh Nga'!Y107+TDP!Y107+DTRVL!Y107</f>
        <v>0</v>
      </c>
      <c r="Z107" s="64">
        <f>DTR!Z107+'Dai Loc'!Z107+'Dong Lam'!Z107+'Khanh Nga'!Z107+TDP!Z107+DTRVL!Z107</f>
        <v>0</v>
      </c>
    </row>
    <row r="108" spans="1:26" ht="15" hidden="1" customHeight="1" outlineLevel="1">
      <c r="A108" s="67" t="s">
        <v>192</v>
      </c>
      <c r="B108" s="63">
        <v>103</v>
      </c>
      <c r="C108" s="64">
        <f>DTR!C108+'Dai Loc'!C108+'Dong Lam'!C108+'Khanh Nga'!C108+TDP!C108+DTRVL!C108</f>
        <v>0</v>
      </c>
      <c r="D108" s="64">
        <f>DTR!D108+'Dai Loc'!D108+'Dong Lam'!D108+'Khanh Nga'!D108+TDP!D108+DTRVL!D108</f>
        <v>0</v>
      </c>
      <c r="E108" s="64">
        <f>DTR!E108+'Dai Loc'!E108+'Dong Lam'!E108+'Khanh Nga'!E108+TDP!E108+DTRVL!E108</f>
        <v>0</v>
      </c>
      <c r="F108" s="64">
        <f>DTR!F108+'Dai Loc'!F108+'Dong Lam'!F108+'Khanh Nga'!F108+TDP!F108+DTRVL!F108</f>
        <v>0</v>
      </c>
      <c r="G108" s="64">
        <f>DTR!G108+'Dai Loc'!G108+'Dong Lam'!G108+'Khanh Nga'!G108+TDP!G108+DTRVL!G108</f>
        <v>0</v>
      </c>
      <c r="H108" s="64">
        <f>DTR!H108+'Dai Loc'!H108+'Dong Lam'!H108+'Khanh Nga'!H108+TDP!H108+DTRVL!H108</f>
        <v>0</v>
      </c>
      <c r="I108" s="64">
        <f>DTR!I108+'Dai Loc'!I108+'Dong Lam'!I108+'Khanh Nga'!I108+TDP!I108+DTRVL!I108</f>
        <v>0</v>
      </c>
      <c r="J108" s="64">
        <f>DTR!J108+'Dai Loc'!J108+'Dong Lam'!J108+'Khanh Nga'!J108+TDP!J108+DTRVL!J108</f>
        <v>0</v>
      </c>
      <c r="K108" s="64">
        <f>DTR!K108+'Dai Loc'!K108+'Dong Lam'!K108+'Khanh Nga'!K108+TDP!K108+DTRVL!K108</f>
        <v>0</v>
      </c>
      <c r="L108" s="64">
        <f>DTR!L108+'Dai Loc'!L108+'Dong Lam'!L108+'Khanh Nga'!L108+TDP!L108+DTRVL!L108</f>
        <v>0</v>
      </c>
      <c r="M108" s="64">
        <f>DTR!M108+'Dai Loc'!M108+'Dong Lam'!M108+'Khanh Nga'!M108+TDP!M108+DTRVL!M108</f>
        <v>0</v>
      </c>
      <c r="N108" s="64">
        <f>DTR!N108+'Dai Loc'!N108+'Dong Lam'!N108+'Khanh Nga'!N108+TDP!N108+DTRVL!N108</f>
        <v>0</v>
      </c>
      <c r="O108" s="64">
        <f>DTR!O108+'Dai Loc'!O108+'Dong Lam'!O108+'Khanh Nga'!O108+TDP!O108+DTRVL!O108</f>
        <v>0</v>
      </c>
      <c r="P108" s="64">
        <f>DTR!P108+'Dai Loc'!P108+'Dong Lam'!P108+'Khanh Nga'!P108+TDP!P108+DTRVL!P108</f>
        <v>0</v>
      </c>
      <c r="Q108" s="64">
        <f>DTR!Q108+'Dai Loc'!Q108+'Dong Lam'!Q108+'Khanh Nga'!Q108+TDP!Q108+DTRVL!Q108</f>
        <v>0</v>
      </c>
      <c r="R108" s="64">
        <f>DTR!R108+'Dai Loc'!R108+'Dong Lam'!R108+'Khanh Nga'!R108+TDP!R108+DTRVL!R108</f>
        <v>0</v>
      </c>
      <c r="S108" s="64">
        <f>DTR!S108+'Dai Loc'!S108+'Dong Lam'!S108+'Khanh Nga'!S108+TDP!S108+DTRVL!S108</f>
        <v>0</v>
      </c>
      <c r="T108" s="64">
        <f>DTR!T108+'Dai Loc'!T108+'Dong Lam'!T108+'Khanh Nga'!T108+TDP!T108+DTRVL!T108</f>
        <v>0</v>
      </c>
      <c r="U108" s="64">
        <f>DTR!U108+'Dai Loc'!U108+'Dong Lam'!U108+'Khanh Nga'!U108+TDP!U108+DTRVL!U108</f>
        <v>0</v>
      </c>
      <c r="V108" s="64">
        <f>DTR!V108+'Dai Loc'!V108+'Dong Lam'!V108+'Khanh Nga'!V108+TDP!V108+DTRVL!V108</f>
        <v>0</v>
      </c>
      <c r="W108" s="64">
        <f>DTR!W108+'Dai Loc'!W108+'Dong Lam'!W108+'Khanh Nga'!W108+TDP!W108+DTRVL!W108</f>
        <v>0</v>
      </c>
      <c r="X108" s="64">
        <f>DTR!X108+'Dai Loc'!X108+'Dong Lam'!X108+'Khanh Nga'!X108+TDP!X108+DTRVL!X108</f>
        <v>0</v>
      </c>
      <c r="Y108" s="64">
        <f>DTR!Y108+'Dai Loc'!Y108+'Dong Lam'!Y108+'Khanh Nga'!Y108+TDP!Y108+DTRVL!Y108</f>
        <v>0</v>
      </c>
      <c r="Z108" s="64">
        <f>DTR!Z108+'Dai Loc'!Z108+'Dong Lam'!Z108+'Khanh Nga'!Z108+TDP!Z108+DTRVL!Z108</f>
        <v>0</v>
      </c>
    </row>
    <row r="109" spans="1:26" ht="15" hidden="1" customHeight="1" outlineLevel="1">
      <c r="A109" s="67" t="s">
        <v>193</v>
      </c>
      <c r="B109" s="63">
        <v>104</v>
      </c>
      <c r="C109" s="64">
        <f>DTR!C109+'Dai Loc'!C109+'Dong Lam'!C109+'Khanh Nga'!C109+TDP!C109+DTRVL!C109</f>
        <v>0</v>
      </c>
      <c r="D109" s="64">
        <f>DTR!D109+'Dai Loc'!D109+'Dong Lam'!D109+'Khanh Nga'!D109+TDP!D109+DTRVL!D109</f>
        <v>0</v>
      </c>
      <c r="E109" s="64">
        <f>DTR!E109+'Dai Loc'!E109+'Dong Lam'!E109+'Khanh Nga'!E109+TDP!E109+DTRVL!E109</f>
        <v>0</v>
      </c>
      <c r="F109" s="64">
        <f>DTR!F109+'Dai Loc'!F109+'Dong Lam'!F109+'Khanh Nga'!F109+TDP!F109+DTRVL!F109</f>
        <v>0</v>
      </c>
      <c r="G109" s="64">
        <f>DTR!G109+'Dai Loc'!G109+'Dong Lam'!G109+'Khanh Nga'!G109+TDP!G109+DTRVL!G109</f>
        <v>0</v>
      </c>
      <c r="H109" s="64">
        <f>DTR!H109+'Dai Loc'!H109+'Dong Lam'!H109+'Khanh Nga'!H109+TDP!H109+DTRVL!H109</f>
        <v>0</v>
      </c>
      <c r="I109" s="64">
        <f>DTR!I109+'Dai Loc'!I109+'Dong Lam'!I109+'Khanh Nga'!I109+TDP!I109+DTRVL!I109</f>
        <v>0</v>
      </c>
      <c r="J109" s="64">
        <f>DTR!J109+'Dai Loc'!J109+'Dong Lam'!J109+'Khanh Nga'!J109+TDP!J109+DTRVL!J109</f>
        <v>0</v>
      </c>
      <c r="K109" s="64">
        <f>DTR!K109+'Dai Loc'!K109+'Dong Lam'!K109+'Khanh Nga'!K109+TDP!K109+DTRVL!K109</f>
        <v>0</v>
      </c>
      <c r="L109" s="64">
        <f>DTR!L109+'Dai Loc'!L109+'Dong Lam'!L109+'Khanh Nga'!L109+TDP!L109+DTRVL!L109</f>
        <v>0</v>
      </c>
      <c r="M109" s="64">
        <f>DTR!M109+'Dai Loc'!M109+'Dong Lam'!M109+'Khanh Nga'!M109+TDP!M109+DTRVL!M109</f>
        <v>0</v>
      </c>
      <c r="N109" s="64">
        <f>DTR!N109+'Dai Loc'!N109+'Dong Lam'!N109+'Khanh Nga'!N109+TDP!N109+DTRVL!N109</f>
        <v>0</v>
      </c>
      <c r="O109" s="64">
        <f>DTR!O109+'Dai Loc'!O109+'Dong Lam'!O109+'Khanh Nga'!O109+TDP!O109+DTRVL!O109</f>
        <v>0</v>
      </c>
      <c r="P109" s="64">
        <f>DTR!P109+'Dai Loc'!P109+'Dong Lam'!P109+'Khanh Nga'!P109+TDP!P109+DTRVL!P109</f>
        <v>0</v>
      </c>
      <c r="Q109" s="64">
        <f>DTR!Q109+'Dai Loc'!Q109+'Dong Lam'!Q109+'Khanh Nga'!Q109+TDP!Q109+DTRVL!Q109</f>
        <v>0</v>
      </c>
      <c r="R109" s="64">
        <f>DTR!R109+'Dai Loc'!R109+'Dong Lam'!R109+'Khanh Nga'!R109+TDP!R109+DTRVL!R109</f>
        <v>0</v>
      </c>
      <c r="S109" s="64">
        <f>DTR!S109+'Dai Loc'!S109+'Dong Lam'!S109+'Khanh Nga'!S109+TDP!S109+DTRVL!S109</f>
        <v>0</v>
      </c>
      <c r="T109" s="64">
        <f>DTR!T109+'Dai Loc'!T109+'Dong Lam'!T109+'Khanh Nga'!T109+TDP!T109+DTRVL!T109</f>
        <v>0</v>
      </c>
      <c r="U109" s="64">
        <f>DTR!U109+'Dai Loc'!U109+'Dong Lam'!U109+'Khanh Nga'!U109+TDP!U109+DTRVL!U109</f>
        <v>0</v>
      </c>
      <c r="V109" s="64">
        <f>DTR!V109+'Dai Loc'!V109+'Dong Lam'!V109+'Khanh Nga'!V109+TDP!V109+DTRVL!V109</f>
        <v>0</v>
      </c>
      <c r="W109" s="64">
        <f>DTR!W109+'Dai Loc'!W109+'Dong Lam'!W109+'Khanh Nga'!W109+TDP!W109+DTRVL!W109</f>
        <v>0</v>
      </c>
      <c r="X109" s="64">
        <f>DTR!X109+'Dai Loc'!X109+'Dong Lam'!X109+'Khanh Nga'!X109+TDP!X109+DTRVL!X109</f>
        <v>0</v>
      </c>
      <c r="Y109" s="64">
        <f>DTR!Y109+'Dai Loc'!Y109+'Dong Lam'!Y109+'Khanh Nga'!Y109+TDP!Y109+DTRVL!Y109</f>
        <v>0</v>
      </c>
      <c r="Z109" s="64">
        <f>DTR!Z109+'Dai Loc'!Z109+'Dong Lam'!Z109+'Khanh Nga'!Z109+TDP!Z109+DTRVL!Z109</f>
        <v>0</v>
      </c>
    </row>
    <row r="110" spans="1:26" ht="15" hidden="1" customHeight="1" outlineLevel="1">
      <c r="A110" s="67" t="s">
        <v>194</v>
      </c>
      <c r="B110" s="63">
        <v>105</v>
      </c>
      <c r="C110" s="64">
        <f>DTR!C110+'Dai Loc'!C110+'Dong Lam'!C110+'Khanh Nga'!C110+TDP!C110+DTRVL!C110</f>
        <v>110386411070</v>
      </c>
      <c r="D110" s="64">
        <f>DTR!D110+'Dai Loc'!D110+'Dong Lam'!D110+'Khanh Nga'!D110+TDP!D110+DTRVL!D110</f>
        <v>110292351070</v>
      </c>
      <c r="E110" s="64">
        <f>DTR!E110+'Dai Loc'!E110+'Dong Lam'!E110+'Khanh Nga'!E110+TDP!E110+DTRVL!E110</f>
        <v>110233351070</v>
      </c>
      <c r="F110" s="64">
        <f>DTR!F110+'Dai Loc'!F110+'Dong Lam'!F110+'Khanh Nga'!F110+TDP!F110+DTRVL!F110</f>
        <v>109938157678</v>
      </c>
      <c r="G110" s="64">
        <f>DTR!G110+'Dai Loc'!G110+'Dong Lam'!G110+'Khanh Nga'!G110+TDP!G110+DTRVL!G110</f>
        <v>107984867678</v>
      </c>
      <c r="H110" s="64">
        <f>DTR!H110+'Dai Loc'!H110+'Dong Lam'!H110+'Khanh Nga'!H110+TDP!H110+DTRVL!H110</f>
        <v>109314035678</v>
      </c>
      <c r="I110" s="64">
        <f>DTR!I110+'Dai Loc'!I110+'Dong Lam'!I110+'Khanh Nga'!I110+TDP!I110+DTRVL!I110</f>
        <v>109426842286</v>
      </c>
      <c r="J110" s="64">
        <f>DTR!J110+'Dai Loc'!J110+'Dong Lam'!J110+'Khanh Nga'!J110+TDP!J110+DTRVL!J110</f>
        <v>108769782286</v>
      </c>
      <c r="K110" s="64">
        <f>DTR!K110+'Dai Loc'!K110+'Dong Lam'!K110+'Khanh Nga'!K110+TDP!K110+DTRVL!K110</f>
        <v>109364782286</v>
      </c>
      <c r="L110" s="64">
        <f>DTR!L110+'Dai Loc'!L110+'Dong Lam'!L110+'Khanh Nga'!L110+TDP!L110+DTRVL!L110</f>
        <v>109588588894</v>
      </c>
      <c r="M110" s="64">
        <f>DTR!M110+'Dai Loc'!M110+'Dong Lam'!M110+'Khanh Nga'!M110+TDP!M110+DTRVL!M110</f>
        <v>136214528894</v>
      </c>
      <c r="N110" s="64">
        <f>DTR!N110+'Dai Loc'!N110+'Dong Lam'!N110+'Khanh Nga'!N110+TDP!N110+DTRVL!N110</f>
        <v>115668404212</v>
      </c>
      <c r="O110" s="64">
        <f>DTR!O110+'Dai Loc'!O110+'Dong Lam'!O110+'Khanh Nga'!O110+TDP!O110+DTRVL!O110</f>
        <v>141180341946</v>
      </c>
      <c r="P110" s="64">
        <f>DTR!P110+'Dai Loc'!P110+'Dong Lam'!P110+'Khanh Nga'!P110+TDP!P110+DTRVL!P110</f>
        <v>136932504168</v>
      </c>
      <c r="Q110" s="64">
        <f>DTR!Q110+'Dai Loc'!Q110+'Dong Lam'!Q110+'Khanh Nga'!Q110+TDP!Q110+DTRVL!Q110</f>
        <v>136095726390</v>
      </c>
      <c r="R110" s="64">
        <f>DTR!R110+'Dai Loc'!R110+'Dong Lam'!R110+'Khanh Nga'!R110+TDP!R110+DTRVL!R110</f>
        <v>135022755220</v>
      </c>
      <c r="S110" s="64">
        <f>DTR!S110+'Dai Loc'!S110+'Dong Lam'!S110+'Khanh Nga'!S110+TDP!S110+DTRVL!S110</f>
        <v>130774917442</v>
      </c>
      <c r="T110" s="64">
        <f>DTR!T110+'Dai Loc'!T110+'Dong Lam'!T110+'Khanh Nga'!T110+TDP!T110+DTRVL!T110</f>
        <v>109891791394</v>
      </c>
      <c r="U110" s="64">
        <f>DTR!U110+'Dai Loc'!U110+'Dong Lam'!U110+'Khanh Nga'!U110+TDP!U110+DTRVL!U110</f>
        <v>108818820224</v>
      </c>
      <c r="V110" s="64">
        <f>DTR!V110+'Dai Loc'!V110+'Dong Lam'!V110+'Khanh Nga'!V110+TDP!V110+DTRVL!V110</f>
        <v>107233510446</v>
      </c>
      <c r="W110" s="64">
        <f>DTR!W110+'Dai Loc'!W110+'Dong Lam'!W110+'Khanh Nga'!W110+TDP!W110+DTRVL!W110</f>
        <v>106396732668</v>
      </c>
      <c r="X110" s="64">
        <f>DTR!X110+'Dai Loc'!X110+'Dong Lam'!X110+'Khanh Nga'!X110+TDP!X110+DTRVL!X110</f>
        <v>101343133942</v>
      </c>
      <c r="Y110" s="64">
        <f>DTR!Y110+'Dai Loc'!Y110+'Dong Lam'!Y110+'Khanh Nga'!Y110+TDP!Y110+DTRVL!Y110</f>
        <v>102401372942</v>
      </c>
      <c r="Z110" s="64">
        <f>DTR!Z110+'Dai Loc'!Z110+'Dong Lam'!Z110+'Khanh Nga'!Z110+TDP!Z110+DTRVL!Z110</f>
        <v>83152254354</v>
      </c>
    </row>
    <row r="111" spans="1:26" ht="15" hidden="1" customHeight="1" outlineLevel="1">
      <c r="A111" s="67" t="s">
        <v>195</v>
      </c>
      <c r="B111" s="63">
        <v>106</v>
      </c>
      <c r="C111" s="64">
        <f>DTR!C111+'Dai Loc'!C111+'Dong Lam'!C111+'Khanh Nga'!C111+TDP!C111+DTRVL!C111</f>
        <v>0</v>
      </c>
      <c r="D111" s="64">
        <f>DTR!D111+'Dai Loc'!D111+'Dong Lam'!D111+'Khanh Nga'!D111+TDP!D111+DTRVL!D111</f>
        <v>0</v>
      </c>
      <c r="E111" s="64">
        <f>DTR!E111+'Dai Loc'!E111+'Dong Lam'!E111+'Khanh Nga'!E111+TDP!E111+DTRVL!E111</f>
        <v>0</v>
      </c>
      <c r="F111" s="64">
        <f>DTR!F111+'Dai Loc'!F111+'Dong Lam'!F111+'Khanh Nga'!F111+TDP!F111+DTRVL!F111</f>
        <v>0</v>
      </c>
      <c r="G111" s="64">
        <f>DTR!G111+'Dai Loc'!G111+'Dong Lam'!G111+'Khanh Nga'!G111+TDP!G111+DTRVL!G111</f>
        <v>0</v>
      </c>
      <c r="H111" s="64">
        <f>DTR!H111+'Dai Loc'!H111+'Dong Lam'!H111+'Khanh Nga'!H111+TDP!H111+DTRVL!H111</f>
        <v>0</v>
      </c>
      <c r="I111" s="64">
        <f>DTR!I111+'Dai Loc'!I111+'Dong Lam'!I111+'Khanh Nga'!I111+TDP!I111+DTRVL!I111</f>
        <v>0</v>
      </c>
      <c r="J111" s="64">
        <f>DTR!J111+'Dai Loc'!J111+'Dong Lam'!J111+'Khanh Nga'!J111+TDP!J111+DTRVL!J111</f>
        <v>0</v>
      </c>
      <c r="K111" s="64">
        <f>DTR!K111+'Dai Loc'!K111+'Dong Lam'!K111+'Khanh Nga'!K111+TDP!K111+DTRVL!K111</f>
        <v>0</v>
      </c>
      <c r="L111" s="64">
        <f>DTR!L111+'Dai Loc'!L111+'Dong Lam'!L111+'Khanh Nga'!L111+TDP!L111+DTRVL!L111</f>
        <v>0</v>
      </c>
      <c r="M111" s="64">
        <f>DTR!M111+'Dai Loc'!M111+'Dong Lam'!M111+'Khanh Nga'!M111+TDP!M111+DTRVL!M111</f>
        <v>0</v>
      </c>
      <c r="N111" s="64">
        <f>DTR!N111+'Dai Loc'!N111+'Dong Lam'!N111+'Khanh Nga'!N111+TDP!N111+DTRVL!N111</f>
        <v>0</v>
      </c>
      <c r="O111" s="64">
        <f>DTR!O111+'Dai Loc'!O111+'Dong Lam'!O111+'Khanh Nga'!O111+TDP!O111+DTRVL!O111</f>
        <v>0</v>
      </c>
      <c r="P111" s="64">
        <f>DTR!P111+'Dai Loc'!P111+'Dong Lam'!P111+'Khanh Nga'!P111+TDP!P111+DTRVL!P111</f>
        <v>0</v>
      </c>
      <c r="Q111" s="64">
        <f>DTR!Q111+'Dai Loc'!Q111+'Dong Lam'!Q111+'Khanh Nga'!Q111+TDP!Q111+DTRVL!Q111</f>
        <v>0</v>
      </c>
      <c r="R111" s="64">
        <f>DTR!R111+'Dai Loc'!R111+'Dong Lam'!R111+'Khanh Nga'!R111+TDP!R111+DTRVL!R111</f>
        <v>0</v>
      </c>
      <c r="S111" s="64">
        <f>DTR!S111+'Dai Loc'!S111+'Dong Lam'!S111+'Khanh Nga'!S111+TDP!S111+DTRVL!S111</f>
        <v>0</v>
      </c>
      <c r="T111" s="64">
        <f>DTR!T111+'Dai Loc'!T111+'Dong Lam'!T111+'Khanh Nga'!T111+TDP!T111+DTRVL!T111</f>
        <v>0</v>
      </c>
      <c r="U111" s="64">
        <f>DTR!U111+'Dai Loc'!U111+'Dong Lam'!U111+'Khanh Nga'!U111+TDP!U111+DTRVL!U111</f>
        <v>0</v>
      </c>
      <c r="V111" s="64">
        <f>DTR!V111+'Dai Loc'!V111+'Dong Lam'!V111+'Khanh Nga'!V111+TDP!V111+DTRVL!V111</f>
        <v>0</v>
      </c>
      <c r="W111" s="64">
        <f>DTR!W111+'Dai Loc'!W111+'Dong Lam'!W111+'Khanh Nga'!W111+TDP!W111+DTRVL!W111</f>
        <v>0</v>
      </c>
      <c r="X111" s="64">
        <f>DTR!X111+'Dai Loc'!X111+'Dong Lam'!X111+'Khanh Nga'!X111+TDP!X111+DTRVL!X111</f>
        <v>0</v>
      </c>
      <c r="Y111" s="64">
        <f>DTR!Y111+'Dai Loc'!Y111+'Dong Lam'!Y111+'Khanh Nga'!Y111+TDP!Y111+DTRVL!Y111</f>
        <v>0</v>
      </c>
      <c r="Z111" s="64">
        <f>DTR!Z111+'Dai Loc'!Z111+'Dong Lam'!Z111+'Khanh Nga'!Z111+TDP!Z111+DTRVL!Z111</f>
        <v>0</v>
      </c>
    </row>
    <row r="112" spans="1:26" ht="15" hidden="1" customHeight="1" outlineLevel="1">
      <c r="A112" s="67" t="s">
        <v>196</v>
      </c>
      <c r="B112" s="63">
        <v>107</v>
      </c>
      <c r="C112" s="64">
        <f>DTR!C112+'Dai Loc'!C112+'Dong Lam'!C112+'Khanh Nga'!C112+TDP!C112+DTRVL!C112</f>
        <v>0</v>
      </c>
      <c r="D112" s="64">
        <f>DTR!D112+'Dai Loc'!D112+'Dong Lam'!D112+'Khanh Nga'!D112+TDP!D112+DTRVL!D112</f>
        <v>0</v>
      </c>
      <c r="E112" s="64">
        <f>DTR!E112+'Dai Loc'!E112+'Dong Lam'!E112+'Khanh Nga'!E112+TDP!E112+DTRVL!E112</f>
        <v>0</v>
      </c>
      <c r="F112" s="64">
        <f>DTR!F112+'Dai Loc'!F112+'Dong Lam'!F112+'Khanh Nga'!F112+TDP!F112+DTRVL!F112</f>
        <v>0</v>
      </c>
      <c r="G112" s="64">
        <f>DTR!G112+'Dai Loc'!G112+'Dong Lam'!G112+'Khanh Nga'!G112+TDP!G112+DTRVL!G112</f>
        <v>0</v>
      </c>
      <c r="H112" s="64">
        <f>DTR!H112+'Dai Loc'!H112+'Dong Lam'!H112+'Khanh Nga'!H112+TDP!H112+DTRVL!H112</f>
        <v>0</v>
      </c>
      <c r="I112" s="64">
        <f>DTR!I112+'Dai Loc'!I112+'Dong Lam'!I112+'Khanh Nga'!I112+TDP!I112+DTRVL!I112</f>
        <v>0</v>
      </c>
      <c r="J112" s="64">
        <f>DTR!J112+'Dai Loc'!J112+'Dong Lam'!J112+'Khanh Nga'!J112+TDP!J112+DTRVL!J112</f>
        <v>0</v>
      </c>
      <c r="K112" s="64">
        <f>DTR!K112+'Dai Loc'!K112+'Dong Lam'!K112+'Khanh Nga'!K112+TDP!K112+DTRVL!K112</f>
        <v>0</v>
      </c>
      <c r="L112" s="64">
        <f>DTR!L112+'Dai Loc'!L112+'Dong Lam'!L112+'Khanh Nga'!L112+TDP!L112+DTRVL!L112</f>
        <v>0</v>
      </c>
      <c r="M112" s="64">
        <f>DTR!M112+'Dai Loc'!M112+'Dong Lam'!M112+'Khanh Nga'!M112+TDP!M112+DTRVL!M112</f>
        <v>0</v>
      </c>
      <c r="N112" s="64">
        <f>DTR!N112+'Dai Loc'!N112+'Dong Lam'!N112+'Khanh Nga'!N112+TDP!N112+DTRVL!N112</f>
        <v>0</v>
      </c>
      <c r="O112" s="64">
        <f>DTR!O112+'Dai Loc'!O112+'Dong Lam'!O112+'Khanh Nga'!O112+TDP!O112+DTRVL!O112</f>
        <v>0</v>
      </c>
      <c r="P112" s="64">
        <f>DTR!P112+'Dai Loc'!P112+'Dong Lam'!P112+'Khanh Nga'!P112+TDP!P112+DTRVL!P112</f>
        <v>0</v>
      </c>
      <c r="Q112" s="64">
        <f>DTR!Q112+'Dai Loc'!Q112+'Dong Lam'!Q112+'Khanh Nga'!Q112+TDP!Q112+DTRVL!Q112</f>
        <v>0</v>
      </c>
      <c r="R112" s="64">
        <f>DTR!R112+'Dai Loc'!R112+'Dong Lam'!R112+'Khanh Nga'!R112+TDP!R112+DTRVL!R112</f>
        <v>0</v>
      </c>
      <c r="S112" s="64">
        <f>DTR!S112+'Dai Loc'!S112+'Dong Lam'!S112+'Khanh Nga'!S112+TDP!S112+DTRVL!S112</f>
        <v>0</v>
      </c>
      <c r="T112" s="64">
        <f>DTR!T112+'Dai Loc'!T112+'Dong Lam'!T112+'Khanh Nga'!T112+TDP!T112+DTRVL!T112</f>
        <v>0</v>
      </c>
      <c r="U112" s="64">
        <f>DTR!U112+'Dai Loc'!U112+'Dong Lam'!U112+'Khanh Nga'!U112+TDP!U112+DTRVL!U112</f>
        <v>0</v>
      </c>
      <c r="V112" s="64">
        <f>DTR!V112+'Dai Loc'!V112+'Dong Lam'!V112+'Khanh Nga'!V112+TDP!V112+DTRVL!V112</f>
        <v>0</v>
      </c>
      <c r="W112" s="64">
        <f>DTR!W112+'Dai Loc'!W112+'Dong Lam'!W112+'Khanh Nga'!W112+TDP!W112+DTRVL!W112</f>
        <v>0</v>
      </c>
      <c r="X112" s="64">
        <f>DTR!X112+'Dai Loc'!X112+'Dong Lam'!X112+'Khanh Nga'!X112+TDP!X112+DTRVL!X112</f>
        <v>0</v>
      </c>
      <c r="Y112" s="64">
        <f>DTR!Y112+'Dai Loc'!Y112+'Dong Lam'!Y112+'Khanh Nga'!Y112+TDP!Y112+DTRVL!Y112</f>
        <v>0</v>
      </c>
      <c r="Z112" s="64">
        <f>DTR!Z112+'Dai Loc'!Z112+'Dong Lam'!Z112+'Khanh Nga'!Z112+TDP!Z112+DTRVL!Z112</f>
        <v>0</v>
      </c>
    </row>
    <row r="113" spans="1:26" ht="15" hidden="1" customHeight="1" outlineLevel="1">
      <c r="A113" s="67" t="s">
        <v>197</v>
      </c>
      <c r="B113" s="63">
        <v>108</v>
      </c>
      <c r="C113" s="64">
        <f>DTR!C113+'Dai Loc'!C113+'Dong Lam'!C113+'Khanh Nga'!C113+TDP!C113+DTRVL!C113</f>
        <v>0</v>
      </c>
      <c r="D113" s="64">
        <f>DTR!D113+'Dai Loc'!D113+'Dong Lam'!D113+'Khanh Nga'!D113+TDP!D113+DTRVL!D113</f>
        <v>0</v>
      </c>
      <c r="E113" s="64">
        <f>DTR!E113+'Dai Loc'!E113+'Dong Lam'!E113+'Khanh Nga'!E113+TDP!E113+DTRVL!E113</f>
        <v>0</v>
      </c>
      <c r="F113" s="64">
        <f>DTR!F113+'Dai Loc'!F113+'Dong Lam'!F113+'Khanh Nga'!F113+TDP!F113+DTRVL!F113</f>
        <v>0</v>
      </c>
      <c r="G113" s="64">
        <f>DTR!G113+'Dai Loc'!G113+'Dong Lam'!G113+'Khanh Nga'!G113+TDP!G113+DTRVL!G113</f>
        <v>0</v>
      </c>
      <c r="H113" s="64">
        <f>DTR!H113+'Dai Loc'!H113+'Dong Lam'!H113+'Khanh Nga'!H113+TDP!H113+DTRVL!H113</f>
        <v>0</v>
      </c>
      <c r="I113" s="64">
        <f>DTR!I113+'Dai Loc'!I113+'Dong Lam'!I113+'Khanh Nga'!I113+TDP!I113+DTRVL!I113</f>
        <v>0</v>
      </c>
      <c r="J113" s="64">
        <f>DTR!J113+'Dai Loc'!J113+'Dong Lam'!J113+'Khanh Nga'!J113+TDP!J113+DTRVL!J113</f>
        <v>0</v>
      </c>
      <c r="K113" s="64">
        <f>DTR!K113+'Dai Loc'!K113+'Dong Lam'!K113+'Khanh Nga'!K113+TDP!K113+DTRVL!K113</f>
        <v>0</v>
      </c>
      <c r="L113" s="64">
        <f>DTR!L113+'Dai Loc'!L113+'Dong Lam'!L113+'Khanh Nga'!L113+TDP!L113+DTRVL!L113</f>
        <v>0</v>
      </c>
      <c r="M113" s="64">
        <f>DTR!M113+'Dai Loc'!M113+'Dong Lam'!M113+'Khanh Nga'!M113+TDP!M113+DTRVL!M113</f>
        <v>0</v>
      </c>
      <c r="N113" s="64">
        <f>DTR!N113+'Dai Loc'!N113+'Dong Lam'!N113+'Khanh Nga'!N113+TDP!N113+DTRVL!N113</f>
        <v>1838941310</v>
      </c>
      <c r="O113" s="64">
        <f>DTR!O113+'Dai Loc'!O113+'Dong Lam'!O113+'Khanh Nga'!O113+TDP!O113+DTRVL!O113</f>
        <v>0</v>
      </c>
      <c r="P113" s="64">
        <f>DTR!P113+'Dai Loc'!P113+'Dong Lam'!P113+'Khanh Nga'!P113+TDP!P113+DTRVL!P113</f>
        <v>0</v>
      </c>
      <c r="Q113" s="64">
        <f>DTR!Q113+'Dai Loc'!Q113+'Dong Lam'!Q113+'Khanh Nga'!Q113+TDP!Q113+DTRVL!Q113</f>
        <v>0</v>
      </c>
      <c r="R113" s="64">
        <f>DTR!R113+'Dai Loc'!R113+'Dong Lam'!R113+'Khanh Nga'!R113+TDP!R113+DTRVL!R113</f>
        <v>0</v>
      </c>
      <c r="S113" s="64">
        <f>DTR!S113+'Dai Loc'!S113+'Dong Lam'!S113+'Khanh Nga'!S113+TDP!S113+DTRVL!S113</f>
        <v>0</v>
      </c>
      <c r="T113" s="64">
        <f>DTR!T113+'Dai Loc'!T113+'Dong Lam'!T113+'Khanh Nga'!T113+TDP!T113+DTRVL!T113</f>
        <v>0</v>
      </c>
      <c r="U113" s="64">
        <f>DTR!U113+'Dai Loc'!U113+'Dong Lam'!U113+'Khanh Nga'!U113+TDP!U113+DTRVL!U113</f>
        <v>0</v>
      </c>
      <c r="V113" s="64">
        <f>DTR!V113+'Dai Loc'!V113+'Dong Lam'!V113+'Khanh Nga'!V113+TDP!V113+DTRVL!V113</f>
        <v>0</v>
      </c>
      <c r="W113" s="64">
        <f>DTR!W113+'Dai Loc'!W113+'Dong Lam'!W113+'Khanh Nga'!W113+TDP!W113+DTRVL!W113</f>
        <v>0</v>
      </c>
      <c r="X113" s="64">
        <f>DTR!X113+'Dai Loc'!X113+'Dong Lam'!X113+'Khanh Nga'!X113+TDP!X113+DTRVL!X113</f>
        <v>0</v>
      </c>
      <c r="Y113" s="64">
        <f>DTR!Y113+'Dai Loc'!Y113+'Dong Lam'!Y113+'Khanh Nga'!Y113+TDP!Y113+DTRVL!Y113</f>
        <v>0</v>
      </c>
      <c r="Z113" s="64">
        <f>DTR!Z113+'Dai Loc'!Z113+'Dong Lam'!Z113+'Khanh Nga'!Z113+TDP!Z113+DTRVL!Z113</f>
        <v>0</v>
      </c>
    </row>
    <row r="114" spans="1:26" ht="15" hidden="1" customHeight="1" outlineLevel="1">
      <c r="A114" s="67" t="s">
        <v>198</v>
      </c>
      <c r="B114" s="63">
        <v>109</v>
      </c>
      <c r="C114" s="64">
        <f>DTR!C114+'Dai Loc'!C114+'Dong Lam'!C114+'Khanh Nga'!C114+TDP!C114+DTRVL!C114</f>
        <v>0</v>
      </c>
      <c r="D114" s="64">
        <f>DTR!D114+'Dai Loc'!D114+'Dong Lam'!D114+'Khanh Nga'!D114+TDP!D114+DTRVL!D114</f>
        <v>0</v>
      </c>
      <c r="E114" s="64">
        <f>DTR!E114+'Dai Loc'!E114+'Dong Lam'!E114+'Khanh Nga'!E114+TDP!E114+DTRVL!E114</f>
        <v>0</v>
      </c>
      <c r="F114" s="64">
        <f>DTR!F114+'Dai Loc'!F114+'Dong Lam'!F114+'Khanh Nga'!F114+TDP!F114+DTRVL!F114</f>
        <v>0</v>
      </c>
      <c r="G114" s="64">
        <f>DTR!G114+'Dai Loc'!G114+'Dong Lam'!G114+'Khanh Nga'!G114+TDP!G114+DTRVL!G114</f>
        <v>0</v>
      </c>
      <c r="H114" s="64">
        <f>DTR!H114+'Dai Loc'!H114+'Dong Lam'!H114+'Khanh Nga'!H114+TDP!H114+DTRVL!H114</f>
        <v>0</v>
      </c>
      <c r="I114" s="64">
        <f>DTR!I114+'Dai Loc'!I114+'Dong Lam'!I114+'Khanh Nga'!I114+TDP!I114+DTRVL!I114</f>
        <v>0</v>
      </c>
      <c r="J114" s="64">
        <f>DTR!J114+'Dai Loc'!J114+'Dong Lam'!J114+'Khanh Nga'!J114+TDP!J114+DTRVL!J114</f>
        <v>0</v>
      </c>
      <c r="K114" s="64">
        <f>DTR!K114+'Dai Loc'!K114+'Dong Lam'!K114+'Khanh Nga'!K114+TDP!K114+DTRVL!K114</f>
        <v>0</v>
      </c>
      <c r="L114" s="64">
        <f>DTR!L114+'Dai Loc'!L114+'Dong Lam'!L114+'Khanh Nga'!L114+TDP!L114+DTRVL!L114</f>
        <v>0</v>
      </c>
      <c r="M114" s="64">
        <f>DTR!M114+'Dai Loc'!M114+'Dong Lam'!M114+'Khanh Nga'!M114+TDP!M114+DTRVL!M114</f>
        <v>0</v>
      </c>
      <c r="N114" s="64">
        <f>DTR!N114+'Dai Loc'!N114+'Dong Lam'!N114+'Khanh Nga'!N114+TDP!N114+DTRVL!N114</f>
        <v>0</v>
      </c>
      <c r="O114" s="64">
        <f>DTR!O114+'Dai Loc'!O114+'Dong Lam'!O114+'Khanh Nga'!O114+TDP!O114+DTRVL!O114</f>
        <v>0</v>
      </c>
      <c r="P114" s="64">
        <f>DTR!P114+'Dai Loc'!P114+'Dong Lam'!P114+'Khanh Nga'!P114+TDP!P114+DTRVL!P114</f>
        <v>0</v>
      </c>
      <c r="Q114" s="64">
        <f>DTR!Q114+'Dai Loc'!Q114+'Dong Lam'!Q114+'Khanh Nga'!Q114+TDP!Q114+DTRVL!Q114</f>
        <v>0</v>
      </c>
      <c r="R114" s="64">
        <f>DTR!R114+'Dai Loc'!R114+'Dong Lam'!R114+'Khanh Nga'!R114+TDP!R114+DTRVL!R114</f>
        <v>0</v>
      </c>
      <c r="S114" s="64">
        <f>DTR!S114+'Dai Loc'!S114+'Dong Lam'!S114+'Khanh Nga'!S114+TDP!S114+DTRVL!S114</f>
        <v>0</v>
      </c>
      <c r="T114" s="64">
        <f>DTR!T114+'Dai Loc'!T114+'Dong Lam'!T114+'Khanh Nga'!T114+TDP!T114+DTRVL!T114</f>
        <v>0</v>
      </c>
      <c r="U114" s="64">
        <f>DTR!U114+'Dai Loc'!U114+'Dong Lam'!U114+'Khanh Nga'!U114+TDP!U114+DTRVL!U114</f>
        <v>0</v>
      </c>
      <c r="V114" s="64">
        <f>DTR!V114+'Dai Loc'!V114+'Dong Lam'!V114+'Khanh Nga'!V114+TDP!V114+DTRVL!V114</f>
        <v>0</v>
      </c>
      <c r="W114" s="64">
        <f>DTR!W114+'Dai Loc'!W114+'Dong Lam'!W114+'Khanh Nga'!W114+TDP!W114+DTRVL!W114</f>
        <v>0</v>
      </c>
      <c r="X114" s="64">
        <f>DTR!X114+'Dai Loc'!X114+'Dong Lam'!X114+'Khanh Nga'!X114+TDP!X114+DTRVL!X114</f>
        <v>0</v>
      </c>
      <c r="Y114" s="64">
        <f>DTR!Y114+'Dai Loc'!Y114+'Dong Lam'!Y114+'Khanh Nga'!Y114+TDP!Y114+DTRVL!Y114</f>
        <v>0</v>
      </c>
      <c r="Z114" s="64">
        <f>DTR!Z114+'Dai Loc'!Z114+'Dong Lam'!Z114+'Khanh Nga'!Z114+TDP!Z114+DTRVL!Z114</f>
        <v>0</v>
      </c>
    </row>
    <row r="115" spans="1:26" ht="15" hidden="1" customHeight="1" outlineLevel="1">
      <c r="A115" s="67" t="s">
        <v>199</v>
      </c>
      <c r="B115" s="63">
        <v>110</v>
      </c>
      <c r="C115" s="64">
        <f>DTR!C115+'Dai Loc'!C115+'Dong Lam'!C115+'Khanh Nga'!C115+TDP!C115+DTRVL!C115</f>
        <v>0</v>
      </c>
      <c r="D115" s="64">
        <f>DTR!D115+'Dai Loc'!D115+'Dong Lam'!D115+'Khanh Nga'!D115+TDP!D115+DTRVL!D115</f>
        <v>0</v>
      </c>
      <c r="E115" s="64">
        <f>DTR!E115+'Dai Loc'!E115+'Dong Lam'!E115+'Khanh Nga'!E115+TDP!E115+DTRVL!E115</f>
        <v>0</v>
      </c>
      <c r="F115" s="64">
        <f>DTR!F115+'Dai Loc'!F115+'Dong Lam'!F115+'Khanh Nga'!F115+TDP!F115+DTRVL!F115</f>
        <v>0</v>
      </c>
      <c r="G115" s="64">
        <f>DTR!G115+'Dai Loc'!G115+'Dong Lam'!G115+'Khanh Nga'!G115+TDP!G115+DTRVL!G115</f>
        <v>0</v>
      </c>
      <c r="H115" s="64">
        <f>DTR!H115+'Dai Loc'!H115+'Dong Lam'!H115+'Khanh Nga'!H115+TDP!H115+DTRVL!H115</f>
        <v>0</v>
      </c>
      <c r="I115" s="64">
        <f>DTR!I115+'Dai Loc'!I115+'Dong Lam'!I115+'Khanh Nga'!I115+TDP!I115+DTRVL!I115</f>
        <v>0</v>
      </c>
      <c r="J115" s="64">
        <f>DTR!J115+'Dai Loc'!J115+'Dong Lam'!J115+'Khanh Nga'!J115+TDP!J115+DTRVL!J115</f>
        <v>0</v>
      </c>
      <c r="K115" s="64">
        <f>DTR!K115+'Dai Loc'!K115+'Dong Lam'!K115+'Khanh Nga'!K115+TDP!K115+DTRVL!K115</f>
        <v>0</v>
      </c>
      <c r="L115" s="64">
        <f>DTR!L115+'Dai Loc'!L115+'Dong Lam'!L115+'Khanh Nga'!L115+TDP!L115+DTRVL!L115</f>
        <v>0</v>
      </c>
      <c r="M115" s="64">
        <f>DTR!M115+'Dai Loc'!M115+'Dong Lam'!M115+'Khanh Nga'!M115+TDP!M115+DTRVL!M115</f>
        <v>0</v>
      </c>
      <c r="N115" s="64">
        <f>DTR!N115+'Dai Loc'!N115+'Dong Lam'!N115+'Khanh Nga'!N115+TDP!N115+DTRVL!N115</f>
        <v>0</v>
      </c>
      <c r="O115" s="64">
        <f>DTR!O115+'Dai Loc'!O115+'Dong Lam'!O115+'Khanh Nga'!O115+TDP!O115+DTRVL!O115</f>
        <v>0</v>
      </c>
      <c r="P115" s="64">
        <f>DTR!P115+'Dai Loc'!P115+'Dong Lam'!P115+'Khanh Nga'!P115+TDP!P115+DTRVL!P115</f>
        <v>0</v>
      </c>
      <c r="Q115" s="64">
        <f>DTR!Q115+'Dai Loc'!Q115+'Dong Lam'!Q115+'Khanh Nga'!Q115+TDP!Q115+DTRVL!Q115</f>
        <v>0</v>
      </c>
      <c r="R115" s="64">
        <f>DTR!R115+'Dai Loc'!R115+'Dong Lam'!R115+'Khanh Nga'!R115+TDP!R115+DTRVL!R115</f>
        <v>0</v>
      </c>
      <c r="S115" s="64">
        <f>DTR!S115+'Dai Loc'!S115+'Dong Lam'!S115+'Khanh Nga'!S115+TDP!S115+DTRVL!S115</f>
        <v>0</v>
      </c>
      <c r="T115" s="64">
        <f>DTR!T115+'Dai Loc'!T115+'Dong Lam'!T115+'Khanh Nga'!T115+TDP!T115+DTRVL!T115</f>
        <v>0</v>
      </c>
      <c r="U115" s="64">
        <f>DTR!U115+'Dai Loc'!U115+'Dong Lam'!U115+'Khanh Nga'!U115+TDP!U115+DTRVL!U115</f>
        <v>0</v>
      </c>
      <c r="V115" s="64">
        <f>DTR!V115+'Dai Loc'!V115+'Dong Lam'!V115+'Khanh Nga'!V115+TDP!V115+DTRVL!V115</f>
        <v>0</v>
      </c>
      <c r="W115" s="64">
        <f>DTR!W115+'Dai Loc'!W115+'Dong Lam'!W115+'Khanh Nga'!W115+TDP!W115+DTRVL!W115</f>
        <v>0</v>
      </c>
      <c r="X115" s="64">
        <f>DTR!X115+'Dai Loc'!X115+'Dong Lam'!X115+'Khanh Nga'!X115+TDP!X115+DTRVL!X115</f>
        <v>0</v>
      </c>
      <c r="Y115" s="64">
        <f>DTR!Y115+'Dai Loc'!Y115+'Dong Lam'!Y115+'Khanh Nga'!Y115+TDP!Y115+DTRVL!Y115</f>
        <v>0</v>
      </c>
      <c r="Z115" s="64">
        <f>DTR!Z115+'Dai Loc'!Z115+'Dong Lam'!Z115+'Khanh Nga'!Z115+TDP!Z115+DTRVL!Z115</f>
        <v>0</v>
      </c>
    </row>
    <row r="116" spans="1:26" ht="15" hidden="1" customHeight="1" outlineLevel="1">
      <c r="A116" s="56" t="s">
        <v>200</v>
      </c>
      <c r="B116" s="71">
        <v>111</v>
      </c>
      <c r="C116" s="58">
        <f>DTR!C116+'Dai Loc'!C116+'Dong Lam'!C116+'Khanh Nga'!C116+TDP!C116+DTRVL!C116</f>
        <v>855851514758</v>
      </c>
      <c r="D116" s="58">
        <f>DTR!D116+'Dai Loc'!D116+'Dong Lam'!D116+'Khanh Nga'!D116+TDP!D116+DTRVL!D116</f>
        <v>849113202906</v>
      </c>
      <c r="E116" s="58">
        <f>DTR!E116+'Dai Loc'!E116+'Dong Lam'!E116+'Khanh Nga'!E116+TDP!E116+DTRVL!E116</f>
        <v>846369881618</v>
      </c>
      <c r="F116" s="58">
        <f>DTR!F116+'Dai Loc'!F116+'Dong Lam'!F116+'Khanh Nga'!F116+TDP!F116+DTRVL!F116</f>
        <v>848038222035</v>
      </c>
      <c r="G116" s="58">
        <f>DTR!G116+'Dai Loc'!G116+'Dong Lam'!G116+'Khanh Nga'!G116+TDP!G116+DTRVL!G116</f>
        <v>842346413861</v>
      </c>
      <c r="H116" s="58">
        <f>DTR!H116+'Dai Loc'!H116+'Dong Lam'!H116+'Khanh Nga'!H116+TDP!H116+DTRVL!H116</f>
        <v>830203765216</v>
      </c>
      <c r="I116" s="58">
        <f>DTR!I116+'Dai Loc'!I116+'Dong Lam'!I116+'Khanh Nga'!I116+TDP!I116+DTRVL!I116</f>
        <v>815009488882</v>
      </c>
      <c r="J116" s="58">
        <f>DTR!J116+'Dai Loc'!J116+'Dong Lam'!J116+'Khanh Nga'!J116+TDP!J116+DTRVL!J116</f>
        <v>804963168023</v>
      </c>
      <c r="K116" s="58">
        <f>DTR!K116+'Dai Loc'!K116+'Dong Lam'!K116+'Khanh Nga'!K116+TDP!K116+DTRVL!K116</f>
        <v>813080811621</v>
      </c>
      <c r="L116" s="58">
        <f>DTR!L116+'Dai Loc'!L116+'Dong Lam'!L116+'Khanh Nga'!L116+TDP!L116+DTRVL!L116</f>
        <v>806735064957</v>
      </c>
      <c r="M116" s="58">
        <f>DTR!M116+'Dai Loc'!M116+'Dong Lam'!M116+'Khanh Nga'!M116+TDP!M116+DTRVL!M116</f>
        <v>820682915285</v>
      </c>
      <c r="N116" s="58">
        <f>DTR!N116+'Dai Loc'!N116+'Dong Lam'!N116+'Khanh Nga'!N116+TDP!N116+DTRVL!N116</f>
        <v>910257269259</v>
      </c>
      <c r="O116" s="58">
        <f>DTR!O116+'Dai Loc'!O116+'Dong Lam'!O116+'Khanh Nga'!O116+TDP!O116+DTRVL!O116</f>
        <v>912467880284</v>
      </c>
      <c r="P116" s="58">
        <f>DTR!P116+'Dai Loc'!P116+'Dong Lam'!P116+'Khanh Nga'!P116+TDP!P116+DTRVL!P116</f>
        <v>926528108970</v>
      </c>
      <c r="Q116" s="58">
        <f>DTR!Q116+'Dai Loc'!Q116+'Dong Lam'!Q116+'Khanh Nga'!Q116+TDP!Q116+DTRVL!Q116</f>
        <v>932272368853</v>
      </c>
      <c r="R116" s="58">
        <f>DTR!R116+'Dai Loc'!R116+'Dong Lam'!R116+'Khanh Nga'!R116+TDP!R116+DTRVL!R116</f>
        <v>935531579087</v>
      </c>
      <c r="S116" s="58">
        <f>DTR!S116+'Dai Loc'!S116+'Dong Lam'!S116+'Khanh Nga'!S116+TDP!S116+DTRVL!S116</f>
        <v>944830098216</v>
      </c>
      <c r="T116" s="58">
        <f>DTR!T116+'Dai Loc'!T116+'Dong Lam'!T116+'Khanh Nga'!T116+TDP!T116+DTRVL!T116</f>
        <v>945515599460</v>
      </c>
      <c r="U116" s="58">
        <f>DTR!U116+'Dai Loc'!U116+'Dong Lam'!U116+'Khanh Nga'!U116+TDP!U116+DTRVL!U116</f>
        <v>948759588430</v>
      </c>
      <c r="V116" s="58">
        <f>DTR!V116+'Dai Loc'!V116+'Dong Lam'!V116+'Khanh Nga'!V116+TDP!V116+DTRVL!V116</f>
        <v>951308741612</v>
      </c>
      <c r="W116" s="58">
        <f>DTR!W116+'Dai Loc'!W116+'Dong Lam'!W116+'Khanh Nga'!W116+TDP!W116+DTRVL!W116</f>
        <v>940137853862</v>
      </c>
      <c r="X116" s="58">
        <f>DTR!X116+'Dai Loc'!X116+'Dong Lam'!X116+'Khanh Nga'!X116+TDP!X116+DTRVL!X116</f>
        <v>935238871743</v>
      </c>
      <c r="Y116" s="58">
        <f>DTR!Y116+'Dai Loc'!Y116+'Dong Lam'!Y116+'Khanh Nga'!Y116+TDP!Y116+DTRVL!Y116</f>
        <v>927751817767</v>
      </c>
      <c r="Z116" s="58">
        <f>DTR!Z116+'Dai Loc'!Z116+'Dong Lam'!Z116+'Khanh Nga'!Z116+TDP!Z116+DTRVL!Z116</f>
        <v>947153080211</v>
      </c>
    </row>
    <row r="117" spans="1:26" ht="15" hidden="1" customHeight="1" outlineLevel="1">
      <c r="A117" s="67" t="s">
        <v>201</v>
      </c>
      <c r="B117" s="63">
        <v>112</v>
      </c>
      <c r="C117" s="64">
        <f>DTR!C117+'Dai Loc'!C117+'Dong Lam'!C117+'Khanh Nga'!C117+TDP!C117+DTRVL!C117</f>
        <v>752000000000</v>
      </c>
      <c r="D117" s="64">
        <f>DTR!D117+'Dai Loc'!D117+'Dong Lam'!D117+'Khanh Nga'!D117+TDP!D117+DTRVL!D117</f>
        <v>752000000000</v>
      </c>
      <c r="E117" s="64">
        <f>DTR!E117+'Dai Loc'!E117+'Dong Lam'!E117+'Khanh Nga'!E117+TDP!E117+DTRVL!E117</f>
        <v>752000000000</v>
      </c>
      <c r="F117" s="64">
        <f>DTR!F117+'Dai Loc'!F117+'Dong Lam'!F117+'Khanh Nga'!F117+TDP!F117+DTRVL!F117</f>
        <v>752000000000</v>
      </c>
      <c r="G117" s="64">
        <f>DTR!G117+'Dai Loc'!G117+'Dong Lam'!G117+'Khanh Nga'!G117+TDP!G117+DTRVL!G117</f>
        <v>752000000000</v>
      </c>
      <c r="H117" s="64">
        <f>DTR!H117+'Dai Loc'!H117+'Dong Lam'!H117+'Khanh Nga'!H117+TDP!H117+DTRVL!H117</f>
        <v>752000000000</v>
      </c>
      <c r="I117" s="64">
        <f>DTR!I117+'Dai Loc'!I117+'Dong Lam'!I117+'Khanh Nga'!I117+TDP!I117+DTRVL!I117</f>
        <v>752000000000</v>
      </c>
      <c r="J117" s="64">
        <f>DTR!J117+'Dai Loc'!J117+'Dong Lam'!J117+'Khanh Nga'!J117+TDP!J117+DTRVL!J117</f>
        <v>752000000000</v>
      </c>
      <c r="K117" s="64">
        <f>DTR!K117+'Dai Loc'!K117+'Dong Lam'!K117+'Khanh Nga'!K117+TDP!K117+DTRVL!K117</f>
        <v>752000000000</v>
      </c>
      <c r="L117" s="64">
        <f>DTR!L117+'Dai Loc'!L117+'Dong Lam'!L117+'Khanh Nga'!L117+TDP!L117+DTRVL!L117</f>
        <v>752000000000</v>
      </c>
      <c r="M117" s="64">
        <f>DTR!M117+'Dai Loc'!M117+'Dong Lam'!M117+'Khanh Nga'!M117+TDP!M117+DTRVL!M117</f>
        <v>772000000000</v>
      </c>
      <c r="N117" s="64">
        <f>DTR!N117+'Dai Loc'!N117+'Dong Lam'!N117+'Khanh Nga'!N117+TDP!N117+DTRVL!N117</f>
        <v>772000000000</v>
      </c>
      <c r="O117" s="64">
        <f>DTR!O117+'Dai Loc'!O117+'Dong Lam'!O117+'Khanh Nga'!O117+TDP!O117+DTRVL!O117</f>
        <v>772000000000</v>
      </c>
      <c r="P117" s="64">
        <f>DTR!P117+'Dai Loc'!P117+'Dong Lam'!P117+'Khanh Nga'!P117+TDP!P117+DTRVL!P117</f>
        <v>772000000000</v>
      </c>
      <c r="Q117" s="64">
        <f>DTR!Q117+'Dai Loc'!Q117+'Dong Lam'!Q117+'Khanh Nga'!Q117+TDP!Q117+DTRVL!Q117</f>
        <v>772000000000</v>
      </c>
      <c r="R117" s="64">
        <f>DTR!R117+'Dai Loc'!R117+'Dong Lam'!R117+'Khanh Nga'!R117+TDP!R117+DTRVL!R117</f>
        <v>772000000000</v>
      </c>
      <c r="S117" s="64">
        <f>DTR!S117+'Dai Loc'!S117+'Dong Lam'!S117+'Khanh Nga'!S117+TDP!S117+DTRVL!S117</f>
        <v>772000000000</v>
      </c>
      <c r="T117" s="64">
        <f>DTR!T117+'Dai Loc'!T117+'Dong Lam'!T117+'Khanh Nga'!T117+TDP!T117+DTRVL!T117</f>
        <v>772000000000</v>
      </c>
      <c r="U117" s="64">
        <f>DTR!U117+'Dai Loc'!U117+'Dong Lam'!U117+'Khanh Nga'!U117+TDP!U117+DTRVL!U117</f>
        <v>772000000000</v>
      </c>
      <c r="V117" s="64">
        <f>DTR!V117+'Dai Loc'!V117+'Dong Lam'!V117+'Khanh Nga'!V117+TDP!V117+DTRVL!V117</f>
        <v>772000000000</v>
      </c>
      <c r="W117" s="64">
        <f>DTR!W117+'Dai Loc'!W117+'Dong Lam'!W117+'Khanh Nga'!W117+TDP!W117+DTRVL!W117</f>
        <v>772000000000</v>
      </c>
      <c r="X117" s="64">
        <f>DTR!X117+'Dai Loc'!X117+'Dong Lam'!X117+'Khanh Nga'!X117+TDP!X117+DTRVL!X117</f>
        <v>772000000000</v>
      </c>
      <c r="Y117" s="64">
        <f>DTR!Y117+'Dai Loc'!Y117+'Dong Lam'!Y117+'Khanh Nga'!Y117+TDP!Y117+DTRVL!Y117</f>
        <v>772500000000</v>
      </c>
      <c r="Z117" s="64">
        <f>DTR!Z117+'Dai Loc'!Z117+'Dong Lam'!Z117+'Khanh Nga'!Z117+TDP!Z117+DTRVL!Z117</f>
        <v>778000000000</v>
      </c>
    </row>
    <row r="118" spans="1:26" ht="15" hidden="1" customHeight="1" outlineLevel="1">
      <c r="A118" s="67" t="s">
        <v>202</v>
      </c>
      <c r="B118" s="63">
        <v>113</v>
      </c>
      <c r="C118" s="85">
        <f>DTR!C118+'Dai Loc'!C118+'Dong Lam'!C118+'Khanh Nga'!C118+TDP!C118+DTRVL!C118</f>
        <v>752000000000</v>
      </c>
      <c r="D118" s="85">
        <f>DTR!D118+'Dai Loc'!D118+'Dong Lam'!D118+'Khanh Nga'!D118+TDP!D118+DTRVL!D118</f>
        <v>752000000000</v>
      </c>
      <c r="E118" s="85">
        <f>DTR!E118+'Dai Loc'!E118+'Dong Lam'!E118+'Khanh Nga'!E118+TDP!E118+DTRVL!E118</f>
        <v>752000000000</v>
      </c>
      <c r="F118" s="85">
        <f>DTR!F118+'Dai Loc'!F118+'Dong Lam'!F118+'Khanh Nga'!F118+TDP!F118+DTRVL!F118</f>
        <v>752000000000</v>
      </c>
      <c r="G118" s="85">
        <f>DTR!G118+'Dai Loc'!G118+'Dong Lam'!G118+'Khanh Nga'!G118+TDP!G118+DTRVL!G118</f>
        <v>752000000000</v>
      </c>
      <c r="H118" s="85">
        <f>DTR!H118+'Dai Loc'!H118+'Dong Lam'!H118+'Khanh Nga'!H118+TDP!H118+DTRVL!H118</f>
        <v>752000000000</v>
      </c>
      <c r="I118" s="85">
        <f>DTR!I118+'Dai Loc'!I118+'Dong Lam'!I118+'Khanh Nga'!I118+TDP!I118+DTRVL!I118</f>
        <v>752000000000</v>
      </c>
      <c r="J118" s="85">
        <f>DTR!J118+'Dai Loc'!J118+'Dong Lam'!J118+'Khanh Nga'!J118+TDP!J118+DTRVL!J118</f>
        <v>752000000000</v>
      </c>
      <c r="K118" s="85">
        <f>DTR!K118+'Dai Loc'!K118+'Dong Lam'!K118+'Khanh Nga'!K118+TDP!K118+DTRVL!K118</f>
        <v>752000000000</v>
      </c>
      <c r="L118" s="85">
        <f>DTR!L118+'Dai Loc'!L118+'Dong Lam'!L118+'Khanh Nga'!L118+TDP!L118+DTRVL!L118</f>
        <v>752000000000</v>
      </c>
      <c r="M118" s="85">
        <f>DTR!M118+'Dai Loc'!M118+'Dong Lam'!M118+'Khanh Nga'!M118+TDP!M118+DTRVL!M118</f>
        <v>772000000000</v>
      </c>
      <c r="N118" s="85">
        <f>DTR!N118+'Dai Loc'!N118+'Dong Lam'!N118+'Khanh Nga'!N118+TDP!N118+DTRVL!N118</f>
        <v>772000000000</v>
      </c>
      <c r="O118" s="85">
        <f>DTR!O118+'Dai Loc'!O118+'Dong Lam'!O118+'Khanh Nga'!O118+TDP!O118+DTRVL!O118</f>
        <v>772000000000</v>
      </c>
      <c r="P118" s="85">
        <f>DTR!P118+'Dai Loc'!P118+'Dong Lam'!P118+'Khanh Nga'!P118+TDP!P118+DTRVL!P118</f>
        <v>772000000000</v>
      </c>
      <c r="Q118" s="85">
        <f>DTR!Q118+'Dai Loc'!Q118+'Dong Lam'!Q118+'Khanh Nga'!Q118+TDP!Q118+DTRVL!Q118</f>
        <v>772000000000</v>
      </c>
      <c r="R118" s="85">
        <f>DTR!R118+'Dai Loc'!R118+'Dong Lam'!R118+'Khanh Nga'!R118+TDP!R118+DTRVL!R118</f>
        <v>772000000000</v>
      </c>
      <c r="S118" s="85">
        <f>DTR!S118+'Dai Loc'!S118+'Dong Lam'!S118+'Khanh Nga'!S118+TDP!S118+DTRVL!S118</f>
        <v>772000000000</v>
      </c>
      <c r="T118" s="85">
        <f>DTR!T118+'Dai Loc'!T118+'Dong Lam'!T118+'Khanh Nga'!T118+TDP!T118+DTRVL!T118</f>
        <v>772000000000</v>
      </c>
      <c r="U118" s="85">
        <f>DTR!U118+'Dai Loc'!U118+'Dong Lam'!U118+'Khanh Nga'!U118+TDP!U118+DTRVL!U118</f>
        <v>772000000000</v>
      </c>
      <c r="V118" s="85">
        <f>DTR!V118+'Dai Loc'!V118+'Dong Lam'!V118+'Khanh Nga'!V118+TDP!V118+DTRVL!V118</f>
        <v>772000000000</v>
      </c>
      <c r="W118" s="85">
        <f>DTR!W118+'Dai Loc'!W118+'Dong Lam'!W118+'Khanh Nga'!W118+TDP!W118+DTRVL!W118</f>
        <v>772000000000</v>
      </c>
      <c r="X118" s="85">
        <f>DTR!X118+'Dai Loc'!X118+'Dong Lam'!X118+'Khanh Nga'!X118+TDP!X118+DTRVL!X118</f>
        <v>772000000000</v>
      </c>
      <c r="Y118" s="85">
        <f>DTR!Y118+'Dai Loc'!Y118+'Dong Lam'!Y118+'Khanh Nga'!Y118+TDP!Y118+DTRVL!Y118</f>
        <v>772500000000</v>
      </c>
      <c r="Z118" s="85">
        <f>DTR!Z118+'Dai Loc'!Z118+'Dong Lam'!Z118+'Khanh Nga'!Z118+TDP!Z118+DTRVL!Z118</f>
        <v>778000000000</v>
      </c>
    </row>
    <row r="119" spans="1:26" ht="15" hidden="1" customHeight="1" outlineLevel="1">
      <c r="A119" s="67" t="s">
        <v>203</v>
      </c>
      <c r="B119" s="63">
        <v>114</v>
      </c>
      <c r="C119" s="64">
        <f>DTR!C119+'Dai Loc'!C119+'Dong Lam'!C119+'Khanh Nga'!C119+TDP!C119+DTRVL!C119</f>
        <v>0</v>
      </c>
      <c r="D119" s="64">
        <f>DTR!D119+'Dai Loc'!D119+'Dong Lam'!D119+'Khanh Nga'!D119+TDP!D119+DTRVL!D119</f>
        <v>0</v>
      </c>
      <c r="E119" s="64">
        <f>DTR!E119+'Dai Loc'!E119+'Dong Lam'!E119+'Khanh Nga'!E119+TDP!E119+DTRVL!E119</f>
        <v>0</v>
      </c>
      <c r="F119" s="64">
        <f>DTR!F119+'Dai Loc'!F119+'Dong Lam'!F119+'Khanh Nga'!F119+TDP!F119+DTRVL!F119</f>
        <v>0</v>
      </c>
      <c r="G119" s="64">
        <f>DTR!G119+'Dai Loc'!G119+'Dong Lam'!G119+'Khanh Nga'!G119+TDP!G119+DTRVL!G119</f>
        <v>0</v>
      </c>
      <c r="H119" s="64">
        <f>DTR!H119+'Dai Loc'!H119+'Dong Lam'!H119+'Khanh Nga'!H119+TDP!H119+DTRVL!H119</f>
        <v>0</v>
      </c>
      <c r="I119" s="64">
        <f>DTR!I119+'Dai Loc'!I119+'Dong Lam'!I119+'Khanh Nga'!I119+TDP!I119+DTRVL!I119</f>
        <v>0</v>
      </c>
      <c r="J119" s="64">
        <f>DTR!J119+'Dai Loc'!J119+'Dong Lam'!J119+'Khanh Nga'!J119+TDP!J119+DTRVL!J119</f>
        <v>0</v>
      </c>
      <c r="K119" s="64">
        <f>DTR!K119+'Dai Loc'!K119+'Dong Lam'!K119+'Khanh Nga'!K119+TDP!K119+DTRVL!K119</f>
        <v>0</v>
      </c>
      <c r="L119" s="64">
        <f>DTR!L119+'Dai Loc'!L119+'Dong Lam'!L119+'Khanh Nga'!L119+TDP!L119+DTRVL!L119</f>
        <v>0</v>
      </c>
      <c r="M119" s="64">
        <f>DTR!M119+'Dai Loc'!M119+'Dong Lam'!M119+'Khanh Nga'!M119+TDP!M119+DTRVL!M119</f>
        <v>0</v>
      </c>
      <c r="N119" s="64">
        <f>DTR!N119+'Dai Loc'!N119+'Dong Lam'!N119+'Khanh Nga'!N119+TDP!N119+DTRVL!N119</f>
        <v>0</v>
      </c>
      <c r="O119" s="64">
        <f>DTR!O119+'Dai Loc'!O119+'Dong Lam'!O119+'Khanh Nga'!O119+TDP!O119+DTRVL!O119</f>
        <v>0</v>
      </c>
      <c r="P119" s="64">
        <f>DTR!P119+'Dai Loc'!P119+'Dong Lam'!P119+'Khanh Nga'!P119+TDP!P119+DTRVL!P119</f>
        <v>0</v>
      </c>
      <c r="Q119" s="64">
        <f>DTR!Q119+'Dai Loc'!Q119+'Dong Lam'!Q119+'Khanh Nga'!Q119+TDP!Q119+DTRVL!Q119</f>
        <v>0</v>
      </c>
      <c r="R119" s="64">
        <f>DTR!R119+'Dai Loc'!R119+'Dong Lam'!R119+'Khanh Nga'!R119+TDP!R119+DTRVL!R119</f>
        <v>0</v>
      </c>
      <c r="S119" s="64">
        <f>DTR!S119+'Dai Loc'!S119+'Dong Lam'!S119+'Khanh Nga'!S119+TDP!S119+DTRVL!S119</f>
        <v>0</v>
      </c>
      <c r="T119" s="64">
        <f>DTR!T119+'Dai Loc'!T119+'Dong Lam'!T119+'Khanh Nga'!T119+TDP!T119+DTRVL!T119</f>
        <v>0</v>
      </c>
      <c r="U119" s="64">
        <f>DTR!U119+'Dai Loc'!U119+'Dong Lam'!U119+'Khanh Nga'!U119+TDP!U119+DTRVL!U119</f>
        <v>0</v>
      </c>
      <c r="V119" s="64">
        <f>DTR!V119+'Dai Loc'!V119+'Dong Lam'!V119+'Khanh Nga'!V119+TDP!V119+DTRVL!V119</f>
        <v>0</v>
      </c>
      <c r="W119" s="64">
        <f>DTR!W119+'Dai Loc'!W119+'Dong Lam'!W119+'Khanh Nga'!W119+TDP!W119+DTRVL!W119</f>
        <v>0</v>
      </c>
      <c r="X119" s="64">
        <f>DTR!X119+'Dai Loc'!X119+'Dong Lam'!X119+'Khanh Nga'!X119+TDP!X119+DTRVL!X119</f>
        <v>0</v>
      </c>
      <c r="Y119" s="64">
        <f>DTR!Y119+'Dai Loc'!Y119+'Dong Lam'!Y119+'Khanh Nga'!Y119+TDP!Y119+DTRVL!Y119</f>
        <v>0</v>
      </c>
      <c r="Z119" s="64">
        <f>DTR!Z119+'Dai Loc'!Z119+'Dong Lam'!Z119+'Khanh Nga'!Z119+TDP!Z119+DTRVL!Z119</f>
        <v>0</v>
      </c>
    </row>
    <row r="120" spans="1:26" ht="15" hidden="1" customHeight="1" outlineLevel="1">
      <c r="A120" s="67" t="s">
        <v>204</v>
      </c>
      <c r="B120" s="63">
        <v>115</v>
      </c>
      <c r="C120" s="64">
        <f>DTR!C120+'Dai Loc'!C120+'Dong Lam'!C120+'Khanh Nga'!C120+TDP!C120+DTRVL!C120</f>
        <v>0</v>
      </c>
      <c r="D120" s="64">
        <f>DTR!D120+'Dai Loc'!D120+'Dong Lam'!D120+'Khanh Nga'!D120+TDP!D120+DTRVL!D120</f>
        <v>0</v>
      </c>
      <c r="E120" s="64">
        <f>DTR!E120+'Dai Loc'!E120+'Dong Lam'!E120+'Khanh Nga'!E120+TDP!E120+DTRVL!E120</f>
        <v>0</v>
      </c>
      <c r="F120" s="64">
        <f>DTR!F120+'Dai Loc'!F120+'Dong Lam'!F120+'Khanh Nga'!F120+TDP!F120+DTRVL!F120</f>
        <v>0</v>
      </c>
      <c r="G120" s="64">
        <f>DTR!G120+'Dai Loc'!G120+'Dong Lam'!G120+'Khanh Nga'!G120+TDP!G120+DTRVL!G120</f>
        <v>0</v>
      </c>
      <c r="H120" s="64">
        <f>DTR!H120+'Dai Loc'!H120+'Dong Lam'!H120+'Khanh Nga'!H120+TDP!H120+DTRVL!H120</f>
        <v>0</v>
      </c>
      <c r="I120" s="64">
        <f>DTR!I120+'Dai Loc'!I120+'Dong Lam'!I120+'Khanh Nga'!I120+TDP!I120+DTRVL!I120</f>
        <v>0</v>
      </c>
      <c r="J120" s="64">
        <f>DTR!J120+'Dai Loc'!J120+'Dong Lam'!J120+'Khanh Nga'!J120+TDP!J120+DTRVL!J120</f>
        <v>0</v>
      </c>
      <c r="K120" s="64">
        <f>DTR!K120+'Dai Loc'!K120+'Dong Lam'!K120+'Khanh Nga'!K120+TDP!K120+DTRVL!K120</f>
        <v>0</v>
      </c>
      <c r="L120" s="64">
        <f>DTR!L120+'Dai Loc'!L120+'Dong Lam'!L120+'Khanh Nga'!L120+TDP!L120+DTRVL!L120</f>
        <v>0</v>
      </c>
      <c r="M120" s="64">
        <f>DTR!M120+'Dai Loc'!M120+'Dong Lam'!M120+'Khanh Nga'!M120+TDP!M120+DTRVL!M120</f>
        <v>0</v>
      </c>
      <c r="N120" s="64">
        <f>DTR!N120+'Dai Loc'!N120+'Dong Lam'!N120+'Khanh Nga'!N120+TDP!N120+DTRVL!N120</f>
        <v>0</v>
      </c>
      <c r="O120" s="64">
        <f>DTR!O120+'Dai Loc'!O120+'Dong Lam'!O120+'Khanh Nga'!O120+TDP!O120+DTRVL!O120</f>
        <v>0</v>
      </c>
      <c r="P120" s="64">
        <f>DTR!P120+'Dai Loc'!P120+'Dong Lam'!P120+'Khanh Nga'!P120+TDP!P120+DTRVL!P120</f>
        <v>0</v>
      </c>
      <c r="Q120" s="64">
        <f>DTR!Q120+'Dai Loc'!Q120+'Dong Lam'!Q120+'Khanh Nga'!Q120+TDP!Q120+DTRVL!Q120</f>
        <v>0</v>
      </c>
      <c r="R120" s="64">
        <f>DTR!R120+'Dai Loc'!R120+'Dong Lam'!R120+'Khanh Nga'!R120+TDP!R120+DTRVL!R120</f>
        <v>0</v>
      </c>
      <c r="S120" s="64">
        <f>DTR!S120+'Dai Loc'!S120+'Dong Lam'!S120+'Khanh Nga'!S120+TDP!S120+DTRVL!S120</f>
        <v>0</v>
      </c>
      <c r="T120" s="64">
        <f>DTR!T120+'Dai Loc'!T120+'Dong Lam'!T120+'Khanh Nga'!T120+TDP!T120+DTRVL!T120</f>
        <v>0</v>
      </c>
      <c r="U120" s="64">
        <f>DTR!U120+'Dai Loc'!U120+'Dong Lam'!U120+'Khanh Nga'!U120+TDP!U120+DTRVL!U120</f>
        <v>0</v>
      </c>
      <c r="V120" s="64">
        <f>DTR!V120+'Dai Loc'!V120+'Dong Lam'!V120+'Khanh Nga'!V120+TDP!V120+DTRVL!V120</f>
        <v>0</v>
      </c>
      <c r="W120" s="64">
        <f>DTR!W120+'Dai Loc'!W120+'Dong Lam'!W120+'Khanh Nga'!W120+TDP!W120+DTRVL!W120</f>
        <v>0</v>
      </c>
      <c r="X120" s="64">
        <f>DTR!X120+'Dai Loc'!X120+'Dong Lam'!X120+'Khanh Nga'!X120+TDP!X120+DTRVL!X120</f>
        <v>0</v>
      </c>
      <c r="Y120" s="64">
        <f>DTR!Y120+'Dai Loc'!Y120+'Dong Lam'!Y120+'Khanh Nga'!Y120+TDP!Y120+DTRVL!Y120</f>
        <v>0</v>
      </c>
      <c r="Z120" s="64">
        <f>DTR!Z120+'Dai Loc'!Z120+'Dong Lam'!Z120+'Khanh Nga'!Z120+TDP!Z120+DTRVL!Z120</f>
        <v>0</v>
      </c>
    </row>
    <row r="121" spans="1:26" ht="15" hidden="1" customHeight="1" outlineLevel="1">
      <c r="A121" s="67" t="s">
        <v>205</v>
      </c>
      <c r="B121" s="63">
        <v>116</v>
      </c>
      <c r="C121" s="64">
        <f>DTR!C121+'Dai Loc'!C121+'Dong Lam'!C121+'Khanh Nga'!C121+TDP!C121+DTRVL!C121</f>
        <v>0</v>
      </c>
      <c r="D121" s="64">
        <f>DTR!D121+'Dai Loc'!D121+'Dong Lam'!D121+'Khanh Nga'!D121+TDP!D121+DTRVL!D121</f>
        <v>0</v>
      </c>
      <c r="E121" s="64">
        <f>DTR!E121+'Dai Loc'!E121+'Dong Lam'!E121+'Khanh Nga'!E121+TDP!E121+DTRVL!E121</f>
        <v>0</v>
      </c>
      <c r="F121" s="64">
        <f>DTR!F121+'Dai Loc'!F121+'Dong Lam'!F121+'Khanh Nga'!F121+TDP!F121+DTRVL!F121</f>
        <v>0</v>
      </c>
      <c r="G121" s="64">
        <f>DTR!G121+'Dai Loc'!G121+'Dong Lam'!G121+'Khanh Nga'!G121+TDP!G121+DTRVL!G121</f>
        <v>0</v>
      </c>
      <c r="H121" s="64">
        <f>DTR!H121+'Dai Loc'!H121+'Dong Lam'!H121+'Khanh Nga'!H121+TDP!H121+DTRVL!H121</f>
        <v>0</v>
      </c>
      <c r="I121" s="64">
        <f>DTR!I121+'Dai Loc'!I121+'Dong Lam'!I121+'Khanh Nga'!I121+TDP!I121+DTRVL!I121</f>
        <v>0</v>
      </c>
      <c r="J121" s="64">
        <f>DTR!J121+'Dai Loc'!J121+'Dong Lam'!J121+'Khanh Nga'!J121+TDP!J121+DTRVL!J121</f>
        <v>0</v>
      </c>
      <c r="K121" s="64">
        <f>DTR!K121+'Dai Loc'!K121+'Dong Lam'!K121+'Khanh Nga'!K121+TDP!K121+DTRVL!K121</f>
        <v>0</v>
      </c>
      <c r="L121" s="64">
        <f>DTR!L121+'Dai Loc'!L121+'Dong Lam'!L121+'Khanh Nga'!L121+TDP!L121+DTRVL!L121</f>
        <v>0</v>
      </c>
      <c r="M121" s="64">
        <f>DTR!M121+'Dai Loc'!M121+'Dong Lam'!M121+'Khanh Nga'!M121+TDP!M121+DTRVL!M121</f>
        <v>0</v>
      </c>
      <c r="N121" s="64">
        <f>DTR!N121+'Dai Loc'!N121+'Dong Lam'!N121+'Khanh Nga'!N121+TDP!N121+DTRVL!N121</f>
        <v>0</v>
      </c>
      <c r="O121" s="64">
        <f>DTR!O121+'Dai Loc'!O121+'Dong Lam'!O121+'Khanh Nga'!O121+TDP!O121+DTRVL!O121</f>
        <v>0</v>
      </c>
      <c r="P121" s="64">
        <f>DTR!P121+'Dai Loc'!P121+'Dong Lam'!P121+'Khanh Nga'!P121+TDP!P121+DTRVL!P121</f>
        <v>0</v>
      </c>
      <c r="Q121" s="64">
        <f>DTR!Q121+'Dai Loc'!Q121+'Dong Lam'!Q121+'Khanh Nga'!Q121+TDP!Q121+DTRVL!Q121</f>
        <v>0</v>
      </c>
      <c r="R121" s="64">
        <f>DTR!R121+'Dai Loc'!R121+'Dong Lam'!R121+'Khanh Nga'!R121+TDP!R121+DTRVL!R121</f>
        <v>0</v>
      </c>
      <c r="S121" s="64">
        <f>DTR!S121+'Dai Loc'!S121+'Dong Lam'!S121+'Khanh Nga'!S121+TDP!S121+DTRVL!S121</f>
        <v>0</v>
      </c>
      <c r="T121" s="64">
        <f>DTR!T121+'Dai Loc'!T121+'Dong Lam'!T121+'Khanh Nga'!T121+TDP!T121+DTRVL!T121</f>
        <v>0</v>
      </c>
      <c r="U121" s="64">
        <f>DTR!U121+'Dai Loc'!U121+'Dong Lam'!U121+'Khanh Nga'!U121+TDP!U121+DTRVL!U121</f>
        <v>0</v>
      </c>
      <c r="V121" s="64">
        <f>DTR!V121+'Dai Loc'!V121+'Dong Lam'!V121+'Khanh Nga'!V121+TDP!V121+DTRVL!V121</f>
        <v>0</v>
      </c>
      <c r="W121" s="64">
        <f>DTR!W121+'Dai Loc'!W121+'Dong Lam'!W121+'Khanh Nga'!W121+TDP!W121+DTRVL!W121</f>
        <v>0</v>
      </c>
      <c r="X121" s="64">
        <f>DTR!X121+'Dai Loc'!X121+'Dong Lam'!X121+'Khanh Nga'!X121+TDP!X121+DTRVL!X121</f>
        <v>0</v>
      </c>
      <c r="Y121" s="64">
        <f>DTR!Y121+'Dai Loc'!Y121+'Dong Lam'!Y121+'Khanh Nga'!Y121+TDP!Y121+DTRVL!Y121</f>
        <v>0</v>
      </c>
      <c r="Z121" s="64">
        <f>DTR!Z121+'Dai Loc'!Z121+'Dong Lam'!Z121+'Khanh Nga'!Z121+TDP!Z121+DTRVL!Z121</f>
        <v>0</v>
      </c>
    </row>
    <row r="122" spans="1:26" ht="15" hidden="1" customHeight="1" outlineLevel="1">
      <c r="A122" s="67" t="s">
        <v>206</v>
      </c>
      <c r="B122" s="63">
        <v>117</v>
      </c>
      <c r="C122" s="64">
        <f>DTR!C122+'Dai Loc'!C122+'Dong Lam'!C122+'Khanh Nga'!C122+TDP!C122+DTRVL!C122</f>
        <v>0</v>
      </c>
      <c r="D122" s="64">
        <f>DTR!D122+'Dai Loc'!D122+'Dong Lam'!D122+'Khanh Nga'!D122+TDP!D122+DTRVL!D122</f>
        <v>0</v>
      </c>
      <c r="E122" s="64">
        <f>DTR!E122+'Dai Loc'!E122+'Dong Lam'!E122+'Khanh Nga'!E122+TDP!E122+DTRVL!E122</f>
        <v>0</v>
      </c>
      <c r="F122" s="64">
        <f>DTR!F122+'Dai Loc'!F122+'Dong Lam'!F122+'Khanh Nga'!F122+TDP!F122+DTRVL!F122</f>
        <v>0</v>
      </c>
      <c r="G122" s="64">
        <f>DTR!G122+'Dai Loc'!G122+'Dong Lam'!G122+'Khanh Nga'!G122+TDP!G122+DTRVL!G122</f>
        <v>0</v>
      </c>
      <c r="H122" s="64">
        <f>DTR!H122+'Dai Loc'!H122+'Dong Lam'!H122+'Khanh Nga'!H122+TDP!H122+DTRVL!H122</f>
        <v>0</v>
      </c>
      <c r="I122" s="64">
        <f>DTR!I122+'Dai Loc'!I122+'Dong Lam'!I122+'Khanh Nga'!I122+TDP!I122+DTRVL!I122</f>
        <v>0</v>
      </c>
      <c r="J122" s="64">
        <f>DTR!J122+'Dai Loc'!J122+'Dong Lam'!J122+'Khanh Nga'!J122+TDP!J122+DTRVL!J122</f>
        <v>0</v>
      </c>
      <c r="K122" s="64">
        <f>DTR!K122+'Dai Loc'!K122+'Dong Lam'!K122+'Khanh Nga'!K122+TDP!K122+DTRVL!K122</f>
        <v>0</v>
      </c>
      <c r="L122" s="64">
        <f>DTR!L122+'Dai Loc'!L122+'Dong Lam'!L122+'Khanh Nga'!L122+TDP!L122+DTRVL!L122</f>
        <v>0</v>
      </c>
      <c r="M122" s="64">
        <f>DTR!M122+'Dai Loc'!M122+'Dong Lam'!M122+'Khanh Nga'!M122+TDP!M122+DTRVL!M122</f>
        <v>0</v>
      </c>
      <c r="N122" s="64">
        <f>DTR!N122+'Dai Loc'!N122+'Dong Lam'!N122+'Khanh Nga'!N122+TDP!N122+DTRVL!N122</f>
        <v>0</v>
      </c>
      <c r="O122" s="64">
        <f>DTR!O122+'Dai Loc'!O122+'Dong Lam'!O122+'Khanh Nga'!O122+TDP!O122+DTRVL!O122</f>
        <v>0</v>
      </c>
      <c r="P122" s="64">
        <f>DTR!P122+'Dai Loc'!P122+'Dong Lam'!P122+'Khanh Nga'!P122+TDP!P122+DTRVL!P122</f>
        <v>0</v>
      </c>
      <c r="Q122" s="64">
        <f>DTR!Q122+'Dai Loc'!Q122+'Dong Lam'!Q122+'Khanh Nga'!Q122+TDP!Q122+DTRVL!Q122</f>
        <v>0</v>
      </c>
      <c r="R122" s="64">
        <f>DTR!R122+'Dai Loc'!R122+'Dong Lam'!R122+'Khanh Nga'!R122+TDP!R122+DTRVL!R122</f>
        <v>0</v>
      </c>
      <c r="S122" s="64">
        <f>DTR!S122+'Dai Loc'!S122+'Dong Lam'!S122+'Khanh Nga'!S122+TDP!S122+DTRVL!S122</f>
        <v>0</v>
      </c>
      <c r="T122" s="64">
        <f>DTR!T122+'Dai Loc'!T122+'Dong Lam'!T122+'Khanh Nga'!T122+TDP!T122+DTRVL!T122</f>
        <v>0</v>
      </c>
      <c r="U122" s="64">
        <f>DTR!U122+'Dai Loc'!U122+'Dong Lam'!U122+'Khanh Nga'!U122+TDP!U122+DTRVL!U122</f>
        <v>0</v>
      </c>
      <c r="V122" s="64">
        <f>DTR!V122+'Dai Loc'!V122+'Dong Lam'!V122+'Khanh Nga'!V122+TDP!V122+DTRVL!V122</f>
        <v>0</v>
      </c>
      <c r="W122" s="64">
        <f>DTR!W122+'Dai Loc'!W122+'Dong Lam'!W122+'Khanh Nga'!W122+TDP!W122+DTRVL!W122</f>
        <v>0</v>
      </c>
      <c r="X122" s="64">
        <f>DTR!X122+'Dai Loc'!X122+'Dong Lam'!X122+'Khanh Nga'!X122+TDP!X122+DTRVL!X122</f>
        <v>0</v>
      </c>
      <c r="Y122" s="64">
        <f>DTR!Y122+'Dai Loc'!Y122+'Dong Lam'!Y122+'Khanh Nga'!Y122+TDP!Y122+DTRVL!Y122</f>
        <v>0</v>
      </c>
      <c r="Z122" s="64">
        <f>DTR!Z122+'Dai Loc'!Z122+'Dong Lam'!Z122+'Khanh Nga'!Z122+TDP!Z122+DTRVL!Z122</f>
        <v>0</v>
      </c>
    </row>
    <row r="123" spans="1:26" ht="15" hidden="1" customHeight="1" outlineLevel="1">
      <c r="A123" s="67" t="s">
        <v>207</v>
      </c>
      <c r="B123" s="63">
        <v>118</v>
      </c>
      <c r="C123" s="64">
        <f>DTR!C123+'Dai Loc'!C123+'Dong Lam'!C123+'Khanh Nga'!C123+TDP!C123+DTRVL!C123</f>
        <v>0</v>
      </c>
      <c r="D123" s="64">
        <f>DTR!D123+'Dai Loc'!D123+'Dong Lam'!D123+'Khanh Nga'!D123+TDP!D123+DTRVL!D123</f>
        <v>0</v>
      </c>
      <c r="E123" s="64">
        <f>DTR!E123+'Dai Loc'!E123+'Dong Lam'!E123+'Khanh Nga'!E123+TDP!E123+DTRVL!E123</f>
        <v>0</v>
      </c>
      <c r="F123" s="64">
        <f>DTR!F123+'Dai Loc'!F123+'Dong Lam'!F123+'Khanh Nga'!F123+TDP!F123+DTRVL!F123</f>
        <v>0</v>
      </c>
      <c r="G123" s="64">
        <f>DTR!G123+'Dai Loc'!G123+'Dong Lam'!G123+'Khanh Nga'!G123+TDP!G123+DTRVL!G123</f>
        <v>0</v>
      </c>
      <c r="H123" s="64">
        <f>DTR!H123+'Dai Loc'!H123+'Dong Lam'!H123+'Khanh Nga'!H123+TDP!H123+DTRVL!H123</f>
        <v>0</v>
      </c>
      <c r="I123" s="64">
        <f>DTR!I123+'Dai Loc'!I123+'Dong Lam'!I123+'Khanh Nga'!I123+TDP!I123+DTRVL!I123</f>
        <v>0</v>
      </c>
      <c r="J123" s="64">
        <f>DTR!J123+'Dai Loc'!J123+'Dong Lam'!J123+'Khanh Nga'!J123+TDP!J123+DTRVL!J123</f>
        <v>0</v>
      </c>
      <c r="K123" s="64">
        <f>DTR!K123+'Dai Loc'!K123+'Dong Lam'!K123+'Khanh Nga'!K123+TDP!K123+DTRVL!K123</f>
        <v>0</v>
      </c>
      <c r="L123" s="64">
        <f>DTR!L123+'Dai Loc'!L123+'Dong Lam'!L123+'Khanh Nga'!L123+TDP!L123+DTRVL!L123</f>
        <v>0</v>
      </c>
      <c r="M123" s="64">
        <f>DTR!M123+'Dai Loc'!M123+'Dong Lam'!M123+'Khanh Nga'!M123+TDP!M123+DTRVL!M123</f>
        <v>0</v>
      </c>
      <c r="N123" s="64">
        <f>DTR!N123+'Dai Loc'!N123+'Dong Lam'!N123+'Khanh Nga'!N123+TDP!N123+DTRVL!N123</f>
        <v>0</v>
      </c>
      <c r="O123" s="64">
        <f>DTR!O123+'Dai Loc'!O123+'Dong Lam'!O123+'Khanh Nga'!O123+TDP!O123+DTRVL!O123</f>
        <v>0</v>
      </c>
      <c r="P123" s="64">
        <f>DTR!P123+'Dai Loc'!P123+'Dong Lam'!P123+'Khanh Nga'!P123+TDP!P123+DTRVL!P123</f>
        <v>0</v>
      </c>
      <c r="Q123" s="64">
        <f>DTR!Q123+'Dai Loc'!Q123+'Dong Lam'!Q123+'Khanh Nga'!Q123+TDP!Q123+DTRVL!Q123</f>
        <v>0</v>
      </c>
      <c r="R123" s="64">
        <f>DTR!R123+'Dai Loc'!R123+'Dong Lam'!R123+'Khanh Nga'!R123+TDP!R123+DTRVL!R123</f>
        <v>0</v>
      </c>
      <c r="S123" s="64">
        <f>DTR!S123+'Dai Loc'!S123+'Dong Lam'!S123+'Khanh Nga'!S123+TDP!S123+DTRVL!S123</f>
        <v>0</v>
      </c>
      <c r="T123" s="64">
        <f>DTR!T123+'Dai Loc'!T123+'Dong Lam'!T123+'Khanh Nga'!T123+TDP!T123+DTRVL!T123</f>
        <v>0</v>
      </c>
      <c r="U123" s="64">
        <f>DTR!U123+'Dai Loc'!U123+'Dong Lam'!U123+'Khanh Nga'!U123+TDP!U123+DTRVL!U123</f>
        <v>0</v>
      </c>
      <c r="V123" s="64">
        <f>DTR!V123+'Dai Loc'!V123+'Dong Lam'!V123+'Khanh Nga'!V123+TDP!V123+DTRVL!V123</f>
        <v>0</v>
      </c>
      <c r="W123" s="64">
        <f>DTR!W123+'Dai Loc'!W123+'Dong Lam'!W123+'Khanh Nga'!W123+TDP!W123+DTRVL!W123</f>
        <v>0</v>
      </c>
      <c r="X123" s="64">
        <f>DTR!X123+'Dai Loc'!X123+'Dong Lam'!X123+'Khanh Nga'!X123+TDP!X123+DTRVL!X123</f>
        <v>0</v>
      </c>
      <c r="Y123" s="64">
        <f>DTR!Y123+'Dai Loc'!Y123+'Dong Lam'!Y123+'Khanh Nga'!Y123+TDP!Y123+DTRVL!Y123</f>
        <v>0</v>
      </c>
      <c r="Z123" s="64">
        <f>DTR!Z123+'Dai Loc'!Z123+'Dong Lam'!Z123+'Khanh Nga'!Z123+TDP!Z123+DTRVL!Z123</f>
        <v>0</v>
      </c>
    </row>
    <row r="124" spans="1:26" ht="15" hidden="1" customHeight="1" outlineLevel="1">
      <c r="A124" s="67" t="s">
        <v>208</v>
      </c>
      <c r="B124" s="63">
        <v>119</v>
      </c>
      <c r="C124" s="64">
        <f>DTR!C124+'Dai Loc'!C124+'Dong Lam'!C124+'Khanh Nga'!C124+TDP!C124+DTRVL!C124</f>
        <v>0</v>
      </c>
      <c r="D124" s="64">
        <f>DTR!D124+'Dai Loc'!D124+'Dong Lam'!D124+'Khanh Nga'!D124+TDP!D124+DTRVL!D124</f>
        <v>0</v>
      </c>
      <c r="E124" s="64">
        <f>DTR!E124+'Dai Loc'!E124+'Dong Lam'!E124+'Khanh Nga'!E124+TDP!E124+DTRVL!E124</f>
        <v>0</v>
      </c>
      <c r="F124" s="64">
        <f>DTR!F124+'Dai Loc'!F124+'Dong Lam'!F124+'Khanh Nga'!F124+TDP!F124+DTRVL!F124</f>
        <v>0</v>
      </c>
      <c r="G124" s="64">
        <f>DTR!G124+'Dai Loc'!G124+'Dong Lam'!G124+'Khanh Nga'!G124+TDP!G124+DTRVL!G124</f>
        <v>0</v>
      </c>
      <c r="H124" s="64">
        <f>DTR!H124+'Dai Loc'!H124+'Dong Lam'!H124+'Khanh Nga'!H124+TDP!H124+DTRVL!H124</f>
        <v>0</v>
      </c>
      <c r="I124" s="64">
        <f>DTR!I124+'Dai Loc'!I124+'Dong Lam'!I124+'Khanh Nga'!I124+TDP!I124+DTRVL!I124</f>
        <v>0</v>
      </c>
      <c r="J124" s="64">
        <f>DTR!J124+'Dai Loc'!J124+'Dong Lam'!J124+'Khanh Nga'!J124+TDP!J124+DTRVL!J124</f>
        <v>0</v>
      </c>
      <c r="K124" s="64">
        <f>DTR!K124+'Dai Loc'!K124+'Dong Lam'!K124+'Khanh Nga'!K124+TDP!K124+DTRVL!K124</f>
        <v>0</v>
      </c>
      <c r="L124" s="64">
        <f>DTR!L124+'Dai Loc'!L124+'Dong Lam'!L124+'Khanh Nga'!L124+TDP!L124+DTRVL!L124</f>
        <v>0</v>
      </c>
      <c r="M124" s="64">
        <f>DTR!M124+'Dai Loc'!M124+'Dong Lam'!M124+'Khanh Nga'!M124+TDP!M124+DTRVL!M124</f>
        <v>0</v>
      </c>
      <c r="N124" s="64">
        <f>DTR!N124+'Dai Loc'!N124+'Dong Lam'!N124+'Khanh Nga'!N124+TDP!N124+DTRVL!N124</f>
        <v>0</v>
      </c>
      <c r="O124" s="64">
        <f>DTR!O124+'Dai Loc'!O124+'Dong Lam'!O124+'Khanh Nga'!O124+TDP!O124+DTRVL!O124</f>
        <v>0</v>
      </c>
      <c r="P124" s="64">
        <f>DTR!P124+'Dai Loc'!P124+'Dong Lam'!P124+'Khanh Nga'!P124+TDP!P124+DTRVL!P124</f>
        <v>0</v>
      </c>
      <c r="Q124" s="64">
        <f>DTR!Q124+'Dai Loc'!Q124+'Dong Lam'!Q124+'Khanh Nga'!Q124+TDP!Q124+DTRVL!Q124</f>
        <v>0</v>
      </c>
      <c r="R124" s="64">
        <f>DTR!R124+'Dai Loc'!R124+'Dong Lam'!R124+'Khanh Nga'!R124+TDP!R124+DTRVL!R124</f>
        <v>0</v>
      </c>
      <c r="S124" s="64">
        <f>DTR!S124+'Dai Loc'!S124+'Dong Lam'!S124+'Khanh Nga'!S124+TDP!S124+DTRVL!S124</f>
        <v>0</v>
      </c>
      <c r="T124" s="64">
        <f>DTR!T124+'Dai Loc'!T124+'Dong Lam'!T124+'Khanh Nga'!T124+TDP!T124+DTRVL!T124</f>
        <v>0</v>
      </c>
      <c r="U124" s="64">
        <f>DTR!U124+'Dai Loc'!U124+'Dong Lam'!U124+'Khanh Nga'!U124+TDP!U124+DTRVL!U124</f>
        <v>0</v>
      </c>
      <c r="V124" s="64">
        <f>DTR!V124+'Dai Loc'!V124+'Dong Lam'!V124+'Khanh Nga'!V124+TDP!V124+DTRVL!V124</f>
        <v>0</v>
      </c>
      <c r="W124" s="64">
        <f>DTR!W124+'Dai Loc'!W124+'Dong Lam'!W124+'Khanh Nga'!W124+TDP!W124+DTRVL!W124</f>
        <v>0</v>
      </c>
      <c r="X124" s="64">
        <f>DTR!X124+'Dai Loc'!X124+'Dong Lam'!X124+'Khanh Nga'!X124+TDP!X124+DTRVL!X124</f>
        <v>0</v>
      </c>
      <c r="Y124" s="64">
        <f>DTR!Y124+'Dai Loc'!Y124+'Dong Lam'!Y124+'Khanh Nga'!Y124+TDP!Y124+DTRVL!Y124</f>
        <v>0</v>
      </c>
      <c r="Z124" s="64">
        <f>DTR!Z124+'Dai Loc'!Z124+'Dong Lam'!Z124+'Khanh Nga'!Z124+TDP!Z124+DTRVL!Z124</f>
        <v>0</v>
      </c>
    </row>
    <row r="125" spans="1:26" ht="15" hidden="1" customHeight="1" outlineLevel="1">
      <c r="A125" s="67" t="s">
        <v>209</v>
      </c>
      <c r="B125" s="63">
        <v>120</v>
      </c>
      <c r="C125" s="64">
        <f>DTR!C125+'Dai Loc'!C125+'Dong Lam'!C125+'Khanh Nga'!C125+TDP!C125+DTRVL!C125</f>
        <v>0</v>
      </c>
      <c r="D125" s="64">
        <f>DTR!D125+'Dai Loc'!D125+'Dong Lam'!D125+'Khanh Nga'!D125+TDP!D125+DTRVL!D125</f>
        <v>0</v>
      </c>
      <c r="E125" s="64">
        <f>DTR!E125+'Dai Loc'!E125+'Dong Lam'!E125+'Khanh Nga'!E125+TDP!E125+DTRVL!E125</f>
        <v>0</v>
      </c>
      <c r="F125" s="64">
        <f>DTR!F125+'Dai Loc'!F125+'Dong Lam'!F125+'Khanh Nga'!F125+TDP!F125+DTRVL!F125</f>
        <v>0</v>
      </c>
      <c r="G125" s="64">
        <f>DTR!G125+'Dai Loc'!G125+'Dong Lam'!G125+'Khanh Nga'!G125+TDP!G125+DTRVL!G125</f>
        <v>0</v>
      </c>
      <c r="H125" s="64">
        <f>DTR!H125+'Dai Loc'!H125+'Dong Lam'!H125+'Khanh Nga'!H125+TDP!H125+DTRVL!H125</f>
        <v>0</v>
      </c>
      <c r="I125" s="64">
        <f>DTR!I125+'Dai Loc'!I125+'Dong Lam'!I125+'Khanh Nga'!I125+TDP!I125+DTRVL!I125</f>
        <v>0</v>
      </c>
      <c r="J125" s="64">
        <f>DTR!J125+'Dai Loc'!J125+'Dong Lam'!J125+'Khanh Nga'!J125+TDP!J125+DTRVL!J125</f>
        <v>0</v>
      </c>
      <c r="K125" s="64">
        <f>DTR!K125+'Dai Loc'!K125+'Dong Lam'!K125+'Khanh Nga'!K125+TDP!K125+DTRVL!K125</f>
        <v>0</v>
      </c>
      <c r="L125" s="64">
        <f>DTR!L125+'Dai Loc'!L125+'Dong Lam'!L125+'Khanh Nga'!L125+TDP!L125+DTRVL!L125</f>
        <v>0</v>
      </c>
      <c r="M125" s="64">
        <f>DTR!M125+'Dai Loc'!M125+'Dong Lam'!M125+'Khanh Nga'!M125+TDP!M125+DTRVL!M125</f>
        <v>0</v>
      </c>
      <c r="N125" s="64">
        <f>DTR!N125+'Dai Loc'!N125+'Dong Lam'!N125+'Khanh Nga'!N125+TDP!N125+DTRVL!N125</f>
        <v>0</v>
      </c>
      <c r="O125" s="64">
        <f>DTR!O125+'Dai Loc'!O125+'Dong Lam'!O125+'Khanh Nga'!O125+TDP!O125+DTRVL!O125</f>
        <v>0</v>
      </c>
      <c r="P125" s="64">
        <f>DTR!P125+'Dai Loc'!P125+'Dong Lam'!P125+'Khanh Nga'!P125+TDP!P125+DTRVL!P125</f>
        <v>0</v>
      </c>
      <c r="Q125" s="64">
        <f>DTR!Q125+'Dai Loc'!Q125+'Dong Lam'!Q125+'Khanh Nga'!Q125+TDP!Q125+DTRVL!Q125</f>
        <v>0</v>
      </c>
      <c r="R125" s="64">
        <f>DTR!R125+'Dai Loc'!R125+'Dong Lam'!R125+'Khanh Nga'!R125+TDP!R125+DTRVL!R125</f>
        <v>0</v>
      </c>
      <c r="S125" s="64">
        <f>DTR!S125+'Dai Loc'!S125+'Dong Lam'!S125+'Khanh Nga'!S125+TDP!S125+DTRVL!S125</f>
        <v>0</v>
      </c>
      <c r="T125" s="64">
        <f>DTR!T125+'Dai Loc'!T125+'Dong Lam'!T125+'Khanh Nga'!T125+TDP!T125+DTRVL!T125</f>
        <v>0</v>
      </c>
      <c r="U125" s="64">
        <f>DTR!U125+'Dai Loc'!U125+'Dong Lam'!U125+'Khanh Nga'!U125+TDP!U125+DTRVL!U125</f>
        <v>0</v>
      </c>
      <c r="V125" s="64">
        <f>DTR!V125+'Dai Loc'!V125+'Dong Lam'!V125+'Khanh Nga'!V125+TDP!V125+DTRVL!V125</f>
        <v>0</v>
      </c>
      <c r="W125" s="64">
        <f>DTR!W125+'Dai Loc'!W125+'Dong Lam'!W125+'Khanh Nga'!W125+TDP!W125+DTRVL!W125</f>
        <v>0</v>
      </c>
      <c r="X125" s="64">
        <f>DTR!X125+'Dai Loc'!X125+'Dong Lam'!X125+'Khanh Nga'!X125+TDP!X125+DTRVL!X125</f>
        <v>0</v>
      </c>
      <c r="Y125" s="64">
        <f>DTR!Y125+'Dai Loc'!Y125+'Dong Lam'!Y125+'Khanh Nga'!Y125+TDP!Y125+DTRVL!Y125</f>
        <v>0</v>
      </c>
      <c r="Z125" s="64">
        <f>DTR!Z125+'Dai Loc'!Z125+'Dong Lam'!Z125+'Khanh Nga'!Z125+TDP!Z125+DTRVL!Z125</f>
        <v>0</v>
      </c>
    </row>
    <row r="126" spans="1:26" ht="15" hidden="1" customHeight="1" outlineLevel="1">
      <c r="A126" s="67" t="s">
        <v>210</v>
      </c>
      <c r="B126" s="63">
        <v>121</v>
      </c>
      <c r="C126" s="64">
        <f>DTR!C126+'Dai Loc'!C126+'Dong Lam'!C126+'Khanh Nga'!C126+TDP!C126+DTRVL!C126</f>
        <v>0</v>
      </c>
      <c r="D126" s="64">
        <f>DTR!D126+'Dai Loc'!D126+'Dong Lam'!D126+'Khanh Nga'!D126+TDP!D126+DTRVL!D126</f>
        <v>0</v>
      </c>
      <c r="E126" s="64">
        <f>DTR!E126+'Dai Loc'!E126+'Dong Lam'!E126+'Khanh Nga'!E126+TDP!E126+DTRVL!E126</f>
        <v>0</v>
      </c>
      <c r="F126" s="64">
        <f>DTR!F126+'Dai Loc'!F126+'Dong Lam'!F126+'Khanh Nga'!F126+TDP!F126+DTRVL!F126</f>
        <v>0</v>
      </c>
      <c r="G126" s="64">
        <f>DTR!G126+'Dai Loc'!G126+'Dong Lam'!G126+'Khanh Nga'!G126+TDP!G126+DTRVL!G126</f>
        <v>0</v>
      </c>
      <c r="H126" s="64">
        <f>DTR!H126+'Dai Loc'!H126+'Dong Lam'!H126+'Khanh Nga'!H126+TDP!H126+DTRVL!H126</f>
        <v>0</v>
      </c>
      <c r="I126" s="64">
        <f>DTR!I126+'Dai Loc'!I126+'Dong Lam'!I126+'Khanh Nga'!I126+TDP!I126+DTRVL!I126</f>
        <v>0</v>
      </c>
      <c r="J126" s="64">
        <f>DTR!J126+'Dai Loc'!J126+'Dong Lam'!J126+'Khanh Nga'!J126+TDP!J126+DTRVL!J126</f>
        <v>0</v>
      </c>
      <c r="K126" s="64">
        <f>DTR!K126+'Dai Loc'!K126+'Dong Lam'!K126+'Khanh Nga'!K126+TDP!K126+DTRVL!K126</f>
        <v>0</v>
      </c>
      <c r="L126" s="64">
        <f>DTR!L126+'Dai Loc'!L126+'Dong Lam'!L126+'Khanh Nga'!L126+TDP!L126+DTRVL!L126</f>
        <v>0</v>
      </c>
      <c r="M126" s="64">
        <f>DTR!M126+'Dai Loc'!M126+'Dong Lam'!M126+'Khanh Nga'!M126+TDP!M126+DTRVL!M126</f>
        <v>0</v>
      </c>
      <c r="N126" s="64">
        <f>DTR!N126+'Dai Loc'!N126+'Dong Lam'!N126+'Khanh Nga'!N126+TDP!N126+DTRVL!N126</f>
        <v>0</v>
      </c>
      <c r="O126" s="64">
        <f>DTR!O126+'Dai Loc'!O126+'Dong Lam'!O126+'Khanh Nga'!O126+TDP!O126+DTRVL!O126</f>
        <v>0</v>
      </c>
      <c r="P126" s="64">
        <f>DTR!P126+'Dai Loc'!P126+'Dong Lam'!P126+'Khanh Nga'!P126+TDP!P126+DTRVL!P126</f>
        <v>0</v>
      </c>
      <c r="Q126" s="64">
        <f>DTR!Q126+'Dai Loc'!Q126+'Dong Lam'!Q126+'Khanh Nga'!Q126+TDP!Q126+DTRVL!Q126</f>
        <v>0</v>
      </c>
      <c r="R126" s="64">
        <f>DTR!R126+'Dai Loc'!R126+'Dong Lam'!R126+'Khanh Nga'!R126+TDP!R126+DTRVL!R126</f>
        <v>0</v>
      </c>
      <c r="S126" s="64">
        <f>DTR!S126+'Dai Loc'!S126+'Dong Lam'!S126+'Khanh Nga'!S126+TDP!S126+DTRVL!S126</f>
        <v>0</v>
      </c>
      <c r="T126" s="64">
        <f>DTR!T126+'Dai Loc'!T126+'Dong Lam'!T126+'Khanh Nga'!T126+TDP!T126+DTRVL!T126</f>
        <v>0</v>
      </c>
      <c r="U126" s="64">
        <f>DTR!U126+'Dai Loc'!U126+'Dong Lam'!U126+'Khanh Nga'!U126+TDP!U126+DTRVL!U126</f>
        <v>0</v>
      </c>
      <c r="V126" s="64">
        <f>DTR!V126+'Dai Loc'!V126+'Dong Lam'!V126+'Khanh Nga'!V126+TDP!V126+DTRVL!V126</f>
        <v>0</v>
      </c>
      <c r="W126" s="64">
        <f>DTR!W126+'Dai Loc'!W126+'Dong Lam'!W126+'Khanh Nga'!W126+TDP!W126+DTRVL!W126</f>
        <v>0</v>
      </c>
      <c r="X126" s="64">
        <f>DTR!X126+'Dai Loc'!X126+'Dong Lam'!X126+'Khanh Nga'!X126+TDP!X126+DTRVL!X126</f>
        <v>0</v>
      </c>
      <c r="Y126" s="64">
        <f>DTR!Y126+'Dai Loc'!Y126+'Dong Lam'!Y126+'Khanh Nga'!Y126+TDP!Y126+DTRVL!Y126</f>
        <v>0</v>
      </c>
      <c r="Z126" s="64">
        <f>DTR!Z126+'Dai Loc'!Z126+'Dong Lam'!Z126+'Khanh Nga'!Z126+TDP!Z126+DTRVL!Z126</f>
        <v>0</v>
      </c>
    </row>
    <row r="127" spans="1:26" ht="15" hidden="1" customHeight="1" outlineLevel="1">
      <c r="A127" s="67" t="s">
        <v>211</v>
      </c>
      <c r="B127" s="63">
        <v>122</v>
      </c>
      <c r="C127" s="64">
        <f>DTR!C127+'Dai Loc'!C127+'Dong Lam'!C127+'Khanh Nga'!C127+TDP!C127+DTRVL!C127</f>
        <v>0</v>
      </c>
      <c r="D127" s="64">
        <f>DTR!D127+'Dai Loc'!D127+'Dong Lam'!D127+'Khanh Nga'!D127+TDP!D127+DTRVL!D127</f>
        <v>0</v>
      </c>
      <c r="E127" s="64">
        <f>DTR!E127+'Dai Loc'!E127+'Dong Lam'!E127+'Khanh Nga'!E127+TDP!E127+DTRVL!E127</f>
        <v>0</v>
      </c>
      <c r="F127" s="64">
        <f>DTR!F127+'Dai Loc'!F127+'Dong Lam'!F127+'Khanh Nga'!F127+TDP!F127+DTRVL!F127</f>
        <v>0</v>
      </c>
      <c r="G127" s="64">
        <f>DTR!G127+'Dai Loc'!G127+'Dong Lam'!G127+'Khanh Nga'!G127+TDP!G127+DTRVL!G127</f>
        <v>0</v>
      </c>
      <c r="H127" s="64">
        <f>DTR!H127+'Dai Loc'!H127+'Dong Lam'!H127+'Khanh Nga'!H127+TDP!H127+DTRVL!H127</f>
        <v>0</v>
      </c>
      <c r="I127" s="64">
        <f>DTR!I127+'Dai Loc'!I127+'Dong Lam'!I127+'Khanh Nga'!I127+TDP!I127+DTRVL!I127</f>
        <v>0</v>
      </c>
      <c r="J127" s="64">
        <f>DTR!J127+'Dai Loc'!J127+'Dong Lam'!J127+'Khanh Nga'!J127+TDP!J127+DTRVL!J127</f>
        <v>0</v>
      </c>
      <c r="K127" s="64">
        <f>DTR!K127+'Dai Loc'!K127+'Dong Lam'!K127+'Khanh Nga'!K127+TDP!K127+DTRVL!K127</f>
        <v>0</v>
      </c>
      <c r="L127" s="64">
        <f>DTR!L127+'Dai Loc'!L127+'Dong Lam'!L127+'Khanh Nga'!L127+TDP!L127+DTRVL!L127</f>
        <v>0</v>
      </c>
      <c r="M127" s="64">
        <f>DTR!M127+'Dai Loc'!M127+'Dong Lam'!M127+'Khanh Nga'!M127+TDP!M127+DTRVL!M127</f>
        <v>0</v>
      </c>
      <c r="N127" s="64">
        <f>DTR!N127+'Dai Loc'!N127+'Dong Lam'!N127+'Khanh Nga'!N127+TDP!N127+DTRVL!N127</f>
        <v>0</v>
      </c>
      <c r="O127" s="64">
        <f>DTR!O127+'Dai Loc'!O127+'Dong Lam'!O127+'Khanh Nga'!O127+TDP!O127+DTRVL!O127</f>
        <v>0</v>
      </c>
      <c r="P127" s="64">
        <f>DTR!P127+'Dai Loc'!P127+'Dong Lam'!P127+'Khanh Nga'!P127+TDP!P127+DTRVL!P127</f>
        <v>0</v>
      </c>
      <c r="Q127" s="64">
        <f>DTR!Q127+'Dai Loc'!Q127+'Dong Lam'!Q127+'Khanh Nga'!Q127+TDP!Q127+DTRVL!Q127</f>
        <v>0</v>
      </c>
      <c r="R127" s="64">
        <f>DTR!R127+'Dai Loc'!R127+'Dong Lam'!R127+'Khanh Nga'!R127+TDP!R127+DTRVL!R127</f>
        <v>0</v>
      </c>
      <c r="S127" s="64">
        <f>DTR!S127+'Dai Loc'!S127+'Dong Lam'!S127+'Khanh Nga'!S127+TDP!S127+DTRVL!S127</f>
        <v>0</v>
      </c>
      <c r="T127" s="64">
        <f>DTR!T127+'Dai Loc'!T127+'Dong Lam'!T127+'Khanh Nga'!T127+TDP!T127+DTRVL!T127</f>
        <v>0</v>
      </c>
      <c r="U127" s="64">
        <f>DTR!U127+'Dai Loc'!U127+'Dong Lam'!U127+'Khanh Nga'!U127+TDP!U127+DTRVL!U127</f>
        <v>0</v>
      </c>
      <c r="V127" s="64">
        <f>DTR!V127+'Dai Loc'!V127+'Dong Lam'!V127+'Khanh Nga'!V127+TDP!V127+DTRVL!V127</f>
        <v>0</v>
      </c>
      <c r="W127" s="64">
        <f>DTR!W127+'Dai Loc'!W127+'Dong Lam'!W127+'Khanh Nga'!W127+TDP!W127+DTRVL!W127</f>
        <v>0</v>
      </c>
      <c r="X127" s="64">
        <f>DTR!X127+'Dai Loc'!X127+'Dong Lam'!X127+'Khanh Nga'!X127+TDP!X127+DTRVL!X127</f>
        <v>0</v>
      </c>
      <c r="Y127" s="64">
        <f>DTR!Y127+'Dai Loc'!Y127+'Dong Lam'!Y127+'Khanh Nga'!Y127+TDP!Y127+DTRVL!Y127</f>
        <v>0</v>
      </c>
      <c r="Z127" s="64">
        <f>DTR!Z127+'Dai Loc'!Z127+'Dong Lam'!Z127+'Khanh Nga'!Z127+TDP!Z127+DTRVL!Z127</f>
        <v>0</v>
      </c>
    </row>
    <row r="128" spans="1:26" ht="15" hidden="1" customHeight="1" outlineLevel="1">
      <c r="A128" s="86" t="s">
        <v>212</v>
      </c>
      <c r="B128" s="87">
        <v>123</v>
      </c>
      <c r="C128" s="88">
        <f>DTR!C128+'Dai Loc'!C128+'Dong Lam'!C128+'Khanh Nga'!C128+TDP!C128+DTRVL!C128</f>
        <v>103851514758</v>
      </c>
      <c r="D128" s="88">
        <f>DTR!D128+'Dai Loc'!D128+'Dong Lam'!D128+'Khanh Nga'!D128+TDP!D128+DTRVL!D128</f>
        <v>97113202906</v>
      </c>
      <c r="E128" s="88">
        <f>DTR!E128+'Dai Loc'!E128+'Dong Lam'!E128+'Khanh Nga'!E128+TDP!E128+DTRVL!E128</f>
        <v>94369881618</v>
      </c>
      <c r="F128" s="88">
        <f>DTR!F128+'Dai Loc'!F128+'Dong Lam'!F128+'Khanh Nga'!F128+TDP!F128+DTRVL!F128</f>
        <v>96038222035</v>
      </c>
      <c r="G128" s="88">
        <f>DTR!G128+'Dai Loc'!G128+'Dong Lam'!G128+'Khanh Nga'!G128+TDP!G128+DTRVL!G128</f>
        <v>90346413861</v>
      </c>
      <c r="H128" s="88">
        <f>DTR!H128+'Dai Loc'!H128+'Dong Lam'!H128+'Khanh Nga'!H128+TDP!H128+DTRVL!H128</f>
        <v>78203765216</v>
      </c>
      <c r="I128" s="88">
        <f>DTR!I128+'Dai Loc'!I128+'Dong Lam'!I128+'Khanh Nga'!I128+TDP!I128+DTRVL!I128</f>
        <v>63009488882</v>
      </c>
      <c r="J128" s="88">
        <f>DTR!J128+'Dai Loc'!J128+'Dong Lam'!J128+'Khanh Nga'!J128+TDP!J128+DTRVL!J128</f>
        <v>52963168023</v>
      </c>
      <c r="K128" s="88">
        <f>DTR!K128+'Dai Loc'!K128+'Dong Lam'!K128+'Khanh Nga'!K128+TDP!K128+DTRVL!K128</f>
        <v>61080811621</v>
      </c>
      <c r="L128" s="88">
        <f>DTR!L128+'Dai Loc'!L128+'Dong Lam'!L128+'Khanh Nga'!L128+TDP!L128+DTRVL!L128</f>
        <v>54735064957</v>
      </c>
      <c r="M128" s="88">
        <f>DTR!M128+'Dai Loc'!M128+'Dong Lam'!M128+'Khanh Nga'!M128+TDP!M128+DTRVL!M128</f>
        <v>48682915285</v>
      </c>
      <c r="N128" s="88">
        <f>DTR!N128+'Dai Loc'!N128+'Dong Lam'!N128+'Khanh Nga'!N128+TDP!N128+DTRVL!N128</f>
        <v>138257269259</v>
      </c>
      <c r="O128" s="88">
        <f>DTR!O128+'Dai Loc'!O128+'Dong Lam'!O128+'Khanh Nga'!O128+TDP!O128+DTRVL!O128</f>
        <v>140467880284</v>
      </c>
      <c r="P128" s="88">
        <f>DTR!P128+'Dai Loc'!P128+'Dong Lam'!P128+'Khanh Nga'!P128+TDP!P128+DTRVL!P128</f>
        <v>154528108970</v>
      </c>
      <c r="Q128" s="88">
        <f>DTR!Q128+'Dai Loc'!Q128+'Dong Lam'!Q128+'Khanh Nga'!Q128+TDP!Q128+DTRVL!Q128</f>
        <v>160272368853</v>
      </c>
      <c r="R128" s="88">
        <f>DTR!R128+'Dai Loc'!R128+'Dong Lam'!R128+'Khanh Nga'!R128+TDP!R128+DTRVL!R128</f>
        <v>163531579087</v>
      </c>
      <c r="S128" s="88">
        <f>DTR!S128+'Dai Loc'!S128+'Dong Lam'!S128+'Khanh Nga'!S128+TDP!S128+DTRVL!S128</f>
        <v>172830098216</v>
      </c>
      <c r="T128" s="88">
        <f>DTR!T128+'Dai Loc'!T128+'Dong Lam'!T128+'Khanh Nga'!T128+TDP!T128+DTRVL!T128</f>
        <v>173515599460</v>
      </c>
      <c r="U128" s="88">
        <f>DTR!U128+'Dai Loc'!U128+'Dong Lam'!U128+'Khanh Nga'!U128+TDP!U128+DTRVL!U128</f>
        <v>176759588430</v>
      </c>
      <c r="V128" s="88">
        <f>DTR!V128+'Dai Loc'!V128+'Dong Lam'!V128+'Khanh Nga'!V128+TDP!V128+DTRVL!V128</f>
        <v>179308741612</v>
      </c>
      <c r="W128" s="88">
        <f>DTR!W128+'Dai Loc'!W128+'Dong Lam'!W128+'Khanh Nga'!W128+TDP!W128+DTRVL!W128</f>
        <v>168137853862</v>
      </c>
      <c r="X128" s="88">
        <f>DTR!X128+'Dai Loc'!X128+'Dong Lam'!X128+'Khanh Nga'!X128+TDP!X128+DTRVL!X128</f>
        <v>163238871743</v>
      </c>
      <c r="Y128" s="88">
        <f>DTR!Y128+'Dai Loc'!Y128+'Dong Lam'!Y128+'Khanh Nga'!Y128+TDP!Y128+DTRVL!Y128</f>
        <v>155251817767</v>
      </c>
      <c r="Z128" s="88">
        <f>DTR!Z128+'Dai Loc'!Z128+'Dong Lam'!Z128+'Khanh Nga'!Z128+TDP!Z128+DTRVL!Z128</f>
        <v>169153080211</v>
      </c>
    </row>
    <row r="129" spans="1:52" ht="15" hidden="1" customHeight="1" outlineLevel="1">
      <c r="A129" s="89" t="s">
        <v>213</v>
      </c>
      <c r="B129" s="63">
        <v>124</v>
      </c>
      <c r="C129" s="90">
        <f>DTR!C129+'Dai Loc'!C129+'Dong Lam'!C129+'Khanh Nga'!C129+TDP!C129+DTRVL!C129</f>
        <v>106616032141</v>
      </c>
      <c r="D129" s="90">
        <f>DTR!D129+'Dai Loc'!D129+'Dong Lam'!D129+'Khanh Nga'!D129+TDP!D129+DTRVL!D129</f>
        <v>106089690091</v>
      </c>
      <c r="E129" s="90">
        <f>DTR!E129+'Dai Loc'!E129+'Dong Lam'!E129+'Khanh Nga'!E129+TDP!E129+DTRVL!E129</f>
        <v>99638196434</v>
      </c>
      <c r="F129" s="90">
        <f>DTR!F129+'Dai Loc'!F129+'Dong Lam'!F129+'Khanh Nga'!F129+TDP!F129+DTRVL!F129</f>
        <v>96598905145</v>
      </c>
      <c r="G129" s="90">
        <f>DTR!G129+'Dai Loc'!G129+'Dong Lam'!G129+'Khanh Nga'!G129+TDP!G129+DTRVL!G129</f>
        <v>98504096257</v>
      </c>
      <c r="H129" s="90">
        <f>DTR!H129+'Dai Loc'!H129+'Dong Lam'!H129+'Khanh Nga'!H129+TDP!H129+DTRVL!H129</f>
        <v>93134079207</v>
      </c>
      <c r="I129" s="90">
        <f>DTR!I129+'Dai Loc'!I129+'Dong Lam'!I129+'Khanh Nga'!I129+TDP!I129+DTRVL!I129</f>
        <v>81298575935</v>
      </c>
      <c r="J129" s="90">
        <f>DTR!J129+'Dai Loc'!J129+'Dong Lam'!J129+'Khanh Nga'!J129+TDP!J129+DTRVL!J129</f>
        <v>66817200404</v>
      </c>
      <c r="K129" s="90">
        <f>DTR!K129+'Dai Loc'!K129+'Dong Lam'!K129+'Khanh Nga'!K129+TDP!K129+DTRVL!K129</f>
        <v>57599901812</v>
      </c>
      <c r="L129" s="90">
        <f>DTR!L129+'Dai Loc'!L129+'Dong Lam'!L129+'Khanh Nga'!L129+TDP!L129+DTRVL!L129</f>
        <v>66581916057</v>
      </c>
      <c r="M129" s="90">
        <f>DTR!M129+'Dai Loc'!M129+'Dong Lam'!M129+'Khanh Nga'!M129+TDP!M129+DTRVL!M129</f>
        <v>60563420421</v>
      </c>
      <c r="N129" s="90">
        <f>DTR!N129+'Dai Loc'!N129+'Dong Lam'!N129+'Khanh Nga'!N129+TDP!N129+DTRVL!N129</f>
        <v>55535997499</v>
      </c>
      <c r="O129" s="90">
        <f>DTR!O129+'Dai Loc'!O129+'Dong Lam'!O129+'Khanh Nga'!O129+TDP!O129+DTRVL!O129</f>
        <v>142558702144</v>
      </c>
      <c r="P129" s="90">
        <f>DTR!P129+'Dai Loc'!P129+'Dong Lam'!P129+'Khanh Nga'!P129+TDP!P129+DTRVL!P129</f>
        <v>145924600789</v>
      </c>
      <c r="Q129" s="90">
        <f>DTR!Q129+'Dai Loc'!Q129+'Dong Lam'!Q129+'Khanh Nga'!Q129+TDP!Q129+DTRVL!Q129</f>
        <v>160700894674</v>
      </c>
      <c r="R129" s="90">
        <f>DTR!R129+'Dai Loc'!R129+'Dong Lam'!R129+'Khanh Nga'!R129+TDP!R129+DTRVL!R129</f>
        <v>166616265749</v>
      </c>
      <c r="S129" s="90">
        <f>DTR!S129+'Dai Loc'!S129+'Dong Lam'!S129+'Khanh Nga'!S129+TDP!S129+DTRVL!S129</f>
        <v>168873385137</v>
      </c>
      <c r="T129" s="90">
        <f>DTR!T129+'Dai Loc'!T129+'Dong Lam'!T129+'Khanh Nga'!T129+TDP!T129+DTRVL!T129</f>
        <v>177982427692</v>
      </c>
      <c r="U129" s="90">
        <f>DTR!U129+'Dai Loc'!U129+'Dong Lam'!U129+'Khanh Nga'!U129+TDP!U129+DTRVL!U129</f>
        <v>177413798605</v>
      </c>
      <c r="V129" s="90">
        <f>DTR!V129+'Dai Loc'!V129+'Dong Lam'!V129+'Khanh Nga'!V129+TDP!V129+DTRVL!V129</f>
        <v>178365810867</v>
      </c>
      <c r="W129" s="90">
        <f>DTR!W129+'Dai Loc'!W129+'Dong Lam'!W129+'Khanh Nga'!W129+TDP!W129+DTRVL!W129</f>
        <v>178204527946</v>
      </c>
      <c r="X129" s="90">
        <f>DTR!X129+'Dai Loc'!X129+'Dong Lam'!X129+'Khanh Nga'!X129+TDP!X129+DTRVL!X129</f>
        <v>166721637257</v>
      </c>
      <c r="Y129" s="90">
        <f>DTR!Y129+'Dai Loc'!Y129+'Dong Lam'!Y129+'Khanh Nga'!Y129+TDP!Y129+DTRVL!Y129</f>
        <v>161219500626</v>
      </c>
      <c r="Z129" s="90">
        <f>DTR!Z129+'Dai Loc'!Z129+'Dong Lam'!Z129+'Khanh Nga'!Z129+TDP!Z129+DTRVL!Z129</f>
        <v>152746001405</v>
      </c>
    </row>
    <row r="130" spans="1:52" ht="15" hidden="1" customHeight="1" outlineLevel="1">
      <c r="A130" s="89" t="s">
        <v>214</v>
      </c>
      <c r="B130" s="63">
        <v>125</v>
      </c>
      <c r="C130" s="90">
        <f>DTR!C130+'Dai Loc'!C130+'Dong Lam'!C130+'Khanh Nga'!C130+TDP!C130+DTRVL!C130</f>
        <v>-2764517383</v>
      </c>
      <c r="D130" s="90">
        <f>DTR!D130+'Dai Loc'!D130+'Dong Lam'!D130+'Khanh Nga'!D130+TDP!D130+DTRVL!D130</f>
        <v>-8976487185</v>
      </c>
      <c r="E130" s="90">
        <f>DTR!E130+'Dai Loc'!E130+'Dong Lam'!E130+'Khanh Nga'!E130+TDP!E130+DTRVL!E130</f>
        <v>-5268314816</v>
      </c>
      <c r="F130" s="90">
        <f>DTR!F130+'Dai Loc'!F130+'Dong Lam'!F130+'Khanh Nga'!F130+TDP!F130+DTRVL!F130</f>
        <v>-560683110</v>
      </c>
      <c r="G130" s="90">
        <f>DTR!G130+'Dai Loc'!G130+'Dong Lam'!G130+'Khanh Nga'!G130+TDP!G130+DTRVL!G130</f>
        <v>-8157682396</v>
      </c>
      <c r="H130" s="90">
        <f>DTR!H130+'Dai Loc'!H130+'Dong Lam'!H130+'Khanh Nga'!H130+TDP!H130+DTRVL!H130</f>
        <v>-14930313991</v>
      </c>
      <c r="I130" s="90">
        <f>DTR!I130+'Dai Loc'!I130+'Dong Lam'!I130+'Khanh Nga'!I130+TDP!I130+DTRVL!I130</f>
        <v>-18289087053</v>
      </c>
      <c r="J130" s="90">
        <f>DTR!J130+'Dai Loc'!J130+'Dong Lam'!J130+'Khanh Nga'!J130+TDP!J130+DTRVL!J130</f>
        <v>-13854032381</v>
      </c>
      <c r="K130" s="90">
        <f>DTR!K130+'Dai Loc'!K130+'Dong Lam'!K130+'Khanh Nga'!K130+TDP!K130+DTRVL!K130</f>
        <v>3480909809</v>
      </c>
      <c r="L130" s="90">
        <f>DTR!L130+'Dai Loc'!L130+'Dong Lam'!L130+'Khanh Nga'!L130+TDP!L130+DTRVL!L130</f>
        <v>-11846851100</v>
      </c>
      <c r="M130" s="90">
        <f>DTR!M130+'Dai Loc'!M130+'Dong Lam'!M130+'Khanh Nga'!M130+TDP!M130+DTRVL!M130</f>
        <v>-11880505136</v>
      </c>
      <c r="N130" s="90">
        <f>DTR!N130+'Dai Loc'!N130+'Dong Lam'!N130+'Khanh Nga'!N130+TDP!N130+DTRVL!N130</f>
        <v>82721271760</v>
      </c>
      <c r="O130" s="90">
        <f>DTR!O130+'Dai Loc'!O130+'Dong Lam'!O130+'Khanh Nga'!O130+TDP!O130+DTRVL!O130</f>
        <v>-2090821860</v>
      </c>
      <c r="P130" s="90">
        <f>DTR!P130+'Dai Loc'!P130+'Dong Lam'!P130+'Khanh Nga'!P130+TDP!P130+DTRVL!P130</f>
        <v>8603508181</v>
      </c>
      <c r="Q130" s="90">
        <f>DTR!Q130+'Dai Loc'!Q130+'Dong Lam'!Q130+'Khanh Nga'!Q130+TDP!Q130+DTRVL!Q130</f>
        <v>-428525821</v>
      </c>
      <c r="R130" s="90">
        <f>DTR!R130+'Dai Loc'!R130+'Dong Lam'!R130+'Khanh Nga'!R130+TDP!R130+DTRVL!R130</f>
        <v>-3084686662</v>
      </c>
      <c r="S130" s="90">
        <f>DTR!S130+'Dai Loc'!S130+'Dong Lam'!S130+'Khanh Nga'!S130+TDP!S130+DTRVL!S130</f>
        <v>3956713079</v>
      </c>
      <c r="T130" s="90">
        <f>DTR!T130+'Dai Loc'!T130+'Dong Lam'!T130+'Khanh Nga'!T130+TDP!T130+DTRVL!T130</f>
        <v>-4466828232</v>
      </c>
      <c r="U130" s="90">
        <f>DTR!U130+'Dai Loc'!U130+'Dong Lam'!U130+'Khanh Nga'!U130+TDP!U130+DTRVL!U130</f>
        <v>-654210175</v>
      </c>
      <c r="V130" s="90">
        <f>DTR!V130+'Dai Loc'!V130+'Dong Lam'!V130+'Khanh Nga'!V130+TDP!V130+DTRVL!V130</f>
        <v>942930745</v>
      </c>
      <c r="W130" s="90">
        <f>DTR!W130+'Dai Loc'!W130+'Dong Lam'!W130+'Khanh Nga'!W130+TDP!W130+DTRVL!W130</f>
        <v>-10066674084</v>
      </c>
      <c r="X130" s="90">
        <f>DTR!X130+'Dai Loc'!X130+'Dong Lam'!X130+'Khanh Nga'!X130+TDP!X130+DTRVL!X130</f>
        <v>-3482765514</v>
      </c>
      <c r="Y130" s="90">
        <f>DTR!Y130+'Dai Loc'!Y130+'Dong Lam'!Y130+'Khanh Nga'!Y130+TDP!Y130+DTRVL!Y130</f>
        <v>-5967682859</v>
      </c>
      <c r="Z130" s="90">
        <f>DTR!Z130+'Dai Loc'!Z130+'Dong Lam'!Z130+'Khanh Nga'!Z130+TDP!Z130+DTRVL!Z130</f>
        <v>16407078806</v>
      </c>
    </row>
    <row r="131" spans="1:52" s="83" customFormat="1" ht="15" hidden="1" customHeight="1" outlineLevel="1">
      <c r="A131" s="91" t="s">
        <v>215</v>
      </c>
      <c r="B131" s="92">
        <v>126</v>
      </c>
      <c r="C131" s="93">
        <f>DTR!C131+'Dai Loc'!C131+'Dong Lam'!C131+'Khanh Nga'!C131+TDP!C131+DTRVL!C131</f>
        <v>1175130402352</v>
      </c>
      <c r="D131" s="93">
        <f>DTR!D131+'Dai Loc'!D131+'Dong Lam'!D131+'Khanh Nga'!D131+TDP!D131+DTRVL!D131</f>
        <v>1156870558457</v>
      </c>
      <c r="E131" s="93">
        <f>DTR!E131+'Dai Loc'!E131+'Dong Lam'!E131+'Khanh Nga'!E131+TDP!E131+DTRVL!E131</f>
        <v>1193502357108.8601</v>
      </c>
      <c r="F131" s="93">
        <f>DTR!F131+'Dai Loc'!F131+'Dong Lam'!F131+'Khanh Nga'!F131+TDP!F131+DTRVL!F131</f>
        <v>1254540608128.8821</v>
      </c>
      <c r="G131" s="93">
        <f>DTR!G131+'Dai Loc'!G131+'Dong Lam'!G131+'Khanh Nga'!G131+TDP!G131+DTRVL!G131</f>
        <v>1298938884161</v>
      </c>
      <c r="H131" s="93">
        <f>DTR!H131+'Dai Loc'!H131+'Dong Lam'!H131+'Khanh Nga'!H131+TDP!H131+DTRVL!H131</f>
        <v>1325603983311</v>
      </c>
      <c r="I131" s="93">
        <f>DTR!I131+'Dai Loc'!I131+'Dong Lam'!I131+'Khanh Nga'!I131+TDP!I131+DTRVL!I131</f>
        <v>1267478798902</v>
      </c>
      <c r="J131" s="93">
        <f>DTR!J131+'Dai Loc'!J131+'Dong Lam'!J131+'Khanh Nga'!J131+TDP!J131+DTRVL!J131</f>
        <v>1218289415966</v>
      </c>
      <c r="K131" s="93">
        <f>DTR!K131+'Dai Loc'!K131+'Dong Lam'!K131+'Khanh Nga'!K131+TDP!K131+DTRVL!K131</f>
        <v>1260492317013</v>
      </c>
      <c r="L131" s="93">
        <f>DTR!L131+'Dai Loc'!L131+'Dong Lam'!L131+'Khanh Nga'!L131+TDP!L131+DTRVL!L131</f>
        <v>1282720707132</v>
      </c>
      <c r="M131" s="93">
        <f>DTR!M131+'Dai Loc'!M131+'Dong Lam'!M131+'Khanh Nga'!M131+TDP!M131+DTRVL!M131</f>
        <v>1380932210078</v>
      </c>
      <c r="N131" s="93">
        <f>DTR!N131+'Dai Loc'!N131+'Dong Lam'!N131+'Khanh Nga'!N131+TDP!N131+DTRVL!N131</f>
        <v>1365896363032.4819</v>
      </c>
      <c r="O131" s="93">
        <f>DTR!O131+'Dai Loc'!O131+'Dong Lam'!O131+'Khanh Nga'!O131+TDP!O131+DTRVL!O131</f>
        <v>1295128436391</v>
      </c>
      <c r="P131" s="93">
        <f>DTR!P131+'Dai Loc'!P131+'Dong Lam'!P131+'Khanh Nga'!P131+TDP!P131+DTRVL!P131</f>
        <v>1212647140725</v>
      </c>
      <c r="Q131" s="93">
        <f>DTR!Q131+'Dai Loc'!Q131+'Dong Lam'!Q131+'Khanh Nga'!Q131+TDP!Q131+DTRVL!Q131</f>
        <v>1263651409161.4819</v>
      </c>
      <c r="R131" s="93">
        <f>DTR!R131+'Dai Loc'!R131+'Dong Lam'!R131+'Khanh Nga'!R131+TDP!R131+DTRVL!R131</f>
        <v>1334319050191</v>
      </c>
      <c r="S131" s="93">
        <f>DTR!S131+'Dai Loc'!S131+'Dong Lam'!S131+'Khanh Nga'!S131+TDP!S131+DTRVL!S131</f>
        <v>1392624937485</v>
      </c>
      <c r="T131" s="93">
        <f>DTR!T131+'Dai Loc'!T131+'Dong Lam'!T131+'Khanh Nga'!T131+TDP!T131+DTRVL!T131</f>
        <v>1424787259761.4819</v>
      </c>
      <c r="U131" s="93">
        <f>DTR!U131+'Dai Loc'!U131+'Dong Lam'!U131+'Khanh Nga'!U131+TDP!U131+DTRVL!U131</f>
        <v>1421607895854.4822</v>
      </c>
      <c r="V131" s="93">
        <f>DTR!V131+'Dai Loc'!V131+'Dong Lam'!V131+'Khanh Nga'!V131+TDP!V131+DTRVL!V131</f>
        <v>1487370113298.4822</v>
      </c>
      <c r="W131" s="93">
        <f>DTR!W131+'Dai Loc'!W131+'Dong Lam'!W131+'Khanh Nga'!W131+TDP!W131+DTRVL!W131</f>
        <v>1470025647761.4819</v>
      </c>
      <c r="X131" s="93">
        <f>DTR!X131+'Dai Loc'!X131+'Dong Lam'!X131+'Khanh Nga'!X131+TDP!X131+DTRVL!X131</f>
        <v>1421774599273.4819</v>
      </c>
      <c r="Y131" s="93">
        <f>DTR!Y131+'Dai Loc'!Y131+'Dong Lam'!Y131+'Khanh Nga'!Y131+TDP!Y131+DTRVL!Y131</f>
        <v>1396601412908.4819</v>
      </c>
      <c r="Z131" s="93">
        <f>DTR!Z131+'Dai Loc'!Z131+'Dong Lam'!Z131+'Khanh Nga'!Z131+TDP!Z131+DTRVL!Z131</f>
        <v>1399120322090</v>
      </c>
      <c r="AB131" s="84"/>
    </row>
    <row r="132" spans="1:52" ht="15" customHeight="1">
      <c r="A132" s="94"/>
      <c r="B132" s="95"/>
      <c r="C132" s="96">
        <f t="shared" ref="C132:Z132" si="2">C131-C83</f>
        <v>0</v>
      </c>
      <c r="D132" s="96">
        <f t="shared" si="2"/>
        <v>0</v>
      </c>
      <c r="E132" s="96">
        <f t="shared" si="2"/>
        <v>0</v>
      </c>
      <c r="F132" s="96">
        <f t="shared" si="2"/>
        <v>0</v>
      </c>
      <c r="G132" s="96">
        <f t="shared" si="2"/>
        <v>0</v>
      </c>
      <c r="H132" s="96">
        <f t="shared" si="2"/>
        <v>0</v>
      </c>
      <c r="I132" s="96">
        <f t="shared" si="2"/>
        <v>0</v>
      </c>
      <c r="J132" s="96">
        <f t="shared" si="2"/>
        <v>0</v>
      </c>
      <c r="K132" s="96">
        <f t="shared" si="2"/>
        <v>0</v>
      </c>
      <c r="L132" s="96">
        <f t="shared" si="2"/>
        <v>0</v>
      </c>
      <c r="M132" s="96">
        <f t="shared" si="2"/>
        <v>0</v>
      </c>
      <c r="N132" s="96">
        <f t="shared" si="2"/>
        <v>0</v>
      </c>
      <c r="O132" s="96">
        <f t="shared" si="2"/>
        <v>0</v>
      </c>
      <c r="P132" s="96">
        <f t="shared" si="2"/>
        <v>0</v>
      </c>
      <c r="Q132" s="96">
        <f t="shared" si="2"/>
        <v>0</v>
      </c>
      <c r="R132" s="96">
        <f t="shared" si="2"/>
        <v>0</v>
      </c>
      <c r="S132" s="96">
        <f t="shared" si="2"/>
        <v>0</v>
      </c>
      <c r="T132" s="96">
        <f t="shared" si="2"/>
        <v>0</v>
      </c>
      <c r="U132" s="96">
        <f t="shared" si="2"/>
        <v>0</v>
      </c>
      <c r="V132" s="96">
        <f t="shared" si="2"/>
        <v>0</v>
      </c>
      <c r="W132" s="96">
        <f t="shared" si="2"/>
        <v>0</v>
      </c>
      <c r="X132" s="96">
        <f t="shared" si="2"/>
        <v>0</v>
      </c>
      <c r="Y132" s="96">
        <f t="shared" si="2"/>
        <v>0</v>
      </c>
      <c r="Z132" s="96">
        <f t="shared" si="2"/>
        <v>0</v>
      </c>
      <c r="AA132" s="97"/>
      <c r="AB132" s="98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tr">
        <f t="shared" ref="C133:Z133" si="3">C5</f>
        <v>T01.2024</v>
      </c>
      <c r="D133" s="101" t="str">
        <f t="shared" si="3"/>
        <v>T02.2024</v>
      </c>
      <c r="E133" s="101" t="str">
        <f t="shared" si="3"/>
        <v>T03.2024</v>
      </c>
      <c r="F133" s="101" t="str">
        <f t="shared" si="3"/>
        <v>T04.2024</v>
      </c>
      <c r="G133" s="101" t="str">
        <f t="shared" si="3"/>
        <v>T05.2024</v>
      </c>
      <c r="H133" s="101" t="str">
        <f t="shared" si="3"/>
        <v>T06.2024</v>
      </c>
      <c r="I133" s="101" t="str">
        <f t="shared" si="3"/>
        <v>T07.2024</v>
      </c>
      <c r="J133" s="101" t="str">
        <f t="shared" si="3"/>
        <v>T08.2024</v>
      </c>
      <c r="K133" s="101" t="str">
        <f t="shared" si="3"/>
        <v>T09.2024</v>
      </c>
      <c r="L133" s="101" t="str">
        <f t="shared" si="3"/>
        <v>T10.2024</v>
      </c>
      <c r="M133" s="101" t="str">
        <f t="shared" si="3"/>
        <v>T11.2024</v>
      </c>
      <c r="N133" s="101" t="str">
        <f t="shared" si="3"/>
        <v>T12.2024</v>
      </c>
      <c r="O133" s="101" t="str">
        <f t="shared" si="3"/>
        <v>T01.2025</v>
      </c>
      <c r="P133" s="101" t="str">
        <f t="shared" si="3"/>
        <v>T02.2025</v>
      </c>
      <c r="Q133" s="101" t="str">
        <f t="shared" si="3"/>
        <v>T03.2025</v>
      </c>
      <c r="R133" s="101" t="str">
        <f t="shared" si="3"/>
        <v>T04.2025</v>
      </c>
      <c r="S133" s="101" t="str">
        <f t="shared" si="3"/>
        <v>T05.2025</v>
      </c>
      <c r="T133" s="101" t="str">
        <f t="shared" si="3"/>
        <v>T06.2025</v>
      </c>
      <c r="U133" s="101" t="str">
        <f t="shared" si="3"/>
        <v>T07.2025</v>
      </c>
      <c r="V133" s="101" t="str">
        <f t="shared" si="3"/>
        <v>T08.2025</v>
      </c>
      <c r="W133" s="101" t="str">
        <f t="shared" si="3"/>
        <v>T09.2025</v>
      </c>
      <c r="X133" s="101" t="str">
        <f t="shared" si="3"/>
        <v>T10.2025</v>
      </c>
      <c r="Y133" s="101" t="str">
        <f t="shared" si="3"/>
        <v>T11.2025</v>
      </c>
      <c r="Z133" s="101" t="str">
        <f t="shared" si="3"/>
        <v>T12.2025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103" t="s">
        <v>218</v>
      </c>
    </row>
    <row r="134" spans="1:52" s="107" customFormat="1" ht="15" customHeight="1">
      <c r="A134" s="104" t="s">
        <v>219</v>
      </c>
      <c r="B134" s="105">
        <v>1</v>
      </c>
      <c r="C134" s="106">
        <f>DTR!C134+'Dai Loc'!C134+'Dong Lam'!C134+'Khanh Nga'!C134+TDP!C134+DTRVL!C134</f>
        <v>5108.3249999999998</v>
      </c>
      <c r="D134" s="106">
        <f>DTR!D134+'Dai Loc'!D134+'Dong Lam'!D134+'Khanh Nga'!D134+TDP!D134+DTRVL!D134</f>
        <v>3038.375</v>
      </c>
      <c r="E134" s="106">
        <f>DTR!E134+'Dai Loc'!E134+'Dong Lam'!E134+'Khanh Nga'!E134+TDP!E134+DTRVL!E134</f>
        <v>4394.3999999999996</v>
      </c>
      <c r="F134" s="106">
        <f>DTR!F134+'Dai Loc'!F134+'Dong Lam'!F134+'Khanh Nga'!F134+TDP!F134+DTRVL!F134</f>
        <v>4434.75</v>
      </c>
      <c r="G134" s="106">
        <f>DTR!G134+'Dai Loc'!G134+'Dong Lam'!G134+'Khanh Nga'!G134+TDP!G134+DTRVL!G134</f>
        <v>4827.2020000000002</v>
      </c>
      <c r="H134" s="106">
        <f>DTR!H134+'Dai Loc'!H134+'Dong Lam'!H134+'Khanh Nga'!H134+TDP!H134+DTRVL!H134</f>
        <v>3532.75</v>
      </c>
      <c r="I134" s="106">
        <f>DTR!I134+'Dai Loc'!I134+'Dong Lam'!I134+'Khanh Nga'!I134+TDP!I134+DTRVL!I134</f>
        <v>2953.134</v>
      </c>
      <c r="J134" s="106">
        <f>DTR!J134+'Dai Loc'!J134+'Dong Lam'!J134+'Khanh Nga'!J134+TDP!J134+DTRVL!J134</f>
        <v>5764.9472000000005</v>
      </c>
      <c r="K134" s="106">
        <f>DTR!K134+'Dai Loc'!K134+'Dong Lam'!K134+'Khanh Nga'!K134+TDP!K134+DTRVL!K134</f>
        <v>5789.67</v>
      </c>
      <c r="L134" s="106">
        <f>DTR!L134+'Dai Loc'!L134+'Dong Lam'!L134+'Khanh Nga'!L134+TDP!L134+DTRVL!L134</f>
        <v>4984.4519999999993</v>
      </c>
      <c r="M134" s="106">
        <f>DTR!M134+'Dai Loc'!M134+'Dong Lam'!M134+'Khanh Nga'!M134+TDP!M134+DTRVL!M134</f>
        <v>3194.5280000000002</v>
      </c>
      <c r="N134" s="106">
        <f>DTR!N134+'Dai Loc'!N134+'Dong Lam'!N134+'Khanh Nga'!N134+TDP!N134+DTRVL!N134</f>
        <v>3774.598</v>
      </c>
      <c r="O134" s="106">
        <f>DTR!O134+'Dai Loc'!O134+'Dong Lam'!O134+'Khanh Nga'!O134+TDP!O134+DTRVL!O134</f>
        <v>4258.8942999999999</v>
      </c>
      <c r="P134" s="106">
        <f>DTR!P134+'Dai Loc'!P134+'Dong Lam'!P134+'Khanh Nga'!P134+TDP!P134+DTRVL!P134</f>
        <v>6515.8540000000003</v>
      </c>
      <c r="Q134" s="106">
        <f>DTR!Q134+'Dai Loc'!Q134+'Dong Lam'!Q134+'Khanh Nga'!Q134+TDP!Q134+DTRVL!Q134</f>
        <v>6300.7350000000006</v>
      </c>
      <c r="R134" s="106">
        <f>DTR!R134+'Dai Loc'!R134+'Dong Lam'!R134+'Khanh Nga'!R134+TDP!R134+DTRVL!R134</f>
        <v>5577.3580000000002</v>
      </c>
      <c r="S134" s="106">
        <f>DTR!S134+'Dai Loc'!S134+'Dong Lam'!S134+'Khanh Nga'!S134+TDP!S134+DTRVL!S134</f>
        <v>6392.2473</v>
      </c>
      <c r="T134" s="106">
        <f>DTR!T134+'Dai Loc'!T134+'Dong Lam'!T134+'Khanh Nga'!T134+TDP!T134+DTRVL!T134</f>
        <v>5760.2290000000012</v>
      </c>
      <c r="U134" s="106">
        <f>DTR!U134+'Dai Loc'!U134+'Dong Lam'!U134+'Khanh Nga'!U134+TDP!U134+DTRVL!U134</f>
        <v>7068.0580999999993</v>
      </c>
      <c r="V134" s="106">
        <f>DTR!V134+'Dai Loc'!V134+'Dong Lam'!V134+'Khanh Nga'!V134+TDP!V134+DTRVL!V134</f>
        <v>7721.48</v>
      </c>
      <c r="W134" s="106">
        <f>DTR!W134+'Dai Loc'!W134+'Dong Lam'!W134+'Khanh Nga'!W134+TDP!W134+DTRVL!W134</f>
        <v>4903.9949999999999</v>
      </c>
      <c r="X134" s="106">
        <f>DTR!X134+'Dai Loc'!X134+'Dong Lam'!X134+'Khanh Nga'!X134+TDP!X134+DTRVL!X134</f>
        <v>5219.4869999999992</v>
      </c>
      <c r="Y134" s="106">
        <f>DTR!Y134+'Dai Loc'!Y134+'Dong Lam'!Y134+'Khanh Nga'!Y134+TDP!Y134+DTRVL!Y134</f>
        <v>3877.415</v>
      </c>
      <c r="Z134" s="106">
        <f>DTR!Z134+'Dai Loc'!Z134+'Dong Lam'!Z134+'Khanh Nga'!Z134+TDP!Z134+DTRVL!Z134</f>
        <v>4601</v>
      </c>
      <c r="AA134" s="106">
        <f>DTR!AA134</f>
        <v>4318.222932676138</v>
      </c>
      <c r="AB134" s="106">
        <f>DTR!AB134</f>
        <v>4253.3145678240326</v>
      </c>
      <c r="AC134" s="106">
        <f>DTR!AC134</f>
        <v>4678.557403475741</v>
      </c>
      <c r="AD134" s="106">
        <f>DTR!AD134</f>
        <v>4394.231518676721</v>
      </c>
      <c r="AE134" s="106">
        <f>DTR!AE134</f>
        <v>4663.4364391825347</v>
      </c>
      <c r="AF134" s="106">
        <f>DTR!AF134</f>
        <v>4691.9521822275938</v>
      </c>
      <c r="AG134" s="106">
        <f>DTR!AG134</f>
        <v>4689.422516973269</v>
      </c>
      <c r="AH134" s="106">
        <f>DTR!AH134</f>
        <v>4562.8494989087394</v>
      </c>
      <c r="AI134" s="106">
        <f>DTR!AI134</f>
        <v>4774.6231018888848</v>
      </c>
      <c r="AJ134" s="106">
        <f>DTR!AJ134</f>
        <v>4468.6262974285746</v>
      </c>
      <c r="AK134" s="106">
        <f>DTR!AK134</f>
        <v>4720.2431243544625</v>
      </c>
      <c r="AL134" s="106">
        <f>DTR!AL134</f>
        <v>4784.5204185700313</v>
      </c>
      <c r="AM134" s="106">
        <f t="shared" ref="AM134:AM153" si="4">SUM(AA134:AL134)</f>
        <v>55000.000002186731</v>
      </c>
    </row>
    <row r="135" spans="1:52" s="112" customFormat="1" ht="15" customHeight="1">
      <c r="A135" s="108" t="s">
        <v>220</v>
      </c>
      <c r="B135" s="109">
        <v>2</v>
      </c>
      <c r="C135" s="110">
        <f>DTR!C135+'Dai Loc'!C135+'Dong Lam'!C135+'Khanh Nga'!C135+TDP!C135+DTRVL!C135</f>
        <v>130037940981</v>
      </c>
      <c r="D135" s="110">
        <f>DTR!D135+'Dai Loc'!D135+'Dong Lam'!D135+'Khanh Nga'!D135+TDP!D135+DTRVL!D135</f>
        <v>84645791256</v>
      </c>
      <c r="E135" s="110">
        <f>DTR!E135+'Dai Loc'!E135+'Dong Lam'!E135+'Khanh Nga'!E135+TDP!E135+DTRVL!E135</f>
        <v>115625416433</v>
      </c>
      <c r="F135" s="110">
        <f>DTR!F135+'Dai Loc'!F135+'Dong Lam'!F135+'Khanh Nga'!F135+TDP!F135+DTRVL!F135</f>
        <v>117647266094</v>
      </c>
      <c r="G135" s="110">
        <f>DTR!G135+'Dai Loc'!G135+'Dong Lam'!G135+'Khanh Nga'!G135+TDP!G135+DTRVL!G135</f>
        <v>128085507494</v>
      </c>
      <c r="H135" s="110">
        <f>DTR!H135+'Dai Loc'!H135+'Dong Lam'!H135+'Khanh Nga'!H135+TDP!H135+DTRVL!H135</f>
        <v>95661572209</v>
      </c>
      <c r="I135" s="110">
        <f>DTR!I135+'Dai Loc'!I135+'Dong Lam'!I135+'Khanh Nga'!I135+TDP!I135+DTRVL!I135</f>
        <v>74679662458</v>
      </c>
      <c r="J135" s="110">
        <f>DTR!J135+'Dai Loc'!J135+'Dong Lam'!J135+'Khanh Nga'!J135+TDP!J135+DTRVL!J135</f>
        <v>178936926222</v>
      </c>
      <c r="K135" s="110">
        <f>DTR!K135+'Dai Loc'!K135+'Dong Lam'!K135+'Khanh Nga'!K135+TDP!K135+DTRVL!K135</f>
        <v>180140886766</v>
      </c>
      <c r="L135" s="110">
        <f>DTR!L135+'Dai Loc'!L135+'Dong Lam'!L135+'Khanh Nga'!L135+TDP!L135+DTRVL!L135</f>
        <v>143211413018</v>
      </c>
      <c r="M135" s="110">
        <f>DTR!M135+'Dai Loc'!M135+'Dong Lam'!M135+'Khanh Nga'!M135+TDP!M135+DTRVL!M135</f>
        <v>97197472020</v>
      </c>
      <c r="N135" s="110">
        <f>DTR!N135+'Dai Loc'!N135+'Dong Lam'!N135+'Khanh Nga'!N135+TDP!N135+DTRVL!N135</f>
        <v>128687104846</v>
      </c>
      <c r="O135" s="110">
        <f>DTR!O135+'Dai Loc'!O135+'Dong Lam'!O135+'Khanh Nga'!O135+TDP!O135+DTRVL!O135</f>
        <v>126379322139</v>
      </c>
      <c r="P135" s="110">
        <f>DTR!P135+'Dai Loc'!P135+'Dong Lam'!P135+'Khanh Nga'!P135+TDP!P135+DTRVL!P135</f>
        <v>207207177534</v>
      </c>
      <c r="Q135" s="110">
        <f>DTR!Q135+'Dai Loc'!Q135+'Dong Lam'!Q135+'Khanh Nga'!Q135+TDP!Q135+DTRVL!Q135</f>
        <v>181430837221</v>
      </c>
      <c r="R135" s="110">
        <f>DTR!R135+'Dai Loc'!R135+'Dong Lam'!R135+'Khanh Nga'!R135+TDP!R135+DTRVL!R135</f>
        <v>158008365446</v>
      </c>
      <c r="S135" s="110">
        <f>DTR!S135+'Dai Loc'!S135+'Dong Lam'!S135+'Khanh Nga'!S135+TDP!S135+DTRVL!S135</f>
        <v>187024821170</v>
      </c>
      <c r="T135" s="110">
        <f>DTR!T135+'Dai Loc'!T135+'Dong Lam'!T135+'Khanh Nga'!T135+TDP!T135+DTRVL!T135</f>
        <v>159411514790</v>
      </c>
      <c r="U135" s="110">
        <f>DTR!U135+'Dai Loc'!U135+'Dong Lam'!U135+'Khanh Nga'!U135+TDP!U135+DTRVL!U135</f>
        <v>186280242939</v>
      </c>
      <c r="V135" s="110">
        <f>DTR!V135+'Dai Loc'!V135+'Dong Lam'!V135+'Khanh Nga'!V135+TDP!V135+DTRVL!V135</f>
        <v>216574896958</v>
      </c>
      <c r="W135" s="110">
        <f>DTR!W135+'Dai Loc'!W135+'Dong Lam'!W135+'Khanh Nga'!W135+TDP!W135+DTRVL!W135</f>
        <v>126838741253</v>
      </c>
      <c r="X135" s="110">
        <f>DTR!X135+'Dai Loc'!X135+'Dong Lam'!X135+'Khanh Nga'!X135+TDP!X135+DTRVL!X135</f>
        <v>138182161108</v>
      </c>
      <c r="Y135" s="110">
        <f>DTR!Y135+'Dai Loc'!Y135+'Dong Lam'!Y135+'Khanh Nga'!Y135+TDP!Y135+DTRVL!Y135</f>
        <v>109718867086</v>
      </c>
      <c r="Z135" s="110">
        <f>DTR!Z135+'Dai Loc'!Z135+'Dong Lam'!Z135+'Khanh Nga'!Z135+TDP!Z135+DTRVL!Z135</f>
        <v>127334240251</v>
      </c>
      <c r="AA135" s="110">
        <f>AA137</f>
        <v>129505341136.85681</v>
      </c>
      <c r="AB135" s="110">
        <f t="shared" ref="AB135:AL135" si="5">AB137</f>
        <v>127974441177.86676</v>
      </c>
      <c r="AC135" s="110">
        <f t="shared" si="5"/>
        <v>141599491827.82724</v>
      </c>
      <c r="AD135" s="110">
        <f t="shared" si="5"/>
        <v>131782266518.60181</v>
      </c>
      <c r="AE135" s="110">
        <f t="shared" si="5"/>
        <v>140244307484.73703</v>
      </c>
      <c r="AF135" s="110">
        <f t="shared" si="5"/>
        <v>141409300219.24362</v>
      </c>
      <c r="AG135" s="110">
        <f t="shared" si="5"/>
        <v>145404057387.95999</v>
      </c>
      <c r="AH135" s="110">
        <f t="shared" si="5"/>
        <v>141276361518.14462</v>
      </c>
      <c r="AI135" s="110">
        <f t="shared" si="5"/>
        <v>148196499542.28259</v>
      </c>
      <c r="AJ135" s="110">
        <f t="shared" si="5"/>
        <v>137984481243.16364</v>
      </c>
      <c r="AK135" s="110">
        <f t="shared" si="5"/>
        <v>145929060338.82693</v>
      </c>
      <c r="AL135" s="110">
        <f t="shared" si="5"/>
        <v>147442013746.17145</v>
      </c>
      <c r="AM135" s="111">
        <f t="shared" si="4"/>
        <v>1678747622141.6824</v>
      </c>
    </row>
    <row r="136" spans="1:52" s="107" customFormat="1" ht="15" customHeight="1">
      <c r="A136" s="113" t="s">
        <v>221</v>
      </c>
      <c r="B136" s="114">
        <v>3</v>
      </c>
      <c r="C136" s="115">
        <f>DTR!C136+'Dai Loc'!C136+'Dong Lam'!C136+'Khanh Nga'!C136+TDP!C136+DTRVL!C136</f>
        <v>0</v>
      </c>
      <c r="D136" s="115">
        <f>DTR!D136+'Dai Loc'!D136+'Dong Lam'!D136+'Khanh Nga'!D136+TDP!D136+DTRVL!D136</f>
        <v>1166125000</v>
      </c>
      <c r="E136" s="115">
        <f>DTR!E136+'Dai Loc'!E136+'Dong Lam'!E136+'Khanh Nga'!E136+TDP!E136+DTRVL!E136</f>
        <v>0</v>
      </c>
      <c r="F136" s="115">
        <f>DTR!F136+'Dai Loc'!F136+'Dong Lam'!F136+'Khanh Nga'!F136+TDP!F136+DTRVL!F136</f>
        <v>0</v>
      </c>
      <c r="G136" s="115">
        <f>DTR!G136+'Dai Loc'!G136+'Dong Lam'!G136+'Khanh Nga'!G136+TDP!G136+DTRVL!G136</f>
        <v>136455000</v>
      </c>
      <c r="H136" s="115">
        <f>DTR!H136+'Dai Loc'!H136+'Dong Lam'!H136+'Khanh Nga'!H136+TDP!H136+DTRVL!H136</f>
        <v>0</v>
      </c>
      <c r="I136" s="115">
        <f>DTR!I136+'Dai Loc'!I136+'Dong Lam'!I136+'Khanh Nga'!I136+TDP!I136+DTRVL!I136</f>
        <v>0</v>
      </c>
      <c r="J136" s="115">
        <f>DTR!J136+'Dai Loc'!J136+'Dong Lam'!J136+'Khanh Nga'!J136+TDP!J136+DTRVL!J136</f>
        <v>6345077301</v>
      </c>
      <c r="K136" s="115">
        <f>DTR!K136+'Dai Loc'!K136+'Dong Lam'!K136+'Khanh Nga'!K136+TDP!K136+DTRVL!K136</f>
        <v>4671587529</v>
      </c>
      <c r="L136" s="115">
        <f>DTR!L136+'Dai Loc'!L136+'Dong Lam'!L136+'Khanh Nga'!L136+TDP!L136+DTRVL!L136</f>
        <v>2922205276</v>
      </c>
      <c r="M136" s="115">
        <f>DTR!M136+'Dai Loc'!M136+'Dong Lam'!M136+'Khanh Nga'!M136+TDP!M136+DTRVL!M136</f>
        <v>49359030</v>
      </c>
      <c r="N136" s="115">
        <f>DTR!N136+'Dai Loc'!N136+'Dong Lam'!N136+'Khanh Nga'!N136+TDP!N136+DTRVL!N136</f>
        <v>4680420540</v>
      </c>
      <c r="O136" s="115">
        <f>DTR!O136+'Dai Loc'!O136+'Dong Lam'!O136+'Khanh Nga'!O136+TDP!O136+DTRVL!O136</f>
        <v>513935495</v>
      </c>
      <c r="P136" s="115">
        <f>DTR!P136+'Dai Loc'!P136+'Dong Lam'!P136+'Khanh Nga'!P136+TDP!P136+DTRVL!P136</f>
        <v>477877176</v>
      </c>
      <c r="Q136" s="115">
        <f>DTR!Q136+'Dai Loc'!Q136+'Dong Lam'!Q136+'Khanh Nga'!Q136+TDP!Q136+DTRVL!Q136</f>
        <v>477350452</v>
      </c>
      <c r="R136" s="115">
        <f>DTR!R136+'Dai Loc'!R136+'Dong Lam'!R136+'Khanh Nga'!R136+TDP!R136+DTRVL!R136</f>
        <v>304590498</v>
      </c>
      <c r="S136" s="115">
        <f>DTR!S136+'Dai Loc'!S136+'Dong Lam'!S136+'Khanh Nga'!S136+TDP!S136+DTRVL!S136</f>
        <v>1607115262</v>
      </c>
      <c r="T136" s="115">
        <f>DTR!T136+'Dai Loc'!T136+'Dong Lam'!T136+'Khanh Nga'!T136+TDP!T136+DTRVL!T136</f>
        <v>708638196</v>
      </c>
      <c r="U136" s="115">
        <f>DTR!U136+'Dai Loc'!U136+'Dong Lam'!U136+'Khanh Nga'!U136+TDP!U136+DTRVL!U136</f>
        <v>26953743</v>
      </c>
      <c r="V136" s="115">
        <f>DTR!V136+'Dai Loc'!V136+'Dong Lam'!V136+'Khanh Nga'!V136+TDP!V136+DTRVL!V136</f>
        <v>1000293545</v>
      </c>
      <c r="W136" s="115">
        <f>DTR!W136+'Dai Loc'!W136+'Dong Lam'!W136+'Khanh Nga'!W136+TDP!W136+DTRVL!W136</f>
        <v>6773818500</v>
      </c>
      <c r="X136" s="115">
        <f>DTR!X136+'Dai Loc'!X136+'Dong Lam'!X136+'Khanh Nga'!X136+TDP!X136+DTRVL!X136</f>
        <v>0</v>
      </c>
      <c r="Y136" s="115">
        <f>DTR!Y136+'Dai Loc'!Y136+'Dong Lam'!Y136+'Khanh Nga'!Y136+TDP!Y136+DTRVL!Y136</f>
        <v>1479093000</v>
      </c>
      <c r="Z136" s="115">
        <f>DTR!Z136+'Dai Loc'!Z136+'Dong Lam'!Z136+'Khanh Nga'!Z136+TDP!Z136+DTRVL!Z136</f>
        <v>-573868680</v>
      </c>
      <c r="AA136" s="115">
        <f>'Hop cong'!AA136</f>
        <v>0</v>
      </c>
      <c r="AB136" s="115">
        <f>'Hop cong'!AB136</f>
        <v>0</v>
      </c>
      <c r="AC136" s="115">
        <f>'Hop cong'!AC136</f>
        <v>0</v>
      </c>
      <c r="AD136" s="115">
        <f>'Hop cong'!AD136</f>
        <v>0</v>
      </c>
      <c r="AE136" s="115">
        <f>'Hop cong'!AE136</f>
        <v>0</v>
      </c>
      <c r="AF136" s="115">
        <f>'Hop cong'!AF136</f>
        <v>0</v>
      </c>
      <c r="AG136" s="115">
        <f>'Hop cong'!AG136</f>
        <v>0</v>
      </c>
      <c r="AH136" s="115">
        <f>'Hop cong'!AH136</f>
        <v>0</v>
      </c>
      <c r="AI136" s="115">
        <f>'Hop cong'!AI136</f>
        <v>0</v>
      </c>
      <c r="AJ136" s="115">
        <f>'Hop cong'!AJ136</f>
        <v>0</v>
      </c>
      <c r="AK136" s="115">
        <f>'Hop cong'!AK136</f>
        <v>0</v>
      </c>
      <c r="AL136" s="115">
        <f>'Hop cong'!AL136</f>
        <v>0</v>
      </c>
      <c r="AM136" s="111">
        <f t="shared" si="4"/>
        <v>0</v>
      </c>
    </row>
    <row r="137" spans="1:52" s="112" customFormat="1" ht="15" customHeight="1">
      <c r="A137" s="108" t="s">
        <v>222</v>
      </c>
      <c r="B137" s="116">
        <v>4</v>
      </c>
      <c r="C137" s="110">
        <f>DTR!C137+'Dai Loc'!C137+'Dong Lam'!C137+'Khanh Nga'!C137+TDP!C137+DTRVL!C137</f>
        <v>130037940981</v>
      </c>
      <c r="D137" s="110">
        <f>DTR!D137+'Dai Loc'!D137+'Dong Lam'!D137+'Khanh Nga'!D137+TDP!D137+DTRVL!D137</f>
        <v>83479666256</v>
      </c>
      <c r="E137" s="110">
        <f>DTR!E137+'Dai Loc'!E137+'Dong Lam'!E137+'Khanh Nga'!E137+TDP!E137+DTRVL!E137</f>
        <v>115625416433</v>
      </c>
      <c r="F137" s="110">
        <f>DTR!F137+'Dai Loc'!F137+'Dong Lam'!F137+'Khanh Nga'!F137+TDP!F137+DTRVL!F137</f>
        <v>117647266094</v>
      </c>
      <c r="G137" s="110">
        <f>DTR!G137+'Dai Loc'!G137+'Dong Lam'!G137+'Khanh Nga'!G137+TDP!G137+DTRVL!G137</f>
        <v>127949052494</v>
      </c>
      <c r="H137" s="110">
        <f>DTR!H137+'Dai Loc'!H137+'Dong Lam'!H137+'Khanh Nga'!H137+TDP!H137+DTRVL!H137</f>
        <v>95661572209</v>
      </c>
      <c r="I137" s="110">
        <f>DTR!I137+'Dai Loc'!I137+'Dong Lam'!I137+'Khanh Nga'!I137+TDP!I137+DTRVL!I137</f>
        <v>74679662458</v>
      </c>
      <c r="J137" s="110">
        <f>DTR!J137+'Dai Loc'!J137+'Dong Lam'!J137+'Khanh Nga'!J137+TDP!J137+DTRVL!J137</f>
        <v>172591848921</v>
      </c>
      <c r="K137" s="110">
        <f>DTR!K137+'Dai Loc'!K137+'Dong Lam'!K137+'Khanh Nga'!K137+TDP!K137+DTRVL!K137</f>
        <v>175469299237</v>
      </c>
      <c r="L137" s="110">
        <f>DTR!L137+'Dai Loc'!L137+'Dong Lam'!L137+'Khanh Nga'!L137+TDP!L137+DTRVL!L137</f>
        <v>140289207742</v>
      </c>
      <c r="M137" s="110">
        <f>DTR!M137+'Dai Loc'!M137+'Dong Lam'!M137+'Khanh Nga'!M137+TDP!M137+DTRVL!M137</f>
        <v>97148112990</v>
      </c>
      <c r="N137" s="110">
        <f>DTR!N137+'Dai Loc'!N137+'Dong Lam'!N137+'Khanh Nga'!N137+TDP!N137+DTRVL!N137</f>
        <v>124006684306</v>
      </c>
      <c r="O137" s="110">
        <f>DTR!O137+'Dai Loc'!O137+'Dong Lam'!O137+'Khanh Nga'!O137+TDP!O137+DTRVL!O137</f>
        <v>125865386644</v>
      </c>
      <c r="P137" s="110">
        <f>DTR!P137+'Dai Loc'!P137+'Dong Lam'!P137+'Khanh Nga'!P137+TDP!P137+DTRVL!P137</f>
        <v>206729300358</v>
      </c>
      <c r="Q137" s="110">
        <f>DTR!Q137+'Dai Loc'!Q137+'Dong Lam'!Q137+'Khanh Nga'!Q137+TDP!Q137+DTRVL!Q137</f>
        <v>180953486769</v>
      </c>
      <c r="R137" s="110">
        <f>DTR!R137+'Dai Loc'!R137+'Dong Lam'!R137+'Khanh Nga'!R137+TDP!R137+DTRVL!R137</f>
        <v>157703774948</v>
      </c>
      <c r="S137" s="110">
        <f>DTR!S137+'Dai Loc'!S137+'Dong Lam'!S137+'Khanh Nga'!S137+TDP!S137+DTRVL!S137</f>
        <v>185417705908</v>
      </c>
      <c r="T137" s="110">
        <f>DTR!T137+'Dai Loc'!T137+'Dong Lam'!T137+'Khanh Nga'!T137+TDP!T137+DTRVL!T137</f>
        <v>158702876594</v>
      </c>
      <c r="U137" s="110">
        <f>DTR!U137+'Dai Loc'!U137+'Dong Lam'!U137+'Khanh Nga'!U137+TDP!U137+DTRVL!U137</f>
        <v>186253289196</v>
      </c>
      <c r="V137" s="110">
        <f>DTR!V137+'Dai Loc'!V137+'Dong Lam'!V137+'Khanh Nga'!V137+TDP!V137+DTRVL!V137</f>
        <v>215574603413</v>
      </c>
      <c r="W137" s="110">
        <f>DTR!W137+'Dai Loc'!W137+'Dong Lam'!W137+'Khanh Nga'!W137+TDP!W137+DTRVL!W137</f>
        <v>120064922753</v>
      </c>
      <c r="X137" s="110">
        <f>DTR!X137+'Dai Loc'!X137+'Dong Lam'!X137+'Khanh Nga'!X137+TDP!X137+DTRVL!X137</f>
        <v>138182161108</v>
      </c>
      <c r="Y137" s="110">
        <f>DTR!Y137+'Dai Loc'!Y137+'Dong Lam'!Y137+'Khanh Nga'!Y137+TDP!Y137+DTRVL!Y137</f>
        <v>108239774086</v>
      </c>
      <c r="Z137" s="110">
        <f>DTR!Z137+'Dai Loc'!Z137+'Dong Lam'!Z137+'Khanh Nga'!Z137+TDP!Z137+DTRVL!Z137</f>
        <v>127908108931</v>
      </c>
      <c r="AA137" s="117">
        <f>'Hop cong'!AA137-SUM(GDNB!H9:H11)</f>
        <v>129505341136.85681</v>
      </c>
      <c r="AB137" s="117">
        <f>'Hop cong'!AB137-SUM(GDNB!I9:I11)</f>
        <v>127974441177.86676</v>
      </c>
      <c r="AC137" s="117">
        <f>'Hop cong'!AC137-SUM(GDNB!J9:J11)</f>
        <v>141599491827.82724</v>
      </c>
      <c r="AD137" s="117">
        <f>'Hop cong'!AD137-SUM(GDNB!K9:K11)</f>
        <v>131782266518.60181</v>
      </c>
      <c r="AE137" s="117">
        <f>'Hop cong'!AE137-SUM(GDNB!L9:L11)</f>
        <v>140244307484.73703</v>
      </c>
      <c r="AF137" s="117">
        <f>'Hop cong'!AF137-SUM(GDNB!M9:M11)</f>
        <v>141409300219.24362</v>
      </c>
      <c r="AG137" s="117">
        <f>'Hop cong'!AG137-SUM(GDNB!N9:N11)</f>
        <v>145404057387.95999</v>
      </c>
      <c r="AH137" s="117">
        <f>'Hop cong'!AH137-SUM(GDNB!O9:O11)</f>
        <v>141276361518.14462</v>
      </c>
      <c r="AI137" s="117">
        <f>'Hop cong'!AI137-SUM(GDNB!P9:P11)</f>
        <v>148196499542.28259</v>
      </c>
      <c r="AJ137" s="117">
        <f>'Hop cong'!AJ137-SUM(GDNB!Q9:Q11)</f>
        <v>137984481243.16364</v>
      </c>
      <c r="AK137" s="117">
        <f>'Hop cong'!AK137-SUM(GDNB!R9:R11)</f>
        <v>145929060338.82693</v>
      </c>
      <c r="AL137" s="117">
        <f>'Hop cong'!AL137-SUM(GDNB!S9:S11)</f>
        <v>147442013746.17145</v>
      </c>
      <c r="AM137" s="111">
        <f>SUM(AA137:AL137)</f>
        <v>1678747622141.6824</v>
      </c>
    </row>
    <row r="138" spans="1:52" s="107" customFormat="1" ht="15" customHeight="1">
      <c r="A138" s="113" t="s">
        <v>223</v>
      </c>
      <c r="B138" s="118">
        <v>5</v>
      </c>
      <c r="C138" s="115">
        <f>DTR!C138+'Dai Loc'!C138+'Dong Lam'!C138+'Khanh Nga'!C138+TDP!C138+DTRVL!C138</f>
        <v>120065457134</v>
      </c>
      <c r="D138" s="115">
        <f>DTR!D138+'Dai Loc'!D138+'Dong Lam'!D138+'Khanh Nga'!D138+TDP!D138+DTRVL!D138</f>
        <v>83995360322</v>
      </c>
      <c r="E138" s="115">
        <f>DTR!E138+'Dai Loc'!E138+'Dong Lam'!E138+'Khanh Nga'!E138+TDP!E138+DTRVL!E138</f>
        <v>109165390822</v>
      </c>
      <c r="F138" s="115">
        <f>DTR!F138+'Dai Loc'!F138+'Dong Lam'!F138+'Khanh Nga'!F138+TDP!F138+DTRVL!F138</f>
        <v>105655387173</v>
      </c>
      <c r="G138" s="115">
        <f>DTR!G138+'Dai Loc'!G138+'Dong Lam'!G138+'Khanh Nga'!G138+TDP!G138+DTRVL!G138</f>
        <v>125507167216</v>
      </c>
      <c r="H138" s="115">
        <f>DTR!H138+'Dai Loc'!H138+'Dong Lam'!H138+'Khanh Nga'!H138+TDP!H138+DTRVL!H138</f>
        <v>98477492806</v>
      </c>
      <c r="I138" s="115">
        <f>DTR!I138+'Dai Loc'!I138+'Dong Lam'!I138+'Khanh Nga'!I138+TDP!I138+DTRVL!I138</f>
        <v>80393606783</v>
      </c>
      <c r="J138" s="115">
        <f>DTR!J138+'Dai Loc'!J138+'Dong Lam'!J138+'Khanh Nga'!J138+TDP!J138+DTRVL!J138</f>
        <v>167228552558</v>
      </c>
      <c r="K138" s="115">
        <f>DTR!K138+'Dai Loc'!K138+'Dong Lam'!K138+'Khanh Nga'!K138+TDP!K138+DTRVL!K138</f>
        <v>152083786508</v>
      </c>
      <c r="L138" s="115">
        <f>DTR!L138+'Dai Loc'!L138+'Dong Lam'!L138+'Khanh Nga'!L138+TDP!L138+DTRVL!L138</f>
        <v>135696763155</v>
      </c>
      <c r="M138" s="115">
        <f>DTR!M138+'Dai Loc'!M138+'Dong Lam'!M138+'Khanh Nga'!M138+TDP!M138+DTRVL!M138</f>
        <v>92718574459</v>
      </c>
      <c r="N138" s="115">
        <f>DTR!N138+'Dai Loc'!N138+'Dong Lam'!N138+'Khanh Nga'!N138+TDP!N138+DTRVL!N138</f>
        <v>-4137926966</v>
      </c>
      <c r="O138" s="115">
        <f>DTR!O138+'Dai Loc'!O138+'Dong Lam'!O138+'Khanh Nga'!O138+TDP!O138+DTRVL!O138</f>
        <v>109382281376</v>
      </c>
      <c r="P138" s="115">
        <f>DTR!P138+'Dai Loc'!P138+'Dong Lam'!P138+'Khanh Nga'!P138+TDP!P138+DTRVL!P138</f>
        <v>174422967873</v>
      </c>
      <c r="Q138" s="115">
        <f>DTR!Q138+'Dai Loc'!Q138+'Dong Lam'!Q138+'Khanh Nga'!Q138+TDP!Q138+DTRVL!Q138</f>
        <v>159767562826</v>
      </c>
      <c r="R138" s="115">
        <f>DTR!R138+'Dai Loc'!R138+'Dong Lam'!R138+'Khanh Nga'!R138+TDP!R138+DTRVL!R138</f>
        <v>140574223882</v>
      </c>
      <c r="S138" s="115">
        <f>DTR!S138+'Dai Loc'!S138+'Dong Lam'!S138+'Khanh Nga'!S138+TDP!S138+DTRVL!S138</f>
        <v>161629972631</v>
      </c>
      <c r="T138" s="115">
        <f>DTR!T138+'Dai Loc'!T138+'Dong Lam'!T138+'Khanh Nga'!T138+TDP!T138+DTRVL!T138</f>
        <v>143522031759</v>
      </c>
      <c r="U138" s="115">
        <f>DTR!U138+'Dai Loc'!U138+'Dong Lam'!U138+'Khanh Nga'!U138+TDP!U138+DTRVL!U138</f>
        <v>172510521735</v>
      </c>
      <c r="V138" s="115">
        <f>DTR!V138+'Dai Loc'!V138+'Dong Lam'!V138+'Khanh Nga'!V138+TDP!V138+DTRVL!V138</f>
        <v>197853154230</v>
      </c>
      <c r="W138" s="115">
        <f>DTR!W138+'Dai Loc'!W138+'Dong Lam'!W138+'Khanh Nga'!W138+TDP!W138+DTRVL!W138</f>
        <v>117237912996</v>
      </c>
      <c r="X138" s="115">
        <f>DTR!X138+'Dai Loc'!X138+'Dong Lam'!X138+'Khanh Nga'!X138+TDP!X138+DTRVL!X138</f>
        <v>127411416365</v>
      </c>
      <c r="Y138" s="115">
        <f>DTR!Y138+'Dai Loc'!Y138+'Dong Lam'!Y138+'Khanh Nga'!Y138+TDP!Y138+DTRVL!Y138</f>
        <v>99943651539</v>
      </c>
      <c r="Z138" s="115">
        <f>DTR!Z138+'Dai Loc'!Z138+'Dong Lam'!Z138+'Khanh Nga'!Z138+TDP!Z138+DTRVL!Z138</f>
        <v>90514001561</v>
      </c>
      <c r="AA138" s="119">
        <f>'Hop cong'!AA138-SUM(GDNB!H9:H11)</f>
        <v>111239706630.02679</v>
      </c>
      <c r="AB138" s="119">
        <f>'Hop cong'!AB138-SUM(GDNB!I9:I11)</f>
        <v>116478292078.0806</v>
      </c>
      <c r="AC138" s="119">
        <f>'Hop cong'!AC138-SUM(GDNB!J9:J11)</f>
        <v>120202508952.46976</v>
      </c>
      <c r="AD138" s="119">
        <f>'Hop cong'!AD138-SUM(GDNB!K9:K11)</f>
        <v>112569522006.90836</v>
      </c>
      <c r="AE138" s="119">
        <f>'Hop cong'!AE138-SUM(GDNB!L9:L11)</f>
        <v>118806782514.16608</v>
      </c>
      <c r="AF138" s="119">
        <f>'Hop cong'!AF138-SUM(GDNB!M9:M11)</f>
        <v>121059918058.08331</v>
      </c>
      <c r="AG138" s="119">
        <f>'Hop cong'!AG138-SUM(GDNB!N9:N11)</f>
        <v>119382789728.34464</v>
      </c>
      <c r="AH138" s="119">
        <f>'Hop cong'!AH138-SUM(GDNB!O9:O11)</f>
        <v>115881082098.25311</v>
      </c>
      <c r="AI138" s="119">
        <f>'Hop cong'!AI138-SUM(GDNB!P9:P11)</f>
        <v>122433150685.76669</v>
      </c>
      <c r="AJ138" s="119">
        <f>'Hop cong'!AJ138-SUM(GDNB!Q9:Q11)</f>
        <v>113465554834.21729</v>
      </c>
      <c r="AK138" s="119">
        <f>'Hop cong'!AK138-SUM(GDNB!R9:R11)</f>
        <v>120588193617.53683</v>
      </c>
      <c r="AL138" s="119">
        <f>'Hop cong'!AL138-SUM(GDNB!S9:S11)</f>
        <v>122069235516.21234</v>
      </c>
      <c r="AM138" s="120">
        <f t="shared" si="4"/>
        <v>1414176736720.0657</v>
      </c>
    </row>
    <row r="139" spans="1:52" s="107" customFormat="1" ht="15" customHeight="1">
      <c r="A139" s="108" t="s">
        <v>224</v>
      </c>
      <c r="B139" s="121">
        <v>6</v>
      </c>
      <c r="C139" s="122">
        <f>DTR!C139+'Dai Loc'!C139+'Dong Lam'!C139+'Khanh Nga'!C139+TDP!C139+DTRVL!C139</f>
        <v>9972483847</v>
      </c>
      <c r="D139" s="122">
        <f>DTR!D139+'Dai Loc'!D139+'Dong Lam'!D139+'Khanh Nga'!D139+TDP!D139+DTRVL!D139</f>
        <v>-515694066</v>
      </c>
      <c r="E139" s="122">
        <f>DTR!E139+'Dai Loc'!E139+'Dong Lam'!E139+'Khanh Nga'!E139+TDP!E139+DTRVL!E139</f>
        <v>6460025611</v>
      </c>
      <c r="F139" s="122">
        <f>DTR!F139+'Dai Loc'!F139+'Dong Lam'!F139+'Khanh Nga'!F139+TDP!F139+DTRVL!F139</f>
        <v>11991878921</v>
      </c>
      <c r="G139" s="122">
        <f>DTR!G139+'Dai Loc'!G139+'Dong Lam'!G139+'Khanh Nga'!G139+TDP!G139+DTRVL!G139</f>
        <v>2441885278</v>
      </c>
      <c r="H139" s="122">
        <f>DTR!H139+'Dai Loc'!H139+'Dong Lam'!H139+'Khanh Nga'!H139+TDP!H139+DTRVL!H139</f>
        <v>-2815920597</v>
      </c>
      <c r="I139" s="122">
        <f>DTR!I139+'Dai Loc'!I139+'Dong Lam'!I139+'Khanh Nga'!I139+TDP!I139+DTRVL!I139</f>
        <v>-5713944325</v>
      </c>
      <c r="J139" s="122">
        <f>DTR!J139+'Dai Loc'!J139+'Dong Lam'!J139+'Khanh Nga'!J139+TDP!J139+DTRVL!J139</f>
        <v>5363296363</v>
      </c>
      <c r="K139" s="122">
        <f>DTR!K139+'Dai Loc'!K139+'Dong Lam'!K139+'Khanh Nga'!K139+TDP!K139+DTRVL!K139</f>
        <v>23385512729</v>
      </c>
      <c r="L139" s="122">
        <f>DTR!L139+'Dai Loc'!L139+'Dong Lam'!L139+'Khanh Nga'!L139+TDP!L139+DTRVL!L139</f>
        <v>4592444587</v>
      </c>
      <c r="M139" s="122">
        <f>DTR!M139+'Dai Loc'!M139+'Dong Lam'!M139+'Khanh Nga'!M139+TDP!M139+DTRVL!M139</f>
        <v>4429538531</v>
      </c>
      <c r="N139" s="122">
        <f>DTR!N139+'Dai Loc'!N139+'Dong Lam'!N139+'Khanh Nga'!N139+TDP!N139+DTRVL!N139</f>
        <v>128144611272</v>
      </c>
      <c r="O139" s="122">
        <f>DTR!O139+'Dai Loc'!O139+'Dong Lam'!O139+'Khanh Nga'!O139+TDP!O139+DTRVL!O139</f>
        <v>16483105268</v>
      </c>
      <c r="P139" s="122">
        <f>DTR!P139+'Dai Loc'!P139+'Dong Lam'!P139+'Khanh Nga'!P139+TDP!P139+DTRVL!P139</f>
        <v>32306332485</v>
      </c>
      <c r="Q139" s="122">
        <f>DTR!Q139+'Dai Loc'!Q139+'Dong Lam'!Q139+'Khanh Nga'!Q139+TDP!Q139+DTRVL!Q139</f>
        <v>21185923943</v>
      </c>
      <c r="R139" s="122">
        <f>DTR!R139+'Dai Loc'!R139+'Dong Lam'!R139+'Khanh Nga'!R139+TDP!R139+DTRVL!R139</f>
        <v>17129551066</v>
      </c>
      <c r="S139" s="122">
        <f>DTR!S139+'Dai Loc'!S139+'Dong Lam'!S139+'Khanh Nga'!S139+TDP!S139+DTRVL!S139</f>
        <v>23787733277</v>
      </c>
      <c r="T139" s="122">
        <f>DTR!T139+'Dai Loc'!T139+'Dong Lam'!T139+'Khanh Nga'!T139+TDP!T139+DTRVL!T139</f>
        <v>15180844835</v>
      </c>
      <c r="U139" s="122">
        <f>DTR!U139+'Dai Loc'!U139+'Dong Lam'!U139+'Khanh Nga'!U139+TDP!U139+DTRVL!U139</f>
        <v>13742767461</v>
      </c>
      <c r="V139" s="122">
        <f>DTR!V139+'Dai Loc'!V139+'Dong Lam'!V139+'Khanh Nga'!V139+TDP!V139+DTRVL!V139</f>
        <v>17721449183</v>
      </c>
      <c r="W139" s="122">
        <f>DTR!W139+'Dai Loc'!W139+'Dong Lam'!W139+'Khanh Nga'!W139+TDP!W139+DTRVL!W139</f>
        <v>2827009757</v>
      </c>
      <c r="X139" s="122">
        <f>DTR!X139+'Dai Loc'!X139+'Dong Lam'!X139+'Khanh Nga'!X139+TDP!X139+DTRVL!X139</f>
        <v>10770744743</v>
      </c>
      <c r="Y139" s="122">
        <f>DTR!Y139+'Dai Loc'!Y139+'Dong Lam'!Y139+'Khanh Nga'!Y139+TDP!Y139+DTRVL!Y139</f>
        <v>8296122547</v>
      </c>
      <c r="Z139" s="122">
        <f>DTR!Z139+'Dai Loc'!Z139+'Dong Lam'!Z139+'Khanh Nga'!Z139+TDP!Z139+DTRVL!Z139</f>
        <v>37394107370</v>
      </c>
      <c r="AA139" s="123">
        <f>AA137-AA138</f>
        <v>18265634506.830017</v>
      </c>
      <c r="AB139" s="124">
        <f t="shared" ref="AB139:AL139" si="6">AB137-AB138</f>
        <v>11496149099.786163</v>
      </c>
      <c r="AC139" s="124">
        <f t="shared" si="6"/>
        <v>21396982875.357483</v>
      </c>
      <c r="AD139" s="124">
        <f t="shared" si="6"/>
        <v>19212744511.693451</v>
      </c>
      <c r="AE139" s="124">
        <f t="shared" si="6"/>
        <v>21437524970.570953</v>
      </c>
      <c r="AF139" s="124">
        <f t="shared" si="6"/>
        <v>20349382161.160309</v>
      </c>
      <c r="AG139" s="124">
        <f t="shared" si="6"/>
        <v>26021267659.615356</v>
      </c>
      <c r="AH139" s="124">
        <f t="shared" si="6"/>
        <v>25395279419.89151</v>
      </c>
      <c r="AI139" s="124">
        <f t="shared" si="6"/>
        <v>25763348856.5159</v>
      </c>
      <c r="AJ139" s="124">
        <f t="shared" si="6"/>
        <v>24518926408.94635</v>
      </c>
      <c r="AK139" s="124">
        <f t="shared" si="6"/>
        <v>25340866721.2901</v>
      </c>
      <c r="AL139" s="124">
        <f t="shared" si="6"/>
        <v>25372778229.959106</v>
      </c>
      <c r="AM139" s="125">
        <f t="shared" si="4"/>
        <v>264570885421.6167</v>
      </c>
    </row>
    <row r="140" spans="1:52" s="107" customFormat="1" ht="15" customHeight="1">
      <c r="A140" s="108" t="s">
        <v>225</v>
      </c>
      <c r="B140" s="121">
        <v>7</v>
      </c>
      <c r="C140" s="122">
        <f>DTR!C140+'Dai Loc'!C140+'Dong Lam'!C140+'Khanh Nga'!C140+TDP!C140+DTRVL!C140</f>
        <v>0</v>
      </c>
      <c r="D140" s="122">
        <f>DTR!D140+'Dai Loc'!D140+'Dong Lam'!D140+'Khanh Nga'!D140+TDP!D140+DTRVL!D140</f>
        <v>0</v>
      </c>
      <c r="E140" s="122">
        <f>DTR!E140+'Dai Loc'!E140+'Dong Lam'!E140+'Khanh Nga'!E140+TDP!E140+DTRVL!E140</f>
        <v>0</v>
      </c>
      <c r="F140" s="122">
        <f>DTR!F140+'Dai Loc'!F140+'Dong Lam'!F140+'Khanh Nga'!F140+TDP!F140+DTRVL!F140</f>
        <v>0</v>
      </c>
      <c r="G140" s="122">
        <f>DTR!G140+'Dai Loc'!G140+'Dong Lam'!G140+'Khanh Nga'!G140+TDP!G140+DTRVL!G140</f>
        <v>0</v>
      </c>
      <c r="H140" s="122">
        <f>DTR!H140+'Dai Loc'!H140+'Dong Lam'!H140+'Khanh Nga'!H140+TDP!H140+DTRVL!H140</f>
        <v>0</v>
      </c>
      <c r="I140" s="122">
        <f>DTR!I140+'Dai Loc'!I140+'Dong Lam'!I140+'Khanh Nga'!I140+TDP!I140+DTRVL!I140</f>
        <v>0</v>
      </c>
      <c r="J140" s="122">
        <f>DTR!J140+'Dai Loc'!J140+'Dong Lam'!J140+'Khanh Nga'!J140+TDP!J140+DTRVL!J140</f>
        <v>0</v>
      </c>
      <c r="K140" s="122">
        <f>DTR!K140+'Dai Loc'!K140+'Dong Lam'!K140+'Khanh Nga'!K140+TDP!K140+DTRVL!K140</f>
        <v>0</v>
      </c>
      <c r="L140" s="122">
        <f>DTR!L140+'Dai Loc'!L140+'Dong Lam'!L140+'Khanh Nga'!L140+TDP!L140+DTRVL!L140</f>
        <v>0</v>
      </c>
      <c r="M140" s="122">
        <f>DTR!M140+'Dai Loc'!M140+'Dong Lam'!M140+'Khanh Nga'!M140+TDP!M140+DTRVL!M140</f>
        <v>0</v>
      </c>
      <c r="N140" s="122">
        <f>DTR!N140+'Dai Loc'!N140+'Dong Lam'!N140+'Khanh Nga'!N140+TDP!N140+DTRVL!N140</f>
        <v>0</v>
      </c>
      <c r="O140" s="122">
        <f>DTR!O140+'Dai Loc'!O140+'Dong Lam'!O140+'Khanh Nga'!O140+TDP!O140+DTRVL!O140</f>
        <v>0</v>
      </c>
      <c r="P140" s="122">
        <f>DTR!P140+'Dai Loc'!P140+'Dong Lam'!P140+'Khanh Nga'!P140+TDP!P140+DTRVL!P140</f>
        <v>0</v>
      </c>
      <c r="Q140" s="122">
        <f>DTR!Q140+'Dai Loc'!Q140+'Dong Lam'!Q140+'Khanh Nga'!Q140+TDP!Q140+DTRVL!Q140</f>
        <v>0</v>
      </c>
      <c r="R140" s="122">
        <f>DTR!R140+'Dai Loc'!R140+'Dong Lam'!R140+'Khanh Nga'!R140+TDP!R140+DTRVL!R140</f>
        <v>0</v>
      </c>
      <c r="S140" s="122">
        <f>DTR!S140+'Dai Loc'!S140+'Dong Lam'!S140+'Khanh Nga'!S140+TDP!S140+DTRVL!S140</f>
        <v>0</v>
      </c>
      <c r="T140" s="122">
        <f>DTR!T140+'Dai Loc'!T140+'Dong Lam'!T140+'Khanh Nga'!T140+TDP!T140+DTRVL!T140</f>
        <v>0</v>
      </c>
      <c r="U140" s="122">
        <f>DTR!U140+'Dai Loc'!U140+'Dong Lam'!U140+'Khanh Nga'!U140+TDP!U140+DTRVL!U140</f>
        <v>0</v>
      </c>
      <c r="V140" s="122">
        <f>DTR!V140+'Dai Loc'!V140+'Dong Lam'!V140+'Khanh Nga'!V140+TDP!V140+DTRVL!V140</f>
        <v>0</v>
      </c>
      <c r="W140" s="122">
        <f>DTR!W140+'Dai Loc'!W140+'Dong Lam'!W140+'Khanh Nga'!W140+TDP!W140+DTRVL!W140</f>
        <v>0</v>
      </c>
      <c r="X140" s="122">
        <f>DTR!X140+'Dai Loc'!X140+'Dong Lam'!X140+'Khanh Nga'!X140+TDP!X140+DTRVL!X140</f>
        <v>0</v>
      </c>
      <c r="Y140" s="122">
        <f>DTR!Y140+'Dai Loc'!Y140+'Dong Lam'!Y140+'Khanh Nga'!Y140+TDP!Y140+DTRVL!Y140</f>
        <v>0</v>
      </c>
      <c r="Z140" s="122">
        <f>DTR!Z140+'Dai Loc'!Z140+'Dong Lam'!Z140+'Khanh Nga'!Z140+TDP!Z140+DTRVL!Z140</f>
        <v>0</v>
      </c>
      <c r="AA140" s="126">
        <f>'Hop cong'!AA140</f>
        <v>0</v>
      </c>
      <c r="AB140" s="122">
        <f>'Hop cong'!AB140</f>
        <v>0</v>
      </c>
      <c r="AC140" s="122">
        <f>'Hop cong'!AC140</f>
        <v>0</v>
      </c>
      <c r="AD140" s="122">
        <f>'Hop cong'!AD140</f>
        <v>0</v>
      </c>
      <c r="AE140" s="122">
        <f>'Hop cong'!AE140</f>
        <v>0</v>
      </c>
      <c r="AF140" s="122">
        <f>'Hop cong'!AF140</f>
        <v>0</v>
      </c>
      <c r="AG140" s="122">
        <f>'Hop cong'!AG140</f>
        <v>0</v>
      </c>
      <c r="AH140" s="122">
        <f>'Hop cong'!AH140</f>
        <v>0</v>
      </c>
      <c r="AI140" s="122">
        <f>'Hop cong'!AI140</f>
        <v>0</v>
      </c>
      <c r="AJ140" s="122">
        <f>'Hop cong'!AJ140</f>
        <v>0</v>
      </c>
      <c r="AK140" s="122">
        <f>'Hop cong'!AK140</f>
        <v>0</v>
      </c>
      <c r="AL140" s="122">
        <f>'Hop cong'!AL140</f>
        <v>0</v>
      </c>
      <c r="AM140" s="125">
        <f t="shared" si="4"/>
        <v>0</v>
      </c>
    </row>
    <row r="141" spans="1:52" s="107" customFormat="1" ht="15" customHeight="1">
      <c r="A141" s="113" t="s">
        <v>226</v>
      </c>
      <c r="B141" s="114">
        <v>8</v>
      </c>
      <c r="C141" s="115">
        <f>DTR!C141+'Dai Loc'!C141+'Dong Lam'!C141+'Khanh Nga'!C141+TDP!C141+DTRVL!C141</f>
        <v>712260969</v>
      </c>
      <c r="D141" s="115">
        <f>DTR!D141+'Dai Loc'!D141+'Dong Lam'!D141+'Khanh Nga'!D141+TDP!D141+DTRVL!D141</f>
        <v>1111471110</v>
      </c>
      <c r="E141" s="115">
        <f>DTR!E141+'Dai Loc'!E141+'Dong Lam'!E141+'Khanh Nga'!E141+TDP!E141+DTRVL!E141</f>
        <v>1004651784</v>
      </c>
      <c r="F141" s="115">
        <f>DTR!F141+'Dai Loc'!F141+'Dong Lam'!F141+'Khanh Nga'!F141+TDP!F141+DTRVL!F141</f>
        <v>1746021208</v>
      </c>
      <c r="G141" s="115">
        <f>DTR!G141+'Dai Loc'!G141+'Dong Lam'!G141+'Khanh Nga'!G141+TDP!G141+DTRVL!G141</f>
        <v>1032867505</v>
      </c>
      <c r="H141" s="115">
        <f>DTR!H141+'Dai Loc'!H141+'Dong Lam'!H141+'Khanh Nga'!H141+TDP!H141+DTRVL!H141</f>
        <v>591086157</v>
      </c>
      <c r="I141" s="115">
        <f>DTR!I141+'Dai Loc'!I141+'Dong Lam'!I141+'Khanh Nga'!I141+TDP!I141+DTRVL!I141</f>
        <v>376652862</v>
      </c>
      <c r="J141" s="115">
        <f>DTR!J141+'Dai Loc'!J141+'Dong Lam'!J141+'Khanh Nga'!J141+TDP!J141+DTRVL!J141</f>
        <v>1253018630</v>
      </c>
      <c r="K141" s="115">
        <f>DTR!K141+'Dai Loc'!K141+'Dong Lam'!K141+'Khanh Nga'!K141+TDP!K141+DTRVL!K141</f>
        <v>1560156089</v>
      </c>
      <c r="L141" s="115">
        <f>DTR!L141+'Dai Loc'!L141+'Dong Lam'!L141+'Khanh Nga'!L141+TDP!L141+DTRVL!L141</f>
        <v>2831268643</v>
      </c>
      <c r="M141" s="115">
        <f>DTR!M141+'Dai Loc'!M141+'Dong Lam'!M141+'Khanh Nga'!M141+TDP!M141+DTRVL!M141</f>
        <v>886951972</v>
      </c>
      <c r="N141" s="115">
        <f>DTR!N141+'Dai Loc'!N141+'Dong Lam'!N141+'Khanh Nga'!N141+TDP!N141+DTRVL!N141</f>
        <v>2195155035</v>
      </c>
      <c r="O141" s="115">
        <f>DTR!O141+'Dai Loc'!O141+'Dong Lam'!O141+'Khanh Nga'!O141+TDP!O141+DTRVL!O141</f>
        <v>830662240</v>
      </c>
      <c r="P141" s="115">
        <f>DTR!P141+'Dai Loc'!P141+'Dong Lam'!P141+'Khanh Nga'!P141+TDP!P141+DTRVL!P141</f>
        <v>1805467216</v>
      </c>
      <c r="Q141" s="115">
        <f>DTR!Q141+'Dai Loc'!Q141+'Dong Lam'!Q141+'Khanh Nga'!Q141+TDP!Q141+DTRVL!Q141</f>
        <v>941747687</v>
      </c>
      <c r="R141" s="115">
        <f>DTR!R141+'Dai Loc'!R141+'Dong Lam'!R141+'Khanh Nga'!R141+TDP!R141+DTRVL!R141</f>
        <v>1368536357</v>
      </c>
      <c r="S141" s="115">
        <f>DTR!S141+'Dai Loc'!S141+'Dong Lam'!S141+'Khanh Nga'!S141+TDP!S141+DTRVL!S141</f>
        <v>2440495098</v>
      </c>
      <c r="T141" s="115">
        <f>DTR!T141+'Dai Loc'!T141+'Dong Lam'!T141+'Khanh Nga'!T141+TDP!T141+DTRVL!T141</f>
        <v>1651919997</v>
      </c>
      <c r="U141" s="115">
        <f>DTR!U141+'Dai Loc'!U141+'Dong Lam'!U141+'Khanh Nga'!U141+TDP!U141+DTRVL!U141</f>
        <v>1450067480</v>
      </c>
      <c r="V141" s="115">
        <f>DTR!V141+'Dai Loc'!V141+'Dong Lam'!V141+'Khanh Nga'!V141+TDP!V141+DTRVL!V141</f>
        <v>1506125345</v>
      </c>
      <c r="W141" s="115">
        <f>DTR!W141+'Dai Loc'!W141+'Dong Lam'!W141+'Khanh Nga'!W141+TDP!W141+DTRVL!W141</f>
        <v>1236220214</v>
      </c>
      <c r="X141" s="115">
        <f>DTR!X141+'Dai Loc'!X141+'Dong Lam'!X141+'Khanh Nga'!X141+TDP!X141+DTRVL!X141</f>
        <v>2769344197</v>
      </c>
      <c r="Y141" s="115">
        <f>DTR!Y141+'Dai Loc'!Y141+'Dong Lam'!Y141+'Khanh Nga'!Y141+TDP!Y141+DTRVL!Y141</f>
        <v>564107321</v>
      </c>
      <c r="Z141" s="115">
        <f>DTR!Z141+'Dai Loc'!Z141+'Dong Lam'!Z141+'Khanh Nga'!Z141+TDP!Z141+DTRVL!Z141</f>
        <v>727547755</v>
      </c>
      <c r="AA141" s="119">
        <f>'Hop cong'!AA141</f>
        <v>20005548.111111112</v>
      </c>
      <c r="AB141" s="115">
        <f>'Hop cong'!AB141</f>
        <v>20005548.111111112</v>
      </c>
      <c r="AC141" s="115">
        <f>'Hop cong'!AC141</f>
        <v>20005548.111111112</v>
      </c>
      <c r="AD141" s="115">
        <f>'Hop cong'!AD141</f>
        <v>10005548.111111112</v>
      </c>
      <c r="AE141" s="115">
        <f>'Hop cong'!AE141</f>
        <v>10005548.111111112</v>
      </c>
      <c r="AF141" s="115">
        <f>'Hop cong'!AF141</f>
        <v>10005548.111111112</v>
      </c>
      <c r="AG141" s="115">
        <f>'Hop cong'!AG141</f>
        <v>10005548.111111112</v>
      </c>
      <c r="AH141" s="115">
        <f>'Hop cong'!AH141</f>
        <v>10005548.111111112</v>
      </c>
      <c r="AI141" s="115">
        <f>'Hop cong'!AI141</f>
        <v>10005548.111111112</v>
      </c>
      <c r="AJ141" s="115">
        <f>'Hop cong'!AJ141</f>
        <v>10005548.111111112</v>
      </c>
      <c r="AK141" s="115">
        <f>'Hop cong'!AK141</f>
        <v>10005548.111111112</v>
      </c>
      <c r="AL141" s="115">
        <f>'Hop cong'!AL141</f>
        <v>10005548.111111112</v>
      </c>
      <c r="AM141" s="127">
        <f t="shared" si="4"/>
        <v>150066577.33333328</v>
      </c>
    </row>
    <row r="142" spans="1:52" s="130" customFormat="1" ht="15" customHeight="1">
      <c r="A142" s="128" t="s">
        <v>227</v>
      </c>
      <c r="B142" s="114">
        <v>9</v>
      </c>
      <c r="C142" s="115">
        <f>DTR!C142+'Dai Loc'!C142+'Dong Lam'!C142+'Khanh Nga'!C142+TDP!C142+DTRVL!C142</f>
        <v>801399604</v>
      </c>
      <c r="D142" s="115">
        <f>DTR!D142+'Dai Loc'!D142+'Dong Lam'!D142+'Khanh Nga'!D142+TDP!D142+DTRVL!D142</f>
        <v>695500231</v>
      </c>
      <c r="E142" s="115">
        <f>DTR!E142+'Dai Loc'!E142+'Dong Lam'!E142+'Khanh Nga'!E142+TDP!E142+DTRVL!E142</f>
        <v>663502461</v>
      </c>
      <c r="F142" s="115">
        <f>DTR!F142+'Dai Loc'!F142+'Dong Lam'!F142+'Khanh Nga'!F142+TDP!F142+DTRVL!F142</f>
        <v>1555671370</v>
      </c>
      <c r="G142" s="115">
        <f>DTR!G142+'Dai Loc'!G142+'Dong Lam'!G142+'Khanh Nga'!G142+TDP!G142+DTRVL!G142</f>
        <v>936492932</v>
      </c>
      <c r="H142" s="115">
        <f>DTR!H142+'Dai Loc'!H142+'Dong Lam'!H142+'Khanh Nga'!H142+TDP!H142+DTRVL!H142</f>
        <v>1103852896</v>
      </c>
      <c r="I142" s="115">
        <f>DTR!I142+'Dai Loc'!I142+'Dong Lam'!I142+'Khanh Nga'!I142+TDP!I142+DTRVL!I142</f>
        <v>1608708972</v>
      </c>
      <c r="J142" s="115">
        <f>DTR!J142+'Dai Loc'!J142+'Dong Lam'!J142+'Khanh Nga'!J142+TDP!J142+DTRVL!J142</f>
        <v>1489581015</v>
      </c>
      <c r="K142" s="115">
        <f>DTR!K142+'Dai Loc'!K142+'Dong Lam'!K142+'Khanh Nga'!K142+TDP!K142+DTRVL!K142</f>
        <v>1372261307</v>
      </c>
      <c r="L142" s="115">
        <f>DTR!L142+'Dai Loc'!L142+'Dong Lam'!L142+'Khanh Nga'!L142+TDP!L142+DTRVL!L142</f>
        <v>636041020</v>
      </c>
      <c r="M142" s="115">
        <f>DTR!M142+'Dai Loc'!M142+'Dong Lam'!M142+'Khanh Nga'!M142+TDP!M142+DTRVL!M142</f>
        <v>1257673070</v>
      </c>
      <c r="N142" s="115">
        <f>DTR!N142+'Dai Loc'!N142+'Dong Lam'!N142+'Khanh Nga'!N142+TDP!N142+DTRVL!N142</f>
        <v>993026233</v>
      </c>
      <c r="O142" s="115">
        <f>DTR!O142+'Dai Loc'!O142+'Dong Lam'!O142+'Khanh Nga'!O142+TDP!O142+DTRVL!O142</f>
        <v>1529745602</v>
      </c>
      <c r="P142" s="115">
        <f>DTR!P142+'Dai Loc'!P142+'Dong Lam'!P142+'Khanh Nga'!P142+TDP!P142+DTRVL!P142</f>
        <v>1349010483</v>
      </c>
      <c r="Q142" s="115">
        <f>DTR!Q142+'Dai Loc'!Q142+'Dong Lam'!Q142+'Khanh Nga'!Q142+TDP!Q142+DTRVL!Q142</f>
        <v>902730488</v>
      </c>
      <c r="R142" s="115">
        <f>DTR!R142+'Dai Loc'!R142+'Dong Lam'!R142+'Khanh Nga'!R142+TDP!R142+DTRVL!R142</f>
        <v>1450570894</v>
      </c>
      <c r="S142" s="115">
        <f>DTR!S142+'Dai Loc'!S142+'Dong Lam'!S142+'Khanh Nga'!S142+TDP!S142+DTRVL!S142</f>
        <v>858169737</v>
      </c>
      <c r="T142" s="115">
        <f>DTR!T142+'Dai Loc'!T142+'Dong Lam'!T142+'Khanh Nga'!T142+TDP!T142+DTRVL!T142</f>
        <v>1483876982</v>
      </c>
      <c r="U142" s="115">
        <f>DTR!U142+'Dai Loc'!U142+'Dong Lam'!U142+'Khanh Nga'!U142+TDP!U142+DTRVL!U142</f>
        <v>1318435167</v>
      </c>
      <c r="V142" s="115">
        <f>DTR!V142+'Dai Loc'!V142+'Dong Lam'!V142+'Khanh Nga'!V142+TDP!V142+DTRVL!V142</f>
        <v>1366041150</v>
      </c>
      <c r="W142" s="115">
        <f>DTR!W142+'Dai Loc'!W142+'Dong Lam'!W142+'Khanh Nga'!W142+TDP!W142+DTRVL!W142</f>
        <v>1603769193</v>
      </c>
      <c r="X142" s="115">
        <f>DTR!X142+'Dai Loc'!X142+'Dong Lam'!X142+'Khanh Nga'!X142+TDP!X142+DTRVL!X142</f>
        <v>2900732378</v>
      </c>
      <c r="Y142" s="115">
        <f>DTR!Y142+'Dai Loc'!Y142+'Dong Lam'!Y142+'Khanh Nga'!Y142+TDP!Y142+DTRVL!Y142</f>
        <v>1301741764</v>
      </c>
      <c r="Z142" s="115">
        <f>DTR!Z142+'Dai Loc'!Z142+'Dong Lam'!Z142+'Khanh Nga'!Z142+TDP!Z142+DTRVL!Z142</f>
        <v>2453854146</v>
      </c>
      <c r="AA142" s="119">
        <f>'Hop cong'!AA142</f>
        <v>1440729191.0893345</v>
      </c>
      <c r="AB142" s="115">
        <f>'Hop cong'!AB142</f>
        <v>2314401491.6227865</v>
      </c>
      <c r="AC142" s="115">
        <f>'Hop cong'!AC142</f>
        <v>2754845108.8531456</v>
      </c>
      <c r="AD142" s="115">
        <f>'Hop cong'!AD142</f>
        <v>2658973977.945015</v>
      </c>
      <c r="AE142" s="115">
        <f>'Hop cong'!AE142</f>
        <v>2984563857.6971397</v>
      </c>
      <c r="AF142" s="115">
        <f>'Hop cong'!AF142</f>
        <v>3083765892.6644506</v>
      </c>
      <c r="AG142" s="115">
        <f>'Hop cong'!AG142</f>
        <v>3139619158.6549101</v>
      </c>
      <c r="AH142" s="115">
        <f>'Hop cong'!AH142</f>
        <v>3321581053.7279758</v>
      </c>
      <c r="AI142" s="115">
        <f>'Hop cong'!AI142</f>
        <v>3248341883.5147653</v>
      </c>
      <c r="AJ142" s="115">
        <f>'Hop cong'!AJ142</f>
        <v>3254733184.6761322</v>
      </c>
      <c r="AK142" s="115">
        <f>'Hop cong'!AK142</f>
        <v>3261994460.9206567</v>
      </c>
      <c r="AL142" s="115">
        <f>'Hop cong'!AL142</f>
        <v>3102355062.0342407</v>
      </c>
      <c r="AM142" s="129">
        <f t="shared" si="4"/>
        <v>34565904323.400558</v>
      </c>
    </row>
    <row r="143" spans="1:52" s="107" customFormat="1" ht="15" customHeight="1">
      <c r="A143" s="113" t="s">
        <v>228</v>
      </c>
      <c r="B143" s="114">
        <v>10</v>
      </c>
      <c r="C143" s="115">
        <f>DTR!C143+'Dai Loc'!C143+'Dong Lam'!C143+'Khanh Nga'!C143+TDP!C143+DTRVL!C143</f>
        <v>460461775</v>
      </c>
      <c r="D143" s="115">
        <f>DTR!D143+'Dai Loc'!D143+'Dong Lam'!D143+'Khanh Nga'!D143+TDP!D143+DTRVL!D143</f>
        <v>563909516</v>
      </c>
      <c r="E143" s="115">
        <f>DTR!E143+'Dai Loc'!E143+'Dong Lam'!E143+'Khanh Nga'!E143+TDP!E143+DTRVL!E143</f>
        <v>587315920</v>
      </c>
      <c r="F143" s="115">
        <f>DTR!F143+'Dai Loc'!F143+'Dong Lam'!F143+'Khanh Nga'!F143+TDP!F143+DTRVL!F143</f>
        <v>905708142</v>
      </c>
      <c r="G143" s="115">
        <f>DTR!G143+'Dai Loc'!G143+'Dong Lam'!G143+'Khanh Nga'!G143+TDP!G143+DTRVL!G143</f>
        <v>974310029</v>
      </c>
      <c r="H143" s="115">
        <f>DTR!H143+'Dai Loc'!H143+'Dong Lam'!H143+'Khanh Nga'!H143+TDP!H143+DTRVL!H143</f>
        <v>1115056080</v>
      </c>
      <c r="I143" s="115">
        <f>DTR!I143+'Dai Loc'!I143+'Dong Lam'!I143+'Khanh Nga'!I143+TDP!I143+DTRVL!I143</f>
        <v>1160823006</v>
      </c>
      <c r="J143" s="115">
        <f>DTR!J143+'Dai Loc'!J143+'Dong Lam'!J143+'Khanh Nga'!J143+TDP!J143+DTRVL!J143</f>
        <v>939585045</v>
      </c>
      <c r="K143" s="115">
        <f>DTR!K143+'Dai Loc'!K143+'Dong Lam'!K143+'Khanh Nga'!K143+TDP!K143+DTRVL!K143</f>
        <v>859444105</v>
      </c>
      <c r="L143" s="115">
        <f>DTR!L143+'Dai Loc'!L143+'Dong Lam'!L143+'Khanh Nga'!L143+TDP!L143+DTRVL!L143</f>
        <v>840165515</v>
      </c>
      <c r="M143" s="115">
        <f>DTR!M143+'Dai Loc'!M143+'Dong Lam'!M143+'Khanh Nga'!M143+TDP!M143+DTRVL!M143</f>
        <v>889159081</v>
      </c>
      <c r="N143" s="115">
        <f>DTR!N143+'Dai Loc'!N143+'Dong Lam'!N143+'Khanh Nga'!N143+TDP!N143+DTRVL!N143</f>
        <v>1032562923</v>
      </c>
      <c r="O143" s="115">
        <f>DTR!O143+'Dai Loc'!O143+'Dong Lam'!O143+'Khanh Nga'!O143+TDP!O143+DTRVL!O143</f>
        <v>1114824276</v>
      </c>
      <c r="P143" s="115">
        <f>DTR!P143+'Dai Loc'!P143+'Dong Lam'!P143+'Khanh Nga'!P143+TDP!P143+DTRVL!P143</f>
        <v>928379281</v>
      </c>
      <c r="Q143" s="115">
        <f>DTR!Q143+'Dai Loc'!Q143+'Dong Lam'!Q143+'Khanh Nga'!Q143+TDP!Q143+DTRVL!Q143</f>
        <v>673966789</v>
      </c>
      <c r="R143" s="115">
        <f>DTR!R143+'Dai Loc'!R143+'Dong Lam'!R143+'Khanh Nga'!R143+TDP!R143+DTRVL!R143</f>
        <v>888393452</v>
      </c>
      <c r="S143" s="115">
        <f>DTR!S143+'Dai Loc'!S143+'Dong Lam'!S143+'Khanh Nga'!S143+TDP!S143+DTRVL!S143</f>
        <v>1186588729</v>
      </c>
      <c r="T143" s="115">
        <f>DTR!T143+'Dai Loc'!T143+'Dong Lam'!T143+'Khanh Nga'!T143+TDP!T143+DTRVL!T143</f>
        <v>1448899822</v>
      </c>
      <c r="U143" s="115">
        <f>DTR!U143+'Dai Loc'!U143+'Dong Lam'!U143+'Khanh Nga'!U143+TDP!U143+DTRVL!U143</f>
        <v>1245210526</v>
      </c>
      <c r="V143" s="115">
        <f>DTR!V143+'Dai Loc'!V143+'Dong Lam'!V143+'Khanh Nga'!V143+TDP!V143+DTRVL!V143</f>
        <v>1303560910</v>
      </c>
      <c r="W143" s="115">
        <f>DTR!W143+'Dai Loc'!W143+'Dong Lam'!W143+'Khanh Nga'!W143+TDP!W143+DTRVL!W143</f>
        <v>1595764355</v>
      </c>
      <c r="X143" s="115">
        <f>DTR!X143+'Dai Loc'!X143+'Dong Lam'!X143+'Khanh Nga'!X143+TDP!X143+DTRVL!X143</f>
        <v>1368802426</v>
      </c>
      <c r="Y143" s="115">
        <f>DTR!Y143+'Dai Loc'!Y143+'Dong Lam'!Y143+'Khanh Nga'!Y143+TDP!Y143+DTRVL!Y143</f>
        <v>1256132292</v>
      </c>
      <c r="Z143" s="115">
        <f>DTR!Z143+'Dai Loc'!Z143+'Dong Lam'!Z143+'Khanh Nga'!Z143+TDP!Z143+DTRVL!Z143</f>
        <v>1256103396</v>
      </c>
      <c r="AA143" s="119">
        <f>'Hop cong'!AA143</f>
        <v>1440729191.0893345</v>
      </c>
      <c r="AB143" s="115">
        <f>'Hop cong'!AB143</f>
        <v>2314401491.6227865</v>
      </c>
      <c r="AC143" s="115">
        <f>'Hop cong'!AC143</f>
        <v>2754845108.8531456</v>
      </c>
      <c r="AD143" s="115">
        <f>'Hop cong'!AD143</f>
        <v>2658973977.945015</v>
      </c>
      <c r="AE143" s="115">
        <f>'Hop cong'!AE143</f>
        <v>2984563857.6971397</v>
      </c>
      <c r="AF143" s="115">
        <f>'Hop cong'!AF143</f>
        <v>3083765892.6644506</v>
      </c>
      <c r="AG143" s="115">
        <f>'Hop cong'!AG143</f>
        <v>3139619158.6549101</v>
      </c>
      <c r="AH143" s="115">
        <f>'Hop cong'!AH143</f>
        <v>3321581053.7279758</v>
      </c>
      <c r="AI143" s="115">
        <f>'Hop cong'!AI143</f>
        <v>3248341883.5147653</v>
      </c>
      <c r="AJ143" s="115">
        <f>'Hop cong'!AJ143</f>
        <v>3254733184.6761322</v>
      </c>
      <c r="AK143" s="115">
        <f>'Hop cong'!AK143</f>
        <v>3261994460.9206567</v>
      </c>
      <c r="AL143" s="115">
        <f>'Hop cong'!AL143</f>
        <v>3102355062.0342407</v>
      </c>
      <c r="AM143" s="127">
        <f t="shared" si="4"/>
        <v>34565904323.400558</v>
      </c>
    </row>
    <row r="144" spans="1:52" s="107" customFormat="1" ht="15" customHeight="1">
      <c r="A144" s="113" t="s">
        <v>229</v>
      </c>
      <c r="B144" s="114">
        <v>11</v>
      </c>
      <c r="C144" s="115">
        <f>DTR!C144+'Dai Loc'!C144+'Dong Lam'!C144+'Khanh Nga'!C144+TDP!C144+DTRVL!C144</f>
        <v>4849994610</v>
      </c>
      <c r="D144" s="115">
        <f>DTR!D144+'Dai Loc'!D144+'Dong Lam'!D144+'Khanh Nga'!D144+TDP!D144+DTRVL!D144</f>
        <v>1560472559</v>
      </c>
      <c r="E144" s="115">
        <f>DTR!E144+'Dai Loc'!E144+'Dong Lam'!E144+'Khanh Nga'!E144+TDP!E144+DTRVL!E144</f>
        <v>4219375143</v>
      </c>
      <c r="F144" s="115">
        <f>DTR!F144+'Dai Loc'!F144+'Dong Lam'!F144+'Khanh Nga'!F144+TDP!F144+DTRVL!F144</f>
        <v>4926459549</v>
      </c>
      <c r="G144" s="115">
        <f>DTR!G144+'Dai Loc'!G144+'Dong Lam'!G144+'Khanh Nga'!G144+TDP!G144+DTRVL!G144</f>
        <v>2125110954</v>
      </c>
      <c r="H144" s="115">
        <f>DTR!H144+'Dai Loc'!H144+'Dong Lam'!H144+'Khanh Nga'!H144+TDP!H144+DTRVL!H144</f>
        <v>2824966874</v>
      </c>
      <c r="I144" s="115">
        <f>DTR!I144+'Dai Loc'!I144+'Dong Lam'!I144+'Khanh Nga'!I144+TDP!I144+DTRVL!I144</f>
        <v>2596964337</v>
      </c>
      <c r="J144" s="115">
        <f>DTR!J144+'Dai Loc'!J144+'Dong Lam'!J144+'Khanh Nga'!J144+TDP!J144+DTRVL!J144</f>
        <v>8480107205</v>
      </c>
      <c r="K144" s="115">
        <f>DTR!K144+'Dai Loc'!K144+'Dong Lam'!K144+'Khanh Nga'!K144+TDP!K144+DTRVL!K144</f>
        <v>7368729523</v>
      </c>
      <c r="L144" s="115">
        <f>DTR!L144+'Dai Loc'!L144+'Dong Lam'!L144+'Khanh Nga'!L144+TDP!L144+DTRVL!L144</f>
        <v>4936551194</v>
      </c>
      <c r="M144" s="115">
        <f>DTR!M144+'Dai Loc'!M144+'Dong Lam'!M144+'Khanh Nga'!M144+TDP!M144+DTRVL!M144</f>
        <v>2249627546</v>
      </c>
      <c r="N144" s="115">
        <f>DTR!N144+'Dai Loc'!N144+'Dong Lam'!N144+'Khanh Nga'!N144+TDP!N144+DTRVL!N144</f>
        <v>10540748080</v>
      </c>
      <c r="O144" s="115">
        <f>DTR!O144+'Dai Loc'!O144+'Dong Lam'!O144+'Khanh Nga'!O144+TDP!O144+DTRVL!O144</f>
        <v>4181224849</v>
      </c>
      <c r="P144" s="115">
        <f>DTR!P144+'Dai Loc'!P144+'Dong Lam'!P144+'Khanh Nga'!P144+TDP!P144+DTRVL!P144</f>
        <v>6634982258</v>
      </c>
      <c r="Q144" s="115">
        <f>DTR!Q144+'Dai Loc'!Q144+'Dong Lam'!Q144+'Khanh Nga'!Q144+TDP!Q144+DTRVL!Q144</f>
        <v>5629444776</v>
      </c>
      <c r="R144" s="115">
        <f>DTR!R144+'Dai Loc'!R144+'Dong Lam'!R144+'Khanh Nga'!R144+TDP!R144+DTRVL!R144</f>
        <v>4622826734</v>
      </c>
      <c r="S144" s="115">
        <f>DTR!S144+'Dai Loc'!S144+'Dong Lam'!S144+'Khanh Nga'!S144+TDP!S144+DTRVL!S144</f>
        <v>5242336575</v>
      </c>
      <c r="T144" s="115">
        <f>DTR!T144+'Dai Loc'!T144+'Dong Lam'!T144+'Khanh Nga'!T144+TDP!T144+DTRVL!T144</f>
        <v>5451129528</v>
      </c>
      <c r="U144" s="115">
        <f>DTR!U144+'Dai Loc'!U144+'Dong Lam'!U144+'Khanh Nga'!U144+TDP!U144+DTRVL!U144</f>
        <v>4248972349</v>
      </c>
      <c r="V144" s="115">
        <f>DTR!V144+'Dai Loc'!V144+'Dong Lam'!V144+'Khanh Nga'!V144+TDP!V144+DTRVL!V144</f>
        <v>5750995751</v>
      </c>
      <c r="W144" s="115">
        <f>DTR!W144+'Dai Loc'!W144+'Dong Lam'!W144+'Khanh Nga'!W144+TDP!W144+DTRVL!W144</f>
        <v>3513998286</v>
      </c>
      <c r="X144" s="115">
        <f>DTR!X144+'Dai Loc'!X144+'Dong Lam'!X144+'Khanh Nga'!X144+TDP!X144+DTRVL!X144</f>
        <v>7273403934</v>
      </c>
      <c r="Y144" s="115">
        <f>DTR!Y144+'Dai Loc'!Y144+'Dong Lam'!Y144+'Khanh Nga'!Y144+TDP!Y144+DTRVL!Y144</f>
        <v>3829549635</v>
      </c>
      <c r="Z144" s="115">
        <f>DTR!Z144+'Dai Loc'!Z144+'Dong Lam'!Z144+'Khanh Nga'!Z144+TDP!Z144+DTRVL!Z144</f>
        <v>5263385605</v>
      </c>
      <c r="AA144" s="119">
        <f>'Hop cong'!AA144</f>
        <v>5784175968.9827738</v>
      </c>
      <c r="AB144" s="115">
        <f>'Hop cong'!AB144</f>
        <v>4543425733.8565702</v>
      </c>
      <c r="AC144" s="115">
        <f>'Hop cong'!AC144</f>
        <v>5327519947.7613325</v>
      </c>
      <c r="AD144" s="115">
        <f>'Hop cong'!AD144</f>
        <v>4755578140.938798</v>
      </c>
      <c r="AE144" s="115">
        <f>'Hop cong'!AE144</f>
        <v>6335307781.7256823</v>
      </c>
      <c r="AF144" s="115">
        <f>'Hop cong'!AF144</f>
        <v>5675236412.4745131</v>
      </c>
      <c r="AG144" s="115">
        <f>'Hop cong'!AG144</f>
        <v>5052170571.0964689</v>
      </c>
      <c r="AH144" s="115">
        <f>'Hop cong'!AH144</f>
        <v>4936337765.8505669</v>
      </c>
      <c r="AI144" s="115">
        <f>'Hop cong'!AI144</f>
        <v>6919304369.0964708</v>
      </c>
      <c r="AJ144" s="115">
        <f>'Hop cong'!AJ144</f>
        <v>5101990953.5700579</v>
      </c>
      <c r="AK144" s="115">
        <f>'Hop cong'!AK144</f>
        <v>5416826877.9853573</v>
      </c>
      <c r="AL144" s="115">
        <f>'Hop cong'!AL144</f>
        <v>5525603708.9471073</v>
      </c>
      <c r="AM144" s="131">
        <f t="shared" si="4"/>
        <v>65373478232.285706</v>
      </c>
    </row>
    <row r="145" spans="1:39" s="107" customFormat="1" ht="15" customHeight="1">
      <c r="A145" s="113" t="s">
        <v>230</v>
      </c>
      <c r="B145" s="114">
        <v>12</v>
      </c>
      <c r="C145" s="115">
        <f>DTR!C145+'Dai Loc'!C145+'Dong Lam'!C145+'Khanh Nga'!C145+TDP!C145+DTRVL!C145</f>
        <v>5698695249</v>
      </c>
      <c r="D145" s="115">
        <f>DTR!D145+'Dai Loc'!D145+'Dong Lam'!D145+'Khanh Nga'!D145+TDP!D145+DTRVL!D145</f>
        <v>5090845577</v>
      </c>
      <c r="E145" s="115">
        <f>DTR!E145+'Dai Loc'!E145+'Dong Lam'!E145+'Khanh Nga'!E145+TDP!E145+DTRVL!E145</f>
        <v>5285019459</v>
      </c>
      <c r="F145" s="115">
        <f>DTR!F145+'Dai Loc'!F145+'Dong Lam'!F145+'Khanh Nga'!F145+TDP!F145+DTRVL!F145</f>
        <v>5584474639</v>
      </c>
      <c r="G145" s="115">
        <f>DTR!G145+'Dai Loc'!G145+'Dong Lam'!G145+'Khanh Nga'!G145+TDP!G145+DTRVL!G145</f>
        <v>6069340865</v>
      </c>
      <c r="H145" s="115">
        <f>DTR!H145+'Dai Loc'!H145+'Dong Lam'!H145+'Khanh Nga'!H145+TDP!H145+DTRVL!H145</f>
        <v>5881960019</v>
      </c>
      <c r="I145" s="115">
        <f>DTR!I145+'Dai Loc'!I145+'Dong Lam'!I145+'Khanh Nga'!I145+TDP!I145+DTRVL!I145</f>
        <v>5698093117</v>
      </c>
      <c r="J145" s="115">
        <f>DTR!J145+'Dai Loc'!J145+'Dong Lam'!J145+'Khanh Nga'!J145+TDP!J145+DTRVL!J145</f>
        <v>6840474838</v>
      </c>
      <c r="K145" s="115">
        <f>DTR!K145+'Dai Loc'!K145+'Dong Lam'!K145+'Khanh Nga'!K145+TDP!K145+DTRVL!K145</f>
        <v>8084946891</v>
      </c>
      <c r="L145" s="115">
        <f>DTR!L145+'Dai Loc'!L145+'Dong Lam'!L145+'Khanh Nga'!L145+TDP!L145+DTRVL!L145</f>
        <v>8025871294</v>
      </c>
      <c r="M145" s="115">
        <f>DTR!M145+'Dai Loc'!M145+'Dong Lam'!M145+'Khanh Nga'!M145+TDP!M145+DTRVL!M145</f>
        <v>9126335400</v>
      </c>
      <c r="N145" s="115">
        <f>DTR!N145+'Dai Loc'!N145+'Dong Lam'!N145+'Khanh Nga'!N145+TDP!N145+DTRVL!N145</f>
        <v>7087963087</v>
      </c>
      <c r="O145" s="115">
        <f>DTR!O145+'Dai Loc'!O145+'Dong Lam'!O145+'Khanh Nga'!O145+TDP!O145+DTRVL!O145</f>
        <v>8548199037</v>
      </c>
      <c r="P145" s="115">
        <f>DTR!P145+'Dai Loc'!P145+'Dong Lam'!P145+'Khanh Nga'!P145+TDP!P145+DTRVL!P145</f>
        <v>8928537962</v>
      </c>
      <c r="Q145" s="115">
        <f>DTR!Q145+'Dai Loc'!Q145+'Dong Lam'!Q145+'Khanh Nga'!Q145+TDP!Q145+DTRVL!Q145</f>
        <v>8618282018</v>
      </c>
      <c r="R145" s="115">
        <f>DTR!R145+'Dai Loc'!R145+'Dong Lam'!R145+'Khanh Nga'!R145+TDP!R145+DTRVL!R145</f>
        <v>8518246563</v>
      </c>
      <c r="S145" s="115">
        <f>DTR!S145+'Dai Loc'!S145+'Dong Lam'!S145+'Khanh Nga'!S145+TDP!S145+DTRVL!S145</f>
        <v>9277438311</v>
      </c>
      <c r="T145" s="115">
        <f>DTR!T145+'Dai Loc'!T145+'Dong Lam'!T145+'Khanh Nga'!T145+TDP!T145+DTRVL!T145</f>
        <v>9026767632</v>
      </c>
      <c r="U145" s="115">
        <f>DTR!U145+'Dai Loc'!U145+'Dong Lam'!U145+'Khanh Nga'!U145+TDP!U145+DTRVL!U145</f>
        <v>8998978187</v>
      </c>
      <c r="V145" s="115">
        <f>DTR!V145+'Dai Loc'!V145+'Dong Lam'!V145+'Khanh Nga'!V145+TDP!V145+DTRVL!V145</f>
        <v>9320823983</v>
      </c>
      <c r="W145" s="115">
        <f>DTR!W145+'Dai Loc'!W145+'Dong Lam'!W145+'Khanh Nga'!W145+TDP!W145+DTRVL!W145</f>
        <v>10936858648</v>
      </c>
      <c r="X145" s="115">
        <f>DTR!X145+'Dai Loc'!X145+'Dong Lam'!X145+'Khanh Nga'!X145+TDP!X145+DTRVL!X145</f>
        <v>5273319876</v>
      </c>
      <c r="Y145" s="115">
        <f>DTR!Y145+'Dai Loc'!Y145+'Dong Lam'!Y145+'Khanh Nga'!Y145+TDP!Y145+DTRVL!Y145</f>
        <v>11469860627</v>
      </c>
      <c r="Z145" s="115">
        <f>DTR!Z145+'Dai Loc'!Z145+'Dong Lam'!Z145+'Khanh Nga'!Z145+TDP!Z145+DTRVL!Z145</f>
        <v>12679478668</v>
      </c>
      <c r="AA145" s="119">
        <f>'Hop cong'!AA145</f>
        <v>10459232108.664087</v>
      </c>
      <c r="AB145" s="115">
        <f>'Hop cong'!AB145</f>
        <v>8973005312.6781425</v>
      </c>
      <c r="AC145" s="115">
        <f>'Hop cong'!AC145</f>
        <v>8898059360.5499115</v>
      </c>
      <c r="AD145" s="115">
        <f>'Hop cong'!AD145</f>
        <v>9011687661.5691586</v>
      </c>
      <c r="AE145" s="115">
        <f>'Hop cong'!AE145</f>
        <v>9146478987.4667854</v>
      </c>
      <c r="AF145" s="115">
        <f>'Hop cong'!AF145</f>
        <v>9595363924.6966763</v>
      </c>
      <c r="AG145" s="115">
        <f>'Hop cong'!AG145</f>
        <v>10022639147.481375</v>
      </c>
      <c r="AH145" s="115">
        <f>'Hop cong'!AH145</f>
        <v>10529772671.456768</v>
      </c>
      <c r="AI145" s="115">
        <f>'Hop cong'!AI145</f>
        <v>9535865291.1497402</v>
      </c>
      <c r="AJ145" s="115">
        <f>'Hop cong'!AJ145</f>
        <v>9108679136.8471928</v>
      </c>
      <c r="AK145" s="115">
        <f>'Hop cong'!AK145</f>
        <v>9238634630.2021885</v>
      </c>
      <c r="AL145" s="115">
        <f>'Hop cong'!AL145</f>
        <v>11454542815.86355</v>
      </c>
      <c r="AM145" s="131">
        <f t="shared" si="4"/>
        <v>115973961048.6256</v>
      </c>
    </row>
    <row r="146" spans="1:39" s="107" customFormat="1" ht="15" customHeight="1">
      <c r="A146" s="108" t="s">
        <v>231</v>
      </c>
      <c r="B146" s="109">
        <v>13</v>
      </c>
      <c r="C146" s="122">
        <f>DTR!C146+'Dai Loc'!C146+'Dong Lam'!C146+'Khanh Nga'!C146+TDP!C146+DTRVL!C146</f>
        <v>-665344647</v>
      </c>
      <c r="D146" s="122">
        <f>DTR!D146+'Dai Loc'!D146+'Dong Lam'!D146+'Khanh Nga'!D146+TDP!D146+DTRVL!D146</f>
        <v>-6751041323</v>
      </c>
      <c r="E146" s="122">
        <f>DTR!E146+'Dai Loc'!E146+'Dong Lam'!E146+'Khanh Nga'!E146+TDP!E146+DTRVL!E146</f>
        <v>-2703219668</v>
      </c>
      <c r="F146" s="122">
        <f>DTR!F146+'Dai Loc'!F146+'Dong Lam'!F146+'Khanh Nga'!F146+TDP!F146+DTRVL!F146</f>
        <v>1671294571</v>
      </c>
      <c r="G146" s="122">
        <f>DTR!G146+'Dai Loc'!G146+'Dong Lam'!G146+'Khanh Nga'!G146+TDP!G146+DTRVL!G146</f>
        <v>-5656191968</v>
      </c>
      <c r="H146" s="122">
        <f>DTR!H146+'Dai Loc'!H146+'Dong Lam'!H146+'Khanh Nga'!H146+TDP!H146+DTRVL!H146</f>
        <v>-12035614229</v>
      </c>
      <c r="I146" s="122">
        <f>DTR!I146+'Dai Loc'!I146+'Dong Lam'!I146+'Khanh Nga'!I146+TDP!I146+DTRVL!I146</f>
        <v>-15241057889</v>
      </c>
      <c r="J146" s="122">
        <f>DTR!J146+'Dai Loc'!J146+'Dong Lam'!J146+'Khanh Nga'!J146+TDP!J146+DTRVL!J146</f>
        <v>-10193223065</v>
      </c>
      <c r="K146" s="122">
        <f>DTR!K146+'Dai Loc'!K146+'Dong Lam'!K146+'Khanh Nga'!K146+TDP!K146+DTRVL!K146</f>
        <v>8119731097</v>
      </c>
      <c r="L146" s="122">
        <f>DTR!L146+'Dai Loc'!L146+'Dong Lam'!L146+'Khanh Nga'!L146+TDP!L146+DTRVL!L146</f>
        <v>-6174750278</v>
      </c>
      <c r="M146" s="122">
        <f>DTR!M146+'Dai Loc'!M146+'Dong Lam'!M146+'Khanh Nga'!M146+TDP!M146+DTRVL!M146</f>
        <v>-7317145513</v>
      </c>
      <c r="N146" s="122">
        <f>DTR!N146+'Dai Loc'!N146+'Dong Lam'!N146+'Khanh Nga'!N146+TDP!N146+DTRVL!N146</f>
        <v>111718028907</v>
      </c>
      <c r="O146" s="122">
        <f>DTR!O146+'Dai Loc'!O146+'Dong Lam'!O146+'Khanh Nga'!O146+TDP!O146+DTRVL!O146</f>
        <v>3054598020</v>
      </c>
      <c r="P146" s="122">
        <f>DTR!P146+'Dai Loc'!P146+'Dong Lam'!P146+'Khanh Nga'!P146+TDP!P146+DTRVL!P146</f>
        <v>17199268998</v>
      </c>
      <c r="Q146" s="122">
        <f>DTR!Q146+'Dai Loc'!Q146+'Dong Lam'!Q146+'Khanh Nga'!Q146+TDP!Q146+DTRVL!Q146</f>
        <v>6977214348</v>
      </c>
      <c r="R146" s="122">
        <f>DTR!R146+'Dai Loc'!R146+'Dong Lam'!R146+'Khanh Nga'!R146+TDP!R146+DTRVL!R146</f>
        <v>3906443232</v>
      </c>
      <c r="S146" s="122">
        <f>DTR!S146+'Dai Loc'!S146+'Dong Lam'!S146+'Khanh Nga'!S146+TDP!S146+DTRVL!S146</f>
        <v>10850283752</v>
      </c>
      <c r="T146" s="122">
        <f>DTR!T146+'Dai Loc'!T146+'Dong Lam'!T146+'Khanh Nga'!T146+TDP!T146+DTRVL!T146</f>
        <v>870990690</v>
      </c>
      <c r="U146" s="122">
        <f>DTR!U146+'Dai Loc'!U146+'Dong Lam'!U146+'Khanh Nga'!U146+TDP!U146+DTRVL!U146</f>
        <v>626449238</v>
      </c>
      <c r="V146" s="122">
        <f>DTR!V146+'Dai Loc'!V146+'Dong Lam'!V146+'Khanh Nga'!V146+TDP!V146+DTRVL!V146</f>
        <v>2789713644</v>
      </c>
      <c r="W146" s="122">
        <f>DTR!W146+'Dai Loc'!W146+'Dong Lam'!W146+'Khanh Nga'!W146+TDP!W146+DTRVL!W146</f>
        <v>-11991396156</v>
      </c>
      <c r="X146" s="122">
        <f>DTR!X146+'Dai Loc'!X146+'Dong Lam'!X146+'Khanh Nga'!X146+TDP!X146+DTRVL!X146</f>
        <v>-1907367248</v>
      </c>
      <c r="Y146" s="122">
        <f>DTR!Y146+'Dai Loc'!Y146+'Dong Lam'!Y146+'Khanh Nga'!Y146+TDP!Y146+DTRVL!Y146</f>
        <v>-7740922158</v>
      </c>
      <c r="Z146" s="122">
        <f>DTR!Z146+'Dai Loc'!Z146+'Dong Lam'!Z146+'Khanh Nga'!Z146+TDP!Z146+DTRVL!Z146</f>
        <v>17724936706</v>
      </c>
      <c r="AA146" s="123">
        <f>AA139+AA140+AA141-AA142-AA144-AA145</f>
        <v>601502786.20493126</v>
      </c>
      <c r="AB146" s="124">
        <f t="shared" ref="AB146:AL146" si="7">AB139+AB140+AB141-AB142-AB144-AB145</f>
        <v>-4314677890.2602262</v>
      </c>
      <c r="AC146" s="124">
        <f t="shared" si="7"/>
        <v>4436564006.304203</v>
      </c>
      <c r="AD146" s="124">
        <f t="shared" si="7"/>
        <v>2796510279.3515911</v>
      </c>
      <c r="AE146" s="124">
        <f t="shared" si="7"/>
        <v>2981179891.7924576</v>
      </c>
      <c r="AF146" s="124">
        <f t="shared" si="7"/>
        <v>2005021479.4357777</v>
      </c>
      <c r="AG146" s="124">
        <f t="shared" si="7"/>
        <v>7816844330.4937115</v>
      </c>
      <c r="AH146" s="124">
        <f t="shared" si="7"/>
        <v>6617593476.967308</v>
      </c>
      <c r="AI146" s="124">
        <f t="shared" si="7"/>
        <v>6069842860.8660336</v>
      </c>
      <c r="AJ146" s="124">
        <f t="shared" si="7"/>
        <v>7063528681.9640789</v>
      </c>
      <c r="AK146" s="124">
        <f t="shared" si="7"/>
        <v>7433416300.2930069</v>
      </c>
      <c r="AL146" s="124">
        <f t="shared" si="7"/>
        <v>5300282191.2253189</v>
      </c>
      <c r="AM146" s="125">
        <f t="shared" si="4"/>
        <v>48807608394.638191</v>
      </c>
    </row>
    <row r="147" spans="1:39" s="107" customFormat="1" ht="15" customHeight="1">
      <c r="A147" s="113" t="s">
        <v>232</v>
      </c>
      <c r="B147" s="114">
        <v>14</v>
      </c>
      <c r="C147" s="115">
        <f>DTR!C147+'Dai Loc'!C147+'Dong Lam'!C147+'Khanh Nga'!C147+TDP!C147+DTRVL!C147</f>
        <v>1945</v>
      </c>
      <c r="D147" s="115">
        <f>DTR!D147+'Dai Loc'!D147+'Dong Lam'!D147+'Khanh Nga'!D147+TDP!D147+DTRVL!D147</f>
        <v>1109349</v>
      </c>
      <c r="E147" s="115">
        <f>DTR!E147+'Dai Loc'!E147+'Dong Lam'!E147+'Khanh Nga'!E147+TDP!E147+DTRVL!E147</f>
        <v>0</v>
      </c>
      <c r="F147" s="115">
        <f>DTR!F147+'Dai Loc'!F147+'Dong Lam'!F147+'Khanh Nga'!F147+TDP!F147+DTRVL!F147</f>
        <v>81700000</v>
      </c>
      <c r="G147" s="115">
        <f>DTR!G147+'Dai Loc'!G147+'Dong Lam'!G147+'Khanh Nga'!G147+TDP!G147+DTRVL!G147</f>
        <v>4696127</v>
      </c>
      <c r="H147" s="115">
        <f>DTR!H147+'Dai Loc'!H147+'Dong Lam'!H147+'Khanh Nga'!H147+TDP!H147+DTRVL!H147</f>
        <v>64937878</v>
      </c>
      <c r="I147" s="115">
        <f>DTR!I147+'Dai Loc'!I147+'Dong Lam'!I147+'Khanh Nga'!I147+TDP!I147+DTRVL!I147</f>
        <v>54384750</v>
      </c>
      <c r="J147" s="115">
        <f>DTR!J147+'Dai Loc'!J147+'Dong Lam'!J147+'Khanh Nga'!J147+TDP!J147+DTRVL!J147</f>
        <v>184242778</v>
      </c>
      <c r="K147" s="115">
        <f>DTR!K147+'Dai Loc'!K147+'Dong Lam'!K147+'Khanh Nga'!K147+TDP!K147+DTRVL!K147</f>
        <v>5869054</v>
      </c>
      <c r="L147" s="115">
        <f>DTR!L147+'Dai Loc'!L147+'Dong Lam'!L147+'Khanh Nga'!L147+TDP!L147+DTRVL!L147</f>
        <v>3145774</v>
      </c>
      <c r="M147" s="115">
        <f>DTR!M147+'Dai Loc'!M147+'Dong Lam'!M147+'Khanh Nga'!M147+TDP!M147+DTRVL!M147</f>
        <v>1405742798</v>
      </c>
      <c r="N147" s="115">
        <f>DTR!N147+'Dai Loc'!N147+'Dong Lam'!N147+'Khanh Nga'!N147+TDP!N147+DTRVL!N147</f>
        <v>7237102</v>
      </c>
      <c r="O147" s="115">
        <f>DTR!O147+'Dai Loc'!O147+'Dong Lam'!O147+'Khanh Nga'!O147+TDP!O147+DTRVL!O147</f>
        <v>105489733</v>
      </c>
      <c r="P147" s="115">
        <f>DTR!P147+'Dai Loc'!P147+'Dong Lam'!P147+'Khanh Nga'!P147+TDP!P147+DTRVL!P147</f>
        <v>7492780</v>
      </c>
      <c r="Q147" s="115">
        <f>DTR!Q147+'Dai Loc'!Q147+'Dong Lam'!Q147+'Khanh Nga'!Q147+TDP!Q147+DTRVL!Q147</f>
        <v>22177722</v>
      </c>
      <c r="R147" s="115">
        <f>DTR!R147+'Dai Loc'!R147+'Dong Lam'!R147+'Khanh Nga'!R147+TDP!R147+DTRVL!R147</f>
        <v>54899780</v>
      </c>
      <c r="S147" s="115">
        <f>DTR!S147+'Dai Loc'!S147+'Dong Lam'!S147+'Khanh Nga'!S147+TDP!S147+DTRVL!S147</f>
        <v>136977736</v>
      </c>
      <c r="T147" s="115">
        <f>DTR!T147+'Dai Loc'!T147+'Dong Lam'!T147+'Khanh Nga'!T147+TDP!T147+DTRVL!T147</f>
        <v>60909877</v>
      </c>
      <c r="U147" s="115">
        <f>DTR!U147+'Dai Loc'!U147+'Dong Lam'!U147+'Khanh Nga'!U147+TDP!U147+DTRVL!U147</f>
        <v>45395718</v>
      </c>
      <c r="V147" s="115">
        <f>DTR!V147+'Dai Loc'!V147+'Dong Lam'!V147+'Khanh Nga'!V147+TDP!V147+DTRVL!V147</f>
        <v>516819765</v>
      </c>
      <c r="W147" s="115">
        <f>DTR!W147+'Dai Loc'!W147+'Dong Lam'!W147+'Khanh Nga'!W147+TDP!W147+DTRVL!W147</f>
        <v>15045562</v>
      </c>
      <c r="X147" s="115">
        <f>DTR!X147+'Dai Loc'!X147+'Dong Lam'!X147+'Khanh Nga'!X147+TDP!X147+DTRVL!X147</f>
        <v>25464983</v>
      </c>
      <c r="Y147" s="115">
        <f>DTR!Y147+'Dai Loc'!Y147+'Dong Lam'!Y147+'Khanh Nga'!Y147+TDP!Y147+DTRVL!Y147</f>
        <v>8392356</v>
      </c>
      <c r="Z147" s="115">
        <f>DTR!Z147+'Dai Loc'!Z147+'Dong Lam'!Z147+'Khanh Nga'!Z147+TDP!Z147+DTRVL!Z147</f>
        <v>173856112</v>
      </c>
      <c r="AA147" s="119">
        <f>'Hop cong'!AA147</f>
        <v>0</v>
      </c>
      <c r="AB147" s="115">
        <f>'Hop cong'!AB147</f>
        <v>0</v>
      </c>
      <c r="AC147" s="115">
        <f>'Hop cong'!AC147</f>
        <v>0</v>
      </c>
      <c r="AD147" s="115">
        <f>'Hop cong'!AD147</f>
        <v>0</v>
      </c>
      <c r="AE147" s="115">
        <f>'Hop cong'!AE147</f>
        <v>0</v>
      </c>
      <c r="AF147" s="115">
        <f>'Hop cong'!AF147</f>
        <v>0</v>
      </c>
      <c r="AG147" s="115">
        <f>'Hop cong'!AG147</f>
        <v>0</v>
      </c>
      <c r="AH147" s="115">
        <f>'Hop cong'!AH147</f>
        <v>0</v>
      </c>
      <c r="AI147" s="115">
        <f>'Hop cong'!AI147</f>
        <v>0</v>
      </c>
      <c r="AJ147" s="115">
        <f>'Hop cong'!AJ147</f>
        <v>0</v>
      </c>
      <c r="AK147" s="115">
        <f>'Hop cong'!AK147</f>
        <v>0</v>
      </c>
      <c r="AL147" s="115">
        <f>'Hop cong'!AL147</f>
        <v>0</v>
      </c>
      <c r="AM147" s="127">
        <f t="shared" si="4"/>
        <v>0</v>
      </c>
    </row>
    <row r="148" spans="1:39" s="107" customFormat="1" ht="15" customHeight="1">
      <c r="A148" s="113" t="s">
        <v>233</v>
      </c>
      <c r="B148" s="114">
        <v>15</v>
      </c>
      <c r="C148" s="115">
        <f>DTR!C148+'Dai Loc'!C148+'Dong Lam'!C148+'Khanh Nga'!C148+TDP!C148+DTRVL!C148</f>
        <v>54643068</v>
      </c>
      <c r="D148" s="115">
        <f>DTR!D148+'Dai Loc'!D148+'Dong Lam'!D148+'Khanh Nga'!D148+TDP!D148+DTRVL!D148</f>
        <v>9000870</v>
      </c>
      <c r="E148" s="115">
        <f>DTR!E148+'Dai Loc'!E148+'Dong Lam'!E148+'Khanh Nga'!E148+TDP!E148+DTRVL!E148</f>
        <v>40101620</v>
      </c>
      <c r="F148" s="115">
        <f>DTR!F148+'Dai Loc'!F148+'Dong Lam'!F148+'Khanh Nga'!F148+TDP!F148+DTRVL!F148</f>
        <v>84654154</v>
      </c>
      <c r="G148" s="115">
        <f>DTR!G148+'Dai Loc'!G148+'Dong Lam'!G148+'Khanh Nga'!G148+TDP!G148+DTRVL!G148</f>
        <v>40312330</v>
      </c>
      <c r="H148" s="115">
        <f>DTR!H148+'Dai Loc'!H148+'Dong Lam'!H148+'Khanh Nga'!H148+TDP!H148+DTRVL!H148</f>
        <v>171972294</v>
      </c>
      <c r="I148" s="115">
        <f>DTR!I148+'Dai Loc'!I148+'Dong Lam'!I148+'Khanh Nga'!I148+TDP!I148+DTRVL!I148</f>
        <v>7603195</v>
      </c>
      <c r="J148" s="115">
        <f>DTR!J148+'Dai Loc'!J148+'Dong Lam'!J148+'Khanh Nga'!J148+TDP!J148+DTRVL!J148</f>
        <v>4413241</v>
      </c>
      <c r="K148" s="115">
        <f>DTR!K148+'Dai Loc'!K148+'Dong Lam'!K148+'Khanh Nga'!K148+TDP!K148+DTRVL!K148</f>
        <v>7331553</v>
      </c>
      <c r="L148" s="115">
        <f>DTR!L148+'Dai Loc'!L148+'Dong Lam'!L148+'Khanh Nga'!L148+TDP!L148+DTRVL!L148</f>
        <v>177107310</v>
      </c>
      <c r="M148" s="115">
        <f>DTR!M148+'Dai Loc'!M148+'Dong Lam'!M148+'Khanh Nga'!M148+TDP!M148+DTRVL!M148</f>
        <v>140746957</v>
      </c>
      <c r="N148" s="115">
        <f>DTR!N148+'Dai Loc'!N148+'Dong Lam'!N148+'Khanh Nga'!N148+TDP!N148+DTRVL!N148</f>
        <v>8816704270</v>
      </c>
      <c r="O148" s="115">
        <f>DTR!O148+'Dai Loc'!O148+'Dong Lam'!O148+'Khanh Nga'!O148+TDP!O148+DTRVL!O148</f>
        <v>60241342</v>
      </c>
      <c r="P148" s="115">
        <f>DTR!P148+'Dai Loc'!P148+'Dong Lam'!P148+'Khanh Nga'!P148+TDP!P148+DTRVL!P148</f>
        <v>133833312</v>
      </c>
      <c r="Q148" s="115">
        <f>DTR!Q148+'Dai Loc'!Q148+'Dong Lam'!Q148+'Khanh Nga'!Q148+TDP!Q148+DTRVL!Q148</f>
        <v>2500000</v>
      </c>
      <c r="R148" s="115">
        <f>DTR!R148+'Dai Loc'!R148+'Dong Lam'!R148+'Khanh Nga'!R148+TDP!R148+DTRVL!R148</f>
        <v>24808640</v>
      </c>
      <c r="S148" s="115">
        <f>DTR!S148+'Dai Loc'!S148+'Dong Lam'!S148+'Khanh Nga'!S148+TDP!S148+DTRVL!S148</f>
        <v>6500600</v>
      </c>
      <c r="T148" s="115">
        <f>DTR!T148+'Dai Loc'!T148+'Dong Lam'!T148+'Khanh Nga'!T148+TDP!T148+DTRVL!T148</f>
        <v>57323484</v>
      </c>
      <c r="U148" s="115">
        <f>DTR!U148+'Dai Loc'!U148+'Dong Lam'!U148+'Khanh Nga'!U148+TDP!U148+DTRVL!U148</f>
        <v>259624976</v>
      </c>
      <c r="V148" s="115">
        <f>DTR!V148+'Dai Loc'!V148+'Dong Lam'!V148+'Khanh Nga'!V148+TDP!V148+DTRVL!V148</f>
        <v>553180625</v>
      </c>
      <c r="W148" s="115">
        <f>DTR!W148+'Dai Loc'!W148+'Dong Lam'!W148+'Khanh Nga'!W148+TDP!W148+DTRVL!W148</f>
        <v>543708002</v>
      </c>
      <c r="X148" s="115">
        <f>DTR!X148+'Dai Loc'!X148+'Dong Lam'!X148+'Khanh Nga'!X148+TDP!X148+DTRVL!X148</f>
        <v>3516569246</v>
      </c>
      <c r="Y148" s="115">
        <f>DTR!Y148+'Dai Loc'!Y148+'Dong Lam'!Y148+'Khanh Nga'!Y148+TDP!Y148+DTRVL!Y148</f>
        <v>1108557251</v>
      </c>
      <c r="Z148" s="115">
        <f>DTR!Z148+'Dai Loc'!Z148+'Dong Lam'!Z148+'Khanh Nga'!Z148+TDP!Z148+DTRVL!Z148</f>
        <v>1609092429</v>
      </c>
      <c r="AA148" s="119">
        <f>'Hop cong'!AA148</f>
        <v>433624999.99999994</v>
      </c>
      <c r="AB148" s="115">
        <f>'Hop cong'!AB148</f>
        <v>433624999.99999994</v>
      </c>
      <c r="AC148" s="115">
        <f>'Hop cong'!AC148</f>
        <v>433624999.99999994</v>
      </c>
      <c r="AD148" s="115">
        <f>'Hop cong'!AD148</f>
        <v>433624999.99999994</v>
      </c>
      <c r="AE148" s="115">
        <f>'Hop cong'!AE148</f>
        <v>433624999.99999994</v>
      </c>
      <c r="AF148" s="115">
        <f>'Hop cong'!AF148</f>
        <v>433624999.99999994</v>
      </c>
      <c r="AG148" s="115">
        <f>'Hop cong'!AG148</f>
        <v>433624999.99999994</v>
      </c>
      <c r="AH148" s="115">
        <f>'Hop cong'!AH148</f>
        <v>433624999.99999994</v>
      </c>
      <c r="AI148" s="115">
        <f>'Hop cong'!AI148</f>
        <v>433624999.99999994</v>
      </c>
      <c r="AJ148" s="115">
        <f>'Hop cong'!AJ148</f>
        <v>433624999.99999994</v>
      </c>
      <c r="AK148" s="115">
        <f>'Hop cong'!AK148</f>
        <v>433624999.99999994</v>
      </c>
      <c r="AL148" s="115">
        <f>'Hop cong'!AL148</f>
        <v>433624999.99999994</v>
      </c>
      <c r="AM148" s="127">
        <f t="shared" si="4"/>
        <v>5203499999.999999</v>
      </c>
    </row>
    <row r="149" spans="1:39" s="107" customFormat="1" ht="15" customHeight="1">
      <c r="A149" s="108" t="s">
        <v>234</v>
      </c>
      <c r="B149" s="109">
        <v>16</v>
      </c>
      <c r="C149" s="122">
        <f>DTR!C149+'Dai Loc'!C149+'Dong Lam'!C149+'Khanh Nga'!C149+TDP!C149+DTRVL!C149</f>
        <v>-54641123</v>
      </c>
      <c r="D149" s="122">
        <f>DTR!D149+'Dai Loc'!D149+'Dong Lam'!D149+'Khanh Nga'!D149+TDP!D149+DTRVL!D149</f>
        <v>-7891521</v>
      </c>
      <c r="E149" s="122">
        <f>DTR!E149+'Dai Loc'!E149+'Dong Lam'!E149+'Khanh Nga'!E149+TDP!E149+DTRVL!E149</f>
        <v>-40101620</v>
      </c>
      <c r="F149" s="122">
        <f>DTR!F149+'Dai Loc'!F149+'Dong Lam'!F149+'Khanh Nga'!F149+TDP!F149+DTRVL!F149</f>
        <v>-2954154</v>
      </c>
      <c r="G149" s="122">
        <f>DTR!G149+'Dai Loc'!G149+'Dong Lam'!G149+'Khanh Nga'!G149+TDP!G149+DTRVL!G149</f>
        <v>-35616203</v>
      </c>
      <c r="H149" s="122">
        <f>DTR!H149+'Dai Loc'!H149+'Dong Lam'!H149+'Khanh Nga'!H149+TDP!H149+DTRVL!H149</f>
        <v>-107034416</v>
      </c>
      <c r="I149" s="122">
        <f>DTR!I149+'Dai Loc'!I149+'Dong Lam'!I149+'Khanh Nga'!I149+TDP!I149+DTRVL!I149</f>
        <v>46781555</v>
      </c>
      <c r="J149" s="122">
        <f>DTR!J149+'Dai Loc'!J149+'Dong Lam'!J149+'Khanh Nga'!J149+TDP!J149+DTRVL!J149</f>
        <v>179829537</v>
      </c>
      <c r="K149" s="122">
        <f>DTR!K149+'Dai Loc'!K149+'Dong Lam'!K149+'Khanh Nga'!K149+TDP!K149+DTRVL!K149</f>
        <v>-1462499</v>
      </c>
      <c r="L149" s="122">
        <f>DTR!L149+'Dai Loc'!L149+'Dong Lam'!L149+'Khanh Nga'!L149+TDP!L149+DTRVL!L149</f>
        <v>-173961536</v>
      </c>
      <c r="M149" s="122">
        <f>DTR!M149+'Dai Loc'!M149+'Dong Lam'!M149+'Khanh Nga'!M149+TDP!M149+DTRVL!M149</f>
        <v>1264995841</v>
      </c>
      <c r="N149" s="122">
        <f>DTR!N149+'Dai Loc'!N149+'Dong Lam'!N149+'Khanh Nga'!N149+TDP!N149+DTRVL!N149</f>
        <v>-8809467168</v>
      </c>
      <c r="O149" s="122">
        <f>DTR!O149+'Dai Loc'!O149+'Dong Lam'!O149+'Khanh Nga'!O149+TDP!O149+DTRVL!O149</f>
        <v>45248391</v>
      </c>
      <c r="P149" s="122">
        <f>DTR!P149+'Dai Loc'!P149+'Dong Lam'!P149+'Khanh Nga'!P149+TDP!P149+DTRVL!P149</f>
        <v>-126340532</v>
      </c>
      <c r="Q149" s="122">
        <f>DTR!Q149+'Dai Loc'!Q149+'Dong Lam'!Q149+'Khanh Nga'!Q149+TDP!Q149+DTRVL!Q149</f>
        <v>19677722</v>
      </c>
      <c r="R149" s="122">
        <f>DTR!R149+'Dai Loc'!R149+'Dong Lam'!R149+'Khanh Nga'!R149+TDP!R149+DTRVL!R149</f>
        <v>30091140</v>
      </c>
      <c r="S149" s="122">
        <f>DTR!S149+'Dai Loc'!S149+'Dong Lam'!S149+'Khanh Nga'!S149+TDP!S149+DTRVL!S149</f>
        <v>130477136</v>
      </c>
      <c r="T149" s="122">
        <f>DTR!T149+'Dai Loc'!T149+'Dong Lam'!T149+'Khanh Nga'!T149+TDP!T149+DTRVL!T149</f>
        <v>3586393</v>
      </c>
      <c r="U149" s="122">
        <f>DTR!U149+'Dai Loc'!U149+'Dong Lam'!U149+'Khanh Nga'!U149+TDP!U149+DTRVL!U149</f>
        <v>-214229258</v>
      </c>
      <c r="V149" s="122">
        <f>DTR!V149+'Dai Loc'!V149+'Dong Lam'!V149+'Khanh Nga'!V149+TDP!V149+DTRVL!V149</f>
        <v>-36360860</v>
      </c>
      <c r="W149" s="122">
        <f>DTR!W149+'Dai Loc'!W149+'Dong Lam'!W149+'Khanh Nga'!W149+TDP!W149+DTRVL!W149</f>
        <v>-528662440</v>
      </c>
      <c r="X149" s="122">
        <f>DTR!X149+'Dai Loc'!X149+'Dong Lam'!X149+'Khanh Nga'!X149+TDP!X149+DTRVL!X149</f>
        <v>-3491104263</v>
      </c>
      <c r="Y149" s="122">
        <f>DTR!Y149+'Dai Loc'!Y149+'Dong Lam'!Y149+'Khanh Nga'!Y149+TDP!Y149+DTRVL!Y149</f>
        <v>-1100164895</v>
      </c>
      <c r="Z149" s="122">
        <f>DTR!Z149+'Dai Loc'!Z149+'Dong Lam'!Z149+'Khanh Nga'!Z149+TDP!Z149+DTRVL!Z149</f>
        <v>-1435236317</v>
      </c>
      <c r="AA149" s="123">
        <f>AA147-AA148</f>
        <v>-433624999.99999994</v>
      </c>
      <c r="AB149" s="124">
        <f t="shared" ref="AB149:AL149" si="8">AB147-AB148</f>
        <v>-433624999.99999994</v>
      </c>
      <c r="AC149" s="124">
        <f t="shared" si="8"/>
        <v>-433624999.99999994</v>
      </c>
      <c r="AD149" s="124">
        <f t="shared" si="8"/>
        <v>-433624999.99999994</v>
      </c>
      <c r="AE149" s="124">
        <f t="shared" si="8"/>
        <v>-433624999.99999994</v>
      </c>
      <c r="AF149" s="124">
        <f t="shared" si="8"/>
        <v>-433624999.99999994</v>
      </c>
      <c r="AG149" s="124">
        <f t="shared" si="8"/>
        <v>-433624999.99999994</v>
      </c>
      <c r="AH149" s="124">
        <f t="shared" si="8"/>
        <v>-433624999.99999994</v>
      </c>
      <c r="AI149" s="124">
        <f t="shared" si="8"/>
        <v>-433624999.99999994</v>
      </c>
      <c r="AJ149" s="124">
        <f t="shared" si="8"/>
        <v>-433624999.99999994</v>
      </c>
      <c r="AK149" s="124">
        <f t="shared" si="8"/>
        <v>-433624999.99999994</v>
      </c>
      <c r="AL149" s="124">
        <f t="shared" si="8"/>
        <v>-433624999.99999994</v>
      </c>
      <c r="AM149" s="125">
        <f t="shared" si="4"/>
        <v>-5203499999.999999</v>
      </c>
    </row>
    <row r="150" spans="1:39" s="107" customFormat="1" ht="15" customHeight="1">
      <c r="A150" s="108" t="s">
        <v>235</v>
      </c>
      <c r="B150" s="116">
        <v>17</v>
      </c>
      <c r="C150" s="122">
        <f>DTR!C150+'Dai Loc'!C150+'Dong Lam'!C150+'Khanh Nga'!C150+TDP!C150+DTRVL!C150</f>
        <v>-719985770</v>
      </c>
      <c r="D150" s="122">
        <f>DTR!D150+'Dai Loc'!D150+'Dong Lam'!D150+'Khanh Nga'!D150+TDP!D150+DTRVL!D150</f>
        <v>-6758932844</v>
      </c>
      <c r="E150" s="122">
        <f>DTR!E150+'Dai Loc'!E150+'Dong Lam'!E150+'Khanh Nga'!E150+TDP!E150+DTRVL!E150</f>
        <v>-2743321288</v>
      </c>
      <c r="F150" s="122">
        <f>DTR!F150+'Dai Loc'!F150+'Dong Lam'!F150+'Khanh Nga'!F150+TDP!F150+DTRVL!F150</f>
        <v>1668340417</v>
      </c>
      <c r="G150" s="122">
        <f>DTR!G150+'Dai Loc'!G150+'Dong Lam'!G150+'Khanh Nga'!G150+TDP!G150+DTRVL!G150</f>
        <v>-5691808171</v>
      </c>
      <c r="H150" s="122">
        <f>DTR!H150+'Dai Loc'!H150+'Dong Lam'!H150+'Khanh Nga'!H150+TDP!H150+DTRVL!H150</f>
        <v>-12142648645</v>
      </c>
      <c r="I150" s="122">
        <f>DTR!I150+'Dai Loc'!I150+'Dong Lam'!I150+'Khanh Nga'!I150+TDP!I150+DTRVL!I150</f>
        <v>-15194276334</v>
      </c>
      <c r="J150" s="122">
        <f>DTR!J150+'Dai Loc'!J150+'Dong Lam'!J150+'Khanh Nga'!J150+TDP!J150+DTRVL!J150</f>
        <v>-10014018528</v>
      </c>
      <c r="K150" s="122">
        <f>DTR!K150+'Dai Loc'!K150+'Dong Lam'!K150+'Khanh Nga'!K150+TDP!K150+DTRVL!K150</f>
        <v>8118268598</v>
      </c>
      <c r="L150" s="122">
        <f>DTR!L150+'Dai Loc'!L150+'Dong Lam'!L150+'Khanh Nga'!L150+TDP!L150+DTRVL!L150</f>
        <v>-6348711814</v>
      </c>
      <c r="M150" s="122">
        <f>DTR!M150+'Dai Loc'!M150+'Dong Lam'!M150+'Khanh Nga'!M150+TDP!M150+DTRVL!M150</f>
        <v>-6052149672</v>
      </c>
      <c r="N150" s="122">
        <f>DTR!N150+'Dai Loc'!N150+'Dong Lam'!N150+'Khanh Nga'!N150+TDP!N150+DTRVL!N150</f>
        <v>102908561739</v>
      </c>
      <c r="O150" s="122">
        <f>DTR!O150+'Dai Loc'!O150+'Dong Lam'!O150+'Khanh Nga'!O150+TDP!O150+DTRVL!O150</f>
        <v>3099846411</v>
      </c>
      <c r="P150" s="122">
        <f>DTR!P150+'Dai Loc'!P150+'Dong Lam'!P150+'Khanh Nga'!P150+TDP!P150+DTRVL!P150</f>
        <v>17072928466</v>
      </c>
      <c r="Q150" s="122">
        <f>DTR!Q150+'Dai Loc'!Q150+'Dong Lam'!Q150+'Khanh Nga'!Q150+TDP!Q150+DTRVL!Q150</f>
        <v>6996892070</v>
      </c>
      <c r="R150" s="122">
        <f>DTR!R150+'Dai Loc'!R150+'Dong Lam'!R150+'Khanh Nga'!R150+TDP!R150+DTRVL!R150</f>
        <v>3936534372</v>
      </c>
      <c r="S150" s="122">
        <f>DTR!S150+'Dai Loc'!S150+'Dong Lam'!S150+'Khanh Nga'!S150+TDP!S150+DTRVL!S150</f>
        <v>10980760888</v>
      </c>
      <c r="T150" s="122">
        <f>DTR!T150+'Dai Loc'!T150+'Dong Lam'!T150+'Khanh Nga'!T150+TDP!T150+DTRVL!T150</f>
        <v>874577083</v>
      </c>
      <c r="U150" s="122">
        <f>DTR!U150+'Dai Loc'!U150+'Dong Lam'!U150+'Khanh Nga'!U150+TDP!U150+DTRVL!U150</f>
        <v>412219980</v>
      </c>
      <c r="V150" s="122">
        <f>DTR!V150+'Dai Loc'!V150+'Dong Lam'!V150+'Khanh Nga'!V150+TDP!V150+DTRVL!V150</f>
        <v>2753352784</v>
      </c>
      <c r="W150" s="122">
        <f>DTR!W150+'Dai Loc'!W150+'Dong Lam'!W150+'Khanh Nga'!W150+TDP!W150+DTRVL!W150</f>
        <v>-12520058596</v>
      </c>
      <c r="X150" s="122">
        <f>DTR!X150+'Dai Loc'!X150+'Dong Lam'!X150+'Khanh Nga'!X150+TDP!X150+DTRVL!X150</f>
        <v>-5398471511</v>
      </c>
      <c r="Y150" s="122">
        <f>DTR!Y150+'Dai Loc'!Y150+'Dong Lam'!Y150+'Khanh Nga'!Y150+TDP!Y150+DTRVL!Y150</f>
        <v>-8841087053</v>
      </c>
      <c r="Z150" s="122">
        <f>DTR!Z150+'Dai Loc'!Z150+'Dong Lam'!Z150+'Khanh Nga'!Z150+TDP!Z150+DTRVL!Z150</f>
        <v>16289700389</v>
      </c>
      <c r="AA150" s="132">
        <f>AA146+AA149</f>
        <v>167877786.20493132</v>
      </c>
      <c r="AB150" s="133">
        <f t="shared" ref="AB150:AL150" si="9">AB146+AB149</f>
        <v>-4748302890.2602262</v>
      </c>
      <c r="AC150" s="133">
        <f t="shared" si="9"/>
        <v>4002939006.304203</v>
      </c>
      <c r="AD150" s="133">
        <f t="shared" si="9"/>
        <v>2362885279.3515911</v>
      </c>
      <c r="AE150" s="133">
        <f t="shared" si="9"/>
        <v>2547554891.7924576</v>
      </c>
      <c r="AF150" s="133">
        <f t="shared" si="9"/>
        <v>1571396479.4357777</v>
      </c>
      <c r="AG150" s="133">
        <f t="shared" si="9"/>
        <v>7383219330.4937115</v>
      </c>
      <c r="AH150" s="133">
        <f t="shared" si="9"/>
        <v>6183968476.967308</v>
      </c>
      <c r="AI150" s="133">
        <f t="shared" si="9"/>
        <v>5636217860.8660336</v>
      </c>
      <c r="AJ150" s="133">
        <f t="shared" si="9"/>
        <v>6629903681.9640789</v>
      </c>
      <c r="AK150" s="133">
        <f t="shared" si="9"/>
        <v>6999791300.2930069</v>
      </c>
      <c r="AL150" s="133">
        <f t="shared" si="9"/>
        <v>4866657191.2253189</v>
      </c>
      <c r="AM150" s="111">
        <f t="shared" si="4"/>
        <v>43604108394.638191</v>
      </c>
    </row>
    <row r="151" spans="1:39" s="107" customFormat="1" ht="15" customHeight="1">
      <c r="A151" s="134" t="s">
        <v>236</v>
      </c>
      <c r="B151" s="114">
        <v>18</v>
      </c>
      <c r="C151" s="135">
        <f>DTR!C151+'Dai Loc'!C151+'Dong Lam'!C151+'Khanh Nga'!C151+TDP!C151+DTRVL!C151</f>
        <v>0</v>
      </c>
      <c r="D151" s="135">
        <f>DTR!D151+'Dai Loc'!D151+'Dong Lam'!D151+'Khanh Nga'!D151+TDP!D151+DTRVL!D151</f>
        <v>0</v>
      </c>
      <c r="E151" s="135">
        <f>DTR!E151+'Dai Loc'!E151+'Dong Lam'!E151+'Khanh Nga'!E151+TDP!E151+DTRVL!E151</f>
        <v>0</v>
      </c>
      <c r="F151" s="135">
        <f>DTR!F151+'Dai Loc'!F151+'Dong Lam'!F151+'Khanh Nga'!F151+TDP!F151+DTRVL!F151</f>
        <v>0</v>
      </c>
      <c r="G151" s="135">
        <f>DTR!G151+'Dai Loc'!G151+'Dong Lam'!G151+'Khanh Nga'!G151+TDP!G151+DTRVL!G151</f>
        <v>0</v>
      </c>
      <c r="H151" s="135">
        <f>DTR!H151+'Dai Loc'!H151+'Dong Lam'!H151+'Khanh Nga'!H151+TDP!H151+DTRVL!H151</f>
        <v>0</v>
      </c>
      <c r="I151" s="135">
        <f>DTR!I151+'Dai Loc'!I151+'Dong Lam'!I151+'Khanh Nga'!I151+TDP!I151+DTRVL!I151</f>
        <v>0</v>
      </c>
      <c r="J151" s="135">
        <f>DTR!J151+'Dai Loc'!J151+'Dong Lam'!J151+'Khanh Nga'!J151+TDP!J151+DTRVL!J151</f>
        <v>32927331</v>
      </c>
      <c r="K151" s="135">
        <f>DTR!K151+'Dai Loc'!K151+'Dong Lam'!K151+'Khanh Nga'!K151+TDP!K151+DTRVL!K151</f>
        <v>0</v>
      </c>
      <c r="L151" s="135">
        <f>DTR!L151+'Dai Loc'!L151+'Dong Lam'!L151+'Khanh Nga'!L151+TDP!L151+DTRVL!L151</f>
        <v>0</v>
      </c>
      <c r="M151" s="135">
        <f>DTR!M151+'Dai Loc'!M151+'Dong Lam'!M151+'Khanh Nga'!M151+TDP!M151+DTRVL!M151</f>
        <v>0</v>
      </c>
      <c r="N151" s="135">
        <f>DTR!N151+'Dai Loc'!N151+'Dong Lam'!N151+'Khanh Nga'!N151+TDP!N151+DTRVL!N151</f>
        <v>11495266455</v>
      </c>
      <c r="O151" s="135">
        <f>DTR!O151+'Dai Loc'!O151+'Dong Lam'!O151+'Khanh Nga'!O151+TDP!O151+DTRVL!O151</f>
        <v>864190686</v>
      </c>
      <c r="P151" s="135">
        <f>DTR!P151+'Dai Loc'!P151+'Dong Lam'!P151+'Khanh Nga'!P151+TDP!P151+DTRVL!P151</f>
        <v>3020742780</v>
      </c>
      <c r="Q151" s="135">
        <f>DTR!Q151+'Dai Loc'!Q151+'Dong Lam'!Q151+'Khanh Nga'!Q151+TDP!Q151+DTRVL!Q151</f>
        <v>1252632187</v>
      </c>
      <c r="R151" s="135">
        <f>DTR!R151+'Dai Loc'!R151+'Dong Lam'!R151+'Khanh Nga'!R151+TDP!R151+DTRVL!R151</f>
        <v>677293488</v>
      </c>
      <c r="S151" s="135">
        <f>DTR!S151+'Dai Loc'!S151+'Dong Lam'!S151+'Khanh Nga'!S151+TDP!S151+DTRVL!S151</f>
        <v>1681800759</v>
      </c>
      <c r="T151" s="135">
        <f>DTR!T151+'Dai Loc'!T151+'Dong Lam'!T151+'Khanh Nga'!T151+TDP!T151+DTRVL!T151</f>
        <v>189264839</v>
      </c>
      <c r="U151" s="135">
        <f>DTR!U151+'Dai Loc'!U151+'Dong Lam'!U151+'Khanh Nga'!U151+TDP!U151+DTRVL!U151</f>
        <v>-1000088030</v>
      </c>
      <c r="V151" s="135">
        <f>DTR!V151+'Dai Loc'!V151+'Dong Lam'!V151+'Khanh Nga'!V151+TDP!V151+DTRVL!V151</f>
        <v>204199602</v>
      </c>
      <c r="W151" s="135">
        <f>DTR!W151+'Dai Loc'!W151+'Dong Lam'!W151+'Khanh Nga'!W151+TDP!W151+DTRVL!W151</f>
        <v>-1349170846</v>
      </c>
      <c r="X151" s="135">
        <f>DTR!X151+'Dai Loc'!X151+'Dong Lam'!X151+'Khanh Nga'!X151+TDP!X151+DTRVL!X151</f>
        <v>-516688622</v>
      </c>
      <c r="Y151" s="135">
        <f>DTR!Y151+'Dai Loc'!Y151+'Dong Lam'!Y151+'Khanh Nga'!Y151+TDP!Y151+DTRVL!Y151</f>
        <v>-854033077</v>
      </c>
      <c r="Z151" s="135">
        <f>DTR!Z151+'Dai Loc'!Z151+'Dong Lam'!Z151+'Khanh Nga'!Z151+TDP!Z151+DTRVL!Z151</f>
        <v>2388437945</v>
      </c>
      <c r="AA151" s="136">
        <f>'Hop cong'!AA151</f>
        <v>380273874.94126701</v>
      </c>
      <c r="AB151" s="135">
        <f>'Hop cong'!AB151</f>
        <v>0</v>
      </c>
      <c r="AC151" s="135">
        <f>'Hop cong'!AC151</f>
        <v>934619042.34685993</v>
      </c>
      <c r="AD151" s="135">
        <f>'Hop cong'!AD151</f>
        <v>746946934.01395476</v>
      </c>
      <c r="AE151" s="135">
        <f>'Hop cong'!AE151</f>
        <v>782572970.94612694</v>
      </c>
      <c r="AF151" s="135">
        <f>'Hop cong'!AF151</f>
        <v>707943160.14622366</v>
      </c>
      <c r="AG151" s="135">
        <f>'Hop cong'!AG151</f>
        <v>1837575600.7959077</v>
      </c>
      <c r="AH151" s="135">
        <f>'Hop cong'!AH151</f>
        <v>1680502005.0035565</v>
      </c>
      <c r="AI151" s="135">
        <f>'Hop cong'!AI151</f>
        <v>1527312071.2935135</v>
      </c>
      <c r="AJ151" s="135">
        <f>'Hop cong'!AJ151</f>
        <v>1666415694.9376669</v>
      </c>
      <c r="AK151" s="135">
        <f>'Hop cong'!AK151</f>
        <v>1780669482.4539335</v>
      </c>
      <c r="AL151" s="135">
        <f>'Hop cong'!AL151</f>
        <v>1322862251.8688912</v>
      </c>
      <c r="AM151" s="137">
        <f t="shared" si="4"/>
        <v>13367693088.7479</v>
      </c>
    </row>
    <row r="152" spans="1:39" s="107" customFormat="1" ht="15" customHeight="1">
      <c r="A152" s="113" t="s">
        <v>237</v>
      </c>
      <c r="B152" s="114">
        <v>19</v>
      </c>
      <c r="C152" s="115">
        <f>DTR!C152+'Dai Loc'!C152+'Dong Lam'!C152+'Khanh Nga'!C152+TDP!C152+DTRVL!C152</f>
        <v>0</v>
      </c>
      <c r="D152" s="115">
        <f>DTR!D152+'Dai Loc'!D152+'Dong Lam'!D152+'Khanh Nga'!D152+TDP!D152+DTRVL!D152</f>
        <v>0</v>
      </c>
      <c r="E152" s="115">
        <f>DTR!E152+'Dai Loc'!E152+'Dong Lam'!E152+'Khanh Nga'!E152+TDP!E152+DTRVL!E152</f>
        <v>0</v>
      </c>
      <c r="F152" s="115">
        <f>DTR!F152+'Dai Loc'!F152+'Dong Lam'!F152+'Khanh Nga'!F152+TDP!F152+DTRVL!F152</f>
        <v>0</v>
      </c>
      <c r="G152" s="115">
        <f>DTR!G152+'Dai Loc'!G152+'Dong Lam'!G152+'Khanh Nga'!G152+TDP!G152+DTRVL!G152</f>
        <v>0</v>
      </c>
      <c r="H152" s="115">
        <f>DTR!H152+'Dai Loc'!H152+'Dong Lam'!H152+'Khanh Nga'!H152+TDP!H152+DTRVL!H152</f>
        <v>0</v>
      </c>
      <c r="I152" s="115">
        <f>DTR!I152+'Dai Loc'!I152+'Dong Lam'!I152+'Khanh Nga'!I152+TDP!I152+DTRVL!I152</f>
        <v>0</v>
      </c>
      <c r="J152" s="115">
        <f>DTR!J152+'Dai Loc'!J152+'Dong Lam'!J152+'Khanh Nga'!J152+TDP!J152+DTRVL!J152</f>
        <v>0</v>
      </c>
      <c r="K152" s="115">
        <f>DTR!K152+'Dai Loc'!K152+'Dong Lam'!K152+'Khanh Nga'!K152+TDP!K152+DTRVL!K152</f>
        <v>0</v>
      </c>
      <c r="L152" s="115">
        <f>DTR!L152+'Dai Loc'!L152+'Dong Lam'!L152+'Khanh Nga'!L152+TDP!L152+DTRVL!L152</f>
        <v>0</v>
      </c>
      <c r="M152" s="115">
        <f>DTR!M152+'Dai Loc'!M152+'Dong Lam'!M152+'Khanh Nga'!M152+TDP!M152+DTRVL!M152</f>
        <v>0</v>
      </c>
      <c r="N152" s="115">
        <f>DTR!N152+'Dai Loc'!N152+'Dong Lam'!N152+'Khanh Nga'!N152+TDP!N152+DTRVL!N152</f>
        <v>1838941310</v>
      </c>
      <c r="O152" s="115">
        <f>DTR!O152+'Dai Loc'!O152+'Dong Lam'!O152+'Khanh Nga'!O152+TDP!O152+DTRVL!O152</f>
        <v>0</v>
      </c>
      <c r="P152" s="115">
        <f>DTR!P152+'Dai Loc'!P152+'Dong Lam'!P152+'Khanh Nga'!P152+TDP!P152+DTRVL!P152</f>
        <v>-8043000</v>
      </c>
      <c r="Q152" s="115">
        <f>DTR!Q152+'Dai Loc'!Q152+'Dong Lam'!Q152+'Khanh Nga'!Q152+TDP!Q152+DTRVL!Q152</f>
        <v>0</v>
      </c>
      <c r="R152" s="115">
        <f>DTR!R152+'Dai Loc'!R152+'Dong Lam'!R152+'Khanh Nga'!R152+TDP!R152+DTRVL!R152</f>
        <v>0</v>
      </c>
      <c r="S152" s="115">
        <f>DTR!S152+'Dai Loc'!S152+'Dong Lam'!S152+'Khanh Nga'!S152+TDP!S152+DTRVL!S152</f>
        <v>0</v>
      </c>
      <c r="T152" s="115">
        <f>DTR!T152+'Dai Loc'!T152+'Dong Lam'!T152+'Khanh Nga'!T152+TDP!T152+DTRVL!T152</f>
        <v>0</v>
      </c>
      <c r="U152" s="115">
        <f>DTR!U152+'Dai Loc'!U152+'Dong Lam'!U152+'Khanh Nga'!U152+TDP!U152+DTRVL!U152</f>
        <v>-1830898310</v>
      </c>
      <c r="V152" s="115">
        <f>DTR!V152+'Dai Loc'!V152+'Dong Lam'!V152+'Khanh Nga'!V152+TDP!V152+DTRVL!V152</f>
        <v>0</v>
      </c>
      <c r="W152" s="115">
        <f>DTR!W152+'Dai Loc'!W152+'Dong Lam'!W152+'Khanh Nga'!W152+TDP!W152+DTRVL!W152</f>
        <v>0</v>
      </c>
      <c r="X152" s="115">
        <f>DTR!X152+'Dai Loc'!X152+'Dong Lam'!X152+'Khanh Nga'!X152+TDP!X152+DTRVL!X152</f>
        <v>0</v>
      </c>
      <c r="Y152" s="115">
        <f>DTR!Y152+'Dai Loc'!Y152+'Dong Lam'!Y152+'Khanh Nga'!Y152+TDP!Y152+DTRVL!Y152</f>
        <v>0</v>
      </c>
      <c r="Z152" s="115">
        <f>DTR!Z152+'Dai Loc'!Z152+'Dong Lam'!Z152+'Khanh Nga'!Z152+TDP!Z152+DTRVL!Z152</f>
        <v>0</v>
      </c>
      <c r="AA152" s="119">
        <f>'Hop cong'!AA152</f>
        <v>0</v>
      </c>
      <c r="AB152" s="115">
        <f>'Hop cong'!AB152</f>
        <v>0</v>
      </c>
      <c r="AC152" s="115">
        <f>'Hop cong'!AC152</f>
        <v>0</v>
      </c>
      <c r="AD152" s="115">
        <f>'Hop cong'!AD152</f>
        <v>0</v>
      </c>
      <c r="AE152" s="115">
        <f>'Hop cong'!AE152</f>
        <v>0</v>
      </c>
      <c r="AF152" s="115">
        <f>'Hop cong'!AF152</f>
        <v>0</v>
      </c>
      <c r="AG152" s="115">
        <f>'Hop cong'!AG152</f>
        <v>0</v>
      </c>
      <c r="AH152" s="115">
        <f>'Hop cong'!AH152</f>
        <v>0</v>
      </c>
      <c r="AI152" s="115">
        <f>'Hop cong'!AI152</f>
        <v>0</v>
      </c>
      <c r="AJ152" s="115">
        <f>'Hop cong'!AJ152</f>
        <v>0</v>
      </c>
      <c r="AK152" s="115">
        <f>'Hop cong'!AK152</f>
        <v>0</v>
      </c>
      <c r="AL152" s="115">
        <f>'Hop cong'!AL152</f>
        <v>0</v>
      </c>
      <c r="AM152" s="127">
        <f t="shared" si="4"/>
        <v>0</v>
      </c>
    </row>
    <row r="153" spans="1:39" s="107" customFormat="1" ht="15" customHeight="1">
      <c r="A153" s="108" t="s">
        <v>238</v>
      </c>
      <c r="B153" s="121">
        <v>20</v>
      </c>
      <c r="C153" s="110">
        <f>DTR!C153+'Dai Loc'!C153+'Dong Lam'!C153+'Khanh Nga'!C153+TDP!C153+DTRVL!C153</f>
        <v>-719985770</v>
      </c>
      <c r="D153" s="110">
        <f>DTR!D153+'Dai Loc'!D153+'Dong Lam'!D153+'Khanh Nga'!D153+TDP!D153+DTRVL!D153</f>
        <v>-6758932844</v>
      </c>
      <c r="E153" s="110">
        <f>DTR!E153+'Dai Loc'!E153+'Dong Lam'!E153+'Khanh Nga'!E153+TDP!E153+DTRVL!E153</f>
        <v>-2743321288</v>
      </c>
      <c r="F153" s="110">
        <f>DTR!F153+'Dai Loc'!F153+'Dong Lam'!F153+'Khanh Nga'!F153+TDP!F153+DTRVL!F153</f>
        <v>1668340417</v>
      </c>
      <c r="G153" s="110">
        <f>DTR!G153+'Dai Loc'!G153+'Dong Lam'!G153+'Khanh Nga'!G153+TDP!G153+DTRVL!G153</f>
        <v>-5691808171</v>
      </c>
      <c r="H153" s="110">
        <f>DTR!H153+'Dai Loc'!H153+'Dong Lam'!H153+'Khanh Nga'!H153+TDP!H153+DTRVL!H153</f>
        <v>-12142648645</v>
      </c>
      <c r="I153" s="110">
        <f>DTR!I153+'Dai Loc'!I153+'Dong Lam'!I153+'Khanh Nga'!I153+TDP!I153+DTRVL!I153</f>
        <v>-15194276334</v>
      </c>
      <c r="J153" s="110">
        <f>DTR!J153+'Dai Loc'!J153+'Dong Lam'!J153+'Khanh Nga'!J153+TDP!J153+DTRVL!J153</f>
        <v>-10046945859</v>
      </c>
      <c r="K153" s="110">
        <f>DTR!K153+'Dai Loc'!K153+'Dong Lam'!K153+'Khanh Nga'!K153+TDP!K153+DTRVL!K153</f>
        <v>8118268598</v>
      </c>
      <c r="L153" s="110">
        <f>DTR!L153+'Dai Loc'!L153+'Dong Lam'!L153+'Khanh Nga'!L153+TDP!L153+DTRVL!L153</f>
        <v>-6348711814</v>
      </c>
      <c r="M153" s="110">
        <f>DTR!M153+'Dai Loc'!M153+'Dong Lam'!M153+'Khanh Nga'!M153+TDP!M153+DTRVL!M153</f>
        <v>-6052149672</v>
      </c>
      <c r="N153" s="110">
        <f>DTR!N153+'Dai Loc'!N153+'Dong Lam'!N153+'Khanh Nga'!N153+TDP!N153+DTRVL!N153</f>
        <v>89574353974</v>
      </c>
      <c r="O153" s="110">
        <f>DTR!O153+'Dai Loc'!O153+'Dong Lam'!O153+'Khanh Nga'!O153+TDP!O153+DTRVL!O153</f>
        <v>2235655725</v>
      </c>
      <c r="P153" s="110">
        <f>DTR!P153+'Dai Loc'!P153+'Dong Lam'!P153+'Khanh Nga'!P153+TDP!P153+DTRVL!P153</f>
        <v>14060228686</v>
      </c>
      <c r="Q153" s="110">
        <f>DTR!Q153+'Dai Loc'!Q153+'Dong Lam'!Q153+'Khanh Nga'!Q153+TDP!Q153+DTRVL!Q153</f>
        <v>5744259883</v>
      </c>
      <c r="R153" s="110">
        <f>DTR!R153+'Dai Loc'!R153+'Dong Lam'!R153+'Khanh Nga'!R153+TDP!R153+DTRVL!R153</f>
        <v>3259240884</v>
      </c>
      <c r="S153" s="110">
        <f>DTR!S153+'Dai Loc'!S153+'Dong Lam'!S153+'Khanh Nga'!S153+TDP!S153+DTRVL!S153</f>
        <v>9298960129</v>
      </c>
      <c r="T153" s="110">
        <f>DTR!T153+'Dai Loc'!T153+'Dong Lam'!T153+'Khanh Nga'!T153+TDP!T153+DTRVL!T153</f>
        <v>685312244</v>
      </c>
      <c r="U153" s="110">
        <f>DTR!U153+'Dai Loc'!U153+'Dong Lam'!U153+'Khanh Nga'!U153+TDP!U153+DTRVL!U153</f>
        <v>3243206320</v>
      </c>
      <c r="V153" s="110">
        <f>DTR!V153+'Dai Loc'!V153+'Dong Lam'!V153+'Khanh Nga'!V153+TDP!V153+DTRVL!V153</f>
        <v>2549153182</v>
      </c>
      <c r="W153" s="110">
        <f>DTR!W153+'Dai Loc'!W153+'Dong Lam'!W153+'Khanh Nga'!W153+TDP!W153+DTRVL!W153</f>
        <v>-11170887750</v>
      </c>
      <c r="X153" s="110">
        <f>DTR!X153+'Dai Loc'!X153+'Dong Lam'!X153+'Khanh Nga'!X153+TDP!X153+DTRVL!X153</f>
        <v>-4881782889</v>
      </c>
      <c r="Y153" s="110">
        <f>DTR!Y153+'Dai Loc'!Y153+'Dong Lam'!Y153+'Khanh Nga'!Y153+TDP!Y153+DTRVL!Y153</f>
        <v>-7987053976</v>
      </c>
      <c r="Z153" s="110">
        <f>DTR!Z153+'Dai Loc'!Z153+'Dong Lam'!Z153+'Khanh Nga'!Z153+TDP!Z153+DTRVL!Z153</f>
        <v>13901262444</v>
      </c>
      <c r="AA153" s="117">
        <f t="shared" ref="AA153:AL153" si="10">AA150-AA151</f>
        <v>-212396088.73633569</v>
      </c>
      <c r="AB153" s="110">
        <f t="shared" si="10"/>
        <v>-4748302890.2602262</v>
      </c>
      <c r="AC153" s="110">
        <f t="shared" si="10"/>
        <v>3068319963.9573431</v>
      </c>
      <c r="AD153" s="110">
        <f t="shared" si="10"/>
        <v>1615938345.3376365</v>
      </c>
      <c r="AE153" s="110">
        <f t="shared" si="10"/>
        <v>1764981920.8463306</v>
      </c>
      <c r="AF153" s="110">
        <f t="shared" si="10"/>
        <v>863453319.289554</v>
      </c>
      <c r="AG153" s="110">
        <f t="shared" si="10"/>
        <v>5545643729.6978035</v>
      </c>
      <c r="AH153" s="110">
        <f t="shared" si="10"/>
        <v>4503466471.9637518</v>
      </c>
      <c r="AI153" s="110">
        <f t="shared" si="10"/>
        <v>4108905789.5725203</v>
      </c>
      <c r="AJ153" s="110">
        <f t="shared" si="10"/>
        <v>4963487987.026412</v>
      </c>
      <c r="AK153" s="110">
        <f t="shared" si="10"/>
        <v>5219121817.8390732</v>
      </c>
      <c r="AL153" s="110">
        <f t="shared" si="10"/>
        <v>3543794939.3564277</v>
      </c>
      <c r="AM153" s="125">
        <f t="shared" si="4"/>
        <v>30236415305.890289</v>
      </c>
    </row>
    <row r="154" spans="1:39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1"/>
      <c r="N154" s="141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1"/>
      <c r="Z154" s="142" t="s">
        <v>239</v>
      </c>
      <c r="AA154" s="143">
        <f>DTR!AA153+'Dai Loc'!AA153+'Dong Lam'!AA153+'Khanh Nga'!AA153+TDP!AA153+DTRVL!AA153-AA153</f>
        <v>-6.4373016357421875E-6</v>
      </c>
      <c r="AB154" s="143">
        <f>DTR!AB153+'Dai Loc'!AB153+'Dong Lam'!AB153+'Khanh Nga'!AB153+TDP!AB153+DTRVL!AB153-AB153</f>
        <v>0</v>
      </c>
      <c r="AC154" s="143">
        <f>DTR!AC153+'Dai Loc'!AC153+'Dong Lam'!AC153+'Khanh Nga'!AC153+TDP!AC153+DTRVL!AC153-AC153</f>
        <v>1.5735626220703125E-5</v>
      </c>
      <c r="AD154" s="143">
        <f>DTR!AD153+'Dai Loc'!AD153+'Dong Lam'!AD153+'Khanh Nga'!AD153+TDP!AD153+DTRVL!AD153-AD153</f>
        <v>-1.52587890625E-5</v>
      </c>
      <c r="AE154" s="143">
        <f>DTR!AE153+'Dai Loc'!AE153+'Dong Lam'!AE153+'Khanh Nga'!AE153+TDP!AE153+DTRVL!AE153-AE153</f>
        <v>0</v>
      </c>
      <c r="AF154" s="143">
        <f>DTR!AF153+'Dai Loc'!AF153+'Dong Lam'!AF153+'Khanh Nga'!AF153+TDP!AF153+DTRVL!AF153-AF153</f>
        <v>7.2717666625976563E-6</v>
      </c>
      <c r="AG154" s="143">
        <f>DTR!AG153+'Dai Loc'!AG153+'Dong Lam'!AG153+'Khanh Nga'!AG153+TDP!AG153+DTRVL!AG153-AG153</f>
        <v>0</v>
      </c>
      <c r="AH154" s="143">
        <f>DTR!AH153+'Dai Loc'!AH153+'Dong Lam'!AH153+'Khanh Nga'!AH153+TDP!AH153+DTRVL!AH153-AH153</f>
        <v>2.002716064453125E-5</v>
      </c>
      <c r="AI154" s="143">
        <f>DTR!AI153+'Dai Loc'!AI153+'Dong Lam'!AI153+'Khanh Nga'!AI153+TDP!AI153+DTRVL!AI153-AI153</f>
        <v>-1.1444091796875E-5</v>
      </c>
      <c r="AJ154" s="143">
        <f>DTR!AJ153+'Dai Loc'!AJ153+'Dong Lam'!AJ153+'Khanh Nga'!AJ153+TDP!AJ153+DTRVL!AJ153-AJ153</f>
        <v>-2.384185791015625E-5</v>
      </c>
      <c r="AK154" s="143">
        <f>DTR!AK153+'Dai Loc'!AK153+'Dong Lam'!AK153+'Khanh Nga'!AK153+TDP!AK153+DTRVL!AK153-AK153</f>
        <v>2.002716064453125E-5</v>
      </c>
      <c r="AL154" s="143">
        <f>DTR!AL153+'Dai Loc'!AL153+'Dong Lam'!AL153+'Khanh Nga'!AL153+TDP!AL153+DTRVL!AL153-AL153</f>
        <v>0</v>
      </c>
      <c r="AM154" s="143">
        <f>DTR!AM153+'Dai Loc'!AM153+'Dong Lam'!AM153+'Khanh Nga'!AM153+TDP!AM153+DTRVL!AM153-AM153</f>
        <v>0</v>
      </c>
    </row>
    <row r="155" spans="1:39" ht="15" customHeight="1">
      <c r="A155" s="51" t="s">
        <v>240</v>
      </c>
      <c r="B155" s="144" t="s">
        <v>241</v>
      </c>
      <c r="C155" s="53" t="str">
        <f t="shared" ref="C155:Z155" si="11">C5</f>
        <v>T01.2024</v>
      </c>
      <c r="D155" s="53" t="str">
        <f t="shared" si="11"/>
        <v>T02.2024</v>
      </c>
      <c r="E155" s="53" t="str">
        <f t="shared" si="11"/>
        <v>T03.2024</v>
      </c>
      <c r="F155" s="53" t="str">
        <f t="shared" si="11"/>
        <v>T04.2024</v>
      </c>
      <c r="G155" s="53" t="str">
        <f t="shared" si="11"/>
        <v>T05.2024</v>
      </c>
      <c r="H155" s="53" t="str">
        <f t="shared" si="11"/>
        <v>T06.2024</v>
      </c>
      <c r="I155" s="53" t="str">
        <f t="shared" si="11"/>
        <v>T07.2024</v>
      </c>
      <c r="J155" s="53" t="str">
        <f t="shared" si="11"/>
        <v>T08.2024</v>
      </c>
      <c r="K155" s="53" t="str">
        <f t="shared" si="11"/>
        <v>T09.2024</v>
      </c>
      <c r="L155" s="53" t="str">
        <f t="shared" si="11"/>
        <v>T10.2024</v>
      </c>
      <c r="M155" s="53" t="str">
        <f t="shared" si="11"/>
        <v>T11.2024</v>
      </c>
      <c r="N155" s="53" t="str">
        <f t="shared" si="11"/>
        <v>T12.2024</v>
      </c>
      <c r="O155" s="53" t="str">
        <f t="shared" si="11"/>
        <v>T01.2025</v>
      </c>
      <c r="P155" s="53" t="str">
        <f t="shared" si="11"/>
        <v>T02.2025</v>
      </c>
      <c r="Q155" s="53" t="str">
        <f t="shared" si="11"/>
        <v>T03.2025</v>
      </c>
      <c r="R155" s="53" t="str">
        <f t="shared" si="11"/>
        <v>T04.2025</v>
      </c>
      <c r="S155" s="53" t="str">
        <f t="shared" si="11"/>
        <v>T05.2025</v>
      </c>
      <c r="T155" s="53" t="str">
        <f t="shared" si="11"/>
        <v>T06.2025</v>
      </c>
      <c r="U155" s="53" t="str">
        <f t="shared" si="11"/>
        <v>T07.2025</v>
      </c>
      <c r="V155" s="53" t="str">
        <f t="shared" si="11"/>
        <v>T08.2025</v>
      </c>
      <c r="W155" s="53" t="str">
        <f t="shared" si="11"/>
        <v>T09.2025</v>
      </c>
      <c r="X155" s="53" t="str">
        <f t="shared" si="11"/>
        <v>T10.2025</v>
      </c>
      <c r="Y155" s="53" t="str">
        <f t="shared" si="11"/>
        <v>T11.2025</v>
      </c>
      <c r="Z155" s="53" t="str">
        <f t="shared" si="11"/>
        <v>T12.2025</v>
      </c>
    </row>
    <row r="156" spans="1:39" ht="15" customHeight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7"/>
    </row>
    <row r="157" spans="1:39" ht="15" customHeight="1">
      <c r="A157" s="145" t="s">
        <v>243</v>
      </c>
      <c r="B157" s="146">
        <v>2</v>
      </c>
      <c r="C157" s="147">
        <f t="shared" ref="C157:Z157" si="12">C150</f>
        <v>-719985770</v>
      </c>
      <c r="D157" s="147">
        <f t="shared" si="12"/>
        <v>-6758932844</v>
      </c>
      <c r="E157" s="148">
        <f t="shared" si="12"/>
        <v>-2743321288</v>
      </c>
      <c r="F157" s="148">
        <f t="shared" si="12"/>
        <v>1668340417</v>
      </c>
      <c r="G157" s="148">
        <f t="shared" si="12"/>
        <v>-5691808171</v>
      </c>
      <c r="H157" s="148">
        <f t="shared" si="12"/>
        <v>-12142648645</v>
      </c>
      <c r="I157" s="148">
        <f t="shared" si="12"/>
        <v>-15194276334</v>
      </c>
      <c r="J157" s="148">
        <f t="shared" si="12"/>
        <v>-10014018528</v>
      </c>
      <c r="K157" s="148">
        <f t="shared" si="12"/>
        <v>8118268598</v>
      </c>
      <c r="L157" s="148">
        <f t="shared" si="12"/>
        <v>-6348711814</v>
      </c>
      <c r="M157" s="148">
        <f t="shared" si="12"/>
        <v>-6052149672</v>
      </c>
      <c r="N157" s="147">
        <f t="shared" si="12"/>
        <v>102908561739</v>
      </c>
      <c r="O157" s="147">
        <f t="shared" si="12"/>
        <v>3099846411</v>
      </c>
      <c r="P157" s="147">
        <f t="shared" si="12"/>
        <v>17072928466</v>
      </c>
      <c r="Q157" s="148">
        <f t="shared" si="12"/>
        <v>6996892070</v>
      </c>
      <c r="R157" s="148">
        <f t="shared" si="12"/>
        <v>3936534372</v>
      </c>
      <c r="S157" s="148">
        <f t="shared" si="12"/>
        <v>10980760888</v>
      </c>
      <c r="T157" s="148">
        <f t="shared" si="12"/>
        <v>874577083</v>
      </c>
      <c r="U157" s="148">
        <f t="shared" si="12"/>
        <v>412219980</v>
      </c>
      <c r="V157" s="148">
        <f t="shared" si="12"/>
        <v>2753352784</v>
      </c>
      <c r="W157" s="148">
        <f t="shared" si="12"/>
        <v>-12520058596</v>
      </c>
      <c r="X157" s="148">
        <f t="shared" si="12"/>
        <v>-5398471511</v>
      </c>
      <c r="Y157" s="148">
        <f t="shared" si="12"/>
        <v>-8841087053</v>
      </c>
      <c r="Z157" s="147">
        <f t="shared" si="12"/>
        <v>16289700389</v>
      </c>
    </row>
    <row r="158" spans="1:39" ht="15" customHeight="1">
      <c r="A158" s="149" t="s">
        <v>244</v>
      </c>
      <c r="B158" s="150">
        <v>3</v>
      </c>
      <c r="C158" s="151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1"/>
      <c r="O158" s="151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1"/>
    </row>
    <row r="159" spans="1:39" ht="15" customHeight="1">
      <c r="A159" s="153" t="s">
        <v>245</v>
      </c>
      <c r="B159" s="154">
        <v>4</v>
      </c>
      <c r="C159" s="64">
        <f>DTR!C159+'Dai Loc'!C159+'Dong Lam'!C159+'Khanh Nga'!C159+TDP!C159+DTRVL!C159</f>
        <v>3935422859</v>
      </c>
      <c r="D159" s="64">
        <f>DTR!D159+'Dai Loc'!D159+'Dong Lam'!D159+'Khanh Nga'!D159+TDP!D159+DTRVL!D159</f>
        <v>3945256529</v>
      </c>
      <c r="E159" s="64">
        <f>DTR!E159+'Dai Loc'!E159+'Dong Lam'!E159+'Khanh Nga'!E159+TDP!E159+DTRVL!E159</f>
        <v>3941710034</v>
      </c>
      <c r="F159" s="64">
        <f>DTR!F159+'Dai Loc'!F159+'Dong Lam'!F159+'Khanh Nga'!F159+TDP!F159+DTRVL!F159</f>
        <v>4176778135</v>
      </c>
      <c r="G159" s="64">
        <f>DTR!G159+'Dai Loc'!G159+'Dong Lam'!G159+'Khanh Nga'!G159+TDP!G159+DTRVL!G159</f>
        <v>4265236429</v>
      </c>
      <c r="H159" s="64">
        <f>DTR!H159+'Dai Loc'!H159+'Dong Lam'!H159+'Khanh Nga'!H159+TDP!H159+DTRVL!H159</f>
        <v>4239641424</v>
      </c>
      <c r="I159" s="64">
        <f>DTR!I159+'Dai Loc'!I159+'Dong Lam'!I159+'Khanh Nga'!I159+TDP!I159+DTRVL!I159</f>
        <v>4278667037</v>
      </c>
      <c r="J159" s="64">
        <f>DTR!J159+'Dai Loc'!J159+'Dong Lam'!J159+'Khanh Nga'!J159+TDP!J159+DTRVL!J159</f>
        <v>4312396443</v>
      </c>
      <c r="K159" s="64">
        <f>DTR!K159+'Dai Loc'!K159+'Dong Lam'!K159+'Khanh Nga'!K159+TDP!K159+DTRVL!K159</f>
        <v>4447445993</v>
      </c>
      <c r="L159" s="64">
        <f>DTR!L159+'Dai Loc'!L159+'Dong Lam'!L159+'Khanh Nga'!L159+TDP!L159+DTRVL!L159</f>
        <v>4467524904</v>
      </c>
      <c r="M159" s="64">
        <f>DTR!M159+'Dai Loc'!M159+'Dong Lam'!M159+'Khanh Nga'!M159+TDP!M159+DTRVL!M159</f>
        <v>4494861573</v>
      </c>
      <c r="N159" s="64">
        <f>DTR!N159+'Dai Loc'!N159+'Dong Lam'!N159+'Khanh Nga'!N159+TDP!N159+DTRVL!N159</f>
        <v>4792296828</v>
      </c>
      <c r="O159" s="64">
        <f>DTR!O159+'Dai Loc'!O159+'Dong Lam'!O159+'Khanh Nga'!O159+TDP!O159+DTRVL!O159</f>
        <v>4869731514</v>
      </c>
      <c r="P159" s="64">
        <f>DTR!P159+'Dai Loc'!P159+'Dong Lam'!P159+'Khanh Nga'!P159+TDP!P159+DTRVL!P159</f>
        <v>4871682917</v>
      </c>
      <c r="Q159" s="64">
        <f>DTR!Q159+'Dai Loc'!Q159+'Dong Lam'!Q159+'Khanh Nga'!Q159+TDP!Q159+DTRVL!Q159</f>
        <v>5074245337</v>
      </c>
      <c r="R159" s="64">
        <f>DTR!R159+'Dai Loc'!R159+'Dong Lam'!R159+'Khanh Nga'!R159+TDP!R159+DTRVL!R159</f>
        <v>5011765623</v>
      </c>
      <c r="S159" s="64">
        <f>DTR!S159+'Dai Loc'!S159+'Dong Lam'!S159+'Khanh Nga'!S159+TDP!S159+DTRVL!S159</f>
        <v>5177413937</v>
      </c>
      <c r="T159" s="64">
        <f>DTR!T159+'Dai Loc'!T159+'Dong Lam'!T159+'Khanh Nga'!T159+TDP!T159+DTRVL!T159</f>
        <v>5167876130</v>
      </c>
      <c r="U159" s="64">
        <f>DTR!U159+'Dai Loc'!U159+'Dong Lam'!U159+'Khanh Nga'!U159+TDP!U159+DTRVL!U159</f>
        <v>5183350528</v>
      </c>
      <c r="V159" s="64">
        <f>DTR!V159+'Dai Loc'!V159+'Dong Lam'!V159+'Khanh Nga'!V159+TDP!V159+DTRVL!V159</f>
        <v>5169671321</v>
      </c>
      <c r="W159" s="64">
        <f>DTR!W159+'Dai Loc'!W159+'Dong Lam'!W159+'Khanh Nga'!W159+TDP!W159+DTRVL!W159</f>
        <v>5509530706</v>
      </c>
      <c r="X159" s="64">
        <f>DTR!X159+'Dai Loc'!X159+'Dong Lam'!X159+'Khanh Nga'!X159+TDP!X159+DTRVL!X159</f>
        <v>5362887350</v>
      </c>
      <c r="Y159" s="64">
        <f>DTR!Y159+'Dai Loc'!Y159+'Dong Lam'!Y159+'Khanh Nga'!Y159+TDP!Y159+DTRVL!Y159</f>
        <v>5527915050</v>
      </c>
      <c r="Z159" s="64">
        <f>DTR!Z159+'Dai Loc'!Z159+'Dong Lam'!Z159+'Khanh Nga'!Z159+TDP!Z159+DTRVL!Z159</f>
        <v>5597408199</v>
      </c>
    </row>
    <row r="160" spans="1:39" ht="15" customHeight="1">
      <c r="A160" s="153" t="s">
        <v>246</v>
      </c>
      <c r="B160" s="154">
        <v>5</v>
      </c>
      <c r="C160" s="64">
        <f>DTR!C160+'Dai Loc'!C160+'Dong Lam'!C160+'Khanh Nga'!C160+TDP!C160+DTRVL!C160</f>
        <v>0</v>
      </c>
      <c r="D160" s="64">
        <f>DTR!D160+'Dai Loc'!D160+'Dong Lam'!D160+'Khanh Nga'!D160+TDP!D160+DTRVL!D160</f>
        <v>0</v>
      </c>
      <c r="E160" s="64">
        <f>DTR!E160+'Dai Loc'!E160+'Dong Lam'!E160+'Khanh Nga'!E160+TDP!E160+DTRVL!E160</f>
        <v>0</v>
      </c>
      <c r="F160" s="64">
        <f>DTR!F160+'Dai Loc'!F160+'Dong Lam'!F160+'Khanh Nga'!F160+TDP!F160+DTRVL!F160</f>
        <v>0</v>
      </c>
      <c r="G160" s="64">
        <f>DTR!G160+'Dai Loc'!G160+'Dong Lam'!G160+'Khanh Nga'!G160+TDP!G160+DTRVL!G160</f>
        <v>0</v>
      </c>
      <c r="H160" s="64">
        <f>DTR!H160+'Dai Loc'!H160+'Dong Lam'!H160+'Khanh Nga'!H160+TDP!H160+DTRVL!H160</f>
        <v>0</v>
      </c>
      <c r="I160" s="64">
        <f>DTR!I160+'Dai Loc'!I160+'Dong Lam'!I160+'Khanh Nga'!I160+TDP!I160+DTRVL!I160</f>
        <v>0</v>
      </c>
      <c r="J160" s="64">
        <f>DTR!J160+'Dai Loc'!J160+'Dong Lam'!J160+'Khanh Nga'!J160+TDP!J160+DTRVL!J160</f>
        <v>0</v>
      </c>
      <c r="K160" s="64">
        <f>DTR!K160+'Dai Loc'!K160+'Dong Lam'!K160+'Khanh Nga'!K160+TDP!K160+DTRVL!K160</f>
        <v>0</v>
      </c>
      <c r="L160" s="64">
        <f>DTR!L160+'Dai Loc'!L160+'Dong Lam'!L160+'Khanh Nga'!L160+TDP!L160+DTRVL!L160</f>
        <v>0</v>
      </c>
      <c r="M160" s="64">
        <f>DTR!M160+'Dai Loc'!M160+'Dong Lam'!M160+'Khanh Nga'!M160+TDP!M160+DTRVL!M160</f>
        <v>0</v>
      </c>
      <c r="N160" s="64">
        <f>DTR!N160+'Dai Loc'!N160+'Dong Lam'!N160+'Khanh Nga'!N160+TDP!N160+DTRVL!N160</f>
        <v>0</v>
      </c>
      <c r="O160" s="64">
        <f>DTR!O160+'Dai Loc'!O160+'Dong Lam'!O160+'Khanh Nga'!O160+TDP!O160+DTRVL!O160</f>
        <v>0</v>
      </c>
      <c r="P160" s="64">
        <f>DTR!P160+'Dai Loc'!P160+'Dong Lam'!P160+'Khanh Nga'!P160+TDP!P160+DTRVL!P160</f>
        <v>0</v>
      </c>
      <c r="Q160" s="64">
        <f>DTR!Q160+'Dai Loc'!Q160+'Dong Lam'!Q160+'Khanh Nga'!Q160+TDP!Q160+DTRVL!Q160</f>
        <v>0</v>
      </c>
      <c r="R160" s="64">
        <f>DTR!R160+'Dai Loc'!R160+'Dong Lam'!R160+'Khanh Nga'!R160+TDP!R160+DTRVL!R160</f>
        <v>0</v>
      </c>
      <c r="S160" s="64">
        <f>DTR!S160+'Dai Loc'!S160+'Dong Lam'!S160+'Khanh Nga'!S160+TDP!S160+DTRVL!S160</f>
        <v>0</v>
      </c>
      <c r="T160" s="64">
        <f>DTR!T160+'Dai Loc'!T160+'Dong Lam'!T160+'Khanh Nga'!T160+TDP!T160+DTRVL!T160</f>
        <v>0</v>
      </c>
      <c r="U160" s="64">
        <f>DTR!U160+'Dai Loc'!U160+'Dong Lam'!U160+'Khanh Nga'!U160+TDP!U160+DTRVL!U160</f>
        <v>0</v>
      </c>
      <c r="V160" s="64">
        <f>DTR!V160+'Dai Loc'!V160+'Dong Lam'!V160+'Khanh Nga'!V160+TDP!V160+DTRVL!V160</f>
        <v>0</v>
      </c>
      <c r="W160" s="64">
        <f>DTR!W160+'Dai Loc'!W160+'Dong Lam'!W160+'Khanh Nga'!W160+TDP!W160+DTRVL!W160</f>
        <v>0</v>
      </c>
      <c r="X160" s="64">
        <f>DTR!X160+'Dai Loc'!X160+'Dong Lam'!X160+'Khanh Nga'!X160+TDP!X160+DTRVL!X160</f>
        <v>0</v>
      </c>
      <c r="Y160" s="64">
        <f>DTR!Y160+'Dai Loc'!Y160+'Dong Lam'!Y160+'Khanh Nga'!Y160+TDP!Y160+DTRVL!Y160</f>
        <v>0</v>
      </c>
      <c r="Z160" s="64">
        <f>DTR!Z160+'Dai Loc'!Z160+'Dong Lam'!Z160+'Khanh Nga'!Z160+TDP!Z160+DTRVL!Z160</f>
        <v>0</v>
      </c>
    </row>
    <row r="161" spans="1:26" ht="14">
      <c r="A161" s="153" t="s">
        <v>247</v>
      </c>
      <c r="B161" s="154">
        <v>6</v>
      </c>
      <c r="C161" s="64">
        <f>DTR!C161+'Dai Loc'!C161+'Dong Lam'!C161+'Khanh Nga'!C161+TDP!C161+DTRVL!C161</f>
        <v>-55279705</v>
      </c>
      <c r="D161" s="64">
        <f>DTR!D161+'Dai Loc'!D161+'Dong Lam'!D161+'Khanh Nga'!D161+TDP!D161+DTRVL!D161</f>
        <v>-427077314</v>
      </c>
      <c r="E161" s="64">
        <f>DTR!E161+'Dai Loc'!E161+'Dong Lam'!E161+'Khanh Nga'!E161+TDP!E161+DTRVL!E161</f>
        <v>-320017067</v>
      </c>
      <c r="F161" s="64">
        <f>DTR!F161+'Dai Loc'!F161+'Dong Lam'!F161+'Khanh Nga'!F161+TDP!F161+DTRVL!F161</f>
        <v>-242395730</v>
      </c>
      <c r="G161" s="64">
        <f>DTR!G161+'Dai Loc'!G161+'Dong Lam'!G161+'Khanh Nga'!G161+TDP!G161+DTRVL!G161</f>
        <v>-818581781</v>
      </c>
      <c r="H161" s="64">
        <f>DTR!H161+'Dai Loc'!H161+'Dong Lam'!H161+'Khanh Nga'!H161+TDP!H161+DTRVL!H161</f>
        <v>-185223798</v>
      </c>
      <c r="I161" s="64">
        <f>DTR!I161+'Dai Loc'!I161+'Dong Lam'!I161+'Khanh Nga'!I161+TDP!I161+DTRVL!I161</f>
        <v>-180874896</v>
      </c>
      <c r="J161" s="64">
        <f>DTR!J161+'Dai Loc'!J161+'Dong Lam'!J161+'Khanh Nga'!J161+TDP!J161+DTRVL!J161</f>
        <v>-263960563</v>
      </c>
      <c r="K161" s="64">
        <f>DTR!K161+'Dai Loc'!K161+'Dong Lam'!K161+'Khanh Nga'!K161+TDP!K161+DTRVL!K161</f>
        <v>-297048858</v>
      </c>
      <c r="L161" s="64">
        <f>DTR!L161+'Dai Loc'!L161+'Dong Lam'!L161+'Khanh Nga'!L161+TDP!L161+DTRVL!L161</f>
        <v>-1429021178</v>
      </c>
      <c r="M161" s="64">
        <f>DTR!M161+'Dai Loc'!M161+'Dong Lam'!M161+'Khanh Nga'!M161+TDP!M161+DTRVL!M161</f>
        <v>-522578257</v>
      </c>
      <c r="N161" s="64">
        <f>DTR!N161+'Dai Loc'!N161+'Dong Lam'!N161+'Khanh Nga'!N161+TDP!N161+DTRVL!N161</f>
        <v>-1311270209</v>
      </c>
      <c r="O161" s="64">
        <f>DTR!O161+'Dai Loc'!O161+'Dong Lam'!O161+'Khanh Nga'!O161+TDP!O161+DTRVL!O161</f>
        <v>-357780096</v>
      </c>
      <c r="P161" s="64">
        <f>DTR!P161+'Dai Loc'!P161+'Dong Lam'!P161+'Khanh Nga'!P161+TDP!P161+DTRVL!P161</f>
        <v>-1275864519</v>
      </c>
      <c r="Q161" s="64">
        <f>DTR!Q161+'Dai Loc'!Q161+'Dong Lam'!Q161+'Khanh Nga'!Q161+TDP!Q161+DTRVL!Q161</f>
        <v>-608968263</v>
      </c>
      <c r="R161" s="64">
        <f>DTR!R161+'Dai Loc'!R161+'Dong Lam'!R161+'Khanh Nga'!R161+TDP!R161+DTRVL!R161</f>
        <v>-658231709</v>
      </c>
      <c r="S161" s="64">
        <f>DTR!S161+'Dai Loc'!S161+'Dong Lam'!S161+'Khanh Nga'!S161+TDP!S161+DTRVL!S161</f>
        <v>-1643945913</v>
      </c>
      <c r="T161" s="64">
        <f>DTR!T161+'Dai Loc'!T161+'Dong Lam'!T161+'Khanh Nga'!T161+TDP!T161+DTRVL!T161</f>
        <v>-645043805</v>
      </c>
      <c r="U161" s="64">
        <f>DTR!U161+'Dai Loc'!U161+'Dong Lam'!U161+'Khanh Nga'!U161+TDP!U161+DTRVL!U161</f>
        <v>-757881624</v>
      </c>
      <c r="V161" s="64">
        <f>DTR!V161+'Dai Loc'!V161+'Dong Lam'!V161+'Khanh Nga'!V161+TDP!V161+DTRVL!V161</f>
        <v>-621393506</v>
      </c>
      <c r="W161" s="64">
        <f>DTR!W161+'Dai Loc'!W161+'Dong Lam'!W161+'Khanh Nga'!W161+TDP!W161+DTRVL!W161</f>
        <v>-844098636</v>
      </c>
      <c r="X161" s="64">
        <f>DTR!X161+'Dai Loc'!X161+'Dong Lam'!X161+'Khanh Nga'!X161+TDP!X161+DTRVL!X161</f>
        <v>-1011211322</v>
      </c>
      <c r="Y161" s="64">
        <f>DTR!Y161+'Dai Loc'!Y161+'Dong Lam'!Y161+'Khanh Nga'!Y161+TDP!Y161+DTRVL!Y161</f>
        <v>-120205688</v>
      </c>
      <c r="Z161" s="64">
        <f>DTR!Z161+'Dai Loc'!Z161+'Dong Lam'!Z161+'Khanh Nga'!Z161+TDP!Z161+DTRVL!Z161</f>
        <v>-252471998</v>
      </c>
    </row>
    <row r="162" spans="1:26" ht="15" customHeight="1">
      <c r="A162" s="153" t="s">
        <v>248</v>
      </c>
      <c r="B162" s="154">
        <v>7</v>
      </c>
      <c r="C162" s="64">
        <f>DTR!C162+'Dai Loc'!C162+'Dong Lam'!C162+'Khanh Nga'!C162+TDP!C162+DTRVL!C162</f>
        <v>-9368981</v>
      </c>
      <c r="D162" s="64">
        <f>DTR!D162+'Dai Loc'!D162+'Dong Lam'!D162+'Khanh Nga'!D162+TDP!D162+DTRVL!D162</f>
        <v>-10886349</v>
      </c>
      <c r="E162" s="64">
        <f>DTR!E162+'Dai Loc'!E162+'Dong Lam'!E162+'Khanh Nga'!E162+TDP!E162+DTRVL!E162</f>
        <v>-181577162</v>
      </c>
      <c r="F162" s="64">
        <f>DTR!F162+'Dai Loc'!F162+'Dong Lam'!F162+'Khanh Nga'!F162+TDP!F162+DTRVL!F162</f>
        <v>-11461163</v>
      </c>
      <c r="G162" s="64">
        <f>DTR!G162+'Dai Loc'!G162+'Dong Lam'!G162+'Khanh Nga'!G162+TDP!G162+DTRVL!G162</f>
        <v>-11369270</v>
      </c>
      <c r="H162" s="64">
        <f>DTR!H162+'Dai Loc'!H162+'Dong Lam'!H162+'Khanh Nga'!H162+TDP!H162+DTRVL!H162</f>
        <v>-12784224</v>
      </c>
      <c r="I162" s="64">
        <f>DTR!I162+'Dai Loc'!I162+'Dong Lam'!I162+'Khanh Nga'!I162+TDP!I162+DTRVL!I162</f>
        <v>-33383947</v>
      </c>
      <c r="J162" s="64">
        <f>DTR!J162+'Dai Loc'!J162+'Dong Lam'!J162+'Khanh Nga'!J162+TDP!J162+DTRVL!J162</f>
        <v>-11556024</v>
      </c>
      <c r="K162" s="64">
        <f>DTR!K162+'Dai Loc'!K162+'Dong Lam'!K162+'Khanh Nga'!K162+TDP!K162+DTRVL!K162</f>
        <v>-11870459</v>
      </c>
      <c r="L162" s="64">
        <f>DTR!L162+'Dai Loc'!L162+'Dong Lam'!L162+'Khanh Nga'!L162+TDP!L162+DTRVL!L162</f>
        <v>-208264097</v>
      </c>
      <c r="M162" s="64">
        <f>DTR!M162+'Dai Loc'!M162+'Dong Lam'!M162+'Khanh Nga'!M162+TDP!M162+DTRVL!M162</f>
        <v>-22078194</v>
      </c>
      <c r="N162" s="64">
        <f>DTR!N162+'Dai Loc'!N162+'Dong Lam'!N162+'Khanh Nga'!N162+TDP!N162+DTRVL!N162</f>
        <v>-1325725860</v>
      </c>
      <c r="O162" s="64">
        <f>DTR!O162+'Dai Loc'!O162+'Dong Lam'!O162+'Khanh Nga'!O162+TDP!O162+DTRVL!O162</f>
        <v>-454865223</v>
      </c>
      <c r="P162" s="64">
        <f>DTR!P162+'Dai Loc'!P162+'Dong Lam'!P162+'Khanh Nga'!P162+TDP!P162+DTRVL!P162</f>
        <v>-1295538741</v>
      </c>
      <c r="Q162" s="64">
        <f>DTR!Q162+'Dai Loc'!Q162+'Dong Lam'!Q162+'Khanh Nga'!Q162+TDP!Q162+DTRVL!Q162</f>
        <v>-11304824</v>
      </c>
      <c r="R162" s="64">
        <f>DTR!R162+'Dai Loc'!R162+'Dong Lam'!R162+'Khanh Nga'!R162+TDP!R162+DTRVL!R162</f>
        <v>-62271990</v>
      </c>
      <c r="S162" s="64">
        <f>DTR!S162+'Dai Loc'!S162+'Dong Lam'!S162+'Khanh Nga'!S162+TDP!S162+DTRVL!S162</f>
        <v>-11802821</v>
      </c>
      <c r="T162" s="64">
        <f>DTR!T162+'Dai Loc'!T162+'Dong Lam'!T162+'Khanh Nga'!T162+TDP!T162+DTRVL!T162</f>
        <v>-11455724</v>
      </c>
      <c r="U162" s="64">
        <f>DTR!U162+'Dai Loc'!U162+'Dong Lam'!U162+'Khanh Nga'!U162+TDP!U162+DTRVL!U162</f>
        <v>-57423350</v>
      </c>
      <c r="V162" s="64">
        <f>DTR!V162+'Dai Loc'!V162+'Dong Lam'!V162+'Khanh Nga'!V162+TDP!V162+DTRVL!V162</f>
        <v>-8302038</v>
      </c>
      <c r="W162" s="64">
        <f>DTR!W162+'Dai Loc'!W162+'Dong Lam'!W162+'Khanh Nga'!W162+TDP!W162+DTRVL!W162</f>
        <v>-8471618</v>
      </c>
      <c r="X162" s="64">
        <f>DTR!X162+'Dai Loc'!X162+'Dong Lam'!X162+'Khanh Nga'!X162+TDP!X162+DTRVL!X162</f>
        <v>-770249979</v>
      </c>
      <c r="Y162" s="64">
        <f>DTR!Y162+'Dai Loc'!Y162+'Dong Lam'!Y162+'Khanh Nga'!Y162+TDP!Y162+DTRVL!Y162</f>
        <v>-92067047</v>
      </c>
      <c r="Z162" s="64">
        <f>DTR!Z162+'Dai Loc'!Z162+'Dong Lam'!Z162+'Khanh Nga'!Z162+TDP!Z162+DTRVL!Z162</f>
        <v>-384526151</v>
      </c>
    </row>
    <row r="163" spans="1:26" ht="15" customHeight="1">
      <c r="A163" s="153" t="s">
        <v>249</v>
      </c>
      <c r="B163" s="154">
        <v>8</v>
      </c>
      <c r="C163" s="64">
        <f>DTR!C163+'Dai Loc'!C163+'Dong Lam'!C163+'Khanh Nga'!C163+TDP!C163+DTRVL!C163</f>
        <v>422755791</v>
      </c>
      <c r="D163" s="64">
        <f>DTR!D163+'Dai Loc'!D163+'Dong Lam'!D163+'Khanh Nga'!D163+TDP!D163+DTRVL!D163</f>
        <v>563909516</v>
      </c>
      <c r="E163" s="64">
        <f>DTR!E163+'Dai Loc'!E163+'Dong Lam'!E163+'Khanh Nga'!E163+TDP!E163+DTRVL!E163</f>
        <v>567924561</v>
      </c>
      <c r="F163" s="64">
        <f>DTR!F163+'Dai Loc'!F163+'Dong Lam'!F163+'Khanh Nga'!F163+TDP!F163+DTRVL!F163</f>
        <v>840791009</v>
      </c>
      <c r="G163" s="64">
        <f>DTR!G163+'Dai Loc'!G163+'Dong Lam'!G163+'Khanh Nga'!G163+TDP!G163+DTRVL!G163</f>
        <v>961855770</v>
      </c>
      <c r="H163" s="64">
        <f>DTR!H163+'Dai Loc'!H163+'Dong Lam'!H163+'Khanh Nga'!H163+TDP!H163+DTRVL!H163</f>
        <v>1030712173</v>
      </c>
      <c r="I163" s="64">
        <f>DTR!I163+'Dai Loc'!I163+'Dong Lam'!I163+'Khanh Nga'!I163+TDP!I163+DTRVL!I163</f>
        <v>1160823006</v>
      </c>
      <c r="J163" s="64">
        <f>DTR!J163+'Dai Loc'!J163+'Dong Lam'!J163+'Khanh Nga'!J163+TDP!J163+DTRVL!J163</f>
        <v>939585045</v>
      </c>
      <c r="K163" s="64">
        <f>DTR!K163+'Dai Loc'!K163+'Dong Lam'!K163+'Khanh Nga'!K163+TDP!K163+DTRVL!K163</f>
        <v>859444105</v>
      </c>
      <c r="L163" s="64">
        <f>DTR!L163+'Dai Loc'!L163+'Dong Lam'!L163+'Khanh Nga'!L163+TDP!L163+DTRVL!L163</f>
        <v>840165515</v>
      </c>
      <c r="M163" s="64">
        <f>DTR!M163+'Dai Loc'!M163+'Dong Lam'!M163+'Khanh Nga'!M163+TDP!M163+DTRVL!M163</f>
        <v>889159081</v>
      </c>
      <c r="N163" s="64">
        <f>DTR!N163+'Dai Loc'!N163+'Dong Lam'!N163+'Khanh Nga'!N163+TDP!N163+DTRVL!N163</f>
        <v>1032562923</v>
      </c>
      <c r="O163" s="64">
        <f>DTR!O163+'Dai Loc'!O163+'Dong Lam'!O163+'Khanh Nga'!O163+TDP!O163+DTRVL!O163</f>
        <v>739360517</v>
      </c>
      <c r="P163" s="64">
        <f>DTR!P163+'Dai Loc'!P163+'Dong Lam'!P163+'Khanh Nga'!P163+TDP!P163+DTRVL!P163</f>
        <v>1303843040</v>
      </c>
      <c r="Q163" s="64">
        <f>DTR!Q163+'Dai Loc'!Q163+'Dong Lam'!Q163+'Khanh Nga'!Q163+TDP!Q163+DTRVL!Q163</f>
        <v>673966789</v>
      </c>
      <c r="R163" s="64">
        <f>DTR!R163+'Dai Loc'!R163+'Dong Lam'!R163+'Khanh Nga'!R163+TDP!R163+DTRVL!R163</f>
        <v>888393452</v>
      </c>
      <c r="S163" s="64">
        <f>DTR!S163+'Dai Loc'!S163+'Dong Lam'!S163+'Khanh Nga'!S163+TDP!S163+DTRVL!S163</f>
        <v>1186588729</v>
      </c>
      <c r="T163" s="64">
        <f>DTR!T163+'Dai Loc'!T163+'Dong Lam'!T163+'Khanh Nga'!T163+TDP!T163+DTRVL!T163</f>
        <v>1448899822</v>
      </c>
      <c r="U163" s="64">
        <f>DTR!U163+'Dai Loc'!U163+'Dong Lam'!U163+'Khanh Nga'!U163+TDP!U163+DTRVL!U163</f>
        <v>1242023326</v>
      </c>
      <c r="V163" s="64">
        <f>DTR!V163+'Dai Loc'!V163+'Dong Lam'!V163+'Khanh Nga'!V163+TDP!V163+DTRVL!V163</f>
        <v>1303560910</v>
      </c>
      <c r="W163" s="64">
        <f>DTR!W163+'Dai Loc'!W163+'Dong Lam'!W163+'Khanh Nga'!W163+TDP!W163+DTRVL!W163</f>
        <v>1595764355</v>
      </c>
      <c r="X163" s="64">
        <f>DTR!X163+'Dai Loc'!X163+'Dong Lam'!X163+'Khanh Nga'!X163+TDP!X163+DTRVL!X163</f>
        <v>1368802426</v>
      </c>
      <c r="Y163" s="64">
        <f>DTR!Y163+'Dai Loc'!Y163+'Dong Lam'!Y163+'Khanh Nga'!Y163+TDP!Y163+DTRVL!Y163</f>
        <v>1256132292</v>
      </c>
      <c r="Z163" s="64">
        <f>DTR!Z163+'Dai Loc'!Z163+'Dong Lam'!Z163+'Khanh Nga'!Z163+TDP!Z163+DTRVL!Z163</f>
        <v>1256103396</v>
      </c>
    </row>
    <row r="164" spans="1:26" ht="15" customHeight="1">
      <c r="A164" s="153" t="s">
        <v>250</v>
      </c>
      <c r="B164" s="154">
        <v>9</v>
      </c>
      <c r="C164" s="64">
        <f>DTR!C164+'Dai Loc'!C164+'Dong Lam'!C164+'Khanh Nga'!C164+TDP!C164+DTRVL!C164</f>
        <v>-25035000</v>
      </c>
      <c r="D164" s="64">
        <f>DTR!D164+'Dai Loc'!D164+'Dong Lam'!D164+'Khanh Nga'!D164+TDP!D164+DTRVL!D164</f>
        <v>-4500869</v>
      </c>
      <c r="E164" s="64">
        <f>DTR!E164+'Dai Loc'!E164+'Dong Lam'!E164+'Khanh Nga'!E164+TDP!E164+DTRVL!E164</f>
        <v>-15342970</v>
      </c>
      <c r="F164" s="64">
        <f>DTR!F164+'Dai Loc'!F164+'Dong Lam'!F164+'Khanh Nga'!F164+TDP!F164+DTRVL!F164</f>
        <v>-1400000</v>
      </c>
      <c r="G164" s="64">
        <f>DTR!G164+'Dai Loc'!G164+'Dong Lam'!G164+'Khanh Nga'!G164+TDP!G164+DTRVL!G164</f>
        <v>583594</v>
      </c>
      <c r="H164" s="64">
        <f>DTR!H164+'Dai Loc'!H164+'Dong Lam'!H164+'Khanh Nga'!H164+TDP!H164+DTRVL!H164</f>
        <v>2638761</v>
      </c>
      <c r="I164" s="64">
        <f>DTR!I164+'Dai Loc'!I164+'Dong Lam'!I164+'Khanh Nga'!I164+TDP!I164+DTRVL!I164</f>
        <v>-1603193</v>
      </c>
      <c r="J164" s="64">
        <f>DTR!J164+'Dai Loc'!J164+'Dong Lam'!J164+'Khanh Nga'!J164+TDP!J164+DTRVL!J164</f>
        <v>2915785</v>
      </c>
      <c r="K164" s="64">
        <f>DTR!K164+'Dai Loc'!K164+'Dong Lam'!K164+'Khanh Nga'!K164+TDP!K164+DTRVL!K164</f>
        <v>1137535</v>
      </c>
      <c r="L164" s="64">
        <f>DTR!L164+'Dai Loc'!L164+'Dong Lam'!L164+'Khanh Nga'!L164+TDP!L164+DTRVL!L164</f>
        <v>-2150926</v>
      </c>
      <c r="M164" s="64">
        <f>DTR!M164+'Dai Loc'!M164+'Dong Lam'!M164+'Khanh Nga'!M164+TDP!M164+DTRVL!M164</f>
        <v>2544907</v>
      </c>
      <c r="N164" s="64">
        <f>DTR!N164+'Dai Loc'!N164+'Dong Lam'!N164+'Khanh Nga'!N164+TDP!N164+DTRVL!N164</f>
        <v>-153600711</v>
      </c>
      <c r="O164" s="64">
        <f>DTR!O164+'Dai Loc'!O164+'Dong Lam'!O164+'Khanh Nga'!O164+TDP!O164+DTRVL!O164</f>
        <v>5872690</v>
      </c>
      <c r="P164" s="64">
        <f>DTR!P164+'Dai Loc'!P164+'Dong Lam'!P164+'Khanh Nga'!P164+TDP!P164+DTRVL!P164</f>
        <v>-3800000</v>
      </c>
      <c r="Q164" s="64">
        <f>DTR!Q164+'Dai Loc'!Q164+'Dong Lam'!Q164+'Khanh Nga'!Q164+TDP!Q164+DTRVL!Q164</f>
        <v>3397640</v>
      </c>
      <c r="R164" s="64">
        <f>DTR!R164+'Dai Loc'!R164+'Dong Lam'!R164+'Khanh Nga'!R164+TDP!R164+DTRVL!R164</f>
        <v>13981280</v>
      </c>
      <c r="S164" s="64">
        <f>DTR!S164+'Dai Loc'!S164+'Dong Lam'!S164+'Khanh Nga'!S164+TDP!S164+DTRVL!S164</f>
        <v>15477736</v>
      </c>
      <c r="T164" s="64">
        <f>DTR!T164+'Dai Loc'!T164+'Dong Lam'!T164+'Khanh Nga'!T164+TDP!T164+DTRVL!T164</f>
        <v>18540080</v>
      </c>
      <c r="U164" s="64">
        <f>DTR!U164+'Dai Loc'!U164+'Dong Lam'!U164+'Khanh Nga'!U164+TDP!U164+DTRVL!U164</f>
        <v>-93607732</v>
      </c>
      <c r="V164" s="64">
        <f>DTR!V164+'Dai Loc'!V164+'Dong Lam'!V164+'Khanh Nga'!V164+TDP!V164+DTRVL!V164</f>
        <v>15000048</v>
      </c>
      <c r="W164" s="64">
        <f>DTR!W164+'Dai Loc'!W164+'Dong Lam'!W164+'Khanh Nga'!W164+TDP!W164+DTRVL!W164</f>
        <v>10984820</v>
      </c>
      <c r="X164" s="64">
        <f>DTR!X164+'Dai Loc'!X164+'Dong Lam'!X164+'Khanh Nga'!X164+TDP!X164+DTRVL!X164</f>
        <v>24070392</v>
      </c>
      <c r="Y164" s="64">
        <f>DTR!Y164+'Dai Loc'!Y164+'Dong Lam'!Y164+'Khanh Nga'!Y164+TDP!Y164+DTRVL!Y164</f>
        <v>6071410</v>
      </c>
      <c r="Z164" s="155">
        <f>DTR!Z164+'Dai Loc'!Z164+'Dong Lam'!Z164+'Khanh Nga'!Z164+TDP!Z164+DTRVL!Z164</f>
        <v>35991776</v>
      </c>
    </row>
    <row r="165" spans="1:26" ht="14">
      <c r="A165" s="156" t="s">
        <v>251</v>
      </c>
      <c r="B165" s="157">
        <v>10</v>
      </c>
      <c r="C165" s="148">
        <f>DTR!C165+'Dai Loc'!C165+'Dong Lam'!C165+'Khanh Nga'!C165+TDP!C165+DTRVL!C165</f>
        <v>892891401</v>
      </c>
      <c r="D165" s="148">
        <f>DTR!D165+'Dai Loc'!D165+'Dong Lam'!D165+'Khanh Nga'!D165+TDP!D165+DTRVL!D165</f>
        <v>-2692231331</v>
      </c>
      <c r="E165" s="148">
        <f>DTR!E165+'Dai Loc'!E165+'Dong Lam'!E165+'Khanh Nga'!E165+TDP!E165+DTRVL!E165</f>
        <v>1249376108</v>
      </c>
      <c r="F165" s="148">
        <f>DTR!F165+'Dai Loc'!F165+'Dong Lam'!F165+'Khanh Nga'!F165+TDP!F165+DTRVL!F165</f>
        <v>6430652668</v>
      </c>
      <c r="G165" s="148">
        <f>DTR!G165+'Dai Loc'!G165+'Dong Lam'!G165+'Khanh Nga'!G165+TDP!G165+DTRVL!G165</f>
        <v>-1294083429</v>
      </c>
      <c r="H165" s="148">
        <f>DTR!H165+'Dai Loc'!H165+'Dong Lam'!H165+'Khanh Nga'!H165+TDP!H165+DTRVL!H165</f>
        <v>-7067664309</v>
      </c>
      <c r="I165" s="148">
        <f>DTR!I165+'Dai Loc'!I165+'Dong Lam'!I165+'Khanh Nga'!I165+TDP!I165+DTRVL!I165</f>
        <v>-9970648327</v>
      </c>
      <c r="J165" s="148">
        <f>DTR!J165+'Dai Loc'!J165+'Dong Lam'!J165+'Khanh Nga'!J165+TDP!J165+DTRVL!J165</f>
        <v>-5034637842</v>
      </c>
      <c r="K165" s="148">
        <f>DTR!K165+'Dai Loc'!K165+'Dong Lam'!K165+'Khanh Nga'!K165+TDP!K165+DTRVL!K165</f>
        <v>13117376914</v>
      </c>
      <c r="L165" s="148">
        <f>DTR!L165+'Dai Loc'!L165+'Dong Lam'!L165+'Khanh Nga'!L165+TDP!L165+DTRVL!L165</f>
        <v>-2680457596</v>
      </c>
      <c r="M165" s="148">
        <f>DTR!M165+'Dai Loc'!M165+'Dong Lam'!M165+'Khanh Nga'!M165+TDP!M165+DTRVL!M165</f>
        <v>-1210240562</v>
      </c>
      <c r="N165" s="148">
        <f>DTR!N165+'Dai Loc'!N165+'Dong Lam'!N165+'Khanh Nga'!N165+TDP!N165+DTRVL!N165</f>
        <v>105942824710</v>
      </c>
      <c r="O165" s="148">
        <f>DTR!O165+'Dai Loc'!O165+'Dong Lam'!O165+'Khanh Nga'!O165+TDP!O165+DTRVL!O165</f>
        <v>7902165813</v>
      </c>
      <c r="P165" s="148">
        <f>DTR!P165+'Dai Loc'!P165+'Dong Lam'!P165+'Khanh Nga'!P165+TDP!P165+DTRVL!P165</f>
        <v>20673251163</v>
      </c>
      <c r="Q165" s="148">
        <f>DTR!Q165+'Dai Loc'!Q165+'Dong Lam'!Q165+'Khanh Nga'!Q165+TDP!Q165+DTRVL!Q165</f>
        <v>12128228749</v>
      </c>
      <c r="R165" s="148">
        <f>DTR!R165+'Dai Loc'!R165+'Dong Lam'!R165+'Khanh Nga'!R165+TDP!R165+DTRVL!R165</f>
        <v>9130171028</v>
      </c>
      <c r="S165" s="148">
        <f>DTR!S165+'Dai Loc'!S165+'Dong Lam'!S165+'Khanh Nga'!S165+TDP!S165+DTRVL!S165</f>
        <v>15704492556</v>
      </c>
      <c r="T165" s="148">
        <f>DTR!T165+'Dai Loc'!T165+'Dong Lam'!T165+'Khanh Nga'!T165+TDP!T165+DTRVL!T165</f>
        <v>6853393586</v>
      </c>
      <c r="U165" s="148">
        <f>DTR!U165+'Dai Loc'!U165+'Dong Lam'!U165+'Khanh Nga'!U165+TDP!U165+DTRVL!U165</f>
        <v>5928681128</v>
      </c>
      <c r="V165" s="148">
        <f>DTR!V165+'Dai Loc'!V165+'Dong Lam'!V165+'Khanh Nga'!V165+TDP!V165+DTRVL!V165</f>
        <v>8611889519</v>
      </c>
      <c r="W165" s="148">
        <f>DTR!W165+'Dai Loc'!W165+'Dong Lam'!W165+'Khanh Nga'!W165+TDP!W165+DTRVL!W165</f>
        <v>-6256348969</v>
      </c>
      <c r="X165" s="148">
        <f>DTR!X165+'Dai Loc'!X165+'Dong Lam'!X165+'Khanh Nga'!X165+TDP!X165+DTRVL!X165</f>
        <v>-424172644</v>
      </c>
      <c r="Y165" s="148">
        <f>DTR!Y165+'Dai Loc'!Y165+'Dong Lam'!Y165+'Khanh Nga'!Y165+TDP!Y165+DTRVL!Y165</f>
        <v>-2263241036</v>
      </c>
      <c r="Z165" s="147">
        <f>DTR!Z165+'Dai Loc'!Z165+'Dong Lam'!Z165+'Khanh Nga'!Z165+TDP!Z165+DTRVL!Z165</f>
        <v>22542205611</v>
      </c>
    </row>
    <row r="166" spans="1:26" ht="15" customHeight="1">
      <c r="A166" s="158" t="s">
        <v>252</v>
      </c>
      <c r="B166" s="159">
        <v>11</v>
      </c>
      <c r="C166" s="69">
        <f>DTR!C166+'Dai Loc'!C166+'Dong Lam'!C166+'Khanh Nga'!C166+TDP!C166+DTRVL!C166</f>
        <v>-12246234123.139999</v>
      </c>
      <c r="D166" s="69">
        <f>DTR!D166+'Dai Loc'!D166+'Dong Lam'!D166+'Khanh Nga'!D166+TDP!D166+DTRVL!D166</f>
        <v>10826066152</v>
      </c>
      <c r="E166" s="69">
        <f>DTR!E166+'Dai Loc'!E166+'Dong Lam'!E166+'Khanh Nga'!E166+TDP!E166+DTRVL!E166</f>
        <v>-15227377699.860001</v>
      </c>
      <c r="F166" s="69">
        <f>DTR!F166+'Dai Loc'!F166+'Dong Lam'!F166+'Khanh Nga'!F166+TDP!F166+DTRVL!F166</f>
        <v>-18242361446</v>
      </c>
      <c r="G166" s="69">
        <f>DTR!G166+'Dai Loc'!G166+'Dong Lam'!G166+'Khanh Nga'!G166+TDP!G166+DTRVL!G166</f>
        <v>-17831483386.748001</v>
      </c>
      <c r="H166" s="69">
        <f>DTR!H166+'Dai Loc'!H166+'Dong Lam'!H166+'Khanh Nga'!H166+TDP!H166+DTRVL!H166</f>
        <v>-24693912300</v>
      </c>
      <c r="I166" s="69">
        <f>DTR!I166+'Dai Loc'!I166+'Dong Lam'!I166+'Khanh Nga'!I166+TDP!I166+DTRVL!I166</f>
        <v>90882621825.229996</v>
      </c>
      <c r="J166" s="69">
        <f>DTR!J166+'Dai Loc'!J166+'Dong Lam'!J166+'Khanh Nga'!J166+TDP!J166+DTRVL!J166</f>
        <v>-25565536759</v>
      </c>
      <c r="K166" s="69">
        <f>DTR!K166+'Dai Loc'!K166+'Dong Lam'!K166+'Khanh Nga'!K166+TDP!K166+DTRVL!K166</f>
        <v>-37899408750</v>
      </c>
      <c r="L166" s="69">
        <f>DTR!L166+'Dai Loc'!L166+'Dong Lam'!L166+'Khanh Nga'!L166+TDP!L166+DTRVL!L166</f>
        <v>1909176260</v>
      </c>
      <c r="M166" s="69">
        <f>DTR!M166+'Dai Loc'!M166+'Dong Lam'!M166+'Khanh Nga'!M166+TDP!M166+DTRVL!M166</f>
        <v>-52509399614</v>
      </c>
      <c r="N166" s="69">
        <f>DTR!N166+'Dai Loc'!N166+'Dong Lam'!N166+'Khanh Nga'!N166+TDP!N166+DTRVL!N166</f>
        <v>52498955385.517998</v>
      </c>
      <c r="O166" s="69">
        <f>DTR!O166+'Dai Loc'!O166+'Dong Lam'!O166+'Khanh Nga'!O166+TDP!O166+DTRVL!O166</f>
        <v>50044734419.482101</v>
      </c>
      <c r="P166" s="69">
        <f>DTR!P166+'Dai Loc'!P166+'Dong Lam'!P166+'Khanh Nga'!P166+TDP!P166+DTRVL!P166</f>
        <v>-48295472255.000099</v>
      </c>
      <c r="Q166" s="69">
        <f>DTR!Q166+'Dai Loc'!Q166+'Dong Lam'!Q166+'Khanh Nga'!Q166+TDP!Q166+DTRVL!Q166</f>
        <v>-35474140723.482002</v>
      </c>
      <c r="R166" s="69">
        <f>DTR!R166+'Dai Loc'!R166+'Dong Lam'!R166+'Khanh Nga'!R166+TDP!R166+DTRVL!R166</f>
        <v>30568041507.481998</v>
      </c>
      <c r="S166" s="69">
        <f>DTR!S166+'Dai Loc'!S166+'Dong Lam'!S166+'Khanh Nga'!S166+TDP!S166+DTRVL!S166</f>
        <v>-58367242966</v>
      </c>
      <c r="T166" s="69">
        <f>DTR!T166+'Dai Loc'!T166+'Dong Lam'!T166+'Khanh Nga'!T166+TDP!T166+DTRVL!T166</f>
        <v>-16252360559.482</v>
      </c>
      <c r="U166" s="69">
        <f>DTR!U166+'Dai Loc'!U166+'Dong Lam'!U166+'Khanh Nga'!U166+TDP!U166+DTRVL!U166</f>
        <v>1540007271</v>
      </c>
      <c r="V166" s="69">
        <f>DTR!V166+'Dai Loc'!V166+'Dong Lam'!V166+'Khanh Nga'!V166+TDP!V166+DTRVL!V166</f>
        <v>-61917992095</v>
      </c>
      <c r="W166" s="69">
        <f>DTR!W166+'Dai Loc'!W166+'Dong Lam'!W166+'Khanh Nga'!W166+TDP!W166+DTRVL!W166</f>
        <v>56301270650</v>
      </c>
      <c r="X166" s="69">
        <f>DTR!X166+'Dai Loc'!X166+'Dong Lam'!X166+'Khanh Nga'!X166+TDP!X166+DTRVL!X166</f>
        <v>39177988321</v>
      </c>
      <c r="Y166" s="69">
        <f>DTR!Y166+'Dai Loc'!Y166+'Dong Lam'!Y166+'Khanh Nga'!Y166+TDP!Y166+DTRVL!Y166</f>
        <v>12392718435</v>
      </c>
      <c r="Z166" s="64">
        <f>DTR!Z166+'Dai Loc'!Z166+'Dong Lam'!Z166+'Khanh Nga'!Z166+TDP!Z166+DTRVL!Z166</f>
        <v>-21051773707</v>
      </c>
    </row>
    <row r="167" spans="1:26" ht="15" customHeight="1">
      <c r="A167" s="160" t="s">
        <v>253</v>
      </c>
      <c r="B167" s="161">
        <v>12</v>
      </c>
      <c r="C167" s="69">
        <f>DTR!C167+'Dai Loc'!C167+'Dong Lam'!C167+'Khanh Nga'!C167+TDP!C167+DTRVL!C167</f>
        <v>-49549238548</v>
      </c>
      <c r="D167" s="69">
        <f>DTR!D167+'Dai Loc'!D167+'Dong Lam'!D167+'Khanh Nga'!D167+TDP!D167+DTRVL!D167</f>
        <v>-7205281194</v>
      </c>
      <c r="E167" s="69">
        <f>DTR!E167+'Dai Loc'!E167+'Dong Lam'!E167+'Khanh Nga'!E167+TDP!E167+DTRVL!E167</f>
        <v>-39860295459</v>
      </c>
      <c r="F167" s="69">
        <f>DTR!F167+'Dai Loc'!F167+'Dong Lam'!F167+'Khanh Nga'!F167+TDP!F167+DTRVL!F167</f>
        <v>-40452344147.022003</v>
      </c>
      <c r="G167" s="69">
        <f>DTR!G167+'Dai Loc'!G167+'Dong Lam'!G167+'Khanh Nga'!G167+TDP!G167+DTRVL!G167</f>
        <v>-40018610715.370003</v>
      </c>
      <c r="H167" s="69">
        <f>DTR!H167+'Dai Loc'!H167+'Dong Lam'!H167+'Khanh Nga'!H167+TDP!H167+DTRVL!H167</f>
        <v>-22253771084</v>
      </c>
      <c r="I167" s="69">
        <f>DTR!I167+'Dai Loc'!I167+'Dong Lam'!I167+'Khanh Nga'!I167+TDP!I167+DTRVL!I167</f>
        <v>-21156666302.23</v>
      </c>
      <c r="J167" s="69">
        <f>DTR!J167+'Dai Loc'!J167+'Dong Lam'!J167+'Khanh Nga'!J167+TDP!J167+DTRVL!J167</f>
        <v>40083282616</v>
      </c>
      <c r="K167" s="69">
        <f>DTR!K167+'Dai Loc'!K167+'Dong Lam'!K167+'Khanh Nga'!K167+TDP!K167+DTRVL!K167</f>
        <v>-10488525390</v>
      </c>
      <c r="L167" s="69">
        <f>DTR!L167+'Dai Loc'!L167+'Dong Lam'!L167+'Khanh Nga'!L167+TDP!L167+DTRVL!L167</f>
        <v>4230963655</v>
      </c>
      <c r="M167" s="69">
        <f>DTR!M167+'Dai Loc'!M167+'Dong Lam'!M167+'Khanh Nga'!M167+TDP!M167+DTRVL!M167</f>
        <v>-41785285643</v>
      </c>
      <c r="N167" s="69">
        <f>DTR!N167+'Dai Loc'!N167+'Dong Lam'!N167+'Khanh Nga'!N167+TDP!N167+DTRVL!N167</f>
        <v>-14397208765</v>
      </c>
      <c r="O167" s="69">
        <f>DTR!O167+'Dai Loc'!O167+'Dong Lam'!O167+'Khanh Nga'!O167+TDP!O167+DTRVL!O167</f>
        <v>34011025895</v>
      </c>
      <c r="P167" s="69">
        <f>DTR!P167+'Dai Loc'!P167+'Dong Lam'!P167+'Khanh Nga'!P167+TDP!P167+DTRVL!P167</f>
        <v>80139198645</v>
      </c>
      <c r="Q167" s="69">
        <f>DTR!Q167+'Dai Loc'!Q167+'Dong Lam'!Q167+'Khanh Nga'!Q167+TDP!Q167+DTRVL!Q167</f>
        <v>19508416867</v>
      </c>
      <c r="R167" s="69">
        <f>DTR!R167+'Dai Loc'!R167+'Dong Lam'!R167+'Khanh Nga'!R167+TDP!R167+DTRVL!R167</f>
        <v>-54306536082</v>
      </c>
      <c r="S167" s="69">
        <f>DTR!S167+'Dai Loc'!S167+'Dong Lam'!S167+'Khanh Nga'!S167+TDP!S167+DTRVL!S167</f>
        <v>-5114288511</v>
      </c>
      <c r="T167" s="69">
        <f>DTR!T167+'Dai Loc'!T167+'Dong Lam'!T167+'Khanh Nga'!T167+TDP!T167+DTRVL!T167</f>
        <v>-19711706985</v>
      </c>
      <c r="U167" s="69">
        <f>DTR!U167+'Dai Loc'!U167+'Dong Lam'!U167+'Khanh Nga'!U167+TDP!U167+DTRVL!U167</f>
        <v>-14594923828</v>
      </c>
      <c r="V167" s="69">
        <f>DTR!V167+'Dai Loc'!V167+'Dong Lam'!V167+'Khanh Nga'!V167+TDP!V167+DTRVL!V167</f>
        <v>1610031161</v>
      </c>
      <c r="W167" s="69">
        <f>DTR!W167+'Dai Loc'!W167+'Dong Lam'!W167+'Khanh Nga'!W167+TDP!W167+DTRVL!W167</f>
        <v>-3350477118</v>
      </c>
      <c r="X167" s="69">
        <f>DTR!X167+'Dai Loc'!X167+'Dong Lam'!X167+'Khanh Nga'!X167+TDP!X167+DTRVL!X167</f>
        <v>20252490813</v>
      </c>
      <c r="Y167" s="69">
        <f>DTR!Y167+'Dai Loc'!Y167+'Dong Lam'!Y167+'Khanh Nga'!Y167+TDP!Y167+DTRVL!Y167</f>
        <v>-2228980661</v>
      </c>
      <c r="Z167" s="64">
        <f>DTR!Z167+'Dai Loc'!Z167+'Dong Lam'!Z167+'Khanh Nga'!Z167+TDP!Z167+DTRVL!Z167</f>
        <v>-15530241784</v>
      </c>
    </row>
    <row r="168" spans="1:26" ht="14">
      <c r="A168" s="158" t="s">
        <v>254</v>
      </c>
      <c r="B168" s="159">
        <v>13</v>
      </c>
      <c r="C168" s="69">
        <f>DTR!C168+'Dai Loc'!C168+'Dong Lam'!C168+'Khanh Nga'!C168+TDP!C168+DTRVL!C168</f>
        <v>8012642277.1399994</v>
      </c>
      <c r="D168" s="69">
        <f>DTR!D168+'Dai Loc'!D168+'Dong Lam'!D168+'Khanh Nga'!D168+TDP!D168+DTRVL!D168</f>
        <v>4278312829</v>
      </c>
      <c r="E168" s="69">
        <f>DTR!E168+'Dai Loc'!E168+'Dong Lam'!E168+'Khanh Nga'!E168+TDP!E168+DTRVL!E168</f>
        <v>3821000527.8600006</v>
      </c>
      <c r="F168" s="69">
        <f>DTR!F168+'Dai Loc'!F168+'Dong Lam'!F168+'Khanh Nga'!F168+TDP!F168+DTRVL!F168</f>
        <v>17456991667.021999</v>
      </c>
      <c r="G168" s="69">
        <f>DTR!G168+'Dai Loc'!G168+'Dong Lam'!G168+'Khanh Nga'!G168+TDP!G168+DTRVL!G168</f>
        <v>27971780976.118</v>
      </c>
      <c r="H168" s="69">
        <f>DTR!H168+'Dai Loc'!H168+'Dong Lam'!H168+'Khanh Nga'!H168+TDP!H168+DTRVL!H168</f>
        <v>28656935853</v>
      </c>
      <c r="I168" s="69">
        <f>DTR!I168+'Dai Loc'!I168+'Dong Lam'!I168+'Khanh Nga'!I168+TDP!I168+DTRVL!I168</f>
        <v>13949162110</v>
      </c>
      <c r="J168" s="69">
        <f>DTR!J168+'Dai Loc'!J168+'Dong Lam'!J168+'Khanh Nga'!J168+TDP!J168+DTRVL!J168</f>
        <v>15821078146</v>
      </c>
      <c r="K168" s="69">
        <f>DTR!K168+'Dai Loc'!K168+'Dong Lam'!K168+'Khanh Nga'!K168+TDP!K168+DTRVL!K168</f>
        <v>36706376899</v>
      </c>
      <c r="L168" s="69">
        <f>DTR!L168+'Dai Loc'!L168+'Dong Lam'!L168+'Khanh Nga'!L168+TDP!L168+DTRVL!L168</f>
        <v>12026587562</v>
      </c>
      <c r="M168" s="69">
        <f>DTR!M168+'Dai Loc'!M168+'Dong Lam'!M168+'Khanh Nga'!M168+TDP!M168+DTRVL!M168</f>
        <v>46633842767</v>
      </c>
      <c r="N168" s="69">
        <f>DTR!N168+'Dai Loc'!N168+'Dong Lam'!N168+'Khanh Nga'!N168+TDP!N168+DTRVL!N168</f>
        <v>-144613571973.51801</v>
      </c>
      <c r="O168" s="69">
        <f>DTR!O168+'Dai Loc'!O168+'Dong Lam'!O168+'Khanh Nga'!O168+TDP!O168+DTRVL!O168</f>
        <v>-14723795485.482</v>
      </c>
      <c r="P168" s="69">
        <f>DTR!P168+'Dai Loc'!P168+'Dong Lam'!P168+'Khanh Nga'!P168+TDP!P168+DTRVL!P168</f>
        <v>563551013</v>
      </c>
      <c r="Q168" s="69">
        <f>DTR!Q168+'Dai Loc'!Q168+'Dong Lam'!Q168+'Khanh Nga'!Q168+TDP!Q168+DTRVL!Q168</f>
        <v>-13256494094.518</v>
      </c>
      <c r="R168" s="69">
        <f>DTR!R168+'Dai Loc'!R168+'Dong Lam'!R168+'Khanh Nga'!R168+TDP!R168+DTRVL!R168</f>
        <v>-14886720513.482</v>
      </c>
      <c r="S168" s="69">
        <f>DTR!S168+'Dai Loc'!S168+'Dong Lam'!S168+'Khanh Nga'!S168+TDP!S168+DTRVL!S168</f>
        <v>21965041111</v>
      </c>
      <c r="T168" s="69">
        <f>DTR!T168+'Dai Loc'!T168+'Dong Lam'!T168+'Khanh Nga'!T168+TDP!T168+DTRVL!T168</f>
        <v>17589115523.482002</v>
      </c>
      <c r="U168" s="69">
        <f>DTR!U168+'Dai Loc'!U168+'Dong Lam'!U168+'Khanh Nga'!U168+TDP!U168+DTRVL!U168</f>
        <v>-13512474795.999901</v>
      </c>
      <c r="V168" s="69">
        <f>DTR!V168+'Dai Loc'!V168+'Dong Lam'!V168+'Khanh Nga'!V168+TDP!V168+DTRVL!V168</f>
        <v>19288575433</v>
      </c>
      <c r="W168" s="69">
        <f>DTR!W168+'Dai Loc'!W168+'Dong Lam'!W168+'Khanh Nga'!W168+TDP!W168+DTRVL!W168</f>
        <v>-18368729384.000099</v>
      </c>
      <c r="X168" s="69">
        <f>DTR!X168+'Dai Loc'!X168+'Dong Lam'!X168+'Khanh Nga'!X168+TDP!X168+DTRVL!X168</f>
        <v>8202293771</v>
      </c>
      <c r="Y168" s="69">
        <f>DTR!Y168+'Dai Loc'!Y168+'Dong Lam'!Y168+'Khanh Nga'!Y168+TDP!Y168+DTRVL!Y168</f>
        <v>-10404906191</v>
      </c>
      <c r="Z168" s="64">
        <f>DTR!Z168+'Dai Loc'!Z168+'Dong Lam'!Z168+'Khanh Nga'!Z168+TDP!Z168+DTRVL!Z168</f>
        <v>-4057687328</v>
      </c>
    </row>
    <row r="169" spans="1:26" ht="15" customHeight="1">
      <c r="A169" s="158" t="s">
        <v>255</v>
      </c>
      <c r="B169" s="159">
        <v>14</v>
      </c>
      <c r="C169" s="69">
        <f>DTR!C169+'Dai Loc'!C169+'Dong Lam'!C169+'Khanh Nga'!C169+TDP!C169+DTRVL!C169</f>
        <v>138419414</v>
      </c>
      <c r="D169" s="69">
        <f>DTR!D169+'Dai Loc'!D169+'Dong Lam'!D169+'Khanh Nga'!D169+TDP!D169+DTRVL!D169</f>
        <v>-195536893</v>
      </c>
      <c r="E169" s="69">
        <f>DTR!E169+'Dai Loc'!E169+'Dong Lam'!E169+'Khanh Nga'!E169+TDP!E169+DTRVL!E169</f>
        <v>208271418</v>
      </c>
      <c r="F169" s="69">
        <f>DTR!F169+'Dai Loc'!F169+'Dong Lam'!F169+'Khanh Nga'!F169+TDP!F169+DTRVL!F169</f>
        <v>-156105027</v>
      </c>
      <c r="G169" s="69">
        <f>DTR!G169+'Dai Loc'!G169+'Dong Lam'!G169+'Khanh Nga'!G169+TDP!G169+DTRVL!G169</f>
        <v>163996298</v>
      </c>
      <c r="H169" s="69">
        <f>DTR!H169+'Dai Loc'!H169+'Dong Lam'!H169+'Khanh Nga'!H169+TDP!H169+DTRVL!H169</f>
        <v>223255844</v>
      </c>
      <c r="I169" s="69">
        <f>DTR!I169+'Dai Loc'!I169+'Dong Lam'!I169+'Khanh Nga'!I169+TDP!I169+DTRVL!I169</f>
        <v>-51586114</v>
      </c>
      <c r="J169" s="69">
        <f>DTR!J169+'Dai Loc'!J169+'Dong Lam'!J169+'Khanh Nga'!J169+TDP!J169+DTRVL!J169</f>
        <v>-547678801</v>
      </c>
      <c r="K169" s="69">
        <f>DTR!K169+'Dai Loc'!K169+'Dong Lam'!K169+'Khanh Nga'!K169+TDP!K169+DTRVL!K169</f>
        <v>259681006</v>
      </c>
      <c r="L169" s="69">
        <f>DTR!L169+'Dai Loc'!L169+'Dong Lam'!L169+'Khanh Nga'!L169+TDP!L169+DTRVL!L169</f>
        <v>-52949085</v>
      </c>
      <c r="M169" s="69">
        <f>DTR!M169+'Dai Loc'!M169+'Dong Lam'!M169+'Khanh Nga'!M169+TDP!M169+DTRVL!M169</f>
        <v>371337406</v>
      </c>
      <c r="N169" s="69">
        <f>DTR!N169+'Dai Loc'!N169+'Dong Lam'!N169+'Khanh Nga'!N169+TDP!N169+DTRVL!N169</f>
        <v>-201730567</v>
      </c>
      <c r="O169" s="69">
        <f>DTR!O169+'Dai Loc'!O169+'Dong Lam'!O169+'Khanh Nga'!O169+TDP!O169+DTRVL!O169</f>
        <v>-594058884</v>
      </c>
      <c r="P169" s="69">
        <f>DTR!P169+'Dai Loc'!P169+'Dong Lam'!P169+'Khanh Nga'!P169+TDP!P169+DTRVL!P169</f>
        <v>-4016083188</v>
      </c>
      <c r="Q169" s="69">
        <f>DTR!Q169+'Dai Loc'!Q169+'Dong Lam'!Q169+'Khanh Nga'!Q169+TDP!Q169+DTRVL!Q169</f>
        <v>609477126</v>
      </c>
      <c r="R169" s="69">
        <f>DTR!R169+'Dai Loc'!R169+'Dong Lam'!R169+'Khanh Nga'!R169+TDP!R169+DTRVL!R169</f>
        <v>1329395572</v>
      </c>
      <c r="S169" s="69">
        <f>DTR!S169+'Dai Loc'!S169+'Dong Lam'!S169+'Khanh Nga'!S169+TDP!S169+DTRVL!S169</f>
        <v>730927901</v>
      </c>
      <c r="T169" s="69">
        <f>DTR!T169+'Dai Loc'!T169+'Dong Lam'!T169+'Khanh Nga'!T169+TDP!T169+DTRVL!T169</f>
        <v>-6018972917</v>
      </c>
      <c r="U169" s="69">
        <f>DTR!U169+'Dai Loc'!U169+'Dong Lam'!U169+'Khanh Nga'!U169+TDP!U169+DTRVL!U169</f>
        <v>-908214055</v>
      </c>
      <c r="V169" s="69">
        <f>DTR!V169+'Dai Loc'!V169+'Dong Lam'!V169+'Khanh Nga'!V169+TDP!V169+DTRVL!V169</f>
        <v>-861781925</v>
      </c>
      <c r="W169" s="69">
        <f>DTR!W169+'Dai Loc'!W169+'Dong Lam'!W169+'Khanh Nga'!W169+TDP!W169+DTRVL!W169</f>
        <v>2426045734</v>
      </c>
      <c r="X169" s="69">
        <f>DTR!X169+'Dai Loc'!X169+'Dong Lam'!X169+'Khanh Nga'!X169+TDP!X169+DTRVL!X169</f>
        <v>1597604553</v>
      </c>
      <c r="Y169" s="69">
        <f>DTR!Y169+'Dai Loc'!Y169+'Dong Lam'!Y169+'Khanh Nga'!Y169+TDP!Y169+DTRVL!Y169</f>
        <v>2650850606</v>
      </c>
      <c r="Z169" s="64">
        <f>DTR!Z169+'Dai Loc'!Z169+'Dong Lam'!Z169+'Khanh Nga'!Z169+TDP!Z169+DTRVL!Z169</f>
        <v>118727934</v>
      </c>
    </row>
    <row r="170" spans="1:26" ht="15" customHeight="1">
      <c r="A170" s="158" t="s">
        <v>256</v>
      </c>
      <c r="B170" s="159">
        <v>15</v>
      </c>
      <c r="C170" s="69">
        <f>DTR!C170+'Dai Loc'!C170+'Dong Lam'!C170+'Khanh Nga'!C170+TDP!C170+DTRVL!C170</f>
        <v>0</v>
      </c>
      <c r="D170" s="69">
        <f>DTR!D170+'Dai Loc'!D170+'Dong Lam'!D170+'Khanh Nga'!D170+TDP!D170+DTRVL!D170</f>
        <v>0</v>
      </c>
      <c r="E170" s="69">
        <f>DTR!E170+'Dai Loc'!E170+'Dong Lam'!E170+'Khanh Nga'!E170+TDP!E170+DTRVL!E170</f>
        <v>0</v>
      </c>
      <c r="F170" s="69">
        <f>DTR!F170+'Dai Loc'!F170+'Dong Lam'!F170+'Khanh Nga'!F170+TDP!F170+DTRVL!F170</f>
        <v>0</v>
      </c>
      <c r="G170" s="69">
        <f>DTR!G170+'Dai Loc'!G170+'Dong Lam'!G170+'Khanh Nga'!G170+TDP!G170+DTRVL!G170</f>
        <v>0</v>
      </c>
      <c r="H170" s="69">
        <f>DTR!H170+'Dai Loc'!H170+'Dong Lam'!H170+'Khanh Nga'!H170+TDP!H170+DTRVL!H170</f>
        <v>0</v>
      </c>
      <c r="I170" s="69">
        <f>DTR!I170+'Dai Loc'!I170+'Dong Lam'!I170+'Khanh Nga'!I170+TDP!I170+DTRVL!I170</f>
        <v>0</v>
      </c>
      <c r="J170" s="69">
        <f>DTR!J170+'Dai Loc'!J170+'Dong Lam'!J170+'Khanh Nga'!J170+TDP!J170+DTRVL!J170</f>
        <v>0</v>
      </c>
      <c r="K170" s="69">
        <f>DTR!K170+'Dai Loc'!K170+'Dong Lam'!K170+'Khanh Nga'!K170+TDP!K170+DTRVL!K170</f>
        <v>0</v>
      </c>
      <c r="L170" s="69">
        <f>DTR!L170+'Dai Loc'!L170+'Dong Lam'!L170+'Khanh Nga'!L170+TDP!L170+DTRVL!L170</f>
        <v>0</v>
      </c>
      <c r="M170" s="69">
        <f>DTR!M170+'Dai Loc'!M170+'Dong Lam'!M170+'Khanh Nga'!M170+TDP!M170+DTRVL!M170</f>
        <v>0</v>
      </c>
      <c r="N170" s="69">
        <f>DTR!N170+'Dai Loc'!N170+'Dong Lam'!N170+'Khanh Nga'!N170+TDP!N170+DTRVL!N170</f>
        <v>0</v>
      </c>
      <c r="O170" s="69">
        <f>DTR!O170+'Dai Loc'!O170+'Dong Lam'!O170+'Khanh Nga'!O170+TDP!O170+DTRVL!O170</f>
        <v>0</v>
      </c>
      <c r="P170" s="69">
        <f>DTR!P170+'Dai Loc'!P170+'Dong Lam'!P170+'Khanh Nga'!P170+TDP!P170+DTRVL!P170</f>
        <v>0</v>
      </c>
      <c r="Q170" s="69">
        <f>DTR!Q170+'Dai Loc'!Q170+'Dong Lam'!Q170+'Khanh Nga'!Q170+TDP!Q170+DTRVL!Q170</f>
        <v>0</v>
      </c>
      <c r="R170" s="69">
        <f>DTR!R170+'Dai Loc'!R170+'Dong Lam'!R170+'Khanh Nga'!R170+TDP!R170+DTRVL!R170</f>
        <v>0</v>
      </c>
      <c r="S170" s="69">
        <f>DTR!S170+'Dai Loc'!S170+'Dong Lam'!S170+'Khanh Nga'!S170+TDP!S170+DTRVL!S170</f>
        <v>0</v>
      </c>
      <c r="T170" s="69">
        <f>DTR!T170+'Dai Loc'!T170+'Dong Lam'!T170+'Khanh Nga'!T170+TDP!T170+DTRVL!T170</f>
        <v>0</v>
      </c>
      <c r="U170" s="69">
        <f>DTR!U170+'Dai Loc'!U170+'Dong Lam'!U170+'Khanh Nga'!U170+TDP!U170+DTRVL!U170</f>
        <v>0</v>
      </c>
      <c r="V170" s="69">
        <f>DTR!V170+'Dai Loc'!V170+'Dong Lam'!V170+'Khanh Nga'!V170+TDP!V170+DTRVL!V170</f>
        <v>0</v>
      </c>
      <c r="W170" s="69">
        <f>DTR!W170+'Dai Loc'!W170+'Dong Lam'!W170+'Khanh Nga'!W170+TDP!W170+DTRVL!W170</f>
        <v>0</v>
      </c>
      <c r="X170" s="69">
        <f>DTR!X170+'Dai Loc'!X170+'Dong Lam'!X170+'Khanh Nga'!X170+TDP!X170+DTRVL!X170</f>
        <v>0</v>
      </c>
      <c r="Y170" s="69">
        <f>DTR!Y170+'Dai Loc'!Y170+'Dong Lam'!Y170+'Khanh Nga'!Y170+TDP!Y170+DTRVL!Y170</f>
        <v>0</v>
      </c>
      <c r="Z170" s="64">
        <f>DTR!Z170+'Dai Loc'!Z170+'Dong Lam'!Z170+'Khanh Nga'!Z170+TDP!Z170+DTRVL!Z170</f>
        <v>0</v>
      </c>
    </row>
    <row r="171" spans="1:26" ht="15" customHeight="1">
      <c r="A171" s="158" t="s">
        <v>257</v>
      </c>
      <c r="B171" s="159">
        <v>16</v>
      </c>
      <c r="C171" s="69">
        <f>DTR!C171+'Dai Loc'!C171+'Dong Lam'!C171+'Khanh Nga'!C171+TDP!C171+DTRVL!C171</f>
        <v>-422755791</v>
      </c>
      <c r="D171" s="69">
        <f>DTR!D171+'Dai Loc'!D171+'Dong Lam'!D171+'Khanh Nga'!D171+TDP!D171+DTRVL!D171</f>
        <v>-563909516</v>
      </c>
      <c r="E171" s="69">
        <f>DTR!E171+'Dai Loc'!E171+'Dong Lam'!E171+'Khanh Nga'!E171+TDP!E171+DTRVL!E171</f>
        <v>-567924561</v>
      </c>
      <c r="F171" s="69">
        <f>DTR!F171+'Dai Loc'!F171+'Dong Lam'!F171+'Khanh Nga'!F171+TDP!F171+DTRVL!F171</f>
        <v>-840791009</v>
      </c>
      <c r="G171" s="69">
        <f>DTR!G171+'Dai Loc'!G171+'Dong Lam'!G171+'Khanh Nga'!G171+TDP!G171+DTRVL!G171</f>
        <v>-961855770</v>
      </c>
      <c r="H171" s="69">
        <f>DTR!H171+'Dai Loc'!H171+'Dong Lam'!H171+'Khanh Nga'!H171+TDP!H171+DTRVL!H171</f>
        <v>-1030712173</v>
      </c>
      <c r="I171" s="69">
        <f>DTR!I171+'Dai Loc'!I171+'Dong Lam'!I171+'Khanh Nga'!I171+TDP!I171+DTRVL!I171</f>
        <v>-1160823006</v>
      </c>
      <c r="J171" s="69">
        <f>DTR!J171+'Dai Loc'!J171+'Dong Lam'!J171+'Khanh Nga'!J171+TDP!J171+DTRVL!J171</f>
        <v>-939585045</v>
      </c>
      <c r="K171" s="69">
        <f>DTR!K171+'Dai Loc'!K171+'Dong Lam'!K171+'Khanh Nga'!K171+TDP!K171+DTRVL!K171</f>
        <v>-859444105</v>
      </c>
      <c r="L171" s="69">
        <f>DTR!L171+'Dai Loc'!L171+'Dong Lam'!L171+'Khanh Nga'!L171+TDP!L171+DTRVL!L171</f>
        <v>-840165515</v>
      </c>
      <c r="M171" s="69">
        <f>DTR!M171+'Dai Loc'!M171+'Dong Lam'!M171+'Khanh Nga'!M171+TDP!M171+DTRVL!M171</f>
        <v>-889159081</v>
      </c>
      <c r="N171" s="69">
        <f>DTR!N171+'Dai Loc'!N171+'Dong Lam'!N171+'Khanh Nga'!N171+TDP!N171+DTRVL!N171</f>
        <v>-1032562923</v>
      </c>
      <c r="O171" s="69">
        <f>DTR!O171+'Dai Loc'!O171+'Dong Lam'!O171+'Khanh Nga'!O171+TDP!O171+DTRVL!O171</f>
        <v>-739360517</v>
      </c>
      <c r="P171" s="69">
        <f>DTR!P171+'Dai Loc'!P171+'Dong Lam'!P171+'Khanh Nga'!P171+TDP!P171+DTRVL!P171</f>
        <v>-1303843040</v>
      </c>
      <c r="Q171" s="69">
        <f>DTR!Q171+'Dai Loc'!Q171+'Dong Lam'!Q171+'Khanh Nga'!Q171+TDP!Q171+DTRVL!Q171</f>
        <v>-673966789</v>
      </c>
      <c r="R171" s="69">
        <f>DTR!R171+'Dai Loc'!R171+'Dong Lam'!R171+'Khanh Nga'!R171+TDP!R171+DTRVL!R171</f>
        <v>-888393452</v>
      </c>
      <c r="S171" s="69">
        <f>DTR!S171+'Dai Loc'!S171+'Dong Lam'!S171+'Khanh Nga'!S171+TDP!S171+DTRVL!S171</f>
        <v>-1186588729</v>
      </c>
      <c r="T171" s="69">
        <f>DTR!T171+'Dai Loc'!T171+'Dong Lam'!T171+'Khanh Nga'!T171+TDP!T171+DTRVL!T171</f>
        <v>-1448899822</v>
      </c>
      <c r="U171" s="69">
        <f>DTR!U171+'Dai Loc'!U171+'Dong Lam'!U171+'Khanh Nga'!U171+TDP!U171+DTRVL!U171</f>
        <v>-1242023326</v>
      </c>
      <c r="V171" s="69">
        <f>DTR!V171+'Dai Loc'!V171+'Dong Lam'!V171+'Khanh Nga'!V171+TDP!V171+DTRVL!V171</f>
        <v>-1303560910</v>
      </c>
      <c r="W171" s="69">
        <f>DTR!W171+'Dai Loc'!W171+'Dong Lam'!W171+'Khanh Nga'!W171+TDP!W171+DTRVL!W171</f>
        <v>-1595764355</v>
      </c>
      <c r="X171" s="69">
        <f>DTR!X171+'Dai Loc'!X171+'Dong Lam'!X171+'Khanh Nga'!X171+TDP!X171+DTRVL!X171</f>
        <v>-1368802426</v>
      </c>
      <c r="Y171" s="69">
        <f>DTR!Y171+'Dai Loc'!Y171+'Dong Lam'!Y171+'Khanh Nga'!Y171+TDP!Y171+DTRVL!Y171</f>
        <v>-1256132292</v>
      </c>
      <c r="Z171" s="64">
        <f>DTR!Z171+'Dai Loc'!Z171+'Dong Lam'!Z171+'Khanh Nga'!Z171+TDP!Z171+DTRVL!Z171</f>
        <v>-1256103396</v>
      </c>
    </row>
    <row r="172" spans="1:26" ht="15" customHeight="1">
      <c r="A172" s="158" t="s">
        <v>258</v>
      </c>
      <c r="B172" s="159">
        <v>17</v>
      </c>
      <c r="C172" s="69">
        <f>DTR!C172+'Dai Loc'!C172+'Dong Lam'!C172+'Khanh Nga'!C172+TDP!C172+DTRVL!C172</f>
        <v>0</v>
      </c>
      <c r="D172" s="69">
        <f>DTR!D172+'Dai Loc'!D172+'Dong Lam'!D172+'Khanh Nga'!D172+TDP!D172+DTRVL!D172</f>
        <v>-6372627736</v>
      </c>
      <c r="E172" s="69">
        <f>DTR!E172+'Dai Loc'!E172+'Dong Lam'!E172+'Khanh Nga'!E172+TDP!E172+DTRVL!E172</f>
        <v>0</v>
      </c>
      <c r="F172" s="69">
        <f>DTR!F172+'Dai Loc'!F172+'Dong Lam'!F172+'Khanh Nga'!F172+TDP!F172+DTRVL!F172</f>
        <v>-1567047590</v>
      </c>
      <c r="G172" s="69">
        <f>DTR!G172+'Dai Loc'!G172+'Dong Lam'!G172+'Khanh Nga'!G172+TDP!G172+DTRVL!G172</f>
        <v>0</v>
      </c>
      <c r="H172" s="69">
        <f>DTR!H172+'Dai Loc'!H172+'Dong Lam'!H172+'Khanh Nga'!H172+TDP!H172+DTRVL!H172</f>
        <v>0</v>
      </c>
      <c r="I172" s="69">
        <f>DTR!I172+'Dai Loc'!I172+'Dong Lam'!I172+'Khanh Nga'!I172+TDP!I172+DTRVL!I172</f>
        <v>-4839738089</v>
      </c>
      <c r="J172" s="69">
        <f>DTR!J172+'Dai Loc'!J172+'Dong Lam'!J172+'Khanh Nga'!J172+TDP!J172+DTRVL!J172</f>
        <v>0</v>
      </c>
      <c r="K172" s="69">
        <f>DTR!K172+'Dai Loc'!K172+'Dong Lam'!K172+'Khanh Nga'!K172+TDP!K172+DTRVL!K172</f>
        <v>0</v>
      </c>
      <c r="L172" s="69">
        <f>DTR!L172+'Dai Loc'!L172+'Dong Lam'!L172+'Khanh Nga'!L172+TDP!L172+DTRVL!L172</f>
        <v>0</v>
      </c>
      <c r="M172" s="69">
        <f>DTR!M172+'Dai Loc'!M172+'Dong Lam'!M172+'Khanh Nga'!M172+TDP!M172+DTRVL!M172</f>
        <v>0</v>
      </c>
      <c r="N172" s="69">
        <f>DTR!N172+'Dai Loc'!N172+'Dong Lam'!N172+'Khanh Nga'!N172+TDP!N172+DTRVL!N172</f>
        <v>0</v>
      </c>
      <c r="O172" s="69">
        <f>DTR!O172+'Dai Loc'!O172+'Dong Lam'!O172+'Khanh Nga'!O172+TDP!O172+DTRVL!O172</f>
        <v>0</v>
      </c>
      <c r="P172" s="69">
        <f>DTR!P172+'Dai Loc'!P172+'Dong Lam'!P172+'Khanh Nga'!P172+TDP!P172+DTRVL!P172</f>
        <v>0</v>
      </c>
      <c r="Q172" s="69">
        <f>DTR!Q172+'Dai Loc'!Q172+'Dong Lam'!Q172+'Khanh Nga'!Q172+TDP!Q172+DTRVL!Q172</f>
        <v>0</v>
      </c>
      <c r="R172" s="69">
        <f>DTR!R172+'Dai Loc'!R172+'Dong Lam'!R172+'Khanh Nga'!R172+TDP!R172+DTRVL!R172</f>
        <v>0</v>
      </c>
      <c r="S172" s="69">
        <f>DTR!S172+'Dai Loc'!S172+'Dong Lam'!S172+'Khanh Nga'!S172+TDP!S172+DTRVL!S172</f>
        <v>0</v>
      </c>
      <c r="T172" s="69">
        <f>DTR!T172+'Dai Loc'!T172+'Dong Lam'!T172+'Khanh Nga'!T172+TDP!T172+DTRVL!T172</f>
        <v>0</v>
      </c>
      <c r="U172" s="69">
        <f>DTR!U172+'Dai Loc'!U172+'Dong Lam'!U172+'Khanh Nga'!U172+TDP!U172+DTRVL!U172</f>
        <v>0</v>
      </c>
      <c r="V172" s="69">
        <f>DTR!V172+'Dai Loc'!V172+'Dong Lam'!V172+'Khanh Nga'!V172+TDP!V172+DTRVL!V172</f>
        <v>0</v>
      </c>
      <c r="W172" s="69">
        <f>DTR!W172+'Dai Loc'!W172+'Dong Lam'!W172+'Khanh Nga'!W172+TDP!W172+DTRVL!W172</f>
        <v>0</v>
      </c>
      <c r="X172" s="69">
        <f>DTR!X172+'Dai Loc'!X172+'Dong Lam'!X172+'Khanh Nga'!X172+TDP!X172+DTRVL!X172</f>
        <v>0</v>
      </c>
      <c r="Y172" s="69">
        <f>DTR!Y172+'Dai Loc'!Y172+'Dong Lam'!Y172+'Khanh Nga'!Y172+TDP!Y172+DTRVL!Y172</f>
        <v>0</v>
      </c>
      <c r="Z172" s="64">
        <f>DTR!Z172+'Dai Loc'!Z172+'Dong Lam'!Z172+'Khanh Nga'!Z172+TDP!Z172+DTRVL!Z172</f>
        <v>0</v>
      </c>
    </row>
    <row r="173" spans="1:26" ht="15" customHeight="1">
      <c r="A173" s="158" t="s">
        <v>259</v>
      </c>
      <c r="B173" s="159">
        <v>18</v>
      </c>
      <c r="C173" s="69">
        <f>DTR!C173+'Dai Loc'!C173+'Dong Lam'!C173+'Khanh Nga'!C173+TDP!C173+DTRVL!C173</f>
        <v>33300285459</v>
      </c>
      <c r="D173" s="69">
        <f>DTR!D173+'Dai Loc'!D173+'Dong Lam'!D173+'Khanh Nga'!D173+TDP!D173+DTRVL!D173</f>
        <v>581261898</v>
      </c>
      <c r="E173" s="69">
        <f>DTR!E173+'Dai Loc'!E173+'Dong Lam'!E173+'Khanh Nga'!E173+TDP!E173+DTRVL!E173</f>
        <v>295846464</v>
      </c>
      <c r="F173" s="69">
        <f>DTR!F173+'Dai Loc'!F173+'Dong Lam'!F173+'Khanh Nga'!F173+TDP!F173+DTRVL!F173</f>
        <v>6044827458</v>
      </c>
      <c r="G173" s="69">
        <f>DTR!G173+'Dai Loc'!G173+'Dong Lam'!G173+'Khanh Nga'!G173+TDP!G173+DTRVL!G173</f>
        <v>0</v>
      </c>
      <c r="H173" s="69">
        <f>DTR!H173+'Dai Loc'!H173+'Dong Lam'!H173+'Khanh Nga'!H173+TDP!H173+DTRVL!H173</f>
        <v>183077251</v>
      </c>
      <c r="I173" s="69">
        <f>DTR!I173+'Dai Loc'!I173+'Dong Lam'!I173+'Khanh Nga'!I173+TDP!I173+DTRVL!I173</f>
        <v>0</v>
      </c>
      <c r="J173" s="69">
        <f>DTR!J173+'Dai Loc'!J173+'Dong Lam'!J173+'Khanh Nga'!J173+TDP!J173+DTRVL!J173</f>
        <v>0</v>
      </c>
      <c r="K173" s="69">
        <f>DTR!K173+'Dai Loc'!K173+'Dong Lam'!K173+'Khanh Nga'!K173+TDP!K173+DTRVL!K173</f>
        <v>0</v>
      </c>
      <c r="L173" s="69">
        <f>DTR!L173+'Dai Loc'!L173+'Dong Lam'!L173+'Khanh Nga'!L173+TDP!L173+DTRVL!L173</f>
        <v>0</v>
      </c>
      <c r="M173" s="69">
        <f>DTR!M173+'Dai Loc'!M173+'Dong Lam'!M173+'Khanh Nga'!M173+TDP!M173+DTRVL!M173</f>
        <v>44753129</v>
      </c>
      <c r="N173" s="69">
        <f>DTR!N173+'Dai Loc'!N173+'Dong Lam'!N173+'Khanh Nga'!N173+TDP!N173+DTRVL!N173</f>
        <v>100064303</v>
      </c>
      <c r="O173" s="69">
        <f>DTR!O173+'Dai Loc'!O173+'Dong Lam'!O173+'Khanh Nga'!O173+TDP!O173+DTRVL!O173</f>
        <v>0</v>
      </c>
      <c r="P173" s="69">
        <f>DTR!P173+'Dai Loc'!P173+'Dong Lam'!P173+'Khanh Nga'!P173+TDP!P173+DTRVL!P173</f>
        <v>310813567</v>
      </c>
      <c r="Q173" s="69">
        <f>DTR!Q173+'Dai Loc'!Q173+'Dong Lam'!Q173+'Khanh Nga'!Q173+TDP!Q173+DTRVL!Q173</f>
        <v>0</v>
      </c>
      <c r="R173" s="69">
        <f>DTR!R173+'Dai Loc'!R173+'Dong Lam'!R173+'Khanh Nga'!R173+TDP!R173+DTRVL!R173</f>
        <v>0</v>
      </c>
      <c r="S173" s="69">
        <f>DTR!S173+'Dai Loc'!S173+'Dong Lam'!S173+'Khanh Nga'!S173+TDP!S173+DTRVL!S173</f>
        <v>1602926131</v>
      </c>
      <c r="T173" s="69">
        <f>DTR!T173+'Dai Loc'!T173+'Dong Lam'!T173+'Khanh Nga'!T173+TDP!T173+DTRVL!T173</f>
        <v>1730001720</v>
      </c>
      <c r="U173" s="69">
        <f>DTR!U173+'Dai Loc'!U173+'Dong Lam'!U173+'Khanh Nga'!U173+TDP!U173+DTRVL!U173</f>
        <v>0</v>
      </c>
      <c r="V173" s="69">
        <f>DTR!V173+'Dai Loc'!V173+'Dong Lam'!V173+'Khanh Nga'!V173+TDP!V173+DTRVL!V173</f>
        <v>1725983270</v>
      </c>
      <c r="W173" s="69">
        <f>DTR!W173+'Dai Loc'!W173+'Dong Lam'!W173+'Khanh Nga'!W173+TDP!W173+DTRVL!W173</f>
        <v>0</v>
      </c>
      <c r="X173" s="69">
        <f>DTR!X173+'Dai Loc'!X173+'Dong Lam'!X173+'Khanh Nga'!X173+TDP!X173+DTRVL!X173</f>
        <v>0</v>
      </c>
      <c r="Y173" s="69">
        <f>DTR!Y173+'Dai Loc'!Y173+'Dong Lam'!Y173+'Khanh Nga'!Y173+TDP!Y173+DTRVL!Y173</f>
        <v>0</v>
      </c>
      <c r="Z173" s="64">
        <f>DTR!Z173+'Dai Loc'!Z173+'Dong Lam'!Z173+'Khanh Nga'!Z173+TDP!Z173+DTRVL!Z173</f>
        <v>0</v>
      </c>
    </row>
    <row r="174" spans="1:26" ht="15" customHeight="1">
      <c r="A174" s="158" t="s">
        <v>260</v>
      </c>
      <c r="B174" s="159">
        <v>19</v>
      </c>
      <c r="C174" s="69">
        <f>DTR!C174+'Dai Loc'!C174+'Dong Lam'!C174+'Khanh Nga'!C174+TDP!C174+DTRVL!C174</f>
        <v>-556985123</v>
      </c>
      <c r="D174" s="69">
        <f>DTR!D174+'Dai Loc'!D174+'Dong Lam'!D174+'Khanh Nga'!D174+TDP!D174+DTRVL!D174</f>
        <v>0</v>
      </c>
      <c r="E174" s="69">
        <f>DTR!E174+'Dai Loc'!E174+'Dong Lam'!E174+'Khanh Nga'!E174+TDP!E174+DTRVL!E174</f>
        <v>-2626029698</v>
      </c>
      <c r="F174" s="69">
        <f>DTR!F174+'Dai Loc'!F174+'Dong Lam'!F174+'Khanh Nga'!F174+TDP!F174+DTRVL!F174</f>
        <v>-1520939337</v>
      </c>
      <c r="G174" s="69">
        <f>DTR!G174+'Dai Loc'!G174+'Dong Lam'!G174+'Khanh Nga'!G174+TDP!G174+DTRVL!G174</f>
        <v>-231157127</v>
      </c>
      <c r="H174" s="69">
        <f>DTR!H174+'Dai Loc'!H174+'Dong Lam'!H174+'Khanh Nga'!H174+TDP!H174+DTRVL!H174</f>
        <v>-168183405</v>
      </c>
      <c r="I174" s="69">
        <f>DTR!I174+'Dai Loc'!I174+'Dong Lam'!I174+'Khanh Nga'!I174+TDP!I174+DTRVL!I174</f>
        <v>-7757502843</v>
      </c>
      <c r="J174" s="69">
        <f>DTR!J174+'Dai Loc'!J174+'Dong Lam'!J174+'Khanh Nga'!J174+TDP!J174+DTRVL!J174</f>
        <v>-843147474</v>
      </c>
      <c r="K174" s="69">
        <f>DTR!K174+'Dai Loc'!K174+'Dong Lam'!K174+'Khanh Nga'!K174+TDP!K174+DTRVL!K174</f>
        <v>-778536028</v>
      </c>
      <c r="L174" s="69">
        <f>DTR!L174+'Dai Loc'!L174+'Dong Lam'!L174+'Khanh Nga'!L174+TDP!L174+DTRVL!L174</f>
        <v>-88004798</v>
      </c>
      <c r="M174" s="69">
        <f>DTR!M174+'Dai Loc'!M174+'Dong Lam'!M174+'Khanh Nga'!M174+TDP!M174+DTRVL!M174</f>
        <v>0</v>
      </c>
      <c r="N174" s="69">
        <f>DTR!N174+'Dai Loc'!N174+'Dong Lam'!N174+'Khanh Nga'!N174+TDP!N174+DTRVL!N174</f>
        <v>0</v>
      </c>
      <c r="O174" s="69">
        <f>DTR!O174+'Dai Loc'!O174+'Dong Lam'!O174+'Khanh Nga'!O174+TDP!O174+DTRVL!O174</f>
        <v>-2457877506</v>
      </c>
      <c r="P174" s="69">
        <f>DTR!P174+'Dai Loc'!P174+'Dong Lam'!P174+'Khanh Nga'!P174+TDP!P174+DTRVL!P174</f>
        <v>0</v>
      </c>
      <c r="Q174" s="69">
        <f>DTR!Q174+'Dai Loc'!Q174+'Dong Lam'!Q174+'Khanh Nga'!Q174+TDP!Q174+DTRVL!Q174</f>
        <v>-46111316</v>
      </c>
      <c r="R174" s="69">
        <f>DTR!R174+'Dai Loc'!R174+'Dong Lam'!R174+'Khanh Nga'!R174+TDP!R174+DTRVL!R174</f>
        <v>-2524601239</v>
      </c>
      <c r="S174" s="69">
        <f>DTR!S174+'Dai Loc'!S174+'Dong Lam'!S174+'Khanh Nga'!S174+TDP!S174+DTRVL!S174</f>
        <v>0</v>
      </c>
      <c r="T174" s="69">
        <f>DTR!T174+'Dai Loc'!T174+'Dong Lam'!T174+'Khanh Nga'!T174+TDP!T174+DTRVL!T174</f>
        <v>0</v>
      </c>
      <c r="U174" s="69">
        <f>DTR!U174+'Dai Loc'!U174+'Dong Lam'!U174+'Khanh Nga'!U174+TDP!U174+DTRVL!U174</f>
        <v>-5614800580</v>
      </c>
      <c r="V174" s="69">
        <f>DTR!V174+'Dai Loc'!V174+'Dong Lam'!V174+'Khanh Nga'!V174+TDP!V174+DTRVL!V174</f>
        <v>0</v>
      </c>
      <c r="W174" s="69">
        <f>DTR!W174+'Dai Loc'!W174+'Dong Lam'!W174+'Khanh Nga'!W174+TDP!W174+DTRVL!W174</f>
        <v>-1667537838</v>
      </c>
      <c r="X174" s="69">
        <f>DTR!X174+'Dai Loc'!X174+'Dong Lam'!X174+'Khanh Nga'!X174+TDP!X174+DTRVL!X174</f>
        <v>-284344487</v>
      </c>
      <c r="Y174" s="69">
        <f>DTR!Y174+'Dai Loc'!Y174+'Dong Lam'!Y174+'Khanh Nga'!Y174+TDP!Y174+DTRVL!Y174</f>
        <v>-527732656</v>
      </c>
      <c r="Z174" s="64">
        <f>DTR!Z174+'Dai Loc'!Z174+'Dong Lam'!Z174+'Khanh Nga'!Z174+TDP!Z174+DTRVL!Z174</f>
        <v>-1260571042</v>
      </c>
    </row>
    <row r="175" spans="1:26" ht="15" customHeight="1">
      <c r="A175" s="162" t="s">
        <v>261</v>
      </c>
      <c r="B175" s="146">
        <v>20</v>
      </c>
      <c r="C175" s="148">
        <f>DTR!C175+'Dai Loc'!C175+'Dong Lam'!C175+'Khanh Nga'!C175+TDP!C175+DTRVL!C175</f>
        <v>-20430975034</v>
      </c>
      <c r="D175" s="148">
        <f>DTR!D175+'Dai Loc'!D175+'Dong Lam'!D175+'Khanh Nga'!D175+TDP!D175+DTRVL!D175</f>
        <v>-1343945791</v>
      </c>
      <c r="E175" s="148">
        <f>DTR!E175+'Dai Loc'!E175+'Dong Lam'!E175+'Khanh Nga'!E175+TDP!E175+DTRVL!E175</f>
        <v>-52707132900</v>
      </c>
      <c r="F175" s="148">
        <f>DTR!F175+'Dai Loc'!F175+'Dong Lam'!F175+'Khanh Nga'!F175+TDP!F175+DTRVL!F175</f>
        <v>-32847116763</v>
      </c>
      <c r="G175" s="148">
        <f>DTR!G175+'Dai Loc'!G175+'Dong Lam'!G175+'Khanh Nga'!G175+TDP!G175+DTRVL!G175</f>
        <v>-32201413154</v>
      </c>
      <c r="H175" s="148">
        <f>DTR!H175+'Dai Loc'!H175+'Dong Lam'!H175+'Khanh Nga'!H175+TDP!H175+DTRVL!H175</f>
        <v>-26150974323</v>
      </c>
      <c r="I175" s="148">
        <f>DTR!I175+'Dai Loc'!I175+'Dong Lam'!I175+'Khanh Nga'!I175+TDP!I175+DTRVL!I175</f>
        <v>59894819254</v>
      </c>
      <c r="J175" s="148">
        <f>DTR!J175+'Dai Loc'!J175+'Dong Lam'!J175+'Khanh Nga'!J175+TDP!J175+DTRVL!J175</f>
        <v>22973774841</v>
      </c>
      <c r="K175" s="148">
        <f>DTR!K175+'Dai Loc'!K175+'Dong Lam'!K175+'Khanh Nga'!K175+TDP!K175+DTRVL!K175</f>
        <v>57520546</v>
      </c>
      <c r="L175" s="148">
        <f>DTR!L175+'Dai Loc'!L175+'Dong Lam'!L175+'Khanh Nga'!L175+TDP!L175+DTRVL!L175</f>
        <v>14505150483</v>
      </c>
      <c r="M175" s="148">
        <f>DTR!M175+'Dai Loc'!M175+'Dong Lam'!M175+'Khanh Nga'!M175+TDP!M175+DTRVL!M175</f>
        <v>-49344151598</v>
      </c>
      <c r="N175" s="148">
        <f>DTR!N175+'Dai Loc'!N175+'Dong Lam'!N175+'Khanh Nga'!N175+TDP!N175+DTRVL!N175</f>
        <v>-1703229829.9999998</v>
      </c>
      <c r="O175" s="148">
        <f>DTR!O175+'Dai Loc'!O175+'Dong Lam'!O175+'Khanh Nga'!O175+TDP!O175+DTRVL!O175</f>
        <v>73442833735.000107</v>
      </c>
      <c r="P175" s="148">
        <f>DTR!P175+'Dai Loc'!P175+'Dong Lam'!P175+'Khanh Nga'!P175+TDP!P175+DTRVL!P175</f>
        <v>48071415904.999901</v>
      </c>
      <c r="Q175" s="148">
        <f>DTR!Q175+'Dai Loc'!Q175+'Dong Lam'!Q175+'Khanh Nga'!Q175+TDP!Q175+DTRVL!Q175</f>
        <v>-17204590181</v>
      </c>
      <c r="R175" s="148">
        <f>DTR!R175+'Dai Loc'!R175+'Dong Lam'!R175+'Khanh Nga'!R175+TDP!R175+DTRVL!R175</f>
        <v>-31578643179</v>
      </c>
      <c r="S175" s="148">
        <f>DTR!S175+'Dai Loc'!S175+'Dong Lam'!S175+'Khanh Nga'!S175+TDP!S175+DTRVL!S175</f>
        <v>-24664732507</v>
      </c>
      <c r="T175" s="148">
        <f>DTR!T175+'Dai Loc'!T175+'Dong Lam'!T175+'Khanh Nga'!T175+TDP!T175+DTRVL!T175</f>
        <v>-17259429454</v>
      </c>
      <c r="U175" s="148">
        <f>DTR!U175+'Dai Loc'!U175+'Dong Lam'!U175+'Khanh Nga'!U175+TDP!U175+DTRVL!U175</f>
        <v>-28403748185.999901</v>
      </c>
      <c r="V175" s="148">
        <f>DTR!V175+'Dai Loc'!V175+'Dong Lam'!V175+'Khanh Nga'!V175+TDP!V175+DTRVL!V175</f>
        <v>-32846855547</v>
      </c>
      <c r="W175" s="148">
        <f>DTR!W175+'Dai Loc'!W175+'Dong Lam'!W175+'Khanh Nga'!W175+TDP!W175+DTRVL!W175</f>
        <v>27488458719.999901</v>
      </c>
      <c r="X175" s="148">
        <f>DTR!X175+'Dai Loc'!X175+'Dong Lam'!X175+'Khanh Nga'!X175+TDP!X175+DTRVL!X175</f>
        <v>67153057901</v>
      </c>
      <c r="Y175" s="148">
        <f>DTR!Y175+'Dai Loc'!Y175+'Dong Lam'!Y175+'Khanh Nga'!Y175+TDP!Y175+DTRVL!Y175</f>
        <v>-1637423795</v>
      </c>
      <c r="Z175" s="147">
        <f>DTR!Z175+'Dai Loc'!Z175+'Dong Lam'!Z175+'Khanh Nga'!Z175+TDP!Z175+DTRVL!Z175</f>
        <v>-20495443712</v>
      </c>
    </row>
    <row r="176" spans="1:26" ht="15" customHeight="1">
      <c r="A176" s="145" t="s">
        <v>262</v>
      </c>
      <c r="B176" s="146">
        <v>21</v>
      </c>
      <c r="C176" s="147">
        <f>DTR!C176+'Dai Loc'!C176+'Dong Lam'!C176+'Khanh Nga'!C176+TDP!C176+DTRVL!C176</f>
        <v>0</v>
      </c>
      <c r="D176" s="147">
        <f>DTR!D176+'Dai Loc'!D176+'Dong Lam'!D176+'Khanh Nga'!D176+TDP!D176+DTRVL!D176</f>
        <v>0</v>
      </c>
      <c r="E176" s="147">
        <f>DTR!E176+'Dai Loc'!E176+'Dong Lam'!E176+'Khanh Nga'!E176+TDP!E176+DTRVL!E176</f>
        <v>0</v>
      </c>
      <c r="F176" s="147">
        <f>DTR!F176+'Dai Loc'!F176+'Dong Lam'!F176+'Khanh Nga'!F176+TDP!F176+DTRVL!F176</f>
        <v>0</v>
      </c>
      <c r="G176" s="147">
        <f>DTR!G176+'Dai Loc'!G176+'Dong Lam'!G176+'Khanh Nga'!G176+TDP!G176+DTRVL!G176</f>
        <v>0</v>
      </c>
      <c r="H176" s="147">
        <f>DTR!H176+'Dai Loc'!H176+'Dong Lam'!H176+'Khanh Nga'!H176+TDP!H176+DTRVL!H176</f>
        <v>0</v>
      </c>
      <c r="I176" s="147">
        <f>DTR!I176+'Dai Loc'!I176+'Dong Lam'!I176+'Khanh Nga'!I176+TDP!I176+DTRVL!I176</f>
        <v>0</v>
      </c>
      <c r="J176" s="147">
        <f>DTR!J176+'Dai Loc'!J176+'Dong Lam'!J176+'Khanh Nga'!J176+TDP!J176+DTRVL!J176</f>
        <v>0</v>
      </c>
      <c r="K176" s="147">
        <f>DTR!K176+'Dai Loc'!K176+'Dong Lam'!K176+'Khanh Nga'!K176+TDP!K176+DTRVL!K176</f>
        <v>0</v>
      </c>
      <c r="L176" s="147">
        <f>DTR!L176+'Dai Loc'!L176+'Dong Lam'!L176+'Khanh Nga'!L176+TDP!L176+DTRVL!L176</f>
        <v>0</v>
      </c>
      <c r="M176" s="147">
        <f>DTR!M176+'Dai Loc'!M176+'Dong Lam'!M176+'Khanh Nga'!M176+TDP!M176+DTRVL!M176</f>
        <v>0</v>
      </c>
      <c r="N176" s="147">
        <f>DTR!N176+'Dai Loc'!N176+'Dong Lam'!N176+'Khanh Nga'!N176+TDP!N176+DTRVL!N176</f>
        <v>0</v>
      </c>
      <c r="O176" s="147">
        <f>DTR!O176+'Dai Loc'!O176+'Dong Lam'!O176+'Khanh Nga'!O176+TDP!O176+DTRVL!O176</f>
        <v>0</v>
      </c>
      <c r="P176" s="147">
        <f>DTR!P176+'Dai Loc'!P176+'Dong Lam'!P176+'Khanh Nga'!P176+TDP!P176+DTRVL!P176</f>
        <v>0</v>
      </c>
      <c r="Q176" s="147">
        <f>DTR!Q176+'Dai Loc'!Q176+'Dong Lam'!Q176+'Khanh Nga'!Q176+TDP!Q176+DTRVL!Q176</f>
        <v>0</v>
      </c>
      <c r="R176" s="147">
        <f>DTR!R176+'Dai Loc'!R176+'Dong Lam'!R176+'Khanh Nga'!R176+TDP!R176+DTRVL!R176</f>
        <v>0</v>
      </c>
      <c r="S176" s="147">
        <f>DTR!S176+'Dai Loc'!S176+'Dong Lam'!S176+'Khanh Nga'!S176+TDP!S176+DTRVL!S176</f>
        <v>0</v>
      </c>
      <c r="T176" s="147">
        <f>DTR!T176+'Dai Loc'!T176+'Dong Lam'!T176+'Khanh Nga'!T176+TDP!T176+DTRVL!T176</f>
        <v>0</v>
      </c>
      <c r="U176" s="147">
        <f>DTR!U176+'Dai Loc'!U176+'Dong Lam'!U176+'Khanh Nga'!U176+TDP!U176+DTRVL!U176</f>
        <v>0</v>
      </c>
      <c r="V176" s="147">
        <f>DTR!V176+'Dai Loc'!V176+'Dong Lam'!V176+'Khanh Nga'!V176+TDP!V176+DTRVL!V176</f>
        <v>0</v>
      </c>
      <c r="W176" s="147">
        <f>DTR!W176+'Dai Loc'!W176+'Dong Lam'!W176+'Khanh Nga'!W176+TDP!W176+DTRVL!W176</f>
        <v>0</v>
      </c>
      <c r="X176" s="147">
        <f>DTR!X176+'Dai Loc'!X176+'Dong Lam'!X176+'Khanh Nga'!X176+TDP!X176+DTRVL!X176</f>
        <v>64017</v>
      </c>
      <c r="Y176" s="147">
        <f>DTR!Y176+'Dai Loc'!Y176+'Dong Lam'!Y176+'Khanh Nga'!Y176+TDP!Y176+DTRVL!Y176</f>
        <v>0</v>
      </c>
      <c r="Z176" s="163">
        <f>DTR!Z176+'Dai Loc'!Z176+'Dong Lam'!Z176+'Khanh Nga'!Z176+TDP!Z176+DTRVL!Z176</f>
        <v>0</v>
      </c>
    </row>
    <row r="177" spans="1:26" ht="14">
      <c r="A177" s="164" t="s">
        <v>263</v>
      </c>
      <c r="B177" s="165">
        <v>22</v>
      </c>
      <c r="C177" s="166">
        <f>DTR!C177+'Dai Loc'!C177+'Dong Lam'!C177+'Khanh Nga'!C177+TDP!C177+DTRVL!C177</f>
        <v>-4433253562</v>
      </c>
      <c r="D177" s="166">
        <f>DTR!D177+'Dai Loc'!D177+'Dong Lam'!D177+'Khanh Nga'!D177+TDP!D177+DTRVL!D177</f>
        <v>-4806499635</v>
      </c>
      <c r="E177" s="166">
        <f>DTR!E177+'Dai Loc'!E177+'Dong Lam'!E177+'Khanh Nga'!E177+TDP!E177+DTRVL!E177</f>
        <v>-1178976480</v>
      </c>
      <c r="F177" s="166">
        <f>DTR!F177+'Dai Loc'!F177+'Dong Lam'!F177+'Khanh Nga'!F177+TDP!F177+DTRVL!F177</f>
        <v>-2137822833</v>
      </c>
      <c r="G177" s="166">
        <f>DTR!G177+'Dai Loc'!G177+'Dong Lam'!G177+'Khanh Nga'!G177+TDP!G177+DTRVL!G177</f>
        <v>-1997868497</v>
      </c>
      <c r="H177" s="166">
        <f>DTR!H177+'Dai Loc'!H177+'Dong Lam'!H177+'Khanh Nga'!H177+TDP!H177+DTRVL!H177</f>
        <v>-779289764</v>
      </c>
      <c r="I177" s="166">
        <f>DTR!I177+'Dai Loc'!I177+'Dong Lam'!I177+'Khanh Nga'!I177+TDP!I177+DTRVL!I177</f>
        <v>-1731396930</v>
      </c>
      <c r="J177" s="166">
        <f>DTR!J177+'Dai Loc'!J177+'Dong Lam'!J177+'Khanh Nga'!J177+TDP!J177+DTRVL!J177</f>
        <v>-587684497</v>
      </c>
      <c r="K177" s="166">
        <f>DTR!K177+'Dai Loc'!K177+'Dong Lam'!K177+'Khanh Nga'!K177+TDP!K177+DTRVL!K177</f>
        <v>-737051257</v>
      </c>
      <c r="L177" s="166">
        <f>DTR!L177+'Dai Loc'!L177+'Dong Lam'!L177+'Khanh Nga'!L177+TDP!L177+DTRVL!L177</f>
        <v>-2432817561</v>
      </c>
      <c r="M177" s="166">
        <f>DTR!M177+'Dai Loc'!M177+'Dong Lam'!M177+'Khanh Nga'!M177+TDP!M177+DTRVL!M177</f>
        <v>-4956702014.9965801</v>
      </c>
      <c r="N177" s="166">
        <f>DTR!N177+'Dai Loc'!N177+'Dong Lam'!N177+'Khanh Nga'!N177+TDP!N177+DTRVL!N177</f>
        <v>-10070018910.996582</v>
      </c>
      <c r="O177" s="166">
        <f>DTR!O177+'Dai Loc'!O177+'Dong Lam'!O177+'Khanh Nga'!O177+TDP!O177+DTRVL!O177</f>
        <v>-9821622713</v>
      </c>
      <c r="P177" s="166">
        <f>DTR!P177+'Dai Loc'!P177+'Dong Lam'!P177+'Khanh Nga'!P177+TDP!P177+DTRVL!P177</f>
        <v>-2791142302</v>
      </c>
      <c r="Q177" s="166">
        <f>DTR!Q177+'Dai Loc'!Q177+'Dong Lam'!Q177+'Khanh Nga'!Q177+TDP!Q177+DTRVL!Q177</f>
        <v>-5471315854</v>
      </c>
      <c r="R177" s="166">
        <f>DTR!R177+'Dai Loc'!R177+'Dong Lam'!R177+'Khanh Nga'!R177+TDP!R177+DTRVL!R177</f>
        <v>-3883627959</v>
      </c>
      <c r="S177" s="166">
        <f>DTR!S177+'Dai Loc'!S177+'Dong Lam'!S177+'Khanh Nga'!S177+TDP!S177+DTRVL!S177</f>
        <v>-9506285511</v>
      </c>
      <c r="T177" s="166">
        <f>DTR!T177+'Dai Loc'!T177+'Dong Lam'!T177+'Khanh Nga'!T177+TDP!T177+DTRVL!T177</f>
        <v>-7002001812</v>
      </c>
      <c r="U177" s="166">
        <f>DTR!U177+'Dai Loc'!U177+'Dong Lam'!U177+'Khanh Nga'!U177+TDP!U177+DTRVL!U177</f>
        <v>1109740305</v>
      </c>
      <c r="V177" s="166">
        <f>DTR!V177+'Dai Loc'!V177+'Dong Lam'!V177+'Khanh Nga'!V177+TDP!V177+DTRVL!V177</f>
        <v>-4865692586</v>
      </c>
      <c r="W177" s="166">
        <f>DTR!W177+'Dai Loc'!W177+'Dong Lam'!W177+'Khanh Nga'!W177+TDP!W177+DTRVL!W177</f>
        <v>-12299284463</v>
      </c>
      <c r="X177" s="166">
        <f>DTR!X177+'Dai Loc'!X177+'Dong Lam'!X177+'Khanh Nga'!X177+TDP!X177+DTRVL!X177</f>
        <v>-16012258392</v>
      </c>
      <c r="Y177" s="166">
        <f>DTR!Y177+'Dai Loc'!Y177+'Dong Lam'!Y177+'Khanh Nga'!Y177+TDP!Y177+DTRVL!Y177</f>
        <v>-5017993937</v>
      </c>
      <c r="Z177" s="166">
        <f>DTR!Z177+'Dai Loc'!Z177+'Dong Lam'!Z177+'Khanh Nga'!Z177+TDP!Z177+DTRVL!Z177</f>
        <v>-12497879821</v>
      </c>
    </row>
    <row r="178" spans="1:26" ht="14">
      <c r="A178" s="164" t="s">
        <v>264</v>
      </c>
      <c r="B178" s="165">
        <v>23</v>
      </c>
      <c r="C178" s="166">
        <f>DTR!C178+'Dai Loc'!C178+'Dong Lam'!C178+'Khanh Nga'!C178+TDP!C178+DTRVL!C178</f>
        <v>0</v>
      </c>
      <c r="D178" s="166">
        <f>DTR!D178+'Dai Loc'!D178+'Dong Lam'!D178+'Khanh Nga'!D178+TDP!D178+DTRVL!D178</f>
        <v>0</v>
      </c>
      <c r="E178" s="166">
        <f>DTR!E178+'Dai Loc'!E178+'Dong Lam'!E178+'Khanh Nga'!E178+TDP!E178+DTRVL!E178</f>
        <v>0</v>
      </c>
      <c r="F178" s="166">
        <f>DTR!F178+'Dai Loc'!F178+'Dong Lam'!F178+'Khanh Nga'!F178+TDP!F178+DTRVL!F178</f>
        <v>81700000</v>
      </c>
      <c r="G178" s="166">
        <f>DTR!G178+'Dai Loc'!G178+'Dong Lam'!G178+'Khanh Nga'!G178+TDP!G178+DTRVL!G178</f>
        <v>0</v>
      </c>
      <c r="H178" s="166">
        <f>DTR!H178+'Dai Loc'!H178+'Dong Lam'!H178+'Khanh Nga'!H178+TDP!H178+DTRVL!H178</f>
        <v>0</v>
      </c>
      <c r="I178" s="166">
        <f>DTR!I178+'Dai Loc'!I178+'Dong Lam'!I178+'Khanh Nga'!I178+TDP!I178+DTRVL!I178</f>
        <v>0</v>
      </c>
      <c r="J178" s="166">
        <f>DTR!J178+'Dai Loc'!J178+'Dong Lam'!J178+'Khanh Nga'!J178+TDP!J178+DTRVL!J178</f>
        <v>0</v>
      </c>
      <c r="K178" s="166">
        <f>DTR!K178+'Dai Loc'!K178+'Dong Lam'!K178+'Khanh Nga'!K178+TDP!K178+DTRVL!K178</f>
        <v>0</v>
      </c>
      <c r="L178" s="166">
        <f>DTR!L178+'Dai Loc'!L178+'Dong Lam'!L178+'Khanh Nga'!L178+TDP!L178+DTRVL!L178</f>
        <v>0</v>
      </c>
      <c r="M178" s="166">
        <f>DTR!M178+'Dai Loc'!M178+'Dong Lam'!M178+'Khanh Nga'!M178+TDP!M178+DTRVL!M178</f>
        <v>0</v>
      </c>
      <c r="N178" s="166">
        <f>DTR!N178+'Dai Loc'!N178+'Dong Lam'!N178+'Khanh Nga'!N178+TDP!N178+DTRVL!N178</f>
        <v>0</v>
      </c>
      <c r="O178" s="166">
        <f>DTR!O178+'Dai Loc'!O178+'Dong Lam'!O178+'Khanh Nga'!O178+TDP!O178+DTRVL!O178</f>
        <v>0</v>
      </c>
      <c r="P178" s="166">
        <f>DTR!P178+'Dai Loc'!P178+'Dong Lam'!P178+'Khanh Nga'!P178+TDP!P178+DTRVL!P178</f>
        <v>0</v>
      </c>
      <c r="Q178" s="166">
        <f>DTR!Q178+'Dai Loc'!Q178+'Dong Lam'!Q178+'Khanh Nga'!Q178+TDP!Q178+DTRVL!Q178</f>
        <v>0</v>
      </c>
      <c r="R178" s="166">
        <f>DTR!R178+'Dai Loc'!R178+'Dong Lam'!R178+'Khanh Nga'!R178+TDP!R178+DTRVL!R178</f>
        <v>623633187</v>
      </c>
      <c r="S178" s="166">
        <f>DTR!S178+'Dai Loc'!S178+'Dong Lam'!S178+'Khanh Nga'!S178+TDP!S178+DTRVL!S178</f>
        <v>95000000</v>
      </c>
      <c r="T178" s="166">
        <f>DTR!T178+'Dai Loc'!T178+'Dong Lam'!T178+'Khanh Nga'!T178+TDP!T178+DTRVL!T178</f>
        <v>226000000</v>
      </c>
      <c r="U178" s="166">
        <f>DTR!U178+'Dai Loc'!U178+'Dong Lam'!U178+'Khanh Nga'!U178+TDP!U178+DTRVL!U178</f>
        <v>0</v>
      </c>
      <c r="V178" s="166">
        <f>DTR!V178+'Dai Loc'!V178+'Dong Lam'!V178+'Khanh Nga'!V178+TDP!V178+DTRVL!V178</f>
        <v>226000000</v>
      </c>
      <c r="W178" s="166">
        <f>DTR!W178+'Dai Loc'!W178+'Dong Lam'!W178+'Khanh Nga'!W178+TDP!W178+DTRVL!W178</f>
        <v>0</v>
      </c>
      <c r="X178" s="166">
        <f>DTR!X178+'Dai Loc'!X178+'Dong Lam'!X178+'Khanh Nga'!X178+TDP!X178+DTRVL!X178</f>
        <v>0</v>
      </c>
      <c r="Y178" s="166">
        <f>DTR!Y178+'Dai Loc'!Y178+'Dong Lam'!Y178+'Khanh Nga'!Y178+TDP!Y178+DTRVL!Y178</f>
        <v>0</v>
      </c>
      <c r="Z178" s="166">
        <f>DTR!Z178+'Dai Loc'!Z178+'Dong Lam'!Z178+'Khanh Nga'!Z178+TDP!Z178+DTRVL!Z178</f>
        <v>0</v>
      </c>
    </row>
    <row r="179" spans="1:26" ht="14">
      <c r="A179" s="164" t="s">
        <v>265</v>
      </c>
      <c r="B179" s="165">
        <v>24</v>
      </c>
      <c r="C179" s="166">
        <f>DTR!C179+'Dai Loc'!C179+'Dong Lam'!C179+'Khanh Nga'!C179+TDP!C179+DTRVL!C179</f>
        <v>0</v>
      </c>
      <c r="D179" s="166">
        <f>DTR!D179+'Dai Loc'!D179+'Dong Lam'!D179+'Khanh Nga'!D179+TDP!D179+DTRVL!D179</f>
        <v>0</v>
      </c>
      <c r="E179" s="166">
        <f>DTR!E179+'Dai Loc'!E179+'Dong Lam'!E179+'Khanh Nga'!E179+TDP!E179+DTRVL!E179</f>
        <v>0</v>
      </c>
      <c r="F179" s="166">
        <f>DTR!F179+'Dai Loc'!F179+'Dong Lam'!F179+'Khanh Nga'!F179+TDP!F179+DTRVL!F179</f>
        <v>0</v>
      </c>
      <c r="G179" s="166">
        <f>DTR!G179+'Dai Loc'!G179+'Dong Lam'!G179+'Khanh Nga'!G179+TDP!G179+DTRVL!G179</f>
        <v>0</v>
      </c>
      <c r="H179" s="166">
        <f>DTR!H179+'Dai Loc'!H179+'Dong Lam'!H179+'Khanh Nga'!H179+TDP!H179+DTRVL!H179</f>
        <v>0</v>
      </c>
      <c r="I179" s="166">
        <f>DTR!I179+'Dai Loc'!I179+'Dong Lam'!I179+'Khanh Nga'!I179+TDP!I179+DTRVL!I179</f>
        <v>0</v>
      </c>
      <c r="J179" s="166">
        <f>DTR!J179+'Dai Loc'!J179+'Dong Lam'!J179+'Khanh Nga'!J179+TDP!J179+DTRVL!J179</f>
        <v>0</v>
      </c>
      <c r="K179" s="166">
        <f>DTR!K179+'Dai Loc'!K179+'Dong Lam'!K179+'Khanh Nga'!K179+TDP!K179+DTRVL!K179</f>
        <v>0</v>
      </c>
      <c r="L179" s="166">
        <f>DTR!L179+'Dai Loc'!L179+'Dong Lam'!L179+'Khanh Nga'!L179+TDP!L179+DTRVL!L179</f>
        <v>0</v>
      </c>
      <c r="M179" s="166">
        <f>DTR!M179+'Dai Loc'!M179+'Dong Lam'!M179+'Khanh Nga'!M179+TDP!M179+DTRVL!M179</f>
        <v>0</v>
      </c>
      <c r="N179" s="166">
        <f>DTR!N179+'Dai Loc'!N179+'Dong Lam'!N179+'Khanh Nga'!N179+TDP!N179+DTRVL!N179</f>
        <v>0</v>
      </c>
      <c r="O179" s="166">
        <f>DTR!O179+'Dai Loc'!O179+'Dong Lam'!O179+'Khanh Nga'!O179+TDP!O179+DTRVL!O179</f>
        <v>-2000000000</v>
      </c>
      <c r="P179" s="166">
        <f>DTR!P179+'Dai Loc'!P179+'Dong Lam'!P179+'Khanh Nga'!P179+TDP!P179+DTRVL!P179</f>
        <v>2000000000</v>
      </c>
      <c r="Q179" s="166">
        <f>DTR!Q179+'Dai Loc'!Q179+'Dong Lam'!Q179+'Khanh Nga'!Q179+TDP!Q179+DTRVL!Q179</f>
        <v>-37000000000</v>
      </c>
      <c r="R179" s="166">
        <f>DTR!R179+'Dai Loc'!R179+'Dong Lam'!R179+'Khanh Nga'!R179+TDP!R179+DTRVL!R179</f>
        <v>-30000000000</v>
      </c>
      <c r="S179" s="166">
        <f>DTR!S179+'Dai Loc'!S179+'Dong Lam'!S179+'Khanh Nga'!S179+TDP!S179+DTRVL!S179</f>
        <v>-10000000000</v>
      </c>
      <c r="T179" s="166">
        <f>DTR!T179+'Dai Loc'!T179+'Dong Lam'!T179+'Khanh Nga'!T179+TDP!T179+DTRVL!T179</f>
        <v>0</v>
      </c>
      <c r="U179" s="166">
        <f>DTR!U179+'Dai Loc'!U179+'Dong Lam'!U179+'Khanh Nga'!U179+TDP!U179+DTRVL!U179</f>
        <v>0</v>
      </c>
      <c r="V179" s="166">
        <f>DTR!V179+'Dai Loc'!V179+'Dong Lam'!V179+'Khanh Nga'!V179+TDP!V179+DTRVL!V179</f>
        <v>0</v>
      </c>
      <c r="W179" s="166">
        <f>DTR!W179+'Dai Loc'!W179+'Dong Lam'!W179+'Khanh Nga'!W179+TDP!W179+DTRVL!W179</f>
        <v>0</v>
      </c>
      <c r="X179" s="166">
        <f>DTR!X179+'Dai Loc'!X179+'Dong Lam'!X179+'Khanh Nga'!X179+TDP!X179+DTRVL!X179</f>
        <v>-20000000000</v>
      </c>
      <c r="Y179" s="166">
        <f>DTR!Y179+'Dai Loc'!Y179+'Dong Lam'!Y179+'Khanh Nga'!Y179+TDP!Y179+DTRVL!Y179</f>
        <v>-20000000000</v>
      </c>
      <c r="Z179" s="166">
        <f>DTR!Z179+'Dai Loc'!Z179+'Dong Lam'!Z179+'Khanh Nga'!Z179+TDP!Z179+DTRVL!Z179</f>
        <v>-6000000000</v>
      </c>
    </row>
    <row r="180" spans="1:26" ht="14">
      <c r="A180" s="164" t="s">
        <v>266</v>
      </c>
      <c r="B180" s="165">
        <v>25</v>
      </c>
      <c r="C180" s="166">
        <f>DTR!C180+'Dai Loc'!C180+'Dong Lam'!C180+'Khanh Nga'!C180+TDP!C180+DTRVL!C180</f>
        <v>0</v>
      </c>
      <c r="D180" s="166">
        <f>DTR!D180+'Dai Loc'!D180+'Dong Lam'!D180+'Khanh Nga'!D180+TDP!D180+DTRVL!D180</f>
        <v>0</v>
      </c>
      <c r="E180" s="166">
        <f>DTR!E180+'Dai Loc'!E180+'Dong Lam'!E180+'Khanh Nga'!E180+TDP!E180+DTRVL!E180</f>
        <v>0</v>
      </c>
      <c r="F180" s="166">
        <f>DTR!F180+'Dai Loc'!F180+'Dong Lam'!F180+'Khanh Nga'!F180+TDP!F180+DTRVL!F180</f>
        <v>0</v>
      </c>
      <c r="G180" s="166">
        <f>DTR!G180+'Dai Loc'!G180+'Dong Lam'!G180+'Khanh Nga'!G180+TDP!G180+DTRVL!G180</f>
        <v>0</v>
      </c>
      <c r="H180" s="166">
        <f>DTR!H180+'Dai Loc'!H180+'Dong Lam'!H180+'Khanh Nga'!H180+TDP!H180+DTRVL!H180</f>
        <v>0</v>
      </c>
      <c r="I180" s="166">
        <f>DTR!I180+'Dai Loc'!I180+'Dong Lam'!I180+'Khanh Nga'!I180+TDP!I180+DTRVL!I180</f>
        <v>0</v>
      </c>
      <c r="J180" s="166">
        <f>DTR!J180+'Dai Loc'!J180+'Dong Lam'!J180+'Khanh Nga'!J180+TDP!J180+DTRVL!J180</f>
        <v>0</v>
      </c>
      <c r="K180" s="166">
        <f>DTR!K180+'Dai Loc'!K180+'Dong Lam'!K180+'Khanh Nga'!K180+TDP!K180+DTRVL!K180</f>
        <v>0</v>
      </c>
      <c r="L180" s="166">
        <f>DTR!L180+'Dai Loc'!L180+'Dong Lam'!L180+'Khanh Nga'!L180+TDP!L180+DTRVL!L180</f>
        <v>0</v>
      </c>
      <c r="M180" s="166">
        <f>DTR!M180+'Dai Loc'!M180+'Dong Lam'!M180+'Khanh Nga'!M180+TDP!M180+DTRVL!M180</f>
        <v>0</v>
      </c>
      <c r="N180" s="166">
        <f>DTR!N180+'Dai Loc'!N180+'Dong Lam'!N180+'Khanh Nga'!N180+TDP!N180+DTRVL!N180</f>
        <v>0</v>
      </c>
      <c r="O180" s="166">
        <f>DTR!O180+'Dai Loc'!O180+'Dong Lam'!O180+'Khanh Nga'!O180+TDP!O180+DTRVL!O180</f>
        <v>0</v>
      </c>
      <c r="P180" s="166">
        <f>DTR!P180+'Dai Loc'!P180+'Dong Lam'!P180+'Khanh Nga'!P180+TDP!P180+DTRVL!P180</f>
        <v>0</v>
      </c>
      <c r="Q180" s="166">
        <f>DTR!Q180+'Dai Loc'!Q180+'Dong Lam'!Q180+'Khanh Nga'!Q180+TDP!Q180+DTRVL!Q180</f>
        <v>0</v>
      </c>
      <c r="R180" s="166">
        <f>DTR!R180+'Dai Loc'!R180+'Dong Lam'!R180+'Khanh Nga'!R180+TDP!R180+DTRVL!R180</f>
        <v>5500000000</v>
      </c>
      <c r="S180" s="166">
        <f>DTR!S180+'Dai Loc'!S180+'Dong Lam'!S180+'Khanh Nga'!S180+TDP!S180+DTRVL!S180</f>
        <v>0</v>
      </c>
      <c r="T180" s="166">
        <f>DTR!T180+'Dai Loc'!T180+'Dong Lam'!T180+'Khanh Nga'!T180+TDP!T180+DTRVL!T180</f>
        <v>0</v>
      </c>
      <c r="U180" s="166">
        <f>DTR!U180+'Dai Loc'!U180+'Dong Lam'!U180+'Khanh Nga'!U180+TDP!U180+DTRVL!U180</f>
        <v>15000000000</v>
      </c>
      <c r="V180" s="166">
        <f>DTR!V180+'Dai Loc'!V180+'Dong Lam'!V180+'Khanh Nga'!V180+TDP!V180+DTRVL!V180</f>
        <v>0</v>
      </c>
      <c r="W180" s="166">
        <f>DTR!W180+'Dai Loc'!W180+'Dong Lam'!W180+'Khanh Nga'!W180+TDP!W180+DTRVL!W180</f>
        <v>12000000000</v>
      </c>
      <c r="X180" s="166">
        <f>DTR!X180+'Dai Loc'!X180+'Dong Lam'!X180+'Khanh Nga'!X180+TDP!X180+DTRVL!X180</f>
        <v>10000000000</v>
      </c>
      <c r="Y180" s="166">
        <f>DTR!Y180+'Dai Loc'!Y180+'Dong Lam'!Y180+'Khanh Nga'!Y180+TDP!Y180+DTRVL!Y180</f>
        <v>30000000000</v>
      </c>
      <c r="Z180" s="166">
        <f>DTR!Z180+'Dai Loc'!Z180+'Dong Lam'!Z180+'Khanh Nga'!Z180+TDP!Z180+DTRVL!Z180</f>
        <v>25000000000</v>
      </c>
    </row>
    <row r="181" spans="1:26" ht="15" customHeight="1">
      <c r="A181" s="164" t="s">
        <v>267</v>
      </c>
      <c r="B181" s="165">
        <v>26</v>
      </c>
      <c r="C181" s="166">
        <f>DTR!C181+'Dai Loc'!C181+'Dong Lam'!C181+'Khanh Nga'!C181+TDP!C181+DTRVL!C181</f>
        <v>0</v>
      </c>
      <c r="D181" s="166">
        <f>DTR!D181+'Dai Loc'!D181+'Dong Lam'!D181+'Khanh Nga'!D181+TDP!D181+DTRVL!D181</f>
        <v>0</v>
      </c>
      <c r="E181" s="166">
        <f>DTR!E181+'Dai Loc'!E181+'Dong Lam'!E181+'Khanh Nga'!E181+TDP!E181+DTRVL!E181</f>
        <v>0</v>
      </c>
      <c r="F181" s="166">
        <f>DTR!F181+'Dai Loc'!F181+'Dong Lam'!F181+'Khanh Nga'!F181+TDP!F181+DTRVL!F181</f>
        <v>0</v>
      </c>
      <c r="G181" s="166">
        <f>DTR!G181+'Dai Loc'!G181+'Dong Lam'!G181+'Khanh Nga'!G181+TDP!G181+DTRVL!G181</f>
        <v>0</v>
      </c>
      <c r="H181" s="166">
        <f>DTR!H181+'Dai Loc'!H181+'Dong Lam'!H181+'Khanh Nga'!H181+TDP!H181+DTRVL!H181</f>
        <v>0</v>
      </c>
      <c r="I181" s="166">
        <f>DTR!I181+'Dai Loc'!I181+'Dong Lam'!I181+'Khanh Nga'!I181+TDP!I181+DTRVL!I181</f>
        <v>0</v>
      </c>
      <c r="J181" s="166">
        <f>DTR!J181+'Dai Loc'!J181+'Dong Lam'!J181+'Khanh Nga'!J181+TDP!J181+DTRVL!J181</f>
        <v>0</v>
      </c>
      <c r="K181" s="166">
        <f>DTR!K181+'Dai Loc'!K181+'Dong Lam'!K181+'Khanh Nga'!K181+TDP!K181+DTRVL!K181</f>
        <v>-830000000</v>
      </c>
      <c r="L181" s="166">
        <f>DTR!L181+'Dai Loc'!L181+'Dong Lam'!L181+'Khanh Nga'!L181+TDP!L181+DTRVL!L181</f>
        <v>0</v>
      </c>
      <c r="M181" s="166">
        <f>DTR!M181+'Dai Loc'!M181+'Dong Lam'!M181+'Khanh Nga'!M181+TDP!M181+DTRVL!M181</f>
        <v>0</v>
      </c>
      <c r="N181" s="166">
        <f>DTR!N181+'Dai Loc'!N181+'Dong Lam'!N181+'Khanh Nga'!N181+TDP!N181+DTRVL!N181</f>
        <v>0</v>
      </c>
      <c r="O181" s="166">
        <f>DTR!O181+'Dai Loc'!O181+'Dong Lam'!O181+'Khanh Nga'!O181+TDP!O181+DTRVL!O181</f>
        <v>0</v>
      </c>
      <c r="P181" s="166">
        <f>DTR!P181+'Dai Loc'!P181+'Dong Lam'!P181+'Khanh Nga'!P181+TDP!P181+DTRVL!P181</f>
        <v>0</v>
      </c>
      <c r="Q181" s="166">
        <f>DTR!Q181+'Dai Loc'!Q181+'Dong Lam'!Q181+'Khanh Nga'!Q181+TDP!Q181+DTRVL!Q181</f>
        <v>0</v>
      </c>
      <c r="R181" s="166">
        <f>DTR!R181+'Dai Loc'!R181+'Dong Lam'!R181+'Khanh Nga'!R181+TDP!R181+DTRVL!R181</f>
        <v>0</v>
      </c>
      <c r="S181" s="166">
        <f>DTR!S181+'Dai Loc'!S181+'Dong Lam'!S181+'Khanh Nga'!S181+TDP!S181+DTRVL!S181</f>
        <v>0</v>
      </c>
      <c r="T181" s="166">
        <f>DTR!T181+'Dai Loc'!T181+'Dong Lam'!T181+'Khanh Nga'!T181+TDP!T181+DTRVL!T181</f>
        <v>0</v>
      </c>
      <c r="U181" s="166">
        <f>DTR!U181+'Dai Loc'!U181+'Dong Lam'!U181+'Khanh Nga'!U181+TDP!U181+DTRVL!U181</f>
        <v>0</v>
      </c>
      <c r="V181" s="166">
        <f>DTR!V181+'Dai Loc'!V181+'Dong Lam'!V181+'Khanh Nga'!V181+TDP!V181+DTRVL!V181</f>
        <v>0</v>
      </c>
      <c r="W181" s="166">
        <f>DTR!W181+'Dai Loc'!W181+'Dong Lam'!W181+'Khanh Nga'!W181+TDP!W181+DTRVL!W181</f>
        <v>0</v>
      </c>
      <c r="X181" s="166">
        <f>DTR!X181+'Dai Loc'!X181+'Dong Lam'!X181+'Khanh Nga'!X181+TDP!X181+DTRVL!X181</f>
        <v>0</v>
      </c>
      <c r="Y181" s="166">
        <f>DTR!Y181+'Dai Loc'!Y181+'Dong Lam'!Y181+'Khanh Nga'!Y181+TDP!Y181+DTRVL!Y181</f>
        <v>0</v>
      </c>
      <c r="Z181" s="166">
        <f>DTR!Z181+'Dai Loc'!Z181+'Dong Lam'!Z181+'Khanh Nga'!Z181+TDP!Z181+DTRVL!Z181</f>
        <v>0</v>
      </c>
    </row>
    <row r="182" spans="1:26" ht="15" customHeight="1">
      <c r="A182" s="164" t="s">
        <v>268</v>
      </c>
      <c r="B182" s="165">
        <v>27</v>
      </c>
      <c r="C182" s="166">
        <f>DTR!C182+'Dai Loc'!C182+'Dong Lam'!C182+'Khanh Nga'!C182+TDP!C182+DTRVL!C182</f>
        <v>0</v>
      </c>
      <c r="D182" s="166">
        <f>DTR!D182+'Dai Loc'!D182+'Dong Lam'!D182+'Khanh Nga'!D182+TDP!D182+DTRVL!D182</f>
        <v>0</v>
      </c>
      <c r="E182" s="166">
        <f>DTR!E182+'Dai Loc'!E182+'Dong Lam'!E182+'Khanh Nga'!E182+TDP!E182+DTRVL!E182</f>
        <v>0</v>
      </c>
      <c r="F182" s="166">
        <f>DTR!F182+'Dai Loc'!F182+'Dong Lam'!F182+'Khanh Nga'!F182+TDP!F182+DTRVL!F182</f>
        <v>0</v>
      </c>
      <c r="G182" s="166">
        <f>DTR!G182+'Dai Loc'!G182+'Dong Lam'!G182+'Khanh Nga'!G182+TDP!G182+DTRVL!G182</f>
        <v>0</v>
      </c>
      <c r="H182" s="166">
        <f>DTR!H182+'Dai Loc'!H182+'Dong Lam'!H182+'Khanh Nga'!H182+TDP!H182+DTRVL!H182</f>
        <v>0</v>
      </c>
      <c r="I182" s="166">
        <f>DTR!I182+'Dai Loc'!I182+'Dong Lam'!I182+'Khanh Nga'!I182+TDP!I182+DTRVL!I182</f>
        <v>0</v>
      </c>
      <c r="J182" s="166">
        <f>DTR!J182+'Dai Loc'!J182+'Dong Lam'!J182+'Khanh Nga'!J182+TDP!J182+DTRVL!J182</f>
        <v>0</v>
      </c>
      <c r="K182" s="166">
        <f>DTR!K182+'Dai Loc'!K182+'Dong Lam'!K182+'Khanh Nga'!K182+TDP!K182+DTRVL!K182</f>
        <v>0</v>
      </c>
      <c r="L182" s="166">
        <f>DTR!L182+'Dai Loc'!L182+'Dong Lam'!L182+'Khanh Nga'!L182+TDP!L182+DTRVL!L182</f>
        <v>0</v>
      </c>
      <c r="M182" s="166">
        <f>DTR!M182+'Dai Loc'!M182+'Dong Lam'!M182+'Khanh Nga'!M182+TDP!M182+DTRVL!M182</f>
        <v>0</v>
      </c>
      <c r="N182" s="166">
        <f>DTR!N182+'Dai Loc'!N182+'Dong Lam'!N182+'Khanh Nga'!N182+TDP!N182+DTRVL!N182</f>
        <v>0</v>
      </c>
      <c r="O182" s="166">
        <f>DTR!O182+'Dai Loc'!O182+'Dong Lam'!O182+'Khanh Nga'!O182+TDP!O182+DTRVL!O182</f>
        <v>0</v>
      </c>
      <c r="P182" s="166">
        <f>DTR!P182+'Dai Loc'!P182+'Dong Lam'!P182+'Khanh Nga'!P182+TDP!P182+DTRVL!P182</f>
        <v>0</v>
      </c>
      <c r="Q182" s="166">
        <f>DTR!Q182+'Dai Loc'!Q182+'Dong Lam'!Q182+'Khanh Nga'!Q182+TDP!Q182+DTRVL!Q182</f>
        <v>0</v>
      </c>
      <c r="R182" s="166">
        <f>DTR!R182+'Dai Loc'!R182+'Dong Lam'!R182+'Khanh Nga'!R182+TDP!R182+DTRVL!R182</f>
        <v>0</v>
      </c>
      <c r="S182" s="166">
        <f>DTR!S182+'Dai Loc'!S182+'Dong Lam'!S182+'Khanh Nga'!S182+TDP!S182+DTRVL!S182</f>
        <v>0</v>
      </c>
      <c r="T182" s="166">
        <f>DTR!T182+'Dai Loc'!T182+'Dong Lam'!T182+'Khanh Nga'!T182+TDP!T182+DTRVL!T182</f>
        <v>0</v>
      </c>
      <c r="U182" s="166">
        <f>DTR!U182+'Dai Loc'!U182+'Dong Lam'!U182+'Khanh Nga'!U182+TDP!U182+DTRVL!U182</f>
        <v>0</v>
      </c>
      <c r="V182" s="166">
        <f>DTR!V182+'Dai Loc'!V182+'Dong Lam'!V182+'Khanh Nga'!V182+TDP!V182+DTRVL!V182</f>
        <v>0</v>
      </c>
      <c r="W182" s="166">
        <f>DTR!W182+'Dai Loc'!W182+'Dong Lam'!W182+'Khanh Nga'!W182+TDP!W182+DTRVL!W182</f>
        <v>0</v>
      </c>
      <c r="X182" s="166">
        <f>DTR!X182+'Dai Loc'!X182+'Dong Lam'!X182+'Khanh Nga'!X182+TDP!X182+DTRVL!X182</f>
        <v>0</v>
      </c>
      <c r="Y182" s="166">
        <f>DTR!Y182+'Dai Loc'!Y182+'Dong Lam'!Y182+'Khanh Nga'!Y182+TDP!Y182+DTRVL!Y182</f>
        <v>0</v>
      </c>
      <c r="Z182" s="166">
        <f>DTR!Z182+'Dai Loc'!Z182+'Dong Lam'!Z182+'Khanh Nga'!Z182+TDP!Z182+DTRVL!Z182</f>
        <v>0</v>
      </c>
    </row>
    <row r="183" spans="1:26" ht="15" customHeight="1">
      <c r="A183" s="164" t="s">
        <v>269</v>
      </c>
      <c r="B183" s="165">
        <v>28</v>
      </c>
      <c r="C183" s="166">
        <f>DTR!C183+'Dai Loc'!C183+'Dong Lam'!C183+'Khanh Nga'!C183+TDP!C183+DTRVL!C183</f>
        <v>9408148</v>
      </c>
      <c r="D183" s="166">
        <f>DTR!D183+'Dai Loc'!D183+'Dong Lam'!D183+'Khanh Nga'!D183+TDP!D183+DTRVL!D183</f>
        <v>10891376</v>
      </c>
      <c r="E183" s="166">
        <f>DTR!E183+'Dai Loc'!E183+'Dong Lam'!E183+'Khanh Nga'!E183+TDP!E183+DTRVL!E183</f>
        <v>181597914</v>
      </c>
      <c r="F183" s="166">
        <f>DTR!F183+'Dai Loc'!F183+'Dong Lam'!F183+'Khanh Nga'!F183+TDP!F183+DTRVL!F183</f>
        <v>11428642</v>
      </c>
      <c r="G183" s="166">
        <f>DTR!G183+'Dai Loc'!G183+'Dong Lam'!G183+'Khanh Nga'!G183+TDP!G183+DTRVL!G183</f>
        <v>11345250</v>
      </c>
      <c r="H183" s="166">
        <f>DTR!H183+'Dai Loc'!H183+'Dong Lam'!H183+'Khanh Nga'!H183+TDP!H183+DTRVL!H183</f>
        <v>12767732</v>
      </c>
      <c r="I183" s="166">
        <f>DTR!I183+'Dai Loc'!I183+'Dong Lam'!I183+'Khanh Nga'!I183+TDP!I183+DTRVL!I183</f>
        <v>33371970</v>
      </c>
      <c r="J183" s="166">
        <f>DTR!J183+'Dai Loc'!J183+'Dong Lam'!J183+'Khanh Nga'!J183+TDP!J183+DTRVL!J183</f>
        <v>11541316</v>
      </c>
      <c r="K183" s="166">
        <f>DTR!K183+'Dai Loc'!K183+'Dong Lam'!K183+'Khanh Nga'!K183+TDP!K183+DTRVL!K183</f>
        <v>11865736</v>
      </c>
      <c r="L183" s="166">
        <f>DTR!L183+'Dai Loc'!L183+'Dong Lam'!L183+'Khanh Nga'!L183+TDP!L183+DTRVL!L183</f>
        <v>208247257</v>
      </c>
      <c r="M183" s="166">
        <f>DTR!M183+'Dai Loc'!M183+'Dong Lam'!M183+'Khanh Nga'!M183+TDP!M183+DTRVL!M183</f>
        <v>12331934</v>
      </c>
      <c r="N183" s="166">
        <f>DTR!N183+'Dai Loc'!N183+'Dong Lam'!N183+'Khanh Nga'!N183+TDP!N183+DTRVL!N183</f>
        <v>1325716773</v>
      </c>
      <c r="O183" s="166">
        <f>DTR!O183+'Dai Loc'!O183+'Dong Lam'!O183+'Khanh Nga'!O183+TDP!O183+DTRVL!O183</f>
        <v>454849601</v>
      </c>
      <c r="P183" s="166">
        <f>DTR!P183+'Dai Loc'!P183+'Dong Lam'!P183+'Khanh Nga'!P183+TDP!P183+DTRVL!P183</f>
        <v>1295527254</v>
      </c>
      <c r="Q183" s="166">
        <f>DTR!Q183+'Dai Loc'!Q183+'Dong Lam'!Q183+'Khanh Nga'!Q183+TDP!Q183+DTRVL!Q183</f>
        <v>11296757</v>
      </c>
      <c r="R183" s="166">
        <f>DTR!R183+'Dai Loc'!R183+'Dong Lam'!R183+'Khanh Nga'!R183+TDP!R183+DTRVL!R183</f>
        <v>62251036</v>
      </c>
      <c r="S183" s="166">
        <f>DTR!S183+'Dai Loc'!S183+'Dong Lam'!S183+'Khanh Nga'!S183+TDP!S183+DTRVL!S183</f>
        <v>11791098</v>
      </c>
      <c r="T183" s="166">
        <f>DTR!T183+'Dai Loc'!T183+'Dong Lam'!T183+'Khanh Nga'!T183+TDP!T183+DTRVL!T183</f>
        <v>11447590</v>
      </c>
      <c r="U183" s="166">
        <f>DTR!U183+'Dai Loc'!U183+'Dong Lam'!U183+'Khanh Nga'!U183+TDP!U183+DTRVL!U183</f>
        <v>57408816</v>
      </c>
      <c r="V183" s="166">
        <f>DTR!V183+'Dai Loc'!V183+'Dong Lam'!V183+'Khanh Nga'!V183+TDP!V183+DTRVL!V183</f>
        <v>8291385</v>
      </c>
      <c r="W183" s="166">
        <f>DTR!W183+'Dai Loc'!W183+'Dong Lam'!W183+'Khanh Nga'!W183+TDP!W183+DTRVL!W183</f>
        <v>8446685</v>
      </c>
      <c r="X183" s="166">
        <f>DTR!X183+'Dai Loc'!X183+'Dong Lam'!X183+'Khanh Nga'!X183+TDP!X183+DTRVL!X183</f>
        <v>770203083</v>
      </c>
      <c r="Y183" s="166">
        <f>DTR!Y183+'Dai Loc'!Y183+'Dong Lam'!Y183+'Khanh Nga'!Y183+TDP!Y183+DTRVL!Y183</f>
        <v>88716910</v>
      </c>
      <c r="Z183" s="166">
        <f>DTR!Z183+'Dai Loc'!Z183+'Dong Lam'!Z183+'Khanh Nga'!Z183+TDP!Z183+DTRVL!Z183</f>
        <v>376705999</v>
      </c>
    </row>
    <row r="184" spans="1:26" ht="15" customHeight="1">
      <c r="A184" s="145" t="s">
        <v>270</v>
      </c>
      <c r="B184" s="146">
        <v>29</v>
      </c>
      <c r="C184" s="147">
        <f>DTR!C184+'Dai Loc'!C184+'Dong Lam'!C184+'Khanh Nga'!C184+TDP!C184+DTRVL!C184</f>
        <v>-4423845414</v>
      </c>
      <c r="D184" s="147">
        <f>DTR!D184+'Dai Loc'!D184+'Dong Lam'!D184+'Khanh Nga'!D184+TDP!D184+DTRVL!D184</f>
        <v>-4795608259</v>
      </c>
      <c r="E184" s="147">
        <f>DTR!E184+'Dai Loc'!E184+'Dong Lam'!E184+'Khanh Nga'!E184+TDP!E184+DTRVL!E184</f>
        <v>-997378566</v>
      </c>
      <c r="F184" s="147">
        <f>DTR!F184+'Dai Loc'!F184+'Dong Lam'!F184+'Khanh Nga'!F184+TDP!F184+DTRVL!F184</f>
        <v>-2044694191</v>
      </c>
      <c r="G184" s="147">
        <f>DTR!G184+'Dai Loc'!G184+'Dong Lam'!G184+'Khanh Nga'!G184+TDP!G184+DTRVL!G184</f>
        <v>-1986523247</v>
      </c>
      <c r="H184" s="147">
        <f>DTR!H184+'Dai Loc'!H184+'Dong Lam'!H184+'Khanh Nga'!H184+TDP!H184+DTRVL!H184</f>
        <v>-766522032</v>
      </c>
      <c r="I184" s="147">
        <f>DTR!I184+'Dai Loc'!I184+'Dong Lam'!I184+'Khanh Nga'!I184+TDP!I184+DTRVL!I184</f>
        <v>-1698024960</v>
      </c>
      <c r="J184" s="147">
        <f>DTR!J184+'Dai Loc'!J184+'Dong Lam'!J184+'Khanh Nga'!J184+TDP!J184+DTRVL!J184</f>
        <v>-576143181</v>
      </c>
      <c r="K184" s="147">
        <f>DTR!K184+'Dai Loc'!K184+'Dong Lam'!K184+'Khanh Nga'!K184+TDP!K184+DTRVL!K184</f>
        <v>-1555185521</v>
      </c>
      <c r="L184" s="147">
        <f>DTR!L184+'Dai Loc'!L184+'Dong Lam'!L184+'Khanh Nga'!L184+TDP!L184+DTRVL!L184</f>
        <v>-2224570304</v>
      </c>
      <c r="M184" s="147">
        <f>DTR!M184+'Dai Loc'!M184+'Dong Lam'!M184+'Khanh Nga'!M184+TDP!M184+DTRVL!M184</f>
        <v>-4944370080.9965801</v>
      </c>
      <c r="N184" s="147">
        <f>DTR!N184+'Dai Loc'!N184+'Dong Lam'!N184+'Khanh Nga'!N184+TDP!N184+DTRVL!N184</f>
        <v>-8744302137.996582</v>
      </c>
      <c r="O184" s="147">
        <f>DTR!O184+'Dai Loc'!O184+'Dong Lam'!O184+'Khanh Nga'!O184+TDP!O184+DTRVL!O184</f>
        <v>-11366773112</v>
      </c>
      <c r="P184" s="147">
        <f>DTR!P184+'Dai Loc'!P184+'Dong Lam'!P184+'Khanh Nga'!P184+TDP!P184+DTRVL!P184</f>
        <v>504384952</v>
      </c>
      <c r="Q184" s="147">
        <f>DTR!Q184+'Dai Loc'!Q184+'Dong Lam'!Q184+'Khanh Nga'!Q184+TDP!Q184+DTRVL!Q184</f>
        <v>-42460019097</v>
      </c>
      <c r="R184" s="147">
        <f>DTR!R184+'Dai Loc'!R184+'Dong Lam'!R184+'Khanh Nga'!R184+TDP!R184+DTRVL!R184</f>
        <v>-27697743736</v>
      </c>
      <c r="S184" s="147">
        <f>DTR!S184+'Dai Loc'!S184+'Dong Lam'!S184+'Khanh Nga'!S184+TDP!S184+DTRVL!S184</f>
        <v>-19399494413</v>
      </c>
      <c r="T184" s="147">
        <f>DTR!T184+'Dai Loc'!T184+'Dong Lam'!T184+'Khanh Nga'!T184+TDP!T184+DTRVL!T184</f>
        <v>-6764554222</v>
      </c>
      <c r="U184" s="147">
        <f>DTR!U184+'Dai Loc'!U184+'Dong Lam'!U184+'Khanh Nga'!U184+TDP!U184+DTRVL!U184</f>
        <v>16167149121</v>
      </c>
      <c r="V184" s="147">
        <f>DTR!V184+'Dai Loc'!V184+'Dong Lam'!V184+'Khanh Nga'!V184+TDP!V184+DTRVL!V184</f>
        <v>-4631401201</v>
      </c>
      <c r="W184" s="147">
        <f>DTR!W184+'Dai Loc'!W184+'Dong Lam'!W184+'Khanh Nga'!W184+TDP!W184+DTRVL!W184</f>
        <v>-290837778</v>
      </c>
      <c r="X184" s="147">
        <f>DTR!X184+'Dai Loc'!X184+'Dong Lam'!X184+'Khanh Nga'!X184+TDP!X184+DTRVL!X184</f>
        <v>-25242119326</v>
      </c>
      <c r="Y184" s="147">
        <f>DTR!Y184+'Dai Loc'!Y184+'Dong Lam'!Y184+'Khanh Nga'!Y184+TDP!Y184+DTRVL!Y184</f>
        <v>5070722973</v>
      </c>
      <c r="Z184" s="147">
        <f>DTR!Z184+'Dai Loc'!Z184+'Dong Lam'!Z184+'Khanh Nga'!Z184+TDP!Z184+DTRVL!Z184</f>
        <v>6878826178</v>
      </c>
    </row>
    <row r="185" spans="1:26" ht="15" customHeight="1">
      <c r="A185" s="145" t="s">
        <v>271</v>
      </c>
      <c r="B185" s="146">
        <v>30</v>
      </c>
      <c r="C185" s="147">
        <f>DTR!C185+'Dai Loc'!C185+'Dong Lam'!C185+'Khanh Nga'!C185+TDP!C185+DTRVL!C185</f>
        <v>0</v>
      </c>
      <c r="D185" s="147">
        <f>DTR!D185+'Dai Loc'!D185+'Dong Lam'!D185+'Khanh Nga'!D185+TDP!D185+DTRVL!D185</f>
        <v>0</v>
      </c>
      <c r="E185" s="147">
        <f>DTR!E185+'Dai Loc'!E185+'Dong Lam'!E185+'Khanh Nga'!E185+TDP!E185+DTRVL!E185</f>
        <v>0</v>
      </c>
      <c r="F185" s="147">
        <f>DTR!F185+'Dai Loc'!F185+'Dong Lam'!F185+'Khanh Nga'!F185+TDP!F185+DTRVL!F185</f>
        <v>0</v>
      </c>
      <c r="G185" s="147">
        <f>DTR!G185+'Dai Loc'!G185+'Dong Lam'!G185+'Khanh Nga'!G185+TDP!G185+DTRVL!G185</f>
        <v>0</v>
      </c>
      <c r="H185" s="147">
        <f>DTR!H185+'Dai Loc'!H185+'Dong Lam'!H185+'Khanh Nga'!H185+TDP!H185+DTRVL!H185</f>
        <v>0</v>
      </c>
      <c r="I185" s="147">
        <f>DTR!I185+'Dai Loc'!I185+'Dong Lam'!I185+'Khanh Nga'!I185+TDP!I185+DTRVL!I185</f>
        <v>0</v>
      </c>
      <c r="J185" s="147">
        <f>DTR!J185+'Dai Loc'!J185+'Dong Lam'!J185+'Khanh Nga'!J185+TDP!J185+DTRVL!J185</f>
        <v>0</v>
      </c>
      <c r="K185" s="147">
        <f>DTR!K185+'Dai Loc'!K185+'Dong Lam'!K185+'Khanh Nga'!K185+TDP!K185+DTRVL!K185</f>
        <v>0</v>
      </c>
      <c r="L185" s="147">
        <f>DTR!L185+'Dai Loc'!L185+'Dong Lam'!L185+'Khanh Nga'!L185+TDP!L185+DTRVL!L185</f>
        <v>0</v>
      </c>
      <c r="M185" s="147">
        <f>DTR!M185+'Dai Loc'!M185+'Dong Lam'!M185+'Khanh Nga'!M185+TDP!M185+DTRVL!M185</f>
        <v>0</v>
      </c>
      <c r="N185" s="147">
        <f>DTR!N185+'Dai Loc'!N185+'Dong Lam'!N185+'Khanh Nga'!N185+TDP!N185+DTRVL!N185</f>
        <v>0</v>
      </c>
      <c r="O185" s="147">
        <f>DTR!O185+'Dai Loc'!O185+'Dong Lam'!O185+'Khanh Nga'!O185+TDP!O185+DTRVL!O185</f>
        <v>0</v>
      </c>
      <c r="P185" s="147">
        <f>DTR!P185+'Dai Loc'!P185+'Dong Lam'!P185+'Khanh Nga'!P185+TDP!P185+DTRVL!P185</f>
        <v>0</v>
      </c>
      <c r="Q185" s="147">
        <f>DTR!Q185+'Dai Loc'!Q185+'Dong Lam'!Q185+'Khanh Nga'!Q185+TDP!Q185+DTRVL!Q185</f>
        <v>0</v>
      </c>
      <c r="R185" s="147">
        <f>DTR!R185+'Dai Loc'!R185+'Dong Lam'!R185+'Khanh Nga'!R185+TDP!R185+DTRVL!R185</f>
        <v>0</v>
      </c>
      <c r="S185" s="147">
        <f>DTR!S185+'Dai Loc'!S185+'Dong Lam'!S185+'Khanh Nga'!S185+TDP!S185+DTRVL!S185</f>
        <v>0</v>
      </c>
      <c r="T185" s="147">
        <f>DTR!T185+'Dai Loc'!T185+'Dong Lam'!T185+'Khanh Nga'!T185+TDP!T185+DTRVL!T185</f>
        <v>0</v>
      </c>
      <c r="U185" s="147">
        <f>DTR!U185+'Dai Loc'!U185+'Dong Lam'!U185+'Khanh Nga'!U185+TDP!U185+DTRVL!U185</f>
        <v>0</v>
      </c>
      <c r="V185" s="147">
        <f>DTR!V185+'Dai Loc'!V185+'Dong Lam'!V185+'Khanh Nga'!V185+TDP!V185+DTRVL!V185</f>
        <v>0</v>
      </c>
      <c r="W185" s="147">
        <f>DTR!W185+'Dai Loc'!W185+'Dong Lam'!W185+'Khanh Nga'!W185+TDP!W185+DTRVL!W185</f>
        <v>0</v>
      </c>
      <c r="X185" s="147">
        <f>DTR!X185+'Dai Loc'!X185+'Dong Lam'!X185+'Khanh Nga'!X185+TDP!X185+DTRVL!X185</f>
        <v>0</v>
      </c>
      <c r="Y185" s="147">
        <f>DTR!Y185+'Dai Loc'!Y185+'Dong Lam'!Y185+'Khanh Nga'!Y185+TDP!Y185+DTRVL!Y185</f>
        <v>0</v>
      </c>
      <c r="Z185" s="147">
        <f>DTR!Z185+'Dai Loc'!Z185+'Dong Lam'!Z185+'Khanh Nga'!Z185+TDP!Z185+DTRVL!Z185</f>
        <v>0</v>
      </c>
    </row>
    <row r="186" spans="1:26" ht="14">
      <c r="A186" s="164" t="s">
        <v>272</v>
      </c>
      <c r="B186" s="165">
        <v>31</v>
      </c>
      <c r="C186" s="64">
        <f>DTR!C186+'Dai Loc'!C186+'Dong Lam'!C186+'Khanh Nga'!C186+TDP!C186+DTRVL!C186</f>
        <v>0</v>
      </c>
      <c r="D186" s="64">
        <f>DTR!D186+'Dai Loc'!D186+'Dong Lam'!D186+'Khanh Nga'!D186+TDP!D186+DTRVL!D186</f>
        <v>0</v>
      </c>
      <c r="E186" s="64">
        <f>DTR!E186+'Dai Loc'!E186+'Dong Lam'!E186+'Khanh Nga'!E186+TDP!E186+DTRVL!E186</f>
        <v>0</v>
      </c>
      <c r="F186" s="64">
        <f>DTR!F186+'Dai Loc'!F186+'Dong Lam'!F186+'Khanh Nga'!F186+TDP!F186+DTRVL!F186</f>
        <v>0</v>
      </c>
      <c r="G186" s="64">
        <f>DTR!G186+'Dai Loc'!G186+'Dong Lam'!G186+'Khanh Nga'!G186+TDP!G186+DTRVL!G186</f>
        <v>0</v>
      </c>
      <c r="H186" s="64">
        <f>DTR!H186+'Dai Loc'!H186+'Dong Lam'!H186+'Khanh Nga'!H186+TDP!H186+DTRVL!H186</f>
        <v>0</v>
      </c>
      <c r="I186" s="64">
        <f>DTR!I186+'Dai Loc'!I186+'Dong Lam'!I186+'Khanh Nga'!I186+TDP!I186+DTRVL!I186</f>
        <v>0</v>
      </c>
      <c r="J186" s="64">
        <f>DTR!J186+'Dai Loc'!J186+'Dong Lam'!J186+'Khanh Nga'!J186+TDP!J186+DTRVL!J186</f>
        <v>0</v>
      </c>
      <c r="K186" s="64">
        <f>DTR!K186+'Dai Loc'!K186+'Dong Lam'!K186+'Khanh Nga'!K186+TDP!K186+DTRVL!K186</f>
        <v>0</v>
      </c>
      <c r="L186" s="64">
        <f>DTR!L186+'Dai Loc'!L186+'Dong Lam'!L186+'Khanh Nga'!L186+TDP!L186+DTRVL!L186</f>
        <v>0</v>
      </c>
      <c r="M186" s="64">
        <f>DTR!M186+'Dai Loc'!M186+'Dong Lam'!M186+'Khanh Nga'!M186+TDP!M186+DTRVL!M186</f>
        <v>20000000000</v>
      </c>
      <c r="N186" s="64">
        <f>DTR!N186+'Dai Loc'!N186+'Dong Lam'!N186+'Khanh Nga'!N186+TDP!N186+DTRVL!N186</f>
        <v>0</v>
      </c>
      <c r="O186" s="64">
        <f>DTR!O186+'Dai Loc'!O186+'Dong Lam'!O186+'Khanh Nga'!O186+TDP!O186+DTRVL!O186</f>
        <v>0</v>
      </c>
      <c r="P186" s="64">
        <f>DTR!P186+'Dai Loc'!P186+'Dong Lam'!P186+'Khanh Nga'!P186+TDP!P186+DTRVL!P186</f>
        <v>0</v>
      </c>
      <c r="Q186" s="64">
        <f>DTR!Q186+'Dai Loc'!Q186+'Dong Lam'!Q186+'Khanh Nga'!Q186+TDP!Q186+DTRVL!Q186</f>
        <v>0</v>
      </c>
      <c r="R186" s="64">
        <f>DTR!R186+'Dai Loc'!R186+'Dong Lam'!R186+'Khanh Nga'!R186+TDP!R186+DTRVL!R186</f>
        <v>0</v>
      </c>
      <c r="S186" s="64">
        <f>DTR!S186+'Dai Loc'!S186+'Dong Lam'!S186+'Khanh Nga'!S186+TDP!S186+DTRVL!S186</f>
        <v>0</v>
      </c>
      <c r="T186" s="64">
        <f>DTR!T186+'Dai Loc'!T186+'Dong Lam'!T186+'Khanh Nga'!T186+TDP!T186+DTRVL!T186</f>
        <v>0</v>
      </c>
      <c r="U186" s="64">
        <f>DTR!U186+'Dai Loc'!U186+'Dong Lam'!U186+'Khanh Nga'!U186+TDP!U186+DTRVL!U186</f>
        <v>0</v>
      </c>
      <c r="V186" s="64">
        <f>DTR!V186+'Dai Loc'!V186+'Dong Lam'!V186+'Khanh Nga'!V186+TDP!V186+DTRVL!V186</f>
        <v>0</v>
      </c>
      <c r="W186" s="64">
        <f>DTR!W186+'Dai Loc'!W186+'Dong Lam'!W186+'Khanh Nga'!W186+TDP!W186+DTRVL!W186</f>
        <v>0</v>
      </c>
      <c r="X186" s="64">
        <f>DTR!X186+'Dai Loc'!X186+'Dong Lam'!X186+'Khanh Nga'!X186+TDP!X186+DTRVL!X186</f>
        <v>0</v>
      </c>
      <c r="Y186" s="64">
        <f>DTR!Y186+'Dai Loc'!Y186+'Dong Lam'!Y186+'Khanh Nga'!Y186+TDP!Y186+DTRVL!Y186</f>
        <v>500000000</v>
      </c>
      <c r="Z186" s="64">
        <f>DTR!Z186+'Dai Loc'!Z186+'Dong Lam'!Z186+'Khanh Nga'!Z186+TDP!Z186+DTRVL!Z186</f>
        <v>5500000000</v>
      </c>
    </row>
    <row r="187" spans="1:26" ht="14">
      <c r="A187" s="164" t="s">
        <v>273</v>
      </c>
      <c r="B187" s="165">
        <v>32</v>
      </c>
      <c r="C187" s="64">
        <f>DTR!C187+'Dai Loc'!C187+'Dong Lam'!C187+'Khanh Nga'!C187+TDP!C187+DTRVL!C187</f>
        <v>0</v>
      </c>
      <c r="D187" s="64">
        <f>DTR!D187+'Dai Loc'!D187+'Dong Lam'!D187+'Khanh Nga'!D187+TDP!D187+DTRVL!D187</f>
        <v>0</v>
      </c>
      <c r="E187" s="64">
        <f>DTR!E187+'Dai Loc'!E187+'Dong Lam'!E187+'Khanh Nga'!E187+TDP!E187+DTRVL!E187</f>
        <v>0</v>
      </c>
      <c r="F187" s="64">
        <f>DTR!F187+'Dai Loc'!F187+'Dong Lam'!F187+'Khanh Nga'!F187+TDP!F187+DTRVL!F187</f>
        <v>0</v>
      </c>
      <c r="G187" s="64">
        <f>DTR!G187+'Dai Loc'!G187+'Dong Lam'!G187+'Khanh Nga'!G187+TDP!G187+DTRVL!G187</f>
        <v>0</v>
      </c>
      <c r="H187" s="64">
        <f>DTR!H187+'Dai Loc'!H187+'Dong Lam'!H187+'Khanh Nga'!H187+TDP!H187+DTRVL!H187</f>
        <v>0</v>
      </c>
      <c r="I187" s="64">
        <f>DTR!I187+'Dai Loc'!I187+'Dong Lam'!I187+'Khanh Nga'!I187+TDP!I187+DTRVL!I187</f>
        <v>0</v>
      </c>
      <c r="J187" s="64">
        <f>DTR!J187+'Dai Loc'!J187+'Dong Lam'!J187+'Khanh Nga'!J187+TDP!J187+DTRVL!J187</f>
        <v>0</v>
      </c>
      <c r="K187" s="64">
        <f>DTR!K187+'Dai Loc'!K187+'Dong Lam'!K187+'Khanh Nga'!K187+TDP!K187+DTRVL!K187</f>
        <v>0</v>
      </c>
      <c r="L187" s="64">
        <f>DTR!L187+'Dai Loc'!L187+'Dong Lam'!L187+'Khanh Nga'!L187+TDP!L187+DTRVL!L187</f>
        <v>0</v>
      </c>
      <c r="M187" s="64">
        <f>DTR!M187+'Dai Loc'!M187+'Dong Lam'!M187+'Khanh Nga'!M187+TDP!M187+DTRVL!M187</f>
        <v>0</v>
      </c>
      <c r="N187" s="64">
        <f>DTR!N187+'Dai Loc'!N187+'Dong Lam'!N187+'Khanh Nga'!N187+TDP!N187+DTRVL!N187</f>
        <v>0</v>
      </c>
      <c r="O187" s="64">
        <f>DTR!O187+'Dai Loc'!O187+'Dong Lam'!O187+'Khanh Nga'!O187+TDP!O187+DTRVL!O187</f>
        <v>0</v>
      </c>
      <c r="P187" s="64">
        <f>DTR!P187+'Dai Loc'!P187+'Dong Lam'!P187+'Khanh Nga'!P187+TDP!P187+DTRVL!P187</f>
        <v>0</v>
      </c>
      <c r="Q187" s="64">
        <f>DTR!Q187+'Dai Loc'!Q187+'Dong Lam'!Q187+'Khanh Nga'!Q187+TDP!Q187+DTRVL!Q187</f>
        <v>0</v>
      </c>
      <c r="R187" s="64">
        <f>DTR!R187+'Dai Loc'!R187+'Dong Lam'!R187+'Khanh Nga'!R187+TDP!R187+DTRVL!R187</f>
        <v>0</v>
      </c>
      <c r="S187" s="64">
        <f>DTR!S187+'Dai Loc'!S187+'Dong Lam'!S187+'Khanh Nga'!S187+TDP!S187+DTRVL!S187</f>
        <v>0</v>
      </c>
      <c r="T187" s="64">
        <f>DTR!T187+'Dai Loc'!T187+'Dong Lam'!T187+'Khanh Nga'!T187+TDP!T187+DTRVL!T187</f>
        <v>0</v>
      </c>
      <c r="U187" s="64">
        <f>DTR!U187+'Dai Loc'!U187+'Dong Lam'!U187+'Khanh Nga'!U187+TDP!U187+DTRVL!U187</f>
        <v>0</v>
      </c>
      <c r="V187" s="64">
        <f>DTR!V187+'Dai Loc'!V187+'Dong Lam'!V187+'Khanh Nga'!V187+TDP!V187+DTRVL!V187</f>
        <v>0</v>
      </c>
      <c r="W187" s="64">
        <f>DTR!W187+'Dai Loc'!W187+'Dong Lam'!W187+'Khanh Nga'!W187+TDP!W187+DTRVL!W187</f>
        <v>0</v>
      </c>
      <c r="X187" s="64">
        <f>DTR!X187+'Dai Loc'!X187+'Dong Lam'!X187+'Khanh Nga'!X187+TDP!X187+DTRVL!X187</f>
        <v>0</v>
      </c>
      <c r="Y187" s="64">
        <f>DTR!Y187+'Dai Loc'!Y187+'Dong Lam'!Y187+'Khanh Nga'!Y187+TDP!Y187+DTRVL!Y187</f>
        <v>0</v>
      </c>
      <c r="Z187" s="64">
        <f>DTR!Z187+'Dai Loc'!Z187+'Dong Lam'!Z187+'Khanh Nga'!Z187+TDP!Z187+DTRVL!Z187</f>
        <v>0</v>
      </c>
    </row>
    <row r="188" spans="1:26" ht="15" customHeight="1">
      <c r="A188" s="164" t="s">
        <v>274</v>
      </c>
      <c r="B188" s="165">
        <v>33</v>
      </c>
      <c r="C188" s="64">
        <f>DTR!C188+'Dai Loc'!C188+'Dong Lam'!C188+'Khanh Nga'!C188+TDP!C188+DTRVL!C188</f>
        <v>57270669795</v>
      </c>
      <c r="D188" s="64">
        <f>DTR!D188+'Dai Loc'!D188+'Dong Lam'!D188+'Khanh Nga'!D188+TDP!D188+DTRVL!D188</f>
        <v>2700000000</v>
      </c>
      <c r="E188" s="64">
        <f>DTR!E188+'Dai Loc'!E188+'Dong Lam'!E188+'Khanh Nga'!E188+TDP!E188+DTRVL!E188</f>
        <v>51941747542</v>
      </c>
      <c r="F188" s="64">
        <f>DTR!F188+'Dai Loc'!F188+'Dong Lam'!F188+'Khanh Nga'!F188+TDP!F188+DTRVL!F188</f>
        <v>43144705866</v>
      </c>
      <c r="G188" s="64">
        <f>DTR!G188+'Dai Loc'!G188+'Dong Lam'!G188+'Khanh Nga'!G188+TDP!G188+DTRVL!G188</f>
        <v>34881897765</v>
      </c>
      <c r="H188" s="64">
        <f>DTR!H188+'Dai Loc'!H188+'Dong Lam'!H188+'Khanh Nga'!H188+TDP!H188+DTRVL!H188</f>
        <v>19187776584</v>
      </c>
      <c r="I188" s="64">
        <f>DTR!I188+'Dai Loc'!I188+'Dong Lam'!I188+'Khanh Nga'!I188+TDP!I188+DTRVL!I188</f>
        <v>4706000000</v>
      </c>
      <c r="J188" s="64">
        <f>DTR!J188+'Dai Loc'!J188+'Dong Lam'!J188+'Khanh Nga'!J188+TDP!J188+DTRVL!J188</f>
        <v>51191060696</v>
      </c>
      <c r="K188" s="64">
        <f>DTR!K188+'Dai Loc'!K188+'Dong Lam'!K188+'Khanh Nga'!K188+TDP!K188+DTRVL!K188</f>
        <v>84691804308</v>
      </c>
      <c r="L188" s="64">
        <f>DTR!L188+'Dai Loc'!L188+'Dong Lam'!L188+'Khanh Nga'!L188+TDP!L188+DTRVL!L188</f>
        <v>102825721496</v>
      </c>
      <c r="M188" s="64">
        <f>DTR!M188+'Dai Loc'!M188+'Dong Lam'!M188+'Khanh Nga'!M188+TDP!M188+DTRVL!M188</f>
        <v>83853569555</v>
      </c>
      <c r="N188" s="64">
        <f>DTR!N188+'Dai Loc'!N188+'Dong Lam'!N188+'Khanh Nga'!N188+TDP!N188+DTRVL!N188</f>
        <v>37383794832</v>
      </c>
      <c r="O188" s="64">
        <f>DTR!O188+'Dai Loc'!O188+'Dong Lam'!O188+'Khanh Nga'!O188+TDP!O188+DTRVL!O188</f>
        <v>2310562000</v>
      </c>
      <c r="P188" s="64">
        <f>DTR!P188+'Dai Loc'!P188+'Dong Lam'!P188+'Khanh Nga'!P188+TDP!P188+DTRVL!P188</f>
        <v>5428000000</v>
      </c>
      <c r="Q188" s="64">
        <f>DTR!Q188+'Dai Loc'!Q188+'Dong Lam'!Q188+'Khanh Nga'!Q188+TDP!Q188+DTRVL!Q188</f>
        <v>58529191203</v>
      </c>
      <c r="R188" s="64">
        <f>DTR!R188+'Dai Loc'!R188+'Dong Lam'!R188+'Khanh Nga'!R188+TDP!R188+DTRVL!R188</f>
        <v>90358841948</v>
      </c>
      <c r="S188" s="64">
        <f>DTR!S188+'Dai Loc'!S188+'Dong Lam'!S188+'Khanh Nga'!S188+TDP!S188+DTRVL!S188</f>
        <v>46360978617</v>
      </c>
      <c r="T188" s="64">
        <f>DTR!T188+'Dai Loc'!T188+'Dong Lam'!T188+'Khanh Nga'!T188+TDP!T188+DTRVL!T188</f>
        <v>47723278583</v>
      </c>
      <c r="U188" s="64">
        <f>DTR!U188+'Dai Loc'!U188+'Dong Lam'!U188+'Khanh Nga'!U188+TDP!U188+DTRVL!U188</f>
        <v>49379624959</v>
      </c>
      <c r="V188" s="64">
        <f>DTR!V188+'Dai Loc'!V188+'Dong Lam'!V188+'Khanh Nga'!V188+TDP!V188+DTRVL!V188</f>
        <v>76433887270</v>
      </c>
      <c r="W188" s="64">
        <f>DTR!W188+'Dai Loc'!W188+'Dong Lam'!W188+'Khanh Nga'!W188+TDP!W188+DTRVL!W188</f>
        <v>74543374853</v>
      </c>
      <c r="X188" s="64">
        <f>DTR!X188+'Dai Loc'!X188+'Dong Lam'!X188+'Khanh Nga'!X188+TDP!X188+DTRVL!X188</f>
        <v>35990648109</v>
      </c>
      <c r="Y188" s="64">
        <f>DTR!Y188+'Dai Loc'!Y188+'Dong Lam'!Y188+'Khanh Nga'!Y188+TDP!Y188+DTRVL!Y188</f>
        <v>46874996976</v>
      </c>
      <c r="Z188" s="64">
        <f>DTR!Z188+'Dai Loc'!Z188+'Dong Lam'!Z188+'Khanh Nga'!Z188+TDP!Z188+DTRVL!Z188</f>
        <v>40177257513</v>
      </c>
    </row>
    <row r="189" spans="1:26" ht="15" customHeight="1">
      <c r="A189" s="164" t="s">
        <v>275</v>
      </c>
      <c r="B189" s="165">
        <v>34</v>
      </c>
      <c r="C189" s="64">
        <f>DTR!C189+'Dai Loc'!C189+'Dong Lam'!C189+'Khanh Nga'!C189+TDP!C189+DTRVL!C189</f>
        <v>0</v>
      </c>
      <c r="D189" s="64">
        <f>DTR!D189+'Dai Loc'!D189+'Dong Lam'!D189+'Khanh Nga'!D189+TDP!D189+DTRVL!D189</f>
        <v>-7768970250</v>
      </c>
      <c r="E189" s="64">
        <f>DTR!E189+'Dai Loc'!E189+'Dong Lam'!E189+'Khanh Nga'!E189+TDP!E189+DTRVL!E189</f>
        <v>-8016000000</v>
      </c>
      <c r="F189" s="64">
        <f>DTR!F189+'Dai Loc'!F189+'Dong Lam'!F189+'Khanh Nga'!F189+TDP!F189+DTRVL!F189</f>
        <v>-295193392</v>
      </c>
      <c r="G189" s="64">
        <f>DTR!G189+'Dai Loc'!G189+'Dong Lam'!G189+'Khanh Nga'!G189+TDP!G189+DTRVL!G189</f>
        <v>-2906560000</v>
      </c>
      <c r="H189" s="64">
        <f>DTR!H189+'Dai Loc'!H189+'Dong Lam'!H189+'Khanh Nga'!H189+TDP!H189+DTRVL!H189</f>
        <v>-6016005797</v>
      </c>
      <c r="I189" s="64">
        <f>DTR!I189+'Dai Loc'!I189+'Dong Lam'!I189+'Khanh Nga'!I189+TDP!I189+DTRVL!I189</f>
        <v>-26451297542</v>
      </c>
      <c r="J189" s="64">
        <f>DTR!J189+'Dai Loc'!J189+'Dong Lam'!J189+'Khanh Nga'!J189+TDP!J189+DTRVL!J189</f>
        <v>-94694168939</v>
      </c>
      <c r="K189" s="64">
        <f>DTR!K189+'Dai Loc'!K189+'Dong Lam'!K189+'Khanh Nga'!K189+TDP!K189+DTRVL!K189</f>
        <v>-70491152886</v>
      </c>
      <c r="L189" s="64">
        <f>DTR!L189+'Dai Loc'!L189+'Dong Lam'!L189+'Khanh Nga'!L189+TDP!L189+DTRVL!L189</f>
        <v>-86950072394</v>
      </c>
      <c r="M189" s="64">
        <f>DTR!M189+'Dai Loc'!M189+'Dong Lam'!M189+'Khanh Nga'!M189+TDP!M189+DTRVL!M189</f>
        <v>-46997210051</v>
      </c>
      <c r="N189" s="64">
        <f>DTR!N189+'Dai Loc'!N189+'Dong Lam'!N189+'Khanh Nga'!N189+TDP!N189+DTRVL!N189</f>
        <v>-30836777778</v>
      </c>
      <c r="O189" s="64">
        <f>DTR!O189+'Dai Loc'!O189+'Dong Lam'!O189+'Khanh Nga'!O189+TDP!O189+DTRVL!O189</f>
        <v>-33725113955</v>
      </c>
      <c r="P189" s="64">
        <f>DTR!P189+'Dai Loc'!P189+'Dong Lam'!P189+'Khanh Nga'!P189+TDP!P189+DTRVL!P189</f>
        <v>-100211784973</v>
      </c>
      <c r="Q189" s="64">
        <f>DTR!Q189+'Dai Loc'!Q189+'Dong Lam'!Q189+'Khanh Nga'!Q189+TDP!Q189+DTRVL!Q189</f>
        <v>-4197000000</v>
      </c>
      <c r="R189" s="64">
        <f>DTR!R189+'Dai Loc'!R189+'Dong Lam'!R189+'Khanh Nga'!R189+TDP!R189+DTRVL!R189</f>
        <v>-15728148401</v>
      </c>
      <c r="S189" s="64">
        <f>DTR!S189+'Dai Loc'!S189+'Dong Lam'!S189+'Khanh Nga'!S189+TDP!S189+DTRVL!S189</f>
        <v>-22093621349</v>
      </c>
      <c r="T189" s="64">
        <f>DTR!T189+'Dai Loc'!T189+'Dong Lam'!T189+'Khanh Nga'!T189+TDP!T189+DTRVL!T189</f>
        <v>-30106272270</v>
      </c>
      <c r="U189" s="64">
        <f>DTR!U189+'Dai Loc'!U189+'Dong Lam'!U189+'Khanh Nga'!U189+TDP!U189+DTRVL!U189</f>
        <v>-37490126842</v>
      </c>
      <c r="V189" s="64">
        <f>DTR!V189+'Dai Loc'!V189+'Dong Lam'!V189+'Khanh Nga'!V189+TDP!V189+DTRVL!V189</f>
        <v>-32982546300</v>
      </c>
      <c r="W189" s="64">
        <f>DTR!W189+'Dai Loc'!W189+'Dong Lam'!W189+'Khanh Nga'!W189+TDP!W189+DTRVL!W189</f>
        <v>-59818118843</v>
      </c>
      <c r="X189" s="64">
        <f>DTR!X189+'Dai Loc'!X189+'Dong Lam'!X189+'Khanh Nga'!X189+TDP!X189+DTRVL!X189</f>
        <v>-86548152225</v>
      </c>
      <c r="Y189" s="64">
        <f>DTR!Y189+'Dai Loc'!Y189+'Dong Lam'!Y189+'Khanh Nga'!Y189+TDP!Y189+DTRVL!Y189</f>
        <v>-53673092111</v>
      </c>
      <c r="Z189" s="64">
        <f>DTR!Z189+'Dai Loc'!Z189+'Dong Lam'!Z189+'Khanh Nga'!Z189+TDP!Z189+DTRVL!Z189</f>
        <v>-51123323764</v>
      </c>
    </row>
    <row r="190" spans="1:26" ht="15" customHeight="1">
      <c r="A190" s="164" t="s">
        <v>276</v>
      </c>
      <c r="B190" s="165">
        <v>35</v>
      </c>
      <c r="C190" s="64">
        <f>DTR!C190+'Dai Loc'!C190+'Dong Lam'!C190+'Khanh Nga'!C190+TDP!C190+DTRVL!C190</f>
        <v>0</v>
      </c>
      <c r="D190" s="64">
        <f>DTR!D190+'Dai Loc'!D190+'Dong Lam'!D190+'Khanh Nga'!D190+TDP!D190+DTRVL!D190</f>
        <v>0</v>
      </c>
      <c r="E190" s="64">
        <f>DTR!E190+'Dai Loc'!E190+'Dong Lam'!E190+'Khanh Nga'!E190+TDP!E190+DTRVL!E190</f>
        <v>0</v>
      </c>
      <c r="F190" s="64">
        <f>DTR!F190+'Dai Loc'!F190+'Dong Lam'!F190+'Khanh Nga'!F190+TDP!F190+DTRVL!F190</f>
        <v>0</v>
      </c>
      <c r="G190" s="64">
        <f>DTR!G190+'Dai Loc'!G190+'Dong Lam'!G190+'Khanh Nga'!G190+TDP!G190+DTRVL!G190</f>
        <v>0</v>
      </c>
      <c r="H190" s="64">
        <f>DTR!H190+'Dai Loc'!H190+'Dong Lam'!H190+'Khanh Nga'!H190+TDP!H190+DTRVL!H190</f>
        <v>0</v>
      </c>
      <c r="I190" s="64">
        <f>DTR!I190+'Dai Loc'!I190+'Dong Lam'!I190+'Khanh Nga'!I190+TDP!I190+DTRVL!I190</f>
        <v>0</v>
      </c>
      <c r="J190" s="64">
        <f>DTR!J190+'Dai Loc'!J190+'Dong Lam'!J190+'Khanh Nga'!J190+TDP!J190+DTRVL!J190</f>
        <v>0</v>
      </c>
      <c r="K190" s="64">
        <f>DTR!K190+'Dai Loc'!K190+'Dong Lam'!K190+'Khanh Nga'!K190+TDP!K190+DTRVL!K190</f>
        <v>0</v>
      </c>
      <c r="L190" s="64">
        <f>DTR!L190+'Dai Loc'!L190+'Dong Lam'!L190+'Khanh Nga'!L190+TDP!L190+DTRVL!L190</f>
        <v>0</v>
      </c>
      <c r="M190" s="64">
        <f>DTR!M190+'Dai Loc'!M190+'Dong Lam'!M190+'Khanh Nga'!M190+TDP!M190+DTRVL!M190</f>
        <v>0</v>
      </c>
      <c r="N190" s="64">
        <f>DTR!N190+'Dai Loc'!N190+'Dong Lam'!N190+'Khanh Nga'!N190+TDP!N190+DTRVL!N190</f>
        <v>0</v>
      </c>
      <c r="O190" s="64">
        <f>DTR!O190+'Dai Loc'!O190+'Dong Lam'!O190+'Khanh Nga'!O190+TDP!O190+DTRVL!O190</f>
        <v>-777777778</v>
      </c>
      <c r="P190" s="64">
        <f>DTR!P190+'Dai Loc'!P190+'Dong Lam'!P190+'Khanh Nga'!P190+TDP!P190+DTRVL!P190</f>
        <v>-777777778</v>
      </c>
      <c r="Q190" s="64">
        <f>DTR!Q190+'Dai Loc'!Q190+'Dong Lam'!Q190+'Khanh Nga'!Q190+TDP!Q190+DTRVL!Q190</f>
        <v>-777777778</v>
      </c>
      <c r="R190" s="64">
        <f>DTR!R190+'Dai Loc'!R190+'Dong Lam'!R190+'Khanh Nga'!R190+TDP!R190+DTRVL!R190</f>
        <v>-777777778</v>
      </c>
      <c r="S190" s="64">
        <f>DTR!S190+'Dai Loc'!S190+'Dong Lam'!S190+'Khanh Nga'!S190+TDP!S190+DTRVL!S190</f>
        <v>-777777778</v>
      </c>
      <c r="T190" s="64">
        <f>DTR!T190+'Dai Loc'!T190+'Dong Lam'!T190+'Khanh Nga'!T190+TDP!T190+DTRVL!T190</f>
        <v>-777777778</v>
      </c>
      <c r="U190" s="64">
        <f>DTR!U190+'Dai Loc'!U190+'Dong Lam'!U190+'Khanh Nga'!U190+TDP!U190+DTRVL!U190</f>
        <v>-777777778</v>
      </c>
      <c r="V190" s="64">
        <f>DTR!V190+'Dai Loc'!V190+'Dong Lam'!V190+'Khanh Nga'!V190+TDP!V190+DTRVL!V190</f>
        <v>-777777778</v>
      </c>
      <c r="W190" s="64">
        <f>DTR!W190+'Dai Loc'!W190+'Dong Lam'!W190+'Khanh Nga'!W190+TDP!W190+DTRVL!W190</f>
        <v>-777777778</v>
      </c>
      <c r="X190" s="64">
        <f>DTR!X190+'Dai Loc'!X190+'Dong Lam'!X190+'Khanh Nga'!X190+TDP!X190+DTRVL!X190</f>
        <v>-777777778</v>
      </c>
      <c r="Y190" s="64">
        <f>DTR!Y190+'Dai Loc'!Y190+'Dong Lam'!Y190+'Khanh Nga'!Y190+TDP!Y190+DTRVL!Y190</f>
        <v>-777777778</v>
      </c>
      <c r="Z190" s="64">
        <f>DTR!Z190+'Dai Loc'!Z190+'Dong Lam'!Z190+'Khanh Nga'!Z190+TDP!Z190+DTRVL!Z190</f>
        <v>-777777778</v>
      </c>
    </row>
    <row r="191" spans="1:26" ht="15" customHeight="1">
      <c r="A191" s="164" t="s">
        <v>277</v>
      </c>
      <c r="B191" s="165">
        <v>36</v>
      </c>
      <c r="C191" s="64">
        <f>DTR!C191+'Dai Loc'!C191+'Dong Lam'!C191+'Khanh Nga'!C191+TDP!C191+DTRVL!C191</f>
        <v>0</v>
      </c>
      <c r="D191" s="64">
        <f>DTR!D191+'Dai Loc'!D191+'Dong Lam'!D191+'Khanh Nga'!D191+TDP!D191+DTRVL!D191</f>
        <v>0</v>
      </c>
      <c r="E191" s="64">
        <f>DTR!E191+'Dai Loc'!E191+'Dong Lam'!E191+'Khanh Nga'!E191+TDP!E191+DTRVL!E191</f>
        <v>0</v>
      </c>
      <c r="F191" s="64">
        <f>DTR!F191+'Dai Loc'!F191+'Dong Lam'!F191+'Khanh Nga'!F191+TDP!F191+DTRVL!F191</f>
        <v>0</v>
      </c>
      <c r="G191" s="64">
        <f>DTR!G191+'Dai Loc'!G191+'Dong Lam'!G191+'Khanh Nga'!G191+TDP!G191+DTRVL!G191</f>
        <v>0</v>
      </c>
      <c r="H191" s="64">
        <f>DTR!H191+'Dai Loc'!H191+'Dong Lam'!H191+'Khanh Nga'!H191+TDP!H191+DTRVL!H191</f>
        <v>0</v>
      </c>
      <c r="I191" s="64">
        <f>DTR!I191+'Dai Loc'!I191+'Dong Lam'!I191+'Khanh Nga'!I191+TDP!I191+DTRVL!I191</f>
        <v>0</v>
      </c>
      <c r="J191" s="64">
        <f>DTR!J191+'Dai Loc'!J191+'Dong Lam'!J191+'Khanh Nga'!J191+TDP!J191+DTRVL!J191</f>
        <v>0</v>
      </c>
      <c r="K191" s="64">
        <f>DTR!K191+'Dai Loc'!K191+'Dong Lam'!K191+'Khanh Nga'!K191+TDP!K191+DTRVL!K191</f>
        <v>0</v>
      </c>
      <c r="L191" s="64">
        <f>DTR!L191+'Dai Loc'!L191+'Dong Lam'!L191+'Khanh Nga'!L191+TDP!L191+DTRVL!L191</f>
        <v>0</v>
      </c>
      <c r="M191" s="64">
        <f>DTR!M191+'Dai Loc'!M191+'Dong Lam'!M191+'Khanh Nga'!M191+TDP!M191+DTRVL!M191</f>
        <v>0</v>
      </c>
      <c r="N191" s="64">
        <f>DTR!N191+'Dai Loc'!N191+'Dong Lam'!N191+'Khanh Nga'!N191+TDP!N191+DTRVL!N191</f>
        <v>0</v>
      </c>
      <c r="O191" s="64">
        <f>DTR!O191+'Dai Loc'!O191+'Dong Lam'!O191+'Khanh Nga'!O191+TDP!O191+DTRVL!O191</f>
        <v>0</v>
      </c>
      <c r="P191" s="64">
        <f>DTR!P191+'Dai Loc'!P191+'Dong Lam'!P191+'Khanh Nga'!P191+TDP!P191+DTRVL!P191</f>
        <v>0</v>
      </c>
      <c r="Q191" s="64">
        <f>DTR!Q191+'Dai Loc'!Q191+'Dong Lam'!Q191+'Khanh Nga'!Q191+TDP!Q191+DTRVL!Q191</f>
        <v>0</v>
      </c>
      <c r="R191" s="64">
        <f>DTR!R191+'Dai Loc'!R191+'Dong Lam'!R191+'Khanh Nga'!R191+TDP!R191+DTRVL!R191</f>
        <v>0</v>
      </c>
      <c r="S191" s="64">
        <f>DTR!S191+'Dai Loc'!S191+'Dong Lam'!S191+'Khanh Nga'!S191+TDP!S191+DTRVL!S191</f>
        <v>0</v>
      </c>
      <c r="T191" s="64">
        <f>DTR!T191+'Dai Loc'!T191+'Dong Lam'!T191+'Khanh Nga'!T191+TDP!T191+DTRVL!T191</f>
        <v>0</v>
      </c>
      <c r="U191" s="64">
        <f>DTR!U191+'Dai Loc'!U191+'Dong Lam'!U191+'Khanh Nga'!U191+TDP!U191+DTRVL!U191</f>
        <v>0</v>
      </c>
      <c r="V191" s="64">
        <f>DTR!V191+'Dai Loc'!V191+'Dong Lam'!V191+'Khanh Nga'!V191+TDP!V191+DTRVL!V191</f>
        <v>0</v>
      </c>
      <c r="W191" s="64">
        <f>DTR!W191+'Dai Loc'!W191+'Dong Lam'!W191+'Khanh Nga'!W191+TDP!W191+DTRVL!W191</f>
        <v>0</v>
      </c>
      <c r="X191" s="64">
        <f>DTR!X191+'Dai Loc'!X191+'Dong Lam'!X191+'Khanh Nga'!X191+TDP!X191+DTRVL!X191</f>
        <v>0</v>
      </c>
      <c r="Y191" s="64">
        <f>DTR!Y191+'Dai Loc'!Y191+'Dong Lam'!Y191+'Khanh Nga'!Y191+TDP!Y191+DTRVL!Y191</f>
        <v>0</v>
      </c>
      <c r="Z191" s="64">
        <f>DTR!Z191+'Dai Loc'!Z191+'Dong Lam'!Z191+'Khanh Nga'!Z191+TDP!Z191+DTRVL!Z191</f>
        <v>0</v>
      </c>
    </row>
    <row r="192" spans="1:26" ht="15" customHeight="1">
      <c r="A192" s="145" t="s">
        <v>278</v>
      </c>
      <c r="B192" s="146">
        <v>37</v>
      </c>
      <c r="C192" s="147">
        <f>DTR!C192+'Dai Loc'!C192+'Dong Lam'!C192+'Khanh Nga'!C192+TDP!C192+DTRVL!C192</f>
        <v>57270669795</v>
      </c>
      <c r="D192" s="147">
        <f>DTR!D192+'Dai Loc'!D192+'Dong Lam'!D192+'Khanh Nga'!D192+TDP!D192+DTRVL!D192</f>
        <v>-5068970250</v>
      </c>
      <c r="E192" s="147">
        <f>DTR!E192+'Dai Loc'!E192+'Dong Lam'!E192+'Khanh Nga'!E192+TDP!E192+DTRVL!E192</f>
        <v>43925747542</v>
      </c>
      <c r="F192" s="147">
        <f>DTR!F192+'Dai Loc'!F192+'Dong Lam'!F192+'Khanh Nga'!F192+TDP!F192+DTRVL!F192</f>
        <v>42849512474</v>
      </c>
      <c r="G192" s="147">
        <f>DTR!G192+'Dai Loc'!G192+'Dong Lam'!G192+'Khanh Nga'!G192+TDP!G192+DTRVL!G192</f>
        <v>31975337765</v>
      </c>
      <c r="H192" s="147">
        <f>DTR!H192+'Dai Loc'!H192+'Dong Lam'!H192+'Khanh Nga'!H192+TDP!H192+DTRVL!H192</f>
        <v>13171770787</v>
      </c>
      <c r="I192" s="147">
        <f>DTR!I192+'Dai Loc'!I192+'Dong Lam'!I192+'Khanh Nga'!I192+TDP!I192+DTRVL!I192</f>
        <v>-21745297542</v>
      </c>
      <c r="J192" s="147">
        <f>DTR!J192+'Dai Loc'!J192+'Dong Lam'!J192+'Khanh Nga'!J192+TDP!J192+DTRVL!J192</f>
        <v>-43503108243</v>
      </c>
      <c r="K192" s="147">
        <f>DTR!K192+'Dai Loc'!K192+'Dong Lam'!K192+'Khanh Nga'!K192+TDP!K192+DTRVL!K192</f>
        <v>14200651422</v>
      </c>
      <c r="L192" s="147">
        <f>DTR!L192+'Dai Loc'!L192+'Dong Lam'!L192+'Khanh Nga'!L192+TDP!L192+DTRVL!L192</f>
        <v>15875649102</v>
      </c>
      <c r="M192" s="147">
        <f>DTR!M192+'Dai Loc'!M192+'Dong Lam'!M192+'Khanh Nga'!M192+TDP!M192+DTRVL!M192</f>
        <v>56856359504</v>
      </c>
      <c r="N192" s="147">
        <f>DTR!N192+'Dai Loc'!N192+'Dong Lam'!N192+'Khanh Nga'!N192+TDP!N192+DTRVL!N192</f>
        <v>6547017054</v>
      </c>
      <c r="O192" s="147">
        <f>DTR!O192+'Dai Loc'!O192+'Dong Lam'!O192+'Khanh Nga'!O192+TDP!O192+DTRVL!O192</f>
        <v>-32192329733</v>
      </c>
      <c r="P192" s="147">
        <f>DTR!P192+'Dai Loc'!P192+'Dong Lam'!P192+'Khanh Nga'!P192+TDP!P192+DTRVL!P192</f>
        <v>-95561562751</v>
      </c>
      <c r="Q192" s="147">
        <f>DTR!Q192+'Dai Loc'!Q192+'Dong Lam'!Q192+'Khanh Nga'!Q192+TDP!Q192+DTRVL!Q192</f>
        <v>53554413425</v>
      </c>
      <c r="R192" s="147">
        <f>DTR!R192+'Dai Loc'!R192+'Dong Lam'!R192+'Khanh Nga'!R192+TDP!R192+DTRVL!R192</f>
        <v>73852915769</v>
      </c>
      <c r="S192" s="147">
        <f>DTR!S192+'Dai Loc'!S192+'Dong Lam'!S192+'Khanh Nga'!S192+TDP!S192+DTRVL!S192</f>
        <v>23489579490</v>
      </c>
      <c r="T192" s="147">
        <f>DTR!T192+'Dai Loc'!T192+'Dong Lam'!T192+'Khanh Nga'!T192+TDP!T192+DTRVL!T192</f>
        <v>16839228535</v>
      </c>
      <c r="U192" s="147">
        <f>DTR!U192+'Dai Loc'!U192+'Dong Lam'!U192+'Khanh Nga'!U192+TDP!U192+DTRVL!U192</f>
        <v>11111720339</v>
      </c>
      <c r="V192" s="147">
        <f>DTR!V192+'Dai Loc'!V192+'Dong Lam'!V192+'Khanh Nga'!V192+TDP!V192+DTRVL!V192</f>
        <v>42673563192</v>
      </c>
      <c r="W192" s="147">
        <f>DTR!W192+'Dai Loc'!W192+'Dong Lam'!W192+'Khanh Nga'!W192+TDP!W192+DTRVL!W192</f>
        <v>13947478232</v>
      </c>
      <c r="X192" s="147">
        <f>DTR!X192+'Dai Loc'!X192+'Dong Lam'!X192+'Khanh Nga'!X192+TDP!X192+DTRVL!X192</f>
        <v>-51335281894</v>
      </c>
      <c r="Y192" s="147">
        <f>DTR!Y192+'Dai Loc'!Y192+'Dong Lam'!Y192+'Khanh Nga'!Y192+TDP!Y192+DTRVL!Y192</f>
        <v>-7075872913</v>
      </c>
      <c r="Z192" s="147">
        <f>DTR!Z192+'Dai Loc'!Z192+'Dong Lam'!Z192+'Khanh Nga'!Z192+TDP!Z192+DTRVL!Z192</f>
        <v>-6223844029</v>
      </c>
    </row>
    <row r="193" spans="1:26" ht="15" customHeight="1">
      <c r="A193" s="167" t="s">
        <v>279</v>
      </c>
      <c r="B193" s="168">
        <v>38</v>
      </c>
      <c r="C193" s="169">
        <f>DTR!C193+'Dai Loc'!C193+'Dong Lam'!C193+'Khanh Nga'!C193+TDP!C193+DTRVL!C193</f>
        <v>32415849347</v>
      </c>
      <c r="D193" s="169">
        <f>DTR!D193+'Dai Loc'!D193+'Dong Lam'!D193+'Khanh Nga'!D193+TDP!D193+DTRVL!D193</f>
        <v>-11208524300</v>
      </c>
      <c r="E193" s="169">
        <f>DTR!E193+'Dai Loc'!E193+'Dong Lam'!E193+'Khanh Nga'!E193+TDP!E193+DTRVL!E193</f>
        <v>-9778763924</v>
      </c>
      <c r="F193" s="169">
        <f>DTR!F193+'Dai Loc'!F193+'Dong Lam'!F193+'Khanh Nga'!F193+TDP!F193+DTRVL!F193</f>
        <v>7957701520</v>
      </c>
      <c r="G193" s="169">
        <f>DTR!G193+'Dai Loc'!G193+'Dong Lam'!G193+'Khanh Nga'!G193+TDP!G193+DTRVL!G193</f>
        <v>-2212598636</v>
      </c>
      <c r="H193" s="169">
        <f>DTR!H193+'Dai Loc'!H193+'Dong Lam'!H193+'Khanh Nga'!H193+TDP!H193+DTRVL!H193</f>
        <v>-13745725568</v>
      </c>
      <c r="I193" s="169">
        <f>DTR!I193+'Dai Loc'!I193+'Dong Lam'!I193+'Khanh Nga'!I193+TDP!I193+DTRVL!I193</f>
        <v>36451496752</v>
      </c>
      <c r="J193" s="169">
        <f>DTR!J193+'Dai Loc'!J193+'Dong Lam'!J193+'Khanh Nga'!J193+TDP!J193+DTRVL!J193</f>
        <v>-21105476583</v>
      </c>
      <c r="K193" s="169">
        <f>DTR!K193+'Dai Loc'!K193+'Dong Lam'!K193+'Khanh Nga'!K193+TDP!K193+DTRVL!K193</f>
        <v>12702986447</v>
      </c>
      <c r="L193" s="169">
        <f>DTR!L193+'Dai Loc'!L193+'Dong Lam'!L193+'Khanh Nga'!L193+TDP!L193+DTRVL!L193</f>
        <v>28156229281</v>
      </c>
      <c r="M193" s="169">
        <f>DTR!M193+'Dai Loc'!M193+'Dong Lam'!M193+'Khanh Nga'!M193+TDP!M193+DTRVL!M193</f>
        <v>2567837825.003418</v>
      </c>
      <c r="N193" s="169">
        <f>DTR!N193+'Dai Loc'!N193+'Dong Lam'!N193+'Khanh Nga'!N193+TDP!N193+DTRVL!N193</f>
        <v>-3900514913.996582</v>
      </c>
      <c r="O193" s="169">
        <f>DTR!O193+'Dai Loc'!O193+'Dong Lam'!O193+'Khanh Nga'!O193+TDP!O193+DTRVL!O193</f>
        <v>29883730890.000099</v>
      </c>
      <c r="P193" s="169">
        <f>DTR!P193+'Dai Loc'!P193+'Dong Lam'!P193+'Khanh Nga'!P193+TDP!P193+DTRVL!P193</f>
        <v>-46985761894.000099</v>
      </c>
      <c r="Q193" s="169">
        <f>DTR!Q193+'Dai Loc'!Q193+'Dong Lam'!Q193+'Khanh Nga'!Q193+TDP!Q193+DTRVL!Q193</f>
        <v>-6110195852.999999</v>
      </c>
      <c r="R193" s="169">
        <f>DTR!R193+'Dai Loc'!R193+'Dong Lam'!R193+'Khanh Nga'!R193+TDP!R193+DTRVL!R193</f>
        <v>14576528854</v>
      </c>
      <c r="S193" s="169">
        <f>DTR!S193+'Dai Loc'!S193+'Dong Lam'!S193+'Khanh Nga'!S193+TDP!S193+DTRVL!S193</f>
        <v>-20574647430</v>
      </c>
      <c r="T193" s="169">
        <f>DTR!T193+'Dai Loc'!T193+'Dong Lam'!T193+'Khanh Nga'!T193+TDP!T193+DTRVL!T193</f>
        <v>-7184755141</v>
      </c>
      <c r="U193" s="169">
        <f>DTR!U193+'Dai Loc'!U193+'Dong Lam'!U193+'Khanh Nga'!U193+TDP!U193+DTRVL!U193</f>
        <v>-1124878725.9999003</v>
      </c>
      <c r="V193" s="169">
        <f>DTR!V193+'Dai Loc'!V193+'Dong Lam'!V193+'Khanh Nga'!V193+TDP!V193+DTRVL!V193</f>
        <v>5195306444</v>
      </c>
      <c r="W193" s="169">
        <f>DTR!W193+'Dai Loc'!W193+'Dong Lam'!W193+'Khanh Nga'!W193+TDP!W193+DTRVL!W193</f>
        <v>41145099173.999901</v>
      </c>
      <c r="X193" s="169">
        <f>DTR!X193+'Dai Loc'!X193+'Dong Lam'!X193+'Khanh Nga'!X193+TDP!X193+DTRVL!X193</f>
        <v>-9424279302</v>
      </c>
      <c r="Y193" s="169">
        <f>DTR!Y193+'Dai Loc'!Y193+'Dong Lam'!Y193+'Khanh Nga'!Y193+TDP!Y193+DTRVL!Y193</f>
        <v>-3642573735</v>
      </c>
      <c r="Z193" s="169">
        <f>DTR!Z193+'Dai Loc'!Z193+'Dong Lam'!Z193+'Khanh Nga'!Z193+TDP!Z193+DTRVL!Z193</f>
        <v>-19840461563</v>
      </c>
    </row>
    <row r="194" spans="1:26" ht="15" customHeight="1">
      <c r="A194" s="145" t="s">
        <v>280</v>
      </c>
      <c r="B194" s="146">
        <v>39</v>
      </c>
      <c r="C194" s="147">
        <f>DTR!C194+'Dai Loc'!C194+'Dong Lam'!C194+'Khanh Nga'!C194+TDP!C194+DTRVL!C194</f>
        <v>14272680117.99658</v>
      </c>
      <c r="D194" s="147">
        <f>DTR!D194+'Dai Loc'!D194+'Dong Lam'!D194+'Khanh Nga'!D194+TDP!D194+DTRVL!D194</f>
        <v>46633249759.996582</v>
      </c>
      <c r="E194" s="147">
        <f>DTR!E194+'Dai Loc'!E194+'Dong Lam'!E194+'Khanh Nga'!E194+TDP!E194+DTRVL!E194</f>
        <v>35851802773.996582</v>
      </c>
      <c r="F194" s="147">
        <f>DTR!F194+'Dai Loc'!F194+'Dong Lam'!F194+'Khanh Nga'!F194+TDP!F194+DTRVL!F194</f>
        <v>26393055916.996582</v>
      </c>
      <c r="G194" s="147">
        <f>DTR!G194+'Dai Loc'!G194+'Dong Lam'!G194+'Khanh Nga'!G194+TDP!G194+DTRVL!G194</f>
        <v>34593153166.996582</v>
      </c>
      <c r="H194" s="147">
        <f>DTR!H194+'Dai Loc'!H194+'Dong Lam'!H194+'Khanh Nga'!H194+TDP!H194+DTRVL!H194</f>
        <v>33199136311.996582</v>
      </c>
      <c r="I194" s="147">
        <f>DTR!I194+'Dai Loc'!I194+'Dong Lam'!I194+'Khanh Nga'!I194+TDP!I194+DTRVL!I194</f>
        <v>19638634541.996582</v>
      </c>
      <c r="J194" s="147">
        <f>DTR!J194+'Dai Loc'!J194+'Dong Lam'!J194+'Khanh Nga'!J194+TDP!J194+DTRVL!J194</f>
        <v>56271006189.996582</v>
      </c>
      <c r="K194" s="147">
        <f>DTR!K194+'Dai Loc'!K194+'Dong Lam'!K194+'Khanh Nga'!K194+TDP!K194+DTRVL!K194</f>
        <v>35429490169.996582</v>
      </c>
      <c r="L194" s="147">
        <f>DTR!L194+'Dai Loc'!L194+'Dong Lam'!L194+'Khanh Nga'!L194+TDP!L194+DTRVL!L194</f>
        <v>48429525474.996582</v>
      </c>
      <c r="M194" s="147">
        <f>DTR!M194+'Dai Loc'!M194+'Dong Lam'!M194+'Khanh Nga'!M194+TDP!M194+DTRVL!M194</f>
        <v>78014775933.996582</v>
      </c>
      <c r="N194" s="147">
        <f>DTR!N194+'Dai Loc'!N194+'Dong Lam'!N194+'Khanh Nga'!N194+TDP!N194+DTRVL!N194</f>
        <v>81105192015.996582</v>
      </c>
      <c r="O194" s="147">
        <f>DTR!O194+'Dai Loc'!O194+'Dong Lam'!O194+'Khanh Nga'!O194+TDP!O194+DTRVL!O194</f>
        <v>78515947310.996582</v>
      </c>
      <c r="P194" s="147">
        <f>DTR!P194+'Dai Loc'!P194+'Dong Lam'!P194+'Khanh Nga'!P194+TDP!P194+DTRVL!P194</f>
        <v>108757458296.99669</v>
      </c>
      <c r="Q194" s="147">
        <f>DTR!Q194+'Dai Loc'!Q194+'Dong Lam'!Q194+'Khanh Nga'!Q194+TDP!Q194+DTRVL!Q194</f>
        <v>63047560921.996582</v>
      </c>
      <c r="R194" s="147">
        <f>DTR!R194+'Dai Loc'!R194+'Dong Lam'!R194+'Khanh Nga'!R194+TDP!R194+DTRVL!R194</f>
        <v>57546333331.996582</v>
      </c>
      <c r="S194" s="147">
        <f>DTR!S194+'Dai Loc'!S194+'Dong Lam'!S194+'Khanh Nga'!S194+TDP!S194+DTRVL!S194</f>
        <v>72781093894.996582</v>
      </c>
      <c r="T194" s="147">
        <f>DTR!T194+'Dai Loc'!T194+'Dong Lam'!T194+'Khanh Nga'!T194+TDP!T194+DTRVL!T194</f>
        <v>53850392377.996582</v>
      </c>
      <c r="U194" s="147">
        <f>DTR!U194+'Dai Loc'!U194+'Dong Lam'!U194+'Khanh Nga'!U194+TDP!U194+DTRVL!U194</f>
        <v>47310681041.996582</v>
      </c>
      <c r="V194" s="147">
        <f>DTR!V194+'Dai Loc'!V194+'Dong Lam'!V194+'Khanh Nga'!V194+TDP!V194+DTRVL!V194</f>
        <v>46943683939.996681</v>
      </c>
      <c r="W194" s="147">
        <f>DTR!W194+'Dai Loc'!W194+'Dong Lam'!W194+'Khanh Nga'!W194+TDP!W194+DTRVL!W194</f>
        <v>52760383889.996681</v>
      </c>
      <c r="X194" s="147">
        <f>DTR!X194+'Dai Loc'!X194+'Dong Lam'!X194+'Khanh Nga'!X194+TDP!X194+DTRVL!X194</f>
        <v>94749581699.996582</v>
      </c>
      <c r="Y194" s="147">
        <f>DTR!Y194+'Dai Loc'!Y194+'Dong Lam'!Y194+'Khanh Nga'!Y194+TDP!Y194+DTRVL!Y194</f>
        <v>86336513719.996582</v>
      </c>
      <c r="Z194" s="147">
        <f>DTR!Z194+'Dai Loc'!Z194+'Dong Lam'!Z194+'Khanh Nga'!Z194+TDP!Z194+DTRVL!Z194</f>
        <v>82814145673</v>
      </c>
    </row>
    <row r="195" spans="1:26" ht="15" customHeight="1">
      <c r="A195" s="170" t="s">
        <v>281</v>
      </c>
      <c r="B195" s="171">
        <v>40</v>
      </c>
      <c r="C195" s="172">
        <f>DTR!C195+'Dai Loc'!C195+'Dong Lam'!C195+'Khanh Nga'!C195+TDP!C195+DTRVL!C195</f>
        <v>-55279705</v>
      </c>
      <c r="D195" s="172">
        <f>DTR!D195+'Dai Loc'!D195+'Dong Lam'!D195+'Khanh Nga'!D195+TDP!D195+DTRVL!D195</f>
        <v>427077314</v>
      </c>
      <c r="E195" s="172">
        <f>DTR!E195+'Dai Loc'!E195+'Dong Lam'!E195+'Khanh Nga'!E195+TDP!E195+DTRVL!E195</f>
        <v>320017067</v>
      </c>
      <c r="F195" s="172">
        <f>DTR!F195+'Dai Loc'!F195+'Dong Lam'!F195+'Khanh Nga'!F195+TDP!F195+DTRVL!F195</f>
        <v>242395730</v>
      </c>
      <c r="G195" s="172">
        <f>DTR!G195+'Dai Loc'!G195+'Dong Lam'!G195+'Khanh Nga'!G195+TDP!G195+DTRVL!G195</f>
        <v>818581781</v>
      </c>
      <c r="H195" s="172">
        <f>DTR!H195+'Dai Loc'!H195+'Dong Lam'!H195+'Khanh Nga'!H195+TDP!H195+DTRVL!H195</f>
        <v>185223798</v>
      </c>
      <c r="I195" s="172">
        <f>DTR!I195+'Dai Loc'!I195+'Dong Lam'!I195+'Khanh Nga'!I195+TDP!I195+DTRVL!I195</f>
        <v>180874896</v>
      </c>
      <c r="J195" s="172">
        <f>DTR!J195+'Dai Loc'!J195+'Dong Lam'!J195+'Khanh Nga'!J195+TDP!J195+DTRVL!J195</f>
        <v>263960563</v>
      </c>
      <c r="K195" s="172">
        <f>DTR!K195+'Dai Loc'!K195+'Dong Lam'!K195+'Khanh Nga'!K195+TDP!K195+DTRVL!K195</f>
        <v>297048858</v>
      </c>
      <c r="L195" s="172">
        <f>DTR!L195+'Dai Loc'!L195+'Dong Lam'!L195+'Khanh Nga'!L195+TDP!L195+DTRVL!L195</f>
        <v>1429021178</v>
      </c>
      <c r="M195" s="172">
        <f>DTR!M195+'Dai Loc'!M195+'Dong Lam'!M195+'Khanh Nga'!M195+TDP!M195+DTRVL!M195</f>
        <v>522578257</v>
      </c>
      <c r="N195" s="172">
        <f>DTR!N195+'Dai Loc'!N195+'Dong Lam'!N195+'Khanh Nga'!N195+TDP!N195+DTRVL!N195</f>
        <v>1311270209</v>
      </c>
      <c r="O195" s="172">
        <f>DTR!O195+'Dai Loc'!O195+'Dong Lam'!O195+'Khanh Nga'!O195+TDP!O195+DTRVL!O195</f>
        <v>357780096</v>
      </c>
      <c r="P195" s="172">
        <f>DTR!P195+'Dai Loc'!P195+'Dong Lam'!P195+'Khanh Nga'!P195+TDP!P195+DTRVL!P195</f>
        <v>1275864519</v>
      </c>
      <c r="Q195" s="172">
        <f>DTR!Q195+'Dai Loc'!Q195+'Dong Lam'!Q195+'Khanh Nga'!Q195+TDP!Q195+DTRVL!Q195</f>
        <v>608968263</v>
      </c>
      <c r="R195" s="172">
        <f>DTR!R195+'Dai Loc'!R195+'Dong Lam'!R195+'Khanh Nga'!R195+TDP!R195+DTRVL!R195</f>
        <v>658231709</v>
      </c>
      <c r="S195" s="172">
        <f>DTR!S195+'Dai Loc'!S195+'Dong Lam'!S195+'Khanh Nga'!S195+TDP!S195+DTRVL!S195</f>
        <v>1643945913</v>
      </c>
      <c r="T195" s="172">
        <f>DTR!T195+'Dai Loc'!T195+'Dong Lam'!T195+'Khanh Nga'!T195+TDP!T195+DTRVL!T195</f>
        <v>645043805</v>
      </c>
      <c r="U195" s="172">
        <f>DTR!U195+'Dai Loc'!U195+'Dong Lam'!U195+'Khanh Nga'!U195+TDP!U195+DTRVL!U195</f>
        <v>757881624</v>
      </c>
      <c r="V195" s="172">
        <f>DTR!V195+'Dai Loc'!V195+'Dong Lam'!V195+'Khanh Nga'!V195+TDP!V195+DTRVL!V195</f>
        <v>621393506</v>
      </c>
      <c r="W195" s="172">
        <f>DTR!W195+'Dai Loc'!W195+'Dong Lam'!W195+'Khanh Nga'!W195+TDP!W195+DTRVL!W195</f>
        <v>844098636</v>
      </c>
      <c r="X195" s="172">
        <f>DTR!X195+'Dai Loc'!X195+'Dong Lam'!X195+'Khanh Nga'!X195+TDP!X195+DTRVL!X195</f>
        <v>1011211322</v>
      </c>
      <c r="Y195" s="172">
        <f>DTR!Y195+'Dai Loc'!Y195+'Dong Lam'!Y195+'Khanh Nga'!Y195+TDP!Y195+DTRVL!Y195</f>
        <v>120205688</v>
      </c>
      <c r="Z195" s="172">
        <f>DTR!Z195+'Dai Loc'!Z195+'Dong Lam'!Z195+'Khanh Nga'!Z195+TDP!Z195+DTRVL!Z195</f>
        <v>252471998</v>
      </c>
    </row>
    <row r="196" spans="1:26" ht="15" customHeight="1">
      <c r="A196" s="145" t="s">
        <v>282</v>
      </c>
      <c r="B196" s="146">
        <v>41</v>
      </c>
      <c r="C196" s="173">
        <f>DTR!C196+'Dai Loc'!C196+'Dong Lam'!C196+'Khanh Nga'!C196+TDP!C196+DTRVL!C196</f>
        <v>46633249759.996582</v>
      </c>
      <c r="D196" s="173">
        <f>DTR!D196+'Dai Loc'!D196+'Dong Lam'!D196+'Khanh Nga'!D196+TDP!D196+DTRVL!D196</f>
        <v>35851802773.996582</v>
      </c>
      <c r="E196" s="173">
        <f>DTR!E196+'Dai Loc'!E196+'Dong Lam'!E196+'Khanh Nga'!E196+TDP!E196+DTRVL!E196</f>
        <v>26393055916.996582</v>
      </c>
      <c r="F196" s="173">
        <f>DTR!F196+'Dai Loc'!F196+'Dong Lam'!F196+'Khanh Nga'!F196+TDP!F196+DTRVL!F196</f>
        <v>34593153166.996582</v>
      </c>
      <c r="G196" s="173">
        <f>DTR!G196+'Dai Loc'!G196+'Dong Lam'!G196+'Khanh Nga'!G196+TDP!G196+DTRVL!G196</f>
        <v>33199136311.996582</v>
      </c>
      <c r="H196" s="173">
        <f>DTR!H196+'Dai Loc'!H196+'Dong Lam'!H196+'Khanh Nga'!H196+TDP!H196+DTRVL!H196</f>
        <v>19638634541.996582</v>
      </c>
      <c r="I196" s="173">
        <f>DTR!I196+'Dai Loc'!I196+'Dong Lam'!I196+'Khanh Nga'!I196+TDP!I196+DTRVL!I196</f>
        <v>56271006189.996582</v>
      </c>
      <c r="J196" s="173">
        <f>DTR!J196+'Dai Loc'!J196+'Dong Lam'!J196+'Khanh Nga'!J196+TDP!J196+DTRVL!J196</f>
        <v>35429490169.996582</v>
      </c>
      <c r="K196" s="173">
        <f>DTR!K196+'Dai Loc'!K196+'Dong Lam'!K196+'Khanh Nga'!K196+TDP!K196+DTRVL!K196</f>
        <v>48429525474.996582</v>
      </c>
      <c r="L196" s="173">
        <f>DTR!L196+'Dai Loc'!L196+'Dong Lam'!L196+'Khanh Nga'!L196+TDP!L196+DTRVL!L196</f>
        <v>78014775933.996582</v>
      </c>
      <c r="M196" s="173">
        <f>DTR!M196+'Dai Loc'!M196+'Dong Lam'!M196+'Khanh Nga'!M196+TDP!M196+DTRVL!M196</f>
        <v>81105192016</v>
      </c>
      <c r="N196" s="173">
        <f>DTR!N196+'Dai Loc'!N196+'Dong Lam'!N196+'Khanh Nga'!N196+TDP!N196+DTRVL!N196</f>
        <v>78515947311</v>
      </c>
      <c r="O196" s="173">
        <f>DTR!O196+'Dai Loc'!O196+'Dong Lam'!O196+'Khanh Nga'!O196+TDP!O196+DTRVL!O196</f>
        <v>108757458296.99669</v>
      </c>
      <c r="P196" s="173">
        <f>DTR!P196+'Dai Loc'!P196+'Dong Lam'!P196+'Khanh Nga'!P196+TDP!P196+DTRVL!P196</f>
        <v>63047560921.996582</v>
      </c>
      <c r="Q196" s="173">
        <f>DTR!Q196+'Dai Loc'!Q196+'Dong Lam'!Q196+'Khanh Nga'!Q196+TDP!Q196+DTRVL!Q196</f>
        <v>57546333331.996582</v>
      </c>
      <c r="R196" s="173">
        <f>DTR!R196+'Dai Loc'!R196+'Dong Lam'!R196+'Khanh Nga'!R196+TDP!R196+DTRVL!R196</f>
        <v>72781093894.996582</v>
      </c>
      <c r="S196" s="173">
        <f>DTR!S196+'Dai Loc'!S196+'Dong Lam'!S196+'Khanh Nga'!S196+TDP!S196+DTRVL!S196</f>
        <v>53850392377.996582</v>
      </c>
      <c r="T196" s="173">
        <f>DTR!T196+'Dai Loc'!T196+'Dong Lam'!T196+'Khanh Nga'!T196+TDP!T196+DTRVL!T196</f>
        <v>47310681041.996582</v>
      </c>
      <c r="U196" s="173">
        <f>DTR!U196+'Dai Loc'!U196+'Dong Lam'!U196+'Khanh Nga'!U196+TDP!U196+DTRVL!U196</f>
        <v>46943683939.996681</v>
      </c>
      <c r="V196" s="173">
        <f>DTR!V196+'Dai Loc'!V196+'Dong Lam'!V196+'Khanh Nga'!V196+TDP!V196+DTRVL!V196</f>
        <v>52760383889.996681</v>
      </c>
      <c r="W196" s="173">
        <f>DTR!W196+'Dai Loc'!W196+'Dong Lam'!W196+'Khanh Nga'!W196+TDP!W196+DTRVL!W196</f>
        <v>94749581699.996582</v>
      </c>
      <c r="X196" s="173">
        <f>DTR!X196+'Dai Loc'!X196+'Dong Lam'!X196+'Khanh Nga'!X196+TDP!X196+DTRVL!X196</f>
        <v>86336513719.996582</v>
      </c>
      <c r="Y196" s="173">
        <f>DTR!Y196+'Dai Loc'!Y196+'Dong Lam'!Y196+'Khanh Nga'!Y196+TDP!Y196+DTRVL!Y196</f>
        <v>82814145672.996582</v>
      </c>
      <c r="Z196" s="173">
        <f>DTR!Z196+'Dai Loc'!Z196+'Dong Lam'!Z196+'Khanh Nga'!Z196+TDP!Z196+DTRVL!Z196</f>
        <v>63226156108</v>
      </c>
    </row>
    <row r="197" spans="1:26" ht="15" customHeight="1">
      <c r="C197" s="175">
        <f t="shared" ref="C197:Z197" si="13">C7-C196</f>
        <v>3.41796875E-3</v>
      </c>
      <c r="D197" s="175">
        <f t="shared" si="13"/>
        <v>3.41796875E-3</v>
      </c>
      <c r="E197" s="175">
        <f t="shared" si="13"/>
        <v>3.41796875E-3</v>
      </c>
      <c r="F197" s="175">
        <f t="shared" si="13"/>
        <v>3.41796875E-3</v>
      </c>
      <c r="G197" s="175">
        <f t="shared" si="13"/>
        <v>3.41796875E-3</v>
      </c>
      <c r="H197" s="175">
        <f t="shared" si="13"/>
        <v>3.41796875E-3</v>
      </c>
      <c r="I197" s="175">
        <f t="shared" si="13"/>
        <v>3.41796875E-3</v>
      </c>
      <c r="J197" s="175">
        <f t="shared" si="13"/>
        <v>3.41796875E-3</v>
      </c>
      <c r="K197" s="175">
        <f t="shared" si="13"/>
        <v>3.41796875E-3</v>
      </c>
      <c r="L197" s="175">
        <f t="shared" si="13"/>
        <v>3.41796875E-3</v>
      </c>
      <c r="M197" s="175">
        <f t="shared" si="13"/>
        <v>0</v>
      </c>
      <c r="N197" s="175">
        <f t="shared" si="13"/>
        <v>0</v>
      </c>
      <c r="O197" s="175">
        <f t="shared" si="13"/>
        <v>3.3111572265625E-3</v>
      </c>
      <c r="P197" s="175">
        <f t="shared" si="13"/>
        <v>3.41796875E-3</v>
      </c>
      <c r="Q197" s="175">
        <f t="shared" si="13"/>
        <v>3.41796875E-3</v>
      </c>
      <c r="R197" s="175">
        <f t="shared" si="13"/>
        <v>3.41796875E-3</v>
      </c>
      <c r="S197" s="175">
        <f t="shared" si="13"/>
        <v>3.41796875E-3</v>
      </c>
      <c r="T197" s="175">
        <f t="shared" si="13"/>
        <v>3.41796875E-3</v>
      </c>
      <c r="U197" s="175">
        <f t="shared" si="13"/>
        <v>3.31878662109375E-3</v>
      </c>
      <c r="V197" s="175">
        <f t="shared" si="13"/>
        <v>3.31878662109375E-3</v>
      </c>
      <c r="W197" s="175">
        <f t="shared" si="13"/>
        <v>3.41796875E-3</v>
      </c>
      <c r="X197" s="175">
        <f t="shared" si="13"/>
        <v>3.41796875E-3</v>
      </c>
      <c r="Y197" s="175">
        <f t="shared" si="13"/>
        <v>3.41796875E-3</v>
      </c>
      <c r="Z197" s="175">
        <f t="shared" si="13"/>
        <v>0</v>
      </c>
    </row>
    <row r="198" spans="1:26" ht="15" customHeight="1">
      <c r="A198" s="176" t="s">
        <v>283</v>
      </c>
      <c r="B198" s="177" t="s">
        <v>284</v>
      </c>
      <c r="C198" s="53" t="s">
        <v>66</v>
      </c>
      <c r="D198" s="53" t="s">
        <v>67</v>
      </c>
      <c r="E198" s="53" t="s">
        <v>68</v>
      </c>
      <c r="F198" s="53" t="s">
        <v>69</v>
      </c>
      <c r="G198" s="53" t="s">
        <v>70</v>
      </c>
      <c r="H198" s="53" t="s">
        <v>71</v>
      </c>
      <c r="I198" s="53" t="s">
        <v>72</v>
      </c>
      <c r="J198" s="53" t="s">
        <v>73</v>
      </c>
      <c r="K198" s="53" t="s">
        <v>74</v>
      </c>
      <c r="L198" s="53" t="s">
        <v>75</v>
      </c>
      <c r="M198" s="53" t="s">
        <v>76</v>
      </c>
      <c r="N198" s="53" t="s">
        <v>77</v>
      </c>
      <c r="O198" s="53" t="s">
        <v>78</v>
      </c>
      <c r="P198" s="53" t="s">
        <v>79</v>
      </c>
      <c r="Q198" s="53" t="s">
        <v>80</v>
      </c>
      <c r="R198" s="53" t="s">
        <v>81</v>
      </c>
      <c r="S198" s="53" t="s">
        <v>82</v>
      </c>
      <c r="T198" s="53" t="s">
        <v>83</v>
      </c>
      <c r="U198" s="53" t="s">
        <v>84</v>
      </c>
      <c r="V198" s="53" t="s">
        <v>85</v>
      </c>
      <c r="W198" s="53" t="s">
        <v>86</v>
      </c>
      <c r="X198" s="53" t="s">
        <v>87</v>
      </c>
      <c r="Y198" s="53" t="s">
        <v>88</v>
      </c>
      <c r="Z198" s="53" t="s">
        <v>89</v>
      </c>
    </row>
    <row r="199" spans="1:26" ht="15" customHeight="1">
      <c r="A199" s="178" t="s">
        <v>285</v>
      </c>
      <c r="B199" s="179">
        <v>1</v>
      </c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spans="1:26" ht="15" customHeight="1">
      <c r="A200" s="178" t="s">
        <v>286</v>
      </c>
      <c r="B200" s="179">
        <v>2</v>
      </c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spans="1:26" ht="15" customHeight="1">
      <c r="A201" s="178" t="s">
        <v>287</v>
      </c>
      <c r="B201" s="179">
        <v>3</v>
      </c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spans="1:26" ht="15" customHeight="1">
      <c r="A202" s="178" t="s">
        <v>288</v>
      </c>
      <c r="B202" s="179">
        <v>4</v>
      </c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spans="1:26" ht="15" customHeight="1">
      <c r="A203" s="178" t="s">
        <v>289</v>
      </c>
      <c r="B203" s="179">
        <v>5</v>
      </c>
      <c r="C203" s="180">
        <f t="shared" ref="C203:Z205" si="14">C134</f>
        <v>5108.3249999999998</v>
      </c>
      <c r="D203" s="180">
        <f t="shared" si="14"/>
        <v>3038.375</v>
      </c>
      <c r="E203" s="180">
        <f t="shared" si="14"/>
        <v>4394.3999999999996</v>
      </c>
      <c r="F203" s="180">
        <f t="shared" si="14"/>
        <v>4434.75</v>
      </c>
      <c r="G203" s="180">
        <f t="shared" si="14"/>
        <v>4827.2020000000002</v>
      </c>
      <c r="H203" s="180">
        <f t="shared" si="14"/>
        <v>3532.75</v>
      </c>
      <c r="I203" s="180">
        <f t="shared" si="14"/>
        <v>2953.134</v>
      </c>
      <c r="J203" s="180">
        <f t="shared" si="14"/>
        <v>5764.9472000000005</v>
      </c>
      <c r="K203" s="180">
        <f t="shared" si="14"/>
        <v>5789.67</v>
      </c>
      <c r="L203" s="180">
        <f t="shared" si="14"/>
        <v>4984.4519999999993</v>
      </c>
      <c r="M203" s="180">
        <f t="shared" si="14"/>
        <v>3194.5280000000002</v>
      </c>
      <c r="N203" s="180">
        <f t="shared" si="14"/>
        <v>3774.598</v>
      </c>
      <c r="O203" s="180">
        <f t="shared" si="14"/>
        <v>4258.8942999999999</v>
      </c>
      <c r="P203" s="180">
        <f t="shared" si="14"/>
        <v>6515.8540000000003</v>
      </c>
      <c r="Q203" s="180">
        <f t="shared" si="14"/>
        <v>6300.7350000000006</v>
      </c>
      <c r="R203" s="180">
        <f t="shared" si="14"/>
        <v>5577.3580000000002</v>
      </c>
      <c r="S203" s="180">
        <f t="shared" si="14"/>
        <v>6392.2473</v>
      </c>
      <c r="T203" s="180">
        <f t="shared" si="14"/>
        <v>5760.2290000000012</v>
      </c>
      <c r="U203" s="180">
        <f t="shared" si="14"/>
        <v>7068.0580999999993</v>
      </c>
      <c r="V203" s="180">
        <f t="shared" si="14"/>
        <v>7721.48</v>
      </c>
      <c r="W203" s="180">
        <f t="shared" si="14"/>
        <v>4903.9949999999999</v>
      </c>
      <c r="X203" s="180">
        <f t="shared" si="14"/>
        <v>5219.4869999999992</v>
      </c>
      <c r="Y203" s="180">
        <f t="shared" si="14"/>
        <v>3877.415</v>
      </c>
      <c r="Z203" s="180">
        <f t="shared" si="14"/>
        <v>4601</v>
      </c>
    </row>
    <row r="204" spans="1:26" ht="15" customHeight="1">
      <c r="A204" s="181" t="s">
        <v>290</v>
      </c>
      <c r="B204" s="182">
        <v>6</v>
      </c>
      <c r="C204" s="183">
        <f t="shared" si="14"/>
        <v>130037940981</v>
      </c>
      <c r="D204" s="183">
        <f t="shared" si="14"/>
        <v>84645791256</v>
      </c>
      <c r="E204" s="183">
        <f t="shared" si="14"/>
        <v>115625416433</v>
      </c>
      <c r="F204" s="183">
        <f t="shared" si="14"/>
        <v>117647266094</v>
      </c>
      <c r="G204" s="183">
        <f t="shared" si="14"/>
        <v>128085507494</v>
      </c>
      <c r="H204" s="183">
        <f t="shared" si="14"/>
        <v>95661572209</v>
      </c>
      <c r="I204" s="183">
        <f t="shared" si="14"/>
        <v>74679662458</v>
      </c>
      <c r="J204" s="183">
        <f t="shared" si="14"/>
        <v>178936926222</v>
      </c>
      <c r="K204" s="183">
        <f t="shared" si="14"/>
        <v>180140886766</v>
      </c>
      <c r="L204" s="183">
        <f t="shared" si="14"/>
        <v>143211413018</v>
      </c>
      <c r="M204" s="183">
        <f t="shared" si="14"/>
        <v>97197472020</v>
      </c>
      <c r="N204" s="183">
        <f t="shared" si="14"/>
        <v>128687104846</v>
      </c>
      <c r="O204" s="183">
        <f t="shared" si="14"/>
        <v>126379322139</v>
      </c>
      <c r="P204" s="183">
        <f t="shared" si="14"/>
        <v>207207177534</v>
      </c>
      <c r="Q204" s="183">
        <f t="shared" si="14"/>
        <v>181430837221</v>
      </c>
      <c r="R204" s="183">
        <f t="shared" si="14"/>
        <v>158008365446</v>
      </c>
      <c r="S204" s="183">
        <f t="shared" si="14"/>
        <v>187024821170</v>
      </c>
      <c r="T204" s="183">
        <f t="shared" si="14"/>
        <v>159411514790</v>
      </c>
      <c r="U204" s="183">
        <f t="shared" si="14"/>
        <v>186280242939</v>
      </c>
      <c r="V204" s="183">
        <f t="shared" si="14"/>
        <v>216574896958</v>
      </c>
      <c r="W204" s="183">
        <f t="shared" si="14"/>
        <v>126838741253</v>
      </c>
      <c r="X204" s="183">
        <f t="shared" si="14"/>
        <v>138182161108</v>
      </c>
      <c r="Y204" s="183">
        <f t="shared" si="14"/>
        <v>109718867086</v>
      </c>
      <c r="Z204" s="183">
        <f t="shared" si="14"/>
        <v>127334240251</v>
      </c>
    </row>
    <row r="205" spans="1:26" ht="15" customHeight="1">
      <c r="A205" s="184" t="s">
        <v>291</v>
      </c>
      <c r="B205" s="185">
        <v>7</v>
      </c>
      <c r="C205" s="186">
        <f t="shared" si="14"/>
        <v>0</v>
      </c>
      <c r="D205" s="186">
        <f t="shared" si="14"/>
        <v>1166125000</v>
      </c>
      <c r="E205" s="186">
        <f t="shared" si="14"/>
        <v>0</v>
      </c>
      <c r="F205" s="186">
        <f t="shared" si="14"/>
        <v>0</v>
      </c>
      <c r="G205" s="186">
        <f t="shared" si="14"/>
        <v>136455000</v>
      </c>
      <c r="H205" s="186">
        <f t="shared" si="14"/>
        <v>0</v>
      </c>
      <c r="I205" s="186">
        <f t="shared" si="14"/>
        <v>0</v>
      </c>
      <c r="J205" s="186">
        <f t="shared" si="14"/>
        <v>6345077301</v>
      </c>
      <c r="K205" s="186">
        <f t="shared" si="14"/>
        <v>4671587529</v>
      </c>
      <c r="L205" s="186">
        <f t="shared" si="14"/>
        <v>2922205276</v>
      </c>
      <c r="M205" s="186">
        <f t="shared" si="14"/>
        <v>49359030</v>
      </c>
      <c r="N205" s="186">
        <f t="shared" si="14"/>
        <v>4680420540</v>
      </c>
      <c r="O205" s="186">
        <f t="shared" si="14"/>
        <v>513935495</v>
      </c>
      <c r="P205" s="186">
        <f t="shared" si="14"/>
        <v>477877176</v>
      </c>
      <c r="Q205" s="186">
        <f t="shared" si="14"/>
        <v>477350452</v>
      </c>
      <c r="R205" s="186">
        <f t="shared" si="14"/>
        <v>304590498</v>
      </c>
      <c r="S205" s="186">
        <f t="shared" si="14"/>
        <v>1607115262</v>
      </c>
      <c r="T205" s="186">
        <f t="shared" si="14"/>
        <v>708638196</v>
      </c>
      <c r="U205" s="186">
        <f t="shared" si="14"/>
        <v>26953743</v>
      </c>
      <c r="V205" s="186">
        <f t="shared" si="14"/>
        <v>1000293545</v>
      </c>
      <c r="W205" s="186">
        <f t="shared" si="14"/>
        <v>6773818500</v>
      </c>
      <c r="X205" s="186">
        <f t="shared" si="14"/>
        <v>0</v>
      </c>
      <c r="Y205" s="186">
        <f t="shared" si="14"/>
        <v>1479093000</v>
      </c>
      <c r="Z205" s="186">
        <f t="shared" si="14"/>
        <v>-573868680</v>
      </c>
    </row>
    <row r="206" spans="1:26" ht="15" customHeight="1">
      <c r="A206" s="184" t="s">
        <v>292</v>
      </c>
      <c r="B206" s="185">
        <v>8</v>
      </c>
      <c r="C206" s="187">
        <f t="shared" ref="C206:Z206" si="15">IFERROR(C205/C204,"")</f>
        <v>0</v>
      </c>
      <c r="D206" s="187">
        <f t="shared" si="15"/>
        <v>1.3776526661239531E-2</v>
      </c>
      <c r="E206" s="187">
        <f t="shared" si="15"/>
        <v>0</v>
      </c>
      <c r="F206" s="187">
        <f t="shared" si="15"/>
        <v>0</v>
      </c>
      <c r="G206" s="187">
        <f t="shared" si="15"/>
        <v>1.0653430092892597E-3</v>
      </c>
      <c r="H206" s="187">
        <f t="shared" si="15"/>
        <v>0</v>
      </c>
      <c r="I206" s="187">
        <f t="shared" si="15"/>
        <v>0</v>
      </c>
      <c r="J206" s="187">
        <f t="shared" si="15"/>
        <v>3.5459854122719826E-2</v>
      </c>
      <c r="K206" s="187">
        <f t="shared" si="15"/>
        <v>2.593296620699061E-2</v>
      </c>
      <c r="L206" s="187">
        <f t="shared" si="15"/>
        <v>2.0404835162353387E-2</v>
      </c>
      <c r="M206" s="187">
        <f t="shared" si="15"/>
        <v>5.0782215806850978E-4</v>
      </c>
      <c r="N206" s="187">
        <f t="shared" si="15"/>
        <v>3.6370548126022917E-2</v>
      </c>
      <c r="O206" s="187">
        <f t="shared" si="15"/>
        <v>4.0666106314033012E-3</v>
      </c>
      <c r="P206" s="187">
        <f t="shared" si="15"/>
        <v>2.3062771361845639E-3</v>
      </c>
      <c r="Q206" s="187">
        <f t="shared" si="15"/>
        <v>2.6310326254987281E-3</v>
      </c>
      <c r="R206" s="187">
        <f t="shared" si="15"/>
        <v>1.9276858990361181E-3</v>
      </c>
      <c r="S206" s="187">
        <f t="shared" si="15"/>
        <v>8.5930586750257078E-3</v>
      </c>
      <c r="T206" s="187">
        <f t="shared" si="15"/>
        <v>4.4453388259532017E-3</v>
      </c>
      <c r="U206" s="187">
        <f t="shared" si="15"/>
        <v>1.4469458797531401E-4</v>
      </c>
      <c r="V206" s="187">
        <f t="shared" si="15"/>
        <v>4.6186956985785161E-3</v>
      </c>
      <c r="W206" s="187">
        <f t="shared" si="15"/>
        <v>5.3404964706237061E-2</v>
      </c>
      <c r="X206" s="187">
        <f t="shared" si="15"/>
        <v>0</v>
      </c>
      <c r="Y206" s="187">
        <f t="shared" si="15"/>
        <v>1.3480753486459673E-2</v>
      </c>
      <c r="Z206" s="187">
        <f t="shared" si="15"/>
        <v>-4.5067899951246083E-3</v>
      </c>
    </row>
    <row r="207" spans="1:26" ht="15" customHeight="1">
      <c r="A207" s="181" t="s">
        <v>293</v>
      </c>
      <c r="B207" s="182">
        <v>9</v>
      </c>
      <c r="C207" s="188">
        <f t="shared" ref="C207:Z207" si="16">C137</f>
        <v>130037940981</v>
      </c>
      <c r="D207" s="188">
        <f t="shared" si="16"/>
        <v>83479666256</v>
      </c>
      <c r="E207" s="188">
        <f t="shared" si="16"/>
        <v>115625416433</v>
      </c>
      <c r="F207" s="188">
        <f t="shared" si="16"/>
        <v>117647266094</v>
      </c>
      <c r="G207" s="188">
        <f t="shared" si="16"/>
        <v>127949052494</v>
      </c>
      <c r="H207" s="188">
        <f t="shared" si="16"/>
        <v>95661572209</v>
      </c>
      <c r="I207" s="188">
        <f t="shared" si="16"/>
        <v>74679662458</v>
      </c>
      <c r="J207" s="188">
        <f t="shared" si="16"/>
        <v>172591848921</v>
      </c>
      <c r="K207" s="188">
        <f t="shared" si="16"/>
        <v>175469299237</v>
      </c>
      <c r="L207" s="188">
        <f t="shared" si="16"/>
        <v>140289207742</v>
      </c>
      <c r="M207" s="188">
        <f t="shared" si="16"/>
        <v>97148112990</v>
      </c>
      <c r="N207" s="188">
        <f t="shared" si="16"/>
        <v>124006684306</v>
      </c>
      <c r="O207" s="188">
        <f t="shared" si="16"/>
        <v>125865386644</v>
      </c>
      <c r="P207" s="188">
        <f t="shared" si="16"/>
        <v>206729300358</v>
      </c>
      <c r="Q207" s="188">
        <f t="shared" si="16"/>
        <v>180953486769</v>
      </c>
      <c r="R207" s="188">
        <f t="shared" si="16"/>
        <v>157703774948</v>
      </c>
      <c r="S207" s="188">
        <f t="shared" si="16"/>
        <v>185417705908</v>
      </c>
      <c r="T207" s="188">
        <f t="shared" si="16"/>
        <v>158702876594</v>
      </c>
      <c r="U207" s="188">
        <f t="shared" si="16"/>
        <v>186253289196</v>
      </c>
      <c r="V207" s="188">
        <f t="shared" si="16"/>
        <v>215574603413</v>
      </c>
      <c r="W207" s="188">
        <f t="shared" si="16"/>
        <v>120064922753</v>
      </c>
      <c r="X207" s="188">
        <f t="shared" si="16"/>
        <v>138182161108</v>
      </c>
      <c r="Y207" s="188">
        <f t="shared" si="16"/>
        <v>108239774086</v>
      </c>
      <c r="Z207" s="188">
        <f t="shared" si="16"/>
        <v>127908108931</v>
      </c>
    </row>
    <row r="208" spans="1:26" ht="15" customHeight="1">
      <c r="A208" s="178" t="s">
        <v>294</v>
      </c>
      <c r="B208" s="179">
        <v>10</v>
      </c>
      <c r="C208" s="189">
        <f>TDP!C208+'Dai Loc'!C208+'Khanh Nga'!C208+'Dong Lam'!C208+DTR!C208+DTRVL!C208</f>
        <v>63344586092</v>
      </c>
      <c r="D208" s="189">
        <f>TDP!D208+'Dai Loc'!D208+'Khanh Nga'!D208+'Dong Lam'!D208+DTR!D208+DTRVL!D208</f>
        <v>30529252055</v>
      </c>
      <c r="E208" s="189">
        <f>TDP!E208+'Dai Loc'!E208+'Khanh Nga'!E208+'Dong Lam'!E208+DTR!E208+DTRVL!E208</f>
        <v>56313461950</v>
      </c>
      <c r="F208" s="189">
        <f>TDP!F208+'Dai Loc'!F208+'Khanh Nga'!F208+'Dong Lam'!F208+DTR!F208+DTRVL!F208</f>
        <v>70145350000</v>
      </c>
      <c r="G208" s="189">
        <f>TDP!G208+'Dai Loc'!G208+'Khanh Nga'!G208+'Dong Lam'!G208+DTR!G208+DTRVL!G208</f>
        <v>31248110080</v>
      </c>
      <c r="H208" s="189">
        <f>TDP!H208+'Dai Loc'!H208+'Khanh Nga'!H208+'Dong Lam'!H208+DTR!H208+DTRVL!H208</f>
        <v>7753736540</v>
      </c>
      <c r="I208" s="189">
        <f>TDP!I208+'Dai Loc'!I208+'Khanh Nga'!I208+'Dong Lam'!I208+DTR!I208+DTRVL!I208</f>
        <v>32497915104</v>
      </c>
      <c r="J208" s="189">
        <f>TDP!J208+'Dai Loc'!J208+'Khanh Nga'!J208+'Dong Lam'!J208+DTR!J208+DTRVL!J208</f>
        <v>100596695257</v>
      </c>
      <c r="K208" s="189">
        <f>TDP!K208+'Dai Loc'!K208+'Khanh Nga'!K208+'Dong Lam'!K208+DTR!K208+DTRVL!K208</f>
        <v>108890762068</v>
      </c>
      <c r="L208" s="189">
        <f>TDP!L208+'Dai Loc'!L208+'Khanh Nga'!L208+'Dong Lam'!L208+DTR!L208+DTRVL!L208</f>
        <v>64644001972</v>
      </c>
      <c r="M208" s="189">
        <f>TDP!M208+'Dai Loc'!M208+'Khanh Nga'!M208+'Dong Lam'!M208+DTR!M208+DTRVL!M208</f>
        <v>19227811548</v>
      </c>
      <c r="N208" s="189">
        <f>TDP!N208+'Dai Loc'!N208+'Khanh Nga'!N208+'Dong Lam'!N208+DTR!N208+DTRVL!N208</f>
        <v>38250151385</v>
      </c>
      <c r="O208" s="189">
        <f>TDP!O208+'Dai Loc'!O208+'Khanh Nga'!O208+'Dong Lam'!O208+DTR!O208+DTRVL!O208</f>
        <v>82123174705</v>
      </c>
      <c r="P208" s="189">
        <f>TDP!P208+'Dai Loc'!P208+'Khanh Nga'!P208+'Dong Lam'!P208+DTR!P208+DTRVL!P208</f>
        <v>127754884829</v>
      </c>
      <c r="Q208" s="189">
        <f>TDP!Q208+'Dai Loc'!Q208+'Khanh Nga'!Q208+'Dong Lam'!Q208+DTR!Q208+DTRVL!Q208</f>
        <v>103667980875</v>
      </c>
      <c r="R208" s="189">
        <f>TDP!R208+'Dai Loc'!R208+'Khanh Nga'!R208+'Dong Lam'!R208+DTR!R208+DTRVL!R208</f>
        <v>89699052245</v>
      </c>
      <c r="S208" s="189">
        <f>TDP!S208+'Dai Loc'!S208+'Khanh Nga'!S208+'Dong Lam'!S208+DTR!S208+DTRVL!S208</f>
        <v>114824058990</v>
      </c>
      <c r="T208" s="189">
        <f>TDP!T208+'Dai Loc'!T208+'Khanh Nga'!T208+'Dong Lam'!T208+DTR!T208+DTRVL!T208</f>
        <v>70054412500</v>
      </c>
      <c r="U208" s="189">
        <f>TDP!U208+'Dai Loc'!U208+'Khanh Nga'!U208+'Dong Lam'!U208+DTR!U208+DTRVL!U208</f>
        <v>88123126474</v>
      </c>
      <c r="V208" s="189">
        <f>TDP!V208+'Dai Loc'!V208+'Khanh Nga'!V208+'Dong Lam'!V208+DTR!V208+DTRVL!V208</f>
        <v>94069028914</v>
      </c>
      <c r="W208" s="189">
        <f>TDP!W208+'Dai Loc'!W208+'Khanh Nga'!W208+'Dong Lam'!W208+DTR!W208+DTRVL!W208</f>
        <v>24953975916</v>
      </c>
      <c r="X208" s="189">
        <f>TDP!X208+'Dai Loc'!X208+'Khanh Nga'!X208+'Dong Lam'!X208+DTR!X208+DTRVL!X208</f>
        <v>27056388040</v>
      </c>
      <c r="Y208" s="189">
        <f>TDP!Y208+'Dai Loc'!Y208+'Khanh Nga'!Y208+'Dong Lam'!Y208+DTR!Y208+DTRVL!Y208</f>
        <v>21625208400</v>
      </c>
      <c r="Z208" s="189">
        <f>TDP!Z208+'Dai Loc'!Z208+'Khanh Nga'!Z208+'Dong Lam'!Z208+DTR!Z208+DTRVL!Z208</f>
        <v>30893476900</v>
      </c>
    </row>
    <row r="209" spans="1:26" ht="15" customHeight="1">
      <c r="A209" s="178" t="s">
        <v>295</v>
      </c>
      <c r="B209" s="179">
        <v>11</v>
      </c>
      <c r="C209" s="189">
        <f>TDP!C209+'Dai Loc'!C209+'Khanh Nga'!C209+'Dong Lam'!C209+DTR!C209+DTRVL!C209</f>
        <v>66525131089</v>
      </c>
      <c r="D209" s="189">
        <f>TDP!D209+'Dai Loc'!D209+'Khanh Nga'!D209+'Dong Lam'!D209+DTR!D209+DTRVL!D209</f>
        <v>51933728920</v>
      </c>
      <c r="E209" s="189">
        <f>TDP!E209+'Dai Loc'!E209+'Khanh Nga'!E209+'Dong Lam'!E209+DTR!E209+DTRVL!E209</f>
        <v>59311954483</v>
      </c>
      <c r="F209" s="189">
        <f>TDP!F209+'Dai Loc'!F209+'Khanh Nga'!F209+'Dong Lam'!F209+DTR!F209+DTRVL!F209</f>
        <v>47501916094</v>
      </c>
      <c r="G209" s="189">
        <f>TDP!G209+'Dai Loc'!G209+'Khanh Nga'!G209+'Dong Lam'!G209+DTR!G209+DTRVL!G209</f>
        <v>96700942414</v>
      </c>
      <c r="H209" s="189">
        <f>TDP!H209+'Dai Loc'!H209+'Khanh Nga'!H209+'Dong Lam'!H209+DTR!H209+DTRVL!H209</f>
        <v>87321835669</v>
      </c>
      <c r="I209" s="189">
        <f>TDP!I209+'Dai Loc'!I209+'Khanh Nga'!I209+'Dong Lam'!I209+DTR!I209+DTRVL!I209</f>
        <v>42181747354</v>
      </c>
      <c r="J209" s="189">
        <f>TDP!J209+'Dai Loc'!J209+'Khanh Nga'!J209+'Dong Lam'!J209+DTR!J209+DTRVL!J209</f>
        <v>71995153664</v>
      </c>
      <c r="K209" s="189">
        <f>TDP!K209+'Dai Loc'!K209+'Khanh Nga'!K209+'Dong Lam'!K209+DTR!K209+DTRVL!K209</f>
        <v>55116426484</v>
      </c>
      <c r="L209" s="189">
        <f>TDP!L209+'Dai Loc'!L209+'Khanh Nga'!L209+'Dong Lam'!L209+DTR!L209+DTRVL!L209</f>
        <v>75645205770</v>
      </c>
      <c r="M209" s="189">
        <f>TDP!M209+'Dai Loc'!M209+'Khanh Nga'!M209+'Dong Lam'!M209+DTR!M209+DTRVL!M209</f>
        <v>72198076823</v>
      </c>
      <c r="N209" s="189">
        <f>TDP!N209+'Dai Loc'!N209+'Khanh Nga'!N209+'Dong Lam'!N209+DTR!N209+DTRVL!N209</f>
        <v>70937228507</v>
      </c>
      <c r="O209" s="189">
        <f>TDP!O209+'Dai Loc'!O209+'Khanh Nga'!O209+'Dong Lam'!O209+DTR!O209+DTRVL!O209</f>
        <v>43742211939</v>
      </c>
      <c r="P209" s="189">
        <f>TDP!P209+'Dai Loc'!P209+'Khanh Nga'!P209+'Dong Lam'!P209+DTR!P209+DTRVL!P209</f>
        <v>78974415529</v>
      </c>
      <c r="Q209" s="189">
        <f>TDP!Q209+'Dai Loc'!Q209+'Khanh Nga'!Q209+'Dong Lam'!Q209+DTR!Q209+DTRVL!Q209</f>
        <v>77106133292</v>
      </c>
      <c r="R209" s="189">
        <f>TDP!R209+'Dai Loc'!R209+'Khanh Nga'!R209+'Dong Lam'!R209+DTR!R209+DTRVL!R209</f>
        <v>68004722703</v>
      </c>
      <c r="S209" s="189">
        <f>TDP!S209+'Dai Loc'!S209+'Khanh Nga'!S209+'Dong Lam'!S209+DTR!S209+DTRVL!S209</f>
        <v>70593646918</v>
      </c>
      <c r="T209" s="189">
        <f>TDP!T209+'Dai Loc'!T209+'Khanh Nga'!T209+'Dong Lam'!T209+DTR!T209+DTRVL!T209</f>
        <v>88648464094</v>
      </c>
      <c r="U209" s="189">
        <f>TDP!U209+'Dai Loc'!U209+'Khanh Nga'!U209+'Dong Lam'!U209+DTR!U209+DTRVL!U209</f>
        <v>98130162722</v>
      </c>
      <c r="V209" s="189">
        <f>TDP!V209+'Dai Loc'!V209+'Khanh Nga'!V209+'Dong Lam'!V209+DTR!V209+DTRVL!V209</f>
        <v>121323380852</v>
      </c>
      <c r="W209" s="189">
        <f>TDP!W209+'Dai Loc'!W209+'Khanh Nga'!W209+'Dong Lam'!W209+DTR!W209+DTRVL!W209</f>
        <v>93692590037</v>
      </c>
      <c r="X209" s="189">
        <f>TDP!X209+'Dai Loc'!X209+'Khanh Nga'!X209+'Dong Lam'!X209+DTR!X209+DTRVL!X209</f>
        <v>101370826668</v>
      </c>
      <c r="Y209" s="189">
        <f>TDP!Y209+'Dai Loc'!Y209+'Khanh Nga'!Y209+'Dong Lam'!Y209+DTR!Y209+DTRVL!Y209</f>
        <v>83219314485</v>
      </c>
      <c r="Z209" s="189">
        <f>TDP!Z209+'Dai Loc'!Z209+'Khanh Nga'!Z209+'Dong Lam'!Z209+DTR!Z209+DTRVL!Z209</f>
        <v>88719344531</v>
      </c>
    </row>
    <row r="210" spans="1:26" ht="15" customHeight="1">
      <c r="A210" s="178" t="s">
        <v>296</v>
      </c>
      <c r="B210" s="179">
        <v>12</v>
      </c>
      <c r="C210" s="189">
        <f>TDP!C210+'Dai Loc'!C210+'Khanh Nga'!C210+'Dong Lam'!C210+DTR!C210+DTRVL!C210</f>
        <v>168223800</v>
      </c>
      <c r="D210" s="189">
        <f>TDP!D210+'Dai Loc'!D210+'Khanh Nga'!D210+'Dong Lam'!D210+DTR!D210+DTRVL!D210</f>
        <v>1016685281</v>
      </c>
      <c r="E210" s="189">
        <f>TDP!E210+'Dai Loc'!E210+'Khanh Nga'!E210+'Dong Lam'!E210+DTR!E210+DTRVL!E210</f>
        <v>0</v>
      </c>
      <c r="F210" s="189">
        <f>TDP!F210+'Dai Loc'!F210+'Khanh Nga'!F210+'Dong Lam'!F210+DTR!F210+DTRVL!F210</f>
        <v>0</v>
      </c>
      <c r="G210" s="189">
        <f>TDP!G210+'Dai Loc'!G210+'Khanh Nga'!G210+'Dong Lam'!G210+DTR!G210+DTRVL!G210</f>
        <v>0</v>
      </c>
      <c r="H210" s="189">
        <f>TDP!H210+'Dai Loc'!H210+'Khanh Nga'!H210+'Dong Lam'!H210+DTR!H210+DTRVL!H210</f>
        <v>586000000</v>
      </c>
      <c r="I210" s="189">
        <f>TDP!I210+'Dai Loc'!I210+'Khanh Nga'!I210+'Dong Lam'!I210+DTR!I210+DTRVL!I210</f>
        <v>0</v>
      </c>
      <c r="J210" s="189">
        <f>TDP!J210+'Dai Loc'!J210+'Khanh Nga'!J210+'Dong Lam'!J210+DTR!J210+DTRVL!J210</f>
        <v>0</v>
      </c>
      <c r="K210" s="189">
        <f>TDP!K210+'Dai Loc'!K210+'Khanh Nga'!K210+'Dong Lam'!K210+DTR!K210+DTRVL!K210</f>
        <v>11462110685</v>
      </c>
      <c r="L210" s="189">
        <f>TDP!L210+'Dai Loc'!L210+'Khanh Nga'!L210+'Dong Lam'!L210+DTR!L210+DTRVL!L210</f>
        <v>0</v>
      </c>
      <c r="M210" s="189">
        <f>TDP!M210+'Dai Loc'!M210+'Khanh Nga'!M210+'Dong Lam'!M210+DTR!M210+DTRVL!M210</f>
        <v>5722224619</v>
      </c>
      <c r="N210" s="189">
        <f>TDP!N210+'Dai Loc'!N210+'Khanh Nga'!N210+'Dong Lam'!N210+DTR!N210+DTRVL!N210</f>
        <v>14819304414</v>
      </c>
      <c r="O210" s="189">
        <f>TDP!O210+'Dai Loc'!O210+'Khanh Nga'!O210+'Dong Lam'!O210+DTR!O210+DTRVL!O210</f>
        <v>0</v>
      </c>
      <c r="P210" s="189">
        <f>TDP!P210+'Dai Loc'!P210+'Khanh Nga'!P210+'Dong Lam'!P210+DTR!P210+DTRVL!P210</f>
        <v>0</v>
      </c>
      <c r="Q210" s="189">
        <f>TDP!Q210+'Dai Loc'!Q210+'Khanh Nga'!Q210+'Dong Lam'!Q210+DTR!Q210+DTRVL!Q210</f>
        <v>179372602</v>
      </c>
      <c r="R210" s="189">
        <f>TDP!R210+'Dai Loc'!R210+'Khanh Nga'!R210+'Dong Lam'!R210+DTR!R210+DTRVL!R210</f>
        <v>0</v>
      </c>
      <c r="S210" s="189">
        <f>TDP!S210+'Dai Loc'!S210+'Khanh Nga'!S210+'Dong Lam'!S210+DTR!S210+DTRVL!S210</f>
        <v>0</v>
      </c>
      <c r="T210" s="189">
        <f>TDP!T210+'Dai Loc'!T210+'Khanh Nga'!T210+'Dong Lam'!T210+DTR!T210+DTRVL!T210</f>
        <v>0</v>
      </c>
      <c r="U210" s="189">
        <f>TDP!U210+'Dai Loc'!U210+'Khanh Nga'!U210+'Dong Lam'!U210+DTR!U210+DTRVL!U210</f>
        <v>0</v>
      </c>
      <c r="V210" s="189">
        <f>TDP!V210+'Dai Loc'!V210+'Khanh Nga'!V210+'Dong Lam'!V210+DTR!V210+DTRVL!V210</f>
        <v>182193647</v>
      </c>
      <c r="W210" s="189">
        <f>TDP!W210+'Dai Loc'!W210+'Khanh Nga'!W210+'Dong Lam'!W210+DTR!W210+DTRVL!W210</f>
        <v>1418356800</v>
      </c>
      <c r="X210" s="189">
        <f>TDP!X210+'Dai Loc'!X210+'Khanh Nga'!X210+'Dong Lam'!X210+DTR!X210+DTRVL!X210</f>
        <v>9754946400</v>
      </c>
      <c r="Y210" s="189">
        <f>TDP!Y210+'Dai Loc'!Y210+'Khanh Nga'!Y210+'Dong Lam'!Y210+DTR!Y210+DTRVL!Y210</f>
        <v>3395251201</v>
      </c>
      <c r="Z210" s="189">
        <f>TDP!Z210+'Dai Loc'!Z210+'Khanh Nga'!Z210+'Dong Lam'!Z210+DTR!Z210+DTRVL!Z210</f>
        <v>8295287500</v>
      </c>
    </row>
    <row r="211" spans="1:26" ht="15" customHeight="1">
      <c r="A211" s="181" t="s">
        <v>297</v>
      </c>
      <c r="B211" s="182">
        <v>13</v>
      </c>
      <c r="C211" s="183">
        <f t="shared" ref="C211:Z211" si="17">C138</f>
        <v>120065457134</v>
      </c>
      <c r="D211" s="183">
        <f t="shared" si="17"/>
        <v>83995360322</v>
      </c>
      <c r="E211" s="183">
        <f t="shared" si="17"/>
        <v>109165390822</v>
      </c>
      <c r="F211" s="183">
        <f t="shared" si="17"/>
        <v>105655387173</v>
      </c>
      <c r="G211" s="183">
        <f t="shared" si="17"/>
        <v>125507167216</v>
      </c>
      <c r="H211" s="183">
        <f t="shared" si="17"/>
        <v>98477492806</v>
      </c>
      <c r="I211" s="183">
        <f t="shared" si="17"/>
        <v>80393606783</v>
      </c>
      <c r="J211" s="183">
        <f t="shared" si="17"/>
        <v>167228552558</v>
      </c>
      <c r="K211" s="183">
        <f t="shared" si="17"/>
        <v>152083786508</v>
      </c>
      <c r="L211" s="183">
        <f t="shared" si="17"/>
        <v>135696763155</v>
      </c>
      <c r="M211" s="183">
        <f t="shared" si="17"/>
        <v>92718574459</v>
      </c>
      <c r="N211" s="183">
        <f t="shared" si="17"/>
        <v>-4137926966</v>
      </c>
      <c r="O211" s="183">
        <f t="shared" si="17"/>
        <v>109382281376</v>
      </c>
      <c r="P211" s="183">
        <f t="shared" si="17"/>
        <v>174422967873</v>
      </c>
      <c r="Q211" s="183">
        <f t="shared" si="17"/>
        <v>159767562826</v>
      </c>
      <c r="R211" s="183">
        <f t="shared" si="17"/>
        <v>140574223882</v>
      </c>
      <c r="S211" s="183">
        <f t="shared" si="17"/>
        <v>161629972631</v>
      </c>
      <c r="T211" s="183">
        <f t="shared" si="17"/>
        <v>143522031759</v>
      </c>
      <c r="U211" s="183">
        <f t="shared" si="17"/>
        <v>172510521735</v>
      </c>
      <c r="V211" s="183">
        <f t="shared" si="17"/>
        <v>197853154230</v>
      </c>
      <c r="W211" s="183">
        <f t="shared" si="17"/>
        <v>117237912996</v>
      </c>
      <c r="X211" s="183">
        <f t="shared" si="17"/>
        <v>127411416365</v>
      </c>
      <c r="Y211" s="183">
        <f t="shared" si="17"/>
        <v>99943651539</v>
      </c>
      <c r="Z211" s="183">
        <f t="shared" si="17"/>
        <v>90514001561</v>
      </c>
    </row>
    <row r="212" spans="1:26" ht="15" customHeight="1">
      <c r="A212" s="178" t="s">
        <v>298</v>
      </c>
      <c r="B212" s="179">
        <v>14</v>
      </c>
      <c r="C212" s="189">
        <f>TDP!C212+'Dai Loc'!C212+'Khanh Nga'!C212+'Dong Lam'!C212+DTR!C212+DTRVL!C212</f>
        <v>80354795726.000061</v>
      </c>
      <c r="D212" s="189">
        <f>TDP!D212+'Dai Loc'!D212+'Khanh Nga'!D212+'Dong Lam'!D212+DTR!D212+DTRVL!D212</f>
        <v>49066395331.999985</v>
      </c>
      <c r="E212" s="189">
        <f>TDP!E212+'Dai Loc'!E212+'Khanh Nga'!E212+'Dong Lam'!E212+DTR!E212+DTRVL!E212</f>
        <v>68392323340.000008</v>
      </c>
      <c r="F212" s="189">
        <f>TDP!F212+'Dai Loc'!F212+'Khanh Nga'!F212+'Dong Lam'!F212+DTR!F212+DTRVL!F212</f>
        <v>71080915023.000061</v>
      </c>
      <c r="G212" s="189">
        <f>TDP!G212+'Dai Loc'!G212+'Khanh Nga'!G212+'Dong Lam'!G212+DTR!G212+DTRVL!G212</f>
        <v>77926958972</v>
      </c>
      <c r="H212" s="189">
        <f>TDP!H212+'Dai Loc'!H212+'Khanh Nga'!H212+'Dong Lam'!H212+DTR!H212+DTRVL!H212</f>
        <v>57385756895.000015</v>
      </c>
      <c r="I212" s="189">
        <f>TDP!I212+'Dai Loc'!I212+'Khanh Nga'!I212+'Dong Lam'!I212+DTR!I212+DTRVL!I212</f>
        <v>49537872776.000015</v>
      </c>
      <c r="J212" s="189">
        <f>TDP!J212+'Dai Loc'!J212+'Khanh Nga'!J212+'Dong Lam'!J212+DTR!J212+DTRVL!J212</f>
        <v>106915778148.00021</v>
      </c>
      <c r="K212" s="189">
        <f>TDP!K212+'Dai Loc'!K212+'Khanh Nga'!K212+'Dong Lam'!K212+DTR!K212+DTRVL!K212</f>
        <v>105373065666.00002</v>
      </c>
      <c r="L212" s="189">
        <f>TDP!L212+'Dai Loc'!L212+'Khanh Nga'!L212+'Dong Lam'!L212+DTR!L212+DTRVL!L212</f>
        <v>87056274666.000015</v>
      </c>
      <c r="M212" s="189">
        <f>TDP!M212+'Dai Loc'!M212+'Khanh Nga'!M212+'Dong Lam'!M212+DTR!M212+DTRVL!M212</f>
        <v>51772996724.000008</v>
      </c>
      <c r="N212" s="189">
        <f>TDP!N212+'Dai Loc'!N212+'Khanh Nga'!N212+'Dong Lam'!N212+DTR!N212+DTRVL!N212</f>
        <v>65802052449.599907</v>
      </c>
      <c r="O212" s="189">
        <f>TDP!O212+'Dai Loc'!O212+'Khanh Nga'!O212+'Dong Lam'!O212+DTR!O212+DTRVL!O212</f>
        <v>74882631364.000122</v>
      </c>
      <c r="P212" s="189">
        <f>TDP!P212+'Dai Loc'!P212+'Khanh Nga'!P212+'Dong Lam'!P212+DTR!P212+DTRVL!P212</f>
        <v>118063395603.99997</v>
      </c>
      <c r="Q212" s="189">
        <f>TDP!Q212+'Dai Loc'!Q212+'Khanh Nga'!Q212+'Dong Lam'!Q212+DTR!Q212+DTRVL!Q212</f>
        <v>112060774755.99991</v>
      </c>
      <c r="R212" s="189">
        <f>TDP!R212+'Dai Loc'!R212+'Khanh Nga'!R212+'Dong Lam'!R212+DTR!R212+DTRVL!R212</f>
        <v>97163333043.999847</v>
      </c>
      <c r="S212" s="189">
        <f>TDP!S212+'Dai Loc'!S212+'Khanh Nga'!S212+'Dong Lam'!S212+DTR!S212+DTRVL!S212</f>
        <v>115491558825.97511</v>
      </c>
      <c r="T212" s="189">
        <f>TDP!T212+'Dai Loc'!T212+'Khanh Nga'!T212+'Dong Lam'!T212+DTR!T212+DTRVL!T212</f>
        <v>99957607960.267914</v>
      </c>
      <c r="U212" s="189">
        <f>TDP!U212+'Dai Loc'!U212+'Khanh Nga'!U212+'Dong Lam'!U212+DTR!U212+DTRVL!U212</f>
        <v>122536298380.99988</v>
      </c>
      <c r="V212" s="189">
        <f>TDP!V212+'Dai Loc'!V212+'Khanh Nga'!V212+'Dong Lam'!V212+DTR!V212+DTRVL!V212</f>
        <v>135565644813</v>
      </c>
      <c r="W212" s="189">
        <f>TDP!W212+'Dai Loc'!W212+'Khanh Nga'!W212+'Dong Lam'!W212+DTR!W212+DTRVL!W212</f>
        <v>74755497766.999908</v>
      </c>
      <c r="X212" s="189">
        <f>TDP!X212+'Dai Loc'!X212+'Khanh Nga'!X212+'Dong Lam'!X212+DTR!X212+DTRVL!X212</f>
        <v>81542784155.999985</v>
      </c>
      <c r="Y212" s="189">
        <f>TDP!Y212+'Dai Loc'!Y212+'Khanh Nga'!Y212+'Dong Lam'!Y212+DTR!Y212+DTRVL!Y212</f>
        <v>58654631091.000008</v>
      </c>
      <c r="Z212" s="189">
        <f>TDP!Z212+'Dai Loc'!Z212+'Khanh Nga'!Z212+'Dong Lam'!Z212+DTR!Z212+DTRVL!Z212</f>
        <v>66864715005.454971</v>
      </c>
    </row>
    <row r="213" spans="1:26" ht="15" customHeight="1">
      <c r="A213" s="178" t="s">
        <v>299</v>
      </c>
      <c r="B213" s="179">
        <v>15</v>
      </c>
      <c r="C213" s="189">
        <f>TDP!C213+'Dai Loc'!C213+'Khanh Nga'!C213+'Dong Lam'!C213+DTR!C213+DTRVL!C213</f>
        <v>4362218018.9999943</v>
      </c>
      <c r="D213" s="189">
        <f>TDP!D213+'Dai Loc'!D213+'Khanh Nga'!D213+'Dong Lam'!D213+DTR!D213+DTRVL!D213</f>
        <v>2561071324.000001</v>
      </c>
      <c r="E213" s="189">
        <f>TDP!E213+'Dai Loc'!E213+'Khanh Nga'!E213+'Dong Lam'!E213+DTR!E213+DTRVL!E213</f>
        <v>4056107915.9999995</v>
      </c>
      <c r="F213" s="189">
        <f>TDP!F213+'Dai Loc'!F213+'Khanh Nga'!F213+'Dong Lam'!F213+DTR!F213+DTRVL!F213</f>
        <v>4011785269.9999967</v>
      </c>
      <c r="G213" s="189">
        <f>TDP!G213+'Dai Loc'!G213+'Khanh Nga'!G213+'Dong Lam'!G213+DTR!G213+DTRVL!G213</f>
        <v>4971945055</v>
      </c>
      <c r="H213" s="189">
        <f>TDP!H213+'Dai Loc'!H213+'Khanh Nga'!H213+'Dong Lam'!H213+DTR!H213+DTRVL!H213</f>
        <v>2723479236.000001</v>
      </c>
      <c r="I213" s="189">
        <f>TDP!I213+'Dai Loc'!I213+'Khanh Nga'!I213+'Dong Lam'!I213+DTR!I213+DTRVL!I213</f>
        <v>2375172710.9999986</v>
      </c>
      <c r="J213" s="189">
        <f>TDP!J213+'Dai Loc'!J213+'Khanh Nga'!J213+'Dong Lam'!J213+DTR!J213+DTRVL!J213</f>
        <v>7283977396.9999857</v>
      </c>
      <c r="K213" s="189">
        <f>TDP!K213+'Dai Loc'!K213+'Khanh Nga'!K213+'Dong Lam'!K213+DTR!K213+DTRVL!K213</f>
        <v>6043502978.9999981</v>
      </c>
      <c r="L213" s="189">
        <f>TDP!L213+'Dai Loc'!L213+'Khanh Nga'!L213+'Dong Lam'!L213+DTR!L213+DTRVL!L213</f>
        <v>4862558357.9999952</v>
      </c>
      <c r="M213" s="189">
        <f>TDP!M213+'Dai Loc'!M213+'Khanh Nga'!M213+'Dong Lam'!M213+DTR!M213+DTRVL!M213</f>
        <v>3106533159.9999981</v>
      </c>
      <c r="N213" s="189">
        <f>TDP!N213+'Dai Loc'!N213+'Khanh Nga'!N213+'Dong Lam'!N213+DTR!N213+DTRVL!N213</f>
        <v>4462300683.000001</v>
      </c>
      <c r="O213" s="189">
        <f>TDP!O213+'Dai Loc'!O213+'Khanh Nga'!O213+'Dong Lam'!O213+DTR!O213+DTRVL!O213</f>
        <v>5491533742.9999924</v>
      </c>
      <c r="P213" s="189">
        <f>TDP!P213+'Dai Loc'!P213+'Khanh Nga'!P213+'Dong Lam'!P213+DTR!P213+DTRVL!P213</f>
        <v>6466531721.9999981</v>
      </c>
      <c r="Q213" s="189">
        <f>TDP!Q213+'Dai Loc'!Q213+'Khanh Nga'!Q213+'Dong Lam'!Q213+DTR!Q213+DTRVL!Q213</f>
        <v>6530707899.0000019</v>
      </c>
      <c r="R213" s="189">
        <f>TDP!R213+'Dai Loc'!R213+'Khanh Nga'!R213+'Dong Lam'!R213+DTR!R213+DTRVL!R213</f>
        <v>5903898432</v>
      </c>
      <c r="S213" s="189">
        <f>TDP!S213+'Dai Loc'!S213+'Khanh Nga'!S213+'Dong Lam'!S213+DTR!S213+DTRVL!S213</f>
        <v>6883806587.0000095</v>
      </c>
      <c r="T213" s="189">
        <f>TDP!T213+'Dai Loc'!T213+'Khanh Nga'!T213+'Dong Lam'!T213+DTR!T213+DTRVL!T213</f>
        <v>5705382391.0000076</v>
      </c>
      <c r="U213" s="189">
        <f>TDP!U213+'Dai Loc'!U213+'Khanh Nga'!U213+'Dong Lam'!U213+DTR!U213+DTRVL!U213</f>
        <v>6977868119.0000019</v>
      </c>
      <c r="V213" s="189">
        <f>TDP!V213+'Dai Loc'!V213+'Khanh Nga'!V213+'Dong Lam'!V213+DTR!V213+DTRVL!V213</f>
        <v>8424977576.9999819</v>
      </c>
      <c r="W213" s="189">
        <f>TDP!W213+'Dai Loc'!W213+'Khanh Nga'!W213+'Dong Lam'!W213+DTR!W213+DTRVL!W213</f>
        <v>4508629398.9999962</v>
      </c>
      <c r="X213" s="189">
        <f>TDP!X213+'Dai Loc'!X213+'Khanh Nga'!X213+'Dong Lam'!X213+DTR!X213+DTRVL!X213</f>
        <v>5692586118.0000105</v>
      </c>
      <c r="Y213" s="189">
        <f>TDP!Y213+'Dai Loc'!Y213+'Khanh Nga'!Y213+'Dong Lam'!Y213+DTR!Y213+DTRVL!Y213</f>
        <v>4774846388</v>
      </c>
      <c r="Z213" s="189">
        <f>TDP!Z213+'Dai Loc'!Z213+'Khanh Nga'!Z213+'Dong Lam'!Z213+DTR!Z213+DTRVL!Z213</f>
        <v>4942404768.9623222</v>
      </c>
    </row>
    <row r="214" spans="1:26" ht="15" customHeight="1">
      <c r="A214" s="178" t="s">
        <v>300</v>
      </c>
      <c r="B214" s="179">
        <v>16</v>
      </c>
      <c r="C214" s="189">
        <f>TDP!C214+'Dai Loc'!C214+'Khanh Nga'!C214+'Dong Lam'!C214+DTR!C214+DTRVL!C214</f>
        <v>673524358</v>
      </c>
      <c r="D214" s="189">
        <f>TDP!D214+'Dai Loc'!D214+'Khanh Nga'!D214+'Dong Lam'!D214+DTR!D214+DTRVL!D214</f>
        <v>445330075</v>
      </c>
      <c r="E214" s="189">
        <f>TDP!E214+'Dai Loc'!E214+'Khanh Nga'!E214+'Dong Lam'!E214+DTR!E214+DTRVL!E214</f>
        <v>646654899</v>
      </c>
      <c r="F214" s="189">
        <f>TDP!F214+'Dai Loc'!F214+'Khanh Nga'!F214+'Dong Lam'!F214+DTR!F214+DTRVL!F214</f>
        <v>1789160297</v>
      </c>
      <c r="G214" s="189">
        <f>TDP!G214+'Dai Loc'!G214+'Khanh Nga'!G214+'Dong Lam'!G214+DTR!G214+DTRVL!G214</f>
        <v>743322765</v>
      </c>
      <c r="H214" s="189">
        <f>TDP!H214+'Dai Loc'!H214+'Khanh Nga'!H214+'Dong Lam'!H214+DTR!H214+DTRVL!H214</f>
        <v>710659695</v>
      </c>
      <c r="I214" s="189">
        <f>TDP!I214+'Dai Loc'!I214+'Khanh Nga'!I214+'Dong Lam'!I214+DTR!I214+DTRVL!I214</f>
        <v>562555746</v>
      </c>
      <c r="J214" s="189">
        <f>TDP!J214+'Dai Loc'!J214+'Khanh Nga'!J214+'Dong Lam'!J214+DTR!J214+DTRVL!J214</f>
        <v>273359738</v>
      </c>
      <c r="K214" s="189">
        <f>TDP!K214+'Dai Loc'!K214+'Khanh Nga'!K214+'Dong Lam'!K214+DTR!K214+DTRVL!K214</f>
        <v>293591517</v>
      </c>
      <c r="L214" s="189">
        <f>TDP!L214+'Dai Loc'!L214+'Khanh Nga'!L214+'Dong Lam'!L214+DTR!L214+DTRVL!L214</f>
        <v>342226346</v>
      </c>
      <c r="M214" s="189">
        <f>TDP!M214+'Dai Loc'!M214+'Khanh Nga'!M214+'Dong Lam'!M214+DTR!M214+DTRVL!M214</f>
        <v>357205652</v>
      </c>
      <c r="N214" s="189">
        <f>TDP!N214+'Dai Loc'!N214+'Khanh Nga'!N214+'Dong Lam'!N214+DTR!N214+DTRVL!N214</f>
        <v>352714337</v>
      </c>
      <c r="O214" s="189">
        <f>TDP!O214+'Dai Loc'!O214+'Khanh Nga'!O214+'Dong Lam'!O214+DTR!O214+DTRVL!O214</f>
        <v>326525959</v>
      </c>
      <c r="P214" s="189">
        <f>TDP!P214+'Dai Loc'!P214+'Khanh Nga'!P214+'Dong Lam'!P214+DTR!P214+DTRVL!P214</f>
        <v>301395737</v>
      </c>
      <c r="Q214" s="189">
        <f>TDP!Q214+'Dai Loc'!Q214+'Khanh Nga'!Q214+'Dong Lam'!Q214+DTR!Q214+DTRVL!Q214</f>
        <v>353064382</v>
      </c>
      <c r="R214" s="189">
        <f>TDP!R214+'Dai Loc'!R214+'Khanh Nga'!R214+'Dong Lam'!R214+DTR!R214+DTRVL!R214</f>
        <v>367893640</v>
      </c>
      <c r="S214" s="189">
        <f>TDP!S214+'Dai Loc'!S214+'Khanh Nga'!S214+'Dong Lam'!S214+DTR!S214+DTRVL!S214</f>
        <v>583268535</v>
      </c>
      <c r="T214" s="189">
        <f>TDP!T214+'Dai Loc'!T214+'Khanh Nga'!T214+'Dong Lam'!T214+DTR!T214+DTRVL!T214</f>
        <v>409683221</v>
      </c>
      <c r="U214" s="189">
        <f>TDP!U214+'Dai Loc'!U214+'Khanh Nga'!U214+'Dong Lam'!U214+DTR!U214+DTRVL!U214</f>
        <v>382580514</v>
      </c>
      <c r="V214" s="189">
        <f>TDP!V214+'Dai Loc'!V214+'Khanh Nga'!V214+'Dong Lam'!V214+DTR!V214+DTRVL!V214</f>
        <v>409675223</v>
      </c>
      <c r="W214" s="189">
        <f>TDP!W214+'Dai Loc'!W214+'Khanh Nga'!W214+'Dong Lam'!W214+DTR!W214+DTRVL!W214</f>
        <v>681336938</v>
      </c>
      <c r="X214" s="189">
        <f>TDP!X214+'Dai Loc'!X214+'Khanh Nga'!X214+'Dong Lam'!X214+DTR!X214+DTRVL!X214</f>
        <v>434513561</v>
      </c>
      <c r="Y214" s="189">
        <f>TDP!Y214+'Dai Loc'!Y214+'Khanh Nga'!Y214+'Dong Lam'!Y214+DTR!Y214+DTRVL!Y214</f>
        <v>359300470</v>
      </c>
      <c r="Z214" s="189">
        <f>TDP!Z214+'Dai Loc'!Z214+'Khanh Nga'!Z214+'Dong Lam'!Z214+DTR!Z214+DTRVL!Z214</f>
        <v>371608824</v>
      </c>
    </row>
    <row r="215" spans="1:26" ht="15" customHeight="1">
      <c r="A215" s="178" t="s">
        <v>301</v>
      </c>
      <c r="B215" s="179">
        <v>17</v>
      </c>
      <c r="C215" s="189">
        <f>TDP!C215+'Dai Loc'!C215+'Khanh Nga'!C215+'Dong Lam'!C215+DTR!C215+DTRVL!C215</f>
        <v>4155496774.9818697</v>
      </c>
      <c r="D215" s="189">
        <f>TDP!D215+'Dai Loc'!D215+'Khanh Nga'!D215+'Dong Lam'!D215+DTR!D215+DTRVL!D215</f>
        <v>2235109435.3750134</v>
      </c>
      <c r="E215" s="189">
        <f>TDP!E215+'Dai Loc'!E215+'Khanh Nga'!E215+'Dong Lam'!E215+DTR!E215+DTRVL!E215</f>
        <v>2331267750.4333448</v>
      </c>
      <c r="F215" s="189">
        <f>TDP!F215+'Dai Loc'!F215+'Khanh Nga'!F215+'Dong Lam'!F215+DTR!F215+DTRVL!F215</f>
        <v>1486152117.6601763</v>
      </c>
      <c r="G215" s="189">
        <f>TDP!G215+'Dai Loc'!G215+'Khanh Nga'!G215+'Dong Lam'!G215+DTR!G215+DTRVL!G215</f>
        <v>2659339261.9734478</v>
      </c>
      <c r="H215" s="189">
        <f>TDP!H215+'Dai Loc'!H215+'Khanh Nga'!H215+'Dong Lam'!H215+DTR!H215+DTRVL!H215</f>
        <v>2464234423.6088824</v>
      </c>
      <c r="I215" s="189">
        <f>TDP!I215+'Dai Loc'!I215+'Khanh Nga'!I215+'Dong Lam'!I215+DTR!I215+DTRVL!I215</f>
        <v>2321361680.2235169</v>
      </c>
      <c r="J215" s="189">
        <f>TDP!J215+'Dai Loc'!J215+'Khanh Nga'!J215+'Dong Lam'!J215+DTR!J215+DTRVL!J215</f>
        <v>2741132215</v>
      </c>
      <c r="K215" s="189">
        <f>TDP!K215+'Dai Loc'!K215+'Khanh Nga'!K215+'Dong Lam'!K215+DTR!K215+DTRVL!K215</f>
        <v>2926888906</v>
      </c>
      <c r="L215" s="189">
        <f>TDP!L215+'Dai Loc'!L215+'Khanh Nga'!L215+'Dong Lam'!L215+DTR!L215+DTRVL!L215</f>
        <v>3167106860</v>
      </c>
      <c r="M215" s="189">
        <f>TDP!M215+'Dai Loc'!M215+'Khanh Nga'!M215+'Dong Lam'!M215+DTR!M215+DTRVL!M215</f>
        <v>3181619103</v>
      </c>
      <c r="N215" s="189">
        <f>TDP!N215+'Dai Loc'!N215+'Khanh Nga'!N215+'Dong Lam'!N215+DTR!N215+DTRVL!N215</f>
        <v>3715099100</v>
      </c>
      <c r="O215" s="189">
        <f>TDP!O215+'Dai Loc'!O215+'Khanh Nga'!O215+'Dong Lam'!O215+DTR!O215+DTRVL!O215</f>
        <v>3473280118</v>
      </c>
      <c r="P215" s="189">
        <f>TDP!P215+'Dai Loc'!P215+'Khanh Nga'!P215+'Dong Lam'!P215+DTR!P215+DTRVL!P215</f>
        <v>3577287791</v>
      </c>
      <c r="Q215" s="189">
        <f>TDP!Q215+'Dai Loc'!Q215+'Khanh Nga'!Q215+'Dong Lam'!Q215+DTR!Q215+DTRVL!Q215</f>
        <v>3743474092</v>
      </c>
      <c r="R215" s="189">
        <f>TDP!R215+'Dai Loc'!R215+'Khanh Nga'!R215+'Dong Lam'!R215+DTR!R215+DTRVL!R215</f>
        <v>4096767423</v>
      </c>
      <c r="S215" s="189">
        <f>TDP!S215+'Dai Loc'!S215+'Khanh Nga'!S215+'Dong Lam'!S215+DTR!S215+DTRVL!S215</f>
        <v>4079340213</v>
      </c>
      <c r="T215" s="189">
        <f>TDP!T215+'Dai Loc'!T215+'Khanh Nga'!T215+'Dong Lam'!T215+DTR!T215+DTRVL!T215</f>
        <v>4461113969</v>
      </c>
      <c r="U215" s="189">
        <f>TDP!U215+'Dai Loc'!U215+'Khanh Nga'!U215+'Dong Lam'!U215+DTR!U215+DTRVL!U215</f>
        <v>5462488199</v>
      </c>
      <c r="V215" s="189">
        <f>TDP!V215+'Dai Loc'!V215+'Khanh Nga'!V215+'Dong Lam'!V215+DTR!V215+DTRVL!V215</f>
        <v>5079416958</v>
      </c>
      <c r="W215" s="189">
        <f>TDP!W215+'Dai Loc'!W215+'Khanh Nga'!W215+'Dong Lam'!W215+DTR!W215+DTRVL!W215</f>
        <v>5302809701</v>
      </c>
      <c r="X215" s="189">
        <f>TDP!X215+'Dai Loc'!X215+'Khanh Nga'!X215+'Dong Lam'!X215+DTR!X215+DTRVL!X215</f>
        <v>4724680973</v>
      </c>
      <c r="Y215" s="189">
        <f>TDP!Y215+'Dai Loc'!Y215+'Khanh Nga'!Y215+'Dong Lam'!Y215+DTR!Y215+DTRVL!Y215</f>
        <v>4035742805</v>
      </c>
      <c r="Z215" s="189">
        <f>TDP!Z215+'Dai Loc'!Z215+'Khanh Nga'!Z215+'Dong Lam'!Z215+DTR!Z215+DTRVL!Z215</f>
        <v>3846412346</v>
      </c>
    </row>
    <row r="216" spans="1:26" ht="15" customHeight="1">
      <c r="A216" s="178" t="s">
        <v>302</v>
      </c>
      <c r="B216" s="179">
        <v>18</v>
      </c>
      <c r="C216" s="189">
        <f>TDP!C216+'Dai Loc'!C216+'Khanh Nga'!C216+'Dong Lam'!C216+DTR!C216+DTRVL!C216</f>
        <v>2945482731.8109894</v>
      </c>
      <c r="D216" s="189">
        <f>TDP!D216+'Dai Loc'!D216+'Khanh Nga'!D216+'Dong Lam'!D216+DTR!D216+DTRVL!D216</f>
        <v>2804902218.0677309</v>
      </c>
      <c r="E216" s="189">
        <f>TDP!E216+'Dai Loc'!E216+'Khanh Nga'!E216+'Dong Lam'!E216+DTR!E216+DTRVL!E216</f>
        <v>2952820918.2969875</v>
      </c>
      <c r="F216" s="189">
        <f>TDP!F216+'Dai Loc'!F216+'Khanh Nga'!F216+'Dong Lam'!F216+DTR!F216+DTRVL!F216</f>
        <v>3184702345.3368888</v>
      </c>
      <c r="G216" s="189">
        <f>TDP!G216+'Dai Loc'!G216+'Khanh Nga'!G216+'Dong Lam'!G216+DTR!G216+DTRVL!G216</f>
        <v>3274114947.9194965</v>
      </c>
      <c r="H216" s="189">
        <f>TDP!H216+'Dai Loc'!H216+'Khanh Nga'!H216+'Dong Lam'!H216+DTR!H216+DTRVL!H216</f>
        <v>3354505330.235589</v>
      </c>
      <c r="I216" s="189">
        <f>TDP!I216+'Dai Loc'!I216+'Khanh Nga'!I216+'Dong Lam'!I216+DTR!I216+DTRVL!I216</f>
        <v>3167790035.0513844</v>
      </c>
      <c r="J216" s="189">
        <f>TDP!J216+'Dai Loc'!J216+'Khanh Nga'!J216+'Dong Lam'!J216+DTR!J216+DTRVL!J216</f>
        <v>3271117659</v>
      </c>
      <c r="K216" s="189">
        <f>TDP!K216+'Dai Loc'!K216+'Khanh Nga'!K216+'Dong Lam'!K216+DTR!K216+DTRVL!K216</f>
        <v>3487721945</v>
      </c>
      <c r="L216" s="189">
        <f>TDP!L216+'Dai Loc'!L216+'Khanh Nga'!L216+'Dong Lam'!L216+DTR!L216+DTRVL!L216</f>
        <v>3579356310</v>
      </c>
      <c r="M216" s="189">
        <f>TDP!M216+'Dai Loc'!M216+'Khanh Nga'!M216+'Dong Lam'!M216+DTR!M216+DTRVL!M216</f>
        <v>3617663332</v>
      </c>
      <c r="N216" s="189">
        <f>TDP!N216+'Dai Loc'!N216+'Khanh Nga'!N216+'Dong Lam'!N216+DTR!N216+DTRVL!N216</f>
        <v>3699474120</v>
      </c>
      <c r="O216" s="189">
        <f>TDP!O216+'Dai Loc'!O216+'Khanh Nga'!O216+'Dong Lam'!O216+DTR!O216+DTRVL!O216</f>
        <v>3991998943</v>
      </c>
      <c r="P216" s="189">
        <f>TDP!P216+'Dai Loc'!P216+'Khanh Nga'!P216+'Dong Lam'!P216+DTR!P216+DTRVL!P216</f>
        <v>3738804222</v>
      </c>
      <c r="Q216" s="189">
        <f>TDP!Q216+'Dai Loc'!Q216+'Khanh Nga'!Q216+'Dong Lam'!Q216+DTR!Q216+DTRVL!Q216</f>
        <v>3791321566</v>
      </c>
      <c r="R216" s="189">
        <f>TDP!R216+'Dai Loc'!R216+'Khanh Nga'!R216+'Dong Lam'!R216+DTR!R216+DTRVL!R216</f>
        <v>4339847434</v>
      </c>
      <c r="S216" s="189">
        <f>TDP!S216+'Dai Loc'!S216+'Khanh Nga'!S216+'Dong Lam'!S216+DTR!S216+DTRVL!S216</f>
        <v>4268597221</v>
      </c>
      <c r="T216" s="189">
        <f>TDP!T216+'Dai Loc'!T216+'Khanh Nga'!T216+'Dong Lam'!T216+DTR!T216+DTRVL!T216</f>
        <v>4399343054</v>
      </c>
      <c r="U216" s="189">
        <f>TDP!U216+'Dai Loc'!U216+'Khanh Nga'!U216+'Dong Lam'!U216+DTR!U216+DTRVL!U216</f>
        <v>4420976058</v>
      </c>
      <c r="V216" s="189">
        <f>TDP!V216+'Dai Loc'!V216+'Khanh Nga'!V216+'Dong Lam'!V216+DTR!V216+DTRVL!V216</f>
        <v>4479621671</v>
      </c>
      <c r="W216" s="189">
        <f>TDP!W216+'Dai Loc'!W216+'Khanh Nga'!W216+'Dong Lam'!W216+DTR!W216+DTRVL!W216</f>
        <v>4723751900</v>
      </c>
      <c r="X216" s="189">
        <f>TDP!X216+'Dai Loc'!X216+'Khanh Nga'!X216+'Dong Lam'!X216+DTR!X216+DTRVL!X216</f>
        <v>3856032498</v>
      </c>
      <c r="Y216" s="189">
        <f>TDP!Y216+'Dai Loc'!Y216+'Khanh Nga'!Y216+'Dong Lam'!Y216+DTR!Y216+DTRVL!Y216</f>
        <v>3670293742</v>
      </c>
      <c r="Z216" s="189">
        <f>TDP!Z216+'Dai Loc'!Z216+'Khanh Nga'!Z216+'Dong Lam'!Z216+DTR!Z216+DTRVL!Z216</f>
        <v>3722379510</v>
      </c>
    </row>
    <row r="217" spans="1:26" ht="15" customHeight="1">
      <c r="A217" s="178" t="s">
        <v>303</v>
      </c>
      <c r="B217" s="179">
        <v>19</v>
      </c>
      <c r="C217" s="189">
        <f>TDP!C217+'Dai Loc'!C217+'Khanh Nga'!C217+'Dong Lam'!C217+DTR!C217+DTRVL!C217</f>
        <v>978213066.20714092</v>
      </c>
      <c r="D217" s="189">
        <f>TDP!D217+'Dai Loc'!D217+'Khanh Nga'!D217+'Dong Lam'!D217+DTR!D217+DTRVL!D217</f>
        <v>1032012594.5572554</v>
      </c>
      <c r="E217" s="189">
        <f>TDP!E217+'Dai Loc'!E217+'Khanh Nga'!E217+'Dong Lam'!E217+DTR!E217+DTRVL!E217</f>
        <v>933059593.26966786</v>
      </c>
      <c r="F217" s="189">
        <f>TDP!F217+'Dai Loc'!F217+'Khanh Nga'!F217+'Dong Lam'!F217+DTR!F217+DTRVL!F217</f>
        <v>979281787.00293493</v>
      </c>
      <c r="G217" s="189">
        <f>TDP!G217+'Dai Loc'!G217+'Khanh Nga'!G217+'Dong Lam'!G217+DTR!G217+DTRVL!G217</f>
        <v>1014430246.2388949</v>
      </c>
      <c r="H217" s="189">
        <f>TDP!H217+'Dai Loc'!H217+'Khanh Nga'!H217+'Dong Lam'!H217+DTR!H217+DTRVL!H217</f>
        <v>987693360.15552855</v>
      </c>
      <c r="I217" s="189">
        <f>TDP!I217+'Dai Loc'!I217+'Khanh Nga'!I217+'Dong Lam'!I217+DTR!I217+DTRVL!I217</f>
        <v>1058336457.7250986</v>
      </c>
      <c r="J217" s="189">
        <f>TDP!J217+'Dai Loc'!J217+'Khanh Nga'!J217+'Dong Lam'!J217+DTR!J217+DTRVL!J217</f>
        <v>905255648</v>
      </c>
      <c r="K217" s="189">
        <f>TDP!K217+'Dai Loc'!K217+'Khanh Nga'!K217+'Dong Lam'!K217+DTR!K217+DTRVL!K217</f>
        <v>1041543336</v>
      </c>
      <c r="L217" s="189">
        <f>TDP!L217+'Dai Loc'!L217+'Khanh Nga'!L217+'Dong Lam'!L217+DTR!L217+DTRVL!L217</f>
        <v>1008075497</v>
      </c>
      <c r="M217" s="189">
        <f>TDP!M217+'Dai Loc'!M217+'Khanh Nga'!M217+'Dong Lam'!M217+DTR!M217+DTRVL!M217</f>
        <v>1046847549</v>
      </c>
      <c r="N217" s="189">
        <f>TDP!N217+'Dai Loc'!N217+'Khanh Nga'!N217+'Dong Lam'!N217+DTR!N217+DTRVL!N217</f>
        <v>1038844046</v>
      </c>
      <c r="O217" s="189">
        <f>TDP!O217+'Dai Loc'!O217+'Khanh Nga'!O217+'Dong Lam'!O217+DTR!O217+DTRVL!O217</f>
        <v>1358764548</v>
      </c>
      <c r="P217" s="189">
        <f>TDP!P217+'Dai Loc'!P217+'Khanh Nga'!P217+'Dong Lam'!P217+DTR!P217+DTRVL!P217</f>
        <v>1341457200</v>
      </c>
      <c r="Q217" s="189">
        <f>TDP!Q217+'Dai Loc'!Q217+'Khanh Nga'!Q217+'Dong Lam'!Q217+DTR!Q217+DTRVL!Q217</f>
        <v>1185323810</v>
      </c>
      <c r="R217" s="189">
        <f>TDP!R217+'Dai Loc'!R217+'Khanh Nga'!R217+'Dong Lam'!R217+DTR!R217+DTRVL!R217</f>
        <v>1265774450</v>
      </c>
      <c r="S217" s="189">
        <f>TDP!S217+'Dai Loc'!S217+'Khanh Nga'!S217+'Dong Lam'!S217+DTR!S217+DTRVL!S217</f>
        <v>1244934519</v>
      </c>
      <c r="T217" s="189">
        <f>TDP!T217+'Dai Loc'!T217+'Khanh Nga'!T217+'Dong Lam'!T217+DTR!T217+DTRVL!T217</f>
        <v>1246889338</v>
      </c>
      <c r="U217" s="189">
        <f>TDP!U217+'Dai Loc'!U217+'Khanh Nga'!U217+'Dong Lam'!U217+DTR!U217+DTRVL!U217</f>
        <v>1332069689</v>
      </c>
      <c r="V217" s="189">
        <f>TDP!V217+'Dai Loc'!V217+'Khanh Nga'!V217+'Dong Lam'!V217+DTR!V217+DTRVL!V217</f>
        <v>1338447064</v>
      </c>
      <c r="W217" s="189">
        <f>TDP!W217+'Dai Loc'!W217+'Khanh Nga'!W217+'Dong Lam'!W217+DTR!W217+DTRVL!W217</f>
        <v>1357218789</v>
      </c>
      <c r="X217" s="189">
        <f>TDP!X217+'Dai Loc'!X217+'Khanh Nga'!X217+'Dong Lam'!X217+DTR!X217+DTRVL!X217</f>
        <v>1722144705</v>
      </c>
      <c r="Y217" s="189">
        <f>TDP!Y217+'Dai Loc'!Y217+'Khanh Nga'!Y217+'Dong Lam'!Y217+DTR!Y217+DTRVL!Y217</f>
        <v>1678183577</v>
      </c>
      <c r="Z217" s="189">
        <f>TDP!Z217+'Dai Loc'!Z217+'Khanh Nga'!Z217+'Dong Lam'!Z217+DTR!Z217+DTRVL!Z217</f>
        <v>1774001848</v>
      </c>
    </row>
    <row r="218" spans="1:26" ht="15" customHeight="1">
      <c r="A218" s="178" t="s">
        <v>304</v>
      </c>
      <c r="B218" s="179">
        <v>20</v>
      </c>
      <c r="C218" s="189">
        <f>TDP!C218+'Dai Loc'!C218+'Khanh Nga'!C218+'Dong Lam'!C218+DTR!C218+DTRVL!C218</f>
        <v>547129225</v>
      </c>
      <c r="D218" s="189">
        <f>TDP!D218+'Dai Loc'!D218+'Khanh Nga'!D218+'Dong Lam'!D218+DTR!D218+DTRVL!D218</f>
        <v>498727731</v>
      </c>
      <c r="E218" s="189">
        <f>TDP!E218+'Dai Loc'!E218+'Khanh Nga'!E218+'Dong Lam'!E218+DTR!E218+DTRVL!E218</f>
        <v>616126684</v>
      </c>
      <c r="F218" s="189">
        <f>TDP!F218+'Dai Loc'!F218+'Khanh Nga'!F218+'Dong Lam'!F218+DTR!F218+DTRVL!F218</f>
        <v>586686960</v>
      </c>
      <c r="G218" s="189">
        <f>TDP!G218+'Dai Loc'!G218+'Khanh Nga'!G218+'Dong Lam'!G218+DTR!G218+DTRVL!G218</f>
        <v>719357445</v>
      </c>
      <c r="H218" s="189">
        <f>TDP!H218+'Dai Loc'!H218+'Khanh Nga'!H218+'Dong Lam'!H218+DTR!H218+DTRVL!H218</f>
        <v>782484238</v>
      </c>
      <c r="I218" s="189">
        <f>TDP!I218+'Dai Loc'!I218+'Khanh Nga'!I218+'Dong Lam'!I218+DTR!I218+DTRVL!I218</f>
        <v>486672255</v>
      </c>
      <c r="J218" s="189">
        <f>TDP!J218+'Dai Loc'!J218+'Khanh Nga'!J218+'Dong Lam'!J218+DTR!J218+DTRVL!J218</f>
        <v>645579115</v>
      </c>
      <c r="K218" s="189">
        <f>TDP!K218+'Dai Loc'!K218+'Khanh Nga'!K218+'Dong Lam'!K218+DTR!K218+DTRVL!K218</f>
        <v>707495740</v>
      </c>
      <c r="L218" s="189">
        <f>TDP!L218+'Dai Loc'!L218+'Khanh Nga'!L218+'Dong Lam'!L218+DTR!L218+DTRVL!L218</f>
        <v>824948395</v>
      </c>
      <c r="M218" s="189">
        <f>TDP!M218+'Dai Loc'!M218+'Khanh Nga'!M218+'Dong Lam'!M218+DTR!M218+DTRVL!M218</f>
        <v>955063545</v>
      </c>
      <c r="N218" s="189">
        <f>TDP!N218+'Dai Loc'!N218+'Khanh Nga'!N218+'Dong Lam'!N218+DTR!N218+DTRVL!N218</f>
        <v>1189418891</v>
      </c>
      <c r="O218" s="189">
        <f>TDP!O218+'Dai Loc'!O218+'Khanh Nga'!O218+'Dong Lam'!O218+DTR!O218+DTRVL!O218</f>
        <v>940346291</v>
      </c>
      <c r="P218" s="189">
        <f>TDP!P218+'Dai Loc'!P218+'Khanh Nga'!P218+'Dong Lam'!P218+DTR!P218+DTRVL!P218</f>
        <v>837741299</v>
      </c>
      <c r="Q218" s="189">
        <f>TDP!Q218+'Dai Loc'!Q218+'Khanh Nga'!Q218+'Dong Lam'!Q218+DTR!Q218+DTRVL!Q218</f>
        <v>879644688</v>
      </c>
      <c r="R218" s="189">
        <f>TDP!R218+'Dai Loc'!R218+'Khanh Nga'!R218+'Dong Lam'!R218+DTR!R218+DTRVL!R218</f>
        <v>886838012</v>
      </c>
      <c r="S218" s="189">
        <f>TDP!S218+'Dai Loc'!S218+'Khanh Nga'!S218+'Dong Lam'!S218+DTR!S218+DTRVL!S218</f>
        <v>934317784</v>
      </c>
      <c r="T218" s="189">
        <f>TDP!T218+'Dai Loc'!T218+'Khanh Nga'!T218+'Dong Lam'!T218+DTR!T218+DTRVL!T218</f>
        <v>1146819742</v>
      </c>
      <c r="U218" s="189">
        <f>TDP!U218+'Dai Loc'!U218+'Khanh Nga'!U218+'Dong Lam'!U218+DTR!U218+DTRVL!U218</f>
        <v>1254200095</v>
      </c>
      <c r="V218" s="189">
        <f>TDP!V218+'Dai Loc'!V218+'Khanh Nga'!V218+'Dong Lam'!V218+DTR!V218+DTRVL!V218</f>
        <v>1138204549</v>
      </c>
      <c r="W218" s="189">
        <f>TDP!W218+'Dai Loc'!W218+'Khanh Nga'!W218+'Dong Lam'!W218+DTR!W218+DTRVL!W218</f>
        <v>941702607</v>
      </c>
      <c r="X218" s="189">
        <f>TDP!X218+'Dai Loc'!X218+'Khanh Nga'!X218+'Dong Lam'!X218+DTR!X218+DTRVL!X218</f>
        <v>949969984</v>
      </c>
      <c r="Y218" s="189">
        <f>TDP!Y218+'Dai Loc'!Y218+'Khanh Nga'!Y218+'Dong Lam'!Y218+DTR!Y218+DTRVL!Y218</f>
        <v>968641753</v>
      </c>
      <c r="Z218" s="189">
        <f>TDP!Z218+'Dai Loc'!Z218+'Khanh Nga'!Z218+'Dong Lam'!Z218+DTR!Z218+DTRVL!Z218</f>
        <v>941353149</v>
      </c>
    </row>
    <row r="219" spans="1:26" ht="15" customHeight="1">
      <c r="A219" s="190" t="s">
        <v>305</v>
      </c>
      <c r="B219" s="191">
        <v>21</v>
      </c>
      <c r="C219" s="189">
        <f>TDP!C219+'Dai Loc'!C219+'Khanh Nga'!C219+'Dong Lam'!C219+DTR!C219+DTRVL!C219</f>
        <v>4873502245</v>
      </c>
      <c r="D219" s="189">
        <f>TDP!D219+'Dai Loc'!D219+'Khanh Nga'!D219+'Dong Lam'!D219+DTR!D219+DTRVL!D219</f>
        <v>4492927440</v>
      </c>
      <c r="E219" s="189">
        <f>TDP!E219+'Dai Loc'!E219+'Khanh Nga'!E219+'Dong Lam'!E219+DTR!E219+DTRVL!E219</f>
        <v>10964698647</v>
      </c>
      <c r="F219" s="189">
        <f>TDP!F219+'Dai Loc'!F219+'Khanh Nga'!F219+'Dong Lam'!F219+DTR!F219+DTRVL!F219</f>
        <v>9657065552</v>
      </c>
      <c r="G219" s="189">
        <f>TDP!G219+'Dai Loc'!G219+'Khanh Nga'!G219+'Dong Lam'!G219+DTR!G219+DTRVL!G219</f>
        <v>9946230455</v>
      </c>
      <c r="H219" s="189">
        <f>TDP!H219+'Dai Loc'!H219+'Khanh Nga'!H219+'Dong Lam'!H219+DTR!H219+DTRVL!H219</f>
        <v>9326220242</v>
      </c>
      <c r="I219" s="189">
        <f>TDP!I219+'Dai Loc'!I219+'Khanh Nga'!I219+'Dong Lam'!I219+DTR!I219+DTRVL!I219</f>
        <v>8804186755</v>
      </c>
      <c r="J219" s="189">
        <f>TDP!J219+'Dai Loc'!J219+'Khanh Nga'!J219+'Dong Lam'!J219+DTR!J219+DTRVL!J219</f>
        <v>8971905978</v>
      </c>
      <c r="K219" s="189">
        <f>TDP!K219+'Dai Loc'!K219+'Khanh Nga'!K219+'Dong Lam'!K219+DTR!K219+DTRVL!K219</f>
        <v>9681559245</v>
      </c>
      <c r="L219" s="189">
        <f>TDP!L219+'Dai Loc'!L219+'Khanh Nga'!L219+'Dong Lam'!L219+DTR!L219+DTRVL!L219</f>
        <v>8911474686</v>
      </c>
      <c r="M219" s="189">
        <f>TDP!M219+'Dai Loc'!M219+'Khanh Nga'!M219+'Dong Lam'!M219+DTR!M219+DTRVL!M219</f>
        <v>8541326330</v>
      </c>
      <c r="N219" s="189">
        <f>TDP!N219+'Dai Loc'!N219+'Khanh Nga'!N219+'Dong Lam'!N219+DTR!N219+DTRVL!N219</f>
        <v>5200338868</v>
      </c>
      <c r="O219" s="189">
        <f>TDP!O219+'Dai Loc'!O219+'Khanh Nga'!O219+'Dong Lam'!O219+DTR!O219+DTRVL!O219</f>
        <v>8507330141</v>
      </c>
      <c r="P219" s="189">
        <f>TDP!P219+'Dai Loc'!P219+'Khanh Nga'!P219+'Dong Lam'!P219+DTR!P219+DTRVL!P219</f>
        <v>8759545668</v>
      </c>
      <c r="Q219" s="189">
        <f>TDP!Q219+'Dai Loc'!Q219+'Khanh Nga'!Q219+'Dong Lam'!Q219+DTR!Q219+DTRVL!Q219</f>
        <v>9004416140</v>
      </c>
      <c r="R219" s="189">
        <f>TDP!R219+'Dai Loc'!R219+'Khanh Nga'!R219+'Dong Lam'!R219+DTR!R219+DTRVL!R219</f>
        <v>9375939174</v>
      </c>
      <c r="S219" s="189">
        <f>TDP!S219+'Dai Loc'!S219+'Khanh Nga'!S219+'Dong Lam'!S219+DTR!S219+DTRVL!S219</f>
        <v>9031634893</v>
      </c>
      <c r="T219" s="189">
        <f>TDP!T219+'Dai Loc'!T219+'Khanh Nga'!T219+'Dong Lam'!T219+DTR!T219+DTRVL!T219</f>
        <v>9355450861</v>
      </c>
      <c r="U219" s="189">
        <f>TDP!U219+'Dai Loc'!U219+'Khanh Nga'!U219+'Dong Lam'!U219+DTR!U219+DTRVL!U219</f>
        <v>9577682600</v>
      </c>
      <c r="V219" s="189">
        <f>TDP!V219+'Dai Loc'!V219+'Khanh Nga'!V219+'Dong Lam'!V219+DTR!V219+DTRVL!V219</f>
        <v>9596061888</v>
      </c>
      <c r="W219" s="189">
        <f>TDP!W219+'Dai Loc'!W219+'Khanh Nga'!W219+'Dong Lam'!W219+DTR!W219+DTRVL!W219</f>
        <v>9738228367</v>
      </c>
      <c r="X219" s="189">
        <f>TDP!X219+'Dai Loc'!X219+'Khanh Nga'!X219+'Dong Lam'!X219+DTR!X219+DTRVL!X219</f>
        <v>9732522011</v>
      </c>
      <c r="Y219" s="189">
        <f>TDP!Y219+'Dai Loc'!Y219+'Khanh Nga'!Y219+'Dong Lam'!Y219+DTR!Y219+DTRVL!Y219</f>
        <v>9299986677</v>
      </c>
      <c r="Z219" s="189">
        <f>TDP!Z219+'Dai Loc'!Z219+'Khanh Nga'!Z219+'Dong Lam'!Z219+DTR!Z219+DTRVL!Z219</f>
        <v>9091519654</v>
      </c>
    </row>
    <row r="220" spans="1:26" ht="15" customHeight="1">
      <c r="A220" s="178" t="s">
        <v>306</v>
      </c>
      <c r="B220" s="179">
        <v>22</v>
      </c>
      <c r="C220" s="189">
        <f>TDP!C220+'Dai Loc'!C220+'Khanh Nga'!C220+'Dong Lam'!C220+DTR!C220+DTRVL!C220</f>
        <v>6224830108</v>
      </c>
      <c r="D220" s="189">
        <f>TDP!D220+'Dai Loc'!D220+'Khanh Nga'!D220+'Dong Lam'!D220+DTR!D220+DTRVL!D220</f>
        <v>6213032910</v>
      </c>
      <c r="E220" s="189">
        <f>TDP!E220+'Dai Loc'!E220+'Khanh Nga'!E220+'Dong Lam'!E220+DTR!E220+DTRVL!E220</f>
        <v>3516750532</v>
      </c>
      <c r="F220" s="189">
        <f>TDP!F220+'Dai Loc'!F220+'Khanh Nga'!F220+'Dong Lam'!F220+DTR!F220+DTRVL!F220</f>
        <v>3600047122</v>
      </c>
      <c r="G220" s="189">
        <f>TDP!G220+'Dai Loc'!G220+'Khanh Nga'!G220+'Dong Lam'!G220+DTR!G220+DTRVL!G220</f>
        <v>3778600715</v>
      </c>
      <c r="H220" s="189">
        <f>TDP!H220+'Dai Loc'!H220+'Khanh Nga'!H220+'Dong Lam'!H220+DTR!H220+DTRVL!H220</f>
        <v>3856293277</v>
      </c>
      <c r="I220" s="189">
        <f>TDP!I220+'Dai Loc'!I220+'Khanh Nga'!I220+'Dong Lam'!I220+DTR!I220+DTRVL!I220</f>
        <v>3756370427</v>
      </c>
      <c r="J220" s="189">
        <f>TDP!J220+'Dai Loc'!J220+'Khanh Nga'!J220+'Dong Lam'!J220+DTR!J220+DTRVL!J220</f>
        <v>3779520408</v>
      </c>
      <c r="K220" s="189">
        <f>TDP!K220+'Dai Loc'!K220+'Khanh Nga'!K220+'Dong Lam'!K220+DTR!K220+DTRVL!K220</f>
        <v>3914728758</v>
      </c>
      <c r="L220" s="189">
        <f>TDP!L220+'Dai Loc'!L220+'Khanh Nga'!L220+'Dong Lam'!L220+DTR!L220+DTRVL!L220</f>
        <v>3938179978</v>
      </c>
      <c r="M220" s="189">
        <f>TDP!M220+'Dai Loc'!M220+'Khanh Nga'!M220+'Dong Lam'!M220+DTR!M220+DTRVL!M220</f>
        <v>3985433047</v>
      </c>
      <c r="N220" s="189">
        <f>TDP!N220+'Dai Loc'!N220+'Khanh Nga'!N220+'Dong Lam'!N220+DTR!N220+DTRVL!N220</f>
        <v>4256958086</v>
      </c>
      <c r="O220" s="189">
        <f>TDP!O220+'Dai Loc'!O220+'Khanh Nga'!O220+'Dong Lam'!O220+DTR!O220+DTRVL!O220</f>
        <v>4623346762</v>
      </c>
      <c r="P220" s="189">
        <f>TDP!P220+'Dai Loc'!P220+'Khanh Nga'!P220+'Dong Lam'!P220+DTR!P220+DTRVL!P220</f>
        <v>4623033432</v>
      </c>
      <c r="Q220" s="189">
        <f>TDP!Q220+'Dai Loc'!Q220+'Khanh Nga'!Q220+'Dong Lam'!Q220+DTR!Q220+DTRVL!Q220</f>
        <v>4821679460</v>
      </c>
      <c r="R220" s="189">
        <f>TDP!R220+'Dai Loc'!R220+'Khanh Nga'!R220+'Dong Lam'!R220+DTR!R220+DTRVL!R220</f>
        <v>4742744507</v>
      </c>
      <c r="S220" s="189">
        <f>TDP!S220+'Dai Loc'!S220+'Khanh Nga'!S220+'Dong Lam'!S220+DTR!S220+DTRVL!S220</f>
        <v>4908392818</v>
      </c>
      <c r="T220" s="189">
        <f>TDP!T220+'Dai Loc'!T220+'Khanh Nga'!T220+'Dong Lam'!T220+DTR!T220+DTRVL!T220</f>
        <v>4917572507</v>
      </c>
      <c r="U220" s="189">
        <f>TDP!U220+'Dai Loc'!U220+'Khanh Nga'!U220+'Dong Lam'!U220+DTR!U220+DTRVL!U220</f>
        <v>4926486608</v>
      </c>
      <c r="V220" s="189">
        <f>TDP!V220+'Dai Loc'!V220+'Khanh Nga'!V220+'Dong Lam'!V220+DTR!V220+DTRVL!V220</f>
        <v>4963844329</v>
      </c>
      <c r="W220" s="189">
        <f>TDP!W220+'Dai Loc'!W220+'Khanh Nga'!W220+'Dong Lam'!W220+DTR!W220+DTRVL!W220</f>
        <v>5285312950</v>
      </c>
      <c r="X220" s="189">
        <f>TDP!X220+'Dai Loc'!X220+'Khanh Nga'!X220+'Dong Lam'!X220+DTR!X220+DTRVL!X220</f>
        <v>5092497073</v>
      </c>
      <c r="Y220" s="189">
        <f>TDP!Y220+'Dai Loc'!Y220+'Khanh Nga'!Y220+'Dong Lam'!Y220+DTR!Y220+DTRVL!Y220</f>
        <v>5288782873</v>
      </c>
      <c r="Z220" s="189">
        <f>TDP!Z220+'Dai Loc'!Z220+'Khanh Nga'!Z220+'Dong Lam'!Z220+DTR!Z220+DTRVL!Z220</f>
        <v>5304456647</v>
      </c>
    </row>
    <row r="221" spans="1:26" ht="15" customHeight="1">
      <c r="A221" s="178" t="s">
        <v>307</v>
      </c>
      <c r="B221" s="179">
        <v>23</v>
      </c>
      <c r="C221" s="189">
        <f>TDP!C221+'Dai Loc'!C221+'Khanh Nga'!C221+'Dong Lam'!C221+DTR!C221+DTRVL!C221</f>
        <v>2408877200</v>
      </c>
      <c r="D221" s="189">
        <f>TDP!D221+'Dai Loc'!D221+'Khanh Nga'!D221+'Dong Lam'!D221+DTR!D221+DTRVL!D221</f>
        <v>321736000</v>
      </c>
      <c r="E221" s="189">
        <f>TDP!E221+'Dai Loc'!E221+'Khanh Nga'!E221+'Dong Lam'!E221+DTR!E221+DTRVL!E221</f>
        <v>407200000</v>
      </c>
      <c r="F221" s="189">
        <f>TDP!F221+'Dai Loc'!F221+'Khanh Nga'!F221+'Dong Lam'!F221+DTR!F221+DTRVL!F221</f>
        <v>1027400000</v>
      </c>
      <c r="G221" s="189">
        <f>TDP!G221+'Dai Loc'!G221+'Khanh Nga'!G221+'Dong Lam'!G221+DTR!G221+DTRVL!G221</f>
        <v>1296610000</v>
      </c>
      <c r="H221" s="189">
        <f>TDP!H221+'Dai Loc'!H221+'Khanh Nga'!H221+'Dong Lam'!H221+DTR!H221+DTRVL!H221</f>
        <v>932027000</v>
      </c>
      <c r="I221" s="189">
        <f>TDP!I221+'Dai Loc'!I221+'Khanh Nga'!I221+'Dong Lam'!I221+DTR!I221+DTRVL!I221</f>
        <v>1461251000</v>
      </c>
      <c r="J221" s="189">
        <f>TDP!J221+'Dai Loc'!J221+'Khanh Nga'!J221+'Dong Lam'!J221+DTR!J221+DTRVL!J221</f>
        <v>1743703999</v>
      </c>
      <c r="K221" s="189">
        <f>TDP!K221+'Dai Loc'!K221+'Khanh Nga'!K221+'Dong Lam'!K221+DTR!K221+DTRVL!K221</f>
        <v>838296001</v>
      </c>
      <c r="L221" s="189">
        <f>TDP!L221+'Dai Loc'!L221+'Khanh Nga'!L221+'Dong Lam'!L221+DTR!L221+DTRVL!L221</f>
        <v>1688273746</v>
      </c>
      <c r="M221" s="189">
        <f>TDP!M221+'Dai Loc'!M221+'Khanh Nga'!M221+'Dong Lam'!M221+DTR!M221+DTRVL!M221</f>
        <v>1220372826</v>
      </c>
      <c r="N221" s="189">
        <f>TDP!N221+'Dai Loc'!N221+'Khanh Nga'!N221+'Dong Lam'!N221+DTR!N221+DTRVL!N221</f>
        <v>1496105366</v>
      </c>
      <c r="O221" s="189">
        <f>TDP!O221+'Dai Loc'!O221+'Khanh Nga'!O221+'Dong Lam'!O221+DTR!O221+DTRVL!O221</f>
        <v>380467548</v>
      </c>
      <c r="P221" s="189">
        <f>TDP!P221+'Dai Loc'!P221+'Khanh Nga'!P221+'Dong Lam'!P221+DTR!P221+DTRVL!P221</f>
        <v>1845315600</v>
      </c>
      <c r="Q221" s="189">
        <f>TDP!Q221+'Dai Loc'!Q221+'Khanh Nga'!Q221+'Dong Lam'!Q221+DTR!Q221+DTRVL!Q221</f>
        <v>1342787586</v>
      </c>
      <c r="R221" s="189">
        <f>TDP!R221+'Dai Loc'!R221+'Khanh Nga'!R221+'Dong Lam'!R221+DTR!R221+DTRVL!R221</f>
        <v>843454000</v>
      </c>
      <c r="S221" s="189">
        <f>TDP!S221+'Dai Loc'!S221+'Khanh Nga'!S221+'Dong Lam'!S221+DTR!S221+DTRVL!S221</f>
        <v>350000000</v>
      </c>
      <c r="T221" s="189">
        <f>TDP!T221+'Dai Loc'!T221+'Khanh Nga'!T221+'Dong Lam'!T221+DTR!T221+DTRVL!T221</f>
        <v>510000000</v>
      </c>
      <c r="U221" s="189">
        <f>TDP!U221+'Dai Loc'!U221+'Khanh Nga'!U221+'Dong Lam'!U221+DTR!U221+DTRVL!U221</f>
        <v>200000000</v>
      </c>
      <c r="V221" s="189">
        <f>TDP!V221+'Dai Loc'!V221+'Khanh Nga'!V221+'Dong Lam'!V221+DTR!V221+DTRVL!V221</f>
        <v>898330000</v>
      </c>
      <c r="W221" s="189">
        <f>TDP!W221+'Dai Loc'!W221+'Khanh Nga'!W221+'Dong Lam'!W221+DTR!W221+DTRVL!W221</f>
        <v>1091045000</v>
      </c>
      <c r="X221" s="189">
        <f>TDP!X221+'Dai Loc'!X221+'Khanh Nga'!X221+'Dong Lam'!X221+DTR!X221+DTRVL!X221</f>
        <v>1155172500</v>
      </c>
      <c r="Y221" s="189">
        <f>TDP!Y221+'Dai Loc'!Y221+'Khanh Nga'!Y221+'Dong Lam'!Y221+DTR!Y221+DTRVL!Y221</f>
        <v>975000000</v>
      </c>
      <c r="Z221" s="189">
        <f>TDP!Z221+'Dai Loc'!Z221+'Khanh Nga'!Z221+'Dong Lam'!Z221+DTR!Z221+DTRVL!Z221</f>
        <v>930000000</v>
      </c>
    </row>
    <row r="222" spans="1:26" ht="15" customHeight="1">
      <c r="A222" s="178" t="s">
        <v>308</v>
      </c>
      <c r="B222" s="179">
        <v>24</v>
      </c>
      <c r="C222" s="189">
        <f>TDP!C222+'Dai Loc'!C222+'Khanh Nga'!C222+'Dong Lam'!C222+DTR!C222+DTRVL!C222</f>
        <v>11008792358</v>
      </c>
      <c r="D222" s="189">
        <f>TDP!D222+'Dai Loc'!D222+'Khanh Nga'!D222+'Dong Lam'!D222+DTR!D222+DTRVL!D222</f>
        <v>14091966230</v>
      </c>
      <c r="E222" s="189">
        <f>TDP!E222+'Dai Loc'!E222+'Khanh Nga'!E222+'Dong Lam'!E222+DTR!E222+DTRVL!E222</f>
        <v>14967977208</v>
      </c>
      <c r="F222" s="189">
        <f>TDP!F222+'Dai Loc'!F222+'Khanh Nga'!F222+'Dong Lam'!F222+DTR!F222+DTRVL!F222</f>
        <v>9793313487</v>
      </c>
      <c r="G222" s="189">
        <f>TDP!G222+'Dai Loc'!G222+'Khanh Nga'!G222+'Dong Lam'!G222+DTR!G222+DTRVL!G222</f>
        <v>10326586768</v>
      </c>
      <c r="H222" s="189">
        <f>TDP!H222+'Dai Loc'!H222+'Khanh Nga'!H222+'Dong Lam'!H222+DTR!H222+DTRVL!H222</f>
        <v>10046707984</v>
      </c>
      <c r="I222" s="189">
        <f>TDP!I222+'Dai Loc'!I222+'Khanh Nga'!I222+'Dong Lam'!I222+DTR!I222+DTRVL!I222</f>
        <v>10237671622</v>
      </c>
      <c r="J222" s="189">
        <f>TDP!J222+'Dai Loc'!J222+'Khanh Nga'!J222+'Dong Lam'!J222+DTR!J222+DTRVL!J222</f>
        <v>11454537032.999998</v>
      </c>
      <c r="K222" s="189">
        <f>TDP!K222+'Dai Loc'!K222+'Khanh Nga'!K222+'Dong Lam'!K222+DTR!K222+DTRVL!K222</f>
        <v>8202935246.1999998</v>
      </c>
      <c r="L222" s="189">
        <f>TDP!L222+'Dai Loc'!L222+'Khanh Nga'!L222+'Dong Lam'!L222+DTR!L222+DTRVL!L222</f>
        <v>11930809359</v>
      </c>
      <c r="M222" s="189">
        <f>TDP!M222+'Dai Loc'!M222+'Khanh Nga'!M222+'Dong Lam'!M222+DTR!M222+DTRVL!M222</f>
        <v>11338421470</v>
      </c>
      <c r="N222" s="189">
        <f>TDP!N222+'Dai Loc'!N222+'Khanh Nga'!N222+'Dong Lam'!N222+DTR!N222+DTRVL!N222</f>
        <v>-100750162957.9847</v>
      </c>
      <c r="O222" s="189">
        <f>TDP!O222+'Dai Loc'!O222+'Khanh Nga'!O222+'Dong Lam'!O222+DTR!O222+DTRVL!O222</f>
        <v>3319313766.2285709</v>
      </c>
      <c r="P222" s="189">
        <f>TDP!P222+'Dai Loc'!P222+'Khanh Nga'!P222+'Dong Lam'!P222+DTR!P222+DTRVL!P222</f>
        <v>6191106221.0000019</v>
      </c>
      <c r="Q222" s="189">
        <f>TDP!Q222+'Dai Loc'!Q222+'Khanh Nga'!Q222+'Dong Lam'!Q222+DTR!Q222+DTRVL!Q222</f>
        <v>4657786130</v>
      </c>
      <c r="R222" s="189">
        <f>TDP!R222+'Dai Loc'!R222+'Khanh Nga'!R222+'Dong Lam'!R222+DTR!R222+DTRVL!R222</f>
        <v>4702108313.000001</v>
      </c>
      <c r="S222" s="189">
        <f>TDP!S222+'Dai Loc'!S222+'Khanh Nga'!S222+'Dong Lam'!S222+DTR!S222+DTRVL!S222</f>
        <v>3960915150.0303802</v>
      </c>
      <c r="T222" s="189">
        <f>TDP!T222+'Dai Loc'!T222+'Khanh Nga'!T222+'Dong Lam'!T222+DTR!T222+DTRVL!T222</f>
        <v>1526329938.9999995</v>
      </c>
      <c r="U222" s="189">
        <f>TDP!U222+'Dai Loc'!U222+'Khanh Nga'!U222+'Dong Lam'!U222+DTR!U222+DTRVL!U222</f>
        <v>2343497099.9999995</v>
      </c>
      <c r="V222" s="189">
        <f>TDP!V222+'Dai Loc'!V222+'Khanh Nga'!V222+'Dong Lam'!V222+DTR!V222+DTRVL!V222</f>
        <v>5876744486.000001</v>
      </c>
      <c r="W222" s="189">
        <f>TDP!W222+'Dai Loc'!W222+'Khanh Nga'!W222+'Dong Lam'!W222+DTR!W222+DTRVL!W222</f>
        <v>2984086188</v>
      </c>
      <c r="X222" s="189">
        <f>TDP!X222+'Dai Loc'!X222+'Khanh Nga'!X222+'Dong Lam'!X222+DTR!X222+DTRVL!X222</f>
        <v>7836483946</v>
      </c>
      <c r="Y222" s="189">
        <f>TDP!Y222+'Dai Loc'!Y222+'Khanh Nga'!Y222+'Dong Lam'!Y222+DTR!Y222+DTRVL!Y222</f>
        <v>4104777916</v>
      </c>
      <c r="Z222" s="189">
        <f>TDP!Z222+'Dai Loc'!Z222+'Khanh Nga'!Z222+'Dong Lam'!Z222+DTR!Z222+DTRVL!Z222</f>
        <v>-14720423131.803801</v>
      </c>
    </row>
    <row r="223" spans="1:26" ht="15" customHeight="1">
      <c r="A223" s="178" t="s">
        <v>309</v>
      </c>
      <c r="B223" s="179">
        <v>25</v>
      </c>
      <c r="C223" s="189">
        <f>TDP!C223+'Dai Loc'!C223+'Khanh Nga'!C223+'Dong Lam'!C223+DTR!C223+DTRVL!C223</f>
        <v>-6827499882.0000458</v>
      </c>
      <c r="D223" s="189">
        <f>TDP!D223+'Dai Loc'!D223+'Khanh Nga'!D223+'Dong Lam'!D223+DTR!D223+DTRVL!D223</f>
        <v>-3683186779.9999847</v>
      </c>
      <c r="E223" s="189">
        <f>TDP!E223+'Dai Loc'!E223+'Khanh Nga'!E223+'Dong Lam'!E223+DTR!E223+DTRVL!E223</f>
        <v>-6111158325</v>
      </c>
      <c r="F223" s="189">
        <f>TDP!F223+'Dai Loc'!F223+'Khanh Nga'!F223+'Dong Lam'!F223+DTR!F223+DTRVL!F223</f>
        <v>-7318373989.000061</v>
      </c>
      <c r="G223" s="189">
        <f>TDP!G223+'Dai Loc'!G223+'Khanh Nga'!G223+'Dong Lam'!G223+DTR!G223+DTRVL!G223</f>
        <v>-432003628.13183975</v>
      </c>
      <c r="H223" s="189">
        <f>TDP!H223+'Dai Loc'!H223+'Khanh Nga'!H223+'Dong Lam'!H223+DTR!H223+DTRVL!H223</f>
        <v>-289719595.00001526</v>
      </c>
      <c r="I223" s="189">
        <f>TDP!I223+'Dai Loc'!I223+'Khanh Nga'!I223+'Dong Lam'!I223+DTR!I223+DTRVL!I223</f>
        <v>-7847687501.0000153</v>
      </c>
      <c r="J223" s="189">
        <f>TDP!J223+'Dai Loc'!J223+'Khanh Nga'!J223+'Dong Lam'!J223+DTR!J223+DTRVL!J223</f>
        <v>15398889630.999802</v>
      </c>
      <c r="K223" s="189">
        <f>TDP!K223+'Dai Loc'!K223+'Khanh Nga'!K223+'Dong Lam'!K223+DTR!K223+DTRVL!K223</f>
        <v>5474228658.7999878</v>
      </c>
      <c r="L223" s="189">
        <f>TDP!L223+'Dai Loc'!L223+'Khanh Nga'!L223+'Dong Lam'!L223+DTR!L223+DTRVL!L223</f>
        <v>3902390924.9999847</v>
      </c>
      <c r="M223" s="189">
        <f>TDP!M223+'Dai Loc'!M223+'Khanh Nga'!M223+'Dong Lam'!M223+DTR!M223+DTRVL!M223</f>
        <v>-1207115844</v>
      </c>
      <c r="N223" s="189">
        <f>TDP!N223+'Dai Loc'!N223+'Khanh Nga'!N223+'Dong Lam'!N223+DTR!N223+DTRVL!N223</f>
        <v>1634573111.3847866</v>
      </c>
      <c r="O223" s="189">
        <f>TDP!O223+'Dai Loc'!O223+'Khanh Nga'!O223+'Dong Lam'!O223+DTR!O223+DTRVL!O223</f>
        <v>311567959.77131653</v>
      </c>
      <c r="P223" s="189">
        <f>TDP!P223+'Dai Loc'!P223+'Khanh Nga'!P223+'Dong Lam'!P223+DTR!P223+DTRVL!P223</f>
        <v>14725820792.000031</v>
      </c>
      <c r="Q223" s="189">
        <f>TDP!Q223+'Dai Loc'!Q223+'Khanh Nga'!Q223+'Dong Lam'!Q223+DTR!Q223+DTRVL!Q223</f>
        <v>6235002945.0000916</v>
      </c>
      <c r="R223" s="189">
        <f>TDP!R223+'Dai Loc'!R223+'Khanh Nga'!R223+'Dong Lam'!R223+DTR!R223+DTRVL!R223</f>
        <v>690343524.00015259</v>
      </c>
      <c r="S223" s="189">
        <f>TDP!S223+'Dai Loc'!S223+'Khanh Nga'!S223+'Dong Lam'!S223+DTR!S223+DTRVL!S223</f>
        <v>3823712292.9944916</v>
      </c>
      <c r="T223" s="189">
        <f>TDP!T223+'Dai Loc'!T223+'Khanh Nga'!T223+'Dong Lam'!T223+DTR!T223+DTRVL!T223</f>
        <v>1344287197.7320786</v>
      </c>
      <c r="U223" s="189">
        <f>TDP!U223+'Dai Loc'!U223+'Khanh Nga'!U223+'Dong Lam'!U223+DTR!U223+DTRVL!U223</f>
        <v>2680367602.0001221</v>
      </c>
      <c r="V223" s="189">
        <f>TDP!V223+'Dai Loc'!V223+'Khanh Nga'!V223+'Dong Lam'!V223+DTR!V223+DTRVL!V223</f>
        <v>9548672403</v>
      </c>
      <c r="W223" s="189">
        <f>TDP!W223+'Dai Loc'!W223+'Khanh Nga'!W223+'Dong Lam'!W223+DTR!W223+DTRVL!W223</f>
        <v>-2319711392.9999084</v>
      </c>
      <c r="X223" s="189">
        <f>TDP!X223+'Dai Loc'!X223+'Khanh Nga'!X223+'Dong Lam'!X223+DTR!X223+DTRVL!X223</f>
        <v>-712439623</v>
      </c>
      <c r="Y223" s="189">
        <f>TDP!Y223+'Dai Loc'!Y223+'Khanh Nga'!Y223+'Dong Lam'!Y223+DTR!Y223+DTRVL!Y223</f>
        <v>1633424380</v>
      </c>
      <c r="Z223" s="189">
        <f>TDP!Z223+'Dai Loc'!Z223+'Khanh Nga'!Z223+'Dong Lam'!Z223+DTR!Z223+DTRVL!Z223</f>
        <v>1540635439.3865051</v>
      </c>
    </row>
    <row r="224" spans="1:26" ht="15" customHeight="1">
      <c r="A224" s="184" t="s">
        <v>310</v>
      </c>
      <c r="B224" s="185">
        <v>26</v>
      </c>
      <c r="C224" s="192">
        <f>IFERROR(C211/C207,"")</f>
        <v>0.92331096777011346</v>
      </c>
      <c r="D224" s="192">
        <f t="shared" ref="D224:Z224" si="18">IFERROR(D211/D207,"")</f>
        <v>1.006177481165516</v>
      </c>
      <c r="E224" s="192">
        <f t="shared" si="18"/>
        <v>0.94412970945066121</v>
      </c>
      <c r="F224" s="192">
        <f t="shared" si="18"/>
        <v>0.89806920875306606</v>
      </c>
      <c r="G224" s="192">
        <f t="shared" si="18"/>
        <v>0.98091517498252279</v>
      </c>
      <c r="H224" s="192">
        <f t="shared" si="18"/>
        <v>1.0294362776188521</v>
      </c>
      <c r="I224" s="192">
        <f t="shared" si="18"/>
        <v>1.0765127229680977</v>
      </c>
      <c r="J224" s="192">
        <f t="shared" si="18"/>
        <v>0.96892497301274683</v>
      </c>
      <c r="K224" s="192">
        <f t="shared" si="18"/>
        <v>0.86672590116511472</v>
      </c>
      <c r="L224" s="192">
        <f t="shared" si="18"/>
        <v>0.96726444848526216</v>
      </c>
      <c r="M224" s="192">
        <f t="shared" si="18"/>
        <v>0.95440427616482926</v>
      </c>
      <c r="N224" s="192">
        <f t="shared" si="18"/>
        <v>-3.3368580001616806E-2</v>
      </c>
      <c r="O224" s="192">
        <f t="shared" si="18"/>
        <v>0.86904179371711521</v>
      </c>
      <c r="P224" s="192">
        <f t="shared" si="18"/>
        <v>0.84372639761729928</v>
      </c>
      <c r="Q224" s="192">
        <f t="shared" si="18"/>
        <v>0.88292060948211881</v>
      </c>
      <c r="R224" s="192">
        <f t="shared" si="18"/>
        <v>0.89138147725602535</v>
      </c>
      <c r="S224" s="192">
        <f t="shared" si="18"/>
        <v>0.87170732611262636</v>
      </c>
      <c r="T224" s="192">
        <f t="shared" si="18"/>
        <v>0.90434423647004059</v>
      </c>
      <c r="U224" s="192">
        <f t="shared" si="18"/>
        <v>0.92621463212637245</v>
      </c>
      <c r="V224" s="192">
        <f t="shared" si="18"/>
        <v>0.91779435563172962</v>
      </c>
      <c r="W224" s="192">
        <f t="shared" si="18"/>
        <v>0.97645432410916733</v>
      </c>
      <c r="X224" s="192">
        <f t="shared" si="18"/>
        <v>0.92205401437757339</v>
      </c>
      <c r="Y224" s="192">
        <f t="shared" si="18"/>
        <v>0.92335421413196539</v>
      </c>
      <c r="Z224" s="192">
        <f t="shared" si="18"/>
        <v>0.70764865744225613</v>
      </c>
    </row>
    <row r="225" spans="1:26" ht="15" customHeight="1">
      <c r="A225" s="181" t="s">
        <v>311</v>
      </c>
      <c r="B225" s="182">
        <v>27</v>
      </c>
      <c r="C225" s="183">
        <f t="shared" ref="C225:Z225" si="19">C139</f>
        <v>9972483847</v>
      </c>
      <c r="D225" s="183">
        <f t="shared" si="19"/>
        <v>-515694066</v>
      </c>
      <c r="E225" s="183">
        <f t="shared" si="19"/>
        <v>6460025611</v>
      </c>
      <c r="F225" s="183">
        <f t="shared" si="19"/>
        <v>11991878921</v>
      </c>
      <c r="G225" s="183">
        <f t="shared" si="19"/>
        <v>2441885278</v>
      </c>
      <c r="H225" s="183">
        <f t="shared" si="19"/>
        <v>-2815920597</v>
      </c>
      <c r="I225" s="183">
        <f t="shared" si="19"/>
        <v>-5713944325</v>
      </c>
      <c r="J225" s="183">
        <f t="shared" si="19"/>
        <v>5363296363</v>
      </c>
      <c r="K225" s="183">
        <f t="shared" si="19"/>
        <v>23385512729</v>
      </c>
      <c r="L225" s="183">
        <f t="shared" si="19"/>
        <v>4592444587</v>
      </c>
      <c r="M225" s="183">
        <f t="shared" si="19"/>
        <v>4429538531</v>
      </c>
      <c r="N225" s="183">
        <f t="shared" si="19"/>
        <v>128144611272</v>
      </c>
      <c r="O225" s="183">
        <f t="shared" si="19"/>
        <v>16483105268</v>
      </c>
      <c r="P225" s="183">
        <f t="shared" si="19"/>
        <v>32306332485</v>
      </c>
      <c r="Q225" s="183">
        <f t="shared" si="19"/>
        <v>21185923943</v>
      </c>
      <c r="R225" s="183">
        <f t="shared" si="19"/>
        <v>17129551066</v>
      </c>
      <c r="S225" s="183">
        <f t="shared" si="19"/>
        <v>23787733277</v>
      </c>
      <c r="T225" s="183">
        <f t="shared" si="19"/>
        <v>15180844835</v>
      </c>
      <c r="U225" s="183">
        <f t="shared" si="19"/>
        <v>13742767461</v>
      </c>
      <c r="V225" s="183">
        <f t="shared" si="19"/>
        <v>17721449183</v>
      </c>
      <c r="W225" s="183">
        <f t="shared" si="19"/>
        <v>2827009757</v>
      </c>
      <c r="X225" s="183">
        <f t="shared" si="19"/>
        <v>10770744743</v>
      </c>
      <c r="Y225" s="183">
        <f t="shared" si="19"/>
        <v>8296122547</v>
      </c>
      <c r="Z225" s="183">
        <f t="shared" si="19"/>
        <v>37394107370</v>
      </c>
    </row>
    <row r="226" spans="1:26" ht="15" customHeight="1">
      <c r="A226" s="184" t="s">
        <v>312</v>
      </c>
      <c r="B226" s="185">
        <v>28</v>
      </c>
      <c r="C226" s="187">
        <f t="shared" ref="C226:Z226" si="20">IFERROR(C225/C207,"")</f>
        <v>7.66890322298866E-2</v>
      </c>
      <c r="D226" s="187">
        <f t="shared" si="20"/>
        <v>-6.1774811655159814E-3</v>
      </c>
      <c r="E226" s="187">
        <f t="shared" si="20"/>
        <v>5.5870290549338772E-2</v>
      </c>
      <c r="F226" s="187">
        <f t="shared" si="20"/>
        <v>0.10193079124693391</v>
      </c>
      <c r="G226" s="187">
        <f t="shared" si="20"/>
        <v>1.9084825017477242E-2</v>
      </c>
      <c r="H226" s="187">
        <f t="shared" si="20"/>
        <v>-2.9436277618852195E-2</v>
      </c>
      <c r="I226" s="187">
        <f t="shared" si="20"/>
        <v>-7.6512722968097704E-2</v>
      </c>
      <c r="J226" s="187">
        <f t="shared" si="20"/>
        <v>3.1075026987253188E-2</v>
      </c>
      <c r="K226" s="187">
        <f t="shared" si="20"/>
        <v>0.13327409883488528</v>
      </c>
      <c r="L226" s="187">
        <f t="shared" si="20"/>
        <v>3.2735551514737844E-2</v>
      </c>
      <c r="M226" s="187">
        <f t="shared" si="20"/>
        <v>4.5595723835170708E-2</v>
      </c>
      <c r="N226" s="187">
        <f t="shared" si="20"/>
        <v>1.0333685800016168</v>
      </c>
      <c r="O226" s="187">
        <f t="shared" si="20"/>
        <v>0.13095820628288476</v>
      </c>
      <c r="P226" s="187">
        <f t="shared" si="20"/>
        <v>0.15627360238270072</v>
      </c>
      <c r="Q226" s="187">
        <f t="shared" si="20"/>
        <v>0.1170793905178812</v>
      </c>
      <c r="R226" s="187">
        <f t="shared" si="20"/>
        <v>0.10861852274397467</v>
      </c>
      <c r="S226" s="187">
        <f t="shared" si="20"/>
        <v>0.12829267388737367</v>
      </c>
      <c r="T226" s="187">
        <f t="shared" si="20"/>
        <v>9.5655763529959442E-2</v>
      </c>
      <c r="U226" s="187">
        <f t="shared" si="20"/>
        <v>7.378536787362755E-2</v>
      </c>
      <c r="V226" s="187">
        <f t="shared" si="20"/>
        <v>8.2205644368270367E-2</v>
      </c>
      <c r="W226" s="187">
        <f t="shared" si="20"/>
        <v>2.3545675890832677E-2</v>
      </c>
      <c r="X226" s="187">
        <f t="shared" si="20"/>
        <v>7.7945985622426564E-2</v>
      </c>
      <c r="Y226" s="187">
        <f t="shared" si="20"/>
        <v>7.6645785868034638E-2</v>
      </c>
      <c r="Z226" s="187">
        <f t="shared" si="20"/>
        <v>0.29235134255774387</v>
      </c>
    </row>
    <row r="227" spans="1:26" ht="15" customHeight="1">
      <c r="A227" s="181" t="s">
        <v>313</v>
      </c>
      <c r="B227" s="182">
        <v>29</v>
      </c>
      <c r="C227" s="183">
        <f t="shared" ref="C227:Z227" si="21">C150</f>
        <v>-719985770</v>
      </c>
      <c r="D227" s="183">
        <f t="shared" si="21"/>
        <v>-6758932844</v>
      </c>
      <c r="E227" s="183">
        <f t="shared" si="21"/>
        <v>-2743321288</v>
      </c>
      <c r="F227" s="183">
        <f t="shared" si="21"/>
        <v>1668340417</v>
      </c>
      <c r="G227" s="183">
        <f t="shared" si="21"/>
        <v>-5691808171</v>
      </c>
      <c r="H227" s="183">
        <f t="shared" si="21"/>
        <v>-12142648645</v>
      </c>
      <c r="I227" s="183">
        <f t="shared" si="21"/>
        <v>-15194276334</v>
      </c>
      <c r="J227" s="183">
        <f t="shared" si="21"/>
        <v>-10014018528</v>
      </c>
      <c r="K227" s="183">
        <f t="shared" si="21"/>
        <v>8118268598</v>
      </c>
      <c r="L227" s="183">
        <f t="shared" si="21"/>
        <v>-6348711814</v>
      </c>
      <c r="M227" s="183">
        <f t="shared" si="21"/>
        <v>-6052149672</v>
      </c>
      <c r="N227" s="183">
        <f t="shared" si="21"/>
        <v>102908561739</v>
      </c>
      <c r="O227" s="183">
        <f t="shared" si="21"/>
        <v>3099846411</v>
      </c>
      <c r="P227" s="183">
        <f t="shared" si="21"/>
        <v>17072928466</v>
      </c>
      <c r="Q227" s="183">
        <f t="shared" si="21"/>
        <v>6996892070</v>
      </c>
      <c r="R227" s="183">
        <f t="shared" si="21"/>
        <v>3936534372</v>
      </c>
      <c r="S227" s="183">
        <f t="shared" si="21"/>
        <v>10980760888</v>
      </c>
      <c r="T227" s="183">
        <f t="shared" si="21"/>
        <v>874577083</v>
      </c>
      <c r="U227" s="183">
        <f t="shared" si="21"/>
        <v>412219980</v>
      </c>
      <c r="V227" s="183">
        <f t="shared" si="21"/>
        <v>2753352784</v>
      </c>
      <c r="W227" s="183">
        <f t="shared" si="21"/>
        <v>-12520058596</v>
      </c>
      <c r="X227" s="183">
        <f t="shared" si="21"/>
        <v>-5398471511</v>
      </c>
      <c r="Y227" s="183">
        <f t="shared" si="21"/>
        <v>-8841087053</v>
      </c>
      <c r="Z227" s="183">
        <f t="shared" si="21"/>
        <v>16289700389</v>
      </c>
    </row>
    <row r="228" spans="1:26" ht="15" customHeight="1">
      <c r="A228" s="184" t="s">
        <v>314</v>
      </c>
      <c r="B228" s="185">
        <v>30</v>
      </c>
      <c r="C228" s="187">
        <f t="shared" ref="C228:Z228" si="22">IFERROR(C227/C207,"")</f>
        <v>-5.5367361599888603E-3</v>
      </c>
      <c r="D228" s="187">
        <f t="shared" si="22"/>
        <v>-8.0965019951959982E-2</v>
      </c>
      <c r="E228" s="187">
        <f t="shared" si="22"/>
        <v>-2.3725936499347768E-2</v>
      </c>
      <c r="F228" s="187">
        <f t="shared" si="22"/>
        <v>1.418086856065995E-2</v>
      </c>
      <c r="G228" s="187">
        <f t="shared" si="22"/>
        <v>-4.4484957567520161E-2</v>
      </c>
      <c r="H228" s="187">
        <f t="shared" si="22"/>
        <v>-0.12693340036760967</v>
      </c>
      <c r="I228" s="187">
        <f t="shared" si="22"/>
        <v>-0.20345936007069251</v>
      </c>
      <c r="J228" s="187">
        <f t="shared" si="22"/>
        <v>-5.8021387398101802E-2</v>
      </c>
      <c r="K228" s="187">
        <f t="shared" si="22"/>
        <v>4.6266034191171812E-2</v>
      </c>
      <c r="L228" s="187">
        <f t="shared" si="22"/>
        <v>-4.5254456249233722E-2</v>
      </c>
      <c r="M228" s="187">
        <f t="shared" si="22"/>
        <v>-6.2298170141739981E-2</v>
      </c>
      <c r="N228" s="187">
        <f t="shared" si="22"/>
        <v>0.82986302161794689</v>
      </c>
      <c r="O228" s="187">
        <f t="shared" si="22"/>
        <v>2.462826749793939E-2</v>
      </c>
      <c r="P228" s="187">
        <f t="shared" si="22"/>
        <v>8.2585915186837291E-2</v>
      </c>
      <c r="Q228" s="187">
        <f t="shared" si="22"/>
        <v>3.8666798827325335E-2</v>
      </c>
      <c r="R228" s="187">
        <f t="shared" si="22"/>
        <v>2.4961573515269384E-2</v>
      </c>
      <c r="S228" s="187">
        <f t="shared" si="22"/>
        <v>5.9221749261898438E-2</v>
      </c>
      <c r="T228" s="187">
        <f t="shared" si="22"/>
        <v>5.5107828022385365E-3</v>
      </c>
      <c r="U228" s="187">
        <f t="shared" si="22"/>
        <v>2.2132225518240829E-3</v>
      </c>
      <c r="V228" s="187">
        <f t="shared" si="22"/>
        <v>1.2772157482415027E-2</v>
      </c>
      <c r="W228" s="187">
        <f t="shared" si="22"/>
        <v>-0.10427740516484169</v>
      </c>
      <c r="X228" s="187">
        <f t="shared" si="22"/>
        <v>-3.9067788980233699E-2</v>
      </c>
      <c r="Y228" s="187">
        <f t="shared" si="22"/>
        <v>-8.1680575626252416E-2</v>
      </c>
      <c r="Z228" s="187">
        <f t="shared" si="22"/>
        <v>0.1273547121065442</v>
      </c>
    </row>
    <row r="229" spans="1:26" ht="15" customHeight="1">
      <c r="A229" s="181" t="s">
        <v>315</v>
      </c>
      <c r="B229" s="182">
        <v>31</v>
      </c>
      <c r="C229" s="183">
        <f>C150+C143+C159</f>
        <v>3675898864</v>
      </c>
      <c r="D229" s="183">
        <f t="shared" ref="D229:Z229" si="23">D150+D143+D159</f>
        <v>-2249766799</v>
      </c>
      <c r="E229" s="183">
        <f t="shared" si="23"/>
        <v>1785704666</v>
      </c>
      <c r="F229" s="183">
        <f t="shared" si="23"/>
        <v>6750826694</v>
      </c>
      <c r="G229" s="183">
        <f t="shared" si="23"/>
        <v>-452261713</v>
      </c>
      <c r="H229" s="183">
        <f t="shared" si="23"/>
        <v>-6787951141</v>
      </c>
      <c r="I229" s="183">
        <f t="shared" si="23"/>
        <v>-9754786291</v>
      </c>
      <c r="J229" s="183">
        <f t="shared" si="23"/>
        <v>-4762037040</v>
      </c>
      <c r="K229" s="183">
        <f t="shared" si="23"/>
        <v>13425158696</v>
      </c>
      <c r="L229" s="183">
        <f t="shared" si="23"/>
        <v>-1041021395</v>
      </c>
      <c r="M229" s="183">
        <f t="shared" si="23"/>
        <v>-668129018</v>
      </c>
      <c r="N229" s="183">
        <f t="shared" si="23"/>
        <v>108733421490</v>
      </c>
      <c r="O229" s="183">
        <f t="shared" si="23"/>
        <v>9084402201</v>
      </c>
      <c r="P229" s="183">
        <f t="shared" si="23"/>
        <v>22872990664</v>
      </c>
      <c r="Q229" s="183">
        <f t="shared" si="23"/>
        <v>12745104196</v>
      </c>
      <c r="R229" s="183">
        <f t="shared" si="23"/>
        <v>9836693447</v>
      </c>
      <c r="S229" s="183">
        <f t="shared" si="23"/>
        <v>17344763554</v>
      </c>
      <c r="T229" s="183">
        <f t="shared" si="23"/>
        <v>7491353035</v>
      </c>
      <c r="U229" s="183">
        <f t="shared" si="23"/>
        <v>6840781034</v>
      </c>
      <c r="V229" s="183">
        <f t="shared" si="23"/>
        <v>9226585015</v>
      </c>
      <c r="W229" s="183">
        <f t="shared" si="23"/>
        <v>-5414763535</v>
      </c>
      <c r="X229" s="183">
        <f t="shared" si="23"/>
        <v>1333218265</v>
      </c>
      <c r="Y229" s="183">
        <f t="shared" si="23"/>
        <v>-2057039711</v>
      </c>
      <c r="Z229" s="183">
        <f t="shared" si="23"/>
        <v>23143211984</v>
      </c>
    </row>
    <row r="230" spans="1:26" ht="15" customHeight="1">
      <c r="A230" s="184" t="s">
        <v>316</v>
      </c>
      <c r="B230" s="185">
        <v>32</v>
      </c>
      <c r="C230" s="187">
        <f t="shared" ref="C230:Z230" si="24">IFERROR(C229/C207,"")</f>
        <v>2.8267895017940109E-2</v>
      </c>
      <c r="D230" s="187">
        <f t="shared" si="24"/>
        <v>-2.6949877735505449E-2</v>
      </c>
      <c r="E230" s="187">
        <f t="shared" si="24"/>
        <v>1.5443876624087574E-2</v>
      </c>
      <c r="F230" s="187">
        <f t="shared" si="24"/>
        <v>5.7381925803580501E-2</v>
      </c>
      <c r="G230" s="187">
        <f t="shared" si="24"/>
        <v>-3.5347015408434402E-3</v>
      </c>
      <c r="H230" s="187">
        <f t="shared" si="24"/>
        <v>-7.0957971777526135E-2</v>
      </c>
      <c r="I230" s="187">
        <f t="shared" si="24"/>
        <v>-0.1306217244418601</v>
      </c>
      <c r="J230" s="187">
        <f t="shared" si="24"/>
        <v>-2.7591320620127979E-2</v>
      </c>
      <c r="K230" s="187">
        <f t="shared" si="24"/>
        <v>7.6510014882245167E-2</v>
      </c>
      <c r="L230" s="187">
        <f t="shared" si="24"/>
        <v>-7.4205379854628507E-3</v>
      </c>
      <c r="M230" s="187">
        <f t="shared" si="24"/>
        <v>-6.8774266162923234E-3</v>
      </c>
      <c r="N230" s="187">
        <f t="shared" si="24"/>
        <v>0.87683516496327274</v>
      </c>
      <c r="O230" s="187">
        <f t="shared" si="24"/>
        <v>7.2175539623887952E-2</v>
      </c>
      <c r="P230" s="187">
        <f t="shared" si="24"/>
        <v>0.11064222935205645</v>
      </c>
      <c r="Q230" s="187">
        <f t="shared" si="24"/>
        <v>7.0433040134065122E-2</v>
      </c>
      <c r="R230" s="187">
        <f t="shared" si="24"/>
        <v>6.2374495792782855E-2</v>
      </c>
      <c r="S230" s="187">
        <f t="shared" si="24"/>
        <v>9.3544267895354458E-2</v>
      </c>
      <c r="T230" s="187">
        <f t="shared" si="24"/>
        <v>4.7203637361688637E-2</v>
      </c>
      <c r="U230" s="187">
        <f t="shared" si="24"/>
        <v>3.6728377058625999E-2</v>
      </c>
      <c r="V230" s="187">
        <f t="shared" si="24"/>
        <v>4.2799962838496401E-2</v>
      </c>
      <c r="W230" s="187">
        <f t="shared" si="24"/>
        <v>-4.5098630064830524E-2</v>
      </c>
      <c r="X230" s="187">
        <f t="shared" si="24"/>
        <v>9.6482661315304453E-3</v>
      </c>
      <c r="Y230" s="187">
        <f t="shared" si="24"/>
        <v>-1.9004471585145913E-2</v>
      </c>
      <c r="Z230" s="187">
        <f t="shared" si="24"/>
        <v>0.18093623756477081</v>
      </c>
    </row>
    <row r="231" spans="1:26" ht="15" customHeight="1">
      <c r="A231" s="181" t="s">
        <v>317</v>
      </c>
      <c r="B231" s="182">
        <v>33</v>
      </c>
      <c r="C231" s="183">
        <f>C151+C152</f>
        <v>0</v>
      </c>
      <c r="D231" s="183">
        <f t="shared" ref="D231:Z231" si="25">D151+D152</f>
        <v>0</v>
      </c>
      <c r="E231" s="183">
        <f t="shared" si="25"/>
        <v>0</v>
      </c>
      <c r="F231" s="183">
        <f t="shared" si="25"/>
        <v>0</v>
      </c>
      <c r="G231" s="183">
        <f t="shared" si="25"/>
        <v>0</v>
      </c>
      <c r="H231" s="183">
        <f t="shared" si="25"/>
        <v>0</v>
      </c>
      <c r="I231" s="183">
        <f t="shared" si="25"/>
        <v>0</v>
      </c>
      <c r="J231" s="183">
        <f t="shared" si="25"/>
        <v>32927331</v>
      </c>
      <c r="K231" s="183">
        <f t="shared" si="25"/>
        <v>0</v>
      </c>
      <c r="L231" s="183">
        <f t="shared" si="25"/>
        <v>0</v>
      </c>
      <c r="M231" s="183">
        <f t="shared" si="25"/>
        <v>0</v>
      </c>
      <c r="N231" s="183">
        <f t="shared" si="25"/>
        <v>13334207765</v>
      </c>
      <c r="O231" s="183">
        <f t="shared" si="25"/>
        <v>864190686</v>
      </c>
      <c r="P231" s="183">
        <f t="shared" si="25"/>
        <v>3012699780</v>
      </c>
      <c r="Q231" s="183">
        <f t="shared" si="25"/>
        <v>1252632187</v>
      </c>
      <c r="R231" s="183">
        <f t="shared" si="25"/>
        <v>677293488</v>
      </c>
      <c r="S231" s="183">
        <f t="shared" si="25"/>
        <v>1681800759</v>
      </c>
      <c r="T231" s="183">
        <f t="shared" si="25"/>
        <v>189264839</v>
      </c>
      <c r="U231" s="183">
        <f t="shared" si="25"/>
        <v>-2830986340</v>
      </c>
      <c r="V231" s="183">
        <f t="shared" si="25"/>
        <v>204199602</v>
      </c>
      <c r="W231" s="183">
        <f t="shared" si="25"/>
        <v>-1349170846</v>
      </c>
      <c r="X231" s="183">
        <f t="shared" si="25"/>
        <v>-516688622</v>
      </c>
      <c r="Y231" s="183">
        <f t="shared" si="25"/>
        <v>-854033077</v>
      </c>
      <c r="Z231" s="183">
        <f t="shared" si="25"/>
        <v>2388437945</v>
      </c>
    </row>
    <row r="232" spans="1:26" ht="15" customHeight="1">
      <c r="A232" s="184" t="s">
        <v>318</v>
      </c>
      <c r="B232" s="185">
        <v>34</v>
      </c>
      <c r="C232" s="187">
        <f>IFERROR(C231/C207,"")</f>
        <v>0</v>
      </c>
      <c r="D232" s="187">
        <f t="shared" ref="D232:Z232" si="26">IFERROR(D231/D207,"")</f>
        <v>0</v>
      </c>
      <c r="E232" s="187">
        <f t="shared" si="26"/>
        <v>0</v>
      </c>
      <c r="F232" s="187">
        <f t="shared" si="26"/>
        <v>0</v>
      </c>
      <c r="G232" s="187">
        <f t="shared" si="26"/>
        <v>0</v>
      </c>
      <c r="H232" s="187">
        <f t="shared" si="26"/>
        <v>0</v>
      </c>
      <c r="I232" s="187">
        <f t="shared" si="26"/>
        <v>0</v>
      </c>
      <c r="J232" s="187">
        <f t="shared" si="26"/>
        <v>1.9078149522038979E-4</v>
      </c>
      <c r="K232" s="187">
        <f t="shared" si="26"/>
        <v>0</v>
      </c>
      <c r="L232" s="187">
        <f t="shared" si="26"/>
        <v>0</v>
      </c>
      <c r="M232" s="187">
        <f t="shared" si="26"/>
        <v>0</v>
      </c>
      <c r="N232" s="187">
        <f t="shared" si="26"/>
        <v>0.10752813720989741</v>
      </c>
      <c r="O232" s="187">
        <f t="shared" si="26"/>
        <v>6.8659915886509215E-3</v>
      </c>
      <c r="P232" s="187">
        <f t="shared" si="26"/>
        <v>1.4573162946823733E-2</v>
      </c>
      <c r="Q232" s="187">
        <f t="shared" si="26"/>
        <v>6.922398730006646E-3</v>
      </c>
      <c r="R232" s="187">
        <f t="shared" si="26"/>
        <v>4.2947195666262613E-3</v>
      </c>
      <c r="S232" s="187">
        <f t="shared" si="26"/>
        <v>9.0703352776593561E-3</v>
      </c>
      <c r="T232" s="187">
        <f t="shared" si="26"/>
        <v>1.1925734621949218E-3</v>
      </c>
      <c r="U232" s="187">
        <f t="shared" si="26"/>
        <v>-1.5199658230039992E-2</v>
      </c>
      <c r="V232" s="187">
        <f t="shared" si="26"/>
        <v>9.4723403762358939E-4</v>
      </c>
      <c r="W232" s="187">
        <f t="shared" si="26"/>
        <v>-1.1237010902639247E-2</v>
      </c>
      <c r="X232" s="187">
        <f t="shared" si="26"/>
        <v>-3.7391846954555013E-3</v>
      </c>
      <c r="Y232" s="187">
        <f t="shared" si="26"/>
        <v>-7.8901964108077597E-3</v>
      </c>
      <c r="Z232" s="187">
        <f t="shared" si="26"/>
        <v>1.8673076828056634E-2</v>
      </c>
    </row>
    <row r="233" spans="1:26" ht="15" customHeight="1">
      <c r="A233" s="181" t="s">
        <v>319</v>
      </c>
      <c r="B233" s="182">
        <v>35</v>
      </c>
      <c r="C233" s="183">
        <f t="shared" ref="C233:Z233" si="27">C153</f>
        <v>-719985770</v>
      </c>
      <c r="D233" s="183">
        <f t="shared" si="27"/>
        <v>-6758932844</v>
      </c>
      <c r="E233" s="183">
        <f t="shared" si="27"/>
        <v>-2743321288</v>
      </c>
      <c r="F233" s="183">
        <f t="shared" si="27"/>
        <v>1668340417</v>
      </c>
      <c r="G233" s="183">
        <f t="shared" si="27"/>
        <v>-5691808171</v>
      </c>
      <c r="H233" s="183">
        <f t="shared" si="27"/>
        <v>-12142648645</v>
      </c>
      <c r="I233" s="183">
        <f t="shared" si="27"/>
        <v>-15194276334</v>
      </c>
      <c r="J233" s="183">
        <f t="shared" si="27"/>
        <v>-10046945859</v>
      </c>
      <c r="K233" s="183">
        <f t="shared" si="27"/>
        <v>8118268598</v>
      </c>
      <c r="L233" s="183">
        <f t="shared" si="27"/>
        <v>-6348711814</v>
      </c>
      <c r="M233" s="183">
        <f t="shared" si="27"/>
        <v>-6052149672</v>
      </c>
      <c r="N233" s="183">
        <f t="shared" si="27"/>
        <v>89574353974</v>
      </c>
      <c r="O233" s="183">
        <f t="shared" si="27"/>
        <v>2235655725</v>
      </c>
      <c r="P233" s="183">
        <f t="shared" si="27"/>
        <v>14060228686</v>
      </c>
      <c r="Q233" s="183">
        <f t="shared" si="27"/>
        <v>5744259883</v>
      </c>
      <c r="R233" s="183">
        <f t="shared" si="27"/>
        <v>3259240884</v>
      </c>
      <c r="S233" s="183">
        <f t="shared" si="27"/>
        <v>9298960129</v>
      </c>
      <c r="T233" s="183">
        <f t="shared" si="27"/>
        <v>685312244</v>
      </c>
      <c r="U233" s="183">
        <f t="shared" si="27"/>
        <v>3243206320</v>
      </c>
      <c r="V233" s="183">
        <f t="shared" si="27"/>
        <v>2549153182</v>
      </c>
      <c r="W233" s="183">
        <f t="shared" si="27"/>
        <v>-11170887750</v>
      </c>
      <c r="X233" s="183">
        <f t="shared" si="27"/>
        <v>-4881782889</v>
      </c>
      <c r="Y233" s="183">
        <f t="shared" si="27"/>
        <v>-7987053976</v>
      </c>
      <c r="Z233" s="183">
        <f t="shared" si="27"/>
        <v>13901262444</v>
      </c>
    </row>
    <row r="234" spans="1:26" ht="15" customHeight="1">
      <c r="A234" s="184" t="s">
        <v>320</v>
      </c>
      <c r="B234" s="185">
        <v>36</v>
      </c>
      <c r="C234" s="187">
        <f t="shared" ref="C234:Z234" si="28">IFERROR(C233/C207,"")</f>
        <v>-5.5367361599888603E-3</v>
      </c>
      <c r="D234" s="187">
        <f t="shared" si="28"/>
        <v>-8.0965019951959982E-2</v>
      </c>
      <c r="E234" s="187">
        <f t="shared" si="28"/>
        <v>-2.3725936499347768E-2</v>
      </c>
      <c r="F234" s="187">
        <f t="shared" si="28"/>
        <v>1.418086856065995E-2</v>
      </c>
      <c r="G234" s="187">
        <f t="shared" si="28"/>
        <v>-4.4484957567520161E-2</v>
      </c>
      <c r="H234" s="187">
        <f t="shared" si="28"/>
        <v>-0.12693340036760967</v>
      </c>
      <c r="I234" s="187">
        <f t="shared" si="28"/>
        <v>-0.20345936007069251</v>
      </c>
      <c r="J234" s="187">
        <f t="shared" si="28"/>
        <v>-5.8212168893322196E-2</v>
      </c>
      <c r="K234" s="187">
        <f t="shared" si="28"/>
        <v>4.6266034191171812E-2</v>
      </c>
      <c r="L234" s="187">
        <f t="shared" si="28"/>
        <v>-4.5254456249233722E-2</v>
      </c>
      <c r="M234" s="187">
        <f t="shared" si="28"/>
        <v>-6.2298170141739981E-2</v>
      </c>
      <c r="N234" s="187">
        <f t="shared" si="28"/>
        <v>0.72233488440804949</v>
      </c>
      <c r="O234" s="187">
        <f t="shared" si="28"/>
        <v>1.7762275909288472E-2</v>
      </c>
      <c r="P234" s="187">
        <f t="shared" si="28"/>
        <v>6.801275224001356E-2</v>
      </c>
      <c r="Q234" s="187">
        <f t="shared" si="28"/>
        <v>3.1744400097318694E-2</v>
      </c>
      <c r="R234" s="187">
        <f t="shared" si="28"/>
        <v>2.0666853948643121E-2</v>
      </c>
      <c r="S234" s="187">
        <f t="shared" si="28"/>
        <v>5.0151413984239078E-2</v>
      </c>
      <c r="T234" s="187">
        <f t="shared" si="28"/>
        <v>4.3182093400436147E-3</v>
      </c>
      <c r="U234" s="187">
        <f t="shared" si="28"/>
        <v>1.7412880781864076E-2</v>
      </c>
      <c r="V234" s="187">
        <f t="shared" si="28"/>
        <v>1.1824923444791437E-2</v>
      </c>
      <c r="W234" s="187">
        <f t="shared" si="28"/>
        <v>-9.3040394262202439E-2</v>
      </c>
      <c r="X234" s="187">
        <f t="shared" si="28"/>
        <v>-3.5328604284778201E-2</v>
      </c>
      <c r="Y234" s="187">
        <f t="shared" si="28"/>
        <v>-7.3790379215444665E-2</v>
      </c>
      <c r="Z234" s="187">
        <f t="shared" si="28"/>
        <v>0.10868163527848756</v>
      </c>
    </row>
    <row r="235" spans="1:26" ht="15" customHeight="1">
      <c r="A235" s="193" t="s">
        <v>321</v>
      </c>
      <c r="B235" s="146">
        <v>37</v>
      </c>
      <c r="C235" s="183">
        <f t="shared" ref="C235:Z235" si="29">C144</f>
        <v>4849994610</v>
      </c>
      <c r="D235" s="183">
        <f t="shared" si="29"/>
        <v>1560472559</v>
      </c>
      <c r="E235" s="183">
        <f t="shared" si="29"/>
        <v>4219375143</v>
      </c>
      <c r="F235" s="183">
        <f t="shared" si="29"/>
        <v>4926459549</v>
      </c>
      <c r="G235" s="183">
        <f t="shared" si="29"/>
        <v>2125110954</v>
      </c>
      <c r="H235" s="183">
        <f t="shared" si="29"/>
        <v>2824966874</v>
      </c>
      <c r="I235" s="183">
        <f t="shared" si="29"/>
        <v>2596964337</v>
      </c>
      <c r="J235" s="183">
        <f t="shared" si="29"/>
        <v>8480107205</v>
      </c>
      <c r="K235" s="183">
        <f t="shared" si="29"/>
        <v>7368729523</v>
      </c>
      <c r="L235" s="183">
        <f t="shared" si="29"/>
        <v>4936551194</v>
      </c>
      <c r="M235" s="183">
        <f t="shared" si="29"/>
        <v>2249627546</v>
      </c>
      <c r="N235" s="183">
        <f t="shared" si="29"/>
        <v>10540748080</v>
      </c>
      <c r="O235" s="183">
        <f t="shared" si="29"/>
        <v>4181224849</v>
      </c>
      <c r="P235" s="183">
        <f t="shared" si="29"/>
        <v>6634982258</v>
      </c>
      <c r="Q235" s="183">
        <f t="shared" si="29"/>
        <v>5629444776</v>
      </c>
      <c r="R235" s="183">
        <f t="shared" si="29"/>
        <v>4622826734</v>
      </c>
      <c r="S235" s="183">
        <f t="shared" si="29"/>
        <v>5242336575</v>
      </c>
      <c r="T235" s="183">
        <f t="shared" si="29"/>
        <v>5451129528</v>
      </c>
      <c r="U235" s="183">
        <f t="shared" si="29"/>
        <v>4248972349</v>
      </c>
      <c r="V235" s="183">
        <f t="shared" si="29"/>
        <v>5750995751</v>
      </c>
      <c r="W235" s="183">
        <f t="shared" si="29"/>
        <v>3513998286</v>
      </c>
      <c r="X235" s="183">
        <f t="shared" si="29"/>
        <v>7273403934</v>
      </c>
      <c r="Y235" s="183">
        <f t="shared" si="29"/>
        <v>3829549635</v>
      </c>
      <c r="Z235" s="183">
        <f t="shared" si="29"/>
        <v>5263385605</v>
      </c>
    </row>
    <row r="236" spans="1:26" ht="15" customHeight="1">
      <c r="A236" s="190" t="s">
        <v>322</v>
      </c>
      <c r="B236" s="191">
        <v>38</v>
      </c>
      <c r="C236" s="189">
        <f>TDP!C236+'Dai Loc'!C236+'Khanh Nga'!C236+'Dong Lam'!C236+DTR!C236+DTRVL!C236</f>
        <v>190613271</v>
      </c>
      <c r="D236" s="189">
        <f>TDP!D236+'Dai Loc'!D236+'Khanh Nga'!D236+'Dong Lam'!D236+DTR!D236+DTRVL!D236</f>
        <v>145450962</v>
      </c>
      <c r="E236" s="189">
        <f>TDP!E236+'Dai Loc'!E236+'Khanh Nga'!E236+'Dong Lam'!E236+DTR!E236+DTRVL!E236</f>
        <v>186392500</v>
      </c>
      <c r="F236" s="189">
        <f>TDP!F236+'Dai Loc'!F236+'Khanh Nga'!F236+'Dong Lam'!F236+DTR!F236+DTRVL!F236</f>
        <v>197075963</v>
      </c>
      <c r="G236" s="189">
        <f>TDP!G236+'Dai Loc'!G236+'Khanh Nga'!G236+'Dong Lam'!G236+DTR!G236+DTRVL!G236</f>
        <v>178318460</v>
      </c>
      <c r="H236" s="189">
        <f>TDP!H236+'Dai Loc'!H236+'Khanh Nga'!H236+'Dong Lam'!H236+DTR!H236+DTRVL!H236</f>
        <v>192783654</v>
      </c>
      <c r="I236" s="189">
        <f>TDP!I236+'Dai Loc'!I236+'Khanh Nga'!I236+'Dong Lam'!I236+DTR!I236+DTRVL!I236</f>
        <v>186220771</v>
      </c>
      <c r="J236" s="189">
        <f>TDP!J236+'Dai Loc'!J236+'Khanh Nga'!J236+'Dong Lam'!J236+DTR!J236+DTRVL!J236</f>
        <v>182376683</v>
      </c>
      <c r="K236" s="189">
        <f>TDP!K236+'Dai Loc'!K236+'Khanh Nga'!K236+'Dong Lam'!K236+DTR!K236+DTRVL!K236</f>
        <v>206206492</v>
      </c>
      <c r="L236" s="189">
        <f>TDP!L236+'Dai Loc'!L236+'Khanh Nga'!L236+'Dong Lam'!L236+DTR!L236+DTRVL!L236</f>
        <v>190212259</v>
      </c>
      <c r="M236" s="189">
        <f>TDP!M236+'Dai Loc'!M236+'Khanh Nga'!M236+'Dong Lam'!M236+DTR!M236+DTRVL!M236</f>
        <v>175387260</v>
      </c>
      <c r="N236" s="189">
        <f>TDP!N236+'Dai Loc'!N236+'Khanh Nga'!N236+'Dong Lam'!N236+DTR!N236+DTRVL!N236</f>
        <v>215626683</v>
      </c>
      <c r="O236" s="189">
        <f>TDP!O236+'Dai Loc'!O236+'Khanh Nga'!O236+'Dong Lam'!O236+DTR!O236+DTRVL!O236</f>
        <v>225301946</v>
      </c>
      <c r="P236" s="189">
        <f>TDP!P236+'Dai Loc'!P236+'Khanh Nga'!P236+'Dong Lam'!P236+DTR!P236+DTRVL!P236</f>
        <v>229320216</v>
      </c>
      <c r="Q236" s="189">
        <f>TDP!Q236+'Dai Loc'!Q236+'Khanh Nga'!Q236+'Dong Lam'!Q236+DTR!Q236+DTRVL!Q236</f>
        <v>216697411</v>
      </c>
      <c r="R236" s="189">
        <f>TDP!R236+'Dai Loc'!R236+'Khanh Nga'!R236+'Dong Lam'!R236+DTR!R236+DTRVL!R236</f>
        <v>253144064</v>
      </c>
      <c r="S236" s="189">
        <f>TDP!S236+'Dai Loc'!S236+'Khanh Nga'!S236+'Dong Lam'!S236+DTR!S236+DTRVL!S236</f>
        <v>192729928</v>
      </c>
      <c r="T236" s="189">
        <f>TDP!T236+'Dai Loc'!T236+'Khanh Nga'!T236+'Dong Lam'!T236+DTR!T236+DTRVL!T236</f>
        <v>225105679</v>
      </c>
      <c r="U236" s="189">
        <f>TDP!U236+'Dai Loc'!U236+'Khanh Nga'!U236+'Dong Lam'!U236+DTR!U236+DTRVL!U236</f>
        <v>225637641</v>
      </c>
      <c r="V236" s="189">
        <f>TDP!V236+'Dai Loc'!V236+'Khanh Nga'!V236+'Dong Lam'!V236+DTR!V236+DTRVL!V236</f>
        <v>446295562</v>
      </c>
      <c r="W236" s="189">
        <f>TDP!W236+'Dai Loc'!W236+'Khanh Nga'!W236+'Dong Lam'!W236+DTR!W236+DTRVL!W236</f>
        <v>365489486</v>
      </c>
      <c r="X236" s="189">
        <f>TDP!X236+'Dai Loc'!X236+'Khanh Nga'!X236+'Dong Lam'!X236+DTR!X236+DTRVL!X236</f>
        <v>234421927</v>
      </c>
      <c r="Y236" s="189">
        <f>TDP!Y236+'Dai Loc'!Y236+'Khanh Nga'!Y236+'Dong Lam'!Y236+DTR!Y236+DTRVL!Y236</f>
        <v>367966198</v>
      </c>
      <c r="Z236" s="189">
        <f>TDP!Z236+'Dai Loc'!Z236+'Khanh Nga'!Z236+'Dong Lam'!Z236+DTR!Z236+DTRVL!Z236</f>
        <v>465059697</v>
      </c>
    </row>
    <row r="237" spans="1:26" ht="15" customHeight="1">
      <c r="A237" s="190" t="s">
        <v>323</v>
      </c>
      <c r="B237" s="191">
        <v>39</v>
      </c>
      <c r="C237" s="189">
        <f>TDP!C237+'Dai Loc'!C237+'Khanh Nga'!C237+'Dong Lam'!C237+DTR!C237+DTRVL!C237</f>
        <v>181205349</v>
      </c>
      <c r="D237" s="189">
        <f>TDP!D237+'Dai Loc'!D237+'Khanh Nga'!D237+'Dong Lam'!D237+DTR!D237+DTRVL!D237</f>
        <v>109852534</v>
      </c>
      <c r="E237" s="189">
        <f>TDP!E237+'Dai Loc'!E237+'Khanh Nga'!E237+'Dong Lam'!E237+DTR!E237+DTRVL!E237</f>
        <v>129787307</v>
      </c>
      <c r="F237" s="189">
        <f>TDP!F237+'Dai Loc'!F237+'Khanh Nga'!F237+'Dong Lam'!F237+DTR!F237+DTRVL!F237</f>
        <v>125184672</v>
      </c>
      <c r="G237" s="189">
        <f>TDP!G237+'Dai Loc'!G237+'Khanh Nga'!G237+'Dong Lam'!G237+DTR!G237+DTRVL!G237</f>
        <v>214363328</v>
      </c>
      <c r="H237" s="189">
        <f>TDP!H237+'Dai Loc'!H237+'Khanh Nga'!H237+'Dong Lam'!H237+DTR!H237+DTRVL!H237</f>
        <v>170040317</v>
      </c>
      <c r="I237" s="189">
        <f>TDP!I237+'Dai Loc'!I237+'Khanh Nga'!I237+'Dong Lam'!I237+DTR!I237+DTRVL!I237</f>
        <v>265501733</v>
      </c>
      <c r="J237" s="189">
        <f>TDP!J237+'Dai Loc'!J237+'Khanh Nga'!J237+'Dong Lam'!J237+DTR!J237+DTRVL!J237</f>
        <v>100892896</v>
      </c>
      <c r="K237" s="189">
        <f>TDP!K237+'Dai Loc'!K237+'Khanh Nga'!K237+'Dong Lam'!K237+DTR!K237+DTRVL!K237</f>
        <v>260750159</v>
      </c>
      <c r="L237" s="189">
        <f>TDP!L237+'Dai Loc'!L237+'Khanh Nga'!L237+'Dong Lam'!L237+DTR!L237+DTRVL!L237</f>
        <v>249039959</v>
      </c>
      <c r="M237" s="189">
        <f>TDP!M237+'Dai Loc'!M237+'Khanh Nga'!M237+'Dong Lam'!M237+DTR!M237+DTRVL!M237</f>
        <v>145165697</v>
      </c>
      <c r="N237" s="189">
        <f>TDP!N237+'Dai Loc'!N237+'Khanh Nga'!N237+'Dong Lam'!N237+DTR!N237+DTRVL!N237</f>
        <v>174896548</v>
      </c>
      <c r="O237" s="189">
        <f>TDP!O237+'Dai Loc'!O237+'Khanh Nga'!O237+'Dong Lam'!O237+DTR!O237+DTRVL!O237</f>
        <v>158604465</v>
      </c>
      <c r="P237" s="189">
        <f>TDP!P237+'Dai Loc'!P237+'Khanh Nga'!P237+'Dong Lam'!P237+DTR!P237+DTRVL!P237</f>
        <v>142751237</v>
      </c>
      <c r="Q237" s="189">
        <f>TDP!Q237+'Dai Loc'!Q237+'Khanh Nga'!Q237+'Dong Lam'!Q237+DTR!Q237+DTRVL!Q237</f>
        <v>452739864</v>
      </c>
      <c r="R237" s="189">
        <f>TDP!R237+'Dai Loc'!R237+'Khanh Nga'!R237+'Dong Lam'!R237+DTR!R237+DTRVL!R237</f>
        <v>483942057</v>
      </c>
      <c r="S237" s="189">
        <f>TDP!S237+'Dai Loc'!S237+'Khanh Nga'!S237+'Dong Lam'!S237+DTR!S237+DTRVL!S237</f>
        <v>343392791</v>
      </c>
      <c r="T237" s="189">
        <f>TDP!T237+'Dai Loc'!T237+'Khanh Nga'!T237+'Dong Lam'!T237+DTR!T237+DTRVL!T237</f>
        <v>263861202</v>
      </c>
      <c r="U237" s="189">
        <f>TDP!U237+'Dai Loc'!U237+'Khanh Nga'!U237+'Dong Lam'!U237+DTR!U237+DTRVL!U237</f>
        <v>222433317</v>
      </c>
      <c r="V237" s="189">
        <f>TDP!V237+'Dai Loc'!V237+'Khanh Nga'!V237+'Dong Lam'!V237+DTR!V237+DTRVL!V237</f>
        <v>323801241</v>
      </c>
      <c r="W237" s="189">
        <f>TDP!W237+'Dai Loc'!W237+'Khanh Nga'!W237+'Dong Lam'!W237+DTR!W237+DTRVL!W237</f>
        <v>176982529</v>
      </c>
      <c r="X237" s="189">
        <f>TDP!X237+'Dai Loc'!X237+'Khanh Nga'!X237+'Dong Lam'!X237+DTR!X237+DTRVL!X237</f>
        <v>288679439</v>
      </c>
      <c r="Y237" s="189">
        <f>TDP!Y237+'Dai Loc'!Y237+'Khanh Nga'!Y237+'Dong Lam'!Y237+DTR!Y237+DTRVL!Y237</f>
        <v>276158794</v>
      </c>
      <c r="Z237" s="189">
        <f>TDP!Z237+'Dai Loc'!Z237+'Khanh Nga'!Z237+'Dong Lam'!Z237+DTR!Z237+DTRVL!Z237</f>
        <v>206288305</v>
      </c>
    </row>
    <row r="238" spans="1:26" ht="15" customHeight="1">
      <c r="A238" s="190" t="s">
        <v>324</v>
      </c>
      <c r="B238" s="191">
        <v>40</v>
      </c>
      <c r="C238" s="189">
        <f>TDP!C238+'Dai Loc'!C238+'Khanh Nga'!C238+'Dong Lam'!C238+DTR!C238+DTRVL!C238</f>
        <v>369423744</v>
      </c>
      <c r="D238" s="189">
        <f>TDP!D238+'Dai Loc'!D238+'Khanh Nga'!D238+'Dong Lam'!D238+DTR!D238+DTRVL!D238</f>
        <v>271418400</v>
      </c>
      <c r="E238" s="189">
        <f>TDP!E238+'Dai Loc'!E238+'Khanh Nga'!E238+'Dong Lam'!E238+DTR!E238+DTRVL!E238</f>
        <v>484682880</v>
      </c>
      <c r="F238" s="189">
        <f>TDP!F238+'Dai Loc'!F238+'Khanh Nga'!F238+'Dong Lam'!F238+DTR!F238+DTRVL!F238</f>
        <v>947585288</v>
      </c>
      <c r="G238" s="189">
        <f>TDP!G238+'Dai Loc'!G238+'Khanh Nga'!G238+'Dong Lam'!G238+DTR!G238+DTRVL!G238</f>
        <v>732250680</v>
      </c>
      <c r="H238" s="189">
        <f>TDP!H238+'Dai Loc'!H238+'Khanh Nga'!H238+'Dong Lam'!H238+DTR!H238+DTRVL!H238</f>
        <v>1259908312</v>
      </c>
      <c r="I238" s="189">
        <f>TDP!I238+'Dai Loc'!I238+'Khanh Nga'!I238+'Dong Lam'!I238+DTR!I238+DTRVL!I238</f>
        <v>706508840</v>
      </c>
      <c r="J238" s="189">
        <f>TDP!J238+'Dai Loc'!J238+'Khanh Nga'!J238+'Dong Lam'!J238+DTR!J238+DTRVL!J238</f>
        <v>1228570570</v>
      </c>
      <c r="K238" s="189">
        <f>TDP!K238+'Dai Loc'!K238+'Khanh Nga'!K238+'Dong Lam'!K238+DTR!K238+DTRVL!K238</f>
        <v>805497700</v>
      </c>
      <c r="L238" s="189">
        <f>TDP!L238+'Dai Loc'!L238+'Khanh Nga'!L238+'Dong Lam'!L238+DTR!L238+DTRVL!L238</f>
        <v>568126136</v>
      </c>
      <c r="M238" s="189">
        <f>TDP!M238+'Dai Loc'!M238+'Khanh Nga'!M238+'Dong Lam'!M238+DTR!M238+DTRVL!M238</f>
        <v>338540380</v>
      </c>
      <c r="N238" s="189">
        <f>TDP!N238+'Dai Loc'!N238+'Khanh Nga'!N238+'Dong Lam'!N238+DTR!N238+DTRVL!N238</f>
        <v>1203477272</v>
      </c>
      <c r="O238" s="189">
        <f>TDP!O238+'Dai Loc'!O238+'Khanh Nga'!O238+'Dong Lam'!O238+DTR!O238+DTRVL!O238</f>
        <v>1156648724</v>
      </c>
      <c r="P238" s="189">
        <f>TDP!P238+'Dai Loc'!P238+'Khanh Nga'!P238+'Dong Lam'!P238+DTR!P238+DTRVL!P238</f>
        <v>1395989840</v>
      </c>
      <c r="Q238" s="189">
        <f>TDP!Q238+'Dai Loc'!Q238+'Khanh Nga'!Q238+'Dong Lam'!Q238+DTR!Q238+DTRVL!Q238</f>
        <v>718938840</v>
      </c>
      <c r="R238" s="189">
        <f>TDP!R238+'Dai Loc'!R238+'Khanh Nga'!R238+'Dong Lam'!R238+DTR!R238+DTRVL!R238</f>
        <v>873725670</v>
      </c>
      <c r="S238" s="189">
        <f>TDP!S238+'Dai Loc'!S238+'Khanh Nga'!S238+'Dong Lam'!S238+DTR!S238+DTRVL!S238</f>
        <v>801811330</v>
      </c>
      <c r="T238" s="189">
        <f>TDP!T238+'Dai Loc'!T238+'Khanh Nga'!T238+'Dong Lam'!T238+DTR!T238+DTRVL!T238</f>
        <v>2343197427</v>
      </c>
      <c r="U238" s="189">
        <f>TDP!U238+'Dai Loc'!U238+'Khanh Nga'!U238+'Dong Lam'!U238+DTR!U238+DTRVL!U238</f>
        <v>962161347</v>
      </c>
      <c r="V238" s="189">
        <f>TDP!V238+'Dai Loc'!V238+'Khanh Nga'!V238+'Dong Lam'!V238+DTR!V238+DTRVL!V238</f>
        <v>1102469718</v>
      </c>
      <c r="W238" s="189">
        <f>TDP!W238+'Dai Loc'!W238+'Khanh Nga'!W238+'Dong Lam'!W238+DTR!W238+DTRVL!W238</f>
        <v>793146505</v>
      </c>
      <c r="X238" s="189">
        <f>TDP!X238+'Dai Loc'!X238+'Khanh Nga'!X238+'Dong Lam'!X238+DTR!X238+DTRVL!X238</f>
        <v>728694366</v>
      </c>
      <c r="Y238" s="189">
        <f>TDP!Y238+'Dai Loc'!Y238+'Khanh Nga'!Y238+'Dong Lam'!Y238+DTR!Y238+DTRVL!Y238</f>
        <v>819335524</v>
      </c>
      <c r="Z238" s="189">
        <f>TDP!Z238+'Dai Loc'!Z238+'Khanh Nga'!Z238+'Dong Lam'!Z238+DTR!Z238+DTRVL!Z238</f>
        <v>914940436</v>
      </c>
    </row>
    <row r="239" spans="1:26" ht="15" customHeight="1">
      <c r="A239" s="190" t="s">
        <v>325</v>
      </c>
      <c r="B239" s="191">
        <v>41</v>
      </c>
      <c r="C239" s="189">
        <f>TDP!C239+'Dai Loc'!C239+'Khanh Nga'!C239+'Dong Lam'!C239+DTR!C239+DTRVL!C239</f>
        <v>470144123</v>
      </c>
      <c r="D239" s="189">
        <f>TDP!D239+'Dai Loc'!D239+'Khanh Nga'!D239+'Dong Lam'!D239+DTR!D239+DTRVL!D239</f>
        <v>347024005</v>
      </c>
      <c r="E239" s="189">
        <f>TDP!E239+'Dai Loc'!E239+'Khanh Nga'!E239+'Dong Lam'!E239+DTR!E239+DTRVL!E239</f>
        <v>491287500</v>
      </c>
      <c r="F239" s="189">
        <f>TDP!F239+'Dai Loc'!F239+'Khanh Nga'!F239+'Dong Lam'!F239+DTR!F239+DTRVL!F239</f>
        <v>369174074</v>
      </c>
      <c r="G239" s="189">
        <f>TDP!G239+'Dai Loc'!G239+'Khanh Nga'!G239+'Dong Lam'!G239+DTR!G239+DTRVL!G239</f>
        <v>353380000</v>
      </c>
      <c r="H239" s="189">
        <f>TDP!H239+'Dai Loc'!H239+'Khanh Nga'!H239+'Dong Lam'!H239+DTR!H239+DTRVL!H239</f>
        <v>498593648</v>
      </c>
      <c r="I239" s="189">
        <f>TDP!I239+'Dai Loc'!I239+'Khanh Nga'!I239+'Dong Lam'!I239+DTR!I239+DTRVL!I239</f>
        <v>325037900</v>
      </c>
      <c r="J239" s="189">
        <f>TDP!J239+'Dai Loc'!J239+'Khanh Nga'!J239+'Dong Lam'!J239+DTR!J239+DTRVL!J239</f>
        <v>852697036</v>
      </c>
      <c r="K239" s="189">
        <f>TDP!K239+'Dai Loc'!K239+'Khanh Nga'!K239+'Dong Lam'!K239+DTR!K239+DTRVL!K239</f>
        <v>753821481</v>
      </c>
      <c r="L239" s="189">
        <f>TDP!L239+'Dai Loc'!L239+'Khanh Nga'!L239+'Dong Lam'!L239+DTR!L239+DTRVL!L239</f>
        <v>650899672</v>
      </c>
      <c r="M239" s="189">
        <f>TDP!M239+'Dai Loc'!M239+'Khanh Nga'!M239+'Dong Lam'!M239+DTR!M239+DTRVL!M239</f>
        <v>612915926</v>
      </c>
      <c r="N239" s="189">
        <f>TDP!N239+'Dai Loc'!N239+'Khanh Nga'!N239+'Dong Lam'!N239+DTR!N239+DTRVL!N239</f>
        <v>676577333</v>
      </c>
      <c r="O239" s="189">
        <f>TDP!O239+'Dai Loc'!O239+'Khanh Nga'!O239+'Dong Lam'!O239+DTR!O239+DTRVL!O239</f>
        <v>424528148</v>
      </c>
      <c r="P239" s="189">
        <f>TDP!P239+'Dai Loc'!P239+'Khanh Nga'!P239+'Dong Lam'!P239+DTR!P239+DTRVL!P239</f>
        <v>821805186</v>
      </c>
      <c r="Q239" s="189">
        <f>TDP!Q239+'Dai Loc'!Q239+'Khanh Nga'!Q239+'Dong Lam'!Q239+DTR!Q239+DTRVL!Q239</f>
        <v>830298814</v>
      </c>
      <c r="R239" s="189">
        <f>TDP!R239+'Dai Loc'!R239+'Khanh Nga'!R239+'Dong Lam'!R239+DTR!R239+DTRVL!R239</f>
        <v>864075557</v>
      </c>
      <c r="S239" s="189">
        <f>TDP!S239+'Dai Loc'!S239+'Khanh Nga'!S239+'Dong Lam'!S239+DTR!S239+DTRVL!S239</f>
        <v>825497036</v>
      </c>
      <c r="T239" s="189">
        <f>TDP!T239+'Dai Loc'!T239+'Khanh Nga'!T239+'Dong Lam'!T239+DTR!T239+DTRVL!T239</f>
        <v>1143377036</v>
      </c>
      <c r="U239" s="189">
        <f>TDP!U239+'Dai Loc'!U239+'Khanh Nga'!U239+'Dong Lam'!U239+DTR!U239+DTRVL!U239</f>
        <v>1150793707</v>
      </c>
      <c r="V239" s="189">
        <f>TDP!V239+'Dai Loc'!V239+'Khanh Nga'!V239+'Dong Lam'!V239+DTR!V239+DTRVL!V239</f>
        <v>1817641347</v>
      </c>
      <c r="W239" s="189">
        <f>TDP!W239+'Dai Loc'!W239+'Khanh Nga'!W239+'Dong Lam'!W239+DTR!W239+DTRVL!W239</f>
        <v>1291571184</v>
      </c>
      <c r="X239" s="189">
        <f>TDP!X239+'Dai Loc'!X239+'Khanh Nga'!X239+'Dong Lam'!X239+DTR!X239+DTRVL!X239</f>
        <v>1239022223</v>
      </c>
      <c r="Y239" s="189">
        <f>TDP!Y239+'Dai Loc'!Y239+'Khanh Nga'!Y239+'Dong Lam'!Y239+DTR!Y239+DTRVL!Y239</f>
        <v>942546706</v>
      </c>
      <c r="Z239" s="189">
        <f>TDP!Z239+'Dai Loc'!Z239+'Khanh Nga'!Z239+'Dong Lam'!Z239+DTR!Z239+DTRVL!Z239</f>
        <v>1088877912</v>
      </c>
    </row>
    <row r="240" spans="1:26" ht="15" customHeight="1">
      <c r="A240" s="190" t="s">
        <v>326</v>
      </c>
      <c r="B240" s="191">
        <v>42</v>
      </c>
      <c r="C240" s="189">
        <f>TDP!C240+'Dai Loc'!C240+'Khanh Nga'!C240+'Dong Lam'!C240+DTR!C240+DTRVL!C240</f>
        <v>1862640439</v>
      </c>
      <c r="D240" s="189">
        <f>TDP!D240+'Dai Loc'!D240+'Khanh Nga'!D240+'Dong Lam'!D240+DTR!D240+DTRVL!D240</f>
        <v>439812589</v>
      </c>
      <c r="E240" s="189">
        <f>TDP!E240+'Dai Loc'!E240+'Khanh Nga'!E240+'Dong Lam'!E240+DTR!E240+DTRVL!E240</f>
        <v>2669034839</v>
      </c>
      <c r="F240" s="189">
        <f>TDP!F240+'Dai Loc'!F240+'Khanh Nga'!F240+'Dong Lam'!F240+DTR!F240+DTRVL!F240</f>
        <v>3032304136</v>
      </c>
      <c r="G240" s="189">
        <f>TDP!G240+'Dai Loc'!G240+'Khanh Nga'!G240+'Dong Lam'!G240+DTR!G240+DTRVL!G240</f>
        <v>277880434</v>
      </c>
      <c r="H240" s="189">
        <f>TDP!H240+'Dai Loc'!H240+'Khanh Nga'!H240+'Dong Lam'!H240+DTR!H240+DTRVL!H240</f>
        <v>318063920</v>
      </c>
      <c r="I240" s="189">
        <f>TDP!I240+'Dai Loc'!I240+'Khanh Nga'!I240+'Dong Lam'!I240+DTR!I240+DTRVL!I240</f>
        <v>626032613</v>
      </c>
      <c r="J240" s="189">
        <f>TDP!J240+'Dai Loc'!J240+'Khanh Nga'!J240+'Dong Lam'!J240+DTR!J240+DTRVL!J240</f>
        <v>5216793028</v>
      </c>
      <c r="K240" s="189">
        <f>TDP!K240+'Dai Loc'!K240+'Khanh Nga'!K240+'Dong Lam'!K240+DTR!K240+DTRVL!K240</f>
        <v>5019652822</v>
      </c>
      <c r="L240" s="189">
        <f>TDP!L240+'Dai Loc'!L240+'Khanh Nga'!L240+'Dong Lam'!L240+DTR!L240+DTRVL!L240</f>
        <v>2316276718</v>
      </c>
      <c r="M240" s="189">
        <f>TDP!M240+'Dai Loc'!M240+'Khanh Nga'!M240+'Dong Lam'!M240+DTR!M240+DTRVL!M240</f>
        <v>404235983</v>
      </c>
      <c r="N240" s="189">
        <f>TDP!N240+'Dai Loc'!N240+'Khanh Nga'!N240+'Dong Lam'!N240+DTR!N240+DTRVL!N240</f>
        <v>1317844326</v>
      </c>
      <c r="O240" s="189">
        <f>TDP!O240+'Dai Loc'!O240+'Khanh Nga'!O240+'Dong Lam'!O240+DTR!O240+DTRVL!O240</f>
        <v>1442696903</v>
      </c>
      <c r="P240" s="189">
        <f>TDP!P240+'Dai Loc'!P240+'Khanh Nga'!P240+'Dong Lam'!P240+DTR!P240+DTRVL!P240</f>
        <v>3574837862</v>
      </c>
      <c r="Q240" s="189">
        <f>TDP!Q240+'Dai Loc'!Q240+'Khanh Nga'!Q240+'Dong Lam'!Q240+DTR!Q240+DTRVL!Q240</f>
        <v>1969857757</v>
      </c>
      <c r="R240" s="189">
        <f>TDP!R240+'Dai Loc'!R240+'Khanh Nga'!R240+'Dong Lam'!R240+DTR!R240+DTRVL!R240</f>
        <v>1503984454</v>
      </c>
      <c r="S240" s="189">
        <f>TDP!S240+'Dai Loc'!S240+'Khanh Nga'!S240+'Dong Lam'!S240+DTR!S240+DTRVL!S240</f>
        <v>2462711733</v>
      </c>
      <c r="T240" s="189">
        <f>TDP!T240+'Dai Loc'!T240+'Khanh Nga'!T240+'Dong Lam'!T240+DTR!T240+DTRVL!T240</f>
        <v>1186353811</v>
      </c>
      <c r="U240" s="189">
        <f>TDP!U240+'Dai Loc'!U240+'Khanh Nga'!U240+'Dong Lam'!U240+DTR!U240+DTRVL!U240</f>
        <v>1311037332</v>
      </c>
      <c r="V240" s="189">
        <f>TDP!V240+'Dai Loc'!V240+'Khanh Nga'!V240+'Dong Lam'!V240+DTR!V240+DTRVL!V240</f>
        <v>1643007682</v>
      </c>
      <c r="W240" s="189">
        <f>TDP!W240+'Dai Loc'!W240+'Khanh Nga'!W240+'Dong Lam'!W240+DTR!W240+DTRVL!W240</f>
        <v>437205501</v>
      </c>
      <c r="X240" s="189">
        <f>TDP!X240+'Dai Loc'!X240+'Khanh Nga'!X240+'Dong Lam'!X240+DTR!X240+DTRVL!X240</f>
        <v>492312502</v>
      </c>
      <c r="Y240" s="189">
        <f>TDP!Y240+'Dai Loc'!Y240+'Khanh Nga'!Y240+'Dong Lam'!Y240+DTR!Y240+DTRVL!Y240</f>
        <v>653246467</v>
      </c>
      <c r="Z240" s="189">
        <f>TDP!Z240+'Dai Loc'!Z240+'Khanh Nga'!Z240+'Dong Lam'!Z240+DTR!Z240+DTRVL!Z240</f>
        <v>692122387</v>
      </c>
    </row>
    <row r="241" spans="1:26" ht="15" customHeight="1">
      <c r="A241" s="190" t="s">
        <v>327</v>
      </c>
      <c r="B241" s="191">
        <v>43</v>
      </c>
      <c r="C241" s="189">
        <f>TDP!C241+'Dai Loc'!C241+'Khanh Nga'!C241+'Dong Lam'!C241+DTR!C241+DTRVL!C241</f>
        <v>30691333</v>
      </c>
      <c r="D241" s="189">
        <f>TDP!D241+'Dai Loc'!D241+'Khanh Nga'!D241+'Dong Lam'!D241+DTR!D241+DTRVL!D241</f>
        <v>30691333</v>
      </c>
      <c r="E241" s="189">
        <f>TDP!E241+'Dai Loc'!E241+'Khanh Nga'!E241+'Dong Lam'!E241+DTR!E241+DTRVL!E241</f>
        <v>30691333</v>
      </c>
      <c r="F241" s="189">
        <f>TDP!F241+'Dai Loc'!F241+'Khanh Nga'!F241+'Dong Lam'!F241+DTR!F241+DTRVL!F241</f>
        <v>30691333</v>
      </c>
      <c r="G241" s="189">
        <f>TDP!G241+'Dai Loc'!G241+'Khanh Nga'!G241+'Dong Lam'!G241+DTR!G241+DTRVL!G241</f>
        <v>30691333</v>
      </c>
      <c r="H241" s="189">
        <f>TDP!H241+'Dai Loc'!H241+'Khanh Nga'!H241+'Dong Lam'!H241+DTR!H241+DTRVL!H241</f>
        <v>30691333</v>
      </c>
      <c r="I241" s="189">
        <f>TDP!I241+'Dai Loc'!I241+'Khanh Nga'!I241+'Dong Lam'!I241+DTR!I241+DTRVL!I241</f>
        <v>30691333</v>
      </c>
      <c r="J241" s="189">
        <f>TDP!J241+'Dai Loc'!J241+'Khanh Nga'!J241+'Dong Lam'!J241+DTR!J241+DTRVL!J241</f>
        <v>30691333</v>
      </c>
      <c r="K241" s="189">
        <f>TDP!K241+'Dai Loc'!K241+'Khanh Nga'!K241+'Dong Lam'!K241+DTR!K241+DTRVL!K241</f>
        <v>30691333</v>
      </c>
      <c r="L241" s="189">
        <f>TDP!L241+'Dai Loc'!L241+'Khanh Nga'!L241+'Dong Lam'!L241+DTR!L241+DTRVL!L241</f>
        <v>30691333</v>
      </c>
      <c r="M241" s="189">
        <f>TDP!M241+'Dai Loc'!M241+'Khanh Nga'!M241+'Dong Lam'!M241+DTR!M241+DTRVL!M241</f>
        <v>30691333</v>
      </c>
      <c r="N241" s="189">
        <f>TDP!N241+'Dai Loc'!N241+'Khanh Nga'!N241+'Dong Lam'!N241+DTR!N241+DTRVL!N241</f>
        <v>6948276</v>
      </c>
      <c r="O241" s="189">
        <f>TDP!O241+'Dai Loc'!O241+'Khanh Nga'!O241+'Dong Lam'!O241+DTR!O241+DTRVL!O241</f>
        <v>31139609</v>
      </c>
      <c r="P241" s="189">
        <f>TDP!P241+'Dai Loc'!P241+'Khanh Nga'!P241+'Dong Lam'!P241+DTR!P241+DTRVL!P241</f>
        <v>31139609</v>
      </c>
      <c r="Q241" s="189">
        <f>TDP!Q241+'Dai Loc'!Q241+'Khanh Nga'!Q241+'Dong Lam'!Q241+DTR!Q241+DTRVL!Q241</f>
        <v>6948276</v>
      </c>
      <c r="R241" s="189">
        <f>TDP!R241+'Dai Loc'!R241+'Khanh Nga'!R241+'Dong Lam'!R241+DTR!R241+DTRVL!R241</f>
        <v>6948275</v>
      </c>
      <c r="S241" s="189">
        <f>TDP!S241+'Dai Loc'!S241+'Khanh Nga'!S241+'Dong Lam'!S241+DTR!S241+DTRVL!S241</f>
        <v>6948276</v>
      </c>
      <c r="T241" s="189">
        <f>TDP!T241+'Dai Loc'!T241+'Khanh Nga'!T241+'Dong Lam'!T241+DTR!T241+DTRVL!T241</f>
        <v>6948276</v>
      </c>
      <c r="U241" s="189">
        <f>TDP!U241+'Dai Loc'!U241+'Khanh Nga'!U241+'Dong Lam'!U241+DTR!U241+DTRVL!U241</f>
        <v>6948276</v>
      </c>
      <c r="V241" s="189">
        <f>TDP!V241+'Dai Loc'!V241+'Khanh Nga'!V241+'Dong Lam'!V241+DTR!V241+DTRVL!V241</f>
        <v>6948276</v>
      </c>
      <c r="W241" s="189">
        <f>TDP!W241+'Dai Loc'!W241+'Khanh Nga'!W241+'Dong Lam'!W241+DTR!W241+DTRVL!W241</f>
        <v>6948276</v>
      </c>
      <c r="X241" s="189">
        <f>TDP!X241+'Dai Loc'!X241+'Khanh Nga'!X241+'Dong Lam'!X241+DTR!X241+DTRVL!X241</f>
        <v>47333567</v>
      </c>
      <c r="Y241" s="189">
        <f>TDP!Y241+'Dai Loc'!Y241+'Khanh Nga'!Y241+'Dong Lam'!Y241+DTR!Y241+DTRVL!Y241</f>
        <v>47333566</v>
      </c>
      <c r="Z241" s="189">
        <f>TDP!Z241+'Dai Loc'!Z241+'Khanh Nga'!Z241+'Dong Lam'!Z241+DTR!Z241+DTRVL!Z241</f>
        <v>47333566</v>
      </c>
    </row>
    <row r="242" spans="1:26" ht="15" customHeight="1">
      <c r="A242" s="190" t="s">
        <v>328</v>
      </c>
      <c r="B242" s="191">
        <v>44</v>
      </c>
      <c r="C242" s="189">
        <f>TDP!C242+'Dai Loc'!C242+'Khanh Nga'!C242+'Dong Lam'!C242+DTR!C242+DTRVL!C242</f>
        <v>1664776351</v>
      </c>
      <c r="D242" s="189">
        <f>TDP!D242+'Dai Loc'!D242+'Khanh Nga'!D242+'Dong Lam'!D242+DTR!D242+DTRVL!D242</f>
        <v>123825936</v>
      </c>
      <c r="E242" s="189">
        <f>TDP!E242+'Dai Loc'!E242+'Khanh Nga'!E242+'Dong Lam'!E242+DTR!E242+DTRVL!E242</f>
        <v>106109184</v>
      </c>
      <c r="F242" s="189">
        <f>TDP!F242+'Dai Loc'!F242+'Khanh Nga'!F242+'Dong Lam'!F242+DTR!F242+DTRVL!F242</f>
        <v>146444083</v>
      </c>
      <c r="G242" s="189">
        <f>TDP!G242+'Dai Loc'!G242+'Khanh Nga'!G242+'Dong Lam'!G242+DTR!G242+DTRVL!G242</f>
        <v>192226719</v>
      </c>
      <c r="H242" s="189">
        <f>TDP!H242+'Dai Loc'!H242+'Khanh Nga'!H242+'Dong Lam'!H242+DTR!H242+DTRVL!H242</f>
        <v>239385690</v>
      </c>
      <c r="I242" s="189">
        <f>TDP!I242+'Dai Loc'!I242+'Khanh Nga'!I242+'Dong Lam'!I242+DTR!I242+DTRVL!I242</f>
        <v>392971147</v>
      </c>
      <c r="J242" s="189">
        <f>TDP!J242+'Dai Loc'!J242+'Khanh Nga'!J242+'Dong Lam'!J242+DTR!J242+DTRVL!J242</f>
        <v>814085659</v>
      </c>
      <c r="K242" s="189">
        <f>TDP!K242+'Dai Loc'!K242+'Khanh Nga'!K242+'Dong Lam'!K242+DTR!K242+DTRVL!K242</f>
        <v>234209536</v>
      </c>
      <c r="L242" s="189">
        <f>TDP!L242+'Dai Loc'!L242+'Khanh Nga'!L242+'Dong Lam'!L242+DTR!L242+DTRVL!L242</f>
        <v>855405117</v>
      </c>
      <c r="M242" s="189">
        <f>TDP!M242+'Dai Loc'!M242+'Khanh Nga'!M242+'Dong Lam'!M242+DTR!M242+DTRVL!M242</f>
        <v>463490967</v>
      </c>
      <c r="N242" s="189">
        <f>TDP!N242+'Dai Loc'!N242+'Khanh Nga'!N242+'Dong Lam'!N242+DTR!N242+DTRVL!N242</f>
        <v>6869477642</v>
      </c>
      <c r="O242" s="189">
        <f>TDP!O242+'Dai Loc'!O242+'Khanh Nga'!O242+'Dong Lam'!O242+DTR!O242+DTRVL!O242</f>
        <v>742305054</v>
      </c>
      <c r="P242" s="189">
        <f>TDP!P242+'Dai Loc'!P242+'Khanh Nga'!P242+'Dong Lam'!P242+DTR!P242+DTRVL!P242</f>
        <v>439138308</v>
      </c>
      <c r="Q242" s="189">
        <f>TDP!Q242+'Dai Loc'!Q242+'Khanh Nga'!Q242+'Dong Lam'!Q242+DTR!Q242+DTRVL!Q242</f>
        <v>1433963814</v>
      </c>
      <c r="R242" s="189">
        <f>TDP!R242+'Dai Loc'!R242+'Khanh Nga'!R242+'Dong Lam'!R242+DTR!R242+DTRVL!R242</f>
        <v>637006657</v>
      </c>
      <c r="S242" s="189">
        <f>TDP!S242+'Dai Loc'!S242+'Khanh Nga'!S242+'Dong Lam'!S242+DTR!S242+DTRVL!S242</f>
        <v>609245481</v>
      </c>
      <c r="T242" s="189">
        <f>TDP!T242+'Dai Loc'!T242+'Khanh Nga'!T242+'Dong Lam'!T242+DTR!T242+DTRVL!T242</f>
        <v>282286097</v>
      </c>
      <c r="U242" s="189">
        <f>TDP!U242+'Dai Loc'!U242+'Khanh Nga'!U242+'Dong Lam'!U242+DTR!U242+DTRVL!U242</f>
        <v>369960729</v>
      </c>
      <c r="V242" s="189">
        <f>TDP!V242+'Dai Loc'!V242+'Khanh Nga'!V242+'Dong Lam'!V242+DTR!V242+DTRVL!V242</f>
        <v>410831925</v>
      </c>
      <c r="W242" s="189">
        <f>TDP!W242+'Dai Loc'!W242+'Khanh Nga'!W242+'Dong Lam'!W242+DTR!W242+DTRVL!W242</f>
        <v>442654805</v>
      </c>
      <c r="X242" s="189">
        <f>TDP!X242+'Dai Loc'!X242+'Khanh Nga'!X242+'Dong Lam'!X242+DTR!X242+DTRVL!X242</f>
        <v>4242939910</v>
      </c>
      <c r="Y242" s="189">
        <f>TDP!Y242+'Dai Loc'!Y242+'Khanh Nga'!Y242+'Dong Lam'!Y242+DTR!Y242+DTRVL!Y242</f>
        <v>722962380</v>
      </c>
      <c r="Z242" s="189">
        <f>TDP!Z242+'Dai Loc'!Z242+'Khanh Nga'!Z242+'Dong Lam'!Z242+DTR!Z242+DTRVL!Z242</f>
        <v>1848763302</v>
      </c>
    </row>
    <row r="243" spans="1:26" ht="15" customHeight="1">
      <c r="A243" s="194" t="s">
        <v>329</v>
      </c>
      <c r="B243" s="171">
        <v>45</v>
      </c>
      <c r="C243" s="187">
        <f>IFERROR(C235/C207,"")</f>
        <v>3.7296765647101708E-2</v>
      </c>
      <c r="D243" s="187">
        <f t="shared" ref="D243:Z243" si="30">IFERROR(D235/D207,"")</f>
        <v>1.8692846162257422E-2</v>
      </c>
      <c r="E243" s="187">
        <f t="shared" si="30"/>
        <v>3.6491761700550913E-2</v>
      </c>
      <c r="F243" s="187">
        <f t="shared" si="30"/>
        <v>4.1874832391462169E-2</v>
      </c>
      <c r="G243" s="187">
        <f t="shared" si="30"/>
        <v>1.6609040181049049E-2</v>
      </c>
      <c r="H243" s="187">
        <f t="shared" si="30"/>
        <v>2.9530843041425808E-2</v>
      </c>
      <c r="I243" s="187">
        <f t="shared" si="30"/>
        <v>3.4774719803541403E-2</v>
      </c>
      <c r="J243" s="187">
        <f t="shared" si="30"/>
        <v>4.9133880064530608E-2</v>
      </c>
      <c r="K243" s="187">
        <f t="shared" si="30"/>
        <v>4.1994409022214907E-2</v>
      </c>
      <c r="L243" s="187">
        <f t="shared" si="30"/>
        <v>3.5188388853678643E-2</v>
      </c>
      <c r="M243" s="187">
        <f t="shared" si="30"/>
        <v>2.3156677744544218E-2</v>
      </c>
      <c r="N243" s="187">
        <f t="shared" si="30"/>
        <v>8.5001450841065598E-2</v>
      </c>
      <c r="O243" s="187">
        <f t="shared" si="30"/>
        <v>3.3219814918824773E-2</v>
      </c>
      <c r="P243" s="187">
        <f t="shared" si="30"/>
        <v>3.2095025942186141E-2</v>
      </c>
      <c r="Q243" s="187">
        <f t="shared" si="30"/>
        <v>3.1109899436126295E-2</v>
      </c>
      <c r="R243" s="187">
        <f t="shared" si="30"/>
        <v>2.931335496264623E-2</v>
      </c>
      <c r="S243" s="187">
        <f t="shared" si="30"/>
        <v>2.8273117442199003E-2</v>
      </c>
      <c r="T243" s="187">
        <f t="shared" si="30"/>
        <v>3.4348019676702493E-2</v>
      </c>
      <c r="U243" s="187">
        <f t="shared" si="30"/>
        <v>2.2812871479164467E-2</v>
      </c>
      <c r="V243" s="187">
        <f t="shared" si="30"/>
        <v>2.667751980033652E-2</v>
      </c>
      <c r="W243" s="187">
        <f t="shared" si="30"/>
        <v>2.9267484669349003E-2</v>
      </c>
      <c r="X243" s="187">
        <f t="shared" si="30"/>
        <v>5.2636345210401468E-2</v>
      </c>
      <c r="Y243" s="187">
        <f t="shared" si="30"/>
        <v>3.5380244160130074E-2</v>
      </c>
      <c r="Z243" s="187">
        <f t="shared" si="30"/>
        <v>4.1149741396296714E-2</v>
      </c>
    </row>
    <row r="244" spans="1:26" ht="15" customHeight="1">
      <c r="A244" s="193" t="s">
        <v>330</v>
      </c>
      <c r="B244" s="146">
        <v>46</v>
      </c>
      <c r="C244" s="183">
        <f t="shared" ref="C244:Z244" si="31">C145</f>
        <v>5698695249</v>
      </c>
      <c r="D244" s="183">
        <f t="shared" si="31"/>
        <v>5090845577</v>
      </c>
      <c r="E244" s="183">
        <f t="shared" si="31"/>
        <v>5285019459</v>
      </c>
      <c r="F244" s="183">
        <f t="shared" si="31"/>
        <v>5584474639</v>
      </c>
      <c r="G244" s="183">
        <f t="shared" si="31"/>
        <v>6069340865</v>
      </c>
      <c r="H244" s="183">
        <f t="shared" si="31"/>
        <v>5881960019</v>
      </c>
      <c r="I244" s="183">
        <f t="shared" si="31"/>
        <v>5698093117</v>
      </c>
      <c r="J244" s="183">
        <f t="shared" si="31"/>
        <v>6840474838</v>
      </c>
      <c r="K244" s="183">
        <f t="shared" si="31"/>
        <v>8084946891</v>
      </c>
      <c r="L244" s="183">
        <f t="shared" si="31"/>
        <v>8025871294</v>
      </c>
      <c r="M244" s="183">
        <f t="shared" si="31"/>
        <v>9126335400</v>
      </c>
      <c r="N244" s="183">
        <f t="shared" si="31"/>
        <v>7087963087</v>
      </c>
      <c r="O244" s="183">
        <f t="shared" si="31"/>
        <v>8548199037</v>
      </c>
      <c r="P244" s="183">
        <f t="shared" si="31"/>
        <v>8928537962</v>
      </c>
      <c r="Q244" s="183">
        <f t="shared" si="31"/>
        <v>8618282018</v>
      </c>
      <c r="R244" s="183">
        <f t="shared" si="31"/>
        <v>8518246563</v>
      </c>
      <c r="S244" s="183">
        <f t="shared" si="31"/>
        <v>9277438311</v>
      </c>
      <c r="T244" s="183">
        <f t="shared" si="31"/>
        <v>9026767632</v>
      </c>
      <c r="U244" s="183">
        <f t="shared" si="31"/>
        <v>8998978187</v>
      </c>
      <c r="V244" s="183">
        <f t="shared" si="31"/>
        <v>9320823983</v>
      </c>
      <c r="W244" s="183">
        <f t="shared" si="31"/>
        <v>10936858648</v>
      </c>
      <c r="X244" s="183">
        <f t="shared" si="31"/>
        <v>5273319876</v>
      </c>
      <c r="Y244" s="183">
        <f t="shared" si="31"/>
        <v>11469860627</v>
      </c>
      <c r="Z244" s="183">
        <f t="shared" si="31"/>
        <v>12679478668</v>
      </c>
    </row>
    <row r="245" spans="1:26" ht="15" customHeight="1">
      <c r="A245" s="190" t="s">
        <v>331</v>
      </c>
      <c r="B245" s="191">
        <v>47</v>
      </c>
      <c r="C245" s="189">
        <f>TDP!C245+'Dai Loc'!C245+'Khanh Nga'!C245+'Dong Lam'!C245+DTR!C245+DTRVL!C245</f>
        <v>2362490360</v>
      </c>
      <c r="D245" s="189">
        <f>TDP!D245+'Dai Loc'!D245+'Khanh Nga'!D245+'Dong Lam'!D245+DTR!D245+DTRVL!D245</f>
        <v>2021074110</v>
      </c>
      <c r="E245" s="189">
        <f>TDP!E245+'Dai Loc'!E245+'Khanh Nga'!E245+'Dong Lam'!E245+DTR!E245+DTRVL!E245</f>
        <v>2607145684</v>
      </c>
      <c r="F245" s="189">
        <f>TDP!F245+'Dai Loc'!F245+'Khanh Nga'!F245+'Dong Lam'!F245+DTR!F245+DTRVL!F245</f>
        <v>2666715116</v>
      </c>
      <c r="G245" s="189">
        <f>TDP!G245+'Dai Loc'!G245+'Khanh Nga'!G245+'Dong Lam'!G245+DTR!G245+DTRVL!G245</f>
        <v>2516722072</v>
      </c>
      <c r="H245" s="189">
        <f>TDP!H245+'Dai Loc'!H245+'Khanh Nga'!H245+'Dong Lam'!H245+DTR!H245+DTRVL!H245</f>
        <v>2504875010</v>
      </c>
      <c r="I245" s="189">
        <f>TDP!I245+'Dai Loc'!I245+'Khanh Nga'!I245+'Dong Lam'!I245+DTR!I245+DTRVL!I245</f>
        <v>2630548203</v>
      </c>
      <c r="J245" s="189">
        <f>TDP!J245+'Dai Loc'!J245+'Khanh Nga'!J245+'Dong Lam'!J245+DTR!J245+DTRVL!J245</f>
        <v>2603258969</v>
      </c>
      <c r="K245" s="189">
        <f>TDP!K245+'Dai Loc'!K245+'Khanh Nga'!K245+'Dong Lam'!K245+DTR!K245+DTRVL!K245</f>
        <v>2725010427</v>
      </c>
      <c r="L245" s="189">
        <f>TDP!L245+'Dai Loc'!L245+'Khanh Nga'!L245+'Dong Lam'!L245+DTR!L245+DTRVL!L245</f>
        <v>2615378033</v>
      </c>
      <c r="M245" s="189">
        <f>TDP!M245+'Dai Loc'!M245+'Khanh Nga'!M245+'Dong Lam'!M245+DTR!M245+DTRVL!M245</f>
        <v>2990827462</v>
      </c>
      <c r="N245" s="189">
        <f>TDP!N245+'Dai Loc'!N245+'Khanh Nga'!N245+'Dong Lam'!N245+DTR!N245+DTRVL!N245</f>
        <v>2783690695</v>
      </c>
      <c r="O245" s="189">
        <f>TDP!O245+'Dai Loc'!O245+'Khanh Nga'!O245+'Dong Lam'!O245+DTR!O245+DTRVL!O245</f>
        <v>3395380082</v>
      </c>
      <c r="P245" s="189">
        <f>TDP!P245+'Dai Loc'!P245+'Khanh Nga'!P245+'Dong Lam'!P245+DTR!P245+DTRVL!P245</f>
        <v>3456835968</v>
      </c>
      <c r="Q245" s="189">
        <f>TDP!Q245+'Dai Loc'!Q245+'Khanh Nga'!Q245+'Dong Lam'!Q245+DTR!Q245+DTRVL!Q245</f>
        <v>3370583854</v>
      </c>
      <c r="R245" s="189">
        <f>TDP!R245+'Dai Loc'!R245+'Khanh Nga'!R245+'Dong Lam'!R245+DTR!R245+DTRVL!R245</f>
        <v>3835935161</v>
      </c>
      <c r="S245" s="189">
        <f>TDP!S245+'Dai Loc'!S245+'Khanh Nga'!S245+'Dong Lam'!S245+DTR!S245+DTRVL!S245</f>
        <v>3752070278</v>
      </c>
      <c r="T245" s="189">
        <f>TDP!T245+'Dai Loc'!T245+'Khanh Nga'!T245+'Dong Lam'!T245+DTR!T245+DTRVL!T245</f>
        <v>3992010482</v>
      </c>
      <c r="U245" s="189">
        <f>TDP!U245+'Dai Loc'!U245+'Khanh Nga'!U245+'Dong Lam'!U245+DTR!U245+DTRVL!U245</f>
        <v>3740968286</v>
      </c>
      <c r="V245" s="189">
        <f>TDP!V245+'Dai Loc'!V245+'Khanh Nga'!V245+'Dong Lam'!V245+DTR!V245+DTRVL!V245</f>
        <v>4015464388</v>
      </c>
      <c r="W245" s="189">
        <f>TDP!W245+'Dai Loc'!W245+'Khanh Nga'!W245+'Dong Lam'!W245+DTR!W245+DTRVL!W245</f>
        <v>4043336826</v>
      </c>
      <c r="X245" s="189">
        <f>TDP!X245+'Dai Loc'!X245+'Khanh Nga'!X245+'Dong Lam'!X245+DTR!X245+DTRVL!X245</f>
        <v>4022089290</v>
      </c>
      <c r="Y245" s="189">
        <f>TDP!Y245+'Dai Loc'!Y245+'Khanh Nga'!Y245+'Dong Lam'!Y245+DTR!Y245+DTRVL!Y245</f>
        <v>4161885331</v>
      </c>
      <c r="Z245" s="189">
        <f>TDP!Z245+'Dai Loc'!Z245+'Khanh Nga'!Z245+'Dong Lam'!Z245+DTR!Z245+DTRVL!Z245</f>
        <v>4262419424</v>
      </c>
    </row>
    <row r="246" spans="1:26" ht="15" customHeight="1">
      <c r="A246" s="190" t="s">
        <v>332</v>
      </c>
      <c r="B246" s="191">
        <v>48</v>
      </c>
      <c r="C246" s="189">
        <f>TDP!C246+'Dai Loc'!C246+'Khanh Nga'!C246+'Dong Lam'!C246+DTR!C246+DTRVL!C246</f>
        <v>1193682024</v>
      </c>
      <c r="D246" s="189">
        <f>TDP!D246+'Dai Loc'!D246+'Khanh Nga'!D246+'Dong Lam'!D246+DTR!D246+DTRVL!D246</f>
        <v>1381139710</v>
      </c>
      <c r="E246" s="189">
        <f>TDP!E246+'Dai Loc'!E246+'Khanh Nga'!E246+'Dong Lam'!E246+DTR!E246+DTRVL!E246</f>
        <v>1178596975</v>
      </c>
      <c r="F246" s="189">
        <f>TDP!F246+'Dai Loc'!F246+'Khanh Nga'!F246+'Dong Lam'!F246+DTR!F246+DTRVL!F246</f>
        <v>1248464859</v>
      </c>
      <c r="G246" s="189">
        <f>TDP!G246+'Dai Loc'!G246+'Khanh Nga'!G246+'Dong Lam'!G246+DTR!G246+DTRVL!G246</f>
        <v>1297120525</v>
      </c>
      <c r="H246" s="189">
        <f>TDP!H246+'Dai Loc'!H246+'Khanh Nga'!H246+'Dong Lam'!H246+DTR!H246+DTRVL!H246</f>
        <v>1280071302</v>
      </c>
      <c r="I246" s="189">
        <f>TDP!I246+'Dai Loc'!I246+'Khanh Nga'!I246+'Dong Lam'!I246+DTR!I246+DTRVL!I246</f>
        <v>1380040921</v>
      </c>
      <c r="J246" s="189">
        <f>TDP!J246+'Dai Loc'!J246+'Khanh Nga'!J246+'Dong Lam'!J246+DTR!J246+DTRVL!J246</f>
        <v>1345769518</v>
      </c>
      <c r="K246" s="189">
        <f>TDP!K246+'Dai Loc'!K246+'Khanh Nga'!K246+'Dong Lam'!K246+DTR!K246+DTRVL!K246</f>
        <v>1408303944</v>
      </c>
      <c r="L246" s="189">
        <f>TDP!L246+'Dai Loc'!L246+'Khanh Nga'!L246+'Dong Lam'!L246+DTR!L246+DTRVL!L246</f>
        <v>1333633996</v>
      </c>
      <c r="M246" s="189">
        <f>TDP!M246+'Dai Loc'!M246+'Khanh Nga'!M246+'Dong Lam'!M246+DTR!M246+DTRVL!M246</f>
        <v>1358829154</v>
      </c>
      <c r="N246" s="189">
        <f>TDP!N246+'Dai Loc'!N246+'Khanh Nga'!N246+'Dong Lam'!N246+DTR!N246+DTRVL!N246</f>
        <v>2624185177</v>
      </c>
      <c r="O246" s="189">
        <f>TDP!O246+'Dai Loc'!O246+'Khanh Nga'!O246+'Dong Lam'!O246+DTR!O246+DTRVL!O246</f>
        <v>1664928102</v>
      </c>
      <c r="P246" s="189">
        <f>TDP!P246+'Dai Loc'!P246+'Khanh Nga'!P246+'Dong Lam'!P246+DTR!P246+DTRVL!P246</f>
        <v>1724196268</v>
      </c>
      <c r="Q246" s="189">
        <f>TDP!Q246+'Dai Loc'!Q246+'Khanh Nga'!Q246+'Dong Lam'!Q246+DTR!Q246+DTRVL!Q246</f>
        <v>1635327405</v>
      </c>
      <c r="R246" s="189">
        <f>TDP!R246+'Dai Loc'!R246+'Khanh Nga'!R246+'Dong Lam'!R246+DTR!R246+DTRVL!R246</f>
        <v>1738951609</v>
      </c>
      <c r="S246" s="189">
        <f>TDP!S246+'Dai Loc'!S246+'Khanh Nga'!S246+'Dong Lam'!S246+DTR!S246+DTRVL!S246</f>
        <v>1834696713</v>
      </c>
      <c r="T246" s="189">
        <f>TDP!T246+'Dai Loc'!T246+'Khanh Nga'!T246+'Dong Lam'!T246+DTR!T246+DTRVL!T246</f>
        <v>1819972495</v>
      </c>
      <c r="U246" s="189">
        <f>TDP!U246+'Dai Loc'!U246+'Khanh Nga'!U246+'Dong Lam'!U246+DTR!U246+DTRVL!U246</f>
        <v>1795862363</v>
      </c>
      <c r="V246" s="189">
        <f>TDP!V246+'Dai Loc'!V246+'Khanh Nga'!V246+'Dong Lam'!V246+DTR!V246+DTRVL!V246</f>
        <v>1838011649</v>
      </c>
      <c r="W246" s="189">
        <f>TDP!W246+'Dai Loc'!W246+'Khanh Nga'!W246+'Dong Lam'!W246+DTR!W246+DTRVL!W246</f>
        <v>1723053059</v>
      </c>
      <c r="X246" s="189">
        <f>TDP!X246+'Dai Loc'!X246+'Khanh Nga'!X246+'Dong Lam'!X246+DTR!X246+DTRVL!X246</f>
        <v>1921194120</v>
      </c>
      <c r="Y246" s="189">
        <f>TDP!Y246+'Dai Loc'!Y246+'Khanh Nga'!Y246+'Dong Lam'!Y246+DTR!Y246+DTRVL!Y246</f>
        <v>1964907136</v>
      </c>
      <c r="Z246" s="189">
        <f>TDP!Z246+'Dai Loc'!Z246+'Khanh Nga'!Z246+'Dong Lam'!Z246+DTR!Z246+DTRVL!Z246</f>
        <v>3860161599</v>
      </c>
    </row>
    <row r="247" spans="1:26" ht="15" customHeight="1">
      <c r="A247" s="190" t="s">
        <v>333</v>
      </c>
      <c r="B247" s="191">
        <v>49</v>
      </c>
      <c r="C247" s="189">
        <f>TDP!C247+'Dai Loc'!C247+'Khanh Nga'!C247+'Dong Lam'!C247+DTR!C247+DTRVL!C247</f>
        <v>133435416</v>
      </c>
      <c r="D247" s="189">
        <f>TDP!D247+'Dai Loc'!D247+'Khanh Nga'!D247+'Dong Lam'!D247+DTR!D247+DTRVL!D247</f>
        <v>133435416</v>
      </c>
      <c r="E247" s="189">
        <f>TDP!E247+'Dai Loc'!E247+'Khanh Nga'!E247+'Dong Lam'!E247+DTR!E247+DTRVL!E247</f>
        <v>128983751</v>
      </c>
      <c r="F247" s="189">
        <f>TDP!F247+'Dai Loc'!F247+'Khanh Nga'!F247+'Dong Lam'!F247+DTR!F247+DTRVL!F247</f>
        <v>188597480</v>
      </c>
      <c r="G247" s="189">
        <f>TDP!G247+'Dai Loc'!G247+'Khanh Nga'!G247+'Dong Lam'!G247+DTR!G247+DTRVL!G247</f>
        <v>193063634</v>
      </c>
      <c r="H247" s="189">
        <f>TDP!H247+'Dai Loc'!H247+'Khanh Nga'!H247+'Dong Lam'!H247+DTR!H247+DTRVL!H247</f>
        <v>191604855</v>
      </c>
      <c r="I247" s="189">
        <f>TDP!I247+'Dai Loc'!I247+'Khanh Nga'!I247+'Dong Lam'!I247+DTR!I247+DTRVL!I247</f>
        <v>196735047</v>
      </c>
      <c r="J247" s="189">
        <f>TDP!J247+'Dai Loc'!J247+'Khanh Nga'!J247+'Dong Lam'!J247+DTR!J247+DTRVL!J247</f>
        <v>345856873</v>
      </c>
      <c r="K247" s="189">
        <f>TDP!K247+'Dai Loc'!K247+'Khanh Nga'!K247+'Dong Lam'!K247+DTR!K247+DTRVL!K247</f>
        <v>345856878</v>
      </c>
      <c r="L247" s="189">
        <f>TDP!L247+'Dai Loc'!L247+'Khanh Nga'!L247+'Dong Lam'!L247+DTR!L247+DTRVL!L247</f>
        <v>345856871</v>
      </c>
      <c r="M247" s="189">
        <f>TDP!M247+'Dai Loc'!M247+'Khanh Nga'!M247+'Dong Lam'!M247+DTR!M247+DTRVL!M247</f>
        <v>344940471</v>
      </c>
      <c r="N247" s="189">
        <f>TDP!N247+'Dai Loc'!N247+'Khanh Nga'!N247+'Dong Lam'!N247+DTR!N247+DTRVL!N247</f>
        <v>405609841</v>
      </c>
      <c r="O247" s="189">
        <f>TDP!O247+'Dai Loc'!O247+'Khanh Nga'!O247+'Dong Lam'!O247+DTR!O247+DTRVL!O247</f>
        <v>442609315</v>
      </c>
      <c r="P247" s="189">
        <f>TDP!P247+'Dai Loc'!P247+'Khanh Nga'!P247+'Dong Lam'!P247+DTR!P247+DTRVL!P247</f>
        <v>442609316</v>
      </c>
      <c r="Q247" s="189">
        <f>TDP!Q247+'Dai Loc'!Q247+'Khanh Nga'!Q247+'Dong Lam'!Q247+DTR!Q247+DTRVL!Q247</f>
        <v>446514041</v>
      </c>
      <c r="R247" s="189">
        <f>TDP!R247+'Dai Loc'!R247+'Khanh Nga'!R247+'Dong Lam'!R247+DTR!R247+DTRVL!R247</f>
        <v>487969281</v>
      </c>
      <c r="S247" s="189">
        <f>TDP!S247+'Dai Loc'!S247+'Khanh Nga'!S247+'Dong Lam'!S247+DTR!S247+DTRVL!S247</f>
        <v>487969283</v>
      </c>
      <c r="T247" s="189">
        <f>TDP!T247+'Dai Loc'!T247+'Khanh Nga'!T247+'Dong Lam'!T247+DTR!T247+DTRVL!T247</f>
        <v>504068745</v>
      </c>
      <c r="U247" s="189">
        <f>TDP!U247+'Dai Loc'!U247+'Khanh Nga'!U247+'Dong Lam'!U247+DTR!U247+DTRVL!U247</f>
        <v>351628210</v>
      </c>
      <c r="V247" s="189">
        <f>TDP!V247+'Dai Loc'!V247+'Khanh Nga'!V247+'Dong Lam'!V247+DTR!V247+DTRVL!V247</f>
        <v>358231270</v>
      </c>
      <c r="W247" s="189">
        <f>TDP!W247+'Dai Loc'!W247+'Khanh Nga'!W247+'Dong Lam'!W247+DTR!W247+DTRVL!W247</f>
        <v>496415629</v>
      </c>
      <c r="X247" s="189">
        <f>TDP!X247+'Dai Loc'!X247+'Khanh Nga'!X247+'Dong Lam'!X247+DTR!X247+DTRVL!X247</f>
        <v>359075929</v>
      </c>
      <c r="Y247" s="189">
        <f>TDP!Y247+'Dai Loc'!Y247+'Khanh Nga'!Y247+'Dong Lam'!Y247+DTR!Y247+DTRVL!Y247</f>
        <v>359075932</v>
      </c>
      <c r="Z247" s="189">
        <f>TDP!Z247+'Dai Loc'!Z247+'Khanh Nga'!Z247+'Dong Lam'!Z247+DTR!Z247+DTRVL!Z247</f>
        <v>308444264</v>
      </c>
    </row>
    <row r="248" spans="1:26" ht="15" customHeight="1">
      <c r="A248" s="190" t="s">
        <v>334</v>
      </c>
      <c r="B248" s="191">
        <v>50</v>
      </c>
      <c r="C248" s="189">
        <f>TDP!C248+'Dai Loc'!C248+'Khanh Nga'!C248+'Dong Lam'!C248+DTR!C248+DTRVL!C248</f>
        <v>1849865841</v>
      </c>
      <c r="D248" s="189">
        <f>TDP!D248+'Dai Loc'!D248+'Khanh Nga'!D248+'Dong Lam'!D248+DTR!D248+DTRVL!D248</f>
        <v>1450541163</v>
      </c>
      <c r="E248" s="189">
        <f>TDP!E248+'Dai Loc'!E248+'Khanh Nga'!E248+'Dong Lam'!E248+DTR!E248+DTRVL!E248</f>
        <v>1254997394</v>
      </c>
      <c r="F248" s="189">
        <f>TDP!F248+'Dai Loc'!F248+'Khanh Nga'!F248+'Dong Lam'!F248+DTR!F248+DTRVL!F248</f>
        <v>1374646187</v>
      </c>
      <c r="G248" s="189">
        <f>TDP!G248+'Dai Loc'!G248+'Khanh Nga'!G248+'Dong Lam'!G248+DTR!G248+DTRVL!G248</f>
        <v>1995563814</v>
      </c>
      <c r="H248" s="189">
        <f>TDP!H248+'Dai Loc'!H248+'Khanh Nga'!H248+'Dong Lam'!H248+DTR!H248+DTRVL!H248</f>
        <v>1829213001</v>
      </c>
      <c r="I248" s="189">
        <f>TDP!I248+'Dai Loc'!I248+'Khanh Nga'!I248+'Dong Lam'!I248+DTR!I248+DTRVL!I248</f>
        <v>1422616432</v>
      </c>
      <c r="J248" s="189">
        <f>TDP!J248+'Dai Loc'!J248+'Khanh Nga'!J248+'Dong Lam'!J248+DTR!J248+DTRVL!J248</f>
        <v>2406181067</v>
      </c>
      <c r="K248" s="189">
        <f>TDP!K248+'Dai Loc'!K248+'Khanh Nga'!K248+'Dong Lam'!K248+DTR!K248+DTRVL!K248</f>
        <v>3522619635</v>
      </c>
      <c r="L248" s="189">
        <f>TDP!L248+'Dai Loc'!L248+'Khanh Nga'!L248+'Dong Lam'!L248+DTR!L248+DTRVL!L248</f>
        <v>3673756025</v>
      </c>
      <c r="M248" s="189">
        <f>TDP!M248+'Dai Loc'!M248+'Khanh Nga'!M248+'Dong Lam'!M248+DTR!M248+DTRVL!M248</f>
        <v>3878846677</v>
      </c>
      <c r="N248" s="189">
        <f>TDP!N248+'Dai Loc'!N248+'Khanh Nga'!N248+'Dong Lam'!N248+DTR!N248+DTRVL!N248</f>
        <v>1177397870</v>
      </c>
      <c r="O248" s="189">
        <f>TDP!O248+'Dai Loc'!O248+'Khanh Nga'!O248+'Dong Lam'!O248+DTR!O248+DTRVL!O248</f>
        <v>3045281538</v>
      </c>
      <c r="P248" s="189">
        <f>TDP!P248+'Dai Loc'!P248+'Khanh Nga'!P248+'Dong Lam'!P248+DTR!P248+DTRVL!P248</f>
        <v>3304896410</v>
      </c>
      <c r="Q248" s="189">
        <f>TDP!Q248+'Dai Loc'!Q248+'Khanh Nga'!Q248+'Dong Lam'!Q248+DTR!Q248+DTRVL!Q248</f>
        <v>3165856718</v>
      </c>
      <c r="R248" s="189">
        <f>TDP!R248+'Dai Loc'!R248+'Khanh Nga'!R248+'Dong Lam'!R248+DTR!R248+DTRVL!R248</f>
        <v>2455390512</v>
      </c>
      <c r="S248" s="189">
        <f>TDP!S248+'Dai Loc'!S248+'Khanh Nga'!S248+'Dong Lam'!S248+DTR!S248+DTRVL!S248</f>
        <v>3202702037</v>
      </c>
      <c r="T248" s="189">
        <f>TDP!T248+'Dai Loc'!T248+'Khanh Nga'!T248+'Dong Lam'!T248+DTR!T248+DTRVL!T248</f>
        <v>2710715910</v>
      </c>
      <c r="U248" s="189">
        <f>TDP!U248+'Dai Loc'!U248+'Khanh Nga'!U248+'Dong Lam'!U248+DTR!U248+DTRVL!U248</f>
        <v>3110519328</v>
      </c>
      <c r="V248" s="189">
        <f>TDP!V248+'Dai Loc'!V248+'Khanh Nga'!V248+'Dong Lam'!V248+DTR!V248+DTRVL!V248</f>
        <v>3109116676</v>
      </c>
      <c r="W248" s="189">
        <f>TDP!W248+'Dai Loc'!W248+'Khanh Nga'!W248+'Dong Lam'!W248+DTR!W248+DTRVL!W248</f>
        <v>4674053134</v>
      </c>
      <c r="X248" s="189">
        <f>TDP!X248+'Dai Loc'!X248+'Khanh Nga'!X248+'Dong Lam'!X248+DTR!X248+DTRVL!X248</f>
        <v>-1029039463</v>
      </c>
      <c r="Y248" s="189">
        <f>TDP!Y248+'Dai Loc'!Y248+'Khanh Nga'!Y248+'Dong Lam'!Y248+DTR!Y248+DTRVL!Y248</f>
        <v>4983992228</v>
      </c>
      <c r="Z248" s="189">
        <f>TDP!Z248+'Dai Loc'!Z248+'Khanh Nga'!Z248+'Dong Lam'!Z248+DTR!Z248+DTRVL!Z248</f>
        <v>4103858469</v>
      </c>
    </row>
    <row r="249" spans="1:26" ht="15" customHeight="1">
      <c r="A249" s="194" t="s">
        <v>335</v>
      </c>
      <c r="B249" s="171">
        <v>51</v>
      </c>
      <c r="C249" s="187">
        <f t="shared" ref="C249:Z249" si="32">IFERROR(C244/C207,"")</f>
        <v>4.3823327299781251E-2</v>
      </c>
      <c r="D249" s="187">
        <f t="shared" si="32"/>
        <v>6.0983060969462148E-2</v>
      </c>
      <c r="E249" s="187">
        <f t="shared" si="32"/>
        <v>4.57081117806174E-2</v>
      </c>
      <c r="F249" s="187">
        <f t="shared" si="32"/>
        <v>4.7467950802511746E-2</v>
      </c>
      <c r="G249" s="187">
        <f t="shared" si="32"/>
        <v>4.7435606178362386E-2</v>
      </c>
      <c r="H249" s="187">
        <f t="shared" si="32"/>
        <v>6.1487176963276123E-2</v>
      </c>
      <c r="I249" s="187">
        <f t="shared" si="32"/>
        <v>7.630046694713731E-2</v>
      </c>
      <c r="J249" s="187">
        <f t="shared" si="32"/>
        <v>3.9633823270130632E-2</v>
      </c>
      <c r="K249" s="187">
        <f t="shared" si="32"/>
        <v>4.6076133694931763E-2</v>
      </c>
      <c r="L249" s="187">
        <f t="shared" si="32"/>
        <v>5.7209470515793656E-2</v>
      </c>
      <c r="M249" s="187">
        <f t="shared" si="32"/>
        <v>9.3942487600756838E-2</v>
      </c>
      <c r="N249" s="187">
        <f t="shared" si="32"/>
        <v>5.7157911500235574E-2</v>
      </c>
      <c r="O249" s="187">
        <f t="shared" si="32"/>
        <v>6.7915407602710393E-2</v>
      </c>
      <c r="P249" s="187">
        <f t="shared" si="32"/>
        <v>4.3189513758031171E-2</v>
      </c>
      <c r="Q249" s="187">
        <f t="shared" si="32"/>
        <v>4.7627056940891394E-2</v>
      </c>
      <c r="R249" s="187">
        <f t="shared" si="32"/>
        <v>5.4014221066101556E-2</v>
      </c>
      <c r="S249" s="187">
        <f t="shared" si="32"/>
        <v>5.0035341908518979E-2</v>
      </c>
      <c r="T249" s="187">
        <f t="shared" si="32"/>
        <v>5.6878412198492379E-2</v>
      </c>
      <c r="U249" s="187">
        <f t="shared" si="32"/>
        <v>4.8315808144091893E-2</v>
      </c>
      <c r="V249" s="187">
        <f t="shared" si="32"/>
        <v>4.3237115297589446E-2</v>
      </c>
      <c r="W249" s="187">
        <f t="shared" si="32"/>
        <v>9.1091206300940433E-2</v>
      </c>
      <c r="X249" s="187">
        <f t="shared" si="32"/>
        <v>3.8162088606202176E-2</v>
      </c>
      <c r="Y249" s="187">
        <f t="shared" si="32"/>
        <v>0.105967152313962</v>
      </c>
      <c r="Z249" s="187">
        <f t="shared" si="32"/>
        <v>9.9129592126484659E-2</v>
      </c>
    </row>
    <row r="250" spans="1:26" ht="15" customHeight="1">
      <c r="A250" s="193" t="s">
        <v>336</v>
      </c>
      <c r="B250" s="146">
        <v>52</v>
      </c>
      <c r="C250" s="186">
        <f t="shared" ref="C250:Z251" si="33">C142</f>
        <v>801399604</v>
      </c>
      <c r="D250" s="186">
        <f t="shared" si="33"/>
        <v>695500231</v>
      </c>
      <c r="E250" s="186">
        <f t="shared" si="33"/>
        <v>663502461</v>
      </c>
      <c r="F250" s="186">
        <f t="shared" si="33"/>
        <v>1555671370</v>
      </c>
      <c r="G250" s="186">
        <f t="shared" si="33"/>
        <v>936492932</v>
      </c>
      <c r="H250" s="186">
        <f t="shared" si="33"/>
        <v>1103852896</v>
      </c>
      <c r="I250" s="186">
        <f t="shared" si="33"/>
        <v>1608708972</v>
      </c>
      <c r="J250" s="186">
        <f t="shared" si="33"/>
        <v>1489581015</v>
      </c>
      <c r="K250" s="186">
        <f t="shared" si="33"/>
        <v>1372261307</v>
      </c>
      <c r="L250" s="186">
        <f t="shared" si="33"/>
        <v>636041020</v>
      </c>
      <c r="M250" s="186">
        <f t="shared" si="33"/>
        <v>1257673070</v>
      </c>
      <c r="N250" s="186">
        <f t="shared" si="33"/>
        <v>993026233</v>
      </c>
      <c r="O250" s="186">
        <f t="shared" si="33"/>
        <v>1529745602</v>
      </c>
      <c r="P250" s="186">
        <f t="shared" si="33"/>
        <v>1349010483</v>
      </c>
      <c r="Q250" s="186">
        <f t="shared" si="33"/>
        <v>902730488</v>
      </c>
      <c r="R250" s="186">
        <f t="shared" si="33"/>
        <v>1450570894</v>
      </c>
      <c r="S250" s="186">
        <f t="shared" si="33"/>
        <v>858169737</v>
      </c>
      <c r="T250" s="186">
        <f t="shared" si="33"/>
        <v>1483876982</v>
      </c>
      <c r="U250" s="186">
        <f t="shared" si="33"/>
        <v>1318435167</v>
      </c>
      <c r="V250" s="186">
        <f t="shared" si="33"/>
        <v>1366041150</v>
      </c>
      <c r="W250" s="186">
        <f t="shared" si="33"/>
        <v>1603769193</v>
      </c>
      <c r="X250" s="186">
        <f t="shared" si="33"/>
        <v>2900732378</v>
      </c>
      <c r="Y250" s="186">
        <f t="shared" si="33"/>
        <v>1301741764</v>
      </c>
      <c r="Z250" s="186">
        <f t="shared" si="33"/>
        <v>2453854146</v>
      </c>
    </row>
    <row r="251" spans="1:26" ht="15" customHeight="1">
      <c r="A251" s="178" t="s">
        <v>337</v>
      </c>
      <c r="B251" s="179">
        <v>53</v>
      </c>
      <c r="C251" s="189">
        <f t="shared" si="33"/>
        <v>460461775</v>
      </c>
      <c r="D251" s="189">
        <f t="shared" si="33"/>
        <v>563909516</v>
      </c>
      <c r="E251" s="189">
        <f t="shared" si="33"/>
        <v>587315920</v>
      </c>
      <c r="F251" s="189">
        <f t="shared" si="33"/>
        <v>905708142</v>
      </c>
      <c r="G251" s="189">
        <f t="shared" si="33"/>
        <v>974310029</v>
      </c>
      <c r="H251" s="189">
        <f t="shared" si="33"/>
        <v>1115056080</v>
      </c>
      <c r="I251" s="189">
        <f t="shared" si="33"/>
        <v>1160823006</v>
      </c>
      <c r="J251" s="189">
        <f t="shared" si="33"/>
        <v>939585045</v>
      </c>
      <c r="K251" s="189">
        <f t="shared" si="33"/>
        <v>859444105</v>
      </c>
      <c r="L251" s="189">
        <f t="shared" si="33"/>
        <v>840165515</v>
      </c>
      <c r="M251" s="189">
        <f t="shared" si="33"/>
        <v>889159081</v>
      </c>
      <c r="N251" s="189">
        <f t="shared" si="33"/>
        <v>1032562923</v>
      </c>
      <c r="O251" s="189">
        <f t="shared" si="33"/>
        <v>1114824276</v>
      </c>
      <c r="P251" s="189">
        <f t="shared" si="33"/>
        <v>928379281</v>
      </c>
      <c r="Q251" s="189">
        <f t="shared" si="33"/>
        <v>673966789</v>
      </c>
      <c r="R251" s="189">
        <f t="shared" si="33"/>
        <v>888393452</v>
      </c>
      <c r="S251" s="189">
        <f t="shared" si="33"/>
        <v>1186588729</v>
      </c>
      <c r="T251" s="189">
        <f t="shared" si="33"/>
        <v>1448899822</v>
      </c>
      <c r="U251" s="189">
        <f t="shared" si="33"/>
        <v>1245210526</v>
      </c>
      <c r="V251" s="189">
        <f t="shared" si="33"/>
        <v>1303560910</v>
      </c>
      <c r="W251" s="189">
        <f t="shared" si="33"/>
        <v>1595764355</v>
      </c>
      <c r="X251" s="189">
        <f t="shared" si="33"/>
        <v>1368802426</v>
      </c>
      <c r="Y251" s="189">
        <f t="shared" si="33"/>
        <v>1256132292</v>
      </c>
      <c r="Z251" s="189">
        <f t="shared" si="33"/>
        <v>1256103396</v>
      </c>
    </row>
    <row r="252" spans="1:26" ht="15" customHeight="1">
      <c r="A252" s="194" t="s">
        <v>338</v>
      </c>
      <c r="B252" s="195">
        <v>54</v>
      </c>
      <c r="C252" s="187">
        <f>IFERROR(C251/C207,"")</f>
        <v>3.540980205671502E-3</v>
      </c>
      <c r="D252" s="187">
        <f t="shared" ref="D252:Z252" si="34">IFERROR(D251/D207,"")</f>
        <v>6.7550523533564041E-3</v>
      </c>
      <c r="E252" s="187">
        <f t="shared" si="34"/>
        <v>5.0794707437038684E-3</v>
      </c>
      <c r="F252" s="187">
        <f t="shared" si="34"/>
        <v>7.6985056437804556E-3</v>
      </c>
      <c r="G252" s="187">
        <f t="shared" si="34"/>
        <v>7.6148280116860494E-3</v>
      </c>
      <c r="H252" s="187">
        <f t="shared" si="34"/>
        <v>1.1656259188003327E-2</v>
      </c>
      <c r="I252" s="187">
        <f t="shared" si="34"/>
        <v>1.5544031236788856E-2</v>
      </c>
      <c r="J252" s="187">
        <f t="shared" si="34"/>
        <v>5.4439711427512064E-3</v>
      </c>
      <c r="K252" s="187">
        <f t="shared" si="34"/>
        <v>4.8979742253326044E-3</v>
      </c>
      <c r="L252" s="187">
        <f t="shared" si="34"/>
        <v>5.9888107469044461E-3</v>
      </c>
      <c r="M252" s="187">
        <f t="shared" si="34"/>
        <v>9.1526129909648996E-3</v>
      </c>
      <c r="N252" s="187">
        <f t="shared" si="34"/>
        <v>8.3266714917724794E-3</v>
      </c>
      <c r="O252" s="187">
        <f t="shared" si="34"/>
        <v>8.8572744717591804E-3</v>
      </c>
      <c r="P252" s="187">
        <f t="shared" si="34"/>
        <v>4.4907968023511656E-3</v>
      </c>
      <c r="Q252" s="187">
        <f t="shared" si="34"/>
        <v>3.7245305466833394E-3</v>
      </c>
      <c r="R252" s="187">
        <f t="shared" si="34"/>
        <v>5.6333049243300097E-3</v>
      </c>
      <c r="S252" s="187">
        <f t="shared" si="34"/>
        <v>6.3995437932381606E-3</v>
      </c>
      <c r="T252" s="187">
        <f t="shared" si="34"/>
        <v>9.129638057579971E-3</v>
      </c>
      <c r="U252" s="187">
        <f t="shared" si="34"/>
        <v>6.6855760313023361E-3</v>
      </c>
      <c r="V252" s="187">
        <f t="shared" si="34"/>
        <v>6.0469131769785743E-3</v>
      </c>
      <c r="W252" s="187">
        <f t="shared" si="34"/>
        <v>1.3290845639261676E-2</v>
      </c>
      <c r="X252" s="187">
        <f t="shared" si="34"/>
        <v>9.905782447056791E-3</v>
      </c>
      <c r="Y252" s="187">
        <f t="shared" si="34"/>
        <v>1.1605089742722138E-2</v>
      </c>
      <c r="Z252" s="187">
        <f t="shared" si="34"/>
        <v>9.8203578060684533E-3</v>
      </c>
    </row>
    <row r="254" spans="1:26" ht="15" customHeight="1">
      <c r="A254" s="176" t="s">
        <v>339</v>
      </c>
      <c r="C254" s="53"/>
      <c r="D254" s="54"/>
      <c r="E254" s="53"/>
      <c r="F254" s="53"/>
      <c r="G254" s="53"/>
      <c r="H254" s="53"/>
      <c r="I254" s="53"/>
      <c r="J254" s="5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" customHeight="1">
      <c r="A255" s="196" t="s">
        <v>340</v>
      </c>
      <c r="B255" s="197"/>
      <c r="C255" s="198"/>
      <c r="D255" s="198"/>
      <c r="E255" s="198"/>
      <c r="F255" s="198"/>
      <c r="G255" s="198"/>
      <c r="H255" s="199">
        <f>SUM(H256:H261)</f>
        <v>0</v>
      </c>
      <c r="I255" s="199">
        <f t="shared" ref="I255:Z255" si="35">SUM(I256:I261)</f>
        <v>0</v>
      </c>
      <c r="J255" s="199">
        <f t="shared" si="35"/>
        <v>0</v>
      </c>
      <c r="K255" s="199">
        <f t="shared" si="35"/>
        <v>0</v>
      </c>
      <c r="L255" s="199">
        <f t="shared" si="35"/>
        <v>0</v>
      </c>
      <c r="M255" s="199">
        <f t="shared" si="35"/>
        <v>0</v>
      </c>
      <c r="N255" s="199">
        <f t="shared" si="35"/>
        <v>168355474814</v>
      </c>
      <c r="O255" s="199">
        <f t="shared" si="35"/>
        <v>134925554251</v>
      </c>
      <c r="P255" s="199">
        <f t="shared" si="35"/>
        <v>43611829278</v>
      </c>
      <c r="Q255" s="199">
        <f t="shared" si="35"/>
        <v>98003020481</v>
      </c>
      <c r="R255" s="199">
        <f t="shared" si="35"/>
        <v>172928907420</v>
      </c>
      <c r="S255" s="199">
        <f t="shared" si="35"/>
        <v>200666324688</v>
      </c>
      <c r="T255" s="199">
        <f t="shared" si="35"/>
        <v>238388679271</v>
      </c>
      <c r="U255" s="199">
        <f t="shared" si="35"/>
        <v>250573370780</v>
      </c>
      <c r="V255" s="199">
        <f t="shared" si="35"/>
        <v>294832243750</v>
      </c>
      <c r="W255" s="199">
        <f t="shared" si="35"/>
        <v>309616499760</v>
      </c>
      <c r="X255" s="199">
        <f t="shared" si="35"/>
        <v>259354189036</v>
      </c>
      <c r="Y255" s="199">
        <f t="shared" si="35"/>
        <v>253300426901</v>
      </c>
      <c r="Z255" s="199">
        <f t="shared" si="35"/>
        <v>242976860650</v>
      </c>
    </row>
    <row r="256" spans="1:26" ht="15" customHeight="1">
      <c r="A256" s="200" t="s">
        <v>341</v>
      </c>
      <c r="C256" s="201">
        <f>TDP!C265+'Dai Loc'!C265+'Khanh Nga'!C265+'Dong Lam'!C265+DTR!C265+DTRVL!C265</f>
        <v>0</v>
      </c>
      <c r="D256" s="201">
        <f>TDP!D265+'Dai Loc'!D265+'Khanh Nga'!D265+'Dong Lam'!D265+DTR!D265+DTRVL!D265</f>
        <v>0</v>
      </c>
      <c r="E256" s="201">
        <f>TDP!E265+'Dai Loc'!E265+'Khanh Nga'!E265+'Dong Lam'!E265+DTR!E265+DTRVL!E265</f>
        <v>0</v>
      </c>
      <c r="F256" s="201">
        <f>TDP!F265+'Dai Loc'!F265+'Khanh Nga'!F265+'Dong Lam'!F265+DTR!F265+DTRVL!F265</f>
        <v>0</v>
      </c>
      <c r="G256" s="201">
        <f>TDP!G265+'Dai Loc'!G265+'Khanh Nga'!G265+'Dong Lam'!G265+DTR!G265+DTRVL!G265</f>
        <v>0</v>
      </c>
      <c r="H256" s="201">
        <f>TDP!H265+'Dai Loc'!H265+'Khanh Nga'!H265+'Dong Lam'!H265+DTR!H265+DTRVL!H265</f>
        <v>0</v>
      </c>
      <c r="I256" s="201">
        <f>TDP!I265+'Dai Loc'!I265+'Khanh Nga'!I265+'Dong Lam'!I265+DTR!I265+DTRVL!I265</f>
        <v>0</v>
      </c>
      <c r="J256" s="201">
        <f>TDP!J265+'Dai Loc'!J265+'Khanh Nga'!J265+'Dong Lam'!J265+DTR!J265+DTRVL!J265</f>
        <v>0</v>
      </c>
      <c r="K256" s="201">
        <f>TDP!K265+'Dai Loc'!K265+'Khanh Nga'!K265+'Dong Lam'!K265+DTR!K265+DTRVL!K265</f>
        <v>0</v>
      </c>
      <c r="L256" s="201">
        <f>TDP!L265+'Dai Loc'!L265+'Khanh Nga'!L265+'Dong Lam'!L265+DTR!L265+DTRVL!L265</f>
        <v>0</v>
      </c>
      <c r="M256" s="201">
        <f>TDP!M265+'Dai Loc'!M265+'Khanh Nga'!M265+'Dong Lam'!M265+DTR!M265+DTRVL!M265</f>
        <v>0</v>
      </c>
      <c r="N256" s="201">
        <f>TDP!N265+'Dai Loc'!N265+'Khanh Nga'!N265+'Dong Lam'!N265+DTR!N265+DTRVL!N265</f>
        <v>71255000000</v>
      </c>
      <c r="O256" s="201">
        <f>TDP!O265+'Dai Loc'!O265+'Khanh Nga'!O265+'Dong Lam'!O265+DTR!O265+DTRVL!O265</f>
        <v>62031000000</v>
      </c>
      <c r="P256" s="201">
        <f>TDP!P265+'Dai Loc'!P265+'Khanh Nga'!P265+'Dong Lam'!P265+DTR!P265+DTRVL!P265</f>
        <v>18977000000</v>
      </c>
      <c r="Q256" s="201">
        <f>TDP!Q265+'Dai Loc'!Q265+'Khanh Nga'!Q265+'Dong Lam'!Q265+DTR!Q265+DTRVL!Q265</f>
        <v>48865000000</v>
      </c>
      <c r="R256" s="201">
        <f>TDP!R265+'Dai Loc'!R265+'Khanh Nga'!R265+'Dong Lam'!R265+DTR!R265+DTRVL!R265</f>
        <v>90981000000</v>
      </c>
      <c r="S256" s="201">
        <f>TDP!S265+'Dai Loc'!S265+'Khanh Nga'!S265+'Dong Lam'!S265+DTR!S265+DTRVL!S265</f>
        <v>88582000000</v>
      </c>
      <c r="T256" s="201">
        <f>TDP!T265+'Dai Loc'!T265+'Khanh Nga'!T265+'Dong Lam'!T265+DTR!T265+DTRVL!T265</f>
        <v>82124851218</v>
      </c>
      <c r="U256" s="201">
        <f>TDP!U265+'Dai Loc'!U265+'Khanh Nga'!U265+'Dong Lam'!U265+DTR!U265+DTRVL!U265</f>
        <v>72804000000</v>
      </c>
      <c r="V256" s="201">
        <f>TDP!V265+'Dai Loc'!V265+'Khanh Nga'!V265+'Dong Lam'!V265+DTR!V265+DTRVL!V265</f>
        <v>92313391942</v>
      </c>
      <c r="W256" s="201">
        <f>TDP!W265+'Dai Loc'!W265+'Khanh Nga'!W265+'Dong Lam'!W265+DTR!W265+DTRVL!W265</f>
        <v>80862028656</v>
      </c>
      <c r="X256" s="201">
        <f>TDP!X265+'Dai Loc'!X265+'Khanh Nga'!X265+'Dong Lam'!X265+DTR!X265+DTRVL!X265</f>
        <v>66989028656</v>
      </c>
      <c r="Y256" s="201">
        <f>TDP!Y265+'Dai Loc'!Y265+'Khanh Nga'!Y265+'Dong Lam'!Y265+DTR!Y265+DTRVL!Y265</f>
        <v>66989028656</v>
      </c>
      <c r="Z256" s="201">
        <f>TDP!Z265+'Dai Loc'!Z265+'Khanh Nga'!Z265+'Dong Lam'!Z265+DTR!Z265+DTRVL!Z265</f>
        <v>66989028656</v>
      </c>
    </row>
    <row r="257" spans="1:26" ht="15" customHeight="1">
      <c r="A257" s="200" t="s">
        <v>342</v>
      </c>
      <c r="C257" s="201">
        <f>TDP!C266+'Dai Loc'!C266+'Khanh Nga'!C266+'Dong Lam'!C266+DTR!C266+DTRVL!C266</f>
        <v>0</v>
      </c>
      <c r="D257" s="201">
        <f>TDP!D266+'Dai Loc'!D266+'Khanh Nga'!D266+'Dong Lam'!D266+DTR!D266+DTRVL!D266</f>
        <v>0</v>
      </c>
      <c r="E257" s="201">
        <f>TDP!E266+'Dai Loc'!E266+'Khanh Nga'!E266+'Dong Lam'!E266+DTR!E266+DTRVL!E266</f>
        <v>0</v>
      </c>
      <c r="F257" s="201">
        <f>TDP!F266+'Dai Loc'!F266+'Khanh Nga'!F266+'Dong Lam'!F266+DTR!F266+DTRVL!F266</f>
        <v>0</v>
      </c>
      <c r="G257" s="201">
        <f>TDP!G266+'Dai Loc'!G266+'Khanh Nga'!G266+'Dong Lam'!G266+DTR!G266+DTRVL!G266</f>
        <v>0</v>
      </c>
      <c r="H257" s="201">
        <f>TDP!H266+'Dai Loc'!H266+'Khanh Nga'!H266+'Dong Lam'!H266+DTR!H266+DTRVL!H266</f>
        <v>0</v>
      </c>
      <c r="I257" s="201">
        <f>TDP!I266+'Dai Loc'!I266+'Khanh Nga'!I266+'Dong Lam'!I266+DTR!I266+DTRVL!I266</f>
        <v>0</v>
      </c>
      <c r="J257" s="201">
        <f>TDP!J266+'Dai Loc'!J266+'Khanh Nga'!J266+'Dong Lam'!J266+DTR!J266+DTRVL!J266</f>
        <v>0</v>
      </c>
      <c r="K257" s="201">
        <f>TDP!K266+'Dai Loc'!K266+'Khanh Nga'!K266+'Dong Lam'!K266+DTR!K266+DTRVL!K266</f>
        <v>0</v>
      </c>
      <c r="L257" s="201">
        <f>TDP!L266+'Dai Loc'!L266+'Khanh Nga'!L266+'Dong Lam'!L266+DTR!L266+DTRVL!L266</f>
        <v>0</v>
      </c>
      <c r="M257" s="201">
        <f>TDP!M266+'Dai Loc'!M266+'Khanh Nga'!M266+'Dong Lam'!M266+DTR!M266+DTRVL!M266</f>
        <v>0</v>
      </c>
      <c r="N257" s="201">
        <f>TDP!N266+'Dai Loc'!N266+'Khanh Nga'!N266+'Dong Lam'!N266+DTR!N266+DTRVL!N266</f>
        <v>59227549743</v>
      </c>
      <c r="O257" s="201">
        <f>TDP!O266+'Dai Loc'!O266+'Khanh Nga'!O266+'Dong Lam'!O266+DTR!O266+DTRVL!O266</f>
        <v>59227549743</v>
      </c>
      <c r="P257" s="201">
        <f>TDP!P266+'Dai Loc'!P266+'Khanh Nga'!P266+'Dong Lam'!P266+DTR!P266+DTRVL!P266</f>
        <v>10967824770</v>
      </c>
      <c r="Q257" s="201">
        <f>TDP!Q266+'Dai Loc'!Q266+'Khanh Nga'!Q266+'Dong Lam'!Q266+DTR!Q266+DTRVL!Q266</f>
        <v>35192821797</v>
      </c>
      <c r="R257" s="201">
        <f>TDP!R266+'Dai Loc'!R266+'Khanh Nga'!R266+'Dong Lam'!R266+DTR!R266+DTRVL!R266</f>
        <v>59696932940</v>
      </c>
      <c r="S257" s="201">
        <f>TDP!S266+'Dai Loc'!S266+'Khanh Nga'!S266+'Dong Lam'!S266+DTR!S266+DTRVL!S266</f>
        <v>74003145708</v>
      </c>
      <c r="T257" s="201">
        <f>TDP!T266+'Dai Loc'!T266+'Khanh Nga'!T266+'Dong Lam'!T266+DTR!T266+DTRVL!T266</f>
        <v>102247404832</v>
      </c>
      <c r="U257" s="201">
        <f>TDP!U266+'Dai Loc'!U266+'Khanh Nga'!U266+'Dong Lam'!U266+DTR!U266+DTRVL!U266</f>
        <v>105000758801</v>
      </c>
      <c r="V257" s="201">
        <f>TDP!V266+'Dai Loc'!V266+'Khanh Nga'!V266+'Dong Lam'!V266+DTR!V266+DTRVL!V266</f>
        <v>98339501677</v>
      </c>
      <c r="W257" s="201">
        <f>TDP!W266+'Dai Loc'!W266+'Khanh Nga'!W266+'Dong Lam'!W266+DTR!W266+DTRVL!W266</f>
        <v>80174525410</v>
      </c>
      <c r="X257" s="201">
        <f>TDP!X266+'Dai Loc'!X266+'Khanh Nga'!X266+'Dong Lam'!X266+DTR!X266+DTRVL!X266</f>
        <v>55270634444</v>
      </c>
      <c r="Y257" s="201">
        <f>TDP!Y266+'Dai Loc'!Y266+'Khanh Nga'!Y266+'Dong Lam'!Y266+DTR!Y266+DTRVL!Y266</f>
        <v>31305599367</v>
      </c>
      <c r="Z257" s="201">
        <f>TDP!Z266+'Dai Loc'!Z266+'Khanh Nga'!Z266+'Dong Lam'!Z266+DTR!Z266+DTRVL!Z266</f>
        <v>24966464491</v>
      </c>
    </row>
    <row r="258" spans="1:26" ht="15" customHeight="1">
      <c r="A258" s="200" t="s">
        <v>343</v>
      </c>
      <c r="C258" s="201">
        <f>TDP!C267+'Dai Loc'!C267+'Khanh Nga'!C267+'Dong Lam'!C267+DTR!C267+DTRVL!C267</f>
        <v>0</v>
      </c>
      <c r="D258" s="201">
        <f>TDP!D267+'Dai Loc'!D267+'Khanh Nga'!D267+'Dong Lam'!D267+DTR!D267+DTRVL!D267</f>
        <v>0</v>
      </c>
      <c r="E258" s="201">
        <f>TDP!E267+'Dai Loc'!E267+'Khanh Nga'!E267+'Dong Lam'!E267+DTR!E267+DTRVL!E267</f>
        <v>0</v>
      </c>
      <c r="F258" s="201">
        <f>TDP!F267+'Dai Loc'!F267+'Khanh Nga'!F267+'Dong Lam'!F267+DTR!F267+DTRVL!F267</f>
        <v>0</v>
      </c>
      <c r="G258" s="201">
        <f>TDP!G267+'Dai Loc'!G267+'Khanh Nga'!G267+'Dong Lam'!G267+DTR!G267+DTRVL!G267</f>
        <v>0</v>
      </c>
      <c r="H258" s="201">
        <f>TDP!H267+'Dai Loc'!H267+'Khanh Nga'!H267+'Dong Lam'!H267+DTR!H267+DTRVL!H267</f>
        <v>0</v>
      </c>
      <c r="I258" s="201">
        <f>TDP!I267+'Dai Loc'!I267+'Khanh Nga'!I267+'Dong Lam'!I267+DTR!I267+DTRVL!I267</f>
        <v>0</v>
      </c>
      <c r="J258" s="201">
        <f>TDP!J267+'Dai Loc'!J267+'Khanh Nga'!J267+'Dong Lam'!J267+DTR!J267+DTRVL!J267</f>
        <v>0</v>
      </c>
      <c r="K258" s="201">
        <f>TDP!K267+'Dai Loc'!K267+'Khanh Nga'!K267+'Dong Lam'!K267+DTR!K267+DTRVL!K267</f>
        <v>0</v>
      </c>
      <c r="L258" s="201">
        <f>TDP!L267+'Dai Loc'!L267+'Khanh Nga'!L267+'Dong Lam'!L267+DTR!L267+DTRVL!L267</f>
        <v>0</v>
      </c>
      <c r="M258" s="201">
        <f>TDP!M267+'Dai Loc'!M267+'Khanh Nga'!M267+'Dong Lam'!M267+DTR!M267+DTRVL!M267</f>
        <v>0</v>
      </c>
      <c r="N258" s="201">
        <f>TDP!N267+'Dai Loc'!N267+'Khanh Nga'!N267+'Dong Lam'!N267+DTR!N267+DTRVL!N267</f>
        <v>23767004508</v>
      </c>
      <c r="O258" s="201">
        <f>TDP!O267+'Dai Loc'!O267+'Khanh Nga'!O267+'Dong Lam'!O267+DTR!O267+DTRVL!O267</f>
        <v>13667004508</v>
      </c>
      <c r="P258" s="201">
        <f>TDP!P267+'Dai Loc'!P267+'Khanh Nga'!P267+'Dong Lam'!P267+DTR!P267+DTRVL!P267</f>
        <v>13667004508</v>
      </c>
      <c r="Q258" s="201">
        <f>TDP!Q267+'Dai Loc'!Q267+'Khanh Nga'!Q267+'Dong Lam'!Q267+DTR!Q267+DTRVL!Q267</f>
        <v>13667004508</v>
      </c>
      <c r="R258" s="201">
        <f>TDP!R267+'Dai Loc'!R267+'Khanh Nga'!R267+'Dong Lam'!R267+DTR!R267+DTRVL!R267</f>
        <v>21972780304</v>
      </c>
      <c r="S258" s="201">
        <f>TDP!S267+'Dai Loc'!S267+'Khanh Nga'!S267+'Dong Lam'!S267+DTR!S267+DTRVL!S267</f>
        <v>32049798323</v>
      </c>
      <c r="T258" s="201">
        <f>TDP!T267+'Dai Loc'!T267+'Khanh Nga'!T267+'Dong Lam'!T267+DTR!T267+DTRVL!T267</f>
        <v>39585571449</v>
      </c>
      <c r="U258" s="201">
        <f>TDP!U267+'Dai Loc'!U267+'Khanh Nga'!U267+'Dong Lam'!U267+DTR!U267+DTRVL!U267</f>
        <v>54125127716</v>
      </c>
      <c r="V258" s="201">
        <f>TDP!V267+'Dai Loc'!V267+'Khanh Nga'!V267+'Dong Lam'!V267+DTR!V267+DTRVL!V267</f>
        <v>80169222070</v>
      </c>
      <c r="W258" s="201">
        <f>TDP!W267+'Dai Loc'!W267+'Khanh Nga'!W267+'Dong Lam'!W267+DTR!W267+DTRVL!W267</f>
        <v>87240583973</v>
      </c>
      <c r="X258" s="201">
        <f>TDP!X267+'Dai Loc'!X267+'Khanh Nga'!X267+'Dong Lam'!X267+DTR!X267+DTRVL!X267</f>
        <v>64730980597</v>
      </c>
      <c r="Y258" s="201">
        <f>TDP!Y267+'Dai Loc'!Y267+'Khanh Nga'!Y267+'Dong Lam'!Y267+DTR!Y267+DTRVL!Y267</f>
        <v>55405837410</v>
      </c>
      <c r="Z258" s="201">
        <f>TDP!Z267+'Dai Loc'!Z267+'Khanh Nga'!Z267+'Dong Lam'!Z267+DTR!Z267+DTRVL!Z267</f>
        <v>51149160926</v>
      </c>
    </row>
    <row r="259" spans="1:26" ht="15" customHeight="1">
      <c r="A259" s="200" t="s">
        <v>344</v>
      </c>
      <c r="C259" s="201">
        <f>TDP!C268+'Dai Loc'!C268+'Khanh Nga'!C268+'Dong Lam'!C268+DTR!C268+DTRVL!C268</f>
        <v>0</v>
      </c>
      <c r="D259" s="201">
        <f>TDP!D268+'Dai Loc'!D268+'Khanh Nga'!D268+'Dong Lam'!D268+DTR!D268+DTRVL!D268</f>
        <v>0</v>
      </c>
      <c r="E259" s="201">
        <f>TDP!E268+'Dai Loc'!E268+'Khanh Nga'!E268+'Dong Lam'!E268+DTR!E268+DTRVL!E268</f>
        <v>0</v>
      </c>
      <c r="F259" s="201">
        <f>TDP!F268+'Dai Loc'!F268+'Khanh Nga'!F268+'Dong Lam'!F268+DTR!F268+DTRVL!F268</f>
        <v>0</v>
      </c>
      <c r="G259" s="201">
        <f>TDP!G268+'Dai Loc'!G268+'Khanh Nga'!G268+'Dong Lam'!G268+DTR!G268+DTRVL!G268</f>
        <v>0</v>
      </c>
      <c r="H259" s="201">
        <f>TDP!H268+'Dai Loc'!H268+'Khanh Nga'!H268+'Dong Lam'!H268+DTR!H268+DTRVL!H268</f>
        <v>0</v>
      </c>
      <c r="I259" s="201">
        <f>TDP!I268+'Dai Loc'!I268+'Khanh Nga'!I268+'Dong Lam'!I268+DTR!I268+DTRVL!I268</f>
        <v>0</v>
      </c>
      <c r="J259" s="201">
        <f>TDP!J268+'Dai Loc'!J268+'Khanh Nga'!J268+'Dong Lam'!J268+DTR!J268+DTRVL!J268</f>
        <v>0</v>
      </c>
      <c r="K259" s="201">
        <f>TDP!K268+'Dai Loc'!K268+'Khanh Nga'!K268+'Dong Lam'!K268+DTR!K268+DTRVL!K268</f>
        <v>0</v>
      </c>
      <c r="L259" s="201">
        <f>TDP!L268+'Dai Loc'!L268+'Khanh Nga'!L268+'Dong Lam'!L268+DTR!L268+DTRVL!L268</f>
        <v>0</v>
      </c>
      <c r="M259" s="201">
        <f>TDP!M268+'Dai Loc'!M268+'Khanh Nga'!M268+'Dong Lam'!M268+DTR!M268+DTRVL!M268</f>
        <v>0</v>
      </c>
      <c r="N259" s="201">
        <f>TDP!N268+'Dai Loc'!N268+'Khanh Nga'!N268+'Dong Lam'!N268+DTR!N268+DTRVL!N268</f>
        <v>14105920563</v>
      </c>
      <c r="O259" s="201">
        <f>TDP!O268+'Dai Loc'!O268+'Khanh Nga'!O268+'Dong Lam'!O268+DTR!O268+DTRVL!O268</f>
        <v>0</v>
      </c>
      <c r="P259" s="201">
        <f>TDP!P268+'Dai Loc'!P268+'Khanh Nga'!P268+'Dong Lam'!P268+DTR!P268+DTRVL!P268</f>
        <v>0</v>
      </c>
      <c r="Q259" s="201">
        <f>TDP!Q268+'Dai Loc'!Q268+'Khanh Nga'!Q268+'Dong Lam'!Q268+DTR!Q268+DTRVL!Q268</f>
        <v>278194176</v>
      </c>
      <c r="R259" s="201">
        <f>TDP!R268+'Dai Loc'!R268+'Khanh Nga'!R268+'Dong Lam'!R268+DTR!R268+DTRVL!R268</f>
        <v>278194176</v>
      </c>
      <c r="S259" s="201">
        <f>TDP!S268+'Dai Loc'!S268+'Khanh Nga'!S268+'Dong Lam'!S268+DTR!S268+DTRVL!S268</f>
        <v>6031380657</v>
      </c>
      <c r="T259" s="201">
        <f>TDP!T268+'Dai Loc'!T268+'Khanh Nga'!T268+'Dong Lam'!T268+DTR!T268+DTRVL!T268</f>
        <v>14430851772</v>
      </c>
      <c r="U259" s="201">
        <f>TDP!U268+'Dai Loc'!U268+'Khanh Nga'!U268+'Dong Lam'!U268+DTR!U268+DTRVL!U268</f>
        <v>18498731431</v>
      </c>
      <c r="V259" s="201">
        <f>TDP!V268+'Dai Loc'!V268+'Khanh Nga'!V268+'Dong Lam'!V268+DTR!V268+DTRVL!V268</f>
        <v>23865375229</v>
      </c>
      <c r="W259" s="201">
        <f>TDP!W268+'Dai Loc'!W268+'Khanh Nga'!W268+'Dong Lam'!W268+DTR!W268+DTRVL!W268</f>
        <v>56646971705</v>
      </c>
      <c r="X259" s="201">
        <f>TDP!X268+'Dai Loc'!X268+'Khanh Nga'!X268+'Dong Lam'!X268+DTR!X268+DTRVL!X268</f>
        <v>67671155323</v>
      </c>
      <c r="Y259" s="201">
        <f>TDP!Y268+'Dai Loc'!Y268+'Khanh Nga'!Y268+'Dong Lam'!Y268+DTR!Y268+DTRVL!Y268</f>
        <v>95052324284</v>
      </c>
      <c r="Z259" s="201">
        <f>TDP!Z268+'Dai Loc'!Z268+'Khanh Nga'!Z268+'Dong Lam'!Z268+DTR!Z268+DTRVL!Z268</f>
        <v>99872206577</v>
      </c>
    </row>
    <row r="260" spans="1:26" ht="15" customHeight="1">
      <c r="A260" s="200" t="s">
        <v>345</v>
      </c>
      <c r="C260" s="201">
        <f>TDP!C269+'Dai Loc'!C269+'Khanh Nga'!C269+'Dong Lam'!C269+DTR!C269+DTRVL!C269</f>
        <v>0</v>
      </c>
      <c r="D260" s="201">
        <f>TDP!D269+'Dai Loc'!D269+'Khanh Nga'!D269+'Dong Lam'!D269+DTR!D269+DTRVL!D269</f>
        <v>0</v>
      </c>
      <c r="E260" s="201">
        <f>TDP!E269+'Dai Loc'!E269+'Khanh Nga'!E269+'Dong Lam'!E269+DTR!E269+DTRVL!E269</f>
        <v>0</v>
      </c>
      <c r="F260" s="201">
        <f>TDP!F269+'Dai Loc'!F269+'Khanh Nga'!F269+'Dong Lam'!F269+DTR!F269+DTRVL!F269</f>
        <v>0</v>
      </c>
      <c r="G260" s="201">
        <f>TDP!G269+'Dai Loc'!G269+'Khanh Nga'!G269+'Dong Lam'!G269+DTR!G269+DTRVL!G269</f>
        <v>0</v>
      </c>
      <c r="H260" s="201">
        <f>TDP!H269+'Dai Loc'!H269+'Khanh Nga'!H269+'Dong Lam'!H269+DTR!H269+DTRVL!H269</f>
        <v>0</v>
      </c>
      <c r="I260" s="201">
        <f>TDP!I269+'Dai Loc'!I269+'Khanh Nga'!I269+'Dong Lam'!I269+DTR!I269+DTRVL!I269</f>
        <v>0</v>
      </c>
      <c r="J260" s="201">
        <f>TDP!J269+'Dai Loc'!J269+'Khanh Nga'!J269+'Dong Lam'!J269+DTR!J269+DTRVL!J269</f>
        <v>0</v>
      </c>
      <c r="K260" s="201">
        <f>TDP!K269+'Dai Loc'!K269+'Khanh Nga'!K269+'Dong Lam'!K269+DTR!K269+DTRVL!K269</f>
        <v>0</v>
      </c>
      <c r="L260" s="201">
        <f>TDP!L269+'Dai Loc'!L269+'Khanh Nga'!L269+'Dong Lam'!L269+DTR!L269+DTRVL!L269</f>
        <v>0</v>
      </c>
      <c r="M260" s="201">
        <f>TDP!M269+'Dai Loc'!M269+'Khanh Nga'!M269+'Dong Lam'!M269+DTR!M269+DTRVL!M269</f>
        <v>0</v>
      </c>
      <c r="N260" s="201">
        <f>TDP!N269+'Dai Loc'!N269+'Khanh Nga'!N269+'Dong Lam'!N269+DTR!N269+DTRVL!N269</f>
        <v>0</v>
      </c>
      <c r="O260" s="201">
        <f>TDP!O269+'Dai Loc'!O269+'Khanh Nga'!O269+'Dong Lam'!O269+DTR!O269+DTRVL!O269</f>
        <v>0</v>
      </c>
      <c r="P260" s="201">
        <f>TDP!P269+'Dai Loc'!P269+'Khanh Nga'!P269+'Dong Lam'!P269+DTR!P269+DTRVL!P269</f>
        <v>0</v>
      </c>
      <c r="Q260" s="201">
        <f>TDP!Q269+'Dai Loc'!Q269+'Khanh Nga'!Q269+'Dong Lam'!Q269+DTR!Q269+DTRVL!Q269</f>
        <v>0</v>
      </c>
      <c r="R260" s="201">
        <f>TDP!R269+'Dai Loc'!R269+'Khanh Nga'!R269+'Dong Lam'!R269+DTR!R269+DTRVL!R269</f>
        <v>0</v>
      </c>
      <c r="S260" s="201">
        <f>TDP!S269+'Dai Loc'!S269+'Khanh Nga'!S269+'Dong Lam'!S269+DTR!S269+DTRVL!S269</f>
        <v>0</v>
      </c>
      <c r="T260" s="201">
        <f>TDP!T269+'Dai Loc'!T269+'Khanh Nga'!T269+'Dong Lam'!T269+DTR!T269+DTRVL!T269</f>
        <v>0</v>
      </c>
      <c r="U260" s="201">
        <f>TDP!U269+'Dai Loc'!U269+'Khanh Nga'!U269+'Dong Lam'!U269+DTR!U269+DTRVL!U269</f>
        <v>144752832</v>
      </c>
      <c r="V260" s="201">
        <f>TDP!V269+'Dai Loc'!V269+'Khanh Nga'!V269+'Dong Lam'!V269+DTR!V269+DTRVL!V269</f>
        <v>144752832</v>
      </c>
      <c r="W260" s="201">
        <f>TDP!W269+'Dai Loc'!W269+'Khanh Nga'!W269+'Dong Lam'!W269+DTR!W269+DTRVL!W269</f>
        <v>4692390016</v>
      </c>
      <c r="X260" s="201">
        <f>TDP!X269+'Dai Loc'!X269+'Khanh Nga'!X269+'Dong Lam'!X269+DTR!X269+DTRVL!X269</f>
        <v>4692390016</v>
      </c>
      <c r="Y260" s="201">
        <f>TDP!Y269+'Dai Loc'!Y269+'Khanh Nga'!Y269+'Dong Lam'!Y269+DTR!Y269+DTRVL!Y269</f>
        <v>4547637184</v>
      </c>
      <c r="Z260" s="201">
        <f>TDP!Z269+'Dai Loc'!Z269+'Khanh Nga'!Z269+'Dong Lam'!Z269+DTR!Z269+DTRVL!Z269</f>
        <v>0</v>
      </c>
    </row>
    <row r="261" spans="1:26" ht="15" customHeight="1">
      <c r="A261" s="200" t="s">
        <v>346</v>
      </c>
      <c r="C261" s="201">
        <f>TDP!C270+'Dai Loc'!C270+'Khanh Nga'!C270+'Dong Lam'!C270+DTR!C270+DTRVL!C270</f>
        <v>0</v>
      </c>
      <c r="D261" s="201">
        <f>TDP!D270+'Dai Loc'!D270+'Khanh Nga'!D270+'Dong Lam'!D270+DTR!D270+DTRVL!D270</f>
        <v>0</v>
      </c>
      <c r="E261" s="201">
        <f>TDP!E270+'Dai Loc'!E270+'Khanh Nga'!E270+'Dong Lam'!E270+DTR!E270+DTRVL!E270</f>
        <v>0</v>
      </c>
      <c r="F261" s="201">
        <f>TDP!F270+'Dai Loc'!F270+'Khanh Nga'!F270+'Dong Lam'!F270+DTR!F270+DTRVL!F270</f>
        <v>0</v>
      </c>
      <c r="G261" s="201">
        <f>TDP!G270+'Dai Loc'!G270+'Khanh Nga'!G270+'Dong Lam'!G270+DTR!G270+DTRVL!G270</f>
        <v>0</v>
      </c>
      <c r="H261" s="201">
        <f>TDP!H270+'Dai Loc'!H270+'Khanh Nga'!H270+'Dong Lam'!H270+DTR!H270+DTRVL!H270</f>
        <v>0</v>
      </c>
      <c r="I261" s="201">
        <f>TDP!I270+'Dai Loc'!I270+'Khanh Nga'!I270+'Dong Lam'!I270+DTR!I270+DTRVL!I270</f>
        <v>0</v>
      </c>
      <c r="J261" s="201">
        <f>TDP!J270+'Dai Loc'!J270+'Khanh Nga'!J270+'Dong Lam'!J270+DTR!J270+DTRVL!J270</f>
        <v>0</v>
      </c>
      <c r="K261" s="201">
        <f>TDP!K270+'Dai Loc'!K270+'Khanh Nga'!K270+'Dong Lam'!K270+DTR!K270+DTRVL!K270</f>
        <v>0</v>
      </c>
      <c r="L261" s="201">
        <f>TDP!L270+'Dai Loc'!L270+'Khanh Nga'!L270+'Dong Lam'!L270+DTR!L270+DTRVL!L270</f>
        <v>0</v>
      </c>
      <c r="M261" s="201">
        <f>TDP!M270+'Dai Loc'!M270+'Khanh Nga'!M270+'Dong Lam'!M270+DTR!M270+DTRVL!M270</f>
        <v>0</v>
      </c>
      <c r="N261" s="201">
        <f>TDP!N270+'Dai Loc'!N270+'Khanh Nga'!N270+'Dong Lam'!N270+DTR!N270+DTRVL!N270</f>
        <v>0</v>
      </c>
      <c r="O261" s="201">
        <f>TDP!O270+'Dai Loc'!O270+'Khanh Nga'!O270+'Dong Lam'!O270+DTR!O270+DTRVL!O270</f>
        <v>0</v>
      </c>
      <c r="P261" s="201">
        <f>TDP!P270+'Dai Loc'!P270+'Khanh Nga'!P270+'Dong Lam'!P270+DTR!P270+DTRVL!P270</f>
        <v>0</v>
      </c>
      <c r="Q261" s="201">
        <f>TDP!Q270+'Dai Loc'!Q270+'Khanh Nga'!Q270+'Dong Lam'!Q270+DTR!Q270+DTRVL!Q270</f>
        <v>0</v>
      </c>
      <c r="R261" s="201">
        <f>TDP!R270+'Dai Loc'!R270+'Khanh Nga'!R270+'Dong Lam'!R270+DTR!R270+DTRVL!R270</f>
        <v>0</v>
      </c>
      <c r="S261" s="201">
        <f>TDP!S270+'Dai Loc'!S270+'Khanh Nga'!S270+'Dong Lam'!S270+DTR!S270+DTRVL!S270</f>
        <v>0</v>
      </c>
      <c r="T261" s="201">
        <f>TDP!T270+'Dai Loc'!T270+'Khanh Nga'!T270+'Dong Lam'!T270+DTR!T270+DTRVL!T270</f>
        <v>0</v>
      </c>
      <c r="U261" s="201">
        <f>TDP!U270+'Dai Loc'!U270+'Khanh Nga'!U270+'Dong Lam'!U270+DTR!U270+DTRVL!U270</f>
        <v>0</v>
      </c>
      <c r="V261" s="201">
        <f>TDP!V270+'Dai Loc'!V270+'Khanh Nga'!V270+'Dong Lam'!V270+DTR!V270+DTRVL!V270</f>
        <v>0</v>
      </c>
      <c r="W261" s="201">
        <f>TDP!W270+'Dai Loc'!W270+'Khanh Nga'!W270+'Dong Lam'!W270+DTR!W270+DTRVL!W270</f>
        <v>0</v>
      </c>
      <c r="X261" s="201">
        <f>TDP!X270+'Dai Loc'!X270+'Khanh Nga'!X270+'Dong Lam'!X270+DTR!X270+DTRVL!X270</f>
        <v>0</v>
      </c>
      <c r="Y261" s="201">
        <f>TDP!Y270+'Dai Loc'!Y270+'Khanh Nga'!Y270+'Dong Lam'!Y270+DTR!Y270+DTRVL!Y270</f>
        <v>0</v>
      </c>
      <c r="Z261" s="201">
        <f>TDP!Z270+'Dai Loc'!Z270+'Khanh Nga'!Z270+'Dong Lam'!Z270+DTR!Z270+DTRVL!Z270</f>
        <v>0</v>
      </c>
    </row>
    <row r="262" spans="1:26" ht="15" customHeight="1">
      <c r="A262" s="200" t="s">
        <v>347</v>
      </c>
      <c r="C262" s="201">
        <f>TDP!C271+'Dai Loc'!C271+'Khanh Nga'!C271+'Dong Lam'!C271+DTR!C271+DTRVL!C271</f>
        <v>0</v>
      </c>
      <c r="D262" s="201">
        <f>TDP!D271+'Dai Loc'!D271+'Khanh Nga'!D271+'Dong Lam'!D271+DTR!D271+DTRVL!D271</f>
        <v>0</v>
      </c>
      <c r="E262" s="201">
        <f>TDP!E271+'Dai Loc'!E271+'Khanh Nga'!E271+'Dong Lam'!E271+DTR!E271+DTRVL!E271</f>
        <v>0</v>
      </c>
      <c r="F262" s="201">
        <f>TDP!F271+'Dai Loc'!F271+'Khanh Nga'!F271+'Dong Lam'!F271+DTR!F271+DTRVL!F271</f>
        <v>0</v>
      </c>
      <c r="G262" s="201">
        <f>TDP!G271+'Dai Loc'!G271+'Khanh Nga'!G271+'Dong Lam'!G271+DTR!G271+DTRVL!G271</f>
        <v>0</v>
      </c>
      <c r="H262" s="201">
        <f>TDP!H271+'Dai Loc'!H271+'Khanh Nga'!H271+'Dong Lam'!H271+DTR!H271+DTRVL!H271</f>
        <v>0</v>
      </c>
      <c r="I262" s="201">
        <f>TDP!I271+'Dai Loc'!I271+'Khanh Nga'!I271+'Dong Lam'!I271+DTR!I271+DTRVL!I271</f>
        <v>0</v>
      </c>
      <c r="J262" s="201">
        <f>TDP!J271+'Dai Loc'!J271+'Khanh Nga'!J271+'Dong Lam'!J271+DTR!J271+DTRVL!J271</f>
        <v>0</v>
      </c>
      <c r="K262" s="201">
        <f>TDP!K271+'Dai Loc'!K271+'Khanh Nga'!K271+'Dong Lam'!K271+DTR!K271+DTRVL!K271</f>
        <v>0</v>
      </c>
      <c r="L262" s="201">
        <f>TDP!L271+'Dai Loc'!L271+'Khanh Nga'!L271+'Dong Lam'!L271+DTR!L271+DTRVL!L271</f>
        <v>0</v>
      </c>
      <c r="M262" s="201">
        <f>TDP!M271+'Dai Loc'!M271+'Khanh Nga'!M271+'Dong Lam'!M271+DTR!M271+DTRVL!M271</f>
        <v>0</v>
      </c>
      <c r="N262" s="201">
        <f>TDP!N271+'Dai Loc'!N271+'Khanh Nga'!N271+'Dong Lam'!N271+DTR!N271+DTRVL!N271</f>
        <v>0</v>
      </c>
      <c r="O262" s="201">
        <f>TDP!O271+'Dai Loc'!O271+'Khanh Nga'!O271+'Dong Lam'!O271+DTR!O271+DTRVL!O271</f>
        <v>0</v>
      </c>
      <c r="P262" s="201">
        <f>TDP!P271+'Dai Loc'!P271+'Khanh Nga'!P271+'Dong Lam'!P271+DTR!P271+DTRVL!P271</f>
        <v>0</v>
      </c>
      <c r="Q262" s="201">
        <f>TDP!Q271+'Dai Loc'!Q271+'Khanh Nga'!Q271+'Dong Lam'!Q271+DTR!Q271+DTRVL!Q271</f>
        <v>0</v>
      </c>
      <c r="R262" s="201">
        <f>TDP!R271+'Dai Loc'!R271+'Khanh Nga'!R271+'Dong Lam'!R271+DTR!R271+DTRVL!R271</f>
        <v>0</v>
      </c>
      <c r="S262" s="201">
        <f>TDP!S271+'Dai Loc'!S271+'Khanh Nga'!S271+'Dong Lam'!S271+DTR!S271+DTRVL!S271</f>
        <v>0</v>
      </c>
      <c r="T262" s="201">
        <f>TDP!T271+'Dai Loc'!T271+'Khanh Nga'!T271+'Dong Lam'!T271+DTR!T271+DTRVL!T271</f>
        <v>0</v>
      </c>
      <c r="U262" s="201">
        <f>TDP!U271+'Dai Loc'!U271+'Khanh Nga'!U271+'Dong Lam'!U271+DTR!U271+DTRVL!U271</f>
        <v>0</v>
      </c>
      <c r="V262" s="201">
        <f>TDP!V271+'Dai Loc'!V271+'Khanh Nga'!V271+'Dong Lam'!V271+DTR!V271+DTRVL!V271</f>
        <v>0</v>
      </c>
      <c r="W262" s="201">
        <f>TDP!W271+'Dai Loc'!W271+'Khanh Nga'!W271+'Dong Lam'!W271+DTR!W271+DTRVL!W271</f>
        <v>0</v>
      </c>
      <c r="X262" s="201">
        <f>TDP!X271+'Dai Loc'!X271+'Khanh Nga'!X271+'Dong Lam'!X271+DTR!X271+DTRVL!X271</f>
        <v>0</v>
      </c>
      <c r="Y262" s="201">
        <f>TDP!Y271+'Dai Loc'!Y271+'Khanh Nga'!Y271+'Dong Lam'!Y271+DTR!Y271+DTRVL!Y271</f>
        <v>0</v>
      </c>
      <c r="Z262" s="201">
        <f>TDP!Z271+'Dai Loc'!Z271+'Khanh Nga'!Z271+'Dong Lam'!Z271+DTR!Z271+DTRVL!Z271</f>
        <v>0</v>
      </c>
    </row>
    <row r="263" spans="1:26" ht="15" customHeight="1">
      <c r="C263" s="201">
        <f>TDP!C272+'Dai Loc'!C272+'Khanh Nga'!C272+'Dong Lam'!C272+DTR!C272+DTRVL!C272</f>
        <v>0</v>
      </c>
      <c r="D263" s="201">
        <f>TDP!D272+'Dai Loc'!D272+'Khanh Nga'!D272+'Dong Lam'!D272+DTR!D272+DTRVL!D272</f>
        <v>0</v>
      </c>
      <c r="E263" s="201">
        <f>TDP!E272+'Dai Loc'!E272+'Khanh Nga'!E272+'Dong Lam'!E272+DTR!E272+DTRVL!E272</f>
        <v>0</v>
      </c>
      <c r="F263" s="201">
        <f>TDP!F272+'Dai Loc'!F272+'Khanh Nga'!F272+'Dong Lam'!F272+DTR!F272+DTRVL!F272</f>
        <v>0</v>
      </c>
      <c r="G263" s="201">
        <f>TDP!G272+'Dai Loc'!G272+'Khanh Nga'!G272+'Dong Lam'!G272+DTR!G272+DTRVL!G272</f>
        <v>0</v>
      </c>
      <c r="H263" s="201">
        <f>TDP!H272+'Dai Loc'!H272+'Khanh Nga'!H272+'Dong Lam'!H272+DTR!H272+DTRVL!H272</f>
        <v>0</v>
      </c>
      <c r="I263" s="201">
        <f>TDP!I272+'Dai Loc'!I272+'Khanh Nga'!I272+'Dong Lam'!I272+DTR!I272+DTRVL!I272</f>
        <v>0</v>
      </c>
      <c r="J263" s="201">
        <f>TDP!J272+'Dai Loc'!J272+'Khanh Nga'!J272+'Dong Lam'!J272+DTR!J272+DTRVL!J272</f>
        <v>0</v>
      </c>
      <c r="K263" s="201">
        <f>TDP!K272+'Dai Loc'!K272+'Khanh Nga'!K272+'Dong Lam'!K272+DTR!K272+DTRVL!K272</f>
        <v>0</v>
      </c>
      <c r="L263" s="201">
        <f>TDP!L272+'Dai Loc'!L272+'Khanh Nga'!L272+'Dong Lam'!L272+DTR!L272+DTRVL!L272</f>
        <v>0</v>
      </c>
      <c r="M263" s="201">
        <f>TDP!M272+'Dai Loc'!M272+'Khanh Nga'!M272+'Dong Lam'!M272+DTR!M272+DTRVL!M272</f>
        <v>0</v>
      </c>
      <c r="N263" s="201">
        <f>TDP!N272+'Dai Loc'!N272+'Khanh Nga'!N272+'Dong Lam'!N272+DTR!N272+DTRVL!N272</f>
        <v>0</v>
      </c>
      <c r="O263" s="201">
        <f>TDP!O272+'Dai Loc'!O272+'Khanh Nga'!O272+'Dong Lam'!O272+DTR!O272+DTRVL!O272</f>
        <v>0</v>
      </c>
      <c r="P263" s="201">
        <f>TDP!P272+'Dai Loc'!P272+'Khanh Nga'!P272+'Dong Lam'!P272+DTR!P272+DTRVL!P272</f>
        <v>0</v>
      </c>
      <c r="Q263" s="201">
        <f>TDP!Q272+'Dai Loc'!Q272+'Khanh Nga'!Q272+'Dong Lam'!Q272+DTR!Q272+DTRVL!Q272</f>
        <v>0</v>
      </c>
      <c r="R263" s="201">
        <f>TDP!R272+'Dai Loc'!R272+'Khanh Nga'!R272+'Dong Lam'!R272+DTR!R272+DTRVL!R272</f>
        <v>0</v>
      </c>
      <c r="S263" s="201">
        <f>TDP!S272+'Dai Loc'!S272+'Khanh Nga'!S272+'Dong Lam'!S272+DTR!S272+DTRVL!S272</f>
        <v>0</v>
      </c>
      <c r="T263" s="201">
        <f>TDP!T272+'Dai Loc'!T272+'Khanh Nga'!T272+'Dong Lam'!T272+DTR!T272+DTRVL!T272</f>
        <v>0</v>
      </c>
      <c r="U263" s="201">
        <f>TDP!U272+'Dai Loc'!U272+'Khanh Nga'!U272+'Dong Lam'!U272+DTR!U272+DTRVL!U272</f>
        <v>0</v>
      </c>
      <c r="V263" s="201">
        <f>TDP!V272+'Dai Loc'!V272+'Khanh Nga'!V272+'Dong Lam'!V272+DTR!V272+DTRVL!V272</f>
        <v>0</v>
      </c>
      <c r="W263" s="201">
        <f>TDP!W272+'Dai Loc'!W272+'Khanh Nga'!W272+'Dong Lam'!W272+DTR!W272+DTRVL!W272</f>
        <v>0</v>
      </c>
      <c r="X263" s="201">
        <f>TDP!X272+'Dai Loc'!X272+'Khanh Nga'!X272+'Dong Lam'!X272+DTR!X272+DTRVL!X272</f>
        <v>0</v>
      </c>
      <c r="Y263" s="201">
        <f>TDP!Y272+'Dai Loc'!Y272+'Khanh Nga'!Y272+'Dong Lam'!Y272+DTR!Y272+DTRVL!Y272</f>
        <v>0</v>
      </c>
      <c r="Z263" s="201">
        <f>TDP!Z272+'Dai Loc'!Z272+'Khanh Nga'!Z272+'Dong Lam'!Z272+DTR!Z272+DTRVL!Z272</f>
        <v>0</v>
      </c>
    </row>
    <row r="264" spans="1:26" ht="15" customHeight="1">
      <c r="A264" s="202" t="s">
        <v>348</v>
      </c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</row>
    <row r="265" spans="1:26" ht="15" customHeight="1">
      <c r="A265" s="200" t="str">
        <f>A256</f>
        <v>ACB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</row>
    <row r="266" spans="1:26" ht="15" customHeight="1">
      <c r="A266" s="200" t="str">
        <f t="shared" ref="A266:A271" si="36">A257</f>
        <v>VietinBank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</row>
    <row r="267" spans="1:26" ht="15" customHeight="1">
      <c r="A267" s="200" t="str">
        <f t="shared" si="36"/>
        <v>Vietcombank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</row>
    <row r="268" spans="1:26" ht="15" customHeight="1">
      <c r="A268" s="200" t="str">
        <f t="shared" si="36"/>
        <v>BIDV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 spans="1:26" ht="15" customHeight="1">
      <c r="A269" s="200" t="str">
        <f t="shared" si="36"/>
        <v>Standard Chartered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 spans="1:26" ht="15" customHeight="1">
      <c r="A270" s="200" t="str">
        <f t="shared" si="36"/>
        <v>VILC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</row>
    <row r="271" spans="1:26" ht="15" customHeight="1">
      <c r="A271" s="200" t="str">
        <f t="shared" si="36"/>
        <v>IVB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</row>
    <row r="272" spans="1:26" ht="15" customHeight="1"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 spans="1:26" ht="15" customHeight="1">
      <c r="A273" s="196" t="s">
        <v>349</v>
      </c>
      <c r="B273" s="197"/>
      <c r="C273" s="199">
        <f>SUM(C274:C281)</f>
        <v>0</v>
      </c>
      <c r="D273" s="199">
        <f t="shared" ref="D273:Z273" si="37">SUM(D274:D281)</f>
        <v>0</v>
      </c>
      <c r="E273" s="199">
        <f t="shared" si="37"/>
        <v>0</v>
      </c>
      <c r="F273" s="199">
        <f t="shared" si="37"/>
        <v>0</v>
      </c>
      <c r="G273" s="199">
        <f t="shared" si="37"/>
        <v>0</v>
      </c>
      <c r="H273" s="199">
        <f t="shared" si="37"/>
        <v>0</v>
      </c>
      <c r="I273" s="199">
        <f t="shared" si="37"/>
        <v>0</v>
      </c>
      <c r="J273" s="199">
        <f t="shared" si="37"/>
        <v>0</v>
      </c>
      <c r="K273" s="199">
        <f t="shared" si="37"/>
        <v>0</v>
      </c>
      <c r="L273" s="199">
        <f t="shared" si="37"/>
        <v>0</v>
      </c>
      <c r="M273" s="199">
        <f t="shared" si="37"/>
        <v>0</v>
      </c>
      <c r="N273" s="199">
        <f t="shared" si="37"/>
        <v>107172751116</v>
      </c>
      <c r="O273" s="199">
        <f t="shared" si="37"/>
        <v>108410341946</v>
      </c>
      <c r="P273" s="199">
        <f t="shared" si="37"/>
        <v>104162504168</v>
      </c>
      <c r="Q273" s="199">
        <f t="shared" si="37"/>
        <v>103325726390</v>
      </c>
      <c r="R273" s="199">
        <f t="shared" si="37"/>
        <v>102252755220</v>
      </c>
      <c r="S273" s="199">
        <f t="shared" si="37"/>
        <v>98004917442</v>
      </c>
      <c r="T273" s="199">
        <f t="shared" si="37"/>
        <v>77121791394</v>
      </c>
      <c r="U273" s="199">
        <f t="shared" si="37"/>
        <v>76048820224</v>
      </c>
      <c r="V273" s="199">
        <f t="shared" si="37"/>
        <v>74463510446</v>
      </c>
      <c r="W273" s="199">
        <f t="shared" si="37"/>
        <v>73626732668</v>
      </c>
      <c r="X273" s="199">
        <f t="shared" si="37"/>
        <v>72553761498</v>
      </c>
      <c r="Y273" s="199">
        <f t="shared" si="37"/>
        <v>71031650720</v>
      </c>
      <c r="Z273" s="199">
        <f t="shared" si="37"/>
        <v>69631372942</v>
      </c>
    </row>
    <row r="274" spans="1:26" ht="15" customHeight="1">
      <c r="A274" s="200" t="str">
        <f>A256</f>
        <v>ACB</v>
      </c>
      <c r="C274" s="201">
        <f>TDP!C283+'Dai Loc'!C283+'Khanh Nga'!C283+'Dong Lam'!C283+DTR!C283+DTRVL!C283</f>
        <v>0</v>
      </c>
      <c r="D274" s="201">
        <f>TDP!D283+'Dai Loc'!D283+'Khanh Nga'!D283+'Dong Lam'!D283+DTR!D283+DTRVL!D283</f>
        <v>0</v>
      </c>
      <c r="E274" s="201">
        <f>TDP!E283+'Dai Loc'!E283+'Khanh Nga'!E283+'Dong Lam'!E283+DTR!E283+DTRVL!E283</f>
        <v>0</v>
      </c>
      <c r="F274" s="201">
        <f>TDP!F283+'Dai Loc'!F283+'Khanh Nga'!F283+'Dong Lam'!F283+DTR!F283+DTRVL!F283</f>
        <v>0</v>
      </c>
      <c r="G274" s="201">
        <f>TDP!G283+'Dai Loc'!G283+'Khanh Nga'!G283+'Dong Lam'!G283+DTR!G283+DTRVL!G283</f>
        <v>0</v>
      </c>
      <c r="H274" s="201">
        <f>TDP!H283+'Dai Loc'!H283+'Khanh Nga'!H283+'Dong Lam'!H283+DTR!H283+DTRVL!H283</f>
        <v>0</v>
      </c>
      <c r="I274" s="201">
        <f>TDP!I283+'Dai Loc'!I283+'Khanh Nga'!I283+'Dong Lam'!I283+DTR!I283+DTRVL!I283</f>
        <v>0</v>
      </c>
      <c r="J274" s="201">
        <f>TDP!J283+'Dai Loc'!J283+'Khanh Nga'!J283+'Dong Lam'!J283+DTR!J283+DTRVL!J283</f>
        <v>0</v>
      </c>
      <c r="K274" s="201">
        <f>TDP!K283+'Dai Loc'!K283+'Khanh Nga'!K283+'Dong Lam'!K283+DTR!K283+DTRVL!K283</f>
        <v>0</v>
      </c>
      <c r="L274" s="201">
        <f>TDP!L283+'Dai Loc'!L283+'Khanh Nga'!L283+'Dong Lam'!L283+DTR!L283+DTRVL!L283</f>
        <v>0</v>
      </c>
      <c r="M274" s="201">
        <f>TDP!M283+'Dai Loc'!M283+'Khanh Nga'!M283+'Dong Lam'!M283+DTR!M283+DTRVL!M283</f>
        <v>0</v>
      </c>
      <c r="N274" s="201">
        <f>TDP!N283+'Dai Loc'!N283+'Khanh Nga'!N283+'Dong Lam'!N283+DTR!N283+DTRVL!N283</f>
        <v>79950528894</v>
      </c>
      <c r="O274" s="201">
        <f>TDP!O283+'Dai Loc'!O283+'Khanh Nga'!O283+'Dong Lam'!O283+DTR!O283+DTRVL!O283</f>
        <v>81965897502</v>
      </c>
      <c r="P274" s="201">
        <f>TDP!P283+'Dai Loc'!P283+'Khanh Nga'!P283+'Dong Lam'!P283+DTR!P283+DTRVL!P283</f>
        <v>78495837502</v>
      </c>
      <c r="Q274" s="201">
        <f>TDP!Q283+'Dai Loc'!Q283+'Khanh Nga'!Q283+'Dong Lam'!Q283+DTR!Q283+DTRVL!Q283</f>
        <v>78436837502</v>
      </c>
      <c r="R274" s="201">
        <f>TDP!R283+'Dai Loc'!R283+'Khanh Nga'!R283+'Dong Lam'!R283+DTR!R283+DTRVL!R283</f>
        <v>78141644110</v>
      </c>
      <c r="S274" s="201">
        <f>TDP!S283+'Dai Loc'!S283+'Khanh Nga'!S283+'Dong Lam'!S283+DTR!S283+DTRVL!S283</f>
        <v>74671584110</v>
      </c>
      <c r="T274" s="201">
        <f>TDP!T283+'Dai Loc'!T283+'Khanh Nga'!T283+'Dong Lam'!T283+DTR!T283+DTRVL!T283</f>
        <v>54566235840</v>
      </c>
      <c r="U274" s="201">
        <f>TDP!U283+'Dai Loc'!U283+'Khanh Nga'!U283+'Dong Lam'!U283+DTR!U283+DTRVL!U283</f>
        <v>54271042448</v>
      </c>
      <c r="V274" s="201">
        <f>TDP!V283+'Dai Loc'!V283+'Khanh Nga'!V283+'Dong Lam'!V283+DTR!V283+DTRVL!V283</f>
        <v>51904970448</v>
      </c>
      <c r="W274" s="201">
        <f>TDP!W283+'Dai Loc'!W283+'Khanh Nga'!W283+'Dong Lam'!W283+DTR!W283+DTRVL!W283</f>
        <v>51845970448</v>
      </c>
      <c r="X274" s="201">
        <f>TDP!X283+'Dai Loc'!X283+'Khanh Nga'!X283+'Dong Lam'!X283+DTR!X283+DTRVL!X283</f>
        <v>51550777056</v>
      </c>
      <c r="Y274" s="201">
        <f>TDP!Y283+'Dai Loc'!Y283+'Khanh Nga'!Y283+'Dong Lam'!Y283+DTR!Y283+DTRVL!Y283</f>
        <v>49748205056</v>
      </c>
      <c r="Z274" s="201">
        <f>TDP!Z283+'Dai Loc'!Z283+'Khanh Nga'!Z283+'Dong Lam'!Z283+DTR!Z283+DTRVL!Z283</f>
        <v>49125705056</v>
      </c>
    </row>
    <row r="275" spans="1:26" ht="15" customHeight="1">
      <c r="A275" s="200" t="str">
        <f>A257</f>
        <v>VietinBank</v>
      </c>
      <c r="C275" s="201">
        <f>TDP!C284+'Dai Loc'!C284+'Khanh Nga'!C284+'Dong Lam'!C284+DTR!C284+DTRVL!C284</f>
        <v>0</v>
      </c>
      <c r="D275" s="201">
        <f>TDP!D284+'Dai Loc'!D284+'Khanh Nga'!D284+'Dong Lam'!D284+DTR!D284+DTRVL!D284</f>
        <v>0</v>
      </c>
      <c r="E275" s="201">
        <f>TDP!E284+'Dai Loc'!E284+'Khanh Nga'!E284+'Dong Lam'!E284+DTR!E284+DTRVL!E284</f>
        <v>0</v>
      </c>
      <c r="F275" s="201">
        <f>TDP!F284+'Dai Loc'!F284+'Khanh Nga'!F284+'Dong Lam'!F284+DTR!F284+DTRVL!F284</f>
        <v>0</v>
      </c>
      <c r="G275" s="201">
        <f>TDP!G284+'Dai Loc'!G284+'Khanh Nga'!G284+'Dong Lam'!G284+DTR!G284+DTRVL!G284</f>
        <v>0</v>
      </c>
      <c r="H275" s="201">
        <f>TDP!H284+'Dai Loc'!H284+'Khanh Nga'!H284+'Dong Lam'!H284+DTR!H284+DTRVL!H284</f>
        <v>0</v>
      </c>
      <c r="I275" s="201">
        <f>TDP!I284+'Dai Loc'!I284+'Khanh Nga'!I284+'Dong Lam'!I284+DTR!I284+DTRVL!I284</f>
        <v>0</v>
      </c>
      <c r="J275" s="201">
        <f>TDP!J284+'Dai Loc'!J284+'Khanh Nga'!J284+'Dong Lam'!J284+DTR!J284+DTRVL!J284</f>
        <v>0</v>
      </c>
      <c r="K275" s="201">
        <f>TDP!K284+'Dai Loc'!K284+'Khanh Nga'!K284+'Dong Lam'!K284+DTR!K284+DTRVL!K284</f>
        <v>0</v>
      </c>
      <c r="L275" s="201">
        <f>TDP!L284+'Dai Loc'!L284+'Khanh Nga'!L284+'Dong Lam'!L284+DTR!L284+DTRVL!L284</f>
        <v>0</v>
      </c>
      <c r="M275" s="201">
        <f>TDP!M284+'Dai Loc'!M284+'Khanh Nga'!M284+'Dong Lam'!M284+DTR!M284+DTRVL!M284</f>
        <v>0</v>
      </c>
      <c r="N275" s="201">
        <f>TDP!N284+'Dai Loc'!N284+'Khanh Nga'!N284+'Dong Lam'!N284+DTR!N284+DTRVL!N284</f>
        <v>0</v>
      </c>
      <c r="O275" s="201">
        <f>TDP!O284+'Dai Loc'!O284+'Khanh Nga'!O284+'Dong Lam'!O284+DTR!O284+DTRVL!O284</f>
        <v>0</v>
      </c>
      <c r="P275" s="201">
        <f>TDP!P284+'Dai Loc'!P284+'Khanh Nga'!P284+'Dong Lam'!P284+DTR!P284+DTRVL!P284</f>
        <v>0</v>
      </c>
      <c r="Q275" s="201">
        <f>TDP!Q284+'Dai Loc'!Q284+'Khanh Nga'!Q284+'Dong Lam'!Q284+DTR!Q284+DTRVL!Q284</f>
        <v>0</v>
      </c>
      <c r="R275" s="201">
        <f>TDP!R284+'Dai Loc'!R284+'Khanh Nga'!R284+'Dong Lam'!R284+DTR!R284+DTRVL!R284</f>
        <v>0</v>
      </c>
      <c r="S275" s="201">
        <f>TDP!S284+'Dai Loc'!S284+'Khanh Nga'!S284+'Dong Lam'!S284+DTR!S284+DTRVL!S284</f>
        <v>0</v>
      </c>
      <c r="T275" s="201">
        <f>TDP!T284+'Dai Loc'!T284+'Khanh Nga'!T284+'Dong Lam'!T284+DTR!T284+DTRVL!T284</f>
        <v>0</v>
      </c>
      <c r="U275" s="201">
        <f>TDP!U284+'Dai Loc'!U284+'Khanh Nga'!U284+'Dong Lam'!U284+DTR!U284+DTRVL!U284</f>
        <v>0</v>
      </c>
      <c r="V275" s="201">
        <f>TDP!V284+'Dai Loc'!V284+'Khanh Nga'!V284+'Dong Lam'!V284+DTR!V284+DTRVL!V284</f>
        <v>1558540000</v>
      </c>
      <c r="W275" s="201">
        <f>TDP!W284+'Dai Loc'!W284+'Khanh Nga'!W284+'Dong Lam'!W284+DTR!W284+DTRVL!W284</f>
        <v>1558540000</v>
      </c>
      <c r="X275" s="201">
        <f>TDP!X284+'Dai Loc'!X284+'Khanh Nga'!X284+'Dong Lam'!X284+DTR!X284+DTRVL!X284</f>
        <v>1558540000</v>
      </c>
      <c r="Y275" s="201">
        <f>TDP!Y284+'Dai Loc'!Y284+'Khanh Nga'!Y284+'Dong Lam'!Y284+DTR!Y284+DTRVL!Y284</f>
        <v>2616779000</v>
      </c>
      <c r="Z275" s="201">
        <f>TDP!Z284+'Dai Loc'!Z284+'Khanh Nga'!Z284+'Dong Lam'!Z284+DTR!Z284+DTRVL!Z284</f>
        <v>2616779000</v>
      </c>
    </row>
    <row r="276" spans="1:26" ht="15" customHeight="1">
      <c r="A276" s="200" t="str">
        <f>A258</f>
        <v>Vietcombank</v>
      </c>
      <c r="C276" s="201">
        <f>TDP!C285+'Dai Loc'!C285+'Khanh Nga'!C285+'Dong Lam'!C285+DTR!C285+DTRVL!C285</f>
        <v>0</v>
      </c>
      <c r="D276" s="201">
        <f>TDP!D285+'Dai Loc'!D285+'Khanh Nga'!D285+'Dong Lam'!D285+DTR!D285+DTRVL!D285</f>
        <v>0</v>
      </c>
      <c r="E276" s="201">
        <f>TDP!E285+'Dai Loc'!E285+'Khanh Nga'!E285+'Dong Lam'!E285+DTR!E285+DTRVL!E285</f>
        <v>0</v>
      </c>
      <c r="F276" s="201">
        <f>TDP!F285+'Dai Loc'!F285+'Khanh Nga'!F285+'Dong Lam'!F285+DTR!F285+DTRVL!F285</f>
        <v>0</v>
      </c>
      <c r="G276" s="201">
        <f>TDP!G285+'Dai Loc'!G285+'Khanh Nga'!G285+'Dong Lam'!G285+DTR!G285+DTRVL!G285</f>
        <v>0</v>
      </c>
      <c r="H276" s="201">
        <f>TDP!H285+'Dai Loc'!H285+'Khanh Nga'!H285+'Dong Lam'!H285+DTR!H285+DTRVL!H285</f>
        <v>0</v>
      </c>
      <c r="I276" s="201">
        <f>TDP!I285+'Dai Loc'!I285+'Khanh Nga'!I285+'Dong Lam'!I285+DTR!I285+DTRVL!I285</f>
        <v>0</v>
      </c>
      <c r="J276" s="201">
        <f>TDP!J285+'Dai Loc'!J285+'Khanh Nga'!J285+'Dong Lam'!J285+DTR!J285+DTRVL!J285</f>
        <v>0</v>
      </c>
      <c r="K276" s="201">
        <f>TDP!K285+'Dai Loc'!K285+'Khanh Nga'!K285+'Dong Lam'!K285+DTR!K285+DTRVL!K285</f>
        <v>0</v>
      </c>
      <c r="L276" s="201">
        <f>TDP!L285+'Dai Loc'!L285+'Khanh Nga'!L285+'Dong Lam'!L285+DTR!L285+DTRVL!L285</f>
        <v>0</v>
      </c>
      <c r="M276" s="201">
        <f>TDP!M285+'Dai Loc'!M285+'Khanh Nga'!M285+'Dong Lam'!M285+DTR!M285+DTRVL!M285</f>
        <v>0</v>
      </c>
      <c r="N276" s="201">
        <f>TDP!N285+'Dai Loc'!N285+'Khanh Nga'!N285+'Dong Lam'!N285+DTR!N285+DTRVL!N285</f>
        <v>0</v>
      </c>
      <c r="O276" s="201">
        <f>TDP!O285+'Dai Loc'!O285+'Khanh Nga'!O285+'Dong Lam'!O285+DTR!O285+DTRVL!O285</f>
        <v>0</v>
      </c>
      <c r="P276" s="201">
        <f>TDP!P285+'Dai Loc'!P285+'Khanh Nga'!P285+'Dong Lam'!P285+DTR!P285+DTRVL!P285</f>
        <v>0</v>
      </c>
      <c r="Q276" s="201">
        <f>TDP!Q285+'Dai Loc'!Q285+'Khanh Nga'!Q285+'Dong Lam'!Q285+DTR!Q285+DTRVL!Q285</f>
        <v>0</v>
      </c>
      <c r="R276" s="201">
        <f>TDP!R285+'Dai Loc'!R285+'Khanh Nga'!R285+'Dong Lam'!R285+DTR!R285+DTRVL!R285</f>
        <v>0</v>
      </c>
      <c r="S276" s="201">
        <f>TDP!S285+'Dai Loc'!S285+'Khanh Nga'!S285+'Dong Lam'!S285+DTR!S285+DTRVL!S285</f>
        <v>0</v>
      </c>
      <c r="T276" s="201">
        <f>TDP!T285+'Dai Loc'!T285+'Khanh Nga'!T285+'Dong Lam'!T285+DTR!T285+DTRVL!T285</f>
        <v>0</v>
      </c>
      <c r="U276" s="201">
        <f>TDP!U285+'Dai Loc'!U285+'Khanh Nga'!U285+'Dong Lam'!U285+DTR!U285+DTRVL!U285</f>
        <v>0</v>
      </c>
      <c r="V276" s="201">
        <f>TDP!V285+'Dai Loc'!V285+'Khanh Nga'!V285+'Dong Lam'!V285+DTR!V285+DTRVL!V285</f>
        <v>0</v>
      </c>
      <c r="W276" s="201">
        <f>TDP!W285+'Dai Loc'!W285+'Khanh Nga'!W285+'Dong Lam'!W285+DTR!W285+DTRVL!W285</f>
        <v>0</v>
      </c>
      <c r="X276" s="201">
        <f>TDP!X285+'Dai Loc'!X285+'Khanh Nga'!X285+'Dong Lam'!X285+DTR!X285+DTRVL!X285</f>
        <v>0</v>
      </c>
      <c r="Y276" s="201">
        <f>TDP!Y285+'Dai Loc'!Y285+'Khanh Nga'!Y285+'Dong Lam'!Y285+DTR!Y285+DTRVL!Y285</f>
        <v>0</v>
      </c>
      <c r="Z276" s="201">
        <f>TDP!Z285+'Dai Loc'!Z285+'Khanh Nga'!Z285+'Dong Lam'!Z285+DTR!Z285+DTRVL!Z285</f>
        <v>0</v>
      </c>
    </row>
    <row r="277" spans="1:26" ht="15" customHeight="1">
      <c r="A277" s="200" t="s">
        <v>344</v>
      </c>
      <c r="C277" s="201">
        <f>TDP!C286+'Dai Loc'!C286+'Khanh Nga'!C286+'Dong Lam'!C286+DTR!C286+DTRVL!C286</f>
        <v>0</v>
      </c>
      <c r="D277" s="201">
        <f>TDP!D286+'Dai Loc'!D286+'Khanh Nga'!D286+'Dong Lam'!D286+DTR!D286+DTRVL!D286</f>
        <v>0</v>
      </c>
      <c r="E277" s="201">
        <f>TDP!E286+'Dai Loc'!E286+'Khanh Nga'!E286+'Dong Lam'!E286+DTR!E286+DTRVL!E286</f>
        <v>0</v>
      </c>
      <c r="F277" s="201">
        <f>TDP!F286+'Dai Loc'!F286+'Khanh Nga'!F286+'Dong Lam'!F286+DTR!F286+DTRVL!F286</f>
        <v>0</v>
      </c>
      <c r="G277" s="201">
        <f>TDP!G286+'Dai Loc'!G286+'Khanh Nga'!G286+'Dong Lam'!G286+DTR!G286+DTRVL!G286</f>
        <v>0</v>
      </c>
      <c r="H277" s="201">
        <f>TDP!H286+'Dai Loc'!H286+'Khanh Nga'!H286+'Dong Lam'!H286+DTR!H286+DTRVL!H286</f>
        <v>0</v>
      </c>
      <c r="I277" s="201">
        <f>TDP!I286+'Dai Loc'!I286+'Khanh Nga'!I286+'Dong Lam'!I286+DTR!I286+DTRVL!I286</f>
        <v>0</v>
      </c>
      <c r="J277" s="201">
        <f>TDP!J286+'Dai Loc'!J286+'Khanh Nga'!J286+'Dong Lam'!J286+DTR!J286+DTRVL!J286</f>
        <v>0</v>
      </c>
      <c r="K277" s="201">
        <f>TDP!K286+'Dai Loc'!K286+'Khanh Nga'!K286+'Dong Lam'!K286+DTR!K286+DTRVL!K286</f>
        <v>0</v>
      </c>
      <c r="L277" s="201">
        <f>TDP!L286+'Dai Loc'!L286+'Khanh Nga'!L286+'Dong Lam'!L286+DTR!L286+DTRVL!L286</f>
        <v>0</v>
      </c>
      <c r="M277" s="201">
        <f>TDP!M286+'Dai Loc'!M286+'Khanh Nga'!M286+'Dong Lam'!M286+DTR!M286+DTRVL!M286</f>
        <v>0</v>
      </c>
      <c r="N277" s="201">
        <f>TDP!N286+'Dai Loc'!N286+'Khanh Nga'!N286+'Dong Lam'!N286+DTR!N286+DTRVL!N286</f>
        <v>0</v>
      </c>
      <c r="O277" s="201">
        <f>TDP!O286+'Dai Loc'!O286+'Khanh Nga'!O286+'Dong Lam'!O286+DTR!O286+DTRVL!O286</f>
        <v>0</v>
      </c>
      <c r="P277" s="201">
        <f>TDP!P286+'Dai Loc'!P286+'Khanh Nga'!P286+'Dong Lam'!P286+DTR!P286+DTRVL!P286</f>
        <v>0</v>
      </c>
      <c r="Q277" s="201">
        <f>TDP!Q286+'Dai Loc'!Q286+'Khanh Nga'!Q286+'Dong Lam'!Q286+DTR!Q286+DTRVL!Q286</f>
        <v>0</v>
      </c>
      <c r="R277" s="201">
        <f>TDP!R286+'Dai Loc'!R286+'Khanh Nga'!R286+'Dong Lam'!R286+DTR!R286+DTRVL!R286</f>
        <v>0</v>
      </c>
      <c r="S277" s="201">
        <f>TDP!S286+'Dai Loc'!S286+'Khanh Nga'!S286+'Dong Lam'!S286+DTR!S286+DTRVL!S286</f>
        <v>0</v>
      </c>
      <c r="T277" s="201">
        <f>TDP!T286+'Dai Loc'!T286+'Khanh Nga'!T286+'Dong Lam'!T286+DTR!T286+DTRVL!T286</f>
        <v>0</v>
      </c>
      <c r="U277" s="201">
        <f>TDP!U286+'Dai Loc'!U286+'Khanh Nga'!U286+'Dong Lam'!U286+DTR!U286+DTRVL!U286</f>
        <v>0</v>
      </c>
      <c r="V277" s="201">
        <f>TDP!V286+'Dai Loc'!V286+'Khanh Nga'!V286+'Dong Lam'!V286+DTR!V286+DTRVL!V286</f>
        <v>0</v>
      </c>
      <c r="W277" s="201">
        <f>TDP!W286+'Dai Loc'!W286+'Khanh Nga'!W286+'Dong Lam'!W286+DTR!W286+DTRVL!W286</f>
        <v>0</v>
      </c>
      <c r="X277" s="201">
        <f>TDP!X286+'Dai Loc'!X286+'Khanh Nga'!X286+'Dong Lam'!X286+DTR!X286+DTRVL!X286</f>
        <v>0</v>
      </c>
      <c r="Y277" s="201">
        <f>TDP!Y286+'Dai Loc'!Y286+'Khanh Nga'!Y286+'Dong Lam'!Y286+DTR!Y286+DTRVL!Y286</f>
        <v>0</v>
      </c>
      <c r="Z277" s="201">
        <f>TDP!Z286+'Dai Loc'!Z286+'Khanh Nga'!Z286+'Dong Lam'!Z286+DTR!Z286+DTRVL!Z286</f>
        <v>0</v>
      </c>
    </row>
    <row r="278" spans="1:26" ht="15" customHeight="1">
      <c r="A278" s="200" t="str">
        <f>A260</f>
        <v>Standard Chartered</v>
      </c>
      <c r="C278" s="201">
        <f>TDP!C287+'Dai Loc'!C287+'Khanh Nga'!C287+'Dong Lam'!C287+DTR!C287+DTRVL!C287</f>
        <v>0</v>
      </c>
      <c r="D278" s="201">
        <f>TDP!D287+'Dai Loc'!D287+'Khanh Nga'!D287+'Dong Lam'!D287+DTR!D287+DTRVL!D287</f>
        <v>0</v>
      </c>
      <c r="E278" s="201">
        <f>TDP!E287+'Dai Loc'!E287+'Khanh Nga'!E287+'Dong Lam'!E287+DTR!E287+DTRVL!E287</f>
        <v>0</v>
      </c>
      <c r="F278" s="201">
        <f>TDP!F287+'Dai Loc'!F287+'Khanh Nga'!F287+'Dong Lam'!F287+DTR!F287+DTRVL!F287</f>
        <v>0</v>
      </c>
      <c r="G278" s="201">
        <f>TDP!G287+'Dai Loc'!G287+'Khanh Nga'!G287+'Dong Lam'!G287+DTR!G287+DTRVL!G287</f>
        <v>0</v>
      </c>
      <c r="H278" s="201">
        <f>TDP!H287+'Dai Loc'!H287+'Khanh Nga'!H287+'Dong Lam'!H287+DTR!H287+DTRVL!H287</f>
        <v>0</v>
      </c>
      <c r="I278" s="201">
        <f>TDP!I287+'Dai Loc'!I287+'Khanh Nga'!I287+'Dong Lam'!I287+DTR!I287+DTRVL!I287</f>
        <v>0</v>
      </c>
      <c r="J278" s="201">
        <f>TDP!J287+'Dai Loc'!J287+'Khanh Nga'!J287+'Dong Lam'!J287+DTR!J287+DTRVL!J287</f>
        <v>0</v>
      </c>
      <c r="K278" s="201">
        <f>TDP!K287+'Dai Loc'!K287+'Khanh Nga'!K287+'Dong Lam'!K287+DTR!K287+DTRVL!K287</f>
        <v>0</v>
      </c>
      <c r="L278" s="201">
        <f>TDP!L287+'Dai Loc'!L287+'Khanh Nga'!L287+'Dong Lam'!L287+DTR!L287+DTRVL!L287</f>
        <v>0</v>
      </c>
      <c r="M278" s="201">
        <f>TDP!M287+'Dai Loc'!M287+'Khanh Nga'!M287+'Dong Lam'!M287+DTR!M287+DTRVL!M287</f>
        <v>0</v>
      </c>
      <c r="N278" s="201">
        <f>TDP!N287+'Dai Loc'!N287+'Khanh Nga'!N287+'Dong Lam'!N287+DTR!N287+DTRVL!N287</f>
        <v>0</v>
      </c>
      <c r="O278" s="201">
        <f>TDP!O287+'Dai Loc'!O287+'Khanh Nga'!O287+'Dong Lam'!O287+DTR!O287+DTRVL!O287</f>
        <v>0</v>
      </c>
      <c r="P278" s="201">
        <f>TDP!P287+'Dai Loc'!P287+'Khanh Nga'!P287+'Dong Lam'!P287+DTR!P287+DTRVL!P287</f>
        <v>0</v>
      </c>
      <c r="Q278" s="201">
        <f>TDP!Q287+'Dai Loc'!Q287+'Khanh Nga'!Q287+'Dong Lam'!Q287+DTR!Q287+DTRVL!Q287</f>
        <v>0</v>
      </c>
      <c r="R278" s="201">
        <f>TDP!R287+'Dai Loc'!R287+'Khanh Nga'!R287+'Dong Lam'!R287+DTR!R287+DTRVL!R287</f>
        <v>0</v>
      </c>
      <c r="S278" s="201">
        <f>TDP!S287+'Dai Loc'!S287+'Khanh Nga'!S287+'Dong Lam'!S287+DTR!S287+DTRVL!S287</f>
        <v>0</v>
      </c>
      <c r="T278" s="201">
        <f>TDP!T287+'Dai Loc'!T287+'Khanh Nga'!T287+'Dong Lam'!T287+DTR!T287+DTRVL!T287</f>
        <v>0</v>
      </c>
      <c r="U278" s="201">
        <f>TDP!U287+'Dai Loc'!U287+'Khanh Nga'!U287+'Dong Lam'!U287+DTR!U287+DTRVL!U287</f>
        <v>0</v>
      </c>
      <c r="V278" s="201">
        <f>TDP!V287+'Dai Loc'!V287+'Khanh Nga'!V287+'Dong Lam'!V287+DTR!V287+DTRVL!V287</f>
        <v>0</v>
      </c>
      <c r="W278" s="201">
        <f>TDP!W287+'Dai Loc'!W287+'Khanh Nga'!W287+'Dong Lam'!W287+DTR!W287+DTRVL!W287</f>
        <v>0</v>
      </c>
      <c r="X278" s="201">
        <f>TDP!X287+'Dai Loc'!X287+'Khanh Nga'!X287+'Dong Lam'!X287+DTR!X287+DTRVL!X287</f>
        <v>0</v>
      </c>
      <c r="Y278" s="201">
        <f>TDP!Y287+'Dai Loc'!Y287+'Khanh Nga'!Y287+'Dong Lam'!Y287+DTR!Y287+DTRVL!Y287</f>
        <v>0</v>
      </c>
      <c r="Z278" s="201">
        <f>TDP!Z287+'Dai Loc'!Z287+'Khanh Nga'!Z287+'Dong Lam'!Z287+DTR!Z287+DTRVL!Z287</f>
        <v>0</v>
      </c>
    </row>
    <row r="279" spans="1:26" ht="15" customHeight="1">
      <c r="A279" s="200" t="s">
        <v>346</v>
      </c>
      <c r="C279" s="201">
        <f>TDP!C288+'Dai Loc'!C288+'Khanh Nga'!C288+'Dong Lam'!C288+DTR!C288+DTRVL!C288</f>
        <v>0</v>
      </c>
      <c r="D279" s="201">
        <f>TDP!D288+'Dai Loc'!D288+'Khanh Nga'!D288+'Dong Lam'!D288+DTR!D288+DTRVL!D288</f>
        <v>0</v>
      </c>
      <c r="E279" s="201">
        <f>TDP!E288+'Dai Loc'!E288+'Khanh Nga'!E288+'Dong Lam'!E288+DTR!E288+DTRVL!E288</f>
        <v>0</v>
      </c>
      <c r="F279" s="201">
        <f>TDP!F288+'Dai Loc'!F288+'Khanh Nga'!F288+'Dong Lam'!F288+DTR!F288+DTRVL!F288</f>
        <v>0</v>
      </c>
      <c r="G279" s="201">
        <f>TDP!G288+'Dai Loc'!G288+'Khanh Nga'!G288+'Dong Lam'!G288+DTR!G288+DTRVL!G288</f>
        <v>0</v>
      </c>
      <c r="H279" s="201">
        <f>TDP!H288+'Dai Loc'!H288+'Khanh Nga'!H288+'Dong Lam'!H288+DTR!H288+DTRVL!H288</f>
        <v>0</v>
      </c>
      <c r="I279" s="201">
        <f>TDP!I288+'Dai Loc'!I288+'Khanh Nga'!I288+'Dong Lam'!I288+DTR!I288+DTRVL!I288</f>
        <v>0</v>
      </c>
      <c r="J279" s="201">
        <f>TDP!J288+'Dai Loc'!J288+'Khanh Nga'!J288+'Dong Lam'!J288+DTR!J288+DTRVL!J288</f>
        <v>0</v>
      </c>
      <c r="K279" s="201">
        <f>TDP!K288+'Dai Loc'!K288+'Khanh Nga'!K288+'Dong Lam'!K288+DTR!K288+DTRVL!K288</f>
        <v>0</v>
      </c>
      <c r="L279" s="201">
        <f>TDP!L288+'Dai Loc'!L288+'Khanh Nga'!L288+'Dong Lam'!L288+DTR!L288+DTRVL!L288</f>
        <v>0</v>
      </c>
      <c r="M279" s="201">
        <f>TDP!M288+'Dai Loc'!M288+'Khanh Nga'!M288+'Dong Lam'!M288+DTR!M288+DTRVL!M288</f>
        <v>0</v>
      </c>
      <c r="N279" s="201">
        <f>TDP!N288+'Dai Loc'!N288+'Khanh Nga'!N288+'Dong Lam'!N288+DTR!N288+DTRVL!N288</f>
        <v>27222222222</v>
      </c>
      <c r="O279" s="201">
        <f>TDP!O288+'Dai Loc'!O288+'Khanh Nga'!O288+'Dong Lam'!O288+DTR!O288+DTRVL!O288</f>
        <v>26444444444</v>
      </c>
      <c r="P279" s="201">
        <f>TDP!P288+'Dai Loc'!P288+'Khanh Nga'!P288+'Dong Lam'!P288+DTR!P288+DTRVL!P288</f>
        <v>25666666666</v>
      </c>
      <c r="Q279" s="201">
        <f>TDP!Q288+'Dai Loc'!Q288+'Khanh Nga'!Q288+'Dong Lam'!Q288+DTR!Q288+DTRVL!Q288</f>
        <v>24888888888</v>
      </c>
      <c r="R279" s="201">
        <f>TDP!R288+'Dai Loc'!R288+'Khanh Nga'!R288+'Dong Lam'!R288+DTR!R288+DTRVL!R288</f>
        <v>24111111110</v>
      </c>
      <c r="S279" s="201">
        <f>TDP!S288+'Dai Loc'!S288+'Khanh Nga'!S288+'Dong Lam'!S288+DTR!S288+DTRVL!S288</f>
        <v>23333333332</v>
      </c>
      <c r="T279" s="201">
        <f>TDP!T288+'Dai Loc'!T288+'Khanh Nga'!T288+'Dong Lam'!T288+DTR!T288+DTRVL!T288</f>
        <v>22555555554</v>
      </c>
      <c r="U279" s="201">
        <f>TDP!U288+'Dai Loc'!U288+'Khanh Nga'!U288+'Dong Lam'!U288+DTR!U288+DTRVL!U288</f>
        <v>21777777776</v>
      </c>
      <c r="V279" s="201">
        <f>TDP!V288+'Dai Loc'!V288+'Khanh Nga'!V288+'Dong Lam'!V288+DTR!V288+DTRVL!V288</f>
        <v>20999999998</v>
      </c>
      <c r="W279" s="201">
        <f>TDP!W288+'Dai Loc'!W288+'Khanh Nga'!W288+'Dong Lam'!W288+DTR!W288+DTRVL!W288</f>
        <v>20222222220</v>
      </c>
      <c r="X279" s="201">
        <f>TDP!X288+'Dai Loc'!X288+'Khanh Nga'!X288+'Dong Lam'!X288+DTR!X288+DTRVL!X288</f>
        <v>19444444442</v>
      </c>
      <c r="Y279" s="201">
        <f>TDP!Y288+'Dai Loc'!Y288+'Khanh Nga'!Y288+'Dong Lam'!Y288+DTR!Y288+DTRVL!Y288</f>
        <v>18666666664</v>
      </c>
      <c r="Z279" s="201">
        <f>TDP!Z288+'Dai Loc'!Z288+'Khanh Nga'!Z288+'Dong Lam'!Z288+DTR!Z288+DTRVL!Z288</f>
        <v>17888888886</v>
      </c>
    </row>
    <row r="280" spans="1:26" ht="15" customHeight="1">
      <c r="A280" s="200" t="s">
        <v>347</v>
      </c>
      <c r="C280" s="201">
        <f>TDP!C289+'Dai Loc'!C289+'Khanh Nga'!C289+'Dong Lam'!C289+DTR!C289+DTRVL!C289</f>
        <v>0</v>
      </c>
      <c r="D280" s="201">
        <f>TDP!D289+'Dai Loc'!D289+'Khanh Nga'!D289+'Dong Lam'!D289+DTR!D289+DTRVL!D289</f>
        <v>0</v>
      </c>
      <c r="E280" s="201">
        <f>TDP!E289+'Dai Loc'!E289+'Khanh Nga'!E289+'Dong Lam'!E289+DTR!E289+DTRVL!E289</f>
        <v>0</v>
      </c>
      <c r="F280" s="201">
        <f>TDP!F289+'Dai Loc'!F289+'Khanh Nga'!F289+'Dong Lam'!F289+DTR!F289+DTRVL!F289</f>
        <v>0</v>
      </c>
      <c r="G280" s="201">
        <f>TDP!G289+'Dai Loc'!G289+'Khanh Nga'!G289+'Dong Lam'!G289+DTR!G289+DTRVL!G289</f>
        <v>0</v>
      </c>
      <c r="H280" s="201">
        <f>TDP!H289+'Dai Loc'!H289+'Khanh Nga'!H289+'Dong Lam'!H289+DTR!H289+DTRVL!H289</f>
        <v>0</v>
      </c>
      <c r="I280" s="201">
        <f>TDP!I289+'Dai Loc'!I289+'Khanh Nga'!I289+'Dong Lam'!I289+DTR!I289+DTRVL!I289</f>
        <v>0</v>
      </c>
      <c r="J280" s="201">
        <f>TDP!J289+'Dai Loc'!J289+'Khanh Nga'!J289+'Dong Lam'!J289+DTR!J289+DTRVL!J289</f>
        <v>0</v>
      </c>
      <c r="K280" s="201">
        <f>TDP!K289+'Dai Loc'!K289+'Khanh Nga'!K289+'Dong Lam'!K289+DTR!K289+DTRVL!K289</f>
        <v>0</v>
      </c>
      <c r="L280" s="201">
        <f>TDP!L289+'Dai Loc'!L289+'Khanh Nga'!L289+'Dong Lam'!L289+DTR!L289+DTRVL!L289</f>
        <v>0</v>
      </c>
      <c r="M280" s="201">
        <f>TDP!M289+'Dai Loc'!M289+'Khanh Nga'!M289+'Dong Lam'!M289+DTR!M289+DTRVL!M289</f>
        <v>0</v>
      </c>
      <c r="N280" s="201">
        <f>TDP!N289+'Dai Loc'!N289+'Khanh Nga'!N289+'Dong Lam'!N289+DTR!N289+DTRVL!N289</f>
        <v>0</v>
      </c>
      <c r="O280" s="201">
        <f>TDP!O289+'Dai Loc'!O289+'Khanh Nga'!O289+'Dong Lam'!O289+DTR!O289+DTRVL!O289</f>
        <v>0</v>
      </c>
      <c r="P280" s="201">
        <f>TDP!P289+'Dai Loc'!P289+'Khanh Nga'!P289+'Dong Lam'!P289+DTR!P289+DTRVL!P289</f>
        <v>0</v>
      </c>
      <c r="Q280" s="201">
        <f>TDP!Q289+'Dai Loc'!Q289+'Khanh Nga'!Q289+'Dong Lam'!Q289+DTR!Q289+DTRVL!Q289</f>
        <v>0</v>
      </c>
      <c r="R280" s="201">
        <f>TDP!R289+'Dai Loc'!R289+'Khanh Nga'!R289+'Dong Lam'!R289+DTR!R289+DTRVL!R289</f>
        <v>0</v>
      </c>
      <c r="S280" s="201">
        <f>TDP!S289+'Dai Loc'!S289+'Khanh Nga'!S289+'Dong Lam'!S289+DTR!S289+DTRVL!S289</f>
        <v>0</v>
      </c>
      <c r="T280" s="201">
        <f>TDP!T289+'Dai Loc'!T289+'Khanh Nga'!T289+'Dong Lam'!T289+DTR!T289+DTRVL!T289</f>
        <v>0</v>
      </c>
      <c r="U280" s="201">
        <f>TDP!U289+'Dai Loc'!U289+'Khanh Nga'!U289+'Dong Lam'!U289+DTR!U289+DTRVL!U289</f>
        <v>0</v>
      </c>
      <c r="V280" s="201">
        <f>TDP!V289+'Dai Loc'!V289+'Khanh Nga'!V289+'Dong Lam'!V289+DTR!V289+DTRVL!V289</f>
        <v>0</v>
      </c>
      <c r="W280" s="201">
        <f>TDP!W289+'Dai Loc'!W289+'Khanh Nga'!W289+'Dong Lam'!W289+DTR!W289+DTRVL!W289</f>
        <v>0</v>
      </c>
      <c r="X280" s="201">
        <f>TDP!X289+'Dai Loc'!X289+'Khanh Nga'!X289+'Dong Lam'!X289+DTR!X289+DTRVL!X289</f>
        <v>0</v>
      </c>
      <c r="Y280" s="201">
        <f>TDP!Y289+'Dai Loc'!Y289+'Khanh Nga'!Y289+'Dong Lam'!Y289+DTR!Y289+DTRVL!Y289</f>
        <v>0</v>
      </c>
      <c r="Z280" s="201">
        <f>TDP!Z289+'Dai Loc'!Z289+'Khanh Nga'!Z289+'Dong Lam'!Z289+DTR!Z289+DTRVL!Z289</f>
        <v>0</v>
      </c>
    </row>
    <row r="281" spans="1:26" ht="15" customHeight="1">
      <c r="C281" s="49">
        <f>TDP!C290+'Dai Loc'!C290+'Khanh Nga'!C290+'Dong Lam'!C290+DTR!C290+DTRVL!C290</f>
        <v>0</v>
      </c>
      <c r="D281" s="49">
        <f>TDP!D290+'Dai Loc'!D290+'Khanh Nga'!D290+'Dong Lam'!D290+DTR!D290+DTRVL!D290</f>
        <v>0</v>
      </c>
      <c r="E281" s="49">
        <f>TDP!E290+'Dai Loc'!E290+'Khanh Nga'!E290+'Dong Lam'!E290+DTR!E290+DTRVL!E290</f>
        <v>0</v>
      </c>
      <c r="F281" s="49">
        <f>TDP!F290+'Dai Loc'!F290+'Khanh Nga'!F290+'Dong Lam'!F290+DTR!F290+DTRVL!F290</f>
        <v>0</v>
      </c>
      <c r="G281" s="49">
        <f>TDP!G290+'Dai Loc'!G290+'Khanh Nga'!G290+'Dong Lam'!G290+DTR!G290+DTRVL!G290</f>
        <v>0</v>
      </c>
      <c r="H281" s="49">
        <f>TDP!H290+'Dai Loc'!H290+'Khanh Nga'!H290+'Dong Lam'!H290+DTR!H290+DTRVL!H290</f>
        <v>0</v>
      </c>
      <c r="I281" s="49">
        <f>TDP!I290+'Dai Loc'!I290+'Khanh Nga'!I290+'Dong Lam'!I290+DTR!I290+DTRVL!I290</f>
        <v>0</v>
      </c>
      <c r="J281" s="49">
        <f>TDP!J290+'Dai Loc'!J290+'Khanh Nga'!J290+'Dong Lam'!J290+DTR!J290+DTRVL!J290</f>
        <v>0</v>
      </c>
      <c r="K281" s="49">
        <f>TDP!K290+'Dai Loc'!K290+'Khanh Nga'!K290+'Dong Lam'!K290+DTR!K290+DTRVL!K290</f>
        <v>0</v>
      </c>
      <c r="L281" s="49">
        <f>TDP!L290+'Dai Loc'!L290+'Khanh Nga'!L290+'Dong Lam'!L290+DTR!L290+DTRVL!L290</f>
        <v>0</v>
      </c>
      <c r="M281" s="49">
        <f>TDP!M290+'Dai Loc'!M290+'Khanh Nga'!M290+'Dong Lam'!M290+DTR!M290+DTRVL!M290</f>
        <v>0</v>
      </c>
      <c r="N281" s="49">
        <f>TDP!N290+'Dai Loc'!N290+'Khanh Nga'!N290+'Dong Lam'!N290+DTR!N290+DTRVL!N290</f>
        <v>0</v>
      </c>
      <c r="O281" s="49">
        <f>TDP!O290+'Dai Loc'!O290+'Khanh Nga'!O290+'Dong Lam'!O290+DTR!O290+DTRVL!O290</f>
        <v>0</v>
      </c>
      <c r="P281" s="49">
        <f>TDP!P290+'Dai Loc'!P290+'Khanh Nga'!P290+'Dong Lam'!P290+DTR!P290+DTRVL!P290</f>
        <v>0</v>
      </c>
      <c r="Q281" s="49">
        <f>TDP!Q290+'Dai Loc'!Q290+'Khanh Nga'!Q290+'Dong Lam'!Q290+DTR!Q290+DTRVL!Q290</f>
        <v>0</v>
      </c>
      <c r="R281" s="49">
        <f>TDP!R290+'Dai Loc'!R290+'Khanh Nga'!R290+'Dong Lam'!R290+DTR!R290+DTRVL!R290</f>
        <v>0</v>
      </c>
      <c r="S281" s="49">
        <f>TDP!S290+'Dai Loc'!S290+'Khanh Nga'!S290+'Dong Lam'!S290+DTR!S290+DTRVL!S290</f>
        <v>0</v>
      </c>
      <c r="T281" s="49">
        <f>TDP!T290+'Dai Loc'!T290+'Khanh Nga'!T290+'Dong Lam'!T290+DTR!T290+DTRVL!T290</f>
        <v>0</v>
      </c>
      <c r="U281" s="49">
        <f>TDP!U290+'Dai Loc'!U290+'Khanh Nga'!U290+'Dong Lam'!U290+DTR!U290+DTRVL!U290</f>
        <v>0</v>
      </c>
      <c r="V281" s="49">
        <f>TDP!V290+'Dai Loc'!V290+'Khanh Nga'!V290+'Dong Lam'!V290+DTR!V290+DTRVL!V290</f>
        <v>0</v>
      </c>
      <c r="W281" s="49">
        <f>TDP!W290+'Dai Loc'!W290+'Khanh Nga'!W290+'Dong Lam'!W290+DTR!W290+DTRVL!W290</f>
        <v>0</v>
      </c>
      <c r="X281" s="49">
        <f>TDP!X290+'Dai Loc'!X290+'Khanh Nga'!X290+'Dong Lam'!X290+DTR!X290+DTRVL!X290</f>
        <v>0</v>
      </c>
      <c r="Y281" s="49">
        <f>TDP!Y290+'Dai Loc'!Y290+'Khanh Nga'!Y290+'Dong Lam'!Y290+DTR!Y290+DTRVL!Y290</f>
        <v>0</v>
      </c>
      <c r="Z281" s="49">
        <f>TDP!Z290+'Dai Loc'!Z290+'Khanh Nga'!Z290+'Dong Lam'!Z290+DTR!Z290+DTRVL!Z290</f>
        <v>0</v>
      </c>
    </row>
    <row r="282" spans="1:26" ht="15" customHeight="1">
      <c r="A282" s="202" t="s">
        <v>350</v>
      </c>
    </row>
    <row r="283" spans="1:26" ht="15" customHeight="1">
      <c r="A283" s="200" t="str">
        <f>A274</f>
        <v>ACB</v>
      </c>
    </row>
    <row r="284" spans="1:26" ht="15" customHeight="1">
      <c r="A284" s="200" t="str">
        <f t="shared" ref="A284:A289" si="38">A275</f>
        <v>VietinBank</v>
      </c>
    </row>
    <row r="285" spans="1:26" ht="15" customHeight="1">
      <c r="A285" s="200" t="str">
        <f t="shared" si="38"/>
        <v>Vietcombank</v>
      </c>
    </row>
    <row r="286" spans="1:26" ht="15" customHeight="1">
      <c r="A286" s="200" t="str">
        <f t="shared" si="38"/>
        <v>BIDV</v>
      </c>
    </row>
    <row r="287" spans="1:26" ht="15" customHeight="1">
      <c r="A287" s="200" t="str">
        <f t="shared" si="38"/>
        <v>Standard Chartered</v>
      </c>
    </row>
    <row r="288" spans="1:26" ht="15" customHeight="1">
      <c r="A288" s="200" t="str">
        <f t="shared" si="38"/>
        <v>VILC</v>
      </c>
    </row>
    <row r="289" spans="1:26" ht="15" customHeight="1">
      <c r="A289" s="200" t="str">
        <f t="shared" si="38"/>
        <v>IVB</v>
      </c>
      <c r="X289" s="201"/>
    </row>
    <row r="290" spans="1:26" ht="15" customHeight="1">
      <c r="W290" s="201"/>
      <c r="X290" s="201"/>
    </row>
    <row r="291" spans="1:26" ht="15" customHeight="1" thickBot="1">
      <c r="A291" s="203" t="s">
        <v>351</v>
      </c>
      <c r="B291" s="204"/>
      <c r="C291" s="205">
        <f>C273+C255</f>
        <v>0</v>
      </c>
      <c r="D291" s="205">
        <f t="shared" ref="D291:Z291" si="39">D273+D255</f>
        <v>0</v>
      </c>
      <c r="E291" s="205">
        <f t="shared" si="39"/>
        <v>0</v>
      </c>
      <c r="F291" s="205">
        <f t="shared" si="39"/>
        <v>0</v>
      </c>
      <c r="G291" s="205">
        <f t="shared" si="39"/>
        <v>0</v>
      </c>
      <c r="H291" s="205">
        <f t="shared" si="39"/>
        <v>0</v>
      </c>
      <c r="I291" s="205">
        <f t="shared" si="39"/>
        <v>0</v>
      </c>
      <c r="J291" s="205">
        <f t="shared" si="39"/>
        <v>0</v>
      </c>
      <c r="K291" s="205">
        <f t="shared" si="39"/>
        <v>0</v>
      </c>
      <c r="L291" s="205">
        <f t="shared" si="39"/>
        <v>0</v>
      </c>
      <c r="M291" s="205">
        <f t="shared" si="39"/>
        <v>0</v>
      </c>
      <c r="N291" s="205">
        <f t="shared" si="39"/>
        <v>275528225930</v>
      </c>
      <c r="O291" s="205">
        <f t="shared" si="39"/>
        <v>243335896197</v>
      </c>
      <c r="P291" s="205">
        <f t="shared" si="39"/>
        <v>147774333446</v>
      </c>
      <c r="Q291" s="205">
        <f t="shared" si="39"/>
        <v>201328746871</v>
      </c>
      <c r="R291" s="205">
        <f t="shared" si="39"/>
        <v>275181662640</v>
      </c>
      <c r="S291" s="205">
        <f t="shared" si="39"/>
        <v>298671242130</v>
      </c>
      <c r="T291" s="205">
        <f t="shared" si="39"/>
        <v>315510470665</v>
      </c>
      <c r="U291" s="205">
        <f t="shared" si="39"/>
        <v>326622191004</v>
      </c>
      <c r="V291" s="205">
        <f t="shared" si="39"/>
        <v>369295754196</v>
      </c>
      <c r="W291" s="205">
        <f t="shared" si="39"/>
        <v>383243232428</v>
      </c>
      <c r="X291" s="205">
        <f t="shared" si="39"/>
        <v>331907950534</v>
      </c>
      <c r="Y291" s="205">
        <f t="shared" si="39"/>
        <v>324332077621</v>
      </c>
      <c r="Z291" s="205">
        <f t="shared" si="39"/>
        <v>312608233592</v>
      </c>
    </row>
    <row r="292" spans="1:26" ht="15" customHeight="1" thickTop="1">
      <c r="A292" s="200" t="str">
        <f t="shared" ref="A292:A297" si="40">A274</f>
        <v>ACB</v>
      </c>
      <c r="C292" s="201">
        <f t="shared" ref="C292:Z297" si="41">C256+C274</f>
        <v>0</v>
      </c>
      <c r="D292" s="201">
        <f t="shared" si="41"/>
        <v>0</v>
      </c>
      <c r="E292" s="201">
        <f t="shared" si="41"/>
        <v>0</v>
      </c>
      <c r="F292" s="201">
        <f t="shared" si="41"/>
        <v>0</v>
      </c>
      <c r="G292" s="201">
        <f t="shared" si="41"/>
        <v>0</v>
      </c>
      <c r="H292" s="201">
        <f t="shared" si="41"/>
        <v>0</v>
      </c>
      <c r="I292" s="201">
        <f t="shared" si="41"/>
        <v>0</v>
      </c>
      <c r="J292" s="201">
        <f t="shared" si="41"/>
        <v>0</v>
      </c>
      <c r="K292" s="201">
        <f t="shared" si="41"/>
        <v>0</v>
      </c>
      <c r="L292" s="201">
        <f t="shared" si="41"/>
        <v>0</v>
      </c>
      <c r="M292" s="201">
        <f t="shared" si="41"/>
        <v>0</v>
      </c>
      <c r="N292" s="201">
        <f t="shared" si="41"/>
        <v>151205528894</v>
      </c>
      <c r="O292" s="201">
        <f t="shared" si="41"/>
        <v>143996897502</v>
      </c>
      <c r="P292" s="201">
        <f t="shared" si="41"/>
        <v>97472837502</v>
      </c>
      <c r="Q292" s="201">
        <f t="shared" si="41"/>
        <v>127301837502</v>
      </c>
      <c r="R292" s="201">
        <f t="shared" si="41"/>
        <v>169122644110</v>
      </c>
      <c r="S292" s="201">
        <f t="shared" si="41"/>
        <v>163253584110</v>
      </c>
      <c r="T292" s="201">
        <f t="shared" si="41"/>
        <v>136691087058</v>
      </c>
      <c r="U292" s="201">
        <f t="shared" si="41"/>
        <v>127075042448</v>
      </c>
      <c r="V292" s="201">
        <f t="shared" si="41"/>
        <v>144218362390</v>
      </c>
      <c r="W292" s="201">
        <f t="shared" si="41"/>
        <v>132707999104</v>
      </c>
      <c r="X292" s="201">
        <f t="shared" si="41"/>
        <v>118539805712</v>
      </c>
      <c r="Y292" s="201">
        <f t="shared" si="41"/>
        <v>116737233712</v>
      </c>
      <c r="Z292" s="201">
        <f t="shared" si="41"/>
        <v>116114733712</v>
      </c>
    </row>
    <row r="293" spans="1:26" ht="15" customHeight="1">
      <c r="A293" s="200" t="str">
        <f t="shared" si="40"/>
        <v>VietinBank</v>
      </c>
      <c r="C293" s="201">
        <f t="shared" si="41"/>
        <v>0</v>
      </c>
      <c r="D293" s="201">
        <f t="shared" si="41"/>
        <v>0</v>
      </c>
      <c r="E293" s="201">
        <f t="shared" si="41"/>
        <v>0</v>
      </c>
      <c r="F293" s="201">
        <f t="shared" si="41"/>
        <v>0</v>
      </c>
      <c r="G293" s="201">
        <f t="shared" si="41"/>
        <v>0</v>
      </c>
      <c r="H293" s="201">
        <f t="shared" si="41"/>
        <v>0</v>
      </c>
      <c r="I293" s="201">
        <f t="shared" si="41"/>
        <v>0</v>
      </c>
      <c r="J293" s="201">
        <f t="shared" si="41"/>
        <v>0</v>
      </c>
      <c r="K293" s="201">
        <f t="shared" si="41"/>
        <v>0</v>
      </c>
      <c r="L293" s="201">
        <f t="shared" si="41"/>
        <v>0</v>
      </c>
      <c r="M293" s="201">
        <f t="shared" si="41"/>
        <v>0</v>
      </c>
      <c r="N293" s="201">
        <f t="shared" si="41"/>
        <v>59227549743</v>
      </c>
      <c r="O293" s="201">
        <f t="shared" si="41"/>
        <v>59227549743</v>
      </c>
      <c r="P293" s="201">
        <f t="shared" si="41"/>
        <v>10967824770</v>
      </c>
      <c r="Q293" s="201">
        <f t="shared" si="41"/>
        <v>35192821797</v>
      </c>
      <c r="R293" s="201">
        <f t="shared" si="41"/>
        <v>59696932940</v>
      </c>
      <c r="S293" s="201">
        <f t="shared" si="41"/>
        <v>74003145708</v>
      </c>
      <c r="T293" s="201">
        <f t="shared" si="41"/>
        <v>102247404832</v>
      </c>
      <c r="U293" s="201">
        <f t="shared" si="41"/>
        <v>105000758801</v>
      </c>
      <c r="V293" s="201">
        <f t="shared" si="41"/>
        <v>99898041677</v>
      </c>
      <c r="W293" s="201">
        <f t="shared" si="41"/>
        <v>81733065410</v>
      </c>
      <c r="X293" s="201">
        <f t="shared" si="41"/>
        <v>56829174444</v>
      </c>
      <c r="Y293" s="201">
        <f t="shared" si="41"/>
        <v>33922378367</v>
      </c>
      <c r="Z293" s="201">
        <f t="shared" si="41"/>
        <v>27583243491</v>
      </c>
    </row>
    <row r="294" spans="1:26" ht="15" customHeight="1">
      <c r="A294" s="200" t="str">
        <f t="shared" si="40"/>
        <v>Vietcombank</v>
      </c>
      <c r="C294" s="201">
        <f t="shared" si="41"/>
        <v>0</v>
      </c>
      <c r="D294" s="201">
        <f t="shared" si="41"/>
        <v>0</v>
      </c>
      <c r="E294" s="201">
        <f t="shared" si="41"/>
        <v>0</v>
      </c>
      <c r="F294" s="201">
        <f t="shared" si="41"/>
        <v>0</v>
      </c>
      <c r="G294" s="201">
        <f t="shared" si="41"/>
        <v>0</v>
      </c>
      <c r="H294" s="201">
        <f t="shared" si="41"/>
        <v>0</v>
      </c>
      <c r="I294" s="201">
        <f t="shared" si="41"/>
        <v>0</v>
      </c>
      <c r="J294" s="201">
        <f t="shared" si="41"/>
        <v>0</v>
      </c>
      <c r="K294" s="201">
        <f t="shared" si="41"/>
        <v>0</v>
      </c>
      <c r="L294" s="201">
        <f t="shared" si="41"/>
        <v>0</v>
      </c>
      <c r="M294" s="201">
        <f t="shared" si="41"/>
        <v>0</v>
      </c>
      <c r="N294" s="201">
        <f t="shared" si="41"/>
        <v>23767004508</v>
      </c>
      <c r="O294" s="201">
        <f t="shared" si="41"/>
        <v>13667004508</v>
      </c>
      <c r="P294" s="201">
        <f t="shared" si="41"/>
        <v>13667004508</v>
      </c>
      <c r="Q294" s="201">
        <f t="shared" si="41"/>
        <v>13667004508</v>
      </c>
      <c r="R294" s="201">
        <f t="shared" si="41"/>
        <v>21972780304</v>
      </c>
      <c r="S294" s="201">
        <f t="shared" si="41"/>
        <v>32049798323</v>
      </c>
      <c r="T294" s="201">
        <f t="shared" si="41"/>
        <v>39585571449</v>
      </c>
      <c r="U294" s="201">
        <f t="shared" si="41"/>
        <v>54125127716</v>
      </c>
      <c r="V294" s="201">
        <f t="shared" si="41"/>
        <v>80169222070</v>
      </c>
      <c r="W294" s="201">
        <f t="shared" si="41"/>
        <v>87240583973</v>
      </c>
      <c r="X294" s="201">
        <f t="shared" si="41"/>
        <v>64730980597</v>
      </c>
      <c r="Y294" s="201">
        <f t="shared" si="41"/>
        <v>55405837410</v>
      </c>
      <c r="Z294" s="201">
        <f t="shared" si="41"/>
        <v>51149160926</v>
      </c>
    </row>
    <row r="295" spans="1:26" ht="15" customHeight="1">
      <c r="A295" s="200" t="str">
        <f t="shared" si="40"/>
        <v>BIDV</v>
      </c>
      <c r="C295" s="201">
        <f t="shared" si="41"/>
        <v>0</v>
      </c>
      <c r="D295" s="201">
        <f t="shared" si="41"/>
        <v>0</v>
      </c>
      <c r="E295" s="201">
        <f t="shared" si="41"/>
        <v>0</v>
      </c>
      <c r="F295" s="201">
        <f t="shared" si="41"/>
        <v>0</v>
      </c>
      <c r="G295" s="201">
        <f t="shared" si="41"/>
        <v>0</v>
      </c>
      <c r="H295" s="201">
        <f t="shared" si="41"/>
        <v>0</v>
      </c>
      <c r="I295" s="201">
        <f t="shared" si="41"/>
        <v>0</v>
      </c>
      <c r="J295" s="201">
        <f t="shared" si="41"/>
        <v>0</v>
      </c>
      <c r="K295" s="201">
        <f t="shared" si="41"/>
        <v>0</v>
      </c>
      <c r="L295" s="201">
        <f t="shared" si="41"/>
        <v>0</v>
      </c>
      <c r="M295" s="201">
        <f t="shared" si="41"/>
        <v>0</v>
      </c>
      <c r="N295" s="201">
        <f t="shared" si="41"/>
        <v>14105920563</v>
      </c>
      <c r="O295" s="201">
        <f t="shared" si="41"/>
        <v>0</v>
      </c>
      <c r="P295" s="201">
        <f t="shared" si="41"/>
        <v>0</v>
      </c>
      <c r="Q295" s="201">
        <f t="shared" si="41"/>
        <v>278194176</v>
      </c>
      <c r="R295" s="201">
        <f t="shared" si="41"/>
        <v>278194176</v>
      </c>
      <c r="S295" s="201">
        <f t="shared" si="41"/>
        <v>6031380657</v>
      </c>
      <c r="T295" s="201">
        <f t="shared" si="41"/>
        <v>14430851772</v>
      </c>
      <c r="U295" s="201">
        <f t="shared" si="41"/>
        <v>18498731431</v>
      </c>
      <c r="V295" s="201">
        <f t="shared" si="41"/>
        <v>23865375229</v>
      </c>
      <c r="W295" s="201">
        <f t="shared" si="41"/>
        <v>56646971705</v>
      </c>
      <c r="X295" s="201">
        <f t="shared" si="41"/>
        <v>67671155323</v>
      </c>
      <c r="Y295" s="201">
        <f t="shared" si="41"/>
        <v>95052324284</v>
      </c>
      <c r="Z295" s="201">
        <f t="shared" si="41"/>
        <v>99872206577</v>
      </c>
    </row>
    <row r="296" spans="1:26" ht="15" customHeight="1">
      <c r="A296" s="200" t="str">
        <f t="shared" si="40"/>
        <v>Standard Chartered</v>
      </c>
      <c r="C296" s="201">
        <f t="shared" si="41"/>
        <v>0</v>
      </c>
      <c r="D296" s="201">
        <f t="shared" si="41"/>
        <v>0</v>
      </c>
      <c r="E296" s="201">
        <f t="shared" si="41"/>
        <v>0</v>
      </c>
      <c r="F296" s="201">
        <f t="shared" si="41"/>
        <v>0</v>
      </c>
      <c r="G296" s="201">
        <f t="shared" si="41"/>
        <v>0</v>
      </c>
      <c r="H296" s="201">
        <f t="shared" si="41"/>
        <v>0</v>
      </c>
      <c r="I296" s="201">
        <f t="shared" si="41"/>
        <v>0</v>
      </c>
      <c r="J296" s="201">
        <f t="shared" si="41"/>
        <v>0</v>
      </c>
      <c r="K296" s="201">
        <f t="shared" si="41"/>
        <v>0</v>
      </c>
      <c r="L296" s="201">
        <f t="shared" si="41"/>
        <v>0</v>
      </c>
      <c r="M296" s="201">
        <f t="shared" si="41"/>
        <v>0</v>
      </c>
      <c r="N296" s="201">
        <f t="shared" si="41"/>
        <v>0</v>
      </c>
      <c r="O296" s="201">
        <f t="shared" si="41"/>
        <v>0</v>
      </c>
      <c r="P296" s="201">
        <f t="shared" si="41"/>
        <v>0</v>
      </c>
      <c r="Q296" s="201">
        <f t="shared" si="41"/>
        <v>0</v>
      </c>
      <c r="R296" s="201">
        <f t="shared" si="41"/>
        <v>0</v>
      </c>
      <c r="S296" s="201">
        <f t="shared" si="41"/>
        <v>0</v>
      </c>
      <c r="T296" s="201">
        <f t="shared" si="41"/>
        <v>0</v>
      </c>
      <c r="U296" s="201">
        <f t="shared" si="41"/>
        <v>144752832</v>
      </c>
      <c r="V296" s="201">
        <f t="shared" si="41"/>
        <v>144752832</v>
      </c>
      <c r="W296" s="201">
        <f t="shared" si="41"/>
        <v>4692390016</v>
      </c>
      <c r="X296" s="201">
        <f t="shared" si="41"/>
        <v>4692390016</v>
      </c>
      <c r="Y296" s="201">
        <f t="shared" si="41"/>
        <v>4547637184</v>
      </c>
      <c r="Z296" s="201">
        <f t="shared" si="41"/>
        <v>0</v>
      </c>
    </row>
    <row r="297" spans="1:26" ht="15" customHeight="1">
      <c r="A297" s="200" t="str">
        <f t="shared" si="40"/>
        <v>VILC</v>
      </c>
      <c r="C297" s="201">
        <f t="shared" si="41"/>
        <v>0</v>
      </c>
      <c r="D297" s="201">
        <f t="shared" si="41"/>
        <v>0</v>
      </c>
      <c r="E297" s="201">
        <f t="shared" si="41"/>
        <v>0</v>
      </c>
      <c r="F297" s="201">
        <f t="shared" si="41"/>
        <v>0</v>
      </c>
      <c r="G297" s="201">
        <f t="shared" si="41"/>
        <v>0</v>
      </c>
      <c r="H297" s="201">
        <f t="shared" si="41"/>
        <v>0</v>
      </c>
      <c r="I297" s="201">
        <f t="shared" si="41"/>
        <v>0</v>
      </c>
      <c r="J297" s="201">
        <f t="shared" si="41"/>
        <v>0</v>
      </c>
      <c r="K297" s="201">
        <f t="shared" si="41"/>
        <v>0</v>
      </c>
      <c r="L297" s="201">
        <f t="shared" si="41"/>
        <v>0</v>
      </c>
      <c r="M297" s="201">
        <f t="shared" si="41"/>
        <v>0</v>
      </c>
      <c r="N297" s="201">
        <f t="shared" si="41"/>
        <v>27222222222</v>
      </c>
      <c r="O297" s="201">
        <f t="shared" si="41"/>
        <v>26444444444</v>
      </c>
      <c r="P297" s="201">
        <f t="shared" si="41"/>
        <v>25666666666</v>
      </c>
      <c r="Q297" s="201">
        <f t="shared" si="41"/>
        <v>24888888888</v>
      </c>
      <c r="R297" s="201">
        <f t="shared" si="41"/>
        <v>24111111110</v>
      </c>
      <c r="S297" s="201">
        <f t="shared" si="41"/>
        <v>23333333332</v>
      </c>
      <c r="T297" s="201">
        <f t="shared" si="41"/>
        <v>22555555554</v>
      </c>
      <c r="U297" s="201">
        <f t="shared" si="41"/>
        <v>21777777776</v>
      </c>
      <c r="V297" s="201">
        <f t="shared" si="41"/>
        <v>20999999998</v>
      </c>
      <c r="W297" s="201">
        <f t="shared" si="41"/>
        <v>20222222220</v>
      </c>
      <c r="X297" s="201">
        <f t="shared" si="41"/>
        <v>19444444442</v>
      </c>
      <c r="Y297" s="201">
        <f t="shared" si="41"/>
        <v>18666666664</v>
      </c>
      <c r="Z297" s="201">
        <f t="shared" si="41"/>
        <v>17888888886</v>
      </c>
    </row>
    <row r="298" spans="1:26" ht="15" customHeight="1">
      <c r="A298" s="200" t="s">
        <v>347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</row>
    <row r="299" spans="1:26" ht="15" customHeight="1">
      <c r="A299" s="200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</row>
    <row r="300" spans="1:26" ht="15" customHeight="1">
      <c r="A300" s="196" t="s">
        <v>352</v>
      </c>
      <c r="B300" s="20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spans="1:26" ht="15" customHeight="1">
      <c r="A301" s="200" t="str">
        <f t="shared" ref="A301:A306" si="42">A292</f>
        <v>ACB</v>
      </c>
      <c r="C301" s="207">
        <f>IFERROR(C292/C$291,0)</f>
        <v>0</v>
      </c>
      <c r="D301" s="207">
        <f t="shared" ref="D301:Z308" si="43">IFERROR(D292/D$291,0)</f>
        <v>0</v>
      </c>
      <c r="E301" s="207">
        <f t="shared" si="43"/>
        <v>0</v>
      </c>
      <c r="F301" s="207">
        <f t="shared" si="43"/>
        <v>0</v>
      </c>
      <c r="G301" s="207">
        <f t="shared" si="43"/>
        <v>0</v>
      </c>
      <c r="H301" s="207">
        <f t="shared" si="43"/>
        <v>0</v>
      </c>
      <c r="I301" s="207">
        <f t="shared" si="43"/>
        <v>0</v>
      </c>
      <c r="J301" s="207">
        <f t="shared" si="43"/>
        <v>0</v>
      </c>
      <c r="K301" s="207">
        <f t="shared" si="43"/>
        <v>0</v>
      </c>
      <c r="L301" s="207">
        <f t="shared" si="43"/>
        <v>0</v>
      </c>
      <c r="M301" s="207">
        <f t="shared" si="43"/>
        <v>0</v>
      </c>
      <c r="N301" s="207">
        <f t="shared" si="43"/>
        <v>0.54878417041894967</v>
      </c>
      <c r="O301" s="207">
        <f t="shared" si="43"/>
        <v>0.59176183930307968</v>
      </c>
      <c r="P301" s="207">
        <f t="shared" si="43"/>
        <v>0.65960600348516363</v>
      </c>
      <c r="Q301" s="207">
        <f t="shared" si="43"/>
        <v>0.6323082991400516</v>
      </c>
      <c r="R301" s="207">
        <f t="shared" si="43"/>
        <v>0.61458544325771725</v>
      </c>
      <c r="S301" s="207">
        <f t="shared" si="43"/>
        <v>0.54659960880646841</v>
      </c>
      <c r="T301" s="207">
        <f t="shared" si="43"/>
        <v>0.4332378788250571</v>
      </c>
      <c r="U301" s="207">
        <f t="shared" si="43"/>
        <v>0.38905820225314625</v>
      </c>
      <c r="V301" s="207">
        <f t="shared" si="43"/>
        <v>0.39052266578038575</v>
      </c>
      <c r="W301" s="207">
        <f t="shared" si="43"/>
        <v>0.34627617104479957</v>
      </c>
      <c r="X301" s="207">
        <f t="shared" si="43"/>
        <v>0.35714662912197104</v>
      </c>
      <c r="Y301" s="207">
        <f t="shared" si="43"/>
        <v>0.35993119943076962</v>
      </c>
      <c r="Z301" s="207">
        <f t="shared" si="43"/>
        <v>0.37143850108422577</v>
      </c>
    </row>
    <row r="302" spans="1:26" ht="15" customHeight="1">
      <c r="A302" s="200" t="str">
        <f t="shared" si="42"/>
        <v>VietinBank</v>
      </c>
      <c r="C302" s="207">
        <f t="shared" ref="C302:R308" si="44">IFERROR(C293/C$291,0)</f>
        <v>0</v>
      </c>
      <c r="D302" s="207">
        <f t="shared" si="44"/>
        <v>0</v>
      </c>
      <c r="E302" s="207">
        <f t="shared" si="44"/>
        <v>0</v>
      </c>
      <c r="F302" s="207">
        <f t="shared" si="44"/>
        <v>0</v>
      </c>
      <c r="G302" s="207">
        <f t="shared" si="44"/>
        <v>0</v>
      </c>
      <c r="H302" s="207">
        <f t="shared" si="44"/>
        <v>0</v>
      </c>
      <c r="I302" s="207">
        <f t="shared" si="44"/>
        <v>0</v>
      </c>
      <c r="J302" s="207">
        <f t="shared" si="44"/>
        <v>0</v>
      </c>
      <c r="K302" s="207">
        <f t="shared" si="44"/>
        <v>0</v>
      </c>
      <c r="L302" s="207">
        <f t="shared" si="44"/>
        <v>0</v>
      </c>
      <c r="M302" s="207">
        <f t="shared" si="44"/>
        <v>0</v>
      </c>
      <c r="N302" s="207">
        <f t="shared" si="44"/>
        <v>0.21496000833703041</v>
      </c>
      <c r="O302" s="207">
        <f t="shared" si="44"/>
        <v>0.24339832580660656</v>
      </c>
      <c r="P302" s="207">
        <f t="shared" si="44"/>
        <v>7.4220092990694389E-2</v>
      </c>
      <c r="Q302" s="207">
        <f t="shared" si="44"/>
        <v>0.17480276584421178</v>
      </c>
      <c r="R302" s="207">
        <f t="shared" si="44"/>
        <v>0.21693644978843349</v>
      </c>
      <c r="S302" s="207">
        <f t="shared" si="43"/>
        <v>0.2477745938318002</v>
      </c>
      <c r="T302" s="207">
        <f t="shared" si="43"/>
        <v>0.3240697673725173</v>
      </c>
      <c r="U302" s="207">
        <f t="shared" si="43"/>
        <v>0.32147466306021472</v>
      </c>
      <c r="V302" s="207">
        <f t="shared" si="43"/>
        <v>0.27050958626505117</v>
      </c>
      <c r="W302" s="207">
        <f t="shared" si="43"/>
        <v>0.21326681985272947</v>
      </c>
      <c r="X302" s="207">
        <f t="shared" si="43"/>
        <v>0.17121968410991267</v>
      </c>
      <c r="Y302" s="207">
        <f t="shared" si="43"/>
        <v>0.10459149960072768</v>
      </c>
      <c r="Z302" s="207">
        <f t="shared" si="43"/>
        <v>8.8235818916401976E-2</v>
      </c>
    </row>
    <row r="303" spans="1:26" ht="15" customHeight="1">
      <c r="A303" s="200" t="str">
        <f t="shared" si="42"/>
        <v>Vietcombank</v>
      </c>
      <c r="C303" s="207">
        <f t="shared" si="44"/>
        <v>0</v>
      </c>
      <c r="D303" s="207">
        <f t="shared" si="43"/>
        <v>0</v>
      </c>
      <c r="E303" s="207">
        <f t="shared" si="43"/>
        <v>0</v>
      </c>
      <c r="F303" s="207">
        <f t="shared" si="43"/>
        <v>0</v>
      </c>
      <c r="G303" s="207">
        <f t="shared" si="43"/>
        <v>0</v>
      </c>
      <c r="H303" s="207">
        <f t="shared" si="43"/>
        <v>0</v>
      </c>
      <c r="I303" s="207">
        <f t="shared" si="43"/>
        <v>0</v>
      </c>
      <c r="J303" s="207">
        <f t="shared" si="43"/>
        <v>0</v>
      </c>
      <c r="K303" s="207">
        <f t="shared" si="43"/>
        <v>0</v>
      </c>
      <c r="L303" s="207">
        <f t="shared" si="43"/>
        <v>0</v>
      </c>
      <c r="M303" s="207">
        <f t="shared" si="43"/>
        <v>0</v>
      </c>
      <c r="N303" s="207">
        <f t="shared" si="43"/>
        <v>8.6259781290205034E-2</v>
      </c>
      <c r="O303" s="207">
        <f t="shared" si="43"/>
        <v>5.6165180401232126E-2</v>
      </c>
      <c r="P303" s="207">
        <f t="shared" si="43"/>
        <v>9.2485644761809899E-2</v>
      </c>
      <c r="Q303" s="207">
        <f t="shared" si="43"/>
        <v>6.7884019149818869E-2</v>
      </c>
      <c r="R303" s="207">
        <f t="shared" si="43"/>
        <v>7.9848272203898188E-2</v>
      </c>
      <c r="S303" s="207">
        <f t="shared" si="43"/>
        <v>0.10730794868107846</v>
      </c>
      <c r="T303" s="207">
        <f t="shared" si="43"/>
        <v>0.12546515925625437</v>
      </c>
      <c r="U303" s="207">
        <f t="shared" si="43"/>
        <v>0.16571172812730642</v>
      </c>
      <c r="V303" s="207">
        <f t="shared" si="43"/>
        <v>0.21708676896255621</v>
      </c>
      <c r="W303" s="207">
        <f t="shared" si="43"/>
        <v>0.22763763738317261</v>
      </c>
      <c r="X303" s="207">
        <f t="shared" si="43"/>
        <v>0.19502690578172543</v>
      </c>
      <c r="Y303" s="207">
        <f t="shared" si="43"/>
        <v>0.17083058147194677</v>
      </c>
      <c r="Z303" s="207">
        <f t="shared" si="43"/>
        <v>0.16362064536264653</v>
      </c>
    </row>
    <row r="304" spans="1:26" ht="15" customHeight="1">
      <c r="A304" s="200" t="str">
        <f t="shared" si="42"/>
        <v>BIDV</v>
      </c>
      <c r="C304" s="207">
        <f t="shared" si="44"/>
        <v>0</v>
      </c>
      <c r="D304" s="207">
        <f t="shared" si="43"/>
        <v>0</v>
      </c>
      <c r="E304" s="207">
        <f t="shared" si="43"/>
        <v>0</v>
      </c>
      <c r="F304" s="207">
        <f t="shared" si="43"/>
        <v>0</v>
      </c>
      <c r="G304" s="207">
        <f t="shared" si="43"/>
        <v>0</v>
      </c>
      <c r="H304" s="207">
        <f t="shared" si="43"/>
        <v>0</v>
      </c>
      <c r="I304" s="207">
        <f t="shared" si="43"/>
        <v>0</v>
      </c>
      <c r="J304" s="207">
        <f t="shared" si="43"/>
        <v>0</v>
      </c>
      <c r="K304" s="207">
        <f t="shared" si="43"/>
        <v>0</v>
      </c>
      <c r="L304" s="207">
        <f t="shared" si="43"/>
        <v>0</v>
      </c>
      <c r="M304" s="207">
        <f t="shared" si="43"/>
        <v>0</v>
      </c>
      <c r="N304" s="207">
        <f t="shared" si="43"/>
        <v>5.1195918368754402E-2</v>
      </c>
      <c r="O304" s="207">
        <f t="shared" si="43"/>
        <v>0</v>
      </c>
      <c r="P304" s="207">
        <f t="shared" si="43"/>
        <v>0</v>
      </c>
      <c r="Q304" s="207">
        <f t="shared" si="43"/>
        <v>1.3817906301192596E-3</v>
      </c>
      <c r="R304" s="207">
        <f t="shared" si="43"/>
        <v>1.0109473623027747E-3</v>
      </c>
      <c r="S304" s="207">
        <f t="shared" si="43"/>
        <v>2.0194045513008494E-2</v>
      </c>
      <c r="T304" s="207">
        <f t="shared" si="43"/>
        <v>4.5738107333123237E-2</v>
      </c>
      <c r="U304" s="207">
        <f t="shared" si="43"/>
        <v>5.6636480742894332E-2</v>
      </c>
      <c r="V304" s="207">
        <f t="shared" si="43"/>
        <v>6.4624017356922261E-2</v>
      </c>
      <c r="W304" s="207">
        <f t="shared" si="43"/>
        <v>0.14780945079217356</v>
      </c>
      <c r="X304" s="207">
        <f t="shared" si="43"/>
        <v>0.20388530980991942</v>
      </c>
      <c r="Y304" s="207">
        <f t="shared" si="43"/>
        <v>0.2930709937210525</v>
      </c>
      <c r="Z304" s="207">
        <f t="shared" si="43"/>
        <v>0.31948040980695347</v>
      </c>
    </row>
    <row r="305" spans="1:26" ht="15" customHeight="1">
      <c r="A305" s="200" t="str">
        <f t="shared" si="42"/>
        <v>Standard Chartered</v>
      </c>
      <c r="C305" s="207">
        <f t="shared" si="44"/>
        <v>0</v>
      </c>
      <c r="D305" s="207">
        <f t="shared" si="43"/>
        <v>0</v>
      </c>
      <c r="E305" s="207">
        <f t="shared" si="43"/>
        <v>0</v>
      </c>
      <c r="F305" s="207">
        <f t="shared" si="43"/>
        <v>0</v>
      </c>
      <c r="G305" s="207">
        <f t="shared" si="43"/>
        <v>0</v>
      </c>
      <c r="H305" s="207">
        <f t="shared" si="43"/>
        <v>0</v>
      </c>
      <c r="I305" s="207">
        <f t="shared" si="43"/>
        <v>0</v>
      </c>
      <c r="J305" s="207">
        <f t="shared" si="43"/>
        <v>0</v>
      </c>
      <c r="K305" s="207">
        <f t="shared" si="43"/>
        <v>0</v>
      </c>
      <c r="L305" s="207">
        <f t="shared" si="43"/>
        <v>0</v>
      </c>
      <c r="M305" s="207">
        <f t="shared" si="43"/>
        <v>0</v>
      </c>
      <c r="N305" s="207">
        <f t="shared" si="43"/>
        <v>0</v>
      </c>
      <c r="O305" s="207">
        <f t="shared" si="43"/>
        <v>0</v>
      </c>
      <c r="P305" s="207">
        <f t="shared" si="43"/>
        <v>0</v>
      </c>
      <c r="Q305" s="207">
        <f t="shared" si="43"/>
        <v>0</v>
      </c>
      <c r="R305" s="207">
        <f t="shared" si="43"/>
        <v>0</v>
      </c>
      <c r="S305" s="207">
        <f t="shared" si="43"/>
        <v>0</v>
      </c>
      <c r="T305" s="207">
        <f t="shared" si="43"/>
        <v>0</v>
      </c>
      <c r="U305" s="207">
        <f t="shared" si="43"/>
        <v>4.4318125340793907E-4</v>
      </c>
      <c r="V305" s="207">
        <f t="shared" si="43"/>
        <v>3.9196993292041452E-4</v>
      </c>
      <c r="W305" s="207">
        <f t="shared" si="43"/>
        <v>1.2243895309701418E-2</v>
      </c>
      <c r="X305" s="207">
        <f t="shared" si="43"/>
        <v>1.4137624628908432E-2</v>
      </c>
      <c r="Y305" s="207">
        <f t="shared" si="43"/>
        <v>1.4021546118278704E-2</v>
      </c>
      <c r="Z305" s="207">
        <f t="shared" si="43"/>
        <v>0</v>
      </c>
    </row>
    <row r="306" spans="1:26" ht="15" customHeight="1">
      <c r="A306" s="200" t="str">
        <f t="shared" si="42"/>
        <v>VILC</v>
      </c>
      <c r="C306" s="207">
        <f t="shared" si="44"/>
        <v>0</v>
      </c>
      <c r="D306" s="207">
        <f t="shared" si="43"/>
        <v>0</v>
      </c>
      <c r="E306" s="207">
        <f t="shared" si="43"/>
        <v>0</v>
      </c>
      <c r="F306" s="207">
        <f t="shared" si="43"/>
        <v>0</v>
      </c>
      <c r="G306" s="207">
        <f t="shared" si="43"/>
        <v>0</v>
      </c>
      <c r="H306" s="207">
        <f t="shared" si="43"/>
        <v>0</v>
      </c>
      <c r="I306" s="207">
        <f t="shared" si="43"/>
        <v>0</v>
      </c>
      <c r="J306" s="207">
        <f t="shared" si="43"/>
        <v>0</v>
      </c>
      <c r="K306" s="207">
        <f t="shared" si="43"/>
        <v>0</v>
      </c>
      <c r="L306" s="207">
        <f t="shared" si="43"/>
        <v>0</v>
      </c>
      <c r="M306" s="207">
        <f t="shared" si="43"/>
        <v>0</v>
      </c>
      <c r="N306" s="207">
        <f t="shared" si="43"/>
        <v>9.8800121585060435E-2</v>
      </c>
      <c r="O306" s="207">
        <f t="shared" si="43"/>
        <v>0.1086746544890816</v>
      </c>
      <c r="P306" s="207">
        <f t="shared" si="43"/>
        <v>0.17368825876233213</v>
      </c>
      <c r="Q306" s="207">
        <f t="shared" si="43"/>
        <v>0.12362312523579846</v>
      </c>
      <c r="R306" s="207">
        <f t="shared" si="43"/>
        <v>8.761888738764835E-2</v>
      </c>
      <c r="S306" s="207">
        <f t="shared" si="43"/>
        <v>7.8123803167644459E-2</v>
      </c>
      <c r="T306" s="207">
        <f t="shared" si="43"/>
        <v>7.1489087213047975E-2</v>
      </c>
      <c r="U306" s="207">
        <f t="shared" si="43"/>
        <v>6.6675744563030312E-2</v>
      </c>
      <c r="V306" s="207">
        <f t="shared" si="43"/>
        <v>5.6864991702164171E-2</v>
      </c>
      <c r="W306" s="207">
        <f t="shared" si="43"/>
        <v>5.2766025617423405E-2</v>
      </c>
      <c r="X306" s="207">
        <f t="shared" si="43"/>
        <v>5.8583846547563038E-2</v>
      </c>
      <c r="Y306" s="207">
        <f t="shared" si="43"/>
        <v>5.7554179657224758E-2</v>
      </c>
      <c r="Z306" s="207">
        <f t="shared" si="43"/>
        <v>5.7224624829772232E-2</v>
      </c>
    </row>
    <row r="307" spans="1:26" ht="15" customHeight="1">
      <c r="A307" s="200" t="s">
        <v>347</v>
      </c>
      <c r="C307" s="207">
        <f t="shared" si="44"/>
        <v>0</v>
      </c>
      <c r="D307" s="207">
        <f t="shared" si="43"/>
        <v>0</v>
      </c>
      <c r="E307" s="207">
        <f t="shared" si="43"/>
        <v>0</v>
      </c>
      <c r="F307" s="207">
        <f t="shared" si="43"/>
        <v>0</v>
      </c>
      <c r="G307" s="207">
        <f t="shared" si="43"/>
        <v>0</v>
      </c>
      <c r="H307" s="207">
        <f t="shared" si="43"/>
        <v>0</v>
      </c>
      <c r="I307" s="207">
        <f t="shared" si="43"/>
        <v>0</v>
      </c>
      <c r="J307" s="207">
        <f t="shared" si="43"/>
        <v>0</v>
      </c>
      <c r="K307" s="207">
        <f t="shared" si="43"/>
        <v>0</v>
      </c>
      <c r="L307" s="207">
        <f t="shared" si="43"/>
        <v>0</v>
      </c>
      <c r="M307" s="207">
        <f t="shared" si="43"/>
        <v>0</v>
      </c>
      <c r="N307" s="207">
        <f t="shared" si="43"/>
        <v>0</v>
      </c>
      <c r="O307" s="207">
        <f t="shared" si="43"/>
        <v>0</v>
      </c>
      <c r="P307" s="207">
        <f t="shared" si="43"/>
        <v>0</v>
      </c>
      <c r="Q307" s="207">
        <f t="shared" si="43"/>
        <v>0</v>
      </c>
      <c r="R307" s="207">
        <f t="shared" si="43"/>
        <v>0</v>
      </c>
      <c r="S307" s="207">
        <f t="shared" si="43"/>
        <v>0</v>
      </c>
      <c r="T307" s="207">
        <f t="shared" si="43"/>
        <v>0</v>
      </c>
      <c r="U307" s="207">
        <f t="shared" si="43"/>
        <v>0</v>
      </c>
      <c r="V307" s="207">
        <f t="shared" si="43"/>
        <v>0</v>
      </c>
      <c r="W307" s="207">
        <f t="shared" si="43"/>
        <v>0</v>
      </c>
      <c r="X307" s="207">
        <f t="shared" si="43"/>
        <v>0</v>
      </c>
      <c r="Y307" s="207">
        <f t="shared" si="43"/>
        <v>0</v>
      </c>
      <c r="Z307" s="207">
        <f t="shared" si="43"/>
        <v>0</v>
      </c>
    </row>
    <row r="308" spans="1:26" ht="15" customHeight="1">
      <c r="C308" s="49">
        <f t="shared" si="44"/>
        <v>0</v>
      </c>
      <c r="D308" s="49">
        <f t="shared" si="43"/>
        <v>0</v>
      </c>
      <c r="E308" s="49">
        <f t="shared" si="43"/>
        <v>0</v>
      </c>
      <c r="F308" s="49">
        <f t="shared" si="43"/>
        <v>0</v>
      </c>
      <c r="G308" s="49">
        <f t="shared" si="43"/>
        <v>0</v>
      </c>
      <c r="H308" s="49">
        <f t="shared" si="43"/>
        <v>0</v>
      </c>
      <c r="I308" s="49">
        <f t="shared" si="43"/>
        <v>0</v>
      </c>
      <c r="J308" s="49">
        <f t="shared" si="43"/>
        <v>0</v>
      </c>
      <c r="K308" s="49">
        <f t="shared" si="43"/>
        <v>0</v>
      </c>
      <c r="L308" s="49">
        <f t="shared" si="43"/>
        <v>0</v>
      </c>
      <c r="M308" s="49">
        <f t="shared" si="43"/>
        <v>0</v>
      </c>
      <c r="N308" s="49">
        <f t="shared" si="43"/>
        <v>0</v>
      </c>
      <c r="O308" s="49">
        <f t="shared" si="43"/>
        <v>0</v>
      </c>
      <c r="P308" s="49">
        <f t="shared" si="43"/>
        <v>0</v>
      </c>
      <c r="Q308" s="49">
        <f t="shared" si="43"/>
        <v>0</v>
      </c>
      <c r="R308" s="49">
        <f t="shared" si="43"/>
        <v>0</v>
      </c>
      <c r="S308" s="49">
        <f t="shared" si="43"/>
        <v>0</v>
      </c>
      <c r="T308" s="49">
        <f t="shared" si="43"/>
        <v>0</v>
      </c>
      <c r="U308" s="49">
        <f t="shared" si="43"/>
        <v>0</v>
      </c>
      <c r="V308" s="49">
        <f t="shared" si="43"/>
        <v>0</v>
      </c>
      <c r="W308" s="49">
        <f t="shared" si="43"/>
        <v>0</v>
      </c>
      <c r="X308" s="49">
        <f t="shared" si="43"/>
        <v>0</v>
      </c>
      <c r="Y308" s="49">
        <f t="shared" si="43"/>
        <v>0</v>
      </c>
      <c r="Z308" s="49">
        <f t="shared" si="43"/>
        <v>0</v>
      </c>
    </row>
    <row r="309" spans="1:26" ht="15" customHeight="1">
      <c r="A309" s="196" t="s">
        <v>353</v>
      </c>
      <c r="B309" s="206"/>
      <c r="C309" s="199">
        <f>SUM(C310:C316)</f>
        <v>0</v>
      </c>
      <c r="D309" s="199">
        <f t="shared" ref="D309:Z309" si="45">SUM(D310:D316)</f>
        <v>0</v>
      </c>
      <c r="E309" s="199">
        <f t="shared" si="45"/>
        <v>0</v>
      </c>
      <c r="F309" s="199">
        <f t="shared" si="45"/>
        <v>0</v>
      </c>
      <c r="G309" s="199">
        <f t="shared" si="45"/>
        <v>0</v>
      </c>
      <c r="H309" s="199">
        <f t="shared" si="45"/>
        <v>0</v>
      </c>
      <c r="I309" s="199">
        <f t="shared" si="45"/>
        <v>0</v>
      </c>
      <c r="J309" s="199">
        <f t="shared" si="45"/>
        <v>0</v>
      </c>
      <c r="K309" s="199">
        <f t="shared" si="45"/>
        <v>0</v>
      </c>
      <c r="L309" s="199">
        <f t="shared" si="45"/>
        <v>0</v>
      </c>
      <c r="M309" s="199">
        <f t="shared" si="45"/>
        <v>0</v>
      </c>
      <c r="N309" s="199">
        <f t="shared" si="45"/>
        <v>275528225930</v>
      </c>
      <c r="O309" s="199">
        <f t="shared" si="45"/>
        <v>243335896197</v>
      </c>
      <c r="P309" s="199">
        <f t="shared" si="45"/>
        <v>147774333446</v>
      </c>
      <c r="Q309" s="199">
        <f t="shared" si="45"/>
        <v>201328746871</v>
      </c>
      <c r="R309" s="199">
        <f t="shared" si="45"/>
        <v>275181662640</v>
      </c>
      <c r="S309" s="199">
        <f t="shared" si="45"/>
        <v>298671242130</v>
      </c>
      <c r="T309" s="199">
        <f t="shared" si="45"/>
        <v>315510470665</v>
      </c>
      <c r="U309" s="199">
        <f t="shared" si="45"/>
        <v>326622191004</v>
      </c>
      <c r="V309" s="199">
        <f t="shared" si="45"/>
        <v>369295754196</v>
      </c>
      <c r="W309" s="199">
        <f t="shared" si="45"/>
        <v>383243232428</v>
      </c>
      <c r="X309" s="199">
        <f t="shared" si="45"/>
        <v>331907950534</v>
      </c>
      <c r="Y309" s="199">
        <f t="shared" si="45"/>
        <v>324332077621</v>
      </c>
      <c r="Z309" s="199">
        <f t="shared" si="45"/>
        <v>312608233592</v>
      </c>
    </row>
    <row r="310" spans="1:26" ht="15" customHeight="1">
      <c r="A310" s="200" t="s">
        <v>354</v>
      </c>
      <c r="C310" s="201">
        <f>'Dai Loc'!C300</f>
        <v>0</v>
      </c>
      <c r="D310" s="201">
        <f>'Dai Loc'!D300</f>
        <v>0</v>
      </c>
      <c r="E310" s="201">
        <f>'Dai Loc'!E300</f>
        <v>0</v>
      </c>
      <c r="F310" s="201">
        <f>'Dai Loc'!F300</f>
        <v>0</v>
      </c>
      <c r="G310" s="201">
        <f>'Dai Loc'!G300</f>
        <v>0</v>
      </c>
      <c r="H310" s="201">
        <f>'Dai Loc'!H300</f>
        <v>0</v>
      </c>
      <c r="I310" s="201">
        <f>'Dai Loc'!I300</f>
        <v>0</v>
      </c>
      <c r="J310" s="201">
        <f>'Dai Loc'!J300</f>
        <v>0</v>
      </c>
      <c r="K310" s="201">
        <f>'Dai Loc'!K300</f>
        <v>0</v>
      </c>
      <c r="L310" s="201">
        <f>'Dai Loc'!L300</f>
        <v>0</v>
      </c>
      <c r="M310" s="201">
        <f>'Dai Loc'!M300</f>
        <v>0</v>
      </c>
      <c r="N310" s="201">
        <f>'Dai Loc'!N300</f>
        <v>0</v>
      </c>
      <c r="O310" s="201">
        <f>'Dai Loc'!O300</f>
        <v>0</v>
      </c>
      <c r="P310" s="201">
        <f>'Dai Loc'!P300</f>
        <v>0</v>
      </c>
      <c r="Q310" s="201">
        <f>'Dai Loc'!Q300</f>
        <v>0</v>
      </c>
      <c r="R310" s="201">
        <f>'Dai Loc'!R300</f>
        <v>0</v>
      </c>
      <c r="S310" s="201">
        <f>'Dai Loc'!S300</f>
        <v>0</v>
      </c>
      <c r="T310" s="201">
        <f>'Dai Loc'!T300</f>
        <v>0</v>
      </c>
      <c r="U310" s="201">
        <f>'Dai Loc'!U300</f>
        <v>0</v>
      </c>
      <c r="V310" s="201">
        <f>'Dai Loc'!V300</f>
        <v>0</v>
      </c>
      <c r="W310" s="201">
        <f>'Dai Loc'!W300</f>
        <v>0</v>
      </c>
      <c r="X310" s="201">
        <f>'Dai Loc'!X300</f>
        <v>0</v>
      </c>
      <c r="Y310" s="201">
        <f>'Dai Loc'!Y300</f>
        <v>0</v>
      </c>
      <c r="Z310" s="201">
        <f>'Dai Loc'!Z300</f>
        <v>0</v>
      </c>
    </row>
    <row r="311" spans="1:26" ht="15" customHeight="1">
      <c r="A311" s="200" t="s">
        <v>355</v>
      </c>
      <c r="C311" s="201">
        <f>DTR!C300</f>
        <v>0</v>
      </c>
      <c r="D311" s="201">
        <f>DTR!D300</f>
        <v>0</v>
      </c>
      <c r="E311" s="201">
        <f>DTR!E300</f>
        <v>0</v>
      </c>
      <c r="F311" s="201">
        <f>DTR!F300</f>
        <v>0</v>
      </c>
      <c r="G311" s="201">
        <f>DTR!G300</f>
        <v>0</v>
      </c>
      <c r="H311" s="201">
        <f>DTR!H300</f>
        <v>0</v>
      </c>
      <c r="I311" s="201">
        <f>DTR!I300</f>
        <v>0</v>
      </c>
      <c r="J311" s="201">
        <f>DTR!J300</f>
        <v>0</v>
      </c>
      <c r="K311" s="201">
        <f>DTR!K300</f>
        <v>0</v>
      </c>
      <c r="L311" s="201">
        <f>DTR!L300</f>
        <v>0</v>
      </c>
      <c r="M311" s="201">
        <f>DTR!M300</f>
        <v>0</v>
      </c>
      <c r="N311" s="201">
        <f>DTR!N300</f>
        <v>275528225930</v>
      </c>
      <c r="O311" s="201">
        <f>DTR!O300</f>
        <v>243335896197</v>
      </c>
      <c r="P311" s="201">
        <f>DTR!P300</f>
        <v>147774333446</v>
      </c>
      <c r="Q311" s="201">
        <f>DTR!Q300</f>
        <v>201328746871</v>
      </c>
      <c r="R311" s="201">
        <f>DTR!R300</f>
        <v>275181662640</v>
      </c>
      <c r="S311" s="201">
        <f>DTR!S300</f>
        <v>298671242130</v>
      </c>
      <c r="T311" s="201">
        <f>DTR!T300</f>
        <v>315510470665</v>
      </c>
      <c r="U311" s="201">
        <f>DTR!U300</f>
        <v>326622191004</v>
      </c>
      <c r="V311" s="201">
        <f>DTR!V300</f>
        <v>369295754196</v>
      </c>
      <c r="W311" s="201">
        <f>DTR!W300</f>
        <v>383243232428</v>
      </c>
      <c r="X311" s="201">
        <f>DTR!X300</f>
        <v>331907950534</v>
      </c>
      <c r="Y311" s="201">
        <f>DTR!Y300</f>
        <v>324332077621</v>
      </c>
      <c r="Z311" s="201">
        <f>DTR!Z300</f>
        <v>312608233592</v>
      </c>
    </row>
    <row r="312" spans="1:26" ht="15" customHeight="1">
      <c r="A312" s="200" t="s">
        <v>356</v>
      </c>
      <c r="C312" s="201">
        <f>DTRVL!C300</f>
        <v>0</v>
      </c>
      <c r="D312" s="201">
        <f>DTRVL!D300</f>
        <v>0</v>
      </c>
      <c r="E312" s="201">
        <f>DTRVL!E300</f>
        <v>0</v>
      </c>
      <c r="F312" s="201">
        <f>DTRVL!F300</f>
        <v>0</v>
      </c>
      <c r="G312" s="201">
        <f>DTRVL!G300</f>
        <v>0</v>
      </c>
      <c r="H312" s="201">
        <f>DTRVL!H300</f>
        <v>0</v>
      </c>
      <c r="I312" s="201">
        <f>DTRVL!I300</f>
        <v>0</v>
      </c>
      <c r="J312" s="201">
        <f>DTRVL!J300</f>
        <v>0</v>
      </c>
      <c r="K312" s="201">
        <f>DTRVL!K300</f>
        <v>0</v>
      </c>
      <c r="L312" s="201">
        <f>DTRVL!L300</f>
        <v>0</v>
      </c>
      <c r="M312" s="201">
        <f>DTRVL!M300</f>
        <v>0</v>
      </c>
      <c r="N312" s="201">
        <f>DTRVL!N300</f>
        <v>0</v>
      </c>
      <c r="O312" s="201">
        <f>DTRVL!O300</f>
        <v>0</v>
      </c>
      <c r="P312" s="201">
        <f>DTRVL!P300</f>
        <v>0</v>
      </c>
      <c r="Q312" s="201">
        <f>DTRVL!Q300</f>
        <v>0</v>
      </c>
      <c r="R312" s="201">
        <f>DTRVL!R300</f>
        <v>0</v>
      </c>
      <c r="S312" s="201">
        <f>DTRVL!S300</f>
        <v>0</v>
      </c>
      <c r="T312" s="201">
        <f>DTRVL!T300</f>
        <v>0</v>
      </c>
      <c r="U312" s="201">
        <f>DTRVL!U300</f>
        <v>0</v>
      </c>
      <c r="V312" s="201">
        <f>DTRVL!V300</f>
        <v>0</v>
      </c>
      <c r="W312" s="201">
        <f>DTRVL!W300</f>
        <v>0</v>
      </c>
      <c r="X312" s="201">
        <f>DTRVL!X300</f>
        <v>0</v>
      </c>
      <c r="Y312" s="201">
        <f>DTRVL!Y300</f>
        <v>0</v>
      </c>
      <c r="Z312" s="201">
        <f>DTRVL!Z300</f>
        <v>0</v>
      </c>
    </row>
    <row r="313" spans="1:26" ht="15" customHeight="1">
      <c r="A313" s="200" t="s">
        <v>357</v>
      </c>
      <c r="C313" s="201">
        <f>TDP!C300</f>
        <v>0</v>
      </c>
      <c r="D313" s="201">
        <f>TDP!D300</f>
        <v>0</v>
      </c>
      <c r="E313" s="201">
        <f>TDP!E300</f>
        <v>0</v>
      </c>
      <c r="F313" s="201">
        <f>TDP!F300</f>
        <v>0</v>
      </c>
      <c r="G313" s="201">
        <f>TDP!G300</f>
        <v>0</v>
      </c>
      <c r="H313" s="201">
        <f>TDP!H300</f>
        <v>0</v>
      </c>
      <c r="I313" s="201">
        <f>TDP!I300</f>
        <v>0</v>
      </c>
      <c r="J313" s="201">
        <f>TDP!J300</f>
        <v>0</v>
      </c>
      <c r="K313" s="201">
        <f>TDP!K300</f>
        <v>0</v>
      </c>
      <c r="L313" s="201">
        <f>TDP!L300</f>
        <v>0</v>
      </c>
      <c r="M313" s="201">
        <f>TDP!M300</f>
        <v>0</v>
      </c>
      <c r="N313" s="201">
        <f>TDP!N300</f>
        <v>0</v>
      </c>
      <c r="O313" s="201">
        <f>TDP!O300</f>
        <v>0</v>
      </c>
      <c r="P313" s="201">
        <f>TDP!P300</f>
        <v>0</v>
      </c>
      <c r="Q313" s="201">
        <f>TDP!Q300</f>
        <v>0</v>
      </c>
      <c r="R313" s="201">
        <f>TDP!R300</f>
        <v>0</v>
      </c>
      <c r="S313" s="201">
        <f>TDP!S300</f>
        <v>0</v>
      </c>
      <c r="T313" s="201">
        <f>TDP!T300</f>
        <v>0</v>
      </c>
      <c r="U313" s="201">
        <f>TDP!U300</f>
        <v>0</v>
      </c>
      <c r="V313" s="201">
        <f>TDP!V300</f>
        <v>0</v>
      </c>
      <c r="W313" s="201">
        <f>TDP!W300</f>
        <v>0</v>
      </c>
      <c r="X313" s="201">
        <f>TDP!X300</f>
        <v>0</v>
      </c>
      <c r="Y313" s="201">
        <f>TDP!Y300</f>
        <v>0</v>
      </c>
      <c r="Z313" s="201">
        <f>TDP!Z300</f>
        <v>0</v>
      </c>
    </row>
    <row r="314" spans="1:26" ht="15" customHeight="1">
      <c r="A314" s="200" t="s">
        <v>358</v>
      </c>
      <c r="C314" s="201">
        <f>'Khanh Nga'!C300</f>
        <v>0</v>
      </c>
      <c r="D314" s="201">
        <f>'Khanh Nga'!D300</f>
        <v>0</v>
      </c>
      <c r="E314" s="201">
        <f>'Khanh Nga'!E300</f>
        <v>0</v>
      </c>
      <c r="F314" s="201">
        <f>'Khanh Nga'!F300</f>
        <v>0</v>
      </c>
      <c r="G314" s="201">
        <f>'Khanh Nga'!G300</f>
        <v>0</v>
      </c>
      <c r="H314" s="201">
        <f>'Khanh Nga'!H300</f>
        <v>0</v>
      </c>
      <c r="I314" s="201">
        <f>'Khanh Nga'!I300</f>
        <v>0</v>
      </c>
      <c r="J314" s="201">
        <f>'Khanh Nga'!J300</f>
        <v>0</v>
      </c>
      <c r="K314" s="201">
        <f>'Khanh Nga'!K300</f>
        <v>0</v>
      </c>
      <c r="L314" s="201">
        <f>'Khanh Nga'!L300</f>
        <v>0</v>
      </c>
      <c r="M314" s="201">
        <f>'Khanh Nga'!M300</f>
        <v>0</v>
      </c>
      <c r="N314" s="201">
        <f>'Khanh Nga'!N300</f>
        <v>0</v>
      </c>
      <c r="O314" s="201">
        <f>'Khanh Nga'!O300</f>
        <v>0</v>
      </c>
      <c r="P314" s="201">
        <f>'Khanh Nga'!P300</f>
        <v>0</v>
      </c>
      <c r="Q314" s="201">
        <f>'Khanh Nga'!Q300</f>
        <v>0</v>
      </c>
      <c r="R314" s="201">
        <f>'Khanh Nga'!R300</f>
        <v>0</v>
      </c>
      <c r="S314" s="201">
        <f>'Khanh Nga'!S300</f>
        <v>0</v>
      </c>
      <c r="T314" s="201">
        <f>'Khanh Nga'!T300</f>
        <v>0</v>
      </c>
      <c r="U314" s="201">
        <f>'Khanh Nga'!U300</f>
        <v>0</v>
      </c>
      <c r="V314" s="201">
        <f>'Khanh Nga'!V300</f>
        <v>0</v>
      </c>
      <c r="W314" s="201">
        <f>'Khanh Nga'!W300</f>
        <v>0</v>
      </c>
      <c r="X314" s="201">
        <f>'Khanh Nga'!X300</f>
        <v>0</v>
      </c>
      <c r="Y314" s="201">
        <f>'Khanh Nga'!Y300</f>
        <v>0</v>
      </c>
      <c r="Z314" s="201">
        <f>'Khanh Nga'!Z300</f>
        <v>0</v>
      </c>
    </row>
    <row r="315" spans="1:26" ht="15" customHeight="1">
      <c r="A315" s="200" t="s">
        <v>359</v>
      </c>
      <c r="C315" s="201">
        <f>'Dong Lam'!C300</f>
        <v>0</v>
      </c>
      <c r="D315" s="201">
        <f>'Dong Lam'!D300</f>
        <v>0</v>
      </c>
      <c r="E315" s="201">
        <f>'Dong Lam'!E300</f>
        <v>0</v>
      </c>
      <c r="F315" s="201">
        <f>'Dong Lam'!F300</f>
        <v>0</v>
      </c>
      <c r="G315" s="201">
        <f>'Dong Lam'!G300</f>
        <v>0</v>
      </c>
      <c r="H315" s="201">
        <f>'Dong Lam'!H300</f>
        <v>0</v>
      </c>
      <c r="I315" s="201">
        <f>'Dong Lam'!I300</f>
        <v>0</v>
      </c>
      <c r="J315" s="201">
        <f>'Dong Lam'!J300</f>
        <v>0</v>
      </c>
      <c r="K315" s="201">
        <f>'Dong Lam'!K300</f>
        <v>0</v>
      </c>
      <c r="L315" s="201">
        <f>'Dong Lam'!L300</f>
        <v>0</v>
      </c>
      <c r="M315" s="201">
        <f>'Dong Lam'!M300</f>
        <v>0</v>
      </c>
      <c r="N315" s="201">
        <f>'Dong Lam'!N300</f>
        <v>0</v>
      </c>
      <c r="O315" s="201">
        <f>'Dong Lam'!O300</f>
        <v>0</v>
      </c>
      <c r="P315" s="201">
        <f>'Dong Lam'!P300</f>
        <v>0</v>
      </c>
      <c r="Q315" s="201">
        <f>'Dong Lam'!Q300</f>
        <v>0</v>
      </c>
      <c r="R315" s="201">
        <f>'Dong Lam'!R300</f>
        <v>0</v>
      </c>
      <c r="S315" s="201">
        <f>'Dong Lam'!S300</f>
        <v>0</v>
      </c>
      <c r="T315" s="201">
        <f>'Dong Lam'!T300</f>
        <v>0</v>
      </c>
      <c r="U315" s="201">
        <f>'Dong Lam'!U300</f>
        <v>0</v>
      </c>
      <c r="V315" s="201">
        <f>'Dong Lam'!V300</f>
        <v>0</v>
      </c>
      <c r="W315" s="201">
        <f>'Dong Lam'!W300</f>
        <v>0</v>
      </c>
      <c r="X315" s="201">
        <f>'Dong Lam'!X300</f>
        <v>0</v>
      </c>
      <c r="Y315" s="201">
        <f>'Dong Lam'!Y300</f>
        <v>0</v>
      </c>
      <c r="Z315" s="201">
        <f>'Dong Lam'!Z300</f>
        <v>0</v>
      </c>
    </row>
    <row r="317" spans="1:26" ht="15" customHeight="1">
      <c r="A317" s="196" t="s">
        <v>352</v>
      </c>
      <c r="B317" s="197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spans="1:26" ht="15" customHeight="1">
      <c r="A318" s="200" t="str">
        <f>A310</f>
        <v>DAI LOC</v>
      </c>
      <c r="C318" s="207">
        <f>IFERROR(C310/C$309,0)</f>
        <v>0</v>
      </c>
      <c r="D318" s="207">
        <f t="shared" ref="D318:Z324" si="46">IFERROR(D310/D$309,0)</f>
        <v>0</v>
      </c>
      <c r="E318" s="207">
        <f t="shared" si="46"/>
        <v>0</v>
      </c>
      <c r="F318" s="207">
        <f t="shared" si="46"/>
        <v>0</v>
      </c>
      <c r="G318" s="207">
        <f t="shared" si="46"/>
        <v>0</v>
      </c>
      <c r="H318" s="207">
        <f t="shared" si="46"/>
        <v>0</v>
      </c>
      <c r="I318" s="207">
        <f t="shared" si="46"/>
        <v>0</v>
      </c>
      <c r="J318" s="207">
        <f t="shared" si="46"/>
        <v>0</v>
      </c>
      <c r="K318" s="207">
        <f t="shared" si="46"/>
        <v>0</v>
      </c>
      <c r="L318" s="207">
        <f t="shared" si="46"/>
        <v>0</v>
      </c>
      <c r="M318" s="207">
        <f t="shared" si="46"/>
        <v>0</v>
      </c>
      <c r="N318" s="207">
        <f t="shared" si="46"/>
        <v>0</v>
      </c>
      <c r="O318" s="207">
        <f t="shared" si="46"/>
        <v>0</v>
      </c>
      <c r="P318" s="207">
        <f t="shared" si="46"/>
        <v>0</v>
      </c>
      <c r="Q318" s="207">
        <f t="shared" si="46"/>
        <v>0</v>
      </c>
      <c r="R318" s="207">
        <f t="shared" si="46"/>
        <v>0</v>
      </c>
      <c r="S318" s="207">
        <f t="shared" si="46"/>
        <v>0</v>
      </c>
      <c r="T318" s="207">
        <f t="shared" si="46"/>
        <v>0</v>
      </c>
      <c r="U318" s="207">
        <f t="shared" si="46"/>
        <v>0</v>
      </c>
      <c r="V318" s="207">
        <f t="shared" si="46"/>
        <v>0</v>
      </c>
      <c r="W318" s="207">
        <f t="shared" si="46"/>
        <v>0</v>
      </c>
      <c r="X318" s="207">
        <f t="shared" si="46"/>
        <v>0</v>
      </c>
      <c r="Y318" s="207">
        <f t="shared" si="46"/>
        <v>0</v>
      </c>
      <c r="Z318" s="207">
        <f t="shared" si="46"/>
        <v>0</v>
      </c>
    </row>
    <row r="319" spans="1:26" ht="15" customHeight="1">
      <c r="A319" s="200" t="str">
        <f>A311</f>
        <v>DTR</v>
      </c>
      <c r="C319" s="207">
        <f t="shared" ref="C319:R324" si="47">IFERROR(C311/C$309,0)</f>
        <v>0</v>
      </c>
      <c r="D319" s="207">
        <f t="shared" si="47"/>
        <v>0</v>
      </c>
      <c r="E319" s="207">
        <f t="shared" si="47"/>
        <v>0</v>
      </c>
      <c r="F319" s="207">
        <f t="shared" si="47"/>
        <v>0</v>
      </c>
      <c r="G319" s="207">
        <f t="shared" si="47"/>
        <v>0</v>
      </c>
      <c r="H319" s="207">
        <f t="shared" si="47"/>
        <v>0</v>
      </c>
      <c r="I319" s="207">
        <f t="shared" si="47"/>
        <v>0</v>
      </c>
      <c r="J319" s="207">
        <f t="shared" si="47"/>
        <v>0</v>
      </c>
      <c r="K319" s="207">
        <f t="shared" si="47"/>
        <v>0</v>
      </c>
      <c r="L319" s="207">
        <f t="shared" si="47"/>
        <v>0</v>
      </c>
      <c r="M319" s="207">
        <f t="shared" si="47"/>
        <v>0</v>
      </c>
      <c r="N319" s="207">
        <f t="shared" si="47"/>
        <v>1</v>
      </c>
      <c r="O319" s="207">
        <f t="shared" si="47"/>
        <v>1</v>
      </c>
      <c r="P319" s="207">
        <f t="shared" si="47"/>
        <v>1</v>
      </c>
      <c r="Q319" s="207">
        <f t="shared" si="47"/>
        <v>1</v>
      </c>
      <c r="R319" s="207">
        <f t="shared" si="47"/>
        <v>1</v>
      </c>
      <c r="S319" s="207">
        <f t="shared" si="46"/>
        <v>1</v>
      </c>
      <c r="T319" s="207">
        <f t="shared" si="46"/>
        <v>1</v>
      </c>
      <c r="U319" s="207">
        <f t="shared" si="46"/>
        <v>1</v>
      </c>
      <c r="V319" s="207">
        <f t="shared" si="46"/>
        <v>1</v>
      </c>
      <c r="W319" s="207">
        <f t="shared" si="46"/>
        <v>1</v>
      </c>
      <c r="X319" s="207">
        <f t="shared" si="46"/>
        <v>1</v>
      </c>
      <c r="Y319" s="207">
        <f t="shared" si="46"/>
        <v>1</v>
      </c>
      <c r="Z319" s="207">
        <f t="shared" si="46"/>
        <v>1</v>
      </c>
    </row>
    <row r="320" spans="1:26" ht="15" customHeight="1">
      <c r="A320" s="200" t="str">
        <f>A312</f>
        <v>DTRVL</v>
      </c>
      <c r="C320" s="207">
        <f t="shared" si="47"/>
        <v>0</v>
      </c>
      <c r="D320" s="207">
        <f t="shared" si="46"/>
        <v>0</v>
      </c>
      <c r="E320" s="207">
        <f t="shared" si="46"/>
        <v>0</v>
      </c>
      <c r="F320" s="207">
        <f t="shared" si="46"/>
        <v>0</v>
      </c>
      <c r="G320" s="207">
        <f t="shared" si="46"/>
        <v>0</v>
      </c>
      <c r="H320" s="207">
        <f t="shared" si="46"/>
        <v>0</v>
      </c>
      <c r="I320" s="207">
        <f t="shared" si="46"/>
        <v>0</v>
      </c>
      <c r="J320" s="207">
        <f t="shared" si="46"/>
        <v>0</v>
      </c>
      <c r="K320" s="207">
        <f t="shared" si="46"/>
        <v>0</v>
      </c>
      <c r="L320" s="207">
        <f t="shared" si="46"/>
        <v>0</v>
      </c>
      <c r="M320" s="207">
        <f t="shared" si="46"/>
        <v>0</v>
      </c>
      <c r="N320" s="207">
        <f t="shared" si="46"/>
        <v>0</v>
      </c>
      <c r="O320" s="207">
        <f t="shared" si="46"/>
        <v>0</v>
      </c>
      <c r="P320" s="207">
        <f t="shared" si="46"/>
        <v>0</v>
      </c>
      <c r="Q320" s="207">
        <f t="shared" si="46"/>
        <v>0</v>
      </c>
      <c r="R320" s="207">
        <f t="shared" si="46"/>
        <v>0</v>
      </c>
      <c r="S320" s="207">
        <f t="shared" si="46"/>
        <v>0</v>
      </c>
      <c r="T320" s="207">
        <f t="shared" si="46"/>
        <v>0</v>
      </c>
      <c r="U320" s="207">
        <f t="shared" si="46"/>
        <v>0</v>
      </c>
      <c r="V320" s="207">
        <f t="shared" si="46"/>
        <v>0</v>
      </c>
      <c r="W320" s="207">
        <f t="shared" si="46"/>
        <v>0</v>
      </c>
      <c r="X320" s="207">
        <f t="shared" si="46"/>
        <v>0</v>
      </c>
      <c r="Y320" s="207">
        <f t="shared" si="46"/>
        <v>0</v>
      </c>
      <c r="Z320" s="207">
        <f t="shared" si="46"/>
        <v>0</v>
      </c>
    </row>
    <row r="321" spans="1:26" ht="15" customHeight="1">
      <c r="A321" s="200" t="s">
        <v>357</v>
      </c>
      <c r="C321" s="207">
        <f t="shared" si="47"/>
        <v>0</v>
      </c>
      <c r="D321" s="207">
        <f t="shared" si="46"/>
        <v>0</v>
      </c>
      <c r="E321" s="207">
        <f t="shared" si="46"/>
        <v>0</v>
      </c>
      <c r="F321" s="207">
        <f t="shared" si="46"/>
        <v>0</v>
      </c>
      <c r="G321" s="207">
        <f t="shared" si="46"/>
        <v>0</v>
      </c>
      <c r="H321" s="207">
        <f t="shared" si="46"/>
        <v>0</v>
      </c>
      <c r="I321" s="207">
        <f t="shared" si="46"/>
        <v>0</v>
      </c>
      <c r="J321" s="207">
        <f t="shared" si="46"/>
        <v>0</v>
      </c>
      <c r="K321" s="207">
        <f t="shared" si="46"/>
        <v>0</v>
      </c>
      <c r="L321" s="207">
        <f t="shared" si="46"/>
        <v>0</v>
      </c>
      <c r="M321" s="207">
        <f t="shared" si="46"/>
        <v>0</v>
      </c>
      <c r="N321" s="207">
        <f t="shared" si="46"/>
        <v>0</v>
      </c>
      <c r="O321" s="207">
        <f t="shared" si="46"/>
        <v>0</v>
      </c>
      <c r="P321" s="207">
        <f t="shared" si="46"/>
        <v>0</v>
      </c>
      <c r="Q321" s="207">
        <f t="shared" si="46"/>
        <v>0</v>
      </c>
      <c r="R321" s="207">
        <f t="shared" si="46"/>
        <v>0</v>
      </c>
      <c r="S321" s="207">
        <f t="shared" si="46"/>
        <v>0</v>
      </c>
      <c r="T321" s="207">
        <f t="shared" si="46"/>
        <v>0</v>
      </c>
      <c r="U321" s="207">
        <f t="shared" si="46"/>
        <v>0</v>
      </c>
      <c r="V321" s="207">
        <f t="shared" si="46"/>
        <v>0</v>
      </c>
      <c r="W321" s="207">
        <f t="shared" si="46"/>
        <v>0</v>
      </c>
      <c r="X321" s="207">
        <f t="shared" si="46"/>
        <v>0</v>
      </c>
      <c r="Y321" s="207">
        <f t="shared" si="46"/>
        <v>0</v>
      </c>
      <c r="Z321" s="207">
        <f t="shared" si="46"/>
        <v>0</v>
      </c>
    </row>
    <row r="322" spans="1:26" ht="15" customHeight="1">
      <c r="A322" s="200" t="s">
        <v>358</v>
      </c>
      <c r="C322" s="207">
        <f t="shared" si="47"/>
        <v>0</v>
      </c>
      <c r="D322" s="207">
        <f t="shared" si="46"/>
        <v>0</v>
      </c>
      <c r="E322" s="207">
        <f t="shared" si="46"/>
        <v>0</v>
      </c>
      <c r="F322" s="207">
        <f t="shared" si="46"/>
        <v>0</v>
      </c>
      <c r="G322" s="207">
        <f t="shared" si="46"/>
        <v>0</v>
      </c>
      <c r="H322" s="207">
        <f t="shared" si="46"/>
        <v>0</v>
      </c>
      <c r="I322" s="207">
        <f t="shared" si="46"/>
        <v>0</v>
      </c>
      <c r="J322" s="207">
        <f t="shared" si="46"/>
        <v>0</v>
      </c>
      <c r="K322" s="207">
        <f t="shared" si="46"/>
        <v>0</v>
      </c>
      <c r="L322" s="207">
        <f t="shared" si="46"/>
        <v>0</v>
      </c>
      <c r="M322" s="207">
        <f t="shared" si="46"/>
        <v>0</v>
      </c>
      <c r="N322" s="207">
        <f t="shared" si="46"/>
        <v>0</v>
      </c>
      <c r="O322" s="207">
        <f t="shared" si="46"/>
        <v>0</v>
      </c>
      <c r="P322" s="207">
        <f t="shared" si="46"/>
        <v>0</v>
      </c>
      <c r="Q322" s="207">
        <f t="shared" si="46"/>
        <v>0</v>
      </c>
      <c r="R322" s="207">
        <f t="shared" si="46"/>
        <v>0</v>
      </c>
      <c r="S322" s="207">
        <f t="shared" si="46"/>
        <v>0</v>
      </c>
      <c r="T322" s="207">
        <f t="shared" si="46"/>
        <v>0</v>
      </c>
      <c r="U322" s="207">
        <f t="shared" si="46"/>
        <v>0</v>
      </c>
      <c r="V322" s="207">
        <f t="shared" si="46"/>
        <v>0</v>
      </c>
      <c r="W322" s="207">
        <f t="shared" si="46"/>
        <v>0</v>
      </c>
      <c r="X322" s="207">
        <f t="shared" si="46"/>
        <v>0</v>
      </c>
      <c r="Y322" s="207">
        <f t="shared" si="46"/>
        <v>0</v>
      </c>
      <c r="Z322" s="207">
        <f t="shared" si="46"/>
        <v>0</v>
      </c>
    </row>
    <row r="323" spans="1:26" ht="15" customHeight="1">
      <c r="A323" s="200" t="str">
        <f>A315</f>
        <v>DONGLAM</v>
      </c>
      <c r="C323" s="207">
        <f t="shared" si="47"/>
        <v>0</v>
      </c>
      <c r="D323" s="207">
        <f t="shared" si="46"/>
        <v>0</v>
      </c>
      <c r="E323" s="207">
        <f t="shared" si="46"/>
        <v>0</v>
      </c>
      <c r="F323" s="207">
        <f t="shared" si="46"/>
        <v>0</v>
      </c>
      <c r="G323" s="207">
        <f t="shared" si="46"/>
        <v>0</v>
      </c>
      <c r="H323" s="207">
        <f t="shared" si="46"/>
        <v>0</v>
      </c>
      <c r="I323" s="207">
        <f t="shared" si="46"/>
        <v>0</v>
      </c>
      <c r="J323" s="207">
        <f t="shared" si="46"/>
        <v>0</v>
      </c>
      <c r="K323" s="207">
        <f t="shared" si="46"/>
        <v>0</v>
      </c>
      <c r="L323" s="207">
        <f t="shared" si="46"/>
        <v>0</v>
      </c>
      <c r="M323" s="207">
        <f t="shared" si="46"/>
        <v>0</v>
      </c>
      <c r="N323" s="207">
        <f t="shared" si="46"/>
        <v>0</v>
      </c>
      <c r="O323" s="207">
        <f t="shared" si="46"/>
        <v>0</v>
      </c>
      <c r="P323" s="207">
        <f t="shared" si="46"/>
        <v>0</v>
      </c>
      <c r="Q323" s="207">
        <f t="shared" si="46"/>
        <v>0</v>
      </c>
      <c r="R323" s="207">
        <f t="shared" si="46"/>
        <v>0</v>
      </c>
      <c r="S323" s="207">
        <f t="shared" si="46"/>
        <v>0</v>
      </c>
      <c r="T323" s="207">
        <f t="shared" si="46"/>
        <v>0</v>
      </c>
      <c r="U323" s="207">
        <f t="shared" si="46"/>
        <v>0</v>
      </c>
      <c r="V323" s="207">
        <f t="shared" si="46"/>
        <v>0</v>
      </c>
      <c r="W323" s="207">
        <f t="shared" si="46"/>
        <v>0</v>
      </c>
      <c r="X323" s="207">
        <f t="shared" si="46"/>
        <v>0</v>
      </c>
      <c r="Y323" s="207">
        <f t="shared" si="46"/>
        <v>0</v>
      </c>
      <c r="Z323" s="207">
        <f t="shared" si="46"/>
        <v>0</v>
      </c>
    </row>
    <row r="324" spans="1:26" ht="15" customHeight="1">
      <c r="C324" s="49">
        <f t="shared" si="47"/>
        <v>0</v>
      </c>
      <c r="D324" s="49">
        <f t="shared" si="46"/>
        <v>0</v>
      </c>
      <c r="E324" s="49">
        <f t="shared" si="46"/>
        <v>0</v>
      </c>
      <c r="F324" s="49">
        <f t="shared" si="46"/>
        <v>0</v>
      </c>
      <c r="G324" s="49">
        <f t="shared" si="46"/>
        <v>0</v>
      </c>
      <c r="H324" s="49">
        <f t="shared" si="46"/>
        <v>0</v>
      </c>
      <c r="I324" s="49">
        <f t="shared" si="46"/>
        <v>0</v>
      </c>
      <c r="J324" s="49">
        <f t="shared" si="46"/>
        <v>0</v>
      </c>
      <c r="K324" s="49">
        <f t="shared" si="46"/>
        <v>0</v>
      </c>
      <c r="L324" s="49">
        <f t="shared" si="46"/>
        <v>0</v>
      </c>
      <c r="M324" s="49">
        <f t="shared" si="46"/>
        <v>0</v>
      </c>
      <c r="N324" s="49">
        <f t="shared" si="46"/>
        <v>0</v>
      </c>
      <c r="O324" s="49">
        <f t="shared" si="46"/>
        <v>0</v>
      </c>
      <c r="P324" s="49">
        <f t="shared" si="46"/>
        <v>0</v>
      </c>
      <c r="Q324" s="49">
        <f t="shared" si="46"/>
        <v>0</v>
      </c>
      <c r="R324" s="49">
        <f t="shared" si="46"/>
        <v>0</v>
      </c>
      <c r="S324" s="49">
        <f t="shared" si="46"/>
        <v>0</v>
      </c>
      <c r="T324" s="49">
        <f t="shared" si="46"/>
        <v>0</v>
      </c>
      <c r="U324" s="49">
        <f t="shared" si="46"/>
        <v>0</v>
      </c>
      <c r="V324" s="49">
        <f t="shared" si="46"/>
        <v>0</v>
      </c>
      <c r="W324" s="49">
        <f t="shared" si="46"/>
        <v>0</v>
      </c>
      <c r="X324" s="49">
        <f t="shared" si="46"/>
        <v>0</v>
      </c>
      <c r="Y324" s="49">
        <f t="shared" si="46"/>
        <v>0</v>
      </c>
      <c r="Z324" s="49">
        <f t="shared" si="46"/>
        <v>0</v>
      </c>
    </row>
    <row r="325" spans="1:26" ht="15" customHeight="1">
      <c r="W325" s="208"/>
    </row>
    <row r="326" spans="1:26" ht="15" customHeight="1">
      <c r="A326" s="202" t="s">
        <v>360</v>
      </c>
      <c r="C326" s="209">
        <f t="shared" ref="C326:Z326" si="48">SUM(C327:C332)</f>
        <v>114891581921</v>
      </c>
      <c r="D326" s="209">
        <f t="shared" si="48"/>
        <v>114881861921</v>
      </c>
      <c r="E326" s="209">
        <f t="shared" si="48"/>
        <v>112862141921</v>
      </c>
      <c r="F326" s="209">
        <f t="shared" si="48"/>
        <v>106352421921</v>
      </c>
      <c r="G326" s="209">
        <f t="shared" si="48"/>
        <v>106342701921</v>
      </c>
      <c r="H326" s="209">
        <f t="shared" si="48"/>
        <v>82332981921</v>
      </c>
      <c r="I326" s="209">
        <f t="shared" si="48"/>
        <v>65823261921</v>
      </c>
      <c r="J326" s="209">
        <f t="shared" si="48"/>
        <v>65813541921</v>
      </c>
      <c r="K326" s="209">
        <f t="shared" si="48"/>
        <v>65813541921</v>
      </c>
      <c r="L326" s="209">
        <f t="shared" si="48"/>
        <v>65794101921</v>
      </c>
      <c r="M326" s="209">
        <f t="shared" si="48"/>
        <v>105794101921</v>
      </c>
      <c r="N326" s="209">
        <f t="shared" si="48"/>
        <v>95774661921</v>
      </c>
      <c r="O326" s="209">
        <f t="shared" si="48"/>
        <v>87755221921</v>
      </c>
      <c r="P326" s="209">
        <f t="shared" si="48"/>
        <v>71255221921</v>
      </c>
      <c r="Q326" s="209">
        <f t="shared" si="48"/>
        <v>109055221921</v>
      </c>
      <c r="R326" s="209">
        <f t="shared" si="48"/>
        <v>133555221921</v>
      </c>
      <c r="S326" s="209">
        <f t="shared" si="48"/>
        <v>142726061921</v>
      </c>
      <c r="T326" s="209">
        <f t="shared" si="48"/>
        <v>142706621921</v>
      </c>
      <c r="U326" s="209">
        <f t="shared" si="48"/>
        <v>126706621921</v>
      </c>
      <c r="V326" s="209">
        <f t="shared" si="48"/>
        <v>127601021921</v>
      </c>
      <c r="W326" s="209">
        <f t="shared" si="48"/>
        <v>115601021921</v>
      </c>
      <c r="X326" s="209">
        <f t="shared" si="48"/>
        <v>123601021921</v>
      </c>
      <c r="Y326" s="209">
        <f t="shared" si="48"/>
        <v>111601021921</v>
      </c>
      <c r="Z326" s="209">
        <f t="shared" si="48"/>
        <v>89601021921</v>
      </c>
    </row>
    <row r="327" spans="1:26" ht="15" customHeight="1">
      <c r="A327" s="200" t="str">
        <f>A318</f>
        <v>DAI LOC</v>
      </c>
      <c r="C327" s="201">
        <f>'Dai Loc'!C9+'Dai Loc'!C13</f>
        <v>202000000</v>
      </c>
      <c r="D327" s="201">
        <f>'Dai Loc'!D9+'Dai Loc'!D13</f>
        <v>202000000</v>
      </c>
      <c r="E327" s="201">
        <f>'Dai Loc'!E9+'Dai Loc'!E13</f>
        <v>202000000</v>
      </c>
      <c r="F327" s="201">
        <f>'Dai Loc'!F9+'Dai Loc'!F13</f>
        <v>202000000</v>
      </c>
      <c r="G327" s="201">
        <f>'Dai Loc'!G9+'Dai Loc'!G13</f>
        <v>202000000</v>
      </c>
      <c r="H327" s="201">
        <f>'Dai Loc'!H9+'Dai Loc'!H13</f>
        <v>202000000</v>
      </c>
      <c r="I327" s="201">
        <f>'Dai Loc'!I9+'Dai Loc'!I13</f>
        <v>202000000</v>
      </c>
      <c r="J327" s="201">
        <f>'Dai Loc'!J9+'Dai Loc'!J13</f>
        <v>202000000</v>
      </c>
      <c r="K327" s="201">
        <f>'Dai Loc'!K9+'Dai Loc'!K13</f>
        <v>202000000</v>
      </c>
      <c r="L327" s="201">
        <f>'Dai Loc'!L9+'Dai Loc'!L13</f>
        <v>202000000</v>
      </c>
      <c r="M327" s="201">
        <f>'Dai Loc'!M9+'Dai Loc'!M13</f>
        <v>202000000</v>
      </c>
      <c r="N327" s="201">
        <f>'Dai Loc'!N9+'Dai Loc'!N13</f>
        <v>202000000</v>
      </c>
      <c r="O327" s="201">
        <f>'Dai Loc'!O9+'Dai Loc'!O13</f>
        <v>202000000</v>
      </c>
      <c r="P327" s="201">
        <f>'Dai Loc'!P9+'Dai Loc'!P13</f>
        <v>202000000</v>
      </c>
      <c r="Q327" s="201">
        <f>'Dai Loc'!Q9+'Dai Loc'!Q13</f>
        <v>202000000</v>
      </c>
      <c r="R327" s="201">
        <f>'Dai Loc'!R9+'Dai Loc'!R13</f>
        <v>202000000</v>
      </c>
      <c r="S327" s="201">
        <f>'Dai Loc'!S9+'Dai Loc'!S13</f>
        <v>202000000</v>
      </c>
      <c r="T327" s="201">
        <f>'Dai Loc'!T9+'Dai Loc'!T13</f>
        <v>202000000</v>
      </c>
      <c r="U327" s="201">
        <f>'Dai Loc'!U9+'Dai Loc'!U13</f>
        <v>202000000</v>
      </c>
      <c r="V327" s="201">
        <f>'Dai Loc'!V9+'Dai Loc'!V13</f>
        <v>202000000</v>
      </c>
      <c r="W327" s="201">
        <f>'Dai Loc'!W9+'Dai Loc'!W13</f>
        <v>202000000</v>
      </c>
      <c r="X327" s="201">
        <f>'Dai Loc'!X9+'Dai Loc'!X13</f>
        <v>5202000000</v>
      </c>
      <c r="Y327" s="201">
        <f>'Dai Loc'!Y9+'Dai Loc'!Y13</f>
        <v>3202000000</v>
      </c>
      <c r="Z327" s="201">
        <f>'Dai Loc'!Z9+'Dai Loc'!Z13</f>
        <v>202000000</v>
      </c>
    </row>
    <row r="328" spans="1:26" ht="15" customHeight="1">
      <c r="A328" s="200" t="str">
        <f t="shared" ref="A328:A332" si="49">A319</f>
        <v>DTR</v>
      </c>
      <c r="C328" s="201">
        <f>DTR!C9+DTR!C13</f>
        <v>110689581921</v>
      </c>
      <c r="D328" s="201">
        <f>DTR!D9+DTR!D13</f>
        <v>110679861921</v>
      </c>
      <c r="E328" s="201">
        <f>DTR!E9+DTR!E13</f>
        <v>108660141921</v>
      </c>
      <c r="F328" s="201">
        <f>DTR!F9+DTR!F13</f>
        <v>98150421921</v>
      </c>
      <c r="G328" s="201">
        <f>DTR!G9+DTR!G13</f>
        <v>98140701921</v>
      </c>
      <c r="H328" s="201">
        <f>DTR!H9+DTR!H13</f>
        <v>78130981921</v>
      </c>
      <c r="I328" s="201">
        <f>DTR!I9+DTR!I13</f>
        <v>58621261921</v>
      </c>
      <c r="J328" s="201">
        <f>DTR!J9+DTR!J13</f>
        <v>58611541921</v>
      </c>
      <c r="K328" s="201">
        <f>DTR!K9+DTR!K13</f>
        <v>58611541921</v>
      </c>
      <c r="L328" s="201">
        <f>DTR!L9+DTR!L13</f>
        <v>58592101921</v>
      </c>
      <c r="M328" s="201">
        <f>DTR!M9+DTR!M13</f>
        <v>98592101921</v>
      </c>
      <c r="N328" s="201">
        <f>DTR!N9+DTR!N13</f>
        <v>88572661921</v>
      </c>
      <c r="O328" s="201">
        <f>DTR!O9+DTR!O13</f>
        <v>78553221921</v>
      </c>
      <c r="P328" s="201">
        <f>DTR!P9+DTR!P13</f>
        <v>64053221921</v>
      </c>
      <c r="Q328" s="201">
        <f>DTR!Q9+DTR!Q13</f>
        <v>101053221921</v>
      </c>
      <c r="R328" s="201">
        <f>DTR!R9+DTR!R13</f>
        <v>125553221921</v>
      </c>
      <c r="S328" s="201">
        <f>DTR!S9+DTR!S13</f>
        <v>135524061921</v>
      </c>
      <c r="T328" s="201">
        <f>DTR!T9+DTR!T13</f>
        <v>135504621921</v>
      </c>
      <c r="U328" s="201">
        <f>DTR!U9+DTR!U13</f>
        <v>120504621921</v>
      </c>
      <c r="V328" s="201">
        <f>DTR!V9+DTR!V13</f>
        <v>120699021921</v>
      </c>
      <c r="W328" s="201">
        <f>DTR!W9+DTR!W13</f>
        <v>108699021921</v>
      </c>
      <c r="X328" s="201">
        <f>DTR!X9+DTR!X13</f>
        <v>108699021921</v>
      </c>
      <c r="Y328" s="201">
        <f>DTR!Y9+DTR!Y13</f>
        <v>98699021921</v>
      </c>
      <c r="Z328" s="201">
        <f>DTR!Z9+DTR!Z13</f>
        <v>73699021921</v>
      </c>
    </row>
    <row r="329" spans="1:26" ht="15" customHeight="1">
      <c r="A329" s="200" t="str">
        <f t="shared" si="49"/>
        <v>DTRVL</v>
      </c>
      <c r="C329" s="201">
        <f>DTRVL!C9+DTRVL!C13</f>
        <v>0</v>
      </c>
      <c r="D329" s="201">
        <f>DTRVL!D9+DTRVL!D13</f>
        <v>0</v>
      </c>
      <c r="E329" s="201">
        <f>DTRVL!E9+DTRVL!E13</f>
        <v>0</v>
      </c>
      <c r="F329" s="201">
        <f>DTRVL!F9+DTRVL!F13</f>
        <v>0</v>
      </c>
      <c r="G329" s="201">
        <f>DTRVL!G9+DTRVL!G13</f>
        <v>0</v>
      </c>
      <c r="H329" s="201">
        <f>DTRVL!H9+DTRVL!H13</f>
        <v>0</v>
      </c>
      <c r="I329" s="201">
        <f>DTRVL!I9+DTRVL!I13</f>
        <v>0</v>
      </c>
      <c r="J329" s="201">
        <f>DTRVL!J9+DTRVL!J13</f>
        <v>0</v>
      </c>
      <c r="K329" s="201">
        <f>DTRVL!K9+DTRVL!K13</f>
        <v>0</v>
      </c>
      <c r="L329" s="201">
        <f>DTRVL!L9+DTRVL!L13</f>
        <v>0</v>
      </c>
      <c r="M329" s="201">
        <f>DTRVL!M9+DTRVL!M13</f>
        <v>0</v>
      </c>
      <c r="N329" s="201">
        <f>DTRVL!N9+DTRVL!N13</f>
        <v>0</v>
      </c>
      <c r="O329" s="201">
        <f>DTRVL!O9+DTRVL!O13</f>
        <v>0</v>
      </c>
      <c r="P329" s="201">
        <f>DTRVL!P9+DTRVL!P13</f>
        <v>0</v>
      </c>
      <c r="Q329" s="201">
        <f>DTRVL!Q9+DTRVL!Q13</f>
        <v>0</v>
      </c>
      <c r="R329" s="201">
        <f>DTRVL!R9+DTRVL!R13</f>
        <v>0</v>
      </c>
      <c r="S329" s="201">
        <f>DTRVL!S9+DTRVL!S13</f>
        <v>0</v>
      </c>
      <c r="T329" s="201">
        <f>DTRVL!T9+DTRVL!T13</f>
        <v>0</v>
      </c>
      <c r="U329" s="201">
        <f>DTRVL!U9+DTRVL!U13</f>
        <v>0</v>
      </c>
      <c r="V329" s="201">
        <f>DTRVL!V9+DTRVL!V13</f>
        <v>0</v>
      </c>
      <c r="W329" s="201">
        <f>DTRVL!W9+DTRVL!W13</f>
        <v>0</v>
      </c>
      <c r="X329" s="201">
        <f>DTRVL!X9+DTRVL!X13</f>
        <v>0</v>
      </c>
      <c r="Y329" s="201">
        <f>DTRVL!Y9+DTRVL!Y13</f>
        <v>0</v>
      </c>
      <c r="Z329" s="201">
        <f>DTRVL!Z9+DTRVL!Z13</f>
        <v>0</v>
      </c>
    </row>
    <row r="330" spans="1:26" ht="15" customHeight="1">
      <c r="A330" s="200" t="str">
        <f t="shared" si="49"/>
        <v>TDP</v>
      </c>
      <c r="C330" s="201">
        <f>TDP!C9+TDP!C13</f>
        <v>0</v>
      </c>
      <c r="D330" s="201">
        <f>TDP!D9+TDP!D13</f>
        <v>0</v>
      </c>
      <c r="E330" s="201">
        <f>TDP!E9+TDP!E13</f>
        <v>0</v>
      </c>
      <c r="F330" s="201">
        <f>TDP!F9+TDP!F13</f>
        <v>0</v>
      </c>
      <c r="G330" s="201">
        <f>TDP!G9+TDP!G13</f>
        <v>0</v>
      </c>
      <c r="H330" s="201">
        <f>TDP!H9+TDP!H13</f>
        <v>0</v>
      </c>
      <c r="I330" s="201">
        <f>TDP!I9+TDP!I13</f>
        <v>0</v>
      </c>
      <c r="J330" s="201">
        <f>TDP!J9+TDP!J13</f>
        <v>0</v>
      </c>
      <c r="K330" s="201">
        <f>TDP!K9+TDP!K13</f>
        <v>0</v>
      </c>
      <c r="L330" s="201">
        <f>TDP!L9+TDP!L13</f>
        <v>0</v>
      </c>
      <c r="M330" s="201">
        <f>TDP!M9+TDP!M13</f>
        <v>0</v>
      </c>
      <c r="N330" s="201">
        <f>TDP!N9+TDP!N13</f>
        <v>0</v>
      </c>
      <c r="O330" s="201">
        <f>TDP!O9+TDP!O13</f>
        <v>0</v>
      </c>
      <c r="P330" s="201">
        <f>TDP!P9+TDP!P13</f>
        <v>0</v>
      </c>
      <c r="Q330" s="201">
        <f>TDP!Q9+TDP!Q13</f>
        <v>800000000</v>
      </c>
      <c r="R330" s="201">
        <f>TDP!R9+TDP!R13</f>
        <v>800000000</v>
      </c>
      <c r="S330" s="201">
        <f>TDP!S9+TDP!S13</f>
        <v>0</v>
      </c>
      <c r="T330" s="201">
        <f>TDP!T9+TDP!T13</f>
        <v>0</v>
      </c>
      <c r="U330" s="201">
        <f>TDP!U9+TDP!U13</f>
        <v>0</v>
      </c>
      <c r="V330" s="201">
        <f>TDP!V9+TDP!V13</f>
        <v>700000000</v>
      </c>
      <c r="W330" s="201">
        <f>TDP!W9+TDP!W13</f>
        <v>700000000</v>
      </c>
      <c r="X330" s="201">
        <f>TDP!X9+TDP!X13</f>
        <v>700000000</v>
      </c>
      <c r="Y330" s="201">
        <f>TDP!Y9+TDP!Y13</f>
        <v>700000000</v>
      </c>
      <c r="Z330" s="201">
        <f>TDP!Z9+TDP!Z13</f>
        <v>700000000</v>
      </c>
    </row>
    <row r="331" spans="1:26" ht="15" customHeight="1">
      <c r="A331" s="200" t="str">
        <f t="shared" si="49"/>
        <v>KHANH NGA</v>
      </c>
      <c r="C331" s="201">
        <f>'Khanh Nga'!C9+'Khanh Nga'!C13</f>
        <v>0</v>
      </c>
      <c r="D331" s="201">
        <f>'Khanh Nga'!D9+'Khanh Nga'!D13</f>
        <v>0</v>
      </c>
      <c r="E331" s="201">
        <f>'Khanh Nga'!E9+'Khanh Nga'!E13</f>
        <v>0</v>
      </c>
      <c r="F331" s="201">
        <f>'Khanh Nga'!F9+'Khanh Nga'!F13</f>
        <v>0</v>
      </c>
      <c r="G331" s="201">
        <f>'Khanh Nga'!G9+'Khanh Nga'!G13</f>
        <v>0</v>
      </c>
      <c r="H331" s="201">
        <f>'Khanh Nga'!H9+'Khanh Nga'!H13</f>
        <v>0</v>
      </c>
      <c r="I331" s="201">
        <f>'Khanh Nga'!I9+'Khanh Nga'!I13</f>
        <v>0</v>
      </c>
      <c r="J331" s="201">
        <f>'Khanh Nga'!J9+'Khanh Nga'!J13</f>
        <v>0</v>
      </c>
      <c r="K331" s="201">
        <f>'Khanh Nga'!K9+'Khanh Nga'!K13</f>
        <v>0</v>
      </c>
      <c r="L331" s="201">
        <f>'Khanh Nga'!L9+'Khanh Nga'!L13</f>
        <v>0</v>
      </c>
      <c r="M331" s="201">
        <f>'Khanh Nga'!M9+'Khanh Nga'!M13</f>
        <v>0</v>
      </c>
      <c r="N331" s="201">
        <f>'Khanh Nga'!N9+'Khanh Nga'!N13</f>
        <v>0</v>
      </c>
      <c r="O331" s="201">
        <f>'Khanh Nga'!O9+'Khanh Nga'!O13</f>
        <v>2000000000</v>
      </c>
      <c r="P331" s="201">
        <f>'Khanh Nga'!P9+'Khanh Nga'!P13</f>
        <v>0</v>
      </c>
      <c r="Q331" s="201">
        <f>'Khanh Nga'!Q9+'Khanh Nga'!Q13</f>
        <v>0</v>
      </c>
      <c r="R331" s="201">
        <f>'Khanh Nga'!R9+'Khanh Nga'!R13</f>
        <v>0</v>
      </c>
      <c r="S331" s="201">
        <f>'Khanh Nga'!S9+'Khanh Nga'!S13</f>
        <v>0</v>
      </c>
      <c r="T331" s="201">
        <f>'Khanh Nga'!T9+'Khanh Nga'!T13</f>
        <v>0</v>
      </c>
      <c r="U331" s="201">
        <f>'Khanh Nga'!U9+'Khanh Nga'!U13</f>
        <v>0</v>
      </c>
      <c r="V331" s="201">
        <f>'Khanh Nga'!V9+'Khanh Nga'!V13</f>
        <v>0</v>
      </c>
      <c r="W331" s="201">
        <f>'Khanh Nga'!W9+'Khanh Nga'!W13</f>
        <v>0</v>
      </c>
      <c r="X331" s="201">
        <f>'Khanh Nga'!X9+'Khanh Nga'!X13</f>
        <v>0</v>
      </c>
      <c r="Y331" s="201">
        <f>'Khanh Nga'!Y9+'Khanh Nga'!Y13</f>
        <v>0</v>
      </c>
      <c r="Z331" s="201">
        <f>'Khanh Nga'!Z9+'Khanh Nga'!Z13</f>
        <v>6000000000</v>
      </c>
    </row>
    <row r="332" spans="1:26" ht="15" customHeight="1">
      <c r="A332" s="200" t="str">
        <f t="shared" si="49"/>
        <v>DONGLAM</v>
      </c>
      <c r="C332" s="201">
        <f>'Dong Lam'!C9+'Dong Lam'!C13</f>
        <v>4000000000</v>
      </c>
      <c r="D332" s="201">
        <f>'Dong Lam'!D9+'Dong Lam'!D13</f>
        <v>4000000000</v>
      </c>
      <c r="E332" s="201">
        <f>'Dong Lam'!E9+'Dong Lam'!E13</f>
        <v>4000000000</v>
      </c>
      <c r="F332" s="201">
        <f>'Dong Lam'!F9+'Dong Lam'!F13</f>
        <v>8000000000</v>
      </c>
      <c r="G332" s="201">
        <f>'Dong Lam'!G9+'Dong Lam'!G13</f>
        <v>8000000000</v>
      </c>
      <c r="H332" s="201">
        <f>'Dong Lam'!H9+'Dong Lam'!H13</f>
        <v>4000000000</v>
      </c>
      <c r="I332" s="201">
        <f>'Dong Lam'!I9+'Dong Lam'!I13</f>
        <v>7000000000</v>
      </c>
      <c r="J332" s="201">
        <f>'Dong Lam'!J9+'Dong Lam'!J13</f>
        <v>7000000000</v>
      </c>
      <c r="K332" s="201">
        <f>'Dong Lam'!K9+'Dong Lam'!K13</f>
        <v>7000000000</v>
      </c>
      <c r="L332" s="201">
        <f>'Dong Lam'!L9+'Dong Lam'!L13</f>
        <v>7000000000</v>
      </c>
      <c r="M332" s="201">
        <f>'Dong Lam'!M9+'Dong Lam'!M13</f>
        <v>7000000000</v>
      </c>
      <c r="N332" s="201">
        <f>'Dong Lam'!N9+'Dong Lam'!N13</f>
        <v>7000000000</v>
      </c>
      <c r="O332" s="201">
        <f>'Dong Lam'!O9+'Dong Lam'!O13</f>
        <v>7000000000</v>
      </c>
      <c r="P332" s="201">
        <f>'Dong Lam'!P9+'Dong Lam'!P13</f>
        <v>7000000000</v>
      </c>
      <c r="Q332" s="201">
        <f>'Dong Lam'!Q9+'Dong Lam'!Q13</f>
        <v>7000000000</v>
      </c>
      <c r="R332" s="201">
        <f>'Dong Lam'!R9+'Dong Lam'!R13</f>
        <v>7000000000</v>
      </c>
      <c r="S332" s="201">
        <f>'Dong Lam'!S9+'Dong Lam'!S13</f>
        <v>7000000000</v>
      </c>
      <c r="T332" s="201">
        <f>'Dong Lam'!T9+'Dong Lam'!T13</f>
        <v>7000000000</v>
      </c>
      <c r="U332" s="201">
        <f>'Dong Lam'!U9+'Dong Lam'!U13</f>
        <v>6000000000</v>
      </c>
      <c r="V332" s="201">
        <f>'Dong Lam'!V9+'Dong Lam'!V13</f>
        <v>6000000000</v>
      </c>
      <c r="W332" s="201">
        <f>'Dong Lam'!W9+'Dong Lam'!W13</f>
        <v>6000000000</v>
      </c>
      <c r="X332" s="201">
        <f>'Dong Lam'!X9+'Dong Lam'!X13</f>
        <v>9000000000</v>
      </c>
      <c r="Y332" s="201">
        <f>'Dong Lam'!Y9+'Dong Lam'!Y13</f>
        <v>9000000000</v>
      </c>
      <c r="Z332" s="201">
        <f>'Dong Lam'!Z9+'Dong Lam'!Z13</f>
        <v>9000000000</v>
      </c>
    </row>
    <row r="333" spans="1:26" ht="15" customHeight="1">
      <c r="W333" s="201"/>
    </row>
    <row r="334" spans="1:26" ht="15" customHeight="1">
      <c r="A334" s="202" t="s">
        <v>361</v>
      </c>
      <c r="B334" s="210"/>
      <c r="C334" s="211">
        <f>C291-C326</f>
        <v>-114891581921</v>
      </c>
      <c r="D334" s="211">
        <f t="shared" ref="D334:Z334" si="50">D291-D326</f>
        <v>-114881861921</v>
      </c>
      <c r="E334" s="211">
        <f t="shared" si="50"/>
        <v>-112862141921</v>
      </c>
      <c r="F334" s="211">
        <f t="shared" si="50"/>
        <v>-106352421921</v>
      </c>
      <c r="G334" s="211">
        <f t="shared" si="50"/>
        <v>-106342701921</v>
      </c>
      <c r="H334" s="211">
        <f t="shared" si="50"/>
        <v>-82332981921</v>
      </c>
      <c r="I334" s="211">
        <f t="shared" si="50"/>
        <v>-65823261921</v>
      </c>
      <c r="J334" s="211">
        <f t="shared" si="50"/>
        <v>-65813541921</v>
      </c>
      <c r="K334" s="211">
        <f t="shared" si="50"/>
        <v>-65813541921</v>
      </c>
      <c r="L334" s="211">
        <f t="shared" si="50"/>
        <v>-65794101921</v>
      </c>
      <c r="M334" s="211">
        <f t="shared" si="50"/>
        <v>-105794101921</v>
      </c>
      <c r="N334" s="211">
        <f t="shared" si="50"/>
        <v>179753564009</v>
      </c>
      <c r="O334" s="211">
        <f t="shared" si="50"/>
        <v>155580674276</v>
      </c>
      <c r="P334" s="211">
        <f t="shared" si="50"/>
        <v>76519111525</v>
      </c>
      <c r="Q334" s="211">
        <f t="shared" si="50"/>
        <v>92273524950</v>
      </c>
      <c r="R334" s="211">
        <f t="shared" si="50"/>
        <v>141626440719</v>
      </c>
      <c r="S334" s="211">
        <f t="shared" si="50"/>
        <v>155945180209</v>
      </c>
      <c r="T334" s="211">
        <f t="shared" si="50"/>
        <v>172803848744</v>
      </c>
      <c r="U334" s="211">
        <f t="shared" si="50"/>
        <v>199915569083</v>
      </c>
      <c r="V334" s="211">
        <f t="shared" si="50"/>
        <v>241694732275</v>
      </c>
      <c r="W334" s="211">
        <f t="shared" si="50"/>
        <v>267642210507</v>
      </c>
      <c r="X334" s="211">
        <f t="shared" si="50"/>
        <v>208306928613</v>
      </c>
      <c r="Y334" s="211">
        <f t="shared" si="50"/>
        <v>212731055700</v>
      </c>
      <c r="Z334" s="211">
        <f t="shared" si="50"/>
        <v>223007211671</v>
      </c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7512-DD9B-4135-9F5E-E35C1FE496C9}">
  <sheetPr>
    <tabColor rgb="FF92D050"/>
    <outlinePr summaryBelow="0" summaryRight="0"/>
  </sheetPr>
  <dimension ref="A1:AZ334"/>
  <sheetViews>
    <sheetView showGridLines="0" showZeros="0" zoomScale="80" zoomScaleNormal="80" workbookViewId="0">
      <pane xSplit="1" ySplit="5" topLeftCell="AC139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G152" sqref="AG152"/>
    </sheetView>
  </sheetViews>
  <sheetFormatPr defaultColWidth="9.26953125" defaultRowHeight="15" customHeight="1" outlineLevelRow="1" outlineLevelCol="1"/>
  <cols>
    <col min="1" max="1" width="49" style="49" customWidth="1"/>
    <col min="2" max="2" width="8.1796875" style="174" hidden="1" customWidth="1" collapsed="1"/>
    <col min="3" max="6" width="19.54296875" style="49" hidden="1" customWidth="1" outlineLevel="1"/>
    <col min="7" max="14" width="20" style="49" hidden="1" customWidth="1" outlineLevel="1"/>
    <col min="15" max="17" width="19.54296875" style="49" hidden="1" customWidth="1" outlineLevel="1"/>
    <col min="18" max="22" width="19.26953125" style="49" hidden="1" customWidth="1" outlineLevel="1"/>
    <col min="23" max="25" width="20" style="49" hidden="1" customWidth="1" outlineLevel="1"/>
    <col min="26" max="26" width="18.81640625" style="49" hidden="1" customWidth="1" outlineLevel="1"/>
    <col min="27" max="27" width="17.81640625" style="43" bestFit="1" customWidth="1"/>
    <col min="28" max="28" width="18.26953125" style="74" bestFit="1" customWidth="1"/>
    <col min="29" max="30" width="18.54296875" style="43" bestFit="1" customWidth="1"/>
    <col min="31" max="31" width="18.26953125" style="43" bestFit="1" customWidth="1"/>
    <col min="32" max="32" width="18.54296875" style="43" bestFit="1" customWidth="1"/>
    <col min="33" max="33" width="18.26953125" style="43" bestFit="1" customWidth="1"/>
    <col min="34" max="36" width="18.54296875" style="43" bestFit="1" customWidth="1"/>
    <col min="37" max="37" width="17.81640625" style="43" bestFit="1" customWidth="1"/>
    <col min="38" max="38" width="18.54296875" style="43" bestFit="1" customWidth="1"/>
    <col min="39" max="39" width="19.1796875" style="43" bestFit="1" customWidth="1"/>
    <col min="40" max="40" width="18.453125" style="43" bestFit="1" customWidth="1"/>
    <col min="41" max="41" width="18.81640625" style="43" customWidth="1"/>
    <col min="42" max="42" width="9.7265625" style="43" customWidth="1"/>
    <col min="43" max="43" width="17.453125" style="43" bestFit="1" customWidth="1"/>
    <col min="44" max="44" width="7.81640625" style="43" customWidth="1"/>
    <col min="45" max="16384" width="9.26953125" style="43"/>
  </cols>
  <sheetData>
    <row r="1" spans="1:26" ht="19.5" customHeight="1">
      <c r="A1" s="39" t="s">
        <v>362</v>
      </c>
      <c r="B1" s="40"/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1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9.5" hidden="1" customHeight="1">
      <c r="A2" s="44" t="s">
        <v>63</v>
      </c>
      <c r="B2" s="45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1"/>
      <c r="P2" s="42"/>
      <c r="Q2" s="42"/>
      <c r="R2" s="42"/>
      <c r="S2" s="42"/>
      <c r="T2" s="42"/>
      <c r="U2" s="42"/>
      <c r="V2" s="46"/>
      <c r="W2" s="42"/>
      <c r="X2" s="42"/>
      <c r="Y2" s="42"/>
      <c r="Z2" s="42"/>
    </row>
    <row r="3" spans="1:26" ht="19.5" hidden="1" customHeight="1">
      <c r="A3" s="47"/>
      <c r="B3" s="45"/>
      <c r="C3" s="48">
        <v>2024</v>
      </c>
      <c r="D3" s="42">
        <f>C3</f>
        <v>2024</v>
      </c>
      <c r="E3" s="42">
        <f>D3</f>
        <v>2024</v>
      </c>
      <c r="F3" s="42">
        <f t="shared" ref="F3:N3" si="0">E3</f>
        <v>2024</v>
      </c>
      <c r="G3" s="42">
        <f t="shared" si="0"/>
        <v>2024</v>
      </c>
      <c r="H3" s="42">
        <f>G3</f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8">
        <v>2025</v>
      </c>
      <c r="P3" s="42">
        <f>O3</f>
        <v>2025</v>
      </c>
      <c r="Q3" s="42">
        <f>P3</f>
        <v>2025</v>
      </c>
      <c r="R3" s="42">
        <f>Q3</f>
        <v>2025</v>
      </c>
      <c r="S3" s="42">
        <f>R3</f>
        <v>2025</v>
      </c>
      <c r="T3" s="42">
        <f>S3</f>
        <v>2025</v>
      </c>
      <c r="U3" s="42">
        <f t="shared" ref="U3:Z3" si="1">T3</f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f t="shared" si="1"/>
        <v>2025</v>
      </c>
    </row>
    <row r="4" spans="1:26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</row>
    <row r="5" spans="1:26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3" t="s">
        <v>78</v>
      </c>
      <c r="P5" s="53" t="s">
        <v>79</v>
      </c>
      <c r="Q5" s="53" t="s">
        <v>80</v>
      </c>
      <c r="R5" s="53" t="s">
        <v>81</v>
      </c>
      <c r="S5" s="53" t="s">
        <v>82</v>
      </c>
      <c r="T5" s="53" t="s">
        <v>83</v>
      </c>
      <c r="U5" s="53" t="s">
        <v>84</v>
      </c>
      <c r="V5" s="53" t="s">
        <v>85</v>
      </c>
      <c r="W5" s="53" t="s">
        <v>86</v>
      </c>
      <c r="X5" s="53" t="s">
        <v>87</v>
      </c>
      <c r="Y5" s="53" t="s">
        <v>88</v>
      </c>
      <c r="Z5" s="53" t="s">
        <v>89</v>
      </c>
    </row>
    <row r="6" spans="1:26" ht="15" hidden="1" customHeight="1" outlineLevel="1">
      <c r="A6" s="56" t="s">
        <v>90</v>
      </c>
      <c r="B6" s="57">
        <v>1</v>
      </c>
      <c r="C6" s="58">
        <f>DTR!C6+'Dai Loc'!C6+'Dong Lam'!C6+'Khanh Nga'!C6+TDP!C6+DTRVL!C6</f>
        <v>842504987537</v>
      </c>
      <c r="D6" s="58">
        <f>DTR!D6+'Dai Loc'!D6+'Dong Lam'!D6+'Khanh Nga'!D6+TDP!D6+DTRVL!D6</f>
        <v>828028218928</v>
      </c>
      <c r="E6" s="58">
        <f>DTR!E6+'Dai Loc'!E6+'Dong Lam'!E6+'Khanh Nga'!E6+TDP!E6+DTRVL!E6</f>
        <v>866642137961.85999</v>
      </c>
      <c r="F6" s="58">
        <f>DTR!F6+'Dai Loc'!F6+'Dong Lam'!F6+'Khanh Nga'!F6+TDP!F6+DTRVL!F6</f>
        <v>928663771131.88196</v>
      </c>
      <c r="G6" s="58">
        <f>DTR!G6+'Dai Loc'!G6+'Dong Lam'!G6+'Khanh Nga'!G6+TDP!G6+DTRVL!G6</f>
        <v>974972463666</v>
      </c>
      <c r="H6" s="58">
        <f>DTR!H6+'Dai Loc'!H6+'Dong Lam'!H6+'Khanh Nga'!H6+TDP!H6+DTRVL!H6</f>
        <v>1000977606992</v>
      </c>
      <c r="I6" s="58">
        <f>DTR!I6+'Dai Loc'!I6+'Dong Lam'!I6+'Khanh Nga'!I6+TDP!I6+DTRVL!I6</f>
        <v>945309048746</v>
      </c>
      <c r="J6" s="58">
        <f>DTR!J6+'Dai Loc'!J6+'Dong Lam'!J6+'Khanh Nga'!J6+TDP!J6+DTRVL!J6</f>
        <v>891517737502</v>
      </c>
      <c r="K6" s="58">
        <f>DTR!K6+'Dai Loc'!K6+'Dong Lam'!K6+'Khanh Nga'!K6+TDP!K6+DTRVL!K6</f>
        <v>936081186419</v>
      </c>
      <c r="L6" s="58">
        <f>DTR!L6+'Dai Loc'!L6+'Dong Lam'!L6+'Khanh Nga'!L6+TDP!L6+DTRVL!L6</f>
        <v>958515464055</v>
      </c>
      <c r="M6" s="58">
        <f>DTR!M6+'Dai Loc'!M6+'Dong Lam'!M6+'Khanh Nga'!M6+TDP!M6+DTRVL!M6</f>
        <v>1056118226546</v>
      </c>
      <c r="N6" s="58">
        <f>DTR!N6+'Dai Loc'!N6+'Dong Lam'!N6+'Khanh Nga'!N6+TDP!N6+DTRVL!N6</f>
        <v>1029421488703.4821</v>
      </c>
      <c r="O6" s="58">
        <f>DTR!O6+'Dai Loc'!O6+'Dong Lam'!O6+'Khanh Nga'!O6+TDP!O6+DTRVL!O6</f>
        <v>954748296331.99988</v>
      </c>
      <c r="P6" s="58">
        <f>DTR!P6+'Dai Loc'!P6+'Dong Lam'!P6+'Khanh Nga'!P6+TDP!P6+DTRVL!P6</f>
        <v>877023182835</v>
      </c>
      <c r="Q6" s="58">
        <f>DTR!Q6+'Dai Loc'!Q6+'Dong Lam'!Q6+'Khanh Nga'!Q6+TDP!Q6+DTRVL!Q6</f>
        <v>926484056508.48206</v>
      </c>
      <c r="R6" s="58">
        <f>DTR!R6+'Dai Loc'!R6+'Dong Lam'!R6+'Khanh Nga'!R6+TDP!R6+DTRVL!R6</f>
        <v>989123220558</v>
      </c>
      <c r="S6" s="58">
        <f>DTR!S6+'Dai Loc'!S6+'Dong Lam'!S6+'Khanh Nga'!S6+TDP!S6+DTRVL!S6</f>
        <v>1043494783381</v>
      </c>
      <c r="T6" s="58">
        <f>DTR!T6+'Dai Loc'!T6+'Dong Lam'!T6+'Khanh Nga'!T6+TDP!T6+DTRVL!T6</f>
        <v>1075521458975.4821</v>
      </c>
      <c r="U6" s="58">
        <f>DTR!U6+'Dai Loc'!U6+'Dong Lam'!U6+'Khanh Nga'!U6+TDP!U6+DTRVL!U6</f>
        <v>1073841120904.4821</v>
      </c>
      <c r="V6" s="58">
        <f>DTR!V6+'Dai Loc'!V6+'Dong Lam'!V6+'Khanh Nga'!V6+TDP!V6+DTRVL!V6</f>
        <v>1139773704415.4819</v>
      </c>
      <c r="W6" s="58">
        <f>DTR!W6+'Dai Loc'!W6+'Dong Lam'!W6+'Khanh Nga'!W6+TDP!W6+DTRVL!W6</f>
        <v>1115503103952.4819</v>
      </c>
      <c r="X6" s="58">
        <f>DTR!X6+'Dai Loc'!X6+'Dong Lam'!X6+'Khanh Nga'!X6+TDP!X6+DTRVL!X6</f>
        <v>1056233588295.4821</v>
      </c>
      <c r="Y6" s="58">
        <f>DTR!Y6+'Dai Loc'!Y6+'Dong Lam'!Y6+'Khanh Nga'!Y6+TDP!Y6+DTRVL!Y6</f>
        <v>1031774824737.4821</v>
      </c>
      <c r="Z6" s="58">
        <f>DTR!Z6+'Dai Loc'!Z6+'Dong Lam'!Z6+'Khanh Nga'!Z6+TDP!Z6+DTRVL!Z6</f>
        <v>1027131422218</v>
      </c>
    </row>
    <row r="7" spans="1:26" ht="15" hidden="1" customHeight="1" outlineLevel="1">
      <c r="A7" s="59" t="s">
        <v>91</v>
      </c>
      <c r="B7" s="60">
        <v>2</v>
      </c>
      <c r="C7" s="61">
        <f>DTR!C7+'Dai Loc'!C7+'Dong Lam'!C7+'Khanh Nga'!C7+TDP!C7+DTRVL!C7</f>
        <v>46633249760</v>
      </c>
      <c r="D7" s="61">
        <f>DTR!D7+'Dai Loc'!D7+'Dong Lam'!D7+'Khanh Nga'!D7+TDP!D7+DTRVL!D7</f>
        <v>35851802774</v>
      </c>
      <c r="E7" s="61">
        <f>DTR!E7+'Dai Loc'!E7+'Dong Lam'!E7+'Khanh Nga'!E7+TDP!E7+DTRVL!E7</f>
        <v>26393055917</v>
      </c>
      <c r="F7" s="61">
        <f>DTR!F7+'Dai Loc'!F7+'Dong Lam'!F7+'Khanh Nga'!F7+TDP!F7+DTRVL!F7</f>
        <v>34593153167</v>
      </c>
      <c r="G7" s="61">
        <f>DTR!G7+'Dai Loc'!G7+'Dong Lam'!G7+'Khanh Nga'!G7+TDP!G7+DTRVL!G7</f>
        <v>33199136312</v>
      </c>
      <c r="H7" s="61">
        <f>DTR!H7+'Dai Loc'!H7+'Dong Lam'!H7+'Khanh Nga'!H7+TDP!H7+DTRVL!H7</f>
        <v>19638634542</v>
      </c>
      <c r="I7" s="61">
        <f>DTR!I7+'Dai Loc'!I7+'Dong Lam'!I7+'Khanh Nga'!I7+TDP!I7+DTRVL!I7</f>
        <v>56271006190</v>
      </c>
      <c r="J7" s="61">
        <f>DTR!J7+'Dai Loc'!J7+'Dong Lam'!J7+'Khanh Nga'!J7+TDP!J7+DTRVL!J7</f>
        <v>35429490170</v>
      </c>
      <c r="K7" s="61">
        <f>DTR!K7+'Dai Loc'!K7+'Dong Lam'!K7+'Khanh Nga'!K7+TDP!K7+DTRVL!K7</f>
        <v>48429525475</v>
      </c>
      <c r="L7" s="61">
        <f>DTR!L7+'Dai Loc'!L7+'Dong Lam'!L7+'Khanh Nga'!L7+TDP!L7+DTRVL!L7</f>
        <v>78014775934</v>
      </c>
      <c r="M7" s="61">
        <f>DTR!M7+'Dai Loc'!M7+'Dong Lam'!M7+'Khanh Nga'!M7+TDP!M7+DTRVL!M7</f>
        <v>81105192016</v>
      </c>
      <c r="N7" s="61">
        <f>DTR!N7+'Dai Loc'!N7+'Dong Lam'!N7+'Khanh Nga'!N7+TDP!N7+DTRVL!N7</f>
        <v>78515947311</v>
      </c>
      <c r="O7" s="61">
        <f>DTR!O7+'Dai Loc'!O7+'Dong Lam'!O7+'Khanh Nga'!O7+TDP!O7+DTRVL!O7</f>
        <v>108757458297</v>
      </c>
      <c r="P7" s="61">
        <f>DTR!P7+'Dai Loc'!P7+'Dong Lam'!P7+'Khanh Nga'!P7+TDP!P7+DTRVL!P7</f>
        <v>63047560922</v>
      </c>
      <c r="Q7" s="61">
        <f>DTR!Q7+'Dai Loc'!Q7+'Dong Lam'!Q7+'Khanh Nga'!Q7+TDP!Q7+DTRVL!Q7</f>
        <v>57546333332</v>
      </c>
      <c r="R7" s="61">
        <f>DTR!R7+'Dai Loc'!R7+'Dong Lam'!R7+'Khanh Nga'!R7+TDP!R7+DTRVL!R7</f>
        <v>72781093895</v>
      </c>
      <c r="S7" s="61">
        <f>DTR!S7+'Dai Loc'!S7+'Dong Lam'!S7+'Khanh Nga'!S7+TDP!S7+DTRVL!S7</f>
        <v>53850392378</v>
      </c>
      <c r="T7" s="61">
        <f>DTR!T7+'Dai Loc'!T7+'Dong Lam'!T7+'Khanh Nga'!T7+TDP!T7+DTRVL!T7</f>
        <v>47310681042</v>
      </c>
      <c r="U7" s="61">
        <f>DTR!U7+'Dai Loc'!U7+'Dong Lam'!U7+'Khanh Nga'!U7+TDP!U7+DTRVL!U7</f>
        <v>46943683940</v>
      </c>
      <c r="V7" s="61">
        <f>DTR!V7+'Dai Loc'!V7+'Dong Lam'!V7+'Khanh Nga'!V7+TDP!V7+DTRVL!V7</f>
        <v>52760383890</v>
      </c>
      <c r="W7" s="61">
        <f>DTR!W7+'Dai Loc'!W7+'Dong Lam'!W7+'Khanh Nga'!W7+TDP!W7+DTRVL!W7</f>
        <v>94749581700</v>
      </c>
      <c r="X7" s="61">
        <f>DTR!X7+'Dai Loc'!X7+'Dong Lam'!X7+'Khanh Nga'!X7+TDP!X7+DTRVL!X7</f>
        <v>86336513720</v>
      </c>
      <c r="Y7" s="61">
        <f>DTR!Y7+'Dai Loc'!Y7+'Dong Lam'!Y7+'Khanh Nga'!Y7+TDP!Y7+DTRVL!Y7</f>
        <v>82814145673</v>
      </c>
      <c r="Z7" s="61">
        <f>DTR!Z7+'Dai Loc'!Z7+'Dong Lam'!Z7+'Khanh Nga'!Z7+TDP!Z7+DTRVL!Z7</f>
        <v>63226156108</v>
      </c>
    </row>
    <row r="8" spans="1:26" ht="15" hidden="1" customHeight="1" outlineLevel="1">
      <c r="A8" s="62" t="s">
        <v>92</v>
      </c>
      <c r="B8" s="63">
        <v>3</v>
      </c>
      <c r="C8" s="64">
        <f>DTR!C8+'Dai Loc'!C8+'Dong Lam'!C8+'Khanh Nga'!C8+TDP!C8+DTRVL!C8</f>
        <v>39793249760</v>
      </c>
      <c r="D8" s="64">
        <f>DTR!D8+'Dai Loc'!D8+'Dong Lam'!D8+'Khanh Nga'!D8+TDP!D8+DTRVL!D8</f>
        <v>29011802774</v>
      </c>
      <c r="E8" s="64">
        <f>DTR!E8+'Dai Loc'!E8+'Dong Lam'!E8+'Khanh Nga'!E8+TDP!E8+DTRVL!E8</f>
        <v>21563055917</v>
      </c>
      <c r="F8" s="64">
        <f>DTR!F8+'Dai Loc'!F8+'Dong Lam'!F8+'Khanh Nga'!F8+TDP!F8+DTRVL!F8</f>
        <v>25763153167</v>
      </c>
      <c r="G8" s="64">
        <f>DTR!G8+'Dai Loc'!G8+'Dong Lam'!G8+'Khanh Nga'!G8+TDP!G8+DTRVL!G8</f>
        <v>24369136312</v>
      </c>
      <c r="H8" s="64">
        <f>DTR!H8+'Dai Loc'!H8+'Dong Lam'!H8+'Khanh Nga'!H8+TDP!H8+DTRVL!H8</f>
        <v>14808634542</v>
      </c>
      <c r="I8" s="64">
        <f>DTR!I8+'Dai Loc'!I8+'Dong Lam'!I8+'Khanh Nga'!I8+TDP!I8+DTRVL!I8</f>
        <v>48441006190</v>
      </c>
      <c r="J8" s="64">
        <f>DTR!J8+'Dai Loc'!J8+'Dong Lam'!J8+'Khanh Nga'!J8+TDP!J8+DTRVL!J8</f>
        <v>27599490170</v>
      </c>
      <c r="K8" s="64">
        <f>DTR!K8+'Dai Loc'!K8+'Dong Lam'!K8+'Khanh Nga'!K8+TDP!K8+DTRVL!K8</f>
        <v>41429525475</v>
      </c>
      <c r="L8" s="64">
        <f>DTR!L8+'Dai Loc'!L8+'Dong Lam'!L8+'Khanh Nga'!L8+TDP!L8+DTRVL!L8</f>
        <v>71014775934</v>
      </c>
      <c r="M8" s="64">
        <f>DTR!M8+'Dai Loc'!M8+'Dong Lam'!M8+'Khanh Nga'!M8+TDP!M8+DTRVL!M8</f>
        <v>74105192016</v>
      </c>
      <c r="N8" s="64">
        <f>DTR!N8+'Dai Loc'!N8+'Dong Lam'!N8+'Khanh Nga'!N8+TDP!N8+DTRVL!N8</f>
        <v>61515947311</v>
      </c>
      <c r="O8" s="64">
        <f>DTR!O8+'Dai Loc'!O8+'Dong Lam'!O8+'Khanh Nga'!O8+TDP!O8+DTRVL!O8</f>
        <v>98917458297</v>
      </c>
      <c r="P8" s="64">
        <f>DTR!P8+'Dai Loc'!P8+'Dong Lam'!P8+'Khanh Nga'!P8+TDP!P8+DTRVL!P8</f>
        <v>53207560922</v>
      </c>
      <c r="Q8" s="64">
        <f>DTR!Q8+'Dai Loc'!Q8+'Dong Lam'!Q8+'Khanh Nga'!Q8+TDP!Q8+DTRVL!Q8</f>
        <v>49746333332</v>
      </c>
      <c r="R8" s="64">
        <f>DTR!R8+'Dai Loc'!R8+'Dong Lam'!R8+'Khanh Nga'!R8+TDP!R8+DTRVL!R8</f>
        <v>64981093895</v>
      </c>
      <c r="S8" s="64">
        <f>DTR!S8+'Dai Loc'!S8+'Dong Lam'!S8+'Khanh Nga'!S8+TDP!S8+DTRVL!S8</f>
        <v>46850392378</v>
      </c>
      <c r="T8" s="64">
        <f>DTR!T8+'Dai Loc'!T8+'Dong Lam'!T8+'Khanh Nga'!T8+TDP!T8+DTRVL!T8</f>
        <v>40310681042</v>
      </c>
      <c r="U8" s="64">
        <f>DTR!U8+'Dai Loc'!U8+'Dong Lam'!U8+'Khanh Nga'!U8+TDP!U8+DTRVL!U8</f>
        <v>40943683940</v>
      </c>
      <c r="V8" s="64">
        <f>DTR!V8+'Dai Loc'!V8+'Dong Lam'!V8+'Khanh Nga'!V8+TDP!V8+DTRVL!V8</f>
        <v>46060383890</v>
      </c>
      <c r="W8" s="64">
        <f>DTR!W8+'Dai Loc'!W8+'Dong Lam'!W8+'Khanh Nga'!W8+TDP!W8+DTRVL!W8</f>
        <v>88049581700</v>
      </c>
      <c r="X8" s="64">
        <f>DTR!X8+'Dai Loc'!X8+'Dong Lam'!X8+'Khanh Nga'!X8+TDP!X8+DTRVL!X8</f>
        <v>51636513720</v>
      </c>
      <c r="Y8" s="64">
        <f>DTR!Y8+'Dai Loc'!Y8+'Dong Lam'!Y8+'Khanh Nga'!Y8+TDP!Y8+DTRVL!Y8</f>
        <v>50114145673</v>
      </c>
      <c r="Z8" s="64">
        <f>DTR!Z8+'Dai Loc'!Z8+'Dong Lam'!Z8+'Khanh Nga'!Z8+TDP!Z8+DTRVL!Z8</f>
        <v>53526156108</v>
      </c>
    </row>
    <row r="9" spans="1:26" ht="15" hidden="1" customHeight="1" outlineLevel="1">
      <c r="A9" s="62" t="s">
        <v>93</v>
      </c>
      <c r="B9" s="63">
        <v>4</v>
      </c>
      <c r="C9" s="64">
        <f>DTR!C9+'Dai Loc'!C9+'Dong Lam'!C9+'Khanh Nga'!C9+TDP!C9+DTRVL!C9</f>
        <v>6840000000</v>
      </c>
      <c r="D9" s="64">
        <f>DTR!D9+'Dai Loc'!D9+'Dong Lam'!D9+'Khanh Nga'!D9+TDP!D9+DTRVL!D9</f>
        <v>6840000000</v>
      </c>
      <c r="E9" s="64">
        <f>DTR!E9+'Dai Loc'!E9+'Dong Lam'!E9+'Khanh Nga'!E9+TDP!E9+DTRVL!E9</f>
        <v>4830000000</v>
      </c>
      <c r="F9" s="64">
        <f>DTR!F9+'Dai Loc'!F9+'Dong Lam'!F9+'Khanh Nga'!F9+TDP!F9+DTRVL!F9</f>
        <v>8830000000</v>
      </c>
      <c r="G9" s="64">
        <f>DTR!G9+'Dai Loc'!G9+'Dong Lam'!G9+'Khanh Nga'!G9+TDP!G9+DTRVL!G9</f>
        <v>8830000000</v>
      </c>
      <c r="H9" s="64">
        <f>DTR!H9+'Dai Loc'!H9+'Dong Lam'!H9+'Khanh Nga'!H9+TDP!H9+DTRVL!H9</f>
        <v>4830000000</v>
      </c>
      <c r="I9" s="64">
        <f>DTR!I9+'Dai Loc'!I9+'Dong Lam'!I9+'Khanh Nga'!I9+TDP!I9+DTRVL!I9</f>
        <v>7830000000</v>
      </c>
      <c r="J9" s="64">
        <f>DTR!J9+'Dai Loc'!J9+'Dong Lam'!J9+'Khanh Nga'!J9+TDP!J9+DTRVL!J9</f>
        <v>7830000000</v>
      </c>
      <c r="K9" s="64">
        <f>DTR!K9+'Dai Loc'!K9+'Dong Lam'!K9+'Khanh Nga'!K9+TDP!K9+DTRVL!K9</f>
        <v>7000000000</v>
      </c>
      <c r="L9" s="64">
        <f>DTR!L9+'Dai Loc'!L9+'Dong Lam'!L9+'Khanh Nga'!L9+TDP!L9+DTRVL!L9</f>
        <v>7000000000</v>
      </c>
      <c r="M9" s="64">
        <f>DTR!M9+'Dai Loc'!M9+'Dong Lam'!M9+'Khanh Nga'!M9+TDP!M9+DTRVL!M9</f>
        <v>7000000000</v>
      </c>
      <c r="N9" s="64">
        <f>DTR!N9+'Dai Loc'!N9+'Dong Lam'!N9+'Khanh Nga'!N9+TDP!N9+DTRVL!N9</f>
        <v>17000000000</v>
      </c>
      <c r="O9" s="64">
        <f>DTR!O9+'Dai Loc'!O9+'Dong Lam'!O9+'Khanh Nga'!O9+TDP!O9+DTRVL!O9</f>
        <v>9840000000</v>
      </c>
      <c r="P9" s="64">
        <f>DTR!P9+'Dai Loc'!P9+'Dong Lam'!P9+'Khanh Nga'!P9+TDP!P9+DTRVL!P9</f>
        <v>9840000000</v>
      </c>
      <c r="Q9" s="64">
        <f>DTR!Q9+'Dai Loc'!Q9+'Dong Lam'!Q9+'Khanh Nga'!Q9+TDP!Q9+DTRVL!Q9</f>
        <v>7800000000</v>
      </c>
      <c r="R9" s="64">
        <f>DTR!R9+'Dai Loc'!R9+'Dong Lam'!R9+'Khanh Nga'!R9+TDP!R9+DTRVL!R9</f>
        <v>7800000000</v>
      </c>
      <c r="S9" s="64">
        <f>DTR!S9+'Dai Loc'!S9+'Dong Lam'!S9+'Khanh Nga'!S9+TDP!S9+DTRVL!S9</f>
        <v>7000000000</v>
      </c>
      <c r="T9" s="64">
        <f>DTR!T9+'Dai Loc'!T9+'Dong Lam'!T9+'Khanh Nga'!T9+TDP!T9+DTRVL!T9</f>
        <v>7000000000</v>
      </c>
      <c r="U9" s="64">
        <f>DTR!U9+'Dai Loc'!U9+'Dong Lam'!U9+'Khanh Nga'!U9+TDP!U9+DTRVL!U9</f>
        <v>6000000000</v>
      </c>
      <c r="V9" s="64">
        <f>DTR!V9+'Dai Loc'!V9+'Dong Lam'!V9+'Khanh Nga'!V9+TDP!V9+DTRVL!V9</f>
        <v>6700000000</v>
      </c>
      <c r="W9" s="64">
        <f>DTR!W9+'Dai Loc'!W9+'Dong Lam'!W9+'Khanh Nga'!W9+TDP!W9+DTRVL!W9</f>
        <v>6700000000</v>
      </c>
      <c r="X9" s="64">
        <f>DTR!X9+'Dai Loc'!X9+'Dong Lam'!X9+'Khanh Nga'!X9+TDP!X9+DTRVL!X9</f>
        <v>34700000000</v>
      </c>
      <c r="Y9" s="64">
        <f>DTR!Y9+'Dai Loc'!Y9+'Dong Lam'!Y9+'Khanh Nga'!Y9+TDP!Y9+DTRVL!Y9</f>
        <v>32700000000</v>
      </c>
      <c r="Z9" s="64">
        <f>DTR!Z9+'Dai Loc'!Z9+'Dong Lam'!Z9+'Khanh Nga'!Z9+TDP!Z9+DTRVL!Z9</f>
        <v>9700000000</v>
      </c>
    </row>
    <row r="10" spans="1:26" ht="15" hidden="1" customHeight="1" outlineLevel="1">
      <c r="A10" s="59" t="s">
        <v>94</v>
      </c>
      <c r="B10" s="65">
        <v>5</v>
      </c>
      <c r="C10" s="61">
        <f>DTR!C10+'Dai Loc'!C10+'Dong Lam'!C10+'Khanh Nga'!C10+TDP!C10+DTRVL!C10</f>
        <v>108051581921</v>
      </c>
      <c r="D10" s="61">
        <f>DTR!D10+'Dai Loc'!D10+'Dong Lam'!D10+'Khanh Nga'!D10+TDP!D10+DTRVL!D10</f>
        <v>108041861921</v>
      </c>
      <c r="E10" s="61">
        <f>DTR!E10+'Dai Loc'!E10+'Dong Lam'!E10+'Khanh Nga'!E10+TDP!E10+DTRVL!E10</f>
        <v>108032141921</v>
      </c>
      <c r="F10" s="61">
        <f>DTR!F10+'Dai Loc'!F10+'Dong Lam'!F10+'Khanh Nga'!F10+TDP!F10+DTRVL!F10</f>
        <v>97522421921</v>
      </c>
      <c r="G10" s="61">
        <f>DTR!G10+'Dai Loc'!G10+'Dong Lam'!G10+'Khanh Nga'!G10+TDP!G10+DTRVL!G10</f>
        <v>97512701921</v>
      </c>
      <c r="H10" s="61">
        <f>DTR!H10+'Dai Loc'!H10+'Dong Lam'!H10+'Khanh Nga'!H10+TDP!H10+DTRVL!H10</f>
        <v>77502981921</v>
      </c>
      <c r="I10" s="61">
        <f>DTR!I10+'Dai Loc'!I10+'Dong Lam'!I10+'Khanh Nga'!I10+TDP!I10+DTRVL!I10</f>
        <v>57993261921</v>
      </c>
      <c r="J10" s="61">
        <f>DTR!J10+'Dai Loc'!J10+'Dong Lam'!J10+'Khanh Nga'!J10+TDP!J10+DTRVL!J10</f>
        <v>57983541921</v>
      </c>
      <c r="K10" s="61">
        <f>DTR!K10+'Dai Loc'!K10+'Dong Lam'!K10+'Khanh Nga'!K10+TDP!K10+DTRVL!K10</f>
        <v>58813541921</v>
      </c>
      <c r="L10" s="61">
        <f>DTR!L10+'Dai Loc'!L10+'Dong Lam'!L10+'Khanh Nga'!L10+TDP!L10+DTRVL!L10</f>
        <v>58794101921</v>
      </c>
      <c r="M10" s="61">
        <f>DTR!M10+'Dai Loc'!M10+'Dong Lam'!M10+'Khanh Nga'!M10+TDP!M10+DTRVL!M10</f>
        <v>98794101921</v>
      </c>
      <c r="N10" s="61">
        <f>DTR!N10+'Dai Loc'!N10+'Dong Lam'!N10+'Khanh Nga'!N10+TDP!N10+DTRVL!N10</f>
        <v>78774661921</v>
      </c>
      <c r="O10" s="61">
        <f>DTR!O10+'Dai Loc'!O10+'Dong Lam'!O10+'Khanh Nga'!O10+TDP!O10+DTRVL!O10</f>
        <v>77915221921</v>
      </c>
      <c r="P10" s="61">
        <f>DTR!P10+'Dai Loc'!P10+'Dong Lam'!P10+'Khanh Nga'!P10+TDP!P10+DTRVL!P10</f>
        <v>61415221921</v>
      </c>
      <c r="Q10" s="61">
        <f>DTR!Q10+'Dai Loc'!Q10+'Dong Lam'!Q10+'Khanh Nga'!Q10+TDP!Q10+DTRVL!Q10</f>
        <v>101255221921</v>
      </c>
      <c r="R10" s="61">
        <f>DTR!R10+'Dai Loc'!R10+'Dong Lam'!R10+'Khanh Nga'!R10+TDP!R10+DTRVL!R10</f>
        <v>125755221921</v>
      </c>
      <c r="S10" s="61">
        <f>DTR!S10+'Dai Loc'!S10+'Dong Lam'!S10+'Khanh Nga'!S10+TDP!S10+DTRVL!S10</f>
        <v>135726061921</v>
      </c>
      <c r="T10" s="61">
        <f>DTR!T10+'Dai Loc'!T10+'Dong Lam'!T10+'Khanh Nga'!T10+TDP!T10+DTRVL!T10</f>
        <v>135706621921</v>
      </c>
      <c r="U10" s="61">
        <f>DTR!U10+'Dai Loc'!U10+'Dong Lam'!U10+'Khanh Nga'!U10+TDP!U10+DTRVL!U10</f>
        <v>120706621921</v>
      </c>
      <c r="V10" s="61">
        <f>DTR!V10+'Dai Loc'!V10+'Dong Lam'!V10+'Khanh Nga'!V10+TDP!V10+DTRVL!V10</f>
        <v>120901021921</v>
      </c>
      <c r="W10" s="61">
        <f>DTR!W10+'Dai Loc'!W10+'Dong Lam'!W10+'Khanh Nga'!W10+TDP!W10+DTRVL!W10</f>
        <v>108901021921</v>
      </c>
      <c r="X10" s="61">
        <f>DTR!X10+'Dai Loc'!X10+'Dong Lam'!X10+'Khanh Nga'!X10+TDP!X10+DTRVL!X10</f>
        <v>88901021921</v>
      </c>
      <c r="Y10" s="61">
        <f>DTR!Y10+'Dai Loc'!Y10+'Dong Lam'!Y10+'Khanh Nga'!Y10+TDP!Y10+DTRVL!Y10</f>
        <v>78901021921</v>
      </c>
      <c r="Z10" s="61">
        <f>DTR!Z10+'Dai Loc'!Z10+'Dong Lam'!Z10+'Khanh Nga'!Z10+TDP!Z10+DTRVL!Z10</f>
        <v>79901021921</v>
      </c>
    </row>
    <row r="11" spans="1:26" ht="15" hidden="1" customHeight="1" outlineLevel="1">
      <c r="A11" s="62" t="s">
        <v>95</v>
      </c>
      <c r="B11" s="63">
        <v>6</v>
      </c>
      <c r="C11" s="64">
        <f>DTR!C11+'Dai Loc'!C11+'Dong Lam'!C11+'Khanh Nga'!C11+TDP!C11+DTRVL!C11</f>
        <v>0</v>
      </c>
      <c r="D11" s="64">
        <f>DTR!D11+'Dai Loc'!D11+'Dong Lam'!D11+'Khanh Nga'!D11+TDP!D11+DTRVL!D11</f>
        <v>0</v>
      </c>
      <c r="E11" s="64">
        <f>DTR!E11+'Dai Loc'!E11+'Dong Lam'!E11+'Khanh Nga'!E11+TDP!E11+DTRVL!E11</f>
        <v>0</v>
      </c>
      <c r="F11" s="64">
        <f>DTR!F11+'Dai Loc'!F11+'Dong Lam'!F11+'Khanh Nga'!F11+TDP!F11+DTRVL!F11</f>
        <v>0</v>
      </c>
      <c r="G11" s="64">
        <f>DTR!G11+'Dai Loc'!G11+'Dong Lam'!G11+'Khanh Nga'!G11+TDP!G11+DTRVL!G11</f>
        <v>0</v>
      </c>
      <c r="H11" s="64">
        <f>DTR!H11+'Dai Loc'!H11+'Dong Lam'!H11+'Khanh Nga'!H11+TDP!H11+DTRVL!H11</f>
        <v>0</v>
      </c>
      <c r="I11" s="64">
        <f>DTR!I11+'Dai Loc'!I11+'Dong Lam'!I11+'Khanh Nga'!I11+TDP!I11+DTRVL!I11</f>
        <v>0</v>
      </c>
      <c r="J11" s="64">
        <f>DTR!J11+'Dai Loc'!J11+'Dong Lam'!J11+'Khanh Nga'!J11+TDP!J11+DTRVL!J11</f>
        <v>0</v>
      </c>
      <c r="K11" s="64">
        <f>DTR!K11+'Dai Loc'!K11+'Dong Lam'!K11+'Khanh Nga'!K11+TDP!K11+DTRVL!K11</f>
        <v>0</v>
      </c>
      <c r="L11" s="64">
        <f>DTR!L11+'Dai Loc'!L11+'Dong Lam'!L11+'Khanh Nga'!L11+TDP!L11+DTRVL!L11</f>
        <v>0</v>
      </c>
      <c r="M11" s="64">
        <f>DTR!M11+'Dai Loc'!M11+'Dong Lam'!M11+'Khanh Nga'!M11+TDP!M11+DTRVL!M11</f>
        <v>0</v>
      </c>
      <c r="N11" s="64">
        <f>DTR!N11+'Dai Loc'!N11+'Dong Lam'!N11+'Khanh Nga'!N11+TDP!N11+DTRVL!N11</f>
        <v>0</v>
      </c>
      <c r="O11" s="64">
        <f>DTR!O11+'Dai Loc'!O11+'Dong Lam'!O11+'Khanh Nga'!O11+TDP!O11+DTRVL!O11</f>
        <v>0</v>
      </c>
      <c r="P11" s="64">
        <f>DTR!P11+'Dai Loc'!P11+'Dong Lam'!P11+'Khanh Nga'!P11+TDP!P11+DTRVL!P11</f>
        <v>0</v>
      </c>
      <c r="Q11" s="64">
        <f>DTR!Q11+'Dai Loc'!Q11+'Dong Lam'!Q11+'Khanh Nga'!Q11+TDP!Q11+DTRVL!Q11</f>
        <v>0</v>
      </c>
      <c r="R11" s="64">
        <f>DTR!R11+'Dai Loc'!R11+'Dong Lam'!R11+'Khanh Nga'!R11+TDP!R11+DTRVL!R11</f>
        <v>0</v>
      </c>
      <c r="S11" s="64">
        <f>DTR!S11+'Dai Loc'!S11+'Dong Lam'!S11+'Khanh Nga'!S11+TDP!S11+DTRVL!S11</f>
        <v>0</v>
      </c>
      <c r="T11" s="64">
        <f>DTR!T11+'Dai Loc'!T11+'Dong Lam'!T11+'Khanh Nga'!T11+TDP!T11+DTRVL!T11</f>
        <v>0</v>
      </c>
      <c r="U11" s="64">
        <f>DTR!U11+'Dai Loc'!U11+'Dong Lam'!U11+'Khanh Nga'!U11+TDP!U11+DTRVL!U11</f>
        <v>0</v>
      </c>
      <c r="V11" s="64">
        <f>DTR!V11+'Dai Loc'!V11+'Dong Lam'!V11+'Khanh Nga'!V11+TDP!V11+DTRVL!V11</f>
        <v>0</v>
      </c>
      <c r="W11" s="64">
        <f>DTR!W11+'Dai Loc'!W11+'Dong Lam'!W11+'Khanh Nga'!W11+TDP!W11+DTRVL!W11</f>
        <v>0</v>
      </c>
      <c r="X11" s="64">
        <f>DTR!X11+'Dai Loc'!X11+'Dong Lam'!X11+'Khanh Nga'!X11+TDP!X11+DTRVL!X11</f>
        <v>0</v>
      </c>
      <c r="Y11" s="64">
        <f>DTR!Y11+'Dai Loc'!Y11+'Dong Lam'!Y11+'Khanh Nga'!Y11+TDP!Y11+DTRVL!Y11</f>
        <v>0</v>
      </c>
      <c r="Z11" s="64">
        <f>DTR!Z11+'Dai Loc'!Z11+'Dong Lam'!Z11+'Khanh Nga'!Z11+TDP!Z11+DTRVL!Z11</f>
        <v>0</v>
      </c>
    </row>
    <row r="12" spans="1:26" ht="15" hidden="1" customHeight="1" outlineLevel="1">
      <c r="A12" s="62" t="s">
        <v>96</v>
      </c>
      <c r="B12" s="63">
        <v>7</v>
      </c>
      <c r="C12" s="64">
        <f>DTR!C12+'Dai Loc'!C12+'Dong Lam'!C12+'Khanh Nga'!C12+TDP!C12+DTRVL!C12</f>
        <v>0</v>
      </c>
      <c r="D12" s="64">
        <f>DTR!D12+'Dai Loc'!D12+'Dong Lam'!D12+'Khanh Nga'!D12+TDP!D12+DTRVL!D12</f>
        <v>0</v>
      </c>
      <c r="E12" s="64">
        <f>DTR!E12+'Dai Loc'!E12+'Dong Lam'!E12+'Khanh Nga'!E12+TDP!E12+DTRVL!E12</f>
        <v>0</v>
      </c>
      <c r="F12" s="64">
        <f>DTR!F12+'Dai Loc'!F12+'Dong Lam'!F12+'Khanh Nga'!F12+TDP!F12+DTRVL!F12</f>
        <v>0</v>
      </c>
      <c r="G12" s="64">
        <f>DTR!G12+'Dai Loc'!G12+'Dong Lam'!G12+'Khanh Nga'!G12+TDP!G12+DTRVL!G12</f>
        <v>0</v>
      </c>
      <c r="H12" s="64">
        <f>DTR!H12+'Dai Loc'!H12+'Dong Lam'!H12+'Khanh Nga'!H12+TDP!H12+DTRVL!H12</f>
        <v>0</v>
      </c>
      <c r="I12" s="64">
        <f>DTR!I12+'Dai Loc'!I12+'Dong Lam'!I12+'Khanh Nga'!I12+TDP!I12+DTRVL!I12</f>
        <v>0</v>
      </c>
      <c r="J12" s="64">
        <f>DTR!J12+'Dai Loc'!J12+'Dong Lam'!J12+'Khanh Nga'!J12+TDP!J12+DTRVL!J12</f>
        <v>0</v>
      </c>
      <c r="K12" s="64">
        <f>DTR!K12+'Dai Loc'!K12+'Dong Lam'!K12+'Khanh Nga'!K12+TDP!K12+DTRVL!K12</f>
        <v>0</v>
      </c>
      <c r="L12" s="64">
        <f>DTR!L12+'Dai Loc'!L12+'Dong Lam'!L12+'Khanh Nga'!L12+TDP!L12+DTRVL!L12</f>
        <v>0</v>
      </c>
      <c r="M12" s="64">
        <f>DTR!M12+'Dai Loc'!M12+'Dong Lam'!M12+'Khanh Nga'!M12+TDP!M12+DTRVL!M12</f>
        <v>0</v>
      </c>
      <c r="N12" s="64">
        <f>DTR!N12+'Dai Loc'!N12+'Dong Lam'!N12+'Khanh Nga'!N12+TDP!N12+DTRVL!N12</f>
        <v>0</v>
      </c>
      <c r="O12" s="64">
        <f>DTR!O12+'Dai Loc'!O12+'Dong Lam'!O12+'Khanh Nga'!O12+TDP!O12+DTRVL!O12</f>
        <v>0</v>
      </c>
      <c r="P12" s="64">
        <f>DTR!P12+'Dai Loc'!P12+'Dong Lam'!P12+'Khanh Nga'!P12+TDP!P12+DTRVL!P12</f>
        <v>0</v>
      </c>
      <c r="Q12" s="64">
        <f>DTR!Q12+'Dai Loc'!Q12+'Dong Lam'!Q12+'Khanh Nga'!Q12+TDP!Q12+DTRVL!Q12</f>
        <v>0</v>
      </c>
      <c r="R12" s="64">
        <f>DTR!R12+'Dai Loc'!R12+'Dong Lam'!R12+'Khanh Nga'!R12+TDP!R12+DTRVL!R12</f>
        <v>0</v>
      </c>
      <c r="S12" s="64">
        <f>DTR!S12+'Dai Loc'!S12+'Dong Lam'!S12+'Khanh Nga'!S12+TDP!S12+DTRVL!S12</f>
        <v>0</v>
      </c>
      <c r="T12" s="64">
        <f>DTR!T12+'Dai Loc'!T12+'Dong Lam'!T12+'Khanh Nga'!T12+TDP!T12+DTRVL!T12</f>
        <v>0</v>
      </c>
      <c r="U12" s="64">
        <f>DTR!U12+'Dai Loc'!U12+'Dong Lam'!U12+'Khanh Nga'!U12+TDP!U12+DTRVL!U12</f>
        <v>0</v>
      </c>
      <c r="V12" s="64">
        <f>DTR!V12+'Dai Loc'!V12+'Dong Lam'!V12+'Khanh Nga'!V12+TDP!V12+DTRVL!V12</f>
        <v>0</v>
      </c>
      <c r="W12" s="64">
        <f>DTR!W12+'Dai Loc'!W12+'Dong Lam'!W12+'Khanh Nga'!W12+TDP!W12+DTRVL!W12</f>
        <v>0</v>
      </c>
      <c r="X12" s="64">
        <f>DTR!X12+'Dai Loc'!X12+'Dong Lam'!X12+'Khanh Nga'!X12+TDP!X12+DTRVL!X12</f>
        <v>0</v>
      </c>
      <c r="Y12" s="64">
        <f>DTR!Y12+'Dai Loc'!Y12+'Dong Lam'!Y12+'Khanh Nga'!Y12+TDP!Y12+DTRVL!Y12</f>
        <v>0</v>
      </c>
      <c r="Z12" s="64">
        <f>DTR!Z12+'Dai Loc'!Z12+'Dong Lam'!Z12+'Khanh Nga'!Z12+TDP!Z12+DTRVL!Z12</f>
        <v>0</v>
      </c>
    </row>
    <row r="13" spans="1:26" ht="15" hidden="1" customHeight="1" outlineLevel="1">
      <c r="A13" s="66" t="s">
        <v>97</v>
      </c>
      <c r="B13" s="63">
        <v>8</v>
      </c>
      <c r="C13" s="64">
        <f>DTR!C13+'Dai Loc'!C13+'Dong Lam'!C13+'Khanh Nga'!C13+TDP!C13+DTRVL!C13</f>
        <v>108051581921</v>
      </c>
      <c r="D13" s="64">
        <f>DTR!D13+'Dai Loc'!D13+'Dong Lam'!D13+'Khanh Nga'!D13+TDP!D13+DTRVL!D13</f>
        <v>108041861921</v>
      </c>
      <c r="E13" s="64">
        <f>DTR!E13+'Dai Loc'!E13+'Dong Lam'!E13+'Khanh Nga'!E13+TDP!E13+DTRVL!E13</f>
        <v>108032141921</v>
      </c>
      <c r="F13" s="64">
        <f>DTR!F13+'Dai Loc'!F13+'Dong Lam'!F13+'Khanh Nga'!F13+TDP!F13+DTRVL!F13</f>
        <v>97522421921</v>
      </c>
      <c r="G13" s="64">
        <f>DTR!G13+'Dai Loc'!G13+'Dong Lam'!G13+'Khanh Nga'!G13+TDP!G13+DTRVL!G13</f>
        <v>97512701921</v>
      </c>
      <c r="H13" s="64">
        <f>DTR!H13+'Dai Loc'!H13+'Dong Lam'!H13+'Khanh Nga'!H13+TDP!H13+DTRVL!H13</f>
        <v>77502981921</v>
      </c>
      <c r="I13" s="64">
        <f>DTR!I13+'Dai Loc'!I13+'Dong Lam'!I13+'Khanh Nga'!I13+TDP!I13+DTRVL!I13</f>
        <v>57993261921</v>
      </c>
      <c r="J13" s="64">
        <f>DTR!J13+'Dai Loc'!J13+'Dong Lam'!J13+'Khanh Nga'!J13+TDP!J13+DTRVL!J13</f>
        <v>57983541921</v>
      </c>
      <c r="K13" s="64">
        <f>DTR!K13+'Dai Loc'!K13+'Dong Lam'!K13+'Khanh Nga'!K13+TDP!K13+DTRVL!K13</f>
        <v>58813541921</v>
      </c>
      <c r="L13" s="64">
        <f>DTR!L13+'Dai Loc'!L13+'Dong Lam'!L13+'Khanh Nga'!L13+TDP!L13+DTRVL!L13</f>
        <v>58794101921</v>
      </c>
      <c r="M13" s="64">
        <f>DTR!M13+'Dai Loc'!M13+'Dong Lam'!M13+'Khanh Nga'!M13+TDP!M13+DTRVL!M13</f>
        <v>98794101921</v>
      </c>
      <c r="N13" s="64">
        <f>DTR!N13+'Dai Loc'!N13+'Dong Lam'!N13+'Khanh Nga'!N13+TDP!N13+DTRVL!N13</f>
        <v>78774661921</v>
      </c>
      <c r="O13" s="64">
        <f>DTR!O13+'Dai Loc'!O13+'Dong Lam'!O13+'Khanh Nga'!O13+TDP!O13+DTRVL!O13</f>
        <v>77915221921</v>
      </c>
      <c r="P13" s="64">
        <f>DTR!P13+'Dai Loc'!P13+'Dong Lam'!P13+'Khanh Nga'!P13+TDP!P13+DTRVL!P13</f>
        <v>61415221921</v>
      </c>
      <c r="Q13" s="64">
        <f>DTR!Q13+'Dai Loc'!Q13+'Dong Lam'!Q13+'Khanh Nga'!Q13+TDP!Q13+DTRVL!Q13</f>
        <v>101255221921</v>
      </c>
      <c r="R13" s="64">
        <f>DTR!R13+'Dai Loc'!R13+'Dong Lam'!R13+'Khanh Nga'!R13+TDP!R13+DTRVL!R13</f>
        <v>125755221921</v>
      </c>
      <c r="S13" s="64">
        <f>DTR!S13+'Dai Loc'!S13+'Dong Lam'!S13+'Khanh Nga'!S13+TDP!S13+DTRVL!S13</f>
        <v>135726061921</v>
      </c>
      <c r="T13" s="64">
        <f>DTR!T13+'Dai Loc'!T13+'Dong Lam'!T13+'Khanh Nga'!T13+TDP!T13+DTRVL!T13</f>
        <v>135706621921</v>
      </c>
      <c r="U13" s="64">
        <f>DTR!U13+'Dai Loc'!U13+'Dong Lam'!U13+'Khanh Nga'!U13+TDP!U13+DTRVL!U13</f>
        <v>120706621921</v>
      </c>
      <c r="V13" s="64">
        <f>DTR!V13+'Dai Loc'!V13+'Dong Lam'!V13+'Khanh Nga'!V13+TDP!V13+DTRVL!V13</f>
        <v>120901021921</v>
      </c>
      <c r="W13" s="64">
        <f>DTR!W13+'Dai Loc'!W13+'Dong Lam'!W13+'Khanh Nga'!W13+TDP!W13+DTRVL!W13</f>
        <v>108901021921</v>
      </c>
      <c r="X13" s="64">
        <f>DTR!X13+'Dai Loc'!X13+'Dong Lam'!X13+'Khanh Nga'!X13+TDP!X13+DTRVL!X13</f>
        <v>88901021921</v>
      </c>
      <c r="Y13" s="64">
        <f>DTR!Y13+'Dai Loc'!Y13+'Dong Lam'!Y13+'Khanh Nga'!Y13+TDP!Y13+DTRVL!Y13</f>
        <v>78901021921</v>
      </c>
      <c r="Z13" s="64">
        <f>DTR!Z13+'Dai Loc'!Z13+'Dong Lam'!Z13+'Khanh Nga'!Z13+TDP!Z13+DTRVL!Z13</f>
        <v>79901021921</v>
      </c>
    </row>
    <row r="14" spans="1:26" ht="15" hidden="1" customHeight="1" outlineLevel="1">
      <c r="A14" s="66" t="s">
        <v>98</v>
      </c>
      <c r="B14" s="63">
        <v>9</v>
      </c>
      <c r="C14" s="64">
        <f>DTR!C14+'Dai Loc'!C14+'Dong Lam'!C14+'Khanh Nga'!C14+TDP!C14+DTRVL!C14</f>
        <v>0</v>
      </c>
      <c r="D14" s="64">
        <f>DTR!D14+'Dai Loc'!D14+'Dong Lam'!D14+'Khanh Nga'!D14+TDP!D14+DTRVL!D14</f>
        <v>0</v>
      </c>
      <c r="E14" s="64">
        <f>DTR!E14+'Dai Loc'!E14+'Dong Lam'!E14+'Khanh Nga'!E14+TDP!E14+DTRVL!E14</f>
        <v>0</v>
      </c>
      <c r="F14" s="64">
        <f>DTR!F14+'Dai Loc'!F14+'Dong Lam'!F14+'Khanh Nga'!F14+TDP!F14+DTRVL!F14</f>
        <v>0</v>
      </c>
      <c r="G14" s="64">
        <f>DTR!G14+'Dai Loc'!G14+'Dong Lam'!G14+'Khanh Nga'!G14+TDP!G14+DTRVL!G14</f>
        <v>0</v>
      </c>
      <c r="H14" s="64">
        <f>DTR!H14+'Dai Loc'!H14+'Dong Lam'!H14+'Khanh Nga'!H14+TDP!H14+DTRVL!H14</f>
        <v>0</v>
      </c>
      <c r="I14" s="64">
        <f>DTR!I14+'Dai Loc'!I14+'Dong Lam'!I14+'Khanh Nga'!I14+TDP!I14+DTRVL!I14</f>
        <v>0</v>
      </c>
      <c r="J14" s="64">
        <f>DTR!J14+'Dai Loc'!J14+'Dong Lam'!J14+'Khanh Nga'!J14+TDP!J14+DTRVL!J14</f>
        <v>0</v>
      </c>
      <c r="K14" s="64">
        <f>DTR!K14+'Dai Loc'!K14+'Dong Lam'!K14+'Khanh Nga'!K14+TDP!K14+DTRVL!K14</f>
        <v>0</v>
      </c>
      <c r="L14" s="64">
        <f>DTR!L14+'Dai Loc'!L14+'Dong Lam'!L14+'Khanh Nga'!L14+TDP!L14+DTRVL!L14</f>
        <v>0</v>
      </c>
      <c r="M14" s="64">
        <f>DTR!M14+'Dai Loc'!M14+'Dong Lam'!M14+'Khanh Nga'!M14+TDP!M14+DTRVL!M14</f>
        <v>0</v>
      </c>
      <c r="N14" s="64">
        <f>DTR!N14+'Dai Loc'!N14+'Dong Lam'!N14+'Khanh Nga'!N14+TDP!N14+DTRVL!N14</f>
        <v>0</v>
      </c>
      <c r="O14" s="64">
        <f>DTR!O14+'Dai Loc'!O14+'Dong Lam'!O14+'Khanh Nga'!O14+TDP!O14+DTRVL!O14</f>
        <v>0</v>
      </c>
      <c r="P14" s="64">
        <f>DTR!P14+'Dai Loc'!P14+'Dong Lam'!P14+'Khanh Nga'!P14+TDP!P14+DTRVL!P14</f>
        <v>0</v>
      </c>
      <c r="Q14" s="64">
        <f>DTR!Q14+'Dai Loc'!Q14+'Dong Lam'!Q14+'Khanh Nga'!Q14+TDP!Q14+DTRVL!Q14</f>
        <v>0</v>
      </c>
      <c r="R14" s="64">
        <f>DTR!R14+'Dai Loc'!R14+'Dong Lam'!R14+'Khanh Nga'!R14+TDP!R14+DTRVL!R14</f>
        <v>0</v>
      </c>
      <c r="S14" s="64">
        <f>DTR!S14+'Dai Loc'!S14+'Dong Lam'!S14+'Khanh Nga'!S14+TDP!S14+DTRVL!S14</f>
        <v>0</v>
      </c>
      <c r="T14" s="64">
        <f>DTR!T14+'Dai Loc'!T14+'Dong Lam'!T14+'Khanh Nga'!T14+TDP!T14+DTRVL!T14</f>
        <v>0</v>
      </c>
      <c r="U14" s="64">
        <f>DTR!U14+'Dai Loc'!U14+'Dong Lam'!U14+'Khanh Nga'!U14+TDP!U14+DTRVL!U14</f>
        <v>0</v>
      </c>
      <c r="V14" s="64">
        <f>DTR!V14+'Dai Loc'!V14+'Dong Lam'!V14+'Khanh Nga'!V14+TDP!V14+DTRVL!V14</f>
        <v>0</v>
      </c>
      <c r="W14" s="64">
        <f>DTR!W14+'Dai Loc'!W14+'Dong Lam'!W14+'Khanh Nga'!W14+TDP!W14+DTRVL!W14</f>
        <v>0</v>
      </c>
      <c r="X14" s="64">
        <f>DTR!X14+'Dai Loc'!X14+'Dong Lam'!X14+'Khanh Nga'!X14+TDP!X14+DTRVL!X14</f>
        <v>0</v>
      </c>
      <c r="Y14" s="64">
        <f>DTR!Y14+'Dai Loc'!Y14+'Dong Lam'!Y14+'Khanh Nga'!Y14+TDP!Y14+DTRVL!Y14</f>
        <v>0</v>
      </c>
      <c r="Z14" s="64">
        <f>DTR!Z14+'Dai Loc'!Z14+'Dong Lam'!Z14+'Khanh Nga'!Z14+TDP!Z14+DTRVL!Z14</f>
        <v>0</v>
      </c>
    </row>
    <row r="15" spans="1:26" ht="15" hidden="1" customHeight="1" outlineLevel="1">
      <c r="A15" s="66" t="s">
        <v>99</v>
      </c>
      <c r="B15" s="63">
        <v>10</v>
      </c>
      <c r="C15" s="64">
        <f>DTR!C15+'Dai Loc'!C15+'Dong Lam'!C15+'Khanh Nga'!C15+TDP!C15+DTRVL!C15</f>
        <v>0</v>
      </c>
      <c r="D15" s="64">
        <f>DTR!D15+'Dai Loc'!D15+'Dong Lam'!D15+'Khanh Nga'!D15+TDP!D15+DTRVL!D15</f>
        <v>0</v>
      </c>
      <c r="E15" s="64">
        <f>DTR!E15+'Dai Loc'!E15+'Dong Lam'!E15+'Khanh Nga'!E15+TDP!E15+DTRVL!E15</f>
        <v>0</v>
      </c>
      <c r="F15" s="64">
        <f>DTR!F15+'Dai Loc'!F15+'Dong Lam'!F15+'Khanh Nga'!F15+TDP!F15+DTRVL!F15</f>
        <v>0</v>
      </c>
      <c r="G15" s="64">
        <f>DTR!G15+'Dai Loc'!G15+'Dong Lam'!G15+'Khanh Nga'!G15+TDP!G15+DTRVL!G15</f>
        <v>0</v>
      </c>
      <c r="H15" s="64">
        <f>DTR!H15+'Dai Loc'!H15+'Dong Lam'!H15+'Khanh Nga'!H15+TDP!H15+DTRVL!H15</f>
        <v>0</v>
      </c>
      <c r="I15" s="64">
        <f>DTR!I15+'Dai Loc'!I15+'Dong Lam'!I15+'Khanh Nga'!I15+TDP!I15+DTRVL!I15</f>
        <v>0</v>
      </c>
      <c r="J15" s="64">
        <f>DTR!J15+'Dai Loc'!J15+'Dong Lam'!J15+'Khanh Nga'!J15+TDP!J15+DTRVL!J15</f>
        <v>0</v>
      </c>
      <c r="K15" s="64">
        <f>DTR!K15+'Dai Loc'!K15+'Dong Lam'!K15+'Khanh Nga'!K15+TDP!K15+DTRVL!K15</f>
        <v>0</v>
      </c>
      <c r="L15" s="64">
        <f>DTR!L15+'Dai Loc'!L15+'Dong Lam'!L15+'Khanh Nga'!L15+TDP!L15+DTRVL!L15</f>
        <v>0</v>
      </c>
      <c r="M15" s="64">
        <f>DTR!M15+'Dai Loc'!M15+'Dong Lam'!M15+'Khanh Nga'!M15+TDP!M15+DTRVL!M15</f>
        <v>0</v>
      </c>
      <c r="N15" s="64">
        <f>DTR!N15+'Dai Loc'!N15+'Dong Lam'!N15+'Khanh Nga'!N15+TDP!N15+DTRVL!N15</f>
        <v>0</v>
      </c>
      <c r="O15" s="64">
        <f>DTR!O15+'Dai Loc'!O15+'Dong Lam'!O15+'Khanh Nga'!O15+TDP!O15+DTRVL!O15</f>
        <v>0</v>
      </c>
      <c r="P15" s="64">
        <f>DTR!P15+'Dai Loc'!P15+'Dong Lam'!P15+'Khanh Nga'!P15+TDP!P15+DTRVL!P15</f>
        <v>0</v>
      </c>
      <c r="Q15" s="64">
        <f>DTR!Q15+'Dai Loc'!Q15+'Dong Lam'!Q15+'Khanh Nga'!Q15+TDP!Q15+DTRVL!Q15</f>
        <v>0</v>
      </c>
      <c r="R15" s="64">
        <f>DTR!R15+'Dai Loc'!R15+'Dong Lam'!R15+'Khanh Nga'!R15+TDP!R15+DTRVL!R15</f>
        <v>0</v>
      </c>
      <c r="S15" s="64">
        <f>DTR!S15+'Dai Loc'!S15+'Dong Lam'!S15+'Khanh Nga'!S15+TDP!S15+DTRVL!S15</f>
        <v>0</v>
      </c>
      <c r="T15" s="64">
        <f>DTR!T15+'Dai Loc'!T15+'Dong Lam'!T15+'Khanh Nga'!T15+TDP!T15+DTRVL!T15</f>
        <v>0</v>
      </c>
      <c r="U15" s="64">
        <f>DTR!U15+'Dai Loc'!U15+'Dong Lam'!U15+'Khanh Nga'!U15+TDP!U15+DTRVL!U15</f>
        <v>0</v>
      </c>
      <c r="V15" s="64">
        <f>DTR!V15+'Dai Loc'!V15+'Dong Lam'!V15+'Khanh Nga'!V15+TDP!V15+DTRVL!V15</f>
        <v>0</v>
      </c>
      <c r="W15" s="64">
        <f>DTR!W15+'Dai Loc'!W15+'Dong Lam'!W15+'Khanh Nga'!W15+TDP!W15+DTRVL!W15</f>
        <v>0</v>
      </c>
      <c r="X15" s="64">
        <f>DTR!X15+'Dai Loc'!X15+'Dong Lam'!X15+'Khanh Nga'!X15+TDP!X15+DTRVL!X15</f>
        <v>0</v>
      </c>
      <c r="Y15" s="64">
        <f>DTR!Y15+'Dai Loc'!Y15+'Dong Lam'!Y15+'Khanh Nga'!Y15+TDP!Y15+DTRVL!Y15</f>
        <v>0</v>
      </c>
      <c r="Z15" s="64">
        <f>DTR!Z15+'Dai Loc'!Z15+'Dong Lam'!Z15+'Khanh Nga'!Z15+TDP!Z15+DTRVL!Z15</f>
        <v>0</v>
      </c>
    </row>
    <row r="16" spans="1:26" ht="15" hidden="1" customHeight="1" outlineLevel="1">
      <c r="A16" s="66" t="s">
        <v>100</v>
      </c>
      <c r="B16" s="63">
        <v>11</v>
      </c>
      <c r="C16" s="64">
        <f>DTR!C16+'Dai Loc'!C16+'Dong Lam'!C16+'Khanh Nga'!C16+TDP!C16+DTRVL!C16</f>
        <v>0</v>
      </c>
      <c r="D16" s="64">
        <f>DTR!D16+'Dai Loc'!D16+'Dong Lam'!D16+'Khanh Nga'!D16+TDP!D16+DTRVL!D16</f>
        <v>0</v>
      </c>
      <c r="E16" s="64">
        <f>DTR!E16+'Dai Loc'!E16+'Dong Lam'!E16+'Khanh Nga'!E16+TDP!E16+DTRVL!E16</f>
        <v>0</v>
      </c>
      <c r="F16" s="64">
        <f>DTR!F16+'Dai Loc'!F16+'Dong Lam'!F16+'Khanh Nga'!F16+TDP!F16+DTRVL!F16</f>
        <v>0</v>
      </c>
      <c r="G16" s="64">
        <f>DTR!G16+'Dai Loc'!G16+'Dong Lam'!G16+'Khanh Nga'!G16+TDP!G16+DTRVL!G16</f>
        <v>0</v>
      </c>
      <c r="H16" s="64">
        <f>DTR!H16+'Dai Loc'!H16+'Dong Lam'!H16+'Khanh Nga'!H16+TDP!H16+DTRVL!H16</f>
        <v>0</v>
      </c>
      <c r="I16" s="64">
        <f>DTR!I16+'Dai Loc'!I16+'Dong Lam'!I16+'Khanh Nga'!I16+TDP!I16+DTRVL!I16</f>
        <v>0</v>
      </c>
      <c r="J16" s="64">
        <f>DTR!J16+'Dai Loc'!J16+'Dong Lam'!J16+'Khanh Nga'!J16+TDP!J16+DTRVL!J16</f>
        <v>0</v>
      </c>
      <c r="K16" s="64">
        <f>DTR!K16+'Dai Loc'!K16+'Dong Lam'!K16+'Khanh Nga'!K16+TDP!K16+DTRVL!K16</f>
        <v>0</v>
      </c>
      <c r="L16" s="64">
        <f>DTR!L16+'Dai Loc'!L16+'Dong Lam'!L16+'Khanh Nga'!L16+TDP!L16+DTRVL!L16</f>
        <v>0</v>
      </c>
      <c r="M16" s="64">
        <f>DTR!M16+'Dai Loc'!M16+'Dong Lam'!M16+'Khanh Nga'!M16+TDP!M16+DTRVL!M16</f>
        <v>0</v>
      </c>
      <c r="N16" s="64">
        <f>DTR!N16+'Dai Loc'!N16+'Dong Lam'!N16+'Khanh Nga'!N16+TDP!N16+DTRVL!N16</f>
        <v>0</v>
      </c>
      <c r="O16" s="64">
        <f>DTR!O16+'Dai Loc'!O16+'Dong Lam'!O16+'Khanh Nga'!O16+TDP!O16+DTRVL!O16</f>
        <v>0</v>
      </c>
      <c r="P16" s="64">
        <f>DTR!P16+'Dai Loc'!P16+'Dong Lam'!P16+'Khanh Nga'!P16+TDP!P16+DTRVL!P16</f>
        <v>0</v>
      </c>
      <c r="Q16" s="64">
        <f>DTR!Q16+'Dai Loc'!Q16+'Dong Lam'!Q16+'Khanh Nga'!Q16+TDP!Q16+DTRVL!Q16</f>
        <v>0</v>
      </c>
      <c r="R16" s="64">
        <f>DTR!R16+'Dai Loc'!R16+'Dong Lam'!R16+'Khanh Nga'!R16+TDP!R16+DTRVL!R16</f>
        <v>0</v>
      </c>
      <c r="S16" s="64">
        <f>DTR!S16+'Dai Loc'!S16+'Dong Lam'!S16+'Khanh Nga'!S16+TDP!S16+DTRVL!S16</f>
        <v>0</v>
      </c>
      <c r="T16" s="64">
        <f>DTR!T16+'Dai Loc'!T16+'Dong Lam'!T16+'Khanh Nga'!T16+TDP!T16+DTRVL!T16</f>
        <v>0</v>
      </c>
      <c r="U16" s="64">
        <f>DTR!U16+'Dai Loc'!U16+'Dong Lam'!U16+'Khanh Nga'!U16+TDP!U16+DTRVL!U16</f>
        <v>0</v>
      </c>
      <c r="V16" s="64">
        <f>DTR!V16+'Dai Loc'!V16+'Dong Lam'!V16+'Khanh Nga'!V16+TDP!V16+DTRVL!V16</f>
        <v>0</v>
      </c>
      <c r="W16" s="64">
        <f>DTR!W16+'Dai Loc'!W16+'Dong Lam'!W16+'Khanh Nga'!W16+TDP!W16+DTRVL!W16</f>
        <v>0</v>
      </c>
      <c r="X16" s="64">
        <f>DTR!X16+'Dai Loc'!X16+'Dong Lam'!X16+'Khanh Nga'!X16+TDP!X16+DTRVL!X16</f>
        <v>0</v>
      </c>
      <c r="Y16" s="64">
        <f>DTR!Y16+'Dai Loc'!Y16+'Dong Lam'!Y16+'Khanh Nga'!Y16+TDP!Y16+DTRVL!Y16</f>
        <v>0</v>
      </c>
      <c r="Z16" s="64">
        <f>DTR!Z16+'Dai Loc'!Z16+'Dong Lam'!Z16+'Khanh Nga'!Z16+TDP!Z16+DTRVL!Z16</f>
        <v>0</v>
      </c>
    </row>
    <row r="17" spans="1:26" ht="15" hidden="1" customHeight="1" outlineLevel="1">
      <c r="A17" s="59" t="s">
        <v>101</v>
      </c>
      <c r="B17" s="65">
        <v>12</v>
      </c>
      <c r="C17" s="61">
        <f>DTR!C17+'Dai Loc'!C17+'Dong Lam'!C17+'Khanh Nga'!C17+TDP!C17+DTRVL!C17</f>
        <v>208760771261.14001</v>
      </c>
      <c r="D17" s="61">
        <f>DTR!D17+'Dai Loc'!D17+'Dong Lam'!D17+'Khanh Nga'!D17+TDP!D17+DTRVL!D17</f>
        <v>193914556321.14001</v>
      </c>
      <c r="E17" s="61">
        <f>DTR!E17+'Dai Loc'!E17+'Dong Lam'!E17+'Khanh Nga'!E17+TDP!E17+DTRVL!E17</f>
        <v>201044728738</v>
      </c>
      <c r="F17" s="61">
        <f>DTR!F17+'Dai Loc'!F17+'Dong Lam'!F17+'Khanh Nga'!F17+TDP!F17+DTRVL!F17</f>
        <v>218534804131</v>
      </c>
      <c r="G17" s="61">
        <f>DTR!G17+'Dai Loc'!G17+'Dong Lam'!G17+'Khanh Nga'!G17+TDP!G17+DTRVL!G17</f>
        <v>221552374341.74799</v>
      </c>
      <c r="H17" s="61">
        <f>DTR!H17+'Dai Loc'!H17+'Dong Lam'!H17+'Khanh Nga'!H17+TDP!H17+DTRVL!H17</f>
        <v>247679067362.74799</v>
      </c>
      <c r="I17" s="61">
        <f>DTR!I17+'Dai Loc'!I17+'Dong Lam'!I17+'Khanh Nga'!I17+TDP!I17+DTRVL!I17</f>
        <v>152821201175.51801</v>
      </c>
      <c r="J17" s="61">
        <f>DTR!J17+'Dai Loc'!J17+'Dong Lam'!J17+'Khanh Nga'!J17+TDP!J17+DTRVL!J17</f>
        <v>177806369111.51801</v>
      </c>
      <c r="K17" s="61">
        <f>DTR!K17+'Dai Loc'!K17+'Dong Lam'!K17+'Khanh Nga'!K17+TDP!K17+DTRVL!K17</f>
        <v>209006347244.51801</v>
      </c>
      <c r="L17" s="61">
        <f>DTR!L17+'Dai Loc'!L17+'Dong Lam'!L17+'Khanh Nga'!L17+TDP!L17+DTRVL!L17</f>
        <v>202825461782.51801</v>
      </c>
      <c r="M17" s="61">
        <f>DTR!M17+'Dai Loc'!M17+'Dong Lam'!M17+'Khanh Nga'!M17+TDP!M17+DTRVL!M17</f>
        <v>243037929149.51801</v>
      </c>
      <c r="N17" s="61">
        <f>DTR!N17+'Dai Loc'!N17+'Dong Lam'!N17+'Khanh Nga'!N17+TDP!N17+DTRVL!N17</f>
        <v>226296560348</v>
      </c>
      <c r="O17" s="61">
        <f>DTR!O17+'Dai Loc'!O17+'Dong Lam'!O17+'Khanh Nga'!O17+TDP!O17+DTRVL!O17</f>
        <v>153416423920.51791</v>
      </c>
      <c r="P17" s="61">
        <f>DTR!P17+'Dai Loc'!P17+'Dong Lam'!P17+'Khanh Nga'!P17+TDP!P17+DTRVL!P17</f>
        <v>217154178930.51801</v>
      </c>
      <c r="Q17" s="61">
        <f>DTR!Q17+'Dai Loc'!Q17+'Dong Lam'!Q17+'Khanh Nga'!Q17+TDP!Q17+DTRVL!Q17</f>
        <v>246529441022</v>
      </c>
      <c r="R17" s="61">
        <f>DTR!R17+'Dai Loc'!R17+'Dong Lam'!R17+'Khanh Nga'!R17+TDP!R17+DTRVL!R17</f>
        <v>206452282899.51801</v>
      </c>
      <c r="S17" s="61">
        <f>DTR!S17+'Dai Loc'!S17+'Dong Lam'!S17+'Khanh Nga'!S17+TDP!S17+DTRVL!S17</f>
        <v>255926801601.51801</v>
      </c>
      <c r="T17" s="61">
        <f>DTR!T17+'Dai Loc'!T17+'Dong Lam'!T17+'Khanh Nga'!T17+TDP!T17+DTRVL!T17</f>
        <v>265046822387</v>
      </c>
      <c r="U17" s="61">
        <f>DTR!U17+'Dai Loc'!U17+'Dong Lam'!U17+'Khanh Nga'!U17+TDP!U17+DTRVL!U17</f>
        <v>256776358002</v>
      </c>
      <c r="V17" s="61">
        <f>DTR!V17+'Dai Loc'!V17+'Dong Lam'!V17+'Khanh Nga'!V17+TDP!V17+DTRVL!V17</f>
        <v>347217970131</v>
      </c>
      <c r="W17" s="61">
        <f>DTR!W17+'Dai Loc'!W17+'Dong Lam'!W17+'Khanh Nga'!W17+TDP!W17+DTRVL!W17</f>
        <v>288263459254</v>
      </c>
      <c r="X17" s="61">
        <f>DTR!X17+'Dai Loc'!X17+'Dong Lam'!X17+'Khanh Nga'!X17+TDP!X17+DTRVL!X17</f>
        <v>278479673888</v>
      </c>
      <c r="Y17" s="61">
        <f>DTR!Y17+'Dai Loc'!Y17+'Dong Lam'!Y17+'Khanh Nga'!Y17+TDP!Y17+DTRVL!Y17</f>
        <v>267498956449</v>
      </c>
      <c r="Z17" s="61">
        <f>DTR!Z17+'Dai Loc'!Z17+'Dong Lam'!Z17+'Khanh Nga'!Z17+TDP!Z17+DTRVL!Z17</f>
        <v>287452852834</v>
      </c>
    </row>
    <row r="18" spans="1:26" ht="15" hidden="1" customHeight="1" outlineLevel="1">
      <c r="A18" s="67" t="s">
        <v>102</v>
      </c>
      <c r="B18" s="63">
        <v>13</v>
      </c>
      <c r="C18" s="64">
        <f>DTR!C18+'Dai Loc'!C18+'Dong Lam'!C18+'Khanh Nga'!C18+TDP!C18+DTRVL!C18</f>
        <v>139866573147</v>
      </c>
      <c r="D18" s="64">
        <f>DTR!D18+'Dai Loc'!D18+'Dong Lam'!D18+'Khanh Nga'!D18+TDP!D18+DTRVL!D18</f>
        <v>145639317187</v>
      </c>
      <c r="E18" s="64">
        <f>DTR!E18+'Dai Loc'!E18+'Dong Lam'!E18+'Khanh Nga'!E18+TDP!E18+DTRVL!E18</f>
        <v>145029363992</v>
      </c>
      <c r="F18" s="64">
        <f>DTR!F18+'Dai Loc'!F18+'Dong Lam'!F18+'Khanh Nga'!F18+TDP!F18+DTRVL!F18</f>
        <v>158990592845</v>
      </c>
      <c r="G18" s="64">
        <f>DTR!G18+'Dai Loc'!G18+'Dong Lam'!G18+'Khanh Nga'!G18+TDP!G18+DTRVL!G18</f>
        <v>169879811667</v>
      </c>
      <c r="H18" s="64">
        <f>DTR!H18+'Dai Loc'!H18+'Dong Lam'!H18+'Khanh Nga'!H18+TDP!H18+DTRVL!H18</f>
        <v>169929811366</v>
      </c>
      <c r="I18" s="64">
        <f>DTR!I18+'Dai Loc'!I18+'Dong Lam'!I18+'Khanh Nga'!I18+TDP!I18+DTRVL!I18</f>
        <v>102331112462</v>
      </c>
      <c r="J18" s="64">
        <f>DTR!J18+'Dai Loc'!J18+'Dong Lam'!J18+'Khanh Nga'!J18+TDP!J18+DTRVL!J18</f>
        <v>127587662576</v>
      </c>
      <c r="K18" s="64">
        <f>DTR!K18+'Dai Loc'!K18+'Dong Lam'!K18+'Khanh Nga'!K18+TDP!K18+DTRVL!K18</f>
        <v>161236707683</v>
      </c>
      <c r="L18" s="64">
        <f>DTR!L18+'Dai Loc'!L18+'Dong Lam'!L18+'Khanh Nga'!L18+TDP!L18+DTRVL!L18</f>
        <v>156193512518</v>
      </c>
      <c r="M18" s="64">
        <f>DTR!M18+'Dai Loc'!M18+'Dong Lam'!M18+'Khanh Nga'!M18+TDP!M18+DTRVL!M18</f>
        <v>158918995344</v>
      </c>
      <c r="N18" s="64">
        <f>DTR!N18+'Dai Loc'!N18+'Dong Lam'!N18+'Khanh Nga'!N18+TDP!N18+DTRVL!N18</f>
        <v>159389289311</v>
      </c>
      <c r="O18" s="64">
        <f>DTR!O18+'Dai Loc'!O18+'Dong Lam'!O18+'Khanh Nga'!O18+TDP!O18+DTRVL!O18</f>
        <v>113701901890</v>
      </c>
      <c r="P18" s="64">
        <f>DTR!P18+'Dai Loc'!P18+'Dong Lam'!P18+'Khanh Nga'!P18+TDP!P18+DTRVL!P18</f>
        <v>170046486972</v>
      </c>
      <c r="Q18" s="64">
        <f>DTR!Q18+'Dai Loc'!Q18+'Dong Lam'!Q18+'Khanh Nga'!Q18+TDP!Q18+DTRVL!Q18</f>
        <v>209405535919</v>
      </c>
      <c r="R18" s="64">
        <f>DTR!R18+'Dai Loc'!R18+'Dong Lam'!R18+'Khanh Nga'!R18+TDP!R18+DTRVL!R18</f>
        <v>163509162106</v>
      </c>
      <c r="S18" s="64">
        <f>DTR!S18+'Dai Loc'!S18+'Dong Lam'!S18+'Khanh Nga'!S18+TDP!S18+DTRVL!S18</f>
        <v>177734732744</v>
      </c>
      <c r="T18" s="64">
        <f>DTR!T18+'Dai Loc'!T18+'Dong Lam'!T18+'Khanh Nga'!T18+TDP!T18+DTRVL!T18</f>
        <v>162106367908</v>
      </c>
      <c r="U18" s="64">
        <f>DTR!U18+'Dai Loc'!U18+'Dong Lam'!U18+'Khanh Nga'!U18+TDP!U18+DTRVL!U18</f>
        <v>159236236016</v>
      </c>
      <c r="V18" s="64">
        <f>DTR!V18+'Dai Loc'!V18+'Dong Lam'!V18+'Khanh Nga'!V18+TDP!V18+DTRVL!V18</f>
        <v>197594299976</v>
      </c>
      <c r="W18" s="64">
        <f>DTR!W18+'Dai Loc'!W18+'Dong Lam'!W18+'Khanh Nga'!W18+TDP!W18+DTRVL!W18</f>
        <v>164521731901</v>
      </c>
      <c r="X18" s="64">
        <f>DTR!X18+'Dai Loc'!X18+'Dong Lam'!X18+'Khanh Nga'!X18+TDP!X18+DTRVL!X18</f>
        <v>160731498434</v>
      </c>
      <c r="Y18" s="64">
        <f>DTR!Y18+'Dai Loc'!Y18+'Dong Lam'!Y18+'Khanh Nga'!Y18+TDP!Y18+DTRVL!Y18</f>
        <v>164239419507</v>
      </c>
      <c r="Z18" s="64">
        <f>DTR!Z18+'Dai Loc'!Z18+'Dong Lam'!Z18+'Khanh Nga'!Z18+TDP!Z18+DTRVL!Z18</f>
        <v>160025654959</v>
      </c>
    </row>
    <row r="19" spans="1:26" ht="15" hidden="1" customHeight="1" outlineLevel="1">
      <c r="A19" s="67" t="s">
        <v>103</v>
      </c>
      <c r="B19" s="63">
        <v>14</v>
      </c>
      <c r="C19" s="64">
        <f>DTR!C19+'Dai Loc'!C19+'Dong Lam'!C19+'Khanh Nga'!C19+TDP!C19+DTRVL!C19</f>
        <v>19848285706</v>
      </c>
      <c r="D19" s="64">
        <f>DTR!D19+'Dai Loc'!D19+'Dong Lam'!D19+'Khanh Nga'!D19+TDP!D19+DTRVL!D19</f>
        <v>18001368927</v>
      </c>
      <c r="E19" s="64">
        <f>DTR!E19+'Dai Loc'!E19+'Dong Lam'!E19+'Khanh Nga'!E19+TDP!E19+DTRVL!E19</f>
        <v>17409185425</v>
      </c>
      <c r="F19" s="64">
        <f>DTR!F19+'Dai Loc'!F19+'Dong Lam'!F19+'Khanh Nga'!F19+TDP!F19+DTRVL!F19</f>
        <v>18980934468</v>
      </c>
      <c r="G19" s="64">
        <f>DTR!G19+'Dai Loc'!G19+'Dong Lam'!G19+'Khanh Nga'!G19+TDP!G19+DTRVL!G19</f>
        <v>18972917626</v>
      </c>
      <c r="H19" s="64">
        <f>DTR!H19+'Dai Loc'!H19+'Dong Lam'!H19+'Khanh Nga'!H19+TDP!H19+DTRVL!H19</f>
        <v>16946912554</v>
      </c>
      <c r="I19" s="64">
        <f>DTR!I19+'Dai Loc'!I19+'Dong Lam'!I19+'Khanh Nga'!I19+TDP!I19+DTRVL!I19</f>
        <v>15624304617</v>
      </c>
      <c r="J19" s="64">
        <f>DTR!J19+'Dai Loc'!J19+'Dong Lam'!J19+'Khanh Nga'!J19+TDP!J19+DTRVL!J19</f>
        <v>15352055458</v>
      </c>
      <c r="K19" s="64">
        <f>DTR!K19+'Dai Loc'!K19+'Dong Lam'!K19+'Khanh Nga'!K19+TDP!K19+DTRVL!K19</f>
        <v>12264421488</v>
      </c>
      <c r="L19" s="64">
        <f>DTR!L19+'Dai Loc'!L19+'Dong Lam'!L19+'Khanh Nga'!L19+TDP!L19+DTRVL!L19</f>
        <v>10758004465</v>
      </c>
      <c r="M19" s="64">
        <f>DTR!M19+'Dai Loc'!M19+'Dong Lam'!M19+'Khanh Nga'!M19+TDP!M19+DTRVL!M19</f>
        <v>12010431039</v>
      </c>
      <c r="N19" s="64">
        <f>DTR!N19+'Dai Loc'!N19+'Dong Lam'!N19+'Khanh Nga'!N19+TDP!N19+DTRVL!N19</f>
        <v>24401454639</v>
      </c>
      <c r="O19" s="64">
        <f>DTR!O19+'Dai Loc'!O19+'Dong Lam'!O19+'Khanh Nga'!O19+TDP!O19+DTRVL!O19</f>
        <v>18219388431</v>
      </c>
      <c r="P19" s="64">
        <f>DTR!P19+'Dai Loc'!P19+'Dong Lam'!P19+'Khanh Nga'!P19+TDP!P19+DTRVL!P19</f>
        <v>24146304860</v>
      </c>
      <c r="Q19" s="64">
        <f>DTR!Q19+'Dai Loc'!Q19+'Dong Lam'!Q19+'Khanh Nga'!Q19+TDP!Q19+DTRVL!Q19</f>
        <v>26108830735</v>
      </c>
      <c r="R19" s="64">
        <f>DTR!R19+'Dai Loc'!R19+'Dong Lam'!R19+'Khanh Nga'!R19+TDP!R19+DTRVL!R19</f>
        <v>31592684967</v>
      </c>
      <c r="S19" s="64">
        <f>DTR!S19+'Dai Loc'!S19+'Dong Lam'!S19+'Khanh Nga'!S19+TDP!S19+DTRVL!S19</f>
        <v>66949284043</v>
      </c>
      <c r="T19" s="64">
        <f>DTR!T19+'Dai Loc'!T19+'Dong Lam'!T19+'Khanh Nga'!T19+TDP!T19+DTRVL!T19</f>
        <v>70079388780</v>
      </c>
      <c r="U19" s="64">
        <f>DTR!U19+'Dai Loc'!U19+'Dong Lam'!U19+'Khanh Nga'!U19+TDP!U19+DTRVL!U19</f>
        <v>64387763054</v>
      </c>
      <c r="V19" s="64">
        <f>DTR!V19+'Dai Loc'!V19+'Dong Lam'!V19+'Khanh Nga'!V19+TDP!V19+DTRVL!V19</f>
        <v>82324561908</v>
      </c>
      <c r="W19" s="64">
        <f>DTR!W19+'Dai Loc'!W19+'Dong Lam'!W19+'Khanh Nga'!W19+TDP!W19+DTRVL!W19</f>
        <v>86922374935</v>
      </c>
      <c r="X19" s="64">
        <f>DTR!X19+'Dai Loc'!X19+'Dong Lam'!X19+'Khanh Nga'!X19+TDP!X19+DTRVL!X19</f>
        <v>81828814836</v>
      </c>
      <c r="Y19" s="64">
        <f>DTR!Y19+'Dai Loc'!Y19+'Dong Lam'!Y19+'Khanh Nga'!Y19+TDP!Y19+DTRVL!Y19</f>
        <v>67286468607</v>
      </c>
      <c r="Z19" s="64">
        <f>DTR!Z19+'Dai Loc'!Z19+'Dong Lam'!Z19+'Khanh Nga'!Z19+TDP!Z19+DTRVL!Z19</f>
        <v>73343632745</v>
      </c>
    </row>
    <row r="20" spans="1:26" ht="15" hidden="1" customHeight="1" outlineLevel="1">
      <c r="A20" s="67" t="s">
        <v>104</v>
      </c>
      <c r="B20" s="63">
        <v>15</v>
      </c>
      <c r="C20" s="64">
        <f>DTR!C20+'Dai Loc'!C20+'Dong Lam'!C20+'Khanh Nga'!C20+TDP!C20+DTRVL!C20</f>
        <v>0</v>
      </c>
      <c r="D20" s="64">
        <f>DTR!D20+'Dai Loc'!D20+'Dong Lam'!D20+'Khanh Nga'!D20+TDP!D20+DTRVL!D20</f>
        <v>0</v>
      </c>
      <c r="E20" s="64">
        <f>DTR!E20+'Dai Loc'!E20+'Dong Lam'!E20+'Khanh Nga'!E20+TDP!E20+DTRVL!E20</f>
        <v>0</v>
      </c>
      <c r="F20" s="64">
        <f>DTR!F20+'Dai Loc'!F20+'Dong Lam'!F20+'Khanh Nga'!F20+TDP!F20+DTRVL!F20</f>
        <v>0</v>
      </c>
      <c r="G20" s="64">
        <f>DTR!G20+'Dai Loc'!G20+'Dong Lam'!G20+'Khanh Nga'!G20+TDP!G20+DTRVL!G20</f>
        <v>0</v>
      </c>
      <c r="H20" s="64">
        <f>DTR!H20+'Dai Loc'!H20+'Dong Lam'!H20+'Khanh Nga'!H20+TDP!H20+DTRVL!H20</f>
        <v>0</v>
      </c>
      <c r="I20" s="64">
        <f>DTR!I20+'Dai Loc'!I20+'Dong Lam'!I20+'Khanh Nga'!I20+TDP!I20+DTRVL!I20</f>
        <v>0</v>
      </c>
      <c r="J20" s="64">
        <f>DTR!J20+'Dai Loc'!J20+'Dong Lam'!J20+'Khanh Nga'!J20+TDP!J20+DTRVL!J20</f>
        <v>0</v>
      </c>
      <c r="K20" s="64">
        <f>DTR!K20+'Dai Loc'!K20+'Dong Lam'!K20+'Khanh Nga'!K20+TDP!K20+DTRVL!K20</f>
        <v>0</v>
      </c>
      <c r="L20" s="64">
        <f>DTR!L20+'Dai Loc'!L20+'Dong Lam'!L20+'Khanh Nga'!L20+TDP!L20+DTRVL!L20</f>
        <v>0</v>
      </c>
      <c r="M20" s="64">
        <f>DTR!M20+'Dai Loc'!M20+'Dong Lam'!M20+'Khanh Nga'!M20+TDP!M20+DTRVL!M20</f>
        <v>0</v>
      </c>
      <c r="N20" s="64">
        <f>DTR!N20+'Dai Loc'!N20+'Dong Lam'!N20+'Khanh Nga'!N20+TDP!N20+DTRVL!N20</f>
        <v>0</v>
      </c>
      <c r="O20" s="64">
        <f>DTR!O20+'Dai Loc'!O20+'Dong Lam'!O20+'Khanh Nga'!O20+TDP!O20+DTRVL!O20</f>
        <v>0</v>
      </c>
      <c r="P20" s="64">
        <f>DTR!P20+'Dai Loc'!P20+'Dong Lam'!P20+'Khanh Nga'!P20+TDP!P20+DTRVL!P20</f>
        <v>0</v>
      </c>
      <c r="Q20" s="64">
        <f>DTR!Q20+'Dai Loc'!Q20+'Dong Lam'!Q20+'Khanh Nga'!Q20+TDP!Q20+DTRVL!Q20</f>
        <v>0</v>
      </c>
      <c r="R20" s="64">
        <f>DTR!R20+'Dai Loc'!R20+'Dong Lam'!R20+'Khanh Nga'!R20+TDP!R20+DTRVL!R20</f>
        <v>0</v>
      </c>
      <c r="S20" s="64">
        <f>DTR!S20+'Dai Loc'!S20+'Dong Lam'!S20+'Khanh Nga'!S20+TDP!S20+DTRVL!S20</f>
        <v>0</v>
      </c>
      <c r="T20" s="64">
        <f>DTR!T20+'Dai Loc'!T20+'Dong Lam'!T20+'Khanh Nga'!T20+TDP!T20+DTRVL!T20</f>
        <v>0</v>
      </c>
      <c r="U20" s="64">
        <f>DTR!U20+'Dai Loc'!U20+'Dong Lam'!U20+'Khanh Nga'!U20+TDP!U20+DTRVL!U20</f>
        <v>0</v>
      </c>
      <c r="V20" s="64">
        <f>DTR!V20+'Dai Loc'!V20+'Dong Lam'!V20+'Khanh Nga'!V20+TDP!V20+DTRVL!V20</f>
        <v>0</v>
      </c>
      <c r="W20" s="64">
        <f>DTR!W20+'Dai Loc'!W20+'Dong Lam'!W20+'Khanh Nga'!W20+TDP!W20+DTRVL!W20</f>
        <v>0</v>
      </c>
      <c r="X20" s="64">
        <f>DTR!X20+'Dai Loc'!X20+'Dong Lam'!X20+'Khanh Nga'!X20+TDP!X20+DTRVL!X20</f>
        <v>0</v>
      </c>
      <c r="Y20" s="64">
        <f>DTR!Y20+'Dai Loc'!Y20+'Dong Lam'!Y20+'Khanh Nga'!Y20+TDP!Y20+DTRVL!Y20</f>
        <v>0</v>
      </c>
      <c r="Z20" s="64">
        <f>DTR!Z20+'Dai Loc'!Z20+'Dong Lam'!Z20+'Khanh Nga'!Z20+TDP!Z20+DTRVL!Z20</f>
        <v>0</v>
      </c>
    </row>
    <row r="21" spans="1:26" ht="15" hidden="1" customHeight="1" outlineLevel="1">
      <c r="A21" s="67" t="s">
        <v>105</v>
      </c>
      <c r="B21" s="63">
        <v>16</v>
      </c>
      <c r="C21" s="64">
        <f>DTR!C21+'Dai Loc'!C21+'Dong Lam'!C21+'Khanh Nga'!C21+TDP!C21+DTRVL!C21</f>
        <v>0</v>
      </c>
      <c r="D21" s="64">
        <f>DTR!D21+'Dai Loc'!D21+'Dong Lam'!D21+'Khanh Nga'!D21+TDP!D21+DTRVL!D21</f>
        <v>0</v>
      </c>
      <c r="E21" s="64">
        <f>DTR!E21+'Dai Loc'!E21+'Dong Lam'!E21+'Khanh Nga'!E21+TDP!E21+DTRVL!E21</f>
        <v>0</v>
      </c>
      <c r="F21" s="64">
        <f>DTR!F21+'Dai Loc'!F21+'Dong Lam'!F21+'Khanh Nga'!F21+TDP!F21+DTRVL!F21</f>
        <v>0</v>
      </c>
      <c r="G21" s="64">
        <f>DTR!G21+'Dai Loc'!G21+'Dong Lam'!G21+'Khanh Nga'!G21+TDP!G21+DTRVL!G21</f>
        <v>0</v>
      </c>
      <c r="H21" s="64">
        <f>DTR!H21+'Dai Loc'!H21+'Dong Lam'!H21+'Khanh Nga'!H21+TDP!H21+DTRVL!H21</f>
        <v>0</v>
      </c>
      <c r="I21" s="64">
        <f>DTR!I21+'Dai Loc'!I21+'Dong Lam'!I21+'Khanh Nga'!I21+TDP!I21+DTRVL!I21</f>
        <v>0</v>
      </c>
      <c r="J21" s="64">
        <f>DTR!J21+'Dai Loc'!J21+'Dong Lam'!J21+'Khanh Nga'!J21+TDP!J21+DTRVL!J21</f>
        <v>0</v>
      </c>
      <c r="K21" s="64">
        <f>DTR!K21+'Dai Loc'!K21+'Dong Lam'!K21+'Khanh Nga'!K21+TDP!K21+DTRVL!K21</f>
        <v>0</v>
      </c>
      <c r="L21" s="64">
        <f>DTR!L21+'Dai Loc'!L21+'Dong Lam'!L21+'Khanh Nga'!L21+TDP!L21+DTRVL!L21</f>
        <v>0</v>
      </c>
      <c r="M21" s="64">
        <f>DTR!M21+'Dai Loc'!M21+'Dong Lam'!M21+'Khanh Nga'!M21+TDP!M21+DTRVL!M21</f>
        <v>0</v>
      </c>
      <c r="N21" s="64">
        <f>DTR!N21+'Dai Loc'!N21+'Dong Lam'!N21+'Khanh Nga'!N21+TDP!N21+DTRVL!N21</f>
        <v>0</v>
      </c>
      <c r="O21" s="64">
        <f>DTR!O21+'Dai Loc'!O21+'Dong Lam'!O21+'Khanh Nga'!O21+TDP!O21+DTRVL!O21</f>
        <v>0</v>
      </c>
      <c r="P21" s="64">
        <f>DTR!P21+'Dai Loc'!P21+'Dong Lam'!P21+'Khanh Nga'!P21+TDP!P21+DTRVL!P21</f>
        <v>0</v>
      </c>
      <c r="Q21" s="64">
        <f>DTR!Q21+'Dai Loc'!Q21+'Dong Lam'!Q21+'Khanh Nga'!Q21+TDP!Q21+DTRVL!Q21</f>
        <v>0</v>
      </c>
      <c r="R21" s="64">
        <f>DTR!R21+'Dai Loc'!R21+'Dong Lam'!R21+'Khanh Nga'!R21+TDP!R21+DTRVL!R21</f>
        <v>0</v>
      </c>
      <c r="S21" s="64">
        <f>DTR!S21+'Dai Loc'!S21+'Dong Lam'!S21+'Khanh Nga'!S21+TDP!S21+DTRVL!S21</f>
        <v>0</v>
      </c>
      <c r="T21" s="64">
        <f>DTR!T21+'Dai Loc'!T21+'Dong Lam'!T21+'Khanh Nga'!T21+TDP!T21+DTRVL!T21</f>
        <v>0</v>
      </c>
      <c r="U21" s="64">
        <f>DTR!U21+'Dai Loc'!U21+'Dong Lam'!U21+'Khanh Nga'!U21+TDP!U21+DTRVL!U21</f>
        <v>0</v>
      </c>
      <c r="V21" s="64">
        <f>DTR!V21+'Dai Loc'!V21+'Dong Lam'!V21+'Khanh Nga'!V21+TDP!V21+DTRVL!V21</f>
        <v>0</v>
      </c>
      <c r="W21" s="64">
        <f>DTR!W21+'Dai Loc'!W21+'Dong Lam'!W21+'Khanh Nga'!W21+TDP!W21+DTRVL!W21</f>
        <v>0</v>
      </c>
      <c r="X21" s="64">
        <f>DTR!X21+'Dai Loc'!X21+'Dong Lam'!X21+'Khanh Nga'!X21+TDP!X21+DTRVL!X21</f>
        <v>0</v>
      </c>
      <c r="Y21" s="64">
        <f>DTR!Y21+'Dai Loc'!Y21+'Dong Lam'!Y21+'Khanh Nga'!Y21+TDP!Y21+DTRVL!Y21</f>
        <v>0</v>
      </c>
      <c r="Z21" s="64">
        <f>DTR!Z21+'Dai Loc'!Z21+'Dong Lam'!Z21+'Khanh Nga'!Z21+TDP!Z21+DTRVL!Z21</f>
        <v>0</v>
      </c>
    </row>
    <row r="22" spans="1:26" ht="15" hidden="1" customHeight="1" outlineLevel="1">
      <c r="A22" s="67" t="s">
        <v>106</v>
      </c>
      <c r="B22" s="63">
        <v>17</v>
      </c>
      <c r="C22" s="64">
        <f>DTR!C22+'Dai Loc'!C22+'Dong Lam'!C22+'Khanh Nga'!C22+TDP!C22+DTRVL!C22</f>
        <v>49691047547.139999</v>
      </c>
      <c r="D22" s="64">
        <f>DTR!D22+'Dai Loc'!D22+'Dong Lam'!D22+'Khanh Nga'!D22+TDP!D22+DTRVL!D22</f>
        <v>30919005346.139999</v>
      </c>
      <c r="E22" s="64">
        <f>DTR!E22+'Dai Loc'!E22+'Dong Lam'!E22+'Khanh Nga'!E22+TDP!E22+DTRVL!E22</f>
        <v>30825313041</v>
      </c>
      <c r="F22" s="64">
        <f>DTR!F22+'Dai Loc'!F22+'Dong Lam'!F22+'Khanh Nga'!F22+TDP!F22+DTRVL!F22</f>
        <v>32782410538</v>
      </c>
      <c r="G22" s="64">
        <f>DTR!G22+'Dai Loc'!G22+'Dong Lam'!G22+'Khanh Nga'!G22+TDP!G22+DTRVL!G22</f>
        <v>33344780187.748001</v>
      </c>
      <c r="H22" s="64">
        <f>DTR!H22+'Dai Loc'!H22+'Dong Lam'!H22+'Khanh Nga'!H22+TDP!H22+DTRVL!H22</f>
        <v>61447478581.748001</v>
      </c>
      <c r="I22" s="64">
        <f>DTR!I22+'Dai Loc'!I22+'Dong Lam'!I22+'Khanh Nga'!I22+TDP!I22+DTRVL!I22</f>
        <v>35510919235.517998</v>
      </c>
      <c r="J22" s="64">
        <f>DTR!J22+'Dai Loc'!J22+'Dong Lam'!J22+'Khanh Nga'!J22+TDP!J22+DTRVL!J22</f>
        <v>35511786216.517998</v>
      </c>
      <c r="K22" s="64">
        <f>DTR!K22+'Dai Loc'!K22+'Dong Lam'!K22+'Khanh Nga'!K22+TDP!K22+DTRVL!K22</f>
        <v>36150353212.517998</v>
      </c>
      <c r="L22" s="64">
        <f>DTR!L22+'Dai Loc'!L22+'Dong Lam'!L22+'Khanh Nga'!L22+TDP!L22+DTRVL!L22</f>
        <v>36519079938.517998</v>
      </c>
      <c r="M22" s="64">
        <f>DTR!M22+'Dai Loc'!M22+'Dong Lam'!M22+'Khanh Nga'!M22+TDP!M22+DTRVL!M22</f>
        <v>72633112041.518005</v>
      </c>
      <c r="N22" s="64">
        <f>DTR!N22+'Dai Loc'!N22+'Dong Lam'!N22+'Khanh Nga'!N22+TDP!N22+DTRVL!N22</f>
        <v>42505816398</v>
      </c>
      <c r="O22" s="64">
        <f>DTR!O22+'Dai Loc'!O22+'Dong Lam'!O22+'Khanh Nga'!O22+TDP!O22+DTRVL!O22</f>
        <v>21495133599.517899</v>
      </c>
      <c r="P22" s="64">
        <f>DTR!P22+'Dai Loc'!P22+'Dong Lam'!P22+'Khanh Nga'!P22+TDP!P22+DTRVL!P22</f>
        <v>22961387098.518002</v>
      </c>
      <c r="Q22" s="64">
        <f>DTR!Q22+'Dai Loc'!Q22+'Dong Lam'!Q22+'Khanh Nga'!Q22+TDP!Q22+DTRVL!Q22</f>
        <v>11015074368</v>
      </c>
      <c r="R22" s="64">
        <f>DTR!R22+'Dai Loc'!R22+'Dong Lam'!R22+'Khanh Nga'!R22+TDP!R22+DTRVL!R22</f>
        <v>11350435826.518</v>
      </c>
      <c r="S22" s="64">
        <f>DTR!S22+'Dai Loc'!S22+'Dong Lam'!S22+'Khanh Nga'!S22+TDP!S22+DTRVL!S22</f>
        <v>11242784814.518</v>
      </c>
      <c r="T22" s="64">
        <f>DTR!T22+'Dai Loc'!T22+'Dong Lam'!T22+'Khanh Nga'!T22+TDP!T22+DTRVL!T22</f>
        <v>32861065699</v>
      </c>
      <c r="U22" s="64">
        <f>DTR!U22+'Dai Loc'!U22+'Dong Lam'!U22+'Khanh Nga'!U22+TDP!U22+DTRVL!U22</f>
        <v>33152358932</v>
      </c>
      <c r="V22" s="64">
        <f>DTR!V22+'Dai Loc'!V22+'Dong Lam'!V22+'Khanh Nga'!V22+TDP!V22+DTRVL!V22</f>
        <v>67299108247</v>
      </c>
      <c r="W22" s="64">
        <f>DTR!W22+'Dai Loc'!W22+'Dong Lam'!W22+'Khanh Nga'!W22+TDP!W22+DTRVL!W22</f>
        <v>36819352418</v>
      </c>
      <c r="X22" s="64">
        <f>DTR!X22+'Dai Loc'!X22+'Dong Lam'!X22+'Khanh Nga'!X22+TDP!X22+DTRVL!X22</f>
        <v>35919360618</v>
      </c>
      <c r="Y22" s="64">
        <f>DTR!Y22+'Dai Loc'!Y22+'Dong Lam'!Y22+'Khanh Nga'!Y22+TDP!Y22+DTRVL!Y22</f>
        <v>35973068335</v>
      </c>
      <c r="Z22" s="64">
        <f>DTR!Z22+'Dai Loc'!Z22+'Dong Lam'!Z22+'Khanh Nga'!Z22+TDP!Z22+DTRVL!Z22</f>
        <v>54515556786</v>
      </c>
    </row>
    <row r="23" spans="1:26" ht="15" hidden="1" customHeight="1" outlineLevel="1">
      <c r="A23" s="67" t="s">
        <v>107</v>
      </c>
      <c r="B23" s="63">
        <v>18</v>
      </c>
      <c r="C23" s="64">
        <f>DTR!C23+'Dai Loc'!C23+'Dong Lam'!C23+'Khanh Nga'!C23+TDP!C23+DTRVL!C23</f>
        <v>-120525864</v>
      </c>
      <c r="D23" s="64">
        <f>DTR!D23+'Dai Loc'!D23+'Dong Lam'!D23+'Khanh Nga'!D23+TDP!D23+DTRVL!D23</f>
        <v>-120525864</v>
      </c>
      <c r="E23" s="64">
        <f>DTR!E23+'Dai Loc'!E23+'Dong Lam'!E23+'Khanh Nga'!E23+TDP!E23+DTRVL!E23</f>
        <v>-120525864</v>
      </c>
      <c r="F23" s="64">
        <f>DTR!F23+'Dai Loc'!F23+'Dong Lam'!F23+'Khanh Nga'!F23+TDP!F23+DTRVL!F23</f>
        <v>-120525864</v>
      </c>
      <c r="G23" s="64">
        <f>DTR!G23+'Dai Loc'!G23+'Dong Lam'!G23+'Khanh Nga'!G23+TDP!G23+DTRVL!G23</f>
        <v>-120525864</v>
      </c>
      <c r="H23" s="64">
        <f>DTR!H23+'Dai Loc'!H23+'Dong Lam'!H23+'Khanh Nga'!H23+TDP!H23+DTRVL!H23</f>
        <v>-120525864</v>
      </c>
      <c r="I23" s="64">
        <f>DTR!I23+'Dai Loc'!I23+'Dong Lam'!I23+'Khanh Nga'!I23+TDP!I23+DTRVL!I23</f>
        <v>-120525864</v>
      </c>
      <c r="J23" s="64">
        <f>DTR!J23+'Dai Loc'!J23+'Dong Lam'!J23+'Khanh Nga'!J23+TDP!J23+DTRVL!J23</f>
        <v>-120525864</v>
      </c>
      <c r="K23" s="64">
        <f>DTR!K23+'Dai Loc'!K23+'Dong Lam'!K23+'Khanh Nga'!K23+TDP!K23+DTRVL!K23</f>
        <v>-120525864</v>
      </c>
      <c r="L23" s="64">
        <f>DTR!L23+'Dai Loc'!L23+'Dong Lam'!L23+'Khanh Nga'!L23+TDP!L23+DTRVL!L23</f>
        <v>-120525864</v>
      </c>
      <c r="M23" s="64">
        <f>DTR!M23+'Dai Loc'!M23+'Dong Lam'!M23+'Khanh Nga'!M23+TDP!M23+DTRVL!M23</f>
        <v>0</v>
      </c>
      <c r="N23" s="64">
        <f>DTR!N23+'Dai Loc'!N23+'Dong Lam'!N23+'Khanh Nga'!N23+TDP!N23+DTRVL!N23</f>
        <v>0</v>
      </c>
      <c r="O23" s="64">
        <f>DTR!O23+'Dai Loc'!O23+'Dong Lam'!O23+'Khanh Nga'!O23+TDP!O23+DTRVL!O23</f>
        <v>0</v>
      </c>
      <c r="P23" s="64">
        <f>DTR!P23+'Dai Loc'!P23+'Dong Lam'!P23+'Khanh Nga'!P23+TDP!P23+DTRVL!P23</f>
        <v>0</v>
      </c>
      <c r="Q23" s="64">
        <f>DTR!Q23+'Dai Loc'!Q23+'Dong Lam'!Q23+'Khanh Nga'!Q23+TDP!Q23+DTRVL!Q23</f>
        <v>0</v>
      </c>
      <c r="R23" s="64">
        <f>DTR!R23+'Dai Loc'!R23+'Dong Lam'!R23+'Khanh Nga'!R23+TDP!R23+DTRVL!R23</f>
        <v>0</v>
      </c>
      <c r="S23" s="64">
        <f>DTR!S23+'Dai Loc'!S23+'Dong Lam'!S23+'Khanh Nga'!S23+TDP!S23+DTRVL!S23</f>
        <v>0</v>
      </c>
      <c r="T23" s="64">
        <f>DTR!T23+'Dai Loc'!T23+'Dong Lam'!T23+'Khanh Nga'!T23+TDP!T23+DTRVL!T23</f>
        <v>0</v>
      </c>
      <c r="U23" s="64">
        <f>DTR!U23+'Dai Loc'!U23+'Dong Lam'!U23+'Khanh Nga'!U23+TDP!U23+DTRVL!U23</f>
        <v>0</v>
      </c>
      <c r="V23" s="64">
        <f>DTR!V23+'Dai Loc'!V23+'Dong Lam'!V23+'Khanh Nga'!V23+TDP!V23+DTRVL!V23</f>
        <v>0</v>
      </c>
      <c r="W23" s="64">
        <f>DTR!W23+'Dai Loc'!W23+'Dong Lam'!W23+'Khanh Nga'!W23+TDP!W23+DTRVL!W23</f>
        <v>0</v>
      </c>
      <c r="X23" s="64">
        <f>DTR!X23+'Dai Loc'!X23+'Dong Lam'!X23+'Khanh Nga'!X23+TDP!X23+DTRVL!X23</f>
        <v>0</v>
      </c>
      <c r="Y23" s="64">
        <f>DTR!Y23+'Dai Loc'!Y23+'Dong Lam'!Y23+'Khanh Nga'!Y23+TDP!Y23+DTRVL!Y23</f>
        <v>0</v>
      </c>
      <c r="Z23" s="64">
        <f>DTR!Z23+'Dai Loc'!Z23+'Dong Lam'!Z23+'Khanh Nga'!Z23+TDP!Z23+DTRVL!Z23</f>
        <v>-609095700</v>
      </c>
    </row>
    <row r="24" spans="1:26" ht="15" hidden="1" customHeight="1" outlineLevel="1">
      <c r="A24" s="68" t="s">
        <v>108</v>
      </c>
      <c r="B24" s="63">
        <v>19</v>
      </c>
      <c r="C24" s="64">
        <f>DTR!C24+'Dai Loc'!C24+'Dong Lam'!C24+'Khanh Nga'!C24+TDP!C24+DTRVL!C24</f>
        <v>-524609275</v>
      </c>
      <c r="D24" s="64">
        <f>DTR!D24+'Dai Loc'!D24+'Dong Lam'!D24+'Khanh Nga'!D24+TDP!D24+DTRVL!D24</f>
        <v>-524609275</v>
      </c>
      <c r="E24" s="64">
        <f>DTR!E24+'Dai Loc'!E24+'Dong Lam'!E24+'Khanh Nga'!E24+TDP!E24+DTRVL!E24</f>
        <v>7901392144</v>
      </c>
      <c r="F24" s="64">
        <f>DTR!F24+'Dai Loc'!F24+'Dong Lam'!F24+'Khanh Nga'!F24+TDP!F24+DTRVL!F24</f>
        <v>7901392144</v>
      </c>
      <c r="G24" s="64">
        <f>DTR!G24+'Dai Loc'!G24+'Dong Lam'!G24+'Khanh Nga'!G24+TDP!G24+DTRVL!G24</f>
        <v>-524609275</v>
      </c>
      <c r="H24" s="64">
        <f>DTR!H24+'Dai Loc'!H24+'Dong Lam'!H24+'Khanh Nga'!H24+TDP!H24+DTRVL!H24</f>
        <v>-524609275</v>
      </c>
      <c r="I24" s="64">
        <f>DTR!I24+'Dai Loc'!I24+'Dong Lam'!I24+'Khanh Nga'!I24+TDP!I24+DTRVL!I24</f>
        <v>-524609275</v>
      </c>
      <c r="J24" s="64">
        <f>DTR!J24+'Dai Loc'!J24+'Dong Lam'!J24+'Khanh Nga'!J24+TDP!J24+DTRVL!J24</f>
        <v>-524609275</v>
      </c>
      <c r="K24" s="64">
        <f>DTR!K24+'Dai Loc'!K24+'Dong Lam'!K24+'Khanh Nga'!K24+TDP!K24+DTRVL!K24</f>
        <v>-524609275</v>
      </c>
      <c r="L24" s="64">
        <f>DTR!L24+'Dai Loc'!L24+'Dong Lam'!L24+'Khanh Nga'!L24+TDP!L24+DTRVL!L24</f>
        <v>-524609275</v>
      </c>
      <c r="M24" s="64">
        <f>DTR!M24+'Dai Loc'!M24+'Dong Lam'!M24+'Khanh Nga'!M24+TDP!M24+DTRVL!M24</f>
        <v>-524609275</v>
      </c>
      <c r="N24" s="64">
        <f>DTR!N24+'Dai Loc'!N24+'Dong Lam'!N24+'Khanh Nga'!N24+TDP!N24+DTRVL!N24</f>
        <v>0</v>
      </c>
      <c r="O24" s="64">
        <f>DTR!O24+'Dai Loc'!O24+'Dong Lam'!O24+'Khanh Nga'!O24+TDP!O24+DTRVL!O24</f>
        <v>0</v>
      </c>
      <c r="P24" s="64">
        <f>DTR!P24+'Dai Loc'!P24+'Dong Lam'!P24+'Khanh Nga'!P24+TDP!P24+DTRVL!P24</f>
        <v>0</v>
      </c>
      <c r="Q24" s="64">
        <f>DTR!Q24+'Dai Loc'!Q24+'Dong Lam'!Q24+'Khanh Nga'!Q24+TDP!Q24+DTRVL!Q24</f>
        <v>0</v>
      </c>
      <c r="R24" s="64">
        <f>DTR!R24+'Dai Loc'!R24+'Dong Lam'!R24+'Khanh Nga'!R24+TDP!R24+DTRVL!R24</f>
        <v>0</v>
      </c>
      <c r="S24" s="64">
        <f>DTR!S24+'Dai Loc'!S24+'Dong Lam'!S24+'Khanh Nga'!S24+TDP!S24+DTRVL!S24</f>
        <v>0</v>
      </c>
      <c r="T24" s="64">
        <f>DTR!T24+'Dai Loc'!T24+'Dong Lam'!T24+'Khanh Nga'!T24+TDP!T24+DTRVL!T24</f>
        <v>0</v>
      </c>
      <c r="U24" s="64">
        <f>DTR!U24+'Dai Loc'!U24+'Dong Lam'!U24+'Khanh Nga'!U24+TDP!U24+DTRVL!U24</f>
        <v>0</v>
      </c>
      <c r="V24" s="64">
        <f>DTR!V24+'Dai Loc'!V24+'Dong Lam'!V24+'Khanh Nga'!V24+TDP!V24+DTRVL!V24</f>
        <v>0</v>
      </c>
      <c r="W24" s="64">
        <f>DTR!W24+'Dai Loc'!W24+'Dong Lam'!W24+'Khanh Nga'!W24+TDP!W24+DTRVL!W24</f>
        <v>0</v>
      </c>
      <c r="X24" s="64">
        <f>DTR!X24+'Dai Loc'!X24+'Dong Lam'!X24+'Khanh Nga'!X24+TDP!X24+DTRVL!X24</f>
        <v>0</v>
      </c>
      <c r="Y24" s="64">
        <f>DTR!Y24+'Dai Loc'!Y24+'Dong Lam'!Y24+'Khanh Nga'!Y24+TDP!Y24+DTRVL!Y24</f>
        <v>0</v>
      </c>
      <c r="Z24" s="64">
        <f>DTR!Z24+'Dai Loc'!Z24+'Dong Lam'!Z24+'Khanh Nga'!Z24+TDP!Z24+DTRVL!Z24</f>
        <v>177104044</v>
      </c>
    </row>
    <row r="25" spans="1:26" ht="15" hidden="1" customHeight="1" outlineLevel="1">
      <c r="A25" s="59" t="s">
        <v>109</v>
      </c>
      <c r="B25" s="65">
        <v>20</v>
      </c>
      <c r="C25" s="61">
        <f>DTR!C25+'Dai Loc'!C25+'Dong Lam'!C25+'Khanh Nga'!C25+TDP!C25+DTRVL!C25</f>
        <v>430096484178.85999</v>
      </c>
      <c r="D25" s="61">
        <f>DTR!D25+'Dai Loc'!D25+'Dong Lam'!D25+'Khanh Nga'!D25+TDP!D25+DTRVL!D25</f>
        <v>437301765372.85999</v>
      </c>
      <c r="E25" s="61">
        <f>DTR!E25+'Dai Loc'!E25+'Dong Lam'!E25+'Khanh Nga'!E25+TDP!E25+DTRVL!E25</f>
        <v>477162060831.85999</v>
      </c>
      <c r="F25" s="61">
        <f>DTR!F25+'Dai Loc'!F25+'Dong Lam'!F25+'Khanh Nga'!F25+TDP!F25+DTRVL!F25</f>
        <v>517614404978.88202</v>
      </c>
      <c r="G25" s="61">
        <f>DTR!G25+'Dai Loc'!G25+'Dong Lam'!G25+'Khanh Nga'!G25+TDP!G25+DTRVL!G25</f>
        <v>557633015691.25195</v>
      </c>
      <c r="H25" s="61">
        <f>DTR!H25+'Dai Loc'!H25+'Dong Lam'!H25+'Khanh Nga'!H25+TDP!H25+DTRVL!H25</f>
        <v>613742905725.25195</v>
      </c>
      <c r="I25" s="61">
        <f>DTR!I25+'Dai Loc'!I25+'Dong Lam'!I25+'Khanh Nga'!I25+TDP!I25+DTRVL!I25</f>
        <v>630876783389.48206</v>
      </c>
      <c r="J25" s="61">
        <f>DTR!J25+'Dai Loc'!J25+'Dong Lam'!J25+'Khanh Nga'!J25+TDP!J25+DTRVL!J25</f>
        <v>571035083187.48206</v>
      </c>
      <c r="K25" s="61">
        <f>DTR!K25+'Dai Loc'!K25+'Dong Lam'!K25+'Khanh Nga'!K25+TDP!K25+DTRVL!K25</f>
        <v>562348665912.48206</v>
      </c>
      <c r="L25" s="61">
        <f>DTR!L25+'Dai Loc'!L25+'Dong Lam'!L25+'Khanh Nga'!L25+TDP!L25+DTRVL!L25</f>
        <v>558117702257.48206</v>
      </c>
      <c r="M25" s="61">
        <f>DTR!M25+'Dai Loc'!M25+'Dong Lam'!M25+'Khanh Nga'!M25+TDP!M25+DTRVL!M25</f>
        <v>599902987900.48206</v>
      </c>
      <c r="N25" s="61">
        <f>DTR!N25+'Dai Loc'!N25+'Dong Lam'!N25+'Khanh Nga'!N25+TDP!N25+DTRVL!N25</f>
        <v>614300196665.48206</v>
      </c>
      <c r="O25" s="61">
        <f>DTR!O25+'Dai Loc'!O25+'Dong Lam'!O25+'Khanh Nga'!O25+TDP!O25+DTRVL!O25</f>
        <v>580289170770.48206</v>
      </c>
      <c r="P25" s="61">
        <f>DTR!P25+'Dai Loc'!P25+'Dong Lam'!P25+'Khanh Nga'!P25+TDP!P25+DTRVL!P25</f>
        <v>500149972125.48199</v>
      </c>
      <c r="Q25" s="61">
        <f>DTR!Q25+'Dai Loc'!Q25+'Dong Lam'!Q25+'Khanh Nga'!Q25+TDP!Q25+DTRVL!Q25</f>
        <v>480641555258.48199</v>
      </c>
      <c r="R25" s="61">
        <f>DTR!R25+'Dai Loc'!R25+'Dong Lam'!R25+'Khanh Nga'!R25+TDP!R25+DTRVL!R25</f>
        <v>534948091340.48199</v>
      </c>
      <c r="S25" s="61">
        <f>DTR!S25+'Dai Loc'!S25+'Dong Lam'!S25+'Khanh Nga'!S25+TDP!S25+DTRVL!S25</f>
        <v>540062379851.48199</v>
      </c>
      <c r="T25" s="61">
        <f>DTR!T25+'Dai Loc'!T25+'Dong Lam'!T25+'Khanh Nga'!T25+TDP!T25+DTRVL!T25</f>
        <v>559774086836.48206</v>
      </c>
      <c r="U25" s="61">
        <f>DTR!U25+'Dai Loc'!U25+'Dong Lam'!U25+'Khanh Nga'!U25+TDP!U25+DTRVL!U25</f>
        <v>574368996605.48206</v>
      </c>
      <c r="V25" s="61">
        <f>DTR!V25+'Dai Loc'!V25+'Dong Lam'!V25+'Khanh Nga'!V25+TDP!V25+DTRVL!V25</f>
        <v>572758965444.48206</v>
      </c>
      <c r="W25" s="61">
        <f>DTR!W25+'Dai Loc'!W25+'Dong Lam'!W25+'Khanh Nga'!W25+TDP!W25+DTRVL!W25</f>
        <v>576109442562.48206</v>
      </c>
      <c r="X25" s="61">
        <f>DTR!X25+'Dai Loc'!X25+'Dong Lam'!X25+'Khanh Nga'!X25+TDP!X25+DTRVL!X25</f>
        <v>555856951749.48206</v>
      </c>
      <c r="Y25" s="61">
        <f>DTR!Y25+'Dai Loc'!Y25+'Dong Lam'!Y25+'Khanh Nga'!Y25+TDP!Y25+DTRVL!Y25</f>
        <v>558085932410.48206</v>
      </c>
      <c r="Z25" s="61">
        <f>DTR!Z25+'Dai Loc'!Z25+'Dong Lam'!Z25+'Khanh Nga'!Z25+TDP!Z25+DTRVL!Z25</f>
        <v>573616174194</v>
      </c>
    </row>
    <row r="26" spans="1:26" ht="15" hidden="1" customHeight="1" outlineLevel="1">
      <c r="A26" s="62" t="s">
        <v>110</v>
      </c>
      <c r="B26" s="63">
        <v>21</v>
      </c>
      <c r="C26" s="64">
        <f>DTR!C26+'Dai Loc'!C26+'Dong Lam'!C26+'Khanh Nga'!C26+TDP!C26+DTRVL!C26</f>
        <v>430096484178.85999</v>
      </c>
      <c r="D26" s="64">
        <f>DTR!D26+'Dai Loc'!D26+'Dong Lam'!D26+'Khanh Nga'!D26+TDP!D26+DTRVL!D26</f>
        <v>437301765372.85999</v>
      </c>
      <c r="E26" s="64">
        <f>DTR!E26+'Dai Loc'!E26+'Dong Lam'!E26+'Khanh Nga'!E26+TDP!E26+DTRVL!E26</f>
        <v>477162060831.85999</v>
      </c>
      <c r="F26" s="64">
        <f>DTR!F26+'Dai Loc'!F26+'Dong Lam'!F26+'Khanh Nga'!F26+TDP!F26+DTRVL!F26</f>
        <v>517614404978.88202</v>
      </c>
      <c r="G26" s="64">
        <f>DTR!G26+'Dai Loc'!G26+'Dong Lam'!G26+'Khanh Nga'!G26+TDP!G26+DTRVL!G26</f>
        <v>557633015691.25195</v>
      </c>
      <c r="H26" s="64">
        <f>DTR!H26+'Dai Loc'!H26+'Dong Lam'!H26+'Khanh Nga'!H26+TDP!H26+DTRVL!H26</f>
        <v>613742905725.25195</v>
      </c>
      <c r="I26" s="64">
        <f>DTR!I26+'Dai Loc'!I26+'Dong Lam'!I26+'Khanh Nga'!I26+TDP!I26+DTRVL!I26</f>
        <v>630876783389.48206</v>
      </c>
      <c r="J26" s="64">
        <f>DTR!J26+'Dai Loc'!J26+'Dong Lam'!J26+'Khanh Nga'!J26+TDP!J26+DTRVL!J26</f>
        <v>571035083187.48206</v>
      </c>
      <c r="K26" s="64">
        <f>DTR!K26+'Dai Loc'!K26+'Dong Lam'!K26+'Khanh Nga'!K26+TDP!K26+DTRVL!K26</f>
        <v>562348665912.48206</v>
      </c>
      <c r="L26" s="64">
        <f>DTR!L26+'Dai Loc'!L26+'Dong Lam'!L26+'Khanh Nga'!L26+TDP!L26+DTRVL!L26</f>
        <v>558117702257.48206</v>
      </c>
      <c r="M26" s="64">
        <f>DTR!M26+'Dai Loc'!M26+'Dong Lam'!M26+'Khanh Nga'!M26+TDP!M26+DTRVL!M26</f>
        <v>599902987900.48206</v>
      </c>
      <c r="N26" s="64">
        <f>DTR!N26+'Dai Loc'!N26+'Dong Lam'!N26+'Khanh Nga'!N26+TDP!N26+DTRVL!N26</f>
        <v>614300196665.48206</v>
      </c>
      <c r="O26" s="64">
        <f>DTR!O26+'Dai Loc'!O26+'Dong Lam'!O26+'Khanh Nga'!O26+TDP!O26+DTRVL!O26</f>
        <v>580289170770.48206</v>
      </c>
      <c r="P26" s="64">
        <f>DTR!P26+'Dai Loc'!P26+'Dong Lam'!P26+'Khanh Nga'!P26+TDP!P26+DTRVL!P26</f>
        <v>500149972125.48199</v>
      </c>
      <c r="Q26" s="64">
        <f>DTR!Q26+'Dai Loc'!Q26+'Dong Lam'!Q26+'Khanh Nga'!Q26+TDP!Q26+DTRVL!Q26</f>
        <v>480641555258.48199</v>
      </c>
      <c r="R26" s="64">
        <f>DTR!R26+'Dai Loc'!R26+'Dong Lam'!R26+'Khanh Nga'!R26+TDP!R26+DTRVL!R26</f>
        <v>534948091340.48199</v>
      </c>
      <c r="S26" s="64">
        <f>DTR!S26+'Dai Loc'!S26+'Dong Lam'!S26+'Khanh Nga'!S26+TDP!S26+DTRVL!S26</f>
        <v>540062379851.48199</v>
      </c>
      <c r="T26" s="64">
        <f>DTR!T26+'Dai Loc'!T26+'Dong Lam'!T26+'Khanh Nga'!T26+TDP!T26+DTRVL!T26</f>
        <v>559774086836.48206</v>
      </c>
      <c r="U26" s="64">
        <f>DTR!U26+'Dai Loc'!U26+'Dong Lam'!U26+'Khanh Nga'!U26+TDP!U26+DTRVL!U26</f>
        <v>574368996605.48206</v>
      </c>
      <c r="V26" s="64">
        <f>DTR!V26+'Dai Loc'!V26+'Dong Lam'!V26+'Khanh Nga'!V26+TDP!V26+DTRVL!V26</f>
        <v>572758965444.48206</v>
      </c>
      <c r="W26" s="64">
        <f>DTR!W26+'Dai Loc'!W26+'Dong Lam'!W26+'Khanh Nga'!W26+TDP!W26+DTRVL!W26</f>
        <v>576109442562.48206</v>
      </c>
      <c r="X26" s="64">
        <f>DTR!X26+'Dai Loc'!X26+'Dong Lam'!X26+'Khanh Nga'!X26+TDP!X26+DTRVL!X26</f>
        <v>555856951749.48206</v>
      </c>
      <c r="Y26" s="64">
        <f>DTR!Y26+'Dai Loc'!Y26+'Dong Lam'!Y26+'Khanh Nga'!Y26+TDP!Y26+DTRVL!Y26</f>
        <v>558085932410.48206</v>
      </c>
      <c r="Z26" s="64">
        <f>DTR!Z26+'Dai Loc'!Z26+'Dong Lam'!Z26+'Khanh Nga'!Z26+TDP!Z26+DTRVL!Z26</f>
        <v>573616174194</v>
      </c>
    </row>
    <row r="27" spans="1:26" ht="15" hidden="1" customHeight="1" outlineLevel="1">
      <c r="A27" s="62" t="s">
        <v>111</v>
      </c>
      <c r="B27" s="63">
        <v>22</v>
      </c>
      <c r="C27" s="64">
        <f>DTR!C27+'Dai Loc'!C27+'Dong Lam'!C27+'Khanh Nga'!C27+TDP!C27+DTRVL!C27</f>
        <v>0</v>
      </c>
      <c r="D27" s="64">
        <f>DTR!D27+'Dai Loc'!D27+'Dong Lam'!D27+'Khanh Nga'!D27+TDP!D27+DTRVL!D27</f>
        <v>0</v>
      </c>
      <c r="E27" s="64">
        <f>DTR!E27+'Dai Loc'!E27+'Dong Lam'!E27+'Khanh Nga'!E27+TDP!E27+DTRVL!E27</f>
        <v>0</v>
      </c>
      <c r="F27" s="64">
        <f>DTR!F27+'Dai Loc'!F27+'Dong Lam'!F27+'Khanh Nga'!F27+TDP!F27+DTRVL!F27</f>
        <v>0</v>
      </c>
      <c r="G27" s="64">
        <f>DTR!G27+'Dai Loc'!G27+'Dong Lam'!G27+'Khanh Nga'!G27+TDP!G27+DTRVL!G27</f>
        <v>0</v>
      </c>
      <c r="H27" s="64">
        <f>DTR!H27+'Dai Loc'!H27+'Dong Lam'!H27+'Khanh Nga'!H27+TDP!H27+DTRVL!H27</f>
        <v>0</v>
      </c>
      <c r="I27" s="64">
        <f>DTR!I27+'Dai Loc'!I27+'Dong Lam'!I27+'Khanh Nga'!I27+TDP!I27+DTRVL!I27</f>
        <v>0</v>
      </c>
      <c r="J27" s="64">
        <f>DTR!J27+'Dai Loc'!J27+'Dong Lam'!J27+'Khanh Nga'!J27+TDP!J27+DTRVL!J27</f>
        <v>0</v>
      </c>
      <c r="K27" s="64">
        <f>DTR!K27+'Dai Loc'!K27+'Dong Lam'!K27+'Khanh Nga'!K27+TDP!K27+DTRVL!K27</f>
        <v>0</v>
      </c>
      <c r="L27" s="64">
        <f>DTR!L27+'Dai Loc'!L27+'Dong Lam'!L27+'Khanh Nga'!L27+TDP!L27+DTRVL!L27</f>
        <v>0</v>
      </c>
      <c r="M27" s="64">
        <f>DTR!M27+'Dai Loc'!M27+'Dong Lam'!M27+'Khanh Nga'!M27+TDP!M27+DTRVL!M27</f>
        <v>0</v>
      </c>
      <c r="N27" s="64">
        <f>DTR!N27+'Dai Loc'!N27+'Dong Lam'!N27+'Khanh Nga'!N27+TDP!N27+DTRVL!N27</f>
        <v>0</v>
      </c>
      <c r="O27" s="64">
        <f>DTR!O27+'Dai Loc'!O27+'Dong Lam'!O27+'Khanh Nga'!O27+TDP!O27+DTRVL!O27</f>
        <v>0</v>
      </c>
      <c r="P27" s="64">
        <f>DTR!P27+'Dai Loc'!P27+'Dong Lam'!P27+'Khanh Nga'!P27+TDP!P27+DTRVL!P27</f>
        <v>0</v>
      </c>
      <c r="Q27" s="64">
        <f>DTR!Q27+'Dai Loc'!Q27+'Dong Lam'!Q27+'Khanh Nga'!Q27+TDP!Q27+DTRVL!Q27</f>
        <v>0</v>
      </c>
      <c r="R27" s="64">
        <f>DTR!R27+'Dai Loc'!R27+'Dong Lam'!R27+'Khanh Nga'!R27+TDP!R27+DTRVL!R27</f>
        <v>0</v>
      </c>
      <c r="S27" s="64">
        <f>DTR!S27+'Dai Loc'!S27+'Dong Lam'!S27+'Khanh Nga'!S27+TDP!S27+DTRVL!S27</f>
        <v>0</v>
      </c>
      <c r="T27" s="64">
        <f>DTR!T27+'Dai Loc'!T27+'Dong Lam'!T27+'Khanh Nga'!T27+TDP!T27+DTRVL!T27</f>
        <v>0</v>
      </c>
      <c r="U27" s="64">
        <f>DTR!U27+'Dai Loc'!U27+'Dong Lam'!U27+'Khanh Nga'!U27+TDP!U27+DTRVL!U27</f>
        <v>0</v>
      </c>
      <c r="V27" s="64">
        <f>DTR!V27+'Dai Loc'!V27+'Dong Lam'!V27+'Khanh Nga'!V27+TDP!V27+DTRVL!V27</f>
        <v>0</v>
      </c>
      <c r="W27" s="64">
        <f>DTR!W27+'Dai Loc'!W27+'Dong Lam'!W27+'Khanh Nga'!W27+TDP!W27+DTRVL!W27</f>
        <v>0</v>
      </c>
      <c r="X27" s="64">
        <f>DTR!X27+'Dai Loc'!X27+'Dong Lam'!X27+'Khanh Nga'!X27+TDP!X27+DTRVL!X27</f>
        <v>0</v>
      </c>
      <c r="Y27" s="64">
        <f>DTR!Y27+'Dai Loc'!Y27+'Dong Lam'!Y27+'Khanh Nga'!Y27+TDP!Y27+DTRVL!Y27</f>
        <v>0</v>
      </c>
      <c r="Z27" s="64">
        <f>DTR!Z27+'Dai Loc'!Z27+'Dong Lam'!Z27+'Khanh Nga'!Z27+TDP!Z27+DTRVL!Z27</f>
        <v>0</v>
      </c>
    </row>
    <row r="28" spans="1:26" ht="15" hidden="1" customHeight="1" outlineLevel="1">
      <c r="A28" s="59" t="s">
        <v>112</v>
      </c>
      <c r="B28" s="65">
        <v>23</v>
      </c>
      <c r="C28" s="64">
        <f>DTR!C28+'Dai Loc'!C28+'Dong Lam'!C28+'Khanh Nga'!C28+TDP!C28+DTRVL!C28</f>
        <v>0</v>
      </c>
      <c r="D28" s="64">
        <f>DTR!D28+'Dai Loc'!D28+'Dong Lam'!D28+'Khanh Nga'!D28+TDP!D28+DTRVL!D28</f>
        <v>0</v>
      </c>
      <c r="E28" s="64">
        <f>DTR!E28+'Dai Loc'!E28+'Dong Lam'!E28+'Khanh Nga'!E28+TDP!E28+DTRVL!E28</f>
        <v>0</v>
      </c>
      <c r="F28" s="64">
        <f>DTR!F28+'Dai Loc'!F28+'Dong Lam'!F28+'Khanh Nga'!F28+TDP!F28+DTRVL!F28</f>
        <v>0</v>
      </c>
      <c r="G28" s="64">
        <f>DTR!G28+'Dai Loc'!G28+'Dong Lam'!G28+'Khanh Nga'!G28+TDP!G28+DTRVL!G28</f>
        <v>0</v>
      </c>
      <c r="H28" s="64">
        <f>DTR!H28+'Dai Loc'!H28+'Dong Lam'!H28+'Khanh Nga'!H28+TDP!H28+DTRVL!H28</f>
        <v>0</v>
      </c>
      <c r="I28" s="64">
        <f>DTR!I28+'Dai Loc'!I28+'Dong Lam'!I28+'Khanh Nga'!I28+TDP!I28+DTRVL!I28</f>
        <v>0</v>
      </c>
      <c r="J28" s="64">
        <f>DTR!J28+'Dai Loc'!J28+'Dong Lam'!J28+'Khanh Nga'!J28+TDP!J28+DTRVL!J28</f>
        <v>0</v>
      </c>
      <c r="K28" s="64">
        <f>DTR!K28+'Dai Loc'!K28+'Dong Lam'!K28+'Khanh Nga'!K28+TDP!K28+DTRVL!K28</f>
        <v>0</v>
      </c>
      <c r="L28" s="64">
        <f>DTR!L28+'Dai Loc'!L28+'Dong Lam'!L28+'Khanh Nga'!L28+TDP!L28+DTRVL!L28</f>
        <v>0</v>
      </c>
      <c r="M28" s="64">
        <f>DTR!M28+'Dai Loc'!M28+'Dong Lam'!M28+'Khanh Nga'!M28+TDP!M28+DTRVL!M28</f>
        <v>0</v>
      </c>
      <c r="N28" s="64">
        <f>DTR!N28+'Dai Loc'!N28+'Dong Lam'!N28+'Khanh Nga'!N28+TDP!N28+DTRVL!N28</f>
        <v>0</v>
      </c>
      <c r="O28" s="64">
        <f>DTR!O28+'Dai Loc'!O28+'Dong Lam'!O28+'Khanh Nga'!O28+TDP!O28+DTRVL!O28</f>
        <v>0</v>
      </c>
      <c r="P28" s="64">
        <f>DTR!P28+'Dai Loc'!P28+'Dong Lam'!P28+'Khanh Nga'!P28+TDP!P28+DTRVL!P28</f>
        <v>0</v>
      </c>
      <c r="Q28" s="64">
        <f>DTR!Q28+'Dai Loc'!Q28+'Dong Lam'!Q28+'Khanh Nga'!Q28+TDP!Q28+DTRVL!Q28</f>
        <v>0</v>
      </c>
      <c r="R28" s="64">
        <f>DTR!R28+'Dai Loc'!R28+'Dong Lam'!R28+'Khanh Nga'!R28+TDP!R28+DTRVL!R28</f>
        <v>0</v>
      </c>
      <c r="S28" s="64">
        <f>DTR!S28+'Dai Loc'!S28+'Dong Lam'!S28+'Khanh Nga'!S28+TDP!S28+DTRVL!S28</f>
        <v>0</v>
      </c>
      <c r="T28" s="64">
        <f>DTR!T28+'Dai Loc'!T28+'Dong Lam'!T28+'Khanh Nga'!T28+TDP!T28+DTRVL!T28</f>
        <v>0</v>
      </c>
      <c r="U28" s="64">
        <f>DTR!U28+'Dai Loc'!U28+'Dong Lam'!U28+'Khanh Nga'!U28+TDP!U28+DTRVL!U28</f>
        <v>0</v>
      </c>
      <c r="V28" s="64">
        <f>DTR!V28+'Dai Loc'!V28+'Dong Lam'!V28+'Khanh Nga'!V28+TDP!V28+DTRVL!V28</f>
        <v>0</v>
      </c>
      <c r="W28" s="64">
        <f>DTR!W28+'Dai Loc'!W28+'Dong Lam'!W28+'Khanh Nga'!W28+TDP!W28+DTRVL!W28</f>
        <v>0</v>
      </c>
      <c r="X28" s="64">
        <f>DTR!X28+'Dai Loc'!X28+'Dong Lam'!X28+'Khanh Nga'!X28+TDP!X28+DTRVL!X28</f>
        <v>0</v>
      </c>
      <c r="Y28" s="64">
        <f>DTR!Y28+'Dai Loc'!Y28+'Dong Lam'!Y28+'Khanh Nga'!Y28+TDP!Y28+DTRVL!Y28</f>
        <v>0</v>
      </c>
      <c r="Z28" s="64">
        <f>DTR!Z28+'Dai Loc'!Z28+'Dong Lam'!Z28+'Khanh Nga'!Z28+TDP!Z28+DTRVL!Z28</f>
        <v>0</v>
      </c>
    </row>
    <row r="29" spans="1:26" ht="15" hidden="1" customHeight="1" outlineLevel="1">
      <c r="A29" s="62" t="s">
        <v>113</v>
      </c>
      <c r="B29" s="63">
        <v>24</v>
      </c>
      <c r="C29" s="64">
        <f>DTR!C29+'Dai Loc'!C29+'Dong Lam'!C29+'Khanh Nga'!C29+TDP!C29+DTRVL!C29</f>
        <v>0</v>
      </c>
      <c r="D29" s="64">
        <f>DTR!D29+'Dai Loc'!D29+'Dong Lam'!D29+'Khanh Nga'!D29+TDP!D29+DTRVL!D29</f>
        <v>0</v>
      </c>
      <c r="E29" s="64">
        <f>DTR!E29+'Dai Loc'!E29+'Dong Lam'!E29+'Khanh Nga'!E29+TDP!E29+DTRVL!E29</f>
        <v>0</v>
      </c>
      <c r="F29" s="64">
        <f>DTR!F29+'Dai Loc'!F29+'Dong Lam'!F29+'Khanh Nga'!F29+TDP!F29+DTRVL!F29</f>
        <v>0</v>
      </c>
      <c r="G29" s="64">
        <f>DTR!G29+'Dai Loc'!G29+'Dong Lam'!G29+'Khanh Nga'!G29+TDP!G29+DTRVL!G29</f>
        <v>0</v>
      </c>
      <c r="H29" s="64">
        <f>DTR!H29+'Dai Loc'!H29+'Dong Lam'!H29+'Khanh Nga'!H29+TDP!H29+DTRVL!H29</f>
        <v>0</v>
      </c>
      <c r="I29" s="64">
        <f>DTR!I29+'Dai Loc'!I29+'Dong Lam'!I29+'Khanh Nga'!I29+TDP!I29+DTRVL!I29</f>
        <v>0</v>
      </c>
      <c r="J29" s="64">
        <f>DTR!J29+'Dai Loc'!J29+'Dong Lam'!J29+'Khanh Nga'!J29+TDP!J29+DTRVL!J29</f>
        <v>0</v>
      </c>
      <c r="K29" s="64">
        <f>DTR!K29+'Dai Loc'!K29+'Dong Lam'!K29+'Khanh Nga'!K29+TDP!K29+DTRVL!K29</f>
        <v>0</v>
      </c>
      <c r="L29" s="64">
        <f>DTR!L29+'Dai Loc'!L29+'Dong Lam'!L29+'Khanh Nga'!L29+TDP!L29+DTRVL!L29</f>
        <v>0</v>
      </c>
      <c r="M29" s="64">
        <f>DTR!M29+'Dai Loc'!M29+'Dong Lam'!M29+'Khanh Nga'!M29+TDP!M29+DTRVL!M29</f>
        <v>0</v>
      </c>
      <c r="N29" s="64">
        <f>DTR!N29+'Dai Loc'!N29+'Dong Lam'!N29+'Khanh Nga'!N29+TDP!N29+DTRVL!N29</f>
        <v>0</v>
      </c>
      <c r="O29" s="64">
        <f>DTR!O29+'Dai Loc'!O29+'Dong Lam'!O29+'Khanh Nga'!O29+TDP!O29+DTRVL!O29</f>
        <v>0</v>
      </c>
      <c r="P29" s="64">
        <f>DTR!P29+'Dai Loc'!P29+'Dong Lam'!P29+'Khanh Nga'!P29+TDP!P29+DTRVL!P29</f>
        <v>0</v>
      </c>
      <c r="Q29" s="64">
        <f>DTR!Q29+'Dai Loc'!Q29+'Dong Lam'!Q29+'Khanh Nga'!Q29+TDP!Q29+DTRVL!Q29</f>
        <v>0</v>
      </c>
      <c r="R29" s="64">
        <f>DTR!R29+'Dai Loc'!R29+'Dong Lam'!R29+'Khanh Nga'!R29+TDP!R29+DTRVL!R29</f>
        <v>0</v>
      </c>
      <c r="S29" s="64">
        <f>DTR!S29+'Dai Loc'!S29+'Dong Lam'!S29+'Khanh Nga'!S29+TDP!S29+DTRVL!S29</f>
        <v>0</v>
      </c>
      <c r="T29" s="64">
        <f>DTR!T29+'Dai Loc'!T29+'Dong Lam'!T29+'Khanh Nga'!T29+TDP!T29+DTRVL!T29</f>
        <v>0</v>
      </c>
      <c r="U29" s="64">
        <f>DTR!U29+'Dai Loc'!U29+'Dong Lam'!U29+'Khanh Nga'!U29+TDP!U29+DTRVL!U29</f>
        <v>0</v>
      </c>
      <c r="V29" s="64">
        <f>DTR!V29+'Dai Loc'!V29+'Dong Lam'!V29+'Khanh Nga'!V29+TDP!V29+DTRVL!V29</f>
        <v>0</v>
      </c>
      <c r="W29" s="64">
        <f>DTR!W29+'Dai Loc'!W29+'Dong Lam'!W29+'Khanh Nga'!W29+TDP!W29+DTRVL!W29</f>
        <v>0</v>
      </c>
      <c r="X29" s="64">
        <f>DTR!X29+'Dai Loc'!X29+'Dong Lam'!X29+'Khanh Nga'!X29+TDP!X29+DTRVL!X29</f>
        <v>0</v>
      </c>
      <c r="Y29" s="64">
        <f>DTR!Y29+'Dai Loc'!Y29+'Dong Lam'!Y29+'Khanh Nga'!Y29+TDP!Y29+DTRVL!Y29</f>
        <v>0</v>
      </c>
      <c r="Z29" s="64">
        <f>DTR!Z29+'Dai Loc'!Z29+'Dong Lam'!Z29+'Khanh Nga'!Z29+TDP!Z29+DTRVL!Z29</f>
        <v>0</v>
      </c>
    </row>
    <row r="30" spans="1:26" ht="15" hidden="1" customHeight="1" outlineLevel="1">
      <c r="A30" s="62" t="s">
        <v>114</v>
      </c>
      <c r="B30" s="63">
        <v>25</v>
      </c>
      <c r="C30" s="64">
        <f>DTR!C30+'Dai Loc'!C30+'Dong Lam'!C30+'Khanh Nga'!C30+TDP!C30+DTRVL!C30</f>
        <v>0</v>
      </c>
      <c r="D30" s="64">
        <f>DTR!D30+'Dai Loc'!D30+'Dong Lam'!D30+'Khanh Nga'!D30+TDP!D30+DTRVL!D30</f>
        <v>0</v>
      </c>
      <c r="E30" s="64">
        <f>DTR!E30+'Dai Loc'!E30+'Dong Lam'!E30+'Khanh Nga'!E30+TDP!E30+DTRVL!E30</f>
        <v>0</v>
      </c>
      <c r="F30" s="64">
        <f>DTR!F30+'Dai Loc'!F30+'Dong Lam'!F30+'Khanh Nga'!F30+TDP!F30+DTRVL!F30</f>
        <v>0</v>
      </c>
      <c r="G30" s="64">
        <f>DTR!G30+'Dai Loc'!G30+'Dong Lam'!G30+'Khanh Nga'!G30+TDP!G30+DTRVL!G30</f>
        <v>0</v>
      </c>
      <c r="H30" s="64">
        <f>DTR!H30+'Dai Loc'!H30+'Dong Lam'!H30+'Khanh Nga'!H30+TDP!H30+DTRVL!H30</f>
        <v>0</v>
      </c>
      <c r="I30" s="64">
        <f>DTR!I30+'Dai Loc'!I30+'Dong Lam'!I30+'Khanh Nga'!I30+TDP!I30+DTRVL!I30</f>
        <v>0</v>
      </c>
      <c r="J30" s="64">
        <f>DTR!J30+'Dai Loc'!J30+'Dong Lam'!J30+'Khanh Nga'!J30+TDP!J30+DTRVL!J30</f>
        <v>0</v>
      </c>
      <c r="K30" s="64">
        <f>DTR!K30+'Dai Loc'!K30+'Dong Lam'!K30+'Khanh Nga'!K30+TDP!K30+DTRVL!K30</f>
        <v>0</v>
      </c>
      <c r="L30" s="64">
        <f>DTR!L30+'Dai Loc'!L30+'Dong Lam'!L30+'Khanh Nga'!L30+TDP!L30+DTRVL!L30</f>
        <v>0</v>
      </c>
      <c r="M30" s="64">
        <f>DTR!M30+'Dai Loc'!M30+'Dong Lam'!M30+'Khanh Nga'!M30+TDP!M30+DTRVL!M30</f>
        <v>0</v>
      </c>
      <c r="N30" s="64">
        <f>DTR!N30+'Dai Loc'!N30+'Dong Lam'!N30+'Khanh Nga'!N30+TDP!N30+DTRVL!N30</f>
        <v>0</v>
      </c>
      <c r="O30" s="64">
        <f>DTR!O30+'Dai Loc'!O30+'Dong Lam'!O30+'Khanh Nga'!O30+TDP!O30+DTRVL!O30</f>
        <v>0</v>
      </c>
      <c r="P30" s="64">
        <f>DTR!P30+'Dai Loc'!P30+'Dong Lam'!P30+'Khanh Nga'!P30+TDP!P30+DTRVL!P30</f>
        <v>0</v>
      </c>
      <c r="Q30" s="64">
        <f>DTR!Q30+'Dai Loc'!Q30+'Dong Lam'!Q30+'Khanh Nga'!Q30+TDP!Q30+DTRVL!Q30</f>
        <v>0</v>
      </c>
      <c r="R30" s="64">
        <f>DTR!R30+'Dai Loc'!R30+'Dong Lam'!R30+'Khanh Nga'!R30+TDP!R30+DTRVL!R30</f>
        <v>0</v>
      </c>
      <c r="S30" s="64">
        <f>DTR!S30+'Dai Loc'!S30+'Dong Lam'!S30+'Khanh Nga'!S30+TDP!S30+DTRVL!S30</f>
        <v>0</v>
      </c>
      <c r="T30" s="64">
        <f>DTR!T30+'Dai Loc'!T30+'Dong Lam'!T30+'Khanh Nga'!T30+TDP!T30+DTRVL!T30</f>
        <v>0</v>
      </c>
      <c r="U30" s="64">
        <f>DTR!U30+'Dai Loc'!U30+'Dong Lam'!U30+'Khanh Nga'!U30+TDP!U30+DTRVL!U30</f>
        <v>0</v>
      </c>
      <c r="V30" s="64">
        <f>DTR!V30+'Dai Loc'!V30+'Dong Lam'!V30+'Khanh Nga'!V30+TDP!V30+DTRVL!V30</f>
        <v>0</v>
      </c>
      <c r="W30" s="64">
        <f>DTR!W30+'Dai Loc'!W30+'Dong Lam'!W30+'Khanh Nga'!W30+TDP!W30+DTRVL!W30</f>
        <v>0</v>
      </c>
      <c r="X30" s="64">
        <f>DTR!X30+'Dai Loc'!X30+'Dong Lam'!X30+'Khanh Nga'!X30+TDP!X30+DTRVL!X30</f>
        <v>0</v>
      </c>
      <c r="Y30" s="64">
        <f>DTR!Y30+'Dai Loc'!Y30+'Dong Lam'!Y30+'Khanh Nga'!Y30+TDP!Y30+DTRVL!Y30</f>
        <v>0</v>
      </c>
      <c r="Z30" s="64">
        <f>DTR!Z30+'Dai Loc'!Z30+'Dong Lam'!Z30+'Khanh Nga'!Z30+TDP!Z30+DTRVL!Z30</f>
        <v>0</v>
      </c>
    </row>
    <row r="31" spans="1:26" ht="15" hidden="1" customHeight="1" outlineLevel="1">
      <c r="A31" s="62" t="s">
        <v>115</v>
      </c>
      <c r="B31" s="63">
        <v>26</v>
      </c>
      <c r="C31" s="64">
        <f>DTR!C31+'Dai Loc'!C31+'Dong Lam'!C31+'Khanh Nga'!C31+TDP!C31+DTRVL!C31</f>
        <v>0</v>
      </c>
      <c r="D31" s="64">
        <f>DTR!D31+'Dai Loc'!D31+'Dong Lam'!D31+'Khanh Nga'!D31+TDP!D31+DTRVL!D31</f>
        <v>0</v>
      </c>
      <c r="E31" s="64">
        <f>DTR!E31+'Dai Loc'!E31+'Dong Lam'!E31+'Khanh Nga'!E31+TDP!E31+DTRVL!E31</f>
        <v>0</v>
      </c>
      <c r="F31" s="64">
        <f>DTR!F31+'Dai Loc'!F31+'Dong Lam'!F31+'Khanh Nga'!F31+TDP!F31+DTRVL!F31</f>
        <v>0</v>
      </c>
      <c r="G31" s="64">
        <f>DTR!G31+'Dai Loc'!G31+'Dong Lam'!G31+'Khanh Nga'!G31+TDP!G31+DTRVL!G31</f>
        <v>0</v>
      </c>
      <c r="H31" s="64">
        <f>DTR!H31+'Dai Loc'!H31+'Dong Lam'!H31+'Khanh Nga'!H31+TDP!H31+DTRVL!H31</f>
        <v>0</v>
      </c>
      <c r="I31" s="64">
        <f>DTR!I31+'Dai Loc'!I31+'Dong Lam'!I31+'Khanh Nga'!I31+TDP!I31+DTRVL!I31</f>
        <v>0</v>
      </c>
      <c r="J31" s="64">
        <f>DTR!J31+'Dai Loc'!J31+'Dong Lam'!J31+'Khanh Nga'!J31+TDP!J31+DTRVL!J31</f>
        <v>0</v>
      </c>
      <c r="K31" s="64">
        <f>DTR!K31+'Dai Loc'!K31+'Dong Lam'!K31+'Khanh Nga'!K31+TDP!K31+DTRVL!K31</f>
        <v>0</v>
      </c>
      <c r="L31" s="64">
        <f>DTR!L31+'Dai Loc'!L31+'Dong Lam'!L31+'Khanh Nga'!L31+TDP!L31+DTRVL!L31</f>
        <v>0</v>
      </c>
      <c r="M31" s="64">
        <f>DTR!M31+'Dai Loc'!M31+'Dong Lam'!M31+'Khanh Nga'!M31+TDP!M31+DTRVL!M31</f>
        <v>0</v>
      </c>
      <c r="N31" s="64">
        <f>DTR!N31+'Dai Loc'!N31+'Dong Lam'!N31+'Khanh Nga'!N31+TDP!N31+DTRVL!N31</f>
        <v>0</v>
      </c>
      <c r="O31" s="64">
        <f>DTR!O31+'Dai Loc'!O31+'Dong Lam'!O31+'Khanh Nga'!O31+TDP!O31+DTRVL!O31</f>
        <v>0</v>
      </c>
      <c r="P31" s="64">
        <f>DTR!P31+'Dai Loc'!P31+'Dong Lam'!P31+'Khanh Nga'!P31+TDP!P31+DTRVL!P31</f>
        <v>0</v>
      </c>
      <c r="Q31" s="64">
        <f>DTR!Q31+'Dai Loc'!Q31+'Dong Lam'!Q31+'Khanh Nga'!Q31+TDP!Q31+DTRVL!Q31</f>
        <v>0</v>
      </c>
      <c r="R31" s="64">
        <f>DTR!R31+'Dai Loc'!R31+'Dong Lam'!R31+'Khanh Nga'!R31+TDP!R31+DTRVL!R31</f>
        <v>0</v>
      </c>
      <c r="S31" s="64">
        <f>DTR!S31+'Dai Loc'!S31+'Dong Lam'!S31+'Khanh Nga'!S31+TDP!S31+DTRVL!S31</f>
        <v>0</v>
      </c>
      <c r="T31" s="64">
        <f>DTR!T31+'Dai Loc'!T31+'Dong Lam'!T31+'Khanh Nga'!T31+TDP!T31+DTRVL!T31</f>
        <v>0</v>
      </c>
      <c r="U31" s="64">
        <f>DTR!U31+'Dai Loc'!U31+'Dong Lam'!U31+'Khanh Nga'!U31+TDP!U31+DTRVL!U31</f>
        <v>0</v>
      </c>
      <c r="V31" s="64">
        <f>DTR!V31+'Dai Loc'!V31+'Dong Lam'!V31+'Khanh Nga'!V31+TDP!V31+DTRVL!V31</f>
        <v>0</v>
      </c>
      <c r="W31" s="64">
        <f>DTR!W31+'Dai Loc'!W31+'Dong Lam'!W31+'Khanh Nga'!W31+TDP!W31+DTRVL!W31</f>
        <v>0</v>
      </c>
      <c r="X31" s="64">
        <f>DTR!X31+'Dai Loc'!X31+'Dong Lam'!X31+'Khanh Nga'!X31+TDP!X31+DTRVL!X31</f>
        <v>0</v>
      </c>
      <c r="Y31" s="64">
        <f>DTR!Y31+'Dai Loc'!Y31+'Dong Lam'!Y31+'Khanh Nga'!Y31+TDP!Y31+DTRVL!Y31</f>
        <v>0</v>
      </c>
      <c r="Z31" s="64">
        <f>DTR!Z31+'Dai Loc'!Z31+'Dong Lam'!Z31+'Khanh Nga'!Z31+TDP!Z31+DTRVL!Z31</f>
        <v>0</v>
      </c>
    </row>
    <row r="32" spans="1:26" ht="15" hidden="1" customHeight="1" outlineLevel="1">
      <c r="A32" s="59" t="s">
        <v>116</v>
      </c>
      <c r="B32" s="65">
        <v>27</v>
      </c>
      <c r="C32" s="61">
        <f>DTR!C32+'Dai Loc'!C32+'Dong Lam'!C32+'Khanh Nga'!C32+TDP!C32+DTRVL!C32</f>
        <v>48962900416</v>
      </c>
      <c r="D32" s="61">
        <f>DTR!D32+'Dai Loc'!D32+'Dong Lam'!D32+'Khanh Nga'!D32+TDP!D32+DTRVL!D32</f>
        <v>52918232539</v>
      </c>
      <c r="E32" s="61">
        <f>DTR!E32+'Dai Loc'!E32+'Dong Lam'!E32+'Khanh Nga'!E32+TDP!E32+DTRVL!E32</f>
        <v>54010150554</v>
      </c>
      <c r="F32" s="61">
        <f>DTR!F32+'Dai Loc'!F32+'Dong Lam'!F32+'Khanh Nga'!F32+TDP!F32+DTRVL!F32</f>
        <v>60398986934</v>
      </c>
      <c r="G32" s="61">
        <f>DTR!G32+'Dai Loc'!G32+'Dong Lam'!G32+'Khanh Nga'!G32+TDP!G32+DTRVL!G32</f>
        <v>65075235400</v>
      </c>
      <c r="H32" s="61">
        <f>DTR!H32+'Dai Loc'!H32+'Dong Lam'!H32+'Khanh Nga'!H32+TDP!H32+DTRVL!H32</f>
        <v>42414017441</v>
      </c>
      <c r="I32" s="61">
        <f>DTR!I32+'Dai Loc'!I32+'Dong Lam'!I32+'Khanh Nga'!I32+TDP!I32+DTRVL!I32</f>
        <v>47346796070</v>
      </c>
      <c r="J32" s="61">
        <f>DTR!J32+'Dai Loc'!J32+'Dong Lam'!J32+'Khanh Nga'!J32+TDP!J32+DTRVL!J32</f>
        <v>49263253112</v>
      </c>
      <c r="K32" s="61">
        <f>DTR!K32+'Dai Loc'!K32+'Dong Lam'!K32+'Khanh Nga'!K32+TDP!K32+DTRVL!K32</f>
        <v>57483105866</v>
      </c>
      <c r="L32" s="61">
        <f>DTR!L32+'Dai Loc'!L32+'Dong Lam'!L32+'Khanh Nga'!L32+TDP!L32+DTRVL!L32</f>
        <v>60763422160</v>
      </c>
      <c r="M32" s="61">
        <f>DTR!M32+'Dai Loc'!M32+'Dong Lam'!M32+'Khanh Nga'!M32+TDP!M32+DTRVL!M32</f>
        <v>33278015559</v>
      </c>
      <c r="N32" s="61">
        <f>DTR!N32+'Dai Loc'!N32+'Dong Lam'!N32+'Khanh Nga'!N32+TDP!N32+DTRVL!N32</f>
        <v>31534122458</v>
      </c>
      <c r="O32" s="61">
        <f>DTR!O32+'Dai Loc'!O32+'Dong Lam'!O32+'Khanh Nga'!O32+TDP!O32+DTRVL!O32</f>
        <v>34370021423</v>
      </c>
      <c r="P32" s="61">
        <f>DTR!P32+'Dai Loc'!P32+'Dong Lam'!P32+'Khanh Nga'!P32+TDP!P32+DTRVL!P32</f>
        <v>35256248936</v>
      </c>
      <c r="Q32" s="61">
        <f>DTR!Q32+'Dai Loc'!Q32+'Dong Lam'!Q32+'Khanh Nga'!Q32+TDP!Q32+DTRVL!Q32</f>
        <v>40511504975</v>
      </c>
      <c r="R32" s="61">
        <f>DTR!R32+'Dai Loc'!R32+'Dong Lam'!R32+'Khanh Nga'!R32+TDP!R32+DTRVL!R32</f>
        <v>49186530502</v>
      </c>
      <c r="S32" s="61">
        <f>DTR!S32+'Dai Loc'!S32+'Dong Lam'!S32+'Khanh Nga'!S32+TDP!S32+DTRVL!S32</f>
        <v>57929147629</v>
      </c>
      <c r="T32" s="61">
        <f>DTR!T32+'Dai Loc'!T32+'Dong Lam'!T32+'Khanh Nga'!T32+TDP!T32+DTRVL!T32</f>
        <v>67683246789</v>
      </c>
      <c r="U32" s="61">
        <f>DTR!U32+'Dai Loc'!U32+'Dong Lam'!U32+'Khanh Nga'!U32+TDP!U32+DTRVL!U32</f>
        <v>75045460436</v>
      </c>
      <c r="V32" s="61">
        <f>DTR!V32+'Dai Loc'!V32+'Dong Lam'!V32+'Khanh Nga'!V32+TDP!V32+DTRVL!V32</f>
        <v>46135363029</v>
      </c>
      <c r="W32" s="61">
        <f>DTR!W32+'Dai Loc'!W32+'Dong Lam'!W32+'Khanh Nga'!W32+TDP!W32+DTRVL!W32</f>
        <v>47479598515</v>
      </c>
      <c r="X32" s="61">
        <f>DTR!X32+'Dai Loc'!X32+'Dong Lam'!X32+'Khanh Nga'!X32+TDP!X32+DTRVL!X32</f>
        <v>46659427017</v>
      </c>
      <c r="Y32" s="61">
        <f>DTR!Y32+'Dai Loc'!Y32+'Dong Lam'!Y32+'Khanh Nga'!Y32+TDP!Y32+DTRVL!Y32</f>
        <v>44474768284</v>
      </c>
      <c r="Z32" s="61">
        <f>DTR!Z32+'Dai Loc'!Z32+'Dong Lam'!Z32+'Khanh Nga'!Z32+TDP!Z32+DTRVL!Z32</f>
        <v>22935217161</v>
      </c>
    </row>
    <row r="33" spans="1:26" ht="15" hidden="1" customHeight="1" outlineLevel="1">
      <c r="A33" s="67" t="s">
        <v>117</v>
      </c>
      <c r="B33" s="63">
        <v>28</v>
      </c>
      <c r="C33" s="64">
        <f>DTR!C33+'Dai Loc'!C33+'Dong Lam'!C33+'Khanh Nga'!C33+TDP!C33+DTRVL!C33</f>
        <v>7035999486</v>
      </c>
      <c r="D33" s="64">
        <f>DTR!D33+'Dai Loc'!D33+'Dong Lam'!D33+'Khanh Nga'!D33+TDP!D33+DTRVL!D33</f>
        <v>8848304154</v>
      </c>
      <c r="E33" s="64">
        <f>DTR!E33+'Dai Loc'!E33+'Dong Lam'!E33+'Khanh Nga'!E33+TDP!E33+DTRVL!E33</f>
        <v>7783371139</v>
      </c>
      <c r="F33" s="64">
        <f>DTR!F33+'Dai Loc'!F33+'Dong Lam'!F33+'Khanh Nga'!F33+TDP!F33+DTRVL!F33</f>
        <v>8731138492</v>
      </c>
      <c r="G33" s="64">
        <f>DTR!G33+'Dai Loc'!G33+'Dong Lam'!G33+'Khanh Nga'!G33+TDP!G33+DTRVL!G33</f>
        <v>8451404044</v>
      </c>
      <c r="H33" s="64">
        <f>DTR!H33+'Dai Loc'!H33+'Dong Lam'!H33+'Khanh Nga'!H33+TDP!H33+DTRVL!H33</f>
        <v>9556103747</v>
      </c>
      <c r="I33" s="64">
        <f>DTR!I33+'Dai Loc'!I33+'Dong Lam'!I33+'Khanh Nga'!I33+TDP!I33+DTRVL!I33</f>
        <v>11050173464</v>
      </c>
      <c r="J33" s="64">
        <f>DTR!J33+'Dai Loc'!J33+'Dong Lam'!J33+'Khanh Nga'!J33+TDP!J33+DTRVL!J33</f>
        <v>11388113648</v>
      </c>
      <c r="K33" s="64">
        <f>DTR!K33+'Dai Loc'!K33+'Dong Lam'!K33+'Khanh Nga'!K33+TDP!K33+DTRVL!K33</f>
        <v>12602861919</v>
      </c>
      <c r="L33" s="64">
        <f>DTR!L33+'Dai Loc'!L33+'Dong Lam'!L33+'Khanh Nga'!L33+TDP!L33+DTRVL!L33</f>
        <v>11727591383</v>
      </c>
      <c r="M33" s="64">
        <f>DTR!M33+'Dai Loc'!M33+'Dong Lam'!M33+'Khanh Nga'!M33+TDP!M33+DTRVL!M33</f>
        <v>10973880534</v>
      </c>
      <c r="N33" s="64">
        <f>DTR!N33+'Dai Loc'!N33+'Dong Lam'!N33+'Khanh Nga'!N33+TDP!N33+DTRVL!N33</f>
        <v>10657489774</v>
      </c>
      <c r="O33" s="64">
        <f>DTR!O33+'Dai Loc'!O33+'Dong Lam'!O33+'Khanh Nga'!O33+TDP!O33+DTRVL!O33</f>
        <v>11395924021</v>
      </c>
      <c r="P33" s="64">
        <f>DTR!P33+'Dai Loc'!P33+'Dong Lam'!P33+'Khanh Nga'!P33+TDP!P33+DTRVL!P33</f>
        <v>11989589155</v>
      </c>
      <c r="Q33" s="64">
        <f>DTR!Q33+'Dai Loc'!Q33+'Dong Lam'!Q33+'Khanh Nga'!Q33+TDP!Q33+DTRVL!Q33</f>
        <v>11598601196</v>
      </c>
      <c r="R33" s="64">
        <f>DTR!R33+'Dai Loc'!R33+'Dong Lam'!R33+'Khanh Nga'!R33+TDP!R33+DTRVL!R33</f>
        <v>10468261049</v>
      </c>
      <c r="S33" s="64">
        <f>DTR!S33+'Dai Loc'!S33+'Dong Lam'!S33+'Khanh Nga'!S33+TDP!S33+DTRVL!S33</f>
        <v>9171782469</v>
      </c>
      <c r="T33" s="64">
        <f>DTR!T33+'Dai Loc'!T33+'Dong Lam'!T33+'Khanh Nga'!T33+TDP!T33+DTRVL!T33</f>
        <v>14684835555</v>
      </c>
      <c r="U33" s="64">
        <f>DTR!U33+'Dai Loc'!U33+'Dong Lam'!U33+'Khanh Nga'!U33+TDP!U33+DTRVL!U33</f>
        <v>15885866296</v>
      </c>
      <c r="V33" s="64">
        <f>DTR!V33+'Dai Loc'!V33+'Dong Lam'!V33+'Khanh Nga'!V33+TDP!V33+DTRVL!V33</f>
        <v>16474015139</v>
      </c>
      <c r="W33" s="64">
        <f>DTR!W33+'Dai Loc'!W33+'Dong Lam'!W33+'Khanh Nga'!W33+TDP!W33+DTRVL!W33</f>
        <v>13849463748</v>
      </c>
      <c r="X33" s="64">
        <f>DTR!X33+'Dai Loc'!X33+'Dong Lam'!X33+'Khanh Nga'!X33+TDP!X33+DTRVL!X33</f>
        <v>11763139600</v>
      </c>
      <c r="Y33" s="64">
        <f>DTR!Y33+'Dai Loc'!Y33+'Dong Lam'!Y33+'Khanh Nga'!Y33+TDP!Y33+DTRVL!Y33</f>
        <v>9200737004</v>
      </c>
      <c r="Z33" s="64">
        <f>DTR!Z33+'Dai Loc'!Z33+'Dong Lam'!Z33+'Khanh Nga'!Z33+TDP!Z33+DTRVL!Z33</f>
        <v>9324178185</v>
      </c>
    </row>
    <row r="34" spans="1:26" ht="15" hidden="1" customHeight="1" outlineLevel="1">
      <c r="A34" s="67" t="s">
        <v>118</v>
      </c>
      <c r="B34" s="63">
        <v>29</v>
      </c>
      <c r="C34" s="69">
        <f>DTR!C34+'Dai Loc'!C34+'Dong Lam'!C34+'Khanh Nga'!C34+TDP!C34+DTRVL!C34</f>
        <v>41926900930</v>
      </c>
      <c r="D34" s="69">
        <f>DTR!D34+'Dai Loc'!D34+'Dong Lam'!D34+'Khanh Nga'!D34+TDP!D34+DTRVL!D34</f>
        <v>43981339223</v>
      </c>
      <c r="E34" s="69">
        <f>DTR!E34+'Dai Loc'!E34+'Dong Lam'!E34+'Khanh Nga'!E34+TDP!E34+DTRVL!E34</f>
        <v>46171681706</v>
      </c>
      <c r="F34" s="69">
        <f>DTR!F34+'Dai Loc'!F34+'Dong Lam'!F34+'Khanh Nga'!F34+TDP!F34+DTRVL!F34</f>
        <v>51636650946</v>
      </c>
      <c r="G34" s="69">
        <f>DTR!G34+'Dai Loc'!G34+'Dong Lam'!G34+'Khanh Nga'!G34+TDP!G34+DTRVL!G34</f>
        <v>56579510013</v>
      </c>
      <c r="H34" s="69">
        <f>DTR!H34+'Dai Loc'!H34+'Dong Lam'!H34+'Khanh Nga'!H34+TDP!H34+DTRVL!H34</f>
        <v>32789088899</v>
      </c>
      <c r="I34" s="69">
        <f>DTR!I34+'Dai Loc'!I34+'Dong Lam'!I34+'Khanh Nga'!I34+TDP!I34+DTRVL!I34</f>
        <v>36250538837</v>
      </c>
      <c r="J34" s="69">
        <f>DTR!J34+'Dai Loc'!J34+'Dong Lam'!J34+'Khanh Nga'!J34+TDP!J34+DTRVL!J34</f>
        <v>37779643794</v>
      </c>
      <c r="K34" s="69">
        <f>DTR!K34+'Dai Loc'!K34+'Dong Lam'!K34+'Khanh Nga'!K34+TDP!K34+DTRVL!K34</f>
        <v>44831223018</v>
      </c>
      <c r="L34" s="69">
        <f>DTR!L34+'Dai Loc'!L34+'Dong Lam'!L34+'Khanh Nga'!L34+TDP!L34+DTRVL!L34</f>
        <v>48983963098</v>
      </c>
      <c r="M34" s="69">
        <f>DTR!M34+'Dai Loc'!M34+'Dong Lam'!M34+'Khanh Nga'!M34+TDP!M34+DTRVL!M34</f>
        <v>22259084600</v>
      </c>
      <c r="N34" s="69">
        <f>DTR!N34+'Dai Loc'!N34+'Dong Lam'!N34+'Khanh Nga'!N34+TDP!N34+DTRVL!N34</f>
        <v>20876632684</v>
      </c>
      <c r="O34" s="69">
        <f>DTR!O34+'Dai Loc'!O34+'Dong Lam'!O34+'Khanh Nga'!O34+TDP!O34+DTRVL!O34</f>
        <v>22974097402</v>
      </c>
      <c r="P34" s="69">
        <f>DTR!P34+'Dai Loc'!P34+'Dong Lam'!P34+'Khanh Nga'!P34+TDP!P34+DTRVL!P34</f>
        <v>23262789748</v>
      </c>
      <c r="Q34" s="69">
        <f>DTR!Q34+'Dai Loc'!Q34+'Dong Lam'!Q34+'Khanh Nga'!Q34+TDP!Q34+DTRVL!Q34</f>
        <v>28912903779</v>
      </c>
      <c r="R34" s="69">
        <f>DTR!R34+'Dai Loc'!R34+'Dong Lam'!R34+'Khanh Nga'!R34+TDP!R34+DTRVL!R34</f>
        <v>38718269453</v>
      </c>
      <c r="S34" s="69">
        <f>DTR!S34+'Dai Loc'!S34+'Dong Lam'!S34+'Khanh Nga'!S34+TDP!S34+DTRVL!S34</f>
        <v>48757365160</v>
      </c>
      <c r="T34" s="69">
        <f>DTR!T34+'Dai Loc'!T34+'Dong Lam'!T34+'Khanh Nga'!T34+TDP!T34+DTRVL!T34</f>
        <v>52998411234</v>
      </c>
      <c r="U34" s="69">
        <f>DTR!U34+'Dai Loc'!U34+'Dong Lam'!U34+'Khanh Nga'!U34+TDP!U34+DTRVL!U34</f>
        <v>59147931882</v>
      </c>
      <c r="V34" s="69">
        <f>DTR!V34+'Dai Loc'!V34+'Dong Lam'!V34+'Khanh Nga'!V34+TDP!V34+DTRVL!V34</f>
        <v>29661347890</v>
      </c>
      <c r="W34" s="69">
        <f>DTR!W34+'Dai Loc'!W34+'Dong Lam'!W34+'Khanh Nga'!W34+TDP!W34+DTRVL!W34</f>
        <v>33630134767</v>
      </c>
      <c r="X34" s="69">
        <f>DTR!X34+'Dai Loc'!X34+'Dong Lam'!X34+'Khanh Nga'!X34+TDP!X34+DTRVL!X34</f>
        <v>34896287417</v>
      </c>
      <c r="Y34" s="69">
        <f>DTR!Y34+'Dai Loc'!Y34+'Dong Lam'!Y34+'Khanh Nga'!Y34+TDP!Y34+DTRVL!Y34</f>
        <v>35274031280</v>
      </c>
      <c r="Z34" s="69">
        <f>DTR!Z34+'Dai Loc'!Z34+'Dong Lam'!Z34+'Khanh Nga'!Z34+TDP!Z34+DTRVL!Z34</f>
        <v>13611038976</v>
      </c>
    </row>
    <row r="35" spans="1:26" ht="15" hidden="1" customHeight="1" outlineLevel="1">
      <c r="A35" s="67" t="s">
        <v>119</v>
      </c>
      <c r="B35" s="63">
        <v>30</v>
      </c>
      <c r="C35" s="64">
        <f>DTR!C35+'Dai Loc'!C35+'Dong Lam'!C35+'Khanh Nga'!C35+TDP!C35+DTRVL!C35</f>
        <v>0</v>
      </c>
      <c r="D35" s="64">
        <f>DTR!D35+'Dai Loc'!D35+'Dong Lam'!D35+'Khanh Nga'!D35+TDP!D35+DTRVL!D35</f>
        <v>88589162</v>
      </c>
      <c r="E35" s="64">
        <f>DTR!E35+'Dai Loc'!E35+'Dong Lam'!E35+'Khanh Nga'!E35+TDP!E35+DTRVL!E35</f>
        <v>55097709</v>
      </c>
      <c r="F35" s="64">
        <f>DTR!F35+'Dai Loc'!F35+'Dong Lam'!F35+'Khanh Nga'!F35+TDP!F35+DTRVL!F35</f>
        <v>31197496</v>
      </c>
      <c r="G35" s="64">
        <f>DTR!G35+'Dai Loc'!G35+'Dong Lam'!G35+'Khanh Nga'!G35+TDP!G35+DTRVL!G35</f>
        <v>44321343</v>
      </c>
      <c r="H35" s="64">
        <f>DTR!H35+'Dai Loc'!H35+'Dong Lam'!H35+'Khanh Nga'!H35+TDP!H35+DTRVL!H35</f>
        <v>68824795</v>
      </c>
      <c r="I35" s="64">
        <f>DTR!I35+'Dai Loc'!I35+'Dong Lam'!I35+'Khanh Nga'!I35+TDP!I35+DTRVL!I35</f>
        <v>46083769</v>
      </c>
      <c r="J35" s="64">
        <f>DTR!J35+'Dai Loc'!J35+'Dong Lam'!J35+'Khanh Nga'!J35+TDP!J35+DTRVL!J35</f>
        <v>95495670</v>
      </c>
      <c r="K35" s="64">
        <f>DTR!K35+'Dai Loc'!K35+'Dong Lam'!K35+'Khanh Nga'!K35+TDP!K35+DTRVL!K35</f>
        <v>49020929</v>
      </c>
      <c r="L35" s="64">
        <f>DTR!L35+'Dai Loc'!L35+'Dong Lam'!L35+'Khanh Nga'!L35+TDP!L35+DTRVL!L35</f>
        <v>51867679</v>
      </c>
      <c r="M35" s="64">
        <f>DTR!M35+'Dai Loc'!M35+'Dong Lam'!M35+'Khanh Nga'!M35+TDP!M35+DTRVL!M35</f>
        <v>45050425</v>
      </c>
      <c r="N35" s="64">
        <f>DTR!N35+'Dai Loc'!N35+'Dong Lam'!N35+'Khanh Nga'!N35+TDP!N35+DTRVL!N35</f>
        <v>0</v>
      </c>
      <c r="O35" s="64">
        <f>DTR!O35+'Dai Loc'!O35+'Dong Lam'!O35+'Khanh Nga'!O35+TDP!O35+DTRVL!O35</f>
        <v>0</v>
      </c>
      <c r="P35" s="64">
        <f>DTR!P35+'Dai Loc'!P35+'Dong Lam'!P35+'Khanh Nga'!P35+TDP!P35+DTRVL!P35</f>
        <v>3870033</v>
      </c>
      <c r="Q35" s="64">
        <f>DTR!Q35+'Dai Loc'!Q35+'Dong Lam'!Q35+'Khanh Nga'!Q35+TDP!Q35+DTRVL!Q35</f>
        <v>0</v>
      </c>
      <c r="R35" s="64">
        <f>DTR!R35+'Dai Loc'!R35+'Dong Lam'!R35+'Khanh Nga'!R35+TDP!R35+DTRVL!R35</f>
        <v>0</v>
      </c>
      <c r="S35" s="64">
        <f>DTR!S35+'Dai Loc'!S35+'Dong Lam'!S35+'Khanh Nga'!S35+TDP!S35+DTRVL!S35</f>
        <v>0</v>
      </c>
      <c r="T35" s="64">
        <f>DTR!T35+'Dai Loc'!T35+'Dong Lam'!T35+'Khanh Nga'!T35+TDP!T35+DTRVL!T35</f>
        <v>0</v>
      </c>
      <c r="U35" s="64">
        <f>DTR!U35+'Dai Loc'!U35+'Dong Lam'!U35+'Khanh Nga'!U35+TDP!U35+DTRVL!U35</f>
        <v>11662258</v>
      </c>
      <c r="V35" s="64">
        <f>DTR!V35+'Dai Loc'!V35+'Dong Lam'!V35+'Khanh Nga'!V35+TDP!V35+DTRVL!V35</f>
        <v>0</v>
      </c>
      <c r="W35" s="64">
        <f>DTR!W35+'Dai Loc'!W35+'Dong Lam'!W35+'Khanh Nga'!W35+TDP!W35+DTRVL!W35</f>
        <v>0</v>
      </c>
      <c r="X35" s="64">
        <f>DTR!X35+'Dai Loc'!X35+'Dong Lam'!X35+'Khanh Nga'!X35+TDP!X35+DTRVL!X35</f>
        <v>0</v>
      </c>
      <c r="Y35" s="64">
        <f>DTR!Y35+'Dai Loc'!Y35+'Dong Lam'!Y35+'Khanh Nga'!Y35+TDP!Y35+DTRVL!Y35</f>
        <v>0</v>
      </c>
      <c r="Z35" s="64">
        <f>DTR!Z35+'Dai Loc'!Z35+'Dong Lam'!Z35+'Khanh Nga'!Z35+TDP!Z35+DTRVL!Z35</f>
        <v>0</v>
      </c>
    </row>
    <row r="36" spans="1:26" ht="15" hidden="1" customHeight="1" outlineLevel="1">
      <c r="A36" s="67" t="s">
        <v>120</v>
      </c>
      <c r="B36" s="63">
        <v>31</v>
      </c>
      <c r="C36" s="64">
        <f>DTR!C36+'Dai Loc'!C36+'Dong Lam'!C36+'Khanh Nga'!C36+TDP!C36+DTRVL!C36</f>
        <v>0</v>
      </c>
      <c r="D36" s="64">
        <f>DTR!D36+'Dai Loc'!D36+'Dong Lam'!D36+'Khanh Nga'!D36+TDP!D36+DTRVL!D36</f>
        <v>0</v>
      </c>
      <c r="E36" s="64">
        <f>DTR!E36+'Dai Loc'!E36+'Dong Lam'!E36+'Khanh Nga'!E36+TDP!E36+DTRVL!E36</f>
        <v>0</v>
      </c>
      <c r="F36" s="64">
        <f>DTR!F36+'Dai Loc'!F36+'Dong Lam'!F36+'Khanh Nga'!F36+TDP!F36+DTRVL!F36</f>
        <v>0</v>
      </c>
      <c r="G36" s="64">
        <f>DTR!G36+'Dai Loc'!G36+'Dong Lam'!G36+'Khanh Nga'!G36+TDP!G36+DTRVL!G36</f>
        <v>0</v>
      </c>
      <c r="H36" s="64">
        <f>DTR!H36+'Dai Loc'!H36+'Dong Lam'!H36+'Khanh Nga'!H36+TDP!H36+DTRVL!H36</f>
        <v>0</v>
      </c>
      <c r="I36" s="64">
        <f>DTR!I36+'Dai Loc'!I36+'Dong Lam'!I36+'Khanh Nga'!I36+TDP!I36+DTRVL!I36</f>
        <v>0</v>
      </c>
      <c r="J36" s="64">
        <f>DTR!J36+'Dai Loc'!J36+'Dong Lam'!J36+'Khanh Nga'!J36+TDP!J36+DTRVL!J36</f>
        <v>0</v>
      </c>
      <c r="K36" s="64">
        <f>DTR!K36+'Dai Loc'!K36+'Dong Lam'!K36+'Khanh Nga'!K36+TDP!K36+DTRVL!K36</f>
        <v>0</v>
      </c>
      <c r="L36" s="64">
        <f>DTR!L36+'Dai Loc'!L36+'Dong Lam'!L36+'Khanh Nga'!L36+TDP!L36+DTRVL!L36</f>
        <v>0</v>
      </c>
      <c r="M36" s="64">
        <f>DTR!M36+'Dai Loc'!M36+'Dong Lam'!M36+'Khanh Nga'!M36+TDP!M36+DTRVL!M36</f>
        <v>0</v>
      </c>
      <c r="N36" s="64">
        <f>DTR!N36+'Dai Loc'!N36+'Dong Lam'!N36+'Khanh Nga'!N36+TDP!N36+DTRVL!N36</f>
        <v>0</v>
      </c>
      <c r="O36" s="64">
        <f>DTR!O36+'Dai Loc'!O36+'Dong Lam'!O36+'Khanh Nga'!O36+TDP!O36+DTRVL!O36</f>
        <v>0</v>
      </c>
      <c r="P36" s="64">
        <f>DTR!P36+'Dai Loc'!P36+'Dong Lam'!P36+'Khanh Nga'!P36+TDP!P36+DTRVL!P36</f>
        <v>0</v>
      </c>
      <c r="Q36" s="64">
        <f>DTR!Q36+'Dai Loc'!Q36+'Dong Lam'!Q36+'Khanh Nga'!Q36+TDP!Q36+DTRVL!Q36</f>
        <v>0</v>
      </c>
      <c r="R36" s="64">
        <f>DTR!R36+'Dai Loc'!R36+'Dong Lam'!R36+'Khanh Nga'!R36+TDP!R36+DTRVL!R36</f>
        <v>0</v>
      </c>
      <c r="S36" s="64">
        <f>DTR!S36+'Dai Loc'!S36+'Dong Lam'!S36+'Khanh Nga'!S36+TDP!S36+DTRVL!S36</f>
        <v>0</v>
      </c>
      <c r="T36" s="64">
        <f>DTR!T36+'Dai Loc'!T36+'Dong Lam'!T36+'Khanh Nga'!T36+TDP!T36+DTRVL!T36</f>
        <v>0</v>
      </c>
      <c r="U36" s="64">
        <f>DTR!U36+'Dai Loc'!U36+'Dong Lam'!U36+'Khanh Nga'!U36+TDP!U36+DTRVL!U36</f>
        <v>0</v>
      </c>
      <c r="V36" s="64">
        <f>DTR!V36+'Dai Loc'!V36+'Dong Lam'!V36+'Khanh Nga'!V36+TDP!V36+DTRVL!V36</f>
        <v>0</v>
      </c>
      <c r="W36" s="64">
        <f>DTR!W36+'Dai Loc'!W36+'Dong Lam'!W36+'Khanh Nga'!W36+TDP!W36+DTRVL!W36</f>
        <v>0</v>
      </c>
      <c r="X36" s="64">
        <f>DTR!X36+'Dai Loc'!X36+'Dong Lam'!X36+'Khanh Nga'!X36+TDP!X36+DTRVL!X36</f>
        <v>0</v>
      </c>
      <c r="Y36" s="64">
        <f>DTR!Y36+'Dai Loc'!Y36+'Dong Lam'!Y36+'Khanh Nga'!Y36+TDP!Y36+DTRVL!Y36</f>
        <v>0</v>
      </c>
      <c r="Z36" s="64">
        <f>DTR!Z36+'Dai Loc'!Z36+'Dong Lam'!Z36+'Khanh Nga'!Z36+TDP!Z36+DTRVL!Z36</f>
        <v>0</v>
      </c>
    </row>
    <row r="37" spans="1:26" ht="15" hidden="1" customHeight="1" outlineLevel="1">
      <c r="A37" s="67" t="s">
        <v>121</v>
      </c>
      <c r="B37" s="63">
        <v>32</v>
      </c>
      <c r="C37" s="64">
        <f>DTR!C37+'Dai Loc'!C37+'Dong Lam'!C37+'Khanh Nga'!C37+TDP!C37+DTRVL!C37</f>
        <v>0</v>
      </c>
      <c r="D37" s="64">
        <f>DTR!D37+'Dai Loc'!D37+'Dong Lam'!D37+'Khanh Nga'!D37+TDP!D37+DTRVL!D37</f>
        <v>0</v>
      </c>
      <c r="E37" s="64">
        <f>DTR!E37+'Dai Loc'!E37+'Dong Lam'!E37+'Khanh Nga'!E37+TDP!E37+DTRVL!E37</f>
        <v>0</v>
      </c>
      <c r="F37" s="64">
        <f>DTR!F37+'Dai Loc'!F37+'Dong Lam'!F37+'Khanh Nga'!F37+TDP!F37+DTRVL!F37</f>
        <v>0</v>
      </c>
      <c r="G37" s="64">
        <f>DTR!G37+'Dai Loc'!G37+'Dong Lam'!G37+'Khanh Nga'!G37+TDP!G37+DTRVL!G37</f>
        <v>0</v>
      </c>
      <c r="H37" s="64">
        <f>DTR!H37+'Dai Loc'!H37+'Dong Lam'!H37+'Khanh Nga'!H37+TDP!H37+DTRVL!H37</f>
        <v>0</v>
      </c>
      <c r="I37" s="64">
        <f>DTR!I37+'Dai Loc'!I37+'Dong Lam'!I37+'Khanh Nga'!I37+TDP!I37+DTRVL!I37</f>
        <v>0</v>
      </c>
      <c r="J37" s="64">
        <f>DTR!J37+'Dai Loc'!J37+'Dong Lam'!J37+'Khanh Nga'!J37+TDP!J37+DTRVL!J37</f>
        <v>0</v>
      </c>
      <c r="K37" s="64">
        <f>DTR!K37+'Dai Loc'!K37+'Dong Lam'!K37+'Khanh Nga'!K37+TDP!K37+DTRVL!K37</f>
        <v>0</v>
      </c>
      <c r="L37" s="64">
        <f>DTR!L37+'Dai Loc'!L37+'Dong Lam'!L37+'Khanh Nga'!L37+TDP!L37+DTRVL!L37</f>
        <v>0</v>
      </c>
      <c r="M37" s="64">
        <f>DTR!M37+'Dai Loc'!M37+'Dong Lam'!M37+'Khanh Nga'!M37+TDP!M37+DTRVL!M37</f>
        <v>0</v>
      </c>
      <c r="N37" s="64">
        <f>DTR!N37+'Dai Loc'!N37+'Dong Lam'!N37+'Khanh Nga'!N37+TDP!N37+DTRVL!N37</f>
        <v>0</v>
      </c>
      <c r="O37" s="64">
        <f>DTR!O37+'Dai Loc'!O37+'Dong Lam'!O37+'Khanh Nga'!O37+TDP!O37+DTRVL!O37</f>
        <v>0</v>
      </c>
      <c r="P37" s="64">
        <f>DTR!P37+'Dai Loc'!P37+'Dong Lam'!P37+'Khanh Nga'!P37+TDP!P37+DTRVL!P37</f>
        <v>0</v>
      </c>
      <c r="Q37" s="64">
        <f>DTR!Q37+'Dai Loc'!Q37+'Dong Lam'!Q37+'Khanh Nga'!Q37+TDP!Q37+DTRVL!Q37</f>
        <v>0</v>
      </c>
      <c r="R37" s="64">
        <f>DTR!R37+'Dai Loc'!R37+'Dong Lam'!R37+'Khanh Nga'!R37+TDP!R37+DTRVL!R37</f>
        <v>0</v>
      </c>
      <c r="S37" s="64">
        <f>DTR!S37+'Dai Loc'!S37+'Dong Lam'!S37+'Khanh Nga'!S37+TDP!S37+DTRVL!S37</f>
        <v>0</v>
      </c>
      <c r="T37" s="64">
        <f>DTR!T37+'Dai Loc'!T37+'Dong Lam'!T37+'Khanh Nga'!T37+TDP!T37+DTRVL!T37</f>
        <v>0</v>
      </c>
      <c r="U37" s="64">
        <f>DTR!U37+'Dai Loc'!U37+'Dong Lam'!U37+'Khanh Nga'!U37+TDP!U37+DTRVL!U37</f>
        <v>0</v>
      </c>
      <c r="V37" s="64">
        <f>DTR!V37+'Dai Loc'!V37+'Dong Lam'!V37+'Khanh Nga'!V37+TDP!V37+DTRVL!V37</f>
        <v>0</v>
      </c>
      <c r="W37" s="64">
        <f>DTR!W37+'Dai Loc'!W37+'Dong Lam'!W37+'Khanh Nga'!W37+TDP!W37+DTRVL!W37</f>
        <v>0</v>
      </c>
      <c r="X37" s="64">
        <f>DTR!X37+'Dai Loc'!X37+'Dong Lam'!X37+'Khanh Nga'!X37+TDP!X37+DTRVL!X37</f>
        <v>0</v>
      </c>
      <c r="Y37" s="64">
        <f>DTR!Y37+'Dai Loc'!Y37+'Dong Lam'!Y37+'Khanh Nga'!Y37+TDP!Y37+DTRVL!Y37</f>
        <v>0</v>
      </c>
      <c r="Z37" s="64">
        <f>DTR!Z37+'Dai Loc'!Z37+'Dong Lam'!Z37+'Khanh Nga'!Z37+TDP!Z37+DTRVL!Z37</f>
        <v>0</v>
      </c>
    </row>
    <row r="38" spans="1:26" ht="14" hidden="1" outlineLevel="1">
      <c r="A38" s="70" t="s">
        <v>122</v>
      </c>
      <c r="B38" s="71">
        <v>33</v>
      </c>
      <c r="C38" s="64">
        <f>DTR!C38+'Dai Loc'!C38+'Dong Lam'!C38+'Khanh Nga'!C38+TDP!C38+DTRVL!C38</f>
        <v>332625414815</v>
      </c>
      <c r="D38" s="64">
        <f>DTR!D38+'Dai Loc'!D38+'Dong Lam'!D38+'Khanh Nga'!D38+TDP!D38+DTRVL!D38</f>
        <v>328842339529</v>
      </c>
      <c r="E38" s="64">
        <f>DTR!E38+'Dai Loc'!E38+'Dong Lam'!E38+'Khanh Nga'!E38+TDP!E38+DTRVL!E38</f>
        <v>326860219147</v>
      </c>
      <c r="F38" s="64">
        <f>DTR!F38+'Dai Loc'!F38+'Dong Lam'!F38+'Khanh Nga'!F38+TDP!F38+DTRVL!F38</f>
        <v>325876836997</v>
      </c>
      <c r="G38" s="64">
        <f>DTR!G38+'Dai Loc'!G38+'Dong Lam'!G38+'Khanh Nga'!G38+TDP!G38+DTRVL!G38</f>
        <v>323966420495</v>
      </c>
      <c r="H38" s="64">
        <f>DTR!H38+'Dai Loc'!H38+'Dong Lam'!H38+'Khanh Nga'!H38+TDP!H38+DTRVL!H38</f>
        <v>324626376319</v>
      </c>
      <c r="I38" s="64">
        <f>DTR!I38+'Dai Loc'!I38+'Dong Lam'!I38+'Khanh Nga'!I38+TDP!I38+DTRVL!I38</f>
        <v>322169750156</v>
      </c>
      <c r="J38" s="64">
        <f>DTR!J38+'Dai Loc'!J38+'Dong Lam'!J38+'Khanh Nga'!J38+TDP!J38+DTRVL!J38</f>
        <v>326771678464</v>
      </c>
      <c r="K38" s="64">
        <f>DTR!K38+'Dai Loc'!K38+'Dong Lam'!K38+'Khanh Nga'!K38+TDP!K38+DTRVL!K38</f>
        <v>324411130594</v>
      </c>
      <c r="L38" s="64">
        <f>DTR!L38+'Dai Loc'!L38+'Dong Lam'!L38+'Khanh Nga'!L38+TDP!L38+DTRVL!L38</f>
        <v>324205243077</v>
      </c>
      <c r="M38" s="64">
        <f>DTR!M38+'Dai Loc'!M38+'Dong Lam'!M38+'Khanh Nga'!M38+TDP!M38+DTRVL!M38</f>
        <v>324813983532</v>
      </c>
      <c r="N38" s="64">
        <f>DTR!N38+'Dai Loc'!N38+'Dong Lam'!N38+'Khanh Nga'!N38+TDP!N38+DTRVL!N38</f>
        <v>336474874329</v>
      </c>
      <c r="O38" s="64">
        <f>DTR!O38+'Dai Loc'!O38+'Dong Lam'!O38+'Khanh Nga'!O38+TDP!O38+DTRVL!O38</f>
        <v>340380140059</v>
      </c>
      <c r="P38" s="64">
        <f>DTR!P38+'Dai Loc'!P38+'Dong Lam'!P38+'Khanh Nga'!P38+TDP!P38+DTRVL!P38</f>
        <v>335623957890</v>
      </c>
      <c r="Q38" s="64">
        <f>DTR!Q38+'Dai Loc'!Q38+'Dong Lam'!Q38+'Khanh Nga'!Q38+TDP!Q38+DTRVL!Q38</f>
        <v>337167352653</v>
      </c>
      <c r="R38" s="64">
        <f>DTR!R38+'Dai Loc'!R38+'Dong Lam'!R38+'Khanh Nga'!R38+TDP!R38+DTRVL!R38</f>
        <v>345195829633</v>
      </c>
      <c r="S38" s="64">
        <f>DTR!S38+'Dai Loc'!S38+'Dong Lam'!S38+'Khanh Nga'!S38+TDP!S38+DTRVL!S38</f>
        <v>349130154104</v>
      </c>
      <c r="T38" s="64">
        <f>DTR!T38+'Dai Loc'!T38+'Dong Lam'!T38+'Khanh Nga'!T38+TDP!T38+DTRVL!T38</f>
        <v>349265800786</v>
      </c>
      <c r="U38" s="64">
        <f>DTR!U38+'Dai Loc'!U38+'Dong Lam'!U38+'Khanh Nga'!U38+TDP!U38+DTRVL!U38</f>
        <v>347766774950</v>
      </c>
      <c r="V38" s="64">
        <f>DTR!V38+'Dai Loc'!V38+'Dong Lam'!V38+'Khanh Nga'!V38+TDP!V38+DTRVL!V38</f>
        <v>347596408883</v>
      </c>
      <c r="W38" s="64">
        <f>DTR!W38+'Dai Loc'!W38+'Dong Lam'!W38+'Khanh Nga'!W38+TDP!W38+DTRVL!W38</f>
        <v>354522543809</v>
      </c>
      <c r="X38" s="64">
        <f>DTR!X38+'Dai Loc'!X38+'Dong Lam'!X38+'Khanh Nga'!X38+TDP!X38+DTRVL!X38</f>
        <v>365541010978</v>
      </c>
      <c r="Y38" s="64">
        <f>DTR!Y38+'Dai Loc'!Y38+'Dong Lam'!Y38+'Khanh Nga'!Y38+TDP!Y38+DTRVL!Y38</f>
        <v>364826588171</v>
      </c>
      <c r="Z38" s="64">
        <f>DTR!Z38+'Dai Loc'!Z38+'Dong Lam'!Z38+'Khanh Nga'!Z38+TDP!Z38+DTRVL!Z38</f>
        <v>371988899872</v>
      </c>
    </row>
    <row r="39" spans="1:26" ht="15" hidden="1" customHeight="1" outlineLevel="1">
      <c r="A39" s="59" t="s">
        <v>123</v>
      </c>
      <c r="B39" s="65">
        <v>34</v>
      </c>
      <c r="C39" s="61">
        <f>DTR!C39+'Dai Loc'!C39+'Dong Lam'!C39+'Khanh Nga'!C39+TDP!C39+DTRVL!C39</f>
        <v>240000000</v>
      </c>
      <c r="D39" s="61">
        <f>DTR!D39+'Dai Loc'!D39+'Dong Lam'!D39+'Khanh Nga'!D39+TDP!D39+DTRVL!D39</f>
        <v>240000000</v>
      </c>
      <c r="E39" s="61">
        <f>DTR!E39+'Dai Loc'!E39+'Dong Lam'!E39+'Khanh Nga'!E39+TDP!E39+DTRVL!E39</f>
        <v>240000000</v>
      </c>
      <c r="F39" s="61">
        <f>DTR!F39+'Dai Loc'!F39+'Dong Lam'!F39+'Khanh Nga'!F39+TDP!F39+DTRVL!F39</f>
        <v>240000000</v>
      </c>
      <c r="G39" s="61">
        <f>DTR!G39+'Dai Loc'!G39+'Dong Lam'!G39+'Khanh Nga'!G39+TDP!G39+DTRVL!G39</f>
        <v>240000000</v>
      </c>
      <c r="H39" s="61">
        <f>DTR!H39+'Dai Loc'!H39+'Dong Lam'!H39+'Khanh Nga'!H39+TDP!H39+DTRVL!H39</f>
        <v>1140000000</v>
      </c>
      <c r="I39" s="61">
        <f>DTR!I39+'Dai Loc'!I39+'Dong Lam'!I39+'Khanh Nga'!I39+TDP!I39+DTRVL!I39</f>
        <v>930823092</v>
      </c>
      <c r="J39" s="61">
        <f>DTR!J39+'Dai Loc'!J39+'Dong Lam'!J39+'Khanh Nga'!J39+TDP!J39+DTRVL!J39</f>
        <v>930823092</v>
      </c>
      <c r="K39" s="61">
        <f>DTR!K39+'Dai Loc'!K39+'Dong Lam'!K39+'Khanh Nga'!K39+TDP!K39+DTRVL!K39</f>
        <v>930823092</v>
      </c>
      <c r="L39" s="61">
        <f>DTR!L39+'Dai Loc'!L39+'Dong Lam'!L39+'Khanh Nga'!L39+TDP!L39+DTRVL!L39</f>
        <v>930823092</v>
      </c>
      <c r="M39" s="61">
        <f>DTR!M39+'Dai Loc'!M39+'Dong Lam'!M39+'Khanh Nga'!M39+TDP!M39+DTRVL!M39</f>
        <v>930823092</v>
      </c>
      <c r="N39" s="61">
        <f>DTR!N39+'Dai Loc'!N39+'Dong Lam'!N39+'Khanh Nga'!N39+TDP!N39+DTRVL!N39</f>
        <v>6530823092</v>
      </c>
      <c r="O39" s="61">
        <f>DTR!O39+'Dai Loc'!O39+'Dong Lam'!O39+'Khanh Nga'!O39+TDP!O39+DTRVL!O39</f>
        <v>6530823092</v>
      </c>
      <c r="P39" s="61">
        <f>DTR!P39+'Dai Loc'!P39+'Dong Lam'!P39+'Khanh Nga'!P39+TDP!P39+DTRVL!P39</f>
        <v>6530823092</v>
      </c>
      <c r="Q39" s="61">
        <f>DTR!Q39+'Dai Loc'!Q39+'Dong Lam'!Q39+'Khanh Nga'!Q39+TDP!Q39+DTRVL!Q39</f>
        <v>6530823092</v>
      </c>
      <c r="R39" s="61">
        <f>DTR!R39+'Dai Loc'!R39+'Dong Lam'!R39+'Khanh Nga'!R39+TDP!R39+DTRVL!R39</f>
        <v>6530823092</v>
      </c>
      <c r="S39" s="61">
        <f>DTR!S39+'Dai Loc'!S39+'Dong Lam'!S39+'Khanh Nga'!S39+TDP!S39+DTRVL!S39</f>
        <v>6530823092</v>
      </c>
      <c r="T39" s="61">
        <f>DTR!T39+'Dai Loc'!T39+'Dong Lam'!T39+'Khanh Nga'!T39+TDP!T39+DTRVL!T39</f>
        <v>6530823092</v>
      </c>
      <c r="U39" s="61">
        <f>DTR!U39+'Dai Loc'!U39+'Dong Lam'!U39+'Khanh Nga'!U39+TDP!U39+DTRVL!U39</f>
        <v>6530823092</v>
      </c>
      <c r="V39" s="61">
        <f>DTR!V39+'Dai Loc'!V39+'Dong Lam'!V39+'Khanh Nga'!V39+TDP!V39+DTRVL!V39</f>
        <v>6530823092</v>
      </c>
      <c r="W39" s="61">
        <f>DTR!W39+'Dai Loc'!W39+'Dong Lam'!W39+'Khanh Nga'!W39+TDP!W39+DTRVL!W39</f>
        <v>6530823092</v>
      </c>
      <c r="X39" s="61">
        <f>DTR!X39+'Dai Loc'!X39+'Dong Lam'!X39+'Khanh Nga'!X39+TDP!X39+DTRVL!X39</f>
        <v>6530823092</v>
      </c>
      <c r="Y39" s="61">
        <f>DTR!Y39+'Dai Loc'!Y39+'Dong Lam'!Y39+'Khanh Nga'!Y39+TDP!Y39+DTRVL!Y39</f>
        <v>6530823092</v>
      </c>
      <c r="Z39" s="61">
        <f>DTR!Z39+'Dai Loc'!Z39+'Dong Lam'!Z39+'Khanh Nga'!Z39+TDP!Z39+DTRVL!Z39</f>
        <v>6530823092</v>
      </c>
    </row>
    <row r="40" spans="1:26" ht="15" hidden="1" customHeight="1" outlineLevel="1">
      <c r="A40" s="62" t="s">
        <v>124</v>
      </c>
      <c r="B40" s="63">
        <v>35</v>
      </c>
      <c r="C40" s="64">
        <f>DTR!C40+'Dai Loc'!C40+'Dong Lam'!C40+'Khanh Nga'!C40+TDP!C40+DTRVL!C40</f>
        <v>0</v>
      </c>
      <c r="D40" s="64">
        <f>DTR!D40+'Dai Loc'!D40+'Dong Lam'!D40+'Khanh Nga'!D40+TDP!D40+DTRVL!D40</f>
        <v>0</v>
      </c>
      <c r="E40" s="64">
        <f>DTR!E40+'Dai Loc'!E40+'Dong Lam'!E40+'Khanh Nga'!E40+TDP!E40+DTRVL!E40</f>
        <v>0</v>
      </c>
      <c r="F40" s="64">
        <f>DTR!F40+'Dai Loc'!F40+'Dong Lam'!F40+'Khanh Nga'!F40+TDP!F40+DTRVL!F40</f>
        <v>0</v>
      </c>
      <c r="G40" s="64">
        <f>DTR!G40+'Dai Loc'!G40+'Dong Lam'!G40+'Khanh Nga'!G40+TDP!G40+DTRVL!G40</f>
        <v>0</v>
      </c>
      <c r="H40" s="64">
        <f>DTR!H40+'Dai Loc'!H40+'Dong Lam'!H40+'Khanh Nga'!H40+TDP!H40+DTRVL!H40</f>
        <v>0</v>
      </c>
      <c r="I40" s="64">
        <f>DTR!I40+'Dai Loc'!I40+'Dong Lam'!I40+'Khanh Nga'!I40+TDP!I40+DTRVL!I40</f>
        <v>0</v>
      </c>
      <c r="J40" s="64">
        <f>DTR!J40+'Dai Loc'!J40+'Dong Lam'!J40+'Khanh Nga'!J40+TDP!J40+DTRVL!J40</f>
        <v>0</v>
      </c>
      <c r="K40" s="64">
        <f>DTR!K40+'Dai Loc'!K40+'Dong Lam'!K40+'Khanh Nga'!K40+TDP!K40+DTRVL!K40</f>
        <v>0</v>
      </c>
      <c r="L40" s="64">
        <f>DTR!L40+'Dai Loc'!L40+'Dong Lam'!L40+'Khanh Nga'!L40+TDP!L40+DTRVL!L40</f>
        <v>0</v>
      </c>
      <c r="M40" s="64">
        <f>DTR!M40+'Dai Loc'!M40+'Dong Lam'!M40+'Khanh Nga'!M40+TDP!M40+DTRVL!M40</f>
        <v>0</v>
      </c>
      <c r="N40" s="64">
        <f>DTR!N40+'Dai Loc'!N40+'Dong Lam'!N40+'Khanh Nga'!N40+TDP!N40+DTRVL!N40</f>
        <v>0</v>
      </c>
      <c r="O40" s="64">
        <f>DTR!O40+'Dai Loc'!O40+'Dong Lam'!O40+'Khanh Nga'!O40+TDP!O40+DTRVL!O40</f>
        <v>0</v>
      </c>
      <c r="P40" s="64">
        <f>DTR!P40+'Dai Loc'!P40+'Dong Lam'!P40+'Khanh Nga'!P40+TDP!P40+DTRVL!P40</f>
        <v>0</v>
      </c>
      <c r="Q40" s="64">
        <f>DTR!Q40+'Dai Loc'!Q40+'Dong Lam'!Q40+'Khanh Nga'!Q40+TDP!Q40+DTRVL!Q40</f>
        <v>0</v>
      </c>
      <c r="R40" s="64">
        <f>DTR!R40+'Dai Loc'!R40+'Dong Lam'!R40+'Khanh Nga'!R40+TDP!R40+DTRVL!R40</f>
        <v>0</v>
      </c>
      <c r="S40" s="64">
        <f>DTR!S40+'Dai Loc'!S40+'Dong Lam'!S40+'Khanh Nga'!S40+TDP!S40+DTRVL!S40</f>
        <v>0</v>
      </c>
      <c r="T40" s="64">
        <f>DTR!T40+'Dai Loc'!T40+'Dong Lam'!T40+'Khanh Nga'!T40+TDP!T40+DTRVL!T40</f>
        <v>0</v>
      </c>
      <c r="U40" s="64">
        <f>DTR!U40+'Dai Loc'!U40+'Dong Lam'!U40+'Khanh Nga'!U40+TDP!U40+DTRVL!U40</f>
        <v>0</v>
      </c>
      <c r="V40" s="64">
        <f>DTR!V40+'Dai Loc'!V40+'Dong Lam'!V40+'Khanh Nga'!V40+TDP!V40+DTRVL!V40</f>
        <v>0</v>
      </c>
      <c r="W40" s="64">
        <f>DTR!W40+'Dai Loc'!W40+'Dong Lam'!W40+'Khanh Nga'!W40+TDP!W40+DTRVL!W40</f>
        <v>0</v>
      </c>
      <c r="X40" s="64">
        <f>DTR!X40+'Dai Loc'!X40+'Dong Lam'!X40+'Khanh Nga'!X40+TDP!X40+DTRVL!X40</f>
        <v>0</v>
      </c>
      <c r="Y40" s="64">
        <f>DTR!Y40+'Dai Loc'!Y40+'Dong Lam'!Y40+'Khanh Nga'!Y40+TDP!Y40+DTRVL!Y40</f>
        <v>0</v>
      </c>
      <c r="Z40" s="64">
        <f>DTR!Z40+'Dai Loc'!Z40+'Dong Lam'!Z40+'Khanh Nga'!Z40+TDP!Z40+DTRVL!Z40</f>
        <v>0</v>
      </c>
    </row>
    <row r="41" spans="1:26" ht="15" hidden="1" customHeight="1" outlineLevel="1">
      <c r="A41" s="62" t="s">
        <v>125</v>
      </c>
      <c r="B41" s="63">
        <v>36</v>
      </c>
      <c r="C41" s="64">
        <f>DTR!C41+'Dai Loc'!C41+'Dong Lam'!C41+'Khanh Nga'!C41+TDP!C41+DTRVL!C41</f>
        <v>0</v>
      </c>
      <c r="D41" s="64">
        <f>DTR!D41+'Dai Loc'!D41+'Dong Lam'!D41+'Khanh Nga'!D41+TDP!D41+DTRVL!D41</f>
        <v>0</v>
      </c>
      <c r="E41" s="64">
        <f>DTR!E41+'Dai Loc'!E41+'Dong Lam'!E41+'Khanh Nga'!E41+TDP!E41+DTRVL!E41</f>
        <v>0</v>
      </c>
      <c r="F41" s="64">
        <f>DTR!F41+'Dai Loc'!F41+'Dong Lam'!F41+'Khanh Nga'!F41+TDP!F41+DTRVL!F41</f>
        <v>0</v>
      </c>
      <c r="G41" s="64">
        <f>DTR!G41+'Dai Loc'!G41+'Dong Lam'!G41+'Khanh Nga'!G41+TDP!G41+DTRVL!G41</f>
        <v>0</v>
      </c>
      <c r="H41" s="64">
        <f>DTR!H41+'Dai Loc'!H41+'Dong Lam'!H41+'Khanh Nga'!H41+TDP!H41+DTRVL!H41</f>
        <v>0</v>
      </c>
      <c r="I41" s="64">
        <f>DTR!I41+'Dai Loc'!I41+'Dong Lam'!I41+'Khanh Nga'!I41+TDP!I41+DTRVL!I41</f>
        <v>0</v>
      </c>
      <c r="J41" s="64">
        <f>DTR!J41+'Dai Loc'!J41+'Dong Lam'!J41+'Khanh Nga'!J41+TDP!J41+DTRVL!J41</f>
        <v>0</v>
      </c>
      <c r="K41" s="64">
        <f>DTR!K41+'Dai Loc'!K41+'Dong Lam'!K41+'Khanh Nga'!K41+TDP!K41+DTRVL!K41</f>
        <v>0</v>
      </c>
      <c r="L41" s="64">
        <f>DTR!L41+'Dai Loc'!L41+'Dong Lam'!L41+'Khanh Nga'!L41+TDP!L41+DTRVL!L41</f>
        <v>0</v>
      </c>
      <c r="M41" s="64">
        <f>DTR!M41+'Dai Loc'!M41+'Dong Lam'!M41+'Khanh Nga'!M41+TDP!M41+DTRVL!M41</f>
        <v>0</v>
      </c>
      <c r="N41" s="64">
        <f>DTR!N41+'Dai Loc'!N41+'Dong Lam'!N41+'Khanh Nga'!N41+TDP!N41+DTRVL!N41</f>
        <v>0</v>
      </c>
      <c r="O41" s="64">
        <f>DTR!O41+'Dai Loc'!O41+'Dong Lam'!O41+'Khanh Nga'!O41+TDP!O41+DTRVL!O41</f>
        <v>0</v>
      </c>
      <c r="P41" s="64">
        <f>DTR!P41+'Dai Loc'!P41+'Dong Lam'!P41+'Khanh Nga'!P41+TDP!P41+DTRVL!P41</f>
        <v>0</v>
      </c>
      <c r="Q41" s="64">
        <f>DTR!Q41+'Dai Loc'!Q41+'Dong Lam'!Q41+'Khanh Nga'!Q41+TDP!Q41+DTRVL!Q41</f>
        <v>0</v>
      </c>
      <c r="R41" s="64">
        <f>DTR!R41+'Dai Loc'!R41+'Dong Lam'!R41+'Khanh Nga'!R41+TDP!R41+DTRVL!R41</f>
        <v>0</v>
      </c>
      <c r="S41" s="64">
        <f>DTR!S41+'Dai Loc'!S41+'Dong Lam'!S41+'Khanh Nga'!S41+TDP!S41+DTRVL!S41</f>
        <v>0</v>
      </c>
      <c r="T41" s="64">
        <f>DTR!T41+'Dai Loc'!T41+'Dong Lam'!T41+'Khanh Nga'!T41+TDP!T41+DTRVL!T41</f>
        <v>0</v>
      </c>
      <c r="U41" s="64">
        <f>DTR!U41+'Dai Loc'!U41+'Dong Lam'!U41+'Khanh Nga'!U41+TDP!U41+DTRVL!U41</f>
        <v>0</v>
      </c>
      <c r="V41" s="64">
        <f>DTR!V41+'Dai Loc'!V41+'Dong Lam'!V41+'Khanh Nga'!V41+TDP!V41+DTRVL!V41</f>
        <v>0</v>
      </c>
      <c r="W41" s="64">
        <f>DTR!W41+'Dai Loc'!W41+'Dong Lam'!W41+'Khanh Nga'!W41+TDP!W41+DTRVL!W41</f>
        <v>0</v>
      </c>
      <c r="X41" s="64">
        <f>DTR!X41+'Dai Loc'!X41+'Dong Lam'!X41+'Khanh Nga'!X41+TDP!X41+DTRVL!X41</f>
        <v>0</v>
      </c>
      <c r="Y41" s="64">
        <f>DTR!Y41+'Dai Loc'!Y41+'Dong Lam'!Y41+'Khanh Nga'!Y41+TDP!Y41+DTRVL!Y41</f>
        <v>0</v>
      </c>
      <c r="Z41" s="64">
        <f>DTR!Z41+'Dai Loc'!Z41+'Dong Lam'!Z41+'Khanh Nga'!Z41+TDP!Z41+DTRVL!Z41</f>
        <v>0</v>
      </c>
    </row>
    <row r="42" spans="1:26" ht="15" hidden="1" customHeight="1" outlineLevel="1">
      <c r="A42" s="62" t="s">
        <v>126</v>
      </c>
      <c r="B42" s="63">
        <v>37</v>
      </c>
      <c r="C42" s="64">
        <f>DTR!C42+'Dai Loc'!C42+'Dong Lam'!C42+'Khanh Nga'!C42+TDP!C42+DTRVL!C42</f>
        <v>0</v>
      </c>
      <c r="D42" s="64">
        <f>DTR!D42+'Dai Loc'!D42+'Dong Lam'!D42+'Khanh Nga'!D42+TDP!D42+DTRVL!D42</f>
        <v>0</v>
      </c>
      <c r="E42" s="64">
        <f>DTR!E42+'Dai Loc'!E42+'Dong Lam'!E42+'Khanh Nga'!E42+TDP!E42+DTRVL!E42</f>
        <v>0</v>
      </c>
      <c r="F42" s="64">
        <f>DTR!F42+'Dai Loc'!F42+'Dong Lam'!F42+'Khanh Nga'!F42+TDP!F42+DTRVL!F42</f>
        <v>0</v>
      </c>
      <c r="G42" s="64">
        <f>DTR!G42+'Dai Loc'!G42+'Dong Lam'!G42+'Khanh Nga'!G42+TDP!G42+DTRVL!G42</f>
        <v>0</v>
      </c>
      <c r="H42" s="64">
        <f>DTR!H42+'Dai Loc'!H42+'Dong Lam'!H42+'Khanh Nga'!H42+TDP!H42+DTRVL!H42</f>
        <v>0</v>
      </c>
      <c r="I42" s="64">
        <f>DTR!I42+'Dai Loc'!I42+'Dong Lam'!I42+'Khanh Nga'!I42+TDP!I42+DTRVL!I42</f>
        <v>0</v>
      </c>
      <c r="J42" s="64">
        <f>DTR!J42+'Dai Loc'!J42+'Dong Lam'!J42+'Khanh Nga'!J42+TDP!J42+DTRVL!J42</f>
        <v>0</v>
      </c>
      <c r="K42" s="64">
        <f>DTR!K42+'Dai Loc'!K42+'Dong Lam'!K42+'Khanh Nga'!K42+TDP!K42+DTRVL!K42</f>
        <v>0</v>
      </c>
      <c r="L42" s="64">
        <f>DTR!L42+'Dai Loc'!L42+'Dong Lam'!L42+'Khanh Nga'!L42+TDP!L42+DTRVL!L42</f>
        <v>0</v>
      </c>
      <c r="M42" s="64">
        <f>DTR!M42+'Dai Loc'!M42+'Dong Lam'!M42+'Khanh Nga'!M42+TDP!M42+DTRVL!M42</f>
        <v>0</v>
      </c>
      <c r="N42" s="64">
        <f>DTR!N42+'Dai Loc'!N42+'Dong Lam'!N42+'Khanh Nga'!N42+TDP!N42+DTRVL!N42</f>
        <v>0</v>
      </c>
      <c r="O42" s="64">
        <f>DTR!O42+'Dai Loc'!O42+'Dong Lam'!O42+'Khanh Nga'!O42+TDP!O42+DTRVL!O42</f>
        <v>0</v>
      </c>
      <c r="P42" s="64">
        <f>DTR!P42+'Dai Loc'!P42+'Dong Lam'!P42+'Khanh Nga'!P42+TDP!P42+DTRVL!P42</f>
        <v>0</v>
      </c>
      <c r="Q42" s="64">
        <f>DTR!Q42+'Dai Loc'!Q42+'Dong Lam'!Q42+'Khanh Nga'!Q42+TDP!Q42+DTRVL!Q42</f>
        <v>0</v>
      </c>
      <c r="R42" s="64">
        <f>DTR!R42+'Dai Loc'!R42+'Dong Lam'!R42+'Khanh Nga'!R42+TDP!R42+DTRVL!R42</f>
        <v>0</v>
      </c>
      <c r="S42" s="64">
        <f>DTR!S42+'Dai Loc'!S42+'Dong Lam'!S42+'Khanh Nga'!S42+TDP!S42+DTRVL!S42</f>
        <v>0</v>
      </c>
      <c r="T42" s="64">
        <f>DTR!T42+'Dai Loc'!T42+'Dong Lam'!T42+'Khanh Nga'!T42+TDP!T42+DTRVL!T42</f>
        <v>0</v>
      </c>
      <c r="U42" s="64">
        <f>DTR!U42+'Dai Loc'!U42+'Dong Lam'!U42+'Khanh Nga'!U42+TDP!U42+DTRVL!U42</f>
        <v>0</v>
      </c>
      <c r="V42" s="64">
        <f>DTR!V42+'Dai Loc'!V42+'Dong Lam'!V42+'Khanh Nga'!V42+TDP!V42+DTRVL!V42</f>
        <v>0</v>
      </c>
      <c r="W42" s="64">
        <f>DTR!W42+'Dai Loc'!W42+'Dong Lam'!W42+'Khanh Nga'!W42+TDP!W42+DTRVL!W42</f>
        <v>0</v>
      </c>
      <c r="X42" s="64">
        <f>DTR!X42+'Dai Loc'!X42+'Dong Lam'!X42+'Khanh Nga'!X42+TDP!X42+DTRVL!X42</f>
        <v>0</v>
      </c>
      <c r="Y42" s="64">
        <f>DTR!Y42+'Dai Loc'!Y42+'Dong Lam'!Y42+'Khanh Nga'!Y42+TDP!Y42+DTRVL!Y42</f>
        <v>0</v>
      </c>
      <c r="Z42" s="64">
        <f>DTR!Z42+'Dai Loc'!Z42+'Dong Lam'!Z42+'Khanh Nga'!Z42+TDP!Z42+DTRVL!Z42</f>
        <v>0</v>
      </c>
    </row>
    <row r="43" spans="1:26" ht="15" hidden="1" customHeight="1" outlineLevel="1">
      <c r="A43" s="62" t="s">
        <v>127</v>
      </c>
      <c r="B43" s="63">
        <v>38</v>
      </c>
      <c r="C43" s="64">
        <f>DTR!C43+'Dai Loc'!C43+'Dong Lam'!C43+'Khanh Nga'!C43+TDP!C43+DTRVL!C43</f>
        <v>0</v>
      </c>
      <c r="D43" s="64">
        <f>DTR!D43+'Dai Loc'!D43+'Dong Lam'!D43+'Khanh Nga'!D43+TDP!D43+DTRVL!D43</f>
        <v>0</v>
      </c>
      <c r="E43" s="64">
        <f>DTR!E43+'Dai Loc'!E43+'Dong Lam'!E43+'Khanh Nga'!E43+TDP!E43+DTRVL!E43</f>
        <v>0</v>
      </c>
      <c r="F43" s="64">
        <f>DTR!F43+'Dai Loc'!F43+'Dong Lam'!F43+'Khanh Nga'!F43+TDP!F43+DTRVL!F43</f>
        <v>0</v>
      </c>
      <c r="G43" s="64">
        <f>DTR!G43+'Dai Loc'!G43+'Dong Lam'!G43+'Khanh Nga'!G43+TDP!G43+DTRVL!G43</f>
        <v>0</v>
      </c>
      <c r="H43" s="64">
        <f>DTR!H43+'Dai Loc'!H43+'Dong Lam'!H43+'Khanh Nga'!H43+TDP!H43+DTRVL!H43</f>
        <v>0</v>
      </c>
      <c r="I43" s="64">
        <f>DTR!I43+'Dai Loc'!I43+'Dong Lam'!I43+'Khanh Nga'!I43+TDP!I43+DTRVL!I43</f>
        <v>0</v>
      </c>
      <c r="J43" s="64">
        <f>DTR!J43+'Dai Loc'!J43+'Dong Lam'!J43+'Khanh Nga'!J43+TDP!J43+DTRVL!J43</f>
        <v>0</v>
      </c>
      <c r="K43" s="64">
        <f>DTR!K43+'Dai Loc'!K43+'Dong Lam'!K43+'Khanh Nga'!K43+TDP!K43+DTRVL!K43</f>
        <v>0</v>
      </c>
      <c r="L43" s="64">
        <f>DTR!L43+'Dai Loc'!L43+'Dong Lam'!L43+'Khanh Nga'!L43+TDP!L43+DTRVL!L43</f>
        <v>0</v>
      </c>
      <c r="M43" s="64">
        <f>DTR!M43+'Dai Loc'!M43+'Dong Lam'!M43+'Khanh Nga'!M43+TDP!M43+DTRVL!M43</f>
        <v>0</v>
      </c>
      <c r="N43" s="64">
        <f>DTR!N43+'Dai Loc'!N43+'Dong Lam'!N43+'Khanh Nga'!N43+TDP!N43+DTRVL!N43</f>
        <v>0</v>
      </c>
      <c r="O43" s="64">
        <f>DTR!O43+'Dai Loc'!O43+'Dong Lam'!O43+'Khanh Nga'!O43+TDP!O43+DTRVL!O43</f>
        <v>0</v>
      </c>
      <c r="P43" s="64">
        <f>DTR!P43+'Dai Loc'!P43+'Dong Lam'!P43+'Khanh Nga'!P43+TDP!P43+DTRVL!P43</f>
        <v>0</v>
      </c>
      <c r="Q43" s="64">
        <f>DTR!Q43+'Dai Loc'!Q43+'Dong Lam'!Q43+'Khanh Nga'!Q43+TDP!Q43+DTRVL!Q43</f>
        <v>0</v>
      </c>
      <c r="R43" s="64">
        <f>DTR!R43+'Dai Loc'!R43+'Dong Lam'!R43+'Khanh Nga'!R43+TDP!R43+DTRVL!R43</f>
        <v>0</v>
      </c>
      <c r="S43" s="64">
        <f>DTR!S43+'Dai Loc'!S43+'Dong Lam'!S43+'Khanh Nga'!S43+TDP!S43+DTRVL!S43</f>
        <v>0</v>
      </c>
      <c r="T43" s="64">
        <f>DTR!T43+'Dai Loc'!T43+'Dong Lam'!T43+'Khanh Nga'!T43+TDP!T43+DTRVL!T43</f>
        <v>0</v>
      </c>
      <c r="U43" s="64">
        <f>DTR!U43+'Dai Loc'!U43+'Dong Lam'!U43+'Khanh Nga'!U43+TDP!U43+DTRVL!U43</f>
        <v>0</v>
      </c>
      <c r="V43" s="64">
        <f>DTR!V43+'Dai Loc'!V43+'Dong Lam'!V43+'Khanh Nga'!V43+TDP!V43+DTRVL!V43</f>
        <v>0</v>
      </c>
      <c r="W43" s="64">
        <f>DTR!W43+'Dai Loc'!W43+'Dong Lam'!W43+'Khanh Nga'!W43+TDP!W43+DTRVL!W43</f>
        <v>0</v>
      </c>
      <c r="X43" s="64">
        <f>DTR!X43+'Dai Loc'!X43+'Dong Lam'!X43+'Khanh Nga'!X43+TDP!X43+DTRVL!X43</f>
        <v>0</v>
      </c>
      <c r="Y43" s="64">
        <f>DTR!Y43+'Dai Loc'!Y43+'Dong Lam'!Y43+'Khanh Nga'!Y43+TDP!Y43+DTRVL!Y43</f>
        <v>0</v>
      </c>
      <c r="Z43" s="64">
        <f>DTR!Z43+'Dai Loc'!Z43+'Dong Lam'!Z43+'Khanh Nga'!Z43+TDP!Z43+DTRVL!Z43</f>
        <v>0</v>
      </c>
    </row>
    <row r="44" spans="1:26" ht="15" hidden="1" customHeight="1" outlineLevel="1">
      <c r="A44" s="62" t="s">
        <v>128</v>
      </c>
      <c r="B44" s="63">
        <v>39</v>
      </c>
      <c r="C44" s="64">
        <f>DTR!C44+'Dai Loc'!C44+'Dong Lam'!C44+'Khanh Nga'!C44+TDP!C44+DTRVL!C44</f>
        <v>240000000</v>
      </c>
      <c r="D44" s="64">
        <f>DTR!D44+'Dai Loc'!D44+'Dong Lam'!D44+'Khanh Nga'!D44+TDP!D44+DTRVL!D44</f>
        <v>240000000</v>
      </c>
      <c r="E44" s="64">
        <f>DTR!E44+'Dai Loc'!E44+'Dong Lam'!E44+'Khanh Nga'!E44+TDP!E44+DTRVL!E44</f>
        <v>240000000</v>
      </c>
      <c r="F44" s="64">
        <f>DTR!F44+'Dai Loc'!F44+'Dong Lam'!F44+'Khanh Nga'!F44+TDP!F44+DTRVL!F44</f>
        <v>240000000</v>
      </c>
      <c r="G44" s="64">
        <f>DTR!G44+'Dai Loc'!G44+'Dong Lam'!G44+'Khanh Nga'!G44+TDP!G44+DTRVL!G44</f>
        <v>240000000</v>
      </c>
      <c r="H44" s="64">
        <f>DTR!H44+'Dai Loc'!H44+'Dong Lam'!H44+'Khanh Nga'!H44+TDP!H44+DTRVL!H44</f>
        <v>1140000000</v>
      </c>
      <c r="I44" s="64">
        <f>DTR!I44+'Dai Loc'!I44+'Dong Lam'!I44+'Khanh Nga'!I44+TDP!I44+DTRVL!I44</f>
        <v>930823092</v>
      </c>
      <c r="J44" s="64">
        <f>DTR!J44+'Dai Loc'!J44+'Dong Lam'!J44+'Khanh Nga'!J44+TDP!J44+DTRVL!J44</f>
        <v>930823092</v>
      </c>
      <c r="K44" s="64">
        <f>DTR!K44+'Dai Loc'!K44+'Dong Lam'!K44+'Khanh Nga'!K44+TDP!K44+DTRVL!K44</f>
        <v>930823092</v>
      </c>
      <c r="L44" s="64">
        <f>DTR!L44+'Dai Loc'!L44+'Dong Lam'!L44+'Khanh Nga'!L44+TDP!L44+DTRVL!L44</f>
        <v>930823092</v>
      </c>
      <c r="M44" s="64">
        <f>DTR!M44+'Dai Loc'!M44+'Dong Lam'!M44+'Khanh Nga'!M44+TDP!M44+DTRVL!M44</f>
        <v>930823092</v>
      </c>
      <c r="N44" s="64">
        <f>DTR!N44+'Dai Loc'!N44+'Dong Lam'!N44+'Khanh Nga'!N44+TDP!N44+DTRVL!N44</f>
        <v>6530823092</v>
      </c>
      <c r="O44" s="64">
        <f>DTR!O44+'Dai Loc'!O44+'Dong Lam'!O44+'Khanh Nga'!O44+TDP!O44+DTRVL!O44</f>
        <v>6530823092</v>
      </c>
      <c r="P44" s="64">
        <f>DTR!P44+'Dai Loc'!P44+'Dong Lam'!P44+'Khanh Nga'!P44+TDP!P44+DTRVL!P44</f>
        <v>6530823092</v>
      </c>
      <c r="Q44" s="64">
        <f>DTR!Q44+'Dai Loc'!Q44+'Dong Lam'!Q44+'Khanh Nga'!Q44+TDP!Q44+DTRVL!Q44</f>
        <v>6530823092</v>
      </c>
      <c r="R44" s="64">
        <f>DTR!R44+'Dai Loc'!R44+'Dong Lam'!R44+'Khanh Nga'!R44+TDP!R44+DTRVL!R44</f>
        <v>6530823092</v>
      </c>
      <c r="S44" s="64">
        <f>DTR!S44+'Dai Loc'!S44+'Dong Lam'!S44+'Khanh Nga'!S44+TDP!S44+DTRVL!S44</f>
        <v>6530823092</v>
      </c>
      <c r="T44" s="64">
        <f>DTR!T44+'Dai Loc'!T44+'Dong Lam'!T44+'Khanh Nga'!T44+TDP!T44+DTRVL!T44</f>
        <v>6530823092</v>
      </c>
      <c r="U44" s="64">
        <f>DTR!U44+'Dai Loc'!U44+'Dong Lam'!U44+'Khanh Nga'!U44+TDP!U44+DTRVL!U44</f>
        <v>6530823092</v>
      </c>
      <c r="V44" s="64">
        <f>DTR!V44+'Dai Loc'!V44+'Dong Lam'!V44+'Khanh Nga'!V44+TDP!V44+DTRVL!V44</f>
        <v>6530823092</v>
      </c>
      <c r="W44" s="64">
        <f>DTR!W44+'Dai Loc'!W44+'Dong Lam'!W44+'Khanh Nga'!W44+TDP!W44+DTRVL!W44</f>
        <v>6530823092</v>
      </c>
      <c r="X44" s="64">
        <f>DTR!X44+'Dai Loc'!X44+'Dong Lam'!X44+'Khanh Nga'!X44+TDP!X44+DTRVL!X44</f>
        <v>6530823092</v>
      </c>
      <c r="Y44" s="64">
        <f>DTR!Y44+'Dai Loc'!Y44+'Dong Lam'!Y44+'Khanh Nga'!Y44+TDP!Y44+DTRVL!Y44</f>
        <v>6530823092</v>
      </c>
      <c r="Z44" s="64">
        <f>DTR!Z44+'Dai Loc'!Z44+'Dong Lam'!Z44+'Khanh Nga'!Z44+TDP!Z44+DTRVL!Z44</f>
        <v>6530823092</v>
      </c>
    </row>
    <row r="45" spans="1:26" ht="15" hidden="1" customHeight="1" outlineLevel="1">
      <c r="A45" s="62" t="s">
        <v>129</v>
      </c>
      <c r="B45" s="63">
        <v>40</v>
      </c>
      <c r="C45" s="64">
        <f>DTR!C45+'Dai Loc'!C45+'Dong Lam'!C45+'Khanh Nga'!C45+TDP!C45+DTRVL!C45</f>
        <v>0</v>
      </c>
      <c r="D45" s="64">
        <f>DTR!D45+'Dai Loc'!D45+'Dong Lam'!D45+'Khanh Nga'!D45+TDP!D45+DTRVL!D45</f>
        <v>0</v>
      </c>
      <c r="E45" s="64">
        <f>DTR!E45+'Dai Loc'!E45+'Dong Lam'!E45+'Khanh Nga'!E45+TDP!E45+DTRVL!E45</f>
        <v>0</v>
      </c>
      <c r="F45" s="64">
        <f>DTR!F45+'Dai Loc'!F45+'Dong Lam'!F45+'Khanh Nga'!F45+TDP!F45+DTRVL!F45</f>
        <v>0</v>
      </c>
      <c r="G45" s="64">
        <f>DTR!G45+'Dai Loc'!G45+'Dong Lam'!G45+'Khanh Nga'!G45+TDP!G45+DTRVL!G45</f>
        <v>0</v>
      </c>
      <c r="H45" s="64">
        <f>DTR!H45+'Dai Loc'!H45+'Dong Lam'!H45+'Khanh Nga'!H45+TDP!H45+DTRVL!H45</f>
        <v>0</v>
      </c>
      <c r="I45" s="64">
        <f>DTR!I45+'Dai Loc'!I45+'Dong Lam'!I45+'Khanh Nga'!I45+TDP!I45+DTRVL!I45</f>
        <v>0</v>
      </c>
      <c r="J45" s="64">
        <f>DTR!J45+'Dai Loc'!J45+'Dong Lam'!J45+'Khanh Nga'!J45+TDP!J45+DTRVL!J45</f>
        <v>0</v>
      </c>
      <c r="K45" s="64">
        <f>DTR!K45+'Dai Loc'!K45+'Dong Lam'!K45+'Khanh Nga'!K45+TDP!K45+DTRVL!K45</f>
        <v>0</v>
      </c>
      <c r="L45" s="64">
        <f>DTR!L45+'Dai Loc'!L45+'Dong Lam'!L45+'Khanh Nga'!L45+TDP!L45+DTRVL!L45</f>
        <v>0</v>
      </c>
      <c r="M45" s="64">
        <f>DTR!M45+'Dai Loc'!M45+'Dong Lam'!M45+'Khanh Nga'!M45+TDP!M45+DTRVL!M45</f>
        <v>0</v>
      </c>
      <c r="N45" s="64">
        <f>DTR!N45+'Dai Loc'!N45+'Dong Lam'!N45+'Khanh Nga'!N45+TDP!N45+DTRVL!N45</f>
        <v>0</v>
      </c>
      <c r="O45" s="64">
        <f>DTR!O45+'Dai Loc'!O45+'Dong Lam'!O45+'Khanh Nga'!O45+TDP!O45+DTRVL!O45</f>
        <v>0</v>
      </c>
      <c r="P45" s="64">
        <f>DTR!P45+'Dai Loc'!P45+'Dong Lam'!P45+'Khanh Nga'!P45+TDP!P45+DTRVL!P45</f>
        <v>0</v>
      </c>
      <c r="Q45" s="64">
        <f>DTR!Q45+'Dai Loc'!Q45+'Dong Lam'!Q45+'Khanh Nga'!Q45+TDP!Q45+DTRVL!Q45</f>
        <v>0</v>
      </c>
      <c r="R45" s="64">
        <f>DTR!R45+'Dai Loc'!R45+'Dong Lam'!R45+'Khanh Nga'!R45+TDP!R45+DTRVL!R45</f>
        <v>0</v>
      </c>
      <c r="S45" s="64">
        <f>DTR!S45+'Dai Loc'!S45+'Dong Lam'!S45+'Khanh Nga'!S45+TDP!S45+DTRVL!S45</f>
        <v>0</v>
      </c>
      <c r="T45" s="64">
        <f>DTR!T45+'Dai Loc'!T45+'Dong Lam'!T45+'Khanh Nga'!T45+TDP!T45+DTRVL!T45</f>
        <v>0</v>
      </c>
      <c r="U45" s="64">
        <f>DTR!U45+'Dai Loc'!U45+'Dong Lam'!U45+'Khanh Nga'!U45+TDP!U45+DTRVL!U45</f>
        <v>0</v>
      </c>
      <c r="V45" s="64">
        <f>DTR!V45+'Dai Loc'!V45+'Dong Lam'!V45+'Khanh Nga'!V45+TDP!V45+DTRVL!V45</f>
        <v>0</v>
      </c>
      <c r="W45" s="64">
        <f>DTR!W45+'Dai Loc'!W45+'Dong Lam'!W45+'Khanh Nga'!W45+TDP!W45+DTRVL!W45</f>
        <v>0</v>
      </c>
      <c r="X45" s="64">
        <f>DTR!X45+'Dai Loc'!X45+'Dong Lam'!X45+'Khanh Nga'!X45+TDP!X45+DTRVL!X45</f>
        <v>0</v>
      </c>
      <c r="Y45" s="64">
        <f>DTR!Y45+'Dai Loc'!Y45+'Dong Lam'!Y45+'Khanh Nga'!Y45+TDP!Y45+DTRVL!Y45</f>
        <v>0</v>
      </c>
      <c r="Z45" s="64">
        <f>DTR!Z45+'Dai Loc'!Z45+'Dong Lam'!Z45+'Khanh Nga'!Z45+TDP!Z45+DTRVL!Z45</f>
        <v>0</v>
      </c>
    </row>
    <row r="46" spans="1:26" ht="15" hidden="1" customHeight="1" outlineLevel="1">
      <c r="A46" s="72" t="s">
        <v>130</v>
      </c>
      <c r="B46" s="65">
        <v>41</v>
      </c>
      <c r="C46" s="64">
        <f>DTR!C46+'Dai Loc'!C46+'Dong Lam'!C46+'Khanh Nga'!C46+TDP!C46+DTRVL!C46</f>
        <v>249655788198</v>
      </c>
      <c r="D46" s="64">
        <f>DTR!D46+'Dai Loc'!D46+'Dong Lam'!D46+'Khanh Nga'!D46+TDP!D46+DTRVL!D46</f>
        <v>245716365002</v>
      </c>
      <c r="E46" s="64">
        <f>DTR!E46+'Dai Loc'!E46+'Dong Lam'!E46+'Khanh Nga'!E46+TDP!E46+DTRVL!E46</f>
        <v>275559746506</v>
      </c>
      <c r="F46" s="64">
        <f>DTR!F46+'Dai Loc'!F46+'Dong Lam'!F46+'Khanh Nga'!F46+TDP!F46+DTRVL!F46</f>
        <v>277827593851</v>
      </c>
      <c r="G46" s="64">
        <f>DTR!G46+'Dai Loc'!G46+'Dong Lam'!G46+'Khanh Nga'!G46+TDP!G46+DTRVL!G46</f>
        <v>276054917951</v>
      </c>
      <c r="H46" s="64">
        <f>DTR!H46+'Dai Loc'!H46+'Dong Lam'!H46+'Khanh Nga'!H46+TDP!H46+DTRVL!H46</f>
        <v>271729373194</v>
      </c>
      <c r="I46" s="64">
        <f>DTR!I46+'Dai Loc'!I46+'Dong Lam'!I46+'Khanh Nga'!I46+TDP!I46+DTRVL!I46</f>
        <v>269325388109</v>
      </c>
      <c r="J46" s="64">
        <f>DTR!J46+'Dai Loc'!J46+'Dong Lam'!J46+'Khanh Nga'!J46+TDP!J46+DTRVL!J46</f>
        <v>275400557911</v>
      </c>
      <c r="K46" s="64">
        <f>DTR!K46+'Dai Loc'!K46+'Dong Lam'!K46+'Khanh Nga'!K46+TDP!K46+DTRVL!K46</f>
        <v>272127241547</v>
      </c>
      <c r="L46" s="64">
        <f>DTR!L46+'Dai Loc'!L46+'Dong Lam'!L46+'Khanh Nga'!L46+TDP!L46+DTRVL!L46</f>
        <v>271857790006</v>
      </c>
      <c r="M46" s="64">
        <f>DTR!M46+'Dai Loc'!M46+'Dong Lam'!M46+'Khanh Nga'!M46+TDP!M46+DTRVL!M46</f>
        <v>287235595670</v>
      </c>
      <c r="N46" s="64">
        <f>DTR!N46+'Dai Loc'!N46+'Dong Lam'!N46+'Khanh Nga'!N46+TDP!N46+DTRVL!N46</f>
        <v>284367832366</v>
      </c>
      <c r="O46" s="64">
        <f>DTR!O46+'Dai Loc'!O46+'Dong Lam'!O46+'Khanh Nga'!O46+TDP!O46+DTRVL!O46</f>
        <v>280850195913</v>
      </c>
      <c r="P46" s="64">
        <f>DTR!P46+'Dai Loc'!P46+'Dong Lam'!P46+'Khanh Nga'!P46+TDP!P46+DTRVL!P46</f>
        <v>286751550270</v>
      </c>
      <c r="Q46" s="64">
        <f>DTR!Q46+'Dai Loc'!Q46+'Dong Lam'!Q46+'Khanh Nga'!Q46+TDP!Q46+DTRVL!Q46</f>
        <v>290751177313</v>
      </c>
      <c r="R46" s="64">
        <f>DTR!R46+'Dai Loc'!R46+'Dong Lam'!R46+'Khanh Nga'!R46+TDP!R46+DTRVL!R46</f>
        <v>287962022032</v>
      </c>
      <c r="S46" s="64">
        <f>DTR!S46+'Dai Loc'!S46+'Dong Lam'!S46+'Khanh Nga'!S46+TDP!S46+DTRVL!S46</f>
        <v>282781975426</v>
      </c>
      <c r="T46" s="64">
        <f>DTR!T46+'Dai Loc'!T46+'Dong Lam'!T46+'Khanh Nga'!T46+TDP!T46+DTRVL!T46</f>
        <v>278127416000</v>
      </c>
      <c r="U46" s="64">
        <f>DTR!U46+'Dai Loc'!U46+'Dong Lam'!U46+'Khanh Nga'!U46+TDP!U46+DTRVL!U46</f>
        <v>275654584449</v>
      </c>
      <c r="V46" s="64">
        <f>DTR!V46+'Dai Loc'!V46+'Dong Lam'!V46+'Khanh Nga'!V46+TDP!V46+DTRVL!V46</f>
        <v>293217640642</v>
      </c>
      <c r="W46" s="64">
        <f>DTR!W46+'Dai Loc'!W46+'Dong Lam'!W46+'Khanh Nga'!W46+TDP!W46+DTRVL!W46</f>
        <v>289918627327</v>
      </c>
      <c r="X46" s="64">
        <f>DTR!X46+'Dai Loc'!X46+'Dong Lam'!X46+'Khanh Nga'!X46+TDP!X46+DTRVL!X46</f>
        <v>287386592779</v>
      </c>
      <c r="Y46" s="64">
        <f>DTR!Y46+'Dai Loc'!Y46+'Dong Lam'!Y46+'Khanh Nga'!Y46+TDP!Y46+DTRVL!Y46</f>
        <v>291084744995</v>
      </c>
      <c r="Z46" s="64">
        <f>DTR!Z46+'Dai Loc'!Z46+'Dong Lam'!Z46+'Khanh Nga'!Z46+TDP!Z46+DTRVL!Z46</f>
        <v>289480570421</v>
      </c>
    </row>
    <row r="47" spans="1:26" ht="15" hidden="1" customHeight="1" outlineLevel="1">
      <c r="A47" s="72" t="s">
        <v>131</v>
      </c>
      <c r="B47" s="65">
        <v>42</v>
      </c>
      <c r="C47" s="64">
        <f>DTR!C47+'Dai Loc'!C47+'Dong Lam'!C47+'Khanh Nga'!C47+TDP!C47+DTRVL!C47</f>
        <v>247686311862</v>
      </c>
      <c r="D47" s="64">
        <f>DTR!D47+'Dai Loc'!D47+'Dong Lam'!D47+'Khanh Nga'!D47+TDP!D47+DTRVL!D47</f>
        <v>243789053467</v>
      </c>
      <c r="E47" s="64">
        <f>DTR!E47+'Dai Loc'!E47+'Dong Lam'!E47+'Khanh Nga'!E47+TDP!E47+DTRVL!E47</f>
        <v>273243299734</v>
      </c>
      <c r="F47" s="64">
        <f>DTR!F47+'Dai Loc'!F47+'Dong Lam'!F47+'Khanh Nga'!F47+TDP!F47+DTRVL!F47</f>
        <v>275565292437</v>
      </c>
      <c r="G47" s="64">
        <f>DTR!G47+'Dai Loc'!G47+'Dong Lam'!G47+'Khanh Nga'!G47+TDP!G47+DTRVL!G47</f>
        <v>273846761895</v>
      </c>
      <c r="H47" s="64">
        <f>DTR!H47+'Dai Loc'!H47+'Dong Lam'!H47+'Khanh Nga'!H47+TDP!H47+DTRVL!H47</f>
        <v>269575362499</v>
      </c>
      <c r="I47" s="64">
        <f>DTR!I47+'Dai Loc'!I47+'Dong Lam'!I47+'Khanh Nga'!I47+TDP!I47+DTRVL!I47</f>
        <v>267225522772</v>
      </c>
      <c r="J47" s="64">
        <f>DTR!J47+'Dai Loc'!J47+'Dong Lam'!J47+'Khanh Nga'!J47+TDP!J47+DTRVL!J47</f>
        <v>273354837931</v>
      </c>
      <c r="K47" s="64">
        <f>DTR!K47+'Dai Loc'!K47+'Dong Lam'!K47+'Khanh Nga'!K47+TDP!K47+DTRVL!K47</f>
        <v>270135666926</v>
      </c>
      <c r="L47" s="64">
        <f>DTR!L47+'Dai Loc'!L47+'Dong Lam'!L47+'Khanh Nga'!L47+TDP!L47+DTRVL!L47</f>
        <v>269920360744</v>
      </c>
      <c r="M47" s="64">
        <f>DTR!M47+'Dai Loc'!M47+'Dong Lam'!M47+'Khanh Nga'!M47+TDP!M47+DTRVL!M47</f>
        <v>259897766310</v>
      </c>
      <c r="N47" s="64">
        <f>DTR!N47+'Dai Loc'!N47+'Dong Lam'!N47+'Khanh Nga'!N47+TDP!N47+DTRVL!N47</f>
        <v>257088680605</v>
      </c>
      <c r="O47" s="64">
        <f>DTR!O47+'Dai Loc'!O47+'Dong Lam'!O47+'Khanh Nga'!O47+TDP!O47+DTRVL!O47</f>
        <v>254173542509</v>
      </c>
      <c r="P47" s="64">
        <f>DTR!P47+'Dai Loc'!P47+'Dong Lam'!P47+'Khanh Nga'!P47+TDP!P47+DTRVL!P47</f>
        <v>260677395229</v>
      </c>
      <c r="Q47" s="64">
        <f>DTR!Q47+'Dai Loc'!Q47+'Dong Lam'!Q47+'Khanh Nga'!Q47+TDP!Q47+DTRVL!Q47</f>
        <v>264791909848</v>
      </c>
      <c r="R47" s="64">
        <f>DTR!R47+'Dai Loc'!R47+'Dong Lam'!R47+'Khanh Nga'!R47+TDP!R47+DTRVL!R47</f>
        <v>262618797672</v>
      </c>
      <c r="S47" s="64">
        <f>DTR!S47+'Dai Loc'!S47+'Dong Lam'!S47+'Khanh Nga'!S47+TDP!S47+DTRVL!S47</f>
        <v>258054794170</v>
      </c>
      <c r="T47" s="64">
        <f>DTR!T47+'Dai Loc'!T47+'Dong Lam'!T47+'Khanh Nga'!T47+TDP!T47+DTRVL!T47</f>
        <v>254016277850</v>
      </c>
      <c r="U47" s="64">
        <f>DTR!U47+'Dai Loc'!U47+'Dong Lam'!U47+'Khanh Nga'!U47+TDP!U47+DTRVL!U47</f>
        <v>252159489399</v>
      </c>
      <c r="V47" s="64">
        <f>DTR!V47+'Dai Loc'!V47+'Dong Lam'!V47+'Khanh Nga'!V47+TDP!V47+DTRVL!V47</f>
        <v>270337414891</v>
      </c>
      <c r="W47" s="64">
        <f>DTR!W47+'Dai Loc'!W47+'Dong Lam'!W47+'Khanh Nga'!W47+TDP!W47+DTRVL!W47</f>
        <v>265713293890</v>
      </c>
      <c r="X47" s="64">
        <f>DTR!X47+'Dai Loc'!X47+'Dong Lam'!X47+'Khanh Nga'!X47+TDP!X47+DTRVL!X47</f>
        <v>263835030905</v>
      </c>
      <c r="Y47" s="64">
        <f>DTR!Y47+'Dai Loc'!Y47+'Dong Lam'!Y47+'Khanh Nga'!Y47+TDP!Y47+DTRVL!Y47</f>
        <v>268186954686</v>
      </c>
      <c r="Z47" s="64">
        <f>DTR!Z47+'Dai Loc'!Z47+'Dong Lam'!Z47+'Khanh Nga'!Z47+TDP!Z47+DTRVL!Z47</f>
        <v>267236551676</v>
      </c>
    </row>
    <row r="48" spans="1:26" ht="15" hidden="1" customHeight="1" outlineLevel="1">
      <c r="A48" s="73" t="s">
        <v>132</v>
      </c>
      <c r="B48" s="63">
        <v>43</v>
      </c>
      <c r="C48" s="64">
        <f>DTR!C48+'Dai Loc'!C48+'Dong Lam'!C48+'Khanh Nga'!C48+TDP!C48+DTRVL!C48</f>
        <v>320763061585</v>
      </c>
      <c r="D48" s="64">
        <f>DTR!D48+'Dai Loc'!D48+'Dong Lam'!D48+'Khanh Nga'!D48+TDP!D48+DTRVL!D48</f>
        <v>320763061585</v>
      </c>
      <c r="E48" s="64">
        <f>DTR!E48+'Dai Loc'!E48+'Dong Lam'!E48+'Khanh Nga'!E48+TDP!E48+DTRVL!E48</f>
        <v>354111019751</v>
      </c>
      <c r="F48" s="64">
        <f>DTR!F48+'Dai Loc'!F48+'Dong Lam'!F48+'Khanh Nga'!F48+TDP!F48+DTRVL!F48</f>
        <v>360410194088</v>
      </c>
      <c r="G48" s="64">
        <f>DTR!G48+'Dai Loc'!G48+'Dong Lam'!G48+'Khanh Nga'!G48+TDP!G48+DTRVL!G48</f>
        <v>362896921284</v>
      </c>
      <c r="H48" s="64">
        <f>DTR!H48+'Dai Loc'!H48+'Dong Lam'!H48+'Khanh Nga'!H48+TDP!H48+DTRVL!H48</f>
        <v>362777184617</v>
      </c>
      <c r="I48" s="64">
        <f>DTR!I48+'Dai Loc'!I48+'Dong Lam'!I48+'Khanh Nga'!I48+TDP!I48+DTRVL!I48</f>
        <v>364651866569</v>
      </c>
      <c r="J48" s="64">
        <f>DTR!J48+'Dai Loc'!J48+'Dong Lam'!J48+'Khanh Nga'!J48+TDP!J48+DTRVL!J48</f>
        <v>374855872549</v>
      </c>
      <c r="K48" s="64">
        <f>DTR!K48+'Dai Loc'!K48+'Dong Lam'!K48+'Khanh Nga'!K48+TDP!K48+DTRVL!K48</f>
        <v>376024168845</v>
      </c>
      <c r="L48" s="64">
        <f>DTR!L48+'Dai Loc'!L48+'Dong Lam'!L48+'Khanh Nga'!L48+TDP!L48+DTRVL!L48</f>
        <v>380073671166</v>
      </c>
      <c r="M48" s="64">
        <f>DTR!M48+'Dai Loc'!M48+'Dong Lam'!M48+'Khanh Nga'!M48+TDP!M48+DTRVL!M48</f>
        <v>358508874510</v>
      </c>
      <c r="N48" s="64">
        <f>DTR!N48+'Dai Loc'!N48+'Dong Lam'!N48+'Khanh Nga'!N48+TDP!N48+DTRVL!N48</f>
        <v>359916452008</v>
      </c>
      <c r="O48" s="64">
        <f>DTR!O48+'Dai Loc'!O48+'Dong Lam'!O48+'Khanh Nga'!O48+TDP!O48+DTRVL!O48</f>
        <v>361070968177</v>
      </c>
      <c r="P48" s="64">
        <f>DTR!P48+'Dai Loc'!P48+'Dong Lam'!P48+'Khanh Nga'!P48+TDP!P48+DTRVL!P48</f>
        <v>371841366827</v>
      </c>
      <c r="Q48" s="64">
        <f>DTR!Q48+'Dai Loc'!Q48+'Dong Lam'!Q48+'Khanh Nga'!Q48+TDP!Q48+DTRVL!Q48</f>
        <v>380424978133</v>
      </c>
      <c r="R48" s="64">
        <f>DTR!R48+'Dai Loc'!R48+'Dong Lam'!R48+'Khanh Nga'!R48+TDP!R48+DTRVL!R48</f>
        <v>382236063184</v>
      </c>
      <c r="S48" s="64">
        <f>DTR!S48+'Dai Loc'!S48+'Dong Lam'!S48+'Khanh Nga'!S48+TDP!S48+DTRVL!S48</f>
        <v>382230780224</v>
      </c>
      <c r="T48" s="64">
        <f>DTR!T48+'Dai Loc'!T48+'Dong Lam'!T48+'Khanh Nga'!T48+TDP!T48+DTRVL!T48</f>
        <v>382070975608</v>
      </c>
      <c r="U48" s="64">
        <f>DTR!U48+'Dai Loc'!U48+'Dong Lam'!U48+'Khanh Nga'!U48+TDP!U48+DTRVL!U48</f>
        <v>384541494580</v>
      </c>
      <c r="V48" s="64">
        <f>DTR!V48+'Dai Loc'!V48+'Dong Lam'!V48+'Khanh Nga'!V48+TDP!V48+DTRVL!V48</f>
        <v>406915782897</v>
      </c>
      <c r="W48" s="64">
        <f>DTR!W48+'Dai Loc'!W48+'Dong Lam'!W48+'Khanh Nga'!W48+TDP!W48+DTRVL!W48</f>
        <v>407229367127</v>
      </c>
      <c r="X48" s="64">
        <f>DTR!X48+'Dai Loc'!X48+'Dong Lam'!X48+'Khanh Nga'!X48+TDP!X48+DTRVL!X48</f>
        <v>410101780731</v>
      </c>
      <c r="Y48" s="64">
        <f>DTR!Y48+'Dai Loc'!Y48+'Dong Lam'!Y48+'Khanh Nga'!Y48+TDP!Y48+DTRVL!Y48</f>
        <v>419369408793</v>
      </c>
      <c r="Z48" s="64">
        <f>DTR!Z48+'Dai Loc'!Z48+'Dong Lam'!Z48+'Khanh Nga'!Z48+TDP!Z48+DTRVL!Z48</f>
        <v>423362642418</v>
      </c>
    </row>
    <row r="49" spans="1:26" ht="15" hidden="1" customHeight="1" outlineLevel="1">
      <c r="A49" s="73" t="s">
        <v>133</v>
      </c>
      <c r="B49" s="63">
        <v>44</v>
      </c>
      <c r="C49" s="64">
        <f>DTR!C49+'Dai Loc'!C49+'Dong Lam'!C49+'Khanh Nga'!C49+TDP!C49+DTRVL!C49</f>
        <v>-73076749723</v>
      </c>
      <c r="D49" s="64">
        <f>DTR!D49+'Dai Loc'!D49+'Dong Lam'!D49+'Khanh Nga'!D49+TDP!D49+DTRVL!D49</f>
        <v>-76974008118</v>
      </c>
      <c r="E49" s="64">
        <f>DTR!E49+'Dai Loc'!E49+'Dong Lam'!E49+'Khanh Nga'!E49+TDP!E49+DTRVL!E49</f>
        <v>-80867720017</v>
      </c>
      <c r="F49" s="64">
        <f>DTR!F49+'Dai Loc'!F49+'Dong Lam'!F49+'Khanh Nga'!F49+TDP!F49+DTRVL!F49</f>
        <v>-84844901651</v>
      </c>
      <c r="G49" s="64">
        <f>DTR!G49+'Dai Loc'!G49+'Dong Lam'!G49+'Khanh Nga'!G49+TDP!G49+DTRVL!G49</f>
        <v>-89050159389</v>
      </c>
      <c r="H49" s="64">
        <f>DTR!H49+'Dai Loc'!H49+'Dong Lam'!H49+'Khanh Nga'!H49+TDP!H49+DTRVL!H49</f>
        <v>-93201822118</v>
      </c>
      <c r="I49" s="64">
        <f>DTR!I49+'Dai Loc'!I49+'Dong Lam'!I49+'Khanh Nga'!I49+TDP!I49+DTRVL!I49</f>
        <v>-97426343797</v>
      </c>
      <c r="J49" s="64">
        <f>DTR!J49+'Dai Loc'!J49+'Dong Lam'!J49+'Khanh Nga'!J49+TDP!J49+DTRVL!J49</f>
        <v>-101501034618</v>
      </c>
      <c r="K49" s="64">
        <f>DTR!K49+'Dai Loc'!K49+'Dong Lam'!K49+'Khanh Nga'!K49+TDP!K49+DTRVL!K49</f>
        <v>-105888501919</v>
      </c>
      <c r="L49" s="64">
        <f>DTR!L49+'Dai Loc'!L49+'Dong Lam'!L49+'Khanh Nga'!L49+TDP!L49+DTRVL!L49</f>
        <v>-110153310422</v>
      </c>
      <c r="M49" s="64">
        <f>DTR!M49+'Dai Loc'!M49+'Dong Lam'!M49+'Khanh Nga'!M49+TDP!M49+DTRVL!M49</f>
        <v>-98611108200</v>
      </c>
      <c r="N49" s="64">
        <f>DTR!N49+'Dai Loc'!N49+'Dong Lam'!N49+'Khanh Nga'!N49+TDP!N49+DTRVL!N49</f>
        <v>-102827771403</v>
      </c>
      <c r="O49" s="64">
        <f>DTR!O49+'Dai Loc'!O49+'Dong Lam'!O49+'Khanh Nga'!O49+TDP!O49+DTRVL!O49</f>
        <v>-106897425668</v>
      </c>
      <c r="P49" s="64">
        <f>DTR!P49+'Dai Loc'!P49+'Dong Lam'!P49+'Khanh Nga'!P49+TDP!P49+DTRVL!P49</f>
        <v>-111163971598</v>
      </c>
      <c r="Q49" s="64">
        <f>DTR!Q49+'Dai Loc'!Q49+'Dong Lam'!Q49+'Khanh Nga'!Q49+TDP!Q49+DTRVL!Q49</f>
        <v>-115633068285</v>
      </c>
      <c r="R49" s="64">
        <f>DTR!R49+'Dai Loc'!R49+'Dong Lam'!R49+'Khanh Nga'!R49+TDP!R49+DTRVL!R49</f>
        <v>-119617265512</v>
      </c>
      <c r="S49" s="64">
        <f>DTR!S49+'Dai Loc'!S49+'Dong Lam'!S49+'Khanh Nga'!S49+TDP!S49+DTRVL!S49</f>
        <v>-124175986054</v>
      </c>
      <c r="T49" s="64">
        <f>DTR!T49+'Dai Loc'!T49+'Dong Lam'!T49+'Khanh Nga'!T49+TDP!T49+DTRVL!T49</f>
        <v>-128054697758</v>
      </c>
      <c r="U49" s="64">
        <f>DTR!U49+'Dai Loc'!U49+'Dong Lam'!U49+'Khanh Nga'!U49+TDP!U49+DTRVL!U49</f>
        <v>-132382005181</v>
      </c>
      <c r="V49" s="64">
        <f>DTR!V49+'Dai Loc'!V49+'Dong Lam'!V49+'Khanh Nga'!V49+TDP!V49+DTRVL!V49</f>
        <v>-136578368006</v>
      </c>
      <c r="W49" s="64">
        <f>DTR!W49+'Dai Loc'!W49+'Dong Lam'!W49+'Khanh Nga'!W49+TDP!W49+DTRVL!W49</f>
        <v>-141516073237</v>
      </c>
      <c r="X49" s="64">
        <f>DTR!X49+'Dai Loc'!X49+'Dong Lam'!X49+'Khanh Nga'!X49+TDP!X49+DTRVL!X49</f>
        <v>-146266749826</v>
      </c>
      <c r="Y49" s="64">
        <f>DTR!Y49+'Dai Loc'!Y49+'Dong Lam'!Y49+'Khanh Nga'!Y49+TDP!Y49+DTRVL!Y49</f>
        <v>-151182454107</v>
      </c>
      <c r="Z49" s="64">
        <f>DTR!Z49+'Dai Loc'!Z49+'Dong Lam'!Z49+'Khanh Nga'!Z49+TDP!Z49+DTRVL!Z49</f>
        <v>-156126090742</v>
      </c>
    </row>
    <row r="50" spans="1:26" ht="15" hidden="1" customHeight="1" outlineLevel="1">
      <c r="A50" s="72" t="s">
        <v>134</v>
      </c>
      <c r="B50" s="65">
        <v>45</v>
      </c>
      <c r="C50" s="64">
        <f>DTR!C50+'Dai Loc'!C50+'Dong Lam'!C50+'Khanh Nga'!C50+TDP!C50+DTRVL!C50</f>
        <v>21543584</v>
      </c>
      <c r="D50" s="64">
        <f>DTR!D50+'Dai Loc'!D50+'Dong Lam'!D50+'Khanh Nga'!D50+TDP!D50+DTRVL!D50</f>
        <v>20347932</v>
      </c>
      <c r="E50" s="64">
        <f>DTR!E50+'Dai Loc'!E50+'Dong Lam'!E50+'Khanh Nga'!E50+TDP!E50+DTRVL!E50</f>
        <v>19152280</v>
      </c>
      <c r="F50" s="64">
        <f>DTR!F50+'Dai Loc'!F50+'Dong Lam'!F50+'Khanh Nga'!F50+TDP!F50+DTRVL!F50</f>
        <v>17956628</v>
      </c>
      <c r="G50" s="64">
        <f>DTR!G50+'Dai Loc'!G50+'Dong Lam'!G50+'Khanh Nga'!G50+TDP!G50+DTRVL!G50</f>
        <v>16760976</v>
      </c>
      <c r="H50" s="64">
        <f>DTR!H50+'Dai Loc'!H50+'Dong Lam'!H50+'Khanh Nga'!H50+TDP!H50+DTRVL!H50</f>
        <v>15565324</v>
      </c>
      <c r="I50" s="64">
        <f>DTR!I50+'Dai Loc'!I50+'Dong Lam'!I50+'Khanh Nga'!I50+TDP!I50+DTRVL!I50</f>
        <v>14369672</v>
      </c>
      <c r="J50" s="64">
        <f>DTR!J50+'Dai Loc'!J50+'Dong Lam'!J50+'Khanh Nga'!J50+TDP!J50+DTRVL!J50</f>
        <v>13174020</v>
      </c>
      <c r="K50" s="64">
        <f>DTR!K50+'Dai Loc'!K50+'Dong Lam'!K50+'Khanh Nga'!K50+TDP!K50+DTRVL!K50</f>
        <v>11978368</v>
      </c>
      <c r="L50" s="64">
        <f>DTR!L50+'Dai Loc'!L50+'Dong Lam'!L50+'Khanh Nga'!L50+TDP!L50+DTRVL!L50</f>
        <v>10782716</v>
      </c>
      <c r="M50" s="64">
        <f>DTR!M50+'Dai Loc'!M50+'Dong Lam'!M50+'Khanh Nga'!M50+TDP!M50+DTRVL!M50</f>
        <v>25464132519</v>
      </c>
      <c r="N50" s="64">
        <f>DTR!N50+'Dai Loc'!N50+'Dong Lam'!N50+'Khanh Nga'!N50+TDP!N50+DTRVL!N50</f>
        <v>24929281727</v>
      </c>
      <c r="O50" s="64">
        <f>DTR!O50+'Dai Loc'!O50+'Dong Lam'!O50+'Khanh Nga'!O50+TDP!O50+DTRVL!O50</f>
        <v>24387235175</v>
      </c>
      <c r="P50" s="64">
        <f>DTR!P50+'Dai Loc'!P50+'Dong Lam'!P50+'Khanh Nga'!P50+TDP!P50+DTRVL!P50</f>
        <v>23853580028</v>
      </c>
      <c r="Q50" s="64">
        <f>DTR!Q50+'Dai Loc'!Q50+'Dong Lam'!Q50+'Khanh Nga'!Q50+TDP!Q50+DTRVL!Q50</f>
        <v>23319924886</v>
      </c>
      <c r="R50" s="64">
        <f>DTR!R50+'Dai Loc'!R50+'Dong Lam'!R50+'Khanh Nga'!R50+TDP!R50+DTRVL!R50</f>
        <v>22786269743</v>
      </c>
      <c r="S50" s="64">
        <f>DTR!S50+'Dai Loc'!S50+'Dong Lam'!S50+'Khanh Nga'!S50+TDP!S50+DTRVL!S50</f>
        <v>22252614599</v>
      </c>
      <c r="T50" s="64">
        <f>DTR!T50+'Dai Loc'!T50+'Dong Lam'!T50+'Khanh Nga'!T50+TDP!T50+DTRVL!T50</f>
        <v>21718959455</v>
      </c>
      <c r="U50" s="64">
        <f>DTR!U50+'Dai Loc'!U50+'Dong Lam'!U50+'Khanh Nga'!U50+TDP!U50+DTRVL!U50</f>
        <v>21185304314</v>
      </c>
      <c r="V50" s="64">
        <f>DTR!V50+'Dai Loc'!V50+'Dong Lam'!V50+'Khanh Nga'!V50+TDP!V50+DTRVL!V50</f>
        <v>20651649171</v>
      </c>
      <c r="W50" s="64">
        <f>DTR!W50+'Dai Loc'!W50+'Dong Lam'!W50+'Khanh Nga'!W50+TDP!W50+DTRVL!W50</f>
        <v>20117994030</v>
      </c>
      <c r="X50" s="64">
        <f>DTR!X50+'Dai Loc'!X50+'Dong Lam'!X50+'Khanh Nga'!X50+TDP!X50+DTRVL!X50</f>
        <v>19584338888</v>
      </c>
      <c r="Y50" s="64">
        <f>DTR!Y50+'Dai Loc'!Y50+'Dong Lam'!Y50+'Khanh Nga'!Y50+TDP!Y50+DTRVL!Y50</f>
        <v>19050683744</v>
      </c>
      <c r="Z50" s="64">
        <f>DTR!Z50+'Dai Loc'!Z50+'Dong Lam'!Z50+'Khanh Nga'!Z50+TDP!Z50+DTRVL!Z50</f>
        <v>18517028601</v>
      </c>
    </row>
    <row r="51" spans="1:26" ht="15" hidden="1" customHeight="1" outlineLevel="1">
      <c r="A51" s="73" t="s">
        <v>135</v>
      </c>
      <c r="B51" s="63">
        <v>46</v>
      </c>
      <c r="C51" s="64">
        <f>DTR!C51+'Dai Loc'!C51+'Dong Lam'!C51+'Khanh Nga'!C51+TDP!C51+DTRVL!C51</f>
        <v>55000000</v>
      </c>
      <c r="D51" s="64">
        <f>DTR!D51+'Dai Loc'!D51+'Dong Lam'!D51+'Khanh Nga'!D51+TDP!D51+DTRVL!D51</f>
        <v>55000000</v>
      </c>
      <c r="E51" s="64">
        <f>DTR!E51+'Dai Loc'!E51+'Dong Lam'!E51+'Khanh Nga'!E51+TDP!E51+DTRVL!E51</f>
        <v>55000000</v>
      </c>
      <c r="F51" s="64">
        <f>DTR!F51+'Dai Loc'!F51+'Dong Lam'!F51+'Khanh Nga'!F51+TDP!F51+DTRVL!F51</f>
        <v>55000000</v>
      </c>
      <c r="G51" s="64">
        <f>DTR!G51+'Dai Loc'!G51+'Dong Lam'!G51+'Khanh Nga'!G51+TDP!G51+DTRVL!G51</f>
        <v>55000000</v>
      </c>
      <c r="H51" s="64">
        <f>DTR!H51+'Dai Loc'!H51+'Dong Lam'!H51+'Khanh Nga'!H51+TDP!H51+DTRVL!H51</f>
        <v>55000000</v>
      </c>
      <c r="I51" s="64">
        <f>DTR!I51+'Dai Loc'!I51+'Dong Lam'!I51+'Khanh Nga'!I51+TDP!I51+DTRVL!I51</f>
        <v>55000000</v>
      </c>
      <c r="J51" s="64">
        <f>DTR!J51+'Dai Loc'!J51+'Dong Lam'!J51+'Khanh Nga'!J51+TDP!J51+DTRVL!J51</f>
        <v>55000000</v>
      </c>
      <c r="K51" s="64">
        <f>DTR!K51+'Dai Loc'!K51+'Dong Lam'!K51+'Khanh Nga'!K51+TDP!K51+DTRVL!K51</f>
        <v>55000000</v>
      </c>
      <c r="L51" s="64">
        <f>DTR!L51+'Dai Loc'!L51+'Dong Lam'!L51+'Khanh Nga'!L51+TDP!L51+DTRVL!L51</f>
        <v>55000000</v>
      </c>
      <c r="M51" s="64">
        <f>DTR!M51+'Dai Loc'!M51+'Dong Lam'!M51+'Khanh Nga'!M51+TDP!M51+DTRVL!M51</f>
        <v>25509545455</v>
      </c>
      <c r="N51" s="64">
        <f>DTR!N51+'Dai Loc'!N51+'Dong Lam'!N51+'Khanh Nga'!N51+TDP!N51+DTRVL!N51</f>
        <v>25509545455</v>
      </c>
      <c r="O51" s="64">
        <f>DTR!O51+'Dai Loc'!O51+'Dong Lam'!O51+'Khanh Nga'!O51+TDP!O51+DTRVL!O51</f>
        <v>25454545455</v>
      </c>
      <c r="P51" s="64">
        <f>DTR!P51+'Dai Loc'!P51+'Dong Lam'!P51+'Khanh Nga'!P51+TDP!P51+DTRVL!P51</f>
        <v>25454545455</v>
      </c>
      <c r="Q51" s="64">
        <f>DTR!Q51+'Dai Loc'!Q51+'Dong Lam'!Q51+'Khanh Nga'!Q51+TDP!Q51+DTRVL!Q51</f>
        <v>25454545455</v>
      </c>
      <c r="R51" s="64">
        <f>DTR!R51+'Dai Loc'!R51+'Dong Lam'!R51+'Khanh Nga'!R51+TDP!R51+DTRVL!R51</f>
        <v>25454545455</v>
      </c>
      <c r="S51" s="64">
        <f>DTR!S51+'Dai Loc'!S51+'Dong Lam'!S51+'Khanh Nga'!S51+TDP!S51+DTRVL!S51</f>
        <v>25454545455</v>
      </c>
      <c r="T51" s="64">
        <f>DTR!T51+'Dai Loc'!T51+'Dong Lam'!T51+'Khanh Nga'!T51+TDP!T51+DTRVL!T51</f>
        <v>25454545455</v>
      </c>
      <c r="U51" s="64">
        <f>DTR!U51+'Dai Loc'!U51+'Dong Lam'!U51+'Khanh Nga'!U51+TDP!U51+DTRVL!U51</f>
        <v>25454545455</v>
      </c>
      <c r="V51" s="64">
        <f>DTR!V51+'Dai Loc'!V51+'Dong Lam'!V51+'Khanh Nga'!V51+TDP!V51+DTRVL!V51</f>
        <v>25454545455</v>
      </c>
      <c r="W51" s="64">
        <f>DTR!W51+'Dai Loc'!W51+'Dong Lam'!W51+'Khanh Nga'!W51+TDP!W51+DTRVL!W51</f>
        <v>25454545455</v>
      </c>
      <c r="X51" s="64">
        <f>DTR!X51+'Dai Loc'!X51+'Dong Lam'!X51+'Khanh Nga'!X51+TDP!X51+DTRVL!X51</f>
        <v>25454545455</v>
      </c>
      <c r="Y51" s="64">
        <f>DTR!Y51+'Dai Loc'!Y51+'Dong Lam'!Y51+'Khanh Nga'!Y51+TDP!Y51+DTRVL!Y51</f>
        <v>25454545455</v>
      </c>
      <c r="Z51" s="64">
        <f>DTR!Z51+'Dai Loc'!Z51+'Dong Lam'!Z51+'Khanh Nga'!Z51+TDP!Z51+DTRVL!Z51</f>
        <v>25454545455</v>
      </c>
    </row>
    <row r="52" spans="1:26" ht="15" hidden="1" customHeight="1" outlineLevel="1">
      <c r="A52" s="73" t="s">
        <v>136</v>
      </c>
      <c r="B52" s="63">
        <v>47</v>
      </c>
      <c r="C52" s="64">
        <f>DTR!C52+'Dai Loc'!C52+'Dong Lam'!C52+'Khanh Nga'!C52+TDP!C52+DTRVL!C52</f>
        <v>-33456416</v>
      </c>
      <c r="D52" s="64">
        <f>DTR!D52+'Dai Loc'!D52+'Dong Lam'!D52+'Khanh Nga'!D52+TDP!D52+DTRVL!D52</f>
        <v>-34652068</v>
      </c>
      <c r="E52" s="64">
        <f>DTR!E52+'Dai Loc'!E52+'Dong Lam'!E52+'Khanh Nga'!E52+TDP!E52+DTRVL!E52</f>
        <v>-35847720</v>
      </c>
      <c r="F52" s="64">
        <f>DTR!F52+'Dai Loc'!F52+'Dong Lam'!F52+'Khanh Nga'!F52+TDP!F52+DTRVL!F52</f>
        <v>-37043372</v>
      </c>
      <c r="G52" s="64">
        <f>DTR!G52+'Dai Loc'!G52+'Dong Lam'!G52+'Khanh Nga'!G52+TDP!G52+DTRVL!G52</f>
        <v>-38239024</v>
      </c>
      <c r="H52" s="64">
        <f>DTR!H52+'Dai Loc'!H52+'Dong Lam'!H52+'Khanh Nga'!H52+TDP!H52+DTRVL!H52</f>
        <v>-39434676</v>
      </c>
      <c r="I52" s="64">
        <f>DTR!I52+'Dai Loc'!I52+'Dong Lam'!I52+'Khanh Nga'!I52+TDP!I52+DTRVL!I52</f>
        <v>-40630328</v>
      </c>
      <c r="J52" s="64">
        <f>DTR!J52+'Dai Loc'!J52+'Dong Lam'!J52+'Khanh Nga'!J52+TDP!J52+DTRVL!J52</f>
        <v>-41825980</v>
      </c>
      <c r="K52" s="64">
        <f>DTR!K52+'Dai Loc'!K52+'Dong Lam'!K52+'Khanh Nga'!K52+TDP!K52+DTRVL!K52</f>
        <v>-43021632</v>
      </c>
      <c r="L52" s="64">
        <f>DTR!L52+'Dai Loc'!L52+'Dong Lam'!L52+'Khanh Nga'!L52+TDP!L52+DTRVL!L52</f>
        <v>-44217284</v>
      </c>
      <c r="M52" s="64">
        <f>DTR!M52+'Dai Loc'!M52+'Dong Lam'!M52+'Khanh Nga'!M52+TDP!M52+DTRVL!M52</f>
        <v>-45412936</v>
      </c>
      <c r="N52" s="64">
        <f>DTR!N52+'Dai Loc'!N52+'Dong Lam'!N52+'Khanh Nga'!N52+TDP!N52+DTRVL!N52</f>
        <v>-580263728</v>
      </c>
      <c r="O52" s="64">
        <f>DTR!O52+'Dai Loc'!O52+'Dong Lam'!O52+'Khanh Nga'!O52+TDP!O52+DTRVL!O52</f>
        <v>-1067310280</v>
      </c>
      <c r="P52" s="64">
        <f>DTR!P52+'Dai Loc'!P52+'Dong Lam'!P52+'Khanh Nga'!P52+TDP!P52+DTRVL!P52</f>
        <v>-1600965427</v>
      </c>
      <c r="Q52" s="64">
        <f>DTR!Q52+'Dai Loc'!Q52+'Dong Lam'!Q52+'Khanh Nga'!Q52+TDP!Q52+DTRVL!Q52</f>
        <v>-2134620569</v>
      </c>
      <c r="R52" s="64">
        <f>DTR!R52+'Dai Loc'!R52+'Dong Lam'!R52+'Khanh Nga'!R52+TDP!R52+DTRVL!R52</f>
        <v>-2668275712</v>
      </c>
      <c r="S52" s="64">
        <f>DTR!S52+'Dai Loc'!S52+'Dong Lam'!S52+'Khanh Nga'!S52+TDP!S52+DTRVL!S52</f>
        <v>-3201930856</v>
      </c>
      <c r="T52" s="64">
        <f>DTR!T52+'Dai Loc'!T52+'Dong Lam'!T52+'Khanh Nga'!T52+TDP!T52+DTRVL!T52</f>
        <v>-3735586000</v>
      </c>
      <c r="U52" s="64">
        <f>DTR!U52+'Dai Loc'!U52+'Dong Lam'!U52+'Khanh Nga'!U52+TDP!U52+DTRVL!U52</f>
        <v>-4269241141</v>
      </c>
      <c r="V52" s="64">
        <f>DTR!V52+'Dai Loc'!V52+'Dong Lam'!V52+'Khanh Nga'!V52+TDP!V52+DTRVL!V52</f>
        <v>-4802896284</v>
      </c>
      <c r="W52" s="64">
        <f>DTR!W52+'Dai Loc'!W52+'Dong Lam'!W52+'Khanh Nga'!W52+TDP!W52+DTRVL!W52</f>
        <v>-5336551425</v>
      </c>
      <c r="X52" s="64">
        <f>DTR!X52+'Dai Loc'!X52+'Dong Lam'!X52+'Khanh Nga'!X52+TDP!X52+DTRVL!X52</f>
        <v>-5870206567</v>
      </c>
      <c r="Y52" s="64">
        <f>DTR!Y52+'Dai Loc'!Y52+'Dong Lam'!Y52+'Khanh Nga'!Y52+TDP!Y52+DTRVL!Y52</f>
        <v>-6403861711</v>
      </c>
      <c r="Z52" s="64">
        <f>DTR!Z52+'Dai Loc'!Z52+'Dong Lam'!Z52+'Khanh Nga'!Z52+TDP!Z52+DTRVL!Z52</f>
        <v>-6937516854</v>
      </c>
    </row>
    <row r="53" spans="1:26" ht="15" hidden="1" customHeight="1" outlineLevel="1">
      <c r="A53" s="72" t="s">
        <v>137</v>
      </c>
      <c r="B53" s="65">
        <v>48</v>
      </c>
      <c r="C53" s="64">
        <f>DTR!C53+'Dai Loc'!C53+'Dong Lam'!C53+'Khanh Nga'!C53+TDP!C53+DTRVL!C53</f>
        <v>1947932752</v>
      </c>
      <c r="D53" s="64">
        <f>DTR!D53+'Dai Loc'!D53+'Dong Lam'!D53+'Khanh Nga'!D53+TDP!D53+DTRVL!D53</f>
        <v>1906963603</v>
      </c>
      <c r="E53" s="64">
        <f>DTR!E53+'Dai Loc'!E53+'Dong Lam'!E53+'Khanh Nga'!E53+TDP!E53+DTRVL!E53</f>
        <v>2297294492</v>
      </c>
      <c r="F53" s="64">
        <f>DTR!F53+'Dai Loc'!F53+'Dong Lam'!F53+'Khanh Nga'!F53+TDP!F53+DTRVL!F53</f>
        <v>2244344786</v>
      </c>
      <c r="G53" s="64">
        <f>DTR!G53+'Dai Loc'!G53+'Dong Lam'!G53+'Khanh Nga'!G53+TDP!G53+DTRVL!G53</f>
        <v>2191395080</v>
      </c>
      <c r="H53" s="64">
        <f>DTR!H53+'Dai Loc'!H53+'Dong Lam'!H53+'Khanh Nga'!H53+TDP!H53+DTRVL!H53</f>
        <v>2138445371</v>
      </c>
      <c r="I53" s="64">
        <f>DTR!I53+'Dai Loc'!I53+'Dong Lam'!I53+'Khanh Nga'!I53+TDP!I53+DTRVL!I53</f>
        <v>2085495665</v>
      </c>
      <c r="J53" s="64">
        <f>DTR!J53+'Dai Loc'!J53+'Dong Lam'!J53+'Khanh Nga'!J53+TDP!J53+DTRVL!J53</f>
        <v>2032545960</v>
      </c>
      <c r="K53" s="64">
        <f>DTR!K53+'Dai Loc'!K53+'Dong Lam'!K53+'Khanh Nga'!K53+TDP!K53+DTRVL!K53</f>
        <v>1979596253</v>
      </c>
      <c r="L53" s="64">
        <f>DTR!L53+'Dai Loc'!L53+'Dong Lam'!L53+'Khanh Nga'!L53+TDP!L53+DTRVL!L53</f>
        <v>1926646546</v>
      </c>
      <c r="M53" s="64">
        <f>DTR!M53+'Dai Loc'!M53+'Dong Lam'!M53+'Khanh Nga'!M53+TDP!M53+DTRVL!M53</f>
        <v>1873696841</v>
      </c>
      <c r="N53" s="64">
        <f>DTR!N53+'Dai Loc'!N53+'Dong Lam'!N53+'Khanh Nga'!N53+TDP!N53+DTRVL!N53</f>
        <v>2349870034</v>
      </c>
      <c r="O53" s="64">
        <f>DTR!O53+'Dai Loc'!O53+'Dong Lam'!O53+'Khanh Nga'!O53+TDP!O53+DTRVL!O53</f>
        <v>2289418229</v>
      </c>
      <c r="P53" s="64">
        <f>DTR!P53+'Dai Loc'!P53+'Dong Lam'!P53+'Khanh Nga'!P53+TDP!P53+DTRVL!P53</f>
        <v>2220575013</v>
      </c>
      <c r="Q53" s="64">
        <f>DTR!Q53+'Dai Loc'!Q53+'Dong Lam'!Q53+'Khanh Nga'!Q53+TDP!Q53+DTRVL!Q53</f>
        <v>2639342579</v>
      </c>
      <c r="R53" s="64">
        <f>DTR!R53+'Dai Loc'!R53+'Dong Lam'!R53+'Khanh Nga'!R53+TDP!R53+DTRVL!R53</f>
        <v>2556954617</v>
      </c>
      <c r="S53" s="64">
        <f>DTR!S53+'Dai Loc'!S53+'Dong Lam'!S53+'Khanh Nga'!S53+TDP!S53+DTRVL!S53</f>
        <v>2474566657</v>
      </c>
      <c r="T53" s="64">
        <f>DTR!T53+'Dai Loc'!T53+'Dong Lam'!T53+'Khanh Nga'!T53+TDP!T53+DTRVL!T53</f>
        <v>2392178695</v>
      </c>
      <c r="U53" s="64">
        <f>DTR!U53+'Dai Loc'!U53+'Dong Lam'!U53+'Khanh Nga'!U53+TDP!U53+DTRVL!U53</f>
        <v>2309790736</v>
      </c>
      <c r="V53" s="64">
        <f>DTR!V53+'Dai Loc'!V53+'Dong Lam'!V53+'Khanh Nga'!V53+TDP!V53+DTRVL!V53</f>
        <v>2228576580</v>
      </c>
      <c r="W53" s="64">
        <f>DTR!W53+'Dai Loc'!W53+'Dong Lam'!W53+'Khanh Nga'!W53+TDP!W53+DTRVL!W53</f>
        <v>4087339407</v>
      </c>
      <c r="X53" s="64">
        <f>DTR!X53+'Dai Loc'!X53+'Dong Lam'!X53+'Khanh Nga'!X53+TDP!X53+DTRVL!X53</f>
        <v>3967222986</v>
      </c>
      <c r="Y53" s="64">
        <f>DTR!Y53+'Dai Loc'!Y53+'Dong Lam'!Y53+'Khanh Nga'!Y53+TDP!Y53+DTRVL!Y53</f>
        <v>3847106565</v>
      </c>
      <c r="Z53" s="64">
        <f>DTR!Z53+'Dai Loc'!Z53+'Dong Lam'!Z53+'Khanh Nga'!Z53+TDP!Z53+DTRVL!Z53</f>
        <v>3726990144</v>
      </c>
    </row>
    <row r="54" spans="1:26" ht="15" hidden="1" customHeight="1" outlineLevel="1">
      <c r="A54" s="73" t="s">
        <v>138</v>
      </c>
      <c r="B54" s="63">
        <v>49</v>
      </c>
      <c r="C54" s="64">
        <f>DTR!C54+'Dai Loc'!C54+'Dong Lam'!C54+'Khanh Nga'!C54+TDP!C54+DTRVL!C54</f>
        <v>3076542391</v>
      </c>
      <c r="D54" s="64">
        <f>DTR!D54+'Dai Loc'!D54+'Dong Lam'!D54+'Khanh Nga'!D54+TDP!D54+DTRVL!D54</f>
        <v>3076542391</v>
      </c>
      <c r="E54" s="64">
        <f>DTR!E54+'Dai Loc'!E54+'Dong Lam'!E54+'Khanh Nga'!E54+TDP!E54+DTRVL!E54</f>
        <v>3507842430</v>
      </c>
      <c r="F54" s="64">
        <f>DTR!F54+'Dai Loc'!F54+'Dong Lam'!F54+'Khanh Nga'!F54+TDP!F54+DTRVL!F54</f>
        <v>3507842430</v>
      </c>
      <c r="G54" s="64">
        <f>DTR!G54+'Dai Loc'!G54+'Dong Lam'!G54+'Khanh Nga'!G54+TDP!G54+DTRVL!G54</f>
        <v>3507842430</v>
      </c>
      <c r="H54" s="64">
        <f>DTR!H54+'Dai Loc'!H54+'Dong Lam'!H54+'Khanh Nga'!H54+TDP!H54+DTRVL!H54</f>
        <v>3507842430</v>
      </c>
      <c r="I54" s="64">
        <f>DTR!I54+'Dai Loc'!I54+'Dong Lam'!I54+'Khanh Nga'!I54+TDP!I54+DTRVL!I54</f>
        <v>3507842430</v>
      </c>
      <c r="J54" s="64">
        <f>DTR!J54+'Dai Loc'!J54+'Dong Lam'!J54+'Khanh Nga'!J54+TDP!J54+DTRVL!J54</f>
        <v>3507842430</v>
      </c>
      <c r="K54" s="64">
        <f>DTR!K54+'Dai Loc'!K54+'Dong Lam'!K54+'Khanh Nga'!K54+TDP!K54+DTRVL!K54</f>
        <v>3507842430</v>
      </c>
      <c r="L54" s="64">
        <f>DTR!L54+'Dai Loc'!L54+'Dong Lam'!L54+'Khanh Nga'!L54+TDP!L54+DTRVL!L54</f>
        <v>3507842430</v>
      </c>
      <c r="M54" s="64">
        <f>DTR!M54+'Dai Loc'!M54+'Dong Lam'!M54+'Khanh Nga'!M54+TDP!M54+DTRVL!M54</f>
        <v>3507842430</v>
      </c>
      <c r="N54" s="64">
        <f>DTR!N54+'Dai Loc'!N54+'Dong Lam'!N54+'Khanh Nga'!N54+TDP!N54+DTRVL!N54</f>
        <v>4036965329</v>
      </c>
      <c r="O54" s="64">
        <f>DTR!O54+'Dai Loc'!O54+'Dong Lam'!O54+'Khanh Nga'!O54+TDP!O54+DTRVL!O54</f>
        <v>4091965329</v>
      </c>
      <c r="P54" s="64">
        <f>DTR!P54+'Dai Loc'!P54+'Dong Lam'!P54+'Khanh Nga'!P54+TDP!P54+DTRVL!P54</f>
        <v>4091965329</v>
      </c>
      <c r="Q54" s="64">
        <f>DTR!Q54+'Dai Loc'!Q54+'Dong Lam'!Q54+'Khanh Nga'!Q54+TDP!Q54+DTRVL!Q54</f>
        <v>4579576112</v>
      </c>
      <c r="R54" s="64">
        <f>DTR!R54+'Dai Loc'!R54+'Dong Lam'!R54+'Khanh Nga'!R54+TDP!R54+DTRVL!R54</f>
        <v>4579576112</v>
      </c>
      <c r="S54" s="64">
        <f>DTR!S54+'Dai Loc'!S54+'Dong Lam'!S54+'Khanh Nga'!S54+TDP!S54+DTRVL!S54</f>
        <v>4579576112</v>
      </c>
      <c r="T54" s="64">
        <f>DTR!T54+'Dai Loc'!T54+'Dong Lam'!T54+'Khanh Nga'!T54+TDP!T54+DTRVL!T54</f>
        <v>4579576112</v>
      </c>
      <c r="U54" s="64">
        <f>DTR!U54+'Dai Loc'!U54+'Dong Lam'!U54+'Khanh Nga'!U54+TDP!U54+DTRVL!U54</f>
        <v>4579576112</v>
      </c>
      <c r="V54" s="64">
        <f>DTR!V54+'Dai Loc'!V54+'Dong Lam'!V54+'Khanh Nga'!V54+TDP!V54+DTRVL!V54</f>
        <v>4579576112</v>
      </c>
      <c r="W54" s="64">
        <f>DTR!W54+'Dai Loc'!W54+'Dong Lam'!W54+'Khanh Nga'!W54+TDP!W54+DTRVL!W54</f>
        <v>6518070070</v>
      </c>
      <c r="X54" s="64">
        <f>DTR!X54+'Dai Loc'!X54+'Dong Lam'!X54+'Khanh Nga'!X54+TDP!X54+DTRVL!X54</f>
        <v>6518070070</v>
      </c>
      <c r="Y54" s="64">
        <f>DTR!Y54+'Dai Loc'!Y54+'Dong Lam'!Y54+'Khanh Nga'!Y54+TDP!Y54+DTRVL!Y54</f>
        <v>6518070070</v>
      </c>
      <c r="Z54" s="64">
        <f>DTR!Z54+'Dai Loc'!Z54+'Dong Lam'!Z54+'Khanh Nga'!Z54+TDP!Z54+DTRVL!Z54</f>
        <v>6518070070</v>
      </c>
    </row>
    <row r="55" spans="1:26" ht="15" hidden="1" customHeight="1" outlineLevel="1">
      <c r="A55" s="73" t="s">
        <v>139</v>
      </c>
      <c r="B55" s="63">
        <v>50</v>
      </c>
      <c r="C55" s="64">
        <f>DTR!C55+'Dai Loc'!C55+'Dong Lam'!C55+'Khanh Nga'!C55+TDP!C55+DTRVL!C55</f>
        <v>-1128609639</v>
      </c>
      <c r="D55" s="64">
        <f>DTR!D55+'Dai Loc'!D55+'Dong Lam'!D55+'Khanh Nga'!D55+TDP!D55+DTRVL!D55</f>
        <v>-1169578788</v>
      </c>
      <c r="E55" s="64">
        <f>DTR!E55+'Dai Loc'!E55+'Dong Lam'!E55+'Khanh Nga'!E55+TDP!E55+DTRVL!E55</f>
        <v>-1210547938</v>
      </c>
      <c r="F55" s="64">
        <f>DTR!F55+'Dai Loc'!F55+'Dong Lam'!F55+'Khanh Nga'!F55+TDP!F55+DTRVL!F55</f>
        <v>-1263497644</v>
      </c>
      <c r="G55" s="64">
        <f>DTR!G55+'Dai Loc'!G55+'Dong Lam'!G55+'Khanh Nga'!G55+TDP!G55+DTRVL!G55</f>
        <v>-1316447350</v>
      </c>
      <c r="H55" s="64">
        <f>DTR!H55+'Dai Loc'!H55+'Dong Lam'!H55+'Khanh Nga'!H55+TDP!H55+DTRVL!H55</f>
        <v>-1369397059</v>
      </c>
      <c r="I55" s="64">
        <f>DTR!I55+'Dai Loc'!I55+'Dong Lam'!I55+'Khanh Nga'!I55+TDP!I55+DTRVL!I55</f>
        <v>-1422346765</v>
      </c>
      <c r="J55" s="64">
        <f>DTR!J55+'Dai Loc'!J55+'Dong Lam'!J55+'Khanh Nga'!J55+TDP!J55+DTRVL!J55</f>
        <v>-1475296470</v>
      </c>
      <c r="K55" s="64">
        <f>DTR!K55+'Dai Loc'!K55+'Dong Lam'!K55+'Khanh Nga'!K55+TDP!K55+DTRVL!K55</f>
        <v>-1528246177</v>
      </c>
      <c r="L55" s="64">
        <f>DTR!L55+'Dai Loc'!L55+'Dong Lam'!L55+'Khanh Nga'!L55+TDP!L55+DTRVL!L55</f>
        <v>-1581195884</v>
      </c>
      <c r="M55" s="64">
        <f>DTR!M55+'Dai Loc'!M55+'Dong Lam'!M55+'Khanh Nga'!M55+TDP!M55+DTRVL!M55</f>
        <v>-1634145589</v>
      </c>
      <c r="N55" s="64">
        <f>DTR!N55+'Dai Loc'!N55+'Dong Lam'!N55+'Khanh Nga'!N55+TDP!N55+DTRVL!N55</f>
        <v>-1687095295</v>
      </c>
      <c r="O55" s="64">
        <f>DTR!O55+'Dai Loc'!O55+'Dong Lam'!O55+'Khanh Nga'!O55+TDP!O55+DTRVL!O55</f>
        <v>-1802547100</v>
      </c>
      <c r="P55" s="64">
        <f>DTR!P55+'Dai Loc'!P55+'Dong Lam'!P55+'Khanh Nga'!P55+TDP!P55+DTRVL!P55</f>
        <v>-1871390316</v>
      </c>
      <c r="Q55" s="64">
        <f>DTR!Q55+'Dai Loc'!Q55+'Dong Lam'!Q55+'Khanh Nga'!Q55+TDP!Q55+DTRVL!Q55</f>
        <v>-1940233533</v>
      </c>
      <c r="R55" s="64">
        <f>DTR!R55+'Dai Loc'!R55+'Dong Lam'!R55+'Khanh Nga'!R55+TDP!R55+DTRVL!R55</f>
        <v>-2022621495</v>
      </c>
      <c r="S55" s="64">
        <f>DTR!S55+'Dai Loc'!S55+'Dong Lam'!S55+'Khanh Nga'!S55+TDP!S55+DTRVL!S55</f>
        <v>-2105009455</v>
      </c>
      <c r="T55" s="64">
        <f>DTR!T55+'Dai Loc'!T55+'Dong Lam'!T55+'Khanh Nga'!T55+TDP!T55+DTRVL!T55</f>
        <v>-2187397417</v>
      </c>
      <c r="U55" s="64">
        <f>DTR!U55+'Dai Loc'!U55+'Dong Lam'!U55+'Khanh Nga'!U55+TDP!U55+DTRVL!U55</f>
        <v>-2269785376</v>
      </c>
      <c r="V55" s="64">
        <f>DTR!V55+'Dai Loc'!V55+'Dong Lam'!V55+'Khanh Nga'!V55+TDP!V55+DTRVL!V55</f>
        <v>-2350999532</v>
      </c>
      <c r="W55" s="64">
        <f>DTR!W55+'Dai Loc'!W55+'Dong Lam'!W55+'Khanh Nga'!W55+TDP!W55+DTRVL!W55</f>
        <v>-2430730663</v>
      </c>
      <c r="X55" s="64">
        <f>DTR!X55+'Dai Loc'!X55+'Dong Lam'!X55+'Khanh Nga'!X55+TDP!X55+DTRVL!X55</f>
        <v>-2550847084</v>
      </c>
      <c r="Y55" s="64">
        <f>DTR!Y55+'Dai Loc'!Y55+'Dong Lam'!Y55+'Khanh Nga'!Y55+TDP!Y55+DTRVL!Y55</f>
        <v>-2670963505</v>
      </c>
      <c r="Z55" s="64">
        <f>DTR!Z55+'Dai Loc'!Z55+'Dong Lam'!Z55+'Khanh Nga'!Z55+TDP!Z55+DTRVL!Z55</f>
        <v>-2791079926</v>
      </c>
    </row>
    <row r="56" spans="1:26" ht="15" hidden="1" customHeight="1" outlineLevel="1">
      <c r="A56" s="72" t="s">
        <v>140</v>
      </c>
      <c r="B56" s="65">
        <v>51</v>
      </c>
      <c r="C56" s="64">
        <f>DTR!C56+'Dai Loc'!C56+'Dong Lam'!C56+'Khanh Nga'!C56+TDP!C56+DTRVL!C56</f>
        <v>0</v>
      </c>
      <c r="D56" s="64">
        <f>DTR!D56+'Dai Loc'!D56+'Dong Lam'!D56+'Khanh Nga'!D56+TDP!D56+DTRVL!D56</f>
        <v>0</v>
      </c>
      <c r="E56" s="64">
        <f>DTR!E56+'Dai Loc'!E56+'Dong Lam'!E56+'Khanh Nga'!E56+TDP!E56+DTRVL!E56</f>
        <v>0</v>
      </c>
      <c r="F56" s="64">
        <f>DTR!F56+'Dai Loc'!F56+'Dong Lam'!F56+'Khanh Nga'!F56+TDP!F56+DTRVL!F56</f>
        <v>0</v>
      </c>
      <c r="G56" s="64">
        <f>DTR!G56+'Dai Loc'!G56+'Dong Lam'!G56+'Khanh Nga'!G56+TDP!G56+DTRVL!G56</f>
        <v>0</v>
      </c>
      <c r="H56" s="64">
        <f>DTR!H56+'Dai Loc'!H56+'Dong Lam'!H56+'Khanh Nga'!H56+TDP!H56+DTRVL!H56</f>
        <v>0</v>
      </c>
      <c r="I56" s="64">
        <f>DTR!I56+'Dai Loc'!I56+'Dong Lam'!I56+'Khanh Nga'!I56+TDP!I56+DTRVL!I56</f>
        <v>0</v>
      </c>
      <c r="J56" s="64">
        <f>DTR!J56+'Dai Loc'!J56+'Dong Lam'!J56+'Khanh Nga'!J56+TDP!J56+DTRVL!J56</f>
        <v>0</v>
      </c>
      <c r="K56" s="64">
        <f>DTR!K56+'Dai Loc'!K56+'Dong Lam'!K56+'Khanh Nga'!K56+TDP!K56+DTRVL!K56</f>
        <v>0</v>
      </c>
      <c r="L56" s="64">
        <f>DTR!L56+'Dai Loc'!L56+'Dong Lam'!L56+'Khanh Nga'!L56+TDP!L56+DTRVL!L56</f>
        <v>0</v>
      </c>
      <c r="M56" s="64">
        <f>DTR!M56+'Dai Loc'!M56+'Dong Lam'!M56+'Khanh Nga'!M56+TDP!M56+DTRVL!M56</f>
        <v>0</v>
      </c>
      <c r="N56" s="64">
        <f>DTR!N56+'Dai Loc'!N56+'Dong Lam'!N56+'Khanh Nga'!N56+TDP!N56+DTRVL!N56</f>
        <v>0</v>
      </c>
      <c r="O56" s="64">
        <f>DTR!O56+'Dai Loc'!O56+'Dong Lam'!O56+'Khanh Nga'!O56+TDP!O56+DTRVL!O56</f>
        <v>0</v>
      </c>
      <c r="P56" s="64">
        <f>DTR!P56+'Dai Loc'!P56+'Dong Lam'!P56+'Khanh Nga'!P56+TDP!P56+DTRVL!P56</f>
        <v>0</v>
      </c>
      <c r="Q56" s="64">
        <f>DTR!Q56+'Dai Loc'!Q56+'Dong Lam'!Q56+'Khanh Nga'!Q56+TDP!Q56+DTRVL!Q56</f>
        <v>0</v>
      </c>
      <c r="R56" s="64">
        <f>DTR!R56+'Dai Loc'!R56+'Dong Lam'!R56+'Khanh Nga'!R56+TDP!R56+DTRVL!R56</f>
        <v>0</v>
      </c>
      <c r="S56" s="64">
        <f>DTR!S56+'Dai Loc'!S56+'Dong Lam'!S56+'Khanh Nga'!S56+TDP!S56+DTRVL!S56</f>
        <v>0</v>
      </c>
      <c r="T56" s="64">
        <f>DTR!T56+'Dai Loc'!T56+'Dong Lam'!T56+'Khanh Nga'!T56+TDP!T56+DTRVL!T56</f>
        <v>0</v>
      </c>
      <c r="U56" s="64">
        <f>DTR!U56+'Dai Loc'!U56+'Dong Lam'!U56+'Khanh Nga'!U56+TDP!U56+DTRVL!U56</f>
        <v>0</v>
      </c>
      <c r="V56" s="64">
        <f>DTR!V56+'Dai Loc'!V56+'Dong Lam'!V56+'Khanh Nga'!V56+TDP!V56+DTRVL!V56</f>
        <v>0</v>
      </c>
      <c r="W56" s="64">
        <f>DTR!W56+'Dai Loc'!W56+'Dong Lam'!W56+'Khanh Nga'!W56+TDP!W56+DTRVL!W56</f>
        <v>0</v>
      </c>
      <c r="X56" s="64">
        <f>DTR!X56+'Dai Loc'!X56+'Dong Lam'!X56+'Khanh Nga'!X56+TDP!X56+DTRVL!X56</f>
        <v>0</v>
      </c>
      <c r="Y56" s="64">
        <f>DTR!Y56+'Dai Loc'!Y56+'Dong Lam'!Y56+'Khanh Nga'!Y56+TDP!Y56+DTRVL!Y56</f>
        <v>0</v>
      </c>
      <c r="Z56" s="64">
        <f>DTR!Z56+'Dai Loc'!Z56+'Dong Lam'!Z56+'Khanh Nga'!Z56+TDP!Z56+DTRVL!Z56</f>
        <v>0</v>
      </c>
    </row>
    <row r="57" spans="1:26" ht="15" hidden="1" customHeight="1" outlineLevel="1">
      <c r="A57" s="73" t="s">
        <v>141</v>
      </c>
      <c r="B57" s="63">
        <v>52</v>
      </c>
      <c r="C57" s="64">
        <f>DTR!C57+'Dai Loc'!C57+'Dong Lam'!C57+'Khanh Nga'!C57+TDP!C57+DTRVL!C57</f>
        <v>0</v>
      </c>
      <c r="D57" s="64">
        <f>DTR!D57+'Dai Loc'!D57+'Dong Lam'!D57+'Khanh Nga'!D57+TDP!D57+DTRVL!D57</f>
        <v>0</v>
      </c>
      <c r="E57" s="64">
        <f>DTR!E57+'Dai Loc'!E57+'Dong Lam'!E57+'Khanh Nga'!E57+TDP!E57+DTRVL!E57</f>
        <v>0</v>
      </c>
      <c r="F57" s="64">
        <f>DTR!F57+'Dai Loc'!F57+'Dong Lam'!F57+'Khanh Nga'!F57+TDP!F57+DTRVL!F57</f>
        <v>0</v>
      </c>
      <c r="G57" s="64">
        <f>DTR!G57+'Dai Loc'!G57+'Dong Lam'!G57+'Khanh Nga'!G57+TDP!G57+DTRVL!G57</f>
        <v>0</v>
      </c>
      <c r="H57" s="64">
        <f>DTR!H57+'Dai Loc'!H57+'Dong Lam'!H57+'Khanh Nga'!H57+TDP!H57+DTRVL!H57</f>
        <v>0</v>
      </c>
      <c r="I57" s="64">
        <f>DTR!I57+'Dai Loc'!I57+'Dong Lam'!I57+'Khanh Nga'!I57+TDP!I57+DTRVL!I57</f>
        <v>0</v>
      </c>
      <c r="J57" s="64">
        <f>DTR!J57+'Dai Loc'!J57+'Dong Lam'!J57+'Khanh Nga'!J57+TDP!J57+DTRVL!J57</f>
        <v>0</v>
      </c>
      <c r="K57" s="64">
        <f>DTR!K57+'Dai Loc'!K57+'Dong Lam'!K57+'Khanh Nga'!K57+TDP!K57+DTRVL!K57</f>
        <v>0</v>
      </c>
      <c r="L57" s="64">
        <f>DTR!L57+'Dai Loc'!L57+'Dong Lam'!L57+'Khanh Nga'!L57+TDP!L57+DTRVL!L57</f>
        <v>0</v>
      </c>
      <c r="M57" s="64">
        <f>DTR!M57+'Dai Loc'!M57+'Dong Lam'!M57+'Khanh Nga'!M57+TDP!M57+DTRVL!M57</f>
        <v>0</v>
      </c>
      <c r="N57" s="64">
        <f>DTR!N57+'Dai Loc'!N57+'Dong Lam'!N57+'Khanh Nga'!N57+TDP!N57+DTRVL!N57</f>
        <v>0</v>
      </c>
      <c r="O57" s="64">
        <f>DTR!O57+'Dai Loc'!O57+'Dong Lam'!O57+'Khanh Nga'!O57+TDP!O57+DTRVL!O57</f>
        <v>0</v>
      </c>
      <c r="P57" s="64">
        <f>DTR!P57+'Dai Loc'!P57+'Dong Lam'!P57+'Khanh Nga'!P57+TDP!P57+DTRVL!P57</f>
        <v>0</v>
      </c>
      <c r="Q57" s="64">
        <f>DTR!Q57+'Dai Loc'!Q57+'Dong Lam'!Q57+'Khanh Nga'!Q57+TDP!Q57+DTRVL!Q57</f>
        <v>0</v>
      </c>
      <c r="R57" s="64">
        <f>DTR!R57+'Dai Loc'!R57+'Dong Lam'!R57+'Khanh Nga'!R57+TDP!R57+DTRVL!R57</f>
        <v>0</v>
      </c>
      <c r="S57" s="64">
        <f>DTR!S57+'Dai Loc'!S57+'Dong Lam'!S57+'Khanh Nga'!S57+TDP!S57+DTRVL!S57</f>
        <v>0</v>
      </c>
      <c r="T57" s="64">
        <f>DTR!T57+'Dai Loc'!T57+'Dong Lam'!T57+'Khanh Nga'!T57+TDP!T57+DTRVL!T57</f>
        <v>0</v>
      </c>
      <c r="U57" s="64">
        <f>DTR!U57+'Dai Loc'!U57+'Dong Lam'!U57+'Khanh Nga'!U57+TDP!U57+DTRVL!U57</f>
        <v>0</v>
      </c>
      <c r="V57" s="64">
        <f>DTR!V57+'Dai Loc'!V57+'Dong Lam'!V57+'Khanh Nga'!V57+TDP!V57+DTRVL!V57</f>
        <v>0</v>
      </c>
      <c r="W57" s="64">
        <f>DTR!W57+'Dai Loc'!W57+'Dong Lam'!W57+'Khanh Nga'!W57+TDP!W57+DTRVL!W57</f>
        <v>0</v>
      </c>
      <c r="X57" s="64">
        <f>DTR!X57+'Dai Loc'!X57+'Dong Lam'!X57+'Khanh Nga'!X57+TDP!X57+DTRVL!X57</f>
        <v>0</v>
      </c>
      <c r="Y57" s="64">
        <f>DTR!Y57+'Dai Loc'!Y57+'Dong Lam'!Y57+'Khanh Nga'!Y57+TDP!Y57+DTRVL!Y57</f>
        <v>0</v>
      </c>
      <c r="Z57" s="64">
        <f>DTR!Z57+'Dai Loc'!Z57+'Dong Lam'!Z57+'Khanh Nga'!Z57+TDP!Z57+DTRVL!Z57</f>
        <v>0</v>
      </c>
    </row>
    <row r="58" spans="1:26" ht="15" hidden="1" customHeight="1" outlineLevel="1">
      <c r="A58" s="73" t="s">
        <v>142</v>
      </c>
      <c r="B58" s="63">
        <v>53</v>
      </c>
      <c r="C58" s="64">
        <f>DTR!C58+'Dai Loc'!C58+'Dong Lam'!C58+'Khanh Nga'!C58+TDP!C58+DTRVL!C58</f>
        <v>0</v>
      </c>
      <c r="D58" s="64">
        <f>DTR!D58+'Dai Loc'!D58+'Dong Lam'!D58+'Khanh Nga'!D58+TDP!D58+DTRVL!D58</f>
        <v>0</v>
      </c>
      <c r="E58" s="64">
        <f>DTR!E58+'Dai Loc'!E58+'Dong Lam'!E58+'Khanh Nga'!E58+TDP!E58+DTRVL!E58</f>
        <v>0</v>
      </c>
      <c r="F58" s="64">
        <f>DTR!F58+'Dai Loc'!F58+'Dong Lam'!F58+'Khanh Nga'!F58+TDP!F58+DTRVL!F58</f>
        <v>0</v>
      </c>
      <c r="G58" s="64">
        <f>DTR!G58+'Dai Loc'!G58+'Dong Lam'!G58+'Khanh Nga'!G58+TDP!G58+DTRVL!G58</f>
        <v>0</v>
      </c>
      <c r="H58" s="64">
        <f>DTR!H58+'Dai Loc'!H58+'Dong Lam'!H58+'Khanh Nga'!H58+TDP!H58+DTRVL!H58</f>
        <v>0</v>
      </c>
      <c r="I58" s="64">
        <f>DTR!I58+'Dai Loc'!I58+'Dong Lam'!I58+'Khanh Nga'!I58+TDP!I58+DTRVL!I58</f>
        <v>0</v>
      </c>
      <c r="J58" s="64">
        <f>DTR!J58+'Dai Loc'!J58+'Dong Lam'!J58+'Khanh Nga'!J58+TDP!J58+DTRVL!J58</f>
        <v>0</v>
      </c>
      <c r="K58" s="64">
        <f>DTR!K58+'Dai Loc'!K58+'Dong Lam'!K58+'Khanh Nga'!K58+TDP!K58+DTRVL!K58</f>
        <v>0</v>
      </c>
      <c r="L58" s="64">
        <f>DTR!L58+'Dai Loc'!L58+'Dong Lam'!L58+'Khanh Nga'!L58+TDP!L58+DTRVL!L58</f>
        <v>0</v>
      </c>
      <c r="M58" s="64">
        <f>DTR!M58+'Dai Loc'!M58+'Dong Lam'!M58+'Khanh Nga'!M58+TDP!M58+DTRVL!M58</f>
        <v>0</v>
      </c>
      <c r="N58" s="64">
        <f>DTR!N58+'Dai Loc'!N58+'Dong Lam'!N58+'Khanh Nga'!N58+TDP!N58+DTRVL!N58</f>
        <v>0</v>
      </c>
      <c r="O58" s="64">
        <f>DTR!O58+'Dai Loc'!O58+'Dong Lam'!O58+'Khanh Nga'!O58+TDP!O58+DTRVL!O58</f>
        <v>0</v>
      </c>
      <c r="P58" s="64">
        <f>DTR!P58+'Dai Loc'!P58+'Dong Lam'!P58+'Khanh Nga'!P58+TDP!P58+DTRVL!P58</f>
        <v>0</v>
      </c>
      <c r="Q58" s="64">
        <f>DTR!Q58+'Dai Loc'!Q58+'Dong Lam'!Q58+'Khanh Nga'!Q58+TDP!Q58+DTRVL!Q58</f>
        <v>0</v>
      </c>
      <c r="R58" s="64">
        <f>DTR!R58+'Dai Loc'!R58+'Dong Lam'!R58+'Khanh Nga'!R58+TDP!R58+DTRVL!R58</f>
        <v>0</v>
      </c>
      <c r="S58" s="64">
        <f>DTR!S58+'Dai Loc'!S58+'Dong Lam'!S58+'Khanh Nga'!S58+TDP!S58+DTRVL!S58</f>
        <v>0</v>
      </c>
      <c r="T58" s="64">
        <f>DTR!T58+'Dai Loc'!T58+'Dong Lam'!T58+'Khanh Nga'!T58+TDP!T58+DTRVL!T58</f>
        <v>0</v>
      </c>
      <c r="U58" s="64">
        <f>DTR!U58+'Dai Loc'!U58+'Dong Lam'!U58+'Khanh Nga'!U58+TDP!U58+DTRVL!U58</f>
        <v>0</v>
      </c>
      <c r="V58" s="64">
        <f>DTR!V58+'Dai Loc'!V58+'Dong Lam'!V58+'Khanh Nga'!V58+TDP!V58+DTRVL!V58</f>
        <v>0</v>
      </c>
      <c r="W58" s="64">
        <f>DTR!W58+'Dai Loc'!W58+'Dong Lam'!W58+'Khanh Nga'!W58+TDP!W58+DTRVL!W58</f>
        <v>0</v>
      </c>
      <c r="X58" s="64">
        <f>DTR!X58+'Dai Loc'!X58+'Dong Lam'!X58+'Khanh Nga'!X58+TDP!X58+DTRVL!X58</f>
        <v>0</v>
      </c>
      <c r="Y58" s="64">
        <f>DTR!Y58+'Dai Loc'!Y58+'Dong Lam'!Y58+'Khanh Nga'!Y58+TDP!Y58+DTRVL!Y58</f>
        <v>0</v>
      </c>
      <c r="Z58" s="64">
        <f>DTR!Z58+'Dai Loc'!Z58+'Dong Lam'!Z58+'Khanh Nga'!Z58+TDP!Z58+DTRVL!Z58</f>
        <v>0</v>
      </c>
    </row>
    <row r="59" spans="1:26" ht="15" hidden="1" customHeight="1" outlineLevel="1">
      <c r="A59" s="73" t="s">
        <v>143</v>
      </c>
      <c r="B59" s="63">
        <v>54</v>
      </c>
      <c r="C59" s="64">
        <f>DTR!C59+'Dai Loc'!C59+'Dong Lam'!C59+'Khanh Nga'!C59+TDP!C59+DTRVL!C59</f>
        <v>0</v>
      </c>
      <c r="D59" s="64">
        <f>DTR!D59+'Dai Loc'!D59+'Dong Lam'!D59+'Khanh Nga'!D59+TDP!D59+DTRVL!D59</f>
        <v>0</v>
      </c>
      <c r="E59" s="64">
        <f>DTR!E59+'Dai Loc'!E59+'Dong Lam'!E59+'Khanh Nga'!E59+TDP!E59+DTRVL!E59</f>
        <v>0</v>
      </c>
      <c r="F59" s="64">
        <f>DTR!F59+'Dai Loc'!F59+'Dong Lam'!F59+'Khanh Nga'!F59+TDP!F59+DTRVL!F59</f>
        <v>0</v>
      </c>
      <c r="G59" s="64">
        <f>DTR!G59+'Dai Loc'!G59+'Dong Lam'!G59+'Khanh Nga'!G59+TDP!G59+DTRVL!G59</f>
        <v>0</v>
      </c>
      <c r="H59" s="64">
        <f>DTR!H59+'Dai Loc'!H59+'Dong Lam'!H59+'Khanh Nga'!H59+TDP!H59+DTRVL!H59</f>
        <v>0</v>
      </c>
      <c r="I59" s="64">
        <f>DTR!I59+'Dai Loc'!I59+'Dong Lam'!I59+'Khanh Nga'!I59+TDP!I59+DTRVL!I59</f>
        <v>0</v>
      </c>
      <c r="J59" s="64">
        <f>DTR!J59+'Dai Loc'!J59+'Dong Lam'!J59+'Khanh Nga'!J59+TDP!J59+DTRVL!J59</f>
        <v>0</v>
      </c>
      <c r="K59" s="64">
        <f>DTR!K59+'Dai Loc'!K59+'Dong Lam'!K59+'Khanh Nga'!K59+TDP!K59+DTRVL!K59</f>
        <v>0</v>
      </c>
      <c r="L59" s="64">
        <f>DTR!L59+'Dai Loc'!L59+'Dong Lam'!L59+'Khanh Nga'!L59+TDP!L59+DTRVL!L59</f>
        <v>0</v>
      </c>
      <c r="M59" s="64">
        <f>DTR!M59+'Dai Loc'!M59+'Dong Lam'!M59+'Khanh Nga'!M59+TDP!M59+DTRVL!M59</f>
        <v>0</v>
      </c>
      <c r="N59" s="64">
        <f>DTR!N59+'Dai Loc'!N59+'Dong Lam'!N59+'Khanh Nga'!N59+TDP!N59+DTRVL!N59</f>
        <v>0</v>
      </c>
      <c r="O59" s="64">
        <f>DTR!O59+'Dai Loc'!O59+'Dong Lam'!O59+'Khanh Nga'!O59+TDP!O59+DTRVL!O59</f>
        <v>0</v>
      </c>
      <c r="P59" s="64">
        <f>DTR!P59+'Dai Loc'!P59+'Dong Lam'!P59+'Khanh Nga'!P59+TDP!P59+DTRVL!P59</f>
        <v>0</v>
      </c>
      <c r="Q59" s="64">
        <f>DTR!Q59+'Dai Loc'!Q59+'Dong Lam'!Q59+'Khanh Nga'!Q59+TDP!Q59+DTRVL!Q59</f>
        <v>0</v>
      </c>
      <c r="R59" s="64">
        <f>DTR!R59+'Dai Loc'!R59+'Dong Lam'!R59+'Khanh Nga'!R59+TDP!R59+DTRVL!R59</f>
        <v>0</v>
      </c>
      <c r="S59" s="64">
        <f>DTR!S59+'Dai Loc'!S59+'Dong Lam'!S59+'Khanh Nga'!S59+TDP!S59+DTRVL!S59</f>
        <v>0</v>
      </c>
      <c r="T59" s="64">
        <f>DTR!T59+'Dai Loc'!T59+'Dong Lam'!T59+'Khanh Nga'!T59+TDP!T59+DTRVL!T59</f>
        <v>0</v>
      </c>
      <c r="U59" s="64">
        <f>DTR!U59+'Dai Loc'!U59+'Dong Lam'!U59+'Khanh Nga'!U59+TDP!U59+DTRVL!U59</f>
        <v>0</v>
      </c>
      <c r="V59" s="64">
        <f>DTR!V59+'Dai Loc'!V59+'Dong Lam'!V59+'Khanh Nga'!V59+TDP!V59+DTRVL!V59</f>
        <v>0</v>
      </c>
      <c r="W59" s="64">
        <f>DTR!W59+'Dai Loc'!W59+'Dong Lam'!W59+'Khanh Nga'!W59+TDP!W59+DTRVL!W59</f>
        <v>0</v>
      </c>
      <c r="X59" s="64">
        <f>DTR!X59+'Dai Loc'!X59+'Dong Lam'!X59+'Khanh Nga'!X59+TDP!X59+DTRVL!X59</f>
        <v>0</v>
      </c>
      <c r="Y59" s="64">
        <f>DTR!Y59+'Dai Loc'!Y59+'Dong Lam'!Y59+'Khanh Nga'!Y59+TDP!Y59+DTRVL!Y59</f>
        <v>0</v>
      </c>
      <c r="Z59" s="64">
        <f>DTR!Z59+'Dai Loc'!Z59+'Dong Lam'!Z59+'Khanh Nga'!Z59+TDP!Z59+DTRVL!Z59</f>
        <v>0</v>
      </c>
    </row>
    <row r="60" spans="1:26" ht="15" hidden="1" customHeight="1" outlineLevel="1">
      <c r="A60" s="73" t="s">
        <v>144</v>
      </c>
      <c r="B60" s="63">
        <v>55</v>
      </c>
      <c r="C60" s="64">
        <f>DTR!C60+'Dai Loc'!C60+'Dong Lam'!C60+'Khanh Nga'!C60+TDP!C60+DTRVL!C60</f>
        <v>0</v>
      </c>
      <c r="D60" s="64">
        <f>DTR!D60+'Dai Loc'!D60+'Dong Lam'!D60+'Khanh Nga'!D60+TDP!D60+DTRVL!D60</f>
        <v>0</v>
      </c>
      <c r="E60" s="64">
        <f>DTR!E60+'Dai Loc'!E60+'Dong Lam'!E60+'Khanh Nga'!E60+TDP!E60+DTRVL!E60</f>
        <v>0</v>
      </c>
      <c r="F60" s="64">
        <f>DTR!F60+'Dai Loc'!F60+'Dong Lam'!F60+'Khanh Nga'!F60+TDP!F60+DTRVL!F60</f>
        <v>0</v>
      </c>
      <c r="G60" s="64">
        <f>DTR!G60+'Dai Loc'!G60+'Dong Lam'!G60+'Khanh Nga'!G60+TDP!G60+DTRVL!G60</f>
        <v>0</v>
      </c>
      <c r="H60" s="64">
        <f>DTR!H60+'Dai Loc'!H60+'Dong Lam'!H60+'Khanh Nga'!H60+TDP!H60+DTRVL!H60</f>
        <v>0</v>
      </c>
      <c r="I60" s="64">
        <f>DTR!I60+'Dai Loc'!I60+'Dong Lam'!I60+'Khanh Nga'!I60+TDP!I60+DTRVL!I60</f>
        <v>0</v>
      </c>
      <c r="J60" s="64">
        <f>DTR!J60+'Dai Loc'!J60+'Dong Lam'!J60+'Khanh Nga'!J60+TDP!J60+DTRVL!J60</f>
        <v>0</v>
      </c>
      <c r="K60" s="64">
        <f>DTR!K60+'Dai Loc'!K60+'Dong Lam'!K60+'Khanh Nga'!K60+TDP!K60+DTRVL!K60</f>
        <v>0</v>
      </c>
      <c r="L60" s="64">
        <f>DTR!L60+'Dai Loc'!L60+'Dong Lam'!L60+'Khanh Nga'!L60+TDP!L60+DTRVL!L60</f>
        <v>0</v>
      </c>
      <c r="M60" s="64">
        <f>DTR!M60+'Dai Loc'!M60+'Dong Lam'!M60+'Khanh Nga'!M60+TDP!M60+DTRVL!M60</f>
        <v>0</v>
      </c>
      <c r="N60" s="64">
        <f>DTR!N60+'Dai Loc'!N60+'Dong Lam'!N60+'Khanh Nga'!N60+TDP!N60+DTRVL!N60</f>
        <v>0</v>
      </c>
      <c r="O60" s="64">
        <f>DTR!O60+'Dai Loc'!O60+'Dong Lam'!O60+'Khanh Nga'!O60+TDP!O60+DTRVL!O60</f>
        <v>0</v>
      </c>
      <c r="P60" s="64">
        <f>DTR!P60+'Dai Loc'!P60+'Dong Lam'!P60+'Khanh Nga'!P60+TDP!P60+DTRVL!P60</f>
        <v>0</v>
      </c>
      <c r="Q60" s="64">
        <f>DTR!Q60+'Dai Loc'!Q60+'Dong Lam'!Q60+'Khanh Nga'!Q60+TDP!Q60+DTRVL!Q60</f>
        <v>0</v>
      </c>
      <c r="R60" s="64">
        <f>DTR!R60+'Dai Loc'!R60+'Dong Lam'!R60+'Khanh Nga'!R60+TDP!R60+DTRVL!R60</f>
        <v>0</v>
      </c>
      <c r="S60" s="64">
        <f>DTR!S60+'Dai Loc'!S60+'Dong Lam'!S60+'Khanh Nga'!S60+TDP!S60+DTRVL!S60</f>
        <v>0</v>
      </c>
      <c r="T60" s="64">
        <f>DTR!T60+'Dai Loc'!T60+'Dong Lam'!T60+'Khanh Nga'!T60+TDP!T60+DTRVL!T60</f>
        <v>0</v>
      </c>
      <c r="U60" s="64">
        <f>DTR!U60+'Dai Loc'!U60+'Dong Lam'!U60+'Khanh Nga'!U60+TDP!U60+DTRVL!U60</f>
        <v>0</v>
      </c>
      <c r="V60" s="64">
        <f>DTR!V60+'Dai Loc'!V60+'Dong Lam'!V60+'Khanh Nga'!V60+TDP!V60+DTRVL!V60</f>
        <v>0</v>
      </c>
      <c r="W60" s="64">
        <f>DTR!W60+'Dai Loc'!W60+'Dong Lam'!W60+'Khanh Nga'!W60+TDP!W60+DTRVL!W60</f>
        <v>0</v>
      </c>
      <c r="X60" s="64">
        <f>DTR!X60+'Dai Loc'!X60+'Dong Lam'!X60+'Khanh Nga'!X60+TDP!X60+DTRVL!X60</f>
        <v>0</v>
      </c>
      <c r="Y60" s="64">
        <f>DTR!Y60+'Dai Loc'!Y60+'Dong Lam'!Y60+'Khanh Nga'!Y60+TDP!Y60+DTRVL!Y60</f>
        <v>0</v>
      </c>
      <c r="Z60" s="64">
        <f>DTR!Z60+'Dai Loc'!Z60+'Dong Lam'!Z60+'Khanh Nga'!Z60+TDP!Z60+DTRVL!Z60</f>
        <v>0</v>
      </c>
    </row>
    <row r="61" spans="1:26" ht="15" hidden="1" customHeight="1" outlineLevel="1">
      <c r="A61" s="73" t="s">
        <v>145</v>
      </c>
      <c r="B61" s="63">
        <v>56</v>
      </c>
      <c r="C61" s="64">
        <f>DTR!C61+'Dai Loc'!C61+'Dong Lam'!C61+'Khanh Nga'!C61+TDP!C61+DTRVL!C61</f>
        <v>0</v>
      </c>
      <c r="D61" s="64">
        <f>DTR!D61+'Dai Loc'!D61+'Dong Lam'!D61+'Khanh Nga'!D61+TDP!D61+DTRVL!D61</f>
        <v>0</v>
      </c>
      <c r="E61" s="64">
        <f>DTR!E61+'Dai Loc'!E61+'Dong Lam'!E61+'Khanh Nga'!E61+TDP!E61+DTRVL!E61</f>
        <v>0</v>
      </c>
      <c r="F61" s="64">
        <f>DTR!F61+'Dai Loc'!F61+'Dong Lam'!F61+'Khanh Nga'!F61+TDP!F61+DTRVL!F61</f>
        <v>0</v>
      </c>
      <c r="G61" s="64">
        <f>DTR!G61+'Dai Loc'!G61+'Dong Lam'!G61+'Khanh Nga'!G61+TDP!G61+DTRVL!G61</f>
        <v>0</v>
      </c>
      <c r="H61" s="64">
        <f>DTR!H61+'Dai Loc'!H61+'Dong Lam'!H61+'Khanh Nga'!H61+TDP!H61+DTRVL!H61</f>
        <v>0</v>
      </c>
      <c r="I61" s="64">
        <f>DTR!I61+'Dai Loc'!I61+'Dong Lam'!I61+'Khanh Nga'!I61+TDP!I61+DTRVL!I61</f>
        <v>0</v>
      </c>
      <c r="J61" s="64">
        <f>DTR!J61+'Dai Loc'!J61+'Dong Lam'!J61+'Khanh Nga'!J61+TDP!J61+DTRVL!J61</f>
        <v>0</v>
      </c>
      <c r="K61" s="64">
        <f>DTR!K61+'Dai Loc'!K61+'Dong Lam'!K61+'Khanh Nga'!K61+TDP!K61+DTRVL!K61</f>
        <v>0</v>
      </c>
      <c r="L61" s="64">
        <f>DTR!L61+'Dai Loc'!L61+'Dong Lam'!L61+'Khanh Nga'!L61+TDP!L61+DTRVL!L61</f>
        <v>0</v>
      </c>
      <c r="M61" s="64">
        <f>DTR!M61+'Dai Loc'!M61+'Dong Lam'!M61+'Khanh Nga'!M61+TDP!M61+DTRVL!M61</f>
        <v>0</v>
      </c>
      <c r="N61" s="64">
        <f>DTR!N61+'Dai Loc'!N61+'Dong Lam'!N61+'Khanh Nga'!N61+TDP!N61+DTRVL!N61</f>
        <v>0</v>
      </c>
      <c r="O61" s="64">
        <f>DTR!O61+'Dai Loc'!O61+'Dong Lam'!O61+'Khanh Nga'!O61+TDP!O61+DTRVL!O61</f>
        <v>0</v>
      </c>
      <c r="P61" s="64">
        <f>DTR!P61+'Dai Loc'!P61+'Dong Lam'!P61+'Khanh Nga'!P61+TDP!P61+DTRVL!P61</f>
        <v>0</v>
      </c>
      <c r="Q61" s="64">
        <f>DTR!Q61+'Dai Loc'!Q61+'Dong Lam'!Q61+'Khanh Nga'!Q61+TDP!Q61+DTRVL!Q61</f>
        <v>0</v>
      </c>
      <c r="R61" s="64">
        <f>DTR!R61+'Dai Loc'!R61+'Dong Lam'!R61+'Khanh Nga'!R61+TDP!R61+DTRVL!R61</f>
        <v>0</v>
      </c>
      <c r="S61" s="64">
        <f>DTR!S61+'Dai Loc'!S61+'Dong Lam'!S61+'Khanh Nga'!S61+TDP!S61+DTRVL!S61</f>
        <v>0</v>
      </c>
      <c r="T61" s="64">
        <f>DTR!T61+'Dai Loc'!T61+'Dong Lam'!T61+'Khanh Nga'!T61+TDP!T61+DTRVL!T61</f>
        <v>0</v>
      </c>
      <c r="U61" s="64">
        <f>DTR!U61+'Dai Loc'!U61+'Dong Lam'!U61+'Khanh Nga'!U61+TDP!U61+DTRVL!U61</f>
        <v>0</v>
      </c>
      <c r="V61" s="64">
        <f>DTR!V61+'Dai Loc'!V61+'Dong Lam'!V61+'Khanh Nga'!V61+TDP!V61+DTRVL!V61</f>
        <v>0</v>
      </c>
      <c r="W61" s="64">
        <f>DTR!W61+'Dai Loc'!W61+'Dong Lam'!W61+'Khanh Nga'!W61+TDP!W61+DTRVL!W61</f>
        <v>0</v>
      </c>
      <c r="X61" s="64">
        <f>DTR!X61+'Dai Loc'!X61+'Dong Lam'!X61+'Khanh Nga'!X61+TDP!X61+DTRVL!X61</f>
        <v>0</v>
      </c>
      <c r="Y61" s="64">
        <f>DTR!Y61+'Dai Loc'!Y61+'Dong Lam'!Y61+'Khanh Nga'!Y61+TDP!Y61+DTRVL!Y61</f>
        <v>0</v>
      </c>
      <c r="Z61" s="64">
        <f>DTR!Z61+'Dai Loc'!Z61+'Dong Lam'!Z61+'Khanh Nga'!Z61+TDP!Z61+DTRVL!Z61</f>
        <v>0</v>
      </c>
    </row>
    <row r="62" spans="1:26" ht="15" hidden="1" customHeight="1" outlineLevel="1">
      <c r="A62" s="73" t="s">
        <v>146</v>
      </c>
      <c r="B62" s="63">
        <v>57</v>
      </c>
      <c r="C62" s="64">
        <f>DTR!C62+'Dai Loc'!C62+'Dong Lam'!C62+'Khanh Nga'!C62+TDP!C62+DTRVL!C62</f>
        <v>0</v>
      </c>
      <c r="D62" s="64">
        <f>DTR!D62+'Dai Loc'!D62+'Dong Lam'!D62+'Khanh Nga'!D62+TDP!D62+DTRVL!D62</f>
        <v>0</v>
      </c>
      <c r="E62" s="64">
        <f>DTR!E62+'Dai Loc'!E62+'Dong Lam'!E62+'Khanh Nga'!E62+TDP!E62+DTRVL!E62</f>
        <v>0</v>
      </c>
      <c r="F62" s="64">
        <f>DTR!F62+'Dai Loc'!F62+'Dong Lam'!F62+'Khanh Nga'!F62+TDP!F62+DTRVL!F62</f>
        <v>0</v>
      </c>
      <c r="G62" s="64">
        <f>DTR!G62+'Dai Loc'!G62+'Dong Lam'!G62+'Khanh Nga'!G62+TDP!G62+DTRVL!G62</f>
        <v>0</v>
      </c>
      <c r="H62" s="64">
        <f>DTR!H62+'Dai Loc'!H62+'Dong Lam'!H62+'Khanh Nga'!H62+TDP!H62+DTRVL!H62</f>
        <v>0</v>
      </c>
      <c r="I62" s="64">
        <f>DTR!I62+'Dai Loc'!I62+'Dong Lam'!I62+'Khanh Nga'!I62+TDP!I62+DTRVL!I62</f>
        <v>0</v>
      </c>
      <c r="J62" s="64">
        <f>DTR!J62+'Dai Loc'!J62+'Dong Lam'!J62+'Khanh Nga'!J62+TDP!J62+DTRVL!J62</f>
        <v>0</v>
      </c>
      <c r="K62" s="64">
        <f>DTR!K62+'Dai Loc'!K62+'Dong Lam'!K62+'Khanh Nga'!K62+TDP!K62+DTRVL!K62</f>
        <v>0</v>
      </c>
      <c r="L62" s="64">
        <f>DTR!L62+'Dai Loc'!L62+'Dong Lam'!L62+'Khanh Nga'!L62+TDP!L62+DTRVL!L62</f>
        <v>0</v>
      </c>
      <c r="M62" s="64">
        <f>DTR!M62+'Dai Loc'!M62+'Dong Lam'!M62+'Khanh Nga'!M62+TDP!M62+DTRVL!M62</f>
        <v>0</v>
      </c>
      <c r="N62" s="64">
        <f>DTR!N62+'Dai Loc'!N62+'Dong Lam'!N62+'Khanh Nga'!N62+TDP!N62+DTRVL!N62</f>
        <v>0</v>
      </c>
      <c r="O62" s="64">
        <f>DTR!O62+'Dai Loc'!O62+'Dong Lam'!O62+'Khanh Nga'!O62+TDP!O62+DTRVL!O62</f>
        <v>0</v>
      </c>
      <c r="P62" s="64">
        <f>DTR!P62+'Dai Loc'!P62+'Dong Lam'!P62+'Khanh Nga'!P62+TDP!P62+DTRVL!P62</f>
        <v>0</v>
      </c>
      <c r="Q62" s="64">
        <f>DTR!Q62+'Dai Loc'!Q62+'Dong Lam'!Q62+'Khanh Nga'!Q62+TDP!Q62+DTRVL!Q62</f>
        <v>0</v>
      </c>
      <c r="R62" s="64">
        <f>DTR!R62+'Dai Loc'!R62+'Dong Lam'!R62+'Khanh Nga'!R62+TDP!R62+DTRVL!R62</f>
        <v>0</v>
      </c>
      <c r="S62" s="64">
        <f>DTR!S62+'Dai Loc'!S62+'Dong Lam'!S62+'Khanh Nga'!S62+TDP!S62+DTRVL!S62</f>
        <v>0</v>
      </c>
      <c r="T62" s="64">
        <f>DTR!T62+'Dai Loc'!T62+'Dong Lam'!T62+'Khanh Nga'!T62+TDP!T62+DTRVL!T62</f>
        <v>0</v>
      </c>
      <c r="U62" s="64">
        <f>DTR!U62+'Dai Loc'!U62+'Dong Lam'!U62+'Khanh Nga'!U62+TDP!U62+DTRVL!U62</f>
        <v>0</v>
      </c>
      <c r="V62" s="64">
        <f>DTR!V62+'Dai Loc'!V62+'Dong Lam'!V62+'Khanh Nga'!V62+TDP!V62+DTRVL!V62</f>
        <v>0</v>
      </c>
      <c r="W62" s="64">
        <f>DTR!W62+'Dai Loc'!W62+'Dong Lam'!W62+'Khanh Nga'!W62+TDP!W62+DTRVL!W62</f>
        <v>0</v>
      </c>
      <c r="X62" s="64">
        <f>DTR!X62+'Dai Loc'!X62+'Dong Lam'!X62+'Khanh Nga'!X62+TDP!X62+DTRVL!X62</f>
        <v>0</v>
      </c>
      <c r="Y62" s="64">
        <f>DTR!Y62+'Dai Loc'!Y62+'Dong Lam'!Y62+'Khanh Nga'!Y62+TDP!Y62+DTRVL!Y62</f>
        <v>0</v>
      </c>
      <c r="Z62" s="64">
        <f>DTR!Z62+'Dai Loc'!Z62+'Dong Lam'!Z62+'Khanh Nga'!Z62+TDP!Z62+DTRVL!Z62</f>
        <v>0</v>
      </c>
    </row>
    <row r="63" spans="1:26" ht="15" hidden="1" customHeight="1" outlineLevel="1">
      <c r="A63" s="73" t="s">
        <v>147</v>
      </c>
      <c r="B63" s="63">
        <v>58</v>
      </c>
      <c r="C63" s="64">
        <f>DTR!C63+'Dai Loc'!C63+'Dong Lam'!C63+'Khanh Nga'!C63+TDP!C63+DTRVL!C63</f>
        <v>0</v>
      </c>
      <c r="D63" s="64">
        <f>DTR!D63+'Dai Loc'!D63+'Dong Lam'!D63+'Khanh Nga'!D63+TDP!D63+DTRVL!D63</f>
        <v>0</v>
      </c>
      <c r="E63" s="64">
        <f>DTR!E63+'Dai Loc'!E63+'Dong Lam'!E63+'Khanh Nga'!E63+TDP!E63+DTRVL!E63</f>
        <v>0</v>
      </c>
      <c r="F63" s="64">
        <f>DTR!F63+'Dai Loc'!F63+'Dong Lam'!F63+'Khanh Nga'!F63+TDP!F63+DTRVL!F63</f>
        <v>0</v>
      </c>
      <c r="G63" s="64">
        <f>DTR!G63+'Dai Loc'!G63+'Dong Lam'!G63+'Khanh Nga'!G63+TDP!G63+DTRVL!G63</f>
        <v>0</v>
      </c>
      <c r="H63" s="64">
        <f>DTR!H63+'Dai Loc'!H63+'Dong Lam'!H63+'Khanh Nga'!H63+TDP!H63+DTRVL!H63</f>
        <v>0</v>
      </c>
      <c r="I63" s="64">
        <f>DTR!I63+'Dai Loc'!I63+'Dong Lam'!I63+'Khanh Nga'!I63+TDP!I63+DTRVL!I63</f>
        <v>0</v>
      </c>
      <c r="J63" s="64">
        <f>DTR!J63+'Dai Loc'!J63+'Dong Lam'!J63+'Khanh Nga'!J63+TDP!J63+DTRVL!J63</f>
        <v>0</v>
      </c>
      <c r="K63" s="64">
        <f>DTR!K63+'Dai Loc'!K63+'Dong Lam'!K63+'Khanh Nga'!K63+TDP!K63+DTRVL!K63</f>
        <v>0</v>
      </c>
      <c r="L63" s="64">
        <f>DTR!L63+'Dai Loc'!L63+'Dong Lam'!L63+'Khanh Nga'!L63+TDP!L63+DTRVL!L63</f>
        <v>0</v>
      </c>
      <c r="M63" s="64">
        <f>DTR!M63+'Dai Loc'!M63+'Dong Lam'!M63+'Khanh Nga'!M63+TDP!M63+DTRVL!M63</f>
        <v>0</v>
      </c>
      <c r="N63" s="64">
        <f>DTR!N63+'Dai Loc'!N63+'Dong Lam'!N63+'Khanh Nga'!N63+TDP!N63+DTRVL!N63</f>
        <v>0</v>
      </c>
      <c r="O63" s="64">
        <f>DTR!O63+'Dai Loc'!O63+'Dong Lam'!O63+'Khanh Nga'!O63+TDP!O63+DTRVL!O63</f>
        <v>0</v>
      </c>
      <c r="P63" s="64">
        <f>DTR!P63+'Dai Loc'!P63+'Dong Lam'!P63+'Khanh Nga'!P63+TDP!P63+DTRVL!P63</f>
        <v>0</v>
      </c>
      <c r="Q63" s="64">
        <f>DTR!Q63+'Dai Loc'!Q63+'Dong Lam'!Q63+'Khanh Nga'!Q63+TDP!Q63+DTRVL!Q63</f>
        <v>0</v>
      </c>
      <c r="R63" s="64">
        <f>DTR!R63+'Dai Loc'!R63+'Dong Lam'!R63+'Khanh Nga'!R63+TDP!R63+DTRVL!R63</f>
        <v>0</v>
      </c>
      <c r="S63" s="64">
        <f>DTR!S63+'Dai Loc'!S63+'Dong Lam'!S63+'Khanh Nga'!S63+TDP!S63+DTRVL!S63</f>
        <v>0</v>
      </c>
      <c r="T63" s="64">
        <f>DTR!T63+'Dai Loc'!T63+'Dong Lam'!T63+'Khanh Nga'!T63+TDP!T63+DTRVL!T63</f>
        <v>0</v>
      </c>
      <c r="U63" s="64">
        <f>DTR!U63+'Dai Loc'!U63+'Dong Lam'!U63+'Khanh Nga'!U63+TDP!U63+DTRVL!U63</f>
        <v>0</v>
      </c>
      <c r="V63" s="64">
        <f>DTR!V63+'Dai Loc'!V63+'Dong Lam'!V63+'Khanh Nga'!V63+TDP!V63+DTRVL!V63</f>
        <v>0</v>
      </c>
      <c r="W63" s="64">
        <f>DTR!W63+'Dai Loc'!W63+'Dong Lam'!W63+'Khanh Nga'!W63+TDP!W63+DTRVL!W63</f>
        <v>0</v>
      </c>
      <c r="X63" s="64">
        <f>DTR!X63+'Dai Loc'!X63+'Dong Lam'!X63+'Khanh Nga'!X63+TDP!X63+DTRVL!X63</f>
        <v>0</v>
      </c>
      <c r="Y63" s="64">
        <f>DTR!Y63+'Dai Loc'!Y63+'Dong Lam'!Y63+'Khanh Nga'!Y63+TDP!Y63+DTRVL!Y63</f>
        <v>0</v>
      </c>
      <c r="Z63" s="64">
        <f>DTR!Z63+'Dai Loc'!Z63+'Dong Lam'!Z63+'Khanh Nga'!Z63+TDP!Z63+DTRVL!Z63</f>
        <v>0</v>
      </c>
    </row>
    <row r="64" spans="1:26" ht="15" hidden="1" customHeight="1" outlineLevel="1">
      <c r="A64" s="73" t="s">
        <v>148</v>
      </c>
      <c r="B64" s="63">
        <v>59</v>
      </c>
      <c r="C64" s="64">
        <f>DTR!C64+'Dai Loc'!C64+'Dong Lam'!C64+'Khanh Nga'!C64+TDP!C64+DTRVL!C64</f>
        <v>0</v>
      </c>
      <c r="D64" s="64">
        <f>DTR!D64+'Dai Loc'!D64+'Dong Lam'!D64+'Khanh Nga'!D64+TDP!D64+DTRVL!D64</f>
        <v>0</v>
      </c>
      <c r="E64" s="64">
        <f>DTR!E64+'Dai Loc'!E64+'Dong Lam'!E64+'Khanh Nga'!E64+TDP!E64+DTRVL!E64</f>
        <v>0</v>
      </c>
      <c r="F64" s="64">
        <f>DTR!F64+'Dai Loc'!F64+'Dong Lam'!F64+'Khanh Nga'!F64+TDP!F64+DTRVL!F64</f>
        <v>0</v>
      </c>
      <c r="G64" s="64">
        <f>DTR!G64+'Dai Loc'!G64+'Dong Lam'!G64+'Khanh Nga'!G64+TDP!G64+DTRVL!G64</f>
        <v>0</v>
      </c>
      <c r="H64" s="64">
        <f>DTR!H64+'Dai Loc'!H64+'Dong Lam'!H64+'Khanh Nga'!H64+TDP!H64+DTRVL!H64</f>
        <v>0</v>
      </c>
      <c r="I64" s="64">
        <f>DTR!I64+'Dai Loc'!I64+'Dong Lam'!I64+'Khanh Nga'!I64+TDP!I64+DTRVL!I64</f>
        <v>0</v>
      </c>
      <c r="J64" s="64">
        <f>DTR!J64+'Dai Loc'!J64+'Dong Lam'!J64+'Khanh Nga'!J64+TDP!J64+DTRVL!J64</f>
        <v>0</v>
      </c>
      <c r="K64" s="64">
        <f>DTR!K64+'Dai Loc'!K64+'Dong Lam'!K64+'Khanh Nga'!K64+TDP!K64+DTRVL!K64</f>
        <v>0</v>
      </c>
      <c r="L64" s="64">
        <f>DTR!L64+'Dai Loc'!L64+'Dong Lam'!L64+'Khanh Nga'!L64+TDP!L64+DTRVL!L64</f>
        <v>0</v>
      </c>
      <c r="M64" s="64">
        <f>DTR!M64+'Dai Loc'!M64+'Dong Lam'!M64+'Khanh Nga'!M64+TDP!M64+DTRVL!M64</f>
        <v>0</v>
      </c>
      <c r="N64" s="64">
        <f>DTR!N64+'Dai Loc'!N64+'Dong Lam'!N64+'Khanh Nga'!N64+TDP!N64+DTRVL!N64</f>
        <v>0</v>
      </c>
      <c r="O64" s="64">
        <f>DTR!O64+'Dai Loc'!O64+'Dong Lam'!O64+'Khanh Nga'!O64+TDP!O64+DTRVL!O64</f>
        <v>0</v>
      </c>
      <c r="P64" s="64">
        <f>DTR!P64+'Dai Loc'!P64+'Dong Lam'!P64+'Khanh Nga'!P64+TDP!P64+DTRVL!P64</f>
        <v>0</v>
      </c>
      <c r="Q64" s="64">
        <f>DTR!Q64+'Dai Loc'!Q64+'Dong Lam'!Q64+'Khanh Nga'!Q64+TDP!Q64+DTRVL!Q64</f>
        <v>0</v>
      </c>
      <c r="R64" s="64">
        <f>DTR!R64+'Dai Loc'!R64+'Dong Lam'!R64+'Khanh Nga'!R64+TDP!R64+DTRVL!R64</f>
        <v>0</v>
      </c>
      <c r="S64" s="64">
        <f>DTR!S64+'Dai Loc'!S64+'Dong Lam'!S64+'Khanh Nga'!S64+TDP!S64+DTRVL!S64</f>
        <v>0</v>
      </c>
      <c r="T64" s="64">
        <f>DTR!T64+'Dai Loc'!T64+'Dong Lam'!T64+'Khanh Nga'!T64+TDP!T64+DTRVL!T64</f>
        <v>0</v>
      </c>
      <c r="U64" s="64">
        <f>DTR!U64+'Dai Loc'!U64+'Dong Lam'!U64+'Khanh Nga'!U64+TDP!U64+DTRVL!U64</f>
        <v>0</v>
      </c>
      <c r="V64" s="64">
        <f>DTR!V64+'Dai Loc'!V64+'Dong Lam'!V64+'Khanh Nga'!V64+TDP!V64+DTRVL!V64</f>
        <v>0</v>
      </c>
      <c r="W64" s="64">
        <f>DTR!W64+'Dai Loc'!W64+'Dong Lam'!W64+'Khanh Nga'!W64+TDP!W64+DTRVL!W64</f>
        <v>0</v>
      </c>
      <c r="X64" s="64">
        <f>DTR!X64+'Dai Loc'!X64+'Dong Lam'!X64+'Khanh Nga'!X64+TDP!X64+DTRVL!X64</f>
        <v>0</v>
      </c>
      <c r="Y64" s="64">
        <f>DTR!Y64+'Dai Loc'!Y64+'Dong Lam'!Y64+'Khanh Nga'!Y64+TDP!Y64+DTRVL!Y64</f>
        <v>0</v>
      </c>
      <c r="Z64" s="64">
        <f>DTR!Z64+'Dai Loc'!Z64+'Dong Lam'!Z64+'Khanh Nga'!Z64+TDP!Z64+DTRVL!Z64</f>
        <v>0</v>
      </c>
    </row>
    <row r="65" spans="1:28" ht="15" hidden="1" customHeight="1" outlineLevel="1">
      <c r="A65" s="72" t="s">
        <v>149</v>
      </c>
      <c r="B65" s="65">
        <v>60</v>
      </c>
      <c r="C65" s="64">
        <f>DTR!C65+'Dai Loc'!C65+'Dong Lam'!C65+'Khanh Nga'!C65+TDP!C65+DTRVL!C65</f>
        <v>0</v>
      </c>
      <c r="D65" s="64">
        <f>DTR!D65+'Dai Loc'!D65+'Dong Lam'!D65+'Khanh Nga'!D65+TDP!D65+DTRVL!D65</f>
        <v>0</v>
      </c>
      <c r="E65" s="64">
        <f>DTR!E65+'Dai Loc'!E65+'Dong Lam'!E65+'Khanh Nga'!E65+TDP!E65+DTRVL!E65</f>
        <v>0</v>
      </c>
      <c r="F65" s="64">
        <f>DTR!F65+'Dai Loc'!F65+'Dong Lam'!F65+'Khanh Nga'!F65+TDP!F65+DTRVL!F65</f>
        <v>0</v>
      </c>
      <c r="G65" s="64">
        <f>DTR!G65+'Dai Loc'!G65+'Dong Lam'!G65+'Khanh Nga'!G65+TDP!G65+DTRVL!G65</f>
        <v>0</v>
      </c>
      <c r="H65" s="64">
        <f>DTR!H65+'Dai Loc'!H65+'Dong Lam'!H65+'Khanh Nga'!H65+TDP!H65+DTRVL!H65</f>
        <v>0</v>
      </c>
      <c r="I65" s="64">
        <f>DTR!I65+'Dai Loc'!I65+'Dong Lam'!I65+'Khanh Nga'!I65+TDP!I65+DTRVL!I65</f>
        <v>0</v>
      </c>
      <c r="J65" s="64">
        <f>DTR!J65+'Dai Loc'!J65+'Dong Lam'!J65+'Khanh Nga'!J65+TDP!J65+DTRVL!J65</f>
        <v>0</v>
      </c>
      <c r="K65" s="64">
        <f>DTR!K65+'Dai Loc'!K65+'Dong Lam'!K65+'Khanh Nga'!K65+TDP!K65+DTRVL!K65</f>
        <v>0</v>
      </c>
      <c r="L65" s="64">
        <f>DTR!L65+'Dai Loc'!L65+'Dong Lam'!L65+'Khanh Nga'!L65+TDP!L65+DTRVL!L65</f>
        <v>0</v>
      </c>
      <c r="M65" s="64">
        <f>DTR!M65+'Dai Loc'!M65+'Dong Lam'!M65+'Khanh Nga'!M65+TDP!M65+DTRVL!M65</f>
        <v>0</v>
      </c>
      <c r="N65" s="64">
        <f>DTR!N65+'Dai Loc'!N65+'Dong Lam'!N65+'Khanh Nga'!N65+TDP!N65+DTRVL!N65</f>
        <v>0</v>
      </c>
      <c r="O65" s="64">
        <f>DTR!O65+'Dai Loc'!O65+'Dong Lam'!O65+'Khanh Nga'!O65+TDP!O65+DTRVL!O65</f>
        <v>0</v>
      </c>
      <c r="P65" s="64">
        <f>DTR!P65+'Dai Loc'!P65+'Dong Lam'!P65+'Khanh Nga'!P65+TDP!P65+DTRVL!P65</f>
        <v>0</v>
      </c>
      <c r="Q65" s="64">
        <f>DTR!Q65+'Dai Loc'!Q65+'Dong Lam'!Q65+'Khanh Nga'!Q65+TDP!Q65+DTRVL!Q65</f>
        <v>0</v>
      </c>
      <c r="R65" s="64">
        <f>DTR!R65+'Dai Loc'!R65+'Dong Lam'!R65+'Khanh Nga'!R65+TDP!R65+DTRVL!R65</f>
        <v>0</v>
      </c>
      <c r="S65" s="64">
        <f>DTR!S65+'Dai Loc'!S65+'Dong Lam'!S65+'Khanh Nga'!S65+TDP!S65+DTRVL!S65</f>
        <v>0</v>
      </c>
      <c r="T65" s="64">
        <f>DTR!T65+'Dai Loc'!T65+'Dong Lam'!T65+'Khanh Nga'!T65+TDP!T65+DTRVL!T65</f>
        <v>0</v>
      </c>
      <c r="U65" s="64">
        <f>DTR!U65+'Dai Loc'!U65+'Dong Lam'!U65+'Khanh Nga'!U65+TDP!U65+DTRVL!U65</f>
        <v>0</v>
      </c>
      <c r="V65" s="64">
        <f>DTR!V65+'Dai Loc'!V65+'Dong Lam'!V65+'Khanh Nga'!V65+TDP!V65+DTRVL!V65</f>
        <v>0</v>
      </c>
      <c r="W65" s="64">
        <f>DTR!W65+'Dai Loc'!W65+'Dong Lam'!W65+'Khanh Nga'!W65+TDP!W65+DTRVL!W65</f>
        <v>0</v>
      </c>
      <c r="X65" s="64">
        <f>DTR!X65+'Dai Loc'!X65+'Dong Lam'!X65+'Khanh Nga'!X65+TDP!X65+DTRVL!X65</f>
        <v>0</v>
      </c>
      <c r="Y65" s="64">
        <f>DTR!Y65+'Dai Loc'!Y65+'Dong Lam'!Y65+'Khanh Nga'!Y65+TDP!Y65+DTRVL!Y65</f>
        <v>0</v>
      </c>
      <c r="Z65" s="64">
        <f>DTR!Z65+'Dai Loc'!Z65+'Dong Lam'!Z65+'Khanh Nga'!Z65+TDP!Z65+DTRVL!Z65</f>
        <v>0</v>
      </c>
    </row>
    <row r="66" spans="1:28" ht="15" hidden="1" customHeight="1" outlineLevel="1">
      <c r="A66" s="62" t="s">
        <v>150</v>
      </c>
      <c r="B66" s="63">
        <v>61</v>
      </c>
      <c r="C66" s="64">
        <f>DTR!C66+'Dai Loc'!C66+'Dong Lam'!C66+'Khanh Nga'!C66+TDP!C66+DTRVL!C66</f>
        <v>0</v>
      </c>
      <c r="D66" s="64">
        <f>DTR!D66+'Dai Loc'!D66+'Dong Lam'!D66+'Khanh Nga'!D66+TDP!D66+DTRVL!D66</f>
        <v>0</v>
      </c>
      <c r="E66" s="64">
        <f>DTR!E66+'Dai Loc'!E66+'Dong Lam'!E66+'Khanh Nga'!E66+TDP!E66+DTRVL!E66</f>
        <v>0</v>
      </c>
      <c r="F66" s="64">
        <f>DTR!F66+'Dai Loc'!F66+'Dong Lam'!F66+'Khanh Nga'!F66+TDP!F66+DTRVL!F66</f>
        <v>0</v>
      </c>
      <c r="G66" s="64">
        <f>DTR!G66+'Dai Loc'!G66+'Dong Lam'!G66+'Khanh Nga'!G66+TDP!G66+DTRVL!G66</f>
        <v>0</v>
      </c>
      <c r="H66" s="64">
        <f>DTR!H66+'Dai Loc'!H66+'Dong Lam'!H66+'Khanh Nga'!H66+TDP!H66+DTRVL!H66</f>
        <v>0</v>
      </c>
      <c r="I66" s="64">
        <f>DTR!I66+'Dai Loc'!I66+'Dong Lam'!I66+'Khanh Nga'!I66+TDP!I66+DTRVL!I66</f>
        <v>0</v>
      </c>
      <c r="J66" s="64">
        <f>DTR!J66+'Dai Loc'!J66+'Dong Lam'!J66+'Khanh Nga'!J66+TDP!J66+DTRVL!J66</f>
        <v>0</v>
      </c>
      <c r="K66" s="64">
        <f>DTR!K66+'Dai Loc'!K66+'Dong Lam'!K66+'Khanh Nga'!K66+TDP!K66+DTRVL!K66</f>
        <v>0</v>
      </c>
      <c r="L66" s="64">
        <f>DTR!L66+'Dai Loc'!L66+'Dong Lam'!L66+'Khanh Nga'!L66+TDP!L66+DTRVL!L66</f>
        <v>0</v>
      </c>
      <c r="M66" s="64">
        <f>DTR!M66+'Dai Loc'!M66+'Dong Lam'!M66+'Khanh Nga'!M66+TDP!M66+DTRVL!M66</f>
        <v>0</v>
      </c>
      <c r="N66" s="64">
        <f>DTR!N66+'Dai Loc'!N66+'Dong Lam'!N66+'Khanh Nga'!N66+TDP!N66+DTRVL!N66</f>
        <v>0</v>
      </c>
      <c r="O66" s="64">
        <f>DTR!O66+'Dai Loc'!O66+'Dong Lam'!O66+'Khanh Nga'!O66+TDP!O66+DTRVL!O66</f>
        <v>0</v>
      </c>
      <c r="P66" s="64">
        <f>DTR!P66+'Dai Loc'!P66+'Dong Lam'!P66+'Khanh Nga'!P66+TDP!P66+DTRVL!P66</f>
        <v>0</v>
      </c>
      <c r="Q66" s="64">
        <f>DTR!Q66+'Dai Loc'!Q66+'Dong Lam'!Q66+'Khanh Nga'!Q66+TDP!Q66+DTRVL!Q66</f>
        <v>0</v>
      </c>
      <c r="R66" s="64">
        <f>DTR!R66+'Dai Loc'!R66+'Dong Lam'!R66+'Khanh Nga'!R66+TDP!R66+DTRVL!R66</f>
        <v>0</v>
      </c>
      <c r="S66" s="64">
        <f>DTR!S66+'Dai Loc'!S66+'Dong Lam'!S66+'Khanh Nga'!S66+TDP!S66+DTRVL!S66</f>
        <v>0</v>
      </c>
      <c r="T66" s="64">
        <f>DTR!T66+'Dai Loc'!T66+'Dong Lam'!T66+'Khanh Nga'!T66+TDP!T66+DTRVL!T66</f>
        <v>0</v>
      </c>
      <c r="U66" s="64">
        <f>DTR!U66+'Dai Loc'!U66+'Dong Lam'!U66+'Khanh Nga'!U66+TDP!U66+DTRVL!U66</f>
        <v>0</v>
      </c>
      <c r="V66" s="64">
        <f>DTR!V66+'Dai Loc'!V66+'Dong Lam'!V66+'Khanh Nga'!V66+TDP!V66+DTRVL!V66</f>
        <v>0</v>
      </c>
      <c r="W66" s="64">
        <f>DTR!W66+'Dai Loc'!W66+'Dong Lam'!W66+'Khanh Nga'!W66+TDP!W66+DTRVL!W66</f>
        <v>0</v>
      </c>
      <c r="X66" s="64">
        <f>DTR!X66+'Dai Loc'!X66+'Dong Lam'!X66+'Khanh Nga'!X66+TDP!X66+DTRVL!X66</f>
        <v>0</v>
      </c>
      <c r="Y66" s="64">
        <f>DTR!Y66+'Dai Loc'!Y66+'Dong Lam'!Y66+'Khanh Nga'!Y66+TDP!Y66+DTRVL!Y66</f>
        <v>0</v>
      </c>
      <c r="Z66" s="64">
        <f>DTR!Z66+'Dai Loc'!Z66+'Dong Lam'!Z66+'Khanh Nga'!Z66+TDP!Z66+DTRVL!Z66</f>
        <v>0</v>
      </c>
    </row>
    <row r="67" spans="1:28" ht="15" hidden="1" customHeight="1" outlineLevel="1">
      <c r="A67" s="62" t="s">
        <v>151</v>
      </c>
      <c r="B67" s="63">
        <v>62</v>
      </c>
      <c r="C67" s="64">
        <f>DTR!C67+'Dai Loc'!C67+'Dong Lam'!C67+'Khanh Nga'!C67+TDP!C67+DTRVL!C67</f>
        <v>0</v>
      </c>
      <c r="D67" s="64">
        <f>DTR!D67+'Dai Loc'!D67+'Dong Lam'!D67+'Khanh Nga'!D67+TDP!D67+DTRVL!D67</f>
        <v>0</v>
      </c>
      <c r="E67" s="64">
        <f>DTR!E67+'Dai Loc'!E67+'Dong Lam'!E67+'Khanh Nga'!E67+TDP!E67+DTRVL!E67</f>
        <v>0</v>
      </c>
      <c r="F67" s="64">
        <f>DTR!F67+'Dai Loc'!F67+'Dong Lam'!F67+'Khanh Nga'!F67+TDP!F67+DTRVL!F67</f>
        <v>0</v>
      </c>
      <c r="G67" s="64">
        <f>DTR!G67+'Dai Loc'!G67+'Dong Lam'!G67+'Khanh Nga'!G67+TDP!G67+DTRVL!G67</f>
        <v>0</v>
      </c>
      <c r="H67" s="64">
        <f>DTR!H67+'Dai Loc'!H67+'Dong Lam'!H67+'Khanh Nga'!H67+TDP!H67+DTRVL!H67</f>
        <v>0</v>
      </c>
      <c r="I67" s="64">
        <f>DTR!I67+'Dai Loc'!I67+'Dong Lam'!I67+'Khanh Nga'!I67+TDP!I67+DTRVL!I67</f>
        <v>0</v>
      </c>
      <c r="J67" s="64">
        <f>DTR!J67+'Dai Loc'!J67+'Dong Lam'!J67+'Khanh Nga'!J67+TDP!J67+DTRVL!J67</f>
        <v>0</v>
      </c>
      <c r="K67" s="64">
        <f>DTR!K67+'Dai Loc'!K67+'Dong Lam'!K67+'Khanh Nga'!K67+TDP!K67+DTRVL!K67</f>
        <v>0</v>
      </c>
      <c r="L67" s="64">
        <f>DTR!L67+'Dai Loc'!L67+'Dong Lam'!L67+'Khanh Nga'!L67+TDP!L67+DTRVL!L67</f>
        <v>0</v>
      </c>
      <c r="M67" s="64">
        <f>DTR!M67+'Dai Loc'!M67+'Dong Lam'!M67+'Khanh Nga'!M67+TDP!M67+DTRVL!M67</f>
        <v>0</v>
      </c>
      <c r="N67" s="64">
        <f>DTR!N67+'Dai Loc'!N67+'Dong Lam'!N67+'Khanh Nga'!N67+TDP!N67+DTRVL!N67</f>
        <v>0</v>
      </c>
      <c r="O67" s="64">
        <f>DTR!O67+'Dai Loc'!O67+'Dong Lam'!O67+'Khanh Nga'!O67+TDP!O67+DTRVL!O67</f>
        <v>0</v>
      </c>
      <c r="P67" s="64">
        <f>DTR!P67+'Dai Loc'!P67+'Dong Lam'!P67+'Khanh Nga'!P67+TDP!P67+DTRVL!P67</f>
        <v>0</v>
      </c>
      <c r="Q67" s="64">
        <f>DTR!Q67+'Dai Loc'!Q67+'Dong Lam'!Q67+'Khanh Nga'!Q67+TDP!Q67+DTRVL!Q67</f>
        <v>0</v>
      </c>
      <c r="R67" s="64">
        <f>DTR!R67+'Dai Loc'!R67+'Dong Lam'!R67+'Khanh Nga'!R67+TDP!R67+DTRVL!R67</f>
        <v>0</v>
      </c>
      <c r="S67" s="64">
        <f>DTR!S67+'Dai Loc'!S67+'Dong Lam'!S67+'Khanh Nga'!S67+TDP!S67+DTRVL!S67</f>
        <v>0</v>
      </c>
      <c r="T67" s="64">
        <f>DTR!T67+'Dai Loc'!T67+'Dong Lam'!T67+'Khanh Nga'!T67+TDP!T67+DTRVL!T67</f>
        <v>0</v>
      </c>
      <c r="U67" s="64">
        <f>DTR!U67+'Dai Loc'!U67+'Dong Lam'!U67+'Khanh Nga'!U67+TDP!U67+DTRVL!U67</f>
        <v>0</v>
      </c>
      <c r="V67" s="64">
        <f>DTR!V67+'Dai Loc'!V67+'Dong Lam'!V67+'Khanh Nga'!V67+TDP!V67+DTRVL!V67</f>
        <v>0</v>
      </c>
      <c r="W67" s="64">
        <f>DTR!W67+'Dai Loc'!W67+'Dong Lam'!W67+'Khanh Nga'!W67+TDP!W67+DTRVL!W67</f>
        <v>0</v>
      </c>
      <c r="X67" s="64">
        <f>DTR!X67+'Dai Loc'!X67+'Dong Lam'!X67+'Khanh Nga'!X67+TDP!X67+DTRVL!X67</f>
        <v>0</v>
      </c>
      <c r="Y67" s="64">
        <f>DTR!Y67+'Dai Loc'!Y67+'Dong Lam'!Y67+'Khanh Nga'!Y67+TDP!Y67+DTRVL!Y67</f>
        <v>0</v>
      </c>
      <c r="Z67" s="64">
        <f>DTR!Z67+'Dai Loc'!Z67+'Dong Lam'!Z67+'Khanh Nga'!Z67+TDP!Z67+DTRVL!Z67</f>
        <v>0</v>
      </c>
    </row>
    <row r="68" spans="1:28" ht="15" hidden="1" customHeight="1" outlineLevel="1">
      <c r="A68" s="72" t="s">
        <v>152</v>
      </c>
      <c r="B68" s="65">
        <v>63</v>
      </c>
      <c r="C68" s="64">
        <f>DTR!C68+'Dai Loc'!C68+'Dong Lam'!C68+'Khanh Nga'!C68+TDP!C68+DTRVL!C68</f>
        <v>77329584118</v>
      </c>
      <c r="D68" s="64">
        <f>DTR!D68+'Dai Loc'!D68+'Dong Lam'!D68+'Khanh Nga'!D68+TDP!D68+DTRVL!D68</f>
        <v>77763600271</v>
      </c>
      <c r="E68" s="64">
        <f>DTR!E68+'Dai Loc'!E68+'Dong Lam'!E68+'Khanh Nga'!E68+TDP!E68+DTRVL!E68</f>
        <v>44952330241</v>
      </c>
      <c r="F68" s="64">
        <f>DTR!F68+'Dai Loc'!F68+'Dong Lam'!F68+'Khanh Nga'!F68+TDP!F68+DTRVL!F68</f>
        <v>41117545565</v>
      </c>
      <c r="G68" s="64">
        <f>DTR!G68+'Dai Loc'!G68+'Dong Lam'!G68+'Khanh Nga'!G68+TDP!G68+DTRVL!G68</f>
        <v>41598285505</v>
      </c>
      <c r="H68" s="64">
        <f>DTR!H68+'Dai Loc'!H68+'Dong Lam'!H68+'Khanh Nga'!H68+TDP!H68+DTRVL!H68</f>
        <v>45834019605</v>
      </c>
      <c r="I68" s="64">
        <f>DTR!I68+'Dai Loc'!I68+'Dong Lam'!I68+'Khanh Nga'!I68+TDP!I68+DTRVL!I68</f>
        <v>45620157237</v>
      </c>
      <c r="J68" s="64">
        <f>DTR!J68+'Dai Loc'!J68+'Dong Lam'!J68+'Khanh Nga'!J68+TDP!J68+DTRVL!J68</f>
        <v>43295611577</v>
      </c>
      <c r="K68" s="64">
        <f>DTR!K68+'Dai Loc'!K68+'Dong Lam'!K68+'Khanh Nga'!K68+TDP!K68+DTRVL!K68</f>
        <v>44563784234</v>
      </c>
      <c r="L68" s="64">
        <f>DTR!L68+'Dai Loc'!L68+'Dong Lam'!L68+'Khanh Nga'!L68+TDP!L68+DTRVL!L68</f>
        <v>44870745260</v>
      </c>
      <c r="M68" s="64">
        <f>DTR!M68+'Dai Loc'!M68+'Dong Lam'!M68+'Khanh Nga'!M68+TDP!M68+DTRVL!M68</f>
        <v>29903428024</v>
      </c>
      <c r="N68" s="64">
        <f>DTR!N68+'Dai Loc'!N68+'Dong Lam'!N68+'Khanh Nga'!N68+TDP!N68+DTRVL!N68</f>
        <v>38102315137</v>
      </c>
      <c r="O68" s="64">
        <f>DTR!O68+'Dai Loc'!O68+'Dong Lam'!O68+'Khanh Nga'!O68+TDP!O68+DTRVL!O68</f>
        <v>47351685312</v>
      </c>
      <c r="P68" s="64">
        <f>DTR!P68+'Dai Loc'!P68+'Dong Lam'!P68+'Khanh Nga'!P68+TDP!P68+DTRVL!P68</f>
        <v>33270243294</v>
      </c>
      <c r="Q68" s="64">
        <f>DTR!Q68+'Dai Loc'!Q68+'Dong Lam'!Q68+'Khanh Nga'!Q68+TDP!Q68+DTRVL!Q68</f>
        <v>28917153034</v>
      </c>
      <c r="R68" s="64">
        <f>DTR!R68+'Dai Loc'!R68+'Dong Lam'!R68+'Khanh Nga'!R68+TDP!R68+DTRVL!R68</f>
        <v>39983110298</v>
      </c>
      <c r="S68" s="64">
        <f>DTR!S68+'Dai Loc'!S68+'Dong Lam'!S68+'Khanh Nga'!S68+TDP!S68+DTRVL!S68</f>
        <v>48611974769</v>
      </c>
      <c r="T68" s="64">
        <f>DTR!T68+'Dai Loc'!T68+'Dong Lam'!T68+'Khanh Nga'!T68+TDP!T68+DTRVL!T68</f>
        <v>52991191597</v>
      </c>
      <c r="U68" s="64">
        <f>DTR!U68+'Dai Loc'!U68+'Dong Lam'!U68+'Khanh Nga'!U68+TDP!U68+DTRVL!U68</f>
        <v>54380932320</v>
      </c>
      <c r="V68" s="64">
        <f>DTR!V68+'Dai Loc'!V68+'Dong Lam'!V68+'Khanh Nga'!V68+TDP!V68+DTRVL!V68</f>
        <v>36472336589</v>
      </c>
      <c r="W68" s="64">
        <f>DTR!W68+'Dai Loc'!W68+'Dong Lam'!W68+'Khanh Nga'!W68+TDP!W68+DTRVL!W68</f>
        <v>46588311385</v>
      </c>
      <c r="X68" s="64">
        <f>DTR!X68+'Dai Loc'!X68+'Dong Lam'!X68+'Khanh Nga'!X68+TDP!X68+DTRVL!X68</f>
        <v>59728156173</v>
      </c>
      <c r="Y68" s="64">
        <f>DTR!Y68+'Dai Loc'!Y68+'Dong Lam'!Y68+'Khanh Nga'!Y68+TDP!Y68+DTRVL!Y68</f>
        <v>55496100548</v>
      </c>
      <c r="Z68" s="64">
        <f>DTR!Z68+'Dai Loc'!Z68+'Dong Lam'!Z68+'Khanh Nga'!Z68+TDP!Z68+DTRVL!Z68</f>
        <v>64594176344</v>
      </c>
    </row>
    <row r="69" spans="1:28" ht="15" hidden="1" customHeight="1" outlineLevel="1">
      <c r="A69" s="62" t="s">
        <v>153</v>
      </c>
      <c r="B69" s="63">
        <v>64</v>
      </c>
      <c r="C69" s="64">
        <f>DTR!C69+'Dai Loc'!C69+'Dong Lam'!C69+'Khanh Nga'!C69+TDP!C69+DTRVL!C69</f>
        <v>419846709</v>
      </c>
      <c r="D69" s="64">
        <f>DTR!D69+'Dai Loc'!D69+'Dong Lam'!D69+'Khanh Nga'!D69+TDP!D69+DTRVL!D69</f>
        <v>408674531</v>
      </c>
      <c r="E69" s="64">
        <f>DTR!E69+'Dai Loc'!E69+'Dong Lam'!E69+'Khanh Nga'!E69+TDP!E69+DTRVL!E69</f>
        <v>403047661</v>
      </c>
      <c r="F69" s="64">
        <f>DTR!F69+'Dai Loc'!F69+'Dong Lam'!F69+'Khanh Nga'!F69+TDP!F69+DTRVL!F69</f>
        <v>390879241</v>
      </c>
      <c r="G69" s="64">
        <f>DTR!G69+'Dai Loc'!G69+'Dong Lam'!G69+'Khanh Nga'!G69+TDP!G69+DTRVL!G69</f>
        <v>460263307</v>
      </c>
      <c r="H69" s="64">
        <f>DTR!H69+'Dai Loc'!H69+'Dong Lam'!H69+'Khanh Nga'!H69+TDP!H69+DTRVL!H69</f>
        <v>598268760</v>
      </c>
      <c r="I69" s="64">
        <f>DTR!I69+'Dai Loc'!I69+'Dong Lam'!I69+'Khanh Nga'!I69+TDP!I69+DTRVL!I69</f>
        <v>546898463</v>
      </c>
      <c r="J69" s="64">
        <f>DTR!J69+'Dai Loc'!J69+'Dong Lam'!J69+'Khanh Nga'!J69+TDP!J69+DTRVL!J69</f>
        <v>461756176</v>
      </c>
      <c r="K69" s="64">
        <f>DTR!K69+'Dai Loc'!K69+'Dong Lam'!K69+'Khanh Nga'!K69+TDP!K69+DTRVL!K69</f>
        <v>440940331</v>
      </c>
      <c r="L69" s="64">
        <f>DTR!L69+'Dai Loc'!L69+'Dong Lam'!L69+'Khanh Nga'!L69+TDP!L69+DTRVL!L69</f>
        <v>412338743</v>
      </c>
      <c r="M69" s="64">
        <f>DTR!M69+'Dai Loc'!M69+'Dong Lam'!M69+'Khanh Nga'!M69+TDP!M69+DTRVL!M69</f>
        <v>361348558</v>
      </c>
      <c r="N69" s="64">
        <f>DTR!N69+'Dai Loc'!N69+'Dong Lam'!N69+'Khanh Nga'!N69+TDP!N69+DTRVL!N69</f>
        <v>344917157</v>
      </c>
      <c r="O69" s="64">
        <f>DTR!O69+'Dai Loc'!O69+'Dong Lam'!O69+'Khanh Nga'!O69+TDP!O69+DTRVL!O69</f>
        <v>0</v>
      </c>
      <c r="P69" s="64">
        <f>DTR!P69+'Dai Loc'!P69+'Dong Lam'!P69+'Khanh Nga'!P69+TDP!P69+DTRVL!P69</f>
        <v>0</v>
      </c>
      <c r="Q69" s="64">
        <f>DTR!Q69+'Dai Loc'!Q69+'Dong Lam'!Q69+'Khanh Nga'!Q69+TDP!Q69+DTRVL!Q69</f>
        <v>0</v>
      </c>
      <c r="R69" s="64">
        <f>DTR!R69+'Dai Loc'!R69+'Dong Lam'!R69+'Khanh Nga'!R69+TDP!R69+DTRVL!R69</f>
        <v>0</v>
      </c>
      <c r="S69" s="64">
        <f>DTR!S69+'Dai Loc'!S69+'Dong Lam'!S69+'Khanh Nga'!S69+TDP!S69+DTRVL!S69</f>
        <v>0</v>
      </c>
      <c r="T69" s="64">
        <f>DTR!T69+'Dai Loc'!T69+'Dong Lam'!T69+'Khanh Nga'!T69+TDP!T69+DTRVL!T69</f>
        <v>0</v>
      </c>
      <c r="U69" s="64">
        <f>DTR!U69+'Dai Loc'!U69+'Dong Lam'!U69+'Khanh Nga'!U69+TDP!U69+DTRVL!U69</f>
        <v>0</v>
      </c>
      <c r="V69" s="64">
        <f>DTR!V69+'Dai Loc'!V69+'Dong Lam'!V69+'Khanh Nga'!V69+TDP!V69+DTRVL!V69</f>
        <v>0</v>
      </c>
      <c r="W69" s="64">
        <f>DTR!W69+'Dai Loc'!W69+'Dong Lam'!W69+'Khanh Nga'!W69+TDP!W69+DTRVL!W69</f>
        <v>0</v>
      </c>
      <c r="X69" s="64">
        <f>DTR!X69+'Dai Loc'!X69+'Dong Lam'!X69+'Khanh Nga'!X69+TDP!X69+DTRVL!X69</f>
        <v>0</v>
      </c>
      <c r="Y69" s="64">
        <f>DTR!Y69+'Dai Loc'!Y69+'Dong Lam'!Y69+'Khanh Nga'!Y69+TDP!Y69+DTRVL!Y69</f>
        <v>10176000</v>
      </c>
      <c r="Z69" s="64">
        <f>DTR!Z69+'Dai Loc'!Z69+'Dong Lam'!Z69+'Khanh Nga'!Z69+TDP!Z69+DTRVL!Z69</f>
        <v>10176000</v>
      </c>
    </row>
    <row r="70" spans="1:28" ht="15" hidden="1" customHeight="1" outlineLevel="1">
      <c r="A70" s="62" t="s">
        <v>154</v>
      </c>
      <c r="B70" s="63">
        <v>65</v>
      </c>
      <c r="C70" s="64">
        <f>DTR!C70+'Dai Loc'!C70+'Dong Lam'!C70+'Khanh Nga'!C70+TDP!C70+DTRVL!C70</f>
        <v>76909737409</v>
      </c>
      <c r="D70" s="64">
        <f>DTR!D70+'Dai Loc'!D70+'Dong Lam'!D70+'Khanh Nga'!D70+TDP!D70+DTRVL!D70</f>
        <v>77354925740</v>
      </c>
      <c r="E70" s="64">
        <f>DTR!E70+'Dai Loc'!E70+'Dong Lam'!E70+'Khanh Nga'!E70+TDP!E70+DTRVL!E70</f>
        <v>44549282580</v>
      </c>
      <c r="F70" s="64">
        <f>DTR!F70+'Dai Loc'!F70+'Dong Lam'!F70+'Khanh Nga'!F70+TDP!F70+DTRVL!F70</f>
        <v>40726666324</v>
      </c>
      <c r="G70" s="64">
        <f>DTR!G70+'Dai Loc'!G70+'Dong Lam'!G70+'Khanh Nga'!G70+TDP!G70+DTRVL!G70</f>
        <v>41138022198</v>
      </c>
      <c r="H70" s="64">
        <f>DTR!H70+'Dai Loc'!H70+'Dong Lam'!H70+'Khanh Nga'!H70+TDP!H70+DTRVL!H70</f>
        <v>45235750845</v>
      </c>
      <c r="I70" s="64">
        <f>DTR!I70+'Dai Loc'!I70+'Dong Lam'!I70+'Khanh Nga'!I70+TDP!I70+DTRVL!I70</f>
        <v>45073258774</v>
      </c>
      <c r="J70" s="64">
        <f>DTR!J70+'Dai Loc'!J70+'Dong Lam'!J70+'Khanh Nga'!J70+TDP!J70+DTRVL!J70</f>
        <v>42833855401</v>
      </c>
      <c r="K70" s="64">
        <f>DTR!K70+'Dai Loc'!K70+'Dong Lam'!K70+'Khanh Nga'!K70+TDP!K70+DTRVL!K70</f>
        <v>44122843903</v>
      </c>
      <c r="L70" s="64">
        <f>DTR!L70+'Dai Loc'!L70+'Dong Lam'!L70+'Khanh Nga'!L70+TDP!L70+DTRVL!L70</f>
        <v>44458406517</v>
      </c>
      <c r="M70" s="64">
        <f>DTR!M70+'Dai Loc'!M70+'Dong Lam'!M70+'Khanh Nga'!M70+TDP!M70+DTRVL!M70</f>
        <v>29542079466</v>
      </c>
      <c r="N70" s="64">
        <f>DTR!N70+'Dai Loc'!N70+'Dong Lam'!N70+'Khanh Nga'!N70+TDP!N70+DTRVL!N70</f>
        <v>37757397980</v>
      </c>
      <c r="O70" s="64">
        <f>DTR!O70+'Dai Loc'!O70+'Dong Lam'!O70+'Khanh Nga'!O70+TDP!O70+DTRVL!O70</f>
        <v>47351685312</v>
      </c>
      <c r="P70" s="64">
        <f>DTR!P70+'Dai Loc'!P70+'Dong Lam'!P70+'Khanh Nga'!P70+TDP!P70+DTRVL!P70</f>
        <v>33270243294</v>
      </c>
      <c r="Q70" s="64">
        <f>DTR!Q70+'Dai Loc'!Q70+'Dong Lam'!Q70+'Khanh Nga'!Q70+TDP!Q70+DTRVL!Q70</f>
        <v>28917153034</v>
      </c>
      <c r="R70" s="64">
        <f>DTR!R70+'Dai Loc'!R70+'Dong Lam'!R70+'Khanh Nga'!R70+TDP!R70+DTRVL!R70</f>
        <v>39983110298</v>
      </c>
      <c r="S70" s="64">
        <f>DTR!S70+'Dai Loc'!S70+'Dong Lam'!S70+'Khanh Nga'!S70+TDP!S70+DTRVL!S70</f>
        <v>48611974769</v>
      </c>
      <c r="T70" s="64">
        <f>DTR!T70+'Dai Loc'!T70+'Dong Lam'!T70+'Khanh Nga'!T70+TDP!T70+DTRVL!T70</f>
        <v>52991191597</v>
      </c>
      <c r="U70" s="64">
        <f>DTR!U70+'Dai Loc'!U70+'Dong Lam'!U70+'Khanh Nga'!U70+TDP!U70+DTRVL!U70</f>
        <v>54380932320</v>
      </c>
      <c r="V70" s="64">
        <f>DTR!V70+'Dai Loc'!V70+'Dong Lam'!V70+'Khanh Nga'!V70+TDP!V70+DTRVL!V70</f>
        <v>36472336589</v>
      </c>
      <c r="W70" s="64">
        <f>DTR!W70+'Dai Loc'!W70+'Dong Lam'!W70+'Khanh Nga'!W70+TDP!W70+DTRVL!W70</f>
        <v>46588311385</v>
      </c>
      <c r="X70" s="64">
        <f>DTR!X70+'Dai Loc'!X70+'Dong Lam'!X70+'Khanh Nga'!X70+TDP!X70+DTRVL!X70</f>
        <v>59728156173</v>
      </c>
      <c r="Y70" s="64">
        <f>DTR!Y70+'Dai Loc'!Y70+'Dong Lam'!Y70+'Khanh Nga'!Y70+TDP!Y70+DTRVL!Y70</f>
        <v>55485924548</v>
      </c>
      <c r="Z70" s="64">
        <f>DTR!Z70+'Dai Loc'!Z70+'Dong Lam'!Z70+'Khanh Nga'!Z70+TDP!Z70+DTRVL!Z70</f>
        <v>64584000344</v>
      </c>
    </row>
    <row r="71" spans="1:28" ht="15" hidden="1" customHeight="1" outlineLevel="1">
      <c r="A71" s="75" t="s">
        <v>155</v>
      </c>
      <c r="B71" s="65">
        <v>66</v>
      </c>
      <c r="C71" s="64">
        <f>DTR!C71+'Dai Loc'!C71+'Dong Lam'!C71+'Khanh Nga'!C71+TDP!C71+DTRVL!C71</f>
        <v>0</v>
      </c>
      <c r="D71" s="64">
        <f>DTR!D71+'Dai Loc'!D71+'Dong Lam'!D71+'Khanh Nga'!D71+TDP!D71+DTRVL!D71</f>
        <v>0</v>
      </c>
      <c r="E71" s="64">
        <f>DTR!E71+'Dai Loc'!E71+'Dong Lam'!E71+'Khanh Nga'!E71+TDP!E71+DTRVL!E71</f>
        <v>0</v>
      </c>
      <c r="F71" s="64">
        <f>DTR!F71+'Dai Loc'!F71+'Dong Lam'!F71+'Khanh Nga'!F71+TDP!F71+DTRVL!F71</f>
        <v>0</v>
      </c>
      <c r="G71" s="64">
        <f>DTR!G71+'Dai Loc'!G71+'Dong Lam'!G71+'Khanh Nga'!G71+TDP!G71+DTRVL!G71</f>
        <v>0</v>
      </c>
      <c r="H71" s="64">
        <f>DTR!H71+'Dai Loc'!H71+'Dong Lam'!H71+'Khanh Nga'!H71+TDP!H71+DTRVL!H71</f>
        <v>0</v>
      </c>
      <c r="I71" s="64">
        <f>DTR!I71+'Dai Loc'!I71+'Dong Lam'!I71+'Khanh Nga'!I71+TDP!I71+DTRVL!I71</f>
        <v>0</v>
      </c>
      <c r="J71" s="64">
        <f>DTR!J71+'Dai Loc'!J71+'Dong Lam'!J71+'Khanh Nga'!J71+TDP!J71+DTRVL!J71</f>
        <v>0</v>
      </c>
      <c r="K71" s="64">
        <f>DTR!K71+'Dai Loc'!K71+'Dong Lam'!K71+'Khanh Nga'!K71+TDP!K71+DTRVL!K71</f>
        <v>0</v>
      </c>
      <c r="L71" s="64">
        <f>DTR!L71+'Dai Loc'!L71+'Dong Lam'!L71+'Khanh Nga'!L71+TDP!L71+DTRVL!L71</f>
        <v>0</v>
      </c>
      <c r="M71" s="64">
        <f>DTR!M71+'Dai Loc'!M71+'Dong Lam'!M71+'Khanh Nga'!M71+TDP!M71+DTRVL!M71</f>
        <v>0</v>
      </c>
      <c r="N71" s="64">
        <f>DTR!N71+'Dai Loc'!N71+'Dong Lam'!N71+'Khanh Nga'!N71+TDP!N71+DTRVL!N71</f>
        <v>0</v>
      </c>
      <c r="O71" s="64">
        <f>DTR!O71+'Dai Loc'!O71+'Dong Lam'!O71+'Khanh Nga'!O71+TDP!O71+DTRVL!O71</f>
        <v>0</v>
      </c>
      <c r="P71" s="64">
        <f>DTR!P71+'Dai Loc'!P71+'Dong Lam'!P71+'Khanh Nga'!P71+TDP!P71+DTRVL!P71</f>
        <v>0</v>
      </c>
      <c r="Q71" s="64">
        <f>DTR!Q71+'Dai Loc'!Q71+'Dong Lam'!Q71+'Khanh Nga'!Q71+TDP!Q71+DTRVL!Q71</f>
        <v>0</v>
      </c>
      <c r="R71" s="64">
        <f>DTR!R71+'Dai Loc'!R71+'Dong Lam'!R71+'Khanh Nga'!R71+TDP!R71+DTRVL!R71</f>
        <v>0</v>
      </c>
      <c r="S71" s="64">
        <f>DTR!S71+'Dai Loc'!S71+'Dong Lam'!S71+'Khanh Nga'!S71+TDP!S71+DTRVL!S71</f>
        <v>0</v>
      </c>
      <c r="T71" s="64">
        <f>DTR!T71+'Dai Loc'!T71+'Dong Lam'!T71+'Khanh Nga'!T71+TDP!T71+DTRVL!T71</f>
        <v>0</v>
      </c>
      <c r="U71" s="64">
        <f>DTR!U71+'Dai Loc'!U71+'Dong Lam'!U71+'Khanh Nga'!U71+TDP!U71+DTRVL!U71</f>
        <v>0</v>
      </c>
      <c r="V71" s="64">
        <f>DTR!V71+'Dai Loc'!V71+'Dong Lam'!V71+'Khanh Nga'!V71+TDP!V71+DTRVL!V71</f>
        <v>0</v>
      </c>
      <c r="W71" s="64">
        <f>DTR!W71+'Dai Loc'!W71+'Dong Lam'!W71+'Khanh Nga'!W71+TDP!W71+DTRVL!W71</f>
        <v>0</v>
      </c>
      <c r="X71" s="64">
        <f>DTR!X71+'Dai Loc'!X71+'Dong Lam'!X71+'Khanh Nga'!X71+TDP!X71+DTRVL!X71</f>
        <v>0</v>
      </c>
      <c r="Y71" s="64">
        <f>DTR!Y71+'Dai Loc'!Y71+'Dong Lam'!Y71+'Khanh Nga'!Y71+TDP!Y71+DTRVL!Y71</f>
        <v>0</v>
      </c>
      <c r="Z71" s="64">
        <f>DTR!Z71+'Dai Loc'!Z71+'Dong Lam'!Z71+'Khanh Nga'!Z71+TDP!Z71+DTRVL!Z71</f>
        <v>0</v>
      </c>
    </row>
    <row r="72" spans="1:28" ht="15" hidden="1" customHeight="1" outlineLevel="1">
      <c r="A72" s="62" t="s">
        <v>156</v>
      </c>
      <c r="B72" s="63">
        <v>67</v>
      </c>
      <c r="C72" s="64">
        <f>DTR!C72+'Dai Loc'!C72+'Dong Lam'!C72+'Khanh Nga'!C72+TDP!C72+DTRVL!C72</f>
        <v>0</v>
      </c>
      <c r="D72" s="64">
        <f>DTR!D72+'Dai Loc'!D72+'Dong Lam'!D72+'Khanh Nga'!D72+TDP!D72+DTRVL!D72</f>
        <v>0</v>
      </c>
      <c r="E72" s="64">
        <f>DTR!E72+'Dai Loc'!E72+'Dong Lam'!E72+'Khanh Nga'!E72+TDP!E72+DTRVL!E72</f>
        <v>0</v>
      </c>
      <c r="F72" s="64">
        <f>DTR!F72+'Dai Loc'!F72+'Dong Lam'!F72+'Khanh Nga'!F72+TDP!F72+DTRVL!F72</f>
        <v>0</v>
      </c>
      <c r="G72" s="64">
        <f>DTR!G72+'Dai Loc'!G72+'Dong Lam'!G72+'Khanh Nga'!G72+TDP!G72+DTRVL!G72</f>
        <v>0</v>
      </c>
      <c r="H72" s="64">
        <f>DTR!H72+'Dai Loc'!H72+'Dong Lam'!H72+'Khanh Nga'!H72+TDP!H72+DTRVL!H72</f>
        <v>0</v>
      </c>
      <c r="I72" s="64">
        <f>DTR!I72+'Dai Loc'!I72+'Dong Lam'!I72+'Khanh Nga'!I72+TDP!I72+DTRVL!I72</f>
        <v>0</v>
      </c>
      <c r="J72" s="64">
        <f>DTR!J72+'Dai Loc'!J72+'Dong Lam'!J72+'Khanh Nga'!J72+TDP!J72+DTRVL!J72</f>
        <v>0</v>
      </c>
      <c r="K72" s="64">
        <f>DTR!K72+'Dai Loc'!K72+'Dong Lam'!K72+'Khanh Nga'!K72+TDP!K72+DTRVL!K72</f>
        <v>0</v>
      </c>
      <c r="L72" s="64">
        <f>DTR!L72+'Dai Loc'!L72+'Dong Lam'!L72+'Khanh Nga'!L72+TDP!L72+DTRVL!L72</f>
        <v>0</v>
      </c>
      <c r="M72" s="64">
        <f>DTR!M72+'Dai Loc'!M72+'Dong Lam'!M72+'Khanh Nga'!M72+TDP!M72+DTRVL!M72</f>
        <v>0</v>
      </c>
      <c r="N72" s="64">
        <f>DTR!N72+'Dai Loc'!N72+'Dong Lam'!N72+'Khanh Nga'!N72+TDP!N72+DTRVL!N72</f>
        <v>0</v>
      </c>
      <c r="O72" s="64">
        <f>DTR!O72+'Dai Loc'!O72+'Dong Lam'!O72+'Khanh Nga'!O72+TDP!O72+DTRVL!O72</f>
        <v>0</v>
      </c>
      <c r="P72" s="64">
        <f>DTR!P72+'Dai Loc'!P72+'Dong Lam'!P72+'Khanh Nga'!P72+TDP!P72+DTRVL!P72</f>
        <v>0</v>
      </c>
      <c r="Q72" s="64">
        <f>DTR!Q72+'Dai Loc'!Q72+'Dong Lam'!Q72+'Khanh Nga'!Q72+TDP!Q72+DTRVL!Q72</f>
        <v>0</v>
      </c>
      <c r="R72" s="64">
        <f>DTR!R72+'Dai Loc'!R72+'Dong Lam'!R72+'Khanh Nga'!R72+TDP!R72+DTRVL!R72</f>
        <v>0</v>
      </c>
      <c r="S72" s="64">
        <f>DTR!S72+'Dai Loc'!S72+'Dong Lam'!S72+'Khanh Nga'!S72+TDP!S72+DTRVL!S72</f>
        <v>0</v>
      </c>
      <c r="T72" s="64">
        <f>DTR!T72+'Dai Loc'!T72+'Dong Lam'!T72+'Khanh Nga'!T72+TDP!T72+DTRVL!T72</f>
        <v>0</v>
      </c>
      <c r="U72" s="64">
        <f>DTR!U72+'Dai Loc'!U72+'Dong Lam'!U72+'Khanh Nga'!U72+TDP!U72+DTRVL!U72</f>
        <v>0</v>
      </c>
      <c r="V72" s="64">
        <f>DTR!V72+'Dai Loc'!V72+'Dong Lam'!V72+'Khanh Nga'!V72+TDP!V72+DTRVL!V72</f>
        <v>0</v>
      </c>
      <c r="W72" s="64">
        <f>DTR!W72+'Dai Loc'!W72+'Dong Lam'!W72+'Khanh Nga'!W72+TDP!W72+DTRVL!W72</f>
        <v>0</v>
      </c>
      <c r="X72" s="64">
        <f>DTR!X72+'Dai Loc'!X72+'Dong Lam'!X72+'Khanh Nga'!X72+TDP!X72+DTRVL!X72</f>
        <v>0</v>
      </c>
      <c r="Y72" s="64">
        <f>DTR!Y72+'Dai Loc'!Y72+'Dong Lam'!Y72+'Khanh Nga'!Y72+TDP!Y72+DTRVL!Y72</f>
        <v>0</v>
      </c>
      <c r="Z72" s="64">
        <f>DTR!Z72+'Dai Loc'!Z72+'Dong Lam'!Z72+'Khanh Nga'!Z72+TDP!Z72+DTRVL!Z72</f>
        <v>0</v>
      </c>
    </row>
    <row r="73" spans="1:28" ht="15" hidden="1" customHeight="1" outlineLevel="1">
      <c r="A73" s="62" t="s">
        <v>157</v>
      </c>
      <c r="B73" s="63">
        <v>68</v>
      </c>
      <c r="C73" s="64">
        <f>DTR!C73+'Dai Loc'!C73+'Dong Lam'!C73+'Khanh Nga'!C73+TDP!C73+DTRVL!C73</f>
        <v>0</v>
      </c>
      <c r="D73" s="64">
        <f>DTR!D73+'Dai Loc'!D73+'Dong Lam'!D73+'Khanh Nga'!D73+TDP!D73+DTRVL!D73</f>
        <v>0</v>
      </c>
      <c r="E73" s="64">
        <f>DTR!E73+'Dai Loc'!E73+'Dong Lam'!E73+'Khanh Nga'!E73+TDP!E73+DTRVL!E73</f>
        <v>0</v>
      </c>
      <c r="F73" s="64">
        <f>DTR!F73+'Dai Loc'!F73+'Dong Lam'!F73+'Khanh Nga'!F73+TDP!F73+DTRVL!F73</f>
        <v>0</v>
      </c>
      <c r="G73" s="64">
        <f>DTR!G73+'Dai Loc'!G73+'Dong Lam'!G73+'Khanh Nga'!G73+TDP!G73+DTRVL!G73</f>
        <v>0</v>
      </c>
      <c r="H73" s="64">
        <f>DTR!H73+'Dai Loc'!H73+'Dong Lam'!H73+'Khanh Nga'!H73+TDP!H73+DTRVL!H73</f>
        <v>0</v>
      </c>
      <c r="I73" s="64">
        <f>DTR!I73+'Dai Loc'!I73+'Dong Lam'!I73+'Khanh Nga'!I73+TDP!I73+DTRVL!I73</f>
        <v>0</v>
      </c>
      <c r="J73" s="64">
        <f>DTR!J73+'Dai Loc'!J73+'Dong Lam'!J73+'Khanh Nga'!J73+TDP!J73+DTRVL!J73</f>
        <v>0</v>
      </c>
      <c r="K73" s="64">
        <f>DTR!K73+'Dai Loc'!K73+'Dong Lam'!K73+'Khanh Nga'!K73+TDP!K73+DTRVL!K73</f>
        <v>0</v>
      </c>
      <c r="L73" s="64">
        <f>DTR!L73+'Dai Loc'!L73+'Dong Lam'!L73+'Khanh Nga'!L73+TDP!L73+DTRVL!L73</f>
        <v>0</v>
      </c>
      <c r="M73" s="64">
        <f>DTR!M73+'Dai Loc'!M73+'Dong Lam'!M73+'Khanh Nga'!M73+TDP!M73+DTRVL!M73</f>
        <v>0</v>
      </c>
      <c r="N73" s="64">
        <f>DTR!N73+'Dai Loc'!N73+'Dong Lam'!N73+'Khanh Nga'!N73+TDP!N73+DTRVL!N73</f>
        <v>0</v>
      </c>
      <c r="O73" s="64">
        <f>DTR!O73+'Dai Loc'!O73+'Dong Lam'!O73+'Khanh Nga'!O73+TDP!O73+DTRVL!O73</f>
        <v>0</v>
      </c>
      <c r="P73" s="64">
        <f>DTR!P73+'Dai Loc'!P73+'Dong Lam'!P73+'Khanh Nga'!P73+TDP!P73+DTRVL!P73</f>
        <v>0</v>
      </c>
      <c r="Q73" s="64">
        <f>DTR!Q73+'Dai Loc'!Q73+'Dong Lam'!Q73+'Khanh Nga'!Q73+TDP!Q73+DTRVL!Q73</f>
        <v>0</v>
      </c>
      <c r="R73" s="64">
        <f>DTR!R73+'Dai Loc'!R73+'Dong Lam'!R73+'Khanh Nga'!R73+TDP!R73+DTRVL!R73</f>
        <v>0</v>
      </c>
      <c r="S73" s="64">
        <f>DTR!S73+'Dai Loc'!S73+'Dong Lam'!S73+'Khanh Nga'!S73+TDP!S73+DTRVL!S73</f>
        <v>0</v>
      </c>
      <c r="T73" s="64">
        <f>DTR!T73+'Dai Loc'!T73+'Dong Lam'!T73+'Khanh Nga'!T73+TDP!T73+DTRVL!T73</f>
        <v>0</v>
      </c>
      <c r="U73" s="64">
        <f>DTR!U73+'Dai Loc'!U73+'Dong Lam'!U73+'Khanh Nga'!U73+TDP!U73+DTRVL!U73</f>
        <v>0</v>
      </c>
      <c r="V73" s="64">
        <f>DTR!V73+'Dai Loc'!V73+'Dong Lam'!V73+'Khanh Nga'!V73+TDP!V73+DTRVL!V73</f>
        <v>0</v>
      </c>
      <c r="W73" s="64">
        <f>DTR!W73+'Dai Loc'!W73+'Dong Lam'!W73+'Khanh Nga'!W73+TDP!W73+DTRVL!W73</f>
        <v>0</v>
      </c>
      <c r="X73" s="64">
        <f>DTR!X73+'Dai Loc'!X73+'Dong Lam'!X73+'Khanh Nga'!X73+TDP!X73+DTRVL!X73</f>
        <v>0</v>
      </c>
      <c r="Y73" s="64">
        <f>DTR!Y73+'Dai Loc'!Y73+'Dong Lam'!Y73+'Khanh Nga'!Y73+TDP!Y73+DTRVL!Y73</f>
        <v>0</v>
      </c>
      <c r="Z73" s="64">
        <f>DTR!Z73+'Dai Loc'!Z73+'Dong Lam'!Z73+'Khanh Nga'!Z73+TDP!Z73+DTRVL!Z73</f>
        <v>0</v>
      </c>
    </row>
    <row r="74" spans="1:28" ht="15" hidden="1" customHeight="1" outlineLevel="1">
      <c r="A74" s="62" t="s">
        <v>158</v>
      </c>
      <c r="B74" s="63">
        <v>69</v>
      </c>
      <c r="C74" s="64">
        <f>DTR!C74+'Dai Loc'!C74+'Dong Lam'!C74+'Khanh Nga'!C74+TDP!C74+DTRVL!C74</f>
        <v>0</v>
      </c>
      <c r="D74" s="64">
        <f>DTR!D74+'Dai Loc'!D74+'Dong Lam'!D74+'Khanh Nga'!D74+TDP!D74+DTRVL!D74</f>
        <v>0</v>
      </c>
      <c r="E74" s="64">
        <f>DTR!E74+'Dai Loc'!E74+'Dong Lam'!E74+'Khanh Nga'!E74+TDP!E74+DTRVL!E74</f>
        <v>0</v>
      </c>
      <c r="F74" s="64">
        <f>DTR!F74+'Dai Loc'!F74+'Dong Lam'!F74+'Khanh Nga'!F74+TDP!F74+DTRVL!F74</f>
        <v>0</v>
      </c>
      <c r="G74" s="64">
        <f>DTR!G74+'Dai Loc'!G74+'Dong Lam'!G74+'Khanh Nga'!G74+TDP!G74+DTRVL!G74</f>
        <v>0</v>
      </c>
      <c r="H74" s="64">
        <f>DTR!H74+'Dai Loc'!H74+'Dong Lam'!H74+'Khanh Nga'!H74+TDP!H74+DTRVL!H74</f>
        <v>0</v>
      </c>
      <c r="I74" s="64">
        <f>DTR!I74+'Dai Loc'!I74+'Dong Lam'!I74+'Khanh Nga'!I74+TDP!I74+DTRVL!I74</f>
        <v>0</v>
      </c>
      <c r="J74" s="64">
        <f>DTR!J74+'Dai Loc'!J74+'Dong Lam'!J74+'Khanh Nga'!J74+TDP!J74+DTRVL!J74</f>
        <v>0</v>
      </c>
      <c r="K74" s="64">
        <f>DTR!K74+'Dai Loc'!K74+'Dong Lam'!K74+'Khanh Nga'!K74+TDP!K74+DTRVL!K74</f>
        <v>0</v>
      </c>
      <c r="L74" s="64">
        <f>DTR!L74+'Dai Loc'!L74+'Dong Lam'!L74+'Khanh Nga'!L74+TDP!L74+DTRVL!L74</f>
        <v>0</v>
      </c>
      <c r="M74" s="64">
        <f>DTR!M74+'Dai Loc'!M74+'Dong Lam'!M74+'Khanh Nga'!M74+TDP!M74+DTRVL!M74</f>
        <v>0</v>
      </c>
      <c r="N74" s="64">
        <f>DTR!N74+'Dai Loc'!N74+'Dong Lam'!N74+'Khanh Nga'!N74+TDP!N74+DTRVL!N74</f>
        <v>0</v>
      </c>
      <c r="O74" s="64">
        <f>DTR!O74+'Dai Loc'!O74+'Dong Lam'!O74+'Khanh Nga'!O74+TDP!O74+DTRVL!O74</f>
        <v>0</v>
      </c>
      <c r="P74" s="64">
        <f>DTR!P74+'Dai Loc'!P74+'Dong Lam'!P74+'Khanh Nga'!P74+TDP!P74+DTRVL!P74</f>
        <v>0</v>
      </c>
      <c r="Q74" s="64">
        <f>DTR!Q74+'Dai Loc'!Q74+'Dong Lam'!Q74+'Khanh Nga'!Q74+TDP!Q74+DTRVL!Q74</f>
        <v>0</v>
      </c>
      <c r="R74" s="64">
        <f>DTR!R74+'Dai Loc'!R74+'Dong Lam'!R74+'Khanh Nga'!R74+TDP!R74+DTRVL!R74</f>
        <v>0</v>
      </c>
      <c r="S74" s="64">
        <f>DTR!S74+'Dai Loc'!S74+'Dong Lam'!S74+'Khanh Nga'!S74+TDP!S74+DTRVL!S74</f>
        <v>0</v>
      </c>
      <c r="T74" s="64">
        <f>DTR!T74+'Dai Loc'!T74+'Dong Lam'!T74+'Khanh Nga'!T74+TDP!T74+DTRVL!T74</f>
        <v>0</v>
      </c>
      <c r="U74" s="64">
        <f>DTR!U74+'Dai Loc'!U74+'Dong Lam'!U74+'Khanh Nga'!U74+TDP!U74+DTRVL!U74</f>
        <v>0</v>
      </c>
      <c r="V74" s="64">
        <f>DTR!V74+'Dai Loc'!V74+'Dong Lam'!V74+'Khanh Nga'!V74+TDP!V74+DTRVL!V74</f>
        <v>0</v>
      </c>
      <c r="W74" s="64">
        <f>DTR!W74+'Dai Loc'!W74+'Dong Lam'!W74+'Khanh Nga'!W74+TDP!W74+DTRVL!W74</f>
        <v>0</v>
      </c>
      <c r="X74" s="64">
        <f>DTR!X74+'Dai Loc'!X74+'Dong Lam'!X74+'Khanh Nga'!X74+TDP!X74+DTRVL!X74</f>
        <v>0</v>
      </c>
      <c r="Y74" s="64">
        <f>DTR!Y74+'Dai Loc'!Y74+'Dong Lam'!Y74+'Khanh Nga'!Y74+TDP!Y74+DTRVL!Y74</f>
        <v>0</v>
      </c>
      <c r="Z74" s="64">
        <f>DTR!Z74+'Dai Loc'!Z74+'Dong Lam'!Z74+'Khanh Nga'!Z74+TDP!Z74+DTRVL!Z74</f>
        <v>0</v>
      </c>
    </row>
    <row r="75" spans="1:28" ht="15" hidden="1" customHeight="1" outlineLevel="1">
      <c r="A75" s="62" t="s">
        <v>159</v>
      </c>
      <c r="B75" s="63">
        <v>70</v>
      </c>
      <c r="C75" s="64">
        <f>DTR!C75+'Dai Loc'!C75+'Dong Lam'!C75+'Khanh Nga'!C75+TDP!C75+DTRVL!C75</f>
        <v>0</v>
      </c>
      <c r="D75" s="64">
        <f>DTR!D75+'Dai Loc'!D75+'Dong Lam'!D75+'Khanh Nga'!D75+TDP!D75+DTRVL!D75</f>
        <v>0</v>
      </c>
      <c r="E75" s="64">
        <f>DTR!E75+'Dai Loc'!E75+'Dong Lam'!E75+'Khanh Nga'!E75+TDP!E75+DTRVL!E75</f>
        <v>0</v>
      </c>
      <c r="F75" s="64">
        <f>DTR!F75+'Dai Loc'!F75+'Dong Lam'!F75+'Khanh Nga'!F75+TDP!F75+DTRVL!F75</f>
        <v>0</v>
      </c>
      <c r="G75" s="64">
        <f>DTR!G75+'Dai Loc'!G75+'Dong Lam'!G75+'Khanh Nga'!G75+TDP!G75+DTRVL!G75</f>
        <v>0</v>
      </c>
      <c r="H75" s="64">
        <f>DTR!H75+'Dai Loc'!H75+'Dong Lam'!H75+'Khanh Nga'!H75+TDP!H75+DTRVL!H75</f>
        <v>0</v>
      </c>
      <c r="I75" s="64">
        <f>DTR!I75+'Dai Loc'!I75+'Dong Lam'!I75+'Khanh Nga'!I75+TDP!I75+DTRVL!I75</f>
        <v>0</v>
      </c>
      <c r="J75" s="64">
        <f>DTR!J75+'Dai Loc'!J75+'Dong Lam'!J75+'Khanh Nga'!J75+TDP!J75+DTRVL!J75</f>
        <v>0</v>
      </c>
      <c r="K75" s="64">
        <f>DTR!K75+'Dai Loc'!K75+'Dong Lam'!K75+'Khanh Nga'!K75+TDP!K75+DTRVL!K75</f>
        <v>0</v>
      </c>
      <c r="L75" s="64">
        <f>DTR!L75+'Dai Loc'!L75+'Dong Lam'!L75+'Khanh Nga'!L75+TDP!L75+DTRVL!L75</f>
        <v>0</v>
      </c>
      <c r="M75" s="64">
        <f>DTR!M75+'Dai Loc'!M75+'Dong Lam'!M75+'Khanh Nga'!M75+TDP!M75+DTRVL!M75</f>
        <v>0</v>
      </c>
      <c r="N75" s="64">
        <f>DTR!N75+'Dai Loc'!N75+'Dong Lam'!N75+'Khanh Nga'!N75+TDP!N75+DTRVL!N75</f>
        <v>0</v>
      </c>
      <c r="O75" s="64">
        <f>DTR!O75+'Dai Loc'!O75+'Dong Lam'!O75+'Khanh Nga'!O75+TDP!O75+DTRVL!O75</f>
        <v>0</v>
      </c>
      <c r="P75" s="64">
        <f>DTR!P75+'Dai Loc'!P75+'Dong Lam'!P75+'Khanh Nga'!P75+TDP!P75+DTRVL!P75</f>
        <v>0</v>
      </c>
      <c r="Q75" s="64">
        <f>DTR!Q75+'Dai Loc'!Q75+'Dong Lam'!Q75+'Khanh Nga'!Q75+TDP!Q75+DTRVL!Q75</f>
        <v>0</v>
      </c>
      <c r="R75" s="64">
        <f>DTR!R75+'Dai Loc'!R75+'Dong Lam'!R75+'Khanh Nga'!R75+TDP!R75+DTRVL!R75</f>
        <v>0</v>
      </c>
      <c r="S75" s="64">
        <f>DTR!S75+'Dai Loc'!S75+'Dong Lam'!S75+'Khanh Nga'!S75+TDP!S75+DTRVL!S75</f>
        <v>0</v>
      </c>
      <c r="T75" s="64">
        <f>DTR!T75+'Dai Loc'!T75+'Dong Lam'!T75+'Khanh Nga'!T75+TDP!T75+DTRVL!T75</f>
        <v>0</v>
      </c>
      <c r="U75" s="64">
        <f>DTR!U75+'Dai Loc'!U75+'Dong Lam'!U75+'Khanh Nga'!U75+TDP!U75+DTRVL!U75</f>
        <v>0</v>
      </c>
      <c r="V75" s="64">
        <f>DTR!V75+'Dai Loc'!V75+'Dong Lam'!V75+'Khanh Nga'!V75+TDP!V75+DTRVL!V75</f>
        <v>0</v>
      </c>
      <c r="W75" s="64">
        <f>DTR!W75+'Dai Loc'!W75+'Dong Lam'!W75+'Khanh Nga'!W75+TDP!W75+DTRVL!W75</f>
        <v>0</v>
      </c>
      <c r="X75" s="64">
        <f>DTR!X75+'Dai Loc'!X75+'Dong Lam'!X75+'Khanh Nga'!X75+TDP!X75+DTRVL!X75</f>
        <v>0</v>
      </c>
      <c r="Y75" s="64">
        <f>DTR!Y75+'Dai Loc'!Y75+'Dong Lam'!Y75+'Khanh Nga'!Y75+TDP!Y75+DTRVL!Y75</f>
        <v>0</v>
      </c>
      <c r="Z75" s="64">
        <f>DTR!Z75+'Dai Loc'!Z75+'Dong Lam'!Z75+'Khanh Nga'!Z75+TDP!Z75+DTRVL!Z75</f>
        <v>0</v>
      </c>
    </row>
    <row r="76" spans="1:28" ht="15" hidden="1" customHeight="1" outlineLevel="1">
      <c r="A76" s="66" t="s">
        <v>160</v>
      </c>
      <c r="B76" s="63">
        <v>71</v>
      </c>
      <c r="C76" s="64">
        <f>DTR!C76+'Dai Loc'!C76+'Dong Lam'!C76+'Khanh Nga'!C76+TDP!C76+DTRVL!C76</f>
        <v>0</v>
      </c>
      <c r="D76" s="64">
        <f>DTR!D76+'Dai Loc'!D76+'Dong Lam'!D76+'Khanh Nga'!D76+TDP!D76+DTRVL!D76</f>
        <v>0</v>
      </c>
      <c r="E76" s="64">
        <f>DTR!E76+'Dai Loc'!E76+'Dong Lam'!E76+'Khanh Nga'!E76+TDP!E76+DTRVL!E76</f>
        <v>0</v>
      </c>
      <c r="F76" s="64">
        <f>DTR!F76+'Dai Loc'!F76+'Dong Lam'!F76+'Khanh Nga'!F76+TDP!F76+DTRVL!F76</f>
        <v>0</v>
      </c>
      <c r="G76" s="64">
        <f>DTR!G76+'Dai Loc'!G76+'Dong Lam'!G76+'Khanh Nga'!G76+TDP!G76+DTRVL!G76</f>
        <v>0</v>
      </c>
      <c r="H76" s="64">
        <f>DTR!H76+'Dai Loc'!H76+'Dong Lam'!H76+'Khanh Nga'!H76+TDP!H76+DTRVL!H76</f>
        <v>0</v>
      </c>
      <c r="I76" s="64">
        <f>DTR!I76+'Dai Loc'!I76+'Dong Lam'!I76+'Khanh Nga'!I76+TDP!I76+DTRVL!I76</f>
        <v>0</v>
      </c>
      <c r="J76" s="64">
        <f>DTR!J76+'Dai Loc'!J76+'Dong Lam'!J76+'Khanh Nga'!J76+TDP!J76+DTRVL!J76</f>
        <v>0</v>
      </c>
      <c r="K76" s="64">
        <f>DTR!K76+'Dai Loc'!K76+'Dong Lam'!K76+'Khanh Nga'!K76+TDP!K76+DTRVL!K76</f>
        <v>0</v>
      </c>
      <c r="L76" s="64">
        <f>DTR!L76+'Dai Loc'!L76+'Dong Lam'!L76+'Khanh Nga'!L76+TDP!L76+DTRVL!L76</f>
        <v>0</v>
      </c>
      <c r="M76" s="64">
        <f>DTR!M76+'Dai Loc'!M76+'Dong Lam'!M76+'Khanh Nga'!M76+TDP!M76+DTRVL!M76</f>
        <v>0</v>
      </c>
      <c r="N76" s="64">
        <f>DTR!N76+'Dai Loc'!N76+'Dong Lam'!N76+'Khanh Nga'!N76+TDP!N76+DTRVL!N76</f>
        <v>0</v>
      </c>
      <c r="O76" s="64">
        <f>DTR!O76+'Dai Loc'!O76+'Dong Lam'!O76+'Khanh Nga'!O76+TDP!O76+DTRVL!O76</f>
        <v>0</v>
      </c>
      <c r="P76" s="64">
        <f>DTR!P76+'Dai Loc'!P76+'Dong Lam'!P76+'Khanh Nga'!P76+TDP!P76+DTRVL!P76</f>
        <v>0</v>
      </c>
      <c r="Q76" s="64">
        <f>DTR!Q76+'Dai Loc'!Q76+'Dong Lam'!Q76+'Khanh Nga'!Q76+TDP!Q76+DTRVL!Q76</f>
        <v>0</v>
      </c>
      <c r="R76" s="64">
        <f>DTR!R76+'Dai Loc'!R76+'Dong Lam'!R76+'Khanh Nga'!R76+TDP!R76+DTRVL!R76</f>
        <v>0</v>
      </c>
      <c r="S76" s="64">
        <f>DTR!S76+'Dai Loc'!S76+'Dong Lam'!S76+'Khanh Nga'!S76+TDP!S76+DTRVL!S76</f>
        <v>0</v>
      </c>
      <c r="T76" s="64">
        <f>DTR!T76+'Dai Loc'!T76+'Dong Lam'!T76+'Khanh Nga'!T76+TDP!T76+DTRVL!T76</f>
        <v>0</v>
      </c>
      <c r="U76" s="64">
        <f>DTR!U76+'Dai Loc'!U76+'Dong Lam'!U76+'Khanh Nga'!U76+TDP!U76+DTRVL!U76</f>
        <v>0</v>
      </c>
      <c r="V76" s="64">
        <f>DTR!V76+'Dai Loc'!V76+'Dong Lam'!V76+'Khanh Nga'!V76+TDP!V76+DTRVL!V76</f>
        <v>0</v>
      </c>
      <c r="W76" s="64">
        <f>DTR!W76+'Dai Loc'!W76+'Dong Lam'!W76+'Khanh Nga'!W76+TDP!W76+DTRVL!W76</f>
        <v>0</v>
      </c>
      <c r="X76" s="64">
        <f>DTR!X76+'Dai Loc'!X76+'Dong Lam'!X76+'Khanh Nga'!X76+TDP!X76+DTRVL!X76</f>
        <v>0</v>
      </c>
      <c r="Y76" s="64">
        <f>DTR!Y76+'Dai Loc'!Y76+'Dong Lam'!Y76+'Khanh Nga'!Y76+TDP!Y76+DTRVL!Y76</f>
        <v>0</v>
      </c>
      <c r="Z76" s="64">
        <f>DTR!Z76+'Dai Loc'!Z76+'Dong Lam'!Z76+'Khanh Nga'!Z76+TDP!Z76+DTRVL!Z76</f>
        <v>0</v>
      </c>
    </row>
    <row r="77" spans="1:28" ht="15" hidden="1" customHeight="1" outlineLevel="1">
      <c r="A77" s="66" t="s">
        <v>161</v>
      </c>
      <c r="B77" s="63">
        <v>72</v>
      </c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8" s="78" customFormat="1" ht="15" hidden="1" customHeight="1" outlineLevel="1">
      <c r="A78" s="76" t="s">
        <v>162</v>
      </c>
      <c r="B78" s="65">
        <v>73</v>
      </c>
      <c r="C78" s="77">
        <f>DTR!C78+'Dai Loc'!C78+'Dong Lam'!C78+'Khanh Nga'!C78+TDP!C78+DTRVL!C78</f>
        <v>5400042499</v>
      </c>
      <c r="D78" s="77">
        <f>DTR!D78+'Dai Loc'!D78+'Dong Lam'!D78+'Khanh Nga'!D78+TDP!D78+DTRVL!D78</f>
        <v>5122374256</v>
      </c>
      <c r="E78" s="77">
        <f>DTR!E78+'Dai Loc'!E78+'Dong Lam'!E78+'Khanh Nga'!E78+TDP!E78+DTRVL!E78</f>
        <v>6108142400</v>
      </c>
      <c r="F78" s="77">
        <f>DTR!F78+'Dai Loc'!F78+'Dong Lam'!F78+'Khanh Nga'!F78+TDP!F78+DTRVL!F78</f>
        <v>6691697581</v>
      </c>
      <c r="G78" s="77">
        <f>DTR!G78+'Dai Loc'!G78+'Dong Lam'!G78+'Khanh Nga'!G78+TDP!G78+DTRVL!G78</f>
        <v>6073217039</v>
      </c>
      <c r="H78" s="77">
        <f>DTR!H78+'Dai Loc'!H78+'Dong Lam'!H78+'Khanh Nga'!H78+TDP!H78+DTRVL!H78</f>
        <v>5922983520</v>
      </c>
      <c r="I78" s="77">
        <f>DTR!I78+'Dai Loc'!I78+'Dong Lam'!I78+'Khanh Nga'!I78+TDP!I78+DTRVL!I78</f>
        <v>6293381718</v>
      </c>
      <c r="J78" s="77">
        <f>DTR!J78+'Dai Loc'!J78+'Dong Lam'!J78+'Khanh Nga'!J78+TDP!J78+DTRVL!J78</f>
        <v>7144685884</v>
      </c>
      <c r="K78" s="77">
        <f>DTR!K78+'Dai Loc'!K78+'Dong Lam'!K78+'Khanh Nga'!K78+TDP!K78+DTRVL!K78</f>
        <v>6789281721</v>
      </c>
      <c r="L78" s="77">
        <f>DTR!L78+'Dai Loc'!L78+'Dong Lam'!L78+'Khanh Nga'!L78+TDP!L78+DTRVL!L78</f>
        <v>6545884719</v>
      </c>
      <c r="M78" s="77">
        <f>DTR!M78+'Dai Loc'!M78+'Dong Lam'!M78+'Khanh Nga'!M78+TDP!M78+DTRVL!M78</f>
        <v>6744136746</v>
      </c>
      <c r="N78" s="77">
        <f>DTR!N78+'Dai Loc'!N78+'Dong Lam'!N78+'Khanh Nga'!N78+TDP!N78+DTRVL!N78</f>
        <v>7473903734</v>
      </c>
      <c r="O78" s="77">
        <f>DTR!O78+'Dai Loc'!O78+'Dong Lam'!O78+'Khanh Nga'!O78+TDP!O78+DTRVL!O78</f>
        <v>5647435742</v>
      </c>
      <c r="P78" s="77">
        <f>DTR!P78+'Dai Loc'!P78+'Dong Lam'!P78+'Khanh Nga'!P78+TDP!P78+DTRVL!P78</f>
        <v>9071341234</v>
      </c>
      <c r="Q78" s="77">
        <f>DTR!Q78+'Dai Loc'!Q78+'Dong Lam'!Q78+'Khanh Nga'!Q78+TDP!Q78+DTRVL!Q78</f>
        <v>10968199214</v>
      </c>
      <c r="R78" s="77">
        <f>DTR!R78+'Dai Loc'!R78+'Dong Lam'!R78+'Khanh Nga'!R78+TDP!R78+DTRVL!R78</f>
        <v>10719874211</v>
      </c>
      <c r="S78" s="77">
        <f>DTR!S78+'Dai Loc'!S78+'Dong Lam'!S78+'Khanh Nga'!S78+TDP!S78+DTRVL!S78</f>
        <v>11205380817</v>
      </c>
      <c r="T78" s="77">
        <f>DTR!T78+'Dai Loc'!T78+'Dong Lam'!T78+'Khanh Nga'!T78+TDP!T78+DTRVL!T78</f>
        <v>11616370097</v>
      </c>
      <c r="U78" s="77">
        <f>DTR!U78+'Dai Loc'!U78+'Dong Lam'!U78+'Khanh Nga'!U78+TDP!U78+DTRVL!U78</f>
        <v>11200435089</v>
      </c>
      <c r="V78" s="77">
        <f>DTR!V78+'Dai Loc'!V78+'Dong Lam'!V78+'Khanh Nga'!V78+TDP!V78+DTRVL!V78</f>
        <v>11375608560</v>
      </c>
      <c r="W78" s="77">
        <f>DTR!W78+'Dai Loc'!W78+'Dong Lam'!W78+'Khanh Nga'!W78+TDP!W78+DTRVL!W78</f>
        <v>11484782005</v>
      </c>
      <c r="X78" s="77">
        <f>DTR!X78+'Dai Loc'!X78+'Dong Lam'!X78+'Khanh Nga'!X78+TDP!X78+DTRVL!X78</f>
        <v>11895438934</v>
      </c>
      <c r="Y78" s="77">
        <f>DTR!Y78+'Dai Loc'!Y78+'Dong Lam'!Y78+'Khanh Nga'!Y78+TDP!Y78+DTRVL!Y78</f>
        <v>11714919536</v>
      </c>
      <c r="Z78" s="77">
        <f>DTR!Z78+'Dai Loc'!Z78+'Dong Lam'!Z78+'Khanh Nga'!Z78+TDP!Z78+DTRVL!Z78</f>
        <v>11383330015</v>
      </c>
      <c r="AB78" s="79"/>
    </row>
    <row r="79" spans="1:28" ht="15" hidden="1" customHeight="1" outlineLevel="1">
      <c r="A79" s="67" t="s">
        <v>163</v>
      </c>
      <c r="B79" s="63">
        <v>74</v>
      </c>
      <c r="C79" s="64">
        <f>DTR!C79+'Dai Loc'!C79+'Dong Lam'!C79+'Khanh Nga'!C79+TDP!C79+DTRVL!C79</f>
        <v>5400042499</v>
      </c>
      <c r="D79" s="64">
        <f>DTR!D79+'Dai Loc'!D79+'Dong Lam'!D79+'Khanh Nga'!D79+TDP!D79+DTRVL!D79</f>
        <v>5122374256</v>
      </c>
      <c r="E79" s="64">
        <f>DTR!E79+'Dai Loc'!E79+'Dong Lam'!E79+'Khanh Nga'!E79+TDP!E79+DTRVL!E79</f>
        <v>6108142400</v>
      </c>
      <c r="F79" s="64">
        <f>DTR!F79+'Dai Loc'!F79+'Dong Lam'!F79+'Khanh Nga'!F79+TDP!F79+DTRVL!F79</f>
        <v>6691697581</v>
      </c>
      <c r="G79" s="64">
        <f>DTR!G79+'Dai Loc'!G79+'Dong Lam'!G79+'Khanh Nga'!G79+TDP!G79+DTRVL!G79</f>
        <v>6073217039</v>
      </c>
      <c r="H79" s="64">
        <f>DTR!H79+'Dai Loc'!H79+'Dong Lam'!H79+'Khanh Nga'!H79+TDP!H79+DTRVL!H79</f>
        <v>5922983520</v>
      </c>
      <c r="I79" s="64">
        <f>DTR!I79+'Dai Loc'!I79+'Dong Lam'!I79+'Khanh Nga'!I79+TDP!I79+DTRVL!I79</f>
        <v>6293381718</v>
      </c>
      <c r="J79" s="64">
        <f>DTR!J79+'Dai Loc'!J79+'Dong Lam'!J79+'Khanh Nga'!J79+TDP!J79+DTRVL!J79</f>
        <v>7144685884</v>
      </c>
      <c r="K79" s="64">
        <f>DTR!K79+'Dai Loc'!K79+'Dong Lam'!K79+'Khanh Nga'!K79+TDP!K79+DTRVL!K79</f>
        <v>6789281721</v>
      </c>
      <c r="L79" s="64">
        <f>DTR!L79+'Dai Loc'!L79+'Dong Lam'!L79+'Khanh Nga'!L79+TDP!L79+DTRVL!L79</f>
        <v>6545884719</v>
      </c>
      <c r="M79" s="64">
        <f>DTR!M79+'Dai Loc'!M79+'Dong Lam'!M79+'Khanh Nga'!M79+TDP!M79+DTRVL!M79</f>
        <v>6744136746</v>
      </c>
      <c r="N79" s="64">
        <f>DTR!N79+'Dai Loc'!N79+'Dong Lam'!N79+'Khanh Nga'!N79+TDP!N79+DTRVL!N79</f>
        <v>7473903734</v>
      </c>
      <c r="O79" s="64">
        <f>DTR!O79+'Dai Loc'!O79+'Dong Lam'!O79+'Khanh Nga'!O79+TDP!O79+DTRVL!O79</f>
        <v>7486377052</v>
      </c>
      <c r="P79" s="64">
        <f>DTR!P79+'Dai Loc'!P79+'Dong Lam'!P79+'Khanh Nga'!P79+TDP!P79+DTRVL!P79</f>
        <v>10902239544</v>
      </c>
      <c r="Q79" s="64">
        <f>DTR!Q79+'Dai Loc'!Q79+'Dong Lam'!Q79+'Khanh Nga'!Q79+TDP!Q79+DTRVL!Q79</f>
        <v>10938837524</v>
      </c>
      <c r="R79" s="64">
        <f>DTR!R79+'Dai Loc'!R79+'Dong Lam'!R79+'Khanh Nga'!R79+TDP!R79+DTRVL!R79</f>
        <v>10690512521</v>
      </c>
      <c r="S79" s="64">
        <f>DTR!S79+'Dai Loc'!S79+'Dong Lam'!S79+'Khanh Nga'!S79+TDP!S79+DTRVL!S79</f>
        <v>11176019127</v>
      </c>
      <c r="T79" s="64">
        <f>DTR!T79+'Dai Loc'!T79+'Dong Lam'!T79+'Khanh Nga'!T79+TDP!T79+DTRVL!T79</f>
        <v>11587008407</v>
      </c>
      <c r="U79" s="64">
        <f>DTR!U79+'Dai Loc'!U79+'Dong Lam'!U79+'Khanh Nga'!U79+TDP!U79+DTRVL!U79</f>
        <v>11200435089</v>
      </c>
      <c r="V79" s="64">
        <f>DTR!V79+'Dai Loc'!V79+'Dong Lam'!V79+'Khanh Nga'!V79+TDP!V79+DTRVL!V79</f>
        <v>11375608560</v>
      </c>
      <c r="W79" s="64">
        <f>DTR!W79+'Dai Loc'!W79+'Dong Lam'!W79+'Khanh Nga'!W79+TDP!W79+DTRVL!W79</f>
        <v>11484782005</v>
      </c>
      <c r="X79" s="64">
        <f>DTR!X79+'Dai Loc'!X79+'Dong Lam'!X79+'Khanh Nga'!X79+TDP!X79+DTRVL!X79</f>
        <v>11895438934</v>
      </c>
      <c r="Y79" s="64">
        <f>DTR!Y79+'Dai Loc'!Y79+'Dong Lam'!Y79+'Khanh Nga'!Y79+TDP!Y79+DTRVL!Y79</f>
        <v>11714919536</v>
      </c>
      <c r="Z79" s="64">
        <f>DTR!Z79+'Dai Loc'!Z79+'Dong Lam'!Z79+'Khanh Nga'!Z79+TDP!Z79+DTRVL!Z79</f>
        <v>11383330015</v>
      </c>
    </row>
    <row r="80" spans="1:28" ht="15" hidden="1" customHeight="1" outlineLevel="1">
      <c r="A80" s="67" t="s">
        <v>164</v>
      </c>
      <c r="B80" s="63">
        <v>75</v>
      </c>
      <c r="C80" s="64">
        <f>DTR!C80+'Dai Loc'!C80+'Dong Lam'!C80+'Khanh Nga'!C80+TDP!C80+DTRVL!C80</f>
        <v>0</v>
      </c>
      <c r="D80" s="64">
        <f>DTR!D80+'Dai Loc'!D80+'Dong Lam'!D80+'Khanh Nga'!D80+TDP!D80+DTRVL!D80</f>
        <v>0</v>
      </c>
      <c r="E80" s="64">
        <f>DTR!E80+'Dai Loc'!E80+'Dong Lam'!E80+'Khanh Nga'!E80+TDP!E80+DTRVL!E80</f>
        <v>0</v>
      </c>
      <c r="F80" s="64">
        <f>DTR!F80+'Dai Loc'!F80+'Dong Lam'!F80+'Khanh Nga'!F80+TDP!F80+DTRVL!F80</f>
        <v>0</v>
      </c>
      <c r="G80" s="64">
        <f>DTR!G80+'Dai Loc'!G80+'Dong Lam'!G80+'Khanh Nga'!G80+TDP!G80+DTRVL!G80</f>
        <v>0</v>
      </c>
      <c r="H80" s="64">
        <f>DTR!H80+'Dai Loc'!H80+'Dong Lam'!H80+'Khanh Nga'!H80+TDP!H80+DTRVL!H80</f>
        <v>0</v>
      </c>
      <c r="I80" s="64">
        <f>DTR!I80+'Dai Loc'!I80+'Dong Lam'!I80+'Khanh Nga'!I80+TDP!I80+DTRVL!I80</f>
        <v>0</v>
      </c>
      <c r="J80" s="64">
        <f>DTR!J80+'Dai Loc'!J80+'Dong Lam'!J80+'Khanh Nga'!J80+TDP!J80+DTRVL!J80</f>
        <v>0</v>
      </c>
      <c r="K80" s="64">
        <f>DTR!K80+'Dai Loc'!K80+'Dong Lam'!K80+'Khanh Nga'!K80+TDP!K80+DTRVL!K80</f>
        <v>0</v>
      </c>
      <c r="L80" s="64">
        <f>DTR!L80+'Dai Loc'!L80+'Dong Lam'!L80+'Khanh Nga'!L80+TDP!L80+DTRVL!L80</f>
        <v>0</v>
      </c>
      <c r="M80" s="64">
        <f>DTR!M80+'Dai Loc'!M80+'Dong Lam'!M80+'Khanh Nga'!M80+TDP!M80+DTRVL!M80</f>
        <v>0</v>
      </c>
      <c r="N80" s="64">
        <f>DTR!N80+'Dai Loc'!N80+'Dong Lam'!N80+'Khanh Nga'!N80+TDP!N80+DTRVL!N80</f>
        <v>0</v>
      </c>
      <c r="O80" s="64">
        <f>DTR!O80+'Dai Loc'!O80+'Dong Lam'!O80+'Khanh Nga'!O80+TDP!O80+DTRVL!O80</f>
        <v>-1838941310</v>
      </c>
      <c r="P80" s="64">
        <f>DTR!P80+'Dai Loc'!P80+'Dong Lam'!P80+'Khanh Nga'!P80+TDP!P80+DTRVL!P80</f>
        <v>-1830898310</v>
      </c>
      <c r="Q80" s="64">
        <f>DTR!Q80+'Dai Loc'!Q80+'Dong Lam'!Q80+'Khanh Nga'!Q80+TDP!Q80+DTRVL!Q80</f>
        <v>29361690</v>
      </c>
      <c r="R80" s="64">
        <f>DTR!R80+'Dai Loc'!R80+'Dong Lam'!R80+'Khanh Nga'!R80+TDP!R80+DTRVL!R80</f>
        <v>29361690</v>
      </c>
      <c r="S80" s="64">
        <f>DTR!S80+'Dai Loc'!S80+'Dong Lam'!S80+'Khanh Nga'!S80+TDP!S80+DTRVL!S80</f>
        <v>29361690</v>
      </c>
      <c r="T80" s="64">
        <f>DTR!T80+'Dai Loc'!T80+'Dong Lam'!T80+'Khanh Nga'!T80+TDP!T80+DTRVL!T80</f>
        <v>29361690</v>
      </c>
      <c r="U80" s="64">
        <f>DTR!U80+'Dai Loc'!U80+'Dong Lam'!U80+'Khanh Nga'!U80+TDP!U80+DTRVL!U80</f>
        <v>0</v>
      </c>
      <c r="V80" s="64">
        <f>DTR!V80+'Dai Loc'!V80+'Dong Lam'!V80+'Khanh Nga'!V80+TDP!V80+DTRVL!V80</f>
        <v>0</v>
      </c>
      <c r="W80" s="64">
        <f>DTR!W80+'Dai Loc'!W80+'Dong Lam'!W80+'Khanh Nga'!W80+TDP!W80+DTRVL!W80</f>
        <v>0</v>
      </c>
      <c r="X80" s="64">
        <f>DTR!X80+'Dai Loc'!X80+'Dong Lam'!X80+'Khanh Nga'!X80+TDP!X80+DTRVL!X80</f>
        <v>0</v>
      </c>
      <c r="Y80" s="64">
        <f>DTR!Y80+'Dai Loc'!Y80+'Dong Lam'!Y80+'Khanh Nga'!Y80+TDP!Y80+DTRVL!Y80</f>
        <v>0</v>
      </c>
      <c r="Z80" s="64">
        <f>DTR!Z80+'Dai Loc'!Z80+'Dong Lam'!Z80+'Khanh Nga'!Z80+TDP!Z80+DTRVL!Z80</f>
        <v>0</v>
      </c>
    </row>
    <row r="81" spans="1:28" ht="15" hidden="1" customHeight="1" outlineLevel="1">
      <c r="A81" s="67" t="s">
        <v>165</v>
      </c>
      <c r="B81" s="63">
        <v>76</v>
      </c>
      <c r="C81" s="64">
        <f>DTR!C81+'Dai Loc'!C81+'Dong Lam'!C81+'Khanh Nga'!C81+TDP!C81+DTRVL!C81</f>
        <v>0</v>
      </c>
      <c r="D81" s="64">
        <f>DTR!D81+'Dai Loc'!D81+'Dong Lam'!D81+'Khanh Nga'!D81+TDP!D81+DTRVL!D81</f>
        <v>0</v>
      </c>
      <c r="E81" s="64">
        <f>DTR!E81+'Dai Loc'!E81+'Dong Lam'!E81+'Khanh Nga'!E81+TDP!E81+DTRVL!E81</f>
        <v>0</v>
      </c>
      <c r="F81" s="64">
        <f>DTR!F81+'Dai Loc'!F81+'Dong Lam'!F81+'Khanh Nga'!F81+TDP!F81+DTRVL!F81</f>
        <v>0</v>
      </c>
      <c r="G81" s="64">
        <f>DTR!G81+'Dai Loc'!G81+'Dong Lam'!G81+'Khanh Nga'!G81+TDP!G81+DTRVL!G81</f>
        <v>0</v>
      </c>
      <c r="H81" s="64">
        <f>DTR!H81+'Dai Loc'!H81+'Dong Lam'!H81+'Khanh Nga'!H81+TDP!H81+DTRVL!H81</f>
        <v>0</v>
      </c>
      <c r="I81" s="64">
        <f>DTR!I81+'Dai Loc'!I81+'Dong Lam'!I81+'Khanh Nga'!I81+TDP!I81+DTRVL!I81</f>
        <v>0</v>
      </c>
      <c r="J81" s="64">
        <f>DTR!J81+'Dai Loc'!J81+'Dong Lam'!J81+'Khanh Nga'!J81+TDP!J81+DTRVL!J81</f>
        <v>0</v>
      </c>
      <c r="K81" s="64">
        <f>DTR!K81+'Dai Loc'!K81+'Dong Lam'!K81+'Khanh Nga'!K81+TDP!K81+DTRVL!K81</f>
        <v>0</v>
      </c>
      <c r="L81" s="64">
        <f>DTR!L81+'Dai Loc'!L81+'Dong Lam'!L81+'Khanh Nga'!L81+TDP!L81+DTRVL!L81</f>
        <v>0</v>
      </c>
      <c r="M81" s="64">
        <f>DTR!M81+'Dai Loc'!M81+'Dong Lam'!M81+'Khanh Nga'!M81+TDP!M81+DTRVL!M81</f>
        <v>0</v>
      </c>
      <c r="N81" s="64">
        <f>DTR!N81+'Dai Loc'!N81+'Dong Lam'!N81+'Khanh Nga'!N81+TDP!N81+DTRVL!N81</f>
        <v>0</v>
      </c>
      <c r="O81" s="64">
        <f>DTR!O81+'Dai Loc'!O81+'Dong Lam'!O81+'Khanh Nga'!O81+TDP!O81+DTRVL!O81</f>
        <v>0</v>
      </c>
      <c r="P81" s="64">
        <f>DTR!P81+'Dai Loc'!P81+'Dong Lam'!P81+'Khanh Nga'!P81+TDP!P81+DTRVL!P81</f>
        <v>0</v>
      </c>
      <c r="Q81" s="64">
        <f>DTR!Q81+'Dai Loc'!Q81+'Dong Lam'!Q81+'Khanh Nga'!Q81+TDP!Q81+DTRVL!Q81</f>
        <v>0</v>
      </c>
      <c r="R81" s="64">
        <f>DTR!R81+'Dai Loc'!R81+'Dong Lam'!R81+'Khanh Nga'!R81+TDP!R81+DTRVL!R81</f>
        <v>0</v>
      </c>
      <c r="S81" s="64">
        <f>DTR!S81+'Dai Loc'!S81+'Dong Lam'!S81+'Khanh Nga'!S81+TDP!S81+DTRVL!S81</f>
        <v>0</v>
      </c>
      <c r="T81" s="64">
        <f>DTR!T81+'Dai Loc'!T81+'Dong Lam'!T81+'Khanh Nga'!T81+TDP!T81+DTRVL!T81</f>
        <v>0</v>
      </c>
      <c r="U81" s="64">
        <f>DTR!U81+'Dai Loc'!U81+'Dong Lam'!U81+'Khanh Nga'!U81+TDP!U81+DTRVL!U81</f>
        <v>0</v>
      </c>
      <c r="V81" s="64">
        <f>DTR!V81+'Dai Loc'!V81+'Dong Lam'!V81+'Khanh Nga'!V81+TDP!V81+DTRVL!V81</f>
        <v>0</v>
      </c>
      <c r="W81" s="64">
        <f>DTR!W81+'Dai Loc'!W81+'Dong Lam'!W81+'Khanh Nga'!W81+TDP!W81+DTRVL!W81</f>
        <v>0</v>
      </c>
      <c r="X81" s="64">
        <f>DTR!X81+'Dai Loc'!X81+'Dong Lam'!X81+'Khanh Nga'!X81+TDP!X81+DTRVL!X81</f>
        <v>0</v>
      </c>
      <c r="Y81" s="64">
        <f>DTR!Y81+'Dai Loc'!Y81+'Dong Lam'!Y81+'Khanh Nga'!Y81+TDP!Y81+DTRVL!Y81</f>
        <v>0</v>
      </c>
      <c r="Z81" s="64">
        <f>DTR!Z81+'Dai Loc'!Z81+'Dong Lam'!Z81+'Khanh Nga'!Z81+TDP!Z81+DTRVL!Z81</f>
        <v>0</v>
      </c>
    </row>
    <row r="82" spans="1:28" ht="15" hidden="1" customHeight="1" outlineLevel="1">
      <c r="A82" s="67" t="s">
        <v>166</v>
      </c>
      <c r="B82" s="63">
        <v>77</v>
      </c>
      <c r="C82" s="64">
        <f>DTR!C82+'Dai Loc'!C82+'Dong Lam'!C82+'Khanh Nga'!C82+TDP!C82+DTRVL!C82</f>
        <v>0</v>
      </c>
      <c r="D82" s="64">
        <f>DTR!D82+'Dai Loc'!D82+'Dong Lam'!D82+'Khanh Nga'!D82+TDP!D82+DTRVL!D82</f>
        <v>0</v>
      </c>
      <c r="E82" s="64">
        <f>DTR!E82+'Dai Loc'!E82+'Dong Lam'!E82+'Khanh Nga'!E82+TDP!E82+DTRVL!E82</f>
        <v>0</v>
      </c>
      <c r="F82" s="64">
        <f>DTR!F82+'Dai Loc'!F82+'Dong Lam'!F82+'Khanh Nga'!F82+TDP!F82+DTRVL!F82</f>
        <v>0</v>
      </c>
      <c r="G82" s="64">
        <f>DTR!G82+'Dai Loc'!G82+'Dong Lam'!G82+'Khanh Nga'!G82+TDP!G82+DTRVL!G82</f>
        <v>0</v>
      </c>
      <c r="H82" s="64">
        <f>DTR!H82+'Dai Loc'!H82+'Dong Lam'!H82+'Khanh Nga'!H82+TDP!H82+DTRVL!H82</f>
        <v>0</v>
      </c>
      <c r="I82" s="64">
        <f>DTR!I82+'Dai Loc'!I82+'Dong Lam'!I82+'Khanh Nga'!I82+TDP!I82+DTRVL!I82</f>
        <v>0</v>
      </c>
      <c r="J82" s="64">
        <f>DTR!J82+'Dai Loc'!J82+'Dong Lam'!J82+'Khanh Nga'!J82+TDP!J82+DTRVL!J82</f>
        <v>0</v>
      </c>
      <c r="K82" s="64">
        <f>DTR!K82+'Dai Loc'!K82+'Dong Lam'!K82+'Khanh Nga'!K82+TDP!K82+DTRVL!K82</f>
        <v>0</v>
      </c>
      <c r="L82" s="64">
        <f>DTR!L82+'Dai Loc'!L82+'Dong Lam'!L82+'Khanh Nga'!L82+TDP!L82+DTRVL!L82</f>
        <v>0</v>
      </c>
      <c r="M82" s="64">
        <f>DTR!M82+'Dai Loc'!M82+'Dong Lam'!M82+'Khanh Nga'!M82+TDP!M82+DTRVL!M82</f>
        <v>0</v>
      </c>
      <c r="N82" s="64">
        <f>DTR!N82+'Dai Loc'!N82+'Dong Lam'!N82+'Khanh Nga'!N82+TDP!N82+DTRVL!N82</f>
        <v>0</v>
      </c>
      <c r="O82" s="64">
        <f>DTR!O82+'Dai Loc'!O82+'Dong Lam'!O82+'Khanh Nga'!O82+TDP!O82+DTRVL!O82</f>
        <v>0</v>
      </c>
      <c r="P82" s="64">
        <f>DTR!P82+'Dai Loc'!P82+'Dong Lam'!P82+'Khanh Nga'!P82+TDP!P82+DTRVL!P82</f>
        <v>0</v>
      </c>
      <c r="Q82" s="64">
        <f>DTR!Q82+'Dai Loc'!Q82+'Dong Lam'!Q82+'Khanh Nga'!Q82+TDP!Q82+DTRVL!Q82</f>
        <v>0</v>
      </c>
      <c r="R82" s="64">
        <f>DTR!R82+'Dai Loc'!R82+'Dong Lam'!R82+'Khanh Nga'!R82+TDP!R82+DTRVL!R82</f>
        <v>0</v>
      </c>
      <c r="S82" s="64">
        <f>DTR!S82+'Dai Loc'!S82+'Dong Lam'!S82+'Khanh Nga'!S82+TDP!S82+DTRVL!S82</f>
        <v>0</v>
      </c>
      <c r="T82" s="64">
        <f>DTR!T82+'Dai Loc'!T82+'Dong Lam'!T82+'Khanh Nga'!T82+TDP!T82+DTRVL!T82</f>
        <v>0</v>
      </c>
      <c r="U82" s="64">
        <f>DTR!U82+'Dai Loc'!U82+'Dong Lam'!U82+'Khanh Nga'!U82+TDP!U82+DTRVL!U82</f>
        <v>0</v>
      </c>
      <c r="V82" s="64">
        <f>DTR!V82+'Dai Loc'!V82+'Dong Lam'!V82+'Khanh Nga'!V82+TDP!V82+DTRVL!V82</f>
        <v>0</v>
      </c>
      <c r="W82" s="64">
        <f>DTR!W82+'Dai Loc'!W82+'Dong Lam'!W82+'Khanh Nga'!W82+TDP!W82+DTRVL!W82</f>
        <v>0</v>
      </c>
      <c r="X82" s="64">
        <f>DTR!X82+'Dai Loc'!X82+'Dong Lam'!X82+'Khanh Nga'!X82+TDP!X82+DTRVL!X82</f>
        <v>0</v>
      </c>
      <c r="Y82" s="64">
        <f>DTR!Y82+'Dai Loc'!Y82+'Dong Lam'!Y82+'Khanh Nga'!Y82+TDP!Y82+DTRVL!Y82</f>
        <v>0</v>
      </c>
      <c r="Z82" s="64">
        <f>DTR!Z82+'Dai Loc'!Z82+'Dong Lam'!Z82+'Khanh Nga'!Z82+TDP!Z82+DTRVL!Z82</f>
        <v>0</v>
      </c>
    </row>
    <row r="83" spans="1:28" s="83" customFormat="1" ht="15" hidden="1" customHeight="1" outlineLevel="1">
      <c r="A83" s="80" t="s">
        <v>167</v>
      </c>
      <c r="B83" s="81">
        <v>78</v>
      </c>
      <c r="C83" s="82">
        <f>DTR!C83+'Dai Loc'!C83+'Dong Lam'!C83+'Khanh Nga'!C83+TDP!C83+DTRVL!C83</f>
        <v>1175130402352</v>
      </c>
      <c r="D83" s="82">
        <f>DTR!D83+'Dai Loc'!D83+'Dong Lam'!D83+'Khanh Nga'!D83+TDP!D83+DTRVL!D83</f>
        <v>1156870558457</v>
      </c>
      <c r="E83" s="82">
        <f>DTR!E83+'Dai Loc'!E83+'Dong Lam'!E83+'Khanh Nga'!E83+TDP!E83+DTRVL!E83</f>
        <v>1193502357108.8601</v>
      </c>
      <c r="F83" s="82">
        <f>DTR!F83+'Dai Loc'!F83+'Dong Lam'!F83+'Khanh Nga'!F83+TDP!F83+DTRVL!F83</f>
        <v>1254540608128.8821</v>
      </c>
      <c r="G83" s="82">
        <f>DTR!G83+'Dai Loc'!G83+'Dong Lam'!G83+'Khanh Nga'!G83+TDP!G83+DTRVL!G83</f>
        <v>1298938884161</v>
      </c>
      <c r="H83" s="82">
        <f>DTR!H83+'Dai Loc'!H83+'Dong Lam'!H83+'Khanh Nga'!H83+TDP!H83+DTRVL!H83</f>
        <v>1325603983311</v>
      </c>
      <c r="I83" s="82">
        <f>DTR!I83+'Dai Loc'!I83+'Dong Lam'!I83+'Khanh Nga'!I83+TDP!I83+DTRVL!I83</f>
        <v>1267478798902</v>
      </c>
      <c r="J83" s="82">
        <f>DTR!J83+'Dai Loc'!J83+'Dong Lam'!J83+'Khanh Nga'!J83+TDP!J83+DTRVL!J83</f>
        <v>1218289415966</v>
      </c>
      <c r="K83" s="82">
        <f>DTR!K83+'Dai Loc'!K83+'Dong Lam'!K83+'Khanh Nga'!K83+TDP!K83+DTRVL!K83</f>
        <v>1260492317013</v>
      </c>
      <c r="L83" s="82">
        <f>DTR!L83+'Dai Loc'!L83+'Dong Lam'!L83+'Khanh Nga'!L83+TDP!L83+DTRVL!L83</f>
        <v>1282720707132</v>
      </c>
      <c r="M83" s="82">
        <f>DTR!M83+'Dai Loc'!M83+'Dong Lam'!M83+'Khanh Nga'!M83+TDP!M83+DTRVL!M83</f>
        <v>1380932210078</v>
      </c>
      <c r="N83" s="82">
        <f>DTR!N83+'Dai Loc'!N83+'Dong Lam'!N83+'Khanh Nga'!N83+TDP!N83+DTRVL!N83</f>
        <v>1365896363032.4819</v>
      </c>
      <c r="O83" s="82">
        <f>DTR!O83+'Dai Loc'!O83+'Dong Lam'!O83+'Khanh Nga'!O83+TDP!O83+DTRVL!O83</f>
        <v>1295128436391</v>
      </c>
      <c r="P83" s="82">
        <f>DTR!P83+'Dai Loc'!P83+'Dong Lam'!P83+'Khanh Nga'!P83+TDP!P83+DTRVL!P83</f>
        <v>1212647140725</v>
      </c>
      <c r="Q83" s="82">
        <f>DTR!Q83+'Dai Loc'!Q83+'Dong Lam'!Q83+'Khanh Nga'!Q83+TDP!Q83+DTRVL!Q83</f>
        <v>1263651409161.4819</v>
      </c>
      <c r="R83" s="82">
        <f>DTR!R83+'Dai Loc'!R83+'Dong Lam'!R83+'Khanh Nga'!R83+TDP!R83+DTRVL!R83</f>
        <v>1334319050191</v>
      </c>
      <c r="S83" s="82">
        <f>DTR!S83+'Dai Loc'!S83+'Dong Lam'!S83+'Khanh Nga'!S83+TDP!S83+DTRVL!S83</f>
        <v>1392624937485</v>
      </c>
      <c r="T83" s="82">
        <f>DTR!T83+'Dai Loc'!T83+'Dong Lam'!T83+'Khanh Nga'!T83+TDP!T83+DTRVL!T83</f>
        <v>1424787259761.4819</v>
      </c>
      <c r="U83" s="82">
        <f>DTR!U83+'Dai Loc'!U83+'Dong Lam'!U83+'Khanh Nga'!U83+TDP!U83+DTRVL!U83</f>
        <v>1421607895854.4819</v>
      </c>
      <c r="V83" s="82">
        <f>DTR!V83+'Dai Loc'!V83+'Dong Lam'!V83+'Khanh Nga'!V83+TDP!V83+DTRVL!V83</f>
        <v>1487370113298.4819</v>
      </c>
      <c r="W83" s="82">
        <f>DTR!W83+'Dai Loc'!W83+'Dong Lam'!W83+'Khanh Nga'!W83+TDP!W83+DTRVL!W83</f>
        <v>1470025647761.4819</v>
      </c>
      <c r="X83" s="82">
        <f>DTR!X83+'Dai Loc'!X83+'Dong Lam'!X83+'Khanh Nga'!X83+TDP!X83+DTRVL!X83</f>
        <v>1421774599273.4819</v>
      </c>
      <c r="Y83" s="82">
        <f>DTR!Y83+'Dai Loc'!Y83+'Dong Lam'!Y83+'Khanh Nga'!Y83+TDP!Y83+DTRVL!Y83</f>
        <v>1396601412908.4819</v>
      </c>
      <c r="Z83" s="82">
        <f>DTR!Z83+'Dai Loc'!Z83+'Dong Lam'!Z83+'Khanh Nga'!Z83+TDP!Z83+DTRVL!Z83</f>
        <v>1399120322090</v>
      </c>
      <c r="AB83" s="84"/>
    </row>
    <row r="84" spans="1:28" ht="15" hidden="1" customHeight="1" outlineLevel="1">
      <c r="A84" s="56" t="s">
        <v>168</v>
      </c>
      <c r="B84" s="71">
        <v>79</v>
      </c>
      <c r="C84" s="58">
        <f>DTR!C84+'Dai Loc'!C84+'Dong Lam'!C84+'Khanh Nga'!C84+TDP!C84+DTRVL!C84</f>
        <v>319278887594</v>
      </c>
      <c r="D84" s="58">
        <f>DTR!D84+'Dai Loc'!D84+'Dong Lam'!D84+'Khanh Nga'!D84+TDP!D84+DTRVL!D84</f>
        <v>307757355551</v>
      </c>
      <c r="E84" s="58">
        <f>DTR!E84+'Dai Loc'!E84+'Dong Lam'!E84+'Khanh Nga'!E84+TDP!E84+DTRVL!E84</f>
        <v>347132475490.85999</v>
      </c>
      <c r="F84" s="58">
        <f>DTR!F84+'Dai Loc'!F84+'Dong Lam'!F84+'Khanh Nga'!F84+TDP!F84+DTRVL!F84</f>
        <v>406502386093.88202</v>
      </c>
      <c r="G84" s="58">
        <f>DTR!G84+'Dai Loc'!G84+'Dong Lam'!G84+'Khanh Nga'!G84+TDP!G84+DTRVL!G84</f>
        <v>456592470300</v>
      </c>
      <c r="H84" s="58">
        <f>DTR!H84+'Dai Loc'!H84+'Dong Lam'!H84+'Khanh Nga'!H84+TDP!H84+DTRVL!H84</f>
        <v>495400218095</v>
      </c>
      <c r="I84" s="58">
        <f>DTR!I84+'Dai Loc'!I84+'Dong Lam'!I84+'Khanh Nga'!I84+TDP!I84+DTRVL!I84</f>
        <v>452469310020</v>
      </c>
      <c r="J84" s="58">
        <f>DTR!J84+'Dai Loc'!J84+'Dong Lam'!J84+'Khanh Nga'!J84+TDP!J84+DTRVL!J84</f>
        <v>413326247943</v>
      </c>
      <c r="K84" s="58">
        <f>DTR!K84+'Dai Loc'!K84+'Dong Lam'!K84+'Khanh Nga'!K84+TDP!K84+DTRVL!K84</f>
        <v>447411505392</v>
      </c>
      <c r="L84" s="58">
        <f>DTR!L84+'Dai Loc'!L84+'Dong Lam'!L84+'Khanh Nga'!L84+TDP!L84+DTRVL!L84</f>
        <v>475985642175</v>
      </c>
      <c r="M84" s="58">
        <f>DTR!M84+'Dai Loc'!M84+'Dong Lam'!M84+'Khanh Nga'!M84+TDP!M84+DTRVL!M84</f>
        <v>560249294793</v>
      </c>
      <c r="N84" s="58">
        <f>DTR!N84+'Dai Loc'!N84+'Dong Lam'!N84+'Khanh Nga'!N84+TDP!N84+DTRVL!N84</f>
        <v>455639093773.48199</v>
      </c>
      <c r="O84" s="58">
        <f>DTR!O84+'Dai Loc'!O84+'Dong Lam'!O84+'Khanh Nga'!O84+TDP!O84+DTRVL!O84</f>
        <v>382660556107</v>
      </c>
      <c r="P84" s="58">
        <f>DTR!P84+'Dai Loc'!P84+'Dong Lam'!P84+'Khanh Nga'!P84+TDP!P84+DTRVL!P84</f>
        <v>286119031755</v>
      </c>
      <c r="Q84" s="58">
        <f>DTR!Q84+'Dai Loc'!Q84+'Dong Lam'!Q84+'Khanh Nga'!Q84+TDP!Q84+DTRVL!Q84</f>
        <v>331379040308.48199</v>
      </c>
      <c r="R84" s="58">
        <f>DTR!R84+'Dai Loc'!R84+'Dong Lam'!R84+'Khanh Nga'!R84+TDP!R84+DTRVL!R84</f>
        <v>398787471104</v>
      </c>
      <c r="S84" s="58">
        <f>DTR!S84+'Dai Loc'!S84+'Dong Lam'!S84+'Khanh Nga'!S84+TDP!S84+DTRVL!S84</f>
        <v>447794839269</v>
      </c>
      <c r="T84" s="58">
        <f>DTR!T84+'Dai Loc'!T84+'Dong Lam'!T84+'Khanh Nga'!T84+TDP!T84+DTRVL!T84</f>
        <v>479271660301.48199</v>
      </c>
      <c r="U84" s="58">
        <f>DTR!U84+'Dai Loc'!U84+'Dong Lam'!U84+'Khanh Nga'!U84+TDP!U84+DTRVL!U84</f>
        <v>472848307424.48212</v>
      </c>
      <c r="V84" s="58">
        <f>DTR!V84+'Dai Loc'!V84+'Dong Lam'!V84+'Khanh Nga'!V84+TDP!V84+DTRVL!V84</f>
        <v>536061371686.48212</v>
      </c>
      <c r="W84" s="58">
        <f>DTR!W84+'Dai Loc'!W84+'Dong Lam'!W84+'Khanh Nga'!W84+TDP!W84+DTRVL!W84</f>
        <v>529887793899.48199</v>
      </c>
      <c r="X84" s="58">
        <f>DTR!X84+'Dai Loc'!X84+'Dong Lam'!X84+'Khanh Nga'!X84+TDP!X84+DTRVL!X84</f>
        <v>486535727530.48199</v>
      </c>
      <c r="Y84" s="58">
        <f>DTR!Y84+'Dai Loc'!Y84+'Dong Lam'!Y84+'Khanh Nga'!Y84+TDP!Y84+DTRVL!Y84</f>
        <v>468849595141.48199</v>
      </c>
      <c r="Z84" s="58">
        <f>DTR!Z84+'Dai Loc'!Z84+'Dong Lam'!Z84+'Khanh Nga'!Z84+TDP!Z84+DTRVL!Z84</f>
        <v>451967241879</v>
      </c>
    </row>
    <row r="85" spans="1:28" ht="15" hidden="1" customHeight="1" outlineLevel="1">
      <c r="A85" s="59" t="s">
        <v>169</v>
      </c>
      <c r="B85" s="65">
        <v>80</v>
      </c>
      <c r="C85" s="61">
        <f>DTR!C85+'Dai Loc'!C85+'Dong Lam'!C85+'Khanh Nga'!C85+TDP!C85+DTRVL!C85</f>
        <v>208892476524</v>
      </c>
      <c r="D85" s="61">
        <f>DTR!D85+'Dai Loc'!D85+'Dong Lam'!D85+'Khanh Nga'!D85+TDP!D85+DTRVL!D85</f>
        <v>197465004481</v>
      </c>
      <c r="E85" s="61">
        <f>DTR!E85+'Dai Loc'!E85+'Dong Lam'!E85+'Khanh Nga'!E85+TDP!E85+DTRVL!E85</f>
        <v>236899124420.85999</v>
      </c>
      <c r="F85" s="61">
        <f>DTR!F85+'Dai Loc'!F85+'Dong Lam'!F85+'Khanh Nga'!F85+TDP!F85+DTRVL!F85</f>
        <v>296564228415.88202</v>
      </c>
      <c r="G85" s="61">
        <f>DTR!G85+'Dai Loc'!G85+'Dong Lam'!G85+'Khanh Nga'!G85+TDP!G85+DTRVL!G85</f>
        <v>348607602622</v>
      </c>
      <c r="H85" s="61">
        <f>DTR!H85+'Dai Loc'!H85+'Dong Lam'!H85+'Khanh Nga'!H85+TDP!H85+DTRVL!H85</f>
        <v>386086182417</v>
      </c>
      <c r="I85" s="61">
        <f>DTR!I85+'Dai Loc'!I85+'Dong Lam'!I85+'Khanh Nga'!I85+TDP!I85+DTRVL!I85</f>
        <v>343042467734</v>
      </c>
      <c r="J85" s="61">
        <f>DTR!J85+'Dai Loc'!J85+'Dong Lam'!J85+'Khanh Nga'!J85+TDP!J85+DTRVL!J85</f>
        <v>304556465657</v>
      </c>
      <c r="K85" s="61">
        <f>DTR!K85+'Dai Loc'!K85+'Dong Lam'!K85+'Khanh Nga'!K85+TDP!K85+DTRVL!K85</f>
        <v>338046723106</v>
      </c>
      <c r="L85" s="61">
        <f>DTR!L85+'Dai Loc'!L85+'Dong Lam'!L85+'Khanh Nga'!L85+TDP!L85+DTRVL!L85</f>
        <v>366397053281</v>
      </c>
      <c r="M85" s="61">
        <f>DTR!M85+'Dai Loc'!M85+'Dong Lam'!M85+'Khanh Nga'!M85+TDP!M85+DTRVL!M85</f>
        <v>424034765899</v>
      </c>
      <c r="N85" s="61">
        <f>DTR!N85+'Dai Loc'!N85+'Dong Lam'!N85+'Khanh Nga'!N85+TDP!N85+DTRVL!N85</f>
        <v>338131748251.48199</v>
      </c>
      <c r="O85" s="61">
        <f>DTR!O85+'Dai Loc'!O85+'Dong Lam'!O85+'Khanh Nga'!O85+TDP!O85+DTRVL!O85</f>
        <v>241480214161</v>
      </c>
      <c r="P85" s="61">
        <f>DTR!P85+'Dai Loc'!P85+'Dong Lam'!P85+'Khanh Nga'!P85+TDP!P85+DTRVL!P85</f>
        <v>149186527587</v>
      </c>
      <c r="Q85" s="61">
        <f>DTR!Q85+'Dai Loc'!Q85+'Dong Lam'!Q85+'Khanh Nga'!Q85+TDP!Q85+DTRVL!Q85</f>
        <v>195283313918.48199</v>
      </c>
      <c r="R85" s="61">
        <f>DTR!R85+'Dai Loc'!R85+'Dong Lam'!R85+'Khanh Nga'!R85+TDP!R85+DTRVL!R85</f>
        <v>263764715884</v>
      </c>
      <c r="S85" s="61">
        <f>DTR!S85+'Dai Loc'!S85+'Dong Lam'!S85+'Khanh Nga'!S85+TDP!S85+DTRVL!S85</f>
        <v>317019921827</v>
      </c>
      <c r="T85" s="61">
        <f>DTR!T85+'Dai Loc'!T85+'Dong Lam'!T85+'Khanh Nga'!T85+TDP!T85+DTRVL!T85</f>
        <v>369379868907.48199</v>
      </c>
      <c r="U85" s="61">
        <f>DTR!U85+'Dai Loc'!U85+'Dong Lam'!U85+'Khanh Nga'!U85+TDP!U85+DTRVL!U85</f>
        <v>364029487200.48212</v>
      </c>
      <c r="V85" s="61">
        <f>DTR!V85+'Dai Loc'!V85+'Dong Lam'!V85+'Khanh Nga'!V85+TDP!V85+DTRVL!V85</f>
        <v>428827861240.48212</v>
      </c>
      <c r="W85" s="61">
        <f>DTR!W85+'Dai Loc'!W85+'Dong Lam'!W85+'Khanh Nga'!W85+TDP!W85+DTRVL!W85</f>
        <v>423491061231.48199</v>
      </c>
      <c r="X85" s="61">
        <f>DTR!X85+'Dai Loc'!X85+'Dong Lam'!X85+'Khanh Nga'!X85+TDP!X85+DTRVL!X85</f>
        <v>385192593588.48199</v>
      </c>
      <c r="Y85" s="61">
        <f>DTR!Y85+'Dai Loc'!Y85+'Dong Lam'!Y85+'Khanh Nga'!Y85+TDP!Y85+DTRVL!Y85</f>
        <v>366448222199.48199</v>
      </c>
      <c r="Z85" s="61">
        <f>DTR!Z85+'Dai Loc'!Z85+'Dong Lam'!Z85+'Khanh Nga'!Z85+TDP!Z85+DTRVL!Z85</f>
        <v>368814987525</v>
      </c>
    </row>
    <row r="86" spans="1:28" ht="15" hidden="1" customHeight="1" outlineLevel="1">
      <c r="A86" s="67" t="s">
        <v>170</v>
      </c>
      <c r="B86" s="63">
        <v>81</v>
      </c>
      <c r="C86" s="64">
        <f>DTR!C86+'Dai Loc'!C86+'Dong Lam'!C86+'Khanh Nga'!C86+TDP!C86+DTRVL!C86</f>
        <v>82949409956</v>
      </c>
      <c r="D86" s="64">
        <f>DTR!D86+'Dai Loc'!D86+'Dong Lam'!D86+'Khanh Nga'!D86+TDP!D86+DTRVL!D86</f>
        <v>85403340041</v>
      </c>
      <c r="E86" s="64">
        <f>DTR!E86+'Dai Loc'!E86+'Dong Lam'!E86+'Khanh Nga'!E86+TDP!E86+DTRVL!E86</f>
        <v>89847500656</v>
      </c>
      <c r="F86" s="64">
        <f>DTR!F86+'Dai Loc'!F86+'Dong Lam'!F86+'Khanh Nga'!F86+TDP!F86+DTRVL!F86</f>
        <v>92084070378</v>
      </c>
      <c r="G86" s="64">
        <f>DTR!G86+'Dai Loc'!G86+'Dong Lam'!G86+'Khanh Nga'!G86+TDP!G86+DTRVL!G86</f>
        <v>97185029412</v>
      </c>
      <c r="H86" s="64">
        <f>DTR!H86+'Dai Loc'!H86+'Dong Lam'!H86+'Khanh Nga'!H86+TDP!H86+DTRVL!H86</f>
        <v>129200888383</v>
      </c>
      <c r="I86" s="64">
        <f>DTR!I86+'Dai Loc'!I86+'Dong Lam'!I86+'Khanh Nga'!I86+TDP!I86+DTRVL!I86</f>
        <v>101456785709</v>
      </c>
      <c r="J86" s="64">
        <f>DTR!J86+'Dai Loc'!J86+'Dong Lam'!J86+'Khanh Nga'!J86+TDP!J86+DTRVL!J86</f>
        <v>115528799746</v>
      </c>
      <c r="K86" s="64">
        <f>DTR!K86+'Dai Loc'!K86+'Dong Lam'!K86+'Khanh Nga'!K86+TDP!K86+DTRVL!K86</f>
        <v>154591767517</v>
      </c>
      <c r="L86" s="64">
        <f>DTR!L86+'Dai Loc'!L86+'Dong Lam'!L86+'Khanh Nga'!L86+TDP!L86+DTRVL!L86</f>
        <v>155116256899</v>
      </c>
      <c r="M86" s="64">
        <f>DTR!M86+'Dai Loc'!M86+'Dong Lam'!M86+'Khanh Nga'!M86+TDP!M86+DTRVL!M86</f>
        <v>163705606191</v>
      </c>
      <c r="N86" s="64">
        <f>DTR!N86+'Dai Loc'!N86+'Dong Lam'!N86+'Khanh Nga'!N86+TDP!N86+DTRVL!N86</f>
        <v>51214283090</v>
      </c>
      <c r="O86" s="64">
        <f>DTR!O86+'Dai Loc'!O86+'Dong Lam'!O86+'Khanh Nga'!O86+TDP!O86+DTRVL!O86</f>
        <v>31540067237</v>
      </c>
      <c r="P86" s="64">
        <f>DTR!P86+'Dai Loc'!P86+'Dong Lam'!P86+'Khanh Nga'!P86+TDP!P86+DTRVL!P86</f>
        <v>31335788440</v>
      </c>
      <c r="Q86" s="64">
        <f>DTR!Q86+'Dai Loc'!Q86+'Dong Lam'!Q86+'Khanh Nga'!Q86+TDP!Q86+DTRVL!Q86</f>
        <v>50987333343</v>
      </c>
      <c r="R86" s="64">
        <f>DTR!R86+'Dai Loc'!R86+'Dong Lam'!R86+'Khanh Nga'!R86+TDP!R86+DTRVL!R86</f>
        <v>52255043007</v>
      </c>
      <c r="S86" s="64">
        <f>DTR!S86+'Dai Loc'!S86+'Dong Lam'!S86+'Khanh Nga'!S86+TDP!S86+DTRVL!S86</f>
        <v>53884801313</v>
      </c>
      <c r="T86" s="64">
        <f>DTR!T86+'Dai Loc'!T86+'Dong Lam'!T86+'Khanh Nga'!T86+TDP!T86+DTRVL!T86</f>
        <v>68071757035</v>
      </c>
      <c r="U86" s="64">
        <f>DTR!U86+'Dai Loc'!U86+'Dong Lam'!U86+'Khanh Nga'!U86+TDP!U86+DTRVL!U86</f>
        <v>25729330082</v>
      </c>
      <c r="V86" s="64">
        <f>DTR!V86+'Dai Loc'!V86+'Dong Lam'!V86+'Khanh Nga'!V86+TDP!V86+DTRVL!V86</f>
        <v>34075061573</v>
      </c>
      <c r="W86" s="64">
        <f>DTR!W86+'Dai Loc'!W86+'Dong Lam'!W86+'Khanh Nga'!W86+TDP!W86+DTRVL!W86</f>
        <v>40338356505</v>
      </c>
      <c r="X86" s="64">
        <f>DTR!X86+'Dai Loc'!X86+'Dong Lam'!X86+'Khanh Nga'!X86+TDP!X86+DTRVL!X86</f>
        <v>51367985440</v>
      </c>
      <c r="Y86" s="64">
        <f>DTR!Y86+'Dai Loc'!Y86+'Dong Lam'!Y86+'Khanh Nga'!Y86+TDP!Y86+DTRVL!Y86</f>
        <v>42761191239</v>
      </c>
      <c r="Z86" s="64">
        <f>DTR!Z86+'Dai Loc'!Z86+'Dong Lam'!Z86+'Khanh Nga'!Z86+TDP!Z86+DTRVL!Z86</f>
        <v>35590749044</v>
      </c>
    </row>
    <row r="87" spans="1:28" ht="15" hidden="1" customHeight="1" outlineLevel="1">
      <c r="A87" s="67" t="s">
        <v>171</v>
      </c>
      <c r="B87" s="63">
        <v>82</v>
      </c>
      <c r="C87" s="64">
        <f>DTR!C87+'Dai Loc'!C87+'Dong Lam'!C87+'Khanh Nga'!C87+TDP!C87+DTRVL!C87</f>
        <v>4031903040</v>
      </c>
      <c r="D87" s="64">
        <f>DTR!D87+'Dai Loc'!D87+'Dong Lam'!D87+'Khanh Nga'!D87+TDP!D87+DTRVL!D87</f>
        <v>0</v>
      </c>
      <c r="E87" s="64">
        <f>DTR!E87+'Dai Loc'!E87+'Dong Lam'!E87+'Khanh Nga'!E87+TDP!E87+DTRVL!E87</f>
        <v>-540918440</v>
      </c>
      <c r="F87" s="64">
        <f>DTR!F87+'Dai Loc'!F87+'Dong Lam'!F87+'Khanh Nga'!F87+TDP!F87+DTRVL!F87</f>
        <v>4278155246</v>
      </c>
      <c r="G87" s="64">
        <f>DTR!G87+'Dai Loc'!G87+'Dong Lam'!G87+'Khanh Nga'!G87+TDP!G87+DTRVL!G87</f>
        <v>14753134850</v>
      </c>
      <c r="H87" s="64">
        <f>DTR!H87+'Dai Loc'!H87+'Dong Lam'!H87+'Khanh Nga'!H87+TDP!H87+DTRVL!H87</f>
        <v>36030101433</v>
      </c>
      <c r="I87" s="64">
        <f>DTR!I87+'Dai Loc'!I87+'Dong Lam'!I87+'Khanh Nga'!I87+TDP!I87+DTRVL!I87</f>
        <v>34757495667</v>
      </c>
      <c r="J87" s="64">
        <f>DTR!J87+'Dai Loc'!J87+'Dong Lam'!J87+'Khanh Nga'!J87+TDP!J87+DTRVL!J87</f>
        <v>16991723009</v>
      </c>
      <c r="K87" s="64">
        <f>DTR!K87+'Dai Loc'!K87+'Dong Lam'!K87+'Khanh Nga'!K87+TDP!K87+DTRVL!K87</f>
        <v>39469513</v>
      </c>
      <c r="L87" s="64">
        <f>DTR!L87+'Dai Loc'!L87+'Dong Lam'!L87+'Khanh Nga'!L87+TDP!L87+DTRVL!L87</f>
        <v>10373831336</v>
      </c>
      <c r="M87" s="64">
        <f>DTR!M87+'Dai Loc'!M87+'Dong Lam'!M87+'Khanh Nga'!M87+TDP!M87+DTRVL!M87</f>
        <v>37975916928</v>
      </c>
      <c r="N87" s="64">
        <f>DTR!N87+'Dai Loc'!N87+'Dong Lam'!N87+'Khanh Nga'!N87+TDP!N87+DTRVL!N87</f>
        <v>41546475913</v>
      </c>
      <c r="O87" s="64">
        <f>DTR!O87+'Dai Loc'!O87+'Dong Lam'!O87+'Khanh Nga'!O87+TDP!O87+DTRVL!O87</f>
        <v>37388020046</v>
      </c>
      <c r="P87" s="64">
        <f>DTR!P87+'Dai Loc'!P87+'Dong Lam'!P87+'Khanh Nga'!P87+TDP!P87+DTRVL!P87</f>
        <v>24873527409</v>
      </c>
      <c r="Q87" s="64">
        <f>DTR!Q87+'Dai Loc'!Q87+'Dong Lam'!Q87+'Khanh Nga'!Q87+TDP!Q87+DTRVL!Q87</f>
        <v>19353309699</v>
      </c>
      <c r="R87" s="64">
        <f>DTR!R87+'Dai Loc'!R87+'Dong Lam'!R87+'Khanh Nga'!R87+TDP!R87+DTRVL!R87</f>
        <v>7908722750</v>
      </c>
      <c r="S87" s="64">
        <f>DTR!S87+'Dai Loc'!S87+'Dong Lam'!S87+'Khanh Nga'!S87+TDP!S87+DTRVL!S87</f>
        <v>2627365353</v>
      </c>
      <c r="T87" s="64">
        <f>DTR!T87+'Dai Loc'!T87+'Dong Lam'!T87+'Khanh Nga'!T87+TDP!T87+DTRVL!T87</f>
        <v>18289832600</v>
      </c>
      <c r="U87" s="64">
        <f>DTR!U87+'Dai Loc'!U87+'Dong Lam'!U87+'Khanh Nga'!U87+TDP!U87+DTRVL!U87</f>
        <v>32576169059</v>
      </c>
      <c r="V87" s="64">
        <f>DTR!V87+'Dai Loc'!V87+'Dong Lam'!V87+'Khanh Nga'!V87+TDP!V87+DTRVL!V87</f>
        <v>35655587500</v>
      </c>
      <c r="W87" s="64">
        <f>DTR!W87+'Dai Loc'!W87+'Dong Lam'!W87+'Khanh Nga'!W87+TDP!W87+DTRVL!W87</f>
        <v>26919036667</v>
      </c>
      <c r="X87" s="64">
        <f>DTR!X87+'Dai Loc'!X87+'Dong Lam'!X87+'Khanh Nga'!X87+TDP!X87+DTRVL!X87</f>
        <v>19595558890</v>
      </c>
      <c r="Y87" s="64">
        <f>DTR!Y87+'Dai Loc'!Y87+'Dong Lam'!Y87+'Khanh Nga'!Y87+TDP!Y87+DTRVL!Y87</f>
        <v>13678517870</v>
      </c>
      <c r="Z87" s="64">
        <f>DTR!Z87+'Dai Loc'!Z87+'Dong Lam'!Z87+'Khanh Nga'!Z87+TDP!Z87+DTRVL!Z87</f>
        <v>27242108550</v>
      </c>
    </row>
    <row r="88" spans="1:28" ht="15" hidden="1" customHeight="1" outlineLevel="1">
      <c r="A88" s="67" t="s">
        <v>172</v>
      </c>
      <c r="B88" s="63">
        <v>83</v>
      </c>
      <c r="C88" s="64">
        <f>DTR!C88+'Dai Loc'!C88+'Dong Lam'!C88+'Khanh Nga'!C88+TDP!C88+DTRVL!C88</f>
        <v>0</v>
      </c>
      <c r="D88" s="64">
        <f>DTR!D88+'Dai Loc'!D88+'Dong Lam'!D88+'Khanh Nga'!D88+TDP!D88+DTRVL!D88</f>
        <v>0</v>
      </c>
      <c r="E88" s="64">
        <f>DTR!E88+'Dai Loc'!E88+'Dong Lam'!E88+'Khanh Nga'!E88+TDP!E88+DTRVL!E88</f>
        <v>0</v>
      </c>
      <c r="F88" s="64">
        <f>DTR!F88+'Dai Loc'!F88+'Dong Lam'!F88+'Khanh Nga'!F88+TDP!F88+DTRVL!F88</f>
        <v>0</v>
      </c>
      <c r="G88" s="64">
        <f>DTR!G88+'Dai Loc'!G88+'Dong Lam'!G88+'Khanh Nga'!G88+TDP!G88+DTRVL!G88</f>
        <v>0</v>
      </c>
      <c r="H88" s="64">
        <f>DTR!H88+'Dai Loc'!H88+'Dong Lam'!H88+'Khanh Nga'!H88+TDP!H88+DTRVL!H88</f>
        <v>0</v>
      </c>
      <c r="I88" s="64">
        <f>DTR!I88+'Dai Loc'!I88+'Dong Lam'!I88+'Khanh Nga'!I88+TDP!I88+DTRVL!I88</f>
        <v>0</v>
      </c>
      <c r="J88" s="64">
        <f>DTR!J88+'Dai Loc'!J88+'Dong Lam'!J88+'Khanh Nga'!J88+TDP!J88+DTRVL!J88</f>
        <v>0</v>
      </c>
      <c r="K88" s="64">
        <f>DTR!K88+'Dai Loc'!K88+'Dong Lam'!K88+'Khanh Nga'!K88+TDP!K88+DTRVL!K88</f>
        <v>0</v>
      </c>
      <c r="L88" s="64">
        <f>DTR!L88+'Dai Loc'!L88+'Dong Lam'!L88+'Khanh Nga'!L88+TDP!L88+DTRVL!L88</f>
        <v>0</v>
      </c>
      <c r="M88" s="64">
        <f>DTR!M88+'Dai Loc'!M88+'Dong Lam'!M88+'Khanh Nga'!M88+TDP!M88+DTRVL!M88</f>
        <v>0</v>
      </c>
      <c r="N88" s="64">
        <f>DTR!N88+'Dai Loc'!N88+'Dong Lam'!N88+'Khanh Nga'!N88+TDP!N88+DTRVL!N88</f>
        <v>0</v>
      </c>
      <c r="O88" s="64">
        <f>DTR!O88+'Dai Loc'!O88+'Dong Lam'!O88+'Khanh Nga'!O88+TDP!O88+DTRVL!O88</f>
        <v>0</v>
      </c>
      <c r="P88" s="64">
        <f>DTR!P88+'Dai Loc'!P88+'Dong Lam'!P88+'Khanh Nga'!P88+TDP!P88+DTRVL!P88</f>
        <v>0</v>
      </c>
      <c r="Q88" s="64">
        <f>DTR!Q88+'Dai Loc'!Q88+'Dong Lam'!Q88+'Khanh Nga'!Q88+TDP!Q88+DTRVL!Q88</f>
        <v>0</v>
      </c>
      <c r="R88" s="64">
        <f>DTR!R88+'Dai Loc'!R88+'Dong Lam'!R88+'Khanh Nga'!R88+TDP!R88+DTRVL!R88</f>
        <v>0</v>
      </c>
      <c r="S88" s="64">
        <f>DTR!S88+'Dai Loc'!S88+'Dong Lam'!S88+'Khanh Nga'!S88+TDP!S88+DTRVL!S88</f>
        <v>0</v>
      </c>
      <c r="T88" s="64">
        <f>DTR!T88+'Dai Loc'!T88+'Dong Lam'!T88+'Khanh Nga'!T88+TDP!T88+DTRVL!T88</f>
        <v>0</v>
      </c>
      <c r="U88" s="64">
        <f>DTR!U88+'Dai Loc'!U88+'Dong Lam'!U88+'Khanh Nga'!U88+TDP!U88+DTRVL!U88</f>
        <v>0</v>
      </c>
      <c r="V88" s="64">
        <f>DTR!V88+'Dai Loc'!V88+'Dong Lam'!V88+'Khanh Nga'!V88+TDP!V88+DTRVL!V88</f>
        <v>0</v>
      </c>
      <c r="W88" s="64">
        <f>DTR!W88+'Dai Loc'!W88+'Dong Lam'!W88+'Khanh Nga'!W88+TDP!W88+DTRVL!W88</f>
        <v>0</v>
      </c>
      <c r="X88" s="64">
        <f>DTR!X88+'Dai Loc'!X88+'Dong Lam'!X88+'Khanh Nga'!X88+TDP!X88+DTRVL!X88</f>
        <v>0</v>
      </c>
      <c r="Y88" s="64">
        <f>DTR!Y88+'Dai Loc'!Y88+'Dong Lam'!Y88+'Khanh Nga'!Y88+TDP!Y88+DTRVL!Y88</f>
        <v>0</v>
      </c>
      <c r="Z88" s="64">
        <f>DTR!Z88+'Dai Loc'!Z88+'Dong Lam'!Z88+'Khanh Nga'!Z88+TDP!Z88+DTRVL!Z88</f>
        <v>0</v>
      </c>
    </row>
    <row r="89" spans="1:28" ht="15" hidden="1" customHeight="1" outlineLevel="1">
      <c r="A89" s="67" t="s">
        <v>173</v>
      </c>
      <c r="B89" s="63">
        <v>84</v>
      </c>
      <c r="C89" s="64">
        <f>DTR!C89+'Dai Loc'!C89+'Dong Lam'!C89+'Khanh Nga'!C89+TDP!C89+DTRVL!C89</f>
        <v>10498883610</v>
      </c>
      <c r="D89" s="64">
        <f>DTR!D89+'Dai Loc'!D89+'Dong Lam'!D89+'Khanh Nga'!D89+TDP!D89+DTRVL!D89</f>
        <v>3689814164</v>
      </c>
      <c r="E89" s="64">
        <f>DTR!E89+'Dai Loc'!E89+'Dong Lam'!E89+'Khanh Nga'!E89+TDP!E89+DTRVL!E89</f>
        <v>4062755871</v>
      </c>
      <c r="F89" s="64">
        <f>DTR!F89+'Dai Loc'!F89+'Dong Lam'!F89+'Khanh Nga'!F89+TDP!F89+DTRVL!F89</f>
        <v>1384290807</v>
      </c>
      <c r="G89" s="64">
        <f>DTR!G89+'Dai Loc'!G89+'Dong Lam'!G89+'Khanh Nga'!G89+TDP!G89+DTRVL!G89</f>
        <v>2308850961</v>
      </c>
      <c r="H89" s="64">
        <f>DTR!H89+'Dai Loc'!H89+'Dong Lam'!H89+'Khanh Nga'!H89+TDP!H89+DTRVL!H89</f>
        <v>3118570444</v>
      </c>
      <c r="I89" s="64">
        <f>DTR!I89+'Dai Loc'!I89+'Dong Lam'!I89+'Khanh Nga'!I89+TDP!I89+DTRVL!I89</f>
        <v>1058457452</v>
      </c>
      <c r="J89" s="64">
        <f>DTR!J89+'Dai Loc'!J89+'Dong Lam'!J89+'Khanh Nga'!J89+TDP!J89+DTRVL!J89</f>
        <v>1211020482</v>
      </c>
      <c r="K89" s="64">
        <f>DTR!K89+'Dai Loc'!K89+'Dong Lam'!K89+'Khanh Nga'!K89+TDP!K89+DTRVL!K89</f>
        <v>2139521500</v>
      </c>
      <c r="L89" s="64">
        <f>DTR!L89+'Dai Loc'!L89+'Dong Lam'!L89+'Khanh Nga'!L89+TDP!L89+DTRVL!L89</f>
        <v>1189419782</v>
      </c>
      <c r="M89" s="64">
        <f>DTR!M89+'Dai Loc'!M89+'Dong Lam'!M89+'Khanh Nga'!M89+TDP!M89+DTRVL!M89</f>
        <v>1509849868</v>
      </c>
      <c r="N89" s="64">
        <f>DTR!N89+'Dai Loc'!N89+'Dong Lam'!N89+'Khanh Nga'!N89+TDP!N89+DTRVL!N89</f>
        <v>9527733939</v>
      </c>
      <c r="O89" s="64">
        <f>DTR!O89+'Dai Loc'!O89+'Dong Lam'!O89+'Khanh Nga'!O89+TDP!O89+DTRVL!O89</f>
        <v>3269238961</v>
      </c>
      <c r="P89" s="64">
        <f>DTR!P89+'Dai Loc'!P89+'Dong Lam'!P89+'Khanh Nga'!P89+TDP!P89+DTRVL!P89</f>
        <v>5753987528</v>
      </c>
      <c r="Q89" s="64">
        <f>DTR!Q89+'Dai Loc'!Q89+'Dong Lam'!Q89+'Khanh Nga'!Q89+TDP!Q89+DTRVL!Q89</f>
        <v>9117684571</v>
      </c>
      <c r="R89" s="64">
        <f>DTR!R89+'Dai Loc'!R89+'Dong Lam'!R89+'Khanh Nga'!R89+TDP!R89+DTRVL!R89</f>
        <v>9695857514</v>
      </c>
      <c r="S89" s="64">
        <f>DTR!S89+'Dai Loc'!S89+'Dong Lam'!S89+'Khanh Nga'!S89+TDP!S89+DTRVL!S89</f>
        <v>14897920840</v>
      </c>
      <c r="T89" s="64">
        <f>DTR!T89+'Dai Loc'!T89+'Dong Lam'!T89+'Khanh Nga'!T89+TDP!T89+DTRVL!T89</f>
        <v>12417210865</v>
      </c>
      <c r="U89" s="64">
        <f>DTR!U89+'Dai Loc'!U89+'Dong Lam'!U89+'Khanh Nga'!U89+TDP!U89+DTRVL!U89</f>
        <v>8626660891</v>
      </c>
      <c r="V89" s="64">
        <f>DTR!V89+'Dai Loc'!V89+'Dong Lam'!V89+'Khanh Nga'!V89+TDP!V89+DTRVL!V89</f>
        <v>9156127696</v>
      </c>
      <c r="W89" s="64">
        <f>DTR!W89+'Dai Loc'!W89+'Dong Lam'!W89+'Khanh Nga'!W89+TDP!W89+DTRVL!W89</f>
        <v>7004035223</v>
      </c>
      <c r="X89" s="64">
        <f>DTR!X89+'Dai Loc'!X89+'Dong Lam'!X89+'Khanh Nga'!X89+TDP!X89+DTRVL!X89</f>
        <v>6028567487</v>
      </c>
      <c r="Y89" s="64">
        <f>DTR!Y89+'Dai Loc'!Y89+'Dong Lam'!Y89+'Khanh Nga'!Y89+TDP!Y89+DTRVL!Y89</f>
        <v>4386912961</v>
      </c>
      <c r="Z89" s="64">
        <f>DTR!Z89+'Dai Loc'!Z89+'Dong Lam'!Z89+'Khanh Nga'!Z89+TDP!Z89+DTRVL!Z89</f>
        <v>7281246280</v>
      </c>
    </row>
    <row r="90" spans="1:28" ht="15" hidden="1" customHeight="1" outlineLevel="1">
      <c r="A90" s="67" t="s">
        <v>174</v>
      </c>
      <c r="B90" s="63">
        <v>85</v>
      </c>
      <c r="C90" s="64">
        <f>DTR!C90+'Dai Loc'!C90+'Dong Lam'!C90+'Khanh Nga'!C90+TDP!C90+DTRVL!C90</f>
        <v>11362712285</v>
      </c>
      <c r="D90" s="64">
        <f>DTR!D90+'Dai Loc'!D90+'Dong Lam'!D90+'Khanh Nga'!D90+TDP!D90+DTRVL!D90</f>
        <v>7261112290</v>
      </c>
      <c r="E90" s="64">
        <f>DTR!E90+'Dai Loc'!E90+'Dong Lam'!E90+'Khanh Nga'!E90+TDP!E90+DTRVL!E90</f>
        <v>7584838673</v>
      </c>
      <c r="F90" s="64">
        <f>DTR!F90+'Dai Loc'!F90+'Dong Lam'!F90+'Khanh Nga'!F90+TDP!F90+DTRVL!F90</f>
        <v>8802335330</v>
      </c>
      <c r="G90" s="64">
        <f>DTR!G90+'Dai Loc'!G90+'Dong Lam'!G90+'Khanh Nga'!G90+TDP!G90+DTRVL!G90</f>
        <v>8252419463</v>
      </c>
      <c r="H90" s="64">
        <f>DTR!H90+'Dai Loc'!H90+'Dong Lam'!H90+'Khanh Nga'!H90+TDP!H90+DTRVL!H90</f>
        <v>8124186029</v>
      </c>
      <c r="I90" s="64">
        <f>DTR!I90+'Dai Loc'!I90+'Dong Lam'!I90+'Khanh Nga'!I90+TDP!I90+DTRVL!I90</f>
        <v>7811815324</v>
      </c>
      <c r="J90" s="64">
        <f>DTR!J90+'Dai Loc'!J90+'Dong Lam'!J90+'Khanh Nga'!J90+TDP!J90+DTRVL!J90</f>
        <v>457937876</v>
      </c>
      <c r="K90" s="64">
        <f>DTR!K90+'Dai Loc'!K90+'Dong Lam'!K90+'Khanh Nga'!K90+TDP!K90+DTRVL!K90</f>
        <v>8485574144</v>
      </c>
      <c r="L90" s="64">
        <f>DTR!L90+'Dai Loc'!L90+'Dong Lam'!L90+'Khanh Nga'!L90+TDP!L90+DTRVL!L90</f>
        <v>8401248944</v>
      </c>
      <c r="M90" s="64">
        <f>DTR!M90+'Dai Loc'!M90+'Dong Lam'!M90+'Khanh Nga'!M90+TDP!M90+DTRVL!M90</f>
        <v>8616270563</v>
      </c>
      <c r="N90" s="64">
        <f>DTR!N90+'Dai Loc'!N90+'Dong Lam'!N90+'Khanh Nga'!N90+TDP!N90+DTRVL!N90</f>
        <v>12882678899</v>
      </c>
      <c r="O90" s="64">
        <f>DTR!O90+'Dai Loc'!O90+'Dong Lam'!O90+'Khanh Nga'!O90+TDP!O90+DTRVL!O90</f>
        <v>8655764617</v>
      </c>
      <c r="P90" s="64">
        <f>DTR!P90+'Dai Loc'!P90+'Dong Lam'!P90+'Khanh Nga'!P90+TDP!P90+DTRVL!P90</f>
        <v>9095727516</v>
      </c>
      <c r="Q90" s="64">
        <f>DTR!Q90+'Dai Loc'!Q90+'Dong Lam'!Q90+'Khanh Nga'!Q90+TDP!Q90+DTRVL!Q90</f>
        <v>9239322502</v>
      </c>
      <c r="R90" s="64">
        <f>DTR!R90+'Dai Loc'!R90+'Dong Lam'!R90+'Khanh Nga'!R90+TDP!R90+DTRVL!R90</f>
        <v>519338426</v>
      </c>
      <c r="S90" s="64">
        <f>DTR!S90+'Dai Loc'!S90+'Dong Lam'!S90+'Khanh Nga'!S90+TDP!S90+DTRVL!S90</f>
        <v>10493661520</v>
      </c>
      <c r="T90" s="64">
        <f>DTR!T90+'Dai Loc'!T90+'Dong Lam'!T90+'Khanh Nga'!T90+TDP!T90+DTRVL!T90</f>
        <v>10746467156</v>
      </c>
      <c r="U90" s="64">
        <f>DTR!U90+'Dai Loc'!U90+'Dong Lam'!U90+'Khanh Nga'!U90+TDP!U90+DTRVL!U90</f>
        <v>10421088708</v>
      </c>
      <c r="V90" s="64">
        <f>DTR!V90+'Dai Loc'!V90+'Dong Lam'!V90+'Khanh Nga'!V90+TDP!V90+DTRVL!V90</f>
        <v>10791732094</v>
      </c>
      <c r="W90" s="64">
        <f>DTR!W90+'Dai Loc'!W90+'Dong Lam'!W90+'Khanh Nga'!W90+TDP!W90+DTRVL!W90</f>
        <v>11366691930</v>
      </c>
      <c r="X90" s="64">
        <f>DTR!X90+'Dai Loc'!X90+'Dong Lam'!X90+'Khanh Nga'!X90+TDP!X90+DTRVL!X90</f>
        <v>10525542918</v>
      </c>
      <c r="Y90" s="64">
        <f>DTR!Y90+'Dai Loc'!Y90+'Dong Lam'!Y90+'Khanh Nga'!Y90+TDP!Y90+DTRVL!Y90</f>
        <v>10283351512</v>
      </c>
      <c r="Z90" s="64">
        <f>DTR!Z90+'Dai Loc'!Z90+'Dong Lam'!Z90+'Khanh Nga'!Z90+TDP!Z90+DTRVL!Z90</f>
        <v>10866562186</v>
      </c>
    </row>
    <row r="91" spans="1:28" ht="15" hidden="1" customHeight="1" outlineLevel="1">
      <c r="A91" s="67" t="s">
        <v>175</v>
      </c>
      <c r="B91" s="63">
        <v>86</v>
      </c>
      <c r="C91" s="64">
        <f>DTR!C91+'Dai Loc'!C91+'Dong Lam'!C91+'Khanh Nga'!C91+TDP!C91+DTRVL!C91</f>
        <v>16153446903</v>
      </c>
      <c r="D91" s="64">
        <f>DTR!D91+'Dai Loc'!D91+'Dong Lam'!D91+'Khanh Nga'!D91+TDP!D91+DTRVL!D91</f>
        <v>22420169080</v>
      </c>
      <c r="E91" s="64">
        <f>DTR!E91+'Dai Loc'!E91+'Dong Lam'!E91+'Khanh Nga'!E91+TDP!E91+DTRVL!E91</f>
        <v>7052345407</v>
      </c>
      <c r="F91" s="64">
        <f>DTR!F91+'Dai Loc'!F91+'Dong Lam'!F91+'Khanh Nga'!F91+TDP!F91+DTRVL!F91</f>
        <v>17025705880</v>
      </c>
      <c r="G91" s="64">
        <f>DTR!G91+'Dai Loc'!G91+'Dong Lam'!G91+'Khanh Nga'!G91+TDP!G91+DTRVL!G91</f>
        <v>26551396101</v>
      </c>
      <c r="H91" s="64">
        <f>DTR!H91+'Dai Loc'!H91+'Dong Lam'!H91+'Khanh Nga'!H91+TDP!H91+DTRVL!H91</f>
        <v>9643768625</v>
      </c>
      <c r="I91" s="64">
        <f>DTR!I91+'Dai Loc'!I91+'Dong Lam'!I91+'Khanh Nga'!I91+TDP!I91+DTRVL!I91</f>
        <v>19498083536</v>
      </c>
      <c r="J91" s="64">
        <f>DTR!J91+'Dai Loc'!J91+'Dong Lam'!J91+'Khanh Nga'!J91+TDP!J91+DTRVL!J91</f>
        <v>32054507492</v>
      </c>
      <c r="K91" s="64">
        <f>DTR!K91+'Dai Loc'!K91+'Dong Lam'!K91+'Khanh Nga'!K91+TDP!K91+DTRVL!K91</f>
        <v>17871987185</v>
      </c>
      <c r="L91" s="64">
        <f>DTR!L91+'Dai Loc'!L91+'Dong Lam'!L91+'Khanh Nga'!L91+TDP!L91+DTRVL!L91</f>
        <v>25354416886</v>
      </c>
      <c r="M91" s="64">
        <f>DTR!M91+'Dai Loc'!M91+'Dong Lam'!M91+'Khanh Nga'!M91+TDP!M91+DTRVL!M91</f>
        <v>33287993453</v>
      </c>
      <c r="N91" s="64">
        <f>DTR!N91+'Dai Loc'!N91+'Dong Lam'!N91+'Khanh Nga'!N91+TDP!N91+DTRVL!N91</f>
        <v>17891877693</v>
      </c>
      <c r="O91" s="64">
        <f>DTR!O91+'Dai Loc'!O91+'Dong Lam'!O91+'Khanh Nga'!O91+TDP!O91+DTRVL!O91</f>
        <v>12873679613</v>
      </c>
      <c r="P91" s="64">
        <f>DTR!P91+'Dai Loc'!P91+'Dong Lam'!P91+'Khanh Nga'!P91+TDP!P91+DTRVL!P91</f>
        <v>18374210204</v>
      </c>
      <c r="Q91" s="64">
        <f>DTR!Q91+'Dai Loc'!Q91+'Dong Lam'!Q91+'Khanh Nga'!Q91+TDP!Q91+DTRVL!Q91</f>
        <v>-5606260254</v>
      </c>
      <c r="R91" s="64">
        <f>DTR!R91+'Dai Loc'!R91+'Dong Lam'!R91+'Khanh Nga'!R91+TDP!R91+DTRVL!R91</f>
        <v>-3804295862</v>
      </c>
      <c r="S91" s="64">
        <f>DTR!S91+'Dai Loc'!S91+'Dong Lam'!S91+'Khanh Nga'!S91+TDP!S91+DTRVL!S91</f>
        <v>98594660</v>
      </c>
      <c r="T91" s="64">
        <f>DTR!T91+'Dai Loc'!T91+'Dong Lam'!T91+'Khanh Nga'!T91+TDP!T91+DTRVL!T91</f>
        <v>1515541421</v>
      </c>
      <c r="U91" s="64">
        <f>DTR!U91+'Dai Loc'!U91+'Dong Lam'!U91+'Khanh Nga'!U91+TDP!U91+DTRVL!U91</f>
        <v>17721365268</v>
      </c>
      <c r="V91" s="64">
        <f>DTR!V91+'Dai Loc'!V91+'Dong Lam'!V91+'Khanh Nga'!V91+TDP!V91+DTRVL!V91</f>
        <v>23723350128</v>
      </c>
      <c r="W91" s="64">
        <f>DTR!W91+'Dai Loc'!W91+'Dong Lam'!W91+'Khanh Nga'!W91+TDP!W91+DTRVL!W91</f>
        <v>16832372739</v>
      </c>
      <c r="X91" s="64">
        <f>DTR!X91+'Dai Loc'!X91+'Dong Lam'!X91+'Khanh Nga'!X91+TDP!X91+DTRVL!X91</f>
        <v>22569568619</v>
      </c>
      <c r="Y91" s="64">
        <f>DTR!Y91+'Dai Loc'!Y91+'Dong Lam'!Y91+'Khanh Nga'!Y91+TDP!Y91+DTRVL!Y91</f>
        <v>27478663520</v>
      </c>
      <c r="Z91" s="64">
        <f>DTR!Z91+'Dai Loc'!Z91+'Dong Lam'!Z91+'Khanh Nga'!Z91+TDP!Z91+DTRVL!Z91</f>
        <v>14384193531</v>
      </c>
    </row>
    <row r="92" spans="1:28" ht="15" hidden="1" customHeight="1" outlineLevel="1">
      <c r="A92" s="67" t="s">
        <v>176</v>
      </c>
      <c r="B92" s="63">
        <v>87</v>
      </c>
      <c r="C92" s="64">
        <f>DTR!C92+'Dai Loc'!C92+'Dong Lam'!C92+'Khanh Nga'!C92+TDP!C92+DTRVL!C92</f>
        <v>0</v>
      </c>
      <c r="D92" s="64">
        <f>DTR!D92+'Dai Loc'!D92+'Dong Lam'!D92+'Khanh Nga'!D92+TDP!D92+DTRVL!D92</f>
        <v>0</v>
      </c>
      <c r="E92" s="64">
        <f>DTR!E92+'Dai Loc'!E92+'Dong Lam'!E92+'Khanh Nga'!E92+TDP!E92+DTRVL!E92</f>
        <v>0</v>
      </c>
      <c r="F92" s="64">
        <f>DTR!F92+'Dai Loc'!F92+'Dong Lam'!F92+'Khanh Nga'!F92+TDP!F92+DTRVL!F92</f>
        <v>0</v>
      </c>
      <c r="G92" s="64">
        <f>DTR!G92+'Dai Loc'!G92+'Dong Lam'!G92+'Khanh Nga'!G92+TDP!G92+DTRVL!G92</f>
        <v>0</v>
      </c>
      <c r="H92" s="64">
        <f>DTR!H92+'Dai Loc'!H92+'Dong Lam'!H92+'Khanh Nga'!H92+TDP!H92+DTRVL!H92</f>
        <v>0</v>
      </c>
      <c r="I92" s="64">
        <f>DTR!I92+'Dai Loc'!I92+'Dong Lam'!I92+'Khanh Nga'!I92+TDP!I92+DTRVL!I92</f>
        <v>0</v>
      </c>
      <c r="J92" s="64">
        <f>DTR!J92+'Dai Loc'!J92+'Dong Lam'!J92+'Khanh Nga'!J92+TDP!J92+DTRVL!J92</f>
        <v>0</v>
      </c>
      <c r="K92" s="64">
        <f>DTR!K92+'Dai Loc'!K92+'Dong Lam'!K92+'Khanh Nga'!K92+TDP!K92+DTRVL!K92</f>
        <v>0</v>
      </c>
      <c r="L92" s="64">
        <f>DTR!L92+'Dai Loc'!L92+'Dong Lam'!L92+'Khanh Nga'!L92+TDP!L92+DTRVL!L92</f>
        <v>0</v>
      </c>
      <c r="M92" s="64">
        <f>DTR!M92+'Dai Loc'!M92+'Dong Lam'!M92+'Khanh Nga'!M92+TDP!M92+DTRVL!M92</f>
        <v>0</v>
      </c>
      <c r="N92" s="64">
        <f>DTR!N92+'Dai Loc'!N92+'Dong Lam'!N92+'Khanh Nga'!N92+TDP!N92+DTRVL!N92</f>
        <v>0</v>
      </c>
      <c r="O92" s="64">
        <f>DTR!O92+'Dai Loc'!O92+'Dong Lam'!O92+'Khanh Nga'!O92+TDP!O92+DTRVL!O92</f>
        <v>0</v>
      </c>
      <c r="P92" s="64">
        <f>DTR!P92+'Dai Loc'!P92+'Dong Lam'!P92+'Khanh Nga'!P92+TDP!P92+DTRVL!P92</f>
        <v>0</v>
      </c>
      <c r="Q92" s="64">
        <f>DTR!Q92+'Dai Loc'!Q92+'Dong Lam'!Q92+'Khanh Nga'!Q92+TDP!Q92+DTRVL!Q92</f>
        <v>0</v>
      </c>
      <c r="R92" s="64">
        <f>DTR!R92+'Dai Loc'!R92+'Dong Lam'!R92+'Khanh Nga'!R92+TDP!R92+DTRVL!R92</f>
        <v>0</v>
      </c>
      <c r="S92" s="64">
        <f>DTR!S92+'Dai Loc'!S92+'Dong Lam'!S92+'Khanh Nga'!S92+TDP!S92+DTRVL!S92</f>
        <v>0</v>
      </c>
      <c r="T92" s="64">
        <f>DTR!T92+'Dai Loc'!T92+'Dong Lam'!T92+'Khanh Nga'!T92+TDP!T92+DTRVL!T92</f>
        <v>0</v>
      </c>
      <c r="U92" s="64">
        <f>DTR!U92+'Dai Loc'!U92+'Dong Lam'!U92+'Khanh Nga'!U92+TDP!U92+DTRVL!U92</f>
        <v>0</v>
      </c>
      <c r="V92" s="64">
        <f>DTR!V92+'Dai Loc'!V92+'Dong Lam'!V92+'Khanh Nga'!V92+TDP!V92+DTRVL!V92</f>
        <v>0</v>
      </c>
      <c r="W92" s="64">
        <f>DTR!W92+'Dai Loc'!W92+'Dong Lam'!W92+'Khanh Nga'!W92+TDP!W92+DTRVL!W92</f>
        <v>0</v>
      </c>
      <c r="X92" s="64">
        <f>DTR!X92+'Dai Loc'!X92+'Dong Lam'!X92+'Khanh Nga'!X92+TDP!X92+DTRVL!X92</f>
        <v>0</v>
      </c>
      <c r="Y92" s="64">
        <f>DTR!Y92+'Dai Loc'!Y92+'Dong Lam'!Y92+'Khanh Nga'!Y92+TDP!Y92+DTRVL!Y92</f>
        <v>0</v>
      </c>
      <c r="Z92" s="64">
        <f>DTR!Z92+'Dai Loc'!Z92+'Dong Lam'!Z92+'Khanh Nga'!Z92+TDP!Z92+DTRVL!Z92</f>
        <v>0</v>
      </c>
    </row>
    <row r="93" spans="1:28" ht="15" hidden="1" customHeight="1" outlineLevel="1">
      <c r="A93" s="67" t="s">
        <v>177</v>
      </c>
      <c r="B93" s="63">
        <v>88</v>
      </c>
      <c r="C93" s="64">
        <f>DTR!C93+'Dai Loc'!C93+'Dong Lam'!C93+'Khanh Nga'!C93+TDP!C93+DTRVL!C93</f>
        <v>0</v>
      </c>
      <c r="D93" s="64">
        <f>DTR!D93+'Dai Loc'!D93+'Dong Lam'!D93+'Khanh Nga'!D93+TDP!D93+DTRVL!D93</f>
        <v>0</v>
      </c>
      <c r="E93" s="64">
        <f>DTR!E93+'Dai Loc'!E93+'Dong Lam'!E93+'Khanh Nga'!E93+TDP!E93+DTRVL!E93</f>
        <v>0</v>
      </c>
      <c r="F93" s="64">
        <f>DTR!F93+'Dai Loc'!F93+'Dong Lam'!F93+'Khanh Nga'!F93+TDP!F93+DTRVL!F93</f>
        <v>0</v>
      </c>
      <c r="G93" s="64">
        <f>DTR!G93+'Dai Loc'!G93+'Dong Lam'!G93+'Khanh Nga'!G93+TDP!G93+DTRVL!G93</f>
        <v>0</v>
      </c>
      <c r="H93" s="64">
        <f>DTR!H93+'Dai Loc'!H93+'Dong Lam'!H93+'Khanh Nga'!H93+TDP!H93+DTRVL!H93</f>
        <v>0</v>
      </c>
      <c r="I93" s="64">
        <f>DTR!I93+'Dai Loc'!I93+'Dong Lam'!I93+'Khanh Nga'!I93+TDP!I93+DTRVL!I93</f>
        <v>0</v>
      </c>
      <c r="J93" s="64">
        <f>DTR!J93+'Dai Loc'!J93+'Dong Lam'!J93+'Khanh Nga'!J93+TDP!J93+DTRVL!J93</f>
        <v>0</v>
      </c>
      <c r="K93" s="64">
        <f>DTR!K93+'Dai Loc'!K93+'Dong Lam'!K93+'Khanh Nga'!K93+TDP!K93+DTRVL!K93</f>
        <v>0</v>
      </c>
      <c r="L93" s="64">
        <f>DTR!L93+'Dai Loc'!L93+'Dong Lam'!L93+'Khanh Nga'!L93+TDP!L93+DTRVL!L93</f>
        <v>0</v>
      </c>
      <c r="M93" s="64">
        <f>DTR!M93+'Dai Loc'!M93+'Dong Lam'!M93+'Khanh Nga'!M93+TDP!M93+DTRVL!M93</f>
        <v>0</v>
      </c>
      <c r="N93" s="64">
        <f>DTR!N93+'Dai Loc'!N93+'Dong Lam'!N93+'Khanh Nga'!N93+TDP!N93+DTRVL!N93</f>
        <v>0</v>
      </c>
      <c r="O93" s="64">
        <f>DTR!O93+'Dai Loc'!O93+'Dong Lam'!O93+'Khanh Nga'!O93+TDP!O93+DTRVL!O93</f>
        <v>0</v>
      </c>
      <c r="P93" s="64">
        <f>DTR!P93+'Dai Loc'!P93+'Dong Lam'!P93+'Khanh Nga'!P93+TDP!P93+DTRVL!P93</f>
        <v>0</v>
      </c>
      <c r="Q93" s="64">
        <f>DTR!Q93+'Dai Loc'!Q93+'Dong Lam'!Q93+'Khanh Nga'!Q93+TDP!Q93+DTRVL!Q93</f>
        <v>0</v>
      </c>
      <c r="R93" s="64">
        <f>DTR!R93+'Dai Loc'!R93+'Dong Lam'!R93+'Khanh Nga'!R93+TDP!R93+DTRVL!R93</f>
        <v>0</v>
      </c>
      <c r="S93" s="64">
        <f>DTR!S93+'Dai Loc'!S93+'Dong Lam'!S93+'Khanh Nga'!S93+TDP!S93+DTRVL!S93</f>
        <v>0</v>
      </c>
      <c r="T93" s="64">
        <f>DTR!T93+'Dai Loc'!T93+'Dong Lam'!T93+'Khanh Nga'!T93+TDP!T93+DTRVL!T93</f>
        <v>0</v>
      </c>
      <c r="U93" s="64">
        <f>DTR!U93+'Dai Loc'!U93+'Dong Lam'!U93+'Khanh Nga'!U93+TDP!U93+DTRVL!U93</f>
        <v>0</v>
      </c>
      <c r="V93" s="64">
        <f>DTR!V93+'Dai Loc'!V93+'Dong Lam'!V93+'Khanh Nga'!V93+TDP!V93+DTRVL!V93</f>
        <v>0</v>
      </c>
      <c r="W93" s="64">
        <f>DTR!W93+'Dai Loc'!W93+'Dong Lam'!W93+'Khanh Nga'!W93+TDP!W93+DTRVL!W93</f>
        <v>0</v>
      </c>
      <c r="X93" s="64">
        <f>DTR!X93+'Dai Loc'!X93+'Dong Lam'!X93+'Khanh Nga'!X93+TDP!X93+DTRVL!X93</f>
        <v>0</v>
      </c>
      <c r="Y93" s="64">
        <f>DTR!Y93+'Dai Loc'!Y93+'Dong Lam'!Y93+'Khanh Nga'!Y93+TDP!Y93+DTRVL!Y93</f>
        <v>0</v>
      </c>
      <c r="Z93" s="64">
        <f>DTR!Z93+'Dai Loc'!Z93+'Dong Lam'!Z93+'Khanh Nga'!Z93+TDP!Z93+DTRVL!Z93</f>
        <v>0</v>
      </c>
    </row>
    <row r="94" spans="1:28" ht="15" hidden="1" customHeight="1" outlineLevel="1">
      <c r="A94" s="67" t="s">
        <v>178</v>
      </c>
      <c r="B94" s="63">
        <v>89</v>
      </c>
      <c r="C94" s="64">
        <f>DTR!C94+'Dai Loc'!C94+'Dong Lam'!C94+'Khanh Nga'!C94+TDP!C94+DTRVL!C94</f>
        <v>0</v>
      </c>
      <c r="D94" s="64">
        <f>DTR!D94+'Dai Loc'!D94+'Dong Lam'!D94+'Khanh Nga'!D94+TDP!D94+DTRVL!D94</f>
        <v>0</v>
      </c>
      <c r="E94" s="64">
        <f>DTR!E94+'Dai Loc'!E94+'Dong Lam'!E94+'Khanh Nga'!E94+TDP!E94+DTRVL!E94</f>
        <v>0</v>
      </c>
      <c r="F94" s="64">
        <f>DTR!F94+'Dai Loc'!F94+'Dong Lam'!F94+'Khanh Nga'!F94+TDP!F94+DTRVL!F94</f>
        <v>0</v>
      </c>
      <c r="G94" s="64">
        <f>DTR!G94+'Dai Loc'!G94+'Dong Lam'!G94+'Khanh Nga'!G94+TDP!G94+DTRVL!G94</f>
        <v>0</v>
      </c>
      <c r="H94" s="64">
        <f>DTR!H94+'Dai Loc'!H94+'Dong Lam'!H94+'Khanh Nga'!H94+TDP!H94+DTRVL!H94</f>
        <v>0</v>
      </c>
      <c r="I94" s="64">
        <f>DTR!I94+'Dai Loc'!I94+'Dong Lam'!I94+'Khanh Nga'!I94+TDP!I94+DTRVL!I94</f>
        <v>0</v>
      </c>
      <c r="J94" s="64">
        <f>DTR!J94+'Dai Loc'!J94+'Dong Lam'!J94+'Khanh Nga'!J94+TDP!J94+DTRVL!J94</f>
        <v>0</v>
      </c>
      <c r="K94" s="64">
        <f>DTR!K94+'Dai Loc'!K94+'Dong Lam'!K94+'Khanh Nga'!K94+TDP!K94+DTRVL!K94</f>
        <v>0</v>
      </c>
      <c r="L94" s="64">
        <f>DTR!L94+'Dai Loc'!L94+'Dong Lam'!L94+'Khanh Nga'!L94+TDP!L94+DTRVL!L94</f>
        <v>0</v>
      </c>
      <c r="M94" s="64">
        <f>DTR!M94+'Dai Loc'!M94+'Dong Lam'!M94+'Khanh Nga'!M94+TDP!M94+DTRVL!M94</f>
        <v>0</v>
      </c>
      <c r="N94" s="64">
        <f>DTR!N94+'Dai Loc'!N94+'Dong Lam'!N94+'Khanh Nga'!N94+TDP!N94+DTRVL!N94</f>
        <v>0</v>
      </c>
      <c r="O94" s="64">
        <f>DTR!O94+'Dai Loc'!O94+'Dong Lam'!O94+'Khanh Nga'!O94+TDP!O94+DTRVL!O94</f>
        <v>0</v>
      </c>
      <c r="P94" s="64">
        <f>DTR!P94+'Dai Loc'!P94+'Dong Lam'!P94+'Khanh Nga'!P94+TDP!P94+DTRVL!P94</f>
        <v>0</v>
      </c>
      <c r="Q94" s="64">
        <f>DTR!Q94+'Dai Loc'!Q94+'Dong Lam'!Q94+'Khanh Nga'!Q94+TDP!Q94+DTRVL!Q94</f>
        <v>0</v>
      </c>
      <c r="R94" s="64">
        <f>DTR!R94+'Dai Loc'!R94+'Dong Lam'!R94+'Khanh Nga'!R94+TDP!R94+DTRVL!R94</f>
        <v>0</v>
      </c>
      <c r="S94" s="64">
        <f>DTR!S94+'Dai Loc'!S94+'Dong Lam'!S94+'Khanh Nga'!S94+TDP!S94+DTRVL!S94</f>
        <v>0</v>
      </c>
      <c r="T94" s="64">
        <f>DTR!T94+'Dai Loc'!T94+'Dong Lam'!T94+'Khanh Nga'!T94+TDP!T94+DTRVL!T94</f>
        <v>0</v>
      </c>
      <c r="U94" s="64">
        <f>DTR!U94+'Dai Loc'!U94+'Dong Lam'!U94+'Khanh Nga'!U94+TDP!U94+DTRVL!U94</f>
        <v>0</v>
      </c>
      <c r="V94" s="64">
        <f>DTR!V94+'Dai Loc'!V94+'Dong Lam'!V94+'Khanh Nga'!V94+TDP!V94+DTRVL!V94</f>
        <v>0</v>
      </c>
      <c r="W94" s="64">
        <f>DTR!W94+'Dai Loc'!W94+'Dong Lam'!W94+'Khanh Nga'!W94+TDP!W94+DTRVL!W94</f>
        <v>0</v>
      </c>
      <c r="X94" s="64">
        <f>DTR!X94+'Dai Loc'!X94+'Dong Lam'!X94+'Khanh Nga'!X94+TDP!X94+DTRVL!X94</f>
        <v>0</v>
      </c>
      <c r="Y94" s="64">
        <f>DTR!Y94+'Dai Loc'!Y94+'Dong Lam'!Y94+'Khanh Nga'!Y94+TDP!Y94+DTRVL!Y94</f>
        <v>0</v>
      </c>
      <c r="Z94" s="64">
        <f>DTR!Z94+'Dai Loc'!Z94+'Dong Lam'!Z94+'Khanh Nga'!Z94+TDP!Z94+DTRVL!Z94</f>
        <v>0</v>
      </c>
    </row>
    <row r="95" spans="1:28" ht="15" hidden="1" customHeight="1" outlineLevel="1">
      <c r="A95" s="67" t="s">
        <v>179</v>
      </c>
      <c r="B95" s="63">
        <v>90</v>
      </c>
      <c r="C95" s="64">
        <f>DTR!C95+'Dai Loc'!C95+'Dong Lam'!C95+'Khanh Nga'!C95+TDP!C95+DTRVL!C95</f>
        <v>20696481661</v>
      </c>
      <c r="D95" s="64">
        <f>DTR!D95+'Dai Loc'!D95+'Dong Lam'!D95+'Khanh Nga'!D95+TDP!D95+DTRVL!D95</f>
        <v>20595840087</v>
      </c>
      <c r="E95" s="64">
        <f>DTR!E95+'Dai Loc'!E95+'Dong Lam'!E95+'Khanh Nga'!E95+TDP!E95+DTRVL!E95</f>
        <v>26813125892.860001</v>
      </c>
      <c r="F95" s="64">
        <f>DTR!F95+'Dai Loc'!F95+'Dong Lam'!F95+'Khanh Nga'!F95+TDP!F95+DTRVL!F95</f>
        <v>27765488547.882</v>
      </c>
      <c r="G95" s="64">
        <f>DTR!G95+'Dai Loc'!G95+'Dong Lam'!G95+'Khanh Nga'!G95+TDP!G95+DTRVL!G95</f>
        <v>20403961843</v>
      </c>
      <c r="H95" s="64">
        <f>DTR!H95+'Dai Loc'!H95+'Dong Lam'!H95+'Khanh Nga'!H95+TDP!H95+DTRVL!H95</f>
        <v>8973254724</v>
      </c>
      <c r="I95" s="64">
        <f>DTR!I95+'Dai Loc'!I95+'Dong Lam'!I95+'Khanh Nga'!I95+TDP!I95+DTRVL!I95</f>
        <v>9334621417</v>
      </c>
      <c r="J95" s="64">
        <f>DTR!J95+'Dai Loc'!J95+'Dong Lam'!J95+'Khanh Nga'!J95+TDP!J95+DTRVL!J95</f>
        <v>12038191666</v>
      </c>
      <c r="K95" s="64">
        <f>DTR!K95+'Dai Loc'!K95+'Dong Lam'!K95+'Khanh Nga'!K95+TDP!K95+DTRVL!K95</f>
        <v>14568081439</v>
      </c>
      <c r="L95" s="64">
        <f>DTR!L95+'Dai Loc'!L95+'Dong Lam'!L95+'Khanh Nga'!L95+TDP!L95+DTRVL!L95</f>
        <v>9244155132</v>
      </c>
      <c r="M95" s="64">
        <f>DTR!M95+'Dai Loc'!M95+'Dong Lam'!M95+'Khanh Nga'!M95+TDP!M95+DTRVL!M95</f>
        <v>12004819534</v>
      </c>
      <c r="N95" s="64">
        <f>DTR!N95+'Dai Loc'!N95+'Dong Lam'!N95+'Khanh Nga'!N95+TDP!N95+DTRVL!N95</f>
        <v>11216627279.482</v>
      </c>
      <c r="O95" s="64">
        <f>DTR!O95+'Dai Loc'!O95+'Dong Lam'!O95+'Khanh Nga'!O95+TDP!O95+DTRVL!O95</f>
        <v>11890639716</v>
      </c>
      <c r="P95" s="64">
        <f>DTR!P95+'Dai Loc'!P95+'Dong Lam'!P95+'Khanh Nga'!P95+TDP!P95+DTRVL!P95</f>
        <v>15214207492</v>
      </c>
      <c r="Q95" s="64">
        <f>DTR!Q95+'Dai Loc'!Q95+'Dong Lam'!Q95+'Khanh Nga'!Q95+TDP!Q95+DTRVL!Q95</f>
        <v>13274237856.482</v>
      </c>
      <c r="R95" s="64">
        <f>DTR!R95+'Dai Loc'!R95+'Dong Lam'!R95+'Khanh Nga'!R95+TDP!R95+DTRVL!R95</f>
        <v>23351476909</v>
      </c>
      <c r="S95" s="64">
        <f>DTR!S95+'Dai Loc'!S95+'Dong Lam'!S95+'Khanh Nga'!S95+TDP!S95+DTRVL!S95</f>
        <v>33444587733</v>
      </c>
      <c r="T95" s="64">
        <f>DTR!T95+'Dai Loc'!T95+'Dong Lam'!T95+'Khanh Nga'!T95+TDP!T95+DTRVL!T95</f>
        <v>19043714839.482002</v>
      </c>
      <c r="U95" s="64">
        <f>DTR!U95+'Dai Loc'!U95+'Dong Lam'!U95+'Khanh Nga'!U95+TDP!U95+DTRVL!U95</f>
        <v>17481729946.482101</v>
      </c>
      <c r="V95" s="64">
        <f>DTR!V95+'Dai Loc'!V95+'Dong Lam'!V95+'Khanh Nga'!V95+TDP!V95+DTRVL!V95</f>
        <v>19912766033.482101</v>
      </c>
      <c r="W95" s="64">
        <f>DTR!W95+'Dai Loc'!W95+'Dong Lam'!W95+'Khanh Nga'!W95+TDP!W95+DTRVL!W95</f>
        <v>9977435941.4820004</v>
      </c>
      <c r="X95" s="64">
        <f>DTR!X95+'Dai Loc'!X95+'Dong Lam'!X95+'Khanh Nga'!X95+TDP!X95+DTRVL!X95</f>
        <v>10333921176.482</v>
      </c>
      <c r="Y95" s="64">
        <f>DTR!Y95+'Dai Loc'!Y95+'Dong Lam'!Y95+'Khanh Nga'!Y95+TDP!Y95+DTRVL!Y95</f>
        <v>11722247952.482</v>
      </c>
      <c r="Z95" s="64">
        <f>DTR!Z95+'Dai Loc'!Z95+'Dong Lam'!Z95+'Khanh Nga'!Z95+TDP!Z95+DTRVL!Z95</f>
        <v>9789616230</v>
      </c>
    </row>
    <row r="96" spans="1:28" ht="15" hidden="1" customHeight="1" outlineLevel="1">
      <c r="A96" s="67" t="s">
        <v>180</v>
      </c>
      <c r="B96" s="63">
        <v>91</v>
      </c>
      <c r="C96" s="64">
        <f>DTR!C96+'Dai Loc'!C96+'Dong Lam'!C96+'Khanh Nga'!C96+TDP!C96+DTRVL!C96</f>
        <v>62822745245</v>
      </c>
      <c r="D96" s="64">
        <f>DTR!D96+'Dai Loc'!D96+'Dong Lam'!D96+'Khanh Nga'!D96+TDP!D96+DTRVL!D96</f>
        <v>57847834995</v>
      </c>
      <c r="E96" s="64">
        <f>DTR!E96+'Dai Loc'!E96+'Dong Lam'!E96+'Khanh Nga'!E96+TDP!E96+DTRVL!E96</f>
        <v>101832582537</v>
      </c>
      <c r="F96" s="64">
        <f>DTR!F96+'Dai Loc'!F96+'Dong Lam'!F96+'Khanh Nga'!F96+TDP!F96+DTRVL!F96</f>
        <v>144977288403</v>
      </c>
      <c r="G96" s="64">
        <f>DTR!G96+'Dai Loc'!G96+'Dong Lam'!G96+'Khanh Nga'!G96+TDP!G96+DTRVL!G96</f>
        <v>178905916168</v>
      </c>
      <c r="H96" s="64">
        <f>DTR!H96+'Dai Loc'!H96+'Dong Lam'!H96+'Khanh Nga'!H96+TDP!H96+DTRVL!H96</f>
        <v>190748518955</v>
      </c>
      <c r="I96" s="64">
        <f>DTR!I96+'Dai Loc'!I96+'Dong Lam'!I96+'Khanh Nga'!I96+TDP!I96+DTRVL!I96</f>
        <v>168894814805</v>
      </c>
      <c r="J96" s="64">
        <f>DTR!J96+'Dai Loc'!J96+'Dong Lam'!J96+'Khanh Nga'!J96+TDP!J96+DTRVL!J96</f>
        <v>126048766562</v>
      </c>
      <c r="K96" s="64">
        <f>DTR!K96+'Dai Loc'!K96+'Dong Lam'!K96+'Khanh Nga'!K96+TDP!K96+DTRVL!K96</f>
        <v>139654417984</v>
      </c>
      <c r="L96" s="64">
        <f>DTR!L96+'Dai Loc'!L96+'Dong Lam'!L96+'Khanh Nga'!L96+TDP!L96+DTRVL!L96</f>
        <v>155306260478</v>
      </c>
      <c r="M96" s="64">
        <f>DTR!M96+'Dai Loc'!M96+'Dong Lam'!M96+'Khanh Nga'!M96+TDP!M96+DTRVL!M96</f>
        <v>165536679982</v>
      </c>
      <c r="N96" s="64">
        <f>DTR!N96+'Dai Loc'!N96+'Dong Lam'!N96+'Khanh Nga'!N96+TDP!N96+DTRVL!N96</f>
        <v>192629821718</v>
      </c>
      <c r="O96" s="64">
        <f>DTR!O96+'Dai Loc'!O96+'Dong Lam'!O96+'Khanh Nga'!O96+TDP!O96+DTRVL!O96</f>
        <v>134925554251</v>
      </c>
      <c r="P96" s="64">
        <f>DTR!P96+'Dai Loc'!P96+'Dong Lam'!P96+'Khanh Nga'!P96+TDP!P96+DTRVL!P96</f>
        <v>43611829278</v>
      </c>
      <c r="Q96" s="64">
        <f>DTR!Q96+'Dai Loc'!Q96+'Dong Lam'!Q96+'Khanh Nga'!Q96+TDP!Q96+DTRVL!Q96</f>
        <v>98003020481</v>
      </c>
      <c r="R96" s="64">
        <f>DTR!R96+'Dai Loc'!R96+'Dong Lam'!R96+'Khanh Nga'!R96+TDP!R96+DTRVL!R96</f>
        <v>172928907420</v>
      </c>
      <c r="S96" s="64">
        <f>DTR!S96+'Dai Loc'!S96+'Dong Lam'!S96+'Khanh Nga'!S96+TDP!S96+DTRVL!S96</f>
        <v>200666324688</v>
      </c>
      <c r="T96" s="64">
        <f>DTR!T96+'Dai Loc'!T96+'Dong Lam'!T96+'Khanh Nga'!T96+TDP!T96+DTRVL!T96</f>
        <v>238388679271</v>
      </c>
      <c r="U96" s="64">
        <f>DTR!U96+'Dai Loc'!U96+'Dong Lam'!U96+'Khanh Nga'!U96+TDP!U96+DTRVL!U96</f>
        <v>250573370780</v>
      </c>
      <c r="V96" s="64">
        <f>DTR!V96+'Dai Loc'!V96+'Dong Lam'!V96+'Khanh Nga'!V96+TDP!V96+DTRVL!V96</f>
        <v>294832243750</v>
      </c>
      <c r="W96" s="64">
        <f>DTR!W96+'Dai Loc'!W96+'Dong Lam'!W96+'Khanh Nga'!W96+TDP!W96+DTRVL!W96</f>
        <v>309616499760</v>
      </c>
      <c r="X96" s="64">
        <f>DTR!X96+'Dai Loc'!X96+'Dong Lam'!X96+'Khanh Nga'!X96+TDP!X96+DTRVL!X96</f>
        <v>263334816592</v>
      </c>
      <c r="Y96" s="64">
        <f>DTR!Y96+'Dai Loc'!Y96+'Dong Lam'!Y96+'Khanh Nga'!Y96+TDP!Y96+DTRVL!Y96</f>
        <v>254700704679</v>
      </c>
      <c r="Z96" s="64">
        <f>DTR!Z96+'Dai Loc'!Z96+'Dong Lam'!Z96+'Khanh Nga'!Z96+TDP!Z96+DTRVL!Z96</f>
        <v>262225979238</v>
      </c>
    </row>
    <row r="97" spans="1:26" ht="15" hidden="1" customHeight="1" outlineLevel="1">
      <c r="A97" s="67" t="s">
        <v>181</v>
      </c>
      <c r="B97" s="63">
        <v>92</v>
      </c>
      <c r="C97" s="64">
        <f>DTR!C97+'Dai Loc'!C97+'Dong Lam'!C97+'Khanh Nga'!C97+TDP!C97+DTRVL!C97</f>
        <v>0</v>
      </c>
      <c r="D97" s="64">
        <f>DTR!D97+'Dai Loc'!D97+'Dong Lam'!D97+'Khanh Nga'!D97+TDP!D97+DTRVL!D97</f>
        <v>0</v>
      </c>
      <c r="E97" s="64">
        <f>DTR!E97+'Dai Loc'!E97+'Dong Lam'!E97+'Khanh Nga'!E97+TDP!E97+DTRVL!E97</f>
        <v>0</v>
      </c>
      <c r="F97" s="64">
        <f>DTR!F97+'Dai Loc'!F97+'Dong Lam'!F97+'Khanh Nga'!F97+TDP!F97+DTRVL!F97</f>
        <v>0</v>
      </c>
      <c r="G97" s="64">
        <f>DTR!G97+'Dai Loc'!G97+'Dong Lam'!G97+'Khanh Nga'!G97+TDP!G97+DTRVL!G97</f>
        <v>0</v>
      </c>
      <c r="H97" s="64">
        <f>DTR!H97+'Dai Loc'!H97+'Dong Lam'!H97+'Khanh Nga'!H97+TDP!H97+DTRVL!H97</f>
        <v>0</v>
      </c>
      <c r="I97" s="64">
        <f>DTR!I97+'Dai Loc'!I97+'Dong Lam'!I97+'Khanh Nga'!I97+TDP!I97+DTRVL!I97</f>
        <v>0</v>
      </c>
      <c r="J97" s="64">
        <f>DTR!J97+'Dai Loc'!J97+'Dong Lam'!J97+'Khanh Nga'!J97+TDP!J97+DTRVL!J97</f>
        <v>0</v>
      </c>
      <c r="K97" s="64">
        <f>DTR!K97+'Dai Loc'!K97+'Dong Lam'!K97+'Khanh Nga'!K97+TDP!K97+DTRVL!K97</f>
        <v>0</v>
      </c>
      <c r="L97" s="64">
        <f>DTR!L97+'Dai Loc'!L97+'Dong Lam'!L97+'Khanh Nga'!L97+TDP!L97+DTRVL!L97</f>
        <v>0</v>
      </c>
      <c r="M97" s="64">
        <f>DTR!M97+'Dai Loc'!M97+'Dong Lam'!M97+'Khanh Nga'!M97+TDP!M97+DTRVL!M97</f>
        <v>0</v>
      </c>
      <c r="N97" s="64">
        <f>DTR!N97+'Dai Loc'!N97+'Dong Lam'!N97+'Khanh Nga'!N97+TDP!N97+DTRVL!N97</f>
        <v>0</v>
      </c>
      <c r="O97" s="64">
        <f>DTR!O97+'Dai Loc'!O97+'Dong Lam'!O97+'Khanh Nga'!O97+TDP!O97+DTRVL!O97</f>
        <v>0</v>
      </c>
      <c r="P97" s="64">
        <f>DTR!P97+'Dai Loc'!P97+'Dong Lam'!P97+'Khanh Nga'!P97+TDP!P97+DTRVL!P97</f>
        <v>0</v>
      </c>
      <c r="Q97" s="64">
        <f>DTR!Q97+'Dai Loc'!Q97+'Dong Lam'!Q97+'Khanh Nga'!Q97+TDP!Q97+DTRVL!Q97</f>
        <v>0</v>
      </c>
      <c r="R97" s="64">
        <f>DTR!R97+'Dai Loc'!R97+'Dong Lam'!R97+'Khanh Nga'!R97+TDP!R97+DTRVL!R97</f>
        <v>0</v>
      </c>
      <c r="S97" s="64">
        <f>DTR!S97+'Dai Loc'!S97+'Dong Lam'!S97+'Khanh Nga'!S97+TDP!S97+DTRVL!S97</f>
        <v>0</v>
      </c>
      <c r="T97" s="64">
        <f>DTR!T97+'Dai Loc'!T97+'Dong Lam'!T97+'Khanh Nga'!T97+TDP!T97+DTRVL!T97</f>
        <v>0</v>
      </c>
      <c r="U97" s="64">
        <f>DTR!U97+'Dai Loc'!U97+'Dong Lam'!U97+'Khanh Nga'!U97+TDP!U97+DTRVL!U97</f>
        <v>0</v>
      </c>
      <c r="V97" s="64">
        <f>DTR!V97+'Dai Loc'!V97+'Dong Lam'!V97+'Khanh Nga'!V97+TDP!V97+DTRVL!V97</f>
        <v>0</v>
      </c>
      <c r="W97" s="64">
        <f>DTR!W97+'Dai Loc'!W97+'Dong Lam'!W97+'Khanh Nga'!W97+TDP!W97+DTRVL!W97</f>
        <v>0</v>
      </c>
      <c r="X97" s="64">
        <f>DTR!X97+'Dai Loc'!X97+'Dong Lam'!X97+'Khanh Nga'!X97+TDP!X97+DTRVL!X97</f>
        <v>0</v>
      </c>
      <c r="Y97" s="64">
        <f>DTR!Y97+'Dai Loc'!Y97+'Dong Lam'!Y97+'Khanh Nga'!Y97+TDP!Y97+DTRVL!Y97</f>
        <v>0</v>
      </c>
      <c r="Z97" s="64">
        <f>DTR!Z97+'Dai Loc'!Z97+'Dong Lam'!Z97+'Khanh Nga'!Z97+TDP!Z97+DTRVL!Z97</f>
        <v>0</v>
      </c>
    </row>
    <row r="98" spans="1:26" ht="15" hidden="1" customHeight="1" outlineLevel="1">
      <c r="A98" s="67" t="s">
        <v>182</v>
      </c>
      <c r="B98" s="63">
        <v>93</v>
      </c>
      <c r="C98" s="64">
        <f>DTR!C98+'Dai Loc'!C98+'Dong Lam'!C98+'Khanh Nga'!C98+TDP!C98+DTRVL!C98</f>
        <v>376893824</v>
      </c>
      <c r="D98" s="64">
        <f>DTR!D98+'Dai Loc'!D98+'Dong Lam'!D98+'Khanh Nga'!D98+TDP!D98+DTRVL!D98</f>
        <v>246893824</v>
      </c>
      <c r="E98" s="64">
        <f>DTR!E98+'Dai Loc'!E98+'Dong Lam'!E98+'Khanh Nga'!E98+TDP!E98+DTRVL!E98</f>
        <v>246893824</v>
      </c>
      <c r="F98" s="64">
        <f>DTR!F98+'Dai Loc'!F98+'Dong Lam'!F98+'Khanh Nga'!F98+TDP!F98+DTRVL!F98</f>
        <v>246893824</v>
      </c>
      <c r="G98" s="64">
        <f>DTR!G98+'Dai Loc'!G98+'Dong Lam'!G98+'Khanh Nga'!G98+TDP!G98+DTRVL!G98</f>
        <v>246893824</v>
      </c>
      <c r="H98" s="64">
        <f>DTR!H98+'Dai Loc'!H98+'Dong Lam'!H98+'Khanh Nga'!H98+TDP!H98+DTRVL!H98</f>
        <v>246893824</v>
      </c>
      <c r="I98" s="64">
        <f>DTR!I98+'Dai Loc'!I98+'Dong Lam'!I98+'Khanh Nga'!I98+TDP!I98+DTRVL!I98</f>
        <v>230393824</v>
      </c>
      <c r="J98" s="64">
        <f>DTR!J98+'Dai Loc'!J98+'Dong Lam'!J98+'Khanh Nga'!J98+TDP!J98+DTRVL!J98</f>
        <v>226143824</v>
      </c>
      <c r="K98" s="64">
        <f>DTR!K98+'Dai Loc'!K98+'Dong Lam'!K98+'Khanh Nga'!K98+TDP!K98+DTRVL!K98</f>
        <v>695903824</v>
      </c>
      <c r="L98" s="64">
        <f>DTR!L98+'Dai Loc'!L98+'Dong Lam'!L98+'Khanh Nga'!L98+TDP!L98+DTRVL!L98</f>
        <v>1411463824</v>
      </c>
      <c r="M98" s="64">
        <f>DTR!M98+'Dai Loc'!M98+'Dong Lam'!M98+'Khanh Nga'!M98+TDP!M98+DTRVL!M98</f>
        <v>1397629380</v>
      </c>
      <c r="N98" s="64">
        <f>DTR!N98+'Dai Loc'!N98+'Dong Lam'!N98+'Khanh Nga'!N98+TDP!N98+DTRVL!N98</f>
        <v>1222249720</v>
      </c>
      <c r="O98" s="64">
        <f>DTR!O98+'Dai Loc'!O98+'Dong Lam'!O98+'Khanh Nga'!O98+TDP!O98+DTRVL!O98</f>
        <v>937249720</v>
      </c>
      <c r="P98" s="64">
        <f>DTR!P98+'Dai Loc'!P98+'Dong Lam'!P98+'Khanh Nga'!P98+TDP!P98+DTRVL!P98</f>
        <v>927249720</v>
      </c>
      <c r="Q98" s="64">
        <f>DTR!Q98+'Dai Loc'!Q98+'Dong Lam'!Q98+'Khanh Nga'!Q98+TDP!Q98+DTRVL!Q98</f>
        <v>914665720</v>
      </c>
      <c r="R98" s="64">
        <f>DTR!R98+'Dai Loc'!R98+'Dong Lam'!R98+'Khanh Nga'!R98+TDP!R98+DTRVL!R98</f>
        <v>909665720</v>
      </c>
      <c r="S98" s="64">
        <f>DTR!S98+'Dai Loc'!S98+'Dong Lam'!S98+'Khanh Nga'!S98+TDP!S98+DTRVL!S98</f>
        <v>906665720</v>
      </c>
      <c r="T98" s="64">
        <f>DTR!T98+'Dai Loc'!T98+'Dong Lam'!T98+'Khanh Nga'!T98+TDP!T98+DTRVL!T98</f>
        <v>906665720</v>
      </c>
      <c r="U98" s="64">
        <f>DTR!U98+'Dai Loc'!U98+'Dong Lam'!U98+'Khanh Nga'!U98+TDP!U98+DTRVL!U98</f>
        <v>899772466</v>
      </c>
      <c r="V98" s="64">
        <f>DTR!V98+'Dai Loc'!V98+'Dong Lam'!V98+'Khanh Nga'!V98+TDP!V98+DTRVL!V98</f>
        <v>680992466</v>
      </c>
      <c r="W98" s="64">
        <f>DTR!W98+'Dai Loc'!W98+'Dong Lam'!W98+'Khanh Nga'!W98+TDP!W98+DTRVL!W98</f>
        <v>1436632466</v>
      </c>
      <c r="X98" s="64">
        <f>DTR!X98+'Dai Loc'!X98+'Dong Lam'!X98+'Khanh Nga'!X98+TDP!X98+DTRVL!X98</f>
        <v>1436632466</v>
      </c>
      <c r="Y98" s="64">
        <f>DTR!Y98+'Dai Loc'!Y98+'Dong Lam'!Y98+'Khanh Nga'!Y98+TDP!Y98+DTRVL!Y98</f>
        <v>1436632466</v>
      </c>
      <c r="Z98" s="64">
        <f>DTR!Z98+'Dai Loc'!Z98+'Dong Lam'!Z98+'Khanh Nga'!Z98+TDP!Z98+DTRVL!Z98</f>
        <v>1434532466</v>
      </c>
    </row>
    <row r="99" spans="1:26" ht="15" hidden="1" customHeight="1" outlineLevel="1">
      <c r="A99" s="68" t="s">
        <v>183</v>
      </c>
      <c r="B99" s="63">
        <v>94</v>
      </c>
      <c r="C99" s="64">
        <f>DTR!C99+'Dai Loc'!C99+'Dong Lam'!C99+'Khanh Nga'!C99+TDP!C99+DTRVL!C99</f>
        <v>0</v>
      </c>
      <c r="D99" s="64">
        <f>DTR!D99+'Dai Loc'!D99+'Dong Lam'!D99+'Khanh Nga'!D99+TDP!D99+DTRVL!D99</f>
        <v>0</v>
      </c>
      <c r="E99" s="64">
        <f>DTR!E99+'Dai Loc'!E99+'Dong Lam'!E99+'Khanh Nga'!E99+TDP!E99+DTRVL!E99</f>
        <v>0</v>
      </c>
      <c r="F99" s="64">
        <f>DTR!F99+'Dai Loc'!F99+'Dong Lam'!F99+'Khanh Nga'!F99+TDP!F99+DTRVL!F99</f>
        <v>0</v>
      </c>
      <c r="G99" s="64">
        <f>DTR!G99+'Dai Loc'!G99+'Dong Lam'!G99+'Khanh Nga'!G99+TDP!G99+DTRVL!G99</f>
        <v>0</v>
      </c>
      <c r="H99" s="64">
        <f>DTR!H99+'Dai Loc'!H99+'Dong Lam'!H99+'Khanh Nga'!H99+TDP!H99+DTRVL!H99</f>
        <v>0</v>
      </c>
      <c r="I99" s="64">
        <f>DTR!I99+'Dai Loc'!I99+'Dong Lam'!I99+'Khanh Nga'!I99+TDP!I99+DTRVL!I99</f>
        <v>0</v>
      </c>
      <c r="J99" s="64">
        <f>DTR!J99+'Dai Loc'!J99+'Dong Lam'!J99+'Khanh Nga'!J99+TDP!J99+DTRVL!J99</f>
        <v>0</v>
      </c>
      <c r="K99" s="64">
        <f>DTR!K99+'Dai Loc'!K99+'Dong Lam'!K99+'Khanh Nga'!K99+TDP!K99+DTRVL!K99</f>
        <v>0</v>
      </c>
      <c r="L99" s="64">
        <f>DTR!L99+'Dai Loc'!L99+'Dong Lam'!L99+'Khanh Nga'!L99+TDP!L99+DTRVL!L99</f>
        <v>0</v>
      </c>
      <c r="M99" s="64">
        <f>DTR!M99+'Dai Loc'!M99+'Dong Lam'!M99+'Khanh Nga'!M99+TDP!M99+DTRVL!M99</f>
        <v>0</v>
      </c>
      <c r="N99" s="64">
        <f>DTR!N99+'Dai Loc'!N99+'Dong Lam'!N99+'Khanh Nga'!N99+TDP!N99+DTRVL!N99</f>
        <v>0</v>
      </c>
      <c r="O99" s="64">
        <f>DTR!O99+'Dai Loc'!O99+'Dong Lam'!O99+'Khanh Nga'!O99+TDP!O99+DTRVL!O99</f>
        <v>0</v>
      </c>
      <c r="P99" s="64">
        <f>DTR!P99+'Dai Loc'!P99+'Dong Lam'!P99+'Khanh Nga'!P99+TDP!P99+DTRVL!P99</f>
        <v>0</v>
      </c>
      <c r="Q99" s="64">
        <f>DTR!Q99+'Dai Loc'!Q99+'Dong Lam'!Q99+'Khanh Nga'!Q99+TDP!Q99+DTRVL!Q99</f>
        <v>0</v>
      </c>
      <c r="R99" s="64">
        <f>DTR!R99+'Dai Loc'!R99+'Dong Lam'!R99+'Khanh Nga'!R99+TDP!R99+DTRVL!R99</f>
        <v>0</v>
      </c>
      <c r="S99" s="64">
        <f>DTR!S99+'Dai Loc'!S99+'Dong Lam'!S99+'Khanh Nga'!S99+TDP!S99+DTRVL!S99</f>
        <v>0</v>
      </c>
      <c r="T99" s="64">
        <f>DTR!T99+'Dai Loc'!T99+'Dong Lam'!T99+'Khanh Nga'!T99+TDP!T99+DTRVL!T99</f>
        <v>0</v>
      </c>
      <c r="U99" s="64">
        <f>DTR!U99+'Dai Loc'!U99+'Dong Lam'!U99+'Khanh Nga'!U99+TDP!U99+DTRVL!U99</f>
        <v>0</v>
      </c>
      <c r="V99" s="64">
        <f>DTR!V99+'Dai Loc'!V99+'Dong Lam'!V99+'Khanh Nga'!V99+TDP!V99+DTRVL!V99</f>
        <v>0</v>
      </c>
      <c r="W99" s="64">
        <f>DTR!W99+'Dai Loc'!W99+'Dong Lam'!W99+'Khanh Nga'!W99+TDP!W99+DTRVL!W99</f>
        <v>0</v>
      </c>
      <c r="X99" s="64">
        <f>DTR!X99+'Dai Loc'!X99+'Dong Lam'!X99+'Khanh Nga'!X99+TDP!X99+DTRVL!X99</f>
        <v>0</v>
      </c>
      <c r="Y99" s="64">
        <f>DTR!Y99+'Dai Loc'!Y99+'Dong Lam'!Y99+'Khanh Nga'!Y99+TDP!Y99+DTRVL!Y99</f>
        <v>0</v>
      </c>
      <c r="Z99" s="64">
        <f>DTR!Z99+'Dai Loc'!Z99+'Dong Lam'!Z99+'Khanh Nga'!Z99+TDP!Z99+DTRVL!Z99</f>
        <v>0</v>
      </c>
    </row>
    <row r="100" spans="1:26" ht="15" hidden="1" customHeight="1" outlineLevel="1">
      <c r="A100" s="68" t="s">
        <v>184</v>
      </c>
      <c r="B100" s="63">
        <v>95</v>
      </c>
      <c r="C100" s="64">
        <f>DTR!C100+'Dai Loc'!C100+'Dong Lam'!C100+'Khanh Nga'!C100+TDP!C100+DTRVL!C100</f>
        <v>0</v>
      </c>
      <c r="D100" s="64">
        <f>DTR!D100+'Dai Loc'!D100+'Dong Lam'!D100+'Khanh Nga'!D100+TDP!D100+DTRVL!D100</f>
        <v>0</v>
      </c>
      <c r="E100" s="64">
        <f>DTR!E100+'Dai Loc'!E100+'Dong Lam'!E100+'Khanh Nga'!E100+TDP!E100+DTRVL!E100</f>
        <v>0</v>
      </c>
      <c r="F100" s="64">
        <f>DTR!F100+'Dai Loc'!F100+'Dong Lam'!F100+'Khanh Nga'!F100+TDP!F100+DTRVL!F100</f>
        <v>0</v>
      </c>
      <c r="G100" s="64">
        <f>DTR!G100+'Dai Loc'!G100+'Dong Lam'!G100+'Khanh Nga'!G100+TDP!G100+DTRVL!G100</f>
        <v>0</v>
      </c>
      <c r="H100" s="64">
        <f>DTR!H100+'Dai Loc'!H100+'Dong Lam'!H100+'Khanh Nga'!H100+TDP!H100+DTRVL!H100</f>
        <v>0</v>
      </c>
      <c r="I100" s="64">
        <f>DTR!I100+'Dai Loc'!I100+'Dong Lam'!I100+'Khanh Nga'!I100+TDP!I100+DTRVL!I100</f>
        <v>0</v>
      </c>
      <c r="J100" s="64">
        <f>DTR!J100+'Dai Loc'!J100+'Dong Lam'!J100+'Khanh Nga'!J100+TDP!J100+DTRVL!J100</f>
        <v>0</v>
      </c>
      <c r="K100" s="64">
        <f>DTR!K100+'Dai Loc'!K100+'Dong Lam'!K100+'Khanh Nga'!K100+TDP!K100+DTRVL!K100</f>
        <v>0</v>
      </c>
      <c r="L100" s="64">
        <f>DTR!L100+'Dai Loc'!L100+'Dong Lam'!L100+'Khanh Nga'!L100+TDP!L100+DTRVL!L100</f>
        <v>0</v>
      </c>
      <c r="M100" s="64">
        <f>DTR!M100+'Dai Loc'!M100+'Dong Lam'!M100+'Khanh Nga'!M100+TDP!M100+DTRVL!M100</f>
        <v>0</v>
      </c>
      <c r="N100" s="64">
        <f>DTR!N100+'Dai Loc'!N100+'Dong Lam'!N100+'Khanh Nga'!N100+TDP!N100+DTRVL!N100</f>
        <v>0</v>
      </c>
      <c r="O100" s="64">
        <f>DTR!O100+'Dai Loc'!O100+'Dong Lam'!O100+'Khanh Nga'!O100+TDP!O100+DTRVL!O100</f>
        <v>0</v>
      </c>
      <c r="P100" s="64">
        <f>DTR!P100+'Dai Loc'!P100+'Dong Lam'!P100+'Khanh Nga'!P100+TDP!P100+DTRVL!P100</f>
        <v>0</v>
      </c>
      <c r="Q100" s="64">
        <f>DTR!Q100+'Dai Loc'!Q100+'Dong Lam'!Q100+'Khanh Nga'!Q100+TDP!Q100+DTRVL!Q100</f>
        <v>0</v>
      </c>
      <c r="R100" s="64">
        <f>DTR!R100+'Dai Loc'!R100+'Dong Lam'!R100+'Khanh Nga'!R100+TDP!R100+DTRVL!R100</f>
        <v>0</v>
      </c>
      <c r="S100" s="64">
        <f>DTR!S100+'Dai Loc'!S100+'Dong Lam'!S100+'Khanh Nga'!S100+TDP!S100+DTRVL!S100</f>
        <v>0</v>
      </c>
      <c r="T100" s="64">
        <f>DTR!T100+'Dai Loc'!T100+'Dong Lam'!T100+'Khanh Nga'!T100+TDP!T100+DTRVL!T100</f>
        <v>0</v>
      </c>
      <c r="U100" s="64">
        <f>DTR!U100+'Dai Loc'!U100+'Dong Lam'!U100+'Khanh Nga'!U100+TDP!U100+DTRVL!U100</f>
        <v>0</v>
      </c>
      <c r="V100" s="64">
        <f>DTR!V100+'Dai Loc'!V100+'Dong Lam'!V100+'Khanh Nga'!V100+TDP!V100+DTRVL!V100</f>
        <v>0</v>
      </c>
      <c r="W100" s="64">
        <f>DTR!W100+'Dai Loc'!W100+'Dong Lam'!W100+'Khanh Nga'!W100+TDP!W100+DTRVL!W100</f>
        <v>0</v>
      </c>
      <c r="X100" s="64">
        <f>DTR!X100+'Dai Loc'!X100+'Dong Lam'!X100+'Khanh Nga'!X100+TDP!X100+DTRVL!X100</f>
        <v>0</v>
      </c>
      <c r="Y100" s="64">
        <f>DTR!Y100+'Dai Loc'!Y100+'Dong Lam'!Y100+'Khanh Nga'!Y100+TDP!Y100+DTRVL!Y100</f>
        <v>0</v>
      </c>
      <c r="Z100" s="64">
        <f>DTR!Z100+'Dai Loc'!Z100+'Dong Lam'!Z100+'Khanh Nga'!Z100+TDP!Z100+DTRVL!Z100</f>
        <v>0</v>
      </c>
    </row>
    <row r="101" spans="1:26" ht="15" hidden="1" customHeight="1" outlineLevel="1">
      <c r="A101" s="72" t="s">
        <v>185</v>
      </c>
      <c r="B101" s="65">
        <v>96</v>
      </c>
      <c r="C101" s="64">
        <f>DTR!C101+'Dai Loc'!C101+'Dong Lam'!C101+'Khanh Nga'!C101+TDP!C101+DTRVL!C101</f>
        <v>110386411070</v>
      </c>
      <c r="D101" s="64">
        <f>DTR!D101+'Dai Loc'!D101+'Dong Lam'!D101+'Khanh Nga'!D101+TDP!D101+DTRVL!D101</f>
        <v>110292351070</v>
      </c>
      <c r="E101" s="64">
        <f>DTR!E101+'Dai Loc'!E101+'Dong Lam'!E101+'Khanh Nga'!E101+TDP!E101+DTRVL!E101</f>
        <v>110233351070</v>
      </c>
      <c r="F101" s="64">
        <f>DTR!F101+'Dai Loc'!F101+'Dong Lam'!F101+'Khanh Nga'!F101+TDP!F101+DTRVL!F101</f>
        <v>109938157678</v>
      </c>
      <c r="G101" s="64">
        <f>DTR!G101+'Dai Loc'!G101+'Dong Lam'!G101+'Khanh Nga'!G101+TDP!G101+DTRVL!G101</f>
        <v>107984867678</v>
      </c>
      <c r="H101" s="64">
        <f>DTR!H101+'Dai Loc'!H101+'Dong Lam'!H101+'Khanh Nga'!H101+TDP!H101+DTRVL!H101</f>
        <v>109314035678</v>
      </c>
      <c r="I101" s="64">
        <f>DTR!I101+'Dai Loc'!I101+'Dong Lam'!I101+'Khanh Nga'!I101+TDP!I101+DTRVL!I101</f>
        <v>109426842286</v>
      </c>
      <c r="J101" s="64">
        <f>DTR!J101+'Dai Loc'!J101+'Dong Lam'!J101+'Khanh Nga'!J101+TDP!J101+DTRVL!J101</f>
        <v>108769782286</v>
      </c>
      <c r="K101" s="64">
        <f>DTR!K101+'Dai Loc'!K101+'Dong Lam'!K101+'Khanh Nga'!K101+TDP!K101+DTRVL!K101</f>
        <v>109364782286</v>
      </c>
      <c r="L101" s="64">
        <f>DTR!L101+'Dai Loc'!L101+'Dong Lam'!L101+'Khanh Nga'!L101+TDP!L101+DTRVL!L101</f>
        <v>109588588894</v>
      </c>
      <c r="M101" s="64">
        <f>DTR!M101+'Dai Loc'!M101+'Dong Lam'!M101+'Khanh Nga'!M101+TDP!M101+DTRVL!M101</f>
        <v>136214528894</v>
      </c>
      <c r="N101" s="64">
        <f>DTR!N101+'Dai Loc'!N101+'Dong Lam'!N101+'Khanh Nga'!N101+TDP!N101+DTRVL!N101</f>
        <v>117507345522</v>
      </c>
      <c r="O101" s="64">
        <f>DTR!O101+'Dai Loc'!O101+'Dong Lam'!O101+'Khanh Nga'!O101+TDP!O101+DTRVL!O101</f>
        <v>141180341946</v>
      </c>
      <c r="P101" s="64">
        <f>DTR!P101+'Dai Loc'!P101+'Dong Lam'!P101+'Khanh Nga'!P101+TDP!P101+DTRVL!P101</f>
        <v>136932504168</v>
      </c>
      <c r="Q101" s="64">
        <f>DTR!Q101+'Dai Loc'!Q101+'Dong Lam'!Q101+'Khanh Nga'!Q101+TDP!Q101+DTRVL!Q101</f>
        <v>136095726390</v>
      </c>
      <c r="R101" s="64">
        <f>DTR!R101+'Dai Loc'!R101+'Dong Lam'!R101+'Khanh Nga'!R101+TDP!R101+DTRVL!R101</f>
        <v>135022755220</v>
      </c>
      <c r="S101" s="64">
        <f>DTR!S101+'Dai Loc'!S101+'Dong Lam'!S101+'Khanh Nga'!S101+TDP!S101+DTRVL!S101</f>
        <v>130774917442</v>
      </c>
      <c r="T101" s="64">
        <f>DTR!T101+'Dai Loc'!T101+'Dong Lam'!T101+'Khanh Nga'!T101+TDP!T101+DTRVL!T101</f>
        <v>109891791394</v>
      </c>
      <c r="U101" s="64">
        <f>DTR!U101+'Dai Loc'!U101+'Dong Lam'!U101+'Khanh Nga'!U101+TDP!U101+DTRVL!U101</f>
        <v>108818820224</v>
      </c>
      <c r="V101" s="64">
        <f>DTR!V101+'Dai Loc'!V101+'Dong Lam'!V101+'Khanh Nga'!V101+TDP!V101+DTRVL!V101</f>
        <v>107233510446</v>
      </c>
      <c r="W101" s="64">
        <f>DTR!W101+'Dai Loc'!W101+'Dong Lam'!W101+'Khanh Nga'!W101+TDP!W101+DTRVL!W101</f>
        <v>106396732668</v>
      </c>
      <c r="X101" s="64">
        <f>DTR!X101+'Dai Loc'!X101+'Dong Lam'!X101+'Khanh Nga'!X101+TDP!X101+DTRVL!X101</f>
        <v>101343133942</v>
      </c>
      <c r="Y101" s="64">
        <f>DTR!Y101+'Dai Loc'!Y101+'Dong Lam'!Y101+'Khanh Nga'!Y101+TDP!Y101+DTRVL!Y101</f>
        <v>102401372942</v>
      </c>
      <c r="Z101" s="64">
        <f>DTR!Z101+'Dai Loc'!Z101+'Dong Lam'!Z101+'Khanh Nga'!Z101+TDP!Z101+DTRVL!Z101</f>
        <v>83152254354</v>
      </c>
    </row>
    <row r="102" spans="1:26" ht="15" hidden="1" customHeight="1" outlineLevel="1">
      <c r="A102" s="67" t="s">
        <v>186</v>
      </c>
      <c r="B102" s="63">
        <v>97</v>
      </c>
      <c r="C102" s="64">
        <f>DTR!C102+'Dai Loc'!C102+'Dong Lam'!C102+'Khanh Nga'!C102+TDP!C102+DTRVL!C102</f>
        <v>0</v>
      </c>
      <c r="D102" s="64">
        <f>DTR!D102+'Dai Loc'!D102+'Dong Lam'!D102+'Khanh Nga'!D102+TDP!D102+DTRVL!D102</f>
        <v>0</v>
      </c>
      <c r="E102" s="64">
        <f>DTR!E102+'Dai Loc'!E102+'Dong Lam'!E102+'Khanh Nga'!E102+TDP!E102+DTRVL!E102</f>
        <v>0</v>
      </c>
      <c r="F102" s="64">
        <f>DTR!F102+'Dai Loc'!F102+'Dong Lam'!F102+'Khanh Nga'!F102+TDP!F102+DTRVL!F102</f>
        <v>0</v>
      </c>
      <c r="G102" s="64">
        <f>DTR!G102+'Dai Loc'!G102+'Dong Lam'!G102+'Khanh Nga'!G102+TDP!G102+DTRVL!G102</f>
        <v>0</v>
      </c>
      <c r="H102" s="64">
        <f>DTR!H102+'Dai Loc'!H102+'Dong Lam'!H102+'Khanh Nga'!H102+TDP!H102+DTRVL!H102</f>
        <v>0</v>
      </c>
      <c r="I102" s="64">
        <f>DTR!I102+'Dai Loc'!I102+'Dong Lam'!I102+'Khanh Nga'!I102+TDP!I102+DTRVL!I102</f>
        <v>0</v>
      </c>
      <c r="J102" s="64">
        <f>DTR!J102+'Dai Loc'!J102+'Dong Lam'!J102+'Khanh Nga'!J102+TDP!J102+DTRVL!J102</f>
        <v>0</v>
      </c>
      <c r="K102" s="64">
        <f>DTR!K102+'Dai Loc'!K102+'Dong Lam'!K102+'Khanh Nga'!K102+TDP!K102+DTRVL!K102</f>
        <v>0</v>
      </c>
      <c r="L102" s="64">
        <f>DTR!L102+'Dai Loc'!L102+'Dong Lam'!L102+'Khanh Nga'!L102+TDP!L102+DTRVL!L102</f>
        <v>0</v>
      </c>
      <c r="M102" s="64">
        <f>DTR!M102+'Dai Loc'!M102+'Dong Lam'!M102+'Khanh Nga'!M102+TDP!M102+DTRVL!M102</f>
        <v>0</v>
      </c>
      <c r="N102" s="64">
        <f>DTR!N102+'Dai Loc'!N102+'Dong Lam'!N102+'Khanh Nga'!N102+TDP!N102+DTRVL!N102</f>
        <v>0</v>
      </c>
      <c r="O102" s="64">
        <f>DTR!O102+'Dai Loc'!O102+'Dong Lam'!O102+'Khanh Nga'!O102+TDP!O102+DTRVL!O102</f>
        <v>0</v>
      </c>
      <c r="P102" s="64">
        <f>DTR!P102+'Dai Loc'!P102+'Dong Lam'!P102+'Khanh Nga'!P102+TDP!P102+DTRVL!P102</f>
        <v>0</v>
      </c>
      <c r="Q102" s="64">
        <f>DTR!Q102+'Dai Loc'!Q102+'Dong Lam'!Q102+'Khanh Nga'!Q102+TDP!Q102+DTRVL!Q102</f>
        <v>0</v>
      </c>
      <c r="R102" s="64">
        <f>DTR!R102+'Dai Loc'!R102+'Dong Lam'!R102+'Khanh Nga'!R102+TDP!R102+DTRVL!R102</f>
        <v>0</v>
      </c>
      <c r="S102" s="64">
        <f>DTR!S102+'Dai Loc'!S102+'Dong Lam'!S102+'Khanh Nga'!S102+TDP!S102+DTRVL!S102</f>
        <v>0</v>
      </c>
      <c r="T102" s="64">
        <f>DTR!T102+'Dai Loc'!T102+'Dong Lam'!T102+'Khanh Nga'!T102+TDP!T102+DTRVL!T102</f>
        <v>0</v>
      </c>
      <c r="U102" s="64">
        <f>DTR!U102+'Dai Loc'!U102+'Dong Lam'!U102+'Khanh Nga'!U102+TDP!U102+DTRVL!U102</f>
        <v>0</v>
      </c>
      <c r="V102" s="64">
        <f>DTR!V102+'Dai Loc'!V102+'Dong Lam'!V102+'Khanh Nga'!V102+TDP!V102+DTRVL!V102</f>
        <v>0</v>
      </c>
      <c r="W102" s="64">
        <f>DTR!W102+'Dai Loc'!W102+'Dong Lam'!W102+'Khanh Nga'!W102+TDP!W102+DTRVL!W102</f>
        <v>0</v>
      </c>
      <c r="X102" s="64">
        <f>DTR!X102+'Dai Loc'!X102+'Dong Lam'!X102+'Khanh Nga'!X102+TDP!X102+DTRVL!X102</f>
        <v>0</v>
      </c>
      <c r="Y102" s="64">
        <f>DTR!Y102+'Dai Loc'!Y102+'Dong Lam'!Y102+'Khanh Nga'!Y102+TDP!Y102+DTRVL!Y102</f>
        <v>0</v>
      </c>
      <c r="Z102" s="64">
        <f>DTR!Z102+'Dai Loc'!Z102+'Dong Lam'!Z102+'Khanh Nga'!Z102+TDP!Z102+DTRVL!Z102</f>
        <v>0</v>
      </c>
    </row>
    <row r="103" spans="1:26" ht="15" hidden="1" customHeight="1" outlineLevel="1">
      <c r="A103" s="67" t="s">
        <v>187</v>
      </c>
      <c r="B103" s="63">
        <v>98</v>
      </c>
      <c r="C103" s="64">
        <f>DTR!C103+'Dai Loc'!C103+'Dong Lam'!C103+'Khanh Nga'!C103+TDP!C103+DTRVL!C103</f>
        <v>0</v>
      </c>
      <c r="D103" s="64">
        <f>DTR!D103+'Dai Loc'!D103+'Dong Lam'!D103+'Khanh Nga'!D103+TDP!D103+DTRVL!D103</f>
        <v>0</v>
      </c>
      <c r="E103" s="64">
        <f>DTR!E103+'Dai Loc'!E103+'Dong Lam'!E103+'Khanh Nga'!E103+TDP!E103+DTRVL!E103</f>
        <v>0</v>
      </c>
      <c r="F103" s="64">
        <f>DTR!F103+'Dai Loc'!F103+'Dong Lam'!F103+'Khanh Nga'!F103+TDP!F103+DTRVL!F103</f>
        <v>0</v>
      </c>
      <c r="G103" s="64">
        <f>DTR!G103+'Dai Loc'!G103+'Dong Lam'!G103+'Khanh Nga'!G103+TDP!G103+DTRVL!G103</f>
        <v>0</v>
      </c>
      <c r="H103" s="64">
        <f>DTR!H103+'Dai Loc'!H103+'Dong Lam'!H103+'Khanh Nga'!H103+TDP!H103+DTRVL!H103</f>
        <v>0</v>
      </c>
      <c r="I103" s="64">
        <f>DTR!I103+'Dai Loc'!I103+'Dong Lam'!I103+'Khanh Nga'!I103+TDP!I103+DTRVL!I103</f>
        <v>0</v>
      </c>
      <c r="J103" s="64">
        <f>DTR!J103+'Dai Loc'!J103+'Dong Lam'!J103+'Khanh Nga'!J103+TDP!J103+DTRVL!J103</f>
        <v>0</v>
      </c>
      <c r="K103" s="64">
        <f>DTR!K103+'Dai Loc'!K103+'Dong Lam'!K103+'Khanh Nga'!K103+TDP!K103+DTRVL!K103</f>
        <v>0</v>
      </c>
      <c r="L103" s="64">
        <f>DTR!L103+'Dai Loc'!L103+'Dong Lam'!L103+'Khanh Nga'!L103+TDP!L103+DTRVL!L103</f>
        <v>0</v>
      </c>
      <c r="M103" s="64">
        <f>DTR!M103+'Dai Loc'!M103+'Dong Lam'!M103+'Khanh Nga'!M103+TDP!M103+DTRVL!M103</f>
        <v>0</v>
      </c>
      <c r="N103" s="64">
        <f>DTR!N103+'Dai Loc'!N103+'Dong Lam'!N103+'Khanh Nga'!N103+TDP!N103+DTRVL!N103</f>
        <v>0</v>
      </c>
      <c r="O103" s="64">
        <f>DTR!O103+'Dai Loc'!O103+'Dong Lam'!O103+'Khanh Nga'!O103+TDP!O103+DTRVL!O103</f>
        <v>0</v>
      </c>
      <c r="P103" s="64">
        <f>DTR!P103+'Dai Loc'!P103+'Dong Lam'!P103+'Khanh Nga'!P103+TDP!P103+DTRVL!P103</f>
        <v>0</v>
      </c>
      <c r="Q103" s="64">
        <f>DTR!Q103+'Dai Loc'!Q103+'Dong Lam'!Q103+'Khanh Nga'!Q103+TDP!Q103+DTRVL!Q103</f>
        <v>0</v>
      </c>
      <c r="R103" s="64">
        <f>DTR!R103+'Dai Loc'!R103+'Dong Lam'!R103+'Khanh Nga'!R103+TDP!R103+DTRVL!R103</f>
        <v>0</v>
      </c>
      <c r="S103" s="64">
        <f>DTR!S103+'Dai Loc'!S103+'Dong Lam'!S103+'Khanh Nga'!S103+TDP!S103+DTRVL!S103</f>
        <v>0</v>
      </c>
      <c r="T103" s="64">
        <f>DTR!T103+'Dai Loc'!T103+'Dong Lam'!T103+'Khanh Nga'!T103+TDP!T103+DTRVL!T103</f>
        <v>0</v>
      </c>
      <c r="U103" s="64">
        <f>DTR!U103+'Dai Loc'!U103+'Dong Lam'!U103+'Khanh Nga'!U103+TDP!U103+DTRVL!U103</f>
        <v>0</v>
      </c>
      <c r="V103" s="64">
        <f>DTR!V103+'Dai Loc'!V103+'Dong Lam'!V103+'Khanh Nga'!V103+TDP!V103+DTRVL!V103</f>
        <v>0</v>
      </c>
      <c r="W103" s="64">
        <f>DTR!W103+'Dai Loc'!W103+'Dong Lam'!W103+'Khanh Nga'!W103+TDP!W103+DTRVL!W103</f>
        <v>0</v>
      </c>
      <c r="X103" s="64">
        <f>DTR!X103+'Dai Loc'!X103+'Dong Lam'!X103+'Khanh Nga'!X103+TDP!X103+DTRVL!X103</f>
        <v>0</v>
      </c>
      <c r="Y103" s="64">
        <f>DTR!Y103+'Dai Loc'!Y103+'Dong Lam'!Y103+'Khanh Nga'!Y103+TDP!Y103+DTRVL!Y103</f>
        <v>0</v>
      </c>
      <c r="Z103" s="64">
        <f>DTR!Z103+'Dai Loc'!Z103+'Dong Lam'!Z103+'Khanh Nga'!Z103+TDP!Z103+DTRVL!Z103</f>
        <v>0</v>
      </c>
    </row>
    <row r="104" spans="1:26" ht="15" hidden="1" customHeight="1" outlineLevel="1">
      <c r="A104" s="67" t="s">
        <v>188</v>
      </c>
      <c r="B104" s="63">
        <v>99</v>
      </c>
      <c r="C104" s="64">
        <f>DTR!C104+'Dai Loc'!C104+'Dong Lam'!C104+'Khanh Nga'!C104+TDP!C104+DTRVL!C104</f>
        <v>0</v>
      </c>
      <c r="D104" s="64">
        <f>DTR!D104+'Dai Loc'!D104+'Dong Lam'!D104+'Khanh Nga'!D104+TDP!D104+DTRVL!D104</f>
        <v>0</v>
      </c>
      <c r="E104" s="64">
        <f>DTR!E104+'Dai Loc'!E104+'Dong Lam'!E104+'Khanh Nga'!E104+TDP!E104+DTRVL!E104</f>
        <v>0</v>
      </c>
      <c r="F104" s="64">
        <f>DTR!F104+'Dai Loc'!F104+'Dong Lam'!F104+'Khanh Nga'!F104+TDP!F104+DTRVL!F104</f>
        <v>0</v>
      </c>
      <c r="G104" s="64">
        <f>DTR!G104+'Dai Loc'!G104+'Dong Lam'!G104+'Khanh Nga'!G104+TDP!G104+DTRVL!G104</f>
        <v>0</v>
      </c>
      <c r="H104" s="64">
        <f>DTR!H104+'Dai Loc'!H104+'Dong Lam'!H104+'Khanh Nga'!H104+TDP!H104+DTRVL!H104</f>
        <v>0</v>
      </c>
      <c r="I104" s="64">
        <f>DTR!I104+'Dai Loc'!I104+'Dong Lam'!I104+'Khanh Nga'!I104+TDP!I104+DTRVL!I104</f>
        <v>0</v>
      </c>
      <c r="J104" s="64">
        <f>DTR!J104+'Dai Loc'!J104+'Dong Lam'!J104+'Khanh Nga'!J104+TDP!J104+DTRVL!J104</f>
        <v>0</v>
      </c>
      <c r="K104" s="64">
        <f>DTR!K104+'Dai Loc'!K104+'Dong Lam'!K104+'Khanh Nga'!K104+TDP!K104+DTRVL!K104</f>
        <v>0</v>
      </c>
      <c r="L104" s="64">
        <f>DTR!L104+'Dai Loc'!L104+'Dong Lam'!L104+'Khanh Nga'!L104+TDP!L104+DTRVL!L104</f>
        <v>0</v>
      </c>
      <c r="M104" s="64">
        <f>DTR!M104+'Dai Loc'!M104+'Dong Lam'!M104+'Khanh Nga'!M104+TDP!M104+DTRVL!M104</f>
        <v>0</v>
      </c>
      <c r="N104" s="64">
        <f>DTR!N104+'Dai Loc'!N104+'Dong Lam'!N104+'Khanh Nga'!N104+TDP!N104+DTRVL!N104</f>
        <v>0</v>
      </c>
      <c r="O104" s="64">
        <f>DTR!O104+'Dai Loc'!O104+'Dong Lam'!O104+'Khanh Nga'!O104+TDP!O104+DTRVL!O104</f>
        <v>0</v>
      </c>
      <c r="P104" s="64">
        <f>DTR!P104+'Dai Loc'!P104+'Dong Lam'!P104+'Khanh Nga'!P104+TDP!P104+DTRVL!P104</f>
        <v>0</v>
      </c>
      <c r="Q104" s="64">
        <f>DTR!Q104+'Dai Loc'!Q104+'Dong Lam'!Q104+'Khanh Nga'!Q104+TDP!Q104+DTRVL!Q104</f>
        <v>0</v>
      </c>
      <c r="R104" s="64">
        <f>DTR!R104+'Dai Loc'!R104+'Dong Lam'!R104+'Khanh Nga'!R104+TDP!R104+DTRVL!R104</f>
        <v>0</v>
      </c>
      <c r="S104" s="64">
        <f>DTR!S104+'Dai Loc'!S104+'Dong Lam'!S104+'Khanh Nga'!S104+TDP!S104+DTRVL!S104</f>
        <v>0</v>
      </c>
      <c r="T104" s="64">
        <f>DTR!T104+'Dai Loc'!T104+'Dong Lam'!T104+'Khanh Nga'!T104+TDP!T104+DTRVL!T104</f>
        <v>0</v>
      </c>
      <c r="U104" s="64">
        <f>DTR!U104+'Dai Loc'!U104+'Dong Lam'!U104+'Khanh Nga'!U104+TDP!U104+DTRVL!U104</f>
        <v>0</v>
      </c>
      <c r="V104" s="64">
        <f>DTR!V104+'Dai Loc'!V104+'Dong Lam'!V104+'Khanh Nga'!V104+TDP!V104+DTRVL!V104</f>
        <v>0</v>
      </c>
      <c r="W104" s="64">
        <f>DTR!W104+'Dai Loc'!W104+'Dong Lam'!W104+'Khanh Nga'!W104+TDP!W104+DTRVL!W104</f>
        <v>0</v>
      </c>
      <c r="X104" s="64">
        <f>DTR!X104+'Dai Loc'!X104+'Dong Lam'!X104+'Khanh Nga'!X104+TDP!X104+DTRVL!X104</f>
        <v>0</v>
      </c>
      <c r="Y104" s="64">
        <f>DTR!Y104+'Dai Loc'!Y104+'Dong Lam'!Y104+'Khanh Nga'!Y104+TDP!Y104+DTRVL!Y104</f>
        <v>0</v>
      </c>
      <c r="Z104" s="64">
        <f>DTR!Z104+'Dai Loc'!Z104+'Dong Lam'!Z104+'Khanh Nga'!Z104+TDP!Z104+DTRVL!Z104</f>
        <v>0</v>
      </c>
    </row>
    <row r="105" spans="1:26" ht="15" hidden="1" customHeight="1" outlineLevel="1">
      <c r="A105" s="67" t="s">
        <v>189</v>
      </c>
      <c r="B105" s="63">
        <v>100</v>
      </c>
      <c r="C105" s="64">
        <f>DTR!C105+'Dai Loc'!C105+'Dong Lam'!C105+'Khanh Nga'!C105+TDP!C105+DTRVL!C105</f>
        <v>0</v>
      </c>
      <c r="D105" s="64">
        <f>DTR!D105+'Dai Loc'!D105+'Dong Lam'!D105+'Khanh Nga'!D105+TDP!D105+DTRVL!D105</f>
        <v>0</v>
      </c>
      <c r="E105" s="64">
        <f>DTR!E105+'Dai Loc'!E105+'Dong Lam'!E105+'Khanh Nga'!E105+TDP!E105+DTRVL!E105</f>
        <v>0</v>
      </c>
      <c r="F105" s="64">
        <f>DTR!F105+'Dai Loc'!F105+'Dong Lam'!F105+'Khanh Nga'!F105+TDP!F105+DTRVL!F105</f>
        <v>0</v>
      </c>
      <c r="G105" s="64">
        <f>DTR!G105+'Dai Loc'!G105+'Dong Lam'!G105+'Khanh Nga'!G105+TDP!G105+DTRVL!G105</f>
        <v>0</v>
      </c>
      <c r="H105" s="64">
        <f>DTR!H105+'Dai Loc'!H105+'Dong Lam'!H105+'Khanh Nga'!H105+TDP!H105+DTRVL!H105</f>
        <v>0</v>
      </c>
      <c r="I105" s="64">
        <f>DTR!I105+'Dai Loc'!I105+'Dong Lam'!I105+'Khanh Nga'!I105+TDP!I105+DTRVL!I105</f>
        <v>0</v>
      </c>
      <c r="J105" s="64">
        <f>DTR!J105+'Dai Loc'!J105+'Dong Lam'!J105+'Khanh Nga'!J105+TDP!J105+DTRVL!J105</f>
        <v>0</v>
      </c>
      <c r="K105" s="64">
        <f>DTR!K105+'Dai Loc'!K105+'Dong Lam'!K105+'Khanh Nga'!K105+TDP!K105+DTRVL!K105</f>
        <v>0</v>
      </c>
      <c r="L105" s="64">
        <f>DTR!L105+'Dai Loc'!L105+'Dong Lam'!L105+'Khanh Nga'!L105+TDP!L105+DTRVL!L105</f>
        <v>0</v>
      </c>
      <c r="M105" s="64">
        <f>DTR!M105+'Dai Loc'!M105+'Dong Lam'!M105+'Khanh Nga'!M105+TDP!M105+DTRVL!M105</f>
        <v>0</v>
      </c>
      <c r="N105" s="64">
        <f>DTR!N105+'Dai Loc'!N105+'Dong Lam'!N105+'Khanh Nga'!N105+TDP!N105+DTRVL!N105</f>
        <v>0</v>
      </c>
      <c r="O105" s="64">
        <f>DTR!O105+'Dai Loc'!O105+'Dong Lam'!O105+'Khanh Nga'!O105+TDP!O105+DTRVL!O105</f>
        <v>0</v>
      </c>
      <c r="P105" s="64">
        <f>DTR!P105+'Dai Loc'!P105+'Dong Lam'!P105+'Khanh Nga'!P105+TDP!P105+DTRVL!P105</f>
        <v>0</v>
      </c>
      <c r="Q105" s="64">
        <f>DTR!Q105+'Dai Loc'!Q105+'Dong Lam'!Q105+'Khanh Nga'!Q105+TDP!Q105+DTRVL!Q105</f>
        <v>0</v>
      </c>
      <c r="R105" s="64">
        <f>DTR!R105+'Dai Loc'!R105+'Dong Lam'!R105+'Khanh Nga'!R105+TDP!R105+DTRVL!R105</f>
        <v>0</v>
      </c>
      <c r="S105" s="64">
        <f>DTR!S105+'Dai Loc'!S105+'Dong Lam'!S105+'Khanh Nga'!S105+TDP!S105+DTRVL!S105</f>
        <v>0</v>
      </c>
      <c r="T105" s="64">
        <f>DTR!T105+'Dai Loc'!T105+'Dong Lam'!T105+'Khanh Nga'!T105+TDP!T105+DTRVL!T105</f>
        <v>0</v>
      </c>
      <c r="U105" s="64">
        <f>DTR!U105+'Dai Loc'!U105+'Dong Lam'!U105+'Khanh Nga'!U105+TDP!U105+DTRVL!U105</f>
        <v>0</v>
      </c>
      <c r="V105" s="64">
        <f>DTR!V105+'Dai Loc'!V105+'Dong Lam'!V105+'Khanh Nga'!V105+TDP!V105+DTRVL!V105</f>
        <v>0</v>
      </c>
      <c r="W105" s="64">
        <f>DTR!W105+'Dai Loc'!W105+'Dong Lam'!W105+'Khanh Nga'!W105+TDP!W105+DTRVL!W105</f>
        <v>0</v>
      </c>
      <c r="X105" s="64">
        <f>DTR!X105+'Dai Loc'!X105+'Dong Lam'!X105+'Khanh Nga'!X105+TDP!X105+DTRVL!X105</f>
        <v>0</v>
      </c>
      <c r="Y105" s="64">
        <f>DTR!Y105+'Dai Loc'!Y105+'Dong Lam'!Y105+'Khanh Nga'!Y105+TDP!Y105+DTRVL!Y105</f>
        <v>0</v>
      </c>
      <c r="Z105" s="64">
        <f>DTR!Z105+'Dai Loc'!Z105+'Dong Lam'!Z105+'Khanh Nga'!Z105+TDP!Z105+DTRVL!Z105</f>
        <v>0</v>
      </c>
    </row>
    <row r="106" spans="1:26" ht="15" hidden="1" customHeight="1" outlineLevel="1">
      <c r="A106" s="67" t="s">
        <v>190</v>
      </c>
      <c r="B106" s="63">
        <v>101</v>
      </c>
      <c r="C106" s="64">
        <f>DTR!C106+'Dai Loc'!C106+'Dong Lam'!C106+'Khanh Nga'!C106+TDP!C106+DTRVL!C106</f>
        <v>0</v>
      </c>
      <c r="D106" s="64">
        <f>DTR!D106+'Dai Loc'!D106+'Dong Lam'!D106+'Khanh Nga'!D106+TDP!D106+DTRVL!D106</f>
        <v>0</v>
      </c>
      <c r="E106" s="64">
        <f>DTR!E106+'Dai Loc'!E106+'Dong Lam'!E106+'Khanh Nga'!E106+TDP!E106+DTRVL!E106</f>
        <v>0</v>
      </c>
      <c r="F106" s="64">
        <f>DTR!F106+'Dai Loc'!F106+'Dong Lam'!F106+'Khanh Nga'!F106+TDP!F106+DTRVL!F106</f>
        <v>0</v>
      </c>
      <c r="G106" s="64">
        <f>DTR!G106+'Dai Loc'!G106+'Dong Lam'!G106+'Khanh Nga'!G106+TDP!G106+DTRVL!G106</f>
        <v>0</v>
      </c>
      <c r="H106" s="64">
        <f>DTR!H106+'Dai Loc'!H106+'Dong Lam'!H106+'Khanh Nga'!H106+TDP!H106+DTRVL!H106</f>
        <v>0</v>
      </c>
      <c r="I106" s="64">
        <f>DTR!I106+'Dai Loc'!I106+'Dong Lam'!I106+'Khanh Nga'!I106+TDP!I106+DTRVL!I106</f>
        <v>0</v>
      </c>
      <c r="J106" s="64">
        <f>DTR!J106+'Dai Loc'!J106+'Dong Lam'!J106+'Khanh Nga'!J106+TDP!J106+DTRVL!J106</f>
        <v>0</v>
      </c>
      <c r="K106" s="64">
        <f>DTR!K106+'Dai Loc'!K106+'Dong Lam'!K106+'Khanh Nga'!K106+TDP!K106+DTRVL!K106</f>
        <v>0</v>
      </c>
      <c r="L106" s="64">
        <f>DTR!L106+'Dai Loc'!L106+'Dong Lam'!L106+'Khanh Nga'!L106+TDP!L106+DTRVL!L106</f>
        <v>0</v>
      </c>
      <c r="M106" s="64">
        <f>DTR!M106+'Dai Loc'!M106+'Dong Lam'!M106+'Khanh Nga'!M106+TDP!M106+DTRVL!M106</f>
        <v>0</v>
      </c>
      <c r="N106" s="64">
        <f>DTR!N106+'Dai Loc'!N106+'Dong Lam'!N106+'Khanh Nga'!N106+TDP!N106+DTRVL!N106</f>
        <v>0</v>
      </c>
      <c r="O106" s="64">
        <f>DTR!O106+'Dai Loc'!O106+'Dong Lam'!O106+'Khanh Nga'!O106+TDP!O106+DTRVL!O106</f>
        <v>0</v>
      </c>
      <c r="P106" s="64">
        <f>DTR!P106+'Dai Loc'!P106+'Dong Lam'!P106+'Khanh Nga'!P106+TDP!P106+DTRVL!P106</f>
        <v>0</v>
      </c>
      <c r="Q106" s="64">
        <f>DTR!Q106+'Dai Loc'!Q106+'Dong Lam'!Q106+'Khanh Nga'!Q106+TDP!Q106+DTRVL!Q106</f>
        <v>0</v>
      </c>
      <c r="R106" s="64">
        <f>DTR!R106+'Dai Loc'!R106+'Dong Lam'!R106+'Khanh Nga'!R106+TDP!R106+DTRVL!R106</f>
        <v>0</v>
      </c>
      <c r="S106" s="64">
        <f>DTR!S106+'Dai Loc'!S106+'Dong Lam'!S106+'Khanh Nga'!S106+TDP!S106+DTRVL!S106</f>
        <v>0</v>
      </c>
      <c r="T106" s="64">
        <f>DTR!T106+'Dai Loc'!T106+'Dong Lam'!T106+'Khanh Nga'!T106+TDP!T106+DTRVL!T106</f>
        <v>0</v>
      </c>
      <c r="U106" s="64">
        <f>DTR!U106+'Dai Loc'!U106+'Dong Lam'!U106+'Khanh Nga'!U106+TDP!U106+DTRVL!U106</f>
        <v>0</v>
      </c>
      <c r="V106" s="64">
        <f>DTR!V106+'Dai Loc'!V106+'Dong Lam'!V106+'Khanh Nga'!V106+TDP!V106+DTRVL!V106</f>
        <v>0</v>
      </c>
      <c r="W106" s="64">
        <f>DTR!W106+'Dai Loc'!W106+'Dong Lam'!W106+'Khanh Nga'!W106+TDP!W106+DTRVL!W106</f>
        <v>0</v>
      </c>
      <c r="X106" s="64">
        <f>DTR!X106+'Dai Loc'!X106+'Dong Lam'!X106+'Khanh Nga'!X106+TDP!X106+DTRVL!X106</f>
        <v>0</v>
      </c>
      <c r="Y106" s="64">
        <f>DTR!Y106+'Dai Loc'!Y106+'Dong Lam'!Y106+'Khanh Nga'!Y106+TDP!Y106+DTRVL!Y106</f>
        <v>0</v>
      </c>
      <c r="Z106" s="64">
        <f>DTR!Z106+'Dai Loc'!Z106+'Dong Lam'!Z106+'Khanh Nga'!Z106+TDP!Z106+DTRVL!Z106</f>
        <v>0</v>
      </c>
    </row>
    <row r="107" spans="1:26" ht="15" hidden="1" customHeight="1" outlineLevel="1">
      <c r="A107" s="67" t="s">
        <v>191</v>
      </c>
      <c r="B107" s="63">
        <v>102</v>
      </c>
      <c r="C107" s="64">
        <f>DTR!C107+'Dai Loc'!C107+'Dong Lam'!C107+'Khanh Nga'!C107+TDP!C107+DTRVL!C107</f>
        <v>0</v>
      </c>
      <c r="D107" s="64">
        <f>DTR!D107+'Dai Loc'!D107+'Dong Lam'!D107+'Khanh Nga'!D107+TDP!D107+DTRVL!D107</f>
        <v>0</v>
      </c>
      <c r="E107" s="64">
        <f>DTR!E107+'Dai Loc'!E107+'Dong Lam'!E107+'Khanh Nga'!E107+TDP!E107+DTRVL!E107</f>
        <v>0</v>
      </c>
      <c r="F107" s="64">
        <f>DTR!F107+'Dai Loc'!F107+'Dong Lam'!F107+'Khanh Nga'!F107+TDP!F107+DTRVL!F107</f>
        <v>0</v>
      </c>
      <c r="G107" s="64">
        <f>DTR!G107+'Dai Loc'!G107+'Dong Lam'!G107+'Khanh Nga'!G107+TDP!G107+DTRVL!G107</f>
        <v>0</v>
      </c>
      <c r="H107" s="64">
        <f>DTR!H107+'Dai Loc'!H107+'Dong Lam'!H107+'Khanh Nga'!H107+TDP!H107+DTRVL!H107</f>
        <v>0</v>
      </c>
      <c r="I107" s="64">
        <f>DTR!I107+'Dai Loc'!I107+'Dong Lam'!I107+'Khanh Nga'!I107+TDP!I107+DTRVL!I107</f>
        <v>0</v>
      </c>
      <c r="J107" s="64">
        <f>DTR!J107+'Dai Loc'!J107+'Dong Lam'!J107+'Khanh Nga'!J107+TDP!J107+DTRVL!J107</f>
        <v>0</v>
      </c>
      <c r="K107" s="64">
        <f>DTR!K107+'Dai Loc'!K107+'Dong Lam'!K107+'Khanh Nga'!K107+TDP!K107+DTRVL!K107</f>
        <v>0</v>
      </c>
      <c r="L107" s="64">
        <f>DTR!L107+'Dai Loc'!L107+'Dong Lam'!L107+'Khanh Nga'!L107+TDP!L107+DTRVL!L107</f>
        <v>0</v>
      </c>
      <c r="M107" s="64">
        <f>DTR!M107+'Dai Loc'!M107+'Dong Lam'!M107+'Khanh Nga'!M107+TDP!M107+DTRVL!M107</f>
        <v>0</v>
      </c>
      <c r="N107" s="64">
        <f>DTR!N107+'Dai Loc'!N107+'Dong Lam'!N107+'Khanh Nga'!N107+TDP!N107+DTRVL!N107</f>
        <v>0</v>
      </c>
      <c r="O107" s="64">
        <f>DTR!O107+'Dai Loc'!O107+'Dong Lam'!O107+'Khanh Nga'!O107+TDP!O107+DTRVL!O107</f>
        <v>0</v>
      </c>
      <c r="P107" s="64">
        <f>DTR!P107+'Dai Loc'!P107+'Dong Lam'!P107+'Khanh Nga'!P107+TDP!P107+DTRVL!P107</f>
        <v>0</v>
      </c>
      <c r="Q107" s="64">
        <f>DTR!Q107+'Dai Loc'!Q107+'Dong Lam'!Q107+'Khanh Nga'!Q107+TDP!Q107+DTRVL!Q107</f>
        <v>0</v>
      </c>
      <c r="R107" s="64">
        <f>DTR!R107+'Dai Loc'!R107+'Dong Lam'!R107+'Khanh Nga'!R107+TDP!R107+DTRVL!R107</f>
        <v>0</v>
      </c>
      <c r="S107" s="64">
        <f>DTR!S107+'Dai Loc'!S107+'Dong Lam'!S107+'Khanh Nga'!S107+TDP!S107+DTRVL!S107</f>
        <v>0</v>
      </c>
      <c r="T107" s="64">
        <f>DTR!T107+'Dai Loc'!T107+'Dong Lam'!T107+'Khanh Nga'!T107+TDP!T107+DTRVL!T107</f>
        <v>0</v>
      </c>
      <c r="U107" s="64">
        <f>DTR!U107+'Dai Loc'!U107+'Dong Lam'!U107+'Khanh Nga'!U107+TDP!U107+DTRVL!U107</f>
        <v>0</v>
      </c>
      <c r="V107" s="64">
        <f>DTR!V107+'Dai Loc'!V107+'Dong Lam'!V107+'Khanh Nga'!V107+TDP!V107+DTRVL!V107</f>
        <v>0</v>
      </c>
      <c r="W107" s="64">
        <f>DTR!W107+'Dai Loc'!W107+'Dong Lam'!W107+'Khanh Nga'!W107+TDP!W107+DTRVL!W107</f>
        <v>0</v>
      </c>
      <c r="X107" s="64">
        <f>DTR!X107+'Dai Loc'!X107+'Dong Lam'!X107+'Khanh Nga'!X107+TDP!X107+DTRVL!X107</f>
        <v>0</v>
      </c>
      <c r="Y107" s="64">
        <f>DTR!Y107+'Dai Loc'!Y107+'Dong Lam'!Y107+'Khanh Nga'!Y107+TDP!Y107+DTRVL!Y107</f>
        <v>0</v>
      </c>
      <c r="Z107" s="64">
        <f>DTR!Z107+'Dai Loc'!Z107+'Dong Lam'!Z107+'Khanh Nga'!Z107+TDP!Z107+DTRVL!Z107</f>
        <v>0</v>
      </c>
    </row>
    <row r="108" spans="1:26" ht="15" hidden="1" customHeight="1" outlineLevel="1">
      <c r="A108" s="67" t="s">
        <v>192</v>
      </c>
      <c r="B108" s="63">
        <v>103</v>
      </c>
      <c r="C108" s="64">
        <f>DTR!C108+'Dai Loc'!C108+'Dong Lam'!C108+'Khanh Nga'!C108+TDP!C108+DTRVL!C108</f>
        <v>0</v>
      </c>
      <c r="D108" s="64">
        <f>DTR!D108+'Dai Loc'!D108+'Dong Lam'!D108+'Khanh Nga'!D108+TDP!D108+DTRVL!D108</f>
        <v>0</v>
      </c>
      <c r="E108" s="64">
        <f>DTR!E108+'Dai Loc'!E108+'Dong Lam'!E108+'Khanh Nga'!E108+TDP!E108+DTRVL!E108</f>
        <v>0</v>
      </c>
      <c r="F108" s="64">
        <f>DTR!F108+'Dai Loc'!F108+'Dong Lam'!F108+'Khanh Nga'!F108+TDP!F108+DTRVL!F108</f>
        <v>0</v>
      </c>
      <c r="G108" s="64">
        <f>DTR!G108+'Dai Loc'!G108+'Dong Lam'!G108+'Khanh Nga'!G108+TDP!G108+DTRVL!G108</f>
        <v>0</v>
      </c>
      <c r="H108" s="64">
        <f>DTR!H108+'Dai Loc'!H108+'Dong Lam'!H108+'Khanh Nga'!H108+TDP!H108+DTRVL!H108</f>
        <v>0</v>
      </c>
      <c r="I108" s="64">
        <f>DTR!I108+'Dai Loc'!I108+'Dong Lam'!I108+'Khanh Nga'!I108+TDP!I108+DTRVL!I108</f>
        <v>0</v>
      </c>
      <c r="J108" s="64">
        <f>DTR!J108+'Dai Loc'!J108+'Dong Lam'!J108+'Khanh Nga'!J108+TDP!J108+DTRVL!J108</f>
        <v>0</v>
      </c>
      <c r="K108" s="64">
        <f>DTR!K108+'Dai Loc'!K108+'Dong Lam'!K108+'Khanh Nga'!K108+TDP!K108+DTRVL!K108</f>
        <v>0</v>
      </c>
      <c r="L108" s="64">
        <f>DTR!L108+'Dai Loc'!L108+'Dong Lam'!L108+'Khanh Nga'!L108+TDP!L108+DTRVL!L108</f>
        <v>0</v>
      </c>
      <c r="M108" s="64">
        <f>DTR!M108+'Dai Loc'!M108+'Dong Lam'!M108+'Khanh Nga'!M108+TDP!M108+DTRVL!M108</f>
        <v>0</v>
      </c>
      <c r="N108" s="64">
        <f>DTR!N108+'Dai Loc'!N108+'Dong Lam'!N108+'Khanh Nga'!N108+TDP!N108+DTRVL!N108</f>
        <v>0</v>
      </c>
      <c r="O108" s="64">
        <f>DTR!O108+'Dai Loc'!O108+'Dong Lam'!O108+'Khanh Nga'!O108+TDP!O108+DTRVL!O108</f>
        <v>0</v>
      </c>
      <c r="P108" s="64">
        <f>DTR!P108+'Dai Loc'!P108+'Dong Lam'!P108+'Khanh Nga'!P108+TDP!P108+DTRVL!P108</f>
        <v>0</v>
      </c>
      <c r="Q108" s="64">
        <f>DTR!Q108+'Dai Loc'!Q108+'Dong Lam'!Q108+'Khanh Nga'!Q108+TDP!Q108+DTRVL!Q108</f>
        <v>0</v>
      </c>
      <c r="R108" s="64">
        <f>DTR!R108+'Dai Loc'!R108+'Dong Lam'!R108+'Khanh Nga'!R108+TDP!R108+DTRVL!R108</f>
        <v>0</v>
      </c>
      <c r="S108" s="64">
        <f>DTR!S108+'Dai Loc'!S108+'Dong Lam'!S108+'Khanh Nga'!S108+TDP!S108+DTRVL!S108</f>
        <v>0</v>
      </c>
      <c r="T108" s="64">
        <f>DTR!T108+'Dai Loc'!T108+'Dong Lam'!T108+'Khanh Nga'!T108+TDP!T108+DTRVL!T108</f>
        <v>0</v>
      </c>
      <c r="U108" s="64">
        <f>DTR!U108+'Dai Loc'!U108+'Dong Lam'!U108+'Khanh Nga'!U108+TDP!U108+DTRVL!U108</f>
        <v>0</v>
      </c>
      <c r="V108" s="64">
        <f>DTR!V108+'Dai Loc'!V108+'Dong Lam'!V108+'Khanh Nga'!V108+TDP!V108+DTRVL!V108</f>
        <v>0</v>
      </c>
      <c r="W108" s="64">
        <f>DTR!W108+'Dai Loc'!W108+'Dong Lam'!W108+'Khanh Nga'!W108+TDP!W108+DTRVL!W108</f>
        <v>0</v>
      </c>
      <c r="X108" s="64">
        <f>DTR!X108+'Dai Loc'!X108+'Dong Lam'!X108+'Khanh Nga'!X108+TDP!X108+DTRVL!X108</f>
        <v>0</v>
      </c>
      <c r="Y108" s="64">
        <f>DTR!Y108+'Dai Loc'!Y108+'Dong Lam'!Y108+'Khanh Nga'!Y108+TDP!Y108+DTRVL!Y108</f>
        <v>0</v>
      </c>
      <c r="Z108" s="64">
        <f>DTR!Z108+'Dai Loc'!Z108+'Dong Lam'!Z108+'Khanh Nga'!Z108+TDP!Z108+DTRVL!Z108</f>
        <v>0</v>
      </c>
    </row>
    <row r="109" spans="1:26" ht="15" hidden="1" customHeight="1" outlineLevel="1">
      <c r="A109" s="67" t="s">
        <v>193</v>
      </c>
      <c r="B109" s="63">
        <v>104</v>
      </c>
      <c r="C109" s="64">
        <f>DTR!C109+'Dai Loc'!C109+'Dong Lam'!C109+'Khanh Nga'!C109+TDP!C109+DTRVL!C109</f>
        <v>0</v>
      </c>
      <c r="D109" s="64">
        <f>DTR!D109+'Dai Loc'!D109+'Dong Lam'!D109+'Khanh Nga'!D109+TDP!D109+DTRVL!D109</f>
        <v>0</v>
      </c>
      <c r="E109" s="64">
        <f>DTR!E109+'Dai Loc'!E109+'Dong Lam'!E109+'Khanh Nga'!E109+TDP!E109+DTRVL!E109</f>
        <v>0</v>
      </c>
      <c r="F109" s="64">
        <f>DTR!F109+'Dai Loc'!F109+'Dong Lam'!F109+'Khanh Nga'!F109+TDP!F109+DTRVL!F109</f>
        <v>0</v>
      </c>
      <c r="G109" s="64">
        <f>DTR!G109+'Dai Loc'!G109+'Dong Lam'!G109+'Khanh Nga'!G109+TDP!G109+DTRVL!G109</f>
        <v>0</v>
      </c>
      <c r="H109" s="64">
        <f>DTR!H109+'Dai Loc'!H109+'Dong Lam'!H109+'Khanh Nga'!H109+TDP!H109+DTRVL!H109</f>
        <v>0</v>
      </c>
      <c r="I109" s="64">
        <f>DTR!I109+'Dai Loc'!I109+'Dong Lam'!I109+'Khanh Nga'!I109+TDP!I109+DTRVL!I109</f>
        <v>0</v>
      </c>
      <c r="J109" s="64">
        <f>DTR!J109+'Dai Loc'!J109+'Dong Lam'!J109+'Khanh Nga'!J109+TDP!J109+DTRVL!J109</f>
        <v>0</v>
      </c>
      <c r="K109" s="64">
        <f>DTR!K109+'Dai Loc'!K109+'Dong Lam'!K109+'Khanh Nga'!K109+TDP!K109+DTRVL!K109</f>
        <v>0</v>
      </c>
      <c r="L109" s="64">
        <f>DTR!L109+'Dai Loc'!L109+'Dong Lam'!L109+'Khanh Nga'!L109+TDP!L109+DTRVL!L109</f>
        <v>0</v>
      </c>
      <c r="M109" s="64">
        <f>DTR!M109+'Dai Loc'!M109+'Dong Lam'!M109+'Khanh Nga'!M109+TDP!M109+DTRVL!M109</f>
        <v>0</v>
      </c>
      <c r="N109" s="64">
        <f>DTR!N109+'Dai Loc'!N109+'Dong Lam'!N109+'Khanh Nga'!N109+TDP!N109+DTRVL!N109</f>
        <v>0</v>
      </c>
      <c r="O109" s="64">
        <f>DTR!O109+'Dai Loc'!O109+'Dong Lam'!O109+'Khanh Nga'!O109+TDP!O109+DTRVL!O109</f>
        <v>0</v>
      </c>
      <c r="P109" s="64">
        <f>DTR!P109+'Dai Loc'!P109+'Dong Lam'!P109+'Khanh Nga'!P109+TDP!P109+DTRVL!P109</f>
        <v>0</v>
      </c>
      <c r="Q109" s="64">
        <f>DTR!Q109+'Dai Loc'!Q109+'Dong Lam'!Q109+'Khanh Nga'!Q109+TDP!Q109+DTRVL!Q109</f>
        <v>0</v>
      </c>
      <c r="R109" s="64">
        <f>DTR!R109+'Dai Loc'!R109+'Dong Lam'!R109+'Khanh Nga'!R109+TDP!R109+DTRVL!R109</f>
        <v>0</v>
      </c>
      <c r="S109" s="64">
        <f>DTR!S109+'Dai Loc'!S109+'Dong Lam'!S109+'Khanh Nga'!S109+TDP!S109+DTRVL!S109</f>
        <v>0</v>
      </c>
      <c r="T109" s="64">
        <f>DTR!T109+'Dai Loc'!T109+'Dong Lam'!T109+'Khanh Nga'!T109+TDP!T109+DTRVL!T109</f>
        <v>0</v>
      </c>
      <c r="U109" s="64">
        <f>DTR!U109+'Dai Loc'!U109+'Dong Lam'!U109+'Khanh Nga'!U109+TDP!U109+DTRVL!U109</f>
        <v>0</v>
      </c>
      <c r="V109" s="64">
        <f>DTR!V109+'Dai Loc'!V109+'Dong Lam'!V109+'Khanh Nga'!V109+TDP!V109+DTRVL!V109</f>
        <v>0</v>
      </c>
      <c r="W109" s="64">
        <f>DTR!W109+'Dai Loc'!W109+'Dong Lam'!W109+'Khanh Nga'!W109+TDP!W109+DTRVL!W109</f>
        <v>0</v>
      </c>
      <c r="X109" s="64">
        <f>DTR!X109+'Dai Loc'!X109+'Dong Lam'!X109+'Khanh Nga'!X109+TDP!X109+DTRVL!X109</f>
        <v>0</v>
      </c>
      <c r="Y109" s="64">
        <f>DTR!Y109+'Dai Loc'!Y109+'Dong Lam'!Y109+'Khanh Nga'!Y109+TDP!Y109+DTRVL!Y109</f>
        <v>0</v>
      </c>
      <c r="Z109" s="64">
        <f>DTR!Z109+'Dai Loc'!Z109+'Dong Lam'!Z109+'Khanh Nga'!Z109+TDP!Z109+DTRVL!Z109</f>
        <v>0</v>
      </c>
    </row>
    <row r="110" spans="1:26" ht="15" hidden="1" customHeight="1" outlineLevel="1">
      <c r="A110" s="67" t="s">
        <v>194</v>
      </c>
      <c r="B110" s="63">
        <v>105</v>
      </c>
      <c r="C110" s="64">
        <f>DTR!C110+'Dai Loc'!C110+'Dong Lam'!C110+'Khanh Nga'!C110+TDP!C110+DTRVL!C110</f>
        <v>110386411070</v>
      </c>
      <c r="D110" s="64">
        <f>DTR!D110+'Dai Loc'!D110+'Dong Lam'!D110+'Khanh Nga'!D110+TDP!D110+DTRVL!D110</f>
        <v>110292351070</v>
      </c>
      <c r="E110" s="64">
        <f>DTR!E110+'Dai Loc'!E110+'Dong Lam'!E110+'Khanh Nga'!E110+TDP!E110+DTRVL!E110</f>
        <v>110233351070</v>
      </c>
      <c r="F110" s="64">
        <f>DTR!F110+'Dai Loc'!F110+'Dong Lam'!F110+'Khanh Nga'!F110+TDP!F110+DTRVL!F110</f>
        <v>109938157678</v>
      </c>
      <c r="G110" s="64">
        <f>DTR!G110+'Dai Loc'!G110+'Dong Lam'!G110+'Khanh Nga'!G110+TDP!G110+DTRVL!G110</f>
        <v>107984867678</v>
      </c>
      <c r="H110" s="64">
        <f>DTR!H110+'Dai Loc'!H110+'Dong Lam'!H110+'Khanh Nga'!H110+TDP!H110+DTRVL!H110</f>
        <v>109314035678</v>
      </c>
      <c r="I110" s="64">
        <f>DTR!I110+'Dai Loc'!I110+'Dong Lam'!I110+'Khanh Nga'!I110+TDP!I110+DTRVL!I110</f>
        <v>109426842286</v>
      </c>
      <c r="J110" s="64">
        <f>DTR!J110+'Dai Loc'!J110+'Dong Lam'!J110+'Khanh Nga'!J110+TDP!J110+DTRVL!J110</f>
        <v>108769782286</v>
      </c>
      <c r="K110" s="64">
        <f>DTR!K110+'Dai Loc'!K110+'Dong Lam'!K110+'Khanh Nga'!K110+TDP!K110+DTRVL!K110</f>
        <v>109364782286</v>
      </c>
      <c r="L110" s="64">
        <f>DTR!L110+'Dai Loc'!L110+'Dong Lam'!L110+'Khanh Nga'!L110+TDP!L110+DTRVL!L110</f>
        <v>109588588894</v>
      </c>
      <c r="M110" s="64">
        <f>DTR!M110+'Dai Loc'!M110+'Dong Lam'!M110+'Khanh Nga'!M110+TDP!M110+DTRVL!M110</f>
        <v>136214528894</v>
      </c>
      <c r="N110" s="64">
        <f>DTR!N110+'Dai Loc'!N110+'Dong Lam'!N110+'Khanh Nga'!N110+TDP!N110+DTRVL!N110</f>
        <v>115668404212</v>
      </c>
      <c r="O110" s="64">
        <f>DTR!O110+'Dai Loc'!O110+'Dong Lam'!O110+'Khanh Nga'!O110+TDP!O110+DTRVL!O110</f>
        <v>141180341946</v>
      </c>
      <c r="P110" s="64">
        <f>DTR!P110+'Dai Loc'!P110+'Dong Lam'!P110+'Khanh Nga'!P110+TDP!P110+DTRVL!P110</f>
        <v>136932504168</v>
      </c>
      <c r="Q110" s="64">
        <f>DTR!Q110+'Dai Loc'!Q110+'Dong Lam'!Q110+'Khanh Nga'!Q110+TDP!Q110+DTRVL!Q110</f>
        <v>136095726390</v>
      </c>
      <c r="R110" s="64">
        <f>DTR!R110+'Dai Loc'!R110+'Dong Lam'!R110+'Khanh Nga'!R110+TDP!R110+DTRVL!R110</f>
        <v>135022755220</v>
      </c>
      <c r="S110" s="64">
        <f>DTR!S110+'Dai Loc'!S110+'Dong Lam'!S110+'Khanh Nga'!S110+TDP!S110+DTRVL!S110</f>
        <v>130774917442</v>
      </c>
      <c r="T110" s="64">
        <f>DTR!T110+'Dai Loc'!T110+'Dong Lam'!T110+'Khanh Nga'!T110+TDP!T110+DTRVL!T110</f>
        <v>109891791394</v>
      </c>
      <c r="U110" s="64">
        <f>DTR!U110+'Dai Loc'!U110+'Dong Lam'!U110+'Khanh Nga'!U110+TDP!U110+DTRVL!U110</f>
        <v>108818820224</v>
      </c>
      <c r="V110" s="64">
        <f>DTR!V110+'Dai Loc'!V110+'Dong Lam'!V110+'Khanh Nga'!V110+TDP!V110+DTRVL!V110</f>
        <v>107233510446</v>
      </c>
      <c r="W110" s="64">
        <f>DTR!W110+'Dai Loc'!W110+'Dong Lam'!W110+'Khanh Nga'!W110+TDP!W110+DTRVL!W110</f>
        <v>106396732668</v>
      </c>
      <c r="X110" s="64">
        <f>DTR!X110+'Dai Loc'!X110+'Dong Lam'!X110+'Khanh Nga'!X110+TDP!X110+DTRVL!X110</f>
        <v>101343133942</v>
      </c>
      <c r="Y110" s="64">
        <f>DTR!Y110+'Dai Loc'!Y110+'Dong Lam'!Y110+'Khanh Nga'!Y110+TDP!Y110+DTRVL!Y110</f>
        <v>102401372942</v>
      </c>
      <c r="Z110" s="64">
        <f>DTR!Z110+'Dai Loc'!Z110+'Dong Lam'!Z110+'Khanh Nga'!Z110+TDP!Z110+DTRVL!Z110</f>
        <v>83152254354</v>
      </c>
    </row>
    <row r="111" spans="1:26" ht="15" hidden="1" customHeight="1" outlineLevel="1">
      <c r="A111" s="67" t="s">
        <v>195</v>
      </c>
      <c r="B111" s="63">
        <v>106</v>
      </c>
      <c r="C111" s="64">
        <f>DTR!C111+'Dai Loc'!C111+'Dong Lam'!C111+'Khanh Nga'!C111+TDP!C111+DTRVL!C111</f>
        <v>0</v>
      </c>
      <c r="D111" s="64">
        <f>DTR!D111+'Dai Loc'!D111+'Dong Lam'!D111+'Khanh Nga'!D111+TDP!D111+DTRVL!D111</f>
        <v>0</v>
      </c>
      <c r="E111" s="64">
        <f>DTR!E111+'Dai Loc'!E111+'Dong Lam'!E111+'Khanh Nga'!E111+TDP!E111+DTRVL!E111</f>
        <v>0</v>
      </c>
      <c r="F111" s="64">
        <f>DTR!F111+'Dai Loc'!F111+'Dong Lam'!F111+'Khanh Nga'!F111+TDP!F111+DTRVL!F111</f>
        <v>0</v>
      </c>
      <c r="G111" s="64">
        <f>DTR!G111+'Dai Loc'!G111+'Dong Lam'!G111+'Khanh Nga'!G111+TDP!G111+DTRVL!G111</f>
        <v>0</v>
      </c>
      <c r="H111" s="64">
        <f>DTR!H111+'Dai Loc'!H111+'Dong Lam'!H111+'Khanh Nga'!H111+TDP!H111+DTRVL!H111</f>
        <v>0</v>
      </c>
      <c r="I111" s="64">
        <f>DTR!I111+'Dai Loc'!I111+'Dong Lam'!I111+'Khanh Nga'!I111+TDP!I111+DTRVL!I111</f>
        <v>0</v>
      </c>
      <c r="J111" s="64">
        <f>DTR!J111+'Dai Loc'!J111+'Dong Lam'!J111+'Khanh Nga'!J111+TDP!J111+DTRVL!J111</f>
        <v>0</v>
      </c>
      <c r="K111" s="64">
        <f>DTR!K111+'Dai Loc'!K111+'Dong Lam'!K111+'Khanh Nga'!K111+TDP!K111+DTRVL!K111</f>
        <v>0</v>
      </c>
      <c r="L111" s="64">
        <f>DTR!L111+'Dai Loc'!L111+'Dong Lam'!L111+'Khanh Nga'!L111+TDP!L111+DTRVL!L111</f>
        <v>0</v>
      </c>
      <c r="M111" s="64">
        <f>DTR!M111+'Dai Loc'!M111+'Dong Lam'!M111+'Khanh Nga'!M111+TDP!M111+DTRVL!M111</f>
        <v>0</v>
      </c>
      <c r="N111" s="64">
        <f>DTR!N111+'Dai Loc'!N111+'Dong Lam'!N111+'Khanh Nga'!N111+TDP!N111+DTRVL!N111</f>
        <v>0</v>
      </c>
      <c r="O111" s="64">
        <f>DTR!O111+'Dai Loc'!O111+'Dong Lam'!O111+'Khanh Nga'!O111+TDP!O111+DTRVL!O111</f>
        <v>0</v>
      </c>
      <c r="P111" s="64">
        <f>DTR!P111+'Dai Loc'!P111+'Dong Lam'!P111+'Khanh Nga'!P111+TDP!P111+DTRVL!P111</f>
        <v>0</v>
      </c>
      <c r="Q111" s="64">
        <f>DTR!Q111+'Dai Loc'!Q111+'Dong Lam'!Q111+'Khanh Nga'!Q111+TDP!Q111+DTRVL!Q111</f>
        <v>0</v>
      </c>
      <c r="R111" s="64">
        <f>DTR!R111+'Dai Loc'!R111+'Dong Lam'!R111+'Khanh Nga'!R111+TDP!R111+DTRVL!R111</f>
        <v>0</v>
      </c>
      <c r="S111" s="64">
        <f>DTR!S111+'Dai Loc'!S111+'Dong Lam'!S111+'Khanh Nga'!S111+TDP!S111+DTRVL!S111</f>
        <v>0</v>
      </c>
      <c r="T111" s="64">
        <f>DTR!T111+'Dai Loc'!T111+'Dong Lam'!T111+'Khanh Nga'!T111+TDP!T111+DTRVL!T111</f>
        <v>0</v>
      </c>
      <c r="U111" s="64">
        <f>DTR!U111+'Dai Loc'!U111+'Dong Lam'!U111+'Khanh Nga'!U111+TDP!U111+DTRVL!U111</f>
        <v>0</v>
      </c>
      <c r="V111" s="64">
        <f>DTR!V111+'Dai Loc'!V111+'Dong Lam'!V111+'Khanh Nga'!V111+TDP!V111+DTRVL!V111</f>
        <v>0</v>
      </c>
      <c r="W111" s="64">
        <f>DTR!W111+'Dai Loc'!W111+'Dong Lam'!W111+'Khanh Nga'!W111+TDP!W111+DTRVL!W111</f>
        <v>0</v>
      </c>
      <c r="X111" s="64">
        <f>DTR!X111+'Dai Loc'!X111+'Dong Lam'!X111+'Khanh Nga'!X111+TDP!X111+DTRVL!X111</f>
        <v>0</v>
      </c>
      <c r="Y111" s="64">
        <f>DTR!Y111+'Dai Loc'!Y111+'Dong Lam'!Y111+'Khanh Nga'!Y111+TDP!Y111+DTRVL!Y111</f>
        <v>0</v>
      </c>
      <c r="Z111" s="64">
        <f>DTR!Z111+'Dai Loc'!Z111+'Dong Lam'!Z111+'Khanh Nga'!Z111+TDP!Z111+DTRVL!Z111</f>
        <v>0</v>
      </c>
    </row>
    <row r="112" spans="1:26" ht="15" hidden="1" customHeight="1" outlineLevel="1">
      <c r="A112" s="67" t="s">
        <v>196</v>
      </c>
      <c r="B112" s="63">
        <v>107</v>
      </c>
      <c r="C112" s="64">
        <f>DTR!C112+'Dai Loc'!C112+'Dong Lam'!C112+'Khanh Nga'!C112+TDP!C112+DTRVL!C112</f>
        <v>0</v>
      </c>
      <c r="D112" s="64">
        <f>DTR!D112+'Dai Loc'!D112+'Dong Lam'!D112+'Khanh Nga'!D112+TDP!D112+DTRVL!D112</f>
        <v>0</v>
      </c>
      <c r="E112" s="64">
        <f>DTR!E112+'Dai Loc'!E112+'Dong Lam'!E112+'Khanh Nga'!E112+TDP!E112+DTRVL!E112</f>
        <v>0</v>
      </c>
      <c r="F112" s="64">
        <f>DTR!F112+'Dai Loc'!F112+'Dong Lam'!F112+'Khanh Nga'!F112+TDP!F112+DTRVL!F112</f>
        <v>0</v>
      </c>
      <c r="G112" s="64">
        <f>DTR!G112+'Dai Loc'!G112+'Dong Lam'!G112+'Khanh Nga'!G112+TDP!G112+DTRVL!G112</f>
        <v>0</v>
      </c>
      <c r="H112" s="64">
        <f>DTR!H112+'Dai Loc'!H112+'Dong Lam'!H112+'Khanh Nga'!H112+TDP!H112+DTRVL!H112</f>
        <v>0</v>
      </c>
      <c r="I112" s="64">
        <f>DTR!I112+'Dai Loc'!I112+'Dong Lam'!I112+'Khanh Nga'!I112+TDP!I112+DTRVL!I112</f>
        <v>0</v>
      </c>
      <c r="J112" s="64">
        <f>DTR!J112+'Dai Loc'!J112+'Dong Lam'!J112+'Khanh Nga'!J112+TDP!J112+DTRVL!J112</f>
        <v>0</v>
      </c>
      <c r="K112" s="64">
        <f>DTR!K112+'Dai Loc'!K112+'Dong Lam'!K112+'Khanh Nga'!K112+TDP!K112+DTRVL!K112</f>
        <v>0</v>
      </c>
      <c r="L112" s="64">
        <f>DTR!L112+'Dai Loc'!L112+'Dong Lam'!L112+'Khanh Nga'!L112+TDP!L112+DTRVL!L112</f>
        <v>0</v>
      </c>
      <c r="M112" s="64">
        <f>DTR!M112+'Dai Loc'!M112+'Dong Lam'!M112+'Khanh Nga'!M112+TDP!M112+DTRVL!M112</f>
        <v>0</v>
      </c>
      <c r="N112" s="64">
        <f>DTR!N112+'Dai Loc'!N112+'Dong Lam'!N112+'Khanh Nga'!N112+TDP!N112+DTRVL!N112</f>
        <v>0</v>
      </c>
      <c r="O112" s="64">
        <f>DTR!O112+'Dai Loc'!O112+'Dong Lam'!O112+'Khanh Nga'!O112+TDP!O112+DTRVL!O112</f>
        <v>0</v>
      </c>
      <c r="P112" s="64">
        <f>DTR!P112+'Dai Loc'!P112+'Dong Lam'!P112+'Khanh Nga'!P112+TDP!P112+DTRVL!P112</f>
        <v>0</v>
      </c>
      <c r="Q112" s="64">
        <f>DTR!Q112+'Dai Loc'!Q112+'Dong Lam'!Q112+'Khanh Nga'!Q112+TDP!Q112+DTRVL!Q112</f>
        <v>0</v>
      </c>
      <c r="R112" s="64">
        <f>DTR!R112+'Dai Loc'!R112+'Dong Lam'!R112+'Khanh Nga'!R112+TDP!R112+DTRVL!R112</f>
        <v>0</v>
      </c>
      <c r="S112" s="64">
        <f>DTR!S112+'Dai Loc'!S112+'Dong Lam'!S112+'Khanh Nga'!S112+TDP!S112+DTRVL!S112</f>
        <v>0</v>
      </c>
      <c r="T112" s="64">
        <f>DTR!T112+'Dai Loc'!T112+'Dong Lam'!T112+'Khanh Nga'!T112+TDP!T112+DTRVL!T112</f>
        <v>0</v>
      </c>
      <c r="U112" s="64">
        <f>DTR!U112+'Dai Loc'!U112+'Dong Lam'!U112+'Khanh Nga'!U112+TDP!U112+DTRVL!U112</f>
        <v>0</v>
      </c>
      <c r="V112" s="64">
        <f>DTR!V112+'Dai Loc'!V112+'Dong Lam'!V112+'Khanh Nga'!V112+TDP!V112+DTRVL!V112</f>
        <v>0</v>
      </c>
      <c r="W112" s="64">
        <f>DTR!W112+'Dai Loc'!W112+'Dong Lam'!W112+'Khanh Nga'!W112+TDP!W112+DTRVL!W112</f>
        <v>0</v>
      </c>
      <c r="X112" s="64">
        <f>DTR!X112+'Dai Loc'!X112+'Dong Lam'!X112+'Khanh Nga'!X112+TDP!X112+DTRVL!X112</f>
        <v>0</v>
      </c>
      <c r="Y112" s="64">
        <f>DTR!Y112+'Dai Loc'!Y112+'Dong Lam'!Y112+'Khanh Nga'!Y112+TDP!Y112+DTRVL!Y112</f>
        <v>0</v>
      </c>
      <c r="Z112" s="64">
        <f>DTR!Z112+'Dai Loc'!Z112+'Dong Lam'!Z112+'Khanh Nga'!Z112+TDP!Z112+DTRVL!Z112</f>
        <v>0</v>
      </c>
    </row>
    <row r="113" spans="1:26" ht="15" hidden="1" customHeight="1" outlineLevel="1">
      <c r="A113" s="67" t="s">
        <v>197</v>
      </c>
      <c r="B113" s="63">
        <v>108</v>
      </c>
      <c r="C113" s="64">
        <f>DTR!C113+'Dai Loc'!C113+'Dong Lam'!C113+'Khanh Nga'!C113+TDP!C113+DTRVL!C113</f>
        <v>0</v>
      </c>
      <c r="D113" s="64">
        <f>DTR!D113+'Dai Loc'!D113+'Dong Lam'!D113+'Khanh Nga'!D113+TDP!D113+DTRVL!D113</f>
        <v>0</v>
      </c>
      <c r="E113" s="64">
        <f>DTR!E113+'Dai Loc'!E113+'Dong Lam'!E113+'Khanh Nga'!E113+TDP!E113+DTRVL!E113</f>
        <v>0</v>
      </c>
      <c r="F113" s="64">
        <f>DTR!F113+'Dai Loc'!F113+'Dong Lam'!F113+'Khanh Nga'!F113+TDP!F113+DTRVL!F113</f>
        <v>0</v>
      </c>
      <c r="G113" s="64">
        <f>DTR!G113+'Dai Loc'!G113+'Dong Lam'!G113+'Khanh Nga'!G113+TDP!G113+DTRVL!G113</f>
        <v>0</v>
      </c>
      <c r="H113" s="64">
        <f>DTR!H113+'Dai Loc'!H113+'Dong Lam'!H113+'Khanh Nga'!H113+TDP!H113+DTRVL!H113</f>
        <v>0</v>
      </c>
      <c r="I113" s="64">
        <f>DTR!I113+'Dai Loc'!I113+'Dong Lam'!I113+'Khanh Nga'!I113+TDP!I113+DTRVL!I113</f>
        <v>0</v>
      </c>
      <c r="J113" s="64">
        <f>DTR!J113+'Dai Loc'!J113+'Dong Lam'!J113+'Khanh Nga'!J113+TDP!J113+DTRVL!J113</f>
        <v>0</v>
      </c>
      <c r="K113" s="64">
        <f>DTR!K113+'Dai Loc'!K113+'Dong Lam'!K113+'Khanh Nga'!K113+TDP!K113+DTRVL!K113</f>
        <v>0</v>
      </c>
      <c r="L113" s="64">
        <f>DTR!L113+'Dai Loc'!L113+'Dong Lam'!L113+'Khanh Nga'!L113+TDP!L113+DTRVL!L113</f>
        <v>0</v>
      </c>
      <c r="M113" s="64">
        <f>DTR!M113+'Dai Loc'!M113+'Dong Lam'!M113+'Khanh Nga'!M113+TDP!M113+DTRVL!M113</f>
        <v>0</v>
      </c>
      <c r="N113" s="64">
        <f>DTR!N113+'Dai Loc'!N113+'Dong Lam'!N113+'Khanh Nga'!N113+TDP!N113+DTRVL!N113</f>
        <v>1838941310</v>
      </c>
      <c r="O113" s="64">
        <f>DTR!O113+'Dai Loc'!O113+'Dong Lam'!O113+'Khanh Nga'!O113+TDP!O113+DTRVL!O113</f>
        <v>0</v>
      </c>
      <c r="P113" s="64">
        <f>DTR!P113+'Dai Loc'!P113+'Dong Lam'!P113+'Khanh Nga'!P113+TDP!P113+DTRVL!P113</f>
        <v>0</v>
      </c>
      <c r="Q113" s="64">
        <f>DTR!Q113+'Dai Loc'!Q113+'Dong Lam'!Q113+'Khanh Nga'!Q113+TDP!Q113+DTRVL!Q113</f>
        <v>0</v>
      </c>
      <c r="R113" s="64">
        <f>DTR!R113+'Dai Loc'!R113+'Dong Lam'!R113+'Khanh Nga'!R113+TDP!R113+DTRVL!R113</f>
        <v>0</v>
      </c>
      <c r="S113" s="64">
        <f>DTR!S113+'Dai Loc'!S113+'Dong Lam'!S113+'Khanh Nga'!S113+TDP!S113+DTRVL!S113</f>
        <v>0</v>
      </c>
      <c r="T113" s="64">
        <f>DTR!T113+'Dai Loc'!T113+'Dong Lam'!T113+'Khanh Nga'!T113+TDP!T113+DTRVL!T113</f>
        <v>0</v>
      </c>
      <c r="U113" s="64">
        <f>DTR!U113+'Dai Loc'!U113+'Dong Lam'!U113+'Khanh Nga'!U113+TDP!U113+DTRVL!U113</f>
        <v>0</v>
      </c>
      <c r="V113" s="64">
        <f>DTR!V113+'Dai Loc'!V113+'Dong Lam'!V113+'Khanh Nga'!V113+TDP!V113+DTRVL!V113</f>
        <v>0</v>
      </c>
      <c r="W113" s="64">
        <f>DTR!W113+'Dai Loc'!W113+'Dong Lam'!W113+'Khanh Nga'!W113+TDP!W113+DTRVL!W113</f>
        <v>0</v>
      </c>
      <c r="X113" s="64">
        <f>DTR!X113+'Dai Loc'!X113+'Dong Lam'!X113+'Khanh Nga'!X113+TDP!X113+DTRVL!X113</f>
        <v>0</v>
      </c>
      <c r="Y113" s="64">
        <f>DTR!Y113+'Dai Loc'!Y113+'Dong Lam'!Y113+'Khanh Nga'!Y113+TDP!Y113+DTRVL!Y113</f>
        <v>0</v>
      </c>
      <c r="Z113" s="64">
        <f>DTR!Z113+'Dai Loc'!Z113+'Dong Lam'!Z113+'Khanh Nga'!Z113+TDP!Z113+DTRVL!Z113</f>
        <v>0</v>
      </c>
    </row>
    <row r="114" spans="1:26" ht="15" hidden="1" customHeight="1" outlineLevel="1">
      <c r="A114" s="67" t="s">
        <v>198</v>
      </c>
      <c r="B114" s="63">
        <v>109</v>
      </c>
      <c r="C114" s="64">
        <f>DTR!C114+'Dai Loc'!C114+'Dong Lam'!C114+'Khanh Nga'!C114+TDP!C114+DTRVL!C114</f>
        <v>0</v>
      </c>
      <c r="D114" s="64">
        <f>DTR!D114+'Dai Loc'!D114+'Dong Lam'!D114+'Khanh Nga'!D114+TDP!D114+DTRVL!D114</f>
        <v>0</v>
      </c>
      <c r="E114" s="64">
        <f>DTR!E114+'Dai Loc'!E114+'Dong Lam'!E114+'Khanh Nga'!E114+TDP!E114+DTRVL!E114</f>
        <v>0</v>
      </c>
      <c r="F114" s="64">
        <f>DTR!F114+'Dai Loc'!F114+'Dong Lam'!F114+'Khanh Nga'!F114+TDP!F114+DTRVL!F114</f>
        <v>0</v>
      </c>
      <c r="G114" s="64">
        <f>DTR!G114+'Dai Loc'!G114+'Dong Lam'!G114+'Khanh Nga'!G114+TDP!G114+DTRVL!G114</f>
        <v>0</v>
      </c>
      <c r="H114" s="64">
        <f>DTR!H114+'Dai Loc'!H114+'Dong Lam'!H114+'Khanh Nga'!H114+TDP!H114+DTRVL!H114</f>
        <v>0</v>
      </c>
      <c r="I114" s="64">
        <f>DTR!I114+'Dai Loc'!I114+'Dong Lam'!I114+'Khanh Nga'!I114+TDP!I114+DTRVL!I114</f>
        <v>0</v>
      </c>
      <c r="J114" s="64">
        <f>DTR!J114+'Dai Loc'!J114+'Dong Lam'!J114+'Khanh Nga'!J114+TDP!J114+DTRVL!J114</f>
        <v>0</v>
      </c>
      <c r="K114" s="64">
        <f>DTR!K114+'Dai Loc'!K114+'Dong Lam'!K114+'Khanh Nga'!K114+TDP!K114+DTRVL!K114</f>
        <v>0</v>
      </c>
      <c r="L114" s="64">
        <f>DTR!L114+'Dai Loc'!L114+'Dong Lam'!L114+'Khanh Nga'!L114+TDP!L114+DTRVL!L114</f>
        <v>0</v>
      </c>
      <c r="M114" s="64">
        <f>DTR!M114+'Dai Loc'!M114+'Dong Lam'!M114+'Khanh Nga'!M114+TDP!M114+DTRVL!M114</f>
        <v>0</v>
      </c>
      <c r="N114" s="64">
        <f>DTR!N114+'Dai Loc'!N114+'Dong Lam'!N114+'Khanh Nga'!N114+TDP!N114+DTRVL!N114</f>
        <v>0</v>
      </c>
      <c r="O114" s="64">
        <f>DTR!O114+'Dai Loc'!O114+'Dong Lam'!O114+'Khanh Nga'!O114+TDP!O114+DTRVL!O114</f>
        <v>0</v>
      </c>
      <c r="P114" s="64">
        <f>DTR!P114+'Dai Loc'!P114+'Dong Lam'!P114+'Khanh Nga'!P114+TDP!P114+DTRVL!P114</f>
        <v>0</v>
      </c>
      <c r="Q114" s="64">
        <f>DTR!Q114+'Dai Loc'!Q114+'Dong Lam'!Q114+'Khanh Nga'!Q114+TDP!Q114+DTRVL!Q114</f>
        <v>0</v>
      </c>
      <c r="R114" s="64">
        <f>DTR!R114+'Dai Loc'!R114+'Dong Lam'!R114+'Khanh Nga'!R114+TDP!R114+DTRVL!R114</f>
        <v>0</v>
      </c>
      <c r="S114" s="64">
        <f>DTR!S114+'Dai Loc'!S114+'Dong Lam'!S114+'Khanh Nga'!S114+TDP!S114+DTRVL!S114</f>
        <v>0</v>
      </c>
      <c r="T114" s="64">
        <f>DTR!T114+'Dai Loc'!T114+'Dong Lam'!T114+'Khanh Nga'!T114+TDP!T114+DTRVL!T114</f>
        <v>0</v>
      </c>
      <c r="U114" s="64">
        <f>DTR!U114+'Dai Loc'!U114+'Dong Lam'!U114+'Khanh Nga'!U114+TDP!U114+DTRVL!U114</f>
        <v>0</v>
      </c>
      <c r="V114" s="64">
        <f>DTR!V114+'Dai Loc'!V114+'Dong Lam'!V114+'Khanh Nga'!V114+TDP!V114+DTRVL!V114</f>
        <v>0</v>
      </c>
      <c r="W114" s="64">
        <f>DTR!W114+'Dai Loc'!W114+'Dong Lam'!W114+'Khanh Nga'!W114+TDP!W114+DTRVL!W114</f>
        <v>0</v>
      </c>
      <c r="X114" s="64">
        <f>DTR!X114+'Dai Loc'!X114+'Dong Lam'!X114+'Khanh Nga'!X114+TDP!X114+DTRVL!X114</f>
        <v>0</v>
      </c>
      <c r="Y114" s="64">
        <f>DTR!Y114+'Dai Loc'!Y114+'Dong Lam'!Y114+'Khanh Nga'!Y114+TDP!Y114+DTRVL!Y114</f>
        <v>0</v>
      </c>
      <c r="Z114" s="64">
        <f>DTR!Z114+'Dai Loc'!Z114+'Dong Lam'!Z114+'Khanh Nga'!Z114+TDP!Z114+DTRVL!Z114</f>
        <v>0</v>
      </c>
    </row>
    <row r="115" spans="1:26" ht="15" hidden="1" customHeight="1" outlineLevel="1">
      <c r="A115" s="67" t="s">
        <v>199</v>
      </c>
      <c r="B115" s="63">
        <v>110</v>
      </c>
      <c r="C115" s="64">
        <f>DTR!C115+'Dai Loc'!C115+'Dong Lam'!C115+'Khanh Nga'!C115+TDP!C115+DTRVL!C115</f>
        <v>0</v>
      </c>
      <c r="D115" s="64">
        <f>DTR!D115+'Dai Loc'!D115+'Dong Lam'!D115+'Khanh Nga'!D115+TDP!D115+DTRVL!D115</f>
        <v>0</v>
      </c>
      <c r="E115" s="64">
        <f>DTR!E115+'Dai Loc'!E115+'Dong Lam'!E115+'Khanh Nga'!E115+TDP!E115+DTRVL!E115</f>
        <v>0</v>
      </c>
      <c r="F115" s="64">
        <f>DTR!F115+'Dai Loc'!F115+'Dong Lam'!F115+'Khanh Nga'!F115+TDP!F115+DTRVL!F115</f>
        <v>0</v>
      </c>
      <c r="G115" s="64">
        <f>DTR!G115+'Dai Loc'!G115+'Dong Lam'!G115+'Khanh Nga'!G115+TDP!G115+DTRVL!G115</f>
        <v>0</v>
      </c>
      <c r="H115" s="64">
        <f>DTR!H115+'Dai Loc'!H115+'Dong Lam'!H115+'Khanh Nga'!H115+TDP!H115+DTRVL!H115</f>
        <v>0</v>
      </c>
      <c r="I115" s="64">
        <f>DTR!I115+'Dai Loc'!I115+'Dong Lam'!I115+'Khanh Nga'!I115+TDP!I115+DTRVL!I115</f>
        <v>0</v>
      </c>
      <c r="J115" s="64">
        <f>DTR!J115+'Dai Loc'!J115+'Dong Lam'!J115+'Khanh Nga'!J115+TDP!J115+DTRVL!J115</f>
        <v>0</v>
      </c>
      <c r="K115" s="64">
        <f>DTR!K115+'Dai Loc'!K115+'Dong Lam'!K115+'Khanh Nga'!K115+TDP!K115+DTRVL!K115</f>
        <v>0</v>
      </c>
      <c r="L115" s="64">
        <f>DTR!L115+'Dai Loc'!L115+'Dong Lam'!L115+'Khanh Nga'!L115+TDP!L115+DTRVL!L115</f>
        <v>0</v>
      </c>
      <c r="M115" s="64">
        <f>DTR!M115+'Dai Loc'!M115+'Dong Lam'!M115+'Khanh Nga'!M115+TDP!M115+DTRVL!M115</f>
        <v>0</v>
      </c>
      <c r="N115" s="64">
        <f>DTR!N115+'Dai Loc'!N115+'Dong Lam'!N115+'Khanh Nga'!N115+TDP!N115+DTRVL!N115</f>
        <v>0</v>
      </c>
      <c r="O115" s="64">
        <f>DTR!O115+'Dai Loc'!O115+'Dong Lam'!O115+'Khanh Nga'!O115+TDP!O115+DTRVL!O115</f>
        <v>0</v>
      </c>
      <c r="P115" s="64">
        <f>DTR!P115+'Dai Loc'!P115+'Dong Lam'!P115+'Khanh Nga'!P115+TDP!P115+DTRVL!P115</f>
        <v>0</v>
      </c>
      <c r="Q115" s="64">
        <f>DTR!Q115+'Dai Loc'!Q115+'Dong Lam'!Q115+'Khanh Nga'!Q115+TDP!Q115+DTRVL!Q115</f>
        <v>0</v>
      </c>
      <c r="R115" s="64">
        <f>DTR!R115+'Dai Loc'!R115+'Dong Lam'!R115+'Khanh Nga'!R115+TDP!R115+DTRVL!R115</f>
        <v>0</v>
      </c>
      <c r="S115" s="64">
        <f>DTR!S115+'Dai Loc'!S115+'Dong Lam'!S115+'Khanh Nga'!S115+TDP!S115+DTRVL!S115</f>
        <v>0</v>
      </c>
      <c r="T115" s="64">
        <f>DTR!T115+'Dai Loc'!T115+'Dong Lam'!T115+'Khanh Nga'!T115+TDP!T115+DTRVL!T115</f>
        <v>0</v>
      </c>
      <c r="U115" s="64">
        <f>DTR!U115+'Dai Loc'!U115+'Dong Lam'!U115+'Khanh Nga'!U115+TDP!U115+DTRVL!U115</f>
        <v>0</v>
      </c>
      <c r="V115" s="64">
        <f>DTR!V115+'Dai Loc'!V115+'Dong Lam'!V115+'Khanh Nga'!V115+TDP!V115+DTRVL!V115</f>
        <v>0</v>
      </c>
      <c r="W115" s="64">
        <f>DTR!W115+'Dai Loc'!W115+'Dong Lam'!W115+'Khanh Nga'!W115+TDP!W115+DTRVL!W115</f>
        <v>0</v>
      </c>
      <c r="X115" s="64">
        <f>DTR!X115+'Dai Loc'!X115+'Dong Lam'!X115+'Khanh Nga'!X115+TDP!X115+DTRVL!X115</f>
        <v>0</v>
      </c>
      <c r="Y115" s="64">
        <f>DTR!Y115+'Dai Loc'!Y115+'Dong Lam'!Y115+'Khanh Nga'!Y115+TDP!Y115+DTRVL!Y115</f>
        <v>0</v>
      </c>
      <c r="Z115" s="64">
        <f>DTR!Z115+'Dai Loc'!Z115+'Dong Lam'!Z115+'Khanh Nga'!Z115+TDP!Z115+DTRVL!Z115</f>
        <v>0</v>
      </c>
    </row>
    <row r="116" spans="1:26" ht="15" hidden="1" customHeight="1" outlineLevel="1">
      <c r="A116" s="56" t="s">
        <v>200</v>
      </c>
      <c r="B116" s="71">
        <v>111</v>
      </c>
      <c r="C116" s="58">
        <f>DTR!C116+'Dai Loc'!C116+'Dong Lam'!C116+'Khanh Nga'!C116+TDP!C116+DTRVL!C116</f>
        <v>855851514758</v>
      </c>
      <c r="D116" s="58">
        <f>DTR!D116+'Dai Loc'!D116+'Dong Lam'!D116+'Khanh Nga'!D116+TDP!D116+DTRVL!D116</f>
        <v>849113202906</v>
      </c>
      <c r="E116" s="58">
        <f>DTR!E116+'Dai Loc'!E116+'Dong Lam'!E116+'Khanh Nga'!E116+TDP!E116+DTRVL!E116</f>
        <v>846369881618</v>
      </c>
      <c r="F116" s="58">
        <f>DTR!F116+'Dai Loc'!F116+'Dong Lam'!F116+'Khanh Nga'!F116+TDP!F116+DTRVL!F116</f>
        <v>848038222035</v>
      </c>
      <c r="G116" s="58">
        <f>DTR!G116+'Dai Loc'!G116+'Dong Lam'!G116+'Khanh Nga'!G116+TDP!G116+DTRVL!G116</f>
        <v>842346413861</v>
      </c>
      <c r="H116" s="58">
        <f>DTR!H116+'Dai Loc'!H116+'Dong Lam'!H116+'Khanh Nga'!H116+TDP!H116+DTRVL!H116</f>
        <v>830203765216</v>
      </c>
      <c r="I116" s="58">
        <f>DTR!I116+'Dai Loc'!I116+'Dong Lam'!I116+'Khanh Nga'!I116+TDP!I116+DTRVL!I116</f>
        <v>815009488882</v>
      </c>
      <c r="J116" s="58">
        <f>DTR!J116+'Dai Loc'!J116+'Dong Lam'!J116+'Khanh Nga'!J116+TDP!J116+DTRVL!J116</f>
        <v>804963168023</v>
      </c>
      <c r="K116" s="58">
        <f>DTR!K116+'Dai Loc'!K116+'Dong Lam'!K116+'Khanh Nga'!K116+TDP!K116+DTRVL!K116</f>
        <v>813080811621</v>
      </c>
      <c r="L116" s="58">
        <f>DTR!L116+'Dai Loc'!L116+'Dong Lam'!L116+'Khanh Nga'!L116+TDP!L116+DTRVL!L116</f>
        <v>806735064957</v>
      </c>
      <c r="M116" s="58">
        <f>DTR!M116+'Dai Loc'!M116+'Dong Lam'!M116+'Khanh Nga'!M116+TDP!M116+DTRVL!M116</f>
        <v>820682915285</v>
      </c>
      <c r="N116" s="58">
        <f>DTR!N116+'Dai Loc'!N116+'Dong Lam'!N116+'Khanh Nga'!N116+TDP!N116+DTRVL!N116</f>
        <v>910257269259</v>
      </c>
      <c r="O116" s="58">
        <f>DTR!O116+'Dai Loc'!O116+'Dong Lam'!O116+'Khanh Nga'!O116+TDP!O116+DTRVL!O116</f>
        <v>912467880284</v>
      </c>
      <c r="P116" s="58">
        <f>DTR!P116+'Dai Loc'!P116+'Dong Lam'!P116+'Khanh Nga'!P116+TDP!P116+DTRVL!P116</f>
        <v>926528108970</v>
      </c>
      <c r="Q116" s="58">
        <f>DTR!Q116+'Dai Loc'!Q116+'Dong Lam'!Q116+'Khanh Nga'!Q116+TDP!Q116+DTRVL!Q116</f>
        <v>932272368853</v>
      </c>
      <c r="R116" s="58">
        <f>DTR!R116+'Dai Loc'!R116+'Dong Lam'!R116+'Khanh Nga'!R116+TDP!R116+DTRVL!R116</f>
        <v>935531579087</v>
      </c>
      <c r="S116" s="58">
        <f>DTR!S116+'Dai Loc'!S116+'Dong Lam'!S116+'Khanh Nga'!S116+TDP!S116+DTRVL!S116</f>
        <v>944830098216</v>
      </c>
      <c r="T116" s="58">
        <f>DTR!T116+'Dai Loc'!T116+'Dong Lam'!T116+'Khanh Nga'!T116+TDP!T116+DTRVL!T116</f>
        <v>945515599460</v>
      </c>
      <c r="U116" s="58">
        <f>DTR!U116+'Dai Loc'!U116+'Dong Lam'!U116+'Khanh Nga'!U116+TDP!U116+DTRVL!U116</f>
        <v>948759588430</v>
      </c>
      <c r="V116" s="58">
        <f>DTR!V116+'Dai Loc'!V116+'Dong Lam'!V116+'Khanh Nga'!V116+TDP!V116+DTRVL!V116</f>
        <v>951308741612</v>
      </c>
      <c r="W116" s="58">
        <f>DTR!W116+'Dai Loc'!W116+'Dong Lam'!W116+'Khanh Nga'!W116+TDP!W116+DTRVL!W116</f>
        <v>940137853862</v>
      </c>
      <c r="X116" s="58">
        <f>DTR!X116+'Dai Loc'!X116+'Dong Lam'!X116+'Khanh Nga'!X116+TDP!X116+DTRVL!X116</f>
        <v>935238871743</v>
      </c>
      <c r="Y116" s="58">
        <f>DTR!Y116+'Dai Loc'!Y116+'Dong Lam'!Y116+'Khanh Nga'!Y116+TDP!Y116+DTRVL!Y116</f>
        <v>927751817767</v>
      </c>
      <c r="Z116" s="58">
        <f>DTR!Z116+'Dai Loc'!Z116+'Dong Lam'!Z116+'Khanh Nga'!Z116+TDP!Z116+DTRVL!Z116</f>
        <v>947153080211</v>
      </c>
    </row>
    <row r="117" spans="1:26" ht="15" hidden="1" customHeight="1" outlineLevel="1">
      <c r="A117" s="67" t="s">
        <v>201</v>
      </c>
      <c r="B117" s="63">
        <v>112</v>
      </c>
      <c r="C117" s="64">
        <f>DTR!C117+'Dai Loc'!C117+'Dong Lam'!C117+'Khanh Nga'!C117+TDP!C117+DTRVL!C117</f>
        <v>752000000000</v>
      </c>
      <c r="D117" s="64">
        <f>DTR!D117+'Dai Loc'!D117+'Dong Lam'!D117+'Khanh Nga'!D117+TDP!D117+DTRVL!D117</f>
        <v>752000000000</v>
      </c>
      <c r="E117" s="64">
        <f>DTR!E117+'Dai Loc'!E117+'Dong Lam'!E117+'Khanh Nga'!E117+TDP!E117+DTRVL!E117</f>
        <v>752000000000</v>
      </c>
      <c r="F117" s="64">
        <f>DTR!F117+'Dai Loc'!F117+'Dong Lam'!F117+'Khanh Nga'!F117+TDP!F117+DTRVL!F117</f>
        <v>752000000000</v>
      </c>
      <c r="G117" s="64">
        <f>DTR!G117+'Dai Loc'!G117+'Dong Lam'!G117+'Khanh Nga'!G117+TDP!G117+DTRVL!G117</f>
        <v>752000000000</v>
      </c>
      <c r="H117" s="64">
        <f>DTR!H117+'Dai Loc'!H117+'Dong Lam'!H117+'Khanh Nga'!H117+TDP!H117+DTRVL!H117</f>
        <v>752000000000</v>
      </c>
      <c r="I117" s="64">
        <f>DTR!I117+'Dai Loc'!I117+'Dong Lam'!I117+'Khanh Nga'!I117+TDP!I117+DTRVL!I117</f>
        <v>752000000000</v>
      </c>
      <c r="J117" s="64">
        <f>DTR!J117+'Dai Loc'!J117+'Dong Lam'!J117+'Khanh Nga'!J117+TDP!J117+DTRVL!J117</f>
        <v>752000000000</v>
      </c>
      <c r="K117" s="64">
        <f>DTR!K117+'Dai Loc'!K117+'Dong Lam'!K117+'Khanh Nga'!K117+TDP!K117+DTRVL!K117</f>
        <v>752000000000</v>
      </c>
      <c r="L117" s="64">
        <f>DTR!L117+'Dai Loc'!L117+'Dong Lam'!L117+'Khanh Nga'!L117+TDP!L117+DTRVL!L117</f>
        <v>752000000000</v>
      </c>
      <c r="M117" s="64">
        <f>DTR!M117+'Dai Loc'!M117+'Dong Lam'!M117+'Khanh Nga'!M117+TDP!M117+DTRVL!M117</f>
        <v>772000000000</v>
      </c>
      <c r="N117" s="64">
        <f>DTR!N117+'Dai Loc'!N117+'Dong Lam'!N117+'Khanh Nga'!N117+TDP!N117+DTRVL!N117</f>
        <v>772000000000</v>
      </c>
      <c r="O117" s="64">
        <f>DTR!O117+'Dai Loc'!O117+'Dong Lam'!O117+'Khanh Nga'!O117+TDP!O117+DTRVL!O117</f>
        <v>772000000000</v>
      </c>
      <c r="P117" s="64">
        <f>DTR!P117+'Dai Loc'!P117+'Dong Lam'!P117+'Khanh Nga'!P117+TDP!P117+DTRVL!P117</f>
        <v>772000000000</v>
      </c>
      <c r="Q117" s="64">
        <f>DTR!Q117+'Dai Loc'!Q117+'Dong Lam'!Q117+'Khanh Nga'!Q117+TDP!Q117+DTRVL!Q117</f>
        <v>772000000000</v>
      </c>
      <c r="R117" s="64">
        <f>DTR!R117+'Dai Loc'!R117+'Dong Lam'!R117+'Khanh Nga'!R117+TDP!R117+DTRVL!R117</f>
        <v>772000000000</v>
      </c>
      <c r="S117" s="64">
        <f>DTR!S117+'Dai Loc'!S117+'Dong Lam'!S117+'Khanh Nga'!S117+TDP!S117+DTRVL!S117</f>
        <v>772000000000</v>
      </c>
      <c r="T117" s="64">
        <f>DTR!T117+'Dai Loc'!T117+'Dong Lam'!T117+'Khanh Nga'!T117+TDP!T117+DTRVL!T117</f>
        <v>772000000000</v>
      </c>
      <c r="U117" s="64">
        <f>DTR!U117+'Dai Loc'!U117+'Dong Lam'!U117+'Khanh Nga'!U117+TDP!U117+DTRVL!U117</f>
        <v>772000000000</v>
      </c>
      <c r="V117" s="64">
        <f>DTR!V117+'Dai Loc'!V117+'Dong Lam'!V117+'Khanh Nga'!V117+TDP!V117+DTRVL!V117</f>
        <v>772000000000</v>
      </c>
      <c r="W117" s="64">
        <f>DTR!W117+'Dai Loc'!W117+'Dong Lam'!W117+'Khanh Nga'!W117+TDP!W117+DTRVL!W117</f>
        <v>772000000000</v>
      </c>
      <c r="X117" s="64">
        <f>DTR!X117+'Dai Loc'!X117+'Dong Lam'!X117+'Khanh Nga'!X117+TDP!X117+DTRVL!X117</f>
        <v>772000000000</v>
      </c>
      <c r="Y117" s="64">
        <f>DTR!Y117+'Dai Loc'!Y117+'Dong Lam'!Y117+'Khanh Nga'!Y117+TDP!Y117+DTRVL!Y117</f>
        <v>772500000000</v>
      </c>
      <c r="Z117" s="64">
        <f>DTR!Z117+'Dai Loc'!Z117+'Dong Lam'!Z117+'Khanh Nga'!Z117+TDP!Z117+DTRVL!Z117</f>
        <v>778000000000</v>
      </c>
    </row>
    <row r="118" spans="1:26" ht="15" hidden="1" customHeight="1" outlineLevel="1">
      <c r="A118" s="67" t="s">
        <v>202</v>
      </c>
      <c r="B118" s="63">
        <v>113</v>
      </c>
      <c r="C118" s="85">
        <f>DTR!C118+'Dai Loc'!C118+'Dong Lam'!C118+'Khanh Nga'!C118+TDP!C118+DTRVL!C118</f>
        <v>752000000000</v>
      </c>
      <c r="D118" s="85">
        <f>DTR!D118+'Dai Loc'!D118+'Dong Lam'!D118+'Khanh Nga'!D118+TDP!D118+DTRVL!D118</f>
        <v>752000000000</v>
      </c>
      <c r="E118" s="85">
        <f>DTR!E118+'Dai Loc'!E118+'Dong Lam'!E118+'Khanh Nga'!E118+TDP!E118+DTRVL!E118</f>
        <v>752000000000</v>
      </c>
      <c r="F118" s="85">
        <f>DTR!F118+'Dai Loc'!F118+'Dong Lam'!F118+'Khanh Nga'!F118+TDP!F118+DTRVL!F118</f>
        <v>752000000000</v>
      </c>
      <c r="G118" s="85">
        <f>DTR!G118+'Dai Loc'!G118+'Dong Lam'!G118+'Khanh Nga'!G118+TDP!G118+DTRVL!G118</f>
        <v>752000000000</v>
      </c>
      <c r="H118" s="85">
        <f>DTR!H118+'Dai Loc'!H118+'Dong Lam'!H118+'Khanh Nga'!H118+TDP!H118+DTRVL!H118</f>
        <v>752000000000</v>
      </c>
      <c r="I118" s="85">
        <f>DTR!I118+'Dai Loc'!I118+'Dong Lam'!I118+'Khanh Nga'!I118+TDP!I118+DTRVL!I118</f>
        <v>752000000000</v>
      </c>
      <c r="J118" s="85">
        <f>DTR!J118+'Dai Loc'!J118+'Dong Lam'!J118+'Khanh Nga'!J118+TDP!J118+DTRVL!J118</f>
        <v>752000000000</v>
      </c>
      <c r="K118" s="85">
        <f>DTR!K118+'Dai Loc'!K118+'Dong Lam'!K118+'Khanh Nga'!K118+TDP!K118+DTRVL!K118</f>
        <v>752000000000</v>
      </c>
      <c r="L118" s="85">
        <f>DTR!L118+'Dai Loc'!L118+'Dong Lam'!L118+'Khanh Nga'!L118+TDP!L118+DTRVL!L118</f>
        <v>752000000000</v>
      </c>
      <c r="M118" s="85">
        <f>DTR!M118+'Dai Loc'!M118+'Dong Lam'!M118+'Khanh Nga'!M118+TDP!M118+DTRVL!M118</f>
        <v>772000000000</v>
      </c>
      <c r="N118" s="85">
        <f>DTR!N118+'Dai Loc'!N118+'Dong Lam'!N118+'Khanh Nga'!N118+TDP!N118+DTRVL!N118</f>
        <v>772000000000</v>
      </c>
      <c r="O118" s="85">
        <f>DTR!O118+'Dai Loc'!O118+'Dong Lam'!O118+'Khanh Nga'!O118+TDP!O118+DTRVL!O118</f>
        <v>772000000000</v>
      </c>
      <c r="P118" s="85">
        <f>DTR!P118+'Dai Loc'!P118+'Dong Lam'!P118+'Khanh Nga'!P118+TDP!P118+DTRVL!P118</f>
        <v>772000000000</v>
      </c>
      <c r="Q118" s="85">
        <f>DTR!Q118+'Dai Loc'!Q118+'Dong Lam'!Q118+'Khanh Nga'!Q118+TDP!Q118+DTRVL!Q118</f>
        <v>772000000000</v>
      </c>
      <c r="R118" s="85">
        <f>DTR!R118+'Dai Loc'!R118+'Dong Lam'!R118+'Khanh Nga'!R118+TDP!R118+DTRVL!R118</f>
        <v>772000000000</v>
      </c>
      <c r="S118" s="85">
        <f>DTR!S118+'Dai Loc'!S118+'Dong Lam'!S118+'Khanh Nga'!S118+TDP!S118+DTRVL!S118</f>
        <v>772000000000</v>
      </c>
      <c r="T118" s="85">
        <f>DTR!T118+'Dai Loc'!T118+'Dong Lam'!T118+'Khanh Nga'!T118+TDP!T118+DTRVL!T118</f>
        <v>772000000000</v>
      </c>
      <c r="U118" s="85">
        <f>DTR!U118+'Dai Loc'!U118+'Dong Lam'!U118+'Khanh Nga'!U118+TDP!U118+DTRVL!U118</f>
        <v>772000000000</v>
      </c>
      <c r="V118" s="85">
        <f>DTR!V118+'Dai Loc'!V118+'Dong Lam'!V118+'Khanh Nga'!V118+TDP!V118+DTRVL!V118</f>
        <v>772000000000</v>
      </c>
      <c r="W118" s="85">
        <f>DTR!W118+'Dai Loc'!W118+'Dong Lam'!W118+'Khanh Nga'!W118+TDP!W118+DTRVL!W118</f>
        <v>772000000000</v>
      </c>
      <c r="X118" s="85">
        <f>DTR!X118+'Dai Loc'!X118+'Dong Lam'!X118+'Khanh Nga'!X118+TDP!X118+DTRVL!X118</f>
        <v>772000000000</v>
      </c>
      <c r="Y118" s="85">
        <f>DTR!Y118+'Dai Loc'!Y118+'Dong Lam'!Y118+'Khanh Nga'!Y118+TDP!Y118+DTRVL!Y118</f>
        <v>772500000000</v>
      </c>
      <c r="Z118" s="85">
        <f>DTR!Z118+'Dai Loc'!Z118+'Dong Lam'!Z118+'Khanh Nga'!Z118+TDP!Z118+DTRVL!Z118</f>
        <v>778000000000</v>
      </c>
    </row>
    <row r="119" spans="1:26" ht="15" hidden="1" customHeight="1" outlineLevel="1">
      <c r="A119" s="67" t="s">
        <v>203</v>
      </c>
      <c r="B119" s="63">
        <v>114</v>
      </c>
      <c r="C119" s="64">
        <f>DTR!C119+'Dai Loc'!C119+'Dong Lam'!C119+'Khanh Nga'!C119+TDP!C119+DTRVL!C119</f>
        <v>0</v>
      </c>
      <c r="D119" s="64">
        <f>DTR!D119+'Dai Loc'!D119+'Dong Lam'!D119+'Khanh Nga'!D119+TDP!D119+DTRVL!D119</f>
        <v>0</v>
      </c>
      <c r="E119" s="64">
        <f>DTR!E119+'Dai Loc'!E119+'Dong Lam'!E119+'Khanh Nga'!E119+TDP!E119+DTRVL!E119</f>
        <v>0</v>
      </c>
      <c r="F119" s="64">
        <f>DTR!F119+'Dai Loc'!F119+'Dong Lam'!F119+'Khanh Nga'!F119+TDP!F119+DTRVL!F119</f>
        <v>0</v>
      </c>
      <c r="G119" s="64">
        <f>DTR!G119+'Dai Loc'!G119+'Dong Lam'!G119+'Khanh Nga'!G119+TDP!G119+DTRVL!G119</f>
        <v>0</v>
      </c>
      <c r="H119" s="64">
        <f>DTR!H119+'Dai Loc'!H119+'Dong Lam'!H119+'Khanh Nga'!H119+TDP!H119+DTRVL!H119</f>
        <v>0</v>
      </c>
      <c r="I119" s="64">
        <f>DTR!I119+'Dai Loc'!I119+'Dong Lam'!I119+'Khanh Nga'!I119+TDP!I119+DTRVL!I119</f>
        <v>0</v>
      </c>
      <c r="J119" s="64">
        <f>DTR!J119+'Dai Loc'!J119+'Dong Lam'!J119+'Khanh Nga'!J119+TDP!J119+DTRVL!J119</f>
        <v>0</v>
      </c>
      <c r="K119" s="64">
        <f>DTR!K119+'Dai Loc'!K119+'Dong Lam'!K119+'Khanh Nga'!K119+TDP!K119+DTRVL!K119</f>
        <v>0</v>
      </c>
      <c r="L119" s="64">
        <f>DTR!L119+'Dai Loc'!L119+'Dong Lam'!L119+'Khanh Nga'!L119+TDP!L119+DTRVL!L119</f>
        <v>0</v>
      </c>
      <c r="M119" s="64">
        <f>DTR!M119+'Dai Loc'!M119+'Dong Lam'!M119+'Khanh Nga'!M119+TDP!M119+DTRVL!M119</f>
        <v>0</v>
      </c>
      <c r="N119" s="64">
        <f>DTR!N119+'Dai Loc'!N119+'Dong Lam'!N119+'Khanh Nga'!N119+TDP!N119+DTRVL!N119</f>
        <v>0</v>
      </c>
      <c r="O119" s="64">
        <f>DTR!O119+'Dai Loc'!O119+'Dong Lam'!O119+'Khanh Nga'!O119+TDP!O119+DTRVL!O119</f>
        <v>0</v>
      </c>
      <c r="P119" s="64">
        <f>DTR!P119+'Dai Loc'!P119+'Dong Lam'!P119+'Khanh Nga'!P119+TDP!P119+DTRVL!P119</f>
        <v>0</v>
      </c>
      <c r="Q119" s="64">
        <f>DTR!Q119+'Dai Loc'!Q119+'Dong Lam'!Q119+'Khanh Nga'!Q119+TDP!Q119+DTRVL!Q119</f>
        <v>0</v>
      </c>
      <c r="R119" s="64">
        <f>DTR!R119+'Dai Loc'!R119+'Dong Lam'!R119+'Khanh Nga'!R119+TDP!R119+DTRVL!R119</f>
        <v>0</v>
      </c>
      <c r="S119" s="64">
        <f>DTR!S119+'Dai Loc'!S119+'Dong Lam'!S119+'Khanh Nga'!S119+TDP!S119+DTRVL!S119</f>
        <v>0</v>
      </c>
      <c r="T119" s="64">
        <f>DTR!T119+'Dai Loc'!T119+'Dong Lam'!T119+'Khanh Nga'!T119+TDP!T119+DTRVL!T119</f>
        <v>0</v>
      </c>
      <c r="U119" s="64">
        <f>DTR!U119+'Dai Loc'!U119+'Dong Lam'!U119+'Khanh Nga'!U119+TDP!U119+DTRVL!U119</f>
        <v>0</v>
      </c>
      <c r="V119" s="64">
        <f>DTR!V119+'Dai Loc'!V119+'Dong Lam'!V119+'Khanh Nga'!V119+TDP!V119+DTRVL!V119</f>
        <v>0</v>
      </c>
      <c r="W119" s="64">
        <f>DTR!W119+'Dai Loc'!W119+'Dong Lam'!W119+'Khanh Nga'!W119+TDP!W119+DTRVL!W119</f>
        <v>0</v>
      </c>
      <c r="X119" s="64">
        <f>DTR!X119+'Dai Loc'!X119+'Dong Lam'!X119+'Khanh Nga'!X119+TDP!X119+DTRVL!X119</f>
        <v>0</v>
      </c>
      <c r="Y119" s="64">
        <f>DTR!Y119+'Dai Loc'!Y119+'Dong Lam'!Y119+'Khanh Nga'!Y119+TDP!Y119+DTRVL!Y119</f>
        <v>0</v>
      </c>
      <c r="Z119" s="64">
        <f>DTR!Z119+'Dai Loc'!Z119+'Dong Lam'!Z119+'Khanh Nga'!Z119+TDP!Z119+DTRVL!Z119</f>
        <v>0</v>
      </c>
    </row>
    <row r="120" spans="1:26" ht="15" hidden="1" customHeight="1" outlineLevel="1">
      <c r="A120" s="67" t="s">
        <v>204</v>
      </c>
      <c r="B120" s="63">
        <v>115</v>
      </c>
      <c r="C120" s="64">
        <f>DTR!C120+'Dai Loc'!C120+'Dong Lam'!C120+'Khanh Nga'!C120+TDP!C120+DTRVL!C120</f>
        <v>0</v>
      </c>
      <c r="D120" s="64">
        <f>DTR!D120+'Dai Loc'!D120+'Dong Lam'!D120+'Khanh Nga'!D120+TDP!D120+DTRVL!D120</f>
        <v>0</v>
      </c>
      <c r="E120" s="64">
        <f>DTR!E120+'Dai Loc'!E120+'Dong Lam'!E120+'Khanh Nga'!E120+TDP!E120+DTRVL!E120</f>
        <v>0</v>
      </c>
      <c r="F120" s="64">
        <f>DTR!F120+'Dai Loc'!F120+'Dong Lam'!F120+'Khanh Nga'!F120+TDP!F120+DTRVL!F120</f>
        <v>0</v>
      </c>
      <c r="G120" s="64">
        <f>DTR!G120+'Dai Loc'!G120+'Dong Lam'!G120+'Khanh Nga'!G120+TDP!G120+DTRVL!G120</f>
        <v>0</v>
      </c>
      <c r="H120" s="64">
        <f>DTR!H120+'Dai Loc'!H120+'Dong Lam'!H120+'Khanh Nga'!H120+TDP!H120+DTRVL!H120</f>
        <v>0</v>
      </c>
      <c r="I120" s="64">
        <f>DTR!I120+'Dai Loc'!I120+'Dong Lam'!I120+'Khanh Nga'!I120+TDP!I120+DTRVL!I120</f>
        <v>0</v>
      </c>
      <c r="J120" s="64">
        <f>DTR!J120+'Dai Loc'!J120+'Dong Lam'!J120+'Khanh Nga'!J120+TDP!J120+DTRVL!J120</f>
        <v>0</v>
      </c>
      <c r="K120" s="64">
        <f>DTR!K120+'Dai Loc'!K120+'Dong Lam'!K120+'Khanh Nga'!K120+TDP!K120+DTRVL!K120</f>
        <v>0</v>
      </c>
      <c r="L120" s="64">
        <f>DTR!L120+'Dai Loc'!L120+'Dong Lam'!L120+'Khanh Nga'!L120+TDP!L120+DTRVL!L120</f>
        <v>0</v>
      </c>
      <c r="M120" s="64">
        <f>DTR!M120+'Dai Loc'!M120+'Dong Lam'!M120+'Khanh Nga'!M120+TDP!M120+DTRVL!M120</f>
        <v>0</v>
      </c>
      <c r="N120" s="64">
        <f>DTR!N120+'Dai Loc'!N120+'Dong Lam'!N120+'Khanh Nga'!N120+TDP!N120+DTRVL!N120</f>
        <v>0</v>
      </c>
      <c r="O120" s="64">
        <f>DTR!O120+'Dai Loc'!O120+'Dong Lam'!O120+'Khanh Nga'!O120+TDP!O120+DTRVL!O120</f>
        <v>0</v>
      </c>
      <c r="P120" s="64">
        <f>DTR!P120+'Dai Loc'!P120+'Dong Lam'!P120+'Khanh Nga'!P120+TDP!P120+DTRVL!P120</f>
        <v>0</v>
      </c>
      <c r="Q120" s="64">
        <f>DTR!Q120+'Dai Loc'!Q120+'Dong Lam'!Q120+'Khanh Nga'!Q120+TDP!Q120+DTRVL!Q120</f>
        <v>0</v>
      </c>
      <c r="R120" s="64">
        <f>DTR!R120+'Dai Loc'!R120+'Dong Lam'!R120+'Khanh Nga'!R120+TDP!R120+DTRVL!R120</f>
        <v>0</v>
      </c>
      <c r="S120" s="64">
        <f>DTR!S120+'Dai Loc'!S120+'Dong Lam'!S120+'Khanh Nga'!S120+TDP!S120+DTRVL!S120</f>
        <v>0</v>
      </c>
      <c r="T120" s="64">
        <f>DTR!T120+'Dai Loc'!T120+'Dong Lam'!T120+'Khanh Nga'!T120+TDP!T120+DTRVL!T120</f>
        <v>0</v>
      </c>
      <c r="U120" s="64">
        <f>DTR!U120+'Dai Loc'!U120+'Dong Lam'!U120+'Khanh Nga'!U120+TDP!U120+DTRVL!U120</f>
        <v>0</v>
      </c>
      <c r="V120" s="64">
        <f>DTR!V120+'Dai Loc'!V120+'Dong Lam'!V120+'Khanh Nga'!V120+TDP!V120+DTRVL!V120</f>
        <v>0</v>
      </c>
      <c r="W120" s="64">
        <f>DTR!W120+'Dai Loc'!W120+'Dong Lam'!W120+'Khanh Nga'!W120+TDP!W120+DTRVL!W120</f>
        <v>0</v>
      </c>
      <c r="X120" s="64">
        <f>DTR!X120+'Dai Loc'!X120+'Dong Lam'!X120+'Khanh Nga'!X120+TDP!X120+DTRVL!X120</f>
        <v>0</v>
      </c>
      <c r="Y120" s="64">
        <f>DTR!Y120+'Dai Loc'!Y120+'Dong Lam'!Y120+'Khanh Nga'!Y120+TDP!Y120+DTRVL!Y120</f>
        <v>0</v>
      </c>
      <c r="Z120" s="64">
        <f>DTR!Z120+'Dai Loc'!Z120+'Dong Lam'!Z120+'Khanh Nga'!Z120+TDP!Z120+DTRVL!Z120</f>
        <v>0</v>
      </c>
    </row>
    <row r="121" spans="1:26" ht="15" hidden="1" customHeight="1" outlineLevel="1">
      <c r="A121" s="67" t="s">
        <v>205</v>
      </c>
      <c r="B121" s="63">
        <v>116</v>
      </c>
      <c r="C121" s="64">
        <f>DTR!C121+'Dai Loc'!C121+'Dong Lam'!C121+'Khanh Nga'!C121+TDP!C121+DTRVL!C121</f>
        <v>0</v>
      </c>
      <c r="D121" s="64">
        <f>DTR!D121+'Dai Loc'!D121+'Dong Lam'!D121+'Khanh Nga'!D121+TDP!D121+DTRVL!D121</f>
        <v>0</v>
      </c>
      <c r="E121" s="64">
        <f>DTR!E121+'Dai Loc'!E121+'Dong Lam'!E121+'Khanh Nga'!E121+TDP!E121+DTRVL!E121</f>
        <v>0</v>
      </c>
      <c r="F121" s="64">
        <f>DTR!F121+'Dai Loc'!F121+'Dong Lam'!F121+'Khanh Nga'!F121+TDP!F121+DTRVL!F121</f>
        <v>0</v>
      </c>
      <c r="G121" s="64">
        <f>DTR!G121+'Dai Loc'!G121+'Dong Lam'!G121+'Khanh Nga'!G121+TDP!G121+DTRVL!G121</f>
        <v>0</v>
      </c>
      <c r="H121" s="64">
        <f>DTR!H121+'Dai Loc'!H121+'Dong Lam'!H121+'Khanh Nga'!H121+TDP!H121+DTRVL!H121</f>
        <v>0</v>
      </c>
      <c r="I121" s="64">
        <f>DTR!I121+'Dai Loc'!I121+'Dong Lam'!I121+'Khanh Nga'!I121+TDP!I121+DTRVL!I121</f>
        <v>0</v>
      </c>
      <c r="J121" s="64">
        <f>DTR!J121+'Dai Loc'!J121+'Dong Lam'!J121+'Khanh Nga'!J121+TDP!J121+DTRVL!J121</f>
        <v>0</v>
      </c>
      <c r="K121" s="64">
        <f>DTR!K121+'Dai Loc'!K121+'Dong Lam'!K121+'Khanh Nga'!K121+TDP!K121+DTRVL!K121</f>
        <v>0</v>
      </c>
      <c r="L121" s="64">
        <f>DTR!L121+'Dai Loc'!L121+'Dong Lam'!L121+'Khanh Nga'!L121+TDP!L121+DTRVL!L121</f>
        <v>0</v>
      </c>
      <c r="M121" s="64">
        <f>DTR!M121+'Dai Loc'!M121+'Dong Lam'!M121+'Khanh Nga'!M121+TDP!M121+DTRVL!M121</f>
        <v>0</v>
      </c>
      <c r="N121" s="64">
        <f>DTR!N121+'Dai Loc'!N121+'Dong Lam'!N121+'Khanh Nga'!N121+TDP!N121+DTRVL!N121</f>
        <v>0</v>
      </c>
      <c r="O121" s="64">
        <f>DTR!O121+'Dai Loc'!O121+'Dong Lam'!O121+'Khanh Nga'!O121+TDP!O121+DTRVL!O121</f>
        <v>0</v>
      </c>
      <c r="P121" s="64">
        <f>DTR!P121+'Dai Loc'!P121+'Dong Lam'!P121+'Khanh Nga'!P121+TDP!P121+DTRVL!P121</f>
        <v>0</v>
      </c>
      <c r="Q121" s="64">
        <f>DTR!Q121+'Dai Loc'!Q121+'Dong Lam'!Q121+'Khanh Nga'!Q121+TDP!Q121+DTRVL!Q121</f>
        <v>0</v>
      </c>
      <c r="R121" s="64">
        <f>DTR!R121+'Dai Loc'!R121+'Dong Lam'!R121+'Khanh Nga'!R121+TDP!R121+DTRVL!R121</f>
        <v>0</v>
      </c>
      <c r="S121" s="64">
        <f>DTR!S121+'Dai Loc'!S121+'Dong Lam'!S121+'Khanh Nga'!S121+TDP!S121+DTRVL!S121</f>
        <v>0</v>
      </c>
      <c r="T121" s="64">
        <f>DTR!T121+'Dai Loc'!T121+'Dong Lam'!T121+'Khanh Nga'!T121+TDP!T121+DTRVL!T121</f>
        <v>0</v>
      </c>
      <c r="U121" s="64">
        <f>DTR!U121+'Dai Loc'!U121+'Dong Lam'!U121+'Khanh Nga'!U121+TDP!U121+DTRVL!U121</f>
        <v>0</v>
      </c>
      <c r="V121" s="64">
        <f>DTR!V121+'Dai Loc'!V121+'Dong Lam'!V121+'Khanh Nga'!V121+TDP!V121+DTRVL!V121</f>
        <v>0</v>
      </c>
      <c r="W121" s="64">
        <f>DTR!W121+'Dai Loc'!W121+'Dong Lam'!W121+'Khanh Nga'!W121+TDP!W121+DTRVL!W121</f>
        <v>0</v>
      </c>
      <c r="X121" s="64">
        <f>DTR!X121+'Dai Loc'!X121+'Dong Lam'!X121+'Khanh Nga'!X121+TDP!X121+DTRVL!X121</f>
        <v>0</v>
      </c>
      <c r="Y121" s="64">
        <f>DTR!Y121+'Dai Loc'!Y121+'Dong Lam'!Y121+'Khanh Nga'!Y121+TDP!Y121+DTRVL!Y121</f>
        <v>0</v>
      </c>
      <c r="Z121" s="64">
        <f>DTR!Z121+'Dai Loc'!Z121+'Dong Lam'!Z121+'Khanh Nga'!Z121+TDP!Z121+DTRVL!Z121</f>
        <v>0</v>
      </c>
    </row>
    <row r="122" spans="1:26" ht="15" hidden="1" customHeight="1" outlineLevel="1">
      <c r="A122" s="67" t="s">
        <v>206</v>
      </c>
      <c r="B122" s="63">
        <v>117</v>
      </c>
      <c r="C122" s="64">
        <f>DTR!C122+'Dai Loc'!C122+'Dong Lam'!C122+'Khanh Nga'!C122+TDP!C122+DTRVL!C122</f>
        <v>0</v>
      </c>
      <c r="D122" s="64">
        <f>DTR!D122+'Dai Loc'!D122+'Dong Lam'!D122+'Khanh Nga'!D122+TDP!D122+DTRVL!D122</f>
        <v>0</v>
      </c>
      <c r="E122" s="64">
        <f>DTR!E122+'Dai Loc'!E122+'Dong Lam'!E122+'Khanh Nga'!E122+TDP!E122+DTRVL!E122</f>
        <v>0</v>
      </c>
      <c r="F122" s="64">
        <f>DTR!F122+'Dai Loc'!F122+'Dong Lam'!F122+'Khanh Nga'!F122+TDP!F122+DTRVL!F122</f>
        <v>0</v>
      </c>
      <c r="G122" s="64">
        <f>DTR!G122+'Dai Loc'!G122+'Dong Lam'!G122+'Khanh Nga'!G122+TDP!G122+DTRVL!G122</f>
        <v>0</v>
      </c>
      <c r="H122" s="64">
        <f>DTR!H122+'Dai Loc'!H122+'Dong Lam'!H122+'Khanh Nga'!H122+TDP!H122+DTRVL!H122</f>
        <v>0</v>
      </c>
      <c r="I122" s="64">
        <f>DTR!I122+'Dai Loc'!I122+'Dong Lam'!I122+'Khanh Nga'!I122+TDP!I122+DTRVL!I122</f>
        <v>0</v>
      </c>
      <c r="J122" s="64">
        <f>DTR!J122+'Dai Loc'!J122+'Dong Lam'!J122+'Khanh Nga'!J122+TDP!J122+DTRVL!J122</f>
        <v>0</v>
      </c>
      <c r="K122" s="64">
        <f>DTR!K122+'Dai Loc'!K122+'Dong Lam'!K122+'Khanh Nga'!K122+TDP!K122+DTRVL!K122</f>
        <v>0</v>
      </c>
      <c r="L122" s="64">
        <f>DTR!L122+'Dai Loc'!L122+'Dong Lam'!L122+'Khanh Nga'!L122+TDP!L122+DTRVL!L122</f>
        <v>0</v>
      </c>
      <c r="M122" s="64">
        <f>DTR!M122+'Dai Loc'!M122+'Dong Lam'!M122+'Khanh Nga'!M122+TDP!M122+DTRVL!M122</f>
        <v>0</v>
      </c>
      <c r="N122" s="64">
        <f>DTR!N122+'Dai Loc'!N122+'Dong Lam'!N122+'Khanh Nga'!N122+TDP!N122+DTRVL!N122</f>
        <v>0</v>
      </c>
      <c r="O122" s="64">
        <f>DTR!O122+'Dai Loc'!O122+'Dong Lam'!O122+'Khanh Nga'!O122+TDP!O122+DTRVL!O122</f>
        <v>0</v>
      </c>
      <c r="P122" s="64">
        <f>DTR!P122+'Dai Loc'!P122+'Dong Lam'!P122+'Khanh Nga'!P122+TDP!P122+DTRVL!P122</f>
        <v>0</v>
      </c>
      <c r="Q122" s="64">
        <f>DTR!Q122+'Dai Loc'!Q122+'Dong Lam'!Q122+'Khanh Nga'!Q122+TDP!Q122+DTRVL!Q122</f>
        <v>0</v>
      </c>
      <c r="R122" s="64">
        <f>DTR!R122+'Dai Loc'!R122+'Dong Lam'!R122+'Khanh Nga'!R122+TDP!R122+DTRVL!R122</f>
        <v>0</v>
      </c>
      <c r="S122" s="64">
        <f>DTR!S122+'Dai Loc'!S122+'Dong Lam'!S122+'Khanh Nga'!S122+TDP!S122+DTRVL!S122</f>
        <v>0</v>
      </c>
      <c r="T122" s="64">
        <f>DTR!T122+'Dai Loc'!T122+'Dong Lam'!T122+'Khanh Nga'!T122+TDP!T122+DTRVL!T122</f>
        <v>0</v>
      </c>
      <c r="U122" s="64">
        <f>DTR!U122+'Dai Loc'!U122+'Dong Lam'!U122+'Khanh Nga'!U122+TDP!U122+DTRVL!U122</f>
        <v>0</v>
      </c>
      <c r="V122" s="64">
        <f>DTR!V122+'Dai Loc'!V122+'Dong Lam'!V122+'Khanh Nga'!V122+TDP!V122+DTRVL!V122</f>
        <v>0</v>
      </c>
      <c r="W122" s="64">
        <f>DTR!W122+'Dai Loc'!W122+'Dong Lam'!W122+'Khanh Nga'!W122+TDP!W122+DTRVL!W122</f>
        <v>0</v>
      </c>
      <c r="X122" s="64">
        <f>DTR!X122+'Dai Loc'!X122+'Dong Lam'!X122+'Khanh Nga'!X122+TDP!X122+DTRVL!X122</f>
        <v>0</v>
      </c>
      <c r="Y122" s="64">
        <f>DTR!Y122+'Dai Loc'!Y122+'Dong Lam'!Y122+'Khanh Nga'!Y122+TDP!Y122+DTRVL!Y122</f>
        <v>0</v>
      </c>
      <c r="Z122" s="64">
        <f>DTR!Z122+'Dai Loc'!Z122+'Dong Lam'!Z122+'Khanh Nga'!Z122+TDP!Z122+DTRVL!Z122</f>
        <v>0</v>
      </c>
    </row>
    <row r="123" spans="1:26" ht="15" hidden="1" customHeight="1" outlineLevel="1">
      <c r="A123" s="67" t="s">
        <v>207</v>
      </c>
      <c r="B123" s="63">
        <v>118</v>
      </c>
      <c r="C123" s="64">
        <f>DTR!C123+'Dai Loc'!C123+'Dong Lam'!C123+'Khanh Nga'!C123+TDP!C123+DTRVL!C123</f>
        <v>0</v>
      </c>
      <c r="D123" s="64">
        <f>DTR!D123+'Dai Loc'!D123+'Dong Lam'!D123+'Khanh Nga'!D123+TDP!D123+DTRVL!D123</f>
        <v>0</v>
      </c>
      <c r="E123" s="64">
        <f>DTR!E123+'Dai Loc'!E123+'Dong Lam'!E123+'Khanh Nga'!E123+TDP!E123+DTRVL!E123</f>
        <v>0</v>
      </c>
      <c r="F123" s="64">
        <f>DTR!F123+'Dai Loc'!F123+'Dong Lam'!F123+'Khanh Nga'!F123+TDP!F123+DTRVL!F123</f>
        <v>0</v>
      </c>
      <c r="G123" s="64">
        <f>DTR!G123+'Dai Loc'!G123+'Dong Lam'!G123+'Khanh Nga'!G123+TDP!G123+DTRVL!G123</f>
        <v>0</v>
      </c>
      <c r="H123" s="64">
        <f>DTR!H123+'Dai Loc'!H123+'Dong Lam'!H123+'Khanh Nga'!H123+TDP!H123+DTRVL!H123</f>
        <v>0</v>
      </c>
      <c r="I123" s="64">
        <f>DTR!I123+'Dai Loc'!I123+'Dong Lam'!I123+'Khanh Nga'!I123+TDP!I123+DTRVL!I123</f>
        <v>0</v>
      </c>
      <c r="J123" s="64">
        <f>DTR!J123+'Dai Loc'!J123+'Dong Lam'!J123+'Khanh Nga'!J123+TDP!J123+DTRVL!J123</f>
        <v>0</v>
      </c>
      <c r="K123" s="64">
        <f>DTR!K123+'Dai Loc'!K123+'Dong Lam'!K123+'Khanh Nga'!K123+TDP!K123+DTRVL!K123</f>
        <v>0</v>
      </c>
      <c r="L123" s="64">
        <f>DTR!L123+'Dai Loc'!L123+'Dong Lam'!L123+'Khanh Nga'!L123+TDP!L123+DTRVL!L123</f>
        <v>0</v>
      </c>
      <c r="M123" s="64">
        <f>DTR!M123+'Dai Loc'!M123+'Dong Lam'!M123+'Khanh Nga'!M123+TDP!M123+DTRVL!M123</f>
        <v>0</v>
      </c>
      <c r="N123" s="64">
        <f>DTR!N123+'Dai Loc'!N123+'Dong Lam'!N123+'Khanh Nga'!N123+TDP!N123+DTRVL!N123</f>
        <v>0</v>
      </c>
      <c r="O123" s="64">
        <f>DTR!O123+'Dai Loc'!O123+'Dong Lam'!O123+'Khanh Nga'!O123+TDP!O123+DTRVL!O123</f>
        <v>0</v>
      </c>
      <c r="P123" s="64">
        <f>DTR!P123+'Dai Loc'!P123+'Dong Lam'!P123+'Khanh Nga'!P123+TDP!P123+DTRVL!P123</f>
        <v>0</v>
      </c>
      <c r="Q123" s="64">
        <f>DTR!Q123+'Dai Loc'!Q123+'Dong Lam'!Q123+'Khanh Nga'!Q123+TDP!Q123+DTRVL!Q123</f>
        <v>0</v>
      </c>
      <c r="R123" s="64">
        <f>DTR!R123+'Dai Loc'!R123+'Dong Lam'!R123+'Khanh Nga'!R123+TDP!R123+DTRVL!R123</f>
        <v>0</v>
      </c>
      <c r="S123" s="64">
        <f>DTR!S123+'Dai Loc'!S123+'Dong Lam'!S123+'Khanh Nga'!S123+TDP!S123+DTRVL!S123</f>
        <v>0</v>
      </c>
      <c r="T123" s="64">
        <f>DTR!T123+'Dai Loc'!T123+'Dong Lam'!T123+'Khanh Nga'!T123+TDP!T123+DTRVL!T123</f>
        <v>0</v>
      </c>
      <c r="U123" s="64">
        <f>DTR!U123+'Dai Loc'!U123+'Dong Lam'!U123+'Khanh Nga'!U123+TDP!U123+DTRVL!U123</f>
        <v>0</v>
      </c>
      <c r="V123" s="64">
        <f>DTR!V123+'Dai Loc'!V123+'Dong Lam'!V123+'Khanh Nga'!V123+TDP!V123+DTRVL!V123</f>
        <v>0</v>
      </c>
      <c r="W123" s="64">
        <f>DTR!W123+'Dai Loc'!W123+'Dong Lam'!W123+'Khanh Nga'!W123+TDP!W123+DTRVL!W123</f>
        <v>0</v>
      </c>
      <c r="X123" s="64">
        <f>DTR!X123+'Dai Loc'!X123+'Dong Lam'!X123+'Khanh Nga'!X123+TDP!X123+DTRVL!X123</f>
        <v>0</v>
      </c>
      <c r="Y123" s="64">
        <f>DTR!Y123+'Dai Loc'!Y123+'Dong Lam'!Y123+'Khanh Nga'!Y123+TDP!Y123+DTRVL!Y123</f>
        <v>0</v>
      </c>
      <c r="Z123" s="64">
        <f>DTR!Z123+'Dai Loc'!Z123+'Dong Lam'!Z123+'Khanh Nga'!Z123+TDP!Z123+DTRVL!Z123</f>
        <v>0</v>
      </c>
    </row>
    <row r="124" spans="1:26" ht="15" hidden="1" customHeight="1" outlineLevel="1">
      <c r="A124" s="67" t="s">
        <v>208</v>
      </c>
      <c r="B124" s="63">
        <v>119</v>
      </c>
      <c r="C124" s="64">
        <f>DTR!C124+'Dai Loc'!C124+'Dong Lam'!C124+'Khanh Nga'!C124+TDP!C124+DTRVL!C124</f>
        <v>0</v>
      </c>
      <c r="D124" s="64">
        <f>DTR!D124+'Dai Loc'!D124+'Dong Lam'!D124+'Khanh Nga'!D124+TDP!D124+DTRVL!D124</f>
        <v>0</v>
      </c>
      <c r="E124" s="64">
        <f>DTR!E124+'Dai Loc'!E124+'Dong Lam'!E124+'Khanh Nga'!E124+TDP!E124+DTRVL!E124</f>
        <v>0</v>
      </c>
      <c r="F124" s="64">
        <f>DTR!F124+'Dai Loc'!F124+'Dong Lam'!F124+'Khanh Nga'!F124+TDP!F124+DTRVL!F124</f>
        <v>0</v>
      </c>
      <c r="G124" s="64">
        <f>DTR!G124+'Dai Loc'!G124+'Dong Lam'!G124+'Khanh Nga'!G124+TDP!G124+DTRVL!G124</f>
        <v>0</v>
      </c>
      <c r="H124" s="64">
        <f>DTR!H124+'Dai Loc'!H124+'Dong Lam'!H124+'Khanh Nga'!H124+TDP!H124+DTRVL!H124</f>
        <v>0</v>
      </c>
      <c r="I124" s="64">
        <f>DTR!I124+'Dai Loc'!I124+'Dong Lam'!I124+'Khanh Nga'!I124+TDP!I124+DTRVL!I124</f>
        <v>0</v>
      </c>
      <c r="J124" s="64">
        <f>DTR!J124+'Dai Loc'!J124+'Dong Lam'!J124+'Khanh Nga'!J124+TDP!J124+DTRVL!J124</f>
        <v>0</v>
      </c>
      <c r="K124" s="64">
        <f>DTR!K124+'Dai Loc'!K124+'Dong Lam'!K124+'Khanh Nga'!K124+TDP!K124+DTRVL!K124</f>
        <v>0</v>
      </c>
      <c r="L124" s="64">
        <f>DTR!L124+'Dai Loc'!L124+'Dong Lam'!L124+'Khanh Nga'!L124+TDP!L124+DTRVL!L124</f>
        <v>0</v>
      </c>
      <c r="M124" s="64">
        <f>DTR!M124+'Dai Loc'!M124+'Dong Lam'!M124+'Khanh Nga'!M124+TDP!M124+DTRVL!M124</f>
        <v>0</v>
      </c>
      <c r="N124" s="64">
        <f>DTR!N124+'Dai Loc'!N124+'Dong Lam'!N124+'Khanh Nga'!N124+TDP!N124+DTRVL!N124</f>
        <v>0</v>
      </c>
      <c r="O124" s="64">
        <f>DTR!O124+'Dai Loc'!O124+'Dong Lam'!O124+'Khanh Nga'!O124+TDP!O124+DTRVL!O124</f>
        <v>0</v>
      </c>
      <c r="P124" s="64">
        <f>DTR!P124+'Dai Loc'!P124+'Dong Lam'!P124+'Khanh Nga'!P124+TDP!P124+DTRVL!P124</f>
        <v>0</v>
      </c>
      <c r="Q124" s="64">
        <f>DTR!Q124+'Dai Loc'!Q124+'Dong Lam'!Q124+'Khanh Nga'!Q124+TDP!Q124+DTRVL!Q124</f>
        <v>0</v>
      </c>
      <c r="R124" s="64">
        <f>DTR!R124+'Dai Loc'!R124+'Dong Lam'!R124+'Khanh Nga'!R124+TDP!R124+DTRVL!R124</f>
        <v>0</v>
      </c>
      <c r="S124" s="64">
        <f>DTR!S124+'Dai Loc'!S124+'Dong Lam'!S124+'Khanh Nga'!S124+TDP!S124+DTRVL!S124</f>
        <v>0</v>
      </c>
      <c r="T124" s="64">
        <f>DTR!T124+'Dai Loc'!T124+'Dong Lam'!T124+'Khanh Nga'!T124+TDP!T124+DTRVL!T124</f>
        <v>0</v>
      </c>
      <c r="U124" s="64">
        <f>DTR!U124+'Dai Loc'!U124+'Dong Lam'!U124+'Khanh Nga'!U124+TDP!U124+DTRVL!U124</f>
        <v>0</v>
      </c>
      <c r="V124" s="64">
        <f>DTR!V124+'Dai Loc'!V124+'Dong Lam'!V124+'Khanh Nga'!V124+TDP!V124+DTRVL!V124</f>
        <v>0</v>
      </c>
      <c r="W124" s="64">
        <f>DTR!W124+'Dai Loc'!W124+'Dong Lam'!W124+'Khanh Nga'!W124+TDP!W124+DTRVL!W124</f>
        <v>0</v>
      </c>
      <c r="X124" s="64">
        <f>DTR!X124+'Dai Loc'!X124+'Dong Lam'!X124+'Khanh Nga'!X124+TDP!X124+DTRVL!X124</f>
        <v>0</v>
      </c>
      <c r="Y124" s="64">
        <f>DTR!Y124+'Dai Loc'!Y124+'Dong Lam'!Y124+'Khanh Nga'!Y124+TDP!Y124+DTRVL!Y124</f>
        <v>0</v>
      </c>
      <c r="Z124" s="64">
        <f>DTR!Z124+'Dai Loc'!Z124+'Dong Lam'!Z124+'Khanh Nga'!Z124+TDP!Z124+DTRVL!Z124</f>
        <v>0</v>
      </c>
    </row>
    <row r="125" spans="1:26" ht="15" hidden="1" customHeight="1" outlineLevel="1">
      <c r="A125" s="67" t="s">
        <v>209</v>
      </c>
      <c r="B125" s="63">
        <v>120</v>
      </c>
      <c r="C125" s="64">
        <f>DTR!C125+'Dai Loc'!C125+'Dong Lam'!C125+'Khanh Nga'!C125+TDP!C125+DTRVL!C125</f>
        <v>0</v>
      </c>
      <c r="D125" s="64">
        <f>DTR!D125+'Dai Loc'!D125+'Dong Lam'!D125+'Khanh Nga'!D125+TDP!D125+DTRVL!D125</f>
        <v>0</v>
      </c>
      <c r="E125" s="64">
        <f>DTR!E125+'Dai Loc'!E125+'Dong Lam'!E125+'Khanh Nga'!E125+TDP!E125+DTRVL!E125</f>
        <v>0</v>
      </c>
      <c r="F125" s="64">
        <f>DTR!F125+'Dai Loc'!F125+'Dong Lam'!F125+'Khanh Nga'!F125+TDP!F125+DTRVL!F125</f>
        <v>0</v>
      </c>
      <c r="G125" s="64">
        <f>DTR!G125+'Dai Loc'!G125+'Dong Lam'!G125+'Khanh Nga'!G125+TDP!G125+DTRVL!G125</f>
        <v>0</v>
      </c>
      <c r="H125" s="64">
        <f>DTR!H125+'Dai Loc'!H125+'Dong Lam'!H125+'Khanh Nga'!H125+TDP!H125+DTRVL!H125</f>
        <v>0</v>
      </c>
      <c r="I125" s="64">
        <f>DTR!I125+'Dai Loc'!I125+'Dong Lam'!I125+'Khanh Nga'!I125+TDP!I125+DTRVL!I125</f>
        <v>0</v>
      </c>
      <c r="J125" s="64">
        <f>DTR!J125+'Dai Loc'!J125+'Dong Lam'!J125+'Khanh Nga'!J125+TDP!J125+DTRVL!J125</f>
        <v>0</v>
      </c>
      <c r="K125" s="64">
        <f>DTR!K125+'Dai Loc'!K125+'Dong Lam'!K125+'Khanh Nga'!K125+TDP!K125+DTRVL!K125</f>
        <v>0</v>
      </c>
      <c r="L125" s="64">
        <f>DTR!L125+'Dai Loc'!L125+'Dong Lam'!L125+'Khanh Nga'!L125+TDP!L125+DTRVL!L125</f>
        <v>0</v>
      </c>
      <c r="M125" s="64">
        <f>DTR!M125+'Dai Loc'!M125+'Dong Lam'!M125+'Khanh Nga'!M125+TDP!M125+DTRVL!M125</f>
        <v>0</v>
      </c>
      <c r="N125" s="64">
        <f>DTR!N125+'Dai Loc'!N125+'Dong Lam'!N125+'Khanh Nga'!N125+TDP!N125+DTRVL!N125</f>
        <v>0</v>
      </c>
      <c r="O125" s="64">
        <f>DTR!O125+'Dai Loc'!O125+'Dong Lam'!O125+'Khanh Nga'!O125+TDP!O125+DTRVL!O125</f>
        <v>0</v>
      </c>
      <c r="P125" s="64">
        <f>DTR!P125+'Dai Loc'!P125+'Dong Lam'!P125+'Khanh Nga'!P125+TDP!P125+DTRVL!P125</f>
        <v>0</v>
      </c>
      <c r="Q125" s="64">
        <f>DTR!Q125+'Dai Loc'!Q125+'Dong Lam'!Q125+'Khanh Nga'!Q125+TDP!Q125+DTRVL!Q125</f>
        <v>0</v>
      </c>
      <c r="R125" s="64">
        <f>DTR!R125+'Dai Loc'!R125+'Dong Lam'!R125+'Khanh Nga'!R125+TDP!R125+DTRVL!R125</f>
        <v>0</v>
      </c>
      <c r="S125" s="64">
        <f>DTR!S125+'Dai Loc'!S125+'Dong Lam'!S125+'Khanh Nga'!S125+TDP!S125+DTRVL!S125</f>
        <v>0</v>
      </c>
      <c r="T125" s="64">
        <f>DTR!T125+'Dai Loc'!T125+'Dong Lam'!T125+'Khanh Nga'!T125+TDP!T125+DTRVL!T125</f>
        <v>0</v>
      </c>
      <c r="U125" s="64">
        <f>DTR!U125+'Dai Loc'!U125+'Dong Lam'!U125+'Khanh Nga'!U125+TDP!U125+DTRVL!U125</f>
        <v>0</v>
      </c>
      <c r="V125" s="64">
        <f>DTR!V125+'Dai Loc'!V125+'Dong Lam'!V125+'Khanh Nga'!V125+TDP!V125+DTRVL!V125</f>
        <v>0</v>
      </c>
      <c r="W125" s="64">
        <f>DTR!W125+'Dai Loc'!W125+'Dong Lam'!W125+'Khanh Nga'!W125+TDP!W125+DTRVL!W125</f>
        <v>0</v>
      </c>
      <c r="X125" s="64">
        <f>DTR!X125+'Dai Loc'!X125+'Dong Lam'!X125+'Khanh Nga'!X125+TDP!X125+DTRVL!X125</f>
        <v>0</v>
      </c>
      <c r="Y125" s="64">
        <f>DTR!Y125+'Dai Loc'!Y125+'Dong Lam'!Y125+'Khanh Nga'!Y125+TDP!Y125+DTRVL!Y125</f>
        <v>0</v>
      </c>
      <c r="Z125" s="64">
        <f>DTR!Z125+'Dai Loc'!Z125+'Dong Lam'!Z125+'Khanh Nga'!Z125+TDP!Z125+DTRVL!Z125</f>
        <v>0</v>
      </c>
    </row>
    <row r="126" spans="1:26" ht="15" hidden="1" customHeight="1" outlineLevel="1">
      <c r="A126" s="67" t="s">
        <v>210</v>
      </c>
      <c r="B126" s="63">
        <v>121</v>
      </c>
      <c r="C126" s="64">
        <f>DTR!C126+'Dai Loc'!C126+'Dong Lam'!C126+'Khanh Nga'!C126+TDP!C126+DTRVL!C126</f>
        <v>0</v>
      </c>
      <c r="D126" s="64">
        <f>DTR!D126+'Dai Loc'!D126+'Dong Lam'!D126+'Khanh Nga'!D126+TDP!D126+DTRVL!D126</f>
        <v>0</v>
      </c>
      <c r="E126" s="64">
        <f>DTR!E126+'Dai Loc'!E126+'Dong Lam'!E126+'Khanh Nga'!E126+TDP!E126+DTRVL!E126</f>
        <v>0</v>
      </c>
      <c r="F126" s="64">
        <f>DTR!F126+'Dai Loc'!F126+'Dong Lam'!F126+'Khanh Nga'!F126+TDP!F126+DTRVL!F126</f>
        <v>0</v>
      </c>
      <c r="G126" s="64">
        <f>DTR!G126+'Dai Loc'!G126+'Dong Lam'!G126+'Khanh Nga'!G126+TDP!G126+DTRVL!G126</f>
        <v>0</v>
      </c>
      <c r="H126" s="64">
        <f>DTR!H126+'Dai Loc'!H126+'Dong Lam'!H126+'Khanh Nga'!H126+TDP!H126+DTRVL!H126</f>
        <v>0</v>
      </c>
      <c r="I126" s="64">
        <f>DTR!I126+'Dai Loc'!I126+'Dong Lam'!I126+'Khanh Nga'!I126+TDP!I126+DTRVL!I126</f>
        <v>0</v>
      </c>
      <c r="J126" s="64">
        <f>DTR!J126+'Dai Loc'!J126+'Dong Lam'!J126+'Khanh Nga'!J126+TDP!J126+DTRVL!J126</f>
        <v>0</v>
      </c>
      <c r="K126" s="64">
        <f>DTR!K126+'Dai Loc'!K126+'Dong Lam'!K126+'Khanh Nga'!K126+TDP!K126+DTRVL!K126</f>
        <v>0</v>
      </c>
      <c r="L126" s="64">
        <f>DTR!L126+'Dai Loc'!L126+'Dong Lam'!L126+'Khanh Nga'!L126+TDP!L126+DTRVL!L126</f>
        <v>0</v>
      </c>
      <c r="M126" s="64">
        <f>DTR!M126+'Dai Loc'!M126+'Dong Lam'!M126+'Khanh Nga'!M126+TDP!M126+DTRVL!M126</f>
        <v>0</v>
      </c>
      <c r="N126" s="64">
        <f>DTR!N126+'Dai Loc'!N126+'Dong Lam'!N126+'Khanh Nga'!N126+TDP!N126+DTRVL!N126</f>
        <v>0</v>
      </c>
      <c r="O126" s="64">
        <f>DTR!O126+'Dai Loc'!O126+'Dong Lam'!O126+'Khanh Nga'!O126+TDP!O126+DTRVL!O126</f>
        <v>0</v>
      </c>
      <c r="P126" s="64">
        <f>DTR!P126+'Dai Loc'!P126+'Dong Lam'!P126+'Khanh Nga'!P126+TDP!P126+DTRVL!P126</f>
        <v>0</v>
      </c>
      <c r="Q126" s="64">
        <f>DTR!Q126+'Dai Loc'!Q126+'Dong Lam'!Q126+'Khanh Nga'!Q126+TDP!Q126+DTRVL!Q126</f>
        <v>0</v>
      </c>
      <c r="R126" s="64">
        <f>DTR!R126+'Dai Loc'!R126+'Dong Lam'!R126+'Khanh Nga'!R126+TDP!R126+DTRVL!R126</f>
        <v>0</v>
      </c>
      <c r="S126" s="64">
        <f>DTR!S126+'Dai Loc'!S126+'Dong Lam'!S126+'Khanh Nga'!S126+TDP!S126+DTRVL!S126</f>
        <v>0</v>
      </c>
      <c r="T126" s="64">
        <f>DTR!T126+'Dai Loc'!T126+'Dong Lam'!T126+'Khanh Nga'!T126+TDP!T126+DTRVL!T126</f>
        <v>0</v>
      </c>
      <c r="U126" s="64">
        <f>DTR!U126+'Dai Loc'!U126+'Dong Lam'!U126+'Khanh Nga'!U126+TDP!U126+DTRVL!U126</f>
        <v>0</v>
      </c>
      <c r="V126" s="64">
        <f>DTR!V126+'Dai Loc'!V126+'Dong Lam'!V126+'Khanh Nga'!V126+TDP!V126+DTRVL!V126</f>
        <v>0</v>
      </c>
      <c r="W126" s="64">
        <f>DTR!W126+'Dai Loc'!W126+'Dong Lam'!W126+'Khanh Nga'!W126+TDP!W126+DTRVL!W126</f>
        <v>0</v>
      </c>
      <c r="X126" s="64">
        <f>DTR!X126+'Dai Loc'!X126+'Dong Lam'!X126+'Khanh Nga'!X126+TDP!X126+DTRVL!X126</f>
        <v>0</v>
      </c>
      <c r="Y126" s="64">
        <f>DTR!Y126+'Dai Loc'!Y126+'Dong Lam'!Y126+'Khanh Nga'!Y126+TDP!Y126+DTRVL!Y126</f>
        <v>0</v>
      </c>
      <c r="Z126" s="64">
        <f>DTR!Z126+'Dai Loc'!Z126+'Dong Lam'!Z126+'Khanh Nga'!Z126+TDP!Z126+DTRVL!Z126</f>
        <v>0</v>
      </c>
    </row>
    <row r="127" spans="1:26" ht="15" hidden="1" customHeight="1" outlineLevel="1">
      <c r="A127" s="67" t="s">
        <v>211</v>
      </c>
      <c r="B127" s="63">
        <v>122</v>
      </c>
      <c r="C127" s="64">
        <f>DTR!C127+'Dai Loc'!C127+'Dong Lam'!C127+'Khanh Nga'!C127+TDP!C127+DTRVL!C127</f>
        <v>0</v>
      </c>
      <c r="D127" s="64">
        <f>DTR!D127+'Dai Loc'!D127+'Dong Lam'!D127+'Khanh Nga'!D127+TDP!D127+DTRVL!D127</f>
        <v>0</v>
      </c>
      <c r="E127" s="64">
        <f>DTR!E127+'Dai Loc'!E127+'Dong Lam'!E127+'Khanh Nga'!E127+TDP!E127+DTRVL!E127</f>
        <v>0</v>
      </c>
      <c r="F127" s="64">
        <f>DTR!F127+'Dai Loc'!F127+'Dong Lam'!F127+'Khanh Nga'!F127+TDP!F127+DTRVL!F127</f>
        <v>0</v>
      </c>
      <c r="G127" s="64">
        <f>DTR!G127+'Dai Loc'!G127+'Dong Lam'!G127+'Khanh Nga'!G127+TDP!G127+DTRVL!G127</f>
        <v>0</v>
      </c>
      <c r="H127" s="64">
        <f>DTR!H127+'Dai Loc'!H127+'Dong Lam'!H127+'Khanh Nga'!H127+TDP!H127+DTRVL!H127</f>
        <v>0</v>
      </c>
      <c r="I127" s="64">
        <f>DTR!I127+'Dai Loc'!I127+'Dong Lam'!I127+'Khanh Nga'!I127+TDP!I127+DTRVL!I127</f>
        <v>0</v>
      </c>
      <c r="J127" s="64">
        <f>DTR!J127+'Dai Loc'!J127+'Dong Lam'!J127+'Khanh Nga'!J127+TDP!J127+DTRVL!J127</f>
        <v>0</v>
      </c>
      <c r="K127" s="64">
        <f>DTR!K127+'Dai Loc'!K127+'Dong Lam'!K127+'Khanh Nga'!K127+TDP!K127+DTRVL!K127</f>
        <v>0</v>
      </c>
      <c r="L127" s="64">
        <f>DTR!L127+'Dai Loc'!L127+'Dong Lam'!L127+'Khanh Nga'!L127+TDP!L127+DTRVL!L127</f>
        <v>0</v>
      </c>
      <c r="M127" s="64">
        <f>DTR!M127+'Dai Loc'!M127+'Dong Lam'!M127+'Khanh Nga'!M127+TDP!M127+DTRVL!M127</f>
        <v>0</v>
      </c>
      <c r="N127" s="64">
        <f>DTR!N127+'Dai Loc'!N127+'Dong Lam'!N127+'Khanh Nga'!N127+TDP!N127+DTRVL!N127</f>
        <v>0</v>
      </c>
      <c r="O127" s="64">
        <f>DTR!O127+'Dai Loc'!O127+'Dong Lam'!O127+'Khanh Nga'!O127+TDP!O127+DTRVL!O127</f>
        <v>0</v>
      </c>
      <c r="P127" s="64">
        <f>DTR!P127+'Dai Loc'!P127+'Dong Lam'!P127+'Khanh Nga'!P127+TDP!P127+DTRVL!P127</f>
        <v>0</v>
      </c>
      <c r="Q127" s="64">
        <f>DTR!Q127+'Dai Loc'!Q127+'Dong Lam'!Q127+'Khanh Nga'!Q127+TDP!Q127+DTRVL!Q127</f>
        <v>0</v>
      </c>
      <c r="R127" s="64">
        <f>DTR!R127+'Dai Loc'!R127+'Dong Lam'!R127+'Khanh Nga'!R127+TDP!R127+DTRVL!R127</f>
        <v>0</v>
      </c>
      <c r="S127" s="64">
        <f>DTR!S127+'Dai Loc'!S127+'Dong Lam'!S127+'Khanh Nga'!S127+TDP!S127+DTRVL!S127</f>
        <v>0</v>
      </c>
      <c r="T127" s="64">
        <f>DTR!T127+'Dai Loc'!T127+'Dong Lam'!T127+'Khanh Nga'!T127+TDP!T127+DTRVL!T127</f>
        <v>0</v>
      </c>
      <c r="U127" s="64">
        <f>DTR!U127+'Dai Loc'!U127+'Dong Lam'!U127+'Khanh Nga'!U127+TDP!U127+DTRVL!U127</f>
        <v>0</v>
      </c>
      <c r="V127" s="64">
        <f>DTR!V127+'Dai Loc'!V127+'Dong Lam'!V127+'Khanh Nga'!V127+TDP!V127+DTRVL!V127</f>
        <v>0</v>
      </c>
      <c r="W127" s="64">
        <f>DTR!W127+'Dai Loc'!W127+'Dong Lam'!W127+'Khanh Nga'!W127+TDP!W127+DTRVL!W127</f>
        <v>0</v>
      </c>
      <c r="X127" s="64">
        <f>DTR!X127+'Dai Loc'!X127+'Dong Lam'!X127+'Khanh Nga'!X127+TDP!X127+DTRVL!X127</f>
        <v>0</v>
      </c>
      <c r="Y127" s="64">
        <f>DTR!Y127+'Dai Loc'!Y127+'Dong Lam'!Y127+'Khanh Nga'!Y127+TDP!Y127+DTRVL!Y127</f>
        <v>0</v>
      </c>
      <c r="Z127" s="64">
        <f>DTR!Z127+'Dai Loc'!Z127+'Dong Lam'!Z127+'Khanh Nga'!Z127+TDP!Z127+DTRVL!Z127</f>
        <v>0</v>
      </c>
    </row>
    <row r="128" spans="1:26" ht="15" hidden="1" customHeight="1" outlineLevel="1">
      <c r="A128" s="86" t="s">
        <v>212</v>
      </c>
      <c r="B128" s="87">
        <v>123</v>
      </c>
      <c r="C128" s="88">
        <f>DTR!C128+'Dai Loc'!C128+'Dong Lam'!C128+'Khanh Nga'!C128+TDP!C128+DTRVL!C128</f>
        <v>103851514758</v>
      </c>
      <c r="D128" s="88">
        <f>DTR!D128+'Dai Loc'!D128+'Dong Lam'!D128+'Khanh Nga'!D128+TDP!D128+DTRVL!D128</f>
        <v>97113202906</v>
      </c>
      <c r="E128" s="88">
        <f>DTR!E128+'Dai Loc'!E128+'Dong Lam'!E128+'Khanh Nga'!E128+TDP!E128+DTRVL!E128</f>
        <v>94369881618</v>
      </c>
      <c r="F128" s="88">
        <f>DTR!F128+'Dai Loc'!F128+'Dong Lam'!F128+'Khanh Nga'!F128+TDP!F128+DTRVL!F128</f>
        <v>96038222035</v>
      </c>
      <c r="G128" s="88">
        <f>DTR!G128+'Dai Loc'!G128+'Dong Lam'!G128+'Khanh Nga'!G128+TDP!G128+DTRVL!G128</f>
        <v>90346413861</v>
      </c>
      <c r="H128" s="88">
        <f>DTR!H128+'Dai Loc'!H128+'Dong Lam'!H128+'Khanh Nga'!H128+TDP!H128+DTRVL!H128</f>
        <v>78203765216</v>
      </c>
      <c r="I128" s="88">
        <f>DTR!I128+'Dai Loc'!I128+'Dong Lam'!I128+'Khanh Nga'!I128+TDP!I128+DTRVL!I128</f>
        <v>63009488882</v>
      </c>
      <c r="J128" s="88">
        <f>DTR!J128+'Dai Loc'!J128+'Dong Lam'!J128+'Khanh Nga'!J128+TDP!J128+DTRVL!J128</f>
        <v>52963168023</v>
      </c>
      <c r="K128" s="88">
        <f>DTR!K128+'Dai Loc'!K128+'Dong Lam'!K128+'Khanh Nga'!K128+TDP!K128+DTRVL!K128</f>
        <v>61080811621</v>
      </c>
      <c r="L128" s="88">
        <f>DTR!L128+'Dai Loc'!L128+'Dong Lam'!L128+'Khanh Nga'!L128+TDP!L128+DTRVL!L128</f>
        <v>54735064957</v>
      </c>
      <c r="M128" s="88">
        <f>DTR!M128+'Dai Loc'!M128+'Dong Lam'!M128+'Khanh Nga'!M128+TDP!M128+DTRVL!M128</f>
        <v>48682915285</v>
      </c>
      <c r="N128" s="88">
        <f>DTR!N128+'Dai Loc'!N128+'Dong Lam'!N128+'Khanh Nga'!N128+TDP!N128+DTRVL!N128</f>
        <v>138257269259</v>
      </c>
      <c r="O128" s="88">
        <f>DTR!O128+'Dai Loc'!O128+'Dong Lam'!O128+'Khanh Nga'!O128+TDP!O128+DTRVL!O128</f>
        <v>140467880284</v>
      </c>
      <c r="P128" s="88">
        <f>DTR!P128+'Dai Loc'!P128+'Dong Lam'!P128+'Khanh Nga'!P128+TDP!P128+DTRVL!P128</f>
        <v>154528108970</v>
      </c>
      <c r="Q128" s="88">
        <f>DTR!Q128+'Dai Loc'!Q128+'Dong Lam'!Q128+'Khanh Nga'!Q128+TDP!Q128+DTRVL!Q128</f>
        <v>160272368853</v>
      </c>
      <c r="R128" s="88">
        <f>DTR!R128+'Dai Loc'!R128+'Dong Lam'!R128+'Khanh Nga'!R128+TDP!R128+DTRVL!R128</f>
        <v>163531579087</v>
      </c>
      <c r="S128" s="88">
        <f>DTR!S128+'Dai Loc'!S128+'Dong Lam'!S128+'Khanh Nga'!S128+TDP!S128+DTRVL!S128</f>
        <v>172830098216</v>
      </c>
      <c r="T128" s="88">
        <f>DTR!T128+'Dai Loc'!T128+'Dong Lam'!T128+'Khanh Nga'!T128+TDP!T128+DTRVL!T128</f>
        <v>173515599460</v>
      </c>
      <c r="U128" s="88">
        <f>DTR!U128+'Dai Loc'!U128+'Dong Lam'!U128+'Khanh Nga'!U128+TDP!U128+DTRVL!U128</f>
        <v>176759588430</v>
      </c>
      <c r="V128" s="88">
        <f>DTR!V128+'Dai Loc'!V128+'Dong Lam'!V128+'Khanh Nga'!V128+TDP!V128+DTRVL!V128</f>
        <v>179308741612</v>
      </c>
      <c r="W128" s="88">
        <f>DTR!W128+'Dai Loc'!W128+'Dong Lam'!W128+'Khanh Nga'!W128+TDP!W128+DTRVL!W128</f>
        <v>168137853862</v>
      </c>
      <c r="X128" s="88">
        <f>DTR!X128+'Dai Loc'!X128+'Dong Lam'!X128+'Khanh Nga'!X128+TDP!X128+DTRVL!X128</f>
        <v>163238871743</v>
      </c>
      <c r="Y128" s="88">
        <f>DTR!Y128+'Dai Loc'!Y128+'Dong Lam'!Y128+'Khanh Nga'!Y128+TDP!Y128+DTRVL!Y128</f>
        <v>155251817767</v>
      </c>
      <c r="Z128" s="88">
        <f>DTR!Z128+'Dai Loc'!Z128+'Dong Lam'!Z128+'Khanh Nga'!Z128+TDP!Z128+DTRVL!Z128</f>
        <v>169153080211</v>
      </c>
    </row>
    <row r="129" spans="1:52" ht="15" hidden="1" customHeight="1" outlineLevel="1">
      <c r="A129" s="89" t="s">
        <v>213</v>
      </c>
      <c r="B129" s="63">
        <v>124</v>
      </c>
      <c r="C129" s="90">
        <f>DTR!C129+'Dai Loc'!C129+'Dong Lam'!C129+'Khanh Nga'!C129+TDP!C129+DTRVL!C129</f>
        <v>106616032141</v>
      </c>
      <c r="D129" s="90">
        <f>DTR!D129+'Dai Loc'!D129+'Dong Lam'!D129+'Khanh Nga'!D129+TDP!D129+DTRVL!D129</f>
        <v>106089690091</v>
      </c>
      <c r="E129" s="90">
        <f>DTR!E129+'Dai Loc'!E129+'Dong Lam'!E129+'Khanh Nga'!E129+TDP!E129+DTRVL!E129</f>
        <v>99638196434</v>
      </c>
      <c r="F129" s="90">
        <f>DTR!F129+'Dai Loc'!F129+'Dong Lam'!F129+'Khanh Nga'!F129+TDP!F129+DTRVL!F129</f>
        <v>96598905145</v>
      </c>
      <c r="G129" s="90">
        <f>DTR!G129+'Dai Loc'!G129+'Dong Lam'!G129+'Khanh Nga'!G129+TDP!G129+DTRVL!G129</f>
        <v>98504096257</v>
      </c>
      <c r="H129" s="90">
        <f>DTR!H129+'Dai Loc'!H129+'Dong Lam'!H129+'Khanh Nga'!H129+TDP!H129+DTRVL!H129</f>
        <v>93134079207</v>
      </c>
      <c r="I129" s="90">
        <f>DTR!I129+'Dai Loc'!I129+'Dong Lam'!I129+'Khanh Nga'!I129+TDP!I129+DTRVL!I129</f>
        <v>81298575935</v>
      </c>
      <c r="J129" s="90">
        <f>DTR!J129+'Dai Loc'!J129+'Dong Lam'!J129+'Khanh Nga'!J129+TDP!J129+DTRVL!J129</f>
        <v>66817200404</v>
      </c>
      <c r="K129" s="90">
        <f>DTR!K129+'Dai Loc'!K129+'Dong Lam'!K129+'Khanh Nga'!K129+TDP!K129+DTRVL!K129</f>
        <v>57599901812</v>
      </c>
      <c r="L129" s="90">
        <f>DTR!L129+'Dai Loc'!L129+'Dong Lam'!L129+'Khanh Nga'!L129+TDP!L129+DTRVL!L129</f>
        <v>66581916057</v>
      </c>
      <c r="M129" s="90">
        <f>DTR!M129+'Dai Loc'!M129+'Dong Lam'!M129+'Khanh Nga'!M129+TDP!M129+DTRVL!M129</f>
        <v>60563420421</v>
      </c>
      <c r="N129" s="90">
        <f>DTR!N129+'Dai Loc'!N129+'Dong Lam'!N129+'Khanh Nga'!N129+TDP!N129+DTRVL!N129</f>
        <v>55535997499</v>
      </c>
      <c r="O129" s="90">
        <f>DTR!O129+'Dai Loc'!O129+'Dong Lam'!O129+'Khanh Nga'!O129+TDP!O129+DTRVL!O129</f>
        <v>142558702144</v>
      </c>
      <c r="P129" s="90">
        <f>DTR!P129+'Dai Loc'!P129+'Dong Lam'!P129+'Khanh Nga'!P129+TDP!P129+DTRVL!P129</f>
        <v>145924600789</v>
      </c>
      <c r="Q129" s="90">
        <f>DTR!Q129+'Dai Loc'!Q129+'Dong Lam'!Q129+'Khanh Nga'!Q129+TDP!Q129+DTRVL!Q129</f>
        <v>160700894674</v>
      </c>
      <c r="R129" s="90">
        <f>DTR!R129+'Dai Loc'!R129+'Dong Lam'!R129+'Khanh Nga'!R129+TDP!R129+DTRVL!R129</f>
        <v>166616265749</v>
      </c>
      <c r="S129" s="90">
        <f>DTR!S129+'Dai Loc'!S129+'Dong Lam'!S129+'Khanh Nga'!S129+TDP!S129+DTRVL!S129</f>
        <v>168873385137</v>
      </c>
      <c r="T129" s="90">
        <f>DTR!T129+'Dai Loc'!T129+'Dong Lam'!T129+'Khanh Nga'!T129+TDP!T129+DTRVL!T129</f>
        <v>177982427692</v>
      </c>
      <c r="U129" s="90">
        <f>DTR!U129+'Dai Loc'!U129+'Dong Lam'!U129+'Khanh Nga'!U129+TDP!U129+DTRVL!U129</f>
        <v>177413798605</v>
      </c>
      <c r="V129" s="90">
        <f>DTR!V129+'Dai Loc'!V129+'Dong Lam'!V129+'Khanh Nga'!V129+TDP!V129+DTRVL!V129</f>
        <v>178365810867</v>
      </c>
      <c r="W129" s="90">
        <f>DTR!W129+'Dai Loc'!W129+'Dong Lam'!W129+'Khanh Nga'!W129+TDP!W129+DTRVL!W129</f>
        <v>178204527946</v>
      </c>
      <c r="X129" s="90">
        <f>DTR!X129+'Dai Loc'!X129+'Dong Lam'!X129+'Khanh Nga'!X129+TDP!X129+DTRVL!X129</f>
        <v>166721637257</v>
      </c>
      <c r="Y129" s="90">
        <f>DTR!Y129+'Dai Loc'!Y129+'Dong Lam'!Y129+'Khanh Nga'!Y129+TDP!Y129+DTRVL!Y129</f>
        <v>161219500626</v>
      </c>
      <c r="Z129" s="90">
        <f>DTR!Z129+'Dai Loc'!Z129+'Dong Lam'!Z129+'Khanh Nga'!Z129+TDP!Z129+DTRVL!Z129</f>
        <v>152746001405</v>
      </c>
    </row>
    <row r="130" spans="1:52" ht="15" hidden="1" customHeight="1" outlineLevel="1">
      <c r="A130" s="89" t="s">
        <v>214</v>
      </c>
      <c r="B130" s="63">
        <v>125</v>
      </c>
      <c r="C130" s="90">
        <f>DTR!C130+'Dai Loc'!C130+'Dong Lam'!C130+'Khanh Nga'!C130+TDP!C130+DTRVL!C130</f>
        <v>-2764517383</v>
      </c>
      <c r="D130" s="90">
        <f>DTR!D130+'Dai Loc'!D130+'Dong Lam'!D130+'Khanh Nga'!D130+TDP!D130+DTRVL!D130</f>
        <v>-8976487185</v>
      </c>
      <c r="E130" s="90">
        <f>DTR!E130+'Dai Loc'!E130+'Dong Lam'!E130+'Khanh Nga'!E130+TDP!E130+DTRVL!E130</f>
        <v>-5268314816</v>
      </c>
      <c r="F130" s="90">
        <f>DTR!F130+'Dai Loc'!F130+'Dong Lam'!F130+'Khanh Nga'!F130+TDP!F130+DTRVL!F130</f>
        <v>-560683110</v>
      </c>
      <c r="G130" s="90">
        <f>DTR!G130+'Dai Loc'!G130+'Dong Lam'!G130+'Khanh Nga'!G130+TDP!G130+DTRVL!G130</f>
        <v>-8157682396</v>
      </c>
      <c r="H130" s="90">
        <f>DTR!H130+'Dai Loc'!H130+'Dong Lam'!H130+'Khanh Nga'!H130+TDP!H130+DTRVL!H130</f>
        <v>-14930313991</v>
      </c>
      <c r="I130" s="90">
        <f>DTR!I130+'Dai Loc'!I130+'Dong Lam'!I130+'Khanh Nga'!I130+TDP!I130+DTRVL!I130</f>
        <v>-18289087053</v>
      </c>
      <c r="J130" s="90">
        <f>DTR!J130+'Dai Loc'!J130+'Dong Lam'!J130+'Khanh Nga'!J130+TDP!J130+DTRVL!J130</f>
        <v>-13854032381</v>
      </c>
      <c r="K130" s="90">
        <f>DTR!K130+'Dai Loc'!K130+'Dong Lam'!K130+'Khanh Nga'!K130+TDP!K130+DTRVL!K130</f>
        <v>3480909809</v>
      </c>
      <c r="L130" s="90">
        <f>DTR!L130+'Dai Loc'!L130+'Dong Lam'!L130+'Khanh Nga'!L130+TDP!L130+DTRVL!L130</f>
        <v>-11846851100</v>
      </c>
      <c r="M130" s="90">
        <f>DTR!M130+'Dai Loc'!M130+'Dong Lam'!M130+'Khanh Nga'!M130+TDP!M130+DTRVL!M130</f>
        <v>-11880505136</v>
      </c>
      <c r="N130" s="90">
        <f>DTR!N130+'Dai Loc'!N130+'Dong Lam'!N130+'Khanh Nga'!N130+TDP!N130+DTRVL!N130</f>
        <v>82721271760</v>
      </c>
      <c r="O130" s="90">
        <f>DTR!O130+'Dai Loc'!O130+'Dong Lam'!O130+'Khanh Nga'!O130+TDP!O130+DTRVL!O130</f>
        <v>-2090821860</v>
      </c>
      <c r="P130" s="90">
        <f>DTR!P130+'Dai Loc'!P130+'Dong Lam'!P130+'Khanh Nga'!P130+TDP!P130+DTRVL!P130</f>
        <v>8603508181</v>
      </c>
      <c r="Q130" s="90">
        <f>DTR!Q130+'Dai Loc'!Q130+'Dong Lam'!Q130+'Khanh Nga'!Q130+TDP!Q130+DTRVL!Q130</f>
        <v>-428525821</v>
      </c>
      <c r="R130" s="90">
        <f>DTR!R130+'Dai Loc'!R130+'Dong Lam'!R130+'Khanh Nga'!R130+TDP!R130+DTRVL!R130</f>
        <v>-3084686662</v>
      </c>
      <c r="S130" s="90">
        <f>DTR!S130+'Dai Loc'!S130+'Dong Lam'!S130+'Khanh Nga'!S130+TDP!S130+DTRVL!S130</f>
        <v>3956713079</v>
      </c>
      <c r="T130" s="90">
        <f>DTR!T130+'Dai Loc'!T130+'Dong Lam'!T130+'Khanh Nga'!T130+TDP!T130+DTRVL!T130</f>
        <v>-4466828232</v>
      </c>
      <c r="U130" s="90">
        <f>DTR!U130+'Dai Loc'!U130+'Dong Lam'!U130+'Khanh Nga'!U130+TDP!U130+DTRVL!U130</f>
        <v>-654210175</v>
      </c>
      <c r="V130" s="90">
        <f>DTR!V130+'Dai Loc'!V130+'Dong Lam'!V130+'Khanh Nga'!V130+TDP!V130+DTRVL!V130</f>
        <v>942930745</v>
      </c>
      <c r="W130" s="90">
        <f>DTR!W130+'Dai Loc'!W130+'Dong Lam'!W130+'Khanh Nga'!W130+TDP!W130+DTRVL!W130</f>
        <v>-10066674084</v>
      </c>
      <c r="X130" s="90">
        <f>DTR!X130+'Dai Loc'!X130+'Dong Lam'!X130+'Khanh Nga'!X130+TDP!X130+DTRVL!X130</f>
        <v>-3482765514</v>
      </c>
      <c r="Y130" s="90">
        <f>DTR!Y130+'Dai Loc'!Y130+'Dong Lam'!Y130+'Khanh Nga'!Y130+TDP!Y130+DTRVL!Y130</f>
        <v>-5967682859</v>
      </c>
      <c r="Z130" s="90">
        <f>DTR!Z130+'Dai Loc'!Z130+'Dong Lam'!Z130+'Khanh Nga'!Z130+TDP!Z130+DTRVL!Z130</f>
        <v>16407078806</v>
      </c>
    </row>
    <row r="131" spans="1:52" s="83" customFormat="1" ht="15" hidden="1" customHeight="1" outlineLevel="1">
      <c r="A131" s="91" t="s">
        <v>215</v>
      </c>
      <c r="B131" s="92">
        <v>126</v>
      </c>
      <c r="C131" s="93">
        <f>DTR!C131+'Dai Loc'!C131+'Dong Lam'!C131+'Khanh Nga'!C131+TDP!C131+DTRVL!C131</f>
        <v>1175130402352</v>
      </c>
      <c r="D131" s="93">
        <f>DTR!D131+'Dai Loc'!D131+'Dong Lam'!D131+'Khanh Nga'!D131+TDP!D131+DTRVL!D131</f>
        <v>1156870558457</v>
      </c>
      <c r="E131" s="93">
        <f>DTR!E131+'Dai Loc'!E131+'Dong Lam'!E131+'Khanh Nga'!E131+TDP!E131+DTRVL!E131</f>
        <v>1193502357108.8601</v>
      </c>
      <c r="F131" s="93">
        <f>DTR!F131+'Dai Loc'!F131+'Dong Lam'!F131+'Khanh Nga'!F131+TDP!F131+DTRVL!F131</f>
        <v>1254540608128.8821</v>
      </c>
      <c r="G131" s="93">
        <f>DTR!G131+'Dai Loc'!G131+'Dong Lam'!G131+'Khanh Nga'!G131+TDP!G131+DTRVL!G131</f>
        <v>1298938884161</v>
      </c>
      <c r="H131" s="93">
        <f>DTR!H131+'Dai Loc'!H131+'Dong Lam'!H131+'Khanh Nga'!H131+TDP!H131+DTRVL!H131</f>
        <v>1325603983311</v>
      </c>
      <c r="I131" s="93">
        <f>DTR!I131+'Dai Loc'!I131+'Dong Lam'!I131+'Khanh Nga'!I131+TDP!I131+DTRVL!I131</f>
        <v>1267478798902</v>
      </c>
      <c r="J131" s="93">
        <f>DTR!J131+'Dai Loc'!J131+'Dong Lam'!J131+'Khanh Nga'!J131+TDP!J131+DTRVL!J131</f>
        <v>1218289415966</v>
      </c>
      <c r="K131" s="93">
        <f>DTR!K131+'Dai Loc'!K131+'Dong Lam'!K131+'Khanh Nga'!K131+TDP!K131+DTRVL!K131</f>
        <v>1260492317013</v>
      </c>
      <c r="L131" s="93">
        <f>DTR!L131+'Dai Loc'!L131+'Dong Lam'!L131+'Khanh Nga'!L131+TDP!L131+DTRVL!L131</f>
        <v>1282720707132</v>
      </c>
      <c r="M131" s="93">
        <f>DTR!M131+'Dai Loc'!M131+'Dong Lam'!M131+'Khanh Nga'!M131+TDP!M131+DTRVL!M131</f>
        <v>1380932210078</v>
      </c>
      <c r="N131" s="93">
        <f>DTR!N131+'Dai Loc'!N131+'Dong Lam'!N131+'Khanh Nga'!N131+TDP!N131+DTRVL!N131</f>
        <v>1365896363032.4819</v>
      </c>
      <c r="O131" s="93">
        <f>DTR!O131+'Dai Loc'!O131+'Dong Lam'!O131+'Khanh Nga'!O131+TDP!O131+DTRVL!O131</f>
        <v>1295128436391</v>
      </c>
      <c r="P131" s="93">
        <f>DTR!P131+'Dai Loc'!P131+'Dong Lam'!P131+'Khanh Nga'!P131+TDP!P131+DTRVL!P131</f>
        <v>1212647140725</v>
      </c>
      <c r="Q131" s="93">
        <f>DTR!Q131+'Dai Loc'!Q131+'Dong Lam'!Q131+'Khanh Nga'!Q131+TDP!Q131+DTRVL!Q131</f>
        <v>1263651409161.4819</v>
      </c>
      <c r="R131" s="93">
        <f>DTR!R131+'Dai Loc'!R131+'Dong Lam'!R131+'Khanh Nga'!R131+TDP!R131+DTRVL!R131</f>
        <v>1334319050191</v>
      </c>
      <c r="S131" s="93">
        <f>DTR!S131+'Dai Loc'!S131+'Dong Lam'!S131+'Khanh Nga'!S131+TDP!S131+DTRVL!S131</f>
        <v>1392624937485</v>
      </c>
      <c r="T131" s="93">
        <f>DTR!T131+'Dai Loc'!T131+'Dong Lam'!T131+'Khanh Nga'!T131+TDP!T131+DTRVL!T131</f>
        <v>1424787259761.4819</v>
      </c>
      <c r="U131" s="93">
        <f>DTR!U131+'Dai Loc'!U131+'Dong Lam'!U131+'Khanh Nga'!U131+TDP!U131+DTRVL!U131</f>
        <v>1421607895854.4822</v>
      </c>
      <c r="V131" s="93">
        <f>DTR!V131+'Dai Loc'!V131+'Dong Lam'!V131+'Khanh Nga'!V131+TDP!V131+DTRVL!V131</f>
        <v>1487370113298.4822</v>
      </c>
      <c r="W131" s="93">
        <f>DTR!W131+'Dai Loc'!W131+'Dong Lam'!W131+'Khanh Nga'!W131+TDP!W131+DTRVL!W131</f>
        <v>1470025647761.4819</v>
      </c>
      <c r="X131" s="93">
        <f>DTR!X131+'Dai Loc'!X131+'Dong Lam'!X131+'Khanh Nga'!X131+TDP!X131+DTRVL!X131</f>
        <v>1421774599273.4819</v>
      </c>
      <c r="Y131" s="93">
        <f>DTR!Y131+'Dai Loc'!Y131+'Dong Lam'!Y131+'Khanh Nga'!Y131+TDP!Y131+DTRVL!Y131</f>
        <v>1396601412908.4819</v>
      </c>
      <c r="Z131" s="93">
        <f>DTR!Z131+'Dai Loc'!Z131+'Dong Lam'!Z131+'Khanh Nga'!Z131+TDP!Z131+DTRVL!Z131</f>
        <v>1399120322090</v>
      </c>
      <c r="AB131" s="84"/>
    </row>
    <row r="132" spans="1:52" ht="15" customHeight="1">
      <c r="A132" s="94"/>
      <c r="B132" s="95"/>
      <c r="C132" s="96">
        <f t="shared" ref="C132:Z132" si="2">C131-C83</f>
        <v>0</v>
      </c>
      <c r="D132" s="96">
        <f t="shared" si="2"/>
        <v>0</v>
      </c>
      <c r="E132" s="96">
        <f t="shared" si="2"/>
        <v>0</v>
      </c>
      <c r="F132" s="96">
        <f t="shared" si="2"/>
        <v>0</v>
      </c>
      <c r="G132" s="96">
        <f t="shared" si="2"/>
        <v>0</v>
      </c>
      <c r="H132" s="96">
        <f t="shared" si="2"/>
        <v>0</v>
      </c>
      <c r="I132" s="96">
        <f t="shared" si="2"/>
        <v>0</v>
      </c>
      <c r="J132" s="96">
        <f t="shared" si="2"/>
        <v>0</v>
      </c>
      <c r="K132" s="96">
        <f t="shared" si="2"/>
        <v>0</v>
      </c>
      <c r="L132" s="96">
        <f t="shared" si="2"/>
        <v>0</v>
      </c>
      <c r="M132" s="96">
        <f t="shared" si="2"/>
        <v>0</v>
      </c>
      <c r="N132" s="96">
        <f t="shared" si="2"/>
        <v>0</v>
      </c>
      <c r="O132" s="96">
        <f t="shared" si="2"/>
        <v>0</v>
      </c>
      <c r="P132" s="96">
        <f t="shared" si="2"/>
        <v>0</v>
      </c>
      <c r="Q132" s="96">
        <f t="shared" si="2"/>
        <v>0</v>
      </c>
      <c r="R132" s="96">
        <f t="shared" si="2"/>
        <v>0</v>
      </c>
      <c r="S132" s="96">
        <f t="shared" si="2"/>
        <v>0</v>
      </c>
      <c r="T132" s="96">
        <f t="shared" si="2"/>
        <v>0</v>
      </c>
      <c r="U132" s="96">
        <f t="shared" si="2"/>
        <v>0</v>
      </c>
      <c r="V132" s="96">
        <f t="shared" si="2"/>
        <v>0</v>
      </c>
      <c r="W132" s="96">
        <f t="shared" si="2"/>
        <v>0</v>
      </c>
      <c r="X132" s="96">
        <f t="shared" si="2"/>
        <v>0</v>
      </c>
      <c r="Y132" s="96">
        <f t="shared" si="2"/>
        <v>0</v>
      </c>
      <c r="Z132" s="96">
        <f t="shared" si="2"/>
        <v>0</v>
      </c>
      <c r="AA132" s="97"/>
      <c r="AB132" s="98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tr">
        <f t="shared" ref="C133:Z133" si="3">C5</f>
        <v>T01.2024</v>
      </c>
      <c r="D133" s="101" t="str">
        <f t="shared" si="3"/>
        <v>T02.2024</v>
      </c>
      <c r="E133" s="101" t="str">
        <f t="shared" si="3"/>
        <v>T03.2024</v>
      </c>
      <c r="F133" s="101" t="str">
        <f t="shared" si="3"/>
        <v>T04.2024</v>
      </c>
      <c r="G133" s="101" t="str">
        <f t="shared" si="3"/>
        <v>T05.2024</v>
      </c>
      <c r="H133" s="101" t="str">
        <f t="shared" si="3"/>
        <v>T06.2024</v>
      </c>
      <c r="I133" s="101" t="str">
        <f t="shared" si="3"/>
        <v>T07.2024</v>
      </c>
      <c r="J133" s="101" t="str">
        <f t="shared" si="3"/>
        <v>T08.2024</v>
      </c>
      <c r="K133" s="101" t="str">
        <f t="shared" si="3"/>
        <v>T09.2024</v>
      </c>
      <c r="L133" s="101" t="str">
        <f t="shared" si="3"/>
        <v>T10.2024</v>
      </c>
      <c r="M133" s="101" t="str">
        <f t="shared" si="3"/>
        <v>T11.2024</v>
      </c>
      <c r="N133" s="101" t="str">
        <f t="shared" si="3"/>
        <v>T12.2024</v>
      </c>
      <c r="O133" s="101" t="str">
        <f t="shared" si="3"/>
        <v>T01.2025</v>
      </c>
      <c r="P133" s="101" t="str">
        <f t="shared" si="3"/>
        <v>T02.2025</v>
      </c>
      <c r="Q133" s="101" t="str">
        <f t="shared" si="3"/>
        <v>T03.2025</v>
      </c>
      <c r="R133" s="101" t="str">
        <f t="shared" si="3"/>
        <v>T04.2025</v>
      </c>
      <c r="S133" s="101" t="str">
        <f t="shared" si="3"/>
        <v>T05.2025</v>
      </c>
      <c r="T133" s="101" t="str">
        <f t="shared" si="3"/>
        <v>T06.2025</v>
      </c>
      <c r="U133" s="101" t="str">
        <f t="shared" si="3"/>
        <v>T07.2025</v>
      </c>
      <c r="V133" s="101" t="str">
        <f t="shared" si="3"/>
        <v>T08.2025</v>
      </c>
      <c r="W133" s="101" t="str">
        <f t="shared" si="3"/>
        <v>T09.2025</v>
      </c>
      <c r="X133" s="101" t="str">
        <f t="shared" si="3"/>
        <v>T10.2025</v>
      </c>
      <c r="Y133" s="101" t="str">
        <f t="shared" si="3"/>
        <v>T11.2025</v>
      </c>
      <c r="Z133" s="101" t="str">
        <f t="shared" si="3"/>
        <v>T12.2025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212" t="s">
        <v>363</v>
      </c>
      <c r="AN133" s="213" t="s">
        <v>364</v>
      </c>
      <c r="AO133" s="213" t="s">
        <v>365</v>
      </c>
      <c r="AP133" s="213" t="s">
        <v>366</v>
      </c>
    </row>
    <row r="134" spans="1:52" s="107" customFormat="1" ht="15" customHeight="1">
      <c r="A134" s="104" t="s">
        <v>219</v>
      </c>
      <c r="B134" s="105">
        <v>1</v>
      </c>
      <c r="C134" s="106">
        <f>DTR!C134+'Dai Loc'!C134+'Dong Lam'!C134+'Khanh Nga'!C134+TDP!C134+DTRVL!C134</f>
        <v>5108.3249999999998</v>
      </c>
      <c r="D134" s="106">
        <f>DTR!D134+'Dai Loc'!D134+'Dong Lam'!D134+'Khanh Nga'!D134+TDP!D134+DTRVL!D134</f>
        <v>3038.375</v>
      </c>
      <c r="E134" s="106">
        <f>DTR!E134+'Dai Loc'!E134+'Dong Lam'!E134+'Khanh Nga'!E134+TDP!E134+DTRVL!E134</f>
        <v>4394.3999999999996</v>
      </c>
      <c r="F134" s="106">
        <f>DTR!F134+'Dai Loc'!F134+'Dong Lam'!F134+'Khanh Nga'!F134+TDP!F134+DTRVL!F134</f>
        <v>4434.75</v>
      </c>
      <c r="G134" s="106">
        <f>DTR!G134+'Dai Loc'!G134+'Dong Lam'!G134+'Khanh Nga'!G134+TDP!G134+DTRVL!G134</f>
        <v>4827.2020000000002</v>
      </c>
      <c r="H134" s="106">
        <f>DTR!H134+'Dai Loc'!H134+'Dong Lam'!H134+'Khanh Nga'!H134+TDP!H134+DTRVL!H134</f>
        <v>3532.75</v>
      </c>
      <c r="I134" s="106">
        <f>DTR!I134+'Dai Loc'!I134+'Dong Lam'!I134+'Khanh Nga'!I134+TDP!I134+DTRVL!I134</f>
        <v>2953.134</v>
      </c>
      <c r="J134" s="106">
        <f>DTR!J134+'Dai Loc'!J134+'Dong Lam'!J134+'Khanh Nga'!J134+TDP!J134+DTRVL!J134</f>
        <v>5764.9472000000005</v>
      </c>
      <c r="K134" s="106">
        <f>DTR!K134+'Dai Loc'!K134+'Dong Lam'!K134+'Khanh Nga'!K134+TDP!K134+DTRVL!K134</f>
        <v>5789.67</v>
      </c>
      <c r="L134" s="106">
        <f>DTR!L134+'Dai Loc'!L134+'Dong Lam'!L134+'Khanh Nga'!L134+TDP!L134+DTRVL!L134</f>
        <v>4984.4519999999993</v>
      </c>
      <c r="M134" s="106">
        <f>DTR!M134+'Dai Loc'!M134+'Dong Lam'!M134+'Khanh Nga'!M134+TDP!M134+DTRVL!M134</f>
        <v>3194.5280000000002</v>
      </c>
      <c r="N134" s="106">
        <f>DTR!N134+'Dai Loc'!N134+'Dong Lam'!N134+'Khanh Nga'!N134+TDP!N134+DTRVL!N134</f>
        <v>3774.598</v>
      </c>
      <c r="O134" s="106">
        <f>DTR!O134+'Dai Loc'!O134+'Dong Lam'!O134+'Khanh Nga'!O134+TDP!O134+DTRVL!O134</f>
        <v>4258.8942999999999</v>
      </c>
      <c r="P134" s="106">
        <f>DTR!P134+'Dai Loc'!P134+'Dong Lam'!P134+'Khanh Nga'!P134+TDP!P134+DTRVL!P134</f>
        <v>6515.8540000000003</v>
      </c>
      <c r="Q134" s="106">
        <f>DTR!Q134+'Dai Loc'!Q134+'Dong Lam'!Q134+'Khanh Nga'!Q134+TDP!Q134+DTRVL!Q134</f>
        <v>6300.7350000000006</v>
      </c>
      <c r="R134" s="106">
        <f>DTR!R134+'Dai Loc'!R134+'Dong Lam'!R134+'Khanh Nga'!R134+TDP!R134+DTRVL!R134</f>
        <v>5577.3580000000002</v>
      </c>
      <c r="S134" s="106">
        <f>DTR!S134+'Dai Loc'!S134+'Dong Lam'!S134+'Khanh Nga'!S134+TDP!S134+DTRVL!S134</f>
        <v>6392.2473</v>
      </c>
      <c r="T134" s="106">
        <f>DTR!T134+'Dai Loc'!T134+'Dong Lam'!T134+'Khanh Nga'!T134+TDP!T134+DTRVL!T134</f>
        <v>5760.2290000000012</v>
      </c>
      <c r="U134" s="106">
        <f>DTR!U134+'Dai Loc'!U134+'Dong Lam'!U134+'Khanh Nga'!U134+TDP!U134+DTRVL!U134</f>
        <v>7068.0580999999993</v>
      </c>
      <c r="V134" s="106">
        <f>DTR!V134+'Dai Loc'!V134+'Dong Lam'!V134+'Khanh Nga'!V134+TDP!V134+DTRVL!V134</f>
        <v>7721.48</v>
      </c>
      <c r="W134" s="106">
        <f>DTR!W134+'Dai Loc'!W134+'Dong Lam'!W134+'Khanh Nga'!W134+TDP!W134+DTRVL!W134</f>
        <v>4903.9949999999999</v>
      </c>
      <c r="X134" s="106">
        <f>DTR!X134+'Dai Loc'!X134+'Dong Lam'!X134+'Khanh Nga'!X134+TDP!X134+DTRVL!X134</f>
        <v>5219.4869999999992</v>
      </c>
      <c r="Y134" s="106">
        <f>DTR!Y134+'Dai Loc'!Y134+'Dong Lam'!Y134+'Khanh Nga'!Y134+TDP!Y134+DTRVL!Y134</f>
        <v>3877.415</v>
      </c>
      <c r="Z134" s="106">
        <f>DTR!Z134+'Dai Loc'!Z134+'Dong Lam'!Z134+'Khanh Nga'!Z134+TDP!Z134+DTRVL!Z134</f>
        <v>4601</v>
      </c>
      <c r="AA134" s="106">
        <f>DTR!AA134+'Dai Loc'!AA134+'Dong Lam'!AA134+'Khanh Nga'!AA134+TDP!AA134+DTRVL!AA134</f>
        <v>6420.177932676138</v>
      </c>
      <c r="AB134" s="106">
        <f>DTR!AB134+'Dai Loc'!AB134+'Dong Lam'!AB134+'Khanh Nga'!AB134+TDP!AB134+DTRVL!AB134</f>
        <v>5741.5325678240324</v>
      </c>
      <c r="AC134" s="106">
        <f>DTR!AC134+'Dai Loc'!AC134+'Dong Lam'!AC134+'Khanh Nga'!AC134+TDP!AC134+DTRVL!AC134</f>
        <v>7065.0996784757408</v>
      </c>
      <c r="AD134" s="106">
        <f>DTR!AD134+'Dai Loc'!AD134+'Dong Lam'!AD134+'Khanh Nga'!AD134+TDP!AD134+DTRVL!AD134</f>
        <v>6975.9283936767206</v>
      </c>
      <c r="AE134" s="106">
        <f>DTR!AE134+'Dai Loc'!AE134+'Dong Lam'!AE134+'Khanh Nga'!AE134+TDP!AE134+DTRVL!AE134</f>
        <v>7243.9783141825337</v>
      </c>
      <c r="AF134" s="106">
        <f>DTR!AF134+'Dai Loc'!AF134+'Dong Lam'!AF134+'Khanh Nga'!AF134+TDP!AF134+DTRVL!AF134</f>
        <v>7276.9469322275927</v>
      </c>
      <c r="AG134" s="106">
        <f>DTR!AG134+'Dai Loc'!AG134+'Dong Lam'!AG134+'Khanh Nga'!AG134+TDP!AG134+DTRVL!AG134</f>
        <v>7315.170141973269</v>
      </c>
      <c r="AH134" s="106">
        <f>DTR!AH134+'Dai Loc'!AH134+'Dong Lam'!AH134+'Khanh Nga'!AH134+TDP!AH134+DTRVL!AH134</f>
        <v>7147.8442489087392</v>
      </c>
      <c r="AI134" s="106">
        <f>DTR!AI134+'Dai Loc'!AI134+'Dong Lam'!AI134+'Khanh Nga'!AI134+TDP!AI134+DTRVL!AI134</f>
        <v>7278.1121018888844</v>
      </c>
      <c r="AJ134" s="106">
        <f>DTR!AJ134+'Dai Loc'!AJ134+'Dong Lam'!AJ134+'Khanh Nga'!AJ134+TDP!AJ134+DTRVL!AJ134</f>
        <v>7094.3739224285746</v>
      </c>
      <c r="AK134" s="106">
        <f>DTR!AK134+'Dai Loc'!AK134+'Dong Lam'!AK134+'Khanh Nga'!AK134+TDP!AK134+DTRVL!AK134</f>
        <v>7264.4849993544613</v>
      </c>
      <c r="AL134" s="106">
        <f>DTR!AL134+'Dai Loc'!AL134+'Dong Lam'!AL134+'Khanh Nga'!AL134+TDP!AL134+DTRVL!AL134</f>
        <v>7410.2680435700313</v>
      </c>
      <c r="AM134" s="106">
        <f t="shared" ref="AM134:AM153" si="4">SUM(AA134:AL134)</f>
        <v>84233.917277186716</v>
      </c>
      <c r="AN134" s="106">
        <f>SUM(O134:Z134)</f>
        <v>68196.752700000012</v>
      </c>
      <c r="AO134" s="106">
        <f>AM134-AN134</f>
        <v>16037.164577186704</v>
      </c>
      <c r="AP134" s="214">
        <f>AO134/AM134</f>
        <v>0.19038844559981172</v>
      </c>
    </row>
    <row r="135" spans="1:52" s="112" customFormat="1" ht="15" customHeight="1">
      <c r="A135" s="108" t="s">
        <v>220</v>
      </c>
      <c r="B135" s="109">
        <v>2</v>
      </c>
      <c r="C135" s="110">
        <f>DTR!C135+'Dai Loc'!C135+'Dong Lam'!C135+'Khanh Nga'!C135+TDP!C135+DTRVL!C135</f>
        <v>130037940981</v>
      </c>
      <c r="D135" s="110">
        <f>DTR!D135+'Dai Loc'!D135+'Dong Lam'!D135+'Khanh Nga'!D135+TDP!D135+DTRVL!D135</f>
        <v>84645791256</v>
      </c>
      <c r="E135" s="110">
        <f>DTR!E135+'Dai Loc'!E135+'Dong Lam'!E135+'Khanh Nga'!E135+TDP!E135+DTRVL!E135</f>
        <v>115625416433</v>
      </c>
      <c r="F135" s="110">
        <f>DTR!F135+'Dai Loc'!F135+'Dong Lam'!F135+'Khanh Nga'!F135+TDP!F135+DTRVL!F135</f>
        <v>117647266094</v>
      </c>
      <c r="G135" s="110">
        <f>DTR!G135+'Dai Loc'!G135+'Dong Lam'!G135+'Khanh Nga'!G135+TDP!G135+DTRVL!G135</f>
        <v>128085507494</v>
      </c>
      <c r="H135" s="110">
        <f>DTR!H135+'Dai Loc'!H135+'Dong Lam'!H135+'Khanh Nga'!H135+TDP!H135+DTRVL!H135</f>
        <v>95661572209</v>
      </c>
      <c r="I135" s="110">
        <f>DTR!I135+'Dai Loc'!I135+'Dong Lam'!I135+'Khanh Nga'!I135+TDP!I135+DTRVL!I135</f>
        <v>74679662458</v>
      </c>
      <c r="J135" s="110">
        <f>DTR!J135+'Dai Loc'!J135+'Dong Lam'!J135+'Khanh Nga'!J135+TDP!J135+DTRVL!J135</f>
        <v>178936926222</v>
      </c>
      <c r="K135" s="110">
        <f>DTR!K135+'Dai Loc'!K135+'Dong Lam'!K135+'Khanh Nga'!K135+TDP!K135+DTRVL!K135</f>
        <v>180140886766</v>
      </c>
      <c r="L135" s="110">
        <f>DTR!L135+'Dai Loc'!L135+'Dong Lam'!L135+'Khanh Nga'!L135+TDP!L135+DTRVL!L135</f>
        <v>143211413018</v>
      </c>
      <c r="M135" s="110">
        <f>DTR!M135+'Dai Loc'!M135+'Dong Lam'!M135+'Khanh Nga'!M135+TDP!M135+DTRVL!M135</f>
        <v>97197472020</v>
      </c>
      <c r="N135" s="110">
        <f>DTR!N135+'Dai Loc'!N135+'Dong Lam'!N135+'Khanh Nga'!N135+TDP!N135+DTRVL!N135</f>
        <v>128687104846</v>
      </c>
      <c r="O135" s="110">
        <f>DTR!O135+'Dai Loc'!O135+'Dong Lam'!O135+'Khanh Nga'!O135+TDP!O135+DTRVL!O135</f>
        <v>126379322139</v>
      </c>
      <c r="P135" s="110">
        <f>DTR!P135+'Dai Loc'!P135+'Dong Lam'!P135+'Khanh Nga'!P135+TDP!P135+DTRVL!P135</f>
        <v>207207177534</v>
      </c>
      <c r="Q135" s="110">
        <f>DTR!Q135+'Dai Loc'!Q135+'Dong Lam'!Q135+'Khanh Nga'!Q135+TDP!Q135+DTRVL!Q135</f>
        <v>181430837221</v>
      </c>
      <c r="R135" s="110">
        <f>DTR!R135+'Dai Loc'!R135+'Dong Lam'!R135+'Khanh Nga'!R135+TDP!R135+DTRVL!R135</f>
        <v>158008365446</v>
      </c>
      <c r="S135" s="110">
        <f>DTR!S135+'Dai Loc'!S135+'Dong Lam'!S135+'Khanh Nga'!S135+TDP!S135+DTRVL!S135</f>
        <v>187024821170</v>
      </c>
      <c r="T135" s="110">
        <f>DTR!T135+'Dai Loc'!T135+'Dong Lam'!T135+'Khanh Nga'!T135+TDP!T135+DTRVL!T135</f>
        <v>159411514790</v>
      </c>
      <c r="U135" s="110">
        <f>DTR!U135+'Dai Loc'!U135+'Dong Lam'!U135+'Khanh Nga'!U135+TDP!U135+DTRVL!U135</f>
        <v>186280242939</v>
      </c>
      <c r="V135" s="110">
        <f>DTR!V135+'Dai Loc'!V135+'Dong Lam'!V135+'Khanh Nga'!V135+TDP!V135+DTRVL!V135</f>
        <v>216574896958</v>
      </c>
      <c r="W135" s="110">
        <f>DTR!W135+'Dai Loc'!W135+'Dong Lam'!W135+'Khanh Nga'!W135+TDP!W135+DTRVL!W135</f>
        <v>126838741253</v>
      </c>
      <c r="X135" s="110">
        <f>DTR!X135+'Dai Loc'!X135+'Dong Lam'!X135+'Khanh Nga'!X135+TDP!X135+DTRVL!X135</f>
        <v>138182161108</v>
      </c>
      <c r="Y135" s="110">
        <f>DTR!Y135+'Dai Loc'!Y135+'Dong Lam'!Y135+'Khanh Nga'!Y135+TDP!Y135+DTRVL!Y135</f>
        <v>109718867086</v>
      </c>
      <c r="Z135" s="110">
        <f>DTR!Z135+'Dai Loc'!Z135+'Dong Lam'!Z135+'Khanh Nga'!Z135+TDP!Z135+DTRVL!Z135</f>
        <v>127334240251</v>
      </c>
      <c r="AA135" s="110">
        <f>DTR!AA135+'Dai Loc'!AA135+'Dong Lam'!AA135+'Khanh Nga'!AA135+TDP!AA135+DTRVL!AA135</f>
        <v>148390333636.85681</v>
      </c>
      <c r="AB135" s="110">
        <f>DTR!AB135+'Dai Loc'!AB135+'Dong Lam'!AB135+'Khanh Nga'!AB135+TDP!AB135+DTRVL!AB135</f>
        <v>142455281177.86676</v>
      </c>
      <c r="AC135" s="110">
        <f>DTR!AC135+'Dai Loc'!AC135+'Dong Lam'!AC135+'Khanh Nga'!AC135+TDP!AC135+DTRVL!AC135</f>
        <v>162375329327.82724</v>
      </c>
      <c r="AD135" s="110">
        <f>DTR!AD135+'Dai Loc'!AD135+'Dong Lam'!AD135+'Khanh Nga'!AD135+TDP!AD135+DTRVL!AD135</f>
        <v>154448949018.60181</v>
      </c>
      <c r="AE135" s="110">
        <f>DTR!AE135+'Dai Loc'!AE135+'Dong Lam'!AE135+'Khanh Nga'!AE135+TDP!AE135+DTRVL!AE135</f>
        <v>162893761234.73703</v>
      </c>
      <c r="AF135" s="110">
        <f>DTR!AF135+'Dai Loc'!AF135+'Dong Lam'!AF135+'Khanh Nga'!AF135+TDP!AF135+DTRVL!AF135</f>
        <v>164149888969.24362</v>
      </c>
      <c r="AG135" s="110">
        <f>DTR!AG135+'Dai Loc'!AG135+'Dong Lam'!AG135+'Khanh Nga'!AG135+TDP!AG135+DTRVL!AG135</f>
        <v>168144646137.95999</v>
      </c>
      <c r="AH135" s="110">
        <f>DTR!AH135+'Dai Loc'!AH135+'Dong Lam'!AH135+'Khanh Nga'!AH135+TDP!AH135+DTRVL!AH135</f>
        <v>164016950268.14462</v>
      </c>
      <c r="AI135" s="110">
        <f>DTR!AI135+'Dai Loc'!AI135+'Dong Lam'!AI135+'Khanh Nga'!AI135+TDP!AI135+DTRVL!AI135</f>
        <v>170937088292.28259</v>
      </c>
      <c r="AJ135" s="110">
        <f>DTR!AJ135+'Dai Loc'!AJ135+'Dong Lam'!AJ135+'Khanh Nga'!AJ135+TDP!AJ135+DTRVL!AJ135</f>
        <v>160725069993.16364</v>
      </c>
      <c r="AK135" s="110">
        <f>DTR!AK135+'Dai Loc'!AK135+'Dong Lam'!AK135+'Khanh Nga'!AK135+TDP!AK135+DTRVL!AK135</f>
        <v>168669649088.82693</v>
      </c>
      <c r="AL135" s="110">
        <f>DTR!AL135+'Dai Loc'!AL135+'Dong Lam'!AL135+'Khanh Nga'!AL135+TDP!AL135+DTRVL!AL135</f>
        <v>170182602496.17145</v>
      </c>
      <c r="AM135" s="111">
        <f t="shared" si="4"/>
        <v>1937389549641.6824</v>
      </c>
      <c r="AN135" s="111">
        <f>SUM(O135:Z135)</f>
        <v>1924391187895</v>
      </c>
      <c r="AO135" s="111">
        <f>AM135-AN135</f>
        <v>12998361746.682373</v>
      </c>
      <c r="AP135" s="215">
        <f t="shared" ref="AP135:AP153" si="5">AO135/AM135</f>
        <v>6.7092143389987846E-3</v>
      </c>
    </row>
    <row r="136" spans="1:52" s="107" customFormat="1" ht="15" customHeight="1">
      <c r="A136" s="113" t="s">
        <v>221</v>
      </c>
      <c r="B136" s="114">
        <v>3</v>
      </c>
      <c r="C136" s="115">
        <f>DTR!C136+'Dai Loc'!C136+'Dong Lam'!C136+'Khanh Nga'!C136+TDP!C136+DTRVL!C136</f>
        <v>0</v>
      </c>
      <c r="D136" s="115">
        <f>DTR!D136+'Dai Loc'!D136+'Dong Lam'!D136+'Khanh Nga'!D136+TDP!D136+DTRVL!D136</f>
        <v>1166125000</v>
      </c>
      <c r="E136" s="115">
        <f>DTR!E136+'Dai Loc'!E136+'Dong Lam'!E136+'Khanh Nga'!E136+TDP!E136+DTRVL!E136</f>
        <v>0</v>
      </c>
      <c r="F136" s="115">
        <f>DTR!F136+'Dai Loc'!F136+'Dong Lam'!F136+'Khanh Nga'!F136+TDP!F136+DTRVL!F136</f>
        <v>0</v>
      </c>
      <c r="G136" s="115">
        <f>DTR!G136+'Dai Loc'!G136+'Dong Lam'!G136+'Khanh Nga'!G136+TDP!G136+DTRVL!G136</f>
        <v>136455000</v>
      </c>
      <c r="H136" s="115">
        <f>DTR!H136+'Dai Loc'!H136+'Dong Lam'!H136+'Khanh Nga'!H136+TDP!H136+DTRVL!H136</f>
        <v>0</v>
      </c>
      <c r="I136" s="115">
        <f>DTR!I136+'Dai Loc'!I136+'Dong Lam'!I136+'Khanh Nga'!I136+TDP!I136+DTRVL!I136</f>
        <v>0</v>
      </c>
      <c r="J136" s="115">
        <f>DTR!J136+'Dai Loc'!J136+'Dong Lam'!J136+'Khanh Nga'!J136+TDP!J136+DTRVL!J136</f>
        <v>6345077301</v>
      </c>
      <c r="K136" s="115">
        <f>DTR!K136+'Dai Loc'!K136+'Dong Lam'!K136+'Khanh Nga'!K136+TDP!K136+DTRVL!K136</f>
        <v>4671587529</v>
      </c>
      <c r="L136" s="115">
        <f>DTR!L136+'Dai Loc'!L136+'Dong Lam'!L136+'Khanh Nga'!L136+TDP!L136+DTRVL!L136</f>
        <v>2922205276</v>
      </c>
      <c r="M136" s="115">
        <f>DTR!M136+'Dai Loc'!M136+'Dong Lam'!M136+'Khanh Nga'!M136+TDP!M136+DTRVL!M136</f>
        <v>49359030</v>
      </c>
      <c r="N136" s="115">
        <f>DTR!N136+'Dai Loc'!N136+'Dong Lam'!N136+'Khanh Nga'!N136+TDP!N136+DTRVL!N136</f>
        <v>4680420540</v>
      </c>
      <c r="O136" s="115">
        <f>DTR!O136+'Dai Loc'!O136+'Dong Lam'!O136+'Khanh Nga'!O136+TDP!O136+DTRVL!O136</f>
        <v>513935495</v>
      </c>
      <c r="P136" s="115">
        <f>DTR!P136+'Dai Loc'!P136+'Dong Lam'!P136+'Khanh Nga'!P136+TDP!P136+DTRVL!P136</f>
        <v>477877176</v>
      </c>
      <c r="Q136" s="115">
        <f>DTR!Q136+'Dai Loc'!Q136+'Dong Lam'!Q136+'Khanh Nga'!Q136+TDP!Q136+DTRVL!Q136</f>
        <v>477350452</v>
      </c>
      <c r="R136" s="115">
        <f>DTR!R136+'Dai Loc'!R136+'Dong Lam'!R136+'Khanh Nga'!R136+TDP!R136+DTRVL!R136</f>
        <v>304590498</v>
      </c>
      <c r="S136" s="115">
        <f>DTR!S136+'Dai Loc'!S136+'Dong Lam'!S136+'Khanh Nga'!S136+TDP!S136+DTRVL!S136</f>
        <v>1607115262</v>
      </c>
      <c r="T136" s="115">
        <f>DTR!T136+'Dai Loc'!T136+'Dong Lam'!T136+'Khanh Nga'!T136+TDP!T136+DTRVL!T136</f>
        <v>708638196</v>
      </c>
      <c r="U136" s="115">
        <f>DTR!U136+'Dai Loc'!U136+'Dong Lam'!U136+'Khanh Nga'!U136+TDP!U136+DTRVL!U136</f>
        <v>26953743</v>
      </c>
      <c r="V136" s="115">
        <f>DTR!V136+'Dai Loc'!V136+'Dong Lam'!V136+'Khanh Nga'!V136+TDP!V136+DTRVL!V136</f>
        <v>1000293545</v>
      </c>
      <c r="W136" s="115">
        <f>DTR!W136+'Dai Loc'!W136+'Dong Lam'!W136+'Khanh Nga'!W136+TDP!W136+DTRVL!W136</f>
        <v>6773818500</v>
      </c>
      <c r="X136" s="115">
        <f>DTR!X136+'Dai Loc'!X136+'Dong Lam'!X136+'Khanh Nga'!X136+TDP!X136+DTRVL!X136</f>
        <v>0</v>
      </c>
      <c r="Y136" s="115">
        <f>DTR!Y136+'Dai Loc'!Y136+'Dong Lam'!Y136+'Khanh Nga'!Y136+TDP!Y136+DTRVL!Y136</f>
        <v>1479093000</v>
      </c>
      <c r="Z136" s="115">
        <f>DTR!Z136+'Dai Loc'!Z136+'Dong Lam'!Z136+'Khanh Nga'!Z136+TDP!Z136+DTRVL!Z136</f>
        <v>-573868680</v>
      </c>
      <c r="AA136" s="115">
        <f>DTR!AA136+'Dai Loc'!AA136+'Dong Lam'!AA136+'Khanh Nga'!AA136+TDP!AA136+DTRVL!AA136</f>
        <v>0</v>
      </c>
      <c r="AB136" s="115">
        <f>DTR!AB136+'Dai Loc'!AB136+'Dong Lam'!AB136+'Khanh Nga'!AB136+TDP!AB136+DTRVL!AB136</f>
        <v>0</v>
      </c>
      <c r="AC136" s="115">
        <f>DTR!AC136+'Dai Loc'!AC136+'Dong Lam'!AC136+'Khanh Nga'!AC136+TDP!AC136+DTRVL!AC136</f>
        <v>0</v>
      </c>
      <c r="AD136" s="115">
        <f>DTR!AD136+'Dai Loc'!AD136+'Dong Lam'!AD136+'Khanh Nga'!AD136+TDP!AD136+DTRVL!AD136</f>
        <v>0</v>
      </c>
      <c r="AE136" s="115">
        <f>DTR!AE136+'Dai Loc'!AE136+'Dong Lam'!AE136+'Khanh Nga'!AE136+TDP!AE136+DTRVL!AE136</f>
        <v>0</v>
      </c>
      <c r="AF136" s="115">
        <f>DTR!AF136+'Dai Loc'!AF136+'Dong Lam'!AF136+'Khanh Nga'!AF136+TDP!AF136+DTRVL!AF136</f>
        <v>0</v>
      </c>
      <c r="AG136" s="115">
        <f>DTR!AG136+'Dai Loc'!AG136+'Dong Lam'!AG136+'Khanh Nga'!AG136+TDP!AG136+DTRVL!AG136</f>
        <v>0</v>
      </c>
      <c r="AH136" s="115">
        <f>DTR!AH136+'Dai Loc'!AH136+'Dong Lam'!AH136+'Khanh Nga'!AH136+TDP!AH136+DTRVL!AH136</f>
        <v>0</v>
      </c>
      <c r="AI136" s="115">
        <f>DTR!AI136+'Dai Loc'!AI136+'Dong Lam'!AI136+'Khanh Nga'!AI136+TDP!AI136+DTRVL!AI136</f>
        <v>0</v>
      </c>
      <c r="AJ136" s="115">
        <f>DTR!AJ136+'Dai Loc'!AJ136+'Dong Lam'!AJ136+'Khanh Nga'!AJ136+TDP!AJ136+DTRVL!AJ136</f>
        <v>0</v>
      </c>
      <c r="AK136" s="115">
        <f>DTR!AK136+'Dai Loc'!AK136+'Dong Lam'!AK136+'Khanh Nga'!AK136+TDP!AK136+DTRVL!AK136</f>
        <v>0</v>
      </c>
      <c r="AL136" s="115">
        <f>DTR!AL136+'Dai Loc'!AL136+'Dong Lam'!AL136+'Khanh Nga'!AL136+TDP!AL136+DTRVL!AL136</f>
        <v>0</v>
      </c>
      <c r="AM136" s="111">
        <f t="shared" si="4"/>
        <v>0</v>
      </c>
      <c r="AN136" s="129">
        <f t="shared" ref="AN136:AN153" si="6">SUM(O136:Z136)</f>
        <v>12795797187</v>
      </c>
      <c r="AO136" s="129">
        <f t="shared" ref="AO136:AO153" si="7">AM136-AN136</f>
        <v>-12795797187</v>
      </c>
      <c r="AP136" s="216"/>
    </row>
    <row r="137" spans="1:52" s="112" customFormat="1" ht="15" customHeight="1">
      <c r="A137" s="108" t="s">
        <v>222</v>
      </c>
      <c r="B137" s="116">
        <v>4</v>
      </c>
      <c r="C137" s="110">
        <f>DTR!C137+'Dai Loc'!C137+'Dong Lam'!C137+'Khanh Nga'!C137+TDP!C137+DTRVL!C137</f>
        <v>130037940981</v>
      </c>
      <c r="D137" s="110">
        <f>DTR!D137+'Dai Loc'!D137+'Dong Lam'!D137+'Khanh Nga'!D137+TDP!D137+DTRVL!D137</f>
        <v>83479666256</v>
      </c>
      <c r="E137" s="110">
        <f>DTR!E137+'Dai Loc'!E137+'Dong Lam'!E137+'Khanh Nga'!E137+TDP!E137+DTRVL!E137</f>
        <v>115625416433</v>
      </c>
      <c r="F137" s="110">
        <f>DTR!F137+'Dai Loc'!F137+'Dong Lam'!F137+'Khanh Nga'!F137+TDP!F137+DTRVL!F137</f>
        <v>117647266094</v>
      </c>
      <c r="G137" s="110">
        <f>DTR!G137+'Dai Loc'!G137+'Dong Lam'!G137+'Khanh Nga'!G137+TDP!G137+DTRVL!G137</f>
        <v>127949052494</v>
      </c>
      <c r="H137" s="110">
        <f>DTR!H137+'Dai Loc'!H137+'Dong Lam'!H137+'Khanh Nga'!H137+TDP!H137+DTRVL!H137</f>
        <v>95661572209</v>
      </c>
      <c r="I137" s="110">
        <f>DTR!I137+'Dai Loc'!I137+'Dong Lam'!I137+'Khanh Nga'!I137+TDP!I137+DTRVL!I137</f>
        <v>74679662458</v>
      </c>
      <c r="J137" s="110">
        <f>DTR!J137+'Dai Loc'!J137+'Dong Lam'!J137+'Khanh Nga'!J137+TDP!J137+DTRVL!J137</f>
        <v>172591848921</v>
      </c>
      <c r="K137" s="110">
        <f>DTR!K137+'Dai Loc'!K137+'Dong Lam'!K137+'Khanh Nga'!K137+TDP!K137+DTRVL!K137</f>
        <v>175469299237</v>
      </c>
      <c r="L137" s="110">
        <f>DTR!L137+'Dai Loc'!L137+'Dong Lam'!L137+'Khanh Nga'!L137+TDP!L137+DTRVL!L137</f>
        <v>140289207742</v>
      </c>
      <c r="M137" s="110">
        <f>DTR!M137+'Dai Loc'!M137+'Dong Lam'!M137+'Khanh Nga'!M137+TDP!M137+DTRVL!M137</f>
        <v>97148112990</v>
      </c>
      <c r="N137" s="110">
        <f>DTR!N137+'Dai Loc'!N137+'Dong Lam'!N137+'Khanh Nga'!N137+TDP!N137+DTRVL!N137</f>
        <v>124006684306</v>
      </c>
      <c r="O137" s="110">
        <f>DTR!O137+'Dai Loc'!O137+'Dong Lam'!O137+'Khanh Nga'!O137+TDP!O137+DTRVL!O137</f>
        <v>125865386644</v>
      </c>
      <c r="P137" s="110">
        <f>DTR!P137+'Dai Loc'!P137+'Dong Lam'!P137+'Khanh Nga'!P137+TDP!P137+DTRVL!P137</f>
        <v>206729300358</v>
      </c>
      <c r="Q137" s="110">
        <f>DTR!Q137+'Dai Loc'!Q137+'Dong Lam'!Q137+'Khanh Nga'!Q137+TDP!Q137+DTRVL!Q137</f>
        <v>180953486769</v>
      </c>
      <c r="R137" s="110">
        <f>DTR!R137+'Dai Loc'!R137+'Dong Lam'!R137+'Khanh Nga'!R137+TDP!R137+DTRVL!R137</f>
        <v>157703774948</v>
      </c>
      <c r="S137" s="110">
        <f>DTR!S137+'Dai Loc'!S137+'Dong Lam'!S137+'Khanh Nga'!S137+TDP!S137+DTRVL!S137</f>
        <v>185417705908</v>
      </c>
      <c r="T137" s="110">
        <f>DTR!T137+'Dai Loc'!T137+'Dong Lam'!T137+'Khanh Nga'!T137+TDP!T137+DTRVL!T137</f>
        <v>158702876594</v>
      </c>
      <c r="U137" s="110">
        <f>DTR!U137+'Dai Loc'!U137+'Dong Lam'!U137+'Khanh Nga'!U137+TDP!U137+DTRVL!U137</f>
        <v>186253289196</v>
      </c>
      <c r="V137" s="110">
        <f>DTR!V137+'Dai Loc'!V137+'Dong Lam'!V137+'Khanh Nga'!V137+TDP!V137+DTRVL!V137</f>
        <v>215574603413</v>
      </c>
      <c r="W137" s="110">
        <f>DTR!W137+'Dai Loc'!W137+'Dong Lam'!W137+'Khanh Nga'!W137+TDP!W137+DTRVL!W137</f>
        <v>120064922753</v>
      </c>
      <c r="X137" s="110">
        <f>DTR!X137+'Dai Loc'!X137+'Dong Lam'!X137+'Khanh Nga'!X137+TDP!X137+DTRVL!X137</f>
        <v>138182161108</v>
      </c>
      <c r="Y137" s="110">
        <f>DTR!Y137+'Dai Loc'!Y137+'Dong Lam'!Y137+'Khanh Nga'!Y137+TDP!Y137+DTRVL!Y137</f>
        <v>108239774086</v>
      </c>
      <c r="Z137" s="110">
        <f>DTR!Z137+'Dai Loc'!Z137+'Dong Lam'!Z137+'Khanh Nga'!Z137+TDP!Z137+DTRVL!Z137</f>
        <v>127908108931</v>
      </c>
      <c r="AA137" s="117">
        <f>DTR!AA137+'Dai Loc'!AA137+'Dong Lam'!AA137+'Khanh Nga'!AA137+TDP!AA137+DTRVL!AA137</f>
        <v>159710005636.85681</v>
      </c>
      <c r="AB137" s="110">
        <f>DTR!AB137+'Dai Loc'!AB137+'Dong Lam'!AB137+'Khanh Nga'!AB137+TDP!AB137+DTRVL!AB137</f>
        <v>149918801177.86676</v>
      </c>
      <c r="AC137" s="110">
        <f>DTR!AC137+'Dai Loc'!AC137+'Dong Lam'!AC137+'Khanh Nga'!AC137+TDP!AC137+DTRVL!AC137</f>
        <v>176914539077.82724</v>
      </c>
      <c r="AD137" s="110">
        <f>DTR!AD137+'Dai Loc'!AD137+'Dong Lam'!AD137+'Khanh Nga'!AD137+TDP!AD137+DTRVL!AD137</f>
        <v>170555889643.60181</v>
      </c>
      <c r="AE137" s="110">
        <f>DTR!AE137+'Dai Loc'!AE137+'Dong Lam'!AE137+'Khanh Nga'!AE137+TDP!AE137+DTRVL!AE137</f>
        <v>179000701859.73703</v>
      </c>
      <c r="AF137" s="110">
        <f>DTR!AF137+'Dai Loc'!AF137+'Dong Lam'!AF137+'Khanh Nga'!AF137+TDP!AF137+DTRVL!AF137</f>
        <v>180901107219.24362</v>
      </c>
      <c r="AG137" s="110">
        <f>DTR!AG137+'Dai Loc'!AG137+'Dong Lam'!AG137+'Khanh Nga'!AG137+TDP!AG137+DTRVL!AG137</f>
        <v>185540142012.95999</v>
      </c>
      <c r="AH137" s="110">
        <f>DTR!AH137+'Dai Loc'!AH137+'Dong Lam'!AH137+'Khanh Nga'!AH137+TDP!AH137+DTRVL!AH137</f>
        <v>180768168518.14462</v>
      </c>
      <c r="AI137" s="110">
        <f>DTR!AI137+'Dai Loc'!AI137+'Dong Lam'!AI137+'Khanh Nga'!AI137+TDP!AI137+DTRVL!AI137</f>
        <v>186399751292.28259</v>
      </c>
      <c r="AJ137" s="110">
        <f>DTR!AJ137+'Dai Loc'!AJ137+'Dong Lam'!AJ137+'Khanh Nga'!AJ137+TDP!AJ137+DTRVL!AJ137</f>
        <v>178120565868.16364</v>
      </c>
      <c r="AK137" s="110">
        <f>DTR!AK137+'Dai Loc'!AK137+'Dong Lam'!AK137+'Khanh Nga'!AK137+TDP!AK137+DTRVL!AK137</f>
        <v>184776589713.82693</v>
      </c>
      <c r="AL137" s="110">
        <f>DTR!AL137+'Dai Loc'!AL137+'Dong Lam'!AL137+'Khanh Nga'!AL137+TDP!AL137+DTRVL!AL137</f>
        <v>187578098371.17145</v>
      </c>
      <c r="AM137" s="111">
        <f>SUM(AA137:AL137)</f>
        <v>2120184360391.6824</v>
      </c>
      <c r="AN137" s="111">
        <f t="shared" si="6"/>
        <v>1911595390708</v>
      </c>
      <c r="AO137" s="111">
        <f t="shared" si="7"/>
        <v>208588969683.68237</v>
      </c>
      <c r="AP137" s="215">
        <f t="shared" si="5"/>
        <v>9.8382467855365044E-2</v>
      </c>
      <c r="AQ137" s="217"/>
    </row>
    <row r="138" spans="1:52" s="107" customFormat="1" ht="15" customHeight="1">
      <c r="A138" s="113" t="s">
        <v>223</v>
      </c>
      <c r="B138" s="118">
        <v>5</v>
      </c>
      <c r="C138" s="115">
        <f>DTR!C138+'Dai Loc'!C138+'Dong Lam'!C138+'Khanh Nga'!C138+TDP!C138+DTRVL!C138</f>
        <v>120065457134</v>
      </c>
      <c r="D138" s="115">
        <f>DTR!D138+'Dai Loc'!D138+'Dong Lam'!D138+'Khanh Nga'!D138+TDP!D138+DTRVL!D138</f>
        <v>83995360322</v>
      </c>
      <c r="E138" s="115">
        <f>DTR!E138+'Dai Loc'!E138+'Dong Lam'!E138+'Khanh Nga'!E138+TDP!E138+DTRVL!E138</f>
        <v>109165390822</v>
      </c>
      <c r="F138" s="115">
        <f>DTR!F138+'Dai Loc'!F138+'Dong Lam'!F138+'Khanh Nga'!F138+TDP!F138+DTRVL!F138</f>
        <v>105655387173</v>
      </c>
      <c r="G138" s="115">
        <f>DTR!G138+'Dai Loc'!G138+'Dong Lam'!G138+'Khanh Nga'!G138+TDP!G138+DTRVL!G138</f>
        <v>125507167216</v>
      </c>
      <c r="H138" s="115">
        <f>DTR!H138+'Dai Loc'!H138+'Dong Lam'!H138+'Khanh Nga'!H138+TDP!H138+DTRVL!H138</f>
        <v>98477492806</v>
      </c>
      <c r="I138" s="115">
        <f>DTR!I138+'Dai Loc'!I138+'Dong Lam'!I138+'Khanh Nga'!I138+TDP!I138+DTRVL!I138</f>
        <v>80393606783</v>
      </c>
      <c r="J138" s="115">
        <f>DTR!J138+'Dai Loc'!J138+'Dong Lam'!J138+'Khanh Nga'!J138+TDP!J138+DTRVL!J138</f>
        <v>167228552558</v>
      </c>
      <c r="K138" s="115">
        <f>DTR!K138+'Dai Loc'!K138+'Dong Lam'!K138+'Khanh Nga'!K138+TDP!K138+DTRVL!K138</f>
        <v>152083786508</v>
      </c>
      <c r="L138" s="115">
        <f>DTR!L138+'Dai Loc'!L138+'Dong Lam'!L138+'Khanh Nga'!L138+TDP!L138+DTRVL!L138</f>
        <v>135696763155</v>
      </c>
      <c r="M138" s="115">
        <f>DTR!M138+'Dai Loc'!M138+'Dong Lam'!M138+'Khanh Nga'!M138+TDP!M138+DTRVL!M138</f>
        <v>92718574459</v>
      </c>
      <c r="N138" s="115">
        <f>DTR!N138+'Dai Loc'!N138+'Dong Lam'!N138+'Khanh Nga'!N138+TDP!N138+DTRVL!N138</f>
        <v>-4137926966</v>
      </c>
      <c r="O138" s="115">
        <f>DTR!O138+'Dai Loc'!O138+'Dong Lam'!O138+'Khanh Nga'!O138+TDP!O138+DTRVL!O138</f>
        <v>109382281376</v>
      </c>
      <c r="P138" s="115">
        <f>DTR!P138+'Dai Loc'!P138+'Dong Lam'!P138+'Khanh Nga'!P138+TDP!P138+DTRVL!P138</f>
        <v>174422967873</v>
      </c>
      <c r="Q138" s="115">
        <f>DTR!Q138+'Dai Loc'!Q138+'Dong Lam'!Q138+'Khanh Nga'!Q138+TDP!Q138+DTRVL!Q138</f>
        <v>159767562826</v>
      </c>
      <c r="R138" s="115">
        <f>DTR!R138+'Dai Loc'!R138+'Dong Lam'!R138+'Khanh Nga'!R138+TDP!R138+DTRVL!R138</f>
        <v>140574223882</v>
      </c>
      <c r="S138" s="115">
        <f>DTR!S138+'Dai Loc'!S138+'Dong Lam'!S138+'Khanh Nga'!S138+TDP!S138+DTRVL!S138</f>
        <v>161629972631</v>
      </c>
      <c r="T138" s="115">
        <f>DTR!T138+'Dai Loc'!T138+'Dong Lam'!T138+'Khanh Nga'!T138+TDP!T138+DTRVL!T138</f>
        <v>143522031759</v>
      </c>
      <c r="U138" s="115">
        <f>DTR!U138+'Dai Loc'!U138+'Dong Lam'!U138+'Khanh Nga'!U138+TDP!U138+DTRVL!U138</f>
        <v>172510521735</v>
      </c>
      <c r="V138" s="115">
        <f>DTR!V138+'Dai Loc'!V138+'Dong Lam'!V138+'Khanh Nga'!V138+TDP!V138+DTRVL!V138</f>
        <v>197853154230</v>
      </c>
      <c r="W138" s="115">
        <f>DTR!W138+'Dai Loc'!W138+'Dong Lam'!W138+'Khanh Nga'!W138+TDP!W138+DTRVL!W138</f>
        <v>117237912996</v>
      </c>
      <c r="X138" s="115">
        <f>DTR!X138+'Dai Loc'!X138+'Dong Lam'!X138+'Khanh Nga'!X138+TDP!X138+DTRVL!X138</f>
        <v>127411416365</v>
      </c>
      <c r="Y138" s="115">
        <f>DTR!Y138+'Dai Loc'!Y138+'Dong Lam'!Y138+'Khanh Nga'!Y138+TDP!Y138+DTRVL!Y138</f>
        <v>99943651539</v>
      </c>
      <c r="Z138" s="115">
        <f>DTR!Z138+'Dai Loc'!Z138+'Dong Lam'!Z138+'Khanh Nga'!Z138+TDP!Z138+DTRVL!Z138</f>
        <v>90514001561</v>
      </c>
      <c r="AA138" s="119">
        <f>DTR!AA138+'Dai Loc'!AA138+'Dong Lam'!AA138+'Khanh Nga'!AA138+TDP!AA138+DTRVL!AA138</f>
        <v>141444371130.02679</v>
      </c>
      <c r="AB138" s="115">
        <f>DTR!AB138+'Dai Loc'!AB138+'Dong Lam'!AB138+'Khanh Nga'!AB138+TDP!AB138+DTRVL!AB138</f>
        <v>138422652078.0806</v>
      </c>
      <c r="AC138" s="115">
        <f>DTR!AC138+'Dai Loc'!AC138+'Dong Lam'!AC138+'Khanh Nga'!AC138+TDP!AC138+DTRVL!AC138</f>
        <v>155517556202.46976</v>
      </c>
      <c r="AD138" s="115">
        <f>DTR!AD138+'Dai Loc'!AD138+'Dong Lam'!AD138+'Khanh Nga'!AD138+TDP!AD138+DTRVL!AD138</f>
        <v>151343145131.90836</v>
      </c>
      <c r="AE138" s="115">
        <f>DTR!AE138+'Dai Loc'!AE138+'Dong Lam'!AE138+'Khanh Nga'!AE138+TDP!AE138+DTRVL!AE138</f>
        <v>157563176889.16608</v>
      </c>
      <c r="AF138" s="115">
        <f>DTR!AF138+'Dai Loc'!AF138+'Dong Lam'!AF138+'Khanh Nga'!AF138+TDP!AF138+DTRVL!AF138</f>
        <v>160551725058.08331</v>
      </c>
      <c r="AG138" s="115">
        <f>DTR!AG138+'Dai Loc'!AG138+'Dong Lam'!AG138+'Khanh Nga'!AG138+TDP!AG138+DTRVL!AG138</f>
        <v>159518874353.34464</v>
      </c>
      <c r="AH138" s="115">
        <f>DTR!AH138+'Dai Loc'!AH138+'Dong Lam'!AH138+'Khanh Nga'!AH138+TDP!AH138+DTRVL!AH138</f>
        <v>155372889098.25311</v>
      </c>
      <c r="AI138" s="115">
        <f>DTR!AI138+'Dai Loc'!AI138+'Dong Lam'!AI138+'Khanh Nga'!AI138+TDP!AI138+DTRVL!AI138</f>
        <v>160636402435.76669</v>
      </c>
      <c r="AJ138" s="115">
        <f>DTR!AJ138+'Dai Loc'!AJ138+'Dong Lam'!AJ138+'Khanh Nga'!AJ138+TDP!AJ138+DTRVL!AJ138</f>
        <v>153601639459.21729</v>
      </c>
      <c r="AK138" s="115">
        <f>DTR!AK138+'Dai Loc'!AK138+'Dong Lam'!AK138+'Khanh Nga'!AK138+TDP!AK138+DTRVL!AK138</f>
        <v>159435722992.53683</v>
      </c>
      <c r="AL138" s="115">
        <f>DTR!AL138+'Dai Loc'!AL138+'Dong Lam'!AL138+'Khanh Nga'!AL138+TDP!AL138+DTRVL!AL138</f>
        <v>162205320141.21234</v>
      </c>
      <c r="AM138" s="120">
        <f t="shared" si="4"/>
        <v>1855613474970.0657</v>
      </c>
      <c r="AN138" s="127">
        <f t="shared" si="6"/>
        <v>1694769698773</v>
      </c>
      <c r="AO138" s="127">
        <f t="shared" si="7"/>
        <v>160843776197.06567</v>
      </c>
      <c r="AP138" s="218">
        <f t="shared" si="5"/>
        <v>8.6679568976324867E-2</v>
      </c>
    </row>
    <row r="139" spans="1:52" s="107" customFormat="1" ht="15" customHeight="1">
      <c r="A139" s="108" t="s">
        <v>224</v>
      </c>
      <c r="B139" s="121">
        <v>6</v>
      </c>
      <c r="C139" s="122">
        <f>DTR!C139+'Dai Loc'!C139+'Dong Lam'!C139+'Khanh Nga'!C139+TDP!C139+DTRVL!C139</f>
        <v>9972483847</v>
      </c>
      <c r="D139" s="122">
        <f>DTR!D139+'Dai Loc'!D139+'Dong Lam'!D139+'Khanh Nga'!D139+TDP!D139+DTRVL!D139</f>
        <v>-515694066</v>
      </c>
      <c r="E139" s="122">
        <f>DTR!E139+'Dai Loc'!E139+'Dong Lam'!E139+'Khanh Nga'!E139+TDP!E139+DTRVL!E139</f>
        <v>6460025611</v>
      </c>
      <c r="F139" s="122">
        <f>DTR!F139+'Dai Loc'!F139+'Dong Lam'!F139+'Khanh Nga'!F139+TDP!F139+DTRVL!F139</f>
        <v>11991878921</v>
      </c>
      <c r="G139" s="122">
        <f>DTR!G139+'Dai Loc'!G139+'Dong Lam'!G139+'Khanh Nga'!G139+TDP!G139+DTRVL!G139</f>
        <v>2441885278</v>
      </c>
      <c r="H139" s="122">
        <f>DTR!H139+'Dai Loc'!H139+'Dong Lam'!H139+'Khanh Nga'!H139+TDP!H139+DTRVL!H139</f>
        <v>-2815920597</v>
      </c>
      <c r="I139" s="122">
        <f>DTR!I139+'Dai Loc'!I139+'Dong Lam'!I139+'Khanh Nga'!I139+TDP!I139+DTRVL!I139</f>
        <v>-5713944325</v>
      </c>
      <c r="J139" s="122">
        <f>DTR!J139+'Dai Loc'!J139+'Dong Lam'!J139+'Khanh Nga'!J139+TDP!J139+DTRVL!J139</f>
        <v>5363296363</v>
      </c>
      <c r="K139" s="122">
        <f>DTR!K139+'Dai Loc'!K139+'Dong Lam'!K139+'Khanh Nga'!K139+TDP!K139+DTRVL!K139</f>
        <v>23385512729</v>
      </c>
      <c r="L139" s="122">
        <f>DTR!L139+'Dai Loc'!L139+'Dong Lam'!L139+'Khanh Nga'!L139+TDP!L139+DTRVL!L139</f>
        <v>4592444587</v>
      </c>
      <c r="M139" s="122">
        <f>DTR!M139+'Dai Loc'!M139+'Dong Lam'!M139+'Khanh Nga'!M139+TDP!M139+DTRVL!M139</f>
        <v>4429538531</v>
      </c>
      <c r="N139" s="122">
        <f>DTR!N139+'Dai Loc'!N139+'Dong Lam'!N139+'Khanh Nga'!N139+TDP!N139+DTRVL!N139</f>
        <v>128144611272</v>
      </c>
      <c r="O139" s="122">
        <f>DTR!O139+'Dai Loc'!O139+'Dong Lam'!O139+'Khanh Nga'!O139+TDP!O139+DTRVL!O139</f>
        <v>16483105268</v>
      </c>
      <c r="P139" s="122">
        <f>DTR!P139+'Dai Loc'!P139+'Dong Lam'!P139+'Khanh Nga'!P139+TDP!P139+DTRVL!P139</f>
        <v>32306332485</v>
      </c>
      <c r="Q139" s="122">
        <f>DTR!Q139+'Dai Loc'!Q139+'Dong Lam'!Q139+'Khanh Nga'!Q139+TDP!Q139+DTRVL!Q139</f>
        <v>21185923943</v>
      </c>
      <c r="R139" s="122">
        <f>DTR!R139+'Dai Loc'!R139+'Dong Lam'!R139+'Khanh Nga'!R139+TDP!R139+DTRVL!R139</f>
        <v>17129551066</v>
      </c>
      <c r="S139" s="122">
        <f>DTR!S139+'Dai Loc'!S139+'Dong Lam'!S139+'Khanh Nga'!S139+TDP!S139+DTRVL!S139</f>
        <v>23787733277</v>
      </c>
      <c r="T139" s="122">
        <f>DTR!T139+'Dai Loc'!T139+'Dong Lam'!T139+'Khanh Nga'!T139+TDP!T139+DTRVL!T139</f>
        <v>15180844835</v>
      </c>
      <c r="U139" s="122">
        <f>DTR!U139+'Dai Loc'!U139+'Dong Lam'!U139+'Khanh Nga'!U139+TDP!U139+DTRVL!U139</f>
        <v>13742767461</v>
      </c>
      <c r="V139" s="122">
        <f>DTR!V139+'Dai Loc'!V139+'Dong Lam'!V139+'Khanh Nga'!V139+TDP!V139+DTRVL!V139</f>
        <v>17721449183</v>
      </c>
      <c r="W139" s="122">
        <f>DTR!W139+'Dai Loc'!W139+'Dong Lam'!W139+'Khanh Nga'!W139+TDP!W139+DTRVL!W139</f>
        <v>2827009757</v>
      </c>
      <c r="X139" s="122">
        <f>DTR!X139+'Dai Loc'!X139+'Dong Lam'!X139+'Khanh Nga'!X139+TDP!X139+DTRVL!X139</f>
        <v>10770744743</v>
      </c>
      <c r="Y139" s="122">
        <f>DTR!Y139+'Dai Loc'!Y139+'Dong Lam'!Y139+'Khanh Nga'!Y139+TDP!Y139+DTRVL!Y139</f>
        <v>8296122547</v>
      </c>
      <c r="Z139" s="122">
        <f>DTR!Z139+'Dai Loc'!Z139+'Dong Lam'!Z139+'Khanh Nga'!Z139+TDP!Z139+DTRVL!Z139</f>
        <v>37394107370</v>
      </c>
      <c r="AA139" s="123">
        <f>AA137-AA138</f>
        <v>18265634506.830017</v>
      </c>
      <c r="AB139" s="124">
        <f t="shared" ref="AB139:AL139" si="8">AB137-AB138</f>
        <v>11496149099.786163</v>
      </c>
      <c r="AC139" s="124">
        <f t="shared" si="8"/>
        <v>21396982875.357483</v>
      </c>
      <c r="AD139" s="124">
        <f t="shared" si="8"/>
        <v>19212744511.693451</v>
      </c>
      <c r="AE139" s="124">
        <f t="shared" si="8"/>
        <v>21437524970.570953</v>
      </c>
      <c r="AF139" s="124">
        <f t="shared" si="8"/>
        <v>20349382161.160309</v>
      </c>
      <c r="AG139" s="124">
        <f t="shared" si="8"/>
        <v>26021267659.615356</v>
      </c>
      <c r="AH139" s="124">
        <f t="shared" si="8"/>
        <v>25395279419.89151</v>
      </c>
      <c r="AI139" s="124">
        <f t="shared" si="8"/>
        <v>25763348856.5159</v>
      </c>
      <c r="AJ139" s="124">
        <f t="shared" si="8"/>
        <v>24518926408.94635</v>
      </c>
      <c r="AK139" s="124">
        <f t="shared" si="8"/>
        <v>25340866721.2901</v>
      </c>
      <c r="AL139" s="124">
        <f t="shared" si="8"/>
        <v>25372778229.959106</v>
      </c>
      <c r="AM139" s="125">
        <f t="shared" si="4"/>
        <v>264570885421.6167</v>
      </c>
      <c r="AN139" s="125">
        <f t="shared" si="6"/>
        <v>216825691935</v>
      </c>
      <c r="AO139" s="125">
        <f t="shared" si="7"/>
        <v>47745193486.616699</v>
      </c>
      <c r="AP139" s="219">
        <f t="shared" si="5"/>
        <v>0.18046276486745919</v>
      </c>
    </row>
    <row r="140" spans="1:52" s="107" customFormat="1" ht="15" customHeight="1">
      <c r="A140" s="108" t="s">
        <v>225</v>
      </c>
      <c r="B140" s="121">
        <v>7</v>
      </c>
      <c r="C140" s="122">
        <f>DTR!C140+'Dai Loc'!C140+'Dong Lam'!C140+'Khanh Nga'!C140+TDP!C140+DTRVL!C140</f>
        <v>0</v>
      </c>
      <c r="D140" s="122">
        <f>DTR!D140+'Dai Loc'!D140+'Dong Lam'!D140+'Khanh Nga'!D140+TDP!D140+DTRVL!D140</f>
        <v>0</v>
      </c>
      <c r="E140" s="122">
        <f>DTR!E140+'Dai Loc'!E140+'Dong Lam'!E140+'Khanh Nga'!E140+TDP!E140+DTRVL!E140</f>
        <v>0</v>
      </c>
      <c r="F140" s="122">
        <f>DTR!F140+'Dai Loc'!F140+'Dong Lam'!F140+'Khanh Nga'!F140+TDP!F140+DTRVL!F140</f>
        <v>0</v>
      </c>
      <c r="G140" s="122">
        <f>DTR!G140+'Dai Loc'!G140+'Dong Lam'!G140+'Khanh Nga'!G140+TDP!G140+DTRVL!G140</f>
        <v>0</v>
      </c>
      <c r="H140" s="122">
        <f>DTR!H140+'Dai Loc'!H140+'Dong Lam'!H140+'Khanh Nga'!H140+TDP!H140+DTRVL!H140</f>
        <v>0</v>
      </c>
      <c r="I140" s="122">
        <f>DTR!I140+'Dai Loc'!I140+'Dong Lam'!I140+'Khanh Nga'!I140+TDP!I140+DTRVL!I140</f>
        <v>0</v>
      </c>
      <c r="J140" s="122">
        <f>DTR!J140+'Dai Loc'!J140+'Dong Lam'!J140+'Khanh Nga'!J140+TDP!J140+DTRVL!J140</f>
        <v>0</v>
      </c>
      <c r="K140" s="122">
        <f>DTR!K140+'Dai Loc'!K140+'Dong Lam'!K140+'Khanh Nga'!K140+TDP!K140+DTRVL!K140</f>
        <v>0</v>
      </c>
      <c r="L140" s="122">
        <f>DTR!L140+'Dai Loc'!L140+'Dong Lam'!L140+'Khanh Nga'!L140+TDP!L140+DTRVL!L140</f>
        <v>0</v>
      </c>
      <c r="M140" s="122">
        <f>DTR!M140+'Dai Loc'!M140+'Dong Lam'!M140+'Khanh Nga'!M140+TDP!M140+DTRVL!M140</f>
        <v>0</v>
      </c>
      <c r="N140" s="122">
        <f>DTR!N140+'Dai Loc'!N140+'Dong Lam'!N140+'Khanh Nga'!N140+TDP!N140+DTRVL!N140</f>
        <v>0</v>
      </c>
      <c r="O140" s="122">
        <f>DTR!O140+'Dai Loc'!O140+'Dong Lam'!O140+'Khanh Nga'!O140+TDP!O140+DTRVL!O140</f>
        <v>0</v>
      </c>
      <c r="P140" s="122">
        <f>DTR!P140+'Dai Loc'!P140+'Dong Lam'!P140+'Khanh Nga'!P140+TDP!P140+DTRVL!P140</f>
        <v>0</v>
      </c>
      <c r="Q140" s="122">
        <f>DTR!Q140+'Dai Loc'!Q140+'Dong Lam'!Q140+'Khanh Nga'!Q140+TDP!Q140+DTRVL!Q140</f>
        <v>0</v>
      </c>
      <c r="R140" s="122">
        <f>DTR!R140+'Dai Loc'!R140+'Dong Lam'!R140+'Khanh Nga'!R140+TDP!R140+DTRVL!R140</f>
        <v>0</v>
      </c>
      <c r="S140" s="122">
        <f>DTR!S140+'Dai Loc'!S140+'Dong Lam'!S140+'Khanh Nga'!S140+TDP!S140+DTRVL!S140</f>
        <v>0</v>
      </c>
      <c r="T140" s="122">
        <f>DTR!T140+'Dai Loc'!T140+'Dong Lam'!T140+'Khanh Nga'!T140+TDP!T140+DTRVL!T140</f>
        <v>0</v>
      </c>
      <c r="U140" s="122">
        <f>DTR!U140+'Dai Loc'!U140+'Dong Lam'!U140+'Khanh Nga'!U140+TDP!U140+DTRVL!U140</f>
        <v>0</v>
      </c>
      <c r="V140" s="122">
        <f>DTR!V140+'Dai Loc'!V140+'Dong Lam'!V140+'Khanh Nga'!V140+TDP!V140+DTRVL!V140</f>
        <v>0</v>
      </c>
      <c r="W140" s="122">
        <f>DTR!W140+'Dai Loc'!W140+'Dong Lam'!W140+'Khanh Nga'!W140+TDP!W140+DTRVL!W140</f>
        <v>0</v>
      </c>
      <c r="X140" s="122">
        <f>DTR!X140+'Dai Loc'!X140+'Dong Lam'!X140+'Khanh Nga'!X140+TDP!X140+DTRVL!X140</f>
        <v>0</v>
      </c>
      <c r="Y140" s="122">
        <f>DTR!Y140+'Dai Loc'!Y140+'Dong Lam'!Y140+'Khanh Nga'!Y140+TDP!Y140+DTRVL!Y140</f>
        <v>0</v>
      </c>
      <c r="Z140" s="122">
        <f>DTR!Z140+'Dai Loc'!Z140+'Dong Lam'!Z140+'Khanh Nga'!Z140+TDP!Z140+DTRVL!Z140</f>
        <v>0</v>
      </c>
      <c r="AA140" s="126">
        <f>DTR!AA140+'Dai Loc'!AA140+'Dong Lam'!AA140+'Khanh Nga'!AA140+TDP!AA140+DTRVL!AA140</f>
        <v>0</v>
      </c>
      <c r="AB140" s="122">
        <f>DTR!AB140+'Dai Loc'!AB140+'Dong Lam'!AB140+'Khanh Nga'!AB140+TDP!AB140+DTRVL!AB140</f>
        <v>0</v>
      </c>
      <c r="AC140" s="122">
        <f>DTR!AC140+'Dai Loc'!AC140+'Dong Lam'!AC140+'Khanh Nga'!AC140+TDP!AC140+DTRVL!AC140</f>
        <v>0</v>
      </c>
      <c r="AD140" s="122">
        <f>DTR!AD140+'Dai Loc'!AD140+'Dong Lam'!AD140+'Khanh Nga'!AD140+TDP!AD140+DTRVL!AD140</f>
        <v>0</v>
      </c>
      <c r="AE140" s="122">
        <f>DTR!AE140+'Dai Loc'!AE140+'Dong Lam'!AE140+'Khanh Nga'!AE140+TDP!AE140+DTRVL!AE140</f>
        <v>0</v>
      </c>
      <c r="AF140" s="122">
        <f>DTR!AF140+'Dai Loc'!AF140+'Dong Lam'!AF140+'Khanh Nga'!AF140+TDP!AF140+DTRVL!AF140</f>
        <v>0</v>
      </c>
      <c r="AG140" s="122">
        <f>DTR!AG140+'Dai Loc'!AG140+'Dong Lam'!AG140+'Khanh Nga'!AG140+TDP!AG140+DTRVL!AG140</f>
        <v>0</v>
      </c>
      <c r="AH140" s="122">
        <f>DTR!AH140+'Dai Loc'!AH140+'Dong Lam'!AH140+'Khanh Nga'!AH140+TDP!AH140+DTRVL!AH140</f>
        <v>0</v>
      </c>
      <c r="AI140" s="122">
        <f>DTR!AI140+'Dai Loc'!AI140+'Dong Lam'!AI140+'Khanh Nga'!AI140+TDP!AI140+DTRVL!AI140</f>
        <v>0</v>
      </c>
      <c r="AJ140" s="122">
        <f>DTR!AJ140+'Dai Loc'!AJ140+'Dong Lam'!AJ140+'Khanh Nga'!AJ140+TDP!AJ140+DTRVL!AJ140</f>
        <v>0</v>
      </c>
      <c r="AK140" s="122">
        <f>DTR!AK140+'Dai Loc'!AK140+'Dong Lam'!AK140+'Khanh Nga'!AK140+TDP!AK140+DTRVL!AK140</f>
        <v>0</v>
      </c>
      <c r="AL140" s="122">
        <f>DTR!AL140+'Dai Loc'!AL140+'Dong Lam'!AL140+'Khanh Nga'!AL140+TDP!AL140+DTRVL!AL140</f>
        <v>0</v>
      </c>
      <c r="AM140" s="125">
        <f t="shared" si="4"/>
        <v>0</v>
      </c>
      <c r="AN140" s="125">
        <f t="shared" si="6"/>
        <v>0</v>
      </c>
      <c r="AO140" s="125">
        <f t="shared" si="7"/>
        <v>0</v>
      </c>
      <c r="AP140" s="219"/>
    </row>
    <row r="141" spans="1:52" s="107" customFormat="1" ht="15" customHeight="1">
      <c r="A141" s="113" t="s">
        <v>226</v>
      </c>
      <c r="B141" s="114">
        <v>8</v>
      </c>
      <c r="C141" s="115">
        <f>DTR!C141+'Dai Loc'!C141+'Dong Lam'!C141+'Khanh Nga'!C141+TDP!C141+DTRVL!C141</f>
        <v>712260969</v>
      </c>
      <c r="D141" s="115">
        <f>DTR!D141+'Dai Loc'!D141+'Dong Lam'!D141+'Khanh Nga'!D141+TDP!D141+DTRVL!D141</f>
        <v>1111471110</v>
      </c>
      <c r="E141" s="115">
        <f>DTR!E141+'Dai Loc'!E141+'Dong Lam'!E141+'Khanh Nga'!E141+TDP!E141+DTRVL!E141</f>
        <v>1004651784</v>
      </c>
      <c r="F141" s="115">
        <f>DTR!F141+'Dai Loc'!F141+'Dong Lam'!F141+'Khanh Nga'!F141+TDP!F141+DTRVL!F141</f>
        <v>1746021208</v>
      </c>
      <c r="G141" s="115">
        <f>DTR!G141+'Dai Loc'!G141+'Dong Lam'!G141+'Khanh Nga'!G141+TDP!G141+DTRVL!G141</f>
        <v>1032867505</v>
      </c>
      <c r="H141" s="115">
        <f>DTR!H141+'Dai Loc'!H141+'Dong Lam'!H141+'Khanh Nga'!H141+TDP!H141+DTRVL!H141</f>
        <v>591086157</v>
      </c>
      <c r="I141" s="115">
        <f>DTR!I141+'Dai Loc'!I141+'Dong Lam'!I141+'Khanh Nga'!I141+TDP!I141+DTRVL!I141</f>
        <v>376652862</v>
      </c>
      <c r="J141" s="115">
        <f>DTR!J141+'Dai Loc'!J141+'Dong Lam'!J141+'Khanh Nga'!J141+TDP!J141+DTRVL!J141</f>
        <v>1253018630</v>
      </c>
      <c r="K141" s="115">
        <f>DTR!K141+'Dai Loc'!K141+'Dong Lam'!K141+'Khanh Nga'!K141+TDP!K141+DTRVL!K141</f>
        <v>1560156089</v>
      </c>
      <c r="L141" s="115">
        <f>DTR!L141+'Dai Loc'!L141+'Dong Lam'!L141+'Khanh Nga'!L141+TDP!L141+DTRVL!L141</f>
        <v>2831268643</v>
      </c>
      <c r="M141" s="115">
        <f>DTR!M141+'Dai Loc'!M141+'Dong Lam'!M141+'Khanh Nga'!M141+TDP!M141+DTRVL!M141</f>
        <v>886951972</v>
      </c>
      <c r="N141" s="115">
        <f>DTR!N141+'Dai Loc'!N141+'Dong Lam'!N141+'Khanh Nga'!N141+TDP!N141+DTRVL!N141</f>
        <v>2195155035</v>
      </c>
      <c r="O141" s="115">
        <f>DTR!O141+'Dai Loc'!O141+'Dong Lam'!O141+'Khanh Nga'!O141+TDP!O141+DTRVL!O141</f>
        <v>830662240</v>
      </c>
      <c r="P141" s="115">
        <f>DTR!P141+'Dai Loc'!P141+'Dong Lam'!P141+'Khanh Nga'!P141+TDP!P141+DTRVL!P141</f>
        <v>1805467216</v>
      </c>
      <c r="Q141" s="115">
        <f>DTR!Q141+'Dai Loc'!Q141+'Dong Lam'!Q141+'Khanh Nga'!Q141+TDP!Q141+DTRVL!Q141</f>
        <v>941747687</v>
      </c>
      <c r="R141" s="115">
        <f>DTR!R141+'Dai Loc'!R141+'Dong Lam'!R141+'Khanh Nga'!R141+TDP!R141+DTRVL!R141</f>
        <v>1368536357</v>
      </c>
      <c r="S141" s="115">
        <f>DTR!S141+'Dai Loc'!S141+'Dong Lam'!S141+'Khanh Nga'!S141+TDP!S141+DTRVL!S141</f>
        <v>2440495098</v>
      </c>
      <c r="T141" s="115">
        <f>DTR!T141+'Dai Loc'!T141+'Dong Lam'!T141+'Khanh Nga'!T141+TDP!T141+DTRVL!T141</f>
        <v>1651919997</v>
      </c>
      <c r="U141" s="115">
        <f>DTR!U141+'Dai Loc'!U141+'Dong Lam'!U141+'Khanh Nga'!U141+TDP!U141+DTRVL!U141</f>
        <v>1450067480</v>
      </c>
      <c r="V141" s="115">
        <f>DTR!V141+'Dai Loc'!V141+'Dong Lam'!V141+'Khanh Nga'!V141+TDP!V141+DTRVL!V141</f>
        <v>1506125345</v>
      </c>
      <c r="W141" s="115">
        <f>DTR!W141+'Dai Loc'!W141+'Dong Lam'!W141+'Khanh Nga'!W141+TDP!W141+DTRVL!W141</f>
        <v>1236220214</v>
      </c>
      <c r="X141" s="115">
        <f>DTR!X141+'Dai Loc'!X141+'Dong Lam'!X141+'Khanh Nga'!X141+TDP!X141+DTRVL!X141</f>
        <v>2769344197</v>
      </c>
      <c r="Y141" s="115">
        <f>DTR!Y141+'Dai Loc'!Y141+'Dong Lam'!Y141+'Khanh Nga'!Y141+TDP!Y141+DTRVL!Y141</f>
        <v>564107321</v>
      </c>
      <c r="Z141" s="115">
        <f>DTR!Z141+'Dai Loc'!Z141+'Dong Lam'!Z141+'Khanh Nga'!Z141+TDP!Z141+DTRVL!Z141</f>
        <v>727547755</v>
      </c>
      <c r="AA141" s="119">
        <f>DTR!AA141+'Dai Loc'!AA141+'Dong Lam'!AA141+'Khanh Nga'!AA141+TDP!AA141+DTRVL!AA141</f>
        <v>20005548.111111112</v>
      </c>
      <c r="AB141" s="115">
        <f>DTR!AB141+'Dai Loc'!AB141+'Dong Lam'!AB141+'Khanh Nga'!AB141+TDP!AB141+DTRVL!AB141</f>
        <v>20005548.111111112</v>
      </c>
      <c r="AC141" s="115">
        <f>DTR!AC141+'Dai Loc'!AC141+'Dong Lam'!AC141+'Khanh Nga'!AC141+TDP!AC141+DTRVL!AC141</f>
        <v>20005548.111111112</v>
      </c>
      <c r="AD141" s="115">
        <f>DTR!AD141+'Dai Loc'!AD141+'Dong Lam'!AD141+'Khanh Nga'!AD141+TDP!AD141+DTRVL!AD141</f>
        <v>10005548.111111112</v>
      </c>
      <c r="AE141" s="115">
        <f>DTR!AE141+'Dai Loc'!AE141+'Dong Lam'!AE141+'Khanh Nga'!AE141+TDP!AE141+DTRVL!AE141</f>
        <v>10005548.111111112</v>
      </c>
      <c r="AF141" s="115">
        <f>DTR!AF141+'Dai Loc'!AF141+'Dong Lam'!AF141+'Khanh Nga'!AF141+TDP!AF141+DTRVL!AF141</f>
        <v>10005548.111111112</v>
      </c>
      <c r="AG141" s="115">
        <f>DTR!AG141+'Dai Loc'!AG141+'Dong Lam'!AG141+'Khanh Nga'!AG141+TDP!AG141+DTRVL!AG141</f>
        <v>10005548.111111112</v>
      </c>
      <c r="AH141" s="115">
        <f>DTR!AH141+'Dai Loc'!AH141+'Dong Lam'!AH141+'Khanh Nga'!AH141+TDP!AH141+DTRVL!AH141</f>
        <v>10005548.111111112</v>
      </c>
      <c r="AI141" s="115">
        <f>DTR!AI141+'Dai Loc'!AI141+'Dong Lam'!AI141+'Khanh Nga'!AI141+TDP!AI141+DTRVL!AI141</f>
        <v>10005548.111111112</v>
      </c>
      <c r="AJ141" s="115">
        <f>DTR!AJ141+'Dai Loc'!AJ141+'Dong Lam'!AJ141+'Khanh Nga'!AJ141+TDP!AJ141+DTRVL!AJ141</f>
        <v>10005548.111111112</v>
      </c>
      <c r="AK141" s="115">
        <f>DTR!AK141+'Dai Loc'!AK141+'Dong Lam'!AK141+'Khanh Nga'!AK141+TDP!AK141+DTRVL!AK141</f>
        <v>10005548.111111112</v>
      </c>
      <c r="AL141" s="115">
        <f>DTR!AL141+'Dai Loc'!AL141+'Dong Lam'!AL141+'Khanh Nga'!AL141+TDP!AL141+DTRVL!AL141</f>
        <v>10005548.111111112</v>
      </c>
      <c r="AM141" s="127">
        <f t="shared" si="4"/>
        <v>150066577.33333328</v>
      </c>
      <c r="AN141" s="127">
        <f t="shared" si="6"/>
        <v>17292240907</v>
      </c>
      <c r="AO141" s="127">
        <f t="shared" si="7"/>
        <v>-17142174329.666666</v>
      </c>
      <c r="AP141" s="218">
        <f t="shared" si="5"/>
        <v>-114.23046113452598</v>
      </c>
    </row>
    <row r="142" spans="1:52" s="130" customFormat="1" ht="15" customHeight="1">
      <c r="A142" s="128" t="s">
        <v>227</v>
      </c>
      <c r="B142" s="114">
        <v>9</v>
      </c>
      <c r="C142" s="115">
        <f>DTR!C142+'Dai Loc'!C142+'Dong Lam'!C142+'Khanh Nga'!C142+TDP!C142+DTRVL!C142</f>
        <v>801399604</v>
      </c>
      <c r="D142" s="115">
        <f>DTR!D142+'Dai Loc'!D142+'Dong Lam'!D142+'Khanh Nga'!D142+TDP!D142+DTRVL!D142</f>
        <v>695500231</v>
      </c>
      <c r="E142" s="115">
        <f>DTR!E142+'Dai Loc'!E142+'Dong Lam'!E142+'Khanh Nga'!E142+TDP!E142+DTRVL!E142</f>
        <v>663502461</v>
      </c>
      <c r="F142" s="115">
        <f>DTR!F142+'Dai Loc'!F142+'Dong Lam'!F142+'Khanh Nga'!F142+TDP!F142+DTRVL!F142</f>
        <v>1555671370</v>
      </c>
      <c r="G142" s="115">
        <f>DTR!G142+'Dai Loc'!G142+'Dong Lam'!G142+'Khanh Nga'!G142+TDP!G142+DTRVL!G142</f>
        <v>936492932</v>
      </c>
      <c r="H142" s="115">
        <f>DTR!H142+'Dai Loc'!H142+'Dong Lam'!H142+'Khanh Nga'!H142+TDP!H142+DTRVL!H142</f>
        <v>1103852896</v>
      </c>
      <c r="I142" s="115">
        <f>DTR!I142+'Dai Loc'!I142+'Dong Lam'!I142+'Khanh Nga'!I142+TDP!I142+DTRVL!I142</f>
        <v>1608708972</v>
      </c>
      <c r="J142" s="115">
        <f>DTR!J142+'Dai Loc'!J142+'Dong Lam'!J142+'Khanh Nga'!J142+TDP!J142+DTRVL!J142</f>
        <v>1489581015</v>
      </c>
      <c r="K142" s="115">
        <f>DTR!K142+'Dai Loc'!K142+'Dong Lam'!K142+'Khanh Nga'!K142+TDP!K142+DTRVL!K142</f>
        <v>1372261307</v>
      </c>
      <c r="L142" s="115">
        <f>DTR!L142+'Dai Loc'!L142+'Dong Lam'!L142+'Khanh Nga'!L142+TDP!L142+DTRVL!L142</f>
        <v>636041020</v>
      </c>
      <c r="M142" s="115">
        <f>DTR!M142+'Dai Loc'!M142+'Dong Lam'!M142+'Khanh Nga'!M142+TDP!M142+DTRVL!M142</f>
        <v>1257673070</v>
      </c>
      <c r="N142" s="115">
        <f>DTR!N142+'Dai Loc'!N142+'Dong Lam'!N142+'Khanh Nga'!N142+TDP!N142+DTRVL!N142</f>
        <v>993026233</v>
      </c>
      <c r="O142" s="115">
        <f>DTR!O142+'Dai Loc'!O142+'Dong Lam'!O142+'Khanh Nga'!O142+TDP!O142+DTRVL!O142</f>
        <v>1529745602</v>
      </c>
      <c r="P142" s="115">
        <f>DTR!P142+'Dai Loc'!P142+'Dong Lam'!P142+'Khanh Nga'!P142+TDP!P142+DTRVL!P142</f>
        <v>1349010483</v>
      </c>
      <c r="Q142" s="115">
        <f>DTR!Q142+'Dai Loc'!Q142+'Dong Lam'!Q142+'Khanh Nga'!Q142+TDP!Q142+DTRVL!Q142</f>
        <v>902730488</v>
      </c>
      <c r="R142" s="115">
        <f>DTR!R142+'Dai Loc'!R142+'Dong Lam'!R142+'Khanh Nga'!R142+TDP!R142+DTRVL!R142</f>
        <v>1450570894</v>
      </c>
      <c r="S142" s="115">
        <f>DTR!S142+'Dai Loc'!S142+'Dong Lam'!S142+'Khanh Nga'!S142+TDP!S142+DTRVL!S142</f>
        <v>858169737</v>
      </c>
      <c r="T142" s="115">
        <f>DTR!T142+'Dai Loc'!T142+'Dong Lam'!T142+'Khanh Nga'!T142+TDP!T142+DTRVL!T142</f>
        <v>1483876982</v>
      </c>
      <c r="U142" s="115">
        <f>DTR!U142+'Dai Loc'!U142+'Dong Lam'!U142+'Khanh Nga'!U142+TDP!U142+DTRVL!U142</f>
        <v>1318435167</v>
      </c>
      <c r="V142" s="115">
        <f>DTR!V142+'Dai Loc'!V142+'Dong Lam'!V142+'Khanh Nga'!V142+TDP!V142+DTRVL!V142</f>
        <v>1366041150</v>
      </c>
      <c r="W142" s="115">
        <f>DTR!W142+'Dai Loc'!W142+'Dong Lam'!W142+'Khanh Nga'!W142+TDP!W142+DTRVL!W142</f>
        <v>1603769193</v>
      </c>
      <c r="X142" s="115">
        <f>DTR!X142+'Dai Loc'!X142+'Dong Lam'!X142+'Khanh Nga'!X142+TDP!X142+DTRVL!X142</f>
        <v>2900732378</v>
      </c>
      <c r="Y142" s="115">
        <f>DTR!Y142+'Dai Loc'!Y142+'Dong Lam'!Y142+'Khanh Nga'!Y142+TDP!Y142+DTRVL!Y142</f>
        <v>1301741764</v>
      </c>
      <c r="Z142" s="115">
        <f>DTR!Z142+'Dai Loc'!Z142+'Dong Lam'!Z142+'Khanh Nga'!Z142+TDP!Z142+DTRVL!Z142</f>
        <v>2453854146</v>
      </c>
      <c r="AA142" s="119">
        <f>DTR!AA142+'Dai Loc'!AA142+'Dong Lam'!AA142+'Khanh Nga'!AA142+TDP!AA142+DTRVL!AA142</f>
        <v>1440729191.0893345</v>
      </c>
      <c r="AB142" s="115">
        <f>DTR!AB142+'Dai Loc'!AB142+'Dong Lam'!AB142+'Khanh Nga'!AB142+TDP!AB142+DTRVL!AB142</f>
        <v>2314401491.6227865</v>
      </c>
      <c r="AC142" s="115">
        <f>DTR!AC142+'Dai Loc'!AC142+'Dong Lam'!AC142+'Khanh Nga'!AC142+TDP!AC142+DTRVL!AC142</f>
        <v>2754845108.8531456</v>
      </c>
      <c r="AD142" s="115">
        <f>DTR!AD142+'Dai Loc'!AD142+'Dong Lam'!AD142+'Khanh Nga'!AD142+TDP!AD142+DTRVL!AD142</f>
        <v>2658973977.945015</v>
      </c>
      <c r="AE142" s="115">
        <f>DTR!AE142+'Dai Loc'!AE142+'Dong Lam'!AE142+'Khanh Nga'!AE142+TDP!AE142+DTRVL!AE142</f>
        <v>2984563857.6971397</v>
      </c>
      <c r="AF142" s="115">
        <f>DTR!AF142+'Dai Loc'!AF142+'Dong Lam'!AF142+'Khanh Nga'!AF142+TDP!AF142+DTRVL!AF142</f>
        <v>3083765892.6644506</v>
      </c>
      <c r="AG142" s="115">
        <f>DTR!AG142+'Dai Loc'!AG142+'Dong Lam'!AG142+'Khanh Nga'!AG142+TDP!AG142+DTRVL!AG142</f>
        <v>3139619158.6549101</v>
      </c>
      <c r="AH142" s="115">
        <f>DTR!AH142+'Dai Loc'!AH142+'Dong Lam'!AH142+'Khanh Nga'!AH142+TDP!AH142+DTRVL!AH142</f>
        <v>3321581053.7279758</v>
      </c>
      <c r="AI142" s="115">
        <f>DTR!AI142+'Dai Loc'!AI142+'Dong Lam'!AI142+'Khanh Nga'!AI142+TDP!AI142+DTRVL!AI142</f>
        <v>3248341883.5147653</v>
      </c>
      <c r="AJ142" s="115">
        <f>DTR!AJ142+'Dai Loc'!AJ142+'Dong Lam'!AJ142+'Khanh Nga'!AJ142+TDP!AJ142+DTRVL!AJ142</f>
        <v>3254733184.6761322</v>
      </c>
      <c r="AK142" s="115">
        <f>DTR!AK142+'Dai Loc'!AK142+'Dong Lam'!AK142+'Khanh Nga'!AK142+TDP!AK142+DTRVL!AK142</f>
        <v>3261994460.9206567</v>
      </c>
      <c r="AL142" s="115">
        <f>DTR!AL142+'Dai Loc'!AL142+'Dong Lam'!AL142+'Khanh Nga'!AL142+TDP!AL142+DTRVL!AL142</f>
        <v>3102355062.0342407</v>
      </c>
      <c r="AM142" s="129">
        <f t="shared" si="4"/>
        <v>34565904323.400558</v>
      </c>
      <c r="AN142" s="129">
        <f t="shared" si="6"/>
        <v>18518677984</v>
      </c>
      <c r="AO142" s="129">
        <f t="shared" si="7"/>
        <v>16047226339.400558</v>
      </c>
      <c r="AP142" s="216">
        <f t="shared" si="5"/>
        <v>0.46425015209386106</v>
      </c>
    </row>
    <row r="143" spans="1:52" s="107" customFormat="1" ht="15" customHeight="1">
      <c r="A143" s="113" t="s">
        <v>228</v>
      </c>
      <c r="B143" s="114">
        <v>10</v>
      </c>
      <c r="C143" s="115">
        <f>DTR!C143+'Dai Loc'!C143+'Dong Lam'!C143+'Khanh Nga'!C143+TDP!C143+DTRVL!C143</f>
        <v>460461775</v>
      </c>
      <c r="D143" s="115">
        <f>DTR!D143+'Dai Loc'!D143+'Dong Lam'!D143+'Khanh Nga'!D143+TDP!D143+DTRVL!D143</f>
        <v>563909516</v>
      </c>
      <c r="E143" s="115">
        <f>DTR!E143+'Dai Loc'!E143+'Dong Lam'!E143+'Khanh Nga'!E143+TDP!E143+DTRVL!E143</f>
        <v>587315920</v>
      </c>
      <c r="F143" s="115">
        <f>DTR!F143+'Dai Loc'!F143+'Dong Lam'!F143+'Khanh Nga'!F143+TDP!F143+DTRVL!F143</f>
        <v>905708142</v>
      </c>
      <c r="G143" s="115">
        <f>DTR!G143+'Dai Loc'!G143+'Dong Lam'!G143+'Khanh Nga'!G143+TDP!G143+DTRVL!G143</f>
        <v>974310029</v>
      </c>
      <c r="H143" s="115">
        <f>DTR!H143+'Dai Loc'!H143+'Dong Lam'!H143+'Khanh Nga'!H143+TDP!H143+DTRVL!H143</f>
        <v>1115056080</v>
      </c>
      <c r="I143" s="115">
        <f>DTR!I143+'Dai Loc'!I143+'Dong Lam'!I143+'Khanh Nga'!I143+TDP!I143+DTRVL!I143</f>
        <v>1160823006</v>
      </c>
      <c r="J143" s="115">
        <f>DTR!J143+'Dai Loc'!J143+'Dong Lam'!J143+'Khanh Nga'!J143+TDP!J143+DTRVL!J143</f>
        <v>939585045</v>
      </c>
      <c r="K143" s="115">
        <f>DTR!K143+'Dai Loc'!K143+'Dong Lam'!K143+'Khanh Nga'!K143+TDP!K143+DTRVL!K143</f>
        <v>859444105</v>
      </c>
      <c r="L143" s="115">
        <f>DTR!L143+'Dai Loc'!L143+'Dong Lam'!L143+'Khanh Nga'!L143+TDP!L143+DTRVL!L143</f>
        <v>840165515</v>
      </c>
      <c r="M143" s="115">
        <f>DTR!M143+'Dai Loc'!M143+'Dong Lam'!M143+'Khanh Nga'!M143+TDP!M143+DTRVL!M143</f>
        <v>889159081</v>
      </c>
      <c r="N143" s="115">
        <f>DTR!N143+'Dai Loc'!N143+'Dong Lam'!N143+'Khanh Nga'!N143+TDP!N143+DTRVL!N143</f>
        <v>1032562923</v>
      </c>
      <c r="O143" s="115">
        <f>DTR!O143+'Dai Loc'!O143+'Dong Lam'!O143+'Khanh Nga'!O143+TDP!O143+DTRVL!O143</f>
        <v>1114824276</v>
      </c>
      <c r="P143" s="115">
        <f>DTR!P143+'Dai Loc'!P143+'Dong Lam'!P143+'Khanh Nga'!P143+TDP!P143+DTRVL!P143</f>
        <v>928379281</v>
      </c>
      <c r="Q143" s="115">
        <f>DTR!Q143+'Dai Loc'!Q143+'Dong Lam'!Q143+'Khanh Nga'!Q143+TDP!Q143+DTRVL!Q143</f>
        <v>673966789</v>
      </c>
      <c r="R143" s="115">
        <f>DTR!R143+'Dai Loc'!R143+'Dong Lam'!R143+'Khanh Nga'!R143+TDP!R143+DTRVL!R143</f>
        <v>888393452</v>
      </c>
      <c r="S143" s="115">
        <f>DTR!S143+'Dai Loc'!S143+'Dong Lam'!S143+'Khanh Nga'!S143+TDP!S143+DTRVL!S143</f>
        <v>1186588729</v>
      </c>
      <c r="T143" s="115">
        <f>DTR!T143+'Dai Loc'!T143+'Dong Lam'!T143+'Khanh Nga'!T143+TDP!T143+DTRVL!T143</f>
        <v>1448899822</v>
      </c>
      <c r="U143" s="115">
        <f>DTR!U143+'Dai Loc'!U143+'Dong Lam'!U143+'Khanh Nga'!U143+TDP!U143+DTRVL!U143</f>
        <v>1245210526</v>
      </c>
      <c r="V143" s="115">
        <f>DTR!V143+'Dai Loc'!V143+'Dong Lam'!V143+'Khanh Nga'!V143+TDP!V143+DTRVL!V143</f>
        <v>1303560910</v>
      </c>
      <c r="W143" s="115">
        <f>DTR!W143+'Dai Loc'!W143+'Dong Lam'!W143+'Khanh Nga'!W143+TDP!W143+DTRVL!W143</f>
        <v>1595764355</v>
      </c>
      <c r="X143" s="115">
        <f>DTR!X143+'Dai Loc'!X143+'Dong Lam'!X143+'Khanh Nga'!X143+TDP!X143+DTRVL!X143</f>
        <v>1368802426</v>
      </c>
      <c r="Y143" s="115">
        <f>DTR!Y143+'Dai Loc'!Y143+'Dong Lam'!Y143+'Khanh Nga'!Y143+TDP!Y143+DTRVL!Y143</f>
        <v>1256132292</v>
      </c>
      <c r="Z143" s="115">
        <f>DTR!Z143+'Dai Loc'!Z143+'Dong Lam'!Z143+'Khanh Nga'!Z143+TDP!Z143+DTRVL!Z143</f>
        <v>1256103396</v>
      </c>
      <c r="AA143" s="119">
        <f>DTR!AA143+'Dai Loc'!AA143+'Dong Lam'!AA143+'Khanh Nga'!AA143+TDP!AA143+DTRVL!AA143</f>
        <v>1440729191.0893345</v>
      </c>
      <c r="AB143" s="115">
        <f>DTR!AB143+'Dai Loc'!AB143+'Dong Lam'!AB143+'Khanh Nga'!AB143+TDP!AB143+DTRVL!AB143</f>
        <v>2314401491.6227865</v>
      </c>
      <c r="AC143" s="115">
        <f>DTR!AC143+'Dai Loc'!AC143+'Dong Lam'!AC143+'Khanh Nga'!AC143+TDP!AC143+DTRVL!AC143</f>
        <v>2754845108.8531456</v>
      </c>
      <c r="AD143" s="115">
        <f>DTR!AD143+'Dai Loc'!AD143+'Dong Lam'!AD143+'Khanh Nga'!AD143+TDP!AD143+DTRVL!AD143</f>
        <v>2658973977.945015</v>
      </c>
      <c r="AE143" s="115">
        <f>DTR!AE143+'Dai Loc'!AE143+'Dong Lam'!AE143+'Khanh Nga'!AE143+TDP!AE143+DTRVL!AE143</f>
        <v>2984563857.6971397</v>
      </c>
      <c r="AF143" s="115">
        <f>DTR!AF143+'Dai Loc'!AF143+'Dong Lam'!AF143+'Khanh Nga'!AF143+TDP!AF143+DTRVL!AF143</f>
        <v>3083765892.6644506</v>
      </c>
      <c r="AG143" s="115">
        <f>DTR!AG143+'Dai Loc'!AG143+'Dong Lam'!AG143+'Khanh Nga'!AG143+TDP!AG143+DTRVL!AG143</f>
        <v>3139619158.6549101</v>
      </c>
      <c r="AH143" s="115">
        <f>DTR!AH143+'Dai Loc'!AH143+'Dong Lam'!AH143+'Khanh Nga'!AH143+TDP!AH143+DTRVL!AH143</f>
        <v>3321581053.7279758</v>
      </c>
      <c r="AI143" s="115">
        <f>DTR!AI143+'Dai Loc'!AI143+'Dong Lam'!AI143+'Khanh Nga'!AI143+TDP!AI143+DTRVL!AI143</f>
        <v>3248341883.5147653</v>
      </c>
      <c r="AJ143" s="115">
        <f>DTR!AJ143+'Dai Loc'!AJ143+'Dong Lam'!AJ143+'Khanh Nga'!AJ143+TDP!AJ143+DTRVL!AJ143</f>
        <v>3254733184.6761322</v>
      </c>
      <c r="AK143" s="115">
        <f>DTR!AK143+'Dai Loc'!AK143+'Dong Lam'!AK143+'Khanh Nga'!AK143+TDP!AK143+DTRVL!AK143</f>
        <v>3261994460.9206567</v>
      </c>
      <c r="AL143" s="115">
        <f>DTR!AL143+'Dai Loc'!AL143+'Dong Lam'!AL143+'Khanh Nga'!AL143+TDP!AL143+DTRVL!AL143</f>
        <v>3102355062.0342407</v>
      </c>
      <c r="AM143" s="127">
        <f t="shared" si="4"/>
        <v>34565904323.400558</v>
      </c>
      <c r="AN143" s="127">
        <f t="shared" si="6"/>
        <v>14266626254</v>
      </c>
      <c r="AO143" s="127">
        <f t="shared" si="7"/>
        <v>20299278069.400558</v>
      </c>
      <c r="AP143" s="218">
        <f t="shared" si="5"/>
        <v>0.58726304046552247</v>
      </c>
    </row>
    <row r="144" spans="1:52" s="107" customFormat="1" ht="15" customHeight="1">
      <c r="A144" s="113" t="s">
        <v>229</v>
      </c>
      <c r="B144" s="114">
        <v>11</v>
      </c>
      <c r="C144" s="115">
        <f>DTR!C144+'Dai Loc'!C144+'Dong Lam'!C144+'Khanh Nga'!C144+TDP!C144+DTRVL!C144</f>
        <v>4849994610</v>
      </c>
      <c r="D144" s="115">
        <f>DTR!D144+'Dai Loc'!D144+'Dong Lam'!D144+'Khanh Nga'!D144+TDP!D144+DTRVL!D144</f>
        <v>1560472559</v>
      </c>
      <c r="E144" s="115">
        <f>DTR!E144+'Dai Loc'!E144+'Dong Lam'!E144+'Khanh Nga'!E144+TDP!E144+DTRVL!E144</f>
        <v>4219375143</v>
      </c>
      <c r="F144" s="115">
        <f>DTR!F144+'Dai Loc'!F144+'Dong Lam'!F144+'Khanh Nga'!F144+TDP!F144+DTRVL!F144</f>
        <v>4926459549</v>
      </c>
      <c r="G144" s="115">
        <f>DTR!G144+'Dai Loc'!G144+'Dong Lam'!G144+'Khanh Nga'!G144+TDP!G144+DTRVL!G144</f>
        <v>2125110954</v>
      </c>
      <c r="H144" s="115">
        <f>DTR!H144+'Dai Loc'!H144+'Dong Lam'!H144+'Khanh Nga'!H144+TDP!H144+DTRVL!H144</f>
        <v>2824966874</v>
      </c>
      <c r="I144" s="115">
        <f>DTR!I144+'Dai Loc'!I144+'Dong Lam'!I144+'Khanh Nga'!I144+TDP!I144+DTRVL!I144</f>
        <v>2596964337</v>
      </c>
      <c r="J144" s="115">
        <f>DTR!J144+'Dai Loc'!J144+'Dong Lam'!J144+'Khanh Nga'!J144+TDP!J144+DTRVL!J144</f>
        <v>8480107205</v>
      </c>
      <c r="K144" s="115">
        <f>DTR!K144+'Dai Loc'!K144+'Dong Lam'!K144+'Khanh Nga'!K144+TDP!K144+DTRVL!K144</f>
        <v>7368729523</v>
      </c>
      <c r="L144" s="115">
        <f>DTR!L144+'Dai Loc'!L144+'Dong Lam'!L144+'Khanh Nga'!L144+TDP!L144+DTRVL!L144</f>
        <v>4936551194</v>
      </c>
      <c r="M144" s="115">
        <f>DTR!M144+'Dai Loc'!M144+'Dong Lam'!M144+'Khanh Nga'!M144+TDP!M144+DTRVL!M144</f>
        <v>2249627546</v>
      </c>
      <c r="N144" s="115">
        <f>DTR!N144+'Dai Loc'!N144+'Dong Lam'!N144+'Khanh Nga'!N144+TDP!N144+DTRVL!N144</f>
        <v>10540748080</v>
      </c>
      <c r="O144" s="115">
        <f>DTR!O144+'Dai Loc'!O144+'Dong Lam'!O144+'Khanh Nga'!O144+TDP!O144+DTRVL!O144</f>
        <v>4181224849</v>
      </c>
      <c r="P144" s="115">
        <f>DTR!P144+'Dai Loc'!P144+'Dong Lam'!P144+'Khanh Nga'!P144+TDP!P144+DTRVL!P144</f>
        <v>6634982258</v>
      </c>
      <c r="Q144" s="115">
        <f>DTR!Q144+'Dai Loc'!Q144+'Dong Lam'!Q144+'Khanh Nga'!Q144+TDP!Q144+DTRVL!Q144</f>
        <v>5629444776</v>
      </c>
      <c r="R144" s="115">
        <f>DTR!R144+'Dai Loc'!R144+'Dong Lam'!R144+'Khanh Nga'!R144+TDP!R144+DTRVL!R144</f>
        <v>4622826734</v>
      </c>
      <c r="S144" s="115">
        <f>DTR!S144+'Dai Loc'!S144+'Dong Lam'!S144+'Khanh Nga'!S144+TDP!S144+DTRVL!S144</f>
        <v>5242336575</v>
      </c>
      <c r="T144" s="115">
        <f>DTR!T144+'Dai Loc'!T144+'Dong Lam'!T144+'Khanh Nga'!T144+TDP!T144+DTRVL!T144</f>
        <v>5451129528</v>
      </c>
      <c r="U144" s="115">
        <f>DTR!U144+'Dai Loc'!U144+'Dong Lam'!U144+'Khanh Nga'!U144+TDP!U144+DTRVL!U144</f>
        <v>4248972349</v>
      </c>
      <c r="V144" s="115">
        <f>DTR!V144+'Dai Loc'!V144+'Dong Lam'!V144+'Khanh Nga'!V144+TDP!V144+DTRVL!V144</f>
        <v>5750995751</v>
      </c>
      <c r="W144" s="115">
        <f>DTR!W144+'Dai Loc'!W144+'Dong Lam'!W144+'Khanh Nga'!W144+TDP!W144+DTRVL!W144</f>
        <v>3513998286</v>
      </c>
      <c r="X144" s="115">
        <f>DTR!X144+'Dai Loc'!X144+'Dong Lam'!X144+'Khanh Nga'!X144+TDP!X144+DTRVL!X144</f>
        <v>7273403934</v>
      </c>
      <c r="Y144" s="115">
        <f>DTR!Y144+'Dai Loc'!Y144+'Dong Lam'!Y144+'Khanh Nga'!Y144+TDP!Y144+DTRVL!Y144</f>
        <v>3829549635</v>
      </c>
      <c r="Z144" s="115">
        <f>DTR!Z144+'Dai Loc'!Z144+'Dong Lam'!Z144+'Khanh Nga'!Z144+TDP!Z144+DTRVL!Z144</f>
        <v>5263385605</v>
      </c>
      <c r="AA144" s="119">
        <f>DTR!AA144+'Dai Loc'!AA144+'Dong Lam'!AA144+'Khanh Nga'!AA144+TDP!AA144+DTRVL!AA144</f>
        <v>5784175968.9827738</v>
      </c>
      <c r="AB144" s="115">
        <f>DTR!AB144+'Dai Loc'!AB144+'Dong Lam'!AB144+'Khanh Nga'!AB144+TDP!AB144+DTRVL!AB144</f>
        <v>4543425733.8565702</v>
      </c>
      <c r="AC144" s="115">
        <f>DTR!AC144+'Dai Loc'!AC144+'Dong Lam'!AC144+'Khanh Nga'!AC144+TDP!AC144+DTRVL!AC144</f>
        <v>5327519947.7613325</v>
      </c>
      <c r="AD144" s="115">
        <f>DTR!AD144+'Dai Loc'!AD144+'Dong Lam'!AD144+'Khanh Nga'!AD144+TDP!AD144+DTRVL!AD144</f>
        <v>4755578140.938798</v>
      </c>
      <c r="AE144" s="115">
        <f>DTR!AE144+'Dai Loc'!AE144+'Dong Lam'!AE144+'Khanh Nga'!AE144+TDP!AE144+DTRVL!AE144</f>
        <v>6335307781.7256823</v>
      </c>
      <c r="AF144" s="115">
        <f>DTR!AF144+'Dai Loc'!AF144+'Dong Lam'!AF144+'Khanh Nga'!AF144+TDP!AF144+DTRVL!AF144</f>
        <v>5675236412.4745131</v>
      </c>
      <c r="AG144" s="115">
        <f>DTR!AG144+'Dai Loc'!AG144+'Dong Lam'!AG144+'Khanh Nga'!AG144+TDP!AG144+DTRVL!AG144</f>
        <v>5052170571.0964689</v>
      </c>
      <c r="AH144" s="115">
        <f>DTR!AH144+'Dai Loc'!AH144+'Dong Lam'!AH144+'Khanh Nga'!AH144+TDP!AH144+DTRVL!AH144</f>
        <v>4936337765.8505669</v>
      </c>
      <c r="AI144" s="115">
        <f>DTR!AI144+'Dai Loc'!AI144+'Dong Lam'!AI144+'Khanh Nga'!AI144+TDP!AI144+DTRVL!AI144</f>
        <v>6919304369.0964708</v>
      </c>
      <c r="AJ144" s="115">
        <f>DTR!AJ144+'Dai Loc'!AJ144+'Dong Lam'!AJ144+'Khanh Nga'!AJ144+TDP!AJ144+DTRVL!AJ144</f>
        <v>5101990953.5700579</v>
      </c>
      <c r="AK144" s="115">
        <f>DTR!AK144+'Dai Loc'!AK144+'Dong Lam'!AK144+'Khanh Nga'!AK144+TDP!AK144+DTRVL!AK144</f>
        <v>5416826877.9853573</v>
      </c>
      <c r="AL144" s="115">
        <f>DTR!AL144+'Dai Loc'!AL144+'Dong Lam'!AL144+'Khanh Nga'!AL144+TDP!AL144+DTRVL!AL144</f>
        <v>5525603708.9471073</v>
      </c>
      <c r="AM144" s="131">
        <f t="shared" si="4"/>
        <v>65373478232.285706</v>
      </c>
      <c r="AN144" s="131">
        <f t="shared" si="6"/>
        <v>61642250280</v>
      </c>
      <c r="AO144" s="131">
        <f t="shared" si="7"/>
        <v>3731227952.2857056</v>
      </c>
      <c r="AP144" s="218">
        <f t="shared" si="5"/>
        <v>5.7075561117122579E-2</v>
      </c>
    </row>
    <row r="145" spans="1:42" s="107" customFormat="1" ht="15" customHeight="1">
      <c r="A145" s="113" t="s">
        <v>230</v>
      </c>
      <c r="B145" s="114">
        <v>12</v>
      </c>
      <c r="C145" s="115">
        <f>DTR!C145+'Dai Loc'!C145+'Dong Lam'!C145+'Khanh Nga'!C145+TDP!C145+DTRVL!C145</f>
        <v>5698695249</v>
      </c>
      <c r="D145" s="115">
        <f>DTR!D145+'Dai Loc'!D145+'Dong Lam'!D145+'Khanh Nga'!D145+TDP!D145+DTRVL!D145</f>
        <v>5090845577</v>
      </c>
      <c r="E145" s="115">
        <f>DTR!E145+'Dai Loc'!E145+'Dong Lam'!E145+'Khanh Nga'!E145+TDP!E145+DTRVL!E145</f>
        <v>5285019459</v>
      </c>
      <c r="F145" s="115">
        <f>DTR!F145+'Dai Loc'!F145+'Dong Lam'!F145+'Khanh Nga'!F145+TDP!F145+DTRVL!F145</f>
        <v>5584474639</v>
      </c>
      <c r="G145" s="115">
        <f>DTR!G145+'Dai Loc'!G145+'Dong Lam'!G145+'Khanh Nga'!G145+TDP!G145+DTRVL!G145</f>
        <v>6069340865</v>
      </c>
      <c r="H145" s="115">
        <f>DTR!H145+'Dai Loc'!H145+'Dong Lam'!H145+'Khanh Nga'!H145+TDP!H145+DTRVL!H145</f>
        <v>5881960019</v>
      </c>
      <c r="I145" s="115">
        <f>DTR!I145+'Dai Loc'!I145+'Dong Lam'!I145+'Khanh Nga'!I145+TDP!I145+DTRVL!I145</f>
        <v>5698093117</v>
      </c>
      <c r="J145" s="115">
        <f>DTR!J145+'Dai Loc'!J145+'Dong Lam'!J145+'Khanh Nga'!J145+TDP!J145+DTRVL!J145</f>
        <v>6840474838</v>
      </c>
      <c r="K145" s="115">
        <f>DTR!K145+'Dai Loc'!K145+'Dong Lam'!K145+'Khanh Nga'!K145+TDP!K145+DTRVL!K145</f>
        <v>8084946891</v>
      </c>
      <c r="L145" s="115">
        <f>DTR!L145+'Dai Loc'!L145+'Dong Lam'!L145+'Khanh Nga'!L145+TDP!L145+DTRVL!L145</f>
        <v>8025871294</v>
      </c>
      <c r="M145" s="115">
        <f>DTR!M145+'Dai Loc'!M145+'Dong Lam'!M145+'Khanh Nga'!M145+TDP!M145+DTRVL!M145</f>
        <v>9126335400</v>
      </c>
      <c r="N145" s="115">
        <f>DTR!N145+'Dai Loc'!N145+'Dong Lam'!N145+'Khanh Nga'!N145+TDP!N145+DTRVL!N145</f>
        <v>7087963087</v>
      </c>
      <c r="O145" s="115">
        <f>DTR!O145+'Dai Loc'!O145+'Dong Lam'!O145+'Khanh Nga'!O145+TDP!O145+DTRVL!O145</f>
        <v>8548199037</v>
      </c>
      <c r="P145" s="115">
        <f>DTR!P145+'Dai Loc'!P145+'Dong Lam'!P145+'Khanh Nga'!P145+TDP!P145+DTRVL!P145</f>
        <v>8928537962</v>
      </c>
      <c r="Q145" s="115">
        <f>DTR!Q145+'Dai Loc'!Q145+'Dong Lam'!Q145+'Khanh Nga'!Q145+TDP!Q145+DTRVL!Q145</f>
        <v>8618282018</v>
      </c>
      <c r="R145" s="115">
        <f>DTR!R145+'Dai Loc'!R145+'Dong Lam'!R145+'Khanh Nga'!R145+TDP!R145+DTRVL!R145</f>
        <v>8518246563</v>
      </c>
      <c r="S145" s="115">
        <f>DTR!S145+'Dai Loc'!S145+'Dong Lam'!S145+'Khanh Nga'!S145+TDP!S145+DTRVL!S145</f>
        <v>9277438311</v>
      </c>
      <c r="T145" s="115">
        <f>DTR!T145+'Dai Loc'!T145+'Dong Lam'!T145+'Khanh Nga'!T145+TDP!T145+DTRVL!T145</f>
        <v>9026767632</v>
      </c>
      <c r="U145" s="115">
        <f>DTR!U145+'Dai Loc'!U145+'Dong Lam'!U145+'Khanh Nga'!U145+TDP!U145+DTRVL!U145</f>
        <v>8998978187</v>
      </c>
      <c r="V145" s="115">
        <f>DTR!V145+'Dai Loc'!V145+'Dong Lam'!V145+'Khanh Nga'!V145+TDP!V145+DTRVL!V145</f>
        <v>9320823983</v>
      </c>
      <c r="W145" s="115">
        <f>DTR!W145+'Dai Loc'!W145+'Dong Lam'!W145+'Khanh Nga'!W145+TDP!W145+DTRVL!W145</f>
        <v>10936858648</v>
      </c>
      <c r="X145" s="115">
        <f>DTR!X145+'Dai Loc'!X145+'Dong Lam'!X145+'Khanh Nga'!X145+TDP!X145+DTRVL!X145</f>
        <v>5273319876</v>
      </c>
      <c r="Y145" s="115">
        <f>DTR!Y145+'Dai Loc'!Y145+'Dong Lam'!Y145+'Khanh Nga'!Y145+TDP!Y145+DTRVL!Y145</f>
        <v>11469860627</v>
      </c>
      <c r="Z145" s="115">
        <f>DTR!Z145+'Dai Loc'!Z145+'Dong Lam'!Z145+'Khanh Nga'!Z145+TDP!Z145+DTRVL!Z145</f>
        <v>12679478668</v>
      </c>
      <c r="AA145" s="119">
        <f>DTR!AA145+'Dai Loc'!AA145+'Dong Lam'!AA145+'Khanh Nga'!AA145+TDP!AA145+DTRVL!AA145</f>
        <v>10459232108.664087</v>
      </c>
      <c r="AB145" s="115">
        <f>DTR!AB145+'Dai Loc'!AB145+'Dong Lam'!AB145+'Khanh Nga'!AB145+TDP!AB145+DTRVL!AB145</f>
        <v>8973005312.6781425</v>
      </c>
      <c r="AC145" s="115">
        <f>DTR!AC145+'Dai Loc'!AC145+'Dong Lam'!AC145+'Khanh Nga'!AC145+TDP!AC145+DTRVL!AC145</f>
        <v>8898059360.5499115</v>
      </c>
      <c r="AD145" s="115">
        <f>DTR!AD145+'Dai Loc'!AD145+'Dong Lam'!AD145+'Khanh Nga'!AD145+TDP!AD145+DTRVL!AD145</f>
        <v>9011687661.5691586</v>
      </c>
      <c r="AE145" s="115">
        <f>DTR!AE145+'Dai Loc'!AE145+'Dong Lam'!AE145+'Khanh Nga'!AE145+TDP!AE145+DTRVL!AE145</f>
        <v>9146478987.4667854</v>
      </c>
      <c r="AF145" s="115">
        <f>DTR!AF145+'Dai Loc'!AF145+'Dong Lam'!AF145+'Khanh Nga'!AF145+TDP!AF145+DTRVL!AF145</f>
        <v>9595363924.6966763</v>
      </c>
      <c r="AG145" s="115">
        <f>DTR!AG145+'Dai Loc'!AG145+'Dong Lam'!AG145+'Khanh Nga'!AG145+TDP!AG145+DTRVL!AG145</f>
        <v>10022639147.481375</v>
      </c>
      <c r="AH145" s="115">
        <f>DTR!AH145+'Dai Loc'!AH145+'Dong Lam'!AH145+'Khanh Nga'!AH145+TDP!AH145+DTRVL!AH145</f>
        <v>10529772671.456768</v>
      </c>
      <c r="AI145" s="115">
        <f>DTR!AI145+'Dai Loc'!AI145+'Dong Lam'!AI145+'Khanh Nga'!AI145+TDP!AI145+DTRVL!AI145</f>
        <v>9535865291.1497402</v>
      </c>
      <c r="AJ145" s="115">
        <f>DTR!AJ145+'Dai Loc'!AJ145+'Dong Lam'!AJ145+'Khanh Nga'!AJ145+TDP!AJ145+DTRVL!AJ145</f>
        <v>9108679136.8471928</v>
      </c>
      <c r="AK145" s="115">
        <f>DTR!AK145+'Dai Loc'!AK145+'Dong Lam'!AK145+'Khanh Nga'!AK145+TDP!AK145+DTRVL!AK145</f>
        <v>9238634630.2021885</v>
      </c>
      <c r="AL145" s="115">
        <f>DTR!AL145+'Dai Loc'!AL145+'Dong Lam'!AL145+'Khanh Nga'!AL145+TDP!AL145+DTRVL!AL145</f>
        <v>11454542815.86355</v>
      </c>
      <c r="AM145" s="131">
        <f t="shared" si="4"/>
        <v>115973961048.6256</v>
      </c>
      <c r="AN145" s="131">
        <f t="shared" si="6"/>
        <v>111596791512</v>
      </c>
      <c r="AO145" s="131">
        <f t="shared" si="7"/>
        <v>4377169536.6255951</v>
      </c>
      <c r="AP145" s="218">
        <f t="shared" si="5"/>
        <v>3.774269238583939E-2</v>
      </c>
    </row>
    <row r="146" spans="1:42" s="107" customFormat="1" ht="15" customHeight="1">
      <c r="A146" s="108" t="s">
        <v>231</v>
      </c>
      <c r="B146" s="109">
        <v>13</v>
      </c>
      <c r="C146" s="122">
        <f>DTR!C146+'Dai Loc'!C146+'Dong Lam'!C146+'Khanh Nga'!C146+TDP!C146+DTRVL!C146</f>
        <v>-665344647</v>
      </c>
      <c r="D146" s="122">
        <f>DTR!D146+'Dai Loc'!D146+'Dong Lam'!D146+'Khanh Nga'!D146+TDP!D146+DTRVL!D146</f>
        <v>-6751041323</v>
      </c>
      <c r="E146" s="122">
        <f>DTR!E146+'Dai Loc'!E146+'Dong Lam'!E146+'Khanh Nga'!E146+TDP!E146+DTRVL!E146</f>
        <v>-2703219668</v>
      </c>
      <c r="F146" s="122">
        <f>DTR!F146+'Dai Loc'!F146+'Dong Lam'!F146+'Khanh Nga'!F146+TDP!F146+DTRVL!F146</f>
        <v>1671294571</v>
      </c>
      <c r="G146" s="122">
        <f>DTR!G146+'Dai Loc'!G146+'Dong Lam'!G146+'Khanh Nga'!G146+TDP!G146+DTRVL!G146</f>
        <v>-5656191968</v>
      </c>
      <c r="H146" s="122">
        <f>DTR!H146+'Dai Loc'!H146+'Dong Lam'!H146+'Khanh Nga'!H146+TDP!H146+DTRVL!H146</f>
        <v>-12035614229</v>
      </c>
      <c r="I146" s="122">
        <f>DTR!I146+'Dai Loc'!I146+'Dong Lam'!I146+'Khanh Nga'!I146+TDP!I146+DTRVL!I146</f>
        <v>-15241057889</v>
      </c>
      <c r="J146" s="122">
        <f>DTR!J146+'Dai Loc'!J146+'Dong Lam'!J146+'Khanh Nga'!J146+TDP!J146+DTRVL!J146</f>
        <v>-10193223065</v>
      </c>
      <c r="K146" s="122">
        <f>DTR!K146+'Dai Loc'!K146+'Dong Lam'!K146+'Khanh Nga'!K146+TDP!K146+DTRVL!K146</f>
        <v>8119731097</v>
      </c>
      <c r="L146" s="122">
        <f>DTR!L146+'Dai Loc'!L146+'Dong Lam'!L146+'Khanh Nga'!L146+TDP!L146+DTRVL!L146</f>
        <v>-6174750278</v>
      </c>
      <c r="M146" s="122">
        <f>DTR!M146+'Dai Loc'!M146+'Dong Lam'!M146+'Khanh Nga'!M146+TDP!M146+DTRVL!M146</f>
        <v>-7317145513</v>
      </c>
      <c r="N146" s="122">
        <f>DTR!N146+'Dai Loc'!N146+'Dong Lam'!N146+'Khanh Nga'!N146+TDP!N146+DTRVL!N146</f>
        <v>111718028907</v>
      </c>
      <c r="O146" s="122">
        <f>DTR!O146+'Dai Loc'!O146+'Dong Lam'!O146+'Khanh Nga'!O146+TDP!O146+DTRVL!O146</f>
        <v>3054598020</v>
      </c>
      <c r="P146" s="122">
        <f>DTR!P146+'Dai Loc'!P146+'Dong Lam'!P146+'Khanh Nga'!P146+TDP!P146+DTRVL!P146</f>
        <v>17199268998</v>
      </c>
      <c r="Q146" s="122">
        <f>DTR!Q146+'Dai Loc'!Q146+'Dong Lam'!Q146+'Khanh Nga'!Q146+TDP!Q146+DTRVL!Q146</f>
        <v>6977214348</v>
      </c>
      <c r="R146" s="122">
        <f>DTR!R146+'Dai Loc'!R146+'Dong Lam'!R146+'Khanh Nga'!R146+TDP!R146+DTRVL!R146</f>
        <v>3906443232</v>
      </c>
      <c r="S146" s="122">
        <f>DTR!S146+'Dai Loc'!S146+'Dong Lam'!S146+'Khanh Nga'!S146+TDP!S146+DTRVL!S146</f>
        <v>10850283752</v>
      </c>
      <c r="T146" s="122">
        <f>DTR!T146+'Dai Loc'!T146+'Dong Lam'!T146+'Khanh Nga'!T146+TDP!T146+DTRVL!T146</f>
        <v>870990690</v>
      </c>
      <c r="U146" s="122">
        <f>DTR!U146+'Dai Loc'!U146+'Dong Lam'!U146+'Khanh Nga'!U146+TDP!U146+DTRVL!U146</f>
        <v>626449238</v>
      </c>
      <c r="V146" s="122">
        <f>DTR!V146+'Dai Loc'!V146+'Dong Lam'!V146+'Khanh Nga'!V146+TDP!V146+DTRVL!V146</f>
        <v>2789713644</v>
      </c>
      <c r="W146" s="122">
        <f>DTR!W146+'Dai Loc'!W146+'Dong Lam'!W146+'Khanh Nga'!W146+TDP!W146+DTRVL!W146</f>
        <v>-11991396156</v>
      </c>
      <c r="X146" s="122">
        <f>DTR!X146+'Dai Loc'!X146+'Dong Lam'!X146+'Khanh Nga'!X146+TDP!X146+DTRVL!X146</f>
        <v>-1907367248</v>
      </c>
      <c r="Y146" s="122">
        <f>DTR!Y146+'Dai Loc'!Y146+'Dong Lam'!Y146+'Khanh Nga'!Y146+TDP!Y146+DTRVL!Y146</f>
        <v>-7740922158</v>
      </c>
      <c r="Z146" s="122">
        <f>DTR!Z146+'Dai Loc'!Z146+'Dong Lam'!Z146+'Khanh Nga'!Z146+TDP!Z146+DTRVL!Z146</f>
        <v>17724936706</v>
      </c>
      <c r="AA146" s="123">
        <f>AA139+AA140+AA141-AA142-AA144-AA145</f>
        <v>601502786.20493126</v>
      </c>
      <c r="AB146" s="124">
        <f t="shared" ref="AB146:AL146" si="9">AB139+AB140+AB141-AB142-AB144-AB145</f>
        <v>-4314677890.2602262</v>
      </c>
      <c r="AC146" s="124">
        <f t="shared" si="9"/>
        <v>4436564006.304203</v>
      </c>
      <c r="AD146" s="124">
        <f t="shared" si="9"/>
        <v>2796510279.3515911</v>
      </c>
      <c r="AE146" s="124">
        <f t="shared" si="9"/>
        <v>2981179891.7924576</v>
      </c>
      <c r="AF146" s="124">
        <f t="shared" si="9"/>
        <v>2005021479.4357777</v>
      </c>
      <c r="AG146" s="124">
        <f t="shared" si="9"/>
        <v>7816844330.4937115</v>
      </c>
      <c r="AH146" s="124">
        <f t="shared" si="9"/>
        <v>6617593476.967308</v>
      </c>
      <c r="AI146" s="124">
        <f t="shared" si="9"/>
        <v>6069842860.8660336</v>
      </c>
      <c r="AJ146" s="124">
        <f t="shared" si="9"/>
        <v>7063528681.9640789</v>
      </c>
      <c r="AK146" s="124">
        <f t="shared" si="9"/>
        <v>7433416300.2930069</v>
      </c>
      <c r="AL146" s="124">
        <f t="shared" si="9"/>
        <v>5300282191.2253189</v>
      </c>
      <c r="AM146" s="125">
        <f t="shared" si="4"/>
        <v>48807608394.638191</v>
      </c>
      <c r="AN146" s="125">
        <f t="shared" si="6"/>
        <v>42360213066</v>
      </c>
      <c r="AO146" s="125">
        <f t="shared" si="7"/>
        <v>6447395328.6381912</v>
      </c>
      <c r="AP146" s="219">
        <f t="shared" si="5"/>
        <v>0.13209816134622315</v>
      </c>
    </row>
    <row r="147" spans="1:42" s="107" customFormat="1" ht="15" customHeight="1">
      <c r="A147" s="113" t="s">
        <v>232</v>
      </c>
      <c r="B147" s="114">
        <v>14</v>
      </c>
      <c r="C147" s="115">
        <f>DTR!C147+'Dai Loc'!C147+'Dong Lam'!C147+'Khanh Nga'!C147+TDP!C147+DTRVL!C147</f>
        <v>1945</v>
      </c>
      <c r="D147" s="115">
        <f>DTR!D147+'Dai Loc'!D147+'Dong Lam'!D147+'Khanh Nga'!D147+TDP!D147+DTRVL!D147</f>
        <v>1109349</v>
      </c>
      <c r="E147" s="115">
        <f>DTR!E147+'Dai Loc'!E147+'Dong Lam'!E147+'Khanh Nga'!E147+TDP!E147+DTRVL!E147</f>
        <v>0</v>
      </c>
      <c r="F147" s="115">
        <f>DTR!F147+'Dai Loc'!F147+'Dong Lam'!F147+'Khanh Nga'!F147+TDP!F147+DTRVL!F147</f>
        <v>81700000</v>
      </c>
      <c r="G147" s="115">
        <f>DTR!G147+'Dai Loc'!G147+'Dong Lam'!G147+'Khanh Nga'!G147+TDP!G147+DTRVL!G147</f>
        <v>4696127</v>
      </c>
      <c r="H147" s="115">
        <f>DTR!H147+'Dai Loc'!H147+'Dong Lam'!H147+'Khanh Nga'!H147+TDP!H147+DTRVL!H147</f>
        <v>64937878</v>
      </c>
      <c r="I147" s="115">
        <f>DTR!I147+'Dai Loc'!I147+'Dong Lam'!I147+'Khanh Nga'!I147+TDP!I147+DTRVL!I147</f>
        <v>54384750</v>
      </c>
      <c r="J147" s="115">
        <f>DTR!J147+'Dai Loc'!J147+'Dong Lam'!J147+'Khanh Nga'!J147+TDP!J147+DTRVL!J147</f>
        <v>184242778</v>
      </c>
      <c r="K147" s="115">
        <f>DTR!K147+'Dai Loc'!K147+'Dong Lam'!K147+'Khanh Nga'!K147+TDP!K147+DTRVL!K147</f>
        <v>5869054</v>
      </c>
      <c r="L147" s="115">
        <f>DTR!L147+'Dai Loc'!L147+'Dong Lam'!L147+'Khanh Nga'!L147+TDP!L147+DTRVL!L147</f>
        <v>3145774</v>
      </c>
      <c r="M147" s="115">
        <f>DTR!M147+'Dai Loc'!M147+'Dong Lam'!M147+'Khanh Nga'!M147+TDP!M147+DTRVL!M147</f>
        <v>1405742798</v>
      </c>
      <c r="N147" s="115">
        <f>DTR!N147+'Dai Loc'!N147+'Dong Lam'!N147+'Khanh Nga'!N147+TDP!N147+DTRVL!N147</f>
        <v>7237102</v>
      </c>
      <c r="O147" s="115">
        <f>DTR!O147+'Dai Loc'!O147+'Dong Lam'!O147+'Khanh Nga'!O147+TDP!O147+DTRVL!O147</f>
        <v>105489733</v>
      </c>
      <c r="P147" s="115">
        <f>DTR!P147+'Dai Loc'!P147+'Dong Lam'!P147+'Khanh Nga'!P147+TDP!P147+DTRVL!P147</f>
        <v>7492780</v>
      </c>
      <c r="Q147" s="115">
        <f>DTR!Q147+'Dai Loc'!Q147+'Dong Lam'!Q147+'Khanh Nga'!Q147+TDP!Q147+DTRVL!Q147</f>
        <v>22177722</v>
      </c>
      <c r="R147" s="115">
        <f>DTR!R147+'Dai Loc'!R147+'Dong Lam'!R147+'Khanh Nga'!R147+TDP!R147+DTRVL!R147</f>
        <v>54899780</v>
      </c>
      <c r="S147" s="115">
        <f>DTR!S147+'Dai Loc'!S147+'Dong Lam'!S147+'Khanh Nga'!S147+TDP!S147+DTRVL!S147</f>
        <v>136977736</v>
      </c>
      <c r="T147" s="115">
        <f>DTR!T147+'Dai Loc'!T147+'Dong Lam'!T147+'Khanh Nga'!T147+TDP!T147+DTRVL!T147</f>
        <v>60909877</v>
      </c>
      <c r="U147" s="115">
        <f>DTR!U147+'Dai Loc'!U147+'Dong Lam'!U147+'Khanh Nga'!U147+TDP!U147+DTRVL!U147</f>
        <v>45395718</v>
      </c>
      <c r="V147" s="115">
        <f>DTR!V147+'Dai Loc'!V147+'Dong Lam'!V147+'Khanh Nga'!V147+TDP!V147+DTRVL!V147</f>
        <v>516819765</v>
      </c>
      <c r="W147" s="115">
        <f>DTR!W147+'Dai Loc'!W147+'Dong Lam'!W147+'Khanh Nga'!W147+TDP!W147+DTRVL!W147</f>
        <v>15045562</v>
      </c>
      <c r="X147" s="115">
        <f>DTR!X147+'Dai Loc'!X147+'Dong Lam'!X147+'Khanh Nga'!X147+TDP!X147+DTRVL!X147</f>
        <v>25464983</v>
      </c>
      <c r="Y147" s="115">
        <f>DTR!Y147+'Dai Loc'!Y147+'Dong Lam'!Y147+'Khanh Nga'!Y147+TDP!Y147+DTRVL!Y147</f>
        <v>8392356</v>
      </c>
      <c r="Z147" s="115">
        <f>DTR!Z147+'Dai Loc'!Z147+'Dong Lam'!Z147+'Khanh Nga'!Z147+TDP!Z147+DTRVL!Z147</f>
        <v>173856112</v>
      </c>
      <c r="AA147" s="119">
        <f>DTR!AA147+'Dai Loc'!AA147+'Dong Lam'!AA147+'Khanh Nga'!AA147+TDP!AA147+DTRVL!AA147</f>
        <v>0</v>
      </c>
      <c r="AB147" s="115">
        <f>DTR!AB147+'Dai Loc'!AB147+'Dong Lam'!AB147+'Khanh Nga'!AB147+TDP!AB147+DTRVL!AB147</f>
        <v>0</v>
      </c>
      <c r="AC147" s="115">
        <f>DTR!AC147+'Dai Loc'!AC147+'Dong Lam'!AC147+'Khanh Nga'!AC147+TDP!AC147+DTRVL!AC147</f>
        <v>0</v>
      </c>
      <c r="AD147" s="115">
        <f>DTR!AD147+'Dai Loc'!AD147+'Dong Lam'!AD147+'Khanh Nga'!AD147+TDP!AD147+DTRVL!AD147</f>
        <v>0</v>
      </c>
      <c r="AE147" s="115">
        <f>DTR!AE147+'Dai Loc'!AE147+'Dong Lam'!AE147+'Khanh Nga'!AE147+TDP!AE147+DTRVL!AE147</f>
        <v>0</v>
      </c>
      <c r="AF147" s="115">
        <f>DTR!AF147+'Dai Loc'!AF147+'Dong Lam'!AF147+'Khanh Nga'!AF147+TDP!AF147+DTRVL!AF147</f>
        <v>0</v>
      </c>
      <c r="AG147" s="115">
        <f>DTR!AG147+'Dai Loc'!AG147+'Dong Lam'!AG147+'Khanh Nga'!AG147+TDP!AG147+DTRVL!AG147</f>
        <v>0</v>
      </c>
      <c r="AH147" s="115">
        <f>DTR!AH147+'Dai Loc'!AH147+'Dong Lam'!AH147+'Khanh Nga'!AH147+TDP!AH147+DTRVL!AH147</f>
        <v>0</v>
      </c>
      <c r="AI147" s="115">
        <f>DTR!AI147+'Dai Loc'!AI147+'Dong Lam'!AI147+'Khanh Nga'!AI147+TDP!AI147+DTRVL!AI147</f>
        <v>0</v>
      </c>
      <c r="AJ147" s="115">
        <f>DTR!AJ147+'Dai Loc'!AJ147+'Dong Lam'!AJ147+'Khanh Nga'!AJ147+TDP!AJ147+DTRVL!AJ147</f>
        <v>0</v>
      </c>
      <c r="AK147" s="115">
        <f>DTR!AK147+'Dai Loc'!AK147+'Dong Lam'!AK147+'Khanh Nga'!AK147+TDP!AK147+DTRVL!AK147</f>
        <v>0</v>
      </c>
      <c r="AL147" s="115">
        <f>DTR!AL147+'Dai Loc'!AL147+'Dong Lam'!AL147+'Khanh Nga'!AL147+TDP!AL147+DTRVL!AL147</f>
        <v>0</v>
      </c>
      <c r="AM147" s="127">
        <f t="shared" si="4"/>
        <v>0</v>
      </c>
      <c r="AN147" s="127">
        <f t="shared" si="6"/>
        <v>1172922124</v>
      </c>
      <c r="AO147" s="127">
        <f t="shared" si="7"/>
        <v>-1172922124</v>
      </c>
      <c r="AP147" s="218" t="e">
        <f t="shared" si="5"/>
        <v>#DIV/0!</v>
      </c>
    </row>
    <row r="148" spans="1:42" s="107" customFormat="1" ht="15" customHeight="1">
      <c r="A148" s="113" t="s">
        <v>233</v>
      </c>
      <c r="B148" s="114">
        <v>15</v>
      </c>
      <c r="C148" s="115">
        <f>DTR!C148+'Dai Loc'!C148+'Dong Lam'!C148+'Khanh Nga'!C148+TDP!C148+DTRVL!C148</f>
        <v>54643068</v>
      </c>
      <c r="D148" s="115">
        <f>DTR!D148+'Dai Loc'!D148+'Dong Lam'!D148+'Khanh Nga'!D148+TDP!D148+DTRVL!D148</f>
        <v>9000870</v>
      </c>
      <c r="E148" s="115">
        <f>DTR!E148+'Dai Loc'!E148+'Dong Lam'!E148+'Khanh Nga'!E148+TDP!E148+DTRVL!E148</f>
        <v>40101620</v>
      </c>
      <c r="F148" s="115">
        <f>DTR!F148+'Dai Loc'!F148+'Dong Lam'!F148+'Khanh Nga'!F148+TDP!F148+DTRVL!F148</f>
        <v>84654154</v>
      </c>
      <c r="G148" s="115">
        <f>DTR!G148+'Dai Loc'!G148+'Dong Lam'!G148+'Khanh Nga'!G148+TDP!G148+DTRVL!G148</f>
        <v>40312330</v>
      </c>
      <c r="H148" s="115">
        <f>DTR!H148+'Dai Loc'!H148+'Dong Lam'!H148+'Khanh Nga'!H148+TDP!H148+DTRVL!H148</f>
        <v>171972294</v>
      </c>
      <c r="I148" s="115">
        <f>DTR!I148+'Dai Loc'!I148+'Dong Lam'!I148+'Khanh Nga'!I148+TDP!I148+DTRVL!I148</f>
        <v>7603195</v>
      </c>
      <c r="J148" s="115">
        <f>DTR!J148+'Dai Loc'!J148+'Dong Lam'!J148+'Khanh Nga'!J148+TDP!J148+DTRVL!J148</f>
        <v>4413241</v>
      </c>
      <c r="K148" s="115">
        <f>DTR!K148+'Dai Loc'!K148+'Dong Lam'!K148+'Khanh Nga'!K148+TDP!K148+DTRVL!K148</f>
        <v>7331553</v>
      </c>
      <c r="L148" s="115">
        <f>DTR!L148+'Dai Loc'!L148+'Dong Lam'!L148+'Khanh Nga'!L148+TDP!L148+DTRVL!L148</f>
        <v>177107310</v>
      </c>
      <c r="M148" s="115">
        <f>DTR!M148+'Dai Loc'!M148+'Dong Lam'!M148+'Khanh Nga'!M148+TDP!M148+DTRVL!M148</f>
        <v>140746957</v>
      </c>
      <c r="N148" s="115">
        <f>DTR!N148+'Dai Loc'!N148+'Dong Lam'!N148+'Khanh Nga'!N148+TDP!N148+DTRVL!N148</f>
        <v>8816704270</v>
      </c>
      <c r="O148" s="115">
        <f>DTR!O148+'Dai Loc'!O148+'Dong Lam'!O148+'Khanh Nga'!O148+TDP!O148+DTRVL!O148</f>
        <v>60241342</v>
      </c>
      <c r="P148" s="115">
        <f>DTR!P148+'Dai Loc'!P148+'Dong Lam'!P148+'Khanh Nga'!P148+TDP!P148+DTRVL!P148</f>
        <v>133833312</v>
      </c>
      <c r="Q148" s="115">
        <f>DTR!Q148+'Dai Loc'!Q148+'Dong Lam'!Q148+'Khanh Nga'!Q148+TDP!Q148+DTRVL!Q148</f>
        <v>2500000</v>
      </c>
      <c r="R148" s="115">
        <f>DTR!R148+'Dai Loc'!R148+'Dong Lam'!R148+'Khanh Nga'!R148+TDP!R148+DTRVL!R148</f>
        <v>24808640</v>
      </c>
      <c r="S148" s="115">
        <f>DTR!S148+'Dai Loc'!S148+'Dong Lam'!S148+'Khanh Nga'!S148+TDP!S148+DTRVL!S148</f>
        <v>6500600</v>
      </c>
      <c r="T148" s="115">
        <f>DTR!T148+'Dai Loc'!T148+'Dong Lam'!T148+'Khanh Nga'!T148+TDP!T148+DTRVL!T148</f>
        <v>57323484</v>
      </c>
      <c r="U148" s="115">
        <f>DTR!U148+'Dai Loc'!U148+'Dong Lam'!U148+'Khanh Nga'!U148+TDP!U148+DTRVL!U148</f>
        <v>259624976</v>
      </c>
      <c r="V148" s="115">
        <f>DTR!V148+'Dai Loc'!V148+'Dong Lam'!V148+'Khanh Nga'!V148+TDP!V148+DTRVL!V148</f>
        <v>553180625</v>
      </c>
      <c r="W148" s="115">
        <f>DTR!W148+'Dai Loc'!W148+'Dong Lam'!W148+'Khanh Nga'!W148+TDP!W148+DTRVL!W148</f>
        <v>543708002</v>
      </c>
      <c r="X148" s="115">
        <f>DTR!X148+'Dai Loc'!X148+'Dong Lam'!X148+'Khanh Nga'!X148+TDP!X148+DTRVL!X148</f>
        <v>3516569246</v>
      </c>
      <c r="Y148" s="115">
        <f>DTR!Y148+'Dai Loc'!Y148+'Dong Lam'!Y148+'Khanh Nga'!Y148+TDP!Y148+DTRVL!Y148</f>
        <v>1108557251</v>
      </c>
      <c r="Z148" s="115">
        <f>DTR!Z148+'Dai Loc'!Z148+'Dong Lam'!Z148+'Khanh Nga'!Z148+TDP!Z148+DTRVL!Z148</f>
        <v>1609092429</v>
      </c>
      <c r="AA148" s="119">
        <f>DTR!AA148+'Dai Loc'!AA148+'Dong Lam'!AA148+'Khanh Nga'!AA148+TDP!AA148+DTRVL!AA148</f>
        <v>433624999.99999994</v>
      </c>
      <c r="AB148" s="115">
        <f>DTR!AB148+'Dai Loc'!AB148+'Dong Lam'!AB148+'Khanh Nga'!AB148+TDP!AB148+DTRVL!AB148</f>
        <v>433624999.99999994</v>
      </c>
      <c r="AC148" s="115">
        <f>DTR!AC148+'Dai Loc'!AC148+'Dong Lam'!AC148+'Khanh Nga'!AC148+TDP!AC148+DTRVL!AC148</f>
        <v>433624999.99999994</v>
      </c>
      <c r="AD148" s="115">
        <f>DTR!AD148+'Dai Loc'!AD148+'Dong Lam'!AD148+'Khanh Nga'!AD148+TDP!AD148+DTRVL!AD148</f>
        <v>433624999.99999994</v>
      </c>
      <c r="AE148" s="115">
        <f>DTR!AE148+'Dai Loc'!AE148+'Dong Lam'!AE148+'Khanh Nga'!AE148+TDP!AE148+DTRVL!AE148</f>
        <v>433624999.99999994</v>
      </c>
      <c r="AF148" s="115">
        <f>DTR!AF148+'Dai Loc'!AF148+'Dong Lam'!AF148+'Khanh Nga'!AF148+TDP!AF148+DTRVL!AF148</f>
        <v>433624999.99999994</v>
      </c>
      <c r="AG148" s="115">
        <f>DTR!AG148+'Dai Loc'!AG148+'Dong Lam'!AG148+'Khanh Nga'!AG148+TDP!AG148+DTRVL!AG148</f>
        <v>433624999.99999994</v>
      </c>
      <c r="AH148" s="115">
        <f>DTR!AH148+'Dai Loc'!AH148+'Dong Lam'!AH148+'Khanh Nga'!AH148+TDP!AH148+DTRVL!AH148</f>
        <v>433624999.99999994</v>
      </c>
      <c r="AI148" s="115">
        <f>DTR!AI148+'Dai Loc'!AI148+'Dong Lam'!AI148+'Khanh Nga'!AI148+TDP!AI148+DTRVL!AI148</f>
        <v>433624999.99999994</v>
      </c>
      <c r="AJ148" s="115">
        <f>DTR!AJ148+'Dai Loc'!AJ148+'Dong Lam'!AJ148+'Khanh Nga'!AJ148+TDP!AJ148+DTRVL!AJ148</f>
        <v>433624999.99999994</v>
      </c>
      <c r="AK148" s="115">
        <f>DTR!AK148+'Dai Loc'!AK148+'Dong Lam'!AK148+'Khanh Nga'!AK148+TDP!AK148+DTRVL!AK148</f>
        <v>433624999.99999994</v>
      </c>
      <c r="AL148" s="115">
        <f>DTR!AL148+'Dai Loc'!AL148+'Dong Lam'!AL148+'Khanh Nga'!AL148+TDP!AL148+DTRVL!AL148</f>
        <v>433624999.99999994</v>
      </c>
      <c r="AM148" s="127">
        <f t="shared" si="4"/>
        <v>5203499999.999999</v>
      </c>
      <c r="AN148" s="127">
        <f t="shared" si="6"/>
        <v>7875939907</v>
      </c>
      <c r="AO148" s="127">
        <f t="shared" si="7"/>
        <v>-2672439907.000001</v>
      </c>
      <c r="AP148" s="218"/>
    </row>
    <row r="149" spans="1:42" s="107" customFormat="1" ht="15" customHeight="1">
      <c r="A149" s="108" t="s">
        <v>234</v>
      </c>
      <c r="B149" s="109">
        <v>16</v>
      </c>
      <c r="C149" s="122">
        <f>DTR!C149+'Dai Loc'!C149+'Dong Lam'!C149+'Khanh Nga'!C149+TDP!C149+DTRVL!C149</f>
        <v>-54641123</v>
      </c>
      <c r="D149" s="122">
        <f>DTR!D149+'Dai Loc'!D149+'Dong Lam'!D149+'Khanh Nga'!D149+TDP!D149+DTRVL!D149</f>
        <v>-7891521</v>
      </c>
      <c r="E149" s="122">
        <f>DTR!E149+'Dai Loc'!E149+'Dong Lam'!E149+'Khanh Nga'!E149+TDP!E149+DTRVL!E149</f>
        <v>-40101620</v>
      </c>
      <c r="F149" s="122">
        <f>DTR!F149+'Dai Loc'!F149+'Dong Lam'!F149+'Khanh Nga'!F149+TDP!F149+DTRVL!F149</f>
        <v>-2954154</v>
      </c>
      <c r="G149" s="122">
        <f>DTR!G149+'Dai Loc'!G149+'Dong Lam'!G149+'Khanh Nga'!G149+TDP!G149+DTRVL!G149</f>
        <v>-35616203</v>
      </c>
      <c r="H149" s="122">
        <f>DTR!H149+'Dai Loc'!H149+'Dong Lam'!H149+'Khanh Nga'!H149+TDP!H149+DTRVL!H149</f>
        <v>-107034416</v>
      </c>
      <c r="I149" s="122">
        <f>DTR!I149+'Dai Loc'!I149+'Dong Lam'!I149+'Khanh Nga'!I149+TDP!I149+DTRVL!I149</f>
        <v>46781555</v>
      </c>
      <c r="J149" s="122">
        <f>DTR!J149+'Dai Loc'!J149+'Dong Lam'!J149+'Khanh Nga'!J149+TDP!J149+DTRVL!J149</f>
        <v>179829537</v>
      </c>
      <c r="K149" s="122">
        <f>DTR!K149+'Dai Loc'!K149+'Dong Lam'!K149+'Khanh Nga'!K149+TDP!K149+DTRVL!K149</f>
        <v>-1462499</v>
      </c>
      <c r="L149" s="122">
        <f>DTR!L149+'Dai Loc'!L149+'Dong Lam'!L149+'Khanh Nga'!L149+TDP!L149+DTRVL!L149</f>
        <v>-173961536</v>
      </c>
      <c r="M149" s="122">
        <f>DTR!M149+'Dai Loc'!M149+'Dong Lam'!M149+'Khanh Nga'!M149+TDP!M149+DTRVL!M149</f>
        <v>1264995841</v>
      </c>
      <c r="N149" s="122">
        <f>DTR!N149+'Dai Loc'!N149+'Dong Lam'!N149+'Khanh Nga'!N149+TDP!N149+DTRVL!N149</f>
        <v>-8809467168</v>
      </c>
      <c r="O149" s="122">
        <f>DTR!O149+'Dai Loc'!O149+'Dong Lam'!O149+'Khanh Nga'!O149+TDP!O149+DTRVL!O149</f>
        <v>45248391</v>
      </c>
      <c r="P149" s="122">
        <f>DTR!P149+'Dai Loc'!P149+'Dong Lam'!P149+'Khanh Nga'!P149+TDP!P149+DTRVL!P149</f>
        <v>-126340532</v>
      </c>
      <c r="Q149" s="122">
        <f>DTR!Q149+'Dai Loc'!Q149+'Dong Lam'!Q149+'Khanh Nga'!Q149+TDP!Q149+DTRVL!Q149</f>
        <v>19677722</v>
      </c>
      <c r="R149" s="122">
        <f>DTR!R149+'Dai Loc'!R149+'Dong Lam'!R149+'Khanh Nga'!R149+TDP!R149+DTRVL!R149</f>
        <v>30091140</v>
      </c>
      <c r="S149" s="122">
        <f>DTR!S149+'Dai Loc'!S149+'Dong Lam'!S149+'Khanh Nga'!S149+TDP!S149+DTRVL!S149</f>
        <v>130477136</v>
      </c>
      <c r="T149" s="122">
        <f>DTR!T149+'Dai Loc'!T149+'Dong Lam'!T149+'Khanh Nga'!T149+TDP!T149+DTRVL!T149</f>
        <v>3586393</v>
      </c>
      <c r="U149" s="122">
        <f>DTR!U149+'Dai Loc'!U149+'Dong Lam'!U149+'Khanh Nga'!U149+TDP!U149+DTRVL!U149</f>
        <v>-214229258</v>
      </c>
      <c r="V149" s="122">
        <f>DTR!V149+'Dai Loc'!V149+'Dong Lam'!V149+'Khanh Nga'!V149+TDP!V149+DTRVL!V149</f>
        <v>-36360860</v>
      </c>
      <c r="W149" s="122">
        <f>DTR!W149+'Dai Loc'!W149+'Dong Lam'!W149+'Khanh Nga'!W149+TDP!W149+DTRVL!W149</f>
        <v>-528662440</v>
      </c>
      <c r="X149" s="122">
        <f>DTR!X149+'Dai Loc'!X149+'Dong Lam'!X149+'Khanh Nga'!X149+TDP!X149+DTRVL!X149</f>
        <v>-3491104263</v>
      </c>
      <c r="Y149" s="122">
        <f>DTR!Y149+'Dai Loc'!Y149+'Dong Lam'!Y149+'Khanh Nga'!Y149+TDP!Y149+DTRVL!Y149</f>
        <v>-1100164895</v>
      </c>
      <c r="Z149" s="122">
        <f>DTR!Z149+'Dai Loc'!Z149+'Dong Lam'!Z149+'Khanh Nga'!Z149+TDP!Z149+DTRVL!Z149</f>
        <v>-1435236317</v>
      </c>
      <c r="AA149" s="123">
        <f>AA147-AA148</f>
        <v>-433624999.99999994</v>
      </c>
      <c r="AB149" s="124">
        <f t="shared" ref="AB149:AL149" si="10">AB147-AB148</f>
        <v>-433624999.99999994</v>
      </c>
      <c r="AC149" s="124">
        <f t="shared" si="10"/>
        <v>-433624999.99999994</v>
      </c>
      <c r="AD149" s="124">
        <f t="shared" si="10"/>
        <v>-433624999.99999994</v>
      </c>
      <c r="AE149" s="124">
        <f t="shared" si="10"/>
        <v>-433624999.99999994</v>
      </c>
      <c r="AF149" s="124">
        <f t="shared" si="10"/>
        <v>-433624999.99999994</v>
      </c>
      <c r="AG149" s="124">
        <f t="shared" si="10"/>
        <v>-433624999.99999994</v>
      </c>
      <c r="AH149" s="124">
        <f t="shared" si="10"/>
        <v>-433624999.99999994</v>
      </c>
      <c r="AI149" s="124">
        <f t="shared" si="10"/>
        <v>-433624999.99999994</v>
      </c>
      <c r="AJ149" s="124">
        <f t="shared" si="10"/>
        <v>-433624999.99999994</v>
      </c>
      <c r="AK149" s="124">
        <f t="shared" si="10"/>
        <v>-433624999.99999994</v>
      </c>
      <c r="AL149" s="124">
        <f t="shared" si="10"/>
        <v>-433624999.99999994</v>
      </c>
      <c r="AM149" s="125">
        <f t="shared" si="4"/>
        <v>-5203499999.999999</v>
      </c>
      <c r="AN149" s="125">
        <f t="shared" si="6"/>
        <v>-6703017783</v>
      </c>
      <c r="AO149" s="125">
        <f t="shared" si="7"/>
        <v>1499517783.000001</v>
      </c>
      <c r="AP149" s="219">
        <f t="shared" si="5"/>
        <v>-0.28817484058806597</v>
      </c>
    </row>
    <row r="150" spans="1:42" s="107" customFormat="1" ht="15" customHeight="1">
      <c r="A150" s="108" t="s">
        <v>235</v>
      </c>
      <c r="B150" s="116">
        <v>17</v>
      </c>
      <c r="C150" s="122">
        <f>DTR!C150+'Dai Loc'!C150+'Dong Lam'!C150+'Khanh Nga'!C150+TDP!C150+DTRVL!C150</f>
        <v>-719985770</v>
      </c>
      <c r="D150" s="122">
        <f>DTR!D150+'Dai Loc'!D150+'Dong Lam'!D150+'Khanh Nga'!D150+TDP!D150+DTRVL!D150</f>
        <v>-6758932844</v>
      </c>
      <c r="E150" s="122">
        <f>DTR!E150+'Dai Loc'!E150+'Dong Lam'!E150+'Khanh Nga'!E150+TDP!E150+DTRVL!E150</f>
        <v>-2743321288</v>
      </c>
      <c r="F150" s="122">
        <f>DTR!F150+'Dai Loc'!F150+'Dong Lam'!F150+'Khanh Nga'!F150+TDP!F150+DTRVL!F150</f>
        <v>1668340417</v>
      </c>
      <c r="G150" s="122">
        <f>DTR!G150+'Dai Loc'!G150+'Dong Lam'!G150+'Khanh Nga'!G150+TDP!G150+DTRVL!G150</f>
        <v>-5691808171</v>
      </c>
      <c r="H150" s="122">
        <f>DTR!H150+'Dai Loc'!H150+'Dong Lam'!H150+'Khanh Nga'!H150+TDP!H150+DTRVL!H150</f>
        <v>-12142648645</v>
      </c>
      <c r="I150" s="122">
        <f>DTR!I150+'Dai Loc'!I150+'Dong Lam'!I150+'Khanh Nga'!I150+TDP!I150+DTRVL!I150</f>
        <v>-15194276334</v>
      </c>
      <c r="J150" s="122">
        <f>DTR!J150+'Dai Loc'!J150+'Dong Lam'!J150+'Khanh Nga'!J150+TDP!J150+DTRVL!J150</f>
        <v>-10014018528</v>
      </c>
      <c r="K150" s="122">
        <f>DTR!K150+'Dai Loc'!K150+'Dong Lam'!K150+'Khanh Nga'!K150+TDP!K150+DTRVL!K150</f>
        <v>8118268598</v>
      </c>
      <c r="L150" s="122">
        <f>DTR!L150+'Dai Loc'!L150+'Dong Lam'!L150+'Khanh Nga'!L150+TDP!L150+DTRVL!L150</f>
        <v>-6348711814</v>
      </c>
      <c r="M150" s="122">
        <f>DTR!M150+'Dai Loc'!M150+'Dong Lam'!M150+'Khanh Nga'!M150+TDP!M150+DTRVL!M150</f>
        <v>-6052149672</v>
      </c>
      <c r="N150" s="122">
        <f>DTR!N150+'Dai Loc'!N150+'Dong Lam'!N150+'Khanh Nga'!N150+TDP!N150+DTRVL!N150</f>
        <v>102908561739</v>
      </c>
      <c r="O150" s="122">
        <f>DTR!O150+'Dai Loc'!O150+'Dong Lam'!O150+'Khanh Nga'!O150+TDP!O150+DTRVL!O150</f>
        <v>3099846411</v>
      </c>
      <c r="P150" s="122">
        <f>DTR!P150+'Dai Loc'!P150+'Dong Lam'!P150+'Khanh Nga'!P150+TDP!P150+DTRVL!P150</f>
        <v>17072928466</v>
      </c>
      <c r="Q150" s="122">
        <f>DTR!Q150+'Dai Loc'!Q150+'Dong Lam'!Q150+'Khanh Nga'!Q150+TDP!Q150+DTRVL!Q150</f>
        <v>6996892070</v>
      </c>
      <c r="R150" s="122">
        <f>DTR!R150+'Dai Loc'!R150+'Dong Lam'!R150+'Khanh Nga'!R150+TDP!R150+DTRVL!R150</f>
        <v>3936534372</v>
      </c>
      <c r="S150" s="122">
        <f>DTR!S150+'Dai Loc'!S150+'Dong Lam'!S150+'Khanh Nga'!S150+TDP!S150+DTRVL!S150</f>
        <v>10980760888</v>
      </c>
      <c r="T150" s="122">
        <f>DTR!T150+'Dai Loc'!T150+'Dong Lam'!T150+'Khanh Nga'!T150+TDP!T150+DTRVL!T150</f>
        <v>874577083</v>
      </c>
      <c r="U150" s="122">
        <f>DTR!U150+'Dai Loc'!U150+'Dong Lam'!U150+'Khanh Nga'!U150+TDP!U150+DTRVL!U150</f>
        <v>412219980</v>
      </c>
      <c r="V150" s="122">
        <f>DTR!V150+'Dai Loc'!V150+'Dong Lam'!V150+'Khanh Nga'!V150+TDP!V150+DTRVL!V150</f>
        <v>2753352784</v>
      </c>
      <c r="W150" s="122">
        <f>DTR!W150+'Dai Loc'!W150+'Dong Lam'!W150+'Khanh Nga'!W150+TDP!W150+DTRVL!W150</f>
        <v>-12520058596</v>
      </c>
      <c r="X150" s="122">
        <f>DTR!X150+'Dai Loc'!X150+'Dong Lam'!X150+'Khanh Nga'!X150+TDP!X150+DTRVL!X150</f>
        <v>-5398471511</v>
      </c>
      <c r="Y150" s="122">
        <f>DTR!Y150+'Dai Loc'!Y150+'Dong Lam'!Y150+'Khanh Nga'!Y150+TDP!Y150+DTRVL!Y150</f>
        <v>-8841087053</v>
      </c>
      <c r="Z150" s="122">
        <f>DTR!Z150+'Dai Loc'!Z150+'Dong Lam'!Z150+'Khanh Nga'!Z150+TDP!Z150+DTRVL!Z150</f>
        <v>16289700389</v>
      </c>
      <c r="AA150" s="132">
        <f>AA146+AA149</f>
        <v>167877786.20493132</v>
      </c>
      <c r="AB150" s="133">
        <f t="shared" ref="AB150:AL150" si="11">AB146+AB149</f>
        <v>-4748302890.2602262</v>
      </c>
      <c r="AC150" s="133">
        <f t="shared" si="11"/>
        <v>4002939006.304203</v>
      </c>
      <c r="AD150" s="133">
        <f t="shared" si="11"/>
        <v>2362885279.3515911</v>
      </c>
      <c r="AE150" s="133">
        <f t="shared" si="11"/>
        <v>2547554891.7924576</v>
      </c>
      <c r="AF150" s="133">
        <f t="shared" si="11"/>
        <v>1571396479.4357777</v>
      </c>
      <c r="AG150" s="133">
        <f t="shared" si="11"/>
        <v>7383219330.4937115</v>
      </c>
      <c r="AH150" s="133">
        <f t="shared" si="11"/>
        <v>6183968476.967308</v>
      </c>
      <c r="AI150" s="133">
        <f t="shared" si="11"/>
        <v>5636217860.8660336</v>
      </c>
      <c r="AJ150" s="133">
        <f t="shared" si="11"/>
        <v>6629903681.9640789</v>
      </c>
      <c r="AK150" s="133">
        <f t="shared" si="11"/>
        <v>6999791300.2930069</v>
      </c>
      <c r="AL150" s="133">
        <f t="shared" si="11"/>
        <v>4866657191.2253189</v>
      </c>
      <c r="AM150" s="111">
        <f t="shared" si="4"/>
        <v>43604108394.638191</v>
      </c>
      <c r="AN150" s="111">
        <f t="shared" si="6"/>
        <v>35657195283</v>
      </c>
      <c r="AO150" s="111">
        <f t="shared" si="7"/>
        <v>7946913111.6381912</v>
      </c>
      <c r="AP150" s="215">
        <f t="shared" si="5"/>
        <v>0.1822514759323777</v>
      </c>
    </row>
    <row r="151" spans="1:42" s="107" customFormat="1" ht="15" customHeight="1">
      <c r="A151" s="134" t="s">
        <v>236</v>
      </c>
      <c r="B151" s="114">
        <v>18</v>
      </c>
      <c r="C151" s="135">
        <f>DTR!C151+'Dai Loc'!C151+'Dong Lam'!C151+'Khanh Nga'!C151+TDP!C151+DTRVL!C151</f>
        <v>0</v>
      </c>
      <c r="D151" s="135">
        <f>DTR!D151+'Dai Loc'!D151+'Dong Lam'!D151+'Khanh Nga'!D151+TDP!D151+DTRVL!D151</f>
        <v>0</v>
      </c>
      <c r="E151" s="135">
        <f>DTR!E151+'Dai Loc'!E151+'Dong Lam'!E151+'Khanh Nga'!E151+TDP!E151+DTRVL!E151</f>
        <v>0</v>
      </c>
      <c r="F151" s="135">
        <f>DTR!F151+'Dai Loc'!F151+'Dong Lam'!F151+'Khanh Nga'!F151+TDP!F151+DTRVL!F151</f>
        <v>0</v>
      </c>
      <c r="G151" s="135">
        <f>DTR!G151+'Dai Loc'!G151+'Dong Lam'!G151+'Khanh Nga'!G151+TDP!G151+DTRVL!G151</f>
        <v>0</v>
      </c>
      <c r="H151" s="135">
        <f>DTR!H151+'Dai Loc'!H151+'Dong Lam'!H151+'Khanh Nga'!H151+TDP!H151+DTRVL!H151</f>
        <v>0</v>
      </c>
      <c r="I151" s="135">
        <f>DTR!I151+'Dai Loc'!I151+'Dong Lam'!I151+'Khanh Nga'!I151+TDP!I151+DTRVL!I151</f>
        <v>0</v>
      </c>
      <c r="J151" s="135">
        <f>DTR!J151+'Dai Loc'!J151+'Dong Lam'!J151+'Khanh Nga'!J151+TDP!J151+DTRVL!J151</f>
        <v>32927331</v>
      </c>
      <c r="K151" s="135">
        <f>DTR!K151+'Dai Loc'!K151+'Dong Lam'!K151+'Khanh Nga'!K151+TDP!K151+DTRVL!K151</f>
        <v>0</v>
      </c>
      <c r="L151" s="135">
        <f>DTR!L151+'Dai Loc'!L151+'Dong Lam'!L151+'Khanh Nga'!L151+TDP!L151+DTRVL!L151</f>
        <v>0</v>
      </c>
      <c r="M151" s="135">
        <f>DTR!M151+'Dai Loc'!M151+'Dong Lam'!M151+'Khanh Nga'!M151+TDP!M151+DTRVL!M151</f>
        <v>0</v>
      </c>
      <c r="N151" s="135">
        <f>DTR!N151+'Dai Loc'!N151+'Dong Lam'!N151+'Khanh Nga'!N151+TDP!N151+DTRVL!N151</f>
        <v>11495266455</v>
      </c>
      <c r="O151" s="135">
        <f>DTR!O151+'Dai Loc'!O151+'Dong Lam'!O151+'Khanh Nga'!O151+TDP!O151+DTRVL!O151</f>
        <v>864190686</v>
      </c>
      <c r="P151" s="135">
        <f>DTR!P151+'Dai Loc'!P151+'Dong Lam'!P151+'Khanh Nga'!P151+TDP!P151+DTRVL!P151</f>
        <v>3020742780</v>
      </c>
      <c r="Q151" s="135">
        <f>DTR!Q151+'Dai Loc'!Q151+'Dong Lam'!Q151+'Khanh Nga'!Q151+TDP!Q151+DTRVL!Q151</f>
        <v>1252632187</v>
      </c>
      <c r="R151" s="135">
        <f>DTR!R151+'Dai Loc'!R151+'Dong Lam'!R151+'Khanh Nga'!R151+TDP!R151+DTRVL!R151</f>
        <v>677293488</v>
      </c>
      <c r="S151" s="135">
        <f>DTR!S151+'Dai Loc'!S151+'Dong Lam'!S151+'Khanh Nga'!S151+TDP!S151+DTRVL!S151</f>
        <v>1681800759</v>
      </c>
      <c r="T151" s="135">
        <f>DTR!T151+'Dai Loc'!T151+'Dong Lam'!T151+'Khanh Nga'!T151+TDP!T151+DTRVL!T151</f>
        <v>189264839</v>
      </c>
      <c r="U151" s="135">
        <f>DTR!U151+'Dai Loc'!U151+'Dong Lam'!U151+'Khanh Nga'!U151+TDP!U151+DTRVL!U151</f>
        <v>-1000088030</v>
      </c>
      <c r="V151" s="135">
        <f>DTR!V151+'Dai Loc'!V151+'Dong Lam'!V151+'Khanh Nga'!V151+TDP!V151+DTRVL!V151</f>
        <v>204199602</v>
      </c>
      <c r="W151" s="135">
        <f>DTR!W151+'Dai Loc'!W151+'Dong Lam'!W151+'Khanh Nga'!W151+TDP!W151+DTRVL!W151</f>
        <v>-1349170846</v>
      </c>
      <c r="X151" s="135">
        <f>DTR!X151+'Dai Loc'!X151+'Dong Lam'!X151+'Khanh Nga'!X151+TDP!X151+DTRVL!X151</f>
        <v>-516688622</v>
      </c>
      <c r="Y151" s="135">
        <f>DTR!Y151+'Dai Loc'!Y151+'Dong Lam'!Y151+'Khanh Nga'!Y151+TDP!Y151+DTRVL!Y151</f>
        <v>-854033077</v>
      </c>
      <c r="Z151" s="135">
        <f>DTR!Z151+'Dai Loc'!Z151+'Dong Lam'!Z151+'Khanh Nga'!Z151+TDP!Z151+DTRVL!Z151</f>
        <v>2388437945</v>
      </c>
      <c r="AA151" s="136">
        <f>DTR!AA151+'Dai Loc'!AA151+'Dong Lam'!AA151+'Khanh Nga'!AA151+TDP!AA151+DTRVL!AA151</f>
        <v>380273874.94126701</v>
      </c>
      <c r="AB151" s="135">
        <f>DTR!AB151+'Dai Loc'!AB151+'Dong Lam'!AB151+'Khanh Nga'!AB151+TDP!AB151+DTRVL!AB151</f>
        <v>0</v>
      </c>
      <c r="AC151" s="135">
        <f>DTR!AC151+'Dai Loc'!AC151+'Dong Lam'!AC151+'Khanh Nga'!AC151+TDP!AC151+DTRVL!AC151</f>
        <v>934619042.34685993</v>
      </c>
      <c r="AD151" s="135">
        <f>DTR!AD151+'Dai Loc'!AD151+'Dong Lam'!AD151+'Khanh Nga'!AD151+TDP!AD151+DTRVL!AD151</f>
        <v>746946934.01395476</v>
      </c>
      <c r="AE151" s="135">
        <f>DTR!AE151+'Dai Loc'!AE151+'Dong Lam'!AE151+'Khanh Nga'!AE151+TDP!AE151+DTRVL!AE151</f>
        <v>782572970.94612694</v>
      </c>
      <c r="AF151" s="135">
        <f>DTR!AF151+'Dai Loc'!AF151+'Dong Lam'!AF151+'Khanh Nga'!AF151+TDP!AF151+DTRVL!AF151</f>
        <v>707943160.14622366</v>
      </c>
      <c r="AG151" s="135">
        <f>DTR!AG151+'Dai Loc'!AG151+'Dong Lam'!AG151+'Khanh Nga'!AG151+TDP!AG151+DTRVL!AG151</f>
        <v>1837575600.7959077</v>
      </c>
      <c r="AH151" s="135">
        <f>DTR!AH151+'Dai Loc'!AH151+'Dong Lam'!AH151+'Khanh Nga'!AH151+TDP!AH151+DTRVL!AH151</f>
        <v>1680502005.0035565</v>
      </c>
      <c r="AI151" s="135">
        <f>DTR!AI151+'Dai Loc'!AI151+'Dong Lam'!AI151+'Khanh Nga'!AI151+TDP!AI151+DTRVL!AI151</f>
        <v>1527312071.2935135</v>
      </c>
      <c r="AJ151" s="135">
        <f>DTR!AJ151+'Dai Loc'!AJ151+'Dong Lam'!AJ151+'Khanh Nga'!AJ151+TDP!AJ151+DTRVL!AJ151</f>
        <v>1666415694.9376669</v>
      </c>
      <c r="AK151" s="135">
        <f>DTR!AK151+'Dai Loc'!AK151+'Dong Lam'!AK151+'Khanh Nga'!AK151+TDP!AK151+DTRVL!AK151</f>
        <v>1780669482.4539335</v>
      </c>
      <c r="AL151" s="135">
        <f>DTR!AL151+'Dai Loc'!AL151+'Dong Lam'!AL151+'Khanh Nga'!AL151+TDP!AL151+DTRVL!AL151</f>
        <v>1322862251.8688912</v>
      </c>
      <c r="AM151" s="137">
        <f t="shared" si="4"/>
        <v>13367693088.7479</v>
      </c>
      <c r="AN151" s="137">
        <f t="shared" si="6"/>
        <v>6558581711</v>
      </c>
      <c r="AO151" s="137">
        <f t="shared" si="7"/>
        <v>6809111377.7479</v>
      </c>
      <c r="AP151" s="220"/>
    </row>
    <row r="152" spans="1:42" s="107" customFormat="1" ht="15" customHeight="1">
      <c r="A152" s="113" t="s">
        <v>237</v>
      </c>
      <c r="B152" s="114">
        <v>19</v>
      </c>
      <c r="C152" s="115">
        <f>DTR!C152+'Dai Loc'!C152+'Dong Lam'!C152+'Khanh Nga'!C152+TDP!C152+DTRVL!C152</f>
        <v>0</v>
      </c>
      <c r="D152" s="115">
        <f>DTR!D152+'Dai Loc'!D152+'Dong Lam'!D152+'Khanh Nga'!D152+TDP!D152+DTRVL!D152</f>
        <v>0</v>
      </c>
      <c r="E152" s="115">
        <f>DTR!E152+'Dai Loc'!E152+'Dong Lam'!E152+'Khanh Nga'!E152+TDP!E152+DTRVL!E152</f>
        <v>0</v>
      </c>
      <c r="F152" s="115">
        <f>DTR!F152+'Dai Loc'!F152+'Dong Lam'!F152+'Khanh Nga'!F152+TDP!F152+DTRVL!F152</f>
        <v>0</v>
      </c>
      <c r="G152" s="115">
        <f>DTR!G152+'Dai Loc'!G152+'Dong Lam'!G152+'Khanh Nga'!G152+TDP!G152+DTRVL!G152</f>
        <v>0</v>
      </c>
      <c r="H152" s="115">
        <f>DTR!H152+'Dai Loc'!H152+'Dong Lam'!H152+'Khanh Nga'!H152+TDP!H152+DTRVL!H152</f>
        <v>0</v>
      </c>
      <c r="I152" s="115">
        <f>DTR!I152+'Dai Loc'!I152+'Dong Lam'!I152+'Khanh Nga'!I152+TDP!I152+DTRVL!I152</f>
        <v>0</v>
      </c>
      <c r="J152" s="115">
        <f>DTR!J152+'Dai Loc'!J152+'Dong Lam'!J152+'Khanh Nga'!J152+TDP!J152+DTRVL!J152</f>
        <v>0</v>
      </c>
      <c r="K152" s="115">
        <f>DTR!K152+'Dai Loc'!K152+'Dong Lam'!K152+'Khanh Nga'!K152+TDP!K152+DTRVL!K152</f>
        <v>0</v>
      </c>
      <c r="L152" s="115">
        <f>DTR!L152+'Dai Loc'!L152+'Dong Lam'!L152+'Khanh Nga'!L152+TDP!L152+DTRVL!L152</f>
        <v>0</v>
      </c>
      <c r="M152" s="115">
        <f>DTR!M152+'Dai Loc'!M152+'Dong Lam'!M152+'Khanh Nga'!M152+TDP!M152+DTRVL!M152</f>
        <v>0</v>
      </c>
      <c r="N152" s="115">
        <f>DTR!N152+'Dai Loc'!N152+'Dong Lam'!N152+'Khanh Nga'!N152+TDP!N152+DTRVL!N152</f>
        <v>1838941310</v>
      </c>
      <c r="O152" s="115">
        <f>DTR!O152+'Dai Loc'!O152+'Dong Lam'!O152+'Khanh Nga'!O152+TDP!O152+DTRVL!O152</f>
        <v>0</v>
      </c>
      <c r="P152" s="115">
        <f>DTR!P152+'Dai Loc'!P152+'Dong Lam'!P152+'Khanh Nga'!P152+TDP!P152+DTRVL!P152</f>
        <v>-8043000</v>
      </c>
      <c r="Q152" s="115">
        <f>DTR!Q152+'Dai Loc'!Q152+'Dong Lam'!Q152+'Khanh Nga'!Q152+TDP!Q152+DTRVL!Q152</f>
        <v>0</v>
      </c>
      <c r="R152" s="115">
        <f>DTR!R152+'Dai Loc'!R152+'Dong Lam'!R152+'Khanh Nga'!R152+TDP!R152+DTRVL!R152</f>
        <v>0</v>
      </c>
      <c r="S152" s="115">
        <f>DTR!S152+'Dai Loc'!S152+'Dong Lam'!S152+'Khanh Nga'!S152+TDP!S152+DTRVL!S152</f>
        <v>0</v>
      </c>
      <c r="T152" s="115">
        <f>DTR!T152+'Dai Loc'!T152+'Dong Lam'!T152+'Khanh Nga'!T152+TDP!T152+DTRVL!T152</f>
        <v>0</v>
      </c>
      <c r="U152" s="115">
        <f>DTR!U152+'Dai Loc'!U152+'Dong Lam'!U152+'Khanh Nga'!U152+TDP!U152+DTRVL!U152</f>
        <v>-1830898310</v>
      </c>
      <c r="V152" s="115">
        <f>DTR!V152+'Dai Loc'!V152+'Dong Lam'!V152+'Khanh Nga'!V152+TDP!V152+DTRVL!V152</f>
        <v>0</v>
      </c>
      <c r="W152" s="115">
        <f>DTR!W152+'Dai Loc'!W152+'Dong Lam'!W152+'Khanh Nga'!W152+TDP!W152+DTRVL!W152</f>
        <v>0</v>
      </c>
      <c r="X152" s="115">
        <f>DTR!X152+'Dai Loc'!X152+'Dong Lam'!X152+'Khanh Nga'!X152+TDP!X152+DTRVL!X152</f>
        <v>0</v>
      </c>
      <c r="Y152" s="115">
        <f>DTR!Y152+'Dai Loc'!Y152+'Dong Lam'!Y152+'Khanh Nga'!Y152+TDP!Y152+DTRVL!Y152</f>
        <v>0</v>
      </c>
      <c r="Z152" s="115">
        <f>DTR!Z152+'Dai Loc'!Z152+'Dong Lam'!Z152+'Khanh Nga'!Z152+TDP!Z152+DTRVL!Z152</f>
        <v>0</v>
      </c>
      <c r="AA152" s="119">
        <f>DTR!AA152+'Dai Loc'!AA152+'Dong Lam'!AA152+'Khanh Nga'!AA152+TDP!AA152+DTRVL!AA152</f>
        <v>0</v>
      </c>
      <c r="AB152" s="115">
        <f>DTR!AB152+'Dai Loc'!AB152+'Dong Lam'!AB152+'Khanh Nga'!AB152+TDP!AB152+DTRVL!AB152</f>
        <v>0</v>
      </c>
      <c r="AC152" s="115">
        <f>DTR!AC152+'Dai Loc'!AC152+'Dong Lam'!AC152+'Khanh Nga'!AC152+TDP!AC152+DTRVL!AC152</f>
        <v>0</v>
      </c>
      <c r="AD152" s="115">
        <f>DTR!AD152+'Dai Loc'!AD152+'Dong Lam'!AD152+'Khanh Nga'!AD152+TDP!AD152+DTRVL!AD152</f>
        <v>0</v>
      </c>
      <c r="AE152" s="115">
        <f>DTR!AE152+'Dai Loc'!AE152+'Dong Lam'!AE152+'Khanh Nga'!AE152+TDP!AE152+DTRVL!AE152</f>
        <v>0</v>
      </c>
      <c r="AF152" s="115">
        <f>DTR!AF152+'Dai Loc'!AF152+'Dong Lam'!AF152+'Khanh Nga'!AF152+TDP!AF152+DTRVL!AF152</f>
        <v>0</v>
      </c>
      <c r="AG152" s="115">
        <f>DTR!AG152+'Dai Loc'!AG152+'Dong Lam'!AG152+'Khanh Nga'!AG152+TDP!AG152+DTRVL!AG152</f>
        <v>0</v>
      </c>
      <c r="AH152" s="115">
        <f>DTR!AH152+'Dai Loc'!AH152+'Dong Lam'!AH152+'Khanh Nga'!AH152+TDP!AH152+DTRVL!AH152</f>
        <v>0</v>
      </c>
      <c r="AI152" s="115">
        <f>DTR!AI152+'Dai Loc'!AI152+'Dong Lam'!AI152+'Khanh Nga'!AI152+TDP!AI152+DTRVL!AI152</f>
        <v>0</v>
      </c>
      <c r="AJ152" s="115">
        <f>DTR!AJ152+'Dai Loc'!AJ152+'Dong Lam'!AJ152+'Khanh Nga'!AJ152+TDP!AJ152+DTRVL!AJ152</f>
        <v>0</v>
      </c>
      <c r="AK152" s="115">
        <f>DTR!AK152+'Dai Loc'!AK152+'Dong Lam'!AK152+'Khanh Nga'!AK152+TDP!AK152+DTRVL!AK152</f>
        <v>0</v>
      </c>
      <c r="AL152" s="115">
        <f>DTR!AL152+'Dai Loc'!AL152+'Dong Lam'!AL152+'Khanh Nga'!AL152+TDP!AL152+DTRVL!AL152</f>
        <v>0</v>
      </c>
      <c r="AM152" s="127">
        <f t="shared" si="4"/>
        <v>0</v>
      </c>
      <c r="AN152" s="127">
        <f t="shared" si="6"/>
        <v>-1838941310</v>
      </c>
      <c r="AO152" s="127">
        <f t="shared" si="7"/>
        <v>1838941310</v>
      </c>
      <c r="AP152" s="218"/>
    </row>
    <row r="153" spans="1:42" s="107" customFormat="1" ht="15" customHeight="1">
      <c r="A153" s="108" t="s">
        <v>238</v>
      </c>
      <c r="B153" s="121">
        <v>20</v>
      </c>
      <c r="C153" s="110">
        <f>DTR!C153+'Dai Loc'!C153+'Dong Lam'!C153+'Khanh Nga'!C153+TDP!C153+DTRVL!C153</f>
        <v>-719985770</v>
      </c>
      <c r="D153" s="110">
        <f>DTR!D153+'Dai Loc'!D153+'Dong Lam'!D153+'Khanh Nga'!D153+TDP!D153+DTRVL!D153</f>
        <v>-6758932844</v>
      </c>
      <c r="E153" s="110">
        <f>DTR!E153+'Dai Loc'!E153+'Dong Lam'!E153+'Khanh Nga'!E153+TDP!E153+DTRVL!E153</f>
        <v>-2743321288</v>
      </c>
      <c r="F153" s="110">
        <f>DTR!F153+'Dai Loc'!F153+'Dong Lam'!F153+'Khanh Nga'!F153+TDP!F153+DTRVL!F153</f>
        <v>1668340417</v>
      </c>
      <c r="G153" s="110">
        <f>DTR!G153+'Dai Loc'!G153+'Dong Lam'!G153+'Khanh Nga'!G153+TDP!G153+DTRVL!G153</f>
        <v>-5691808171</v>
      </c>
      <c r="H153" s="110">
        <f>DTR!H153+'Dai Loc'!H153+'Dong Lam'!H153+'Khanh Nga'!H153+TDP!H153+DTRVL!H153</f>
        <v>-12142648645</v>
      </c>
      <c r="I153" s="110">
        <f>DTR!I153+'Dai Loc'!I153+'Dong Lam'!I153+'Khanh Nga'!I153+TDP!I153+DTRVL!I153</f>
        <v>-15194276334</v>
      </c>
      <c r="J153" s="110">
        <f>DTR!J153+'Dai Loc'!J153+'Dong Lam'!J153+'Khanh Nga'!J153+TDP!J153+DTRVL!J153</f>
        <v>-10046945859</v>
      </c>
      <c r="K153" s="110">
        <f>DTR!K153+'Dai Loc'!K153+'Dong Lam'!K153+'Khanh Nga'!K153+TDP!K153+DTRVL!K153</f>
        <v>8118268598</v>
      </c>
      <c r="L153" s="110">
        <f>DTR!L153+'Dai Loc'!L153+'Dong Lam'!L153+'Khanh Nga'!L153+TDP!L153+DTRVL!L153</f>
        <v>-6348711814</v>
      </c>
      <c r="M153" s="110">
        <f>DTR!M153+'Dai Loc'!M153+'Dong Lam'!M153+'Khanh Nga'!M153+TDP!M153+DTRVL!M153</f>
        <v>-6052149672</v>
      </c>
      <c r="N153" s="110">
        <f>DTR!N153+'Dai Loc'!N153+'Dong Lam'!N153+'Khanh Nga'!N153+TDP!N153+DTRVL!N153</f>
        <v>89574353974</v>
      </c>
      <c r="O153" s="110">
        <f>DTR!O153+'Dai Loc'!O153+'Dong Lam'!O153+'Khanh Nga'!O153+TDP!O153+DTRVL!O153</f>
        <v>2235655725</v>
      </c>
      <c r="P153" s="110">
        <f>DTR!P153+'Dai Loc'!P153+'Dong Lam'!P153+'Khanh Nga'!P153+TDP!P153+DTRVL!P153</f>
        <v>14060228686</v>
      </c>
      <c r="Q153" s="110">
        <f>DTR!Q153+'Dai Loc'!Q153+'Dong Lam'!Q153+'Khanh Nga'!Q153+TDP!Q153+DTRVL!Q153</f>
        <v>5744259883</v>
      </c>
      <c r="R153" s="110">
        <f>DTR!R153+'Dai Loc'!R153+'Dong Lam'!R153+'Khanh Nga'!R153+TDP!R153+DTRVL!R153</f>
        <v>3259240884</v>
      </c>
      <c r="S153" s="110">
        <f>DTR!S153+'Dai Loc'!S153+'Dong Lam'!S153+'Khanh Nga'!S153+TDP!S153+DTRVL!S153</f>
        <v>9298960129</v>
      </c>
      <c r="T153" s="110">
        <f>DTR!T153+'Dai Loc'!T153+'Dong Lam'!T153+'Khanh Nga'!T153+TDP!T153+DTRVL!T153</f>
        <v>685312244</v>
      </c>
      <c r="U153" s="110">
        <f>DTR!U153+'Dai Loc'!U153+'Dong Lam'!U153+'Khanh Nga'!U153+TDP!U153+DTRVL!U153</f>
        <v>3243206320</v>
      </c>
      <c r="V153" s="110">
        <f>DTR!V153+'Dai Loc'!V153+'Dong Lam'!V153+'Khanh Nga'!V153+TDP!V153+DTRVL!V153</f>
        <v>2549153182</v>
      </c>
      <c r="W153" s="110">
        <f>DTR!W153+'Dai Loc'!W153+'Dong Lam'!W153+'Khanh Nga'!W153+TDP!W153+DTRVL!W153</f>
        <v>-11170887750</v>
      </c>
      <c r="X153" s="110">
        <f>DTR!X153+'Dai Loc'!X153+'Dong Lam'!X153+'Khanh Nga'!X153+TDP!X153+DTRVL!X153</f>
        <v>-4881782889</v>
      </c>
      <c r="Y153" s="110">
        <f>DTR!Y153+'Dai Loc'!Y153+'Dong Lam'!Y153+'Khanh Nga'!Y153+TDP!Y153+DTRVL!Y153</f>
        <v>-7987053976</v>
      </c>
      <c r="Z153" s="110">
        <f>DTR!Z153+'Dai Loc'!Z153+'Dong Lam'!Z153+'Khanh Nga'!Z153+TDP!Z153+DTRVL!Z153</f>
        <v>13901262444</v>
      </c>
      <c r="AA153" s="117">
        <f t="shared" ref="AA153:AL153" si="12">AA150-AA151</f>
        <v>-212396088.73633569</v>
      </c>
      <c r="AB153" s="110">
        <f t="shared" si="12"/>
        <v>-4748302890.2602262</v>
      </c>
      <c r="AC153" s="110">
        <f t="shared" si="12"/>
        <v>3068319963.9573431</v>
      </c>
      <c r="AD153" s="110">
        <f t="shared" si="12"/>
        <v>1615938345.3376365</v>
      </c>
      <c r="AE153" s="110">
        <f t="shared" si="12"/>
        <v>1764981920.8463306</v>
      </c>
      <c r="AF153" s="110">
        <f t="shared" si="12"/>
        <v>863453319.289554</v>
      </c>
      <c r="AG153" s="110">
        <f t="shared" si="12"/>
        <v>5545643729.6978035</v>
      </c>
      <c r="AH153" s="110">
        <f t="shared" si="12"/>
        <v>4503466471.9637518</v>
      </c>
      <c r="AI153" s="110">
        <f t="shared" si="12"/>
        <v>4108905789.5725203</v>
      </c>
      <c r="AJ153" s="110">
        <f t="shared" si="12"/>
        <v>4963487987.026412</v>
      </c>
      <c r="AK153" s="110">
        <f t="shared" si="12"/>
        <v>5219121817.8390732</v>
      </c>
      <c r="AL153" s="110">
        <f t="shared" si="12"/>
        <v>3543794939.3564277</v>
      </c>
      <c r="AM153" s="125">
        <f t="shared" si="4"/>
        <v>30236415305.890289</v>
      </c>
      <c r="AN153" s="125">
        <f t="shared" si="6"/>
        <v>30937554882</v>
      </c>
      <c r="AO153" s="125">
        <f t="shared" si="7"/>
        <v>-701139576.10971069</v>
      </c>
      <c r="AP153" s="219">
        <f t="shared" si="5"/>
        <v>-2.3188581351874845E-2</v>
      </c>
    </row>
    <row r="154" spans="1:42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1"/>
      <c r="N154" s="141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1"/>
      <c r="Z154" s="142" t="s">
        <v>239</v>
      </c>
      <c r="AA154" s="143">
        <f>DTR!AA153+'Dai Loc'!AA153+'Dong Lam'!AA153+'Khanh Nga'!AA153+TDP!AA153+DTRVL!AA153-AA153</f>
        <v>-6.4373016357421875E-6</v>
      </c>
      <c r="AB154" s="143">
        <f>DTR!AB153+'Dai Loc'!AB153+'Dong Lam'!AB153+'Khanh Nga'!AB153+TDP!AB153+DTRVL!AB153-AB153</f>
        <v>0</v>
      </c>
      <c r="AC154" s="143">
        <f>DTR!AC153+'Dai Loc'!AC153+'Dong Lam'!AC153+'Khanh Nga'!AC153+TDP!AC153+DTRVL!AC153-AC153</f>
        <v>1.5735626220703125E-5</v>
      </c>
      <c r="AD154" s="143">
        <f>DTR!AD153+'Dai Loc'!AD153+'Dong Lam'!AD153+'Khanh Nga'!AD153+TDP!AD153+DTRVL!AD153-AD153</f>
        <v>-1.52587890625E-5</v>
      </c>
      <c r="AE154" s="143">
        <f>DTR!AE153+'Dai Loc'!AE153+'Dong Lam'!AE153+'Khanh Nga'!AE153+TDP!AE153+DTRVL!AE153-AE153</f>
        <v>0</v>
      </c>
      <c r="AF154" s="143">
        <f>DTR!AF153+'Dai Loc'!AF153+'Dong Lam'!AF153+'Khanh Nga'!AF153+TDP!AF153+DTRVL!AF153-AF153</f>
        <v>7.2717666625976563E-6</v>
      </c>
      <c r="AG154" s="143">
        <f>DTR!AG153+'Dai Loc'!AG153+'Dong Lam'!AG153+'Khanh Nga'!AG153+TDP!AG153+DTRVL!AG153-AG153</f>
        <v>0</v>
      </c>
      <c r="AH154" s="143">
        <f>DTR!AH153+'Dai Loc'!AH153+'Dong Lam'!AH153+'Khanh Nga'!AH153+TDP!AH153+DTRVL!AH153-AH153</f>
        <v>2.002716064453125E-5</v>
      </c>
      <c r="AI154" s="143">
        <f>DTR!AI153+'Dai Loc'!AI153+'Dong Lam'!AI153+'Khanh Nga'!AI153+TDP!AI153+DTRVL!AI153-AI153</f>
        <v>-1.1444091796875E-5</v>
      </c>
      <c r="AJ154" s="143">
        <f>DTR!AJ153+'Dai Loc'!AJ153+'Dong Lam'!AJ153+'Khanh Nga'!AJ153+TDP!AJ153+DTRVL!AJ153-AJ153</f>
        <v>-2.384185791015625E-5</v>
      </c>
      <c r="AK154" s="143">
        <f>DTR!AK153+'Dai Loc'!AK153+'Dong Lam'!AK153+'Khanh Nga'!AK153+TDP!AK153+DTRVL!AK153-AK153</f>
        <v>2.002716064453125E-5</v>
      </c>
      <c r="AL154" s="143">
        <f>DTR!AL153+'Dai Loc'!AL153+'Dong Lam'!AL153+'Khanh Nga'!AL153+TDP!AL153+DTRVL!AL153-AL153</f>
        <v>0</v>
      </c>
      <c r="AM154" s="143">
        <f>DTR!AM153+'Dai Loc'!AM153+'Dong Lam'!AM153+'Khanh Nga'!AM153+TDP!AM153+DTRVL!AM153-AM153</f>
        <v>0</v>
      </c>
    </row>
    <row r="155" spans="1:42" ht="15" customHeight="1">
      <c r="A155" s="51" t="s">
        <v>240</v>
      </c>
      <c r="B155" s="144" t="s">
        <v>241</v>
      </c>
      <c r="C155" s="53" t="str">
        <f t="shared" ref="C155:Z155" si="13">C5</f>
        <v>T01.2024</v>
      </c>
      <c r="D155" s="53" t="str">
        <f t="shared" si="13"/>
        <v>T02.2024</v>
      </c>
      <c r="E155" s="53" t="str">
        <f t="shared" si="13"/>
        <v>T03.2024</v>
      </c>
      <c r="F155" s="53" t="str">
        <f t="shared" si="13"/>
        <v>T04.2024</v>
      </c>
      <c r="G155" s="53" t="str">
        <f t="shared" si="13"/>
        <v>T05.2024</v>
      </c>
      <c r="H155" s="53" t="str">
        <f t="shared" si="13"/>
        <v>T06.2024</v>
      </c>
      <c r="I155" s="53" t="str">
        <f t="shared" si="13"/>
        <v>T07.2024</v>
      </c>
      <c r="J155" s="53" t="str">
        <f t="shared" si="13"/>
        <v>T08.2024</v>
      </c>
      <c r="K155" s="53" t="str">
        <f t="shared" si="13"/>
        <v>T09.2024</v>
      </c>
      <c r="L155" s="53" t="str">
        <f t="shared" si="13"/>
        <v>T10.2024</v>
      </c>
      <c r="M155" s="53" t="str">
        <f t="shared" si="13"/>
        <v>T11.2024</v>
      </c>
      <c r="N155" s="53" t="str">
        <f t="shared" si="13"/>
        <v>T12.2024</v>
      </c>
      <c r="O155" s="53" t="str">
        <f t="shared" si="13"/>
        <v>T01.2025</v>
      </c>
      <c r="P155" s="53" t="str">
        <f t="shared" si="13"/>
        <v>T02.2025</v>
      </c>
      <c r="Q155" s="53" t="str">
        <f t="shared" si="13"/>
        <v>T03.2025</v>
      </c>
      <c r="R155" s="53" t="str">
        <f t="shared" si="13"/>
        <v>T04.2025</v>
      </c>
      <c r="S155" s="53" t="str">
        <f t="shared" si="13"/>
        <v>T05.2025</v>
      </c>
      <c r="T155" s="53" t="str">
        <f t="shared" si="13"/>
        <v>T06.2025</v>
      </c>
      <c r="U155" s="53" t="str">
        <f t="shared" si="13"/>
        <v>T07.2025</v>
      </c>
      <c r="V155" s="53" t="str">
        <f t="shared" si="13"/>
        <v>T08.2025</v>
      </c>
      <c r="W155" s="53" t="str">
        <f t="shared" si="13"/>
        <v>T09.2025</v>
      </c>
      <c r="X155" s="53" t="str">
        <f t="shared" si="13"/>
        <v>T10.2025</v>
      </c>
      <c r="Y155" s="53" t="str">
        <f t="shared" si="13"/>
        <v>T11.2025</v>
      </c>
      <c r="Z155" s="53" t="str">
        <f t="shared" si="13"/>
        <v>T12.2025</v>
      </c>
    </row>
    <row r="156" spans="1:42" ht="15" customHeight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7"/>
    </row>
    <row r="157" spans="1:42" ht="15" customHeight="1">
      <c r="A157" s="145" t="s">
        <v>243</v>
      </c>
      <c r="B157" s="146">
        <v>2</v>
      </c>
      <c r="C157" s="147">
        <f t="shared" ref="C157:Z157" si="14">C150</f>
        <v>-719985770</v>
      </c>
      <c r="D157" s="147">
        <f t="shared" si="14"/>
        <v>-6758932844</v>
      </c>
      <c r="E157" s="148">
        <f t="shared" si="14"/>
        <v>-2743321288</v>
      </c>
      <c r="F157" s="148">
        <f t="shared" si="14"/>
        <v>1668340417</v>
      </c>
      <c r="G157" s="148">
        <f t="shared" si="14"/>
        <v>-5691808171</v>
      </c>
      <c r="H157" s="148">
        <f t="shared" si="14"/>
        <v>-12142648645</v>
      </c>
      <c r="I157" s="148">
        <f t="shared" si="14"/>
        <v>-15194276334</v>
      </c>
      <c r="J157" s="148">
        <f t="shared" si="14"/>
        <v>-10014018528</v>
      </c>
      <c r="K157" s="148">
        <f t="shared" si="14"/>
        <v>8118268598</v>
      </c>
      <c r="L157" s="148">
        <f t="shared" si="14"/>
        <v>-6348711814</v>
      </c>
      <c r="M157" s="148">
        <f t="shared" si="14"/>
        <v>-6052149672</v>
      </c>
      <c r="N157" s="147">
        <f t="shared" si="14"/>
        <v>102908561739</v>
      </c>
      <c r="O157" s="147">
        <f t="shared" si="14"/>
        <v>3099846411</v>
      </c>
      <c r="P157" s="147">
        <f t="shared" si="14"/>
        <v>17072928466</v>
      </c>
      <c r="Q157" s="148">
        <f t="shared" si="14"/>
        <v>6996892070</v>
      </c>
      <c r="R157" s="148">
        <f t="shared" si="14"/>
        <v>3936534372</v>
      </c>
      <c r="S157" s="148">
        <f t="shared" si="14"/>
        <v>10980760888</v>
      </c>
      <c r="T157" s="148">
        <f t="shared" si="14"/>
        <v>874577083</v>
      </c>
      <c r="U157" s="148">
        <f t="shared" si="14"/>
        <v>412219980</v>
      </c>
      <c r="V157" s="148">
        <f t="shared" si="14"/>
        <v>2753352784</v>
      </c>
      <c r="W157" s="148">
        <f t="shared" si="14"/>
        <v>-12520058596</v>
      </c>
      <c r="X157" s="148">
        <f t="shared" si="14"/>
        <v>-5398471511</v>
      </c>
      <c r="Y157" s="148">
        <f t="shared" si="14"/>
        <v>-8841087053</v>
      </c>
      <c r="Z157" s="147">
        <f t="shared" si="14"/>
        <v>16289700389</v>
      </c>
    </row>
    <row r="158" spans="1:42" ht="15" customHeight="1">
      <c r="A158" s="149" t="s">
        <v>244</v>
      </c>
      <c r="B158" s="150">
        <v>3</v>
      </c>
      <c r="C158" s="151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1"/>
      <c r="O158" s="151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1"/>
    </row>
    <row r="159" spans="1:42" ht="15" customHeight="1">
      <c r="A159" s="153" t="s">
        <v>245</v>
      </c>
      <c r="B159" s="154">
        <v>4</v>
      </c>
      <c r="C159" s="64">
        <f>DTR!C159+'Dai Loc'!C159+'Dong Lam'!C159+'Khanh Nga'!C159+TDP!C159+DTRVL!C159</f>
        <v>3935422859</v>
      </c>
      <c r="D159" s="64">
        <f>DTR!D159+'Dai Loc'!D159+'Dong Lam'!D159+'Khanh Nga'!D159+TDP!D159+DTRVL!D159</f>
        <v>3945256529</v>
      </c>
      <c r="E159" s="64">
        <f>DTR!E159+'Dai Loc'!E159+'Dong Lam'!E159+'Khanh Nga'!E159+TDP!E159+DTRVL!E159</f>
        <v>3941710034</v>
      </c>
      <c r="F159" s="64">
        <f>DTR!F159+'Dai Loc'!F159+'Dong Lam'!F159+'Khanh Nga'!F159+TDP!F159+DTRVL!F159</f>
        <v>4176778135</v>
      </c>
      <c r="G159" s="64">
        <f>DTR!G159+'Dai Loc'!G159+'Dong Lam'!G159+'Khanh Nga'!G159+TDP!G159+DTRVL!G159</f>
        <v>4265236429</v>
      </c>
      <c r="H159" s="64">
        <f>DTR!H159+'Dai Loc'!H159+'Dong Lam'!H159+'Khanh Nga'!H159+TDP!H159+DTRVL!H159</f>
        <v>4239641424</v>
      </c>
      <c r="I159" s="64">
        <f>DTR!I159+'Dai Loc'!I159+'Dong Lam'!I159+'Khanh Nga'!I159+TDP!I159+DTRVL!I159</f>
        <v>4278667037</v>
      </c>
      <c r="J159" s="64">
        <f>DTR!J159+'Dai Loc'!J159+'Dong Lam'!J159+'Khanh Nga'!J159+TDP!J159+DTRVL!J159</f>
        <v>4312396443</v>
      </c>
      <c r="K159" s="64">
        <f>DTR!K159+'Dai Loc'!K159+'Dong Lam'!K159+'Khanh Nga'!K159+TDP!K159+DTRVL!K159</f>
        <v>4447445993</v>
      </c>
      <c r="L159" s="64">
        <f>DTR!L159+'Dai Loc'!L159+'Dong Lam'!L159+'Khanh Nga'!L159+TDP!L159+DTRVL!L159</f>
        <v>4467524904</v>
      </c>
      <c r="M159" s="64">
        <f>DTR!M159+'Dai Loc'!M159+'Dong Lam'!M159+'Khanh Nga'!M159+TDP!M159+DTRVL!M159</f>
        <v>4494861573</v>
      </c>
      <c r="N159" s="64">
        <f>DTR!N159+'Dai Loc'!N159+'Dong Lam'!N159+'Khanh Nga'!N159+TDP!N159+DTRVL!N159</f>
        <v>4792296828</v>
      </c>
      <c r="O159" s="64">
        <f>DTR!O159+'Dai Loc'!O159+'Dong Lam'!O159+'Khanh Nga'!O159+TDP!O159+DTRVL!O159</f>
        <v>4869731514</v>
      </c>
      <c r="P159" s="64">
        <f>DTR!P159+'Dai Loc'!P159+'Dong Lam'!P159+'Khanh Nga'!P159+TDP!P159+DTRVL!P159</f>
        <v>4871682917</v>
      </c>
      <c r="Q159" s="64">
        <f>DTR!Q159+'Dai Loc'!Q159+'Dong Lam'!Q159+'Khanh Nga'!Q159+TDP!Q159+DTRVL!Q159</f>
        <v>5074245337</v>
      </c>
      <c r="R159" s="64">
        <f>DTR!R159+'Dai Loc'!R159+'Dong Lam'!R159+'Khanh Nga'!R159+TDP!R159+DTRVL!R159</f>
        <v>5011765623</v>
      </c>
      <c r="S159" s="64">
        <f>DTR!S159+'Dai Loc'!S159+'Dong Lam'!S159+'Khanh Nga'!S159+TDP!S159+DTRVL!S159</f>
        <v>5177413937</v>
      </c>
      <c r="T159" s="64">
        <f>DTR!T159+'Dai Loc'!T159+'Dong Lam'!T159+'Khanh Nga'!T159+TDP!T159+DTRVL!T159</f>
        <v>5167876130</v>
      </c>
      <c r="U159" s="64">
        <f>DTR!U159+'Dai Loc'!U159+'Dong Lam'!U159+'Khanh Nga'!U159+TDP!U159+DTRVL!U159</f>
        <v>5183350528</v>
      </c>
      <c r="V159" s="64">
        <f>DTR!V159+'Dai Loc'!V159+'Dong Lam'!V159+'Khanh Nga'!V159+TDP!V159+DTRVL!V159</f>
        <v>5169671321</v>
      </c>
      <c r="W159" s="64">
        <f>DTR!W159+'Dai Loc'!W159+'Dong Lam'!W159+'Khanh Nga'!W159+TDP!W159+DTRVL!W159</f>
        <v>5509530706</v>
      </c>
      <c r="X159" s="64">
        <f>DTR!X159+'Dai Loc'!X159+'Dong Lam'!X159+'Khanh Nga'!X159+TDP!X159+DTRVL!X159</f>
        <v>5362887350</v>
      </c>
      <c r="Y159" s="64">
        <f>DTR!Y159+'Dai Loc'!Y159+'Dong Lam'!Y159+'Khanh Nga'!Y159+TDP!Y159+DTRVL!Y159</f>
        <v>5527915050</v>
      </c>
      <c r="Z159" s="64">
        <f>DTR!Z159+'Dai Loc'!Z159+'Dong Lam'!Z159+'Khanh Nga'!Z159+TDP!Z159+DTRVL!Z159</f>
        <v>5597408199</v>
      </c>
    </row>
    <row r="160" spans="1:42" ht="15" customHeight="1">
      <c r="A160" s="153" t="s">
        <v>246</v>
      </c>
      <c r="B160" s="154">
        <v>5</v>
      </c>
      <c r="C160" s="64">
        <f>DTR!C160+'Dai Loc'!C160+'Dong Lam'!C160+'Khanh Nga'!C160+TDP!C160+DTRVL!C160</f>
        <v>0</v>
      </c>
      <c r="D160" s="64">
        <f>DTR!D160+'Dai Loc'!D160+'Dong Lam'!D160+'Khanh Nga'!D160+TDP!D160+DTRVL!D160</f>
        <v>0</v>
      </c>
      <c r="E160" s="64">
        <f>DTR!E160+'Dai Loc'!E160+'Dong Lam'!E160+'Khanh Nga'!E160+TDP!E160+DTRVL!E160</f>
        <v>0</v>
      </c>
      <c r="F160" s="64">
        <f>DTR!F160+'Dai Loc'!F160+'Dong Lam'!F160+'Khanh Nga'!F160+TDP!F160+DTRVL!F160</f>
        <v>0</v>
      </c>
      <c r="G160" s="64">
        <f>DTR!G160+'Dai Loc'!G160+'Dong Lam'!G160+'Khanh Nga'!G160+TDP!G160+DTRVL!G160</f>
        <v>0</v>
      </c>
      <c r="H160" s="64">
        <f>DTR!H160+'Dai Loc'!H160+'Dong Lam'!H160+'Khanh Nga'!H160+TDP!H160+DTRVL!H160</f>
        <v>0</v>
      </c>
      <c r="I160" s="64">
        <f>DTR!I160+'Dai Loc'!I160+'Dong Lam'!I160+'Khanh Nga'!I160+TDP!I160+DTRVL!I160</f>
        <v>0</v>
      </c>
      <c r="J160" s="64">
        <f>DTR!J160+'Dai Loc'!J160+'Dong Lam'!J160+'Khanh Nga'!J160+TDP!J160+DTRVL!J160</f>
        <v>0</v>
      </c>
      <c r="K160" s="64">
        <f>DTR!K160+'Dai Loc'!K160+'Dong Lam'!K160+'Khanh Nga'!K160+TDP!K160+DTRVL!K160</f>
        <v>0</v>
      </c>
      <c r="L160" s="64">
        <f>DTR!L160+'Dai Loc'!L160+'Dong Lam'!L160+'Khanh Nga'!L160+TDP!L160+DTRVL!L160</f>
        <v>0</v>
      </c>
      <c r="M160" s="64">
        <f>DTR!M160+'Dai Loc'!M160+'Dong Lam'!M160+'Khanh Nga'!M160+TDP!M160+DTRVL!M160</f>
        <v>0</v>
      </c>
      <c r="N160" s="64">
        <f>DTR!N160+'Dai Loc'!N160+'Dong Lam'!N160+'Khanh Nga'!N160+TDP!N160+DTRVL!N160</f>
        <v>0</v>
      </c>
      <c r="O160" s="64">
        <f>DTR!O160+'Dai Loc'!O160+'Dong Lam'!O160+'Khanh Nga'!O160+TDP!O160+DTRVL!O160</f>
        <v>0</v>
      </c>
      <c r="P160" s="64">
        <f>DTR!P160+'Dai Loc'!P160+'Dong Lam'!P160+'Khanh Nga'!P160+TDP!P160+DTRVL!P160</f>
        <v>0</v>
      </c>
      <c r="Q160" s="64">
        <f>DTR!Q160+'Dai Loc'!Q160+'Dong Lam'!Q160+'Khanh Nga'!Q160+TDP!Q160+DTRVL!Q160</f>
        <v>0</v>
      </c>
      <c r="R160" s="64">
        <f>DTR!R160+'Dai Loc'!R160+'Dong Lam'!R160+'Khanh Nga'!R160+TDP!R160+DTRVL!R160</f>
        <v>0</v>
      </c>
      <c r="S160" s="64">
        <f>DTR!S160+'Dai Loc'!S160+'Dong Lam'!S160+'Khanh Nga'!S160+TDP!S160+DTRVL!S160</f>
        <v>0</v>
      </c>
      <c r="T160" s="64">
        <f>DTR!T160+'Dai Loc'!T160+'Dong Lam'!T160+'Khanh Nga'!T160+TDP!T160+DTRVL!T160</f>
        <v>0</v>
      </c>
      <c r="U160" s="64">
        <f>DTR!U160+'Dai Loc'!U160+'Dong Lam'!U160+'Khanh Nga'!U160+TDP!U160+DTRVL!U160</f>
        <v>0</v>
      </c>
      <c r="V160" s="64">
        <f>DTR!V160+'Dai Loc'!V160+'Dong Lam'!V160+'Khanh Nga'!V160+TDP!V160+DTRVL!V160</f>
        <v>0</v>
      </c>
      <c r="W160" s="64">
        <f>DTR!W160+'Dai Loc'!W160+'Dong Lam'!W160+'Khanh Nga'!W160+TDP!W160+DTRVL!W160</f>
        <v>0</v>
      </c>
      <c r="X160" s="64">
        <f>DTR!X160+'Dai Loc'!X160+'Dong Lam'!X160+'Khanh Nga'!X160+TDP!X160+DTRVL!X160</f>
        <v>0</v>
      </c>
      <c r="Y160" s="64">
        <f>DTR!Y160+'Dai Loc'!Y160+'Dong Lam'!Y160+'Khanh Nga'!Y160+TDP!Y160+DTRVL!Y160</f>
        <v>0</v>
      </c>
      <c r="Z160" s="64">
        <f>DTR!Z160+'Dai Loc'!Z160+'Dong Lam'!Z160+'Khanh Nga'!Z160+TDP!Z160+DTRVL!Z160</f>
        <v>0</v>
      </c>
    </row>
    <row r="161" spans="1:26" ht="14">
      <c r="A161" s="153" t="s">
        <v>247</v>
      </c>
      <c r="B161" s="154">
        <v>6</v>
      </c>
      <c r="C161" s="64">
        <f>DTR!C161+'Dai Loc'!C161+'Dong Lam'!C161+'Khanh Nga'!C161+TDP!C161+DTRVL!C161</f>
        <v>-55279705</v>
      </c>
      <c r="D161" s="64">
        <f>DTR!D161+'Dai Loc'!D161+'Dong Lam'!D161+'Khanh Nga'!D161+TDP!D161+DTRVL!D161</f>
        <v>-427077314</v>
      </c>
      <c r="E161" s="64">
        <f>DTR!E161+'Dai Loc'!E161+'Dong Lam'!E161+'Khanh Nga'!E161+TDP!E161+DTRVL!E161</f>
        <v>-320017067</v>
      </c>
      <c r="F161" s="64">
        <f>DTR!F161+'Dai Loc'!F161+'Dong Lam'!F161+'Khanh Nga'!F161+TDP!F161+DTRVL!F161</f>
        <v>-242395730</v>
      </c>
      <c r="G161" s="64">
        <f>DTR!G161+'Dai Loc'!G161+'Dong Lam'!G161+'Khanh Nga'!G161+TDP!G161+DTRVL!G161</f>
        <v>-818581781</v>
      </c>
      <c r="H161" s="64">
        <f>DTR!H161+'Dai Loc'!H161+'Dong Lam'!H161+'Khanh Nga'!H161+TDP!H161+DTRVL!H161</f>
        <v>-185223798</v>
      </c>
      <c r="I161" s="64">
        <f>DTR!I161+'Dai Loc'!I161+'Dong Lam'!I161+'Khanh Nga'!I161+TDP!I161+DTRVL!I161</f>
        <v>-180874896</v>
      </c>
      <c r="J161" s="64">
        <f>DTR!J161+'Dai Loc'!J161+'Dong Lam'!J161+'Khanh Nga'!J161+TDP!J161+DTRVL!J161</f>
        <v>-263960563</v>
      </c>
      <c r="K161" s="64">
        <f>DTR!K161+'Dai Loc'!K161+'Dong Lam'!K161+'Khanh Nga'!K161+TDP!K161+DTRVL!K161</f>
        <v>-297048858</v>
      </c>
      <c r="L161" s="64">
        <f>DTR!L161+'Dai Loc'!L161+'Dong Lam'!L161+'Khanh Nga'!L161+TDP!L161+DTRVL!L161</f>
        <v>-1429021178</v>
      </c>
      <c r="M161" s="64">
        <f>DTR!M161+'Dai Loc'!M161+'Dong Lam'!M161+'Khanh Nga'!M161+TDP!M161+DTRVL!M161</f>
        <v>-522578257</v>
      </c>
      <c r="N161" s="64">
        <f>DTR!N161+'Dai Loc'!N161+'Dong Lam'!N161+'Khanh Nga'!N161+TDP!N161+DTRVL!N161</f>
        <v>-1311270209</v>
      </c>
      <c r="O161" s="64">
        <f>DTR!O161+'Dai Loc'!O161+'Dong Lam'!O161+'Khanh Nga'!O161+TDP!O161+DTRVL!O161</f>
        <v>-357780096</v>
      </c>
      <c r="P161" s="64">
        <f>DTR!P161+'Dai Loc'!P161+'Dong Lam'!P161+'Khanh Nga'!P161+TDP!P161+DTRVL!P161</f>
        <v>-1275864519</v>
      </c>
      <c r="Q161" s="64">
        <f>DTR!Q161+'Dai Loc'!Q161+'Dong Lam'!Q161+'Khanh Nga'!Q161+TDP!Q161+DTRVL!Q161</f>
        <v>-608968263</v>
      </c>
      <c r="R161" s="64">
        <f>DTR!R161+'Dai Loc'!R161+'Dong Lam'!R161+'Khanh Nga'!R161+TDP!R161+DTRVL!R161</f>
        <v>-658231709</v>
      </c>
      <c r="S161" s="64">
        <f>DTR!S161+'Dai Loc'!S161+'Dong Lam'!S161+'Khanh Nga'!S161+TDP!S161+DTRVL!S161</f>
        <v>-1643945913</v>
      </c>
      <c r="T161" s="64">
        <f>DTR!T161+'Dai Loc'!T161+'Dong Lam'!T161+'Khanh Nga'!T161+TDP!T161+DTRVL!T161</f>
        <v>-645043805</v>
      </c>
      <c r="U161" s="64">
        <f>DTR!U161+'Dai Loc'!U161+'Dong Lam'!U161+'Khanh Nga'!U161+TDP!U161+DTRVL!U161</f>
        <v>-757881624</v>
      </c>
      <c r="V161" s="64">
        <f>DTR!V161+'Dai Loc'!V161+'Dong Lam'!V161+'Khanh Nga'!V161+TDP!V161+DTRVL!V161</f>
        <v>-621393506</v>
      </c>
      <c r="W161" s="64">
        <f>DTR!W161+'Dai Loc'!W161+'Dong Lam'!W161+'Khanh Nga'!W161+TDP!W161+DTRVL!W161</f>
        <v>-844098636</v>
      </c>
      <c r="X161" s="64">
        <f>DTR!X161+'Dai Loc'!X161+'Dong Lam'!X161+'Khanh Nga'!X161+TDP!X161+DTRVL!X161</f>
        <v>-1011211322</v>
      </c>
      <c r="Y161" s="64">
        <f>DTR!Y161+'Dai Loc'!Y161+'Dong Lam'!Y161+'Khanh Nga'!Y161+TDP!Y161+DTRVL!Y161</f>
        <v>-120205688</v>
      </c>
      <c r="Z161" s="64">
        <f>DTR!Z161+'Dai Loc'!Z161+'Dong Lam'!Z161+'Khanh Nga'!Z161+TDP!Z161+DTRVL!Z161</f>
        <v>-252471998</v>
      </c>
    </row>
    <row r="162" spans="1:26" ht="15" customHeight="1">
      <c r="A162" s="153" t="s">
        <v>248</v>
      </c>
      <c r="B162" s="154">
        <v>7</v>
      </c>
      <c r="C162" s="64">
        <f>DTR!C162+'Dai Loc'!C162+'Dong Lam'!C162+'Khanh Nga'!C162+TDP!C162+DTRVL!C162</f>
        <v>-9368981</v>
      </c>
      <c r="D162" s="64">
        <f>DTR!D162+'Dai Loc'!D162+'Dong Lam'!D162+'Khanh Nga'!D162+TDP!D162+DTRVL!D162</f>
        <v>-10886349</v>
      </c>
      <c r="E162" s="64">
        <f>DTR!E162+'Dai Loc'!E162+'Dong Lam'!E162+'Khanh Nga'!E162+TDP!E162+DTRVL!E162</f>
        <v>-181577162</v>
      </c>
      <c r="F162" s="64">
        <f>DTR!F162+'Dai Loc'!F162+'Dong Lam'!F162+'Khanh Nga'!F162+TDP!F162+DTRVL!F162</f>
        <v>-11461163</v>
      </c>
      <c r="G162" s="64">
        <f>DTR!G162+'Dai Loc'!G162+'Dong Lam'!G162+'Khanh Nga'!G162+TDP!G162+DTRVL!G162</f>
        <v>-11369270</v>
      </c>
      <c r="H162" s="64">
        <f>DTR!H162+'Dai Loc'!H162+'Dong Lam'!H162+'Khanh Nga'!H162+TDP!H162+DTRVL!H162</f>
        <v>-12784224</v>
      </c>
      <c r="I162" s="64">
        <f>DTR!I162+'Dai Loc'!I162+'Dong Lam'!I162+'Khanh Nga'!I162+TDP!I162+DTRVL!I162</f>
        <v>-33383947</v>
      </c>
      <c r="J162" s="64">
        <f>DTR!J162+'Dai Loc'!J162+'Dong Lam'!J162+'Khanh Nga'!J162+TDP!J162+DTRVL!J162</f>
        <v>-11556024</v>
      </c>
      <c r="K162" s="64">
        <f>DTR!K162+'Dai Loc'!K162+'Dong Lam'!K162+'Khanh Nga'!K162+TDP!K162+DTRVL!K162</f>
        <v>-11870459</v>
      </c>
      <c r="L162" s="64">
        <f>DTR!L162+'Dai Loc'!L162+'Dong Lam'!L162+'Khanh Nga'!L162+TDP!L162+DTRVL!L162</f>
        <v>-208264097</v>
      </c>
      <c r="M162" s="64">
        <f>DTR!M162+'Dai Loc'!M162+'Dong Lam'!M162+'Khanh Nga'!M162+TDP!M162+DTRVL!M162</f>
        <v>-22078194</v>
      </c>
      <c r="N162" s="64">
        <f>DTR!N162+'Dai Loc'!N162+'Dong Lam'!N162+'Khanh Nga'!N162+TDP!N162+DTRVL!N162</f>
        <v>-1325725860</v>
      </c>
      <c r="O162" s="64">
        <f>DTR!O162+'Dai Loc'!O162+'Dong Lam'!O162+'Khanh Nga'!O162+TDP!O162+DTRVL!O162</f>
        <v>-454865223</v>
      </c>
      <c r="P162" s="64">
        <f>DTR!P162+'Dai Loc'!P162+'Dong Lam'!P162+'Khanh Nga'!P162+TDP!P162+DTRVL!P162</f>
        <v>-1295538741</v>
      </c>
      <c r="Q162" s="64">
        <f>DTR!Q162+'Dai Loc'!Q162+'Dong Lam'!Q162+'Khanh Nga'!Q162+TDP!Q162+DTRVL!Q162</f>
        <v>-11304824</v>
      </c>
      <c r="R162" s="64">
        <f>DTR!R162+'Dai Loc'!R162+'Dong Lam'!R162+'Khanh Nga'!R162+TDP!R162+DTRVL!R162</f>
        <v>-62271990</v>
      </c>
      <c r="S162" s="64">
        <f>DTR!S162+'Dai Loc'!S162+'Dong Lam'!S162+'Khanh Nga'!S162+TDP!S162+DTRVL!S162</f>
        <v>-11802821</v>
      </c>
      <c r="T162" s="64">
        <f>DTR!T162+'Dai Loc'!T162+'Dong Lam'!T162+'Khanh Nga'!T162+TDP!T162+DTRVL!T162</f>
        <v>-11455724</v>
      </c>
      <c r="U162" s="64">
        <f>DTR!U162+'Dai Loc'!U162+'Dong Lam'!U162+'Khanh Nga'!U162+TDP!U162+DTRVL!U162</f>
        <v>-57423350</v>
      </c>
      <c r="V162" s="64">
        <f>DTR!V162+'Dai Loc'!V162+'Dong Lam'!V162+'Khanh Nga'!V162+TDP!V162+DTRVL!V162</f>
        <v>-8302038</v>
      </c>
      <c r="W162" s="64">
        <f>DTR!W162+'Dai Loc'!W162+'Dong Lam'!W162+'Khanh Nga'!W162+TDP!W162+DTRVL!W162</f>
        <v>-8471618</v>
      </c>
      <c r="X162" s="64">
        <f>DTR!X162+'Dai Loc'!X162+'Dong Lam'!X162+'Khanh Nga'!X162+TDP!X162+DTRVL!X162</f>
        <v>-770249979</v>
      </c>
      <c r="Y162" s="64">
        <f>DTR!Y162+'Dai Loc'!Y162+'Dong Lam'!Y162+'Khanh Nga'!Y162+TDP!Y162+DTRVL!Y162</f>
        <v>-92067047</v>
      </c>
      <c r="Z162" s="64">
        <f>DTR!Z162+'Dai Loc'!Z162+'Dong Lam'!Z162+'Khanh Nga'!Z162+TDP!Z162+DTRVL!Z162</f>
        <v>-384526151</v>
      </c>
    </row>
    <row r="163" spans="1:26" ht="15" customHeight="1">
      <c r="A163" s="153" t="s">
        <v>249</v>
      </c>
      <c r="B163" s="154">
        <v>8</v>
      </c>
      <c r="C163" s="64">
        <f>DTR!C163+'Dai Loc'!C163+'Dong Lam'!C163+'Khanh Nga'!C163+TDP!C163+DTRVL!C163</f>
        <v>422755791</v>
      </c>
      <c r="D163" s="64">
        <f>DTR!D163+'Dai Loc'!D163+'Dong Lam'!D163+'Khanh Nga'!D163+TDP!D163+DTRVL!D163</f>
        <v>563909516</v>
      </c>
      <c r="E163" s="64">
        <f>DTR!E163+'Dai Loc'!E163+'Dong Lam'!E163+'Khanh Nga'!E163+TDP!E163+DTRVL!E163</f>
        <v>567924561</v>
      </c>
      <c r="F163" s="64">
        <f>DTR!F163+'Dai Loc'!F163+'Dong Lam'!F163+'Khanh Nga'!F163+TDP!F163+DTRVL!F163</f>
        <v>840791009</v>
      </c>
      <c r="G163" s="64">
        <f>DTR!G163+'Dai Loc'!G163+'Dong Lam'!G163+'Khanh Nga'!G163+TDP!G163+DTRVL!G163</f>
        <v>961855770</v>
      </c>
      <c r="H163" s="64">
        <f>DTR!H163+'Dai Loc'!H163+'Dong Lam'!H163+'Khanh Nga'!H163+TDP!H163+DTRVL!H163</f>
        <v>1030712173</v>
      </c>
      <c r="I163" s="64">
        <f>DTR!I163+'Dai Loc'!I163+'Dong Lam'!I163+'Khanh Nga'!I163+TDP!I163+DTRVL!I163</f>
        <v>1160823006</v>
      </c>
      <c r="J163" s="64">
        <f>DTR!J163+'Dai Loc'!J163+'Dong Lam'!J163+'Khanh Nga'!J163+TDP!J163+DTRVL!J163</f>
        <v>939585045</v>
      </c>
      <c r="K163" s="64">
        <f>DTR!K163+'Dai Loc'!K163+'Dong Lam'!K163+'Khanh Nga'!K163+TDP!K163+DTRVL!K163</f>
        <v>859444105</v>
      </c>
      <c r="L163" s="64">
        <f>DTR!L163+'Dai Loc'!L163+'Dong Lam'!L163+'Khanh Nga'!L163+TDP!L163+DTRVL!L163</f>
        <v>840165515</v>
      </c>
      <c r="M163" s="64">
        <f>DTR!M163+'Dai Loc'!M163+'Dong Lam'!M163+'Khanh Nga'!M163+TDP!M163+DTRVL!M163</f>
        <v>889159081</v>
      </c>
      <c r="N163" s="64">
        <f>DTR!N163+'Dai Loc'!N163+'Dong Lam'!N163+'Khanh Nga'!N163+TDP!N163+DTRVL!N163</f>
        <v>1032562923</v>
      </c>
      <c r="O163" s="64">
        <f>DTR!O163+'Dai Loc'!O163+'Dong Lam'!O163+'Khanh Nga'!O163+TDP!O163+DTRVL!O163</f>
        <v>739360517</v>
      </c>
      <c r="P163" s="64">
        <f>DTR!P163+'Dai Loc'!P163+'Dong Lam'!P163+'Khanh Nga'!P163+TDP!P163+DTRVL!P163</f>
        <v>1303843040</v>
      </c>
      <c r="Q163" s="64">
        <f>DTR!Q163+'Dai Loc'!Q163+'Dong Lam'!Q163+'Khanh Nga'!Q163+TDP!Q163+DTRVL!Q163</f>
        <v>673966789</v>
      </c>
      <c r="R163" s="64">
        <f>DTR!R163+'Dai Loc'!R163+'Dong Lam'!R163+'Khanh Nga'!R163+TDP!R163+DTRVL!R163</f>
        <v>888393452</v>
      </c>
      <c r="S163" s="64">
        <f>DTR!S163+'Dai Loc'!S163+'Dong Lam'!S163+'Khanh Nga'!S163+TDP!S163+DTRVL!S163</f>
        <v>1186588729</v>
      </c>
      <c r="T163" s="64">
        <f>DTR!T163+'Dai Loc'!T163+'Dong Lam'!T163+'Khanh Nga'!T163+TDP!T163+DTRVL!T163</f>
        <v>1448899822</v>
      </c>
      <c r="U163" s="64">
        <f>DTR!U163+'Dai Loc'!U163+'Dong Lam'!U163+'Khanh Nga'!U163+TDP!U163+DTRVL!U163</f>
        <v>1242023326</v>
      </c>
      <c r="V163" s="64">
        <f>DTR!V163+'Dai Loc'!V163+'Dong Lam'!V163+'Khanh Nga'!V163+TDP!V163+DTRVL!V163</f>
        <v>1303560910</v>
      </c>
      <c r="W163" s="64">
        <f>DTR!W163+'Dai Loc'!W163+'Dong Lam'!W163+'Khanh Nga'!W163+TDP!W163+DTRVL!W163</f>
        <v>1595764355</v>
      </c>
      <c r="X163" s="64">
        <f>DTR!X163+'Dai Loc'!X163+'Dong Lam'!X163+'Khanh Nga'!X163+TDP!X163+DTRVL!X163</f>
        <v>1368802426</v>
      </c>
      <c r="Y163" s="64">
        <f>DTR!Y163+'Dai Loc'!Y163+'Dong Lam'!Y163+'Khanh Nga'!Y163+TDP!Y163+DTRVL!Y163</f>
        <v>1256132292</v>
      </c>
      <c r="Z163" s="64">
        <f>DTR!Z163+'Dai Loc'!Z163+'Dong Lam'!Z163+'Khanh Nga'!Z163+TDP!Z163+DTRVL!Z163</f>
        <v>1256103396</v>
      </c>
    </row>
    <row r="164" spans="1:26" ht="15" customHeight="1">
      <c r="A164" s="153" t="s">
        <v>250</v>
      </c>
      <c r="B164" s="154">
        <v>9</v>
      </c>
      <c r="C164" s="64">
        <f>DTR!C164+'Dai Loc'!C164+'Dong Lam'!C164+'Khanh Nga'!C164+TDP!C164+DTRVL!C164</f>
        <v>-25035000</v>
      </c>
      <c r="D164" s="64">
        <f>DTR!D164+'Dai Loc'!D164+'Dong Lam'!D164+'Khanh Nga'!D164+TDP!D164+DTRVL!D164</f>
        <v>-4500869</v>
      </c>
      <c r="E164" s="64">
        <f>DTR!E164+'Dai Loc'!E164+'Dong Lam'!E164+'Khanh Nga'!E164+TDP!E164+DTRVL!E164</f>
        <v>-15342970</v>
      </c>
      <c r="F164" s="64">
        <f>DTR!F164+'Dai Loc'!F164+'Dong Lam'!F164+'Khanh Nga'!F164+TDP!F164+DTRVL!F164</f>
        <v>-1400000</v>
      </c>
      <c r="G164" s="64">
        <f>DTR!G164+'Dai Loc'!G164+'Dong Lam'!G164+'Khanh Nga'!G164+TDP!G164+DTRVL!G164</f>
        <v>583594</v>
      </c>
      <c r="H164" s="64">
        <f>DTR!H164+'Dai Loc'!H164+'Dong Lam'!H164+'Khanh Nga'!H164+TDP!H164+DTRVL!H164</f>
        <v>2638761</v>
      </c>
      <c r="I164" s="64">
        <f>DTR!I164+'Dai Loc'!I164+'Dong Lam'!I164+'Khanh Nga'!I164+TDP!I164+DTRVL!I164</f>
        <v>-1603193</v>
      </c>
      <c r="J164" s="64">
        <f>DTR!J164+'Dai Loc'!J164+'Dong Lam'!J164+'Khanh Nga'!J164+TDP!J164+DTRVL!J164</f>
        <v>2915785</v>
      </c>
      <c r="K164" s="64">
        <f>DTR!K164+'Dai Loc'!K164+'Dong Lam'!K164+'Khanh Nga'!K164+TDP!K164+DTRVL!K164</f>
        <v>1137535</v>
      </c>
      <c r="L164" s="64">
        <f>DTR!L164+'Dai Loc'!L164+'Dong Lam'!L164+'Khanh Nga'!L164+TDP!L164+DTRVL!L164</f>
        <v>-2150926</v>
      </c>
      <c r="M164" s="64">
        <f>DTR!M164+'Dai Loc'!M164+'Dong Lam'!M164+'Khanh Nga'!M164+TDP!M164+DTRVL!M164</f>
        <v>2544907</v>
      </c>
      <c r="N164" s="64">
        <f>DTR!N164+'Dai Loc'!N164+'Dong Lam'!N164+'Khanh Nga'!N164+TDP!N164+DTRVL!N164</f>
        <v>-153600711</v>
      </c>
      <c r="O164" s="64">
        <f>DTR!O164+'Dai Loc'!O164+'Dong Lam'!O164+'Khanh Nga'!O164+TDP!O164+DTRVL!O164</f>
        <v>5872690</v>
      </c>
      <c r="P164" s="64">
        <f>DTR!P164+'Dai Loc'!P164+'Dong Lam'!P164+'Khanh Nga'!P164+TDP!P164+DTRVL!P164</f>
        <v>-3800000</v>
      </c>
      <c r="Q164" s="64">
        <f>DTR!Q164+'Dai Loc'!Q164+'Dong Lam'!Q164+'Khanh Nga'!Q164+TDP!Q164+DTRVL!Q164</f>
        <v>3397640</v>
      </c>
      <c r="R164" s="64">
        <f>DTR!R164+'Dai Loc'!R164+'Dong Lam'!R164+'Khanh Nga'!R164+TDP!R164+DTRVL!R164</f>
        <v>13981280</v>
      </c>
      <c r="S164" s="64">
        <f>DTR!S164+'Dai Loc'!S164+'Dong Lam'!S164+'Khanh Nga'!S164+TDP!S164+DTRVL!S164</f>
        <v>15477736</v>
      </c>
      <c r="T164" s="64">
        <f>DTR!T164+'Dai Loc'!T164+'Dong Lam'!T164+'Khanh Nga'!T164+TDP!T164+DTRVL!T164</f>
        <v>18540080</v>
      </c>
      <c r="U164" s="64">
        <f>DTR!U164+'Dai Loc'!U164+'Dong Lam'!U164+'Khanh Nga'!U164+TDP!U164+DTRVL!U164</f>
        <v>-93607732</v>
      </c>
      <c r="V164" s="64">
        <f>DTR!V164+'Dai Loc'!V164+'Dong Lam'!V164+'Khanh Nga'!V164+TDP!V164+DTRVL!V164</f>
        <v>15000048</v>
      </c>
      <c r="W164" s="64">
        <f>DTR!W164+'Dai Loc'!W164+'Dong Lam'!W164+'Khanh Nga'!W164+TDP!W164+DTRVL!W164</f>
        <v>10984820</v>
      </c>
      <c r="X164" s="64">
        <f>DTR!X164+'Dai Loc'!X164+'Dong Lam'!X164+'Khanh Nga'!X164+TDP!X164+DTRVL!X164</f>
        <v>24070392</v>
      </c>
      <c r="Y164" s="64">
        <f>DTR!Y164+'Dai Loc'!Y164+'Dong Lam'!Y164+'Khanh Nga'!Y164+TDP!Y164+DTRVL!Y164</f>
        <v>6071410</v>
      </c>
      <c r="Z164" s="155">
        <f>DTR!Z164+'Dai Loc'!Z164+'Dong Lam'!Z164+'Khanh Nga'!Z164+TDP!Z164+DTRVL!Z164</f>
        <v>35991776</v>
      </c>
    </row>
    <row r="165" spans="1:26" ht="14">
      <c r="A165" s="156" t="s">
        <v>251</v>
      </c>
      <c r="B165" s="157">
        <v>10</v>
      </c>
      <c r="C165" s="148">
        <f>DTR!C165+'Dai Loc'!C165+'Dong Lam'!C165+'Khanh Nga'!C165+TDP!C165+DTRVL!C165</f>
        <v>892891401</v>
      </c>
      <c r="D165" s="148">
        <f>DTR!D165+'Dai Loc'!D165+'Dong Lam'!D165+'Khanh Nga'!D165+TDP!D165+DTRVL!D165</f>
        <v>-2692231331</v>
      </c>
      <c r="E165" s="148">
        <f>DTR!E165+'Dai Loc'!E165+'Dong Lam'!E165+'Khanh Nga'!E165+TDP!E165+DTRVL!E165</f>
        <v>1249376108</v>
      </c>
      <c r="F165" s="148">
        <f>DTR!F165+'Dai Loc'!F165+'Dong Lam'!F165+'Khanh Nga'!F165+TDP!F165+DTRVL!F165</f>
        <v>6430652668</v>
      </c>
      <c r="G165" s="148">
        <f>DTR!G165+'Dai Loc'!G165+'Dong Lam'!G165+'Khanh Nga'!G165+TDP!G165+DTRVL!G165</f>
        <v>-1294083429</v>
      </c>
      <c r="H165" s="148">
        <f>DTR!H165+'Dai Loc'!H165+'Dong Lam'!H165+'Khanh Nga'!H165+TDP!H165+DTRVL!H165</f>
        <v>-7067664309</v>
      </c>
      <c r="I165" s="148">
        <f>DTR!I165+'Dai Loc'!I165+'Dong Lam'!I165+'Khanh Nga'!I165+TDP!I165+DTRVL!I165</f>
        <v>-9970648327</v>
      </c>
      <c r="J165" s="148">
        <f>DTR!J165+'Dai Loc'!J165+'Dong Lam'!J165+'Khanh Nga'!J165+TDP!J165+DTRVL!J165</f>
        <v>-5034637842</v>
      </c>
      <c r="K165" s="148">
        <f>DTR!K165+'Dai Loc'!K165+'Dong Lam'!K165+'Khanh Nga'!K165+TDP!K165+DTRVL!K165</f>
        <v>13117376914</v>
      </c>
      <c r="L165" s="148">
        <f>DTR!L165+'Dai Loc'!L165+'Dong Lam'!L165+'Khanh Nga'!L165+TDP!L165+DTRVL!L165</f>
        <v>-2680457596</v>
      </c>
      <c r="M165" s="148">
        <f>DTR!M165+'Dai Loc'!M165+'Dong Lam'!M165+'Khanh Nga'!M165+TDP!M165+DTRVL!M165</f>
        <v>-1210240562</v>
      </c>
      <c r="N165" s="148">
        <f>DTR!N165+'Dai Loc'!N165+'Dong Lam'!N165+'Khanh Nga'!N165+TDP!N165+DTRVL!N165</f>
        <v>105942824710</v>
      </c>
      <c r="O165" s="148">
        <f>DTR!O165+'Dai Loc'!O165+'Dong Lam'!O165+'Khanh Nga'!O165+TDP!O165+DTRVL!O165</f>
        <v>7902165813</v>
      </c>
      <c r="P165" s="148">
        <f>DTR!P165+'Dai Loc'!P165+'Dong Lam'!P165+'Khanh Nga'!P165+TDP!P165+DTRVL!P165</f>
        <v>20673251163</v>
      </c>
      <c r="Q165" s="148">
        <f>DTR!Q165+'Dai Loc'!Q165+'Dong Lam'!Q165+'Khanh Nga'!Q165+TDP!Q165+DTRVL!Q165</f>
        <v>12128228749</v>
      </c>
      <c r="R165" s="148">
        <f>DTR!R165+'Dai Loc'!R165+'Dong Lam'!R165+'Khanh Nga'!R165+TDP!R165+DTRVL!R165</f>
        <v>9130171028</v>
      </c>
      <c r="S165" s="148">
        <f>DTR!S165+'Dai Loc'!S165+'Dong Lam'!S165+'Khanh Nga'!S165+TDP!S165+DTRVL!S165</f>
        <v>15704492556</v>
      </c>
      <c r="T165" s="148">
        <f>DTR!T165+'Dai Loc'!T165+'Dong Lam'!T165+'Khanh Nga'!T165+TDP!T165+DTRVL!T165</f>
        <v>6853393586</v>
      </c>
      <c r="U165" s="148">
        <f>DTR!U165+'Dai Loc'!U165+'Dong Lam'!U165+'Khanh Nga'!U165+TDP!U165+DTRVL!U165</f>
        <v>5928681128</v>
      </c>
      <c r="V165" s="148">
        <f>DTR!V165+'Dai Loc'!V165+'Dong Lam'!V165+'Khanh Nga'!V165+TDP!V165+DTRVL!V165</f>
        <v>8611889519</v>
      </c>
      <c r="W165" s="148">
        <f>DTR!W165+'Dai Loc'!W165+'Dong Lam'!W165+'Khanh Nga'!W165+TDP!W165+DTRVL!W165</f>
        <v>-6256348969</v>
      </c>
      <c r="X165" s="148">
        <f>DTR!X165+'Dai Loc'!X165+'Dong Lam'!X165+'Khanh Nga'!X165+TDP!X165+DTRVL!X165</f>
        <v>-424172644</v>
      </c>
      <c r="Y165" s="148">
        <f>DTR!Y165+'Dai Loc'!Y165+'Dong Lam'!Y165+'Khanh Nga'!Y165+TDP!Y165+DTRVL!Y165</f>
        <v>-2263241036</v>
      </c>
      <c r="Z165" s="147">
        <f>DTR!Z165+'Dai Loc'!Z165+'Dong Lam'!Z165+'Khanh Nga'!Z165+TDP!Z165+DTRVL!Z165</f>
        <v>22542205611</v>
      </c>
    </row>
    <row r="166" spans="1:26" ht="15" customHeight="1">
      <c r="A166" s="158" t="s">
        <v>252</v>
      </c>
      <c r="B166" s="159">
        <v>11</v>
      </c>
      <c r="C166" s="69">
        <f>DTR!C166+'Dai Loc'!C166+'Dong Lam'!C166+'Khanh Nga'!C166+TDP!C166+DTRVL!C166</f>
        <v>-12246234123.139999</v>
      </c>
      <c r="D166" s="69">
        <f>DTR!D166+'Dai Loc'!D166+'Dong Lam'!D166+'Khanh Nga'!D166+TDP!D166+DTRVL!D166</f>
        <v>10826066152</v>
      </c>
      <c r="E166" s="69">
        <f>DTR!E166+'Dai Loc'!E166+'Dong Lam'!E166+'Khanh Nga'!E166+TDP!E166+DTRVL!E166</f>
        <v>-15227377699.860001</v>
      </c>
      <c r="F166" s="69">
        <f>DTR!F166+'Dai Loc'!F166+'Dong Lam'!F166+'Khanh Nga'!F166+TDP!F166+DTRVL!F166</f>
        <v>-18242361446</v>
      </c>
      <c r="G166" s="69">
        <f>DTR!G166+'Dai Loc'!G166+'Dong Lam'!G166+'Khanh Nga'!G166+TDP!G166+DTRVL!G166</f>
        <v>-17831483386.748001</v>
      </c>
      <c r="H166" s="69">
        <f>DTR!H166+'Dai Loc'!H166+'Dong Lam'!H166+'Khanh Nga'!H166+TDP!H166+DTRVL!H166</f>
        <v>-24693912300</v>
      </c>
      <c r="I166" s="69">
        <f>DTR!I166+'Dai Loc'!I166+'Dong Lam'!I166+'Khanh Nga'!I166+TDP!I166+DTRVL!I166</f>
        <v>90882621825.229996</v>
      </c>
      <c r="J166" s="69">
        <f>DTR!J166+'Dai Loc'!J166+'Dong Lam'!J166+'Khanh Nga'!J166+TDP!J166+DTRVL!J166</f>
        <v>-25565536759</v>
      </c>
      <c r="K166" s="69">
        <f>DTR!K166+'Dai Loc'!K166+'Dong Lam'!K166+'Khanh Nga'!K166+TDP!K166+DTRVL!K166</f>
        <v>-37899408750</v>
      </c>
      <c r="L166" s="69">
        <f>DTR!L166+'Dai Loc'!L166+'Dong Lam'!L166+'Khanh Nga'!L166+TDP!L166+DTRVL!L166</f>
        <v>1909176260</v>
      </c>
      <c r="M166" s="69">
        <f>DTR!M166+'Dai Loc'!M166+'Dong Lam'!M166+'Khanh Nga'!M166+TDP!M166+DTRVL!M166</f>
        <v>-52509399614</v>
      </c>
      <c r="N166" s="69">
        <f>DTR!N166+'Dai Loc'!N166+'Dong Lam'!N166+'Khanh Nga'!N166+TDP!N166+DTRVL!N166</f>
        <v>52498955385.517998</v>
      </c>
      <c r="O166" s="69">
        <f>DTR!O166+'Dai Loc'!O166+'Dong Lam'!O166+'Khanh Nga'!O166+TDP!O166+DTRVL!O166</f>
        <v>50044734419.482101</v>
      </c>
      <c r="P166" s="69">
        <f>DTR!P166+'Dai Loc'!P166+'Dong Lam'!P166+'Khanh Nga'!P166+TDP!P166+DTRVL!P166</f>
        <v>-48295472255.000099</v>
      </c>
      <c r="Q166" s="69">
        <f>DTR!Q166+'Dai Loc'!Q166+'Dong Lam'!Q166+'Khanh Nga'!Q166+TDP!Q166+DTRVL!Q166</f>
        <v>-35474140723.482002</v>
      </c>
      <c r="R166" s="69">
        <f>DTR!R166+'Dai Loc'!R166+'Dong Lam'!R166+'Khanh Nga'!R166+TDP!R166+DTRVL!R166</f>
        <v>30568041507.481998</v>
      </c>
      <c r="S166" s="69">
        <f>DTR!S166+'Dai Loc'!S166+'Dong Lam'!S166+'Khanh Nga'!S166+TDP!S166+DTRVL!S166</f>
        <v>-58367242966</v>
      </c>
      <c r="T166" s="69">
        <f>DTR!T166+'Dai Loc'!T166+'Dong Lam'!T166+'Khanh Nga'!T166+TDP!T166+DTRVL!T166</f>
        <v>-16252360559.482</v>
      </c>
      <c r="U166" s="69">
        <f>DTR!U166+'Dai Loc'!U166+'Dong Lam'!U166+'Khanh Nga'!U166+TDP!U166+DTRVL!U166</f>
        <v>1540007271</v>
      </c>
      <c r="V166" s="69">
        <f>DTR!V166+'Dai Loc'!V166+'Dong Lam'!V166+'Khanh Nga'!V166+TDP!V166+DTRVL!V166</f>
        <v>-61917992095</v>
      </c>
      <c r="W166" s="69">
        <f>DTR!W166+'Dai Loc'!W166+'Dong Lam'!W166+'Khanh Nga'!W166+TDP!W166+DTRVL!W166</f>
        <v>56301270650</v>
      </c>
      <c r="X166" s="69">
        <f>DTR!X166+'Dai Loc'!X166+'Dong Lam'!X166+'Khanh Nga'!X166+TDP!X166+DTRVL!X166</f>
        <v>39177988321</v>
      </c>
      <c r="Y166" s="69">
        <f>DTR!Y166+'Dai Loc'!Y166+'Dong Lam'!Y166+'Khanh Nga'!Y166+TDP!Y166+DTRVL!Y166</f>
        <v>12392718435</v>
      </c>
      <c r="Z166" s="64">
        <f>DTR!Z166+'Dai Loc'!Z166+'Dong Lam'!Z166+'Khanh Nga'!Z166+TDP!Z166+DTRVL!Z166</f>
        <v>-21051773707</v>
      </c>
    </row>
    <row r="167" spans="1:26" ht="15" customHeight="1">
      <c r="A167" s="160" t="s">
        <v>253</v>
      </c>
      <c r="B167" s="161">
        <v>12</v>
      </c>
      <c r="C167" s="69">
        <f>DTR!C167+'Dai Loc'!C167+'Dong Lam'!C167+'Khanh Nga'!C167+TDP!C167+DTRVL!C167</f>
        <v>-49549238548</v>
      </c>
      <c r="D167" s="69">
        <f>DTR!D167+'Dai Loc'!D167+'Dong Lam'!D167+'Khanh Nga'!D167+TDP!D167+DTRVL!D167</f>
        <v>-7205281194</v>
      </c>
      <c r="E167" s="69">
        <f>DTR!E167+'Dai Loc'!E167+'Dong Lam'!E167+'Khanh Nga'!E167+TDP!E167+DTRVL!E167</f>
        <v>-39860295459</v>
      </c>
      <c r="F167" s="69">
        <f>DTR!F167+'Dai Loc'!F167+'Dong Lam'!F167+'Khanh Nga'!F167+TDP!F167+DTRVL!F167</f>
        <v>-40452344147.022003</v>
      </c>
      <c r="G167" s="69">
        <f>DTR!G167+'Dai Loc'!G167+'Dong Lam'!G167+'Khanh Nga'!G167+TDP!G167+DTRVL!G167</f>
        <v>-40018610715.370003</v>
      </c>
      <c r="H167" s="69">
        <f>DTR!H167+'Dai Loc'!H167+'Dong Lam'!H167+'Khanh Nga'!H167+TDP!H167+DTRVL!H167</f>
        <v>-22253771084</v>
      </c>
      <c r="I167" s="69">
        <f>DTR!I167+'Dai Loc'!I167+'Dong Lam'!I167+'Khanh Nga'!I167+TDP!I167+DTRVL!I167</f>
        <v>-21156666302.23</v>
      </c>
      <c r="J167" s="69">
        <f>DTR!J167+'Dai Loc'!J167+'Dong Lam'!J167+'Khanh Nga'!J167+TDP!J167+DTRVL!J167</f>
        <v>40083282616</v>
      </c>
      <c r="K167" s="69">
        <f>DTR!K167+'Dai Loc'!K167+'Dong Lam'!K167+'Khanh Nga'!K167+TDP!K167+DTRVL!K167</f>
        <v>-10488525390</v>
      </c>
      <c r="L167" s="69">
        <f>DTR!L167+'Dai Loc'!L167+'Dong Lam'!L167+'Khanh Nga'!L167+TDP!L167+DTRVL!L167</f>
        <v>4230963655</v>
      </c>
      <c r="M167" s="69">
        <f>DTR!M167+'Dai Loc'!M167+'Dong Lam'!M167+'Khanh Nga'!M167+TDP!M167+DTRVL!M167</f>
        <v>-41785285643</v>
      </c>
      <c r="N167" s="69">
        <f>DTR!N167+'Dai Loc'!N167+'Dong Lam'!N167+'Khanh Nga'!N167+TDP!N167+DTRVL!N167</f>
        <v>-14397208765</v>
      </c>
      <c r="O167" s="69">
        <f>DTR!O167+'Dai Loc'!O167+'Dong Lam'!O167+'Khanh Nga'!O167+TDP!O167+DTRVL!O167</f>
        <v>34011025895</v>
      </c>
      <c r="P167" s="69">
        <f>DTR!P167+'Dai Loc'!P167+'Dong Lam'!P167+'Khanh Nga'!P167+TDP!P167+DTRVL!P167</f>
        <v>80139198645</v>
      </c>
      <c r="Q167" s="69">
        <f>DTR!Q167+'Dai Loc'!Q167+'Dong Lam'!Q167+'Khanh Nga'!Q167+TDP!Q167+DTRVL!Q167</f>
        <v>19508416867</v>
      </c>
      <c r="R167" s="69">
        <f>DTR!R167+'Dai Loc'!R167+'Dong Lam'!R167+'Khanh Nga'!R167+TDP!R167+DTRVL!R167</f>
        <v>-54306536082</v>
      </c>
      <c r="S167" s="69">
        <f>DTR!S167+'Dai Loc'!S167+'Dong Lam'!S167+'Khanh Nga'!S167+TDP!S167+DTRVL!S167</f>
        <v>-5114288511</v>
      </c>
      <c r="T167" s="69">
        <f>DTR!T167+'Dai Loc'!T167+'Dong Lam'!T167+'Khanh Nga'!T167+TDP!T167+DTRVL!T167</f>
        <v>-19711706985</v>
      </c>
      <c r="U167" s="69">
        <f>DTR!U167+'Dai Loc'!U167+'Dong Lam'!U167+'Khanh Nga'!U167+TDP!U167+DTRVL!U167</f>
        <v>-14594923828</v>
      </c>
      <c r="V167" s="69">
        <f>DTR!V167+'Dai Loc'!V167+'Dong Lam'!V167+'Khanh Nga'!V167+TDP!V167+DTRVL!V167</f>
        <v>1610031161</v>
      </c>
      <c r="W167" s="69">
        <f>DTR!W167+'Dai Loc'!W167+'Dong Lam'!W167+'Khanh Nga'!W167+TDP!W167+DTRVL!W167</f>
        <v>-3350477118</v>
      </c>
      <c r="X167" s="69">
        <f>DTR!X167+'Dai Loc'!X167+'Dong Lam'!X167+'Khanh Nga'!X167+TDP!X167+DTRVL!X167</f>
        <v>20252490813</v>
      </c>
      <c r="Y167" s="69">
        <f>DTR!Y167+'Dai Loc'!Y167+'Dong Lam'!Y167+'Khanh Nga'!Y167+TDP!Y167+DTRVL!Y167</f>
        <v>-2228980661</v>
      </c>
      <c r="Z167" s="64">
        <f>DTR!Z167+'Dai Loc'!Z167+'Dong Lam'!Z167+'Khanh Nga'!Z167+TDP!Z167+DTRVL!Z167</f>
        <v>-15530241784</v>
      </c>
    </row>
    <row r="168" spans="1:26" ht="14">
      <c r="A168" s="158" t="s">
        <v>254</v>
      </c>
      <c r="B168" s="159">
        <v>13</v>
      </c>
      <c r="C168" s="69">
        <f>DTR!C168+'Dai Loc'!C168+'Dong Lam'!C168+'Khanh Nga'!C168+TDP!C168+DTRVL!C168</f>
        <v>8012642277.1399994</v>
      </c>
      <c r="D168" s="69">
        <f>DTR!D168+'Dai Loc'!D168+'Dong Lam'!D168+'Khanh Nga'!D168+TDP!D168+DTRVL!D168</f>
        <v>4278312829</v>
      </c>
      <c r="E168" s="69">
        <f>DTR!E168+'Dai Loc'!E168+'Dong Lam'!E168+'Khanh Nga'!E168+TDP!E168+DTRVL!E168</f>
        <v>3821000527.8600006</v>
      </c>
      <c r="F168" s="69">
        <f>DTR!F168+'Dai Loc'!F168+'Dong Lam'!F168+'Khanh Nga'!F168+TDP!F168+DTRVL!F168</f>
        <v>17456991667.021999</v>
      </c>
      <c r="G168" s="69">
        <f>DTR!G168+'Dai Loc'!G168+'Dong Lam'!G168+'Khanh Nga'!G168+TDP!G168+DTRVL!G168</f>
        <v>27971780976.118</v>
      </c>
      <c r="H168" s="69">
        <f>DTR!H168+'Dai Loc'!H168+'Dong Lam'!H168+'Khanh Nga'!H168+TDP!H168+DTRVL!H168</f>
        <v>28656935853</v>
      </c>
      <c r="I168" s="69">
        <f>DTR!I168+'Dai Loc'!I168+'Dong Lam'!I168+'Khanh Nga'!I168+TDP!I168+DTRVL!I168</f>
        <v>13949162110</v>
      </c>
      <c r="J168" s="69">
        <f>DTR!J168+'Dai Loc'!J168+'Dong Lam'!J168+'Khanh Nga'!J168+TDP!J168+DTRVL!J168</f>
        <v>15821078146</v>
      </c>
      <c r="K168" s="69">
        <f>DTR!K168+'Dai Loc'!K168+'Dong Lam'!K168+'Khanh Nga'!K168+TDP!K168+DTRVL!K168</f>
        <v>36706376899</v>
      </c>
      <c r="L168" s="69">
        <f>DTR!L168+'Dai Loc'!L168+'Dong Lam'!L168+'Khanh Nga'!L168+TDP!L168+DTRVL!L168</f>
        <v>12026587562</v>
      </c>
      <c r="M168" s="69">
        <f>DTR!M168+'Dai Loc'!M168+'Dong Lam'!M168+'Khanh Nga'!M168+TDP!M168+DTRVL!M168</f>
        <v>46633842767</v>
      </c>
      <c r="N168" s="69">
        <f>DTR!N168+'Dai Loc'!N168+'Dong Lam'!N168+'Khanh Nga'!N168+TDP!N168+DTRVL!N168</f>
        <v>-144613571973.51801</v>
      </c>
      <c r="O168" s="69">
        <f>DTR!O168+'Dai Loc'!O168+'Dong Lam'!O168+'Khanh Nga'!O168+TDP!O168+DTRVL!O168</f>
        <v>-14723795485.482</v>
      </c>
      <c r="P168" s="69">
        <f>DTR!P168+'Dai Loc'!P168+'Dong Lam'!P168+'Khanh Nga'!P168+TDP!P168+DTRVL!P168</f>
        <v>563551013</v>
      </c>
      <c r="Q168" s="69">
        <f>DTR!Q168+'Dai Loc'!Q168+'Dong Lam'!Q168+'Khanh Nga'!Q168+TDP!Q168+DTRVL!Q168</f>
        <v>-13256494094.518</v>
      </c>
      <c r="R168" s="69">
        <f>DTR!R168+'Dai Loc'!R168+'Dong Lam'!R168+'Khanh Nga'!R168+TDP!R168+DTRVL!R168</f>
        <v>-14886720513.482</v>
      </c>
      <c r="S168" s="69">
        <f>DTR!S168+'Dai Loc'!S168+'Dong Lam'!S168+'Khanh Nga'!S168+TDP!S168+DTRVL!S168</f>
        <v>21965041111</v>
      </c>
      <c r="T168" s="69">
        <f>DTR!T168+'Dai Loc'!T168+'Dong Lam'!T168+'Khanh Nga'!T168+TDP!T168+DTRVL!T168</f>
        <v>17589115523.482002</v>
      </c>
      <c r="U168" s="69">
        <f>DTR!U168+'Dai Loc'!U168+'Dong Lam'!U168+'Khanh Nga'!U168+TDP!U168+DTRVL!U168</f>
        <v>-13512474795.999901</v>
      </c>
      <c r="V168" s="69">
        <f>DTR!V168+'Dai Loc'!V168+'Dong Lam'!V168+'Khanh Nga'!V168+TDP!V168+DTRVL!V168</f>
        <v>19288575433</v>
      </c>
      <c r="W168" s="69">
        <f>DTR!W168+'Dai Loc'!W168+'Dong Lam'!W168+'Khanh Nga'!W168+TDP!W168+DTRVL!W168</f>
        <v>-18368729384.000099</v>
      </c>
      <c r="X168" s="69">
        <f>DTR!X168+'Dai Loc'!X168+'Dong Lam'!X168+'Khanh Nga'!X168+TDP!X168+DTRVL!X168</f>
        <v>8202293771</v>
      </c>
      <c r="Y168" s="69">
        <f>DTR!Y168+'Dai Loc'!Y168+'Dong Lam'!Y168+'Khanh Nga'!Y168+TDP!Y168+DTRVL!Y168</f>
        <v>-10404906191</v>
      </c>
      <c r="Z168" s="64">
        <f>DTR!Z168+'Dai Loc'!Z168+'Dong Lam'!Z168+'Khanh Nga'!Z168+TDP!Z168+DTRVL!Z168</f>
        <v>-4057687328</v>
      </c>
    </row>
    <row r="169" spans="1:26" ht="15" customHeight="1">
      <c r="A169" s="158" t="s">
        <v>255</v>
      </c>
      <c r="B169" s="159">
        <v>14</v>
      </c>
      <c r="C169" s="69">
        <f>DTR!C169+'Dai Loc'!C169+'Dong Lam'!C169+'Khanh Nga'!C169+TDP!C169+DTRVL!C169</f>
        <v>138419414</v>
      </c>
      <c r="D169" s="69">
        <f>DTR!D169+'Dai Loc'!D169+'Dong Lam'!D169+'Khanh Nga'!D169+TDP!D169+DTRVL!D169</f>
        <v>-195536893</v>
      </c>
      <c r="E169" s="69">
        <f>DTR!E169+'Dai Loc'!E169+'Dong Lam'!E169+'Khanh Nga'!E169+TDP!E169+DTRVL!E169</f>
        <v>208271418</v>
      </c>
      <c r="F169" s="69">
        <f>DTR!F169+'Dai Loc'!F169+'Dong Lam'!F169+'Khanh Nga'!F169+TDP!F169+DTRVL!F169</f>
        <v>-156105027</v>
      </c>
      <c r="G169" s="69">
        <f>DTR!G169+'Dai Loc'!G169+'Dong Lam'!G169+'Khanh Nga'!G169+TDP!G169+DTRVL!G169</f>
        <v>163996298</v>
      </c>
      <c r="H169" s="69">
        <f>DTR!H169+'Dai Loc'!H169+'Dong Lam'!H169+'Khanh Nga'!H169+TDP!H169+DTRVL!H169</f>
        <v>223255844</v>
      </c>
      <c r="I169" s="69">
        <f>DTR!I169+'Dai Loc'!I169+'Dong Lam'!I169+'Khanh Nga'!I169+TDP!I169+DTRVL!I169</f>
        <v>-51586114</v>
      </c>
      <c r="J169" s="69">
        <f>DTR!J169+'Dai Loc'!J169+'Dong Lam'!J169+'Khanh Nga'!J169+TDP!J169+DTRVL!J169</f>
        <v>-547678801</v>
      </c>
      <c r="K169" s="69">
        <f>DTR!K169+'Dai Loc'!K169+'Dong Lam'!K169+'Khanh Nga'!K169+TDP!K169+DTRVL!K169</f>
        <v>259681006</v>
      </c>
      <c r="L169" s="69">
        <f>DTR!L169+'Dai Loc'!L169+'Dong Lam'!L169+'Khanh Nga'!L169+TDP!L169+DTRVL!L169</f>
        <v>-52949085</v>
      </c>
      <c r="M169" s="69">
        <f>DTR!M169+'Dai Loc'!M169+'Dong Lam'!M169+'Khanh Nga'!M169+TDP!M169+DTRVL!M169</f>
        <v>371337406</v>
      </c>
      <c r="N169" s="69">
        <f>DTR!N169+'Dai Loc'!N169+'Dong Lam'!N169+'Khanh Nga'!N169+TDP!N169+DTRVL!N169</f>
        <v>-201730567</v>
      </c>
      <c r="O169" s="69">
        <f>DTR!O169+'Dai Loc'!O169+'Dong Lam'!O169+'Khanh Nga'!O169+TDP!O169+DTRVL!O169</f>
        <v>-594058884</v>
      </c>
      <c r="P169" s="69">
        <f>DTR!P169+'Dai Loc'!P169+'Dong Lam'!P169+'Khanh Nga'!P169+TDP!P169+DTRVL!P169</f>
        <v>-4016083188</v>
      </c>
      <c r="Q169" s="69">
        <f>DTR!Q169+'Dai Loc'!Q169+'Dong Lam'!Q169+'Khanh Nga'!Q169+TDP!Q169+DTRVL!Q169</f>
        <v>609477126</v>
      </c>
      <c r="R169" s="69">
        <f>DTR!R169+'Dai Loc'!R169+'Dong Lam'!R169+'Khanh Nga'!R169+TDP!R169+DTRVL!R169</f>
        <v>1329395572</v>
      </c>
      <c r="S169" s="69">
        <f>DTR!S169+'Dai Loc'!S169+'Dong Lam'!S169+'Khanh Nga'!S169+TDP!S169+DTRVL!S169</f>
        <v>730927901</v>
      </c>
      <c r="T169" s="69">
        <f>DTR!T169+'Dai Loc'!T169+'Dong Lam'!T169+'Khanh Nga'!T169+TDP!T169+DTRVL!T169</f>
        <v>-6018972917</v>
      </c>
      <c r="U169" s="69">
        <f>DTR!U169+'Dai Loc'!U169+'Dong Lam'!U169+'Khanh Nga'!U169+TDP!U169+DTRVL!U169</f>
        <v>-908214055</v>
      </c>
      <c r="V169" s="69">
        <f>DTR!V169+'Dai Loc'!V169+'Dong Lam'!V169+'Khanh Nga'!V169+TDP!V169+DTRVL!V169</f>
        <v>-861781925</v>
      </c>
      <c r="W169" s="69">
        <f>DTR!W169+'Dai Loc'!W169+'Dong Lam'!W169+'Khanh Nga'!W169+TDP!W169+DTRVL!W169</f>
        <v>2426045734</v>
      </c>
      <c r="X169" s="69">
        <f>DTR!X169+'Dai Loc'!X169+'Dong Lam'!X169+'Khanh Nga'!X169+TDP!X169+DTRVL!X169</f>
        <v>1597604553</v>
      </c>
      <c r="Y169" s="69">
        <f>DTR!Y169+'Dai Loc'!Y169+'Dong Lam'!Y169+'Khanh Nga'!Y169+TDP!Y169+DTRVL!Y169</f>
        <v>2650850606</v>
      </c>
      <c r="Z169" s="64">
        <f>DTR!Z169+'Dai Loc'!Z169+'Dong Lam'!Z169+'Khanh Nga'!Z169+TDP!Z169+DTRVL!Z169</f>
        <v>118727934</v>
      </c>
    </row>
    <row r="170" spans="1:26" ht="15" customHeight="1">
      <c r="A170" s="158" t="s">
        <v>256</v>
      </c>
      <c r="B170" s="159">
        <v>15</v>
      </c>
      <c r="C170" s="69">
        <f>DTR!C170+'Dai Loc'!C170+'Dong Lam'!C170+'Khanh Nga'!C170+TDP!C170+DTRVL!C170</f>
        <v>0</v>
      </c>
      <c r="D170" s="69">
        <f>DTR!D170+'Dai Loc'!D170+'Dong Lam'!D170+'Khanh Nga'!D170+TDP!D170+DTRVL!D170</f>
        <v>0</v>
      </c>
      <c r="E170" s="69">
        <f>DTR!E170+'Dai Loc'!E170+'Dong Lam'!E170+'Khanh Nga'!E170+TDP!E170+DTRVL!E170</f>
        <v>0</v>
      </c>
      <c r="F170" s="69">
        <f>DTR!F170+'Dai Loc'!F170+'Dong Lam'!F170+'Khanh Nga'!F170+TDP!F170+DTRVL!F170</f>
        <v>0</v>
      </c>
      <c r="G170" s="69">
        <f>DTR!G170+'Dai Loc'!G170+'Dong Lam'!G170+'Khanh Nga'!G170+TDP!G170+DTRVL!G170</f>
        <v>0</v>
      </c>
      <c r="H170" s="69">
        <f>DTR!H170+'Dai Loc'!H170+'Dong Lam'!H170+'Khanh Nga'!H170+TDP!H170+DTRVL!H170</f>
        <v>0</v>
      </c>
      <c r="I170" s="69">
        <f>DTR!I170+'Dai Loc'!I170+'Dong Lam'!I170+'Khanh Nga'!I170+TDP!I170+DTRVL!I170</f>
        <v>0</v>
      </c>
      <c r="J170" s="69">
        <f>DTR!J170+'Dai Loc'!J170+'Dong Lam'!J170+'Khanh Nga'!J170+TDP!J170+DTRVL!J170</f>
        <v>0</v>
      </c>
      <c r="K170" s="69">
        <f>DTR!K170+'Dai Loc'!K170+'Dong Lam'!K170+'Khanh Nga'!K170+TDP!K170+DTRVL!K170</f>
        <v>0</v>
      </c>
      <c r="L170" s="69">
        <f>DTR!L170+'Dai Loc'!L170+'Dong Lam'!L170+'Khanh Nga'!L170+TDP!L170+DTRVL!L170</f>
        <v>0</v>
      </c>
      <c r="M170" s="69">
        <f>DTR!M170+'Dai Loc'!M170+'Dong Lam'!M170+'Khanh Nga'!M170+TDP!M170+DTRVL!M170</f>
        <v>0</v>
      </c>
      <c r="N170" s="69">
        <f>DTR!N170+'Dai Loc'!N170+'Dong Lam'!N170+'Khanh Nga'!N170+TDP!N170+DTRVL!N170</f>
        <v>0</v>
      </c>
      <c r="O170" s="69">
        <f>DTR!O170+'Dai Loc'!O170+'Dong Lam'!O170+'Khanh Nga'!O170+TDP!O170+DTRVL!O170</f>
        <v>0</v>
      </c>
      <c r="P170" s="69">
        <f>DTR!P170+'Dai Loc'!P170+'Dong Lam'!P170+'Khanh Nga'!P170+TDP!P170+DTRVL!P170</f>
        <v>0</v>
      </c>
      <c r="Q170" s="69">
        <f>DTR!Q170+'Dai Loc'!Q170+'Dong Lam'!Q170+'Khanh Nga'!Q170+TDP!Q170+DTRVL!Q170</f>
        <v>0</v>
      </c>
      <c r="R170" s="69">
        <f>DTR!R170+'Dai Loc'!R170+'Dong Lam'!R170+'Khanh Nga'!R170+TDP!R170+DTRVL!R170</f>
        <v>0</v>
      </c>
      <c r="S170" s="69">
        <f>DTR!S170+'Dai Loc'!S170+'Dong Lam'!S170+'Khanh Nga'!S170+TDP!S170+DTRVL!S170</f>
        <v>0</v>
      </c>
      <c r="T170" s="69">
        <f>DTR!T170+'Dai Loc'!T170+'Dong Lam'!T170+'Khanh Nga'!T170+TDP!T170+DTRVL!T170</f>
        <v>0</v>
      </c>
      <c r="U170" s="69">
        <f>DTR!U170+'Dai Loc'!U170+'Dong Lam'!U170+'Khanh Nga'!U170+TDP!U170+DTRVL!U170</f>
        <v>0</v>
      </c>
      <c r="V170" s="69">
        <f>DTR!V170+'Dai Loc'!V170+'Dong Lam'!V170+'Khanh Nga'!V170+TDP!V170+DTRVL!V170</f>
        <v>0</v>
      </c>
      <c r="W170" s="69">
        <f>DTR!W170+'Dai Loc'!W170+'Dong Lam'!W170+'Khanh Nga'!W170+TDP!W170+DTRVL!W170</f>
        <v>0</v>
      </c>
      <c r="X170" s="69">
        <f>DTR!X170+'Dai Loc'!X170+'Dong Lam'!X170+'Khanh Nga'!X170+TDP!X170+DTRVL!X170</f>
        <v>0</v>
      </c>
      <c r="Y170" s="69">
        <f>DTR!Y170+'Dai Loc'!Y170+'Dong Lam'!Y170+'Khanh Nga'!Y170+TDP!Y170+DTRVL!Y170</f>
        <v>0</v>
      </c>
      <c r="Z170" s="64">
        <f>DTR!Z170+'Dai Loc'!Z170+'Dong Lam'!Z170+'Khanh Nga'!Z170+TDP!Z170+DTRVL!Z170</f>
        <v>0</v>
      </c>
    </row>
    <row r="171" spans="1:26" ht="15" customHeight="1">
      <c r="A171" s="158" t="s">
        <v>257</v>
      </c>
      <c r="B171" s="159">
        <v>16</v>
      </c>
      <c r="C171" s="69">
        <f>DTR!C171+'Dai Loc'!C171+'Dong Lam'!C171+'Khanh Nga'!C171+TDP!C171+DTRVL!C171</f>
        <v>-422755791</v>
      </c>
      <c r="D171" s="69">
        <f>DTR!D171+'Dai Loc'!D171+'Dong Lam'!D171+'Khanh Nga'!D171+TDP!D171+DTRVL!D171</f>
        <v>-563909516</v>
      </c>
      <c r="E171" s="69">
        <f>DTR!E171+'Dai Loc'!E171+'Dong Lam'!E171+'Khanh Nga'!E171+TDP!E171+DTRVL!E171</f>
        <v>-567924561</v>
      </c>
      <c r="F171" s="69">
        <f>DTR!F171+'Dai Loc'!F171+'Dong Lam'!F171+'Khanh Nga'!F171+TDP!F171+DTRVL!F171</f>
        <v>-840791009</v>
      </c>
      <c r="G171" s="69">
        <f>DTR!G171+'Dai Loc'!G171+'Dong Lam'!G171+'Khanh Nga'!G171+TDP!G171+DTRVL!G171</f>
        <v>-961855770</v>
      </c>
      <c r="H171" s="69">
        <f>DTR!H171+'Dai Loc'!H171+'Dong Lam'!H171+'Khanh Nga'!H171+TDP!H171+DTRVL!H171</f>
        <v>-1030712173</v>
      </c>
      <c r="I171" s="69">
        <f>DTR!I171+'Dai Loc'!I171+'Dong Lam'!I171+'Khanh Nga'!I171+TDP!I171+DTRVL!I171</f>
        <v>-1160823006</v>
      </c>
      <c r="J171" s="69">
        <f>DTR!J171+'Dai Loc'!J171+'Dong Lam'!J171+'Khanh Nga'!J171+TDP!J171+DTRVL!J171</f>
        <v>-939585045</v>
      </c>
      <c r="K171" s="69">
        <f>DTR!K171+'Dai Loc'!K171+'Dong Lam'!K171+'Khanh Nga'!K171+TDP!K171+DTRVL!K171</f>
        <v>-859444105</v>
      </c>
      <c r="L171" s="69">
        <f>DTR!L171+'Dai Loc'!L171+'Dong Lam'!L171+'Khanh Nga'!L171+TDP!L171+DTRVL!L171</f>
        <v>-840165515</v>
      </c>
      <c r="M171" s="69">
        <f>DTR!M171+'Dai Loc'!M171+'Dong Lam'!M171+'Khanh Nga'!M171+TDP!M171+DTRVL!M171</f>
        <v>-889159081</v>
      </c>
      <c r="N171" s="69">
        <f>DTR!N171+'Dai Loc'!N171+'Dong Lam'!N171+'Khanh Nga'!N171+TDP!N171+DTRVL!N171</f>
        <v>-1032562923</v>
      </c>
      <c r="O171" s="69">
        <f>DTR!O171+'Dai Loc'!O171+'Dong Lam'!O171+'Khanh Nga'!O171+TDP!O171+DTRVL!O171</f>
        <v>-739360517</v>
      </c>
      <c r="P171" s="69">
        <f>DTR!P171+'Dai Loc'!P171+'Dong Lam'!P171+'Khanh Nga'!P171+TDP!P171+DTRVL!P171</f>
        <v>-1303843040</v>
      </c>
      <c r="Q171" s="69">
        <f>DTR!Q171+'Dai Loc'!Q171+'Dong Lam'!Q171+'Khanh Nga'!Q171+TDP!Q171+DTRVL!Q171</f>
        <v>-673966789</v>
      </c>
      <c r="R171" s="69">
        <f>DTR!R171+'Dai Loc'!R171+'Dong Lam'!R171+'Khanh Nga'!R171+TDP!R171+DTRVL!R171</f>
        <v>-888393452</v>
      </c>
      <c r="S171" s="69">
        <f>DTR!S171+'Dai Loc'!S171+'Dong Lam'!S171+'Khanh Nga'!S171+TDP!S171+DTRVL!S171</f>
        <v>-1186588729</v>
      </c>
      <c r="T171" s="69">
        <f>DTR!T171+'Dai Loc'!T171+'Dong Lam'!T171+'Khanh Nga'!T171+TDP!T171+DTRVL!T171</f>
        <v>-1448899822</v>
      </c>
      <c r="U171" s="69">
        <f>DTR!U171+'Dai Loc'!U171+'Dong Lam'!U171+'Khanh Nga'!U171+TDP!U171+DTRVL!U171</f>
        <v>-1242023326</v>
      </c>
      <c r="V171" s="69">
        <f>DTR!V171+'Dai Loc'!V171+'Dong Lam'!V171+'Khanh Nga'!V171+TDP!V171+DTRVL!V171</f>
        <v>-1303560910</v>
      </c>
      <c r="W171" s="69">
        <f>DTR!W171+'Dai Loc'!W171+'Dong Lam'!W171+'Khanh Nga'!W171+TDP!W171+DTRVL!W171</f>
        <v>-1595764355</v>
      </c>
      <c r="X171" s="69">
        <f>DTR!X171+'Dai Loc'!X171+'Dong Lam'!X171+'Khanh Nga'!X171+TDP!X171+DTRVL!X171</f>
        <v>-1368802426</v>
      </c>
      <c r="Y171" s="69">
        <f>DTR!Y171+'Dai Loc'!Y171+'Dong Lam'!Y171+'Khanh Nga'!Y171+TDP!Y171+DTRVL!Y171</f>
        <v>-1256132292</v>
      </c>
      <c r="Z171" s="64">
        <f>DTR!Z171+'Dai Loc'!Z171+'Dong Lam'!Z171+'Khanh Nga'!Z171+TDP!Z171+DTRVL!Z171</f>
        <v>-1256103396</v>
      </c>
    </row>
    <row r="172" spans="1:26" ht="15" customHeight="1">
      <c r="A172" s="158" t="s">
        <v>258</v>
      </c>
      <c r="B172" s="159">
        <v>17</v>
      </c>
      <c r="C172" s="69">
        <f>DTR!C172+'Dai Loc'!C172+'Dong Lam'!C172+'Khanh Nga'!C172+TDP!C172+DTRVL!C172</f>
        <v>0</v>
      </c>
      <c r="D172" s="69">
        <f>DTR!D172+'Dai Loc'!D172+'Dong Lam'!D172+'Khanh Nga'!D172+TDP!D172+DTRVL!D172</f>
        <v>-6372627736</v>
      </c>
      <c r="E172" s="69">
        <f>DTR!E172+'Dai Loc'!E172+'Dong Lam'!E172+'Khanh Nga'!E172+TDP!E172+DTRVL!E172</f>
        <v>0</v>
      </c>
      <c r="F172" s="69">
        <f>DTR!F172+'Dai Loc'!F172+'Dong Lam'!F172+'Khanh Nga'!F172+TDP!F172+DTRVL!F172</f>
        <v>-1567047590</v>
      </c>
      <c r="G172" s="69">
        <f>DTR!G172+'Dai Loc'!G172+'Dong Lam'!G172+'Khanh Nga'!G172+TDP!G172+DTRVL!G172</f>
        <v>0</v>
      </c>
      <c r="H172" s="69">
        <f>DTR!H172+'Dai Loc'!H172+'Dong Lam'!H172+'Khanh Nga'!H172+TDP!H172+DTRVL!H172</f>
        <v>0</v>
      </c>
      <c r="I172" s="69">
        <f>DTR!I172+'Dai Loc'!I172+'Dong Lam'!I172+'Khanh Nga'!I172+TDP!I172+DTRVL!I172</f>
        <v>-4839738089</v>
      </c>
      <c r="J172" s="69">
        <f>DTR!J172+'Dai Loc'!J172+'Dong Lam'!J172+'Khanh Nga'!J172+TDP!J172+DTRVL!J172</f>
        <v>0</v>
      </c>
      <c r="K172" s="69">
        <f>DTR!K172+'Dai Loc'!K172+'Dong Lam'!K172+'Khanh Nga'!K172+TDP!K172+DTRVL!K172</f>
        <v>0</v>
      </c>
      <c r="L172" s="69">
        <f>DTR!L172+'Dai Loc'!L172+'Dong Lam'!L172+'Khanh Nga'!L172+TDP!L172+DTRVL!L172</f>
        <v>0</v>
      </c>
      <c r="M172" s="69">
        <f>DTR!M172+'Dai Loc'!M172+'Dong Lam'!M172+'Khanh Nga'!M172+TDP!M172+DTRVL!M172</f>
        <v>0</v>
      </c>
      <c r="N172" s="69">
        <f>DTR!N172+'Dai Loc'!N172+'Dong Lam'!N172+'Khanh Nga'!N172+TDP!N172+DTRVL!N172</f>
        <v>0</v>
      </c>
      <c r="O172" s="69">
        <f>DTR!O172+'Dai Loc'!O172+'Dong Lam'!O172+'Khanh Nga'!O172+TDP!O172+DTRVL!O172</f>
        <v>0</v>
      </c>
      <c r="P172" s="69">
        <f>DTR!P172+'Dai Loc'!P172+'Dong Lam'!P172+'Khanh Nga'!P172+TDP!P172+DTRVL!P172</f>
        <v>0</v>
      </c>
      <c r="Q172" s="69">
        <f>DTR!Q172+'Dai Loc'!Q172+'Dong Lam'!Q172+'Khanh Nga'!Q172+TDP!Q172+DTRVL!Q172</f>
        <v>0</v>
      </c>
      <c r="R172" s="69">
        <f>DTR!R172+'Dai Loc'!R172+'Dong Lam'!R172+'Khanh Nga'!R172+TDP!R172+DTRVL!R172</f>
        <v>0</v>
      </c>
      <c r="S172" s="69">
        <f>DTR!S172+'Dai Loc'!S172+'Dong Lam'!S172+'Khanh Nga'!S172+TDP!S172+DTRVL!S172</f>
        <v>0</v>
      </c>
      <c r="T172" s="69">
        <f>DTR!T172+'Dai Loc'!T172+'Dong Lam'!T172+'Khanh Nga'!T172+TDP!T172+DTRVL!T172</f>
        <v>0</v>
      </c>
      <c r="U172" s="69">
        <f>DTR!U172+'Dai Loc'!U172+'Dong Lam'!U172+'Khanh Nga'!U172+TDP!U172+DTRVL!U172</f>
        <v>0</v>
      </c>
      <c r="V172" s="69">
        <f>DTR!V172+'Dai Loc'!V172+'Dong Lam'!V172+'Khanh Nga'!V172+TDP!V172+DTRVL!V172</f>
        <v>0</v>
      </c>
      <c r="W172" s="69">
        <f>DTR!W172+'Dai Loc'!W172+'Dong Lam'!W172+'Khanh Nga'!W172+TDP!W172+DTRVL!W172</f>
        <v>0</v>
      </c>
      <c r="X172" s="69">
        <f>DTR!X172+'Dai Loc'!X172+'Dong Lam'!X172+'Khanh Nga'!X172+TDP!X172+DTRVL!X172</f>
        <v>0</v>
      </c>
      <c r="Y172" s="69">
        <f>DTR!Y172+'Dai Loc'!Y172+'Dong Lam'!Y172+'Khanh Nga'!Y172+TDP!Y172+DTRVL!Y172</f>
        <v>0</v>
      </c>
      <c r="Z172" s="64">
        <f>DTR!Z172+'Dai Loc'!Z172+'Dong Lam'!Z172+'Khanh Nga'!Z172+TDP!Z172+DTRVL!Z172</f>
        <v>0</v>
      </c>
    </row>
    <row r="173" spans="1:26" ht="15" customHeight="1">
      <c r="A173" s="158" t="s">
        <v>259</v>
      </c>
      <c r="B173" s="159">
        <v>18</v>
      </c>
      <c r="C173" s="69">
        <f>DTR!C173+'Dai Loc'!C173+'Dong Lam'!C173+'Khanh Nga'!C173+TDP!C173+DTRVL!C173</f>
        <v>33300285459</v>
      </c>
      <c r="D173" s="69">
        <f>DTR!D173+'Dai Loc'!D173+'Dong Lam'!D173+'Khanh Nga'!D173+TDP!D173+DTRVL!D173</f>
        <v>581261898</v>
      </c>
      <c r="E173" s="69">
        <f>DTR!E173+'Dai Loc'!E173+'Dong Lam'!E173+'Khanh Nga'!E173+TDP!E173+DTRVL!E173</f>
        <v>295846464</v>
      </c>
      <c r="F173" s="69">
        <f>DTR!F173+'Dai Loc'!F173+'Dong Lam'!F173+'Khanh Nga'!F173+TDP!F173+DTRVL!F173</f>
        <v>6044827458</v>
      </c>
      <c r="G173" s="69">
        <f>DTR!G173+'Dai Loc'!G173+'Dong Lam'!G173+'Khanh Nga'!G173+TDP!G173+DTRVL!G173</f>
        <v>0</v>
      </c>
      <c r="H173" s="69">
        <f>DTR!H173+'Dai Loc'!H173+'Dong Lam'!H173+'Khanh Nga'!H173+TDP!H173+DTRVL!H173</f>
        <v>183077251</v>
      </c>
      <c r="I173" s="69">
        <f>DTR!I173+'Dai Loc'!I173+'Dong Lam'!I173+'Khanh Nga'!I173+TDP!I173+DTRVL!I173</f>
        <v>0</v>
      </c>
      <c r="J173" s="69">
        <f>DTR!J173+'Dai Loc'!J173+'Dong Lam'!J173+'Khanh Nga'!J173+TDP!J173+DTRVL!J173</f>
        <v>0</v>
      </c>
      <c r="K173" s="69">
        <f>DTR!K173+'Dai Loc'!K173+'Dong Lam'!K173+'Khanh Nga'!K173+TDP!K173+DTRVL!K173</f>
        <v>0</v>
      </c>
      <c r="L173" s="69">
        <f>DTR!L173+'Dai Loc'!L173+'Dong Lam'!L173+'Khanh Nga'!L173+TDP!L173+DTRVL!L173</f>
        <v>0</v>
      </c>
      <c r="M173" s="69">
        <f>DTR!M173+'Dai Loc'!M173+'Dong Lam'!M173+'Khanh Nga'!M173+TDP!M173+DTRVL!M173</f>
        <v>44753129</v>
      </c>
      <c r="N173" s="69">
        <f>DTR!N173+'Dai Loc'!N173+'Dong Lam'!N173+'Khanh Nga'!N173+TDP!N173+DTRVL!N173</f>
        <v>100064303</v>
      </c>
      <c r="O173" s="69">
        <f>DTR!O173+'Dai Loc'!O173+'Dong Lam'!O173+'Khanh Nga'!O173+TDP!O173+DTRVL!O173</f>
        <v>0</v>
      </c>
      <c r="P173" s="69">
        <f>DTR!P173+'Dai Loc'!P173+'Dong Lam'!P173+'Khanh Nga'!P173+TDP!P173+DTRVL!P173</f>
        <v>310813567</v>
      </c>
      <c r="Q173" s="69">
        <f>DTR!Q173+'Dai Loc'!Q173+'Dong Lam'!Q173+'Khanh Nga'!Q173+TDP!Q173+DTRVL!Q173</f>
        <v>0</v>
      </c>
      <c r="R173" s="69">
        <f>DTR!R173+'Dai Loc'!R173+'Dong Lam'!R173+'Khanh Nga'!R173+TDP!R173+DTRVL!R173</f>
        <v>0</v>
      </c>
      <c r="S173" s="69">
        <f>DTR!S173+'Dai Loc'!S173+'Dong Lam'!S173+'Khanh Nga'!S173+TDP!S173+DTRVL!S173</f>
        <v>1602926131</v>
      </c>
      <c r="T173" s="69">
        <f>DTR!T173+'Dai Loc'!T173+'Dong Lam'!T173+'Khanh Nga'!T173+TDP!T173+DTRVL!T173</f>
        <v>1730001720</v>
      </c>
      <c r="U173" s="69">
        <f>DTR!U173+'Dai Loc'!U173+'Dong Lam'!U173+'Khanh Nga'!U173+TDP!U173+DTRVL!U173</f>
        <v>0</v>
      </c>
      <c r="V173" s="69">
        <f>DTR!V173+'Dai Loc'!V173+'Dong Lam'!V173+'Khanh Nga'!V173+TDP!V173+DTRVL!V173</f>
        <v>1725983270</v>
      </c>
      <c r="W173" s="69">
        <f>DTR!W173+'Dai Loc'!W173+'Dong Lam'!W173+'Khanh Nga'!W173+TDP!W173+DTRVL!W173</f>
        <v>0</v>
      </c>
      <c r="X173" s="69">
        <f>DTR!X173+'Dai Loc'!X173+'Dong Lam'!X173+'Khanh Nga'!X173+TDP!X173+DTRVL!X173</f>
        <v>0</v>
      </c>
      <c r="Y173" s="69">
        <f>DTR!Y173+'Dai Loc'!Y173+'Dong Lam'!Y173+'Khanh Nga'!Y173+TDP!Y173+DTRVL!Y173</f>
        <v>0</v>
      </c>
      <c r="Z173" s="64">
        <f>DTR!Z173+'Dai Loc'!Z173+'Dong Lam'!Z173+'Khanh Nga'!Z173+TDP!Z173+DTRVL!Z173</f>
        <v>0</v>
      </c>
    </row>
    <row r="174" spans="1:26" ht="15" customHeight="1">
      <c r="A174" s="158" t="s">
        <v>260</v>
      </c>
      <c r="B174" s="159">
        <v>19</v>
      </c>
      <c r="C174" s="69">
        <f>DTR!C174+'Dai Loc'!C174+'Dong Lam'!C174+'Khanh Nga'!C174+TDP!C174+DTRVL!C174</f>
        <v>-556985123</v>
      </c>
      <c r="D174" s="69">
        <f>DTR!D174+'Dai Loc'!D174+'Dong Lam'!D174+'Khanh Nga'!D174+TDP!D174+DTRVL!D174</f>
        <v>0</v>
      </c>
      <c r="E174" s="69">
        <f>DTR!E174+'Dai Loc'!E174+'Dong Lam'!E174+'Khanh Nga'!E174+TDP!E174+DTRVL!E174</f>
        <v>-2626029698</v>
      </c>
      <c r="F174" s="69">
        <f>DTR!F174+'Dai Loc'!F174+'Dong Lam'!F174+'Khanh Nga'!F174+TDP!F174+DTRVL!F174</f>
        <v>-1520939337</v>
      </c>
      <c r="G174" s="69">
        <f>DTR!G174+'Dai Loc'!G174+'Dong Lam'!G174+'Khanh Nga'!G174+TDP!G174+DTRVL!G174</f>
        <v>-231157127</v>
      </c>
      <c r="H174" s="69">
        <f>DTR!H174+'Dai Loc'!H174+'Dong Lam'!H174+'Khanh Nga'!H174+TDP!H174+DTRVL!H174</f>
        <v>-168183405</v>
      </c>
      <c r="I174" s="69">
        <f>DTR!I174+'Dai Loc'!I174+'Dong Lam'!I174+'Khanh Nga'!I174+TDP!I174+DTRVL!I174</f>
        <v>-7757502843</v>
      </c>
      <c r="J174" s="69">
        <f>DTR!J174+'Dai Loc'!J174+'Dong Lam'!J174+'Khanh Nga'!J174+TDP!J174+DTRVL!J174</f>
        <v>-843147474</v>
      </c>
      <c r="K174" s="69">
        <f>DTR!K174+'Dai Loc'!K174+'Dong Lam'!K174+'Khanh Nga'!K174+TDP!K174+DTRVL!K174</f>
        <v>-778536028</v>
      </c>
      <c r="L174" s="69">
        <f>DTR!L174+'Dai Loc'!L174+'Dong Lam'!L174+'Khanh Nga'!L174+TDP!L174+DTRVL!L174</f>
        <v>-88004798</v>
      </c>
      <c r="M174" s="69">
        <f>DTR!M174+'Dai Loc'!M174+'Dong Lam'!M174+'Khanh Nga'!M174+TDP!M174+DTRVL!M174</f>
        <v>0</v>
      </c>
      <c r="N174" s="69">
        <f>DTR!N174+'Dai Loc'!N174+'Dong Lam'!N174+'Khanh Nga'!N174+TDP!N174+DTRVL!N174</f>
        <v>0</v>
      </c>
      <c r="O174" s="69">
        <f>DTR!O174+'Dai Loc'!O174+'Dong Lam'!O174+'Khanh Nga'!O174+TDP!O174+DTRVL!O174</f>
        <v>-2457877506</v>
      </c>
      <c r="P174" s="69">
        <f>DTR!P174+'Dai Loc'!P174+'Dong Lam'!P174+'Khanh Nga'!P174+TDP!P174+DTRVL!P174</f>
        <v>0</v>
      </c>
      <c r="Q174" s="69">
        <f>DTR!Q174+'Dai Loc'!Q174+'Dong Lam'!Q174+'Khanh Nga'!Q174+TDP!Q174+DTRVL!Q174</f>
        <v>-46111316</v>
      </c>
      <c r="R174" s="69">
        <f>DTR!R174+'Dai Loc'!R174+'Dong Lam'!R174+'Khanh Nga'!R174+TDP!R174+DTRVL!R174</f>
        <v>-2524601239</v>
      </c>
      <c r="S174" s="69">
        <f>DTR!S174+'Dai Loc'!S174+'Dong Lam'!S174+'Khanh Nga'!S174+TDP!S174+DTRVL!S174</f>
        <v>0</v>
      </c>
      <c r="T174" s="69">
        <f>DTR!T174+'Dai Loc'!T174+'Dong Lam'!T174+'Khanh Nga'!T174+TDP!T174+DTRVL!T174</f>
        <v>0</v>
      </c>
      <c r="U174" s="69">
        <f>DTR!U174+'Dai Loc'!U174+'Dong Lam'!U174+'Khanh Nga'!U174+TDP!U174+DTRVL!U174</f>
        <v>-5614800580</v>
      </c>
      <c r="V174" s="69">
        <f>DTR!V174+'Dai Loc'!V174+'Dong Lam'!V174+'Khanh Nga'!V174+TDP!V174+DTRVL!V174</f>
        <v>0</v>
      </c>
      <c r="W174" s="69">
        <f>DTR!W174+'Dai Loc'!W174+'Dong Lam'!W174+'Khanh Nga'!W174+TDP!W174+DTRVL!W174</f>
        <v>-1667537838</v>
      </c>
      <c r="X174" s="69">
        <f>DTR!X174+'Dai Loc'!X174+'Dong Lam'!X174+'Khanh Nga'!X174+TDP!X174+DTRVL!X174</f>
        <v>-284344487</v>
      </c>
      <c r="Y174" s="69">
        <f>DTR!Y174+'Dai Loc'!Y174+'Dong Lam'!Y174+'Khanh Nga'!Y174+TDP!Y174+DTRVL!Y174</f>
        <v>-527732656</v>
      </c>
      <c r="Z174" s="64">
        <f>DTR!Z174+'Dai Loc'!Z174+'Dong Lam'!Z174+'Khanh Nga'!Z174+TDP!Z174+DTRVL!Z174</f>
        <v>-1260571042</v>
      </c>
    </row>
    <row r="175" spans="1:26" ht="15" customHeight="1">
      <c r="A175" s="162" t="s">
        <v>261</v>
      </c>
      <c r="B175" s="146">
        <v>20</v>
      </c>
      <c r="C175" s="148">
        <f>DTR!C175+'Dai Loc'!C175+'Dong Lam'!C175+'Khanh Nga'!C175+TDP!C175+DTRVL!C175</f>
        <v>-20430975034</v>
      </c>
      <c r="D175" s="148">
        <f>DTR!D175+'Dai Loc'!D175+'Dong Lam'!D175+'Khanh Nga'!D175+TDP!D175+DTRVL!D175</f>
        <v>-1343945791</v>
      </c>
      <c r="E175" s="148">
        <f>DTR!E175+'Dai Loc'!E175+'Dong Lam'!E175+'Khanh Nga'!E175+TDP!E175+DTRVL!E175</f>
        <v>-52707132900</v>
      </c>
      <c r="F175" s="148">
        <f>DTR!F175+'Dai Loc'!F175+'Dong Lam'!F175+'Khanh Nga'!F175+TDP!F175+DTRVL!F175</f>
        <v>-32847116763</v>
      </c>
      <c r="G175" s="148">
        <f>DTR!G175+'Dai Loc'!G175+'Dong Lam'!G175+'Khanh Nga'!G175+TDP!G175+DTRVL!G175</f>
        <v>-32201413154</v>
      </c>
      <c r="H175" s="148">
        <f>DTR!H175+'Dai Loc'!H175+'Dong Lam'!H175+'Khanh Nga'!H175+TDP!H175+DTRVL!H175</f>
        <v>-26150974323</v>
      </c>
      <c r="I175" s="148">
        <f>DTR!I175+'Dai Loc'!I175+'Dong Lam'!I175+'Khanh Nga'!I175+TDP!I175+DTRVL!I175</f>
        <v>59894819254</v>
      </c>
      <c r="J175" s="148">
        <f>DTR!J175+'Dai Loc'!J175+'Dong Lam'!J175+'Khanh Nga'!J175+TDP!J175+DTRVL!J175</f>
        <v>22973774841</v>
      </c>
      <c r="K175" s="148">
        <f>DTR!K175+'Dai Loc'!K175+'Dong Lam'!K175+'Khanh Nga'!K175+TDP!K175+DTRVL!K175</f>
        <v>57520546</v>
      </c>
      <c r="L175" s="148">
        <f>DTR!L175+'Dai Loc'!L175+'Dong Lam'!L175+'Khanh Nga'!L175+TDP!L175+DTRVL!L175</f>
        <v>14505150483</v>
      </c>
      <c r="M175" s="148">
        <f>DTR!M175+'Dai Loc'!M175+'Dong Lam'!M175+'Khanh Nga'!M175+TDP!M175+DTRVL!M175</f>
        <v>-49344151598</v>
      </c>
      <c r="N175" s="148">
        <f>DTR!N175+'Dai Loc'!N175+'Dong Lam'!N175+'Khanh Nga'!N175+TDP!N175+DTRVL!N175</f>
        <v>-1703229829.9999998</v>
      </c>
      <c r="O175" s="148">
        <f>DTR!O175+'Dai Loc'!O175+'Dong Lam'!O175+'Khanh Nga'!O175+TDP!O175+DTRVL!O175</f>
        <v>73442833735.000107</v>
      </c>
      <c r="P175" s="148">
        <f>DTR!P175+'Dai Loc'!P175+'Dong Lam'!P175+'Khanh Nga'!P175+TDP!P175+DTRVL!P175</f>
        <v>48071415904.999901</v>
      </c>
      <c r="Q175" s="148">
        <f>DTR!Q175+'Dai Loc'!Q175+'Dong Lam'!Q175+'Khanh Nga'!Q175+TDP!Q175+DTRVL!Q175</f>
        <v>-17204590181</v>
      </c>
      <c r="R175" s="148">
        <f>DTR!R175+'Dai Loc'!R175+'Dong Lam'!R175+'Khanh Nga'!R175+TDP!R175+DTRVL!R175</f>
        <v>-31578643179</v>
      </c>
      <c r="S175" s="148">
        <f>DTR!S175+'Dai Loc'!S175+'Dong Lam'!S175+'Khanh Nga'!S175+TDP!S175+DTRVL!S175</f>
        <v>-24664732507</v>
      </c>
      <c r="T175" s="148">
        <f>DTR!T175+'Dai Loc'!T175+'Dong Lam'!T175+'Khanh Nga'!T175+TDP!T175+DTRVL!T175</f>
        <v>-17259429454</v>
      </c>
      <c r="U175" s="148">
        <f>DTR!U175+'Dai Loc'!U175+'Dong Lam'!U175+'Khanh Nga'!U175+TDP!U175+DTRVL!U175</f>
        <v>-28403748185.999901</v>
      </c>
      <c r="V175" s="148">
        <f>DTR!V175+'Dai Loc'!V175+'Dong Lam'!V175+'Khanh Nga'!V175+TDP!V175+DTRVL!V175</f>
        <v>-32846855547</v>
      </c>
      <c r="W175" s="148">
        <f>DTR!W175+'Dai Loc'!W175+'Dong Lam'!W175+'Khanh Nga'!W175+TDP!W175+DTRVL!W175</f>
        <v>27488458719.999901</v>
      </c>
      <c r="X175" s="148">
        <f>DTR!X175+'Dai Loc'!X175+'Dong Lam'!X175+'Khanh Nga'!X175+TDP!X175+DTRVL!X175</f>
        <v>67153057901</v>
      </c>
      <c r="Y175" s="148">
        <f>DTR!Y175+'Dai Loc'!Y175+'Dong Lam'!Y175+'Khanh Nga'!Y175+TDP!Y175+DTRVL!Y175</f>
        <v>-1637423795</v>
      </c>
      <c r="Z175" s="147">
        <f>DTR!Z175+'Dai Loc'!Z175+'Dong Lam'!Z175+'Khanh Nga'!Z175+TDP!Z175+DTRVL!Z175</f>
        <v>-20495443712</v>
      </c>
    </row>
    <row r="176" spans="1:26" ht="15" customHeight="1">
      <c r="A176" s="145" t="s">
        <v>262</v>
      </c>
      <c r="B176" s="146">
        <v>21</v>
      </c>
      <c r="C176" s="147">
        <f>DTR!C176+'Dai Loc'!C176+'Dong Lam'!C176+'Khanh Nga'!C176+TDP!C176+DTRVL!C176</f>
        <v>0</v>
      </c>
      <c r="D176" s="147">
        <f>DTR!D176+'Dai Loc'!D176+'Dong Lam'!D176+'Khanh Nga'!D176+TDP!D176+DTRVL!D176</f>
        <v>0</v>
      </c>
      <c r="E176" s="147">
        <f>DTR!E176+'Dai Loc'!E176+'Dong Lam'!E176+'Khanh Nga'!E176+TDP!E176+DTRVL!E176</f>
        <v>0</v>
      </c>
      <c r="F176" s="147">
        <f>DTR!F176+'Dai Loc'!F176+'Dong Lam'!F176+'Khanh Nga'!F176+TDP!F176+DTRVL!F176</f>
        <v>0</v>
      </c>
      <c r="G176" s="147">
        <f>DTR!G176+'Dai Loc'!G176+'Dong Lam'!G176+'Khanh Nga'!G176+TDP!G176+DTRVL!G176</f>
        <v>0</v>
      </c>
      <c r="H176" s="147">
        <f>DTR!H176+'Dai Loc'!H176+'Dong Lam'!H176+'Khanh Nga'!H176+TDP!H176+DTRVL!H176</f>
        <v>0</v>
      </c>
      <c r="I176" s="147">
        <f>DTR!I176+'Dai Loc'!I176+'Dong Lam'!I176+'Khanh Nga'!I176+TDP!I176+DTRVL!I176</f>
        <v>0</v>
      </c>
      <c r="J176" s="147">
        <f>DTR!J176+'Dai Loc'!J176+'Dong Lam'!J176+'Khanh Nga'!J176+TDP!J176+DTRVL!J176</f>
        <v>0</v>
      </c>
      <c r="K176" s="147">
        <f>DTR!K176+'Dai Loc'!K176+'Dong Lam'!K176+'Khanh Nga'!K176+TDP!K176+DTRVL!K176</f>
        <v>0</v>
      </c>
      <c r="L176" s="147">
        <f>DTR!L176+'Dai Loc'!L176+'Dong Lam'!L176+'Khanh Nga'!L176+TDP!L176+DTRVL!L176</f>
        <v>0</v>
      </c>
      <c r="M176" s="147">
        <f>DTR!M176+'Dai Loc'!M176+'Dong Lam'!M176+'Khanh Nga'!M176+TDP!M176+DTRVL!M176</f>
        <v>0</v>
      </c>
      <c r="N176" s="147">
        <f>DTR!N176+'Dai Loc'!N176+'Dong Lam'!N176+'Khanh Nga'!N176+TDP!N176+DTRVL!N176</f>
        <v>0</v>
      </c>
      <c r="O176" s="147">
        <f>DTR!O176+'Dai Loc'!O176+'Dong Lam'!O176+'Khanh Nga'!O176+TDP!O176+DTRVL!O176</f>
        <v>0</v>
      </c>
      <c r="P176" s="147">
        <f>DTR!P176+'Dai Loc'!P176+'Dong Lam'!P176+'Khanh Nga'!P176+TDP!P176+DTRVL!P176</f>
        <v>0</v>
      </c>
      <c r="Q176" s="147">
        <f>DTR!Q176+'Dai Loc'!Q176+'Dong Lam'!Q176+'Khanh Nga'!Q176+TDP!Q176+DTRVL!Q176</f>
        <v>0</v>
      </c>
      <c r="R176" s="147">
        <f>DTR!R176+'Dai Loc'!R176+'Dong Lam'!R176+'Khanh Nga'!R176+TDP!R176+DTRVL!R176</f>
        <v>0</v>
      </c>
      <c r="S176" s="147">
        <f>DTR!S176+'Dai Loc'!S176+'Dong Lam'!S176+'Khanh Nga'!S176+TDP!S176+DTRVL!S176</f>
        <v>0</v>
      </c>
      <c r="T176" s="147">
        <f>DTR!T176+'Dai Loc'!T176+'Dong Lam'!T176+'Khanh Nga'!T176+TDP!T176+DTRVL!T176</f>
        <v>0</v>
      </c>
      <c r="U176" s="147">
        <f>DTR!U176+'Dai Loc'!U176+'Dong Lam'!U176+'Khanh Nga'!U176+TDP!U176+DTRVL!U176</f>
        <v>0</v>
      </c>
      <c r="V176" s="147">
        <f>DTR!V176+'Dai Loc'!V176+'Dong Lam'!V176+'Khanh Nga'!V176+TDP!V176+DTRVL!V176</f>
        <v>0</v>
      </c>
      <c r="W176" s="147">
        <f>DTR!W176+'Dai Loc'!W176+'Dong Lam'!W176+'Khanh Nga'!W176+TDP!W176+DTRVL!W176</f>
        <v>0</v>
      </c>
      <c r="X176" s="147">
        <f>DTR!X176+'Dai Loc'!X176+'Dong Lam'!X176+'Khanh Nga'!X176+TDP!X176+DTRVL!X176</f>
        <v>64017</v>
      </c>
      <c r="Y176" s="147">
        <f>DTR!Y176+'Dai Loc'!Y176+'Dong Lam'!Y176+'Khanh Nga'!Y176+TDP!Y176+DTRVL!Y176</f>
        <v>0</v>
      </c>
      <c r="Z176" s="163">
        <f>DTR!Z176+'Dai Loc'!Z176+'Dong Lam'!Z176+'Khanh Nga'!Z176+TDP!Z176+DTRVL!Z176</f>
        <v>0</v>
      </c>
    </row>
    <row r="177" spans="1:26" ht="14">
      <c r="A177" s="164" t="s">
        <v>263</v>
      </c>
      <c r="B177" s="165">
        <v>22</v>
      </c>
      <c r="C177" s="166">
        <f>DTR!C177+'Dai Loc'!C177+'Dong Lam'!C177+'Khanh Nga'!C177+TDP!C177+DTRVL!C177</f>
        <v>-4433253562</v>
      </c>
      <c r="D177" s="166">
        <f>DTR!D177+'Dai Loc'!D177+'Dong Lam'!D177+'Khanh Nga'!D177+TDP!D177+DTRVL!D177</f>
        <v>-4806499635</v>
      </c>
      <c r="E177" s="166">
        <f>DTR!E177+'Dai Loc'!E177+'Dong Lam'!E177+'Khanh Nga'!E177+TDP!E177+DTRVL!E177</f>
        <v>-1178976480</v>
      </c>
      <c r="F177" s="166">
        <f>DTR!F177+'Dai Loc'!F177+'Dong Lam'!F177+'Khanh Nga'!F177+TDP!F177+DTRVL!F177</f>
        <v>-2137822833</v>
      </c>
      <c r="G177" s="166">
        <f>DTR!G177+'Dai Loc'!G177+'Dong Lam'!G177+'Khanh Nga'!G177+TDP!G177+DTRVL!G177</f>
        <v>-1997868497</v>
      </c>
      <c r="H177" s="166">
        <f>DTR!H177+'Dai Loc'!H177+'Dong Lam'!H177+'Khanh Nga'!H177+TDP!H177+DTRVL!H177</f>
        <v>-779289764</v>
      </c>
      <c r="I177" s="166">
        <f>DTR!I177+'Dai Loc'!I177+'Dong Lam'!I177+'Khanh Nga'!I177+TDP!I177+DTRVL!I177</f>
        <v>-1731396930</v>
      </c>
      <c r="J177" s="166">
        <f>DTR!J177+'Dai Loc'!J177+'Dong Lam'!J177+'Khanh Nga'!J177+TDP!J177+DTRVL!J177</f>
        <v>-587684497</v>
      </c>
      <c r="K177" s="166">
        <f>DTR!K177+'Dai Loc'!K177+'Dong Lam'!K177+'Khanh Nga'!K177+TDP!K177+DTRVL!K177</f>
        <v>-737051257</v>
      </c>
      <c r="L177" s="166">
        <f>DTR!L177+'Dai Loc'!L177+'Dong Lam'!L177+'Khanh Nga'!L177+TDP!L177+DTRVL!L177</f>
        <v>-2432817561</v>
      </c>
      <c r="M177" s="166">
        <f>DTR!M177+'Dai Loc'!M177+'Dong Lam'!M177+'Khanh Nga'!M177+TDP!M177+DTRVL!M177</f>
        <v>-4956702014.9965801</v>
      </c>
      <c r="N177" s="166">
        <f>DTR!N177+'Dai Loc'!N177+'Dong Lam'!N177+'Khanh Nga'!N177+TDP!N177+DTRVL!N177</f>
        <v>-10070018910.996582</v>
      </c>
      <c r="O177" s="166">
        <f>DTR!O177+'Dai Loc'!O177+'Dong Lam'!O177+'Khanh Nga'!O177+TDP!O177+DTRVL!O177</f>
        <v>-9821622713</v>
      </c>
      <c r="P177" s="166">
        <f>DTR!P177+'Dai Loc'!P177+'Dong Lam'!P177+'Khanh Nga'!P177+TDP!P177+DTRVL!P177</f>
        <v>-2791142302</v>
      </c>
      <c r="Q177" s="166">
        <f>DTR!Q177+'Dai Loc'!Q177+'Dong Lam'!Q177+'Khanh Nga'!Q177+TDP!Q177+DTRVL!Q177</f>
        <v>-5471315854</v>
      </c>
      <c r="R177" s="166">
        <f>DTR!R177+'Dai Loc'!R177+'Dong Lam'!R177+'Khanh Nga'!R177+TDP!R177+DTRVL!R177</f>
        <v>-3883627959</v>
      </c>
      <c r="S177" s="166">
        <f>DTR!S177+'Dai Loc'!S177+'Dong Lam'!S177+'Khanh Nga'!S177+TDP!S177+DTRVL!S177</f>
        <v>-9506285511</v>
      </c>
      <c r="T177" s="166">
        <f>DTR!T177+'Dai Loc'!T177+'Dong Lam'!T177+'Khanh Nga'!T177+TDP!T177+DTRVL!T177</f>
        <v>-7002001812</v>
      </c>
      <c r="U177" s="166">
        <f>DTR!U177+'Dai Loc'!U177+'Dong Lam'!U177+'Khanh Nga'!U177+TDP!U177+DTRVL!U177</f>
        <v>1109740305</v>
      </c>
      <c r="V177" s="166">
        <f>DTR!V177+'Dai Loc'!V177+'Dong Lam'!V177+'Khanh Nga'!V177+TDP!V177+DTRVL!V177</f>
        <v>-4865692586</v>
      </c>
      <c r="W177" s="166">
        <f>DTR!W177+'Dai Loc'!W177+'Dong Lam'!W177+'Khanh Nga'!W177+TDP!W177+DTRVL!W177</f>
        <v>-12299284463</v>
      </c>
      <c r="X177" s="166">
        <f>DTR!X177+'Dai Loc'!X177+'Dong Lam'!X177+'Khanh Nga'!X177+TDP!X177+DTRVL!X177</f>
        <v>-16012258392</v>
      </c>
      <c r="Y177" s="166">
        <f>DTR!Y177+'Dai Loc'!Y177+'Dong Lam'!Y177+'Khanh Nga'!Y177+TDP!Y177+DTRVL!Y177</f>
        <v>-5017993937</v>
      </c>
      <c r="Z177" s="166">
        <f>DTR!Z177+'Dai Loc'!Z177+'Dong Lam'!Z177+'Khanh Nga'!Z177+TDP!Z177+DTRVL!Z177</f>
        <v>-12497879821</v>
      </c>
    </row>
    <row r="178" spans="1:26" ht="14">
      <c r="A178" s="164" t="s">
        <v>264</v>
      </c>
      <c r="B178" s="165">
        <v>23</v>
      </c>
      <c r="C178" s="166">
        <f>DTR!C178+'Dai Loc'!C178+'Dong Lam'!C178+'Khanh Nga'!C178+TDP!C178+DTRVL!C178</f>
        <v>0</v>
      </c>
      <c r="D178" s="166">
        <f>DTR!D178+'Dai Loc'!D178+'Dong Lam'!D178+'Khanh Nga'!D178+TDP!D178+DTRVL!D178</f>
        <v>0</v>
      </c>
      <c r="E178" s="166">
        <f>DTR!E178+'Dai Loc'!E178+'Dong Lam'!E178+'Khanh Nga'!E178+TDP!E178+DTRVL!E178</f>
        <v>0</v>
      </c>
      <c r="F178" s="166">
        <f>DTR!F178+'Dai Loc'!F178+'Dong Lam'!F178+'Khanh Nga'!F178+TDP!F178+DTRVL!F178</f>
        <v>81700000</v>
      </c>
      <c r="G178" s="166">
        <f>DTR!G178+'Dai Loc'!G178+'Dong Lam'!G178+'Khanh Nga'!G178+TDP!G178+DTRVL!G178</f>
        <v>0</v>
      </c>
      <c r="H178" s="166">
        <f>DTR!H178+'Dai Loc'!H178+'Dong Lam'!H178+'Khanh Nga'!H178+TDP!H178+DTRVL!H178</f>
        <v>0</v>
      </c>
      <c r="I178" s="166">
        <f>DTR!I178+'Dai Loc'!I178+'Dong Lam'!I178+'Khanh Nga'!I178+TDP!I178+DTRVL!I178</f>
        <v>0</v>
      </c>
      <c r="J178" s="166">
        <f>DTR!J178+'Dai Loc'!J178+'Dong Lam'!J178+'Khanh Nga'!J178+TDP!J178+DTRVL!J178</f>
        <v>0</v>
      </c>
      <c r="K178" s="166">
        <f>DTR!K178+'Dai Loc'!K178+'Dong Lam'!K178+'Khanh Nga'!K178+TDP!K178+DTRVL!K178</f>
        <v>0</v>
      </c>
      <c r="L178" s="166">
        <f>DTR!L178+'Dai Loc'!L178+'Dong Lam'!L178+'Khanh Nga'!L178+TDP!L178+DTRVL!L178</f>
        <v>0</v>
      </c>
      <c r="M178" s="166">
        <f>DTR!M178+'Dai Loc'!M178+'Dong Lam'!M178+'Khanh Nga'!M178+TDP!M178+DTRVL!M178</f>
        <v>0</v>
      </c>
      <c r="N178" s="166">
        <f>DTR!N178+'Dai Loc'!N178+'Dong Lam'!N178+'Khanh Nga'!N178+TDP!N178+DTRVL!N178</f>
        <v>0</v>
      </c>
      <c r="O178" s="166">
        <f>DTR!O178+'Dai Loc'!O178+'Dong Lam'!O178+'Khanh Nga'!O178+TDP!O178+DTRVL!O178</f>
        <v>0</v>
      </c>
      <c r="P178" s="166">
        <f>DTR!P178+'Dai Loc'!P178+'Dong Lam'!P178+'Khanh Nga'!P178+TDP!P178+DTRVL!P178</f>
        <v>0</v>
      </c>
      <c r="Q178" s="166">
        <f>DTR!Q178+'Dai Loc'!Q178+'Dong Lam'!Q178+'Khanh Nga'!Q178+TDP!Q178+DTRVL!Q178</f>
        <v>0</v>
      </c>
      <c r="R178" s="166">
        <f>DTR!R178+'Dai Loc'!R178+'Dong Lam'!R178+'Khanh Nga'!R178+TDP!R178+DTRVL!R178</f>
        <v>623633187</v>
      </c>
      <c r="S178" s="166">
        <f>DTR!S178+'Dai Loc'!S178+'Dong Lam'!S178+'Khanh Nga'!S178+TDP!S178+DTRVL!S178</f>
        <v>95000000</v>
      </c>
      <c r="T178" s="166">
        <f>DTR!T178+'Dai Loc'!T178+'Dong Lam'!T178+'Khanh Nga'!T178+TDP!T178+DTRVL!T178</f>
        <v>226000000</v>
      </c>
      <c r="U178" s="166">
        <f>DTR!U178+'Dai Loc'!U178+'Dong Lam'!U178+'Khanh Nga'!U178+TDP!U178+DTRVL!U178</f>
        <v>0</v>
      </c>
      <c r="V178" s="166">
        <f>DTR!V178+'Dai Loc'!V178+'Dong Lam'!V178+'Khanh Nga'!V178+TDP!V178+DTRVL!V178</f>
        <v>226000000</v>
      </c>
      <c r="W178" s="166">
        <f>DTR!W178+'Dai Loc'!W178+'Dong Lam'!W178+'Khanh Nga'!W178+TDP!W178+DTRVL!W178</f>
        <v>0</v>
      </c>
      <c r="X178" s="166">
        <f>DTR!X178+'Dai Loc'!X178+'Dong Lam'!X178+'Khanh Nga'!X178+TDP!X178+DTRVL!X178</f>
        <v>0</v>
      </c>
      <c r="Y178" s="166">
        <f>DTR!Y178+'Dai Loc'!Y178+'Dong Lam'!Y178+'Khanh Nga'!Y178+TDP!Y178+DTRVL!Y178</f>
        <v>0</v>
      </c>
      <c r="Z178" s="166">
        <f>DTR!Z178+'Dai Loc'!Z178+'Dong Lam'!Z178+'Khanh Nga'!Z178+TDP!Z178+DTRVL!Z178</f>
        <v>0</v>
      </c>
    </row>
    <row r="179" spans="1:26" ht="14">
      <c r="A179" s="164" t="s">
        <v>265</v>
      </c>
      <c r="B179" s="165">
        <v>24</v>
      </c>
      <c r="C179" s="166">
        <f>DTR!C179+'Dai Loc'!C179+'Dong Lam'!C179+'Khanh Nga'!C179+TDP!C179+DTRVL!C179</f>
        <v>0</v>
      </c>
      <c r="D179" s="166">
        <f>DTR!D179+'Dai Loc'!D179+'Dong Lam'!D179+'Khanh Nga'!D179+TDP!D179+DTRVL!D179</f>
        <v>0</v>
      </c>
      <c r="E179" s="166">
        <f>DTR!E179+'Dai Loc'!E179+'Dong Lam'!E179+'Khanh Nga'!E179+TDP!E179+DTRVL!E179</f>
        <v>0</v>
      </c>
      <c r="F179" s="166">
        <f>DTR!F179+'Dai Loc'!F179+'Dong Lam'!F179+'Khanh Nga'!F179+TDP!F179+DTRVL!F179</f>
        <v>0</v>
      </c>
      <c r="G179" s="166">
        <f>DTR!G179+'Dai Loc'!G179+'Dong Lam'!G179+'Khanh Nga'!G179+TDP!G179+DTRVL!G179</f>
        <v>0</v>
      </c>
      <c r="H179" s="166">
        <f>DTR!H179+'Dai Loc'!H179+'Dong Lam'!H179+'Khanh Nga'!H179+TDP!H179+DTRVL!H179</f>
        <v>0</v>
      </c>
      <c r="I179" s="166">
        <f>DTR!I179+'Dai Loc'!I179+'Dong Lam'!I179+'Khanh Nga'!I179+TDP!I179+DTRVL!I179</f>
        <v>0</v>
      </c>
      <c r="J179" s="166">
        <f>DTR!J179+'Dai Loc'!J179+'Dong Lam'!J179+'Khanh Nga'!J179+TDP!J179+DTRVL!J179</f>
        <v>0</v>
      </c>
      <c r="K179" s="166">
        <f>DTR!K179+'Dai Loc'!K179+'Dong Lam'!K179+'Khanh Nga'!K179+TDP!K179+DTRVL!K179</f>
        <v>0</v>
      </c>
      <c r="L179" s="166">
        <f>DTR!L179+'Dai Loc'!L179+'Dong Lam'!L179+'Khanh Nga'!L179+TDP!L179+DTRVL!L179</f>
        <v>0</v>
      </c>
      <c r="M179" s="166">
        <f>DTR!M179+'Dai Loc'!M179+'Dong Lam'!M179+'Khanh Nga'!M179+TDP!M179+DTRVL!M179</f>
        <v>0</v>
      </c>
      <c r="N179" s="166">
        <f>DTR!N179+'Dai Loc'!N179+'Dong Lam'!N179+'Khanh Nga'!N179+TDP!N179+DTRVL!N179</f>
        <v>0</v>
      </c>
      <c r="O179" s="166">
        <f>DTR!O179+'Dai Loc'!O179+'Dong Lam'!O179+'Khanh Nga'!O179+TDP!O179+DTRVL!O179</f>
        <v>-2000000000</v>
      </c>
      <c r="P179" s="166">
        <f>DTR!P179+'Dai Loc'!P179+'Dong Lam'!P179+'Khanh Nga'!P179+TDP!P179+DTRVL!P179</f>
        <v>2000000000</v>
      </c>
      <c r="Q179" s="166">
        <f>DTR!Q179+'Dai Loc'!Q179+'Dong Lam'!Q179+'Khanh Nga'!Q179+TDP!Q179+DTRVL!Q179</f>
        <v>-37000000000</v>
      </c>
      <c r="R179" s="166">
        <f>DTR!R179+'Dai Loc'!R179+'Dong Lam'!R179+'Khanh Nga'!R179+TDP!R179+DTRVL!R179</f>
        <v>-30000000000</v>
      </c>
      <c r="S179" s="166">
        <f>DTR!S179+'Dai Loc'!S179+'Dong Lam'!S179+'Khanh Nga'!S179+TDP!S179+DTRVL!S179</f>
        <v>-10000000000</v>
      </c>
      <c r="T179" s="166">
        <f>DTR!T179+'Dai Loc'!T179+'Dong Lam'!T179+'Khanh Nga'!T179+TDP!T179+DTRVL!T179</f>
        <v>0</v>
      </c>
      <c r="U179" s="166">
        <f>DTR!U179+'Dai Loc'!U179+'Dong Lam'!U179+'Khanh Nga'!U179+TDP!U179+DTRVL!U179</f>
        <v>0</v>
      </c>
      <c r="V179" s="166">
        <f>DTR!V179+'Dai Loc'!V179+'Dong Lam'!V179+'Khanh Nga'!V179+TDP!V179+DTRVL!V179</f>
        <v>0</v>
      </c>
      <c r="W179" s="166">
        <f>DTR!W179+'Dai Loc'!W179+'Dong Lam'!W179+'Khanh Nga'!W179+TDP!W179+DTRVL!W179</f>
        <v>0</v>
      </c>
      <c r="X179" s="166">
        <f>DTR!X179+'Dai Loc'!X179+'Dong Lam'!X179+'Khanh Nga'!X179+TDP!X179+DTRVL!X179</f>
        <v>-20000000000</v>
      </c>
      <c r="Y179" s="166">
        <f>DTR!Y179+'Dai Loc'!Y179+'Dong Lam'!Y179+'Khanh Nga'!Y179+TDP!Y179+DTRVL!Y179</f>
        <v>-20000000000</v>
      </c>
      <c r="Z179" s="166">
        <f>DTR!Z179+'Dai Loc'!Z179+'Dong Lam'!Z179+'Khanh Nga'!Z179+TDP!Z179+DTRVL!Z179</f>
        <v>-6000000000</v>
      </c>
    </row>
    <row r="180" spans="1:26" ht="14">
      <c r="A180" s="164" t="s">
        <v>266</v>
      </c>
      <c r="B180" s="165">
        <v>25</v>
      </c>
      <c r="C180" s="166">
        <f>DTR!C180+'Dai Loc'!C180+'Dong Lam'!C180+'Khanh Nga'!C180+TDP!C180+DTRVL!C180</f>
        <v>0</v>
      </c>
      <c r="D180" s="166">
        <f>DTR!D180+'Dai Loc'!D180+'Dong Lam'!D180+'Khanh Nga'!D180+TDP!D180+DTRVL!D180</f>
        <v>0</v>
      </c>
      <c r="E180" s="166">
        <f>DTR!E180+'Dai Loc'!E180+'Dong Lam'!E180+'Khanh Nga'!E180+TDP!E180+DTRVL!E180</f>
        <v>0</v>
      </c>
      <c r="F180" s="166">
        <f>DTR!F180+'Dai Loc'!F180+'Dong Lam'!F180+'Khanh Nga'!F180+TDP!F180+DTRVL!F180</f>
        <v>0</v>
      </c>
      <c r="G180" s="166">
        <f>DTR!G180+'Dai Loc'!G180+'Dong Lam'!G180+'Khanh Nga'!G180+TDP!G180+DTRVL!G180</f>
        <v>0</v>
      </c>
      <c r="H180" s="166">
        <f>DTR!H180+'Dai Loc'!H180+'Dong Lam'!H180+'Khanh Nga'!H180+TDP!H180+DTRVL!H180</f>
        <v>0</v>
      </c>
      <c r="I180" s="166">
        <f>DTR!I180+'Dai Loc'!I180+'Dong Lam'!I180+'Khanh Nga'!I180+TDP!I180+DTRVL!I180</f>
        <v>0</v>
      </c>
      <c r="J180" s="166">
        <f>DTR!J180+'Dai Loc'!J180+'Dong Lam'!J180+'Khanh Nga'!J180+TDP!J180+DTRVL!J180</f>
        <v>0</v>
      </c>
      <c r="K180" s="166">
        <f>DTR!K180+'Dai Loc'!K180+'Dong Lam'!K180+'Khanh Nga'!K180+TDP!K180+DTRVL!K180</f>
        <v>0</v>
      </c>
      <c r="L180" s="166">
        <f>DTR!L180+'Dai Loc'!L180+'Dong Lam'!L180+'Khanh Nga'!L180+TDP!L180+DTRVL!L180</f>
        <v>0</v>
      </c>
      <c r="M180" s="166">
        <f>DTR!M180+'Dai Loc'!M180+'Dong Lam'!M180+'Khanh Nga'!M180+TDP!M180+DTRVL!M180</f>
        <v>0</v>
      </c>
      <c r="N180" s="166">
        <f>DTR!N180+'Dai Loc'!N180+'Dong Lam'!N180+'Khanh Nga'!N180+TDP!N180+DTRVL!N180</f>
        <v>0</v>
      </c>
      <c r="O180" s="166">
        <f>DTR!O180+'Dai Loc'!O180+'Dong Lam'!O180+'Khanh Nga'!O180+TDP!O180+DTRVL!O180</f>
        <v>0</v>
      </c>
      <c r="P180" s="166">
        <f>DTR!P180+'Dai Loc'!P180+'Dong Lam'!P180+'Khanh Nga'!P180+TDP!P180+DTRVL!P180</f>
        <v>0</v>
      </c>
      <c r="Q180" s="166">
        <f>DTR!Q180+'Dai Loc'!Q180+'Dong Lam'!Q180+'Khanh Nga'!Q180+TDP!Q180+DTRVL!Q180</f>
        <v>0</v>
      </c>
      <c r="R180" s="166">
        <f>DTR!R180+'Dai Loc'!R180+'Dong Lam'!R180+'Khanh Nga'!R180+TDP!R180+DTRVL!R180</f>
        <v>5500000000</v>
      </c>
      <c r="S180" s="166">
        <f>DTR!S180+'Dai Loc'!S180+'Dong Lam'!S180+'Khanh Nga'!S180+TDP!S180+DTRVL!S180</f>
        <v>0</v>
      </c>
      <c r="T180" s="166">
        <f>DTR!T180+'Dai Loc'!T180+'Dong Lam'!T180+'Khanh Nga'!T180+TDP!T180+DTRVL!T180</f>
        <v>0</v>
      </c>
      <c r="U180" s="166">
        <f>DTR!U180+'Dai Loc'!U180+'Dong Lam'!U180+'Khanh Nga'!U180+TDP!U180+DTRVL!U180</f>
        <v>15000000000</v>
      </c>
      <c r="V180" s="166">
        <f>DTR!V180+'Dai Loc'!V180+'Dong Lam'!V180+'Khanh Nga'!V180+TDP!V180+DTRVL!V180</f>
        <v>0</v>
      </c>
      <c r="W180" s="166">
        <f>DTR!W180+'Dai Loc'!W180+'Dong Lam'!W180+'Khanh Nga'!W180+TDP!W180+DTRVL!W180</f>
        <v>12000000000</v>
      </c>
      <c r="X180" s="166">
        <f>DTR!X180+'Dai Loc'!X180+'Dong Lam'!X180+'Khanh Nga'!X180+TDP!X180+DTRVL!X180</f>
        <v>10000000000</v>
      </c>
      <c r="Y180" s="166">
        <f>DTR!Y180+'Dai Loc'!Y180+'Dong Lam'!Y180+'Khanh Nga'!Y180+TDP!Y180+DTRVL!Y180</f>
        <v>30000000000</v>
      </c>
      <c r="Z180" s="166">
        <f>DTR!Z180+'Dai Loc'!Z180+'Dong Lam'!Z180+'Khanh Nga'!Z180+TDP!Z180+DTRVL!Z180</f>
        <v>25000000000</v>
      </c>
    </row>
    <row r="181" spans="1:26" ht="15" customHeight="1">
      <c r="A181" s="164" t="s">
        <v>267</v>
      </c>
      <c r="B181" s="165">
        <v>26</v>
      </c>
      <c r="C181" s="166">
        <f>DTR!C181+'Dai Loc'!C181+'Dong Lam'!C181+'Khanh Nga'!C181+TDP!C181+DTRVL!C181</f>
        <v>0</v>
      </c>
      <c r="D181" s="166">
        <f>DTR!D181+'Dai Loc'!D181+'Dong Lam'!D181+'Khanh Nga'!D181+TDP!D181+DTRVL!D181</f>
        <v>0</v>
      </c>
      <c r="E181" s="166">
        <f>DTR!E181+'Dai Loc'!E181+'Dong Lam'!E181+'Khanh Nga'!E181+TDP!E181+DTRVL!E181</f>
        <v>0</v>
      </c>
      <c r="F181" s="166">
        <f>DTR!F181+'Dai Loc'!F181+'Dong Lam'!F181+'Khanh Nga'!F181+TDP!F181+DTRVL!F181</f>
        <v>0</v>
      </c>
      <c r="G181" s="166">
        <f>DTR!G181+'Dai Loc'!G181+'Dong Lam'!G181+'Khanh Nga'!G181+TDP!G181+DTRVL!G181</f>
        <v>0</v>
      </c>
      <c r="H181" s="166">
        <f>DTR!H181+'Dai Loc'!H181+'Dong Lam'!H181+'Khanh Nga'!H181+TDP!H181+DTRVL!H181</f>
        <v>0</v>
      </c>
      <c r="I181" s="166">
        <f>DTR!I181+'Dai Loc'!I181+'Dong Lam'!I181+'Khanh Nga'!I181+TDP!I181+DTRVL!I181</f>
        <v>0</v>
      </c>
      <c r="J181" s="166">
        <f>DTR!J181+'Dai Loc'!J181+'Dong Lam'!J181+'Khanh Nga'!J181+TDP!J181+DTRVL!J181</f>
        <v>0</v>
      </c>
      <c r="K181" s="166">
        <f>DTR!K181+'Dai Loc'!K181+'Dong Lam'!K181+'Khanh Nga'!K181+TDP!K181+DTRVL!K181</f>
        <v>-830000000</v>
      </c>
      <c r="L181" s="166">
        <f>DTR!L181+'Dai Loc'!L181+'Dong Lam'!L181+'Khanh Nga'!L181+TDP!L181+DTRVL!L181</f>
        <v>0</v>
      </c>
      <c r="M181" s="166">
        <f>DTR!M181+'Dai Loc'!M181+'Dong Lam'!M181+'Khanh Nga'!M181+TDP!M181+DTRVL!M181</f>
        <v>0</v>
      </c>
      <c r="N181" s="166">
        <f>DTR!N181+'Dai Loc'!N181+'Dong Lam'!N181+'Khanh Nga'!N181+TDP!N181+DTRVL!N181</f>
        <v>0</v>
      </c>
      <c r="O181" s="166">
        <f>DTR!O181+'Dai Loc'!O181+'Dong Lam'!O181+'Khanh Nga'!O181+TDP!O181+DTRVL!O181</f>
        <v>0</v>
      </c>
      <c r="P181" s="166">
        <f>DTR!P181+'Dai Loc'!P181+'Dong Lam'!P181+'Khanh Nga'!P181+TDP!P181+DTRVL!P181</f>
        <v>0</v>
      </c>
      <c r="Q181" s="166">
        <f>DTR!Q181+'Dai Loc'!Q181+'Dong Lam'!Q181+'Khanh Nga'!Q181+TDP!Q181+DTRVL!Q181</f>
        <v>0</v>
      </c>
      <c r="R181" s="166">
        <f>DTR!R181+'Dai Loc'!R181+'Dong Lam'!R181+'Khanh Nga'!R181+TDP!R181+DTRVL!R181</f>
        <v>0</v>
      </c>
      <c r="S181" s="166">
        <f>DTR!S181+'Dai Loc'!S181+'Dong Lam'!S181+'Khanh Nga'!S181+TDP!S181+DTRVL!S181</f>
        <v>0</v>
      </c>
      <c r="T181" s="166">
        <f>DTR!T181+'Dai Loc'!T181+'Dong Lam'!T181+'Khanh Nga'!T181+TDP!T181+DTRVL!T181</f>
        <v>0</v>
      </c>
      <c r="U181" s="166">
        <f>DTR!U181+'Dai Loc'!U181+'Dong Lam'!U181+'Khanh Nga'!U181+TDP!U181+DTRVL!U181</f>
        <v>0</v>
      </c>
      <c r="V181" s="166">
        <f>DTR!V181+'Dai Loc'!V181+'Dong Lam'!V181+'Khanh Nga'!V181+TDP!V181+DTRVL!V181</f>
        <v>0</v>
      </c>
      <c r="W181" s="166">
        <f>DTR!W181+'Dai Loc'!W181+'Dong Lam'!W181+'Khanh Nga'!W181+TDP!W181+DTRVL!W181</f>
        <v>0</v>
      </c>
      <c r="X181" s="166">
        <f>DTR!X181+'Dai Loc'!X181+'Dong Lam'!X181+'Khanh Nga'!X181+TDP!X181+DTRVL!X181</f>
        <v>0</v>
      </c>
      <c r="Y181" s="166">
        <f>DTR!Y181+'Dai Loc'!Y181+'Dong Lam'!Y181+'Khanh Nga'!Y181+TDP!Y181+DTRVL!Y181</f>
        <v>0</v>
      </c>
      <c r="Z181" s="166">
        <f>DTR!Z181+'Dai Loc'!Z181+'Dong Lam'!Z181+'Khanh Nga'!Z181+TDP!Z181+DTRVL!Z181</f>
        <v>0</v>
      </c>
    </row>
    <row r="182" spans="1:26" ht="15" customHeight="1">
      <c r="A182" s="164" t="s">
        <v>268</v>
      </c>
      <c r="B182" s="165">
        <v>27</v>
      </c>
      <c r="C182" s="166">
        <f>DTR!C182+'Dai Loc'!C182+'Dong Lam'!C182+'Khanh Nga'!C182+TDP!C182+DTRVL!C182</f>
        <v>0</v>
      </c>
      <c r="D182" s="166">
        <f>DTR!D182+'Dai Loc'!D182+'Dong Lam'!D182+'Khanh Nga'!D182+TDP!D182+DTRVL!D182</f>
        <v>0</v>
      </c>
      <c r="E182" s="166">
        <f>DTR!E182+'Dai Loc'!E182+'Dong Lam'!E182+'Khanh Nga'!E182+TDP!E182+DTRVL!E182</f>
        <v>0</v>
      </c>
      <c r="F182" s="166">
        <f>DTR!F182+'Dai Loc'!F182+'Dong Lam'!F182+'Khanh Nga'!F182+TDP!F182+DTRVL!F182</f>
        <v>0</v>
      </c>
      <c r="G182" s="166">
        <f>DTR!G182+'Dai Loc'!G182+'Dong Lam'!G182+'Khanh Nga'!G182+TDP!G182+DTRVL!G182</f>
        <v>0</v>
      </c>
      <c r="H182" s="166">
        <f>DTR!H182+'Dai Loc'!H182+'Dong Lam'!H182+'Khanh Nga'!H182+TDP!H182+DTRVL!H182</f>
        <v>0</v>
      </c>
      <c r="I182" s="166">
        <f>DTR!I182+'Dai Loc'!I182+'Dong Lam'!I182+'Khanh Nga'!I182+TDP!I182+DTRVL!I182</f>
        <v>0</v>
      </c>
      <c r="J182" s="166">
        <f>DTR!J182+'Dai Loc'!J182+'Dong Lam'!J182+'Khanh Nga'!J182+TDP!J182+DTRVL!J182</f>
        <v>0</v>
      </c>
      <c r="K182" s="166">
        <f>DTR!K182+'Dai Loc'!K182+'Dong Lam'!K182+'Khanh Nga'!K182+TDP!K182+DTRVL!K182</f>
        <v>0</v>
      </c>
      <c r="L182" s="166">
        <f>DTR!L182+'Dai Loc'!L182+'Dong Lam'!L182+'Khanh Nga'!L182+TDP!L182+DTRVL!L182</f>
        <v>0</v>
      </c>
      <c r="M182" s="166">
        <f>DTR!M182+'Dai Loc'!M182+'Dong Lam'!M182+'Khanh Nga'!M182+TDP!M182+DTRVL!M182</f>
        <v>0</v>
      </c>
      <c r="N182" s="166">
        <f>DTR!N182+'Dai Loc'!N182+'Dong Lam'!N182+'Khanh Nga'!N182+TDP!N182+DTRVL!N182</f>
        <v>0</v>
      </c>
      <c r="O182" s="166">
        <f>DTR!O182+'Dai Loc'!O182+'Dong Lam'!O182+'Khanh Nga'!O182+TDP!O182+DTRVL!O182</f>
        <v>0</v>
      </c>
      <c r="P182" s="166">
        <f>DTR!P182+'Dai Loc'!P182+'Dong Lam'!P182+'Khanh Nga'!P182+TDP!P182+DTRVL!P182</f>
        <v>0</v>
      </c>
      <c r="Q182" s="166">
        <f>DTR!Q182+'Dai Loc'!Q182+'Dong Lam'!Q182+'Khanh Nga'!Q182+TDP!Q182+DTRVL!Q182</f>
        <v>0</v>
      </c>
      <c r="R182" s="166">
        <f>DTR!R182+'Dai Loc'!R182+'Dong Lam'!R182+'Khanh Nga'!R182+TDP!R182+DTRVL!R182</f>
        <v>0</v>
      </c>
      <c r="S182" s="166">
        <f>DTR!S182+'Dai Loc'!S182+'Dong Lam'!S182+'Khanh Nga'!S182+TDP!S182+DTRVL!S182</f>
        <v>0</v>
      </c>
      <c r="T182" s="166">
        <f>DTR!T182+'Dai Loc'!T182+'Dong Lam'!T182+'Khanh Nga'!T182+TDP!T182+DTRVL!T182</f>
        <v>0</v>
      </c>
      <c r="U182" s="166">
        <f>DTR!U182+'Dai Loc'!U182+'Dong Lam'!U182+'Khanh Nga'!U182+TDP!U182+DTRVL!U182</f>
        <v>0</v>
      </c>
      <c r="V182" s="166">
        <f>DTR!V182+'Dai Loc'!V182+'Dong Lam'!V182+'Khanh Nga'!V182+TDP!V182+DTRVL!V182</f>
        <v>0</v>
      </c>
      <c r="W182" s="166">
        <f>DTR!W182+'Dai Loc'!W182+'Dong Lam'!W182+'Khanh Nga'!W182+TDP!W182+DTRVL!W182</f>
        <v>0</v>
      </c>
      <c r="X182" s="166">
        <f>DTR!X182+'Dai Loc'!X182+'Dong Lam'!X182+'Khanh Nga'!X182+TDP!X182+DTRVL!X182</f>
        <v>0</v>
      </c>
      <c r="Y182" s="166">
        <f>DTR!Y182+'Dai Loc'!Y182+'Dong Lam'!Y182+'Khanh Nga'!Y182+TDP!Y182+DTRVL!Y182</f>
        <v>0</v>
      </c>
      <c r="Z182" s="166">
        <f>DTR!Z182+'Dai Loc'!Z182+'Dong Lam'!Z182+'Khanh Nga'!Z182+TDP!Z182+DTRVL!Z182</f>
        <v>0</v>
      </c>
    </row>
    <row r="183" spans="1:26" ht="15" customHeight="1">
      <c r="A183" s="164" t="s">
        <v>269</v>
      </c>
      <c r="B183" s="165">
        <v>28</v>
      </c>
      <c r="C183" s="166">
        <f>DTR!C183+'Dai Loc'!C183+'Dong Lam'!C183+'Khanh Nga'!C183+TDP!C183+DTRVL!C183</f>
        <v>9408148</v>
      </c>
      <c r="D183" s="166">
        <f>DTR!D183+'Dai Loc'!D183+'Dong Lam'!D183+'Khanh Nga'!D183+TDP!D183+DTRVL!D183</f>
        <v>10891376</v>
      </c>
      <c r="E183" s="166">
        <f>DTR!E183+'Dai Loc'!E183+'Dong Lam'!E183+'Khanh Nga'!E183+TDP!E183+DTRVL!E183</f>
        <v>181597914</v>
      </c>
      <c r="F183" s="166">
        <f>DTR!F183+'Dai Loc'!F183+'Dong Lam'!F183+'Khanh Nga'!F183+TDP!F183+DTRVL!F183</f>
        <v>11428642</v>
      </c>
      <c r="G183" s="166">
        <f>DTR!G183+'Dai Loc'!G183+'Dong Lam'!G183+'Khanh Nga'!G183+TDP!G183+DTRVL!G183</f>
        <v>11345250</v>
      </c>
      <c r="H183" s="166">
        <f>DTR!H183+'Dai Loc'!H183+'Dong Lam'!H183+'Khanh Nga'!H183+TDP!H183+DTRVL!H183</f>
        <v>12767732</v>
      </c>
      <c r="I183" s="166">
        <f>DTR!I183+'Dai Loc'!I183+'Dong Lam'!I183+'Khanh Nga'!I183+TDP!I183+DTRVL!I183</f>
        <v>33371970</v>
      </c>
      <c r="J183" s="166">
        <f>DTR!J183+'Dai Loc'!J183+'Dong Lam'!J183+'Khanh Nga'!J183+TDP!J183+DTRVL!J183</f>
        <v>11541316</v>
      </c>
      <c r="K183" s="166">
        <f>DTR!K183+'Dai Loc'!K183+'Dong Lam'!K183+'Khanh Nga'!K183+TDP!K183+DTRVL!K183</f>
        <v>11865736</v>
      </c>
      <c r="L183" s="166">
        <f>DTR!L183+'Dai Loc'!L183+'Dong Lam'!L183+'Khanh Nga'!L183+TDP!L183+DTRVL!L183</f>
        <v>208247257</v>
      </c>
      <c r="M183" s="166">
        <f>DTR!M183+'Dai Loc'!M183+'Dong Lam'!M183+'Khanh Nga'!M183+TDP!M183+DTRVL!M183</f>
        <v>12331934</v>
      </c>
      <c r="N183" s="166">
        <f>DTR!N183+'Dai Loc'!N183+'Dong Lam'!N183+'Khanh Nga'!N183+TDP!N183+DTRVL!N183</f>
        <v>1325716773</v>
      </c>
      <c r="O183" s="166">
        <f>DTR!O183+'Dai Loc'!O183+'Dong Lam'!O183+'Khanh Nga'!O183+TDP!O183+DTRVL!O183</f>
        <v>454849601</v>
      </c>
      <c r="P183" s="166">
        <f>DTR!P183+'Dai Loc'!P183+'Dong Lam'!P183+'Khanh Nga'!P183+TDP!P183+DTRVL!P183</f>
        <v>1295527254</v>
      </c>
      <c r="Q183" s="166">
        <f>DTR!Q183+'Dai Loc'!Q183+'Dong Lam'!Q183+'Khanh Nga'!Q183+TDP!Q183+DTRVL!Q183</f>
        <v>11296757</v>
      </c>
      <c r="R183" s="166">
        <f>DTR!R183+'Dai Loc'!R183+'Dong Lam'!R183+'Khanh Nga'!R183+TDP!R183+DTRVL!R183</f>
        <v>62251036</v>
      </c>
      <c r="S183" s="166">
        <f>DTR!S183+'Dai Loc'!S183+'Dong Lam'!S183+'Khanh Nga'!S183+TDP!S183+DTRVL!S183</f>
        <v>11791098</v>
      </c>
      <c r="T183" s="166">
        <f>DTR!T183+'Dai Loc'!T183+'Dong Lam'!T183+'Khanh Nga'!T183+TDP!T183+DTRVL!T183</f>
        <v>11447590</v>
      </c>
      <c r="U183" s="166">
        <f>DTR!U183+'Dai Loc'!U183+'Dong Lam'!U183+'Khanh Nga'!U183+TDP!U183+DTRVL!U183</f>
        <v>57408816</v>
      </c>
      <c r="V183" s="166">
        <f>DTR!V183+'Dai Loc'!V183+'Dong Lam'!V183+'Khanh Nga'!V183+TDP!V183+DTRVL!V183</f>
        <v>8291385</v>
      </c>
      <c r="W183" s="166">
        <f>DTR!W183+'Dai Loc'!W183+'Dong Lam'!W183+'Khanh Nga'!W183+TDP!W183+DTRVL!W183</f>
        <v>8446685</v>
      </c>
      <c r="X183" s="166">
        <f>DTR!X183+'Dai Loc'!X183+'Dong Lam'!X183+'Khanh Nga'!X183+TDP!X183+DTRVL!X183</f>
        <v>770203083</v>
      </c>
      <c r="Y183" s="166">
        <f>DTR!Y183+'Dai Loc'!Y183+'Dong Lam'!Y183+'Khanh Nga'!Y183+TDP!Y183+DTRVL!Y183</f>
        <v>88716910</v>
      </c>
      <c r="Z183" s="166">
        <f>DTR!Z183+'Dai Loc'!Z183+'Dong Lam'!Z183+'Khanh Nga'!Z183+TDP!Z183+DTRVL!Z183</f>
        <v>376705999</v>
      </c>
    </row>
    <row r="184" spans="1:26" ht="15" customHeight="1">
      <c r="A184" s="145" t="s">
        <v>270</v>
      </c>
      <c r="B184" s="146">
        <v>29</v>
      </c>
      <c r="C184" s="147">
        <f>DTR!C184+'Dai Loc'!C184+'Dong Lam'!C184+'Khanh Nga'!C184+TDP!C184+DTRVL!C184</f>
        <v>-4423845414</v>
      </c>
      <c r="D184" s="147">
        <f>DTR!D184+'Dai Loc'!D184+'Dong Lam'!D184+'Khanh Nga'!D184+TDP!D184+DTRVL!D184</f>
        <v>-4795608259</v>
      </c>
      <c r="E184" s="147">
        <f>DTR!E184+'Dai Loc'!E184+'Dong Lam'!E184+'Khanh Nga'!E184+TDP!E184+DTRVL!E184</f>
        <v>-997378566</v>
      </c>
      <c r="F184" s="147">
        <f>DTR!F184+'Dai Loc'!F184+'Dong Lam'!F184+'Khanh Nga'!F184+TDP!F184+DTRVL!F184</f>
        <v>-2044694191</v>
      </c>
      <c r="G184" s="147">
        <f>DTR!G184+'Dai Loc'!G184+'Dong Lam'!G184+'Khanh Nga'!G184+TDP!G184+DTRVL!G184</f>
        <v>-1986523247</v>
      </c>
      <c r="H184" s="147">
        <f>DTR!H184+'Dai Loc'!H184+'Dong Lam'!H184+'Khanh Nga'!H184+TDP!H184+DTRVL!H184</f>
        <v>-766522032</v>
      </c>
      <c r="I184" s="147">
        <f>DTR!I184+'Dai Loc'!I184+'Dong Lam'!I184+'Khanh Nga'!I184+TDP!I184+DTRVL!I184</f>
        <v>-1698024960</v>
      </c>
      <c r="J184" s="147">
        <f>DTR!J184+'Dai Loc'!J184+'Dong Lam'!J184+'Khanh Nga'!J184+TDP!J184+DTRVL!J184</f>
        <v>-576143181</v>
      </c>
      <c r="K184" s="147">
        <f>DTR!K184+'Dai Loc'!K184+'Dong Lam'!K184+'Khanh Nga'!K184+TDP!K184+DTRVL!K184</f>
        <v>-1555185521</v>
      </c>
      <c r="L184" s="147">
        <f>DTR!L184+'Dai Loc'!L184+'Dong Lam'!L184+'Khanh Nga'!L184+TDP!L184+DTRVL!L184</f>
        <v>-2224570304</v>
      </c>
      <c r="M184" s="147">
        <f>DTR!M184+'Dai Loc'!M184+'Dong Lam'!M184+'Khanh Nga'!M184+TDP!M184+DTRVL!M184</f>
        <v>-4944370080.9965801</v>
      </c>
      <c r="N184" s="147">
        <f>DTR!N184+'Dai Loc'!N184+'Dong Lam'!N184+'Khanh Nga'!N184+TDP!N184+DTRVL!N184</f>
        <v>-8744302137.996582</v>
      </c>
      <c r="O184" s="147">
        <f>DTR!O184+'Dai Loc'!O184+'Dong Lam'!O184+'Khanh Nga'!O184+TDP!O184+DTRVL!O184</f>
        <v>-11366773112</v>
      </c>
      <c r="P184" s="147">
        <f>DTR!P184+'Dai Loc'!P184+'Dong Lam'!P184+'Khanh Nga'!P184+TDP!P184+DTRVL!P184</f>
        <v>504384952</v>
      </c>
      <c r="Q184" s="147">
        <f>DTR!Q184+'Dai Loc'!Q184+'Dong Lam'!Q184+'Khanh Nga'!Q184+TDP!Q184+DTRVL!Q184</f>
        <v>-42460019097</v>
      </c>
      <c r="R184" s="147">
        <f>DTR!R184+'Dai Loc'!R184+'Dong Lam'!R184+'Khanh Nga'!R184+TDP!R184+DTRVL!R184</f>
        <v>-27697743736</v>
      </c>
      <c r="S184" s="147">
        <f>DTR!S184+'Dai Loc'!S184+'Dong Lam'!S184+'Khanh Nga'!S184+TDP!S184+DTRVL!S184</f>
        <v>-19399494413</v>
      </c>
      <c r="T184" s="147">
        <f>DTR!T184+'Dai Loc'!T184+'Dong Lam'!T184+'Khanh Nga'!T184+TDP!T184+DTRVL!T184</f>
        <v>-6764554222</v>
      </c>
      <c r="U184" s="147">
        <f>DTR!U184+'Dai Loc'!U184+'Dong Lam'!U184+'Khanh Nga'!U184+TDP!U184+DTRVL!U184</f>
        <v>16167149121</v>
      </c>
      <c r="V184" s="147">
        <f>DTR!V184+'Dai Loc'!V184+'Dong Lam'!V184+'Khanh Nga'!V184+TDP!V184+DTRVL!V184</f>
        <v>-4631401201</v>
      </c>
      <c r="W184" s="147">
        <f>DTR!W184+'Dai Loc'!W184+'Dong Lam'!W184+'Khanh Nga'!W184+TDP!W184+DTRVL!W184</f>
        <v>-290837778</v>
      </c>
      <c r="X184" s="147">
        <f>DTR!X184+'Dai Loc'!X184+'Dong Lam'!X184+'Khanh Nga'!X184+TDP!X184+DTRVL!X184</f>
        <v>-25242119326</v>
      </c>
      <c r="Y184" s="147">
        <f>DTR!Y184+'Dai Loc'!Y184+'Dong Lam'!Y184+'Khanh Nga'!Y184+TDP!Y184+DTRVL!Y184</f>
        <v>5070722973</v>
      </c>
      <c r="Z184" s="147">
        <f>DTR!Z184+'Dai Loc'!Z184+'Dong Lam'!Z184+'Khanh Nga'!Z184+TDP!Z184+DTRVL!Z184</f>
        <v>6878826178</v>
      </c>
    </row>
    <row r="185" spans="1:26" ht="15" customHeight="1">
      <c r="A185" s="145" t="s">
        <v>271</v>
      </c>
      <c r="B185" s="146">
        <v>30</v>
      </c>
      <c r="C185" s="147">
        <f>DTR!C185+'Dai Loc'!C185+'Dong Lam'!C185+'Khanh Nga'!C185+TDP!C185+DTRVL!C185</f>
        <v>0</v>
      </c>
      <c r="D185" s="147">
        <f>DTR!D185+'Dai Loc'!D185+'Dong Lam'!D185+'Khanh Nga'!D185+TDP!D185+DTRVL!D185</f>
        <v>0</v>
      </c>
      <c r="E185" s="147">
        <f>DTR!E185+'Dai Loc'!E185+'Dong Lam'!E185+'Khanh Nga'!E185+TDP!E185+DTRVL!E185</f>
        <v>0</v>
      </c>
      <c r="F185" s="147">
        <f>DTR!F185+'Dai Loc'!F185+'Dong Lam'!F185+'Khanh Nga'!F185+TDP!F185+DTRVL!F185</f>
        <v>0</v>
      </c>
      <c r="G185" s="147">
        <f>DTR!G185+'Dai Loc'!G185+'Dong Lam'!G185+'Khanh Nga'!G185+TDP!G185+DTRVL!G185</f>
        <v>0</v>
      </c>
      <c r="H185" s="147">
        <f>DTR!H185+'Dai Loc'!H185+'Dong Lam'!H185+'Khanh Nga'!H185+TDP!H185+DTRVL!H185</f>
        <v>0</v>
      </c>
      <c r="I185" s="147">
        <f>DTR!I185+'Dai Loc'!I185+'Dong Lam'!I185+'Khanh Nga'!I185+TDP!I185+DTRVL!I185</f>
        <v>0</v>
      </c>
      <c r="J185" s="147">
        <f>DTR!J185+'Dai Loc'!J185+'Dong Lam'!J185+'Khanh Nga'!J185+TDP!J185+DTRVL!J185</f>
        <v>0</v>
      </c>
      <c r="K185" s="147">
        <f>DTR!K185+'Dai Loc'!K185+'Dong Lam'!K185+'Khanh Nga'!K185+TDP!K185+DTRVL!K185</f>
        <v>0</v>
      </c>
      <c r="L185" s="147">
        <f>DTR!L185+'Dai Loc'!L185+'Dong Lam'!L185+'Khanh Nga'!L185+TDP!L185+DTRVL!L185</f>
        <v>0</v>
      </c>
      <c r="M185" s="147">
        <f>DTR!M185+'Dai Loc'!M185+'Dong Lam'!M185+'Khanh Nga'!M185+TDP!M185+DTRVL!M185</f>
        <v>0</v>
      </c>
      <c r="N185" s="147">
        <f>DTR!N185+'Dai Loc'!N185+'Dong Lam'!N185+'Khanh Nga'!N185+TDP!N185+DTRVL!N185</f>
        <v>0</v>
      </c>
      <c r="O185" s="147">
        <f>DTR!O185+'Dai Loc'!O185+'Dong Lam'!O185+'Khanh Nga'!O185+TDP!O185+DTRVL!O185</f>
        <v>0</v>
      </c>
      <c r="P185" s="147">
        <f>DTR!P185+'Dai Loc'!P185+'Dong Lam'!P185+'Khanh Nga'!P185+TDP!P185+DTRVL!P185</f>
        <v>0</v>
      </c>
      <c r="Q185" s="147">
        <f>DTR!Q185+'Dai Loc'!Q185+'Dong Lam'!Q185+'Khanh Nga'!Q185+TDP!Q185+DTRVL!Q185</f>
        <v>0</v>
      </c>
      <c r="R185" s="147">
        <f>DTR!R185+'Dai Loc'!R185+'Dong Lam'!R185+'Khanh Nga'!R185+TDP!R185+DTRVL!R185</f>
        <v>0</v>
      </c>
      <c r="S185" s="147">
        <f>DTR!S185+'Dai Loc'!S185+'Dong Lam'!S185+'Khanh Nga'!S185+TDP!S185+DTRVL!S185</f>
        <v>0</v>
      </c>
      <c r="T185" s="147">
        <f>DTR!T185+'Dai Loc'!T185+'Dong Lam'!T185+'Khanh Nga'!T185+TDP!T185+DTRVL!T185</f>
        <v>0</v>
      </c>
      <c r="U185" s="147">
        <f>DTR!U185+'Dai Loc'!U185+'Dong Lam'!U185+'Khanh Nga'!U185+TDP!U185+DTRVL!U185</f>
        <v>0</v>
      </c>
      <c r="V185" s="147">
        <f>DTR!V185+'Dai Loc'!V185+'Dong Lam'!V185+'Khanh Nga'!V185+TDP!V185+DTRVL!V185</f>
        <v>0</v>
      </c>
      <c r="W185" s="147">
        <f>DTR!W185+'Dai Loc'!W185+'Dong Lam'!W185+'Khanh Nga'!W185+TDP!W185+DTRVL!W185</f>
        <v>0</v>
      </c>
      <c r="X185" s="147">
        <f>DTR!X185+'Dai Loc'!X185+'Dong Lam'!X185+'Khanh Nga'!X185+TDP!X185+DTRVL!X185</f>
        <v>0</v>
      </c>
      <c r="Y185" s="147">
        <f>DTR!Y185+'Dai Loc'!Y185+'Dong Lam'!Y185+'Khanh Nga'!Y185+TDP!Y185+DTRVL!Y185</f>
        <v>0</v>
      </c>
      <c r="Z185" s="147">
        <f>DTR!Z185+'Dai Loc'!Z185+'Dong Lam'!Z185+'Khanh Nga'!Z185+TDP!Z185+DTRVL!Z185</f>
        <v>0</v>
      </c>
    </row>
    <row r="186" spans="1:26" ht="14">
      <c r="A186" s="164" t="s">
        <v>272</v>
      </c>
      <c r="B186" s="165">
        <v>31</v>
      </c>
      <c r="C186" s="64">
        <f>DTR!C186+'Dai Loc'!C186+'Dong Lam'!C186+'Khanh Nga'!C186+TDP!C186+DTRVL!C186</f>
        <v>0</v>
      </c>
      <c r="D186" s="64">
        <f>DTR!D186+'Dai Loc'!D186+'Dong Lam'!D186+'Khanh Nga'!D186+TDP!D186+DTRVL!D186</f>
        <v>0</v>
      </c>
      <c r="E186" s="64">
        <f>DTR!E186+'Dai Loc'!E186+'Dong Lam'!E186+'Khanh Nga'!E186+TDP!E186+DTRVL!E186</f>
        <v>0</v>
      </c>
      <c r="F186" s="64">
        <f>DTR!F186+'Dai Loc'!F186+'Dong Lam'!F186+'Khanh Nga'!F186+TDP!F186+DTRVL!F186</f>
        <v>0</v>
      </c>
      <c r="G186" s="64">
        <f>DTR!G186+'Dai Loc'!G186+'Dong Lam'!G186+'Khanh Nga'!G186+TDP!G186+DTRVL!G186</f>
        <v>0</v>
      </c>
      <c r="H186" s="64">
        <f>DTR!H186+'Dai Loc'!H186+'Dong Lam'!H186+'Khanh Nga'!H186+TDP!H186+DTRVL!H186</f>
        <v>0</v>
      </c>
      <c r="I186" s="64">
        <f>DTR!I186+'Dai Loc'!I186+'Dong Lam'!I186+'Khanh Nga'!I186+TDP!I186+DTRVL!I186</f>
        <v>0</v>
      </c>
      <c r="J186" s="64">
        <f>DTR!J186+'Dai Loc'!J186+'Dong Lam'!J186+'Khanh Nga'!J186+TDP!J186+DTRVL!J186</f>
        <v>0</v>
      </c>
      <c r="K186" s="64">
        <f>DTR!K186+'Dai Loc'!K186+'Dong Lam'!K186+'Khanh Nga'!K186+TDP!K186+DTRVL!K186</f>
        <v>0</v>
      </c>
      <c r="L186" s="64">
        <f>DTR!L186+'Dai Loc'!L186+'Dong Lam'!L186+'Khanh Nga'!L186+TDP!L186+DTRVL!L186</f>
        <v>0</v>
      </c>
      <c r="M186" s="64">
        <f>DTR!M186+'Dai Loc'!M186+'Dong Lam'!M186+'Khanh Nga'!M186+TDP!M186+DTRVL!M186</f>
        <v>20000000000</v>
      </c>
      <c r="N186" s="64">
        <f>DTR!N186+'Dai Loc'!N186+'Dong Lam'!N186+'Khanh Nga'!N186+TDP!N186+DTRVL!N186</f>
        <v>0</v>
      </c>
      <c r="O186" s="64">
        <f>DTR!O186+'Dai Loc'!O186+'Dong Lam'!O186+'Khanh Nga'!O186+TDP!O186+DTRVL!O186</f>
        <v>0</v>
      </c>
      <c r="P186" s="64">
        <f>DTR!P186+'Dai Loc'!P186+'Dong Lam'!P186+'Khanh Nga'!P186+TDP!P186+DTRVL!P186</f>
        <v>0</v>
      </c>
      <c r="Q186" s="64">
        <f>DTR!Q186+'Dai Loc'!Q186+'Dong Lam'!Q186+'Khanh Nga'!Q186+TDP!Q186+DTRVL!Q186</f>
        <v>0</v>
      </c>
      <c r="R186" s="64">
        <f>DTR!R186+'Dai Loc'!R186+'Dong Lam'!R186+'Khanh Nga'!R186+TDP!R186+DTRVL!R186</f>
        <v>0</v>
      </c>
      <c r="S186" s="64">
        <f>DTR!S186+'Dai Loc'!S186+'Dong Lam'!S186+'Khanh Nga'!S186+TDP!S186+DTRVL!S186</f>
        <v>0</v>
      </c>
      <c r="T186" s="64">
        <f>DTR!T186+'Dai Loc'!T186+'Dong Lam'!T186+'Khanh Nga'!T186+TDP!T186+DTRVL!T186</f>
        <v>0</v>
      </c>
      <c r="U186" s="64">
        <f>DTR!U186+'Dai Loc'!U186+'Dong Lam'!U186+'Khanh Nga'!U186+TDP!U186+DTRVL!U186</f>
        <v>0</v>
      </c>
      <c r="V186" s="64">
        <f>DTR!V186+'Dai Loc'!V186+'Dong Lam'!V186+'Khanh Nga'!V186+TDP!V186+DTRVL!V186</f>
        <v>0</v>
      </c>
      <c r="W186" s="64">
        <f>DTR!W186+'Dai Loc'!W186+'Dong Lam'!W186+'Khanh Nga'!W186+TDP!W186+DTRVL!W186</f>
        <v>0</v>
      </c>
      <c r="X186" s="64">
        <f>DTR!X186+'Dai Loc'!X186+'Dong Lam'!X186+'Khanh Nga'!X186+TDP!X186+DTRVL!X186</f>
        <v>0</v>
      </c>
      <c r="Y186" s="64">
        <f>DTR!Y186+'Dai Loc'!Y186+'Dong Lam'!Y186+'Khanh Nga'!Y186+TDP!Y186+DTRVL!Y186</f>
        <v>500000000</v>
      </c>
      <c r="Z186" s="64">
        <f>DTR!Z186+'Dai Loc'!Z186+'Dong Lam'!Z186+'Khanh Nga'!Z186+TDP!Z186+DTRVL!Z186</f>
        <v>5500000000</v>
      </c>
    </row>
    <row r="187" spans="1:26" ht="14">
      <c r="A187" s="164" t="s">
        <v>273</v>
      </c>
      <c r="B187" s="165">
        <v>32</v>
      </c>
      <c r="C187" s="64">
        <f>DTR!C187+'Dai Loc'!C187+'Dong Lam'!C187+'Khanh Nga'!C187+TDP!C187+DTRVL!C187</f>
        <v>0</v>
      </c>
      <c r="D187" s="64">
        <f>DTR!D187+'Dai Loc'!D187+'Dong Lam'!D187+'Khanh Nga'!D187+TDP!D187+DTRVL!D187</f>
        <v>0</v>
      </c>
      <c r="E187" s="64">
        <f>DTR!E187+'Dai Loc'!E187+'Dong Lam'!E187+'Khanh Nga'!E187+TDP!E187+DTRVL!E187</f>
        <v>0</v>
      </c>
      <c r="F187" s="64">
        <f>DTR!F187+'Dai Loc'!F187+'Dong Lam'!F187+'Khanh Nga'!F187+TDP!F187+DTRVL!F187</f>
        <v>0</v>
      </c>
      <c r="G187" s="64">
        <f>DTR!G187+'Dai Loc'!G187+'Dong Lam'!G187+'Khanh Nga'!G187+TDP!G187+DTRVL!G187</f>
        <v>0</v>
      </c>
      <c r="H187" s="64">
        <f>DTR!H187+'Dai Loc'!H187+'Dong Lam'!H187+'Khanh Nga'!H187+TDP!H187+DTRVL!H187</f>
        <v>0</v>
      </c>
      <c r="I187" s="64">
        <f>DTR!I187+'Dai Loc'!I187+'Dong Lam'!I187+'Khanh Nga'!I187+TDP!I187+DTRVL!I187</f>
        <v>0</v>
      </c>
      <c r="J187" s="64">
        <f>DTR!J187+'Dai Loc'!J187+'Dong Lam'!J187+'Khanh Nga'!J187+TDP!J187+DTRVL!J187</f>
        <v>0</v>
      </c>
      <c r="K187" s="64">
        <f>DTR!K187+'Dai Loc'!K187+'Dong Lam'!K187+'Khanh Nga'!K187+TDP!K187+DTRVL!K187</f>
        <v>0</v>
      </c>
      <c r="L187" s="64">
        <f>DTR!L187+'Dai Loc'!L187+'Dong Lam'!L187+'Khanh Nga'!L187+TDP!L187+DTRVL!L187</f>
        <v>0</v>
      </c>
      <c r="M187" s="64">
        <f>DTR!M187+'Dai Loc'!M187+'Dong Lam'!M187+'Khanh Nga'!M187+TDP!M187+DTRVL!M187</f>
        <v>0</v>
      </c>
      <c r="N187" s="64">
        <f>DTR!N187+'Dai Loc'!N187+'Dong Lam'!N187+'Khanh Nga'!N187+TDP!N187+DTRVL!N187</f>
        <v>0</v>
      </c>
      <c r="O187" s="64">
        <f>DTR!O187+'Dai Loc'!O187+'Dong Lam'!O187+'Khanh Nga'!O187+TDP!O187+DTRVL!O187</f>
        <v>0</v>
      </c>
      <c r="P187" s="64">
        <f>DTR!P187+'Dai Loc'!P187+'Dong Lam'!P187+'Khanh Nga'!P187+TDP!P187+DTRVL!P187</f>
        <v>0</v>
      </c>
      <c r="Q187" s="64">
        <f>DTR!Q187+'Dai Loc'!Q187+'Dong Lam'!Q187+'Khanh Nga'!Q187+TDP!Q187+DTRVL!Q187</f>
        <v>0</v>
      </c>
      <c r="R187" s="64">
        <f>DTR!R187+'Dai Loc'!R187+'Dong Lam'!R187+'Khanh Nga'!R187+TDP!R187+DTRVL!R187</f>
        <v>0</v>
      </c>
      <c r="S187" s="64">
        <f>DTR!S187+'Dai Loc'!S187+'Dong Lam'!S187+'Khanh Nga'!S187+TDP!S187+DTRVL!S187</f>
        <v>0</v>
      </c>
      <c r="T187" s="64">
        <f>DTR!T187+'Dai Loc'!T187+'Dong Lam'!T187+'Khanh Nga'!T187+TDP!T187+DTRVL!T187</f>
        <v>0</v>
      </c>
      <c r="U187" s="64">
        <f>DTR!U187+'Dai Loc'!U187+'Dong Lam'!U187+'Khanh Nga'!U187+TDP!U187+DTRVL!U187</f>
        <v>0</v>
      </c>
      <c r="V187" s="64">
        <f>DTR!V187+'Dai Loc'!V187+'Dong Lam'!V187+'Khanh Nga'!V187+TDP!V187+DTRVL!V187</f>
        <v>0</v>
      </c>
      <c r="W187" s="64">
        <f>DTR!W187+'Dai Loc'!W187+'Dong Lam'!W187+'Khanh Nga'!W187+TDP!W187+DTRVL!W187</f>
        <v>0</v>
      </c>
      <c r="X187" s="64">
        <f>DTR!X187+'Dai Loc'!X187+'Dong Lam'!X187+'Khanh Nga'!X187+TDP!X187+DTRVL!X187</f>
        <v>0</v>
      </c>
      <c r="Y187" s="64">
        <f>DTR!Y187+'Dai Loc'!Y187+'Dong Lam'!Y187+'Khanh Nga'!Y187+TDP!Y187+DTRVL!Y187</f>
        <v>0</v>
      </c>
      <c r="Z187" s="64">
        <f>DTR!Z187+'Dai Loc'!Z187+'Dong Lam'!Z187+'Khanh Nga'!Z187+TDP!Z187+DTRVL!Z187</f>
        <v>0</v>
      </c>
    </row>
    <row r="188" spans="1:26" ht="15" customHeight="1">
      <c r="A188" s="164" t="s">
        <v>274</v>
      </c>
      <c r="B188" s="165">
        <v>33</v>
      </c>
      <c r="C188" s="64">
        <f>DTR!C188+'Dai Loc'!C188+'Dong Lam'!C188+'Khanh Nga'!C188+TDP!C188+DTRVL!C188</f>
        <v>57270669795</v>
      </c>
      <c r="D188" s="64">
        <f>DTR!D188+'Dai Loc'!D188+'Dong Lam'!D188+'Khanh Nga'!D188+TDP!D188+DTRVL!D188</f>
        <v>2700000000</v>
      </c>
      <c r="E188" s="64">
        <f>DTR!E188+'Dai Loc'!E188+'Dong Lam'!E188+'Khanh Nga'!E188+TDP!E188+DTRVL!E188</f>
        <v>51941747542</v>
      </c>
      <c r="F188" s="64">
        <f>DTR!F188+'Dai Loc'!F188+'Dong Lam'!F188+'Khanh Nga'!F188+TDP!F188+DTRVL!F188</f>
        <v>43144705866</v>
      </c>
      <c r="G188" s="64">
        <f>DTR!G188+'Dai Loc'!G188+'Dong Lam'!G188+'Khanh Nga'!G188+TDP!G188+DTRVL!G188</f>
        <v>34881897765</v>
      </c>
      <c r="H188" s="64">
        <f>DTR!H188+'Dai Loc'!H188+'Dong Lam'!H188+'Khanh Nga'!H188+TDP!H188+DTRVL!H188</f>
        <v>19187776584</v>
      </c>
      <c r="I188" s="64">
        <f>DTR!I188+'Dai Loc'!I188+'Dong Lam'!I188+'Khanh Nga'!I188+TDP!I188+DTRVL!I188</f>
        <v>4706000000</v>
      </c>
      <c r="J188" s="64">
        <f>DTR!J188+'Dai Loc'!J188+'Dong Lam'!J188+'Khanh Nga'!J188+TDP!J188+DTRVL!J188</f>
        <v>51191060696</v>
      </c>
      <c r="K188" s="64">
        <f>DTR!K188+'Dai Loc'!K188+'Dong Lam'!K188+'Khanh Nga'!K188+TDP!K188+DTRVL!K188</f>
        <v>84691804308</v>
      </c>
      <c r="L188" s="64">
        <f>DTR!L188+'Dai Loc'!L188+'Dong Lam'!L188+'Khanh Nga'!L188+TDP!L188+DTRVL!L188</f>
        <v>102825721496</v>
      </c>
      <c r="M188" s="64">
        <f>DTR!M188+'Dai Loc'!M188+'Dong Lam'!M188+'Khanh Nga'!M188+TDP!M188+DTRVL!M188</f>
        <v>83853569555</v>
      </c>
      <c r="N188" s="64">
        <f>DTR!N188+'Dai Loc'!N188+'Dong Lam'!N188+'Khanh Nga'!N188+TDP!N188+DTRVL!N188</f>
        <v>37383794832</v>
      </c>
      <c r="O188" s="64">
        <f>DTR!O188+'Dai Loc'!O188+'Dong Lam'!O188+'Khanh Nga'!O188+TDP!O188+DTRVL!O188</f>
        <v>2310562000</v>
      </c>
      <c r="P188" s="64">
        <f>DTR!P188+'Dai Loc'!P188+'Dong Lam'!P188+'Khanh Nga'!P188+TDP!P188+DTRVL!P188</f>
        <v>5428000000</v>
      </c>
      <c r="Q188" s="64">
        <f>DTR!Q188+'Dai Loc'!Q188+'Dong Lam'!Q188+'Khanh Nga'!Q188+TDP!Q188+DTRVL!Q188</f>
        <v>58529191203</v>
      </c>
      <c r="R188" s="64">
        <f>DTR!R188+'Dai Loc'!R188+'Dong Lam'!R188+'Khanh Nga'!R188+TDP!R188+DTRVL!R188</f>
        <v>90358841948</v>
      </c>
      <c r="S188" s="64">
        <f>DTR!S188+'Dai Loc'!S188+'Dong Lam'!S188+'Khanh Nga'!S188+TDP!S188+DTRVL!S188</f>
        <v>46360978617</v>
      </c>
      <c r="T188" s="64">
        <f>DTR!T188+'Dai Loc'!T188+'Dong Lam'!T188+'Khanh Nga'!T188+TDP!T188+DTRVL!T188</f>
        <v>47723278583</v>
      </c>
      <c r="U188" s="64">
        <f>DTR!U188+'Dai Loc'!U188+'Dong Lam'!U188+'Khanh Nga'!U188+TDP!U188+DTRVL!U188</f>
        <v>49379624959</v>
      </c>
      <c r="V188" s="64">
        <f>DTR!V188+'Dai Loc'!V188+'Dong Lam'!V188+'Khanh Nga'!V188+TDP!V188+DTRVL!V188</f>
        <v>76433887270</v>
      </c>
      <c r="W188" s="64">
        <f>DTR!W188+'Dai Loc'!W188+'Dong Lam'!W188+'Khanh Nga'!W188+TDP!W188+DTRVL!W188</f>
        <v>74543374853</v>
      </c>
      <c r="X188" s="64">
        <f>DTR!X188+'Dai Loc'!X188+'Dong Lam'!X188+'Khanh Nga'!X188+TDP!X188+DTRVL!X188</f>
        <v>35990648109</v>
      </c>
      <c r="Y188" s="64">
        <f>DTR!Y188+'Dai Loc'!Y188+'Dong Lam'!Y188+'Khanh Nga'!Y188+TDP!Y188+DTRVL!Y188</f>
        <v>46874996976</v>
      </c>
      <c r="Z188" s="64">
        <f>DTR!Z188+'Dai Loc'!Z188+'Dong Lam'!Z188+'Khanh Nga'!Z188+TDP!Z188+DTRVL!Z188</f>
        <v>40177257513</v>
      </c>
    </row>
    <row r="189" spans="1:26" ht="15" customHeight="1">
      <c r="A189" s="164" t="s">
        <v>275</v>
      </c>
      <c r="B189" s="165">
        <v>34</v>
      </c>
      <c r="C189" s="64">
        <f>DTR!C189+'Dai Loc'!C189+'Dong Lam'!C189+'Khanh Nga'!C189+TDP!C189+DTRVL!C189</f>
        <v>0</v>
      </c>
      <c r="D189" s="64">
        <f>DTR!D189+'Dai Loc'!D189+'Dong Lam'!D189+'Khanh Nga'!D189+TDP!D189+DTRVL!D189</f>
        <v>-7768970250</v>
      </c>
      <c r="E189" s="64">
        <f>DTR!E189+'Dai Loc'!E189+'Dong Lam'!E189+'Khanh Nga'!E189+TDP!E189+DTRVL!E189</f>
        <v>-8016000000</v>
      </c>
      <c r="F189" s="64">
        <f>DTR!F189+'Dai Loc'!F189+'Dong Lam'!F189+'Khanh Nga'!F189+TDP!F189+DTRVL!F189</f>
        <v>-295193392</v>
      </c>
      <c r="G189" s="64">
        <f>DTR!G189+'Dai Loc'!G189+'Dong Lam'!G189+'Khanh Nga'!G189+TDP!G189+DTRVL!G189</f>
        <v>-2906560000</v>
      </c>
      <c r="H189" s="64">
        <f>DTR!H189+'Dai Loc'!H189+'Dong Lam'!H189+'Khanh Nga'!H189+TDP!H189+DTRVL!H189</f>
        <v>-6016005797</v>
      </c>
      <c r="I189" s="64">
        <f>DTR!I189+'Dai Loc'!I189+'Dong Lam'!I189+'Khanh Nga'!I189+TDP!I189+DTRVL!I189</f>
        <v>-26451297542</v>
      </c>
      <c r="J189" s="64">
        <f>DTR!J189+'Dai Loc'!J189+'Dong Lam'!J189+'Khanh Nga'!J189+TDP!J189+DTRVL!J189</f>
        <v>-94694168939</v>
      </c>
      <c r="K189" s="64">
        <f>DTR!K189+'Dai Loc'!K189+'Dong Lam'!K189+'Khanh Nga'!K189+TDP!K189+DTRVL!K189</f>
        <v>-70491152886</v>
      </c>
      <c r="L189" s="64">
        <f>DTR!L189+'Dai Loc'!L189+'Dong Lam'!L189+'Khanh Nga'!L189+TDP!L189+DTRVL!L189</f>
        <v>-86950072394</v>
      </c>
      <c r="M189" s="64">
        <f>DTR!M189+'Dai Loc'!M189+'Dong Lam'!M189+'Khanh Nga'!M189+TDP!M189+DTRVL!M189</f>
        <v>-46997210051</v>
      </c>
      <c r="N189" s="64">
        <f>DTR!N189+'Dai Loc'!N189+'Dong Lam'!N189+'Khanh Nga'!N189+TDP!N189+DTRVL!N189</f>
        <v>-30836777778</v>
      </c>
      <c r="O189" s="64">
        <f>DTR!O189+'Dai Loc'!O189+'Dong Lam'!O189+'Khanh Nga'!O189+TDP!O189+DTRVL!O189</f>
        <v>-33725113955</v>
      </c>
      <c r="P189" s="64">
        <f>DTR!P189+'Dai Loc'!P189+'Dong Lam'!P189+'Khanh Nga'!P189+TDP!P189+DTRVL!P189</f>
        <v>-100211784973</v>
      </c>
      <c r="Q189" s="64">
        <f>DTR!Q189+'Dai Loc'!Q189+'Dong Lam'!Q189+'Khanh Nga'!Q189+TDP!Q189+DTRVL!Q189</f>
        <v>-4197000000</v>
      </c>
      <c r="R189" s="64">
        <f>DTR!R189+'Dai Loc'!R189+'Dong Lam'!R189+'Khanh Nga'!R189+TDP!R189+DTRVL!R189</f>
        <v>-15728148401</v>
      </c>
      <c r="S189" s="64">
        <f>DTR!S189+'Dai Loc'!S189+'Dong Lam'!S189+'Khanh Nga'!S189+TDP!S189+DTRVL!S189</f>
        <v>-22093621349</v>
      </c>
      <c r="T189" s="64">
        <f>DTR!T189+'Dai Loc'!T189+'Dong Lam'!T189+'Khanh Nga'!T189+TDP!T189+DTRVL!T189</f>
        <v>-30106272270</v>
      </c>
      <c r="U189" s="64">
        <f>DTR!U189+'Dai Loc'!U189+'Dong Lam'!U189+'Khanh Nga'!U189+TDP!U189+DTRVL!U189</f>
        <v>-37490126842</v>
      </c>
      <c r="V189" s="64">
        <f>DTR!V189+'Dai Loc'!V189+'Dong Lam'!V189+'Khanh Nga'!V189+TDP!V189+DTRVL!V189</f>
        <v>-32982546300</v>
      </c>
      <c r="W189" s="64">
        <f>DTR!W189+'Dai Loc'!W189+'Dong Lam'!W189+'Khanh Nga'!W189+TDP!W189+DTRVL!W189</f>
        <v>-59818118843</v>
      </c>
      <c r="X189" s="64">
        <f>DTR!X189+'Dai Loc'!X189+'Dong Lam'!X189+'Khanh Nga'!X189+TDP!X189+DTRVL!X189</f>
        <v>-86548152225</v>
      </c>
      <c r="Y189" s="64">
        <f>DTR!Y189+'Dai Loc'!Y189+'Dong Lam'!Y189+'Khanh Nga'!Y189+TDP!Y189+DTRVL!Y189</f>
        <v>-53673092111</v>
      </c>
      <c r="Z189" s="64">
        <f>DTR!Z189+'Dai Loc'!Z189+'Dong Lam'!Z189+'Khanh Nga'!Z189+TDP!Z189+DTRVL!Z189</f>
        <v>-51123323764</v>
      </c>
    </row>
    <row r="190" spans="1:26" ht="15" customHeight="1">
      <c r="A190" s="164" t="s">
        <v>276</v>
      </c>
      <c r="B190" s="165">
        <v>35</v>
      </c>
      <c r="C190" s="64">
        <f>DTR!C190+'Dai Loc'!C190+'Dong Lam'!C190+'Khanh Nga'!C190+TDP!C190+DTRVL!C190</f>
        <v>0</v>
      </c>
      <c r="D190" s="64">
        <f>DTR!D190+'Dai Loc'!D190+'Dong Lam'!D190+'Khanh Nga'!D190+TDP!D190+DTRVL!D190</f>
        <v>0</v>
      </c>
      <c r="E190" s="64">
        <f>DTR!E190+'Dai Loc'!E190+'Dong Lam'!E190+'Khanh Nga'!E190+TDP!E190+DTRVL!E190</f>
        <v>0</v>
      </c>
      <c r="F190" s="64">
        <f>DTR!F190+'Dai Loc'!F190+'Dong Lam'!F190+'Khanh Nga'!F190+TDP!F190+DTRVL!F190</f>
        <v>0</v>
      </c>
      <c r="G190" s="64">
        <f>DTR!G190+'Dai Loc'!G190+'Dong Lam'!G190+'Khanh Nga'!G190+TDP!G190+DTRVL!G190</f>
        <v>0</v>
      </c>
      <c r="H190" s="64">
        <f>DTR!H190+'Dai Loc'!H190+'Dong Lam'!H190+'Khanh Nga'!H190+TDP!H190+DTRVL!H190</f>
        <v>0</v>
      </c>
      <c r="I190" s="64">
        <f>DTR!I190+'Dai Loc'!I190+'Dong Lam'!I190+'Khanh Nga'!I190+TDP!I190+DTRVL!I190</f>
        <v>0</v>
      </c>
      <c r="J190" s="64">
        <f>DTR!J190+'Dai Loc'!J190+'Dong Lam'!J190+'Khanh Nga'!J190+TDP!J190+DTRVL!J190</f>
        <v>0</v>
      </c>
      <c r="K190" s="64">
        <f>DTR!K190+'Dai Loc'!K190+'Dong Lam'!K190+'Khanh Nga'!K190+TDP!K190+DTRVL!K190</f>
        <v>0</v>
      </c>
      <c r="L190" s="64">
        <f>DTR!L190+'Dai Loc'!L190+'Dong Lam'!L190+'Khanh Nga'!L190+TDP!L190+DTRVL!L190</f>
        <v>0</v>
      </c>
      <c r="M190" s="64">
        <f>DTR!M190+'Dai Loc'!M190+'Dong Lam'!M190+'Khanh Nga'!M190+TDP!M190+DTRVL!M190</f>
        <v>0</v>
      </c>
      <c r="N190" s="64">
        <f>DTR!N190+'Dai Loc'!N190+'Dong Lam'!N190+'Khanh Nga'!N190+TDP!N190+DTRVL!N190</f>
        <v>0</v>
      </c>
      <c r="O190" s="64">
        <f>DTR!O190+'Dai Loc'!O190+'Dong Lam'!O190+'Khanh Nga'!O190+TDP!O190+DTRVL!O190</f>
        <v>-777777778</v>
      </c>
      <c r="P190" s="64">
        <f>DTR!P190+'Dai Loc'!P190+'Dong Lam'!P190+'Khanh Nga'!P190+TDP!P190+DTRVL!P190</f>
        <v>-777777778</v>
      </c>
      <c r="Q190" s="64">
        <f>DTR!Q190+'Dai Loc'!Q190+'Dong Lam'!Q190+'Khanh Nga'!Q190+TDP!Q190+DTRVL!Q190</f>
        <v>-777777778</v>
      </c>
      <c r="R190" s="64">
        <f>DTR!R190+'Dai Loc'!R190+'Dong Lam'!R190+'Khanh Nga'!R190+TDP!R190+DTRVL!R190</f>
        <v>-777777778</v>
      </c>
      <c r="S190" s="64">
        <f>DTR!S190+'Dai Loc'!S190+'Dong Lam'!S190+'Khanh Nga'!S190+TDP!S190+DTRVL!S190</f>
        <v>-777777778</v>
      </c>
      <c r="T190" s="64">
        <f>DTR!T190+'Dai Loc'!T190+'Dong Lam'!T190+'Khanh Nga'!T190+TDP!T190+DTRVL!T190</f>
        <v>-777777778</v>
      </c>
      <c r="U190" s="64">
        <f>DTR!U190+'Dai Loc'!U190+'Dong Lam'!U190+'Khanh Nga'!U190+TDP!U190+DTRVL!U190</f>
        <v>-777777778</v>
      </c>
      <c r="V190" s="64">
        <f>DTR!V190+'Dai Loc'!V190+'Dong Lam'!V190+'Khanh Nga'!V190+TDP!V190+DTRVL!V190</f>
        <v>-777777778</v>
      </c>
      <c r="W190" s="64">
        <f>DTR!W190+'Dai Loc'!W190+'Dong Lam'!W190+'Khanh Nga'!W190+TDP!W190+DTRVL!W190</f>
        <v>-777777778</v>
      </c>
      <c r="X190" s="64">
        <f>DTR!X190+'Dai Loc'!X190+'Dong Lam'!X190+'Khanh Nga'!X190+TDP!X190+DTRVL!X190</f>
        <v>-777777778</v>
      </c>
      <c r="Y190" s="64">
        <f>DTR!Y190+'Dai Loc'!Y190+'Dong Lam'!Y190+'Khanh Nga'!Y190+TDP!Y190+DTRVL!Y190</f>
        <v>-777777778</v>
      </c>
      <c r="Z190" s="64">
        <f>DTR!Z190+'Dai Loc'!Z190+'Dong Lam'!Z190+'Khanh Nga'!Z190+TDP!Z190+DTRVL!Z190</f>
        <v>-777777778</v>
      </c>
    </row>
    <row r="191" spans="1:26" ht="15" customHeight="1">
      <c r="A191" s="164" t="s">
        <v>277</v>
      </c>
      <c r="B191" s="165">
        <v>36</v>
      </c>
      <c r="C191" s="64">
        <f>DTR!C191+'Dai Loc'!C191+'Dong Lam'!C191+'Khanh Nga'!C191+TDP!C191+DTRVL!C191</f>
        <v>0</v>
      </c>
      <c r="D191" s="64">
        <f>DTR!D191+'Dai Loc'!D191+'Dong Lam'!D191+'Khanh Nga'!D191+TDP!D191+DTRVL!D191</f>
        <v>0</v>
      </c>
      <c r="E191" s="64">
        <f>DTR!E191+'Dai Loc'!E191+'Dong Lam'!E191+'Khanh Nga'!E191+TDP!E191+DTRVL!E191</f>
        <v>0</v>
      </c>
      <c r="F191" s="64">
        <f>DTR!F191+'Dai Loc'!F191+'Dong Lam'!F191+'Khanh Nga'!F191+TDP!F191+DTRVL!F191</f>
        <v>0</v>
      </c>
      <c r="G191" s="64">
        <f>DTR!G191+'Dai Loc'!G191+'Dong Lam'!G191+'Khanh Nga'!G191+TDP!G191+DTRVL!G191</f>
        <v>0</v>
      </c>
      <c r="H191" s="64">
        <f>DTR!H191+'Dai Loc'!H191+'Dong Lam'!H191+'Khanh Nga'!H191+TDP!H191+DTRVL!H191</f>
        <v>0</v>
      </c>
      <c r="I191" s="64">
        <f>DTR!I191+'Dai Loc'!I191+'Dong Lam'!I191+'Khanh Nga'!I191+TDP!I191+DTRVL!I191</f>
        <v>0</v>
      </c>
      <c r="J191" s="64">
        <f>DTR!J191+'Dai Loc'!J191+'Dong Lam'!J191+'Khanh Nga'!J191+TDP!J191+DTRVL!J191</f>
        <v>0</v>
      </c>
      <c r="K191" s="64">
        <f>DTR!K191+'Dai Loc'!K191+'Dong Lam'!K191+'Khanh Nga'!K191+TDP!K191+DTRVL!K191</f>
        <v>0</v>
      </c>
      <c r="L191" s="64">
        <f>DTR!L191+'Dai Loc'!L191+'Dong Lam'!L191+'Khanh Nga'!L191+TDP!L191+DTRVL!L191</f>
        <v>0</v>
      </c>
      <c r="M191" s="64">
        <f>DTR!M191+'Dai Loc'!M191+'Dong Lam'!M191+'Khanh Nga'!M191+TDP!M191+DTRVL!M191</f>
        <v>0</v>
      </c>
      <c r="N191" s="64">
        <f>DTR!N191+'Dai Loc'!N191+'Dong Lam'!N191+'Khanh Nga'!N191+TDP!N191+DTRVL!N191</f>
        <v>0</v>
      </c>
      <c r="O191" s="64">
        <f>DTR!O191+'Dai Loc'!O191+'Dong Lam'!O191+'Khanh Nga'!O191+TDP!O191+DTRVL!O191</f>
        <v>0</v>
      </c>
      <c r="P191" s="64">
        <f>DTR!P191+'Dai Loc'!P191+'Dong Lam'!P191+'Khanh Nga'!P191+TDP!P191+DTRVL!P191</f>
        <v>0</v>
      </c>
      <c r="Q191" s="64">
        <f>DTR!Q191+'Dai Loc'!Q191+'Dong Lam'!Q191+'Khanh Nga'!Q191+TDP!Q191+DTRVL!Q191</f>
        <v>0</v>
      </c>
      <c r="R191" s="64">
        <f>DTR!R191+'Dai Loc'!R191+'Dong Lam'!R191+'Khanh Nga'!R191+TDP!R191+DTRVL!R191</f>
        <v>0</v>
      </c>
      <c r="S191" s="64">
        <f>DTR!S191+'Dai Loc'!S191+'Dong Lam'!S191+'Khanh Nga'!S191+TDP!S191+DTRVL!S191</f>
        <v>0</v>
      </c>
      <c r="T191" s="64">
        <f>DTR!T191+'Dai Loc'!T191+'Dong Lam'!T191+'Khanh Nga'!T191+TDP!T191+DTRVL!T191</f>
        <v>0</v>
      </c>
      <c r="U191" s="64">
        <f>DTR!U191+'Dai Loc'!U191+'Dong Lam'!U191+'Khanh Nga'!U191+TDP!U191+DTRVL!U191</f>
        <v>0</v>
      </c>
      <c r="V191" s="64">
        <f>DTR!V191+'Dai Loc'!V191+'Dong Lam'!V191+'Khanh Nga'!V191+TDP!V191+DTRVL!V191</f>
        <v>0</v>
      </c>
      <c r="W191" s="64">
        <f>DTR!W191+'Dai Loc'!W191+'Dong Lam'!W191+'Khanh Nga'!W191+TDP!W191+DTRVL!W191</f>
        <v>0</v>
      </c>
      <c r="X191" s="64">
        <f>DTR!X191+'Dai Loc'!X191+'Dong Lam'!X191+'Khanh Nga'!X191+TDP!X191+DTRVL!X191</f>
        <v>0</v>
      </c>
      <c r="Y191" s="64">
        <f>DTR!Y191+'Dai Loc'!Y191+'Dong Lam'!Y191+'Khanh Nga'!Y191+TDP!Y191+DTRVL!Y191</f>
        <v>0</v>
      </c>
      <c r="Z191" s="64">
        <f>DTR!Z191+'Dai Loc'!Z191+'Dong Lam'!Z191+'Khanh Nga'!Z191+TDP!Z191+DTRVL!Z191</f>
        <v>0</v>
      </c>
    </row>
    <row r="192" spans="1:26" ht="15" customHeight="1">
      <c r="A192" s="145" t="s">
        <v>278</v>
      </c>
      <c r="B192" s="146">
        <v>37</v>
      </c>
      <c r="C192" s="147">
        <f>DTR!C192+'Dai Loc'!C192+'Dong Lam'!C192+'Khanh Nga'!C192+TDP!C192+DTRVL!C192</f>
        <v>57270669795</v>
      </c>
      <c r="D192" s="147">
        <f>DTR!D192+'Dai Loc'!D192+'Dong Lam'!D192+'Khanh Nga'!D192+TDP!D192+DTRVL!D192</f>
        <v>-5068970250</v>
      </c>
      <c r="E192" s="147">
        <f>DTR!E192+'Dai Loc'!E192+'Dong Lam'!E192+'Khanh Nga'!E192+TDP!E192+DTRVL!E192</f>
        <v>43925747542</v>
      </c>
      <c r="F192" s="147">
        <f>DTR!F192+'Dai Loc'!F192+'Dong Lam'!F192+'Khanh Nga'!F192+TDP!F192+DTRVL!F192</f>
        <v>42849512474</v>
      </c>
      <c r="G192" s="147">
        <f>DTR!G192+'Dai Loc'!G192+'Dong Lam'!G192+'Khanh Nga'!G192+TDP!G192+DTRVL!G192</f>
        <v>31975337765</v>
      </c>
      <c r="H192" s="147">
        <f>DTR!H192+'Dai Loc'!H192+'Dong Lam'!H192+'Khanh Nga'!H192+TDP!H192+DTRVL!H192</f>
        <v>13171770787</v>
      </c>
      <c r="I192" s="147">
        <f>DTR!I192+'Dai Loc'!I192+'Dong Lam'!I192+'Khanh Nga'!I192+TDP!I192+DTRVL!I192</f>
        <v>-21745297542</v>
      </c>
      <c r="J192" s="147">
        <f>DTR!J192+'Dai Loc'!J192+'Dong Lam'!J192+'Khanh Nga'!J192+TDP!J192+DTRVL!J192</f>
        <v>-43503108243</v>
      </c>
      <c r="K192" s="147">
        <f>DTR!K192+'Dai Loc'!K192+'Dong Lam'!K192+'Khanh Nga'!K192+TDP!K192+DTRVL!K192</f>
        <v>14200651422</v>
      </c>
      <c r="L192" s="147">
        <f>DTR!L192+'Dai Loc'!L192+'Dong Lam'!L192+'Khanh Nga'!L192+TDP!L192+DTRVL!L192</f>
        <v>15875649102</v>
      </c>
      <c r="M192" s="147">
        <f>DTR!M192+'Dai Loc'!M192+'Dong Lam'!M192+'Khanh Nga'!M192+TDP!M192+DTRVL!M192</f>
        <v>56856359504</v>
      </c>
      <c r="N192" s="147">
        <f>DTR!N192+'Dai Loc'!N192+'Dong Lam'!N192+'Khanh Nga'!N192+TDP!N192+DTRVL!N192</f>
        <v>6547017054</v>
      </c>
      <c r="O192" s="147">
        <f>DTR!O192+'Dai Loc'!O192+'Dong Lam'!O192+'Khanh Nga'!O192+TDP!O192+DTRVL!O192</f>
        <v>-32192329733</v>
      </c>
      <c r="P192" s="147">
        <f>DTR!P192+'Dai Loc'!P192+'Dong Lam'!P192+'Khanh Nga'!P192+TDP!P192+DTRVL!P192</f>
        <v>-95561562751</v>
      </c>
      <c r="Q192" s="147">
        <f>DTR!Q192+'Dai Loc'!Q192+'Dong Lam'!Q192+'Khanh Nga'!Q192+TDP!Q192+DTRVL!Q192</f>
        <v>53554413425</v>
      </c>
      <c r="R192" s="147">
        <f>DTR!R192+'Dai Loc'!R192+'Dong Lam'!R192+'Khanh Nga'!R192+TDP!R192+DTRVL!R192</f>
        <v>73852915769</v>
      </c>
      <c r="S192" s="147">
        <f>DTR!S192+'Dai Loc'!S192+'Dong Lam'!S192+'Khanh Nga'!S192+TDP!S192+DTRVL!S192</f>
        <v>23489579490</v>
      </c>
      <c r="T192" s="147">
        <f>DTR!T192+'Dai Loc'!T192+'Dong Lam'!T192+'Khanh Nga'!T192+TDP!T192+DTRVL!T192</f>
        <v>16839228535</v>
      </c>
      <c r="U192" s="147">
        <f>DTR!U192+'Dai Loc'!U192+'Dong Lam'!U192+'Khanh Nga'!U192+TDP!U192+DTRVL!U192</f>
        <v>11111720339</v>
      </c>
      <c r="V192" s="147">
        <f>DTR!V192+'Dai Loc'!V192+'Dong Lam'!V192+'Khanh Nga'!V192+TDP!V192+DTRVL!V192</f>
        <v>42673563192</v>
      </c>
      <c r="W192" s="147">
        <f>DTR!W192+'Dai Loc'!W192+'Dong Lam'!W192+'Khanh Nga'!W192+TDP!W192+DTRVL!W192</f>
        <v>13947478232</v>
      </c>
      <c r="X192" s="147">
        <f>DTR!X192+'Dai Loc'!X192+'Dong Lam'!X192+'Khanh Nga'!X192+TDP!X192+DTRVL!X192</f>
        <v>-51335281894</v>
      </c>
      <c r="Y192" s="147">
        <f>DTR!Y192+'Dai Loc'!Y192+'Dong Lam'!Y192+'Khanh Nga'!Y192+TDP!Y192+DTRVL!Y192</f>
        <v>-7075872913</v>
      </c>
      <c r="Z192" s="147">
        <f>DTR!Z192+'Dai Loc'!Z192+'Dong Lam'!Z192+'Khanh Nga'!Z192+TDP!Z192+DTRVL!Z192</f>
        <v>-6223844029</v>
      </c>
    </row>
    <row r="193" spans="1:26" ht="15" customHeight="1">
      <c r="A193" s="167" t="s">
        <v>279</v>
      </c>
      <c r="B193" s="168">
        <v>38</v>
      </c>
      <c r="C193" s="169">
        <f>DTR!C193+'Dai Loc'!C193+'Dong Lam'!C193+'Khanh Nga'!C193+TDP!C193+DTRVL!C193</f>
        <v>32415849347</v>
      </c>
      <c r="D193" s="169">
        <f>DTR!D193+'Dai Loc'!D193+'Dong Lam'!D193+'Khanh Nga'!D193+TDP!D193+DTRVL!D193</f>
        <v>-11208524300</v>
      </c>
      <c r="E193" s="169">
        <f>DTR!E193+'Dai Loc'!E193+'Dong Lam'!E193+'Khanh Nga'!E193+TDP!E193+DTRVL!E193</f>
        <v>-9778763924</v>
      </c>
      <c r="F193" s="169">
        <f>DTR!F193+'Dai Loc'!F193+'Dong Lam'!F193+'Khanh Nga'!F193+TDP!F193+DTRVL!F193</f>
        <v>7957701520</v>
      </c>
      <c r="G193" s="169">
        <f>DTR!G193+'Dai Loc'!G193+'Dong Lam'!G193+'Khanh Nga'!G193+TDP!G193+DTRVL!G193</f>
        <v>-2212598636</v>
      </c>
      <c r="H193" s="169">
        <f>DTR!H193+'Dai Loc'!H193+'Dong Lam'!H193+'Khanh Nga'!H193+TDP!H193+DTRVL!H193</f>
        <v>-13745725568</v>
      </c>
      <c r="I193" s="169">
        <f>DTR!I193+'Dai Loc'!I193+'Dong Lam'!I193+'Khanh Nga'!I193+TDP!I193+DTRVL!I193</f>
        <v>36451496752</v>
      </c>
      <c r="J193" s="169">
        <f>DTR!J193+'Dai Loc'!J193+'Dong Lam'!J193+'Khanh Nga'!J193+TDP!J193+DTRVL!J193</f>
        <v>-21105476583</v>
      </c>
      <c r="K193" s="169">
        <f>DTR!K193+'Dai Loc'!K193+'Dong Lam'!K193+'Khanh Nga'!K193+TDP!K193+DTRVL!K193</f>
        <v>12702986447</v>
      </c>
      <c r="L193" s="169">
        <f>DTR!L193+'Dai Loc'!L193+'Dong Lam'!L193+'Khanh Nga'!L193+TDP!L193+DTRVL!L193</f>
        <v>28156229281</v>
      </c>
      <c r="M193" s="169">
        <f>DTR!M193+'Dai Loc'!M193+'Dong Lam'!M193+'Khanh Nga'!M193+TDP!M193+DTRVL!M193</f>
        <v>2567837825.003418</v>
      </c>
      <c r="N193" s="169">
        <f>DTR!N193+'Dai Loc'!N193+'Dong Lam'!N193+'Khanh Nga'!N193+TDP!N193+DTRVL!N193</f>
        <v>-3900514913.996582</v>
      </c>
      <c r="O193" s="169">
        <f>DTR!O193+'Dai Loc'!O193+'Dong Lam'!O193+'Khanh Nga'!O193+TDP!O193+DTRVL!O193</f>
        <v>29883730890.000099</v>
      </c>
      <c r="P193" s="169">
        <f>DTR!P193+'Dai Loc'!P193+'Dong Lam'!P193+'Khanh Nga'!P193+TDP!P193+DTRVL!P193</f>
        <v>-46985761894.000099</v>
      </c>
      <c r="Q193" s="169">
        <f>DTR!Q193+'Dai Loc'!Q193+'Dong Lam'!Q193+'Khanh Nga'!Q193+TDP!Q193+DTRVL!Q193</f>
        <v>-6110195852.999999</v>
      </c>
      <c r="R193" s="169">
        <f>DTR!R193+'Dai Loc'!R193+'Dong Lam'!R193+'Khanh Nga'!R193+TDP!R193+DTRVL!R193</f>
        <v>14576528854</v>
      </c>
      <c r="S193" s="169">
        <f>DTR!S193+'Dai Loc'!S193+'Dong Lam'!S193+'Khanh Nga'!S193+TDP!S193+DTRVL!S193</f>
        <v>-20574647430</v>
      </c>
      <c r="T193" s="169">
        <f>DTR!T193+'Dai Loc'!T193+'Dong Lam'!T193+'Khanh Nga'!T193+TDP!T193+DTRVL!T193</f>
        <v>-7184755141</v>
      </c>
      <c r="U193" s="169">
        <f>DTR!U193+'Dai Loc'!U193+'Dong Lam'!U193+'Khanh Nga'!U193+TDP!U193+DTRVL!U193</f>
        <v>-1124878725.9999003</v>
      </c>
      <c r="V193" s="169">
        <f>DTR!V193+'Dai Loc'!V193+'Dong Lam'!V193+'Khanh Nga'!V193+TDP!V193+DTRVL!V193</f>
        <v>5195306444</v>
      </c>
      <c r="W193" s="169">
        <f>DTR!W193+'Dai Loc'!W193+'Dong Lam'!W193+'Khanh Nga'!W193+TDP!W193+DTRVL!W193</f>
        <v>41145099173.999901</v>
      </c>
      <c r="X193" s="169">
        <f>DTR!X193+'Dai Loc'!X193+'Dong Lam'!X193+'Khanh Nga'!X193+TDP!X193+DTRVL!X193</f>
        <v>-9424279302</v>
      </c>
      <c r="Y193" s="169">
        <f>DTR!Y193+'Dai Loc'!Y193+'Dong Lam'!Y193+'Khanh Nga'!Y193+TDP!Y193+DTRVL!Y193</f>
        <v>-3642573735</v>
      </c>
      <c r="Z193" s="169">
        <f>DTR!Z193+'Dai Loc'!Z193+'Dong Lam'!Z193+'Khanh Nga'!Z193+TDP!Z193+DTRVL!Z193</f>
        <v>-19840461563</v>
      </c>
    </row>
    <row r="194" spans="1:26" ht="15" customHeight="1">
      <c r="A194" s="145" t="s">
        <v>280</v>
      </c>
      <c r="B194" s="146">
        <v>39</v>
      </c>
      <c r="C194" s="147">
        <f>DTR!C194+'Dai Loc'!C194+'Dong Lam'!C194+'Khanh Nga'!C194+TDP!C194+DTRVL!C194</f>
        <v>14272680117.99658</v>
      </c>
      <c r="D194" s="147">
        <f>DTR!D194+'Dai Loc'!D194+'Dong Lam'!D194+'Khanh Nga'!D194+TDP!D194+DTRVL!D194</f>
        <v>46633249759.996582</v>
      </c>
      <c r="E194" s="147">
        <f>DTR!E194+'Dai Loc'!E194+'Dong Lam'!E194+'Khanh Nga'!E194+TDP!E194+DTRVL!E194</f>
        <v>35851802773.996582</v>
      </c>
      <c r="F194" s="147">
        <f>DTR!F194+'Dai Loc'!F194+'Dong Lam'!F194+'Khanh Nga'!F194+TDP!F194+DTRVL!F194</f>
        <v>26393055916.996582</v>
      </c>
      <c r="G194" s="147">
        <f>DTR!G194+'Dai Loc'!G194+'Dong Lam'!G194+'Khanh Nga'!G194+TDP!G194+DTRVL!G194</f>
        <v>34593153166.996582</v>
      </c>
      <c r="H194" s="147">
        <f>DTR!H194+'Dai Loc'!H194+'Dong Lam'!H194+'Khanh Nga'!H194+TDP!H194+DTRVL!H194</f>
        <v>33199136311.996582</v>
      </c>
      <c r="I194" s="147">
        <f>DTR!I194+'Dai Loc'!I194+'Dong Lam'!I194+'Khanh Nga'!I194+TDP!I194+DTRVL!I194</f>
        <v>19638634541.996582</v>
      </c>
      <c r="J194" s="147">
        <f>DTR!J194+'Dai Loc'!J194+'Dong Lam'!J194+'Khanh Nga'!J194+TDP!J194+DTRVL!J194</f>
        <v>56271006189.996582</v>
      </c>
      <c r="K194" s="147">
        <f>DTR!K194+'Dai Loc'!K194+'Dong Lam'!K194+'Khanh Nga'!K194+TDP!K194+DTRVL!K194</f>
        <v>35429490169.996582</v>
      </c>
      <c r="L194" s="147">
        <f>DTR!L194+'Dai Loc'!L194+'Dong Lam'!L194+'Khanh Nga'!L194+TDP!L194+DTRVL!L194</f>
        <v>48429525474.996582</v>
      </c>
      <c r="M194" s="147">
        <f>DTR!M194+'Dai Loc'!M194+'Dong Lam'!M194+'Khanh Nga'!M194+TDP!M194+DTRVL!M194</f>
        <v>78014775933.996582</v>
      </c>
      <c r="N194" s="147">
        <f>DTR!N194+'Dai Loc'!N194+'Dong Lam'!N194+'Khanh Nga'!N194+TDP!N194+DTRVL!N194</f>
        <v>81105192015.996582</v>
      </c>
      <c r="O194" s="147">
        <f>DTR!O194+'Dai Loc'!O194+'Dong Lam'!O194+'Khanh Nga'!O194+TDP!O194+DTRVL!O194</f>
        <v>78515947310.996582</v>
      </c>
      <c r="P194" s="147">
        <f>DTR!P194+'Dai Loc'!P194+'Dong Lam'!P194+'Khanh Nga'!P194+TDP!P194+DTRVL!P194</f>
        <v>108757458296.99669</v>
      </c>
      <c r="Q194" s="147">
        <f>DTR!Q194+'Dai Loc'!Q194+'Dong Lam'!Q194+'Khanh Nga'!Q194+TDP!Q194+DTRVL!Q194</f>
        <v>63047560921.996582</v>
      </c>
      <c r="R194" s="147">
        <f>DTR!R194+'Dai Loc'!R194+'Dong Lam'!R194+'Khanh Nga'!R194+TDP!R194+DTRVL!R194</f>
        <v>57546333331.996582</v>
      </c>
      <c r="S194" s="147">
        <f>DTR!S194+'Dai Loc'!S194+'Dong Lam'!S194+'Khanh Nga'!S194+TDP!S194+DTRVL!S194</f>
        <v>72781093894.996582</v>
      </c>
      <c r="T194" s="147">
        <f>DTR!T194+'Dai Loc'!T194+'Dong Lam'!T194+'Khanh Nga'!T194+TDP!T194+DTRVL!T194</f>
        <v>53850392377.996582</v>
      </c>
      <c r="U194" s="147">
        <f>DTR!U194+'Dai Loc'!U194+'Dong Lam'!U194+'Khanh Nga'!U194+TDP!U194+DTRVL!U194</f>
        <v>47310681041.996582</v>
      </c>
      <c r="V194" s="147">
        <f>DTR!V194+'Dai Loc'!V194+'Dong Lam'!V194+'Khanh Nga'!V194+TDP!V194+DTRVL!V194</f>
        <v>46943683939.996681</v>
      </c>
      <c r="W194" s="147">
        <f>DTR!W194+'Dai Loc'!W194+'Dong Lam'!W194+'Khanh Nga'!W194+TDP!W194+DTRVL!W194</f>
        <v>52760383889.996681</v>
      </c>
      <c r="X194" s="147">
        <f>DTR!X194+'Dai Loc'!X194+'Dong Lam'!X194+'Khanh Nga'!X194+TDP!X194+DTRVL!X194</f>
        <v>94749581699.996582</v>
      </c>
      <c r="Y194" s="147">
        <f>DTR!Y194+'Dai Loc'!Y194+'Dong Lam'!Y194+'Khanh Nga'!Y194+TDP!Y194+DTRVL!Y194</f>
        <v>86336513719.996582</v>
      </c>
      <c r="Z194" s="147">
        <f>DTR!Z194+'Dai Loc'!Z194+'Dong Lam'!Z194+'Khanh Nga'!Z194+TDP!Z194+DTRVL!Z194</f>
        <v>82814145673</v>
      </c>
    </row>
    <row r="195" spans="1:26" ht="15" customHeight="1">
      <c r="A195" s="170" t="s">
        <v>281</v>
      </c>
      <c r="B195" s="171">
        <v>40</v>
      </c>
      <c r="C195" s="172">
        <f>DTR!C195+'Dai Loc'!C195+'Dong Lam'!C195+'Khanh Nga'!C195+TDP!C195+DTRVL!C195</f>
        <v>-55279705</v>
      </c>
      <c r="D195" s="172">
        <f>DTR!D195+'Dai Loc'!D195+'Dong Lam'!D195+'Khanh Nga'!D195+TDP!D195+DTRVL!D195</f>
        <v>427077314</v>
      </c>
      <c r="E195" s="172">
        <f>DTR!E195+'Dai Loc'!E195+'Dong Lam'!E195+'Khanh Nga'!E195+TDP!E195+DTRVL!E195</f>
        <v>320017067</v>
      </c>
      <c r="F195" s="172">
        <f>DTR!F195+'Dai Loc'!F195+'Dong Lam'!F195+'Khanh Nga'!F195+TDP!F195+DTRVL!F195</f>
        <v>242395730</v>
      </c>
      <c r="G195" s="172">
        <f>DTR!G195+'Dai Loc'!G195+'Dong Lam'!G195+'Khanh Nga'!G195+TDP!G195+DTRVL!G195</f>
        <v>818581781</v>
      </c>
      <c r="H195" s="172">
        <f>DTR!H195+'Dai Loc'!H195+'Dong Lam'!H195+'Khanh Nga'!H195+TDP!H195+DTRVL!H195</f>
        <v>185223798</v>
      </c>
      <c r="I195" s="172">
        <f>DTR!I195+'Dai Loc'!I195+'Dong Lam'!I195+'Khanh Nga'!I195+TDP!I195+DTRVL!I195</f>
        <v>180874896</v>
      </c>
      <c r="J195" s="172">
        <f>DTR!J195+'Dai Loc'!J195+'Dong Lam'!J195+'Khanh Nga'!J195+TDP!J195+DTRVL!J195</f>
        <v>263960563</v>
      </c>
      <c r="K195" s="172">
        <f>DTR!K195+'Dai Loc'!K195+'Dong Lam'!K195+'Khanh Nga'!K195+TDP!K195+DTRVL!K195</f>
        <v>297048858</v>
      </c>
      <c r="L195" s="172">
        <f>DTR!L195+'Dai Loc'!L195+'Dong Lam'!L195+'Khanh Nga'!L195+TDP!L195+DTRVL!L195</f>
        <v>1429021178</v>
      </c>
      <c r="M195" s="172">
        <f>DTR!M195+'Dai Loc'!M195+'Dong Lam'!M195+'Khanh Nga'!M195+TDP!M195+DTRVL!M195</f>
        <v>522578257</v>
      </c>
      <c r="N195" s="172">
        <f>DTR!N195+'Dai Loc'!N195+'Dong Lam'!N195+'Khanh Nga'!N195+TDP!N195+DTRVL!N195</f>
        <v>1311270209</v>
      </c>
      <c r="O195" s="172">
        <f>DTR!O195+'Dai Loc'!O195+'Dong Lam'!O195+'Khanh Nga'!O195+TDP!O195+DTRVL!O195</f>
        <v>357780096</v>
      </c>
      <c r="P195" s="172">
        <f>DTR!P195+'Dai Loc'!P195+'Dong Lam'!P195+'Khanh Nga'!P195+TDP!P195+DTRVL!P195</f>
        <v>1275864519</v>
      </c>
      <c r="Q195" s="172">
        <f>DTR!Q195+'Dai Loc'!Q195+'Dong Lam'!Q195+'Khanh Nga'!Q195+TDP!Q195+DTRVL!Q195</f>
        <v>608968263</v>
      </c>
      <c r="R195" s="172">
        <f>DTR!R195+'Dai Loc'!R195+'Dong Lam'!R195+'Khanh Nga'!R195+TDP!R195+DTRVL!R195</f>
        <v>658231709</v>
      </c>
      <c r="S195" s="172">
        <f>DTR!S195+'Dai Loc'!S195+'Dong Lam'!S195+'Khanh Nga'!S195+TDP!S195+DTRVL!S195</f>
        <v>1643945913</v>
      </c>
      <c r="T195" s="172">
        <f>DTR!T195+'Dai Loc'!T195+'Dong Lam'!T195+'Khanh Nga'!T195+TDP!T195+DTRVL!T195</f>
        <v>645043805</v>
      </c>
      <c r="U195" s="172">
        <f>DTR!U195+'Dai Loc'!U195+'Dong Lam'!U195+'Khanh Nga'!U195+TDP!U195+DTRVL!U195</f>
        <v>757881624</v>
      </c>
      <c r="V195" s="172">
        <f>DTR!V195+'Dai Loc'!V195+'Dong Lam'!V195+'Khanh Nga'!V195+TDP!V195+DTRVL!V195</f>
        <v>621393506</v>
      </c>
      <c r="W195" s="172">
        <f>DTR!W195+'Dai Loc'!W195+'Dong Lam'!W195+'Khanh Nga'!W195+TDP!W195+DTRVL!W195</f>
        <v>844098636</v>
      </c>
      <c r="X195" s="172">
        <f>DTR!X195+'Dai Loc'!X195+'Dong Lam'!X195+'Khanh Nga'!X195+TDP!X195+DTRVL!X195</f>
        <v>1011211322</v>
      </c>
      <c r="Y195" s="172">
        <f>DTR!Y195+'Dai Loc'!Y195+'Dong Lam'!Y195+'Khanh Nga'!Y195+TDP!Y195+DTRVL!Y195</f>
        <v>120205688</v>
      </c>
      <c r="Z195" s="172">
        <f>DTR!Z195+'Dai Loc'!Z195+'Dong Lam'!Z195+'Khanh Nga'!Z195+TDP!Z195+DTRVL!Z195</f>
        <v>252471998</v>
      </c>
    </row>
    <row r="196" spans="1:26" ht="15" customHeight="1">
      <c r="A196" s="145" t="s">
        <v>282</v>
      </c>
      <c r="B196" s="146">
        <v>41</v>
      </c>
      <c r="C196" s="173">
        <f>DTR!C196+'Dai Loc'!C196+'Dong Lam'!C196+'Khanh Nga'!C196+TDP!C196+DTRVL!C196</f>
        <v>46633249759.996582</v>
      </c>
      <c r="D196" s="173">
        <f>DTR!D196+'Dai Loc'!D196+'Dong Lam'!D196+'Khanh Nga'!D196+TDP!D196+DTRVL!D196</f>
        <v>35851802773.996582</v>
      </c>
      <c r="E196" s="173">
        <f>DTR!E196+'Dai Loc'!E196+'Dong Lam'!E196+'Khanh Nga'!E196+TDP!E196+DTRVL!E196</f>
        <v>26393055916.996582</v>
      </c>
      <c r="F196" s="173">
        <f>DTR!F196+'Dai Loc'!F196+'Dong Lam'!F196+'Khanh Nga'!F196+TDP!F196+DTRVL!F196</f>
        <v>34593153166.996582</v>
      </c>
      <c r="G196" s="173">
        <f>DTR!G196+'Dai Loc'!G196+'Dong Lam'!G196+'Khanh Nga'!G196+TDP!G196+DTRVL!G196</f>
        <v>33199136311.996582</v>
      </c>
      <c r="H196" s="173">
        <f>DTR!H196+'Dai Loc'!H196+'Dong Lam'!H196+'Khanh Nga'!H196+TDP!H196+DTRVL!H196</f>
        <v>19638634541.996582</v>
      </c>
      <c r="I196" s="173">
        <f>DTR!I196+'Dai Loc'!I196+'Dong Lam'!I196+'Khanh Nga'!I196+TDP!I196+DTRVL!I196</f>
        <v>56271006189.996582</v>
      </c>
      <c r="J196" s="173">
        <f>DTR!J196+'Dai Loc'!J196+'Dong Lam'!J196+'Khanh Nga'!J196+TDP!J196+DTRVL!J196</f>
        <v>35429490169.996582</v>
      </c>
      <c r="K196" s="173">
        <f>DTR!K196+'Dai Loc'!K196+'Dong Lam'!K196+'Khanh Nga'!K196+TDP!K196+DTRVL!K196</f>
        <v>48429525474.996582</v>
      </c>
      <c r="L196" s="173">
        <f>DTR!L196+'Dai Loc'!L196+'Dong Lam'!L196+'Khanh Nga'!L196+TDP!L196+DTRVL!L196</f>
        <v>78014775933.996582</v>
      </c>
      <c r="M196" s="173">
        <f>DTR!M196+'Dai Loc'!M196+'Dong Lam'!M196+'Khanh Nga'!M196+TDP!M196+DTRVL!M196</f>
        <v>81105192016</v>
      </c>
      <c r="N196" s="173">
        <f>DTR!N196+'Dai Loc'!N196+'Dong Lam'!N196+'Khanh Nga'!N196+TDP!N196+DTRVL!N196</f>
        <v>78515947311</v>
      </c>
      <c r="O196" s="173">
        <f>DTR!O196+'Dai Loc'!O196+'Dong Lam'!O196+'Khanh Nga'!O196+TDP!O196+DTRVL!O196</f>
        <v>108757458296.99669</v>
      </c>
      <c r="P196" s="173">
        <f>DTR!P196+'Dai Loc'!P196+'Dong Lam'!P196+'Khanh Nga'!P196+TDP!P196+DTRVL!P196</f>
        <v>63047560921.996582</v>
      </c>
      <c r="Q196" s="173">
        <f>DTR!Q196+'Dai Loc'!Q196+'Dong Lam'!Q196+'Khanh Nga'!Q196+TDP!Q196+DTRVL!Q196</f>
        <v>57546333331.996582</v>
      </c>
      <c r="R196" s="173">
        <f>DTR!R196+'Dai Loc'!R196+'Dong Lam'!R196+'Khanh Nga'!R196+TDP!R196+DTRVL!R196</f>
        <v>72781093894.996582</v>
      </c>
      <c r="S196" s="173">
        <f>DTR!S196+'Dai Loc'!S196+'Dong Lam'!S196+'Khanh Nga'!S196+TDP!S196+DTRVL!S196</f>
        <v>53850392377.996582</v>
      </c>
      <c r="T196" s="173">
        <f>DTR!T196+'Dai Loc'!T196+'Dong Lam'!T196+'Khanh Nga'!T196+TDP!T196+DTRVL!T196</f>
        <v>47310681041.996582</v>
      </c>
      <c r="U196" s="173">
        <f>DTR!U196+'Dai Loc'!U196+'Dong Lam'!U196+'Khanh Nga'!U196+TDP!U196+DTRVL!U196</f>
        <v>46943683939.996681</v>
      </c>
      <c r="V196" s="173">
        <f>DTR!V196+'Dai Loc'!V196+'Dong Lam'!V196+'Khanh Nga'!V196+TDP!V196+DTRVL!V196</f>
        <v>52760383889.996681</v>
      </c>
      <c r="W196" s="173">
        <f>DTR!W196+'Dai Loc'!W196+'Dong Lam'!W196+'Khanh Nga'!W196+TDP!W196+DTRVL!W196</f>
        <v>94749581699.996582</v>
      </c>
      <c r="X196" s="173">
        <f>DTR!X196+'Dai Loc'!X196+'Dong Lam'!X196+'Khanh Nga'!X196+TDP!X196+DTRVL!X196</f>
        <v>86336513719.996582</v>
      </c>
      <c r="Y196" s="173">
        <f>DTR!Y196+'Dai Loc'!Y196+'Dong Lam'!Y196+'Khanh Nga'!Y196+TDP!Y196+DTRVL!Y196</f>
        <v>82814145672.996582</v>
      </c>
      <c r="Z196" s="173">
        <f>DTR!Z196+'Dai Loc'!Z196+'Dong Lam'!Z196+'Khanh Nga'!Z196+TDP!Z196+DTRVL!Z196</f>
        <v>63226156108</v>
      </c>
    </row>
    <row r="197" spans="1:26" ht="15" customHeight="1">
      <c r="C197" s="175">
        <f t="shared" ref="C197:Z197" si="15">C7-C196</f>
        <v>3.41796875E-3</v>
      </c>
      <c r="D197" s="175">
        <f t="shared" si="15"/>
        <v>3.41796875E-3</v>
      </c>
      <c r="E197" s="175">
        <f t="shared" si="15"/>
        <v>3.41796875E-3</v>
      </c>
      <c r="F197" s="175">
        <f t="shared" si="15"/>
        <v>3.41796875E-3</v>
      </c>
      <c r="G197" s="175">
        <f t="shared" si="15"/>
        <v>3.41796875E-3</v>
      </c>
      <c r="H197" s="175">
        <f t="shared" si="15"/>
        <v>3.41796875E-3</v>
      </c>
      <c r="I197" s="175">
        <f t="shared" si="15"/>
        <v>3.41796875E-3</v>
      </c>
      <c r="J197" s="175">
        <f t="shared" si="15"/>
        <v>3.41796875E-3</v>
      </c>
      <c r="K197" s="175">
        <f t="shared" si="15"/>
        <v>3.41796875E-3</v>
      </c>
      <c r="L197" s="175">
        <f t="shared" si="15"/>
        <v>3.41796875E-3</v>
      </c>
      <c r="M197" s="175">
        <f t="shared" si="15"/>
        <v>0</v>
      </c>
      <c r="N197" s="175">
        <f t="shared" si="15"/>
        <v>0</v>
      </c>
      <c r="O197" s="175">
        <f t="shared" si="15"/>
        <v>3.3111572265625E-3</v>
      </c>
      <c r="P197" s="175">
        <f t="shared" si="15"/>
        <v>3.41796875E-3</v>
      </c>
      <c r="Q197" s="175">
        <f t="shared" si="15"/>
        <v>3.41796875E-3</v>
      </c>
      <c r="R197" s="175">
        <f t="shared" si="15"/>
        <v>3.41796875E-3</v>
      </c>
      <c r="S197" s="175">
        <f t="shared" si="15"/>
        <v>3.41796875E-3</v>
      </c>
      <c r="T197" s="175">
        <f t="shared" si="15"/>
        <v>3.41796875E-3</v>
      </c>
      <c r="U197" s="175">
        <f t="shared" si="15"/>
        <v>3.31878662109375E-3</v>
      </c>
      <c r="V197" s="175">
        <f t="shared" si="15"/>
        <v>3.31878662109375E-3</v>
      </c>
      <c r="W197" s="175">
        <f t="shared" si="15"/>
        <v>3.41796875E-3</v>
      </c>
      <c r="X197" s="175">
        <f t="shared" si="15"/>
        <v>3.41796875E-3</v>
      </c>
      <c r="Y197" s="175">
        <f t="shared" si="15"/>
        <v>3.41796875E-3</v>
      </c>
      <c r="Z197" s="175">
        <f t="shared" si="15"/>
        <v>0</v>
      </c>
    </row>
    <row r="198" spans="1:26" ht="15" customHeight="1">
      <c r="A198" s="176" t="s">
        <v>283</v>
      </c>
      <c r="B198" s="177" t="s">
        <v>284</v>
      </c>
      <c r="C198" s="53" t="s">
        <v>66</v>
      </c>
      <c r="D198" s="53" t="s">
        <v>67</v>
      </c>
      <c r="E198" s="53" t="s">
        <v>68</v>
      </c>
      <c r="F198" s="53" t="s">
        <v>69</v>
      </c>
      <c r="G198" s="53" t="s">
        <v>70</v>
      </c>
      <c r="H198" s="53" t="s">
        <v>71</v>
      </c>
      <c r="I198" s="53" t="s">
        <v>72</v>
      </c>
      <c r="J198" s="53" t="s">
        <v>73</v>
      </c>
      <c r="K198" s="53" t="s">
        <v>74</v>
      </c>
      <c r="L198" s="53" t="s">
        <v>75</v>
      </c>
      <c r="M198" s="53" t="s">
        <v>76</v>
      </c>
      <c r="N198" s="53" t="s">
        <v>77</v>
      </c>
      <c r="O198" s="53" t="s">
        <v>78</v>
      </c>
      <c r="P198" s="53" t="s">
        <v>79</v>
      </c>
      <c r="Q198" s="53" t="s">
        <v>80</v>
      </c>
      <c r="R198" s="53" t="s">
        <v>81</v>
      </c>
      <c r="S198" s="53" t="s">
        <v>82</v>
      </c>
      <c r="T198" s="53" t="s">
        <v>83</v>
      </c>
      <c r="U198" s="53" t="s">
        <v>84</v>
      </c>
      <c r="V198" s="53" t="s">
        <v>85</v>
      </c>
      <c r="W198" s="53" t="s">
        <v>86</v>
      </c>
      <c r="X198" s="53" t="s">
        <v>87</v>
      </c>
      <c r="Y198" s="53" t="s">
        <v>88</v>
      </c>
      <c r="Z198" s="53" t="s">
        <v>89</v>
      </c>
    </row>
    <row r="199" spans="1:26" ht="15" customHeight="1">
      <c r="A199" s="178" t="s">
        <v>285</v>
      </c>
      <c r="B199" s="179">
        <v>1</v>
      </c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spans="1:26" ht="15" customHeight="1">
      <c r="A200" s="178" t="s">
        <v>286</v>
      </c>
      <c r="B200" s="179">
        <v>2</v>
      </c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spans="1:26" ht="15" customHeight="1">
      <c r="A201" s="178" t="s">
        <v>287</v>
      </c>
      <c r="B201" s="179">
        <v>3</v>
      </c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spans="1:26" ht="15" customHeight="1">
      <c r="A202" s="178" t="s">
        <v>288</v>
      </c>
      <c r="B202" s="179">
        <v>4</v>
      </c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spans="1:26" ht="15" customHeight="1">
      <c r="A203" s="178" t="s">
        <v>289</v>
      </c>
      <c r="B203" s="179">
        <v>5</v>
      </c>
      <c r="C203" s="180">
        <f t="shared" ref="C203:Z205" si="16">C134</f>
        <v>5108.3249999999998</v>
      </c>
      <c r="D203" s="180">
        <f t="shared" si="16"/>
        <v>3038.375</v>
      </c>
      <c r="E203" s="180">
        <f t="shared" si="16"/>
        <v>4394.3999999999996</v>
      </c>
      <c r="F203" s="180">
        <f t="shared" si="16"/>
        <v>4434.75</v>
      </c>
      <c r="G203" s="180">
        <f t="shared" si="16"/>
        <v>4827.2020000000002</v>
      </c>
      <c r="H203" s="180">
        <f t="shared" si="16"/>
        <v>3532.75</v>
      </c>
      <c r="I203" s="180">
        <f t="shared" si="16"/>
        <v>2953.134</v>
      </c>
      <c r="J203" s="180">
        <f t="shared" si="16"/>
        <v>5764.9472000000005</v>
      </c>
      <c r="K203" s="180">
        <f t="shared" si="16"/>
        <v>5789.67</v>
      </c>
      <c r="L203" s="180">
        <f t="shared" si="16"/>
        <v>4984.4519999999993</v>
      </c>
      <c r="M203" s="180">
        <f t="shared" si="16"/>
        <v>3194.5280000000002</v>
      </c>
      <c r="N203" s="180">
        <f t="shared" si="16"/>
        <v>3774.598</v>
      </c>
      <c r="O203" s="180">
        <f t="shared" si="16"/>
        <v>4258.8942999999999</v>
      </c>
      <c r="P203" s="180">
        <f t="shared" si="16"/>
        <v>6515.8540000000003</v>
      </c>
      <c r="Q203" s="180">
        <f t="shared" si="16"/>
        <v>6300.7350000000006</v>
      </c>
      <c r="R203" s="180">
        <f t="shared" si="16"/>
        <v>5577.3580000000002</v>
      </c>
      <c r="S203" s="180">
        <f t="shared" si="16"/>
        <v>6392.2473</v>
      </c>
      <c r="T203" s="180">
        <f t="shared" si="16"/>
        <v>5760.2290000000012</v>
      </c>
      <c r="U203" s="180">
        <f t="shared" si="16"/>
        <v>7068.0580999999993</v>
      </c>
      <c r="V203" s="180">
        <f t="shared" si="16"/>
        <v>7721.48</v>
      </c>
      <c r="W203" s="180">
        <f t="shared" si="16"/>
        <v>4903.9949999999999</v>
      </c>
      <c r="X203" s="180">
        <f t="shared" si="16"/>
        <v>5219.4869999999992</v>
      </c>
      <c r="Y203" s="180">
        <f t="shared" si="16"/>
        <v>3877.415</v>
      </c>
      <c r="Z203" s="180">
        <f t="shared" si="16"/>
        <v>4601</v>
      </c>
    </row>
    <row r="204" spans="1:26" ht="15" customHeight="1">
      <c r="A204" s="181" t="s">
        <v>290</v>
      </c>
      <c r="B204" s="182">
        <v>6</v>
      </c>
      <c r="C204" s="183">
        <f t="shared" si="16"/>
        <v>130037940981</v>
      </c>
      <c r="D204" s="183">
        <f t="shared" si="16"/>
        <v>84645791256</v>
      </c>
      <c r="E204" s="183">
        <f t="shared" si="16"/>
        <v>115625416433</v>
      </c>
      <c r="F204" s="183">
        <f t="shared" si="16"/>
        <v>117647266094</v>
      </c>
      <c r="G204" s="183">
        <f t="shared" si="16"/>
        <v>128085507494</v>
      </c>
      <c r="H204" s="183">
        <f t="shared" si="16"/>
        <v>95661572209</v>
      </c>
      <c r="I204" s="183">
        <f t="shared" si="16"/>
        <v>74679662458</v>
      </c>
      <c r="J204" s="183">
        <f t="shared" si="16"/>
        <v>178936926222</v>
      </c>
      <c r="K204" s="183">
        <f t="shared" si="16"/>
        <v>180140886766</v>
      </c>
      <c r="L204" s="183">
        <f t="shared" si="16"/>
        <v>143211413018</v>
      </c>
      <c r="M204" s="183">
        <f t="shared" si="16"/>
        <v>97197472020</v>
      </c>
      <c r="N204" s="183">
        <f t="shared" si="16"/>
        <v>128687104846</v>
      </c>
      <c r="O204" s="183">
        <f t="shared" si="16"/>
        <v>126379322139</v>
      </c>
      <c r="P204" s="183">
        <f t="shared" si="16"/>
        <v>207207177534</v>
      </c>
      <c r="Q204" s="183">
        <f t="shared" si="16"/>
        <v>181430837221</v>
      </c>
      <c r="R204" s="183">
        <f t="shared" si="16"/>
        <v>158008365446</v>
      </c>
      <c r="S204" s="183">
        <f t="shared" si="16"/>
        <v>187024821170</v>
      </c>
      <c r="T204" s="183">
        <f t="shared" si="16"/>
        <v>159411514790</v>
      </c>
      <c r="U204" s="183">
        <f t="shared" si="16"/>
        <v>186280242939</v>
      </c>
      <c r="V204" s="183">
        <f t="shared" si="16"/>
        <v>216574896958</v>
      </c>
      <c r="W204" s="183">
        <f t="shared" si="16"/>
        <v>126838741253</v>
      </c>
      <c r="X204" s="183">
        <f t="shared" si="16"/>
        <v>138182161108</v>
      </c>
      <c r="Y204" s="183">
        <f t="shared" si="16"/>
        <v>109718867086</v>
      </c>
      <c r="Z204" s="183">
        <f t="shared" si="16"/>
        <v>127334240251</v>
      </c>
    </row>
    <row r="205" spans="1:26" ht="15" customHeight="1">
      <c r="A205" s="184" t="s">
        <v>291</v>
      </c>
      <c r="B205" s="185">
        <v>7</v>
      </c>
      <c r="C205" s="186">
        <f t="shared" si="16"/>
        <v>0</v>
      </c>
      <c r="D205" s="186">
        <f t="shared" si="16"/>
        <v>1166125000</v>
      </c>
      <c r="E205" s="186">
        <f t="shared" si="16"/>
        <v>0</v>
      </c>
      <c r="F205" s="186">
        <f t="shared" si="16"/>
        <v>0</v>
      </c>
      <c r="G205" s="186">
        <f t="shared" si="16"/>
        <v>136455000</v>
      </c>
      <c r="H205" s="186">
        <f t="shared" si="16"/>
        <v>0</v>
      </c>
      <c r="I205" s="186">
        <f t="shared" si="16"/>
        <v>0</v>
      </c>
      <c r="J205" s="186">
        <f t="shared" si="16"/>
        <v>6345077301</v>
      </c>
      <c r="K205" s="186">
        <f t="shared" si="16"/>
        <v>4671587529</v>
      </c>
      <c r="L205" s="186">
        <f t="shared" si="16"/>
        <v>2922205276</v>
      </c>
      <c r="M205" s="186">
        <f t="shared" si="16"/>
        <v>49359030</v>
      </c>
      <c r="N205" s="186">
        <f t="shared" si="16"/>
        <v>4680420540</v>
      </c>
      <c r="O205" s="186">
        <f t="shared" si="16"/>
        <v>513935495</v>
      </c>
      <c r="P205" s="186">
        <f t="shared" si="16"/>
        <v>477877176</v>
      </c>
      <c r="Q205" s="186">
        <f t="shared" si="16"/>
        <v>477350452</v>
      </c>
      <c r="R205" s="186">
        <f t="shared" si="16"/>
        <v>304590498</v>
      </c>
      <c r="S205" s="186">
        <f t="shared" si="16"/>
        <v>1607115262</v>
      </c>
      <c r="T205" s="186">
        <f t="shared" si="16"/>
        <v>708638196</v>
      </c>
      <c r="U205" s="186">
        <f t="shared" si="16"/>
        <v>26953743</v>
      </c>
      <c r="V205" s="186">
        <f t="shared" si="16"/>
        <v>1000293545</v>
      </c>
      <c r="W205" s="186">
        <f t="shared" si="16"/>
        <v>6773818500</v>
      </c>
      <c r="X205" s="186">
        <f t="shared" si="16"/>
        <v>0</v>
      </c>
      <c r="Y205" s="186">
        <f t="shared" si="16"/>
        <v>1479093000</v>
      </c>
      <c r="Z205" s="186">
        <f t="shared" si="16"/>
        <v>-573868680</v>
      </c>
    </row>
    <row r="206" spans="1:26" ht="15" customHeight="1">
      <c r="A206" s="184" t="s">
        <v>292</v>
      </c>
      <c r="B206" s="185">
        <v>8</v>
      </c>
      <c r="C206" s="187">
        <f t="shared" ref="C206:Z206" si="17">IFERROR(C205/C204,"")</f>
        <v>0</v>
      </c>
      <c r="D206" s="187">
        <f t="shared" si="17"/>
        <v>1.3776526661239531E-2</v>
      </c>
      <c r="E206" s="187">
        <f t="shared" si="17"/>
        <v>0</v>
      </c>
      <c r="F206" s="187">
        <f t="shared" si="17"/>
        <v>0</v>
      </c>
      <c r="G206" s="187">
        <f t="shared" si="17"/>
        <v>1.0653430092892597E-3</v>
      </c>
      <c r="H206" s="187">
        <f t="shared" si="17"/>
        <v>0</v>
      </c>
      <c r="I206" s="187">
        <f t="shared" si="17"/>
        <v>0</v>
      </c>
      <c r="J206" s="187">
        <f t="shared" si="17"/>
        <v>3.5459854122719826E-2</v>
      </c>
      <c r="K206" s="187">
        <f t="shared" si="17"/>
        <v>2.593296620699061E-2</v>
      </c>
      <c r="L206" s="187">
        <f t="shared" si="17"/>
        <v>2.0404835162353387E-2</v>
      </c>
      <c r="M206" s="187">
        <f t="shared" si="17"/>
        <v>5.0782215806850978E-4</v>
      </c>
      <c r="N206" s="187">
        <f t="shared" si="17"/>
        <v>3.6370548126022917E-2</v>
      </c>
      <c r="O206" s="187">
        <f t="shared" si="17"/>
        <v>4.0666106314033012E-3</v>
      </c>
      <c r="P206" s="187">
        <f t="shared" si="17"/>
        <v>2.3062771361845639E-3</v>
      </c>
      <c r="Q206" s="187">
        <f t="shared" si="17"/>
        <v>2.6310326254987281E-3</v>
      </c>
      <c r="R206" s="187">
        <f t="shared" si="17"/>
        <v>1.9276858990361181E-3</v>
      </c>
      <c r="S206" s="187">
        <f t="shared" si="17"/>
        <v>8.5930586750257078E-3</v>
      </c>
      <c r="T206" s="187">
        <f t="shared" si="17"/>
        <v>4.4453388259532017E-3</v>
      </c>
      <c r="U206" s="187">
        <f t="shared" si="17"/>
        <v>1.4469458797531401E-4</v>
      </c>
      <c r="V206" s="187">
        <f t="shared" si="17"/>
        <v>4.6186956985785161E-3</v>
      </c>
      <c r="W206" s="187">
        <f t="shared" si="17"/>
        <v>5.3404964706237061E-2</v>
      </c>
      <c r="X206" s="187">
        <f t="shared" si="17"/>
        <v>0</v>
      </c>
      <c r="Y206" s="187">
        <f t="shared" si="17"/>
        <v>1.3480753486459673E-2</v>
      </c>
      <c r="Z206" s="187">
        <f t="shared" si="17"/>
        <v>-4.5067899951246083E-3</v>
      </c>
    </row>
    <row r="207" spans="1:26" ht="15" customHeight="1">
      <c r="A207" s="181" t="s">
        <v>293</v>
      </c>
      <c r="B207" s="182">
        <v>9</v>
      </c>
      <c r="C207" s="188">
        <f t="shared" ref="C207:Z207" si="18">C137</f>
        <v>130037940981</v>
      </c>
      <c r="D207" s="188">
        <f t="shared" si="18"/>
        <v>83479666256</v>
      </c>
      <c r="E207" s="188">
        <f t="shared" si="18"/>
        <v>115625416433</v>
      </c>
      <c r="F207" s="188">
        <f t="shared" si="18"/>
        <v>117647266094</v>
      </c>
      <c r="G207" s="188">
        <f t="shared" si="18"/>
        <v>127949052494</v>
      </c>
      <c r="H207" s="188">
        <f t="shared" si="18"/>
        <v>95661572209</v>
      </c>
      <c r="I207" s="188">
        <f t="shared" si="18"/>
        <v>74679662458</v>
      </c>
      <c r="J207" s="188">
        <f t="shared" si="18"/>
        <v>172591848921</v>
      </c>
      <c r="K207" s="188">
        <f t="shared" si="18"/>
        <v>175469299237</v>
      </c>
      <c r="L207" s="188">
        <f t="shared" si="18"/>
        <v>140289207742</v>
      </c>
      <c r="M207" s="188">
        <f t="shared" si="18"/>
        <v>97148112990</v>
      </c>
      <c r="N207" s="188">
        <f t="shared" si="18"/>
        <v>124006684306</v>
      </c>
      <c r="O207" s="188">
        <f t="shared" si="18"/>
        <v>125865386644</v>
      </c>
      <c r="P207" s="188">
        <f t="shared" si="18"/>
        <v>206729300358</v>
      </c>
      <c r="Q207" s="188">
        <f t="shared" si="18"/>
        <v>180953486769</v>
      </c>
      <c r="R207" s="188">
        <f t="shared" si="18"/>
        <v>157703774948</v>
      </c>
      <c r="S207" s="188">
        <f t="shared" si="18"/>
        <v>185417705908</v>
      </c>
      <c r="T207" s="188">
        <f t="shared" si="18"/>
        <v>158702876594</v>
      </c>
      <c r="U207" s="188">
        <f t="shared" si="18"/>
        <v>186253289196</v>
      </c>
      <c r="V207" s="188">
        <f t="shared" si="18"/>
        <v>215574603413</v>
      </c>
      <c r="W207" s="188">
        <f t="shared" si="18"/>
        <v>120064922753</v>
      </c>
      <c r="X207" s="188">
        <f t="shared" si="18"/>
        <v>138182161108</v>
      </c>
      <c r="Y207" s="188">
        <f t="shared" si="18"/>
        <v>108239774086</v>
      </c>
      <c r="Z207" s="188">
        <f t="shared" si="18"/>
        <v>127908108931</v>
      </c>
    </row>
    <row r="208" spans="1:26" ht="15" customHeight="1">
      <c r="A208" s="178" t="s">
        <v>294</v>
      </c>
      <c r="B208" s="179">
        <v>10</v>
      </c>
      <c r="C208" s="189">
        <f>TDP!C208+'Dai Loc'!C208+'Khanh Nga'!C208+'Dong Lam'!C208+DTR!C208+DTRVL!C208</f>
        <v>63344586092</v>
      </c>
      <c r="D208" s="189">
        <f>TDP!D208+'Dai Loc'!D208+'Khanh Nga'!D208+'Dong Lam'!D208+DTR!D208+DTRVL!D208</f>
        <v>30529252055</v>
      </c>
      <c r="E208" s="189">
        <f>TDP!E208+'Dai Loc'!E208+'Khanh Nga'!E208+'Dong Lam'!E208+DTR!E208+DTRVL!E208</f>
        <v>56313461950</v>
      </c>
      <c r="F208" s="189">
        <f>TDP!F208+'Dai Loc'!F208+'Khanh Nga'!F208+'Dong Lam'!F208+DTR!F208+DTRVL!F208</f>
        <v>70145350000</v>
      </c>
      <c r="G208" s="189">
        <f>TDP!G208+'Dai Loc'!G208+'Khanh Nga'!G208+'Dong Lam'!G208+DTR!G208+DTRVL!G208</f>
        <v>31248110080</v>
      </c>
      <c r="H208" s="189">
        <f>TDP!H208+'Dai Loc'!H208+'Khanh Nga'!H208+'Dong Lam'!H208+DTR!H208+DTRVL!H208</f>
        <v>7753736540</v>
      </c>
      <c r="I208" s="189">
        <f>TDP!I208+'Dai Loc'!I208+'Khanh Nga'!I208+'Dong Lam'!I208+DTR!I208+DTRVL!I208</f>
        <v>32497915104</v>
      </c>
      <c r="J208" s="189">
        <f>TDP!J208+'Dai Loc'!J208+'Khanh Nga'!J208+'Dong Lam'!J208+DTR!J208+DTRVL!J208</f>
        <v>100596695257</v>
      </c>
      <c r="K208" s="189">
        <f>TDP!K208+'Dai Loc'!K208+'Khanh Nga'!K208+'Dong Lam'!K208+DTR!K208+DTRVL!K208</f>
        <v>108890762068</v>
      </c>
      <c r="L208" s="189">
        <f>TDP!L208+'Dai Loc'!L208+'Khanh Nga'!L208+'Dong Lam'!L208+DTR!L208+DTRVL!L208</f>
        <v>64644001972</v>
      </c>
      <c r="M208" s="189">
        <f>TDP!M208+'Dai Loc'!M208+'Khanh Nga'!M208+'Dong Lam'!M208+DTR!M208+DTRVL!M208</f>
        <v>19227811548</v>
      </c>
      <c r="N208" s="189">
        <f>TDP!N208+'Dai Loc'!N208+'Khanh Nga'!N208+'Dong Lam'!N208+DTR!N208+DTRVL!N208</f>
        <v>38250151385</v>
      </c>
      <c r="O208" s="189">
        <f>TDP!O208+'Dai Loc'!O208+'Khanh Nga'!O208+'Dong Lam'!O208+DTR!O208+DTRVL!O208</f>
        <v>82123174705</v>
      </c>
      <c r="P208" s="189">
        <f>TDP!P208+'Dai Loc'!P208+'Khanh Nga'!P208+'Dong Lam'!P208+DTR!P208+DTRVL!P208</f>
        <v>127754884829</v>
      </c>
      <c r="Q208" s="189">
        <f>TDP!Q208+'Dai Loc'!Q208+'Khanh Nga'!Q208+'Dong Lam'!Q208+DTR!Q208+DTRVL!Q208</f>
        <v>103667980875</v>
      </c>
      <c r="R208" s="189">
        <f>TDP!R208+'Dai Loc'!R208+'Khanh Nga'!R208+'Dong Lam'!R208+DTR!R208+DTRVL!R208</f>
        <v>89699052245</v>
      </c>
      <c r="S208" s="189">
        <f>TDP!S208+'Dai Loc'!S208+'Khanh Nga'!S208+'Dong Lam'!S208+DTR!S208+DTRVL!S208</f>
        <v>114824058990</v>
      </c>
      <c r="T208" s="189">
        <f>TDP!T208+'Dai Loc'!T208+'Khanh Nga'!T208+'Dong Lam'!T208+DTR!T208+DTRVL!T208</f>
        <v>70054412500</v>
      </c>
      <c r="U208" s="189">
        <f>TDP!U208+'Dai Loc'!U208+'Khanh Nga'!U208+'Dong Lam'!U208+DTR!U208+DTRVL!U208</f>
        <v>88123126474</v>
      </c>
      <c r="V208" s="189">
        <f>TDP!V208+'Dai Loc'!V208+'Khanh Nga'!V208+'Dong Lam'!V208+DTR!V208+DTRVL!V208</f>
        <v>94069028914</v>
      </c>
      <c r="W208" s="189">
        <f>TDP!W208+'Dai Loc'!W208+'Khanh Nga'!W208+'Dong Lam'!W208+DTR!W208+DTRVL!W208</f>
        <v>24953975916</v>
      </c>
      <c r="X208" s="189">
        <f>TDP!X208+'Dai Loc'!X208+'Khanh Nga'!X208+'Dong Lam'!X208+DTR!X208+DTRVL!X208</f>
        <v>27056388040</v>
      </c>
      <c r="Y208" s="189">
        <f>TDP!Y208+'Dai Loc'!Y208+'Khanh Nga'!Y208+'Dong Lam'!Y208+DTR!Y208+DTRVL!Y208</f>
        <v>21625208400</v>
      </c>
      <c r="Z208" s="189">
        <f>TDP!Z208+'Dai Loc'!Z208+'Khanh Nga'!Z208+'Dong Lam'!Z208+DTR!Z208+DTRVL!Z208</f>
        <v>30893476900</v>
      </c>
    </row>
    <row r="209" spans="1:26" ht="15" customHeight="1">
      <c r="A209" s="178" t="s">
        <v>295</v>
      </c>
      <c r="B209" s="179">
        <v>11</v>
      </c>
      <c r="C209" s="189">
        <f>TDP!C209+'Dai Loc'!C209+'Khanh Nga'!C209+'Dong Lam'!C209+DTR!C209+DTRVL!C209</f>
        <v>66525131089</v>
      </c>
      <c r="D209" s="189">
        <f>TDP!D209+'Dai Loc'!D209+'Khanh Nga'!D209+'Dong Lam'!D209+DTR!D209+DTRVL!D209</f>
        <v>51933728920</v>
      </c>
      <c r="E209" s="189">
        <f>TDP!E209+'Dai Loc'!E209+'Khanh Nga'!E209+'Dong Lam'!E209+DTR!E209+DTRVL!E209</f>
        <v>59311954483</v>
      </c>
      <c r="F209" s="189">
        <f>TDP!F209+'Dai Loc'!F209+'Khanh Nga'!F209+'Dong Lam'!F209+DTR!F209+DTRVL!F209</f>
        <v>47501916094</v>
      </c>
      <c r="G209" s="189">
        <f>TDP!G209+'Dai Loc'!G209+'Khanh Nga'!G209+'Dong Lam'!G209+DTR!G209+DTRVL!G209</f>
        <v>96700942414</v>
      </c>
      <c r="H209" s="189">
        <f>TDP!H209+'Dai Loc'!H209+'Khanh Nga'!H209+'Dong Lam'!H209+DTR!H209+DTRVL!H209</f>
        <v>87321835669</v>
      </c>
      <c r="I209" s="189">
        <f>TDP!I209+'Dai Loc'!I209+'Khanh Nga'!I209+'Dong Lam'!I209+DTR!I209+DTRVL!I209</f>
        <v>42181747354</v>
      </c>
      <c r="J209" s="189">
        <f>TDP!J209+'Dai Loc'!J209+'Khanh Nga'!J209+'Dong Lam'!J209+DTR!J209+DTRVL!J209</f>
        <v>71995153664</v>
      </c>
      <c r="K209" s="189">
        <f>TDP!K209+'Dai Loc'!K209+'Khanh Nga'!K209+'Dong Lam'!K209+DTR!K209+DTRVL!K209</f>
        <v>55116426484</v>
      </c>
      <c r="L209" s="189">
        <f>TDP!L209+'Dai Loc'!L209+'Khanh Nga'!L209+'Dong Lam'!L209+DTR!L209+DTRVL!L209</f>
        <v>75645205770</v>
      </c>
      <c r="M209" s="189">
        <f>TDP!M209+'Dai Loc'!M209+'Khanh Nga'!M209+'Dong Lam'!M209+DTR!M209+DTRVL!M209</f>
        <v>72198076823</v>
      </c>
      <c r="N209" s="189">
        <f>TDP!N209+'Dai Loc'!N209+'Khanh Nga'!N209+'Dong Lam'!N209+DTR!N209+DTRVL!N209</f>
        <v>70937228507</v>
      </c>
      <c r="O209" s="189">
        <f>TDP!O209+'Dai Loc'!O209+'Khanh Nga'!O209+'Dong Lam'!O209+DTR!O209+DTRVL!O209</f>
        <v>43742211939</v>
      </c>
      <c r="P209" s="189">
        <f>TDP!P209+'Dai Loc'!P209+'Khanh Nga'!P209+'Dong Lam'!P209+DTR!P209+DTRVL!P209</f>
        <v>78974415529</v>
      </c>
      <c r="Q209" s="189">
        <f>TDP!Q209+'Dai Loc'!Q209+'Khanh Nga'!Q209+'Dong Lam'!Q209+DTR!Q209+DTRVL!Q209</f>
        <v>77106133292</v>
      </c>
      <c r="R209" s="189">
        <f>TDP!R209+'Dai Loc'!R209+'Khanh Nga'!R209+'Dong Lam'!R209+DTR!R209+DTRVL!R209</f>
        <v>68004722703</v>
      </c>
      <c r="S209" s="189">
        <f>TDP!S209+'Dai Loc'!S209+'Khanh Nga'!S209+'Dong Lam'!S209+DTR!S209+DTRVL!S209</f>
        <v>70593646918</v>
      </c>
      <c r="T209" s="189">
        <f>TDP!T209+'Dai Loc'!T209+'Khanh Nga'!T209+'Dong Lam'!T209+DTR!T209+DTRVL!T209</f>
        <v>88648464094</v>
      </c>
      <c r="U209" s="189">
        <f>TDP!U209+'Dai Loc'!U209+'Khanh Nga'!U209+'Dong Lam'!U209+DTR!U209+DTRVL!U209</f>
        <v>98130162722</v>
      </c>
      <c r="V209" s="189">
        <f>TDP!V209+'Dai Loc'!V209+'Khanh Nga'!V209+'Dong Lam'!V209+DTR!V209+DTRVL!V209</f>
        <v>121323380852</v>
      </c>
      <c r="W209" s="189">
        <f>TDP!W209+'Dai Loc'!W209+'Khanh Nga'!W209+'Dong Lam'!W209+DTR!W209+DTRVL!W209</f>
        <v>93692590037</v>
      </c>
      <c r="X209" s="189">
        <f>TDP!X209+'Dai Loc'!X209+'Khanh Nga'!X209+'Dong Lam'!X209+DTR!X209+DTRVL!X209</f>
        <v>101370826668</v>
      </c>
      <c r="Y209" s="189">
        <f>TDP!Y209+'Dai Loc'!Y209+'Khanh Nga'!Y209+'Dong Lam'!Y209+DTR!Y209+DTRVL!Y209</f>
        <v>83219314485</v>
      </c>
      <c r="Z209" s="189">
        <f>TDP!Z209+'Dai Loc'!Z209+'Khanh Nga'!Z209+'Dong Lam'!Z209+DTR!Z209+DTRVL!Z209</f>
        <v>88719344531</v>
      </c>
    </row>
    <row r="210" spans="1:26" ht="15" customHeight="1">
      <c r="A210" s="178" t="s">
        <v>296</v>
      </c>
      <c r="B210" s="179">
        <v>12</v>
      </c>
      <c r="C210" s="189">
        <f>TDP!C210+'Dai Loc'!C210+'Khanh Nga'!C210+'Dong Lam'!C210+DTR!C210+DTRVL!C210</f>
        <v>168223800</v>
      </c>
      <c r="D210" s="189">
        <f>TDP!D210+'Dai Loc'!D210+'Khanh Nga'!D210+'Dong Lam'!D210+DTR!D210+DTRVL!D210</f>
        <v>1016685281</v>
      </c>
      <c r="E210" s="189">
        <f>TDP!E210+'Dai Loc'!E210+'Khanh Nga'!E210+'Dong Lam'!E210+DTR!E210+DTRVL!E210</f>
        <v>0</v>
      </c>
      <c r="F210" s="189">
        <f>TDP!F210+'Dai Loc'!F210+'Khanh Nga'!F210+'Dong Lam'!F210+DTR!F210+DTRVL!F210</f>
        <v>0</v>
      </c>
      <c r="G210" s="189">
        <f>TDP!G210+'Dai Loc'!G210+'Khanh Nga'!G210+'Dong Lam'!G210+DTR!G210+DTRVL!G210</f>
        <v>0</v>
      </c>
      <c r="H210" s="189">
        <f>TDP!H210+'Dai Loc'!H210+'Khanh Nga'!H210+'Dong Lam'!H210+DTR!H210+DTRVL!H210</f>
        <v>586000000</v>
      </c>
      <c r="I210" s="189">
        <f>TDP!I210+'Dai Loc'!I210+'Khanh Nga'!I210+'Dong Lam'!I210+DTR!I210+DTRVL!I210</f>
        <v>0</v>
      </c>
      <c r="J210" s="189">
        <f>TDP!J210+'Dai Loc'!J210+'Khanh Nga'!J210+'Dong Lam'!J210+DTR!J210+DTRVL!J210</f>
        <v>0</v>
      </c>
      <c r="K210" s="189">
        <f>TDP!K210+'Dai Loc'!K210+'Khanh Nga'!K210+'Dong Lam'!K210+DTR!K210+DTRVL!K210</f>
        <v>11462110685</v>
      </c>
      <c r="L210" s="189">
        <f>TDP!L210+'Dai Loc'!L210+'Khanh Nga'!L210+'Dong Lam'!L210+DTR!L210+DTRVL!L210</f>
        <v>0</v>
      </c>
      <c r="M210" s="189">
        <f>TDP!M210+'Dai Loc'!M210+'Khanh Nga'!M210+'Dong Lam'!M210+DTR!M210+DTRVL!M210</f>
        <v>5722224619</v>
      </c>
      <c r="N210" s="189">
        <f>TDP!N210+'Dai Loc'!N210+'Khanh Nga'!N210+'Dong Lam'!N210+DTR!N210+DTRVL!N210</f>
        <v>14819304414</v>
      </c>
      <c r="O210" s="189">
        <f>TDP!O210+'Dai Loc'!O210+'Khanh Nga'!O210+'Dong Lam'!O210+DTR!O210+DTRVL!O210</f>
        <v>0</v>
      </c>
      <c r="P210" s="189">
        <f>TDP!P210+'Dai Loc'!P210+'Khanh Nga'!P210+'Dong Lam'!P210+DTR!P210+DTRVL!P210</f>
        <v>0</v>
      </c>
      <c r="Q210" s="189">
        <f>TDP!Q210+'Dai Loc'!Q210+'Khanh Nga'!Q210+'Dong Lam'!Q210+DTR!Q210+DTRVL!Q210</f>
        <v>179372602</v>
      </c>
      <c r="R210" s="189">
        <f>TDP!R210+'Dai Loc'!R210+'Khanh Nga'!R210+'Dong Lam'!R210+DTR!R210+DTRVL!R210</f>
        <v>0</v>
      </c>
      <c r="S210" s="189">
        <f>TDP!S210+'Dai Loc'!S210+'Khanh Nga'!S210+'Dong Lam'!S210+DTR!S210+DTRVL!S210</f>
        <v>0</v>
      </c>
      <c r="T210" s="189">
        <f>TDP!T210+'Dai Loc'!T210+'Khanh Nga'!T210+'Dong Lam'!T210+DTR!T210+DTRVL!T210</f>
        <v>0</v>
      </c>
      <c r="U210" s="189">
        <f>TDP!U210+'Dai Loc'!U210+'Khanh Nga'!U210+'Dong Lam'!U210+DTR!U210+DTRVL!U210</f>
        <v>0</v>
      </c>
      <c r="V210" s="189">
        <f>TDP!V210+'Dai Loc'!V210+'Khanh Nga'!V210+'Dong Lam'!V210+DTR!V210+DTRVL!V210</f>
        <v>182193647</v>
      </c>
      <c r="W210" s="189">
        <f>TDP!W210+'Dai Loc'!W210+'Khanh Nga'!W210+'Dong Lam'!W210+DTR!W210+DTRVL!W210</f>
        <v>1418356800</v>
      </c>
      <c r="X210" s="189">
        <f>TDP!X210+'Dai Loc'!X210+'Khanh Nga'!X210+'Dong Lam'!X210+DTR!X210+DTRVL!X210</f>
        <v>9754946400</v>
      </c>
      <c r="Y210" s="189">
        <f>TDP!Y210+'Dai Loc'!Y210+'Khanh Nga'!Y210+'Dong Lam'!Y210+DTR!Y210+DTRVL!Y210</f>
        <v>3395251201</v>
      </c>
      <c r="Z210" s="189">
        <f>TDP!Z210+'Dai Loc'!Z210+'Khanh Nga'!Z210+'Dong Lam'!Z210+DTR!Z210+DTRVL!Z210</f>
        <v>8295287500</v>
      </c>
    </row>
    <row r="211" spans="1:26" ht="15" customHeight="1">
      <c r="A211" s="181" t="s">
        <v>297</v>
      </c>
      <c r="B211" s="182">
        <v>13</v>
      </c>
      <c r="C211" s="183">
        <f t="shared" ref="C211:Z211" si="19">C138</f>
        <v>120065457134</v>
      </c>
      <c r="D211" s="183">
        <f t="shared" si="19"/>
        <v>83995360322</v>
      </c>
      <c r="E211" s="183">
        <f t="shared" si="19"/>
        <v>109165390822</v>
      </c>
      <c r="F211" s="183">
        <f t="shared" si="19"/>
        <v>105655387173</v>
      </c>
      <c r="G211" s="183">
        <f t="shared" si="19"/>
        <v>125507167216</v>
      </c>
      <c r="H211" s="183">
        <f t="shared" si="19"/>
        <v>98477492806</v>
      </c>
      <c r="I211" s="183">
        <f t="shared" si="19"/>
        <v>80393606783</v>
      </c>
      <c r="J211" s="183">
        <f t="shared" si="19"/>
        <v>167228552558</v>
      </c>
      <c r="K211" s="183">
        <f t="shared" si="19"/>
        <v>152083786508</v>
      </c>
      <c r="L211" s="183">
        <f t="shared" si="19"/>
        <v>135696763155</v>
      </c>
      <c r="M211" s="183">
        <f t="shared" si="19"/>
        <v>92718574459</v>
      </c>
      <c r="N211" s="183">
        <f t="shared" si="19"/>
        <v>-4137926966</v>
      </c>
      <c r="O211" s="183">
        <f t="shared" si="19"/>
        <v>109382281376</v>
      </c>
      <c r="P211" s="183">
        <f t="shared" si="19"/>
        <v>174422967873</v>
      </c>
      <c r="Q211" s="183">
        <f t="shared" si="19"/>
        <v>159767562826</v>
      </c>
      <c r="R211" s="183">
        <f t="shared" si="19"/>
        <v>140574223882</v>
      </c>
      <c r="S211" s="183">
        <f t="shared" si="19"/>
        <v>161629972631</v>
      </c>
      <c r="T211" s="183">
        <f t="shared" si="19"/>
        <v>143522031759</v>
      </c>
      <c r="U211" s="183">
        <f t="shared" si="19"/>
        <v>172510521735</v>
      </c>
      <c r="V211" s="183">
        <f t="shared" si="19"/>
        <v>197853154230</v>
      </c>
      <c r="W211" s="183">
        <f t="shared" si="19"/>
        <v>117237912996</v>
      </c>
      <c r="X211" s="183">
        <f t="shared" si="19"/>
        <v>127411416365</v>
      </c>
      <c r="Y211" s="183">
        <f t="shared" si="19"/>
        <v>99943651539</v>
      </c>
      <c r="Z211" s="183">
        <f t="shared" si="19"/>
        <v>90514001561</v>
      </c>
    </row>
    <row r="212" spans="1:26" ht="15" customHeight="1">
      <c r="A212" s="178" t="s">
        <v>298</v>
      </c>
      <c r="B212" s="179">
        <v>14</v>
      </c>
      <c r="C212" s="189">
        <f>TDP!C212+'Dai Loc'!C212+'Khanh Nga'!C212+'Dong Lam'!C212+DTR!C212+DTRVL!C212</f>
        <v>80354795726.000061</v>
      </c>
      <c r="D212" s="189">
        <f>TDP!D212+'Dai Loc'!D212+'Khanh Nga'!D212+'Dong Lam'!D212+DTR!D212+DTRVL!D212</f>
        <v>49066395331.999985</v>
      </c>
      <c r="E212" s="189">
        <f>TDP!E212+'Dai Loc'!E212+'Khanh Nga'!E212+'Dong Lam'!E212+DTR!E212+DTRVL!E212</f>
        <v>68392323340.000008</v>
      </c>
      <c r="F212" s="189">
        <f>TDP!F212+'Dai Loc'!F212+'Khanh Nga'!F212+'Dong Lam'!F212+DTR!F212+DTRVL!F212</f>
        <v>71080915023.000061</v>
      </c>
      <c r="G212" s="189">
        <f>TDP!G212+'Dai Loc'!G212+'Khanh Nga'!G212+'Dong Lam'!G212+DTR!G212+DTRVL!G212</f>
        <v>77926958972</v>
      </c>
      <c r="H212" s="189">
        <f>TDP!H212+'Dai Loc'!H212+'Khanh Nga'!H212+'Dong Lam'!H212+DTR!H212+DTRVL!H212</f>
        <v>57385756895.000015</v>
      </c>
      <c r="I212" s="189">
        <f>TDP!I212+'Dai Loc'!I212+'Khanh Nga'!I212+'Dong Lam'!I212+DTR!I212+DTRVL!I212</f>
        <v>49537872776.000015</v>
      </c>
      <c r="J212" s="189">
        <f>TDP!J212+'Dai Loc'!J212+'Khanh Nga'!J212+'Dong Lam'!J212+DTR!J212+DTRVL!J212</f>
        <v>106915778148.00021</v>
      </c>
      <c r="K212" s="189">
        <f>TDP!K212+'Dai Loc'!K212+'Khanh Nga'!K212+'Dong Lam'!K212+DTR!K212+DTRVL!K212</f>
        <v>105373065666.00002</v>
      </c>
      <c r="L212" s="189">
        <f>TDP!L212+'Dai Loc'!L212+'Khanh Nga'!L212+'Dong Lam'!L212+DTR!L212+DTRVL!L212</f>
        <v>87056274666.000015</v>
      </c>
      <c r="M212" s="189">
        <f>TDP!M212+'Dai Loc'!M212+'Khanh Nga'!M212+'Dong Lam'!M212+DTR!M212+DTRVL!M212</f>
        <v>51772996724.000008</v>
      </c>
      <c r="N212" s="189">
        <f>TDP!N212+'Dai Loc'!N212+'Khanh Nga'!N212+'Dong Lam'!N212+DTR!N212+DTRVL!N212</f>
        <v>65802052449.599907</v>
      </c>
      <c r="O212" s="189">
        <f>TDP!O212+'Dai Loc'!O212+'Khanh Nga'!O212+'Dong Lam'!O212+DTR!O212+DTRVL!O212</f>
        <v>74882631364.000122</v>
      </c>
      <c r="P212" s="189">
        <f>TDP!P212+'Dai Loc'!P212+'Khanh Nga'!P212+'Dong Lam'!P212+DTR!P212+DTRVL!P212</f>
        <v>118063395603.99997</v>
      </c>
      <c r="Q212" s="189">
        <f>TDP!Q212+'Dai Loc'!Q212+'Khanh Nga'!Q212+'Dong Lam'!Q212+DTR!Q212+DTRVL!Q212</f>
        <v>112060774755.99991</v>
      </c>
      <c r="R212" s="189">
        <f>TDP!R212+'Dai Loc'!R212+'Khanh Nga'!R212+'Dong Lam'!R212+DTR!R212+DTRVL!R212</f>
        <v>97163333043.999847</v>
      </c>
      <c r="S212" s="189">
        <f>TDP!S212+'Dai Loc'!S212+'Khanh Nga'!S212+'Dong Lam'!S212+DTR!S212+DTRVL!S212</f>
        <v>115491558825.97511</v>
      </c>
      <c r="T212" s="189">
        <f>TDP!T212+'Dai Loc'!T212+'Khanh Nga'!T212+'Dong Lam'!T212+DTR!T212+DTRVL!T212</f>
        <v>99957607960.267914</v>
      </c>
      <c r="U212" s="189">
        <f>TDP!U212+'Dai Loc'!U212+'Khanh Nga'!U212+'Dong Lam'!U212+DTR!U212+DTRVL!U212</f>
        <v>122536298380.99988</v>
      </c>
      <c r="V212" s="189">
        <f>TDP!V212+'Dai Loc'!V212+'Khanh Nga'!V212+'Dong Lam'!V212+DTR!V212+DTRVL!V212</f>
        <v>135565644813</v>
      </c>
      <c r="W212" s="189">
        <f>TDP!W212+'Dai Loc'!W212+'Khanh Nga'!W212+'Dong Lam'!W212+DTR!W212+DTRVL!W212</f>
        <v>74755497766.999908</v>
      </c>
      <c r="X212" s="189">
        <f>TDP!X212+'Dai Loc'!X212+'Khanh Nga'!X212+'Dong Lam'!X212+DTR!X212+DTRVL!X212</f>
        <v>81542784155.999985</v>
      </c>
      <c r="Y212" s="189">
        <f>TDP!Y212+'Dai Loc'!Y212+'Khanh Nga'!Y212+'Dong Lam'!Y212+DTR!Y212+DTRVL!Y212</f>
        <v>58654631091.000008</v>
      </c>
      <c r="Z212" s="189">
        <f>TDP!Z212+'Dai Loc'!Z212+'Khanh Nga'!Z212+'Dong Lam'!Z212+DTR!Z212+DTRVL!Z212</f>
        <v>66864715005.454971</v>
      </c>
    </row>
    <row r="213" spans="1:26" ht="15" customHeight="1">
      <c r="A213" s="178" t="s">
        <v>299</v>
      </c>
      <c r="B213" s="179">
        <v>15</v>
      </c>
      <c r="C213" s="189">
        <f>TDP!C213+'Dai Loc'!C213+'Khanh Nga'!C213+'Dong Lam'!C213+DTR!C213+DTRVL!C213</f>
        <v>4362218018.9999943</v>
      </c>
      <c r="D213" s="189">
        <f>TDP!D213+'Dai Loc'!D213+'Khanh Nga'!D213+'Dong Lam'!D213+DTR!D213+DTRVL!D213</f>
        <v>2561071324.000001</v>
      </c>
      <c r="E213" s="189">
        <f>TDP!E213+'Dai Loc'!E213+'Khanh Nga'!E213+'Dong Lam'!E213+DTR!E213+DTRVL!E213</f>
        <v>4056107915.9999995</v>
      </c>
      <c r="F213" s="189">
        <f>TDP!F213+'Dai Loc'!F213+'Khanh Nga'!F213+'Dong Lam'!F213+DTR!F213+DTRVL!F213</f>
        <v>4011785269.9999967</v>
      </c>
      <c r="G213" s="189">
        <f>TDP!G213+'Dai Loc'!G213+'Khanh Nga'!G213+'Dong Lam'!G213+DTR!G213+DTRVL!G213</f>
        <v>4971945055</v>
      </c>
      <c r="H213" s="189">
        <f>TDP!H213+'Dai Loc'!H213+'Khanh Nga'!H213+'Dong Lam'!H213+DTR!H213+DTRVL!H213</f>
        <v>2723479236.000001</v>
      </c>
      <c r="I213" s="189">
        <f>TDP!I213+'Dai Loc'!I213+'Khanh Nga'!I213+'Dong Lam'!I213+DTR!I213+DTRVL!I213</f>
        <v>2375172710.9999986</v>
      </c>
      <c r="J213" s="189">
        <f>TDP!J213+'Dai Loc'!J213+'Khanh Nga'!J213+'Dong Lam'!J213+DTR!J213+DTRVL!J213</f>
        <v>7283977396.9999857</v>
      </c>
      <c r="K213" s="189">
        <f>TDP!K213+'Dai Loc'!K213+'Khanh Nga'!K213+'Dong Lam'!K213+DTR!K213+DTRVL!K213</f>
        <v>6043502978.9999981</v>
      </c>
      <c r="L213" s="189">
        <f>TDP!L213+'Dai Loc'!L213+'Khanh Nga'!L213+'Dong Lam'!L213+DTR!L213+DTRVL!L213</f>
        <v>4862558357.9999952</v>
      </c>
      <c r="M213" s="189">
        <f>TDP!M213+'Dai Loc'!M213+'Khanh Nga'!M213+'Dong Lam'!M213+DTR!M213+DTRVL!M213</f>
        <v>3106533159.9999981</v>
      </c>
      <c r="N213" s="189">
        <f>TDP!N213+'Dai Loc'!N213+'Khanh Nga'!N213+'Dong Lam'!N213+DTR!N213+DTRVL!N213</f>
        <v>4462300683.000001</v>
      </c>
      <c r="O213" s="189">
        <f>TDP!O213+'Dai Loc'!O213+'Khanh Nga'!O213+'Dong Lam'!O213+DTR!O213+DTRVL!O213</f>
        <v>5491533742.9999924</v>
      </c>
      <c r="P213" s="189">
        <f>TDP!P213+'Dai Loc'!P213+'Khanh Nga'!P213+'Dong Lam'!P213+DTR!P213+DTRVL!P213</f>
        <v>6466531721.9999981</v>
      </c>
      <c r="Q213" s="189">
        <f>TDP!Q213+'Dai Loc'!Q213+'Khanh Nga'!Q213+'Dong Lam'!Q213+DTR!Q213+DTRVL!Q213</f>
        <v>6530707899.0000019</v>
      </c>
      <c r="R213" s="189">
        <f>TDP!R213+'Dai Loc'!R213+'Khanh Nga'!R213+'Dong Lam'!R213+DTR!R213+DTRVL!R213</f>
        <v>5903898432</v>
      </c>
      <c r="S213" s="189">
        <f>TDP!S213+'Dai Loc'!S213+'Khanh Nga'!S213+'Dong Lam'!S213+DTR!S213+DTRVL!S213</f>
        <v>6883806587.0000095</v>
      </c>
      <c r="T213" s="189">
        <f>TDP!T213+'Dai Loc'!T213+'Khanh Nga'!T213+'Dong Lam'!T213+DTR!T213+DTRVL!T213</f>
        <v>5705382391.0000076</v>
      </c>
      <c r="U213" s="189">
        <f>TDP!U213+'Dai Loc'!U213+'Khanh Nga'!U213+'Dong Lam'!U213+DTR!U213+DTRVL!U213</f>
        <v>6977868119.0000019</v>
      </c>
      <c r="V213" s="189">
        <f>TDP!V213+'Dai Loc'!V213+'Khanh Nga'!V213+'Dong Lam'!V213+DTR!V213+DTRVL!V213</f>
        <v>8424977576.9999819</v>
      </c>
      <c r="W213" s="189">
        <f>TDP!W213+'Dai Loc'!W213+'Khanh Nga'!W213+'Dong Lam'!W213+DTR!W213+DTRVL!W213</f>
        <v>4508629398.9999962</v>
      </c>
      <c r="X213" s="189">
        <f>TDP!X213+'Dai Loc'!X213+'Khanh Nga'!X213+'Dong Lam'!X213+DTR!X213+DTRVL!X213</f>
        <v>5692586118.0000105</v>
      </c>
      <c r="Y213" s="189">
        <f>TDP!Y213+'Dai Loc'!Y213+'Khanh Nga'!Y213+'Dong Lam'!Y213+DTR!Y213+DTRVL!Y213</f>
        <v>4774846388</v>
      </c>
      <c r="Z213" s="189">
        <f>TDP!Z213+'Dai Loc'!Z213+'Khanh Nga'!Z213+'Dong Lam'!Z213+DTR!Z213+DTRVL!Z213</f>
        <v>4942404768.9623222</v>
      </c>
    </row>
    <row r="214" spans="1:26" ht="15" customHeight="1">
      <c r="A214" s="178" t="s">
        <v>300</v>
      </c>
      <c r="B214" s="179">
        <v>16</v>
      </c>
      <c r="C214" s="189">
        <f>TDP!C214+'Dai Loc'!C214+'Khanh Nga'!C214+'Dong Lam'!C214+DTR!C214+DTRVL!C214</f>
        <v>673524358</v>
      </c>
      <c r="D214" s="189">
        <f>TDP!D214+'Dai Loc'!D214+'Khanh Nga'!D214+'Dong Lam'!D214+DTR!D214+DTRVL!D214</f>
        <v>445330075</v>
      </c>
      <c r="E214" s="189">
        <f>TDP!E214+'Dai Loc'!E214+'Khanh Nga'!E214+'Dong Lam'!E214+DTR!E214+DTRVL!E214</f>
        <v>646654899</v>
      </c>
      <c r="F214" s="189">
        <f>TDP!F214+'Dai Loc'!F214+'Khanh Nga'!F214+'Dong Lam'!F214+DTR!F214+DTRVL!F214</f>
        <v>1789160297</v>
      </c>
      <c r="G214" s="189">
        <f>TDP!G214+'Dai Loc'!G214+'Khanh Nga'!G214+'Dong Lam'!G214+DTR!G214+DTRVL!G214</f>
        <v>743322765</v>
      </c>
      <c r="H214" s="189">
        <f>TDP!H214+'Dai Loc'!H214+'Khanh Nga'!H214+'Dong Lam'!H214+DTR!H214+DTRVL!H214</f>
        <v>710659695</v>
      </c>
      <c r="I214" s="189">
        <f>TDP!I214+'Dai Loc'!I214+'Khanh Nga'!I214+'Dong Lam'!I214+DTR!I214+DTRVL!I214</f>
        <v>562555746</v>
      </c>
      <c r="J214" s="189">
        <f>TDP!J214+'Dai Loc'!J214+'Khanh Nga'!J214+'Dong Lam'!J214+DTR!J214+DTRVL!J214</f>
        <v>273359738</v>
      </c>
      <c r="K214" s="189">
        <f>TDP!K214+'Dai Loc'!K214+'Khanh Nga'!K214+'Dong Lam'!K214+DTR!K214+DTRVL!K214</f>
        <v>293591517</v>
      </c>
      <c r="L214" s="189">
        <f>TDP!L214+'Dai Loc'!L214+'Khanh Nga'!L214+'Dong Lam'!L214+DTR!L214+DTRVL!L214</f>
        <v>342226346</v>
      </c>
      <c r="M214" s="189">
        <f>TDP!M214+'Dai Loc'!M214+'Khanh Nga'!M214+'Dong Lam'!M214+DTR!M214+DTRVL!M214</f>
        <v>357205652</v>
      </c>
      <c r="N214" s="189">
        <f>TDP!N214+'Dai Loc'!N214+'Khanh Nga'!N214+'Dong Lam'!N214+DTR!N214+DTRVL!N214</f>
        <v>352714337</v>
      </c>
      <c r="O214" s="189">
        <f>TDP!O214+'Dai Loc'!O214+'Khanh Nga'!O214+'Dong Lam'!O214+DTR!O214+DTRVL!O214</f>
        <v>326525959</v>
      </c>
      <c r="P214" s="189">
        <f>TDP!P214+'Dai Loc'!P214+'Khanh Nga'!P214+'Dong Lam'!P214+DTR!P214+DTRVL!P214</f>
        <v>301395737</v>
      </c>
      <c r="Q214" s="189">
        <f>TDP!Q214+'Dai Loc'!Q214+'Khanh Nga'!Q214+'Dong Lam'!Q214+DTR!Q214+DTRVL!Q214</f>
        <v>353064382</v>
      </c>
      <c r="R214" s="189">
        <f>TDP!R214+'Dai Loc'!R214+'Khanh Nga'!R214+'Dong Lam'!R214+DTR!R214+DTRVL!R214</f>
        <v>367893640</v>
      </c>
      <c r="S214" s="189">
        <f>TDP!S214+'Dai Loc'!S214+'Khanh Nga'!S214+'Dong Lam'!S214+DTR!S214+DTRVL!S214</f>
        <v>583268535</v>
      </c>
      <c r="T214" s="189">
        <f>TDP!T214+'Dai Loc'!T214+'Khanh Nga'!T214+'Dong Lam'!T214+DTR!T214+DTRVL!T214</f>
        <v>409683221</v>
      </c>
      <c r="U214" s="189">
        <f>TDP!U214+'Dai Loc'!U214+'Khanh Nga'!U214+'Dong Lam'!U214+DTR!U214+DTRVL!U214</f>
        <v>382580514</v>
      </c>
      <c r="V214" s="189">
        <f>TDP!V214+'Dai Loc'!V214+'Khanh Nga'!V214+'Dong Lam'!V214+DTR!V214+DTRVL!V214</f>
        <v>409675223</v>
      </c>
      <c r="W214" s="189">
        <f>TDP!W214+'Dai Loc'!W214+'Khanh Nga'!W214+'Dong Lam'!W214+DTR!W214+DTRVL!W214</f>
        <v>681336938</v>
      </c>
      <c r="X214" s="189">
        <f>TDP!X214+'Dai Loc'!X214+'Khanh Nga'!X214+'Dong Lam'!X214+DTR!X214+DTRVL!X214</f>
        <v>434513561</v>
      </c>
      <c r="Y214" s="189">
        <f>TDP!Y214+'Dai Loc'!Y214+'Khanh Nga'!Y214+'Dong Lam'!Y214+DTR!Y214+DTRVL!Y214</f>
        <v>359300470</v>
      </c>
      <c r="Z214" s="189">
        <f>TDP!Z214+'Dai Loc'!Z214+'Khanh Nga'!Z214+'Dong Lam'!Z214+DTR!Z214+DTRVL!Z214</f>
        <v>371608824</v>
      </c>
    </row>
    <row r="215" spans="1:26" ht="15" customHeight="1">
      <c r="A215" s="178" t="s">
        <v>301</v>
      </c>
      <c r="B215" s="179">
        <v>17</v>
      </c>
      <c r="C215" s="189">
        <f>TDP!C215+'Dai Loc'!C215+'Khanh Nga'!C215+'Dong Lam'!C215+DTR!C215+DTRVL!C215</f>
        <v>4155496774.9818697</v>
      </c>
      <c r="D215" s="189">
        <f>TDP!D215+'Dai Loc'!D215+'Khanh Nga'!D215+'Dong Lam'!D215+DTR!D215+DTRVL!D215</f>
        <v>2235109435.3750134</v>
      </c>
      <c r="E215" s="189">
        <f>TDP!E215+'Dai Loc'!E215+'Khanh Nga'!E215+'Dong Lam'!E215+DTR!E215+DTRVL!E215</f>
        <v>2331267750.4333448</v>
      </c>
      <c r="F215" s="189">
        <f>TDP!F215+'Dai Loc'!F215+'Khanh Nga'!F215+'Dong Lam'!F215+DTR!F215+DTRVL!F215</f>
        <v>1486152117.6601763</v>
      </c>
      <c r="G215" s="189">
        <f>TDP!G215+'Dai Loc'!G215+'Khanh Nga'!G215+'Dong Lam'!G215+DTR!G215+DTRVL!G215</f>
        <v>2659339261.9734478</v>
      </c>
      <c r="H215" s="189">
        <f>TDP!H215+'Dai Loc'!H215+'Khanh Nga'!H215+'Dong Lam'!H215+DTR!H215+DTRVL!H215</f>
        <v>2464234423.6088824</v>
      </c>
      <c r="I215" s="189">
        <f>TDP!I215+'Dai Loc'!I215+'Khanh Nga'!I215+'Dong Lam'!I215+DTR!I215+DTRVL!I215</f>
        <v>2321361680.2235169</v>
      </c>
      <c r="J215" s="189">
        <f>TDP!J215+'Dai Loc'!J215+'Khanh Nga'!J215+'Dong Lam'!J215+DTR!J215+DTRVL!J215</f>
        <v>2741132215</v>
      </c>
      <c r="K215" s="189">
        <f>TDP!K215+'Dai Loc'!K215+'Khanh Nga'!K215+'Dong Lam'!K215+DTR!K215+DTRVL!K215</f>
        <v>2926888906</v>
      </c>
      <c r="L215" s="189">
        <f>TDP!L215+'Dai Loc'!L215+'Khanh Nga'!L215+'Dong Lam'!L215+DTR!L215+DTRVL!L215</f>
        <v>3167106860</v>
      </c>
      <c r="M215" s="189">
        <f>TDP!M215+'Dai Loc'!M215+'Khanh Nga'!M215+'Dong Lam'!M215+DTR!M215+DTRVL!M215</f>
        <v>3181619103</v>
      </c>
      <c r="N215" s="189">
        <f>TDP!N215+'Dai Loc'!N215+'Khanh Nga'!N215+'Dong Lam'!N215+DTR!N215+DTRVL!N215</f>
        <v>3715099100</v>
      </c>
      <c r="O215" s="189">
        <f>TDP!O215+'Dai Loc'!O215+'Khanh Nga'!O215+'Dong Lam'!O215+DTR!O215+DTRVL!O215</f>
        <v>3473280118</v>
      </c>
      <c r="P215" s="189">
        <f>TDP!P215+'Dai Loc'!P215+'Khanh Nga'!P215+'Dong Lam'!P215+DTR!P215+DTRVL!P215</f>
        <v>3577287791</v>
      </c>
      <c r="Q215" s="189">
        <f>TDP!Q215+'Dai Loc'!Q215+'Khanh Nga'!Q215+'Dong Lam'!Q215+DTR!Q215+DTRVL!Q215</f>
        <v>3743474092</v>
      </c>
      <c r="R215" s="189">
        <f>TDP!R215+'Dai Loc'!R215+'Khanh Nga'!R215+'Dong Lam'!R215+DTR!R215+DTRVL!R215</f>
        <v>4096767423</v>
      </c>
      <c r="S215" s="189">
        <f>TDP!S215+'Dai Loc'!S215+'Khanh Nga'!S215+'Dong Lam'!S215+DTR!S215+DTRVL!S215</f>
        <v>4079340213</v>
      </c>
      <c r="T215" s="189">
        <f>TDP!T215+'Dai Loc'!T215+'Khanh Nga'!T215+'Dong Lam'!T215+DTR!T215+DTRVL!T215</f>
        <v>4461113969</v>
      </c>
      <c r="U215" s="189">
        <f>TDP!U215+'Dai Loc'!U215+'Khanh Nga'!U215+'Dong Lam'!U215+DTR!U215+DTRVL!U215</f>
        <v>5462488199</v>
      </c>
      <c r="V215" s="189">
        <f>TDP!V215+'Dai Loc'!V215+'Khanh Nga'!V215+'Dong Lam'!V215+DTR!V215+DTRVL!V215</f>
        <v>5079416958</v>
      </c>
      <c r="W215" s="189">
        <f>TDP!W215+'Dai Loc'!W215+'Khanh Nga'!W215+'Dong Lam'!W215+DTR!W215+DTRVL!W215</f>
        <v>5302809701</v>
      </c>
      <c r="X215" s="189">
        <f>TDP!X215+'Dai Loc'!X215+'Khanh Nga'!X215+'Dong Lam'!X215+DTR!X215+DTRVL!X215</f>
        <v>4724680973</v>
      </c>
      <c r="Y215" s="189">
        <f>TDP!Y215+'Dai Loc'!Y215+'Khanh Nga'!Y215+'Dong Lam'!Y215+DTR!Y215+DTRVL!Y215</f>
        <v>4035742805</v>
      </c>
      <c r="Z215" s="189">
        <f>TDP!Z215+'Dai Loc'!Z215+'Khanh Nga'!Z215+'Dong Lam'!Z215+DTR!Z215+DTRVL!Z215</f>
        <v>3846412346</v>
      </c>
    </row>
    <row r="216" spans="1:26" ht="15" customHeight="1">
      <c r="A216" s="178" t="s">
        <v>302</v>
      </c>
      <c r="B216" s="179">
        <v>18</v>
      </c>
      <c r="C216" s="189">
        <f>TDP!C216+'Dai Loc'!C216+'Khanh Nga'!C216+'Dong Lam'!C216+DTR!C216+DTRVL!C216</f>
        <v>2945482731.8109894</v>
      </c>
      <c r="D216" s="189">
        <f>TDP!D216+'Dai Loc'!D216+'Khanh Nga'!D216+'Dong Lam'!D216+DTR!D216+DTRVL!D216</f>
        <v>2804902218.0677309</v>
      </c>
      <c r="E216" s="189">
        <f>TDP!E216+'Dai Loc'!E216+'Khanh Nga'!E216+'Dong Lam'!E216+DTR!E216+DTRVL!E216</f>
        <v>2952820918.2969875</v>
      </c>
      <c r="F216" s="189">
        <f>TDP!F216+'Dai Loc'!F216+'Khanh Nga'!F216+'Dong Lam'!F216+DTR!F216+DTRVL!F216</f>
        <v>3184702345.3368888</v>
      </c>
      <c r="G216" s="189">
        <f>TDP!G216+'Dai Loc'!G216+'Khanh Nga'!G216+'Dong Lam'!G216+DTR!G216+DTRVL!G216</f>
        <v>3274114947.9194965</v>
      </c>
      <c r="H216" s="189">
        <f>TDP!H216+'Dai Loc'!H216+'Khanh Nga'!H216+'Dong Lam'!H216+DTR!H216+DTRVL!H216</f>
        <v>3354505330.235589</v>
      </c>
      <c r="I216" s="189">
        <f>TDP!I216+'Dai Loc'!I216+'Khanh Nga'!I216+'Dong Lam'!I216+DTR!I216+DTRVL!I216</f>
        <v>3167790035.0513844</v>
      </c>
      <c r="J216" s="189">
        <f>TDP!J216+'Dai Loc'!J216+'Khanh Nga'!J216+'Dong Lam'!J216+DTR!J216+DTRVL!J216</f>
        <v>3271117659</v>
      </c>
      <c r="K216" s="189">
        <f>TDP!K216+'Dai Loc'!K216+'Khanh Nga'!K216+'Dong Lam'!K216+DTR!K216+DTRVL!K216</f>
        <v>3487721945</v>
      </c>
      <c r="L216" s="189">
        <f>TDP!L216+'Dai Loc'!L216+'Khanh Nga'!L216+'Dong Lam'!L216+DTR!L216+DTRVL!L216</f>
        <v>3579356310</v>
      </c>
      <c r="M216" s="189">
        <f>TDP!M216+'Dai Loc'!M216+'Khanh Nga'!M216+'Dong Lam'!M216+DTR!M216+DTRVL!M216</f>
        <v>3617663332</v>
      </c>
      <c r="N216" s="189">
        <f>TDP!N216+'Dai Loc'!N216+'Khanh Nga'!N216+'Dong Lam'!N216+DTR!N216+DTRVL!N216</f>
        <v>3699474120</v>
      </c>
      <c r="O216" s="189">
        <f>TDP!O216+'Dai Loc'!O216+'Khanh Nga'!O216+'Dong Lam'!O216+DTR!O216+DTRVL!O216</f>
        <v>3991998943</v>
      </c>
      <c r="P216" s="189">
        <f>TDP!P216+'Dai Loc'!P216+'Khanh Nga'!P216+'Dong Lam'!P216+DTR!P216+DTRVL!P216</f>
        <v>3738804222</v>
      </c>
      <c r="Q216" s="189">
        <f>TDP!Q216+'Dai Loc'!Q216+'Khanh Nga'!Q216+'Dong Lam'!Q216+DTR!Q216+DTRVL!Q216</f>
        <v>3791321566</v>
      </c>
      <c r="R216" s="189">
        <f>TDP!R216+'Dai Loc'!R216+'Khanh Nga'!R216+'Dong Lam'!R216+DTR!R216+DTRVL!R216</f>
        <v>4339847434</v>
      </c>
      <c r="S216" s="189">
        <f>TDP!S216+'Dai Loc'!S216+'Khanh Nga'!S216+'Dong Lam'!S216+DTR!S216+DTRVL!S216</f>
        <v>4268597221</v>
      </c>
      <c r="T216" s="189">
        <f>TDP!T216+'Dai Loc'!T216+'Khanh Nga'!T216+'Dong Lam'!T216+DTR!T216+DTRVL!T216</f>
        <v>4399343054</v>
      </c>
      <c r="U216" s="189">
        <f>TDP!U216+'Dai Loc'!U216+'Khanh Nga'!U216+'Dong Lam'!U216+DTR!U216+DTRVL!U216</f>
        <v>4420976058</v>
      </c>
      <c r="V216" s="189">
        <f>TDP!V216+'Dai Loc'!V216+'Khanh Nga'!V216+'Dong Lam'!V216+DTR!V216+DTRVL!V216</f>
        <v>4479621671</v>
      </c>
      <c r="W216" s="189">
        <f>TDP!W216+'Dai Loc'!W216+'Khanh Nga'!W216+'Dong Lam'!W216+DTR!W216+DTRVL!W216</f>
        <v>4723751900</v>
      </c>
      <c r="X216" s="189">
        <f>TDP!X216+'Dai Loc'!X216+'Khanh Nga'!X216+'Dong Lam'!X216+DTR!X216+DTRVL!X216</f>
        <v>3856032498</v>
      </c>
      <c r="Y216" s="189">
        <f>TDP!Y216+'Dai Loc'!Y216+'Khanh Nga'!Y216+'Dong Lam'!Y216+DTR!Y216+DTRVL!Y216</f>
        <v>3670293742</v>
      </c>
      <c r="Z216" s="189">
        <f>TDP!Z216+'Dai Loc'!Z216+'Khanh Nga'!Z216+'Dong Lam'!Z216+DTR!Z216+DTRVL!Z216</f>
        <v>3722379510</v>
      </c>
    </row>
    <row r="217" spans="1:26" ht="15" customHeight="1">
      <c r="A217" s="178" t="s">
        <v>303</v>
      </c>
      <c r="B217" s="179">
        <v>19</v>
      </c>
      <c r="C217" s="189">
        <f>TDP!C217+'Dai Loc'!C217+'Khanh Nga'!C217+'Dong Lam'!C217+DTR!C217+DTRVL!C217</f>
        <v>978213066.20714092</v>
      </c>
      <c r="D217" s="189">
        <f>TDP!D217+'Dai Loc'!D217+'Khanh Nga'!D217+'Dong Lam'!D217+DTR!D217+DTRVL!D217</f>
        <v>1032012594.5572554</v>
      </c>
      <c r="E217" s="189">
        <f>TDP!E217+'Dai Loc'!E217+'Khanh Nga'!E217+'Dong Lam'!E217+DTR!E217+DTRVL!E217</f>
        <v>933059593.26966786</v>
      </c>
      <c r="F217" s="189">
        <f>TDP!F217+'Dai Loc'!F217+'Khanh Nga'!F217+'Dong Lam'!F217+DTR!F217+DTRVL!F217</f>
        <v>979281787.00293493</v>
      </c>
      <c r="G217" s="189">
        <f>TDP!G217+'Dai Loc'!G217+'Khanh Nga'!G217+'Dong Lam'!G217+DTR!G217+DTRVL!G217</f>
        <v>1014430246.2388949</v>
      </c>
      <c r="H217" s="189">
        <f>TDP!H217+'Dai Loc'!H217+'Khanh Nga'!H217+'Dong Lam'!H217+DTR!H217+DTRVL!H217</f>
        <v>987693360.15552855</v>
      </c>
      <c r="I217" s="189">
        <f>TDP!I217+'Dai Loc'!I217+'Khanh Nga'!I217+'Dong Lam'!I217+DTR!I217+DTRVL!I217</f>
        <v>1058336457.7250986</v>
      </c>
      <c r="J217" s="189">
        <f>TDP!J217+'Dai Loc'!J217+'Khanh Nga'!J217+'Dong Lam'!J217+DTR!J217+DTRVL!J217</f>
        <v>905255648</v>
      </c>
      <c r="K217" s="189">
        <f>TDP!K217+'Dai Loc'!K217+'Khanh Nga'!K217+'Dong Lam'!K217+DTR!K217+DTRVL!K217</f>
        <v>1041543336</v>
      </c>
      <c r="L217" s="189">
        <f>TDP!L217+'Dai Loc'!L217+'Khanh Nga'!L217+'Dong Lam'!L217+DTR!L217+DTRVL!L217</f>
        <v>1008075497</v>
      </c>
      <c r="M217" s="189">
        <f>TDP!M217+'Dai Loc'!M217+'Khanh Nga'!M217+'Dong Lam'!M217+DTR!M217+DTRVL!M217</f>
        <v>1046847549</v>
      </c>
      <c r="N217" s="189">
        <f>TDP!N217+'Dai Loc'!N217+'Khanh Nga'!N217+'Dong Lam'!N217+DTR!N217+DTRVL!N217</f>
        <v>1038844046</v>
      </c>
      <c r="O217" s="189">
        <f>TDP!O217+'Dai Loc'!O217+'Khanh Nga'!O217+'Dong Lam'!O217+DTR!O217+DTRVL!O217</f>
        <v>1358764548</v>
      </c>
      <c r="P217" s="189">
        <f>TDP!P217+'Dai Loc'!P217+'Khanh Nga'!P217+'Dong Lam'!P217+DTR!P217+DTRVL!P217</f>
        <v>1341457200</v>
      </c>
      <c r="Q217" s="189">
        <f>TDP!Q217+'Dai Loc'!Q217+'Khanh Nga'!Q217+'Dong Lam'!Q217+DTR!Q217+DTRVL!Q217</f>
        <v>1185323810</v>
      </c>
      <c r="R217" s="189">
        <f>TDP!R217+'Dai Loc'!R217+'Khanh Nga'!R217+'Dong Lam'!R217+DTR!R217+DTRVL!R217</f>
        <v>1265774450</v>
      </c>
      <c r="S217" s="189">
        <f>TDP!S217+'Dai Loc'!S217+'Khanh Nga'!S217+'Dong Lam'!S217+DTR!S217+DTRVL!S217</f>
        <v>1244934519</v>
      </c>
      <c r="T217" s="189">
        <f>TDP!T217+'Dai Loc'!T217+'Khanh Nga'!T217+'Dong Lam'!T217+DTR!T217+DTRVL!T217</f>
        <v>1246889338</v>
      </c>
      <c r="U217" s="189">
        <f>TDP!U217+'Dai Loc'!U217+'Khanh Nga'!U217+'Dong Lam'!U217+DTR!U217+DTRVL!U217</f>
        <v>1332069689</v>
      </c>
      <c r="V217" s="189">
        <f>TDP!V217+'Dai Loc'!V217+'Khanh Nga'!V217+'Dong Lam'!V217+DTR!V217+DTRVL!V217</f>
        <v>1338447064</v>
      </c>
      <c r="W217" s="189">
        <f>TDP!W217+'Dai Loc'!W217+'Khanh Nga'!W217+'Dong Lam'!W217+DTR!W217+DTRVL!W217</f>
        <v>1357218789</v>
      </c>
      <c r="X217" s="189">
        <f>TDP!X217+'Dai Loc'!X217+'Khanh Nga'!X217+'Dong Lam'!X217+DTR!X217+DTRVL!X217</f>
        <v>1722144705</v>
      </c>
      <c r="Y217" s="189">
        <f>TDP!Y217+'Dai Loc'!Y217+'Khanh Nga'!Y217+'Dong Lam'!Y217+DTR!Y217+DTRVL!Y217</f>
        <v>1678183577</v>
      </c>
      <c r="Z217" s="189">
        <f>TDP!Z217+'Dai Loc'!Z217+'Khanh Nga'!Z217+'Dong Lam'!Z217+DTR!Z217+DTRVL!Z217</f>
        <v>1774001848</v>
      </c>
    </row>
    <row r="218" spans="1:26" ht="15" customHeight="1">
      <c r="A218" s="178" t="s">
        <v>304</v>
      </c>
      <c r="B218" s="179">
        <v>20</v>
      </c>
      <c r="C218" s="189">
        <f>TDP!C218+'Dai Loc'!C218+'Khanh Nga'!C218+'Dong Lam'!C218+DTR!C218+DTRVL!C218</f>
        <v>547129225</v>
      </c>
      <c r="D218" s="189">
        <f>TDP!D218+'Dai Loc'!D218+'Khanh Nga'!D218+'Dong Lam'!D218+DTR!D218+DTRVL!D218</f>
        <v>498727731</v>
      </c>
      <c r="E218" s="189">
        <f>TDP!E218+'Dai Loc'!E218+'Khanh Nga'!E218+'Dong Lam'!E218+DTR!E218+DTRVL!E218</f>
        <v>616126684</v>
      </c>
      <c r="F218" s="189">
        <f>TDP!F218+'Dai Loc'!F218+'Khanh Nga'!F218+'Dong Lam'!F218+DTR!F218+DTRVL!F218</f>
        <v>586686960</v>
      </c>
      <c r="G218" s="189">
        <f>TDP!G218+'Dai Loc'!G218+'Khanh Nga'!G218+'Dong Lam'!G218+DTR!G218+DTRVL!G218</f>
        <v>719357445</v>
      </c>
      <c r="H218" s="189">
        <f>TDP!H218+'Dai Loc'!H218+'Khanh Nga'!H218+'Dong Lam'!H218+DTR!H218+DTRVL!H218</f>
        <v>782484238</v>
      </c>
      <c r="I218" s="189">
        <f>TDP!I218+'Dai Loc'!I218+'Khanh Nga'!I218+'Dong Lam'!I218+DTR!I218+DTRVL!I218</f>
        <v>486672255</v>
      </c>
      <c r="J218" s="189">
        <f>TDP!J218+'Dai Loc'!J218+'Khanh Nga'!J218+'Dong Lam'!J218+DTR!J218+DTRVL!J218</f>
        <v>645579115</v>
      </c>
      <c r="K218" s="189">
        <f>TDP!K218+'Dai Loc'!K218+'Khanh Nga'!K218+'Dong Lam'!K218+DTR!K218+DTRVL!K218</f>
        <v>707495740</v>
      </c>
      <c r="L218" s="189">
        <f>TDP!L218+'Dai Loc'!L218+'Khanh Nga'!L218+'Dong Lam'!L218+DTR!L218+DTRVL!L218</f>
        <v>824948395</v>
      </c>
      <c r="M218" s="189">
        <f>TDP!M218+'Dai Loc'!M218+'Khanh Nga'!M218+'Dong Lam'!M218+DTR!M218+DTRVL!M218</f>
        <v>955063545</v>
      </c>
      <c r="N218" s="189">
        <f>TDP!N218+'Dai Loc'!N218+'Khanh Nga'!N218+'Dong Lam'!N218+DTR!N218+DTRVL!N218</f>
        <v>1189418891</v>
      </c>
      <c r="O218" s="189">
        <f>TDP!O218+'Dai Loc'!O218+'Khanh Nga'!O218+'Dong Lam'!O218+DTR!O218+DTRVL!O218</f>
        <v>940346291</v>
      </c>
      <c r="P218" s="189">
        <f>TDP!P218+'Dai Loc'!P218+'Khanh Nga'!P218+'Dong Lam'!P218+DTR!P218+DTRVL!P218</f>
        <v>837741299</v>
      </c>
      <c r="Q218" s="189">
        <f>TDP!Q218+'Dai Loc'!Q218+'Khanh Nga'!Q218+'Dong Lam'!Q218+DTR!Q218+DTRVL!Q218</f>
        <v>879644688</v>
      </c>
      <c r="R218" s="189">
        <f>TDP!R218+'Dai Loc'!R218+'Khanh Nga'!R218+'Dong Lam'!R218+DTR!R218+DTRVL!R218</f>
        <v>886838012</v>
      </c>
      <c r="S218" s="189">
        <f>TDP!S218+'Dai Loc'!S218+'Khanh Nga'!S218+'Dong Lam'!S218+DTR!S218+DTRVL!S218</f>
        <v>934317784</v>
      </c>
      <c r="T218" s="189">
        <f>TDP!T218+'Dai Loc'!T218+'Khanh Nga'!T218+'Dong Lam'!T218+DTR!T218+DTRVL!T218</f>
        <v>1146819742</v>
      </c>
      <c r="U218" s="189">
        <f>TDP!U218+'Dai Loc'!U218+'Khanh Nga'!U218+'Dong Lam'!U218+DTR!U218+DTRVL!U218</f>
        <v>1254200095</v>
      </c>
      <c r="V218" s="189">
        <f>TDP!V218+'Dai Loc'!V218+'Khanh Nga'!V218+'Dong Lam'!V218+DTR!V218+DTRVL!V218</f>
        <v>1138204549</v>
      </c>
      <c r="W218" s="189">
        <f>TDP!W218+'Dai Loc'!W218+'Khanh Nga'!W218+'Dong Lam'!W218+DTR!W218+DTRVL!W218</f>
        <v>941702607</v>
      </c>
      <c r="X218" s="189">
        <f>TDP!X218+'Dai Loc'!X218+'Khanh Nga'!X218+'Dong Lam'!X218+DTR!X218+DTRVL!X218</f>
        <v>949969984</v>
      </c>
      <c r="Y218" s="189">
        <f>TDP!Y218+'Dai Loc'!Y218+'Khanh Nga'!Y218+'Dong Lam'!Y218+DTR!Y218+DTRVL!Y218</f>
        <v>968641753</v>
      </c>
      <c r="Z218" s="189">
        <f>TDP!Z218+'Dai Loc'!Z218+'Khanh Nga'!Z218+'Dong Lam'!Z218+DTR!Z218+DTRVL!Z218</f>
        <v>941353149</v>
      </c>
    </row>
    <row r="219" spans="1:26" ht="15" customHeight="1">
      <c r="A219" s="190" t="s">
        <v>305</v>
      </c>
      <c r="B219" s="191">
        <v>21</v>
      </c>
      <c r="C219" s="189">
        <f>TDP!C219+'Dai Loc'!C219+'Khanh Nga'!C219+'Dong Lam'!C219+DTR!C219+DTRVL!C219</f>
        <v>4873502245</v>
      </c>
      <c r="D219" s="189">
        <f>TDP!D219+'Dai Loc'!D219+'Khanh Nga'!D219+'Dong Lam'!D219+DTR!D219+DTRVL!D219</f>
        <v>4492927440</v>
      </c>
      <c r="E219" s="189">
        <f>TDP!E219+'Dai Loc'!E219+'Khanh Nga'!E219+'Dong Lam'!E219+DTR!E219+DTRVL!E219</f>
        <v>10964698647</v>
      </c>
      <c r="F219" s="189">
        <f>TDP!F219+'Dai Loc'!F219+'Khanh Nga'!F219+'Dong Lam'!F219+DTR!F219+DTRVL!F219</f>
        <v>9657065552</v>
      </c>
      <c r="G219" s="189">
        <f>TDP!G219+'Dai Loc'!G219+'Khanh Nga'!G219+'Dong Lam'!G219+DTR!G219+DTRVL!G219</f>
        <v>9946230455</v>
      </c>
      <c r="H219" s="189">
        <f>TDP!H219+'Dai Loc'!H219+'Khanh Nga'!H219+'Dong Lam'!H219+DTR!H219+DTRVL!H219</f>
        <v>9326220242</v>
      </c>
      <c r="I219" s="189">
        <f>TDP!I219+'Dai Loc'!I219+'Khanh Nga'!I219+'Dong Lam'!I219+DTR!I219+DTRVL!I219</f>
        <v>8804186755</v>
      </c>
      <c r="J219" s="189">
        <f>TDP!J219+'Dai Loc'!J219+'Khanh Nga'!J219+'Dong Lam'!J219+DTR!J219+DTRVL!J219</f>
        <v>8971905978</v>
      </c>
      <c r="K219" s="189">
        <f>TDP!K219+'Dai Loc'!K219+'Khanh Nga'!K219+'Dong Lam'!K219+DTR!K219+DTRVL!K219</f>
        <v>9681559245</v>
      </c>
      <c r="L219" s="189">
        <f>TDP!L219+'Dai Loc'!L219+'Khanh Nga'!L219+'Dong Lam'!L219+DTR!L219+DTRVL!L219</f>
        <v>8911474686</v>
      </c>
      <c r="M219" s="189">
        <f>TDP!M219+'Dai Loc'!M219+'Khanh Nga'!M219+'Dong Lam'!M219+DTR!M219+DTRVL!M219</f>
        <v>8541326330</v>
      </c>
      <c r="N219" s="189">
        <f>TDP!N219+'Dai Loc'!N219+'Khanh Nga'!N219+'Dong Lam'!N219+DTR!N219+DTRVL!N219</f>
        <v>5200338868</v>
      </c>
      <c r="O219" s="189">
        <f>TDP!O219+'Dai Loc'!O219+'Khanh Nga'!O219+'Dong Lam'!O219+DTR!O219+DTRVL!O219</f>
        <v>8507330141</v>
      </c>
      <c r="P219" s="189">
        <f>TDP!P219+'Dai Loc'!P219+'Khanh Nga'!P219+'Dong Lam'!P219+DTR!P219+DTRVL!P219</f>
        <v>8759545668</v>
      </c>
      <c r="Q219" s="189">
        <f>TDP!Q219+'Dai Loc'!Q219+'Khanh Nga'!Q219+'Dong Lam'!Q219+DTR!Q219+DTRVL!Q219</f>
        <v>9004416140</v>
      </c>
      <c r="R219" s="189">
        <f>TDP!R219+'Dai Loc'!R219+'Khanh Nga'!R219+'Dong Lam'!R219+DTR!R219+DTRVL!R219</f>
        <v>9375939174</v>
      </c>
      <c r="S219" s="189">
        <f>TDP!S219+'Dai Loc'!S219+'Khanh Nga'!S219+'Dong Lam'!S219+DTR!S219+DTRVL!S219</f>
        <v>9031634893</v>
      </c>
      <c r="T219" s="189">
        <f>TDP!T219+'Dai Loc'!T219+'Khanh Nga'!T219+'Dong Lam'!T219+DTR!T219+DTRVL!T219</f>
        <v>9355450861</v>
      </c>
      <c r="U219" s="189">
        <f>TDP!U219+'Dai Loc'!U219+'Khanh Nga'!U219+'Dong Lam'!U219+DTR!U219+DTRVL!U219</f>
        <v>9577682600</v>
      </c>
      <c r="V219" s="189">
        <f>TDP!V219+'Dai Loc'!V219+'Khanh Nga'!V219+'Dong Lam'!V219+DTR!V219+DTRVL!V219</f>
        <v>9596061888</v>
      </c>
      <c r="W219" s="189">
        <f>TDP!W219+'Dai Loc'!W219+'Khanh Nga'!W219+'Dong Lam'!W219+DTR!W219+DTRVL!W219</f>
        <v>9738228367</v>
      </c>
      <c r="X219" s="189">
        <f>TDP!X219+'Dai Loc'!X219+'Khanh Nga'!X219+'Dong Lam'!X219+DTR!X219+DTRVL!X219</f>
        <v>9732522011</v>
      </c>
      <c r="Y219" s="189">
        <f>TDP!Y219+'Dai Loc'!Y219+'Khanh Nga'!Y219+'Dong Lam'!Y219+DTR!Y219+DTRVL!Y219</f>
        <v>9299986677</v>
      </c>
      <c r="Z219" s="189">
        <f>TDP!Z219+'Dai Loc'!Z219+'Khanh Nga'!Z219+'Dong Lam'!Z219+DTR!Z219+DTRVL!Z219</f>
        <v>9091519654</v>
      </c>
    </row>
    <row r="220" spans="1:26" ht="15" customHeight="1">
      <c r="A220" s="178" t="s">
        <v>306</v>
      </c>
      <c r="B220" s="179">
        <v>22</v>
      </c>
      <c r="C220" s="189">
        <f>TDP!C220+'Dai Loc'!C220+'Khanh Nga'!C220+'Dong Lam'!C220+DTR!C220+DTRVL!C220</f>
        <v>6224830108</v>
      </c>
      <c r="D220" s="189">
        <f>TDP!D220+'Dai Loc'!D220+'Khanh Nga'!D220+'Dong Lam'!D220+DTR!D220+DTRVL!D220</f>
        <v>6213032910</v>
      </c>
      <c r="E220" s="189">
        <f>TDP!E220+'Dai Loc'!E220+'Khanh Nga'!E220+'Dong Lam'!E220+DTR!E220+DTRVL!E220</f>
        <v>3516750532</v>
      </c>
      <c r="F220" s="189">
        <f>TDP!F220+'Dai Loc'!F220+'Khanh Nga'!F220+'Dong Lam'!F220+DTR!F220+DTRVL!F220</f>
        <v>3600047122</v>
      </c>
      <c r="G220" s="189">
        <f>TDP!G220+'Dai Loc'!G220+'Khanh Nga'!G220+'Dong Lam'!G220+DTR!G220+DTRVL!G220</f>
        <v>3778600715</v>
      </c>
      <c r="H220" s="189">
        <f>TDP!H220+'Dai Loc'!H220+'Khanh Nga'!H220+'Dong Lam'!H220+DTR!H220+DTRVL!H220</f>
        <v>3856293277</v>
      </c>
      <c r="I220" s="189">
        <f>TDP!I220+'Dai Loc'!I220+'Khanh Nga'!I220+'Dong Lam'!I220+DTR!I220+DTRVL!I220</f>
        <v>3756370427</v>
      </c>
      <c r="J220" s="189">
        <f>TDP!J220+'Dai Loc'!J220+'Khanh Nga'!J220+'Dong Lam'!J220+DTR!J220+DTRVL!J220</f>
        <v>3779520408</v>
      </c>
      <c r="K220" s="189">
        <f>TDP!K220+'Dai Loc'!K220+'Khanh Nga'!K220+'Dong Lam'!K220+DTR!K220+DTRVL!K220</f>
        <v>3914728758</v>
      </c>
      <c r="L220" s="189">
        <f>TDP!L220+'Dai Loc'!L220+'Khanh Nga'!L220+'Dong Lam'!L220+DTR!L220+DTRVL!L220</f>
        <v>3938179978</v>
      </c>
      <c r="M220" s="189">
        <f>TDP!M220+'Dai Loc'!M220+'Khanh Nga'!M220+'Dong Lam'!M220+DTR!M220+DTRVL!M220</f>
        <v>3985433047</v>
      </c>
      <c r="N220" s="189">
        <f>TDP!N220+'Dai Loc'!N220+'Khanh Nga'!N220+'Dong Lam'!N220+DTR!N220+DTRVL!N220</f>
        <v>4256958086</v>
      </c>
      <c r="O220" s="189">
        <f>TDP!O220+'Dai Loc'!O220+'Khanh Nga'!O220+'Dong Lam'!O220+DTR!O220+DTRVL!O220</f>
        <v>4623346762</v>
      </c>
      <c r="P220" s="189">
        <f>TDP!P220+'Dai Loc'!P220+'Khanh Nga'!P220+'Dong Lam'!P220+DTR!P220+DTRVL!P220</f>
        <v>4623033432</v>
      </c>
      <c r="Q220" s="189">
        <f>TDP!Q220+'Dai Loc'!Q220+'Khanh Nga'!Q220+'Dong Lam'!Q220+DTR!Q220+DTRVL!Q220</f>
        <v>4821679460</v>
      </c>
      <c r="R220" s="189">
        <f>TDP!R220+'Dai Loc'!R220+'Khanh Nga'!R220+'Dong Lam'!R220+DTR!R220+DTRVL!R220</f>
        <v>4742744507</v>
      </c>
      <c r="S220" s="189">
        <f>TDP!S220+'Dai Loc'!S220+'Khanh Nga'!S220+'Dong Lam'!S220+DTR!S220+DTRVL!S220</f>
        <v>4908392818</v>
      </c>
      <c r="T220" s="189">
        <f>TDP!T220+'Dai Loc'!T220+'Khanh Nga'!T220+'Dong Lam'!T220+DTR!T220+DTRVL!T220</f>
        <v>4917572507</v>
      </c>
      <c r="U220" s="189">
        <f>TDP!U220+'Dai Loc'!U220+'Khanh Nga'!U220+'Dong Lam'!U220+DTR!U220+DTRVL!U220</f>
        <v>4926486608</v>
      </c>
      <c r="V220" s="189">
        <f>TDP!V220+'Dai Loc'!V220+'Khanh Nga'!V220+'Dong Lam'!V220+DTR!V220+DTRVL!V220</f>
        <v>4963844329</v>
      </c>
      <c r="W220" s="189">
        <f>TDP!W220+'Dai Loc'!W220+'Khanh Nga'!W220+'Dong Lam'!W220+DTR!W220+DTRVL!W220</f>
        <v>5285312950</v>
      </c>
      <c r="X220" s="189">
        <f>TDP!X220+'Dai Loc'!X220+'Khanh Nga'!X220+'Dong Lam'!X220+DTR!X220+DTRVL!X220</f>
        <v>5092497073</v>
      </c>
      <c r="Y220" s="189">
        <f>TDP!Y220+'Dai Loc'!Y220+'Khanh Nga'!Y220+'Dong Lam'!Y220+DTR!Y220+DTRVL!Y220</f>
        <v>5288782873</v>
      </c>
      <c r="Z220" s="189">
        <f>TDP!Z220+'Dai Loc'!Z220+'Khanh Nga'!Z220+'Dong Lam'!Z220+DTR!Z220+DTRVL!Z220</f>
        <v>5304456647</v>
      </c>
    </row>
    <row r="221" spans="1:26" ht="15" customHeight="1">
      <c r="A221" s="178" t="s">
        <v>307</v>
      </c>
      <c r="B221" s="179">
        <v>23</v>
      </c>
      <c r="C221" s="189">
        <f>TDP!C221+'Dai Loc'!C221+'Khanh Nga'!C221+'Dong Lam'!C221+DTR!C221+DTRVL!C221</f>
        <v>2408877200</v>
      </c>
      <c r="D221" s="189">
        <f>TDP!D221+'Dai Loc'!D221+'Khanh Nga'!D221+'Dong Lam'!D221+DTR!D221+DTRVL!D221</f>
        <v>321736000</v>
      </c>
      <c r="E221" s="189">
        <f>TDP!E221+'Dai Loc'!E221+'Khanh Nga'!E221+'Dong Lam'!E221+DTR!E221+DTRVL!E221</f>
        <v>407200000</v>
      </c>
      <c r="F221" s="189">
        <f>TDP!F221+'Dai Loc'!F221+'Khanh Nga'!F221+'Dong Lam'!F221+DTR!F221+DTRVL!F221</f>
        <v>1027400000</v>
      </c>
      <c r="G221" s="189">
        <f>TDP!G221+'Dai Loc'!G221+'Khanh Nga'!G221+'Dong Lam'!G221+DTR!G221+DTRVL!G221</f>
        <v>1296610000</v>
      </c>
      <c r="H221" s="189">
        <f>TDP!H221+'Dai Loc'!H221+'Khanh Nga'!H221+'Dong Lam'!H221+DTR!H221+DTRVL!H221</f>
        <v>932027000</v>
      </c>
      <c r="I221" s="189">
        <f>TDP!I221+'Dai Loc'!I221+'Khanh Nga'!I221+'Dong Lam'!I221+DTR!I221+DTRVL!I221</f>
        <v>1461251000</v>
      </c>
      <c r="J221" s="189">
        <f>TDP!J221+'Dai Loc'!J221+'Khanh Nga'!J221+'Dong Lam'!J221+DTR!J221+DTRVL!J221</f>
        <v>1743703999</v>
      </c>
      <c r="K221" s="189">
        <f>TDP!K221+'Dai Loc'!K221+'Khanh Nga'!K221+'Dong Lam'!K221+DTR!K221+DTRVL!K221</f>
        <v>838296001</v>
      </c>
      <c r="L221" s="189">
        <f>TDP!L221+'Dai Loc'!L221+'Khanh Nga'!L221+'Dong Lam'!L221+DTR!L221+DTRVL!L221</f>
        <v>1688273746</v>
      </c>
      <c r="M221" s="189">
        <f>TDP!M221+'Dai Loc'!M221+'Khanh Nga'!M221+'Dong Lam'!M221+DTR!M221+DTRVL!M221</f>
        <v>1220372826</v>
      </c>
      <c r="N221" s="189">
        <f>TDP!N221+'Dai Loc'!N221+'Khanh Nga'!N221+'Dong Lam'!N221+DTR!N221+DTRVL!N221</f>
        <v>1496105366</v>
      </c>
      <c r="O221" s="189">
        <f>TDP!O221+'Dai Loc'!O221+'Khanh Nga'!O221+'Dong Lam'!O221+DTR!O221+DTRVL!O221</f>
        <v>380467548</v>
      </c>
      <c r="P221" s="189">
        <f>TDP!P221+'Dai Loc'!P221+'Khanh Nga'!P221+'Dong Lam'!P221+DTR!P221+DTRVL!P221</f>
        <v>1845315600</v>
      </c>
      <c r="Q221" s="189">
        <f>TDP!Q221+'Dai Loc'!Q221+'Khanh Nga'!Q221+'Dong Lam'!Q221+DTR!Q221+DTRVL!Q221</f>
        <v>1342787586</v>
      </c>
      <c r="R221" s="189">
        <f>TDP!R221+'Dai Loc'!R221+'Khanh Nga'!R221+'Dong Lam'!R221+DTR!R221+DTRVL!R221</f>
        <v>843454000</v>
      </c>
      <c r="S221" s="189">
        <f>TDP!S221+'Dai Loc'!S221+'Khanh Nga'!S221+'Dong Lam'!S221+DTR!S221+DTRVL!S221</f>
        <v>350000000</v>
      </c>
      <c r="T221" s="189">
        <f>TDP!T221+'Dai Loc'!T221+'Khanh Nga'!T221+'Dong Lam'!T221+DTR!T221+DTRVL!T221</f>
        <v>510000000</v>
      </c>
      <c r="U221" s="189">
        <f>TDP!U221+'Dai Loc'!U221+'Khanh Nga'!U221+'Dong Lam'!U221+DTR!U221+DTRVL!U221</f>
        <v>200000000</v>
      </c>
      <c r="V221" s="189">
        <f>TDP!V221+'Dai Loc'!V221+'Khanh Nga'!V221+'Dong Lam'!V221+DTR!V221+DTRVL!V221</f>
        <v>898330000</v>
      </c>
      <c r="W221" s="189">
        <f>TDP!W221+'Dai Loc'!W221+'Khanh Nga'!W221+'Dong Lam'!W221+DTR!W221+DTRVL!W221</f>
        <v>1091045000</v>
      </c>
      <c r="X221" s="189">
        <f>TDP!X221+'Dai Loc'!X221+'Khanh Nga'!X221+'Dong Lam'!X221+DTR!X221+DTRVL!X221</f>
        <v>1155172500</v>
      </c>
      <c r="Y221" s="189">
        <f>TDP!Y221+'Dai Loc'!Y221+'Khanh Nga'!Y221+'Dong Lam'!Y221+DTR!Y221+DTRVL!Y221</f>
        <v>975000000</v>
      </c>
      <c r="Z221" s="189">
        <f>TDP!Z221+'Dai Loc'!Z221+'Khanh Nga'!Z221+'Dong Lam'!Z221+DTR!Z221+DTRVL!Z221</f>
        <v>930000000</v>
      </c>
    </row>
    <row r="222" spans="1:26" ht="15" customHeight="1">
      <c r="A222" s="178" t="s">
        <v>308</v>
      </c>
      <c r="B222" s="179">
        <v>24</v>
      </c>
      <c r="C222" s="189">
        <f>TDP!C222+'Dai Loc'!C222+'Khanh Nga'!C222+'Dong Lam'!C222+DTR!C222+DTRVL!C222</f>
        <v>11008792358</v>
      </c>
      <c r="D222" s="189">
        <f>TDP!D222+'Dai Loc'!D222+'Khanh Nga'!D222+'Dong Lam'!D222+DTR!D222+DTRVL!D222</f>
        <v>14091966230</v>
      </c>
      <c r="E222" s="189">
        <f>TDP!E222+'Dai Loc'!E222+'Khanh Nga'!E222+'Dong Lam'!E222+DTR!E222+DTRVL!E222</f>
        <v>14967977208</v>
      </c>
      <c r="F222" s="189">
        <f>TDP!F222+'Dai Loc'!F222+'Khanh Nga'!F222+'Dong Lam'!F222+DTR!F222+DTRVL!F222</f>
        <v>9793313487</v>
      </c>
      <c r="G222" s="189">
        <f>TDP!G222+'Dai Loc'!G222+'Khanh Nga'!G222+'Dong Lam'!G222+DTR!G222+DTRVL!G222</f>
        <v>10326586768</v>
      </c>
      <c r="H222" s="189">
        <f>TDP!H222+'Dai Loc'!H222+'Khanh Nga'!H222+'Dong Lam'!H222+DTR!H222+DTRVL!H222</f>
        <v>10046707984</v>
      </c>
      <c r="I222" s="189">
        <f>TDP!I222+'Dai Loc'!I222+'Khanh Nga'!I222+'Dong Lam'!I222+DTR!I222+DTRVL!I222</f>
        <v>10237671622</v>
      </c>
      <c r="J222" s="189">
        <f>TDP!J222+'Dai Loc'!J222+'Khanh Nga'!J222+'Dong Lam'!J222+DTR!J222+DTRVL!J222</f>
        <v>11454537032.999998</v>
      </c>
      <c r="K222" s="189">
        <f>TDP!K222+'Dai Loc'!K222+'Khanh Nga'!K222+'Dong Lam'!K222+DTR!K222+DTRVL!K222</f>
        <v>8202935246.1999998</v>
      </c>
      <c r="L222" s="189">
        <f>TDP!L222+'Dai Loc'!L222+'Khanh Nga'!L222+'Dong Lam'!L222+DTR!L222+DTRVL!L222</f>
        <v>11930809359</v>
      </c>
      <c r="M222" s="189">
        <f>TDP!M222+'Dai Loc'!M222+'Khanh Nga'!M222+'Dong Lam'!M222+DTR!M222+DTRVL!M222</f>
        <v>11338421470</v>
      </c>
      <c r="N222" s="189">
        <f>TDP!N222+'Dai Loc'!N222+'Khanh Nga'!N222+'Dong Lam'!N222+DTR!N222+DTRVL!N222</f>
        <v>-100750162957.9847</v>
      </c>
      <c r="O222" s="189">
        <f>TDP!O222+'Dai Loc'!O222+'Khanh Nga'!O222+'Dong Lam'!O222+DTR!O222+DTRVL!O222</f>
        <v>3319313766.2285709</v>
      </c>
      <c r="P222" s="189">
        <f>TDP!P222+'Dai Loc'!P222+'Khanh Nga'!P222+'Dong Lam'!P222+DTR!P222+DTRVL!P222</f>
        <v>6191106221.0000019</v>
      </c>
      <c r="Q222" s="189">
        <f>TDP!Q222+'Dai Loc'!Q222+'Khanh Nga'!Q222+'Dong Lam'!Q222+DTR!Q222+DTRVL!Q222</f>
        <v>4657786130</v>
      </c>
      <c r="R222" s="189">
        <f>TDP!R222+'Dai Loc'!R222+'Khanh Nga'!R222+'Dong Lam'!R222+DTR!R222+DTRVL!R222</f>
        <v>4702108313.000001</v>
      </c>
      <c r="S222" s="189">
        <f>TDP!S222+'Dai Loc'!S222+'Khanh Nga'!S222+'Dong Lam'!S222+DTR!S222+DTRVL!S222</f>
        <v>3960915150.0303802</v>
      </c>
      <c r="T222" s="189">
        <f>TDP!T222+'Dai Loc'!T222+'Khanh Nga'!T222+'Dong Lam'!T222+DTR!T222+DTRVL!T222</f>
        <v>1526329938.9999995</v>
      </c>
      <c r="U222" s="189">
        <f>TDP!U222+'Dai Loc'!U222+'Khanh Nga'!U222+'Dong Lam'!U222+DTR!U222+DTRVL!U222</f>
        <v>2343497099.9999995</v>
      </c>
      <c r="V222" s="189">
        <f>TDP!V222+'Dai Loc'!V222+'Khanh Nga'!V222+'Dong Lam'!V222+DTR!V222+DTRVL!V222</f>
        <v>5876744486.000001</v>
      </c>
      <c r="W222" s="189">
        <f>TDP!W222+'Dai Loc'!W222+'Khanh Nga'!W222+'Dong Lam'!W222+DTR!W222+DTRVL!W222</f>
        <v>2984086188</v>
      </c>
      <c r="X222" s="189">
        <f>TDP!X222+'Dai Loc'!X222+'Khanh Nga'!X222+'Dong Lam'!X222+DTR!X222+DTRVL!X222</f>
        <v>7836483946</v>
      </c>
      <c r="Y222" s="189">
        <f>TDP!Y222+'Dai Loc'!Y222+'Khanh Nga'!Y222+'Dong Lam'!Y222+DTR!Y222+DTRVL!Y222</f>
        <v>4104777916</v>
      </c>
      <c r="Z222" s="189">
        <f>TDP!Z222+'Dai Loc'!Z222+'Khanh Nga'!Z222+'Dong Lam'!Z222+DTR!Z222+DTRVL!Z222</f>
        <v>-14720423131.803801</v>
      </c>
    </row>
    <row r="223" spans="1:26" ht="15" customHeight="1">
      <c r="A223" s="178" t="s">
        <v>309</v>
      </c>
      <c r="B223" s="179">
        <v>25</v>
      </c>
      <c r="C223" s="189">
        <f>TDP!C223+'Dai Loc'!C223+'Khanh Nga'!C223+'Dong Lam'!C223+DTR!C223+DTRVL!C223</f>
        <v>-6827499882.0000458</v>
      </c>
      <c r="D223" s="189">
        <f>TDP!D223+'Dai Loc'!D223+'Khanh Nga'!D223+'Dong Lam'!D223+DTR!D223+DTRVL!D223</f>
        <v>-3683186779.9999847</v>
      </c>
      <c r="E223" s="189">
        <f>TDP!E223+'Dai Loc'!E223+'Khanh Nga'!E223+'Dong Lam'!E223+DTR!E223+DTRVL!E223</f>
        <v>-6111158325</v>
      </c>
      <c r="F223" s="189">
        <f>TDP!F223+'Dai Loc'!F223+'Khanh Nga'!F223+'Dong Lam'!F223+DTR!F223+DTRVL!F223</f>
        <v>-7318373989.000061</v>
      </c>
      <c r="G223" s="189">
        <f>TDP!G223+'Dai Loc'!G223+'Khanh Nga'!G223+'Dong Lam'!G223+DTR!G223+DTRVL!G223</f>
        <v>-432003628.13183975</v>
      </c>
      <c r="H223" s="189">
        <f>TDP!H223+'Dai Loc'!H223+'Khanh Nga'!H223+'Dong Lam'!H223+DTR!H223+DTRVL!H223</f>
        <v>-289719595.00001526</v>
      </c>
      <c r="I223" s="189">
        <f>TDP!I223+'Dai Loc'!I223+'Khanh Nga'!I223+'Dong Lam'!I223+DTR!I223+DTRVL!I223</f>
        <v>-7847687501.0000153</v>
      </c>
      <c r="J223" s="189">
        <f>TDP!J223+'Dai Loc'!J223+'Khanh Nga'!J223+'Dong Lam'!J223+DTR!J223+DTRVL!J223</f>
        <v>15398889630.999802</v>
      </c>
      <c r="K223" s="189">
        <f>TDP!K223+'Dai Loc'!K223+'Khanh Nga'!K223+'Dong Lam'!K223+DTR!K223+DTRVL!K223</f>
        <v>5474228658.7999878</v>
      </c>
      <c r="L223" s="189">
        <f>TDP!L223+'Dai Loc'!L223+'Khanh Nga'!L223+'Dong Lam'!L223+DTR!L223+DTRVL!L223</f>
        <v>3902390924.9999847</v>
      </c>
      <c r="M223" s="189">
        <f>TDP!M223+'Dai Loc'!M223+'Khanh Nga'!M223+'Dong Lam'!M223+DTR!M223+DTRVL!M223</f>
        <v>-1207115844</v>
      </c>
      <c r="N223" s="189">
        <f>TDP!N223+'Dai Loc'!N223+'Khanh Nga'!N223+'Dong Lam'!N223+DTR!N223+DTRVL!N223</f>
        <v>1634573111.3847866</v>
      </c>
      <c r="O223" s="189">
        <f>TDP!O223+'Dai Loc'!O223+'Khanh Nga'!O223+'Dong Lam'!O223+DTR!O223+DTRVL!O223</f>
        <v>311567959.77131653</v>
      </c>
      <c r="P223" s="189">
        <f>TDP!P223+'Dai Loc'!P223+'Khanh Nga'!P223+'Dong Lam'!P223+DTR!P223+DTRVL!P223</f>
        <v>14725820792.000031</v>
      </c>
      <c r="Q223" s="189">
        <f>TDP!Q223+'Dai Loc'!Q223+'Khanh Nga'!Q223+'Dong Lam'!Q223+DTR!Q223+DTRVL!Q223</f>
        <v>6235002945.0000916</v>
      </c>
      <c r="R223" s="189">
        <f>TDP!R223+'Dai Loc'!R223+'Khanh Nga'!R223+'Dong Lam'!R223+DTR!R223+DTRVL!R223</f>
        <v>690343524.00015259</v>
      </c>
      <c r="S223" s="189">
        <f>TDP!S223+'Dai Loc'!S223+'Khanh Nga'!S223+'Dong Lam'!S223+DTR!S223+DTRVL!S223</f>
        <v>3823712292.9944916</v>
      </c>
      <c r="T223" s="189">
        <f>TDP!T223+'Dai Loc'!T223+'Khanh Nga'!T223+'Dong Lam'!T223+DTR!T223+DTRVL!T223</f>
        <v>1344287197.7320786</v>
      </c>
      <c r="U223" s="189">
        <f>TDP!U223+'Dai Loc'!U223+'Khanh Nga'!U223+'Dong Lam'!U223+DTR!U223+DTRVL!U223</f>
        <v>2680367602.0001221</v>
      </c>
      <c r="V223" s="189">
        <f>TDP!V223+'Dai Loc'!V223+'Khanh Nga'!V223+'Dong Lam'!V223+DTR!V223+DTRVL!V223</f>
        <v>9548672403</v>
      </c>
      <c r="W223" s="189">
        <f>TDP!W223+'Dai Loc'!W223+'Khanh Nga'!W223+'Dong Lam'!W223+DTR!W223+DTRVL!W223</f>
        <v>-2319711392.9999084</v>
      </c>
      <c r="X223" s="189">
        <f>TDP!X223+'Dai Loc'!X223+'Khanh Nga'!X223+'Dong Lam'!X223+DTR!X223+DTRVL!X223</f>
        <v>-712439623</v>
      </c>
      <c r="Y223" s="189">
        <f>TDP!Y223+'Dai Loc'!Y223+'Khanh Nga'!Y223+'Dong Lam'!Y223+DTR!Y223+DTRVL!Y223</f>
        <v>1633424380</v>
      </c>
      <c r="Z223" s="189">
        <f>TDP!Z223+'Dai Loc'!Z223+'Khanh Nga'!Z223+'Dong Lam'!Z223+DTR!Z223+DTRVL!Z223</f>
        <v>1540635439.3865051</v>
      </c>
    </row>
    <row r="224" spans="1:26" ht="15" customHeight="1">
      <c r="A224" s="184" t="s">
        <v>310</v>
      </c>
      <c r="B224" s="185">
        <v>26</v>
      </c>
      <c r="C224" s="192">
        <f>IFERROR(C211/C207,"")</f>
        <v>0.92331096777011346</v>
      </c>
      <c r="D224" s="192">
        <f t="shared" ref="D224:Z224" si="20">IFERROR(D211/D207,"")</f>
        <v>1.006177481165516</v>
      </c>
      <c r="E224" s="192">
        <f t="shared" si="20"/>
        <v>0.94412970945066121</v>
      </c>
      <c r="F224" s="192">
        <f t="shared" si="20"/>
        <v>0.89806920875306606</v>
      </c>
      <c r="G224" s="192">
        <f t="shared" si="20"/>
        <v>0.98091517498252279</v>
      </c>
      <c r="H224" s="192">
        <f t="shared" si="20"/>
        <v>1.0294362776188521</v>
      </c>
      <c r="I224" s="192">
        <f t="shared" si="20"/>
        <v>1.0765127229680977</v>
      </c>
      <c r="J224" s="192">
        <f t="shared" si="20"/>
        <v>0.96892497301274683</v>
      </c>
      <c r="K224" s="192">
        <f t="shared" si="20"/>
        <v>0.86672590116511472</v>
      </c>
      <c r="L224" s="192">
        <f t="shared" si="20"/>
        <v>0.96726444848526216</v>
      </c>
      <c r="M224" s="192">
        <f t="shared" si="20"/>
        <v>0.95440427616482926</v>
      </c>
      <c r="N224" s="192">
        <f t="shared" si="20"/>
        <v>-3.3368580001616806E-2</v>
      </c>
      <c r="O224" s="192">
        <f t="shared" si="20"/>
        <v>0.86904179371711521</v>
      </c>
      <c r="P224" s="192">
        <f t="shared" si="20"/>
        <v>0.84372639761729928</v>
      </c>
      <c r="Q224" s="192">
        <f t="shared" si="20"/>
        <v>0.88292060948211881</v>
      </c>
      <c r="R224" s="192">
        <f t="shared" si="20"/>
        <v>0.89138147725602535</v>
      </c>
      <c r="S224" s="192">
        <f t="shared" si="20"/>
        <v>0.87170732611262636</v>
      </c>
      <c r="T224" s="192">
        <f t="shared" si="20"/>
        <v>0.90434423647004059</v>
      </c>
      <c r="U224" s="192">
        <f t="shared" si="20"/>
        <v>0.92621463212637245</v>
      </c>
      <c r="V224" s="192">
        <f t="shared" si="20"/>
        <v>0.91779435563172962</v>
      </c>
      <c r="W224" s="192">
        <f t="shared" si="20"/>
        <v>0.97645432410916733</v>
      </c>
      <c r="X224" s="192">
        <f t="shared" si="20"/>
        <v>0.92205401437757339</v>
      </c>
      <c r="Y224" s="192">
        <f t="shared" si="20"/>
        <v>0.92335421413196539</v>
      </c>
      <c r="Z224" s="192">
        <f t="shared" si="20"/>
        <v>0.70764865744225613</v>
      </c>
    </row>
    <row r="225" spans="1:26" ht="15" customHeight="1">
      <c r="A225" s="181" t="s">
        <v>311</v>
      </c>
      <c r="B225" s="182">
        <v>27</v>
      </c>
      <c r="C225" s="183">
        <f t="shared" ref="C225:Z225" si="21">C139</f>
        <v>9972483847</v>
      </c>
      <c r="D225" s="183">
        <f t="shared" si="21"/>
        <v>-515694066</v>
      </c>
      <c r="E225" s="183">
        <f t="shared" si="21"/>
        <v>6460025611</v>
      </c>
      <c r="F225" s="183">
        <f t="shared" si="21"/>
        <v>11991878921</v>
      </c>
      <c r="G225" s="183">
        <f t="shared" si="21"/>
        <v>2441885278</v>
      </c>
      <c r="H225" s="183">
        <f t="shared" si="21"/>
        <v>-2815920597</v>
      </c>
      <c r="I225" s="183">
        <f t="shared" si="21"/>
        <v>-5713944325</v>
      </c>
      <c r="J225" s="183">
        <f t="shared" si="21"/>
        <v>5363296363</v>
      </c>
      <c r="K225" s="183">
        <f t="shared" si="21"/>
        <v>23385512729</v>
      </c>
      <c r="L225" s="183">
        <f t="shared" si="21"/>
        <v>4592444587</v>
      </c>
      <c r="M225" s="183">
        <f t="shared" si="21"/>
        <v>4429538531</v>
      </c>
      <c r="N225" s="183">
        <f t="shared" si="21"/>
        <v>128144611272</v>
      </c>
      <c r="O225" s="183">
        <f t="shared" si="21"/>
        <v>16483105268</v>
      </c>
      <c r="P225" s="183">
        <f t="shared" si="21"/>
        <v>32306332485</v>
      </c>
      <c r="Q225" s="183">
        <f t="shared" si="21"/>
        <v>21185923943</v>
      </c>
      <c r="R225" s="183">
        <f t="shared" si="21"/>
        <v>17129551066</v>
      </c>
      <c r="S225" s="183">
        <f t="shared" si="21"/>
        <v>23787733277</v>
      </c>
      <c r="T225" s="183">
        <f t="shared" si="21"/>
        <v>15180844835</v>
      </c>
      <c r="U225" s="183">
        <f t="shared" si="21"/>
        <v>13742767461</v>
      </c>
      <c r="V225" s="183">
        <f t="shared" si="21"/>
        <v>17721449183</v>
      </c>
      <c r="W225" s="183">
        <f t="shared" si="21"/>
        <v>2827009757</v>
      </c>
      <c r="X225" s="183">
        <f t="shared" si="21"/>
        <v>10770744743</v>
      </c>
      <c r="Y225" s="183">
        <f t="shared" si="21"/>
        <v>8296122547</v>
      </c>
      <c r="Z225" s="183">
        <f t="shared" si="21"/>
        <v>37394107370</v>
      </c>
    </row>
    <row r="226" spans="1:26" ht="15" customHeight="1">
      <c r="A226" s="184" t="s">
        <v>312</v>
      </c>
      <c r="B226" s="185">
        <v>28</v>
      </c>
      <c r="C226" s="187">
        <f t="shared" ref="C226:Z226" si="22">IFERROR(C225/C207,"")</f>
        <v>7.66890322298866E-2</v>
      </c>
      <c r="D226" s="187">
        <f t="shared" si="22"/>
        <v>-6.1774811655159814E-3</v>
      </c>
      <c r="E226" s="187">
        <f t="shared" si="22"/>
        <v>5.5870290549338772E-2</v>
      </c>
      <c r="F226" s="187">
        <f t="shared" si="22"/>
        <v>0.10193079124693391</v>
      </c>
      <c r="G226" s="187">
        <f t="shared" si="22"/>
        <v>1.9084825017477242E-2</v>
      </c>
      <c r="H226" s="187">
        <f t="shared" si="22"/>
        <v>-2.9436277618852195E-2</v>
      </c>
      <c r="I226" s="187">
        <f t="shared" si="22"/>
        <v>-7.6512722968097704E-2</v>
      </c>
      <c r="J226" s="187">
        <f t="shared" si="22"/>
        <v>3.1075026987253188E-2</v>
      </c>
      <c r="K226" s="187">
        <f t="shared" si="22"/>
        <v>0.13327409883488528</v>
      </c>
      <c r="L226" s="187">
        <f t="shared" si="22"/>
        <v>3.2735551514737844E-2</v>
      </c>
      <c r="M226" s="187">
        <f t="shared" si="22"/>
        <v>4.5595723835170708E-2</v>
      </c>
      <c r="N226" s="187">
        <f t="shared" si="22"/>
        <v>1.0333685800016168</v>
      </c>
      <c r="O226" s="187">
        <f t="shared" si="22"/>
        <v>0.13095820628288476</v>
      </c>
      <c r="P226" s="187">
        <f t="shared" si="22"/>
        <v>0.15627360238270072</v>
      </c>
      <c r="Q226" s="187">
        <f t="shared" si="22"/>
        <v>0.1170793905178812</v>
      </c>
      <c r="R226" s="187">
        <f t="shared" si="22"/>
        <v>0.10861852274397467</v>
      </c>
      <c r="S226" s="187">
        <f t="shared" si="22"/>
        <v>0.12829267388737367</v>
      </c>
      <c r="T226" s="187">
        <f t="shared" si="22"/>
        <v>9.5655763529959442E-2</v>
      </c>
      <c r="U226" s="187">
        <f t="shared" si="22"/>
        <v>7.378536787362755E-2</v>
      </c>
      <c r="V226" s="187">
        <f t="shared" si="22"/>
        <v>8.2205644368270367E-2</v>
      </c>
      <c r="W226" s="187">
        <f t="shared" si="22"/>
        <v>2.3545675890832677E-2</v>
      </c>
      <c r="X226" s="187">
        <f t="shared" si="22"/>
        <v>7.7945985622426564E-2</v>
      </c>
      <c r="Y226" s="187">
        <f t="shared" si="22"/>
        <v>7.6645785868034638E-2</v>
      </c>
      <c r="Z226" s="187">
        <f t="shared" si="22"/>
        <v>0.29235134255774387</v>
      </c>
    </row>
    <row r="227" spans="1:26" ht="15" customHeight="1">
      <c r="A227" s="181" t="s">
        <v>313</v>
      </c>
      <c r="B227" s="182">
        <v>29</v>
      </c>
      <c r="C227" s="183">
        <f t="shared" ref="C227:Z227" si="23">C150</f>
        <v>-719985770</v>
      </c>
      <c r="D227" s="183">
        <f t="shared" si="23"/>
        <v>-6758932844</v>
      </c>
      <c r="E227" s="183">
        <f t="shared" si="23"/>
        <v>-2743321288</v>
      </c>
      <c r="F227" s="183">
        <f t="shared" si="23"/>
        <v>1668340417</v>
      </c>
      <c r="G227" s="183">
        <f t="shared" si="23"/>
        <v>-5691808171</v>
      </c>
      <c r="H227" s="183">
        <f t="shared" si="23"/>
        <v>-12142648645</v>
      </c>
      <c r="I227" s="183">
        <f t="shared" si="23"/>
        <v>-15194276334</v>
      </c>
      <c r="J227" s="183">
        <f t="shared" si="23"/>
        <v>-10014018528</v>
      </c>
      <c r="K227" s="183">
        <f t="shared" si="23"/>
        <v>8118268598</v>
      </c>
      <c r="L227" s="183">
        <f t="shared" si="23"/>
        <v>-6348711814</v>
      </c>
      <c r="M227" s="183">
        <f t="shared" si="23"/>
        <v>-6052149672</v>
      </c>
      <c r="N227" s="183">
        <f t="shared" si="23"/>
        <v>102908561739</v>
      </c>
      <c r="O227" s="183">
        <f t="shared" si="23"/>
        <v>3099846411</v>
      </c>
      <c r="P227" s="183">
        <f t="shared" si="23"/>
        <v>17072928466</v>
      </c>
      <c r="Q227" s="183">
        <f t="shared" si="23"/>
        <v>6996892070</v>
      </c>
      <c r="R227" s="183">
        <f t="shared" si="23"/>
        <v>3936534372</v>
      </c>
      <c r="S227" s="183">
        <f t="shared" si="23"/>
        <v>10980760888</v>
      </c>
      <c r="T227" s="183">
        <f t="shared" si="23"/>
        <v>874577083</v>
      </c>
      <c r="U227" s="183">
        <f t="shared" si="23"/>
        <v>412219980</v>
      </c>
      <c r="V227" s="183">
        <f t="shared" si="23"/>
        <v>2753352784</v>
      </c>
      <c r="W227" s="183">
        <f t="shared" si="23"/>
        <v>-12520058596</v>
      </c>
      <c r="X227" s="183">
        <f t="shared" si="23"/>
        <v>-5398471511</v>
      </c>
      <c r="Y227" s="183">
        <f t="shared" si="23"/>
        <v>-8841087053</v>
      </c>
      <c r="Z227" s="183">
        <f t="shared" si="23"/>
        <v>16289700389</v>
      </c>
    </row>
    <row r="228" spans="1:26" ht="15" customHeight="1">
      <c r="A228" s="184" t="s">
        <v>314</v>
      </c>
      <c r="B228" s="185">
        <v>30</v>
      </c>
      <c r="C228" s="187">
        <f t="shared" ref="C228:Z228" si="24">IFERROR(C227/C207,"")</f>
        <v>-5.5367361599888603E-3</v>
      </c>
      <c r="D228" s="187">
        <f t="shared" si="24"/>
        <v>-8.0965019951959982E-2</v>
      </c>
      <c r="E228" s="187">
        <f t="shared" si="24"/>
        <v>-2.3725936499347768E-2</v>
      </c>
      <c r="F228" s="187">
        <f t="shared" si="24"/>
        <v>1.418086856065995E-2</v>
      </c>
      <c r="G228" s="187">
        <f t="shared" si="24"/>
        <v>-4.4484957567520161E-2</v>
      </c>
      <c r="H228" s="187">
        <f t="shared" si="24"/>
        <v>-0.12693340036760967</v>
      </c>
      <c r="I228" s="187">
        <f t="shared" si="24"/>
        <v>-0.20345936007069251</v>
      </c>
      <c r="J228" s="187">
        <f t="shared" si="24"/>
        <v>-5.8021387398101802E-2</v>
      </c>
      <c r="K228" s="187">
        <f t="shared" si="24"/>
        <v>4.6266034191171812E-2</v>
      </c>
      <c r="L228" s="187">
        <f t="shared" si="24"/>
        <v>-4.5254456249233722E-2</v>
      </c>
      <c r="M228" s="187">
        <f t="shared" si="24"/>
        <v>-6.2298170141739981E-2</v>
      </c>
      <c r="N228" s="187">
        <f t="shared" si="24"/>
        <v>0.82986302161794689</v>
      </c>
      <c r="O228" s="187">
        <f t="shared" si="24"/>
        <v>2.462826749793939E-2</v>
      </c>
      <c r="P228" s="187">
        <f t="shared" si="24"/>
        <v>8.2585915186837291E-2</v>
      </c>
      <c r="Q228" s="187">
        <f t="shared" si="24"/>
        <v>3.8666798827325335E-2</v>
      </c>
      <c r="R228" s="187">
        <f t="shared" si="24"/>
        <v>2.4961573515269384E-2</v>
      </c>
      <c r="S228" s="187">
        <f t="shared" si="24"/>
        <v>5.9221749261898438E-2</v>
      </c>
      <c r="T228" s="187">
        <f t="shared" si="24"/>
        <v>5.5107828022385365E-3</v>
      </c>
      <c r="U228" s="187">
        <f t="shared" si="24"/>
        <v>2.2132225518240829E-3</v>
      </c>
      <c r="V228" s="187">
        <f t="shared" si="24"/>
        <v>1.2772157482415027E-2</v>
      </c>
      <c r="W228" s="187">
        <f t="shared" si="24"/>
        <v>-0.10427740516484169</v>
      </c>
      <c r="X228" s="187">
        <f t="shared" si="24"/>
        <v>-3.9067788980233699E-2</v>
      </c>
      <c r="Y228" s="187">
        <f t="shared" si="24"/>
        <v>-8.1680575626252416E-2</v>
      </c>
      <c r="Z228" s="187">
        <f t="shared" si="24"/>
        <v>0.1273547121065442</v>
      </c>
    </row>
    <row r="229" spans="1:26" ht="15" customHeight="1">
      <c r="A229" s="181" t="s">
        <v>315</v>
      </c>
      <c r="B229" s="182">
        <v>31</v>
      </c>
      <c r="C229" s="183">
        <f>C150+C143+C159</f>
        <v>3675898864</v>
      </c>
      <c r="D229" s="183">
        <f t="shared" ref="D229:Z229" si="25">D150+D143+D159</f>
        <v>-2249766799</v>
      </c>
      <c r="E229" s="183">
        <f t="shared" si="25"/>
        <v>1785704666</v>
      </c>
      <c r="F229" s="183">
        <f t="shared" si="25"/>
        <v>6750826694</v>
      </c>
      <c r="G229" s="183">
        <f t="shared" si="25"/>
        <v>-452261713</v>
      </c>
      <c r="H229" s="183">
        <f t="shared" si="25"/>
        <v>-6787951141</v>
      </c>
      <c r="I229" s="183">
        <f t="shared" si="25"/>
        <v>-9754786291</v>
      </c>
      <c r="J229" s="183">
        <f t="shared" si="25"/>
        <v>-4762037040</v>
      </c>
      <c r="K229" s="183">
        <f t="shared" si="25"/>
        <v>13425158696</v>
      </c>
      <c r="L229" s="183">
        <f t="shared" si="25"/>
        <v>-1041021395</v>
      </c>
      <c r="M229" s="183">
        <f t="shared" si="25"/>
        <v>-668129018</v>
      </c>
      <c r="N229" s="183">
        <f t="shared" si="25"/>
        <v>108733421490</v>
      </c>
      <c r="O229" s="183">
        <f t="shared" si="25"/>
        <v>9084402201</v>
      </c>
      <c r="P229" s="183">
        <f t="shared" si="25"/>
        <v>22872990664</v>
      </c>
      <c r="Q229" s="183">
        <f t="shared" si="25"/>
        <v>12745104196</v>
      </c>
      <c r="R229" s="183">
        <f t="shared" si="25"/>
        <v>9836693447</v>
      </c>
      <c r="S229" s="183">
        <f t="shared" si="25"/>
        <v>17344763554</v>
      </c>
      <c r="T229" s="183">
        <f t="shared" si="25"/>
        <v>7491353035</v>
      </c>
      <c r="U229" s="183">
        <f t="shared" si="25"/>
        <v>6840781034</v>
      </c>
      <c r="V229" s="183">
        <f t="shared" si="25"/>
        <v>9226585015</v>
      </c>
      <c r="W229" s="183">
        <f t="shared" si="25"/>
        <v>-5414763535</v>
      </c>
      <c r="X229" s="183">
        <f t="shared" si="25"/>
        <v>1333218265</v>
      </c>
      <c r="Y229" s="183">
        <f t="shared" si="25"/>
        <v>-2057039711</v>
      </c>
      <c r="Z229" s="183">
        <f t="shared" si="25"/>
        <v>23143211984</v>
      </c>
    </row>
    <row r="230" spans="1:26" ht="15" customHeight="1">
      <c r="A230" s="184" t="s">
        <v>316</v>
      </c>
      <c r="B230" s="185">
        <v>32</v>
      </c>
      <c r="C230" s="187">
        <f t="shared" ref="C230:Z230" si="26">IFERROR(C229/C207,"")</f>
        <v>2.8267895017940109E-2</v>
      </c>
      <c r="D230" s="187">
        <f t="shared" si="26"/>
        <v>-2.6949877735505449E-2</v>
      </c>
      <c r="E230" s="187">
        <f t="shared" si="26"/>
        <v>1.5443876624087574E-2</v>
      </c>
      <c r="F230" s="187">
        <f t="shared" si="26"/>
        <v>5.7381925803580501E-2</v>
      </c>
      <c r="G230" s="187">
        <f t="shared" si="26"/>
        <v>-3.5347015408434402E-3</v>
      </c>
      <c r="H230" s="187">
        <f t="shared" si="26"/>
        <v>-7.0957971777526135E-2</v>
      </c>
      <c r="I230" s="187">
        <f t="shared" si="26"/>
        <v>-0.1306217244418601</v>
      </c>
      <c r="J230" s="187">
        <f t="shared" si="26"/>
        <v>-2.7591320620127979E-2</v>
      </c>
      <c r="K230" s="187">
        <f t="shared" si="26"/>
        <v>7.6510014882245167E-2</v>
      </c>
      <c r="L230" s="187">
        <f t="shared" si="26"/>
        <v>-7.4205379854628507E-3</v>
      </c>
      <c r="M230" s="187">
        <f t="shared" si="26"/>
        <v>-6.8774266162923234E-3</v>
      </c>
      <c r="N230" s="187">
        <f t="shared" si="26"/>
        <v>0.87683516496327274</v>
      </c>
      <c r="O230" s="187">
        <f t="shared" si="26"/>
        <v>7.2175539623887952E-2</v>
      </c>
      <c r="P230" s="187">
        <f t="shared" si="26"/>
        <v>0.11064222935205645</v>
      </c>
      <c r="Q230" s="187">
        <f t="shared" si="26"/>
        <v>7.0433040134065122E-2</v>
      </c>
      <c r="R230" s="187">
        <f t="shared" si="26"/>
        <v>6.2374495792782855E-2</v>
      </c>
      <c r="S230" s="187">
        <f t="shared" si="26"/>
        <v>9.3544267895354458E-2</v>
      </c>
      <c r="T230" s="187">
        <f t="shared" si="26"/>
        <v>4.7203637361688637E-2</v>
      </c>
      <c r="U230" s="187">
        <f t="shared" si="26"/>
        <v>3.6728377058625999E-2</v>
      </c>
      <c r="V230" s="187">
        <f t="shared" si="26"/>
        <v>4.2799962838496401E-2</v>
      </c>
      <c r="W230" s="187">
        <f t="shared" si="26"/>
        <v>-4.5098630064830524E-2</v>
      </c>
      <c r="X230" s="187">
        <f t="shared" si="26"/>
        <v>9.6482661315304453E-3</v>
      </c>
      <c r="Y230" s="187">
        <f t="shared" si="26"/>
        <v>-1.9004471585145913E-2</v>
      </c>
      <c r="Z230" s="187">
        <f t="shared" si="26"/>
        <v>0.18093623756477081</v>
      </c>
    </row>
    <row r="231" spans="1:26" ht="15" customHeight="1">
      <c r="A231" s="181" t="s">
        <v>317</v>
      </c>
      <c r="B231" s="182">
        <v>33</v>
      </c>
      <c r="C231" s="183">
        <f>C151+C152</f>
        <v>0</v>
      </c>
      <c r="D231" s="183">
        <f t="shared" ref="D231:Z231" si="27">D151+D152</f>
        <v>0</v>
      </c>
      <c r="E231" s="183">
        <f t="shared" si="27"/>
        <v>0</v>
      </c>
      <c r="F231" s="183">
        <f t="shared" si="27"/>
        <v>0</v>
      </c>
      <c r="G231" s="183">
        <f t="shared" si="27"/>
        <v>0</v>
      </c>
      <c r="H231" s="183">
        <f t="shared" si="27"/>
        <v>0</v>
      </c>
      <c r="I231" s="183">
        <f t="shared" si="27"/>
        <v>0</v>
      </c>
      <c r="J231" s="183">
        <f t="shared" si="27"/>
        <v>32927331</v>
      </c>
      <c r="K231" s="183">
        <f t="shared" si="27"/>
        <v>0</v>
      </c>
      <c r="L231" s="183">
        <f t="shared" si="27"/>
        <v>0</v>
      </c>
      <c r="M231" s="183">
        <f t="shared" si="27"/>
        <v>0</v>
      </c>
      <c r="N231" s="183">
        <f t="shared" si="27"/>
        <v>13334207765</v>
      </c>
      <c r="O231" s="183">
        <f t="shared" si="27"/>
        <v>864190686</v>
      </c>
      <c r="P231" s="183">
        <f t="shared" si="27"/>
        <v>3012699780</v>
      </c>
      <c r="Q231" s="183">
        <f t="shared" si="27"/>
        <v>1252632187</v>
      </c>
      <c r="R231" s="183">
        <f t="shared" si="27"/>
        <v>677293488</v>
      </c>
      <c r="S231" s="183">
        <f t="shared" si="27"/>
        <v>1681800759</v>
      </c>
      <c r="T231" s="183">
        <f t="shared" si="27"/>
        <v>189264839</v>
      </c>
      <c r="U231" s="183">
        <f t="shared" si="27"/>
        <v>-2830986340</v>
      </c>
      <c r="V231" s="183">
        <f t="shared" si="27"/>
        <v>204199602</v>
      </c>
      <c r="W231" s="183">
        <f t="shared" si="27"/>
        <v>-1349170846</v>
      </c>
      <c r="X231" s="183">
        <f t="shared" si="27"/>
        <v>-516688622</v>
      </c>
      <c r="Y231" s="183">
        <f t="shared" si="27"/>
        <v>-854033077</v>
      </c>
      <c r="Z231" s="183">
        <f t="shared" si="27"/>
        <v>2388437945</v>
      </c>
    </row>
    <row r="232" spans="1:26" ht="15" customHeight="1">
      <c r="A232" s="184" t="s">
        <v>318</v>
      </c>
      <c r="B232" s="185">
        <v>34</v>
      </c>
      <c r="C232" s="187">
        <f>IFERROR(C231/C207,"")</f>
        <v>0</v>
      </c>
      <c r="D232" s="187">
        <f t="shared" ref="D232:Z232" si="28">IFERROR(D231/D207,"")</f>
        <v>0</v>
      </c>
      <c r="E232" s="187">
        <f t="shared" si="28"/>
        <v>0</v>
      </c>
      <c r="F232" s="187">
        <f t="shared" si="28"/>
        <v>0</v>
      </c>
      <c r="G232" s="187">
        <f t="shared" si="28"/>
        <v>0</v>
      </c>
      <c r="H232" s="187">
        <f t="shared" si="28"/>
        <v>0</v>
      </c>
      <c r="I232" s="187">
        <f t="shared" si="28"/>
        <v>0</v>
      </c>
      <c r="J232" s="187">
        <f t="shared" si="28"/>
        <v>1.9078149522038979E-4</v>
      </c>
      <c r="K232" s="187">
        <f t="shared" si="28"/>
        <v>0</v>
      </c>
      <c r="L232" s="187">
        <f t="shared" si="28"/>
        <v>0</v>
      </c>
      <c r="M232" s="187">
        <f t="shared" si="28"/>
        <v>0</v>
      </c>
      <c r="N232" s="187">
        <f t="shared" si="28"/>
        <v>0.10752813720989741</v>
      </c>
      <c r="O232" s="187">
        <f t="shared" si="28"/>
        <v>6.8659915886509215E-3</v>
      </c>
      <c r="P232" s="187">
        <f t="shared" si="28"/>
        <v>1.4573162946823733E-2</v>
      </c>
      <c r="Q232" s="187">
        <f t="shared" si="28"/>
        <v>6.922398730006646E-3</v>
      </c>
      <c r="R232" s="187">
        <f t="shared" si="28"/>
        <v>4.2947195666262613E-3</v>
      </c>
      <c r="S232" s="187">
        <f t="shared" si="28"/>
        <v>9.0703352776593561E-3</v>
      </c>
      <c r="T232" s="187">
        <f t="shared" si="28"/>
        <v>1.1925734621949218E-3</v>
      </c>
      <c r="U232" s="187">
        <f t="shared" si="28"/>
        <v>-1.5199658230039992E-2</v>
      </c>
      <c r="V232" s="187">
        <f t="shared" si="28"/>
        <v>9.4723403762358939E-4</v>
      </c>
      <c r="W232" s="187">
        <f t="shared" si="28"/>
        <v>-1.1237010902639247E-2</v>
      </c>
      <c r="X232" s="187">
        <f t="shared" si="28"/>
        <v>-3.7391846954555013E-3</v>
      </c>
      <c r="Y232" s="187">
        <f t="shared" si="28"/>
        <v>-7.8901964108077597E-3</v>
      </c>
      <c r="Z232" s="187">
        <f t="shared" si="28"/>
        <v>1.8673076828056634E-2</v>
      </c>
    </row>
    <row r="233" spans="1:26" ht="15" customHeight="1">
      <c r="A233" s="181" t="s">
        <v>319</v>
      </c>
      <c r="B233" s="182">
        <v>35</v>
      </c>
      <c r="C233" s="183">
        <f t="shared" ref="C233:Z233" si="29">C153</f>
        <v>-719985770</v>
      </c>
      <c r="D233" s="183">
        <f t="shared" si="29"/>
        <v>-6758932844</v>
      </c>
      <c r="E233" s="183">
        <f t="shared" si="29"/>
        <v>-2743321288</v>
      </c>
      <c r="F233" s="183">
        <f t="shared" si="29"/>
        <v>1668340417</v>
      </c>
      <c r="G233" s="183">
        <f t="shared" si="29"/>
        <v>-5691808171</v>
      </c>
      <c r="H233" s="183">
        <f t="shared" si="29"/>
        <v>-12142648645</v>
      </c>
      <c r="I233" s="183">
        <f t="shared" si="29"/>
        <v>-15194276334</v>
      </c>
      <c r="J233" s="183">
        <f t="shared" si="29"/>
        <v>-10046945859</v>
      </c>
      <c r="K233" s="183">
        <f t="shared" si="29"/>
        <v>8118268598</v>
      </c>
      <c r="L233" s="183">
        <f t="shared" si="29"/>
        <v>-6348711814</v>
      </c>
      <c r="M233" s="183">
        <f t="shared" si="29"/>
        <v>-6052149672</v>
      </c>
      <c r="N233" s="183">
        <f t="shared" si="29"/>
        <v>89574353974</v>
      </c>
      <c r="O233" s="183">
        <f t="shared" si="29"/>
        <v>2235655725</v>
      </c>
      <c r="P233" s="183">
        <f t="shared" si="29"/>
        <v>14060228686</v>
      </c>
      <c r="Q233" s="183">
        <f t="shared" si="29"/>
        <v>5744259883</v>
      </c>
      <c r="R233" s="183">
        <f t="shared" si="29"/>
        <v>3259240884</v>
      </c>
      <c r="S233" s="183">
        <f t="shared" si="29"/>
        <v>9298960129</v>
      </c>
      <c r="T233" s="183">
        <f t="shared" si="29"/>
        <v>685312244</v>
      </c>
      <c r="U233" s="183">
        <f t="shared" si="29"/>
        <v>3243206320</v>
      </c>
      <c r="V233" s="183">
        <f t="shared" si="29"/>
        <v>2549153182</v>
      </c>
      <c r="W233" s="183">
        <f t="shared" si="29"/>
        <v>-11170887750</v>
      </c>
      <c r="X233" s="183">
        <f t="shared" si="29"/>
        <v>-4881782889</v>
      </c>
      <c r="Y233" s="183">
        <f t="shared" si="29"/>
        <v>-7987053976</v>
      </c>
      <c r="Z233" s="183">
        <f t="shared" si="29"/>
        <v>13901262444</v>
      </c>
    </row>
    <row r="234" spans="1:26" ht="15" customHeight="1">
      <c r="A234" s="184" t="s">
        <v>320</v>
      </c>
      <c r="B234" s="185">
        <v>36</v>
      </c>
      <c r="C234" s="187">
        <f t="shared" ref="C234:Z234" si="30">IFERROR(C233/C207,"")</f>
        <v>-5.5367361599888603E-3</v>
      </c>
      <c r="D234" s="187">
        <f t="shared" si="30"/>
        <v>-8.0965019951959982E-2</v>
      </c>
      <c r="E234" s="187">
        <f t="shared" si="30"/>
        <v>-2.3725936499347768E-2</v>
      </c>
      <c r="F234" s="187">
        <f t="shared" si="30"/>
        <v>1.418086856065995E-2</v>
      </c>
      <c r="G234" s="187">
        <f t="shared" si="30"/>
        <v>-4.4484957567520161E-2</v>
      </c>
      <c r="H234" s="187">
        <f t="shared" si="30"/>
        <v>-0.12693340036760967</v>
      </c>
      <c r="I234" s="187">
        <f t="shared" si="30"/>
        <v>-0.20345936007069251</v>
      </c>
      <c r="J234" s="187">
        <f t="shared" si="30"/>
        <v>-5.8212168893322196E-2</v>
      </c>
      <c r="K234" s="187">
        <f t="shared" si="30"/>
        <v>4.6266034191171812E-2</v>
      </c>
      <c r="L234" s="187">
        <f t="shared" si="30"/>
        <v>-4.5254456249233722E-2</v>
      </c>
      <c r="M234" s="187">
        <f t="shared" si="30"/>
        <v>-6.2298170141739981E-2</v>
      </c>
      <c r="N234" s="187">
        <f t="shared" si="30"/>
        <v>0.72233488440804949</v>
      </c>
      <c r="O234" s="187">
        <f t="shared" si="30"/>
        <v>1.7762275909288472E-2</v>
      </c>
      <c r="P234" s="187">
        <f t="shared" si="30"/>
        <v>6.801275224001356E-2</v>
      </c>
      <c r="Q234" s="187">
        <f t="shared" si="30"/>
        <v>3.1744400097318694E-2</v>
      </c>
      <c r="R234" s="187">
        <f t="shared" si="30"/>
        <v>2.0666853948643121E-2</v>
      </c>
      <c r="S234" s="187">
        <f t="shared" si="30"/>
        <v>5.0151413984239078E-2</v>
      </c>
      <c r="T234" s="187">
        <f t="shared" si="30"/>
        <v>4.3182093400436147E-3</v>
      </c>
      <c r="U234" s="187">
        <f t="shared" si="30"/>
        <v>1.7412880781864076E-2</v>
      </c>
      <c r="V234" s="187">
        <f t="shared" si="30"/>
        <v>1.1824923444791437E-2</v>
      </c>
      <c r="W234" s="187">
        <f t="shared" si="30"/>
        <v>-9.3040394262202439E-2</v>
      </c>
      <c r="X234" s="187">
        <f t="shared" si="30"/>
        <v>-3.5328604284778201E-2</v>
      </c>
      <c r="Y234" s="187">
        <f t="shared" si="30"/>
        <v>-7.3790379215444665E-2</v>
      </c>
      <c r="Z234" s="187">
        <f t="shared" si="30"/>
        <v>0.10868163527848756</v>
      </c>
    </row>
    <row r="235" spans="1:26" ht="15" customHeight="1">
      <c r="A235" s="193" t="s">
        <v>321</v>
      </c>
      <c r="B235" s="146">
        <v>37</v>
      </c>
      <c r="C235" s="183">
        <f t="shared" ref="C235:Z235" si="31">C144</f>
        <v>4849994610</v>
      </c>
      <c r="D235" s="183">
        <f t="shared" si="31"/>
        <v>1560472559</v>
      </c>
      <c r="E235" s="183">
        <f t="shared" si="31"/>
        <v>4219375143</v>
      </c>
      <c r="F235" s="183">
        <f t="shared" si="31"/>
        <v>4926459549</v>
      </c>
      <c r="G235" s="183">
        <f t="shared" si="31"/>
        <v>2125110954</v>
      </c>
      <c r="H235" s="183">
        <f t="shared" si="31"/>
        <v>2824966874</v>
      </c>
      <c r="I235" s="183">
        <f t="shared" si="31"/>
        <v>2596964337</v>
      </c>
      <c r="J235" s="183">
        <f t="shared" si="31"/>
        <v>8480107205</v>
      </c>
      <c r="K235" s="183">
        <f t="shared" si="31"/>
        <v>7368729523</v>
      </c>
      <c r="L235" s="183">
        <f t="shared" si="31"/>
        <v>4936551194</v>
      </c>
      <c r="M235" s="183">
        <f t="shared" si="31"/>
        <v>2249627546</v>
      </c>
      <c r="N235" s="183">
        <f t="shared" si="31"/>
        <v>10540748080</v>
      </c>
      <c r="O235" s="183">
        <f t="shared" si="31"/>
        <v>4181224849</v>
      </c>
      <c r="P235" s="183">
        <f t="shared" si="31"/>
        <v>6634982258</v>
      </c>
      <c r="Q235" s="183">
        <f t="shared" si="31"/>
        <v>5629444776</v>
      </c>
      <c r="R235" s="183">
        <f t="shared" si="31"/>
        <v>4622826734</v>
      </c>
      <c r="S235" s="183">
        <f t="shared" si="31"/>
        <v>5242336575</v>
      </c>
      <c r="T235" s="183">
        <f t="shared" si="31"/>
        <v>5451129528</v>
      </c>
      <c r="U235" s="183">
        <f t="shared" si="31"/>
        <v>4248972349</v>
      </c>
      <c r="V235" s="183">
        <f t="shared" si="31"/>
        <v>5750995751</v>
      </c>
      <c r="W235" s="183">
        <f t="shared" si="31"/>
        <v>3513998286</v>
      </c>
      <c r="X235" s="183">
        <f t="shared" si="31"/>
        <v>7273403934</v>
      </c>
      <c r="Y235" s="183">
        <f t="shared" si="31"/>
        <v>3829549635</v>
      </c>
      <c r="Z235" s="183">
        <f t="shared" si="31"/>
        <v>5263385605</v>
      </c>
    </row>
    <row r="236" spans="1:26" ht="15" customHeight="1">
      <c r="A236" s="190" t="s">
        <v>322</v>
      </c>
      <c r="B236" s="191">
        <v>38</v>
      </c>
      <c r="C236" s="189">
        <f>TDP!C236+'Dai Loc'!C236+'Khanh Nga'!C236+'Dong Lam'!C236+DTR!C236+DTRVL!C236</f>
        <v>190613271</v>
      </c>
      <c r="D236" s="189">
        <f>TDP!D236+'Dai Loc'!D236+'Khanh Nga'!D236+'Dong Lam'!D236+DTR!D236+DTRVL!D236</f>
        <v>145450962</v>
      </c>
      <c r="E236" s="189">
        <f>TDP!E236+'Dai Loc'!E236+'Khanh Nga'!E236+'Dong Lam'!E236+DTR!E236+DTRVL!E236</f>
        <v>186392500</v>
      </c>
      <c r="F236" s="189">
        <f>TDP!F236+'Dai Loc'!F236+'Khanh Nga'!F236+'Dong Lam'!F236+DTR!F236+DTRVL!F236</f>
        <v>197075963</v>
      </c>
      <c r="G236" s="189">
        <f>TDP!G236+'Dai Loc'!G236+'Khanh Nga'!G236+'Dong Lam'!G236+DTR!G236+DTRVL!G236</f>
        <v>178318460</v>
      </c>
      <c r="H236" s="189">
        <f>TDP!H236+'Dai Loc'!H236+'Khanh Nga'!H236+'Dong Lam'!H236+DTR!H236+DTRVL!H236</f>
        <v>192783654</v>
      </c>
      <c r="I236" s="189">
        <f>TDP!I236+'Dai Loc'!I236+'Khanh Nga'!I236+'Dong Lam'!I236+DTR!I236+DTRVL!I236</f>
        <v>186220771</v>
      </c>
      <c r="J236" s="189">
        <f>TDP!J236+'Dai Loc'!J236+'Khanh Nga'!J236+'Dong Lam'!J236+DTR!J236+DTRVL!J236</f>
        <v>182376683</v>
      </c>
      <c r="K236" s="189">
        <f>TDP!K236+'Dai Loc'!K236+'Khanh Nga'!K236+'Dong Lam'!K236+DTR!K236+DTRVL!K236</f>
        <v>206206492</v>
      </c>
      <c r="L236" s="189">
        <f>TDP!L236+'Dai Loc'!L236+'Khanh Nga'!L236+'Dong Lam'!L236+DTR!L236+DTRVL!L236</f>
        <v>190212259</v>
      </c>
      <c r="M236" s="189">
        <f>TDP!M236+'Dai Loc'!M236+'Khanh Nga'!M236+'Dong Lam'!M236+DTR!M236+DTRVL!M236</f>
        <v>175387260</v>
      </c>
      <c r="N236" s="189">
        <f>TDP!N236+'Dai Loc'!N236+'Khanh Nga'!N236+'Dong Lam'!N236+DTR!N236+DTRVL!N236</f>
        <v>215626683</v>
      </c>
      <c r="O236" s="189">
        <f>TDP!O236+'Dai Loc'!O236+'Khanh Nga'!O236+'Dong Lam'!O236+DTR!O236+DTRVL!O236</f>
        <v>225301946</v>
      </c>
      <c r="P236" s="189">
        <f>TDP!P236+'Dai Loc'!P236+'Khanh Nga'!P236+'Dong Lam'!P236+DTR!P236+DTRVL!P236</f>
        <v>229320216</v>
      </c>
      <c r="Q236" s="189">
        <f>TDP!Q236+'Dai Loc'!Q236+'Khanh Nga'!Q236+'Dong Lam'!Q236+DTR!Q236+DTRVL!Q236</f>
        <v>216697411</v>
      </c>
      <c r="R236" s="189">
        <f>TDP!R236+'Dai Loc'!R236+'Khanh Nga'!R236+'Dong Lam'!R236+DTR!R236+DTRVL!R236</f>
        <v>253144064</v>
      </c>
      <c r="S236" s="189">
        <f>TDP!S236+'Dai Loc'!S236+'Khanh Nga'!S236+'Dong Lam'!S236+DTR!S236+DTRVL!S236</f>
        <v>192729928</v>
      </c>
      <c r="T236" s="189">
        <f>TDP!T236+'Dai Loc'!T236+'Khanh Nga'!T236+'Dong Lam'!T236+DTR!T236+DTRVL!T236</f>
        <v>225105679</v>
      </c>
      <c r="U236" s="189">
        <f>TDP!U236+'Dai Loc'!U236+'Khanh Nga'!U236+'Dong Lam'!U236+DTR!U236+DTRVL!U236</f>
        <v>225637641</v>
      </c>
      <c r="V236" s="189">
        <f>TDP!V236+'Dai Loc'!V236+'Khanh Nga'!V236+'Dong Lam'!V236+DTR!V236+DTRVL!V236</f>
        <v>446295562</v>
      </c>
      <c r="W236" s="189">
        <f>TDP!W236+'Dai Loc'!W236+'Khanh Nga'!W236+'Dong Lam'!W236+DTR!W236+DTRVL!W236</f>
        <v>365489486</v>
      </c>
      <c r="X236" s="189">
        <f>TDP!X236+'Dai Loc'!X236+'Khanh Nga'!X236+'Dong Lam'!X236+DTR!X236+DTRVL!X236</f>
        <v>234421927</v>
      </c>
      <c r="Y236" s="189">
        <f>TDP!Y236+'Dai Loc'!Y236+'Khanh Nga'!Y236+'Dong Lam'!Y236+DTR!Y236+DTRVL!Y236</f>
        <v>367966198</v>
      </c>
      <c r="Z236" s="189">
        <f>TDP!Z236+'Dai Loc'!Z236+'Khanh Nga'!Z236+'Dong Lam'!Z236+DTR!Z236+DTRVL!Z236</f>
        <v>465059697</v>
      </c>
    </row>
    <row r="237" spans="1:26" ht="15" customHeight="1">
      <c r="A237" s="190" t="s">
        <v>323</v>
      </c>
      <c r="B237" s="191">
        <v>39</v>
      </c>
      <c r="C237" s="189">
        <f>TDP!C237+'Dai Loc'!C237+'Khanh Nga'!C237+'Dong Lam'!C237+DTR!C237+DTRVL!C237</f>
        <v>181205349</v>
      </c>
      <c r="D237" s="189">
        <f>TDP!D237+'Dai Loc'!D237+'Khanh Nga'!D237+'Dong Lam'!D237+DTR!D237+DTRVL!D237</f>
        <v>109852534</v>
      </c>
      <c r="E237" s="189">
        <f>TDP!E237+'Dai Loc'!E237+'Khanh Nga'!E237+'Dong Lam'!E237+DTR!E237+DTRVL!E237</f>
        <v>129787307</v>
      </c>
      <c r="F237" s="189">
        <f>TDP!F237+'Dai Loc'!F237+'Khanh Nga'!F237+'Dong Lam'!F237+DTR!F237+DTRVL!F237</f>
        <v>125184672</v>
      </c>
      <c r="G237" s="189">
        <f>TDP!G237+'Dai Loc'!G237+'Khanh Nga'!G237+'Dong Lam'!G237+DTR!G237+DTRVL!G237</f>
        <v>214363328</v>
      </c>
      <c r="H237" s="189">
        <f>TDP!H237+'Dai Loc'!H237+'Khanh Nga'!H237+'Dong Lam'!H237+DTR!H237+DTRVL!H237</f>
        <v>170040317</v>
      </c>
      <c r="I237" s="189">
        <f>TDP!I237+'Dai Loc'!I237+'Khanh Nga'!I237+'Dong Lam'!I237+DTR!I237+DTRVL!I237</f>
        <v>265501733</v>
      </c>
      <c r="J237" s="189">
        <f>TDP!J237+'Dai Loc'!J237+'Khanh Nga'!J237+'Dong Lam'!J237+DTR!J237+DTRVL!J237</f>
        <v>100892896</v>
      </c>
      <c r="K237" s="189">
        <f>TDP!K237+'Dai Loc'!K237+'Khanh Nga'!K237+'Dong Lam'!K237+DTR!K237+DTRVL!K237</f>
        <v>260750159</v>
      </c>
      <c r="L237" s="189">
        <f>TDP!L237+'Dai Loc'!L237+'Khanh Nga'!L237+'Dong Lam'!L237+DTR!L237+DTRVL!L237</f>
        <v>249039959</v>
      </c>
      <c r="M237" s="189">
        <f>TDP!M237+'Dai Loc'!M237+'Khanh Nga'!M237+'Dong Lam'!M237+DTR!M237+DTRVL!M237</f>
        <v>145165697</v>
      </c>
      <c r="N237" s="189">
        <f>TDP!N237+'Dai Loc'!N237+'Khanh Nga'!N237+'Dong Lam'!N237+DTR!N237+DTRVL!N237</f>
        <v>174896548</v>
      </c>
      <c r="O237" s="189">
        <f>TDP!O237+'Dai Loc'!O237+'Khanh Nga'!O237+'Dong Lam'!O237+DTR!O237+DTRVL!O237</f>
        <v>158604465</v>
      </c>
      <c r="P237" s="189">
        <f>TDP!P237+'Dai Loc'!P237+'Khanh Nga'!P237+'Dong Lam'!P237+DTR!P237+DTRVL!P237</f>
        <v>142751237</v>
      </c>
      <c r="Q237" s="189">
        <f>TDP!Q237+'Dai Loc'!Q237+'Khanh Nga'!Q237+'Dong Lam'!Q237+DTR!Q237+DTRVL!Q237</f>
        <v>452739864</v>
      </c>
      <c r="R237" s="189">
        <f>TDP!R237+'Dai Loc'!R237+'Khanh Nga'!R237+'Dong Lam'!R237+DTR!R237+DTRVL!R237</f>
        <v>483942057</v>
      </c>
      <c r="S237" s="189">
        <f>TDP!S237+'Dai Loc'!S237+'Khanh Nga'!S237+'Dong Lam'!S237+DTR!S237+DTRVL!S237</f>
        <v>343392791</v>
      </c>
      <c r="T237" s="189">
        <f>TDP!T237+'Dai Loc'!T237+'Khanh Nga'!T237+'Dong Lam'!T237+DTR!T237+DTRVL!T237</f>
        <v>263861202</v>
      </c>
      <c r="U237" s="189">
        <f>TDP!U237+'Dai Loc'!U237+'Khanh Nga'!U237+'Dong Lam'!U237+DTR!U237+DTRVL!U237</f>
        <v>222433317</v>
      </c>
      <c r="V237" s="189">
        <f>TDP!V237+'Dai Loc'!V237+'Khanh Nga'!V237+'Dong Lam'!V237+DTR!V237+DTRVL!V237</f>
        <v>323801241</v>
      </c>
      <c r="W237" s="189">
        <f>TDP!W237+'Dai Loc'!W237+'Khanh Nga'!W237+'Dong Lam'!W237+DTR!W237+DTRVL!W237</f>
        <v>176982529</v>
      </c>
      <c r="X237" s="189">
        <f>TDP!X237+'Dai Loc'!X237+'Khanh Nga'!X237+'Dong Lam'!X237+DTR!X237+DTRVL!X237</f>
        <v>288679439</v>
      </c>
      <c r="Y237" s="189">
        <f>TDP!Y237+'Dai Loc'!Y237+'Khanh Nga'!Y237+'Dong Lam'!Y237+DTR!Y237+DTRVL!Y237</f>
        <v>276158794</v>
      </c>
      <c r="Z237" s="189">
        <f>TDP!Z237+'Dai Loc'!Z237+'Khanh Nga'!Z237+'Dong Lam'!Z237+DTR!Z237+DTRVL!Z237</f>
        <v>206288305</v>
      </c>
    </row>
    <row r="238" spans="1:26" ht="15" customHeight="1">
      <c r="A238" s="190" t="s">
        <v>324</v>
      </c>
      <c r="B238" s="191">
        <v>40</v>
      </c>
      <c r="C238" s="189">
        <f>TDP!C238+'Dai Loc'!C238+'Khanh Nga'!C238+'Dong Lam'!C238+DTR!C238+DTRVL!C238</f>
        <v>369423744</v>
      </c>
      <c r="D238" s="189">
        <f>TDP!D238+'Dai Loc'!D238+'Khanh Nga'!D238+'Dong Lam'!D238+DTR!D238+DTRVL!D238</f>
        <v>271418400</v>
      </c>
      <c r="E238" s="189">
        <f>TDP!E238+'Dai Loc'!E238+'Khanh Nga'!E238+'Dong Lam'!E238+DTR!E238+DTRVL!E238</f>
        <v>484682880</v>
      </c>
      <c r="F238" s="189">
        <f>TDP!F238+'Dai Loc'!F238+'Khanh Nga'!F238+'Dong Lam'!F238+DTR!F238+DTRVL!F238</f>
        <v>947585288</v>
      </c>
      <c r="G238" s="189">
        <f>TDP!G238+'Dai Loc'!G238+'Khanh Nga'!G238+'Dong Lam'!G238+DTR!G238+DTRVL!G238</f>
        <v>732250680</v>
      </c>
      <c r="H238" s="189">
        <f>TDP!H238+'Dai Loc'!H238+'Khanh Nga'!H238+'Dong Lam'!H238+DTR!H238+DTRVL!H238</f>
        <v>1259908312</v>
      </c>
      <c r="I238" s="189">
        <f>TDP!I238+'Dai Loc'!I238+'Khanh Nga'!I238+'Dong Lam'!I238+DTR!I238+DTRVL!I238</f>
        <v>706508840</v>
      </c>
      <c r="J238" s="189">
        <f>TDP!J238+'Dai Loc'!J238+'Khanh Nga'!J238+'Dong Lam'!J238+DTR!J238+DTRVL!J238</f>
        <v>1228570570</v>
      </c>
      <c r="K238" s="189">
        <f>TDP!K238+'Dai Loc'!K238+'Khanh Nga'!K238+'Dong Lam'!K238+DTR!K238+DTRVL!K238</f>
        <v>805497700</v>
      </c>
      <c r="L238" s="189">
        <f>TDP!L238+'Dai Loc'!L238+'Khanh Nga'!L238+'Dong Lam'!L238+DTR!L238+DTRVL!L238</f>
        <v>568126136</v>
      </c>
      <c r="M238" s="189">
        <f>TDP!M238+'Dai Loc'!M238+'Khanh Nga'!M238+'Dong Lam'!M238+DTR!M238+DTRVL!M238</f>
        <v>338540380</v>
      </c>
      <c r="N238" s="189">
        <f>TDP!N238+'Dai Loc'!N238+'Khanh Nga'!N238+'Dong Lam'!N238+DTR!N238+DTRVL!N238</f>
        <v>1203477272</v>
      </c>
      <c r="O238" s="189">
        <f>TDP!O238+'Dai Loc'!O238+'Khanh Nga'!O238+'Dong Lam'!O238+DTR!O238+DTRVL!O238</f>
        <v>1156648724</v>
      </c>
      <c r="P238" s="189">
        <f>TDP!P238+'Dai Loc'!P238+'Khanh Nga'!P238+'Dong Lam'!P238+DTR!P238+DTRVL!P238</f>
        <v>1395989840</v>
      </c>
      <c r="Q238" s="189">
        <f>TDP!Q238+'Dai Loc'!Q238+'Khanh Nga'!Q238+'Dong Lam'!Q238+DTR!Q238+DTRVL!Q238</f>
        <v>718938840</v>
      </c>
      <c r="R238" s="189">
        <f>TDP!R238+'Dai Loc'!R238+'Khanh Nga'!R238+'Dong Lam'!R238+DTR!R238+DTRVL!R238</f>
        <v>873725670</v>
      </c>
      <c r="S238" s="189">
        <f>TDP!S238+'Dai Loc'!S238+'Khanh Nga'!S238+'Dong Lam'!S238+DTR!S238+DTRVL!S238</f>
        <v>801811330</v>
      </c>
      <c r="T238" s="189">
        <f>TDP!T238+'Dai Loc'!T238+'Khanh Nga'!T238+'Dong Lam'!T238+DTR!T238+DTRVL!T238</f>
        <v>2343197427</v>
      </c>
      <c r="U238" s="189">
        <f>TDP!U238+'Dai Loc'!U238+'Khanh Nga'!U238+'Dong Lam'!U238+DTR!U238+DTRVL!U238</f>
        <v>962161347</v>
      </c>
      <c r="V238" s="189">
        <f>TDP!V238+'Dai Loc'!V238+'Khanh Nga'!V238+'Dong Lam'!V238+DTR!V238+DTRVL!V238</f>
        <v>1102469718</v>
      </c>
      <c r="W238" s="189">
        <f>TDP!W238+'Dai Loc'!W238+'Khanh Nga'!W238+'Dong Lam'!W238+DTR!W238+DTRVL!W238</f>
        <v>793146505</v>
      </c>
      <c r="X238" s="189">
        <f>TDP!X238+'Dai Loc'!X238+'Khanh Nga'!X238+'Dong Lam'!X238+DTR!X238+DTRVL!X238</f>
        <v>728694366</v>
      </c>
      <c r="Y238" s="189">
        <f>TDP!Y238+'Dai Loc'!Y238+'Khanh Nga'!Y238+'Dong Lam'!Y238+DTR!Y238+DTRVL!Y238</f>
        <v>819335524</v>
      </c>
      <c r="Z238" s="189">
        <f>TDP!Z238+'Dai Loc'!Z238+'Khanh Nga'!Z238+'Dong Lam'!Z238+DTR!Z238+DTRVL!Z238</f>
        <v>914940436</v>
      </c>
    </row>
    <row r="239" spans="1:26" ht="15" customHeight="1">
      <c r="A239" s="190" t="s">
        <v>325</v>
      </c>
      <c r="B239" s="191">
        <v>41</v>
      </c>
      <c r="C239" s="189">
        <f>TDP!C239+'Dai Loc'!C239+'Khanh Nga'!C239+'Dong Lam'!C239+DTR!C239+DTRVL!C239</f>
        <v>470144123</v>
      </c>
      <c r="D239" s="189">
        <f>TDP!D239+'Dai Loc'!D239+'Khanh Nga'!D239+'Dong Lam'!D239+DTR!D239+DTRVL!D239</f>
        <v>347024005</v>
      </c>
      <c r="E239" s="189">
        <f>TDP!E239+'Dai Loc'!E239+'Khanh Nga'!E239+'Dong Lam'!E239+DTR!E239+DTRVL!E239</f>
        <v>491287500</v>
      </c>
      <c r="F239" s="189">
        <f>TDP!F239+'Dai Loc'!F239+'Khanh Nga'!F239+'Dong Lam'!F239+DTR!F239+DTRVL!F239</f>
        <v>369174074</v>
      </c>
      <c r="G239" s="189">
        <f>TDP!G239+'Dai Loc'!G239+'Khanh Nga'!G239+'Dong Lam'!G239+DTR!G239+DTRVL!G239</f>
        <v>353380000</v>
      </c>
      <c r="H239" s="189">
        <f>TDP!H239+'Dai Loc'!H239+'Khanh Nga'!H239+'Dong Lam'!H239+DTR!H239+DTRVL!H239</f>
        <v>498593648</v>
      </c>
      <c r="I239" s="189">
        <f>TDP!I239+'Dai Loc'!I239+'Khanh Nga'!I239+'Dong Lam'!I239+DTR!I239+DTRVL!I239</f>
        <v>325037900</v>
      </c>
      <c r="J239" s="189">
        <f>TDP!J239+'Dai Loc'!J239+'Khanh Nga'!J239+'Dong Lam'!J239+DTR!J239+DTRVL!J239</f>
        <v>852697036</v>
      </c>
      <c r="K239" s="189">
        <f>TDP!K239+'Dai Loc'!K239+'Khanh Nga'!K239+'Dong Lam'!K239+DTR!K239+DTRVL!K239</f>
        <v>753821481</v>
      </c>
      <c r="L239" s="189">
        <f>TDP!L239+'Dai Loc'!L239+'Khanh Nga'!L239+'Dong Lam'!L239+DTR!L239+DTRVL!L239</f>
        <v>650899672</v>
      </c>
      <c r="M239" s="189">
        <f>TDP!M239+'Dai Loc'!M239+'Khanh Nga'!M239+'Dong Lam'!M239+DTR!M239+DTRVL!M239</f>
        <v>612915926</v>
      </c>
      <c r="N239" s="189">
        <f>TDP!N239+'Dai Loc'!N239+'Khanh Nga'!N239+'Dong Lam'!N239+DTR!N239+DTRVL!N239</f>
        <v>676577333</v>
      </c>
      <c r="O239" s="189">
        <f>TDP!O239+'Dai Loc'!O239+'Khanh Nga'!O239+'Dong Lam'!O239+DTR!O239+DTRVL!O239</f>
        <v>424528148</v>
      </c>
      <c r="P239" s="189">
        <f>TDP!P239+'Dai Loc'!P239+'Khanh Nga'!P239+'Dong Lam'!P239+DTR!P239+DTRVL!P239</f>
        <v>821805186</v>
      </c>
      <c r="Q239" s="189">
        <f>TDP!Q239+'Dai Loc'!Q239+'Khanh Nga'!Q239+'Dong Lam'!Q239+DTR!Q239+DTRVL!Q239</f>
        <v>830298814</v>
      </c>
      <c r="R239" s="189">
        <f>TDP!R239+'Dai Loc'!R239+'Khanh Nga'!R239+'Dong Lam'!R239+DTR!R239+DTRVL!R239</f>
        <v>864075557</v>
      </c>
      <c r="S239" s="189">
        <f>TDP!S239+'Dai Loc'!S239+'Khanh Nga'!S239+'Dong Lam'!S239+DTR!S239+DTRVL!S239</f>
        <v>825497036</v>
      </c>
      <c r="T239" s="189">
        <f>TDP!T239+'Dai Loc'!T239+'Khanh Nga'!T239+'Dong Lam'!T239+DTR!T239+DTRVL!T239</f>
        <v>1143377036</v>
      </c>
      <c r="U239" s="189">
        <f>TDP!U239+'Dai Loc'!U239+'Khanh Nga'!U239+'Dong Lam'!U239+DTR!U239+DTRVL!U239</f>
        <v>1150793707</v>
      </c>
      <c r="V239" s="189">
        <f>TDP!V239+'Dai Loc'!V239+'Khanh Nga'!V239+'Dong Lam'!V239+DTR!V239+DTRVL!V239</f>
        <v>1817641347</v>
      </c>
      <c r="W239" s="189">
        <f>TDP!W239+'Dai Loc'!W239+'Khanh Nga'!W239+'Dong Lam'!W239+DTR!W239+DTRVL!W239</f>
        <v>1291571184</v>
      </c>
      <c r="X239" s="189">
        <f>TDP!X239+'Dai Loc'!X239+'Khanh Nga'!X239+'Dong Lam'!X239+DTR!X239+DTRVL!X239</f>
        <v>1239022223</v>
      </c>
      <c r="Y239" s="189">
        <f>TDP!Y239+'Dai Loc'!Y239+'Khanh Nga'!Y239+'Dong Lam'!Y239+DTR!Y239+DTRVL!Y239</f>
        <v>942546706</v>
      </c>
      <c r="Z239" s="189">
        <f>TDP!Z239+'Dai Loc'!Z239+'Khanh Nga'!Z239+'Dong Lam'!Z239+DTR!Z239+DTRVL!Z239</f>
        <v>1088877912</v>
      </c>
    </row>
    <row r="240" spans="1:26" ht="15" customHeight="1">
      <c r="A240" s="190" t="s">
        <v>326</v>
      </c>
      <c r="B240" s="191">
        <v>42</v>
      </c>
      <c r="C240" s="189">
        <f>TDP!C240+'Dai Loc'!C240+'Khanh Nga'!C240+'Dong Lam'!C240+DTR!C240+DTRVL!C240</f>
        <v>1862640439</v>
      </c>
      <c r="D240" s="189">
        <f>TDP!D240+'Dai Loc'!D240+'Khanh Nga'!D240+'Dong Lam'!D240+DTR!D240+DTRVL!D240</f>
        <v>439812589</v>
      </c>
      <c r="E240" s="189">
        <f>TDP!E240+'Dai Loc'!E240+'Khanh Nga'!E240+'Dong Lam'!E240+DTR!E240+DTRVL!E240</f>
        <v>2669034839</v>
      </c>
      <c r="F240" s="189">
        <f>TDP!F240+'Dai Loc'!F240+'Khanh Nga'!F240+'Dong Lam'!F240+DTR!F240+DTRVL!F240</f>
        <v>3032304136</v>
      </c>
      <c r="G240" s="189">
        <f>TDP!G240+'Dai Loc'!G240+'Khanh Nga'!G240+'Dong Lam'!G240+DTR!G240+DTRVL!G240</f>
        <v>277880434</v>
      </c>
      <c r="H240" s="189">
        <f>TDP!H240+'Dai Loc'!H240+'Khanh Nga'!H240+'Dong Lam'!H240+DTR!H240+DTRVL!H240</f>
        <v>318063920</v>
      </c>
      <c r="I240" s="189">
        <f>TDP!I240+'Dai Loc'!I240+'Khanh Nga'!I240+'Dong Lam'!I240+DTR!I240+DTRVL!I240</f>
        <v>626032613</v>
      </c>
      <c r="J240" s="189">
        <f>TDP!J240+'Dai Loc'!J240+'Khanh Nga'!J240+'Dong Lam'!J240+DTR!J240+DTRVL!J240</f>
        <v>5216793028</v>
      </c>
      <c r="K240" s="189">
        <f>TDP!K240+'Dai Loc'!K240+'Khanh Nga'!K240+'Dong Lam'!K240+DTR!K240+DTRVL!K240</f>
        <v>5019652822</v>
      </c>
      <c r="L240" s="189">
        <f>TDP!L240+'Dai Loc'!L240+'Khanh Nga'!L240+'Dong Lam'!L240+DTR!L240+DTRVL!L240</f>
        <v>2316276718</v>
      </c>
      <c r="M240" s="189">
        <f>TDP!M240+'Dai Loc'!M240+'Khanh Nga'!M240+'Dong Lam'!M240+DTR!M240+DTRVL!M240</f>
        <v>404235983</v>
      </c>
      <c r="N240" s="189">
        <f>TDP!N240+'Dai Loc'!N240+'Khanh Nga'!N240+'Dong Lam'!N240+DTR!N240+DTRVL!N240</f>
        <v>1317844326</v>
      </c>
      <c r="O240" s="189">
        <f>TDP!O240+'Dai Loc'!O240+'Khanh Nga'!O240+'Dong Lam'!O240+DTR!O240+DTRVL!O240</f>
        <v>1442696903</v>
      </c>
      <c r="P240" s="189">
        <f>TDP!P240+'Dai Loc'!P240+'Khanh Nga'!P240+'Dong Lam'!P240+DTR!P240+DTRVL!P240</f>
        <v>3574837862</v>
      </c>
      <c r="Q240" s="189">
        <f>TDP!Q240+'Dai Loc'!Q240+'Khanh Nga'!Q240+'Dong Lam'!Q240+DTR!Q240+DTRVL!Q240</f>
        <v>1969857757</v>
      </c>
      <c r="R240" s="189">
        <f>TDP!R240+'Dai Loc'!R240+'Khanh Nga'!R240+'Dong Lam'!R240+DTR!R240+DTRVL!R240</f>
        <v>1503984454</v>
      </c>
      <c r="S240" s="189">
        <f>TDP!S240+'Dai Loc'!S240+'Khanh Nga'!S240+'Dong Lam'!S240+DTR!S240+DTRVL!S240</f>
        <v>2462711733</v>
      </c>
      <c r="T240" s="189">
        <f>TDP!T240+'Dai Loc'!T240+'Khanh Nga'!T240+'Dong Lam'!T240+DTR!T240+DTRVL!T240</f>
        <v>1186353811</v>
      </c>
      <c r="U240" s="189">
        <f>TDP!U240+'Dai Loc'!U240+'Khanh Nga'!U240+'Dong Lam'!U240+DTR!U240+DTRVL!U240</f>
        <v>1311037332</v>
      </c>
      <c r="V240" s="189">
        <f>TDP!V240+'Dai Loc'!V240+'Khanh Nga'!V240+'Dong Lam'!V240+DTR!V240+DTRVL!V240</f>
        <v>1643007682</v>
      </c>
      <c r="W240" s="189">
        <f>TDP!W240+'Dai Loc'!W240+'Khanh Nga'!W240+'Dong Lam'!W240+DTR!W240+DTRVL!W240</f>
        <v>437205501</v>
      </c>
      <c r="X240" s="189">
        <f>TDP!X240+'Dai Loc'!X240+'Khanh Nga'!X240+'Dong Lam'!X240+DTR!X240+DTRVL!X240</f>
        <v>492312502</v>
      </c>
      <c r="Y240" s="189">
        <f>TDP!Y240+'Dai Loc'!Y240+'Khanh Nga'!Y240+'Dong Lam'!Y240+DTR!Y240+DTRVL!Y240</f>
        <v>653246467</v>
      </c>
      <c r="Z240" s="189">
        <f>TDP!Z240+'Dai Loc'!Z240+'Khanh Nga'!Z240+'Dong Lam'!Z240+DTR!Z240+DTRVL!Z240</f>
        <v>692122387</v>
      </c>
    </row>
    <row r="241" spans="1:26" ht="15" customHeight="1">
      <c r="A241" s="190" t="s">
        <v>327</v>
      </c>
      <c r="B241" s="191">
        <v>43</v>
      </c>
      <c r="C241" s="189">
        <f>TDP!C241+'Dai Loc'!C241+'Khanh Nga'!C241+'Dong Lam'!C241+DTR!C241+DTRVL!C241</f>
        <v>30691333</v>
      </c>
      <c r="D241" s="189">
        <f>TDP!D241+'Dai Loc'!D241+'Khanh Nga'!D241+'Dong Lam'!D241+DTR!D241+DTRVL!D241</f>
        <v>30691333</v>
      </c>
      <c r="E241" s="189">
        <f>TDP!E241+'Dai Loc'!E241+'Khanh Nga'!E241+'Dong Lam'!E241+DTR!E241+DTRVL!E241</f>
        <v>30691333</v>
      </c>
      <c r="F241" s="189">
        <f>TDP!F241+'Dai Loc'!F241+'Khanh Nga'!F241+'Dong Lam'!F241+DTR!F241+DTRVL!F241</f>
        <v>30691333</v>
      </c>
      <c r="G241" s="189">
        <f>TDP!G241+'Dai Loc'!G241+'Khanh Nga'!G241+'Dong Lam'!G241+DTR!G241+DTRVL!G241</f>
        <v>30691333</v>
      </c>
      <c r="H241" s="189">
        <f>TDP!H241+'Dai Loc'!H241+'Khanh Nga'!H241+'Dong Lam'!H241+DTR!H241+DTRVL!H241</f>
        <v>30691333</v>
      </c>
      <c r="I241" s="189">
        <f>TDP!I241+'Dai Loc'!I241+'Khanh Nga'!I241+'Dong Lam'!I241+DTR!I241+DTRVL!I241</f>
        <v>30691333</v>
      </c>
      <c r="J241" s="189">
        <f>TDP!J241+'Dai Loc'!J241+'Khanh Nga'!J241+'Dong Lam'!J241+DTR!J241+DTRVL!J241</f>
        <v>30691333</v>
      </c>
      <c r="K241" s="189">
        <f>TDP!K241+'Dai Loc'!K241+'Khanh Nga'!K241+'Dong Lam'!K241+DTR!K241+DTRVL!K241</f>
        <v>30691333</v>
      </c>
      <c r="L241" s="189">
        <f>TDP!L241+'Dai Loc'!L241+'Khanh Nga'!L241+'Dong Lam'!L241+DTR!L241+DTRVL!L241</f>
        <v>30691333</v>
      </c>
      <c r="M241" s="189">
        <f>TDP!M241+'Dai Loc'!M241+'Khanh Nga'!M241+'Dong Lam'!M241+DTR!M241+DTRVL!M241</f>
        <v>30691333</v>
      </c>
      <c r="N241" s="189">
        <f>TDP!N241+'Dai Loc'!N241+'Khanh Nga'!N241+'Dong Lam'!N241+DTR!N241+DTRVL!N241</f>
        <v>6948276</v>
      </c>
      <c r="O241" s="189">
        <f>TDP!O241+'Dai Loc'!O241+'Khanh Nga'!O241+'Dong Lam'!O241+DTR!O241+DTRVL!O241</f>
        <v>31139609</v>
      </c>
      <c r="P241" s="189">
        <f>TDP!P241+'Dai Loc'!P241+'Khanh Nga'!P241+'Dong Lam'!P241+DTR!P241+DTRVL!P241</f>
        <v>31139609</v>
      </c>
      <c r="Q241" s="189">
        <f>TDP!Q241+'Dai Loc'!Q241+'Khanh Nga'!Q241+'Dong Lam'!Q241+DTR!Q241+DTRVL!Q241</f>
        <v>6948276</v>
      </c>
      <c r="R241" s="189">
        <f>TDP!R241+'Dai Loc'!R241+'Khanh Nga'!R241+'Dong Lam'!R241+DTR!R241+DTRVL!R241</f>
        <v>6948275</v>
      </c>
      <c r="S241" s="189">
        <f>TDP!S241+'Dai Loc'!S241+'Khanh Nga'!S241+'Dong Lam'!S241+DTR!S241+DTRVL!S241</f>
        <v>6948276</v>
      </c>
      <c r="T241" s="189">
        <f>TDP!T241+'Dai Loc'!T241+'Khanh Nga'!T241+'Dong Lam'!T241+DTR!T241+DTRVL!T241</f>
        <v>6948276</v>
      </c>
      <c r="U241" s="189">
        <f>TDP!U241+'Dai Loc'!U241+'Khanh Nga'!U241+'Dong Lam'!U241+DTR!U241+DTRVL!U241</f>
        <v>6948276</v>
      </c>
      <c r="V241" s="189">
        <f>TDP!V241+'Dai Loc'!V241+'Khanh Nga'!V241+'Dong Lam'!V241+DTR!V241+DTRVL!V241</f>
        <v>6948276</v>
      </c>
      <c r="W241" s="189">
        <f>TDP!W241+'Dai Loc'!W241+'Khanh Nga'!W241+'Dong Lam'!W241+DTR!W241+DTRVL!W241</f>
        <v>6948276</v>
      </c>
      <c r="X241" s="189">
        <f>TDP!X241+'Dai Loc'!X241+'Khanh Nga'!X241+'Dong Lam'!X241+DTR!X241+DTRVL!X241</f>
        <v>47333567</v>
      </c>
      <c r="Y241" s="189">
        <f>TDP!Y241+'Dai Loc'!Y241+'Khanh Nga'!Y241+'Dong Lam'!Y241+DTR!Y241+DTRVL!Y241</f>
        <v>47333566</v>
      </c>
      <c r="Z241" s="189">
        <f>TDP!Z241+'Dai Loc'!Z241+'Khanh Nga'!Z241+'Dong Lam'!Z241+DTR!Z241+DTRVL!Z241</f>
        <v>47333566</v>
      </c>
    </row>
    <row r="242" spans="1:26" ht="15" customHeight="1">
      <c r="A242" s="190" t="s">
        <v>328</v>
      </c>
      <c r="B242" s="191">
        <v>44</v>
      </c>
      <c r="C242" s="189">
        <f>TDP!C242+'Dai Loc'!C242+'Khanh Nga'!C242+'Dong Lam'!C242+DTR!C242+DTRVL!C242</f>
        <v>1664776351</v>
      </c>
      <c r="D242" s="189">
        <f>TDP!D242+'Dai Loc'!D242+'Khanh Nga'!D242+'Dong Lam'!D242+DTR!D242+DTRVL!D242</f>
        <v>123825936</v>
      </c>
      <c r="E242" s="189">
        <f>TDP!E242+'Dai Loc'!E242+'Khanh Nga'!E242+'Dong Lam'!E242+DTR!E242+DTRVL!E242</f>
        <v>106109184</v>
      </c>
      <c r="F242" s="189">
        <f>TDP!F242+'Dai Loc'!F242+'Khanh Nga'!F242+'Dong Lam'!F242+DTR!F242+DTRVL!F242</f>
        <v>146444083</v>
      </c>
      <c r="G242" s="189">
        <f>TDP!G242+'Dai Loc'!G242+'Khanh Nga'!G242+'Dong Lam'!G242+DTR!G242+DTRVL!G242</f>
        <v>192226719</v>
      </c>
      <c r="H242" s="189">
        <f>TDP!H242+'Dai Loc'!H242+'Khanh Nga'!H242+'Dong Lam'!H242+DTR!H242+DTRVL!H242</f>
        <v>239385690</v>
      </c>
      <c r="I242" s="189">
        <f>TDP!I242+'Dai Loc'!I242+'Khanh Nga'!I242+'Dong Lam'!I242+DTR!I242+DTRVL!I242</f>
        <v>392971147</v>
      </c>
      <c r="J242" s="189">
        <f>TDP!J242+'Dai Loc'!J242+'Khanh Nga'!J242+'Dong Lam'!J242+DTR!J242+DTRVL!J242</f>
        <v>814085659</v>
      </c>
      <c r="K242" s="189">
        <f>TDP!K242+'Dai Loc'!K242+'Khanh Nga'!K242+'Dong Lam'!K242+DTR!K242+DTRVL!K242</f>
        <v>234209536</v>
      </c>
      <c r="L242" s="189">
        <f>TDP!L242+'Dai Loc'!L242+'Khanh Nga'!L242+'Dong Lam'!L242+DTR!L242+DTRVL!L242</f>
        <v>855405117</v>
      </c>
      <c r="M242" s="189">
        <f>TDP!M242+'Dai Loc'!M242+'Khanh Nga'!M242+'Dong Lam'!M242+DTR!M242+DTRVL!M242</f>
        <v>463490967</v>
      </c>
      <c r="N242" s="189">
        <f>TDP!N242+'Dai Loc'!N242+'Khanh Nga'!N242+'Dong Lam'!N242+DTR!N242+DTRVL!N242</f>
        <v>6869477642</v>
      </c>
      <c r="O242" s="189">
        <f>TDP!O242+'Dai Loc'!O242+'Khanh Nga'!O242+'Dong Lam'!O242+DTR!O242+DTRVL!O242</f>
        <v>742305054</v>
      </c>
      <c r="P242" s="189">
        <f>TDP!P242+'Dai Loc'!P242+'Khanh Nga'!P242+'Dong Lam'!P242+DTR!P242+DTRVL!P242</f>
        <v>439138308</v>
      </c>
      <c r="Q242" s="189">
        <f>TDP!Q242+'Dai Loc'!Q242+'Khanh Nga'!Q242+'Dong Lam'!Q242+DTR!Q242+DTRVL!Q242</f>
        <v>1433963814</v>
      </c>
      <c r="R242" s="189">
        <f>TDP!R242+'Dai Loc'!R242+'Khanh Nga'!R242+'Dong Lam'!R242+DTR!R242+DTRVL!R242</f>
        <v>637006657</v>
      </c>
      <c r="S242" s="189">
        <f>TDP!S242+'Dai Loc'!S242+'Khanh Nga'!S242+'Dong Lam'!S242+DTR!S242+DTRVL!S242</f>
        <v>609245481</v>
      </c>
      <c r="T242" s="189">
        <f>TDP!T242+'Dai Loc'!T242+'Khanh Nga'!T242+'Dong Lam'!T242+DTR!T242+DTRVL!T242</f>
        <v>282286097</v>
      </c>
      <c r="U242" s="189">
        <f>TDP!U242+'Dai Loc'!U242+'Khanh Nga'!U242+'Dong Lam'!U242+DTR!U242+DTRVL!U242</f>
        <v>369960729</v>
      </c>
      <c r="V242" s="189">
        <f>TDP!V242+'Dai Loc'!V242+'Khanh Nga'!V242+'Dong Lam'!V242+DTR!V242+DTRVL!V242</f>
        <v>410831925</v>
      </c>
      <c r="W242" s="189">
        <f>TDP!W242+'Dai Loc'!W242+'Khanh Nga'!W242+'Dong Lam'!W242+DTR!W242+DTRVL!W242</f>
        <v>442654805</v>
      </c>
      <c r="X242" s="189">
        <f>TDP!X242+'Dai Loc'!X242+'Khanh Nga'!X242+'Dong Lam'!X242+DTR!X242+DTRVL!X242</f>
        <v>4242939910</v>
      </c>
      <c r="Y242" s="189">
        <f>TDP!Y242+'Dai Loc'!Y242+'Khanh Nga'!Y242+'Dong Lam'!Y242+DTR!Y242+DTRVL!Y242</f>
        <v>722962380</v>
      </c>
      <c r="Z242" s="189">
        <f>TDP!Z242+'Dai Loc'!Z242+'Khanh Nga'!Z242+'Dong Lam'!Z242+DTR!Z242+DTRVL!Z242</f>
        <v>1848763302</v>
      </c>
    </row>
    <row r="243" spans="1:26" ht="15" customHeight="1">
      <c r="A243" s="194" t="s">
        <v>329</v>
      </c>
      <c r="B243" s="171">
        <v>45</v>
      </c>
      <c r="C243" s="187">
        <f>IFERROR(C235/C207,"")</f>
        <v>3.7296765647101708E-2</v>
      </c>
      <c r="D243" s="187">
        <f t="shared" ref="D243:Z243" si="32">IFERROR(D235/D207,"")</f>
        <v>1.8692846162257422E-2</v>
      </c>
      <c r="E243" s="187">
        <f t="shared" si="32"/>
        <v>3.6491761700550913E-2</v>
      </c>
      <c r="F243" s="187">
        <f t="shared" si="32"/>
        <v>4.1874832391462169E-2</v>
      </c>
      <c r="G243" s="187">
        <f t="shared" si="32"/>
        <v>1.6609040181049049E-2</v>
      </c>
      <c r="H243" s="187">
        <f t="shared" si="32"/>
        <v>2.9530843041425808E-2</v>
      </c>
      <c r="I243" s="187">
        <f t="shared" si="32"/>
        <v>3.4774719803541403E-2</v>
      </c>
      <c r="J243" s="187">
        <f t="shared" si="32"/>
        <v>4.9133880064530608E-2</v>
      </c>
      <c r="K243" s="187">
        <f t="shared" si="32"/>
        <v>4.1994409022214907E-2</v>
      </c>
      <c r="L243" s="187">
        <f t="shared" si="32"/>
        <v>3.5188388853678643E-2</v>
      </c>
      <c r="M243" s="187">
        <f t="shared" si="32"/>
        <v>2.3156677744544218E-2</v>
      </c>
      <c r="N243" s="187">
        <f t="shared" si="32"/>
        <v>8.5001450841065598E-2</v>
      </c>
      <c r="O243" s="187">
        <f t="shared" si="32"/>
        <v>3.3219814918824773E-2</v>
      </c>
      <c r="P243" s="187">
        <f t="shared" si="32"/>
        <v>3.2095025942186141E-2</v>
      </c>
      <c r="Q243" s="187">
        <f t="shared" si="32"/>
        <v>3.1109899436126295E-2</v>
      </c>
      <c r="R243" s="187">
        <f t="shared" si="32"/>
        <v>2.931335496264623E-2</v>
      </c>
      <c r="S243" s="187">
        <f t="shared" si="32"/>
        <v>2.8273117442199003E-2</v>
      </c>
      <c r="T243" s="187">
        <f t="shared" si="32"/>
        <v>3.4348019676702493E-2</v>
      </c>
      <c r="U243" s="187">
        <f t="shared" si="32"/>
        <v>2.2812871479164467E-2</v>
      </c>
      <c r="V243" s="187">
        <f t="shared" si="32"/>
        <v>2.667751980033652E-2</v>
      </c>
      <c r="W243" s="187">
        <f t="shared" si="32"/>
        <v>2.9267484669349003E-2</v>
      </c>
      <c r="X243" s="187">
        <f t="shared" si="32"/>
        <v>5.2636345210401468E-2</v>
      </c>
      <c r="Y243" s="187">
        <f t="shared" si="32"/>
        <v>3.5380244160130074E-2</v>
      </c>
      <c r="Z243" s="187">
        <f t="shared" si="32"/>
        <v>4.1149741396296714E-2</v>
      </c>
    </row>
    <row r="244" spans="1:26" ht="15" customHeight="1">
      <c r="A244" s="193" t="s">
        <v>330</v>
      </c>
      <c r="B244" s="146">
        <v>46</v>
      </c>
      <c r="C244" s="183">
        <f t="shared" ref="C244:Z244" si="33">C145</f>
        <v>5698695249</v>
      </c>
      <c r="D244" s="183">
        <f t="shared" si="33"/>
        <v>5090845577</v>
      </c>
      <c r="E244" s="183">
        <f t="shared" si="33"/>
        <v>5285019459</v>
      </c>
      <c r="F244" s="183">
        <f t="shared" si="33"/>
        <v>5584474639</v>
      </c>
      <c r="G244" s="183">
        <f t="shared" si="33"/>
        <v>6069340865</v>
      </c>
      <c r="H244" s="183">
        <f t="shared" si="33"/>
        <v>5881960019</v>
      </c>
      <c r="I244" s="183">
        <f t="shared" si="33"/>
        <v>5698093117</v>
      </c>
      <c r="J244" s="183">
        <f t="shared" si="33"/>
        <v>6840474838</v>
      </c>
      <c r="K244" s="183">
        <f t="shared" si="33"/>
        <v>8084946891</v>
      </c>
      <c r="L244" s="183">
        <f t="shared" si="33"/>
        <v>8025871294</v>
      </c>
      <c r="M244" s="183">
        <f t="shared" si="33"/>
        <v>9126335400</v>
      </c>
      <c r="N244" s="183">
        <f t="shared" si="33"/>
        <v>7087963087</v>
      </c>
      <c r="O244" s="183">
        <f t="shared" si="33"/>
        <v>8548199037</v>
      </c>
      <c r="P244" s="183">
        <f t="shared" si="33"/>
        <v>8928537962</v>
      </c>
      <c r="Q244" s="183">
        <f t="shared" si="33"/>
        <v>8618282018</v>
      </c>
      <c r="R244" s="183">
        <f t="shared" si="33"/>
        <v>8518246563</v>
      </c>
      <c r="S244" s="183">
        <f t="shared" si="33"/>
        <v>9277438311</v>
      </c>
      <c r="T244" s="183">
        <f t="shared" si="33"/>
        <v>9026767632</v>
      </c>
      <c r="U244" s="183">
        <f t="shared" si="33"/>
        <v>8998978187</v>
      </c>
      <c r="V244" s="183">
        <f t="shared" si="33"/>
        <v>9320823983</v>
      </c>
      <c r="W244" s="183">
        <f t="shared" si="33"/>
        <v>10936858648</v>
      </c>
      <c r="X244" s="183">
        <f t="shared" si="33"/>
        <v>5273319876</v>
      </c>
      <c r="Y244" s="183">
        <f t="shared" si="33"/>
        <v>11469860627</v>
      </c>
      <c r="Z244" s="183">
        <f t="shared" si="33"/>
        <v>12679478668</v>
      </c>
    </row>
    <row r="245" spans="1:26" ht="15" customHeight="1">
      <c r="A245" s="190" t="s">
        <v>331</v>
      </c>
      <c r="B245" s="191">
        <v>47</v>
      </c>
      <c r="C245" s="189">
        <f>TDP!C245+'Dai Loc'!C245+'Khanh Nga'!C245+'Dong Lam'!C245+DTR!C245+DTRVL!C245</f>
        <v>2362490360</v>
      </c>
      <c r="D245" s="189">
        <f>TDP!D245+'Dai Loc'!D245+'Khanh Nga'!D245+'Dong Lam'!D245+DTR!D245+DTRVL!D245</f>
        <v>2021074110</v>
      </c>
      <c r="E245" s="189">
        <f>TDP!E245+'Dai Loc'!E245+'Khanh Nga'!E245+'Dong Lam'!E245+DTR!E245+DTRVL!E245</f>
        <v>2607145684</v>
      </c>
      <c r="F245" s="189">
        <f>TDP!F245+'Dai Loc'!F245+'Khanh Nga'!F245+'Dong Lam'!F245+DTR!F245+DTRVL!F245</f>
        <v>2666715116</v>
      </c>
      <c r="G245" s="189">
        <f>TDP!G245+'Dai Loc'!G245+'Khanh Nga'!G245+'Dong Lam'!G245+DTR!G245+DTRVL!G245</f>
        <v>2516722072</v>
      </c>
      <c r="H245" s="189">
        <f>TDP!H245+'Dai Loc'!H245+'Khanh Nga'!H245+'Dong Lam'!H245+DTR!H245+DTRVL!H245</f>
        <v>2504875010</v>
      </c>
      <c r="I245" s="189">
        <f>TDP!I245+'Dai Loc'!I245+'Khanh Nga'!I245+'Dong Lam'!I245+DTR!I245+DTRVL!I245</f>
        <v>2630548203</v>
      </c>
      <c r="J245" s="189">
        <f>TDP!J245+'Dai Loc'!J245+'Khanh Nga'!J245+'Dong Lam'!J245+DTR!J245+DTRVL!J245</f>
        <v>2603258969</v>
      </c>
      <c r="K245" s="189">
        <f>TDP!K245+'Dai Loc'!K245+'Khanh Nga'!K245+'Dong Lam'!K245+DTR!K245+DTRVL!K245</f>
        <v>2725010427</v>
      </c>
      <c r="L245" s="189">
        <f>TDP!L245+'Dai Loc'!L245+'Khanh Nga'!L245+'Dong Lam'!L245+DTR!L245+DTRVL!L245</f>
        <v>2615378033</v>
      </c>
      <c r="M245" s="189">
        <f>TDP!M245+'Dai Loc'!M245+'Khanh Nga'!M245+'Dong Lam'!M245+DTR!M245+DTRVL!M245</f>
        <v>2990827462</v>
      </c>
      <c r="N245" s="189">
        <f>TDP!N245+'Dai Loc'!N245+'Khanh Nga'!N245+'Dong Lam'!N245+DTR!N245+DTRVL!N245</f>
        <v>2783690695</v>
      </c>
      <c r="O245" s="189">
        <f>TDP!O245+'Dai Loc'!O245+'Khanh Nga'!O245+'Dong Lam'!O245+DTR!O245+DTRVL!O245</f>
        <v>3395380082</v>
      </c>
      <c r="P245" s="189">
        <f>TDP!P245+'Dai Loc'!P245+'Khanh Nga'!P245+'Dong Lam'!P245+DTR!P245+DTRVL!P245</f>
        <v>3456835968</v>
      </c>
      <c r="Q245" s="189">
        <f>TDP!Q245+'Dai Loc'!Q245+'Khanh Nga'!Q245+'Dong Lam'!Q245+DTR!Q245+DTRVL!Q245</f>
        <v>3370583854</v>
      </c>
      <c r="R245" s="189">
        <f>TDP!R245+'Dai Loc'!R245+'Khanh Nga'!R245+'Dong Lam'!R245+DTR!R245+DTRVL!R245</f>
        <v>3835935161</v>
      </c>
      <c r="S245" s="189">
        <f>TDP!S245+'Dai Loc'!S245+'Khanh Nga'!S245+'Dong Lam'!S245+DTR!S245+DTRVL!S245</f>
        <v>3752070278</v>
      </c>
      <c r="T245" s="189">
        <f>TDP!T245+'Dai Loc'!T245+'Khanh Nga'!T245+'Dong Lam'!T245+DTR!T245+DTRVL!T245</f>
        <v>3992010482</v>
      </c>
      <c r="U245" s="189">
        <f>TDP!U245+'Dai Loc'!U245+'Khanh Nga'!U245+'Dong Lam'!U245+DTR!U245+DTRVL!U245</f>
        <v>3740968286</v>
      </c>
      <c r="V245" s="189">
        <f>TDP!V245+'Dai Loc'!V245+'Khanh Nga'!V245+'Dong Lam'!V245+DTR!V245+DTRVL!V245</f>
        <v>4015464388</v>
      </c>
      <c r="W245" s="189">
        <f>TDP!W245+'Dai Loc'!W245+'Khanh Nga'!W245+'Dong Lam'!W245+DTR!W245+DTRVL!W245</f>
        <v>4043336826</v>
      </c>
      <c r="X245" s="189">
        <f>TDP!X245+'Dai Loc'!X245+'Khanh Nga'!X245+'Dong Lam'!X245+DTR!X245+DTRVL!X245</f>
        <v>4022089290</v>
      </c>
      <c r="Y245" s="189">
        <f>TDP!Y245+'Dai Loc'!Y245+'Khanh Nga'!Y245+'Dong Lam'!Y245+DTR!Y245+DTRVL!Y245</f>
        <v>4161885331</v>
      </c>
      <c r="Z245" s="189">
        <f>TDP!Z245+'Dai Loc'!Z245+'Khanh Nga'!Z245+'Dong Lam'!Z245+DTR!Z245+DTRVL!Z245</f>
        <v>4262419424</v>
      </c>
    </row>
    <row r="246" spans="1:26" ht="15" customHeight="1">
      <c r="A246" s="190" t="s">
        <v>332</v>
      </c>
      <c r="B246" s="191">
        <v>48</v>
      </c>
      <c r="C246" s="189">
        <f>TDP!C246+'Dai Loc'!C246+'Khanh Nga'!C246+'Dong Lam'!C246+DTR!C246+DTRVL!C246</f>
        <v>1193682024</v>
      </c>
      <c r="D246" s="189">
        <f>TDP!D246+'Dai Loc'!D246+'Khanh Nga'!D246+'Dong Lam'!D246+DTR!D246+DTRVL!D246</f>
        <v>1381139710</v>
      </c>
      <c r="E246" s="189">
        <f>TDP!E246+'Dai Loc'!E246+'Khanh Nga'!E246+'Dong Lam'!E246+DTR!E246+DTRVL!E246</f>
        <v>1178596975</v>
      </c>
      <c r="F246" s="189">
        <f>TDP!F246+'Dai Loc'!F246+'Khanh Nga'!F246+'Dong Lam'!F246+DTR!F246+DTRVL!F246</f>
        <v>1248464859</v>
      </c>
      <c r="G246" s="189">
        <f>TDP!G246+'Dai Loc'!G246+'Khanh Nga'!G246+'Dong Lam'!G246+DTR!G246+DTRVL!G246</f>
        <v>1297120525</v>
      </c>
      <c r="H246" s="189">
        <f>TDP!H246+'Dai Loc'!H246+'Khanh Nga'!H246+'Dong Lam'!H246+DTR!H246+DTRVL!H246</f>
        <v>1280071302</v>
      </c>
      <c r="I246" s="189">
        <f>TDP!I246+'Dai Loc'!I246+'Khanh Nga'!I246+'Dong Lam'!I246+DTR!I246+DTRVL!I246</f>
        <v>1380040921</v>
      </c>
      <c r="J246" s="189">
        <f>TDP!J246+'Dai Loc'!J246+'Khanh Nga'!J246+'Dong Lam'!J246+DTR!J246+DTRVL!J246</f>
        <v>1345769518</v>
      </c>
      <c r="K246" s="189">
        <f>TDP!K246+'Dai Loc'!K246+'Khanh Nga'!K246+'Dong Lam'!K246+DTR!K246+DTRVL!K246</f>
        <v>1408303944</v>
      </c>
      <c r="L246" s="189">
        <f>TDP!L246+'Dai Loc'!L246+'Khanh Nga'!L246+'Dong Lam'!L246+DTR!L246+DTRVL!L246</f>
        <v>1333633996</v>
      </c>
      <c r="M246" s="189">
        <f>TDP!M246+'Dai Loc'!M246+'Khanh Nga'!M246+'Dong Lam'!M246+DTR!M246+DTRVL!M246</f>
        <v>1358829154</v>
      </c>
      <c r="N246" s="189">
        <f>TDP!N246+'Dai Loc'!N246+'Khanh Nga'!N246+'Dong Lam'!N246+DTR!N246+DTRVL!N246</f>
        <v>2624185177</v>
      </c>
      <c r="O246" s="189">
        <f>TDP!O246+'Dai Loc'!O246+'Khanh Nga'!O246+'Dong Lam'!O246+DTR!O246+DTRVL!O246</f>
        <v>1664928102</v>
      </c>
      <c r="P246" s="189">
        <f>TDP!P246+'Dai Loc'!P246+'Khanh Nga'!P246+'Dong Lam'!P246+DTR!P246+DTRVL!P246</f>
        <v>1724196268</v>
      </c>
      <c r="Q246" s="189">
        <f>TDP!Q246+'Dai Loc'!Q246+'Khanh Nga'!Q246+'Dong Lam'!Q246+DTR!Q246+DTRVL!Q246</f>
        <v>1635327405</v>
      </c>
      <c r="R246" s="189">
        <f>TDP!R246+'Dai Loc'!R246+'Khanh Nga'!R246+'Dong Lam'!R246+DTR!R246+DTRVL!R246</f>
        <v>1738951609</v>
      </c>
      <c r="S246" s="189">
        <f>TDP!S246+'Dai Loc'!S246+'Khanh Nga'!S246+'Dong Lam'!S246+DTR!S246+DTRVL!S246</f>
        <v>1834696713</v>
      </c>
      <c r="T246" s="189">
        <f>TDP!T246+'Dai Loc'!T246+'Khanh Nga'!T246+'Dong Lam'!T246+DTR!T246+DTRVL!T246</f>
        <v>1819972495</v>
      </c>
      <c r="U246" s="189">
        <f>TDP!U246+'Dai Loc'!U246+'Khanh Nga'!U246+'Dong Lam'!U246+DTR!U246+DTRVL!U246</f>
        <v>1795862363</v>
      </c>
      <c r="V246" s="189">
        <f>TDP!V246+'Dai Loc'!V246+'Khanh Nga'!V246+'Dong Lam'!V246+DTR!V246+DTRVL!V246</f>
        <v>1838011649</v>
      </c>
      <c r="W246" s="189">
        <f>TDP!W246+'Dai Loc'!W246+'Khanh Nga'!W246+'Dong Lam'!W246+DTR!W246+DTRVL!W246</f>
        <v>1723053059</v>
      </c>
      <c r="X246" s="189">
        <f>TDP!X246+'Dai Loc'!X246+'Khanh Nga'!X246+'Dong Lam'!X246+DTR!X246+DTRVL!X246</f>
        <v>1921194120</v>
      </c>
      <c r="Y246" s="189">
        <f>TDP!Y246+'Dai Loc'!Y246+'Khanh Nga'!Y246+'Dong Lam'!Y246+DTR!Y246+DTRVL!Y246</f>
        <v>1964907136</v>
      </c>
      <c r="Z246" s="189">
        <f>TDP!Z246+'Dai Loc'!Z246+'Khanh Nga'!Z246+'Dong Lam'!Z246+DTR!Z246+DTRVL!Z246</f>
        <v>3860161599</v>
      </c>
    </row>
    <row r="247" spans="1:26" ht="15" customHeight="1">
      <c r="A247" s="190" t="s">
        <v>333</v>
      </c>
      <c r="B247" s="191">
        <v>49</v>
      </c>
      <c r="C247" s="189">
        <f>TDP!C247+'Dai Loc'!C247+'Khanh Nga'!C247+'Dong Lam'!C247+DTR!C247+DTRVL!C247</f>
        <v>133435416</v>
      </c>
      <c r="D247" s="189">
        <f>TDP!D247+'Dai Loc'!D247+'Khanh Nga'!D247+'Dong Lam'!D247+DTR!D247+DTRVL!D247</f>
        <v>133435416</v>
      </c>
      <c r="E247" s="189">
        <f>TDP!E247+'Dai Loc'!E247+'Khanh Nga'!E247+'Dong Lam'!E247+DTR!E247+DTRVL!E247</f>
        <v>128983751</v>
      </c>
      <c r="F247" s="189">
        <f>TDP!F247+'Dai Loc'!F247+'Khanh Nga'!F247+'Dong Lam'!F247+DTR!F247+DTRVL!F247</f>
        <v>188597480</v>
      </c>
      <c r="G247" s="189">
        <f>TDP!G247+'Dai Loc'!G247+'Khanh Nga'!G247+'Dong Lam'!G247+DTR!G247+DTRVL!G247</f>
        <v>193063634</v>
      </c>
      <c r="H247" s="189">
        <f>TDP!H247+'Dai Loc'!H247+'Khanh Nga'!H247+'Dong Lam'!H247+DTR!H247+DTRVL!H247</f>
        <v>191604855</v>
      </c>
      <c r="I247" s="189">
        <f>TDP!I247+'Dai Loc'!I247+'Khanh Nga'!I247+'Dong Lam'!I247+DTR!I247+DTRVL!I247</f>
        <v>196735047</v>
      </c>
      <c r="J247" s="189">
        <f>TDP!J247+'Dai Loc'!J247+'Khanh Nga'!J247+'Dong Lam'!J247+DTR!J247+DTRVL!J247</f>
        <v>345856873</v>
      </c>
      <c r="K247" s="189">
        <f>TDP!K247+'Dai Loc'!K247+'Khanh Nga'!K247+'Dong Lam'!K247+DTR!K247+DTRVL!K247</f>
        <v>345856878</v>
      </c>
      <c r="L247" s="189">
        <f>TDP!L247+'Dai Loc'!L247+'Khanh Nga'!L247+'Dong Lam'!L247+DTR!L247+DTRVL!L247</f>
        <v>345856871</v>
      </c>
      <c r="M247" s="189">
        <f>TDP!M247+'Dai Loc'!M247+'Khanh Nga'!M247+'Dong Lam'!M247+DTR!M247+DTRVL!M247</f>
        <v>344940471</v>
      </c>
      <c r="N247" s="189">
        <f>TDP!N247+'Dai Loc'!N247+'Khanh Nga'!N247+'Dong Lam'!N247+DTR!N247+DTRVL!N247</f>
        <v>405609841</v>
      </c>
      <c r="O247" s="189">
        <f>TDP!O247+'Dai Loc'!O247+'Khanh Nga'!O247+'Dong Lam'!O247+DTR!O247+DTRVL!O247</f>
        <v>442609315</v>
      </c>
      <c r="P247" s="189">
        <f>TDP!P247+'Dai Loc'!P247+'Khanh Nga'!P247+'Dong Lam'!P247+DTR!P247+DTRVL!P247</f>
        <v>442609316</v>
      </c>
      <c r="Q247" s="189">
        <f>TDP!Q247+'Dai Loc'!Q247+'Khanh Nga'!Q247+'Dong Lam'!Q247+DTR!Q247+DTRVL!Q247</f>
        <v>446514041</v>
      </c>
      <c r="R247" s="189">
        <f>TDP!R247+'Dai Loc'!R247+'Khanh Nga'!R247+'Dong Lam'!R247+DTR!R247+DTRVL!R247</f>
        <v>487969281</v>
      </c>
      <c r="S247" s="189">
        <f>TDP!S247+'Dai Loc'!S247+'Khanh Nga'!S247+'Dong Lam'!S247+DTR!S247+DTRVL!S247</f>
        <v>487969283</v>
      </c>
      <c r="T247" s="189">
        <f>TDP!T247+'Dai Loc'!T247+'Khanh Nga'!T247+'Dong Lam'!T247+DTR!T247+DTRVL!T247</f>
        <v>504068745</v>
      </c>
      <c r="U247" s="189">
        <f>TDP!U247+'Dai Loc'!U247+'Khanh Nga'!U247+'Dong Lam'!U247+DTR!U247+DTRVL!U247</f>
        <v>351628210</v>
      </c>
      <c r="V247" s="189">
        <f>TDP!V247+'Dai Loc'!V247+'Khanh Nga'!V247+'Dong Lam'!V247+DTR!V247+DTRVL!V247</f>
        <v>358231270</v>
      </c>
      <c r="W247" s="189">
        <f>TDP!W247+'Dai Loc'!W247+'Khanh Nga'!W247+'Dong Lam'!W247+DTR!W247+DTRVL!W247</f>
        <v>496415629</v>
      </c>
      <c r="X247" s="189">
        <f>TDP!X247+'Dai Loc'!X247+'Khanh Nga'!X247+'Dong Lam'!X247+DTR!X247+DTRVL!X247</f>
        <v>359075929</v>
      </c>
      <c r="Y247" s="189">
        <f>TDP!Y247+'Dai Loc'!Y247+'Khanh Nga'!Y247+'Dong Lam'!Y247+DTR!Y247+DTRVL!Y247</f>
        <v>359075932</v>
      </c>
      <c r="Z247" s="189">
        <f>TDP!Z247+'Dai Loc'!Z247+'Khanh Nga'!Z247+'Dong Lam'!Z247+DTR!Z247+DTRVL!Z247</f>
        <v>308444264</v>
      </c>
    </row>
    <row r="248" spans="1:26" ht="15" customHeight="1">
      <c r="A248" s="190" t="s">
        <v>334</v>
      </c>
      <c r="B248" s="191">
        <v>50</v>
      </c>
      <c r="C248" s="189">
        <f>TDP!C248+'Dai Loc'!C248+'Khanh Nga'!C248+'Dong Lam'!C248+DTR!C248+DTRVL!C248</f>
        <v>1849865841</v>
      </c>
      <c r="D248" s="189">
        <f>TDP!D248+'Dai Loc'!D248+'Khanh Nga'!D248+'Dong Lam'!D248+DTR!D248+DTRVL!D248</f>
        <v>1450541163</v>
      </c>
      <c r="E248" s="189">
        <f>TDP!E248+'Dai Loc'!E248+'Khanh Nga'!E248+'Dong Lam'!E248+DTR!E248+DTRVL!E248</f>
        <v>1254997394</v>
      </c>
      <c r="F248" s="189">
        <f>TDP!F248+'Dai Loc'!F248+'Khanh Nga'!F248+'Dong Lam'!F248+DTR!F248+DTRVL!F248</f>
        <v>1374646187</v>
      </c>
      <c r="G248" s="189">
        <f>TDP!G248+'Dai Loc'!G248+'Khanh Nga'!G248+'Dong Lam'!G248+DTR!G248+DTRVL!G248</f>
        <v>1995563814</v>
      </c>
      <c r="H248" s="189">
        <f>TDP!H248+'Dai Loc'!H248+'Khanh Nga'!H248+'Dong Lam'!H248+DTR!H248+DTRVL!H248</f>
        <v>1829213001</v>
      </c>
      <c r="I248" s="189">
        <f>TDP!I248+'Dai Loc'!I248+'Khanh Nga'!I248+'Dong Lam'!I248+DTR!I248+DTRVL!I248</f>
        <v>1422616432</v>
      </c>
      <c r="J248" s="189">
        <f>TDP!J248+'Dai Loc'!J248+'Khanh Nga'!J248+'Dong Lam'!J248+DTR!J248+DTRVL!J248</f>
        <v>2406181067</v>
      </c>
      <c r="K248" s="189">
        <f>TDP!K248+'Dai Loc'!K248+'Khanh Nga'!K248+'Dong Lam'!K248+DTR!K248+DTRVL!K248</f>
        <v>3522619635</v>
      </c>
      <c r="L248" s="189">
        <f>TDP!L248+'Dai Loc'!L248+'Khanh Nga'!L248+'Dong Lam'!L248+DTR!L248+DTRVL!L248</f>
        <v>3673756025</v>
      </c>
      <c r="M248" s="189">
        <f>TDP!M248+'Dai Loc'!M248+'Khanh Nga'!M248+'Dong Lam'!M248+DTR!M248+DTRVL!M248</f>
        <v>3878846677</v>
      </c>
      <c r="N248" s="189">
        <f>TDP!N248+'Dai Loc'!N248+'Khanh Nga'!N248+'Dong Lam'!N248+DTR!N248+DTRVL!N248</f>
        <v>1177397870</v>
      </c>
      <c r="O248" s="189">
        <f>TDP!O248+'Dai Loc'!O248+'Khanh Nga'!O248+'Dong Lam'!O248+DTR!O248+DTRVL!O248</f>
        <v>3045281538</v>
      </c>
      <c r="P248" s="189">
        <f>TDP!P248+'Dai Loc'!P248+'Khanh Nga'!P248+'Dong Lam'!P248+DTR!P248+DTRVL!P248</f>
        <v>3304896410</v>
      </c>
      <c r="Q248" s="189">
        <f>TDP!Q248+'Dai Loc'!Q248+'Khanh Nga'!Q248+'Dong Lam'!Q248+DTR!Q248+DTRVL!Q248</f>
        <v>3165856718</v>
      </c>
      <c r="R248" s="189">
        <f>TDP!R248+'Dai Loc'!R248+'Khanh Nga'!R248+'Dong Lam'!R248+DTR!R248+DTRVL!R248</f>
        <v>2455390512</v>
      </c>
      <c r="S248" s="189">
        <f>TDP!S248+'Dai Loc'!S248+'Khanh Nga'!S248+'Dong Lam'!S248+DTR!S248+DTRVL!S248</f>
        <v>3202702037</v>
      </c>
      <c r="T248" s="189">
        <f>TDP!T248+'Dai Loc'!T248+'Khanh Nga'!T248+'Dong Lam'!T248+DTR!T248+DTRVL!T248</f>
        <v>2710715910</v>
      </c>
      <c r="U248" s="189">
        <f>TDP!U248+'Dai Loc'!U248+'Khanh Nga'!U248+'Dong Lam'!U248+DTR!U248+DTRVL!U248</f>
        <v>3110519328</v>
      </c>
      <c r="V248" s="189">
        <f>TDP!V248+'Dai Loc'!V248+'Khanh Nga'!V248+'Dong Lam'!V248+DTR!V248+DTRVL!V248</f>
        <v>3109116676</v>
      </c>
      <c r="W248" s="189">
        <f>TDP!W248+'Dai Loc'!W248+'Khanh Nga'!W248+'Dong Lam'!W248+DTR!W248+DTRVL!W248</f>
        <v>4674053134</v>
      </c>
      <c r="X248" s="189">
        <f>TDP!X248+'Dai Loc'!X248+'Khanh Nga'!X248+'Dong Lam'!X248+DTR!X248+DTRVL!X248</f>
        <v>-1029039463</v>
      </c>
      <c r="Y248" s="189">
        <f>TDP!Y248+'Dai Loc'!Y248+'Khanh Nga'!Y248+'Dong Lam'!Y248+DTR!Y248+DTRVL!Y248</f>
        <v>4983992228</v>
      </c>
      <c r="Z248" s="189">
        <f>TDP!Z248+'Dai Loc'!Z248+'Khanh Nga'!Z248+'Dong Lam'!Z248+DTR!Z248+DTRVL!Z248</f>
        <v>4103858469</v>
      </c>
    </row>
    <row r="249" spans="1:26" ht="15" customHeight="1">
      <c r="A249" s="194" t="s">
        <v>335</v>
      </c>
      <c r="B249" s="171">
        <v>51</v>
      </c>
      <c r="C249" s="187">
        <f t="shared" ref="C249:Z249" si="34">IFERROR(C244/C207,"")</f>
        <v>4.3823327299781251E-2</v>
      </c>
      <c r="D249" s="187">
        <f t="shared" si="34"/>
        <v>6.0983060969462148E-2</v>
      </c>
      <c r="E249" s="187">
        <f t="shared" si="34"/>
        <v>4.57081117806174E-2</v>
      </c>
      <c r="F249" s="187">
        <f t="shared" si="34"/>
        <v>4.7467950802511746E-2</v>
      </c>
      <c r="G249" s="187">
        <f t="shared" si="34"/>
        <v>4.7435606178362386E-2</v>
      </c>
      <c r="H249" s="187">
        <f t="shared" si="34"/>
        <v>6.1487176963276123E-2</v>
      </c>
      <c r="I249" s="187">
        <f t="shared" si="34"/>
        <v>7.630046694713731E-2</v>
      </c>
      <c r="J249" s="187">
        <f t="shared" si="34"/>
        <v>3.9633823270130632E-2</v>
      </c>
      <c r="K249" s="187">
        <f t="shared" si="34"/>
        <v>4.6076133694931763E-2</v>
      </c>
      <c r="L249" s="187">
        <f t="shared" si="34"/>
        <v>5.7209470515793656E-2</v>
      </c>
      <c r="M249" s="187">
        <f t="shared" si="34"/>
        <v>9.3942487600756838E-2</v>
      </c>
      <c r="N249" s="187">
        <f t="shared" si="34"/>
        <v>5.7157911500235574E-2</v>
      </c>
      <c r="O249" s="187">
        <f t="shared" si="34"/>
        <v>6.7915407602710393E-2</v>
      </c>
      <c r="P249" s="187">
        <f t="shared" si="34"/>
        <v>4.3189513758031171E-2</v>
      </c>
      <c r="Q249" s="187">
        <f t="shared" si="34"/>
        <v>4.7627056940891394E-2</v>
      </c>
      <c r="R249" s="187">
        <f t="shared" si="34"/>
        <v>5.4014221066101556E-2</v>
      </c>
      <c r="S249" s="187">
        <f t="shared" si="34"/>
        <v>5.0035341908518979E-2</v>
      </c>
      <c r="T249" s="187">
        <f t="shared" si="34"/>
        <v>5.6878412198492379E-2</v>
      </c>
      <c r="U249" s="187">
        <f t="shared" si="34"/>
        <v>4.8315808144091893E-2</v>
      </c>
      <c r="V249" s="187">
        <f t="shared" si="34"/>
        <v>4.3237115297589446E-2</v>
      </c>
      <c r="W249" s="187">
        <f t="shared" si="34"/>
        <v>9.1091206300940433E-2</v>
      </c>
      <c r="X249" s="187">
        <f t="shared" si="34"/>
        <v>3.8162088606202176E-2</v>
      </c>
      <c r="Y249" s="187">
        <f t="shared" si="34"/>
        <v>0.105967152313962</v>
      </c>
      <c r="Z249" s="187">
        <f t="shared" si="34"/>
        <v>9.9129592126484659E-2</v>
      </c>
    </row>
    <row r="250" spans="1:26" ht="15" customHeight="1">
      <c r="A250" s="193" t="s">
        <v>336</v>
      </c>
      <c r="B250" s="146">
        <v>52</v>
      </c>
      <c r="C250" s="186">
        <f t="shared" ref="C250:Z251" si="35">C142</f>
        <v>801399604</v>
      </c>
      <c r="D250" s="186">
        <f t="shared" si="35"/>
        <v>695500231</v>
      </c>
      <c r="E250" s="186">
        <f t="shared" si="35"/>
        <v>663502461</v>
      </c>
      <c r="F250" s="186">
        <f t="shared" si="35"/>
        <v>1555671370</v>
      </c>
      <c r="G250" s="186">
        <f t="shared" si="35"/>
        <v>936492932</v>
      </c>
      <c r="H250" s="186">
        <f t="shared" si="35"/>
        <v>1103852896</v>
      </c>
      <c r="I250" s="186">
        <f t="shared" si="35"/>
        <v>1608708972</v>
      </c>
      <c r="J250" s="186">
        <f t="shared" si="35"/>
        <v>1489581015</v>
      </c>
      <c r="K250" s="186">
        <f t="shared" si="35"/>
        <v>1372261307</v>
      </c>
      <c r="L250" s="186">
        <f t="shared" si="35"/>
        <v>636041020</v>
      </c>
      <c r="M250" s="186">
        <f t="shared" si="35"/>
        <v>1257673070</v>
      </c>
      <c r="N250" s="186">
        <f t="shared" si="35"/>
        <v>993026233</v>
      </c>
      <c r="O250" s="186">
        <f t="shared" si="35"/>
        <v>1529745602</v>
      </c>
      <c r="P250" s="186">
        <f t="shared" si="35"/>
        <v>1349010483</v>
      </c>
      <c r="Q250" s="186">
        <f t="shared" si="35"/>
        <v>902730488</v>
      </c>
      <c r="R250" s="186">
        <f t="shared" si="35"/>
        <v>1450570894</v>
      </c>
      <c r="S250" s="186">
        <f t="shared" si="35"/>
        <v>858169737</v>
      </c>
      <c r="T250" s="186">
        <f t="shared" si="35"/>
        <v>1483876982</v>
      </c>
      <c r="U250" s="186">
        <f t="shared" si="35"/>
        <v>1318435167</v>
      </c>
      <c r="V250" s="186">
        <f t="shared" si="35"/>
        <v>1366041150</v>
      </c>
      <c r="W250" s="186">
        <f t="shared" si="35"/>
        <v>1603769193</v>
      </c>
      <c r="X250" s="186">
        <f t="shared" si="35"/>
        <v>2900732378</v>
      </c>
      <c r="Y250" s="186">
        <f t="shared" si="35"/>
        <v>1301741764</v>
      </c>
      <c r="Z250" s="186">
        <f t="shared" si="35"/>
        <v>2453854146</v>
      </c>
    </row>
    <row r="251" spans="1:26" ht="15" customHeight="1">
      <c r="A251" s="178" t="s">
        <v>337</v>
      </c>
      <c r="B251" s="179">
        <v>53</v>
      </c>
      <c r="C251" s="189">
        <f t="shared" si="35"/>
        <v>460461775</v>
      </c>
      <c r="D251" s="189">
        <f t="shared" si="35"/>
        <v>563909516</v>
      </c>
      <c r="E251" s="189">
        <f t="shared" si="35"/>
        <v>587315920</v>
      </c>
      <c r="F251" s="189">
        <f t="shared" si="35"/>
        <v>905708142</v>
      </c>
      <c r="G251" s="189">
        <f t="shared" si="35"/>
        <v>974310029</v>
      </c>
      <c r="H251" s="189">
        <f t="shared" si="35"/>
        <v>1115056080</v>
      </c>
      <c r="I251" s="189">
        <f t="shared" si="35"/>
        <v>1160823006</v>
      </c>
      <c r="J251" s="189">
        <f t="shared" si="35"/>
        <v>939585045</v>
      </c>
      <c r="K251" s="189">
        <f t="shared" si="35"/>
        <v>859444105</v>
      </c>
      <c r="L251" s="189">
        <f t="shared" si="35"/>
        <v>840165515</v>
      </c>
      <c r="M251" s="189">
        <f t="shared" si="35"/>
        <v>889159081</v>
      </c>
      <c r="N251" s="189">
        <f t="shared" si="35"/>
        <v>1032562923</v>
      </c>
      <c r="O251" s="189">
        <f t="shared" si="35"/>
        <v>1114824276</v>
      </c>
      <c r="P251" s="189">
        <f t="shared" si="35"/>
        <v>928379281</v>
      </c>
      <c r="Q251" s="189">
        <f t="shared" si="35"/>
        <v>673966789</v>
      </c>
      <c r="R251" s="189">
        <f t="shared" si="35"/>
        <v>888393452</v>
      </c>
      <c r="S251" s="189">
        <f t="shared" si="35"/>
        <v>1186588729</v>
      </c>
      <c r="T251" s="189">
        <f t="shared" si="35"/>
        <v>1448899822</v>
      </c>
      <c r="U251" s="189">
        <f t="shared" si="35"/>
        <v>1245210526</v>
      </c>
      <c r="V251" s="189">
        <f t="shared" si="35"/>
        <v>1303560910</v>
      </c>
      <c r="W251" s="189">
        <f t="shared" si="35"/>
        <v>1595764355</v>
      </c>
      <c r="X251" s="189">
        <f t="shared" si="35"/>
        <v>1368802426</v>
      </c>
      <c r="Y251" s="189">
        <f t="shared" si="35"/>
        <v>1256132292</v>
      </c>
      <c r="Z251" s="189">
        <f t="shared" si="35"/>
        <v>1256103396</v>
      </c>
    </row>
    <row r="252" spans="1:26" ht="15" customHeight="1">
      <c r="A252" s="194" t="s">
        <v>338</v>
      </c>
      <c r="B252" s="195">
        <v>54</v>
      </c>
      <c r="C252" s="187">
        <f>IFERROR(C251/C207,"")</f>
        <v>3.540980205671502E-3</v>
      </c>
      <c r="D252" s="187">
        <f t="shared" ref="D252:Z252" si="36">IFERROR(D251/D207,"")</f>
        <v>6.7550523533564041E-3</v>
      </c>
      <c r="E252" s="187">
        <f t="shared" si="36"/>
        <v>5.0794707437038684E-3</v>
      </c>
      <c r="F252" s="187">
        <f t="shared" si="36"/>
        <v>7.6985056437804556E-3</v>
      </c>
      <c r="G252" s="187">
        <f t="shared" si="36"/>
        <v>7.6148280116860494E-3</v>
      </c>
      <c r="H252" s="187">
        <f t="shared" si="36"/>
        <v>1.1656259188003327E-2</v>
      </c>
      <c r="I252" s="187">
        <f t="shared" si="36"/>
        <v>1.5544031236788856E-2</v>
      </c>
      <c r="J252" s="187">
        <f t="shared" si="36"/>
        <v>5.4439711427512064E-3</v>
      </c>
      <c r="K252" s="187">
        <f t="shared" si="36"/>
        <v>4.8979742253326044E-3</v>
      </c>
      <c r="L252" s="187">
        <f t="shared" si="36"/>
        <v>5.9888107469044461E-3</v>
      </c>
      <c r="M252" s="187">
        <f t="shared" si="36"/>
        <v>9.1526129909648996E-3</v>
      </c>
      <c r="N252" s="187">
        <f t="shared" si="36"/>
        <v>8.3266714917724794E-3</v>
      </c>
      <c r="O252" s="187">
        <f t="shared" si="36"/>
        <v>8.8572744717591804E-3</v>
      </c>
      <c r="P252" s="187">
        <f t="shared" si="36"/>
        <v>4.4907968023511656E-3</v>
      </c>
      <c r="Q252" s="187">
        <f t="shared" si="36"/>
        <v>3.7245305466833394E-3</v>
      </c>
      <c r="R252" s="187">
        <f t="shared" si="36"/>
        <v>5.6333049243300097E-3</v>
      </c>
      <c r="S252" s="187">
        <f t="shared" si="36"/>
        <v>6.3995437932381606E-3</v>
      </c>
      <c r="T252" s="187">
        <f t="shared" si="36"/>
        <v>9.129638057579971E-3</v>
      </c>
      <c r="U252" s="187">
        <f t="shared" si="36"/>
        <v>6.6855760313023361E-3</v>
      </c>
      <c r="V252" s="187">
        <f t="shared" si="36"/>
        <v>6.0469131769785743E-3</v>
      </c>
      <c r="W252" s="187">
        <f t="shared" si="36"/>
        <v>1.3290845639261676E-2</v>
      </c>
      <c r="X252" s="187">
        <f t="shared" si="36"/>
        <v>9.905782447056791E-3</v>
      </c>
      <c r="Y252" s="187">
        <f t="shared" si="36"/>
        <v>1.1605089742722138E-2</v>
      </c>
      <c r="Z252" s="187">
        <f t="shared" si="36"/>
        <v>9.8203578060684533E-3</v>
      </c>
    </row>
    <row r="254" spans="1:26" ht="15" customHeight="1">
      <c r="A254" s="176" t="s">
        <v>339</v>
      </c>
      <c r="C254" s="53"/>
      <c r="D254" s="54"/>
      <c r="E254" s="53"/>
      <c r="F254" s="53"/>
      <c r="G254" s="53"/>
      <c r="H254" s="53"/>
      <c r="I254" s="53"/>
      <c r="J254" s="54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" customHeight="1">
      <c r="A255" s="196" t="s">
        <v>340</v>
      </c>
      <c r="B255" s="197"/>
      <c r="C255" s="198"/>
      <c r="D255" s="198"/>
      <c r="E255" s="198"/>
      <c r="F255" s="198"/>
      <c r="G255" s="198"/>
      <c r="H255" s="199">
        <f>SUM(H256:H261)</f>
        <v>0</v>
      </c>
      <c r="I255" s="199">
        <f t="shared" ref="I255:Z255" si="37">SUM(I256:I261)</f>
        <v>0</v>
      </c>
      <c r="J255" s="199">
        <f t="shared" si="37"/>
        <v>0</v>
      </c>
      <c r="K255" s="199">
        <f t="shared" si="37"/>
        <v>0</v>
      </c>
      <c r="L255" s="199">
        <f t="shared" si="37"/>
        <v>0</v>
      </c>
      <c r="M255" s="199">
        <f t="shared" si="37"/>
        <v>0</v>
      </c>
      <c r="N255" s="199">
        <f t="shared" si="37"/>
        <v>168355474814</v>
      </c>
      <c r="O255" s="199">
        <f t="shared" si="37"/>
        <v>134925554251</v>
      </c>
      <c r="P255" s="199">
        <f t="shared" si="37"/>
        <v>43611829278</v>
      </c>
      <c r="Q255" s="199">
        <f t="shared" si="37"/>
        <v>98003020481</v>
      </c>
      <c r="R255" s="199">
        <f t="shared" si="37"/>
        <v>172928907420</v>
      </c>
      <c r="S255" s="199">
        <f t="shared" si="37"/>
        <v>200666324688</v>
      </c>
      <c r="T255" s="199">
        <f t="shared" si="37"/>
        <v>238388679271</v>
      </c>
      <c r="U255" s="199">
        <f t="shared" si="37"/>
        <v>250573370780</v>
      </c>
      <c r="V255" s="199">
        <f t="shared" si="37"/>
        <v>294832243750</v>
      </c>
      <c r="W255" s="199">
        <f t="shared" si="37"/>
        <v>309616499760</v>
      </c>
      <c r="X255" s="199">
        <f t="shared" si="37"/>
        <v>259354189036</v>
      </c>
      <c r="Y255" s="199">
        <f t="shared" si="37"/>
        <v>253300426901</v>
      </c>
      <c r="Z255" s="199">
        <f t="shared" si="37"/>
        <v>242976860650</v>
      </c>
    </row>
    <row r="256" spans="1:26" ht="15" customHeight="1">
      <c r="A256" s="200" t="s">
        <v>341</v>
      </c>
      <c r="C256" s="201">
        <f>TDP!C265+'Dai Loc'!C265+'Khanh Nga'!C265+'Dong Lam'!C265+DTR!C265+DTRVL!C265</f>
        <v>0</v>
      </c>
      <c r="D256" s="201">
        <f>TDP!D265+'Dai Loc'!D265+'Khanh Nga'!D265+'Dong Lam'!D265+DTR!D265+DTRVL!D265</f>
        <v>0</v>
      </c>
      <c r="E256" s="201">
        <f>TDP!E265+'Dai Loc'!E265+'Khanh Nga'!E265+'Dong Lam'!E265+DTR!E265+DTRVL!E265</f>
        <v>0</v>
      </c>
      <c r="F256" s="201">
        <f>TDP!F265+'Dai Loc'!F265+'Khanh Nga'!F265+'Dong Lam'!F265+DTR!F265+DTRVL!F265</f>
        <v>0</v>
      </c>
      <c r="G256" s="201">
        <f>TDP!G265+'Dai Loc'!G265+'Khanh Nga'!G265+'Dong Lam'!G265+DTR!G265+DTRVL!G265</f>
        <v>0</v>
      </c>
      <c r="H256" s="201">
        <f>TDP!H265+'Dai Loc'!H265+'Khanh Nga'!H265+'Dong Lam'!H265+DTR!H265+DTRVL!H265</f>
        <v>0</v>
      </c>
      <c r="I256" s="201">
        <f>TDP!I265+'Dai Loc'!I265+'Khanh Nga'!I265+'Dong Lam'!I265+DTR!I265+DTRVL!I265</f>
        <v>0</v>
      </c>
      <c r="J256" s="201">
        <f>TDP!J265+'Dai Loc'!J265+'Khanh Nga'!J265+'Dong Lam'!J265+DTR!J265+DTRVL!J265</f>
        <v>0</v>
      </c>
      <c r="K256" s="201">
        <f>TDP!K265+'Dai Loc'!K265+'Khanh Nga'!K265+'Dong Lam'!K265+DTR!K265+DTRVL!K265</f>
        <v>0</v>
      </c>
      <c r="L256" s="201">
        <f>TDP!L265+'Dai Loc'!L265+'Khanh Nga'!L265+'Dong Lam'!L265+DTR!L265+DTRVL!L265</f>
        <v>0</v>
      </c>
      <c r="M256" s="201">
        <f>TDP!M265+'Dai Loc'!M265+'Khanh Nga'!M265+'Dong Lam'!M265+DTR!M265+DTRVL!M265</f>
        <v>0</v>
      </c>
      <c r="N256" s="201">
        <f>TDP!N265+'Dai Loc'!N265+'Khanh Nga'!N265+'Dong Lam'!N265+DTR!N265+DTRVL!N265</f>
        <v>71255000000</v>
      </c>
      <c r="O256" s="201">
        <f>TDP!O265+'Dai Loc'!O265+'Khanh Nga'!O265+'Dong Lam'!O265+DTR!O265+DTRVL!O265</f>
        <v>62031000000</v>
      </c>
      <c r="P256" s="201">
        <f>TDP!P265+'Dai Loc'!P265+'Khanh Nga'!P265+'Dong Lam'!P265+DTR!P265+DTRVL!P265</f>
        <v>18977000000</v>
      </c>
      <c r="Q256" s="201">
        <f>TDP!Q265+'Dai Loc'!Q265+'Khanh Nga'!Q265+'Dong Lam'!Q265+DTR!Q265+DTRVL!Q265</f>
        <v>48865000000</v>
      </c>
      <c r="R256" s="201">
        <f>TDP!R265+'Dai Loc'!R265+'Khanh Nga'!R265+'Dong Lam'!R265+DTR!R265+DTRVL!R265</f>
        <v>90981000000</v>
      </c>
      <c r="S256" s="201">
        <f>TDP!S265+'Dai Loc'!S265+'Khanh Nga'!S265+'Dong Lam'!S265+DTR!S265+DTRVL!S265</f>
        <v>88582000000</v>
      </c>
      <c r="T256" s="201">
        <f>TDP!T265+'Dai Loc'!T265+'Khanh Nga'!T265+'Dong Lam'!T265+DTR!T265+DTRVL!T265</f>
        <v>82124851218</v>
      </c>
      <c r="U256" s="201">
        <f>TDP!U265+'Dai Loc'!U265+'Khanh Nga'!U265+'Dong Lam'!U265+DTR!U265+DTRVL!U265</f>
        <v>72804000000</v>
      </c>
      <c r="V256" s="201">
        <f>TDP!V265+'Dai Loc'!V265+'Khanh Nga'!V265+'Dong Lam'!V265+DTR!V265+DTRVL!V265</f>
        <v>92313391942</v>
      </c>
      <c r="W256" s="201">
        <f>TDP!W265+'Dai Loc'!W265+'Khanh Nga'!W265+'Dong Lam'!W265+DTR!W265+DTRVL!W265</f>
        <v>80862028656</v>
      </c>
      <c r="X256" s="201">
        <f>TDP!X265+'Dai Loc'!X265+'Khanh Nga'!X265+'Dong Lam'!X265+DTR!X265+DTRVL!X265</f>
        <v>66989028656</v>
      </c>
      <c r="Y256" s="201">
        <f>TDP!Y265+'Dai Loc'!Y265+'Khanh Nga'!Y265+'Dong Lam'!Y265+DTR!Y265+DTRVL!Y265</f>
        <v>66989028656</v>
      </c>
      <c r="Z256" s="201">
        <f>TDP!Z265+'Dai Loc'!Z265+'Khanh Nga'!Z265+'Dong Lam'!Z265+DTR!Z265+DTRVL!Z265</f>
        <v>66989028656</v>
      </c>
    </row>
    <row r="257" spans="1:26" ht="15" customHeight="1">
      <c r="A257" s="200" t="s">
        <v>342</v>
      </c>
      <c r="C257" s="201">
        <f>TDP!C266+'Dai Loc'!C266+'Khanh Nga'!C266+'Dong Lam'!C266+DTR!C266+DTRVL!C266</f>
        <v>0</v>
      </c>
      <c r="D257" s="201">
        <f>TDP!D266+'Dai Loc'!D266+'Khanh Nga'!D266+'Dong Lam'!D266+DTR!D266+DTRVL!D266</f>
        <v>0</v>
      </c>
      <c r="E257" s="201">
        <f>TDP!E266+'Dai Loc'!E266+'Khanh Nga'!E266+'Dong Lam'!E266+DTR!E266+DTRVL!E266</f>
        <v>0</v>
      </c>
      <c r="F257" s="201">
        <f>TDP!F266+'Dai Loc'!F266+'Khanh Nga'!F266+'Dong Lam'!F266+DTR!F266+DTRVL!F266</f>
        <v>0</v>
      </c>
      <c r="G257" s="201">
        <f>TDP!G266+'Dai Loc'!G266+'Khanh Nga'!G266+'Dong Lam'!G266+DTR!G266+DTRVL!G266</f>
        <v>0</v>
      </c>
      <c r="H257" s="201">
        <f>TDP!H266+'Dai Loc'!H266+'Khanh Nga'!H266+'Dong Lam'!H266+DTR!H266+DTRVL!H266</f>
        <v>0</v>
      </c>
      <c r="I257" s="201">
        <f>TDP!I266+'Dai Loc'!I266+'Khanh Nga'!I266+'Dong Lam'!I266+DTR!I266+DTRVL!I266</f>
        <v>0</v>
      </c>
      <c r="J257" s="201">
        <f>TDP!J266+'Dai Loc'!J266+'Khanh Nga'!J266+'Dong Lam'!J266+DTR!J266+DTRVL!J266</f>
        <v>0</v>
      </c>
      <c r="K257" s="201">
        <f>TDP!K266+'Dai Loc'!K266+'Khanh Nga'!K266+'Dong Lam'!K266+DTR!K266+DTRVL!K266</f>
        <v>0</v>
      </c>
      <c r="L257" s="201">
        <f>TDP!L266+'Dai Loc'!L266+'Khanh Nga'!L266+'Dong Lam'!L266+DTR!L266+DTRVL!L266</f>
        <v>0</v>
      </c>
      <c r="M257" s="201">
        <f>TDP!M266+'Dai Loc'!M266+'Khanh Nga'!M266+'Dong Lam'!M266+DTR!M266+DTRVL!M266</f>
        <v>0</v>
      </c>
      <c r="N257" s="201">
        <f>TDP!N266+'Dai Loc'!N266+'Khanh Nga'!N266+'Dong Lam'!N266+DTR!N266+DTRVL!N266</f>
        <v>59227549743</v>
      </c>
      <c r="O257" s="201">
        <f>TDP!O266+'Dai Loc'!O266+'Khanh Nga'!O266+'Dong Lam'!O266+DTR!O266+DTRVL!O266</f>
        <v>59227549743</v>
      </c>
      <c r="P257" s="201">
        <f>TDP!P266+'Dai Loc'!P266+'Khanh Nga'!P266+'Dong Lam'!P266+DTR!P266+DTRVL!P266</f>
        <v>10967824770</v>
      </c>
      <c r="Q257" s="201">
        <f>TDP!Q266+'Dai Loc'!Q266+'Khanh Nga'!Q266+'Dong Lam'!Q266+DTR!Q266+DTRVL!Q266</f>
        <v>35192821797</v>
      </c>
      <c r="R257" s="201">
        <f>TDP!R266+'Dai Loc'!R266+'Khanh Nga'!R266+'Dong Lam'!R266+DTR!R266+DTRVL!R266</f>
        <v>59696932940</v>
      </c>
      <c r="S257" s="201">
        <f>TDP!S266+'Dai Loc'!S266+'Khanh Nga'!S266+'Dong Lam'!S266+DTR!S266+DTRVL!S266</f>
        <v>74003145708</v>
      </c>
      <c r="T257" s="201">
        <f>TDP!T266+'Dai Loc'!T266+'Khanh Nga'!T266+'Dong Lam'!T266+DTR!T266+DTRVL!T266</f>
        <v>102247404832</v>
      </c>
      <c r="U257" s="201">
        <f>TDP!U266+'Dai Loc'!U266+'Khanh Nga'!U266+'Dong Lam'!U266+DTR!U266+DTRVL!U266</f>
        <v>105000758801</v>
      </c>
      <c r="V257" s="201">
        <f>TDP!V266+'Dai Loc'!V266+'Khanh Nga'!V266+'Dong Lam'!V266+DTR!V266+DTRVL!V266</f>
        <v>98339501677</v>
      </c>
      <c r="W257" s="201">
        <f>TDP!W266+'Dai Loc'!W266+'Khanh Nga'!W266+'Dong Lam'!W266+DTR!W266+DTRVL!W266</f>
        <v>80174525410</v>
      </c>
      <c r="X257" s="201">
        <f>TDP!X266+'Dai Loc'!X266+'Khanh Nga'!X266+'Dong Lam'!X266+DTR!X266+DTRVL!X266</f>
        <v>55270634444</v>
      </c>
      <c r="Y257" s="201">
        <f>TDP!Y266+'Dai Loc'!Y266+'Khanh Nga'!Y266+'Dong Lam'!Y266+DTR!Y266+DTRVL!Y266</f>
        <v>31305599367</v>
      </c>
      <c r="Z257" s="201">
        <f>TDP!Z266+'Dai Loc'!Z266+'Khanh Nga'!Z266+'Dong Lam'!Z266+DTR!Z266+DTRVL!Z266</f>
        <v>24966464491</v>
      </c>
    </row>
    <row r="258" spans="1:26" ht="15" customHeight="1">
      <c r="A258" s="200" t="s">
        <v>343</v>
      </c>
      <c r="C258" s="201">
        <f>TDP!C267+'Dai Loc'!C267+'Khanh Nga'!C267+'Dong Lam'!C267+DTR!C267+DTRVL!C267</f>
        <v>0</v>
      </c>
      <c r="D258" s="201">
        <f>TDP!D267+'Dai Loc'!D267+'Khanh Nga'!D267+'Dong Lam'!D267+DTR!D267+DTRVL!D267</f>
        <v>0</v>
      </c>
      <c r="E258" s="201">
        <f>TDP!E267+'Dai Loc'!E267+'Khanh Nga'!E267+'Dong Lam'!E267+DTR!E267+DTRVL!E267</f>
        <v>0</v>
      </c>
      <c r="F258" s="201">
        <f>TDP!F267+'Dai Loc'!F267+'Khanh Nga'!F267+'Dong Lam'!F267+DTR!F267+DTRVL!F267</f>
        <v>0</v>
      </c>
      <c r="G258" s="201">
        <f>TDP!G267+'Dai Loc'!G267+'Khanh Nga'!G267+'Dong Lam'!G267+DTR!G267+DTRVL!G267</f>
        <v>0</v>
      </c>
      <c r="H258" s="201">
        <f>TDP!H267+'Dai Loc'!H267+'Khanh Nga'!H267+'Dong Lam'!H267+DTR!H267+DTRVL!H267</f>
        <v>0</v>
      </c>
      <c r="I258" s="201">
        <f>TDP!I267+'Dai Loc'!I267+'Khanh Nga'!I267+'Dong Lam'!I267+DTR!I267+DTRVL!I267</f>
        <v>0</v>
      </c>
      <c r="J258" s="201">
        <f>TDP!J267+'Dai Loc'!J267+'Khanh Nga'!J267+'Dong Lam'!J267+DTR!J267+DTRVL!J267</f>
        <v>0</v>
      </c>
      <c r="K258" s="201">
        <f>TDP!K267+'Dai Loc'!K267+'Khanh Nga'!K267+'Dong Lam'!K267+DTR!K267+DTRVL!K267</f>
        <v>0</v>
      </c>
      <c r="L258" s="201">
        <f>TDP!L267+'Dai Loc'!L267+'Khanh Nga'!L267+'Dong Lam'!L267+DTR!L267+DTRVL!L267</f>
        <v>0</v>
      </c>
      <c r="M258" s="201">
        <f>TDP!M267+'Dai Loc'!M267+'Khanh Nga'!M267+'Dong Lam'!M267+DTR!M267+DTRVL!M267</f>
        <v>0</v>
      </c>
      <c r="N258" s="201">
        <f>TDP!N267+'Dai Loc'!N267+'Khanh Nga'!N267+'Dong Lam'!N267+DTR!N267+DTRVL!N267</f>
        <v>23767004508</v>
      </c>
      <c r="O258" s="201">
        <f>TDP!O267+'Dai Loc'!O267+'Khanh Nga'!O267+'Dong Lam'!O267+DTR!O267+DTRVL!O267</f>
        <v>13667004508</v>
      </c>
      <c r="P258" s="201">
        <f>TDP!P267+'Dai Loc'!P267+'Khanh Nga'!P267+'Dong Lam'!P267+DTR!P267+DTRVL!P267</f>
        <v>13667004508</v>
      </c>
      <c r="Q258" s="201">
        <f>TDP!Q267+'Dai Loc'!Q267+'Khanh Nga'!Q267+'Dong Lam'!Q267+DTR!Q267+DTRVL!Q267</f>
        <v>13667004508</v>
      </c>
      <c r="R258" s="201">
        <f>TDP!R267+'Dai Loc'!R267+'Khanh Nga'!R267+'Dong Lam'!R267+DTR!R267+DTRVL!R267</f>
        <v>21972780304</v>
      </c>
      <c r="S258" s="201">
        <f>TDP!S267+'Dai Loc'!S267+'Khanh Nga'!S267+'Dong Lam'!S267+DTR!S267+DTRVL!S267</f>
        <v>32049798323</v>
      </c>
      <c r="T258" s="201">
        <f>TDP!T267+'Dai Loc'!T267+'Khanh Nga'!T267+'Dong Lam'!T267+DTR!T267+DTRVL!T267</f>
        <v>39585571449</v>
      </c>
      <c r="U258" s="201">
        <f>TDP!U267+'Dai Loc'!U267+'Khanh Nga'!U267+'Dong Lam'!U267+DTR!U267+DTRVL!U267</f>
        <v>54125127716</v>
      </c>
      <c r="V258" s="201">
        <f>TDP!V267+'Dai Loc'!V267+'Khanh Nga'!V267+'Dong Lam'!V267+DTR!V267+DTRVL!V267</f>
        <v>80169222070</v>
      </c>
      <c r="W258" s="201">
        <f>TDP!W267+'Dai Loc'!W267+'Khanh Nga'!W267+'Dong Lam'!W267+DTR!W267+DTRVL!W267</f>
        <v>87240583973</v>
      </c>
      <c r="X258" s="201">
        <f>TDP!X267+'Dai Loc'!X267+'Khanh Nga'!X267+'Dong Lam'!X267+DTR!X267+DTRVL!X267</f>
        <v>64730980597</v>
      </c>
      <c r="Y258" s="201">
        <f>TDP!Y267+'Dai Loc'!Y267+'Khanh Nga'!Y267+'Dong Lam'!Y267+DTR!Y267+DTRVL!Y267</f>
        <v>55405837410</v>
      </c>
      <c r="Z258" s="201">
        <f>TDP!Z267+'Dai Loc'!Z267+'Khanh Nga'!Z267+'Dong Lam'!Z267+DTR!Z267+DTRVL!Z267</f>
        <v>51149160926</v>
      </c>
    </row>
    <row r="259" spans="1:26" ht="15" customHeight="1">
      <c r="A259" s="200" t="s">
        <v>344</v>
      </c>
      <c r="C259" s="201">
        <f>TDP!C268+'Dai Loc'!C268+'Khanh Nga'!C268+'Dong Lam'!C268+DTR!C268+DTRVL!C268</f>
        <v>0</v>
      </c>
      <c r="D259" s="201">
        <f>TDP!D268+'Dai Loc'!D268+'Khanh Nga'!D268+'Dong Lam'!D268+DTR!D268+DTRVL!D268</f>
        <v>0</v>
      </c>
      <c r="E259" s="201">
        <f>TDP!E268+'Dai Loc'!E268+'Khanh Nga'!E268+'Dong Lam'!E268+DTR!E268+DTRVL!E268</f>
        <v>0</v>
      </c>
      <c r="F259" s="201">
        <f>TDP!F268+'Dai Loc'!F268+'Khanh Nga'!F268+'Dong Lam'!F268+DTR!F268+DTRVL!F268</f>
        <v>0</v>
      </c>
      <c r="G259" s="201">
        <f>TDP!G268+'Dai Loc'!G268+'Khanh Nga'!G268+'Dong Lam'!G268+DTR!G268+DTRVL!G268</f>
        <v>0</v>
      </c>
      <c r="H259" s="201">
        <f>TDP!H268+'Dai Loc'!H268+'Khanh Nga'!H268+'Dong Lam'!H268+DTR!H268+DTRVL!H268</f>
        <v>0</v>
      </c>
      <c r="I259" s="201">
        <f>TDP!I268+'Dai Loc'!I268+'Khanh Nga'!I268+'Dong Lam'!I268+DTR!I268+DTRVL!I268</f>
        <v>0</v>
      </c>
      <c r="J259" s="201">
        <f>TDP!J268+'Dai Loc'!J268+'Khanh Nga'!J268+'Dong Lam'!J268+DTR!J268+DTRVL!J268</f>
        <v>0</v>
      </c>
      <c r="K259" s="201">
        <f>TDP!K268+'Dai Loc'!K268+'Khanh Nga'!K268+'Dong Lam'!K268+DTR!K268+DTRVL!K268</f>
        <v>0</v>
      </c>
      <c r="L259" s="201">
        <f>TDP!L268+'Dai Loc'!L268+'Khanh Nga'!L268+'Dong Lam'!L268+DTR!L268+DTRVL!L268</f>
        <v>0</v>
      </c>
      <c r="M259" s="201">
        <f>TDP!M268+'Dai Loc'!M268+'Khanh Nga'!M268+'Dong Lam'!M268+DTR!M268+DTRVL!M268</f>
        <v>0</v>
      </c>
      <c r="N259" s="201">
        <f>TDP!N268+'Dai Loc'!N268+'Khanh Nga'!N268+'Dong Lam'!N268+DTR!N268+DTRVL!N268</f>
        <v>14105920563</v>
      </c>
      <c r="O259" s="201">
        <f>TDP!O268+'Dai Loc'!O268+'Khanh Nga'!O268+'Dong Lam'!O268+DTR!O268+DTRVL!O268</f>
        <v>0</v>
      </c>
      <c r="P259" s="201">
        <f>TDP!P268+'Dai Loc'!P268+'Khanh Nga'!P268+'Dong Lam'!P268+DTR!P268+DTRVL!P268</f>
        <v>0</v>
      </c>
      <c r="Q259" s="201">
        <f>TDP!Q268+'Dai Loc'!Q268+'Khanh Nga'!Q268+'Dong Lam'!Q268+DTR!Q268+DTRVL!Q268</f>
        <v>278194176</v>
      </c>
      <c r="R259" s="201">
        <f>TDP!R268+'Dai Loc'!R268+'Khanh Nga'!R268+'Dong Lam'!R268+DTR!R268+DTRVL!R268</f>
        <v>278194176</v>
      </c>
      <c r="S259" s="201">
        <f>TDP!S268+'Dai Loc'!S268+'Khanh Nga'!S268+'Dong Lam'!S268+DTR!S268+DTRVL!S268</f>
        <v>6031380657</v>
      </c>
      <c r="T259" s="201">
        <f>TDP!T268+'Dai Loc'!T268+'Khanh Nga'!T268+'Dong Lam'!T268+DTR!T268+DTRVL!T268</f>
        <v>14430851772</v>
      </c>
      <c r="U259" s="201">
        <f>TDP!U268+'Dai Loc'!U268+'Khanh Nga'!U268+'Dong Lam'!U268+DTR!U268+DTRVL!U268</f>
        <v>18498731431</v>
      </c>
      <c r="V259" s="201">
        <f>TDP!V268+'Dai Loc'!V268+'Khanh Nga'!V268+'Dong Lam'!V268+DTR!V268+DTRVL!V268</f>
        <v>23865375229</v>
      </c>
      <c r="W259" s="201">
        <f>TDP!W268+'Dai Loc'!W268+'Khanh Nga'!W268+'Dong Lam'!W268+DTR!W268+DTRVL!W268</f>
        <v>56646971705</v>
      </c>
      <c r="X259" s="201">
        <f>TDP!X268+'Dai Loc'!X268+'Khanh Nga'!X268+'Dong Lam'!X268+DTR!X268+DTRVL!X268</f>
        <v>67671155323</v>
      </c>
      <c r="Y259" s="201">
        <f>TDP!Y268+'Dai Loc'!Y268+'Khanh Nga'!Y268+'Dong Lam'!Y268+DTR!Y268+DTRVL!Y268</f>
        <v>95052324284</v>
      </c>
      <c r="Z259" s="201">
        <f>TDP!Z268+'Dai Loc'!Z268+'Khanh Nga'!Z268+'Dong Lam'!Z268+DTR!Z268+DTRVL!Z268</f>
        <v>99872206577</v>
      </c>
    </row>
    <row r="260" spans="1:26" ht="15" customHeight="1">
      <c r="A260" s="200" t="s">
        <v>345</v>
      </c>
      <c r="C260" s="201">
        <f>TDP!C269+'Dai Loc'!C269+'Khanh Nga'!C269+'Dong Lam'!C269+DTR!C269+DTRVL!C269</f>
        <v>0</v>
      </c>
      <c r="D260" s="201">
        <f>TDP!D269+'Dai Loc'!D269+'Khanh Nga'!D269+'Dong Lam'!D269+DTR!D269+DTRVL!D269</f>
        <v>0</v>
      </c>
      <c r="E260" s="201">
        <f>TDP!E269+'Dai Loc'!E269+'Khanh Nga'!E269+'Dong Lam'!E269+DTR!E269+DTRVL!E269</f>
        <v>0</v>
      </c>
      <c r="F260" s="201">
        <f>TDP!F269+'Dai Loc'!F269+'Khanh Nga'!F269+'Dong Lam'!F269+DTR!F269+DTRVL!F269</f>
        <v>0</v>
      </c>
      <c r="G260" s="201">
        <f>TDP!G269+'Dai Loc'!G269+'Khanh Nga'!G269+'Dong Lam'!G269+DTR!G269+DTRVL!G269</f>
        <v>0</v>
      </c>
      <c r="H260" s="201">
        <f>TDP!H269+'Dai Loc'!H269+'Khanh Nga'!H269+'Dong Lam'!H269+DTR!H269+DTRVL!H269</f>
        <v>0</v>
      </c>
      <c r="I260" s="201">
        <f>TDP!I269+'Dai Loc'!I269+'Khanh Nga'!I269+'Dong Lam'!I269+DTR!I269+DTRVL!I269</f>
        <v>0</v>
      </c>
      <c r="J260" s="201">
        <f>TDP!J269+'Dai Loc'!J269+'Khanh Nga'!J269+'Dong Lam'!J269+DTR!J269+DTRVL!J269</f>
        <v>0</v>
      </c>
      <c r="K260" s="201">
        <f>TDP!K269+'Dai Loc'!K269+'Khanh Nga'!K269+'Dong Lam'!K269+DTR!K269+DTRVL!K269</f>
        <v>0</v>
      </c>
      <c r="L260" s="201">
        <f>TDP!L269+'Dai Loc'!L269+'Khanh Nga'!L269+'Dong Lam'!L269+DTR!L269+DTRVL!L269</f>
        <v>0</v>
      </c>
      <c r="M260" s="201">
        <f>TDP!M269+'Dai Loc'!M269+'Khanh Nga'!M269+'Dong Lam'!M269+DTR!M269+DTRVL!M269</f>
        <v>0</v>
      </c>
      <c r="N260" s="201">
        <f>TDP!N269+'Dai Loc'!N269+'Khanh Nga'!N269+'Dong Lam'!N269+DTR!N269+DTRVL!N269</f>
        <v>0</v>
      </c>
      <c r="O260" s="201">
        <f>TDP!O269+'Dai Loc'!O269+'Khanh Nga'!O269+'Dong Lam'!O269+DTR!O269+DTRVL!O269</f>
        <v>0</v>
      </c>
      <c r="P260" s="201">
        <f>TDP!P269+'Dai Loc'!P269+'Khanh Nga'!P269+'Dong Lam'!P269+DTR!P269+DTRVL!P269</f>
        <v>0</v>
      </c>
      <c r="Q260" s="201">
        <f>TDP!Q269+'Dai Loc'!Q269+'Khanh Nga'!Q269+'Dong Lam'!Q269+DTR!Q269+DTRVL!Q269</f>
        <v>0</v>
      </c>
      <c r="R260" s="201">
        <f>TDP!R269+'Dai Loc'!R269+'Khanh Nga'!R269+'Dong Lam'!R269+DTR!R269+DTRVL!R269</f>
        <v>0</v>
      </c>
      <c r="S260" s="201">
        <f>TDP!S269+'Dai Loc'!S269+'Khanh Nga'!S269+'Dong Lam'!S269+DTR!S269+DTRVL!S269</f>
        <v>0</v>
      </c>
      <c r="T260" s="201">
        <f>TDP!T269+'Dai Loc'!T269+'Khanh Nga'!T269+'Dong Lam'!T269+DTR!T269+DTRVL!T269</f>
        <v>0</v>
      </c>
      <c r="U260" s="201">
        <f>TDP!U269+'Dai Loc'!U269+'Khanh Nga'!U269+'Dong Lam'!U269+DTR!U269+DTRVL!U269</f>
        <v>144752832</v>
      </c>
      <c r="V260" s="201">
        <f>TDP!V269+'Dai Loc'!V269+'Khanh Nga'!V269+'Dong Lam'!V269+DTR!V269+DTRVL!V269</f>
        <v>144752832</v>
      </c>
      <c r="W260" s="201">
        <f>TDP!W269+'Dai Loc'!W269+'Khanh Nga'!W269+'Dong Lam'!W269+DTR!W269+DTRVL!W269</f>
        <v>4692390016</v>
      </c>
      <c r="X260" s="201">
        <f>TDP!X269+'Dai Loc'!X269+'Khanh Nga'!X269+'Dong Lam'!X269+DTR!X269+DTRVL!X269</f>
        <v>4692390016</v>
      </c>
      <c r="Y260" s="201">
        <f>TDP!Y269+'Dai Loc'!Y269+'Khanh Nga'!Y269+'Dong Lam'!Y269+DTR!Y269+DTRVL!Y269</f>
        <v>4547637184</v>
      </c>
      <c r="Z260" s="201">
        <f>TDP!Z269+'Dai Loc'!Z269+'Khanh Nga'!Z269+'Dong Lam'!Z269+DTR!Z269+DTRVL!Z269</f>
        <v>0</v>
      </c>
    </row>
    <row r="261" spans="1:26" ht="15" customHeight="1">
      <c r="A261" s="200" t="s">
        <v>346</v>
      </c>
      <c r="C261" s="201">
        <f>TDP!C270+'Dai Loc'!C270+'Khanh Nga'!C270+'Dong Lam'!C270+DTR!C270+DTRVL!C270</f>
        <v>0</v>
      </c>
      <c r="D261" s="201">
        <f>TDP!D270+'Dai Loc'!D270+'Khanh Nga'!D270+'Dong Lam'!D270+DTR!D270+DTRVL!D270</f>
        <v>0</v>
      </c>
      <c r="E261" s="201">
        <f>TDP!E270+'Dai Loc'!E270+'Khanh Nga'!E270+'Dong Lam'!E270+DTR!E270+DTRVL!E270</f>
        <v>0</v>
      </c>
      <c r="F261" s="201">
        <f>TDP!F270+'Dai Loc'!F270+'Khanh Nga'!F270+'Dong Lam'!F270+DTR!F270+DTRVL!F270</f>
        <v>0</v>
      </c>
      <c r="G261" s="201">
        <f>TDP!G270+'Dai Loc'!G270+'Khanh Nga'!G270+'Dong Lam'!G270+DTR!G270+DTRVL!G270</f>
        <v>0</v>
      </c>
      <c r="H261" s="201">
        <f>TDP!H270+'Dai Loc'!H270+'Khanh Nga'!H270+'Dong Lam'!H270+DTR!H270+DTRVL!H270</f>
        <v>0</v>
      </c>
      <c r="I261" s="201">
        <f>TDP!I270+'Dai Loc'!I270+'Khanh Nga'!I270+'Dong Lam'!I270+DTR!I270+DTRVL!I270</f>
        <v>0</v>
      </c>
      <c r="J261" s="201">
        <f>TDP!J270+'Dai Loc'!J270+'Khanh Nga'!J270+'Dong Lam'!J270+DTR!J270+DTRVL!J270</f>
        <v>0</v>
      </c>
      <c r="K261" s="201">
        <f>TDP!K270+'Dai Loc'!K270+'Khanh Nga'!K270+'Dong Lam'!K270+DTR!K270+DTRVL!K270</f>
        <v>0</v>
      </c>
      <c r="L261" s="201">
        <f>TDP!L270+'Dai Loc'!L270+'Khanh Nga'!L270+'Dong Lam'!L270+DTR!L270+DTRVL!L270</f>
        <v>0</v>
      </c>
      <c r="M261" s="201">
        <f>TDP!M270+'Dai Loc'!M270+'Khanh Nga'!M270+'Dong Lam'!M270+DTR!M270+DTRVL!M270</f>
        <v>0</v>
      </c>
      <c r="N261" s="201">
        <f>TDP!N270+'Dai Loc'!N270+'Khanh Nga'!N270+'Dong Lam'!N270+DTR!N270+DTRVL!N270</f>
        <v>0</v>
      </c>
      <c r="O261" s="201">
        <f>TDP!O270+'Dai Loc'!O270+'Khanh Nga'!O270+'Dong Lam'!O270+DTR!O270+DTRVL!O270</f>
        <v>0</v>
      </c>
      <c r="P261" s="201">
        <f>TDP!P270+'Dai Loc'!P270+'Khanh Nga'!P270+'Dong Lam'!P270+DTR!P270+DTRVL!P270</f>
        <v>0</v>
      </c>
      <c r="Q261" s="201">
        <f>TDP!Q270+'Dai Loc'!Q270+'Khanh Nga'!Q270+'Dong Lam'!Q270+DTR!Q270+DTRVL!Q270</f>
        <v>0</v>
      </c>
      <c r="R261" s="201">
        <f>TDP!R270+'Dai Loc'!R270+'Khanh Nga'!R270+'Dong Lam'!R270+DTR!R270+DTRVL!R270</f>
        <v>0</v>
      </c>
      <c r="S261" s="201">
        <f>TDP!S270+'Dai Loc'!S270+'Khanh Nga'!S270+'Dong Lam'!S270+DTR!S270+DTRVL!S270</f>
        <v>0</v>
      </c>
      <c r="T261" s="201">
        <f>TDP!T270+'Dai Loc'!T270+'Khanh Nga'!T270+'Dong Lam'!T270+DTR!T270+DTRVL!T270</f>
        <v>0</v>
      </c>
      <c r="U261" s="201">
        <f>TDP!U270+'Dai Loc'!U270+'Khanh Nga'!U270+'Dong Lam'!U270+DTR!U270+DTRVL!U270</f>
        <v>0</v>
      </c>
      <c r="V261" s="201">
        <f>TDP!V270+'Dai Loc'!V270+'Khanh Nga'!V270+'Dong Lam'!V270+DTR!V270+DTRVL!V270</f>
        <v>0</v>
      </c>
      <c r="W261" s="201">
        <f>TDP!W270+'Dai Loc'!W270+'Khanh Nga'!W270+'Dong Lam'!W270+DTR!W270+DTRVL!W270</f>
        <v>0</v>
      </c>
      <c r="X261" s="201">
        <f>TDP!X270+'Dai Loc'!X270+'Khanh Nga'!X270+'Dong Lam'!X270+DTR!X270+DTRVL!X270</f>
        <v>0</v>
      </c>
      <c r="Y261" s="201">
        <f>TDP!Y270+'Dai Loc'!Y270+'Khanh Nga'!Y270+'Dong Lam'!Y270+DTR!Y270+DTRVL!Y270</f>
        <v>0</v>
      </c>
      <c r="Z261" s="201">
        <f>TDP!Z270+'Dai Loc'!Z270+'Khanh Nga'!Z270+'Dong Lam'!Z270+DTR!Z270+DTRVL!Z270</f>
        <v>0</v>
      </c>
    </row>
    <row r="262" spans="1:26" ht="15" customHeight="1">
      <c r="A262" s="200" t="s">
        <v>347</v>
      </c>
      <c r="C262" s="201">
        <f>TDP!C271+'Dai Loc'!C271+'Khanh Nga'!C271+'Dong Lam'!C271+DTR!C271+DTRVL!C271</f>
        <v>0</v>
      </c>
      <c r="D262" s="201">
        <f>TDP!D271+'Dai Loc'!D271+'Khanh Nga'!D271+'Dong Lam'!D271+DTR!D271+DTRVL!D271</f>
        <v>0</v>
      </c>
      <c r="E262" s="201">
        <f>TDP!E271+'Dai Loc'!E271+'Khanh Nga'!E271+'Dong Lam'!E271+DTR!E271+DTRVL!E271</f>
        <v>0</v>
      </c>
      <c r="F262" s="201">
        <f>TDP!F271+'Dai Loc'!F271+'Khanh Nga'!F271+'Dong Lam'!F271+DTR!F271+DTRVL!F271</f>
        <v>0</v>
      </c>
      <c r="G262" s="201">
        <f>TDP!G271+'Dai Loc'!G271+'Khanh Nga'!G271+'Dong Lam'!G271+DTR!G271+DTRVL!G271</f>
        <v>0</v>
      </c>
      <c r="H262" s="201">
        <f>TDP!H271+'Dai Loc'!H271+'Khanh Nga'!H271+'Dong Lam'!H271+DTR!H271+DTRVL!H271</f>
        <v>0</v>
      </c>
      <c r="I262" s="201">
        <f>TDP!I271+'Dai Loc'!I271+'Khanh Nga'!I271+'Dong Lam'!I271+DTR!I271+DTRVL!I271</f>
        <v>0</v>
      </c>
      <c r="J262" s="201">
        <f>TDP!J271+'Dai Loc'!J271+'Khanh Nga'!J271+'Dong Lam'!J271+DTR!J271+DTRVL!J271</f>
        <v>0</v>
      </c>
      <c r="K262" s="201">
        <f>TDP!K271+'Dai Loc'!K271+'Khanh Nga'!K271+'Dong Lam'!K271+DTR!K271+DTRVL!K271</f>
        <v>0</v>
      </c>
      <c r="L262" s="201">
        <f>TDP!L271+'Dai Loc'!L271+'Khanh Nga'!L271+'Dong Lam'!L271+DTR!L271+DTRVL!L271</f>
        <v>0</v>
      </c>
      <c r="M262" s="201">
        <f>TDP!M271+'Dai Loc'!M271+'Khanh Nga'!M271+'Dong Lam'!M271+DTR!M271+DTRVL!M271</f>
        <v>0</v>
      </c>
      <c r="N262" s="201">
        <f>TDP!N271+'Dai Loc'!N271+'Khanh Nga'!N271+'Dong Lam'!N271+DTR!N271+DTRVL!N271</f>
        <v>0</v>
      </c>
      <c r="O262" s="201">
        <f>TDP!O271+'Dai Loc'!O271+'Khanh Nga'!O271+'Dong Lam'!O271+DTR!O271+DTRVL!O271</f>
        <v>0</v>
      </c>
      <c r="P262" s="201">
        <f>TDP!P271+'Dai Loc'!P271+'Khanh Nga'!P271+'Dong Lam'!P271+DTR!P271+DTRVL!P271</f>
        <v>0</v>
      </c>
      <c r="Q262" s="201">
        <f>TDP!Q271+'Dai Loc'!Q271+'Khanh Nga'!Q271+'Dong Lam'!Q271+DTR!Q271+DTRVL!Q271</f>
        <v>0</v>
      </c>
      <c r="R262" s="201">
        <f>TDP!R271+'Dai Loc'!R271+'Khanh Nga'!R271+'Dong Lam'!R271+DTR!R271+DTRVL!R271</f>
        <v>0</v>
      </c>
      <c r="S262" s="201">
        <f>TDP!S271+'Dai Loc'!S271+'Khanh Nga'!S271+'Dong Lam'!S271+DTR!S271+DTRVL!S271</f>
        <v>0</v>
      </c>
      <c r="T262" s="201">
        <f>TDP!T271+'Dai Loc'!T271+'Khanh Nga'!T271+'Dong Lam'!T271+DTR!T271+DTRVL!T271</f>
        <v>0</v>
      </c>
      <c r="U262" s="201">
        <f>TDP!U271+'Dai Loc'!U271+'Khanh Nga'!U271+'Dong Lam'!U271+DTR!U271+DTRVL!U271</f>
        <v>0</v>
      </c>
      <c r="V262" s="201">
        <f>TDP!V271+'Dai Loc'!V271+'Khanh Nga'!V271+'Dong Lam'!V271+DTR!V271+DTRVL!V271</f>
        <v>0</v>
      </c>
      <c r="W262" s="201">
        <f>TDP!W271+'Dai Loc'!W271+'Khanh Nga'!W271+'Dong Lam'!W271+DTR!W271+DTRVL!W271</f>
        <v>0</v>
      </c>
      <c r="X262" s="201">
        <f>TDP!X271+'Dai Loc'!X271+'Khanh Nga'!X271+'Dong Lam'!X271+DTR!X271+DTRVL!X271</f>
        <v>0</v>
      </c>
      <c r="Y262" s="201">
        <f>TDP!Y271+'Dai Loc'!Y271+'Khanh Nga'!Y271+'Dong Lam'!Y271+DTR!Y271+DTRVL!Y271</f>
        <v>0</v>
      </c>
      <c r="Z262" s="201">
        <f>TDP!Z271+'Dai Loc'!Z271+'Khanh Nga'!Z271+'Dong Lam'!Z271+DTR!Z271+DTRVL!Z271</f>
        <v>0</v>
      </c>
    </row>
    <row r="263" spans="1:26" ht="15" customHeight="1">
      <c r="C263" s="201">
        <f>TDP!C272+'Dai Loc'!C272+'Khanh Nga'!C272+'Dong Lam'!C272+DTR!C272+DTRVL!C272</f>
        <v>0</v>
      </c>
      <c r="D263" s="201">
        <f>TDP!D272+'Dai Loc'!D272+'Khanh Nga'!D272+'Dong Lam'!D272+DTR!D272+DTRVL!D272</f>
        <v>0</v>
      </c>
      <c r="E263" s="201">
        <f>TDP!E272+'Dai Loc'!E272+'Khanh Nga'!E272+'Dong Lam'!E272+DTR!E272+DTRVL!E272</f>
        <v>0</v>
      </c>
      <c r="F263" s="201">
        <f>TDP!F272+'Dai Loc'!F272+'Khanh Nga'!F272+'Dong Lam'!F272+DTR!F272+DTRVL!F272</f>
        <v>0</v>
      </c>
      <c r="G263" s="201">
        <f>TDP!G272+'Dai Loc'!G272+'Khanh Nga'!G272+'Dong Lam'!G272+DTR!G272+DTRVL!G272</f>
        <v>0</v>
      </c>
      <c r="H263" s="201">
        <f>TDP!H272+'Dai Loc'!H272+'Khanh Nga'!H272+'Dong Lam'!H272+DTR!H272+DTRVL!H272</f>
        <v>0</v>
      </c>
      <c r="I263" s="201">
        <f>TDP!I272+'Dai Loc'!I272+'Khanh Nga'!I272+'Dong Lam'!I272+DTR!I272+DTRVL!I272</f>
        <v>0</v>
      </c>
      <c r="J263" s="201">
        <f>TDP!J272+'Dai Loc'!J272+'Khanh Nga'!J272+'Dong Lam'!J272+DTR!J272+DTRVL!J272</f>
        <v>0</v>
      </c>
      <c r="K263" s="201">
        <f>TDP!K272+'Dai Loc'!K272+'Khanh Nga'!K272+'Dong Lam'!K272+DTR!K272+DTRVL!K272</f>
        <v>0</v>
      </c>
      <c r="L263" s="201">
        <f>TDP!L272+'Dai Loc'!L272+'Khanh Nga'!L272+'Dong Lam'!L272+DTR!L272+DTRVL!L272</f>
        <v>0</v>
      </c>
      <c r="M263" s="201">
        <f>TDP!M272+'Dai Loc'!M272+'Khanh Nga'!M272+'Dong Lam'!M272+DTR!M272+DTRVL!M272</f>
        <v>0</v>
      </c>
      <c r="N263" s="201">
        <f>TDP!N272+'Dai Loc'!N272+'Khanh Nga'!N272+'Dong Lam'!N272+DTR!N272+DTRVL!N272</f>
        <v>0</v>
      </c>
      <c r="O263" s="201">
        <f>TDP!O272+'Dai Loc'!O272+'Khanh Nga'!O272+'Dong Lam'!O272+DTR!O272+DTRVL!O272</f>
        <v>0</v>
      </c>
      <c r="P263" s="201">
        <f>TDP!P272+'Dai Loc'!P272+'Khanh Nga'!P272+'Dong Lam'!P272+DTR!P272+DTRVL!P272</f>
        <v>0</v>
      </c>
      <c r="Q263" s="201">
        <f>TDP!Q272+'Dai Loc'!Q272+'Khanh Nga'!Q272+'Dong Lam'!Q272+DTR!Q272+DTRVL!Q272</f>
        <v>0</v>
      </c>
      <c r="R263" s="201">
        <f>TDP!R272+'Dai Loc'!R272+'Khanh Nga'!R272+'Dong Lam'!R272+DTR!R272+DTRVL!R272</f>
        <v>0</v>
      </c>
      <c r="S263" s="201">
        <f>TDP!S272+'Dai Loc'!S272+'Khanh Nga'!S272+'Dong Lam'!S272+DTR!S272+DTRVL!S272</f>
        <v>0</v>
      </c>
      <c r="T263" s="201">
        <f>TDP!T272+'Dai Loc'!T272+'Khanh Nga'!T272+'Dong Lam'!T272+DTR!T272+DTRVL!T272</f>
        <v>0</v>
      </c>
      <c r="U263" s="201">
        <f>TDP!U272+'Dai Loc'!U272+'Khanh Nga'!U272+'Dong Lam'!U272+DTR!U272+DTRVL!U272</f>
        <v>0</v>
      </c>
      <c r="V263" s="201">
        <f>TDP!V272+'Dai Loc'!V272+'Khanh Nga'!V272+'Dong Lam'!V272+DTR!V272+DTRVL!V272</f>
        <v>0</v>
      </c>
      <c r="W263" s="201">
        <f>TDP!W272+'Dai Loc'!W272+'Khanh Nga'!W272+'Dong Lam'!W272+DTR!W272+DTRVL!W272</f>
        <v>0</v>
      </c>
      <c r="X263" s="201">
        <f>TDP!X272+'Dai Loc'!X272+'Khanh Nga'!X272+'Dong Lam'!X272+DTR!X272+DTRVL!X272</f>
        <v>0</v>
      </c>
      <c r="Y263" s="201">
        <f>TDP!Y272+'Dai Loc'!Y272+'Khanh Nga'!Y272+'Dong Lam'!Y272+DTR!Y272+DTRVL!Y272</f>
        <v>0</v>
      </c>
      <c r="Z263" s="201">
        <f>TDP!Z272+'Dai Loc'!Z272+'Khanh Nga'!Z272+'Dong Lam'!Z272+DTR!Z272+DTRVL!Z272</f>
        <v>0</v>
      </c>
    </row>
    <row r="264" spans="1:26" ht="15" customHeight="1">
      <c r="A264" s="202" t="s">
        <v>348</v>
      </c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</row>
    <row r="265" spans="1:26" ht="15" customHeight="1">
      <c r="A265" s="200" t="str">
        <f>A256</f>
        <v>ACB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</row>
    <row r="266" spans="1:26" ht="15" customHeight="1">
      <c r="A266" s="200" t="str">
        <f t="shared" ref="A266:A271" si="38">A257</f>
        <v>VietinBank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</row>
    <row r="267" spans="1:26" ht="15" customHeight="1">
      <c r="A267" s="200" t="str">
        <f t="shared" si="38"/>
        <v>Vietcombank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</row>
    <row r="268" spans="1:26" ht="15" customHeight="1">
      <c r="A268" s="200" t="str">
        <f t="shared" si="38"/>
        <v>BIDV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 spans="1:26" ht="15" customHeight="1">
      <c r="A269" s="200" t="str">
        <f t="shared" si="38"/>
        <v>Standard Chartered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 spans="1:26" ht="15" customHeight="1">
      <c r="A270" s="200" t="str">
        <f t="shared" si="38"/>
        <v>VILC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</row>
    <row r="271" spans="1:26" ht="15" customHeight="1">
      <c r="A271" s="200" t="str">
        <f t="shared" si="38"/>
        <v>IVB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</row>
    <row r="272" spans="1:26" ht="15" customHeight="1"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 spans="1:26" ht="15" customHeight="1">
      <c r="A273" s="196" t="s">
        <v>349</v>
      </c>
      <c r="B273" s="197"/>
      <c r="C273" s="199">
        <f>SUM(C274:C281)</f>
        <v>0</v>
      </c>
      <c r="D273" s="199">
        <f t="shared" ref="D273:Z273" si="39">SUM(D274:D281)</f>
        <v>0</v>
      </c>
      <c r="E273" s="199">
        <f t="shared" si="39"/>
        <v>0</v>
      </c>
      <c r="F273" s="199">
        <f t="shared" si="39"/>
        <v>0</v>
      </c>
      <c r="G273" s="199">
        <f t="shared" si="39"/>
        <v>0</v>
      </c>
      <c r="H273" s="199">
        <f t="shared" si="39"/>
        <v>0</v>
      </c>
      <c r="I273" s="199">
        <f t="shared" si="39"/>
        <v>0</v>
      </c>
      <c r="J273" s="199">
        <f t="shared" si="39"/>
        <v>0</v>
      </c>
      <c r="K273" s="199">
        <f t="shared" si="39"/>
        <v>0</v>
      </c>
      <c r="L273" s="199">
        <f t="shared" si="39"/>
        <v>0</v>
      </c>
      <c r="M273" s="199">
        <f t="shared" si="39"/>
        <v>0</v>
      </c>
      <c r="N273" s="199">
        <f t="shared" si="39"/>
        <v>107172751116</v>
      </c>
      <c r="O273" s="199">
        <f t="shared" si="39"/>
        <v>108410341946</v>
      </c>
      <c r="P273" s="199">
        <f t="shared" si="39"/>
        <v>104162504168</v>
      </c>
      <c r="Q273" s="199">
        <f t="shared" si="39"/>
        <v>103325726390</v>
      </c>
      <c r="R273" s="199">
        <f t="shared" si="39"/>
        <v>102252755220</v>
      </c>
      <c r="S273" s="199">
        <f t="shared" si="39"/>
        <v>98004917442</v>
      </c>
      <c r="T273" s="199">
        <f t="shared" si="39"/>
        <v>77121791394</v>
      </c>
      <c r="U273" s="199">
        <f t="shared" si="39"/>
        <v>76048820224</v>
      </c>
      <c r="V273" s="199">
        <f t="shared" si="39"/>
        <v>74463510446</v>
      </c>
      <c r="W273" s="199">
        <f t="shared" si="39"/>
        <v>73626732668</v>
      </c>
      <c r="X273" s="199">
        <f t="shared" si="39"/>
        <v>72553761498</v>
      </c>
      <c r="Y273" s="199">
        <f t="shared" si="39"/>
        <v>71031650720</v>
      </c>
      <c r="Z273" s="199">
        <f t="shared" si="39"/>
        <v>69631372942</v>
      </c>
    </row>
    <row r="274" spans="1:26" ht="15" customHeight="1">
      <c r="A274" s="200" t="str">
        <f>A256</f>
        <v>ACB</v>
      </c>
      <c r="C274" s="201">
        <f>TDP!C283+'Dai Loc'!C283+'Khanh Nga'!C283+'Dong Lam'!C283+DTR!C283+DTRVL!C283</f>
        <v>0</v>
      </c>
      <c r="D274" s="201">
        <f>TDP!D283+'Dai Loc'!D283+'Khanh Nga'!D283+'Dong Lam'!D283+DTR!D283+DTRVL!D283</f>
        <v>0</v>
      </c>
      <c r="E274" s="201">
        <f>TDP!E283+'Dai Loc'!E283+'Khanh Nga'!E283+'Dong Lam'!E283+DTR!E283+DTRVL!E283</f>
        <v>0</v>
      </c>
      <c r="F274" s="201">
        <f>TDP!F283+'Dai Loc'!F283+'Khanh Nga'!F283+'Dong Lam'!F283+DTR!F283+DTRVL!F283</f>
        <v>0</v>
      </c>
      <c r="G274" s="201">
        <f>TDP!G283+'Dai Loc'!G283+'Khanh Nga'!G283+'Dong Lam'!G283+DTR!G283+DTRVL!G283</f>
        <v>0</v>
      </c>
      <c r="H274" s="201">
        <f>TDP!H283+'Dai Loc'!H283+'Khanh Nga'!H283+'Dong Lam'!H283+DTR!H283+DTRVL!H283</f>
        <v>0</v>
      </c>
      <c r="I274" s="201">
        <f>TDP!I283+'Dai Loc'!I283+'Khanh Nga'!I283+'Dong Lam'!I283+DTR!I283+DTRVL!I283</f>
        <v>0</v>
      </c>
      <c r="J274" s="201">
        <f>TDP!J283+'Dai Loc'!J283+'Khanh Nga'!J283+'Dong Lam'!J283+DTR!J283+DTRVL!J283</f>
        <v>0</v>
      </c>
      <c r="K274" s="201">
        <f>TDP!K283+'Dai Loc'!K283+'Khanh Nga'!K283+'Dong Lam'!K283+DTR!K283+DTRVL!K283</f>
        <v>0</v>
      </c>
      <c r="L274" s="201">
        <f>TDP!L283+'Dai Loc'!L283+'Khanh Nga'!L283+'Dong Lam'!L283+DTR!L283+DTRVL!L283</f>
        <v>0</v>
      </c>
      <c r="M274" s="201">
        <f>TDP!M283+'Dai Loc'!M283+'Khanh Nga'!M283+'Dong Lam'!M283+DTR!M283+DTRVL!M283</f>
        <v>0</v>
      </c>
      <c r="N274" s="201">
        <f>TDP!N283+'Dai Loc'!N283+'Khanh Nga'!N283+'Dong Lam'!N283+DTR!N283+DTRVL!N283</f>
        <v>79950528894</v>
      </c>
      <c r="O274" s="201">
        <f>TDP!O283+'Dai Loc'!O283+'Khanh Nga'!O283+'Dong Lam'!O283+DTR!O283+DTRVL!O283</f>
        <v>81965897502</v>
      </c>
      <c r="P274" s="201">
        <f>TDP!P283+'Dai Loc'!P283+'Khanh Nga'!P283+'Dong Lam'!P283+DTR!P283+DTRVL!P283</f>
        <v>78495837502</v>
      </c>
      <c r="Q274" s="201">
        <f>TDP!Q283+'Dai Loc'!Q283+'Khanh Nga'!Q283+'Dong Lam'!Q283+DTR!Q283+DTRVL!Q283</f>
        <v>78436837502</v>
      </c>
      <c r="R274" s="201">
        <f>TDP!R283+'Dai Loc'!R283+'Khanh Nga'!R283+'Dong Lam'!R283+DTR!R283+DTRVL!R283</f>
        <v>78141644110</v>
      </c>
      <c r="S274" s="201">
        <f>TDP!S283+'Dai Loc'!S283+'Khanh Nga'!S283+'Dong Lam'!S283+DTR!S283+DTRVL!S283</f>
        <v>74671584110</v>
      </c>
      <c r="T274" s="201">
        <f>TDP!T283+'Dai Loc'!T283+'Khanh Nga'!T283+'Dong Lam'!T283+DTR!T283+DTRVL!T283</f>
        <v>54566235840</v>
      </c>
      <c r="U274" s="201">
        <f>TDP!U283+'Dai Loc'!U283+'Khanh Nga'!U283+'Dong Lam'!U283+DTR!U283+DTRVL!U283</f>
        <v>54271042448</v>
      </c>
      <c r="V274" s="201">
        <f>TDP!V283+'Dai Loc'!V283+'Khanh Nga'!V283+'Dong Lam'!V283+DTR!V283+DTRVL!V283</f>
        <v>51904970448</v>
      </c>
      <c r="W274" s="201">
        <f>TDP!W283+'Dai Loc'!W283+'Khanh Nga'!W283+'Dong Lam'!W283+DTR!W283+DTRVL!W283</f>
        <v>51845970448</v>
      </c>
      <c r="X274" s="201">
        <f>TDP!X283+'Dai Loc'!X283+'Khanh Nga'!X283+'Dong Lam'!X283+DTR!X283+DTRVL!X283</f>
        <v>51550777056</v>
      </c>
      <c r="Y274" s="201">
        <f>TDP!Y283+'Dai Loc'!Y283+'Khanh Nga'!Y283+'Dong Lam'!Y283+DTR!Y283+DTRVL!Y283</f>
        <v>49748205056</v>
      </c>
      <c r="Z274" s="201">
        <f>TDP!Z283+'Dai Loc'!Z283+'Khanh Nga'!Z283+'Dong Lam'!Z283+DTR!Z283+DTRVL!Z283</f>
        <v>49125705056</v>
      </c>
    </row>
    <row r="275" spans="1:26" ht="15" customHeight="1">
      <c r="A275" s="200" t="str">
        <f>A257</f>
        <v>VietinBank</v>
      </c>
      <c r="C275" s="201">
        <f>TDP!C284+'Dai Loc'!C284+'Khanh Nga'!C284+'Dong Lam'!C284+DTR!C284+DTRVL!C284</f>
        <v>0</v>
      </c>
      <c r="D275" s="201">
        <f>TDP!D284+'Dai Loc'!D284+'Khanh Nga'!D284+'Dong Lam'!D284+DTR!D284+DTRVL!D284</f>
        <v>0</v>
      </c>
      <c r="E275" s="201">
        <f>TDP!E284+'Dai Loc'!E284+'Khanh Nga'!E284+'Dong Lam'!E284+DTR!E284+DTRVL!E284</f>
        <v>0</v>
      </c>
      <c r="F275" s="201">
        <f>TDP!F284+'Dai Loc'!F284+'Khanh Nga'!F284+'Dong Lam'!F284+DTR!F284+DTRVL!F284</f>
        <v>0</v>
      </c>
      <c r="G275" s="201">
        <f>TDP!G284+'Dai Loc'!G284+'Khanh Nga'!G284+'Dong Lam'!G284+DTR!G284+DTRVL!G284</f>
        <v>0</v>
      </c>
      <c r="H275" s="201">
        <f>TDP!H284+'Dai Loc'!H284+'Khanh Nga'!H284+'Dong Lam'!H284+DTR!H284+DTRVL!H284</f>
        <v>0</v>
      </c>
      <c r="I275" s="201">
        <f>TDP!I284+'Dai Loc'!I284+'Khanh Nga'!I284+'Dong Lam'!I284+DTR!I284+DTRVL!I284</f>
        <v>0</v>
      </c>
      <c r="J275" s="201">
        <f>TDP!J284+'Dai Loc'!J284+'Khanh Nga'!J284+'Dong Lam'!J284+DTR!J284+DTRVL!J284</f>
        <v>0</v>
      </c>
      <c r="K275" s="201">
        <f>TDP!K284+'Dai Loc'!K284+'Khanh Nga'!K284+'Dong Lam'!K284+DTR!K284+DTRVL!K284</f>
        <v>0</v>
      </c>
      <c r="L275" s="201">
        <f>TDP!L284+'Dai Loc'!L284+'Khanh Nga'!L284+'Dong Lam'!L284+DTR!L284+DTRVL!L284</f>
        <v>0</v>
      </c>
      <c r="M275" s="201">
        <f>TDP!M284+'Dai Loc'!M284+'Khanh Nga'!M284+'Dong Lam'!M284+DTR!M284+DTRVL!M284</f>
        <v>0</v>
      </c>
      <c r="N275" s="201">
        <f>TDP!N284+'Dai Loc'!N284+'Khanh Nga'!N284+'Dong Lam'!N284+DTR!N284+DTRVL!N284</f>
        <v>0</v>
      </c>
      <c r="O275" s="201">
        <f>TDP!O284+'Dai Loc'!O284+'Khanh Nga'!O284+'Dong Lam'!O284+DTR!O284+DTRVL!O284</f>
        <v>0</v>
      </c>
      <c r="P275" s="201">
        <f>TDP!P284+'Dai Loc'!P284+'Khanh Nga'!P284+'Dong Lam'!P284+DTR!P284+DTRVL!P284</f>
        <v>0</v>
      </c>
      <c r="Q275" s="201">
        <f>TDP!Q284+'Dai Loc'!Q284+'Khanh Nga'!Q284+'Dong Lam'!Q284+DTR!Q284+DTRVL!Q284</f>
        <v>0</v>
      </c>
      <c r="R275" s="201">
        <f>TDP!R284+'Dai Loc'!R284+'Khanh Nga'!R284+'Dong Lam'!R284+DTR!R284+DTRVL!R284</f>
        <v>0</v>
      </c>
      <c r="S275" s="201">
        <f>TDP!S284+'Dai Loc'!S284+'Khanh Nga'!S284+'Dong Lam'!S284+DTR!S284+DTRVL!S284</f>
        <v>0</v>
      </c>
      <c r="T275" s="201">
        <f>TDP!T284+'Dai Loc'!T284+'Khanh Nga'!T284+'Dong Lam'!T284+DTR!T284+DTRVL!T284</f>
        <v>0</v>
      </c>
      <c r="U275" s="201">
        <f>TDP!U284+'Dai Loc'!U284+'Khanh Nga'!U284+'Dong Lam'!U284+DTR!U284+DTRVL!U284</f>
        <v>0</v>
      </c>
      <c r="V275" s="201">
        <f>TDP!V284+'Dai Loc'!V284+'Khanh Nga'!V284+'Dong Lam'!V284+DTR!V284+DTRVL!V284</f>
        <v>1558540000</v>
      </c>
      <c r="W275" s="201">
        <f>TDP!W284+'Dai Loc'!W284+'Khanh Nga'!W284+'Dong Lam'!W284+DTR!W284+DTRVL!W284</f>
        <v>1558540000</v>
      </c>
      <c r="X275" s="201">
        <f>TDP!X284+'Dai Loc'!X284+'Khanh Nga'!X284+'Dong Lam'!X284+DTR!X284+DTRVL!X284</f>
        <v>1558540000</v>
      </c>
      <c r="Y275" s="201">
        <f>TDP!Y284+'Dai Loc'!Y284+'Khanh Nga'!Y284+'Dong Lam'!Y284+DTR!Y284+DTRVL!Y284</f>
        <v>2616779000</v>
      </c>
      <c r="Z275" s="201">
        <f>TDP!Z284+'Dai Loc'!Z284+'Khanh Nga'!Z284+'Dong Lam'!Z284+DTR!Z284+DTRVL!Z284</f>
        <v>2616779000</v>
      </c>
    </row>
    <row r="276" spans="1:26" ht="15" customHeight="1">
      <c r="A276" s="200" t="str">
        <f>A258</f>
        <v>Vietcombank</v>
      </c>
      <c r="C276" s="201">
        <f>TDP!C285+'Dai Loc'!C285+'Khanh Nga'!C285+'Dong Lam'!C285+DTR!C285+DTRVL!C285</f>
        <v>0</v>
      </c>
      <c r="D276" s="201">
        <f>TDP!D285+'Dai Loc'!D285+'Khanh Nga'!D285+'Dong Lam'!D285+DTR!D285+DTRVL!D285</f>
        <v>0</v>
      </c>
      <c r="E276" s="201">
        <f>TDP!E285+'Dai Loc'!E285+'Khanh Nga'!E285+'Dong Lam'!E285+DTR!E285+DTRVL!E285</f>
        <v>0</v>
      </c>
      <c r="F276" s="201">
        <f>TDP!F285+'Dai Loc'!F285+'Khanh Nga'!F285+'Dong Lam'!F285+DTR!F285+DTRVL!F285</f>
        <v>0</v>
      </c>
      <c r="G276" s="201">
        <f>TDP!G285+'Dai Loc'!G285+'Khanh Nga'!G285+'Dong Lam'!G285+DTR!G285+DTRVL!G285</f>
        <v>0</v>
      </c>
      <c r="H276" s="201">
        <f>TDP!H285+'Dai Loc'!H285+'Khanh Nga'!H285+'Dong Lam'!H285+DTR!H285+DTRVL!H285</f>
        <v>0</v>
      </c>
      <c r="I276" s="201">
        <f>TDP!I285+'Dai Loc'!I285+'Khanh Nga'!I285+'Dong Lam'!I285+DTR!I285+DTRVL!I285</f>
        <v>0</v>
      </c>
      <c r="J276" s="201">
        <f>TDP!J285+'Dai Loc'!J285+'Khanh Nga'!J285+'Dong Lam'!J285+DTR!J285+DTRVL!J285</f>
        <v>0</v>
      </c>
      <c r="K276" s="201">
        <f>TDP!K285+'Dai Loc'!K285+'Khanh Nga'!K285+'Dong Lam'!K285+DTR!K285+DTRVL!K285</f>
        <v>0</v>
      </c>
      <c r="L276" s="201">
        <f>TDP!L285+'Dai Loc'!L285+'Khanh Nga'!L285+'Dong Lam'!L285+DTR!L285+DTRVL!L285</f>
        <v>0</v>
      </c>
      <c r="M276" s="201">
        <f>TDP!M285+'Dai Loc'!M285+'Khanh Nga'!M285+'Dong Lam'!M285+DTR!M285+DTRVL!M285</f>
        <v>0</v>
      </c>
      <c r="N276" s="201">
        <f>TDP!N285+'Dai Loc'!N285+'Khanh Nga'!N285+'Dong Lam'!N285+DTR!N285+DTRVL!N285</f>
        <v>0</v>
      </c>
      <c r="O276" s="201">
        <f>TDP!O285+'Dai Loc'!O285+'Khanh Nga'!O285+'Dong Lam'!O285+DTR!O285+DTRVL!O285</f>
        <v>0</v>
      </c>
      <c r="P276" s="201">
        <f>TDP!P285+'Dai Loc'!P285+'Khanh Nga'!P285+'Dong Lam'!P285+DTR!P285+DTRVL!P285</f>
        <v>0</v>
      </c>
      <c r="Q276" s="201">
        <f>TDP!Q285+'Dai Loc'!Q285+'Khanh Nga'!Q285+'Dong Lam'!Q285+DTR!Q285+DTRVL!Q285</f>
        <v>0</v>
      </c>
      <c r="R276" s="201">
        <f>TDP!R285+'Dai Loc'!R285+'Khanh Nga'!R285+'Dong Lam'!R285+DTR!R285+DTRVL!R285</f>
        <v>0</v>
      </c>
      <c r="S276" s="201">
        <f>TDP!S285+'Dai Loc'!S285+'Khanh Nga'!S285+'Dong Lam'!S285+DTR!S285+DTRVL!S285</f>
        <v>0</v>
      </c>
      <c r="T276" s="201">
        <f>TDP!T285+'Dai Loc'!T285+'Khanh Nga'!T285+'Dong Lam'!T285+DTR!T285+DTRVL!T285</f>
        <v>0</v>
      </c>
      <c r="U276" s="201">
        <f>TDP!U285+'Dai Loc'!U285+'Khanh Nga'!U285+'Dong Lam'!U285+DTR!U285+DTRVL!U285</f>
        <v>0</v>
      </c>
      <c r="V276" s="201">
        <f>TDP!V285+'Dai Loc'!V285+'Khanh Nga'!V285+'Dong Lam'!V285+DTR!V285+DTRVL!V285</f>
        <v>0</v>
      </c>
      <c r="W276" s="201">
        <f>TDP!W285+'Dai Loc'!W285+'Khanh Nga'!W285+'Dong Lam'!W285+DTR!W285+DTRVL!W285</f>
        <v>0</v>
      </c>
      <c r="X276" s="201">
        <f>TDP!X285+'Dai Loc'!X285+'Khanh Nga'!X285+'Dong Lam'!X285+DTR!X285+DTRVL!X285</f>
        <v>0</v>
      </c>
      <c r="Y276" s="201">
        <f>TDP!Y285+'Dai Loc'!Y285+'Khanh Nga'!Y285+'Dong Lam'!Y285+DTR!Y285+DTRVL!Y285</f>
        <v>0</v>
      </c>
      <c r="Z276" s="201">
        <f>TDP!Z285+'Dai Loc'!Z285+'Khanh Nga'!Z285+'Dong Lam'!Z285+DTR!Z285+DTRVL!Z285</f>
        <v>0</v>
      </c>
    </row>
    <row r="277" spans="1:26" ht="15" customHeight="1">
      <c r="A277" s="200" t="s">
        <v>344</v>
      </c>
      <c r="C277" s="201">
        <f>TDP!C286+'Dai Loc'!C286+'Khanh Nga'!C286+'Dong Lam'!C286+DTR!C286+DTRVL!C286</f>
        <v>0</v>
      </c>
      <c r="D277" s="201">
        <f>TDP!D286+'Dai Loc'!D286+'Khanh Nga'!D286+'Dong Lam'!D286+DTR!D286+DTRVL!D286</f>
        <v>0</v>
      </c>
      <c r="E277" s="201">
        <f>TDP!E286+'Dai Loc'!E286+'Khanh Nga'!E286+'Dong Lam'!E286+DTR!E286+DTRVL!E286</f>
        <v>0</v>
      </c>
      <c r="F277" s="201">
        <f>TDP!F286+'Dai Loc'!F286+'Khanh Nga'!F286+'Dong Lam'!F286+DTR!F286+DTRVL!F286</f>
        <v>0</v>
      </c>
      <c r="G277" s="201">
        <f>TDP!G286+'Dai Loc'!G286+'Khanh Nga'!G286+'Dong Lam'!G286+DTR!G286+DTRVL!G286</f>
        <v>0</v>
      </c>
      <c r="H277" s="201">
        <f>TDP!H286+'Dai Loc'!H286+'Khanh Nga'!H286+'Dong Lam'!H286+DTR!H286+DTRVL!H286</f>
        <v>0</v>
      </c>
      <c r="I277" s="201">
        <f>TDP!I286+'Dai Loc'!I286+'Khanh Nga'!I286+'Dong Lam'!I286+DTR!I286+DTRVL!I286</f>
        <v>0</v>
      </c>
      <c r="J277" s="201">
        <f>TDP!J286+'Dai Loc'!J286+'Khanh Nga'!J286+'Dong Lam'!J286+DTR!J286+DTRVL!J286</f>
        <v>0</v>
      </c>
      <c r="K277" s="201">
        <f>TDP!K286+'Dai Loc'!K286+'Khanh Nga'!K286+'Dong Lam'!K286+DTR!K286+DTRVL!K286</f>
        <v>0</v>
      </c>
      <c r="L277" s="201">
        <f>TDP!L286+'Dai Loc'!L286+'Khanh Nga'!L286+'Dong Lam'!L286+DTR!L286+DTRVL!L286</f>
        <v>0</v>
      </c>
      <c r="M277" s="201">
        <f>TDP!M286+'Dai Loc'!M286+'Khanh Nga'!M286+'Dong Lam'!M286+DTR!M286+DTRVL!M286</f>
        <v>0</v>
      </c>
      <c r="N277" s="201">
        <f>TDP!N286+'Dai Loc'!N286+'Khanh Nga'!N286+'Dong Lam'!N286+DTR!N286+DTRVL!N286</f>
        <v>0</v>
      </c>
      <c r="O277" s="201">
        <f>TDP!O286+'Dai Loc'!O286+'Khanh Nga'!O286+'Dong Lam'!O286+DTR!O286+DTRVL!O286</f>
        <v>0</v>
      </c>
      <c r="P277" s="201">
        <f>TDP!P286+'Dai Loc'!P286+'Khanh Nga'!P286+'Dong Lam'!P286+DTR!P286+DTRVL!P286</f>
        <v>0</v>
      </c>
      <c r="Q277" s="201">
        <f>TDP!Q286+'Dai Loc'!Q286+'Khanh Nga'!Q286+'Dong Lam'!Q286+DTR!Q286+DTRVL!Q286</f>
        <v>0</v>
      </c>
      <c r="R277" s="201">
        <f>TDP!R286+'Dai Loc'!R286+'Khanh Nga'!R286+'Dong Lam'!R286+DTR!R286+DTRVL!R286</f>
        <v>0</v>
      </c>
      <c r="S277" s="201">
        <f>TDP!S286+'Dai Loc'!S286+'Khanh Nga'!S286+'Dong Lam'!S286+DTR!S286+DTRVL!S286</f>
        <v>0</v>
      </c>
      <c r="T277" s="201">
        <f>TDP!T286+'Dai Loc'!T286+'Khanh Nga'!T286+'Dong Lam'!T286+DTR!T286+DTRVL!T286</f>
        <v>0</v>
      </c>
      <c r="U277" s="201">
        <f>TDP!U286+'Dai Loc'!U286+'Khanh Nga'!U286+'Dong Lam'!U286+DTR!U286+DTRVL!U286</f>
        <v>0</v>
      </c>
      <c r="V277" s="201">
        <f>TDP!V286+'Dai Loc'!V286+'Khanh Nga'!V286+'Dong Lam'!V286+DTR!V286+DTRVL!V286</f>
        <v>0</v>
      </c>
      <c r="W277" s="201">
        <f>TDP!W286+'Dai Loc'!W286+'Khanh Nga'!W286+'Dong Lam'!W286+DTR!W286+DTRVL!W286</f>
        <v>0</v>
      </c>
      <c r="X277" s="201">
        <f>TDP!X286+'Dai Loc'!X286+'Khanh Nga'!X286+'Dong Lam'!X286+DTR!X286+DTRVL!X286</f>
        <v>0</v>
      </c>
      <c r="Y277" s="201">
        <f>TDP!Y286+'Dai Loc'!Y286+'Khanh Nga'!Y286+'Dong Lam'!Y286+DTR!Y286+DTRVL!Y286</f>
        <v>0</v>
      </c>
      <c r="Z277" s="201">
        <f>TDP!Z286+'Dai Loc'!Z286+'Khanh Nga'!Z286+'Dong Lam'!Z286+DTR!Z286+DTRVL!Z286</f>
        <v>0</v>
      </c>
    </row>
    <row r="278" spans="1:26" ht="15" customHeight="1">
      <c r="A278" s="200" t="str">
        <f>A260</f>
        <v>Standard Chartered</v>
      </c>
      <c r="C278" s="201">
        <f>TDP!C287+'Dai Loc'!C287+'Khanh Nga'!C287+'Dong Lam'!C287+DTR!C287+DTRVL!C287</f>
        <v>0</v>
      </c>
      <c r="D278" s="201">
        <f>TDP!D287+'Dai Loc'!D287+'Khanh Nga'!D287+'Dong Lam'!D287+DTR!D287+DTRVL!D287</f>
        <v>0</v>
      </c>
      <c r="E278" s="201">
        <f>TDP!E287+'Dai Loc'!E287+'Khanh Nga'!E287+'Dong Lam'!E287+DTR!E287+DTRVL!E287</f>
        <v>0</v>
      </c>
      <c r="F278" s="201">
        <f>TDP!F287+'Dai Loc'!F287+'Khanh Nga'!F287+'Dong Lam'!F287+DTR!F287+DTRVL!F287</f>
        <v>0</v>
      </c>
      <c r="G278" s="201">
        <f>TDP!G287+'Dai Loc'!G287+'Khanh Nga'!G287+'Dong Lam'!G287+DTR!G287+DTRVL!G287</f>
        <v>0</v>
      </c>
      <c r="H278" s="201">
        <f>TDP!H287+'Dai Loc'!H287+'Khanh Nga'!H287+'Dong Lam'!H287+DTR!H287+DTRVL!H287</f>
        <v>0</v>
      </c>
      <c r="I278" s="201">
        <f>TDP!I287+'Dai Loc'!I287+'Khanh Nga'!I287+'Dong Lam'!I287+DTR!I287+DTRVL!I287</f>
        <v>0</v>
      </c>
      <c r="J278" s="201">
        <f>TDP!J287+'Dai Loc'!J287+'Khanh Nga'!J287+'Dong Lam'!J287+DTR!J287+DTRVL!J287</f>
        <v>0</v>
      </c>
      <c r="K278" s="201">
        <f>TDP!K287+'Dai Loc'!K287+'Khanh Nga'!K287+'Dong Lam'!K287+DTR!K287+DTRVL!K287</f>
        <v>0</v>
      </c>
      <c r="L278" s="201">
        <f>TDP!L287+'Dai Loc'!L287+'Khanh Nga'!L287+'Dong Lam'!L287+DTR!L287+DTRVL!L287</f>
        <v>0</v>
      </c>
      <c r="M278" s="201">
        <f>TDP!M287+'Dai Loc'!M287+'Khanh Nga'!M287+'Dong Lam'!M287+DTR!M287+DTRVL!M287</f>
        <v>0</v>
      </c>
      <c r="N278" s="201">
        <f>TDP!N287+'Dai Loc'!N287+'Khanh Nga'!N287+'Dong Lam'!N287+DTR!N287+DTRVL!N287</f>
        <v>0</v>
      </c>
      <c r="O278" s="201">
        <f>TDP!O287+'Dai Loc'!O287+'Khanh Nga'!O287+'Dong Lam'!O287+DTR!O287+DTRVL!O287</f>
        <v>0</v>
      </c>
      <c r="P278" s="201">
        <f>TDP!P287+'Dai Loc'!P287+'Khanh Nga'!P287+'Dong Lam'!P287+DTR!P287+DTRVL!P287</f>
        <v>0</v>
      </c>
      <c r="Q278" s="201">
        <f>TDP!Q287+'Dai Loc'!Q287+'Khanh Nga'!Q287+'Dong Lam'!Q287+DTR!Q287+DTRVL!Q287</f>
        <v>0</v>
      </c>
      <c r="R278" s="201">
        <f>TDP!R287+'Dai Loc'!R287+'Khanh Nga'!R287+'Dong Lam'!R287+DTR!R287+DTRVL!R287</f>
        <v>0</v>
      </c>
      <c r="S278" s="201">
        <f>TDP!S287+'Dai Loc'!S287+'Khanh Nga'!S287+'Dong Lam'!S287+DTR!S287+DTRVL!S287</f>
        <v>0</v>
      </c>
      <c r="T278" s="201">
        <f>TDP!T287+'Dai Loc'!T287+'Khanh Nga'!T287+'Dong Lam'!T287+DTR!T287+DTRVL!T287</f>
        <v>0</v>
      </c>
      <c r="U278" s="201">
        <f>TDP!U287+'Dai Loc'!U287+'Khanh Nga'!U287+'Dong Lam'!U287+DTR!U287+DTRVL!U287</f>
        <v>0</v>
      </c>
      <c r="V278" s="201">
        <f>TDP!V287+'Dai Loc'!V287+'Khanh Nga'!V287+'Dong Lam'!V287+DTR!V287+DTRVL!V287</f>
        <v>0</v>
      </c>
      <c r="W278" s="201">
        <f>TDP!W287+'Dai Loc'!W287+'Khanh Nga'!W287+'Dong Lam'!W287+DTR!W287+DTRVL!W287</f>
        <v>0</v>
      </c>
      <c r="X278" s="201">
        <f>TDP!X287+'Dai Loc'!X287+'Khanh Nga'!X287+'Dong Lam'!X287+DTR!X287+DTRVL!X287</f>
        <v>0</v>
      </c>
      <c r="Y278" s="201">
        <f>TDP!Y287+'Dai Loc'!Y287+'Khanh Nga'!Y287+'Dong Lam'!Y287+DTR!Y287+DTRVL!Y287</f>
        <v>0</v>
      </c>
      <c r="Z278" s="201">
        <f>TDP!Z287+'Dai Loc'!Z287+'Khanh Nga'!Z287+'Dong Lam'!Z287+DTR!Z287+DTRVL!Z287</f>
        <v>0</v>
      </c>
    </row>
    <row r="279" spans="1:26" ht="15" customHeight="1">
      <c r="A279" s="200" t="s">
        <v>346</v>
      </c>
      <c r="C279" s="201">
        <f>TDP!C288+'Dai Loc'!C288+'Khanh Nga'!C288+'Dong Lam'!C288+DTR!C288+DTRVL!C288</f>
        <v>0</v>
      </c>
      <c r="D279" s="201">
        <f>TDP!D288+'Dai Loc'!D288+'Khanh Nga'!D288+'Dong Lam'!D288+DTR!D288+DTRVL!D288</f>
        <v>0</v>
      </c>
      <c r="E279" s="201">
        <f>TDP!E288+'Dai Loc'!E288+'Khanh Nga'!E288+'Dong Lam'!E288+DTR!E288+DTRVL!E288</f>
        <v>0</v>
      </c>
      <c r="F279" s="201">
        <f>TDP!F288+'Dai Loc'!F288+'Khanh Nga'!F288+'Dong Lam'!F288+DTR!F288+DTRVL!F288</f>
        <v>0</v>
      </c>
      <c r="G279" s="201">
        <f>TDP!G288+'Dai Loc'!G288+'Khanh Nga'!G288+'Dong Lam'!G288+DTR!G288+DTRVL!G288</f>
        <v>0</v>
      </c>
      <c r="H279" s="201">
        <f>TDP!H288+'Dai Loc'!H288+'Khanh Nga'!H288+'Dong Lam'!H288+DTR!H288+DTRVL!H288</f>
        <v>0</v>
      </c>
      <c r="I279" s="201">
        <f>TDP!I288+'Dai Loc'!I288+'Khanh Nga'!I288+'Dong Lam'!I288+DTR!I288+DTRVL!I288</f>
        <v>0</v>
      </c>
      <c r="J279" s="201">
        <f>TDP!J288+'Dai Loc'!J288+'Khanh Nga'!J288+'Dong Lam'!J288+DTR!J288+DTRVL!J288</f>
        <v>0</v>
      </c>
      <c r="K279" s="201">
        <f>TDP!K288+'Dai Loc'!K288+'Khanh Nga'!K288+'Dong Lam'!K288+DTR!K288+DTRVL!K288</f>
        <v>0</v>
      </c>
      <c r="L279" s="201">
        <f>TDP!L288+'Dai Loc'!L288+'Khanh Nga'!L288+'Dong Lam'!L288+DTR!L288+DTRVL!L288</f>
        <v>0</v>
      </c>
      <c r="M279" s="201">
        <f>TDP!M288+'Dai Loc'!M288+'Khanh Nga'!M288+'Dong Lam'!M288+DTR!M288+DTRVL!M288</f>
        <v>0</v>
      </c>
      <c r="N279" s="201">
        <f>TDP!N288+'Dai Loc'!N288+'Khanh Nga'!N288+'Dong Lam'!N288+DTR!N288+DTRVL!N288</f>
        <v>27222222222</v>
      </c>
      <c r="O279" s="201">
        <f>TDP!O288+'Dai Loc'!O288+'Khanh Nga'!O288+'Dong Lam'!O288+DTR!O288+DTRVL!O288</f>
        <v>26444444444</v>
      </c>
      <c r="P279" s="201">
        <f>TDP!P288+'Dai Loc'!P288+'Khanh Nga'!P288+'Dong Lam'!P288+DTR!P288+DTRVL!P288</f>
        <v>25666666666</v>
      </c>
      <c r="Q279" s="201">
        <f>TDP!Q288+'Dai Loc'!Q288+'Khanh Nga'!Q288+'Dong Lam'!Q288+DTR!Q288+DTRVL!Q288</f>
        <v>24888888888</v>
      </c>
      <c r="R279" s="201">
        <f>TDP!R288+'Dai Loc'!R288+'Khanh Nga'!R288+'Dong Lam'!R288+DTR!R288+DTRVL!R288</f>
        <v>24111111110</v>
      </c>
      <c r="S279" s="201">
        <f>TDP!S288+'Dai Loc'!S288+'Khanh Nga'!S288+'Dong Lam'!S288+DTR!S288+DTRVL!S288</f>
        <v>23333333332</v>
      </c>
      <c r="T279" s="201">
        <f>TDP!T288+'Dai Loc'!T288+'Khanh Nga'!T288+'Dong Lam'!T288+DTR!T288+DTRVL!T288</f>
        <v>22555555554</v>
      </c>
      <c r="U279" s="201">
        <f>TDP!U288+'Dai Loc'!U288+'Khanh Nga'!U288+'Dong Lam'!U288+DTR!U288+DTRVL!U288</f>
        <v>21777777776</v>
      </c>
      <c r="V279" s="201">
        <f>TDP!V288+'Dai Loc'!V288+'Khanh Nga'!V288+'Dong Lam'!V288+DTR!V288+DTRVL!V288</f>
        <v>20999999998</v>
      </c>
      <c r="W279" s="201">
        <f>TDP!W288+'Dai Loc'!W288+'Khanh Nga'!W288+'Dong Lam'!W288+DTR!W288+DTRVL!W288</f>
        <v>20222222220</v>
      </c>
      <c r="X279" s="201">
        <f>TDP!X288+'Dai Loc'!X288+'Khanh Nga'!X288+'Dong Lam'!X288+DTR!X288+DTRVL!X288</f>
        <v>19444444442</v>
      </c>
      <c r="Y279" s="201">
        <f>TDP!Y288+'Dai Loc'!Y288+'Khanh Nga'!Y288+'Dong Lam'!Y288+DTR!Y288+DTRVL!Y288</f>
        <v>18666666664</v>
      </c>
      <c r="Z279" s="201">
        <f>TDP!Z288+'Dai Loc'!Z288+'Khanh Nga'!Z288+'Dong Lam'!Z288+DTR!Z288+DTRVL!Z288</f>
        <v>17888888886</v>
      </c>
    </row>
    <row r="280" spans="1:26" ht="15" customHeight="1">
      <c r="A280" s="200" t="s">
        <v>347</v>
      </c>
      <c r="C280" s="201">
        <f>TDP!C289+'Dai Loc'!C289+'Khanh Nga'!C289+'Dong Lam'!C289+DTR!C289+DTRVL!C289</f>
        <v>0</v>
      </c>
      <c r="D280" s="201">
        <f>TDP!D289+'Dai Loc'!D289+'Khanh Nga'!D289+'Dong Lam'!D289+DTR!D289+DTRVL!D289</f>
        <v>0</v>
      </c>
      <c r="E280" s="201">
        <f>TDP!E289+'Dai Loc'!E289+'Khanh Nga'!E289+'Dong Lam'!E289+DTR!E289+DTRVL!E289</f>
        <v>0</v>
      </c>
      <c r="F280" s="201">
        <f>TDP!F289+'Dai Loc'!F289+'Khanh Nga'!F289+'Dong Lam'!F289+DTR!F289+DTRVL!F289</f>
        <v>0</v>
      </c>
      <c r="G280" s="201">
        <f>TDP!G289+'Dai Loc'!G289+'Khanh Nga'!G289+'Dong Lam'!G289+DTR!G289+DTRVL!G289</f>
        <v>0</v>
      </c>
      <c r="H280" s="201">
        <f>TDP!H289+'Dai Loc'!H289+'Khanh Nga'!H289+'Dong Lam'!H289+DTR!H289+DTRVL!H289</f>
        <v>0</v>
      </c>
      <c r="I280" s="201">
        <f>TDP!I289+'Dai Loc'!I289+'Khanh Nga'!I289+'Dong Lam'!I289+DTR!I289+DTRVL!I289</f>
        <v>0</v>
      </c>
      <c r="J280" s="201">
        <f>TDP!J289+'Dai Loc'!J289+'Khanh Nga'!J289+'Dong Lam'!J289+DTR!J289+DTRVL!J289</f>
        <v>0</v>
      </c>
      <c r="K280" s="201">
        <f>TDP!K289+'Dai Loc'!K289+'Khanh Nga'!K289+'Dong Lam'!K289+DTR!K289+DTRVL!K289</f>
        <v>0</v>
      </c>
      <c r="L280" s="201">
        <f>TDP!L289+'Dai Loc'!L289+'Khanh Nga'!L289+'Dong Lam'!L289+DTR!L289+DTRVL!L289</f>
        <v>0</v>
      </c>
      <c r="M280" s="201">
        <f>TDP!M289+'Dai Loc'!M289+'Khanh Nga'!M289+'Dong Lam'!M289+DTR!M289+DTRVL!M289</f>
        <v>0</v>
      </c>
      <c r="N280" s="201">
        <f>TDP!N289+'Dai Loc'!N289+'Khanh Nga'!N289+'Dong Lam'!N289+DTR!N289+DTRVL!N289</f>
        <v>0</v>
      </c>
      <c r="O280" s="201">
        <f>TDP!O289+'Dai Loc'!O289+'Khanh Nga'!O289+'Dong Lam'!O289+DTR!O289+DTRVL!O289</f>
        <v>0</v>
      </c>
      <c r="P280" s="201">
        <f>TDP!P289+'Dai Loc'!P289+'Khanh Nga'!P289+'Dong Lam'!P289+DTR!P289+DTRVL!P289</f>
        <v>0</v>
      </c>
      <c r="Q280" s="201">
        <f>TDP!Q289+'Dai Loc'!Q289+'Khanh Nga'!Q289+'Dong Lam'!Q289+DTR!Q289+DTRVL!Q289</f>
        <v>0</v>
      </c>
      <c r="R280" s="201">
        <f>TDP!R289+'Dai Loc'!R289+'Khanh Nga'!R289+'Dong Lam'!R289+DTR!R289+DTRVL!R289</f>
        <v>0</v>
      </c>
      <c r="S280" s="201">
        <f>TDP!S289+'Dai Loc'!S289+'Khanh Nga'!S289+'Dong Lam'!S289+DTR!S289+DTRVL!S289</f>
        <v>0</v>
      </c>
      <c r="T280" s="201">
        <f>TDP!T289+'Dai Loc'!T289+'Khanh Nga'!T289+'Dong Lam'!T289+DTR!T289+DTRVL!T289</f>
        <v>0</v>
      </c>
      <c r="U280" s="201">
        <f>TDP!U289+'Dai Loc'!U289+'Khanh Nga'!U289+'Dong Lam'!U289+DTR!U289+DTRVL!U289</f>
        <v>0</v>
      </c>
      <c r="V280" s="201">
        <f>TDP!V289+'Dai Loc'!V289+'Khanh Nga'!V289+'Dong Lam'!V289+DTR!V289+DTRVL!V289</f>
        <v>0</v>
      </c>
      <c r="W280" s="201">
        <f>TDP!W289+'Dai Loc'!W289+'Khanh Nga'!W289+'Dong Lam'!W289+DTR!W289+DTRVL!W289</f>
        <v>0</v>
      </c>
      <c r="X280" s="201">
        <f>TDP!X289+'Dai Loc'!X289+'Khanh Nga'!X289+'Dong Lam'!X289+DTR!X289+DTRVL!X289</f>
        <v>0</v>
      </c>
      <c r="Y280" s="201">
        <f>TDP!Y289+'Dai Loc'!Y289+'Khanh Nga'!Y289+'Dong Lam'!Y289+DTR!Y289+DTRVL!Y289</f>
        <v>0</v>
      </c>
      <c r="Z280" s="201">
        <f>TDP!Z289+'Dai Loc'!Z289+'Khanh Nga'!Z289+'Dong Lam'!Z289+DTR!Z289+DTRVL!Z289</f>
        <v>0</v>
      </c>
    </row>
    <row r="281" spans="1:26" ht="15" customHeight="1">
      <c r="C281" s="49">
        <f>TDP!C290+'Dai Loc'!C290+'Khanh Nga'!C290+'Dong Lam'!C290+DTR!C290+DTRVL!C290</f>
        <v>0</v>
      </c>
      <c r="D281" s="49">
        <f>TDP!D290+'Dai Loc'!D290+'Khanh Nga'!D290+'Dong Lam'!D290+DTR!D290+DTRVL!D290</f>
        <v>0</v>
      </c>
      <c r="E281" s="49">
        <f>TDP!E290+'Dai Loc'!E290+'Khanh Nga'!E290+'Dong Lam'!E290+DTR!E290+DTRVL!E290</f>
        <v>0</v>
      </c>
      <c r="F281" s="49">
        <f>TDP!F290+'Dai Loc'!F290+'Khanh Nga'!F290+'Dong Lam'!F290+DTR!F290+DTRVL!F290</f>
        <v>0</v>
      </c>
      <c r="G281" s="49">
        <f>TDP!G290+'Dai Loc'!G290+'Khanh Nga'!G290+'Dong Lam'!G290+DTR!G290+DTRVL!G290</f>
        <v>0</v>
      </c>
      <c r="H281" s="49">
        <f>TDP!H290+'Dai Loc'!H290+'Khanh Nga'!H290+'Dong Lam'!H290+DTR!H290+DTRVL!H290</f>
        <v>0</v>
      </c>
      <c r="I281" s="49">
        <f>TDP!I290+'Dai Loc'!I290+'Khanh Nga'!I290+'Dong Lam'!I290+DTR!I290+DTRVL!I290</f>
        <v>0</v>
      </c>
      <c r="J281" s="49">
        <f>TDP!J290+'Dai Loc'!J290+'Khanh Nga'!J290+'Dong Lam'!J290+DTR!J290+DTRVL!J290</f>
        <v>0</v>
      </c>
      <c r="K281" s="49">
        <f>TDP!K290+'Dai Loc'!K290+'Khanh Nga'!K290+'Dong Lam'!K290+DTR!K290+DTRVL!K290</f>
        <v>0</v>
      </c>
      <c r="L281" s="49">
        <f>TDP!L290+'Dai Loc'!L290+'Khanh Nga'!L290+'Dong Lam'!L290+DTR!L290+DTRVL!L290</f>
        <v>0</v>
      </c>
      <c r="M281" s="49">
        <f>TDP!M290+'Dai Loc'!M290+'Khanh Nga'!M290+'Dong Lam'!M290+DTR!M290+DTRVL!M290</f>
        <v>0</v>
      </c>
      <c r="N281" s="49">
        <f>TDP!N290+'Dai Loc'!N290+'Khanh Nga'!N290+'Dong Lam'!N290+DTR!N290+DTRVL!N290</f>
        <v>0</v>
      </c>
      <c r="O281" s="49">
        <f>TDP!O290+'Dai Loc'!O290+'Khanh Nga'!O290+'Dong Lam'!O290+DTR!O290+DTRVL!O290</f>
        <v>0</v>
      </c>
      <c r="P281" s="49">
        <f>TDP!P290+'Dai Loc'!P290+'Khanh Nga'!P290+'Dong Lam'!P290+DTR!P290+DTRVL!P290</f>
        <v>0</v>
      </c>
      <c r="Q281" s="49">
        <f>TDP!Q290+'Dai Loc'!Q290+'Khanh Nga'!Q290+'Dong Lam'!Q290+DTR!Q290+DTRVL!Q290</f>
        <v>0</v>
      </c>
      <c r="R281" s="49">
        <f>TDP!R290+'Dai Loc'!R290+'Khanh Nga'!R290+'Dong Lam'!R290+DTR!R290+DTRVL!R290</f>
        <v>0</v>
      </c>
      <c r="S281" s="49">
        <f>TDP!S290+'Dai Loc'!S290+'Khanh Nga'!S290+'Dong Lam'!S290+DTR!S290+DTRVL!S290</f>
        <v>0</v>
      </c>
      <c r="T281" s="49">
        <f>TDP!T290+'Dai Loc'!T290+'Khanh Nga'!T290+'Dong Lam'!T290+DTR!T290+DTRVL!T290</f>
        <v>0</v>
      </c>
      <c r="U281" s="49">
        <f>TDP!U290+'Dai Loc'!U290+'Khanh Nga'!U290+'Dong Lam'!U290+DTR!U290+DTRVL!U290</f>
        <v>0</v>
      </c>
      <c r="V281" s="49">
        <f>TDP!V290+'Dai Loc'!V290+'Khanh Nga'!V290+'Dong Lam'!V290+DTR!V290+DTRVL!V290</f>
        <v>0</v>
      </c>
      <c r="W281" s="49">
        <f>TDP!W290+'Dai Loc'!W290+'Khanh Nga'!W290+'Dong Lam'!W290+DTR!W290+DTRVL!W290</f>
        <v>0</v>
      </c>
      <c r="X281" s="49">
        <f>TDP!X290+'Dai Loc'!X290+'Khanh Nga'!X290+'Dong Lam'!X290+DTR!X290+DTRVL!X290</f>
        <v>0</v>
      </c>
      <c r="Y281" s="49">
        <f>TDP!Y290+'Dai Loc'!Y290+'Khanh Nga'!Y290+'Dong Lam'!Y290+DTR!Y290+DTRVL!Y290</f>
        <v>0</v>
      </c>
      <c r="Z281" s="49">
        <f>TDP!Z290+'Dai Loc'!Z290+'Khanh Nga'!Z290+'Dong Lam'!Z290+DTR!Z290+DTRVL!Z290</f>
        <v>0</v>
      </c>
    </row>
    <row r="282" spans="1:26" ht="15" customHeight="1">
      <c r="A282" s="202" t="s">
        <v>350</v>
      </c>
    </row>
    <row r="283" spans="1:26" ht="15" customHeight="1">
      <c r="A283" s="200" t="str">
        <f>A274</f>
        <v>ACB</v>
      </c>
    </row>
    <row r="284" spans="1:26" ht="15" customHeight="1">
      <c r="A284" s="200" t="str">
        <f t="shared" ref="A284:A289" si="40">A275</f>
        <v>VietinBank</v>
      </c>
    </row>
    <row r="285" spans="1:26" ht="15" customHeight="1">
      <c r="A285" s="200" t="str">
        <f t="shared" si="40"/>
        <v>Vietcombank</v>
      </c>
    </row>
    <row r="286" spans="1:26" ht="15" customHeight="1">
      <c r="A286" s="200" t="str">
        <f t="shared" si="40"/>
        <v>BIDV</v>
      </c>
    </row>
    <row r="287" spans="1:26" ht="15" customHeight="1">
      <c r="A287" s="200" t="str">
        <f t="shared" si="40"/>
        <v>Standard Chartered</v>
      </c>
    </row>
    <row r="288" spans="1:26" ht="15" customHeight="1">
      <c r="A288" s="200" t="str">
        <f t="shared" si="40"/>
        <v>VILC</v>
      </c>
    </row>
    <row r="289" spans="1:26" ht="15" customHeight="1">
      <c r="A289" s="200" t="str">
        <f t="shared" si="40"/>
        <v>IVB</v>
      </c>
      <c r="X289" s="201"/>
    </row>
    <row r="290" spans="1:26" ht="15" customHeight="1">
      <c r="W290" s="201"/>
      <c r="X290" s="201"/>
    </row>
    <row r="291" spans="1:26" ht="15" customHeight="1" thickBot="1">
      <c r="A291" s="203" t="s">
        <v>351</v>
      </c>
      <c r="B291" s="204"/>
      <c r="C291" s="205">
        <f>C273+C255</f>
        <v>0</v>
      </c>
      <c r="D291" s="205">
        <f t="shared" ref="D291:Z291" si="41">D273+D255</f>
        <v>0</v>
      </c>
      <c r="E291" s="205">
        <f t="shared" si="41"/>
        <v>0</v>
      </c>
      <c r="F291" s="205">
        <f t="shared" si="41"/>
        <v>0</v>
      </c>
      <c r="G291" s="205">
        <f t="shared" si="41"/>
        <v>0</v>
      </c>
      <c r="H291" s="205">
        <f t="shared" si="41"/>
        <v>0</v>
      </c>
      <c r="I291" s="205">
        <f t="shared" si="41"/>
        <v>0</v>
      </c>
      <c r="J291" s="205">
        <f t="shared" si="41"/>
        <v>0</v>
      </c>
      <c r="K291" s="205">
        <f t="shared" si="41"/>
        <v>0</v>
      </c>
      <c r="L291" s="205">
        <f t="shared" si="41"/>
        <v>0</v>
      </c>
      <c r="M291" s="205">
        <f t="shared" si="41"/>
        <v>0</v>
      </c>
      <c r="N291" s="205">
        <f t="shared" si="41"/>
        <v>275528225930</v>
      </c>
      <c r="O291" s="205">
        <f t="shared" si="41"/>
        <v>243335896197</v>
      </c>
      <c r="P291" s="205">
        <f t="shared" si="41"/>
        <v>147774333446</v>
      </c>
      <c r="Q291" s="205">
        <f t="shared" si="41"/>
        <v>201328746871</v>
      </c>
      <c r="R291" s="205">
        <f t="shared" si="41"/>
        <v>275181662640</v>
      </c>
      <c r="S291" s="205">
        <f t="shared" si="41"/>
        <v>298671242130</v>
      </c>
      <c r="T291" s="205">
        <f t="shared" si="41"/>
        <v>315510470665</v>
      </c>
      <c r="U291" s="205">
        <f t="shared" si="41"/>
        <v>326622191004</v>
      </c>
      <c r="V291" s="205">
        <f t="shared" si="41"/>
        <v>369295754196</v>
      </c>
      <c r="W291" s="205">
        <f t="shared" si="41"/>
        <v>383243232428</v>
      </c>
      <c r="X291" s="205">
        <f t="shared" si="41"/>
        <v>331907950534</v>
      </c>
      <c r="Y291" s="205">
        <f t="shared" si="41"/>
        <v>324332077621</v>
      </c>
      <c r="Z291" s="205">
        <f t="shared" si="41"/>
        <v>312608233592</v>
      </c>
    </row>
    <row r="292" spans="1:26" ht="15" customHeight="1" thickTop="1">
      <c r="A292" s="200" t="str">
        <f t="shared" ref="A292:A297" si="42">A274</f>
        <v>ACB</v>
      </c>
      <c r="C292" s="201">
        <f t="shared" ref="C292:Z297" si="43">C256+C274</f>
        <v>0</v>
      </c>
      <c r="D292" s="201">
        <f t="shared" si="43"/>
        <v>0</v>
      </c>
      <c r="E292" s="201">
        <f t="shared" si="43"/>
        <v>0</v>
      </c>
      <c r="F292" s="201">
        <f t="shared" si="43"/>
        <v>0</v>
      </c>
      <c r="G292" s="201">
        <f t="shared" si="43"/>
        <v>0</v>
      </c>
      <c r="H292" s="201">
        <f t="shared" si="43"/>
        <v>0</v>
      </c>
      <c r="I292" s="201">
        <f t="shared" si="43"/>
        <v>0</v>
      </c>
      <c r="J292" s="201">
        <f t="shared" si="43"/>
        <v>0</v>
      </c>
      <c r="K292" s="201">
        <f t="shared" si="43"/>
        <v>0</v>
      </c>
      <c r="L292" s="201">
        <f t="shared" si="43"/>
        <v>0</v>
      </c>
      <c r="M292" s="201">
        <f t="shared" si="43"/>
        <v>0</v>
      </c>
      <c r="N292" s="201">
        <f t="shared" si="43"/>
        <v>151205528894</v>
      </c>
      <c r="O292" s="201">
        <f t="shared" si="43"/>
        <v>143996897502</v>
      </c>
      <c r="P292" s="201">
        <f t="shared" si="43"/>
        <v>97472837502</v>
      </c>
      <c r="Q292" s="201">
        <f t="shared" si="43"/>
        <v>127301837502</v>
      </c>
      <c r="R292" s="201">
        <f t="shared" si="43"/>
        <v>169122644110</v>
      </c>
      <c r="S292" s="201">
        <f t="shared" si="43"/>
        <v>163253584110</v>
      </c>
      <c r="T292" s="201">
        <f t="shared" si="43"/>
        <v>136691087058</v>
      </c>
      <c r="U292" s="201">
        <f t="shared" si="43"/>
        <v>127075042448</v>
      </c>
      <c r="V292" s="201">
        <f t="shared" si="43"/>
        <v>144218362390</v>
      </c>
      <c r="W292" s="201">
        <f t="shared" si="43"/>
        <v>132707999104</v>
      </c>
      <c r="X292" s="201">
        <f t="shared" si="43"/>
        <v>118539805712</v>
      </c>
      <c r="Y292" s="201">
        <f t="shared" si="43"/>
        <v>116737233712</v>
      </c>
      <c r="Z292" s="201">
        <f t="shared" si="43"/>
        <v>116114733712</v>
      </c>
    </row>
    <row r="293" spans="1:26" ht="15" customHeight="1">
      <c r="A293" s="200" t="str">
        <f t="shared" si="42"/>
        <v>VietinBank</v>
      </c>
      <c r="C293" s="201">
        <f t="shared" si="43"/>
        <v>0</v>
      </c>
      <c r="D293" s="201">
        <f t="shared" si="43"/>
        <v>0</v>
      </c>
      <c r="E293" s="201">
        <f t="shared" si="43"/>
        <v>0</v>
      </c>
      <c r="F293" s="201">
        <f t="shared" si="43"/>
        <v>0</v>
      </c>
      <c r="G293" s="201">
        <f t="shared" si="43"/>
        <v>0</v>
      </c>
      <c r="H293" s="201">
        <f t="shared" si="43"/>
        <v>0</v>
      </c>
      <c r="I293" s="201">
        <f t="shared" si="43"/>
        <v>0</v>
      </c>
      <c r="J293" s="201">
        <f t="shared" si="43"/>
        <v>0</v>
      </c>
      <c r="K293" s="201">
        <f t="shared" si="43"/>
        <v>0</v>
      </c>
      <c r="L293" s="201">
        <f t="shared" si="43"/>
        <v>0</v>
      </c>
      <c r="M293" s="201">
        <f t="shared" si="43"/>
        <v>0</v>
      </c>
      <c r="N293" s="201">
        <f t="shared" si="43"/>
        <v>59227549743</v>
      </c>
      <c r="O293" s="201">
        <f t="shared" si="43"/>
        <v>59227549743</v>
      </c>
      <c r="P293" s="201">
        <f t="shared" si="43"/>
        <v>10967824770</v>
      </c>
      <c r="Q293" s="201">
        <f t="shared" si="43"/>
        <v>35192821797</v>
      </c>
      <c r="R293" s="201">
        <f t="shared" si="43"/>
        <v>59696932940</v>
      </c>
      <c r="S293" s="201">
        <f t="shared" si="43"/>
        <v>74003145708</v>
      </c>
      <c r="T293" s="201">
        <f t="shared" si="43"/>
        <v>102247404832</v>
      </c>
      <c r="U293" s="201">
        <f t="shared" si="43"/>
        <v>105000758801</v>
      </c>
      <c r="V293" s="201">
        <f t="shared" si="43"/>
        <v>99898041677</v>
      </c>
      <c r="W293" s="201">
        <f t="shared" si="43"/>
        <v>81733065410</v>
      </c>
      <c r="X293" s="201">
        <f t="shared" si="43"/>
        <v>56829174444</v>
      </c>
      <c r="Y293" s="201">
        <f t="shared" si="43"/>
        <v>33922378367</v>
      </c>
      <c r="Z293" s="201">
        <f t="shared" si="43"/>
        <v>27583243491</v>
      </c>
    </row>
    <row r="294" spans="1:26" ht="15" customHeight="1">
      <c r="A294" s="200" t="str">
        <f t="shared" si="42"/>
        <v>Vietcombank</v>
      </c>
      <c r="C294" s="201">
        <f t="shared" si="43"/>
        <v>0</v>
      </c>
      <c r="D294" s="201">
        <f t="shared" si="43"/>
        <v>0</v>
      </c>
      <c r="E294" s="201">
        <f t="shared" si="43"/>
        <v>0</v>
      </c>
      <c r="F294" s="201">
        <f t="shared" si="43"/>
        <v>0</v>
      </c>
      <c r="G294" s="201">
        <f t="shared" si="43"/>
        <v>0</v>
      </c>
      <c r="H294" s="201">
        <f t="shared" si="43"/>
        <v>0</v>
      </c>
      <c r="I294" s="201">
        <f t="shared" si="43"/>
        <v>0</v>
      </c>
      <c r="J294" s="201">
        <f t="shared" si="43"/>
        <v>0</v>
      </c>
      <c r="K294" s="201">
        <f t="shared" si="43"/>
        <v>0</v>
      </c>
      <c r="L294" s="201">
        <f t="shared" si="43"/>
        <v>0</v>
      </c>
      <c r="M294" s="201">
        <f t="shared" si="43"/>
        <v>0</v>
      </c>
      <c r="N294" s="201">
        <f t="shared" si="43"/>
        <v>23767004508</v>
      </c>
      <c r="O294" s="201">
        <f t="shared" si="43"/>
        <v>13667004508</v>
      </c>
      <c r="P294" s="201">
        <f t="shared" si="43"/>
        <v>13667004508</v>
      </c>
      <c r="Q294" s="201">
        <f t="shared" si="43"/>
        <v>13667004508</v>
      </c>
      <c r="R294" s="201">
        <f t="shared" si="43"/>
        <v>21972780304</v>
      </c>
      <c r="S294" s="201">
        <f t="shared" si="43"/>
        <v>32049798323</v>
      </c>
      <c r="T294" s="201">
        <f t="shared" si="43"/>
        <v>39585571449</v>
      </c>
      <c r="U294" s="201">
        <f t="shared" si="43"/>
        <v>54125127716</v>
      </c>
      <c r="V294" s="201">
        <f t="shared" si="43"/>
        <v>80169222070</v>
      </c>
      <c r="W294" s="201">
        <f t="shared" si="43"/>
        <v>87240583973</v>
      </c>
      <c r="X294" s="201">
        <f t="shared" si="43"/>
        <v>64730980597</v>
      </c>
      <c r="Y294" s="201">
        <f t="shared" si="43"/>
        <v>55405837410</v>
      </c>
      <c r="Z294" s="201">
        <f t="shared" si="43"/>
        <v>51149160926</v>
      </c>
    </row>
    <row r="295" spans="1:26" ht="15" customHeight="1">
      <c r="A295" s="200" t="str">
        <f t="shared" si="42"/>
        <v>BIDV</v>
      </c>
      <c r="C295" s="201">
        <f t="shared" si="43"/>
        <v>0</v>
      </c>
      <c r="D295" s="201">
        <f t="shared" si="43"/>
        <v>0</v>
      </c>
      <c r="E295" s="201">
        <f t="shared" si="43"/>
        <v>0</v>
      </c>
      <c r="F295" s="201">
        <f t="shared" si="43"/>
        <v>0</v>
      </c>
      <c r="G295" s="201">
        <f t="shared" si="43"/>
        <v>0</v>
      </c>
      <c r="H295" s="201">
        <f t="shared" si="43"/>
        <v>0</v>
      </c>
      <c r="I295" s="201">
        <f t="shared" si="43"/>
        <v>0</v>
      </c>
      <c r="J295" s="201">
        <f t="shared" si="43"/>
        <v>0</v>
      </c>
      <c r="K295" s="201">
        <f t="shared" si="43"/>
        <v>0</v>
      </c>
      <c r="L295" s="201">
        <f t="shared" si="43"/>
        <v>0</v>
      </c>
      <c r="M295" s="201">
        <f t="shared" si="43"/>
        <v>0</v>
      </c>
      <c r="N295" s="201">
        <f t="shared" si="43"/>
        <v>14105920563</v>
      </c>
      <c r="O295" s="201">
        <f t="shared" si="43"/>
        <v>0</v>
      </c>
      <c r="P295" s="201">
        <f t="shared" si="43"/>
        <v>0</v>
      </c>
      <c r="Q295" s="201">
        <f t="shared" si="43"/>
        <v>278194176</v>
      </c>
      <c r="R295" s="201">
        <f t="shared" si="43"/>
        <v>278194176</v>
      </c>
      <c r="S295" s="201">
        <f t="shared" si="43"/>
        <v>6031380657</v>
      </c>
      <c r="T295" s="201">
        <f t="shared" si="43"/>
        <v>14430851772</v>
      </c>
      <c r="U295" s="201">
        <f t="shared" si="43"/>
        <v>18498731431</v>
      </c>
      <c r="V295" s="201">
        <f t="shared" si="43"/>
        <v>23865375229</v>
      </c>
      <c r="W295" s="201">
        <f t="shared" si="43"/>
        <v>56646971705</v>
      </c>
      <c r="X295" s="201">
        <f t="shared" si="43"/>
        <v>67671155323</v>
      </c>
      <c r="Y295" s="201">
        <f t="shared" si="43"/>
        <v>95052324284</v>
      </c>
      <c r="Z295" s="201">
        <f t="shared" si="43"/>
        <v>99872206577</v>
      </c>
    </row>
    <row r="296" spans="1:26" ht="15" customHeight="1">
      <c r="A296" s="200" t="str">
        <f t="shared" si="42"/>
        <v>Standard Chartered</v>
      </c>
      <c r="C296" s="201">
        <f t="shared" si="43"/>
        <v>0</v>
      </c>
      <c r="D296" s="201">
        <f t="shared" si="43"/>
        <v>0</v>
      </c>
      <c r="E296" s="201">
        <f t="shared" si="43"/>
        <v>0</v>
      </c>
      <c r="F296" s="201">
        <f t="shared" si="43"/>
        <v>0</v>
      </c>
      <c r="G296" s="201">
        <f t="shared" si="43"/>
        <v>0</v>
      </c>
      <c r="H296" s="201">
        <f t="shared" si="43"/>
        <v>0</v>
      </c>
      <c r="I296" s="201">
        <f t="shared" si="43"/>
        <v>0</v>
      </c>
      <c r="J296" s="201">
        <f t="shared" si="43"/>
        <v>0</v>
      </c>
      <c r="K296" s="201">
        <f t="shared" si="43"/>
        <v>0</v>
      </c>
      <c r="L296" s="201">
        <f t="shared" si="43"/>
        <v>0</v>
      </c>
      <c r="M296" s="201">
        <f t="shared" si="43"/>
        <v>0</v>
      </c>
      <c r="N296" s="201">
        <f t="shared" si="43"/>
        <v>0</v>
      </c>
      <c r="O296" s="201">
        <f t="shared" si="43"/>
        <v>0</v>
      </c>
      <c r="P296" s="201">
        <f t="shared" si="43"/>
        <v>0</v>
      </c>
      <c r="Q296" s="201">
        <f t="shared" si="43"/>
        <v>0</v>
      </c>
      <c r="R296" s="201">
        <f t="shared" si="43"/>
        <v>0</v>
      </c>
      <c r="S296" s="201">
        <f t="shared" si="43"/>
        <v>0</v>
      </c>
      <c r="T296" s="201">
        <f t="shared" si="43"/>
        <v>0</v>
      </c>
      <c r="U296" s="201">
        <f t="shared" si="43"/>
        <v>144752832</v>
      </c>
      <c r="V296" s="201">
        <f t="shared" si="43"/>
        <v>144752832</v>
      </c>
      <c r="W296" s="201">
        <f t="shared" si="43"/>
        <v>4692390016</v>
      </c>
      <c r="X296" s="201">
        <f t="shared" si="43"/>
        <v>4692390016</v>
      </c>
      <c r="Y296" s="201">
        <f t="shared" si="43"/>
        <v>4547637184</v>
      </c>
      <c r="Z296" s="201">
        <f t="shared" si="43"/>
        <v>0</v>
      </c>
    </row>
    <row r="297" spans="1:26" ht="15" customHeight="1">
      <c r="A297" s="200" t="str">
        <f t="shared" si="42"/>
        <v>VILC</v>
      </c>
      <c r="C297" s="201">
        <f t="shared" si="43"/>
        <v>0</v>
      </c>
      <c r="D297" s="201">
        <f t="shared" si="43"/>
        <v>0</v>
      </c>
      <c r="E297" s="201">
        <f t="shared" si="43"/>
        <v>0</v>
      </c>
      <c r="F297" s="201">
        <f t="shared" si="43"/>
        <v>0</v>
      </c>
      <c r="G297" s="201">
        <f t="shared" si="43"/>
        <v>0</v>
      </c>
      <c r="H297" s="201">
        <f t="shared" si="43"/>
        <v>0</v>
      </c>
      <c r="I297" s="201">
        <f t="shared" si="43"/>
        <v>0</v>
      </c>
      <c r="J297" s="201">
        <f t="shared" si="43"/>
        <v>0</v>
      </c>
      <c r="K297" s="201">
        <f t="shared" si="43"/>
        <v>0</v>
      </c>
      <c r="L297" s="201">
        <f t="shared" si="43"/>
        <v>0</v>
      </c>
      <c r="M297" s="201">
        <f t="shared" si="43"/>
        <v>0</v>
      </c>
      <c r="N297" s="201">
        <f t="shared" si="43"/>
        <v>27222222222</v>
      </c>
      <c r="O297" s="201">
        <f t="shared" si="43"/>
        <v>26444444444</v>
      </c>
      <c r="P297" s="201">
        <f t="shared" si="43"/>
        <v>25666666666</v>
      </c>
      <c r="Q297" s="201">
        <f t="shared" si="43"/>
        <v>24888888888</v>
      </c>
      <c r="R297" s="201">
        <f t="shared" si="43"/>
        <v>24111111110</v>
      </c>
      <c r="S297" s="201">
        <f t="shared" si="43"/>
        <v>23333333332</v>
      </c>
      <c r="T297" s="201">
        <f t="shared" si="43"/>
        <v>22555555554</v>
      </c>
      <c r="U297" s="201">
        <f t="shared" si="43"/>
        <v>21777777776</v>
      </c>
      <c r="V297" s="201">
        <f t="shared" si="43"/>
        <v>20999999998</v>
      </c>
      <c r="W297" s="201">
        <f t="shared" si="43"/>
        <v>20222222220</v>
      </c>
      <c r="X297" s="201">
        <f t="shared" si="43"/>
        <v>19444444442</v>
      </c>
      <c r="Y297" s="201">
        <f t="shared" si="43"/>
        <v>18666666664</v>
      </c>
      <c r="Z297" s="201">
        <f t="shared" si="43"/>
        <v>17888888886</v>
      </c>
    </row>
    <row r="298" spans="1:26" ht="15" customHeight="1">
      <c r="A298" s="200" t="s">
        <v>347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</row>
    <row r="299" spans="1:26" ht="15" customHeight="1">
      <c r="A299" s="200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</row>
    <row r="300" spans="1:26" ht="15" customHeight="1">
      <c r="A300" s="196" t="s">
        <v>352</v>
      </c>
      <c r="B300" s="20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spans="1:26" ht="15" customHeight="1">
      <c r="A301" s="200" t="str">
        <f t="shared" ref="A301:A306" si="44">A292</f>
        <v>ACB</v>
      </c>
      <c r="C301" s="207">
        <f>IFERROR(C292/C$291,0)</f>
        <v>0</v>
      </c>
      <c r="D301" s="207">
        <f t="shared" ref="D301:Z308" si="45">IFERROR(D292/D$291,0)</f>
        <v>0</v>
      </c>
      <c r="E301" s="207">
        <f t="shared" si="45"/>
        <v>0</v>
      </c>
      <c r="F301" s="207">
        <f t="shared" si="45"/>
        <v>0</v>
      </c>
      <c r="G301" s="207">
        <f t="shared" si="45"/>
        <v>0</v>
      </c>
      <c r="H301" s="207">
        <f t="shared" si="45"/>
        <v>0</v>
      </c>
      <c r="I301" s="207">
        <f t="shared" si="45"/>
        <v>0</v>
      </c>
      <c r="J301" s="207">
        <f t="shared" si="45"/>
        <v>0</v>
      </c>
      <c r="K301" s="207">
        <f t="shared" si="45"/>
        <v>0</v>
      </c>
      <c r="L301" s="207">
        <f t="shared" si="45"/>
        <v>0</v>
      </c>
      <c r="M301" s="207">
        <f t="shared" si="45"/>
        <v>0</v>
      </c>
      <c r="N301" s="207">
        <f t="shared" si="45"/>
        <v>0.54878417041894967</v>
      </c>
      <c r="O301" s="207">
        <f t="shared" si="45"/>
        <v>0.59176183930307968</v>
      </c>
      <c r="P301" s="207">
        <f t="shared" si="45"/>
        <v>0.65960600348516363</v>
      </c>
      <c r="Q301" s="207">
        <f t="shared" si="45"/>
        <v>0.6323082991400516</v>
      </c>
      <c r="R301" s="207">
        <f t="shared" si="45"/>
        <v>0.61458544325771725</v>
      </c>
      <c r="S301" s="207">
        <f t="shared" si="45"/>
        <v>0.54659960880646841</v>
      </c>
      <c r="T301" s="207">
        <f t="shared" si="45"/>
        <v>0.4332378788250571</v>
      </c>
      <c r="U301" s="207">
        <f t="shared" si="45"/>
        <v>0.38905820225314625</v>
      </c>
      <c r="V301" s="207">
        <f t="shared" si="45"/>
        <v>0.39052266578038575</v>
      </c>
      <c r="W301" s="207">
        <f t="shared" si="45"/>
        <v>0.34627617104479957</v>
      </c>
      <c r="X301" s="207">
        <f t="shared" si="45"/>
        <v>0.35714662912197104</v>
      </c>
      <c r="Y301" s="207">
        <f t="shared" si="45"/>
        <v>0.35993119943076962</v>
      </c>
      <c r="Z301" s="207">
        <f t="shared" si="45"/>
        <v>0.37143850108422577</v>
      </c>
    </row>
    <row r="302" spans="1:26" ht="15" customHeight="1">
      <c r="A302" s="200" t="str">
        <f t="shared" si="44"/>
        <v>VietinBank</v>
      </c>
      <c r="C302" s="207">
        <f t="shared" ref="C302:R308" si="46">IFERROR(C293/C$291,0)</f>
        <v>0</v>
      </c>
      <c r="D302" s="207">
        <f t="shared" si="46"/>
        <v>0</v>
      </c>
      <c r="E302" s="207">
        <f t="shared" si="46"/>
        <v>0</v>
      </c>
      <c r="F302" s="207">
        <f t="shared" si="46"/>
        <v>0</v>
      </c>
      <c r="G302" s="207">
        <f t="shared" si="46"/>
        <v>0</v>
      </c>
      <c r="H302" s="207">
        <f t="shared" si="46"/>
        <v>0</v>
      </c>
      <c r="I302" s="207">
        <f t="shared" si="46"/>
        <v>0</v>
      </c>
      <c r="J302" s="207">
        <f t="shared" si="46"/>
        <v>0</v>
      </c>
      <c r="K302" s="207">
        <f t="shared" si="46"/>
        <v>0</v>
      </c>
      <c r="L302" s="207">
        <f t="shared" si="46"/>
        <v>0</v>
      </c>
      <c r="M302" s="207">
        <f t="shared" si="46"/>
        <v>0</v>
      </c>
      <c r="N302" s="207">
        <f t="shared" si="46"/>
        <v>0.21496000833703041</v>
      </c>
      <c r="O302" s="207">
        <f t="shared" si="46"/>
        <v>0.24339832580660656</v>
      </c>
      <c r="P302" s="207">
        <f t="shared" si="46"/>
        <v>7.4220092990694389E-2</v>
      </c>
      <c r="Q302" s="207">
        <f t="shared" si="46"/>
        <v>0.17480276584421178</v>
      </c>
      <c r="R302" s="207">
        <f t="shared" si="46"/>
        <v>0.21693644978843349</v>
      </c>
      <c r="S302" s="207">
        <f t="shared" si="45"/>
        <v>0.2477745938318002</v>
      </c>
      <c r="T302" s="207">
        <f t="shared" si="45"/>
        <v>0.3240697673725173</v>
      </c>
      <c r="U302" s="207">
        <f t="shared" si="45"/>
        <v>0.32147466306021472</v>
      </c>
      <c r="V302" s="207">
        <f t="shared" si="45"/>
        <v>0.27050958626505117</v>
      </c>
      <c r="W302" s="207">
        <f t="shared" si="45"/>
        <v>0.21326681985272947</v>
      </c>
      <c r="X302" s="207">
        <f t="shared" si="45"/>
        <v>0.17121968410991267</v>
      </c>
      <c r="Y302" s="207">
        <f t="shared" si="45"/>
        <v>0.10459149960072768</v>
      </c>
      <c r="Z302" s="207">
        <f t="shared" si="45"/>
        <v>8.8235818916401976E-2</v>
      </c>
    </row>
    <row r="303" spans="1:26" ht="15" customHeight="1">
      <c r="A303" s="200" t="str">
        <f t="shared" si="44"/>
        <v>Vietcombank</v>
      </c>
      <c r="C303" s="207">
        <f t="shared" si="46"/>
        <v>0</v>
      </c>
      <c r="D303" s="207">
        <f t="shared" si="45"/>
        <v>0</v>
      </c>
      <c r="E303" s="207">
        <f t="shared" si="45"/>
        <v>0</v>
      </c>
      <c r="F303" s="207">
        <f t="shared" si="45"/>
        <v>0</v>
      </c>
      <c r="G303" s="207">
        <f t="shared" si="45"/>
        <v>0</v>
      </c>
      <c r="H303" s="207">
        <f t="shared" si="45"/>
        <v>0</v>
      </c>
      <c r="I303" s="207">
        <f t="shared" si="45"/>
        <v>0</v>
      </c>
      <c r="J303" s="207">
        <f t="shared" si="45"/>
        <v>0</v>
      </c>
      <c r="K303" s="207">
        <f t="shared" si="45"/>
        <v>0</v>
      </c>
      <c r="L303" s="207">
        <f t="shared" si="45"/>
        <v>0</v>
      </c>
      <c r="M303" s="207">
        <f t="shared" si="45"/>
        <v>0</v>
      </c>
      <c r="N303" s="207">
        <f t="shared" si="45"/>
        <v>8.6259781290205034E-2</v>
      </c>
      <c r="O303" s="207">
        <f t="shared" si="45"/>
        <v>5.6165180401232126E-2</v>
      </c>
      <c r="P303" s="207">
        <f t="shared" si="45"/>
        <v>9.2485644761809899E-2</v>
      </c>
      <c r="Q303" s="207">
        <f t="shared" si="45"/>
        <v>6.7884019149818869E-2</v>
      </c>
      <c r="R303" s="207">
        <f t="shared" si="45"/>
        <v>7.9848272203898188E-2</v>
      </c>
      <c r="S303" s="207">
        <f t="shared" si="45"/>
        <v>0.10730794868107846</v>
      </c>
      <c r="T303" s="207">
        <f t="shared" si="45"/>
        <v>0.12546515925625437</v>
      </c>
      <c r="U303" s="207">
        <f t="shared" si="45"/>
        <v>0.16571172812730642</v>
      </c>
      <c r="V303" s="207">
        <f t="shared" si="45"/>
        <v>0.21708676896255621</v>
      </c>
      <c r="W303" s="207">
        <f t="shared" si="45"/>
        <v>0.22763763738317261</v>
      </c>
      <c r="X303" s="207">
        <f t="shared" si="45"/>
        <v>0.19502690578172543</v>
      </c>
      <c r="Y303" s="207">
        <f t="shared" si="45"/>
        <v>0.17083058147194677</v>
      </c>
      <c r="Z303" s="207">
        <f t="shared" si="45"/>
        <v>0.16362064536264653</v>
      </c>
    </row>
    <row r="304" spans="1:26" ht="15" customHeight="1">
      <c r="A304" s="200" t="str">
        <f t="shared" si="44"/>
        <v>BIDV</v>
      </c>
      <c r="C304" s="207">
        <f t="shared" si="46"/>
        <v>0</v>
      </c>
      <c r="D304" s="207">
        <f t="shared" si="45"/>
        <v>0</v>
      </c>
      <c r="E304" s="207">
        <f t="shared" si="45"/>
        <v>0</v>
      </c>
      <c r="F304" s="207">
        <f t="shared" si="45"/>
        <v>0</v>
      </c>
      <c r="G304" s="207">
        <f t="shared" si="45"/>
        <v>0</v>
      </c>
      <c r="H304" s="207">
        <f t="shared" si="45"/>
        <v>0</v>
      </c>
      <c r="I304" s="207">
        <f t="shared" si="45"/>
        <v>0</v>
      </c>
      <c r="J304" s="207">
        <f t="shared" si="45"/>
        <v>0</v>
      </c>
      <c r="K304" s="207">
        <f t="shared" si="45"/>
        <v>0</v>
      </c>
      <c r="L304" s="207">
        <f t="shared" si="45"/>
        <v>0</v>
      </c>
      <c r="M304" s="207">
        <f t="shared" si="45"/>
        <v>0</v>
      </c>
      <c r="N304" s="207">
        <f t="shared" si="45"/>
        <v>5.1195918368754402E-2</v>
      </c>
      <c r="O304" s="207">
        <f t="shared" si="45"/>
        <v>0</v>
      </c>
      <c r="P304" s="207">
        <f t="shared" si="45"/>
        <v>0</v>
      </c>
      <c r="Q304" s="207">
        <f t="shared" si="45"/>
        <v>1.3817906301192596E-3</v>
      </c>
      <c r="R304" s="207">
        <f t="shared" si="45"/>
        <v>1.0109473623027747E-3</v>
      </c>
      <c r="S304" s="207">
        <f t="shared" si="45"/>
        <v>2.0194045513008494E-2</v>
      </c>
      <c r="T304" s="207">
        <f t="shared" si="45"/>
        <v>4.5738107333123237E-2</v>
      </c>
      <c r="U304" s="207">
        <f t="shared" si="45"/>
        <v>5.6636480742894332E-2</v>
      </c>
      <c r="V304" s="207">
        <f t="shared" si="45"/>
        <v>6.4624017356922261E-2</v>
      </c>
      <c r="W304" s="207">
        <f t="shared" si="45"/>
        <v>0.14780945079217356</v>
      </c>
      <c r="X304" s="207">
        <f t="shared" si="45"/>
        <v>0.20388530980991942</v>
      </c>
      <c r="Y304" s="207">
        <f t="shared" si="45"/>
        <v>0.2930709937210525</v>
      </c>
      <c r="Z304" s="207">
        <f t="shared" si="45"/>
        <v>0.31948040980695347</v>
      </c>
    </row>
    <row r="305" spans="1:26" ht="15" customHeight="1">
      <c r="A305" s="200" t="str">
        <f t="shared" si="44"/>
        <v>Standard Chartered</v>
      </c>
      <c r="C305" s="207">
        <f t="shared" si="46"/>
        <v>0</v>
      </c>
      <c r="D305" s="207">
        <f t="shared" si="45"/>
        <v>0</v>
      </c>
      <c r="E305" s="207">
        <f t="shared" si="45"/>
        <v>0</v>
      </c>
      <c r="F305" s="207">
        <f t="shared" si="45"/>
        <v>0</v>
      </c>
      <c r="G305" s="207">
        <f t="shared" si="45"/>
        <v>0</v>
      </c>
      <c r="H305" s="207">
        <f t="shared" si="45"/>
        <v>0</v>
      </c>
      <c r="I305" s="207">
        <f t="shared" si="45"/>
        <v>0</v>
      </c>
      <c r="J305" s="207">
        <f t="shared" si="45"/>
        <v>0</v>
      </c>
      <c r="K305" s="207">
        <f t="shared" si="45"/>
        <v>0</v>
      </c>
      <c r="L305" s="207">
        <f t="shared" si="45"/>
        <v>0</v>
      </c>
      <c r="M305" s="207">
        <f t="shared" si="45"/>
        <v>0</v>
      </c>
      <c r="N305" s="207">
        <f t="shared" si="45"/>
        <v>0</v>
      </c>
      <c r="O305" s="207">
        <f t="shared" si="45"/>
        <v>0</v>
      </c>
      <c r="P305" s="207">
        <f t="shared" si="45"/>
        <v>0</v>
      </c>
      <c r="Q305" s="207">
        <f t="shared" si="45"/>
        <v>0</v>
      </c>
      <c r="R305" s="207">
        <f t="shared" si="45"/>
        <v>0</v>
      </c>
      <c r="S305" s="207">
        <f t="shared" si="45"/>
        <v>0</v>
      </c>
      <c r="T305" s="207">
        <f t="shared" si="45"/>
        <v>0</v>
      </c>
      <c r="U305" s="207">
        <f t="shared" si="45"/>
        <v>4.4318125340793907E-4</v>
      </c>
      <c r="V305" s="207">
        <f t="shared" si="45"/>
        <v>3.9196993292041452E-4</v>
      </c>
      <c r="W305" s="207">
        <f t="shared" si="45"/>
        <v>1.2243895309701418E-2</v>
      </c>
      <c r="X305" s="207">
        <f t="shared" si="45"/>
        <v>1.4137624628908432E-2</v>
      </c>
      <c r="Y305" s="207">
        <f t="shared" si="45"/>
        <v>1.4021546118278704E-2</v>
      </c>
      <c r="Z305" s="207">
        <f t="shared" si="45"/>
        <v>0</v>
      </c>
    </row>
    <row r="306" spans="1:26" ht="15" customHeight="1">
      <c r="A306" s="200" t="str">
        <f t="shared" si="44"/>
        <v>VILC</v>
      </c>
      <c r="C306" s="207">
        <f t="shared" si="46"/>
        <v>0</v>
      </c>
      <c r="D306" s="207">
        <f t="shared" si="45"/>
        <v>0</v>
      </c>
      <c r="E306" s="207">
        <f t="shared" si="45"/>
        <v>0</v>
      </c>
      <c r="F306" s="207">
        <f t="shared" si="45"/>
        <v>0</v>
      </c>
      <c r="G306" s="207">
        <f t="shared" si="45"/>
        <v>0</v>
      </c>
      <c r="H306" s="207">
        <f t="shared" si="45"/>
        <v>0</v>
      </c>
      <c r="I306" s="207">
        <f t="shared" si="45"/>
        <v>0</v>
      </c>
      <c r="J306" s="207">
        <f t="shared" si="45"/>
        <v>0</v>
      </c>
      <c r="K306" s="207">
        <f t="shared" si="45"/>
        <v>0</v>
      </c>
      <c r="L306" s="207">
        <f t="shared" si="45"/>
        <v>0</v>
      </c>
      <c r="M306" s="207">
        <f t="shared" si="45"/>
        <v>0</v>
      </c>
      <c r="N306" s="207">
        <f t="shared" si="45"/>
        <v>9.8800121585060435E-2</v>
      </c>
      <c r="O306" s="207">
        <f t="shared" si="45"/>
        <v>0.1086746544890816</v>
      </c>
      <c r="P306" s="207">
        <f t="shared" si="45"/>
        <v>0.17368825876233213</v>
      </c>
      <c r="Q306" s="207">
        <f t="shared" si="45"/>
        <v>0.12362312523579846</v>
      </c>
      <c r="R306" s="207">
        <f t="shared" si="45"/>
        <v>8.761888738764835E-2</v>
      </c>
      <c r="S306" s="207">
        <f t="shared" si="45"/>
        <v>7.8123803167644459E-2</v>
      </c>
      <c r="T306" s="207">
        <f t="shared" si="45"/>
        <v>7.1489087213047975E-2</v>
      </c>
      <c r="U306" s="207">
        <f t="shared" si="45"/>
        <v>6.6675744563030312E-2</v>
      </c>
      <c r="V306" s="207">
        <f t="shared" si="45"/>
        <v>5.6864991702164171E-2</v>
      </c>
      <c r="W306" s="207">
        <f t="shared" si="45"/>
        <v>5.2766025617423405E-2</v>
      </c>
      <c r="X306" s="207">
        <f t="shared" si="45"/>
        <v>5.8583846547563038E-2</v>
      </c>
      <c r="Y306" s="207">
        <f t="shared" si="45"/>
        <v>5.7554179657224758E-2</v>
      </c>
      <c r="Z306" s="207">
        <f t="shared" si="45"/>
        <v>5.7224624829772232E-2</v>
      </c>
    </row>
    <row r="307" spans="1:26" ht="15" customHeight="1">
      <c r="A307" s="200" t="s">
        <v>347</v>
      </c>
      <c r="C307" s="207">
        <f t="shared" si="46"/>
        <v>0</v>
      </c>
      <c r="D307" s="207">
        <f t="shared" si="45"/>
        <v>0</v>
      </c>
      <c r="E307" s="207">
        <f t="shared" si="45"/>
        <v>0</v>
      </c>
      <c r="F307" s="207">
        <f t="shared" si="45"/>
        <v>0</v>
      </c>
      <c r="G307" s="207">
        <f t="shared" si="45"/>
        <v>0</v>
      </c>
      <c r="H307" s="207">
        <f t="shared" si="45"/>
        <v>0</v>
      </c>
      <c r="I307" s="207">
        <f t="shared" si="45"/>
        <v>0</v>
      </c>
      <c r="J307" s="207">
        <f t="shared" si="45"/>
        <v>0</v>
      </c>
      <c r="K307" s="207">
        <f t="shared" si="45"/>
        <v>0</v>
      </c>
      <c r="L307" s="207">
        <f t="shared" si="45"/>
        <v>0</v>
      </c>
      <c r="M307" s="207">
        <f t="shared" si="45"/>
        <v>0</v>
      </c>
      <c r="N307" s="207">
        <f t="shared" si="45"/>
        <v>0</v>
      </c>
      <c r="O307" s="207">
        <f t="shared" si="45"/>
        <v>0</v>
      </c>
      <c r="P307" s="207">
        <f t="shared" si="45"/>
        <v>0</v>
      </c>
      <c r="Q307" s="207">
        <f t="shared" si="45"/>
        <v>0</v>
      </c>
      <c r="R307" s="207">
        <f t="shared" si="45"/>
        <v>0</v>
      </c>
      <c r="S307" s="207">
        <f t="shared" si="45"/>
        <v>0</v>
      </c>
      <c r="T307" s="207">
        <f t="shared" si="45"/>
        <v>0</v>
      </c>
      <c r="U307" s="207">
        <f t="shared" si="45"/>
        <v>0</v>
      </c>
      <c r="V307" s="207">
        <f t="shared" si="45"/>
        <v>0</v>
      </c>
      <c r="W307" s="207">
        <f t="shared" si="45"/>
        <v>0</v>
      </c>
      <c r="X307" s="207">
        <f t="shared" si="45"/>
        <v>0</v>
      </c>
      <c r="Y307" s="207">
        <f t="shared" si="45"/>
        <v>0</v>
      </c>
      <c r="Z307" s="207">
        <f t="shared" si="45"/>
        <v>0</v>
      </c>
    </row>
    <row r="308" spans="1:26" ht="15" customHeight="1">
      <c r="C308" s="49">
        <f t="shared" si="46"/>
        <v>0</v>
      </c>
      <c r="D308" s="49">
        <f t="shared" si="45"/>
        <v>0</v>
      </c>
      <c r="E308" s="49">
        <f t="shared" si="45"/>
        <v>0</v>
      </c>
      <c r="F308" s="49">
        <f t="shared" si="45"/>
        <v>0</v>
      </c>
      <c r="G308" s="49">
        <f t="shared" si="45"/>
        <v>0</v>
      </c>
      <c r="H308" s="49">
        <f t="shared" si="45"/>
        <v>0</v>
      </c>
      <c r="I308" s="49">
        <f t="shared" si="45"/>
        <v>0</v>
      </c>
      <c r="J308" s="49">
        <f t="shared" si="45"/>
        <v>0</v>
      </c>
      <c r="K308" s="49">
        <f t="shared" si="45"/>
        <v>0</v>
      </c>
      <c r="L308" s="49">
        <f t="shared" si="45"/>
        <v>0</v>
      </c>
      <c r="M308" s="49">
        <f t="shared" si="45"/>
        <v>0</v>
      </c>
      <c r="N308" s="49">
        <f t="shared" si="45"/>
        <v>0</v>
      </c>
      <c r="O308" s="49">
        <f t="shared" si="45"/>
        <v>0</v>
      </c>
      <c r="P308" s="49">
        <f t="shared" si="45"/>
        <v>0</v>
      </c>
      <c r="Q308" s="49">
        <f t="shared" si="45"/>
        <v>0</v>
      </c>
      <c r="R308" s="49">
        <f t="shared" si="45"/>
        <v>0</v>
      </c>
      <c r="S308" s="49">
        <f t="shared" si="45"/>
        <v>0</v>
      </c>
      <c r="T308" s="49">
        <f t="shared" si="45"/>
        <v>0</v>
      </c>
      <c r="U308" s="49">
        <f t="shared" si="45"/>
        <v>0</v>
      </c>
      <c r="V308" s="49">
        <f t="shared" si="45"/>
        <v>0</v>
      </c>
      <c r="W308" s="49">
        <f t="shared" si="45"/>
        <v>0</v>
      </c>
      <c r="X308" s="49">
        <f t="shared" si="45"/>
        <v>0</v>
      </c>
      <c r="Y308" s="49">
        <f t="shared" si="45"/>
        <v>0</v>
      </c>
      <c r="Z308" s="49">
        <f t="shared" si="45"/>
        <v>0</v>
      </c>
    </row>
    <row r="309" spans="1:26" ht="15" customHeight="1">
      <c r="A309" s="196" t="s">
        <v>353</v>
      </c>
      <c r="B309" s="206"/>
      <c r="C309" s="199">
        <f>SUM(C310:C316)</f>
        <v>0</v>
      </c>
      <c r="D309" s="199">
        <f t="shared" ref="D309:Z309" si="47">SUM(D310:D316)</f>
        <v>0</v>
      </c>
      <c r="E309" s="199">
        <f t="shared" si="47"/>
        <v>0</v>
      </c>
      <c r="F309" s="199">
        <f t="shared" si="47"/>
        <v>0</v>
      </c>
      <c r="G309" s="199">
        <f t="shared" si="47"/>
        <v>0</v>
      </c>
      <c r="H309" s="199">
        <f t="shared" si="47"/>
        <v>0</v>
      </c>
      <c r="I309" s="199">
        <f t="shared" si="47"/>
        <v>0</v>
      </c>
      <c r="J309" s="199">
        <f t="shared" si="47"/>
        <v>0</v>
      </c>
      <c r="K309" s="199">
        <f t="shared" si="47"/>
        <v>0</v>
      </c>
      <c r="L309" s="199">
        <f t="shared" si="47"/>
        <v>0</v>
      </c>
      <c r="M309" s="199">
        <f t="shared" si="47"/>
        <v>0</v>
      </c>
      <c r="N309" s="199">
        <f t="shared" si="47"/>
        <v>275528225930</v>
      </c>
      <c r="O309" s="199">
        <f t="shared" si="47"/>
        <v>243335896197</v>
      </c>
      <c r="P309" s="199">
        <f t="shared" si="47"/>
        <v>147774333446</v>
      </c>
      <c r="Q309" s="199">
        <f t="shared" si="47"/>
        <v>201328746871</v>
      </c>
      <c r="R309" s="199">
        <f t="shared" si="47"/>
        <v>275181662640</v>
      </c>
      <c r="S309" s="199">
        <f t="shared" si="47"/>
        <v>298671242130</v>
      </c>
      <c r="T309" s="199">
        <f t="shared" si="47"/>
        <v>315510470665</v>
      </c>
      <c r="U309" s="199">
        <f t="shared" si="47"/>
        <v>326622191004</v>
      </c>
      <c r="V309" s="199">
        <f t="shared" si="47"/>
        <v>369295754196</v>
      </c>
      <c r="W309" s="199">
        <f t="shared" si="47"/>
        <v>383243232428</v>
      </c>
      <c r="X309" s="199">
        <f t="shared" si="47"/>
        <v>331907950534</v>
      </c>
      <c r="Y309" s="199">
        <f t="shared" si="47"/>
        <v>324332077621</v>
      </c>
      <c r="Z309" s="199">
        <f t="shared" si="47"/>
        <v>312608233592</v>
      </c>
    </row>
    <row r="310" spans="1:26" ht="15" customHeight="1">
      <c r="A310" s="200" t="s">
        <v>354</v>
      </c>
      <c r="C310" s="201">
        <f>'Dai Loc'!C300</f>
        <v>0</v>
      </c>
      <c r="D310" s="201">
        <f>'Dai Loc'!D300</f>
        <v>0</v>
      </c>
      <c r="E310" s="201">
        <f>'Dai Loc'!E300</f>
        <v>0</v>
      </c>
      <c r="F310" s="201">
        <f>'Dai Loc'!F300</f>
        <v>0</v>
      </c>
      <c r="G310" s="201">
        <f>'Dai Loc'!G300</f>
        <v>0</v>
      </c>
      <c r="H310" s="201">
        <f>'Dai Loc'!H300</f>
        <v>0</v>
      </c>
      <c r="I310" s="201">
        <f>'Dai Loc'!I300</f>
        <v>0</v>
      </c>
      <c r="J310" s="201">
        <f>'Dai Loc'!J300</f>
        <v>0</v>
      </c>
      <c r="K310" s="201">
        <f>'Dai Loc'!K300</f>
        <v>0</v>
      </c>
      <c r="L310" s="201">
        <f>'Dai Loc'!L300</f>
        <v>0</v>
      </c>
      <c r="M310" s="201">
        <f>'Dai Loc'!M300</f>
        <v>0</v>
      </c>
      <c r="N310" s="201">
        <f>'Dai Loc'!N300</f>
        <v>0</v>
      </c>
      <c r="O310" s="201">
        <f>'Dai Loc'!O300</f>
        <v>0</v>
      </c>
      <c r="P310" s="201">
        <f>'Dai Loc'!P300</f>
        <v>0</v>
      </c>
      <c r="Q310" s="201">
        <f>'Dai Loc'!Q300</f>
        <v>0</v>
      </c>
      <c r="R310" s="201">
        <f>'Dai Loc'!R300</f>
        <v>0</v>
      </c>
      <c r="S310" s="201">
        <f>'Dai Loc'!S300</f>
        <v>0</v>
      </c>
      <c r="T310" s="201">
        <f>'Dai Loc'!T300</f>
        <v>0</v>
      </c>
      <c r="U310" s="201">
        <f>'Dai Loc'!U300</f>
        <v>0</v>
      </c>
      <c r="V310" s="201">
        <f>'Dai Loc'!V300</f>
        <v>0</v>
      </c>
      <c r="W310" s="201">
        <f>'Dai Loc'!W300</f>
        <v>0</v>
      </c>
      <c r="X310" s="201">
        <f>'Dai Loc'!X300</f>
        <v>0</v>
      </c>
      <c r="Y310" s="201">
        <f>'Dai Loc'!Y300</f>
        <v>0</v>
      </c>
      <c r="Z310" s="201">
        <f>'Dai Loc'!Z300</f>
        <v>0</v>
      </c>
    </row>
    <row r="311" spans="1:26" ht="15" customHeight="1">
      <c r="A311" s="200" t="s">
        <v>355</v>
      </c>
      <c r="C311" s="201">
        <f>DTR!C300</f>
        <v>0</v>
      </c>
      <c r="D311" s="201">
        <f>DTR!D300</f>
        <v>0</v>
      </c>
      <c r="E311" s="201">
        <f>DTR!E300</f>
        <v>0</v>
      </c>
      <c r="F311" s="201">
        <f>DTR!F300</f>
        <v>0</v>
      </c>
      <c r="G311" s="201">
        <f>DTR!G300</f>
        <v>0</v>
      </c>
      <c r="H311" s="201">
        <f>DTR!H300</f>
        <v>0</v>
      </c>
      <c r="I311" s="201">
        <f>DTR!I300</f>
        <v>0</v>
      </c>
      <c r="J311" s="201">
        <f>DTR!J300</f>
        <v>0</v>
      </c>
      <c r="K311" s="201">
        <f>DTR!K300</f>
        <v>0</v>
      </c>
      <c r="L311" s="201">
        <f>DTR!L300</f>
        <v>0</v>
      </c>
      <c r="M311" s="201">
        <f>DTR!M300</f>
        <v>0</v>
      </c>
      <c r="N311" s="201">
        <f>DTR!N300</f>
        <v>275528225930</v>
      </c>
      <c r="O311" s="201">
        <f>DTR!O300</f>
        <v>243335896197</v>
      </c>
      <c r="P311" s="201">
        <f>DTR!P300</f>
        <v>147774333446</v>
      </c>
      <c r="Q311" s="201">
        <f>DTR!Q300</f>
        <v>201328746871</v>
      </c>
      <c r="R311" s="201">
        <f>DTR!R300</f>
        <v>275181662640</v>
      </c>
      <c r="S311" s="201">
        <f>DTR!S300</f>
        <v>298671242130</v>
      </c>
      <c r="T311" s="201">
        <f>DTR!T300</f>
        <v>315510470665</v>
      </c>
      <c r="U311" s="201">
        <f>DTR!U300</f>
        <v>326622191004</v>
      </c>
      <c r="V311" s="201">
        <f>DTR!V300</f>
        <v>369295754196</v>
      </c>
      <c r="W311" s="201">
        <f>DTR!W300</f>
        <v>383243232428</v>
      </c>
      <c r="X311" s="201">
        <f>DTR!X300</f>
        <v>331907950534</v>
      </c>
      <c r="Y311" s="201">
        <f>DTR!Y300</f>
        <v>324332077621</v>
      </c>
      <c r="Z311" s="201">
        <f>DTR!Z300</f>
        <v>312608233592</v>
      </c>
    </row>
    <row r="312" spans="1:26" ht="15" customHeight="1">
      <c r="A312" s="200" t="s">
        <v>356</v>
      </c>
      <c r="C312" s="201">
        <f>DTRVL!C300</f>
        <v>0</v>
      </c>
      <c r="D312" s="201">
        <f>DTRVL!D300</f>
        <v>0</v>
      </c>
      <c r="E312" s="201">
        <f>DTRVL!E300</f>
        <v>0</v>
      </c>
      <c r="F312" s="201">
        <f>DTRVL!F300</f>
        <v>0</v>
      </c>
      <c r="G312" s="201">
        <f>DTRVL!G300</f>
        <v>0</v>
      </c>
      <c r="H312" s="201">
        <f>DTRVL!H300</f>
        <v>0</v>
      </c>
      <c r="I312" s="201">
        <f>DTRVL!I300</f>
        <v>0</v>
      </c>
      <c r="J312" s="201">
        <f>DTRVL!J300</f>
        <v>0</v>
      </c>
      <c r="K312" s="201">
        <f>DTRVL!K300</f>
        <v>0</v>
      </c>
      <c r="L312" s="201">
        <f>DTRVL!L300</f>
        <v>0</v>
      </c>
      <c r="M312" s="201">
        <f>DTRVL!M300</f>
        <v>0</v>
      </c>
      <c r="N312" s="201">
        <f>DTRVL!N300</f>
        <v>0</v>
      </c>
      <c r="O312" s="201">
        <f>DTRVL!O300</f>
        <v>0</v>
      </c>
      <c r="P312" s="201">
        <f>DTRVL!P300</f>
        <v>0</v>
      </c>
      <c r="Q312" s="201">
        <f>DTRVL!Q300</f>
        <v>0</v>
      </c>
      <c r="R312" s="201">
        <f>DTRVL!R300</f>
        <v>0</v>
      </c>
      <c r="S312" s="201">
        <f>DTRVL!S300</f>
        <v>0</v>
      </c>
      <c r="T312" s="201">
        <f>DTRVL!T300</f>
        <v>0</v>
      </c>
      <c r="U312" s="201">
        <f>DTRVL!U300</f>
        <v>0</v>
      </c>
      <c r="V312" s="201">
        <f>DTRVL!V300</f>
        <v>0</v>
      </c>
      <c r="W312" s="201">
        <f>DTRVL!W300</f>
        <v>0</v>
      </c>
      <c r="X312" s="201">
        <f>DTRVL!X300</f>
        <v>0</v>
      </c>
      <c r="Y312" s="201">
        <f>DTRVL!Y300</f>
        <v>0</v>
      </c>
      <c r="Z312" s="201">
        <f>DTRVL!Z300</f>
        <v>0</v>
      </c>
    </row>
    <row r="313" spans="1:26" ht="15" customHeight="1">
      <c r="A313" s="200" t="s">
        <v>357</v>
      </c>
      <c r="C313" s="201">
        <f>TDP!C300</f>
        <v>0</v>
      </c>
      <c r="D313" s="201">
        <f>TDP!D300</f>
        <v>0</v>
      </c>
      <c r="E313" s="201">
        <f>TDP!E300</f>
        <v>0</v>
      </c>
      <c r="F313" s="201">
        <f>TDP!F300</f>
        <v>0</v>
      </c>
      <c r="G313" s="201">
        <f>TDP!G300</f>
        <v>0</v>
      </c>
      <c r="H313" s="201">
        <f>TDP!H300</f>
        <v>0</v>
      </c>
      <c r="I313" s="201">
        <f>TDP!I300</f>
        <v>0</v>
      </c>
      <c r="J313" s="201">
        <f>TDP!J300</f>
        <v>0</v>
      </c>
      <c r="K313" s="201">
        <f>TDP!K300</f>
        <v>0</v>
      </c>
      <c r="L313" s="201">
        <f>TDP!L300</f>
        <v>0</v>
      </c>
      <c r="M313" s="201">
        <f>TDP!M300</f>
        <v>0</v>
      </c>
      <c r="N313" s="201">
        <f>TDP!N300</f>
        <v>0</v>
      </c>
      <c r="O313" s="201">
        <f>TDP!O300</f>
        <v>0</v>
      </c>
      <c r="P313" s="201">
        <f>TDP!P300</f>
        <v>0</v>
      </c>
      <c r="Q313" s="201">
        <f>TDP!Q300</f>
        <v>0</v>
      </c>
      <c r="R313" s="201">
        <f>TDP!R300</f>
        <v>0</v>
      </c>
      <c r="S313" s="201">
        <f>TDP!S300</f>
        <v>0</v>
      </c>
      <c r="T313" s="201">
        <f>TDP!T300</f>
        <v>0</v>
      </c>
      <c r="U313" s="201">
        <f>TDP!U300</f>
        <v>0</v>
      </c>
      <c r="V313" s="201">
        <f>TDP!V300</f>
        <v>0</v>
      </c>
      <c r="W313" s="201">
        <f>TDP!W300</f>
        <v>0</v>
      </c>
      <c r="X313" s="201">
        <f>TDP!X300</f>
        <v>0</v>
      </c>
      <c r="Y313" s="201">
        <f>TDP!Y300</f>
        <v>0</v>
      </c>
      <c r="Z313" s="201">
        <f>TDP!Z300</f>
        <v>0</v>
      </c>
    </row>
    <row r="314" spans="1:26" ht="15" customHeight="1">
      <c r="A314" s="200" t="s">
        <v>358</v>
      </c>
      <c r="C314" s="201">
        <f>'Khanh Nga'!C300</f>
        <v>0</v>
      </c>
      <c r="D314" s="201">
        <f>'Khanh Nga'!D300</f>
        <v>0</v>
      </c>
      <c r="E314" s="201">
        <f>'Khanh Nga'!E300</f>
        <v>0</v>
      </c>
      <c r="F314" s="201">
        <f>'Khanh Nga'!F300</f>
        <v>0</v>
      </c>
      <c r="G314" s="201">
        <f>'Khanh Nga'!G300</f>
        <v>0</v>
      </c>
      <c r="H314" s="201">
        <f>'Khanh Nga'!H300</f>
        <v>0</v>
      </c>
      <c r="I314" s="201">
        <f>'Khanh Nga'!I300</f>
        <v>0</v>
      </c>
      <c r="J314" s="201">
        <f>'Khanh Nga'!J300</f>
        <v>0</v>
      </c>
      <c r="K314" s="201">
        <f>'Khanh Nga'!K300</f>
        <v>0</v>
      </c>
      <c r="L314" s="201">
        <f>'Khanh Nga'!L300</f>
        <v>0</v>
      </c>
      <c r="M314" s="201">
        <f>'Khanh Nga'!M300</f>
        <v>0</v>
      </c>
      <c r="N314" s="201">
        <f>'Khanh Nga'!N300</f>
        <v>0</v>
      </c>
      <c r="O314" s="201">
        <f>'Khanh Nga'!O300</f>
        <v>0</v>
      </c>
      <c r="P314" s="201">
        <f>'Khanh Nga'!P300</f>
        <v>0</v>
      </c>
      <c r="Q314" s="201">
        <f>'Khanh Nga'!Q300</f>
        <v>0</v>
      </c>
      <c r="R314" s="201">
        <f>'Khanh Nga'!R300</f>
        <v>0</v>
      </c>
      <c r="S314" s="201">
        <f>'Khanh Nga'!S300</f>
        <v>0</v>
      </c>
      <c r="T314" s="201">
        <f>'Khanh Nga'!T300</f>
        <v>0</v>
      </c>
      <c r="U314" s="201">
        <f>'Khanh Nga'!U300</f>
        <v>0</v>
      </c>
      <c r="V314" s="201">
        <f>'Khanh Nga'!V300</f>
        <v>0</v>
      </c>
      <c r="W314" s="201">
        <f>'Khanh Nga'!W300</f>
        <v>0</v>
      </c>
      <c r="X314" s="201">
        <f>'Khanh Nga'!X300</f>
        <v>0</v>
      </c>
      <c r="Y314" s="201">
        <f>'Khanh Nga'!Y300</f>
        <v>0</v>
      </c>
      <c r="Z314" s="201">
        <f>'Khanh Nga'!Z300</f>
        <v>0</v>
      </c>
    </row>
    <row r="315" spans="1:26" ht="15" customHeight="1">
      <c r="A315" s="200" t="s">
        <v>359</v>
      </c>
      <c r="C315" s="201">
        <f>'Dong Lam'!C300</f>
        <v>0</v>
      </c>
      <c r="D315" s="201">
        <f>'Dong Lam'!D300</f>
        <v>0</v>
      </c>
      <c r="E315" s="201">
        <f>'Dong Lam'!E300</f>
        <v>0</v>
      </c>
      <c r="F315" s="201">
        <f>'Dong Lam'!F300</f>
        <v>0</v>
      </c>
      <c r="G315" s="201">
        <f>'Dong Lam'!G300</f>
        <v>0</v>
      </c>
      <c r="H315" s="201">
        <f>'Dong Lam'!H300</f>
        <v>0</v>
      </c>
      <c r="I315" s="201">
        <f>'Dong Lam'!I300</f>
        <v>0</v>
      </c>
      <c r="J315" s="201">
        <f>'Dong Lam'!J300</f>
        <v>0</v>
      </c>
      <c r="K315" s="201">
        <f>'Dong Lam'!K300</f>
        <v>0</v>
      </c>
      <c r="L315" s="201">
        <f>'Dong Lam'!L300</f>
        <v>0</v>
      </c>
      <c r="M315" s="201">
        <f>'Dong Lam'!M300</f>
        <v>0</v>
      </c>
      <c r="N315" s="201">
        <f>'Dong Lam'!N300</f>
        <v>0</v>
      </c>
      <c r="O315" s="201">
        <f>'Dong Lam'!O300</f>
        <v>0</v>
      </c>
      <c r="P315" s="201">
        <f>'Dong Lam'!P300</f>
        <v>0</v>
      </c>
      <c r="Q315" s="201">
        <f>'Dong Lam'!Q300</f>
        <v>0</v>
      </c>
      <c r="R315" s="201">
        <f>'Dong Lam'!R300</f>
        <v>0</v>
      </c>
      <c r="S315" s="201">
        <f>'Dong Lam'!S300</f>
        <v>0</v>
      </c>
      <c r="T315" s="201">
        <f>'Dong Lam'!T300</f>
        <v>0</v>
      </c>
      <c r="U315" s="201">
        <f>'Dong Lam'!U300</f>
        <v>0</v>
      </c>
      <c r="V315" s="201">
        <f>'Dong Lam'!V300</f>
        <v>0</v>
      </c>
      <c r="W315" s="201">
        <f>'Dong Lam'!W300</f>
        <v>0</v>
      </c>
      <c r="X315" s="201">
        <f>'Dong Lam'!X300</f>
        <v>0</v>
      </c>
      <c r="Y315" s="201">
        <f>'Dong Lam'!Y300</f>
        <v>0</v>
      </c>
      <c r="Z315" s="201">
        <f>'Dong Lam'!Z300</f>
        <v>0</v>
      </c>
    </row>
    <row r="317" spans="1:26" ht="15" customHeight="1">
      <c r="A317" s="196" t="s">
        <v>352</v>
      </c>
      <c r="B317" s="197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</row>
    <row r="318" spans="1:26" ht="15" customHeight="1">
      <c r="A318" s="200" t="str">
        <f>A310</f>
        <v>DAI LOC</v>
      </c>
      <c r="C318" s="207">
        <f>IFERROR(C310/C$309,0)</f>
        <v>0</v>
      </c>
      <c r="D318" s="207">
        <f t="shared" ref="D318:Z324" si="48">IFERROR(D310/D$309,0)</f>
        <v>0</v>
      </c>
      <c r="E318" s="207">
        <f t="shared" si="48"/>
        <v>0</v>
      </c>
      <c r="F318" s="207">
        <f t="shared" si="48"/>
        <v>0</v>
      </c>
      <c r="G318" s="207">
        <f t="shared" si="48"/>
        <v>0</v>
      </c>
      <c r="H318" s="207">
        <f t="shared" si="48"/>
        <v>0</v>
      </c>
      <c r="I318" s="207">
        <f t="shared" si="48"/>
        <v>0</v>
      </c>
      <c r="J318" s="207">
        <f t="shared" si="48"/>
        <v>0</v>
      </c>
      <c r="K318" s="207">
        <f t="shared" si="48"/>
        <v>0</v>
      </c>
      <c r="L318" s="207">
        <f t="shared" si="48"/>
        <v>0</v>
      </c>
      <c r="M318" s="207">
        <f t="shared" si="48"/>
        <v>0</v>
      </c>
      <c r="N318" s="207">
        <f t="shared" si="48"/>
        <v>0</v>
      </c>
      <c r="O318" s="207">
        <f t="shared" si="48"/>
        <v>0</v>
      </c>
      <c r="P318" s="207">
        <f t="shared" si="48"/>
        <v>0</v>
      </c>
      <c r="Q318" s="207">
        <f t="shared" si="48"/>
        <v>0</v>
      </c>
      <c r="R318" s="207">
        <f t="shared" si="48"/>
        <v>0</v>
      </c>
      <c r="S318" s="207">
        <f t="shared" si="48"/>
        <v>0</v>
      </c>
      <c r="T318" s="207">
        <f t="shared" si="48"/>
        <v>0</v>
      </c>
      <c r="U318" s="207">
        <f t="shared" si="48"/>
        <v>0</v>
      </c>
      <c r="V318" s="207">
        <f t="shared" si="48"/>
        <v>0</v>
      </c>
      <c r="W318" s="207">
        <f t="shared" si="48"/>
        <v>0</v>
      </c>
      <c r="X318" s="207">
        <f t="shared" si="48"/>
        <v>0</v>
      </c>
      <c r="Y318" s="207">
        <f t="shared" si="48"/>
        <v>0</v>
      </c>
      <c r="Z318" s="207">
        <f t="shared" si="48"/>
        <v>0</v>
      </c>
    </row>
    <row r="319" spans="1:26" ht="15" customHeight="1">
      <c r="A319" s="200" t="str">
        <f>A311</f>
        <v>DTR</v>
      </c>
      <c r="C319" s="207">
        <f t="shared" ref="C319:R324" si="49">IFERROR(C311/C$309,0)</f>
        <v>0</v>
      </c>
      <c r="D319" s="207">
        <f t="shared" si="49"/>
        <v>0</v>
      </c>
      <c r="E319" s="207">
        <f t="shared" si="49"/>
        <v>0</v>
      </c>
      <c r="F319" s="207">
        <f t="shared" si="49"/>
        <v>0</v>
      </c>
      <c r="G319" s="207">
        <f t="shared" si="49"/>
        <v>0</v>
      </c>
      <c r="H319" s="207">
        <f t="shared" si="49"/>
        <v>0</v>
      </c>
      <c r="I319" s="207">
        <f t="shared" si="49"/>
        <v>0</v>
      </c>
      <c r="J319" s="207">
        <f t="shared" si="49"/>
        <v>0</v>
      </c>
      <c r="K319" s="207">
        <f t="shared" si="49"/>
        <v>0</v>
      </c>
      <c r="L319" s="207">
        <f t="shared" si="49"/>
        <v>0</v>
      </c>
      <c r="M319" s="207">
        <f t="shared" si="49"/>
        <v>0</v>
      </c>
      <c r="N319" s="207">
        <f t="shared" si="49"/>
        <v>1</v>
      </c>
      <c r="O319" s="207">
        <f t="shared" si="49"/>
        <v>1</v>
      </c>
      <c r="P319" s="207">
        <f t="shared" si="49"/>
        <v>1</v>
      </c>
      <c r="Q319" s="207">
        <f t="shared" si="49"/>
        <v>1</v>
      </c>
      <c r="R319" s="207">
        <f t="shared" si="49"/>
        <v>1</v>
      </c>
      <c r="S319" s="207">
        <f t="shared" si="48"/>
        <v>1</v>
      </c>
      <c r="T319" s="207">
        <f t="shared" si="48"/>
        <v>1</v>
      </c>
      <c r="U319" s="207">
        <f t="shared" si="48"/>
        <v>1</v>
      </c>
      <c r="V319" s="207">
        <f t="shared" si="48"/>
        <v>1</v>
      </c>
      <c r="W319" s="207">
        <f t="shared" si="48"/>
        <v>1</v>
      </c>
      <c r="X319" s="207">
        <f t="shared" si="48"/>
        <v>1</v>
      </c>
      <c r="Y319" s="207">
        <f t="shared" si="48"/>
        <v>1</v>
      </c>
      <c r="Z319" s="207">
        <f t="shared" si="48"/>
        <v>1</v>
      </c>
    </row>
    <row r="320" spans="1:26" ht="15" customHeight="1">
      <c r="A320" s="200" t="str">
        <f>A312</f>
        <v>DTRVL</v>
      </c>
      <c r="C320" s="207">
        <f t="shared" si="49"/>
        <v>0</v>
      </c>
      <c r="D320" s="207">
        <f t="shared" si="48"/>
        <v>0</v>
      </c>
      <c r="E320" s="207">
        <f t="shared" si="48"/>
        <v>0</v>
      </c>
      <c r="F320" s="207">
        <f t="shared" si="48"/>
        <v>0</v>
      </c>
      <c r="G320" s="207">
        <f t="shared" si="48"/>
        <v>0</v>
      </c>
      <c r="H320" s="207">
        <f t="shared" si="48"/>
        <v>0</v>
      </c>
      <c r="I320" s="207">
        <f t="shared" si="48"/>
        <v>0</v>
      </c>
      <c r="J320" s="207">
        <f t="shared" si="48"/>
        <v>0</v>
      </c>
      <c r="K320" s="207">
        <f t="shared" si="48"/>
        <v>0</v>
      </c>
      <c r="L320" s="207">
        <f t="shared" si="48"/>
        <v>0</v>
      </c>
      <c r="M320" s="207">
        <f t="shared" si="48"/>
        <v>0</v>
      </c>
      <c r="N320" s="207">
        <f t="shared" si="48"/>
        <v>0</v>
      </c>
      <c r="O320" s="207">
        <f t="shared" si="48"/>
        <v>0</v>
      </c>
      <c r="P320" s="207">
        <f t="shared" si="48"/>
        <v>0</v>
      </c>
      <c r="Q320" s="207">
        <f t="shared" si="48"/>
        <v>0</v>
      </c>
      <c r="R320" s="207">
        <f t="shared" si="48"/>
        <v>0</v>
      </c>
      <c r="S320" s="207">
        <f t="shared" si="48"/>
        <v>0</v>
      </c>
      <c r="T320" s="207">
        <f t="shared" si="48"/>
        <v>0</v>
      </c>
      <c r="U320" s="207">
        <f t="shared" si="48"/>
        <v>0</v>
      </c>
      <c r="V320" s="207">
        <f t="shared" si="48"/>
        <v>0</v>
      </c>
      <c r="W320" s="207">
        <f t="shared" si="48"/>
        <v>0</v>
      </c>
      <c r="X320" s="207">
        <f t="shared" si="48"/>
        <v>0</v>
      </c>
      <c r="Y320" s="207">
        <f t="shared" si="48"/>
        <v>0</v>
      </c>
      <c r="Z320" s="207">
        <f t="shared" si="48"/>
        <v>0</v>
      </c>
    </row>
    <row r="321" spans="1:26" ht="15" customHeight="1">
      <c r="A321" s="200" t="s">
        <v>357</v>
      </c>
      <c r="C321" s="207">
        <f t="shared" si="49"/>
        <v>0</v>
      </c>
      <c r="D321" s="207">
        <f t="shared" si="48"/>
        <v>0</v>
      </c>
      <c r="E321" s="207">
        <f t="shared" si="48"/>
        <v>0</v>
      </c>
      <c r="F321" s="207">
        <f t="shared" si="48"/>
        <v>0</v>
      </c>
      <c r="G321" s="207">
        <f t="shared" si="48"/>
        <v>0</v>
      </c>
      <c r="H321" s="207">
        <f t="shared" si="48"/>
        <v>0</v>
      </c>
      <c r="I321" s="207">
        <f t="shared" si="48"/>
        <v>0</v>
      </c>
      <c r="J321" s="207">
        <f t="shared" si="48"/>
        <v>0</v>
      </c>
      <c r="K321" s="207">
        <f t="shared" si="48"/>
        <v>0</v>
      </c>
      <c r="L321" s="207">
        <f t="shared" si="48"/>
        <v>0</v>
      </c>
      <c r="M321" s="207">
        <f t="shared" si="48"/>
        <v>0</v>
      </c>
      <c r="N321" s="207">
        <f t="shared" si="48"/>
        <v>0</v>
      </c>
      <c r="O321" s="207">
        <f t="shared" si="48"/>
        <v>0</v>
      </c>
      <c r="P321" s="207">
        <f t="shared" si="48"/>
        <v>0</v>
      </c>
      <c r="Q321" s="207">
        <f t="shared" si="48"/>
        <v>0</v>
      </c>
      <c r="R321" s="207">
        <f t="shared" si="48"/>
        <v>0</v>
      </c>
      <c r="S321" s="207">
        <f t="shared" si="48"/>
        <v>0</v>
      </c>
      <c r="T321" s="207">
        <f t="shared" si="48"/>
        <v>0</v>
      </c>
      <c r="U321" s="207">
        <f t="shared" si="48"/>
        <v>0</v>
      </c>
      <c r="V321" s="207">
        <f t="shared" si="48"/>
        <v>0</v>
      </c>
      <c r="W321" s="207">
        <f t="shared" si="48"/>
        <v>0</v>
      </c>
      <c r="X321" s="207">
        <f t="shared" si="48"/>
        <v>0</v>
      </c>
      <c r="Y321" s="207">
        <f t="shared" si="48"/>
        <v>0</v>
      </c>
      <c r="Z321" s="207">
        <f t="shared" si="48"/>
        <v>0</v>
      </c>
    </row>
    <row r="322" spans="1:26" ht="15" customHeight="1">
      <c r="A322" s="200" t="s">
        <v>358</v>
      </c>
      <c r="C322" s="207">
        <f t="shared" si="49"/>
        <v>0</v>
      </c>
      <c r="D322" s="207">
        <f t="shared" si="48"/>
        <v>0</v>
      </c>
      <c r="E322" s="207">
        <f t="shared" si="48"/>
        <v>0</v>
      </c>
      <c r="F322" s="207">
        <f t="shared" si="48"/>
        <v>0</v>
      </c>
      <c r="G322" s="207">
        <f t="shared" si="48"/>
        <v>0</v>
      </c>
      <c r="H322" s="207">
        <f t="shared" si="48"/>
        <v>0</v>
      </c>
      <c r="I322" s="207">
        <f t="shared" si="48"/>
        <v>0</v>
      </c>
      <c r="J322" s="207">
        <f t="shared" si="48"/>
        <v>0</v>
      </c>
      <c r="K322" s="207">
        <f t="shared" si="48"/>
        <v>0</v>
      </c>
      <c r="L322" s="207">
        <f t="shared" si="48"/>
        <v>0</v>
      </c>
      <c r="M322" s="207">
        <f t="shared" si="48"/>
        <v>0</v>
      </c>
      <c r="N322" s="207">
        <f t="shared" si="48"/>
        <v>0</v>
      </c>
      <c r="O322" s="207">
        <f t="shared" si="48"/>
        <v>0</v>
      </c>
      <c r="P322" s="207">
        <f t="shared" si="48"/>
        <v>0</v>
      </c>
      <c r="Q322" s="207">
        <f t="shared" si="48"/>
        <v>0</v>
      </c>
      <c r="R322" s="207">
        <f t="shared" si="48"/>
        <v>0</v>
      </c>
      <c r="S322" s="207">
        <f t="shared" si="48"/>
        <v>0</v>
      </c>
      <c r="T322" s="207">
        <f t="shared" si="48"/>
        <v>0</v>
      </c>
      <c r="U322" s="207">
        <f t="shared" si="48"/>
        <v>0</v>
      </c>
      <c r="V322" s="207">
        <f t="shared" si="48"/>
        <v>0</v>
      </c>
      <c r="W322" s="207">
        <f t="shared" si="48"/>
        <v>0</v>
      </c>
      <c r="X322" s="207">
        <f t="shared" si="48"/>
        <v>0</v>
      </c>
      <c r="Y322" s="207">
        <f t="shared" si="48"/>
        <v>0</v>
      </c>
      <c r="Z322" s="207">
        <f t="shared" si="48"/>
        <v>0</v>
      </c>
    </row>
    <row r="323" spans="1:26" ht="15" customHeight="1">
      <c r="A323" s="200" t="str">
        <f>A315</f>
        <v>DONGLAM</v>
      </c>
      <c r="C323" s="207">
        <f t="shared" si="49"/>
        <v>0</v>
      </c>
      <c r="D323" s="207">
        <f t="shared" si="48"/>
        <v>0</v>
      </c>
      <c r="E323" s="207">
        <f t="shared" si="48"/>
        <v>0</v>
      </c>
      <c r="F323" s="207">
        <f t="shared" si="48"/>
        <v>0</v>
      </c>
      <c r="G323" s="207">
        <f t="shared" si="48"/>
        <v>0</v>
      </c>
      <c r="H323" s="207">
        <f t="shared" si="48"/>
        <v>0</v>
      </c>
      <c r="I323" s="207">
        <f t="shared" si="48"/>
        <v>0</v>
      </c>
      <c r="J323" s="207">
        <f t="shared" si="48"/>
        <v>0</v>
      </c>
      <c r="K323" s="207">
        <f t="shared" si="48"/>
        <v>0</v>
      </c>
      <c r="L323" s="207">
        <f t="shared" si="48"/>
        <v>0</v>
      </c>
      <c r="M323" s="207">
        <f t="shared" si="48"/>
        <v>0</v>
      </c>
      <c r="N323" s="207">
        <f t="shared" si="48"/>
        <v>0</v>
      </c>
      <c r="O323" s="207">
        <f t="shared" si="48"/>
        <v>0</v>
      </c>
      <c r="P323" s="207">
        <f t="shared" si="48"/>
        <v>0</v>
      </c>
      <c r="Q323" s="207">
        <f t="shared" si="48"/>
        <v>0</v>
      </c>
      <c r="R323" s="207">
        <f t="shared" si="48"/>
        <v>0</v>
      </c>
      <c r="S323" s="207">
        <f t="shared" si="48"/>
        <v>0</v>
      </c>
      <c r="T323" s="207">
        <f t="shared" si="48"/>
        <v>0</v>
      </c>
      <c r="U323" s="207">
        <f t="shared" si="48"/>
        <v>0</v>
      </c>
      <c r="V323" s="207">
        <f t="shared" si="48"/>
        <v>0</v>
      </c>
      <c r="W323" s="207">
        <f t="shared" si="48"/>
        <v>0</v>
      </c>
      <c r="X323" s="207">
        <f t="shared" si="48"/>
        <v>0</v>
      </c>
      <c r="Y323" s="207">
        <f t="shared" si="48"/>
        <v>0</v>
      </c>
      <c r="Z323" s="207">
        <f t="shared" si="48"/>
        <v>0</v>
      </c>
    </row>
    <row r="324" spans="1:26" ht="15" customHeight="1">
      <c r="C324" s="49">
        <f t="shared" si="49"/>
        <v>0</v>
      </c>
      <c r="D324" s="49">
        <f t="shared" si="48"/>
        <v>0</v>
      </c>
      <c r="E324" s="49">
        <f t="shared" si="48"/>
        <v>0</v>
      </c>
      <c r="F324" s="49">
        <f t="shared" si="48"/>
        <v>0</v>
      </c>
      <c r="G324" s="49">
        <f t="shared" si="48"/>
        <v>0</v>
      </c>
      <c r="H324" s="49">
        <f t="shared" si="48"/>
        <v>0</v>
      </c>
      <c r="I324" s="49">
        <f t="shared" si="48"/>
        <v>0</v>
      </c>
      <c r="J324" s="49">
        <f t="shared" si="48"/>
        <v>0</v>
      </c>
      <c r="K324" s="49">
        <f t="shared" si="48"/>
        <v>0</v>
      </c>
      <c r="L324" s="49">
        <f t="shared" si="48"/>
        <v>0</v>
      </c>
      <c r="M324" s="49">
        <f t="shared" si="48"/>
        <v>0</v>
      </c>
      <c r="N324" s="49">
        <f t="shared" si="48"/>
        <v>0</v>
      </c>
      <c r="O324" s="49">
        <f t="shared" si="48"/>
        <v>0</v>
      </c>
      <c r="P324" s="49">
        <f t="shared" si="48"/>
        <v>0</v>
      </c>
      <c r="Q324" s="49">
        <f t="shared" si="48"/>
        <v>0</v>
      </c>
      <c r="R324" s="49">
        <f t="shared" si="48"/>
        <v>0</v>
      </c>
      <c r="S324" s="49">
        <f t="shared" si="48"/>
        <v>0</v>
      </c>
      <c r="T324" s="49">
        <f t="shared" si="48"/>
        <v>0</v>
      </c>
      <c r="U324" s="49">
        <f t="shared" si="48"/>
        <v>0</v>
      </c>
      <c r="V324" s="49">
        <f t="shared" si="48"/>
        <v>0</v>
      </c>
      <c r="W324" s="49">
        <f t="shared" si="48"/>
        <v>0</v>
      </c>
      <c r="X324" s="49">
        <f t="shared" si="48"/>
        <v>0</v>
      </c>
      <c r="Y324" s="49">
        <f t="shared" si="48"/>
        <v>0</v>
      </c>
      <c r="Z324" s="49">
        <f t="shared" si="48"/>
        <v>0</v>
      </c>
    </row>
    <row r="325" spans="1:26" ht="15" customHeight="1">
      <c r="W325" s="208"/>
    </row>
    <row r="326" spans="1:26" ht="15" customHeight="1">
      <c r="A326" s="202" t="s">
        <v>360</v>
      </c>
      <c r="C326" s="209">
        <f t="shared" ref="C326:Z326" si="50">SUM(C327:C332)</f>
        <v>114891581921</v>
      </c>
      <c r="D326" s="209">
        <f t="shared" si="50"/>
        <v>114881861921</v>
      </c>
      <c r="E326" s="209">
        <f t="shared" si="50"/>
        <v>112862141921</v>
      </c>
      <c r="F326" s="209">
        <f t="shared" si="50"/>
        <v>106352421921</v>
      </c>
      <c r="G326" s="209">
        <f t="shared" si="50"/>
        <v>106342701921</v>
      </c>
      <c r="H326" s="209">
        <f t="shared" si="50"/>
        <v>82332981921</v>
      </c>
      <c r="I326" s="209">
        <f t="shared" si="50"/>
        <v>65823261921</v>
      </c>
      <c r="J326" s="209">
        <f t="shared" si="50"/>
        <v>65813541921</v>
      </c>
      <c r="K326" s="209">
        <f t="shared" si="50"/>
        <v>65813541921</v>
      </c>
      <c r="L326" s="209">
        <f t="shared" si="50"/>
        <v>65794101921</v>
      </c>
      <c r="M326" s="209">
        <f t="shared" si="50"/>
        <v>105794101921</v>
      </c>
      <c r="N326" s="209">
        <f t="shared" si="50"/>
        <v>95774661921</v>
      </c>
      <c r="O326" s="209">
        <f t="shared" si="50"/>
        <v>87755221921</v>
      </c>
      <c r="P326" s="209">
        <f t="shared" si="50"/>
        <v>71255221921</v>
      </c>
      <c r="Q326" s="209">
        <f t="shared" si="50"/>
        <v>109055221921</v>
      </c>
      <c r="R326" s="209">
        <f t="shared" si="50"/>
        <v>133555221921</v>
      </c>
      <c r="S326" s="209">
        <f t="shared" si="50"/>
        <v>142726061921</v>
      </c>
      <c r="T326" s="209">
        <f t="shared" si="50"/>
        <v>142706621921</v>
      </c>
      <c r="U326" s="209">
        <f t="shared" si="50"/>
        <v>126706621921</v>
      </c>
      <c r="V326" s="209">
        <f t="shared" si="50"/>
        <v>127601021921</v>
      </c>
      <c r="W326" s="209">
        <f t="shared" si="50"/>
        <v>115601021921</v>
      </c>
      <c r="X326" s="209">
        <f t="shared" si="50"/>
        <v>123601021921</v>
      </c>
      <c r="Y326" s="209">
        <f t="shared" si="50"/>
        <v>111601021921</v>
      </c>
      <c r="Z326" s="209">
        <f t="shared" si="50"/>
        <v>89601021921</v>
      </c>
    </row>
    <row r="327" spans="1:26" ht="15" customHeight="1">
      <c r="A327" s="200" t="str">
        <f>A318</f>
        <v>DAI LOC</v>
      </c>
      <c r="C327" s="201">
        <f>'Dai Loc'!C9+'Dai Loc'!C13</f>
        <v>202000000</v>
      </c>
      <c r="D327" s="201">
        <f>'Dai Loc'!D9+'Dai Loc'!D13</f>
        <v>202000000</v>
      </c>
      <c r="E327" s="201">
        <f>'Dai Loc'!E9+'Dai Loc'!E13</f>
        <v>202000000</v>
      </c>
      <c r="F327" s="201">
        <f>'Dai Loc'!F9+'Dai Loc'!F13</f>
        <v>202000000</v>
      </c>
      <c r="G327" s="201">
        <f>'Dai Loc'!G9+'Dai Loc'!G13</f>
        <v>202000000</v>
      </c>
      <c r="H327" s="201">
        <f>'Dai Loc'!H9+'Dai Loc'!H13</f>
        <v>202000000</v>
      </c>
      <c r="I327" s="201">
        <f>'Dai Loc'!I9+'Dai Loc'!I13</f>
        <v>202000000</v>
      </c>
      <c r="J327" s="201">
        <f>'Dai Loc'!J9+'Dai Loc'!J13</f>
        <v>202000000</v>
      </c>
      <c r="K327" s="201">
        <f>'Dai Loc'!K9+'Dai Loc'!K13</f>
        <v>202000000</v>
      </c>
      <c r="L327" s="201">
        <f>'Dai Loc'!L9+'Dai Loc'!L13</f>
        <v>202000000</v>
      </c>
      <c r="M327" s="201">
        <f>'Dai Loc'!M9+'Dai Loc'!M13</f>
        <v>202000000</v>
      </c>
      <c r="N327" s="201">
        <f>'Dai Loc'!N9+'Dai Loc'!N13</f>
        <v>202000000</v>
      </c>
      <c r="O327" s="201">
        <f>'Dai Loc'!O9+'Dai Loc'!O13</f>
        <v>202000000</v>
      </c>
      <c r="P327" s="201">
        <f>'Dai Loc'!P9+'Dai Loc'!P13</f>
        <v>202000000</v>
      </c>
      <c r="Q327" s="201">
        <f>'Dai Loc'!Q9+'Dai Loc'!Q13</f>
        <v>202000000</v>
      </c>
      <c r="R327" s="201">
        <f>'Dai Loc'!R9+'Dai Loc'!R13</f>
        <v>202000000</v>
      </c>
      <c r="S327" s="201">
        <f>'Dai Loc'!S9+'Dai Loc'!S13</f>
        <v>202000000</v>
      </c>
      <c r="T327" s="201">
        <f>'Dai Loc'!T9+'Dai Loc'!T13</f>
        <v>202000000</v>
      </c>
      <c r="U327" s="201">
        <f>'Dai Loc'!U9+'Dai Loc'!U13</f>
        <v>202000000</v>
      </c>
      <c r="V327" s="201">
        <f>'Dai Loc'!V9+'Dai Loc'!V13</f>
        <v>202000000</v>
      </c>
      <c r="W327" s="201">
        <f>'Dai Loc'!W9+'Dai Loc'!W13</f>
        <v>202000000</v>
      </c>
      <c r="X327" s="201">
        <f>'Dai Loc'!X9+'Dai Loc'!X13</f>
        <v>5202000000</v>
      </c>
      <c r="Y327" s="201">
        <f>'Dai Loc'!Y9+'Dai Loc'!Y13</f>
        <v>3202000000</v>
      </c>
      <c r="Z327" s="201">
        <f>'Dai Loc'!Z9+'Dai Loc'!Z13</f>
        <v>202000000</v>
      </c>
    </row>
    <row r="328" spans="1:26" ht="15" customHeight="1">
      <c r="A328" s="200" t="str">
        <f t="shared" ref="A328:A332" si="51">A319</f>
        <v>DTR</v>
      </c>
      <c r="C328" s="201">
        <f>DTR!C9+DTR!C13</f>
        <v>110689581921</v>
      </c>
      <c r="D328" s="201">
        <f>DTR!D9+DTR!D13</f>
        <v>110679861921</v>
      </c>
      <c r="E328" s="201">
        <f>DTR!E9+DTR!E13</f>
        <v>108660141921</v>
      </c>
      <c r="F328" s="201">
        <f>DTR!F9+DTR!F13</f>
        <v>98150421921</v>
      </c>
      <c r="G328" s="201">
        <f>DTR!G9+DTR!G13</f>
        <v>98140701921</v>
      </c>
      <c r="H328" s="201">
        <f>DTR!H9+DTR!H13</f>
        <v>78130981921</v>
      </c>
      <c r="I328" s="201">
        <f>DTR!I9+DTR!I13</f>
        <v>58621261921</v>
      </c>
      <c r="J328" s="201">
        <f>DTR!J9+DTR!J13</f>
        <v>58611541921</v>
      </c>
      <c r="K328" s="201">
        <f>DTR!K9+DTR!K13</f>
        <v>58611541921</v>
      </c>
      <c r="L328" s="201">
        <f>DTR!L9+DTR!L13</f>
        <v>58592101921</v>
      </c>
      <c r="M328" s="201">
        <f>DTR!M9+DTR!M13</f>
        <v>98592101921</v>
      </c>
      <c r="N328" s="201">
        <f>DTR!N9+DTR!N13</f>
        <v>88572661921</v>
      </c>
      <c r="O328" s="201">
        <f>DTR!O9+DTR!O13</f>
        <v>78553221921</v>
      </c>
      <c r="P328" s="201">
        <f>DTR!P9+DTR!P13</f>
        <v>64053221921</v>
      </c>
      <c r="Q328" s="201">
        <f>DTR!Q9+DTR!Q13</f>
        <v>101053221921</v>
      </c>
      <c r="R328" s="201">
        <f>DTR!R9+DTR!R13</f>
        <v>125553221921</v>
      </c>
      <c r="S328" s="201">
        <f>DTR!S9+DTR!S13</f>
        <v>135524061921</v>
      </c>
      <c r="T328" s="201">
        <f>DTR!T9+DTR!T13</f>
        <v>135504621921</v>
      </c>
      <c r="U328" s="201">
        <f>DTR!U9+DTR!U13</f>
        <v>120504621921</v>
      </c>
      <c r="V328" s="201">
        <f>DTR!V9+DTR!V13</f>
        <v>120699021921</v>
      </c>
      <c r="W328" s="201">
        <f>DTR!W9+DTR!W13</f>
        <v>108699021921</v>
      </c>
      <c r="X328" s="201">
        <f>DTR!X9+DTR!X13</f>
        <v>108699021921</v>
      </c>
      <c r="Y328" s="201">
        <f>DTR!Y9+DTR!Y13</f>
        <v>98699021921</v>
      </c>
      <c r="Z328" s="201">
        <f>DTR!Z9+DTR!Z13</f>
        <v>73699021921</v>
      </c>
    </row>
    <row r="329" spans="1:26" ht="15" customHeight="1">
      <c r="A329" s="200" t="str">
        <f t="shared" si="51"/>
        <v>DTRVL</v>
      </c>
      <c r="C329" s="201">
        <f>DTRVL!C9+DTRVL!C13</f>
        <v>0</v>
      </c>
      <c r="D329" s="201">
        <f>DTRVL!D9+DTRVL!D13</f>
        <v>0</v>
      </c>
      <c r="E329" s="201">
        <f>DTRVL!E9+DTRVL!E13</f>
        <v>0</v>
      </c>
      <c r="F329" s="201">
        <f>DTRVL!F9+DTRVL!F13</f>
        <v>0</v>
      </c>
      <c r="G329" s="201">
        <f>DTRVL!G9+DTRVL!G13</f>
        <v>0</v>
      </c>
      <c r="H329" s="201">
        <f>DTRVL!H9+DTRVL!H13</f>
        <v>0</v>
      </c>
      <c r="I329" s="201">
        <f>DTRVL!I9+DTRVL!I13</f>
        <v>0</v>
      </c>
      <c r="J329" s="201">
        <f>DTRVL!J9+DTRVL!J13</f>
        <v>0</v>
      </c>
      <c r="K329" s="201">
        <f>DTRVL!K9+DTRVL!K13</f>
        <v>0</v>
      </c>
      <c r="L329" s="201">
        <f>DTRVL!L9+DTRVL!L13</f>
        <v>0</v>
      </c>
      <c r="M329" s="201">
        <f>DTRVL!M9+DTRVL!M13</f>
        <v>0</v>
      </c>
      <c r="N329" s="201">
        <f>DTRVL!N9+DTRVL!N13</f>
        <v>0</v>
      </c>
      <c r="O329" s="201">
        <f>DTRVL!O9+DTRVL!O13</f>
        <v>0</v>
      </c>
      <c r="P329" s="201">
        <f>DTRVL!P9+DTRVL!P13</f>
        <v>0</v>
      </c>
      <c r="Q329" s="201">
        <f>DTRVL!Q9+DTRVL!Q13</f>
        <v>0</v>
      </c>
      <c r="R329" s="201">
        <f>DTRVL!R9+DTRVL!R13</f>
        <v>0</v>
      </c>
      <c r="S329" s="201">
        <f>DTRVL!S9+DTRVL!S13</f>
        <v>0</v>
      </c>
      <c r="T329" s="201">
        <f>DTRVL!T9+DTRVL!T13</f>
        <v>0</v>
      </c>
      <c r="U329" s="201">
        <f>DTRVL!U9+DTRVL!U13</f>
        <v>0</v>
      </c>
      <c r="V329" s="201">
        <f>DTRVL!V9+DTRVL!V13</f>
        <v>0</v>
      </c>
      <c r="W329" s="201">
        <f>DTRVL!W9+DTRVL!W13</f>
        <v>0</v>
      </c>
      <c r="X329" s="201">
        <f>DTRVL!X9+DTRVL!X13</f>
        <v>0</v>
      </c>
      <c r="Y329" s="201">
        <f>DTRVL!Y9+DTRVL!Y13</f>
        <v>0</v>
      </c>
      <c r="Z329" s="201">
        <f>DTRVL!Z9+DTRVL!Z13</f>
        <v>0</v>
      </c>
    </row>
    <row r="330" spans="1:26" ht="15" customHeight="1">
      <c r="A330" s="200" t="str">
        <f t="shared" si="51"/>
        <v>TDP</v>
      </c>
      <c r="C330" s="201">
        <f>TDP!C9+TDP!C13</f>
        <v>0</v>
      </c>
      <c r="D330" s="201">
        <f>TDP!D9+TDP!D13</f>
        <v>0</v>
      </c>
      <c r="E330" s="201">
        <f>TDP!E9+TDP!E13</f>
        <v>0</v>
      </c>
      <c r="F330" s="201">
        <f>TDP!F9+TDP!F13</f>
        <v>0</v>
      </c>
      <c r="G330" s="201">
        <f>TDP!G9+TDP!G13</f>
        <v>0</v>
      </c>
      <c r="H330" s="201">
        <f>TDP!H9+TDP!H13</f>
        <v>0</v>
      </c>
      <c r="I330" s="201">
        <f>TDP!I9+TDP!I13</f>
        <v>0</v>
      </c>
      <c r="J330" s="201">
        <f>TDP!J9+TDP!J13</f>
        <v>0</v>
      </c>
      <c r="K330" s="201">
        <f>TDP!K9+TDP!K13</f>
        <v>0</v>
      </c>
      <c r="L330" s="201">
        <f>TDP!L9+TDP!L13</f>
        <v>0</v>
      </c>
      <c r="M330" s="201">
        <f>TDP!M9+TDP!M13</f>
        <v>0</v>
      </c>
      <c r="N330" s="201">
        <f>TDP!N9+TDP!N13</f>
        <v>0</v>
      </c>
      <c r="O330" s="201">
        <f>TDP!O9+TDP!O13</f>
        <v>0</v>
      </c>
      <c r="P330" s="201">
        <f>TDP!P9+TDP!P13</f>
        <v>0</v>
      </c>
      <c r="Q330" s="201">
        <f>TDP!Q9+TDP!Q13</f>
        <v>800000000</v>
      </c>
      <c r="R330" s="201">
        <f>TDP!R9+TDP!R13</f>
        <v>800000000</v>
      </c>
      <c r="S330" s="201">
        <f>TDP!S9+TDP!S13</f>
        <v>0</v>
      </c>
      <c r="T330" s="201">
        <f>TDP!T9+TDP!T13</f>
        <v>0</v>
      </c>
      <c r="U330" s="201">
        <f>TDP!U9+TDP!U13</f>
        <v>0</v>
      </c>
      <c r="V330" s="201">
        <f>TDP!V9+TDP!V13</f>
        <v>700000000</v>
      </c>
      <c r="W330" s="201">
        <f>TDP!W9+TDP!W13</f>
        <v>700000000</v>
      </c>
      <c r="X330" s="201">
        <f>TDP!X9+TDP!X13</f>
        <v>700000000</v>
      </c>
      <c r="Y330" s="201">
        <f>TDP!Y9+TDP!Y13</f>
        <v>700000000</v>
      </c>
      <c r="Z330" s="201">
        <f>TDP!Z9+TDP!Z13</f>
        <v>700000000</v>
      </c>
    </row>
    <row r="331" spans="1:26" ht="15" customHeight="1">
      <c r="A331" s="200" t="str">
        <f t="shared" si="51"/>
        <v>KHANH NGA</v>
      </c>
      <c r="C331" s="201">
        <f>'Khanh Nga'!C9+'Khanh Nga'!C13</f>
        <v>0</v>
      </c>
      <c r="D331" s="201">
        <f>'Khanh Nga'!D9+'Khanh Nga'!D13</f>
        <v>0</v>
      </c>
      <c r="E331" s="201">
        <f>'Khanh Nga'!E9+'Khanh Nga'!E13</f>
        <v>0</v>
      </c>
      <c r="F331" s="201">
        <f>'Khanh Nga'!F9+'Khanh Nga'!F13</f>
        <v>0</v>
      </c>
      <c r="G331" s="201">
        <f>'Khanh Nga'!G9+'Khanh Nga'!G13</f>
        <v>0</v>
      </c>
      <c r="H331" s="201">
        <f>'Khanh Nga'!H9+'Khanh Nga'!H13</f>
        <v>0</v>
      </c>
      <c r="I331" s="201">
        <f>'Khanh Nga'!I9+'Khanh Nga'!I13</f>
        <v>0</v>
      </c>
      <c r="J331" s="201">
        <f>'Khanh Nga'!J9+'Khanh Nga'!J13</f>
        <v>0</v>
      </c>
      <c r="K331" s="201">
        <f>'Khanh Nga'!K9+'Khanh Nga'!K13</f>
        <v>0</v>
      </c>
      <c r="L331" s="201">
        <f>'Khanh Nga'!L9+'Khanh Nga'!L13</f>
        <v>0</v>
      </c>
      <c r="M331" s="201">
        <f>'Khanh Nga'!M9+'Khanh Nga'!M13</f>
        <v>0</v>
      </c>
      <c r="N331" s="201">
        <f>'Khanh Nga'!N9+'Khanh Nga'!N13</f>
        <v>0</v>
      </c>
      <c r="O331" s="201">
        <f>'Khanh Nga'!O9+'Khanh Nga'!O13</f>
        <v>2000000000</v>
      </c>
      <c r="P331" s="201">
        <f>'Khanh Nga'!P9+'Khanh Nga'!P13</f>
        <v>0</v>
      </c>
      <c r="Q331" s="201">
        <f>'Khanh Nga'!Q9+'Khanh Nga'!Q13</f>
        <v>0</v>
      </c>
      <c r="R331" s="201">
        <f>'Khanh Nga'!R9+'Khanh Nga'!R13</f>
        <v>0</v>
      </c>
      <c r="S331" s="201">
        <f>'Khanh Nga'!S9+'Khanh Nga'!S13</f>
        <v>0</v>
      </c>
      <c r="T331" s="201">
        <f>'Khanh Nga'!T9+'Khanh Nga'!T13</f>
        <v>0</v>
      </c>
      <c r="U331" s="201">
        <f>'Khanh Nga'!U9+'Khanh Nga'!U13</f>
        <v>0</v>
      </c>
      <c r="V331" s="201">
        <f>'Khanh Nga'!V9+'Khanh Nga'!V13</f>
        <v>0</v>
      </c>
      <c r="W331" s="201">
        <f>'Khanh Nga'!W9+'Khanh Nga'!W13</f>
        <v>0</v>
      </c>
      <c r="X331" s="201">
        <f>'Khanh Nga'!X9+'Khanh Nga'!X13</f>
        <v>0</v>
      </c>
      <c r="Y331" s="201">
        <f>'Khanh Nga'!Y9+'Khanh Nga'!Y13</f>
        <v>0</v>
      </c>
      <c r="Z331" s="201">
        <f>'Khanh Nga'!Z9+'Khanh Nga'!Z13</f>
        <v>6000000000</v>
      </c>
    </row>
    <row r="332" spans="1:26" ht="15" customHeight="1">
      <c r="A332" s="200" t="str">
        <f t="shared" si="51"/>
        <v>DONGLAM</v>
      </c>
      <c r="C332" s="201">
        <f>'Dong Lam'!C9+'Dong Lam'!C13</f>
        <v>4000000000</v>
      </c>
      <c r="D332" s="201">
        <f>'Dong Lam'!D9+'Dong Lam'!D13</f>
        <v>4000000000</v>
      </c>
      <c r="E332" s="201">
        <f>'Dong Lam'!E9+'Dong Lam'!E13</f>
        <v>4000000000</v>
      </c>
      <c r="F332" s="201">
        <f>'Dong Lam'!F9+'Dong Lam'!F13</f>
        <v>8000000000</v>
      </c>
      <c r="G332" s="201">
        <f>'Dong Lam'!G9+'Dong Lam'!G13</f>
        <v>8000000000</v>
      </c>
      <c r="H332" s="201">
        <f>'Dong Lam'!H9+'Dong Lam'!H13</f>
        <v>4000000000</v>
      </c>
      <c r="I332" s="201">
        <f>'Dong Lam'!I9+'Dong Lam'!I13</f>
        <v>7000000000</v>
      </c>
      <c r="J332" s="201">
        <f>'Dong Lam'!J9+'Dong Lam'!J13</f>
        <v>7000000000</v>
      </c>
      <c r="K332" s="201">
        <f>'Dong Lam'!K9+'Dong Lam'!K13</f>
        <v>7000000000</v>
      </c>
      <c r="L332" s="201">
        <f>'Dong Lam'!L9+'Dong Lam'!L13</f>
        <v>7000000000</v>
      </c>
      <c r="M332" s="201">
        <f>'Dong Lam'!M9+'Dong Lam'!M13</f>
        <v>7000000000</v>
      </c>
      <c r="N332" s="201">
        <f>'Dong Lam'!N9+'Dong Lam'!N13</f>
        <v>7000000000</v>
      </c>
      <c r="O332" s="201">
        <f>'Dong Lam'!O9+'Dong Lam'!O13</f>
        <v>7000000000</v>
      </c>
      <c r="P332" s="201">
        <f>'Dong Lam'!P9+'Dong Lam'!P13</f>
        <v>7000000000</v>
      </c>
      <c r="Q332" s="201">
        <f>'Dong Lam'!Q9+'Dong Lam'!Q13</f>
        <v>7000000000</v>
      </c>
      <c r="R332" s="201">
        <f>'Dong Lam'!R9+'Dong Lam'!R13</f>
        <v>7000000000</v>
      </c>
      <c r="S332" s="201">
        <f>'Dong Lam'!S9+'Dong Lam'!S13</f>
        <v>7000000000</v>
      </c>
      <c r="T332" s="201">
        <f>'Dong Lam'!T9+'Dong Lam'!T13</f>
        <v>7000000000</v>
      </c>
      <c r="U332" s="201">
        <f>'Dong Lam'!U9+'Dong Lam'!U13</f>
        <v>6000000000</v>
      </c>
      <c r="V332" s="201">
        <f>'Dong Lam'!V9+'Dong Lam'!V13</f>
        <v>6000000000</v>
      </c>
      <c r="W332" s="201">
        <f>'Dong Lam'!W9+'Dong Lam'!W13</f>
        <v>6000000000</v>
      </c>
      <c r="X332" s="201">
        <f>'Dong Lam'!X9+'Dong Lam'!X13</f>
        <v>9000000000</v>
      </c>
      <c r="Y332" s="201">
        <f>'Dong Lam'!Y9+'Dong Lam'!Y13</f>
        <v>9000000000</v>
      </c>
      <c r="Z332" s="201">
        <f>'Dong Lam'!Z9+'Dong Lam'!Z13</f>
        <v>9000000000</v>
      </c>
    </row>
    <row r="333" spans="1:26" ht="15" customHeight="1">
      <c r="W333" s="201"/>
    </row>
    <row r="334" spans="1:26" ht="15" customHeight="1">
      <c r="A334" s="202" t="s">
        <v>361</v>
      </c>
      <c r="B334" s="210"/>
      <c r="C334" s="211">
        <f>C291-C326</f>
        <v>-114891581921</v>
      </c>
      <c r="D334" s="211">
        <f t="shared" ref="D334:Z334" si="52">D291-D326</f>
        <v>-114881861921</v>
      </c>
      <c r="E334" s="211">
        <f t="shared" si="52"/>
        <v>-112862141921</v>
      </c>
      <c r="F334" s="211">
        <f t="shared" si="52"/>
        <v>-106352421921</v>
      </c>
      <c r="G334" s="211">
        <f t="shared" si="52"/>
        <v>-106342701921</v>
      </c>
      <c r="H334" s="211">
        <f t="shared" si="52"/>
        <v>-82332981921</v>
      </c>
      <c r="I334" s="211">
        <f t="shared" si="52"/>
        <v>-65823261921</v>
      </c>
      <c r="J334" s="211">
        <f t="shared" si="52"/>
        <v>-65813541921</v>
      </c>
      <c r="K334" s="211">
        <f t="shared" si="52"/>
        <v>-65813541921</v>
      </c>
      <c r="L334" s="211">
        <f t="shared" si="52"/>
        <v>-65794101921</v>
      </c>
      <c r="M334" s="211">
        <f t="shared" si="52"/>
        <v>-105794101921</v>
      </c>
      <c r="N334" s="211">
        <f t="shared" si="52"/>
        <v>179753564009</v>
      </c>
      <c r="O334" s="211">
        <f t="shared" si="52"/>
        <v>155580674276</v>
      </c>
      <c r="P334" s="211">
        <f t="shared" si="52"/>
        <v>76519111525</v>
      </c>
      <c r="Q334" s="211">
        <f t="shared" si="52"/>
        <v>92273524950</v>
      </c>
      <c r="R334" s="211">
        <f t="shared" si="52"/>
        <v>141626440719</v>
      </c>
      <c r="S334" s="211">
        <f t="shared" si="52"/>
        <v>155945180209</v>
      </c>
      <c r="T334" s="211">
        <f t="shared" si="52"/>
        <v>172803848744</v>
      </c>
      <c r="U334" s="211">
        <f t="shared" si="52"/>
        <v>199915569083</v>
      </c>
      <c r="V334" s="211">
        <f t="shared" si="52"/>
        <v>241694732275</v>
      </c>
      <c r="W334" s="211">
        <f t="shared" si="52"/>
        <v>267642210507</v>
      </c>
      <c r="X334" s="211">
        <f t="shared" si="52"/>
        <v>208306928613</v>
      </c>
      <c r="Y334" s="211">
        <f t="shared" si="52"/>
        <v>212731055700</v>
      </c>
      <c r="Z334" s="211">
        <f t="shared" si="52"/>
        <v>223007211671</v>
      </c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EFAD-5186-4A45-8769-B65AC8916A46}">
  <sheetPr>
    <tabColor theme="7" tint="0.59999389629810485"/>
  </sheetPr>
  <dimension ref="A1:AD36"/>
  <sheetViews>
    <sheetView zoomScale="80" zoomScaleNormal="80" workbookViewId="0">
      <pane xSplit="7" ySplit="2" topLeftCell="H9" activePane="bottomRight" state="frozen"/>
      <selection activeCell="AA138" sqref="AA138"/>
      <selection pane="topRight" activeCell="AA138" sqref="AA138"/>
      <selection pane="bottomLeft" activeCell="AA138" sqref="AA138"/>
      <selection pane="bottomRight" activeCell="F42" sqref="F42"/>
    </sheetView>
  </sheetViews>
  <sheetFormatPr defaultColWidth="0" defaultRowHeight="14.5"/>
  <cols>
    <col min="1" max="2" width="9.453125" style="4" customWidth="1"/>
    <col min="3" max="3" width="17.453125" style="4" customWidth="1"/>
    <col min="4" max="4" width="19.453125" style="4" customWidth="1"/>
    <col min="5" max="5" width="13.453125" style="4" customWidth="1"/>
    <col min="6" max="6" width="16.26953125" style="4" customWidth="1"/>
    <col min="7" max="7" width="22.54296875" style="4" customWidth="1"/>
    <col min="8" max="19" width="16.54296875" style="4" bestFit="1" customWidth="1"/>
    <col min="20" max="20" width="17.1796875" style="4" customWidth="1"/>
    <col min="21" max="21" width="16" style="4" customWidth="1"/>
    <col min="22" max="30" width="0" style="4" hidden="1" customWidth="1"/>
    <col min="31" max="16384" width="8.7265625" style="4" hidden="1"/>
  </cols>
  <sheetData>
    <row r="1" spans="1:21" ht="21">
      <c r="A1" s="1" t="s">
        <v>0</v>
      </c>
      <c r="B1" s="2"/>
      <c r="C1" s="3"/>
      <c r="D1" s="3"/>
      <c r="E1" s="3"/>
      <c r="F1" s="3"/>
      <c r="G1" s="3"/>
    </row>
    <row r="2" spans="1:21" s="9" customFormat="1" ht="59.5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8" t="s">
        <v>20</v>
      </c>
    </row>
    <row r="3" spans="1:21" s="14" customFormat="1" ht="14" hidden="1">
      <c r="A3" s="440" t="s">
        <v>21</v>
      </c>
      <c r="B3" s="10">
        <v>1</v>
      </c>
      <c r="C3" s="11" t="s">
        <v>22</v>
      </c>
      <c r="D3" s="11"/>
      <c r="E3" s="10"/>
      <c r="F3" s="10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>
        <f t="shared" ref="T3:T26" si="0">SUM(H3:S3)</f>
        <v>0</v>
      </c>
    </row>
    <row r="4" spans="1:21" s="14" customFormat="1" ht="14.5" hidden="1" customHeight="1">
      <c r="A4" s="441"/>
      <c r="B4" s="15">
        <v>2</v>
      </c>
      <c r="C4" s="16" t="s">
        <v>23</v>
      </c>
      <c r="D4" s="16"/>
      <c r="E4" s="15"/>
      <c r="F4" s="15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9">
        <f t="shared" si="0"/>
        <v>0</v>
      </c>
    </row>
    <row r="5" spans="1:21" s="14" customFormat="1" ht="14.5" hidden="1" customHeight="1">
      <c r="A5" s="441"/>
      <c r="B5" s="15">
        <v>3</v>
      </c>
      <c r="C5" s="16" t="s">
        <v>24</v>
      </c>
      <c r="D5" s="16" t="s">
        <v>25</v>
      </c>
      <c r="E5" s="15"/>
      <c r="F5" s="15"/>
      <c r="G5" s="17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>
        <f t="shared" si="0"/>
        <v>0</v>
      </c>
    </row>
    <row r="6" spans="1:21" s="14" customFormat="1" ht="15" hidden="1" customHeight="1">
      <c r="A6" s="441"/>
      <c r="B6" s="15">
        <v>4</v>
      </c>
      <c r="C6" s="16" t="s">
        <v>24</v>
      </c>
      <c r="D6" s="16" t="s">
        <v>26</v>
      </c>
      <c r="E6" s="15"/>
      <c r="F6" s="15"/>
      <c r="G6" s="17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>
        <f t="shared" si="0"/>
        <v>0</v>
      </c>
    </row>
    <row r="7" spans="1:21" s="24" customFormat="1" ht="15" hidden="1" customHeight="1">
      <c r="A7" s="442"/>
      <c r="B7" s="20"/>
      <c r="C7" s="21" t="s">
        <v>27</v>
      </c>
      <c r="D7" s="21"/>
      <c r="E7" s="20"/>
      <c r="F7" s="20"/>
      <c r="G7" s="22"/>
      <c r="H7" s="23">
        <f>SUM(H3:H6)</f>
        <v>0</v>
      </c>
      <c r="I7" s="23">
        <f t="shared" ref="I7:S7" si="1">SUM(I3:I6)</f>
        <v>0</v>
      </c>
      <c r="J7" s="23">
        <f t="shared" si="1"/>
        <v>0</v>
      </c>
      <c r="K7" s="23">
        <f t="shared" si="1"/>
        <v>0</v>
      </c>
      <c r="L7" s="23">
        <f t="shared" si="1"/>
        <v>0</v>
      </c>
      <c r="M7" s="23">
        <f t="shared" si="1"/>
        <v>0</v>
      </c>
      <c r="N7" s="23">
        <f t="shared" si="1"/>
        <v>0</v>
      </c>
      <c r="O7" s="23">
        <f t="shared" si="1"/>
        <v>0</v>
      </c>
      <c r="P7" s="23">
        <f t="shared" si="1"/>
        <v>0</v>
      </c>
      <c r="Q7" s="23">
        <f t="shared" si="1"/>
        <v>0</v>
      </c>
      <c r="R7" s="23">
        <f t="shared" si="1"/>
        <v>0</v>
      </c>
      <c r="S7" s="23">
        <f t="shared" si="1"/>
        <v>0</v>
      </c>
      <c r="T7" s="23">
        <f t="shared" si="0"/>
        <v>0</v>
      </c>
    </row>
    <row r="8" spans="1:21" s="14" customFormat="1" ht="14" hidden="1">
      <c r="A8" s="440" t="s">
        <v>28</v>
      </c>
      <c r="B8" s="10">
        <v>5</v>
      </c>
      <c r="C8" s="11" t="s">
        <v>26</v>
      </c>
      <c r="D8" s="11" t="s">
        <v>29</v>
      </c>
      <c r="E8" s="10">
        <v>511</v>
      </c>
      <c r="F8" s="10">
        <v>632</v>
      </c>
      <c r="G8" s="12" t="s">
        <v>30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13">
        <f t="shared" si="0"/>
        <v>0</v>
      </c>
    </row>
    <row r="9" spans="1:21" s="14" customFormat="1" ht="14.5" customHeight="1">
      <c r="A9" s="441"/>
      <c r="B9" s="15">
        <v>6</v>
      </c>
      <c r="C9" s="16" t="s">
        <v>31</v>
      </c>
      <c r="D9" s="16" t="s">
        <v>26</v>
      </c>
      <c r="E9" s="15">
        <v>511</v>
      </c>
      <c r="F9" s="15">
        <v>632</v>
      </c>
      <c r="G9" s="17" t="s">
        <v>32</v>
      </c>
      <c r="H9" s="18">
        <v>11415442500</v>
      </c>
      <c r="I9" s="18">
        <v>8878677500</v>
      </c>
      <c r="J9" s="18">
        <v>12683825000</v>
      </c>
      <c r="K9" s="18">
        <v>13952207500</v>
      </c>
      <c r="L9" s="18">
        <v>13934978750</v>
      </c>
      <c r="M9" s="18">
        <v>14026113750</v>
      </c>
      <c r="N9" s="18">
        <v>14026113750</v>
      </c>
      <c r="O9" s="18">
        <v>14026113750</v>
      </c>
      <c r="P9" s="18">
        <v>14026113750</v>
      </c>
      <c r="Q9" s="18">
        <v>14026113750</v>
      </c>
      <c r="R9" s="18">
        <v>14026113750</v>
      </c>
      <c r="S9" s="18">
        <v>14026113750</v>
      </c>
      <c r="T9" s="19">
        <f t="shared" si="0"/>
        <v>159047927500</v>
      </c>
    </row>
    <row r="10" spans="1:21" s="14" customFormat="1" ht="14.5" customHeight="1">
      <c r="A10" s="441"/>
      <c r="B10" s="15">
        <v>7</v>
      </c>
      <c r="C10" s="16" t="s">
        <v>33</v>
      </c>
      <c r="D10" s="16" t="s">
        <v>26</v>
      </c>
      <c r="E10" s="15">
        <v>511</v>
      </c>
      <c r="F10" s="15">
        <v>632</v>
      </c>
      <c r="G10" s="17" t="s">
        <v>32</v>
      </c>
      <c r="H10" s="18">
        <v>11319672000</v>
      </c>
      <c r="I10" s="18">
        <v>7463520000</v>
      </c>
      <c r="J10" s="18">
        <v>14539209750</v>
      </c>
      <c r="K10" s="18">
        <v>16106940625</v>
      </c>
      <c r="L10" s="18">
        <v>16106940625</v>
      </c>
      <c r="M10" s="18">
        <v>16751218250</v>
      </c>
      <c r="N10" s="18">
        <v>17395495875</v>
      </c>
      <c r="O10" s="18">
        <v>16751218250</v>
      </c>
      <c r="P10" s="18">
        <v>15462663000</v>
      </c>
      <c r="Q10" s="18">
        <v>17395495875</v>
      </c>
      <c r="R10" s="18">
        <v>16106940625</v>
      </c>
      <c r="S10" s="18">
        <v>17395495875</v>
      </c>
      <c r="T10" s="19">
        <f t="shared" si="0"/>
        <v>182794810750</v>
      </c>
    </row>
    <row r="11" spans="1:21" s="14" customFormat="1" ht="14.5" customHeight="1">
      <c r="A11" s="441"/>
      <c r="B11" s="15">
        <v>8</v>
      </c>
      <c r="C11" s="16" t="s">
        <v>34</v>
      </c>
      <c r="D11" s="16" t="s">
        <v>26</v>
      </c>
      <c r="E11" s="15">
        <v>511</v>
      </c>
      <c r="F11" s="15">
        <v>632</v>
      </c>
      <c r="G11" s="17" t="s">
        <v>32</v>
      </c>
      <c r="H11" s="18">
        <v>7469550000</v>
      </c>
      <c r="I11" s="18">
        <v>5602162500</v>
      </c>
      <c r="J11" s="18">
        <v>8092012500</v>
      </c>
      <c r="K11" s="18">
        <v>8714475000</v>
      </c>
      <c r="L11" s="18">
        <v>8714475000</v>
      </c>
      <c r="M11" s="18">
        <v>8714475000</v>
      </c>
      <c r="N11" s="18">
        <v>8714475000</v>
      </c>
      <c r="O11" s="18">
        <v>8714475000</v>
      </c>
      <c r="P11" s="18">
        <v>8714475000</v>
      </c>
      <c r="Q11" s="18">
        <v>8714475000</v>
      </c>
      <c r="R11" s="18">
        <v>8714475000</v>
      </c>
      <c r="S11" s="18">
        <v>8714475000</v>
      </c>
      <c r="T11" s="19">
        <f t="shared" si="0"/>
        <v>99594000000</v>
      </c>
    </row>
    <row r="12" spans="1:21" s="14" customFormat="1" ht="14.5" customHeight="1">
      <c r="A12" s="441"/>
      <c r="B12" s="15">
        <v>9</v>
      </c>
      <c r="C12" s="16" t="s">
        <v>35</v>
      </c>
      <c r="D12" s="16"/>
      <c r="E12" s="15"/>
      <c r="F12" s="15"/>
      <c r="G12" s="17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9">
        <f t="shared" si="0"/>
        <v>0</v>
      </c>
    </row>
    <row r="13" spans="1:21" s="14" customFormat="1" ht="15" customHeight="1">
      <c r="A13" s="441"/>
      <c r="B13" s="15">
        <v>10</v>
      </c>
      <c r="C13" s="16" t="s">
        <v>36</v>
      </c>
      <c r="D13" s="16"/>
      <c r="E13" s="15"/>
      <c r="F13" s="15"/>
      <c r="G13" s="17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9">
        <f t="shared" si="0"/>
        <v>0</v>
      </c>
    </row>
    <row r="14" spans="1:21" s="24" customFormat="1" ht="15" customHeight="1">
      <c r="A14" s="442"/>
      <c r="B14" s="20"/>
      <c r="C14" s="21" t="s">
        <v>27</v>
      </c>
      <c r="D14" s="21"/>
      <c r="E14" s="20"/>
      <c r="F14" s="20"/>
      <c r="G14" s="22"/>
      <c r="H14" s="23">
        <f>SUM(H8:H13)</f>
        <v>30204664500</v>
      </c>
      <c r="I14" s="23">
        <f t="shared" ref="I14:S14" si="2">SUM(I8:I13)</f>
        <v>21944360000</v>
      </c>
      <c r="J14" s="23">
        <f t="shared" si="2"/>
        <v>35315047250</v>
      </c>
      <c r="K14" s="23">
        <f t="shared" si="2"/>
        <v>38773623125</v>
      </c>
      <c r="L14" s="23">
        <f t="shared" si="2"/>
        <v>38756394375</v>
      </c>
      <c r="M14" s="23">
        <f t="shared" si="2"/>
        <v>39491807000</v>
      </c>
      <c r="N14" s="23">
        <f t="shared" si="2"/>
        <v>40136084625</v>
      </c>
      <c r="O14" s="23">
        <f t="shared" si="2"/>
        <v>39491807000</v>
      </c>
      <c r="P14" s="23">
        <f t="shared" si="2"/>
        <v>38203251750</v>
      </c>
      <c r="Q14" s="23">
        <f t="shared" si="2"/>
        <v>40136084625</v>
      </c>
      <c r="R14" s="23">
        <f t="shared" si="2"/>
        <v>38847529375</v>
      </c>
      <c r="S14" s="23">
        <f t="shared" si="2"/>
        <v>40136084625</v>
      </c>
      <c r="T14" s="23">
        <f t="shared" si="0"/>
        <v>441436738250</v>
      </c>
      <c r="U14" s="26"/>
    </row>
    <row r="15" spans="1:21" s="14" customFormat="1" ht="14" hidden="1">
      <c r="A15" s="440" t="s">
        <v>37</v>
      </c>
      <c r="B15" s="10">
        <v>11</v>
      </c>
      <c r="C15" s="11" t="s">
        <v>38</v>
      </c>
      <c r="D15" s="11" t="s">
        <v>24</v>
      </c>
      <c r="E15" s="10">
        <v>515</v>
      </c>
      <c r="F15" s="27">
        <v>635</v>
      </c>
      <c r="G15" s="11" t="s">
        <v>39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13">
        <f t="shared" si="0"/>
        <v>0</v>
      </c>
    </row>
    <row r="16" spans="1:21" s="14" customFormat="1" ht="14" hidden="1">
      <c r="A16" s="443"/>
      <c r="B16" s="28"/>
      <c r="C16" s="16"/>
      <c r="D16" s="29" t="s">
        <v>40</v>
      </c>
      <c r="E16" s="28">
        <v>511</v>
      </c>
      <c r="F16" s="15">
        <v>632</v>
      </c>
      <c r="G16" s="16" t="s">
        <v>41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1">
        <f t="shared" si="0"/>
        <v>0</v>
      </c>
    </row>
    <row r="17" spans="1:21" s="14" customFormat="1" ht="14" hidden="1">
      <c r="A17" s="443"/>
      <c r="B17" s="28"/>
      <c r="C17" s="29"/>
      <c r="D17" s="29" t="s">
        <v>29</v>
      </c>
      <c r="E17" s="28">
        <v>511</v>
      </c>
      <c r="F17" s="28">
        <v>632</v>
      </c>
      <c r="G17" s="29" t="s">
        <v>42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1">
        <f t="shared" si="0"/>
        <v>0</v>
      </c>
    </row>
    <row r="18" spans="1:21" s="14" customFormat="1" ht="24.75" hidden="1" customHeight="1">
      <c r="A18" s="441"/>
      <c r="B18" s="15">
        <v>12</v>
      </c>
      <c r="C18" s="16" t="s">
        <v>40</v>
      </c>
      <c r="D18" s="16" t="s">
        <v>43</v>
      </c>
      <c r="E18" s="15"/>
      <c r="F18" s="15"/>
      <c r="G18" s="16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9">
        <f t="shared" si="0"/>
        <v>0</v>
      </c>
    </row>
    <row r="19" spans="1:21" s="14" customFormat="1" ht="28" hidden="1">
      <c r="A19" s="441"/>
      <c r="B19" s="15">
        <v>13</v>
      </c>
      <c r="C19" s="16" t="s">
        <v>44</v>
      </c>
      <c r="D19" s="16" t="s">
        <v>45</v>
      </c>
      <c r="E19" s="28">
        <v>511</v>
      </c>
      <c r="F19" s="28">
        <v>632</v>
      </c>
      <c r="G19" s="16" t="s">
        <v>46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9">
        <f t="shared" si="0"/>
        <v>0</v>
      </c>
    </row>
    <row r="20" spans="1:21" s="14" customFormat="1" ht="42" hidden="1">
      <c r="A20" s="441"/>
      <c r="B20" s="15">
        <v>14</v>
      </c>
      <c r="C20" s="16" t="s">
        <v>47</v>
      </c>
      <c r="D20" s="16" t="s">
        <v>48</v>
      </c>
      <c r="E20" s="28">
        <v>511</v>
      </c>
      <c r="F20" s="28" t="s">
        <v>49</v>
      </c>
      <c r="G20" s="16" t="s">
        <v>50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9">
        <f t="shared" si="0"/>
        <v>0</v>
      </c>
      <c r="U20" s="32"/>
    </row>
    <row r="21" spans="1:21" s="24" customFormat="1" ht="15" hidden="1" customHeight="1">
      <c r="A21" s="442"/>
      <c r="B21" s="20"/>
      <c r="C21" s="21" t="s">
        <v>27</v>
      </c>
      <c r="D21" s="21"/>
      <c r="E21" s="20"/>
      <c r="F21" s="20"/>
      <c r="G21" s="22"/>
      <c r="H21" s="23">
        <f t="shared" ref="H21:S21" si="3">SUM(H15:H20)</f>
        <v>0</v>
      </c>
      <c r="I21" s="23">
        <f t="shared" si="3"/>
        <v>0</v>
      </c>
      <c r="J21" s="23">
        <f t="shared" si="3"/>
        <v>0</v>
      </c>
      <c r="K21" s="23">
        <f t="shared" si="3"/>
        <v>0</v>
      </c>
      <c r="L21" s="23">
        <f t="shared" si="3"/>
        <v>0</v>
      </c>
      <c r="M21" s="23">
        <f t="shared" si="3"/>
        <v>0</v>
      </c>
      <c r="N21" s="23">
        <f t="shared" si="3"/>
        <v>0</v>
      </c>
      <c r="O21" s="23">
        <f t="shared" si="3"/>
        <v>0</v>
      </c>
      <c r="P21" s="23">
        <f t="shared" si="3"/>
        <v>0</v>
      </c>
      <c r="Q21" s="23">
        <f t="shared" si="3"/>
        <v>0</v>
      </c>
      <c r="R21" s="23">
        <f t="shared" si="3"/>
        <v>0</v>
      </c>
      <c r="S21" s="23">
        <f t="shared" si="3"/>
        <v>0</v>
      </c>
      <c r="T21" s="23">
        <f t="shared" si="0"/>
        <v>0</v>
      </c>
      <c r="U21" s="26"/>
    </row>
    <row r="22" spans="1:21" s="14" customFormat="1" ht="14" hidden="1">
      <c r="A22" s="440" t="s">
        <v>51</v>
      </c>
      <c r="B22" s="10">
        <v>15</v>
      </c>
      <c r="C22" s="11" t="s">
        <v>29</v>
      </c>
      <c r="D22" s="11" t="s">
        <v>24</v>
      </c>
      <c r="E22" s="10"/>
      <c r="F22" s="10"/>
      <c r="G22" s="12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13">
        <f t="shared" si="0"/>
        <v>0</v>
      </c>
    </row>
    <row r="23" spans="1:21" s="24" customFormat="1" ht="15" hidden="1" customHeight="1">
      <c r="A23" s="442"/>
      <c r="B23" s="20"/>
      <c r="C23" s="21" t="s">
        <v>27</v>
      </c>
      <c r="D23" s="21"/>
      <c r="E23" s="20"/>
      <c r="F23" s="20"/>
      <c r="G23" s="22"/>
      <c r="H23" s="23">
        <f>H22</f>
        <v>0</v>
      </c>
      <c r="I23" s="23">
        <f t="shared" ref="I23:S23" si="4">I22</f>
        <v>0</v>
      </c>
      <c r="J23" s="23">
        <f t="shared" si="4"/>
        <v>0</v>
      </c>
      <c r="K23" s="23">
        <f t="shared" si="4"/>
        <v>0</v>
      </c>
      <c r="L23" s="23">
        <f t="shared" si="4"/>
        <v>0</v>
      </c>
      <c r="M23" s="23">
        <f t="shared" si="4"/>
        <v>0</v>
      </c>
      <c r="N23" s="23">
        <f t="shared" si="4"/>
        <v>0</v>
      </c>
      <c r="O23" s="23">
        <f t="shared" si="4"/>
        <v>0</v>
      </c>
      <c r="P23" s="23">
        <f t="shared" si="4"/>
        <v>0</v>
      </c>
      <c r="Q23" s="23">
        <f t="shared" si="4"/>
        <v>0</v>
      </c>
      <c r="R23" s="23">
        <f t="shared" si="4"/>
        <v>0</v>
      </c>
      <c r="S23" s="23">
        <f t="shared" si="4"/>
        <v>0</v>
      </c>
      <c r="T23" s="23">
        <f t="shared" si="0"/>
        <v>0</v>
      </c>
    </row>
    <row r="24" spans="1:21" s="14" customFormat="1" ht="14" hidden="1">
      <c r="A24" s="440" t="s">
        <v>52</v>
      </c>
      <c r="B24" s="10">
        <v>16</v>
      </c>
      <c r="C24" s="11" t="s">
        <v>53</v>
      </c>
      <c r="D24" s="11"/>
      <c r="E24" s="10"/>
      <c r="F24" s="10"/>
      <c r="G24" s="1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13">
        <f t="shared" si="0"/>
        <v>0</v>
      </c>
    </row>
    <row r="25" spans="1:21" s="14" customFormat="1" ht="14.5" hidden="1" customHeight="1">
      <c r="A25" s="441"/>
      <c r="B25" s="15">
        <v>17</v>
      </c>
      <c r="C25" s="16" t="s">
        <v>54</v>
      </c>
      <c r="D25" s="16"/>
      <c r="E25" s="15"/>
      <c r="F25" s="15"/>
      <c r="G25" s="17"/>
      <c r="H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9">
        <f t="shared" si="0"/>
        <v>0</v>
      </c>
    </row>
    <row r="26" spans="1:21" s="14" customFormat="1" ht="14.5" hidden="1" customHeight="1">
      <c r="A26" s="441"/>
      <c r="B26" s="15">
        <v>18</v>
      </c>
      <c r="C26" s="16" t="s">
        <v>55</v>
      </c>
      <c r="D26" s="16" t="s">
        <v>26</v>
      </c>
      <c r="E26" s="15">
        <v>511</v>
      </c>
      <c r="F26" s="15">
        <v>632</v>
      </c>
      <c r="G26" s="17" t="s">
        <v>41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9">
        <f t="shared" si="0"/>
        <v>0</v>
      </c>
    </row>
    <row r="27" spans="1:21" s="14" customFormat="1" ht="15" hidden="1" customHeight="1">
      <c r="A27" s="441"/>
      <c r="B27" s="15"/>
      <c r="C27" s="16"/>
      <c r="D27" s="16" t="s">
        <v>38</v>
      </c>
      <c r="E27" s="15">
        <v>511</v>
      </c>
      <c r="F27" s="15">
        <v>632</v>
      </c>
      <c r="G27" s="17" t="s">
        <v>41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9">
        <f>SUM(H27:S27)</f>
        <v>0</v>
      </c>
    </row>
    <row r="28" spans="1:21" s="24" customFormat="1" ht="15" hidden="1" customHeight="1">
      <c r="A28" s="442"/>
      <c r="B28" s="20"/>
      <c r="C28" s="21" t="s">
        <v>27</v>
      </c>
      <c r="D28" s="21"/>
      <c r="E28" s="20"/>
      <c r="F28" s="20"/>
      <c r="G28" s="22"/>
      <c r="H28" s="23">
        <f t="shared" ref="H28:S28" si="5">SUM(H24:H27)</f>
        <v>0</v>
      </c>
      <c r="I28" s="23">
        <f t="shared" si="5"/>
        <v>0</v>
      </c>
      <c r="J28" s="23">
        <f t="shared" si="5"/>
        <v>0</v>
      </c>
      <c r="K28" s="23">
        <f t="shared" si="5"/>
        <v>0</v>
      </c>
      <c r="L28" s="23">
        <f t="shared" si="5"/>
        <v>0</v>
      </c>
      <c r="M28" s="23">
        <f t="shared" si="5"/>
        <v>0</v>
      </c>
      <c r="N28" s="23">
        <f t="shared" si="5"/>
        <v>0</v>
      </c>
      <c r="O28" s="23">
        <f t="shared" si="5"/>
        <v>0</v>
      </c>
      <c r="P28" s="23">
        <f t="shared" si="5"/>
        <v>0</v>
      </c>
      <c r="Q28" s="23">
        <f t="shared" si="5"/>
        <v>0</v>
      </c>
      <c r="R28" s="23">
        <f t="shared" si="5"/>
        <v>0</v>
      </c>
      <c r="S28" s="23">
        <f t="shared" si="5"/>
        <v>0</v>
      </c>
      <c r="T28" s="23">
        <f t="shared" ref="T28:T31" si="6">SUM(H28:S28)</f>
        <v>0</v>
      </c>
    </row>
    <row r="29" spans="1:21" s="14" customFormat="1" ht="14" hidden="1">
      <c r="A29" s="440" t="s">
        <v>56</v>
      </c>
      <c r="B29" s="10">
        <v>19</v>
      </c>
      <c r="C29" s="11" t="s">
        <v>57</v>
      </c>
      <c r="D29" s="11" t="s">
        <v>26</v>
      </c>
      <c r="E29" s="15">
        <v>511</v>
      </c>
      <c r="F29" s="15">
        <v>632</v>
      </c>
      <c r="G29" s="12" t="s">
        <v>58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13">
        <f t="shared" si="6"/>
        <v>0</v>
      </c>
    </row>
    <row r="30" spans="1:21" s="14" customFormat="1" ht="14" hidden="1">
      <c r="A30" s="441"/>
      <c r="B30" s="15">
        <v>20</v>
      </c>
      <c r="C30" s="16" t="s">
        <v>59</v>
      </c>
      <c r="D30" s="16"/>
      <c r="E30" s="15"/>
      <c r="F30" s="15"/>
      <c r="G30" s="17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9">
        <f t="shared" si="6"/>
        <v>0</v>
      </c>
    </row>
    <row r="31" spans="1:21" s="14" customFormat="1" ht="14" hidden="1">
      <c r="A31" s="441"/>
      <c r="B31" s="15">
        <v>21</v>
      </c>
      <c r="C31" s="16" t="s">
        <v>60</v>
      </c>
      <c r="D31" s="16"/>
      <c r="E31" s="15"/>
      <c r="F31" s="15"/>
      <c r="G31" s="17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9">
        <f t="shared" si="6"/>
        <v>0</v>
      </c>
    </row>
    <row r="32" spans="1:21" s="24" customFormat="1" ht="15" hidden="1" customHeight="1">
      <c r="A32" s="442"/>
      <c r="B32" s="20"/>
      <c r="C32" s="21" t="s">
        <v>27</v>
      </c>
      <c r="D32" s="21"/>
      <c r="E32" s="20"/>
      <c r="F32" s="20"/>
      <c r="G32" s="22"/>
      <c r="H32" s="23">
        <f>SUM(H29:H31)</f>
        <v>0</v>
      </c>
      <c r="I32" s="23">
        <f t="shared" ref="I32:S32" si="7">SUM(I29:I31)</f>
        <v>0</v>
      </c>
      <c r="J32" s="23">
        <f t="shared" si="7"/>
        <v>0</v>
      </c>
      <c r="K32" s="23">
        <f t="shared" si="7"/>
        <v>0</v>
      </c>
      <c r="L32" s="23">
        <f t="shared" si="7"/>
        <v>0</v>
      </c>
      <c r="M32" s="23">
        <f t="shared" si="7"/>
        <v>0</v>
      </c>
      <c r="N32" s="23">
        <f t="shared" si="7"/>
        <v>0</v>
      </c>
      <c r="O32" s="23">
        <f t="shared" si="7"/>
        <v>0</v>
      </c>
      <c r="P32" s="23">
        <f t="shared" si="7"/>
        <v>0</v>
      </c>
      <c r="Q32" s="23">
        <f t="shared" si="7"/>
        <v>0</v>
      </c>
      <c r="R32" s="23">
        <f t="shared" si="7"/>
        <v>0</v>
      </c>
      <c r="S32" s="23">
        <f t="shared" si="7"/>
        <v>0</v>
      </c>
      <c r="T32" s="23">
        <f>SUM(H32:S32)</f>
        <v>0</v>
      </c>
    </row>
    <row r="33" spans="1:20" s="37" customFormat="1" ht="14">
      <c r="A33" s="33"/>
      <c r="B33" s="33"/>
      <c r="C33" s="34" t="s">
        <v>61</v>
      </c>
      <c r="D33" s="34"/>
      <c r="E33" s="35"/>
      <c r="F33" s="35"/>
      <c r="G33" s="35"/>
      <c r="H33" s="36">
        <f t="shared" ref="H33:S33" si="8">H7+H14+H21+H23+H28+H32</f>
        <v>30204664500</v>
      </c>
      <c r="I33" s="36">
        <f t="shared" si="8"/>
        <v>21944360000</v>
      </c>
      <c r="J33" s="36">
        <f t="shared" si="8"/>
        <v>35315047250</v>
      </c>
      <c r="K33" s="36">
        <f t="shared" si="8"/>
        <v>38773623125</v>
      </c>
      <c r="L33" s="36">
        <f t="shared" si="8"/>
        <v>38756394375</v>
      </c>
      <c r="M33" s="36">
        <f t="shared" si="8"/>
        <v>39491807000</v>
      </c>
      <c r="N33" s="36">
        <f t="shared" si="8"/>
        <v>40136084625</v>
      </c>
      <c r="O33" s="36">
        <f t="shared" si="8"/>
        <v>39491807000</v>
      </c>
      <c r="P33" s="36">
        <f t="shared" si="8"/>
        <v>38203251750</v>
      </c>
      <c r="Q33" s="36">
        <f t="shared" si="8"/>
        <v>40136084625</v>
      </c>
      <c r="R33" s="36">
        <f t="shared" si="8"/>
        <v>38847529375</v>
      </c>
      <c r="S33" s="36">
        <f t="shared" si="8"/>
        <v>40136084625</v>
      </c>
      <c r="T33" s="36">
        <f>SUM(H33:S33)</f>
        <v>441436738250</v>
      </c>
    </row>
    <row r="34" spans="1:20"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1:20"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</row>
    <row r="36" spans="1:20">
      <c r="T36" s="38"/>
    </row>
  </sheetData>
  <mergeCells count="6">
    <mergeCell ref="A29:A32"/>
    <mergeCell ref="A3:A7"/>
    <mergeCell ref="A8:A14"/>
    <mergeCell ref="A15:A21"/>
    <mergeCell ref="A22:A23"/>
    <mergeCell ref="A24:A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E934-662A-4D36-9FFD-F85FA37E54AC}">
  <sheetPr>
    <tabColor rgb="FF00B050"/>
    <outlinePr summaryBelow="0" summaryRight="0"/>
  </sheetPr>
  <dimension ref="A1:AZ327"/>
  <sheetViews>
    <sheetView showGridLines="0" showZeros="0" tabSelected="1" zoomScale="80" zoomScaleNormal="80" workbookViewId="0">
      <pane xSplit="1" ySplit="5" topLeftCell="AF132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L135" sqref="AL135"/>
    </sheetView>
  </sheetViews>
  <sheetFormatPr defaultColWidth="9.26953125" defaultRowHeight="15" customHeight="1" outlineLevelRow="1" outlineLevelCol="1"/>
  <cols>
    <col min="1" max="1" width="46.26953125" style="49" customWidth="1"/>
    <col min="2" max="2" width="8.1796875" style="174" customWidth="1" collapsed="1"/>
    <col min="3" max="13" width="20" style="49" hidden="1" customWidth="1" outlineLevel="1"/>
    <col min="14" max="14" width="20.26953125" style="49" hidden="1" customWidth="1" outlineLevel="1"/>
    <col min="15" max="15" width="19.26953125" style="49" hidden="1" customWidth="1" outlineLevel="1"/>
    <col min="16" max="26" width="20.26953125" style="49" hidden="1" customWidth="1" outlineLevel="1"/>
    <col min="27" max="27" width="17.54296875" style="49" bestFit="1" customWidth="1"/>
    <col min="28" max="28" width="16.81640625" style="49" bestFit="1" customWidth="1"/>
    <col min="29" max="30" width="17.1796875" style="49" bestFit="1" customWidth="1"/>
    <col min="31" max="31" width="16.81640625" style="49" bestFit="1" customWidth="1"/>
    <col min="32" max="33" width="17.1796875" style="49" bestFit="1" customWidth="1"/>
    <col min="34" max="34" width="16.81640625" style="49" bestFit="1" customWidth="1"/>
    <col min="35" max="35" width="17.1796875" style="49" bestFit="1" customWidth="1"/>
    <col min="36" max="36" width="16.81640625" style="49" bestFit="1" customWidth="1"/>
    <col min="37" max="38" width="17.1796875" style="49" bestFit="1" customWidth="1"/>
    <col min="39" max="39" width="19.1796875" style="43" bestFit="1" customWidth="1"/>
    <col min="40" max="43" width="9.26953125" style="43"/>
    <col min="44" max="44" width="7.81640625" style="43" customWidth="1"/>
    <col min="45" max="16384" width="9.26953125" style="43"/>
  </cols>
  <sheetData>
    <row r="1" spans="1:38" ht="19.5" customHeight="1">
      <c r="A1" s="47" t="s">
        <v>367</v>
      </c>
      <c r="B1" s="40">
        <v>5</v>
      </c>
      <c r="C1" s="22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1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ht="19.5" hidden="1" customHeight="1">
      <c r="A2" s="44" t="s">
        <v>63</v>
      </c>
      <c r="B2" s="45"/>
      <c r="C2" s="221"/>
      <c r="D2" s="42"/>
      <c r="E2" s="42"/>
      <c r="F2" s="42"/>
      <c r="G2" s="42"/>
      <c r="H2" s="42"/>
      <c r="I2" s="42"/>
      <c r="J2" s="42"/>
      <c r="K2" s="222"/>
      <c r="L2" s="42"/>
      <c r="M2" s="42"/>
      <c r="N2" s="223"/>
      <c r="O2" s="41"/>
      <c r="P2" s="223"/>
      <c r="Q2" s="223"/>
      <c r="R2" s="223"/>
      <c r="S2" s="223"/>
      <c r="T2" s="223"/>
      <c r="U2" s="223"/>
      <c r="V2" s="223"/>
      <c r="W2" s="223"/>
      <c r="X2" s="223"/>
      <c r="Y2" s="224">
        <f>SUM(Y96,Y110)/Y83</f>
        <v>0.25434421059323337</v>
      </c>
      <c r="Z2" s="224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</row>
    <row r="3" spans="1:38" ht="19.5" hidden="1" customHeight="1">
      <c r="A3" s="47"/>
      <c r="B3" s="45"/>
      <c r="C3" s="48">
        <v>2024</v>
      </c>
      <c r="D3" s="42">
        <f>C3</f>
        <v>2024</v>
      </c>
      <c r="E3" s="42">
        <f>D3</f>
        <v>2024</v>
      </c>
      <c r="F3" s="42">
        <f t="shared" ref="F3:N3" si="0">E3</f>
        <v>2024</v>
      </c>
      <c r="G3" s="42">
        <f t="shared" si="0"/>
        <v>2024</v>
      </c>
      <c r="H3" s="42">
        <f>G3</f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8">
        <v>2025</v>
      </c>
      <c r="P3" s="42">
        <f>O3</f>
        <v>2025</v>
      </c>
      <c r="Q3" s="42">
        <f>P3</f>
        <v>2025</v>
      </c>
      <c r="R3" s="42">
        <f>Q3</f>
        <v>2025</v>
      </c>
      <c r="S3" s="42">
        <f>R3</f>
        <v>2025</v>
      </c>
      <c r="T3" s="42">
        <f>S3</f>
        <v>2025</v>
      </c>
      <c r="U3" s="42">
        <f t="shared" ref="U3:Z3" si="1">T3</f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f t="shared" si="1"/>
        <v>2025</v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</row>
    <row r="4" spans="1:38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</row>
    <row r="5" spans="1:38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3" t="s">
        <v>78</v>
      </c>
      <c r="P5" s="55" t="s">
        <v>79</v>
      </c>
      <c r="Q5" s="55" t="s">
        <v>80</v>
      </c>
      <c r="R5" s="55" t="s">
        <v>81</v>
      </c>
      <c r="S5" s="55" t="s">
        <v>82</v>
      </c>
      <c r="T5" s="55" t="s">
        <v>83</v>
      </c>
      <c r="U5" s="55" t="s">
        <v>84</v>
      </c>
      <c r="V5" s="55" t="s">
        <v>85</v>
      </c>
      <c r="W5" s="55" t="s">
        <v>86</v>
      </c>
      <c r="X5" s="55" t="s">
        <v>87</v>
      </c>
      <c r="Y5" s="55" t="s">
        <v>88</v>
      </c>
      <c r="Z5" s="55" t="s">
        <v>89</v>
      </c>
      <c r="AA5" s="55" t="s">
        <v>8</v>
      </c>
      <c r="AB5" s="55" t="s">
        <v>9</v>
      </c>
      <c r="AC5" s="55" t="s">
        <v>10</v>
      </c>
      <c r="AD5" s="55" t="s">
        <v>11</v>
      </c>
      <c r="AE5" s="55" t="s">
        <v>12</v>
      </c>
      <c r="AF5" s="55" t="s">
        <v>13</v>
      </c>
      <c r="AG5" s="55" t="s">
        <v>14</v>
      </c>
      <c r="AH5" s="55" t="s">
        <v>15</v>
      </c>
      <c r="AI5" s="55" t="s">
        <v>16</v>
      </c>
      <c r="AJ5" s="55" t="s">
        <v>17</v>
      </c>
      <c r="AK5" s="55" t="s">
        <v>18</v>
      </c>
      <c r="AL5" s="55" t="s">
        <v>19</v>
      </c>
    </row>
    <row r="6" spans="1:38" ht="15" hidden="1" customHeight="1" outlineLevel="1">
      <c r="A6" s="56" t="s">
        <v>90</v>
      </c>
      <c r="B6" s="57">
        <v>1</v>
      </c>
      <c r="C6" s="225">
        <v>782481934423</v>
      </c>
      <c r="D6" s="225">
        <v>768590764263</v>
      </c>
      <c r="E6" s="225">
        <v>815465869041</v>
      </c>
      <c r="F6" s="225">
        <v>877414026420</v>
      </c>
      <c r="G6" s="225">
        <v>928155716736</v>
      </c>
      <c r="H6" s="225">
        <v>956563222023</v>
      </c>
      <c r="I6" s="225">
        <v>906133879099</v>
      </c>
      <c r="J6" s="225">
        <v>849218290026</v>
      </c>
      <c r="K6" s="225">
        <v>891170346476</v>
      </c>
      <c r="L6" s="225">
        <v>912165489717</v>
      </c>
      <c r="M6" s="225">
        <v>989601612249</v>
      </c>
      <c r="N6" s="225">
        <v>969587265880</v>
      </c>
      <c r="O6" s="226">
        <v>894788032291</v>
      </c>
      <c r="P6" s="225">
        <v>814157821775</v>
      </c>
      <c r="Q6" s="225">
        <v>866303373135</v>
      </c>
      <c r="R6" s="225">
        <v>929599762285</v>
      </c>
      <c r="S6" s="225">
        <v>981599372849</v>
      </c>
      <c r="T6" s="225">
        <v>1010794698754</v>
      </c>
      <c r="U6" s="225">
        <v>999811801439</v>
      </c>
      <c r="V6" s="225">
        <v>1060333071975</v>
      </c>
      <c r="W6" s="225">
        <v>1040577598634</v>
      </c>
      <c r="X6" s="225">
        <v>982848510813</v>
      </c>
      <c r="Y6" s="225">
        <v>959373053576</v>
      </c>
      <c r="Z6" s="225">
        <v>953625133537</v>
      </c>
      <c r="AA6" s="225">
        <f>SUMIFS([1]!Data_BS[Value],[1]!Data_BS[Index BS],DTR!$B6,[1]!Data_BS[TenCongTyID],DTR!$B$1,[1]!Data_BS[Thang.Nam],DTR!AA$5)</f>
        <v>0</v>
      </c>
      <c r="AB6" s="225">
        <f>SUMIFS([1]!Data_BS[Value],[1]!Data_BS[Index BS],DTR!$B6,[1]!Data_BS[TenCongTyID],DTR!$B$1,[1]!Data_BS[Thang.Nam],DTR!AB$5)</f>
        <v>0</v>
      </c>
      <c r="AC6" s="225">
        <f>SUMIFS([1]!Data_BS[Value],[1]!Data_BS[Index BS],DTR!$B6,[1]!Data_BS[TenCongTyID],DTR!$B$1,[1]!Data_BS[Thang.Nam],DTR!AC$5)</f>
        <v>0</v>
      </c>
      <c r="AD6" s="225">
        <f>SUMIFS([1]!Data_BS[Value],[1]!Data_BS[Index BS],DTR!$B6,[1]!Data_BS[TenCongTyID],DTR!$B$1,[1]!Data_BS[Thang.Nam],DTR!AD$5)</f>
        <v>0</v>
      </c>
      <c r="AE6" s="225">
        <f>SUMIFS([1]!Data_BS[Value],[1]!Data_BS[Index BS],DTR!$B6,[1]!Data_BS[TenCongTyID],DTR!$B$1,[1]!Data_BS[Thang.Nam],DTR!AE$5)</f>
        <v>0</v>
      </c>
      <c r="AF6" s="225">
        <f>SUMIFS([1]!Data_BS[Value],[1]!Data_BS[Index BS],DTR!$B6,[1]!Data_BS[TenCongTyID],DTR!$B$1,[1]!Data_BS[Thang.Nam],DTR!AF$5)</f>
        <v>0</v>
      </c>
      <c r="AG6" s="225">
        <f>SUMIFS([1]!Data_BS[Value],[1]!Data_BS[Index BS],DTR!$B6,[1]!Data_BS[TenCongTyID],DTR!$B$1,[1]!Data_BS[Thang.Nam],DTR!AG$5)</f>
        <v>0</v>
      </c>
      <c r="AH6" s="225">
        <f>SUMIFS([1]!Data_BS[Value],[1]!Data_BS[Index BS],DTR!$B6,[1]!Data_BS[TenCongTyID],DTR!$B$1,[1]!Data_BS[Thang.Nam],DTR!AH$5)</f>
        <v>0</v>
      </c>
      <c r="AI6" s="225">
        <f>SUMIFS([1]!Data_BS[Value],[1]!Data_BS[Index BS],DTR!$B6,[1]!Data_BS[TenCongTyID],DTR!$B$1,[1]!Data_BS[Thang.Nam],DTR!AI$5)</f>
        <v>0</v>
      </c>
      <c r="AJ6" s="225">
        <f>SUMIFS([1]!Data_BS[Value],[1]!Data_BS[Index BS],DTR!$B6,[1]!Data_BS[TenCongTyID],DTR!$B$1,[1]!Data_BS[Thang.Nam],DTR!AJ$5)</f>
        <v>0</v>
      </c>
      <c r="AK6" s="225">
        <f>SUMIFS([1]!Data_BS[Value],[1]!Data_BS[Index BS],DTR!$B6,[1]!Data_BS[TenCongTyID],DTR!$B$1,[1]!Data_BS[Thang.Nam],DTR!AK$5)</f>
        <v>0</v>
      </c>
      <c r="AL6" s="225">
        <f>SUMIFS([1]!Data_BS[Value],[1]!Data_BS[Index BS],DTR!$B6,[1]!Data_BS[TenCongTyID],DTR!$B$1,[1]!Data_BS[Thang.Nam],DTR!AL$5)</f>
        <v>0</v>
      </c>
    </row>
    <row r="7" spans="1:38" ht="15" hidden="1" customHeight="1" outlineLevel="1">
      <c r="A7" s="59" t="s">
        <v>91</v>
      </c>
      <c r="B7" s="60">
        <v>2</v>
      </c>
      <c r="C7" s="227">
        <v>31037848308</v>
      </c>
      <c r="D7" s="227">
        <v>22669663716</v>
      </c>
      <c r="E7" s="227">
        <v>6664945115</v>
      </c>
      <c r="F7" s="227">
        <v>15574807889</v>
      </c>
      <c r="G7" s="227">
        <v>16007340290</v>
      </c>
      <c r="H7" s="227">
        <v>3678057757</v>
      </c>
      <c r="I7" s="227">
        <v>36916493026</v>
      </c>
      <c r="J7" s="227">
        <v>16748498285</v>
      </c>
      <c r="K7" s="227">
        <v>33251814637</v>
      </c>
      <c r="L7" s="227">
        <v>56773964959</v>
      </c>
      <c r="M7" s="227">
        <v>43420355696</v>
      </c>
      <c r="N7" s="227">
        <v>39805017284</v>
      </c>
      <c r="O7" s="228">
        <v>76486895109</v>
      </c>
      <c r="P7" s="227">
        <v>33258200889</v>
      </c>
      <c r="Q7" s="227">
        <v>23555271373</v>
      </c>
      <c r="R7" s="227">
        <v>37590058839</v>
      </c>
      <c r="S7" s="227">
        <v>21868727527</v>
      </c>
      <c r="T7" s="227">
        <v>32470900772</v>
      </c>
      <c r="U7" s="227">
        <v>30661632458</v>
      </c>
      <c r="V7" s="227">
        <v>29770776625</v>
      </c>
      <c r="W7" s="227">
        <v>64296693910</v>
      </c>
      <c r="X7" s="227">
        <v>53646701293</v>
      </c>
      <c r="Y7" s="227">
        <v>55165406320</v>
      </c>
      <c r="Z7" s="227">
        <v>36834893155</v>
      </c>
      <c r="AA7" s="227">
        <f>SUMIFS([1]!Data_BS[Value],[1]!Data_BS[Index BS],DTR!$B7,[1]!Data_BS[TenCongTyID],DTR!$B$1,[1]!Data_BS[Thang.Nam],DTR!AA$5)</f>
        <v>0</v>
      </c>
      <c r="AB7" s="227">
        <f>SUMIFS([1]!Data_BS[Value],[1]!Data_BS[Index BS],DTR!$B7,[1]!Data_BS[TenCongTyID],DTR!$B$1,[1]!Data_BS[Thang.Nam],DTR!AB$5)</f>
        <v>0</v>
      </c>
      <c r="AC7" s="227">
        <f>SUMIFS([1]!Data_BS[Value],[1]!Data_BS[Index BS],DTR!$B7,[1]!Data_BS[TenCongTyID],DTR!$B$1,[1]!Data_BS[Thang.Nam],DTR!AC$5)</f>
        <v>0</v>
      </c>
      <c r="AD7" s="227">
        <f>SUMIFS([1]!Data_BS[Value],[1]!Data_BS[Index BS],DTR!$B7,[1]!Data_BS[TenCongTyID],DTR!$B$1,[1]!Data_BS[Thang.Nam],DTR!AD$5)</f>
        <v>0</v>
      </c>
      <c r="AE7" s="227">
        <f>SUMIFS([1]!Data_BS[Value],[1]!Data_BS[Index BS],DTR!$B7,[1]!Data_BS[TenCongTyID],DTR!$B$1,[1]!Data_BS[Thang.Nam],DTR!AE$5)</f>
        <v>0</v>
      </c>
      <c r="AF7" s="227">
        <f>SUMIFS([1]!Data_BS[Value],[1]!Data_BS[Index BS],DTR!$B7,[1]!Data_BS[TenCongTyID],DTR!$B$1,[1]!Data_BS[Thang.Nam],DTR!AF$5)</f>
        <v>0</v>
      </c>
      <c r="AG7" s="227">
        <f>SUMIFS([1]!Data_BS[Value],[1]!Data_BS[Index BS],DTR!$B7,[1]!Data_BS[TenCongTyID],DTR!$B$1,[1]!Data_BS[Thang.Nam],DTR!AG$5)</f>
        <v>0</v>
      </c>
      <c r="AH7" s="227">
        <f>SUMIFS([1]!Data_BS[Value],[1]!Data_BS[Index BS],DTR!$B7,[1]!Data_BS[TenCongTyID],DTR!$B$1,[1]!Data_BS[Thang.Nam],DTR!AH$5)</f>
        <v>0</v>
      </c>
      <c r="AI7" s="227">
        <f>SUMIFS([1]!Data_BS[Value],[1]!Data_BS[Index BS],DTR!$B7,[1]!Data_BS[TenCongTyID],DTR!$B$1,[1]!Data_BS[Thang.Nam],DTR!AI$5)</f>
        <v>0</v>
      </c>
      <c r="AJ7" s="227">
        <f>SUMIFS([1]!Data_BS[Value],[1]!Data_BS[Index BS],DTR!$B7,[1]!Data_BS[TenCongTyID],DTR!$B$1,[1]!Data_BS[Thang.Nam],DTR!AJ$5)</f>
        <v>0</v>
      </c>
      <c r="AK7" s="227">
        <f>SUMIFS([1]!Data_BS[Value],[1]!Data_BS[Index BS],DTR!$B7,[1]!Data_BS[TenCongTyID],DTR!$B$1,[1]!Data_BS[Thang.Nam],DTR!AK$5)</f>
        <v>0</v>
      </c>
      <c r="AL7" s="227">
        <f>SUMIFS([1]!Data_BS[Value],[1]!Data_BS[Index BS],DTR!$B7,[1]!Data_BS[TenCongTyID],DTR!$B$1,[1]!Data_BS[Thang.Nam],DTR!AL$5)</f>
        <v>0</v>
      </c>
    </row>
    <row r="8" spans="1:38" ht="15" hidden="1" customHeight="1" outlineLevel="1">
      <c r="A8" s="62" t="s">
        <v>92</v>
      </c>
      <c r="B8" s="63">
        <v>3</v>
      </c>
      <c r="C8" s="229">
        <v>28197848308</v>
      </c>
      <c r="D8" s="229">
        <v>19829663716</v>
      </c>
      <c r="E8" s="229">
        <v>5834945115</v>
      </c>
      <c r="F8" s="229">
        <v>14744807889</v>
      </c>
      <c r="G8" s="229">
        <v>15177340290</v>
      </c>
      <c r="H8" s="229">
        <v>2848057757</v>
      </c>
      <c r="I8" s="229">
        <v>36086493026</v>
      </c>
      <c r="J8" s="229">
        <v>15918498285</v>
      </c>
      <c r="K8" s="229">
        <v>33251814637</v>
      </c>
      <c r="L8" s="229">
        <v>56773964959</v>
      </c>
      <c r="M8" s="229">
        <v>43420355696</v>
      </c>
      <c r="N8" s="229">
        <v>29805017284</v>
      </c>
      <c r="O8" s="230">
        <v>73646895109</v>
      </c>
      <c r="P8" s="229">
        <v>30418200889</v>
      </c>
      <c r="Q8" s="229">
        <v>23555271373</v>
      </c>
      <c r="R8" s="229">
        <v>37590058839</v>
      </c>
      <c r="S8" s="229">
        <v>21868727527</v>
      </c>
      <c r="T8" s="229">
        <v>32470900772</v>
      </c>
      <c r="U8" s="229">
        <v>30661632458</v>
      </c>
      <c r="V8" s="229">
        <v>29770776625</v>
      </c>
      <c r="W8" s="229">
        <v>64296693910</v>
      </c>
      <c r="X8" s="229">
        <v>33646701293</v>
      </c>
      <c r="Y8" s="229">
        <v>35165406320</v>
      </c>
      <c r="Z8" s="229">
        <v>36834893155</v>
      </c>
      <c r="AA8" s="229">
        <f>SUMIFS([1]!Data_BS[Value],[1]!Data_BS[Index BS],DTR!$B8,[1]!Data_BS[TenCongTyID],DTR!$B$1,[1]!Data_BS[Thang.Nam],DTR!AA$5)</f>
        <v>0</v>
      </c>
      <c r="AB8" s="229">
        <f>SUMIFS([1]!Data_BS[Value],[1]!Data_BS[Index BS],DTR!$B8,[1]!Data_BS[TenCongTyID],DTR!$B$1,[1]!Data_BS[Thang.Nam],DTR!AB$5)</f>
        <v>0</v>
      </c>
      <c r="AC8" s="229">
        <f>SUMIFS([1]!Data_BS[Value],[1]!Data_BS[Index BS],DTR!$B8,[1]!Data_BS[TenCongTyID],DTR!$B$1,[1]!Data_BS[Thang.Nam],DTR!AC$5)</f>
        <v>0</v>
      </c>
      <c r="AD8" s="229">
        <f>SUMIFS([1]!Data_BS[Value],[1]!Data_BS[Index BS],DTR!$B8,[1]!Data_BS[TenCongTyID],DTR!$B$1,[1]!Data_BS[Thang.Nam],DTR!AD$5)</f>
        <v>0</v>
      </c>
      <c r="AE8" s="229">
        <f>SUMIFS([1]!Data_BS[Value],[1]!Data_BS[Index BS],DTR!$B8,[1]!Data_BS[TenCongTyID],DTR!$B$1,[1]!Data_BS[Thang.Nam],DTR!AE$5)</f>
        <v>0</v>
      </c>
      <c r="AF8" s="229">
        <f>SUMIFS([1]!Data_BS[Value],[1]!Data_BS[Index BS],DTR!$B8,[1]!Data_BS[TenCongTyID],DTR!$B$1,[1]!Data_BS[Thang.Nam],DTR!AF$5)</f>
        <v>0</v>
      </c>
      <c r="AG8" s="229">
        <f>SUMIFS([1]!Data_BS[Value],[1]!Data_BS[Index BS],DTR!$B8,[1]!Data_BS[TenCongTyID],DTR!$B$1,[1]!Data_BS[Thang.Nam],DTR!AG$5)</f>
        <v>0</v>
      </c>
      <c r="AH8" s="229">
        <f>SUMIFS([1]!Data_BS[Value],[1]!Data_BS[Index BS],DTR!$B8,[1]!Data_BS[TenCongTyID],DTR!$B$1,[1]!Data_BS[Thang.Nam],DTR!AH$5)</f>
        <v>0</v>
      </c>
      <c r="AI8" s="229">
        <f>SUMIFS([1]!Data_BS[Value],[1]!Data_BS[Index BS],DTR!$B8,[1]!Data_BS[TenCongTyID],DTR!$B$1,[1]!Data_BS[Thang.Nam],DTR!AI$5)</f>
        <v>0</v>
      </c>
      <c r="AJ8" s="229">
        <f>SUMIFS([1]!Data_BS[Value],[1]!Data_BS[Index BS],DTR!$B8,[1]!Data_BS[TenCongTyID],DTR!$B$1,[1]!Data_BS[Thang.Nam],DTR!AJ$5)</f>
        <v>0</v>
      </c>
      <c r="AK8" s="229">
        <f>SUMIFS([1]!Data_BS[Value],[1]!Data_BS[Index BS],DTR!$B8,[1]!Data_BS[TenCongTyID],DTR!$B$1,[1]!Data_BS[Thang.Nam],DTR!AK$5)</f>
        <v>0</v>
      </c>
      <c r="AL8" s="229">
        <f>SUMIFS([1]!Data_BS[Value],[1]!Data_BS[Index BS],DTR!$B8,[1]!Data_BS[TenCongTyID],DTR!$B$1,[1]!Data_BS[Thang.Nam],DTR!AL$5)</f>
        <v>0</v>
      </c>
    </row>
    <row r="9" spans="1:38" ht="15" hidden="1" customHeight="1" outlineLevel="1">
      <c r="A9" s="62" t="s">
        <v>93</v>
      </c>
      <c r="B9" s="63">
        <v>4</v>
      </c>
      <c r="C9" s="229">
        <v>2840000000</v>
      </c>
      <c r="D9" s="229">
        <v>2840000000</v>
      </c>
      <c r="E9" s="229">
        <v>830000000</v>
      </c>
      <c r="F9" s="229">
        <v>830000000</v>
      </c>
      <c r="G9" s="229">
        <v>830000000</v>
      </c>
      <c r="H9" s="229">
        <v>830000000</v>
      </c>
      <c r="I9" s="229">
        <v>830000000</v>
      </c>
      <c r="J9" s="229">
        <v>830000000</v>
      </c>
      <c r="K9" s="229">
        <v>0</v>
      </c>
      <c r="L9" s="229">
        <v>0</v>
      </c>
      <c r="M9" s="229">
        <v>0</v>
      </c>
      <c r="N9" s="229">
        <v>10000000000</v>
      </c>
      <c r="O9" s="231">
        <v>2840000000</v>
      </c>
      <c r="P9" s="229">
        <v>2840000000</v>
      </c>
      <c r="Q9" s="229">
        <v>0</v>
      </c>
      <c r="R9" s="229">
        <v>0</v>
      </c>
      <c r="S9" s="229">
        <v>0</v>
      </c>
      <c r="T9" s="229">
        <v>0</v>
      </c>
      <c r="U9" s="229">
        <v>0</v>
      </c>
      <c r="V9" s="229">
        <v>0</v>
      </c>
      <c r="W9" s="229">
        <v>0</v>
      </c>
      <c r="X9" s="229">
        <v>20000000000</v>
      </c>
      <c r="Y9" s="229">
        <v>20000000000</v>
      </c>
      <c r="Z9" s="229">
        <v>0</v>
      </c>
      <c r="AA9" s="229">
        <f>SUMIFS([1]!Data_BS[Value],[1]!Data_BS[Index BS],DTR!$B9,[1]!Data_BS[TenCongTyID],DTR!$B$1,[1]!Data_BS[Thang.Nam],DTR!AA$5)</f>
        <v>0</v>
      </c>
      <c r="AB9" s="229">
        <f>SUMIFS([1]!Data_BS[Value],[1]!Data_BS[Index BS],DTR!$B9,[1]!Data_BS[TenCongTyID],DTR!$B$1,[1]!Data_BS[Thang.Nam],DTR!AB$5)</f>
        <v>0</v>
      </c>
      <c r="AC9" s="229">
        <f>SUMIFS([1]!Data_BS[Value],[1]!Data_BS[Index BS],DTR!$B9,[1]!Data_BS[TenCongTyID],DTR!$B$1,[1]!Data_BS[Thang.Nam],DTR!AC$5)</f>
        <v>0</v>
      </c>
      <c r="AD9" s="229">
        <f>SUMIFS([1]!Data_BS[Value],[1]!Data_BS[Index BS],DTR!$B9,[1]!Data_BS[TenCongTyID],DTR!$B$1,[1]!Data_BS[Thang.Nam],DTR!AD$5)</f>
        <v>0</v>
      </c>
      <c r="AE9" s="229">
        <f>SUMIFS([1]!Data_BS[Value],[1]!Data_BS[Index BS],DTR!$B9,[1]!Data_BS[TenCongTyID],DTR!$B$1,[1]!Data_BS[Thang.Nam],DTR!AE$5)</f>
        <v>0</v>
      </c>
      <c r="AF9" s="229">
        <f>SUMIFS([1]!Data_BS[Value],[1]!Data_BS[Index BS],DTR!$B9,[1]!Data_BS[TenCongTyID],DTR!$B$1,[1]!Data_BS[Thang.Nam],DTR!AF$5)</f>
        <v>0</v>
      </c>
      <c r="AG9" s="229">
        <f>SUMIFS([1]!Data_BS[Value],[1]!Data_BS[Index BS],DTR!$B9,[1]!Data_BS[TenCongTyID],DTR!$B$1,[1]!Data_BS[Thang.Nam],DTR!AG$5)</f>
        <v>0</v>
      </c>
      <c r="AH9" s="229">
        <f>SUMIFS([1]!Data_BS[Value],[1]!Data_BS[Index BS],DTR!$B9,[1]!Data_BS[TenCongTyID],DTR!$B$1,[1]!Data_BS[Thang.Nam],DTR!AH$5)</f>
        <v>0</v>
      </c>
      <c r="AI9" s="229">
        <f>SUMIFS([1]!Data_BS[Value],[1]!Data_BS[Index BS],DTR!$B9,[1]!Data_BS[TenCongTyID],DTR!$B$1,[1]!Data_BS[Thang.Nam],DTR!AI$5)</f>
        <v>0</v>
      </c>
      <c r="AJ9" s="229">
        <f>SUMIFS([1]!Data_BS[Value],[1]!Data_BS[Index BS],DTR!$B9,[1]!Data_BS[TenCongTyID],DTR!$B$1,[1]!Data_BS[Thang.Nam],DTR!AJ$5)</f>
        <v>0</v>
      </c>
      <c r="AK9" s="229">
        <f>SUMIFS([1]!Data_BS[Value],[1]!Data_BS[Index BS],DTR!$B9,[1]!Data_BS[TenCongTyID],DTR!$B$1,[1]!Data_BS[Thang.Nam],DTR!AK$5)</f>
        <v>0</v>
      </c>
      <c r="AL9" s="229">
        <f>SUMIFS([1]!Data_BS[Value],[1]!Data_BS[Index BS],DTR!$B9,[1]!Data_BS[TenCongTyID],DTR!$B$1,[1]!Data_BS[Thang.Nam],DTR!AL$5)</f>
        <v>0</v>
      </c>
    </row>
    <row r="10" spans="1:38" ht="15" hidden="1" customHeight="1" outlineLevel="1">
      <c r="A10" s="59" t="s">
        <v>94</v>
      </c>
      <c r="B10" s="65">
        <v>5</v>
      </c>
      <c r="C10" s="232">
        <f>SUM(C11:C16)</f>
        <v>107849581921</v>
      </c>
      <c r="D10" s="232">
        <f t="shared" ref="D10:Y10" si="2">SUM(D11:D16)</f>
        <v>107839861921</v>
      </c>
      <c r="E10" s="232">
        <f t="shared" si="2"/>
        <v>107830141921</v>
      </c>
      <c r="F10" s="232">
        <f t="shared" si="2"/>
        <v>97320421921</v>
      </c>
      <c r="G10" s="232">
        <f t="shared" si="2"/>
        <v>97310701921</v>
      </c>
      <c r="H10" s="232">
        <f t="shared" si="2"/>
        <v>77300981921</v>
      </c>
      <c r="I10" s="232">
        <f t="shared" si="2"/>
        <v>57791261921</v>
      </c>
      <c r="J10" s="232">
        <f t="shared" si="2"/>
        <v>57781541921</v>
      </c>
      <c r="K10" s="232">
        <f t="shared" si="2"/>
        <v>58611541921</v>
      </c>
      <c r="L10" s="232">
        <f t="shared" si="2"/>
        <v>58592101921</v>
      </c>
      <c r="M10" s="232">
        <f t="shared" si="2"/>
        <v>98592101921</v>
      </c>
      <c r="N10" s="232">
        <f t="shared" si="2"/>
        <v>78572661921</v>
      </c>
      <c r="O10" s="232">
        <f t="shared" si="2"/>
        <v>75713221921</v>
      </c>
      <c r="P10" s="232">
        <f t="shared" si="2"/>
        <v>61213221921</v>
      </c>
      <c r="Q10" s="232">
        <f t="shared" si="2"/>
        <v>101053221921</v>
      </c>
      <c r="R10" s="232">
        <f t="shared" si="2"/>
        <v>125553221921</v>
      </c>
      <c r="S10" s="232">
        <f t="shared" si="2"/>
        <v>135524061921</v>
      </c>
      <c r="T10" s="232">
        <f t="shared" si="2"/>
        <v>135504621921</v>
      </c>
      <c r="U10" s="232">
        <f t="shared" si="2"/>
        <v>120504621921</v>
      </c>
      <c r="V10" s="232">
        <f t="shared" si="2"/>
        <v>120699021921</v>
      </c>
      <c r="W10" s="232">
        <f t="shared" si="2"/>
        <v>108699021921</v>
      </c>
      <c r="X10" s="232">
        <f t="shared" si="2"/>
        <v>88699021921</v>
      </c>
      <c r="Y10" s="232">
        <f t="shared" si="2"/>
        <v>78699021921</v>
      </c>
      <c r="Z10" s="232">
        <v>73699021921</v>
      </c>
      <c r="AA10" s="232">
        <f>SUMIFS([1]!Data_BS[Value],[1]!Data_BS[Index BS],DTR!$B10,[1]!Data_BS[TenCongTyID],DTR!$B$1,[1]!Data_BS[Thang.Nam],DTR!AA$5)</f>
        <v>0</v>
      </c>
      <c r="AB10" s="232">
        <f>SUMIFS([1]!Data_BS[Value],[1]!Data_BS[Index BS],DTR!$B10,[1]!Data_BS[TenCongTyID],DTR!$B$1,[1]!Data_BS[Thang.Nam],DTR!AB$5)</f>
        <v>0</v>
      </c>
      <c r="AC10" s="232">
        <f>SUMIFS([1]!Data_BS[Value],[1]!Data_BS[Index BS],DTR!$B10,[1]!Data_BS[TenCongTyID],DTR!$B$1,[1]!Data_BS[Thang.Nam],DTR!AC$5)</f>
        <v>0</v>
      </c>
      <c r="AD10" s="232">
        <f>SUMIFS([1]!Data_BS[Value],[1]!Data_BS[Index BS],DTR!$B10,[1]!Data_BS[TenCongTyID],DTR!$B$1,[1]!Data_BS[Thang.Nam],DTR!AD$5)</f>
        <v>0</v>
      </c>
      <c r="AE10" s="232">
        <f>SUMIFS([1]!Data_BS[Value],[1]!Data_BS[Index BS],DTR!$B10,[1]!Data_BS[TenCongTyID],DTR!$B$1,[1]!Data_BS[Thang.Nam],DTR!AE$5)</f>
        <v>0</v>
      </c>
      <c r="AF10" s="232">
        <f>SUMIFS([1]!Data_BS[Value],[1]!Data_BS[Index BS],DTR!$B10,[1]!Data_BS[TenCongTyID],DTR!$B$1,[1]!Data_BS[Thang.Nam],DTR!AF$5)</f>
        <v>0</v>
      </c>
      <c r="AG10" s="232">
        <f>SUMIFS([1]!Data_BS[Value],[1]!Data_BS[Index BS],DTR!$B10,[1]!Data_BS[TenCongTyID],DTR!$B$1,[1]!Data_BS[Thang.Nam],DTR!AG$5)</f>
        <v>0</v>
      </c>
      <c r="AH10" s="232">
        <f>SUMIFS([1]!Data_BS[Value],[1]!Data_BS[Index BS],DTR!$B10,[1]!Data_BS[TenCongTyID],DTR!$B$1,[1]!Data_BS[Thang.Nam],DTR!AH$5)</f>
        <v>0</v>
      </c>
      <c r="AI10" s="232">
        <f>SUMIFS([1]!Data_BS[Value],[1]!Data_BS[Index BS],DTR!$B10,[1]!Data_BS[TenCongTyID],DTR!$B$1,[1]!Data_BS[Thang.Nam],DTR!AI$5)</f>
        <v>0</v>
      </c>
      <c r="AJ10" s="232">
        <f>SUMIFS([1]!Data_BS[Value],[1]!Data_BS[Index BS],DTR!$B10,[1]!Data_BS[TenCongTyID],DTR!$B$1,[1]!Data_BS[Thang.Nam],DTR!AJ$5)</f>
        <v>0</v>
      </c>
      <c r="AK10" s="232">
        <f>SUMIFS([1]!Data_BS[Value],[1]!Data_BS[Index BS],DTR!$B10,[1]!Data_BS[TenCongTyID],DTR!$B$1,[1]!Data_BS[Thang.Nam],DTR!AK$5)</f>
        <v>0</v>
      </c>
      <c r="AL10" s="232">
        <f>SUMIFS([1]!Data_BS[Value],[1]!Data_BS[Index BS],DTR!$B10,[1]!Data_BS[TenCongTyID],DTR!$B$1,[1]!Data_BS[Thang.Nam],DTR!AL$5)</f>
        <v>0</v>
      </c>
    </row>
    <row r="11" spans="1:38" ht="15" hidden="1" customHeight="1" outlineLevel="1">
      <c r="A11" s="62" t="s">
        <v>95</v>
      </c>
      <c r="B11" s="63">
        <v>6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>
        <v>0</v>
      </c>
      <c r="L11" s="229">
        <v>0</v>
      </c>
      <c r="M11" s="229">
        <v>0</v>
      </c>
      <c r="N11" s="229">
        <v>0</v>
      </c>
      <c r="O11" s="229">
        <v>0</v>
      </c>
      <c r="P11" s="229">
        <v>0</v>
      </c>
      <c r="Q11" s="229">
        <v>0</v>
      </c>
      <c r="R11" s="229">
        <v>0</v>
      </c>
      <c r="S11" s="229">
        <v>0</v>
      </c>
      <c r="T11" s="229">
        <v>0</v>
      </c>
      <c r="U11" s="229">
        <v>0</v>
      </c>
      <c r="V11" s="229">
        <v>0</v>
      </c>
      <c r="W11" s="229">
        <v>0</v>
      </c>
      <c r="X11" s="229">
        <v>0</v>
      </c>
      <c r="Y11" s="229">
        <v>0</v>
      </c>
      <c r="Z11" s="229">
        <v>0</v>
      </c>
      <c r="AA11" s="229">
        <f>SUMIFS([1]!Data_BS[Value],[1]!Data_BS[Index BS],DTR!$B11,[1]!Data_BS[TenCongTyID],DTR!$B$1,[1]!Data_BS[Thang.Nam],DTR!AA$5)</f>
        <v>0</v>
      </c>
      <c r="AB11" s="229">
        <f>SUMIFS([1]!Data_BS[Value],[1]!Data_BS[Index BS],DTR!$B11,[1]!Data_BS[TenCongTyID],DTR!$B$1,[1]!Data_BS[Thang.Nam],DTR!AB$5)</f>
        <v>0</v>
      </c>
      <c r="AC11" s="229">
        <f>SUMIFS([1]!Data_BS[Value],[1]!Data_BS[Index BS],DTR!$B11,[1]!Data_BS[TenCongTyID],DTR!$B$1,[1]!Data_BS[Thang.Nam],DTR!AC$5)</f>
        <v>0</v>
      </c>
      <c r="AD11" s="229">
        <f>SUMIFS([1]!Data_BS[Value],[1]!Data_BS[Index BS],DTR!$B11,[1]!Data_BS[TenCongTyID],DTR!$B$1,[1]!Data_BS[Thang.Nam],DTR!AD$5)</f>
        <v>0</v>
      </c>
      <c r="AE11" s="229">
        <f>SUMIFS([1]!Data_BS[Value],[1]!Data_BS[Index BS],DTR!$B11,[1]!Data_BS[TenCongTyID],DTR!$B$1,[1]!Data_BS[Thang.Nam],DTR!AE$5)</f>
        <v>0</v>
      </c>
      <c r="AF11" s="229">
        <f>SUMIFS([1]!Data_BS[Value],[1]!Data_BS[Index BS],DTR!$B11,[1]!Data_BS[TenCongTyID],DTR!$B$1,[1]!Data_BS[Thang.Nam],DTR!AF$5)</f>
        <v>0</v>
      </c>
      <c r="AG11" s="229">
        <f>SUMIFS([1]!Data_BS[Value],[1]!Data_BS[Index BS],DTR!$B11,[1]!Data_BS[TenCongTyID],DTR!$B$1,[1]!Data_BS[Thang.Nam],DTR!AG$5)</f>
        <v>0</v>
      </c>
      <c r="AH11" s="229">
        <f>SUMIFS([1]!Data_BS[Value],[1]!Data_BS[Index BS],DTR!$B11,[1]!Data_BS[TenCongTyID],DTR!$B$1,[1]!Data_BS[Thang.Nam],DTR!AH$5)</f>
        <v>0</v>
      </c>
      <c r="AI11" s="229">
        <f>SUMIFS([1]!Data_BS[Value],[1]!Data_BS[Index BS],DTR!$B11,[1]!Data_BS[TenCongTyID],DTR!$B$1,[1]!Data_BS[Thang.Nam],DTR!AI$5)</f>
        <v>0</v>
      </c>
      <c r="AJ11" s="229">
        <f>SUMIFS([1]!Data_BS[Value],[1]!Data_BS[Index BS],DTR!$B11,[1]!Data_BS[TenCongTyID],DTR!$B$1,[1]!Data_BS[Thang.Nam],DTR!AJ$5)</f>
        <v>0</v>
      </c>
      <c r="AK11" s="229">
        <f>SUMIFS([1]!Data_BS[Value],[1]!Data_BS[Index BS],DTR!$B11,[1]!Data_BS[TenCongTyID],DTR!$B$1,[1]!Data_BS[Thang.Nam],DTR!AK$5)</f>
        <v>0</v>
      </c>
      <c r="AL11" s="229">
        <f>SUMIFS([1]!Data_BS[Value],[1]!Data_BS[Index BS],DTR!$B11,[1]!Data_BS[TenCongTyID],DTR!$B$1,[1]!Data_BS[Thang.Nam],DTR!AL$5)</f>
        <v>0</v>
      </c>
    </row>
    <row r="12" spans="1:38" ht="15" hidden="1" customHeight="1" outlineLevel="1">
      <c r="A12" s="62" t="s">
        <v>96</v>
      </c>
      <c r="B12" s="63">
        <v>7</v>
      </c>
      <c r="C12" s="229">
        <v>0</v>
      </c>
      <c r="D12" s="229">
        <v>0</v>
      </c>
      <c r="E12" s="229">
        <v>0</v>
      </c>
      <c r="F12" s="229">
        <v>0</v>
      </c>
      <c r="G12" s="229">
        <v>0</v>
      </c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f>SUMIFS([1]!Data_BS[Value],[1]!Data_BS[Index BS],DTR!$B12,[1]!Data_BS[TenCongTyID],DTR!$B$1,[1]!Data_BS[Thang.Nam],DTR!AA$5)</f>
        <v>0</v>
      </c>
      <c r="AB12" s="229">
        <f>SUMIFS([1]!Data_BS[Value],[1]!Data_BS[Index BS],DTR!$B12,[1]!Data_BS[TenCongTyID],DTR!$B$1,[1]!Data_BS[Thang.Nam],DTR!AB$5)</f>
        <v>0</v>
      </c>
      <c r="AC12" s="229">
        <f>SUMIFS([1]!Data_BS[Value],[1]!Data_BS[Index BS],DTR!$B12,[1]!Data_BS[TenCongTyID],DTR!$B$1,[1]!Data_BS[Thang.Nam],DTR!AC$5)</f>
        <v>0</v>
      </c>
      <c r="AD12" s="229">
        <f>SUMIFS([1]!Data_BS[Value],[1]!Data_BS[Index BS],DTR!$B12,[1]!Data_BS[TenCongTyID],DTR!$B$1,[1]!Data_BS[Thang.Nam],DTR!AD$5)</f>
        <v>0</v>
      </c>
      <c r="AE12" s="229">
        <f>SUMIFS([1]!Data_BS[Value],[1]!Data_BS[Index BS],DTR!$B12,[1]!Data_BS[TenCongTyID],DTR!$B$1,[1]!Data_BS[Thang.Nam],DTR!AE$5)</f>
        <v>0</v>
      </c>
      <c r="AF12" s="229">
        <f>SUMIFS([1]!Data_BS[Value],[1]!Data_BS[Index BS],DTR!$B12,[1]!Data_BS[TenCongTyID],DTR!$B$1,[1]!Data_BS[Thang.Nam],DTR!AF$5)</f>
        <v>0</v>
      </c>
      <c r="AG12" s="229">
        <f>SUMIFS([1]!Data_BS[Value],[1]!Data_BS[Index BS],DTR!$B12,[1]!Data_BS[TenCongTyID],DTR!$B$1,[1]!Data_BS[Thang.Nam],DTR!AG$5)</f>
        <v>0</v>
      </c>
      <c r="AH12" s="229">
        <f>SUMIFS([1]!Data_BS[Value],[1]!Data_BS[Index BS],DTR!$B12,[1]!Data_BS[TenCongTyID],DTR!$B$1,[1]!Data_BS[Thang.Nam],DTR!AH$5)</f>
        <v>0</v>
      </c>
      <c r="AI12" s="229">
        <f>SUMIFS([1]!Data_BS[Value],[1]!Data_BS[Index BS],DTR!$B12,[1]!Data_BS[TenCongTyID],DTR!$B$1,[1]!Data_BS[Thang.Nam],DTR!AI$5)</f>
        <v>0</v>
      </c>
      <c r="AJ12" s="229">
        <f>SUMIFS([1]!Data_BS[Value],[1]!Data_BS[Index BS],DTR!$B12,[1]!Data_BS[TenCongTyID],DTR!$B$1,[1]!Data_BS[Thang.Nam],DTR!AJ$5)</f>
        <v>0</v>
      </c>
      <c r="AK12" s="229">
        <f>SUMIFS([1]!Data_BS[Value],[1]!Data_BS[Index BS],DTR!$B12,[1]!Data_BS[TenCongTyID],DTR!$B$1,[1]!Data_BS[Thang.Nam],DTR!AK$5)</f>
        <v>0</v>
      </c>
      <c r="AL12" s="229">
        <f>SUMIFS([1]!Data_BS[Value],[1]!Data_BS[Index BS],DTR!$B12,[1]!Data_BS[TenCongTyID],DTR!$B$1,[1]!Data_BS[Thang.Nam],DTR!AL$5)</f>
        <v>0</v>
      </c>
    </row>
    <row r="13" spans="1:38" ht="15" hidden="1" customHeight="1" outlineLevel="1">
      <c r="A13" s="66" t="s">
        <v>97</v>
      </c>
      <c r="B13" s="63">
        <v>8</v>
      </c>
      <c r="C13" s="229">
        <v>107849581921</v>
      </c>
      <c r="D13" s="229">
        <v>107839861921</v>
      </c>
      <c r="E13" s="229">
        <v>107830141921</v>
      </c>
      <c r="F13" s="229">
        <v>97320421921</v>
      </c>
      <c r="G13" s="229">
        <v>97310701921</v>
      </c>
      <c r="H13" s="229">
        <v>77300981921</v>
      </c>
      <c r="I13" s="229">
        <v>57791261921</v>
      </c>
      <c r="J13" s="229">
        <v>57781541921</v>
      </c>
      <c r="K13" s="229">
        <v>58611541921</v>
      </c>
      <c r="L13" s="229">
        <v>58592101921</v>
      </c>
      <c r="M13" s="229">
        <v>98592101921</v>
      </c>
      <c r="N13" s="229">
        <v>78572661921</v>
      </c>
      <c r="O13" s="229">
        <v>75713221921</v>
      </c>
      <c r="P13" s="229">
        <v>61213221921</v>
      </c>
      <c r="Q13" s="229">
        <v>101053221921</v>
      </c>
      <c r="R13" s="229">
        <v>125553221921</v>
      </c>
      <c r="S13" s="229">
        <v>135524061921</v>
      </c>
      <c r="T13" s="229">
        <v>135504621921</v>
      </c>
      <c r="U13" s="229">
        <v>120504621921</v>
      </c>
      <c r="V13" s="229">
        <v>120699021921</v>
      </c>
      <c r="W13" s="229">
        <v>108699021921</v>
      </c>
      <c r="X13" s="229">
        <v>88699021921</v>
      </c>
      <c r="Y13" s="229">
        <v>78699021921</v>
      </c>
      <c r="Z13" s="229">
        <v>73699021921</v>
      </c>
      <c r="AA13" s="229">
        <f>SUMIFS([1]!Data_BS[Value],[1]!Data_BS[Index BS],DTR!$B13,[1]!Data_BS[TenCongTyID],DTR!$B$1,[1]!Data_BS[Thang.Nam],DTR!AA$5)</f>
        <v>0</v>
      </c>
      <c r="AB13" s="229">
        <f>SUMIFS([1]!Data_BS[Value],[1]!Data_BS[Index BS],DTR!$B13,[1]!Data_BS[TenCongTyID],DTR!$B$1,[1]!Data_BS[Thang.Nam],DTR!AB$5)</f>
        <v>0</v>
      </c>
      <c r="AC13" s="229">
        <f>SUMIFS([1]!Data_BS[Value],[1]!Data_BS[Index BS],DTR!$B13,[1]!Data_BS[TenCongTyID],DTR!$B$1,[1]!Data_BS[Thang.Nam],DTR!AC$5)</f>
        <v>0</v>
      </c>
      <c r="AD13" s="229">
        <f>SUMIFS([1]!Data_BS[Value],[1]!Data_BS[Index BS],DTR!$B13,[1]!Data_BS[TenCongTyID],DTR!$B$1,[1]!Data_BS[Thang.Nam],DTR!AD$5)</f>
        <v>0</v>
      </c>
      <c r="AE13" s="229">
        <f>SUMIFS([1]!Data_BS[Value],[1]!Data_BS[Index BS],DTR!$B13,[1]!Data_BS[TenCongTyID],DTR!$B$1,[1]!Data_BS[Thang.Nam],DTR!AE$5)</f>
        <v>0</v>
      </c>
      <c r="AF13" s="229">
        <f>SUMIFS([1]!Data_BS[Value],[1]!Data_BS[Index BS],DTR!$B13,[1]!Data_BS[TenCongTyID],DTR!$B$1,[1]!Data_BS[Thang.Nam],DTR!AF$5)</f>
        <v>0</v>
      </c>
      <c r="AG13" s="229">
        <f>SUMIFS([1]!Data_BS[Value],[1]!Data_BS[Index BS],DTR!$B13,[1]!Data_BS[TenCongTyID],DTR!$B$1,[1]!Data_BS[Thang.Nam],DTR!AG$5)</f>
        <v>0</v>
      </c>
      <c r="AH13" s="229">
        <f>SUMIFS([1]!Data_BS[Value],[1]!Data_BS[Index BS],DTR!$B13,[1]!Data_BS[TenCongTyID],DTR!$B$1,[1]!Data_BS[Thang.Nam],DTR!AH$5)</f>
        <v>0</v>
      </c>
      <c r="AI13" s="229">
        <f>SUMIFS([1]!Data_BS[Value],[1]!Data_BS[Index BS],DTR!$B13,[1]!Data_BS[TenCongTyID],DTR!$B$1,[1]!Data_BS[Thang.Nam],DTR!AI$5)</f>
        <v>0</v>
      </c>
      <c r="AJ13" s="229">
        <f>SUMIFS([1]!Data_BS[Value],[1]!Data_BS[Index BS],DTR!$B13,[1]!Data_BS[TenCongTyID],DTR!$B$1,[1]!Data_BS[Thang.Nam],DTR!AJ$5)</f>
        <v>0</v>
      </c>
      <c r="AK13" s="229">
        <f>SUMIFS([1]!Data_BS[Value],[1]!Data_BS[Index BS],DTR!$B13,[1]!Data_BS[TenCongTyID],DTR!$B$1,[1]!Data_BS[Thang.Nam],DTR!AK$5)</f>
        <v>0</v>
      </c>
      <c r="AL13" s="229">
        <f>SUMIFS([1]!Data_BS[Value],[1]!Data_BS[Index BS],DTR!$B13,[1]!Data_BS[TenCongTyID],DTR!$B$1,[1]!Data_BS[Thang.Nam],DTR!AL$5)</f>
        <v>0</v>
      </c>
    </row>
    <row r="14" spans="1:38" ht="15" hidden="1" customHeight="1" outlineLevel="1">
      <c r="A14" s="66" t="s">
        <v>98</v>
      </c>
      <c r="B14" s="63">
        <v>9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>
        <v>0</v>
      </c>
      <c r="AA14" s="229">
        <f>SUMIFS([1]!Data_BS[Value],[1]!Data_BS[Index BS],DTR!$B14,[1]!Data_BS[TenCongTyID],DTR!$B$1,[1]!Data_BS[Thang.Nam],DTR!AA$5)</f>
        <v>0</v>
      </c>
      <c r="AB14" s="229">
        <f>SUMIFS([1]!Data_BS[Value],[1]!Data_BS[Index BS],DTR!$B14,[1]!Data_BS[TenCongTyID],DTR!$B$1,[1]!Data_BS[Thang.Nam],DTR!AB$5)</f>
        <v>0</v>
      </c>
      <c r="AC14" s="229">
        <f>SUMIFS([1]!Data_BS[Value],[1]!Data_BS[Index BS],DTR!$B14,[1]!Data_BS[TenCongTyID],DTR!$B$1,[1]!Data_BS[Thang.Nam],DTR!AC$5)</f>
        <v>0</v>
      </c>
      <c r="AD14" s="229">
        <f>SUMIFS([1]!Data_BS[Value],[1]!Data_BS[Index BS],DTR!$B14,[1]!Data_BS[TenCongTyID],DTR!$B$1,[1]!Data_BS[Thang.Nam],DTR!AD$5)</f>
        <v>0</v>
      </c>
      <c r="AE14" s="229">
        <f>SUMIFS([1]!Data_BS[Value],[1]!Data_BS[Index BS],DTR!$B14,[1]!Data_BS[TenCongTyID],DTR!$B$1,[1]!Data_BS[Thang.Nam],DTR!AE$5)</f>
        <v>0</v>
      </c>
      <c r="AF14" s="229">
        <f>SUMIFS([1]!Data_BS[Value],[1]!Data_BS[Index BS],DTR!$B14,[1]!Data_BS[TenCongTyID],DTR!$B$1,[1]!Data_BS[Thang.Nam],DTR!AF$5)</f>
        <v>0</v>
      </c>
      <c r="AG14" s="229">
        <f>SUMIFS([1]!Data_BS[Value],[1]!Data_BS[Index BS],DTR!$B14,[1]!Data_BS[TenCongTyID],DTR!$B$1,[1]!Data_BS[Thang.Nam],DTR!AG$5)</f>
        <v>0</v>
      </c>
      <c r="AH14" s="229">
        <f>SUMIFS([1]!Data_BS[Value],[1]!Data_BS[Index BS],DTR!$B14,[1]!Data_BS[TenCongTyID],DTR!$B$1,[1]!Data_BS[Thang.Nam],DTR!AH$5)</f>
        <v>0</v>
      </c>
      <c r="AI14" s="229">
        <f>SUMIFS([1]!Data_BS[Value],[1]!Data_BS[Index BS],DTR!$B14,[1]!Data_BS[TenCongTyID],DTR!$B$1,[1]!Data_BS[Thang.Nam],DTR!AI$5)</f>
        <v>0</v>
      </c>
      <c r="AJ14" s="229">
        <f>SUMIFS([1]!Data_BS[Value],[1]!Data_BS[Index BS],DTR!$B14,[1]!Data_BS[TenCongTyID],DTR!$B$1,[1]!Data_BS[Thang.Nam],DTR!AJ$5)</f>
        <v>0</v>
      </c>
      <c r="AK14" s="229">
        <f>SUMIFS([1]!Data_BS[Value],[1]!Data_BS[Index BS],DTR!$B14,[1]!Data_BS[TenCongTyID],DTR!$B$1,[1]!Data_BS[Thang.Nam],DTR!AK$5)</f>
        <v>0</v>
      </c>
      <c r="AL14" s="229">
        <f>SUMIFS([1]!Data_BS[Value],[1]!Data_BS[Index BS],DTR!$B14,[1]!Data_BS[TenCongTyID],DTR!$B$1,[1]!Data_BS[Thang.Nam],DTR!AL$5)</f>
        <v>0</v>
      </c>
    </row>
    <row r="15" spans="1:38" ht="15" hidden="1" customHeight="1" outlineLevel="1">
      <c r="A15" s="66" t="s">
        <v>99</v>
      </c>
      <c r="B15" s="63">
        <v>10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>
        <v>0</v>
      </c>
      <c r="AA15" s="229">
        <f>SUMIFS([1]!Data_BS[Value],[1]!Data_BS[Index BS],DTR!$B15,[1]!Data_BS[TenCongTyID],DTR!$B$1,[1]!Data_BS[Thang.Nam],DTR!AA$5)</f>
        <v>0</v>
      </c>
      <c r="AB15" s="229">
        <f>SUMIFS([1]!Data_BS[Value],[1]!Data_BS[Index BS],DTR!$B15,[1]!Data_BS[TenCongTyID],DTR!$B$1,[1]!Data_BS[Thang.Nam],DTR!AB$5)</f>
        <v>0</v>
      </c>
      <c r="AC15" s="229">
        <f>SUMIFS([1]!Data_BS[Value],[1]!Data_BS[Index BS],DTR!$B15,[1]!Data_BS[TenCongTyID],DTR!$B$1,[1]!Data_BS[Thang.Nam],DTR!AC$5)</f>
        <v>0</v>
      </c>
      <c r="AD15" s="229">
        <f>SUMIFS([1]!Data_BS[Value],[1]!Data_BS[Index BS],DTR!$B15,[1]!Data_BS[TenCongTyID],DTR!$B$1,[1]!Data_BS[Thang.Nam],DTR!AD$5)</f>
        <v>0</v>
      </c>
      <c r="AE15" s="229">
        <f>SUMIFS([1]!Data_BS[Value],[1]!Data_BS[Index BS],DTR!$B15,[1]!Data_BS[TenCongTyID],DTR!$B$1,[1]!Data_BS[Thang.Nam],DTR!AE$5)</f>
        <v>0</v>
      </c>
      <c r="AF15" s="229">
        <f>SUMIFS([1]!Data_BS[Value],[1]!Data_BS[Index BS],DTR!$B15,[1]!Data_BS[TenCongTyID],DTR!$B$1,[1]!Data_BS[Thang.Nam],DTR!AF$5)</f>
        <v>0</v>
      </c>
      <c r="AG15" s="229">
        <f>SUMIFS([1]!Data_BS[Value],[1]!Data_BS[Index BS],DTR!$B15,[1]!Data_BS[TenCongTyID],DTR!$B$1,[1]!Data_BS[Thang.Nam],DTR!AG$5)</f>
        <v>0</v>
      </c>
      <c r="AH15" s="229">
        <f>SUMIFS([1]!Data_BS[Value],[1]!Data_BS[Index BS],DTR!$B15,[1]!Data_BS[TenCongTyID],DTR!$B$1,[1]!Data_BS[Thang.Nam],DTR!AH$5)</f>
        <v>0</v>
      </c>
      <c r="AI15" s="229">
        <f>SUMIFS([1]!Data_BS[Value],[1]!Data_BS[Index BS],DTR!$B15,[1]!Data_BS[TenCongTyID],DTR!$B$1,[1]!Data_BS[Thang.Nam],DTR!AI$5)</f>
        <v>0</v>
      </c>
      <c r="AJ15" s="229">
        <f>SUMIFS([1]!Data_BS[Value],[1]!Data_BS[Index BS],DTR!$B15,[1]!Data_BS[TenCongTyID],DTR!$B$1,[1]!Data_BS[Thang.Nam],DTR!AJ$5)</f>
        <v>0</v>
      </c>
      <c r="AK15" s="229">
        <f>SUMIFS([1]!Data_BS[Value],[1]!Data_BS[Index BS],DTR!$B15,[1]!Data_BS[TenCongTyID],DTR!$B$1,[1]!Data_BS[Thang.Nam],DTR!AK$5)</f>
        <v>0</v>
      </c>
      <c r="AL15" s="229">
        <f>SUMIFS([1]!Data_BS[Value],[1]!Data_BS[Index BS],DTR!$B15,[1]!Data_BS[TenCongTyID],DTR!$B$1,[1]!Data_BS[Thang.Nam],DTR!AL$5)</f>
        <v>0</v>
      </c>
    </row>
    <row r="16" spans="1:38" ht="15" hidden="1" customHeight="1" outlineLevel="1">
      <c r="A16" s="66" t="s">
        <v>100</v>
      </c>
      <c r="B16" s="63">
        <v>11</v>
      </c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>
        <v>0</v>
      </c>
      <c r="AA16" s="229">
        <f>SUMIFS([1]!Data_BS[Value],[1]!Data_BS[Index BS],DTR!$B16,[1]!Data_BS[TenCongTyID],DTR!$B$1,[1]!Data_BS[Thang.Nam],DTR!AA$5)</f>
        <v>0</v>
      </c>
      <c r="AB16" s="229">
        <f>SUMIFS([1]!Data_BS[Value],[1]!Data_BS[Index BS],DTR!$B16,[1]!Data_BS[TenCongTyID],DTR!$B$1,[1]!Data_BS[Thang.Nam],DTR!AB$5)</f>
        <v>0</v>
      </c>
      <c r="AC16" s="229">
        <f>SUMIFS([1]!Data_BS[Value],[1]!Data_BS[Index BS],DTR!$B16,[1]!Data_BS[TenCongTyID],DTR!$B$1,[1]!Data_BS[Thang.Nam],DTR!AC$5)</f>
        <v>0</v>
      </c>
      <c r="AD16" s="229">
        <f>SUMIFS([1]!Data_BS[Value],[1]!Data_BS[Index BS],DTR!$B16,[1]!Data_BS[TenCongTyID],DTR!$B$1,[1]!Data_BS[Thang.Nam],DTR!AD$5)</f>
        <v>0</v>
      </c>
      <c r="AE16" s="229">
        <f>SUMIFS([1]!Data_BS[Value],[1]!Data_BS[Index BS],DTR!$B16,[1]!Data_BS[TenCongTyID],DTR!$B$1,[1]!Data_BS[Thang.Nam],DTR!AE$5)</f>
        <v>0</v>
      </c>
      <c r="AF16" s="229">
        <f>SUMIFS([1]!Data_BS[Value],[1]!Data_BS[Index BS],DTR!$B16,[1]!Data_BS[TenCongTyID],DTR!$B$1,[1]!Data_BS[Thang.Nam],DTR!AF$5)</f>
        <v>0</v>
      </c>
      <c r="AG16" s="229">
        <f>SUMIFS([1]!Data_BS[Value],[1]!Data_BS[Index BS],DTR!$B16,[1]!Data_BS[TenCongTyID],DTR!$B$1,[1]!Data_BS[Thang.Nam],DTR!AG$5)</f>
        <v>0</v>
      </c>
      <c r="AH16" s="229">
        <f>SUMIFS([1]!Data_BS[Value],[1]!Data_BS[Index BS],DTR!$B16,[1]!Data_BS[TenCongTyID],DTR!$B$1,[1]!Data_BS[Thang.Nam],DTR!AH$5)</f>
        <v>0</v>
      </c>
      <c r="AI16" s="229">
        <f>SUMIFS([1]!Data_BS[Value],[1]!Data_BS[Index BS],DTR!$B16,[1]!Data_BS[TenCongTyID],DTR!$B$1,[1]!Data_BS[Thang.Nam],DTR!AI$5)</f>
        <v>0</v>
      </c>
      <c r="AJ16" s="229">
        <f>SUMIFS([1]!Data_BS[Value],[1]!Data_BS[Index BS],DTR!$B16,[1]!Data_BS[TenCongTyID],DTR!$B$1,[1]!Data_BS[Thang.Nam],DTR!AJ$5)</f>
        <v>0</v>
      </c>
      <c r="AK16" s="229">
        <f>SUMIFS([1]!Data_BS[Value],[1]!Data_BS[Index BS],DTR!$B16,[1]!Data_BS[TenCongTyID],DTR!$B$1,[1]!Data_BS[Thang.Nam],DTR!AK$5)</f>
        <v>0</v>
      </c>
      <c r="AL16" s="229">
        <f>SUMIFS([1]!Data_BS[Value],[1]!Data_BS[Index BS],DTR!$B16,[1]!Data_BS[TenCongTyID],DTR!$B$1,[1]!Data_BS[Thang.Nam],DTR!AL$5)</f>
        <v>0</v>
      </c>
    </row>
    <row r="17" spans="1:38" ht="15" hidden="1" customHeight="1" outlineLevel="1">
      <c r="A17" s="59" t="s">
        <v>101</v>
      </c>
      <c r="B17" s="65">
        <v>12</v>
      </c>
      <c r="C17" s="233">
        <f t="shared" ref="C17:Y17" si="3">SUM(C18:C24)</f>
        <v>188444080606</v>
      </c>
      <c r="D17" s="233">
        <f t="shared" si="3"/>
        <v>171890106967</v>
      </c>
      <c r="E17" s="233">
        <f t="shared" si="3"/>
        <v>191585435424</v>
      </c>
      <c r="F17" s="233">
        <f t="shared" si="3"/>
        <v>208364328067</v>
      </c>
      <c r="G17" s="233">
        <f t="shared" si="3"/>
        <v>209176705176</v>
      </c>
      <c r="H17" s="233">
        <f t="shared" si="3"/>
        <v>233420699577</v>
      </c>
      <c r="I17" s="233">
        <f t="shared" si="3"/>
        <v>144688674783</v>
      </c>
      <c r="J17" s="233">
        <f t="shared" si="3"/>
        <v>167083094510</v>
      </c>
      <c r="K17" s="233">
        <f t="shared" si="3"/>
        <v>193396223555</v>
      </c>
      <c r="L17" s="233">
        <f t="shared" si="3"/>
        <v>190305554263</v>
      </c>
      <c r="M17" s="233">
        <f t="shared" si="3"/>
        <v>227463171013</v>
      </c>
      <c r="N17" s="234">
        <f t="shared" si="3"/>
        <v>216304048030</v>
      </c>
      <c r="O17" s="234">
        <f t="shared" si="3"/>
        <v>144319874593</v>
      </c>
      <c r="P17" s="234">
        <f t="shared" si="3"/>
        <v>203545348632</v>
      </c>
      <c r="Q17" s="234">
        <f t="shared" si="3"/>
        <v>235831520296</v>
      </c>
      <c r="R17" s="234">
        <f t="shared" si="3"/>
        <v>197461790190</v>
      </c>
      <c r="S17" s="234">
        <f t="shared" si="3"/>
        <v>242866979751</v>
      </c>
      <c r="T17" s="234">
        <f t="shared" si="3"/>
        <v>234756188648</v>
      </c>
      <c r="U17" s="234">
        <f t="shared" si="3"/>
        <v>228410191518</v>
      </c>
      <c r="V17" s="234">
        <f t="shared" si="3"/>
        <v>318662398237</v>
      </c>
      <c r="W17" s="234">
        <f t="shared" si="3"/>
        <v>259303980922</v>
      </c>
      <c r="X17" s="234">
        <f t="shared" si="3"/>
        <v>245903090995</v>
      </c>
      <c r="Y17" s="234">
        <f t="shared" si="3"/>
        <v>233569184431</v>
      </c>
      <c r="Z17" s="234">
        <v>258086122082</v>
      </c>
      <c r="AA17" s="234">
        <f>SUMIFS([1]!Data_BS[Value],[1]!Data_BS[Index BS],DTR!$B17,[1]!Data_BS[TenCongTyID],DTR!$B$1,[1]!Data_BS[Thang.Nam],DTR!AA$5)</f>
        <v>0</v>
      </c>
      <c r="AB17" s="234">
        <f>SUMIFS([1]!Data_BS[Value],[1]!Data_BS[Index BS],DTR!$B17,[1]!Data_BS[TenCongTyID],DTR!$B$1,[1]!Data_BS[Thang.Nam],DTR!AB$5)</f>
        <v>0</v>
      </c>
      <c r="AC17" s="234">
        <f>SUMIFS([1]!Data_BS[Value],[1]!Data_BS[Index BS],DTR!$B17,[1]!Data_BS[TenCongTyID],DTR!$B$1,[1]!Data_BS[Thang.Nam],DTR!AC$5)</f>
        <v>0</v>
      </c>
      <c r="AD17" s="234">
        <f>SUMIFS([1]!Data_BS[Value],[1]!Data_BS[Index BS],DTR!$B17,[1]!Data_BS[TenCongTyID],DTR!$B$1,[1]!Data_BS[Thang.Nam],DTR!AD$5)</f>
        <v>0</v>
      </c>
      <c r="AE17" s="234">
        <f>SUMIFS([1]!Data_BS[Value],[1]!Data_BS[Index BS],DTR!$B17,[1]!Data_BS[TenCongTyID],DTR!$B$1,[1]!Data_BS[Thang.Nam],DTR!AE$5)</f>
        <v>0</v>
      </c>
      <c r="AF17" s="234">
        <f>SUMIFS([1]!Data_BS[Value],[1]!Data_BS[Index BS],DTR!$B17,[1]!Data_BS[TenCongTyID],DTR!$B$1,[1]!Data_BS[Thang.Nam],DTR!AF$5)</f>
        <v>0</v>
      </c>
      <c r="AG17" s="234">
        <f>SUMIFS([1]!Data_BS[Value],[1]!Data_BS[Index BS],DTR!$B17,[1]!Data_BS[TenCongTyID],DTR!$B$1,[1]!Data_BS[Thang.Nam],DTR!AG$5)</f>
        <v>0</v>
      </c>
      <c r="AH17" s="234">
        <f>SUMIFS([1]!Data_BS[Value],[1]!Data_BS[Index BS],DTR!$B17,[1]!Data_BS[TenCongTyID],DTR!$B$1,[1]!Data_BS[Thang.Nam],DTR!AH$5)</f>
        <v>0</v>
      </c>
      <c r="AI17" s="234">
        <f>SUMIFS([1]!Data_BS[Value],[1]!Data_BS[Index BS],DTR!$B17,[1]!Data_BS[TenCongTyID],DTR!$B$1,[1]!Data_BS[Thang.Nam],DTR!AI$5)</f>
        <v>0</v>
      </c>
      <c r="AJ17" s="234">
        <f>SUMIFS([1]!Data_BS[Value],[1]!Data_BS[Index BS],DTR!$B17,[1]!Data_BS[TenCongTyID],DTR!$B$1,[1]!Data_BS[Thang.Nam],DTR!AJ$5)</f>
        <v>0</v>
      </c>
      <c r="AK17" s="234">
        <f>SUMIFS([1]!Data_BS[Value],[1]!Data_BS[Index BS],DTR!$B17,[1]!Data_BS[TenCongTyID],DTR!$B$1,[1]!Data_BS[Thang.Nam],DTR!AK$5)</f>
        <v>0</v>
      </c>
      <c r="AL17" s="234">
        <f>SUMIFS([1]!Data_BS[Value],[1]!Data_BS[Index BS],DTR!$B17,[1]!Data_BS[TenCongTyID],DTR!$B$1,[1]!Data_BS[Thang.Nam],DTR!AL$5)</f>
        <v>0</v>
      </c>
    </row>
    <row r="18" spans="1:38" ht="15" hidden="1" customHeight="1" outlineLevel="1">
      <c r="A18" s="67" t="s">
        <v>102</v>
      </c>
      <c r="B18" s="63">
        <v>13</v>
      </c>
      <c r="C18" s="229">
        <v>122887480695</v>
      </c>
      <c r="D18" s="229">
        <v>127016253433</v>
      </c>
      <c r="E18" s="229">
        <v>139011604932</v>
      </c>
      <c r="F18" s="229">
        <v>152040845787</v>
      </c>
      <c r="G18" s="229">
        <v>161172642369</v>
      </c>
      <c r="H18" s="229">
        <v>159378679498</v>
      </c>
      <c r="I18" s="229">
        <v>97722288447</v>
      </c>
      <c r="J18" s="229">
        <v>120989360950</v>
      </c>
      <c r="K18" s="229">
        <v>150031537677</v>
      </c>
      <c r="L18" s="229">
        <v>147739603288</v>
      </c>
      <c r="M18" s="229">
        <v>148202432891</v>
      </c>
      <c r="N18" s="229">
        <v>152669364944</v>
      </c>
      <c r="O18" s="235">
        <v>108322209217</v>
      </c>
      <c r="P18" s="229">
        <v>161139219719</v>
      </c>
      <c r="Q18" s="229">
        <v>202956915270</v>
      </c>
      <c r="R18" s="229">
        <v>159438788675</v>
      </c>
      <c r="S18" s="229">
        <v>170977391735</v>
      </c>
      <c r="T18" s="229">
        <v>157629418587</v>
      </c>
      <c r="U18" s="229">
        <v>156235244643</v>
      </c>
      <c r="V18" s="229">
        <v>193809016663</v>
      </c>
      <c r="W18" s="229">
        <v>162064070219</v>
      </c>
      <c r="X18" s="229">
        <v>155463444706</v>
      </c>
      <c r="Y18" s="229">
        <v>157631834549</v>
      </c>
      <c r="Z18" s="229">
        <v>156213265219</v>
      </c>
      <c r="AA18" s="229">
        <f>SUMIFS([1]!Data_BS[Value],[1]!Data_BS[Index BS],DTR!$B18,[1]!Data_BS[TenCongTyID],DTR!$B$1,[1]!Data_BS[Thang.Nam],DTR!AA$5)</f>
        <v>0</v>
      </c>
      <c r="AB18" s="229">
        <f>SUMIFS([1]!Data_BS[Value],[1]!Data_BS[Index BS],DTR!$B18,[1]!Data_BS[TenCongTyID],DTR!$B$1,[1]!Data_BS[Thang.Nam],DTR!AB$5)</f>
        <v>0</v>
      </c>
      <c r="AC18" s="229">
        <f>SUMIFS([1]!Data_BS[Value],[1]!Data_BS[Index BS],DTR!$B18,[1]!Data_BS[TenCongTyID],DTR!$B$1,[1]!Data_BS[Thang.Nam],DTR!AC$5)</f>
        <v>0</v>
      </c>
      <c r="AD18" s="229">
        <f>SUMIFS([1]!Data_BS[Value],[1]!Data_BS[Index BS],DTR!$B18,[1]!Data_BS[TenCongTyID],DTR!$B$1,[1]!Data_BS[Thang.Nam],DTR!AD$5)</f>
        <v>0</v>
      </c>
      <c r="AE18" s="229">
        <f>SUMIFS([1]!Data_BS[Value],[1]!Data_BS[Index BS],DTR!$B18,[1]!Data_BS[TenCongTyID],DTR!$B$1,[1]!Data_BS[Thang.Nam],DTR!AE$5)</f>
        <v>0</v>
      </c>
      <c r="AF18" s="229">
        <f>SUMIFS([1]!Data_BS[Value],[1]!Data_BS[Index BS],DTR!$B18,[1]!Data_BS[TenCongTyID],DTR!$B$1,[1]!Data_BS[Thang.Nam],DTR!AF$5)</f>
        <v>0</v>
      </c>
      <c r="AG18" s="229">
        <f>SUMIFS([1]!Data_BS[Value],[1]!Data_BS[Index BS],DTR!$B18,[1]!Data_BS[TenCongTyID],DTR!$B$1,[1]!Data_BS[Thang.Nam],DTR!AG$5)</f>
        <v>0</v>
      </c>
      <c r="AH18" s="229">
        <f>SUMIFS([1]!Data_BS[Value],[1]!Data_BS[Index BS],DTR!$B18,[1]!Data_BS[TenCongTyID],DTR!$B$1,[1]!Data_BS[Thang.Nam],DTR!AH$5)</f>
        <v>0</v>
      </c>
      <c r="AI18" s="229">
        <f>SUMIFS([1]!Data_BS[Value],[1]!Data_BS[Index BS],DTR!$B18,[1]!Data_BS[TenCongTyID],DTR!$B$1,[1]!Data_BS[Thang.Nam],DTR!AI$5)</f>
        <v>0</v>
      </c>
      <c r="AJ18" s="229">
        <f>SUMIFS([1]!Data_BS[Value],[1]!Data_BS[Index BS],DTR!$B18,[1]!Data_BS[TenCongTyID],DTR!$B$1,[1]!Data_BS[Thang.Nam],DTR!AJ$5)</f>
        <v>0</v>
      </c>
      <c r="AK18" s="229">
        <f>SUMIFS([1]!Data_BS[Value],[1]!Data_BS[Index BS],DTR!$B18,[1]!Data_BS[TenCongTyID],DTR!$B$1,[1]!Data_BS[Thang.Nam],DTR!AK$5)</f>
        <v>0</v>
      </c>
      <c r="AL18" s="229">
        <f>SUMIFS([1]!Data_BS[Value],[1]!Data_BS[Index BS],DTR!$B18,[1]!Data_BS[TenCongTyID],DTR!$B$1,[1]!Data_BS[Thang.Nam],DTR!AL$5)</f>
        <v>0</v>
      </c>
    </row>
    <row r="19" spans="1:38" ht="15" hidden="1" customHeight="1" outlineLevel="1">
      <c r="A19" s="67" t="s">
        <v>103</v>
      </c>
      <c r="B19" s="63">
        <v>14</v>
      </c>
      <c r="C19" s="229">
        <v>19316587120</v>
      </c>
      <c r="D19" s="229">
        <v>17454753549</v>
      </c>
      <c r="E19" s="229">
        <v>16813944743</v>
      </c>
      <c r="F19" s="229">
        <v>18608309535</v>
      </c>
      <c r="G19" s="229">
        <v>18405763308</v>
      </c>
      <c r="H19" s="229">
        <v>16327636020</v>
      </c>
      <c r="I19" s="229">
        <v>15257741813</v>
      </c>
      <c r="J19" s="229">
        <v>14294350015</v>
      </c>
      <c r="K19" s="229">
        <v>10832801685</v>
      </c>
      <c r="L19" s="229">
        <v>9551925778</v>
      </c>
      <c r="M19" s="229">
        <v>10191021053</v>
      </c>
      <c r="N19" s="229">
        <v>23997890529</v>
      </c>
      <c r="O19" s="236">
        <v>17386959101</v>
      </c>
      <c r="P19" s="229">
        <v>22390625492</v>
      </c>
      <c r="Q19" s="229">
        <v>24711414335</v>
      </c>
      <c r="R19" s="229">
        <v>29713189366</v>
      </c>
      <c r="S19" s="229">
        <v>63705294804</v>
      </c>
      <c r="T19" s="229">
        <v>67384127297</v>
      </c>
      <c r="U19" s="229">
        <v>62294223986</v>
      </c>
      <c r="V19" s="229">
        <v>80801800470</v>
      </c>
      <c r="W19" s="229">
        <v>83665862400</v>
      </c>
      <c r="X19" s="229">
        <v>77870421089</v>
      </c>
      <c r="Y19" s="229">
        <v>63335376460</v>
      </c>
      <c r="Z19" s="229">
        <v>71180019646</v>
      </c>
      <c r="AA19" s="229">
        <f>SUMIFS([1]!Data_BS[Value],[1]!Data_BS[Index BS],DTR!$B19,[1]!Data_BS[TenCongTyID],DTR!$B$1,[1]!Data_BS[Thang.Nam],DTR!AA$5)</f>
        <v>0</v>
      </c>
      <c r="AB19" s="229">
        <f>SUMIFS([1]!Data_BS[Value],[1]!Data_BS[Index BS],DTR!$B19,[1]!Data_BS[TenCongTyID],DTR!$B$1,[1]!Data_BS[Thang.Nam],DTR!AB$5)</f>
        <v>0</v>
      </c>
      <c r="AC19" s="229">
        <f>SUMIFS([1]!Data_BS[Value],[1]!Data_BS[Index BS],DTR!$B19,[1]!Data_BS[TenCongTyID],DTR!$B$1,[1]!Data_BS[Thang.Nam],DTR!AC$5)</f>
        <v>0</v>
      </c>
      <c r="AD19" s="229">
        <f>SUMIFS([1]!Data_BS[Value],[1]!Data_BS[Index BS],DTR!$B19,[1]!Data_BS[TenCongTyID],DTR!$B$1,[1]!Data_BS[Thang.Nam],DTR!AD$5)</f>
        <v>0</v>
      </c>
      <c r="AE19" s="229">
        <f>SUMIFS([1]!Data_BS[Value],[1]!Data_BS[Index BS],DTR!$B19,[1]!Data_BS[TenCongTyID],DTR!$B$1,[1]!Data_BS[Thang.Nam],DTR!AE$5)</f>
        <v>0</v>
      </c>
      <c r="AF19" s="229">
        <f>SUMIFS([1]!Data_BS[Value],[1]!Data_BS[Index BS],DTR!$B19,[1]!Data_BS[TenCongTyID],DTR!$B$1,[1]!Data_BS[Thang.Nam],DTR!AF$5)</f>
        <v>0</v>
      </c>
      <c r="AG19" s="229">
        <f>SUMIFS([1]!Data_BS[Value],[1]!Data_BS[Index BS],DTR!$B19,[1]!Data_BS[TenCongTyID],DTR!$B$1,[1]!Data_BS[Thang.Nam],DTR!AG$5)</f>
        <v>0</v>
      </c>
      <c r="AH19" s="229">
        <f>SUMIFS([1]!Data_BS[Value],[1]!Data_BS[Index BS],DTR!$B19,[1]!Data_BS[TenCongTyID],DTR!$B$1,[1]!Data_BS[Thang.Nam],DTR!AH$5)</f>
        <v>0</v>
      </c>
      <c r="AI19" s="229">
        <f>SUMIFS([1]!Data_BS[Value],[1]!Data_BS[Index BS],DTR!$B19,[1]!Data_BS[TenCongTyID],DTR!$B$1,[1]!Data_BS[Thang.Nam],DTR!AI$5)</f>
        <v>0</v>
      </c>
      <c r="AJ19" s="229">
        <f>SUMIFS([1]!Data_BS[Value],[1]!Data_BS[Index BS],DTR!$B19,[1]!Data_BS[TenCongTyID],DTR!$B$1,[1]!Data_BS[Thang.Nam],DTR!AJ$5)</f>
        <v>0</v>
      </c>
      <c r="AK19" s="229">
        <f>SUMIFS([1]!Data_BS[Value],[1]!Data_BS[Index BS],DTR!$B19,[1]!Data_BS[TenCongTyID],DTR!$B$1,[1]!Data_BS[Thang.Nam],DTR!AK$5)</f>
        <v>0</v>
      </c>
      <c r="AL19" s="229">
        <f>SUMIFS([1]!Data_BS[Value],[1]!Data_BS[Index BS],DTR!$B19,[1]!Data_BS[TenCongTyID],DTR!$B$1,[1]!Data_BS[Thang.Nam],DTR!AL$5)</f>
        <v>0</v>
      </c>
    </row>
    <row r="20" spans="1:38" ht="15" hidden="1" customHeight="1" outlineLevel="1">
      <c r="A20" s="67" t="s">
        <v>104</v>
      </c>
      <c r="B20" s="63">
        <v>15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36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Z20" s="229">
        <v>0</v>
      </c>
      <c r="AA20" s="229">
        <f>SUMIFS([1]!Data_BS[Value],[1]!Data_BS[Index BS],DTR!$B20,[1]!Data_BS[TenCongTyID],DTR!$B$1,[1]!Data_BS[Thang.Nam],DTR!AA$5)</f>
        <v>0</v>
      </c>
      <c r="AB20" s="229">
        <f>SUMIFS([1]!Data_BS[Value],[1]!Data_BS[Index BS],DTR!$B20,[1]!Data_BS[TenCongTyID],DTR!$B$1,[1]!Data_BS[Thang.Nam],DTR!AB$5)</f>
        <v>0</v>
      </c>
      <c r="AC20" s="229">
        <f>SUMIFS([1]!Data_BS[Value],[1]!Data_BS[Index BS],DTR!$B20,[1]!Data_BS[TenCongTyID],DTR!$B$1,[1]!Data_BS[Thang.Nam],DTR!AC$5)</f>
        <v>0</v>
      </c>
      <c r="AD20" s="229">
        <f>SUMIFS([1]!Data_BS[Value],[1]!Data_BS[Index BS],DTR!$B20,[1]!Data_BS[TenCongTyID],DTR!$B$1,[1]!Data_BS[Thang.Nam],DTR!AD$5)</f>
        <v>0</v>
      </c>
      <c r="AE20" s="229">
        <f>SUMIFS([1]!Data_BS[Value],[1]!Data_BS[Index BS],DTR!$B20,[1]!Data_BS[TenCongTyID],DTR!$B$1,[1]!Data_BS[Thang.Nam],DTR!AE$5)</f>
        <v>0</v>
      </c>
      <c r="AF20" s="229">
        <f>SUMIFS([1]!Data_BS[Value],[1]!Data_BS[Index BS],DTR!$B20,[1]!Data_BS[TenCongTyID],DTR!$B$1,[1]!Data_BS[Thang.Nam],DTR!AF$5)</f>
        <v>0</v>
      </c>
      <c r="AG20" s="229">
        <f>SUMIFS([1]!Data_BS[Value],[1]!Data_BS[Index BS],DTR!$B20,[1]!Data_BS[TenCongTyID],DTR!$B$1,[1]!Data_BS[Thang.Nam],DTR!AG$5)</f>
        <v>0</v>
      </c>
      <c r="AH20" s="229">
        <f>SUMIFS([1]!Data_BS[Value],[1]!Data_BS[Index BS],DTR!$B20,[1]!Data_BS[TenCongTyID],DTR!$B$1,[1]!Data_BS[Thang.Nam],DTR!AH$5)</f>
        <v>0</v>
      </c>
      <c r="AI20" s="229">
        <f>SUMIFS([1]!Data_BS[Value],[1]!Data_BS[Index BS],DTR!$B20,[1]!Data_BS[TenCongTyID],DTR!$B$1,[1]!Data_BS[Thang.Nam],DTR!AI$5)</f>
        <v>0</v>
      </c>
      <c r="AJ20" s="229">
        <f>SUMIFS([1]!Data_BS[Value],[1]!Data_BS[Index BS],DTR!$B20,[1]!Data_BS[TenCongTyID],DTR!$B$1,[1]!Data_BS[Thang.Nam],DTR!AJ$5)</f>
        <v>0</v>
      </c>
      <c r="AK20" s="229">
        <f>SUMIFS([1]!Data_BS[Value],[1]!Data_BS[Index BS],DTR!$B20,[1]!Data_BS[TenCongTyID],DTR!$B$1,[1]!Data_BS[Thang.Nam],DTR!AK$5)</f>
        <v>0</v>
      </c>
      <c r="AL20" s="229">
        <f>SUMIFS([1]!Data_BS[Value],[1]!Data_BS[Index BS],DTR!$B20,[1]!Data_BS[TenCongTyID],DTR!$B$1,[1]!Data_BS[Thang.Nam],DTR!AL$5)</f>
        <v>0</v>
      </c>
    </row>
    <row r="21" spans="1:38" ht="15" hidden="1" customHeight="1" outlineLevel="1">
      <c r="A21" s="67" t="s">
        <v>105</v>
      </c>
      <c r="B21" s="63">
        <v>16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36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Z21" s="229">
        <v>0</v>
      </c>
      <c r="AA21" s="229">
        <f>SUMIFS([1]!Data_BS[Value],[1]!Data_BS[Index BS],DTR!$B21,[1]!Data_BS[TenCongTyID],DTR!$B$1,[1]!Data_BS[Thang.Nam],DTR!AA$5)</f>
        <v>0</v>
      </c>
      <c r="AB21" s="229">
        <f>SUMIFS([1]!Data_BS[Value],[1]!Data_BS[Index BS],DTR!$B21,[1]!Data_BS[TenCongTyID],DTR!$B$1,[1]!Data_BS[Thang.Nam],DTR!AB$5)</f>
        <v>0</v>
      </c>
      <c r="AC21" s="229">
        <f>SUMIFS([1]!Data_BS[Value],[1]!Data_BS[Index BS],DTR!$B21,[1]!Data_BS[TenCongTyID],DTR!$B$1,[1]!Data_BS[Thang.Nam],DTR!AC$5)</f>
        <v>0</v>
      </c>
      <c r="AD21" s="229">
        <f>SUMIFS([1]!Data_BS[Value],[1]!Data_BS[Index BS],DTR!$B21,[1]!Data_BS[TenCongTyID],DTR!$B$1,[1]!Data_BS[Thang.Nam],DTR!AD$5)</f>
        <v>0</v>
      </c>
      <c r="AE21" s="229">
        <f>SUMIFS([1]!Data_BS[Value],[1]!Data_BS[Index BS],DTR!$B21,[1]!Data_BS[TenCongTyID],DTR!$B$1,[1]!Data_BS[Thang.Nam],DTR!AE$5)</f>
        <v>0</v>
      </c>
      <c r="AF21" s="229">
        <f>SUMIFS([1]!Data_BS[Value],[1]!Data_BS[Index BS],DTR!$B21,[1]!Data_BS[TenCongTyID],DTR!$B$1,[1]!Data_BS[Thang.Nam],DTR!AF$5)</f>
        <v>0</v>
      </c>
      <c r="AG21" s="229">
        <f>SUMIFS([1]!Data_BS[Value],[1]!Data_BS[Index BS],DTR!$B21,[1]!Data_BS[TenCongTyID],DTR!$B$1,[1]!Data_BS[Thang.Nam],DTR!AG$5)</f>
        <v>0</v>
      </c>
      <c r="AH21" s="229">
        <f>SUMIFS([1]!Data_BS[Value],[1]!Data_BS[Index BS],DTR!$B21,[1]!Data_BS[TenCongTyID],DTR!$B$1,[1]!Data_BS[Thang.Nam],DTR!AH$5)</f>
        <v>0</v>
      </c>
      <c r="AI21" s="229">
        <f>SUMIFS([1]!Data_BS[Value],[1]!Data_BS[Index BS],DTR!$B21,[1]!Data_BS[TenCongTyID],DTR!$B$1,[1]!Data_BS[Thang.Nam],DTR!AI$5)</f>
        <v>0</v>
      </c>
      <c r="AJ21" s="229">
        <f>SUMIFS([1]!Data_BS[Value],[1]!Data_BS[Index BS],DTR!$B21,[1]!Data_BS[TenCongTyID],DTR!$B$1,[1]!Data_BS[Thang.Nam],DTR!AJ$5)</f>
        <v>0</v>
      </c>
      <c r="AK21" s="229">
        <f>SUMIFS([1]!Data_BS[Value],[1]!Data_BS[Index BS],DTR!$B21,[1]!Data_BS[TenCongTyID],DTR!$B$1,[1]!Data_BS[Thang.Nam],DTR!AK$5)</f>
        <v>0</v>
      </c>
      <c r="AL21" s="229">
        <f>SUMIFS([1]!Data_BS[Value],[1]!Data_BS[Index BS],DTR!$B21,[1]!Data_BS[TenCongTyID],DTR!$B$1,[1]!Data_BS[Thang.Nam],DTR!AL$5)</f>
        <v>0</v>
      </c>
    </row>
    <row r="22" spans="1:38" ht="15" hidden="1" customHeight="1" outlineLevel="1">
      <c r="A22" s="67" t="s">
        <v>106</v>
      </c>
      <c r="B22" s="63">
        <v>17</v>
      </c>
      <c r="C22" s="229">
        <v>46764622066</v>
      </c>
      <c r="D22" s="229">
        <v>27943709260</v>
      </c>
      <c r="E22" s="229">
        <v>27858493605</v>
      </c>
      <c r="F22" s="229">
        <v>29813780601</v>
      </c>
      <c r="G22" s="229">
        <v>30122908774</v>
      </c>
      <c r="H22" s="229">
        <v>58238993334</v>
      </c>
      <c r="I22" s="229">
        <v>32233253798</v>
      </c>
      <c r="J22" s="229">
        <v>32323992820</v>
      </c>
      <c r="K22" s="229">
        <v>33056493468</v>
      </c>
      <c r="L22" s="229">
        <v>33538634472</v>
      </c>
      <c r="M22" s="229">
        <v>69594326344</v>
      </c>
      <c r="N22" s="229">
        <v>39636792557</v>
      </c>
      <c r="O22" s="236">
        <v>18610706275</v>
      </c>
      <c r="P22" s="229">
        <v>20015503421</v>
      </c>
      <c r="Q22" s="229">
        <v>8163190691</v>
      </c>
      <c r="R22" s="229">
        <v>8309812149</v>
      </c>
      <c r="S22" s="229">
        <v>8184293212</v>
      </c>
      <c r="T22" s="229">
        <v>9742642764</v>
      </c>
      <c r="U22" s="229">
        <v>9880722889</v>
      </c>
      <c r="V22" s="229">
        <v>44051581104</v>
      </c>
      <c r="W22" s="229">
        <v>13574048303</v>
      </c>
      <c r="X22" s="229">
        <v>12569225200</v>
      </c>
      <c r="Y22" s="229">
        <v>12601973422</v>
      </c>
      <c r="Z22" s="229">
        <v>31124828873</v>
      </c>
      <c r="AA22" s="229">
        <f>SUMIFS([1]!Data_BS[Value],[1]!Data_BS[Index BS],DTR!$B22,[1]!Data_BS[TenCongTyID],DTR!$B$1,[1]!Data_BS[Thang.Nam],DTR!AA$5)</f>
        <v>0</v>
      </c>
      <c r="AB22" s="229">
        <f>SUMIFS([1]!Data_BS[Value],[1]!Data_BS[Index BS],DTR!$B22,[1]!Data_BS[TenCongTyID],DTR!$B$1,[1]!Data_BS[Thang.Nam],DTR!AB$5)</f>
        <v>0</v>
      </c>
      <c r="AC22" s="229">
        <f>SUMIFS([1]!Data_BS[Value],[1]!Data_BS[Index BS],DTR!$B22,[1]!Data_BS[TenCongTyID],DTR!$B$1,[1]!Data_BS[Thang.Nam],DTR!AC$5)</f>
        <v>0</v>
      </c>
      <c r="AD22" s="229">
        <f>SUMIFS([1]!Data_BS[Value],[1]!Data_BS[Index BS],DTR!$B22,[1]!Data_BS[TenCongTyID],DTR!$B$1,[1]!Data_BS[Thang.Nam],DTR!AD$5)</f>
        <v>0</v>
      </c>
      <c r="AE22" s="229">
        <f>SUMIFS([1]!Data_BS[Value],[1]!Data_BS[Index BS],DTR!$B22,[1]!Data_BS[TenCongTyID],DTR!$B$1,[1]!Data_BS[Thang.Nam],DTR!AE$5)</f>
        <v>0</v>
      </c>
      <c r="AF22" s="229">
        <f>SUMIFS([1]!Data_BS[Value],[1]!Data_BS[Index BS],DTR!$B22,[1]!Data_BS[TenCongTyID],DTR!$B$1,[1]!Data_BS[Thang.Nam],DTR!AF$5)</f>
        <v>0</v>
      </c>
      <c r="AG22" s="229">
        <f>SUMIFS([1]!Data_BS[Value],[1]!Data_BS[Index BS],DTR!$B22,[1]!Data_BS[TenCongTyID],DTR!$B$1,[1]!Data_BS[Thang.Nam],DTR!AG$5)</f>
        <v>0</v>
      </c>
      <c r="AH22" s="229">
        <f>SUMIFS([1]!Data_BS[Value],[1]!Data_BS[Index BS],DTR!$B22,[1]!Data_BS[TenCongTyID],DTR!$B$1,[1]!Data_BS[Thang.Nam],DTR!AH$5)</f>
        <v>0</v>
      </c>
      <c r="AI22" s="229">
        <f>SUMIFS([1]!Data_BS[Value],[1]!Data_BS[Index BS],DTR!$B22,[1]!Data_BS[TenCongTyID],DTR!$B$1,[1]!Data_BS[Thang.Nam],DTR!AI$5)</f>
        <v>0</v>
      </c>
      <c r="AJ22" s="229">
        <f>SUMIFS([1]!Data_BS[Value],[1]!Data_BS[Index BS],DTR!$B22,[1]!Data_BS[TenCongTyID],DTR!$B$1,[1]!Data_BS[Thang.Nam],DTR!AJ$5)</f>
        <v>0</v>
      </c>
      <c r="AK22" s="229">
        <f>SUMIFS([1]!Data_BS[Value],[1]!Data_BS[Index BS],DTR!$B22,[1]!Data_BS[TenCongTyID],DTR!$B$1,[1]!Data_BS[Thang.Nam],DTR!AK$5)</f>
        <v>0</v>
      </c>
      <c r="AL22" s="229">
        <f>SUMIFS([1]!Data_BS[Value],[1]!Data_BS[Index BS],DTR!$B22,[1]!Data_BS[TenCongTyID],DTR!$B$1,[1]!Data_BS[Thang.Nam],DTR!AL$5)</f>
        <v>0</v>
      </c>
    </row>
    <row r="23" spans="1:38" ht="15" hidden="1" customHeight="1" outlineLevel="1">
      <c r="A23" s="67" t="s">
        <v>107</v>
      </c>
      <c r="B23" s="63">
        <v>18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37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Z23" s="229">
        <v>-609095700</v>
      </c>
      <c r="AA23" s="229">
        <f>SUMIFS([1]!Data_BS[Value],[1]!Data_BS[Index BS],DTR!$B23,[1]!Data_BS[TenCongTyID],DTR!$B$1,[1]!Data_BS[Thang.Nam],DTR!AA$5)</f>
        <v>0</v>
      </c>
      <c r="AB23" s="229">
        <f>SUMIFS([1]!Data_BS[Value],[1]!Data_BS[Index BS],DTR!$B23,[1]!Data_BS[TenCongTyID],DTR!$B$1,[1]!Data_BS[Thang.Nam],DTR!AB$5)</f>
        <v>0</v>
      </c>
      <c r="AC23" s="229">
        <f>SUMIFS([1]!Data_BS[Value],[1]!Data_BS[Index BS],DTR!$B23,[1]!Data_BS[TenCongTyID],DTR!$B$1,[1]!Data_BS[Thang.Nam],DTR!AC$5)</f>
        <v>0</v>
      </c>
      <c r="AD23" s="229">
        <f>SUMIFS([1]!Data_BS[Value],[1]!Data_BS[Index BS],DTR!$B23,[1]!Data_BS[TenCongTyID],DTR!$B$1,[1]!Data_BS[Thang.Nam],DTR!AD$5)</f>
        <v>0</v>
      </c>
      <c r="AE23" s="229">
        <f>SUMIFS([1]!Data_BS[Value],[1]!Data_BS[Index BS],DTR!$B23,[1]!Data_BS[TenCongTyID],DTR!$B$1,[1]!Data_BS[Thang.Nam],DTR!AE$5)</f>
        <v>0</v>
      </c>
      <c r="AF23" s="229">
        <f>SUMIFS([1]!Data_BS[Value],[1]!Data_BS[Index BS],DTR!$B23,[1]!Data_BS[TenCongTyID],DTR!$B$1,[1]!Data_BS[Thang.Nam],DTR!AF$5)</f>
        <v>0</v>
      </c>
      <c r="AG23" s="229">
        <f>SUMIFS([1]!Data_BS[Value],[1]!Data_BS[Index BS],DTR!$B23,[1]!Data_BS[TenCongTyID],DTR!$B$1,[1]!Data_BS[Thang.Nam],DTR!AG$5)</f>
        <v>0</v>
      </c>
      <c r="AH23" s="229">
        <f>SUMIFS([1]!Data_BS[Value],[1]!Data_BS[Index BS],DTR!$B23,[1]!Data_BS[TenCongTyID],DTR!$B$1,[1]!Data_BS[Thang.Nam],DTR!AH$5)</f>
        <v>0</v>
      </c>
      <c r="AI23" s="229">
        <f>SUMIFS([1]!Data_BS[Value],[1]!Data_BS[Index BS],DTR!$B23,[1]!Data_BS[TenCongTyID],DTR!$B$1,[1]!Data_BS[Thang.Nam],DTR!AI$5)</f>
        <v>0</v>
      </c>
      <c r="AJ23" s="229">
        <f>SUMIFS([1]!Data_BS[Value],[1]!Data_BS[Index BS],DTR!$B23,[1]!Data_BS[TenCongTyID],DTR!$B$1,[1]!Data_BS[Thang.Nam],DTR!AJ$5)</f>
        <v>0</v>
      </c>
      <c r="AK23" s="229">
        <f>SUMIFS([1]!Data_BS[Value],[1]!Data_BS[Index BS],DTR!$B23,[1]!Data_BS[TenCongTyID],DTR!$B$1,[1]!Data_BS[Thang.Nam],DTR!AK$5)</f>
        <v>0</v>
      </c>
      <c r="AL23" s="229">
        <f>SUMIFS([1]!Data_BS[Value],[1]!Data_BS[Index BS],DTR!$B23,[1]!Data_BS[TenCongTyID],DTR!$B$1,[1]!Data_BS[Thang.Nam],DTR!AL$5)</f>
        <v>0</v>
      </c>
    </row>
    <row r="24" spans="1:38" ht="15" hidden="1" customHeight="1" outlineLevel="1">
      <c r="A24" s="68" t="s">
        <v>108</v>
      </c>
      <c r="B24" s="63">
        <v>19</v>
      </c>
      <c r="C24" s="229">
        <v>-524609275</v>
      </c>
      <c r="D24" s="229">
        <v>-524609275</v>
      </c>
      <c r="E24" s="229">
        <v>7901392144</v>
      </c>
      <c r="F24" s="229">
        <v>7901392144</v>
      </c>
      <c r="G24" s="229">
        <v>-524609275</v>
      </c>
      <c r="H24" s="229">
        <v>-524609275</v>
      </c>
      <c r="I24" s="229">
        <v>-524609275</v>
      </c>
      <c r="J24" s="229">
        <v>-524609275</v>
      </c>
      <c r="K24" s="229">
        <v>-524609275</v>
      </c>
      <c r="L24" s="229">
        <v>-524609275</v>
      </c>
      <c r="M24" s="229">
        <v>-524609275</v>
      </c>
      <c r="N24" s="229">
        <v>0</v>
      </c>
      <c r="O24" s="236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Z24" s="229">
        <v>177104044</v>
      </c>
      <c r="AA24" s="229">
        <f>SUMIFS([1]!Data_BS[Value],[1]!Data_BS[Index BS],DTR!$B24,[1]!Data_BS[TenCongTyID],DTR!$B$1,[1]!Data_BS[Thang.Nam],DTR!AA$5)</f>
        <v>0</v>
      </c>
      <c r="AB24" s="229">
        <f>SUMIFS([1]!Data_BS[Value],[1]!Data_BS[Index BS],DTR!$B24,[1]!Data_BS[TenCongTyID],DTR!$B$1,[1]!Data_BS[Thang.Nam],DTR!AB$5)</f>
        <v>0</v>
      </c>
      <c r="AC24" s="229">
        <f>SUMIFS([1]!Data_BS[Value],[1]!Data_BS[Index BS],DTR!$B24,[1]!Data_BS[TenCongTyID],DTR!$B$1,[1]!Data_BS[Thang.Nam],DTR!AC$5)</f>
        <v>0</v>
      </c>
      <c r="AD24" s="229">
        <f>SUMIFS([1]!Data_BS[Value],[1]!Data_BS[Index BS],DTR!$B24,[1]!Data_BS[TenCongTyID],DTR!$B$1,[1]!Data_BS[Thang.Nam],DTR!AD$5)</f>
        <v>0</v>
      </c>
      <c r="AE24" s="229">
        <f>SUMIFS([1]!Data_BS[Value],[1]!Data_BS[Index BS],DTR!$B24,[1]!Data_BS[TenCongTyID],DTR!$B$1,[1]!Data_BS[Thang.Nam],DTR!AE$5)</f>
        <v>0</v>
      </c>
      <c r="AF24" s="229">
        <f>SUMIFS([1]!Data_BS[Value],[1]!Data_BS[Index BS],DTR!$B24,[1]!Data_BS[TenCongTyID],DTR!$B$1,[1]!Data_BS[Thang.Nam],DTR!AF$5)</f>
        <v>0</v>
      </c>
      <c r="AG24" s="229">
        <f>SUMIFS([1]!Data_BS[Value],[1]!Data_BS[Index BS],DTR!$B24,[1]!Data_BS[TenCongTyID],DTR!$B$1,[1]!Data_BS[Thang.Nam],DTR!AG$5)</f>
        <v>0</v>
      </c>
      <c r="AH24" s="229">
        <f>SUMIFS([1]!Data_BS[Value],[1]!Data_BS[Index BS],DTR!$B24,[1]!Data_BS[TenCongTyID],DTR!$B$1,[1]!Data_BS[Thang.Nam],DTR!AH$5)</f>
        <v>0</v>
      </c>
      <c r="AI24" s="229">
        <f>SUMIFS([1]!Data_BS[Value],[1]!Data_BS[Index BS],DTR!$B24,[1]!Data_BS[TenCongTyID],DTR!$B$1,[1]!Data_BS[Thang.Nam],DTR!AI$5)</f>
        <v>0</v>
      </c>
      <c r="AJ24" s="229">
        <f>SUMIFS([1]!Data_BS[Value],[1]!Data_BS[Index BS],DTR!$B24,[1]!Data_BS[TenCongTyID],DTR!$B$1,[1]!Data_BS[Thang.Nam],DTR!AJ$5)</f>
        <v>0</v>
      </c>
      <c r="AK24" s="229">
        <f>SUMIFS([1]!Data_BS[Value],[1]!Data_BS[Index BS],DTR!$B24,[1]!Data_BS[TenCongTyID],DTR!$B$1,[1]!Data_BS[Thang.Nam],DTR!AK$5)</f>
        <v>0</v>
      </c>
      <c r="AL24" s="229">
        <f>SUMIFS([1]!Data_BS[Value],[1]!Data_BS[Index BS],DTR!$B24,[1]!Data_BS[TenCongTyID],DTR!$B$1,[1]!Data_BS[Thang.Nam],DTR!AL$5)</f>
        <v>0</v>
      </c>
    </row>
    <row r="25" spans="1:38" ht="15" hidden="1" customHeight="1" outlineLevel="1">
      <c r="A25" s="59" t="s">
        <v>109</v>
      </c>
      <c r="B25" s="65">
        <v>20</v>
      </c>
      <c r="C25" s="233">
        <v>406821244018</v>
      </c>
      <c r="D25" s="233">
        <v>413788449441</v>
      </c>
      <c r="E25" s="233">
        <v>455747162045</v>
      </c>
      <c r="F25" s="233">
        <v>496057122616</v>
      </c>
      <c r="G25" s="233">
        <v>541180364701</v>
      </c>
      <c r="H25" s="233">
        <v>600190018005</v>
      </c>
      <c r="I25" s="233">
        <v>619776297407</v>
      </c>
      <c r="J25" s="233">
        <v>559053982584</v>
      </c>
      <c r="K25" s="233">
        <v>549140904407</v>
      </c>
      <c r="L25" s="233">
        <v>546574238545</v>
      </c>
      <c r="M25" s="233">
        <v>588008826045</v>
      </c>
      <c r="N25" s="234">
        <v>605821152798</v>
      </c>
      <c r="O25" s="238">
        <v>566809475589</v>
      </c>
      <c r="P25" s="234">
        <v>483821147048</v>
      </c>
      <c r="Q25" s="234">
        <v>468355569440</v>
      </c>
      <c r="R25" s="234">
        <v>522665513478</v>
      </c>
      <c r="S25" s="234">
        <v>526499028418</v>
      </c>
      <c r="T25" s="234">
        <v>543591846704</v>
      </c>
      <c r="U25" s="234">
        <v>548599437580</v>
      </c>
      <c r="V25" s="234">
        <v>548273459394</v>
      </c>
      <c r="W25" s="234">
        <v>564202481203</v>
      </c>
      <c r="X25" s="234">
        <v>551227150950</v>
      </c>
      <c r="Y25" s="234">
        <v>550570669746</v>
      </c>
      <c r="Z25" s="234">
        <v>565466681637</v>
      </c>
      <c r="AA25" s="234">
        <f>SUMIFS([1]!Data_BS[Value],[1]!Data_BS[Index BS],DTR!$B25,[1]!Data_BS[TenCongTyID],DTR!$B$1,[1]!Data_BS[Thang.Nam],DTR!AA$5)</f>
        <v>0</v>
      </c>
      <c r="AB25" s="234">
        <f>SUMIFS([1]!Data_BS[Value],[1]!Data_BS[Index BS],DTR!$B25,[1]!Data_BS[TenCongTyID],DTR!$B$1,[1]!Data_BS[Thang.Nam],DTR!AB$5)</f>
        <v>0</v>
      </c>
      <c r="AC25" s="234">
        <f>SUMIFS([1]!Data_BS[Value],[1]!Data_BS[Index BS],DTR!$B25,[1]!Data_BS[TenCongTyID],DTR!$B$1,[1]!Data_BS[Thang.Nam],DTR!AC$5)</f>
        <v>0</v>
      </c>
      <c r="AD25" s="234">
        <f>SUMIFS([1]!Data_BS[Value],[1]!Data_BS[Index BS],DTR!$B25,[1]!Data_BS[TenCongTyID],DTR!$B$1,[1]!Data_BS[Thang.Nam],DTR!AD$5)</f>
        <v>0</v>
      </c>
      <c r="AE25" s="234">
        <f>SUMIFS([1]!Data_BS[Value],[1]!Data_BS[Index BS],DTR!$B25,[1]!Data_BS[TenCongTyID],DTR!$B$1,[1]!Data_BS[Thang.Nam],DTR!AE$5)</f>
        <v>0</v>
      </c>
      <c r="AF25" s="234">
        <f>SUMIFS([1]!Data_BS[Value],[1]!Data_BS[Index BS],DTR!$B25,[1]!Data_BS[TenCongTyID],DTR!$B$1,[1]!Data_BS[Thang.Nam],DTR!AF$5)</f>
        <v>0</v>
      </c>
      <c r="AG25" s="234">
        <f>SUMIFS([1]!Data_BS[Value],[1]!Data_BS[Index BS],DTR!$B25,[1]!Data_BS[TenCongTyID],DTR!$B$1,[1]!Data_BS[Thang.Nam],DTR!AG$5)</f>
        <v>0</v>
      </c>
      <c r="AH25" s="234">
        <f>SUMIFS([1]!Data_BS[Value],[1]!Data_BS[Index BS],DTR!$B25,[1]!Data_BS[TenCongTyID],DTR!$B$1,[1]!Data_BS[Thang.Nam],DTR!AH$5)</f>
        <v>0</v>
      </c>
      <c r="AI25" s="234">
        <f>SUMIFS([1]!Data_BS[Value],[1]!Data_BS[Index BS],DTR!$B25,[1]!Data_BS[TenCongTyID],DTR!$B$1,[1]!Data_BS[Thang.Nam],DTR!AI$5)</f>
        <v>0</v>
      </c>
      <c r="AJ25" s="234">
        <f>SUMIFS([1]!Data_BS[Value],[1]!Data_BS[Index BS],DTR!$B25,[1]!Data_BS[TenCongTyID],DTR!$B$1,[1]!Data_BS[Thang.Nam],DTR!AJ$5)</f>
        <v>0</v>
      </c>
      <c r="AK25" s="234">
        <f>SUMIFS([1]!Data_BS[Value],[1]!Data_BS[Index BS],DTR!$B25,[1]!Data_BS[TenCongTyID],DTR!$B$1,[1]!Data_BS[Thang.Nam],DTR!AK$5)</f>
        <v>0</v>
      </c>
      <c r="AL25" s="234">
        <f>SUMIFS([1]!Data_BS[Value],[1]!Data_BS[Index BS],DTR!$B25,[1]!Data_BS[TenCongTyID],DTR!$B$1,[1]!Data_BS[Thang.Nam],DTR!AL$5)</f>
        <v>0</v>
      </c>
    </row>
    <row r="26" spans="1:38" ht="15" hidden="1" customHeight="1" outlineLevel="1">
      <c r="A26" s="62" t="s">
        <v>110</v>
      </c>
      <c r="B26" s="63">
        <v>21</v>
      </c>
      <c r="C26" s="229">
        <v>406821244018</v>
      </c>
      <c r="D26" s="229">
        <v>413788449441</v>
      </c>
      <c r="E26" s="229">
        <v>455747162045</v>
      </c>
      <c r="F26" s="229">
        <v>496057122616</v>
      </c>
      <c r="G26" s="229">
        <v>541180364701</v>
      </c>
      <c r="H26" s="229">
        <v>600190018005</v>
      </c>
      <c r="I26" s="229">
        <v>619776297407</v>
      </c>
      <c r="J26" s="229">
        <v>559053982584</v>
      </c>
      <c r="K26" s="229">
        <v>549140904407</v>
      </c>
      <c r="L26" s="229">
        <v>546574238545</v>
      </c>
      <c r="M26" s="229">
        <v>588008826045</v>
      </c>
      <c r="N26" s="229">
        <v>605821152798</v>
      </c>
      <c r="O26" s="230">
        <v>566809475589</v>
      </c>
      <c r="P26" s="229">
        <v>483821147048</v>
      </c>
      <c r="Q26" s="229">
        <v>468355569440</v>
      </c>
      <c r="R26" s="229">
        <v>522665513478</v>
      </c>
      <c r="S26" s="229">
        <v>526499028418</v>
      </c>
      <c r="T26" s="229">
        <v>543591846704</v>
      </c>
      <c r="U26" s="229">
        <v>548599437580</v>
      </c>
      <c r="V26" s="229">
        <v>548273459394</v>
      </c>
      <c r="W26" s="229">
        <v>564202481203</v>
      </c>
      <c r="X26" s="229">
        <v>551227150950</v>
      </c>
      <c r="Y26" s="229">
        <v>550570669746</v>
      </c>
      <c r="Z26" s="229">
        <v>565466681637</v>
      </c>
      <c r="AA26" s="229">
        <f>SUMIFS([1]!Data_BS[Value],[1]!Data_BS[Index BS],DTR!$B26,[1]!Data_BS[TenCongTyID],DTR!$B$1,[1]!Data_BS[Thang.Nam],DTR!AA$5)</f>
        <v>0</v>
      </c>
      <c r="AB26" s="229">
        <f>SUMIFS([1]!Data_BS[Value],[1]!Data_BS[Index BS],DTR!$B26,[1]!Data_BS[TenCongTyID],DTR!$B$1,[1]!Data_BS[Thang.Nam],DTR!AB$5)</f>
        <v>0</v>
      </c>
      <c r="AC26" s="229">
        <f>SUMIFS([1]!Data_BS[Value],[1]!Data_BS[Index BS],DTR!$B26,[1]!Data_BS[TenCongTyID],DTR!$B$1,[1]!Data_BS[Thang.Nam],DTR!AC$5)</f>
        <v>0</v>
      </c>
      <c r="AD26" s="229">
        <f>SUMIFS([1]!Data_BS[Value],[1]!Data_BS[Index BS],DTR!$B26,[1]!Data_BS[TenCongTyID],DTR!$B$1,[1]!Data_BS[Thang.Nam],DTR!AD$5)</f>
        <v>0</v>
      </c>
      <c r="AE26" s="229">
        <f>SUMIFS([1]!Data_BS[Value],[1]!Data_BS[Index BS],DTR!$B26,[1]!Data_BS[TenCongTyID],DTR!$B$1,[1]!Data_BS[Thang.Nam],DTR!AE$5)</f>
        <v>0</v>
      </c>
      <c r="AF26" s="229">
        <f>SUMIFS([1]!Data_BS[Value],[1]!Data_BS[Index BS],DTR!$B26,[1]!Data_BS[TenCongTyID],DTR!$B$1,[1]!Data_BS[Thang.Nam],DTR!AF$5)</f>
        <v>0</v>
      </c>
      <c r="AG26" s="229">
        <f>SUMIFS([1]!Data_BS[Value],[1]!Data_BS[Index BS],DTR!$B26,[1]!Data_BS[TenCongTyID],DTR!$B$1,[1]!Data_BS[Thang.Nam],DTR!AG$5)</f>
        <v>0</v>
      </c>
      <c r="AH26" s="229">
        <f>SUMIFS([1]!Data_BS[Value],[1]!Data_BS[Index BS],DTR!$B26,[1]!Data_BS[TenCongTyID],DTR!$B$1,[1]!Data_BS[Thang.Nam],DTR!AH$5)</f>
        <v>0</v>
      </c>
      <c r="AI26" s="229">
        <f>SUMIFS([1]!Data_BS[Value],[1]!Data_BS[Index BS],DTR!$B26,[1]!Data_BS[TenCongTyID],DTR!$B$1,[1]!Data_BS[Thang.Nam],DTR!AI$5)</f>
        <v>0</v>
      </c>
      <c r="AJ26" s="229">
        <f>SUMIFS([1]!Data_BS[Value],[1]!Data_BS[Index BS],DTR!$B26,[1]!Data_BS[TenCongTyID],DTR!$B$1,[1]!Data_BS[Thang.Nam],DTR!AJ$5)</f>
        <v>0</v>
      </c>
      <c r="AK26" s="229">
        <f>SUMIFS([1]!Data_BS[Value],[1]!Data_BS[Index BS],DTR!$B26,[1]!Data_BS[TenCongTyID],DTR!$B$1,[1]!Data_BS[Thang.Nam],DTR!AK$5)</f>
        <v>0</v>
      </c>
      <c r="AL26" s="229">
        <f>SUMIFS([1]!Data_BS[Value],[1]!Data_BS[Index BS],DTR!$B26,[1]!Data_BS[TenCongTyID],DTR!$B$1,[1]!Data_BS[Thang.Nam],DTR!AL$5)</f>
        <v>0</v>
      </c>
    </row>
    <row r="27" spans="1:38" ht="15" hidden="1" customHeight="1" outlineLevel="1">
      <c r="A27" s="62" t="s">
        <v>111</v>
      </c>
      <c r="B27" s="63">
        <v>22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30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Z27" s="229">
        <v>0</v>
      </c>
      <c r="AA27" s="229">
        <f>SUMIFS([1]!Data_BS[Value],[1]!Data_BS[Index BS],DTR!$B27,[1]!Data_BS[TenCongTyID],DTR!$B$1,[1]!Data_BS[Thang.Nam],DTR!AA$5)</f>
        <v>0</v>
      </c>
      <c r="AB27" s="229">
        <f>SUMIFS([1]!Data_BS[Value],[1]!Data_BS[Index BS],DTR!$B27,[1]!Data_BS[TenCongTyID],DTR!$B$1,[1]!Data_BS[Thang.Nam],DTR!AB$5)</f>
        <v>0</v>
      </c>
      <c r="AC27" s="229">
        <f>SUMIFS([1]!Data_BS[Value],[1]!Data_BS[Index BS],DTR!$B27,[1]!Data_BS[TenCongTyID],DTR!$B$1,[1]!Data_BS[Thang.Nam],DTR!AC$5)</f>
        <v>0</v>
      </c>
      <c r="AD27" s="229">
        <f>SUMIFS([1]!Data_BS[Value],[1]!Data_BS[Index BS],DTR!$B27,[1]!Data_BS[TenCongTyID],DTR!$B$1,[1]!Data_BS[Thang.Nam],DTR!AD$5)</f>
        <v>0</v>
      </c>
      <c r="AE27" s="229">
        <f>SUMIFS([1]!Data_BS[Value],[1]!Data_BS[Index BS],DTR!$B27,[1]!Data_BS[TenCongTyID],DTR!$B$1,[1]!Data_BS[Thang.Nam],DTR!AE$5)</f>
        <v>0</v>
      </c>
      <c r="AF27" s="229">
        <f>SUMIFS([1]!Data_BS[Value],[1]!Data_BS[Index BS],DTR!$B27,[1]!Data_BS[TenCongTyID],DTR!$B$1,[1]!Data_BS[Thang.Nam],DTR!AF$5)</f>
        <v>0</v>
      </c>
      <c r="AG27" s="229">
        <f>SUMIFS([1]!Data_BS[Value],[1]!Data_BS[Index BS],DTR!$B27,[1]!Data_BS[TenCongTyID],DTR!$B$1,[1]!Data_BS[Thang.Nam],DTR!AG$5)</f>
        <v>0</v>
      </c>
      <c r="AH27" s="229">
        <f>SUMIFS([1]!Data_BS[Value],[1]!Data_BS[Index BS],DTR!$B27,[1]!Data_BS[TenCongTyID],DTR!$B$1,[1]!Data_BS[Thang.Nam],DTR!AH$5)</f>
        <v>0</v>
      </c>
      <c r="AI27" s="229">
        <f>SUMIFS([1]!Data_BS[Value],[1]!Data_BS[Index BS],DTR!$B27,[1]!Data_BS[TenCongTyID],DTR!$B$1,[1]!Data_BS[Thang.Nam],DTR!AI$5)</f>
        <v>0</v>
      </c>
      <c r="AJ27" s="229">
        <f>SUMIFS([1]!Data_BS[Value],[1]!Data_BS[Index BS],DTR!$B27,[1]!Data_BS[TenCongTyID],DTR!$B$1,[1]!Data_BS[Thang.Nam],DTR!AJ$5)</f>
        <v>0</v>
      </c>
      <c r="AK27" s="229">
        <f>SUMIFS([1]!Data_BS[Value],[1]!Data_BS[Index BS],DTR!$B27,[1]!Data_BS[TenCongTyID],DTR!$B$1,[1]!Data_BS[Thang.Nam],DTR!AK$5)</f>
        <v>0</v>
      </c>
      <c r="AL27" s="229">
        <f>SUMIFS([1]!Data_BS[Value],[1]!Data_BS[Index BS],DTR!$B27,[1]!Data_BS[TenCongTyID],DTR!$B$1,[1]!Data_BS[Thang.Nam],DTR!AL$5)</f>
        <v>0</v>
      </c>
    </row>
    <row r="28" spans="1:38" ht="15" hidden="1" customHeight="1" outlineLevel="1">
      <c r="A28" s="59" t="s">
        <v>112</v>
      </c>
      <c r="B28" s="65">
        <v>23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3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>
        <v>0</v>
      </c>
      <c r="AA28" s="229">
        <f>SUMIFS([1]!Data_BS[Value],[1]!Data_BS[Index BS],DTR!$B28,[1]!Data_BS[TenCongTyID],DTR!$B$1,[1]!Data_BS[Thang.Nam],DTR!AA$5)</f>
        <v>0</v>
      </c>
      <c r="AB28" s="229">
        <f>SUMIFS([1]!Data_BS[Value],[1]!Data_BS[Index BS],DTR!$B28,[1]!Data_BS[TenCongTyID],DTR!$B$1,[1]!Data_BS[Thang.Nam],DTR!AB$5)</f>
        <v>0</v>
      </c>
      <c r="AC28" s="229">
        <f>SUMIFS([1]!Data_BS[Value],[1]!Data_BS[Index BS],DTR!$B28,[1]!Data_BS[TenCongTyID],DTR!$B$1,[1]!Data_BS[Thang.Nam],DTR!AC$5)</f>
        <v>0</v>
      </c>
      <c r="AD28" s="229">
        <f>SUMIFS([1]!Data_BS[Value],[1]!Data_BS[Index BS],DTR!$B28,[1]!Data_BS[TenCongTyID],DTR!$B$1,[1]!Data_BS[Thang.Nam],DTR!AD$5)</f>
        <v>0</v>
      </c>
      <c r="AE28" s="229">
        <f>SUMIFS([1]!Data_BS[Value],[1]!Data_BS[Index BS],DTR!$B28,[1]!Data_BS[TenCongTyID],DTR!$B$1,[1]!Data_BS[Thang.Nam],DTR!AE$5)</f>
        <v>0</v>
      </c>
      <c r="AF28" s="229">
        <f>SUMIFS([1]!Data_BS[Value],[1]!Data_BS[Index BS],DTR!$B28,[1]!Data_BS[TenCongTyID],DTR!$B$1,[1]!Data_BS[Thang.Nam],DTR!AF$5)</f>
        <v>0</v>
      </c>
      <c r="AG28" s="229">
        <f>SUMIFS([1]!Data_BS[Value],[1]!Data_BS[Index BS],DTR!$B28,[1]!Data_BS[TenCongTyID],DTR!$B$1,[1]!Data_BS[Thang.Nam],DTR!AG$5)</f>
        <v>0</v>
      </c>
      <c r="AH28" s="229">
        <f>SUMIFS([1]!Data_BS[Value],[1]!Data_BS[Index BS],DTR!$B28,[1]!Data_BS[TenCongTyID],DTR!$B$1,[1]!Data_BS[Thang.Nam],DTR!AH$5)</f>
        <v>0</v>
      </c>
      <c r="AI28" s="229">
        <f>SUMIFS([1]!Data_BS[Value],[1]!Data_BS[Index BS],DTR!$B28,[1]!Data_BS[TenCongTyID],DTR!$B$1,[1]!Data_BS[Thang.Nam],DTR!AI$5)</f>
        <v>0</v>
      </c>
      <c r="AJ28" s="229">
        <f>SUMIFS([1]!Data_BS[Value],[1]!Data_BS[Index BS],DTR!$B28,[1]!Data_BS[TenCongTyID],DTR!$B$1,[1]!Data_BS[Thang.Nam],DTR!AJ$5)</f>
        <v>0</v>
      </c>
      <c r="AK28" s="229">
        <f>SUMIFS([1]!Data_BS[Value],[1]!Data_BS[Index BS],DTR!$B28,[1]!Data_BS[TenCongTyID],DTR!$B$1,[1]!Data_BS[Thang.Nam],DTR!AK$5)</f>
        <v>0</v>
      </c>
      <c r="AL28" s="229">
        <f>SUMIFS([1]!Data_BS[Value],[1]!Data_BS[Index BS],DTR!$B28,[1]!Data_BS[TenCongTyID],DTR!$B$1,[1]!Data_BS[Thang.Nam],DTR!AL$5)</f>
        <v>0</v>
      </c>
    </row>
    <row r="29" spans="1:38" ht="15" hidden="1" customHeight="1" outlineLevel="1">
      <c r="A29" s="62" t="s">
        <v>113</v>
      </c>
      <c r="B29" s="63">
        <v>24</v>
      </c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3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>
        <v>0</v>
      </c>
      <c r="AA29" s="229">
        <f>SUMIFS([1]!Data_BS[Value],[1]!Data_BS[Index BS],DTR!$B29,[1]!Data_BS[TenCongTyID],DTR!$B$1,[1]!Data_BS[Thang.Nam],DTR!AA$5)</f>
        <v>0</v>
      </c>
      <c r="AB29" s="229">
        <f>SUMIFS([1]!Data_BS[Value],[1]!Data_BS[Index BS],DTR!$B29,[1]!Data_BS[TenCongTyID],DTR!$B$1,[1]!Data_BS[Thang.Nam],DTR!AB$5)</f>
        <v>0</v>
      </c>
      <c r="AC29" s="229">
        <f>SUMIFS([1]!Data_BS[Value],[1]!Data_BS[Index BS],DTR!$B29,[1]!Data_BS[TenCongTyID],DTR!$B$1,[1]!Data_BS[Thang.Nam],DTR!AC$5)</f>
        <v>0</v>
      </c>
      <c r="AD29" s="229">
        <f>SUMIFS([1]!Data_BS[Value],[1]!Data_BS[Index BS],DTR!$B29,[1]!Data_BS[TenCongTyID],DTR!$B$1,[1]!Data_BS[Thang.Nam],DTR!AD$5)</f>
        <v>0</v>
      </c>
      <c r="AE29" s="229">
        <f>SUMIFS([1]!Data_BS[Value],[1]!Data_BS[Index BS],DTR!$B29,[1]!Data_BS[TenCongTyID],DTR!$B$1,[1]!Data_BS[Thang.Nam],DTR!AE$5)</f>
        <v>0</v>
      </c>
      <c r="AF29" s="229">
        <f>SUMIFS([1]!Data_BS[Value],[1]!Data_BS[Index BS],DTR!$B29,[1]!Data_BS[TenCongTyID],DTR!$B$1,[1]!Data_BS[Thang.Nam],DTR!AF$5)</f>
        <v>0</v>
      </c>
      <c r="AG29" s="229">
        <f>SUMIFS([1]!Data_BS[Value],[1]!Data_BS[Index BS],DTR!$B29,[1]!Data_BS[TenCongTyID],DTR!$B$1,[1]!Data_BS[Thang.Nam],DTR!AG$5)</f>
        <v>0</v>
      </c>
      <c r="AH29" s="229">
        <f>SUMIFS([1]!Data_BS[Value],[1]!Data_BS[Index BS],DTR!$B29,[1]!Data_BS[TenCongTyID],DTR!$B$1,[1]!Data_BS[Thang.Nam],DTR!AH$5)</f>
        <v>0</v>
      </c>
      <c r="AI29" s="229">
        <f>SUMIFS([1]!Data_BS[Value],[1]!Data_BS[Index BS],DTR!$B29,[1]!Data_BS[TenCongTyID],DTR!$B$1,[1]!Data_BS[Thang.Nam],DTR!AI$5)</f>
        <v>0</v>
      </c>
      <c r="AJ29" s="229">
        <f>SUMIFS([1]!Data_BS[Value],[1]!Data_BS[Index BS],DTR!$B29,[1]!Data_BS[TenCongTyID],DTR!$B$1,[1]!Data_BS[Thang.Nam],DTR!AJ$5)</f>
        <v>0</v>
      </c>
      <c r="AK29" s="229">
        <f>SUMIFS([1]!Data_BS[Value],[1]!Data_BS[Index BS],DTR!$B29,[1]!Data_BS[TenCongTyID],DTR!$B$1,[1]!Data_BS[Thang.Nam],DTR!AK$5)</f>
        <v>0</v>
      </c>
      <c r="AL29" s="229">
        <f>SUMIFS([1]!Data_BS[Value],[1]!Data_BS[Index BS],DTR!$B29,[1]!Data_BS[TenCongTyID],DTR!$B$1,[1]!Data_BS[Thang.Nam],DTR!AL$5)</f>
        <v>0</v>
      </c>
    </row>
    <row r="30" spans="1:38" ht="15" hidden="1" customHeight="1" outlineLevel="1">
      <c r="A30" s="62" t="s">
        <v>114</v>
      </c>
      <c r="B30" s="63">
        <v>25</v>
      </c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3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>
        <v>0</v>
      </c>
      <c r="AA30" s="229">
        <f>SUMIFS([1]!Data_BS[Value],[1]!Data_BS[Index BS],DTR!$B30,[1]!Data_BS[TenCongTyID],DTR!$B$1,[1]!Data_BS[Thang.Nam],DTR!AA$5)</f>
        <v>0</v>
      </c>
      <c r="AB30" s="229">
        <f>SUMIFS([1]!Data_BS[Value],[1]!Data_BS[Index BS],DTR!$B30,[1]!Data_BS[TenCongTyID],DTR!$B$1,[1]!Data_BS[Thang.Nam],DTR!AB$5)</f>
        <v>0</v>
      </c>
      <c r="AC30" s="229">
        <f>SUMIFS([1]!Data_BS[Value],[1]!Data_BS[Index BS],DTR!$B30,[1]!Data_BS[TenCongTyID],DTR!$B$1,[1]!Data_BS[Thang.Nam],DTR!AC$5)</f>
        <v>0</v>
      </c>
      <c r="AD30" s="229">
        <f>SUMIFS([1]!Data_BS[Value],[1]!Data_BS[Index BS],DTR!$B30,[1]!Data_BS[TenCongTyID],DTR!$B$1,[1]!Data_BS[Thang.Nam],DTR!AD$5)</f>
        <v>0</v>
      </c>
      <c r="AE30" s="229">
        <f>SUMIFS([1]!Data_BS[Value],[1]!Data_BS[Index BS],DTR!$B30,[1]!Data_BS[TenCongTyID],DTR!$B$1,[1]!Data_BS[Thang.Nam],DTR!AE$5)</f>
        <v>0</v>
      </c>
      <c r="AF30" s="229">
        <f>SUMIFS([1]!Data_BS[Value],[1]!Data_BS[Index BS],DTR!$B30,[1]!Data_BS[TenCongTyID],DTR!$B$1,[1]!Data_BS[Thang.Nam],DTR!AF$5)</f>
        <v>0</v>
      </c>
      <c r="AG30" s="229">
        <f>SUMIFS([1]!Data_BS[Value],[1]!Data_BS[Index BS],DTR!$B30,[1]!Data_BS[TenCongTyID],DTR!$B$1,[1]!Data_BS[Thang.Nam],DTR!AG$5)</f>
        <v>0</v>
      </c>
      <c r="AH30" s="229">
        <f>SUMIFS([1]!Data_BS[Value],[1]!Data_BS[Index BS],DTR!$B30,[1]!Data_BS[TenCongTyID],DTR!$B$1,[1]!Data_BS[Thang.Nam],DTR!AH$5)</f>
        <v>0</v>
      </c>
      <c r="AI30" s="229">
        <f>SUMIFS([1]!Data_BS[Value],[1]!Data_BS[Index BS],DTR!$B30,[1]!Data_BS[TenCongTyID],DTR!$B$1,[1]!Data_BS[Thang.Nam],DTR!AI$5)</f>
        <v>0</v>
      </c>
      <c r="AJ30" s="229">
        <f>SUMIFS([1]!Data_BS[Value],[1]!Data_BS[Index BS],DTR!$B30,[1]!Data_BS[TenCongTyID],DTR!$B$1,[1]!Data_BS[Thang.Nam],DTR!AJ$5)</f>
        <v>0</v>
      </c>
      <c r="AK30" s="229">
        <f>SUMIFS([1]!Data_BS[Value],[1]!Data_BS[Index BS],DTR!$B30,[1]!Data_BS[TenCongTyID],DTR!$B$1,[1]!Data_BS[Thang.Nam],DTR!AK$5)</f>
        <v>0</v>
      </c>
      <c r="AL30" s="229">
        <f>SUMIFS([1]!Data_BS[Value],[1]!Data_BS[Index BS],DTR!$B30,[1]!Data_BS[TenCongTyID],DTR!$B$1,[1]!Data_BS[Thang.Nam],DTR!AL$5)</f>
        <v>0</v>
      </c>
    </row>
    <row r="31" spans="1:38" ht="15" hidden="1" customHeight="1" outlineLevel="1">
      <c r="A31" s="62" t="s">
        <v>115</v>
      </c>
      <c r="B31" s="63">
        <v>26</v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3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>
        <v>0</v>
      </c>
      <c r="AA31" s="229">
        <f>SUMIFS([1]!Data_BS[Value],[1]!Data_BS[Index BS],DTR!$B31,[1]!Data_BS[TenCongTyID],DTR!$B$1,[1]!Data_BS[Thang.Nam],DTR!AA$5)</f>
        <v>0</v>
      </c>
      <c r="AB31" s="229">
        <f>SUMIFS([1]!Data_BS[Value],[1]!Data_BS[Index BS],DTR!$B31,[1]!Data_BS[TenCongTyID],DTR!$B$1,[1]!Data_BS[Thang.Nam],DTR!AB$5)</f>
        <v>0</v>
      </c>
      <c r="AC31" s="229">
        <f>SUMIFS([1]!Data_BS[Value],[1]!Data_BS[Index BS],DTR!$B31,[1]!Data_BS[TenCongTyID],DTR!$B$1,[1]!Data_BS[Thang.Nam],DTR!AC$5)</f>
        <v>0</v>
      </c>
      <c r="AD31" s="229">
        <f>SUMIFS([1]!Data_BS[Value],[1]!Data_BS[Index BS],DTR!$B31,[1]!Data_BS[TenCongTyID],DTR!$B$1,[1]!Data_BS[Thang.Nam],DTR!AD$5)</f>
        <v>0</v>
      </c>
      <c r="AE31" s="229">
        <f>SUMIFS([1]!Data_BS[Value],[1]!Data_BS[Index BS],DTR!$B31,[1]!Data_BS[TenCongTyID],DTR!$B$1,[1]!Data_BS[Thang.Nam],DTR!AE$5)</f>
        <v>0</v>
      </c>
      <c r="AF31" s="229">
        <f>SUMIFS([1]!Data_BS[Value],[1]!Data_BS[Index BS],DTR!$B31,[1]!Data_BS[TenCongTyID],DTR!$B$1,[1]!Data_BS[Thang.Nam],DTR!AF$5)</f>
        <v>0</v>
      </c>
      <c r="AG31" s="229">
        <f>SUMIFS([1]!Data_BS[Value],[1]!Data_BS[Index BS],DTR!$B31,[1]!Data_BS[TenCongTyID],DTR!$B$1,[1]!Data_BS[Thang.Nam],DTR!AG$5)</f>
        <v>0</v>
      </c>
      <c r="AH31" s="229">
        <f>SUMIFS([1]!Data_BS[Value],[1]!Data_BS[Index BS],DTR!$B31,[1]!Data_BS[TenCongTyID],DTR!$B$1,[1]!Data_BS[Thang.Nam],DTR!AH$5)</f>
        <v>0</v>
      </c>
      <c r="AI31" s="229">
        <f>SUMIFS([1]!Data_BS[Value],[1]!Data_BS[Index BS],DTR!$B31,[1]!Data_BS[TenCongTyID],DTR!$B$1,[1]!Data_BS[Thang.Nam],DTR!AI$5)</f>
        <v>0</v>
      </c>
      <c r="AJ31" s="229">
        <f>SUMIFS([1]!Data_BS[Value],[1]!Data_BS[Index BS],DTR!$B31,[1]!Data_BS[TenCongTyID],DTR!$B$1,[1]!Data_BS[Thang.Nam],DTR!AJ$5)</f>
        <v>0</v>
      </c>
      <c r="AK31" s="229">
        <f>SUMIFS([1]!Data_BS[Value],[1]!Data_BS[Index BS],DTR!$B31,[1]!Data_BS[TenCongTyID],DTR!$B$1,[1]!Data_BS[Thang.Nam],DTR!AK$5)</f>
        <v>0</v>
      </c>
      <c r="AL31" s="229">
        <f>SUMIFS([1]!Data_BS[Value],[1]!Data_BS[Index BS],DTR!$B31,[1]!Data_BS[TenCongTyID],DTR!$B$1,[1]!Data_BS[Thang.Nam],DTR!AL$5)</f>
        <v>0</v>
      </c>
    </row>
    <row r="32" spans="1:38" ht="15" hidden="1" customHeight="1" outlineLevel="1">
      <c r="A32" s="59" t="s">
        <v>116</v>
      </c>
      <c r="B32" s="65">
        <v>27</v>
      </c>
      <c r="C32" s="233">
        <v>48329179570</v>
      </c>
      <c r="D32" s="233">
        <v>52402682218</v>
      </c>
      <c r="E32" s="233">
        <v>53638184536</v>
      </c>
      <c r="F32" s="233">
        <v>60097345927</v>
      </c>
      <c r="G32" s="233">
        <v>64480604648</v>
      </c>
      <c r="H32" s="233">
        <v>41973464763</v>
      </c>
      <c r="I32" s="233">
        <v>46961151962</v>
      </c>
      <c r="J32" s="233">
        <v>48551172726</v>
      </c>
      <c r="K32" s="233">
        <v>56769861956</v>
      </c>
      <c r="L32" s="233">
        <v>59919630029</v>
      </c>
      <c r="M32" s="233">
        <v>32117157574</v>
      </c>
      <c r="N32" s="234">
        <v>29084385847</v>
      </c>
      <c r="O32" s="234">
        <v>31458565079</v>
      </c>
      <c r="P32" s="234">
        <v>32319903285</v>
      </c>
      <c r="Q32" s="234">
        <v>37507790105</v>
      </c>
      <c r="R32" s="234">
        <v>46329177857</v>
      </c>
      <c r="S32" s="234">
        <v>54840575232</v>
      </c>
      <c r="T32" s="234">
        <v>64471140709</v>
      </c>
      <c r="U32" s="234">
        <v>71635917962</v>
      </c>
      <c r="V32" s="234">
        <v>42927415798</v>
      </c>
      <c r="W32" s="234">
        <v>44075420678</v>
      </c>
      <c r="X32" s="234">
        <v>43372545654</v>
      </c>
      <c r="Y32" s="234">
        <v>41368771158</v>
      </c>
      <c r="Z32" s="234">
        <v>19538414742</v>
      </c>
      <c r="AA32" s="234">
        <f>SUMIFS([1]!Data_BS[Value],[1]!Data_BS[Index BS],DTR!$B32,[1]!Data_BS[TenCongTyID],DTR!$B$1,[1]!Data_BS[Thang.Nam],DTR!AA$5)</f>
        <v>0</v>
      </c>
      <c r="AB32" s="234">
        <f>SUMIFS([1]!Data_BS[Value],[1]!Data_BS[Index BS],DTR!$B32,[1]!Data_BS[TenCongTyID],DTR!$B$1,[1]!Data_BS[Thang.Nam],DTR!AB$5)</f>
        <v>0</v>
      </c>
      <c r="AC32" s="234">
        <f>SUMIFS([1]!Data_BS[Value],[1]!Data_BS[Index BS],DTR!$B32,[1]!Data_BS[TenCongTyID],DTR!$B$1,[1]!Data_BS[Thang.Nam],DTR!AC$5)</f>
        <v>0</v>
      </c>
      <c r="AD32" s="234">
        <f>SUMIFS([1]!Data_BS[Value],[1]!Data_BS[Index BS],DTR!$B32,[1]!Data_BS[TenCongTyID],DTR!$B$1,[1]!Data_BS[Thang.Nam],DTR!AD$5)</f>
        <v>0</v>
      </c>
      <c r="AE32" s="234">
        <f>SUMIFS([1]!Data_BS[Value],[1]!Data_BS[Index BS],DTR!$B32,[1]!Data_BS[TenCongTyID],DTR!$B$1,[1]!Data_BS[Thang.Nam],DTR!AE$5)</f>
        <v>0</v>
      </c>
      <c r="AF32" s="234">
        <f>SUMIFS([1]!Data_BS[Value],[1]!Data_BS[Index BS],DTR!$B32,[1]!Data_BS[TenCongTyID],DTR!$B$1,[1]!Data_BS[Thang.Nam],DTR!AF$5)</f>
        <v>0</v>
      </c>
      <c r="AG32" s="234">
        <f>SUMIFS([1]!Data_BS[Value],[1]!Data_BS[Index BS],DTR!$B32,[1]!Data_BS[TenCongTyID],DTR!$B$1,[1]!Data_BS[Thang.Nam],DTR!AG$5)</f>
        <v>0</v>
      </c>
      <c r="AH32" s="234">
        <f>SUMIFS([1]!Data_BS[Value],[1]!Data_BS[Index BS],DTR!$B32,[1]!Data_BS[TenCongTyID],DTR!$B$1,[1]!Data_BS[Thang.Nam],DTR!AH$5)</f>
        <v>0</v>
      </c>
      <c r="AI32" s="234">
        <f>SUMIFS([1]!Data_BS[Value],[1]!Data_BS[Index BS],DTR!$B32,[1]!Data_BS[TenCongTyID],DTR!$B$1,[1]!Data_BS[Thang.Nam],DTR!AI$5)</f>
        <v>0</v>
      </c>
      <c r="AJ32" s="234">
        <f>SUMIFS([1]!Data_BS[Value],[1]!Data_BS[Index BS],DTR!$B32,[1]!Data_BS[TenCongTyID],DTR!$B$1,[1]!Data_BS[Thang.Nam],DTR!AJ$5)</f>
        <v>0</v>
      </c>
      <c r="AK32" s="234">
        <f>SUMIFS([1]!Data_BS[Value],[1]!Data_BS[Index BS],DTR!$B32,[1]!Data_BS[TenCongTyID],DTR!$B$1,[1]!Data_BS[Thang.Nam],DTR!AK$5)</f>
        <v>0</v>
      </c>
      <c r="AL32" s="234">
        <f>SUMIFS([1]!Data_BS[Value],[1]!Data_BS[Index BS],DTR!$B32,[1]!Data_BS[TenCongTyID],DTR!$B$1,[1]!Data_BS[Thang.Nam],DTR!AL$5)</f>
        <v>0</v>
      </c>
    </row>
    <row r="33" spans="1:38" ht="15" hidden="1" customHeight="1" outlineLevel="1">
      <c r="A33" s="67" t="s">
        <v>117</v>
      </c>
      <c r="B33" s="63">
        <v>28</v>
      </c>
      <c r="C33" s="229">
        <v>6276274640</v>
      </c>
      <c r="D33" s="229">
        <v>8206749833</v>
      </c>
      <c r="E33" s="229">
        <v>7285401121</v>
      </c>
      <c r="F33" s="229">
        <v>8306063236</v>
      </c>
      <c r="G33" s="229">
        <v>7856773292</v>
      </c>
      <c r="H33" s="229">
        <v>9119226098</v>
      </c>
      <c r="I33" s="229">
        <v>10668355095</v>
      </c>
      <c r="J33" s="229">
        <v>10679688406</v>
      </c>
      <c r="K33" s="229">
        <v>11891411206</v>
      </c>
      <c r="L33" s="229">
        <v>10950384630</v>
      </c>
      <c r="M33" s="229">
        <v>10029655608</v>
      </c>
      <c r="N33" s="229">
        <v>8392710436</v>
      </c>
      <c r="O33" s="236">
        <v>8670624950</v>
      </c>
      <c r="P33" s="229">
        <v>9360600777</v>
      </c>
      <c r="Q33" s="229">
        <v>8963443599</v>
      </c>
      <c r="R33" s="229">
        <v>8040678677</v>
      </c>
      <c r="S33" s="229">
        <v>6574180345</v>
      </c>
      <c r="T33" s="229">
        <v>12024899748</v>
      </c>
      <c r="U33" s="229">
        <v>13100177953</v>
      </c>
      <c r="V33" s="229">
        <v>13938259781</v>
      </c>
      <c r="W33" s="229">
        <v>11177477784</v>
      </c>
      <c r="X33" s="229">
        <v>9268450110</v>
      </c>
      <c r="Y33" s="229">
        <v>6953960350</v>
      </c>
      <c r="Z33" s="229">
        <v>6846596238</v>
      </c>
      <c r="AA33" s="229">
        <f>SUMIFS([1]!Data_BS[Value],[1]!Data_BS[Index BS],DTR!$B33,[1]!Data_BS[TenCongTyID],DTR!$B$1,[1]!Data_BS[Thang.Nam],DTR!AA$5)</f>
        <v>0</v>
      </c>
      <c r="AB33" s="229">
        <f>SUMIFS([1]!Data_BS[Value],[1]!Data_BS[Index BS],DTR!$B33,[1]!Data_BS[TenCongTyID],DTR!$B$1,[1]!Data_BS[Thang.Nam],DTR!AB$5)</f>
        <v>0</v>
      </c>
      <c r="AC33" s="229">
        <f>SUMIFS([1]!Data_BS[Value],[1]!Data_BS[Index BS],DTR!$B33,[1]!Data_BS[TenCongTyID],DTR!$B$1,[1]!Data_BS[Thang.Nam],DTR!AC$5)</f>
        <v>0</v>
      </c>
      <c r="AD33" s="229">
        <f>SUMIFS([1]!Data_BS[Value],[1]!Data_BS[Index BS],DTR!$B33,[1]!Data_BS[TenCongTyID],DTR!$B$1,[1]!Data_BS[Thang.Nam],DTR!AD$5)</f>
        <v>0</v>
      </c>
      <c r="AE33" s="229">
        <f>SUMIFS([1]!Data_BS[Value],[1]!Data_BS[Index BS],DTR!$B33,[1]!Data_BS[TenCongTyID],DTR!$B$1,[1]!Data_BS[Thang.Nam],DTR!AE$5)</f>
        <v>0</v>
      </c>
      <c r="AF33" s="229">
        <f>SUMIFS([1]!Data_BS[Value],[1]!Data_BS[Index BS],DTR!$B33,[1]!Data_BS[TenCongTyID],DTR!$B$1,[1]!Data_BS[Thang.Nam],DTR!AF$5)</f>
        <v>0</v>
      </c>
      <c r="AG33" s="229">
        <f>SUMIFS([1]!Data_BS[Value],[1]!Data_BS[Index BS],DTR!$B33,[1]!Data_BS[TenCongTyID],DTR!$B$1,[1]!Data_BS[Thang.Nam],DTR!AG$5)</f>
        <v>0</v>
      </c>
      <c r="AH33" s="229">
        <f>SUMIFS([1]!Data_BS[Value],[1]!Data_BS[Index BS],DTR!$B33,[1]!Data_BS[TenCongTyID],DTR!$B$1,[1]!Data_BS[Thang.Nam],DTR!AH$5)</f>
        <v>0</v>
      </c>
      <c r="AI33" s="229">
        <f>SUMIFS([1]!Data_BS[Value],[1]!Data_BS[Index BS],DTR!$B33,[1]!Data_BS[TenCongTyID],DTR!$B$1,[1]!Data_BS[Thang.Nam],DTR!AI$5)</f>
        <v>0</v>
      </c>
      <c r="AJ33" s="229">
        <f>SUMIFS([1]!Data_BS[Value],[1]!Data_BS[Index BS],DTR!$B33,[1]!Data_BS[TenCongTyID],DTR!$B$1,[1]!Data_BS[Thang.Nam],DTR!AJ$5)</f>
        <v>0</v>
      </c>
      <c r="AK33" s="229">
        <f>SUMIFS([1]!Data_BS[Value],[1]!Data_BS[Index BS],DTR!$B33,[1]!Data_BS[TenCongTyID],DTR!$B$1,[1]!Data_BS[Thang.Nam],DTR!AK$5)</f>
        <v>0</v>
      </c>
      <c r="AL33" s="229">
        <f>SUMIFS([1]!Data_BS[Value],[1]!Data_BS[Index BS],DTR!$B33,[1]!Data_BS[TenCongTyID],DTR!$B$1,[1]!Data_BS[Thang.Nam],DTR!AL$5)</f>
        <v>0</v>
      </c>
    </row>
    <row r="34" spans="1:38" ht="15" hidden="1" customHeight="1" outlineLevel="1">
      <c r="A34" s="67" t="s">
        <v>118</v>
      </c>
      <c r="B34" s="63">
        <v>29</v>
      </c>
      <c r="C34" s="229">
        <v>42052904930</v>
      </c>
      <c r="D34" s="229">
        <v>44107343223</v>
      </c>
      <c r="E34" s="229">
        <v>46297685706</v>
      </c>
      <c r="F34" s="229">
        <v>51762654946</v>
      </c>
      <c r="G34" s="229">
        <v>56579510013</v>
      </c>
      <c r="H34" s="229">
        <v>32789088899</v>
      </c>
      <c r="I34" s="229">
        <v>36250538837</v>
      </c>
      <c r="J34" s="229">
        <v>37779613794</v>
      </c>
      <c r="K34" s="229">
        <v>44829865745</v>
      </c>
      <c r="L34" s="229">
        <v>48921405825</v>
      </c>
      <c r="M34" s="229">
        <v>22042451541</v>
      </c>
      <c r="N34" s="229">
        <v>20691675411</v>
      </c>
      <c r="O34" s="236">
        <v>22787940129</v>
      </c>
      <c r="P34" s="229">
        <v>22955432475</v>
      </c>
      <c r="Q34" s="229">
        <v>28544346506</v>
      </c>
      <c r="R34" s="229">
        <v>38288499180</v>
      </c>
      <c r="S34" s="229">
        <v>48266394887</v>
      </c>
      <c r="T34" s="229">
        <v>52446240961</v>
      </c>
      <c r="U34" s="229">
        <v>58535740009</v>
      </c>
      <c r="V34" s="229">
        <v>28989156017</v>
      </c>
      <c r="W34" s="229">
        <v>32897942894</v>
      </c>
      <c r="X34" s="229">
        <v>34104095544</v>
      </c>
      <c r="Y34" s="229">
        <v>34414810808</v>
      </c>
      <c r="Z34" s="229">
        <v>12691818504</v>
      </c>
      <c r="AA34" s="229">
        <f>SUMIFS([1]!Data_BS[Value],[1]!Data_BS[Index BS],DTR!$B34,[1]!Data_BS[TenCongTyID],DTR!$B$1,[1]!Data_BS[Thang.Nam],DTR!AA$5)</f>
        <v>0</v>
      </c>
      <c r="AB34" s="229">
        <f>SUMIFS([1]!Data_BS[Value],[1]!Data_BS[Index BS],DTR!$B34,[1]!Data_BS[TenCongTyID],DTR!$B$1,[1]!Data_BS[Thang.Nam],DTR!AB$5)</f>
        <v>0</v>
      </c>
      <c r="AC34" s="229">
        <f>SUMIFS([1]!Data_BS[Value],[1]!Data_BS[Index BS],DTR!$B34,[1]!Data_BS[TenCongTyID],DTR!$B$1,[1]!Data_BS[Thang.Nam],DTR!AC$5)</f>
        <v>0</v>
      </c>
      <c r="AD34" s="229">
        <f>SUMIFS([1]!Data_BS[Value],[1]!Data_BS[Index BS],DTR!$B34,[1]!Data_BS[TenCongTyID],DTR!$B$1,[1]!Data_BS[Thang.Nam],DTR!AD$5)</f>
        <v>0</v>
      </c>
      <c r="AE34" s="229">
        <f>SUMIFS([1]!Data_BS[Value],[1]!Data_BS[Index BS],DTR!$B34,[1]!Data_BS[TenCongTyID],DTR!$B$1,[1]!Data_BS[Thang.Nam],DTR!AE$5)</f>
        <v>0</v>
      </c>
      <c r="AF34" s="229">
        <f>SUMIFS([1]!Data_BS[Value],[1]!Data_BS[Index BS],DTR!$B34,[1]!Data_BS[TenCongTyID],DTR!$B$1,[1]!Data_BS[Thang.Nam],DTR!AF$5)</f>
        <v>0</v>
      </c>
      <c r="AG34" s="229">
        <f>SUMIFS([1]!Data_BS[Value],[1]!Data_BS[Index BS],DTR!$B34,[1]!Data_BS[TenCongTyID],DTR!$B$1,[1]!Data_BS[Thang.Nam],DTR!AG$5)</f>
        <v>0</v>
      </c>
      <c r="AH34" s="229">
        <f>SUMIFS([1]!Data_BS[Value],[1]!Data_BS[Index BS],DTR!$B34,[1]!Data_BS[TenCongTyID],DTR!$B$1,[1]!Data_BS[Thang.Nam],DTR!AH$5)</f>
        <v>0</v>
      </c>
      <c r="AI34" s="229">
        <f>SUMIFS([1]!Data_BS[Value],[1]!Data_BS[Index BS],DTR!$B34,[1]!Data_BS[TenCongTyID],DTR!$B$1,[1]!Data_BS[Thang.Nam],DTR!AI$5)</f>
        <v>0</v>
      </c>
      <c r="AJ34" s="229">
        <f>SUMIFS([1]!Data_BS[Value],[1]!Data_BS[Index BS],DTR!$B34,[1]!Data_BS[TenCongTyID],DTR!$B$1,[1]!Data_BS[Thang.Nam],DTR!AJ$5)</f>
        <v>0</v>
      </c>
      <c r="AK34" s="229">
        <f>SUMIFS([1]!Data_BS[Value],[1]!Data_BS[Index BS],DTR!$B34,[1]!Data_BS[TenCongTyID],DTR!$B$1,[1]!Data_BS[Thang.Nam],DTR!AK$5)</f>
        <v>0</v>
      </c>
      <c r="AL34" s="229">
        <f>SUMIFS([1]!Data_BS[Value],[1]!Data_BS[Index BS],DTR!$B34,[1]!Data_BS[TenCongTyID],DTR!$B$1,[1]!Data_BS[Thang.Nam],DTR!AL$5)</f>
        <v>0</v>
      </c>
    </row>
    <row r="35" spans="1:38" ht="15" hidden="1" customHeight="1" outlineLevel="1">
      <c r="A35" s="67" t="s">
        <v>119</v>
      </c>
      <c r="B35" s="63">
        <v>30</v>
      </c>
      <c r="C35" s="229">
        <v>0</v>
      </c>
      <c r="D35" s="229">
        <v>88589162</v>
      </c>
      <c r="E35" s="229">
        <v>55097709</v>
      </c>
      <c r="F35" s="229">
        <v>28627745</v>
      </c>
      <c r="G35" s="229">
        <v>44321343</v>
      </c>
      <c r="H35" s="229">
        <v>65149766</v>
      </c>
      <c r="I35" s="229">
        <v>42258030</v>
      </c>
      <c r="J35" s="229">
        <v>91870526</v>
      </c>
      <c r="K35" s="229">
        <v>48585005</v>
      </c>
      <c r="L35" s="229">
        <v>47839574</v>
      </c>
      <c r="M35" s="229">
        <v>45050425</v>
      </c>
      <c r="N35" s="229">
        <v>0</v>
      </c>
      <c r="O35" s="236">
        <v>0</v>
      </c>
      <c r="P35" s="229">
        <v>3870033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Z35" s="229">
        <v>0</v>
      </c>
      <c r="AA35" s="229">
        <f>SUMIFS([1]!Data_BS[Value],[1]!Data_BS[Index BS],DTR!$B35,[1]!Data_BS[TenCongTyID],DTR!$B$1,[1]!Data_BS[Thang.Nam],DTR!AA$5)</f>
        <v>0</v>
      </c>
      <c r="AB35" s="229">
        <f>SUMIFS([1]!Data_BS[Value],[1]!Data_BS[Index BS],DTR!$B35,[1]!Data_BS[TenCongTyID],DTR!$B$1,[1]!Data_BS[Thang.Nam],DTR!AB$5)</f>
        <v>0</v>
      </c>
      <c r="AC35" s="229">
        <f>SUMIFS([1]!Data_BS[Value],[1]!Data_BS[Index BS],DTR!$B35,[1]!Data_BS[TenCongTyID],DTR!$B$1,[1]!Data_BS[Thang.Nam],DTR!AC$5)</f>
        <v>0</v>
      </c>
      <c r="AD35" s="229">
        <f>SUMIFS([1]!Data_BS[Value],[1]!Data_BS[Index BS],DTR!$B35,[1]!Data_BS[TenCongTyID],DTR!$B$1,[1]!Data_BS[Thang.Nam],DTR!AD$5)</f>
        <v>0</v>
      </c>
      <c r="AE35" s="229">
        <f>SUMIFS([1]!Data_BS[Value],[1]!Data_BS[Index BS],DTR!$B35,[1]!Data_BS[TenCongTyID],DTR!$B$1,[1]!Data_BS[Thang.Nam],DTR!AE$5)</f>
        <v>0</v>
      </c>
      <c r="AF35" s="229">
        <f>SUMIFS([1]!Data_BS[Value],[1]!Data_BS[Index BS],DTR!$B35,[1]!Data_BS[TenCongTyID],DTR!$B$1,[1]!Data_BS[Thang.Nam],DTR!AF$5)</f>
        <v>0</v>
      </c>
      <c r="AG35" s="229">
        <f>SUMIFS([1]!Data_BS[Value],[1]!Data_BS[Index BS],DTR!$B35,[1]!Data_BS[TenCongTyID],DTR!$B$1,[1]!Data_BS[Thang.Nam],DTR!AG$5)</f>
        <v>0</v>
      </c>
      <c r="AH35" s="229">
        <f>SUMIFS([1]!Data_BS[Value],[1]!Data_BS[Index BS],DTR!$B35,[1]!Data_BS[TenCongTyID],DTR!$B$1,[1]!Data_BS[Thang.Nam],DTR!AH$5)</f>
        <v>0</v>
      </c>
      <c r="AI35" s="229">
        <f>SUMIFS([1]!Data_BS[Value],[1]!Data_BS[Index BS],DTR!$B35,[1]!Data_BS[TenCongTyID],DTR!$B$1,[1]!Data_BS[Thang.Nam],DTR!AI$5)</f>
        <v>0</v>
      </c>
      <c r="AJ35" s="229">
        <f>SUMIFS([1]!Data_BS[Value],[1]!Data_BS[Index BS],DTR!$B35,[1]!Data_BS[TenCongTyID],DTR!$B$1,[1]!Data_BS[Thang.Nam],DTR!AJ$5)</f>
        <v>0</v>
      </c>
      <c r="AK35" s="229">
        <f>SUMIFS([1]!Data_BS[Value],[1]!Data_BS[Index BS],DTR!$B35,[1]!Data_BS[TenCongTyID],DTR!$B$1,[1]!Data_BS[Thang.Nam],DTR!AK$5)</f>
        <v>0</v>
      </c>
      <c r="AL35" s="229">
        <f>SUMIFS([1]!Data_BS[Value],[1]!Data_BS[Index BS],DTR!$B35,[1]!Data_BS[TenCongTyID],DTR!$B$1,[1]!Data_BS[Thang.Nam],DTR!AL$5)</f>
        <v>0</v>
      </c>
    </row>
    <row r="36" spans="1:38" ht="15" hidden="1" customHeight="1" outlineLevel="1">
      <c r="A36" s="67" t="s">
        <v>120</v>
      </c>
      <c r="B36" s="63">
        <v>31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36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Z36" s="229">
        <v>0</v>
      </c>
      <c r="AA36" s="229">
        <f>SUMIFS([1]!Data_BS[Value],[1]!Data_BS[Index BS],DTR!$B36,[1]!Data_BS[TenCongTyID],DTR!$B$1,[1]!Data_BS[Thang.Nam],DTR!AA$5)</f>
        <v>0</v>
      </c>
      <c r="AB36" s="229">
        <f>SUMIFS([1]!Data_BS[Value],[1]!Data_BS[Index BS],DTR!$B36,[1]!Data_BS[TenCongTyID],DTR!$B$1,[1]!Data_BS[Thang.Nam],DTR!AB$5)</f>
        <v>0</v>
      </c>
      <c r="AC36" s="229">
        <f>SUMIFS([1]!Data_BS[Value],[1]!Data_BS[Index BS],DTR!$B36,[1]!Data_BS[TenCongTyID],DTR!$B$1,[1]!Data_BS[Thang.Nam],DTR!AC$5)</f>
        <v>0</v>
      </c>
      <c r="AD36" s="229">
        <f>SUMIFS([1]!Data_BS[Value],[1]!Data_BS[Index BS],DTR!$B36,[1]!Data_BS[TenCongTyID],DTR!$B$1,[1]!Data_BS[Thang.Nam],DTR!AD$5)</f>
        <v>0</v>
      </c>
      <c r="AE36" s="229">
        <f>SUMIFS([1]!Data_BS[Value],[1]!Data_BS[Index BS],DTR!$B36,[1]!Data_BS[TenCongTyID],DTR!$B$1,[1]!Data_BS[Thang.Nam],DTR!AE$5)</f>
        <v>0</v>
      </c>
      <c r="AF36" s="229">
        <f>SUMIFS([1]!Data_BS[Value],[1]!Data_BS[Index BS],DTR!$B36,[1]!Data_BS[TenCongTyID],DTR!$B$1,[1]!Data_BS[Thang.Nam],DTR!AF$5)</f>
        <v>0</v>
      </c>
      <c r="AG36" s="229">
        <f>SUMIFS([1]!Data_BS[Value],[1]!Data_BS[Index BS],DTR!$B36,[1]!Data_BS[TenCongTyID],DTR!$B$1,[1]!Data_BS[Thang.Nam],DTR!AG$5)</f>
        <v>0</v>
      </c>
      <c r="AH36" s="229">
        <f>SUMIFS([1]!Data_BS[Value],[1]!Data_BS[Index BS],DTR!$B36,[1]!Data_BS[TenCongTyID],DTR!$B$1,[1]!Data_BS[Thang.Nam],DTR!AH$5)</f>
        <v>0</v>
      </c>
      <c r="AI36" s="229">
        <f>SUMIFS([1]!Data_BS[Value],[1]!Data_BS[Index BS],DTR!$B36,[1]!Data_BS[TenCongTyID],DTR!$B$1,[1]!Data_BS[Thang.Nam],DTR!AI$5)</f>
        <v>0</v>
      </c>
      <c r="AJ36" s="229">
        <f>SUMIFS([1]!Data_BS[Value],[1]!Data_BS[Index BS],DTR!$B36,[1]!Data_BS[TenCongTyID],DTR!$B$1,[1]!Data_BS[Thang.Nam],DTR!AJ$5)</f>
        <v>0</v>
      </c>
      <c r="AK36" s="229">
        <f>SUMIFS([1]!Data_BS[Value],[1]!Data_BS[Index BS],DTR!$B36,[1]!Data_BS[TenCongTyID],DTR!$B$1,[1]!Data_BS[Thang.Nam],DTR!AK$5)</f>
        <v>0</v>
      </c>
      <c r="AL36" s="229">
        <f>SUMIFS([1]!Data_BS[Value],[1]!Data_BS[Index BS],DTR!$B36,[1]!Data_BS[TenCongTyID],DTR!$B$1,[1]!Data_BS[Thang.Nam],DTR!AL$5)</f>
        <v>0</v>
      </c>
    </row>
    <row r="37" spans="1:38" ht="15" hidden="1" customHeight="1" outlineLevel="1">
      <c r="A37" s="67" t="s">
        <v>121</v>
      </c>
      <c r="B37" s="63">
        <v>32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36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Z37" s="229">
        <v>0</v>
      </c>
      <c r="AA37" s="229">
        <f>SUMIFS([1]!Data_BS[Value],[1]!Data_BS[Index BS],DTR!$B37,[1]!Data_BS[TenCongTyID],DTR!$B$1,[1]!Data_BS[Thang.Nam],DTR!AA$5)</f>
        <v>0</v>
      </c>
      <c r="AB37" s="229">
        <f>SUMIFS([1]!Data_BS[Value],[1]!Data_BS[Index BS],DTR!$B37,[1]!Data_BS[TenCongTyID],DTR!$B$1,[1]!Data_BS[Thang.Nam],DTR!AB$5)</f>
        <v>0</v>
      </c>
      <c r="AC37" s="229">
        <f>SUMIFS([1]!Data_BS[Value],[1]!Data_BS[Index BS],DTR!$B37,[1]!Data_BS[TenCongTyID],DTR!$B$1,[1]!Data_BS[Thang.Nam],DTR!AC$5)</f>
        <v>0</v>
      </c>
      <c r="AD37" s="229">
        <f>SUMIFS([1]!Data_BS[Value],[1]!Data_BS[Index BS],DTR!$B37,[1]!Data_BS[TenCongTyID],DTR!$B$1,[1]!Data_BS[Thang.Nam],DTR!AD$5)</f>
        <v>0</v>
      </c>
      <c r="AE37" s="229">
        <f>SUMIFS([1]!Data_BS[Value],[1]!Data_BS[Index BS],DTR!$B37,[1]!Data_BS[TenCongTyID],DTR!$B$1,[1]!Data_BS[Thang.Nam],DTR!AE$5)</f>
        <v>0</v>
      </c>
      <c r="AF37" s="229">
        <f>SUMIFS([1]!Data_BS[Value],[1]!Data_BS[Index BS],DTR!$B37,[1]!Data_BS[TenCongTyID],DTR!$B$1,[1]!Data_BS[Thang.Nam],DTR!AF$5)</f>
        <v>0</v>
      </c>
      <c r="AG37" s="229">
        <f>SUMIFS([1]!Data_BS[Value],[1]!Data_BS[Index BS],DTR!$B37,[1]!Data_BS[TenCongTyID],DTR!$B$1,[1]!Data_BS[Thang.Nam],DTR!AG$5)</f>
        <v>0</v>
      </c>
      <c r="AH37" s="229">
        <f>SUMIFS([1]!Data_BS[Value],[1]!Data_BS[Index BS],DTR!$B37,[1]!Data_BS[TenCongTyID],DTR!$B$1,[1]!Data_BS[Thang.Nam],DTR!AH$5)</f>
        <v>0</v>
      </c>
      <c r="AI37" s="229">
        <f>SUMIFS([1]!Data_BS[Value],[1]!Data_BS[Index BS],DTR!$B37,[1]!Data_BS[TenCongTyID],DTR!$B$1,[1]!Data_BS[Thang.Nam],DTR!AI$5)</f>
        <v>0</v>
      </c>
      <c r="AJ37" s="229">
        <f>SUMIFS([1]!Data_BS[Value],[1]!Data_BS[Index BS],DTR!$B37,[1]!Data_BS[TenCongTyID],DTR!$B$1,[1]!Data_BS[Thang.Nam],DTR!AJ$5)</f>
        <v>0</v>
      </c>
      <c r="AK37" s="229">
        <f>SUMIFS([1]!Data_BS[Value],[1]!Data_BS[Index BS],DTR!$B37,[1]!Data_BS[TenCongTyID],DTR!$B$1,[1]!Data_BS[Thang.Nam],DTR!AK$5)</f>
        <v>0</v>
      </c>
      <c r="AL37" s="229">
        <f>SUMIFS([1]!Data_BS[Value],[1]!Data_BS[Index BS],DTR!$B37,[1]!Data_BS[TenCongTyID],DTR!$B$1,[1]!Data_BS[Thang.Nam],DTR!AL$5)</f>
        <v>0</v>
      </c>
    </row>
    <row r="38" spans="1:38" ht="14" hidden="1" outlineLevel="1">
      <c r="A38" s="70" t="s">
        <v>122</v>
      </c>
      <c r="B38" s="71">
        <v>33</v>
      </c>
      <c r="C38" s="240">
        <v>274621596882</v>
      </c>
      <c r="D38" s="240">
        <v>272305827313</v>
      </c>
      <c r="E38" s="240">
        <v>271200317966</v>
      </c>
      <c r="F38" s="240">
        <v>270901849246</v>
      </c>
      <c r="G38" s="240">
        <v>269904363409</v>
      </c>
      <c r="H38" s="240">
        <v>270744122708</v>
      </c>
      <c r="I38" s="240">
        <v>268776242104</v>
      </c>
      <c r="J38" s="240">
        <v>274331457085</v>
      </c>
      <c r="K38" s="240">
        <v>273131457642</v>
      </c>
      <c r="L38" s="240">
        <v>272293558516</v>
      </c>
      <c r="M38" s="240">
        <v>273153529742</v>
      </c>
      <c r="N38" s="241">
        <v>285939000851</v>
      </c>
      <c r="O38" s="241">
        <v>289379194755</v>
      </c>
      <c r="P38" s="241">
        <v>285515570351</v>
      </c>
      <c r="Q38" s="241">
        <v>287407502163</v>
      </c>
      <c r="R38" s="241">
        <v>294777015341</v>
      </c>
      <c r="S38" s="241">
        <v>299380289162</v>
      </c>
      <c r="T38" s="241">
        <v>300166972168</v>
      </c>
      <c r="U38" s="241">
        <v>296753996838</v>
      </c>
      <c r="V38" s="241">
        <v>296192973827</v>
      </c>
      <c r="W38" s="241">
        <v>304334630215</v>
      </c>
      <c r="X38" s="241">
        <v>316482947135</v>
      </c>
      <c r="Y38" s="241">
        <v>315796830828</v>
      </c>
      <c r="Z38" s="241">
        <v>320800563599</v>
      </c>
      <c r="AA38" s="241">
        <f>SUMIFS([1]!Data_BS[Value],[1]!Data_BS[Index BS],DTR!$B38,[1]!Data_BS[TenCongTyID],DTR!$B$1,[1]!Data_BS[Thang.Nam],DTR!AA$5)</f>
        <v>0</v>
      </c>
      <c r="AB38" s="241">
        <f>SUMIFS([1]!Data_BS[Value],[1]!Data_BS[Index BS],DTR!$B38,[1]!Data_BS[TenCongTyID],DTR!$B$1,[1]!Data_BS[Thang.Nam],DTR!AB$5)</f>
        <v>0</v>
      </c>
      <c r="AC38" s="241">
        <f>SUMIFS([1]!Data_BS[Value],[1]!Data_BS[Index BS],DTR!$B38,[1]!Data_BS[TenCongTyID],DTR!$B$1,[1]!Data_BS[Thang.Nam],DTR!AC$5)</f>
        <v>0</v>
      </c>
      <c r="AD38" s="241">
        <f>SUMIFS([1]!Data_BS[Value],[1]!Data_BS[Index BS],DTR!$B38,[1]!Data_BS[TenCongTyID],DTR!$B$1,[1]!Data_BS[Thang.Nam],DTR!AD$5)</f>
        <v>0</v>
      </c>
      <c r="AE38" s="241">
        <f>SUMIFS([1]!Data_BS[Value],[1]!Data_BS[Index BS],DTR!$B38,[1]!Data_BS[TenCongTyID],DTR!$B$1,[1]!Data_BS[Thang.Nam],DTR!AE$5)</f>
        <v>0</v>
      </c>
      <c r="AF38" s="241">
        <f>SUMIFS([1]!Data_BS[Value],[1]!Data_BS[Index BS],DTR!$B38,[1]!Data_BS[TenCongTyID],DTR!$B$1,[1]!Data_BS[Thang.Nam],DTR!AF$5)</f>
        <v>0</v>
      </c>
      <c r="AG38" s="241">
        <f>SUMIFS([1]!Data_BS[Value],[1]!Data_BS[Index BS],DTR!$B38,[1]!Data_BS[TenCongTyID],DTR!$B$1,[1]!Data_BS[Thang.Nam],DTR!AG$5)</f>
        <v>0</v>
      </c>
      <c r="AH38" s="241">
        <f>SUMIFS([1]!Data_BS[Value],[1]!Data_BS[Index BS],DTR!$B38,[1]!Data_BS[TenCongTyID],DTR!$B$1,[1]!Data_BS[Thang.Nam],DTR!AH$5)</f>
        <v>0</v>
      </c>
      <c r="AI38" s="241">
        <f>SUMIFS([1]!Data_BS[Value],[1]!Data_BS[Index BS],DTR!$B38,[1]!Data_BS[TenCongTyID],DTR!$B$1,[1]!Data_BS[Thang.Nam],DTR!AI$5)</f>
        <v>0</v>
      </c>
      <c r="AJ38" s="241">
        <f>SUMIFS([1]!Data_BS[Value],[1]!Data_BS[Index BS],DTR!$B38,[1]!Data_BS[TenCongTyID],DTR!$B$1,[1]!Data_BS[Thang.Nam],DTR!AJ$5)</f>
        <v>0</v>
      </c>
      <c r="AK38" s="241">
        <f>SUMIFS([1]!Data_BS[Value],[1]!Data_BS[Index BS],DTR!$B38,[1]!Data_BS[TenCongTyID],DTR!$B$1,[1]!Data_BS[Thang.Nam],DTR!AK$5)</f>
        <v>0</v>
      </c>
      <c r="AL38" s="241">
        <f>SUMIFS([1]!Data_BS[Value],[1]!Data_BS[Index BS],DTR!$B38,[1]!Data_BS[TenCongTyID],DTR!$B$1,[1]!Data_BS[Thang.Nam],DTR!AL$5)</f>
        <v>0</v>
      </c>
    </row>
    <row r="39" spans="1:38" ht="15" hidden="1" customHeight="1" outlineLevel="1">
      <c r="A39" s="59" t="s">
        <v>123</v>
      </c>
      <c r="B39" s="65">
        <v>34</v>
      </c>
      <c r="C39" s="233">
        <v>0</v>
      </c>
      <c r="D39" s="233">
        <v>0</v>
      </c>
      <c r="E39" s="233">
        <v>0</v>
      </c>
      <c r="F39" s="233">
        <v>0</v>
      </c>
      <c r="G39" s="233">
        <v>0</v>
      </c>
      <c r="H39" s="233">
        <v>0</v>
      </c>
      <c r="I39" s="233">
        <v>0</v>
      </c>
      <c r="J39" s="233">
        <v>0</v>
      </c>
      <c r="K39" s="233">
        <v>0</v>
      </c>
      <c r="L39" s="233">
        <v>0</v>
      </c>
      <c r="M39" s="233">
        <v>0</v>
      </c>
      <c r="N39" s="234">
        <v>5600000000</v>
      </c>
      <c r="O39" s="234">
        <v>5600000000</v>
      </c>
      <c r="P39" s="234">
        <v>5600000000</v>
      </c>
      <c r="Q39" s="234">
        <v>5600000000</v>
      </c>
      <c r="R39" s="234">
        <v>5600000000</v>
      </c>
      <c r="S39" s="234">
        <v>5600000000</v>
      </c>
      <c r="T39" s="234">
        <v>5600000000</v>
      </c>
      <c r="U39" s="234">
        <v>5600000000</v>
      </c>
      <c r="V39" s="234">
        <v>5600000000</v>
      </c>
      <c r="W39" s="234">
        <v>5600000000</v>
      </c>
      <c r="X39" s="234">
        <v>5600000000</v>
      </c>
      <c r="Y39" s="234">
        <v>5600000000</v>
      </c>
      <c r="Z39" s="234">
        <v>5600000000</v>
      </c>
      <c r="AA39" s="234">
        <f>SUMIFS([1]!Data_BS[Value],[1]!Data_BS[Index BS],DTR!$B39,[1]!Data_BS[TenCongTyID],DTR!$B$1,[1]!Data_BS[Thang.Nam],DTR!AA$5)</f>
        <v>0</v>
      </c>
      <c r="AB39" s="234">
        <f>SUMIFS([1]!Data_BS[Value],[1]!Data_BS[Index BS],DTR!$B39,[1]!Data_BS[TenCongTyID],DTR!$B$1,[1]!Data_BS[Thang.Nam],DTR!AB$5)</f>
        <v>0</v>
      </c>
      <c r="AC39" s="234">
        <f>SUMIFS([1]!Data_BS[Value],[1]!Data_BS[Index BS],DTR!$B39,[1]!Data_BS[TenCongTyID],DTR!$B$1,[1]!Data_BS[Thang.Nam],DTR!AC$5)</f>
        <v>0</v>
      </c>
      <c r="AD39" s="234">
        <f>SUMIFS([1]!Data_BS[Value],[1]!Data_BS[Index BS],DTR!$B39,[1]!Data_BS[TenCongTyID],DTR!$B$1,[1]!Data_BS[Thang.Nam],DTR!AD$5)</f>
        <v>0</v>
      </c>
      <c r="AE39" s="234">
        <f>SUMIFS([1]!Data_BS[Value],[1]!Data_BS[Index BS],DTR!$B39,[1]!Data_BS[TenCongTyID],DTR!$B$1,[1]!Data_BS[Thang.Nam],DTR!AE$5)</f>
        <v>0</v>
      </c>
      <c r="AF39" s="234">
        <f>SUMIFS([1]!Data_BS[Value],[1]!Data_BS[Index BS],DTR!$B39,[1]!Data_BS[TenCongTyID],DTR!$B$1,[1]!Data_BS[Thang.Nam],DTR!AF$5)</f>
        <v>0</v>
      </c>
      <c r="AG39" s="234">
        <f>SUMIFS([1]!Data_BS[Value],[1]!Data_BS[Index BS],DTR!$B39,[1]!Data_BS[TenCongTyID],DTR!$B$1,[1]!Data_BS[Thang.Nam],DTR!AG$5)</f>
        <v>0</v>
      </c>
      <c r="AH39" s="234">
        <f>SUMIFS([1]!Data_BS[Value],[1]!Data_BS[Index BS],DTR!$B39,[1]!Data_BS[TenCongTyID],DTR!$B$1,[1]!Data_BS[Thang.Nam],DTR!AH$5)</f>
        <v>0</v>
      </c>
      <c r="AI39" s="234">
        <f>SUMIFS([1]!Data_BS[Value],[1]!Data_BS[Index BS],DTR!$B39,[1]!Data_BS[TenCongTyID],DTR!$B$1,[1]!Data_BS[Thang.Nam],DTR!AI$5)</f>
        <v>0</v>
      </c>
      <c r="AJ39" s="234">
        <f>SUMIFS([1]!Data_BS[Value],[1]!Data_BS[Index BS],DTR!$B39,[1]!Data_BS[TenCongTyID],DTR!$B$1,[1]!Data_BS[Thang.Nam],DTR!AJ$5)</f>
        <v>0</v>
      </c>
      <c r="AK39" s="234">
        <f>SUMIFS([1]!Data_BS[Value],[1]!Data_BS[Index BS],DTR!$B39,[1]!Data_BS[TenCongTyID],DTR!$B$1,[1]!Data_BS[Thang.Nam],DTR!AK$5)</f>
        <v>0</v>
      </c>
      <c r="AL39" s="234">
        <f>SUMIFS([1]!Data_BS[Value],[1]!Data_BS[Index BS],DTR!$B39,[1]!Data_BS[TenCongTyID],DTR!$B$1,[1]!Data_BS[Thang.Nam],DTR!AL$5)</f>
        <v>0</v>
      </c>
    </row>
    <row r="40" spans="1:38" ht="15" hidden="1" customHeight="1" outlineLevel="1">
      <c r="A40" s="62" t="s">
        <v>124</v>
      </c>
      <c r="B40" s="63">
        <v>35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f>SUMIFS([1]!Data_BS[Value],[1]!Data_BS[Index BS],DTR!$B40,[1]!Data_BS[TenCongTyID],DTR!$B$1,[1]!Data_BS[Thang.Nam],DTR!AA$5)</f>
        <v>0</v>
      </c>
      <c r="AB40" s="229">
        <f>SUMIFS([1]!Data_BS[Value],[1]!Data_BS[Index BS],DTR!$B40,[1]!Data_BS[TenCongTyID],DTR!$B$1,[1]!Data_BS[Thang.Nam],DTR!AB$5)</f>
        <v>0</v>
      </c>
      <c r="AC40" s="229">
        <f>SUMIFS([1]!Data_BS[Value],[1]!Data_BS[Index BS],DTR!$B40,[1]!Data_BS[TenCongTyID],DTR!$B$1,[1]!Data_BS[Thang.Nam],DTR!AC$5)</f>
        <v>0</v>
      </c>
      <c r="AD40" s="229">
        <f>SUMIFS([1]!Data_BS[Value],[1]!Data_BS[Index BS],DTR!$B40,[1]!Data_BS[TenCongTyID],DTR!$B$1,[1]!Data_BS[Thang.Nam],DTR!AD$5)</f>
        <v>0</v>
      </c>
      <c r="AE40" s="229">
        <f>SUMIFS([1]!Data_BS[Value],[1]!Data_BS[Index BS],DTR!$B40,[1]!Data_BS[TenCongTyID],DTR!$B$1,[1]!Data_BS[Thang.Nam],DTR!AE$5)</f>
        <v>0</v>
      </c>
      <c r="AF40" s="229">
        <f>SUMIFS([1]!Data_BS[Value],[1]!Data_BS[Index BS],DTR!$B40,[1]!Data_BS[TenCongTyID],DTR!$B$1,[1]!Data_BS[Thang.Nam],DTR!AF$5)</f>
        <v>0</v>
      </c>
      <c r="AG40" s="229">
        <f>SUMIFS([1]!Data_BS[Value],[1]!Data_BS[Index BS],DTR!$B40,[1]!Data_BS[TenCongTyID],DTR!$B$1,[1]!Data_BS[Thang.Nam],DTR!AG$5)</f>
        <v>0</v>
      </c>
      <c r="AH40" s="229">
        <f>SUMIFS([1]!Data_BS[Value],[1]!Data_BS[Index BS],DTR!$B40,[1]!Data_BS[TenCongTyID],DTR!$B$1,[1]!Data_BS[Thang.Nam],DTR!AH$5)</f>
        <v>0</v>
      </c>
      <c r="AI40" s="229">
        <f>SUMIFS([1]!Data_BS[Value],[1]!Data_BS[Index BS],DTR!$B40,[1]!Data_BS[TenCongTyID],DTR!$B$1,[1]!Data_BS[Thang.Nam],DTR!AI$5)</f>
        <v>0</v>
      </c>
      <c r="AJ40" s="229">
        <f>SUMIFS([1]!Data_BS[Value],[1]!Data_BS[Index BS],DTR!$B40,[1]!Data_BS[TenCongTyID],DTR!$B$1,[1]!Data_BS[Thang.Nam],DTR!AJ$5)</f>
        <v>0</v>
      </c>
      <c r="AK40" s="229">
        <f>SUMIFS([1]!Data_BS[Value],[1]!Data_BS[Index BS],DTR!$B40,[1]!Data_BS[TenCongTyID],DTR!$B$1,[1]!Data_BS[Thang.Nam],DTR!AK$5)</f>
        <v>0</v>
      </c>
      <c r="AL40" s="229">
        <f>SUMIFS([1]!Data_BS[Value],[1]!Data_BS[Index BS],DTR!$B40,[1]!Data_BS[TenCongTyID],DTR!$B$1,[1]!Data_BS[Thang.Nam],DTR!AL$5)</f>
        <v>0</v>
      </c>
    </row>
    <row r="41" spans="1:38" ht="15" hidden="1" customHeight="1" outlineLevel="1">
      <c r="A41" s="62" t="s">
        <v>125</v>
      </c>
      <c r="B41" s="63">
        <v>36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Z41" s="229">
        <v>0</v>
      </c>
      <c r="AA41" s="229">
        <f>SUMIFS([1]!Data_BS[Value],[1]!Data_BS[Index BS],DTR!$B41,[1]!Data_BS[TenCongTyID],DTR!$B$1,[1]!Data_BS[Thang.Nam],DTR!AA$5)</f>
        <v>0</v>
      </c>
      <c r="AB41" s="229">
        <f>SUMIFS([1]!Data_BS[Value],[1]!Data_BS[Index BS],DTR!$B41,[1]!Data_BS[TenCongTyID],DTR!$B$1,[1]!Data_BS[Thang.Nam],DTR!AB$5)</f>
        <v>0</v>
      </c>
      <c r="AC41" s="229">
        <f>SUMIFS([1]!Data_BS[Value],[1]!Data_BS[Index BS],DTR!$B41,[1]!Data_BS[TenCongTyID],DTR!$B$1,[1]!Data_BS[Thang.Nam],DTR!AC$5)</f>
        <v>0</v>
      </c>
      <c r="AD41" s="229">
        <f>SUMIFS([1]!Data_BS[Value],[1]!Data_BS[Index BS],DTR!$B41,[1]!Data_BS[TenCongTyID],DTR!$B$1,[1]!Data_BS[Thang.Nam],DTR!AD$5)</f>
        <v>0</v>
      </c>
      <c r="AE41" s="229">
        <f>SUMIFS([1]!Data_BS[Value],[1]!Data_BS[Index BS],DTR!$B41,[1]!Data_BS[TenCongTyID],DTR!$B$1,[1]!Data_BS[Thang.Nam],DTR!AE$5)</f>
        <v>0</v>
      </c>
      <c r="AF41" s="229">
        <f>SUMIFS([1]!Data_BS[Value],[1]!Data_BS[Index BS],DTR!$B41,[1]!Data_BS[TenCongTyID],DTR!$B$1,[1]!Data_BS[Thang.Nam],DTR!AF$5)</f>
        <v>0</v>
      </c>
      <c r="AG41" s="229">
        <f>SUMIFS([1]!Data_BS[Value],[1]!Data_BS[Index BS],DTR!$B41,[1]!Data_BS[TenCongTyID],DTR!$B$1,[1]!Data_BS[Thang.Nam],DTR!AG$5)</f>
        <v>0</v>
      </c>
      <c r="AH41" s="229">
        <f>SUMIFS([1]!Data_BS[Value],[1]!Data_BS[Index BS],DTR!$B41,[1]!Data_BS[TenCongTyID],DTR!$B$1,[1]!Data_BS[Thang.Nam],DTR!AH$5)</f>
        <v>0</v>
      </c>
      <c r="AI41" s="229">
        <f>SUMIFS([1]!Data_BS[Value],[1]!Data_BS[Index BS],DTR!$B41,[1]!Data_BS[TenCongTyID],DTR!$B$1,[1]!Data_BS[Thang.Nam],DTR!AI$5)</f>
        <v>0</v>
      </c>
      <c r="AJ41" s="229">
        <f>SUMIFS([1]!Data_BS[Value],[1]!Data_BS[Index BS],DTR!$B41,[1]!Data_BS[TenCongTyID],DTR!$B$1,[1]!Data_BS[Thang.Nam],DTR!AJ$5)</f>
        <v>0</v>
      </c>
      <c r="AK41" s="229">
        <f>SUMIFS([1]!Data_BS[Value],[1]!Data_BS[Index BS],DTR!$B41,[1]!Data_BS[TenCongTyID],DTR!$B$1,[1]!Data_BS[Thang.Nam],DTR!AK$5)</f>
        <v>0</v>
      </c>
      <c r="AL41" s="229">
        <f>SUMIFS([1]!Data_BS[Value],[1]!Data_BS[Index BS],DTR!$B41,[1]!Data_BS[TenCongTyID],DTR!$B$1,[1]!Data_BS[Thang.Nam],DTR!AL$5)</f>
        <v>0</v>
      </c>
    </row>
    <row r="42" spans="1:38" ht="15" hidden="1" customHeight="1" outlineLevel="1">
      <c r="A42" s="62" t="s">
        <v>126</v>
      </c>
      <c r="B42" s="63">
        <v>37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f>SUMIFS([1]!Data_BS[Value],[1]!Data_BS[Index BS],DTR!$B42,[1]!Data_BS[TenCongTyID],DTR!$B$1,[1]!Data_BS[Thang.Nam],DTR!AA$5)</f>
        <v>0</v>
      </c>
      <c r="AB42" s="229">
        <f>SUMIFS([1]!Data_BS[Value],[1]!Data_BS[Index BS],DTR!$B42,[1]!Data_BS[TenCongTyID],DTR!$B$1,[1]!Data_BS[Thang.Nam],DTR!AB$5)</f>
        <v>0</v>
      </c>
      <c r="AC42" s="229">
        <f>SUMIFS([1]!Data_BS[Value],[1]!Data_BS[Index BS],DTR!$B42,[1]!Data_BS[TenCongTyID],DTR!$B$1,[1]!Data_BS[Thang.Nam],DTR!AC$5)</f>
        <v>0</v>
      </c>
      <c r="AD42" s="229">
        <f>SUMIFS([1]!Data_BS[Value],[1]!Data_BS[Index BS],DTR!$B42,[1]!Data_BS[TenCongTyID],DTR!$B$1,[1]!Data_BS[Thang.Nam],DTR!AD$5)</f>
        <v>0</v>
      </c>
      <c r="AE42" s="229">
        <f>SUMIFS([1]!Data_BS[Value],[1]!Data_BS[Index BS],DTR!$B42,[1]!Data_BS[TenCongTyID],DTR!$B$1,[1]!Data_BS[Thang.Nam],DTR!AE$5)</f>
        <v>0</v>
      </c>
      <c r="AF42" s="229">
        <f>SUMIFS([1]!Data_BS[Value],[1]!Data_BS[Index BS],DTR!$B42,[1]!Data_BS[TenCongTyID],DTR!$B$1,[1]!Data_BS[Thang.Nam],DTR!AF$5)</f>
        <v>0</v>
      </c>
      <c r="AG42" s="229">
        <f>SUMIFS([1]!Data_BS[Value],[1]!Data_BS[Index BS],DTR!$B42,[1]!Data_BS[TenCongTyID],DTR!$B$1,[1]!Data_BS[Thang.Nam],DTR!AG$5)</f>
        <v>0</v>
      </c>
      <c r="AH42" s="229">
        <f>SUMIFS([1]!Data_BS[Value],[1]!Data_BS[Index BS],DTR!$B42,[1]!Data_BS[TenCongTyID],DTR!$B$1,[1]!Data_BS[Thang.Nam],DTR!AH$5)</f>
        <v>0</v>
      </c>
      <c r="AI42" s="229">
        <f>SUMIFS([1]!Data_BS[Value],[1]!Data_BS[Index BS],DTR!$B42,[1]!Data_BS[TenCongTyID],DTR!$B$1,[1]!Data_BS[Thang.Nam],DTR!AI$5)</f>
        <v>0</v>
      </c>
      <c r="AJ42" s="229">
        <f>SUMIFS([1]!Data_BS[Value],[1]!Data_BS[Index BS],DTR!$B42,[1]!Data_BS[TenCongTyID],DTR!$B$1,[1]!Data_BS[Thang.Nam],DTR!AJ$5)</f>
        <v>0</v>
      </c>
      <c r="AK42" s="229">
        <f>SUMIFS([1]!Data_BS[Value],[1]!Data_BS[Index BS],DTR!$B42,[1]!Data_BS[TenCongTyID],DTR!$B$1,[1]!Data_BS[Thang.Nam],DTR!AK$5)</f>
        <v>0</v>
      </c>
      <c r="AL42" s="229">
        <f>SUMIFS([1]!Data_BS[Value],[1]!Data_BS[Index BS],DTR!$B42,[1]!Data_BS[TenCongTyID],DTR!$B$1,[1]!Data_BS[Thang.Nam],DTR!AL$5)</f>
        <v>0</v>
      </c>
    </row>
    <row r="43" spans="1:38" ht="15" hidden="1" customHeight="1" outlineLevel="1">
      <c r="A43" s="62" t="s">
        <v>127</v>
      </c>
      <c r="B43" s="63">
        <v>38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f>SUMIFS([1]!Data_BS[Value],[1]!Data_BS[Index BS],DTR!$B43,[1]!Data_BS[TenCongTyID],DTR!$B$1,[1]!Data_BS[Thang.Nam],DTR!AA$5)</f>
        <v>0</v>
      </c>
      <c r="AB43" s="229">
        <f>SUMIFS([1]!Data_BS[Value],[1]!Data_BS[Index BS],DTR!$B43,[1]!Data_BS[TenCongTyID],DTR!$B$1,[1]!Data_BS[Thang.Nam],DTR!AB$5)</f>
        <v>0</v>
      </c>
      <c r="AC43" s="229">
        <f>SUMIFS([1]!Data_BS[Value],[1]!Data_BS[Index BS],DTR!$B43,[1]!Data_BS[TenCongTyID],DTR!$B$1,[1]!Data_BS[Thang.Nam],DTR!AC$5)</f>
        <v>0</v>
      </c>
      <c r="AD43" s="229">
        <f>SUMIFS([1]!Data_BS[Value],[1]!Data_BS[Index BS],DTR!$B43,[1]!Data_BS[TenCongTyID],DTR!$B$1,[1]!Data_BS[Thang.Nam],DTR!AD$5)</f>
        <v>0</v>
      </c>
      <c r="AE43" s="229">
        <f>SUMIFS([1]!Data_BS[Value],[1]!Data_BS[Index BS],DTR!$B43,[1]!Data_BS[TenCongTyID],DTR!$B$1,[1]!Data_BS[Thang.Nam],DTR!AE$5)</f>
        <v>0</v>
      </c>
      <c r="AF43" s="229">
        <f>SUMIFS([1]!Data_BS[Value],[1]!Data_BS[Index BS],DTR!$B43,[1]!Data_BS[TenCongTyID],DTR!$B$1,[1]!Data_BS[Thang.Nam],DTR!AF$5)</f>
        <v>0</v>
      </c>
      <c r="AG43" s="229">
        <f>SUMIFS([1]!Data_BS[Value],[1]!Data_BS[Index BS],DTR!$B43,[1]!Data_BS[TenCongTyID],DTR!$B$1,[1]!Data_BS[Thang.Nam],DTR!AG$5)</f>
        <v>0</v>
      </c>
      <c r="AH43" s="229">
        <f>SUMIFS([1]!Data_BS[Value],[1]!Data_BS[Index BS],DTR!$B43,[1]!Data_BS[TenCongTyID],DTR!$B$1,[1]!Data_BS[Thang.Nam],DTR!AH$5)</f>
        <v>0</v>
      </c>
      <c r="AI43" s="229">
        <f>SUMIFS([1]!Data_BS[Value],[1]!Data_BS[Index BS],DTR!$B43,[1]!Data_BS[TenCongTyID],DTR!$B$1,[1]!Data_BS[Thang.Nam],DTR!AI$5)</f>
        <v>0</v>
      </c>
      <c r="AJ43" s="229">
        <f>SUMIFS([1]!Data_BS[Value],[1]!Data_BS[Index BS],DTR!$B43,[1]!Data_BS[TenCongTyID],DTR!$B$1,[1]!Data_BS[Thang.Nam],DTR!AJ$5)</f>
        <v>0</v>
      </c>
      <c r="AK43" s="229">
        <f>SUMIFS([1]!Data_BS[Value],[1]!Data_BS[Index BS],DTR!$B43,[1]!Data_BS[TenCongTyID],DTR!$B$1,[1]!Data_BS[Thang.Nam],DTR!AK$5)</f>
        <v>0</v>
      </c>
      <c r="AL43" s="229">
        <f>SUMIFS([1]!Data_BS[Value],[1]!Data_BS[Index BS],DTR!$B43,[1]!Data_BS[TenCongTyID],DTR!$B$1,[1]!Data_BS[Thang.Nam],DTR!AL$5)</f>
        <v>0</v>
      </c>
    </row>
    <row r="44" spans="1:38" ht="15" hidden="1" customHeight="1" outlineLevel="1">
      <c r="A44" s="62" t="s">
        <v>128</v>
      </c>
      <c r="B44" s="63">
        <v>39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5600000000</v>
      </c>
      <c r="O44" s="230">
        <v>5600000000</v>
      </c>
      <c r="P44" s="229">
        <v>5600000000</v>
      </c>
      <c r="Q44" s="229">
        <v>5600000000</v>
      </c>
      <c r="R44" s="229">
        <v>5600000000</v>
      </c>
      <c r="S44" s="229">
        <v>5600000000</v>
      </c>
      <c r="T44" s="229">
        <v>5600000000</v>
      </c>
      <c r="U44" s="229">
        <v>5600000000</v>
      </c>
      <c r="V44" s="229">
        <v>5600000000</v>
      </c>
      <c r="W44" s="229">
        <v>5600000000</v>
      </c>
      <c r="X44" s="229">
        <v>5600000000</v>
      </c>
      <c r="Y44" s="229">
        <v>5600000000</v>
      </c>
      <c r="Z44" s="229">
        <v>5600000000</v>
      </c>
      <c r="AA44" s="229">
        <f>SUMIFS([1]!Data_BS[Value],[1]!Data_BS[Index BS],DTR!$B44,[1]!Data_BS[TenCongTyID],DTR!$B$1,[1]!Data_BS[Thang.Nam],DTR!AA$5)</f>
        <v>0</v>
      </c>
      <c r="AB44" s="229">
        <f>SUMIFS([1]!Data_BS[Value],[1]!Data_BS[Index BS],DTR!$B44,[1]!Data_BS[TenCongTyID],DTR!$B$1,[1]!Data_BS[Thang.Nam],DTR!AB$5)</f>
        <v>0</v>
      </c>
      <c r="AC44" s="229">
        <f>SUMIFS([1]!Data_BS[Value],[1]!Data_BS[Index BS],DTR!$B44,[1]!Data_BS[TenCongTyID],DTR!$B$1,[1]!Data_BS[Thang.Nam],DTR!AC$5)</f>
        <v>0</v>
      </c>
      <c r="AD44" s="229">
        <f>SUMIFS([1]!Data_BS[Value],[1]!Data_BS[Index BS],DTR!$B44,[1]!Data_BS[TenCongTyID],DTR!$B$1,[1]!Data_BS[Thang.Nam],DTR!AD$5)</f>
        <v>0</v>
      </c>
      <c r="AE44" s="229">
        <f>SUMIFS([1]!Data_BS[Value],[1]!Data_BS[Index BS],DTR!$B44,[1]!Data_BS[TenCongTyID],DTR!$B$1,[1]!Data_BS[Thang.Nam],DTR!AE$5)</f>
        <v>0</v>
      </c>
      <c r="AF44" s="229">
        <f>SUMIFS([1]!Data_BS[Value],[1]!Data_BS[Index BS],DTR!$B44,[1]!Data_BS[TenCongTyID],DTR!$B$1,[1]!Data_BS[Thang.Nam],DTR!AF$5)</f>
        <v>0</v>
      </c>
      <c r="AG44" s="229">
        <f>SUMIFS([1]!Data_BS[Value],[1]!Data_BS[Index BS],DTR!$B44,[1]!Data_BS[TenCongTyID],DTR!$B$1,[1]!Data_BS[Thang.Nam],DTR!AG$5)</f>
        <v>0</v>
      </c>
      <c r="AH44" s="229">
        <f>SUMIFS([1]!Data_BS[Value],[1]!Data_BS[Index BS],DTR!$B44,[1]!Data_BS[TenCongTyID],DTR!$B$1,[1]!Data_BS[Thang.Nam],DTR!AH$5)</f>
        <v>0</v>
      </c>
      <c r="AI44" s="229">
        <f>SUMIFS([1]!Data_BS[Value],[1]!Data_BS[Index BS],DTR!$B44,[1]!Data_BS[TenCongTyID],DTR!$B$1,[1]!Data_BS[Thang.Nam],DTR!AI$5)</f>
        <v>0</v>
      </c>
      <c r="AJ44" s="229">
        <f>SUMIFS([1]!Data_BS[Value],[1]!Data_BS[Index BS],DTR!$B44,[1]!Data_BS[TenCongTyID],DTR!$B$1,[1]!Data_BS[Thang.Nam],DTR!AJ$5)</f>
        <v>0</v>
      </c>
      <c r="AK44" s="229">
        <f>SUMIFS([1]!Data_BS[Value],[1]!Data_BS[Index BS],DTR!$B44,[1]!Data_BS[TenCongTyID],DTR!$B$1,[1]!Data_BS[Thang.Nam],DTR!AK$5)</f>
        <v>0</v>
      </c>
      <c r="AL44" s="229">
        <f>SUMIFS([1]!Data_BS[Value],[1]!Data_BS[Index BS],DTR!$B44,[1]!Data_BS[TenCongTyID],DTR!$B$1,[1]!Data_BS[Thang.Nam],DTR!AL$5)</f>
        <v>0</v>
      </c>
    </row>
    <row r="45" spans="1:38" ht="15" hidden="1" customHeight="1" outlineLevel="1">
      <c r="A45" s="62" t="s">
        <v>129</v>
      </c>
      <c r="B45" s="63">
        <v>40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Z45" s="229">
        <v>0</v>
      </c>
      <c r="AA45" s="229">
        <f>SUMIFS([1]!Data_BS[Value],[1]!Data_BS[Index BS],DTR!$B45,[1]!Data_BS[TenCongTyID],DTR!$B$1,[1]!Data_BS[Thang.Nam],DTR!AA$5)</f>
        <v>0</v>
      </c>
      <c r="AB45" s="229">
        <f>SUMIFS([1]!Data_BS[Value],[1]!Data_BS[Index BS],DTR!$B45,[1]!Data_BS[TenCongTyID],DTR!$B$1,[1]!Data_BS[Thang.Nam],DTR!AB$5)</f>
        <v>0</v>
      </c>
      <c r="AC45" s="229">
        <f>SUMIFS([1]!Data_BS[Value],[1]!Data_BS[Index BS],DTR!$B45,[1]!Data_BS[TenCongTyID],DTR!$B$1,[1]!Data_BS[Thang.Nam],DTR!AC$5)</f>
        <v>0</v>
      </c>
      <c r="AD45" s="229">
        <f>SUMIFS([1]!Data_BS[Value],[1]!Data_BS[Index BS],DTR!$B45,[1]!Data_BS[TenCongTyID],DTR!$B$1,[1]!Data_BS[Thang.Nam],DTR!AD$5)</f>
        <v>0</v>
      </c>
      <c r="AE45" s="229">
        <f>SUMIFS([1]!Data_BS[Value],[1]!Data_BS[Index BS],DTR!$B45,[1]!Data_BS[TenCongTyID],DTR!$B$1,[1]!Data_BS[Thang.Nam],DTR!AE$5)</f>
        <v>0</v>
      </c>
      <c r="AF45" s="229">
        <f>SUMIFS([1]!Data_BS[Value],[1]!Data_BS[Index BS],DTR!$B45,[1]!Data_BS[TenCongTyID],DTR!$B$1,[1]!Data_BS[Thang.Nam],DTR!AF$5)</f>
        <v>0</v>
      </c>
      <c r="AG45" s="229">
        <f>SUMIFS([1]!Data_BS[Value],[1]!Data_BS[Index BS],DTR!$B45,[1]!Data_BS[TenCongTyID],DTR!$B$1,[1]!Data_BS[Thang.Nam],DTR!AG$5)</f>
        <v>0</v>
      </c>
      <c r="AH45" s="229">
        <f>SUMIFS([1]!Data_BS[Value],[1]!Data_BS[Index BS],DTR!$B45,[1]!Data_BS[TenCongTyID],DTR!$B$1,[1]!Data_BS[Thang.Nam],DTR!AH$5)</f>
        <v>0</v>
      </c>
      <c r="AI45" s="229">
        <f>SUMIFS([1]!Data_BS[Value],[1]!Data_BS[Index BS],DTR!$B45,[1]!Data_BS[TenCongTyID],DTR!$B$1,[1]!Data_BS[Thang.Nam],DTR!AI$5)</f>
        <v>0</v>
      </c>
      <c r="AJ45" s="229">
        <f>SUMIFS([1]!Data_BS[Value],[1]!Data_BS[Index BS],DTR!$B45,[1]!Data_BS[TenCongTyID],DTR!$B$1,[1]!Data_BS[Thang.Nam],DTR!AJ$5)</f>
        <v>0</v>
      </c>
      <c r="AK45" s="229">
        <f>SUMIFS([1]!Data_BS[Value],[1]!Data_BS[Index BS],DTR!$B45,[1]!Data_BS[TenCongTyID],DTR!$B$1,[1]!Data_BS[Thang.Nam],DTR!AK$5)</f>
        <v>0</v>
      </c>
      <c r="AL45" s="229">
        <f>SUMIFS([1]!Data_BS[Value],[1]!Data_BS[Index BS],DTR!$B45,[1]!Data_BS[TenCongTyID],DTR!$B$1,[1]!Data_BS[Thang.Nam],DTR!AL$5)</f>
        <v>0</v>
      </c>
    </row>
    <row r="46" spans="1:38" ht="15" hidden="1" customHeight="1" outlineLevel="1">
      <c r="A46" s="72" t="s">
        <v>130</v>
      </c>
      <c r="B46" s="65">
        <v>41</v>
      </c>
      <c r="C46" s="233">
        <v>198013903445</v>
      </c>
      <c r="D46" s="233">
        <v>195010544683</v>
      </c>
      <c r="E46" s="233">
        <v>225730823955</v>
      </c>
      <c r="F46" s="233">
        <v>226001461052</v>
      </c>
      <c r="G46" s="233">
        <v>224673388970</v>
      </c>
      <c r="H46" s="233">
        <v>221428232280</v>
      </c>
      <c r="I46" s="233">
        <v>219409735799</v>
      </c>
      <c r="J46" s="233">
        <v>226228538916</v>
      </c>
      <c r="K46" s="233">
        <v>223962123590</v>
      </c>
      <c r="L46" s="233">
        <v>223016683107</v>
      </c>
      <c r="M46" s="233">
        <v>238599188942</v>
      </c>
      <c r="N46" s="234">
        <v>236902591180</v>
      </c>
      <c r="O46" s="242">
        <v>233135637012</v>
      </c>
      <c r="P46" s="234">
        <v>239769028633</v>
      </c>
      <c r="Q46" s="234">
        <v>244837616747</v>
      </c>
      <c r="R46" s="234">
        <v>241369190811</v>
      </c>
      <c r="S46" s="234">
        <v>237349552865</v>
      </c>
      <c r="T46" s="234">
        <v>233717444711</v>
      </c>
      <c r="U46" s="234">
        <v>229848858132</v>
      </c>
      <c r="V46" s="234">
        <v>248058151289</v>
      </c>
      <c r="W46" s="234">
        <v>245902729429</v>
      </c>
      <c r="X46" s="234">
        <v>244514286341</v>
      </c>
      <c r="Y46" s="234">
        <v>247438859420</v>
      </c>
      <c r="Z46" s="234">
        <v>243859258508</v>
      </c>
      <c r="AA46" s="234">
        <f>SUMIFS([1]!Data_BS[Value],[1]!Data_BS[Index BS],DTR!$B46,[1]!Data_BS[TenCongTyID],DTR!$B$1,[1]!Data_BS[Thang.Nam],DTR!AA$5)</f>
        <v>0</v>
      </c>
      <c r="AB46" s="234">
        <f>SUMIFS([1]!Data_BS[Value],[1]!Data_BS[Index BS],DTR!$B46,[1]!Data_BS[TenCongTyID],DTR!$B$1,[1]!Data_BS[Thang.Nam],DTR!AB$5)</f>
        <v>0</v>
      </c>
      <c r="AC46" s="234">
        <f>SUMIFS([1]!Data_BS[Value],[1]!Data_BS[Index BS],DTR!$B46,[1]!Data_BS[TenCongTyID],DTR!$B$1,[1]!Data_BS[Thang.Nam],DTR!AC$5)</f>
        <v>0</v>
      </c>
      <c r="AD46" s="234">
        <f>SUMIFS([1]!Data_BS[Value],[1]!Data_BS[Index BS],DTR!$B46,[1]!Data_BS[TenCongTyID],DTR!$B$1,[1]!Data_BS[Thang.Nam],DTR!AD$5)</f>
        <v>0</v>
      </c>
      <c r="AE46" s="234">
        <f>SUMIFS([1]!Data_BS[Value],[1]!Data_BS[Index BS],DTR!$B46,[1]!Data_BS[TenCongTyID],DTR!$B$1,[1]!Data_BS[Thang.Nam],DTR!AE$5)</f>
        <v>0</v>
      </c>
      <c r="AF46" s="234">
        <f>SUMIFS([1]!Data_BS[Value],[1]!Data_BS[Index BS],DTR!$B46,[1]!Data_BS[TenCongTyID],DTR!$B$1,[1]!Data_BS[Thang.Nam],DTR!AF$5)</f>
        <v>0</v>
      </c>
      <c r="AG46" s="234">
        <f>SUMIFS([1]!Data_BS[Value],[1]!Data_BS[Index BS],DTR!$B46,[1]!Data_BS[TenCongTyID],DTR!$B$1,[1]!Data_BS[Thang.Nam],DTR!AG$5)</f>
        <v>0</v>
      </c>
      <c r="AH46" s="234">
        <f>SUMIFS([1]!Data_BS[Value],[1]!Data_BS[Index BS],DTR!$B46,[1]!Data_BS[TenCongTyID],DTR!$B$1,[1]!Data_BS[Thang.Nam],DTR!AH$5)</f>
        <v>0</v>
      </c>
      <c r="AI46" s="234">
        <f>SUMIFS([1]!Data_BS[Value],[1]!Data_BS[Index BS],DTR!$B46,[1]!Data_BS[TenCongTyID],DTR!$B$1,[1]!Data_BS[Thang.Nam],DTR!AI$5)</f>
        <v>0</v>
      </c>
      <c r="AJ46" s="234">
        <f>SUMIFS([1]!Data_BS[Value],[1]!Data_BS[Index BS],DTR!$B46,[1]!Data_BS[TenCongTyID],DTR!$B$1,[1]!Data_BS[Thang.Nam],DTR!AJ$5)</f>
        <v>0</v>
      </c>
      <c r="AK46" s="234">
        <f>SUMIFS([1]!Data_BS[Value],[1]!Data_BS[Index BS],DTR!$B46,[1]!Data_BS[TenCongTyID],DTR!$B$1,[1]!Data_BS[Thang.Nam],DTR!AK$5)</f>
        <v>0</v>
      </c>
      <c r="AL46" s="234">
        <f>SUMIFS([1]!Data_BS[Value],[1]!Data_BS[Index BS],DTR!$B46,[1]!Data_BS[TenCongTyID],DTR!$B$1,[1]!Data_BS[Thang.Nam],DTR!AL$5)</f>
        <v>0</v>
      </c>
    </row>
    <row r="47" spans="1:38" ht="15" hidden="1" customHeight="1" outlineLevel="1">
      <c r="A47" s="72" t="s">
        <v>131</v>
      </c>
      <c r="B47" s="65">
        <v>42</v>
      </c>
      <c r="C47" s="233">
        <v>196381676069</v>
      </c>
      <c r="D47" s="233">
        <v>193412111334</v>
      </c>
      <c r="E47" s="233">
        <v>223734884594</v>
      </c>
      <c r="F47" s="233">
        <v>224051296275</v>
      </c>
      <c r="G47" s="233">
        <v>222768998777</v>
      </c>
      <c r="H47" s="233">
        <v>219569616674</v>
      </c>
      <c r="I47" s="233">
        <v>217596894777</v>
      </c>
      <c r="J47" s="233">
        <v>224461472477</v>
      </c>
      <c r="K47" s="233">
        <v>222240831735</v>
      </c>
      <c r="L47" s="233">
        <v>221341165837</v>
      </c>
      <c r="M47" s="233">
        <v>211514900800</v>
      </c>
      <c r="N47" s="234">
        <v>209868609863</v>
      </c>
      <c r="O47" s="242">
        <v>206695783278</v>
      </c>
      <c r="P47" s="234">
        <v>213923302488</v>
      </c>
      <c r="Q47" s="234">
        <v>219098407403</v>
      </c>
      <c r="R47" s="234">
        <v>216237653798</v>
      </c>
      <c r="S47" s="234">
        <v>212825688182</v>
      </c>
      <c r="T47" s="234">
        <v>209801252360</v>
      </c>
      <c r="U47" s="234">
        <v>206540338107</v>
      </c>
      <c r="V47" s="234">
        <v>225357303593</v>
      </c>
      <c r="W47" s="234">
        <v>221869598924</v>
      </c>
      <c r="X47" s="234">
        <v>221127752277</v>
      </c>
      <c r="Y47" s="234">
        <v>224698921799</v>
      </c>
      <c r="Z47" s="234">
        <v>221765917329</v>
      </c>
      <c r="AA47" s="234">
        <f>SUMIFS([1]!Data_BS[Value],[1]!Data_BS[Index BS],DTR!$B47,[1]!Data_BS[TenCongTyID],DTR!$B$1,[1]!Data_BS[Thang.Nam],DTR!AA$5)</f>
        <v>0</v>
      </c>
      <c r="AB47" s="234">
        <f>SUMIFS([1]!Data_BS[Value],[1]!Data_BS[Index BS],DTR!$B47,[1]!Data_BS[TenCongTyID],DTR!$B$1,[1]!Data_BS[Thang.Nam],DTR!AB$5)</f>
        <v>0</v>
      </c>
      <c r="AC47" s="234">
        <f>SUMIFS([1]!Data_BS[Value],[1]!Data_BS[Index BS],DTR!$B47,[1]!Data_BS[TenCongTyID],DTR!$B$1,[1]!Data_BS[Thang.Nam],DTR!AC$5)</f>
        <v>0</v>
      </c>
      <c r="AD47" s="234">
        <f>SUMIFS([1]!Data_BS[Value],[1]!Data_BS[Index BS],DTR!$B47,[1]!Data_BS[TenCongTyID],DTR!$B$1,[1]!Data_BS[Thang.Nam],DTR!AD$5)</f>
        <v>0</v>
      </c>
      <c r="AE47" s="234">
        <f>SUMIFS([1]!Data_BS[Value],[1]!Data_BS[Index BS],DTR!$B47,[1]!Data_BS[TenCongTyID],DTR!$B$1,[1]!Data_BS[Thang.Nam],DTR!AE$5)</f>
        <v>0</v>
      </c>
      <c r="AF47" s="234">
        <f>SUMIFS([1]!Data_BS[Value],[1]!Data_BS[Index BS],DTR!$B47,[1]!Data_BS[TenCongTyID],DTR!$B$1,[1]!Data_BS[Thang.Nam],DTR!AF$5)</f>
        <v>0</v>
      </c>
      <c r="AG47" s="234">
        <f>SUMIFS([1]!Data_BS[Value],[1]!Data_BS[Index BS],DTR!$B47,[1]!Data_BS[TenCongTyID],DTR!$B$1,[1]!Data_BS[Thang.Nam],DTR!AG$5)</f>
        <v>0</v>
      </c>
      <c r="AH47" s="234">
        <f>SUMIFS([1]!Data_BS[Value],[1]!Data_BS[Index BS],DTR!$B47,[1]!Data_BS[TenCongTyID],DTR!$B$1,[1]!Data_BS[Thang.Nam],DTR!AH$5)</f>
        <v>0</v>
      </c>
      <c r="AI47" s="234">
        <f>SUMIFS([1]!Data_BS[Value],[1]!Data_BS[Index BS],DTR!$B47,[1]!Data_BS[TenCongTyID],DTR!$B$1,[1]!Data_BS[Thang.Nam],DTR!AI$5)</f>
        <v>0</v>
      </c>
      <c r="AJ47" s="234">
        <f>SUMIFS([1]!Data_BS[Value],[1]!Data_BS[Index BS],DTR!$B47,[1]!Data_BS[TenCongTyID],DTR!$B$1,[1]!Data_BS[Thang.Nam],DTR!AJ$5)</f>
        <v>0</v>
      </c>
      <c r="AK47" s="234">
        <f>SUMIFS([1]!Data_BS[Value],[1]!Data_BS[Index BS],DTR!$B47,[1]!Data_BS[TenCongTyID],DTR!$B$1,[1]!Data_BS[Thang.Nam],DTR!AK$5)</f>
        <v>0</v>
      </c>
      <c r="AL47" s="234">
        <f>SUMIFS([1]!Data_BS[Value],[1]!Data_BS[Index BS],DTR!$B47,[1]!Data_BS[TenCongTyID],DTR!$B$1,[1]!Data_BS[Thang.Nam],DTR!AL$5)</f>
        <v>0</v>
      </c>
    </row>
    <row r="48" spans="1:38" ht="15" hidden="1" customHeight="1" outlineLevel="1">
      <c r="A48" s="73" t="s">
        <v>132</v>
      </c>
      <c r="B48" s="63">
        <v>43</v>
      </c>
      <c r="C48" s="229">
        <v>257666841694</v>
      </c>
      <c r="D48" s="229">
        <v>257666841694</v>
      </c>
      <c r="E48" s="229">
        <v>290954799860</v>
      </c>
      <c r="F48" s="229">
        <v>294406461356</v>
      </c>
      <c r="G48" s="229">
        <v>296317113552</v>
      </c>
      <c r="H48" s="229">
        <v>296312396885</v>
      </c>
      <c r="I48" s="229">
        <v>297568396885</v>
      </c>
      <c r="J48" s="229">
        <v>307504902865</v>
      </c>
      <c r="K48" s="229">
        <v>308673199161</v>
      </c>
      <c r="L48" s="229">
        <v>311019813374</v>
      </c>
      <c r="M48" s="229">
        <v>288613480028</v>
      </c>
      <c r="N48" s="229">
        <v>290150220028</v>
      </c>
      <c r="O48" s="231">
        <v>290186420028</v>
      </c>
      <c r="P48" s="229">
        <v>300624510263</v>
      </c>
      <c r="Q48" s="229">
        <v>309208121569</v>
      </c>
      <c r="R48" s="229">
        <v>309236016561</v>
      </c>
      <c r="S48" s="229">
        <v>309308233601</v>
      </c>
      <c r="T48" s="229">
        <v>309763593785</v>
      </c>
      <c r="U48" s="229">
        <v>309740464757</v>
      </c>
      <c r="V48" s="229">
        <v>331642753074</v>
      </c>
      <c r="W48" s="229">
        <v>331956337304</v>
      </c>
      <c r="X48" s="229">
        <v>334828750908</v>
      </c>
      <c r="Y48" s="229">
        <v>342175274548</v>
      </c>
      <c r="Z48" s="229">
        <v>343037991979</v>
      </c>
      <c r="AA48" s="229">
        <f>SUMIFS([1]!Data_BS[Value],[1]!Data_BS[Index BS],DTR!$B48,[1]!Data_BS[TenCongTyID],DTR!$B$1,[1]!Data_BS[Thang.Nam],DTR!AA$5)</f>
        <v>0</v>
      </c>
      <c r="AB48" s="229">
        <f>SUMIFS([1]!Data_BS[Value],[1]!Data_BS[Index BS],DTR!$B48,[1]!Data_BS[TenCongTyID],DTR!$B$1,[1]!Data_BS[Thang.Nam],DTR!AB$5)</f>
        <v>0</v>
      </c>
      <c r="AC48" s="229">
        <f>SUMIFS([1]!Data_BS[Value],[1]!Data_BS[Index BS],DTR!$B48,[1]!Data_BS[TenCongTyID],DTR!$B$1,[1]!Data_BS[Thang.Nam],DTR!AC$5)</f>
        <v>0</v>
      </c>
      <c r="AD48" s="229">
        <f>SUMIFS([1]!Data_BS[Value],[1]!Data_BS[Index BS],DTR!$B48,[1]!Data_BS[TenCongTyID],DTR!$B$1,[1]!Data_BS[Thang.Nam],DTR!AD$5)</f>
        <v>0</v>
      </c>
      <c r="AE48" s="229">
        <f>SUMIFS([1]!Data_BS[Value],[1]!Data_BS[Index BS],DTR!$B48,[1]!Data_BS[TenCongTyID],DTR!$B$1,[1]!Data_BS[Thang.Nam],DTR!AE$5)</f>
        <v>0</v>
      </c>
      <c r="AF48" s="229">
        <f>SUMIFS([1]!Data_BS[Value],[1]!Data_BS[Index BS],DTR!$B48,[1]!Data_BS[TenCongTyID],DTR!$B$1,[1]!Data_BS[Thang.Nam],DTR!AF$5)</f>
        <v>0</v>
      </c>
      <c r="AG48" s="229">
        <f>SUMIFS([1]!Data_BS[Value],[1]!Data_BS[Index BS],DTR!$B48,[1]!Data_BS[TenCongTyID],DTR!$B$1,[1]!Data_BS[Thang.Nam],DTR!AG$5)</f>
        <v>0</v>
      </c>
      <c r="AH48" s="229">
        <f>SUMIFS([1]!Data_BS[Value],[1]!Data_BS[Index BS],DTR!$B48,[1]!Data_BS[TenCongTyID],DTR!$B$1,[1]!Data_BS[Thang.Nam],DTR!AH$5)</f>
        <v>0</v>
      </c>
      <c r="AI48" s="229">
        <f>SUMIFS([1]!Data_BS[Value],[1]!Data_BS[Index BS],DTR!$B48,[1]!Data_BS[TenCongTyID],DTR!$B$1,[1]!Data_BS[Thang.Nam],DTR!AI$5)</f>
        <v>0</v>
      </c>
      <c r="AJ48" s="229">
        <f>SUMIFS([1]!Data_BS[Value],[1]!Data_BS[Index BS],DTR!$B48,[1]!Data_BS[TenCongTyID],DTR!$B$1,[1]!Data_BS[Thang.Nam],DTR!AJ$5)</f>
        <v>0</v>
      </c>
      <c r="AK48" s="229">
        <f>SUMIFS([1]!Data_BS[Value],[1]!Data_BS[Index BS],DTR!$B48,[1]!Data_BS[TenCongTyID],DTR!$B$1,[1]!Data_BS[Thang.Nam],DTR!AK$5)</f>
        <v>0</v>
      </c>
      <c r="AL48" s="229">
        <f>SUMIFS([1]!Data_BS[Value],[1]!Data_BS[Index BS],DTR!$B48,[1]!Data_BS[TenCongTyID],DTR!$B$1,[1]!Data_BS[Thang.Nam],DTR!AL$5)</f>
        <v>0</v>
      </c>
    </row>
    <row r="49" spans="1:38" ht="15" hidden="1" customHeight="1" outlineLevel="1">
      <c r="A49" s="73" t="s">
        <v>133</v>
      </c>
      <c r="B49" s="63">
        <v>44</v>
      </c>
      <c r="C49" s="229">
        <v>-61285165625</v>
      </c>
      <c r="D49" s="229">
        <v>-64254730360</v>
      </c>
      <c r="E49" s="229">
        <v>-67219915266</v>
      </c>
      <c r="F49" s="229">
        <v>-70355165081</v>
      </c>
      <c r="G49" s="229">
        <v>-73548114775</v>
      </c>
      <c r="H49" s="229">
        <v>-76742780211</v>
      </c>
      <c r="I49" s="229">
        <v>-79971502108</v>
      </c>
      <c r="J49" s="229">
        <v>-83043430388</v>
      </c>
      <c r="K49" s="229">
        <v>-86432367426</v>
      </c>
      <c r="L49" s="229">
        <v>-89678647537</v>
      </c>
      <c r="M49" s="229">
        <v>-77098579228</v>
      </c>
      <c r="N49" s="229">
        <v>-80281610165</v>
      </c>
      <c r="O49" s="243">
        <v>-83490636750</v>
      </c>
      <c r="P49" s="229">
        <v>-86701207775</v>
      </c>
      <c r="Q49" s="229">
        <v>-90109714166</v>
      </c>
      <c r="R49" s="229">
        <v>-92998362763</v>
      </c>
      <c r="S49" s="229">
        <v>-96482545419</v>
      </c>
      <c r="T49" s="229">
        <v>-99962341425</v>
      </c>
      <c r="U49" s="229">
        <v>-103200126650</v>
      </c>
      <c r="V49" s="229">
        <v>-106285449481</v>
      </c>
      <c r="W49" s="229">
        <v>-110086738380</v>
      </c>
      <c r="X49" s="229">
        <v>-113700998631</v>
      </c>
      <c r="Y49" s="229">
        <v>-117476352749</v>
      </c>
      <c r="Z49" s="229">
        <v>-121272074650</v>
      </c>
      <c r="AA49" s="229">
        <f>SUMIFS([1]!Data_BS[Value],[1]!Data_BS[Index BS],DTR!$B49,[1]!Data_BS[TenCongTyID],DTR!$B$1,[1]!Data_BS[Thang.Nam],DTR!AA$5)</f>
        <v>0</v>
      </c>
      <c r="AB49" s="229">
        <f>SUMIFS([1]!Data_BS[Value],[1]!Data_BS[Index BS],DTR!$B49,[1]!Data_BS[TenCongTyID],DTR!$B$1,[1]!Data_BS[Thang.Nam],DTR!AB$5)</f>
        <v>0</v>
      </c>
      <c r="AC49" s="229">
        <f>SUMIFS([1]!Data_BS[Value],[1]!Data_BS[Index BS],DTR!$B49,[1]!Data_BS[TenCongTyID],DTR!$B$1,[1]!Data_BS[Thang.Nam],DTR!AC$5)</f>
        <v>0</v>
      </c>
      <c r="AD49" s="229">
        <f>SUMIFS([1]!Data_BS[Value],[1]!Data_BS[Index BS],DTR!$B49,[1]!Data_BS[TenCongTyID],DTR!$B$1,[1]!Data_BS[Thang.Nam],DTR!AD$5)</f>
        <v>0</v>
      </c>
      <c r="AE49" s="229">
        <f>SUMIFS([1]!Data_BS[Value],[1]!Data_BS[Index BS],DTR!$B49,[1]!Data_BS[TenCongTyID],DTR!$B$1,[1]!Data_BS[Thang.Nam],DTR!AE$5)</f>
        <v>0</v>
      </c>
      <c r="AF49" s="229">
        <f>SUMIFS([1]!Data_BS[Value],[1]!Data_BS[Index BS],DTR!$B49,[1]!Data_BS[TenCongTyID],DTR!$B$1,[1]!Data_BS[Thang.Nam],DTR!AF$5)</f>
        <v>0</v>
      </c>
      <c r="AG49" s="229">
        <f>SUMIFS([1]!Data_BS[Value],[1]!Data_BS[Index BS],DTR!$B49,[1]!Data_BS[TenCongTyID],DTR!$B$1,[1]!Data_BS[Thang.Nam],DTR!AG$5)</f>
        <v>0</v>
      </c>
      <c r="AH49" s="229">
        <f>SUMIFS([1]!Data_BS[Value],[1]!Data_BS[Index BS],DTR!$B49,[1]!Data_BS[TenCongTyID],DTR!$B$1,[1]!Data_BS[Thang.Nam],DTR!AH$5)</f>
        <v>0</v>
      </c>
      <c r="AI49" s="229">
        <f>SUMIFS([1]!Data_BS[Value],[1]!Data_BS[Index BS],DTR!$B49,[1]!Data_BS[TenCongTyID],DTR!$B$1,[1]!Data_BS[Thang.Nam],DTR!AI$5)</f>
        <v>0</v>
      </c>
      <c r="AJ49" s="229">
        <f>SUMIFS([1]!Data_BS[Value],[1]!Data_BS[Index BS],DTR!$B49,[1]!Data_BS[TenCongTyID],DTR!$B$1,[1]!Data_BS[Thang.Nam],DTR!AJ$5)</f>
        <v>0</v>
      </c>
      <c r="AK49" s="229">
        <f>SUMIFS([1]!Data_BS[Value],[1]!Data_BS[Index BS],DTR!$B49,[1]!Data_BS[TenCongTyID],DTR!$B$1,[1]!Data_BS[Thang.Nam],DTR!AK$5)</f>
        <v>0</v>
      </c>
      <c r="AL49" s="229">
        <f>SUMIFS([1]!Data_BS[Value],[1]!Data_BS[Index BS],DTR!$B49,[1]!Data_BS[TenCongTyID],DTR!$B$1,[1]!Data_BS[Thang.Nam],DTR!AL$5)</f>
        <v>0</v>
      </c>
    </row>
    <row r="50" spans="1:38" ht="15" hidden="1" customHeight="1" outlineLevel="1">
      <c r="A50" s="72" t="s">
        <v>134</v>
      </c>
      <c r="B50" s="65">
        <v>45</v>
      </c>
      <c r="C50" s="233">
        <v>0</v>
      </c>
      <c r="D50" s="233">
        <v>0</v>
      </c>
      <c r="E50" s="233">
        <v>0</v>
      </c>
      <c r="F50" s="233">
        <v>0</v>
      </c>
      <c r="G50" s="233">
        <v>0</v>
      </c>
      <c r="H50" s="233">
        <v>0</v>
      </c>
      <c r="I50" s="233">
        <v>0</v>
      </c>
      <c r="J50" s="233">
        <v>0</v>
      </c>
      <c r="K50" s="233">
        <v>0</v>
      </c>
      <c r="L50" s="233">
        <v>0</v>
      </c>
      <c r="M50" s="233">
        <v>25454545455</v>
      </c>
      <c r="N50" s="234">
        <v>24920890315</v>
      </c>
      <c r="O50" s="242">
        <v>24387235175</v>
      </c>
      <c r="P50" s="234">
        <v>23853580028</v>
      </c>
      <c r="Q50" s="234">
        <v>23319924886</v>
      </c>
      <c r="R50" s="234">
        <v>22786269743</v>
      </c>
      <c r="S50" s="234">
        <v>22252614599</v>
      </c>
      <c r="T50" s="234">
        <v>21718959455</v>
      </c>
      <c r="U50" s="234">
        <v>21185304314</v>
      </c>
      <c r="V50" s="234">
        <v>20651649171</v>
      </c>
      <c r="W50" s="234">
        <v>20117994030</v>
      </c>
      <c r="X50" s="234">
        <v>19584338888</v>
      </c>
      <c r="Y50" s="234">
        <v>19050683744</v>
      </c>
      <c r="Z50" s="234">
        <v>18517028601</v>
      </c>
      <c r="AA50" s="234">
        <f>SUMIFS([1]!Data_BS[Value],[1]!Data_BS[Index BS],DTR!$B50,[1]!Data_BS[TenCongTyID],DTR!$B$1,[1]!Data_BS[Thang.Nam],DTR!AA$5)</f>
        <v>0</v>
      </c>
      <c r="AB50" s="234">
        <f>SUMIFS([1]!Data_BS[Value],[1]!Data_BS[Index BS],DTR!$B50,[1]!Data_BS[TenCongTyID],DTR!$B$1,[1]!Data_BS[Thang.Nam],DTR!AB$5)</f>
        <v>0</v>
      </c>
      <c r="AC50" s="234">
        <f>SUMIFS([1]!Data_BS[Value],[1]!Data_BS[Index BS],DTR!$B50,[1]!Data_BS[TenCongTyID],DTR!$B$1,[1]!Data_BS[Thang.Nam],DTR!AC$5)</f>
        <v>0</v>
      </c>
      <c r="AD50" s="234">
        <f>SUMIFS([1]!Data_BS[Value],[1]!Data_BS[Index BS],DTR!$B50,[1]!Data_BS[TenCongTyID],DTR!$B$1,[1]!Data_BS[Thang.Nam],DTR!AD$5)</f>
        <v>0</v>
      </c>
      <c r="AE50" s="234">
        <f>SUMIFS([1]!Data_BS[Value],[1]!Data_BS[Index BS],DTR!$B50,[1]!Data_BS[TenCongTyID],DTR!$B$1,[1]!Data_BS[Thang.Nam],DTR!AE$5)</f>
        <v>0</v>
      </c>
      <c r="AF50" s="234">
        <f>SUMIFS([1]!Data_BS[Value],[1]!Data_BS[Index BS],DTR!$B50,[1]!Data_BS[TenCongTyID],DTR!$B$1,[1]!Data_BS[Thang.Nam],DTR!AF$5)</f>
        <v>0</v>
      </c>
      <c r="AG50" s="234">
        <f>SUMIFS([1]!Data_BS[Value],[1]!Data_BS[Index BS],DTR!$B50,[1]!Data_BS[TenCongTyID],DTR!$B$1,[1]!Data_BS[Thang.Nam],DTR!AG$5)</f>
        <v>0</v>
      </c>
      <c r="AH50" s="234">
        <f>SUMIFS([1]!Data_BS[Value],[1]!Data_BS[Index BS],DTR!$B50,[1]!Data_BS[TenCongTyID],DTR!$B$1,[1]!Data_BS[Thang.Nam],DTR!AH$5)</f>
        <v>0</v>
      </c>
      <c r="AI50" s="234">
        <f>SUMIFS([1]!Data_BS[Value],[1]!Data_BS[Index BS],DTR!$B50,[1]!Data_BS[TenCongTyID],DTR!$B$1,[1]!Data_BS[Thang.Nam],DTR!AI$5)</f>
        <v>0</v>
      </c>
      <c r="AJ50" s="234">
        <f>SUMIFS([1]!Data_BS[Value],[1]!Data_BS[Index BS],DTR!$B50,[1]!Data_BS[TenCongTyID],DTR!$B$1,[1]!Data_BS[Thang.Nam],DTR!AJ$5)</f>
        <v>0</v>
      </c>
      <c r="AK50" s="234">
        <f>SUMIFS([1]!Data_BS[Value],[1]!Data_BS[Index BS],DTR!$B50,[1]!Data_BS[TenCongTyID],DTR!$B$1,[1]!Data_BS[Thang.Nam],DTR!AK$5)</f>
        <v>0</v>
      </c>
      <c r="AL50" s="234">
        <f>SUMIFS([1]!Data_BS[Value],[1]!Data_BS[Index BS],DTR!$B50,[1]!Data_BS[TenCongTyID],DTR!$B$1,[1]!Data_BS[Thang.Nam],DTR!AL$5)</f>
        <v>0</v>
      </c>
    </row>
    <row r="51" spans="1:38" ht="15" hidden="1" customHeight="1" outlineLevel="1">
      <c r="A51" s="73" t="s">
        <v>135</v>
      </c>
      <c r="B51" s="63">
        <v>46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25454545455</v>
      </c>
      <c r="N51" s="229">
        <v>25454545455</v>
      </c>
      <c r="O51" s="231">
        <v>25454545455</v>
      </c>
      <c r="P51" s="229">
        <v>25454545455</v>
      </c>
      <c r="Q51" s="229">
        <v>25454545455</v>
      </c>
      <c r="R51" s="229">
        <v>25454545455</v>
      </c>
      <c r="S51" s="229">
        <v>25454545455</v>
      </c>
      <c r="T51" s="229">
        <v>25454545455</v>
      </c>
      <c r="U51" s="229">
        <v>25454545455</v>
      </c>
      <c r="V51" s="229">
        <v>25454545455</v>
      </c>
      <c r="W51" s="229">
        <v>25454545455</v>
      </c>
      <c r="X51" s="229">
        <v>25454545455</v>
      </c>
      <c r="Y51" s="229">
        <v>25454545455</v>
      </c>
      <c r="Z51" s="229">
        <v>25454545455</v>
      </c>
      <c r="AA51" s="229">
        <f>SUMIFS([1]!Data_BS[Value],[1]!Data_BS[Index BS],DTR!$B51,[1]!Data_BS[TenCongTyID],DTR!$B$1,[1]!Data_BS[Thang.Nam],DTR!AA$5)</f>
        <v>0</v>
      </c>
      <c r="AB51" s="229">
        <f>SUMIFS([1]!Data_BS[Value],[1]!Data_BS[Index BS],DTR!$B51,[1]!Data_BS[TenCongTyID],DTR!$B$1,[1]!Data_BS[Thang.Nam],DTR!AB$5)</f>
        <v>0</v>
      </c>
      <c r="AC51" s="229">
        <f>SUMIFS([1]!Data_BS[Value],[1]!Data_BS[Index BS],DTR!$B51,[1]!Data_BS[TenCongTyID],DTR!$B$1,[1]!Data_BS[Thang.Nam],DTR!AC$5)</f>
        <v>0</v>
      </c>
      <c r="AD51" s="229">
        <f>SUMIFS([1]!Data_BS[Value],[1]!Data_BS[Index BS],DTR!$B51,[1]!Data_BS[TenCongTyID],DTR!$B$1,[1]!Data_BS[Thang.Nam],DTR!AD$5)</f>
        <v>0</v>
      </c>
      <c r="AE51" s="229">
        <f>SUMIFS([1]!Data_BS[Value],[1]!Data_BS[Index BS],DTR!$B51,[1]!Data_BS[TenCongTyID],DTR!$B$1,[1]!Data_BS[Thang.Nam],DTR!AE$5)</f>
        <v>0</v>
      </c>
      <c r="AF51" s="229">
        <f>SUMIFS([1]!Data_BS[Value],[1]!Data_BS[Index BS],DTR!$B51,[1]!Data_BS[TenCongTyID],DTR!$B$1,[1]!Data_BS[Thang.Nam],DTR!AF$5)</f>
        <v>0</v>
      </c>
      <c r="AG51" s="229">
        <f>SUMIFS([1]!Data_BS[Value],[1]!Data_BS[Index BS],DTR!$B51,[1]!Data_BS[TenCongTyID],DTR!$B$1,[1]!Data_BS[Thang.Nam],DTR!AG$5)</f>
        <v>0</v>
      </c>
      <c r="AH51" s="229">
        <f>SUMIFS([1]!Data_BS[Value],[1]!Data_BS[Index BS],DTR!$B51,[1]!Data_BS[TenCongTyID],DTR!$B$1,[1]!Data_BS[Thang.Nam],DTR!AH$5)</f>
        <v>0</v>
      </c>
      <c r="AI51" s="229">
        <f>SUMIFS([1]!Data_BS[Value],[1]!Data_BS[Index BS],DTR!$B51,[1]!Data_BS[TenCongTyID],DTR!$B$1,[1]!Data_BS[Thang.Nam],DTR!AI$5)</f>
        <v>0</v>
      </c>
      <c r="AJ51" s="229">
        <f>SUMIFS([1]!Data_BS[Value],[1]!Data_BS[Index BS],DTR!$B51,[1]!Data_BS[TenCongTyID],DTR!$B$1,[1]!Data_BS[Thang.Nam],DTR!AJ$5)</f>
        <v>0</v>
      </c>
      <c r="AK51" s="229">
        <f>SUMIFS([1]!Data_BS[Value],[1]!Data_BS[Index BS],DTR!$B51,[1]!Data_BS[TenCongTyID],DTR!$B$1,[1]!Data_BS[Thang.Nam],DTR!AK$5)</f>
        <v>0</v>
      </c>
      <c r="AL51" s="229">
        <f>SUMIFS([1]!Data_BS[Value],[1]!Data_BS[Index BS],DTR!$B51,[1]!Data_BS[TenCongTyID],DTR!$B$1,[1]!Data_BS[Thang.Nam],DTR!AL$5)</f>
        <v>0</v>
      </c>
    </row>
    <row r="52" spans="1:38" ht="15" hidden="1" customHeight="1" outlineLevel="1">
      <c r="A52" s="73" t="s">
        <v>136</v>
      </c>
      <c r="B52" s="63">
        <v>47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-533655140</v>
      </c>
      <c r="O52" s="243">
        <v>-1067310280</v>
      </c>
      <c r="P52" s="229">
        <v>-1600965427</v>
      </c>
      <c r="Q52" s="229">
        <v>-2134620569</v>
      </c>
      <c r="R52" s="229">
        <v>-2668275712</v>
      </c>
      <c r="S52" s="229">
        <v>-3201930856</v>
      </c>
      <c r="T52" s="229">
        <v>-3735586000</v>
      </c>
      <c r="U52" s="229">
        <v>-4269241141</v>
      </c>
      <c r="V52" s="229">
        <v>-4802896284</v>
      </c>
      <c r="W52" s="229">
        <v>-5336551425</v>
      </c>
      <c r="X52" s="229">
        <v>-5870206567</v>
      </c>
      <c r="Y52" s="229">
        <v>-6403861711</v>
      </c>
      <c r="Z52" s="229">
        <v>-6937516854</v>
      </c>
      <c r="AA52" s="229">
        <f>SUMIFS([1]!Data_BS[Value],[1]!Data_BS[Index BS],DTR!$B52,[1]!Data_BS[TenCongTyID],DTR!$B$1,[1]!Data_BS[Thang.Nam],DTR!AA$5)</f>
        <v>0</v>
      </c>
      <c r="AB52" s="229">
        <f>SUMIFS([1]!Data_BS[Value],[1]!Data_BS[Index BS],DTR!$B52,[1]!Data_BS[TenCongTyID],DTR!$B$1,[1]!Data_BS[Thang.Nam],DTR!AB$5)</f>
        <v>0</v>
      </c>
      <c r="AC52" s="229">
        <f>SUMIFS([1]!Data_BS[Value],[1]!Data_BS[Index BS],DTR!$B52,[1]!Data_BS[TenCongTyID],DTR!$B$1,[1]!Data_BS[Thang.Nam],DTR!AC$5)</f>
        <v>0</v>
      </c>
      <c r="AD52" s="229">
        <f>SUMIFS([1]!Data_BS[Value],[1]!Data_BS[Index BS],DTR!$B52,[1]!Data_BS[TenCongTyID],DTR!$B$1,[1]!Data_BS[Thang.Nam],DTR!AD$5)</f>
        <v>0</v>
      </c>
      <c r="AE52" s="229">
        <f>SUMIFS([1]!Data_BS[Value],[1]!Data_BS[Index BS],DTR!$B52,[1]!Data_BS[TenCongTyID],DTR!$B$1,[1]!Data_BS[Thang.Nam],DTR!AE$5)</f>
        <v>0</v>
      </c>
      <c r="AF52" s="229">
        <f>SUMIFS([1]!Data_BS[Value],[1]!Data_BS[Index BS],DTR!$B52,[1]!Data_BS[TenCongTyID],DTR!$B$1,[1]!Data_BS[Thang.Nam],DTR!AF$5)</f>
        <v>0</v>
      </c>
      <c r="AG52" s="229">
        <f>SUMIFS([1]!Data_BS[Value],[1]!Data_BS[Index BS],DTR!$B52,[1]!Data_BS[TenCongTyID],DTR!$B$1,[1]!Data_BS[Thang.Nam],DTR!AG$5)</f>
        <v>0</v>
      </c>
      <c r="AH52" s="229">
        <f>SUMIFS([1]!Data_BS[Value],[1]!Data_BS[Index BS],DTR!$B52,[1]!Data_BS[TenCongTyID],DTR!$B$1,[1]!Data_BS[Thang.Nam],DTR!AH$5)</f>
        <v>0</v>
      </c>
      <c r="AI52" s="229">
        <f>SUMIFS([1]!Data_BS[Value],[1]!Data_BS[Index BS],DTR!$B52,[1]!Data_BS[TenCongTyID],DTR!$B$1,[1]!Data_BS[Thang.Nam],DTR!AI$5)</f>
        <v>0</v>
      </c>
      <c r="AJ52" s="229">
        <f>SUMIFS([1]!Data_BS[Value],[1]!Data_BS[Index BS],DTR!$B52,[1]!Data_BS[TenCongTyID],DTR!$B$1,[1]!Data_BS[Thang.Nam],DTR!AJ$5)</f>
        <v>0</v>
      </c>
      <c r="AK52" s="229">
        <f>SUMIFS([1]!Data_BS[Value],[1]!Data_BS[Index BS],DTR!$B52,[1]!Data_BS[TenCongTyID],DTR!$B$1,[1]!Data_BS[Thang.Nam],DTR!AK$5)</f>
        <v>0</v>
      </c>
      <c r="AL52" s="229">
        <f>SUMIFS([1]!Data_BS[Value],[1]!Data_BS[Index BS],DTR!$B52,[1]!Data_BS[TenCongTyID],DTR!$B$1,[1]!Data_BS[Thang.Nam],DTR!AL$5)</f>
        <v>0</v>
      </c>
    </row>
    <row r="53" spans="1:38" ht="15" hidden="1" customHeight="1" outlineLevel="1">
      <c r="A53" s="72" t="s">
        <v>137</v>
      </c>
      <c r="B53" s="65">
        <v>48</v>
      </c>
      <c r="C53" s="233">
        <v>1632227376</v>
      </c>
      <c r="D53" s="233">
        <v>1598433349</v>
      </c>
      <c r="E53" s="233">
        <v>1995939361</v>
      </c>
      <c r="F53" s="233">
        <v>1950164777</v>
      </c>
      <c r="G53" s="233">
        <v>1904390193</v>
      </c>
      <c r="H53" s="233">
        <v>1858615606</v>
      </c>
      <c r="I53" s="233">
        <v>1812841022</v>
      </c>
      <c r="J53" s="233">
        <v>1767066439</v>
      </c>
      <c r="K53" s="233">
        <v>1721291855</v>
      </c>
      <c r="L53" s="233">
        <v>1675517270</v>
      </c>
      <c r="M53" s="233">
        <v>1629742687</v>
      </c>
      <c r="N53" s="234">
        <v>2113091002</v>
      </c>
      <c r="O53" s="234">
        <v>2052618559</v>
      </c>
      <c r="P53" s="234">
        <v>1992146117</v>
      </c>
      <c r="Q53" s="234">
        <v>2419284458</v>
      </c>
      <c r="R53" s="234">
        <v>2345267270</v>
      </c>
      <c r="S53" s="234">
        <v>2271250084</v>
      </c>
      <c r="T53" s="234">
        <v>2197232896</v>
      </c>
      <c r="U53" s="234">
        <v>2123215711</v>
      </c>
      <c r="V53" s="234">
        <v>2049198525</v>
      </c>
      <c r="W53" s="234">
        <v>3915136475</v>
      </c>
      <c r="X53" s="234">
        <v>3802195176</v>
      </c>
      <c r="Y53" s="234">
        <v>3689253877</v>
      </c>
      <c r="Z53" s="234">
        <v>3576312578</v>
      </c>
      <c r="AA53" s="234">
        <f>SUMIFS([1]!Data_BS[Value],[1]!Data_BS[Index BS],DTR!$B53,[1]!Data_BS[TenCongTyID],DTR!$B$1,[1]!Data_BS[Thang.Nam],DTR!AA$5)</f>
        <v>0</v>
      </c>
      <c r="AB53" s="234">
        <f>SUMIFS([1]!Data_BS[Value],[1]!Data_BS[Index BS],DTR!$B53,[1]!Data_BS[TenCongTyID],DTR!$B$1,[1]!Data_BS[Thang.Nam],DTR!AB$5)</f>
        <v>0</v>
      </c>
      <c r="AC53" s="234">
        <f>SUMIFS([1]!Data_BS[Value],[1]!Data_BS[Index BS],DTR!$B53,[1]!Data_BS[TenCongTyID],DTR!$B$1,[1]!Data_BS[Thang.Nam],DTR!AC$5)</f>
        <v>0</v>
      </c>
      <c r="AD53" s="234">
        <f>SUMIFS([1]!Data_BS[Value],[1]!Data_BS[Index BS],DTR!$B53,[1]!Data_BS[TenCongTyID],DTR!$B$1,[1]!Data_BS[Thang.Nam],DTR!AD$5)</f>
        <v>0</v>
      </c>
      <c r="AE53" s="234">
        <f>SUMIFS([1]!Data_BS[Value],[1]!Data_BS[Index BS],DTR!$B53,[1]!Data_BS[TenCongTyID],DTR!$B$1,[1]!Data_BS[Thang.Nam],DTR!AE$5)</f>
        <v>0</v>
      </c>
      <c r="AF53" s="234">
        <f>SUMIFS([1]!Data_BS[Value],[1]!Data_BS[Index BS],DTR!$B53,[1]!Data_BS[TenCongTyID],DTR!$B$1,[1]!Data_BS[Thang.Nam],DTR!AF$5)</f>
        <v>0</v>
      </c>
      <c r="AG53" s="234">
        <f>SUMIFS([1]!Data_BS[Value],[1]!Data_BS[Index BS],DTR!$B53,[1]!Data_BS[TenCongTyID],DTR!$B$1,[1]!Data_BS[Thang.Nam],DTR!AG$5)</f>
        <v>0</v>
      </c>
      <c r="AH53" s="234">
        <f>SUMIFS([1]!Data_BS[Value],[1]!Data_BS[Index BS],DTR!$B53,[1]!Data_BS[TenCongTyID],DTR!$B$1,[1]!Data_BS[Thang.Nam],DTR!AH$5)</f>
        <v>0</v>
      </c>
      <c r="AI53" s="234">
        <f>SUMIFS([1]!Data_BS[Value],[1]!Data_BS[Index BS],DTR!$B53,[1]!Data_BS[TenCongTyID],DTR!$B$1,[1]!Data_BS[Thang.Nam],DTR!AI$5)</f>
        <v>0</v>
      </c>
      <c r="AJ53" s="234">
        <f>SUMIFS([1]!Data_BS[Value],[1]!Data_BS[Index BS],DTR!$B53,[1]!Data_BS[TenCongTyID],DTR!$B$1,[1]!Data_BS[Thang.Nam],DTR!AJ$5)</f>
        <v>0</v>
      </c>
      <c r="AK53" s="234">
        <f>SUMIFS([1]!Data_BS[Value],[1]!Data_BS[Index BS],DTR!$B53,[1]!Data_BS[TenCongTyID],DTR!$B$1,[1]!Data_BS[Thang.Nam],DTR!AK$5)</f>
        <v>0</v>
      </c>
      <c r="AL53" s="234">
        <f>SUMIFS([1]!Data_BS[Value],[1]!Data_BS[Index BS],DTR!$B53,[1]!Data_BS[TenCongTyID],DTR!$B$1,[1]!Data_BS[Thang.Nam],DTR!AL$5)</f>
        <v>0</v>
      </c>
    </row>
    <row r="54" spans="1:38" ht="15" hidden="1" customHeight="1" outlineLevel="1">
      <c r="A54" s="73" t="s">
        <v>138</v>
      </c>
      <c r="B54" s="63">
        <v>49</v>
      </c>
      <c r="C54" s="229">
        <v>2646035060</v>
      </c>
      <c r="D54" s="229">
        <v>2646035060</v>
      </c>
      <c r="E54" s="229">
        <v>3077335099</v>
      </c>
      <c r="F54" s="229">
        <v>3077335099</v>
      </c>
      <c r="G54" s="229">
        <v>3077335099</v>
      </c>
      <c r="H54" s="229">
        <v>3077335099</v>
      </c>
      <c r="I54" s="229">
        <v>3077335099</v>
      </c>
      <c r="J54" s="229">
        <v>3077335099</v>
      </c>
      <c r="K54" s="229">
        <v>3077335099</v>
      </c>
      <c r="L54" s="229">
        <v>3077335099</v>
      </c>
      <c r="M54" s="229">
        <v>3077335099</v>
      </c>
      <c r="N54" s="229">
        <v>3606457998</v>
      </c>
      <c r="O54" s="230">
        <v>3606457998</v>
      </c>
      <c r="P54" s="244">
        <v>3606457998</v>
      </c>
      <c r="Q54" s="229">
        <v>4094068781</v>
      </c>
      <c r="R54" s="229">
        <v>4094068781</v>
      </c>
      <c r="S54" s="229">
        <v>4094068781</v>
      </c>
      <c r="T54" s="229">
        <v>4094068781</v>
      </c>
      <c r="U54" s="229">
        <v>4094068781</v>
      </c>
      <c r="V54" s="229">
        <v>4094068781</v>
      </c>
      <c r="W54" s="229">
        <v>6032562739</v>
      </c>
      <c r="X54" s="229">
        <v>6032562739</v>
      </c>
      <c r="Y54" s="229">
        <v>6032562739</v>
      </c>
      <c r="Z54" s="229">
        <v>6032562739</v>
      </c>
      <c r="AA54" s="229">
        <f>SUMIFS([1]!Data_BS[Value],[1]!Data_BS[Index BS],DTR!$B54,[1]!Data_BS[TenCongTyID],DTR!$B$1,[1]!Data_BS[Thang.Nam],DTR!AA$5)</f>
        <v>0</v>
      </c>
      <c r="AB54" s="229">
        <f>SUMIFS([1]!Data_BS[Value],[1]!Data_BS[Index BS],DTR!$B54,[1]!Data_BS[TenCongTyID],DTR!$B$1,[1]!Data_BS[Thang.Nam],DTR!AB$5)</f>
        <v>0</v>
      </c>
      <c r="AC54" s="229">
        <f>SUMIFS([1]!Data_BS[Value],[1]!Data_BS[Index BS],DTR!$B54,[1]!Data_BS[TenCongTyID],DTR!$B$1,[1]!Data_BS[Thang.Nam],DTR!AC$5)</f>
        <v>0</v>
      </c>
      <c r="AD54" s="229">
        <f>SUMIFS([1]!Data_BS[Value],[1]!Data_BS[Index BS],DTR!$B54,[1]!Data_BS[TenCongTyID],DTR!$B$1,[1]!Data_BS[Thang.Nam],DTR!AD$5)</f>
        <v>0</v>
      </c>
      <c r="AE54" s="229">
        <f>SUMIFS([1]!Data_BS[Value],[1]!Data_BS[Index BS],DTR!$B54,[1]!Data_BS[TenCongTyID],DTR!$B$1,[1]!Data_BS[Thang.Nam],DTR!AE$5)</f>
        <v>0</v>
      </c>
      <c r="AF54" s="229">
        <f>SUMIFS([1]!Data_BS[Value],[1]!Data_BS[Index BS],DTR!$B54,[1]!Data_BS[TenCongTyID],DTR!$B$1,[1]!Data_BS[Thang.Nam],DTR!AF$5)</f>
        <v>0</v>
      </c>
      <c r="AG54" s="229">
        <f>SUMIFS([1]!Data_BS[Value],[1]!Data_BS[Index BS],DTR!$B54,[1]!Data_BS[TenCongTyID],DTR!$B$1,[1]!Data_BS[Thang.Nam],DTR!AG$5)</f>
        <v>0</v>
      </c>
      <c r="AH54" s="229">
        <f>SUMIFS([1]!Data_BS[Value],[1]!Data_BS[Index BS],DTR!$B54,[1]!Data_BS[TenCongTyID],DTR!$B$1,[1]!Data_BS[Thang.Nam],DTR!AH$5)</f>
        <v>0</v>
      </c>
      <c r="AI54" s="229">
        <f>SUMIFS([1]!Data_BS[Value],[1]!Data_BS[Index BS],DTR!$B54,[1]!Data_BS[TenCongTyID],DTR!$B$1,[1]!Data_BS[Thang.Nam],DTR!AI$5)</f>
        <v>0</v>
      </c>
      <c r="AJ54" s="229">
        <f>SUMIFS([1]!Data_BS[Value],[1]!Data_BS[Index BS],DTR!$B54,[1]!Data_BS[TenCongTyID],DTR!$B$1,[1]!Data_BS[Thang.Nam],DTR!AJ$5)</f>
        <v>0</v>
      </c>
      <c r="AK54" s="229">
        <f>SUMIFS([1]!Data_BS[Value],[1]!Data_BS[Index BS],DTR!$B54,[1]!Data_BS[TenCongTyID],DTR!$B$1,[1]!Data_BS[Thang.Nam],DTR!AK$5)</f>
        <v>0</v>
      </c>
      <c r="AL54" s="229">
        <f>SUMIFS([1]!Data_BS[Value],[1]!Data_BS[Index BS],DTR!$B54,[1]!Data_BS[TenCongTyID],DTR!$B$1,[1]!Data_BS[Thang.Nam],DTR!AL$5)</f>
        <v>0</v>
      </c>
    </row>
    <row r="55" spans="1:38" ht="15" hidden="1" customHeight="1" outlineLevel="1">
      <c r="A55" s="73" t="s">
        <v>139</v>
      </c>
      <c r="B55" s="63">
        <v>50</v>
      </c>
      <c r="C55" s="229">
        <v>-1013807684</v>
      </c>
      <c r="D55" s="229">
        <v>-1047601711</v>
      </c>
      <c r="E55" s="229">
        <v>-1081395738</v>
      </c>
      <c r="F55" s="229">
        <v>-1127170322</v>
      </c>
      <c r="G55" s="229">
        <v>-1172944906</v>
      </c>
      <c r="H55" s="229">
        <v>-1218719493</v>
      </c>
      <c r="I55" s="229">
        <v>-1264494077</v>
      </c>
      <c r="J55" s="229">
        <v>-1310268660</v>
      </c>
      <c r="K55" s="229">
        <v>-1356043244</v>
      </c>
      <c r="L55" s="229">
        <v>-1401817829</v>
      </c>
      <c r="M55" s="229">
        <v>-1447592412</v>
      </c>
      <c r="N55" s="229">
        <v>-1493366996</v>
      </c>
      <c r="O55" s="245">
        <v>-1553839439</v>
      </c>
      <c r="P55" s="244">
        <v>-1614311881</v>
      </c>
      <c r="Q55" s="229">
        <v>-1674784323</v>
      </c>
      <c r="R55" s="229">
        <v>-1748801511</v>
      </c>
      <c r="S55" s="229">
        <v>-1822818697</v>
      </c>
      <c r="T55" s="229">
        <v>-1896835885</v>
      </c>
      <c r="U55" s="229">
        <v>-1970853070</v>
      </c>
      <c r="V55" s="229">
        <v>-2044870256</v>
      </c>
      <c r="W55" s="229">
        <v>-2117426264</v>
      </c>
      <c r="X55" s="229">
        <v>-2230367563</v>
      </c>
      <c r="Y55" s="229">
        <v>-2343308862</v>
      </c>
      <c r="Z55" s="229">
        <v>-2456250161</v>
      </c>
      <c r="AA55" s="229">
        <f>SUMIFS([1]!Data_BS[Value],[1]!Data_BS[Index BS],DTR!$B55,[1]!Data_BS[TenCongTyID],DTR!$B$1,[1]!Data_BS[Thang.Nam],DTR!AA$5)</f>
        <v>0</v>
      </c>
      <c r="AB55" s="229">
        <f>SUMIFS([1]!Data_BS[Value],[1]!Data_BS[Index BS],DTR!$B55,[1]!Data_BS[TenCongTyID],DTR!$B$1,[1]!Data_BS[Thang.Nam],DTR!AB$5)</f>
        <v>0</v>
      </c>
      <c r="AC55" s="229">
        <f>SUMIFS([1]!Data_BS[Value],[1]!Data_BS[Index BS],DTR!$B55,[1]!Data_BS[TenCongTyID],DTR!$B$1,[1]!Data_BS[Thang.Nam],DTR!AC$5)</f>
        <v>0</v>
      </c>
      <c r="AD55" s="229">
        <f>SUMIFS([1]!Data_BS[Value],[1]!Data_BS[Index BS],DTR!$B55,[1]!Data_BS[TenCongTyID],DTR!$B$1,[1]!Data_BS[Thang.Nam],DTR!AD$5)</f>
        <v>0</v>
      </c>
      <c r="AE55" s="229">
        <f>SUMIFS([1]!Data_BS[Value],[1]!Data_BS[Index BS],DTR!$B55,[1]!Data_BS[TenCongTyID],DTR!$B$1,[1]!Data_BS[Thang.Nam],DTR!AE$5)</f>
        <v>0</v>
      </c>
      <c r="AF55" s="229">
        <f>SUMIFS([1]!Data_BS[Value],[1]!Data_BS[Index BS],DTR!$B55,[1]!Data_BS[TenCongTyID],DTR!$B$1,[1]!Data_BS[Thang.Nam],DTR!AF$5)</f>
        <v>0</v>
      </c>
      <c r="AG55" s="229">
        <f>SUMIFS([1]!Data_BS[Value],[1]!Data_BS[Index BS],DTR!$B55,[1]!Data_BS[TenCongTyID],DTR!$B$1,[1]!Data_BS[Thang.Nam],DTR!AG$5)</f>
        <v>0</v>
      </c>
      <c r="AH55" s="229">
        <f>SUMIFS([1]!Data_BS[Value],[1]!Data_BS[Index BS],DTR!$B55,[1]!Data_BS[TenCongTyID],DTR!$B$1,[1]!Data_BS[Thang.Nam],DTR!AH$5)</f>
        <v>0</v>
      </c>
      <c r="AI55" s="229">
        <f>SUMIFS([1]!Data_BS[Value],[1]!Data_BS[Index BS],DTR!$B55,[1]!Data_BS[TenCongTyID],DTR!$B$1,[1]!Data_BS[Thang.Nam],DTR!AI$5)</f>
        <v>0</v>
      </c>
      <c r="AJ55" s="229">
        <f>SUMIFS([1]!Data_BS[Value],[1]!Data_BS[Index BS],DTR!$B55,[1]!Data_BS[TenCongTyID],DTR!$B$1,[1]!Data_BS[Thang.Nam],DTR!AJ$5)</f>
        <v>0</v>
      </c>
      <c r="AK55" s="229">
        <f>SUMIFS([1]!Data_BS[Value],[1]!Data_BS[Index BS],DTR!$B55,[1]!Data_BS[TenCongTyID],DTR!$B$1,[1]!Data_BS[Thang.Nam],DTR!AK$5)</f>
        <v>0</v>
      </c>
      <c r="AL55" s="229">
        <f>SUMIFS([1]!Data_BS[Value],[1]!Data_BS[Index BS],DTR!$B55,[1]!Data_BS[TenCongTyID],DTR!$B$1,[1]!Data_BS[Thang.Nam],DTR!AL$5)</f>
        <v>0</v>
      </c>
    </row>
    <row r="56" spans="1:38" ht="15" hidden="1" customHeight="1" outlineLevel="1">
      <c r="A56" s="72" t="s">
        <v>140</v>
      </c>
      <c r="B56" s="65">
        <v>51</v>
      </c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46"/>
      <c r="P56" s="244"/>
      <c r="Q56" s="229"/>
      <c r="R56" s="229"/>
      <c r="S56" s="229"/>
      <c r="T56" s="229"/>
      <c r="U56" s="229"/>
      <c r="V56" s="229"/>
      <c r="W56" s="229"/>
      <c r="X56" s="229"/>
      <c r="Y56" s="229"/>
      <c r="Z56" s="229">
        <v>0</v>
      </c>
      <c r="AA56" s="229">
        <f>SUMIFS([1]!Data_BS[Value],[1]!Data_BS[Index BS],DTR!$B56,[1]!Data_BS[TenCongTyID],DTR!$B$1,[1]!Data_BS[Thang.Nam],DTR!AA$5)</f>
        <v>0</v>
      </c>
      <c r="AB56" s="229">
        <f>SUMIFS([1]!Data_BS[Value],[1]!Data_BS[Index BS],DTR!$B56,[1]!Data_BS[TenCongTyID],DTR!$B$1,[1]!Data_BS[Thang.Nam],DTR!AB$5)</f>
        <v>0</v>
      </c>
      <c r="AC56" s="229">
        <f>SUMIFS([1]!Data_BS[Value],[1]!Data_BS[Index BS],DTR!$B56,[1]!Data_BS[TenCongTyID],DTR!$B$1,[1]!Data_BS[Thang.Nam],DTR!AC$5)</f>
        <v>0</v>
      </c>
      <c r="AD56" s="229">
        <f>SUMIFS([1]!Data_BS[Value],[1]!Data_BS[Index BS],DTR!$B56,[1]!Data_BS[TenCongTyID],DTR!$B$1,[1]!Data_BS[Thang.Nam],DTR!AD$5)</f>
        <v>0</v>
      </c>
      <c r="AE56" s="229">
        <f>SUMIFS([1]!Data_BS[Value],[1]!Data_BS[Index BS],DTR!$B56,[1]!Data_BS[TenCongTyID],DTR!$B$1,[1]!Data_BS[Thang.Nam],DTR!AE$5)</f>
        <v>0</v>
      </c>
      <c r="AF56" s="229">
        <f>SUMIFS([1]!Data_BS[Value],[1]!Data_BS[Index BS],DTR!$B56,[1]!Data_BS[TenCongTyID],DTR!$B$1,[1]!Data_BS[Thang.Nam],DTR!AF$5)</f>
        <v>0</v>
      </c>
      <c r="AG56" s="229">
        <f>SUMIFS([1]!Data_BS[Value],[1]!Data_BS[Index BS],DTR!$B56,[1]!Data_BS[TenCongTyID],DTR!$B$1,[1]!Data_BS[Thang.Nam],DTR!AG$5)</f>
        <v>0</v>
      </c>
      <c r="AH56" s="229">
        <f>SUMIFS([1]!Data_BS[Value],[1]!Data_BS[Index BS],DTR!$B56,[1]!Data_BS[TenCongTyID],DTR!$B$1,[1]!Data_BS[Thang.Nam],DTR!AH$5)</f>
        <v>0</v>
      </c>
      <c r="AI56" s="229">
        <f>SUMIFS([1]!Data_BS[Value],[1]!Data_BS[Index BS],DTR!$B56,[1]!Data_BS[TenCongTyID],DTR!$B$1,[1]!Data_BS[Thang.Nam],DTR!AI$5)</f>
        <v>0</v>
      </c>
      <c r="AJ56" s="229">
        <f>SUMIFS([1]!Data_BS[Value],[1]!Data_BS[Index BS],DTR!$B56,[1]!Data_BS[TenCongTyID],DTR!$B$1,[1]!Data_BS[Thang.Nam],DTR!AJ$5)</f>
        <v>0</v>
      </c>
      <c r="AK56" s="229">
        <f>SUMIFS([1]!Data_BS[Value],[1]!Data_BS[Index BS],DTR!$B56,[1]!Data_BS[TenCongTyID],DTR!$B$1,[1]!Data_BS[Thang.Nam],DTR!AK$5)</f>
        <v>0</v>
      </c>
      <c r="AL56" s="229">
        <f>SUMIFS([1]!Data_BS[Value],[1]!Data_BS[Index BS],DTR!$B56,[1]!Data_BS[TenCongTyID],DTR!$B$1,[1]!Data_BS[Thang.Nam],DTR!AL$5)</f>
        <v>0</v>
      </c>
    </row>
    <row r="57" spans="1:38" ht="15" hidden="1" customHeight="1" outlineLevel="1">
      <c r="A57" s="73" t="s">
        <v>141</v>
      </c>
      <c r="B57" s="63">
        <v>52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46"/>
      <c r="P57" s="244"/>
      <c r="Q57" s="229"/>
      <c r="R57" s="229"/>
      <c r="S57" s="229"/>
      <c r="T57" s="229"/>
      <c r="U57" s="229"/>
      <c r="V57" s="229"/>
      <c r="W57" s="229"/>
      <c r="X57" s="229"/>
      <c r="Y57" s="229"/>
      <c r="Z57" s="229">
        <v>0</v>
      </c>
      <c r="AA57" s="229">
        <f>SUMIFS([1]!Data_BS[Value],[1]!Data_BS[Index BS],DTR!$B57,[1]!Data_BS[TenCongTyID],DTR!$B$1,[1]!Data_BS[Thang.Nam],DTR!AA$5)</f>
        <v>0</v>
      </c>
      <c r="AB57" s="229">
        <f>SUMIFS([1]!Data_BS[Value],[1]!Data_BS[Index BS],DTR!$B57,[1]!Data_BS[TenCongTyID],DTR!$B$1,[1]!Data_BS[Thang.Nam],DTR!AB$5)</f>
        <v>0</v>
      </c>
      <c r="AC57" s="229">
        <f>SUMIFS([1]!Data_BS[Value],[1]!Data_BS[Index BS],DTR!$B57,[1]!Data_BS[TenCongTyID],DTR!$B$1,[1]!Data_BS[Thang.Nam],DTR!AC$5)</f>
        <v>0</v>
      </c>
      <c r="AD57" s="229">
        <f>SUMIFS([1]!Data_BS[Value],[1]!Data_BS[Index BS],DTR!$B57,[1]!Data_BS[TenCongTyID],DTR!$B$1,[1]!Data_BS[Thang.Nam],DTR!AD$5)</f>
        <v>0</v>
      </c>
      <c r="AE57" s="229">
        <f>SUMIFS([1]!Data_BS[Value],[1]!Data_BS[Index BS],DTR!$B57,[1]!Data_BS[TenCongTyID],DTR!$B$1,[1]!Data_BS[Thang.Nam],DTR!AE$5)</f>
        <v>0</v>
      </c>
      <c r="AF57" s="229">
        <f>SUMIFS([1]!Data_BS[Value],[1]!Data_BS[Index BS],DTR!$B57,[1]!Data_BS[TenCongTyID],DTR!$B$1,[1]!Data_BS[Thang.Nam],DTR!AF$5)</f>
        <v>0</v>
      </c>
      <c r="AG57" s="229">
        <f>SUMIFS([1]!Data_BS[Value],[1]!Data_BS[Index BS],DTR!$B57,[1]!Data_BS[TenCongTyID],DTR!$B$1,[1]!Data_BS[Thang.Nam],DTR!AG$5)</f>
        <v>0</v>
      </c>
      <c r="AH57" s="229">
        <f>SUMIFS([1]!Data_BS[Value],[1]!Data_BS[Index BS],DTR!$B57,[1]!Data_BS[TenCongTyID],DTR!$B$1,[1]!Data_BS[Thang.Nam],DTR!AH$5)</f>
        <v>0</v>
      </c>
      <c r="AI57" s="229">
        <f>SUMIFS([1]!Data_BS[Value],[1]!Data_BS[Index BS],DTR!$B57,[1]!Data_BS[TenCongTyID],DTR!$B$1,[1]!Data_BS[Thang.Nam],DTR!AI$5)</f>
        <v>0</v>
      </c>
      <c r="AJ57" s="229">
        <f>SUMIFS([1]!Data_BS[Value],[1]!Data_BS[Index BS],DTR!$B57,[1]!Data_BS[TenCongTyID],DTR!$B$1,[1]!Data_BS[Thang.Nam],DTR!AJ$5)</f>
        <v>0</v>
      </c>
      <c r="AK57" s="229">
        <f>SUMIFS([1]!Data_BS[Value],[1]!Data_BS[Index BS],DTR!$B57,[1]!Data_BS[TenCongTyID],DTR!$B$1,[1]!Data_BS[Thang.Nam],DTR!AK$5)</f>
        <v>0</v>
      </c>
      <c r="AL57" s="229">
        <f>SUMIFS([1]!Data_BS[Value],[1]!Data_BS[Index BS],DTR!$B57,[1]!Data_BS[TenCongTyID],DTR!$B$1,[1]!Data_BS[Thang.Nam],DTR!AL$5)</f>
        <v>0</v>
      </c>
    </row>
    <row r="58" spans="1:38" ht="15" hidden="1" customHeight="1" outlineLevel="1">
      <c r="A58" s="73" t="s">
        <v>142</v>
      </c>
      <c r="B58" s="63">
        <v>53</v>
      </c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46"/>
      <c r="P58" s="244"/>
      <c r="Q58" s="229"/>
      <c r="R58" s="229"/>
      <c r="S58" s="229"/>
      <c r="T58" s="229"/>
      <c r="U58" s="229"/>
      <c r="V58" s="229"/>
      <c r="W58" s="229"/>
      <c r="X58" s="229"/>
      <c r="Y58" s="229"/>
      <c r="Z58" s="229">
        <v>0</v>
      </c>
      <c r="AA58" s="229">
        <f>SUMIFS([1]!Data_BS[Value],[1]!Data_BS[Index BS],DTR!$B58,[1]!Data_BS[TenCongTyID],DTR!$B$1,[1]!Data_BS[Thang.Nam],DTR!AA$5)</f>
        <v>0</v>
      </c>
      <c r="AB58" s="229">
        <f>SUMIFS([1]!Data_BS[Value],[1]!Data_BS[Index BS],DTR!$B58,[1]!Data_BS[TenCongTyID],DTR!$B$1,[1]!Data_BS[Thang.Nam],DTR!AB$5)</f>
        <v>0</v>
      </c>
      <c r="AC58" s="229">
        <f>SUMIFS([1]!Data_BS[Value],[1]!Data_BS[Index BS],DTR!$B58,[1]!Data_BS[TenCongTyID],DTR!$B$1,[1]!Data_BS[Thang.Nam],DTR!AC$5)</f>
        <v>0</v>
      </c>
      <c r="AD58" s="229">
        <f>SUMIFS([1]!Data_BS[Value],[1]!Data_BS[Index BS],DTR!$B58,[1]!Data_BS[TenCongTyID],DTR!$B$1,[1]!Data_BS[Thang.Nam],DTR!AD$5)</f>
        <v>0</v>
      </c>
      <c r="AE58" s="229">
        <f>SUMIFS([1]!Data_BS[Value],[1]!Data_BS[Index BS],DTR!$B58,[1]!Data_BS[TenCongTyID],DTR!$B$1,[1]!Data_BS[Thang.Nam],DTR!AE$5)</f>
        <v>0</v>
      </c>
      <c r="AF58" s="229">
        <f>SUMIFS([1]!Data_BS[Value],[1]!Data_BS[Index BS],DTR!$B58,[1]!Data_BS[TenCongTyID],DTR!$B$1,[1]!Data_BS[Thang.Nam],DTR!AF$5)</f>
        <v>0</v>
      </c>
      <c r="AG58" s="229">
        <f>SUMIFS([1]!Data_BS[Value],[1]!Data_BS[Index BS],DTR!$B58,[1]!Data_BS[TenCongTyID],DTR!$B$1,[1]!Data_BS[Thang.Nam],DTR!AG$5)</f>
        <v>0</v>
      </c>
      <c r="AH58" s="229">
        <f>SUMIFS([1]!Data_BS[Value],[1]!Data_BS[Index BS],DTR!$B58,[1]!Data_BS[TenCongTyID],DTR!$B$1,[1]!Data_BS[Thang.Nam],DTR!AH$5)</f>
        <v>0</v>
      </c>
      <c r="AI58" s="229">
        <f>SUMIFS([1]!Data_BS[Value],[1]!Data_BS[Index BS],DTR!$B58,[1]!Data_BS[TenCongTyID],DTR!$B$1,[1]!Data_BS[Thang.Nam],DTR!AI$5)</f>
        <v>0</v>
      </c>
      <c r="AJ58" s="229">
        <f>SUMIFS([1]!Data_BS[Value],[1]!Data_BS[Index BS],DTR!$B58,[1]!Data_BS[TenCongTyID],DTR!$B$1,[1]!Data_BS[Thang.Nam],DTR!AJ$5)</f>
        <v>0</v>
      </c>
      <c r="AK58" s="229">
        <f>SUMIFS([1]!Data_BS[Value],[1]!Data_BS[Index BS],DTR!$B58,[1]!Data_BS[TenCongTyID],DTR!$B$1,[1]!Data_BS[Thang.Nam],DTR!AK$5)</f>
        <v>0</v>
      </c>
      <c r="AL58" s="229">
        <f>SUMIFS([1]!Data_BS[Value],[1]!Data_BS[Index BS],DTR!$B58,[1]!Data_BS[TenCongTyID],DTR!$B$1,[1]!Data_BS[Thang.Nam],DTR!AL$5)</f>
        <v>0</v>
      </c>
    </row>
    <row r="59" spans="1:38" ht="15" hidden="1" customHeight="1" outlineLevel="1">
      <c r="A59" s="73" t="s">
        <v>143</v>
      </c>
      <c r="B59" s="63">
        <v>54</v>
      </c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46"/>
      <c r="P59" s="244"/>
      <c r="Q59" s="229"/>
      <c r="R59" s="229"/>
      <c r="S59" s="229"/>
      <c r="T59" s="229"/>
      <c r="U59" s="229"/>
      <c r="V59" s="229"/>
      <c r="W59" s="229"/>
      <c r="X59" s="229"/>
      <c r="Y59" s="229"/>
      <c r="Z59" s="229">
        <v>0</v>
      </c>
      <c r="AA59" s="229">
        <f>SUMIFS([1]!Data_BS[Value],[1]!Data_BS[Index BS],DTR!$B59,[1]!Data_BS[TenCongTyID],DTR!$B$1,[1]!Data_BS[Thang.Nam],DTR!AA$5)</f>
        <v>0</v>
      </c>
      <c r="AB59" s="229">
        <f>SUMIFS([1]!Data_BS[Value],[1]!Data_BS[Index BS],DTR!$B59,[1]!Data_BS[TenCongTyID],DTR!$B$1,[1]!Data_BS[Thang.Nam],DTR!AB$5)</f>
        <v>0</v>
      </c>
      <c r="AC59" s="229">
        <f>SUMIFS([1]!Data_BS[Value],[1]!Data_BS[Index BS],DTR!$B59,[1]!Data_BS[TenCongTyID],DTR!$B$1,[1]!Data_BS[Thang.Nam],DTR!AC$5)</f>
        <v>0</v>
      </c>
      <c r="AD59" s="229">
        <f>SUMIFS([1]!Data_BS[Value],[1]!Data_BS[Index BS],DTR!$B59,[1]!Data_BS[TenCongTyID],DTR!$B$1,[1]!Data_BS[Thang.Nam],DTR!AD$5)</f>
        <v>0</v>
      </c>
      <c r="AE59" s="229">
        <f>SUMIFS([1]!Data_BS[Value],[1]!Data_BS[Index BS],DTR!$B59,[1]!Data_BS[TenCongTyID],DTR!$B$1,[1]!Data_BS[Thang.Nam],DTR!AE$5)</f>
        <v>0</v>
      </c>
      <c r="AF59" s="229">
        <f>SUMIFS([1]!Data_BS[Value],[1]!Data_BS[Index BS],DTR!$B59,[1]!Data_BS[TenCongTyID],DTR!$B$1,[1]!Data_BS[Thang.Nam],DTR!AF$5)</f>
        <v>0</v>
      </c>
      <c r="AG59" s="229">
        <f>SUMIFS([1]!Data_BS[Value],[1]!Data_BS[Index BS],DTR!$B59,[1]!Data_BS[TenCongTyID],DTR!$B$1,[1]!Data_BS[Thang.Nam],DTR!AG$5)</f>
        <v>0</v>
      </c>
      <c r="AH59" s="229">
        <f>SUMIFS([1]!Data_BS[Value],[1]!Data_BS[Index BS],DTR!$B59,[1]!Data_BS[TenCongTyID],DTR!$B$1,[1]!Data_BS[Thang.Nam],DTR!AH$5)</f>
        <v>0</v>
      </c>
      <c r="AI59" s="229">
        <f>SUMIFS([1]!Data_BS[Value],[1]!Data_BS[Index BS],DTR!$B59,[1]!Data_BS[TenCongTyID],DTR!$B$1,[1]!Data_BS[Thang.Nam],DTR!AI$5)</f>
        <v>0</v>
      </c>
      <c r="AJ59" s="229">
        <f>SUMIFS([1]!Data_BS[Value],[1]!Data_BS[Index BS],DTR!$B59,[1]!Data_BS[TenCongTyID],DTR!$B$1,[1]!Data_BS[Thang.Nam],DTR!AJ$5)</f>
        <v>0</v>
      </c>
      <c r="AK59" s="229">
        <f>SUMIFS([1]!Data_BS[Value],[1]!Data_BS[Index BS],DTR!$B59,[1]!Data_BS[TenCongTyID],DTR!$B$1,[1]!Data_BS[Thang.Nam],DTR!AK$5)</f>
        <v>0</v>
      </c>
      <c r="AL59" s="229">
        <f>SUMIFS([1]!Data_BS[Value],[1]!Data_BS[Index BS],DTR!$B59,[1]!Data_BS[TenCongTyID],DTR!$B$1,[1]!Data_BS[Thang.Nam],DTR!AL$5)</f>
        <v>0</v>
      </c>
    </row>
    <row r="60" spans="1:38" ht="15" hidden="1" customHeight="1" outlineLevel="1">
      <c r="A60" s="73" t="s">
        <v>144</v>
      </c>
      <c r="B60" s="63">
        <v>55</v>
      </c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46"/>
      <c r="P60" s="244"/>
      <c r="Q60" s="229"/>
      <c r="R60" s="229"/>
      <c r="S60" s="229"/>
      <c r="T60" s="229"/>
      <c r="U60" s="229"/>
      <c r="V60" s="229"/>
      <c r="W60" s="229"/>
      <c r="X60" s="229"/>
      <c r="Y60" s="229"/>
      <c r="Z60" s="229">
        <v>0</v>
      </c>
      <c r="AA60" s="229">
        <f>SUMIFS([1]!Data_BS[Value],[1]!Data_BS[Index BS],DTR!$B60,[1]!Data_BS[TenCongTyID],DTR!$B$1,[1]!Data_BS[Thang.Nam],DTR!AA$5)</f>
        <v>0</v>
      </c>
      <c r="AB60" s="229">
        <f>SUMIFS([1]!Data_BS[Value],[1]!Data_BS[Index BS],DTR!$B60,[1]!Data_BS[TenCongTyID],DTR!$B$1,[1]!Data_BS[Thang.Nam],DTR!AB$5)</f>
        <v>0</v>
      </c>
      <c r="AC60" s="229">
        <f>SUMIFS([1]!Data_BS[Value],[1]!Data_BS[Index BS],DTR!$B60,[1]!Data_BS[TenCongTyID],DTR!$B$1,[1]!Data_BS[Thang.Nam],DTR!AC$5)</f>
        <v>0</v>
      </c>
      <c r="AD60" s="229">
        <f>SUMIFS([1]!Data_BS[Value],[1]!Data_BS[Index BS],DTR!$B60,[1]!Data_BS[TenCongTyID],DTR!$B$1,[1]!Data_BS[Thang.Nam],DTR!AD$5)</f>
        <v>0</v>
      </c>
      <c r="AE60" s="229">
        <f>SUMIFS([1]!Data_BS[Value],[1]!Data_BS[Index BS],DTR!$B60,[1]!Data_BS[TenCongTyID],DTR!$B$1,[1]!Data_BS[Thang.Nam],DTR!AE$5)</f>
        <v>0</v>
      </c>
      <c r="AF60" s="229">
        <f>SUMIFS([1]!Data_BS[Value],[1]!Data_BS[Index BS],DTR!$B60,[1]!Data_BS[TenCongTyID],DTR!$B$1,[1]!Data_BS[Thang.Nam],DTR!AF$5)</f>
        <v>0</v>
      </c>
      <c r="AG60" s="229">
        <f>SUMIFS([1]!Data_BS[Value],[1]!Data_BS[Index BS],DTR!$B60,[1]!Data_BS[TenCongTyID],DTR!$B$1,[1]!Data_BS[Thang.Nam],DTR!AG$5)</f>
        <v>0</v>
      </c>
      <c r="AH60" s="229">
        <f>SUMIFS([1]!Data_BS[Value],[1]!Data_BS[Index BS],DTR!$B60,[1]!Data_BS[TenCongTyID],DTR!$B$1,[1]!Data_BS[Thang.Nam],DTR!AH$5)</f>
        <v>0</v>
      </c>
      <c r="AI60" s="229">
        <f>SUMIFS([1]!Data_BS[Value],[1]!Data_BS[Index BS],DTR!$B60,[1]!Data_BS[TenCongTyID],DTR!$B$1,[1]!Data_BS[Thang.Nam],DTR!AI$5)</f>
        <v>0</v>
      </c>
      <c r="AJ60" s="229">
        <f>SUMIFS([1]!Data_BS[Value],[1]!Data_BS[Index BS],DTR!$B60,[1]!Data_BS[TenCongTyID],DTR!$B$1,[1]!Data_BS[Thang.Nam],DTR!AJ$5)</f>
        <v>0</v>
      </c>
      <c r="AK60" s="229">
        <f>SUMIFS([1]!Data_BS[Value],[1]!Data_BS[Index BS],DTR!$B60,[1]!Data_BS[TenCongTyID],DTR!$B$1,[1]!Data_BS[Thang.Nam],DTR!AK$5)</f>
        <v>0</v>
      </c>
      <c r="AL60" s="229">
        <f>SUMIFS([1]!Data_BS[Value],[1]!Data_BS[Index BS],DTR!$B60,[1]!Data_BS[TenCongTyID],DTR!$B$1,[1]!Data_BS[Thang.Nam],DTR!AL$5)</f>
        <v>0</v>
      </c>
    </row>
    <row r="61" spans="1:38" ht="15" hidden="1" customHeight="1" outlineLevel="1">
      <c r="A61" s="73" t="s">
        <v>145</v>
      </c>
      <c r="B61" s="63">
        <v>56</v>
      </c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46"/>
      <c r="P61" s="244"/>
      <c r="Q61" s="229"/>
      <c r="R61" s="229"/>
      <c r="S61" s="229"/>
      <c r="T61" s="229"/>
      <c r="U61" s="229"/>
      <c r="V61" s="229"/>
      <c r="W61" s="229"/>
      <c r="X61" s="229"/>
      <c r="Y61" s="229"/>
      <c r="Z61" s="229">
        <v>0</v>
      </c>
      <c r="AA61" s="229">
        <f>SUMIFS([1]!Data_BS[Value],[1]!Data_BS[Index BS],DTR!$B61,[1]!Data_BS[TenCongTyID],DTR!$B$1,[1]!Data_BS[Thang.Nam],DTR!AA$5)</f>
        <v>0</v>
      </c>
      <c r="AB61" s="229">
        <f>SUMIFS([1]!Data_BS[Value],[1]!Data_BS[Index BS],DTR!$B61,[1]!Data_BS[TenCongTyID],DTR!$B$1,[1]!Data_BS[Thang.Nam],DTR!AB$5)</f>
        <v>0</v>
      </c>
      <c r="AC61" s="229">
        <f>SUMIFS([1]!Data_BS[Value],[1]!Data_BS[Index BS],DTR!$B61,[1]!Data_BS[TenCongTyID],DTR!$B$1,[1]!Data_BS[Thang.Nam],DTR!AC$5)</f>
        <v>0</v>
      </c>
      <c r="AD61" s="229">
        <f>SUMIFS([1]!Data_BS[Value],[1]!Data_BS[Index BS],DTR!$B61,[1]!Data_BS[TenCongTyID],DTR!$B$1,[1]!Data_BS[Thang.Nam],DTR!AD$5)</f>
        <v>0</v>
      </c>
      <c r="AE61" s="229">
        <f>SUMIFS([1]!Data_BS[Value],[1]!Data_BS[Index BS],DTR!$B61,[1]!Data_BS[TenCongTyID],DTR!$B$1,[1]!Data_BS[Thang.Nam],DTR!AE$5)</f>
        <v>0</v>
      </c>
      <c r="AF61" s="229">
        <f>SUMIFS([1]!Data_BS[Value],[1]!Data_BS[Index BS],DTR!$B61,[1]!Data_BS[TenCongTyID],DTR!$B$1,[1]!Data_BS[Thang.Nam],DTR!AF$5)</f>
        <v>0</v>
      </c>
      <c r="AG61" s="229">
        <f>SUMIFS([1]!Data_BS[Value],[1]!Data_BS[Index BS],DTR!$B61,[1]!Data_BS[TenCongTyID],DTR!$B$1,[1]!Data_BS[Thang.Nam],DTR!AG$5)</f>
        <v>0</v>
      </c>
      <c r="AH61" s="229">
        <f>SUMIFS([1]!Data_BS[Value],[1]!Data_BS[Index BS],DTR!$B61,[1]!Data_BS[TenCongTyID],DTR!$B$1,[1]!Data_BS[Thang.Nam],DTR!AH$5)</f>
        <v>0</v>
      </c>
      <c r="AI61" s="229">
        <f>SUMIFS([1]!Data_BS[Value],[1]!Data_BS[Index BS],DTR!$B61,[1]!Data_BS[TenCongTyID],DTR!$B$1,[1]!Data_BS[Thang.Nam],DTR!AI$5)</f>
        <v>0</v>
      </c>
      <c r="AJ61" s="229">
        <f>SUMIFS([1]!Data_BS[Value],[1]!Data_BS[Index BS],DTR!$B61,[1]!Data_BS[TenCongTyID],DTR!$B$1,[1]!Data_BS[Thang.Nam],DTR!AJ$5)</f>
        <v>0</v>
      </c>
      <c r="AK61" s="229">
        <f>SUMIFS([1]!Data_BS[Value],[1]!Data_BS[Index BS],DTR!$B61,[1]!Data_BS[TenCongTyID],DTR!$B$1,[1]!Data_BS[Thang.Nam],DTR!AK$5)</f>
        <v>0</v>
      </c>
      <c r="AL61" s="229">
        <f>SUMIFS([1]!Data_BS[Value],[1]!Data_BS[Index BS],DTR!$B61,[1]!Data_BS[TenCongTyID],DTR!$B$1,[1]!Data_BS[Thang.Nam],DTR!AL$5)</f>
        <v>0</v>
      </c>
    </row>
    <row r="62" spans="1:38" ht="15" hidden="1" customHeight="1" outlineLevel="1">
      <c r="A62" s="73" t="s">
        <v>146</v>
      </c>
      <c r="B62" s="63">
        <v>57</v>
      </c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46"/>
      <c r="P62" s="244"/>
      <c r="Q62" s="229"/>
      <c r="R62" s="229"/>
      <c r="S62" s="229"/>
      <c r="T62" s="229"/>
      <c r="U62" s="229"/>
      <c r="V62" s="229"/>
      <c r="W62" s="229"/>
      <c r="X62" s="229"/>
      <c r="Y62" s="229"/>
      <c r="Z62" s="229">
        <v>0</v>
      </c>
      <c r="AA62" s="229">
        <f>SUMIFS([1]!Data_BS[Value],[1]!Data_BS[Index BS],DTR!$B62,[1]!Data_BS[TenCongTyID],DTR!$B$1,[1]!Data_BS[Thang.Nam],DTR!AA$5)</f>
        <v>0</v>
      </c>
      <c r="AB62" s="229">
        <f>SUMIFS([1]!Data_BS[Value],[1]!Data_BS[Index BS],DTR!$B62,[1]!Data_BS[TenCongTyID],DTR!$B$1,[1]!Data_BS[Thang.Nam],DTR!AB$5)</f>
        <v>0</v>
      </c>
      <c r="AC62" s="229">
        <f>SUMIFS([1]!Data_BS[Value],[1]!Data_BS[Index BS],DTR!$B62,[1]!Data_BS[TenCongTyID],DTR!$B$1,[1]!Data_BS[Thang.Nam],DTR!AC$5)</f>
        <v>0</v>
      </c>
      <c r="AD62" s="229">
        <f>SUMIFS([1]!Data_BS[Value],[1]!Data_BS[Index BS],DTR!$B62,[1]!Data_BS[TenCongTyID],DTR!$B$1,[1]!Data_BS[Thang.Nam],DTR!AD$5)</f>
        <v>0</v>
      </c>
      <c r="AE62" s="229">
        <f>SUMIFS([1]!Data_BS[Value],[1]!Data_BS[Index BS],DTR!$B62,[1]!Data_BS[TenCongTyID],DTR!$B$1,[1]!Data_BS[Thang.Nam],DTR!AE$5)</f>
        <v>0</v>
      </c>
      <c r="AF62" s="229">
        <f>SUMIFS([1]!Data_BS[Value],[1]!Data_BS[Index BS],DTR!$B62,[1]!Data_BS[TenCongTyID],DTR!$B$1,[1]!Data_BS[Thang.Nam],DTR!AF$5)</f>
        <v>0</v>
      </c>
      <c r="AG62" s="229">
        <f>SUMIFS([1]!Data_BS[Value],[1]!Data_BS[Index BS],DTR!$B62,[1]!Data_BS[TenCongTyID],DTR!$B$1,[1]!Data_BS[Thang.Nam],DTR!AG$5)</f>
        <v>0</v>
      </c>
      <c r="AH62" s="229">
        <f>SUMIFS([1]!Data_BS[Value],[1]!Data_BS[Index BS],DTR!$B62,[1]!Data_BS[TenCongTyID],DTR!$B$1,[1]!Data_BS[Thang.Nam],DTR!AH$5)</f>
        <v>0</v>
      </c>
      <c r="AI62" s="229">
        <f>SUMIFS([1]!Data_BS[Value],[1]!Data_BS[Index BS],DTR!$B62,[1]!Data_BS[TenCongTyID],DTR!$B$1,[1]!Data_BS[Thang.Nam],DTR!AI$5)</f>
        <v>0</v>
      </c>
      <c r="AJ62" s="229">
        <f>SUMIFS([1]!Data_BS[Value],[1]!Data_BS[Index BS],DTR!$B62,[1]!Data_BS[TenCongTyID],DTR!$B$1,[1]!Data_BS[Thang.Nam],DTR!AJ$5)</f>
        <v>0</v>
      </c>
      <c r="AK62" s="229">
        <f>SUMIFS([1]!Data_BS[Value],[1]!Data_BS[Index BS],DTR!$B62,[1]!Data_BS[TenCongTyID],DTR!$B$1,[1]!Data_BS[Thang.Nam],DTR!AK$5)</f>
        <v>0</v>
      </c>
      <c r="AL62" s="229">
        <f>SUMIFS([1]!Data_BS[Value],[1]!Data_BS[Index BS],DTR!$B62,[1]!Data_BS[TenCongTyID],DTR!$B$1,[1]!Data_BS[Thang.Nam],DTR!AL$5)</f>
        <v>0</v>
      </c>
    </row>
    <row r="63" spans="1:38" ht="15" hidden="1" customHeight="1" outlineLevel="1">
      <c r="A63" s="73" t="s">
        <v>147</v>
      </c>
      <c r="B63" s="63">
        <v>58</v>
      </c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46"/>
      <c r="P63" s="244"/>
      <c r="Q63" s="229"/>
      <c r="R63" s="229"/>
      <c r="S63" s="229"/>
      <c r="T63" s="229"/>
      <c r="U63" s="229"/>
      <c r="V63" s="229"/>
      <c r="W63" s="229"/>
      <c r="X63" s="229"/>
      <c r="Y63" s="229"/>
      <c r="Z63" s="229">
        <v>0</v>
      </c>
      <c r="AA63" s="229">
        <f>SUMIFS([1]!Data_BS[Value],[1]!Data_BS[Index BS],DTR!$B63,[1]!Data_BS[TenCongTyID],DTR!$B$1,[1]!Data_BS[Thang.Nam],DTR!AA$5)</f>
        <v>0</v>
      </c>
      <c r="AB63" s="229">
        <f>SUMIFS([1]!Data_BS[Value],[1]!Data_BS[Index BS],DTR!$B63,[1]!Data_BS[TenCongTyID],DTR!$B$1,[1]!Data_BS[Thang.Nam],DTR!AB$5)</f>
        <v>0</v>
      </c>
      <c r="AC63" s="229">
        <f>SUMIFS([1]!Data_BS[Value],[1]!Data_BS[Index BS],DTR!$B63,[1]!Data_BS[TenCongTyID],DTR!$B$1,[1]!Data_BS[Thang.Nam],DTR!AC$5)</f>
        <v>0</v>
      </c>
      <c r="AD63" s="229">
        <f>SUMIFS([1]!Data_BS[Value],[1]!Data_BS[Index BS],DTR!$B63,[1]!Data_BS[TenCongTyID],DTR!$B$1,[1]!Data_BS[Thang.Nam],DTR!AD$5)</f>
        <v>0</v>
      </c>
      <c r="AE63" s="229">
        <f>SUMIFS([1]!Data_BS[Value],[1]!Data_BS[Index BS],DTR!$B63,[1]!Data_BS[TenCongTyID],DTR!$B$1,[1]!Data_BS[Thang.Nam],DTR!AE$5)</f>
        <v>0</v>
      </c>
      <c r="AF63" s="229">
        <f>SUMIFS([1]!Data_BS[Value],[1]!Data_BS[Index BS],DTR!$B63,[1]!Data_BS[TenCongTyID],DTR!$B$1,[1]!Data_BS[Thang.Nam],DTR!AF$5)</f>
        <v>0</v>
      </c>
      <c r="AG63" s="229">
        <f>SUMIFS([1]!Data_BS[Value],[1]!Data_BS[Index BS],DTR!$B63,[1]!Data_BS[TenCongTyID],DTR!$B$1,[1]!Data_BS[Thang.Nam],DTR!AG$5)</f>
        <v>0</v>
      </c>
      <c r="AH63" s="229">
        <f>SUMIFS([1]!Data_BS[Value],[1]!Data_BS[Index BS],DTR!$B63,[1]!Data_BS[TenCongTyID],DTR!$B$1,[1]!Data_BS[Thang.Nam],DTR!AH$5)</f>
        <v>0</v>
      </c>
      <c r="AI63" s="229">
        <f>SUMIFS([1]!Data_BS[Value],[1]!Data_BS[Index BS],DTR!$B63,[1]!Data_BS[TenCongTyID],DTR!$B$1,[1]!Data_BS[Thang.Nam],DTR!AI$5)</f>
        <v>0</v>
      </c>
      <c r="AJ63" s="229">
        <f>SUMIFS([1]!Data_BS[Value],[1]!Data_BS[Index BS],DTR!$B63,[1]!Data_BS[TenCongTyID],DTR!$B$1,[1]!Data_BS[Thang.Nam],DTR!AJ$5)</f>
        <v>0</v>
      </c>
      <c r="AK63" s="229">
        <f>SUMIFS([1]!Data_BS[Value],[1]!Data_BS[Index BS],DTR!$B63,[1]!Data_BS[TenCongTyID],DTR!$B$1,[1]!Data_BS[Thang.Nam],DTR!AK$5)</f>
        <v>0</v>
      </c>
      <c r="AL63" s="229">
        <f>SUMIFS([1]!Data_BS[Value],[1]!Data_BS[Index BS],DTR!$B63,[1]!Data_BS[TenCongTyID],DTR!$B$1,[1]!Data_BS[Thang.Nam],DTR!AL$5)</f>
        <v>0</v>
      </c>
    </row>
    <row r="64" spans="1:38" ht="15" hidden="1" customHeight="1" outlineLevel="1">
      <c r="A64" s="73" t="s">
        <v>148</v>
      </c>
      <c r="B64" s="63">
        <v>59</v>
      </c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46"/>
      <c r="P64" s="244"/>
      <c r="Q64" s="229"/>
      <c r="R64" s="229"/>
      <c r="S64" s="229"/>
      <c r="T64" s="229"/>
      <c r="U64" s="229"/>
      <c r="V64" s="229"/>
      <c r="W64" s="229"/>
      <c r="X64" s="229"/>
      <c r="Y64" s="229"/>
      <c r="Z64" s="229">
        <v>0</v>
      </c>
      <c r="AA64" s="229">
        <f>SUMIFS([1]!Data_BS[Value],[1]!Data_BS[Index BS],DTR!$B64,[1]!Data_BS[TenCongTyID],DTR!$B$1,[1]!Data_BS[Thang.Nam],DTR!AA$5)</f>
        <v>0</v>
      </c>
      <c r="AB64" s="229">
        <f>SUMIFS([1]!Data_BS[Value],[1]!Data_BS[Index BS],DTR!$B64,[1]!Data_BS[TenCongTyID],DTR!$B$1,[1]!Data_BS[Thang.Nam],DTR!AB$5)</f>
        <v>0</v>
      </c>
      <c r="AC64" s="229">
        <f>SUMIFS([1]!Data_BS[Value],[1]!Data_BS[Index BS],DTR!$B64,[1]!Data_BS[TenCongTyID],DTR!$B$1,[1]!Data_BS[Thang.Nam],DTR!AC$5)</f>
        <v>0</v>
      </c>
      <c r="AD64" s="229">
        <f>SUMIFS([1]!Data_BS[Value],[1]!Data_BS[Index BS],DTR!$B64,[1]!Data_BS[TenCongTyID],DTR!$B$1,[1]!Data_BS[Thang.Nam],DTR!AD$5)</f>
        <v>0</v>
      </c>
      <c r="AE64" s="229">
        <f>SUMIFS([1]!Data_BS[Value],[1]!Data_BS[Index BS],DTR!$B64,[1]!Data_BS[TenCongTyID],DTR!$B$1,[1]!Data_BS[Thang.Nam],DTR!AE$5)</f>
        <v>0</v>
      </c>
      <c r="AF64" s="229">
        <f>SUMIFS([1]!Data_BS[Value],[1]!Data_BS[Index BS],DTR!$B64,[1]!Data_BS[TenCongTyID],DTR!$B$1,[1]!Data_BS[Thang.Nam],DTR!AF$5)</f>
        <v>0</v>
      </c>
      <c r="AG64" s="229">
        <f>SUMIFS([1]!Data_BS[Value],[1]!Data_BS[Index BS],DTR!$B64,[1]!Data_BS[TenCongTyID],DTR!$B$1,[1]!Data_BS[Thang.Nam],DTR!AG$5)</f>
        <v>0</v>
      </c>
      <c r="AH64" s="229">
        <f>SUMIFS([1]!Data_BS[Value],[1]!Data_BS[Index BS],DTR!$B64,[1]!Data_BS[TenCongTyID],DTR!$B$1,[1]!Data_BS[Thang.Nam],DTR!AH$5)</f>
        <v>0</v>
      </c>
      <c r="AI64" s="229">
        <f>SUMIFS([1]!Data_BS[Value],[1]!Data_BS[Index BS],DTR!$B64,[1]!Data_BS[TenCongTyID],DTR!$B$1,[1]!Data_BS[Thang.Nam],DTR!AI$5)</f>
        <v>0</v>
      </c>
      <c r="AJ64" s="229">
        <f>SUMIFS([1]!Data_BS[Value],[1]!Data_BS[Index BS],DTR!$B64,[1]!Data_BS[TenCongTyID],DTR!$B$1,[1]!Data_BS[Thang.Nam],DTR!AJ$5)</f>
        <v>0</v>
      </c>
      <c r="AK64" s="229">
        <f>SUMIFS([1]!Data_BS[Value],[1]!Data_BS[Index BS],DTR!$B64,[1]!Data_BS[TenCongTyID],DTR!$B$1,[1]!Data_BS[Thang.Nam],DTR!AK$5)</f>
        <v>0</v>
      </c>
      <c r="AL64" s="229">
        <f>SUMIFS([1]!Data_BS[Value],[1]!Data_BS[Index BS],DTR!$B64,[1]!Data_BS[TenCongTyID],DTR!$B$1,[1]!Data_BS[Thang.Nam],DTR!AL$5)</f>
        <v>0</v>
      </c>
    </row>
    <row r="65" spans="1:38" ht="15" hidden="1" customHeight="1" outlineLevel="1">
      <c r="A65" s="72" t="s">
        <v>149</v>
      </c>
      <c r="B65" s="65">
        <v>60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232">
        <v>0</v>
      </c>
      <c r="I65" s="232">
        <v>0</v>
      </c>
      <c r="J65" s="232">
        <v>0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>
        <v>0</v>
      </c>
      <c r="X65" s="232">
        <v>0</v>
      </c>
      <c r="Y65" s="232">
        <v>0</v>
      </c>
      <c r="Z65" s="232">
        <v>0</v>
      </c>
      <c r="AA65" s="232">
        <f>SUMIFS([1]!Data_BS[Value],[1]!Data_BS[Index BS],DTR!$B65,[1]!Data_BS[TenCongTyID],DTR!$B$1,[1]!Data_BS[Thang.Nam],DTR!AA$5)</f>
        <v>0</v>
      </c>
      <c r="AB65" s="232">
        <f>SUMIFS([1]!Data_BS[Value],[1]!Data_BS[Index BS],DTR!$B65,[1]!Data_BS[TenCongTyID],DTR!$B$1,[1]!Data_BS[Thang.Nam],DTR!AB$5)</f>
        <v>0</v>
      </c>
      <c r="AC65" s="232">
        <f>SUMIFS([1]!Data_BS[Value],[1]!Data_BS[Index BS],DTR!$B65,[1]!Data_BS[TenCongTyID],DTR!$B$1,[1]!Data_BS[Thang.Nam],DTR!AC$5)</f>
        <v>0</v>
      </c>
      <c r="AD65" s="232">
        <f>SUMIFS([1]!Data_BS[Value],[1]!Data_BS[Index BS],DTR!$B65,[1]!Data_BS[TenCongTyID],DTR!$B$1,[1]!Data_BS[Thang.Nam],DTR!AD$5)</f>
        <v>0</v>
      </c>
      <c r="AE65" s="232">
        <f>SUMIFS([1]!Data_BS[Value],[1]!Data_BS[Index BS],DTR!$B65,[1]!Data_BS[TenCongTyID],DTR!$B$1,[1]!Data_BS[Thang.Nam],DTR!AE$5)</f>
        <v>0</v>
      </c>
      <c r="AF65" s="232">
        <f>SUMIFS([1]!Data_BS[Value],[1]!Data_BS[Index BS],DTR!$B65,[1]!Data_BS[TenCongTyID],DTR!$B$1,[1]!Data_BS[Thang.Nam],DTR!AF$5)</f>
        <v>0</v>
      </c>
      <c r="AG65" s="232">
        <f>SUMIFS([1]!Data_BS[Value],[1]!Data_BS[Index BS],DTR!$B65,[1]!Data_BS[TenCongTyID],DTR!$B$1,[1]!Data_BS[Thang.Nam],DTR!AG$5)</f>
        <v>0</v>
      </c>
      <c r="AH65" s="232">
        <f>SUMIFS([1]!Data_BS[Value],[1]!Data_BS[Index BS],DTR!$B65,[1]!Data_BS[TenCongTyID],DTR!$B$1,[1]!Data_BS[Thang.Nam],DTR!AH$5)</f>
        <v>0</v>
      </c>
      <c r="AI65" s="232">
        <f>SUMIFS([1]!Data_BS[Value],[1]!Data_BS[Index BS],DTR!$B65,[1]!Data_BS[TenCongTyID],DTR!$B$1,[1]!Data_BS[Thang.Nam],DTR!AI$5)</f>
        <v>0</v>
      </c>
      <c r="AJ65" s="232">
        <f>SUMIFS([1]!Data_BS[Value],[1]!Data_BS[Index BS],DTR!$B65,[1]!Data_BS[TenCongTyID],DTR!$B$1,[1]!Data_BS[Thang.Nam],DTR!AJ$5)</f>
        <v>0</v>
      </c>
      <c r="AK65" s="232">
        <f>SUMIFS([1]!Data_BS[Value],[1]!Data_BS[Index BS],DTR!$B65,[1]!Data_BS[TenCongTyID],DTR!$B$1,[1]!Data_BS[Thang.Nam],DTR!AK$5)</f>
        <v>0</v>
      </c>
      <c r="AL65" s="232">
        <f>SUMIFS([1]!Data_BS[Value],[1]!Data_BS[Index BS],DTR!$B65,[1]!Data_BS[TenCongTyID],DTR!$B$1,[1]!Data_BS[Thang.Nam],DTR!AL$5)</f>
        <v>0</v>
      </c>
    </row>
    <row r="66" spans="1:38" ht="15" hidden="1" customHeight="1" outlineLevel="1">
      <c r="A66" s="62" t="s">
        <v>150</v>
      </c>
      <c r="B66" s="63">
        <v>61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Z66" s="229">
        <v>0</v>
      </c>
      <c r="AA66" s="229">
        <f>SUMIFS([1]!Data_BS[Value],[1]!Data_BS[Index BS],DTR!$B66,[1]!Data_BS[TenCongTyID],DTR!$B$1,[1]!Data_BS[Thang.Nam],DTR!AA$5)</f>
        <v>0</v>
      </c>
      <c r="AB66" s="229">
        <f>SUMIFS([1]!Data_BS[Value],[1]!Data_BS[Index BS],DTR!$B66,[1]!Data_BS[TenCongTyID],DTR!$B$1,[1]!Data_BS[Thang.Nam],DTR!AB$5)</f>
        <v>0</v>
      </c>
      <c r="AC66" s="229">
        <f>SUMIFS([1]!Data_BS[Value],[1]!Data_BS[Index BS],DTR!$B66,[1]!Data_BS[TenCongTyID],DTR!$B$1,[1]!Data_BS[Thang.Nam],DTR!AC$5)</f>
        <v>0</v>
      </c>
      <c r="AD66" s="229">
        <f>SUMIFS([1]!Data_BS[Value],[1]!Data_BS[Index BS],DTR!$B66,[1]!Data_BS[TenCongTyID],DTR!$B$1,[1]!Data_BS[Thang.Nam],DTR!AD$5)</f>
        <v>0</v>
      </c>
      <c r="AE66" s="229">
        <f>SUMIFS([1]!Data_BS[Value],[1]!Data_BS[Index BS],DTR!$B66,[1]!Data_BS[TenCongTyID],DTR!$B$1,[1]!Data_BS[Thang.Nam],DTR!AE$5)</f>
        <v>0</v>
      </c>
      <c r="AF66" s="229">
        <f>SUMIFS([1]!Data_BS[Value],[1]!Data_BS[Index BS],DTR!$B66,[1]!Data_BS[TenCongTyID],DTR!$B$1,[1]!Data_BS[Thang.Nam],DTR!AF$5)</f>
        <v>0</v>
      </c>
      <c r="AG66" s="229">
        <f>SUMIFS([1]!Data_BS[Value],[1]!Data_BS[Index BS],DTR!$B66,[1]!Data_BS[TenCongTyID],DTR!$B$1,[1]!Data_BS[Thang.Nam],DTR!AG$5)</f>
        <v>0</v>
      </c>
      <c r="AH66" s="229">
        <f>SUMIFS([1]!Data_BS[Value],[1]!Data_BS[Index BS],DTR!$B66,[1]!Data_BS[TenCongTyID],DTR!$B$1,[1]!Data_BS[Thang.Nam],DTR!AH$5)</f>
        <v>0</v>
      </c>
      <c r="AI66" s="229">
        <f>SUMIFS([1]!Data_BS[Value],[1]!Data_BS[Index BS],DTR!$B66,[1]!Data_BS[TenCongTyID],DTR!$B$1,[1]!Data_BS[Thang.Nam],DTR!AI$5)</f>
        <v>0</v>
      </c>
      <c r="AJ66" s="229">
        <f>SUMIFS([1]!Data_BS[Value],[1]!Data_BS[Index BS],DTR!$B66,[1]!Data_BS[TenCongTyID],DTR!$B$1,[1]!Data_BS[Thang.Nam],DTR!AJ$5)</f>
        <v>0</v>
      </c>
      <c r="AK66" s="229">
        <f>SUMIFS([1]!Data_BS[Value],[1]!Data_BS[Index BS],DTR!$B66,[1]!Data_BS[TenCongTyID],DTR!$B$1,[1]!Data_BS[Thang.Nam],DTR!AK$5)</f>
        <v>0</v>
      </c>
      <c r="AL66" s="229">
        <f>SUMIFS([1]!Data_BS[Value],[1]!Data_BS[Index BS],DTR!$B66,[1]!Data_BS[TenCongTyID],DTR!$B$1,[1]!Data_BS[Thang.Nam],DTR!AL$5)</f>
        <v>0</v>
      </c>
    </row>
    <row r="67" spans="1:38" ht="15" hidden="1" customHeight="1" outlineLevel="1">
      <c r="A67" s="62" t="s">
        <v>151</v>
      </c>
      <c r="B67" s="63">
        <v>62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Z67" s="229">
        <v>0</v>
      </c>
      <c r="AA67" s="229">
        <f>SUMIFS([1]!Data_BS[Value],[1]!Data_BS[Index BS],DTR!$B67,[1]!Data_BS[TenCongTyID],DTR!$B$1,[1]!Data_BS[Thang.Nam],DTR!AA$5)</f>
        <v>0</v>
      </c>
      <c r="AB67" s="229">
        <f>SUMIFS([1]!Data_BS[Value],[1]!Data_BS[Index BS],DTR!$B67,[1]!Data_BS[TenCongTyID],DTR!$B$1,[1]!Data_BS[Thang.Nam],DTR!AB$5)</f>
        <v>0</v>
      </c>
      <c r="AC67" s="229">
        <f>SUMIFS([1]!Data_BS[Value],[1]!Data_BS[Index BS],DTR!$B67,[1]!Data_BS[TenCongTyID],DTR!$B$1,[1]!Data_BS[Thang.Nam],DTR!AC$5)</f>
        <v>0</v>
      </c>
      <c r="AD67" s="229">
        <f>SUMIFS([1]!Data_BS[Value],[1]!Data_BS[Index BS],DTR!$B67,[1]!Data_BS[TenCongTyID],DTR!$B$1,[1]!Data_BS[Thang.Nam],DTR!AD$5)</f>
        <v>0</v>
      </c>
      <c r="AE67" s="229">
        <f>SUMIFS([1]!Data_BS[Value],[1]!Data_BS[Index BS],DTR!$B67,[1]!Data_BS[TenCongTyID],DTR!$B$1,[1]!Data_BS[Thang.Nam],DTR!AE$5)</f>
        <v>0</v>
      </c>
      <c r="AF67" s="229">
        <f>SUMIFS([1]!Data_BS[Value],[1]!Data_BS[Index BS],DTR!$B67,[1]!Data_BS[TenCongTyID],DTR!$B$1,[1]!Data_BS[Thang.Nam],DTR!AF$5)</f>
        <v>0</v>
      </c>
      <c r="AG67" s="229">
        <f>SUMIFS([1]!Data_BS[Value],[1]!Data_BS[Index BS],DTR!$B67,[1]!Data_BS[TenCongTyID],DTR!$B$1,[1]!Data_BS[Thang.Nam],DTR!AG$5)</f>
        <v>0</v>
      </c>
      <c r="AH67" s="229">
        <f>SUMIFS([1]!Data_BS[Value],[1]!Data_BS[Index BS],DTR!$B67,[1]!Data_BS[TenCongTyID],DTR!$B$1,[1]!Data_BS[Thang.Nam],DTR!AH$5)</f>
        <v>0</v>
      </c>
      <c r="AI67" s="229">
        <f>SUMIFS([1]!Data_BS[Value],[1]!Data_BS[Index BS],DTR!$B67,[1]!Data_BS[TenCongTyID],DTR!$B$1,[1]!Data_BS[Thang.Nam],DTR!AI$5)</f>
        <v>0</v>
      </c>
      <c r="AJ67" s="229">
        <f>SUMIFS([1]!Data_BS[Value],[1]!Data_BS[Index BS],DTR!$B67,[1]!Data_BS[TenCongTyID],DTR!$B$1,[1]!Data_BS[Thang.Nam],DTR!AJ$5)</f>
        <v>0</v>
      </c>
      <c r="AK67" s="229">
        <f>SUMIFS([1]!Data_BS[Value],[1]!Data_BS[Index BS],DTR!$B67,[1]!Data_BS[TenCongTyID],DTR!$B$1,[1]!Data_BS[Thang.Nam],DTR!AK$5)</f>
        <v>0</v>
      </c>
      <c r="AL67" s="229">
        <f>SUMIFS([1]!Data_BS[Value],[1]!Data_BS[Index BS],DTR!$B67,[1]!Data_BS[TenCongTyID],DTR!$B$1,[1]!Data_BS[Thang.Nam],DTR!AL$5)</f>
        <v>0</v>
      </c>
    </row>
    <row r="68" spans="1:38" ht="15" hidden="1" customHeight="1" outlineLevel="1">
      <c r="A68" s="72" t="s">
        <v>152</v>
      </c>
      <c r="B68" s="65">
        <v>63</v>
      </c>
      <c r="C68" s="233">
        <v>72052358400</v>
      </c>
      <c r="D68" s="233">
        <v>72977509919</v>
      </c>
      <c r="E68" s="233">
        <v>40125847239</v>
      </c>
      <c r="F68" s="233">
        <v>39227080324</v>
      </c>
      <c r="G68" s="233">
        <v>39862871198</v>
      </c>
      <c r="H68" s="233">
        <v>44058539845</v>
      </c>
      <c r="I68" s="233">
        <v>43896047774</v>
      </c>
      <c r="J68" s="233">
        <v>41656644401</v>
      </c>
      <c r="K68" s="233">
        <v>42945632903</v>
      </c>
      <c r="L68" s="233">
        <v>43281195517</v>
      </c>
      <c r="M68" s="233">
        <v>28334087272</v>
      </c>
      <c r="N68" s="234">
        <v>36580186980</v>
      </c>
      <c r="O68" s="242">
        <v>46014474364</v>
      </c>
      <c r="P68" s="234">
        <v>32023614794</v>
      </c>
      <c r="Q68" s="234">
        <v>27191404987</v>
      </c>
      <c r="R68" s="234">
        <v>38355899298</v>
      </c>
      <c r="S68" s="234">
        <v>47426115769</v>
      </c>
      <c r="T68" s="234">
        <v>51797910397</v>
      </c>
      <c r="U68" s="234">
        <v>52765546898</v>
      </c>
      <c r="V68" s="234">
        <v>34461951167</v>
      </c>
      <c r="W68" s="234">
        <v>44577925963</v>
      </c>
      <c r="X68" s="234">
        <v>57717770751</v>
      </c>
      <c r="Y68" s="234">
        <v>54221172817</v>
      </c>
      <c r="Z68" s="234">
        <v>63080533813</v>
      </c>
      <c r="AA68" s="234">
        <f>SUMIFS([1]!Data_BS[Value],[1]!Data_BS[Index BS],DTR!$B68,[1]!Data_BS[TenCongTyID],DTR!$B$1,[1]!Data_BS[Thang.Nam],DTR!AA$5)</f>
        <v>0</v>
      </c>
      <c r="AB68" s="234">
        <f>SUMIFS([1]!Data_BS[Value],[1]!Data_BS[Index BS],DTR!$B68,[1]!Data_BS[TenCongTyID],DTR!$B$1,[1]!Data_BS[Thang.Nam],DTR!AB$5)</f>
        <v>0</v>
      </c>
      <c r="AC68" s="234">
        <f>SUMIFS([1]!Data_BS[Value],[1]!Data_BS[Index BS],DTR!$B68,[1]!Data_BS[TenCongTyID],DTR!$B$1,[1]!Data_BS[Thang.Nam],DTR!AC$5)</f>
        <v>0</v>
      </c>
      <c r="AD68" s="234">
        <f>SUMIFS([1]!Data_BS[Value],[1]!Data_BS[Index BS],DTR!$B68,[1]!Data_BS[TenCongTyID],DTR!$B$1,[1]!Data_BS[Thang.Nam],DTR!AD$5)</f>
        <v>0</v>
      </c>
      <c r="AE68" s="234">
        <f>SUMIFS([1]!Data_BS[Value],[1]!Data_BS[Index BS],DTR!$B68,[1]!Data_BS[TenCongTyID],DTR!$B$1,[1]!Data_BS[Thang.Nam],DTR!AE$5)</f>
        <v>0</v>
      </c>
      <c r="AF68" s="234">
        <f>SUMIFS([1]!Data_BS[Value],[1]!Data_BS[Index BS],DTR!$B68,[1]!Data_BS[TenCongTyID],DTR!$B$1,[1]!Data_BS[Thang.Nam],DTR!AF$5)</f>
        <v>0</v>
      </c>
      <c r="AG68" s="234">
        <f>SUMIFS([1]!Data_BS[Value],[1]!Data_BS[Index BS],DTR!$B68,[1]!Data_BS[TenCongTyID],DTR!$B$1,[1]!Data_BS[Thang.Nam],DTR!AG$5)</f>
        <v>0</v>
      </c>
      <c r="AH68" s="234">
        <f>SUMIFS([1]!Data_BS[Value],[1]!Data_BS[Index BS],DTR!$B68,[1]!Data_BS[TenCongTyID],DTR!$B$1,[1]!Data_BS[Thang.Nam],DTR!AH$5)</f>
        <v>0</v>
      </c>
      <c r="AI68" s="234">
        <f>SUMIFS([1]!Data_BS[Value],[1]!Data_BS[Index BS],DTR!$B68,[1]!Data_BS[TenCongTyID],DTR!$B$1,[1]!Data_BS[Thang.Nam],DTR!AI$5)</f>
        <v>0</v>
      </c>
      <c r="AJ68" s="234">
        <f>SUMIFS([1]!Data_BS[Value],[1]!Data_BS[Index BS],DTR!$B68,[1]!Data_BS[TenCongTyID],DTR!$B$1,[1]!Data_BS[Thang.Nam],DTR!AJ$5)</f>
        <v>0</v>
      </c>
      <c r="AK68" s="234">
        <f>SUMIFS([1]!Data_BS[Value],[1]!Data_BS[Index BS],DTR!$B68,[1]!Data_BS[TenCongTyID],DTR!$B$1,[1]!Data_BS[Thang.Nam],DTR!AK$5)</f>
        <v>0</v>
      </c>
      <c r="AL68" s="234">
        <f>SUMIFS([1]!Data_BS[Value],[1]!Data_BS[Index BS],DTR!$B68,[1]!Data_BS[TenCongTyID],DTR!$B$1,[1]!Data_BS[Thang.Nam],DTR!AL$5)</f>
        <v>0</v>
      </c>
    </row>
    <row r="69" spans="1:38" ht="15" hidden="1" customHeight="1" outlineLevel="1">
      <c r="A69" s="62" t="s">
        <v>153</v>
      </c>
      <c r="B69" s="63">
        <v>64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44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Z69" s="229">
        <v>0</v>
      </c>
      <c r="AA69" s="229">
        <f>SUMIFS([1]!Data_BS[Value],[1]!Data_BS[Index BS],DTR!$B69,[1]!Data_BS[TenCongTyID],DTR!$B$1,[1]!Data_BS[Thang.Nam],DTR!AA$5)</f>
        <v>0</v>
      </c>
      <c r="AB69" s="229">
        <f>SUMIFS([1]!Data_BS[Value],[1]!Data_BS[Index BS],DTR!$B69,[1]!Data_BS[TenCongTyID],DTR!$B$1,[1]!Data_BS[Thang.Nam],DTR!AB$5)</f>
        <v>0</v>
      </c>
      <c r="AC69" s="229">
        <f>SUMIFS([1]!Data_BS[Value],[1]!Data_BS[Index BS],DTR!$B69,[1]!Data_BS[TenCongTyID],DTR!$B$1,[1]!Data_BS[Thang.Nam],DTR!AC$5)</f>
        <v>0</v>
      </c>
      <c r="AD69" s="229">
        <f>SUMIFS([1]!Data_BS[Value],[1]!Data_BS[Index BS],DTR!$B69,[1]!Data_BS[TenCongTyID],DTR!$B$1,[1]!Data_BS[Thang.Nam],DTR!AD$5)</f>
        <v>0</v>
      </c>
      <c r="AE69" s="229">
        <f>SUMIFS([1]!Data_BS[Value],[1]!Data_BS[Index BS],DTR!$B69,[1]!Data_BS[TenCongTyID],DTR!$B$1,[1]!Data_BS[Thang.Nam],DTR!AE$5)</f>
        <v>0</v>
      </c>
      <c r="AF69" s="229">
        <f>SUMIFS([1]!Data_BS[Value],[1]!Data_BS[Index BS],DTR!$B69,[1]!Data_BS[TenCongTyID],DTR!$B$1,[1]!Data_BS[Thang.Nam],DTR!AF$5)</f>
        <v>0</v>
      </c>
      <c r="AG69" s="229">
        <f>SUMIFS([1]!Data_BS[Value],[1]!Data_BS[Index BS],DTR!$B69,[1]!Data_BS[TenCongTyID],DTR!$B$1,[1]!Data_BS[Thang.Nam],DTR!AG$5)</f>
        <v>0</v>
      </c>
      <c r="AH69" s="229">
        <f>SUMIFS([1]!Data_BS[Value],[1]!Data_BS[Index BS],DTR!$B69,[1]!Data_BS[TenCongTyID],DTR!$B$1,[1]!Data_BS[Thang.Nam],DTR!AH$5)</f>
        <v>0</v>
      </c>
      <c r="AI69" s="229">
        <f>SUMIFS([1]!Data_BS[Value],[1]!Data_BS[Index BS],DTR!$B69,[1]!Data_BS[TenCongTyID],DTR!$B$1,[1]!Data_BS[Thang.Nam],DTR!AI$5)</f>
        <v>0</v>
      </c>
      <c r="AJ69" s="229">
        <f>SUMIFS([1]!Data_BS[Value],[1]!Data_BS[Index BS],DTR!$B69,[1]!Data_BS[TenCongTyID],DTR!$B$1,[1]!Data_BS[Thang.Nam],DTR!AJ$5)</f>
        <v>0</v>
      </c>
      <c r="AK69" s="229">
        <f>SUMIFS([1]!Data_BS[Value],[1]!Data_BS[Index BS],DTR!$B69,[1]!Data_BS[TenCongTyID],DTR!$B$1,[1]!Data_BS[Thang.Nam],DTR!AK$5)</f>
        <v>0</v>
      </c>
      <c r="AL69" s="229">
        <f>SUMIFS([1]!Data_BS[Value],[1]!Data_BS[Index BS],DTR!$B69,[1]!Data_BS[TenCongTyID],DTR!$B$1,[1]!Data_BS[Thang.Nam],DTR!AL$5)</f>
        <v>0</v>
      </c>
    </row>
    <row r="70" spans="1:38" ht="15" hidden="1" customHeight="1" outlineLevel="1">
      <c r="A70" s="62" t="s">
        <v>154</v>
      </c>
      <c r="B70" s="63">
        <v>65</v>
      </c>
      <c r="C70" s="229">
        <v>72052358400</v>
      </c>
      <c r="D70" s="229">
        <v>72977509919</v>
      </c>
      <c r="E70" s="229">
        <v>40125847239</v>
      </c>
      <c r="F70" s="229">
        <v>39227080324</v>
      </c>
      <c r="G70" s="229">
        <v>39862871198</v>
      </c>
      <c r="H70" s="229">
        <v>44058539845</v>
      </c>
      <c r="I70" s="229">
        <v>43896047774</v>
      </c>
      <c r="J70" s="229">
        <v>41656644401</v>
      </c>
      <c r="K70" s="229">
        <v>42945632903</v>
      </c>
      <c r="L70" s="229">
        <v>43281195517</v>
      </c>
      <c r="M70" s="229">
        <v>28334087272</v>
      </c>
      <c r="N70" s="229">
        <v>36580186980</v>
      </c>
      <c r="O70" s="231">
        <v>46014474364</v>
      </c>
      <c r="P70" s="229">
        <v>32023614794</v>
      </c>
      <c r="Q70" s="229">
        <v>27191404987</v>
      </c>
      <c r="R70" s="229">
        <v>38355899298</v>
      </c>
      <c r="S70" s="229">
        <v>47426115769</v>
      </c>
      <c r="T70" s="229">
        <v>51797910397</v>
      </c>
      <c r="U70" s="229">
        <v>52765546898</v>
      </c>
      <c r="V70" s="229">
        <v>34461951167</v>
      </c>
      <c r="W70" s="229">
        <v>44577925963</v>
      </c>
      <c r="X70" s="229">
        <v>57717770751</v>
      </c>
      <c r="Y70" s="229">
        <v>54221172817</v>
      </c>
      <c r="Z70" s="229">
        <v>63080533813</v>
      </c>
      <c r="AA70" s="229">
        <f>SUMIFS([1]!Data_BS[Value],[1]!Data_BS[Index BS],DTR!$B70,[1]!Data_BS[TenCongTyID],DTR!$B$1,[1]!Data_BS[Thang.Nam],DTR!AA$5)</f>
        <v>0</v>
      </c>
      <c r="AB70" s="229">
        <f>SUMIFS([1]!Data_BS[Value],[1]!Data_BS[Index BS],DTR!$B70,[1]!Data_BS[TenCongTyID],DTR!$B$1,[1]!Data_BS[Thang.Nam],DTR!AB$5)</f>
        <v>0</v>
      </c>
      <c r="AC70" s="229">
        <f>SUMIFS([1]!Data_BS[Value],[1]!Data_BS[Index BS],DTR!$B70,[1]!Data_BS[TenCongTyID],DTR!$B$1,[1]!Data_BS[Thang.Nam],DTR!AC$5)</f>
        <v>0</v>
      </c>
      <c r="AD70" s="229">
        <f>SUMIFS([1]!Data_BS[Value],[1]!Data_BS[Index BS],DTR!$B70,[1]!Data_BS[TenCongTyID],DTR!$B$1,[1]!Data_BS[Thang.Nam],DTR!AD$5)</f>
        <v>0</v>
      </c>
      <c r="AE70" s="229">
        <f>SUMIFS([1]!Data_BS[Value],[1]!Data_BS[Index BS],DTR!$B70,[1]!Data_BS[TenCongTyID],DTR!$B$1,[1]!Data_BS[Thang.Nam],DTR!AE$5)</f>
        <v>0</v>
      </c>
      <c r="AF70" s="229">
        <f>SUMIFS([1]!Data_BS[Value],[1]!Data_BS[Index BS],DTR!$B70,[1]!Data_BS[TenCongTyID],DTR!$B$1,[1]!Data_BS[Thang.Nam],DTR!AF$5)</f>
        <v>0</v>
      </c>
      <c r="AG70" s="229">
        <f>SUMIFS([1]!Data_BS[Value],[1]!Data_BS[Index BS],DTR!$B70,[1]!Data_BS[TenCongTyID],DTR!$B$1,[1]!Data_BS[Thang.Nam],DTR!AG$5)</f>
        <v>0</v>
      </c>
      <c r="AH70" s="229">
        <f>SUMIFS([1]!Data_BS[Value],[1]!Data_BS[Index BS],DTR!$B70,[1]!Data_BS[TenCongTyID],DTR!$B$1,[1]!Data_BS[Thang.Nam],DTR!AH$5)</f>
        <v>0</v>
      </c>
      <c r="AI70" s="229">
        <f>SUMIFS([1]!Data_BS[Value],[1]!Data_BS[Index BS],DTR!$B70,[1]!Data_BS[TenCongTyID],DTR!$B$1,[1]!Data_BS[Thang.Nam],DTR!AI$5)</f>
        <v>0</v>
      </c>
      <c r="AJ70" s="229">
        <f>SUMIFS([1]!Data_BS[Value],[1]!Data_BS[Index BS],DTR!$B70,[1]!Data_BS[TenCongTyID],DTR!$B$1,[1]!Data_BS[Thang.Nam],DTR!AJ$5)</f>
        <v>0</v>
      </c>
      <c r="AK70" s="229">
        <f>SUMIFS([1]!Data_BS[Value],[1]!Data_BS[Index BS],DTR!$B70,[1]!Data_BS[TenCongTyID],DTR!$B$1,[1]!Data_BS[Thang.Nam],DTR!AK$5)</f>
        <v>0</v>
      </c>
      <c r="AL70" s="229">
        <f>SUMIFS([1]!Data_BS[Value],[1]!Data_BS[Index BS],DTR!$B70,[1]!Data_BS[TenCongTyID],DTR!$B$1,[1]!Data_BS[Thang.Nam],DTR!AL$5)</f>
        <v>0</v>
      </c>
    </row>
    <row r="71" spans="1:38" ht="15" hidden="1" customHeight="1" outlineLevel="1">
      <c r="A71" s="75" t="s">
        <v>155</v>
      </c>
      <c r="B71" s="65">
        <v>66</v>
      </c>
      <c r="C71" s="233">
        <v>0</v>
      </c>
      <c r="D71" s="233">
        <v>0</v>
      </c>
      <c r="E71" s="233">
        <v>0</v>
      </c>
      <c r="F71" s="233">
        <v>0</v>
      </c>
      <c r="G71" s="233">
        <v>0</v>
      </c>
      <c r="H71" s="233">
        <v>0</v>
      </c>
      <c r="I71" s="233">
        <v>0</v>
      </c>
      <c r="J71" s="233">
        <v>0</v>
      </c>
      <c r="K71" s="233">
        <v>0</v>
      </c>
      <c r="L71" s="233">
        <v>0</v>
      </c>
      <c r="M71" s="233">
        <v>0</v>
      </c>
      <c r="N71" s="233">
        <v>0</v>
      </c>
      <c r="O71" s="233">
        <v>0</v>
      </c>
      <c r="P71" s="233">
        <v>0</v>
      </c>
      <c r="Q71" s="233">
        <v>0</v>
      </c>
      <c r="R71" s="233">
        <v>0</v>
      </c>
      <c r="S71" s="233">
        <v>0</v>
      </c>
      <c r="T71" s="233">
        <v>0</v>
      </c>
      <c r="U71" s="233">
        <v>0</v>
      </c>
      <c r="V71" s="233">
        <v>0</v>
      </c>
      <c r="W71" s="233">
        <v>0</v>
      </c>
      <c r="X71" s="233">
        <v>0</v>
      </c>
      <c r="Y71" s="233">
        <v>0</v>
      </c>
      <c r="Z71" s="233">
        <v>0</v>
      </c>
      <c r="AA71" s="233">
        <f>SUMIFS([1]!Data_BS[Value],[1]!Data_BS[Index BS],DTR!$B71,[1]!Data_BS[TenCongTyID],DTR!$B$1,[1]!Data_BS[Thang.Nam],DTR!AA$5)</f>
        <v>0</v>
      </c>
      <c r="AB71" s="233">
        <f>SUMIFS([1]!Data_BS[Value],[1]!Data_BS[Index BS],DTR!$B71,[1]!Data_BS[TenCongTyID],DTR!$B$1,[1]!Data_BS[Thang.Nam],DTR!AB$5)</f>
        <v>0</v>
      </c>
      <c r="AC71" s="233">
        <f>SUMIFS([1]!Data_BS[Value],[1]!Data_BS[Index BS],DTR!$B71,[1]!Data_BS[TenCongTyID],DTR!$B$1,[1]!Data_BS[Thang.Nam],DTR!AC$5)</f>
        <v>0</v>
      </c>
      <c r="AD71" s="233">
        <f>SUMIFS([1]!Data_BS[Value],[1]!Data_BS[Index BS],DTR!$B71,[1]!Data_BS[TenCongTyID],DTR!$B$1,[1]!Data_BS[Thang.Nam],DTR!AD$5)</f>
        <v>0</v>
      </c>
      <c r="AE71" s="233">
        <f>SUMIFS([1]!Data_BS[Value],[1]!Data_BS[Index BS],DTR!$B71,[1]!Data_BS[TenCongTyID],DTR!$B$1,[1]!Data_BS[Thang.Nam],DTR!AE$5)</f>
        <v>0</v>
      </c>
      <c r="AF71" s="233">
        <f>SUMIFS([1]!Data_BS[Value],[1]!Data_BS[Index BS],DTR!$B71,[1]!Data_BS[TenCongTyID],DTR!$B$1,[1]!Data_BS[Thang.Nam],DTR!AF$5)</f>
        <v>0</v>
      </c>
      <c r="AG71" s="233">
        <f>SUMIFS([1]!Data_BS[Value],[1]!Data_BS[Index BS],DTR!$B71,[1]!Data_BS[TenCongTyID],DTR!$B$1,[1]!Data_BS[Thang.Nam],DTR!AG$5)</f>
        <v>0</v>
      </c>
      <c r="AH71" s="233">
        <f>SUMIFS([1]!Data_BS[Value],[1]!Data_BS[Index BS],DTR!$B71,[1]!Data_BS[TenCongTyID],DTR!$B$1,[1]!Data_BS[Thang.Nam],DTR!AH$5)</f>
        <v>0</v>
      </c>
      <c r="AI71" s="233">
        <f>SUMIFS([1]!Data_BS[Value],[1]!Data_BS[Index BS],DTR!$B71,[1]!Data_BS[TenCongTyID],DTR!$B$1,[1]!Data_BS[Thang.Nam],DTR!AI$5)</f>
        <v>0</v>
      </c>
      <c r="AJ71" s="233">
        <f>SUMIFS([1]!Data_BS[Value],[1]!Data_BS[Index BS],DTR!$B71,[1]!Data_BS[TenCongTyID],DTR!$B$1,[1]!Data_BS[Thang.Nam],DTR!AJ$5)</f>
        <v>0</v>
      </c>
      <c r="AK71" s="233">
        <f>SUMIFS([1]!Data_BS[Value],[1]!Data_BS[Index BS],DTR!$B71,[1]!Data_BS[TenCongTyID],DTR!$B$1,[1]!Data_BS[Thang.Nam],DTR!AK$5)</f>
        <v>0</v>
      </c>
      <c r="AL71" s="233">
        <f>SUMIFS([1]!Data_BS[Value],[1]!Data_BS[Index BS],DTR!$B71,[1]!Data_BS[TenCongTyID],DTR!$B$1,[1]!Data_BS[Thang.Nam],DTR!AL$5)</f>
        <v>0</v>
      </c>
    </row>
    <row r="72" spans="1:38" ht="15" hidden="1" customHeight="1" outlineLevel="1">
      <c r="A72" s="62" t="s">
        <v>156</v>
      </c>
      <c r="B72" s="63">
        <v>67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31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Z72" s="229">
        <v>0</v>
      </c>
      <c r="AA72" s="229">
        <f>SUMIFS([1]!Data_BS[Value],[1]!Data_BS[Index BS],DTR!$B72,[1]!Data_BS[TenCongTyID],DTR!$B$1,[1]!Data_BS[Thang.Nam],DTR!AA$5)</f>
        <v>0</v>
      </c>
      <c r="AB72" s="229">
        <f>SUMIFS([1]!Data_BS[Value],[1]!Data_BS[Index BS],DTR!$B72,[1]!Data_BS[TenCongTyID],DTR!$B$1,[1]!Data_BS[Thang.Nam],DTR!AB$5)</f>
        <v>0</v>
      </c>
      <c r="AC72" s="229">
        <f>SUMIFS([1]!Data_BS[Value],[1]!Data_BS[Index BS],DTR!$B72,[1]!Data_BS[TenCongTyID],DTR!$B$1,[1]!Data_BS[Thang.Nam],DTR!AC$5)</f>
        <v>0</v>
      </c>
      <c r="AD72" s="229">
        <f>SUMIFS([1]!Data_BS[Value],[1]!Data_BS[Index BS],DTR!$B72,[1]!Data_BS[TenCongTyID],DTR!$B$1,[1]!Data_BS[Thang.Nam],DTR!AD$5)</f>
        <v>0</v>
      </c>
      <c r="AE72" s="229">
        <f>SUMIFS([1]!Data_BS[Value],[1]!Data_BS[Index BS],DTR!$B72,[1]!Data_BS[TenCongTyID],DTR!$B$1,[1]!Data_BS[Thang.Nam],DTR!AE$5)</f>
        <v>0</v>
      </c>
      <c r="AF72" s="229">
        <f>SUMIFS([1]!Data_BS[Value],[1]!Data_BS[Index BS],DTR!$B72,[1]!Data_BS[TenCongTyID],DTR!$B$1,[1]!Data_BS[Thang.Nam],DTR!AF$5)</f>
        <v>0</v>
      </c>
      <c r="AG72" s="229">
        <f>SUMIFS([1]!Data_BS[Value],[1]!Data_BS[Index BS],DTR!$B72,[1]!Data_BS[TenCongTyID],DTR!$B$1,[1]!Data_BS[Thang.Nam],DTR!AG$5)</f>
        <v>0</v>
      </c>
      <c r="AH72" s="229">
        <f>SUMIFS([1]!Data_BS[Value],[1]!Data_BS[Index BS],DTR!$B72,[1]!Data_BS[TenCongTyID],DTR!$B$1,[1]!Data_BS[Thang.Nam],DTR!AH$5)</f>
        <v>0</v>
      </c>
      <c r="AI72" s="229">
        <f>SUMIFS([1]!Data_BS[Value],[1]!Data_BS[Index BS],DTR!$B72,[1]!Data_BS[TenCongTyID],DTR!$B$1,[1]!Data_BS[Thang.Nam],DTR!AI$5)</f>
        <v>0</v>
      </c>
      <c r="AJ72" s="229">
        <f>SUMIFS([1]!Data_BS[Value],[1]!Data_BS[Index BS],DTR!$B72,[1]!Data_BS[TenCongTyID],DTR!$B$1,[1]!Data_BS[Thang.Nam],DTR!AJ$5)</f>
        <v>0</v>
      </c>
      <c r="AK72" s="229">
        <f>SUMIFS([1]!Data_BS[Value],[1]!Data_BS[Index BS],DTR!$B72,[1]!Data_BS[TenCongTyID],DTR!$B$1,[1]!Data_BS[Thang.Nam],DTR!AK$5)</f>
        <v>0</v>
      </c>
      <c r="AL72" s="229">
        <f>SUMIFS([1]!Data_BS[Value],[1]!Data_BS[Index BS],DTR!$B72,[1]!Data_BS[TenCongTyID],DTR!$B$1,[1]!Data_BS[Thang.Nam],DTR!AL$5)</f>
        <v>0</v>
      </c>
    </row>
    <row r="73" spans="1:38" ht="15" hidden="1" customHeight="1" outlineLevel="1">
      <c r="A73" s="62" t="s">
        <v>157</v>
      </c>
      <c r="B73" s="63">
        <v>68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31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Z73" s="229">
        <v>0</v>
      </c>
      <c r="AA73" s="229">
        <f>SUMIFS([1]!Data_BS[Value],[1]!Data_BS[Index BS],DTR!$B73,[1]!Data_BS[TenCongTyID],DTR!$B$1,[1]!Data_BS[Thang.Nam],DTR!AA$5)</f>
        <v>0</v>
      </c>
      <c r="AB73" s="229">
        <f>SUMIFS([1]!Data_BS[Value],[1]!Data_BS[Index BS],DTR!$B73,[1]!Data_BS[TenCongTyID],DTR!$B$1,[1]!Data_BS[Thang.Nam],DTR!AB$5)</f>
        <v>0</v>
      </c>
      <c r="AC73" s="229">
        <f>SUMIFS([1]!Data_BS[Value],[1]!Data_BS[Index BS],DTR!$B73,[1]!Data_BS[TenCongTyID],DTR!$B$1,[1]!Data_BS[Thang.Nam],DTR!AC$5)</f>
        <v>0</v>
      </c>
      <c r="AD73" s="229">
        <f>SUMIFS([1]!Data_BS[Value],[1]!Data_BS[Index BS],DTR!$B73,[1]!Data_BS[TenCongTyID],DTR!$B$1,[1]!Data_BS[Thang.Nam],DTR!AD$5)</f>
        <v>0</v>
      </c>
      <c r="AE73" s="229">
        <f>SUMIFS([1]!Data_BS[Value],[1]!Data_BS[Index BS],DTR!$B73,[1]!Data_BS[TenCongTyID],DTR!$B$1,[1]!Data_BS[Thang.Nam],DTR!AE$5)</f>
        <v>0</v>
      </c>
      <c r="AF73" s="229">
        <f>SUMIFS([1]!Data_BS[Value],[1]!Data_BS[Index BS],DTR!$B73,[1]!Data_BS[TenCongTyID],DTR!$B$1,[1]!Data_BS[Thang.Nam],DTR!AF$5)</f>
        <v>0</v>
      </c>
      <c r="AG73" s="229">
        <f>SUMIFS([1]!Data_BS[Value],[1]!Data_BS[Index BS],DTR!$B73,[1]!Data_BS[TenCongTyID],DTR!$B$1,[1]!Data_BS[Thang.Nam],DTR!AG$5)</f>
        <v>0</v>
      </c>
      <c r="AH73" s="229">
        <f>SUMIFS([1]!Data_BS[Value],[1]!Data_BS[Index BS],DTR!$B73,[1]!Data_BS[TenCongTyID],DTR!$B$1,[1]!Data_BS[Thang.Nam],DTR!AH$5)</f>
        <v>0</v>
      </c>
      <c r="AI73" s="229">
        <f>SUMIFS([1]!Data_BS[Value],[1]!Data_BS[Index BS],DTR!$B73,[1]!Data_BS[TenCongTyID],DTR!$B$1,[1]!Data_BS[Thang.Nam],DTR!AI$5)</f>
        <v>0</v>
      </c>
      <c r="AJ73" s="229">
        <f>SUMIFS([1]!Data_BS[Value],[1]!Data_BS[Index BS],DTR!$B73,[1]!Data_BS[TenCongTyID],DTR!$B$1,[1]!Data_BS[Thang.Nam],DTR!AJ$5)</f>
        <v>0</v>
      </c>
      <c r="AK73" s="229">
        <f>SUMIFS([1]!Data_BS[Value],[1]!Data_BS[Index BS],DTR!$B73,[1]!Data_BS[TenCongTyID],DTR!$B$1,[1]!Data_BS[Thang.Nam],DTR!AK$5)</f>
        <v>0</v>
      </c>
      <c r="AL73" s="229">
        <f>SUMIFS([1]!Data_BS[Value],[1]!Data_BS[Index BS],DTR!$B73,[1]!Data_BS[TenCongTyID],DTR!$B$1,[1]!Data_BS[Thang.Nam],DTR!AL$5)</f>
        <v>0</v>
      </c>
    </row>
    <row r="74" spans="1:38" ht="15" hidden="1" customHeight="1" outlineLevel="1">
      <c r="A74" s="62" t="s">
        <v>158</v>
      </c>
      <c r="B74" s="63">
        <v>69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31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Z74" s="229">
        <v>0</v>
      </c>
      <c r="AA74" s="229">
        <f>SUMIFS([1]!Data_BS[Value],[1]!Data_BS[Index BS],DTR!$B74,[1]!Data_BS[TenCongTyID],DTR!$B$1,[1]!Data_BS[Thang.Nam],DTR!AA$5)</f>
        <v>0</v>
      </c>
      <c r="AB74" s="229">
        <f>SUMIFS([1]!Data_BS[Value],[1]!Data_BS[Index BS],DTR!$B74,[1]!Data_BS[TenCongTyID],DTR!$B$1,[1]!Data_BS[Thang.Nam],DTR!AB$5)</f>
        <v>0</v>
      </c>
      <c r="AC74" s="229">
        <f>SUMIFS([1]!Data_BS[Value],[1]!Data_BS[Index BS],DTR!$B74,[1]!Data_BS[TenCongTyID],DTR!$B$1,[1]!Data_BS[Thang.Nam],DTR!AC$5)</f>
        <v>0</v>
      </c>
      <c r="AD74" s="229">
        <f>SUMIFS([1]!Data_BS[Value],[1]!Data_BS[Index BS],DTR!$B74,[1]!Data_BS[TenCongTyID],DTR!$B$1,[1]!Data_BS[Thang.Nam],DTR!AD$5)</f>
        <v>0</v>
      </c>
      <c r="AE74" s="229">
        <f>SUMIFS([1]!Data_BS[Value],[1]!Data_BS[Index BS],DTR!$B74,[1]!Data_BS[TenCongTyID],DTR!$B$1,[1]!Data_BS[Thang.Nam],DTR!AE$5)</f>
        <v>0</v>
      </c>
      <c r="AF74" s="229">
        <f>SUMIFS([1]!Data_BS[Value],[1]!Data_BS[Index BS],DTR!$B74,[1]!Data_BS[TenCongTyID],DTR!$B$1,[1]!Data_BS[Thang.Nam],DTR!AF$5)</f>
        <v>0</v>
      </c>
      <c r="AG74" s="229">
        <f>SUMIFS([1]!Data_BS[Value],[1]!Data_BS[Index BS],DTR!$B74,[1]!Data_BS[TenCongTyID],DTR!$B$1,[1]!Data_BS[Thang.Nam],DTR!AG$5)</f>
        <v>0</v>
      </c>
      <c r="AH74" s="229">
        <f>SUMIFS([1]!Data_BS[Value],[1]!Data_BS[Index BS],DTR!$B74,[1]!Data_BS[TenCongTyID],DTR!$B$1,[1]!Data_BS[Thang.Nam],DTR!AH$5)</f>
        <v>0</v>
      </c>
      <c r="AI74" s="229">
        <f>SUMIFS([1]!Data_BS[Value],[1]!Data_BS[Index BS],DTR!$B74,[1]!Data_BS[TenCongTyID],DTR!$B$1,[1]!Data_BS[Thang.Nam],DTR!AI$5)</f>
        <v>0</v>
      </c>
      <c r="AJ74" s="229">
        <f>SUMIFS([1]!Data_BS[Value],[1]!Data_BS[Index BS],DTR!$B74,[1]!Data_BS[TenCongTyID],DTR!$B$1,[1]!Data_BS[Thang.Nam],DTR!AJ$5)</f>
        <v>0</v>
      </c>
      <c r="AK74" s="229">
        <f>SUMIFS([1]!Data_BS[Value],[1]!Data_BS[Index BS],DTR!$B74,[1]!Data_BS[TenCongTyID],DTR!$B$1,[1]!Data_BS[Thang.Nam],DTR!AK$5)</f>
        <v>0</v>
      </c>
      <c r="AL74" s="229">
        <f>SUMIFS([1]!Data_BS[Value],[1]!Data_BS[Index BS],DTR!$B74,[1]!Data_BS[TenCongTyID],DTR!$B$1,[1]!Data_BS[Thang.Nam],DTR!AL$5)</f>
        <v>0</v>
      </c>
    </row>
    <row r="75" spans="1:38" ht="15" hidden="1" customHeight="1" outlineLevel="1">
      <c r="A75" s="62" t="s">
        <v>159</v>
      </c>
      <c r="B75" s="63">
        <v>70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44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Z75" s="229">
        <v>0</v>
      </c>
      <c r="AA75" s="229">
        <f>SUMIFS([1]!Data_BS[Value],[1]!Data_BS[Index BS],DTR!$B75,[1]!Data_BS[TenCongTyID],DTR!$B$1,[1]!Data_BS[Thang.Nam],DTR!AA$5)</f>
        <v>0</v>
      </c>
      <c r="AB75" s="229">
        <f>SUMIFS([1]!Data_BS[Value],[1]!Data_BS[Index BS],DTR!$B75,[1]!Data_BS[TenCongTyID],DTR!$B$1,[1]!Data_BS[Thang.Nam],DTR!AB$5)</f>
        <v>0</v>
      </c>
      <c r="AC75" s="229">
        <f>SUMIFS([1]!Data_BS[Value],[1]!Data_BS[Index BS],DTR!$B75,[1]!Data_BS[TenCongTyID],DTR!$B$1,[1]!Data_BS[Thang.Nam],DTR!AC$5)</f>
        <v>0</v>
      </c>
      <c r="AD75" s="229">
        <f>SUMIFS([1]!Data_BS[Value],[1]!Data_BS[Index BS],DTR!$B75,[1]!Data_BS[TenCongTyID],DTR!$B$1,[1]!Data_BS[Thang.Nam],DTR!AD$5)</f>
        <v>0</v>
      </c>
      <c r="AE75" s="229">
        <f>SUMIFS([1]!Data_BS[Value],[1]!Data_BS[Index BS],DTR!$B75,[1]!Data_BS[TenCongTyID],DTR!$B$1,[1]!Data_BS[Thang.Nam],DTR!AE$5)</f>
        <v>0</v>
      </c>
      <c r="AF75" s="229">
        <f>SUMIFS([1]!Data_BS[Value],[1]!Data_BS[Index BS],DTR!$B75,[1]!Data_BS[TenCongTyID],DTR!$B$1,[1]!Data_BS[Thang.Nam],DTR!AF$5)</f>
        <v>0</v>
      </c>
      <c r="AG75" s="229">
        <f>SUMIFS([1]!Data_BS[Value],[1]!Data_BS[Index BS],DTR!$B75,[1]!Data_BS[TenCongTyID],DTR!$B$1,[1]!Data_BS[Thang.Nam],DTR!AG$5)</f>
        <v>0</v>
      </c>
      <c r="AH75" s="229">
        <f>SUMIFS([1]!Data_BS[Value],[1]!Data_BS[Index BS],DTR!$B75,[1]!Data_BS[TenCongTyID],DTR!$B$1,[1]!Data_BS[Thang.Nam],DTR!AH$5)</f>
        <v>0</v>
      </c>
      <c r="AI75" s="229">
        <f>SUMIFS([1]!Data_BS[Value],[1]!Data_BS[Index BS],DTR!$B75,[1]!Data_BS[TenCongTyID],DTR!$B$1,[1]!Data_BS[Thang.Nam],DTR!AI$5)</f>
        <v>0</v>
      </c>
      <c r="AJ75" s="229">
        <f>SUMIFS([1]!Data_BS[Value],[1]!Data_BS[Index BS],DTR!$B75,[1]!Data_BS[TenCongTyID],DTR!$B$1,[1]!Data_BS[Thang.Nam],DTR!AJ$5)</f>
        <v>0</v>
      </c>
      <c r="AK75" s="229">
        <f>SUMIFS([1]!Data_BS[Value],[1]!Data_BS[Index BS],DTR!$B75,[1]!Data_BS[TenCongTyID],DTR!$B$1,[1]!Data_BS[Thang.Nam],DTR!AK$5)</f>
        <v>0</v>
      </c>
      <c r="AL75" s="229">
        <f>SUMIFS([1]!Data_BS[Value],[1]!Data_BS[Index BS],DTR!$B75,[1]!Data_BS[TenCongTyID],DTR!$B$1,[1]!Data_BS[Thang.Nam],DTR!AL$5)</f>
        <v>0</v>
      </c>
    </row>
    <row r="76" spans="1:38" ht="15" hidden="1" customHeight="1" outlineLevel="1">
      <c r="A76" s="66" t="s">
        <v>160</v>
      </c>
      <c r="B76" s="63">
        <v>71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44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Z76" s="229">
        <v>0</v>
      </c>
      <c r="AA76" s="229">
        <f>SUMIFS([1]!Data_BS[Value],[1]!Data_BS[Index BS],DTR!$B76,[1]!Data_BS[TenCongTyID],DTR!$B$1,[1]!Data_BS[Thang.Nam],DTR!AA$5)</f>
        <v>0</v>
      </c>
      <c r="AB76" s="229">
        <f>SUMIFS([1]!Data_BS[Value],[1]!Data_BS[Index BS],DTR!$B76,[1]!Data_BS[TenCongTyID],DTR!$B$1,[1]!Data_BS[Thang.Nam],DTR!AB$5)</f>
        <v>0</v>
      </c>
      <c r="AC76" s="229">
        <f>SUMIFS([1]!Data_BS[Value],[1]!Data_BS[Index BS],DTR!$B76,[1]!Data_BS[TenCongTyID],DTR!$B$1,[1]!Data_BS[Thang.Nam],DTR!AC$5)</f>
        <v>0</v>
      </c>
      <c r="AD76" s="229">
        <f>SUMIFS([1]!Data_BS[Value],[1]!Data_BS[Index BS],DTR!$B76,[1]!Data_BS[TenCongTyID],DTR!$B$1,[1]!Data_BS[Thang.Nam],DTR!AD$5)</f>
        <v>0</v>
      </c>
      <c r="AE76" s="229">
        <f>SUMIFS([1]!Data_BS[Value],[1]!Data_BS[Index BS],DTR!$B76,[1]!Data_BS[TenCongTyID],DTR!$B$1,[1]!Data_BS[Thang.Nam],DTR!AE$5)</f>
        <v>0</v>
      </c>
      <c r="AF76" s="229">
        <f>SUMIFS([1]!Data_BS[Value],[1]!Data_BS[Index BS],DTR!$B76,[1]!Data_BS[TenCongTyID],DTR!$B$1,[1]!Data_BS[Thang.Nam],DTR!AF$5)</f>
        <v>0</v>
      </c>
      <c r="AG76" s="229">
        <f>SUMIFS([1]!Data_BS[Value],[1]!Data_BS[Index BS],DTR!$B76,[1]!Data_BS[TenCongTyID],DTR!$B$1,[1]!Data_BS[Thang.Nam],DTR!AG$5)</f>
        <v>0</v>
      </c>
      <c r="AH76" s="229">
        <f>SUMIFS([1]!Data_BS[Value],[1]!Data_BS[Index BS],DTR!$B76,[1]!Data_BS[TenCongTyID],DTR!$B$1,[1]!Data_BS[Thang.Nam],DTR!AH$5)</f>
        <v>0</v>
      </c>
      <c r="AI76" s="229">
        <f>SUMIFS([1]!Data_BS[Value],[1]!Data_BS[Index BS],DTR!$B76,[1]!Data_BS[TenCongTyID],DTR!$B$1,[1]!Data_BS[Thang.Nam],DTR!AI$5)</f>
        <v>0</v>
      </c>
      <c r="AJ76" s="229">
        <f>SUMIFS([1]!Data_BS[Value],[1]!Data_BS[Index BS],DTR!$B76,[1]!Data_BS[TenCongTyID],DTR!$B$1,[1]!Data_BS[Thang.Nam],DTR!AJ$5)</f>
        <v>0</v>
      </c>
      <c r="AK76" s="229">
        <f>SUMIFS([1]!Data_BS[Value],[1]!Data_BS[Index BS],DTR!$B76,[1]!Data_BS[TenCongTyID],DTR!$B$1,[1]!Data_BS[Thang.Nam],DTR!AK$5)</f>
        <v>0</v>
      </c>
      <c r="AL76" s="229">
        <f>SUMIFS([1]!Data_BS[Value],[1]!Data_BS[Index BS],DTR!$B76,[1]!Data_BS[TenCongTyID],DTR!$B$1,[1]!Data_BS[Thang.Nam],DTR!AL$5)</f>
        <v>0</v>
      </c>
    </row>
    <row r="77" spans="1:38" ht="15" hidden="1" customHeight="1" outlineLevel="1">
      <c r="A77" s="66" t="s">
        <v>161</v>
      </c>
      <c r="B77" s="63">
        <v>72</v>
      </c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44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>
        <v>0</v>
      </c>
      <c r="AA77" s="229">
        <f>SUMIFS([1]!Data_BS[Value],[1]!Data_BS[Index BS],DTR!$B77,[1]!Data_BS[TenCongTyID],DTR!$B$1,[1]!Data_BS[Thang.Nam],DTR!AA$5)</f>
        <v>0</v>
      </c>
      <c r="AB77" s="229">
        <f>SUMIFS([1]!Data_BS[Value],[1]!Data_BS[Index BS],DTR!$B77,[1]!Data_BS[TenCongTyID],DTR!$B$1,[1]!Data_BS[Thang.Nam],DTR!AB$5)</f>
        <v>0</v>
      </c>
      <c r="AC77" s="229">
        <f>SUMIFS([1]!Data_BS[Value],[1]!Data_BS[Index BS],DTR!$B77,[1]!Data_BS[TenCongTyID],DTR!$B$1,[1]!Data_BS[Thang.Nam],DTR!AC$5)</f>
        <v>0</v>
      </c>
      <c r="AD77" s="229">
        <f>SUMIFS([1]!Data_BS[Value],[1]!Data_BS[Index BS],DTR!$B77,[1]!Data_BS[TenCongTyID],DTR!$B$1,[1]!Data_BS[Thang.Nam],DTR!AD$5)</f>
        <v>0</v>
      </c>
      <c r="AE77" s="229">
        <f>SUMIFS([1]!Data_BS[Value],[1]!Data_BS[Index BS],DTR!$B77,[1]!Data_BS[TenCongTyID],DTR!$B$1,[1]!Data_BS[Thang.Nam],DTR!AE$5)</f>
        <v>0</v>
      </c>
      <c r="AF77" s="229">
        <f>SUMIFS([1]!Data_BS[Value],[1]!Data_BS[Index BS],DTR!$B77,[1]!Data_BS[TenCongTyID],DTR!$B$1,[1]!Data_BS[Thang.Nam],DTR!AF$5)</f>
        <v>0</v>
      </c>
      <c r="AG77" s="229">
        <f>SUMIFS([1]!Data_BS[Value],[1]!Data_BS[Index BS],DTR!$B77,[1]!Data_BS[TenCongTyID],DTR!$B$1,[1]!Data_BS[Thang.Nam],DTR!AG$5)</f>
        <v>0</v>
      </c>
      <c r="AH77" s="229">
        <f>SUMIFS([1]!Data_BS[Value],[1]!Data_BS[Index BS],DTR!$B77,[1]!Data_BS[TenCongTyID],DTR!$B$1,[1]!Data_BS[Thang.Nam],DTR!AH$5)</f>
        <v>0</v>
      </c>
      <c r="AI77" s="229">
        <f>SUMIFS([1]!Data_BS[Value],[1]!Data_BS[Index BS],DTR!$B77,[1]!Data_BS[TenCongTyID],DTR!$B$1,[1]!Data_BS[Thang.Nam],DTR!AI$5)</f>
        <v>0</v>
      </c>
      <c r="AJ77" s="229">
        <f>SUMIFS([1]!Data_BS[Value],[1]!Data_BS[Index BS],DTR!$B77,[1]!Data_BS[TenCongTyID],DTR!$B$1,[1]!Data_BS[Thang.Nam],DTR!AJ$5)</f>
        <v>0</v>
      </c>
      <c r="AK77" s="229">
        <f>SUMIFS([1]!Data_BS[Value],[1]!Data_BS[Index BS],DTR!$B77,[1]!Data_BS[TenCongTyID],DTR!$B$1,[1]!Data_BS[Thang.Nam],DTR!AK$5)</f>
        <v>0</v>
      </c>
      <c r="AL77" s="229">
        <f>SUMIFS([1]!Data_BS[Value],[1]!Data_BS[Index BS],DTR!$B77,[1]!Data_BS[TenCongTyID],DTR!$B$1,[1]!Data_BS[Thang.Nam],DTR!AL$5)</f>
        <v>0</v>
      </c>
    </row>
    <row r="78" spans="1:38" s="78" customFormat="1" ht="15" hidden="1" customHeight="1" outlineLevel="1">
      <c r="A78" s="76" t="s">
        <v>162</v>
      </c>
      <c r="B78" s="65">
        <v>73</v>
      </c>
      <c r="C78" s="233">
        <v>4555335037</v>
      </c>
      <c r="D78" s="233">
        <v>4317772711</v>
      </c>
      <c r="E78" s="233">
        <v>5343646772</v>
      </c>
      <c r="F78" s="233">
        <v>5673307870</v>
      </c>
      <c r="G78" s="233">
        <v>5368103241</v>
      </c>
      <c r="H78" s="233">
        <v>5257350583</v>
      </c>
      <c r="I78" s="233">
        <v>5470458531</v>
      </c>
      <c r="J78" s="233">
        <v>6446273768</v>
      </c>
      <c r="K78" s="233">
        <v>6223701149</v>
      </c>
      <c r="L78" s="233">
        <v>5995679892</v>
      </c>
      <c r="M78" s="233">
        <v>6220253528</v>
      </c>
      <c r="N78" s="234">
        <v>6856222691</v>
      </c>
      <c r="O78" s="247">
        <v>4629083379</v>
      </c>
      <c r="P78" s="234">
        <v>8122926924</v>
      </c>
      <c r="Q78" s="234">
        <v>9778480429</v>
      </c>
      <c r="R78" s="234">
        <v>9451925232</v>
      </c>
      <c r="S78" s="234">
        <v>9004620528</v>
      </c>
      <c r="T78" s="234">
        <v>9051617060</v>
      </c>
      <c r="U78" s="234">
        <v>8539591808</v>
      </c>
      <c r="V78" s="234">
        <v>8072871371</v>
      </c>
      <c r="W78" s="234">
        <v>8253974823</v>
      </c>
      <c r="X78" s="234">
        <v>8650890043</v>
      </c>
      <c r="Y78" s="234">
        <v>8536798591</v>
      </c>
      <c r="Z78" s="234">
        <v>8260771278</v>
      </c>
      <c r="AA78" s="234">
        <f>SUMIFS([1]!Data_BS[Value],[1]!Data_BS[Index BS],DTR!$B78,[1]!Data_BS[TenCongTyID],DTR!$B$1,[1]!Data_BS[Thang.Nam],DTR!AA$5)</f>
        <v>0</v>
      </c>
      <c r="AB78" s="234">
        <f>SUMIFS([1]!Data_BS[Value],[1]!Data_BS[Index BS],DTR!$B78,[1]!Data_BS[TenCongTyID],DTR!$B$1,[1]!Data_BS[Thang.Nam],DTR!AB$5)</f>
        <v>0</v>
      </c>
      <c r="AC78" s="234">
        <f>SUMIFS([1]!Data_BS[Value],[1]!Data_BS[Index BS],DTR!$B78,[1]!Data_BS[TenCongTyID],DTR!$B$1,[1]!Data_BS[Thang.Nam],DTR!AC$5)</f>
        <v>0</v>
      </c>
      <c r="AD78" s="234">
        <f>SUMIFS([1]!Data_BS[Value],[1]!Data_BS[Index BS],DTR!$B78,[1]!Data_BS[TenCongTyID],DTR!$B$1,[1]!Data_BS[Thang.Nam],DTR!AD$5)</f>
        <v>0</v>
      </c>
      <c r="AE78" s="234">
        <f>SUMIFS([1]!Data_BS[Value],[1]!Data_BS[Index BS],DTR!$B78,[1]!Data_BS[TenCongTyID],DTR!$B$1,[1]!Data_BS[Thang.Nam],DTR!AE$5)</f>
        <v>0</v>
      </c>
      <c r="AF78" s="234">
        <f>SUMIFS([1]!Data_BS[Value],[1]!Data_BS[Index BS],DTR!$B78,[1]!Data_BS[TenCongTyID],DTR!$B$1,[1]!Data_BS[Thang.Nam],DTR!AF$5)</f>
        <v>0</v>
      </c>
      <c r="AG78" s="234">
        <f>SUMIFS([1]!Data_BS[Value],[1]!Data_BS[Index BS],DTR!$B78,[1]!Data_BS[TenCongTyID],DTR!$B$1,[1]!Data_BS[Thang.Nam],DTR!AG$5)</f>
        <v>0</v>
      </c>
      <c r="AH78" s="234">
        <f>SUMIFS([1]!Data_BS[Value],[1]!Data_BS[Index BS],DTR!$B78,[1]!Data_BS[TenCongTyID],DTR!$B$1,[1]!Data_BS[Thang.Nam],DTR!AH$5)</f>
        <v>0</v>
      </c>
      <c r="AI78" s="234">
        <f>SUMIFS([1]!Data_BS[Value],[1]!Data_BS[Index BS],DTR!$B78,[1]!Data_BS[TenCongTyID],DTR!$B$1,[1]!Data_BS[Thang.Nam],DTR!AI$5)</f>
        <v>0</v>
      </c>
      <c r="AJ78" s="234">
        <f>SUMIFS([1]!Data_BS[Value],[1]!Data_BS[Index BS],DTR!$B78,[1]!Data_BS[TenCongTyID],DTR!$B$1,[1]!Data_BS[Thang.Nam],DTR!AJ$5)</f>
        <v>0</v>
      </c>
      <c r="AK78" s="234">
        <f>SUMIFS([1]!Data_BS[Value],[1]!Data_BS[Index BS],DTR!$B78,[1]!Data_BS[TenCongTyID],DTR!$B$1,[1]!Data_BS[Thang.Nam],DTR!AK$5)</f>
        <v>0</v>
      </c>
      <c r="AL78" s="234">
        <f>SUMIFS([1]!Data_BS[Value],[1]!Data_BS[Index BS],DTR!$B78,[1]!Data_BS[TenCongTyID],DTR!$B$1,[1]!Data_BS[Thang.Nam],DTR!AL$5)</f>
        <v>0</v>
      </c>
    </row>
    <row r="79" spans="1:38" ht="15" hidden="1" customHeight="1" outlineLevel="1">
      <c r="A79" s="67" t="s">
        <v>163</v>
      </c>
      <c r="B79" s="63">
        <v>74</v>
      </c>
      <c r="C79" s="229">
        <v>4555335037</v>
      </c>
      <c r="D79" s="229">
        <v>4317772711</v>
      </c>
      <c r="E79" s="229">
        <v>5343646772</v>
      </c>
      <c r="F79" s="229">
        <v>5673307870</v>
      </c>
      <c r="G79" s="229">
        <v>5368103241</v>
      </c>
      <c r="H79" s="229">
        <v>5257350583</v>
      </c>
      <c r="I79" s="229">
        <v>5470458531</v>
      </c>
      <c r="J79" s="229">
        <v>6446273768</v>
      </c>
      <c r="K79" s="229">
        <v>6223701149</v>
      </c>
      <c r="L79" s="229">
        <v>5995679892</v>
      </c>
      <c r="M79" s="229">
        <v>6220253528</v>
      </c>
      <c r="N79" s="229">
        <v>6856222691</v>
      </c>
      <c r="O79" s="248">
        <v>6468024689</v>
      </c>
      <c r="P79" s="229">
        <v>9953825234</v>
      </c>
      <c r="Q79" s="229">
        <v>9749118739</v>
      </c>
      <c r="R79" s="229">
        <v>9422563542</v>
      </c>
      <c r="S79" s="229">
        <v>8975258838</v>
      </c>
      <c r="T79" s="229">
        <v>9022255370</v>
      </c>
      <c r="U79" s="229">
        <v>8539591808</v>
      </c>
      <c r="V79" s="229">
        <v>8072871371</v>
      </c>
      <c r="W79" s="229">
        <v>8253974823</v>
      </c>
      <c r="X79" s="229">
        <v>8650890043</v>
      </c>
      <c r="Y79" s="229">
        <v>8536798591</v>
      </c>
      <c r="Z79" s="229">
        <v>8260771278</v>
      </c>
      <c r="AA79" s="229">
        <f>SUMIFS([1]!Data_BS[Value],[1]!Data_BS[Index BS],DTR!$B79,[1]!Data_BS[TenCongTyID],DTR!$B$1,[1]!Data_BS[Thang.Nam],DTR!AA$5)</f>
        <v>0</v>
      </c>
      <c r="AB79" s="229">
        <f>SUMIFS([1]!Data_BS[Value],[1]!Data_BS[Index BS],DTR!$B79,[1]!Data_BS[TenCongTyID],DTR!$B$1,[1]!Data_BS[Thang.Nam],DTR!AB$5)</f>
        <v>0</v>
      </c>
      <c r="AC79" s="229">
        <f>SUMIFS([1]!Data_BS[Value],[1]!Data_BS[Index BS],DTR!$B79,[1]!Data_BS[TenCongTyID],DTR!$B$1,[1]!Data_BS[Thang.Nam],DTR!AC$5)</f>
        <v>0</v>
      </c>
      <c r="AD79" s="229">
        <f>SUMIFS([1]!Data_BS[Value],[1]!Data_BS[Index BS],DTR!$B79,[1]!Data_BS[TenCongTyID],DTR!$B$1,[1]!Data_BS[Thang.Nam],DTR!AD$5)</f>
        <v>0</v>
      </c>
      <c r="AE79" s="229">
        <f>SUMIFS([1]!Data_BS[Value],[1]!Data_BS[Index BS],DTR!$B79,[1]!Data_BS[TenCongTyID],DTR!$B$1,[1]!Data_BS[Thang.Nam],DTR!AE$5)</f>
        <v>0</v>
      </c>
      <c r="AF79" s="229">
        <f>SUMIFS([1]!Data_BS[Value],[1]!Data_BS[Index BS],DTR!$B79,[1]!Data_BS[TenCongTyID],DTR!$B$1,[1]!Data_BS[Thang.Nam],DTR!AF$5)</f>
        <v>0</v>
      </c>
      <c r="AG79" s="229">
        <f>SUMIFS([1]!Data_BS[Value],[1]!Data_BS[Index BS],DTR!$B79,[1]!Data_BS[TenCongTyID],DTR!$B$1,[1]!Data_BS[Thang.Nam],DTR!AG$5)</f>
        <v>0</v>
      </c>
      <c r="AH79" s="229">
        <f>SUMIFS([1]!Data_BS[Value],[1]!Data_BS[Index BS],DTR!$B79,[1]!Data_BS[TenCongTyID],DTR!$B$1,[1]!Data_BS[Thang.Nam],DTR!AH$5)</f>
        <v>0</v>
      </c>
      <c r="AI79" s="229">
        <f>SUMIFS([1]!Data_BS[Value],[1]!Data_BS[Index BS],DTR!$B79,[1]!Data_BS[TenCongTyID],DTR!$B$1,[1]!Data_BS[Thang.Nam],DTR!AI$5)</f>
        <v>0</v>
      </c>
      <c r="AJ79" s="229">
        <f>SUMIFS([1]!Data_BS[Value],[1]!Data_BS[Index BS],DTR!$B79,[1]!Data_BS[TenCongTyID],DTR!$B$1,[1]!Data_BS[Thang.Nam],DTR!AJ$5)</f>
        <v>0</v>
      </c>
      <c r="AK79" s="229">
        <f>SUMIFS([1]!Data_BS[Value],[1]!Data_BS[Index BS],DTR!$B79,[1]!Data_BS[TenCongTyID],DTR!$B$1,[1]!Data_BS[Thang.Nam],DTR!AK$5)</f>
        <v>0</v>
      </c>
      <c r="AL79" s="229">
        <f>SUMIFS([1]!Data_BS[Value],[1]!Data_BS[Index BS],DTR!$B79,[1]!Data_BS[TenCongTyID],DTR!$B$1,[1]!Data_BS[Thang.Nam],DTR!AL$5)</f>
        <v>0</v>
      </c>
    </row>
    <row r="80" spans="1:38" ht="15" hidden="1" customHeight="1" outlineLevel="1">
      <c r="A80" s="67" t="s">
        <v>164</v>
      </c>
      <c r="B80" s="63">
        <v>75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44">
        <v>-1838941310</v>
      </c>
      <c r="P80" s="229">
        <v>-1830898310</v>
      </c>
      <c r="Q80" s="229">
        <v>29361690</v>
      </c>
      <c r="R80" s="229">
        <v>29361690</v>
      </c>
      <c r="S80" s="229">
        <v>29361690</v>
      </c>
      <c r="T80" s="229">
        <v>29361690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Z80" s="229">
        <v>0</v>
      </c>
      <c r="AA80" s="229">
        <f>SUMIFS([1]!Data_BS[Value],[1]!Data_BS[Index BS],DTR!$B80,[1]!Data_BS[TenCongTyID],DTR!$B$1,[1]!Data_BS[Thang.Nam],DTR!AA$5)</f>
        <v>0</v>
      </c>
      <c r="AB80" s="229">
        <f>SUMIFS([1]!Data_BS[Value],[1]!Data_BS[Index BS],DTR!$B80,[1]!Data_BS[TenCongTyID],DTR!$B$1,[1]!Data_BS[Thang.Nam],DTR!AB$5)</f>
        <v>0</v>
      </c>
      <c r="AC80" s="229">
        <f>SUMIFS([1]!Data_BS[Value],[1]!Data_BS[Index BS],DTR!$B80,[1]!Data_BS[TenCongTyID],DTR!$B$1,[1]!Data_BS[Thang.Nam],DTR!AC$5)</f>
        <v>0</v>
      </c>
      <c r="AD80" s="229">
        <f>SUMIFS([1]!Data_BS[Value],[1]!Data_BS[Index BS],DTR!$B80,[1]!Data_BS[TenCongTyID],DTR!$B$1,[1]!Data_BS[Thang.Nam],DTR!AD$5)</f>
        <v>0</v>
      </c>
      <c r="AE80" s="229">
        <f>SUMIFS([1]!Data_BS[Value],[1]!Data_BS[Index BS],DTR!$B80,[1]!Data_BS[TenCongTyID],DTR!$B$1,[1]!Data_BS[Thang.Nam],DTR!AE$5)</f>
        <v>0</v>
      </c>
      <c r="AF80" s="229">
        <f>SUMIFS([1]!Data_BS[Value],[1]!Data_BS[Index BS],DTR!$B80,[1]!Data_BS[TenCongTyID],DTR!$B$1,[1]!Data_BS[Thang.Nam],DTR!AF$5)</f>
        <v>0</v>
      </c>
      <c r="AG80" s="229">
        <f>SUMIFS([1]!Data_BS[Value],[1]!Data_BS[Index BS],DTR!$B80,[1]!Data_BS[TenCongTyID],DTR!$B$1,[1]!Data_BS[Thang.Nam],DTR!AG$5)</f>
        <v>0</v>
      </c>
      <c r="AH80" s="229">
        <f>SUMIFS([1]!Data_BS[Value],[1]!Data_BS[Index BS],DTR!$B80,[1]!Data_BS[TenCongTyID],DTR!$B$1,[1]!Data_BS[Thang.Nam],DTR!AH$5)</f>
        <v>0</v>
      </c>
      <c r="AI80" s="229">
        <f>SUMIFS([1]!Data_BS[Value],[1]!Data_BS[Index BS],DTR!$B80,[1]!Data_BS[TenCongTyID],DTR!$B$1,[1]!Data_BS[Thang.Nam],DTR!AI$5)</f>
        <v>0</v>
      </c>
      <c r="AJ80" s="229">
        <f>SUMIFS([1]!Data_BS[Value],[1]!Data_BS[Index BS],DTR!$B80,[1]!Data_BS[TenCongTyID],DTR!$B$1,[1]!Data_BS[Thang.Nam],DTR!AJ$5)</f>
        <v>0</v>
      </c>
      <c r="AK80" s="229">
        <f>SUMIFS([1]!Data_BS[Value],[1]!Data_BS[Index BS],DTR!$B80,[1]!Data_BS[TenCongTyID],DTR!$B$1,[1]!Data_BS[Thang.Nam],DTR!AK$5)</f>
        <v>0</v>
      </c>
      <c r="AL80" s="229">
        <f>SUMIFS([1]!Data_BS[Value],[1]!Data_BS[Index BS],DTR!$B80,[1]!Data_BS[TenCongTyID],DTR!$B$1,[1]!Data_BS[Thang.Nam],DTR!AL$5)</f>
        <v>0</v>
      </c>
    </row>
    <row r="81" spans="1:38" ht="15" hidden="1" customHeight="1" outlineLevel="1">
      <c r="A81" s="67" t="s">
        <v>165</v>
      </c>
      <c r="B81" s="63">
        <v>76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44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Z81" s="229">
        <v>0</v>
      </c>
      <c r="AA81" s="229">
        <f>SUMIFS([1]!Data_BS[Value],[1]!Data_BS[Index BS],DTR!$B81,[1]!Data_BS[TenCongTyID],DTR!$B$1,[1]!Data_BS[Thang.Nam],DTR!AA$5)</f>
        <v>0</v>
      </c>
      <c r="AB81" s="229">
        <f>SUMIFS([1]!Data_BS[Value],[1]!Data_BS[Index BS],DTR!$B81,[1]!Data_BS[TenCongTyID],DTR!$B$1,[1]!Data_BS[Thang.Nam],DTR!AB$5)</f>
        <v>0</v>
      </c>
      <c r="AC81" s="229">
        <f>SUMIFS([1]!Data_BS[Value],[1]!Data_BS[Index BS],DTR!$B81,[1]!Data_BS[TenCongTyID],DTR!$B$1,[1]!Data_BS[Thang.Nam],DTR!AC$5)</f>
        <v>0</v>
      </c>
      <c r="AD81" s="229">
        <f>SUMIFS([1]!Data_BS[Value],[1]!Data_BS[Index BS],DTR!$B81,[1]!Data_BS[TenCongTyID],DTR!$B$1,[1]!Data_BS[Thang.Nam],DTR!AD$5)</f>
        <v>0</v>
      </c>
      <c r="AE81" s="229">
        <f>SUMIFS([1]!Data_BS[Value],[1]!Data_BS[Index BS],DTR!$B81,[1]!Data_BS[TenCongTyID],DTR!$B$1,[1]!Data_BS[Thang.Nam],DTR!AE$5)</f>
        <v>0</v>
      </c>
      <c r="AF81" s="229">
        <f>SUMIFS([1]!Data_BS[Value],[1]!Data_BS[Index BS],DTR!$B81,[1]!Data_BS[TenCongTyID],DTR!$B$1,[1]!Data_BS[Thang.Nam],DTR!AF$5)</f>
        <v>0</v>
      </c>
      <c r="AG81" s="229">
        <f>SUMIFS([1]!Data_BS[Value],[1]!Data_BS[Index BS],DTR!$B81,[1]!Data_BS[TenCongTyID],DTR!$B$1,[1]!Data_BS[Thang.Nam],DTR!AG$5)</f>
        <v>0</v>
      </c>
      <c r="AH81" s="229">
        <f>SUMIFS([1]!Data_BS[Value],[1]!Data_BS[Index BS],DTR!$B81,[1]!Data_BS[TenCongTyID],DTR!$B$1,[1]!Data_BS[Thang.Nam],DTR!AH$5)</f>
        <v>0</v>
      </c>
      <c r="AI81" s="229">
        <f>SUMIFS([1]!Data_BS[Value],[1]!Data_BS[Index BS],DTR!$B81,[1]!Data_BS[TenCongTyID],DTR!$B$1,[1]!Data_BS[Thang.Nam],DTR!AI$5)</f>
        <v>0</v>
      </c>
      <c r="AJ81" s="229">
        <f>SUMIFS([1]!Data_BS[Value],[1]!Data_BS[Index BS],DTR!$B81,[1]!Data_BS[TenCongTyID],DTR!$B$1,[1]!Data_BS[Thang.Nam],DTR!AJ$5)</f>
        <v>0</v>
      </c>
      <c r="AK81" s="229">
        <f>SUMIFS([1]!Data_BS[Value],[1]!Data_BS[Index BS],DTR!$B81,[1]!Data_BS[TenCongTyID],DTR!$B$1,[1]!Data_BS[Thang.Nam],DTR!AK$5)</f>
        <v>0</v>
      </c>
      <c r="AL81" s="229">
        <f>SUMIFS([1]!Data_BS[Value],[1]!Data_BS[Index BS],DTR!$B81,[1]!Data_BS[TenCongTyID],DTR!$B$1,[1]!Data_BS[Thang.Nam],DTR!AL$5)</f>
        <v>0</v>
      </c>
    </row>
    <row r="82" spans="1:38" ht="15" hidden="1" customHeight="1" outlineLevel="1">
      <c r="A82" s="67" t="s">
        <v>166</v>
      </c>
      <c r="B82" s="63">
        <v>77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Z82" s="229">
        <v>0</v>
      </c>
      <c r="AA82" s="229">
        <f>SUMIFS([1]!Data_BS[Value],[1]!Data_BS[Index BS],DTR!$B82,[1]!Data_BS[TenCongTyID],DTR!$B$1,[1]!Data_BS[Thang.Nam],DTR!AA$5)</f>
        <v>0</v>
      </c>
      <c r="AB82" s="229">
        <f>SUMIFS([1]!Data_BS[Value],[1]!Data_BS[Index BS],DTR!$B82,[1]!Data_BS[TenCongTyID],DTR!$B$1,[1]!Data_BS[Thang.Nam],DTR!AB$5)</f>
        <v>0</v>
      </c>
      <c r="AC82" s="229">
        <f>SUMIFS([1]!Data_BS[Value],[1]!Data_BS[Index BS],DTR!$B82,[1]!Data_BS[TenCongTyID],DTR!$B$1,[1]!Data_BS[Thang.Nam],DTR!AC$5)</f>
        <v>0</v>
      </c>
      <c r="AD82" s="229">
        <f>SUMIFS([1]!Data_BS[Value],[1]!Data_BS[Index BS],DTR!$B82,[1]!Data_BS[TenCongTyID],DTR!$B$1,[1]!Data_BS[Thang.Nam],DTR!AD$5)</f>
        <v>0</v>
      </c>
      <c r="AE82" s="229">
        <f>SUMIFS([1]!Data_BS[Value],[1]!Data_BS[Index BS],DTR!$B82,[1]!Data_BS[TenCongTyID],DTR!$B$1,[1]!Data_BS[Thang.Nam],DTR!AE$5)</f>
        <v>0</v>
      </c>
      <c r="AF82" s="229">
        <f>SUMIFS([1]!Data_BS[Value],[1]!Data_BS[Index BS],DTR!$B82,[1]!Data_BS[TenCongTyID],DTR!$B$1,[1]!Data_BS[Thang.Nam],DTR!AF$5)</f>
        <v>0</v>
      </c>
      <c r="AG82" s="229">
        <f>SUMIFS([1]!Data_BS[Value],[1]!Data_BS[Index BS],DTR!$B82,[1]!Data_BS[TenCongTyID],DTR!$B$1,[1]!Data_BS[Thang.Nam],DTR!AG$5)</f>
        <v>0</v>
      </c>
      <c r="AH82" s="229">
        <f>SUMIFS([1]!Data_BS[Value],[1]!Data_BS[Index BS],DTR!$B82,[1]!Data_BS[TenCongTyID],DTR!$B$1,[1]!Data_BS[Thang.Nam],DTR!AH$5)</f>
        <v>0</v>
      </c>
      <c r="AI82" s="229">
        <f>SUMIFS([1]!Data_BS[Value],[1]!Data_BS[Index BS],DTR!$B82,[1]!Data_BS[TenCongTyID],DTR!$B$1,[1]!Data_BS[Thang.Nam],DTR!AI$5)</f>
        <v>0</v>
      </c>
      <c r="AJ82" s="229">
        <f>SUMIFS([1]!Data_BS[Value],[1]!Data_BS[Index BS],DTR!$B82,[1]!Data_BS[TenCongTyID],DTR!$B$1,[1]!Data_BS[Thang.Nam],DTR!AJ$5)</f>
        <v>0</v>
      </c>
      <c r="AK82" s="229">
        <f>SUMIFS([1]!Data_BS[Value],[1]!Data_BS[Index BS],DTR!$B82,[1]!Data_BS[TenCongTyID],DTR!$B$1,[1]!Data_BS[Thang.Nam],DTR!AK$5)</f>
        <v>0</v>
      </c>
      <c r="AL82" s="229">
        <f>SUMIFS([1]!Data_BS[Value],[1]!Data_BS[Index BS],DTR!$B82,[1]!Data_BS[TenCongTyID],DTR!$B$1,[1]!Data_BS[Thang.Nam],DTR!AL$5)</f>
        <v>0</v>
      </c>
    </row>
    <row r="83" spans="1:38" s="251" customFormat="1" ht="15" hidden="1" customHeight="1" outlineLevel="1">
      <c r="A83" s="80" t="s">
        <v>167</v>
      </c>
      <c r="B83" s="81">
        <v>78</v>
      </c>
      <c r="C83" s="249">
        <v>1057103531305</v>
      </c>
      <c r="D83" s="249">
        <v>1040896591576</v>
      </c>
      <c r="E83" s="249">
        <v>1086666187007</v>
      </c>
      <c r="F83" s="249">
        <v>1148315875666</v>
      </c>
      <c r="G83" s="249">
        <v>1198060080145</v>
      </c>
      <c r="H83" s="249">
        <v>1227307344731</v>
      </c>
      <c r="I83" s="249">
        <v>1174910121203</v>
      </c>
      <c r="J83" s="249">
        <v>1123549747111</v>
      </c>
      <c r="K83" s="249">
        <v>1164301804118</v>
      </c>
      <c r="L83" s="249">
        <v>1184459048233</v>
      </c>
      <c r="M83" s="249">
        <v>1262755141991</v>
      </c>
      <c r="N83" s="250">
        <v>1255526266731</v>
      </c>
      <c r="O83" s="250">
        <v>1184167227046</v>
      </c>
      <c r="P83" s="250">
        <v>1099673392126</v>
      </c>
      <c r="Q83" s="250">
        <v>1153710875298</v>
      </c>
      <c r="R83" s="250">
        <v>1224376777626</v>
      </c>
      <c r="S83" s="250">
        <v>1280979662011</v>
      </c>
      <c r="T83" s="250">
        <v>1310961670922</v>
      </c>
      <c r="U83" s="250">
        <v>1296565798277</v>
      </c>
      <c r="V83" s="250">
        <v>1356526045802</v>
      </c>
      <c r="W83" s="250">
        <v>1344912228849</v>
      </c>
      <c r="X83" s="250">
        <v>1299331457948</v>
      </c>
      <c r="Y83" s="250">
        <v>1275169884404</v>
      </c>
      <c r="Z83" s="250">
        <v>1274425697136</v>
      </c>
      <c r="AA83" s="250">
        <f>SUMIFS([1]!Data_BS[Value],[1]!Data_BS[Index BS],DTR!$B83,[1]!Data_BS[TenCongTyID],DTR!$B$1,[1]!Data_BS[Thang.Nam],DTR!AA$5)</f>
        <v>0</v>
      </c>
      <c r="AB83" s="250">
        <f>SUMIFS([1]!Data_BS[Value],[1]!Data_BS[Index BS],DTR!$B83,[1]!Data_BS[TenCongTyID],DTR!$B$1,[1]!Data_BS[Thang.Nam],DTR!AB$5)</f>
        <v>0</v>
      </c>
      <c r="AC83" s="250">
        <f>SUMIFS([1]!Data_BS[Value],[1]!Data_BS[Index BS],DTR!$B83,[1]!Data_BS[TenCongTyID],DTR!$B$1,[1]!Data_BS[Thang.Nam],DTR!AC$5)</f>
        <v>0</v>
      </c>
      <c r="AD83" s="250">
        <f>SUMIFS([1]!Data_BS[Value],[1]!Data_BS[Index BS],DTR!$B83,[1]!Data_BS[TenCongTyID],DTR!$B$1,[1]!Data_BS[Thang.Nam],DTR!AD$5)</f>
        <v>0</v>
      </c>
      <c r="AE83" s="250">
        <f>SUMIFS([1]!Data_BS[Value],[1]!Data_BS[Index BS],DTR!$B83,[1]!Data_BS[TenCongTyID],DTR!$B$1,[1]!Data_BS[Thang.Nam],DTR!AE$5)</f>
        <v>0</v>
      </c>
      <c r="AF83" s="250">
        <f>SUMIFS([1]!Data_BS[Value],[1]!Data_BS[Index BS],DTR!$B83,[1]!Data_BS[TenCongTyID],DTR!$B$1,[1]!Data_BS[Thang.Nam],DTR!AF$5)</f>
        <v>0</v>
      </c>
      <c r="AG83" s="250">
        <f>SUMIFS([1]!Data_BS[Value],[1]!Data_BS[Index BS],DTR!$B83,[1]!Data_BS[TenCongTyID],DTR!$B$1,[1]!Data_BS[Thang.Nam],DTR!AG$5)</f>
        <v>0</v>
      </c>
      <c r="AH83" s="250">
        <f>SUMIFS([1]!Data_BS[Value],[1]!Data_BS[Index BS],DTR!$B83,[1]!Data_BS[TenCongTyID],DTR!$B$1,[1]!Data_BS[Thang.Nam],DTR!AH$5)</f>
        <v>0</v>
      </c>
      <c r="AI83" s="250">
        <f>SUMIFS([1]!Data_BS[Value],[1]!Data_BS[Index BS],DTR!$B83,[1]!Data_BS[TenCongTyID],DTR!$B$1,[1]!Data_BS[Thang.Nam],DTR!AI$5)</f>
        <v>0</v>
      </c>
      <c r="AJ83" s="250">
        <f>SUMIFS([1]!Data_BS[Value],[1]!Data_BS[Index BS],DTR!$B83,[1]!Data_BS[TenCongTyID],DTR!$B$1,[1]!Data_BS[Thang.Nam],DTR!AJ$5)</f>
        <v>0</v>
      </c>
      <c r="AK83" s="250">
        <f>SUMIFS([1]!Data_BS[Value],[1]!Data_BS[Index BS],DTR!$B83,[1]!Data_BS[TenCongTyID],DTR!$B$1,[1]!Data_BS[Thang.Nam],DTR!AK$5)</f>
        <v>0</v>
      </c>
      <c r="AL83" s="250">
        <f>SUMIFS([1]!Data_BS[Value],[1]!Data_BS[Index BS],DTR!$B83,[1]!Data_BS[TenCongTyID],DTR!$B$1,[1]!Data_BS[Thang.Nam],DTR!AL$5)</f>
        <v>0</v>
      </c>
    </row>
    <row r="84" spans="1:38" ht="15" hidden="1" customHeight="1" outlineLevel="1">
      <c r="A84" s="56" t="s">
        <v>168</v>
      </c>
      <c r="B84" s="71">
        <v>79</v>
      </c>
      <c r="C84" s="240">
        <v>253938447634</v>
      </c>
      <c r="D84" s="240">
        <v>243002156702</v>
      </c>
      <c r="E84" s="240">
        <v>291731061734</v>
      </c>
      <c r="F84" s="240">
        <v>350905503653</v>
      </c>
      <c r="G84" s="240">
        <v>404803110472</v>
      </c>
      <c r="H84" s="240">
        <v>444265823125</v>
      </c>
      <c r="I84" s="240">
        <v>405393285090</v>
      </c>
      <c r="J84" s="240">
        <v>362315858983</v>
      </c>
      <c r="K84" s="240">
        <v>393394647873</v>
      </c>
      <c r="L84" s="240">
        <v>418527112069</v>
      </c>
      <c r="M84" s="240">
        <v>500065225953</v>
      </c>
      <c r="N84" s="241">
        <v>400766610864</v>
      </c>
      <c r="O84" s="241">
        <v>324510490627</v>
      </c>
      <c r="P84" s="241">
        <v>222615858978</v>
      </c>
      <c r="Q84" s="241">
        <v>269555093091</v>
      </c>
      <c r="R84" s="241">
        <v>336470011934</v>
      </c>
      <c r="S84" s="241">
        <v>383542692015</v>
      </c>
      <c r="T84" s="241">
        <v>412452200169</v>
      </c>
      <c r="U84" s="241">
        <v>397016809667</v>
      </c>
      <c r="V84" s="241">
        <v>456883837461</v>
      </c>
      <c r="W84" s="241">
        <v>455472175159</v>
      </c>
      <c r="X84" s="241">
        <v>414576062308</v>
      </c>
      <c r="Y84" s="241">
        <v>397334986611</v>
      </c>
      <c r="Z84" s="241">
        <v>382374404972</v>
      </c>
      <c r="AA84" s="241">
        <f>SUMIFS([1]!Data_BS[Value],[1]!Data_BS[Index BS],DTR!$B84,[1]!Data_BS[TenCongTyID],DTR!$B$1,[1]!Data_BS[Thang.Nam],DTR!AA$5)</f>
        <v>0</v>
      </c>
      <c r="AB84" s="241">
        <f>SUMIFS([1]!Data_BS[Value],[1]!Data_BS[Index BS],DTR!$B84,[1]!Data_BS[TenCongTyID],DTR!$B$1,[1]!Data_BS[Thang.Nam],DTR!AB$5)</f>
        <v>0</v>
      </c>
      <c r="AC84" s="241">
        <f>SUMIFS([1]!Data_BS[Value],[1]!Data_BS[Index BS],DTR!$B84,[1]!Data_BS[TenCongTyID],DTR!$B$1,[1]!Data_BS[Thang.Nam],DTR!AC$5)</f>
        <v>0</v>
      </c>
      <c r="AD84" s="241">
        <f>SUMIFS([1]!Data_BS[Value],[1]!Data_BS[Index BS],DTR!$B84,[1]!Data_BS[TenCongTyID],DTR!$B$1,[1]!Data_BS[Thang.Nam],DTR!AD$5)</f>
        <v>0</v>
      </c>
      <c r="AE84" s="241">
        <f>SUMIFS([1]!Data_BS[Value],[1]!Data_BS[Index BS],DTR!$B84,[1]!Data_BS[TenCongTyID],DTR!$B$1,[1]!Data_BS[Thang.Nam],DTR!AE$5)</f>
        <v>0</v>
      </c>
      <c r="AF84" s="241">
        <f>SUMIFS([1]!Data_BS[Value],[1]!Data_BS[Index BS],DTR!$B84,[1]!Data_BS[TenCongTyID],DTR!$B$1,[1]!Data_BS[Thang.Nam],DTR!AF$5)</f>
        <v>0</v>
      </c>
      <c r="AG84" s="241">
        <f>SUMIFS([1]!Data_BS[Value],[1]!Data_BS[Index BS],DTR!$B84,[1]!Data_BS[TenCongTyID],DTR!$B$1,[1]!Data_BS[Thang.Nam],DTR!AG$5)</f>
        <v>0</v>
      </c>
      <c r="AH84" s="241">
        <f>SUMIFS([1]!Data_BS[Value],[1]!Data_BS[Index BS],DTR!$B84,[1]!Data_BS[TenCongTyID],DTR!$B$1,[1]!Data_BS[Thang.Nam],DTR!AH$5)</f>
        <v>0</v>
      </c>
      <c r="AI84" s="241">
        <f>SUMIFS([1]!Data_BS[Value],[1]!Data_BS[Index BS],DTR!$B84,[1]!Data_BS[TenCongTyID],DTR!$B$1,[1]!Data_BS[Thang.Nam],DTR!AI$5)</f>
        <v>0</v>
      </c>
      <c r="AJ84" s="241">
        <f>SUMIFS([1]!Data_BS[Value],[1]!Data_BS[Index BS],DTR!$B84,[1]!Data_BS[TenCongTyID],DTR!$B$1,[1]!Data_BS[Thang.Nam],DTR!AJ$5)</f>
        <v>0</v>
      </c>
      <c r="AK84" s="241">
        <f>SUMIFS([1]!Data_BS[Value],[1]!Data_BS[Index BS],DTR!$B84,[1]!Data_BS[TenCongTyID],DTR!$B$1,[1]!Data_BS[Thang.Nam],DTR!AK$5)</f>
        <v>0</v>
      </c>
      <c r="AL84" s="241">
        <f>SUMIFS([1]!Data_BS[Value],[1]!Data_BS[Index BS],DTR!$B84,[1]!Data_BS[TenCongTyID],DTR!$B$1,[1]!Data_BS[Thang.Nam],DTR!AL$5)</f>
        <v>0</v>
      </c>
    </row>
    <row r="85" spans="1:38" ht="15" hidden="1" customHeight="1" outlineLevel="1">
      <c r="A85" s="59" t="s">
        <v>169</v>
      </c>
      <c r="B85" s="65">
        <v>80</v>
      </c>
      <c r="C85" s="233">
        <v>176322036564</v>
      </c>
      <c r="D85" s="233">
        <v>165479805632</v>
      </c>
      <c r="E85" s="233">
        <v>214267710664</v>
      </c>
      <c r="F85" s="233">
        <v>273737345975</v>
      </c>
      <c r="G85" s="233">
        <v>329588242794</v>
      </c>
      <c r="H85" s="233">
        <v>367721787447</v>
      </c>
      <c r="I85" s="233">
        <v>328736442804</v>
      </c>
      <c r="J85" s="233">
        <v>286316076697</v>
      </c>
      <c r="K85" s="233">
        <v>316799865587</v>
      </c>
      <c r="L85" s="233">
        <v>341708523175</v>
      </c>
      <c r="M85" s="233">
        <v>396620697059</v>
      </c>
      <c r="N85" s="234">
        <v>316029265342</v>
      </c>
      <c r="O85" s="234">
        <v>216100148681</v>
      </c>
      <c r="P85" s="234">
        <v>118453354810</v>
      </c>
      <c r="Q85" s="234">
        <v>166229366701</v>
      </c>
      <c r="R85" s="234">
        <v>234217256714</v>
      </c>
      <c r="S85" s="234">
        <v>285537774573</v>
      </c>
      <c r="T85" s="234">
        <v>335330408775</v>
      </c>
      <c r="U85" s="234">
        <v>320967989443</v>
      </c>
      <c r="V85" s="234">
        <v>382420327015</v>
      </c>
      <c r="W85" s="234">
        <v>381845442491</v>
      </c>
      <c r="X85" s="234">
        <v>346002928366</v>
      </c>
      <c r="Y85" s="234">
        <v>327703613669</v>
      </c>
      <c r="Z85" s="234">
        <v>331992150618</v>
      </c>
      <c r="AA85" s="234">
        <f>SUMIFS([1]!Data_BS[Value],[1]!Data_BS[Index BS],DTR!$B85,[1]!Data_BS[TenCongTyID],DTR!$B$1,[1]!Data_BS[Thang.Nam],DTR!AA$5)</f>
        <v>0</v>
      </c>
      <c r="AB85" s="234">
        <f>SUMIFS([1]!Data_BS[Value],[1]!Data_BS[Index BS],DTR!$B85,[1]!Data_BS[TenCongTyID],DTR!$B$1,[1]!Data_BS[Thang.Nam],DTR!AB$5)</f>
        <v>0</v>
      </c>
      <c r="AC85" s="234">
        <f>SUMIFS([1]!Data_BS[Value],[1]!Data_BS[Index BS],DTR!$B85,[1]!Data_BS[TenCongTyID],DTR!$B$1,[1]!Data_BS[Thang.Nam],DTR!AC$5)</f>
        <v>0</v>
      </c>
      <c r="AD85" s="234">
        <f>SUMIFS([1]!Data_BS[Value],[1]!Data_BS[Index BS],DTR!$B85,[1]!Data_BS[TenCongTyID],DTR!$B$1,[1]!Data_BS[Thang.Nam],DTR!AD$5)</f>
        <v>0</v>
      </c>
      <c r="AE85" s="234">
        <f>SUMIFS([1]!Data_BS[Value],[1]!Data_BS[Index BS],DTR!$B85,[1]!Data_BS[TenCongTyID],DTR!$B$1,[1]!Data_BS[Thang.Nam],DTR!AE$5)</f>
        <v>0</v>
      </c>
      <c r="AF85" s="234">
        <f>SUMIFS([1]!Data_BS[Value],[1]!Data_BS[Index BS],DTR!$B85,[1]!Data_BS[TenCongTyID],DTR!$B$1,[1]!Data_BS[Thang.Nam],DTR!AF$5)</f>
        <v>0</v>
      </c>
      <c r="AG85" s="234">
        <f>SUMIFS([1]!Data_BS[Value],[1]!Data_BS[Index BS],DTR!$B85,[1]!Data_BS[TenCongTyID],DTR!$B$1,[1]!Data_BS[Thang.Nam],DTR!AG$5)</f>
        <v>0</v>
      </c>
      <c r="AH85" s="234">
        <f>SUMIFS([1]!Data_BS[Value],[1]!Data_BS[Index BS],DTR!$B85,[1]!Data_BS[TenCongTyID],DTR!$B$1,[1]!Data_BS[Thang.Nam],DTR!AH$5)</f>
        <v>0</v>
      </c>
      <c r="AI85" s="234">
        <f>SUMIFS([1]!Data_BS[Value],[1]!Data_BS[Index BS],DTR!$B85,[1]!Data_BS[TenCongTyID],DTR!$B$1,[1]!Data_BS[Thang.Nam],DTR!AI$5)</f>
        <v>0</v>
      </c>
      <c r="AJ85" s="234">
        <f>SUMIFS([1]!Data_BS[Value],[1]!Data_BS[Index BS],DTR!$B85,[1]!Data_BS[TenCongTyID],DTR!$B$1,[1]!Data_BS[Thang.Nam],DTR!AJ$5)</f>
        <v>0</v>
      </c>
      <c r="AK85" s="234">
        <f>SUMIFS([1]!Data_BS[Value],[1]!Data_BS[Index BS],DTR!$B85,[1]!Data_BS[TenCongTyID],DTR!$B$1,[1]!Data_BS[Thang.Nam],DTR!AK$5)</f>
        <v>0</v>
      </c>
      <c r="AL85" s="234">
        <f>SUMIFS([1]!Data_BS[Value],[1]!Data_BS[Index BS],DTR!$B85,[1]!Data_BS[TenCongTyID],DTR!$B$1,[1]!Data_BS[Thang.Nam],DTR!AL$5)</f>
        <v>0</v>
      </c>
    </row>
    <row r="86" spans="1:38" ht="15" hidden="1" customHeight="1" outlineLevel="1">
      <c r="A86" s="67" t="s">
        <v>170</v>
      </c>
      <c r="B86" s="63">
        <v>81</v>
      </c>
      <c r="C86" s="229">
        <v>54353400004</v>
      </c>
      <c r="D86" s="229">
        <v>57459904781</v>
      </c>
      <c r="E86" s="229">
        <v>71666676062</v>
      </c>
      <c r="F86" s="229">
        <v>72717166254</v>
      </c>
      <c r="G86" s="229">
        <v>82570066775</v>
      </c>
      <c r="H86" s="229">
        <v>116097944870</v>
      </c>
      <c r="I86" s="229">
        <v>90497312556</v>
      </c>
      <c r="J86" s="229">
        <v>104998329522</v>
      </c>
      <c r="K86" s="229">
        <v>141548339763</v>
      </c>
      <c r="L86" s="229">
        <v>140860659227</v>
      </c>
      <c r="M86" s="229">
        <v>150120296949</v>
      </c>
      <c r="N86" s="229">
        <v>38854336196</v>
      </c>
      <c r="O86" s="236">
        <v>17080396612</v>
      </c>
      <c r="P86" s="244">
        <v>15854922544</v>
      </c>
      <c r="Q86" s="229">
        <v>36651877076</v>
      </c>
      <c r="R86" s="229">
        <v>36646554722</v>
      </c>
      <c r="S86" s="229">
        <v>36688096679</v>
      </c>
      <c r="T86" s="229">
        <v>50235234736</v>
      </c>
      <c r="U86" s="229">
        <v>4297727379</v>
      </c>
      <c r="V86" s="229">
        <v>15019964770</v>
      </c>
      <c r="W86" s="229">
        <v>22979794050</v>
      </c>
      <c r="X86" s="229">
        <v>34152918116</v>
      </c>
      <c r="Y86" s="229">
        <v>22550645996</v>
      </c>
      <c r="Z86" s="229">
        <v>19268613080</v>
      </c>
      <c r="AA86" s="229">
        <f>SUMIFS([1]!Data_BS[Value],[1]!Data_BS[Index BS],DTR!$B86,[1]!Data_BS[TenCongTyID],DTR!$B$1,[1]!Data_BS[Thang.Nam],DTR!AA$5)</f>
        <v>0</v>
      </c>
      <c r="AB86" s="229">
        <f>SUMIFS([1]!Data_BS[Value],[1]!Data_BS[Index BS],DTR!$B86,[1]!Data_BS[TenCongTyID],DTR!$B$1,[1]!Data_BS[Thang.Nam],DTR!AB$5)</f>
        <v>0</v>
      </c>
      <c r="AC86" s="229">
        <f>SUMIFS([1]!Data_BS[Value],[1]!Data_BS[Index BS],DTR!$B86,[1]!Data_BS[TenCongTyID],DTR!$B$1,[1]!Data_BS[Thang.Nam],DTR!AC$5)</f>
        <v>0</v>
      </c>
      <c r="AD86" s="229">
        <f>SUMIFS([1]!Data_BS[Value],[1]!Data_BS[Index BS],DTR!$B86,[1]!Data_BS[TenCongTyID],DTR!$B$1,[1]!Data_BS[Thang.Nam],DTR!AD$5)</f>
        <v>0</v>
      </c>
      <c r="AE86" s="229">
        <f>SUMIFS([1]!Data_BS[Value],[1]!Data_BS[Index BS],DTR!$B86,[1]!Data_BS[TenCongTyID],DTR!$B$1,[1]!Data_BS[Thang.Nam],DTR!AE$5)</f>
        <v>0</v>
      </c>
      <c r="AF86" s="229">
        <f>SUMIFS([1]!Data_BS[Value],[1]!Data_BS[Index BS],DTR!$B86,[1]!Data_BS[TenCongTyID],DTR!$B$1,[1]!Data_BS[Thang.Nam],DTR!AF$5)</f>
        <v>0</v>
      </c>
      <c r="AG86" s="229">
        <f>SUMIFS([1]!Data_BS[Value],[1]!Data_BS[Index BS],DTR!$B86,[1]!Data_BS[TenCongTyID],DTR!$B$1,[1]!Data_BS[Thang.Nam],DTR!AG$5)</f>
        <v>0</v>
      </c>
      <c r="AH86" s="229">
        <f>SUMIFS([1]!Data_BS[Value],[1]!Data_BS[Index BS],DTR!$B86,[1]!Data_BS[TenCongTyID],DTR!$B$1,[1]!Data_BS[Thang.Nam],DTR!AH$5)</f>
        <v>0</v>
      </c>
      <c r="AI86" s="229">
        <f>SUMIFS([1]!Data_BS[Value],[1]!Data_BS[Index BS],DTR!$B86,[1]!Data_BS[TenCongTyID],DTR!$B$1,[1]!Data_BS[Thang.Nam],DTR!AI$5)</f>
        <v>0</v>
      </c>
      <c r="AJ86" s="229">
        <f>SUMIFS([1]!Data_BS[Value],[1]!Data_BS[Index BS],DTR!$B86,[1]!Data_BS[TenCongTyID],DTR!$B$1,[1]!Data_BS[Thang.Nam],DTR!AJ$5)</f>
        <v>0</v>
      </c>
      <c r="AK86" s="229">
        <f>SUMIFS([1]!Data_BS[Value],[1]!Data_BS[Index BS],DTR!$B86,[1]!Data_BS[TenCongTyID],DTR!$B$1,[1]!Data_BS[Thang.Nam],DTR!AK$5)</f>
        <v>0</v>
      </c>
      <c r="AL86" s="229">
        <f>SUMIFS([1]!Data_BS[Value],[1]!Data_BS[Index BS],DTR!$B86,[1]!Data_BS[TenCongTyID],DTR!$B$1,[1]!Data_BS[Thang.Nam],DTR!AL$5)</f>
        <v>0</v>
      </c>
    </row>
    <row r="87" spans="1:38" ht="15" hidden="1" customHeight="1" outlineLevel="1">
      <c r="A87" s="67" t="s">
        <v>171</v>
      </c>
      <c r="B87" s="63">
        <v>82</v>
      </c>
      <c r="C87" s="229">
        <v>4031903040</v>
      </c>
      <c r="D87" s="229">
        <v>0</v>
      </c>
      <c r="E87" s="229">
        <v>-540918440</v>
      </c>
      <c r="F87" s="229">
        <v>4278155246</v>
      </c>
      <c r="G87" s="229">
        <v>14749203650</v>
      </c>
      <c r="H87" s="229">
        <v>36030101433</v>
      </c>
      <c r="I87" s="229">
        <v>34757495667</v>
      </c>
      <c r="J87" s="229">
        <v>14991723009</v>
      </c>
      <c r="K87" s="229">
        <v>39469513</v>
      </c>
      <c r="L87" s="229">
        <v>9371572336</v>
      </c>
      <c r="M87" s="229">
        <v>34895916928</v>
      </c>
      <c r="N87" s="229">
        <v>41546475913</v>
      </c>
      <c r="O87" s="236">
        <v>33988016157</v>
      </c>
      <c r="P87" s="244">
        <v>18937903421</v>
      </c>
      <c r="Q87" s="229">
        <v>15058088135</v>
      </c>
      <c r="R87" s="229">
        <v>3447698110</v>
      </c>
      <c r="S87" s="229">
        <v>75365353</v>
      </c>
      <c r="T87" s="229">
        <v>14926125753</v>
      </c>
      <c r="U87" s="229">
        <v>23340035157</v>
      </c>
      <c r="V87" s="229">
        <v>20961721533</v>
      </c>
      <c r="W87" s="229">
        <v>14431985238</v>
      </c>
      <c r="X87" s="229">
        <v>8912711658</v>
      </c>
      <c r="Y87" s="229">
        <v>5995670638</v>
      </c>
      <c r="Z87" s="229">
        <v>17620714714</v>
      </c>
      <c r="AA87" s="229">
        <f>SUMIFS([1]!Data_BS[Value],[1]!Data_BS[Index BS],DTR!$B87,[1]!Data_BS[TenCongTyID],DTR!$B$1,[1]!Data_BS[Thang.Nam],DTR!AA$5)</f>
        <v>0</v>
      </c>
      <c r="AB87" s="229">
        <f>SUMIFS([1]!Data_BS[Value],[1]!Data_BS[Index BS],DTR!$B87,[1]!Data_BS[TenCongTyID],DTR!$B$1,[1]!Data_BS[Thang.Nam],DTR!AB$5)</f>
        <v>0</v>
      </c>
      <c r="AC87" s="229">
        <f>SUMIFS([1]!Data_BS[Value],[1]!Data_BS[Index BS],DTR!$B87,[1]!Data_BS[TenCongTyID],DTR!$B$1,[1]!Data_BS[Thang.Nam],DTR!AC$5)</f>
        <v>0</v>
      </c>
      <c r="AD87" s="229">
        <f>SUMIFS([1]!Data_BS[Value],[1]!Data_BS[Index BS],DTR!$B87,[1]!Data_BS[TenCongTyID],DTR!$B$1,[1]!Data_BS[Thang.Nam],DTR!AD$5)</f>
        <v>0</v>
      </c>
      <c r="AE87" s="229">
        <f>SUMIFS([1]!Data_BS[Value],[1]!Data_BS[Index BS],DTR!$B87,[1]!Data_BS[TenCongTyID],DTR!$B$1,[1]!Data_BS[Thang.Nam],DTR!AE$5)</f>
        <v>0</v>
      </c>
      <c r="AF87" s="229">
        <f>SUMIFS([1]!Data_BS[Value],[1]!Data_BS[Index BS],DTR!$B87,[1]!Data_BS[TenCongTyID],DTR!$B$1,[1]!Data_BS[Thang.Nam],DTR!AF$5)</f>
        <v>0</v>
      </c>
      <c r="AG87" s="229">
        <f>SUMIFS([1]!Data_BS[Value],[1]!Data_BS[Index BS],DTR!$B87,[1]!Data_BS[TenCongTyID],DTR!$B$1,[1]!Data_BS[Thang.Nam],DTR!AG$5)</f>
        <v>0</v>
      </c>
      <c r="AH87" s="229">
        <f>SUMIFS([1]!Data_BS[Value],[1]!Data_BS[Index BS],DTR!$B87,[1]!Data_BS[TenCongTyID],DTR!$B$1,[1]!Data_BS[Thang.Nam],DTR!AH$5)</f>
        <v>0</v>
      </c>
      <c r="AI87" s="229">
        <f>SUMIFS([1]!Data_BS[Value],[1]!Data_BS[Index BS],DTR!$B87,[1]!Data_BS[TenCongTyID],DTR!$B$1,[1]!Data_BS[Thang.Nam],DTR!AI$5)</f>
        <v>0</v>
      </c>
      <c r="AJ87" s="229">
        <f>SUMIFS([1]!Data_BS[Value],[1]!Data_BS[Index BS],DTR!$B87,[1]!Data_BS[TenCongTyID],DTR!$B$1,[1]!Data_BS[Thang.Nam],DTR!AJ$5)</f>
        <v>0</v>
      </c>
      <c r="AK87" s="229">
        <f>SUMIFS([1]!Data_BS[Value],[1]!Data_BS[Index BS],DTR!$B87,[1]!Data_BS[TenCongTyID],DTR!$B$1,[1]!Data_BS[Thang.Nam],DTR!AK$5)</f>
        <v>0</v>
      </c>
      <c r="AL87" s="229">
        <f>SUMIFS([1]!Data_BS[Value],[1]!Data_BS[Index BS],DTR!$B87,[1]!Data_BS[TenCongTyID],DTR!$B$1,[1]!Data_BS[Thang.Nam],DTR!AL$5)</f>
        <v>0</v>
      </c>
    </row>
    <row r="88" spans="1:38" ht="15" hidden="1" customHeight="1" outlineLevel="1">
      <c r="A88" s="67" t="s">
        <v>172</v>
      </c>
      <c r="B88" s="63">
        <v>83</v>
      </c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36"/>
      <c r="P88" s="244"/>
      <c r="Q88" s="229"/>
      <c r="R88" s="229"/>
      <c r="S88" s="229"/>
      <c r="T88" s="229"/>
      <c r="U88" s="229"/>
      <c r="V88" s="229"/>
      <c r="W88" s="229"/>
      <c r="X88" s="229"/>
      <c r="Y88" s="229"/>
      <c r="Z88" s="229">
        <v>0</v>
      </c>
      <c r="AA88" s="229">
        <f>SUMIFS([1]!Data_BS[Value],[1]!Data_BS[Index BS],DTR!$B88,[1]!Data_BS[TenCongTyID],DTR!$B$1,[1]!Data_BS[Thang.Nam],DTR!AA$5)</f>
        <v>0</v>
      </c>
      <c r="AB88" s="229">
        <f>SUMIFS([1]!Data_BS[Value],[1]!Data_BS[Index BS],DTR!$B88,[1]!Data_BS[TenCongTyID],DTR!$B$1,[1]!Data_BS[Thang.Nam],DTR!AB$5)</f>
        <v>0</v>
      </c>
      <c r="AC88" s="229">
        <f>SUMIFS([1]!Data_BS[Value],[1]!Data_BS[Index BS],DTR!$B88,[1]!Data_BS[TenCongTyID],DTR!$B$1,[1]!Data_BS[Thang.Nam],DTR!AC$5)</f>
        <v>0</v>
      </c>
      <c r="AD88" s="229">
        <f>SUMIFS([1]!Data_BS[Value],[1]!Data_BS[Index BS],DTR!$B88,[1]!Data_BS[TenCongTyID],DTR!$B$1,[1]!Data_BS[Thang.Nam],DTR!AD$5)</f>
        <v>0</v>
      </c>
      <c r="AE88" s="229">
        <f>SUMIFS([1]!Data_BS[Value],[1]!Data_BS[Index BS],DTR!$B88,[1]!Data_BS[TenCongTyID],DTR!$B$1,[1]!Data_BS[Thang.Nam],DTR!AE$5)</f>
        <v>0</v>
      </c>
      <c r="AF88" s="229">
        <f>SUMIFS([1]!Data_BS[Value],[1]!Data_BS[Index BS],DTR!$B88,[1]!Data_BS[TenCongTyID],DTR!$B$1,[1]!Data_BS[Thang.Nam],DTR!AF$5)</f>
        <v>0</v>
      </c>
      <c r="AG88" s="229">
        <f>SUMIFS([1]!Data_BS[Value],[1]!Data_BS[Index BS],DTR!$B88,[1]!Data_BS[TenCongTyID],DTR!$B$1,[1]!Data_BS[Thang.Nam],DTR!AG$5)</f>
        <v>0</v>
      </c>
      <c r="AH88" s="229">
        <f>SUMIFS([1]!Data_BS[Value],[1]!Data_BS[Index BS],DTR!$B88,[1]!Data_BS[TenCongTyID],DTR!$B$1,[1]!Data_BS[Thang.Nam],DTR!AH$5)</f>
        <v>0</v>
      </c>
      <c r="AI88" s="229">
        <f>SUMIFS([1]!Data_BS[Value],[1]!Data_BS[Index BS],DTR!$B88,[1]!Data_BS[TenCongTyID],DTR!$B$1,[1]!Data_BS[Thang.Nam],DTR!AI$5)</f>
        <v>0</v>
      </c>
      <c r="AJ88" s="229">
        <f>SUMIFS([1]!Data_BS[Value],[1]!Data_BS[Index BS],DTR!$B88,[1]!Data_BS[TenCongTyID],DTR!$B$1,[1]!Data_BS[Thang.Nam],DTR!AJ$5)</f>
        <v>0</v>
      </c>
      <c r="AK88" s="229">
        <f>SUMIFS([1]!Data_BS[Value],[1]!Data_BS[Index BS],DTR!$B88,[1]!Data_BS[TenCongTyID],DTR!$B$1,[1]!Data_BS[Thang.Nam],DTR!AK$5)</f>
        <v>0</v>
      </c>
      <c r="AL88" s="229">
        <f>SUMIFS([1]!Data_BS[Value],[1]!Data_BS[Index BS],DTR!$B88,[1]!Data_BS[TenCongTyID],DTR!$B$1,[1]!Data_BS[Thang.Nam],DTR!AL$5)</f>
        <v>0</v>
      </c>
    </row>
    <row r="89" spans="1:38" ht="15" hidden="1" customHeight="1" outlineLevel="1">
      <c r="A89" s="67" t="s">
        <v>173</v>
      </c>
      <c r="B89" s="63">
        <v>84</v>
      </c>
      <c r="C89" s="229">
        <v>8898739732</v>
      </c>
      <c r="D89" s="229">
        <v>1567041590</v>
      </c>
      <c r="E89" s="229">
        <v>1567041590</v>
      </c>
      <c r="F89" s="229">
        <v>145412873</v>
      </c>
      <c r="G89" s="229">
        <v>2526331</v>
      </c>
      <c r="H89" s="229">
        <v>17283890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7646385732</v>
      </c>
      <c r="O89" s="252">
        <v>2773116077</v>
      </c>
      <c r="P89" s="244">
        <v>4518229531</v>
      </c>
      <c r="Q89" s="229">
        <v>6886686516</v>
      </c>
      <c r="R89" s="229">
        <v>7470833894</v>
      </c>
      <c r="S89" s="229">
        <v>12458087898</v>
      </c>
      <c r="T89" s="229">
        <v>9494100798</v>
      </c>
      <c r="U89" s="229">
        <v>5591611785</v>
      </c>
      <c r="V89" s="229">
        <v>5843676544</v>
      </c>
      <c r="W89" s="229">
        <v>4494183632</v>
      </c>
      <c r="X89" s="229">
        <v>3950455452</v>
      </c>
      <c r="Y89" s="229">
        <v>3074628856</v>
      </c>
      <c r="Z89" s="229">
        <v>5633872560</v>
      </c>
      <c r="AA89" s="229">
        <f>SUMIFS([1]!Data_BS[Value],[1]!Data_BS[Index BS],DTR!$B89,[1]!Data_BS[TenCongTyID],DTR!$B$1,[1]!Data_BS[Thang.Nam],DTR!AA$5)</f>
        <v>0</v>
      </c>
      <c r="AB89" s="229">
        <f>SUMIFS([1]!Data_BS[Value],[1]!Data_BS[Index BS],DTR!$B89,[1]!Data_BS[TenCongTyID],DTR!$B$1,[1]!Data_BS[Thang.Nam],DTR!AB$5)</f>
        <v>0</v>
      </c>
      <c r="AC89" s="229">
        <f>SUMIFS([1]!Data_BS[Value],[1]!Data_BS[Index BS],DTR!$B89,[1]!Data_BS[TenCongTyID],DTR!$B$1,[1]!Data_BS[Thang.Nam],DTR!AC$5)</f>
        <v>0</v>
      </c>
      <c r="AD89" s="229">
        <f>SUMIFS([1]!Data_BS[Value],[1]!Data_BS[Index BS],DTR!$B89,[1]!Data_BS[TenCongTyID],DTR!$B$1,[1]!Data_BS[Thang.Nam],DTR!AD$5)</f>
        <v>0</v>
      </c>
      <c r="AE89" s="229">
        <f>SUMIFS([1]!Data_BS[Value],[1]!Data_BS[Index BS],DTR!$B89,[1]!Data_BS[TenCongTyID],DTR!$B$1,[1]!Data_BS[Thang.Nam],DTR!AE$5)</f>
        <v>0</v>
      </c>
      <c r="AF89" s="229">
        <f>SUMIFS([1]!Data_BS[Value],[1]!Data_BS[Index BS],DTR!$B89,[1]!Data_BS[TenCongTyID],DTR!$B$1,[1]!Data_BS[Thang.Nam],DTR!AF$5)</f>
        <v>0</v>
      </c>
      <c r="AG89" s="229">
        <f>SUMIFS([1]!Data_BS[Value],[1]!Data_BS[Index BS],DTR!$B89,[1]!Data_BS[TenCongTyID],DTR!$B$1,[1]!Data_BS[Thang.Nam],DTR!AG$5)</f>
        <v>0</v>
      </c>
      <c r="AH89" s="229">
        <f>SUMIFS([1]!Data_BS[Value],[1]!Data_BS[Index BS],DTR!$B89,[1]!Data_BS[TenCongTyID],DTR!$B$1,[1]!Data_BS[Thang.Nam],DTR!AH$5)</f>
        <v>0</v>
      </c>
      <c r="AI89" s="229">
        <f>SUMIFS([1]!Data_BS[Value],[1]!Data_BS[Index BS],DTR!$B89,[1]!Data_BS[TenCongTyID],DTR!$B$1,[1]!Data_BS[Thang.Nam],DTR!AI$5)</f>
        <v>0</v>
      </c>
      <c r="AJ89" s="229">
        <f>SUMIFS([1]!Data_BS[Value],[1]!Data_BS[Index BS],DTR!$B89,[1]!Data_BS[TenCongTyID],DTR!$B$1,[1]!Data_BS[Thang.Nam],DTR!AJ$5)</f>
        <v>0</v>
      </c>
      <c r="AK89" s="229">
        <f>SUMIFS([1]!Data_BS[Value],[1]!Data_BS[Index BS],DTR!$B89,[1]!Data_BS[TenCongTyID],DTR!$B$1,[1]!Data_BS[Thang.Nam],DTR!AK$5)</f>
        <v>0</v>
      </c>
      <c r="AL89" s="229">
        <f>SUMIFS([1]!Data_BS[Value],[1]!Data_BS[Index BS],DTR!$B89,[1]!Data_BS[TenCongTyID],DTR!$B$1,[1]!Data_BS[Thang.Nam],DTR!AL$5)</f>
        <v>0</v>
      </c>
    </row>
    <row r="90" spans="1:38" ht="15" hidden="1" customHeight="1" outlineLevel="1">
      <c r="A90" s="67" t="s">
        <v>174</v>
      </c>
      <c r="B90" s="63">
        <v>85</v>
      </c>
      <c r="C90" s="229">
        <v>10128031033</v>
      </c>
      <c r="D90" s="229">
        <v>6218009406</v>
      </c>
      <c r="E90" s="229">
        <v>6555513609</v>
      </c>
      <c r="F90" s="229">
        <v>7649364322</v>
      </c>
      <c r="G90" s="229">
        <v>7249642948</v>
      </c>
      <c r="H90" s="229">
        <v>7169425301</v>
      </c>
      <c r="I90" s="229">
        <v>6912460758</v>
      </c>
      <c r="J90" s="229">
        <v>456962693</v>
      </c>
      <c r="K90" s="229">
        <v>7439470114</v>
      </c>
      <c r="L90" s="229">
        <v>7375957571</v>
      </c>
      <c r="M90" s="229">
        <v>7548660274</v>
      </c>
      <c r="N90" s="229">
        <v>11760267089</v>
      </c>
      <c r="O90" s="235">
        <v>7452851745</v>
      </c>
      <c r="P90" s="244">
        <v>7981672191</v>
      </c>
      <c r="Q90" s="229">
        <v>8135040430</v>
      </c>
      <c r="R90" s="229">
        <v>505632229</v>
      </c>
      <c r="S90" s="229">
        <v>9296428166</v>
      </c>
      <c r="T90" s="229">
        <v>9543385489</v>
      </c>
      <c r="U90" s="229">
        <v>9205268728</v>
      </c>
      <c r="V90" s="229">
        <v>9535380096</v>
      </c>
      <c r="W90" s="229">
        <v>10074815641</v>
      </c>
      <c r="X90" s="229">
        <v>9365267323</v>
      </c>
      <c r="Y90" s="229">
        <v>9132322907</v>
      </c>
      <c r="Z90" s="229">
        <v>9289786517</v>
      </c>
      <c r="AA90" s="229">
        <f>SUMIFS([1]!Data_BS[Value],[1]!Data_BS[Index BS],DTR!$B90,[1]!Data_BS[TenCongTyID],DTR!$B$1,[1]!Data_BS[Thang.Nam],DTR!AA$5)</f>
        <v>0</v>
      </c>
      <c r="AB90" s="229">
        <f>SUMIFS([1]!Data_BS[Value],[1]!Data_BS[Index BS],DTR!$B90,[1]!Data_BS[TenCongTyID],DTR!$B$1,[1]!Data_BS[Thang.Nam],DTR!AB$5)</f>
        <v>0</v>
      </c>
      <c r="AC90" s="229">
        <f>SUMIFS([1]!Data_BS[Value],[1]!Data_BS[Index BS],DTR!$B90,[1]!Data_BS[TenCongTyID],DTR!$B$1,[1]!Data_BS[Thang.Nam],DTR!AC$5)</f>
        <v>0</v>
      </c>
      <c r="AD90" s="229">
        <f>SUMIFS([1]!Data_BS[Value],[1]!Data_BS[Index BS],DTR!$B90,[1]!Data_BS[TenCongTyID],DTR!$B$1,[1]!Data_BS[Thang.Nam],DTR!AD$5)</f>
        <v>0</v>
      </c>
      <c r="AE90" s="229">
        <f>SUMIFS([1]!Data_BS[Value],[1]!Data_BS[Index BS],DTR!$B90,[1]!Data_BS[TenCongTyID],DTR!$B$1,[1]!Data_BS[Thang.Nam],DTR!AE$5)</f>
        <v>0</v>
      </c>
      <c r="AF90" s="229">
        <f>SUMIFS([1]!Data_BS[Value],[1]!Data_BS[Index BS],DTR!$B90,[1]!Data_BS[TenCongTyID],DTR!$B$1,[1]!Data_BS[Thang.Nam],DTR!AF$5)</f>
        <v>0</v>
      </c>
      <c r="AG90" s="229">
        <f>SUMIFS([1]!Data_BS[Value],[1]!Data_BS[Index BS],DTR!$B90,[1]!Data_BS[TenCongTyID],DTR!$B$1,[1]!Data_BS[Thang.Nam],DTR!AG$5)</f>
        <v>0</v>
      </c>
      <c r="AH90" s="229">
        <f>SUMIFS([1]!Data_BS[Value],[1]!Data_BS[Index BS],DTR!$B90,[1]!Data_BS[TenCongTyID],DTR!$B$1,[1]!Data_BS[Thang.Nam],DTR!AH$5)</f>
        <v>0</v>
      </c>
      <c r="AI90" s="229">
        <f>SUMIFS([1]!Data_BS[Value],[1]!Data_BS[Index BS],DTR!$B90,[1]!Data_BS[TenCongTyID],DTR!$B$1,[1]!Data_BS[Thang.Nam],DTR!AI$5)</f>
        <v>0</v>
      </c>
      <c r="AJ90" s="229">
        <f>SUMIFS([1]!Data_BS[Value],[1]!Data_BS[Index BS],DTR!$B90,[1]!Data_BS[TenCongTyID],DTR!$B$1,[1]!Data_BS[Thang.Nam],DTR!AJ$5)</f>
        <v>0</v>
      </c>
      <c r="AK90" s="229">
        <f>SUMIFS([1]!Data_BS[Value],[1]!Data_BS[Index BS],DTR!$B90,[1]!Data_BS[TenCongTyID],DTR!$B$1,[1]!Data_BS[Thang.Nam],DTR!AK$5)</f>
        <v>0</v>
      </c>
      <c r="AL90" s="229">
        <f>SUMIFS([1]!Data_BS[Value],[1]!Data_BS[Index BS],DTR!$B90,[1]!Data_BS[TenCongTyID],DTR!$B$1,[1]!Data_BS[Thang.Nam],DTR!AL$5)</f>
        <v>0</v>
      </c>
    </row>
    <row r="91" spans="1:38" ht="15" hidden="1" customHeight="1" outlineLevel="1">
      <c r="A91" s="67" t="s">
        <v>175</v>
      </c>
      <c r="B91" s="63">
        <v>86</v>
      </c>
      <c r="C91" s="229">
        <v>15355121373</v>
      </c>
      <c r="D91" s="229">
        <v>22067539102</v>
      </c>
      <c r="E91" s="229">
        <v>6522564543</v>
      </c>
      <c r="F91" s="229">
        <v>16391725866</v>
      </c>
      <c r="G91" s="229">
        <v>25887367165</v>
      </c>
      <c r="H91" s="229">
        <v>8854068160</v>
      </c>
      <c r="I91" s="229">
        <v>18522703687</v>
      </c>
      <c r="J91" s="229">
        <v>31289196795</v>
      </c>
      <c r="K91" s="229">
        <v>16810846632</v>
      </c>
      <c r="L91" s="229">
        <v>24050388306</v>
      </c>
      <c r="M91" s="229">
        <v>32028968920</v>
      </c>
      <c r="N91" s="229">
        <v>16521426792</v>
      </c>
      <c r="O91" s="235">
        <v>12992485838</v>
      </c>
      <c r="P91" s="244">
        <v>18140837282</v>
      </c>
      <c r="Q91" s="229">
        <v>-6247336694</v>
      </c>
      <c r="R91" s="229">
        <v>-4221870182</v>
      </c>
      <c r="S91" s="229">
        <v>-636813506</v>
      </c>
      <c r="T91" s="229">
        <v>209989120</v>
      </c>
      <c r="U91" s="229">
        <v>16596396339</v>
      </c>
      <c r="V91" s="229">
        <v>22300697137</v>
      </c>
      <c r="W91" s="229">
        <v>15233456716</v>
      </c>
      <c r="X91" s="229">
        <v>21020315535</v>
      </c>
      <c r="Y91" s="229">
        <v>25722544862</v>
      </c>
      <c r="Z91" s="229">
        <v>13142865120</v>
      </c>
      <c r="AA91" s="229">
        <f>SUMIFS([1]!Data_BS[Value],[1]!Data_BS[Index BS],DTR!$B91,[1]!Data_BS[TenCongTyID],DTR!$B$1,[1]!Data_BS[Thang.Nam],DTR!AA$5)</f>
        <v>0</v>
      </c>
      <c r="AB91" s="229">
        <f>SUMIFS([1]!Data_BS[Value],[1]!Data_BS[Index BS],DTR!$B91,[1]!Data_BS[TenCongTyID],DTR!$B$1,[1]!Data_BS[Thang.Nam],DTR!AB$5)</f>
        <v>0</v>
      </c>
      <c r="AC91" s="229">
        <f>SUMIFS([1]!Data_BS[Value],[1]!Data_BS[Index BS],DTR!$B91,[1]!Data_BS[TenCongTyID],DTR!$B$1,[1]!Data_BS[Thang.Nam],DTR!AC$5)</f>
        <v>0</v>
      </c>
      <c r="AD91" s="229">
        <f>SUMIFS([1]!Data_BS[Value],[1]!Data_BS[Index BS],DTR!$B91,[1]!Data_BS[TenCongTyID],DTR!$B$1,[1]!Data_BS[Thang.Nam],DTR!AD$5)</f>
        <v>0</v>
      </c>
      <c r="AE91" s="229">
        <f>SUMIFS([1]!Data_BS[Value],[1]!Data_BS[Index BS],DTR!$B91,[1]!Data_BS[TenCongTyID],DTR!$B$1,[1]!Data_BS[Thang.Nam],DTR!AE$5)</f>
        <v>0</v>
      </c>
      <c r="AF91" s="229">
        <f>SUMIFS([1]!Data_BS[Value],[1]!Data_BS[Index BS],DTR!$B91,[1]!Data_BS[TenCongTyID],DTR!$B$1,[1]!Data_BS[Thang.Nam],DTR!AF$5)</f>
        <v>0</v>
      </c>
      <c r="AG91" s="229">
        <f>SUMIFS([1]!Data_BS[Value],[1]!Data_BS[Index BS],DTR!$B91,[1]!Data_BS[TenCongTyID],DTR!$B$1,[1]!Data_BS[Thang.Nam],DTR!AG$5)</f>
        <v>0</v>
      </c>
      <c r="AH91" s="229">
        <f>SUMIFS([1]!Data_BS[Value],[1]!Data_BS[Index BS],DTR!$B91,[1]!Data_BS[TenCongTyID],DTR!$B$1,[1]!Data_BS[Thang.Nam],DTR!AH$5)</f>
        <v>0</v>
      </c>
      <c r="AI91" s="229">
        <f>SUMIFS([1]!Data_BS[Value],[1]!Data_BS[Index BS],DTR!$B91,[1]!Data_BS[TenCongTyID],DTR!$B$1,[1]!Data_BS[Thang.Nam],DTR!AI$5)</f>
        <v>0</v>
      </c>
      <c r="AJ91" s="229">
        <f>SUMIFS([1]!Data_BS[Value],[1]!Data_BS[Index BS],DTR!$B91,[1]!Data_BS[TenCongTyID],DTR!$B$1,[1]!Data_BS[Thang.Nam],DTR!AJ$5)</f>
        <v>0</v>
      </c>
      <c r="AK91" s="229">
        <f>SUMIFS([1]!Data_BS[Value],[1]!Data_BS[Index BS],DTR!$B91,[1]!Data_BS[TenCongTyID],DTR!$B$1,[1]!Data_BS[Thang.Nam],DTR!AK$5)</f>
        <v>0</v>
      </c>
      <c r="AL91" s="229">
        <f>SUMIFS([1]!Data_BS[Value],[1]!Data_BS[Index BS],DTR!$B91,[1]!Data_BS[TenCongTyID],DTR!$B$1,[1]!Data_BS[Thang.Nam],DTR!AL$5)</f>
        <v>0</v>
      </c>
    </row>
    <row r="92" spans="1:38" ht="15" hidden="1" customHeight="1" outlineLevel="1">
      <c r="A92" s="67" t="s">
        <v>176</v>
      </c>
      <c r="B92" s="63">
        <v>87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36">
        <v>0</v>
      </c>
      <c r="P92" s="244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Z92" s="229">
        <v>0</v>
      </c>
      <c r="AA92" s="229">
        <f>SUMIFS([1]!Data_BS[Value],[1]!Data_BS[Index BS],DTR!$B92,[1]!Data_BS[TenCongTyID],DTR!$B$1,[1]!Data_BS[Thang.Nam],DTR!AA$5)</f>
        <v>0</v>
      </c>
      <c r="AB92" s="229">
        <f>SUMIFS([1]!Data_BS[Value],[1]!Data_BS[Index BS],DTR!$B92,[1]!Data_BS[TenCongTyID],DTR!$B$1,[1]!Data_BS[Thang.Nam],DTR!AB$5)</f>
        <v>0</v>
      </c>
      <c r="AC92" s="229">
        <f>SUMIFS([1]!Data_BS[Value],[1]!Data_BS[Index BS],DTR!$B92,[1]!Data_BS[TenCongTyID],DTR!$B$1,[1]!Data_BS[Thang.Nam],DTR!AC$5)</f>
        <v>0</v>
      </c>
      <c r="AD92" s="229">
        <f>SUMIFS([1]!Data_BS[Value],[1]!Data_BS[Index BS],DTR!$B92,[1]!Data_BS[TenCongTyID],DTR!$B$1,[1]!Data_BS[Thang.Nam],DTR!AD$5)</f>
        <v>0</v>
      </c>
      <c r="AE92" s="229">
        <f>SUMIFS([1]!Data_BS[Value],[1]!Data_BS[Index BS],DTR!$B92,[1]!Data_BS[TenCongTyID],DTR!$B$1,[1]!Data_BS[Thang.Nam],DTR!AE$5)</f>
        <v>0</v>
      </c>
      <c r="AF92" s="229">
        <f>SUMIFS([1]!Data_BS[Value],[1]!Data_BS[Index BS],DTR!$B92,[1]!Data_BS[TenCongTyID],DTR!$B$1,[1]!Data_BS[Thang.Nam],DTR!AF$5)</f>
        <v>0</v>
      </c>
      <c r="AG92" s="229">
        <f>SUMIFS([1]!Data_BS[Value],[1]!Data_BS[Index BS],DTR!$B92,[1]!Data_BS[TenCongTyID],DTR!$B$1,[1]!Data_BS[Thang.Nam],DTR!AG$5)</f>
        <v>0</v>
      </c>
      <c r="AH92" s="229">
        <f>SUMIFS([1]!Data_BS[Value],[1]!Data_BS[Index BS],DTR!$B92,[1]!Data_BS[TenCongTyID],DTR!$B$1,[1]!Data_BS[Thang.Nam],DTR!AH$5)</f>
        <v>0</v>
      </c>
      <c r="AI92" s="229">
        <f>SUMIFS([1]!Data_BS[Value],[1]!Data_BS[Index BS],DTR!$B92,[1]!Data_BS[TenCongTyID],DTR!$B$1,[1]!Data_BS[Thang.Nam],DTR!AI$5)</f>
        <v>0</v>
      </c>
      <c r="AJ92" s="229">
        <f>SUMIFS([1]!Data_BS[Value],[1]!Data_BS[Index BS],DTR!$B92,[1]!Data_BS[TenCongTyID],DTR!$B$1,[1]!Data_BS[Thang.Nam],DTR!AJ$5)</f>
        <v>0</v>
      </c>
      <c r="AK92" s="229">
        <f>SUMIFS([1]!Data_BS[Value],[1]!Data_BS[Index BS],DTR!$B92,[1]!Data_BS[TenCongTyID],DTR!$B$1,[1]!Data_BS[Thang.Nam],DTR!AK$5)</f>
        <v>0</v>
      </c>
      <c r="AL92" s="229">
        <f>SUMIFS([1]!Data_BS[Value],[1]!Data_BS[Index BS],DTR!$B92,[1]!Data_BS[TenCongTyID],DTR!$B$1,[1]!Data_BS[Thang.Nam],DTR!AL$5)</f>
        <v>0</v>
      </c>
    </row>
    <row r="93" spans="1:38" ht="15" hidden="1" customHeight="1" outlineLevel="1">
      <c r="A93" s="67" t="s">
        <v>177</v>
      </c>
      <c r="B93" s="63">
        <v>88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36">
        <v>0</v>
      </c>
      <c r="P93" s="244">
        <v>0</v>
      </c>
      <c r="Q93" s="229"/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Z93" s="229">
        <v>0</v>
      </c>
      <c r="AA93" s="229">
        <f>SUMIFS([1]!Data_BS[Value],[1]!Data_BS[Index BS],DTR!$B93,[1]!Data_BS[TenCongTyID],DTR!$B$1,[1]!Data_BS[Thang.Nam],DTR!AA$5)</f>
        <v>0</v>
      </c>
      <c r="AB93" s="229">
        <f>SUMIFS([1]!Data_BS[Value],[1]!Data_BS[Index BS],DTR!$B93,[1]!Data_BS[TenCongTyID],DTR!$B$1,[1]!Data_BS[Thang.Nam],DTR!AB$5)</f>
        <v>0</v>
      </c>
      <c r="AC93" s="229">
        <f>SUMIFS([1]!Data_BS[Value],[1]!Data_BS[Index BS],DTR!$B93,[1]!Data_BS[TenCongTyID],DTR!$B$1,[1]!Data_BS[Thang.Nam],DTR!AC$5)</f>
        <v>0</v>
      </c>
      <c r="AD93" s="229">
        <f>SUMIFS([1]!Data_BS[Value],[1]!Data_BS[Index BS],DTR!$B93,[1]!Data_BS[TenCongTyID],DTR!$B$1,[1]!Data_BS[Thang.Nam],DTR!AD$5)</f>
        <v>0</v>
      </c>
      <c r="AE93" s="229">
        <f>SUMIFS([1]!Data_BS[Value],[1]!Data_BS[Index BS],DTR!$B93,[1]!Data_BS[TenCongTyID],DTR!$B$1,[1]!Data_BS[Thang.Nam],DTR!AE$5)</f>
        <v>0</v>
      </c>
      <c r="AF93" s="229">
        <f>SUMIFS([1]!Data_BS[Value],[1]!Data_BS[Index BS],DTR!$B93,[1]!Data_BS[TenCongTyID],DTR!$B$1,[1]!Data_BS[Thang.Nam],DTR!AF$5)</f>
        <v>0</v>
      </c>
      <c r="AG93" s="229">
        <f>SUMIFS([1]!Data_BS[Value],[1]!Data_BS[Index BS],DTR!$B93,[1]!Data_BS[TenCongTyID],DTR!$B$1,[1]!Data_BS[Thang.Nam],DTR!AG$5)</f>
        <v>0</v>
      </c>
      <c r="AH93" s="229">
        <f>SUMIFS([1]!Data_BS[Value],[1]!Data_BS[Index BS],DTR!$B93,[1]!Data_BS[TenCongTyID],DTR!$B$1,[1]!Data_BS[Thang.Nam],DTR!AH$5)</f>
        <v>0</v>
      </c>
      <c r="AI93" s="229">
        <f>SUMIFS([1]!Data_BS[Value],[1]!Data_BS[Index BS],DTR!$B93,[1]!Data_BS[TenCongTyID],DTR!$B$1,[1]!Data_BS[Thang.Nam],DTR!AI$5)</f>
        <v>0</v>
      </c>
      <c r="AJ93" s="229">
        <f>SUMIFS([1]!Data_BS[Value],[1]!Data_BS[Index BS],DTR!$B93,[1]!Data_BS[TenCongTyID],DTR!$B$1,[1]!Data_BS[Thang.Nam],DTR!AJ$5)</f>
        <v>0</v>
      </c>
      <c r="AK93" s="229">
        <f>SUMIFS([1]!Data_BS[Value],[1]!Data_BS[Index BS],DTR!$B93,[1]!Data_BS[TenCongTyID],DTR!$B$1,[1]!Data_BS[Thang.Nam],DTR!AK$5)</f>
        <v>0</v>
      </c>
      <c r="AL93" s="229">
        <f>SUMIFS([1]!Data_BS[Value],[1]!Data_BS[Index BS],DTR!$B93,[1]!Data_BS[TenCongTyID],DTR!$B$1,[1]!Data_BS[Thang.Nam],DTR!AL$5)</f>
        <v>0</v>
      </c>
    </row>
    <row r="94" spans="1:38" ht="15" hidden="1" customHeight="1" outlineLevel="1">
      <c r="A94" s="67" t="s">
        <v>178</v>
      </c>
      <c r="B94" s="63">
        <v>89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36">
        <v>0</v>
      </c>
      <c r="P94" s="244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Z94" s="229">
        <v>0</v>
      </c>
      <c r="AA94" s="229">
        <f>SUMIFS([1]!Data_BS[Value],[1]!Data_BS[Index BS],DTR!$B94,[1]!Data_BS[TenCongTyID],DTR!$B$1,[1]!Data_BS[Thang.Nam],DTR!AA$5)</f>
        <v>0</v>
      </c>
      <c r="AB94" s="229">
        <f>SUMIFS([1]!Data_BS[Value],[1]!Data_BS[Index BS],DTR!$B94,[1]!Data_BS[TenCongTyID],DTR!$B$1,[1]!Data_BS[Thang.Nam],DTR!AB$5)</f>
        <v>0</v>
      </c>
      <c r="AC94" s="229">
        <f>SUMIFS([1]!Data_BS[Value],[1]!Data_BS[Index BS],DTR!$B94,[1]!Data_BS[TenCongTyID],DTR!$B$1,[1]!Data_BS[Thang.Nam],DTR!AC$5)</f>
        <v>0</v>
      </c>
      <c r="AD94" s="229">
        <f>SUMIFS([1]!Data_BS[Value],[1]!Data_BS[Index BS],DTR!$B94,[1]!Data_BS[TenCongTyID],DTR!$B$1,[1]!Data_BS[Thang.Nam],DTR!AD$5)</f>
        <v>0</v>
      </c>
      <c r="AE94" s="229">
        <f>SUMIFS([1]!Data_BS[Value],[1]!Data_BS[Index BS],DTR!$B94,[1]!Data_BS[TenCongTyID],DTR!$B$1,[1]!Data_BS[Thang.Nam],DTR!AE$5)</f>
        <v>0</v>
      </c>
      <c r="AF94" s="229">
        <f>SUMIFS([1]!Data_BS[Value],[1]!Data_BS[Index BS],DTR!$B94,[1]!Data_BS[TenCongTyID],DTR!$B$1,[1]!Data_BS[Thang.Nam],DTR!AF$5)</f>
        <v>0</v>
      </c>
      <c r="AG94" s="229">
        <f>SUMIFS([1]!Data_BS[Value],[1]!Data_BS[Index BS],DTR!$B94,[1]!Data_BS[TenCongTyID],DTR!$B$1,[1]!Data_BS[Thang.Nam],DTR!AG$5)</f>
        <v>0</v>
      </c>
      <c r="AH94" s="229">
        <f>SUMIFS([1]!Data_BS[Value],[1]!Data_BS[Index BS],DTR!$B94,[1]!Data_BS[TenCongTyID],DTR!$B$1,[1]!Data_BS[Thang.Nam],DTR!AH$5)</f>
        <v>0</v>
      </c>
      <c r="AI94" s="229">
        <f>SUMIFS([1]!Data_BS[Value],[1]!Data_BS[Index BS],DTR!$B94,[1]!Data_BS[TenCongTyID],DTR!$B$1,[1]!Data_BS[Thang.Nam],DTR!AI$5)</f>
        <v>0</v>
      </c>
      <c r="AJ94" s="229">
        <f>SUMIFS([1]!Data_BS[Value],[1]!Data_BS[Index BS],DTR!$B94,[1]!Data_BS[TenCongTyID],DTR!$B$1,[1]!Data_BS[Thang.Nam],DTR!AJ$5)</f>
        <v>0</v>
      </c>
      <c r="AK94" s="229">
        <f>SUMIFS([1]!Data_BS[Value],[1]!Data_BS[Index BS],DTR!$B94,[1]!Data_BS[TenCongTyID],DTR!$B$1,[1]!Data_BS[Thang.Nam],DTR!AK$5)</f>
        <v>0</v>
      </c>
      <c r="AL94" s="229">
        <f>SUMIFS([1]!Data_BS[Value],[1]!Data_BS[Index BS],DTR!$B94,[1]!Data_BS[TenCongTyID],DTR!$B$1,[1]!Data_BS[Thang.Nam],DTR!AL$5)</f>
        <v>0</v>
      </c>
    </row>
    <row r="95" spans="1:38" ht="15" hidden="1" customHeight="1" outlineLevel="1">
      <c r="A95" s="67" t="s">
        <v>179</v>
      </c>
      <c r="B95" s="63">
        <v>90</v>
      </c>
      <c r="C95" s="229">
        <v>20355282311</v>
      </c>
      <c r="D95" s="229">
        <v>20072661932</v>
      </c>
      <c r="E95" s="229">
        <v>26417436937</v>
      </c>
      <c r="F95" s="229">
        <v>27331419185</v>
      </c>
      <c r="G95" s="229">
        <v>19976705931</v>
      </c>
      <c r="H95" s="229">
        <v>8557631012</v>
      </c>
      <c r="I95" s="229">
        <v>8921341505</v>
      </c>
      <c r="J95" s="229">
        <v>8305034290</v>
      </c>
      <c r="K95" s="229">
        <v>10611497755</v>
      </c>
      <c r="L95" s="229">
        <v>3332301431</v>
      </c>
      <c r="M95" s="229">
        <v>5092624624</v>
      </c>
      <c r="N95" s="229">
        <v>5848302182</v>
      </c>
      <c r="O95" s="236">
        <v>5950478281</v>
      </c>
      <c r="P95" s="244">
        <v>8480710843</v>
      </c>
      <c r="Q95" s="229">
        <v>6827325037</v>
      </c>
      <c r="R95" s="229">
        <v>16529834801</v>
      </c>
      <c r="S95" s="229">
        <v>26083619575</v>
      </c>
      <c r="T95" s="229">
        <v>11626227888</v>
      </c>
      <c r="U95" s="229">
        <v>10463806809</v>
      </c>
      <c r="V95" s="229">
        <v>13245650719</v>
      </c>
      <c r="W95" s="229">
        <v>3578074988</v>
      </c>
      <c r="X95" s="229">
        <v>3829811224</v>
      </c>
      <c r="Y95" s="229">
        <v>5090463265</v>
      </c>
      <c r="Z95" s="229">
        <v>3375786923</v>
      </c>
      <c r="AA95" s="229">
        <f>SUMIFS([1]!Data_BS[Value],[1]!Data_BS[Index BS],DTR!$B95,[1]!Data_BS[TenCongTyID],DTR!$B$1,[1]!Data_BS[Thang.Nam],DTR!AA$5)</f>
        <v>0</v>
      </c>
      <c r="AB95" s="229">
        <f>SUMIFS([1]!Data_BS[Value],[1]!Data_BS[Index BS],DTR!$B95,[1]!Data_BS[TenCongTyID],DTR!$B$1,[1]!Data_BS[Thang.Nam],DTR!AB$5)</f>
        <v>0</v>
      </c>
      <c r="AC95" s="229">
        <f>SUMIFS([1]!Data_BS[Value],[1]!Data_BS[Index BS],DTR!$B95,[1]!Data_BS[TenCongTyID],DTR!$B$1,[1]!Data_BS[Thang.Nam],DTR!AC$5)</f>
        <v>0</v>
      </c>
      <c r="AD95" s="229">
        <f>SUMIFS([1]!Data_BS[Value],[1]!Data_BS[Index BS],DTR!$B95,[1]!Data_BS[TenCongTyID],DTR!$B$1,[1]!Data_BS[Thang.Nam],DTR!AD$5)</f>
        <v>0</v>
      </c>
      <c r="AE95" s="229">
        <f>SUMIFS([1]!Data_BS[Value],[1]!Data_BS[Index BS],DTR!$B95,[1]!Data_BS[TenCongTyID],DTR!$B$1,[1]!Data_BS[Thang.Nam],DTR!AE$5)</f>
        <v>0</v>
      </c>
      <c r="AF95" s="229">
        <f>SUMIFS([1]!Data_BS[Value],[1]!Data_BS[Index BS],DTR!$B95,[1]!Data_BS[TenCongTyID],DTR!$B$1,[1]!Data_BS[Thang.Nam],DTR!AF$5)</f>
        <v>0</v>
      </c>
      <c r="AG95" s="229">
        <f>SUMIFS([1]!Data_BS[Value],[1]!Data_BS[Index BS],DTR!$B95,[1]!Data_BS[TenCongTyID],DTR!$B$1,[1]!Data_BS[Thang.Nam],DTR!AG$5)</f>
        <v>0</v>
      </c>
      <c r="AH95" s="229">
        <f>SUMIFS([1]!Data_BS[Value],[1]!Data_BS[Index BS],DTR!$B95,[1]!Data_BS[TenCongTyID],DTR!$B$1,[1]!Data_BS[Thang.Nam],DTR!AH$5)</f>
        <v>0</v>
      </c>
      <c r="AI95" s="229">
        <f>SUMIFS([1]!Data_BS[Value],[1]!Data_BS[Index BS],DTR!$B95,[1]!Data_BS[TenCongTyID],DTR!$B$1,[1]!Data_BS[Thang.Nam],DTR!AI$5)</f>
        <v>0</v>
      </c>
      <c r="AJ95" s="229">
        <f>SUMIFS([1]!Data_BS[Value],[1]!Data_BS[Index BS],DTR!$B95,[1]!Data_BS[TenCongTyID],DTR!$B$1,[1]!Data_BS[Thang.Nam],DTR!AJ$5)</f>
        <v>0</v>
      </c>
      <c r="AK95" s="229">
        <f>SUMIFS([1]!Data_BS[Value],[1]!Data_BS[Index BS],DTR!$B95,[1]!Data_BS[TenCongTyID],DTR!$B$1,[1]!Data_BS[Thang.Nam],DTR!AK$5)</f>
        <v>0</v>
      </c>
      <c r="AL95" s="229">
        <f>SUMIFS([1]!Data_BS[Value],[1]!Data_BS[Index BS],DTR!$B95,[1]!Data_BS[TenCongTyID],DTR!$B$1,[1]!Data_BS[Thang.Nam],DTR!AL$5)</f>
        <v>0</v>
      </c>
    </row>
    <row r="96" spans="1:38" ht="15" hidden="1" customHeight="1" outlineLevel="1">
      <c r="A96" s="67" t="s">
        <v>180</v>
      </c>
      <c r="B96" s="63">
        <v>91</v>
      </c>
      <c r="C96" s="229">
        <v>62822745245</v>
      </c>
      <c r="D96" s="229">
        <v>57847834995</v>
      </c>
      <c r="E96" s="229">
        <v>101832582537</v>
      </c>
      <c r="F96" s="229">
        <v>144977288403</v>
      </c>
      <c r="G96" s="229">
        <v>178905916168</v>
      </c>
      <c r="H96" s="229">
        <v>190748518955</v>
      </c>
      <c r="I96" s="229">
        <v>168894814805</v>
      </c>
      <c r="J96" s="229">
        <v>126048766562</v>
      </c>
      <c r="K96" s="229">
        <v>139654417984</v>
      </c>
      <c r="L96" s="229">
        <v>155306260478</v>
      </c>
      <c r="M96" s="229">
        <v>165536679982</v>
      </c>
      <c r="N96" s="229">
        <v>192629821718</v>
      </c>
      <c r="O96" s="236">
        <v>134925554251</v>
      </c>
      <c r="P96" s="244">
        <v>43611829278</v>
      </c>
      <c r="Q96" s="229">
        <v>98003020481</v>
      </c>
      <c r="R96" s="229">
        <v>172928907420</v>
      </c>
      <c r="S96" s="229">
        <v>200666324688</v>
      </c>
      <c r="T96" s="229">
        <v>238388679271</v>
      </c>
      <c r="U96" s="229">
        <v>250573370780</v>
      </c>
      <c r="V96" s="229">
        <v>294832243750</v>
      </c>
      <c r="W96" s="229">
        <v>309616499760</v>
      </c>
      <c r="X96" s="229">
        <v>263334816592</v>
      </c>
      <c r="Y96" s="229">
        <v>254700704679</v>
      </c>
      <c r="Z96" s="229">
        <v>262225979238</v>
      </c>
      <c r="AA96" s="229">
        <f>SUMIFS([1]!Data_BS[Value],[1]!Data_BS[Index BS],DTR!$B96,[1]!Data_BS[TenCongTyID],DTR!$B$1,[1]!Data_BS[Thang.Nam],DTR!AA$5)</f>
        <v>0</v>
      </c>
      <c r="AB96" s="229">
        <f>SUMIFS([1]!Data_BS[Value],[1]!Data_BS[Index BS],DTR!$B96,[1]!Data_BS[TenCongTyID],DTR!$B$1,[1]!Data_BS[Thang.Nam],DTR!AB$5)</f>
        <v>0</v>
      </c>
      <c r="AC96" s="229">
        <f>SUMIFS([1]!Data_BS[Value],[1]!Data_BS[Index BS],DTR!$B96,[1]!Data_BS[TenCongTyID],DTR!$B$1,[1]!Data_BS[Thang.Nam],DTR!AC$5)</f>
        <v>0</v>
      </c>
      <c r="AD96" s="229">
        <f>SUMIFS([1]!Data_BS[Value],[1]!Data_BS[Index BS],DTR!$B96,[1]!Data_BS[TenCongTyID],DTR!$B$1,[1]!Data_BS[Thang.Nam],DTR!AD$5)</f>
        <v>0</v>
      </c>
      <c r="AE96" s="229">
        <f>SUMIFS([1]!Data_BS[Value],[1]!Data_BS[Index BS],DTR!$B96,[1]!Data_BS[TenCongTyID],DTR!$B$1,[1]!Data_BS[Thang.Nam],DTR!AE$5)</f>
        <v>0</v>
      </c>
      <c r="AF96" s="229">
        <f>SUMIFS([1]!Data_BS[Value],[1]!Data_BS[Index BS],DTR!$B96,[1]!Data_BS[TenCongTyID],DTR!$B$1,[1]!Data_BS[Thang.Nam],DTR!AF$5)</f>
        <v>0</v>
      </c>
      <c r="AG96" s="229">
        <f>SUMIFS([1]!Data_BS[Value],[1]!Data_BS[Index BS],DTR!$B96,[1]!Data_BS[TenCongTyID],DTR!$B$1,[1]!Data_BS[Thang.Nam],DTR!AG$5)</f>
        <v>0</v>
      </c>
      <c r="AH96" s="229">
        <f>SUMIFS([1]!Data_BS[Value],[1]!Data_BS[Index BS],DTR!$B96,[1]!Data_BS[TenCongTyID],DTR!$B$1,[1]!Data_BS[Thang.Nam],DTR!AH$5)</f>
        <v>0</v>
      </c>
      <c r="AI96" s="229">
        <f>SUMIFS([1]!Data_BS[Value],[1]!Data_BS[Index BS],DTR!$B96,[1]!Data_BS[TenCongTyID],DTR!$B$1,[1]!Data_BS[Thang.Nam],DTR!AI$5)</f>
        <v>0</v>
      </c>
      <c r="AJ96" s="229">
        <f>SUMIFS([1]!Data_BS[Value],[1]!Data_BS[Index BS],DTR!$B96,[1]!Data_BS[TenCongTyID],DTR!$B$1,[1]!Data_BS[Thang.Nam],DTR!AJ$5)</f>
        <v>0</v>
      </c>
      <c r="AK96" s="229">
        <f>SUMIFS([1]!Data_BS[Value],[1]!Data_BS[Index BS],DTR!$B96,[1]!Data_BS[TenCongTyID],DTR!$B$1,[1]!Data_BS[Thang.Nam],DTR!AK$5)</f>
        <v>0</v>
      </c>
      <c r="AL96" s="229">
        <f>SUMIFS([1]!Data_BS[Value],[1]!Data_BS[Index BS],DTR!$B96,[1]!Data_BS[TenCongTyID],DTR!$B$1,[1]!Data_BS[Thang.Nam],DTR!AL$5)</f>
        <v>0</v>
      </c>
    </row>
    <row r="97" spans="1:38" ht="15" hidden="1" customHeight="1" outlineLevel="1">
      <c r="A97" s="67" t="s">
        <v>181</v>
      </c>
      <c r="B97" s="63">
        <v>92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36">
        <v>0</v>
      </c>
      <c r="P97" s="244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Z97" s="229">
        <v>0</v>
      </c>
      <c r="AA97" s="229">
        <f>SUMIFS([1]!Data_BS[Value],[1]!Data_BS[Index BS],DTR!$B97,[1]!Data_BS[TenCongTyID],DTR!$B$1,[1]!Data_BS[Thang.Nam],DTR!AA$5)</f>
        <v>0</v>
      </c>
      <c r="AB97" s="229">
        <f>SUMIFS([1]!Data_BS[Value],[1]!Data_BS[Index BS],DTR!$B97,[1]!Data_BS[TenCongTyID],DTR!$B$1,[1]!Data_BS[Thang.Nam],DTR!AB$5)</f>
        <v>0</v>
      </c>
      <c r="AC97" s="229">
        <f>SUMIFS([1]!Data_BS[Value],[1]!Data_BS[Index BS],DTR!$B97,[1]!Data_BS[TenCongTyID],DTR!$B$1,[1]!Data_BS[Thang.Nam],DTR!AC$5)</f>
        <v>0</v>
      </c>
      <c r="AD97" s="229">
        <f>SUMIFS([1]!Data_BS[Value],[1]!Data_BS[Index BS],DTR!$B97,[1]!Data_BS[TenCongTyID],DTR!$B$1,[1]!Data_BS[Thang.Nam],DTR!AD$5)</f>
        <v>0</v>
      </c>
      <c r="AE97" s="229">
        <f>SUMIFS([1]!Data_BS[Value],[1]!Data_BS[Index BS],DTR!$B97,[1]!Data_BS[TenCongTyID],DTR!$B$1,[1]!Data_BS[Thang.Nam],DTR!AE$5)</f>
        <v>0</v>
      </c>
      <c r="AF97" s="229">
        <f>SUMIFS([1]!Data_BS[Value],[1]!Data_BS[Index BS],DTR!$B97,[1]!Data_BS[TenCongTyID],DTR!$B$1,[1]!Data_BS[Thang.Nam],DTR!AF$5)</f>
        <v>0</v>
      </c>
      <c r="AG97" s="229">
        <f>SUMIFS([1]!Data_BS[Value],[1]!Data_BS[Index BS],DTR!$B97,[1]!Data_BS[TenCongTyID],DTR!$B$1,[1]!Data_BS[Thang.Nam],DTR!AG$5)</f>
        <v>0</v>
      </c>
      <c r="AH97" s="229">
        <f>SUMIFS([1]!Data_BS[Value],[1]!Data_BS[Index BS],DTR!$B97,[1]!Data_BS[TenCongTyID],DTR!$B$1,[1]!Data_BS[Thang.Nam],DTR!AH$5)</f>
        <v>0</v>
      </c>
      <c r="AI97" s="229">
        <f>SUMIFS([1]!Data_BS[Value],[1]!Data_BS[Index BS],DTR!$B97,[1]!Data_BS[TenCongTyID],DTR!$B$1,[1]!Data_BS[Thang.Nam],DTR!AI$5)</f>
        <v>0</v>
      </c>
      <c r="AJ97" s="229">
        <f>SUMIFS([1]!Data_BS[Value],[1]!Data_BS[Index BS],DTR!$B97,[1]!Data_BS[TenCongTyID],DTR!$B$1,[1]!Data_BS[Thang.Nam],DTR!AJ$5)</f>
        <v>0</v>
      </c>
      <c r="AK97" s="229">
        <f>SUMIFS([1]!Data_BS[Value],[1]!Data_BS[Index BS],DTR!$B97,[1]!Data_BS[TenCongTyID],DTR!$B$1,[1]!Data_BS[Thang.Nam],DTR!AK$5)</f>
        <v>0</v>
      </c>
      <c r="AL97" s="229">
        <f>SUMIFS([1]!Data_BS[Value],[1]!Data_BS[Index BS],DTR!$B97,[1]!Data_BS[TenCongTyID],DTR!$B$1,[1]!Data_BS[Thang.Nam],DTR!AL$5)</f>
        <v>0</v>
      </c>
    </row>
    <row r="98" spans="1:38" ht="15" hidden="1" customHeight="1" outlineLevel="1">
      <c r="A98" s="67" t="s">
        <v>182</v>
      </c>
      <c r="B98" s="63">
        <v>93</v>
      </c>
      <c r="C98" s="229">
        <v>376813826</v>
      </c>
      <c r="D98" s="229">
        <v>246813826</v>
      </c>
      <c r="E98" s="229">
        <v>246813826</v>
      </c>
      <c r="F98" s="229">
        <v>246813826</v>
      </c>
      <c r="G98" s="229">
        <v>246813826</v>
      </c>
      <c r="H98" s="229">
        <v>246813826</v>
      </c>
      <c r="I98" s="229">
        <v>230313826</v>
      </c>
      <c r="J98" s="229">
        <v>226063826</v>
      </c>
      <c r="K98" s="229">
        <v>695823826</v>
      </c>
      <c r="L98" s="229">
        <v>1411383826</v>
      </c>
      <c r="M98" s="229">
        <v>1397549382</v>
      </c>
      <c r="N98" s="229">
        <v>1222249720</v>
      </c>
      <c r="O98" s="236">
        <v>937249720</v>
      </c>
      <c r="P98" s="244">
        <v>927249720</v>
      </c>
      <c r="Q98" s="229">
        <v>914665720</v>
      </c>
      <c r="R98" s="229">
        <v>909665720</v>
      </c>
      <c r="S98" s="229">
        <v>906665720</v>
      </c>
      <c r="T98" s="229">
        <v>906665720</v>
      </c>
      <c r="U98" s="229">
        <v>899772466</v>
      </c>
      <c r="V98" s="229">
        <v>680992466</v>
      </c>
      <c r="W98" s="229">
        <v>1436632466</v>
      </c>
      <c r="X98" s="229">
        <v>1436632466</v>
      </c>
      <c r="Y98" s="229">
        <v>1436632466</v>
      </c>
      <c r="Z98" s="229">
        <v>1434532466</v>
      </c>
      <c r="AA98" s="229">
        <f>SUMIFS([1]!Data_BS[Value],[1]!Data_BS[Index BS],DTR!$B98,[1]!Data_BS[TenCongTyID],DTR!$B$1,[1]!Data_BS[Thang.Nam],DTR!AA$5)</f>
        <v>0</v>
      </c>
      <c r="AB98" s="229">
        <f>SUMIFS([1]!Data_BS[Value],[1]!Data_BS[Index BS],DTR!$B98,[1]!Data_BS[TenCongTyID],DTR!$B$1,[1]!Data_BS[Thang.Nam],DTR!AB$5)</f>
        <v>0</v>
      </c>
      <c r="AC98" s="229">
        <f>SUMIFS([1]!Data_BS[Value],[1]!Data_BS[Index BS],DTR!$B98,[1]!Data_BS[TenCongTyID],DTR!$B$1,[1]!Data_BS[Thang.Nam],DTR!AC$5)</f>
        <v>0</v>
      </c>
      <c r="AD98" s="229">
        <f>SUMIFS([1]!Data_BS[Value],[1]!Data_BS[Index BS],DTR!$B98,[1]!Data_BS[TenCongTyID],DTR!$B$1,[1]!Data_BS[Thang.Nam],DTR!AD$5)</f>
        <v>0</v>
      </c>
      <c r="AE98" s="229">
        <f>SUMIFS([1]!Data_BS[Value],[1]!Data_BS[Index BS],DTR!$B98,[1]!Data_BS[TenCongTyID],DTR!$B$1,[1]!Data_BS[Thang.Nam],DTR!AE$5)</f>
        <v>0</v>
      </c>
      <c r="AF98" s="229">
        <f>SUMIFS([1]!Data_BS[Value],[1]!Data_BS[Index BS],DTR!$B98,[1]!Data_BS[TenCongTyID],DTR!$B$1,[1]!Data_BS[Thang.Nam],DTR!AF$5)</f>
        <v>0</v>
      </c>
      <c r="AG98" s="229">
        <f>SUMIFS([1]!Data_BS[Value],[1]!Data_BS[Index BS],DTR!$B98,[1]!Data_BS[TenCongTyID],DTR!$B$1,[1]!Data_BS[Thang.Nam],DTR!AG$5)</f>
        <v>0</v>
      </c>
      <c r="AH98" s="229">
        <f>SUMIFS([1]!Data_BS[Value],[1]!Data_BS[Index BS],DTR!$B98,[1]!Data_BS[TenCongTyID],DTR!$B$1,[1]!Data_BS[Thang.Nam],DTR!AH$5)</f>
        <v>0</v>
      </c>
      <c r="AI98" s="229">
        <f>SUMIFS([1]!Data_BS[Value],[1]!Data_BS[Index BS],DTR!$B98,[1]!Data_BS[TenCongTyID],DTR!$B$1,[1]!Data_BS[Thang.Nam],DTR!AI$5)</f>
        <v>0</v>
      </c>
      <c r="AJ98" s="229">
        <f>SUMIFS([1]!Data_BS[Value],[1]!Data_BS[Index BS],DTR!$B98,[1]!Data_BS[TenCongTyID],DTR!$B$1,[1]!Data_BS[Thang.Nam],DTR!AJ$5)</f>
        <v>0</v>
      </c>
      <c r="AK98" s="229">
        <f>SUMIFS([1]!Data_BS[Value],[1]!Data_BS[Index BS],DTR!$B98,[1]!Data_BS[TenCongTyID],DTR!$B$1,[1]!Data_BS[Thang.Nam],DTR!AK$5)</f>
        <v>0</v>
      </c>
      <c r="AL98" s="229">
        <f>SUMIFS([1]!Data_BS[Value],[1]!Data_BS[Index BS],DTR!$B98,[1]!Data_BS[TenCongTyID],DTR!$B$1,[1]!Data_BS[Thang.Nam],DTR!AL$5)</f>
        <v>0</v>
      </c>
    </row>
    <row r="99" spans="1:38" ht="15" hidden="1" customHeight="1" outlineLevel="1">
      <c r="A99" s="68" t="s">
        <v>183</v>
      </c>
      <c r="B99" s="63">
        <v>94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36">
        <v>0</v>
      </c>
      <c r="P99" s="244">
        <v>0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Z99" s="229">
        <v>0</v>
      </c>
      <c r="AA99" s="229">
        <f>SUMIFS([1]!Data_BS[Value],[1]!Data_BS[Index BS],DTR!$B99,[1]!Data_BS[TenCongTyID],DTR!$B$1,[1]!Data_BS[Thang.Nam],DTR!AA$5)</f>
        <v>0</v>
      </c>
      <c r="AB99" s="229">
        <f>SUMIFS([1]!Data_BS[Value],[1]!Data_BS[Index BS],DTR!$B99,[1]!Data_BS[TenCongTyID],DTR!$B$1,[1]!Data_BS[Thang.Nam],DTR!AB$5)</f>
        <v>0</v>
      </c>
      <c r="AC99" s="229">
        <f>SUMIFS([1]!Data_BS[Value],[1]!Data_BS[Index BS],DTR!$B99,[1]!Data_BS[TenCongTyID],DTR!$B$1,[1]!Data_BS[Thang.Nam],DTR!AC$5)</f>
        <v>0</v>
      </c>
      <c r="AD99" s="229">
        <f>SUMIFS([1]!Data_BS[Value],[1]!Data_BS[Index BS],DTR!$B99,[1]!Data_BS[TenCongTyID],DTR!$B$1,[1]!Data_BS[Thang.Nam],DTR!AD$5)</f>
        <v>0</v>
      </c>
      <c r="AE99" s="229">
        <f>SUMIFS([1]!Data_BS[Value],[1]!Data_BS[Index BS],DTR!$B99,[1]!Data_BS[TenCongTyID],DTR!$B$1,[1]!Data_BS[Thang.Nam],DTR!AE$5)</f>
        <v>0</v>
      </c>
      <c r="AF99" s="229">
        <f>SUMIFS([1]!Data_BS[Value],[1]!Data_BS[Index BS],DTR!$B99,[1]!Data_BS[TenCongTyID],DTR!$B$1,[1]!Data_BS[Thang.Nam],DTR!AF$5)</f>
        <v>0</v>
      </c>
      <c r="AG99" s="229">
        <f>SUMIFS([1]!Data_BS[Value],[1]!Data_BS[Index BS],DTR!$B99,[1]!Data_BS[TenCongTyID],DTR!$B$1,[1]!Data_BS[Thang.Nam],DTR!AG$5)</f>
        <v>0</v>
      </c>
      <c r="AH99" s="229">
        <f>SUMIFS([1]!Data_BS[Value],[1]!Data_BS[Index BS],DTR!$B99,[1]!Data_BS[TenCongTyID],DTR!$B$1,[1]!Data_BS[Thang.Nam],DTR!AH$5)</f>
        <v>0</v>
      </c>
      <c r="AI99" s="229">
        <f>SUMIFS([1]!Data_BS[Value],[1]!Data_BS[Index BS],DTR!$B99,[1]!Data_BS[TenCongTyID],DTR!$B$1,[1]!Data_BS[Thang.Nam],DTR!AI$5)</f>
        <v>0</v>
      </c>
      <c r="AJ99" s="229">
        <f>SUMIFS([1]!Data_BS[Value],[1]!Data_BS[Index BS],DTR!$B99,[1]!Data_BS[TenCongTyID],DTR!$B$1,[1]!Data_BS[Thang.Nam],DTR!AJ$5)</f>
        <v>0</v>
      </c>
      <c r="AK99" s="229">
        <f>SUMIFS([1]!Data_BS[Value],[1]!Data_BS[Index BS],DTR!$B99,[1]!Data_BS[TenCongTyID],DTR!$B$1,[1]!Data_BS[Thang.Nam],DTR!AK$5)</f>
        <v>0</v>
      </c>
      <c r="AL99" s="229">
        <f>SUMIFS([1]!Data_BS[Value],[1]!Data_BS[Index BS],DTR!$B99,[1]!Data_BS[TenCongTyID],DTR!$B$1,[1]!Data_BS[Thang.Nam],DTR!AL$5)</f>
        <v>0</v>
      </c>
    </row>
    <row r="100" spans="1:38" ht="15" hidden="1" customHeight="1" outlineLevel="1">
      <c r="A100" s="68" t="s">
        <v>184</v>
      </c>
      <c r="B100" s="63">
        <v>95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36">
        <v>0</v>
      </c>
      <c r="P100" s="244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Z100" s="229">
        <v>0</v>
      </c>
      <c r="AA100" s="229">
        <f>SUMIFS([1]!Data_BS[Value],[1]!Data_BS[Index BS],DTR!$B100,[1]!Data_BS[TenCongTyID],DTR!$B$1,[1]!Data_BS[Thang.Nam],DTR!AA$5)</f>
        <v>0</v>
      </c>
      <c r="AB100" s="229">
        <f>SUMIFS([1]!Data_BS[Value],[1]!Data_BS[Index BS],DTR!$B100,[1]!Data_BS[TenCongTyID],DTR!$B$1,[1]!Data_BS[Thang.Nam],DTR!AB$5)</f>
        <v>0</v>
      </c>
      <c r="AC100" s="229">
        <f>SUMIFS([1]!Data_BS[Value],[1]!Data_BS[Index BS],DTR!$B100,[1]!Data_BS[TenCongTyID],DTR!$B$1,[1]!Data_BS[Thang.Nam],DTR!AC$5)</f>
        <v>0</v>
      </c>
      <c r="AD100" s="229">
        <f>SUMIFS([1]!Data_BS[Value],[1]!Data_BS[Index BS],DTR!$B100,[1]!Data_BS[TenCongTyID],DTR!$B$1,[1]!Data_BS[Thang.Nam],DTR!AD$5)</f>
        <v>0</v>
      </c>
      <c r="AE100" s="229">
        <f>SUMIFS([1]!Data_BS[Value],[1]!Data_BS[Index BS],DTR!$B100,[1]!Data_BS[TenCongTyID],DTR!$B$1,[1]!Data_BS[Thang.Nam],DTR!AE$5)</f>
        <v>0</v>
      </c>
      <c r="AF100" s="229">
        <f>SUMIFS([1]!Data_BS[Value],[1]!Data_BS[Index BS],DTR!$B100,[1]!Data_BS[TenCongTyID],DTR!$B$1,[1]!Data_BS[Thang.Nam],DTR!AF$5)</f>
        <v>0</v>
      </c>
      <c r="AG100" s="229">
        <f>SUMIFS([1]!Data_BS[Value],[1]!Data_BS[Index BS],DTR!$B100,[1]!Data_BS[TenCongTyID],DTR!$B$1,[1]!Data_BS[Thang.Nam],DTR!AG$5)</f>
        <v>0</v>
      </c>
      <c r="AH100" s="229">
        <f>SUMIFS([1]!Data_BS[Value],[1]!Data_BS[Index BS],DTR!$B100,[1]!Data_BS[TenCongTyID],DTR!$B$1,[1]!Data_BS[Thang.Nam],DTR!AH$5)</f>
        <v>0</v>
      </c>
      <c r="AI100" s="229">
        <f>SUMIFS([1]!Data_BS[Value],[1]!Data_BS[Index BS],DTR!$B100,[1]!Data_BS[TenCongTyID],DTR!$B$1,[1]!Data_BS[Thang.Nam],DTR!AI$5)</f>
        <v>0</v>
      </c>
      <c r="AJ100" s="229">
        <f>SUMIFS([1]!Data_BS[Value],[1]!Data_BS[Index BS],DTR!$B100,[1]!Data_BS[TenCongTyID],DTR!$B$1,[1]!Data_BS[Thang.Nam],DTR!AJ$5)</f>
        <v>0</v>
      </c>
      <c r="AK100" s="229">
        <f>SUMIFS([1]!Data_BS[Value],[1]!Data_BS[Index BS],DTR!$B100,[1]!Data_BS[TenCongTyID],DTR!$B$1,[1]!Data_BS[Thang.Nam],DTR!AK$5)</f>
        <v>0</v>
      </c>
      <c r="AL100" s="229">
        <f>SUMIFS([1]!Data_BS[Value],[1]!Data_BS[Index BS],DTR!$B100,[1]!Data_BS[TenCongTyID],DTR!$B$1,[1]!Data_BS[Thang.Nam],DTR!AL$5)</f>
        <v>0</v>
      </c>
    </row>
    <row r="101" spans="1:38" ht="15" hidden="1" customHeight="1" outlineLevel="1">
      <c r="A101" s="72" t="s">
        <v>185</v>
      </c>
      <c r="B101" s="65">
        <v>96</v>
      </c>
      <c r="C101" s="233">
        <v>77616411070</v>
      </c>
      <c r="D101" s="233">
        <v>77522351070</v>
      </c>
      <c r="E101" s="233">
        <v>77463351070</v>
      </c>
      <c r="F101" s="233">
        <v>77168157678</v>
      </c>
      <c r="G101" s="233">
        <v>75214867678</v>
      </c>
      <c r="H101" s="233">
        <v>76544035678</v>
      </c>
      <c r="I101" s="233">
        <v>76656842286</v>
      </c>
      <c r="J101" s="233">
        <v>75999782286</v>
      </c>
      <c r="K101" s="233">
        <v>76594782286</v>
      </c>
      <c r="L101" s="233">
        <v>76818588894</v>
      </c>
      <c r="M101" s="233">
        <v>103444528894</v>
      </c>
      <c r="N101" s="234">
        <v>84737345522</v>
      </c>
      <c r="O101" s="238">
        <v>108410341946</v>
      </c>
      <c r="P101" s="242">
        <v>104162504168</v>
      </c>
      <c r="Q101" s="234">
        <v>103325726390</v>
      </c>
      <c r="R101" s="234">
        <v>102252755220</v>
      </c>
      <c r="S101" s="234">
        <v>98004917442</v>
      </c>
      <c r="T101" s="234">
        <v>77121791394</v>
      </c>
      <c r="U101" s="234">
        <v>76048820224</v>
      </c>
      <c r="V101" s="234">
        <v>74463510446</v>
      </c>
      <c r="W101" s="234">
        <v>73626732668</v>
      </c>
      <c r="X101" s="234">
        <v>68573133942</v>
      </c>
      <c r="Y101" s="234">
        <v>69631372942</v>
      </c>
      <c r="Z101" s="234">
        <v>50382254354</v>
      </c>
      <c r="AA101" s="234">
        <f>SUMIFS([1]!Data_BS[Value],[1]!Data_BS[Index BS],DTR!$B101,[1]!Data_BS[TenCongTyID],DTR!$B$1,[1]!Data_BS[Thang.Nam],DTR!AA$5)</f>
        <v>0</v>
      </c>
      <c r="AB101" s="234">
        <f>SUMIFS([1]!Data_BS[Value],[1]!Data_BS[Index BS],DTR!$B101,[1]!Data_BS[TenCongTyID],DTR!$B$1,[1]!Data_BS[Thang.Nam],DTR!AB$5)</f>
        <v>0</v>
      </c>
      <c r="AC101" s="234">
        <f>SUMIFS([1]!Data_BS[Value],[1]!Data_BS[Index BS],DTR!$B101,[1]!Data_BS[TenCongTyID],DTR!$B$1,[1]!Data_BS[Thang.Nam],DTR!AC$5)</f>
        <v>0</v>
      </c>
      <c r="AD101" s="234">
        <f>SUMIFS([1]!Data_BS[Value],[1]!Data_BS[Index BS],DTR!$B101,[1]!Data_BS[TenCongTyID],DTR!$B$1,[1]!Data_BS[Thang.Nam],DTR!AD$5)</f>
        <v>0</v>
      </c>
      <c r="AE101" s="234">
        <f>SUMIFS([1]!Data_BS[Value],[1]!Data_BS[Index BS],DTR!$B101,[1]!Data_BS[TenCongTyID],DTR!$B$1,[1]!Data_BS[Thang.Nam],DTR!AE$5)</f>
        <v>0</v>
      </c>
      <c r="AF101" s="234">
        <f>SUMIFS([1]!Data_BS[Value],[1]!Data_BS[Index BS],DTR!$B101,[1]!Data_BS[TenCongTyID],DTR!$B$1,[1]!Data_BS[Thang.Nam],DTR!AF$5)</f>
        <v>0</v>
      </c>
      <c r="AG101" s="234">
        <f>SUMIFS([1]!Data_BS[Value],[1]!Data_BS[Index BS],DTR!$B101,[1]!Data_BS[TenCongTyID],DTR!$B$1,[1]!Data_BS[Thang.Nam],DTR!AG$5)</f>
        <v>0</v>
      </c>
      <c r="AH101" s="234">
        <f>SUMIFS([1]!Data_BS[Value],[1]!Data_BS[Index BS],DTR!$B101,[1]!Data_BS[TenCongTyID],DTR!$B$1,[1]!Data_BS[Thang.Nam],DTR!AH$5)</f>
        <v>0</v>
      </c>
      <c r="AI101" s="234">
        <f>SUMIFS([1]!Data_BS[Value],[1]!Data_BS[Index BS],DTR!$B101,[1]!Data_BS[TenCongTyID],DTR!$B$1,[1]!Data_BS[Thang.Nam],DTR!AI$5)</f>
        <v>0</v>
      </c>
      <c r="AJ101" s="234">
        <f>SUMIFS([1]!Data_BS[Value],[1]!Data_BS[Index BS],DTR!$B101,[1]!Data_BS[TenCongTyID],DTR!$B$1,[1]!Data_BS[Thang.Nam],DTR!AJ$5)</f>
        <v>0</v>
      </c>
      <c r="AK101" s="234">
        <f>SUMIFS([1]!Data_BS[Value],[1]!Data_BS[Index BS],DTR!$B101,[1]!Data_BS[TenCongTyID],DTR!$B$1,[1]!Data_BS[Thang.Nam],DTR!AK$5)</f>
        <v>0</v>
      </c>
      <c r="AL101" s="234">
        <f>SUMIFS([1]!Data_BS[Value],[1]!Data_BS[Index BS],DTR!$B101,[1]!Data_BS[TenCongTyID],DTR!$B$1,[1]!Data_BS[Thang.Nam],DTR!AL$5)</f>
        <v>0</v>
      </c>
    </row>
    <row r="102" spans="1:38" ht="15" hidden="1" customHeight="1" outlineLevel="1">
      <c r="A102" s="67" t="s">
        <v>186</v>
      </c>
      <c r="B102" s="63">
        <v>97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Z102" s="229">
        <v>0</v>
      </c>
      <c r="AA102" s="229">
        <f>SUMIFS([1]!Data_BS[Value],[1]!Data_BS[Index BS],DTR!$B102,[1]!Data_BS[TenCongTyID],DTR!$B$1,[1]!Data_BS[Thang.Nam],DTR!AA$5)</f>
        <v>0</v>
      </c>
      <c r="AB102" s="229">
        <f>SUMIFS([1]!Data_BS[Value],[1]!Data_BS[Index BS],DTR!$B102,[1]!Data_BS[TenCongTyID],DTR!$B$1,[1]!Data_BS[Thang.Nam],DTR!AB$5)</f>
        <v>0</v>
      </c>
      <c r="AC102" s="229">
        <f>SUMIFS([1]!Data_BS[Value],[1]!Data_BS[Index BS],DTR!$B102,[1]!Data_BS[TenCongTyID],DTR!$B$1,[1]!Data_BS[Thang.Nam],DTR!AC$5)</f>
        <v>0</v>
      </c>
      <c r="AD102" s="229">
        <f>SUMIFS([1]!Data_BS[Value],[1]!Data_BS[Index BS],DTR!$B102,[1]!Data_BS[TenCongTyID],DTR!$B$1,[1]!Data_BS[Thang.Nam],DTR!AD$5)</f>
        <v>0</v>
      </c>
      <c r="AE102" s="229">
        <f>SUMIFS([1]!Data_BS[Value],[1]!Data_BS[Index BS],DTR!$B102,[1]!Data_BS[TenCongTyID],DTR!$B$1,[1]!Data_BS[Thang.Nam],DTR!AE$5)</f>
        <v>0</v>
      </c>
      <c r="AF102" s="229">
        <f>SUMIFS([1]!Data_BS[Value],[1]!Data_BS[Index BS],DTR!$B102,[1]!Data_BS[TenCongTyID],DTR!$B$1,[1]!Data_BS[Thang.Nam],DTR!AF$5)</f>
        <v>0</v>
      </c>
      <c r="AG102" s="229">
        <f>SUMIFS([1]!Data_BS[Value],[1]!Data_BS[Index BS],DTR!$B102,[1]!Data_BS[TenCongTyID],DTR!$B$1,[1]!Data_BS[Thang.Nam],DTR!AG$5)</f>
        <v>0</v>
      </c>
      <c r="AH102" s="229">
        <f>SUMIFS([1]!Data_BS[Value],[1]!Data_BS[Index BS],DTR!$B102,[1]!Data_BS[TenCongTyID],DTR!$B$1,[1]!Data_BS[Thang.Nam],DTR!AH$5)</f>
        <v>0</v>
      </c>
      <c r="AI102" s="229">
        <f>SUMIFS([1]!Data_BS[Value],[1]!Data_BS[Index BS],DTR!$B102,[1]!Data_BS[TenCongTyID],DTR!$B$1,[1]!Data_BS[Thang.Nam],DTR!AI$5)</f>
        <v>0</v>
      </c>
      <c r="AJ102" s="229">
        <f>SUMIFS([1]!Data_BS[Value],[1]!Data_BS[Index BS],DTR!$B102,[1]!Data_BS[TenCongTyID],DTR!$B$1,[1]!Data_BS[Thang.Nam],DTR!AJ$5)</f>
        <v>0</v>
      </c>
      <c r="AK102" s="229">
        <f>SUMIFS([1]!Data_BS[Value],[1]!Data_BS[Index BS],DTR!$B102,[1]!Data_BS[TenCongTyID],DTR!$B$1,[1]!Data_BS[Thang.Nam],DTR!AK$5)</f>
        <v>0</v>
      </c>
      <c r="AL102" s="229">
        <f>SUMIFS([1]!Data_BS[Value],[1]!Data_BS[Index BS],DTR!$B102,[1]!Data_BS[TenCongTyID],DTR!$B$1,[1]!Data_BS[Thang.Nam],DTR!AL$5)</f>
        <v>0</v>
      </c>
    </row>
    <row r="103" spans="1:38" ht="15" hidden="1" customHeight="1" outlineLevel="1">
      <c r="A103" s="67" t="s">
        <v>187</v>
      </c>
      <c r="B103" s="63">
        <v>98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Z103" s="229">
        <v>0</v>
      </c>
      <c r="AA103" s="229">
        <f>SUMIFS([1]!Data_BS[Value],[1]!Data_BS[Index BS],DTR!$B103,[1]!Data_BS[TenCongTyID],DTR!$B$1,[1]!Data_BS[Thang.Nam],DTR!AA$5)</f>
        <v>0</v>
      </c>
      <c r="AB103" s="229">
        <f>SUMIFS([1]!Data_BS[Value],[1]!Data_BS[Index BS],DTR!$B103,[1]!Data_BS[TenCongTyID],DTR!$B$1,[1]!Data_BS[Thang.Nam],DTR!AB$5)</f>
        <v>0</v>
      </c>
      <c r="AC103" s="229">
        <f>SUMIFS([1]!Data_BS[Value],[1]!Data_BS[Index BS],DTR!$B103,[1]!Data_BS[TenCongTyID],DTR!$B$1,[1]!Data_BS[Thang.Nam],DTR!AC$5)</f>
        <v>0</v>
      </c>
      <c r="AD103" s="229">
        <f>SUMIFS([1]!Data_BS[Value],[1]!Data_BS[Index BS],DTR!$B103,[1]!Data_BS[TenCongTyID],DTR!$B$1,[1]!Data_BS[Thang.Nam],DTR!AD$5)</f>
        <v>0</v>
      </c>
      <c r="AE103" s="229">
        <f>SUMIFS([1]!Data_BS[Value],[1]!Data_BS[Index BS],DTR!$B103,[1]!Data_BS[TenCongTyID],DTR!$B$1,[1]!Data_BS[Thang.Nam],DTR!AE$5)</f>
        <v>0</v>
      </c>
      <c r="AF103" s="229">
        <f>SUMIFS([1]!Data_BS[Value],[1]!Data_BS[Index BS],DTR!$B103,[1]!Data_BS[TenCongTyID],DTR!$B$1,[1]!Data_BS[Thang.Nam],DTR!AF$5)</f>
        <v>0</v>
      </c>
      <c r="AG103" s="229">
        <f>SUMIFS([1]!Data_BS[Value],[1]!Data_BS[Index BS],DTR!$B103,[1]!Data_BS[TenCongTyID],DTR!$B$1,[1]!Data_BS[Thang.Nam],DTR!AG$5)</f>
        <v>0</v>
      </c>
      <c r="AH103" s="229">
        <f>SUMIFS([1]!Data_BS[Value],[1]!Data_BS[Index BS],DTR!$B103,[1]!Data_BS[TenCongTyID],DTR!$B$1,[1]!Data_BS[Thang.Nam],DTR!AH$5)</f>
        <v>0</v>
      </c>
      <c r="AI103" s="229">
        <f>SUMIFS([1]!Data_BS[Value],[1]!Data_BS[Index BS],DTR!$B103,[1]!Data_BS[TenCongTyID],DTR!$B$1,[1]!Data_BS[Thang.Nam],DTR!AI$5)</f>
        <v>0</v>
      </c>
      <c r="AJ103" s="229">
        <f>SUMIFS([1]!Data_BS[Value],[1]!Data_BS[Index BS],DTR!$B103,[1]!Data_BS[TenCongTyID],DTR!$B$1,[1]!Data_BS[Thang.Nam],DTR!AJ$5)</f>
        <v>0</v>
      </c>
      <c r="AK103" s="229">
        <f>SUMIFS([1]!Data_BS[Value],[1]!Data_BS[Index BS],DTR!$B103,[1]!Data_BS[TenCongTyID],DTR!$B$1,[1]!Data_BS[Thang.Nam],DTR!AK$5)</f>
        <v>0</v>
      </c>
      <c r="AL103" s="229">
        <f>SUMIFS([1]!Data_BS[Value],[1]!Data_BS[Index BS],DTR!$B103,[1]!Data_BS[TenCongTyID],DTR!$B$1,[1]!Data_BS[Thang.Nam],DTR!AL$5)</f>
        <v>0</v>
      </c>
    </row>
    <row r="104" spans="1:38" ht="15" hidden="1" customHeight="1" outlineLevel="1">
      <c r="A104" s="67" t="s">
        <v>188</v>
      </c>
      <c r="B104" s="63">
        <v>99</v>
      </c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>
        <v>0</v>
      </c>
      <c r="AA104" s="229">
        <f>SUMIFS([1]!Data_BS[Value],[1]!Data_BS[Index BS],DTR!$B104,[1]!Data_BS[TenCongTyID],DTR!$B$1,[1]!Data_BS[Thang.Nam],DTR!AA$5)</f>
        <v>0</v>
      </c>
      <c r="AB104" s="229">
        <f>SUMIFS([1]!Data_BS[Value],[1]!Data_BS[Index BS],DTR!$B104,[1]!Data_BS[TenCongTyID],DTR!$B$1,[1]!Data_BS[Thang.Nam],DTR!AB$5)</f>
        <v>0</v>
      </c>
      <c r="AC104" s="229">
        <f>SUMIFS([1]!Data_BS[Value],[1]!Data_BS[Index BS],DTR!$B104,[1]!Data_BS[TenCongTyID],DTR!$B$1,[1]!Data_BS[Thang.Nam],DTR!AC$5)</f>
        <v>0</v>
      </c>
      <c r="AD104" s="229">
        <f>SUMIFS([1]!Data_BS[Value],[1]!Data_BS[Index BS],DTR!$B104,[1]!Data_BS[TenCongTyID],DTR!$B$1,[1]!Data_BS[Thang.Nam],DTR!AD$5)</f>
        <v>0</v>
      </c>
      <c r="AE104" s="229">
        <f>SUMIFS([1]!Data_BS[Value],[1]!Data_BS[Index BS],DTR!$B104,[1]!Data_BS[TenCongTyID],DTR!$B$1,[1]!Data_BS[Thang.Nam],DTR!AE$5)</f>
        <v>0</v>
      </c>
      <c r="AF104" s="229">
        <f>SUMIFS([1]!Data_BS[Value],[1]!Data_BS[Index BS],DTR!$B104,[1]!Data_BS[TenCongTyID],DTR!$B$1,[1]!Data_BS[Thang.Nam],DTR!AF$5)</f>
        <v>0</v>
      </c>
      <c r="AG104" s="229">
        <f>SUMIFS([1]!Data_BS[Value],[1]!Data_BS[Index BS],DTR!$B104,[1]!Data_BS[TenCongTyID],DTR!$B$1,[1]!Data_BS[Thang.Nam],DTR!AG$5)</f>
        <v>0</v>
      </c>
      <c r="AH104" s="229">
        <f>SUMIFS([1]!Data_BS[Value],[1]!Data_BS[Index BS],DTR!$B104,[1]!Data_BS[TenCongTyID],DTR!$B$1,[1]!Data_BS[Thang.Nam],DTR!AH$5)</f>
        <v>0</v>
      </c>
      <c r="AI104" s="229">
        <f>SUMIFS([1]!Data_BS[Value],[1]!Data_BS[Index BS],DTR!$B104,[1]!Data_BS[TenCongTyID],DTR!$B$1,[1]!Data_BS[Thang.Nam],DTR!AI$5)</f>
        <v>0</v>
      </c>
      <c r="AJ104" s="229">
        <f>SUMIFS([1]!Data_BS[Value],[1]!Data_BS[Index BS],DTR!$B104,[1]!Data_BS[TenCongTyID],DTR!$B$1,[1]!Data_BS[Thang.Nam],DTR!AJ$5)</f>
        <v>0</v>
      </c>
      <c r="AK104" s="229">
        <f>SUMIFS([1]!Data_BS[Value],[1]!Data_BS[Index BS],DTR!$B104,[1]!Data_BS[TenCongTyID],DTR!$B$1,[1]!Data_BS[Thang.Nam],DTR!AK$5)</f>
        <v>0</v>
      </c>
      <c r="AL104" s="229">
        <f>SUMIFS([1]!Data_BS[Value],[1]!Data_BS[Index BS],DTR!$B104,[1]!Data_BS[TenCongTyID],DTR!$B$1,[1]!Data_BS[Thang.Nam],DTR!AL$5)</f>
        <v>0</v>
      </c>
    </row>
    <row r="105" spans="1:38" ht="15" hidden="1" customHeight="1" outlineLevel="1">
      <c r="A105" s="67" t="s">
        <v>189</v>
      </c>
      <c r="B105" s="63">
        <v>100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Z105" s="229">
        <v>0</v>
      </c>
      <c r="AA105" s="229">
        <f>SUMIFS([1]!Data_BS[Value],[1]!Data_BS[Index BS],DTR!$B105,[1]!Data_BS[TenCongTyID],DTR!$B$1,[1]!Data_BS[Thang.Nam],DTR!AA$5)</f>
        <v>0</v>
      </c>
      <c r="AB105" s="229">
        <f>SUMIFS([1]!Data_BS[Value],[1]!Data_BS[Index BS],DTR!$B105,[1]!Data_BS[TenCongTyID],DTR!$B$1,[1]!Data_BS[Thang.Nam],DTR!AB$5)</f>
        <v>0</v>
      </c>
      <c r="AC105" s="229">
        <f>SUMIFS([1]!Data_BS[Value],[1]!Data_BS[Index BS],DTR!$B105,[1]!Data_BS[TenCongTyID],DTR!$B$1,[1]!Data_BS[Thang.Nam],DTR!AC$5)</f>
        <v>0</v>
      </c>
      <c r="AD105" s="229">
        <f>SUMIFS([1]!Data_BS[Value],[1]!Data_BS[Index BS],DTR!$B105,[1]!Data_BS[TenCongTyID],DTR!$B$1,[1]!Data_BS[Thang.Nam],DTR!AD$5)</f>
        <v>0</v>
      </c>
      <c r="AE105" s="229">
        <f>SUMIFS([1]!Data_BS[Value],[1]!Data_BS[Index BS],DTR!$B105,[1]!Data_BS[TenCongTyID],DTR!$B$1,[1]!Data_BS[Thang.Nam],DTR!AE$5)</f>
        <v>0</v>
      </c>
      <c r="AF105" s="229">
        <f>SUMIFS([1]!Data_BS[Value],[1]!Data_BS[Index BS],DTR!$B105,[1]!Data_BS[TenCongTyID],DTR!$B$1,[1]!Data_BS[Thang.Nam],DTR!AF$5)</f>
        <v>0</v>
      </c>
      <c r="AG105" s="229">
        <f>SUMIFS([1]!Data_BS[Value],[1]!Data_BS[Index BS],DTR!$B105,[1]!Data_BS[TenCongTyID],DTR!$B$1,[1]!Data_BS[Thang.Nam],DTR!AG$5)</f>
        <v>0</v>
      </c>
      <c r="AH105" s="229">
        <f>SUMIFS([1]!Data_BS[Value],[1]!Data_BS[Index BS],DTR!$B105,[1]!Data_BS[TenCongTyID],DTR!$B$1,[1]!Data_BS[Thang.Nam],DTR!AH$5)</f>
        <v>0</v>
      </c>
      <c r="AI105" s="229">
        <f>SUMIFS([1]!Data_BS[Value],[1]!Data_BS[Index BS],DTR!$B105,[1]!Data_BS[TenCongTyID],DTR!$B$1,[1]!Data_BS[Thang.Nam],DTR!AI$5)</f>
        <v>0</v>
      </c>
      <c r="AJ105" s="229">
        <f>SUMIFS([1]!Data_BS[Value],[1]!Data_BS[Index BS],DTR!$B105,[1]!Data_BS[TenCongTyID],DTR!$B$1,[1]!Data_BS[Thang.Nam],DTR!AJ$5)</f>
        <v>0</v>
      </c>
      <c r="AK105" s="229">
        <f>SUMIFS([1]!Data_BS[Value],[1]!Data_BS[Index BS],DTR!$B105,[1]!Data_BS[TenCongTyID],DTR!$B$1,[1]!Data_BS[Thang.Nam],DTR!AK$5)</f>
        <v>0</v>
      </c>
      <c r="AL105" s="229">
        <f>SUMIFS([1]!Data_BS[Value],[1]!Data_BS[Index BS],DTR!$B105,[1]!Data_BS[TenCongTyID],DTR!$B$1,[1]!Data_BS[Thang.Nam],DTR!AL$5)</f>
        <v>0</v>
      </c>
    </row>
    <row r="106" spans="1:38" ht="15" hidden="1" customHeight="1" outlineLevel="1">
      <c r="A106" s="67" t="s">
        <v>190</v>
      </c>
      <c r="B106" s="63">
        <v>101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Z106" s="229">
        <v>0</v>
      </c>
      <c r="AA106" s="229">
        <f>SUMIFS([1]!Data_BS[Value],[1]!Data_BS[Index BS],DTR!$B106,[1]!Data_BS[TenCongTyID],DTR!$B$1,[1]!Data_BS[Thang.Nam],DTR!AA$5)</f>
        <v>0</v>
      </c>
      <c r="AB106" s="229">
        <f>SUMIFS([1]!Data_BS[Value],[1]!Data_BS[Index BS],DTR!$B106,[1]!Data_BS[TenCongTyID],DTR!$B$1,[1]!Data_BS[Thang.Nam],DTR!AB$5)</f>
        <v>0</v>
      </c>
      <c r="AC106" s="229">
        <f>SUMIFS([1]!Data_BS[Value],[1]!Data_BS[Index BS],DTR!$B106,[1]!Data_BS[TenCongTyID],DTR!$B$1,[1]!Data_BS[Thang.Nam],DTR!AC$5)</f>
        <v>0</v>
      </c>
      <c r="AD106" s="229">
        <f>SUMIFS([1]!Data_BS[Value],[1]!Data_BS[Index BS],DTR!$B106,[1]!Data_BS[TenCongTyID],DTR!$B$1,[1]!Data_BS[Thang.Nam],DTR!AD$5)</f>
        <v>0</v>
      </c>
      <c r="AE106" s="229">
        <f>SUMIFS([1]!Data_BS[Value],[1]!Data_BS[Index BS],DTR!$B106,[1]!Data_BS[TenCongTyID],DTR!$B$1,[1]!Data_BS[Thang.Nam],DTR!AE$5)</f>
        <v>0</v>
      </c>
      <c r="AF106" s="229">
        <f>SUMIFS([1]!Data_BS[Value],[1]!Data_BS[Index BS],DTR!$B106,[1]!Data_BS[TenCongTyID],DTR!$B$1,[1]!Data_BS[Thang.Nam],DTR!AF$5)</f>
        <v>0</v>
      </c>
      <c r="AG106" s="229">
        <f>SUMIFS([1]!Data_BS[Value],[1]!Data_BS[Index BS],DTR!$B106,[1]!Data_BS[TenCongTyID],DTR!$B$1,[1]!Data_BS[Thang.Nam],DTR!AG$5)</f>
        <v>0</v>
      </c>
      <c r="AH106" s="229">
        <f>SUMIFS([1]!Data_BS[Value],[1]!Data_BS[Index BS],DTR!$B106,[1]!Data_BS[TenCongTyID],DTR!$B$1,[1]!Data_BS[Thang.Nam],DTR!AH$5)</f>
        <v>0</v>
      </c>
      <c r="AI106" s="229">
        <f>SUMIFS([1]!Data_BS[Value],[1]!Data_BS[Index BS],DTR!$B106,[1]!Data_BS[TenCongTyID],DTR!$B$1,[1]!Data_BS[Thang.Nam],DTR!AI$5)</f>
        <v>0</v>
      </c>
      <c r="AJ106" s="229">
        <f>SUMIFS([1]!Data_BS[Value],[1]!Data_BS[Index BS],DTR!$B106,[1]!Data_BS[TenCongTyID],DTR!$B$1,[1]!Data_BS[Thang.Nam],DTR!AJ$5)</f>
        <v>0</v>
      </c>
      <c r="AK106" s="229">
        <f>SUMIFS([1]!Data_BS[Value],[1]!Data_BS[Index BS],DTR!$B106,[1]!Data_BS[TenCongTyID],DTR!$B$1,[1]!Data_BS[Thang.Nam],DTR!AK$5)</f>
        <v>0</v>
      </c>
      <c r="AL106" s="229">
        <f>SUMIFS([1]!Data_BS[Value],[1]!Data_BS[Index BS],DTR!$B106,[1]!Data_BS[TenCongTyID],DTR!$B$1,[1]!Data_BS[Thang.Nam],DTR!AL$5)</f>
        <v>0</v>
      </c>
    </row>
    <row r="107" spans="1:38" ht="15" hidden="1" customHeight="1" outlineLevel="1">
      <c r="A107" s="67" t="s">
        <v>191</v>
      </c>
      <c r="B107" s="63">
        <v>102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Z107" s="229">
        <v>0</v>
      </c>
      <c r="AA107" s="229">
        <f>SUMIFS([1]!Data_BS[Value],[1]!Data_BS[Index BS],DTR!$B107,[1]!Data_BS[TenCongTyID],DTR!$B$1,[1]!Data_BS[Thang.Nam],DTR!AA$5)</f>
        <v>0</v>
      </c>
      <c r="AB107" s="229">
        <f>SUMIFS([1]!Data_BS[Value],[1]!Data_BS[Index BS],DTR!$B107,[1]!Data_BS[TenCongTyID],DTR!$B$1,[1]!Data_BS[Thang.Nam],DTR!AB$5)</f>
        <v>0</v>
      </c>
      <c r="AC107" s="229">
        <f>SUMIFS([1]!Data_BS[Value],[1]!Data_BS[Index BS],DTR!$B107,[1]!Data_BS[TenCongTyID],DTR!$B$1,[1]!Data_BS[Thang.Nam],DTR!AC$5)</f>
        <v>0</v>
      </c>
      <c r="AD107" s="229">
        <f>SUMIFS([1]!Data_BS[Value],[1]!Data_BS[Index BS],DTR!$B107,[1]!Data_BS[TenCongTyID],DTR!$B$1,[1]!Data_BS[Thang.Nam],DTR!AD$5)</f>
        <v>0</v>
      </c>
      <c r="AE107" s="229">
        <f>SUMIFS([1]!Data_BS[Value],[1]!Data_BS[Index BS],DTR!$B107,[1]!Data_BS[TenCongTyID],DTR!$B$1,[1]!Data_BS[Thang.Nam],DTR!AE$5)</f>
        <v>0</v>
      </c>
      <c r="AF107" s="229">
        <f>SUMIFS([1]!Data_BS[Value],[1]!Data_BS[Index BS],DTR!$B107,[1]!Data_BS[TenCongTyID],DTR!$B$1,[1]!Data_BS[Thang.Nam],DTR!AF$5)</f>
        <v>0</v>
      </c>
      <c r="AG107" s="229">
        <f>SUMIFS([1]!Data_BS[Value],[1]!Data_BS[Index BS],DTR!$B107,[1]!Data_BS[TenCongTyID],DTR!$B$1,[1]!Data_BS[Thang.Nam],DTR!AG$5)</f>
        <v>0</v>
      </c>
      <c r="AH107" s="229">
        <f>SUMIFS([1]!Data_BS[Value],[1]!Data_BS[Index BS],DTR!$B107,[1]!Data_BS[TenCongTyID],DTR!$B$1,[1]!Data_BS[Thang.Nam],DTR!AH$5)</f>
        <v>0</v>
      </c>
      <c r="AI107" s="229">
        <f>SUMIFS([1]!Data_BS[Value],[1]!Data_BS[Index BS],DTR!$B107,[1]!Data_BS[TenCongTyID],DTR!$B$1,[1]!Data_BS[Thang.Nam],DTR!AI$5)</f>
        <v>0</v>
      </c>
      <c r="AJ107" s="229">
        <f>SUMIFS([1]!Data_BS[Value],[1]!Data_BS[Index BS],DTR!$B107,[1]!Data_BS[TenCongTyID],DTR!$B$1,[1]!Data_BS[Thang.Nam],DTR!AJ$5)</f>
        <v>0</v>
      </c>
      <c r="AK107" s="229">
        <f>SUMIFS([1]!Data_BS[Value],[1]!Data_BS[Index BS],DTR!$B107,[1]!Data_BS[TenCongTyID],DTR!$B$1,[1]!Data_BS[Thang.Nam],DTR!AK$5)</f>
        <v>0</v>
      </c>
      <c r="AL107" s="229">
        <f>SUMIFS([1]!Data_BS[Value],[1]!Data_BS[Index BS],DTR!$B107,[1]!Data_BS[TenCongTyID],DTR!$B$1,[1]!Data_BS[Thang.Nam],DTR!AL$5)</f>
        <v>0</v>
      </c>
    </row>
    <row r="108" spans="1:38" ht="15" hidden="1" customHeight="1" outlineLevel="1">
      <c r="A108" s="67" t="s">
        <v>192</v>
      </c>
      <c r="B108" s="63">
        <v>103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Z108" s="229">
        <v>0</v>
      </c>
      <c r="AA108" s="229">
        <f>SUMIFS([1]!Data_BS[Value],[1]!Data_BS[Index BS],DTR!$B108,[1]!Data_BS[TenCongTyID],DTR!$B$1,[1]!Data_BS[Thang.Nam],DTR!AA$5)</f>
        <v>0</v>
      </c>
      <c r="AB108" s="229">
        <f>SUMIFS([1]!Data_BS[Value],[1]!Data_BS[Index BS],DTR!$B108,[1]!Data_BS[TenCongTyID],DTR!$B$1,[1]!Data_BS[Thang.Nam],DTR!AB$5)</f>
        <v>0</v>
      </c>
      <c r="AC108" s="229">
        <f>SUMIFS([1]!Data_BS[Value],[1]!Data_BS[Index BS],DTR!$B108,[1]!Data_BS[TenCongTyID],DTR!$B$1,[1]!Data_BS[Thang.Nam],DTR!AC$5)</f>
        <v>0</v>
      </c>
      <c r="AD108" s="229">
        <f>SUMIFS([1]!Data_BS[Value],[1]!Data_BS[Index BS],DTR!$B108,[1]!Data_BS[TenCongTyID],DTR!$B$1,[1]!Data_BS[Thang.Nam],DTR!AD$5)</f>
        <v>0</v>
      </c>
      <c r="AE108" s="229">
        <f>SUMIFS([1]!Data_BS[Value],[1]!Data_BS[Index BS],DTR!$B108,[1]!Data_BS[TenCongTyID],DTR!$B$1,[1]!Data_BS[Thang.Nam],DTR!AE$5)</f>
        <v>0</v>
      </c>
      <c r="AF108" s="229">
        <f>SUMIFS([1]!Data_BS[Value],[1]!Data_BS[Index BS],DTR!$B108,[1]!Data_BS[TenCongTyID],DTR!$B$1,[1]!Data_BS[Thang.Nam],DTR!AF$5)</f>
        <v>0</v>
      </c>
      <c r="AG108" s="229">
        <f>SUMIFS([1]!Data_BS[Value],[1]!Data_BS[Index BS],DTR!$B108,[1]!Data_BS[TenCongTyID],DTR!$B$1,[1]!Data_BS[Thang.Nam],DTR!AG$5)</f>
        <v>0</v>
      </c>
      <c r="AH108" s="229">
        <f>SUMIFS([1]!Data_BS[Value],[1]!Data_BS[Index BS],DTR!$B108,[1]!Data_BS[TenCongTyID],DTR!$B$1,[1]!Data_BS[Thang.Nam],DTR!AH$5)</f>
        <v>0</v>
      </c>
      <c r="AI108" s="229">
        <f>SUMIFS([1]!Data_BS[Value],[1]!Data_BS[Index BS],DTR!$B108,[1]!Data_BS[TenCongTyID],DTR!$B$1,[1]!Data_BS[Thang.Nam],DTR!AI$5)</f>
        <v>0</v>
      </c>
      <c r="AJ108" s="229">
        <f>SUMIFS([1]!Data_BS[Value],[1]!Data_BS[Index BS],DTR!$B108,[1]!Data_BS[TenCongTyID],DTR!$B$1,[1]!Data_BS[Thang.Nam],DTR!AJ$5)</f>
        <v>0</v>
      </c>
      <c r="AK108" s="229">
        <f>SUMIFS([1]!Data_BS[Value],[1]!Data_BS[Index BS],DTR!$B108,[1]!Data_BS[TenCongTyID],DTR!$B$1,[1]!Data_BS[Thang.Nam],DTR!AK$5)</f>
        <v>0</v>
      </c>
      <c r="AL108" s="229">
        <f>SUMIFS([1]!Data_BS[Value],[1]!Data_BS[Index BS],DTR!$B108,[1]!Data_BS[TenCongTyID],DTR!$B$1,[1]!Data_BS[Thang.Nam],DTR!AL$5)</f>
        <v>0</v>
      </c>
    </row>
    <row r="109" spans="1:38" ht="15" hidden="1" customHeight="1" outlineLevel="1">
      <c r="A109" s="67" t="s">
        <v>193</v>
      </c>
      <c r="B109" s="63">
        <v>104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30">
        <v>0</v>
      </c>
      <c r="P109" s="244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Z109" s="229">
        <v>0</v>
      </c>
      <c r="AA109" s="229">
        <f>SUMIFS([1]!Data_BS[Value],[1]!Data_BS[Index BS],DTR!$B109,[1]!Data_BS[TenCongTyID],DTR!$B$1,[1]!Data_BS[Thang.Nam],DTR!AA$5)</f>
        <v>0</v>
      </c>
      <c r="AB109" s="229">
        <f>SUMIFS([1]!Data_BS[Value],[1]!Data_BS[Index BS],DTR!$B109,[1]!Data_BS[TenCongTyID],DTR!$B$1,[1]!Data_BS[Thang.Nam],DTR!AB$5)</f>
        <v>0</v>
      </c>
      <c r="AC109" s="229">
        <f>SUMIFS([1]!Data_BS[Value],[1]!Data_BS[Index BS],DTR!$B109,[1]!Data_BS[TenCongTyID],DTR!$B$1,[1]!Data_BS[Thang.Nam],DTR!AC$5)</f>
        <v>0</v>
      </c>
      <c r="AD109" s="229">
        <f>SUMIFS([1]!Data_BS[Value],[1]!Data_BS[Index BS],DTR!$B109,[1]!Data_BS[TenCongTyID],DTR!$B$1,[1]!Data_BS[Thang.Nam],DTR!AD$5)</f>
        <v>0</v>
      </c>
      <c r="AE109" s="229">
        <f>SUMIFS([1]!Data_BS[Value],[1]!Data_BS[Index BS],DTR!$B109,[1]!Data_BS[TenCongTyID],DTR!$B$1,[1]!Data_BS[Thang.Nam],DTR!AE$5)</f>
        <v>0</v>
      </c>
      <c r="AF109" s="229">
        <f>SUMIFS([1]!Data_BS[Value],[1]!Data_BS[Index BS],DTR!$B109,[1]!Data_BS[TenCongTyID],DTR!$B$1,[1]!Data_BS[Thang.Nam],DTR!AF$5)</f>
        <v>0</v>
      </c>
      <c r="AG109" s="229">
        <f>SUMIFS([1]!Data_BS[Value],[1]!Data_BS[Index BS],DTR!$B109,[1]!Data_BS[TenCongTyID],DTR!$B$1,[1]!Data_BS[Thang.Nam],DTR!AG$5)</f>
        <v>0</v>
      </c>
      <c r="AH109" s="229">
        <f>SUMIFS([1]!Data_BS[Value],[1]!Data_BS[Index BS],DTR!$B109,[1]!Data_BS[TenCongTyID],DTR!$B$1,[1]!Data_BS[Thang.Nam],DTR!AH$5)</f>
        <v>0</v>
      </c>
      <c r="AI109" s="229">
        <f>SUMIFS([1]!Data_BS[Value],[1]!Data_BS[Index BS],DTR!$B109,[1]!Data_BS[TenCongTyID],DTR!$B$1,[1]!Data_BS[Thang.Nam],DTR!AI$5)</f>
        <v>0</v>
      </c>
      <c r="AJ109" s="229">
        <f>SUMIFS([1]!Data_BS[Value],[1]!Data_BS[Index BS],DTR!$B109,[1]!Data_BS[TenCongTyID],DTR!$B$1,[1]!Data_BS[Thang.Nam],DTR!AJ$5)</f>
        <v>0</v>
      </c>
      <c r="AK109" s="229">
        <f>SUMIFS([1]!Data_BS[Value],[1]!Data_BS[Index BS],DTR!$B109,[1]!Data_BS[TenCongTyID],DTR!$B$1,[1]!Data_BS[Thang.Nam],DTR!AK$5)</f>
        <v>0</v>
      </c>
      <c r="AL109" s="229">
        <f>SUMIFS([1]!Data_BS[Value],[1]!Data_BS[Index BS],DTR!$B109,[1]!Data_BS[TenCongTyID],DTR!$B$1,[1]!Data_BS[Thang.Nam],DTR!AL$5)</f>
        <v>0</v>
      </c>
    </row>
    <row r="110" spans="1:38" ht="15" hidden="1" customHeight="1" outlineLevel="1">
      <c r="A110" s="67" t="s">
        <v>194</v>
      </c>
      <c r="B110" s="63">
        <v>105</v>
      </c>
      <c r="C110" s="229">
        <v>77616411070</v>
      </c>
      <c r="D110" s="229">
        <v>77522351070</v>
      </c>
      <c r="E110" s="229">
        <v>77463351070</v>
      </c>
      <c r="F110" s="229">
        <v>77168157678</v>
      </c>
      <c r="G110" s="229">
        <v>75214867678</v>
      </c>
      <c r="H110" s="229">
        <v>76544035678</v>
      </c>
      <c r="I110" s="229">
        <v>76656842286</v>
      </c>
      <c r="J110" s="229">
        <v>75999782286</v>
      </c>
      <c r="K110" s="229">
        <v>76594782286</v>
      </c>
      <c r="L110" s="229">
        <v>76818588894</v>
      </c>
      <c r="M110" s="229">
        <v>103444528894</v>
      </c>
      <c r="N110" s="229">
        <v>82898404212</v>
      </c>
      <c r="O110" s="236">
        <v>108410341946</v>
      </c>
      <c r="P110" s="244">
        <v>104162504168</v>
      </c>
      <c r="Q110" s="229">
        <v>103325726390</v>
      </c>
      <c r="R110" s="229">
        <v>102252755220</v>
      </c>
      <c r="S110" s="229">
        <v>98004917442</v>
      </c>
      <c r="T110" s="229">
        <v>77121791394</v>
      </c>
      <c r="U110" s="229">
        <v>76048820224</v>
      </c>
      <c r="V110" s="229">
        <v>74463510446</v>
      </c>
      <c r="W110" s="229">
        <v>73626732668</v>
      </c>
      <c r="X110" s="229">
        <v>68573133942</v>
      </c>
      <c r="Y110" s="229">
        <v>69631372942</v>
      </c>
      <c r="Z110" s="229">
        <v>50382254354</v>
      </c>
      <c r="AA110" s="229">
        <f>SUMIFS([1]!Data_BS[Value],[1]!Data_BS[Index BS],DTR!$B110,[1]!Data_BS[TenCongTyID],DTR!$B$1,[1]!Data_BS[Thang.Nam],DTR!AA$5)</f>
        <v>0</v>
      </c>
      <c r="AB110" s="229">
        <f>SUMIFS([1]!Data_BS[Value],[1]!Data_BS[Index BS],DTR!$B110,[1]!Data_BS[TenCongTyID],DTR!$B$1,[1]!Data_BS[Thang.Nam],DTR!AB$5)</f>
        <v>0</v>
      </c>
      <c r="AC110" s="229">
        <f>SUMIFS([1]!Data_BS[Value],[1]!Data_BS[Index BS],DTR!$B110,[1]!Data_BS[TenCongTyID],DTR!$B$1,[1]!Data_BS[Thang.Nam],DTR!AC$5)</f>
        <v>0</v>
      </c>
      <c r="AD110" s="229">
        <f>SUMIFS([1]!Data_BS[Value],[1]!Data_BS[Index BS],DTR!$B110,[1]!Data_BS[TenCongTyID],DTR!$B$1,[1]!Data_BS[Thang.Nam],DTR!AD$5)</f>
        <v>0</v>
      </c>
      <c r="AE110" s="229">
        <f>SUMIFS([1]!Data_BS[Value],[1]!Data_BS[Index BS],DTR!$B110,[1]!Data_BS[TenCongTyID],DTR!$B$1,[1]!Data_BS[Thang.Nam],DTR!AE$5)</f>
        <v>0</v>
      </c>
      <c r="AF110" s="229">
        <f>SUMIFS([1]!Data_BS[Value],[1]!Data_BS[Index BS],DTR!$B110,[1]!Data_BS[TenCongTyID],DTR!$B$1,[1]!Data_BS[Thang.Nam],DTR!AF$5)</f>
        <v>0</v>
      </c>
      <c r="AG110" s="229">
        <f>SUMIFS([1]!Data_BS[Value],[1]!Data_BS[Index BS],DTR!$B110,[1]!Data_BS[TenCongTyID],DTR!$B$1,[1]!Data_BS[Thang.Nam],DTR!AG$5)</f>
        <v>0</v>
      </c>
      <c r="AH110" s="229">
        <f>SUMIFS([1]!Data_BS[Value],[1]!Data_BS[Index BS],DTR!$B110,[1]!Data_BS[TenCongTyID],DTR!$B$1,[1]!Data_BS[Thang.Nam],DTR!AH$5)</f>
        <v>0</v>
      </c>
      <c r="AI110" s="229">
        <f>SUMIFS([1]!Data_BS[Value],[1]!Data_BS[Index BS],DTR!$B110,[1]!Data_BS[TenCongTyID],DTR!$B$1,[1]!Data_BS[Thang.Nam],DTR!AI$5)</f>
        <v>0</v>
      </c>
      <c r="AJ110" s="229">
        <f>SUMIFS([1]!Data_BS[Value],[1]!Data_BS[Index BS],DTR!$B110,[1]!Data_BS[TenCongTyID],DTR!$B$1,[1]!Data_BS[Thang.Nam],DTR!AJ$5)</f>
        <v>0</v>
      </c>
      <c r="AK110" s="229">
        <f>SUMIFS([1]!Data_BS[Value],[1]!Data_BS[Index BS],DTR!$B110,[1]!Data_BS[TenCongTyID],DTR!$B$1,[1]!Data_BS[Thang.Nam],DTR!AK$5)</f>
        <v>0</v>
      </c>
      <c r="AL110" s="229">
        <f>SUMIFS([1]!Data_BS[Value],[1]!Data_BS[Index BS],DTR!$B110,[1]!Data_BS[TenCongTyID],DTR!$B$1,[1]!Data_BS[Thang.Nam],DTR!AL$5)</f>
        <v>0</v>
      </c>
    </row>
    <row r="111" spans="1:38" ht="15" hidden="1" customHeight="1" outlineLevel="1">
      <c r="A111" s="67" t="s">
        <v>195</v>
      </c>
      <c r="B111" s="63">
        <v>106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36">
        <v>0</v>
      </c>
      <c r="P111" s="244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Z111" s="229">
        <v>0</v>
      </c>
      <c r="AA111" s="229">
        <f>SUMIFS([1]!Data_BS[Value],[1]!Data_BS[Index BS],DTR!$B111,[1]!Data_BS[TenCongTyID],DTR!$B$1,[1]!Data_BS[Thang.Nam],DTR!AA$5)</f>
        <v>0</v>
      </c>
      <c r="AB111" s="229">
        <f>SUMIFS([1]!Data_BS[Value],[1]!Data_BS[Index BS],DTR!$B111,[1]!Data_BS[TenCongTyID],DTR!$B$1,[1]!Data_BS[Thang.Nam],DTR!AB$5)</f>
        <v>0</v>
      </c>
      <c r="AC111" s="229">
        <f>SUMIFS([1]!Data_BS[Value],[1]!Data_BS[Index BS],DTR!$B111,[1]!Data_BS[TenCongTyID],DTR!$B$1,[1]!Data_BS[Thang.Nam],DTR!AC$5)</f>
        <v>0</v>
      </c>
      <c r="AD111" s="229">
        <f>SUMIFS([1]!Data_BS[Value],[1]!Data_BS[Index BS],DTR!$B111,[1]!Data_BS[TenCongTyID],DTR!$B$1,[1]!Data_BS[Thang.Nam],DTR!AD$5)</f>
        <v>0</v>
      </c>
      <c r="AE111" s="229">
        <f>SUMIFS([1]!Data_BS[Value],[1]!Data_BS[Index BS],DTR!$B111,[1]!Data_BS[TenCongTyID],DTR!$B$1,[1]!Data_BS[Thang.Nam],DTR!AE$5)</f>
        <v>0</v>
      </c>
      <c r="AF111" s="229">
        <f>SUMIFS([1]!Data_BS[Value],[1]!Data_BS[Index BS],DTR!$B111,[1]!Data_BS[TenCongTyID],DTR!$B$1,[1]!Data_BS[Thang.Nam],DTR!AF$5)</f>
        <v>0</v>
      </c>
      <c r="AG111" s="229">
        <f>SUMIFS([1]!Data_BS[Value],[1]!Data_BS[Index BS],DTR!$B111,[1]!Data_BS[TenCongTyID],DTR!$B$1,[1]!Data_BS[Thang.Nam],DTR!AG$5)</f>
        <v>0</v>
      </c>
      <c r="AH111" s="229">
        <f>SUMIFS([1]!Data_BS[Value],[1]!Data_BS[Index BS],DTR!$B111,[1]!Data_BS[TenCongTyID],DTR!$B$1,[1]!Data_BS[Thang.Nam],DTR!AH$5)</f>
        <v>0</v>
      </c>
      <c r="AI111" s="229">
        <f>SUMIFS([1]!Data_BS[Value],[1]!Data_BS[Index BS],DTR!$B111,[1]!Data_BS[TenCongTyID],DTR!$B$1,[1]!Data_BS[Thang.Nam],DTR!AI$5)</f>
        <v>0</v>
      </c>
      <c r="AJ111" s="229">
        <f>SUMIFS([1]!Data_BS[Value],[1]!Data_BS[Index BS],DTR!$B111,[1]!Data_BS[TenCongTyID],DTR!$B$1,[1]!Data_BS[Thang.Nam],DTR!AJ$5)</f>
        <v>0</v>
      </c>
      <c r="AK111" s="229">
        <f>SUMIFS([1]!Data_BS[Value],[1]!Data_BS[Index BS],DTR!$B111,[1]!Data_BS[TenCongTyID],DTR!$B$1,[1]!Data_BS[Thang.Nam],DTR!AK$5)</f>
        <v>0</v>
      </c>
      <c r="AL111" s="229">
        <f>SUMIFS([1]!Data_BS[Value],[1]!Data_BS[Index BS],DTR!$B111,[1]!Data_BS[TenCongTyID],DTR!$B$1,[1]!Data_BS[Thang.Nam],DTR!AL$5)</f>
        <v>0</v>
      </c>
    </row>
    <row r="112" spans="1:38" ht="15" hidden="1" customHeight="1" outlineLevel="1">
      <c r="A112" s="67" t="s">
        <v>196</v>
      </c>
      <c r="B112" s="63">
        <v>107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36">
        <v>0</v>
      </c>
      <c r="P112" s="244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Z112" s="229">
        <v>0</v>
      </c>
      <c r="AA112" s="229">
        <f>SUMIFS([1]!Data_BS[Value],[1]!Data_BS[Index BS],DTR!$B112,[1]!Data_BS[TenCongTyID],DTR!$B$1,[1]!Data_BS[Thang.Nam],DTR!AA$5)</f>
        <v>0</v>
      </c>
      <c r="AB112" s="229">
        <f>SUMIFS([1]!Data_BS[Value],[1]!Data_BS[Index BS],DTR!$B112,[1]!Data_BS[TenCongTyID],DTR!$B$1,[1]!Data_BS[Thang.Nam],DTR!AB$5)</f>
        <v>0</v>
      </c>
      <c r="AC112" s="229">
        <f>SUMIFS([1]!Data_BS[Value],[1]!Data_BS[Index BS],DTR!$B112,[1]!Data_BS[TenCongTyID],DTR!$B$1,[1]!Data_BS[Thang.Nam],DTR!AC$5)</f>
        <v>0</v>
      </c>
      <c r="AD112" s="229">
        <f>SUMIFS([1]!Data_BS[Value],[1]!Data_BS[Index BS],DTR!$B112,[1]!Data_BS[TenCongTyID],DTR!$B$1,[1]!Data_BS[Thang.Nam],DTR!AD$5)</f>
        <v>0</v>
      </c>
      <c r="AE112" s="229">
        <f>SUMIFS([1]!Data_BS[Value],[1]!Data_BS[Index BS],DTR!$B112,[1]!Data_BS[TenCongTyID],DTR!$B$1,[1]!Data_BS[Thang.Nam],DTR!AE$5)</f>
        <v>0</v>
      </c>
      <c r="AF112" s="229">
        <f>SUMIFS([1]!Data_BS[Value],[1]!Data_BS[Index BS],DTR!$B112,[1]!Data_BS[TenCongTyID],DTR!$B$1,[1]!Data_BS[Thang.Nam],DTR!AF$5)</f>
        <v>0</v>
      </c>
      <c r="AG112" s="229">
        <f>SUMIFS([1]!Data_BS[Value],[1]!Data_BS[Index BS],DTR!$B112,[1]!Data_BS[TenCongTyID],DTR!$B$1,[1]!Data_BS[Thang.Nam],DTR!AG$5)</f>
        <v>0</v>
      </c>
      <c r="AH112" s="229">
        <f>SUMIFS([1]!Data_BS[Value],[1]!Data_BS[Index BS],DTR!$B112,[1]!Data_BS[TenCongTyID],DTR!$B$1,[1]!Data_BS[Thang.Nam],DTR!AH$5)</f>
        <v>0</v>
      </c>
      <c r="AI112" s="229">
        <f>SUMIFS([1]!Data_BS[Value],[1]!Data_BS[Index BS],DTR!$B112,[1]!Data_BS[TenCongTyID],DTR!$B$1,[1]!Data_BS[Thang.Nam],DTR!AI$5)</f>
        <v>0</v>
      </c>
      <c r="AJ112" s="229">
        <f>SUMIFS([1]!Data_BS[Value],[1]!Data_BS[Index BS],DTR!$B112,[1]!Data_BS[TenCongTyID],DTR!$B$1,[1]!Data_BS[Thang.Nam],DTR!AJ$5)</f>
        <v>0</v>
      </c>
      <c r="AK112" s="229">
        <f>SUMIFS([1]!Data_BS[Value],[1]!Data_BS[Index BS],DTR!$B112,[1]!Data_BS[TenCongTyID],DTR!$B$1,[1]!Data_BS[Thang.Nam],DTR!AK$5)</f>
        <v>0</v>
      </c>
      <c r="AL112" s="229">
        <f>SUMIFS([1]!Data_BS[Value],[1]!Data_BS[Index BS],DTR!$B112,[1]!Data_BS[TenCongTyID],DTR!$B$1,[1]!Data_BS[Thang.Nam],DTR!AL$5)</f>
        <v>0</v>
      </c>
    </row>
    <row r="113" spans="1:38" ht="15" hidden="1" customHeight="1" outlineLevel="1">
      <c r="A113" s="67" t="s">
        <v>197</v>
      </c>
      <c r="B113" s="63">
        <v>108</v>
      </c>
      <c r="C113" s="229">
        <v>0</v>
      </c>
      <c r="D113" s="229">
        <v>0</v>
      </c>
      <c r="E113" s="229">
        <v>0</v>
      </c>
      <c r="F113" s="229">
        <v>0</v>
      </c>
      <c r="G113" s="229">
        <v>0</v>
      </c>
      <c r="H113" s="229">
        <v>0</v>
      </c>
      <c r="I113" s="229">
        <v>0</v>
      </c>
      <c r="J113" s="229">
        <v>0</v>
      </c>
      <c r="K113" s="229">
        <v>0</v>
      </c>
      <c r="L113" s="229">
        <v>0</v>
      </c>
      <c r="M113" s="229">
        <v>0</v>
      </c>
      <c r="N113" s="229">
        <v>1838941310</v>
      </c>
      <c r="O113" s="236">
        <v>0</v>
      </c>
      <c r="P113" s="244">
        <v>0</v>
      </c>
      <c r="Q113" s="229">
        <v>0</v>
      </c>
      <c r="R113" s="229">
        <v>0</v>
      </c>
      <c r="S113" s="229">
        <v>0</v>
      </c>
      <c r="T113" s="229">
        <v>0</v>
      </c>
      <c r="U113" s="229">
        <v>0</v>
      </c>
      <c r="V113" s="229">
        <v>0</v>
      </c>
      <c r="W113" s="229">
        <v>0</v>
      </c>
      <c r="X113" s="229">
        <v>0</v>
      </c>
      <c r="Y113" s="229">
        <v>0</v>
      </c>
      <c r="Z113" s="229">
        <v>0</v>
      </c>
      <c r="AA113" s="229">
        <f>SUMIFS([1]!Data_BS[Value],[1]!Data_BS[Index BS],DTR!$B113,[1]!Data_BS[TenCongTyID],DTR!$B$1,[1]!Data_BS[Thang.Nam],DTR!AA$5)</f>
        <v>0</v>
      </c>
      <c r="AB113" s="229">
        <f>SUMIFS([1]!Data_BS[Value],[1]!Data_BS[Index BS],DTR!$B113,[1]!Data_BS[TenCongTyID],DTR!$B$1,[1]!Data_BS[Thang.Nam],DTR!AB$5)</f>
        <v>0</v>
      </c>
      <c r="AC113" s="229">
        <f>SUMIFS([1]!Data_BS[Value],[1]!Data_BS[Index BS],DTR!$B113,[1]!Data_BS[TenCongTyID],DTR!$B$1,[1]!Data_BS[Thang.Nam],DTR!AC$5)</f>
        <v>0</v>
      </c>
      <c r="AD113" s="229">
        <f>SUMIFS([1]!Data_BS[Value],[1]!Data_BS[Index BS],DTR!$B113,[1]!Data_BS[TenCongTyID],DTR!$B$1,[1]!Data_BS[Thang.Nam],DTR!AD$5)</f>
        <v>0</v>
      </c>
      <c r="AE113" s="229">
        <f>SUMIFS([1]!Data_BS[Value],[1]!Data_BS[Index BS],DTR!$B113,[1]!Data_BS[TenCongTyID],DTR!$B$1,[1]!Data_BS[Thang.Nam],DTR!AE$5)</f>
        <v>0</v>
      </c>
      <c r="AF113" s="229">
        <f>SUMIFS([1]!Data_BS[Value],[1]!Data_BS[Index BS],DTR!$B113,[1]!Data_BS[TenCongTyID],DTR!$B$1,[1]!Data_BS[Thang.Nam],DTR!AF$5)</f>
        <v>0</v>
      </c>
      <c r="AG113" s="229">
        <f>SUMIFS([1]!Data_BS[Value],[1]!Data_BS[Index BS],DTR!$B113,[1]!Data_BS[TenCongTyID],DTR!$B$1,[1]!Data_BS[Thang.Nam],DTR!AG$5)</f>
        <v>0</v>
      </c>
      <c r="AH113" s="229">
        <f>SUMIFS([1]!Data_BS[Value],[1]!Data_BS[Index BS],DTR!$B113,[1]!Data_BS[TenCongTyID],DTR!$B$1,[1]!Data_BS[Thang.Nam],DTR!AH$5)</f>
        <v>0</v>
      </c>
      <c r="AI113" s="229">
        <f>SUMIFS([1]!Data_BS[Value],[1]!Data_BS[Index BS],DTR!$B113,[1]!Data_BS[TenCongTyID],DTR!$B$1,[1]!Data_BS[Thang.Nam],DTR!AI$5)</f>
        <v>0</v>
      </c>
      <c r="AJ113" s="229">
        <f>SUMIFS([1]!Data_BS[Value],[1]!Data_BS[Index BS],DTR!$B113,[1]!Data_BS[TenCongTyID],DTR!$B$1,[1]!Data_BS[Thang.Nam],DTR!AJ$5)</f>
        <v>0</v>
      </c>
      <c r="AK113" s="229">
        <f>SUMIFS([1]!Data_BS[Value],[1]!Data_BS[Index BS],DTR!$B113,[1]!Data_BS[TenCongTyID],DTR!$B$1,[1]!Data_BS[Thang.Nam],DTR!AK$5)</f>
        <v>0</v>
      </c>
      <c r="AL113" s="229">
        <f>SUMIFS([1]!Data_BS[Value],[1]!Data_BS[Index BS],DTR!$B113,[1]!Data_BS[TenCongTyID],DTR!$B$1,[1]!Data_BS[Thang.Nam],DTR!AL$5)</f>
        <v>0</v>
      </c>
    </row>
    <row r="114" spans="1:38" ht="15" hidden="1" customHeight="1" outlineLevel="1">
      <c r="A114" s="67" t="s">
        <v>198</v>
      </c>
      <c r="B114" s="63">
        <v>109</v>
      </c>
      <c r="C114" s="229">
        <v>0</v>
      </c>
      <c r="D114" s="229">
        <v>0</v>
      </c>
      <c r="E114" s="229">
        <v>0</v>
      </c>
      <c r="F114" s="229">
        <v>0</v>
      </c>
      <c r="G114" s="229">
        <v>0</v>
      </c>
      <c r="H114" s="229">
        <v>0</v>
      </c>
      <c r="I114" s="229">
        <v>0</v>
      </c>
      <c r="J114" s="229">
        <v>0</v>
      </c>
      <c r="K114" s="229">
        <v>0</v>
      </c>
      <c r="L114" s="229">
        <v>0</v>
      </c>
      <c r="M114" s="229">
        <v>0</v>
      </c>
      <c r="N114" s="229">
        <v>0</v>
      </c>
      <c r="O114" s="236">
        <v>0</v>
      </c>
      <c r="P114" s="244">
        <v>0</v>
      </c>
      <c r="Q114" s="229">
        <v>0</v>
      </c>
      <c r="R114" s="229">
        <v>0</v>
      </c>
      <c r="S114" s="229">
        <v>0</v>
      </c>
      <c r="T114" s="229">
        <v>0</v>
      </c>
      <c r="U114" s="229">
        <v>0</v>
      </c>
      <c r="V114" s="229">
        <v>0</v>
      </c>
      <c r="W114" s="229">
        <v>0</v>
      </c>
      <c r="X114" s="229">
        <v>0</v>
      </c>
      <c r="Y114" s="229">
        <v>0</v>
      </c>
      <c r="Z114" s="229">
        <v>0</v>
      </c>
      <c r="AA114" s="229">
        <f>SUMIFS([1]!Data_BS[Value],[1]!Data_BS[Index BS],DTR!$B114,[1]!Data_BS[TenCongTyID],DTR!$B$1,[1]!Data_BS[Thang.Nam],DTR!AA$5)</f>
        <v>0</v>
      </c>
      <c r="AB114" s="229">
        <f>SUMIFS([1]!Data_BS[Value],[1]!Data_BS[Index BS],DTR!$B114,[1]!Data_BS[TenCongTyID],DTR!$B$1,[1]!Data_BS[Thang.Nam],DTR!AB$5)</f>
        <v>0</v>
      </c>
      <c r="AC114" s="229">
        <f>SUMIFS([1]!Data_BS[Value],[1]!Data_BS[Index BS],DTR!$B114,[1]!Data_BS[TenCongTyID],DTR!$B$1,[1]!Data_BS[Thang.Nam],DTR!AC$5)</f>
        <v>0</v>
      </c>
      <c r="AD114" s="229">
        <f>SUMIFS([1]!Data_BS[Value],[1]!Data_BS[Index BS],DTR!$B114,[1]!Data_BS[TenCongTyID],DTR!$B$1,[1]!Data_BS[Thang.Nam],DTR!AD$5)</f>
        <v>0</v>
      </c>
      <c r="AE114" s="229">
        <f>SUMIFS([1]!Data_BS[Value],[1]!Data_BS[Index BS],DTR!$B114,[1]!Data_BS[TenCongTyID],DTR!$B$1,[1]!Data_BS[Thang.Nam],DTR!AE$5)</f>
        <v>0</v>
      </c>
      <c r="AF114" s="229">
        <f>SUMIFS([1]!Data_BS[Value],[1]!Data_BS[Index BS],DTR!$B114,[1]!Data_BS[TenCongTyID],DTR!$B$1,[1]!Data_BS[Thang.Nam],DTR!AF$5)</f>
        <v>0</v>
      </c>
      <c r="AG114" s="229">
        <f>SUMIFS([1]!Data_BS[Value],[1]!Data_BS[Index BS],DTR!$B114,[1]!Data_BS[TenCongTyID],DTR!$B$1,[1]!Data_BS[Thang.Nam],DTR!AG$5)</f>
        <v>0</v>
      </c>
      <c r="AH114" s="229">
        <f>SUMIFS([1]!Data_BS[Value],[1]!Data_BS[Index BS],DTR!$B114,[1]!Data_BS[TenCongTyID],DTR!$B$1,[1]!Data_BS[Thang.Nam],DTR!AH$5)</f>
        <v>0</v>
      </c>
      <c r="AI114" s="229">
        <f>SUMIFS([1]!Data_BS[Value],[1]!Data_BS[Index BS],DTR!$B114,[1]!Data_BS[TenCongTyID],DTR!$B$1,[1]!Data_BS[Thang.Nam],DTR!AI$5)</f>
        <v>0</v>
      </c>
      <c r="AJ114" s="229">
        <f>SUMIFS([1]!Data_BS[Value],[1]!Data_BS[Index BS],DTR!$B114,[1]!Data_BS[TenCongTyID],DTR!$B$1,[1]!Data_BS[Thang.Nam],DTR!AJ$5)</f>
        <v>0</v>
      </c>
      <c r="AK114" s="229">
        <f>SUMIFS([1]!Data_BS[Value],[1]!Data_BS[Index BS],DTR!$B114,[1]!Data_BS[TenCongTyID],DTR!$B$1,[1]!Data_BS[Thang.Nam],DTR!AK$5)</f>
        <v>0</v>
      </c>
      <c r="AL114" s="229">
        <f>SUMIFS([1]!Data_BS[Value],[1]!Data_BS[Index BS],DTR!$B114,[1]!Data_BS[TenCongTyID],DTR!$B$1,[1]!Data_BS[Thang.Nam],DTR!AL$5)</f>
        <v>0</v>
      </c>
    </row>
    <row r="115" spans="1:38" ht="15" hidden="1" customHeight="1" outlineLevel="1">
      <c r="A115" s="67" t="s">
        <v>199</v>
      </c>
      <c r="B115" s="63">
        <v>110</v>
      </c>
      <c r="C115" s="229">
        <v>0</v>
      </c>
      <c r="D115" s="229">
        <v>0</v>
      </c>
      <c r="E115" s="229">
        <v>0</v>
      </c>
      <c r="F115" s="229">
        <v>0</v>
      </c>
      <c r="G115" s="229">
        <v>0</v>
      </c>
      <c r="H115" s="229">
        <v>0</v>
      </c>
      <c r="I115" s="229">
        <v>0</v>
      </c>
      <c r="J115" s="229">
        <v>0</v>
      </c>
      <c r="K115" s="229">
        <v>0</v>
      </c>
      <c r="L115" s="229">
        <v>0</v>
      </c>
      <c r="M115" s="229">
        <v>0</v>
      </c>
      <c r="N115" s="229">
        <v>0</v>
      </c>
      <c r="O115" s="253">
        <v>0</v>
      </c>
      <c r="P115" s="244">
        <v>0</v>
      </c>
      <c r="Q115" s="229">
        <v>0</v>
      </c>
      <c r="R115" s="229">
        <v>0</v>
      </c>
      <c r="S115" s="229">
        <v>0</v>
      </c>
      <c r="T115" s="229">
        <v>0</v>
      </c>
      <c r="U115" s="229">
        <v>0</v>
      </c>
      <c r="V115" s="229">
        <v>0</v>
      </c>
      <c r="W115" s="229">
        <v>0</v>
      </c>
      <c r="X115" s="229">
        <v>0</v>
      </c>
      <c r="Y115" s="229">
        <v>0</v>
      </c>
      <c r="Z115" s="229">
        <v>0</v>
      </c>
      <c r="AA115" s="229">
        <f>SUMIFS([1]!Data_BS[Value],[1]!Data_BS[Index BS],DTR!$B115,[1]!Data_BS[TenCongTyID],DTR!$B$1,[1]!Data_BS[Thang.Nam],DTR!AA$5)</f>
        <v>0</v>
      </c>
      <c r="AB115" s="229">
        <f>SUMIFS([1]!Data_BS[Value],[1]!Data_BS[Index BS],DTR!$B115,[1]!Data_BS[TenCongTyID],DTR!$B$1,[1]!Data_BS[Thang.Nam],DTR!AB$5)</f>
        <v>0</v>
      </c>
      <c r="AC115" s="229">
        <f>SUMIFS([1]!Data_BS[Value],[1]!Data_BS[Index BS],DTR!$B115,[1]!Data_BS[TenCongTyID],DTR!$B$1,[1]!Data_BS[Thang.Nam],DTR!AC$5)</f>
        <v>0</v>
      </c>
      <c r="AD115" s="229">
        <f>SUMIFS([1]!Data_BS[Value],[1]!Data_BS[Index BS],DTR!$B115,[1]!Data_BS[TenCongTyID],DTR!$B$1,[1]!Data_BS[Thang.Nam],DTR!AD$5)</f>
        <v>0</v>
      </c>
      <c r="AE115" s="229">
        <f>SUMIFS([1]!Data_BS[Value],[1]!Data_BS[Index BS],DTR!$B115,[1]!Data_BS[TenCongTyID],DTR!$B$1,[1]!Data_BS[Thang.Nam],DTR!AE$5)</f>
        <v>0</v>
      </c>
      <c r="AF115" s="229">
        <f>SUMIFS([1]!Data_BS[Value],[1]!Data_BS[Index BS],DTR!$B115,[1]!Data_BS[TenCongTyID],DTR!$B$1,[1]!Data_BS[Thang.Nam],DTR!AF$5)</f>
        <v>0</v>
      </c>
      <c r="AG115" s="229">
        <f>SUMIFS([1]!Data_BS[Value],[1]!Data_BS[Index BS],DTR!$B115,[1]!Data_BS[TenCongTyID],DTR!$B$1,[1]!Data_BS[Thang.Nam],DTR!AG$5)</f>
        <v>0</v>
      </c>
      <c r="AH115" s="229">
        <f>SUMIFS([1]!Data_BS[Value],[1]!Data_BS[Index BS],DTR!$B115,[1]!Data_BS[TenCongTyID],DTR!$B$1,[1]!Data_BS[Thang.Nam],DTR!AH$5)</f>
        <v>0</v>
      </c>
      <c r="AI115" s="229">
        <f>SUMIFS([1]!Data_BS[Value],[1]!Data_BS[Index BS],DTR!$B115,[1]!Data_BS[TenCongTyID],DTR!$B$1,[1]!Data_BS[Thang.Nam],DTR!AI$5)</f>
        <v>0</v>
      </c>
      <c r="AJ115" s="229">
        <f>SUMIFS([1]!Data_BS[Value],[1]!Data_BS[Index BS],DTR!$B115,[1]!Data_BS[TenCongTyID],DTR!$B$1,[1]!Data_BS[Thang.Nam],DTR!AJ$5)</f>
        <v>0</v>
      </c>
      <c r="AK115" s="229">
        <f>SUMIFS([1]!Data_BS[Value],[1]!Data_BS[Index BS],DTR!$B115,[1]!Data_BS[TenCongTyID],DTR!$B$1,[1]!Data_BS[Thang.Nam],DTR!AK$5)</f>
        <v>0</v>
      </c>
      <c r="AL115" s="229">
        <f>SUMIFS([1]!Data_BS[Value],[1]!Data_BS[Index BS],DTR!$B115,[1]!Data_BS[TenCongTyID],DTR!$B$1,[1]!Data_BS[Thang.Nam],DTR!AL$5)</f>
        <v>0</v>
      </c>
    </row>
    <row r="116" spans="1:38" ht="15" hidden="1" customHeight="1" outlineLevel="1">
      <c r="A116" s="56" t="s">
        <v>200</v>
      </c>
      <c r="B116" s="71">
        <v>111</v>
      </c>
      <c r="C116" s="240">
        <v>803165083671</v>
      </c>
      <c r="D116" s="240">
        <v>797894434874</v>
      </c>
      <c r="E116" s="240">
        <v>794935125273</v>
      </c>
      <c r="F116" s="240">
        <v>797410372013</v>
      </c>
      <c r="G116" s="240">
        <v>793256969673</v>
      </c>
      <c r="H116" s="240">
        <v>783041521606</v>
      </c>
      <c r="I116" s="240">
        <v>769516836113</v>
      </c>
      <c r="J116" s="240">
        <v>761233888128</v>
      </c>
      <c r="K116" s="240">
        <v>770907156245</v>
      </c>
      <c r="L116" s="240">
        <v>765931936164</v>
      </c>
      <c r="M116" s="240">
        <v>762689916038</v>
      </c>
      <c r="N116" s="241">
        <v>854759655867</v>
      </c>
      <c r="O116" s="254">
        <v>859656736419</v>
      </c>
      <c r="P116" s="255">
        <v>877057533148</v>
      </c>
      <c r="Q116" s="241">
        <v>884155782207</v>
      </c>
      <c r="R116" s="241">
        <v>887906765692</v>
      </c>
      <c r="S116" s="241">
        <v>897436969996</v>
      </c>
      <c r="T116" s="241">
        <v>898509470753</v>
      </c>
      <c r="U116" s="241">
        <v>899548988610</v>
      </c>
      <c r="V116" s="241">
        <v>899642208341</v>
      </c>
      <c r="W116" s="241">
        <v>889440053690</v>
      </c>
      <c r="X116" s="241">
        <v>884755395640</v>
      </c>
      <c r="Y116" s="241">
        <v>877834897793</v>
      </c>
      <c r="Z116" s="241">
        <v>892051292164</v>
      </c>
      <c r="AA116" s="241">
        <f>SUMIFS([1]!Data_BS[Value],[1]!Data_BS[Index BS],DTR!$B116,[1]!Data_BS[TenCongTyID],DTR!$B$1,[1]!Data_BS[Thang.Nam],DTR!AA$5)</f>
        <v>0</v>
      </c>
      <c r="AB116" s="241">
        <f>SUMIFS([1]!Data_BS[Value],[1]!Data_BS[Index BS],DTR!$B116,[1]!Data_BS[TenCongTyID],DTR!$B$1,[1]!Data_BS[Thang.Nam],DTR!AB$5)</f>
        <v>0</v>
      </c>
      <c r="AC116" s="241">
        <f>SUMIFS([1]!Data_BS[Value],[1]!Data_BS[Index BS],DTR!$B116,[1]!Data_BS[TenCongTyID],DTR!$B$1,[1]!Data_BS[Thang.Nam],DTR!AC$5)</f>
        <v>0</v>
      </c>
      <c r="AD116" s="241">
        <f>SUMIFS([1]!Data_BS[Value],[1]!Data_BS[Index BS],DTR!$B116,[1]!Data_BS[TenCongTyID],DTR!$B$1,[1]!Data_BS[Thang.Nam],DTR!AD$5)</f>
        <v>0</v>
      </c>
      <c r="AE116" s="241">
        <f>SUMIFS([1]!Data_BS[Value],[1]!Data_BS[Index BS],DTR!$B116,[1]!Data_BS[TenCongTyID],DTR!$B$1,[1]!Data_BS[Thang.Nam],DTR!AE$5)</f>
        <v>0</v>
      </c>
      <c r="AF116" s="241">
        <f>SUMIFS([1]!Data_BS[Value],[1]!Data_BS[Index BS],DTR!$B116,[1]!Data_BS[TenCongTyID],DTR!$B$1,[1]!Data_BS[Thang.Nam],DTR!AF$5)</f>
        <v>0</v>
      </c>
      <c r="AG116" s="241">
        <f>SUMIFS([1]!Data_BS[Value],[1]!Data_BS[Index BS],DTR!$B116,[1]!Data_BS[TenCongTyID],DTR!$B$1,[1]!Data_BS[Thang.Nam],DTR!AG$5)</f>
        <v>0</v>
      </c>
      <c r="AH116" s="241">
        <f>SUMIFS([1]!Data_BS[Value],[1]!Data_BS[Index BS],DTR!$B116,[1]!Data_BS[TenCongTyID],DTR!$B$1,[1]!Data_BS[Thang.Nam],DTR!AH$5)</f>
        <v>0</v>
      </c>
      <c r="AI116" s="241">
        <f>SUMIFS([1]!Data_BS[Value],[1]!Data_BS[Index BS],DTR!$B116,[1]!Data_BS[TenCongTyID],DTR!$B$1,[1]!Data_BS[Thang.Nam],DTR!AI$5)</f>
        <v>0</v>
      </c>
      <c r="AJ116" s="241">
        <f>SUMIFS([1]!Data_BS[Value],[1]!Data_BS[Index BS],DTR!$B116,[1]!Data_BS[TenCongTyID],DTR!$B$1,[1]!Data_BS[Thang.Nam],DTR!AJ$5)</f>
        <v>0</v>
      </c>
      <c r="AK116" s="241">
        <f>SUMIFS([1]!Data_BS[Value],[1]!Data_BS[Index BS],DTR!$B116,[1]!Data_BS[TenCongTyID],DTR!$B$1,[1]!Data_BS[Thang.Nam],DTR!AK$5)</f>
        <v>0</v>
      </c>
      <c r="AL116" s="241">
        <f>SUMIFS([1]!Data_BS[Value],[1]!Data_BS[Index BS],DTR!$B116,[1]!Data_BS[TenCongTyID],DTR!$B$1,[1]!Data_BS[Thang.Nam],DTR!AL$5)</f>
        <v>0</v>
      </c>
    </row>
    <row r="117" spans="1:38" ht="15" hidden="1" customHeight="1" outlineLevel="1">
      <c r="A117" s="67" t="s">
        <v>201</v>
      </c>
      <c r="B117" s="63">
        <v>112</v>
      </c>
      <c r="C117" s="229">
        <v>650000000000</v>
      </c>
      <c r="D117" s="229">
        <v>650000000000</v>
      </c>
      <c r="E117" s="229">
        <v>650000000000</v>
      </c>
      <c r="F117" s="229">
        <v>650000000000</v>
      </c>
      <c r="G117" s="229">
        <v>650000000000</v>
      </c>
      <c r="H117" s="229">
        <v>650000000000</v>
      </c>
      <c r="I117" s="229">
        <v>650000000000</v>
      </c>
      <c r="J117" s="229">
        <v>650000000000</v>
      </c>
      <c r="K117" s="229">
        <v>650000000000</v>
      </c>
      <c r="L117" s="229">
        <v>650000000000</v>
      </c>
      <c r="M117" s="229">
        <v>650000000000</v>
      </c>
      <c r="N117" s="229">
        <v>650000000000</v>
      </c>
      <c r="O117" s="253">
        <v>650000000000</v>
      </c>
      <c r="P117" s="244">
        <v>650000000000</v>
      </c>
      <c r="Q117" s="229">
        <v>650000000000</v>
      </c>
      <c r="R117" s="229">
        <v>650000000000</v>
      </c>
      <c r="S117" s="229">
        <v>650000000000</v>
      </c>
      <c r="T117" s="229">
        <v>650000000000</v>
      </c>
      <c r="U117" s="229">
        <v>650000000000</v>
      </c>
      <c r="V117" s="229">
        <v>650000000000</v>
      </c>
      <c r="W117" s="229">
        <v>650000000000</v>
      </c>
      <c r="X117" s="229">
        <v>650000000000</v>
      </c>
      <c r="Y117" s="229">
        <v>650000000000</v>
      </c>
      <c r="Z117" s="229">
        <v>650000000000</v>
      </c>
      <c r="AA117" s="229">
        <f>SUMIFS([1]!Data_BS[Value],[1]!Data_BS[Index BS],DTR!$B117,[1]!Data_BS[TenCongTyID],DTR!$B$1,[1]!Data_BS[Thang.Nam],DTR!AA$5)</f>
        <v>0</v>
      </c>
      <c r="AB117" s="229">
        <f>SUMIFS([1]!Data_BS[Value],[1]!Data_BS[Index BS],DTR!$B117,[1]!Data_BS[TenCongTyID],DTR!$B$1,[1]!Data_BS[Thang.Nam],DTR!AB$5)</f>
        <v>0</v>
      </c>
      <c r="AC117" s="229">
        <f>SUMIFS([1]!Data_BS[Value],[1]!Data_BS[Index BS],DTR!$B117,[1]!Data_BS[TenCongTyID],DTR!$B$1,[1]!Data_BS[Thang.Nam],DTR!AC$5)</f>
        <v>0</v>
      </c>
      <c r="AD117" s="229">
        <f>SUMIFS([1]!Data_BS[Value],[1]!Data_BS[Index BS],DTR!$B117,[1]!Data_BS[TenCongTyID],DTR!$B$1,[1]!Data_BS[Thang.Nam],DTR!AD$5)</f>
        <v>0</v>
      </c>
      <c r="AE117" s="229">
        <f>SUMIFS([1]!Data_BS[Value],[1]!Data_BS[Index BS],DTR!$B117,[1]!Data_BS[TenCongTyID],DTR!$B$1,[1]!Data_BS[Thang.Nam],DTR!AE$5)</f>
        <v>0</v>
      </c>
      <c r="AF117" s="229">
        <f>SUMIFS([1]!Data_BS[Value],[1]!Data_BS[Index BS],DTR!$B117,[1]!Data_BS[TenCongTyID],DTR!$B$1,[1]!Data_BS[Thang.Nam],DTR!AF$5)</f>
        <v>0</v>
      </c>
      <c r="AG117" s="229">
        <f>SUMIFS([1]!Data_BS[Value],[1]!Data_BS[Index BS],DTR!$B117,[1]!Data_BS[TenCongTyID],DTR!$B$1,[1]!Data_BS[Thang.Nam],DTR!AG$5)</f>
        <v>0</v>
      </c>
      <c r="AH117" s="229">
        <f>SUMIFS([1]!Data_BS[Value],[1]!Data_BS[Index BS],DTR!$B117,[1]!Data_BS[TenCongTyID],DTR!$B$1,[1]!Data_BS[Thang.Nam],DTR!AH$5)</f>
        <v>0</v>
      </c>
      <c r="AI117" s="229">
        <f>SUMIFS([1]!Data_BS[Value],[1]!Data_BS[Index BS],DTR!$B117,[1]!Data_BS[TenCongTyID],DTR!$B$1,[1]!Data_BS[Thang.Nam],DTR!AI$5)</f>
        <v>0</v>
      </c>
      <c r="AJ117" s="229">
        <f>SUMIFS([1]!Data_BS[Value],[1]!Data_BS[Index BS],DTR!$B117,[1]!Data_BS[TenCongTyID],DTR!$B$1,[1]!Data_BS[Thang.Nam],DTR!AJ$5)</f>
        <v>0</v>
      </c>
      <c r="AK117" s="229">
        <f>SUMIFS([1]!Data_BS[Value],[1]!Data_BS[Index BS],DTR!$B117,[1]!Data_BS[TenCongTyID],DTR!$B$1,[1]!Data_BS[Thang.Nam],DTR!AK$5)</f>
        <v>0</v>
      </c>
      <c r="AL117" s="229">
        <f>SUMIFS([1]!Data_BS[Value],[1]!Data_BS[Index BS],DTR!$B117,[1]!Data_BS[TenCongTyID],DTR!$B$1,[1]!Data_BS[Thang.Nam],DTR!AL$5)</f>
        <v>0</v>
      </c>
    </row>
    <row r="118" spans="1:38" ht="15" hidden="1" customHeight="1" outlineLevel="1">
      <c r="A118" s="67" t="s">
        <v>202</v>
      </c>
      <c r="B118" s="63">
        <v>113</v>
      </c>
      <c r="C118" s="229">
        <v>650000000000</v>
      </c>
      <c r="D118" s="229">
        <v>650000000000</v>
      </c>
      <c r="E118" s="229">
        <v>650000000000</v>
      </c>
      <c r="F118" s="229">
        <v>650000000000</v>
      </c>
      <c r="G118" s="229">
        <v>650000000000</v>
      </c>
      <c r="H118" s="229">
        <v>650000000000</v>
      </c>
      <c r="I118" s="229">
        <v>650000000000</v>
      </c>
      <c r="J118" s="229">
        <v>650000000000</v>
      </c>
      <c r="K118" s="229">
        <v>650000000000</v>
      </c>
      <c r="L118" s="229">
        <v>650000000000</v>
      </c>
      <c r="M118" s="229">
        <v>650000000000</v>
      </c>
      <c r="N118" s="229">
        <v>650000000000</v>
      </c>
      <c r="O118" s="236">
        <v>650000000000</v>
      </c>
      <c r="P118" s="244">
        <v>650000000000</v>
      </c>
      <c r="Q118" s="229">
        <v>650000000000</v>
      </c>
      <c r="R118" s="229">
        <v>650000000000</v>
      </c>
      <c r="S118" s="229">
        <v>650000000000</v>
      </c>
      <c r="T118" s="229">
        <v>650000000000</v>
      </c>
      <c r="U118" s="229">
        <v>650000000000</v>
      </c>
      <c r="V118" s="229">
        <v>650000000000</v>
      </c>
      <c r="W118" s="229">
        <v>650000000000</v>
      </c>
      <c r="X118" s="229">
        <v>650000000000</v>
      </c>
      <c r="Y118" s="229">
        <v>650000000000</v>
      </c>
      <c r="Z118" s="229">
        <v>650000000000</v>
      </c>
      <c r="AA118" s="229">
        <f>SUMIFS([1]!Data_BS[Value],[1]!Data_BS[Index BS],DTR!$B118,[1]!Data_BS[TenCongTyID],DTR!$B$1,[1]!Data_BS[Thang.Nam],DTR!AA$5)</f>
        <v>0</v>
      </c>
      <c r="AB118" s="229">
        <f>SUMIFS([1]!Data_BS[Value],[1]!Data_BS[Index BS],DTR!$B118,[1]!Data_BS[TenCongTyID],DTR!$B$1,[1]!Data_BS[Thang.Nam],DTR!AB$5)</f>
        <v>0</v>
      </c>
      <c r="AC118" s="229">
        <f>SUMIFS([1]!Data_BS[Value],[1]!Data_BS[Index BS],DTR!$B118,[1]!Data_BS[TenCongTyID],DTR!$B$1,[1]!Data_BS[Thang.Nam],DTR!AC$5)</f>
        <v>0</v>
      </c>
      <c r="AD118" s="229">
        <f>SUMIFS([1]!Data_BS[Value],[1]!Data_BS[Index BS],DTR!$B118,[1]!Data_BS[TenCongTyID],DTR!$B$1,[1]!Data_BS[Thang.Nam],DTR!AD$5)</f>
        <v>0</v>
      </c>
      <c r="AE118" s="229">
        <f>SUMIFS([1]!Data_BS[Value],[1]!Data_BS[Index BS],DTR!$B118,[1]!Data_BS[TenCongTyID],DTR!$B$1,[1]!Data_BS[Thang.Nam],DTR!AE$5)</f>
        <v>0</v>
      </c>
      <c r="AF118" s="229">
        <f>SUMIFS([1]!Data_BS[Value],[1]!Data_BS[Index BS],DTR!$B118,[1]!Data_BS[TenCongTyID],DTR!$B$1,[1]!Data_BS[Thang.Nam],DTR!AF$5)</f>
        <v>0</v>
      </c>
      <c r="AG118" s="229">
        <f>SUMIFS([1]!Data_BS[Value],[1]!Data_BS[Index BS],DTR!$B118,[1]!Data_BS[TenCongTyID],DTR!$B$1,[1]!Data_BS[Thang.Nam],DTR!AG$5)</f>
        <v>0</v>
      </c>
      <c r="AH118" s="229">
        <f>SUMIFS([1]!Data_BS[Value],[1]!Data_BS[Index BS],DTR!$B118,[1]!Data_BS[TenCongTyID],DTR!$B$1,[1]!Data_BS[Thang.Nam],DTR!AH$5)</f>
        <v>0</v>
      </c>
      <c r="AI118" s="229">
        <f>SUMIFS([1]!Data_BS[Value],[1]!Data_BS[Index BS],DTR!$B118,[1]!Data_BS[TenCongTyID],DTR!$B$1,[1]!Data_BS[Thang.Nam],DTR!AI$5)</f>
        <v>0</v>
      </c>
      <c r="AJ118" s="229">
        <f>SUMIFS([1]!Data_BS[Value],[1]!Data_BS[Index BS],DTR!$B118,[1]!Data_BS[TenCongTyID],DTR!$B$1,[1]!Data_BS[Thang.Nam],DTR!AJ$5)</f>
        <v>0</v>
      </c>
      <c r="AK118" s="229">
        <f>SUMIFS([1]!Data_BS[Value],[1]!Data_BS[Index BS],DTR!$B118,[1]!Data_BS[TenCongTyID],DTR!$B$1,[1]!Data_BS[Thang.Nam],DTR!AK$5)</f>
        <v>0</v>
      </c>
      <c r="AL118" s="229">
        <f>SUMIFS([1]!Data_BS[Value],[1]!Data_BS[Index BS],DTR!$B118,[1]!Data_BS[TenCongTyID],DTR!$B$1,[1]!Data_BS[Thang.Nam],DTR!AL$5)</f>
        <v>0</v>
      </c>
    </row>
    <row r="119" spans="1:38" ht="15" hidden="1" customHeight="1" outlineLevel="1">
      <c r="A119" s="67" t="s">
        <v>203</v>
      </c>
      <c r="B119" s="63">
        <v>114</v>
      </c>
      <c r="C119" s="229">
        <v>0</v>
      </c>
      <c r="D119" s="229">
        <v>0</v>
      </c>
      <c r="E119" s="229">
        <v>0</v>
      </c>
      <c r="F119" s="229">
        <v>0</v>
      </c>
      <c r="G119" s="229">
        <v>0</v>
      </c>
      <c r="H119" s="229">
        <v>0</v>
      </c>
      <c r="I119" s="229">
        <v>0</v>
      </c>
      <c r="J119" s="229">
        <v>0</v>
      </c>
      <c r="K119" s="229">
        <v>0</v>
      </c>
      <c r="L119" s="229">
        <v>0</v>
      </c>
      <c r="M119" s="229">
        <v>0</v>
      </c>
      <c r="N119" s="229">
        <v>0</v>
      </c>
      <c r="O119" s="236">
        <v>0</v>
      </c>
      <c r="P119" s="244">
        <v>0</v>
      </c>
      <c r="Q119" s="229">
        <v>0</v>
      </c>
      <c r="R119" s="229">
        <v>0</v>
      </c>
      <c r="S119" s="229">
        <v>0</v>
      </c>
      <c r="T119" s="229">
        <v>0</v>
      </c>
      <c r="U119" s="229">
        <v>0</v>
      </c>
      <c r="V119" s="229">
        <v>0</v>
      </c>
      <c r="W119" s="229">
        <v>0</v>
      </c>
      <c r="X119" s="229">
        <v>0</v>
      </c>
      <c r="Y119" s="229">
        <v>0</v>
      </c>
      <c r="Z119" s="229">
        <v>0</v>
      </c>
      <c r="AA119" s="229">
        <f>SUMIFS([1]!Data_BS[Value],[1]!Data_BS[Index BS],DTR!$B119,[1]!Data_BS[TenCongTyID],DTR!$B$1,[1]!Data_BS[Thang.Nam],DTR!AA$5)</f>
        <v>0</v>
      </c>
      <c r="AB119" s="229">
        <f>SUMIFS([1]!Data_BS[Value],[1]!Data_BS[Index BS],DTR!$B119,[1]!Data_BS[TenCongTyID],DTR!$B$1,[1]!Data_BS[Thang.Nam],DTR!AB$5)</f>
        <v>0</v>
      </c>
      <c r="AC119" s="229">
        <f>SUMIFS([1]!Data_BS[Value],[1]!Data_BS[Index BS],DTR!$B119,[1]!Data_BS[TenCongTyID],DTR!$B$1,[1]!Data_BS[Thang.Nam],DTR!AC$5)</f>
        <v>0</v>
      </c>
      <c r="AD119" s="229">
        <f>SUMIFS([1]!Data_BS[Value],[1]!Data_BS[Index BS],DTR!$B119,[1]!Data_BS[TenCongTyID],DTR!$B$1,[1]!Data_BS[Thang.Nam],DTR!AD$5)</f>
        <v>0</v>
      </c>
      <c r="AE119" s="229">
        <f>SUMIFS([1]!Data_BS[Value],[1]!Data_BS[Index BS],DTR!$B119,[1]!Data_BS[TenCongTyID],DTR!$B$1,[1]!Data_BS[Thang.Nam],DTR!AE$5)</f>
        <v>0</v>
      </c>
      <c r="AF119" s="229">
        <f>SUMIFS([1]!Data_BS[Value],[1]!Data_BS[Index BS],DTR!$B119,[1]!Data_BS[TenCongTyID],DTR!$B$1,[1]!Data_BS[Thang.Nam],DTR!AF$5)</f>
        <v>0</v>
      </c>
      <c r="AG119" s="229">
        <f>SUMIFS([1]!Data_BS[Value],[1]!Data_BS[Index BS],DTR!$B119,[1]!Data_BS[TenCongTyID],DTR!$B$1,[1]!Data_BS[Thang.Nam],DTR!AG$5)</f>
        <v>0</v>
      </c>
      <c r="AH119" s="229">
        <f>SUMIFS([1]!Data_BS[Value],[1]!Data_BS[Index BS],DTR!$B119,[1]!Data_BS[TenCongTyID],DTR!$B$1,[1]!Data_BS[Thang.Nam],DTR!AH$5)</f>
        <v>0</v>
      </c>
      <c r="AI119" s="229">
        <f>SUMIFS([1]!Data_BS[Value],[1]!Data_BS[Index BS],DTR!$B119,[1]!Data_BS[TenCongTyID],DTR!$B$1,[1]!Data_BS[Thang.Nam],DTR!AI$5)</f>
        <v>0</v>
      </c>
      <c r="AJ119" s="229">
        <f>SUMIFS([1]!Data_BS[Value],[1]!Data_BS[Index BS],DTR!$B119,[1]!Data_BS[TenCongTyID],DTR!$B$1,[1]!Data_BS[Thang.Nam],DTR!AJ$5)</f>
        <v>0</v>
      </c>
      <c r="AK119" s="229">
        <f>SUMIFS([1]!Data_BS[Value],[1]!Data_BS[Index BS],DTR!$B119,[1]!Data_BS[TenCongTyID],DTR!$B$1,[1]!Data_BS[Thang.Nam],DTR!AK$5)</f>
        <v>0</v>
      </c>
      <c r="AL119" s="229">
        <f>SUMIFS([1]!Data_BS[Value],[1]!Data_BS[Index BS],DTR!$B119,[1]!Data_BS[TenCongTyID],DTR!$B$1,[1]!Data_BS[Thang.Nam],DTR!AL$5)</f>
        <v>0</v>
      </c>
    </row>
    <row r="120" spans="1:38" ht="15" hidden="1" customHeight="1" outlineLevel="1">
      <c r="A120" s="67" t="s">
        <v>204</v>
      </c>
      <c r="B120" s="63">
        <v>115</v>
      </c>
      <c r="C120" s="229">
        <v>0</v>
      </c>
      <c r="D120" s="229">
        <v>0</v>
      </c>
      <c r="E120" s="229">
        <v>0</v>
      </c>
      <c r="F120" s="229">
        <v>0</v>
      </c>
      <c r="G120" s="229">
        <v>0</v>
      </c>
      <c r="H120" s="229">
        <v>0</v>
      </c>
      <c r="I120" s="229">
        <v>0</v>
      </c>
      <c r="J120" s="229">
        <v>0</v>
      </c>
      <c r="K120" s="229">
        <v>0</v>
      </c>
      <c r="L120" s="229">
        <v>0</v>
      </c>
      <c r="M120" s="229">
        <v>0</v>
      </c>
      <c r="N120" s="229">
        <v>0</v>
      </c>
      <c r="O120" s="236">
        <v>0</v>
      </c>
      <c r="P120" s="244">
        <v>0</v>
      </c>
      <c r="Q120" s="229">
        <v>0</v>
      </c>
      <c r="R120" s="229">
        <v>0</v>
      </c>
      <c r="S120" s="229">
        <v>0</v>
      </c>
      <c r="T120" s="229">
        <v>0</v>
      </c>
      <c r="U120" s="229">
        <v>0</v>
      </c>
      <c r="V120" s="229">
        <v>0</v>
      </c>
      <c r="W120" s="229">
        <v>0</v>
      </c>
      <c r="X120" s="229">
        <v>0</v>
      </c>
      <c r="Y120" s="229">
        <v>0</v>
      </c>
      <c r="Z120" s="229">
        <v>0</v>
      </c>
      <c r="AA120" s="229">
        <f>SUMIFS([1]!Data_BS[Value],[1]!Data_BS[Index BS],DTR!$B120,[1]!Data_BS[TenCongTyID],DTR!$B$1,[1]!Data_BS[Thang.Nam],DTR!AA$5)</f>
        <v>0</v>
      </c>
      <c r="AB120" s="229">
        <f>SUMIFS([1]!Data_BS[Value],[1]!Data_BS[Index BS],DTR!$B120,[1]!Data_BS[TenCongTyID],DTR!$B$1,[1]!Data_BS[Thang.Nam],DTR!AB$5)</f>
        <v>0</v>
      </c>
      <c r="AC120" s="229">
        <f>SUMIFS([1]!Data_BS[Value],[1]!Data_BS[Index BS],DTR!$B120,[1]!Data_BS[TenCongTyID],DTR!$B$1,[1]!Data_BS[Thang.Nam],DTR!AC$5)</f>
        <v>0</v>
      </c>
      <c r="AD120" s="229">
        <f>SUMIFS([1]!Data_BS[Value],[1]!Data_BS[Index BS],DTR!$B120,[1]!Data_BS[TenCongTyID],DTR!$B$1,[1]!Data_BS[Thang.Nam],DTR!AD$5)</f>
        <v>0</v>
      </c>
      <c r="AE120" s="229">
        <f>SUMIFS([1]!Data_BS[Value],[1]!Data_BS[Index BS],DTR!$B120,[1]!Data_BS[TenCongTyID],DTR!$B$1,[1]!Data_BS[Thang.Nam],DTR!AE$5)</f>
        <v>0</v>
      </c>
      <c r="AF120" s="229">
        <f>SUMIFS([1]!Data_BS[Value],[1]!Data_BS[Index BS],DTR!$B120,[1]!Data_BS[TenCongTyID],DTR!$B$1,[1]!Data_BS[Thang.Nam],DTR!AF$5)</f>
        <v>0</v>
      </c>
      <c r="AG120" s="229">
        <f>SUMIFS([1]!Data_BS[Value],[1]!Data_BS[Index BS],DTR!$B120,[1]!Data_BS[TenCongTyID],DTR!$B$1,[1]!Data_BS[Thang.Nam],DTR!AG$5)</f>
        <v>0</v>
      </c>
      <c r="AH120" s="229">
        <f>SUMIFS([1]!Data_BS[Value],[1]!Data_BS[Index BS],DTR!$B120,[1]!Data_BS[TenCongTyID],DTR!$B$1,[1]!Data_BS[Thang.Nam],DTR!AH$5)</f>
        <v>0</v>
      </c>
      <c r="AI120" s="229">
        <f>SUMIFS([1]!Data_BS[Value],[1]!Data_BS[Index BS],DTR!$B120,[1]!Data_BS[TenCongTyID],DTR!$B$1,[1]!Data_BS[Thang.Nam],DTR!AI$5)</f>
        <v>0</v>
      </c>
      <c r="AJ120" s="229">
        <f>SUMIFS([1]!Data_BS[Value],[1]!Data_BS[Index BS],DTR!$B120,[1]!Data_BS[TenCongTyID],DTR!$B$1,[1]!Data_BS[Thang.Nam],DTR!AJ$5)</f>
        <v>0</v>
      </c>
      <c r="AK120" s="229">
        <f>SUMIFS([1]!Data_BS[Value],[1]!Data_BS[Index BS],DTR!$B120,[1]!Data_BS[TenCongTyID],DTR!$B$1,[1]!Data_BS[Thang.Nam],DTR!AK$5)</f>
        <v>0</v>
      </c>
      <c r="AL120" s="229">
        <f>SUMIFS([1]!Data_BS[Value],[1]!Data_BS[Index BS],DTR!$B120,[1]!Data_BS[TenCongTyID],DTR!$B$1,[1]!Data_BS[Thang.Nam],DTR!AL$5)</f>
        <v>0</v>
      </c>
    </row>
    <row r="121" spans="1:38" ht="15" hidden="1" customHeight="1" outlineLevel="1">
      <c r="A121" s="67" t="s">
        <v>205</v>
      </c>
      <c r="B121" s="63">
        <v>116</v>
      </c>
      <c r="C121" s="229">
        <v>0</v>
      </c>
      <c r="D121" s="229">
        <v>0</v>
      </c>
      <c r="E121" s="229">
        <v>0</v>
      </c>
      <c r="F121" s="229">
        <v>0</v>
      </c>
      <c r="G121" s="229">
        <v>0</v>
      </c>
      <c r="H121" s="229">
        <v>0</v>
      </c>
      <c r="I121" s="229">
        <v>0</v>
      </c>
      <c r="J121" s="229">
        <v>0</v>
      </c>
      <c r="K121" s="229">
        <v>0</v>
      </c>
      <c r="L121" s="229">
        <v>0</v>
      </c>
      <c r="M121" s="229">
        <v>0</v>
      </c>
      <c r="N121" s="229">
        <v>0</v>
      </c>
      <c r="O121" s="236">
        <v>0</v>
      </c>
      <c r="P121" s="244">
        <v>0</v>
      </c>
      <c r="Q121" s="229">
        <v>0</v>
      </c>
      <c r="R121" s="229">
        <v>0</v>
      </c>
      <c r="S121" s="229">
        <v>0</v>
      </c>
      <c r="T121" s="229">
        <v>0</v>
      </c>
      <c r="U121" s="229">
        <v>0</v>
      </c>
      <c r="V121" s="229">
        <v>0</v>
      </c>
      <c r="W121" s="229">
        <v>0</v>
      </c>
      <c r="X121" s="229">
        <v>0</v>
      </c>
      <c r="Y121" s="229">
        <v>0</v>
      </c>
      <c r="Z121" s="229">
        <v>0</v>
      </c>
      <c r="AA121" s="229">
        <f>SUMIFS([1]!Data_BS[Value],[1]!Data_BS[Index BS],DTR!$B121,[1]!Data_BS[TenCongTyID],DTR!$B$1,[1]!Data_BS[Thang.Nam],DTR!AA$5)</f>
        <v>0</v>
      </c>
      <c r="AB121" s="229">
        <f>SUMIFS([1]!Data_BS[Value],[1]!Data_BS[Index BS],DTR!$B121,[1]!Data_BS[TenCongTyID],DTR!$B$1,[1]!Data_BS[Thang.Nam],DTR!AB$5)</f>
        <v>0</v>
      </c>
      <c r="AC121" s="229">
        <f>SUMIFS([1]!Data_BS[Value],[1]!Data_BS[Index BS],DTR!$B121,[1]!Data_BS[TenCongTyID],DTR!$B$1,[1]!Data_BS[Thang.Nam],DTR!AC$5)</f>
        <v>0</v>
      </c>
      <c r="AD121" s="229">
        <f>SUMIFS([1]!Data_BS[Value],[1]!Data_BS[Index BS],DTR!$B121,[1]!Data_BS[TenCongTyID],DTR!$B$1,[1]!Data_BS[Thang.Nam],DTR!AD$5)</f>
        <v>0</v>
      </c>
      <c r="AE121" s="229">
        <f>SUMIFS([1]!Data_BS[Value],[1]!Data_BS[Index BS],DTR!$B121,[1]!Data_BS[TenCongTyID],DTR!$B$1,[1]!Data_BS[Thang.Nam],DTR!AE$5)</f>
        <v>0</v>
      </c>
      <c r="AF121" s="229">
        <f>SUMIFS([1]!Data_BS[Value],[1]!Data_BS[Index BS],DTR!$B121,[1]!Data_BS[TenCongTyID],DTR!$B$1,[1]!Data_BS[Thang.Nam],DTR!AF$5)</f>
        <v>0</v>
      </c>
      <c r="AG121" s="229">
        <f>SUMIFS([1]!Data_BS[Value],[1]!Data_BS[Index BS],DTR!$B121,[1]!Data_BS[TenCongTyID],DTR!$B$1,[1]!Data_BS[Thang.Nam],DTR!AG$5)</f>
        <v>0</v>
      </c>
      <c r="AH121" s="229">
        <f>SUMIFS([1]!Data_BS[Value],[1]!Data_BS[Index BS],DTR!$B121,[1]!Data_BS[TenCongTyID],DTR!$B$1,[1]!Data_BS[Thang.Nam],DTR!AH$5)</f>
        <v>0</v>
      </c>
      <c r="AI121" s="229">
        <f>SUMIFS([1]!Data_BS[Value],[1]!Data_BS[Index BS],DTR!$B121,[1]!Data_BS[TenCongTyID],DTR!$B$1,[1]!Data_BS[Thang.Nam],DTR!AI$5)</f>
        <v>0</v>
      </c>
      <c r="AJ121" s="229">
        <f>SUMIFS([1]!Data_BS[Value],[1]!Data_BS[Index BS],DTR!$B121,[1]!Data_BS[TenCongTyID],DTR!$B$1,[1]!Data_BS[Thang.Nam],DTR!AJ$5)</f>
        <v>0</v>
      </c>
      <c r="AK121" s="229">
        <f>SUMIFS([1]!Data_BS[Value],[1]!Data_BS[Index BS],DTR!$B121,[1]!Data_BS[TenCongTyID],DTR!$B$1,[1]!Data_BS[Thang.Nam],DTR!AK$5)</f>
        <v>0</v>
      </c>
      <c r="AL121" s="229">
        <f>SUMIFS([1]!Data_BS[Value],[1]!Data_BS[Index BS],DTR!$B121,[1]!Data_BS[TenCongTyID],DTR!$B$1,[1]!Data_BS[Thang.Nam],DTR!AL$5)</f>
        <v>0</v>
      </c>
    </row>
    <row r="122" spans="1:38" ht="15" hidden="1" customHeight="1" outlineLevel="1">
      <c r="A122" s="67" t="s">
        <v>206</v>
      </c>
      <c r="B122" s="63">
        <v>117</v>
      </c>
      <c r="C122" s="229">
        <v>0</v>
      </c>
      <c r="D122" s="229">
        <v>0</v>
      </c>
      <c r="E122" s="229">
        <v>0</v>
      </c>
      <c r="F122" s="229">
        <v>0</v>
      </c>
      <c r="G122" s="229">
        <v>0</v>
      </c>
      <c r="H122" s="229">
        <v>0</v>
      </c>
      <c r="I122" s="229">
        <v>0</v>
      </c>
      <c r="J122" s="229">
        <v>0</v>
      </c>
      <c r="K122" s="229">
        <v>0</v>
      </c>
      <c r="L122" s="229">
        <v>0</v>
      </c>
      <c r="M122" s="229">
        <v>0</v>
      </c>
      <c r="N122" s="229">
        <v>0</v>
      </c>
      <c r="O122" s="236">
        <v>0</v>
      </c>
      <c r="P122" s="244">
        <v>0</v>
      </c>
      <c r="Q122" s="229">
        <v>0</v>
      </c>
      <c r="R122" s="229">
        <v>0</v>
      </c>
      <c r="S122" s="229">
        <v>0</v>
      </c>
      <c r="T122" s="229">
        <v>0</v>
      </c>
      <c r="U122" s="229">
        <v>0</v>
      </c>
      <c r="V122" s="229">
        <v>0</v>
      </c>
      <c r="W122" s="229">
        <v>0</v>
      </c>
      <c r="X122" s="229">
        <v>0</v>
      </c>
      <c r="Y122" s="229">
        <v>0</v>
      </c>
      <c r="Z122" s="229">
        <v>0</v>
      </c>
      <c r="AA122" s="229">
        <f>SUMIFS([1]!Data_BS[Value],[1]!Data_BS[Index BS],DTR!$B122,[1]!Data_BS[TenCongTyID],DTR!$B$1,[1]!Data_BS[Thang.Nam],DTR!AA$5)</f>
        <v>0</v>
      </c>
      <c r="AB122" s="229">
        <f>SUMIFS([1]!Data_BS[Value],[1]!Data_BS[Index BS],DTR!$B122,[1]!Data_BS[TenCongTyID],DTR!$B$1,[1]!Data_BS[Thang.Nam],DTR!AB$5)</f>
        <v>0</v>
      </c>
      <c r="AC122" s="229">
        <f>SUMIFS([1]!Data_BS[Value],[1]!Data_BS[Index BS],DTR!$B122,[1]!Data_BS[TenCongTyID],DTR!$B$1,[1]!Data_BS[Thang.Nam],DTR!AC$5)</f>
        <v>0</v>
      </c>
      <c r="AD122" s="229">
        <f>SUMIFS([1]!Data_BS[Value],[1]!Data_BS[Index BS],DTR!$B122,[1]!Data_BS[TenCongTyID],DTR!$B$1,[1]!Data_BS[Thang.Nam],DTR!AD$5)</f>
        <v>0</v>
      </c>
      <c r="AE122" s="229">
        <f>SUMIFS([1]!Data_BS[Value],[1]!Data_BS[Index BS],DTR!$B122,[1]!Data_BS[TenCongTyID],DTR!$B$1,[1]!Data_BS[Thang.Nam],DTR!AE$5)</f>
        <v>0</v>
      </c>
      <c r="AF122" s="229">
        <f>SUMIFS([1]!Data_BS[Value],[1]!Data_BS[Index BS],DTR!$B122,[1]!Data_BS[TenCongTyID],DTR!$B$1,[1]!Data_BS[Thang.Nam],DTR!AF$5)</f>
        <v>0</v>
      </c>
      <c r="AG122" s="229">
        <f>SUMIFS([1]!Data_BS[Value],[1]!Data_BS[Index BS],DTR!$B122,[1]!Data_BS[TenCongTyID],DTR!$B$1,[1]!Data_BS[Thang.Nam],DTR!AG$5)</f>
        <v>0</v>
      </c>
      <c r="AH122" s="229">
        <f>SUMIFS([1]!Data_BS[Value],[1]!Data_BS[Index BS],DTR!$B122,[1]!Data_BS[TenCongTyID],DTR!$B$1,[1]!Data_BS[Thang.Nam],DTR!AH$5)</f>
        <v>0</v>
      </c>
      <c r="AI122" s="229">
        <f>SUMIFS([1]!Data_BS[Value],[1]!Data_BS[Index BS],DTR!$B122,[1]!Data_BS[TenCongTyID],DTR!$B$1,[1]!Data_BS[Thang.Nam],DTR!AI$5)</f>
        <v>0</v>
      </c>
      <c r="AJ122" s="229">
        <f>SUMIFS([1]!Data_BS[Value],[1]!Data_BS[Index BS],DTR!$B122,[1]!Data_BS[TenCongTyID],DTR!$B$1,[1]!Data_BS[Thang.Nam],DTR!AJ$5)</f>
        <v>0</v>
      </c>
      <c r="AK122" s="229">
        <f>SUMIFS([1]!Data_BS[Value],[1]!Data_BS[Index BS],DTR!$B122,[1]!Data_BS[TenCongTyID],DTR!$B$1,[1]!Data_BS[Thang.Nam],DTR!AK$5)</f>
        <v>0</v>
      </c>
      <c r="AL122" s="229">
        <f>SUMIFS([1]!Data_BS[Value],[1]!Data_BS[Index BS],DTR!$B122,[1]!Data_BS[TenCongTyID],DTR!$B$1,[1]!Data_BS[Thang.Nam],DTR!AL$5)</f>
        <v>0</v>
      </c>
    </row>
    <row r="123" spans="1:38" ht="15" hidden="1" customHeight="1" outlineLevel="1">
      <c r="A123" s="67" t="s">
        <v>207</v>
      </c>
      <c r="B123" s="63">
        <v>118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36">
        <v>0</v>
      </c>
      <c r="P123" s="244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Z123" s="229">
        <v>0</v>
      </c>
      <c r="AA123" s="229">
        <f>SUMIFS([1]!Data_BS[Value],[1]!Data_BS[Index BS],DTR!$B123,[1]!Data_BS[TenCongTyID],DTR!$B$1,[1]!Data_BS[Thang.Nam],DTR!AA$5)</f>
        <v>0</v>
      </c>
      <c r="AB123" s="229">
        <f>SUMIFS([1]!Data_BS[Value],[1]!Data_BS[Index BS],DTR!$B123,[1]!Data_BS[TenCongTyID],DTR!$B$1,[1]!Data_BS[Thang.Nam],DTR!AB$5)</f>
        <v>0</v>
      </c>
      <c r="AC123" s="229">
        <f>SUMIFS([1]!Data_BS[Value],[1]!Data_BS[Index BS],DTR!$B123,[1]!Data_BS[TenCongTyID],DTR!$B$1,[1]!Data_BS[Thang.Nam],DTR!AC$5)</f>
        <v>0</v>
      </c>
      <c r="AD123" s="229">
        <f>SUMIFS([1]!Data_BS[Value],[1]!Data_BS[Index BS],DTR!$B123,[1]!Data_BS[TenCongTyID],DTR!$B$1,[1]!Data_BS[Thang.Nam],DTR!AD$5)</f>
        <v>0</v>
      </c>
      <c r="AE123" s="229">
        <f>SUMIFS([1]!Data_BS[Value],[1]!Data_BS[Index BS],DTR!$B123,[1]!Data_BS[TenCongTyID],DTR!$B$1,[1]!Data_BS[Thang.Nam],DTR!AE$5)</f>
        <v>0</v>
      </c>
      <c r="AF123" s="229">
        <f>SUMIFS([1]!Data_BS[Value],[1]!Data_BS[Index BS],DTR!$B123,[1]!Data_BS[TenCongTyID],DTR!$B$1,[1]!Data_BS[Thang.Nam],DTR!AF$5)</f>
        <v>0</v>
      </c>
      <c r="AG123" s="229">
        <f>SUMIFS([1]!Data_BS[Value],[1]!Data_BS[Index BS],DTR!$B123,[1]!Data_BS[TenCongTyID],DTR!$B$1,[1]!Data_BS[Thang.Nam],DTR!AG$5)</f>
        <v>0</v>
      </c>
      <c r="AH123" s="229">
        <f>SUMIFS([1]!Data_BS[Value],[1]!Data_BS[Index BS],DTR!$B123,[1]!Data_BS[TenCongTyID],DTR!$B$1,[1]!Data_BS[Thang.Nam],DTR!AH$5)</f>
        <v>0</v>
      </c>
      <c r="AI123" s="229">
        <f>SUMIFS([1]!Data_BS[Value],[1]!Data_BS[Index BS],DTR!$B123,[1]!Data_BS[TenCongTyID],DTR!$B$1,[1]!Data_BS[Thang.Nam],DTR!AI$5)</f>
        <v>0</v>
      </c>
      <c r="AJ123" s="229">
        <f>SUMIFS([1]!Data_BS[Value],[1]!Data_BS[Index BS],DTR!$B123,[1]!Data_BS[TenCongTyID],DTR!$B$1,[1]!Data_BS[Thang.Nam],DTR!AJ$5)</f>
        <v>0</v>
      </c>
      <c r="AK123" s="229">
        <f>SUMIFS([1]!Data_BS[Value],[1]!Data_BS[Index BS],DTR!$B123,[1]!Data_BS[TenCongTyID],DTR!$B$1,[1]!Data_BS[Thang.Nam],DTR!AK$5)</f>
        <v>0</v>
      </c>
      <c r="AL123" s="229">
        <f>SUMIFS([1]!Data_BS[Value],[1]!Data_BS[Index BS],DTR!$B123,[1]!Data_BS[TenCongTyID],DTR!$B$1,[1]!Data_BS[Thang.Nam],DTR!AL$5)</f>
        <v>0</v>
      </c>
    </row>
    <row r="124" spans="1:38" ht="15" hidden="1" customHeight="1" outlineLevel="1">
      <c r="A124" s="67" t="s">
        <v>208</v>
      </c>
      <c r="B124" s="63">
        <v>119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36">
        <v>0</v>
      </c>
      <c r="P124" s="244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Z124" s="229">
        <v>0</v>
      </c>
      <c r="AA124" s="229">
        <f>SUMIFS([1]!Data_BS[Value],[1]!Data_BS[Index BS],DTR!$B124,[1]!Data_BS[TenCongTyID],DTR!$B$1,[1]!Data_BS[Thang.Nam],DTR!AA$5)</f>
        <v>0</v>
      </c>
      <c r="AB124" s="229">
        <f>SUMIFS([1]!Data_BS[Value],[1]!Data_BS[Index BS],DTR!$B124,[1]!Data_BS[TenCongTyID],DTR!$B$1,[1]!Data_BS[Thang.Nam],DTR!AB$5)</f>
        <v>0</v>
      </c>
      <c r="AC124" s="229">
        <f>SUMIFS([1]!Data_BS[Value],[1]!Data_BS[Index BS],DTR!$B124,[1]!Data_BS[TenCongTyID],DTR!$B$1,[1]!Data_BS[Thang.Nam],DTR!AC$5)</f>
        <v>0</v>
      </c>
      <c r="AD124" s="229">
        <f>SUMIFS([1]!Data_BS[Value],[1]!Data_BS[Index BS],DTR!$B124,[1]!Data_BS[TenCongTyID],DTR!$B$1,[1]!Data_BS[Thang.Nam],DTR!AD$5)</f>
        <v>0</v>
      </c>
      <c r="AE124" s="229">
        <f>SUMIFS([1]!Data_BS[Value],[1]!Data_BS[Index BS],DTR!$B124,[1]!Data_BS[TenCongTyID],DTR!$B$1,[1]!Data_BS[Thang.Nam],DTR!AE$5)</f>
        <v>0</v>
      </c>
      <c r="AF124" s="229">
        <f>SUMIFS([1]!Data_BS[Value],[1]!Data_BS[Index BS],DTR!$B124,[1]!Data_BS[TenCongTyID],DTR!$B$1,[1]!Data_BS[Thang.Nam],DTR!AF$5)</f>
        <v>0</v>
      </c>
      <c r="AG124" s="229">
        <f>SUMIFS([1]!Data_BS[Value],[1]!Data_BS[Index BS],DTR!$B124,[1]!Data_BS[TenCongTyID],DTR!$B$1,[1]!Data_BS[Thang.Nam],DTR!AG$5)</f>
        <v>0</v>
      </c>
      <c r="AH124" s="229">
        <f>SUMIFS([1]!Data_BS[Value],[1]!Data_BS[Index BS],DTR!$B124,[1]!Data_BS[TenCongTyID],DTR!$B$1,[1]!Data_BS[Thang.Nam],DTR!AH$5)</f>
        <v>0</v>
      </c>
      <c r="AI124" s="229">
        <f>SUMIFS([1]!Data_BS[Value],[1]!Data_BS[Index BS],DTR!$B124,[1]!Data_BS[TenCongTyID],DTR!$B$1,[1]!Data_BS[Thang.Nam],DTR!AI$5)</f>
        <v>0</v>
      </c>
      <c r="AJ124" s="229">
        <f>SUMIFS([1]!Data_BS[Value],[1]!Data_BS[Index BS],DTR!$B124,[1]!Data_BS[TenCongTyID],DTR!$B$1,[1]!Data_BS[Thang.Nam],DTR!AJ$5)</f>
        <v>0</v>
      </c>
      <c r="AK124" s="229">
        <f>SUMIFS([1]!Data_BS[Value],[1]!Data_BS[Index BS],DTR!$B124,[1]!Data_BS[TenCongTyID],DTR!$B$1,[1]!Data_BS[Thang.Nam],DTR!AK$5)</f>
        <v>0</v>
      </c>
      <c r="AL124" s="229">
        <f>SUMIFS([1]!Data_BS[Value],[1]!Data_BS[Index BS],DTR!$B124,[1]!Data_BS[TenCongTyID],DTR!$B$1,[1]!Data_BS[Thang.Nam],DTR!AL$5)</f>
        <v>0</v>
      </c>
    </row>
    <row r="125" spans="1:38" ht="15" hidden="1" customHeight="1" outlineLevel="1">
      <c r="A125" s="67" t="s">
        <v>209</v>
      </c>
      <c r="B125" s="63">
        <v>120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36">
        <v>0</v>
      </c>
      <c r="P125" s="244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Z125" s="229">
        <v>0</v>
      </c>
      <c r="AA125" s="229">
        <f>SUMIFS([1]!Data_BS[Value],[1]!Data_BS[Index BS],DTR!$B125,[1]!Data_BS[TenCongTyID],DTR!$B$1,[1]!Data_BS[Thang.Nam],DTR!AA$5)</f>
        <v>0</v>
      </c>
      <c r="AB125" s="229">
        <f>SUMIFS([1]!Data_BS[Value],[1]!Data_BS[Index BS],DTR!$B125,[1]!Data_BS[TenCongTyID],DTR!$B$1,[1]!Data_BS[Thang.Nam],DTR!AB$5)</f>
        <v>0</v>
      </c>
      <c r="AC125" s="229">
        <f>SUMIFS([1]!Data_BS[Value],[1]!Data_BS[Index BS],DTR!$B125,[1]!Data_BS[TenCongTyID],DTR!$B$1,[1]!Data_BS[Thang.Nam],DTR!AC$5)</f>
        <v>0</v>
      </c>
      <c r="AD125" s="229">
        <f>SUMIFS([1]!Data_BS[Value],[1]!Data_BS[Index BS],DTR!$B125,[1]!Data_BS[TenCongTyID],DTR!$B$1,[1]!Data_BS[Thang.Nam],DTR!AD$5)</f>
        <v>0</v>
      </c>
      <c r="AE125" s="229">
        <f>SUMIFS([1]!Data_BS[Value],[1]!Data_BS[Index BS],DTR!$B125,[1]!Data_BS[TenCongTyID],DTR!$B$1,[1]!Data_BS[Thang.Nam],DTR!AE$5)</f>
        <v>0</v>
      </c>
      <c r="AF125" s="229">
        <f>SUMIFS([1]!Data_BS[Value],[1]!Data_BS[Index BS],DTR!$B125,[1]!Data_BS[TenCongTyID],DTR!$B$1,[1]!Data_BS[Thang.Nam],DTR!AF$5)</f>
        <v>0</v>
      </c>
      <c r="AG125" s="229">
        <f>SUMIFS([1]!Data_BS[Value],[1]!Data_BS[Index BS],DTR!$B125,[1]!Data_BS[TenCongTyID],DTR!$B$1,[1]!Data_BS[Thang.Nam],DTR!AG$5)</f>
        <v>0</v>
      </c>
      <c r="AH125" s="229">
        <f>SUMIFS([1]!Data_BS[Value],[1]!Data_BS[Index BS],DTR!$B125,[1]!Data_BS[TenCongTyID],DTR!$B$1,[1]!Data_BS[Thang.Nam],DTR!AH$5)</f>
        <v>0</v>
      </c>
      <c r="AI125" s="229">
        <f>SUMIFS([1]!Data_BS[Value],[1]!Data_BS[Index BS],DTR!$B125,[1]!Data_BS[TenCongTyID],DTR!$B$1,[1]!Data_BS[Thang.Nam],DTR!AI$5)</f>
        <v>0</v>
      </c>
      <c r="AJ125" s="229">
        <f>SUMIFS([1]!Data_BS[Value],[1]!Data_BS[Index BS],DTR!$B125,[1]!Data_BS[TenCongTyID],DTR!$B$1,[1]!Data_BS[Thang.Nam],DTR!AJ$5)</f>
        <v>0</v>
      </c>
      <c r="AK125" s="229">
        <f>SUMIFS([1]!Data_BS[Value],[1]!Data_BS[Index BS],DTR!$B125,[1]!Data_BS[TenCongTyID],DTR!$B$1,[1]!Data_BS[Thang.Nam],DTR!AK$5)</f>
        <v>0</v>
      </c>
      <c r="AL125" s="229">
        <f>SUMIFS([1]!Data_BS[Value],[1]!Data_BS[Index BS],DTR!$B125,[1]!Data_BS[TenCongTyID],DTR!$B$1,[1]!Data_BS[Thang.Nam],DTR!AL$5)</f>
        <v>0</v>
      </c>
    </row>
    <row r="126" spans="1:38" ht="15" hidden="1" customHeight="1" outlineLevel="1">
      <c r="A126" s="67" t="s">
        <v>210</v>
      </c>
      <c r="B126" s="63">
        <v>121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36">
        <v>0</v>
      </c>
      <c r="P126" s="244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Z126" s="229">
        <v>0</v>
      </c>
      <c r="AA126" s="229">
        <f>SUMIFS([1]!Data_BS[Value],[1]!Data_BS[Index BS],DTR!$B126,[1]!Data_BS[TenCongTyID],DTR!$B$1,[1]!Data_BS[Thang.Nam],DTR!AA$5)</f>
        <v>0</v>
      </c>
      <c r="AB126" s="229">
        <f>SUMIFS([1]!Data_BS[Value],[1]!Data_BS[Index BS],DTR!$B126,[1]!Data_BS[TenCongTyID],DTR!$B$1,[1]!Data_BS[Thang.Nam],DTR!AB$5)</f>
        <v>0</v>
      </c>
      <c r="AC126" s="229">
        <f>SUMIFS([1]!Data_BS[Value],[1]!Data_BS[Index BS],DTR!$B126,[1]!Data_BS[TenCongTyID],DTR!$B$1,[1]!Data_BS[Thang.Nam],DTR!AC$5)</f>
        <v>0</v>
      </c>
      <c r="AD126" s="229">
        <f>SUMIFS([1]!Data_BS[Value],[1]!Data_BS[Index BS],DTR!$B126,[1]!Data_BS[TenCongTyID],DTR!$B$1,[1]!Data_BS[Thang.Nam],DTR!AD$5)</f>
        <v>0</v>
      </c>
      <c r="AE126" s="229">
        <f>SUMIFS([1]!Data_BS[Value],[1]!Data_BS[Index BS],DTR!$B126,[1]!Data_BS[TenCongTyID],DTR!$B$1,[1]!Data_BS[Thang.Nam],DTR!AE$5)</f>
        <v>0</v>
      </c>
      <c r="AF126" s="229">
        <f>SUMIFS([1]!Data_BS[Value],[1]!Data_BS[Index BS],DTR!$B126,[1]!Data_BS[TenCongTyID],DTR!$B$1,[1]!Data_BS[Thang.Nam],DTR!AF$5)</f>
        <v>0</v>
      </c>
      <c r="AG126" s="229">
        <f>SUMIFS([1]!Data_BS[Value],[1]!Data_BS[Index BS],DTR!$B126,[1]!Data_BS[TenCongTyID],DTR!$B$1,[1]!Data_BS[Thang.Nam],DTR!AG$5)</f>
        <v>0</v>
      </c>
      <c r="AH126" s="229">
        <f>SUMIFS([1]!Data_BS[Value],[1]!Data_BS[Index BS],DTR!$B126,[1]!Data_BS[TenCongTyID],DTR!$B$1,[1]!Data_BS[Thang.Nam],DTR!AH$5)</f>
        <v>0</v>
      </c>
      <c r="AI126" s="229">
        <f>SUMIFS([1]!Data_BS[Value],[1]!Data_BS[Index BS],DTR!$B126,[1]!Data_BS[TenCongTyID],DTR!$B$1,[1]!Data_BS[Thang.Nam],DTR!AI$5)</f>
        <v>0</v>
      </c>
      <c r="AJ126" s="229">
        <f>SUMIFS([1]!Data_BS[Value],[1]!Data_BS[Index BS],DTR!$B126,[1]!Data_BS[TenCongTyID],DTR!$B$1,[1]!Data_BS[Thang.Nam],DTR!AJ$5)</f>
        <v>0</v>
      </c>
      <c r="AK126" s="229">
        <f>SUMIFS([1]!Data_BS[Value],[1]!Data_BS[Index BS],DTR!$B126,[1]!Data_BS[TenCongTyID],DTR!$B$1,[1]!Data_BS[Thang.Nam],DTR!AK$5)</f>
        <v>0</v>
      </c>
      <c r="AL126" s="229">
        <f>SUMIFS([1]!Data_BS[Value],[1]!Data_BS[Index BS],DTR!$B126,[1]!Data_BS[TenCongTyID],DTR!$B$1,[1]!Data_BS[Thang.Nam],DTR!AL$5)</f>
        <v>0</v>
      </c>
    </row>
    <row r="127" spans="1:38" ht="15" hidden="1" customHeight="1" outlineLevel="1">
      <c r="A127" s="67" t="s">
        <v>211</v>
      </c>
      <c r="B127" s="63">
        <v>122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56">
        <v>0</v>
      </c>
      <c r="P127" s="244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Z127" s="229">
        <v>0</v>
      </c>
      <c r="AA127" s="229">
        <f>SUMIFS([1]!Data_BS[Value],[1]!Data_BS[Index BS],DTR!$B127,[1]!Data_BS[TenCongTyID],DTR!$B$1,[1]!Data_BS[Thang.Nam],DTR!AA$5)</f>
        <v>0</v>
      </c>
      <c r="AB127" s="229">
        <f>SUMIFS([1]!Data_BS[Value],[1]!Data_BS[Index BS],DTR!$B127,[1]!Data_BS[TenCongTyID],DTR!$B$1,[1]!Data_BS[Thang.Nam],DTR!AB$5)</f>
        <v>0</v>
      </c>
      <c r="AC127" s="229">
        <f>SUMIFS([1]!Data_BS[Value],[1]!Data_BS[Index BS],DTR!$B127,[1]!Data_BS[TenCongTyID],DTR!$B$1,[1]!Data_BS[Thang.Nam],DTR!AC$5)</f>
        <v>0</v>
      </c>
      <c r="AD127" s="229">
        <f>SUMIFS([1]!Data_BS[Value],[1]!Data_BS[Index BS],DTR!$B127,[1]!Data_BS[TenCongTyID],DTR!$B$1,[1]!Data_BS[Thang.Nam],DTR!AD$5)</f>
        <v>0</v>
      </c>
      <c r="AE127" s="229">
        <f>SUMIFS([1]!Data_BS[Value],[1]!Data_BS[Index BS],DTR!$B127,[1]!Data_BS[TenCongTyID],DTR!$B$1,[1]!Data_BS[Thang.Nam],DTR!AE$5)</f>
        <v>0</v>
      </c>
      <c r="AF127" s="229">
        <f>SUMIFS([1]!Data_BS[Value],[1]!Data_BS[Index BS],DTR!$B127,[1]!Data_BS[TenCongTyID],DTR!$B$1,[1]!Data_BS[Thang.Nam],DTR!AF$5)</f>
        <v>0</v>
      </c>
      <c r="AG127" s="229">
        <f>SUMIFS([1]!Data_BS[Value],[1]!Data_BS[Index BS],DTR!$B127,[1]!Data_BS[TenCongTyID],DTR!$B$1,[1]!Data_BS[Thang.Nam],DTR!AG$5)</f>
        <v>0</v>
      </c>
      <c r="AH127" s="229">
        <f>SUMIFS([1]!Data_BS[Value],[1]!Data_BS[Index BS],DTR!$B127,[1]!Data_BS[TenCongTyID],DTR!$B$1,[1]!Data_BS[Thang.Nam],DTR!AH$5)</f>
        <v>0</v>
      </c>
      <c r="AI127" s="229">
        <f>SUMIFS([1]!Data_BS[Value],[1]!Data_BS[Index BS],DTR!$B127,[1]!Data_BS[TenCongTyID],DTR!$B$1,[1]!Data_BS[Thang.Nam],DTR!AI$5)</f>
        <v>0</v>
      </c>
      <c r="AJ127" s="229">
        <f>SUMIFS([1]!Data_BS[Value],[1]!Data_BS[Index BS],DTR!$B127,[1]!Data_BS[TenCongTyID],DTR!$B$1,[1]!Data_BS[Thang.Nam],DTR!AJ$5)</f>
        <v>0</v>
      </c>
      <c r="AK127" s="229">
        <f>SUMIFS([1]!Data_BS[Value],[1]!Data_BS[Index BS],DTR!$B127,[1]!Data_BS[TenCongTyID],DTR!$B$1,[1]!Data_BS[Thang.Nam],DTR!AK$5)</f>
        <v>0</v>
      </c>
      <c r="AL127" s="229">
        <f>SUMIFS([1]!Data_BS[Value],[1]!Data_BS[Index BS],DTR!$B127,[1]!Data_BS[TenCongTyID],DTR!$B$1,[1]!Data_BS[Thang.Nam],DTR!AL$5)</f>
        <v>0</v>
      </c>
    </row>
    <row r="128" spans="1:38" ht="15" hidden="1" customHeight="1" outlineLevel="1">
      <c r="A128" s="86" t="s">
        <v>212</v>
      </c>
      <c r="B128" s="87">
        <v>123</v>
      </c>
      <c r="C128" s="257">
        <v>153165083671</v>
      </c>
      <c r="D128" s="257">
        <v>147894434874</v>
      </c>
      <c r="E128" s="257">
        <v>144935125273</v>
      </c>
      <c r="F128" s="257">
        <v>147410372013</v>
      </c>
      <c r="G128" s="257">
        <v>143256969673</v>
      </c>
      <c r="H128" s="257">
        <v>133041521606</v>
      </c>
      <c r="I128" s="257">
        <v>119516836113</v>
      </c>
      <c r="J128" s="257">
        <v>111233888128</v>
      </c>
      <c r="K128" s="257">
        <v>120907156245</v>
      </c>
      <c r="L128" s="257">
        <v>115931936164</v>
      </c>
      <c r="M128" s="257">
        <v>112689916038</v>
      </c>
      <c r="N128" s="257">
        <v>204759655867</v>
      </c>
      <c r="O128" s="258">
        <v>209656736419</v>
      </c>
      <c r="P128" s="259">
        <v>227057533148</v>
      </c>
      <c r="Q128" s="257">
        <v>234155782207</v>
      </c>
      <c r="R128" s="257">
        <v>237906765692</v>
      </c>
      <c r="S128" s="257">
        <v>247436969996</v>
      </c>
      <c r="T128" s="257">
        <v>248509470753</v>
      </c>
      <c r="U128" s="257">
        <v>249548988610</v>
      </c>
      <c r="V128" s="257">
        <v>249642208341</v>
      </c>
      <c r="W128" s="257">
        <v>239440053690</v>
      </c>
      <c r="X128" s="257">
        <v>234755395640</v>
      </c>
      <c r="Y128" s="257">
        <v>227834897793</v>
      </c>
      <c r="Z128" s="257">
        <v>242051292164</v>
      </c>
      <c r="AA128" s="257">
        <f>SUMIFS([1]!Data_BS[Value],[1]!Data_BS[Index BS],DTR!$B128,[1]!Data_BS[TenCongTyID],DTR!$B$1,[1]!Data_BS[Thang.Nam],DTR!AA$5)</f>
        <v>0</v>
      </c>
      <c r="AB128" s="257">
        <f>SUMIFS([1]!Data_BS[Value],[1]!Data_BS[Index BS],DTR!$B128,[1]!Data_BS[TenCongTyID],DTR!$B$1,[1]!Data_BS[Thang.Nam],DTR!AB$5)</f>
        <v>0</v>
      </c>
      <c r="AC128" s="257">
        <f>SUMIFS([1]!Data_BS[Value],[1]!Data_BS[Index BS],DTR!$B128,[1]!Data_BS[TenCongTyID],DTR!$B$1,[1]!Data_BS[Thang.Nam],DTR!AC$5)</f>
        <v>0</v>
      </c>
      <c r="AD128" s="257">
        <f>SUMIFS([1]!Data_BS[Value],[1]!Data_BS[Index BS],DTR!$B128,[1]!Data_BS[TenCongTyID],DTR!$B$1,[1]!Data_BS[Thang.Nam],DTR!AD$5)</f>
        <v>0</v>
      </c>
      <c r="AE128" s="257">
        <f>SUMIFS([1]!Data_BS[Value],[1]!Data_BS[Index BS],DTR!$B128,[1]!Data_BS[TenCongTyID],DTR!$B$1,[1]!Data_BS[Thang.Nam],DTR!AE$5)</f>
        <v>0</v>
      </c>
      <c r="AF128" s="257">
        <f>SUMIFS([1]!Data_BS[Value],[1]!Data_BS[Index BS],DTR!$B128,[1]!Data_BS[TenCongTyID],DTR!$B$1,[1]!Data_BS[Thang.Nam],DTR!AF$5)</f>
        <v>0</v>
      </c>
      <c r="AG128" s="257">
        <f>SUMIFS([1]!Data_BS[Value],[1]!Data_BS[Index BS],DTR!$B128,[1]!Data_BS[TenCongTyID],DTR!$B$1,[1]!Data_BS[Thang.Nam],DTR!AG$5)</f>
        <v>0</v>
      </c>
      <c r="AH128" s="257">
        <f>SUMIFS([1]!Data_BS[Value],[1]!Data_BS[Index BS],DTR!$B128,[1]!Data_BS[TenCongTyID],DTR!$B$1,[1]!Data_BS[Thang.Nam],DTR!AH$5)</f>
        <v>0</v>
      </c>
      <c r="AI128" s="257">
        <f>SUMIFS([1]!Data_BS[Value],[1]!Data_BS[Index BS],DTR!$B128,[1]!Data_BS[TenCongTyID],DTR!$B$1,[1]!Data_BS[Thang.Nam],DTR!AI$5)</f>
        <v>0</v>
      </c>
      <c r="AJ128" s="257">
        <f>SUMIFS([1]!Data_BS[Value],[1]!Data_BS[Index BS],DTR!$B128,[1]!Data_BS[TenCongTyID],DTR!$B$1,[1]!Data_BS[Thang.Nam],DTR!AJ$5)</f>
        <v>0</v>
      </c>
      <c r="AK128" s="257">
        <f>SUMIFS([1]!Data_BS[Value],[1]!Data_BS[Index BS],DTR!$B128,[1]!Data_BS[TenCongTyID],DTR!$B$1,[1]!Data_BS[Thang.Nam],DTR!AK$5)</f>
        <v>0</v>
      </c>
      <c r="AL128" s="257">
        <f>SUMIFS([1]!Data_BS[Value],[1]!Data_BS[Index BS],DTR!$B128,[1]!Data_BS[TenCongTyID],DTR!$B$1,[1]!Data_BS[Thang.Nam],DTR!AL$5)</f>
        <v>0</v>
      </c>
    </row>
    <row r="129" spans="1:52" ht="15" hidden="1" customHeight="1" outlineLevel="1">
      <c r="A129" s="89" t="s">
        <v>213</v>
      </c>
      <c r="B129" s="63">
        <v>124</v>
      </c>
      <c r="C129" s="229">
        <v>151242309208</v>
      </c>
      <c r="D129" s="229">
        <v>153165083671</v>
      </c>
      <c r="E129" s="229">
        <v>147894434874</v>
      </c>
      <c r="F129" s="229">
        <v>144935125273</v>
      </c>
      <c r="G129" s="229">
        <v>147410372013</v>
      </c>
      <c r="H129" s="229">
        <v>143256969673</v>
      </c>
      <c r="I129" s="229">
        <v>133041521606</v>
      </c>
      <c r="J129" s="229">
        <v>119516836113</v>
      </c>
      <c r="K129" s="229">
        <v>111233888128</v>
      </c>
      <c r="L129" s="229">
        <v>120907156245</v>
      </c>
      <c r="M129" s="229">
        <v>115931936164</v>
      </c>
      <c r="N129" s="229">
        <v>112689916038</v>
      </c>
      <c r="O129" s="237">
        <v>204759655867</v>
      </c>
      <c r="P129" s="244">
        <v>209656736419</v>
      </c>
      <c r="Q129" s="229">
        <v>227057533148</v>
      </c>
      <c r="R129" s="229">
        <v>234155782207</v>
      </c>
      <c r="S129" s="229">
        <v>237906765692</v>
      </c>
      <c r="T129" s="229">
        <v>247436969996</v>
      </c>
      <c r="U129" s="229">
        <v>248509470753</v>
      </c>
      <c r="V129" s="229">
        <v>249548988610</v>
      </c>
      <c r="W129" s="229">
        <v>249642208341</v>
      </c>
      <c r="X129" s="229">
        <v>239440053690</v>
      </c>
      <c r="Y129" s="229">
        <v>234755395640</v>
      </c>
      <c r="Z129" s="229">
        <v>227834897793</v>
      </c>
      <c r="AA129" s="229">
        <f>SUMIFS([1]!Data_BS[Value],[1]!Data_BS[Index BS],DTR!$B129,[1]!Data_BS[TenCongTyID],DTR!$B$1,[1]!Data_BS[Thang.Nam],DTR!AA$5)</f>
        <v>0</v>
      </c>
      <c r="AB129" s="229">
        <f>SUMIFS([1]!Data_BS[Value],[1]!Data_BS[Index BS],DTR!$B129,[1]!Data_BS[TenCongTyID],DTR!$B$1,[1]!Data_BS[Thang.Nam],DTR!AB$5)</f>
        <v>0</v>
      </c>
      <c r="AC129" s="229">
        <f>SUMIFS([1]!Data_BS[Value],[1]!Data_BS[Index BS],DTR!$B129,[1]!Data_BS[TenCongTyID],DTR!$B$1,[1]!Data_BS[Thang.Nam],DTR!AC$5)</f>
        <v>0</v>
      </c>
      <c r="AD129" s="229">
        <f>SUMIFS([1]!Data_BS[Value],[1]!Data_BS[Index BS],DTR!$B129,[1]!Data_BS[TenCongTyID],DTR!$B$1,[1]!Data_BS[Thang.Nam],DTR!AD$5)</f>
        <v>0</v>
      </c>
      <c r="AE129" s="229">
        <f>SUMIFS([1]!Data_BS[Value],[1]!Data_BS[Index BS],DTR!$B129,[1]!Data_BS[TenCongTyID],DTR!$B$1,[1]!Data_BS[Thang.Nam],DTR!AE$5)</f>
        <v>0</v>
      </c>
      <c r="AF129" s="229">
        <f>SUMIFS([1]!Data_BS[Value],[1]!Data_BS[Index BS],DTR!$B129,[1]!Data_BS[TenCongTyID],DTR!$B$1,[1]!Data_BS[Thang.Nam],DTR!AF$5)</f>
        <v>0</v>
      </c>
      <c r="AG129" s="229">
        <f>SUMIFS([1]!Data_BS[Value],[1]!Data_BS[Index BS],DTR!$B129,[1]!Data_BS[TenCongTyID],DTR!$B$1,[1]!Data_BS[Thang.Nam],DTR!AG$5)</f>
        <v>0</v>
      </c>
      <c r="AH129" s="229">
        <f>SUMIFS([1]!Data_BS[Value],[1]!Data_BS[Index BS],DTR!$B129,[1]!Data_BS[TenCongTyID],DTR!$B$1,[1]!Data_BS[Thang.Nam],DTR!AH$5)</f>
        <v>0</v>
      </c>
      <c r="AI129" s="229">
        <f>SUMIFS([1]!Data_BS[Value],[1]!Data_BS[Index BS],DTR!$B129,[1]!Data_BS[TenCongTyID],DTR!$B$1,[1]!Data_BS[Thang.Nam],DTR!AI$5)</f>
        <v>0</v>
      </c>
      <c r="AJ129" s="229">
        <f>SUMIFS([1]!Data_BS[Value],[1]!Data_BS[Index BS],DTR!$B129,[1]!Data_BS[TenCongTyID],DTR!$B$1,[1]!Data_BS[Thang.Nam],DTR!AJ$5)</f>
        <v>0</v>
      </c>
      <c r="AK129" s="229">
        <f>SUMIFS([1]!Data_BS[Value],[1]!Data_BS[Index BS],DTR!$B129,[1]!Data_BS[TenCongTyID],DTR!$B$1,[1]!Data_BS[Thang.Nam],DTR!AK$5)</f>
        <v>0</v>
      </c>
      <c r="AL129" s="229">
        <f>SUMIFS([1]!Data_BS[Value],[1]!Data_BS[Index BS],DTR!$B129,[1]!Data_BS[TenCongTyID],DTR!$B$1,[1]!Data_BS[Thang.Nam],DTR!AL$5)</f>
        <v>0</v>
      </c>
    </row>
    <row r="130" spans="1:52" ht="15" hidden="1" customHeight="1" outlineLevel="1">
      <c r="A130" s="89" t="s">
        <v>214</v>
      </c>
      <c r="B130" s="63">
        <v>125</v>
      </c>
      <c r="C130" s="229">
        <v>1922774463</v>
      </c>
      <c r="D130" s="229">
        <v>-5270648797</v>
      </c>
      <c r="E130" s="229">
        <v>-2959309601</v>
      </c>
      <c r="F130" s="229">
        <v>2475246740</v>
      </c>
      <c r="G130" s="229">
        <v>-4153402340</v>
      </c>
      <c r="H130" s="229">
        <v>-10215448067</v>
      </c>
      <c r="I130" s="229">
        <v>-13524685493</v>
      </c>
      <c r="J130" s="229">
        <v>-8282947985</v>
      </c>
      <c r="K130" s="229">
        <v>9673268117</v>
      </c>
      <c r="L130" s="229">
        <v>-4975220081</v>
      </c>
      <c r="M130" s="229">
        <v>-3242020126</v>
      </c>
      <c r="N130" s="229">
        <v>92069739829</v>
      </c>
      <c r="O130" s="258">
        <v>4897080552</v>
      </c>
      <c r="P130" s="244">
        <v>17400796729</v>
      </c>
      <c r="Q130" s="229">
        <v>7098249059</v>
      </c>
      <c r="R130" s="229">
        <v>3750983485</v>
      </c>
      <c r="S130" s="229">
        <v>9530204304</v>
      </c>
      <c r="T130" s="229">
        <v>1072500757</v>
      </c>
      <c r="U130" s="229">
        <v>1039517857</v>
      </c>
      <c r="V130" s="229">
        <v>93219731</v>
      </c>
      <c r="W130" s="229">
        <v>-10202154651</v>
      </c>
      <c r="X130" s="229">
        <v>-4684658050</v>
      </c>
      <c r="Y130" s="229">
        <v>-6920497847</v>
      </c>
      <c r="Z130" s="229">
        <v>14216394371</v>
      </c>
      <c r="AA130" s="229">
        <f>SUMIFS([1]!Data_BS[Value],[1]!Data_BS[Index BS],DTR!$B130,[1]!Data_BS[TenCongTyID],DTR!$B$1,[1]!Data_BS[Thang.Nam],DTR!AA$5)</f>
        <v>0</v>
      </c>
      <c r="AB130" s="229">
        <f>SUMIFS([1]!Data_BS[Value],[1]!Data_BS[Index BS],DTR!$B130,[1]!Data_BS[TenCongTyID],DTR!$B$1,[1]!Data_BS[Thang.Nam],DTR!AB$5)</f>
        <v>0</v>
      </c>
      <c r="AC130" s="229">
        <f>SUMIFS([1]!Data_BS[Value],[1]!Data_BS[Index BS],DTR!$B130,[1]!Data_BS[TenCongTyID],DTR!$B$1,[1]!Data_BS[Thang.Nam],DTR!AC$5)</f>
        <v>0</v>
      </c>
      <c r="AD130" s="229">
        <f>SUMIFS([1]!Data_BS[Value],[1]!Data_BS[Index BS],DTR!$B130,[1]!Data_BS[TenCongTyID],DTR!$B$1,[1]!Data_BS[Thang.Nam],DTR!AD$5)</f>
        <v>0</v>
      </c>
      <c r="AE130" s="229">
        <f>SUMIFS([1]!Data_BS[Value],[1]!Data_BS[Index BS],DTR!$B130,[1]!Data_BS[TenCongTyID],DTR!$B$1,[1]!Data_BS[Thang.Nam],DTR!AE$5)</f>
        <v>0</v>
      </c>
      <c r="AF130" s="229">
        <f>SUMIFS([1]!Data_BS[Value],[1]!Data_BS[Index BS],DTR!$B130,[1]!Data_BS[TenCongTyID],DTR!$B$1,[1]!Data_BS[Thang.Nam],DTR!AF$5)</f>
        <v>0</v>
      </c>
      <c r="AG130" s="229">
        <f>SUMIFS([1]!Data_BS[Value],[1]!Data_BS[Index BS],DTR!$B130,[1]!Data_BS[TenCongTyID],DTR!$B$1,[1]!Data_BS[Thang.Nam],DTR!AG$5)</f>
        <v>0</v>
      </c>
      <c r="AH130" s="229">
        <f>SUMIFS([1]!Data_BS[Value],[1]!Data_BS[Index BS],DTR!$B130,[1]!Data_BS[TenCongTyID],DTR!$B$1,[1]!Data_BS[Thang.Nam],DTR!AH$5)</f>
        <v>0</v>
      </c>
      <c r="AI130" s="229">
        <f>SUMIFS([1]!Data_BS[Value],[1]!Data_BS[Index BS],DTR!$B130,[1]!Data_BS[TenCongTyID],DTR!$B$1,[1]!Data_BS[Thang.Nam],DTR!AI$5)</f>
        <v>0</v>
      </c>
      <c r="AJ130" s="229">
        <f>SUMIFS([1]!Data_BS[Value],[1]!Data_BS[Index BS],DTR!$B130,[1]!Data_BS[TenCongTyID],DTR!$B$1,[1]!Data_BS[Thang.Nam],DTR!AJ$5)</f>
        <v>0</v>
      </c>
      <c r="AK130" s="229">
        <f>SUMIFS([1]!Data_BS[Value],[1]!Data_BS[Index BS],DTR!$B130,[1]!Data_BS[TenCongTyID],DTR!$B$1,[1]!Data_BS[Thang.Nam],DTR!AK$5)</f>
        <v>0</v>
      </c>
      <c r="AL130" s="229">
        <f>SUMIFS([1]!Data_BS[Value],[1]!Data_BS[Index BS],DTR!$B130,[1]!Data_BS[TenCongTyID],DTR!$B$1,[1]!Data_BS[Thang.Nam],DTR!AL$5)</f>
        <v>0</v>
      </c>
    </row>
    <row r="131" spans="1:52" s="264" customFormat="1" ht="15" hidden="1" customHeight="1" outlineLevel="1">
      <c r="A131" s="91" t="s">
        <v>215</v>
      </c>
      <c r="B131" s="92">
        <v>126</v>
      </c>
      <c r="C131" s="260">
        <v>1057103531305</v>
      </c>
      <c r="D131" s="260">
        <v>1040896591576</v>
      </c>
      <c r="E131" s="260">
        <v>1086666187007</v>
      </c>
      <c r="F131" s="260">
        <v>1148315875666</v>
      </c>
      <c r="G131" s="260">
        <v>1198060080145</v>
      </c>
      <c r="H131" s="260">
        <v>1227307344731</v>
      </c>
      <c r="I131" s="260">
        <v>1174910121203</v>
      </c>
      <c r="J131" s="260">
        <v>1123549747111</v>
      </c>
      <c r="K131" s="260">
        <v>1164301804118</v>
      </c>
      <c r="L131" s="260">
        <v>1184459048233</v>
      </c>
      <c r="M131" s="260">
        <v>1262755141991</v>
      </c>
      <c r="N131" s="261">
        <v>1255526266731</v>
      </c>
      <c r="O131" s="262">
        <v>1184167227046</v>
      </c>
      <c r="P131" s="263">
        <v>1099673392126</v>
      </c>
      <c r="Q131" s="261">
        <v>1153710875298</v>
      </c>
      <c r="R131" s="261">
        <v>1224376777626</v>
      </c>
      <c r="S131" s="261">
        <v>1280979662011</v>
      </c>
      <c r="T131" s="261">
        <v>1310961670922</v>
      </c>
      <c r="U131" s="261">
        <v>1296565798277</v>
      </c>
      <c r="V131" s="261">
        <v>1356526045802</v>
      </c>
      <c r="W131" s="261">
        <v>1344912228849</v>
      </c>
      <c r="X131" s="261">
        <v>1299331457948</v>
      </c>
      <c r="Y131" s="261">
        <v>1275169884404</v>
      </c>
      <c r="Z131" s="261">
        <v>1274425697136</v>
      </c>
      <c r="AA131" s="261">
        <f>SUMIFS([1]!Data_BS[Value],[1]!Data_BS[Index BS],DTR!$B131,[1]!Data_BS[TenCongTyID],DTR!$B$1,[1]!Data_BS[Thang.Nam],DTR!AA$5)</f>
        <v>0</v>
      </c>
      <c r="AB131" s="261">
        <f>SUMIFS([1]!Data_BS[Value],[1]!Data_BS[Index BS],DTR!$B131,[1]!Data_BS[TenCongTyID],DTR!$B$1,[1]!Data_BS[Thang.Nam],DTR!AB$5)</f>
        <v>0</v>
      </c>
      <c r="AC131" s="261">
        <f>SUMIFS([1]!Data_BS[Value],[1]!Data_BS[Index BS],DTR!$B131,[1]!Data_BS[TenCongTyID],DTR!$B$1,[1]!Data_BS[Thang.Nam],DTR!AC$5)</f>
        <v>0</v>
      </c>
      <c r="AD131" s="261">
        <f>SUMIFS([1]!Data_BS[Value],[1]!Data_BS[Index BS],DTR!$B131,[1]!Data_BS[TenCongTyID],DTR!$B$1,[1]!Data_BS[Thang.Nam],DTR!AD$5)</f>
        <v>0</v>
      </c>
      <c r="AE131" s="261">
        <f>SUMIFS([1]!Data_BS[Value],[1]!Data_BS[Index BS],DTR!$B131,[1]!Data_BS[TenCongTyID],DTR!$B$1,[1]!Data_BS[Thang.Nam],DTR!AE$5)</f>
        <v>0</v>
      </c>
      <c r="AF131" s="261">
        <f>SUMIFS([1]!Data_BS[Value],[1]!Data_BS[Index BS],DTR!$B131,[1]!Data_BS[TenCongTyID],DTR!$B$1,[1]!Data_BS[Thang.Nam],DTR!AF$5)</f>
        <v>0</v>
      </c>
      <c r="AG131" s="261">
        <f>SUMIFS([1]!Data_BS[Value],[1]!Data_BS[Index BS],DTR!$B131,[1]!Data_BS[TenCongTyID],DTR!$B$1,[1]!Data_BS[Thang.Nam],DTR!AG$5)</f>
        <v>0</v>
      </c>
      <c r="AH131" s="261">
        <f>SUMIFS([1]!Data_BS[Value],[1]!Data_BS[Index BS],DTR!$B131,[1]!Data_BS[TenCongTyID],DTR!$B$1,[1]!Data_BS[Thang.Nam],DTR!AH$5)</f>
        <v>0</v>
      </c>
      <c r="AI131" s="261">
        <f>SUMIFS([1]!Data_BS[Value],[1]!Data_BS[Index BS],DTR!$B131,[1]!Data_BS[TenCongTyID],DTR!$B$1,[1]!Data_BS[Thang.Nam],DTR!AI$5)</f>
        <v>0</v>
      </c>
      <c r="AJ131" s="261">
        <f>SUMIFS([1]!Data_BS[Value],[1]!Data_BS[Index BS],DTR!$B131,[1]!Data_BS[TenCongTyID],DTR!$B$1,[1]!Data_BS[Thang.Nam],DTR!AJ$5)</f>
        <v>0</v>
      </c>
      <c r="AK131" s="261">
        <f>SUMIFS([1]!Data_BS[Value],[1]!Data_BS[Index BS],DTR!$B131,[1]!Data_BS[TenCongTyID],DTR!$B$1,[1]!Data_BS[Thang.Nam],DTR!AK$5)</f>
        <v>0</v>
      </c>
      <c r="AL131" s="261">
        <f>SUMIFS([1]!Data_BS[Value],[1]!Data_BS[Index BS],DTR!$B131,[1]!Data_BS[TenCongTyID],DTR!$B$1,[1]!Data_BS[Thang.Nam],DTR!AL$5)</f>
        <v>0</v>
      </c>
    </row>
    <row r="132" spans="1:52" ht="15" customHeight="1">
      <c r="A132" s="94"/>
      <c r="B132" s="95"/>
      <c r="C132" s="95">
        <f t="shared" ref="C132:V132" si="4">C131-C83</f>
        <v>0</v>
      </c>
      <c r="D132" s="95">
        <f t="shared" si="4"/>
        <v>0</v>
      </c>
      <c r="E132" s="95">
        <f t="shared" si="4"/>
        <v>0</v>
      </c>
      <c r="F132" s="95">
        <f t="shared" si="4"/>
        <v>0</v>
      </c>
      <c r="G132" s="95">
        <f t="shared" si="4"/>
        <v>0</v>
      </c>
      <c r="H132" s="95">
        <f t="shared" si="4"/>
        <v>0</v>
      </c>
      <c r="I132" s="265">
        <f t="shared" si="4"/>
        <v>0</v>
      </c>
      <c r="J132" s="265">
        <f t="shared" si="4"/>
        <v>0</v>
      </c>
      <c r="K132" s="265">
        <f t="shared" si="4"/>
        <v>0</v>
      </c>
      <c r="L132" s="265">
        <f t="shared" si="4"/>
        <v>0</v>
      </c>
      <c r="M132" s="265">
        <f t="shared" si="4"/>
        <v>0</v>
      </c>
      <c r="N132" s="265">
        <f t="shared" si="4"/>
        <v>0</v>
      </c>
      <c r="O132" s="266">
        <f t="shared" si="4"/>
        <v>0</v>
      </c>
      <c r="P132" s="265">
        <f t="shared" si="4"/>
        <v>0</v>
      </c>
      <c r="Q132" s="265">
        <f t="shared" si="4"/>
        <v>0</v>
      </c>
      <c r="R132" s="265">
        <f t="shared" si="4"/>
        <v>0</v>
      </c>
      <c r="S132" s="265">
        <f t="shared" si="4"/>
        <v>0</v>
      </c>
      <c r="T132" s="265">
        <f t="shared" si="4"/>
        <v>0</v>
      </c>
      <c r="U132" s="265">
        <f t="shared" si="4"/>
        <v>0</v>
      </c>
      <c r="V132" s="265">
        <f t="shared" si="4"/>
        <v>0</v>
      </c>
      <c r="W132" s="265"/>
      <c r="X132" s="265">
        <f>X131-X83</f>
        <v>0</v>
      </c>
      <c r="Y132" s="265">
        <f>Y131-Y83</f>
        <v>0</v>
      </c>
      <c r="Z132" s="265">
        <v>0</v>
      </c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">
        <v>66</v>
      </c>
      <c r="D133" s="101" t="s">
        <v>67</v>
      </c>
      <c r="E133" s="101" t="s">
        <v>68</v>
      </c>
      <c r="F133" s="101" t="s">
        <v>69</v>
      </c>
      <c r="G133" s="101" t="s">
        <v>70</v>
      </c>
      <c r="H133" s="101" t="s">
        <v>71</v>
      </c>
      <c r="I133" s="101" t="s">
        <v>72</v>
      </c>
      <c r="J133" s="101" t="s">
        <v>73</v>
      </c>
      <c r="K133" s="101" t="s">
        <v>74</v>
      </c>
      <c r="L133" s="101" t="s">
        <v>75</v>
      </c>
      <c r="M133" s="101" t="s">
        <v>76</v>
      </c>
      <c r="N133" s="101" t="s">
        <v>77</v>
      </c>
      <c r="O133" s="101" t="s">
        <v>78</v>
      </c>
      <c r="P133" s="101" t="s">
        <v>79</v>
      </c>
      <c r="Q133" s="101" t="s">
        <v>80</v>
      </c>
      <c r="R133" s="101" t="s">
        <v>81</v>
      </c>
      <c r="S133" s="101" t="s">
        <v>82</v>
      </c>
      <c r="T133" s="101" t="s">
        <v>83</v>
      </c>
      <c r="U133" s="101" t="s">
        <v>84</v>
      </c>
      <c r="V133" s="101" t="s">
        <v>85</v>
      </c>
      <c r="W133" s="101" t="s">
        <v>86</v>
      </c>
      <c r="X133" s="101" t="s">
        <v>87</v>
      </c>
      <c r="Y133" s="101" t="s">
        <v>88</v>
      </c>
      <c r="Z133" s="101" t="s">
        <v>89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212">
        <v>2026</v>
      </c>
    </row>
    <row r="134" spans="1:52" s="107" customFormat="1" ht="15" customHeight="1">
      <c r="A134" s="104" t="s">
        <v>219</v>
      </c>
      <c r="B134" s="105">
        <v>1</v>
      </c>
      <c r="C134" s="106">
        <v>3143.3249999999998</v>
      </c>
      <c r="D134" s="268">
        <v>2064.375</v>
      </c>
      <c r="E134" s="268">
        <v>2908.4</v>
      </c>
      <c r="F134" s="268">
        <v>3200.75</v>
      </c>
      <c r="G134" s="268">
        <v>3201.51</v>
      </c>
      <c r="H134" s="268">
        <v>1881.75</v>
      </c>
      <c r="I134" s="268">
        <v>1784.2249999999999</v>
      </c>
      <c r="J134" s="268">
        <v>4611.4182000000001</v>
      </c>
      <c r="K134" s="268">
        <v>4683.6000000000004</v>
      </c>
      <c r="L134" s="268">
        <v>3573.5250000000001</v>
      </c>
      <c r="M134" s="269">
        <v>1971.925</v>
      </c>
      <c r="N134" s="270">
        <v>2839.35</v>
      </c>
      <c r="O134" s="106">
        <v>3575.9992999999999</v>
      </c>
      <c r="P134" s="270">
        <v>5476.6750000000002</v>
      </c>
      <c r="Q134" s="270">
        <v>4580.05</v>
      </c>
      <c r="R134" s="270">
        <v>3850.9250000000002</v>
      </c>
      <c r="S134" s="270">
        <v>4586.0243</v>
      </c>
      <c r="T134" s="270">
        <v>3673.2080000000001</v>
      </c>
      <c r="U134" s="270">
        <v>4560.4240999999993</v>
      </c>
      <c r="V134" s="270">
        <v>5189.3680000000004</v>
      </c>
      <c r="W134" s="270">
        <v>2657.0430000000001</v>
      </c>
      <c r="X134" s="270">
        <v>3219.1950000000002</v>
      </c>
      <c r="Y134" s="270">
        <v>2510.415</v>
      </c>
      <c r="Z134" s="271">
        <v>2781</v>
      </c>
      <c r="AA134" s="272">
        <v>4318.222932676138</v>
      </c>
      <c r="AB134" s="272">
        <v>4253.3145678240326</v>
      </c>
      <c r="AC134" s="272">
        <v>4678.557403475741</v>
      </c>
      <c r="AD134" s="272">
        <v>4394.231518676721</v>
      </c>
      <c r="AE134" s="272">
        <v>4663.4364391825347</v>
      </c>
      <c r="AF134" s="272">
        <v>4691.9521822275938</v>
      </c>
      <c r="AG134" s="272">
        <v>4689.422516973269</v>
      </c>
      <c r="AH134" s="272">
        <v>4562.8494989087394</v>
      </c>
      <c r="AI134" s="272">
        <v>4774.6231018888848</v>
      </c>
      <c r="AJ134" s="272">
        <v>4468.6262974285746</v>
      </c>
      <c r="AK134" s="272">
        <v>4720.2431243544625</v>
      </c>
      <c r="AL134" s="272">
        <v>4784.5204185700313</v>
      </c>
      <c r="AM134" s="273">
        <f t="shared" ref="AM134:AM153" si="5">SUM(AA134:AL134)</f>
        <v>55000.000002186731</v>
      </c>
    </row>
    <row r="135" spans="1:52" s="107" customFormat="1" ht="15" customHeight="1">
      <c r="A135" s="108" t="s">
        <v>220</v>
      </c>
      <c r="B135" s="109">
        <v>2</v>
      </c>
      <c r="C135" s="274">
        <v>95961616736</v>
      </c>
      <c r="D135" s="274">
        <v>70105871996</v>
      </c>
      <c r="E135" s="274">
        <v>92109508133</v>
      </c>
      <c r="F135" s="274">
        <v>97489092894</v>
      </c>
      <c r="G135" s="274">
        <v>102501453344</v>
      </c>
      <c r="H135" s="274">
        <v>68093170109</v>
      </c>
      <c r="I135" s="274">
        <v>56451269692</v>
      </c>
      <c r="J135" s="274">
        <v>160372945473</v>
      </c>
      <c r="K135" s="274">
        <v>161501484254</v>
      </c>
      <c r="L135" s="274">
        <v>119734804022</v>
      </c>
      <c r="M135" s="274">
        <v>76175498864</v>
      </c>
      <c r="N135" s="274">
        <v>110890509220</v>
      </c>
      <c r="O135" s="274">
        <v>114976445897</v>
      </c>
      <c r="P135" s="274">
        <v>188477338235</v>
      </c>
      <c r="Q135" s="274">
        <v>150730683132</v>
      </c>
      <c r="R135" s="274">
        <v>125734240353</v>
      </c>
      <c r="S135" s="274">
        <v>153674258114</v>
      </c>
      <c r="T135" s="274">
        <v>119843310993</v>
      </c>
      <c r="U135" s="274">
        <v>138018360641</v>
      </c>
      <c r="V135" s="274">
        <v>169442946928</v>
      </c>
      <c r="W135" s="274">
        <v>91484253567</v>
      </c>
      <c r="X135" s="274">
        <v>108928556660</v>
      </c>
      <c r="Y135" s="274">
        <v>89826973802</v>
      </c>
      <c r="Z135" s="275">
        <v>100861213901</v>
      </c>
      <c r="AA135" s="276">
        <f>AA137</f>
        <v>129505341136.8568</v>
      </c>
      <c r="AB135" s="133">
        <f t="shared" ref="AB135:AL135" si="6">AB137</f>
        <v>127974441177.86678</v>
      </c>
      <c r="AC135" s="133">
        <f t="shared" si="6"/>
        <v>141599491827.82724</v>
      </c>
      <c r="AD135" s="133">
        <f t="shared" si="6"/>
        <v>131782266518.60179</v>
      </c>
      <c r="AE135" s="133">
        <f t="shared" si="6"/>
        <v>140244307484.73703</v>
      </c>
      <c r="AF135" s="133">
        <f t="shared" si="6"/>
        <v>141409300219.24362</v>
      </c>
      <c r="AG135" s="133">
        <f t="shared" si="6"/>
        <v>145404057387.95999</v>
      </c>
      <c r="AH135" s="133">
        <f t="shared" si="6"/>
        <v>141276361518.14462</v>
      </c>
      <c r="AI135" s="133">
        <f t="shared" si="6"/>
        <v>148196499542.28259</v>
      </c>
      <c r="AJ135" s="133">
        <f t="shared" si="6"/>
        <v>137984481243.16364</v>
      </c>
      <c r="AK135" s="133">
        <f t="shared" si="6"/>
        <v>145929060338.82693</v>
      </c>
      <c r="AL135" s="133">
        <f t="shared" si="6"/>
        <v>147442013746.17145</v>
      </c>
      <c r="AM135" s="111">
        <f t="shared" si="5"/>
        <v>1678747622141.6824</v>
      </c>
    </row>
    <row r="136" spans="1:52" s="107" customFormat="1" ht="15" customHeight="1">
      <c r="A136" s="113" t="s">
        <v>221</v>
      </c>
      <c r="B136" s="114">
        <v>3</v>
      </c>
      <c r="C136" s="277">
        <v>0</v>
      </c>
      <c r="D136" s="277">
        <v>1166125000</v>
      </c>
      <c r="E136" s="277">
        <v>0</v>
      </c>
      <c r="F136" s="278">
        <v>0</v>
      </c>
      <c r="G136" s="278">
        <v>136455000</v>
      </c>
      <c r="H136" s="278">
        <v>0</v>
      </c>
      <c r="I136" s="278">
        <v>0</v>
      </c>
      <c r="J136" s="278">
        <v>6345077301</v>
      </c>
      <c r="K136" s="278">
        <v>4671587529</v>
      </c>
      <c r="L136" s="278">
        <v>2922205276</v>
      </c>
      <c r="M136" s="278">
        <v>49359030</v>
      </c>
      <c r="N136" s="279">
        <v>4680420540</v>
      </c>
      <c r="O136" s="279">
        <v>513935495</v>
      </c>
      <c r="P136" s="279">
        <v>477877176</v>
      </c>
      <c r="Q136" s="279">
        <v>477350452</v>
      </c>
      <c r="R136" s="279">
        <v>304590498</v>
      </c>
      <c r="S136" s="279">
        <v>1607115262</v>
      </c>
      <c r="T136" s="279">
        <v>708638196</v>
      </c>
      <c r="U136" s="279">
        <v>26953743</v>
      </c>
      <c r="V136" s="279">
        <v>1000293545</v>
      </c>
      <c r="W136" s="279">
        <v>6773818500</v>
      </c>
      <c r="X136" s="279">
        <v>0</v>
      </c>
      <c r="Y136" s="279">
        <v>1479093000</v>
      </c>
      <c r="Z136" s="280">
        <v>-573868680</v>
      </c>
      <c r="AA136" s="280">
        <v>0</v>
      </c>
      <c r="AB136" s="280">
        <v>0</v>
      </c>
      <c r="AC136" s="280">
        <v>0</v>
      </c>
      <c r="AD136" s="280">
        <v>0</v>
      </c>
      <c r="AE136" s="280">
        <v>0</v>
      </c>
      <c r="AF136" s="280">
        <v>0</v>
      </c>
      <c r="AG136" s="280">
        <v>0</v>
      </c>
      <c r="AH136" s="280">
        <v>0</v>
      </c>
      <c r="AI136" s="280">
        <v>0</v>
      </c>
      <c r="AJ136" s="280">
        <v>0</v>
      </c>
      <c r="AK136" s="280">
        <v>0</v>
      </c>
      <c r="AL136" s="280">
        <v>0</v>
      </c>
      <c r="AM136" s="111">
        <f t="shared" si="5"/>
        <v>0</v>
      </c>
    </row>
    <row r="137" spans="1:52" s="107" customFormat="1" ht="15" customHeight="1">
      <c r="A137" s="108" t="s">
        <v>222</v>
      </c>
      <c r="B137" s="116">
        <v>4</v>
      </c>
      <c r="C137" s="281">
        <v>95961616736</v>
      </c>
      <c r="D137" s="281">
        <v>68939746996</v>
      </c>
      <c r="E137" s="281">
        <v>92109508133</v>
      </c>
      <c r="F137" s="281">
        <v>97489092894</v>
      </c>
      <c r="G137" s="281">
        <v>102364998344</v>
      </c>
      <c r="H137" s="281">
        <v>68093170109</v>
      </c>
      <c r="I137" s="281">
        <v>56451269692</v>
      </c>
      <c r="J137" s="281">
        <v>154027868172</v>
      </c>
      <c r="K137" s="281">
        <v>156829896725</v>
      </c>
      <c r="L137" s="281">
        <v>116812598746</v>
      </c>
      <c r="M137" s="281">
        <v>76126139834</v>
      </c>
      <c r="N137" s="133">
        <v>106210088680</v>
      </c>
      <c r="O137" s="133">
        <v>114462510402</v>
      </c>
      <c r="P137" s="133">
        <v>187999461059</v>
      </c>
      <c r="Q137" s="133">
        <v>150253332680</v>
      </c>
      <c r="R137" s="133">
        <v>125429649855</v>
      </c>
      <c r="S137" s="133">
        <v>152067142852</v>
      </c>
      <c r="T137" s="133">
        <v>119134672797</v>
      </c>
      <c r="U137" s="133">
        <v>137991406898</v>
      </c>
      <c r="V137" s="133">
        <v>168442653383</v>
      </c>
      <c r="W137" s="133">
        <v>84710435067</v>
      </c>
      <c r="X137" s="133">
        <v>108928556660</v>
      </c>
      <c r="Y137" s="133">
        <v>88347880802</v>
      </c>
      <c r="Z137" s="276">
        <v>101435082581</v>
      </c>
      <c r="AA137" s="132">
        <v>129505341136.8568</v>
      </c>
      <c r="AB137" s="133">
        <v>127974441177.86678</v>
      </c>
      <c r="AC137" s="133">
        <v>141599491827.82724</v>
      </c>
      <c r="AD137" s="133">
        <v>131782266518.60179</v>
      </c>
      <c r="AE137" s="133">
        <v>140244307484.73703</v>
      </c>
      <c r="AF137" s="133">
        <v>141409300219.24362</v>
      </c>
      <c r="AG137" s="133">
        <v>145404057387.95999</v>
      </c>
      <c r="AH137" s="133">
        <v>141276361518.14462</v>
      </c>
      <c r="AI137" s="133">
        <v>148196499542.28259</v>
      </c>
      <c r="AJ137" s="133">
        <v>137984481243.16364</v>
      </c>
      <c r="AK137" s="133">
        <v>145929060338.82693</v>
      </c>
      <c r="AL137" s="133">
        <v>147442013746.17145</v>
      </c>
      <c r="AM137" s="111">
        <f t="shared" si="5"/>
        <v>1678747622141.6824</v>
      </c>
    </row>
    <row r="138" spans="1:52" s="107" customFormat="1" ht="15" customHeight="1">
      <c r="A138" s="113" t="s">
        <v>223</v>
      </c>
      <c r="B138" s="118">
        <v>5</v>
      </c>
      <c r="C138" s="282">
        <v>85841765176</v>
      </c>
      <c r="D138" s="277">
        <v>68748321616</v>
      </c>
      <c r="E138" s="277">
        <v>86824377307</v>
      </c>
      <c r="F138" s="283">
        <v>85475594862</v>
      </c>
      <c r="G138" s="283">
        <v>99208228636</v>
      </c>
      <c r="H138" s="283">
        <v>69795611979</v>
      </c>
      <c r="I138" s="283">
        <v>61217801757</v>
      </c>
      <c r="J138" s="283">
        <v>147970813832</v>
      </c>
      <c r="K138" s="283">
        <v>132769623597</v>
      </c>
      <c r="L138" s="283">
        <v>112138441893</v>
      </c>
      <c r="M138" s="284">
        <v>70998442117</v>
      </c>
      <c r="N138" s="283">
        <v>-22758768790</v>
      </c>
      <c r="O138" s="283">
        <v>96299447936</v>
      </c>
      <c r="P138" s="283">
        <v>154570631505</v>
      </c>
      <c r="Q138" s="283">
        <v>129509315823</v>
      </c>
      <c r="R138" s="283">
        <v>109641808151</v>
      </c>
      <c r="S138" s="283">
        <v>129906078108</v>
      </c>
      <c r="T138" s="283">
        <v>105463649620</v>
      </c>
      <c r="U138" s="283">
        <v>128673842020</v>
      </c>
      <c r="V138" s="283">
        <v>155101842643</v>
      </c>
      <c r="W138" s="283">
        <v>83113314505</v>
      </c>
      <c r="X138" s="283">
        <v>99966937216</v>
      </c>
      <c r="Y138" s="283">
        <v>80940600844</v>
      </c>
      <c r="Z138" s="285">
        <v>66268508078</v>
      </c>
      <c r="AA138" s="286">
        <v>111573152812.80542</v>
      </c>
      <c r="AB138" s="283">
        <v>114942222906.76608</v>
      </c>
      <c r="AC138" s="283">
        <v>120213688326.59053</v>
      </c>
      <c r="AD138" s="283">
        <v>113297880731.08923</v>
      </c>
      <c r="AE138" s="283">
        <v>119515804418.96031</v>
      </c>
      <c r="AF138" s="283">
        <v>121320057022.57965</v>
      </c>
      <c r="AG138" s="283">
        <v>119663072666.4505</v>
      </c>
      <c r="AH138" s="283">
        <v>116065893729.59431</v>
      </c>
      <c r="AI138" s="283">
        <v>122487196346.25684</v>
      </c>
      <c r="AJ138" s="283">
        <v>113826945063.91805</v>
      </c>
      <c r="AK138" s="283">
        <v>120726874069.98518</v>
      </c>
      <c r="AL138" s="283">
        <v>122409403433.5182</v>
      </c>
      <c r="AM138" s="120">
        <f t="shared" si="5"/>
        <v>1416042191528.5144</v>
      </c>
    </row>
    <row r="139" spans="1:52" s="107" customFormat="1" ht="15" customHeight="1">
      <c r="A139" s="108" t="s">
        <v>224</v>
      </c>
      <c r="B139" s="121">
        <v>6</v>
      </c>
      <c r="C139" s="124">
        <v>10119851560</v>
      </c>
      <c r="D139" s="124">
        <v>191425380</v>
      </c>
      <c r="E139" s="124">
        <v>5285130826</v>
      </c>
      <c r="F139" s="124">
        <v>12013498032</v>
      </c>
      <c r="G139" s="124">
        <v>3156769708</v>
      </c>
      <c r="H139" s="124">
        <v>-1702441870</v>
      </c>
      <c r="I139" s="124">
        <v>-4766532065</v>
      </c>
      <c r="J139" s="124">
        <v>6057054340</v>
      </c>
      <c r="K139" s="124">
        <v>24060273128</v>
      </c>
      <c r="L139" s="124">
        <v>4674156853</v>
      </c>
      <c r="M139" s="124">
        <v>5127697717</v>
      </c>
      <c r="N139" s="124">
        <v>128968857470</v>
      </c>
      <c r="O139" s="124">
        <v>18163062466</v>
      </c>
      <c r="P139" s="124">
        <v>33428829554</v>
      </c>
      <c r="Q139" s="124">
        <v>20744016857</v>
      </c>
      <c r="R139" s="124">
        <v>15787841704</v>
      </c>
      <c r="S139" s="124">
        <v>22161064744</v>
      </c>
      <c r="T139" s="124">
        <v>13671023177</v>
      </c>
      <c r="U139" s="124">
        <v>9317564878</v>
      </c>
      <c r="V139" s="124">
        <v>13340810740</v>
      </c>
      <c r="W139" s="124">
        <v>1597120562</v>
      </c>
      <c r="X139" s="124">
        <v>8961619444</v>
      </c>
      <c r="Y139" s="124">
        <v>7407279958</v>
      </c>
      <c r="Z139" s="275">
        <v>35166574503</v>
      </c>
      <c r="AA139" s="123">
        <f>AA137-AA138</f>
        <v>17932188324.051376</v>
      </c>
      <c r="AB139" s="124">
        <f t="shared" ref="AB139:AL139" si="7">AB137-AB138</f>
        <v>13032218271.100693</v>
      </c>
      <c r="AC139" s="124">
        <f t="shared" si="7"/>
        <v>21385803501.23671</v>
      </c>
      <c r="AD139" s="124">
        <f t="shared" si="7"/>
        <v>18484385787.512558</v>
      </c>
      <c r="AE139" s="124">
        <f t="shared" si="7"/>
        <v>20728503065.776718</v>
      </c>
      <c r="AF139" s="124">
        <f t="shared" si="7"/>
        <v>20089243196.663971</v>
      </c>
      <c r="AG139" s="124">
        <f t="shared" si="7"/>
        <v>25740984721.509491</v>
      </c>
      <c r="AH139" s="124">
        <f t="shared" si="7"/>
        <v>25210467788.550308</v>
      </c>
      <c r="AI139" s="124">
        <f t="shared" si="7"/>
        <v>25709303196.025757</v>
      </c>
      <c r="AJ139" s="124">
        <f t="shared" si="7"/>
        <v>24157536179.24559</v>
      </c>
      <c r="AK139" s="124">
        <f t="shared" si="7"/>
        <v>25202186268.841751</v>
      </c>
      <c r="AL139" s="124">
        <f t="shared" si="7"/>
        <v>25032610312.653244</v>
      </c>
      <c r="AM139" s="125">
        <f t="shared" si="5"/>
        <v>262705430613.16815</v>
      </c>
    </row>
    <row r="140" spans="1:52" s="107" customFormat="1" ht="15" customHeight="1">
      <c r="A140" s="108" t="s">
        <v>225</v>
      </c>
      <c r="B140" s="121">
        <v>7</v>
      </c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275">
        <v>0</v>
      </c>
      <c r="AA140" s="123">
        <v>0</v>
      </c>
      <c r="AB140" s="124">
        <v>0</v>
      </c>
      <c r="AC140" s="124">
        <v>0</v>
      </c>
      <c r="AD140" s="124">
        <v>0</v>
      </c>
      <c r="AE140" s="124">
        <v>0</v>
      </c>
      <c r="AF140" s="124">
        <v>0</v>
      </c>
      <c r="AG140" s="124">
        <v>0</v>
      </c>
      <c r="AH140" s="124">
        <v>0</v>
      </c>
      <c r="AI140" s="124">
        <v>0</v>
      </c>
      <c r="AJ140" s="124">
        <v>0</v>
      </c>
      <c r="AK140" s="124">
        <v>0</v>
      </c>
      <c r="AL140" s="124">
        <v>0</v>
      </c>
      <c r="AM140" s="125">
        <f t="shared" si="5"/>
        <v>0</v>
      </c>
    </row>
    <row r="141" spans="1:52" s="107" customFormat="1" ht="15" customHeight="1">
      <c r="A141" s="113" t="s">
        <v>226</v>
      </c>
      <c r="B141" s="114">
        <v>8</v>
      </c>
      <c r="C141" s="277">
        <v>702840610</v>
      </c>
      <c r="D141" s="277">
        <v>1100851130</v>
      </c>
      <c r="E141" s="277">
        <v>994712341</v>
      </c>
      <c r="F141" s="278">
        <v>1735368123</v>
      </c>
      <c r="G141" s="278">
        <v>1021938222</v>
      </c>
      <c r="H141" s="278">
        <v>578784271</v>
      </c>
      <c r="I141" s="278">
        <v>343643819</v>
      </c>
      <c r="J141" s="278">
        <v>1242477440</v>
      </c>
      <c r="K141" s="278">
        <v>1549112434</v>
      </c>
      <c r="L141" s="278">
        <v>2779237425</v>
      </c>
      <c r="M141" s="278">
        <v>865910053</v>
      </c>
      <c r="N141" s="279">
        <v>2184218732</v>
      </c>
      <c r="O141" s="279">
        <v>773999253</v>
      </c>
      <c r="P141" s="279">
        <v>1788435256</v>
      </c>
      <c r="Q141" s="279">
        <v>931124505</v>
      </c>
      <c r="R141" s="279">
        <v>1307926421</v>
      </c>
      <c r="S141" s="279">
        <v>2429341904</v>
      </c>
      <c r="T141" s="279">
        <v>1641453607</v>
      </c>
      <c r="U141" s="279">
        <v>1393514763</v>
      </c>
      <c r="V141" s="279">
        <v>1498736488</v>
      </c>
      <c r="W141" s="279">
        <v>1228780215</v>
      </c>
      <c r="X141" s="279">
        <v>2716737103</v>
      </c>
      <c r="Y141" s="279">
        <v>515476780</v>
      </c>
      <c r="Z141" s="280">
        <v>680982457</v>
      </c>
      <c r="AA141" s="287">
        <v>0</v>
      </c>
      <c r="AB141" s="279">
        <v>0</v>
      </c>
      <c r="AC141" s="279">
        <v>0</v>
      </c>
      <c r="AD141" s="279">
        <v>0</v>
      </c>
      <c r="AE141" s="279">
        <v>0</v>
      </c>
      <c r="AF141" s="279">
        <v>0</v>
      </c>
      <c r="AG141" s="279">
        <v>0</v>
      </c>
      <c r="AH141" s="279">
        <v>0</v>
      </c>
      <c r="AI141" s="279">
        <v>0</v>
      </c>
      <c r="AJ141" s="279">
        <v>0</v>
      </c>
      <c r="AK141" s="279">
        <v>0</v>
      </c>
      <c r="AL141" s="279">
        <v>0</v>
      </c>
      <c r="AM141" s="127">
        <f t="shared" si="5"/>
        <v>0</v>
      </c>
    </row>
    <row r="142" spans="1:52" s="107" customFormat="1" ht="15" customHeight="1">
      <c r="A142" s="108" t="s">
        <v>227</v>
      </c>
      <c r="B142" s="109">
        <v>9</v>
      </c>
      <c r="C142" s="274">
        <v>801399604</v>
      </c>
      <c r="D142" s="274">
        <v>695500231</v>
      </c>
      <c r="E142" s="274">
        <v>663502461</v>
      </c>
      <c r="F142" s="274">
        <v>1555671370</v>
      </c>
      <c r="G142" s="274">
        <v>936492932</v>
      </c>
      <c r="H142" s="274">
        <v>1103852896</v>
      </c>
      <c r="I142" s="274">
        <v>1608708972</v>
      </c>
      <c r="J142" s="274">
        <v>1489581015</v>
      </c>
      <c r="K142" s="274">
        <v>1372261307</v>
      </c>
      <c r="L142" s="274">
        <v>636041020</v>
      </c>
      <c r="M142" s="274">
        <v>1257673070</v>
      </c>
      <c r="N142" s="124">
        <v>993026233</v>
      </c>
      <c r="O142" s="124">
        <v>1529745602</v>
      </c>
      <c r="P142" s="124">
        <v>1349010483</v>
      </c>
      <c r="Q142" s="124">
        <v>902730488</v>
      </c>
      <c r="R142" s="124">
        <v>1450570894</v>
      </c>
      <c r="S142" s="124">
        <v>858169737</v>
      </c>
      <c r="T142" s="124">
        <v>1483876982</v>
      </c>
      <c r="U142" s="124">
        <v>1315247967</v>
      </c>
      <c r="V142" s="124">
        <v>1366041150</v>
      </c>
      <c r="W142" s="124">
        <v>1603769193</v>
      </c>
      <c r="X142" s="124">
        <v>2900732378</v>
      </c>
      <c r="Y142" s="124">
        <v>1301741764</v>
      </c>
      <c r="Z142" s="275">
        <v>2453854146</v>
      </c>
      <c r="AA142" s="123">
        <v>1440729191.0893345</v>
      </c>
      <c r="AB142" s="124">
        <v>2314401491.6227865</v>
      </c>
      <c r="AC142" s="124">
        <v>2754845108.8531456</v>
      </c>
      <c r="AD142" s="124">
        <v>2658973977.945015</v>
      </c>
      <c r="AE142" s="124">
        <v>2984563857.6971397</v>
      </c>
      <c r="AF142" s="124">
        <v>3083765892.6644506</v>
      </c>
      <c r="AG142" s="124">
        <v>3139619158.6549101</v>
      </c>
      <c r="AH142" s="124">
        <v>3321581053.7279758</v>
      </c>
      <c r="AI142" s="124">
        <v>3248341883.5147653</v>
      </c>
      <c r="AJ142" s="124">
        <v>3254733184.6761322</v>
      </c>
      <c r="AK142" s="124">
        <v>3261994460.9206567</v>
      </c>
      <c r="AL142" s="124">
        <v>3102355062.0342407</v>
      </c>
      <c r="AM142" s="125">
        <f t="shared" si="5"/>
        <v>34565904323.400558</v>
      </c>
    </row>
    <row r="143" spans="1:52" s="107" customFormat="1" ht="15" customHeight="1">
      <c r="A143" s="113" t="s">
        <v>228</v>
      </c>
      <c r="B143" s="114">
        <v>10</v>
      </c>
      <c r="C143" s="277">
        <v>460461775</v>
      </c>
      <c r="D143" s="277">
        <v>563909516</v>
      </c>
      <c r="E143" s="277">
        <v>587315920</v>
      </c>
      <c r="F143" s="278">
        <v>905708142</v>
      </c>
      <c r="G143" s="278">
        <v>974310029</v>
      </c>
      <c r="H143" s="278">
        <v>1115056080</v>
      </c>
      <c r="I143" s="278">
        <v>1160823006</v>
      </c>
      <c r="J143" s="278">
        <v>939585045</v>
      </c>
      <c r="K143" s="278">
        <v>859444105</v>
      </c>
      <c r="L143" s="278">
        <v>840165515</v>
      </c>
      <c r="M143" s="278">
        <v>889159081</v>
      </c>
      <c r="N143" s="279">
        <v>1032562923</v>
      </c>
      <c r="O143" s="279">
        <v>1114824276</v>
      </c>
      <c r="P143" s="279">
        <v>928379281</v>
      </c>
      <c r="Q143" s="279">
        <v>673966789</v>
      </c>
      <c r="R143" s="279">
        <v>888393452</v>
      </c>
      <c r="S143" s="279">
        <v>1186588729</v>
      </c>
      <c r="T143" s="279">
        <v>1448899822</v>
      </c>
      <c r="U143" s="279">
        <v>1242023326</v>
      </c>
      <c r="V143" s="279">
        <v>1303560910</v>
      </c>
      <c r="W143" s="279">
        <v>1595764355</v>
      </c>
      <c r="X143" s="279">
        <v>1368802426</v>
      </c>
      <c r="Y143" s="279">
        <v>1256132292</v>
      </c>
      <c r="Z143" s="280">
        <v>1256103396</v>
      </c>
      <c r="AA143" s="287">
        <v>1440729191.0893345</v>
      </c>
      <c r="AB143" s="279">
        <v>2314401491.6227865</v>
      </c>
      <c r="AC143" s="279">
        <v>2754845108.8531456</v>
      </c>
      <c r="AD143" s="279">
        <v>2658973977.945015</v>
      </c>
      <c r="AE143" s="279">
        <v>2984563857.6971397</v>
      </c>
      <c r="AF143" s="279">
        <v>3083765892.6644506</v>
      </c>
      <c r="AG143" s="279">
        <v>3139619158.6549101</v>
      </c>
      <c r="AH143" s="279">
        <v>3321581053.7279758</v>
      </c>
      <c r="AI143" s="279">
        <v>3248341883.5147653</v>
      </c>
      <c r="AJ143" s="279">
        <v>3254733184.6761322</v>
      </c>
      <c r="AK143" s="279">
        <v>3261994460.9206567</v>
      </c>
      <c r="AL143" s="279">
        <v>3102355062.0342407</v>
      </c>
      <c r="AM143" s="127">
        <f t="shared" si="5"/>
        <v>34565904323.400558</v>
      </c>
    </row>
    <row r="144" spans="1:52" s="107" customFormat="1" ht="15" customHeight="1">
      <c r="A144" s="113" t="s">
        <v>229</v>
      </c>
      <c r="B144" s="114">
        <v>11</v>
      </c>
      <c r="C144" s="277">
        <v>2846219487</v>
      </c>
      <c r="D144" s="277">
        <v>1219456854</v>
      </c>
      <c r="E144" s="277">
        <v>3715738043</v>
      </c>
      <c r="F144" s="278">
        <v>4585159549</v>
      </c>
      <c r="G144" s="278">
        <v>1693810954</v>
      </c>
      <c r="H144" s="278">
        <v>2407466874</v>
      </c>
      <c r="I144" s="278">
        <v>2300964337</v>
      </c>
      <c r="J144" s="278">
        <v>8205607205</v>
      </c>
      <c r="K144" s="278">
        <v>7036529523</v>
      </c>
      <c r="L144" s="278">
        <v>4608951194</v>
      </c>
      <c r="M144" s="278">
        <v>1949627546</v>
      </c>
      <c r="N144" s="278">
        <v>10266748080</v>
      </c>
      <c r="O144" s="278">
        <v>4006424849</v>
      </c>
      <c r="P144" s="278">
        <v>6313682258</v>
      </c>
      <c r="Q144" s="278">
        <v>5091544776</v>
      </c>
      <c r="R144" s="278">
        <v>4077126734</v>
      </c>
      <c r="S144" s="278">
        <v>4686536575</v>
      </c>
      <c r="T144" s="278">
        <v>4796729528</v>
      </c>
      <c r="U144" s="278">
        <v>3449972349</v>
      </c>
      <c r="V144" s="278">
        <v>4949095751</v>
      </c>
      <c r="W144" s="278">
        <v>2811598286</v>
      </c>
      <c r="X144" s="278">
        <v>6688603934</v>
      </c>
      <c r="Y144" s="278">
        <v>3413749635</v>
      </c>
      <c r="Z144" s="280">
        <v>4717685605</v>
      </c>
      <c r="AA144" s="288">
        <v>5085051683.2684879</v>
      </c>
      <c r="AB144" s="278">
        <v>4093196981.7930779</v>
      </c>
      <c r="AC144" s="278">
        <v>4600864865.7930794</v>
      </c>
      <c r="AD144" s="278">
        <v>3968860918.7165756</v>
      </c>
      <c r="AE144" s="278">
        <v>5549018826.1701269</v>
      </c>
      <c r="AF144" s="278">
        <v>4908280870.2522907</v>
      </c>
      <c r="AG144" s="278">
        <v>4272047108.8742471</v>
      </c>
      <c r="AH144" s="278">
        <v>4169382223.6283445</v>
      </c>
      <c r="AI144" s="278">
        <v>6178684666.8742485</v>
      </c>
      <c r="AJ144" s="278">
        <v>4321867491.3478355</v>
      </c>
      <c r="AK144" s="278">
        <v>4663039255.763135</v>
      </c>
      <c r="AL144" s="278">
        <v>4745480246.724885</v>
      </c>
      <c r="AM144" s="131">
        <f t="shared" si="5"/>
        <v>56555775139.206345</v>
      </c>
    </row>
    <row r="145" spans="1:39" s="107" customFormat="1" ht="15" customHeight="1">
      <c r="A145" s="113" t="s">
        <v>230</v>
      </c>
      <c r="B145" s="114">
        <v>12</v>
      </c>
      <c r="C145" s="277">
        <v>5241377343</v>
      </c>
      <c r="D145" s="277">
        <v>4647980221</v>
      </c>
      <c r="E145" s="277">
        <v>4838115306</v>
      </c>
      <c r="F145" s="278">
        <v>5132788494</v>
      </c>
      <c r="G145" s="278">
        <v>5665606587</v>
      </c>
      <c r="H145" s="278">
        <v>5470797521</v>
      </c>
      <c r="I145" s="278">
        <v>5239042307</v>
      </c>
      <c r="J145" s="278">
        <v>6065017937</v>
      </c>
      <c r="K145" s="278">
        <v>7524726581</v>
      </c>
      <c r="L145" s="278">
        <v>7016385931</v>
      </c>
      <c r="M145" s="278">
        <v>7426888275</v>
      </c>
      <c r="N145" s="278">
        <v>5833487838</v>
      </c>
      <c r="O145" s="278">
        <v>7638868570</v>
      </c>
      <c r="P145" s="278">
        <v>7013534740</v>
      </c>
      <c r="Q145" s="278">
        <v>7332584934</v>
      </c>
      <c r="R145" s="278">
        <v>7155903324</v>
      </c>
      <c r="S145" s="278">
        <v>7948694673</v>
      </c>
      <c r="T145" s="278">
        <v>7721648228</v>
      </c>
      <c r="U145" s="278">
        <v>7616453256</v>
      </c>
      <c r="V145" s="278">
        <v>7931593154</v>
      </c>
      <c r="W145" s="278">
        <v>9422194647</v>
      </c>
      <c r="X145" s="278">
        <v>3775611792</v>
      </c>
      <c r="Y145" s="278">
        <v>9875644458</v>
      </c>
      <c r="Z145" s="280">
        <v>10510637512</v>
      </c>
      <c r="AA145" s="288">
        <v>9071413074.9872208</v>
      </c>
      <c r="AB145" s="278">
        <v>7516098440.3346119</v>
      </c>
      <c r="AC145" s="278">
        <v>7598269672.2063808</v>
      </c>
      <c r="AD145" s="278">
        <v>7688191220.7811823</v>
      </c>
      <c r="AE145" s="278">
        <v>7848430527.1788082</v>
      </c>
      <c r="AF145" s="278">
        <v>8123855633.0161076</v>
      </c>
      <c r="AG145" s="278">
        <v>8707815450.0008068</v>
      </c>
      <c r="AH145" s="278">
        <v>8883369486.1761971</v>
      </c>
      <c r="AI145" s="278">
        <v>8212091289.1691723</v>
      </c>
      <c r="AJ145" s="278">
        <v>7815232028.533289</v>
      </c>
      <c r="AK145" s="278">
        <v>7940180139.8882856</v>
      </c>
      <c r="AL145" s="278">
        <v>10136838744.549648</v>
      </c>
      <c r="AM145" s="131">
        <f t="shared" si="5"/>
        <v>99541785706.821732</v>
      </c>
    </row>
    <row r="146" spans="1:39" s="107" customFormat="1" ht="15" customHeight="1">
      <c r="A146" s="108" t="s">
        <v>231</v>
      </c>
      <c r="B146" s="109">
        <v>13</v>
      </c>
      <c r="C146" s="274">
        <v>1933695736</v>
      </c>
      <c r="D146" s="274">
        <v>-5270660796</v>
      </c>
      <c r="E146" s="274">
        <v>-2937512643</v>
      </c>
      <c r="F146" s="274">
        <v>2475246742</v>
      </c>
      <c r="G146" s="274">
        <v>-4117202543</v>
      </c>
      <c r="H146" s="274">
        <v>-10105774890</v>
      </c>
      <c r="I146" s="274">
        <v>-13571603862</v>
      </c>
      <c r="J146" s="274">
        <v>-8460674377</v>
      </c>
      <c r="K146" s="274">
        <v>9675868151</v>
      </c>
      <c r="L146" s="274">
        <v>-4807983867</v>
      </c>
      <c r="M146" s="274">
        <v>-4640581121</v>
      </c>
      <c r="N146" s="124">
        <v>114059814051</v>
      </c>
      <c r="O146" s="124">
        <v>5762022698</v>
      </c>
      <c r="P146" s="124">
        <v>20541037329</v>
      </c>
      <c r="Q146" s="124">
        <v>8348281164</v>
      </c>
      <c r="R146" s="124">
        <v>4412167173</v>
      </c>
      <c r="S146" s="124">
        <v>11097005663</v>
      </c>
      <c r="T146" s="124">
        <v>1310222046</v>
      </c>
      <c r="U146" s="124">
        <v>-1670593931</v>
      </c>
      <c r="V146" s="124">
        <v>592817173</v>
      </c>
      <c r="W146" s="124">
        <v>-11011661349</v>
      </c>
      <c r="X146" s="124">
        <v>-1686591557</v>
      </c>
      <c r="Y146" s="124">
        <v>-6668379119</v>
      </c>
      <c r="Z146" s="275">
        <v>18165379697</v>
      </c>
      <c r="AA146" s="123">
        <f>AA139+AA140+AA141-AA142-AA144-AA145</f>
        <v>2334994374.7063332</v>
      </c>
      <c r="AB146" s="124">
        <f t="shared" ref="AB146:AL146" si="8">AB139+AB140+AB141-AB142-AB144-AB145</f>
        <v>-891478642.64978409</v>
      </c>
      <c r="AC146" s="124">
        <f t="shared" si="8"/>
        <v>6431823854.3841038</v>
      </c>
      <c r="AD146" s="124">
        <f t="shared" si="8"/>
        <v>4168359670.0697851</v>
      </c>
      <c r="AE146" s="124">
        <f t="shared" si="8"/>
        <v>4346489854.7306423</v>
      </c>
      <c r="AF146" s="124">
        <f t="shared" si="8"/>
        <v>3973340800.7311211</v>
      </c>
      <c r="AG146" s="124">
        <f t="shared" si="8"/>
        <v>9621503003.9795246</v>
      </c>
      <c r="AH146" s="124">
        <f t="shared" si="8"/>
        <v>8836135025.0177917</v>
      </c>
      <c r="AI146" s="124">
        <f t="shared" si="8"/>
        <v>8070185356.4675694</v>
      </c>
      <c r="AJ146" s="124">
        <f t="shared" si="8"/>
        <v>8765703474.6883335</v>
      </c>
      <c r="AK146" s="124">
        <f t="shared" si="8"/>
        <v>9336972412.2696724</v>
      </c>
      <c r="AL146" s="124">
        <f t="shared" si="8"/>
        <v>7047936259.344471</v>
      </c>
      <c r="AM146" s="125">
        <f t="shared" si="5"/>
        <v>72041965443.739548</v>
      </c>
    </row>
    <row r="147" spans="1:39" s="107" customFormat="1" ht="15" customHeight="1">
      <c r="A147" s="113" t="s">
        <v>232</v>
      </c>
      <c r="B147" s="114">
        <v>14</v>
      </c>
      <c r="C147" s="277">
        <v>1945</v>
      </c>
      <c r="D147" s="277">
        <v>12000</v>
      </c>
      <c r="E147" s="277">
        <v>0</v>
      </c>
      <c r="F147" s="278">
        <v>0</v>
      </c>
      <c r="G147" s="278">
        <v>203</v>
      </c>
      <c r="H147" s="278">
        <v>58510228</v>
      </c>
      <c r="I147" s="278">
        <v>52918371</v>
      </c>
      <c r="J147" s="278">
        <v>177726993</v>
      </c>
      <c r="K147" s="278">
        <v>999</v>
      </c>
      <c r="L147" s="278">
        <v>196700</v>
      </c>
      <c r="M147" s="278">
        <v>1398763491</v>
      </c>
      <c r="N147" s="279">
        <v>1216439</v>
      </c>
      <c r="O147" s="279">
        <v>500207</v>
      </c>
      <c r="P147" s="279">
        <v>2492480</v>
      </c>
      <c r="Q147" s="279">
        <v>2600082</v>
      </c>
      <c r="R147" s="279">
        <v>33918440</v>
      </c>
      <c r="S147" s="279">
        <v>115000000</v>
      </c>
      <c r="T147" s="279">
        <v>2020926</v>
      </c>
      <c r="U147" s="279">
        <v>9788652</v>
      </c>
      <c r="V147" s="279">
        <v>244500606</v>
      </c>
      <c r="W147" s="279">
        <v>742</v>
      </c>
      <c r="X147" s="279">
        <v>819591</v>
      </c>
      <c r="Y147" s="279">
        <v>110446</v>
      </c>
      <c r="Z147" s="280">
        <v>42486461</v>
      </c>
      <c r="AA147" s="287"/>
      <c r="AB147" s="279"/>
      <c r="AC147" s="279"/>
      <c r="AD147" s="279"/>
      <c r="AE147" s="279"/>
      <c r="AF147" s="279"/>
      <c r="AG147" s="279"/>
      <c r="AH147" s="279"/>
      <c r="AI147" s="279"/>
      <c r="AJ147" s="279"/>
      <c r="AK147" s="279"/>
      <c r="AL147" s="279"/>
      <c r="AM147" s="127">
        <f t="shared" si="5"/>
        <v>0</v>
      </c>
    </row>
    <row r="148" spans="1:39" s="107" customFormat="1" ht="15" customHeight="1">
      <c r="A148" s="113" t="s">
        <v>233</v>
      </c>
      <c r="B148" s="114">
        <v>15</v>
      </c>
      <c r="C148" s="277">
        <v>7958068</v>
      </c>
      <c r="D148" s="277">
        <v>1</v>
      </c>
      <c r="E148" s="277">
        <v>21796958</v>
      </c>
      <c r="F148" s="278">
        <v>2</v>
      </c>
      <c r="G148" s="278">
        <v>36200000</v>
      </c>
      <c r="H148" s="278">
        <v>168183405</v>
      </c>
      <c r="I148" s="278">
        <v>6000002</v>
      </c>
      <c r="J148" s="278">
        <v>601</v>
      </c>
      <c r="K148" s="278">
        <v>2601033</v>
      </c>
      <c r="L148" s="278">
        <v>170398064</v>
      </c>
      <c r="M148" s="278">
        <v>202496</v>
      </c>
      <c r="N148" s="279">
        <v>8657082896</v>
      </c>
      <c r="O148" s="279">
        <v>1251667</v>
      </c>
      <c r="P148" s="279">
        <v>130033300</v>
      </c>
      <c r="Q148" s="279">
        <v>0</v>
      </c>
      <c r="R148" s="279">
        <v>17808640</v>
      </c>
      <c r="S148" s="279">
        <v>600</v>
      </c>
      <c r="T148" s="279">
        <v>50477376</v>
      </c>
      <c r="U148" s="279">
        <v>130663204</v>
      </c>
      <c r="V148" s="279">
        <v>539898446</v>
      </c>
      <c r="W148" s="279">
        <v>539664890</v>
      </c>
      <c r="X148" s="279">
        <v>3515574706</v>
      </c>
      <c r="Y148" s="279">
        <v>1106262251</v>
      </c>
      <c r="Z148" s="280">
        <v>1603033842</v>
      </c>
      <c r="AA148" s="287">
        <v>433624999.99999994</v>
      </c>
      <c r="AB148" s="287">
        <v>433624999.99999994</v>
      </c>
      <c r="AC148" s="287">
        <v>433624999.99999994</v>
      </c>
      <c r="AD148" s="287">
        <v>433624999.99999994</v>
      </c>
      <c r="AE148" s="287">
        <v>433624999.99999994</v>
      </c>
      <c r="AF148" s="287">
        <v>433624999.99999994</v>
      </c>
      <c r="AG148" s="287">
        <v>433624999.99999994</v>
      </c>
      <c r="AH148" s="287">
        <v>433624999.99999994</v>
      </c>
      <c r="AI148" s="287">
        <v>433624999.99999994</v>
      </c>
      <c r="AJ148" s="287">
        <v>433624999.99999994</v>
      </c>
      <c r="AK148" s="287">
        <v>433624999.99999994</v>
      </c>
      <c r="AL148" s="287">
        <v>433624999.99999994</v>
      </c>
      <c r="AM148" s="127">
        <f t="shared" si="5"/>
        <v>5203499999.999999</v>
      </c>
    </row>
    <row r="149" spans="1:39" s="107" customFormat="1" ht="15" customHeight="1">
      <c r="A149" s="108" t="s">
        <v>234</v>
      </c>
      <c r="B149" s="109">
        <v>16</v>
      </c>
      <c r="C149" s="274">
        <v>-7956123</v>
      </c>
      <c r="D149" s="274">
        <v>11999</v>
      </c>
      <c r="E149" s="274">
        <v>-21796958</v>
      </c>
      <c r="F149" s="274">
        <v>-2</v>
      </c>
      <c r="G149" s="274">
        <v>-36199797</v>
      </c>
      <c r="H149" s="274">
        <v>-109673177</v>
      </c>
      <c r="I149" s="274">
        <v>46918369</v>
      </c>
      <c r="J149" s="274">
        <v>177726392</v>
      </c>
      <c r="K149" s="274">
        <v>-2600034</v>
      </c>
      <c r="L149" s="274">
        <v>-170201364</v>
      </c>
      <c r="M149" s="274">
        <v>1398560995</v>
      </c>
      <c r="N149" s="124">
        <v>-8655866457</v>
      </c>
      <c r="O149" s="124">
        <v>-751460</v>
      </c>
      <c r="P149" s="124">
        <v>-127540820</v>
      </c>
      <c r="Q149" s="124">
        <v>2600082</v>
      </c>
      <c r="R149" s="124">
        <v>16109800</v>
      </c>
      <c r="S149" s="124">
        <v>114999400</v>
      </c>
      <c r="T149" s="124">
        <v>-48456450</v>
      </c>
      <c r="U149" s="124">
        <v>-120874552</v>
      </c>
      <c r="V149" s="124">
        <v>-295397840</v>
      </c>
      <c r="W149" s="124">
        <v>-539664148</v>
      </c>
      <c r="X149" s="124">
        <v>-3514755115</v>
      </c>
      <c r="Y149" s="124">
        <v>-1106151805</v>
      </c>
      <c r="Z149" s="275">
        <v>-1560547381</v>
      </c>
      <c r="AA149" s="123">
        <f>AA147-AA148</f>
        <v>-433624999.99999994</v>
      </c>
      <c r="AB149" s="124">
        <f t="shared" ref="AB149:AL149" si="9">AB147-AB148</f>
        <v>-433624999.99999994</v>
      </c>
      <c r="AC149" s="124">
        <f t="shared" si="9"/>
        <v>-433624999.99999994</v>
      </c>
      <c r="AD149" s="124">
        <f t="shared" si="9"/>
        <v>-433624999.99999994</v>
      </c>
      <c r="AE149" s="124">
        <f t="shared" si="9"/>
        <v>-433624999.99999994</v>
      </c>
      <c r="AF149" s="124">
        <f t="shared" si="9"/>
        <v>-433624999.99999994</v>
      </c>
      <c r="AG149" s="124">
        <f t="shared" si="9"/>
        <v>-433624999.99999994</v>
      </c>
      <c r="AH149" s="124">
        <f t="shared" si="9"/>
        <v>-433624999.99999994</v>
      </c>
      <c r="AI149" s="124">
        <f t="shared" si="9"/>
        <v>-433624999.99999994</v>
      </c>
      <c r="AJ149" s="124">
        <f t="shared" si="9"/>
        <v>-433624999.99999994</v>
      </c>
      <c r="AK149" s="124">
        <f t="shared" si="9"/>
        <v>-433624999.99999994</v>
      </c>
      <c r="AL149" s="124">
        <f t="shared" si="9"/>
        <v>-433624999.99999994</v>
      </c>
      <c r="AM149" s="125">
        <f t="shared" si="5"/>
        <v>-5203499999.999999</v>
      </c>
    </row>
    <row r="150" spans="1:39" s="107" customFormat="1" ht="15" customHeight="1">
      <c r="A150" s="108" t="s">
        <v>235</v>
      </c>
      <c r="B150" s="116">
        <v>17</v>
      </c>
      <c r="C150" s="281">
        <v>1925739613</v>
      </c>
      <c r="D150" s="281">
        <v>-5270648797</v>
      </c>
      <c r="E150" s="281">
        <v>-2959309601</v>
      </c>
      <c r="F150" s="281">
        <v>2475246740</v>
      </c>
      <c r="G150" s="281">
        <v>-4153402340</v>
      </c>
      <c r="H150" s="281">
        <v>-10215448067</v>
      </c>
      <c r="I150" s="281">
        <v>-13524685493</v>
      </c>
      <c r="J150" s="281">
        <v>-8282947985</v>
      </c>
      <c r="K150" s="281">
        <v>9673268117</v>
      </c>
      <c r="L150" s="281">
        <v>-4978185231</v>
      </c>
      <c r="M150" s="281">
        <v>-3242020126</v>
      </c>
      <c r="N150" s="133">
        <v>105403947594</v>
      </c>
      <c r="O150" s="133">
        <v>5761271238</v>
      </c>
      <c r="P150" s="133">
        <v>20413496509</v>
      </c>
      <c r="Q150" s="133">
        <v>8350881246</v>
      </c>
      <c r="R150" s="133">
        <v>4428276973</v>
      </c>
      <c r="S150" s="133">
        <v>11212005063</v>
      </c>
      <c r="T150" s="133">
        <v>1261765596</v>
      </c>
      <c r="U150" s="133">
        <v>-1791468483</v>
      </c>
      <c r="V150" s="133">
        <v>297419333</v>
      </c>
      <c r="W150" s="133">
        <v>-11551325497</v>
      </c>
      <c r="X150" s="133">
        <v>-5201346672</v>
      </c>
      <c r="Y150" s="133">
        <v>-7774530924</v>
      </c>
      <c r="Z150" s="276">
        <v>16604832316</v>
      </c>
      <c r="AA150" s="132">
        <f>AA146+AA149</f>
        <v>1901369374.7063332</v>
      </c>
      <c r="AB150" s="133">
        <f t="shared" ref="AB150:AL150" si="10">AB146+AB149</f>
        <v>-1325103642.6497841</v>
      </c>
      <c r="AC150" s="133">
        <f t="shared" si="10"/>
        <v>5998198854.3841038</v>
      </c>
      <c r="AD150" s="133">
        <f t="shared" si="10"/>
        <v>3734734670.0697851</v>
      </c>
      <c r="AE150" s="133">
        <f t="shared" si="10"/>
        <v>3912864854.7306423</v>
      </c>
      <c r="AF150" s="133">
        <f t="shared" si="10"/>
        <v>3539715800.7311211</v>
      </c>
      <c r="AG150" s="133">
        <f t="shared" si="10"/>
        <v>9187878003.9795246</v>
      </c>
      <c r="AH150" s="133">
        <f t="shared" si="10"/>
        <v>8402510025.0177917</v>
      </c>
      <c r="AI150" s="133">
        <f t="shared" si="10"/>
        <v>7636560356.4675694</v>
      </c>
      <c r="AJ150" s="133">
        <f t="shared" si="10"/>
        <v>8332078474.6883335</v>
      </c>
      <c r="AK150" s="133">
        <f t="shared" si="10"/>
        <v>8903347412.2696724</v>
      </c>
      <c r="AL150" s="133">
        <f t="shared" si="10"/>
        <v>6614311259.344471</v>
      </c>
      <c r="AM150" s="111">
        <f t="shared" si="5"/>
        <v>66838465443.739548</v>
      </c>
    </row>
    <row r="151" spans="1:39" s="107" customFormat="1" ht="15" customHeight="1">
      <c r="A151" s="134" t="s">
        <v>236</v>
      </c>
      <c r="B151" s="114">
        <v>18</v>
      </c>
      <c r="C151" s="277">
        <v>0</v>
      </c>
      <c r="D151" s="289">
        <v>0</v>
      </c>
      <c r="E151" s="289">
        <v>0</v>
      </c>
      <c r="F151" s="289">
        <v>0</v>
      </c>
      <c r="G151" s="289">
        <v>0</v>
      </c>
      <c r="H151" s="289">
        <v>0</v>
      </c>
      <c r="I151" s="289">
        <v>0</v>
      </c>
      <c r="J151" s="289">
        <v>0</v>
      </c>
      <c r="K151" s="289">
        <v>0</v>
      </c>
      <c r="L151" s="289"/>
      <c r="M151" s="289">
        <v>0</v>
      </c>
      <c r="N151" s="290">
        <v>11495266455</v>
      </c>
      <c r="O151" s="290">
        <v>864190686</v>
      </c>
      <c r="P151" s="290">
        <v>3020742780</v>
      </c>
      <c r="Q151" s="290">
        <v>1252632187</v>
      </c>
      <c r="R151" s="290">
        <v>677293488</v>
      </c>
      <c r="S151" s="290">
        <v>1681800759</v>
      </c>
      <c r="T151" s="290">
        <v>189264839</v>
      </c>
      <c r="U151" s="290">
        <v>-1000088030</v>
      </c>
      <c r="V151" s="290">
        <v>204199602</v>
      </c>
      <c r="W151" s="290">
        <v>-1349170846</v>
      </c>
      <c r="X151" s="290">
        <v>-516688622</v>
      </c>
      <c r="Y151" s="290">
        <v>-854033077</v>
      </c>
      <c r="Z151" s="291">
        <v>2388437945</v>
      </c>
      <c r="AA151" s="292">
        <v>380273874.94126701</v>
      </c>
      <c r="AB151" s="290">
        <v>0</v>
      </c>
      <c r="AC151" s="290">
        <v>934619042.34685993</v>
      </c>
      <c r="AD151" s="290">
        <v>746946934.01395476</v>
      </c>
      <c r="AE151" s="290">
        <v>782572970.94612694</v>
      </c>
      <c r="AF151" s="290">
        <v>707943160.14622366</v>
      </c>
      <c r="AG151" s="290">
        <v>1837575600.7959077</v>
      </c>
      <c r="AH151" s="290">
        <v>1680502005.0035565</v>
      </c>
      <c r="AI151" s="290">
        <v>1527312071.2935135</v>
      </c>
      <c r="AJ151" s="290">
        <v>1666415694.9376669</v>
      </c>
      <c r="AK151" s="290">
        <v>1780669482.4539335</v>
      </c>
      <c r="AL151" s="290">
        <v>1322862251.8688912</v>
      </c>
      <c r="AM151" s="137">
        <f t="shared" si="5"/>
        <v>13367693088.7479</v>
      </c>
    </row>
    <row r="152" spans="1:39" s="107" customFormat="1" ht="15" customHeight="1">
      <c r="A152" s="113" t="s">
        <v>237</v>
      </c>
      <c r="B152" s="114">
        <v>19</v>
      </c>
      <c r="C152" s="277">
        <v>0</v>
      </c>
      <c r="D152" s="278">
        <v>0</v>
      </c>
      <c r="E152" s="278">
        <v>0</v>
      </c>
      <c r="F152" s="278">
        <v>0</v>
      </c>
      <c r="G152" s="278">
        <v>0</v>
      </c>
      <c r="H152" s="278">
        <v>0</v>
      </c>
      <c r="I152" s="278">
        <v>0</v>
      </c>
      <c r="J152" s="278">
        <v>0</v>
      </c>
      <c r="K152" s="278">
        <v>0</v>
      </c>
      <c r="L152" s="278"/>
      <c r="M152" s="278">
        <v>0</v>
      </c>
      <c r="N152" s="279">
        <v>1838941310</v>
      </c>
      <c r="O152" s="279">
        <v>0</v>
      </c>
      <c r="P152" s="279">
        <v>-8043000</v>
      </c>
      <c r="Q152" s="279">
        <v>0</v>
      </c>
      <c r="R152" s="279">
        <v>0</v>
      </c>
      <c r="S152" s="279"/>
      <c r="T152" s="279">
        <v>0</v>
      </c>
      <c r="U152" s="279">
        <v>-1830898310</v>
      </c>
      <c r="V152" s="279">
        <v>0</v>
      </c>
      <c r="W152" s="279">
        <v>0</v>
      </c>
      <c r="X152" s="279">
        <v>0</v>
      </c>
      <c r="Y152" s="279">
        <v>0</v>
      </c>
      <c r="Z152" s="280">
        <v>0</v>
      </c>
      <c r="AA152" s="287"/>
      <c r="AB152" s="279">
        <v>0</v>
      </c>
      <c r="AC152" s="279">
        <v>0</v>
      </c>
      <c r="AD152" s="279">
        <v>0</v>
      </c>
      <c r="AE152" s="279">
        <v>0</v>
      </c>
      <c r="AF152" s="279">
        <v>0</v>
      </c>
      <c r="AG152" s="279">
        <v>0</v>
      </c>
      <c r="AH152" s="279">
        <v>0</v>
      </c>
      <c r="AI152" s="279">
        <v>0</v>
      </c>
      <c r="AJ152" s="279">
        <v>0</v>
      </c>
      <c r="AK152" s="279">
        <v>0</v>
      </c>
      <c r="AL152" s="279">
        <v>0</v>
      </c>
      <c r="AM152" s="127">
        <f t="shared" si="5"/>
        <v>0</v>
      </c>
    </row>
    <row r="153" spans="1:39" s="107" customFormat="1" ht="15" customHeight="1">
      <c r="A153" s="108" t="s">
        <v>238</v>
      </c>
      <c r="B153" s="121">
        <v>20</v>
      </c>
      <c r="C153" s="124">
        <v>1925739613</v>
      </c>
      <c r="D153" s="124">
        <v>-5270648797</v>
      </c>
      <c r="E153" s="124">
        <v>-2959309601</v>
      </c>
      <c r="F153" s="124">
        <v>2475246740</v>
      </c>
      <c r="G153" s="124">
        <v>-4153402340</v>
      </c>
      <c r="H153" s="124">
        <v>-10215448067</v>
      </c>
      <c r="I153" s="124">
        <v>-13524685493</v>
      </c>
      <c r="J153" s="124">
        <v>-8282947985</v>
      </c>
      <c r="K153" s="124">
        <v>9673268117</v>
      </c>
      <c r="L153" s="124">
        <v>-4978185231</v>
      </c>
      <c r="M153" s="124">
        <v>-3242020126</v>
      </c>
      <c r="N153" s="124">
        <v>92069739829</v>
      </c>
      <c r="O153" s="124">
        <v>4897080552</v>
      </c>
      <c r="P153" s="124">
        <v>17400796729</v>
      </c>
      <c r="Q153" s="124">
        <v>7098249059</v>
      </c>
      <c r="R153" s="124">
        <v>3750983485</v>
      </c>
      <c r="S153" s="124">
        <v>9530204304</v>
      </c>
      <c r="T153" s="124">
        <v>1072500757</v>
      </c>
      <c r="U153" s="124">
        <v>1039517857</v>
      </c>
      <c r="V153" s="124">
        <v>93219731</v>
      </c>
      <c r="W153" s="124">
        <v>-10202154651</v>
      </c>
      <c r="X153" s="124">
        <v>-4684658050</v>
      </c>
      <c r="Y153" s="124">
        <v>-6920497847</v>
      </c>
      <c r="Z153" s="275">
        <v>14216394371</v>
      </c>
      <c r="AA153" s="123">
        <f>AA150-AA151</f>
        <v>1521095499.7650661</v>
      </c>
      <c r="AB153" s="123">
        <f t="shared" ref="AB153:AL153" si="11">AB150-AB151</f>
        <v>-1325103642.6497841</v>
      </c>
      <c r="AC153" s="123">
        <f t="shared" si="11"/>
        <v>5063579812.0372438</v>
      </c>
      <c r="AD153" s="123">
        <f t="shared" si="11"/>
        <v>2987787736.0558305</v>
      </c>
      <c r="AE153" s="123">
        <f t="shared" si="11"/>
        <v>3130291883.7845154</v>
      </c>
      <c r="AF153" s="123">
        <f t="shared" si="11"/>
        <v>2831772640.5848975</v>
      </c>
      <c r="AG153" s="123">
        <f t="shared" si="11"/>
        <v>7350302403.1836166</v>
      </c>
      <c r="AH153" s="123">
        <f t="shared" si="11"/>
        <v>6722008020.0142355</v>
      </c>
      <c r="AI153" s="123">
        <f t="shared" si="11"/>
        <v>6109248285.1740561</v>
      </c>
      <c r="AJ153" s="123">
        <f t="shared" si="11"/>
        <v>6665662779.7506666</v>
      </c>
      <c r="AK153" s="123">
        <f t="shared" si="11"/>
        <v>7122677929.8157387</v>
      </c>
      <c r="AL153" s="123">
        <f t="shared" si="11"/>
        <v>5291449007.4755802</v>
      </c>
      <c r="AM153" s="125">
        <f t="shared" si="5"/>
        <v>53470772354.991661</v>
      </c>
    </row>
    <row r="154" spans="1:39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2" t="s">
        <v>239</v>
      </c>
      <c r="AA154" s="293">
        <f>AA150-AA151-AA153</f>
        <v>0</v>
      </c>
      <c r="AB154" s="294">
        <f t="shared" ref="AB154:AM154" si="12">AB150-AB151-AB153</f>
        <v>0</v>
      </c>
      <c r="AC154" s="294">
        <f t="shared" si="12"/>
        <v>0</v>
      </c>
      <c r="AD154" s="294">
        <f t="shared" si="12"/>
        <v>0</v>
      </c>
      <c r="AE154" s="294">
        <f t="shared" si="12"/>
        <v>0</v>
      </c>
      <c r="AF154" s="294">
        <f t="shared" si="12"/>
        <v>0</v>
      </c>
      <c r="AG154" s="294">
        <f t="shared" si="12"/>
        <v>0</v>
      </c>
      <c r="AH154" s="294">
        <f t="shared" si="12"/>
        <v>0</v>
      </c>
      <c r="AI154" s="294">
        <f t="shared" si="12"/>
        <v>0</v>
      </c>
      <c r="AJ154" s="294">
        <f t="shared" si="12"/>
        <v>0</v>
      </c>
      <c r="AK154" s="294">
        <f t="shared" si="12"/>
        <v>0</v>
      </c>
      <c r="AL154" s="294">
        <f t="shared" si="12"/>
        <v>0</v>
      </c>
      <c r="AM154" s="294">
        <f t="shared" si="12"/>
        <v>0</v>
      </c>
    </row>
    <row r="155" spans="1:39" ht="15" customHeight="1" collapsed="1">
      <c r="A155" s="51" t="s">
        <v>240</v>
      </c>
      <c r="B155" s="144" t="s">
        <v>241</v>
      </c>
      <c r="C155" s="53" t="s">
        <v>66</v>
      </c>
      <c r="D155" s="54" t="s">
        <v>67</v>
      </c>
      <c r="E155" s="54" t="s">
        <v>68</v>
      </c>
      <c r="F155" s="53" t="s">
        <v>69</v>
      </c>
      <c r="G155" s="53" t="s">
        <v>70</v>
      </c>
      <c r="H155" s="53" t="s">
        <v>71</v>
      </c>
      <c r="I155" s="53" t="s">
        <v>72</v>
      </c>
      <c r="J155" s="54" t="s">
        <v>73</v>
      </c>
      <c r="K155" s="54" t="s">
        <v>74</v>
      </c>
      <c r="L155" s="54" t="s">
        <v>75</v>
      </c>
      <c r="M155" s="54" t="s">
        <v>76</v>
      </c>
      <c r="N155" s="53" t="s">
        <v>77</v>
      </c>
      <c r="O155" s="53" t="s">
        <v>78</v>
      </c>
      <c r="P155" s="53" t="s">
        <v>79</v>
      </c>
      <c r="Q155" s="53" t="s">
        <v>80</v>
      </c>
      <c r="R155" s="53" t="s">
        <v>81</v>
      </c>
      <c r="S155" s="53" t="s">
        <v>82</v>
      </c>
      <c r="T155" s="53" t="s">
        <v>83</v>
      </c>
      <c r="U155" s="53" t="s">
        <v>84</v>
      </c>
      <c r="V155" s="53" t="s">
        <v>85</v>
      </c>
      <c r="W155" s="53" t="s">
        <v>86</v>
      </c>
      <c r="X155" s="53" t="s">
        <v>87</v>
      </c>
      <c r="Y155" s="53" t="s">
        <v>88</v>
      </c>
      <c r="Z155" s="53" t="s">
        <v>89</v>
      </c>
      <c r="AA155" s="53" t="s">
        <v>8</v>
      </c>
      <c r="AB155" s="53" t="s">
        <v>9</v>
      </c>
      <c r="AC155" s="53" t="s">
        <v>10</v>
      </c>
      <c r="AD155" s="53" t="s">
        <v>11</v>
      </c>
      <c r="AE155" s="53" t="s">
        <v>12</v>
      </c>
      <c r="AF155" s="53" t="s">
        <v>13</v>
      </c>
      <c r="AG155" s="53" t="s">
        <v>14</v>
      </c>
      <c r="AH155" s="53" t="s">
        <v>15</v>
      </c>
      <c r="AI155" s="53" t="s">
        <v>16</v>
      </c>
      <c r="AJ155" s="53" t="s">
        <v>17</v>
      </c>
      <c r="AK155" s="53" t="s">
        <v>18</v>
      </c>
      <c r="AL155" s="53" t="s">
        <v>19</v>
      </c>
    </row>
    <row r="156" spans="1:39" ht="15" hidden="1" customHeight="1" outlineLevel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</row>
    <row r="157" spans="1:39" ht="15" hidden="1" customHeight="1" outlineLevel="1">
      <c r="A157" s="145" t="s">
        <v>243</v>
      </c>
      <c r="B157" s="146">
        <v>2</v>
      </c>
      <c r="C157" s="295">
        <v>-729878180</v>
      </c>
      <c r="D157" s="295">
        <v>-5270648797</v>
      </c>
      <c r="E157" s="295">
        <v>-2959309601</v>
      </c>
      <c r="F157" s="295">
        <v>2475246740</v>
      </c>
      <c r="G157" s="295">
        <v>-4153402340</v>
      </c>
      <c r="H157" s="295">
        <v>-10215448067</v>
      </c>
      <c r="I157" s="295">
        <v>-13524685493</v>
      </c>
      <c r="J157" s="295">
        <v>-8282947985</v>
      </c>
      <c r="K157" s="295">
        <v>9673268117</v>
      </c>
      <c r="L157" s="295">
        <v>-4978185231</v>
      </c>
      <c r="M157" s="295">
        <v>-3242020126</v>
      </c>
      <c r="N157" s="295">
        <v>105403947594</v>
      </c>
      <c r="O157" s="295">
        <v>5761271238</v>
      </c>
      <c r="P157" s="295">
        <v>20413496509</v>
      </c>
      <c r="Q157" s="295">
        <v>8350881246</v>
      </c>
      <c r="R157" s="295">
        <v>4428276973</v>
      </c>
      <c r="S157" s="295">
        <v>11212005063</v>
      </c>
      <c r="T157" s="295">
        <v>1261765596</v>
      </c>
      <c r="U157" s="295">
        <v>-1791468483</v>
      </c>
      <c r="V157" s="295">
        <v>297419333</v>
      </c>
      <c r="W157" s="295">
        <v>-11551325497</v>
      </c>
      <c r="X157" s="295">
        <v>-5201346672</v>
      </c>
      <c r="Y157" s="295">
        <v>-7774530924</v>
      </c>
      <c r="Z157" s="295">
        <v>16604832316</v>
      </c>
      <c r="AA157" s="296">
        <f>SUMIFS([1]!Data_CF[Value],[1]!Data_CF[Index CF],DTR!$B157,[1]!Data_CF[TenCongTyID],DTR!$B$1,[1]!Data_CF[Thang.Nam],DTR!AA$155)</f>
        <v>0</v>
      </c>
      <c r="AB157" s="296">
        <f>SUMIFS([1]!Data_CF[Value],[1]!Data_CF[Index CF],DTR!$B157,[1]!Data_CF[TenCongTyID],DTR!$B$1,[1]!Data_CF[Thang.Nam],DTR!AB$155)</f>
        <v>0</v>
      </c>
      <c r="AC157" s="296">
        <f>SUMIFS([1]!Data_CF[Value],[1]!Data_CF[Index CF],DTR!$B157,[1]!Data_CF[TenCongTyID],DTR!$B$1,[1]!Data_CF[Thang.Nam],DTR!AC$155)</f>
        <v>0</v>
      </c>
      <c r="AD157" s="296">
        <f>SUMIFS([1]!Data_CF[Value],[1]!Data_CF[Index CF],DTR!$B157,[1]!Data_CF[TenCongTyID],DTR!$B$1,[1]!Data_CF[Thang.Nam],DTR!AD$155)</f>
        <v>0</v>
      </c>
      <c r="AE157" s="296">
        <f>SUMIFS([1]!Data_CF[Value],[1]!Data_CF[Index CF],DTR!$B157,[1]!Data_CF[TenCongTyID],DTR!$B$1,[1]!Data_CF[Thang.Nam],DTR!AE$155)</f>
        <v>0</v>
      </c>
      <c r="AF157" s="296">
        <f>SUMIFS([1]!Data_CF[Value],[1]!Data_CF[Index CF],DTR!$B157,[1]!Data_CF[TenCongTyID],DTR!$B$1,[1]!Data_CF[Thang.Nam],DTR!AF$155)</f>
        <v>0</v>
      </c>
      <c r="AG157" s="296">
        <f>SUMIFS([1]!Data_CF[Value],[1]!Data_CF[Index CF],DTR!$B157,[1]!Data_CF[TenCongTyID],DTR!$B$1,[1]!Data_CF[Thang.Nam],DTR!AG$155)</f>
        <v>0</v>
      </c>
      <c r="AH157" s="296">
        <f>SUMIFS([1]!Data_CF[Value],[1]!Data_CF[Index CF],DTR!$B157,[1]!Data_CF[TenCongTyID],DTR!$B$1,[1]!Data_CF[Thang.Nam],DTR!AH$155)</f>
        <v>0</v>
      </c>
      <c r="AI157" s="296">
        <f>SUMIFS([1]!Data_CF[Value],[1]!Data_CF[Index CF],DTR!$B157,[1]!Data_CF[TenCongTyID],DTR!$B$1,[1]!Data_CF[Thang.Nam],DTR!AI$155)</f>
        <v>0</v>
      </c>
      <c r="AJ157" s="296">
        <f>SUMIFS([1]!Data_CF[Value],[1]!Data_CF[Index CF],DTR!$B157,[1]!Data_CF[TenCongTyID],DTR!$B$1,[1]!Data_CF[Thang.Nam],DTR!AJ$155)</f>
        <v>0</v>
      </c>
      <c r="AK157" s="296">
        <f>SUMIFS([1]!Data_CF[Value],[1]!Data_CF[Index CF],DTR!$B157,[1]!Data_CF[TenCongTyID],DTR!$B$1,[1]!Data_CF[Thang.Nam],DTR!AK$155)</f>
        <v>0</v>
      </c>
      <c r="AL157" s="296">
        <f>SUMIFS([1]!Data_CF[Value],[1]!Data_CF[Index CF],DTR!$B157,[1]!Data_CF[TenCongTyID],DTR!$B$1,[1]!Data_CF[Thang.Nam],DTR!AL$155)</f>
        <v>0</v>
      </c>
    </row>
    <row r="158" spans="1:39" ht="15" hidden="1" customHeight="1" outlineLevel="1">
      <c r="A158" s="149" t="s">
        <v>244</v>
      </c>
      <c r="B158" s="150">
        <v>3</v>
      </c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>
        <v>0</v>
      </c>
      <c r="AA158" s="298">
        <f>SUMIFS([1]!Data_CF[Value],[1]!Data_CF[Index CF],DTR!$B158,[1]!Data_CF[TenCongTyID],DTR!$B$1,[1]!Data_CF[Thang.Nam],DTR!AA$155)</f>
        <v>0</v>
      </c>
      <c r="AB158" s="298">
        <f>SUMIFS([1]!Data_CF[Value],[1]!Data_CF[Index CF],DTR!$B158,[1]!Data_CF[TenCongTyID],DTR!$B$1,[1]!Data_CF[Thang.Nam],DTR!AB$155)</f>
        <v>0</v>
      </c>
      <c r="AC158" s="298">
        <f>SUMIFS([1]!Data_CF[Value],[1]!Data_CF[Index CF],DTR!$B158,[1]!Data_CF[TenCongTyID],DTR!$B$1,[1]!Data_CF[Thang.Nam],DTR!AC$155)</f>
        <v>0</v>
      </c>
      <c r="AD158" s="298">
        <f>SUMIFS([1]!Data_CF[Value],[1]!Data_CF[Index CF],DTR!$B158,[1]!Data_CF[TenCongTyID],DTR!$B$1,[1]!Data_CF[Thang.Nam],DTR!AD$155)</f>
        <v>0</v>
      </c>
      <c r="AE158" s="298">
        <f>SUMIFS([1]!Data_CF[Value],[1]!Data_CF[Index CF],DTR!$B158,[1]!Data_CF[TenCongTyID],DTR!$B$1,[1]!Data_CF[Thang.Nam],DTR!AE$155)</f>
        <v>0</v>
      </c>
      <c r="AF158" s="298">
        <f>SUMIFS([1]!Data_CF[Value],[1]!Data_CF[Index CF],DTR!$B158,[1]!Data_CF[TenCongTyID],DTR!$B$1,[1]!Data_CF[Thang.Nam],DTR!AF$155)</f>
        <v>0</v>
      </c>
      <c r="AG158" s="298">
        <f>SUMIFS([1]!Data_CF[Value],[1]!Data_CF[Index CF],DTR!$B158,[1]!Data_CF[TenCongTyID],DTR!$B$1,[1]!Data_CF[Thang.Nam],DTR!AG$155)</f>
        <v>0</v>
      </c>
      <c r="AH158" s="298">
        <f>SUMIFS([1]!Data_CF[Value],[1]!Data_CF[Index CF],DTR!$B158,[1]!Data_CF[TenCongTyID],DTR!$B$1,[1]!Data_CF[Thang.Nam],DTR!AH$155)</f>
        <v>0</v>
      </c>
      <c r="AI158" s="298">
        <f>SUMIFS([1]!Data_CF[Value],[1]!Data_CF[Index CF],DTR!$B158,[1]!Data_CF[TenCongTyID],DTR!$B$1,[1]!Data_CF[Thang.Nam],DTR!AI$155)</f>
        <v>0</v>
      </c>
      <c r="AJ158" s="298">
        <f>SUMIFS([1]!Data_CF[Value],[1]!Data_CF[Index CF],DTR!$B158,[1]!Data_CF[TenCongTyID],DTR!$B$1,[1]!Data_CF[Thang.Nam],DTR!AJ$155)</f>
        <v>0</v>
      </c>
      <c r="AK158" s="298">
        <f>SUMIFS([1]!Data_CF[Value],[1]!Data_CF[Index CF],DTR!$B158,[1]!Data_CF[TenCongTyID],DTR!$B$1,[1]!Data_CF[Thang.Nam],DTR!AK$155)</f>
        <v>0</v>
      </c>
      <c r="AL158" s="298">
        <f>SUMIFS([1]!Data_CF[Value],[1]!Data_CF[Index CF],DTR!$B158,[1]!Data_CF[TenCongTyID],DTR!$B$1,[1]!Data_CF[Thang.Nam],DTR!AL$155)</f>
        <v>0</v>
      </c>
    </row>
    <row r="159" spans="1:39" ht="15" hidden="1" customHeight="1" outlineLevel="1">
      <c r="A159" s="153" t="s">
        <v>245</v>
      </c>
      <c r="B159" s="154">
        <v>4</v>
      </c>
      <c r="C159" s="299">
        <v>2998479509</v>
      </c>
      <c r="D159" s="299">
        <v>3003358762</v>
      </c>
      <c r="E159" s="299">
        <v>2998978933</v>
      </c>
      <c r="F159" s="299">
        <v>3181024399</v>
      </c>
      <c r="G159" s="299">
        <v>3238724278</v>
      </c>
      <c r="H159" s="300">
        <v>3240440023</v>
      </c>
      <c r="I159" s="300">
        <v>3274496481</v>
      </c>
      <c r="J159" s="300">
        <v>3295429795</v>
      </c>
      <c r="K159" s="300">
        <v>3434711622</v>
      </c>
      <c r="L159" s="300">
        <v>3434792405</v>
      </c>
      <c r="M159" s="300">
        <v>3448986541</v>
      </c>
      <c r="N159" s="300">
        <v>3762460661</v>
      </c>
      <c r="O159" s="300">
        <v>3803154168</v>
      </c>
      <c r="P159" s="300">
        <v>3804698614</v>
      </c>
      <c r="Q159" s="300">
        <v>4002633975</v>
      </c>
      <c r="R159" s="300">
        <v>3905195928</v>
      </c>
      <c r="S159" s="300">
        <v>4091854986</v>
      </c>
      <c r="T159" s="300">
        <v>4087468338</v>
      </c>
      <c r="U159" s="300">
        <v>4085457551</v>
      </c>
      <c r="V159" s="300">
        <v>4092995160</v>
      </c>
      <c r="W159" s="300">
        <v>4407500048</v>
      </c>
      <c r="X159" s="300">
        <v>4260856692</v>
      </c>
      <c r="Y159" s="300">
        <v>4421950561</v>
      </c>
      <c r="Z159" s="300">
        <v>4442318343</v>
      </c>
      <c r="AA159" s="301">
        <f>SUMIFS([1]!Data_CF[Value],[1]!Data_CF[Index CF],DTR!$B159,[1]!Data_CF[TenCongTyID],DTR!$B$1,[1]!Data_CF[Thang.Nam],DTR!AA$155)</f>
        <v>0</v>
      </c>
      <c r="AB159" s="301">
        <f>SUMIFS([1]!Data_CF[Value],[1]!Data_CF[Index CF],DTR!$B159,[1]!Data_CF[TenCongTyID],DTR!$B$1,[1]!Data_CF[Thang.Nam],DTR!AB$155)</f>
        <v>0</v>
      </c>
      <c r="AC159" s="301">
        <f>SUMIFS([1]!Data_CF[Value],[1]!Data_CF[Index CF],DTR!$B159,[1]!Data_CF[TenCongTyID],DTR!$B$1,[1]!Data_CF[Thang.Nam],DTR!AC$155)</f>
        <v>0</v>
      </c>
      <c r="AD159" s="301">
        <f>SUMIFS([1]!Data_CF[Value],[1]!Data_CF[Index CF],DTR!$B159,[1]!Data_CF[TenCongTyID],DTR!$B$1,[1]!Data_CF[Thang.Nam],DTR!AD$155)</f>
        <v>0</v>
      </c>
      <c r="AE159" s="301">
        <f>SUMIFS([1]!Data_CF[Value],[1]!Data_CF[Index CF],DTR!$B159,[1]!Data_CF[TenCongTyID],DTR!$B$1,[1]!Data_CF[Thang.Nam],DTR!AE$155)</f>
        <v>0</v>
      </c>
      <c r="AF159" s="301">
        <f>SUMIFS([1]!Data_CF[Value],[1]!Data_CF[Index CF],DTR!$B159,[1]!Data_CF[TenCongTyID],DTR!$B$1,[1]!Data_CF[Thang.Nam],DTR!AF$155)</f>
        <v>0</v>
      </c>
      <c r="AG159" s="301">
        <f>SUMIFS([1]!Data_CF[Value],[1]!Data_CF[Index CF],DTR!$B159,[1]!Data_CF[TenCongTyID],DTR!$B$1,[1]!Data_CF[Thang.Nam],DTR!AG$155)</f>
        <v>0</v>
      </c>
      <c r="AH159" s="301">
        <f>SUMIFS([1]!Data_CF[Value],[1]!Data_CF[Index CF],DTR!$B159,[1]!Data_CF[TenCongTyID],DTR!$B$1,[1]!Data_CF[Thang.Nam],DTR!AH$155)</f>
        <v>0</v>
      </c>
      <c r="AI159" s="301">
        <f>SUMIFS([1]!Data_CF[Value],[1]!Data_CF[Index CF],DTR!$B159,[1]!Data_CF[TenCongTyID],DTR!$B$1,[1]!Data_CF[Thang.Nam],DTR!AI$155)</f>
        <v>0</v>
      </c>
      <c r="AJ159" s="301">
        <f>SUMIFS([1]!Data_CF[Value],[1]!Data_CF[Index CF],DTR!$B159,[1]!Data_CF[TenCongTyID],DTR!$B$1,[1]!Data_CF[Thang.Nam],DTR!AJ$155)</f>
        <v>0</v>
      </c>
      <c r="AK159" s="301">
        <f>SUMIFS([1]!Data_CF[Value],[1]!Data_CF[Index CF],DTR!$B159,[1]!Data_CF[TenCongTyID],DTR!$B$1,[1]!Data_CF[Thang.Nam],DTR!AK$155)</f>
        <v>0</v>
      </c>
      <c r="AL159" s="301">
        <f>SUMIFS([1]!Data_CF[Value],[1]!Data_CF[Index CF],DTR!$B159,[1]!Data_CF[TenCongTyID],DTR!$B$1,[1]!Data_CF[Thang.Nam],DTR!AL$155)</f>
        <v>0</v>
      </c>
    </row>
    <row r="160" spans="1:39" ht="15" hidden="1" customHeight="1" outlineLevel="1">
      <c r="A160" s="153" t="s">
        <v>246</v>
      </c>
      <c r="B160" s="154">
        <v>5</v>
      </c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>
        <v>0</v>
      </c>
      <c r="AA160" s="303">
        <f>SUMIFS([1]!Data_CF[Value],[1]!Data_CF[Index CF],DTR!$B160,[1]!Data_CF[TenCongTyID],DTR!$B$1,[1]!Data_CF[Thang.Nam],DTR!AA$155)</f>
        <v>0</v>
      </c>
      <c r="AB160" s="303">
        <f>SUMIFS([1]!Data_CF[Value],[1]!Data_CF[Index CF],DTR!$B160,[1]!Data_CF[TenCongTyID],DTR!$B$1,[1]!Data_CF[Thang.Nam],DTR!AB$155)</f>
        <v>0</v>
      </c>
      <c r="AC160" s="303">
        <f>SUMIFS([1]!Data_CF[Value],[1]!Data_CF[Index CF],DTR!$B160,[1]!Data_CF[TenCongTyID],DTR!$B$1,[1]!Data_CF[Thang.Nam],DTR!AC$155)</f>
        <v>0</v>
      </c>
      <c r="AD160" s="303">
        <f>SUMIFS([1]!Data_CF[Value],[1]!Data_CF[Index CF],DTR!$B160,[1]!Data_CF[TenCongTyID],DTR!$B$1,[1]!Data_CF[Thang.Nam],DTR!AD$155)</f>
        <v>0</v>
      </c>
      <c r="AE160" s="303">
        <f>SUMIFS([1]!Data_CF[Value],[1]!Data_CF[Index CF],DTR!$B160,[1]!Data_CF[TenCongTyID],DTR!$B$1,[1]!Data_CF[Thang.Nam],DTR!AE$155)</f>
        <v>0</v>
      </c>
      <c r="AF160" s="303">
        <f>SUMIFS([1]!Data_CF[Value],[1]!Data_CF[Index CF],DTR!$B160,[1]!Data_CF[TenCongTyID],DTR!$B$1,[1]!Data_CF[Thang.Nam],DTR!AF$155)</f>
        <v>0</v>
      </c>
      <c r="AG160" s="303">
        <f>SUMIFS([1]!Data_CF[Value],[1]!Data_CF[Index CF],DTR!$B160,[1]!Data_CF[TenCongTyID],DTR!$B$1,[1]!Data_CF[Thang.Nam],DTR!AG$155)</f>
        <v>0</v>
      </c>
      <c r="AH160" s="303">
        <f>SUMIFS([1]!Data_CF[Value],[1]!Data_CF[Index CF],DTR!$B160,[1]!Data_CF[TenCongTyID],DTR!$B$1,[1]!Data_CF[Thang.Nam],DTR!AH$155)</f>
        <v>0</v>
      </c>
      <c r="AI160" s="303">
        <f>SUMIFS([1]!Data_CF[Value],[1]!Data_CF[Index CF],DTR!$B160,[1]!Data_CF[TenCongTyID],DTR!$B$1,[1]!Data_CF[Thang.Nam],DTR!AI$155)</f>
        <v>0</v>
      </c>
      <c r="AJ160" s="303">
        <f>SUMIFS([1]!Data_CF[Value],[1]!Data_CF[Index CF],DTR!$B160,[1]!Data_CF[TenCongTyID],DTR!$B$1,[1]!Data_CF[Thang.Nam],DTR!AJ$155)</f>
        <v>0</v>
      </c>
      <c r="AK160" s="303">
        <f>SUMIFS([1]!Data_CF[Value],[1]!Data_CF[Index CF],DTR!$B160,[1]!Data_CF[TenCongTyID],DTR!$B$1,[1]!Data_CF[Thang.Nam],DTR!AK$155)</f>
        <v>0</v>
      </c>
      <c r="AL160" s="303">
        <f>SUMIFS([1]!Data_CF[Value],[1]!Data_CF[Index CF],DTR!$B160,[1]!Data_CF[TenCongTyID],DTR!$B$1,[1]!Data_CF[Thang.Nam],DTR!AL$155)</f>
        <v>0</v>
      </c>
    </row>
    <row r="161" spans="1:38" ht="14" hidden="1" outlineLevel="1">
      <c r="A161" s="153" t="s">
        <v>247</v>
      </c>
      <c r="B161" s="154">
        <v>6</v>
      </c>
      <c r="C161" s="304">
        <v>-55279705</v>
      </c>
      <c r="D161" s="304">
        <v>-427077314</v>
      </c>
      <c r="E161" s="304">
        <v>-320017067</v>
      </c>
      <c r="F161" s="304">
        <v>-242395730</v>
      </c>
      <c r="G161" s="304">
        <v>-818581781</v>
      </c>
      <c r="H161" s="304">
        <v>-185223798</v>
      </c>
      <c r="I161" s="304">
        <v>-180874896</v>
      </c>
      <c r="J161" s="304">
        <v>-263960563</v>
      </c>
      <c r="K161" s="304">
        <v>-297048858</v>
      </c>
      <c r="L161" s="304">
        <v>-1429021178</v>
      </c>
      <c r="M161" s="304">
        <v>-522578257</v>
      </c>
      <c r="N161" s="302">
        <v>-1311270209</v>
      </c>
      <c r="O161" s="302">
        <v>-357780096</v>
      </c>
      <c r="P161" s="302">
        <v>-1275864519</v>
      </c>
      <c r="Q161" s="302">
        <v>-608968263</v>
      </c>
      <c r="R161" s="302">
        <v>-658231709</v>
      </c>
      <c r="S161" s="302">
        <v>-1643945913</v>
      </c>
      <c r="T161" s="302">
        <v>-645043805</v>
      </c>
      <c r="U161" s="302">
        <v>-757881624</v>
      </c>
      <c r="V161" s="302">
        <v>-621393506</v>
      </c>
      <c r="W161" s="302">
        <v>-844098636</v>
      </c>
      <c r="X161" s="302">
        <v>-1011211322</v>
      </c>
      <c r="Y161" s="302">
        <v>-120205688</v>
      </c>
      <c r="Z161" s="302">
        <v>-252471998</v>
      </c>
      <c r="AA161" s="303">
        <f>SUMIFS([1]!Data_CF[Value],[1]!Data_CF[Index CF],DTR!$B161,[1]!Data_CF[TenCongTyID],DTR!$B$1,[1]!Data_CF[Thang.Nam],DTR!AA$155)</f>
        <v>0</v>
      </c>
      <c r="AB161" s="303">
        <f>SUMIFS([1]!Data_CF[Value],[1]!Data_CF[Index CF],DTR!$B161,[1]!Data_CF[TenCongTyID],DTR!$B$1,[1]!Data_CF[Thang.Nam],DTR!AB$155)</f>
        <v>0</v>
      </c>
      <c r="AC161" s="303">
        <f>SUMIFS([1]!Data_CF[Value],[1]!Data_CF[Index CF],DTR!$B161,[1]!Data_CF[TenCongTyID],DTR!$B$1,[1]!Data_CF[Thang.Nam],DTR!AC$155)</f>
        <v>0</v>
      </c>
      <c r="AD161" s="303">
        <f>SUMIFS([1]!Data_CF[Value],[1]!Data_CF[Index CF],DTR!$B161,[1]!Data_CF[TenCongTyID],DTR!$B$1,[1]!Data_CF[Thang.Nam],DTR!AD$155)</f>
        <v>0</v>
      </c>
      <c r="AE161" s="303">
        <f>SUMIFS([1]!Data_CF[Value],[1]!Data_CF[Index CF],DTR!$B161,[1]!Data_CF[TenCongTyID],DTR!$B$1,[1]!Data_CF[Thang.Nam],DTR!AE$155)</f>
        <v>0</v>
      </c>
      <c r="AF161" s="303">
        <f>SUMIFS([1]!Data_CF[Value],[1]!Data_CF[Index CF],DTR!$B161,[1]!Data_CF[TenCongTyID],DTR!$B$1,[1]!Data_CF[Thang.Nam],DTR!AF$155)</f>
        <v>0</v>
      </c>
      <c r="AG161" s="303">
        <f>SUMIFS([1]!Data_CF[Value],[1]!Data_CF[Index CF],DTR!$B161,[1]!Data_CF[TenCongTyID],DTR!$B$1,[1]!Data_CF[Thang.Nam],DTR!AG$155)</f>
        <v>0</v>
      </c>
      <c r="AH161" s="303">
        <f>SUMIFS([1]!Data_CF[Value],[1]!Data_CF[Index CF],DTR!$B161,[1]!Data_CF[TenCongTyID],DTR!$B$1,[1]!Data_CF[Thang.Nam],DTR!AH$155)</f>
        <v>0</v>
      </c>
      <c r="AI161" s="303">
        <f>SUMIFS([1]!Data_CF[Value],[1]!Data_CF[Index CF],DTR!$B161,[1]!Data_CF[TenCongTyID],DTR!$B$1,[1]!Data_CF[Thang.Nam],DTR!AI$155)</f>
        <v>0</v>
      </c>
      <c r="AJ161" s="303">
        <f>SUMIFS([1]!Data_CF[Value],[1]!Data_CF[Index CF],DTR!$B161,[1]!Data_CF[TenCongTyID],DTR!$B$1,[1]!Data_CF[Thang.Nam],DTR!AJ$155)</f>
        <v>0</v>
      </c>
      <c r="AK161" s="303">
        <f>SUMIFS([1]!Data_CF[Value],[1]!Data_CF[Index CF],DTR!$B161,[1]!Data_CF[TenCongTyID],DTR!$B$1,[1]!Data_CF[Thang.Nam],DTR!AK$155)</f>
        <v>0</v>
      </c>
      <c r="AL161" s="303">
        <f>SUMIFS([1]!Data_CF[Value],[1]!Data_CF[Index CF],DTR!$B161,[1]!Data_CF[TenCongTyID],DTR!$B$1,[1]!Data_CF[Thang.Nam],DTR!AL$155)</f>
        <v>0</v>
      </c>
    </row>
    <row r="162" spans="1:38" ht="15" hidden="1" customHeight="1" outlineLevel="1">
      <c r="A162" s="153" t="s">
        <v>248</v>
      </c>
      <c r="B162" s="154">
        <v>7</v>
      </c>
      <c r="C162" s="299"/>
      <c r="D162" s="299">
        <v>-296561</v>
      </c>
      <c r="E162" s="299">
        <v>-171678249</v>
      </c>
      <c r="F162" s="299">
        <v>-808078</v>
      </c>
      <c r="G162" s="299">
        <v>-439987</v>
      </c>
      <c r="H162" s="299">
        <v>-482338</v>
      </c>
      <c r="I162" s="300">
        <v>-374904</v>
      </c>
      <c r="J162" s="300">
        <v>-1014834</v>
      </c>
      <c r="K162" s="300">
        <v>-826804</v>
      </c>
      <c r="L162" s="299">
        <v>-156232879</v>
      </c>
      <c r="M162" s="299">
        <v>-1036275</v>
      </c>
      <c r="N162" s="299">
        <v>-1314400686</v>
      </c>
      <c r="O162" s="299">
        <v>-398202236</v>
      </c>
      <c r="P162" s="299">
        <v>-1278506781</v>
      </c>
      <c r="Q162" s="299">
        <v>-681642</v>
      </c>
      <c r="R162" s="299">
        <v>-1661994</v>
      </c>
      <c r="S162" s="299">
        <v>-649627</v>
      </c>
      <c r="T162" s="299">
        <v>-989334</v>
      </c>
      <c r="U162" s="299">
        <v>-870633</v>
      </c>
      <c r="V162" s="299">
        <v>-913181</v>
      </c>
      <c r="W162" s="299">
        <v>-1031619</v>
      </c>
      <c r="X162" s="299">
        <v>-717642885</v>
      </c>
      <c r="Y162" s="299">
        <v>-81582428</v>
      </c>
      <c r="Z162" s="299">
        <v>-337960853</v>
      </c>
      <c r="AA162" s="305">
        <f>SUMIFS([1]!Data_CF[Value],[1]!Data_CF[Index CF],DTR!$B162,[1]!Data_CF[TenCongTyID],DTR!$B$1,[1]!Data_CF[Thang.Nam],DTR!AA$155)</f>
        <v>0</v>
      </c>
      <c r="AB162" s="305">
        <f>SUMIFS([1]!Data_CF[Value],[1]!Data_CF[Index CF],DTR!$B162,[1]!Data_CF[TenCongTyID],DTR!$B$1,[1]!Data_CF[Thang.Nam],DTR!AB$155)</f>
        <v>0</v>
      </c>
      <c r="AC162" s="305">
        <f>SUMIFS([1]!Data_CF[Value],[1]!Data_CF[Index CF],DTR!$B162,[1]!Data_CF[TenCongTyID],DTR!$B$1,[1]!Data_CF[Thang.Nam],DTR!AC$155)</f>
        <v>0</v>
      </c>
      <c r="AD162" s="305">
        <f>SUMIFS([1]!Data_CF[Value],[1]!Data_CF[Index CF],DTR!$B162,[1]!Data_CF[TenCongTyID],DTR!$B$1,[1]!Data_CF[Thang.Nam],DTR!AD$155)</f>
        <v>0</v>
      </c>
      <c r="AE162" s="305">
        <f>SUMIFS([1]!Data_CF[Value],[1]!Data_CF[Index CF],DTR!$B162,[1]!Data_CF[TenCongTyID],DTR!$B$1,[1]!Data_CF[Thang.Nam],DTR!AE$155)</f>
        <v>0</v>
      </c>
      <c r="AF162" s="305">
        <f>SUMIFS([1]!Data_CF[Value],[1]!Data_CF[Index CF],DTR!$B162,[1]!Data_CF[TenCongTyID],DTR!$B$1,[1]!Data_CF[Thang.Nam],DTR!AF$155)</f>
        <v>0</v>
      </c>
      <c r="AG162" s="305">
        <f>SUMIFS([1]!Data_CF[Value],[1]!Data_CF[Index CF],DTR!$B162,[1]!Data_CF[TenCongTyID],DTR!$B$1,[1]!Data_CF[Thang.Nam],DTR!AG$155)</f>
        <v>0</v>
      </c>
      <c r="AH162" s="305">
        <f>SUMIFS([1]!Data_CF[Value],[1]!Data_CF[Index CF],DTR!$B162,[1]!Data_CF[TenCongTyID],DTR!$B$1,[1]!Data_CF[Thang.Nam],DTR!AH$155)</f>
        <v>0</v>
      </c>
      <c r="AI162" s="305">
        <f>SUMIFS([1]!Data_CF[Value],[1]!Data_CF[Index CF],DTR!$B162,[1]!Data_CF[TenCongTyID],DTR!$B$1,[1]!Data_CF[Thang.Nam],DTR!AI$155)</f>
        <v>0</v>
      </c>
      <c r="AJ162" s="305">
        <f>SUMIFS([1]!Data_CF[Value],[1]!Data_CF[Index CF],DTR!$B162,[1]!Data_CF[TenCongTyID],DTR!$B$1,[1]!Data_CF[Thang.Nam],DTR!AJ$155)</f>
        <v>0</v>
      </c>
      <c r="AK162" s="305">
        <f>SUMIFS([1]!Data_CF[Value],[1]!Data_CF[Index CF],DTR!$B162,[1]!Data_CF[TenCongTyID],DTR!$B$1,[1]!Data_CF[Thang.Nam],DTR!AK$155)</f>
        <v>0</v>
      </c>
      <c r="AL162" s="305">
        <f>SUMIFS([1]!Data_CF[Value],[1]!Data_CF[Index CF],DTR!$B162,[1]!Data_CF[TenCongTyID],DTR!$B$1,[1]!Data_CF[Thang.Nam],DTR!AL$155)</f>
        <v>0</v>
      </c>
    </row>
    <row r="163" spans="1:38" ht="15" hidden="1" customHeight="1" outlineLevel="1">
      <c r="A163" s="153" t="s">
        <v>249</v>
      </c>
      <c r="B163" s="154">
        <v>8</v>
      </c>
      <c r="C163" s="304">
        <v>422755791</v>
      </c>
      <c r="D163" s="304">
        <v>563909516</v>
      </c>
      <c r="E163" s="306">
        <v>567924561</v>
      </c>
      <c r="F163" s="304">
        <v>840791009</v>
      </c>
      <c r="G163" s="304">
        <v>961855770</v>
      </c>
      <c r="H163" s="304">
        <v>1030712173</v>
      </c>
      <c r="I163" s="304">
        <v>1160823006</v>
      </c>
      <c r="J163" s="304">
        <v>939585045</v>
      </c>
      <c r="K163" s="304">
        <v>859444105</v>
      </c>
      <c r="L163" s="304">
        <v>840165515</v>
      </c>
      <c r="M163" s="304">
        <v>889159081</v>
      </c>
      <c r="N163" s="304">
        <v>1032562923</v>
      </c>
      <c r="O163" s="304">
        <v>739360517</v>
      </c>
      <c r="P163" s="304">
        <v>1303843040</v>
      </c>
      <c r="Q163" s="304">
        <v>673966789</v>
      </c>
      <c r="R163" s="304">
        <v>888393452</v>
      </c>
      <c r="S163" s="304">
        <v>1186588729</v>
      </c>
      <c r="T163" s="304">
        <v>1448899822</v>
      </c>
      <c r="U163" s="304">
        <v>1242023326</v>
      </c>
      <c r="V163" s="304">
        <v>1303560910</v>
      </c>
      <c r="W163" s="304">
        <v>1595764355</v>
      </c>
      <c r="X163" s="304">
        <v>1368802426</v>
      </c>
      <c r="Y163" s="304">
        <v>1256132292</v>
      </c>
      <c r="Z163" s="304">
        <v>1256103396</v>
      </c>
      <c r="AA163" s="305">
        <f>SUMIFS([1]!Data_CF[Value],[1]!Data_CF[Index CF],DTR!$B163,[1]!Data_CF[TenCongTyID],DTR!$B$1,[1]!Data_CF[Thang.Nam],DTR!AA$155)</f>
        <v>0</v>
      </c>
      <c r="AB163" s="305">
        <f>SUMIFS([1]!Data_CF[Value],[1]!Data_CF[Index CF],DTR!$B163,[1]!Data_CF[TenCongTyID],DTR!$B$1,[1]!Data_CF[Thang.Nam],DTR!AB$155)</f>
        <v>0</v>
      </c>
      <c r="AC163" s="305">
        <f>SUMIFS([1]!Data_CF[Value],[1]!Data_CF[Index CF],DTR!$B163,[1]!Data_CF[TenCongTyID],DTR!$B$1,[1]!Data_CF[Thang.Nam],DTR!AC$155)</f>
        <v>0</v>
      </c>
      <c r="AD163" s="305">
        <f>SUMIFS([1]!Data_CF[Value],[1]!Data_CF[Index CF],DTR!$B163,[1]!Data_CF[TenCongTyID],DTR!$B$1,[1]!Data_CF[Thang.Nam],DTR!AD$155)</f>
        <v>0</v>
      </c>
      <c r="AE163" s="305">
        <f>SUMIFS([1]!Data_CF[Value],[1]!Data_CF[Index CF],DTR!$B163,[1]!Data_CF[TenCongTyID],DTR!$B$1,[1]!Data_CF[Thang.Nam],DTR!AE$155)</f>
        <v>0</v>
      </c>
      <c r="AF163" s="305">
        <f>SUMIFS([1]!Data_CF[Value],[1]!Data_CF[Index CF],DTR!$B163,[1]!Data_CF[TenCongTyID],DTR!$B$1,[1]!Data_CF[Thang.Nam],DTR!AF$155)</f>
        <v>0</v>
      </c>
      <c r="AG163" s="305">
        <f>SUMIFS([1]!Data_CF[Value],[1]!Data_CF[Index CF],DTR!$B163,[1]!Data_CF[TenCongTyID],DTR!$B$1,[1]!Data_CF[Thang.Nam],DTR!AG$155)</f>
        <v>0</v>
      </c>
      <c r="AH163" s="305">
        <f>SUMIFS([1]!Data_CF[Value],[1]!Data_CF[Index CF],DTR!$B163,[1]!Data_CF[TenCongTyID],DTR!$B$1,[1]!Data_CF[Thang.Nam],DTR!AH$155)</f>
        <v>0</v>
      </c>
      <c r="AI163" s="305">
        <f>SUMIFS([1]!Data_CF[Value],[1]!Data_CF[Index CF],DTR!$B163,[1]!Data_CF[TenCongTyID],DTR!$B$1,[1]!Data_CF[Thang.Nam],DTR!AI$155)</f>
        <v>0</v>
      </c>
      <c r="AJ163" s="305">
        <f>SUMIFS([1]!Data_CF[Value],[1]!Data_CF[Index CF],DTR!$B163,[1]!Data_CF[TenCongTyID],DTR!$B$1,[1]!Data_CF[Thang.Nam],DTR!AJ$155)</f>
        <v>0</v>
      </c>
      <c r="AK163" s="305">
        <f>SUMIFS([1]!Data_CF[Value],[1]!Data_CF[Index CF],DTR!$B163,[1]!Data_CF[TenCongTyID],DTR!$B$1,[1]!Data_CF[Thang.Nam],DTR!AK$155)</f>
        <v>0</v>
      </c>
      <c r="AL163" s="305">
        <f>SUMIFS([1]!Data_CF[Value],[1]!Data_CF[Index CF],DTR!$B163,[1]!Data_CF[TenCongTyID],DTR!$B$1,[1]!Data_CF[Thang.Nam],DTR!AL$155)</f>
        <v>0</v>
      </c>
    </row>
    <row r="164" spans="1:38" ht="15" hidden="1" customHeight="1" outlineLevel="1">
      <c r="A164" s="153" t="s">
        <v>250</v>
      </c>
      <c r="B164" s="154">
        <v>9</v>
      </c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>
        <v>0</v>
      </c>
      <c r="AA164" s="303">
        <f>SUMIFS([1]!Data_CF[Value],[1]!Data_CF[Index CF],DTR!$B164,[1]!Data_CF[TenCongTyID],DTR!$B$1,[1]!Data_CF[Thang.Nam],DTR!AA$155)</f>
        <v>0</v>
      </c>
      <c r="AB164" s="303">
        <f>SUMIFS([1]!Data_CF[Value],[1]!Data_CF[Index CF],DTR!$B164,[1]!Data_CF[TenCongTyID],DTR!$B$1,[1]!Data_CF[Thang.Nam],DTR!AB$155)</f>
        <v>0</v>
      </c>
      <c r="AC164" s="303">
        <f>SUMIFS([1]!Data_CF[Value],[1]!Data_CF[Index CF],DTR!$B164,[1]!Data_CF[TenCongTyID],DTR!$B$1,[1]!Data_CF[Thang.Nam],DTR!AC$155)</f>
        <v>0</v>
      </c>
      <c r="AD164" s="303">
        <f>SUMIFS([1]!Data_CF[Value],[1]!Data_CF[Index CF],DTR!$B164,[1]!Data_CF[TenCongTyID],DTR!$B$1,[1]!Data_CF[Thang.Nam],DTR!AD$155)</f>
        <v>0</v>
      </c>
      <c r="AE164" s="303">
        <f>SUMIFS([1]!Data_CF[Value],[1]!Data_CF[Index CF],DTR!$B164,[1]!Data_CF[TenCongTyID],DTR!$B$1,[1]!Data_CF[Thang.Nam],DTR!AE$155)</f>
        <v>0</v>
      </c>
      <c r="AF164" s="303">
        <f>SUMIFS([1]!Data_CF[Value],[1]!Data_CF[Index CF],DTR!$B164,[1]!Data_CF[TenCongTyID],DTR!$B$1,[1]!Data_CF[Thang.Nam],DTR!AF$155)</f>
        <v>0</v>
      </c>
      <c r="AG164" s="303">
        <f>SUMIFS([1]!Data_CF[Value],[1]!Data_CF[Index CF],DTR!$B164,[1]!Data_CF[TenCongTyID],DTR!$B$1,[1]!Data_CF[Thang.Nam],DTR!AG$155)</f>
        <v>0</v>
      </c>
      <c r="AH164" s="303">
        <f>SUMIFS([1]!Data_CF[Value],[1]!Data_CF[Index CF],DTR!$B164,[1]!Data_CF[TenCongTyID],DTR!$B$1,[1]!Data_CF[Thang.Nam],DTR!AH$155)</f>
        <v>0</v>
      </c>
      <c r="AI164" s="303">
        <f>SUMIFS([1]!Data_CF[Value],[1]!Data_CF[Index CF],DTR!$B164,[1]!Data_CF[TenCongTyID],DTR!$B$1,[1]!Data_CF[Thang.Nam],DTR!AI$155)</f>
        <v>0</v>
      </c>
      <c r="AJ164" s="303">
        <f>SUMIFS([1]!Data_CF[Value],[1]!Data_CF[Index CF],DTR!$B164,[1]!Data_CF[TenCongTyID],DTR!$B$1,[1]!Data_CF[Thang.Nam],DTR!AJ$155)</f>
        <v>0</v>
      </c>
      <c r="AK164" s="303">
        <f>SUMIFS([1]!Data_CF[Value],[1]!Data_CF[Index CF],DTR!$B164,[1]!Data_CF[TenCongTyID],DTR!$B$1,[1]!Data_CF[Thang.Nam],DTR!AK$155)</f>
        <v>0</v>
      </c>
      <c r="AL164" s="303">
        <f>SUMIFS([1]!Data_CF[Value],[1]!Data_CF[Index CF],DTR!$B164,[1]!Data_CF[TenCongTyID],DTR!$B$1,[1]!Data_CF[Thang.Nam],DTR!AL$155)</f>
        <v>0</v>
      </c>
    </row>
    <row r="165" spans="1:38" ht="14" hidden="1" outlineLevel="1">
      <c r="A165" s="156" t="s">
        <v>251</v>
      </c>
      <c r="B165" s="157">
        <v>10</v>
      </c>
      <c r="C165" s="308">
        <v>2636077415</v>
      </c>
      <c r="D165" s="308">
        <v>-2130754394</v>
      </c>
      <c r="E165" s="308">
        <v>115898577</v>
      </c>
      <c r="F165" s="308">
        <v>6253858340</v>
      </c>
      <c r="G165" s="308">
        <v>-771844060</v>
      </c>
      <c r="H165" s="308">
        <v>-6130002007</v>
      </c>
      <c r="I165" s="308">
        <v>-9270615806</v>
      </c>
      <c r="J165" s="308">
        <v>-4312908542</v>
      </c>
      <c r="K165" s="308">
        <v>13669548182</v>
      </c>
      <c r="L165" s="308">
        <v>-2288481368</v>
      </c>
      <c r="M165" s="308">
        <v>572510964</v>
      </c>
      <c r="N165" s="308">
        <v>107573300283</v>
      </c>
      <c r="O165" s="308">
        <f>SUM(O157:O164)</f>
        <v>9547803591</v>
      </c>
      <c r="P165" s="308">
        <f>SUM(P157:P164)</f>
        <v>22967666863</v>
      </c>
      <c r="Q165" s="308">
        <f>SUM(Q157:Q164)</f>
        <v>12417832105</v>
      </c>
      <c r="R165" s="308">
        <v>8561972650</v>
      </c>
      <c r="S165" s="308">
        <v>14845853238</v>
      </c>
      <c r="T165" s="308">
        <v>6152100617</v>
      </c>
      <c r="U165" s="308">
        <v>2777260137</v>
      </c>
      <c r="V165" s="308">
        <v>5071668716</v>
      </c>
      <c r="W165" s="308">
        <v>-6393191349</v>
      </c>
      <c r="X165" s="308">
        <v>-1300541761</v>
      </c>
      <c r="Y165" s="308">
        <v>-2298236187</v>
      </c>
      <c r="Z165" s="308">
        <v>21712821204</v>
      </c>
      <c r="AA165" s="309">
        <f>SUMIFS([1]!Data_CF[Value],[1]!Data_CF[Index CF],DTR!$B165,[1]!Data_CF[TenCongTyID],DTR!$B$1,[1]!Data_CF[Thang.Nam],DTR!AA$155)</f>
        <v>0</v>
      </c>
      <c r="AB165" s="309">
        <f>SUMIFS([1]!Data_CF[Value],[1]!Data_CF[Index CF],DTR!$B165,[1]!Data_CF[TenCongTyID],DTR!$B$1,[1]!Data_CF[Thang.Nam],DTR!AB$155)</f>
        <v>0</v>
      </c>
      <c r="AC165" s="309">
        <f>SUMIFS([1]!Data_CF[Value],[1]!Data_CF[Index CF],DTR!$B165,[1]!Data_CF[TenCongTyID],DTR!$B$1,[1]!Data_CF[Thang.Nam],DTR!AC$155)</f>
        <v>0</v>
      </c>
      <c r="AD165" s="309">
        <f>SUMIFS([1]!Data_CF[Value],[1]!Data_CF[Index CF],DTR!$B165,[1]!Data_CF[TenCongTyID],DTR!$B$1,[1]!Data_CF[Thang.Nam],DTR!AD$155)</f>
        <v>0</v>
      </c>
      <c r="AE165" s="309">
        <f>SUMIFS([1]!Data_CF[Value],[1]!Data_CF[Index CF],DTR!$B165,[1]!Data_CF[TenCongTyID],DTR!$B$1,[1]!Data_CF[Thang.Nam],DTR!AE$155)</f>
        <v>0</v>
      </c>
      <c r="AF165" s="309">
        <f>SUMIFS([1]!Data_CF[Value],[1]!Data_CF[Index CF],DTR!$B165,[1]!Data_CF[TenCongTyID],DTR!$B$1,[1]!Data_CF[Thang.Nam],DTR!AF$155)</f>
        <v>0</v>
      </c>
      <c r="AG165" s="309">
        <f>SUMIFS([1]!Data_CF[Value],[1]!Data_CF[Index CF],DTR!$B165,[1]!Data_CF[TenCongTyID],DTR!$B$1,[1]!Data_CF[Thang.Nam],DTR!AG$155)</f>
        <v>0</v>
      </c>
      <c r="AH165" s="309">
        <f>SUMIFS([1]!Data_CF[Value],[1]!Data_CF[Index CF],DTR!$B165,[1]!Data_CF[TenCongTyID],DTR!$B$1,[1]!Data_CF[Thang.Nam],DTR!AH$155)</f>
        <v>0</v>
      </c>
      <c r="AI165" s="309">
        <f>SUMIFS([1]!Data_CF[Value],[1]!Data_CF[Index CF],DTR!$B165,[1]!Data_CF[TenCongTyID],DTR!$B$1,[1]!Data_CF[Thang.Nam],DTR!AI$155)</f>
        <v>0</v>
      </c>
      <c r="AJ165" s="309">
        <f>SUMIFS([1]!Data_CF[Value],[1]!Data_CF[Index CF],DTR!$B165,[1]!Data_CF[TenCongTyID],DTR!$B$1,[1]!Data_CF[Thang.Nam],DTR!AJ$155)</f>
        <v>0</v>
      </c>
      <c r="AK165" s="309">
        <f>SUMIFS([1]!Data_CF[Value],[1]!Data_CF[Index CF],DTR!$B165,[1]!Data_CF[TenCongTyID],DTR!$B$1,[1]!Data_CF[Thang.Nam],DTR!AK$155)</f>
        <v>0</v>
      </c>
      <c r="AL165" s="309">
        <f>SUMIFS([1]!Data_CF[Value],[1]!Data_CF[Index CF],DTR!$B165,[1]!Data_CF[TenCongTyID],DTR!$B$1,[1]!Data_CF[Thang.Nam],DTR!AL$155)</f>
        <v>0</v>
      </c>
    </row>
    <row r="166" spans="1:38" ht="15" hidden="1" customHeight="1" outlineLevel="1">
      <c r="A166" s="158" t="s">
        <v>252</v>
      </c>
      <c r="B166" s="159">
        <v>11</v>
      </c>
      <c r="C166" s="299">
        <v>-5652437642</v>
      </c>
      <c r="D166" s="299">
        <v>12718033317</v>
      </c>
      <c r="E166" s="299">
        <v>-27842598162</v>
      </c>
      <c r="F166" s="299">
        <v>-18112988822</v>
      </c>
      <c r="G166" s="299">
        <v>-13542246944</v>
      </c>
      <c r="H166" s="299">
        <v>-22167334330</v>
      </c>
      <c r="I166" s="299">
        <v>85173759375</v>
      </c>
      <c r="J166" s="299">
        <v>-23854718494</v>
      </c>
      <c r="K166" s="299">
        <v>-33309317893</v>
      </c>
      <c r="L166" s="299">
        <v>-980685357</v>
      </c>
      <c r="M166" s="299">
        <v>-50275873317</v>
      </c>
      <c r="N166" s="299">
        <v>48930483720</v>
      </c>
      <c r="O166" s="299">
        <v>48855114582</v>
      </c>
      <c r="P166" s="299">
        <v>-44766736418</v>
      </c>
      <c r="Q166" s="299">
        <v>-37871215662</v>
      </c>
      <c r="R166" s="299">
        <v>28625577432</v>
      </c>
      <c r="S166" s="299">
        <v>-55448925268</v>
      </c>
      <c r="T166" s="299">
        <v>720428098</v>
      </c>
      <c r="U166" s="299">
        <v>256498082</v>
      </c>
      <c r="V166" s="299">
        <v>-61126022727</v>
      </c>
      <c r="W166" s="299">
        <v>55449630438</v>
      </c>
      <c r="X166" s="299">
        <v>42194737277</v>
      </c>
      <c r="Y166" s="299">
        <v>12367013188</v>
      </c>
      <c r="Z166" s="299">
        <v>-22793945347</v>
      </c>
      <c r="AA166" s="305">
        <f>SUMIFS([1]!Data_CF[Value],[1]!Data_CF[Index CF],DTR!$B166,[1]!Data_CF[TenCongTyID],DTR!$B$1,[1]!Data_CF[Thang.Nam],DTR!AA$155)</f>
        <v>0</v>
      </c>
      <c r="AB166" s="305">
        <f>SUMIFS([1]!Data_CF[Value],[1]!Data_CF[Index CF],DTR!$B166,[1]!Data_CF[TenCongTyID],DTR!$B$1,[1]!Data_CF[Thang.Nam],DTR!AB$155)</f>
        <v>0</v>
      </c>
      <c r="AC166" s="305">
        <f>SUMIFS([1]!Data_CF[Value],[1]!Data_CF[Index CF],DTR!$B166,[1]!Data_CF[TenCongTyID],DTR!$B$1,[1]!Data_CF[Thang.Nam],DTR!AC$155)</f>
        <v>0</v>
      </c>
      <c r="AD166" s="305">
        <f>SUMIFS([1]!Data_CF[Value],[1]!Data_CF[Index CF],DTR!$B166,[1]!Data_CF[TenCongTyID],DTR!$B$1,[1]!Data_CF[Thang.Nam],DTR!AD$155)</f>
        <v>0</v>
      </c>
      <c r="AE166" s="305">
        <f>SUMIFS([1]!Data_CF[Value],[1]!Data_CF[Index CF],DTR!$B166,[1]!Data_CF[TenCongTyID],DTR!$B$1,[1]!Data_CF[Thang.Nam],DTR!AE$155)</f>
        <v>0</v>
      </c>
      <c r="AF166" s="305">
        <f>SUMIFS([1]!Data_CF[Value],[1]!Data_CF[Index CF],DTR!$B166,[1]!Data_CF[TenCongTyID],DTR!$B$1,[1]!Data_CF[Thang.Nam],DTR!AF$155)</f>
        <v>0</v>
      </c>
      <c r="AG166" s="305">
        <f>SUMIFS([1]!Data_CF[Value],[1]!Data_CF[Index CF],DTR!$B166,[1]!Data_CF[TenCongTyID],DTR!$B$1,[1]!Data_CF[Thang.Nam],DTR!AG$155)</f>
        <v>0</v>
      </c>
      <c r="AH166" s="305">
        <f>SUMIFS([1]!Data_CF[Value],[1]!Data_CF[Index CF],DTR!$B166,[1]!Data_CF[TenCongTyID],DTR!$B$1,[1]!Data_CF[Thang.Nam],DTR!AH$155)</f>
        <v>0</v>
      </c>
      <c r="AI166" s="305">
        <f>SUMIFS([1]!Data_CF[Value],[1]!Data_CF[Index CF],DTR!$B166,[1]!Data_CF[TenCongTyID],DTR!$B$1,[1]!Data_CF[Thang.Nam],DTR!AI$155)</f>
        <v>0</v>
      </c>
      <c r="AJ166" s="305">
        <f>SUMIFS([1]!Data_CF[Value],[1]!Data_CF[Index CF],DTR!$B166,[1]!Data_CF[TenCongTyID],DTR!$B$1,[1]!Data_CF[Thang.Nam],DTR!AJ$155)</f>
        <v>0</v>
      </c>
      <c r="AK166" s="305">
        <f>SUMIFS([1]!Data_CF[Value],[1]!Data_CF[Index CF],DTR!$B166,[1]!Data_CF[TenCongTyID],DTR!$B$1,[1]!Data_CF[Thang.Nam],DTR!AK$155)</f>
        <v>0</v>
      </c>
      <c r="AL166" s="305">
        <f>SUMIFS([1]!Data_CF[Value],[1]!Data_CF[Index CF],DTR!$B166,[1]!Data_CF[TenCongTyID],DTR!$B$1,[1]!Data_CF[Thang.Nam],DTR!AL$155)</f>
        <v>0</v>
      </c>
    </row>
    <row r="167" spans="1:38" ht="15" hidden="1" customHeight="1" outlineLevel="1">
      <c r="A167" s="160" t="s">
        <v>253</v>
      </c>
      <c r="B167" s="161">
        <v>12</v>
      </c>
      <c r="C167" s="299">
        <v>-62048923911</v>
      </c>
      <c r="D167" s="299">
        <v>-6967205423</v>
      </c>
      <c r="E167" s="299">
        <v>-41958712604</v>
      </c>
      <c r="F167" s="299">
        <v>-40309960571</v>
      </c>
      <c r="G167" s="299">
        <v>-45123242085</v>
      </c>
      <c r="H167" s="299">
        <v>-25153534354</v>
      </c>
      <c r="I167" s="299">
        <v>-23609068040</v>
      </c>
      <c r="J167" s="299">
        <v>40963897237</v>
      </c>
      <c r="K167" s="299">
        <v>-9261864488</v>
      </c>
      <c r="L167" s="299">
        <v>2566665862</v>
      </c>
      <c r="M167" s="299">
        <v>-41434587500</v>
      </c>
      <c r="N167" s="299">
        <v>-17812326753</v>
      </c>
      <c r="O167" s="299">
        <v>39011677209</v>
      </c>
      <c r="P167" s="299">
        <v>82988328541</v>
      </c>
      <c r="Q167" s="299">
        <v>15465577608</v>
      </c>
      <c r="R167" s="299">
        <v>-54309944038</v>
      </c>
      <c r="S167" s="299">
        <v>-3833514940</v>
      </c>
      <c r="T167" s="299">
        <v>-17092818286</v>
      </c>
      <c r="U167" s="299">
        <v>-5007590876</v>
      </c>
      <c r="V167" s="299">
        <v>325978186</v>
      </c>
      <c r="W167" s="299">
        <v>-15929021809</v>
      </c>
      <c r="X167" s="299">
        <v>12975330253</v>
      </c>
      <c r="Y167" s="299">
        <v>656481204</v>
      </c>
      <c r="Z167" s="299">
        <v>-14896011891</v>
      </c>
      <c r="AA167" s="305">
        <f>SUMIFS([1]!Data_CF[Value],[1]!Data_CF[Index CF],DTR!$B167,[1]!Data_CF[TenCongTyID],DTR!$B$1,[1]!Data_CF[Thang.Nam],DTR!AA$155)</f>
        <v>0</v>
      </c>
      <c r="AB167" s="305">
        <f>SUMIFS([1]!Data_CF[Value],[1]!Data_CF[Index CF],DTR!$B167,[1]!Data_CF[TenCongTyID],DTR!$B$1,[1]!Data_CF[Thang.Nam],DTR!AB$155)</f>
        <v>0</v>
      </c>
      <c r="AC167" s="305">
        <f>SUMIFS([1]!Data_CF[Value],[1]!Data_CF[Index CF],DTR!$B167,[1]!Data_CF[TenCongTyID],DTR!$B$1,[1]!Data_CF[Thang.Nam],DTR!AC$155)</f>
        <v>0</v>
      </c>
      <c r="AD167" s="305">
        <f>SUMIFS([1]!Data_CF[Value],[1]!Data_CF[Index CF],DTR!$B167,[1]!Data_CF[TenCongTyID],DTR!$B$1,[1]!Data_CF[Thang.Nam],DTR!AD$155)</f>
        <v>0</v>
      </c>
      <c r="AE167" s="305">
        <f>SUMIFS([1]!Data_CF[Value],[1]!Data_CF[Index CF],DTR!$B167,[1]!Data_CF[TenCongTyID],DTR!$B$1,[1]!Data_CF[Thang.Nam],DTR!AE$155)</f>
        <v>0</v>
      </c>
      <c r="AF167" s="305">
        <f>SUMIFS([1]!Data_CF[Value],[1]!Data_CF[Index CF],DTR!$B167,[1]!Data_CF[TenCongTyID],DTR!$B$1,[1]!Data_CF[Thang.Nam],DTR!AF$155)</f>
        <v>0</v>
      </c>
      <c r="AG167" s="305">
        <f>SUMIFS([1]!Data_CF[Value],[1]!Data_CF[Index CF],DTR!$B167,[1]!Data_CF[TenCongTyID],DTR!$B$1,[1]!Data_CF[Thang.Nam],DTR!AG$155)</f>
        <v>0</v>
      </c>
      <c r="AH167" s="305">
        <f>SUMIFS([1]!Data_CF[Value],[1]!Data_CF[Index CF],DTR!$B167,[1]!Data_CF[TenCongTyID],DTR!$B$1,[1]!Data_CF[Thang.Nam],DTR!AH$155)</f>
        <v>0</v>
      </c>
      <c r="AI167" s="305">
        <f>SUMIFS([1]!Data_CF[Value],[1]!Data_CF[Index CF],DTR!$B167,[1]!Data_CF[TenCongTyID],DTR!$B$1,[1]!Data_CF[Thang.Nam],DTR!AI$155)</f>
        <v>0</v>
      </c>
      <c r="AJ167" s="305">
        <f>SUMIFS([1]!Data_CF[Value],[1]!Data_CF[Index CF],DTR!$B167,[1]!Data_CF[TenCongTyID],DTR!$B$1,[1]!Data_CF[Thang.Nam],DTR!AJ$155)</f>
        <v>0</v>
      </c>
      <c r="AK167" s="305">
        <f>SUMIFS([1]!Data_CF[Value],[1]!Data_CF[Index CF],DTR!$B167,[1]!Data_CF[TenCongTyID],DTR!$B$1,[1]!Data_CF[Thang.Nam],DTR!AK$155)</f>
        <v>0</v>
      </c>
      <c r="AL167" s="305">
        <f>SUMIFS([1]!Data_CF[Value],[1]!Data_CF[Index CF],DTR!$B167,[1]!Data_CF[TenCongTyID],DTR!$B$1,[1]!Data_CF[Thang.Nam],DTR!AL$155)</f>
        <v>0</v>
      </c>
    </row>
    <row r="168" spans="1:38" ht="14" hidden="1" outlineLevel="1">
      <c r="A168" s="158" t="s">
        <v>254</v>
      </c>
      <c r="B168" s="159">
        <v>13</v>
      </c>
      <c r="C168" s="299">
        <v>7047075109</v>
      </c>
      <c r="D168" s="299">
        <v>3916411982</v>
      </c>
      <c r="E168" s="299">
        <v>13622200989</v>
      </c>
      <c r="F168" s="299">
        <v>17907838314</v>
      </c>
      <c r="G168" s="299">
        <v>29819590224</v>
      </c>
      <c r="H168" s="299">
        <v>29796216577</v>
      </c>
      <c r="I168" s="299">
        <v>17066288696</v>
      </c>
      <c r="J168" s="299">
        <v>12068637446</v>
      </c>
      <c r="K168" s="299">
        <v>33332918829</v>
      </c>
      <c r="L168" s="299">
        <v>9256815094</v>
      </c>
      <c r="M168" s="299">
        <v>44681754380</v>
      </c>
      <c r="N168" s="299">
        <v>-141135934090</v>
      </c>
      <c r="O168" s="299">
        <v>-18846487637</v>
      </c>
      <c r="P168" s="299">
        <v>-3242891008</v>
      </c>
      <c r="Q168" s="299">
        <v>-10856648380</v>
      </c>
      <c r="R168" s="299">
        <v>-15817906933</v>
      </c>
      <c r="S168" s="299">
        <v>21901299832</v>
      </c>
      <c r="T168" s="299">
        <v>14884971711</v>
      </c>
      <c r="U168" s="299">
        <v>-23926762811</v>
      </c>
      <c r="V168" s="299">
        <v>16989265000</v>
      </c>
      <c r="W168" s="299">
        <v>-14078738209</v>
      </c>
      <c r="X168" s="299">
        <v>10955857665</v>
      </c>
      <c r="Y168" s="299">
        <v>-9154991595</v>
      </c>
      <c r="Z168" s="299">
        <v>-5625175555</v>
      </c>
      <c r="AA168" s="305">
        <f>SUMIFS([1]!Data_CF[Value],[1]!Data_CF[Index CF],DTR!$B168,[1]!Data_CF[TenCongTyID],DTR!$B$1,[1]!Data_CF[Thang.Nam],DTR!AA$155)</f>
        <v>0</v>
      </c>
      <c r="AB168" s="305">
        <f>SUMIFS([1]!Data_CF[Value],[1]!Data_CF[Index CF],DTR!$B168,[1]!Data_CF[TenCongTyID],DTR!$B$1,[1]!Data_CF[Thang.Nam],DTR!AB$155)</f>
        <v>0</v>
      </c>
      <c r="AC168" s="305">
        <f>SUMIFS([1]!Data_CF[Value],[1]!Data_CF[Index CF],DTR!$B168,[1]!Data_CF[TenCongTyID],DTR!$B$1,[1]!Data_CF[Thang.Nam],DTR!AC$155)</f>
        <v>0</v>
      </c>
      <c r="AD168" s="305">
        <f>SUMIFS([1]!Data_CF[Value],[1]!Data_CF[Index CF],DTR!$B168,[1]!Data_CF[TenCongTyID],DTR!$B$1,[1]!Data_CF[Thang.Nam],DTR!AD$155)</f>
        <v>0</v>
      </c>
      <c r="AE168" s="305">
        <f>SUMIFS([1]!Data_CF[Value],[1]!Data_CF[Index CF],DTR!$B168,[1]!Data_CF[TenCongTyID],DTR!$B$1,[1]!Data_CF[Thang.Nam],DTR!AE$155)</f>
        <v>0</v>
      </c>
      <c r="AF168" s="305">
        <f>SUMIFS([1]!Data_CF[Value],[1]!Data_CF[Index CF],DTR!$B168,[1]!Data_CF[TenCongTyID],DTR!$B$1,[1]!Data_CF[Thang.Nam],DTR!AF$155)</f>
        <v>0</v>
      </c>
      <c r="AG168" s="305">
        <f>SUMIFS([1]!Data_CF[Value],[1]!Data_CF[Index CF],DTR!$B168,[1]!Data_CF[TenCongTyID],DTR!$B$1,[1]!Data_CF[Thang.Nam],DTR!AG$155)</f>
        <v>0</v>
      </c>
      <c r="AH168" s="305">
        <f>SUMIFS([1]!Data_CF[Value],[1]!Data_CF[Index CF],DTR!$B168,[1]!Data_CF[TenCongTyID],DTR!$B$1,[1]!Data_CF[Thang.Nam],DTR!AH$155)</f>
        <v>0</v>
      </c>
      <c r="AI168" s="305">
        <f>SUMIFS([1]!Data_CF[Value],[1]!Data_CF[Index CF],DTR!$B168,[1]!Data_CF[TenCongTyID],DTR!$B$1,[1]!Data_CF[Thang.Nam],DTR!AI$155)</f>
        <v>0</v>
      </c>
      <c r="AJ168" s="305">
        <f>SUMIFS([1]!Data_CF[Value],[1]!Data_CF[Index CF],DTR!$B168,[1]!Data_CF[TenCongTyID],DTR!$B$1,[1]!Data_CF[Thang.Nam],DTR!AJ$155)</f>
        <v>0</v>
      </c>
      <c r="AK168" s="305">
        <f>SUMIFS([1]!Data_CF[Value],[1]!Data_CF[Index CF],DTR!$B168,[1]!Data_CF[TenCongTyID],DTR!$B$1,[1]!Data_CF[Thang.Nam],DTR!AK$155)</f>
        <v>0</v>
      </c>
      <c r="AL168" s="305">
        <f>SUMIFS([1]!Data_CF[Value],[1]!Data_CF[Index CF],DTR!$B168,[1]!Data_CF[TenCongTyID],DTR!$B$1,[1]!Data_CF[Thang.Nam],DTR!AL$155)</f>
        <v>0</v>
      </c>
    </row>
    <row r="169" spans="1:38" ht="15" hidden="1" customHeight="1" outlineLevel="1">
      <c r="A169" s="158" t="s">
        <v>255</v>
      </c>
      <c r="B169" s="159">
        <v>14</v>
      </c>
      <c r="C169" s="299">
        <v>372777599</v>
      </c>
      <c r="D169" s="299"/>
      <c r="E169" s="299"/>
      <c r="F169" s="299"/>
      <c r="G169" s="299"/>
      <c r="H169" s="299"/>
      <c r="I169" s="299"/>
      <c r="J169" s="299"/>
      <c r="K169" s="300"/>
      <c r="L169" s="299">
        <v>1169047833</v>
      </c>
      <c r="M169" s="299">
        <v>696155386</v>
      </c>
      <c r="N169" s="299">
        <v>1000976009</v>
      </c>
      <c r="O169" s="299">
        <v>110283488</v>
      </c>
      <c r="P169" s="299">
        <v>-4175776372</v>
      </c>
      <c r="Q169" s="299">
        <v>601863673</v>
      </c>
      <c r="R169" s="299">
        <v>1249320119</v>
      </c>
      <c r="S169" s="299">
        <v>1913803036</v>
      </c>
      <c r="T169" s="299">
        <v>-5497715935</v>
      </c>
      <c r="U169" s="299">
        <v>-592614643</v>
      </c>
      <c r="V169" s="299">
        <v>-371361391</v>
      </c>
      <c r="W169" s="299">
        <v>2579678545</v>
      </c>
      <c r="X169" s="299">
        <v>1512112454</v>
      </c>
      <c r="Y169" s="299">
        <v>2428581212</v>
      </c>
      <c r="Z169" s="299">
        <v>383391425</v>
      </c>
      <c r="AA169" s="305">
        <f>SUMIFS([1]!Data_CF[Value],[1]!Data_CF[Index CF],DTR!$B169,[1]!Data_CF[TenCongTyID],DTR!$B$1,[1]!Data_CF[Thang.Nam],DTR!AA$155)</f>
        <v>0</v>
      </c>
      <c r="AB169" s="305">
        <f>SUMIFS([1]!Data_CF[Value],[1]!Data_CF[Index CF],DTR!$B169,[1]!Data_CF[TenCongTyID],DTR!$B$1,[1]!Data_CF[Thang.Nam],DTR!AB$155)</f>
        <v>0</v>
      </c>
      <c r="AC169" s="305">
        <f>SUMIFS([1]!Data_CF[Value],[1]!Data_CF[Index CF],DTR!$B169,[1]!Data_CF[TenCongTyID],DTR!$B$1,[1]!Data_CF[Thang.Nam],DTR!AC$155)</f>
        <v>0</v>
      </c>
      <c r="AD169" s="305">
        <f>SUMIFS([1]!Data_CF[Value],[1]!Data_CF[Index CF],DTR!$B169,[1]!Data_CF[TenCongTyID],DTR!$B$1,[1]!Data_CF[Thang.Nam],DTR!AD$155)</f>
        <v>0</v>
      </c>
      <c r="AE169" s="305">
        <f>SUMIFS([1]!Data_CF[Value],[1]!Data_CF[Index CF],DTR!$B169,[1]!Data_CF[TenCongTyID],DTR!$B$1,[1]!Data_CF[Thang.Nam],DTR!AE$155)</f>
        <v>0</v>
      </c>
      <c r="AF169" s="305">
        <f>SUMIFS([1]!Data_CF[Value],[1]!Data_CF[Index CF],DTR!$B169,[1]!Data_CF[TenCongTyID],DTR!$B$1,[1]!Data_CF[Thang.Nam],DTR!AF$155)</f>
        <v>0</v>
      </c>
      <c r="AG169" s="305">
        <f>SUMIFS([1]!Data_CF[Value],[1]!Data_CF[Index CF],DTR!$B169,[1]!Data_CF[TenCongTyID],DTR!$B$1,[1]!Data_CF[Thang.Nam],DTR!AG$155)</f>
        <v>0</v>
      </c>
      <c r="AH169" s="305">
        <f>SUMIFS([1]!Data_CF[Value],[1]!Data_CF[Index CF],DTR!$B169,[1]!Data_CF[TenCongTyID],DTR!$B$1,[1]!Data_CF[Thang.Nam],DTR!AH$155)</f>
        <v>0</v>
      </c>
      <c r="AI169" s="305">
        <f>SUMIFS([1]!Data_CF[Value],[1]!Data_CF[Index CF],DTR!$B169,[1]!Data_CF[TenCongTyID],DTR!$B$1,[1]!Data_CF[Thang.Nam],DTR!AI$155)</f>
        <v>0</v>
      </c>
      <c r="AJ169" s="305">
        <f>SUMIFS([1]!Data_CF[Value],[1]!Data_CF[Index CF],DTR!$B169,[1]!Data_CF[TenCongTyID],DTR!$B$1,[1]!Data_CF[Thang.Nam],DTR!AJ$155)</f>
        <v>0</v>
      </c>
      <c r="AK169" s="305">
        <f>SUMIFS([1]!Data_CF[Value],[1]!Data_CF[Index CF],DTR!$B169,[1]!Data_CF[TenCongTyID],DTR!$B$1,[1]!Data_CF[Thang.Nam],DTR!AK$155)</f>
        <v>0</v>
      </c>
      <c r="AL169" s="305">
        <f>SUMIFS([1]!Data_CF[Value],[1]!Data_CF[Index CF],DTR!$B169,[1]!Data_CF[TenCongTyID],DTR!$B$1,[1]!Data_CF[Thang.Nam],DTR!AL$155)</f>
        <v>0</v>
      </c>
    </row>
    <row r="170" spans="1:38" ht="15" hidden="1" customHeight="1" outlineLevel="1">
      <c r="A170" s="158" t="s">
        <v>256</v>
      </c>
      <c r="B170" s="159">
        <v>15</v>
      </c>
      <c r="C170" s="304"/>
      <c r="D170" s="304"/>
      <c r="E170" s="304"/>
      <c r="F170" s="304"/>
      <c r="G170" s="304"/>
      <c r="H170" s="304"/>
      <c r="I170" s="304"/>
      <c r="J170" s="304"/>
      <c r="K170" s="304"/>
      <c r="L170" s="304"/>
      <c r="M170" s="304"/>
      <c r="N170" s="304"/>
      <c r="O170" s="304"/>
      <c r="P170" s="304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>
        <v>0</v>
      </c>
      <c r="AA170" s="305">
        <f>SUMIFS([1]!Data_CF[Value],[1]!Data_CF[Index CF],DTR!$B170,[1]!Data_CF[TenCongTyID],DTR!$B$1,[1]!Data_CF[Thang.Nam],DTR!AA$155)</f>
        <v>0</v>
      </c>
      <c r="AB170" s="305">
        <f>SUMIFS([1]!Data_CF[Value],[1]!Data_CF[Index CF],DTR!$B170,[1]!Data_CF[TenCongTyID],DTR!$B$1,[1]!Data_CF[Thang.Nam],DTR!AB$155)</f>
        <v>0</v>
      </c>
      <c r="AC170" s="305">
        <f>SUMIFS([1]!Data_CF[Value],[1]!Data_CF[Index CF],DTR!$B170,[1]!Data_CF[TenCongTyID],DTR!$B$1,[1]!Data_CF[Thang.Nam],DTR!AC$155)</f>
        <v>0</v>
      </c>
      <c r="AD170" s="305">
        <f>SUMIFS([1]!Data_CF[Value],[1]!Data_CF[Index CF],DTR!$B170,[1]!Data_CF[TenCongTyID],DTR!$B$1,[1]!Data_CF[Thang.Nam],DTR!AD$155)</f>
        <v>0</v>
      </c>
      <c r="AE170" s="305">
        <f>SUMIFS([1]!Data_CF[Value],[1]!Data_CF[Index CF],DTR!$B170,[1]!Data_CF[TenCongTyID],DTR!$B$1,[1]!Data_CF[Thang.Nam],DTR!AE$155)</f>
        <v>0</v>
      </c>
      <c r="AF170" s="305">
        <f>SUMIFS([1]!Data_CF[Value],[1]!Data_CF[Index CF],DTR!$B170,[1]!Data_CF[TenCongTyID],DTR!$B$1,[1]!Data_CF[Thang.Nam],DTR!AF$155)</f>
        <v>0</v>
      </c>
      <c r="AG170" s="305">
        <f>SUMIFS([1]!Data_CF[Value],[1]!Data_CF[Index CF],DTR!$B170,[1]!Data_CF[TenCongTyID],DTR!$B$1,[1]!Data_CF[Thang.Nam],DTR!AG$155)</f>
        <v>0</v>
      </c>
      <c r="AH170" s="305">
        <f>SUMIFS([1]!Data_CF[Value],[1]!Data_CF[Index CF],DTR!$B170,[1]!Data_CF[TenCongTyID],DTR!$B$1,[1]!Data_CF[Thang.Nam],DTR!AH$155)</f>
        <v>0</v>
      </c>
      <c r="AI170" s="305">
        <f>SUMIFS([1]!Data_CF[Value],[1]!Data_CF[Index CF],DTR!$B170,[1]!Data_CF[TenCongTyID],DTR!$B$1,[1]!Data_CF[Thang.Nam],DTR!AI$155)</f>
        <v>0</v>
      </c>
      <c r="AJ170" s="305">
        <f>SUMIFS([1]!Data_CF[Value],[1]!Data_CF[Index CF],DTR!$B170,[1]!Data_CF[TenCongTyID],DTR!$B$1,[1]!Data_CF[Thang.Nam],DTR!AJ$155)</f>
        <v>0</v>
      </c>
      <c r="AK170" s="305">
        <f>SUMIFS([1]!Data_CF[Value],[1]!Data_CF[Index CF],DTR!$B170,[1]!Data_CF[TenCongTyID],DTR!$B$1,[1]!Data_CF[Thang.Nam],DTR!AK$155)</f>
        <v>0</v>
      </c>
      <c r="AL170" s="305">
        <f>SUMIFS([1]!Data_CF[Value],[1]!Data_CF[Index CF],DTR!$B170,[1]!Data_CF[TenCongTyID],DTR!$B$1,[1]!Data_CF[Thang.Nam],DTR!AL$155)</f>
        <v>0</v>
      </c>
    </row>
    <row r="171" spans="1:38" ht="15" hidden="1" customHeight="1" outlineLevel="1">
      <c r="A171" s="158" t="s">
        <v>257</v>
      </c>
      <c r="B171" s="159">
        <v>16</v>
      </c>
      <c r="C171" s="299">
        <v>-422755791</v>
      </c>
      <c r="D171" s="299">
        <v>-563909516</v>
      </c>
      <c r="E171" s="299">
        <v>-567924561</v>
      </c>
      <c r="F171" s="299">
        <v>-840791009</v>
      </c>
      <c r="G171" s="299">
        <v>-961855770</v>
      </c>
      <c r="H171" s="299">
        <v>-1030712173</v>
      </c>
      <c r="I171" s="299">
        <v>-1160823006</v>
      </c>
      <c r="J171" s="299">
        <v>-939585045</v>
      </c>
      <c r="K171" s="299">
        <v>-859444105</v>
      </c>
      <c r="L171" s="299">
        <v>-840165515</v>
      </c>
      <c r="M171" s="299">
        <v>-889159081</v>
      </c>
      <c r="N171" s="299">
        <v>-1032562923</v>
      </c>
      <c r="O171" s="304">
        <v>-739360517</v>
      </c>
      <c r="P171" s="299">
        <v>-1303843040</v>
      </c>
      <c r="Q171" s="299">
        <v>-673966789</v>
      </c>
      <c r="R171" s="299">
        <v>-888393452</v>
      </c>
      <c r="S171" s="299">
        <v>-1186588729</v>
      </c>
      <c r="T171" s="299">
        <v>-1448899822</v>
      </c>
      <c r="U171" s="299">
        <v>-1242023326</v>
      </c>
      <c r="V171" s="299">
        <v>-1303560910</v>
      </c>
      <c r="W171" s="299">
        <v>-1595764355</v>
      </c>
      <c r="X171" s="299">
        <v>-1368802426</v>
      </c>
      <c r="Y171" s="299">
        <v>-1256132292</v>
      </c>
      <c r="Z171" s="299">
        <v>-1256103396</v>
      </c>
      <c r="AA171" s="305">
        <f>SUMIFS([1]!Data_CF[Value],[1]!Data_CF[Index CF],DTR!$B171,[1]!Data_CF[TenCongTyID],DTR!$B$1,[1]!Data_CF[Thang.Nam],DTR!AA$155)</f>
        <v>0</v>
      </c>
      <c r="AB171" s="305">
        <f>SUMIFS([1]!Data_CF[Value],[1]!Data_CF[Index CF],DTR!$B171,[1]!Data_CF[TenCongTyID],DTR!$B$1,[1]!Data_CF[Thang.Nam],DTR!AB$155)</f>
        <v>0</v>
      </c>
      <c r="AC171" s="305">
        <f>SUMIFS([1]!Data_CF[Value],[1]!Data_CF[Index CF],DTR!$B171,[1]!Data_CF[TenCongTyID],DTR!$B$1,[1]!Data_CF[Thang.Nam],DTR!AC$155)</f>
        <v>0</v>
      </c>
      <c r="AD171" s="305">
        <f>SUMIFS([1]!Data_CF[Value],[1]!Data_CF[Index CF],DTR!$B171,[1]!Data_CF[TenCongTyID],DTR!$B$1,[1]!Data_CF[Thang.Nam],DTR!AD$155)</f>
        <v>0</v>
      </c>
      <c r="AE171" s="305">
        <f>SUMIFS([1]!Data_CF[Value],[1]!Data_CF[Index CF],DTR!$B171,[1]!Data_CF[TenCongTyID],DTR!$B$1,[1]!Data_CF[Thang.Nam],DTR!AE$155)</f>
        <v>0</v>
      </c>
      <c r="AF171" s="305">
        <f>SUMIFS([1]!Data_CF[Value],[1]!Data_CF[Index CF],DTR!$B171,[1]!Data_CF[TenCongTyID],DTR!$B$1,[1]!Data_CF[Thang.Nam],DTR!AF$155)</f>
        <v>0</v>
      </c>
      <c r="AG171" s="305">
        <f>SUMIFS([1]!Data_CF[Value],[1]!Data_CF[Index CF],DTR!$B171,[1]!Data_CF[TenCongTyID],DTR!$B$1,[1]!Data_CF[Thang.Nam],DTR!AG$155)</f>
        <v>0</v>
      </c>
      <c r="AH171" s="305">
        <f>SUMIFS([1]!Data_CF[Value],[1]!Data_CF[Index CF],DTR!$B171,[1]!Data_CF[TenCongTyID],DTR!$B$1,[1]!Data_CF[Thang.Nam],DTR!AH$155)</f>
        <v>0</v>
      </c>
      <c r="AI171" s="305">
        <f>SUMIFS([1]!Data_CF[Value],[1]!Data_CF[Index CF],DTR!$B171,[1]!Data_CF[TenCongTyID],DTR!$B$1,[1]!Data_CF[Thang.Nam],DTR!AI$155)</f>
        <v>0</v>
      </c>
      <c r="AJ171" s="305">
        <f>SUMIFS([1]!Data_CF[Value],[1]!Data_CF[Index CF],DTR!$B171,[1]!Data_CF[TenCongTyID],DTR!$B$1,[1]!Data_CF[Thang.Nam],DTR!AJ$155)</f>
        <v>0</v>
      </c>
      <c r="AK171" s="305">
        <f>SUMIFS([1]!Data_CF[Value],[1]!Data_CF[Index CF],DTR!$B171,[1]!Data_CF[TenCongTyID],DTR!$B$1,[1]!Data_CF[Thang.Nam],DTR!AK$155)</f>
        <v>0</v>
      </c>
      <c r="AL171" s="305">
        <f>SUMIFS([1]!Data_CF[Value],[1]!Data_CF[Index CF],DTR!$B171,[1]!Data_CF[TenCongTyID],DTR!$B$1,[1]!Data_CF[Thang.Nam],DTR!AL$155)</f>
        <v>0</v>
      </c>
    </row>
    <row r="172" spans="1:38" ht="15" hidden="1" customHeight="1" outlineLevel="1">
      <c r="A172" s="158" t="s">
        <v>258</v>
      </c>
      <c r="B172" s="159">
        <v>17</v>
      </c>
      <c r="C172" s="299"/>
      <c r="D172" s="299">
        <v>-6372627736</v>
      </c>
      <c r="E172" s="299"/>
      <c r="F172" s="299">
        <v>-1567047590</v>
      </c>
      <c r="G172" s="299"/>
      <c r="H172" s="299"/>
      <c r="I172" s="299">
        <v>-4839738089</v>
      </c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>
        <v>0</v>
      </c>
      <c r="Y172" s="299">
        <v>0</v>
      </c>
      <c r="Z172" s="299">
        <v>0</v>
      </c>
      <c r="AA172" s="305">
        <f>SUMIFS([1]!Data_CF[Value],[1]!Data_CF[Index CF],DTR!$B172,[1]!Data_CF[TenCongTyID],DTR!$B$1,[1]!Data_CF[Thang.Nam],DTR!AA$155)</f>
        <v>0</v>
      </c>
      <c r="AB172" s="305">
        <f>SUMIFS([1]!Data_CF[Value],[1]!Data_CF[Index CF],DTR!$B172,[1]!Data_CF[TenCongTyID],DTR!$B$1,[1]!Data_CF[Thang.Nam],DTR!AB$155)</f>
        <v>0</v>
      </c>
      <c r="AC172" s="305">
        <f>SUMIFS([1]!Data_CF[Value],[1]!Data_CF[Index CF],DTR!$B172,[1]!Data_CF[TenCongTyID],DTR!$B$1,[1]!Data_CF[Thang.Nam],DTR!AC$155)</f>
        <v>0</v>
      </c>
      <c r="AD172" s="305">
        <f>SUMIFS([1]!Data_CF[Value],[1]!Data_CF[Index CF],DTR!$B172,[1]!Data_CF[TenCongTyID],DTR!$B$1,[1]!Data_CF[Thang.Nam],DTR!AD$155)</f>
        <v>0</v>
      </c>
      <c r="AE172" s="305">
        <f>SUMIFS([1]!Data_CF[Value],[1]!Data_CF[Index CF],DTR!$B172,[1]!Data_CF[TenCongTyID],DTR!$B$1,[1]!Data_CF[Thang.Nam],DTR!AE$155)</f>
        <v>0</v>
      </c>
      <c r="AF172" s="305">
        <f>SUMIFS([1]!Data_CF[Value],[1]!Data_CF[Index CF],DTR!$B172,[1]!Data_CF[TenCongTyID],DTR!$B$1,[1]!Data_CF[Thang.Nam],DTR!AF$155)</f>
        <v>0</v>
      </c>
      <c r="AG172" s="305">
        <f>SUMIFS([1]!Data_CF[Value],[1]!Data_CF[Index CF],DTR!$B172,[1]!Data_CF[TenCongTyID],DTR!$B$1,[1]!Data_CF[Thang.Nam],DTR!AG$155)</f>
        <v>0</v>
      </c>
      <c r="AH172" s="305">
        <f>SUMIFS([1]!Data_CF[Value],[1]!Data_CF[Index CF],DTR!$B172,[1]!Data_CF[TenCongTyID],DTR!$B$1,[1]!Data_CF[Thang.Nam],DTR!AH$155)</f>
        <v>0</v>
      </c>
      <c r="AI172" s="305">
        <f>SUMIFS([1]!Data_CF[Value],[1]!Data_CF[Index CF],DTR!$B172,[1]!Data_CF[TenCongTyID],DTR!$B$1,[1]!Data_CF[Thang.Nam],DTR!AI$155)</f>
        <v>0</v>
      </c>
      <c r="AJ172" s="305">
        <f>SUMIFS([1]!Data_CF[Value],[1]!Data_CF[Index CF],DTR!$B172,[1]!Data_CF[TenCongTyID],DTR!$B$1,[1]!Data_CF[Thang.Nam],DTR!AJ$155)</f>
        <v>0</v>
      </c>
      <c r="AK172" s="305">
        <f>SUMIFS([1]!Data_CF[Value],[1]!Data_CF[Index CF],DTR!$B172,[1]!Data_CF[TenCongTyID],DTR!$B$1,[1]!Data_CF[Thang.Nam],DTR!AK$155)</f>
        <v>0</v>
      </c>
      <c r="AL172" s="305">
        <f>SUMIFS([1]!Data_CF[Value],[1]!Data_CF[Index CF],DTR!$B172,[1]!Data_CF[TenCongTyID],DTR!$B$1,[1]!Data_CF[Thang.Nam],DTR!AL$155)</f>
        <v>0</v>
      </c>
    </row>
    <row r="173" spans="1:38" ht="15" hidden="1" customHeight="1" outlineLevel="1">
      <c r="A173" s="158" t="s">
        <v>259</v>
      </c>
      <c r="B173" s="159">
        <v>18</v>
      </c>
      <c r="C173" s="310">
        <v>33300285459</v>
      </c>
      <c r="D173" s="307"/>
      <c r="E173" s="310"/>
      <c r="F173" s="310">
        <f>6000000000</f>
        <v>6000000000</v>
      </c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>
        <v>0</v>
      </c>
      <c r="AA173" s="310">
        <f>SUMIFS([1]!Data_CF[Value],[1]!Data_CF[Index CF],DTR!$B173,[1]!Data_CF[TenCongTyID],DTR!$B$1,[1]!Data_CF[Thang.Nam],DTR!AA$155)</f>
        <v>0</v>
      </c>
      <c r="AB173" s="310">
        <f>SUMIFS([1]!Data_CF[Value],[1]!Data_CF[Index CF],DTR!$B173,[1]!Data_CF[TenCongTyID],DTR!$B$1,[1]!Data_CF[Thang.Nam],DTR!AB$155)</f>
        <v>0</v>
      </c>
      <c r="AC173" s="310">
        <f>SUMIFS([1]!Data_CF[Value],[1]!Data_CF[Index CF],DTR!$B173,[1]!Data_CF[TenCongTyID],DTR!$B$1,[1]!Data_CF[Thang.Nam],DTR!AC$155)</f>
        <v>0</v>
      </c>
      <c r="AD173" s="310">
        <f>SUMIFS([1]!Data_CF[Value],[1]!Data_CF[Index CF],DTR!$B173,[1]!Data_CF[TenCongTyID],DTR!$B$1,[1]!Data_CF[Thang.Nam],DTR!AD$155)</f>
        <v>0</v>
      </c>
      <c r="AE173" s="310">
        <f>SUMIFS([1]!Data_CF[Value],[1]!Data_CF[Index CF],DTR!$B173,[1]!Data_CF[TenCongTyID],DTR!$B$1,[1]!Data_CF[Thang.Nam],DTR!AE$155)</f>
        <v>0</v>
      </c>
      <c r="AF173" s="310">
        <f>SUMIFS([1]!Data_CF[Value],[1]!Data_CF[Index CF],DTR!$B173,[1]!Data_CF[TenCongTyID],DTR!$B$1,[1]!Data_CF[Thang.Nam],DTR!AF$155)</f>
        <v>0</v>
      </c>
      <c r="AG173" s="310">
        <f>SUMIFS([1]!Data_CF[Value],[1]!Data_CF[Index CF],DTR!$B173,[1]!Data_CF[TenCongTyID],DTR!$B$1,[1]!Data_CF[Thang.Nam],DTR!AG$155)</f>
        <v>0</v>
      </c>
      <c r="AH173" s="310">
        <f>SUMIFS([1]!Data_CF[Value],[1]!Data_CF[Index CF],DTR!$B173,[1]!Data_CF[TenCongTyID],DTR!$B$1,[1]!Data_CF[Thang.Nam],DTR!AH$155)</f>
        <v>0</v>
      </c>
      <c r="AI173" s="310">
        <f>SUMIFS([1]!Data_CF[Value],[1]!Data_CF[Index CF],DTR!$B173,[1]!Data_CF[TenCongTyID],DTR!$B$1,[1]!Data_CF[Thang.Nam],DTR!AI$155)</f>
        <v>0</v>
      </c>
      <c r="AJ173" s="310">
        <f>SUMIFS([1]!Data_CF[Value],[1]!Data_CF[Index CF],DTR!$B173,[1]!Data_CF[TenCongTyID],DTR!$B$1,[1]!Data_CF[Thang.Nam],DTR!AJ$155)</f>
        <v>0</v>
      </c>
      <c r="AK173" s="310">
        <f>SUMIFS([1]!Data_CF[Value],[1]!Data_CF[Index CF],DTR!$B173,[1]!Data_CF[TenCongTyID],DTR!$B$1,[1]!Data_CF[Thang.Nam],DTR!AK$155)</f>
        <v>0</v>
      </c>
      <c r="AL173" s="310">
        <f>SUMIFS([1]!Data_CF[Value],[1]!Data_CF[Index CF],DTR!$B173,[1]!Data_CF[TenCongTyID],DTR!$B$1,[1]!Data_CF[Thang.Nam],DTR!AL$155)</f>
        <v>0</v>
      </c>
    </row>
    <row r="174" spans="1:38" ht="15" hidden="1" customHeight="1" outlineLevel="1">
      <c r="A174" s="158" t="s">
        <v>260</v>
      </c>
      <c r="B174" s="159">
        <v>19</v>
      </c>
      <c r="C174" s="307">
        <f>-3000000000+2840000000</f>
        <v>-160000000</v>
      </c>
      <c r="E174" s="307">
        <v>-2626029698</v>
      </c>
      <c r="F174" s="307">
        <v>-1520939337</v>
      </c>
      <c r="G174" s="307"/>
      <c r="H174" s="307">
        <v>-168183405</v>
      </c>
      <c r="I174" s="307">
        <v>-7178605141</v>
      </c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>
        <v>0</v>
      </c>
      <c r="Y174" s="307"/>
      <c r="Z174" s="307">
        <v>0</v>
      </c>
      <c r="AA174" s="311">
        <f>SUMIFS([1]!Data_CF[Value],[1]!Data_CF[Index CF],DTR!$B174,[1]!Data_CF[TenCongTyID],DTR!$B$1,[1]!Data_CF[Thang.Nam],DTR!AA$155)</f>
        <v>0</v>
      </c>
      <c r="AB174" s="311">
        <f>SUMIFS([1]!Data_CF[Value],[1]!Data_CF[Index CF],DTR!$B174,[1]!Data_CF[TenCongTyID],DTR!$B$1,[1]!Data_CF[Thang.Nam],DTR!AB$155)</f>
        <v>0</v>
      </c>
      <c r="AC174" s="311">
        <f>SUMIFS([1]!Data_CF[Value],[1]!Data_CF[Index CF],DTR!$B174,[1]!Data_CF[TenCongTyID],DTR!$B$1,[1]!Data_CF[Thang.Nam],DTR!AC$155)</f>
        <v>0</v>
      </c>
      <c r="AD174" s="311">
        <f>SUMIFS([1]!Data_CF[Value],[1]!Data_CF[Index CF],DTR!$B174,[1]!Data_CF[TenCongTyID],DTR!$B$1,[1]!Data_CF[Thang.Nam],DTR!AD$155)</f>
        <v>0</v>
      </c>
      <c r="AE174" s="311">
        <f>SUMIFS([1]!Data_CF[Value],[1]!Data_CF[Index CF],DTR!$B174,[1]!Data_CF[TenCongTyID],DTR!$B$1,[1]!Data_CF[Thang.Nam],DTR!AE$155)</f>
        <v>0</v>
      </c>
      <c r="AF174" s="311">
        <f>SUMIFS([1]!Data_CF[Value],[1]!Data_CF[Index CF],DTR!$B174,[1]!Data_CF[TenCongTyID],DTR!$B$1,[1]!Data_CF[Thang.Nam],DTR!AF$155)</f>
        <v>0</v>
      </c>
      <c r="AG174" s="311">
        <f>SUMIFS([1]!Data_CF[Value],[1]!Data_CF[Index CF],DTR!$B174,[1]!Data_CF[TenCongTyID],DTR!$B$1,[1]!Data_CF[Thang.Nam],DTR!AG$155)</f>
        <v>0</v>
      </c>
      <c r="AH174" s="311">
        <f>SUMIFS([1]!Data_CF[Value],[1]!Data_CF[Index CF],DTR!$B174,[1]!Data_CF[TenCongTyID],DTR!$B$1,[1]!Data_CF[Thang.Nam],DTR!AH$155)</f>
        <v>0</v>
      </c>
      <c r="AI174" s="311">
        <f>SUMIFS([1]!Data_CF[Value],[1]!Data_CF[Index CF],DTR!$B174,[1]!Data_CF[TenCongTyID],DTR!$B$1,[1]!Data_CF[Thang.Nam],DTR!AI$155)</f>
        <v>0</v>
      </c>
      <c r="AJ174" s="311">
        <f>SUMIFS([1]!Data_CF[Value],[1]!Data_CF[Index CF],DTR!$B174,[1]!Data_CF[TenCongTyID],DTR!$B$1,[1]!Data_CF[Thang.Nam],DTR!AJ$155)</f>
        <v>0</v>
      </c>
      <c r="AK174" s="311">
        <f>SUMIFS([1]!Data_CF[Value],[1]!Data_CF[Index CF],DTR!$B174,[1]!Data_CF[TenCongTyID],DTR!$B$1,[1]!Data_CF[Thang.Nam],DTR!AK$155)</f>
        <v>0</v>
      </c>
      <c r="AL174" s="311">
        <f>SUMIFS([1]!Data_CF[Value],[1]!Data_CF[Index CF],DTR!$B174,[1]!Data_CF[TenCongTyID],DTR!$B$1,[1]!Data_CF[Thang.Nam],DTR!AL$155)</f>
        <v>0</v>
      </c>
    </row>
    <row r="175" spans="1:38" ht="15" hidden="1" customHeight="1" outlineLevel="1">
      <c r="A175" s="162" t="s">
        <v>261</v>
      </c>
      <c r="B175" s="146">
        <v>20</v>
      </c>
      <c r="C175" s="312">
        <f>SUM(C165:C174)</f>
        <v>-24927901762</v>
      </c>
      <c r="D175" s="312">
        <f>SUM(D165:D173)</f>
        <v>599948230</v>
      </c>
      <c r="E175" s="312">
        <f t="shared" ref="E175:W175" si="13">SUM(E165:E174)</f>
        <v>-59257165459</v>
      </c>
      <c r="F175" s="312">
        <f t="shared" si="13"/>
        <v>-32190030675</v>
      </c>
      <c r="G175" s="312">
        <f t="shared" si="13"/>
        <v>-30579598635</v>
      </c>
      <c r="H175" s="312">
        <f t="shared" si="13"/>
        <v>-24853549692</v>
      </c>
      <c r="I175" s="312">
        <f t="shared" si="13"/>
        <v>56181197989</v>
      </c>
      <c r="J175" s="312">
        <f t="shared" si="13"/>
        <v>23925322602</v>
      </c>
      <c r="K175" s="312">
        <f t="shared" si="13"/>
        <v>3571840525</v>
      </c>
      <c r="L175" s="312">
        <f t="shared" si="13"/>
        <v>8883196549</v>
      </c>
      <c r="M175" s="312">
        <f t="shared" si="13"/>
        <v>-46649199168</v>
      </c>
      <c r="N175" s="312">
        <v>-2476063754</v>
      </c>
      <c r="O175" s="312">
        <f t="shared" si="13"/>
        <v>77939030716</v>
      </c>
      <c r="P175" s="312">
        <f t="shared" si="13"/>
        <v>52466748566</v>
      </c>
      <c r="Q175" s="312">
        <f t="shared" si="13"/>
        <v>-20916557445</v>
      </c>
      <c r="R175" s="312">
        <f t="shared" si="13"/>
        <v>-32579374222</v>
      </c>
      <c r="S175" s="312">
        <f t="shared" si="13"/>
        <v>-21808072831</v>
      </c>
      <c r="T175" s="312">
        <f t="shared" si="13"/>
        <v>-2281933617</v>
      </c>
      <c r="U175" s="312">
        <f t="shared" si="13"/>
        <v>-27735233437</v>
      </c>
      <c r="V175" s="312">
        <f t="shared" si="13"/>
        <v>-40414033126</v>
      </c>
      <c r="W175" s="312">
        <f t="shared" si="13"/>
        <v>20032593261</v>
      </c>
      <c r="X175" s="312">
        <v>64968693462</v>
      </c>
      <c r="Y175" s="312">
        <v>2742715530</v>
      </c>
      <c r="Z175" s="312">
        <v>-22475023560</v>
      </c>
      <c r="AA175" s="313">
        <f>SUMIFS([1]!Data_CF[Value],[1]!Data_CF[Index CF],DTR!$B175,[1]!Data_CF[TenCongTyID],DTR!$B$1,[1]!Data_CF[Thang.Nam],DTR!AA$155)</f>
        <v>0</v>
      </c>
      <c r="AB175" s="313">
        <f>SUMIFS([1]!Data_CF[Value],[1]!Data_CF[Index CF],DTR!$B175,[1]!Data_CF[TenCongTyID],DTR!$B$1,[1]!Data_CF[Thang.Nam],DTR!AB$155)</f>
        <v>0</v>
      </c>
      <c r="AC175" s="313">
        <f>SUMIFS([1]!Data_CF[Value],[1]!Data_CF[Index CF],DTR!$B175,[1]!Data_CF[TenCongTyID],DTR!$B$1,[1]!Data_CF[Thang.Nam],DTR!AC$155)</f>
        <v>0</v>
      </c>
      <c r="AD175" s="313">
        <f>SUMIFS([1]!Data_CF[Value],[1]!Data_CF[Index CF],DTR!$B175,[1]!Data_CF[TenCongTyID],DTR!$B$1,[1]!Data_CF[Thang.Nam],DTR!AD$155)</f>
        <v>0</v>
      </c>
      <c r="AE175" s="313">
        <f>SUMIFS([1]!Data_CF[Value],[1]!Data_CF[Index CF],DTR!$B175,[1]!Data_CF[TenCongTyID],DTR!$B$1,[1]!Data_CF[Thang.Nam],DTR!AE$155)</f>
        <v>0</v>
      </c>
      <c r="AF175" s="313">
        <f>SUMIFS([1]!Data_CF[Value],[1]!Data_CF[Index CF],DTR!$B175,[1]!Data_CF[TenCongTyID],DTR!$B$1,[1]!Data_CF[Thang.Nam],DTR!AF$155)</f>
        <v>0</v>
      </c>
      <c r="AG175" s="313">
        <f>SUMIFS([1]!Data_CF[Value],[1]!Data_CF[Index CF],DTR!$B175,[1]!Data_CF[TenCongTyID],DTR!$B$1,[1]!Data_CF[Thang.Nam],DTR!AG$155)</f>
        <v>0</v>
      </c>
      <c r="AH175" s="313">
        <f>SUMIFS([1]!Data_CF[Value],[1]!Data_CF[Index CF],DTR!$B175,[1]!Data_CF[TenCongTyID],DTR!$B$1,[1]!Data_CF[Thang.Nam],DTR!AH$155)</f>
        <v>0</v>
      </c>
      <c r="AI175" s="313">
        <f>SUMIFS([1]!Data_CF[Value],[1]!Data_CF[Index CF],DTR!$B175,[1]!Data_CF[TenCongTyID],DTR!$B$1,[1]!Data_CF[Thang.Nam],DTR!AI$155)</f>
        <v>0</v>
      </c>
      <c r="AJ175" s="313">
        <f>SUMIFS([1]!Data_CF[Value],[1]!Data_CF[Index CF],DTR!$B175,[1]!Data_CF[TenCongTyID],DTR!$B$1,[1]!Data_CF[Thang.Nam],DTR!AJ$155)</f>
        <v>0</v>
      </c>
      <c r="AK175" s="313">
        <f>SUMIFS([1]!Data_CF[Value],[1]!Data_CF[Index CF],DTR!$B175,[1]!Data_CF[TenCongTyID],DTR!$B$1,[1]!Data_CF[Thang.Nam],DTR!AK$155)</f>
        <v>0</v>
      </c>
      <c r="AL175" s="313">
        <f>SUMIFS([1]!Data_CF[Value],[1]!Data_CF[Index CF],DTR!$B175,[1]!Data_CF[TenCongTyID],DTR!$B$1,[1]!Data_CF[Thang.Nam],DTR!AL$155)</f>
        <v>0</v>
      </c>
    </row>
    <row r="176" spans="1:38" ht="15" hidden="1" customHeight="1" outlineLevel="1">
      <c r="A176" s="145" t="s">
        <v>262</v>
      </c>
      <c r="B176" s="146">
        <v>21</v>
      </c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>
        <v>0</v>
      </c>
      <c r="AA176" s="316">
        <f>SUMIFS([1]!Data_CF[Value],[1]!Data_CF[Index CF],DTR!$B176,[1]!Data_CF[TenCongTyID],DTR!$B$1,[1]!Data_CF[Thang.Nam],DTR!AA$155)</f>
        <v>0</v>
      </c>
      <c r="AB176" s="316">
        <f>SUMIFS([1]!Data_CF[Value],[1]!Data_CF[Index CF],DTR!$B176,[1]!Data_CF[TenCongTyID],DTR!$B$1,[1]!Data_CF[Thang.Nam],DTR!AB$155)</f>
        <v>0</v>
      </c>
      <c r="AC176" s="316">
        <f>SUMIFS([1]!Data_CF[Value],[1]!Data_CF[Index CF],DTR!$B176,[1]!Data_CF[TenCongTyID],DTR!$B$1,[1]!Data_CF[Thang.Nam],DTR!AC$155)</f>
        <v>0</v>
      </c>
      <c r="AD176" s="316">
        <f>SUMIFS([1]!Data_CF[Value],[1]!Data_CF[Index CF],DTR!$B176,[1]!Data_CF[TenCongTyID],DTR!$B$1,[1]!Data_CF[Thang.Nam],DTR!AD$155)</f>
        <v>0</v>
      </c>
      <c r="AE176" s="316">
        <f>SUMIFS([1]!Data_CF[Value],[1]!Data_CF[Index CF],DTR!$B176,[1]!Data_CF[TenCongTyID],DTR!$B$1,[1]!Data_CF[Thang.Nam],DTR!AE$155)</f>
        <v>0</v>
      </c>
      <c r="AF176" s="316">
        <f>SUMIFS([1]!Data_CF[Value],[1]!Data_CF[Index CF],DTR!$B176,[1]!Data_CF[TenCongTyID],DTR!$B$1,[1]!Data_CF[Thang.Nam],DTR!AF$155)</f>
        <v>0</v>
      </c>
      <c r="AG176" s="316">
        <f>SUMIFS([1]!Data_CF[Value],[1]!Data_CF[Index CF],DTR!$B176,[1]!Data_CF[TenCongTyID],DTR!$B$1,[1]!Data_CF[Thang.Nam],DTR!AG$155)</f>
        <v>0</v>
      </c>
      <c r="AH176" s="316">
        <f>SUMIFS([1]!Data_CF[Value],[1]!Data_CF[Index CF],DTR!$B176,[1]!Data_CF[TenCongTyID],DTR!$B$1,[1]!Data_CF[Thang.Nam],DTR!AH$155)</f>
        <v>0</v>
      </c>
      <c r="AI176" s="316">
        <f>SUMIFS([1]!Data_CF[Value],[1]!Data_CF[Index CF],DTR!$B176,[1]!Data_CF[TenCongTyID],DTR!$B$1,[1]!Data_CF[Thang.Nam],DTR!AI$155)</f>
        <v>0</v>
      </c>
      <c r="AJ176" s="316">
        <f>SUMIFS([1]!Data_CF[Value],[1]!Data_CF[Index CF],DTR!$B176,[1]!Data_CF[TenCongTyID],DTR!$B$1,[1]!Data_CF[Thang.Nam],DTR!AJ$155)</f>
        <v>0</v>
      </c>
      <c r="AK176" s="316">
        <f>SUMIFS([1]!Data_CF[Value],[1]!Data_CF[Index CF],DTR!$B176,[1]!Data_CF[TenCongTyID],DTR!$B$1,[1]!Data_CF[Thang.Nam],DTR!AK$155)</f>
        <v>0</v>
      </c>
      <c r="AL176" s="316">
        <f>SUMIFS([1]!Data_CF[Value],[1]!Data_CF[Index CF],DTR!$B176,[1]!Data_CF[TenCongTyID],DTR!$B$1,[1]!Data_CF[Thang.Nam],DTR!AL$155)</f>
        <v>0</v>
      </c>
    </row>
    <row r="177" spans="1:38" ht="14" hidden="1" outlineLevel="1">
      <c r="A177" s="164" t="s">
        <v>263</v>
      </c>
      <c r="B177" s="165">
        <v>22</v>
      </c>
      <c r="C177" s="299">
        <v>-4762682554</v>
      </c>
      <c r="D177" s="299">
        <v>-4326536447</v>
      </c>
      <c r="E177" s="299">
        <v>-1164996000</v>
      </c>
      <c r="F177" s="299">
        <v>-1992822833</v>
      </c>
      <c r="G177" s="299">
        <v>-1782228497</v>
      </c>
      <c r="H177" s="299">
        <v>-833209764</v>
      </c>
      <c r="I177" s="299">
        <v>-1378714978</v>
      </c>
      <c r="J177" s="299">
        <v>-855184497</v>
      </c>
      <c r="K177" s="299">
        <v>-737051257</v>
      </c>
      <c r="L177" s="299">
        <v>-2821949386</v>
      </c>
      <c r="M177" s="299">
        <v>-4084384131</v>
      </c>
      <c r="N177" s="299">
        <v>-10311962607</v>
      </c>
      <c r="O177" s="299">
        <v>-9820805490</v>
      </c>
      <c r="P177" s="299">
        <v>-2688251335</v>
      </c>
      <c r="Q177" s="299">
        <v>-5950435401</v>
      </c>
      <c r="R177" s="299">
        <v>-4022280971</v>
      </c>
      <c r="S177" s="299">
        <v>-9142433511</v>
      </c>
      <c r="T177" s="299">
        <v>-4827154812</v>
      </c>
      <c r="U177" s="299">
        <v>-944507473</v>
      </c>
      <c r="V177" s="299">
        <v>-3998692586</v>
      </c>
      <c r="W177" s="299">
        <v>-12299284463</v>
      </c>
      <c r="X177" s="299">
        <v>-16012258392</v>
      </c>
      <c r="Y177" s="299">
        <v>-3849925706</v>
      </c>
      <c r="Z177" s="299">
        <v>-9722078427</v>
      </c>
      <c r="AA177" s="305">
        <f>SUMIFS([1]!Data_CF[Value],[1]!Data_CF[Index CF],DTR!$B177,[1]!Data_CF[TenCongTyID],DTR!$B$1,[1]!Data_CF[Thang.Nam],DTR!AA$155)</f>
        <v>0</v>
      </c>
      <c r="AB177" s="305">
        <f>SUMIFS([1]!Data_CF[Value],[1]!Data_CF[Index CF],DTR!$B177,[1]!Data_CF[TenCongTyID],DTR!$B$1,[1]!Data_CF[Thang.Nam],DTR!AB$155)</f>
        <v>0</v>
      </c>
      <c r="AC177" s="305">
        <f>SUMIFS([1]!Data_CF[Value],[1]!Data_CF[Index CF],DTR!$B177,[1]!Data_CF[TenCongTyID],DTR!$B$1,[1]!Data_CF[Thang.Nam],DTR!AC$155)</f>
        <v>0</v>
      </c>
      <c r="AD177" s="305">
        <f>SUMIFS([1]!Data_CF[Value],[1]!Data_CF[Index CF],DTR!$B177,[1]!Data_CF[TenCongTyID],DTR!$B$1,[1]!Data_CF[Thang.Nam],DTR!AD$155)</f>
        <v>0</v>
      </c>
      <c r="AE177" s="305">
        <f>SUMIFS([1]!Data_CF[Value],[1]!Data_CF[Index CF],DTR!$B177,[1]!Data_CF[TenCongTyID],DTR!$B$1,[1]!Data_CF[Thang.Nam],DTR!AE$155)</f>
        <v>0</v>
      </c>
      <c r="AF177" s="305">
        <f>SUMIFS([1]!Data_CF[Value],[1]!Data_CF[Index CF],DTR!$B177,[1]!Data_CF[TenCongTyID],DTR!$B$1,[1]!Data_CF[Thang.Nam],DTR!AF$155)</f>
        <v>0</v>
      </c>
      <c r="AG177" s="305">
        <f>SUMIFS([1]!Data_CF[Value],[1]!Data_CF[Index CF],DTR!$B177,[1]!Data_CF[TenCongTyID],DTR!$B$1,[1]!Data_CF[Thang.Nam],DTR!AG$155)</f>
        <v>0</v>
      </c>
      <c r="AH177" s="305">
        <f>SUMIFS([1]!Data_CF[Value],[1]!Data_CF[Index CF],DTR!$B177,[1]!Data_CF[TenCongTyID],DTR!$B$1,[1]!Data_CF[Thang.Nam],DTR!AH$155)</f>
        <v>0</v>
      </c>
      <c r="AI177" s="305">
        <f>SUMIFS([1]!Data_CF[Value],[1]!Data_CF[Index CF],DTR!$B177,[1]!Data_CF[TenCongTyID],DTR!$B$1,[1]!Data_CF[Thang.Nam],DTR!AI$155)</f>
        <v>0</v>
      </c>
      <c r="AJ177" s="305">
        <f>SUMIFS([1]!Data_CF[Value],[1]!Data_CF[Index CF],DTR!$B177,[1]!Data_CF[TenCongTyID],DTR!$B$1,[1]!Data_CF[Thang.Nam],DTR!AJ$155)</f>
        <v>0</v>
      </c>
      <c r="AK177" s="305">
        <f>SUMIFS([1]!Data_CF[Value],[1]!Data_CF[Index CF],DTR!$B177,[1]!Data_CF[TenCongTyID],DTR!$B$1,[1]!Data_CF[Thang.Nam],DTR!AK$155)</f>
        <v>0</v>
      </c>
      <c r="AL177" s="305">
        <f>SUMIFS([1]!Data_CF[Value],[1]!Data_CF[Index CF],DTR!$B177,[1]!Data_CF[TenCongTyID],DTR!$B$1,[1]!Data_CF[Thang.Nam],DTR!AL$155)</f>
        <v>0</v>
      </c>
    </row>
    <row r="178" spans="1:38" ht="14" hidden="1" outlineLevel="1">
      <c r="A178" s="164" t="s">
        <v>264</v>
      </c>
      <c r="B178" s="165">
        <v>23</v>
      </c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02"/>
      <c r="O178" s="302"/>
      <c r="P178" s="302"/>
      <c r="Q178" s="302"/>
      <c r="R178" s="302">
        <v>623633187</v>
      </c>
      <c r="S178" s="302">
        <v>95000000</v>
      </c>
      <c r="T178" s="302">
        <v>226000000</v>
      </c>
      <c r="U178" s="302"/>
      <c r="V178" s="302">
        <v>226000000</v>
      </c>
      <c r="W178" s="302"/>
      <c r="X178" s="302"/>
      <c r="Y178" s="302"/>
      <c r="Z178" s="302">
        <v>0</v>
      </c>
      <c r="AA178" s="303">
        <f>SUMIFS([1]!Data_CF[Value],[1]!Data_CF[Index CF],DTR!$B178,[1]!Data_CF[TenCongTyID],DTR!$B$1,[1]!Data_CF[Thang.Nam],DTR!AA$155)</f>
        <v>0</v>
      </c>
      <c r="AB178" s="303">
        <f>SUMIFS([1]!Data_CF[Value],[1]!Data_CF[Index CF],DTR!$B178,[1]!Data_CF[TenCongTyID],DTR!$B$1,[1]!Data_CF[Thang.Nam],DTR!AB$155)</f>
        <v>0</v>
      </c>
      <c r="AC178" s="303">
        <f>SUMIFS([1]!Data_CF[Value],[1]!Data_CF[Index CF],DTR!$B178,[1]!Data_CF[TenCongTyID],DTR!$B$1,[1]!Data_CF[Thang.Nam],DTR!AC$155)</f>
        <v>0</v>
      </c>
      <c r="AD178" s="303">
        <f>SUMIFS([1]!Data_CF[Value],[1]!Data_CF[Index CF],DTR!$B178,[1]!Data_CF[TenCongTyID],DTR!$B$1,[1]!Data_CF[Thang.Nam],DTR!AD$155)</f>
        <v>0</v>
      </c>
      <c r="AE178" s="303">
        <f>SUMIFS([1]!Data_CF[Value],[1]!Data_CF[Index CF],DTR!$B178,[1]!Data_CF[TenCongTyID],DTR!$B$1,[1]!Data_CF[Thang.Nam],DTR!AE$155)</f>
        <v>0</v>
      </c>
      <c r="AF178" s="303">
        <f>SUMIFS([1]!Data_CF[Value],[1]!Data_CF[Index CF],DTR!$B178,[1]!Data_CF[TenCongTyID],DTR!$B$1,[1]!Data_CF[Thang.Nam],DTR!AF$155)</f>
        <v>0</v>
      </c>
      <c r="AG178" s="303">
        <f>SUMIFS([1]!Data_CF[Value],[1]!Data_CF[Index CF],DTR!$B178,[1]!Data_CF[TenCongTyID],DTR!$B$1,[1]!Data_CF[Thang.Nam],DTR!AG$155)</f>
        <v>0</v>
      </c>
      <c r="AH178" s="303">
        <f>SUMIFS([1]!Data_CF[Value],[1]!Data_CF[Index CF],DTR!$B178,[1]!Data_CF[TenCongTyID],DTR!$B$1,[1]!Data_CF[Thang.Nam],DTR!AH$155)</f>
        <v>0</v>
      </c>
      <c r="AI178" s="303">
        <f>SUMIFS([1]!Data_CF[Value],[1]!Data_CF[Index CF],DTR!$B178,[1]!Data_CF[TenCongTyID],DTR!$B$1,[1]!Data_CF[Thang.Nam],DTR!AI$155)</f>
        <v>0</v>
      </c>
      <c r="AJ178" s="303">
        <f>SUMIFS([1]!Data_CF[Value],[1]!Data_CF[Index CF],DTR!$B178,[1]!Data_CF[TenCongTyID],DTR!$B$1,[1]!Data_CF[Thang.Nam],DTR!AJ$155)</f>
        <v>0</v>
      </c>
      <c r="AK178" s="303">
        <f>SUMIFS([1]!Data_CF[Value],[1]!Data_CF[Index CF],DTR!$B178,[1]!Data_CF[TenCongTyID],DTR!$B$1,[1]!Data_CF[Thang.Nam],DTR!AK$155)</f>
        <v>0</v>
      </c>
      <c r="AL178" s="303">
        <f>SUMIFS([1]!Data_CF[Value],[1]!Data_CF[Index CF],DTR!$B178,[1]!Data_CF[TenCongTyID],DTR!$B$1,[1]!Data_CF[Thang.Nam],DTR!AL$155)</f>
        <v>0</v>
      </c>
    </row>
    <row r="179" spans="1:38" ht="14" hidden="1" outlineLevel="1">
      <c r="A179" s="164" t="s">
        <v>265</v>
      </c>
      <c r="B179" s="165">
        <v>24</v>
      </c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>
        <v>-37000000000</v>
      </c>
      <c r="R179" s="318">
        <v>-30000000000</v>
      </c>
      <c r="S179" s="318">
        <v>-10000000000</v>
      </c>
      <c r="T179" s="318">
        <v>0</v>
      </c>
      <c r="U179" s="318"/>
      <c r="V179" s="318"/>
      <c r="W179" s="318"/>
      <c r="X179" s="318">
        <v>-20000000000</v>
      </c>
      <c r="Y179" s="318">
        <v>-20000000000</v>
      </c>
      <c r="Z179" s="318">
        <v>0</v>
      </c>
      <c r="AA179" s="310">
        <f>SUMIFS([1]!Data_CF[Value],[1]!Data_CF[Index CF],DTR!$B179,[1]!Data_CF[TenCongTyID],DTR!$B$1,[1]!Data_CF[Thang.Nam],DTR!AA$155)</f>
        <v>0</v>
      </c>
      <c r="AB179" s="310">
        <f>SUMIFS([1]!Data_CF[Value],[1]!Data_CF[Index CF],DTR!$B179,[1]!Data_CF[TenCongTyID],DTR!$B$1,[1]!Data_CF[Thang.Nam],DTR!AB$155)</f>
        <v>0</v>
      </c>
      <c r="AC179" s="310">
        <f>SUMIFS([1]!Data_CF[Value],[1]!Data_CF[Index CF],DTR!$B179,[1]!Data_CF[TenCongTyID],DTR!$B$1,[1]!Data_CF[Thang.Nam],DTR!AC$155)</f>
        <v>0</v>
      </c>
      <c r="AD179" s="310">
        <f>SUMIFS([1]!Data_CF[Value],[1]!Data_CF[Index CF],DTR!$B179,[1]!Data_CF[TenCongTyID],DTR!$B$1,[1]!Data_CF[Thang.Nam],DTR!AD$155)</f>
        <v>0</v>
      </c>
      <c r="AE179" s="310">
        <f>SUMIFS([1]!Data_CF[Value],[1]!Data_CF[Index CF],DTR!$B179,[1]!Data_CF[TenCongTyID],DTR!$B$1,[1]!Data_CF[Thang.Nam],DTR!AE$155)</f>
        <v>0</v>
      </c>
      <c r="AF179" s="310">
        <f>SUMIFS([1]!Data_CF[Value],[1]!Data_CF[Index CF],DTR!$B179,[1]!Data_CF[TenCongTyID],DTR!$B$1,[1]!Data_CF[Thang.Nam],DTR!AF$155)</f>
        <v>0</v>
      </c>
      <c r="AG179" s="310">
        <f>SUMIFS([1]!Data_CF[Value],[1]!Data_CF[Index CF],DTR!$B179,[1]!Data_CF[TenCongTyID],DTR!$B$1,[1]!Data_CF[Thang.Nam],DTR!AG$155)</f>
        <v>0</v>
      </c>
      <c r="AH179" s="310">
        <f>SUMIFS([1]!Data_CF[Value],[1]!Data_CF[Index CF],DTR!$B179,[1]!Data_CF[TenCongTyID],DTR!$B$1,[1]!Data_CF[Thang.Nam],DTR!AH$155)</f>
        <v>0</v>
      </c>
      <c r="AI179" s="310">
        <f>SUMIFS([1]!Data_CF[Value],[1]!Data_CF[Index CF],DTR!$B179,[1]!Data_CF[TenCongTyID],DTR!$B$1,[1]!Data_CF[Thang.Nam],DTR!AI$155)</f>
        <v>0</v>
      </c>
      <c r="AJ179" s="310">
        <f>SUMIFS([1]!Data_CF[Value],[1]!Data_CF[Index CF],DTR!$B179,[1]!Data_CF[TenCongTyID],DTR!$B$1,[1]!Data_CF[Thang.Nam],DTR!AJ$155)</f>
        <v>0</v>
      </c>
      <c r="AK179" s="310">
        <f>SUMIFS([1]!Data_CF[Value],[1]!Data_CF[Index CF],DTR!$B179,[1]!Data_CF[TenCongTyID],DTR!$B$1,[1]!Data_CF[Thang.Nam],DTR!AK$155)</f>
        <v>0</v>
      </c>
      <c r="AL179" s="310">
        <f>SUMIFS([1]!Data_CF[Value],[1]!Data_CF[Index CF],DTR!$B179,[1]!Data_CF[TenCongTyID],DTR!$B$1,[1]!Data_CF[Thang.Nam],DTR!AL$155)</f>
        <v>0</v>
      </c>
    </row>
    <row r="180" spans="1:38" ht="14" hidden="1" outlineLevel="1">
      <c r="A180" s="164" t="s">
        <v>266</v>
      </c>
      <c r="B180" s="165">
        <v>25</v>
      </c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02"/>
      <c r="O180" s="302"/>
      <c r="P180" s="302"/>
      <c r="Q180" s="302"/>
      <c r="R180" s="302">
        <v>5500000000</v>
      </c>
      <c r="S180" s="302"/>
      <c r="T180" s="302"/>
      <c r="U180" s="302">
        <v>15000000000</v>
      </c>
      <c r="V180" s="302"/>
      <c r="W180" s="302">
        <v>12000000000</v>
      </c>
      <c r="X180" s="302">
        <v>10000000000</v>
      </c>
      <c r="Y180" s="302">
        <v>30000000000</v>
      </c>
      <c r="Z180" s="302">
        <v>25000000000</v>
      </c>
      <c r="AA180" s="303">
        <f>SUMIFS([1]!Data_CF[Value],[1]!Data_CF[Index CF],DTR!$B180,[1]!Data_CF[TenCongTyID],DTR!$B$1,[1]!Data_CF[Thang.Nam],DTR!AA$155)</f>
        <v>0</v>
      </c>
      <c r="AB180" s="303">
        <f>SUMIFS([1]!Data_CF[Value],[1]!Data_CF[Index CF],DTR!$B180,[1]!Data_CF[TenCongTyID],DTR!$B$1,[1]!Data_CF[Thang.Nam],DTR!AB$155)</f>
        <v>0</v>
      </c>
      <c r="AC180" s="303">
        <f>SUMIFS([1]!Data_CF[Value],[1]!Data_CF[Index CF],DTR!$B180,[1]!Data_CF[TenCongTyID],DTR!$B$1,[1]!Data_CF[Thang.Nam],DTR!AC$155)</f>
        <v>0</v>
      </c>
      <c r="AD180" s="303">
        <f>SUMIFS([1]!Data_CF[Value],[1]!Data_CF[Index CF],DTR!$B180,[1]!Data_CF[TenCongTyID],DTR!$B$1,[1]!Data_CF[Thang.Nam],DTR!AD$155)</f>
        <v>0</v>
      </c>
      <c r="AE180" s="303">
        <f>SUMIFS([1]!Data_CF[Value],[1]!Data_CF[Index CF],DTR!$B180,[1]!Data_CF[TenCongTyID],DTR!$B$1,[1]!Data_CF[Thang.Nam],DTR!AE$155)</f>
        <v>0</v>
      </c>
      <c r="AF180" s="303">
        <f>SUMIFS([1]!Data_CF[Value],[1]!Data_CF[Index CF],DTR!$B180,[1]!Data_CF[TenCongTyID],DTR!$B$1,[1]!Data_CF[Thang.Nam],DTR!AF$155)</f>
        <v>0</v>
      </c>
      <c r="AG180" s="303">
        <f>SUMIFS([1]!Data_CF[Value],[1]!Data_CF[Index CF],DTR!$B180,[1]!Data_CF[TenCongTyID],DTR!$B$1,[1]!Data_CF[Thang.Nam],DTR!AG$155)</f>
        <v>0</v>
      </c>
      <c r="AH180" s="303">
        <f>SUMIFS([1]!Data_CF[Value],[1]!Data_CF[Index CF],DTR!$B180,[1]!Data_CF[TenCongTyID],DTR!$B$1,[1]!Data_CF[Thang.Nam],DTR!AH$155)</f>
        <v>0</v>
      </c>
      <c r="AI180" s="303">
        <f>SUMIFS([1]!Data_CF[Value],[1]!Data_CF[Index CF],DTR!$B180,[1]!Data_CF[TenCongTyID],DTR!$B$1,[1]!Data_CF[Thang.Nam],DTR!AI$155)</f>
        <v>0</v>
      </c>
      <c r="AJ180" s="303">
        <f>SUMIFS([1]!Data_CF[Value],[1]!Data_CF[Index CF],DTR!$B180,[1]!Data_CF[TenCongTyID],DTR!$B$1,[1]!Data_CF[Thang.Nam],DTR!AJ$155)</f>
        <v>0</v>
      </c>
      <c r="AK180" s="303">
        <f>SUMIFS([1]!Data_CF[Value],[1]!Data_CF[Index CF],DTR!$B180,[1]!Data_CF[TenCongTyID],DTR!$B$1,[1]!Data_CF[Thang.Nam],DTR!AK$155)</f>
        <v>0</v>
      </c>
      <c r="AL180" s="303">
        <f>SUMIFS([1]!Data_CF[Value],[1]!Data_CF[Index CF],DTR!$B180,[1]!Data_CF[TenCongTyID],DTR!$B$1,[1]!Data_CF[Thang.Nam],DTR!AL$155)</f>
        <v>0</v>
      </c>
    </row>
    <row r="181" spans="1:38" ht="15" hidden="1" customHeight="1" outlineLevel="1">
      <c r="A181" s="164" t="s">
        <v>267</v>
      </c>
      <c r="B181" s="165">
        <v>26</v>
      </c>
      <c r="C181" s="299"/>
      <c r="D181" s="299"/>
      <c r="E181" s="317"/>
      <c r="F181" s="299"/>
      <c r="G181" s="299"/>
      <c r="H181" s="299"/>
      <c r="I181" s="299"/>
      <c r="J181" s="299"/>
      <c r="K181" s="299">
        <v>-830000000</v>
      </c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>
        <v>0</v>
      </c>
      <c r="Y181" s="299">
        <v>0</v>
      </c>
      <c r="Z181" s="299">
        <v>0</v>
      </c>
      <c r="AA181" s="305">
        <f>SUMIFS([1]!Data_CF[Value],[1]!Data_CF[Index CF],DTR!$B181,[1]!Data_CF[TenCongTyID],DTR!$B$1,[1]!Data_CF[Thang.Nam],DTR!AA$155)</f>
        <v>0</v>
      </c>
      <c r="AB181" s="305">
        <f>SUMIFS([1]!Data_CF[Value],[1]!Data_CF[Index CF],DTR!$B181,[1]!Data_CF[TenCongTyID],DTR!$B$1,[1]!Data_CF[Thang.Nam],DTR!AB$155)</f>
        <v>0</v>
      </c>
      <c r="AC181" s="305">
        <f>SUMIFS([1]!Data_CF[Value],[1]!Data_CF[Index CF],DTR!$B181,[1]!Data_CF[TenCongTyID],DTR!$B$1,[1]!Data_CF[Thang.Nam],DTR!AC$155)</f>
        <v>0</v>
      </c>
      <c r="AD181" s="305">
        <f>SUMIFS([1]!Data_CF[Value],[1]!Data_CF[Index CF],DTR!$B181,[1]!Data_CF[TenCongTyID],DTR!$B$1,[1]!Data_CF[Thang.Nam],DTR!AD$155)</f>
        <v>0</v>
      </c>
      <c r="AE181" s="305">
        <f>SUMIFS([1]!Data_CF[Value],[1]!Data_CF[Index CF],DTR!$B181,[1]!Data_CF[TenCongTyID],DTR!$B$1,[1]!Data_CF[Thang.Nam],DTR!AE$155)</f>
        <v>0</v>
      </c>
      <c r="AF181" s="305">
        <f>SUMIFS([1]!Data_CF[Value],[1]!Data_CF[Index CF],DTR!$B181,[1]!Data_CF[TenCongTyID],DTR!$B$1,[1]!Data_CF[Thang.Nam],DTR!AF$155)</f>
        <v>0</v>
      </c>
      <c r="AG181" s="305">
        <f>SUMIFS([1]!Data_CF[Value],[1]!Data_CF[Index CF],DTR!$B181,[1]!Data_CF[TenCongTyID],DTR!$B$1,[1]!Data_CF[Thang.Nam],DTR!AG$155)</f>
        <v>0</v>
      </c>
      <c r="AH181" s="305">
        <f>SUMIFS([1]!Data_CF[Value],[1]!Data_CF[Index CF],DTR!$B181,[1]!Data_CF[TenCongTyID],DTR!$B$1,[1]!Data_CF[Thang.Nam],DTR!AH$155)</f>
        <v>0</v>
      </c>
      <c r="AI181" s="305">
        <f>SUMIFS([1]!Data_CF[Value],[1]!Data_CF[Index CF],DTR!$B181,[1]!Data_CF[TenCongTyID],DTR!$B$1,[1]!Data_CF[Thang.Nam],DTR!AI$155)</f>
        <v>0</v>
      </c>
      <c r="AJ181" s="305">
        <f>SUMIFS([1]!Data_CF[Value],[1]!Data_CF[Index CF],DTR!$B181,[1]!Data_CF[TenCongTyID],DTR!$B$1,[1]!Data_CF[Thang.Nam],DTR!AJ$155)</f>
        <v>0</v>
      </c>
      <c r="AK181" s="305">
        <f>SUMIFS([1]!Data_CF[Value],[1]!Data_CF[Index CF],DTR!$B181,[1]!Data_CF[TenCongTyID],DTR!$B$1,[1]!Data_CF[Thang.Nam],DTR!AK$155)</f>
        <v>0</v>
      </c>
      <c r="AL181" s="305">
        <f>SUMIFS([1]!Data_CF[Value],[1]!Data_CF[Index CF],DTR!$B181,[1]!Data_CF[TenCongTyID],DTR!$B$1,[1]!Data_CF[Thang.Nam],DTR!AL$155)</f>
        <v>0</v>
      </c>
    </row>
    <row r="182" spans="1:38" ht="15" hidden="1" customHeight="1" outlineLevel="1">
      <c r="A182" s="164" t="s">
        <v>268</v>
      </c>
      <c r="B182" s="165">
        <v>27</v>
      </c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>
        <v>0</v>
      </c>
      <c r="AA182" s="303">
        <f>SUMIFS([1]!Data_CF[Value],[1]!Data_CF[Index CF],DTR!$B182,[1]!Data_CF[TenCongTyID],DTR!$B$1,[1]!Data_CF[Thang.Nam],DTR!AA$155)</f>
        <v>0</v>
      </c>
      <c r="AB182" s="303">
        <f>SUMIFS([1]!Data_CF[Value],[1]!Data_CF[Index CF],DTR!$B182,[1]!Data_CF[TenCongTyID],DTR!$B$1,[1]!Data_CF[Thang.Nam],DTR!AB$155)</f>
        <v>0</v>
      </c>
      <c r="AC182" s="303">
        <f>SUMIFS([1]!Data_CF[Value],[1]!Data_CF[Index CF],DTR!$B182,[1]!Data_CF[TenCongTyID],DTR!$B$1,[1]!Data_CF[Thang.Nam],DTR!AC$155)</f>
        <v>0</v>
      </c>
      <c r="AD182" s="303">
        <f>SUMIFS([1]!Data_CF[Value],[1]!Data_CF[Index CF],DTR!$B182,[1]!Data_CF[TenCongTyID],DTR!$B$1,[1]!Data_CF[Thang.Nam],DTR!AD$155)</f>
        <v>0</v>
      </c>
      <c r="AE182" s="303">
        <f>SUMIFS([1]!Data_CF[Value],[1]!Data_CF[Index CF],DTR!$B182,[1]!Data_CF[TenCongTyID],DTR!$B$1,[1]!Data_CF[Thang.Nam],DTR!AE$155)</f>
        <v>0</v>
      </c>
      <c r="AF182" s="303">
        <f>SUMIFS([1]!Data_CF[Value],[1]!Data_CF[Index CF],DTR!$B182,[1]!Data_CF[TenCongTyID],DTR!$B$1,[1]!Data_CF[Thang.Nam],DTR!AF$155)</f>
        <v>0</v>
      </c>
      <c r="AG182" s="303">
        <f>SUMIFS([1]!Data_CF[Value],[1]!Data_CF[Index CF],DTR!$B182,[1]!Data_CF[TenCongTyID],DTR!$B$1,[1]!Data_CF[Thang.Nam],DTR!AG$155)</f>
        <v>0</v>
      </c>
      <c r="AH182" s="303">
        <f>SUMIFS([1]!Data_CF[Value],[1]!Data_CF[Index CF],DTR!$B182,[1]!Data_CF[TenCongTyID],DTR!$B$1,[1]!Data_CF[Thang.Nam],DTR!AH$155)</f>
        <v>0</v>
      </c>
      <c r="AI182" s="303">
        <f>SUMIFS([1]!Data_CF[Value],[1]!Data_CF[Index CF],DTR!$B182,[1]!Data_CF[TenCongTyID],DTR!$B$1,[1]!Data_CF[Thang.Nam],DTR!AI$155)</f>
        <v>0</v>
      </c>
      <c r="AJ182" s="303">
        <f>SUMIFS([1]!Data_CF[Value],[1]!Data_CF[Index CF],DTR!$B182,[1]!Data_CF[TenCongTyID],DTR!$B$1,[1]!Data_CF[Thang.Nam],DTR!AJ$155)</f>
        <v>0</v>
      </c>
      <c r="AK182" s="303">
        <f>SUMIFS([1]!Data_CF[Value],[1]!Data_CF[Index CF],DTR!$B182,[1]!Data_CF[TenCongTyID],DTR!$B$1,[1]!Data_CF[Thang.Nam],DTR!AK$155)</f>
        <v>0</v>
      </c>
      <c r="AL182" s="303">
        <f>SUMIFS([1]!Data_CF[Value],[1]!Data_CF[Index CF],DTR!$B182,[1]!Data_CF[TenCongTyID],DTR!$B$1,[1]!Data_CF[Thang.Nam],DTR!AL$155)</f>
        <v>0</v>
      </c>
    </row>
    <row r="183" spans="1:38" ht="15" hidden="1" customHeight="1" outlineLevel="1">
      <c r="A183" s="164" t="s">
        <v>269</v>
      </c>
      <c r="B183" s="165">
        <v>28</v>
      </c>
      <c r="C183" s="299"/>
      <c r="D183" s="299">
        <v>296561</v>
      </c>
      <c r="E183" s="299">
        <v>171678249</v>
      </c>
      <c r="F183" s="299">
        <v>808078</v>
      </c>
      <c r="G183" s="299">
        <v>439987</v>
      </c>
      <c r="H183" s="299">
        <v>482338</v>
      </c>
      <c r="I183" s="299">
        <v>374904</v>
      </c>
      <c r="J183" s="299">
        <v>1014834</v>
      </c>
      <c r="K183" s="299">
        <v>826804</v>
      </c>
      <c r="L183" s="299">
        <v>156232879</v>
      </c>
      <c r="M183" s="299">
        <v>1036275</v>
      </c>
      <c r="N183" s="299">
        <v>1314400686</v>
      </c>
      <c r="O183" s="299">
        <v>398202236</v>
      </c>
      <c r="P183" s="299">
        <v>1278506781</v>
      </c>
      <c r="Q183" s="299">
        <v>681642</v>
      </c>
      <c r="R183" s="299">
        <v>1661994</v>
      </c>
      <c r="S183" s="299">
        <v>649627</v>
      </c>
      <c r="T183" s="299">
        <v>989334</v>
      </c>
      <c r="U183" s="299">
        <v>870633</v>
      </c>
      <c r="V183" s="299">
        <v>913181</v>
      </c>
      <c r="W183" s="299">
        <v>1031619</v>
      </c>
      <c r="X183" s="299">
        <v>717642885</v>
      </c>
      <c r="Y183" s="299">
        <v>81582428</v>
      </c>
      <c r="Z183" s="299">
        <v>337960853</v>
      </c>
      <c r="AA183" s="305">
        <f>SUMIFS([1]!Data_CF[Value],[1]!Data_CF[Index CF],DTR!$B183,[1]!Data_CF[TenCongTyID],DTR!$B$1,[1]!Data_CF[Thang.Nam],DTR!AA$155)</f>
        <v>0</v>
      </c>
      <c r="AB183" s="305">
        <f>SUMIFS([1]!Data_CF[Value],[1]!Data_CF[Index CF],DTR!$B183,[1]!Data_CF[TenCongTyID],DTR!$B$1,[1]!Data_CF[Thang.Nam],DTR!AB$155)</f>
        <v>0</v>
      </c>
      <c r="AC183" s="305">
        <f>SUMIFS([1]!Data_CF[Value],[1]!Data_CF[Index CF],DTR!$B183,[1]!Data_CF[TenCongTyID],DTR!$B$1,[1]!Data_CF[Thang.Nam],DTR!AC$155)</f>
        <v>0</v>
      </c>
      <c r="AD183" s="305">
        <f>SUMIFS([1]!Data_CF[Value],[1]!Data_CF[Index CF],DTR!$B183,[1]!Data_CF[TenCongTyID],DTR!$B$1,[1]!Data_CF[Thang.Nam],DTR!AD$155)</f>
        <v>0</v>
      </c>
      <c r="AE183" s="305">
        <f>SUMIFS([1]!Data_CF[Value],[1]!Data_CF[Index CF],DTR!$B183,[1]!Data_CF[TenCongTyID],DTR!$B$1,[1]!Data_CF[Thang.Nam],DTR!AE$155)</f>
        <v>0</v>
      </c>
      <c r="AF183" s="305">
        <f>SUMIFS([1]!Data_CF[Value],[1]!Data_CF[Index CF],DTR!$B183,[1]!Data_CF[TenCongTyID],DTR!$B$1,[1]!Data_CF[Thang.Nam],DTR!AF$155)</f>
        <v>0</v>
      </c>
      <c r="AG183" s="305">
        <f>SUMIFS([1]!Data_CF[Value],[1]!Data_CF[Index CF],DTR!$B183,[1]!Data_CF[TenCongTyID],DTR!$B$1,[1]!Data_CF[Thang.Nam],DTR!AG$155)</f>
        <v>0</v>
      </c>
      <c r="AH183" s="305">
        <f>SUMIFS([1]!Data_CF[Value],[1]!Data_CF[Index CF],DTR!$B183,[1]!Data_CF[TenCongTyID],DTR!$B$1,[1]!Data_CF[Thang.Nam],DTR!AH$155)</f>
        <v>0</v>
      </c>
      <c r="AI183" s="305">
        <f>SUMIFS([1]!Data_CF[Value],[1]!Data_CF[Index CF],DTR!$B183,[1]!Data_CF[TenCongTyID],DTR!$B$1,[1]!Data_CF[Thang.Nam],DTR!AI$155)</f>
        <v>0</v>
      </c>
      <c r="AJ183" s="305">
        <f>SUMIFS([1]!Data_CF[Value],[1]!Data_CF[Index CF],DTR!$B183,[1]!Data_CF[TenCongTyID],DTR!$B$1,[1]!Data_CF[Thang.Nam],DTR!AJ$155)</f>
        <v>0</v>
      </c>
      <c r="AK183" s="305">
        <f>SUMIFS([1]!Data_CF[Value],[1]!Data_CF[Index CF],DTR!$B183,[1]!Data_CF[TenCongTyID],DTR!$B$1,[1]!Data_CF[Thang.Nam],DTR!AK$155)</f>
        <v>0</v>
      </c>
      <c r="AL183" s="305">
        <f>SUMIFS([1]!Data_CF[Value],[1]!Data_CF[Index CF],DTR!$B183,[1]!Data_CF[TenCongTyID],DTR!$B$1,[1]!Data_CF[Thang.Nam],DTR!AL$155)</f>
        <v>0</v>
      </c>
    </row>
    <row r="184" spans="1:38" ht="15" hidden="1" customHeight="1" outlineLevel="1">
      <c r="A184" s="145" t="s">
        <v>270</v>
      </c>
      <c r="B184" s="146">
        <v>29</v>
      </c>
      <c r="C184" s="319">
        <v>-4762682554</v>
      </c>
      <c r="D184" s="319">
        <v>-4326239886</v>
      </c>
      <c r="E184" s="319">
        <f>SUM(E177:E183)</f>
        <v>-993317751</v>
      </c>
      <c r="F184" s="319">
        <v>-1992014755</v>
      </c>
      <c r="G184" s="319">
        <v>-1781788510</v>
      </c>
      <c r="H184" s="319">
        <v>-832727426</v>
      </c>
      <c r="I184" s="319">
        <v>-1378340074</v>
      </c>
      <c r="J184" s="319">
        <v>-854169663</v>
      </c>
      <c r="K184" s="319">
        <f>SUM(K177:K183)</f>
        <v>-1566224453</v>
      </c>
      <c r="L184" s="319">
        <v>-2665716507</v>
      </c>
      <c r="M184" s="319">
        <v>-4083347856</v>
      </c>
      <c r="N184" s="319">
        <v>-8997561921</v>
      </c>
      <c r="O184" s="319">
        <f t="shared" ref="O184:U184" si="14">SUM(O177:O183)</f>
        <v>-9422603254</v>
      </c>
      <c r="P184" s="319">
        <f t="shared" si="14"/>
        <v>-1409744554</v>
      </c>
      <c r="Q184" s="319">
        <f t="shared" si="14"/>
        <v>-42949753759</v>
      </c>
      <c r="R184" s="319">
        <f t="shared" si="14"/>
        <v>-27896985790</v>
      </c>
      <c r="S184" s="319">
        <f t="shared" si="14"/>
        <v>-19046783884</v>
      </c>
      <c r="T184" s="319">
        <f t="shared" si="14"/>
        <v>-4600165478</v>
      </c>
      <c r="U184" s="319">
        <f t="shared" si="14"/>
        <v>14056363160</v>
      </c>
      <c r="V184" s="319">
        <f>SUM(V177:V183)</f>
        <v>-3771779405</v>
      </c>
      <c r="W184" s="319">
        <f>SUM(W177:W183)</f>
        <v>-298252844</v>
      </c>
      <c r="X184" s="319">
        <v>-25294615507</v>
      </c>
      <c r="Y184" s="319">
        <v>6231656722</v>
      </c>
      <c r="Z184" s="319">
        <v>15615882426</v>
      </c>
      <c r="AA184" s="313">
        <f>SUMIFS([1]!Data_CF[Value],[1]!Data_CF[Index CF],DTR!$B184,[1]!Data_CF[TenCongTyID],DTR!$B$1,[1]!Data_CF[Thang.Nam],DTR!AA$155)</f>
        <v>0</v>
      </c>
      <c r="AB184" s="313">
        <f>SUMIFS([1]!Data_CF[Value],[1]!Data_CF[Index CF],DTR!$B184,[1]!Data_CF[TenCongTyID],DTR!$B$1,[1]!Data_CF[Thang.Nam],DTR!AB$155)</f>
        <v>0</v>
      </c>
      <c r="AC184" s="313">
        <f>SUMIFS([1]!Data_CF[Value],[1]!Data_CF[Index CF],DTR!$B184,[1]!Data_CF[TenCongTyID],DTR!$B$1,[1]!Data_CF[Thang.Nam],DTR!AC$155)</f>
        <v>0</v>
      </c>
      <c r="AD184" s="313">
        <f>SUMIFS([1]!Data_CF[Value],[1]!Data_CF[Index CF],DTR!$B184,[1]!Data_CF[TenCongTyID],DTR!$B$1,[1]!Data_CF[Thang.Nam],DTR!AD$155)</f>
        <v>0</v>
      </c>
      <c r="AE184" s="313">
        <f>SUMIFS([1]!Data_CF[Value],[1]!Data_CF[Index CF],DTR!$B184,[1]!Data_CF[TenCongTyID],DTR!$B$1,[1]!Data_CF[Thang.Nam],DTR!AE$155)</f>
        <v>0</v>
      </c>
      <c r="AF184" s="313">
        <f>SUMIFS([1]!Data_CF[Value],[1]!Data_CF[Index CF],DTR!$B184,[1]!Data_CF[TenCongTyID],DTR!$B$1,[1]!Data_CF[Thang.Nam],DTR!AF$155)</f>
        <v>0</v>
      </c>
      <c r="AG184" s="313">
        <f>SUMIFS([1]!Data_CF[Value],[1]!Data_CF[Index CF],DTR!$B184,[1]!Data_CF[TenCongTyID],DTR!$B$1,[1]!Data_CF[Thang.Nam],DTR!AG$155)</f>
        <v>0</v>
      </c>
      <c r="AH184" s="313">
        <f>SUMIFS([1]!Data_CF[Value],[1]!Data_CF[Index CF],DTR!$B184,[1]!Data_CF[TenCongTyID],DTR!$B$1,[1]!Data_CF[Thang.Nam],DTR!AH$155)</f>
        <v>0</v>
      </c>
      <c r="AI184" s="313">
        <f>SUMIFS([1]!Data_CF[Value],[1]!Data_CF[Index CF],DTR!$B184,[1]!Data_CF[TenCongTyID],DTR!$B$1,[1]!Data_CF[Thang.Nam],DTR!AI$155)</f>
        <v>0</v>
      </c>
      <c r="AJ184" s="313">
        <f>SUMIFS([1]!Data_CF[Value],[1]!Data_CF[Index CF],DTR!$B184,[1]!Data_CF[TenCongTyID],DTR!$B$1,[1]!Data_CF[Thang.Nam],DTR!AJ$155)</f>
        <v>0</v>
      </c>
      <c r="AK184" s="313">
        <f>SUMIFS([1]!Data_CF[Value],[1]!Data_CF[Index CF],DTR!$B184,[1]!Data_CF[TenCongTyID],DTR!$B$1,[1]!Data_CF[Thang.Nam],DTR!AK$155)</f>
        <v>0</v>
      </c>
      <c r="AL184" s="313">
        <f>SUMIFS([1]!Data_CF[Value],[1]!Data_CF[Index CF],DTR!$B184,[1]!Data_CF[TenCongTyID],DTR!$B$1,[1]!Data_CF[Thang.Nam],DTR!AL$155)</f>
        <v>0</v>
      </c>
    </row>
    <row r="185" spans="1:38" ht="15" hidden="1" customHeight="1" outlineLevel="1">
      <c r="A185" s="145" t="s">
        <v>271</v>
      </c>
      <c r="B185" s="146">
        <v>30</v>
      </c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>
        <v>0</v>
      </c>
      <c r="AA185" s="316">
        <f>SUMIFS([1]!Data_CF[Value],[1]!Data_CF[Index CF],DTR!$B185,[1]!Data_CF[TenCongTyID],DTR!$B$1,[1]!Data_CF[Thang.Nam],DTR!AA$155)</f>
        <v>0</v>
      </c>
      <c r="AB185" s="316">
        <f>SUMIFS([1]!Data_CF[Value],[1]!Data_CF[Index CF],DTR!$B185,[1]!Data_CF[TenCongTyID],DTR!$B$1,[1]!Data_CF[Thang.Nam],DTR!AB$155)</f>
        <v>0</v>
      </c>
      <c r="AC185" s="316">
        <f>SUMIFS([1]!Data_CF[Value],[1]!Data_CF[Index CF],DTR!$B185,[1]!Data_CF[TenCongTyID],DTR!$B$1,[1]!Data_CF[Thang.Nam],DTR!AC$155)</f>
        <v>0</v>
      </c>
      <c r="AD185" s="316">
        <f>SUMIFS([1]!Data_CF[Value],[1]!Data_CF[Index CF],DTR!$B185,[1]!Data_CF[TenCongTyID],DTR!$B$1,[1]!Data_CF[Thang.Nam],DTR!AD$155)</f>
        <v>0</v>
      </c>
      <c r="AE185" s="316">
        <f>SUMIFS([1]!Data_CF[Value],[1]!Data_CF[Index CF],DTR!$B185,[1]!Data_CF[TenCongTyID],DTR!$B$1,[1]!Data_CF[Thang.Nam],DTR!AE$155)</f>
        <v>0</v>
      </c>
      <c r="AF185" s="316">
        <f>SUMIFS([1]!Data_CF[Value],[1]!Data_CF[Index CF],DTR!$B185,[1]!Data_CF[TenCongTyID],DTR!$B$1,[1]!Data_CF[Thang.Nam],DTR!AF$155)</f>
        <v>0</v>
      </c>
      <c r="AG185" s="316">
        <f>SUMIFS([1]!Data_CF[Value],[1]!Data_CF[Index CF],DTR!$B185,[1]!Data_CF[TenCongTyID],DTR!$B$1,[1]!Data_CF[Thang.Nam],DTR!AG$155)</f>
        <v>0</v>
      </c>
      <c r="AH185" s="316">
        <f>SUMIFS([1]!Data_CF[Value],[1]!Data_CF[Index CF],DTR!$B185,[1]!Data_CF[TenCongTyID],DTR!$B$1,[1]!Data_CF[Thang.Nam],DTR!AH$155)</f>
        <v>0</v>
      </c>
      <c r="AI185" s="316">
        <f>SUMIFS([1]!Data_CF[Value],[1]!Data_CF[Index CF],DTR!$B185,[1]!Data_CF[TenCongTyID],DTR!$B$1,[1]!Data_CF[Thang.Nam],DTR!AI$155)</f>
        <v>0</v>
      </c>
      <c r="AJ185" s="316">
        <f>SUMIFS([1]!Data_CF[Value],[1]!Data_CF[Index CF],DTR!$B185,[1]!Data_CF[TenCongTyID],DTR!$B$1,[1]!Data_CF[Thang.Nam],DTR!AJ$155)</f>
        <v>0</v>
      </c>
      <c r="AK185" s="316">
        <f>SUMIFS([1]!Data_CF[Value],[1]!Data_CF[Index CF],DTR!$B185,[1]!Data_CF[TenCongTyID],DTR!$B$1,[1]!Data_CF[Thang.Nam],DTR!AK$155)</f>
        <v>0</v>
      </c>
      <c r="AL185" s="316">
        <f>SUMIFS([1]!Data_CF[Value],[1]!Data_CF[Index CF],DTR!$B185,[1]!Data_CF[TenCongTyID],DTR!$B$1,[1]!Data_CF[Thang.Nam],DTR!AL$155)</f>
        <v>0</v>
      </c>
    </row>
    <row r="186" spans="1:38" ht="14" hidden="1" outlineLevel="1">
      <c r="A186" s="164" t="s">
        <v>272</v>
      </c>
      <c r="B186" s="165">
        <v>31</v>
      </c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>
        <v>0</v>
      </c>
      <c r="AA186" s="303">
        <f>SUMIFS([1]!Data_CF[Value],[1]!Data_CF[Index CF],DTR!$B186,[1]!Data_CF[TenCongTyID],DTR!$B$1,[1]!Data_CF[Thang.Nam],DTR!AA$155)</f>
        <v>0</v>
      </c>
      <c r="AB186" s="303">
        <f>SUMIFS([1]!Data_CF[Value],[1]!Data_CF[Index CF],DTR!$B186,[1]!Data_CF[TenCongTyID],DTR!$B$1,[1]!Data_CF[Thang.Nam],DTR!AB$155)</f>
        <v>0</v>
      </c>
      <c r="AC186" s="303">
        <f>SUMIFS([1]!Data_CF[Value],[1]!Data_CF[Index CF],DTR!$B186,[1]!Data_CF[TenCongTyID],DTR!$B$1,[1]!Data_CF[Thang.Nam],DTR!AC$155)</f>
        <v>0</v>
      </c>
      <c r="AD186" s="303">
        <f>SUMIFS([1]!Data_CF[Value],[1]!Data_CF[Index CF],DTR!$B186,[1]!Data_CF[TenCongTyID],DTR!$B$1,[1]!Data_CF[Thang.Nam],DTR!AD$155)</f>
        <v>0</v>
      </c>
      <c r="AE186" s="303">
        <f>SUMIFS([1]!Data_CF[Value],[1]!Data_CF[Index CF],DTR!$B186,[1]!Data_CF[TenCongTyID],DTR!$B$1,[1]!Data_CF[Thang.Nam],DTR!AE$155)</f>
        <v>0</v>
      </c>
      <c r="AF186" s="303">
        <f>SUMIFS([1]!Data_CF[Value],[1]!Data_CF[Index CF],DTR!$B186,[1]!Data_CF[TenCongTyID],DTR!$B$1,[1]!Data_CF[Thang.Nam],DTR!AF$155)</f>
        <v>0</v>
      </c>
      <c r="AG186" s="303">
        <f>SUMIFS([1]!Data_CF[Value],[1]!Data_CF[Index CF],DTR!$B186,[1]!Data_CF[TenCongTyID],DTR!$B$1,[1]!Data_CF[Thang.Nam],DTR!AG$155)</f>
        <v>0</v>
      </c>
      <c r="AH186" s="303">
        <f>SUMIFS([1]!Data_CF[Value],[1]!Data_CF[Index CF],DTR!$B186,[1]!Data_CF[TenCongTyID],DTR!$B$1,[1]!Data_CF[Thang.Nam],DTR!AH$155)</f>
        <v>0</v>
      </c>
      <c r="AI186" s="303">
        <f>SUMIFS([1]!Data_CF[Value],[1]!Data_CF[Index CF],DTR!$B186,[1]!Data_CF[TenCongTyID],DTR!$B$1,[1]!Data_CF[Thang.Nam],DTR!AI$155)</f>
        <v>0</v>
      </c>
      <c r="AJ186" s="303">
        <f>SUMIFS([1]!Data_CF[Value],[1]!Data_CF[Index CF],DTR!$B186,[1]!Data_CF[TenCongTyID],DTR!$B$1,[1]!Data_CF[Thang.Nam],DTR!AJ$155)</f>
        <v>0</v>
      </c>
      <c r="AK186" s="303">
        <f>SUMIFS([1]!Data_CF[Value],[1]!Data_CF[Index CF],DTR!$B186,[1]!Data_CF[TenCongTyID],DTR!$B$1,[1]!Data_CF[Thang.Nam],DTR!AK$155)</f>
        <v>0</v>
      </c>
      <c r="AL186" s="303">
        <f>SUMIFS([1]!Data_CF[Value],[1]!Data_CF[Index CF],DTR!$B186,[1]!Data_CF[TenCongTyID],DTR!$B$1,[1]!Data_CF[Thang.Nam],DTR!AL$155)</f>
        <v>0</v>
      </c>
    </row>
    <row r="187" spans="1:38" ht="14" hidden="1" outlineLevel="1">
      <c r="A187" s="164" t="s">
        <v>273</v>
      </c>
      <c r="B187" s="165">
        <v>32</v>
      </c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>
        <v>0</v>
      </c>
      <c r="AA187" s="303">
        <f>SUMIFS([1]!Data_CF[Value],[1]!Data_CF[Index CF],DTR!$B187,[1]!Data_CF[TenCongTyID],DTR!$B$1,[1]!Data_CF[Thang.Nam],DTR!AA$155)</f>
        <v>0</v>
      </c>
      <c r="AB187" s="303">
        <f>SUMIFS([1]!Data_CF[Value],[1]!Data_CF[Index CF],DTR!$B187,[1]!Data_CF[TenCongTyID],DTR!$B$1,[1]!Data_CF[Thang.Nam],DTR!AB$155)</f>
        <v>0</v>
      </c>
      <c r="AC187" s="303">
        <f>SUMIFS([1]!Data_CF[Value],[1]!Data_CF[Index CF],DTR!$B187,[1]!Data_CF[TenCongTyID],DTR!$B$1,[1]!Data_CF[Thang.Nam],DTR!AC$155)</f>
        <v>0</v>
      </c>
      <c r="AD187" s="303">
        <f>SUMIFS([1]!Data_CF[Value],[1]!Data_CF[Index CF],DTR!$B187,[1]!Data_CF[TenCongTyID],DTR!$B$1,[1]!Data_CF[Thang.Nam],DTR!AD$155)</f>
        <v>0</v>
      </c>
      <c r="AE187" s="303">
        <f>SUMIFS([1]!Data_CF[Value],[1]!Data_CF[Index CF],DTR!$B187,[1]!Data_CF[TenCongTyID],DTR!$B$1,[1]!Data_CF[Thang.Nam],DTR!AE$155)</f>
        <v>0</v>
      </c>
      <c r="AF187" s="303">
        <f>SUMIFS([1]!Data_CF[Value],[1]!Data_CF[Index CF],DTR!$B187,[1]!Data_CF[TenCongTyID],DTR!$B$1,[1]!Data_CF[Thang.Nam],DTR!AF$155)</f>
        <v>0</v>
      </c>
      <c r="AG187" s="303">
        <f>SUMIFS([1]!Data_CF[Value],[1]!Data_CF[Index CF],DTR!$B187,[1]!Data_CF[TenCongTyID],DTR!$B$1,[1]!Data_CF[Thang.Nam],DTR!AG$155)</f>
        <v>0</v>
      </c>
      <c r="AH187" s="303">
        <f>SUMIFS([1]!Data_CF[Value],[1]!Data_CF[Index CF],DTR!$B187,[1]!Data_CF[TenCongTyID],DTR!$B$1,[1]!Data_CF[Thang.Nam],DTR!AH$155)</f>
        <v>0</v>
      </c>
      <c r="AI187" s="303">
        <f>SUMIFS([1]!Data_CF[Value],[1]!Data_CF[Index CF],DTR!$B187,[1]!Data_CF[TenCongTyID],DTR!$B$1,[1]!Data_CF[Thang.Nam],DTR!AI$155)</f>
        <v>0</v>
      </c>
      <c r="AJ187" s="303">
        <f>SUMIFS([1]!Data_CF[Value],[1]!Data_CF[Index CF],DTR!$B187,[1]!Data_CF[TenCongTyID],DTR!$B$1,[1]!Data_CF[Thang.Nam],DTR!AJ$155)</f>
        <v>0</v>
      </c>
      <c r="AK187" s="303">
        <f>SUMIFS([1]!Data_CF[Value],[1]!Data_CF[Index CF],DTR!$B187,[1]!Data_CF[TenCongTyID],DTR!$B$1,[1]!Data_CF[Thang.Nam],DTR!AK$155)</f>
        <v>0</v>
      </c>
      <c r="AL187" s="303">
        <f>SUMIFS([1]!Data_CF[Value],[1]!Data_CF[Index CF],DTR!$B187,[1]!Data_CF[TenCongTyID],DTR!$B$1,[1]!Data_CF[Thang.Nam],DTR!AL$155)</f>
        <v>0</v>
      </c>
    </row>
    <row r="188" spans="1:38" ht="15" hidden="1" customHeight="1" outlineLevel="1">
      <c r="A188" s="164" t="s">
        <v>274</v>
      </c>
      <c r="B188" s="165">
        <v>33</v>
      </c>
      <c r="C188" s="299">
        <v>57270669795</v>
      </c>
      <c r="D188" s="317">
        <v>2700000000</v>
      </c>
      <c r="E188" s="317">
        <v>51941747542</v>
      </c>
      <c r="F188" s="317">
        <v>43144705866</v>
      </c>
      <c r="G188" s="317">
        <v>34881897765</v>
      </c>
      <c r="H188" s="317">
        <v>19187776584</v>
      </c>
      <c r="I188" s="317">
        <v>4706000000</v>
      </c>
      <c r="J188" s="317">
        <v>51191060696</v>
      </c>
      <c r="K188" s="317">
        <v>84691804308</v>
      </c>
      <c r="L188" s="317">
        <v>102825721496</v>
      </c>
      <c r="M188" s="317">
        <v>83853569555</v>
      </c>
      <c r="N188" s="317">
        <v>37383794832</v>
      </c>
      <c r="O188" s="317">
        <v>2310562000</v>
      </c>
      <c r="P188" s="317">
        <v>5428000000</v>
      </c>
      <c r="Q188" s="317">
        <v>58529191203</v>
      </c>
      <c r="R188" s="317">
        <v>90358841948</v>
      </c>
      <c r="S188" s="317">
        <v>46360978617</v>
      </c>
      <c r="T188" s="317">
        <v>47723278583</v>
      </c>
      <c r="U188" s="317">
        <v>49379624959</v>
      </c>
      <c r="V188" s="317">
        <v>76433887270</v>
      </c>
      <c r="W188" s="317">
        <v>74543374853</v>
      </c>
      <c r="X188" s="317">
        <v>35990648109</v>
      </c>
      <c r="Y188" s="317">
        <v>46874996976</v>
      </c>
      <c r="Z188" s="317">
        <v>40177257513</v>
      </c>
      <c r="AA188" s="310">
        <f>SUMIFS([1]!Data_CF[Value],[1]!Data_CF[Index CF],DTR!$B188,[1]!Data_CF[TenCongTyID],DTR!$B$1,[1]!Data_CF[Thang.Nam],DTR!AA$155)</f>
        <v>0</v>
      </c>
      <c r="AB188" s="310">
        <f>SUMIFS([1]!Data_CF[Value],[1]!Data_CF[Index CF],DTR!$B188,[1]!Data_CF[TenCongTyID],DTR!$B$1,[1]!Data_CF[Thang.Nam],DTR!AB$155)</f>
        <v>0</v>
      </c>
      <c r="AC188" s="310">
        <f>SUMIFS([1]!Data_CF[Value],[1]!Data_CF[Index CF],DTR!$B188,[1]!Data_CF[TenCongTyID],DTR!$B$1,[1]!Data_CF[Thang.Nam],DTR!AC$155)</f>
        <v>0</v>
      </c>
      <c r="AD188" s="310">
        <f>SUMIFS([1]!Data_CF[Value],[1]!Data_CF[Index CF],DTR!$B188,[1]!Data_CF[TenCongTyID],DTR!$B$1,[1]!Data_CF[Thang.Nam],DTR!AD$155)</f>
        <v>0</v>
      </c>
      <c r="AE188" s="310">
        <f>SUMIFS([1]!Data_CF[Value],[1]!Data_CF[Index CF],DTR!$B188,[1]!Data_CF[TenCongTyID],DTR!$B$1,[1]!Data_CF[Thang.Nam],DTR!AE$155)</f>
        <v>0</v>
      </c>
      <c r="AF188" s="310">
        <f>SUMIFS([1]!Data_CF[Value],[1]!Data_CF[Index CF],DTR!$B188,[1]!Data_CF[TenCongTyID],DTR!$B$1,[1]!Data_CF[Thang.Nam],DTR!AF$155)</f>
        <v>0</v>
      </c>
      <c r="AG188" s="310">
        <f>SUMIFS([1]!Data_CF[Value],[1]!Data_CF[Index CF],DTR!$B188,[1]!Data_CF[TenCongTyID],DTR!$B$1,[1]!Data_CF[Thang.Nam],DTR!AG$155)</f>
        <v>0</v>
      </c>
      <c r="AH188" s="310">
        <f>SUMIFS([1]!Data_CF[Value],[1]!Data_CF[Index CF],DTR!$B188,[1]!Data_CF[TenCongTyID],DTR!$B$1,[1]!Data_CF[Thang.Nam],DTR!AH$155)</f>
        <v>0</v>
      </c>
      <c r="AI188" s="310">
        <f>SUMIFS([1]!Data_CF[Value],[1]!Data_CF[Index CF],DTR!$B188,[1]!Data_CF[TenCongTyID],DTR!$B$1,[1]!Data_CF[Thang.Nam],DTR!AI$155)</f>
        <v>0</v>
      </c>
      <c r="AJ188" s="310">
        <f>SUMIFS([1]!Data_CF[Value],[1]!Data_CF[Index CF],DTR!$B188,[1]!Data_CF[TenCongTyID],DTR!$B$1,[1]!Data_CF[Thang.Nam],DTR!AJ$155)</f>
        <v>0</v>
      </c>
      <c r="AK188" s="310">
        <f>SUMIFS([1]!Data_CF[Value],[1]!Data_CF[Index CF],DTR!$B188,[1]!Data_CF[TenCongTyID],DTR!$B$1,[1]!Data_CF[Thang.Nam],DTR!AK$155)</f>
        <v>0</v>
      </c>
      <c r="AL188" s="310">
        <f>SUMIFS([1]!Data_CF[Value],[1]!Data_CF[Index CF],DTR!$B188,[1]!Data_CF[TenCongTyID],DTR!$B$1,[1]!Data_CF[Thang.Nam],DTR!AL$155)</f>
        <v>0</v>
      </c>
    </row>
    <row r="189" spans="1:38" ht="15" hidden="1" customHeight="1" outlineLevel="1">
      <c r="A189" s="164" t="s">
        <v>275</v>
      </c>
      <c r="B189" s="165">
        <v>34</v>
      </c>
      <c r="C189" s="299"/>
      <c r="D189" s="299">
        <v>-7768970250</v>
      </c>
      <c r="E189" s="299">
        <v>-8016000000</v>
      </c>
      <c r="F189" s="299">
        <v>-295193392</v>
      </c>
      <c r="G189" s="299">
        <v>-2906560000</v>
      </c>
      <c r="H189" s="299">
        <v>-6016005797</v>
      </c>
      <c r="I189" s="299">
        <v>-26451297542</v>
      </c>
      <c r="J189" s="299">
        <v>-94694168939</v>
      </c>
      <c r="K189" s="299">
        <v>-70491152886</v>
      </c>
      <c r="L189" s="299">
        <v>-86950072394</v>
      </c>
      <c r="M189" s="299">
        <v>-46997210051</v>
      </c>
      <c r="N189" s="299">
        <v>-30836777778</v>
      </c>
      <c r="O189" s="299">
        <v>-33725113955</v>
      </c>
      <c r="P189" s="299">
        <v>-100211784973</v>
      </c>
      <c r="Q189" s="299">
        <v>-4197000000</v>
      </c>
      <c r="R189" s="299">
        <v>-15728148401</v>
      </c>
      <c r="S189" s="299">
        <v>-22093621349</v>
      </c>
      <c r="T189" s="299">
        <v>-30106272270</v>
      </c>
      <c r="U189" s="299">
        <v>-37490126842</v>
      </c>
      <c r="V189" s="299">
        <v>-32982546300</v>
      </c>
      <c r="W189" s="299">
        <v>-59818118843</v>
      </c>
      <c r="X189" s="299">
        <v>-86548152225</v>
      </c>
      <c r="Y189" s="299">
        <v>-53673092111</v>
      </c>
      <c r="Z189" s="299">
        <v>-51123323764</v>
      </c>
      <c r="AA189" s="305">
        <f>SUMIFS([1]!Data_CF[Value],[1]!Data_CF[Index CF],DTR!$B189,[1]!Data_CF[TenCongTyID],DTR!$B$1,[1]!Data_CF[Thang.Nam],DTR!AA$155)</f>
        <v>0</v>
      </c>
      <c r="AB189" s="305">
        <f>SUMIFS([1]!Data_CF[Value],[1]!Data_CF[Index CF],DTR!$B189,[1]!Data_CF[TenCongTyID],DTR!$B$1,[1]!Data_CF[Thang.Nam],DTR!AB$155)</f>
        <v>0</v>
      </c>
      <c r="AC189" s="305">
        <f>SUMIFS([1]!Data_CF[Value],[1]!Data_CF[Index CF],DTR!$B189,[1]!Data_CF[TenCongTyID],DTR!$B$1,[1]!Data_CF[Thang.Nam],DTR!AC$155)</f>
        <v>0</v>
      </c>
      <c r="AD189" s="305">
        <f>SUMIFS([1]!Data_CF[Value],[1]!Data_CF[Index CF],DTR!$B189,[1]!Data_CF[TenCongTyID],DTR!$B$1,[1]!Data_CF[Thang.Nam],DTR!AD$155)</f>
        <v>0</v>
      </c>
      <c r="AE189" s="305">
        <f>SUMIFS([1]!Data_CF[Value],[1]!Data_CF[Index CF],DTR!$B189,[1]!Data_CF[TenCongTyID],DTR!$B$1,[1]!Data_CF[Thang.Nam],DTR!AE$155)</f>
        <v>0</v>
      </c>
      <c r="AF189" s="305">
        <f>SUMIFS([1]!Data_CF[Value],[1]!Data_CF[Index CF],DTR!$B189,[1]!Data_CF[TenCongTyID],DTR!$B$1,[1]!Data_CF[Thang.Nam],DTR!AF$155)</f>
        <v>0</v>
      </c>
      <c r="AG189" s="305">
        <f>SUMIFS([1]!Data_CF[Value],[1]!Data_CF[Index CF],DTR!$B189,[1]!Data_CF[TenCongTyID],DTR!$B$1,[1]!Data_CF[Thang.Nam],DTR!AG$155)</f>
        <v>0</v>
      </c>
      <c r="AH189" s="305">
        <f>SUMIFS([1]!Data_CF[Value],[1]!Data_CF[Index CF],DTR!$B189,[1]!Data_CF[TenCongTyID],DTR!$B$1,[1]!Data_CF[Thang.Nam],DTR!AH$155)</f>
        <v>0</v>
      </c>
      <c r="AI189" s="305">
        <f>SUMIFS([1]!Data_CF[Value],[1]!Data_CF[Index CF],DTR!$B189,[1]!Data_CF[TenCongTyID],DTR!$B$1,[1]!Data_CF[Thang.Nam],DTR!AI$155)</f>
        <v>0</v>
      </c>
      <c r="AJ189" s="305">
        <f>SUMIFS([1]!Data_CF[Value],[1]!Data_CF[Index CF],DTR!$B189,[1]!Data_CF[TenCongTyID],DTR!$B$1,[1]!Data_CF[Thang.Nam],DTR!AJ$155)</f>
        <v>0</v>
      </c>
      <c r="AK189" s="305">
        <f>SUMIFS([1]!Data_CF[Value],[1]!Data_CF[Index CF],DTR!$B189,[1]!Data_CF[TenCongTyID],DTR!$B$1,[1]!Data_CF[Thang.Nam],DTR!AK$155)</f>
        <v>0</v>
      </c>
      <c r="AL189" s="305">
        <f>SUMIFS([1]!Data_CF[Value],[1]!Data_CF[Index CF],DTR!$B189,[1]!Data_CF[TenCongTyID],DTR!$B$1,[1]!Data_CF[Thang.Nam],DTR!AL$155)</f>
        <v>0</v>
      </c>
    </row>
    <row r="190" spans="1:38" ht="15" hidden="1" customHeight="1" outlineLevel="1">
      <c r="A190" s="164" t="s">
        <v>276</v>
      </c>
      <c r="B190" s="165">
        <v>35</v>
      </c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>
        <v>-777777778</v>
      </c>
      <c r="P190" s="299">
        <v>-777777778</v>
      </c>
      <c r="Q190" s="299">
        <v>-777777778</v>
      </c>
      <c r="R190" s="299">
        <v>-777777778</v>
      </c>
      <c r="S190" s="299">
        <v>-777777778</v>
      </c>
      <c r="T190" s="299">
        <v>-777777778</v>
      </c>
      <c r="U190" s="299">
        <v>-777777778</v>
      </c>
      <c r="V190" s="299">
        <v>-777777778</v>
      </c>
      <c r="W190" s="299">
        <v>-777777778</v>
      </c>
      <c r="X190" s="299">
        <v>-777777778</v>
      </c>
      <c r="Y190" s="299">
        <v>-777777778</v>
      </c>
      <c r="Z190" s="299">
        <v>-777777778</v>
      </c>
      <c r="AA190" s="305">
        <f>SUMIFS([1]!Data_CF[Value],[1]!Data_CF[Index CF],DTR!$B190,[1]!Data_CF[TenCongTyID],DTR!$B$1,[1]!Data_CF[Thang.Nam],DTR!AA$155)</f>
        <v>0</v>
      </c>
      <c r="AB190" s="305">
        <f>SUMIFS([1]!Data_CF[Value],[1]!Data_CF[Index CF],DTR!$B190,[1]!Data_CF[TenCongTyID],DTR!$B$1,[1]!Data_CF[Thang.Nam],DTR!AB$155)</f>
        <v>0</v>
      </c>
      <c r="AC190" s="305">
        <f>SUMIFS([1]!Data_CF[Value],[1]!Data_CF[Index CF],DTR!$B190,[1]!Data_CF[TenCongTyID],DTR!$B$1,[1]!Data_CF[Thang.Nam],DTR!AC$155)</f>
        <v>0</v>
      </c>
      <c r="AD190" s="305">
        <f>SUMIFS([1]!Data_CF[Value],[1]!Data_CF[Index CF],DTR!$B190,[1]!Data_CF[TenCongTyID],DTR!$B$1,[1]!Data_CF[Thang.Nam],DTR!AD$155)</f>
        <v>0</v>
      </c>
      <c r="AE190" s="305">
        <f>SUMIFS([1]!Data_CF[Value],[1]!Data_CF[Index CF],DTR!$B190,[1]!Data_CF[TenCongTyID],DTR!$B$1,[1]!Data_CF[Thang.Nam],DTR!AE$155)</f>
        <v>0</v>
      </c>
      <c r="AF190" s="305">
        <f>SUMIFS([1]!Data_CF[Value],[1]!Data_CF[Index CF],DTR!$B190,[1]!Data_CF[TenCongTyID],DTR!$B$1,[1]!Data_CF[Thang.Nam],DTR!AF$155)</f>
        <v>0</v>
      </c>
      <c r="AG190" s="305">
        <f>SUMIFS([1]!Data_CF[Value],[1]!Data_CF[Index CF],DTR!$B190,[1]!Data_CF[TenCongTyID],DTR!$B$1,[1]!Data_CF[Thang.Nam],DTR!AG$155)</f>
        <v>0</v>
      </c>
      <c r="AH190" s="305">
        <f>SUMIFS([1]!Data_CF[Value],[1]!Data_CF[Index CF],DTR!$B190,[1]!Data_CF[TenCongTyID],DTR!$B$1,[1]!Data_CF[Thang.Nam],DTR!AH$155)</f>
        <v>0</v>
      </c>
      <c r="AI190" s="305">
        <f>SUMIFS([1]!Data_CF[Value],[1]!Data_CF[Index CF],DTR!$B190,[1]!Data_CF[TenCongTyID],DTR!$B$1,[1]!Data_CF[Thang.Nam],DTR!AI$155)</f>
        <v>0</v>
      </c>
      <c r="AJ190" s="305">
        <f>SUMIFS([1]!Data_CF[Value],[1]!Data_CF[Index CF],DTR!$B190,[1]!Data_CF[TenCongTyID],DTR!$B$1,[1]!Data_CF[Thang.Nam],DTR!AJ$155)</f>
        <v>0</v>
      </c>
      <c r="AK190" s="305">
        <f>SUMIFS([1]!Data_CF[Value],[1]!Data_CF[Index CF],DTR!$B190,[1]!Data_CF[TenCongTyID],DTR!$B$1,[1]!Data_CF[Thang.Nam],DTR!AK$155)</f>
        <v>0</v>
      </c>
      <c r="AL190" s="305">
        <f>SUMIFS([1]!Data_CF[Value],[1]!Data_CF[Index CF],DTR!$B190,[1]!Data_CF[TenCongTyID],DTR!$B$1,[1]!Data_CF[Thang.Nam],DTR!AL$155)</f>
        <v>0</v>
      </c>
    </row>
    <row r="191" spans="1:38" ht="15" hidden="1" customHeight="1" outlineLevel="1">
      <c r="A191" s="164" t="s">
        <v>277</v>
      </c>
      <c r="B191" s="165">
        <v>36</v>
      </c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>
        <v>0</v>
      </c>
      <c r="AA191" s="311">
        <f>SUMIFS([1]!Data_CF[Value],[1]!Data_CF[Index CF],DTR!$B191,[1]!Data_CF[TenCongTyID],DTR!$B$1,[1]!Data_CF[Thang.Nam],DTR!AA$155)</f>
        <v>0</v>
      </c>
      <c r="AB191" s="311">
        <f>SUMIFS([1]!Data_CF[Value],[1]!Data_CF[Index CF],DTR!$B191,[1]!Data_CF[TenCongTyID],DTR!$B$1,[1]!Data_CF[Thang.Nam],DTR!AB$155)</f>
        <v>0</v>
      </c>
      <c r="AC191" s="311">
        <f>SUMIFS([1]!Data_CF[Value],[1]!Data_CF[Index CF],DTR!$B191,[1]!Data_CF[TenCongTyID],DTR!$B$1,[1]!Data_CF[Thang.Nam],DTR!AC$155)</f>
        <v>0</v>
      </c>
      <c r="AD191" s="311">
        <f>SUMIFS([1]!Data_CF[Value],[1]!Data_CF[Index CF],DTR!$B191,[1]!Data_CF[TenCongTyID],DTR!$B$1,[1]!Data_CF[Thang.Nam],DTR!AD$155)</f>
        <v>0</v>
      </c>
      <c r="AE191" s="311">
        <f>SUMIFS([1]!Data_CF[Value],[1]!Data_CF[Index CF],DTR!$B191,[1]!Data_CF[TenCongTyID],DTR!$B$1,[1]!Data_CF[Thang.Nam],DTR!AE$155)</f>
        <v>0</v>
      </c>
      <c r="AF191" s="311">
        <f>SUMIFS([1]!Data_CF[Value],[1]!Data_CF[Index CF],DTR!$B191,[1]!Data_CF[TenCongTyID],DTR!$B$1,[1]!Data_CF[Thang.Nam],DTR!AF$155)</f>
        <v>0</v>
      </c>
      <c r="AG191" s="311">
        <f>SUMIFS([1]!Data_CF[Value],[1]!Data_CF[Index CF],DTR!$B191,[1]!Data_CF[TenCongTyID],DTR!$B$1,[1]!Data_CF[Thang.Nam],DTR!AG$155)</f>
        <v>0</v>
      </c>
      <c r="AH191" s="311">
        <f>SUMIFS([1]!Data_CF[Value],[1]!Data_CF[Index CF],DTR!$B191,[1]!Data_CF[TenCongTyID],DTR!$B$1,[1]!Data_CF[Thang.Nam],DTR!AH$155)</f>
        <v>0</v>
      </c>
      <c r="AI191" s="311">
        <f>SUMIFS([1]!Data_CF[Value],[1]!Data_CF[Index CF],DTR!$B191,[1]!Data_CF[TenCongTyID],DTR!$B$1,[1]!Data_CF[Thang.Nam],DTR!AI$155)</f>
        <v>0</v>
      </c>
      <c r="AJ191" s="311">
        <f>SUMIFS([1]!Data_CF[Value],[1]!Data_CF[Index CF],DTR!$B191,[1]!Data_CF[TenCongTyID],DTR!$B$1,[1]!Data_CF[Thang.Nam],DTR!AJ$155)</f>
        <v>0</v>
      </c>
      <c r="AK191" s="311">
        <f>SUMIFS([1]!Data_CF[Value],[1]!Data_CF[Index CF],DTR!$B191,[1]!Data_CF[TenCongTyID],DTR!$B$1,[1]!Data_CF[Thang.Nam],DTR!AK$155)</f>
        <v>0</v>
      </c>
      <c r="AL191" s="311">
        <f>SUMIFS([1]!Data_CF[Value],[1]!Data_CF[Index CF],DTR!$B191,[1]!Data_CF[TenCongTyID],DTR!$B$1,[1]!Data_CF[Thang.Nam],DTR!AL$155)</f>
        <v>0</v>
      </c>
    </row>
    <row r="192" spans="1:38" ht="15" hidden="1" customHeight="1" outlineLevel="1">
      <c r="A192" s="145" t="s">
        <v>278</v>
      </c>
      <c r="B192" s="146">
        <v>37</v>
      </c>
      <c r="C192" s="319">
        <v>57270669795</v>
      </c>
      <c r="D192" s="319">
        <v>-5068970250</v>
      </c>
      <c r="E192" s="319">
        <v>43925747542</v>
      </c>
      <c r="F192" s="319">
        <v>42849512474</v>
      </c>
      <c r="G192" s="319">
        <v>31975337765</v>
      </c>
      <c r="H192" s="319">
        <v>13171770787</v>
      </c>
      <c r="I192" s="319">
        <v>-21745297542</v>
      </c>
      <c r="J192" s="319">
        <v>-43503108243</v>
      </c>
      <c r="K192" s="319">
        <v>14200651422</v>
      </c>
      <c r="L192" s="319">
        <v>15875649102</v>
      </c>
      <c r="M192" s="319">
        <v>36856359504</v>
      </c>
      <c r="N192" s="319">
        <v>6547017054</v>
      </c>
      <c r="O192" s="319">
        <f>SUM(O186:O191)</f>
        <v>-32192329733</v>
      </c>
      <c r="P192" s="319">
        <f t="shared" ref="P192:W192" si="15">SUM(P186:P191)</f>
        <v>-95561562751</v>
      </c>
      <c r="Q192" s="319">
        <f t="shared" si="15"/>
        <v>53554413425</v>
      </c>
      <c r="R192" s="319">
        <f t="shared" si="15"/>
        <v>73852915769</v>
      </c>
      <c r="S192" s="319">
        <f t="shared" si="15"/>
        <v>23489579490</v>
      </c>
      <c r="T192" s="319">
        <f t="shared" si="15"/>
        <v>16839228535</v>
      </c>
      <c r="U192" s="319">
        <f t="shared" si="15"/>
        <v>11111720339</v>
      </c>
      <c r="V192" s="319">
        <f t="shared" si="15"/>
        <v>42673563192</v>
      </c>
      <c r="W192" s="319">
        <f t="shared" si="15"/>
        <v>13947478232</v>
      </c>
      <c r="X192" s="319">
        <v>-51335281894</v>
      </c>
      <c r="Y192" s="319">
        <v>-7575872913</v>
      </c>
      <c r="Z192" s="319">
        <v>-11723844029</v>
      </c>
      <c r="AA192" s="313">
        <f>SUMIFS([1]!Data_CF[Value],[1]!Data_CF[Index CF],DTR!$B192,[1]!Data_CF[TenCongTyID],DTR!$B$1,[1]!Data_CF[Thang.Nam],DTR!AA$155)</f>
        <v>0</v>
      </c>
      <c r="AB192" s="313">
        <f>SUMIFS([1]!Data_CF[Value],[1]!Data_CF[Index CF],DTR!$B192,[1]!Data_CF[TenCongTyID],DTR!$B$1,[1]!Data_CF[Thang.Nam],DTR!AB$155)</f>
        <v>0</v>
      </c>
      <c r="AC192" s="313">
        <f>SUMIFS([1]!Data_CF[Value],[1]!Data_CF[Index CF],DTR!$B192,[1]!Data_CF[TenCongTyID],DTR!$B$1,[1]!Data_CF[Thang.Nam],DTR!AC$155)</f>
        <v>0</v>
      </c>
      <c r="AD192" s="313">
        <f>SUMIFS([1]!Data_CF[Value],[1]!Data_CF[Index CF],DTR!$B192,[1]!Data_CF[TenCongTyID],DTR!$B$1,[1]!Data_CF[Thang.Nam],DTR!AD$155)</f>
        <v>0</v>
      </c>
      <c r="AE192" s="313">
        <f>SUMIFS([1]!Data_CF[Value],[1]!Data_CF[Index CF],DTR!$B192,[1]!Data_CF[TenCongTyID],DTR!$B$1,[1]!Data_CF[Thang.Nam],DTR!AE$155)</f>
        <v>0</v>
      </c>
      <c r="AF192" s="313">
        <f>SUMIFS([1]!Data_CF[Value],[1]!Data_CF[Index CF],DTR!$B192,[1]!Data_CF[TenCongTyID],DTR!$B$1,[1]!Data_CF[Thang.Nam],DTR!AF$155)</f>
        <v>0</v>
      </c>
      <c r="AG192" s="313">
        <f>SUMIFS([1]!Data_CF[Value],[1]!Data_CF[Index CF],DTR!$B192,[1]!Data_CF[TenCongTyID],DTR!$B$1,[1]!Data_CF[Thang.Nam],DTR!AG$155)</f>
        <v>0</v>
      </c>
      <c r="AH192" s="313">
        <f>SUMIFS([1]!Data_CF[Value],[1]!Data_CF[Index CF],DTR!$B192,[1]!Data_CF[TenCongTyID],DTR!$B$1,[1]!Data_CF[Thang.Nam],DTR!AH$155)</f>
        <v>0</v>
      </c>
      <c r="AI192" s="313">
        <f>SUMIFS([1]!Data_CF[Value],[1]!Data_CF[Index CF],DTR!$B192,[1]!Data_CF[TenCongTyID],DTR!$B$1,[1]!Data_CF[Thang.Nam],DTR!AI$155)</f>
        <v>0</v>
      </c>
      <c r="AJ192" s="313">
        <f>SUMIFS([1]!Data_CF[Value],[1]!Data_CF[Index CF],DTR!$B192,[1]!Data_CF[TenCongTyID],DTR!$B$1,[1]!Data_CF[Thang.Nam],DTR!AJ$155)</f>
        <v>0</v>
      </c>
      <c r="AK192" s="313">
        <f>SUMIFS([1]!Data_CF[Value],[1]!Data_CF[Index CF],DTR!$B192,[1]!Data_CF[TenCongTyID],DTR!$B$1,[1]!Data_CF[Thang.Nam],DTR!AK$155)</f>
        <v>0</v>
      </c>
      <c r="AL192" s="313">
        <f>SUMIFS([1]!Data_CF[Value],[1]!Data_CF[Index CF],DTR!$B192,[1]!Data_CF[TenCongTyID],DTR!$B$1,[1]!Data_CF[Thang.Nam],DTR!AL$155)</f>
        <v>0</v>
      </c>
    </row>
    <row r="193" spans="1:38" ht="15" hidden="1" customHeight="1" outlineLevel="1">
      <c r="A193" s="167" t="s">
        <v>279</v>
      </c>
      <c r="B193" s="168">
        <v>38</v>
      </c>
      <c r="C193" s="320">
        <f>C192+C184+C175</f>
        <v>27580085479</v>
      </c>
      <c r="D193" s="320">
        <f t="shared" ref="D193:W193" si="16">D192+D184+D175</f>
        <v>-8795261906</v>
      </c>
      <c r="E193" s="320">
        <f t="shared" si="16"/>
        <v>-16324735668</v>
      </c>
      <c r="F193" s="320">
        <f t="shared" si="16"/>
        <v>8667467044</v>
      </c>
      <c r="G193" s="320">
        <f t="shared" si="16"/>
        <v>-386049380</v>
      </c>
      <c r="H193" s="320">
        <f t="shared" si="16"/>
        <v>-12514506331</v>
      </c>
      <c r="I193" s="320">
        <f t="shared" si="16"/>
        <v>33057560373</v>
      </c>
      <c r="J193" s="320">
        <f t="shared" si="16"/>
        <v>-20431955304</v>
      </c>
      <c r="K193" s="320">
        <f t="shared" si="16"/>
        <v>16206267494</v>
      </c>
      <c r="L193" s="320">
        <f t="shared" si="16"/>
        <v>22093129144</v>
      </c>
      <c r="M193" s="320">
        <f t="shared" si="16"/>
        <v>-13876187520</v>
      </c>
      <c r="N193" s="320">
        <v>-4926608621</v>
      </c>
      <c r="O193" s="320">
        <f t="shared" si="16"/>
        <v>36324097729</v>
      </c>
      <c r="P193" s="320">
        <f t="shared" si="16"/>
        <v>-44504558739</v>
      </c>
      <c r="Q193" s="320">
        <f t="shared" si="16"/>
        <v>-10311897779</v>
      </c>
      <c r="R193" s="320">
        <f t="shared" si="16"/>
        <v>13376555757</v>
      </c>
      <c r="S193" s="320">
        <f t="shared" si="16"/>
        <v>-17365277225</v>
      </c>
      <c r="T193" s="320">
        <f t="shared" si="16"/>
        <v>9957129440</v>
      </c>
      <c r="U193" s="320">
        <f t="shared" si="16"/>
        <v>-2567149938</v>
      </c>
      <c r="V193" s="320">
        <f t="shared" si="16"/>
        <v>-1512249339</v>
      </c>
      <c r="W193" s="320">
        <f t="shared" si="16"/>
        <v>33681818649</v>
      </c>
      <c r="X193" s="320">
        <v>-11661203939</v>
      </c>
      <c r="Y193" s="320">
        <v>1398499339</v>
      </c>
      <c r="Z193" s="320">
        <v>-18582985163</v>
      </c>
      <c r="AA193" s="321">
        <f>SUMIFS([1]!Data_CF[Value],[1]!Data_CF[Index CF],DTR!$B193,[1]!Data_CF[TenCongTyID],DTR!$B$1,[1]!Data_CF[Thang.Nam],DTR!AA$155)</f>
        <v>0</v>
      </c>
      <c r="AB193" s="321">
        <f>SUMIFS([1]!Data_CF[Value],[1]!Data_CF[Index CF],DTR!$B193,[1]!Data_CF[TenCongTyID],DTR!$B$1,[1]!Data_CF[Thang.Nam],DTR!AB$155)</f>
        <v>0</v>
      </c>
      <c r="AC193" s="321">
        <f>SUMIFS([1]!Data_CF[Value],[1]!Data_CF[Index CF],DTR!$B193,[1]!Data_CF[TenCongTyID],DTR!$B$1,[1]!Data_CF[Thang.Nam],DTR!AC$155)</f>
        <v>0</v>
      </c>
      <c r="AD193" s="321">
        <f>SUMIFS([1]!Data_CF[Value],[1]!Data_CF[Index CF],DTR!$B193,[1]!Data_CF[TenCongTyID],DTR!$B$1,[1]!Data_CF[Thang.Nam],DTR!AD$155)</f>
        <v>0</v>
      </c>
      <c r="AE193" s="321">
        <f>SUMIFS([1]!Data_CF[Value],[1]!Data_CF[Index CF],DTR!$B193,[1]!Data_CF[TenCongTyID],DTR!$B$1,[1]!Data_CF[Thang.Nam],DTR!AE$155)</f>
        <v>0</v>
      </c>
      <c r="AF193" s="321">
        <f>SUMIFS([1]!Data_CF[Value],[1]!Data_CF[Index CF],DTR!$B193,[1]!Data_CF[TenCongTyID],DTR!$B$1,[1]!Data_CF[Thang.Nam],DTR!AF$155)</f>
        <v>0</v>
      </c>
      <c r="AG193" s="321">
        <f>SUMIFS([1]!Data_CF[Value],[1]!Data_CF[Index CF],DTR!$B193,[1]!Data_CF[TenCongTyID],DTR!$B$1,[1]!Data_CF[Thang.Nam],DTR!AG$155)</f>
        <v>0</v>
      </c>
      <c r="AH193" s="321">
        <f>SUMIFS([1]!Data_CF[Value],[1]!Data_CF[Index CF],DTR!$B193,[1]!Data_CF[TenCongTyID],DTR!$B$1,[1]!Data_CF[Thang.Nam],DTR!AH$155)</f>
        <v>0</v>
      </c>
      <c r="AI193" s="321">
        <f>SUMIFS([1]!Data_CF[Value],[1]!Data_CF[Index CF],DTR!$B193,[1]!Data_CF[TenCongTyID],DTR!$B$1,[1]!Data_CF[Thang.Nam],DTR!AI$155)</f>
        <v>0</v>
      </c>
      <c r="AJ193" s="321">
        <f>SUMIFS([1]!Data_CF[Value],[1]!Data_CF[Index CF],DTR!$B193,[1]!Data_CF[TenCongTyID],DTR!$B$1,[1]!Data_CF[Thang.Nam],DTR!AJ$155)</f>
        <v>0</v>
      </c>
      <c r="AK193" s="321">
        <f>SUMIFS([1]!Data_CF[Value],[1]!Data_CF[Index CF],DTR!$B193,[1]!Data_CF[TenCongTyID],DTR!$B$1,[1]!Data_CF[Thang.Nam],DTR!AK$155)</f>
        <v>0</v>
      </c>
      <c r="AL193" s="321">
        <f>SUMIFS([1]!Data_CF[Value],[1]!Data_CF[Index CF],DTR!$B193,[1]!Data_CF[TenCongTyID],DTR!$B$1,[1]!Data_CF[Thang.Nam],DTR!AL$155)</f>
        <v>0</v>
      </c>
    </row>
    <row r="194" spans="1:38" ht="15" hidden="1" customHeight="1" outlineLevel="1">
      <c r="A194" s="145" t="s">
        <v>280</v>
      </c>
      <c r="B194" s="146">
        <v>39</v>
      </c>
      <c r="C194" s="319">
        <v>3513042534</v>
      </c>
      <c r="D194" s="319">
        <f>C196</f>
        <v>31037848308</v>
      </c>
      <c r="E194" s="319">
        <f t="shared" ref="E194:V194" si="17">D196</f>
        <v>22669663716</v>
      </c>
      <c r="F194" s="319">
        <f t="shared" si="17"/>
        <v>6664945115</v>
      </c>
      <c r="G194" s="319">
        <f t="shared" si="17"/>
        <v>15574807889</v>
      </c>
      <c r="H194" s="319">
        <f t="shared" si="17"/>
        <v>16007340290</v>
      </c>
      <c r="I194" s="319">
        <f t="shared" si="17"/>
        <v>3678057757</v>
      </c>
      <c r="J194" s="319">
        <f t="shared" si="17"/>
        <v>36916493026</v>
      </c>
      <c r="K194" s="319">
        <f t="shared" si="17"/>
        <v>16748498285</v>
      </c>
      <c r="L194" s="319">
        <f t="shared" si="17"/>
        <v>33251814637</v>
      </c>
      <c r="M194" s="319">
        <f t="shared" si="17"/>
        <v>56773964959</v>
      </c>
      <c r="N194" s="319">
        <v>43420355696</v>
      </c>
      <c r="O194" s="319">
        <f t="shared" si="17"/>
        <v>39805017284</v>
      </c>
      <c r="P194" s="319">
        <f t="shared" si="17"/>
        <v>76486895109</v>
      </c>
      <c r="Q194" s="319">
        <f t="shared" si="17"/>
        <v>33258200889</v>
      </c>
      <c r="R194" s="319">
        <f t="shared" si="17"/>
        <v>23555271373</v>
      </c>
      <c r="S194" s="319">
        <f t="shared" si="17"/>
        <v>37590058839</v>
      </c>
      <c r="T194" s="319">
        <f t="shared" si="17"/>
        <v>21868727527</v>
      </c>
      <c r="U194" s="319">
        <f t="shared" si="17"/>
        <v>32470900772</v>
      </c>
      <c r="V194" s="319">
        <f t="shared" si="17"/>
        <v>30661632458</v>
      </c>
      <c r="W194" s="319">
        <f>V196</f>
        <v>29770776625</v>
      </c>
      <c r="X194" s="319">
        <v>64296693910</v>
      </c>
      <c r="Y194" s="319">
        <v>53646701293</v>
      </c>
      <c r="Z194" s="319">
        <v>55165406320</v>
      </c>
      <c r="AA194" s="313">
        <f>SUMIFS([1]!Data_CF[Value],[1]!Data_CF[Index CF],DTR!$B194,[1]!Data_CF[TenCongTyID],DTR!$B$1,[1]!Data_CF[Thang.Nam],DTR!AA$155)</f>
        <v>0</v>
      </c>
      <c r="AB194" s="313">
        <f>SUMIFS([1]!Data_CF[Value],[1]!Data_CF[Index CF],DTR!$B194,[1]!Data_CF[TenCongTyID],DTR!$B$1,[1]!Data_CF[Thang.Nam],DTR!AB$155)</f>
        <v>0</v>
      </c>
      <c r="AC194" s="313">
        <f>SUMIFS([1]!Data_CF[Value],[1]!Data_CF[Index CF],DTR!$B194,[1]!Data_CF[TenCongTyID],DTR!$B$1,[1]!Data_CF[Thang.Nam],DTR!AC$155)</f>
        <v>0</v>
      </c>
      <c r="AD194" s="313">
        <f>SUMIFS([1]!Data_CF[Value],[1]!Data_CF[Index CF],DTR!$B194,[1]!Data_CF[TenCongTyID],DTR!$B$1,[1]!Data_CF[Thang.Nam],DTR!AD$155)</f>
        <v>0</v>
      </c>
      <c r="AE194" s="313">
        <f>SUMIFS([1]!Data_CF[Value],[1]!Data_CF[Index CF],DTR!$B194,[1]!Data_CF[TenCongTyID],DTR!$B$1,[1]!Data_CF[Thang.Nam],DTR!AE$155)</f>
        <v>0</v>
      </c>
      <c r="AF194" s="313">
        <f>SUMIFS([1]!Data_CF[Value],[1]!Data_CF[Index CF],DTR!$B194,[1]!Data_CF[TenCongTyID],DTR!$B$1,[1]!Data_CF[Thang.Nam],DTR!AF$155)</f>
        <v>0</v>
      </c>
      <c r="AG194" s="313">
        <f>SUMIFS([1]!Data_CF[Value],[1]!Data_CF[Index CF],DTR!$B194,[1]!Data_CF[TenCongTyID],DTR!$B$1,[1]!Data_CF[Thang.Nam],DTR!AG$155)</f>
        <v>0</v>
      </c>
      <c r="AH194" s="313">
        <f>SUMIFS([1]!Data_CF[Value],[1]!Data_CF[Index CF],DTR!$B194,[1]!Data_CF[TenCongTyID],DTR!$B$1,[1]!Data_CF[Thang.Nam],DTR!AH$155)</f>
        <v>0</v>
      </c>
      <c r="AI194" s="313">
        <f>SUMIFS([1]!Data_CF[Value],[1]!Data_CF[Index CF],DTR!$B194,[1]!Data_CF[TenCongTyID],DTR!$B$1,[1]!Data_CF[Thang.Nam],DTR!AI$155)</f>
        <v>0</v>
      </c>
      <c r="AJ194" s="313">
        <f>SUMIFS([1]!Data_CF[Value],[1]!Data_CF[Index CF],DTR!$B194,[1]!Data_CF[TenCongTyID],DTR!$B$1,[1]!Data_CF[Thang.Nam],DTR!AJ$155)</f>
        <v>0</v>
      </c>
      <c r="AK194" s="313">
        <f>SUMIFS([1]!Data_CF[Value],[1]!Data_CF[Index CF],DTR!$B194,[1]!Data_CF[TenCongTyID],DTR!$B$1,[1]!Data_CF[Thang.Nam],DTR!AK$155)</f>
        <v>0</v>
      </c>
      <c r="AL194" s="313">
        <f>SUMIFS([1]!Data_CF[Value],[1]!Data_CF[Index CF],DTR!$B194,[1]!Data_CF[TenCongTyID],DTR!$B$1,[1]!Data_CF[Thang.Nam],DTR!AL$155)</f>
        <v>0</v>
      </c>
    </row>
    <row r="195" spans="1:38" ht="15" hidden="1" customHeight="1" outlineLevel="1">
      <c r="A195" s="170" t="s">
        <v>281</v>
      </c>
      <c r="B195" s="171">
        <v>40</v>
      </c>
      <c r="C195" s="322">
        <v>-55279705</v>
      </c>
      <c r="D195" s="322">
        <v>427077314</v>
      </c>
      <c r="E195" s="322">
        <v>320017067</v>
      </c>
      <c r="F195" s="322">
        <v>242395730</v>
      </c>
      <c r="G195" s="322">
        <v>818581781</v>
      </c>
      <c r="H195" s="322">
        <v>185223798</v>
      </c>
      <c r="I195" s="322">
        <v>180874896</v>
      </c>
      <c r="J195" s="322">
        <v>263960563</v>
      </c>
      <c r="K195" s="322">
        <v>297048858</v>
      </c>
      <c r="L195" s="322">
        <v>1429021178</v>
      </c>
      <c r="M195" s="322">
        <v>522578257</v>
      </c>
      <c r="N195" s="323">
        <v>1311270209</v>
      </c>
      <c r="O195" s="324">
        <v>357780096</v>
      </c>
      <c r="P195" s="323">
        <v>1275864519</v>
      </c>
      <c r="Q195" s="323">
        <v>608968263</v>
      </c>
      <c r="R195" s="323">
        <v>658231709</v>
      </c>
      <c r="S195" s="323">
        <v>1643945913</v>
      </c>
      <c r="T195" s="323">
        <v>645043805</v>
      </c>
      <c r="U195" s="323">
        <v>757881624</v>
      </c>
      <c r="V195" s="323">
        <v>621393506</v>
      </c>
      <c r="W195" s="323">
        <v>844098636</v>
      </c>
      <c r="X195" s="323">
        <v>1011211322</v>
      </c>
      <c r="Y195" s="323">
        <v>120205688</v>
      </c>
      <c r="Z195" s="323">
        <v>252471998</v>
      </c>
      <c r="AA195" s="325">
        <f>SUMIFS([1]!Data_CF[Value],[1]!Data_CF[Index CF],DTR!$B195,[1]!Data_CF[TenCongTyID],DTR!$B$1,[1]!Data_CF[Thang.Nam],DTR!AA$155)</f>
        <v>0</v>
      </c>
      <c r="AB195" s="325">
        <f>SUMIFS([1]!Data_CF[Value],[1]!Data_CF[Index CF],DTR!$B195,[1]!Data_CF[TenCongTyID],DTR!$B$1,[1]!Data_CF[Thang.Nam],DTR!AB$155)</f>
        <v>0</v>
      </c>
      <c r="AC195" s="325">
        <f>SUMIFS([1]!Data_CF[Value],[1]!Data_CF[Index CF],DTR!$B195,[1]!Data_CF[TenCongTyID],DTR!$B$1,[1]!Data_CF[Thang.Nam],DTR!AC$155)</f>
        <v>0</v>
      </c>
      <c r="AD195" s="325">
        <f>SUMIFS([1]!Data_CF[Value],[1]!Data_CF[Index CF],DTR!$B195,[1]!Data_CF[TenCongTyID],DTR!$B$1,[1]!Data_CF[Thang.Nam],DTR!AD$155)</f>
        <v>0</v>
      </c>
      <c r="AE195" s="325">
        <f>SUMIFS([1]!Data_CF[Value],[1]!Data_CF[Index CF],DTR!$B195,[1]!Data_CF[TenCongTyID],DTR!$B$1,[1]!Data_CF[Thang.Nam],DTR!AE$155)</f>
        <v>0</v>
      </c>
      <c r="AF195" s="325">
        <f>SUMIFS([1]!Data_CF[Value],[1]!Data_CF[Index CF],DTR!$B195,[1]!Data_CF[TenCongTyID],DTR!$B$1,[1]!Data_CF[Thang.Nam],DTR!AF$155)</f>
        <v>0</v>
      </c>
      <c r="AG195" s="325">
        <f>SUMIFS([1]!Data_CF[Value],[1]!Data_CF[Index CF],DTR!$B195,[1]!Data_CF[TenCongTyID],DTR!$B$1,[1]!Data_CF[Thang.Nam],DTR!AG$155)</f>
        <v>0</v>
      </c>
      <c r="AH195" s="325">
        <f>SUMIFS([1]!Data_CF[Value],[1]!Data_CF[Index CF],DTR!$B195,[1]!Data_CF[TenCongTyID],DTR!$B$1,[1]!Data_CF[Thang.Nam],DTR!AH$155)</f>
        <v>0</v>
      </c>
      <c r="AI195" s="325">
        <f>SUMIFS([1]!Data_CF[Value],[1]!Data_CF[Index CF],DTR!$B195,[1]!Data_CF[TenCongTyID],DTR!$B$1,[1]!Data_CF[Thang.Nam],DTR!AI$155)</f>
        <v>0</v>
      </c>
      <c r="AJ195" s="325">
        <f>SUMIFS([1]!Data_CF[Value],[1]!Data_CF[Index CF],DTR!$B195,[1]!Data_CF[TenCongTyID],DTR!$B$1,[1]!Data_CF[Thang.Nam],DTR!AJ$155)</f>
        <v>0</v>
      </c>
      <c r="AK195" s="325">
        <f>SUMIFS([1]!Data_CF[Value],[1]!Data_CF[Index CF],DTR!$B195,[1]!Data_CF[TenCongTyID],DTR!$B$1,[1]!Data_CF[Thang.Nam],DTR!AK$155)</f>
        <v>0</v>
      </c>
      <c r="AL195" s="325">
        <f>SUMIFS([1]!Data_CF[Value],[1]!Data_CF[Index CF],DTR!$B195,[1]!Data_CF[TenCongTyID],DTR!$B$1,[1]!Data_CF[Thang.Nam],DTR!AL$155)</f>
        <v>0</v>
      </c>
    </row>
    <row r="196" spans="1:38" ht="15" hidden="1" customHeight="1" outlineLevel="1">
      <c r="A196" s="145" t="s">
        <v>282</v>
      </c>
      <c r="B196" s="146">
        <v>41</v>
      </c>
      <c r="C196" s="319">
        <f>SUM(C193:C195)</f>
        <v>31037848308</v>
      </c>
      <c r="D196" s="319">
        <f t="shared" ref="D196:W196" si="18">SUM(D193:D195)</f>
        <v>22669663716</v>
      </c>
      <c r="E196" s="319">
        <f t="shared" si="18"/>
        <v>6664945115</v>
      </c>
      <c r="F196" s="319">
        <f t="shared" si="18"/>
        <v>15574807889</v>
      </c>
      <c r="G196" s="319">
        <f t="shared" si="18"/>
        <v>16007340290</v>
      </c>
      <c r="H196" s="319">
        <f t="shared" si="18"/>
        <v>3678057757</v>
      </c>
      <c r="I196" s="319">
        <f t="shared" si="18"/>
        <v>36916493026</v>
      </c>
      <c r="J196" s="319">
        <f t="shared" si="18"/>
        <v>16748498285</v>
      </c>
      <c r="K196" s="319">
        <f t="shared" si="18"/>
        <v>33251814637</v>
      </c>
      <c r="L196" s="319">
        <f t="shared" si="18"/>
        <v>56773964959</v>
      </c>
      <c r="M196" s="319">
        <f t="shared" si="18"/>
        <v>43420355696</v>
      </c>
      <c r="N196" s="319">
        <v>39805017284</v>
      </c>
      <c r="O196" s="319">
        <f t="shared" si="18"/>
        <v>76486895109</v>
      </c>
      <c r="P196" s="319">
        <f t="shared" si="18"/>
        <v>33258200889</v>
      </c>
      <c r="Q196" s="319">
        <f t="shared" si="18"/>
        <v>23555271373</v>
      </c>
      <c r="R196" s="319">
        <f t="shared" si="18"/>
        <v>37590058839</v>
      </c>
      <c r="S196" s="319">
        <f t="shared" si="18"/>
        <v>21868727527</v>
      </c>
      <c r="T196" s="319">
        <f t="shared" si="18"/>
        <v>32470900772</v>
      </c>
      <c r="U196" s="319">
        <f t="shared" si="18"/>
        <v>30661632458</v>
      </c>
      <c r="V196" s="319">
        <f t="shared" si="18"/>
        <v>29770776625</v>
      </c>
      <c r="W196" s="319">
        <f t="shared" si="18"/>
        <v>64296693910</v>
      </c>
      <c r="X196" s="319">
        <v>53646701293</v>
      </c>
      <c r="Y196" s="319">
        <v>55165406320</v>
      </c>
      <c r="Z196" s="319">
        <v>36834893155</v>
      </c>
      <c r="AA196" s="313">
        <f>SUMIFS([1]!Data_CF[Value],[1]!Data_CF[Index CF],DTR!$B196,[1]!Data_CF[TenCongTyID],DTR!$B$1,[1]!Data_CF[Thang.Nam],DTR!AA$155)</f>
        <v>0</v>
      </c>
      <c r="AB196" s="313">
        <f>SUMIFS([1]!Data_CF[Value],[1]!Data_CF[Index CF],DTR!$B196,[1]!Data_CF[TenCongTyID],DTR!$B$1,[1]!Data_CF[Thang.Nam],DTR!AB$155)</f>
        <v>0</v>
      </c>
      <c r="AC196" s="313">
        <f>SUMIFS([1]!Data_CF[Value],[1]!Data_CF[Index CF],DTR!$B196,[1]!Data_CF[TenCongTyID],DTR!$B$1,[1]!Data_CF[Thang.Nam],DTR!AC$155)</f>
        <v>0</v>
      </c>
      <c r="AD196" s="313">
        <f>SUMIFS([1]!Data_CF[Value],[1]!Data_CF[Index CF],DTR!$B196,[1]!Data_CF[TenCongTyID],DTR!$B$1,[1]!Data_CF[Thang.Nam],DTR!AD$155)</f>
        <v>0</v>
      </c>
      <c r="AE196" s="313">
        <f>SUMIFS([1]!Data_CF[Value],[1]!Data_CF[Index CF],DTR!$B196,[1]!Data_CF[TenCongTyID],DTR!$B$1,[1]!Data_CF[Thang.Nam],DTR!AE$155)</f>
        <v>0</v>
      </c>
      <c r="AF196" s="313">
        <f>SUMIFS([1]!Data_CF[Value],[1]!Data_CF[Index CF],DTR!$B196,[1]!Data_CF[TenCongTyID],DTR!$B$1,[1]!Data_CF[Thang.Nam],DTR!AF$155)</f>
        <v>0</v>
      </c>
      <c r="AG196" s="313">
        <f>SUMIFS([1]!Data_CF[Value],[1]!Data_CF[Index CF],DTR!$B196,[1]!Data_CF[TenCongTyID],DTR!$B$1,[1]!Data_CF[Thang.Nam],DTR!AG$155)</f>
        <v>0</v>
      </c>
      <c r="AH196" s="313">
        <f>SUMIFS([1]!Data_CF[Value],[1]!Data_CF[Index CF],DTR!$B196,[1]!Data_CF[TenCongTyID],DTR!$B$1,[1]!Data_CF[Thang.Nam],DTR!AH$155)</f>
        <v>0</v>
      </c>
      <c r="AI196" s="313">
        <f>SUMIFS([1]!Data_CF[Value],[1]!Data_CF[Index CF],DTR!$B196,[1]!Data_CF[TenCongTyID],DTR!$B$1,[1]!Data_CF[Thang.Nam],DTR!AI$155)</f>
        <v>0</v>
      </c>
      <c r="AJ196" s="313">
        <f>SUMIFS([1]!Data_CF[Value],[1]!Data_CF[Index CF],DTR!$B196,[1]!Data_CF[TenCongTyID],DTR!$B$1,[1]!Data_CF[Thang.Nam],DTR!AJ$155)</f>
        <v>0</v>
      </c>
      <c r="AK196" s="313">
        <f>SUMIFS([1]!Data_CF[Value],[1]!Data_CF[Index CF],DTR!$B196,[1]!Data_CF[TenCongTyID],DTR!$B$1,[1]!Data_CF[Thang.Nam],DTR!AK$155)</f>
        <v>0</v>
      </c>
      <c r="AL196" s="313">
        <f>SUMIFS([1]!Data_CF[Value],[1]!Data_CF[Index CF],DTR!$B196,[1]!Data_CF[TenCongTyID],DTR!$B$1,[1]!Data_CF[Thang.Nam],DTR!AL$155)</f>
        <v>0</v>
      </c>
    </row>
    <row r="197" spans="1:38" ht="15" hidden="1" customHeight="1" outlineLevel="1">
      <c r="C197" s="175">
        <f t="shared" ref="C197:Y197" si="19">C7-C196</f>
        <v>0</v>
      </c>
      <c r="D197" s="175">
        <f t="shared" si="19"/>
        <v>0</v>
      </c>
      <c r="E197" s="175">
        <f t="shared" si="19"/>
        <v>0</v>
      </c>
      <c r="F197" s="175">
        <f t="shared" si="19"/>
        <v>0</v>
      </c>
      <c r="G197" s="175">
        <f t="shared" si="19"/>
        <v>0</v>
      </c>
      <c r="H197" s="175">
        <f t="shared" si="19"/>
        <v>0</v>
      </c>
      <c r="I197" s="175">
        <f t="shared" si="19"/>
        <v>0</v>
      </c>
      <c r="J197" s="175">
        <f t="shared" si="19"/>
        <v>0</v>
      </c>
      <c r="K197" s="175">
        <f t="shared" si="19"/>
        <v>0</v>
      </c>
      <c r="L197" s="175">
        <f t="shared" si="19"/>
        <v>0</v>
      </c>
      <c r="M197" s="175">
        <f t="shared" si="19"/>
        <v>0</v>
      </c>
      <c r="N197" s="175">
        <f t="shared" si="19"/>
        <v>0</v>
      </c>
      <c r="O197" s="175">
        <f t="shared" si="19"/>
        <v>0</v>
      </c>
      <c r="P197" s="175">
        <f t="shared" si="19"/>
        <v>0</v>
      </c>
      <c r="Q197" s="175">
        <f t="shared" si="19"/>
        <v>0</v>
      </c>
      <c r="R197" s="175">
        <f t="shared" si="19"/>
        <v>0</v>
      </c>
      <c r="S197" s="175">
        <f t="shared" si="19"/>
        <v>0</v>
      </c>
      <c r="T197" s="175">
        <f t="shared" si="19"/>
        <v>0</v>
      </c>
      <c r="U197" s="175">
        <f t="shared" si="19"/>
        <v>0</v>
      </c>
      <c r="V197" s="175">
        <f t="shared" si="19"/>
        <v>0</v>
      </c>
      <c r="W197" s="175">
        <f t="shared" si="19"/>
        <v>0</v>
      </c>
      <c r="X197" s="175">
        <f t="shared" si="19"/>
        <v>0</v>
      </c>
      <c r="Y197" s="175">
        <f t="shared" si="19"/>
        <v>0</v>
      </c>
      <c r="Z197" s="175">
        <v>0</v>
      </c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</row>
    <row r="198" spans="1:38" ht="15" hidden="1" customHeight="1" outlineLevel="1">
      <c r="A198" s="176" t="s">
        <v>283</v>
      </c>
      <c r="B198" s="177" t="s">
        <v>284</v>
      </c>
      <c r="C198" s="53" t="s">
        <v>66</v>
      </c>
      <c r="D198" s="53" t="s">
        <v>67</v>
      </c>
      <c r="E198" s="53" t="s">
        <v>68</v>
      </c>
      <c r="F198" s="53" t="s">
        <v>69</v>
      </c>
      <c r="G198" s="53" t="s">
        <v>70</v>
      </c>
      <c r="H198" s="53" t="s">
        <v>71</v>
      </c>
      <c r="I198" s="53" t="s">
        <v>72</v>
      </c>
      <c r="J198" s="53" t="s">
        <v>73</v>
      </c>
      <c r="K198" s="53" t="s">
        <v>74</v>
      </c>
      <c r="L198" s="53" t="s">
        <v>75</v>
      </c>
      <c r="M198" s="53" t="s">
        <v>76</v>
      </c>
      <c r="N198" s="53" t="s">
        <v>77</v>
      </c>
      <c r="O198" s="53" t="s">
        <v>78</v>
      </c>
      <c r="P198" s="53" t="s">
        <v>79</v>
      </c>
      <c r="Q198" s="53" t="s">
        <v>80</v>
      </c>
      <c r="R198" s="53" t="s">
        <v>81</v>
      </c>
      <c r="S198" s="53" t="s">
        <v>82</v>
      </c>
      <c r="T198" s="53" t="s">
        <v>83</v>
      </c>
      <c r="U198" s="53" t="s">
        <v>84</v>
      </c>
      <c r="V198" s="53" t="s">
        <v>85</v>
      </c>
      <c r="W198" s="53" t="s">
        <v>86</v>
      </c>
      <c r="X198" s="53" t="s">
        <v>87</v>
      </c>
      <c r="Y198" s="53" t="s">
        <v>88</v>
      </c>
      <c r="Z198" s="53" t="s">
        <v>89</v>
      </c>
      <c r="AA198" s="53" t="s">
        <v>8</v>
      </c>
      <c r="AB198" s="53" t="s">
        <v>9</v>
      </c>
      <c r="AC198" s="53" t="s">
        <v>10</v>
      </c>
      <c r="AD198" s="53" t="s">
        <v>11</v>
      </c>
      <c r="AE198" s="53" t="s">
        <v>12</v>
      </c>
      <c r="AF198" s="53" t="s">
        <v>13</v>
      </c>
      <c r="AG198" s="53" t="s">
        <v>14</v>
      </c>
      <c r="AH198" s="53" t="s">
        <v>15</v>
      </c>
      <c r="AI198" s="53" t="s">
        <v>16</v>
      </c>
      <c r="AJ198" s="53" t="s">
        <v>17</v>
      </c>
      <c r="AK198" s="53" t="s">
        <v>18</v>
      </c>
      <c r="AL198" s="53" t="s">
        <v>19</v>
      </c>
    </row>
    <row r="199" spans="1:38" ht="15" hidden="1" customHeight="1" outlineLevel="1">
      <c r="A199" s="178" t="s">
        <v>285</v>
      </c>
      <c r="B199" s="179">
        <v>1</v>
      </c>
      <c r="C199" s="180">
        <v>431</v>
      </c>
      <c r="D199" s="180">
        <v>420</v>
      </c>
      <c r="E199" s="180">
        <v>461</v>
      </c>
      <c r="F199" s="180">
        <v>483</v>
      </c>
      <c r="G199" s="180">
        <v>507</v>
      </c>
      <c r="H199" s="180">
        <v>515</v>
      </c>
      <c r="I199" s="180">
        <v>520</v>
      </c>
      <c r="J199" s="180">
        <v>518</v>
      </c>
      <c r="K199" s="180">
        <v>551</v>
      </c>
      <c r="L199" s="180">
        <v>562</v>
      </c>
      <c r="M199" s="180">
        <v>575</v>
      </c>
      <c r="N199" s="180">
        <v>582</v>
      </c>
      <c r="O199" s="180">
        <v>569</v>
      </c>
      <c r="P199" s="180">
        <v>582</v>
      </c>
      <c r="Q199" s="180">
        <v>602</v>
      </c>
      <c r="R199" s="180">
        <v>614</v>
      </c>
      <c r="S199" s="180">
        <v>609</v>
      </c>
      <c r="T199" s="180">
        <v>621</v>
      </c>
      <c r="U199" s="180">
        <v>633</v>
      </c>
      <c r="V199" s="180">
        <v>663</v>
      </c>
      <c r="W199" s="180">
        <v>682</v>
      </c>
      <c r="X199" s="180">
        <v>660</v>
      </c>
      <c r="Y199" s="180">
        <v>644</v>
      </c>
      <c r="Z199" s="180">
        <v>629</v>
      </c>
      <c r="AA199" s="180">
        <f>SUMIFS([1]!Data_PL_Element[Value],[1]!Data_PL_Element[Index PL Element],DTR!$B199,[1]!Data_PL_Element[TenCongTyID],DTR!$B$1,[1]!Data_PL_Element[Thang.Nam],DTR!AA$198)</f>
        <v>0</v>
      </c>
      <c r="AB199" s="180">
        <f>SUMIFS([1]!Data_PL_Element[Value],[1]!Data_PL_Element[Index PL Element],DTR!$B199,[1]!Data_PL_Element[TenCongTyID],DTR!$B$1,[1]!Data_PL_Element[Thang.Nam],DTR!AB$198)</f>
        <v>0</v>
      </c>
      <c r="AC199" s="180">
        <f>SUMIFS([1]!Data_PL_Element[Value],[1]!Data_PL_Element[Index PL Element],DTR!$B199,[1]!Data_PL_Element[TenCongTyID],DTR!$B$1,[1]!Data_PL_Element[Thang.Nam],DTR!AC$198)</f>
        <v>0</v>
      </c>
      <c r="AD199" s="180">
        <f>SUMIFS([1]!Data_PL_Element[Value],[1]!Data_PL_Element[Index PL Element],DTR!$B199,[1]!Data_PL_Element[TenCongTyID],DTR!$B$1,[1]!Data_PL_Element[Thang.Nam],DTR!AD$198)</f>
        <v>0</v>
      </c>
      <c r="AE199" s="180">
        <f>SUMIFS([1]!Data_PL_Element[Value],[1]!Data_PL_Element[Index PL Element],DTR!$B199,[1]!Data_PL_Element[TenCongTyID],DTR!$B$1,[1]!Data_PL_Element[Thang.Nam],DTR!AE$198)</f>
        <v>0</v>
      </c>
      <c r="AF199" s="180">
        <f>SUMIFS([1]!Data_PL_Element[Value],[1]!Data_PL_Element[Index PL Element],DTR!$B199,[1]!Data_PL_Element[TenCongTyID],DTR!$B$1,[1]!Data_PL_Element[Thang.Nam],DTR!AF$198)</f>
        <v>0</v>
      </c>
      <c r="AG199" s="180">
        <f>SUMIFS([1]!Data_PL_Element[Value],[1]!Data_PL_Element[Index PL Element],DTR!$B199,[1]!Data_PL_Element[TenCongTyID],DTR!$B$1,[1]!Data_PL_Element[Thang.Nam],DTR!AG$198)</f>
        <v>0</v>
      </c>
      <c r="AH199" s="180">
        <f>SUMIFS([1]!Data_PL_Element[Value],[1]!Data_PL_Element[Index PL Element],DTR!$B199,[1]!Data_PL_Element[TenCongTyID],DTR!$B$1,[1]!Data_PL_Element[Thang.Nam],DTR!AH$198)</f>
        <v>0</v>
      </c>
      <c r="AI199" s="180">
        <f>SUMIFS([1]!Data_PL_Element[Value],[1]!Data_PL_Element[Index PL Element],DTR!$B199,[1]!Data_PL_Element[TenCongTyID],DTR!$B$1,[1]!Data_PL_Element[Thang.Nam],DTR!AI$198)</f>
        <v>0</v>
      </c>
      <c r="AJ199" s="180">
        <f>SUMIFS([1]!Data_PL_Element[Value],[1]!Data_PL_Element[Index PL Element],DTR!$B199,[1]!Data_PL_Element[TenCongTyID],DTR!$B$1,[1]!Data_PL_Element[Thang.Nam],DTR!AJ$198)</f>
        <v>0</v>
      </c>
      <c r="AK199" s="180">
        <f>SUMIFS([1]!Data_PL_Element[Value],[1]!Data_PL_Element[Index PL Element],DTR!$B199,[1]!Data_PL_Element[TenCongTyID],DTR!$B$1,[1]!Data_PL_Element[Thang.Nam],DTR!AK$198)</f>
        <v>0</v>
      </c>
      <c r="AL199" s="180">
        <f>SUMIFS([1]!Data_PL_Element[Value],[1]!Data_PL_Element[Index PL Element],DTR!$B199,[1]!Data_PL_Element[TenCongTyID],DTR!$B$1,[1]!Data_PL_Element[Thang.Nam],DTR!AL$198)</f>
        <v>0</v>
      </c>
    </row>
    <row r="200" spans="1:38" ht="15" hidden="1" customHeight="1" outlineLevel="1">
      <c r="A200" s="178" t="s">
        <v>286</v>
      </c>
      <c r="B200" s="179">
        <v>2</v>
      </c>
      <c r="C200" s="180">
        <v>248.32407407407408</v>
      </c>
      <c r="D200" s="180">
        <v>228.94230769230768</v>
      </c>
      <c r="E200" s="180">
        <v>262.77</v>
      </c>
      <c r="F200" s="180">
        <v>275.26851851851853</v>
      </c>
      <c r="G200" s="180">
        <v>280.88461538461536</v>
      </c>
      <c r="H200" s="180">
        <v>291.61538461538464</v>
      </c>
      <c r="I200" s="180">
        <v>294.125</v>
      </c>
      <c r="J200" s="180">
        <v>289.92307692307691</v>
      </c>
      <c r="K200" s="180">
        <v>315</v>
      </c>
      <c r="L200" s="180">
        <v>329.61057692307691</v>
      </c>
      <c r="M200" s="180">
        <v>361.78846153846155</v>
      </c>
      <c r="N200" s="180">
        <v>360.65384615384613</v>
      </c>
      <c r="O200" s="180">
        <v>333.7037037037037</v>
      </c>
      <c r="P200" s="180">
        <v>337.96153846153845</v>
      </c>
      <c r="Q200" s="180">
        <v>344.22916666666669</v>
      </c>
      <c r="R200" s="180">
        <v>347.57407407407408</v>
      </c>
      <c r="S200" s="180">
        <v>336.74</v>
      </c>
      <c r="T200" s="180">
        <v>351.75480769230768</v>
      </c>
      <c r="U200" s="180">
        <v>406.15384615384613</v>
      </c>
      <c r="V200" s="180">
        <v>409.73076923076923</v>
      </c>
      <c r="W200" s="180">
        <v>418.2037037037037</v>
      </c>
      <c r="X200" s="180">
        <v>384.40865384615387</v>
      </c>
      <c r="Y200" s="180">
        <v>357.38461538461536</v>
      </c>
      <c r="Z200" s="180">
        <v>340.42788461538464</v>
      </c>
      <c r="AA200" s="180">
        <f>SUMIFS([1]!Data_PL_Element[Value],[1]!Data_PL_Element[Index PL Element],DTR!$B200,[1]!Data_PL_Element[TenCongTyID],DTR!$B$1,[1]!Data_PL_Element[Thang.Nam],DTR!AA$198)</f>
        <v>0</v>
      </c>
      <c r="AB200" s="180">
        <f>SUMIFS([1]!Data_PL_Element[Value],[1]!Data_PL_Element[Index PL Element],DTR!$B200,[1]!Data_PL_Element[TenCongTyID],DTR!$B$1,[1]!Data_PL_Element[Thang.Nam],DTR!AB$198)</f>
        <v>0</v>
      </c>
      <c r="AC200" s="180">
        <f>SUMIFS([1]!Data_PL_Element[Value],[1]!Data_PL_Element[Index PL Element],DTR!$B200,[1]!Data_PL_Element[TenCongTyID],DTR!$B$1,[1]!Data_PL_Element[Thang.Nam],DTR!AC$198)</f>
        <v>0</v>
      </c>
      <c r="AD200" s="180">
        <f>SUMIFS([1]!Data_PL_Element[Value],[1]!Data_PL_Element[Index PL Element],DTR!$B200,[1]!Data_PL_Element[TenCongTyID],DTR!$B$1,[1]!Data_PL_Element[Thang.Nam],DTR!AD$198)</f>
        <v>0</v>
      </c>
      <c r="AE200" s="180">
        <f>SUMIFS([1]!Data_PL_Element[Value],[1]!Data_PL_Element[Index PL Element],DTR!$B200,[1]!Data_PL_Element[TenCongTyID],DTR!$B$1,[1]!Data_PL_Element[Thang.Nam],DTR!AE$198)</f>
        <v>0</v>
      </c>
      <c r="AF200" s="180">
        <f>SUMIFS([1]!Data_PL_Element[Value],[1]!Data_PL_Element[Index PL Element],DTR!$B200,[1]!Data_PL_Element[TenCongTyID],DTR!$B$1,[1]!Data_PL_Element[Thang.Nam],DTR!AF$198)</f>
        <v>0</v>
      </c>
      <c r="AG200" s="180">
        <f>SUMIFS([1]!Data_PL_Element[Value],[1]!Data_PL_Element[Index PL Element],DTR!$B200,[1]!Data_PL_Element[TenCongTyID],DTR!$B$1,[1]!Data_PL_Element[Thang.Nam],DTR!AG$198)</f>
        <v>0</v>
      </c>
      <c r="AH200" s="180">
        <f>SUMIFS([1]!Data_PL_Element[Value],[1]!Data_PL_Element[Index PL Element],DTR!$B200,[1]!Data_PL_Element[TenCongTyID],DTR!$B$1,[1]!Data_PL_Element[Thang.Nam],DTR!AH$198)</f>
        <v>0</v>
      </c>
      <c r="AI200" s="180">
        <f>SUMIFS([1]!Data_PL_Element[Value],[1]!Data_PL_Element[Index PL Element],DTR!$B200,[1]!Data_PL_Element[TenCongTyID],DTR!$B$1,[1]!Data_PL_Element[Thang.Nam],DTR!AI$198)</f>
        <v>0</v>
      </c>
      <c r="AJ200" s="180">
        <f>SUMIFS([1]!Data_PL_Element[Value],[1]!Data_PL_Element[Index PL Element],DTR!$B200,[1]!Data_PL_Element[TenCongTyID],DTR!$B$1,[1]!Data_PL_Element[Thang.Nam],DTR!AJ$198)</f>
        <v>0</v>
      </c>
      <c r="AK200" s="180">
        <f>SUMIFS([1]!Data_PL_Element[Value],[1]!Data_PL_Element[Index PL Element],DTR!$B200,[1]!Data_PL_Element[TenCongTyID],DTR!$B$1,[1]!Data_PL_Element[Thang.Nam],DTR!AK$198)</f>
        <v>0</v>
      </c>
      <c r="AL200" s="180">
        <f>SUMIFS([1]!Data_PL_Element[Value],[1]!Data_PL_Element[Index PL Element],DTR!$B200,[1]!Data_PL_Element[TenCongTyID],DTR!$B$1,[1]!Data_PL_Element[Thang.Nam],DTR!AL$198)</f>
        <v>0</v>
      </c>
    </row>
    <row r="201" spans="1:38" ht="15" hidden="1" customHeight="1" outlineLevel="1">
      <c r="A201" s="178" t="s">
        <v>287</v>
      </c>
      <c r="B201" s="179">
        <v>3</v>
      </c>
      <c r="C201" s="180">
        <v>8313.125</v>
      </c>
      <c r="D201" s="180">
        <v>5751.2562500000004</v>
      </c>
      <c r="E201" s="180">
        <v>8410.5487499999999</v>
      </c>
      <c r="F201" s="180">
        <v>9674.7637500000001</v>
      </c>
      <c r="G201" s="180">
        <v>9070.9487499999996</v>
      </c>
      <c r="H201" s="180">
        <v>9978.34</v>
      </c>
      <c r="I201" s="180">
        <v>9880.3887500000001</v>
      </c>
      <c r="J201" s="180">
        <v>8027.2775000000001</v>
      </c>
      <c r="K201" s="180">
        <v>7669.3125</v>
      </c>
      <c r="L201" s="180">
        <v>9098.2224999999999</v>
      </c>
      <c r="M201" s="180">
        <v>10053.99</v>
      </c>
      <c r="N201" s="180">
        <v>9981.5949999999993</v>
      </c>
      <c r="O201" s="180">
        <v>8888.6762500000004</v>
      </c>
      <c r="P201" s="180">
        <v>7373.15</v>
      </c>
      <c r="Q201" s="180">
        <v>8885.2450000000008</v>
      </c>
      <c r="R201" s="180">
        <v>9712.6712499999994</v>
      </c>
      <c r="S201" s="180">
        <v>9376.4337500000001</v>
      </c>
      <c r="T201" s="180">
        <v>10781.004999999999</v>
      </c>
      <c r="U201" s="180">
        <v>11002.8375</v>
      </c>
      <c r="V201" s="180">
        <v>10746.68</v>
      </c>
      <c r="W201" s="180">
        <v>11568.86</v>
      </c>
      <c r="X201" s="180">
        <v>10863.221250000001</v>
      </c>
      <c r="Y201" s="180">
        <v>9705.3449999999993</v>
      </c>
      <c r="Z201" s="180">
        <v>9400.6362499999996</v>
      </c>
      <c r="AA201" s="180">
        <f>SUMIFS([1]!Data_PL_Element[Value],[1]!Data_PL_Element[Index PL Element],DTR!$B201,[1]!Data_PL_Element[TenCongTyID],DTR!$B$1,[1]!Data_PL_Element[Thang.Nam],DTR!AA$198)</f>
        <v>0</v>
      </c>
      <c r="AB201" s="180">
        <f>SUMIFS([1]!Data_PL_Element[Value],[1]!Data_PL_Element[Index PL Element],DTR!$B201,[1]!Data_PL_Element[TenCongTyID],DTR!$B$1,[1]!Data_PL_Element[Thang.Nam],DTR!AB$198)</f>
        <v>0</v>
      </c>
      <c r="AC201" s="180">
        <f>SUMIFS([1]!Data_PL_Element[Value],[1]!Data_PL_Element[Index PL Element],DTR!$B201,[1]!Data_PL_Element[TenCongTyID],DTR!$B$1,[1]!Data_PL_Element[Thang.Nam],DTR!AC$198)</f>
        <v>0</v>
      </c>
      <c r="AD201" s="180">
        <f>SUMIFS([1]!Data_PL_Element[Value],[1]!Data_PL_Element[Index PL Element],DTR!$B201,[1]!Data_PL_Element[TenCongTyID],DTR!$B$1,[1]!Data_PL_Element[Thang.Nam],DTR!AD$198)</f>
        <v>0</v>
      </c>
      <c r="AE201" s="180">
        <f>SUMIFS([1]!Data_PL_Element[Value],[1]!Data_PL_Element[Index PL Element],DTR!$B201,[1]!Data_PL_Element[TenCongTyID],DTR!$B$1,[1]!Data_PL_Element[Thang.Nam],DTR!AE$198)</f>
        <v>0</v>
      </c>
      <c r="AF201" s="180">
        <f>SUMIFS([1]!Data_PL_Element[Value],[1]!Data_PL_Element[Index PL Element],DTR!$B201,[1]!Data_PL_Element[TenCongTyID],DTR!$B$1,[1]!Data_PL_Element[Thang.Nam],DTR!AF$198)</f>
        <v>0</v>
      </c>
      <c r="AG201" s="180">
        <f>SUMIFS([1]!Data_PL_Element[Value],[1]!Data_PL_Element[Index PL Element],DTR!$B201,[1]!Data_PL_Element[TenCongTyID],DTR!$B$1,[1]!Data_PL_Element[Thang.Nam],DTR!AG$198)</f>
        <v>0</v>
      </c>
      <c r="AH201" s="180">
        <f>SUMIFS([1]!Data_PL_Element[Value],[1]!Data_PL_Element[Index PL Element],DTR!$B201,[1]!Data_PL_Element[TenCongTyID],DTR!$B$1,[1]!Data_PL_Element[Thang.Nam],DTR!AH$198)</f>
        <v>0</v>
      </c>
      <c r="AI201" s="180">
        <f>SUMIFS([1]!Data_PL_Element[Value],[1]!Data_PL_Element[Index PL Element],DTR!$B201,[1]!Data_PL_Element[TenCongTyID],DTR!$B$1,[1]!Data_PL_Element[Thang.Nam],DTR!AI$198)</f>
        <v>0</v>
      </c>
      <c r="AJ201" s="180">
        <f>SUMIFS([1]!Data_PL_Element[Value],[1]!Data_PL_Element[Index PL Element],DTR!$B201,[1]!Data_PL_Element[TenCongTyID],DTR!$B$1,[1]!Data_PL_Element[Thang.Nam],DTR!AJ$198)</f>
        <v>0</v>
      </c>
      <c r="AK201" s="180">
        <f>SUMIFS([1]!Data_PL_Element[Value],[1]!Data_PL_Element[Index PL Element],DTR!$B201,[1]!Data_PL_Element[TenCongTyID],DTR!$B$1,[1]!Data_PL_Element[Thang.Nam],DTR!AK$198)</f>
        <v>0</v>
      </c>
      <c r="AL201" s="180">
        <f>SUMIFS([1]!Data_PL_Element[Value],[1]!Data_PL_Element[Index PL Element],DTR!$B201,[1]!Data_PL_Element[TenCongTyID],DTR!$B$1,[1]!Data_PL_Element[Thang.Nam],DTR!AL$198)</f>
        <v>0</v>
      </c>
    </row>
    <row r="202" spans="1:38" ht="15" hidden="1" customHeight="1" outlineLevel="1">
      <c r="A202" s="178" t="s">
        <v>288</v>
      </c>
      <c r="B202" s="179">
        <v>4</v>
      </c>
      <c r="C202" s="180">
        <v>4748.3130000000001</v>
      </c>
      <c r="D202" s="180">
        <v>2926.502</v>
      </c>
      <c r="E202" s="180">
        <v>4896.4380000000001</v>
      </c>
      <c r="F202" s="180">
        <v>4526.3689999999997</v>
      </c>
      <c r="G202" s="180">
        <v>4417.875</v>
      </c>
      <c r="H202" s="180">
        <v>3495.0745000000002</v>
      </c>
      <c r="I202" s="180">
        <v>1866.424</v>
      </c>
      <c r="J202" s="180">
        <v>2192.5825</v>
      </c>
      <c r="K202" s="180">
        <v>2799.3997000000004</v>
      </c>
      <c r="L202" s="180">
        <v>4293.2714999999998</v>
      </c>
      <c r="M202" s="180">
        <v>4775.3969999999999</v>
      </c>
      <c r="N202" s="180">
        <v>3318.6421</v>
      </c>
      <c r="O202" s="180">
        <v>1839.731</v>
      </c>
      <c r="P202" s="180">
        <v>2957.2660000000001</v>
      </c>
      <c r="Q202" s="180">
        <v>4821.92</v>
      </c>
      <c r="R202" s="180">
        <v>4088.2489999999998</v>
      </c>
      <c r="S202" s="180">
        <v>4828.9709999999995</v>
      </c>
      <c r="T202" s="180">
        <v>4232.4530000000004</v>
      </c>
      <c r="U202" s="180">
        <v>4561.6409999999996</v>
      </c>
      <c r="V202" s="180">
        <v>4570.5645000000004</v>
      </c>
      <c r="W202" s="180">
        <v>4555.5079999999998</v>
      </c>
      <c r="X202" s="180">
        <v>3173.9180000000001</v>
      </c>
      <c r="Y202" s="180">
        <v>2323.2629999999999</v>
      </c>
      <c r="Z202" s="180">
        <v>3552.8618000000001</v>
      </c>
      <c r="AA202" s="180">
        <f>SUMIFS([1]!Data_PL_Element[Value],[1]!Data_PL_Element[Index PL Element],DTR!$B202,[1]!Data_PL_Element[TenCongTyID],DTR!$B$1,[1]!Data_PL_Element[Thang.Nam],DTR!AA$198)</f>
        <v>0</v>
      </c>
      <c r="AB202" s="180">
        <f>SUMIFS([1]!Data_PL_Element[Value],[1]!Data_PL_Element[Index PL Element],DTR!$B202,[1]!Data_PL_Element[TenCongTyID],DTR!$B$1,[1]!Data_PL_Element[Thang.Nam],DTR!AB$198)</f>
        <v>0</v>
      </c>
      <c r="AC202" s="180">
        <f>SUMIFS([1]!Data_PL_Element[Value],[1]!Data_PL_Element[Index PL Element],DTR!$B202,[1]!Data_PL_Element[TenCongTyID],DTR!$B$1,[1]!Data_PL_Element[Thang.Nam],DTR!AC$198)</f>
        <v>0</v>
      </c>
      <c r="AD202" s="180">
        <f>SUMIFS([1]!Data_PL_Element[Value],[1]!Data_PL_Element[Index PL Element],DTR!$B202,[1]!Data_PL_Element[TenCongTyID],DTR!$B$1,[1]!Data_PL_Element[Thang.Nam],DTR!AD$198)</f>
        <v>0</v>
      </c>
      <c r="AE202" s="180">
        <f>SUMIFS([1]!Data_PL_Element[Value],[1]!Data_PL_Element[Index PL Element],DTR!$B202,[1]!Data_PL_Element[TenCongTyID],DTR!$B$1,[1]!Data_PL_Element[Thang.Nam],DTR!AE$198)</f>
        <v>0</v>
      </c>
      <c r="AF202" s="180">
        <f>SUMIFS([1]!Data_PL_Element[Value],[1]!Data_PL_Element[Index PL Element],DTR!$B202,[1]!Data_PL_Element[TenCongTyID],DTR!$B$1,[1]!Data_PL_Element[Thang.Nam],DTR!AF$198)</f>
        <v>0</v>
      </c>
      <c r="AG202" s="180">
        <f>SUMIFS([1]!Data_PL_Element[Value],[1]!Data_PL_Element[Index PL Element],DTR!$B202,[1]!Data_PL_Element[TenCongTyID],DTR!$B$1,[1]!Data_PL_Element[Thang.Nam],DTR!AG$198)</f>
        <v>0</v>
      </c>
      <c r="AH202" s="180">
        <f>SUMIFS([1]!Data_PL_Element[Value],[1]!Data_PL_Element[Index PL Element],DTR!$B202,[1]!Data_PL_Element[TenCongTyID],DTR!$B$1,[1]!Data_PL_Element[Thang.Nam],DTR!AH$198)</f>
        <v>0</v>
      </c>
      <c r="AI202" s="180">
        <f>SUMIFS([1]!Data_PL_Element[Value],[1]!Data_PL_Element[Index PL Element],DTR!$B202,[1]!Data_PL_Element[TenCongTyID],DTR!$B$1,[1]!Data_PL_Element[Thang.Nam],DTR!AI$198)</f>
        <v>0</v>
      </c>
      <c r="AJ202" s="180">
        <f>SUMIFS([1]!Data_PL_Element[Value],[1]!Data_PL_Element[Index PL Element],DTR!$B202,[1]!Data_PL_Element[TenCongTyID],DTR!$B$1,[1]!Data_PL_Element[Thang.Nam],DTR!AJ$198)</f>
        <v>0</v>
      </c>
      <c r="AK202" s="180">
        <f>SUMIFS([1]!Data_PL_Element[Value],[1]!Data_PL_Element[Index PL Element],DTR!$B202,[1]!Data_PL_Element[TenCongTyID],DTR!$B$1,[1]!Data_PL_Element[Thang.Nam],DTR!AK$198)</f>
        <v>0</v>
      </c>
      <c r="AL202" s="180">
        <f>SUMIFS([1]!Data_PL_Element[Value],[1]!Data_PL_Element[Index PL Element],DTR!$B202,[1]!Data_PL_Element[TenCongTyID],DTR!$B$1,[1]!Data_PL_Element[Thang.Nam],DTR!AL$198)</f>
        <v>0</v>
      </c>
    </row>
    <row r="203" spans="1:38" ht="15" hidden="1" customHeight="1" outlineLevel="1">
      <c r="A203" s="178" t="s">
        <v>289</v>
      </c>
      <c r="B203" s="179">
        <v>5</v>
      </c>
      <c r="C203" s="180">
        <v>3143.3249999999998</v>
      </c>
      <c r="D203" s="180">
        <v>2064.375</v>
      </c>
      <c r="E203" s="180">
        <v>2908.4</v>
      </c>
      <c r="F203" s="180">
        <v>3200.75</v>
      </c>
      <c r="G203" s="180">
        <v>3201.51</v>
      </c>
      <c r="H203" s="180">
        <v>1881.75</v>
      </c>
      <c r="I203" s="180">
        <v>1784.2249999999999</v>
      </c>
      <c r="J203" s="180">
        <v>4611.4182000000001</v>
      </c>
      <c r="K203" s="180">
        <v>4683.6000000000004</v>
      </c>
      <c r="L203" s="180">
        <v>3573.5250000000001</v>
      </c>
      <c r="M203" s="180">
        <v>1971.925</v>
      </c>
      <c r="N203" s="180">
        <v>2839.35</v>
      </c>
      <c r="O203" s="180">
        <v>3575.9992999999999</v>
      </c>
      <c r="P203" s="180">
        <v>5476.6750000000002</v>
      </c>
      <c r="Q203" s="180">
        <v>4580.05</v>
      </c>
      <c r="R203" s="180">
        <v>3850.9250000000002</v>
      </c>
      <c r="S203" s="180">
        <v>4586.0243</v>
      </c>
      <c r="T203" s="180">
        <v>3673.2080000000001</v>
      </c>
      <c r="U203" s="180">
        <v>4560.4240999999993</v>
      </c>
      <c r="V203" s="180">
        <v>5189.3680000000004</v>
      </c>
      <c r="W203" s="180">
        <v>2657.0430000000001</v>
      </c>
      <c r="X203" s="180">
        <v>3219.1950000000002</v>
      </c>
      <c r="Y203" s="180">
        <v>2510.415</v>
      </c>
      <c r="Z203" s="180">
        <v>2781.1109999999999</v>
      </c>
      <c r="AA203" s="180">
        <f t="shared" ref="AA203:AL205" si="20">AA134</f>
        <v>4318.222932676138</v>
      </c>
      <c r="AB203" s="180">
        <f t="shared" si="20"/>
        <v>4253.3145678240326</v>
      </c>
      <c r="AC203" s="180">
        <f t="shared" si="20"/>
        <v>4678.557403475741</v>
      </c>
      <c r="AD203" s="180">
        <f t="shared" si="20"/>
        <v>4394.231518676721</v>
      </c>
      <c r="AE203" s="180">
        <f t="shared" si="20"/>
        <v>4663.4364391825347</v>
      </c>
      <c r="AF203" s="180">
        <f t="shared" si="20"/>
        <v>4691.9521822275938</v>
      </c>
      <c r="AG203" s="180">
        <f t="shared" si="20"/>
        <v>4689.422516973269</v>
      </c>
      <c r="AH203" s="180">
        <f t="shared" si="20"/>
        <v>4562.8494989087394</v>
      </c>
      <c r="AI203" s="180">
        <f t="shared" si="20"/>
        <v>4774.6231018888848</v>
      </c>
      <c r="AJ203" s="180">
        <f t="shared" si="20"/>
        <v>4468.6262974285746</v>
      </c>
      <c r="AK203" s="180">
        <f t="shared" si="20"/>
        <v>4720.2431243544625</v>
      </c>
      <c r="AL203" s="180">
        <f t="shared" si="20"/>
        <v>4784.5204185700313</v>
      </c>
    </row>
    <row r="204" spans="1:38" ht="15" hidden="1" customHeight="1" outlineLevel="1">
      <c r="A204" s="181" t="s">
        <v>290</v>
      </c>
      <c r="B204" s="182">
        <v>6</v>
      </c>
      <c r="C204" s="183">
        <f t="shared" ref="C204:X205" si="21">C135</f>
        <v>95961616736</v>
      </c>
      <c r="D204" s="183">
        <f t="shared" si="21"/>
        <v>70105871996</v>
      </c>
      <c r="E204" s="183">
        <f t="shared" si="21"/>
        <v>92109508133</v>
      </c>
      <c r="F204" s="183">
        <f t="shared" si="21"/>
        <v>97489092894</v>
      </c>
      <c r="G204" s="183">
        <f t="shared" si="21"/>
        <v>102501453344</v>
      </c>
      <c r="H204" s="183">
        <f t="shared" si="21"/>
        <v>68093170109</v>
      </c>
      <c r="I204" s="183">
        <f t="shared" si="21"/>
        <v>56451269692</v>
      </c>
      <c r="J204" s="183">
        <f t="shared" si="21"/>
        <v>160372945473</v>
      </c>
      <c r="K204" s="183">
        <f t="shared" si="21"/>
        <v>161501484254</v>
      </c>
      <c r="L204" s="183">
        <f t="shared" si="21"/>
        <v>119734804022</v>
      </c>
      <c r="M204" s="183">
        <f t="shared" si="21"/>
        <v>76175498864</v>
      </c>
      <c r="N204" s="183">
        <f t="shared" si="21"/>
        <v>110890509220</v>
      </c>
      <c r="O204" s="183">
        <f t="shared" si="21"/>
        <v>114976445897</v>
      </c>
      <c r="P204" s="183">
        <f t="shared" si="21"/>
        <v>188477338235</v>
      </c>
      <c r="Q204" s="183">
        <f t="shared" si="21"/>
        <v>150730683132</v>
      </c>
      <c r="R204" s="183">
        <f t="shared" si="21"/>
        <v>125734240353</v>
      </c>
      <c r="S204" s="183">
        <f t="shared" si="21"/>
        <v>153674258114</v>
      </c>
      <c r="T204" s="183">
        <f t="shared" si="21"/>
        <v>119843310993</v>
      </c>
      <c r="U204" s="183">
        <f t="shared" si="21"/>
        <v>138018360641</v>
      </c>
      <c r="V204" s="183">
        <f t="shared" si="21"/>
        <v>169442946928</v>
      </c>
      <c r="W204" s="183">
        <f t="shared" si="21"/>
        <v>91484253567</v>
      </c>
      <c r="X204" s="183">
        <f t="shared" si="21"/>
        <v>108928556660</v>
      </c>
      <c r="Y204" s="183">
        <f>Y135</f>
        <v>89826973802</v>
      </c>
      <c r="Z204" s="183">
        <v>100861213901</v>
      </c>
      <c r="AA204" s="183">
        <f t="shared" si="20"/>
        <v>129505341136.8568</v>
      </c>
      <c r="AB204" s="183">
        <f t="shared" si="20"/>
        <v>127974441177.86678</v>
      </c>
      <c r="AC204" s="183">
        <f t="shared" si="20"/>
        <v>141599491827.82724</v>
      </c>
      <c r="AD204" s="183">
        <f t="shared" si="20"/>
        <v>131782266518.60179</v>
      </c>
      <c r="AE204" s="183">
        <f t="shared" si="20"/>
        <v>140244307484.73703</v>
      </c>
      <c r="AF204" s="183">
        <f t="shared" si="20"/>
        <v>141409300219.24362</v>
      </c>
      <c r="AG204" s="183">
        <f t="shared" si="20"/>
        <v>145404057387.95999</v>
      </c>
      <c r="AH204" s="183">
        <f t="shared" si="20"/>
        <v>141276361518.14462</v>
      </c>
      <c r="AI204" s="183">
        <f t="shared" si="20"/>
        <v>148196499542.28259</v>
      </c>
      <c r="AJ204" s="183">
        <f t="shared" si="20"/>
        <v>137984481243.16364</v>
      </c>
      <c r="AK204" s="183">
        <f t="shared" si="20"/>
        <v>145929060338.82693</v>
      </c>
      <c r="AL204" s="183">
        <f t="shared" si="20"/>
        <v>147442013746.17145</v>
      </c>
    </row>
    <row r="205" spans="1:38" ht="15" hidden="1" customHeight="1" outlineLevel="1">
      <c r="A205" s="184" t="s">
        <v>291</v>
      </c>
      <c r="B205" s="185">
        <v>7</v>
      </c>
      <c r="C205" s="186">
        <f t="shared" si="21"/>
        <v>0</v>
      </c>
      <c r="D205" s="186">
        <f t="shared" si="21"/>
        <v>1166125000</v>
      </c>
      <c r="E205" s="186">
        <f t="shared" si="21"/>
        <v>0</v>
      </c>
      <c r="F205" s="186">
        <f t="shared" si="21"/>
        <v>0</v>
      </c>
      <c r="G205" s="186">
        <f t="shared" si="21"/>
        <v>136455000</v>
      </c>
      <c r="H205" s="186">
        <f t="shared" si="21"/>
        <v>0</v>
      </c>
      <c r="I205" s="186">
        <f t="shared" si="21"/>
        <v>0</v>
      </c>
      <c r="J205" s="186">
        <f t="shared" si="21"/>
        <v>6345077301</v>
      </c>
      <c r="K205" s="186">
        <f t="shared" si="21"/>
        <v>4671587529</v>
      </c>
      <c r="L205" s="186">
        <f t="shared" si="21"/>
        <v>2922205276</v>
      </c>
      <c r="M205" s="186">
        <f t="shared" si="21"/>
        <v>49359030</v>
      </c>
      <c r="N205" s="186">
        <f t="shared" si="21"/>
        <v>4680420540</v>
      </c>
      <c r="O205" s="186">
        <f t="shared" si="21"/>
        <v>513935495</v>
      </c>
      <c r="P205" s="186">
        <f t="shared" si="21"/>
        <v>477877176</v>
      </c>
      <c r="Q205" s="186">
        <f t="shared" si="21"/>
        <v>477350452</v>
      </c>
      <c r="R205" s="186">
        <f t="shared" si="21"/>
        <v>304590498</v>
      </c>
      <c r="S205" s="186">
        <f t="shared" si="21"/>
        <v>1607115262</v>
      </c>
      <c r="T205" s="186">
        <f t="shared" si="21"/>
        <v>708638196</v>
      </c>
      <c r="U205" s="186">
        <f t="shared" si="21"/>
        <v>26953743</v>
      </c>
      <c r="V205" s="186">
        <f t="shared" si="21"/>
        <v>1000293545</v>
      </c>
      <c r="W205" s="186">
        <f t="shared" si="21"/>
        <v>6773818500</v>
      </c>
      <c r="X205" s="186">
        <f t="shared" si="21"/>
        <v>0</v>
      </c>
      <c r="Y205" s="186">
        <f>Y136</f>
        <v>1479093000</v>
      </c>
      <c r="Z205" s="186">
        <v>-573868680</v>
      </c>
      <c r="AA205" s="186">
        <f t="shared" si="20"/>
        <v>0</v>
      </c>
      <c r="AB205" s="186">
        <f t="shared" si="20"/>
        <v>0</v>
      </c>
      <c r="AC205" s="186">
        <f t="shared" si="20"/>
        <v>0</v>
      </c>
      <c r="AD205" s="186">
        <f t="shared" si="20"/>
        <v>0</v>
      </c>
      <c r="AE205" s="186">
        <f t="shared" si="20"/>
        <v>0</v>
      </c>
      <c r="AF205" s="186">
        <f t="shared" si="20"/>
        <v>0</v>
      </c>
      <c r="AG205" s="186">
        <f t="shared" si="20"/>
        <v>0</v>
      </c>
      <c r="AH205" s="186">
        <f t="shared" si="20"/>
        <v>0</v>
      </c>
      <c r="AI205" s="186">
        <f t="shared" si="20"/>
        <v>0</v>
      </c>
      <c r="AJ205" s="186">
        <f t="shared" si="20"/>
        <v>0</v>
      </c>
      <c r="AK205" s="186">
        <f t="shared" si="20"/>
        <v>0</v>
      </c>
      <c r="AL205" s="186">
        <f t="shared" si="20"/>
        <v>0</v>
      </c>
    </row>
    <row r="206" spans="1:38" ht="15" hidden="1" customHeight="1" outlineLevel="1">
      <c r="A206" s="184" t="s">
        <v>292</v>
      </c>
      <c r="B206" s="185">
        <v>8</v>
      </c>
      <c r="C206" s="187">
        <f t="shared" ref="C206:AL206" si="22">IFERROR(C205/C204,"")</f>
        <v>0</v>
      </c>
      <c r="D206" s="187">
        <f t="shared" si="22"/>
        <v>1.6633770707060531E-2</v>
      </c>
      <c r="E206" s="187">
        <f t="shared" si="22"/>
        <v>0</v>
      </c>
      <c r="F206" s="187">
        <f t="shared" si="22"/>
        <v>0</v>
      </c>
      <c r="G206" s="187">
        <f t="shared" si="22"/>
        <v>1.3312494169429013E-3</v>
      </c>
      <c r="H206" s="187">
        <f t="shared" si="22"/>
        <v>0</v>
      </c>
      <c r="I206" s="187">
        <f t="shared" si="22"/>
        <v>0</v>
      </c>
      <c r="J206" s="187">
        <f t="shared" si="22"/>
        <v>3.9564511846346566E-2</v>
      </c>
      <c r="K206" s="187">
        <f t="shared" si="22"/>
        <v>2.8925972727611611E-2</v>
      </c>
      <c r="L206" s="187">
        <f t="shared" si="22"/>
        <v>2.4405646293646381E-2</v>
      </c>
      <c r="M206" s="187">
        <f t="shared" si="22"/>
        <v>6.4796464396148148E-4</v>
      </c>
      <c r="N206" s="187">
        <f t="shared" si="22"/>
        <v>4.2207584516672489E-2</v>
      </c>
      <c r="O206" s="187">
        <f t="shared" si="22"/>
        <v>4.4699198256693525E-3</v>
      </c>
      <c r="P206" s="187">
        <f t="shared" si="22"/>
        <v>2.5354622496003543E-3</v>
      </c>
      <c r="Q206" s="187">
        <f t="shared" si="22"/>
        <v>3.1669096303502315E-3</v>
      </c>
      <c r="R206" s="187">
        <f t="shared" si="22"/>
        <v>2.4224944386259419E-3</v>
      </c>
      <c r="S206" s="187">
        <f t="shared" si="22"/>
        <v>1.0457934085536925E-2</v>
      </c>
      <c r="T206" s="187">
        <f t="shared" si="22"/>
        <v>5.9130392020076217E-3</v>
      </c>
      <c r="U206" s="187">
        <f t="shared" si="22"/>
        <v>1.9529099516048788E-4</v>
      </c>
      <c r="V206" s="187">
        <f t="shared" si="22"/>
        <v>5.9034239142750893E-3</v>
      </c>
      <c r="W206" s="187">
        <f t="shared" si="22"/>
        <v>7.4043545592674939E-2</v>
      </c>
      <c r="X206" s="187">
        <f t="shared" si="22"/>
        <v>0</v>
      </c>
      <c r="Y206" s="187">
        <f t="shared" si="22"/>
        <v>1.6466022814709005E-2</v>
      </c>
      <c r="Z206" s="187">
        <v>-5.6896864295454437E-3</v>
      </c>
      <c r="AA206" s="187">
        <f t="shared" si="22"/>
        <v>0</v>
      </c>
      <c r="AB206" s="187">
        <f t="shared" si="22"/>
        <v>0</v>
      </c>
      <c r="AC206" s="187">
        <f t="shared" si="22"/>
        <v>0</v>
      </c>
      <c r="AD206" s="187">
        <f t="shared" si="22"/>
        <v>0</v>
      </c>
      <c r="AE206" s="187">
        <f t="shared" si="22"/>
        <v>0</v>
      </c>
      <c r="AF206" s="187">
        <f t="shared" si="22"/>
        <v>0</v>
      </c>
      <c r="AG206" s="187">
        <f t="shared" si="22"/>
        <v>0</v>
      </c>
      <c r="AH206" s="187">
        <f t="shared" si="22"/>
        <v>0</v>
      </c>
      <c r="AI206" s="187">
        <f t="shared" si="22"/>
        <v>0</v>
      </c>
      <c r="AJ206" s="187">
        <f t="shared" si="22"/>
        <v>0</v>
      </c>
      <c r="AK206" s="187">
        <f t="shared" si="22"/>
        <v>0</v>
      </c>
      <c r="AL206" s="187">
        <f t="shared" si="22"/>
        <v>0</v>
      </c>
    </row>
    <row r="207" spans="1:38" ht="15" hidden="1" customHeight="1" outlineLevel="1">
      <c r="A207" s="181" t="s">
        <v>293</v>
      </c>
      <c r="B207" s="182">
        <v>9</v>
      </c>
      <c r="C207" s="188">
        <f t="shared" ref="C207:AL207" si="23">C137</f>
        <v>95961616736</v>
      </c>
      <c r="D207" s="188">
        <f t="shared" si="23"/>
        <v>68939746996</v>
      </c>
      <c r="E207" s="188">
        <f t="shared" si="23"/>
        <v>92109508133</v>
      </c>
      <c r="F207" s="188">
        <f t="shared" si="23"/>
        <v>97489092894</v>
      </c>
      <c r="G207" s="188">
        <f t="shared" si="23"/>
        <v>102364998344</v>
      </c>
      <c r="H207" s="188">
        <f t="shared" si="23"/>
        <v>68093170109</v>
      </c>
      <c r="I207" s="188">
        <f t="shared" si="23"/>
        <v>56451269692</v>
      </c>
      <c r="J207" s="188">
        <f t="shared" si="23"/>
        <v>154027868172</v>
      </c>
      <c r="K207" s="188">
        <f t="shared" si="23"/>
        <v>156829896725</v>
      </c>
      <c r="L207" s="188">
        <f t="shared" si="23"/>
        <v>116812598746</v>
      </c>
      <c r="M207" s="188">
        <f t="shared" si="23"/>
        <v>76126139834</v>
      </c>
      <c r="N207" s="188">
        <f t="shared" si="23"/>
        <v>106210088680</v>
      </c>
      <c r="O207" s="188">
        <f t="shared" si="23"/>
        <v>114462510402</v>
      </c>
      <c r="P207" s="188">
        <f t="shared" si="23"/>
        <v>187999461059</v>
      </c>
      <c r="Q207" s="188">
        <f t="shared" si="23"/>
        <v>150253332680</v>
      </c>
      <c r="R207" s="188">
        <f t="shared" si="23"/>
        <v>125429649855</v>
      </c>
      <c r="S207" s="188">
        <f t="shared" si="23"/>
        <v>152067142852</v>
      </c>
      <c r="T207" s="188">
        <f t="shared" si="23"/>
        <v>119134672797</v>
      </c>
      <c r="U207" s="188">
        <f t="shared" si="23"/>
        <v>137991406898</v>
      </c>
      <c r="V207" s="188">
        <f t="shared" si="23"/>
        <v>168442653383</v>
      </c>
      <c r="W207" s="188">
        <f t="shared" si="23"/>
        <v>84710435067</v>
      </c>
      <c r="X207" s="188">
        <f t="shared" si="23"/>
        <v>108928556660</v>
      </c>
      <c r="Y207" s="188">
        <f t="shared" si="23"/>
        <v>88347880802</v>
      </c>
      <c r="Z207" s="188">
        <v>101435082581</v>
      </c>
      <c r="AA207" s="188">
        <f t="shared" si="23"/>
        <v>129505341136.8568</v>
      </c>
      <c r="AB207" s="188">
        <f t="shared" si="23"/>
        <v>127974441177.86678</v>
      </c>
      <c r="AC207" s="188">
        <f t="shared" si="23"/>
        <v>141599491827.82724</v>
      </c>
      <c r="AD207" s="188">
        <f t="shared" si="23"/>
        <v>131782266518.60179</v>
      </c>
      <c r="AE207" s="188">
        <f t="shared" si="23"/>
        <v>140244307484.73703</v>
      </c>
      <c r="AF207" s="188">
        <f t="shared" si="23"/>
        <v>141409300219.24362</v>
      </c>
      <c r="AG207" s="188">
        <f t="shared" si="23"/>
        <v>145404057387.95999</v>
      </c>
      <c r="AH207" s="188">
        <f t="shared" si="23"/>
        <v>141276361518.14462</v>
      </c>
      <c r="AI207" s="188">
        <f t="shared" si="23"/>
        <v>148196499542.28259</v>
      </c>
      <c r="AJ207" s="188">
        <f t="shared" si="23"/>
        <v>137984481243.16364</v>
      </c>
      <c r="AK207" s="188">
        <f t="shared" si="23"/>
        <v>145929060338.82693</v>
      </c>
      <c r="AL207" s="188">
        <f t="shared" si="23"/>
        <v>147442013746.17145</v>
      </c>
    </row>
    <row r="208" spans="1:38" ht="15" hidden="1" customHeight="1" outlineLevel="1">
      <c r="A208" s="178" t="s">
        <v>294</v>
      </c>
      <c r="B208" s="179">
        <v>10</v>
      </c>
      <c r="C208" s="189">
        <v>63344586092</v>
      </c>
      <c r="D208" s="189">
        <v>30529252055</v>
      </c>
      <c r="E208" s="189">
        <v>56313461950</v>
      </c>
      <c r="F208" s="189">
        <v>70145350000</v>
      </c>
      <c r="G208" s="189">
        <v>31248110080</v>
      </c>
      <c r="H208" s="189">
        <v>7753736540</v>
      </c>
      <c r="I208" s="189">
        <v>32497915104</v>
      </c>
      <c r="J208" s="189">
        <v>100596695257</v>
      </c>
      <c r="K208" s="189">
        <v>108890762068</v>
      </c>
      <c r="L208" s="189">
        <v>64644001972</v>
      </c>
      <c r="M208" s="189">
        <v>19227811548</v>
      </c>
      <c r="N208" s="189">
        <v>38250151385</v>
      </c>
      <c r="O208" s="189">
        <v>82123174705</v>
      </c>
      <c r="P208" s="189">
        <v>127754884829</v>
      </c>
      <c r="Q208" s="189">
        <v>103667980875</v>
      </c>
      <c r="R208" s="189">
        <v>89699052245</v>
      </c>
      <c r="S208" s="189">
        <v>114824058990</v>
      </c>
      <c r="T208" s="189">
        <v>70054412500</v>
      </c>
      <c r="U208" s="189">
        <v>88123126474</v>
      </c>
      <c r="V208" s="189">
        <v>94069028914</v>
      </c>
      <c r="W208" s="189">
        <v>24953975916</v>
      </c>
      <c r="X208" s="189">
        <v>27056388040</v>
      </c>
      <c r="Y208" s="189">
        <v>21625208400</v>
      </c>
      <c r="Z208" s="189">
        <v>30893476900</v>
      </c>
      <c r="AA208" s="189">
        <f>SUMIFS([1]!Data_PL_Element[Value],[1]!Data_PL_Element[Index PL Element],DTR!$B208,[1]!Data_PL_Element[TenCongTyID],DTR!$B$1,[1]!Data_PL_Element[Thang.Nam],DTR!AA$198)</f>
        <v>0</v>
      </c>
      <c r="AB208" s="189">
        <f>SUMIFS([1]!Data_PL_Element[Value],[1]!Data_PL_Element[Index PL Element],DTR!$B208,[1]!Data_PL_Element[TenCongTyID],DTR!$B$1,[1]!Data_PL_Element[Thang.Nam],DTR!AB$198)</f>
        <v>0</v>
      </c>
      <c r="AC208" s="189">
        <f>SUMIFS([1]!Data_PL_Element[Value],[1]!Data_PL_Element[Index PL Element],DTR!$B208,[1]!Data_PL_Element[TenCongTyID],DTR!$B$1,[1]!Data_PL_Element[Thang.Nam],DTR!AC$198)</f>
        <v>0</v>
      </c>
      <c r="AD208" s="189">
        <f>SUMIFS([1]!Data_PL_Element[Value],[1]!Data_PL_Element[Index PL Element],DTR!$B208,[1]!Data_PL_Element[TenCongTyID],DTR!$B$1,[1]!Data_PL_Element[Thang.Nam],DTR!AD$198)</f>
        <v>0</v>
      </c>
      <c r="AE208" s="189">
        <f>SUMIFS([1]!Data_PL_Element[Value],[1]!Data_PL_Element[Index PL Element],DTR!$B208,[1]!Data_PL_Element[TenCongTyID],DTR!$B$1,[1]!Data_PL_Element[Thang.Nam],DTR!AE$198)</f>
        <v>0</v>
      </c>
      <c r="AF208" s="189">
        <f>SUMIFS([1]!Data_PL_Element[Value],[1]!Data_PL_Element[Index PL Element],DTR!$B208,[1]!Data_PL_Element[TenCongTyID],DTR!$B$1,[1]!Data_PL_Element[Thang.Nam],DTR!AF$198)</f>
        <v>0</v>
      </c>
      <c r="AG208" s="189">
        <f>SUMIFS([1]!Data_PL_Element[Value],[1]!Data_PL_Element[Index PL Element],DTR!$B208,[1]!Data_PL_Element[TenCongTyID],DTR!$B$1,[1]!Data_PL_Element[Thang.Nam],DTR!AG$198)</f>
        <v>0</v>
      </c>
      <c r="AH208" s="189">
        <f>SUMIFS([1]!Data_PL_Element[Value],[1]!Data_PL_Element[Index PL Element],DTR!$B208,[1]!Data_PL_Element[TenCongTyID],DTR!$B$1,[1]!Data_PL_Element[Thang.Nam],DTR!AH$198)</f>
        <v>0</v>
      </c>
      <c r="AI208" s="189">
        <f>SUMIFS([1]!Data_PL_Element[Value],[1]!Data_PL_Element[Index PL Element],DTR!$B208,[1]!Data_PL_Element[TenCongTyID],DTR!$B$1,[1]!Data_PL_Element[Thang.Nam],DTR!AI$198)</f>
        <v>0</v>
      </c>
      <c r="AJ208" s="189">
        <f>SUMIFS([1]!Data_PL_Element[Value],[1]!Data_PL_Element[Index PL Element],DTR!$B208,[1]!Data_PL_Element[TenCongTyID],DTR!$B$1,[1]!Data_PL_Element[Thang.Nam],DTR!AJ$198)</f>
        <v>0</v>
      </c>
      <c r="AK208" s="189">
        <f>SUMIFS([1]!Data_PL_Element[Value],[1]!Data_PL_Element[Index PL Element],DTR!$B208,[1]!Data_PL_Element[TenCongTyID],DTR!$B$1,[1]!Data_PL_Element[Thang.Nam],DTR!AK$198)</f>
        <v>0</v>
      </c>
      <c r="AL208" s="189">
        <f>SUMIFS([1]!Data_PL_Element[Value],[1]!Data_PL_Element[Index PL Element],DTR!$B208,[1]!Data_PL_Element[TenCongTyID],DTR!$B$1,[1]!Data_PL_Element[Thang.Nam],DTR!AL$198)</f>
        <v>0</v>
      </c>
    </row>
    <row r="209" spans="1:38" ht="15" hidden="1" customHeight="1" outlineLevel="1">
      <c r="A209" s="178" t="s">
        <v>295</v>
      </c>
      <c r="B209" s="179">
        <v>11</v>
      </c>
      <c r="C209" s="189">
        <v>32448806844</v>
      </c>
      <c r="D209" s="189">
        <v>37393809660</v>
      </c>
      <c r="E209" s="189">
        <v>35796046183</v>
      </c>
      <c r="F209" s="189">
        <v>27343742894</v>
      </c>
      <c r="G209" s="189">
        <v>71116888264</v>
      </c>
      <c r="H209" s="189">
        <v>59753433569</v>
      </c>
      <c r="I209" s="189">
        <v>23953354588</v>
      </c>
      <c r="J209" s="189">
        <v>53431172915</v>
      </c>
      <c r="K209" s="189">
        <v>36477023972</v>
      </c>
      <c r="L209" s="189">
        <v>52168596774</v>
      </c>
      <c r="M209" s="189">
        <v>51176103667</v>
      </c>
      <c r="N209" s="189">
        <v>53140632881</v>
      </c>
      <c r="O209" s="189">
        <v>32339335697</v>
      </c>
      <c r="P209" s="189">
        <v>60244576230</v>
      </c>
      <c r="Q209" s="189">
        <v>46405979203</v>
      </c>
      <c r="R209" s="189">
        <v>35730597610</v>
      </c>
      <c r="S209" s="189">
        <v>37243083862</v>
      </c>
      <c r="T209" s="189">
        <v>49080260297</v>
      </c>
      <c r="U209" s="189">
        <v>49868280424</v>
      </c>
      <c r="V209" s="189">
        <v>74191430822</v>
      </c>
      <c r="W209" s="189">
        <v>58338102351</v>
      </c>
      <c r="X209" s="189">
        <v>72117222220</v>
      </c>
      <c r="Y209" s="189">
        <v>63327421201</v>
      </c>
      <c r="Z209" s="189">
        <v>62246318181</v>
      </c>
      <c r="AA209" s="189">
        <f>SUMIFS([1]!Data_PL_Element[Value],[1]!Data_PL_Element[Index PL Element],DTR!$B209,[1]!Data_PL_Element[TenCongTyID],DTR!$B$1,[1]!Data_PL_Element[Thang.Nam],DTR!AA$198)</f>
        <v>0</v>
      </c>
      <c r="AB209" s="189">
        <f>SUMIFS([1]!Data_PL_Element[Value],[1]!Data_PL_Element[Index PL Element],DTR!$B209,[1]!Data_PL_Element[TenCongTyID],DTR!$B$1,[1]!Data_PL_Element[Thang.Nam],DTR!AB$198)</f>
        <v>0</v>
      </c>
      <c r="AC209" s="189">
        <f>SUMIFS([1]!Data_PL_Element[Value],[1]!Data_PL_Element[Index PL Element],DTR!$B209,[1]!Data_PL_Element[TenCongTyID],DTR!$B$1,[1]!Data_PL_Element[Thang.Nam],DTR!AC$198)</f>
        <v>0</v>
      </c>
      <c r="AD209" s="189">
        <f>SUMIFS([1]!Data_PL_Element[Value],[1]!Data_PL_Element[Index PL Element],DTR!$B209,[1]!Data_PL_Element[TenCongTyID],DTR!$B$1,[1]!Data_PL_Element[Thang.Nam],DTR!AD$198)</f>
        <v>0</v>
      </c>
      <c r="AE209" s="189">
        <f>SUMIFS([1]!Data_PL_Element[Value],[1]!Data_PL_Element[Index PL Element],DTR!$B209,[1]!Data_PL_Element[TenCongTyID],DTR!$B$1,[1]!Data_PL_Element[Thang.Nam],DTR!AE$198)</f>
        <v>0</v>
      </c>
      <c r="AF209" s="189">
        <f>SUMIFS([1]!Data_PL_Element[Value],[1]!Data_PL_Element[Index PL Element],DTR!$B209,[1]!Data_PL_Element[TenCongTyID],DTR!$B$1,[1]!Data_PL_Element[Thang.Nam],DTR!AF$198)</f>
        <v>0</v>
      </c>
      <c r="AG209" s="189">
        <f>SUMIFS([1]!Data_PL_Element[Value],[1]!Data_PL_Element[Index PL Element],DTR!$B209,[1]!Data_PL_Element[TenCongTyID],DTR!$B$1,[1]!Data_PL_Element[Thang.Nam],DTR!AG$198)</f>
        <v>0</v>
      </c>
      <c r="AH209" s="189">
        <f>SUMIFS([1]!Data_PL_Element[Value],[1]!Data_PL_Element[Index PL Element],DTR!$B209,[1]!Data_PL_Element[TenCongTyID],DTR!$B$1,[1]!Data_PL_Element[Thang.Nam],DTR!AH$198)</f>
        <v>0</v>
      </c>
      <c r="AI209" s="189">
        <f>SUMIFS([1]!Data_PL_Element[Value],[1]!Data_PL_Element[Index PL Element],DTR!$B209,[1]!Data_PL_Element[TenCongTyID],DTR!$B$1,[1]!Data_PL_Element[Thang.Nam],DTR!AI$198)</f>
        <v>0</v>
      </c>
      <c r="AJ209" s="189">
        <f>SUMIFS([1]!Data_PL_Element[Value],[1]!Data_PL_Element[Index PL Element],DTR!$B209,[1]!Data_PL_Element[TenCongTyID],DTR!$B$1,[1]!Data_PL_Element[Thang.Nam],DTR!AJ$198)</f>
        <v>0</v>
      </c>
      <c r="AK209" s="189">
        <f>SUMIFS([1]!Data_PL_Element[Value],[1]!Data_PL_Element[Index PL Element],DTR!$B209,[1]!Data_PL_Element[TenCongTyID],DTR!$B$1,[1]!Data_PL_Element[Thang.Nam],DTR!AK$198)</f>
        <v>0</v>
      </c>
      <c r="AL209" s="189">
        <f>SUMIFS([1]!Data_PL_Element[Value],[1]!Data_PL_Element[Index PL Element],DTR!$B209,[1]!Data_PL_Element[TenCongTyID],DTR!$B$1,[1]!Data_PL_Element[Thang.Nam],DTR!AL$198)</f>
        <v>0</v>
      </c>
    </row>
    <row r="210" spans="1:38" ht="15" hidden="1" customHeight="1" outlineLevel="1">
      <c r="A210" s="178" t="s">
        <v>296</v>
      </c>
      <c r="B210" s="179">
        <v>12</v>
      </c>
      <c r="C210" s="189">
        <v>168223800</v>
      </c>
      <c r="D210" s="189">
        <v>1016685281</v>
      </c>
      <c r="E210" s="189"/>
      <c r="F210" s="189"/>
      <c r="G210" s="189"/>
      <c r="H210" s="189">
        <v>586000000</v>
      </c>
      <c r="I210" s="189"/>
      <c r="J210" s="189"/>
      <c r="K210" s="189">
        <v>11462110685</v>
      </c>
      <c r="L210" s="189"/>
      <c r="M210" s="189">
        <v>5722224619</v>
      </c>
      <c r="N210" s="189">
        <v>14819304414</v>
      </c>
      <c r="O210" s="189"/>
      <c r="P210" s="189"/>
      <c r="Q210" s="189">
        <v>179372602</v>
      </c>
      <c r="R210" s="189"/>
      <c r="S210" s="189"/>
      <c r="T210" s="189"/>
      <c r="U210" s="189"/>
      <c r="V210" s="189">
        <v>182193647</v>
      </c>
      <c r="W210" s="189">
        <v>1418356800</v>
      </c>
      <c r="X210" s="189">
        <v>9754946400</v>
      </c>
      <c r="Y210" s="189">
        <v>3395251201</v>
      </c>
      <c r="Z210" s="189">
        <v>8295287500</v>
      </c>
      <c r="AA210" s="189">
        <f>SUMIFS([1]!Data_PL_Element[Value],[1]!Data_PL_Element[Index PL Element],DTR!$B210,[1]!Data_PL_Element[TenCongTyID],DTR!$B$1,[1]!Data_PL_Element[Thang.Nam],DTR!AA$198)</f>
        <v>0</v>
      </c>
      <c r="AB210" s="189">
        <f>SUMIFS([1]!Data_PL_Element[Value],[1]!Data_PL_Element[Index PL Element],DTR!$B210,[1]!Data_PL_Element[TenCongTyID],DTR!$B$1,[1]!Data_PL_Element[Thang.Nam],DTR!AB$198)</f>
        <v>0</v>
      </c>
      <c r="AC210" s="189">
        <f>SUMIFS([1]!Data_PL_Element[Value],[1]!Data_PL_Element[Index PL Element],DTR!$B210,[1]!Data_PL_Element[TenCongTyID],DTR!$B$1,[1]!Data_PL_Element[Thang.Nam],DTR!AC$198)</f>
        <v>0</v>
      </c>
      <c r="AD210" s="189">
        <f>SUMIFS([1]!Data_PL_Element[Value],[1]!Data_PL_Element[Index PL Element],DTR!$B210,[1]!Data_PL_Element[TenCongTyID],DTR!$B$1,[1]!Data_PL_Element[Thang.Nam],DTR!AD$198)</f>
        <v>0</v>
      </c>
      <c r="AE210" s="189">
        <f>SUMIFS([1]!Data_PL_Element[Value],[1]!Data_PL_Element[Index PL Element],DTR!$B210,[1]!Data_PL_Element[TenCongTyID],DTR!$B$1,[1]!Data_PL_Element[Thang.Nam],DTR!AE$198)</f>
        <v>0</v>
      </c>
      <c r="AF210" s="189">
        <f>SUMIFS([1]!Data_PL_Element[Value],[1]!Data_PL_Element[Index PL Element],DTR!$B210,[1]!Data_PL_Element[TenCongTyID],DTR!$B$1,[1]!Data_PL_Element[Thang.Nam],DTR!AF$198)</f>
        <v>0</v>
      </c>
      <c r="AG210" s="189">
        <f>SUMIFS([1]!Data_PL_Element[Value],[1]!Data_PL_Element[Index PL Element],DTR!$B210,[1]!Data_PL_Element[TenCongTyID],DTR!$B$1,[1]!Data_PL_Element[Thang.Nam],DTR!AG$198)</f>
        <v>0</v>
      </c>
      <c r="AH210" s="189">
        <f>SUMIFS([1]!Data_PL_Element[Value],[1]!Data_PL_Element[Index PL Element],DTR!$B210,[1]!Data_PL_Element[TenCongTyID],DTR!$B$1,[1]!Data_PL_Element[Thang.Nam],DTR!AH$198)</f>
        <v>0</v>
      </c>
      <c r="AI210" s="189">
        <f>SUMIFS([1]!Data_PL_Element[Value],[1]!Data_PL_Element[Index PL Element],DTR!$B210,[1]!Data_PL_Element[TenCongTyID],DTR!$B$1,[1]!Data_PL_Element[Thang.Nam],DTR!AI$198)</f>
        <v>0</v>
      </c>
      <c r="AJ210" s="189">
        <f>SUMIFS([1]!Data_PL_Element[Value],[1]!Data_PL_Element[Index PL Element],DTR!$B210,[1]!Data_PL_Element[TenCongTyID],DTR!$B$1,[1]!Data_PL_Element[Thang.Nam],DTR!AJ$198)</f>
        <v>0</v>
      </c>
      <c r="AK210" s="189">
        <f>SUMIFS([1]!Data_PL_Element[Value],[1]!Data_PL_Element[Index PL Element],DTR!$B210,[1]!Data_PL_Element[TenCongTyID],DTR!$B$1,[1]!Data_PL_Element[Thang.Nam],DTR!AK$198)</f>
        <v>0</v>
      </c>
      <c r="AL210" s="189">
        <f>SUMIFS([1]!Data_PL_Element[Value],[1]!Data_PL_Element[Index PL Element],DTR!$B210,[1]!Data_PL_Element[TenCongTyID],DTR!$B$1,[1]!Data_PL_Element[Thang.Nam],DTR!AL$198)</f>
        <v>0</v>
      </c>
    </row>
    <row r="211" spans="1:38" ht="15" hidden="1" customHeight="1" outlineLevel="1">
      <c r="A211" s="181" t="s">
        <v>297</v>
      </c>
      <c r="B211" s="182">
        <v>13</v>
      </c>
      <c r="C211" s="183">
        <f>C138</f>
        <v>85841765176</v>
      </c>
      <c r="D211" s="183">
        <f t="shared" ref="D211:AL211" si="24">D138</f>
        <v>68748321616</v>
      </c>
      <c r="E211" s="183">
        <f t="shared" si="24"/>
        <v>86824377307</v>
      </c>
      <c r="F211" s="183">
        <f t="shared" si="24"/>
        <v>85475594862</v>
      </c>
      <c r="G211" s="183">
        <f t="shared" si="24"/>
        <v>99208228636</v>
      </c>
      <c r="H211" s="183">
        <f t="shared" si="24"/>
        <v>69795611979</v>
      </c>
      <c r="I211" s="183">
        <f t="shared" si="24"/>
        <v>61217801757</v>
      </c>
      <c r="J211" s="183">
        <f t="shared" si="24"/>
        <v>147970813832</v>
      </c>
      <c r="K211" s="183">
        <f t="shared" si="24"/>
        <v>132769623597</v>
      </c>
      <c r="L211" s="183">
        <f t="shared" si="24"/>
        <v>112138441893</v>
      </c>
      <c r="M211" s="183">
        <f t="shared" si="24"/>
        <v>70998442117</v>
      </c>
      <c r="N211" s="183">
        <f t="shared" si="24"/>
        <v>-22758768790</v>
      </c>
      <c r="O211" s="183">
        <f t="shared" si="24"/>
        <v>96299447936</v>
      </c>
      <c r="P211" s="183">
        <f t="shared" si="24"/>
        <v>154570631505</v>
      </c>
      <c r="Q211" s="183">
        <f t="shared" si="24"/>
        <v>129509315823</v>
      </c>
      <c r="R211" s="183">
        <f t="shared" si="24"/>
        <v>109641808151</v>
      </c>
      <c r="S211" s="183">
        <f t="shared" si="24"/>
        <v>129906078108</v>
      </c>
      <c r="T211" s="183">
        <f t="shared" si="24"/>
        <v>105463649620</v>
      </c>
      <c r="U211" s="183">
        <f t="shared" si="24"/>
        <v>128673842020</v>
      </c>
      <c r="V211" s="183">
        <f t="shared" si="24"/>
        <v>155101842643</v>
      </c>
      <c r="W211" s="183">
        <f t="shared" si="24"/>
        <v>83113314505</v>
      </c>
      <c r="X211" s="183">
        <f t="shared" si="24"/>
        <v>99966937216</v>
      </c>
      <c r="Y211" s="183">
        <f t="shared" si="24"/>
        <v>80940600844</v>
      </c>
      <c r="Z211" s="183">
        <v>66268508078</v>
      </c>
      <c r="AA211" s="183">
        <f t="shared" si="24"/>
        <v>111573152812.80542</v>
      </c>
      <c r="AB211" s="183">
        <f t="shared" si="24"/>
        <v>114942222906.76608</v>
      </c>
      <c r="AC211" s="183">
        <f t="shared" si="24"/>
        <v>120213688326.59053</v>
      </c>
      <c r="AD211" s="183">
        <f t="shared" si="24"/>
        <v>113297880731.08923</v>
      </c>
      <c r="AE211" s="183">
        <f t="shared" si="24"/>
        <v>119515804418.96031</v>
      </c>
      <c r="AF211" s="183">
        <f t="shared" si="24"/>
        <v>121320057022.57965</v>
      </c>
      <c r="AG211" s="183">
        <f t="shared" si="24"/>
        <v>119663072666.4505</v>
      </c>
      <c r="AH211" s="183">
        <f t="shared" si="24"/>
        <v>116065893729.59431</v>
      </c>
      <c r="AI211" s="183">
        <f t="shared" si="24"/>
        <v>122487196346.25684</v>
      </c>
      <c r="AJ211" s="183">
        <f t="shared" si="24"/>
        <v>113826945063.91805</v>
      </c>
      <c r="AK211" s="183">
        <f t="shared" si="24"/>
        <v>120726874069.98518</v>
      </c>
      <c r="AL211" s="183">
        <f t="shared" si="24"/>
        <v>122409403433.5182</v>
      </c>
    </row>
    <row r="212" spans="1:38" ht="15" hidden="1" customHeight="1" outlineLevel="1">
      <c r="A212" s="178" t="s">
        <v>298</v>
      </c>
      <c r="B212" s="179">
        <v>14</v>
      </c>
      <c r="C212" s="189">
        <v>58172792005.000053</v>
      </c>
      <c r="D212" s="189">
        <v>40135744212.999985</v>
      </c>
      <c r="E212" s="189">
        <v>53843152858.000008</v>
      </c>
      <c r="F212" s="189">
        <v>58538049773.000061</v>
      </c>
      <c r="G212" s="189">
        <v>63345193658.999992</v>
      </c>
      <c r="H212" s="189">
        <v>36324934930.000015</v>
      </c>
      <c r="I212" s="189">
        <v>36913496602.000015</v>
      </c>
      <c r="J212" s="189">
        <v>93483828762.000214</v>
      </c>
      <c r="K212" s="189">
        <v>92759488260.000015</v>
      </c>
      <c r="L212" s="189">
        <v>70275960934.000015</v>
      </c>
      <c r="M212" s="189">
        <v>37148710033.000008</v>
      </c>
      <c r="N212" s="189">
        <v>53326888043.999908</v>
      </c>
      <c r="O212" s="189">
        <v>67264471806.000114</v>
      </c>
      <c r="P212" s="189">
        <v>106054373833.99997</v>
      </c>
      <c r="Q212" s="189">
        <v>91089817652.999908</v>
      </c>
      <c r="R212" s="189">
        <v>76847379896.999847</v>
      </c>
      <c r="S212" s="189">
        <v>94193926976.000107</v>
      </c>
      <c r="T212" s="189">
        <v>74976864929.999832</v>
      </c>
      <c r="U212" s="189">
        <v>94031606444.999878</v>
      </c>
      <c r="V212" s="189">
        <v>108446761966</v>
      </c>
      <c r="W212" s="189">
        <v>53976882726.999916</v>
      </c>
      <c r="X212" s="189">
        <v>64189038963.999985</v>
      </c>
      <c r="Y212" s="189">
        <v>48443143410.000008</v>
      </c>
      <c r="Z212" s="189">
        <v>52878187820.454971</v>
      </c>
      <c r="AA212" s="189">
        <f>SUMIFS([1]!Data_PL_Element[Value],[1]!Data_PL_Element[Index PL Element],DTR!$B212,[1]!Data_PL_Element[TenCongTyID],DTR!$B$1,[1]!Data_PL_Element[Thang.Nam],DTR!AA$198)</f>
        <v>0</v>
      </c>
      <c r="AB212" s="189">
        <f>SUMIFS([1]!Data_PL_Element[Value],[1]!Data_PL_Element[Index PL Element],DTR!$B212,[1]!Data_PL_Element[TenCongTyID],DTR!$B$1,[1]!Data_PL_Element[Thang.Nam],DTR!AB$198)</f>
        <v>0</v>
      </c>
      <c r="AC212" s="189">
        <f>SUMIFS([1]!Data_PL_Element[Value],[1]!Data_PL_Element[Index PL Element],DTR!$B212,[1]!Data_PL_Element[TenCongTyID],DTR!$B$1,[1]!Data_PL_Element[Thang.Nam],DTR!AC$198)</f>
        <v>0</v>
      </c>
      <c r="AD212" s="189">
        <f>SUMIFS([1]!Data_PL_Element[Value],[1]!Data_PL_Element[Index PL Element],DTR!$B212,[1]!Data_PL_Element[TenCongTyID],DTR!$B$1,[1]!Data_PL_Element[Thang.Nam],DTR!AD$198)</f>
        <v>0</v>
      </c>
      <c r="AE212" s="189">
        <f>SUMIFS([1]!Data_PL_Element[Value],[1]!Data_PL_Element[Index PL Element],DTR!$B212,[1]!Data_PL_Element[TenCongTyID],DTR!$B$1,[1]!Data_PL_Element[Thang.Nam],DTR!AE$198)</f>
        <v>0</v>
      </c>
      <c r="AF212" s="189">
        <f>SUMIFS([1]!Data_PL_Element[Value],[1]!Data_PL_Element[Index PL Element],DTR!$B212,[1]!Data_PL_Element[TenCongTyID],DTR!$B$1,[1]!Data_PL_Element[Thang.Nam],DTR!AF$198)</f>
        <v>0</v>
      </c>
      <c r="AG212" s="189">
        <f>SUMIFS([1]!Data_PL_Element[Value],[1]!Data_PL_Element[Index PL Element],DTR!$B212,[1]!Data_PL_Element[TenCongTyID],DTR!$B$1,[1]!Data_PL_Element[Thang.Nam],DTR!AG$198)</f>
        <v>0</v>
      </c>
      <c r="AH212" s="189">
        <f>SUMIFS([1]!Data_PL_Element[Value],[1]!Data_PL_Element[Index PL Element],DTR!$B212,[1]!Data_PL_Element[TenCongTyID],DTR!$B$1,[1]!Data_PL_Element[Thang.Nam],DTR!AH$198)</f>
        <v>0</v>
      </c>
      <c r="AI212" s="189">
        <f>SUMIFS([1]!Data_PL_Element[Value],[1]!Data_PL_Element[Index PL Element],DTR!$B212,[1]!Data_PL_Element[TenCongTyID],DTR!$B$1,[1]!Data_PL_Element[Thang.Nam],DTR!AI$198)</f>
        <v>0</v>
      </c>
      <c r="AJ212" s="189">
        <f>SUMIFS([1]!Data_PL_Element[Value],[1]!Data_PL_Element[Index PL Element],DTR!$B212,[1]!Data_PL_Element[TenCongTyID],DTR!$B$1,[1]!Data_PL_Element[Thang.Nam],DTR!AJ$198)</f>
        <v>0</v>
      </c>
      <c r="AK212" s="189">
        <f>SUMIFS([1]!Data_PL_Element[Value],[1]!Data_PL_Element[Index PL Element],DTR!$B212,[1]!Data_PL_Element[TenCongTyID],DTR!$B$1,[1]!Data_PL_Element[Thang.Nam],DTR!AK$198)</f>
        <v>0</v>
      </c>
      <c r="AL212" s="189">
        <f>SUMIFS([1]!Data_PL_Element[Value],[1]!Data_PL_Element[Index PL Element],DTR!$B212,[1]!Data_PL_Element[TenCongTyID],DTR!$B$1,[1]!Data_PL_Element[Thang.Nam],DTR!AL$198)</f>
        <v>0</v>
      </c>
    </row>
    <row r="213" spans="1:38" ht="15" hidden="1" customHeight="1" outlineLevel="1">
      <c r="A213" s="178" t="s">
        <v>299</v>
      </c>
      <c r="B213" s="179">
        <v>15</v>
      </c>
      <c r="C213" s="189">
        <v>4186349263.9999948</v>
      </c>
      <c r="D213" s="189">
        <v>2457268717.000001</v>
      </c>
      <c r="E213" s="189">
        <v>3848430020.9999995</v>
      </c>
      <c r="F213" s="189">
        <v>3859883666.9999967</v>
      </c>
      <c r="G213" s="189">
        <v>4759899545</v>
      </c>
      <c r="H213" s="189">
        <v>2565880249.000001</v>
      </c>
      <c r="I213" s="189">
        <v>2186629080.9999986</v>
      </c>
      <c r="J213" s="189">
        <v>7049171790.9999857</v>
      </c>
      <c r="K213" s="189">
        <v>5816653715.9999981</v>
      </c>
      <c r="L213" s="189">
        <v>4633748877.9999952</v>
      </c>
      <c r="M213" s="189">
        <v>2837615131.9999981</v>
      </c>
      <c r="N213" s="189">
        <v>4255262411.000001</v>
      </c>
      <c r="O213" s="189">
        <v>5340892949.9999924</v>
      </c>
      <c r="P213" s="189">
        <v>6261375866.9999981</v>
      </c>
      <c r="Q213" s="189">
        <v>6353863288.0000019</v>
      </c>
      <c r="R213" s="189">
        <v>5704205697</v>
      </c>
      <c r="S213" s="189">
        <v>6656929945.0000095</v>
      </c>
      <c r="T213" s="189">
        <v>5491543887.0000076</v>
      </c>
      <c r="U213" s="189">
        <v>6696373252.0000019</v>
      </c>
      <c r="V213" s="189">
        <v>8142498040.9999819</v>
      </c>
      <c r="W213" s="189">
        <v>4235626587.9999962</v>
      </c>
      <c r="X213" s="189">
        <v>5448647494.0000105</v>
      </c>
      <c r="Y213" s="189">
        <v>4585411254</v>
      </c>
      <c r="Z213" s="189">
        <v>4732778198.9623222</v>
      </c>
      <c r="AA213" s="189">
        <f>SUMIFS([1]!Data_PL_Element[Value],[1]!Data_PL_Element[Index PL Element],DTR!$B213,[1]!Data_PL_Element[TenCongTyID],DTR!$B$1,[1]!Data_PL_Element[Thang.Nam],DTR!AA$198)</f>
        <v>0</v>
      </c>
      <c r="AB213" s="189">
        <f>SUMIFS([1]!Data_PL_Element[Value],[1]!Data_PL_Element[Index PL Element],DTR!$B213,[1]!Data_PL_Element[TenCongTyID],DTR!$B$1,[1]!Data_PL_Element[Thang.Nam],DTR!AB$198)</f>
        <v>0</v>
      </c>
      <c r="AC213" s="189">
        <f>SUMIFS([1]!Data_PL_Element[Value],[1]!Data_PL_Element[Index PL Element],DTR!$B213,[1]!Data_PL_Element[TenCongTyID],DTR!$B$1,[1]!Data_PL_Element[Thang.Nam],DTR!AC$198)</f>
        <v>0</v>
      </c>
      <c r="AD213" s="189">
        <f>SUMIFS([1]!Data_PL_Element[Value],[1]!Data_PL_Element[Index PL Element],DTR!$B213,[1]!Data_PL_Element[TenCongTyID],DTR!$B$1,[1]!Data_PL_Element[Thang.Nam],DTR!AD$198)</f>
        <v>0</v>
      </c>
      <c r="AE213" s="189">
        <f>SUMIFS([1]!Data_PL_Element[Value],[1]!Data_PL_Element[Index PL Element],DTR!$B213,[1]!Data_PL_Element[TenCongTyID],DTR!$B$1,[1]!Data_PL_Element[Thang.Nam],DTR!AE$198)</f>
        <v>0</v>
      </c>
      <c r="AF213" s="189">
        <f>SUMIFS([1]!Data_PL_Element[Value],[1]!Data_PL_Element[Index PL Element],DTR!$B213,[1]!Data_PL_Element[TenCongTyID],DTR!$B$1,[1]!Data_PL_Element[Thang.Nam],DTR!AF$198)</f>
        <v>0</v>
      </c>
      <c r="AG213" s="189">
        <f>SUMIFS([1]!Data_PL_Element[Value],[1]!Data_PL_Element[Index PL Element],DTR!$B213,[1]!Data_PL_Element[TenCongTyID],DTR!$B$1,[1]!Data_PL_Element[Thang.Nam],DTR!AG$198)</f>
        <v>0</v>
      </c>
      <c r="AH213" s="189">
        <f>SUMIFS([1]!Data_PL_Element[Value],[1]!Data_PL_Element[Index PL Element],DTR!$B213,[1]!Data_PL_Element[TenCongTyID],DTR!$B$1,[1]!Data_PL_Element[Thang.Nam],DTR!AH$198)</f>
        <v>0</v>
      </c>
      <c r="AI213" s="189">
        <f>SUMIFS([1]!Data_PL_Element[Value],[1]!Data_PL_Element[Index PL Element],DTR!$B213,[1]!Data_PL_Element[TenCongTyID],DTR!$B$1,[1]!Data_PL_Element[Thang.Nam],DTR!AI$198)</f>
        <v>0</v>
      </c>
      <c r="AJ213" s="189">
        <f>SUMIFS([1]!Data_PL_Element[Value],[1]!Data_PL_Element[Index PL Element],DTR!$B213,[1]!Data_PL_Element[TenCongTyID],DTR!$B$1,[1]!Data_PL_Element[Thang.Nam],DTR!AJ$198)</f>
        <v>0</v>
      </c>
      <c r="AK213" s="189">
        <f>SUMIFS([1]!Data_PL_Element[Value],[1]!Data_PL_Element[Index PL Element],DTR!$B213,[1]!Data_PL_Element[TenCongTyID],DTR!$B$1,[1]!Data_PL_Element[Thang.Nam],DTR!AK$198)</f>
        <v>0</v>
      </c>
      <c r="AL213" s="189">
        <f>SUMIFS([1]!Data_PL_Element[Value],[1]!Data_PL_Element[Index PL Element],DTR!$B213,[1]!Data_PL_Element[TenCongTyID],DTR!$B$1,[1]!Data_PL_Element[Thang.Nam],DTR!AL$198)</f>
        <v>0</v>
      </c>
    </row>
    <row r="214" spans="1:38" ht="15" hidden="1" customHeight="1" outlineLevel="1">
      <c r="A214" s="178" t="s">
        <v>300</v>
      </c>
      <c r="B214" s="179">
        <v>16</v>
      </c>
      <c r="C214" s="189">
        <v>673524358</v>
      </c>
      <c r="D214" s="189">
        <v>445330075</v>
      </c>
      <c r="E214" s="189">
        <v>646654899</v>
      </c>
      <c r="F214" s="189">
        <v>1789160297</v>
      </c>
      <c r="G214" s="189">
        <v>743322765</v>
      </c>
      <c r="H214" s="189">
        <v>710659695</v>
      </c>
      <c r="I214" s="189">
        <v>562555746</v>
      </c>
      <c r="J214" s="189">
        <v>273359738</v>
      </c>
      <c r="K214" s="189">
        <v>293591517</v>
      </c>
      <c r="L214" s="189">
        <v>342226346</v>
      </c>
      <c r="M214" s="189">
        <v>357205652</v>
      </c>
      <c r="N214" s="189">
        <v>352714337</v>
      </c>
      <c r="O214" s="189">
        <v>326525959</v>
      </c>
      <c r="P214" s="189">
        <v>301395737</v>
      </c>
      <c r="Q214" s="189">
        <v>353064382</v>
      </c>
      <c r="R214" s="189">
        <v>367893640</v>
      </c>
      <c r="S214" s="189">
        <v>583268535</v>
      </c>
      <c r="T214" s="189">
        <v>409683221</v>
      </c>
      <c r="U214" s="189">
        <v>382580514</v>
      </c>
      <c r="V214" s="189">
        <v>409675223</v>
      </c>
      <c r="W214" s="189">
        <v>681336938</v>
      </c>
      <c r="X214" s="189">
        <v>434513561</v>
      </c>
      <c r="Y214" s="189">
        <v>359300470</v>
      </c>
      <c r="Z214" s="189">
        <v>371608824</v>
      </c>
      <c r="AA214" s="189">
        <f>SUMIFS([1]!Data_PL_Element[Value],[1]!Data_PL_Element[Index PL Element],DTR!$B214,[1]!Data_PL_Element[TenCongTyID],DTR!$B$1,[1]!Data_PL_Element[Thang.Nam],DTR!AA$198)</f>
        <v>0</v>
      </c>
      <c r="AB214" s="189">
        <f>SUMIFS([1]!Data_PL_Element[Value],[1]!Data_PL_Element[Index PL Element],DTR!$B214,[1]!Data_PL_Element[TenCongTyID],DTR!$B$1,[1]!Data_PL_Element[Thang.Nam],DTR!AB$198)</f>
        <v>0</v>
      </c>
      <c r="AC214" s="189">
        <f>SUMIFS([1]!Data_PL_Element[Value],[1]!Data_PL_Element[Index PL Element],DTR!$B214,[1]!Data_PL_Element[TenCongTyID],DTR!$B$1,[1]!Data_PL_Element[Thang.Nam],DTR!AC$198)</f>
        <v>0</v>
      </c>
      <c r="AD214" s="189">
        <f>SUMIFS([1]!Data_PL_Element[Value],[1]!Data_PL_Element[Index PL Element],DTR!$B214,[1]!Data_PL_Element[TenCongTyID],DTR!$B$1,[1]!Data_PL_Element[Thang.Nam],DTR!AD$198)</f>
        <v>0</v>
      </c>
      <c r="AE214" s="189">
        <f>SUMIFS([1]!Data_PL_Element[Value],[1]!Data_PL_Element[Index PL Element],DTR!$B214,[1]!Data_PL_Element[TenCongTyID],DTR!$B$1,[1]!Data_PL_Element[Thang.Nam],DTR!AE$198)</f>
        <v>0</v>
      </c>
      <c r="AF214" s="189">
        <f>SUMIFS([1]!Data_PL_Element[Value],[1]!Data_PL_Element[Index PL Element],DTR!$B214,[1]!Data_PL_Element[TenCongTyID],DTR!$B$1,[1]!Data_PL_Element[Thang.Nam],DTR!AF$198)</f>
        <v>0</v>
      </c>
      <c r="AG214" s="189">
        <f>SUMIFS([1]!Data_PL_Element[Value],[1]!Data_PL_Element[Index PL Element],DTR!$B214,[1]!Data_PL_Element[TenCongTyID],DTR!$B$1,[1]!Data_PL_Element[Thang.Nam],DTR!AG$198)</f>
        <v>0</v>
      </c>
      <c r="AH214" s="189">
        <f>SUMIFS([1]!Data_PL_Element[Value],[1]!Data_PL_Element[Index PL Element],DTR!$B214,[1]!Data_PL_Element[TenCongTyID],DTR!$B$1,[1]!Data_PL_Element[Thang.Nam],DTR!AH$198)</f>
        <v>0</v>
      </c>
      <c r="AI214" s="189">
        <f>SUMIFS([1]!Data_PL_Element[Value],[1]!Data_PL_Element[Index PL Element],DTR!$B214,[1]!Data_PL_Element[TenCongTyID],DTR!$B$1,[1]!Data_PL_Element[Thang.Nam],DTR!AI$198)</f>
        <v>0</v>
      </c>
      <c r="AJ214" s="189">
        <f>SUMIFS([1]!Data_PL_Element[Value],[1]!Data_PL_Element[Index PL Element],DTR!$B214,[1]!Data_PL_Element[TenCongTyID],DTR!$B$1,[1]!Data_PL_Element[Thang.Nam],DTR!AJ$198)</f>
        <v>0</v>
      </c>
      <c r="AK214" s="189">
        <f>SUMIFS([1]!Data_PL_Element[Value],[1]!Data_PL_Element[Index PL Element],DTR!$B214,[1]!Data_PL_Element[TenCongTyID],DTR!$B$1,[1]!Data_PL_Element[Thang.Nam],DTR!AK$198)</f>
        <v>0</v>
      </c>
      <c r="AL214" s="189">
        <f>SUMIFS([1]!Data_PL_Element[Value],[1]!Data_PL_Element[Index PL Element],DTR!$B214,[1]!Data_PL_Element[TenCongTyID],DTR!$B$1,[1]!Data_PL_Element[Thang.Nam],DTR!AL$198)</f>
        <v>0</v>
      </c>
    </row>
    <row r="215" spans="1:38" ht="15" hidden="1" customHeight="1" outlineLevel="1">
      <c r="A215" s="178" t="s">
        <v>301</v>
      </c>
      <c r="B215" s="179">
        <v>17</v>
      </c>
      <c r="C215" s="189">
        <v>2020917639</v>
      </c>
      <c r="D215" s="189">
        <v>1555554987</v>
      </c>
      <c r="E215" s="189">
        <v>1637875127</v>
      </c>
      <c r="F215" s="189">
        <v>878422431</v>
      </c>
      <c r="G215" s="189">
        <v>2051708743</v>
      </c>
      <c r="H215" s="189">
        <v>1895104343</v>
      </c>
      <c r="I215" s="189">
        <v>1816060065</v>
      </c>
      <c r="J215" s="189">
        <v>2204403140</v>
      </c>
      <c r="K215" s="189">
        <v>2269873265</v>
      </c>
      <c r="L215" s="189">
        <v>2435634990</v>
      </c>
      <c r="M215" s="189">
        <v>2520359620</v>
      </c>
      <c r="N215" s="189">
        <v>3115615553</v>
      </c>
      <c r="O215" s="189">
        <v>2631225955</v>
      </c>
      <c r="P215" s="189">
        <v>2654899075</v>
      </c>
      <c r="Q215" s="189">
        <v>2576297392</v>
      </c>
      <c r="R215" s="189">
        <v>2715246974</v>
      </c>
      <c r="S215" s="189">
        <v>2827325335</v>
      </c>
      <c r="T215" s="189">
        <v>3054314949</v>
      </c>
      <c r="U215" s="189">
        <v>3949460038</v>
      </c>
      <c r="V215" s="189">
        <v>3403898776</v>
      </c>
      <c r="W215" s="189">
        <v>3679657147</v>
      </c>
      <c r="X215" s="189">
        <v>3417994312</v>
      </c>
      <c r="Y215" s="189">
        <v>3034974418</v>
      </c>
      <c r="Z215" s="189">
        <v>2874655702</v>
      </c>
      <c r="AA215" s="189">
        <f>SUMIFS([1]!Data_PL_Element[Value],[1]!Data_PL_Element[Index PL Element],DTR!$B215,[1]!Data_PL_Element[TenCongTyID],DTR!$B$1,[1]!Data_PL_Element[Thang.Nam],DTR!AA$198)</f>
        <v>0</v>
      </c>
      <c r="AB215" s="189">
        <f>SUMIFS([1]!Data_PL_Element[Value],[1]!Data_PL_Element[Index PL Element],DTR!$B215,[1]!Data_PL_Element[TenCongTyID],DTR!$B$1,[1]!Data_PL_Element[Thang.Nam],DTR!AB$198)</f>
        <v>0</v>
      </c>
      <c r="AC215" s="189">
        <f>SUMIFS([1]!Data_PL_Element[Value],[1]!Data_PL_Element[Index PL Element],DTR!$B215,[1]!Data_PL_Element[TenCongTyID],DTR!$B$1,[1]!Data_PL_Element[Thang.Nam],DTR!AC$198)</f>
        <v>0</v>
      </c>
      <c r="AD215" s="189">
        <f>SUMIFS([1]!Data_PL_Element[Value],[1]!Data_PL_Element[Index PL Element],DTR!$B215,[1]!Data_PL_Element[TenCongTyID],DTR!$B$1,[1]!Data_PL_Element[Thang.Nam],DTR!AD$198)</f>
        <v>0</v>
      </c>
      <c r="AE215" s="189">
        <f>SUMIFS([1]!Data_PL_Element[Value],[1]!Data_PL_Element[Index PL Element],DTR!$B215,[1]!Data_PL_Element[TenCongTyID],DTR!$B$1,[1]!Data_PL_Element[Thang.Nam],DTR!AE$198)</f>
        <v>0</v>
      </c>
      <c r="AF215" s="189">
        <f>SUMIFS([1]!Data_PL_Element[Value],[1]!Data_PL_Element[Index PL Element],DTR!$B215,[1]!Data_PL_Element[TenCongTyID],DTR!$B$1,[1]!Data_PL_Element[Thang.Nam],DTR!AF$198)</f>
        <v>0</v>
      </c>
      <c r="AG215" s="189">
        <f>SUMIFS([1]!Data_PL_Element[Value],[1]!Data_PL_Element[Index PL Element],DTR!$B215,[1]!Data_PL_Element[TenCongTyID],DTR!$B$1,[1]!Data_PL_Element[Thang.Nam],DTR!AG$198)</f>
        <v>0</v>
      </c>
      <c r="AH215" s="189">
        <f>SUMIFS([1]!Data_PL_Element[Value],[1]!Data_PL_Element[Index PL Element],DTR!$B215,[1]!Data_PL_Element[TenCongTyID],DTR!$B$1,[1]!Data_PL_Element[Thang.Nam],DTR!AH$198)</f>
        <v>0</v>
      </c>
      <c r="AI215" s="189">
        <f>SUMIFS([1]!Data_PL_Element[Value],[1]!Data_PL_Element[Index PL Element],DTR!$B215,[1]!Data_PL_Element[TenCongTyID],DTR!$B$1,[1]!Data_PL_Element[Thang.Nam],DTR!AI$198)</f>
        <v>0</v>
      </c>
      <c r="AJ215" s="189">
        <f>SUMIFS([1]!Data_PL_Element[Value],[1]!Data_PL_Element[Index PL Element],DTR!$B215,[1]!Data_PL_Element[TenCongTyID],DTR!$B$1,[1]!Data_PL_Element[Thang.Nam],DTR!AJ$198)</f>
        <v>0</v>
      </c>
      <c r="AK215" s="189">
        <f>SUMIFS([1]!Data_PL_Element[Value],[1]!Data_PL_Element[Index PL Element],DTR!$B215,[1]!Data_PL_Element[TenCongTyID],DTR!$B$1,[1]!Data_PL_Element[Thang.Nam],DTR!AK$198)</f>
        <v>0</v>
      </c>
      <c r="AL215" s="189">
        <f>SUMIFS([1]!Data_PL_Element[Value],[1]!Data_PL_Element[Index PL Element],DTR!$B215,[1]!Data_PL_Element[TenCongTyID],DTR!$B$1,[1]!Data_PL_Element[Thang.Nam],DTR!AL$198)</f>
        <v>0</v>
      </c>
    </row>
    <row r="216" spans="1:38" ht="15" hidden="1" customHeight="1" outlineLevel="1">
      <c r="A216" s="178" t="s">
        <v>302</v>
      </c>
      <c r="B216" s="179">
        <v>18</v>
      </c>
      <c r="C216" s="189">
        <v>2666532449</v>
      </c>
      <c r="D216" s="189">
        <v>2509115026</v>
      </c>
      <c r="E216" s="189">
        <v>2643185018</v>
      </c>
      <c r="F216" s="189">
        <v>2909653366</v>
      </c>
      <c r="G216" s="189">
        <v>2998379572</v>
      </c>
      <c r="H216" s="189">
        <v>3102653508</v>
      </c>
      <c r="I216" s="189">
        <v>2964605912</v>
      </c>
      <c r="J216" s="189">
        <v>3057573807</v>
      </c>
      <c r="K216" s="189">
        <v>3217108456</v>
      </c>
      <c r="L216" s="189">
        <v>3326405591</v>
      </c>
      <c r="M216" s="189">
        <v>3373368068</v>
      </c>
      <c r="N216" s="189">
        <v>3454846765</v>
      </c>
      <c r="O216" s="189">
        <v>3690742932</v>
      </c>
      <c r="P216" s="189">
        <v>3418118343</v>
      </c>
      <c r="Q216" s="189">
        <v>3490373259</v>
      </c>
      <c r="R216" s="189">
        <v>3954746975</v>
      </c>
      <c r="S216" s="189">
        <v>3863297667</v>
      </c>
      <c r="T216" s="189">
        <v>3978099403</v>
      </c>
      <c r="U216" s="189">
        <v>3963573985</v>
      </c>
      <c r="V216" s="189">
        <v>3984146103</v>
      </c>
      <c r="W216" s="189">
        <v>4215112899</v>
      </c>
      <c r="X216" s="189">
        <v>3415828653</v>
      </c>
      <c r="Y216" s="189">
        <v>3231718238</v>
      </c>
      <c r="Z216" s="189">
        <v>3297092458</v>
      </c>
      <c r="AA216" s="189">
        <f>SUMIFS([1]!Data_PL_Element[Value],[1]!Data_PL_Element[Index PL Element],DTR!$B216,[1]!Data_PL_Element[TenCongTyID],DTR!$B$1,[1]!Data_PL_Element[Thang.Nam],DTR!AA$198)</f>
        <v>0</v>
      </c>
      <c r="AB216" s="189">
        <f>SUMIFS([1]!Data_PL_Element[Value],[1]!Data_PL_Element[Index PL Element],DTR!$B216,[1]!Data_PL_Element[TenCongTyID],DTR!$B$1,[1]!Data_PL_Element[Thang.Nam],DTR!AB$198)</f>
        <v>0</v>
      </c>
      <c r="AC216" s="189">
        <f>SUMIFS([1]!Data_PL_Element[Value],[1]!Data_PL_Element[Index PL Element],DTR!$B216,[1]!Data_PL_Element[TenCongTyID],DTR!$B$1,[1]!Data_PL_Element[Thang.Nam],DTR!AC$198)</f>
        <v>0</v>
      </c>
      <c r="AD216" s="189">
        <f>SUMIFS([1]!Data_PL_Element[Value],[1]!Data_PL_Element[Index PL Element],DTR!$B216,[1]!Data_PL_Element[TenCongTyID],DTR!$B$1,[1]!Data_PL_Element[Thang.Nam],DTR!AD$198)</f>
        <v>0</v>
      </c>
      <c r="AE216" s="189">
        <f>SUMIFS([1]!Data_PL_Element[Value],[1]!Data_PL_Element[Index PL Element],DTR!$B216,[1]!Data_PL_Element[TenCongTyID],DTR!$B$1,[1]!Data_PL_Element[Thang.Nam],DTR!AE$198)</f>
        <v>0</v>
      </c>
      <c r="AF216" s="189">
        <f>SUMIFS([1]!Data_PL_Element[Value],[1]!Data_PL_Element[Index PL Element],DTR!$B216,[1]!Data_PL_Element[TenCongTyID],DTR!$B$1,[1]!Data_PL_Element[Thang.Nam],DTR!AF$198)</f>
        <v>0</v>
      </c>
      <c r="AG216" s="189">
        <f>SUMIFS([1]!Data_PL_Element[Value],[1]!Data_PL_Element[Index PL Element],DTR!$B216,[1]!Data_PL_Element[TenCongTyID],DTR!$B$1,[1]!Data_PL_Element[Thang.Nam],DTR!AG$198)</f>
        <v>0</v>
      </c>
      <c r="AH216" s="189">
        <f>SUMIFS([1]!Data_PL_Element[Value],[1]!Data_PL_Element[Index PL Element],DTR!$B216,[1]!Data_PL_Element[TenCongTyID],DTR!$B$1,[1]!Data_PL_Element[Thang.Nam],DTR!AH$198)</f>
        <v>0</v>
      </c>
      <c r="AI216" s="189">
        <f>SUMIFS([1]!Data_PL_Element[Value],[1]!Data_PL_Element[Index PL Element],DTR!$B216,[1]!Data_PL_Element[TenCongTyID],DTR!$B$1,[1]!Data_PL_Element[Thang.Nam],DTR!AI$198)</f>
        <v>0</v>
      </c>
      <c r="AJ216" s="189">
        <f>SUMIFS([1]!Data_PL_Element[Value],[1]!Data_PL_Element[Index PL Element],DTR!$B216,[1]!Data_PL_Element[TenCongTyID],DTR!$B$1,[1]!Data_PL_Element[Thang.Nam],DTR!AJ$198)</f>
        <v>0</v>
      </c>
      <c r="AK216" s="189">
        <f>SUMIFS([1]!Data_PL_Element[Value],[1]!Data_PL_Element[Index PL Element],DTR!$B216,[1]!Data_PL_Element[TenCongTyID],DTR!$B$1,[1]!Data_PL_Element[Thang.Nam],DTR!AK$198)</f>
        <v>0</v>
      </c>
      <c r="AL216" s="189">
        <f>SUMIFS([1]!Data_PL_Element[Value],[1]!Data_PL_Element[Index PL Element],DTR!$B216,[1]!Data_PL_Element[TenCongTyID],DTR!$B$1,[1]!Data_PL_Element[Thang.Nam],DTR!AL$198)</f>
        <v>0</v>
      </c>
    </row>
    <row r="217" spans="1:38" ht="15" hidden="1" customHeight="1" outlineLevel="1">
      <c r="A217" s="178" t="s">
        <v>303</v>
      </c>
      <c r="B217" s="179">
        <v>19</v>
      </c>
      <c r="C217" s="189">
        <v>714577800</v>
      </c>
      <c r="D217" s="189">
        <v>828377369</v>
      </c>
      <c r="E217" s="189">
        <v>717043607</v>
      </c>
      <c r="F217" s="189">
        <v>805808345</v>
      </c>
      <c r="G217" s="189">
        <v>812958699</v>
      </c>
      <c r="H217" s="189">
        <v>802191060</v>
      </c>
      <c r="I217" s="189">
        <v>897168620</v>
      </c>
      <c r="J217" s="189">
        <v>739881595</v>
      </c>
      <c r="K217" s="189">
        <v>869841145</v>
      </c>
      <c r="L217" s="189">
        <v>796070256</v>
      </c>
      <c r="M217" s="189">
        <v>853004465</v>
      </c>
      <c r="N217" s="189">
        <v>864719385</v>
      </c>
      <c r="O217" s="189">
        <v>1058778634</v>
      </c>
      <c r="P217" s="189">
        <v>1059976727</v>
      </c>
      <c r="Q217" s="189">
        <v>884210812</v>
      </c>
      <c r="R217" s="189">
        <v>953537908</v>
      </c>
      <c r="S217" s="189">
        <v>953779911</v>
      </c>
      <c r="T217" s="189">
        <v>933917956</v>
      </c>
      <c r="U217" s="189">
        <v>973986684</v>
      </c>
      <c r="V217" s="189">
        <v>1043617824</v>
      </c>
      <c r="W217" s="189">
        <v>1048031574</v>
      </c>
      <c r="X217" s="189">
        <v>1390890494</v>
      </c>
      <c r="Y217" s="189">
        <v>1386189897</v>
      </c>
      <c r="Z217" s="189">
        <v>1386648247</v>
      </c>
      <c r="AA217" s="189">
        <f>SUMIFS([1]!Data_PL_Element[Value],[1]!Data_PL_Element[Index PL Element],DTR!$B217,[1]!Data_PL_Element[TenCongTyID],DTR!$B$1,[1]!Data_PL_Element[Thang.Nam],DTR!AA$198)</f>
        <v>0</v>
      </c>
      <c r="AB217" s="189">
        <f>SUMIFS([1]!Data_PL_Element[Value],[1]!Data_PL_Element[Index PL Element],DTR!$B217,[1]!Data_PL_Element[TenCongTyID],DTR!$B$1,[1]!Data_PL_Element[Thang.Nam],DTR!AB$198)</f>
        <v>0</v>
      </c>
      <c r="AC217" s="189">
        <f>SUMIFS([1]!Data_PL_Element[Value],[1]!Data_PL_Element[Index PL Element],DTR!$B217,[1]!Data_PL_Element[TenCongTyID],DTR!$B$1,[1]!Data_PL_Element[Thang.Nam],DTR!AC$198)</f>
        <v>0</v>
      </c>
      <c r="AD217" s="189">
        <f>SUMIFS([1]!Data_PL_Element[Value],[1]!Data_PL_Element[Index PL Element],DTR!$B217,[1]!Data_PL_Element[TenCongTyID],DTR!$B$1,[1]!Data_PL_Element[Thang.Nam],DTR!AD$198)</f>
        <v>0</v>
      </c>
      <c r="AE217" s="189">
        <f>SUMIFS([1]!Data_PL_Element[Value],[1]!Data_PL_Element[Index PL Element],DTR!$B217,[1]!Data_PL_Element[TenCongTyID],DTR!$B$1,[1]!Data_PL_Element[Thang.Nam],DTR!AE$198)</f>
        <v>0</v>
      </c>
      <c r="AF217" s="189">
        <f>SUMIFS([1]!Data_PL_Element[Value],[1]!Data_PL_Element[Index PL Element],DTR!$B217,[1]!Data_PL_Element[TenCongTyID],DTR!$B$1,[1]!Data_PL_Element[Thang.Nam],DTR!AF$198)</f>
        <v>0</v>
      </c>
      <c r="AG217" s="189">
        <f>SUMIFS([1]!Data_PL_Element[Value],[1]!Data_PL_Element[Index PL Element],DTR!$B217,[1]!Data_PL_Element[TenCongTyID],DTR!$B$1,[1]!Data_PL_Element[Thang.Nam],DTR!AG$198)</f>
        <v>0</v>
      </c>
      <c r="AH217" s="189">
        <f>SUMIFS([1]!Data_PL_Element[Value],[1]!Data_PL_Element[Index PL Element],DTR!$B217,[1]!Data_PL_Element[TenCongTyID],DTR!$B$1,[1]!Data_PL_Element[Thang.Nam],DTR!AH$198)</f>
        <v>0</v>
      </c>
      <c r="AI217" s="189">
        <f>SUMIFS([1]!Data_PL_Element[Value],[1]!Data_PL_Element[Index PL Element],DTR!$B217,[1]!Data_PL_Element[TenCongTyID],DTR!$B$1,[1]!Data_PL_Element[Thang.Nam],DTR!AI$198)</f>
        <v>0</v>
      </c>
      <c r="AJ217" s="189">
        <f>SUMIFS([1]!Data_PL_Element[Value],[1]!Data_PL_Element[Index PL Element],DTR!$B217,[1]!Data_PL_Element[TenCongTyID],DTR!$B$1,[1]!Data_PL_Element[Thang.Nam],DTR!AJ$198)</f>
        <v>0</v>
      </c>
      <c r="AK217" s="189">
        <f>SUMIFS([1]!Data_PL_Element[Value],[1]!Data_PL_Element[Index PL Element],DTR!$B217,[1]!Data_PL_Element[TenCongTyID],DTR!$B$1,[1]!Data_PL_Element[Thang.Nam],DTR!AK$198)</f>
        <v>0</v>
      </c>
      <c r="AL217" s="189">
        <f>SUMIFS([1]!Data_PL_Element[Value],[1]!Data_PL_Element[Index PL Element],DTR!$B217,[1]!Data_PL_Element[TenCongTyID],DTR!$B$1,[1]!Data_PL_Element[Thang.Nam],DTR!AL$198)</f>
        <v>0</v>
      </c>
    </row>
    <row r="218" spans="1:38" ht="15" hidden="1" customHeight="1" outlineLevel="1">
      <c r="A218" s="178" t="s">
        <v>304</v>
      </c>
      <c r="B218" s="179">
        <v>20</v>
      </c>
      <c r="C218" s="189">
        <v>460529842</v>
      </c>
      <c r="D218" s="189">
        <v>434571553</v>
      </c>
      <c r="E218" s="189">
        <v>544088110</v>
      </c>
      <c r="F218" s="189">
        <v>510521295</v>
      </c>
      <c r="G218" s="189">
        <v>642495196</v>
      </c>
      <c r="H218" s="189">
        <v>690234002</v>
      </c>
      <c r="I218" s="189">
        <v>410469104</v>
      </c>
      <c r="J218" s="189">
        <v>569152145</v>
      </c>
      <c r="K218" s="189">
        <v>603787768</v>
      </c>
      <c r="L218" s="189">
        <v>725450829</v>
      </c>
      <c r="M218" s="189">
        <v>794641207</v>
      </c>
      <c r="N218" s="189">
        <v>939137701</v>
      </c>
      <c r="O218" s="189">
        <v>734659695</v>
      </c>
      <c r="P218" s="189">
        <v>631468372</v>
      </c>
      <c r="Q218" s="189">
        <v>695561422</v>
      </c>
      <c r="R218" s="189">
        <v>743147515</v>
      </c>
      <c r="S218" s="189">
        <v>753334254</v>
      </c>
      <c r="T218" s="189">
        <v>977482432</v>
      </c>
      <c r="U218" s="189">
        <v>1028204484</v>
      </c>
      <c r="V218" s="189">
        <v>944206342</v>
      </c>
      <c r="W218" s="189">
        <v>727564953</v>
      </c>
      <c r="X218" s="189">
        <v>733977685</v>
      </c>
      <c r="Y218" s="189">
        <v>772842144</v>
      </c>
      <c r="Z218" s="189">
        <v>759303904</v>
      </c>
      <c r="AA218" s="189">
        <f>SUMIFS([1]!Data_PL_Element[Value],[1]!Data_PL_Element[Index PL Element],DTR!$B218,[1]!Data_PL_Element[TenCongTyID],DTR!$B$1,[1]!Data_PL_Element[Thang.Nam],DTR!AA$198)</f>
        <v>0</v>
      </c>
      <c r="AB218" s="189">
        <f>SUMIFS([1]!Data_PL_Element[Value],[1]!Data_PL_Element[Index PL Element],DTR!$B218,[1]!Data_PL_Element[TenCongTyID],DTR!$B$1,[1]!Data_PL_Element[Thang.Nam],DTR!AB$198)</f>
        <v>0</v>
      </c>
      <c r="AC218" s="189">
        <f>SUMIFS([1]!Data_PL_Element[Value],[1]!Data_PL_Element[Index PL Element],DTR!$B218,[1]!Data_PL_Element[TenCongTyID],DTR!$B$1,[1]!Data_PL_Element[Thang.Nam],DTR!AC$198)</f>
        <v>0</v>
      </c>
      <c r="AD218" s="189">
        <f>SUMIFS([1]!Data_PL_Element[Value],[1]!Data_PL_Element[Index PL Element],DTR!$B218,[1]!Data_PL_Element[TenCongTyID],DTR!$B$1,[1]!Data_PL_Element[Thang.Nam],DTR!AD$198)</f>
        <v>0</v>
      </c>
      <c r="AE218" s="189">
        <f>SUMIFS([1]!Data_PL_Element[Value],[1]!Data_PL_Element[Index PL Element],DTR!$B218,[1]!Data_PL_Element[TenCongTyID],DTR!$B$1,[1]!Data_PL_Element[Thang.Nam],DTR!AE$198)</f>
        <v>0</v>
      </c>
      <c r="AF218" s="189">
        <f>SUMIFS([1]!Data_PL_Element[Value],[1]!Data_PL_Element[Index PL Element],DTR!$B218,[1]!Data_PL_Element[TenCongTyID],DTR!$B$1,[1]!Data_PL_Element[Thang.Nam],DTR!AF$198)</f>
        <v>0</v>
      </c>
      <c r="AG218" s="189">
        <f>SUMIFS([1]!Data_PL_Element[Value],[1]!Data_PL_Element[Index PL Element],DTR!$B218,[1]!Data_PL_Element[TenCongTyID],DTR!$B$1,[1]!Data_PL_Element[Thang.Nam],DTR!AG$198)</f>
        <v>0</v>
      </c>
      <c r="AH218" s="189">
        <f>SUMIFS([1]!Data_PL_Element[Value],[1]!Data_PL_Element[Index PL Element],DTR!$B218,[1]!Data_PL_Element[TenCongTyID],DTR!$B$1,[1]!Data_PL_Element[Thang.Nam],DTR!AH$198)</f>
        <v>0</v>
      </c>
      <c r="AI218" s="189">
        <f>SUMIFS([1]!Data_PL_Element[Value],[1]!Data_PL_Element[Index PL Element],DTR!$B218,[1]!Data_PL_Element[TenCongTyID],DTR!$B$1,[1]!Data_PL_Element[Thang.Nam],DTR!AI$198)</f>
        <v>0</v>
      </c>
      <c r="AJ218" s="189">
        <f>SUMIFS([1]!Data_PL_Element[Value],[1]!Data_PL_Element[Index PL Element],DTR!$B218,[1]!Data_PL_Element[TenCongTyID],DTR!$B$1,[1]!Data_PL_Element[Thang.Nam],DTR!AJ$198)</f>
        <v>0</v>
      </c>
      <c r="AK218" s="189">
        <f>SUMIFS([1]!Data_PL_Element[Value],[1]!Data_PL_Element[Index PL Element],DTR!$B218,[1]!Data_PL_Element[TenCongTyID],DTR!$B$1,[1]!Data_PL_Element[Thang.Nam],DTR!AK$198)</f>
        <v>0</v>
      </c>
      <c r="AL218" s="189">
        <f>SUMIFS([1]!Data_PL_Element[Value],[1]!Data_PL_Element[Index PL Element],DTR!$B218,[1]!Data_PL_Element[TenCongTyID],DTR!$B$1,[1]!Data_PL_Element[Thang.Nam],DTR!AL$198)</f>
        <v>0</v>
      </c>
    </row>
    <row r="219" spans="1:38" ht="15" hidden="1" customHeight="1" outlineLevel="1">
      <c r="A219" s="190" t="s">
        <v>305</v>
      </c>
      <c r="B219" s="191">
        <v>21</v>
      </c>
      <c r="C219" s="189">
        <v>3894354715</v>
      </c>
      <c r="D219" s="189">
        <v>3652447665</v>
      </c>
      <c r="E219" s="189">
        <v>10039240901</v>
      </c>
      <c r="F219" s="189">
        <v>8812805553</v>
      </c>
      <c r="G219" s="189">
        <v>8812804558</v>
      </c>
      <c r="H219" s="189">
        <v>8371551826</v>
      </c>
      <c r="I219" s="189">
        <v>7720780123</v>
      </c>
      <c r="J219" s="189">
        <v>8071776355</v>
      </c>
      <c r="K219" s="189">
        <v>8327236899</v>
      </c>
      <c r="L219" s="189">
        <v>7638641417</v>
      </c>
      <c r="M219" s="189">
        <v>7497692372</v>
      </c>
      <c r="N219" s="189">
        <v>4107851153</v>
      </c>
      <c r="O219" s="189">
        <v>7550772172</v>
      </c>
      <c r="P219" s="189">
        <v>7731852703</v>
      </c>
      <c r="Q219" s="189">
        <v>7955172220</v>
      </c>
      <c r="R219" s="189">
        <v>8384103086</v>
      </c>
      <c r="S219" s="189">
        <v>8018883805</v>
      </c>
      <c r="T219" s="189">
        <v>8334772845</v>
      </c>
      <c r="U219" s="189">
        <v>8464686794</v>
      </c>
      <c r="V219" s="189">
        <v>8477640779</v>
      </c>
      <c r="W219" s="189">
        <v>8530232569</v>
      </c>
      <c r="X219" s="189">
        <v>8580915420</v>
      </c>
      <c r="Y219" s="189">
        <v>8173188133</v>
      </c>
      <c r="Z219" s="189">
        <v>7949707225</v>
      </c>
      <c r="AA219" s="189">
        <f>SUMIFS([1]!Data_PL_Element[Value],[1]!Data_PL_Element[Index PL Element],DTR!$B219,[1]!Data_PL_Element[TenCongTyID],DTR!$B$1,[1]!Data_PL_Element[Thang.Nam],DTR!AA$198)</f>
        <v>0</v>
      </c>
      <c r="AB219" s="189">
        <f>SUMIFS([1]!Data_PL_Element[Value],[1]!Data_PL_Element[Index PL Element],DTR!$B219,[1]!Data_PL_Element[TenCongTyID],DTR!$B$1,[1]!Data_PL_Element[Thang.Nam],DTR!AB$198)</f>
        <v>0</v>
      </c>
      <c r="AC219" s="189">
        <f>SUMIFS([1]!Data_PL_Element[Value],[1]!Data_PL_Element[Index PL Element],DTR!$B219,[1]!Data_PL_Element[TenCongTyID],DTR!$B$1,[1]!Data_PL_Element[Thang.Nam],DTR!AC$198)</f>
        <v>0</v>
      </c>
      <c r="AD219" s="189">
        <f>SUMIFS([1]!Data_PL_Element[Value],[1]!Data_PL_Element[Index PL Element],DTR!$B219,[1]!Data_PL_Element[TenCongTyID],DTR!$B$1,[1]!Data_PL_Element[Thang.Nam],DTR!AD$198)</f>
        <v>0</v>
      </c>
      <c r="AE219" s="189">
        <f>SUMIFS([1]!Data_PL_Element[Value],[1]!Data_PL_Element[Index PL Element],DTR!$B219,[1]!Data_PL_Element[TenCongTyID],DTR!$B$1,[1]!Data_PL_Element[Thang.Nam],DTR!AE$198)</f>
        <v>0</v>
      </c>
      <c r="AF219" s="189">
        <f>SUMIFS([1]!Data_PL_Element[Value],[1]!Data_PL_Element[Index PL Element],DTR!$B219,[1]!Data_PL_Element[TenCongTyID],DTR!$B$1,[1]!Data_PL_Element[Thang.Nam],DTR!AF$198)</f>
        <v>0</v>
      </c>
      <c r="AG219" s="189">
        <f>SUMIFS([1]!Data_PL_Element[Value],[1]!Data_PL_Element[Index PL Element],DTR!$B219,[1]!Data_PL_Element[TenCongTyID],DTR!$B$1,[1]!Data_PL_Element[Thang.Nam],DTR!AG$198)</f>
        <v>0</v>
      </c>
      <c r="AH219" s="189">
        <f>SUMIFS([1]!Data_PL_Element[Value],[1]!Data_PL_Element[Index PL Element],DTR!$B219,[1]!Data_PL_Element[TenCongTyID],DTR!$B$1,[1]!Data_PL_Element[Thang.Nam],DTR!AH$198)</f>
        <v>0</v>
      </c>
      <c r="AI219" s="189">
        <f>SUMIFS([1]!Data_PL_Element[Value],[1]!Data_PL_Element[Index PL Element],DTR!$B219,[1]!Data_PL_Element[TenCongTyID],DTR!$B$1,[1]!Data_PL_Element[Thang.Nam],DTR!AI$198)</f>
        <v>0</v>
      </c>
      <c r="AJ219" s="189">
        <f>SUMIFS([1]!Data_PL_Element[Value],[1]!Data_PL_Element[Index PL Element],DTR!$B219,[1]!Data_PL_Element[TenCongTyID],DTR!$B$1,[1]!Data_PL_Element[Thang.Nam],DTR!AJ$198)</f>
        <v>0</v>
      </c>
      <c r="AK219" s="189">
        <f>SUMIFS([1]!Data_PL_Element[Value],[1]!Data_PL_Element[Index PL Element],DTR!$B219,[1]!Data_PL_Element[TenCongTyID],DTR!$B$1,[1]!Data_PL_Element[Thang.Nam],DTR!AK$198)</f>
        <v>0</v>
      </c>
      <c r="AL219" s="189">
        <f>SUMIFS([1]!Data_PL_Element[Value],[1]!Data_PL_Element[Index PL Element],DTR!$B219,[1]!Data_PL_Element[TenCongTyID],DTR!$B$1,[1]!Data_PL_Element[Thang.Nam],DTR!AL$198)</f>
        <v>0</v>
      </c>
    </row>
    <row r="220" spans="1:38" ht="15" hidden="1" customHeight="1" outlineLevel="1">
      <c r="A220" s="178" t="s">
        <v>306</v>
      </c>
      <c r="B220" s="179">
        <v>22</v>
      </c>
      <c r="C220" s="189">
        <v>5568667717</v>
      </c>
      <c r="D220" s="189">
        <v>5573546970</v>
      </c>
      <c r="E220" s="189">
        <v>2870749336</v>
      </c>
      <c r="F220" s="189">
        <v>2993181073</v>
      </c>
      <c r="G220" s="189">
        <v>3046414798</v>
      </c>
      <c r="H220" s="189">
        <v>3049589322</v>
      </c>
      <c r="I220" s="189">
        <v>3083645781</v>
      </c>
      <c r="J220" s="189">
        <v>3104579094</v>
      </c>
      <c r="K220" s="189">
        <v>3243860916</v>
      </c>
      <c r="L220" s="189">
        <v>3243941706</v>
      </c>
      <c r="M220" s="189">
        <v>3278052242</v>
      </c>
      <c r="N220" s="189">
        <v>3553075383</v>
      </c>
      <c r="O220" s="189">
        <v>3580021036</v>
      </c>
      <c r="P220" s="189">
        <v>3581565481</v>
      </c>
      <c r="Q220" s="189">
        <v>3775596118</v>
      </c>
      <c r="R220" s="189">
        <v>3661702831</v>
      </c>
      <c r="S220" s="189">
        <v>3848361886</v>
      </c>
      <c r="T220" s="189">
        <v>3844542443</v>
      </c>
      <c r="U220" s="189">
        <v>3851845256</v>
      </c>
      <c r="V220" s="189">
        <v>3844351847</v>
      </c>
      <c r="W220" s="189">
        <v>4163777464</v>
      </c>
      <c r="X220" s="189">
        <v>3970961581</v>
      </c>
      <c r="Y220" s="189">
        <v>4134395532</v>
      </c>
      <c r="Z220" s="189">
        <v>4163728315</v>
      </c>
      <c r="AA220" s="189">
        <f>SUMIFS([1]!Data_PL_Element[Value],[1]!Data_PL_Element[Index PL Element],DTR!$B220,[1]!Data_PL_Element[TenCongTyID],DTR!$B$1,[1]!Data_PL_Element[Thang.Nam],DTR!AA$198)</f>
        <v>0</v>
      </c>
      <c r="AB220" s="189">
        <f>SUMIFS([1]!Data_PL_Element[Value],[1]!Data_PL_Element[Index PL Element],DTR!$B220,[1]!Data_PL_Element[TenCongTyID],DTR!$B$1,[1]!Data_PL_Element[Thang.Nam],DTR!AB$198)</f>
        <v>0</v>
      </c>
      <c r="AC220" s="189">
        <f>SUMIFS([1]!Data_PL_Element[Value],[1]!Data_PL_Element[Index PL Element],DTR!$B220,[1]!Data_PL_Element[TenCongTyID],DTR!$B$1,[1]!Data_PL_Element[Thang.Nam],DTR!AC$198)</f>
        <v>0</v>
      </c>
      <c r="AD220" s="189">
        <f>SUMIFS([1]!Data_PL_Element[Value],[1]!Data_PL_Element[Index PL Element],DTR!$B220,[1]!Data_PL_Element[TenCongTyID],DTR!$B$1,[1]!Data_PL_Element[Thang.Nam],DTR!AD$198)</f>
        <v>0</v>
      </c>
      <c r="AE220" s="189">
        <f>SUMIFS([1]!Data_PL_Element[Value],[1]!Data_PL_Element[Index PL Element],DTR!$B220,[1]!Data_PL_Element[TenCongTyID],DTR!$B$1,[1]!Data_PL_Element[Thang.Nam],DTR!AE$198)</f>
        <v>0</v>
      </c>
      <c r="AF220" s="189">
        <f>SUMIFS([1]!Data_PL_Element[Value],[1]!Data_PL_Element[Index PL Element],DTR!$B220,[1]!Data_PL_Element[TenCongTyID],DTR!$B$1,[1]!Data_PL_Element[Thang.Nam],DTR!AF$198)</f>
        <v>0</v>
      </c>
      <c r="AG220" s="189">
        <f>SUMIFS([1]!Data_PL_Element[Value],[1]!Data_PL_Element[Index PL Element],DTR!$B220,[1]!Data_PL_Element[TenCongTyID],DTR!$B$1,[1]!Data_PL_Element[Thang.Nam],DTR!AG$198)</f>
        <v>0</v>
      </c>
      <c r="AH220" s="189">
        <f>SUMIFS([1]!Data_PL_Element[Value],[1]!Data_PL_Element[Index PL Element],DTR!$B220,[1]!Data_PL_Element[TenCongTyID],DTR!$B$1,[1]!Data_PL_Element[Thang.Nam],DTR!AH$198)</f>
        <v>0</v>
      </c>
      <c r="AI220" s="189">
        <f>SUMIFS([1]!Data_PL_Element[Value],[1]!Data_PL_Element[Index PL Element],DTR!$B220,[1]!Data_PL_Element[TenCongTyID],DTR!$B$1,[1]!Data_PL_Element[Thang.Nam],DTR!AI$198)</f>
        <v>0</v>
      </c>
      <c r="AJ220" s="189">
        <f>SUMIFS([1]!Data_PL_Element[Value],[1]!Data_PL_Element[Index PL Element],DTR!$B220,[1]!Data_PL_Element[TenCongTyID],DTR!$B$1,[1]!Data_PL_Element[Thang.Nam],DTR!AJ$198)</f>
        <v>0</v>
      </c>
      <c r="AK220" s="189">
        <f>SUMIFS([1]!Data_PL_Element[Value],[1]!Data_PL_Element[Index PL Element],DTR!$B220,[1]!Data_PL_Element[TenCongTyID],DTR!$B$1,[1]!Data_PL_Element[Thang.Nam],DTR!AK$198)</f>
        <v>0</v>
      </c>
      <c r="AL220" s="189">
        <f>SUMIFS([1]!Data_PL_Element[Value],[1]!Data_PL_Element[Index PL Element],DTR!$B220,[1]!Data_PL_Element[TenCongTyID],DTR!$B$1,[1]!Data_PL_Element[Thang.Nam],DTR!AL$198)</f>
        <v>0</v>
      </c>
    </row>
    <row r="221" spans="1:38" ht="15" hidden="1" customHeight="1" outlineLevel="1">
      <c r="A221" s="178" t="s">
        <v>307</v>
      </c>
      <c r="B221" s="179">
        <v>23</v>
      </c>
      <c r="C221" s="189">
        <v>2408877200</v>
      </c>
      <c r="D221" s="189">
        <v>321736000</v>
      </c>
      <c r="E221" s="189">
        <v>407200000</v>
      </c>
      <c r="F221" s="189">
        <v>1027400000</v>
      </c>
      <c r="G221" s="189">
        <v>1296610000</v>
      </c>
      <c r="H221" s="189">
        <v>932027000</v>
      </c>
      <c r="I221" s="189">
        <v>1461251000</v>
      </c>
      <c r="J221" s="189">
        <v>1743703999</v>
      </c>
      <c r="K221" s="189">
        <v>838296001</v>
      </c>
      <c r="L221" s="189">
        <v>1688273746</v>
      </c>
      <c r="M221" s="189">
        <v>1220372826</v>
      </c>
      <c r="N221" s="189">
        <v>1496105366</v>
      </c>
      <c r="O221" s="189">
        <v>380467548</v>
      </c>
      <c r="P221" s="189">
        <v>1845315600</v>
      </c>
      <c r="Q221" s="189">
        <v>1342787586</v>
      </c>
      <c r="R221" s="189">
        <v>843454000</v>
      </c>
      <c r="S221" s="189">
        <v>350000000</v>
      </c>
      <c r="T221" s="189">
        <v>510000000</v>
      </c>
      <c r="U221" s="189">
        <v>200000000</v>
      </c>
      <c r="V221" s="189">
        <v>898330000</v>
      </c>
      <c r="W221" s="189">
        <v>1091045000</v>
      </c>
      <c r="X221" s="189">
        <v>1155172500</v>
      </c>
      <c r="Y221" s="189">
        <v>975000000</v>
      </c>
      <c r="Z221" s="189">
        <v>930000000</v>
      </c>
      <c r="AA221" s="189">
        <f>SUMIFS([1]!Data_PL_Element[Value],[1]!Data_PL_Element[Index PL Element],DTR!$B221,[1]!Data_PL_Element[TenCongTyID],DTR!$B$1,[1]!Data_PL_Element[Thang.Nam],DTR!AA$198)</f>
        <v>0</v>
      </c>
      <c r="AB221" s="189">
        <f>SUMIFS([1]!Data_PL_Element[Value],[1]!Data_PL_Element[Index PL Element],DTR!$B221,[1]!Data_PL_Element[TenCongTyID],DTR!$B$1,[1]!Data_PL_Element[Thang.Nam],DTR!AB$198)</f>
        <v>0</v>
      </c>
      <c r="AC221" s="189">
        <f>SUMIFS([1]!Data_PL_Element[Value],[1]!Data_PL_Element[Index PL Element],DTR!$B221,[1]!Data_PL_Element[TenCongTyID],DTR!$B$1,[1]!Data_PL_Element[Thang.Nam],DTR!AC$198)</f>
        <v>0</v>
      </c>
      <c r="AD221" s="189">
        <f>SUMIFS([1]!Data_PL_Element[Value],[1]!Data_PL_Element[Index PL Element],DTR!$B221,[1]!Data_PL_Element[TenCongTyID],DTR!$B$1,[1]!Data_PL_Element[Thang.Nam],DTR!AD$198)</f>
        <v>0</v>
      </c>
      <c r="AE221" s="189">
        <f>SUMIFS([1]!Data_PL_Element[Value],[1]!Data_PL_Element[Index PL Element],DTR!$B221,[1]!Data_PL_Element[TenCongTyID],DTR!$B$1,[1]!Data_PL_Element[Thang.Nam],DTR!AE$198)</f>
        <v>0</v>
      </c>
      <c r="AF221" s="189">
        <f>SUMIFS([1]!Data_PL_Element[Value],[1]!Data_PL_Element[Index PL Element],DTR!$B221,[1]!Data_PL_Element[TenCongTyID],DTR!$B$1,[1]!Data_PL_Element[Thang.Nam],DTR!AF$198)</f>
        <v>0</v>
      </c>
      <c r="AG221" s="189">
        <f>SUMIFS([1]!Data_PL_Element[Value],[1]!Data_PL_Element[Index PL Element],DTR!$B221,[1]!Data_PL_Element[TenCongTyID],DTR!$B$1,[1]!Data_PL_Element[Thang.Nam],DTR!AG$198)</f>
        <v>0</v>
      </c>
      <c r="AH221" s="189">
        <f>SUMIFS([1]!Data_PL_Element[Value],[1]!Data_PL_Element[Index PL Element],DTR!$B221,[1]!Data_PL_Element[TenCongTyID],DTR!$B$1,[1]!Data_PL_Element[Thang.Nam],DTR!AH$198)</f>
        <v>0</v>
      </c>
      <c r="AI221" s="189">
        <f>SUMIFS([1]!Data_PL_Element[Value],[1]!Data_PL_Element[Index PL Element],DTR!$B221,[1]!Data_PL_Element[TenCongTyID],DTR!$B$1,[1]!Data_PL_Element[Thang.Nam],DTR!AI$198)</f>
        <v>0</v>
      </c>
      <c r="AJ221" s="189">
        <f>SUMIFS([1]!Data_PL_Element[Value],[1]!Data_PL_Element[Index PL Element],DTR!$B221,[1]!Data_PL_Element[TenCongTyID],DTR!$B$1,[1]!Data_PL_Element[Thang.Nam],DTR!AJ$198)</f>
        <v>0</v>
      </c>
      <c r="AK221" s="189">
        <f>SUMIFS([1]!Data_PL_Element[Value],[1]!Data_PL_Element[Index PL Element],DTR!$B221,[1]!Data_PL_Element[TenCongTyID],DTR!$B$1,[1]!Data_PL_Element[Thang.Nam],DTR!AK$198)</f>
        <v>0</v>
      </c>
      <c r="AL221" s="189">
        <f>SUMIFS([1]!Data_PL_Element[Value],[1]!Data_PL_Element[Index PL Element],DTR!$B221,[1]!Data_PL_Element[TenCongTyID],DTR!$B$1,[1]!Data_PL_Element[Thang.Nam],DTR!AL$198)</f>
        <v>0</v>
      </c>
    </row>
    <row r="222" spans="1:38" ht="15" hidden="1" customHeight="1" outlineLevel="1">
      <c r="A222" s="178" t="s">
        <v>308</v>
      </c>
      <c r="B222" s="179">
        <v>24</v>
      </c>
      <c r="C222" s="189">
        <v>11008792358</v>
      </c>
      <c r="D222" s="189">
        <v>14091966230</v>
      </c>
      <c r="E222" s="189">
        <v>14967977208</v>
      </c>
      <c r="F222" s="189">
        <v>9793313487</v>
      </c>
      <c r="G222" s="189">
        <v>10326586768</v>
      </c>
      <c r="H222" s="189">
        <v>10046707984</v>
      </c>
      <c r="I222" s="189">
        <v>10237671622</v>
      </c>
      <c r="J222" s="189">
        <v>11454537032.999998</v>
      </c>
      <c r="K222" s="189">
        <v>8202935246.1999998</v>
      </c>
      <c r="L222" s="189">
        <v>11930809359</v>
      </c>
      <c r="M222" s="189">
        <v>11338421470</v>
      </c>
      <c r="N222" s="189">
        <v>-100750162957.9847</v>
      </c>
      <c r="O222" s="189">
        <v>3319313766.2285709</v>
      </c>
      <c r="P222" s="189">
        <v>6191106221.0000019</v>
      </c>
      <c r="Q222" s="189">
        <v>4657786130</v>
      </c>
      <c r="R222" s="189">
        <v>4702108313.000001</v>
      </c>
      <c r="S222" s="189">
        <v>3960915150.0303802</v>
      </c>
      <c r="T222" s="189">
        <v>1526329938.9999995</v>
      </c>
      <c r="U222" s="189">
        <v>2343497099.9999995</v>
      </c>
      <c r="V222" s="189">
        <v>5876744486.000001</v>
      </c>
      <c r="W222" s="189">
        <v>2984086188</v>
      </c>
      <c r="X222" s="189">
        <v>7836483946</v>
      </c>
      <c r="Y222" s="189">
        <v>4104777916</v>
      </c>
      <c r="Z222" s="189">
        <v>-14720423131.803801</v>
      </c>
      <c r="AA222" s="189">
        <f>SUMIFS([1]!Data_PL_Element[Value],[1]!Data_PL_Element[Index PL Element],DTR!$B222,[1]!Data_PL_Element[TenCongTyID],DTR!$B$1,[1]!Data_PL_Element[Thang.Nam],DTR!AA$198)</f>
        <v>0</v>
      </c>
      <c r="AB222" s="189">
        <f>SUMIFS([1]!Data_PL_Element[Value],[1]!Data_PL_Element[Index PL Element],DTR!$B222,[1]!Data_PL_Element[TenCongTyID],DTR!$B$1,[1]!Data_PL_Element[Thang.Nam],DTR!AB$198)</f>
        <v>0</v>
      </c>
      <c r="AC222" s="189">
        <f>SUMIFS([1]!Data_PL_Element[Value],[1]!Data_PL_Element[Index PL Element],DTR!$B222,[1]!Data_PL_Element[TenCongTyID],DTR!$B$1,[1]!Data_PL_Element[Thang.Nam],DTR!AC$198)</f>
        <v>0</v>
      </c>
      <c r="AD222" s="189">
        <f>SUMIFS([1]!Data_PL_Element[Value],[1]!Data_PL_Element[Index PL Element],DTR!$B222,[1]!Data_PL_Element[TenCongTyID],DTR!$B$1,[1]!Data_PL_Element[Thang.Nam],DTR!AD$198)</f>
        <v>0</v>
      </c>
      <c r="AE222" s="189">
        <f>SUMIFS([1]!Data_PL_Element[Value],[1]!Data_PL_Element[Index PL Element],DTR!$B222,[1]!Data_PL_Element[TenCongTyID],DTR!$B$1,[1]!Data_PL_Element[Thang.Nam],DTR!AE$198)</f>
        <v>0</v>
      </c>
      <c r="AF222" s="189">
        <f>SUMIFS([1]!Data_PL_Element[Value],[1]!Data_PL_Element[Index PL Element],DTR!$B222,[1]!Data_PL_Element[TenCongTyID],DTR!$B$1,[1]!Data_PL_Element[Thang.Nam],DTR!AF$198)</f>
        <v>0</v>
      </c>
      <c r="AG222" s="189">
        <f>SUMIFS([1]!Data_PL_Element[Value],[1]!Data_PL_Element[Index PL Element],DTR!$B222,[1]!Data_PL_Element[TenCongTyID],DTR!$B$1,[1]!Data_PL_Element[Thang.Nam],DTR!AG$198)</f>
        <v>0</v>
      </c>
      <c r="AH222" s="189">
        <f>SUMIFS([1]!Data_PL_Element[Value],[1]!Data_PL_Element[Index PL Element],DTR!$B222,[1]!Data_PL_Element[TenCongTyID],DTR!$B$1,[1]!Data_PL_Element[Thang.Nam],DTR!AH$198)</f>
        <v>0</v>
      </c>
      <c r="AI222" s="189">
        <f>SUMIFS([1]!Data_PL_Element[Value],[1]!Data_PL_Element[Index PL Element],DTR!$B222,[1]!Data_PL_Element[TenCongTyID],DTR!$B$1,[1]!Data_PL_Element[Thang.Nam],DTR!AI$198)</f>
        <v>0</v>
      </c>
      <c r="AJ222" s="189">
        <f>SUMIFS([1]!Data_PL_Element[Value],[1]!Data_PL_Element[Index PL Element],DTR!$B222,[1]!Data_PL_Element[TenCongTyID],DTR!$B$1,[1]!Data_PL_Element[Thang.Nam],DTR!AJ$198)</f>
        <v>0</v>
      </c>
      <c r="AK222" s="189">
        <f>SUMIFS([1]!Data_PL_Element[Value],[1]!Data_PL_Element[Index PL Element],DTR!$B222,[1]!Data_PL_Element[TenCongTyID],DTR!$B$1,[1]!Data_PL_Element[Thang.Nam],DTR!AK$198)</f>
        <v>0</v>
      </c>
      <c r="AL222" s="189">
        <f>SUMIFS([1]!Data_PL_Element[Value],[1]!Data_PL_Element[Index PL Element],DTR!$B222,[1]!Data_PL_Element[TenCongTyID],DTR!$B$1,[1]!Data_PL_Element[Thang.Nam],DTR!AL$198)</f>
        <v>0</v>
      </c>
    </row>
    <row r="223" spans="1:38" ht="15" hidden="1" customHeight="1" outlineLevel="1">
      <c r="A223" s="178" t="s">
        <v>309</v>
      </c>
      <c r="B223" s="179">
        <v>25</v>
      </c>
      <c r="C223" s="189">
        <v>-5934150171.0000458</v>
      </c>
      <c r="D223" s="189">
        <v>-3257337188.9999847</v>
      </c>
      <c r="E223" s="189">
        <v>-5341219778</v>
      </c>
      <c r="F223" s="189">
        <v>-6442604425.000061</v>
      </c>
      <c r="G223" s="189">
        <v>371854333</v>
      </c>
      <c r="H223" s="189">
        <v>1304078059.9999847</v>
      </c>
      <c r="I223" s="189">
        <v>-7036531899.0000153</v>
      </c>
      <c r="J223" s="189">
        <v>16218846372.999802</v>
      </c>
      <c r="K223" s="189">
        <v>6326950407.7999878</v>
      </c>
      <c r="L223" s="189">
        <v>5101277840.9999847</v>
      </c>
      <c r="M223" s="189">
        <v>-221000970</v>
      </c>
      <c r="N223" s="189">
        <v>2525178069.984787</v>
      </c>
      <c r="O223" s="189">
        <v>421575482.77131653</v>
      </c>
      <c r="P223" s="189">
        <v>14839183545.000031</v>
      </c>
      <c r="Q223" s="189">
        <v>6334785561.0000916</v>
      </c>
      <c r="R223" s="189">
        <v>764281315.00015259</v>
      </c>
      <c r="S223" s="189">
        <v>3896054643.9694977</v>
      </c>
      <c r="T223" s="189">
        <v>1426097615.0001526</v>
      </c>
      <c r="U223" s="189">
        <v>2788027468.0001221</v>
      </c>
      <c r="V223" s="189">
        <v>9629971256</v>
      </c>
      <c r="W223" s="189">
        <v>-2220039541.9999084</v>
      </c>
      <c r="X223" s="189">
        <v>-607487394</v>
      </c>
      <c r="Y223" s="189">
        <v>1739659432</v>
      </c>
      <c r="Z223" s="189">
        <v>1645220515.3865051</v>
      </c>
      <c r="AA223" s="189">
        <f>SUMIFS([1]!Data_PL_Element[Value],[1]!Data_PL_Element[Index PL Element],DTR!$B223,[1]!Data_PL_Element[TenCongTyID],DTR!$B$1,[1]!Data_PL_Element[Thang.Nam],DTR!AA$198)</f>
        <v>0</v>
      </c>
      <c r="AB223" s="189">
        <f>SUMIFS([1]!Data_PL_Element[Value],[1]!Data_PL_Element[Index PL Element],DTR!$B223,[1]!Data_PL_Element[TenCongTyID],DTR!$B$1,[1]!Data_PL_Element[Thang.Nam],DTR!AB$198)</f>
        <v>0</v>
      </c>
      <c r="AC223" s="189">
        <f>SUMIFS([1]!Data_PL_Element[Value],[1]!Data_PL_Element[Index PL Element],DTR!$B223,[1]!Data_PL_Element[TenCongTyID],DTR!$B$1,[1]!Data_PL_Element[Thang.Nam],DTR!AC$198)</f>
        <v>0</v>
      </c>
      <c r="AD223" s="189">
        <f>SUMIFS([1]!Data_PL_Element[Value],[1]!Data_PL_Element[Index PL Element],DTR!$B223,[1]!Data_PL_Element[TenCongTyID],DTR!$B$1,[1]!Data_PL_Element[Thang.Nam],DTR!AD$198)</f>
        <v>0</v>
      </c>
      <c r="AE223" s="189">
        <f>SUMIFS([1]!Data_PL_Element[Value],[1]!Data_PL_Element[Index PL Element],DTR!$B223,[1]!Data_PL_Element[TenCongTyID],DTR!$B$1,[1]!Data_PL_Element[Thang.Nam],DTR!AE$198)</f>
        <v>0</v>
      </c>
      <c r="AF223" s="189">
        <f>SUMIFS([1]!Data_PL_Element[Value],[1]!Data_PL_Element[Index PL Element],DTR!$B223,[1]!Data_PL_Element[TenCongTyID],DTR!$B$1,[1]!Data_PL_Element[Thang.Nam],DTR!AF$198)</f>
        <v>0</v>
      </c>
      <c r="AG223" s="189">
        <f>SUMIFS([1]!Data_PL_Element[Value],[1]!Data_PL_Element[Index PL Element],DTR!$B223,[1]!Data_PL_Element[TenCongTyID],DTR!$B$1,[1]!Data_PL_Element[Thang.Nam],DTR!AG$198)</f>
        <v>0</v>
      </c>
      <c r="AH223" s="189">
        <f>SUMIFS([1]!Data_PL_Element[Value],[1]!Data_PL_Element[Index PL Element],DTR!$B223,[1]!Data_PL_Element[TenCongTyID],DTR!$B$1,[1]!Data_PL_Element[Thang.Nam],DTR!AH$198)</f>
        <v>0</v>
      </c>
      <c r="AI223" s="189">
        <f>SUMIFS([1]!Data_PL_Element[Value],[1]!Data_PL_Element[Index PL Element],DTR!$B223,[1]!Data_PL_Element[TenCongTyID],DTR!$B$1,[1]!Data_PL_Element[Thang.Nam],DTR!AI$198)</f>
        <v>0</v>
      </c>
      <c r="AJ223" s="189">
        <f>SUMIFS([1]!Data_PL_Element[Value],[1]!Data_PL_Element[Index PL Element],DTR!$B223,[1]!Data_PL_Element[TenCongTyID],DTR!$B$1,[1]!Data_PL_Element[Thang.Nam],DTR!AJ$198)</f>
        <v>0</v>
      </c>
      <c r="AK223" s="189">
        <f>SUMIFS([1]!Data_PL_Element[Value],[1]!Data_PL_Element[Index PL Element],DTR!$B223,[1]!Data_PL_Element[TenCongTyID],DTR!$B$1,[1]!Data_PL_Element[Thang.Nam],DTR!AK$198)</f>
        <v>0</v>
      </c>
      <c r="AL223" s="189">
        <f>SUMIFS([1]!Data_PL_Element[Value],[1]!Data_PL_Element[Index PL Element],DTR!$B223,[1]!Data_PL_Element[TenCongTyID],DTR!$B$1,[1]!Data_PL_Element[Thang.Nam],DTR!AL$198)</f>
        <v>0</v>
      </c>
    </row>
    <row r="224" spans="1:38" ht="15" hidden="1" customHeight="1" outlineLevel="1">
      <c r="A224" s="184" t="s">
        <v>310</v>
      </c>
      <c r="B224" s="185">
        <v>26</v>
      </c>
      <c r="C224" s="192">
        <f>IFERROR(C211/C207,"")</f>
        <v>0.89454271505407501</v>
      </c>
      <c r="D224" s="192">
        <f t="shared" ref="D224:AL224" si="25">IFERROR(D211/D207,"")</f>
        <v>0.99722329442243085</v>
      </c>
      <c r="E224" s="192">
        <f t="shared" si="25"/>
        <v>0.94262122409373172</v>
      </c>
      <c r="F224" s="192">
        <f t="shared" si="25"/>
        <v>0.8767708502010344</v>
      </c>
      <c r="G224" s="192">
        <f t="shared" si="25"/>
        <v>0.96916162986305532</v>
      </c>
      <c r="H224" s="192">
        <f t="shared" si="25"/>
        <v>1.0250016538703488</v>
      </c>
      <c r="I224" s="192">
        <f t="shared" si="25"/>
        <v>1.0844362242161489</v>
      </c>
      <c r="J224" s="192">
        <f t="shared" si="25"/>
        <v>0.96067559454087748</v>
      </c>
      <c r="K224" s="192">
        <f t="shared" si="25"/>
        <v>0.84658363213622778</v>
      </c>
      <c r="L224" s="192">
        <f t="shared" si="25"/>
        <v>0.95998584995815739</v>
      </c>
      <c r="M224" s="192">
        <f t="shared" si="25"/>
        <v>0.9326420894559817</v>
      </c>
      <c r="N224" s="192">
        <f t="shared" si="25"/>
        <v>-0.21428066837011892</v>
      </c>
      <c r="O224" s="192">
        <f t="shared" si="25"/>
        <v>0.84131867803519156</v>
      </c>
      <c r="P224" s="192">
        <f t="shared" si="25"/>
        <v>0.82218656710133331</v>
      </c>
      <c r="Q224" s="192">
        <f t="shared" si="25"/>
        <v>0.86193972215458747</v>
      </c>
      <c r="R224" s="192">
        <f t="shared" si="25"/>
        <v>0.87412990690597347</v>
      </c>
      <c r="S224" s="192">
        <f t="shared" si="25"/>
        <v>0.85426789556000038</v>
      </c>
      <c r="T224" s="192">
        <f t="shared" si="25"/>
        <v>0.88524731838316462</v>
      </c>
      <c r="U224" s="192">
        <f t="shared" si="25"/>
        <v>0.9324772093606718</v>
      </c>
      <c r="V224" s="192">
        <f t="shared" si="25"/>
        <v>0.92079909410079142</v>
      </c>
      <c r="W224" s="192">
        <f t="shared" si="25"/>
        <v>0.981146117822004</v>
      </c>
      <c r="X224" s="192">
        <f t="shared" si="25"/>
        <v>0.91772938411391969</v>
      </c>
      <c r="Y224" s="192">
        <f t="shared" si="25"/>
        <v>0.91615780830554661</v>
      </c>
      <c r="Z224" s="192">
        <v>0.65330954923886342</v>
      </c>
      <c r="AA224" s="192">
        <f t="shared" si="25"/>
        <v>0.86153321425483709</v>
      </c>
      <c r="AB224" s="192">
        <f t="shared" si="25"/>
        <v>0.89816546060953129</v>
      </c>
      <c r="AC224" s="192">
        <f t="shared" si="25"/>
        <v>0.84896977224155579</v>
      </c>
      <c r="AD224" s="192">
        <f t="shared" si="25"/>
        <v>0.85973540844432672</v>
      </c>
      <c r="AE224" s="192">
        <f t="shared" si="25"/>
        <v>0.85219718762536845</v>
      </c>
      <c r="AF224" s="192">
        <f t="shared" si="25"/>
        <v>0.85793548822094989</v>
      </c>
      <c r="AG224" s="192">
        <f t="shared" si="25"/>
        <v>0.82296928171111039</v>
      </c>
      <c r="AH224" s="192">
        <f t="shared" si="25"/>
        <v>0.82155211588378541</v>
      </c>
      <c r="AI224" s="192">
        <f t="shared" si="25"/>
        <v>0.82651882281004541</v>
      </c>
      <c r="AJ224" s="192">
        <f t="shared" si="25"/>
        <v>0.82492570206736593</v>
      </c>
      <c r="AK224" s="192">
        <f t="shared" si="25"/>
        <v>0.82729837216572366</v>
      </c>
      <c r="AL224" s="192">
        <f t="shared" si="25"/>
        <v>0.83022064283693187</v>
      </c>
    </row>
    <row r="225" spans="1:38" ht="15" hidden="1" customHeight="1" outlineLevel="1">
      <c r="A225" s="181" t="s">
        <v>311</v>
      </c>
      <c r="B225" s="182">
        <v>27</v>
      </c>
      <c r="C225" s="183">
        <f t="shared" ref="C225:AL225" si="26">C139</f>
        <v>10119851560</v>
      </c>
      <c r="D225" s="183">
        <f t="shared" si="26"/>
        <v>191425380</v>
      </c>
      <c r="E225" s="183">
        <f t="shared" si="26"/>
        <v>5285130826</v>
      </c>
      <c r="F225" s="183">
        <f t="shared" si="26"/>
        <v>12013498032</v>
      </c>
      <c r="G225" s="183">
        <f t="shared" si="26"/>
        <v>3156769708</v>
      </c>
      <c r="H225" s="183">
        <f t="shared" si="26"/>
        <v>-1702441870</v>
      </c>
      <c r="I225" s="183">
        <f t="shared" si="26"/>
        <v>-4766532065</v>
      </c>
      <c r="J225" s="183">
        <f t="shared" si="26"/>
        <v>6057054340</v>
      </c>
      <c r="K225" s="183">
        <f t="shared" si="26"/>
        <v>24060273128</v>
      </c>
      <c r="L225" s="183">
        <f t="shared" si="26"/>
        <v>4674156853</v>
      </c>
      <c r="M225" s="183">
        <f t="shared" si="26"/>
        <v>5127697717</v>
      </c>
      <c r="N225" s="183">
        <f t="shared" si="26"/>
        <v>128968857470</v>
      </c>
      <c r="O225" s="183">
        <f t="shared" si="26"/>
        <v>18163062466</v>
      </c>
      <c r="P225" s="183">
        <f t="shared" si="26"/>
        <v>33428829554</v>
      </c>
      <c r="Q225" s="183">
        <f t="shared" si="26"/>
        <v>20744016857</v>
      </c>
      <c r="R225" s="183">
        <f t="shared" si="26"/>
        <v>15787841704</v>
      </c>
      <c r="S225" s="183">
        <f t="shared" si="26"/>
        <v>22161064744</v>
      </c>
      <c r="T225" s="183">
        <f t="shared" si="26"/>
        <v>13671023177</v>
      </c>
      <c r="U225" s="183">
        <f t="shared" si="26"/>
        <v>9317564878</v>
      </c>
      <c r="V225" s="183">
        <f t="shared" si="26"/>
        <v>13340810740</v>
      </c>
      <c r="W225" s="183">
        <f t="shared" si="26"/>
        <v>1597120562</v>
      </c>
      <c r="X225" s="183">
        <f t="shared" si="26"/>
        <v>8961619444</v>
      </c>
      <c r="Y225" s="183">
        <f t="shared" si="26"/>
        <v>7407279958</v>
      </c>
      <c r="Z225" s="183">
        <v>35166574503</v>
      </c>
      <c r="AA225" s="183">
        <f t="shared" si="26"/>
        <v>17932188324.051376</v>
      </c>
      <c r="AB225" s="183">
        <f t="shared" si="26"/>
        <v>13032218271.100693</v>
      </c>
      <c r="AC225" s="183">
        <f t="shared" si="26"/>
        <v>21385803501.23671</v>
      </c>
      <c r="AD225" s="183">
        <f t="shared" si="26"/>
        <v>18484385787.512558</v>
      </c>
      <c r="AE225" s="183">
        <f t="shared" si="26"/>
        <v>20728503065.776718</v>
      </c>
      <c r="AF225" s="183">
        <f t="shared" si="26"/>
        <v>20089243196.663971</v>
      </c>
      <c r="AG225" s="183">
        <f t="shared" si="26"/>
        <v>25740984721.509491</v>
      </c>
      <c r="AH225" s="183">
        <f t="shared" si="26"/>
        <v>25210467788.550308</v>
      </c>
      <c r="AI225" s="183">
        <f t="shared" si="26"/>
        <v>25709303196.025757</v>
      </c>
      <c r="AJ225" s="183">
        <f t="shared" si="26"/>
        <v>24157536179.24559</v>
      </c>
      <c r="AK225" s="183">
        <f t="shared" si="26"/>
        <v>25202186268.841751</v>
      </c>
      <c r="AL225" s="183">
        <f t="shared" si="26"/>
        <v>25032610312.653244</v>
      </c>
    </row>
    <row r="226" spans="1:38" ht="15" hidden="1" customHeight="1" outlineLevel="1">
      <c r="A226" s="184" t="s">
        <v>312</v>
      </c>
      <c r="B226" s="185">
        <v>28</v>
      </c>
      <c r="C226" s="187">
        <f t="shared" ref="C226:AL226" si="27">IFERROR(C225/C207,"")</f>
        <v>0.10545728494592503</v>
      </c>
      <c r="D226" s="187">
        <f t="shared" si="27"/>
        <v>2.7767055775691609E-3</v>
      </c>
      <c r="E226" s="187">
        <f t="shared" si="27"/>
        <v>5.7378775906268255E-2</v>
      </c>
      <c r="F226" s="187">
        <f t="shared" si="27"/>
        <v>0.12322914979896561</v>
      </c>
      <c r="G226" s="187">
        <f t="shared" si="27"/>
        <v>3.0838370136944668E-2</v>
      </c>
      <c r="H226" s="187">
        <f t="shared" si="27"/>
        <v>-2.5001653870348813E-2</v>
      </c>
      <c r="I226" s="187">
        <f t="shared" si="27"/>
        <v>-8.4436224216148853E-2</v>
      </c>
      <c r="J226" s="187">
        <f t="shared" si="27"/>
        <v>3.9324405459122518E-2</v>
      </c>
      <c r="K226" s="187">
        <f t="shared" si="27"/>
        <v>0.15341636786377219</v>
      </c>
      <c r="L226" s="187">
        <f t="shared" si="27"/>
        <v>4.0014150041842611E-2</v>
      </c>
      <c r="M226" s="187">
        <f t="shared" si="27"/>
        <v>6.7357910544018296E-2</v>
      </c>
      <c r="N226" s="187">
        <f t="shared" si="27"/>
        <v>1.2142806683701188</v>
      </c>
      <c r="O226" s="187">
        <f t="shared" si="27"/>
        <v>0.15868132196480847</v>
      </c>
      <c r="P226" s="187">
        <f t="shared" si="27"/>
        <v>0.17781343289866669</v>
      </c>
      <c r="Q226" s="187">
        <f t="shared" si="27"/>
        <v>0.13806027784541253</v>
      </c>
      <c r="R226" s="187">
        <f t="shared" si="27"/>
        <v>0.12587009309402653</v>
      </c>
      <c r="S226" s="187">
        <f t="shared" si="27"/>
        <v>0.14573210443999959</v>
      </c>
      <c r="T226" s="187">
        <f t="shared" si="27"/>
        <v>0.11475268161683538</v>
      </c>
      <c r="U226" s="187">
        <f t="shared" si="27"/>
        <v>6.7522790639328173E-2</v>
      </c>
      <c r="V226" s="187">
        <f t="shared" si="27"/>
        <v>7.920090589920864E-2</v>
      </c>
      <c r="W226" s="187">
        <f t="shared" si="27"/>
        <v>1.8853882177996016E-2</v>
      </c>
      <c r="X226" s="187">
        <f t="shared" si="27"/>
        <v>8.2270615886080353E-2</v>
      </c>
      <c r="Y226" s="187">
        <f t="shared" si="27"/>
        <v>8.3842191694453366E-2</v>
      </c>
      <c r="Z226" s="187">
        <v>0.34669045076113653</v>
      </c>
      <c r="AA226" s="187">
        <f t="shared" si="27"/>
        <v>0.13846678574516286</v>
      </c>
      <c r="AB226" s="187">
        <f t="shared" si="27"/>
        <v>0.10183453939046869</v>
      </c>
      <c r="AC226" s="187">
        <f t="shared" si="27"/>
        <v>0.15103022775844421</v>
      </c>
      <c r="AD226" s="187">
        <f t="shared" si="27"/>
        <v>0.14026459155567328</v>
      </c>
      <c r="AE226" s="187">
        <f t="shared" si="27"/>
        <v>0.14780281237463153</v>
      </c>
      <c r="AF226" s="187">
        <f t="shared" si="27"/>
        <v>0.14206451177905013</v>
      </c>
      <c r="AG226" s="187">
        <f t="shared" si="27"/>
        <v>0.17703071828888967</v>
      </c>
      <c r="AH226" s="187">
        <f t="shared" si="27"/>
        <v>0.17844788411621457</v>
      </c>
      <c r="AI226" s="187">
        <f t="shared" si="27"/>
        <v>0.17348117718995462</v>
      </c>
      <c r="AJ226" s="187">
        <f t="shared" si="27"/>
        <v>0.1750742979326341</v>
      </c>
      <c r="AK226" s="187">
        <f t="shared" si="27"/>
        <v>0.17270162783427637</v>
      </c>
      <c r="AL226" s="187">
        <f t="shared" si="27"/>
        <v>0.16977935716306813</v>
      </c>
    </row>
    <row r="227" spans="1:38" ht="15" hidden="1" customHeight="1" outlineLevel="1">
      <c r="A227" s="181" t="s">
        <v>368</v>
      </c>
      <c r="B227" s="182">
        <v>29</v>
      </c>
      <c r="C227" s="183">
        <f t="shared" ref="C227:AL227" si="28">C150</f>
        <v>1925739613</v>
      </c>
      <c r="D227" s="183">
        <f t="shared" si="28"/>
        <v>-5270648797</v>
      </c>
      <c r="E227" s="183">
        <f t="shared" si="28"/>
        <v>-2959309601</v>
      </c>
      <c r="F227" s="183">
        <f t="shared" si="28"/>
        <v>2475246740</v>
      </c>
      <c r="G227" s="183">
        <f t="shared" si="28"/>
        <v>-4153402340</v>
      </c>
      <c r="H227" s="183">
        <f t="shared" si="28"/>
        <v>-10215448067</v>
      </c>
      <c r="I227" s="183">
        <f t="shared" si="28"/>
        <v>-13524685493</v>
      </c>
      <c r="J227" s="183">
        <f t="shared" si="28"/>
        <v>-8282947985</v>
      </c>
      <c r="K227" s="183">
        <f t="shared" si="28"/>
        <v>9673268117</v>
      </c>
      <c r="L227" s="183">
        <f t="shared" si="28"/>
        <v>-4978185231</v>
      </c>
      <c r="M227" s="183">
        <f t="shared" si="28"/>
        <v>-3242020126</v>
      </c>
      <c r="N227" s="183">
        <f t="shared" si="28"/>
        <v>105403947594</v>
      </c>
      <c r="O227" s="183">
        <f t="shared" si="28"/>
        <v>5761271238</v>
      </c>
      <c r="P227" s="183">
        <f t="shared" si="28"/>
        <v>20413496509</v>
      </c>
      <c r="Q227" s="183">
        <f t="shared" si="28"/>
        <v>8350881246</v>
      </c>
      <c r="R227" s="183">
        <f t="shared" si="28"/>
        <v>4428276973</v>
      </c>
      <c r="S227" s="183">
        <f t="shared" si="28"/>
        <v>11212005063</v>
      </c>
      <c r="T227" s="183">
        <f t="shared" si="28"/>
        <v>1261765596</v>
      </c>
      <c r="U227" s="183">
        <f t="shared" si="28"/>
        <v>-1791468483</v>
      </c>
      <c r="V227" s="183">
        <f t="shared" si="28"/>
        <v>297419333</v>
      </c>
      <c r="W227" s="183">
        <f t="shared" si="28"/>
        <v>-11551325497</v>
      </c>
      <c r="X227" s="183">
        <f t="shared" si="28"/>
        <v>-5201346672</v>
      </c>
      <c r="Y227" s="183">
        <f t="shared" si="28"/>
        <v>-7774530924</v>
      </c>
      <c r="Z227" s="183">
        <v>16604832316</v>
      </c>
      <c r="AA227" s="183">
        <f t="shared" si="28"/>
        <v>1901369374.7063332</v>
      </c>
      <c r="AB227" s="183">
        <f t="shared" si="28"/>
        <v>-1325103642.6497841</v>
      </c>
      <c r="AC227" s="183">
        <f t="shared" si="28"/>
        <v>5998198854.3841038</v>
      </c>
      <c r="AD227" s="183">
        <f t="shared" si="28"/>
        <v>3734734670.0697851</v>
      </c>
      <c r="AE227" s="183">
        <f t="shared" si="28"/>
        <v>3912864854.7306423</v>
      </c>
      <c r="AF227" s="183">
        <f t="shared" si="28"/>
        <v>3539715800.7311211</v>
      </c>
      <c r="AG227" s="183">
        <f t="shared" si="28"/>
        <v>9187878003.9795246</v>
      </c>
      <c r="AH227" s="183">
        <f t="shared" si="28"/>
        <v>8402510025.0177917</v>
      </c>
      <c r="AI227" s="183">
        <f t="shared" si="28"/>
        <v>7636560356.4675694</v>
      </c>
      <c r="AJ227" s="183">
        <f t="shared" si="28"/>
        <v>8332078474.6883335</v>
      </c>
      <c r="AK227" s="183">
        <f t="shared" si="28"/>
        <v>8903347412.2696724</v>
      </c>
      <c r="AL227" s="183">
        <f t="shared" si="28"/>
        <v>6614311259.344471</v>
      </c>
    </row>
    <row r="228" spans="1:38" ht="15" hidden="1" customHeight="1" outlineLevel="1">
      <c r="A228" s="184" t="s">
        <v>314</v>
      </c>
      <c r="B228" s="185">
        <v>30</v>
      </c>
      <c r="C228" s="187">
        <f t="shared" ref="C228:AL228" si="29">IFERROR(C227/C207,"")</f>
        <v>2.0067811261432811E-2</v>
      </c>
      <c r="D228" s="187">
        <f t="shared" si="29"/>
        <v>-7.6452975629658346E-2</v>
      </c>
      <c r="E228" s="187">
        <f t="shared" si="29"/>
        <v>-3.2128166363964879E-2</v>
      </c>
      <c r="F228" s="187">
        <f t="shared" si="29"/>
        <v>2.5389986372027676E-2</v>
      </c>
      <c r="G228" s="187">
        <f t="shared" si="29"/>
        <v>-4.0574438599045283E-2</v>
      </c>
      <c r="H228" s="187">
        <f t="shared" si="29"/>
        <v>-0.15002162552643156</v>
      </c>
      <c r="I228" s="187">
        <f t="shared" si="29"/>
        <v>-0.2395815996131023</v>
      </c>
      <c r="J228" s="187">
        <f t="shared" si="29"/>
        <v>-5.3775645169292279E-2</v>
      </c>
      <c r="K228" s="187">
        <f t="shared" si="29"/>
        <v>6.1680000554753922E-2</v>
      </c>
      <c r="L228" s="187">
        <f t="shared" si="29"/>
        <v>-4.2616851987213128E-2</v>
      </c>
      <c r="M228" s="187">
        <f t="shared" si="29"/>
        <v>-4.2587475643314124E-2</v>
      </c>
      <c r="N228" s="187">
        <f t="shared" si="29"/>
        <v>0.99240993867890626</v>
      </c>
      <c r="O228" s="187">
        <f t="shared" si="29"/>
        <v>5.0333259490518159E-2</v>
      </c>
      <c r="P228" s="187">
        <f t="shared" si="29"/>
        <v>0.10858273951430966</v>
      </c>
      <c r="Q228" s="187">
        <f t="shared" si="29"/>
        <v>5.5578675674270578E-2</v>
      </c>
      <c r="R228" s="187">
        <f t="shared" si="29"/>
        <v>3.530486593974555E-2</v>
      </c>
      <c r="S228" s="187">
        <f t="shared" si="29"/>
        <v>7.3730622228577888E-2</v>
      </c>
      <c r="T228" s="187">
        <f t="shared" si="29"/>
        <v>1.0591086258741739E-2</v>
      </c>
      <c r="U228" s="187">
        <f t="shared" si="29"/>
        <v>-1.2982464077087143E-2</v>
      </c>
      <c r="V228" s="187">
        <f t="shared" si="29"/>
        <v>1.765700830678181E-3</v>
      </c>
      <c r="W228" s="187">
        <f t="shared" si="29"/>
        <v>-0.13636248577715029</v>
      </c>
      <c r="X228" s="187">
        <f t="shared" si="29"/>
        <v>-4.7750074282495315E-2</v>
      </c>
      <c r="Y228" s="187">
        <f t="shared" si="29"/>
        <v>-8.7999065211578922E-2</v>
      </c>
      <c r="Z228" s="187">
        <v>0.16369910580730659</v>
      </c>
      <c r="AA228" s="187">
        <f t="shared" si="29"/>
        <v>1.4681783453989216E-2</v>
      </c>
      <c r="AB228" s="187">
        <f t="shared" si="29"/>
        <v>-1.0354439765109608E-2</v>
      </c>
      <c r="AC228" s="187">
        <f t="shared" si="29"/>
        <v>4.2360313423139936E-2</v>
      </c>
      <c r="AD228" s="187">
        <f t="shared" si="29"/>
        <v>2.8340191504769779E-2</v>
      </c>
      <c r="AE228" s="187">
        <f t="shared" si="29"/>
        <v>2.7900347079374214E-2</v>
      </c>
      <c r="AF228" s="187">
        <f t="shared" si="29"/>
        <v>2.5031704387498414E-2</v>
      </c>
      <c r="AG228" s="187">
        <f t="shared" si="29"/>
        <v>6.318859438333882E-2</v>
      </c>
      <c r="AH228" s="187">
        <f t="shared" si="29"/>
        <v>5.947569667512019E-2</v>
      </c>
      <c r="AI228" s="187">
        <f t="shared" si="29"/>
        <v>5.1529964473207741E-2</v>
      </c>
      <c r="AJ228" s="187">
        <f t="shared" si="29"/>
        <v>6.0384170738773869E-2</v>
      </c>
      <c r="AK228" s="187">
        <f t="shared" si="29"/>
        <v>6.1011476340609203E-2</v>
      </c>
      <c r="AL228" s="187">
        <f t="shared" si="29"/>
        <v>4.4860424049357653E-2</v>
      </c>
    </row>
    <row r="229" spans="1:38" ht="15" hidden="1" customHeight="1" outlineLevel="1">
      <c r="A229" s="181" t="s">
        <v>315</v>
      </c>
      <c r="B229" s="182">
        <v>31</v>
      </c>
      <c r="C229" s="183">
        <f>C150+C143+C159</f>
        <v>5384680897</v>
      </c>
      <c r="D229" s="183">
        <f t="shared" ref="D229:AL229" si="30">D150+D143+D159</f>
        <v>-1703380519</v>
      </c>
      <c r="E229" s="183">
        <f t="shared" si="30"/>
        <v>626985252</v>
      </c>
      <c r="F229" s="183">
        <f t="shared" si="30"/>
        <v>6561979281</v>
      </c>
      <c r="G229" s="183">
        <f t="shared" si="30"/>
        <v>59631967</v>
      </c>
      <c r="H229" s="183">
        <f t="shared" si="30"/>
        <v>-5859951964</v>
      </c>
      <c r="I229" s="183">
        <f t="shared" si="30"/>
        <v>-9089366006</v>
      </c>
      <c r="J229" s="183">
        <f t="shared" si="30"/>
        <v>-4047933145</v>
      </c>
      <c r="K229" s="183">
        <f t="shared" si="30"/>
        <v>13967423844</v>
      </c>
      <c r="L229" s="183">
        <f t="shared" si="30"/>
        <v>-703227311</v>
      </c>
      <c r="M229" s="183">
        <f t="shared" si="30"/>
        <v>1096125496</v>
      </c>
      <c r="N229" s="183">
        <f t="shared" si="30"/>
        <v>110198971178</v>
      </c>
      <c r="O229" s="183">
        <f t="shared" si="30"/>
        <v>10679249682</v>
      </c>
      <c r="P229" s="183">
        <f t="shared" si="30"/>
        <v>25146574404</v>
      </c>
      <c r="Q229" s="183">
        <f t="shared" si="30"/>
        <v>13027482010</v>
      </c>
      <c r="R229" s="183">
        <f t="shared" si="30"/>
        <v>9221866353</v>
      </c>
      <c r="S229" s="183">
        <f t="shared" si="30"/>
        <v>16490448778</v>
      </c>
      <c r="T229" s="183">
        <f t="shared" si="30"/>
        <v>6798133756</v>
      </c>
      <c r="U229" s="183">
        <f t="shared" si="30"/>
        <v>3536012394</v>
      </c>
      <c r="V229" s="183">
        <f t="shared" si="30"/>
        <v>5693975403</v>
      </c>
      <c r="W229" s="183">
        <f t="shared" si="30"/>
        <v>-5548061094</v>
      </c>
      <c r="X229" s="183">
        <f t="shared" si="30"/>
        <v>428312446</v>
      </c>
      <c r="Y229" s="183">
        <f t="shared" si="30"/>
        <v>-2096448071</v>
      </c>
      <c r="Z229" s="183">
        <v>22303254055</v>
      </c>
      <c r="AA229" s="183">
        <f t="shared" si="30"/>
        <v>3342098565.7956676</v>
      </c>
      <c r="AB229" s="183">
        <f t="shared" si="30"/>
        <v>989297848.97300243</v>
      </c>
      <c r="AC229" s="183">
        <f t="shared" si="30"/>
        <v>8753043963.2372494</v>
      </c>
      <c r="AD229" s="183">
        <f t="shared" si="30"/>
        <v>6393708648.0148001</v>
      </c>
      <c r="AE229" s="183">
        <f t="shared" si="30"/>
        <v>6897428712.4277821</v>
      </c>
      <c r="AF229" s="183">
        <f t="shared" si="30"/>
        <v>6623481693.3955717</v>
      </c>
      <c r="AG229" s="183">
        <f t="shared" si="30"/>
        <v>12327497162.634434</v>
      </c>
      <c r="AH229" s="183">
        <f t="shared" si="30"/>
        <v>11724091078.745768</v>
      </c>
      <c r="AI229" s="183">
        <f t="shared" si="30"/>
        <v>10884902239.982334</v>
      </c>
      <c r="AJ229" s="183">
        <f t="shared" si="30"/>
        <v>11586811659.364466</v>
      </c>
      <c r="AK229" s="183">
        <f t="shared" si="30"/>
        <v>12165341873.190329</v>
      </c>
      <c r="AL229" s="183">
        <f t="shared" si="30"/>
        <v>9716666321.3787117</v>
      </c>
    </row>
    <row r="230" spans="1:38" ht="15" hidden="1" customHeight="1" outlineLevel="1">
      <c r="A230" s="184" t="s">
        <v>316</v>
      </c>
      <c r="B230" s="185">
        <v>32</v>
      </c>
      <c r="C230" s="187">
        <f t="shared" ref="C230:AL230" si="31">IFERROR(C229/C207,"")</f>
        <v>5.611286137262355E-2</v>
      </c>
      <c r="D230" s="187">
        <f t="shared" si="31"/>
        <v>-2.4708250221731058E-2</v>
      </c>
      <c r="E230" s="187">
        <f t="shared" si="31"/>
        <v>6.8069547293062842E-3</v>
      </c>
      <c r="F230" s="187">
        <f t="shared" si="31"/>
        <v>6.7309881405244451E-2</v>
      </c>
      <c r="G230" s="187">
        <f t="shared" si="31"/>
        <v>5.825425483777703E-4</v>
      </c>
      <c r="H230" s="187">
        <f t="shared" si="31"/>
        <v>-8.6057852125546425E-2</v>
      </c>
      <c r="I230" s="187">
        <f t="shared" si="31"/>
        <v>-0.16101260530705302</v>
      </c>
      <c r="J230" s="187">
        <f t="shared" si="31"/>
        <v>-2.6280524381988784E-2</v>
      </c>
      <c r="K230" s="187">
        <f t="shared" si="31"/>
        <v>8.9060977120272986E-2</v>
      </c>
      <c r="L230" s="187">
        <f t="shared" si="31"/>
        <v>-6.020132404802616E-3</v>
      </c>
      <c r="M230" s="187">
        <f t="shared" si="31"/>
        <v>1.4398805697887766E-2</v>
      </c>
      <c r="N230" s="187">
        <f t="shared" si="31"/>
        <v>1.037556531093935</v>
      </c>
      <c r="O230" s="187">
        <f t="shared" si="31"/>
        <v>9.3299104173879821E-2</v>
      </c>
      <c r="P230" s="187">
        <f t="shared" si="31"/>
        <v>0.13375875793658915</v>
      </c>
      <c r="Q230" s="187">
        <f t="shared" si="31"/>
        <v>8.670344795442976E-2</v>
      </c>
      <c r="R230" s="187">
        <f t="shared" si="31"/>
        <v>7.352222033355528E-2</v>
      </c>
      <c r="S230" s="187">
        <f t="shared" si="31"/>
        <v>0.10844189263192378</v>
      </c>
      <c r="T230" s="187">
        <f t="shared" si="31"/>
        <v>5.7062596441455019E-2</v>
      </c>
      <c r="U230" s="187">
        <f t="shared" si="31"/>
        <v>2.5624873848947256E-2</v>
      </c>
      <c r="V230" s="187">
        <f t="shared" si="31"/>
        <v>3.3803643487218198E-2</v>
      </c>
      <c r="W230" s="187">
        <f t="shared" si="31"/>
        <v>-6.549442332118674E-2</v>
      </c>
      <c r="X230" s="187">
        <f t="shared" si="31"/>
        <v>3.9320492176986863E-3</v>
      </c>
      <c r="Y230" s="187">
        <f t="shared" si="31"/>
        <v>-2.3729466422612155E-2</v>
      </c>
      <c r="Z230" s="187">
        <v>0.21987712226871756</v>
      </c>
      <c r="AA230" s="187">
        <f t="shared" si="31"/>
        <v>2.5806646555711188E-2</v>
      </c>
      <c r="AB230" s="187">
        <f t="shared" si="31"/>
        <v>7.7304330448141221E-3</v>
      </c>
      <c r="AC230" s="187">
        <f t="shared" si="31"/>
        <v>6.1815504068900157E-2</v>
      </c>
      <c r="AD230" s="187">
        <f t="shared" si="31"/>
        <v>4.8517215684041166E-2</v>
      </c>
      <c r="AE230" s="187">
        <f t="shared" si="31"/>
        <v>4.9181523557941476E-2</v>
      </c>
      <c r="AF230" s="187">
        <f t="shared" si="31"/>
        <v>4.6839081185794725E-2</v>
      </c>
      <c r="AG230" s="187">
        <f t="shared" si="31"/>
        <v>8.4780970930837293E-2</v>
      </c>
      <c r="AH230" s="187">
        <f t="shared" si="31"/>
        <v>8.2986926848622161E-2</v>
      </c>
      <c r="AI230" s="187">
        <f t="shared" si="31"/>
        <v>7.3449118390793808E-2</v>
      </c>
      <c r="AJ230" s="187">
        <f t="shared" si="31"/>
        <v>8.3971846362530911E-2</v>
      </c>
      <c r="AK230" s="187">
        <f t="shared" si="31"/>
        <v>8.3364765352042292E-2</v>
      </c>
      <c r="AL230" s="187">
        <f t="shared" si="31"/>
        <v>6.5901611586141398E-2</v>
      </c>
    </row>
    <row r="231" spans="1:38" ht="15" hidden="1" customHeight="1" outlineLevel="1">
      <c r="A231" s="181" t="s">
        <v>317</v>
      </c>
      <c r="B231" s="182">
        <v>33</v>
      </c>
      <c r="C231" s="183">
        <f>C151+C152</f>
        <v>0</v>
      </c>
      <c r="D231" s="183">
        <f t="shared" ref="D231:AL231" si="32">D151+D152</f>
        <v>0</v>
      </c>
      <c r="E231" s="183">
        <f t="shared" si="32"/>
        <v>0</v>
      </c>
      <c r="F231" s="183">
        <f t="shared" si="32"/>
        <v>0</v>
      </c>
      <c r="G231" s="183">
        <f t="shared" si="32"/>
        <v>0</v>
      </c>
      <c r="H231" s="183">
        <f t="shared" si="32"/>
        <v>0</v>
      </c>
      <c r="I231" s="183">
        <f t="shared" si="32"/>
        <v>0</v>
      </c>
      <c r="J231" s="183">
        <f t="shared" si="32"/>
        <v>0</v>
      </c>
      <c r="K231" s="183">
        <f t="shared" si="32"/>
        <v>0</v>
      </c>
      <c r="L231" s="183">
        <f t="shared" si="32"/>
        <v>0</v>
      </c>
      <c r="M231" s="183">
        <f t="shared" si="32"/>
        <v>0</v>
      </c>
      <c r="N231" s="183">
        <f t="shared" si="32"/>
        <v>13334207765</v>
      </c>
      <c r="O231" s="183">
        <f t="shared" si="32"/>
        <v>864190686</v>
      </c>
      <c r="P231" s="183">
        <f t="shared" si="32"/>
        <v>3012699780</v>
      </c>
      <c r="Q231" s="183">
        <f t="shared" si="32"/>
        <v>1252632187</v>
      </c>
      <c r="R231" s="183">
        <f t="shared" si="32"/>
        <v>677293488</v>
      </c>
      <c r="S231" s="183">
        <f t="shared" si="32"/>
        <v>1681800759</v>
      </c>
      <c r="T231" s="183">
        <f t="shared" si="32"/>
        <v>189264839</v>
      </c>
      <c r="U231" s="183">
        <f t="shared" si="32"/>
        <v>-2830986340</v>
      </c>
      <c r="V231" s="183">
        <f t="shared" si="32"/>
        <v>204199602</v>
      </c>
      <c r="W231" s="183">
        <f t="shared" si="32"/>
        <v>-1349170846</v>
      </c>
      <c r="X231" s="183">
        <f t="shared" si="32"/>
        <v>-516688622</v>
      </c>
      <c r="Y231" s="183">
        <f t="shared" si="32"/>
        <v>-854033077</v>
      </c>
      <c r="Z231" s="183">
        <v>2388437945</v>
      </c>
      <c r="AA231" s="183">
        <f t="shared" si="32"/>
        <v>380273874.94126701</v>
      </c>
      <c r="AB231" s="183">
        <f t="shared" si="32"/>
        <v>0</v>
      </c>
      <c r="AC231" s="183">
        <f t="shared" si="32"/>
        <v>934619042.34685993</v>
      </c>
      <c r="AD231" s="183">
        <f t="shared" si="32"/>
        <v>746946934.01395476</v>
      </c>
      <c r="AE231" s="183">
        <f t="shared" si="32"/>
        <v>782572970.94612694</v>
      </c>
      <c r="AF231" s="183">
        <f t="shared" si="32"/>
        <v>707943160.14622366</v>
      </c>
      <c r="AG231" s="183">
        <f t="shared" si="32"/>
        <v>1837575600.7959077</v>
      </c>
      <c r="AH231" s="183">
        <f t="shared" si="32"/>
        <v>1680502005.0035565</v>
      </c>
      <c r="AI231" s="183">
        <f t="shared" si="32"/>
        <v>1527312071.2935135</v>
      </c>
      <c r="AJ231" s="183">
        <f t="shared" si="32"/>
        <v>1666415694.9376669</v>
      </c>
      <c r="AK231" s="183">
        <f t="shared" si="32"/>
        <v>1780669482.4539335</v>
      </c>
      <c r="AL231" s="183">
        <f t="shared" si="32"/>
        <v>1322862251.8688912</v>
      </c>
    </row>
    <row r="232" spans="1:38" ht="15" hidden="1" customHeight="1" outlineLevel="1">
      <c r="A232" s="184" t="s">
        <v>318</v>
      </c>
      <c r="B232" s="185">
        <v>34</v>
      </c>
      <c r="C232" s="187">
        <f>IFERROR(C231/C207,"")</f>
        <v>0</v>
      </c>
      <c r="D232" s="187">
        <f t="shared" ref="D232:AL232" si="33">IFERROR(D231/D207,"")</f>
        <v>0</v>
      </c>
      <c r="E232" s="187">
        <f t="shared" si="33"/>
        <v>0</v>
      </c>
      <c r="F232" s="187">
        <f t="shared" si="33"/>
        <v>0</v>
      </c>
      <c r="G232" s="187">
        <f t="shared" si="33"/>
        <v>0</v>
      </c>
      <c r="H232" s="187">
        <f t="shared" si="33"/>
        <v>0</v>
      </c>
      <c r="I232" s="187">
        <f t="shared" si="33"/>
        <v>0</v>
      </c>
      <c r="J232" s="187">
        <f t="shared" si="33"/>
        <v>0</v>
      </c>
      <c r="K232" s="187">
        <f t="shared" si="33"/>
        <v>0</v>
      </c>
      <c r="L232" s="187">
        <f t="shared" si="33"/>
        <v>0</v>
      </c>
      <c r="M232" s="187">
        <f t="shared" si="33"/>
        <v>0</v>
      </c>
      <c r="N232" s="187">
        <f t="shared" si="33"/>
        <v>0.12554558545916092</v>
      </c>
      <c r="O232" s="187">
        <f t="shared" si="33"/>
        <v>7.5499889261986695E-3</v>
      </c>
      <c r="P232" s="187">
        <f t="shared" si="33"/>
        <v>1.6025044768902409E-2</v>
      </c>
      <c r="Q232" s="187">
        <f t="shared" si="33"/>
        <v>8.336801351806129E-3</v>
      </c>
      <c r="R232" s="187">
        <f t="shared" si="33"/>
        <v>5.3997877597758521E-3</v>
      </c>
      <c r="S232" s="187">
        <f t="shared" si="33"/>
        <v>1.1059593331327463E-2</v>
      </c>
      <c r="T232" s="187">
        <f t="shared" si="33"/>
        <v>1.588662935453716E-3</v>
      </c>
      <c r="U232" s="187">
        <f t="shared" si="33"/>
        <v>-2.0515671255476063E-2</v>
      </c>
      <c r="V232" s="187">
        <f t="shared" si="33"/>
        <v>1.2122796566003795E-3</v>
      </c>
      <c r="W232" s="187">
        <f t="shared" si="33"/>
        <v>-1.5926855350617674E-2</v>
      </c>
      <c r="X232" s="187">
        <f t="shared" si="33"/>
        <v>-4.7433715991734501E-3</v>
      </c>
      <c r="Y232" s="187">
        <f t="shared" si="33"/>
        <v>-9.6667069911275851E-3</v>
      </c>
      <c r="Z232" s="187">
        <v>2.3546468186613208E-2</v>
      </c>
      <c r="AA232" s="187">
        <f t="shared" si="33"/>
        <v>2.9363566907978462E-3</v>
      </c>
      <c r="AB232" s="187">
        <f t="shared" si="33"/>
        <v>0</v>
      </c>
      <c r="AC232" s="187">
        <f t="shared" si="33"/>
        <v>6.6004406532989262E-3</v>
      </c>
      <c r="AD232" s="187">
        <f t="shared" si="33"/>
        <v>5.6680383009539382E-3</v>
      </c>
      <c r="AE232" s="187">
        <f t="shared" si="33"/>
        <v>5.580069415874832E-3</v>
      </c>
      <c r="AF232" s="187">
        <f t="shared" si="33"/>
        <v>5.0063408774996786E-3</v>
      </c>
      <c r="AG232" s="187">
        <f t="shared" si="33"/>
        <v>1.2637718876667784E-2</v>
      </c>
      <c r="AH232" s="187">
        <f t="shared" si="33"/>
        <v>1.1895139335024025E-2</v>
      </c>
      <c r="AI232" s="187">
        <f t="shared" si="33"/>
        <v>1.0305992894641547E-2</v>
      </c>
      <c r="AJ232" s="187">
        <f t="shared" si="33"/>
        <v>1.2076834147754775E-2</v>
      </c>
      <c r="AK232" s="187">
        <f t="shared" si="33"/>
        <v>1.2202295268121834E-2</v>
      </c>
      <c r="AL232" s="187">
        <f t="shared" si="33"/>
        <v>8.9720848098715101E-3</v>
      </c>
    </row>
    <row r="233" spans="1:38" ht="15" hidden="1" customHeight="1" outlineLevel="1">
      <c r="A233" s="181" t="s">
        <v>319</v>
      </c>
      <c r="B233" s="182">
        <v>35</v>
      </c>
      <c r="C233" s="183">
        <f t="shared" ref="C233:X233" si="34">C153</f>
        <v>1925739613</v>
      </c>
      <c r="D233" s="183">
        <f t="shared" si="34"/>
        <v>-5270648797</v>
      </c>
      <c r="E233" s="183">
        <f t="shared" si="34"/>
        <v>-2959309601</v>
      </c>
      <c r="F233" s="183">
        <f t="shared" si="34"/>
        <v>2475246740</v>
      </c>
      <c r="G233" s="183">
        <f t="shared" si="34"/>
        <v>-4153402340</v>
      </c>
      <c r="H233" s="183">
        <f t="shared" si="34"/>
        <v>-10215448067</v>
      </c>
      <c r="I233" s="183">
        <f t="shared" si="34"/>
        <v>-13524685493</v>
      </c>
      <c r="J233" s="183">
        <f t="shared" si="34"/>
        <v>-8282947985</v>
      </c>
      <c r="K233" s="183">
        <f t="shared" si="34"/>
        <v>9673268117</v>
      </c>
      <c r="L233" s="183">
        <f t="shared" si="34"/>
        <v>-4978185231</v>
      </c>
      <c r="M233" s="183">
        <f t="shared" si="34"/>
        <v>-3242020126</v>
      </c>
      <c r="N233" s="183">
        <f t="shared" si="34"/>
        <v>92069739829</v>
      </c>
      <c r="O233" s="183">
        <f t="shared" si="34"/>
        <v>4897080552</v>
      </c>
      <c r="P233" s="183">
        <f t="shared" si="34"/>
        <v>17400796729</v>
      </c>
      <c r="Q233" s="183">
        <f t="shared" si="34"/>
        <v>7098249059</v>
      </c>
      <c r="R233" s="183">
        <f t="shared" si="34"/>
        <v>3750983485</v>
      </c>
      <c r="S233" s="183">
        <f t="shared" si="34"/>
        <v>9530204304</v>
      </c>
      <c r="T233" s="183">
        <f t="shared" si="34"/>
        <v>1072500757</v>
      </c>
      <c r="U233" s="183">
        <f t="shared" si="34"/>
        <v>1039517857</v>
      </c>
      <c r="V233" s="183">
        <f t="shared" si="34"/>
        <v>93219731</v>
      </c>
      <c r="W233" s="183">
        <f t="shared" si="34"/>
        <v>-10202154651</v>
      </c>
      <c r="X233" s="183">
        <f t="shared" si="34"/>
        <v>-4684658050</v>
      </c>
      <c r="Y233" s="183">
        <f>Y153</f>
        <v>-6920497847</v>
      </c>
      <c r="Z233" s="183">
        <v>14216394371</v>
      </c>
      <c r="AA233" s="183">
        <f t="shared" ref="AA233:AL233" si="35">AA153</f>
        <v>1521095499.7650661</v>
      </c>
      <c r="AB233" s="183">
        <f t="shared" si="35"/>
        <v>-1325103642.6497841</v>
      </c>
      <c r="AC233" s="183">
        <f t="shared" si="35"/>
        <v>5063579812.0372438</v>
      </c>
      <c r="AD233" s="183">
        <f t="shared" si="35"/>
        <v>2987787736.0558305</v>
      </c>
      <c r="AE233" s="183">
        <f t="shared" si="35"/>
        <v>3130291883.7845154</v>
      </c>
      <c r="AF233" s="183">
        <f t="shared" si="35"/>
        <v>2831772640.5848975</v>
      </c>
      <c r="AG233" s="183">
        <f t="shared" si="35"/>
        <v>7350302403.1836166</v>
      </c>
      <c r="AH233" s="183">
        <f t="shared" si="35"/>
        <v>6722008020.0142355</v>
      </c>
      <c r="AI233" s="183">
        <f t="shared" si="35"/>
        <v>6109248285.1740561</v>
      </c>
      <c r="AJ233" s="183">
        <f t="shared" si="35"/>
        <v>6665662779.7506666</v>
      </c>
      <c r="AK233" s="183">
        <f t="shared" si="35"/>
        <v>7122677929.8157387</v>
      </c>
      <c r="AL233" s="183">
        <f t="shared" si="35"/>
        <v>5291449007.4755802</v>
      </c>
    </row>
    <row r="234" spans="1:38" ht="15" hidden="1" customHeight="1" outlineLevel="1">
      <c r="A234" s="184" t="s">
        <v>320</v>
      </c>
      <c r="B234" s="185">
        <v>36</v>
      </c>
      <c r="C234" s="187">
        <f t="shared" ref="C234:AL234" si="36">IFERROR(C233/C207,"")</f>
        <v>2.0067811261432811E-2</v>
      </c>
      <c r="D234" s="187">
        <f t="shared" si="36"/>
        <v>-7.6452975629658346E-2</v>
      </c>
      <c r="E234" s="187">
        <f t="shared" si="36"/>
        <v>-3.2128166363964879E-2</v>
      </c>
      <c r="F234" s="187">
        <f t="shared" si="36"/>
        <v>2.5389986372027676E-2</v>
      </c>
      <c r="G234" s="187">
        <f t="shared" si="36"/>
        <v>-4.0574438599045283E-2</v>
      </c>
      <c r="H234" s="187">
        <f t="shared" si="36"/>
        <v>-0.15002162552643156</v>
      </c>
      <c r="I234" s="187">
        <f t="shared" si="36"/>
        <v>-0.2395815996131023</v>
      </c>
      <c r="J234" s="187">
        <f t="shared" si="36"/>
        <v>-5.3775645169292279E-2</v>
      </c>
      <c r="K234" s="187">
        <f t="shared" si="36"/>
        <v>6.1680000554753922E-2</v>
      </c>
      <c r="L234" s="187">
        <f t="shared" si="36"/>
        <v>-4.2616851987213128E-2</v>
      </c>
      <c r="M234" s="187">
        <f t="shared" si="36"/>
        <v>-4.2587475643314124E-2</v>
      </c>
      <c r="N234" s="187">
        <f t="shared" si="36"/>
        <v>0.86686435321974542</v>
      </c>
      <c r="O234" s="187">
        <f t="shared" si="36"/>
        <v>4.2783270564319492E-2</v>
      </c>
      <c r="P234" s="187">
        <f t="shared" si="36"/>
        <v>9.255769474540726E-2</v>
      </c>
      <c r="Q234" s="187">
        <f t="shared" si="36"/>
        <v>4.7241874322464447E-2</v>
      </c>
      <c r="R234" s="187">
        <f t="shared" si="36"/>
        <v>2.99050781799697E-2</v>
      </c>
      <c r="S234" s="187">
        <f t="shared" si="36"/>
        <v>6.2671028897250416E-2</v>
      </c>
      <c r="T234" s="187">
        <f t="shared" si="36"/>
        <v>9.0024233232880238E-3</v>
      </c>
      <c r="U234" s="187">
        <f t="shared" si="36"/>
        <v>7.5332071783889209E-3</v>
      </c>
      <c r="V234" s="187">
        <f t="shared" si="36"/>
        <v>5.5342117407780134E-4</v>
      </c>
      <c r="W234" s="187">
        <f t="shared" si="36"/>
        <v>-0.1204356304265326</v>
      </c>
      <c r="X234" s="187">
        <f t="shared" si="36"/>
        <v>-4.3006702683321865E-2</v>
      </c>
      <c r="Y234" s="187">
        <f t="shared" si="36"/>
        <v>-7.8332358220451342E-2</v>
      </c>
      <c r="Z234" s="187">
        <v>0.14015263762069338</v>
      </c>
      <c r="AA234" s="187">
        <f t="shared" si="36"/>
        <v>1.1745426763191371E-2</v>
      </c>
      <c r="AB234" s="187">
        <f t="shared" si="36"/>
        <v>-1.0354439765109608E-2</v>
      </c>
      <c r="AC234" s="187">
        <f t="shared" si="36"/>
        <v>3.5759872769841008E-2</v>
      </c>
      <c r="AD234" s="187">
        <f t="shared" si="36"/>
        <v>2.267215320381584E-2</v>
      </c>
      <c r="AE234" s="187">
        <f t="shared" si="36"/>
        <v>2.2320277663499383E-2</v>
      </c>
      <c r="AF234" s="187">
        <f t="shared" si="36"/>
        <v>2.0025363509998735E-2</v>
      </c>
      <c r="AG234" s="187">
        <f t="shared" si="36"/>
        <v>5.0550875506671041E-2</v>
      </c>
      <c r="AH234" s="187">
        <f t="shared" si="36"/>
        <v>4.7580557340096162E-2</v>
      </c>
      <c r="AI234" s="187">
        <f t="shared" si="36"/>
        <v>4.12239715785662E-2</v>
      </c>
      <c r="AJ234" s="187">
        <f t="shared" si="36"/>
        <v>4.8307336591019094E-2</v>
      </c>
      <c r="AK234" s="187">
        <f t="shared" si="36"/>
        <v>4.880918107248737E-2</v>
      </c>
      <c r="AL234" s="187">
        <f t="shared" si="36"/>
        <v>3.5888339239486144E-2</v>
      </c>
    </row>
    <row r="235" spans="1:38" ht="15" hidden="1" customHeight="1" outlineLevel="1">
      <c r="A235" s="193" t="s">
        <v>321</v>
      </c>
      <c r="B235" s="146">
        <v>37</v>
      </c>
      <c r="C235" s="183">
        <f t="shared" ref="C235:AL235" si="37">C144</f>
        <v>2846219487</v>
      </c>
      <c r="D235" s="183">
        <f t="shared" si="37"/>
        <v>1219456854</v>
      </c>
      <c r="E235" s="183">
        <f t="shared" si="37"/>
        <v>3715738043</v>
      </c>
      <c r="F235" s="183">
        <f t="shared" si="37"/>
        <v>4585159549</v>
      </c>
      <c r="G235" s="183">
        <f t="shared" si="37"/>
        <v>1693810954</v>
      </c>
      <c r="H235" s="183">
        <f t="shared" si="37"/>
        <v>2407466874</v>
      </c>
      <c r="I235" s="183">
        <f t="shared" si="37"/>
        <v>2300964337</v>
      </c>
      <c r="J235" s="183">
        <f t="shared" si="37"/>
        <v>8205607205</v>
      </c>
      <c r="K235" s="183">
        <f t="shared" si="37"/>
        <v>7036529523</v>
      </c>
      <c r="L235" s="183">
        <f t="shared" si="37"/>
        <v>4608951194</v>
      </c>
      <c r="M235" s="183">
        <f t="shared" si="37"/>
        <v>1949627546</v>
      </c>
      <c r="N235" s="183">
        <f t="shared" si="37"/>
        <v>10266748080</v>
      </c>
      <c r="O235" s="183">
        <f t="shared" si="37"/>
        <v>4006424849</v>
      </c>
      <c r="P235" s="183">
        <f t="shared" si="37"/>
        <v>6313682258</v>
      </c>
      <c r="Q235" s="183">
        <f t="shared" si="37"/>
        <v>5091544776</v>
      </c>
      <c r="R235" s="183">
        <f t="shared" si="37"/>
        <v>4077126734</v>
      </c>
      <c r="S235" s="183">
        <f t="shared" si="37"/>
        <v>4686536575</v>
      </c>
      <c r="T235" s="183">
        <f t="shared" si="37"/>
        <v>4796729528</v>
      </c>
      <c r="U235" s="183">
        <f t="shared" si="37"/>
        <v>3449972349</v>
      </c>
      <c r="V235" s="183">
        <f t="shared" si="37"/>
        <v>4949095751</v>
      </c>
      <c r="W235" s="183">
        <f t="shared" si="37"/>
        <v>2811598286</v>
      </c>
      <c r="X235" s="183">
        <f t="shared" si="37"/>
        <v>6688603934</v>
      </c>
      <c r="Y235" s="183">
        <f t="shared" si="37"/>
        <v>3413749635</v>
      </c>
      <c r="Z235" s="183">
        <v>4717685605</v>
      </c>
      <c r="AA235" s="183">
        <f t="shared" si="37"/>
        <v>5085051683.2684879</v>
      </c>
      <c r="AB235" s="183">
        <f t="shared" si="37"/>
        <v>4093196981.7930779</v>
      </c>
      <c r="AC235" s="183">
        <f t="shared" si="37"/>
        <v>4600864865.7930794</v>
      </c>
      <c r="AD235" s="183">
        <f t="shared" si="37"/>
        <v>3968860918.7165756</v>
      </c>
      <c r="AE235" s="183">
        <f t="shared" si="37"/>
        <v>5549018826.1701269</v>
      </c>
      <c r="AF235" s="183">
        <f t="shared" si="37"/>
        <v>4908280870.2522907</v>
      </c>
      <c r="AG235" s="183">
        <f t="shared" si="37"/>
        <v>4272047108.8742471</v>
      </c>
      <c r="AH235" s="183">
        <f t="shared" si="37"/>
        <v>4169382223.6283445</v>
      </c>
      <c r="AI235" s="183">
        <f t="shared" si="37"/>
        <v>6178684666.8742485</v>
      </c>
      <c r="AJ235" s="183">
        <f t="shared" si="37"/>
        <v>4321867491.3478355</v>
      </c>
      <c r="AK235" s="183">
        <f t="shared" si="37"/>
        <v>4663039255.763135</v>
      </c>
      <c r="AL235" s="183">
        <f t="shared" si="37"/>
        <v>4745480246.724885</v>
      </c>
    </row>
    <row r="236" spans="1:38" ht="15" hidden="1" customHeight="1" outlineLevel="1">
      <c r="A236" s="190" t="s">
        <v>322</v>
      </c>
      <c r="B236" s="191">
        <v>38</v>
      </c>
      <c r="C236" s="189">
        <v>190613271</v>
      </c>
      <c r="D236" s="189">
        <v>145450962</v>
      </c>
      <c r="E236" s="189">
        <v>186392500</v>
      </c>
      <c r="F236" s="189">
        <v>197075963</v>
      </c>
      <c r="G236" s="189">
        <v>178318460</v>
      </c>
      <c r="H236" s="189">
        <v>192783654</v>
      </c>
      <c r="I236" s="189">
        <v>186220771</v>
      </c>
      <c r="J236" s="189">
        <v>182376683</v>
      </c>
      <c r="K236" s="189">
        <v>206206492</v>
      </c>
      <c r="L236" s="189">
        <v>190212259</v>
      </c>
      <c r="M236" s="189">
        <v>175387260</v>
      </c>
      <c r="N236" s="189">
        <v>215626683</v>
      </c>
      <c r="O236" s="189">
        <v>225301946</v>
      </c>
      <c r="P236" s="189">
        <v>229320216</v>
      </c>
      <c r="Q236" s="189">
        <v>216697411</v>
      </c>
      <c r="R236" s="189">
        <v>253144064</v>
      </c>
      <c r="S236" s="189">
        <v>192729928</v>
      </c>
      <c r="T236" s="189">
        <v>225105679</v>
      </c>
      <c r="U236" s="189">
        <v>225637641</v>
      </c>
      <c r="V236" s="189">
        <v>446295562</v>
      </c>
      <c r="W236" s="189">
        <v>365489486</v>
      </c>
      <c r="X236" s="189">
        <v>234421927</v>
      </c>
      <c r="Y236" s="189">
        <v>367966198</v>
      </c>
      <c r="Z236" s="189">
        <v>465059697</v>
      </c>
      <c r="AA236" s="189">
        <f>SUMIFS([1]!Data_PL_Element[Value],[1]!Data_PL_Element[Index PL Element],DTR!$B236,[1]!Data_PL_Element[TenCongTyID],DTR!$B$1,[1]!Data_PL_Element[Thang.Nam],DTR!AA$198)</f>
        <v>0</v>
      </c>
      <c r="AB236" s="189">
        <f>SUMIFS([1]!Data_PL_Element[Value],[1]!Data_PL_Element[Index PL Element],DTR!$B236,[1]!Data_PL_Element[TenCongTyID],DTR!$B$1,[1]!Data_PL_Element[Thang.Nam],DTR!AB$198)</f>
        <v>0</v>
      </c>
      <c r="AC236" s="189">
        <f>SUMIFS([1]!Data_PL_Element[Value],[1]!Data_PL_Element[Index PL Element],DTR!$B236,[1]!Data_PL_Element[TenCongTyID],DTR!$B$1,[1]!Data_PL_Element[Thang.Nam],DTR!AC$198)</f>
        <v>0</v>
      </c>
      <c r="AD236" s="189">
        <f>SUMIFS([1]!Data_PL_Element[Value],[1]!Data_PL_Element[Index PL Element],DTR!$B236,[1]!Data_PL_Element[TenCongTyID],DTR!$B$1,[1]!Data_PL_Element[Thang.Nam],DTR!AD$198)</f>
        <v>0</v>
      </c>
      <c r="AE236" s="189">
        <f>SUMIFS([1]!Data_PL_Element[Value],[1]!Data_PL_Element[Index PL Element],DTR!$B236,[1]!Data_PL_Element[TenCongTyID],DTR!$B$1,[1]!Data_PL_Element[Thang.Nam],DTR!AE$198)</f>
        <v>0</v>
      </c>
      <c r="AF236" s="189">
        <f>SUMIFS([1]!Data_PL_Element[Value],[1]!Data_PL_Element[Index PL Element],DTR!$B236,[1]!Data_PL_Element[TenCongTyID],DTR!$B$1,[1]!Data_PL_Element[Thang.Nam],DTR!AF$198)</f>
        <v>0</v>
      </c>
      <c r="AG236" s="189">
        <f>SUMIFS([1]!Data_PL_Element[Value],[1]!Data_PL_Element[Index PL Element],DTR!$B236,[1]!Data_PL_Element[TenCongTyID],DTR!$B$1,[1]!Data_PL_Element[Thang.Nam],DTR!AG$198)</f>
        <v>0</v>
      </c>
      <c r="AH236" s="189">
        <f>SUMIFS([1]!Data_PL_Element[Value],[1]!Data_PL_Element[Index PL Element],DTR!$B236,[1]!Data_PL_Element[TenCongTyID],DTR!$B$1,[1]!Data_PL_Element[Thang.Nam],DTR!AH$198)</f>
        <v>0</v>
      </c>
      <c r="AI236" s="189">
        <f>SUMIFS([1]!Data_PL_Element[Value],[1]!Data_PL_Element[Index PL Element],DTR!$B236,[1]!Data_PL_Element[TenCongTyID],DTR!$B$1,[1]!Data_PL_Element[Thang.Nam],DTR!AI$198)</f>
        <v>0</v>
      </c>
      <c r="AJ236" s="189">
        <f>SUMIFS([1]!Data_PL_Element[Value],[1]!Data_PL_Element[Index PL Element],DTR!$B236,[1]!Data_PL_Element[TenCongTyID],DTR!$B$1,[1]!Data_PL_Element[Thang.Nam],DTR!AJ$198)</f>
        <v>0</v>
      </c>
      <c r="AK236" s="189">
        <f>SUMIFS([1]!Data_PL_Element[Value],[1]!Data_PL_Element[Index PL Element],DTR!$B236,[1]!Data_PL_Element[TenCongTyID],DTR!$B$1,[1]!Data_PL_Element[Thang.Nam],DTR!AK$198)</f>
        <v>0</v>
      </c>
      <c r="AL236" s="189">
        <f>SUMIFS([1]!Data_PL_Element[Value],[1]!Data_PL_Element[Index PL Element],DTR!$B236,[1]!Data_PL_Element[TenCongTyID],DTR!$B$1,[1]!Data_PL_Element[Thang.Nam],DTR!AL$198)</f>
        <v>0</v>
      </c>
    </row>
    <row r="237" spans="1:38" ht="15" hidden="1" customHeight="1" outlineLevel="1">
      <c r="A237" s="190" t="s">
        <v>323</v>
      </c>
      <c r="B237" s="191">
        <v>39</v>
      </c>
      <c r="C237" s="189">
        <v>181205349</v>
      </c>
      <c r="D237" s="189">
        <v>109852534</v>
      </c>
      <c r="E237" s="189">
        <v>129787307</v>
      </c>
      <c r="F237" s="189">
        <v>125184672</v>
      </c>
      <c r="G237" s="189">
        <v>214363328</v>
      </c>
      <c r="H237" s="189">
        <v>170040317</v>
      </c>
      <c r="I237" s="189">
        <v>265501733</v>
      </c>
      <c r="J237" s="189">
        <v>100892896</v>
      </c>
      <c r="K237" s="189">
        <v>260750159</v>
      </c>
      <c r="L237" s="189">
        <v>249039959</v>
      </c>
      <c r="M237" s="189">
        <v>145165697</v>
      </c>
      <c r="N237" s="189">
        <v>174896548</v>
      </c>
      <c r="O237" s="189">
        <v>158604465</v>
      </c>
      <c r="P237" s="189">
        <v>142751237</v>
      </c>
      <c r="Q237" s="189">
        <v>452739864</v>
      </c>
      <c r="R237" s="189">
        <v>483942057</v>
      </c>
      <c r="S237" s="189">
        <v>343392791</v>
      </c>
      <c r="T237" s="189">
        <v>263861202</v>
      </c>
      <c r="U237" s="189">
        <v>222433317</v>
      </c>
      <c r="V237" s="189">
        <v>323801241</v>
      </c>
      <c r="W237" s="189">
        <v>176982529</v>
      </c>
      <c r="X237" s="189">
        <v>288679439</v>
      </c>
      <c r="Y237" s="189">
        <v>276158794</v>
      </c>
      <c r="Z237" s="189">
        <v>206288305</v>
      </c>
      <c r="AA237" s="189">
        <f>SUMIFS([1]!Data_PL_Element[Value],[1]!Data_PL_Element[Index PL Element],DTR!$B237,[1]!Data_PL_Element[TenCongTyID],DTR!$B$1,[1]!Data_PL_Element[Thang.Nam],DTR!AA$198)</f>
        <v>0</v>
      </c>
      <c r="AB237" s="189">
        <f>SUMIFS([1]!Data_PL_Element[Value],[1]!Data_PL_Element[Index PL Element],DTR!$B237,[1]!Data_PL_Element[TenCongTyID],DTR!$B$1,[1]!Data_PL_Element[Thang.Nam],DTR!AB$198)</f>
        <v>0</v>
      </c>
      <c r="AC237" s="189">
        <f>SUMIFS([1]!Data_PL_Element[Value],[1]!Data_PL_Element[Index PL Element],DTR!$B237,[1]!Data_PL_Element[TenCongTyID],DTR!$B$1,[1]!Data_PL_Element[Thang.Nam],DTR!AC$198)</f>
        <v>0</v>
      </c>
      <c r="AD237" s="189">
        <f>SUMIFS([1]!Data_PL_Element[Value],[1]!Data_PL_Element[Index PL Element],DTR!$B237,[1]!Data_PL_Element[TenCongTyID],DTR!$B$1,[1]!Data_PL_Element[Thang.Nam],DTR!AD$198)</f>
        <v>0</v>
      </c>
      <c r="AE237" s="189">
        <f>SUMIFS([1]!Data_PL_Element[Value],[1]!Data_PL_Element[Index PL Element],DTR!$B237,[1]!Data_PL_Element[TenCongTyID],DTR!$B$1,[1]!Data_PL_Element[Thang.Nam],DTR!AE$198)</f>
        <v>0</v>
      </c>
      <c r="AF237" s="189">
        <f>SUMIFS([1]!Data_PL_Element[Value],[1]!Data_PL_Element[Index PL Element],DTR!$B237,[1]!Data_PL_Element[TenCongTyID],DTR!$B$1,[1]!Data_PL_Element[Thang.Nam],DTR!AF$198)</f>
        <v>0</v>
      </c>
      <c r="AG237" s="189">
        <f>SUMIFS([1]!Data_PL_Element[Value],[1]!Data_PL_Element[Index PL Element],DTR!$B237,[1]!Data_PL_Element[TenCongTyID],DTR!$B$1,[1]!Data_PL_Element[Thang.Nam],DTR!AG$198)</f>
        <v>0</v>
      </c>
      <c r="AH237" s="189">
        <f>SUMIFS([1]!Data_PL_Element[Value],[1]!Data_PL_Element[Index PL Element],DTR!$B237,[1]!Data_PL_Element[TenCongTyID],DTR!$B$1,[1]!Data_PL_Element[Thang.Nam],DTR!AH$198)</f>
        <v>0</v>
      </c>
      <c r="AI237" s="189">
        <f>SUMIFS([1]!Data_PL_Element[Value],[1]!Data_PL_Element[Index PL Element],DTR!$B237,[1]!Data_PL_Element[TenCongTyID],DTR!$B$1,[1]!Data_PL_Element[Thang.Nam],DTR!AI$198)</f>
        <v>0</v>
      </c>
      <c r="AJ237" s="189">
        <f>SUMIFS([1]!Data_PL_Element[Value],[1]!Data_PL_Element[Index PL Element],DTR!$B237,[1]!Data_PL_Element[TenCongTyID],DTR!$B$1,[1]!Data_PL_Element[Thang.Nam],DTR!AJ$198)</f>
        <v>0</v>
      </c>
      <c r="AK237" s="189">
        <f>SUMIFS([1]!Data_PL_Element[Value],[1]!Data_PL_Element[Index PL Element],DTR!$B237,[1]!Data_PL_Element[TenCongTyID],DTR!$B$1,[1]!Data_PL_Element[Thang.Nam],DTR!AK$198)</f>
        <v>0</v>
      </c>
      <c r="AL237" s="189">
        <f>SUMIFS([1]!Data_PL_Element[Value],[1]!Data_PL_Element[Index PL Element],DTR!$B237,[1]!Data_PL_Element[TenCongTyID],DTR!$B$1,[1]!Data_PL_Element[Thang.Nam],DTR!AL$198)</f>
        <v>0</v>
      </c>
    </row>
    <row r="238" spans="1:38" ht="15" hidden="1" customHeight="1" outlineLevel="1">
      <c r="A238" s="190" t="s">
        <v>324</v>
      </c>
      <c r="B238" s="191">
        <v>40</v>
      </c>
      <c r="C238" s="189">
        <v>339423744</v>
      </c>
      <c r="D238" s="189">
        <v>271418400</v>
      </c>
      <c r="E238" s="189">
        <v>484682880</v>
      </c>
      <c r="F238" s="189">
        <v>947585288</v>
      </c>
      <c r="G238" s="189">
        <v>732250680</v>
      </c>
      <c r="H238" s="189">
        <v>1259908312</v>
      </c>
      <c r="I238" s="189">
        <v>706508840</v>
      </c>
      <c r="J238" s="189">
        <v>1228570570</v>
      </c>
      <c r="K238" s="189">
        <v>805497700</v>
      </c>
      <c r="L238" s="189">
        <v>568126136</v>
      </c>
      <c r="M238" s="189">
        <v>338540380</v>
      </c>
      <c r="N238" s="189">
        <v>1203477272</v>
      </c>
      <c r="O238" s="189">
        <v>1156648724</v>
      </c>
      <c r="P238" s="189">
        <v>1395989840</v>
      </c>
      <c r="Q238" s="189">
        <v>718938840</v>
      </c>
      <c r="R238" s="189">
        <v>873725670</v>
      </c>
      <c r="S238" s="189">
        <v>801811330</v>
      </c>
      <c r="T238" s="189">
        <v>2343197427</v>
      </c>
      <c r="U238" s="189">
        <v>962161347</v>
      </c>
      <c r="V238" s="189">
        <v>1102469718</v>
      </c>
      <c r="W238" s="189">
        <v>793146505</v>
      </c>
      <c r="X238" s="189">
        <v>728694366</v>
      </c>
      <c r="Y238" s="189">
        <v>819335524</v>
      </c>
      <c r="Z238" s="189">
        <v>914940436</v>
      </c>
      <c r="AA238" s="189">
        <f>SUMIFS([1]!Data_PL_Element[Value],[1]!Data_PL_Element[Index PL Element],DTR!$B238,[1]!Data_PL_Element[TenCongTyID],DTR!$B$1,[1]!Data_PL_Element[Thang.Nam],DTR!AA$198)</f>
        <v>0</v>
      </c>
      <c r="AB238" s="189">
        <f>SUMIFS([1]!Data_PL_Element[Value],[1]!Data_PL_Element[Index PL Element],DTR!$B238,[1]!Data_PL_Element[TenCongTyID],DTR!$B$1,[1]!Data_PL_Element[Thang.Nam],DTR!AB$198)</f>
        <v>0</v>
      </c>
      <c r="AC238" s="189">
        <f>SUMIFS([1]!Data_PL_Element[Value],[1]!Data_PL_Element[Index PL Element],DTR!$B238,[1]!Data_PL_Element[TenCongTyID],DTR!$B$1,[1]!Data_PL_Element[Thang.Nam],DTR!AC$198)</f>
        <v>0</v>
      </c>
      <c r="AD238" s="189">
        <f>SUMIFS([1]!Data_PL_Element[Value],[1]!Data_PL_Element[Index PL Element],DTR!$B238,[1]!Data_PL_Element[TenCongTyID],DTR!$B$1,[1]!Data_PL_Element[Thang.Nam],DTR!AD$198)</f>
        <v>0</v>
      </c>
      <c r="AE238" s="189">
        <f>SUMIFS([1]!Data_PL_Element[Value],[1]!Data_PL_Element[Index PL Element],DTR!$B238,[1]!Data_PL_Element[TenCongTyID],DTR!$B$1,[1]!Data_PL_Element[Thang.Nam],DTR!AE$198)</f>
        <v>0</v>
      </c>
      <c r="AF238" s="189">
        <f>SUMIFS([1]!Data_PL_Element[Value],[1]!Data_PL_Element[Index PL Element],DTR!$B238,[1]!Data_PL_Element[TenCongTyID],DTR!$B$1,[1]!Data_PL_Element[Thang.Nam],DTR!AF$198)</f>
        <v>0</v>
      </c>
      <c r="AG238" s="189">
        <f>SUMIFS([1]!Data_PL_Element[Value],[1]!Data_PL_Element[Index PL Element],DTR!$B238,[1]!Data_PL_Element[TenCongTyID],DTR!$B$1,[1]!Data_PL_Element[Thang.Nam],DTR!AG$198)</f>
        <v>0</v>
      </c>
      <c r="AH238" s="189">
        <f>SUMIFS([1]!Data_PL_Element[Value],[1]!Data_PL_Element[Index PL Element],DTR!$B238,[1]!Data_PL_Element[TenCongTyID],DTR!$B$1,[1]!Data_PL_Element[Thang.Nam],DTR!AH$198)</f>
        <v>0</v>
      </c>
      <c r="AI238" s="189">
        <f>SUMIFS([1]!Data_PL_Element[Value],[1]!Data_PL_Element[Index PL Element],DTR!$B238,[1]!Data_PL_Element[TenCongTyID],DTR!$B$1,[1]!Data_PL_Element[Thang.Nam],DTR!AI$198)</f>
        <v>0</v>
      </c>
      <c r="AJ238" s="189">
        <f>SUMIFS([1]!Data_PL_Element[Value],[1]!Data_PL_Element[Index PL Element],DTR!$B238,[1]!Data_PL_Element[TenCongTyID],DTR!$B$1,[1]!Data_PL_Element[Thang.Nam],DTR!AJ$198)</f>
        <v>0</v>
      </c>
      <c r="AK238" s="189">
        <f>SUMIFS([1]!Data_PL_Element[Value],[1]!Data_PL_Element[Index PL Element],DTR!$B238,[1]!Data_PL_Element[TenCongTyID],DTR!$B$1,[1]!Data_PL_Element[Thang.Nam],DTR!AK$198)</f>
        <v>0</v>
      </c>
      <c r="AL238" s="189">
        <f>SUMIFS([1]!Data_PL_Element[Value],[1]!Data_PL_Element[Index PL Element],DTR!$B238,[1]!Data_PL_Element[TenCongTyID],DTR!$B$1,[1]!Data_PL_Element[Thang.Nam],DTR!AL$198)</f>
        <v>0</v>
      </c>
    </row>
    <row r="239" spans="1:38" ht="15" hidden="1" customHeight="1" outlineLevel="1">
      <c r="A239" s="190" t="s">
        <v>325</v>
      </c>
      <c r="B239" s="191">
        <v>41</v>
      </c>
      <c r="C239" s="189">
        <v>176869000</v>
      </c>
      <c r="D239" s="189">
        <v>98405100</v>
      </c>
      <c r="E239" s="189">
        <v>109040000</v>
      </c>
      <c r="F239" s="189">
        <v>105874074</v>
      </c>
      <c r="G239" s="189">
        <v>68080000</v>
      </c>
      <c r="H239" s="189">
        <v>196593648</v>
      </c>
      <c r="I239" s="189">
        <v>93037900</v>
      </c>
      <c r="J239" s="189">
        <v>632197036</v>
      </c>
      <c r="K239" s="189">
        <v>479521481</v>
      </c>
      <c r="L239" s="189">
        <v>399199672</v>
      </c>
      <c r="M239" s="189">
        <v>392115926</v>
      </c>
      <c r="N239" s="189">
        <v>478477333</v>
      </c>
      <c r="O239" s="189">
        <v>249728148</v>
      </c>
      <c r="P239" s="189">
        <v>500505186</v>
      </c>
      <c r="Q239" s="189">
        <v>292398814</v>
      </c>
      <c r="R239" s="189">
        <v>318375557</v>
      </c>
      <c r="S239" s="189">
        <v>269697036</v>
      </c>
      <c r="T239" s="189">
        <v>488977036</v>
      </c>
      <c r="U239" s="189">
        <v>351793707</v>
      </c>
      <c r="V239" s="189">
        <v>1015741347</v>
      </c>
      <c r="W239" s="189">
        <v>589171184</v>
      </c>
      <c r="X239" s="189">
        <v>654222223</v>
      </c>
      <c r="Y239" s="189">
        <v>526746706</v>
      </c>
      <c r="Z239" s="189">
        <v>543177912</v>
      </c>
      <c r="AA239" s="189">
        <f>SUMIFS([1]!Data_PL_Element[Value],[1]!Data_PL_Element[Index PL Element],DTR!$B239,[1]!Data_PL_Element[TenCongTyID],DTR!$B$1,[1]!Data_PL_Element[Thang.Nam],DTR!AA$198)</f>
        <v>0</v>
      </c>
      <c r="AB239" s="189">
        <f>SUMIFS([1]!Data_PL_Element[Value],[1]!Data_PL_Element[Index PL Element],DTR!$B239,[1]!Data_PL_Element[TenCongTyID],DTR!$B$1,[1]!Data_PL_Element[Thang.Nam],DTR!AB$198)</f>
        <v>0</v>
      </c>
      <c r="AC239" s="189">
        <f>SUMIFS([1]!Data_PL_Element[Value],[1]!Data_PL_Element[Index PL Element],DTR!$B239,[1]!Data_PL_Element[TenCongTyID],DTR!$B$1,[1]!Data_PL_Element[Thang.Nam],DTR!AC$198)</f>
        <v>0</v>
      </c>
      <c r="AD239" s="189">
        <f>SUMIFS([1]!Data_PL_Element[Value],[1]!Data_PL_Element[Index PL Element],DTR!$B239,[1]!Data_PL_Element[TenCongTyID],DTR!$B$1,[1]!Data_PL_Element[Thang.Nam],DTR!AD$198)</f>
        <v>0</v>
      </c>
      <c r="AE239" s="189">
        <f>SUMIFS([1]!Data_PL_Element[Value],[1]!Data_PL_Element[Index PL Element],DTR!$B239,[1]!Data_PL_Element[TenCongTyID],DTR!$B$1,[1]!Data_PL_Element[Thang.Nam],DTR!AE$198)</f>
        <v>0</v>
      </c>
      <c r="AF239" s="189">
        <f>SUMIFS([1]!Data_PL_Element[Value],[1]!Data_PL_Element[Index PL Element],DTR!$B239,[1]!Data_PL_Element[TenCongTyID],DTR!$B$1,[1]!Data_PL_Element[Thang.Nam],DTR!AF$198)</f>
        <v>0</v>
      </c>
      <c r="AG239" s="189">
        <f>SUMIFS([1]!Data_PL_Element[Value],[1]!Data_PL_Element[Index PL Element],DTR!$B239,[1]!Data_PL_Element[TenCongTyID],DTR!$B$1,[1]!Data_PL_Element[Thang.Nam],DTR!AG$198)</f>
        <v>0</v>
      </c>
      <c r="AH239" s="189">
        <f>SUMIFS([1]!Data_PL_Element[Value],[1]!Data_PL_Element[Index PL Element],DTR!$B239,[1]!Data_PL_Element[TenCongTyID],DTR!$B$1,[1]!Data_PL_Element[Thang.Nam],DTR!AH$198)</f>
        <v>0</v>
      </c>
      <c r="AI239" s="189">
        <f>SUMIFS([1]!Data_PL_Element[Value],[1]!Data_PL_Element[Index PL Element],DTR!$B239,[1]!Data_PL_Element[TenCongTyID],DTR!$B$1,[1]!Data_PL_Element[Thang.Nam],DTR!AI$198)</f>
        <v>0</v>
      </c>
      <c r="AJ239" s="189">
        <f>SUMIFS([1]!Data_PL_Element[Value],[1]!Data_PL_Element[Index PL Element],DTR!$B239,[1]!Data_PL_Element[TenCongTyID],DTR!$B$1,[1]!Data_PL_Element[Thang.Nam],DTR!AJ$198)</f>
        <v>0</v>
      </c>
      <c r="AK239" s="189">
        <f>SUMIFS([1]!Data_PL_Element[Value],[1]!Data_PL_Element[Index PL Element],DTR!$B239,[1]!Data_PL_Element[TenCongTyID],DTR!$B$1,[1]!Data_PL_Element[Thang.Nam],DTR!AK$198)</f>
        <v>0</v>
      </c>
      <c r="AL239" s="189">
        <f>SUMIFS([1]!Data_PL_Element[Value],[1]!Data_PL_Element[Index PL Element],DTR!$B239,[1]!Data_PL_Element[TenCongTyID],DTR!$B$1,[1]!Data_PL_Element[Thang.Nam],DTR!AL$198)</f>
        <v>0</v>
      </c>
    </row>
    <row r="240" spans="1:38" ht="15" hidden="1" customHeight="1" outlineLevel="1">
      <c r="A240" s="190" t="s">
        <v>326</v>
      </c>
      <c r="B240" s="191">
        <v>42</v>
      </c>
      <c r="C240" s="189">
        <v>1862640439</v>
      </c>
      <c r="D240" s="189">
        <v>439812589</v>
      </c>
      <c r="E240" s="189">
        <v>2669034839</v>
      </c>
      <c r="F240" s="189">
        <v>3032304136</v>
      </c>
      <c r="G240" s="189">
        <v>277880434</v>
      </c>
      <c r="H240" s="189">
        <v>318063920</v>
      </c>
      <c r="I240" s="189">
        <v>626032613</v>
      </c>
      <c r="J240" s="189">
        <v>5216793028</v>
      </c>
      <c r="K240" s="189">
        <v>5019652822</v>
      </c>
      <c r="L240" s="189">
        <v>2316276718</v>
      </c>
      <c r="M240" s="189">
        <v>404235983</v>
      </c>
      <c r="N240" s="189">
        <v>1317844326</v>
      </c>
      <c r="O240" s="189">
        <v>1442696903</v>
      </c>
      <c r="P240" s="189">
        <v>3574837862</v>
      </c>
      <c r="Q240" s="189">
        <v>1969857757</v>
      </c>
      <c r="R240" s="189">
        <v>1503984454</v>
      </c>
      <c r="S240" s="189">
        <v>2462711733</v>
      </c>
      <c r="T240" s="189">
        <v>1186353811</v>
      </c>
      <c r="U240" s="189">
        <v>1311037332</v>
      </c>
      <c r="V240" s="189">
        <v>1643007682</v>
      </c>
      <c r="W240" s="189">
        <v>437205501</v>
      </c>
      <c r="X240" s="189">
        <v>492312502</v>
      </c>
      <c r="Y240" s="189">
        <v>653246467</v>
      </c>
      <c r="Z240" s="189">
        <v>692122387</v>
      </c>
      <c r="AA240" s="189">
        <f>SUMIFS([1]!Data_PL_Element[Value],[1]!Data_PL_Element[Index PL Element],DTR!$B240,[1]!Data_PL_Element[TenCongTyID],DTR!$B$1,[1]!Data_PL_Element[Thang.Nam],DTR!AA$198)</f>
        <v>0</v>
      </c>
      <c r="AB240" s="189">
        <f>SUMIFS([1]!Data_PL_Element[Value],[1]!Data_PL_Element[Index PL Element],DTR!$B240,[1]!Data_PL_Element[TenCongTyID],DTR!$B$1,[1]!Data_PL_Element[Thang.Nam],DTR!AB$198)</f>
        <v>0</v>
      </c>
      <c r="AC240" s="189">
        <f>SUMIFS([1]!Data_PL_Element[Value],[1]!Data_PL_Element[Index PL Element],DTR!$B240,[1]!Data_PL_Element[TenCongTyID],DTR!$B$1,[1]!Data_PL_Element[Thang.Nam],DTR!AC$198)</f>
        <v>0</v>
      </c>
      <c r="AD240" s="189">
        <f>SUMIFS([1]!Data_PL_Element[Value],[1]!Data_PL_Element[Index PL Element],DTR!$B240,[1]!Data_PL_Element[TenCongTyID],DTR!$B$1,[1]!Data_PL_Element[Thang.Nam],DTR!AD$198)</f>
        <v>0</v>
      </c>
      <c r="AE240" s="189">
        <f>SUMIFS([1]!Data_PL_Element[Value],[1]!Data_PL_Element[Index PL Element],DTR!$B240,[1]!Data_PL_Element[TenCongTyID],DTR!$B$1,[1]!Data_PL_Element[Thang.Nam],DTR!AE$198)</f>
        <v>0</v>
      </c>
      <c r="AF240" s="189">
        <f>SUMIFS([1]!Data_PL_Element[Value],[1]!Data_PL_Element[Index PL Element],DTR!$B240,[1]!Data_PL_Element[TenCongTyID],DTR!$B$1,[1]!Data_PL_Element[Thang.Nam],DTR!AF$198)</f>
        <v>0</v>
      </c>
      <c r="AG240" s="189">
        <f>SUMIFS([1]!Data_PL_Element[Value],[1]!Data_PL_Element[Index PL Element],DTR!$B240,[1]!Data_PL_Element[TenCongTyID],DTR!$B$1,[1]!Data_PL_Element[Thang.Nam],DTR!AG$198)</f>
        <v>0</v>
      </c>
      <c r="AH240" s="189">
        <f>SUMIFS([1]!Data_PL_Element[Value],[1]!Data_PL_Element[Index PL Element],DTR!$B240,[1]!Data_PL_Element[TenCongTyID],DTR!$B$1,[1]!Data_PL_Element[Thang.Nam],DTR!AH$198)</f>
        <v>0</v>
      </c>
      <c r="AI240" s="189">
        <f>SUMIFS([1]!Data_PL_Element[Value],[1]!Data_PL_Element[Index PL Element],DTR!$B240,[1]!Data_PL_Element[TenCongTyID],DTR!$B$1,[1]!Data_PL_Element[Thang.Nam],DTR!AI$198)</f>
        <v>0</v>
      </c>
      <c r="AJ240" s="189">
        <f>SUMIFS([1]!Data_PL_Element[Value],[1]!Data_PL_Element[Index PL Element],DTR!$B240,[1]!Data_PL_Element[TenCongTyID],DTR!$B$1,[1]!Data_PL_Element[Thang.Nam],DTR!AJ$198)</f>
        <v>0</v>
      </c>
      <c r="AK240" s="189">
        <f>SUMIFS([1]!Data_PL_Element[Value],[1]!Data_PL_Element[Index PL Element],DTR!$B240,[1]!Data_PL_Element[TenCongTyID],DTR!$B$1,[1]!Data_PL_Element[Thang.Nam],DTR!AK$198)</f>
        <v>0</v>
      </c>
      <c r="AL240" s="189">
        <f>SUMIFS([1]!Data_PL_Element[Value],[1]!Data_PL_Element[Index PL Element],DTR!$B240,[1]!Data_PL_Element[TenCongTyID],DTR!$B$1,[1]!Data_PL_Element[Thang.Nam],DTR!AL$198)</f>
        <v>0</v>
      </c>
    </row>
    <row r="241" spans="1:38" ht="15" hidden="1" customHeight="1" outlineLevel="1">
      <c r="A241" s="190" t="s">
        <v>327</v>
      </c>
      <c r="B241" s="191">
        <v>43</v>
      </c>
      <c r="C241" s="189">
        <v>30691333</v>
      </c>
      <c r="D241" s="189">
        <v>30691333</v>
      </c>
      <c r="E241" s="189">
        <v>30691333</v>
      </c>
      <c r="F241" s="189">
        <v>30691333</v>
      </c>
      <c r="G241" s="189">
        <v>30691333</v>
      </c>
      <c r="H241" s="189">
        <v>30691333</v>
      </c>
      <c r="I241" s="189">
        <v>30691333</v>
      </c>
      <c r="J241" s="189">
        <v>30691333</v>
      </c>
      <c r="K241" s="189">
        <v>30691333</v>
      </c>
      <c r="L241" s="189">
        <v>30691333</v>
      </c>
      <c r="M241" s="189">
        <v>30691333</v>
      </c>
      <c r="N241" s="189">
        <v>6948276</v>
      </c>
      <c r="O241" s="189">
        <v>31139609</v>
      </c>
      <c r="P241" s="189">
        <v>31139609</v>
      </c>
      <c r="Q241" s="189">
        <v>6948276</v>
      </c>
      <c r="R241" s="189">
        <v>6948275</v>
      </c>
      <c r="S241" s="189">
        <v>6948276</v>
      </c>
      <c r="T241" s="189">
        <v>6948276</v>
      </c>
      <c r="U241" s="189">
        <v>6948276</v>
      </c>
      <c r="V241" s="189">
        <v>6948276</v>
      </c>
      <c r="W241" s="189">
        <v>6948276</v>
      </c>
      <c r="X241" s="189">
        <v>47333567</v>
      </c>
      <c r="Y241" s="189">
        <v>47333566</v>
      </c>
      <c r="Z241" s="189">
        <v>47333566</v>
      </c>
      <c r="AA241" s="189">
        <f>SUMIFS([1]!Data_PL_Element[Value],[1]!Data_PL_Element[Index PL Element],DTR!$B241,[1]!Data_PL_Element[TenCongTyID],DTR!$B$1,[1]!Data_PL_Element[Thang.Nam],DTR!AA$198)</f>
        <v>0</v>
      </c>
      <c r="AB241" s="189">
        <f>SUMIFS([1]!Data_PL_Element[Value],[1]!Data_PL_Element[Index PL Element],DTR!$B241,[1]!Data_PL_Element[TenCongTyID],DTR!$B$1,[1]!Data_PL_Element[Thang.Nam],DTR!AB$198)</f>
        <v>0</v>
      </c>
      <c r="AC241" s="189">
        <f>SUMIFS([1]!Data_PL_Element[Value],[1]!Data_PL_Element[Index PL Element],DTR!$B241,[1]!Data_PL_Element[TenCongTyID],DTR!$B$1,[1]!Data_PL_Element[Thang.Nam],DTR!AC$198)</f>
        <v>0</v>
      </c>
      <c r="AD241" s="189">
        <f>SUMIFS([1]!Data_PL_Element[Value],[1]!Data_PL_Element[Index PL Element],DTR!$B241,[1]!Data_PL_Element[TenCongTyID],DTR!$B$1,[1]!Data_PL_Element[Thang.Nam],DTR!AD$198)</f>
        <v>0</v>
      </c>
      <c r="AE241" s="189">
        <f>SUMIFS([1]!Data_PL_Element[Value],[1]!Data_PL_Element[Index PL Element],DTR!$B241,[1]!Data_PL_Element[TenCongTyID],DTR!$B$1,[1]!Data_PL_Element[Thang.Nam],DTR!AE$198)</f>
        <v>0</v>
      </c>
      <c r="AF241" s="189">
        <f>SUMIFS([1]!Data_PL_Element[Value],[1]!Data_PL_Element[Index PL Element],DTR!$B241,[1]!Data_PL_Element[TenCongTyID],DTR!$B$1,[1]!Data_PL_Element[Thang.Nam],DTR!AF$198)</f>
        <v>0</v>
      </c>
      <c r="AG241" s="189">
        <f>SUMIFS([1]!Data_PL_Element[Value],[1]!Data_PL_Element[Index PL Element],DTR!$B241,[1]!Data_PL_Element[TenCongTyID],DTR!$B$1,[1]!Data_PL_Element[Thang.Nam],DTR!AG$198)</f>
        <v>0</v>
      </c>
      <c r="AH241" s="189">
        <f>SUMIFS([1]!Data_PL_Element[Value],[1]!Data_PL_Element[Index PL Element],DTR!$B241,[1]!Data_PL_Element[TenCongTyID],DTR!$B$1,[1]!Data_PL_Element[Thang.Nam],DTR!AH$198)</f>
        <v>0</v>
      </c>
      <c r="AI241" s="189">
        <f>SUMIFS([1]!Data_PL_Element[Value],[1]!Data_PL_Element[Index PL Element],DTR!$B241,[1]!Data_PL_Element[TenCongTyID],DTR!$B$1,[1]!Data_PL_Element[Thang.Nam],DTR!AI$198)</f>
        <v>0</v>
      </c>
      <c r="AJ241" s="189">
        <f>SUMIFS([1]!Data_PL_Element[Value],[1]!Data_PL_Element[Index PL Element],DTR!$B241,[1]!Data_PL_Element[TenCongTyID],DTR!$B$1,[1]!Data_PL_Element[Thang.Nam],DTR!AJ$198)</f>
        <v>0</v>
      </c>
      <c r="AK241" s="189">
        <f>SUMIFS([1]!Data_PL_Element[Value],[1]!Data_PL_Element[Index PL Element],DTR!$B241,[1]!Data_PL_Element[TenCongTyID],DTR!$B$1,[1]!Data_PL_Element[Thang.Nam],DTR!AK$198)</f>
        <v>0</v>
      </c>
      <c r="AL241" s="189">
        <f>SUMIFS([1]!Data_PL_Element[Value],[1]!Data_PL_Element[Index PL Element],DTR!$B241,[1]!Data_PL_Element[TenCongTyID],DTR!$B$1,[1]!Data_PL_Element[Thang.Nam],DTR!AL$198)</f>
        <v>0</v>
      </c>
    </row>
    <row r="242" spans="1:38" ht="15" hidden="1" customHeight="1" outlineLevel="1">
      <c r="A242" s="190" t="s">
        <v>328</v>
      </c>
      <c r="B242" s="191">
        <v>44</v>
      </c>
      <c r="C242" s="189">
        <v>64776351</v>
      </c>
      <c r="D242" s="189">
        <v>123825936</v>
      </c>
      <c r="E242" s="189">
        <v>106109184</v>
      </c>
      <c r="F242" s="189">
        <v>146444083</v>
      </c>
      <c r="G242" s="189">
        <v>192226719</v>
      </c>
      <c r="H242" s="189">
        <v>239385690</v>
      </c>
      <c r="I242" s="189">
        <v>392971147</v>
      </c>
      <c r="J242" s="189">
        <v>814085659</v>
      </c>
      <c r="K242" s="189">
        <v>234209536</v>
      </c>
      <c r="L242" s="189">
        <v>855405117</v>
      </c>
      <c r="M242" s="189">
        <v>463490967</v>
      </c>
      <c r="N242" s="189">
        <v>6869477642</v>
      </c>
      <c r="O242" s="189">
        <v>742305054</v>
      </c>
      <c r="P242" s="189">
        <v>439138308</v>
      </c>
      <c r="Q242" s="189">
        <v>1433963814</v>
      </c>
      <c r="R242" s="189">
        <v>637006657</v>
      </c>
      <c r="S242" s="189">
        <v>609245481</v>
      </c>
      <c r="T242" s="189">
        <v>282286097</v>
      </c>
      <c r="U242" s="189">
        <v>369960729</v>
      </c>
      <c r="V242" s="189">
        <v>410831925</v>
      </c>
      <c r="W242" s="189">
        <v>442654805</v>
      </c>
      <c r="X242" s="189">
        <v>4242939910</v>
      </c>
      <c r="Y242" s="189">
        <v>722962380</v>
      </c>
      <c r="Z242" s="189">
        <v>1848763302</v>
      </c>
      <c r="AA242" s="189">
        <f>SUMIFS([1]!Data_PL_Element[Value],[1]!Data_PL_Element[Index PL Element],DTR!$B242,[1]!Data_PL_Element[TenCongTyID],DTR!$B$1,[1]!Data_PL_Element[Thang.Nam],DTR!AA$198)</f>
        <v>0</v>
      </c>
      <c r="AB242" s="189">
        <f>SUMIFS([1]!Data_PL_Element[Value],[1]!Data_PL_Element[Index PL Element],DTR!$B242,[1]!Data_PL_Element[TenCongTyID],DTR!$B$1,[1]!Data_PL_Element[Thang.Nam],DTR!AB$198)</f>
        <v>0</v>
      </c>
      <c r="AC242" s="189">
        <f>SUMIFS([1]!Data_PL_Element[Value],[1]!Data_PL_Element[Index PL Element],DTR!$B242,[1]!Data_PL_Element[TenCongTyID],DTR!$B$1,[1]!Data_PL_Element[Thang.Nam],DTR!AC$198)</f>
        <v>0</v>
      </c>
      <c r="AD242" s="189">
        <f>SUMIFS([1]!Data_PL_Element[Value],[1]!Data_PL_Element[Index PL Element],DTR!$B242,[1]!Data_PL_Element[TenCongTyID],DTR!$B$1,[1]!Data_PL_Element[Thang.Nam],DTR!AD$198)</f>
        <v>0</v>
      </c>
      <c r="AE242" s="189">
        <f>SUMIFS([1]!Data_PL_Element[Value],[1]!Data_PL_Element[Index PL Element],DTR!$B242,[1]!Data_PL_Element[TenCongTyID],DTR!$B$1,[1]!Data_PL_Element[Thang.Nam],DTR!AE$198)</f>
        <v>0</v>
      </c>
      <c r="AF242" s="189">
        <f>SUMIFS([1]!Data_PL_Element[Value],[1]!Data_PL_Element[Index PL Element],DTR!$B242,[1]!Data_PL_Element[TenCongTyID],DTR!$B$1,[1]!Data_PL_Element[Thang.Nam],DTR!AF$198)</f>
        <v>0</v>
      </c>
      <c r="AG242" s="189">
        <f>SUMIFS([1]!Data_PL_Element[Value],[1]!Data_PL_Element[Index PL Element],DTR!$B242,[1]!Data_PL_Element[TenCongTyID],DTR!$B$1,[1]!Data_PL_Element[Thang.Nam],DTR!AG$198)</f>
        <v>0</v>
      </c>
      <c r="AH242" s="189">
        <f>SUMIFS([1]!Data_PL_Element[Value],[1]!Data_PL_Element[Index PL Element],DTR!$B242,[1]!Data_PL_Element[TenCongTyID],DTR!$B$1,[1]!Data_PL_Element[Thang.Nam],DTR!AH$198)</f>
        <v>0</v>
      </c>
      <c r="AI242" s="189">
        <f>SUMIFS([1]!Data_PL_Element[Value],[1]!Data_PL_Element[Index PL Element],DTR!$B242,[1]!Data_PL_Element[TenCongTyID],DTR!$B$1,[1]!Data_PL_Element[Thang.Nam],DTR!AI$198)</f>
        <v>0</v>
      </c>
      <c r="AJ242" s="189">
        <f>SUMIFS([1]!Data_PL_Element[Value],[1]!Data_PL_Element[Index PL Element],DTR!$B242,[1]!Data_PL_Element[TenCongTyID],DTR!$B$1,[1]!Data_PL_Element[Thang.Nam],DTR!AJ$198)</f>
        <v>0</v>
      </c>
      <c r="AK242" s="189">
        <f>SUMIFS([1]!Data_PL_Element[Value],[1]!Data_PL_Element[Index PL Element],DTR!$B242,[1]!Data_PL_Element[TenCongTyID],DTR!$B$1,[1]!Data_PL_Element[Thang.Nam],DTR!AK$198)</f>
        <v>0</v>
      </c>
      <c r="AL242" s="189">
        <f>SUMIFS([1]!Data_PL_Element[Value],[1]!Data_PL_Element[Index PL Element],DTR!$B242,[1]!Data_PL_Element[TenCongTyID],DTR!$B$1,[1]!Data_PL_Element[Thang.Nam],DTR!AL$198)</f>
        <v>0</v>
      </c>
    </row>
    <row r="243" spans="1:38" ht="15" hidden="1" customHeight="1" outlineLevel="1">
      <c r="A243" s="194" t="s">
        <v>329</v>
      </c>
      <c r="B243" s="171">
        <v>45</v>
      </c>
      <c r="C243" s="187">
        <f>IFERROR(C235/C207,"")</f>
        <v>2.9659978476917852E-2</v>
      </c>
      <c r="D243" s="187">
        <f t="shared" ref="D243:AL243" si="38">IFERROR(D235/D207,"")</f>
        <v>1.768873410676652E-2</v>
      </c>
      <c r="E243" s="187">
        <f t="shared" si="38"/>
        <v>4.0340439530246124E-2</v>
      </c>
      <c r="F243" s="187">
        <f t="shared" si="38"/>
        <v>4.7032538850119869E-2</v>
      </c>
      <c r="G243" s="187">
        <f t="shared" si="38"/>
        <v>1.6546778502432132E-2</v>
      </c>
      <c r="H243" s="187">
        <f t="shared" si="38"/>
        <v>3.5355482350818042E-2</v>
      </c>
      <c r="I243" s="187">
        <f t="shared" si="38"/>
        <v>4.0760187495412201E-2</v>
      </c>
      <c r="J243" s="187">
        <f t="shared" si="38"/>
        <v>5.3273523177227604E-2</v>
      </c>
      <c r="K243" s="187">
        <f t="shared" si="38"/>
        <v>4.4867271291637076E-2</v>
      </c>
      <c r="L243" s="187">
        <f t="shared" si="38"/>
        <v>3.9455942625005798E-2</v>
      </c>
      <c r="M243" s="187">
        <f t="shared" si="38"/>
        <v>2.5610487412751268E-2</v>
      </c>
      <c r="N243" s="187">
        <f t="shared" si="38"/>
        <v>9.6664527895581082E-2</v>
      </c>
      <c r="O243" s="187">
        <f t="shared" si="38"/>
        <v>3.5002070415275428E-2</v>
      </c>
      <c r="P243" s="187">
        <f t="shared" si="38"/>
        <v>3.3583512540062935E-2</v>
      </c>
      <c r="Q243" s="187">
        <f t="shared" si="38"/>
        <v>3.3886401620412961E-2</v>
      </c>
      <c r="R243" s="187">
        <f t="shared" si="38"/>
        <v>3.2505286738129829E-2</v>
      </c>
      <c r="S243" s="187">
        <f t="shared" si="38"/>
        <v>3.0818863872264582E-2</v>
      </c>
      <c r="T243" s="187">
        <f t="shared" si="38"/>
        <v>4.0263085593674364E-2</v>
      </c>
      <c r="U243" s="187">
        <f t="shared" si="38"/>
        <v>2.5001356436275327E-2</v>
      </c>
      <c r="V243" s="187">
        <f t="shared" si="38"/>
        <v>2.938148771467575E-2</v>
      </c>
      <c r="W243" s="187">
        <f t="shared" si="38"/>
        <v>3.3190695854368159E-2</v>
      </c>
      <c r="X243" s="187">
        <f t="shared" si="38"/>
        <v>6.1403585424134641E-2</v>
      </c>
      <c r="Y243" s="187">
        <f t="shared" si="38"/>
        <v>3.8639858749421413E-2</v>
      </c>
      <c r="Z243" s="187">
        <v>4.6509407642397665E-2</v>
      </c>
      <c r="AA243" s="187">
        <f t="shared" si="38"/>
        <v>3.9265188899775032E-2</v>
      </c>
      <c r="AB243" s="187">
        <f t="shared" si="38"/>
        <v>3.1984488028387638E-2</v>
      </c>
      <c r="AC243" s="187">
        <f t="shared" si="38"/>
        <v>3.2492100122699125E-2</v>
      </c>
      <c r="AD243" s="187">
        <f t="shared" si="38"/>
        <v>3.0116805724815402E-2</v>
      </c>
      <c r="AE243" s="187">
        <f t="shared" si="38"/>
        <v>3.9566802572532464E-2</v>
      </c>
      <c r="AF243" s="187">
        <f t="shared" si="38"/>
        <v>3.4709745841627108E-2</v>
      </c>
      <c r="AG243" s="187">
        <f t="shared" si="38"/>
        <v>2.938052201305346E-2</v>
      </c>
      <c r="AH243" s="187">
        <f t="shared" si="38"/>
        <v>2.9512242379577818E-2</v>
      </c>
      <c r="AI243" s="187">
        <f t="shared" si="38"/>
        <v>4.1692514235880322E-2</v>
      </c>
      <c r="AJ243" s="187">
        <f t="shared" si="38"/>
        <v>3.1321402612889557E-2</v>
      </c>
      <c r="AK243" s="187">
        <f t="shared" si="38"/>
        <v>3.1954151180965652E-2</v>
      </c>
      <c r="AL243" s="187">
        <f t="shared" si="38"/>
        <v>3.2185400389976082E-2</v>
      </c>
    </row>
    <row r="244" spans="1:38" ht="15" hidden="1" customHeight="1" outlineLevel="1">
      <c r="A244" s="193" t="s">
        <v>330</v>
      </c>
      <c r="B244" s="146">
        <v>46</v>
      </c>
      <c r="C244" s="183">
        <f t="shared" ref="C244:AL244" si="39">C145</f>
        <v>5241377343</v>
      </c>
      <c r="D244" s="183">
        <f t="shared" si="39"/>
        <v>4647980221</v>
      </c>
      <c r="E244" s="183">
        <f t="shared" si="39"/>
        <v>4838115306</v>
      </c>
      <c r="F244" s="183">
        <f t="shared" si="39"/>
        <v>5132788494</v>
      </c>
      <c r="G244" s="183">
        <f t="shared" si="39"/>
        <v>5665606587</v>
      </c>
      <c r="H244" s="183">
        <f t="shared" si="39"/>
        <v>5470797521</v>
      </c>
      <c r="I244" s="183">
        <f t="shared" si="39"/>
        <v>5239042307</v>
      </c>
      <c r="J244" s="183">
        <f t="shared" si="39"/>
        <v>6065017937</v>
      </c>
      <c r="K244" s="183">
        <f t="shared" si="39"/>
        <v>7524726581</v>
      </c>
      <c r="L244" s="183">
        <f t="shared" si="39"/>
        <v>7016385931</v>
      </c>
      <c r="M244" s="183">
        <f t="shared" si="39"/>
        <v>7426888275</v>
      </c>
      <c r="N244" s="183">
        <f t="shared" si="39"/>
        <v>5833487838</v>
      </c>
      <c r="O244" s="183">
        <f t="shared" si="39"/>
        <v>7638868570</v>
      </c>
      <c r="P244" s="183">
        <f t="shared" si="39"/>
        <v>7013534740</v>
      </c>
      <c r="Q244" s="183">
        <f t="shared" si="39"/>
        <v>7332584934</v>
      </c>
      <c r="R244" s="183">
        <f t="shared" si="39"/>
        <v>7155903324</v>
      </c>
      <c r="S244" s="183">
        <f t="shared" si="39"/>
        <v>7948694673</v>
      </c>
      <c r="T244" s="183">
        <f t="shared" si="39"/>
        <v>7721648228</v>
      </c>
      <c r="U244" s="183">
        <f t="shared" si="39"/>
        <v>7616453256</v>
      </c>
      <c r="V244" s="183">
        <f t="shared" si="39"/>
        <v>7931593154</v>
      </c>
      <c r="W244" s="183">
        <f t="shared" si="39"/>
        <v>9422194647</v>
      </c>
      <c r="X244" s="183">
        <f t="shared" si="39"/>
        <v>3775611792</v>
      </c>
      <c r="Y244" s="183">
        <f t="shared" si="39"/>
        <v>9875644458</v>
      </c>
      <c r="Z244" s="183">
        <v>10510637512</v>
      </c>
      <c r="AA244" s="183">
        <f t="shared" si="39"/>
        <v>9071413074.9872208</v>
      </c>
      <c r="AB244" s="183">
        <f t="shared" si="39"/>
        <v>7516098440.3346119</v>
      </c>
      <c r="AC244" s="183">
        <f t="shared" si="39"/>
        <v>7598269672.2063808</v>
      </c>
      <c r="AD244" s="183">
        <f t="shared" si="39"/>
        <v>7688191220.7811823</v>
      </c>
      <c r="AE244" s="183">
        <f t="shared" si="39"/>
        <v>7848430527.1788082</v>
      </c>
      <c r="AF244" s="183">
        <f t="shared" si="39"/>
        <v>8123855633.0161076</v>
      </c>
      <c r="AG244" s="183">
        <f t="shared" si="39"/>
        <v>8707815450.0008068</v>
      </c>
      <c r="AH244" s="183">
        <f t="shared" si="39"/>
        <v>8883369486.1761971</v>
      </c>
      <c r="AI244" s="183">
        <f t="shared" si="39"/>
        <v>8212091289.1691723</v>
      </c>
      <c r="AJ244" s="183">
        <f t="shared" si="39"/>
        <v>7815232028.533289</v>
      </c>
      <c r="AK244" s="183">
        <f t="shared" si="39"/>
        <v>7940180139.8882856</v>
      </c>
      <c r="AL244" s="183">
        <f t="shared" si="39"/>
        <v>10136838744.549648</v>
      </c>
    </row>
    <row r="245" spans="1:38" ht="15" hidden="1" customHeight="1" outlineLevel="1">
      <c r="A245" s="190" t="s">
        <v>331</v>
      </c>
      <c r="B245" s="191">
        <v>47</v>
      </c>
      <c r="C245" s="189">
        <v>2199224809</v>
      </c>
      <c r="D245" s="189">
        <v>1866509941</v>
      </c>
      <c r="E245" s="189">
        <v>2458457019</v>
      </c>
      <c r="F245" s="189">
        <v>2490419241</v>
      </c>
      <c r="G245" s="189">
        <v>2338633957</v>
      </c>
      <c r="H245" s="189">
        <v>2336854397</v>
      </c>
      <c r="I245" s="189">
        <v>2454759320</v>
      </c>
      <c r="J245" s="189">
        <v>2424437472</v>
      </c>
      <c r="K245" s="189">
        <v>2548644081</v>
      </c>
      <c r="L245" s="189">
        <v>2470857818</v>
      </c>
      <c r="M245" s="189">
        <v>2684650254</v>
      </c>
      <c r="N245" s="189">
        <v>2441293039</v>
      </c>
      <c r="O245" s="189">
        <v>2983791748</v>
      </c>
      <c r="P245" s="189">
        <v>3053995661</v>
      </c>
      <c r="Q245" s="189">
        <v>2995487601</v>
      </c>
      <c r="R245" s="189">
        <v>3410397204</v>
      </c>
      <c r="S245" s="189">
        <v>3367304796</v>
      </c>
      <c r="T245" s="189">
        <v>3631561787</v>
      </c>
      <c r="U245" s="189">
        <v>3393959624</v>
      </c>
      <c r="V245" s="189">
        <v>3647382411</v>
      </c>
      <c r="W245" s="189">
        <v>3615025055</v>
      </c>
      <c r="X245" s="189">
        <v>3564186808</v>
      </c>
      <c r="Y245" s="189">
        <v>3657126686</v>
      </c>
      <c r="Z245" s="189">
        <v>3676024657</v>
      </c>
      <c r="AA245" s="189">
        <f>SUMIFS([1]!Data_PL_Element[Value],[1]!Data_PL_Element[Index PL Element],DTR!$B245,[1]!Data_PL_Element[TenCongTyID],DTR!$B$1,[1]!Data_PL_Element[Thang.Nam],DTR!AA$198)</f>
        <v>0</v>
      </c>
      <c r="AB245" s="189">
        <f>SUMIFS([1]!Data_PL_Element[Value],[1]!Data_PL_Element[Index PL Element],DTR!$B245,[1]!Data_PL_Element[TenCongTyID],DTR!$B$1,[1]!Data_PL_Element[Thang.Nam],DTR!AB$198)</f>
        <v>0</v>
      </c>
      <c r="AC245" s="189">
        <f>SUMIFS([1]!Data_PL_Element[Value],[1]!Data_PL_Element[Index PL Element],DTR!$B245,[1]!Data_PL_Element[TenCongTyID],DTR!$B$1,[1]!Data_PL_Element[Thang.Nam],DTR!AC$198)</f>
        <v>0</v>
      </c>
      <c r="AD245" s="189">
        <f>SUMIFS([1]!Data_PL_Element[Value],[1]!Data_PL_Element[Index PL Element],DTR!$B245,[1]!Data_PL_Element[TenCongTyID],DTR!$B$1,[1]!Data_PL_Element[Thang.Nam],DTR!AD$198)</f>
        <v>0</v>
      </c>
      <c r="AE245" s="189">
        <f>SUMIFS([1]!Data_PL_Element[Value],[1]!Data_PL_Element[Index PL Element],DTR!$B245,[1]!Data_PL_Element[TenCongTyID],DTR!$B$1,[1]!Data_PL_Element[Thang.Nam],DTR!AE$198)</f>
        <v>0</v>
      </c>
      <c r="AF245" s="189">
        <f>SUMIFS([1]!Data_PL_Element[Value],[1]!Data_PL_Element[Index PL Element],DTR!$B245,[1]!Data_PL_Element[TenCongTyID],DTR!$B$1,[1]!Data_PL_Element[Thang.Nam],DTR!AF$198)</f>
        <v>0</v>
      </c>
      <c r="AG245" s="189">
        <f>SUMIFS([1]!Data_PL_Element[Value],[1]!Data_PL_Element[Index PL Element],DTR!$B245,[1]!Data_PL_Element[TenCongTyID],DTR!$B$1,[1]!Data_PL_Element[Thang.Nam],DTR!AG$198)</f>
        <v>0</v>
      </c>
      <c r="AH245" s="189">
        <f>SUMIFS([1]!Data_PL_Element[Value],[1]!Data_PL_Element[Index PL Element],DTR!$B245,[1]!Data_PL_Element[TenCongTyID],DTR!$B$1,[1]!Data_PL_Element[Thang.Nam],DTR!AH$198)</f>
        <v>0</v>
      </c>
      <c r="AI245" s="189">
        <f>SUMIFS([1]!Data_PL_Element[Value],[1]!Data_PL_Element[Index PL Element],DTR!$B245,[1]!Data_PL_Element[TenCongTyID],DTR!$B$1,[1]!Data_PL_Element[Thang.Nam],DTR!AI$198)</f>
        <v>0</v>
      </c>
      <c r="AJ245" s="189">
        <f>SUMIFS([1]!Data_PL_Element[Value],[1]!Data_PL_Element[Index PL Element],DTR!$B245,[1]!Data_PL_Element[TenCongTyID],DTR!$B$1,[1]!Data_PL_Element[Thang.Nam],DTR!AJ$198)</f>
        <v>0</v>
      </c>
      <c r="AK245" s="189">
        <f>SUMIFS([1]!Data_PL_Element[Value],[1]!Data_PL_Element[Index PL Element],DTR!$B245,[1]!Data_PL_Element[TenCongTyID],DTR!$B$1,[1]!Data_PL_Element[Thang.Nam],DTR!AK$198)</f>
        <v>0</v>
      </c>
      <c r="AL245" s="189">
        <f>SUMIFS([1]!Data_PL_Element[Value],[1]!Data_PL_Element[Index PL Element],DTR!$B245,[1]!Data_PL_Element[TenCongTyID],DTR!$B$1,[1]!Data_PL_Element[Thang.Nam],DTR!AL$198)</f>
        <v>0</v>
      </c>
    </row>
    <row r="246" spans="1:38" ht="15" hidden="1" customHeight="1" outlineLevel="1">
      <c r="A246" s="190" t="s">
        <v>332</v>
      </c>
      <c r="B246" s="191">
        <v>48</v>
      </c>
      <c r="C246" s="189">
        <v>1186295055</v>
      </c>
      <c r="D246" s="189">
        <v>1328494238</v>
      </c>
      <c r="E246" s="189">
        <v>1123930531</v>
      </c>
      <c r="F246" s="189">
        <v>1188978426</v>
      </c>
      <c r="G246" s="189">
        <v>1240430273</v>
      </c>
      <c r="H246" s="189">
        <v>1222600521</v>
      </c>
      <c r="I246" s="189">
        <v>1308794340</v>
      </c>
      <c r="J246" s="189">
        <v>1280016944</v>
      </c>
      <c r="K246" s="189">
        <v>1349485359</v>
      </c>
      <c r="L246" s="189">
        <v>1280742735</v>
      </c>
      <c r="M246" s="189">
        <v>1264555398</v>
      </c>
      <c r="N246" s="189">
        <v>2469358307</v>
      </c>
      <c r="O246" s="189">
        <v>1495858710</v>
      </c>
      <c r="P246" s="189">
        <v>1610536264</v>
      </c>
      <c r="Q246" s="189">
        <v>1524299695</v>
      </c>
      <c r="R246" s="189">
        <v>1627737662</v>
      </c>
      <c r="S246" s="189">
        <v>1727626550</v>
      </c>
      <c r="T246" s="189">
        <v>1708123041</v>
      </c>
      <c r="U246" s="189">
        <v>1682115601</v>
      </c>
      <c r="V246" s="189">
        <v>1724737574</v>
      </c>
      <c r="W246" s="189">
        <v>1596712789</v>
      </c>
      <c r="X246" s="189">
        <v>1782041210</v>
      </c>
      <c r="Y246" s="189">
        <v>1801987515</v>
      </c>
      <c r="Z246" s="189">
        <v>3341773620</v>
      </c>
      <c r="AA246" s="189">
        <f>SUMIFS([1]!Data_PL_Element[Value],[1]!Data_PL_Element[Index PL Element],DTR!$B246,[1]!Data_PL_Element[TenCongTyID],DTR!$B$1,[1]!Data_PL_Element[Thang.Nam],DTR!AA$198)</f>
        <v>0</v>
      </c>
      <c r="AB246" s="189">
        <f>SUMIFS([1]!Data_PL_Element[Value],[1]!Data_PL_Element[Index PL Element],DTR!$B246,[1]!Data_PL_Element[TenCongTyID],DTR!$B$1,[1]!Data_PL_Element[Thang.Nam],DTR!AB$198)</f>
        <v>0</v>
      </c>
      <c r="AC246" s="189">
        <f>SUMIFS([1]!Data_PL_Element[Value],[1]!Data_PL_Element[Index PL Element],DTR!$B246,[1]!Data_PL_Element[TenCongTyID],DTR!$B$1,[1]!Data_PL_Element[Thang.Nam],DTR!AC$198)</f>
        <v>0</v>
      </c>
      <c r="AD246" s="189">
        <f>SUMIFS([1]!Data_PL_Element[Value],[1]!Data_PL_Element[Index PL Element],DTR!$B246,[1]!Data_PL_Element[TenCongTyID],DTR!$B$1,[1]!Data_PL_Element[Thang.Nam],DTR!AD$198)</f>
        <v>0</v>
      </c>
      <c r="AE246" s="189">
        <f>SUMIFS([1]!Data_PL_Element[Value],[1]!Data_PL_Element[Index PL Element],DTR!$B246,[1]!Data_PL_Element[TenCongTyID],DTR!$B$1,[1]!Data_PL_Element[Thang.Nam],DTR!AE$198)</f>
        <v>0</v>
      </c>
      <c r="AF246" s="189">
        <f>SUMIFS([1]!Data_PL_Element[Value],[1]!Data_PL_Element[Index PL Element],DTR!$B246,[1]!Data_PL_Element[TenCongTyID],DTR!$B$1,[1]!Data_PL_Element[Thang.Nam],DTR!AF$198)</f>
        <v>0</v>
      </c>
      <c r="AG246" s="189">
        <f>SUMIFS([1]!Data_PL_Element[Value],[1]!Data_PL_Element[Index PL Element],DTR!$B246,[1]!Data_PL_Element[TenCongTyID],DTR!$B$1,[1]!Data_PL_Element[Thang.Nam],DTR!AG$198)</f>
        <v>0</v>
      </c>
      <c r="AH246" s="189">
        <f>SUMIFS([1]!Data_PL_Element[Value],[1]!Data_PL_Element[Index PL Element],DTR!$B246,[1]!Data_PL_Element[TenCongTyID],DTR!$B$1,[1]!Data_PL_Element[Thang.Nam],DTR!AH$198)</f>
        <v>0</v>
      </c>
      <c r="AI246" s="189">
        <f>SUMIFS([1]!Data_PL_Element[Value],[1]!Data_PL_Element[Index PL Element],DTR!$B246,[1]!Data_PL_Element[TenCongTyID],DTR!$B$1,[1]!Data_PL_Element[Thang.Nam],DTR!AI$198)</f>
        <v>0</v>
      </c>
      <c r="AJ246" s="189">
        <f>SUMIFS([1]!Data_PL_Element[Value],[1]!Data_PL_Element[Index PL Element],DTR!$B246,[1]!Data_PL_Element[TenCongTyID],DTR!$B$1,[1]!Data_PL_Element[Thang.Nam],DTR!AJ$198)</f>
        <v>0</v>
      </c>
      <c r="AK246" s="189">
        <f>SUMIFS([1]!Data_PL_Element[Value],[1]!Data_PL_Element[Index PL Element],DTR!$B246,[1]!Data_PL_Element[TenCongTyID],DTR!$B$1,[1]!Data_PL_Element[Thang.Nam],DTR!AK$198)</f>
        <v>0</v>
      </c>
      <c r="AL246" s="189">
        <f>SUMIFS([1]!Data_PL_Element[Value],[1]!Data_PL_Element[Index PL Element],DTR!$B246,[1]!Data_PL_Element[TenCongTyID],DTR!$B$1,[1]!Data_PL_Element[Thang.Nam],DTR!AL$198)</f>
        <v>0</v>
      </c>
    </row>
    <row r="247" spans="1:38" ht="15" hidden="1" customHeight="1" outlineLevel="1">
      <c r="A247" s="190" t="s">
        <v>333</v>
      </c>
      <c r="B247" s="191">
        <v>49</v>
      </c>
      <c r="C247" s="189">
        <v>133435416</v>
      </c>
      <c r="D247" s="189">
        <v>133435416</v>
      </c>
      <c r="E247" s="189">
        <v>128983751</v>
      </c>
      <c r="F247" s="189">
        <v>188597480</v>
      </c>
      <c r="G247" s="189">
        <v>193063634</v>
      </c>
      <c r="H247" s="189">
        <v>191604855</v>
      </c>
      <c r="I247" s="189">
        <v>196735047</v>
      </c>
      <c r="J247" s="189">
        <v>345856873</v>
      </c>
      <c r="K247" s="189">
        <v>345856878</v>
      </c>
      <c r="L247" s="189">
        <v>345856871</v>
      </c>
      <c r="M247" s="189">
        <v>344940471</v>
      </c>
      <c r="N247" s="189">
        <v>405609841</v>
      </c>
      <c r="O247" s="189">
        <v>419357695</v>
      </c>
      <c r="P247" s="189">
        <v>419357696</v>
      </c>
      <c r="Q247" s="189">
        <v>423262420</v>
      </c>
      <c r="R247" s="189">
        <v>464717661</v>
      </c>
      <c r="S247" s="189">
        <v>464717663</v>
      </c>
      <c r="T247" s="189">
        <v>480817125</v>
      </c>
      <c r="U247" s="189">
        <v>328376590</v>
      </c>
      <c r="V247" s="189">
        <v>336153454</v>
      </c>
      <c r="W247" s="189">
        <v>474359660</v>
      </c>
      <c r="X247" s="189">
        <v>337019961</v>
      </c>
      <c r="Y247" s="189">
        <v>337019964</v>
      </c>
      <c r="Z247" s="189">
        <v>286388296</v>
      </c>
      <c r="AA247" s="189">
        <f>SUMIFS([1]!Data_PL_Element[Value],[1]!Data_PL_Element[Index PL Element],DTR!$B247,[1]!Data_PL_Element[TenCongTyID],DTR!$B$1,[1]!Data_PL_Element[Thang.Nam],DTR!AA$198)</f>
        <v>0</v>
      </c>
      <c r="AB247" s="189">
        <f>SUMIFS([1]!Data_PL_Element[Value],[1]!Data_PL_Element[Index PL Element],DTR!$B247,[1]!Data_PL_Element[TenCongTyID],DTR!$B$1,[1]!Data_PL_Element[Thang.Nam],DTR!AB$198)</f>
        <v>0</v>
      </c>
      <c r="AC247" s="189">
        <f>SUMIFS([1]!Data_PL_Element[Value],[1]!Data_PL_Element[Index PL Element],DTR!$B247,[1]!Data_PL_Element[TenCongTyID],DTR!$B$1,[1]!Data_PL_Element[Thang.Nam],DTR!AC$198)</f>
        <v>0</v>
      </c>
      <c r="AD247" s="189">
        <f>SUMIFS([1]!Data_PL_Element[Value],[1]!Data_PL_Element[Index PL Element],DTR!$B247,[1]!Data_PL_Element[TenCongTyID],DTR!$B$1,[1]!Data_PL_Element[Thang.Nam],DTR!AD$198)</f>
        <v>0</v>
      </c>
      <c r="AE247" s="189">
        <f>SUMIFS([1]!Data_PL_Element[Value],[1]!Data_PL_Element[Index PL Element],DTR!$B247,[1]!Data_PL_Element[TenCongTyID],DTR!$B$1,[1]!Data_PL_Element[Thang.Nam],DTR!AE$198)</f>
        <v>0</v>
      </c>
      <c r="AF247" s="189">
        <f>SUMIFS([1]!Data_PL_Element[Value],[1]!Data_PL_Element[Index PL Element],DTR!$B247,[1]!Data_PL_Element[TenCongTyID],DTR!$B$1,[1]!Data_PL_Element[Thang.Nam],DTR!AF$198)</f>
        <v>0</v>
      </c>
      <c r="AG247" s="189">
        <f>SUMIFS([1]!Data_PL_Element[Value],[1]!Data_PL_Element[Index PL Element],DTR!$B247,[1]!Data_PL_Element[TenCongTyID],DTR!$B$1,[1]!Data_PL_Element[Thang.Nam],DTR!AG$198)</f>
        <v>0</v>
      </c>
      <c r="AH247" s="189">
        <f>SUMIFS([1]!Data_PL_Element[Value],[1]!Data_PL_Element[Index PL Element],DTR!$B247,[1]!Data_PL_Element[TenCongTyID],DTR!$B$1,[1]!Data_PL_Element[Thang.Nam],DTR!AH$198)</f>
        <v>0</v>
      </c>
      <c r="AI247" s="189">
        <f>SUMIFS([1]!Data_PL_Element[Value],[1]!Data_PL_Element[Index PL Element],DTR!$B247,[1]!Data_PL_Element[TenCongTyID],DTR!$B$1,[1]!Data_PL_Element[Thang.Nam],DTR!AI$198)</f>
        <v>0</v>
      </c>
      <c r="AJ247" s="189">
        <f>SUMIFS([1]!Data_PL_Element[Value],[1]!Data_PL_Element[Index PL Element],DTR!$B247,[1]!Data_PL_Element[TenCongTyID],DTR!$B$1,[1]!Data_PL_Element[Thang.Nam],DTR!AJ$198)</f>
        <v>0</v>
      </c>
      <c r="AK247" s="189">
        <f>SUMIFS([1]!Data_PL_Element[Value],[1]!Data_PL_Element[Index PL Element],DTR!$B247,[1]!Data_PL_Element[TenCongTyID],DTR!$B$1,[1]!Data_PL_Element[Thang.Nam],DTR!AK$198)</f>
        <v>0</v>
      </c>
      <c r="AL247" s="189">
        <f>SUMIFS([1]!Data_PL_Element[Value],[1]!Data_PL_Element[Index PL Element],DTR!$B247,[1]!Data_PL_Element[TenCongTyID],DTR!$B$1,[1]!Data_PL_Element[Thang.Nam],DTR!AL$198)</f>
        <v>0</v>
      </c>
    </row>
    <row r="248" spans="1:38" ht="15" hidden="1" customHeight="1" outlineLevel="1">
      <c r="A248" s="190" t="s">
        <v>334</v>
      </c>
      <c r="B248" s="191">
        <v>50</v>
      </c>
      <c r="C248" s="189">
        <v>1722422063</v>
      </c>
      <c r="D248" s="189">
        <v>1319540626</v>
      </c>
      <c r="E248" s="189">
        <v>1126744005</v>
      </c>
      <c r="F248" s="189">
        <v>1264793347</v>
      </c>
      <c r="G248" s="189">
        <v>1893478723</v>
      </c>
      <c r="H248" s="189">
        <v>1719737748</v>
      </c>
      <c r="I248" s="189">
        <v>1278753600</v>
      </c>
      <c r="J248" s="189">
        <v>2014706648</v>
      </c>
      <c r="K248" s="189">
        <v>3280740263</v>
      </c>
      <c r="L248" s="189">
        <v>2918928507</v>
      </c>
      <c r="M248" s="189">
        <v>3132742152</v>
      </c>
      <c r="N248" s="189">
        <v>517226651</v>
      </c>
      <c r="O248" s="189">
        <v>2739860417</v>
      </c>
      <c r="P248" s="189">
        <v>1929645119</v>
      </c>
      <c r="Q248" s="189">
        <v>2389535218</v>
      </c>
      <c r="R248" s="189">
        <v>1653050797</v>
      </c>
      <c r="S248" s="189">
        <v>2389045664</v>
      </c>
      <c r="T248" s="189">
        <v>1901146275</v>
      </c>
      <c r="U248" s="189">
        <v>2212001441</v>
      </c>
      <c r="V248" s="189">
        <v>2223319715</v>
      </c>
      <c r="W248" s="189">
        <v>3736097143</v>
      </c>
      <c r="X248" s="189">
        <v>-1907636187</v>
      </c>
      <c r="Y248" s="189">
        <v>4079510293</v>
      </c>
      <c r="Z248" s="189">
        <v>3206450939</v>
      </c>
      <c r="AA248" s="189">
        <f>SUMIFS([1]!Data_PL_Element[Value],[1]!Data_PL_Element[Index PL Element],DTR!$B248,[1]!Data_PL_Element[TenCongTyID],DTR!$B$1,[1]!Data_PL_Element[Thang.Nam],DTR!AA$198)</f>
        <v>0</v>
      </c>
      <c r="AB248" s="189">
        <f>SUMIFS([1]!Data_PL_Element[Value],[1]!Data_PL_Element[Index PL Element],DTR!$B248,[1]!Data_PL_Element[TenCongTyID],DTR!$B$1,[1]!Data_PL_Element[Thang.Nam],DTR!AB$198)</f>
        <v>0</v>
      </c>
      <c r="AC248" s="189">
        <f>SUMIFS([1]!Data_PL_Element[Value],[1]!Data_PL_Element[Index PL Element],DTR!$B248,[1]!Data_PL_Element[TenCongTyID],DTR!$B$1,[1]!Data_PL_Element[Thang.Nam],DTR!AC$198)</f>
        <v>0</v>
      </c>
      <c r="AD248" s="189">
        <f>SUMIFS([1]!Data_PL_Element[Value],[1]!Data_PL_Element[Index PL Element],DTR!$B248,[1]!Data_PL_Element[TenCongTyID],DTR!$B$1,[1]!Data_PL_Element[Thang.Nam],DTR!AD$198)</f>
        <v>0</v>
      </c>
      <c r="AE248" s="189">
        <f>SUMIFS([1]!Data_PL_Element[Value],[1]!Data_PL_Element[Index PL Element],DTR!$B248,[1]!Data_PL_Element[TenCongTyID],DTR!$B$1,[1]!Data_PL_Element[Thang.Nam],DTR!AE$198)</f>
        <v>0</v>
      </c>
      <c r="AF248" s="189">
        <f>SUMIFS([1]!Data_PL_Element[Value],[1]!Data_PL_Element[Index PL Element],DTR!$B248,[1]!Data_PL_Element[TenCongTyID],DTR!$B$1,[1]!Data_PL_Element[Thang.Nam],DTR!AF$198)</f>
        <v>0</v>
      </c>
      <c r="AG248" s="189">
        <f>SUMIFS([1]!Data_PL_Element[Value],[1]!Data_PL_Element[Index PL Element],DTR!$B248,[1]!Data_PL_Element[TenCongTyID],DTR!$B$1,[1]!Data_PL_Element[Thang.Nam],DTR!AG$198)</f>
        <v>0</v>
      </c>
      <c r="AH248" s="189">
        <f>SUMIFS([1]!Data_PL_Element[Value],[1]!Data_PL_Element[Index PL Element],DTR!$B248,[1]!Data_PL_Element[TenCongTyID],DTR!$B$1,[1]!Data_PL_Element[Thang.Nam],DTR!AH$198)</f>
        <v>0</v>
      </c>
      <c r="AI248" s="189">
        <f>SUMIFS([1]!Data_PL_Element[Value],[1]!Data_PL_Element[Index PL Element],DTR!$B248,[1]!Data_PL_Element[TenCongTyID],DTR!$B$1,[1]!Data_PL_Element[Thang.Nam],DTR!AI$198)</f>
        <v>0</v>
      </c>
      <c r="AJ248" s="189">
        <f>SUMIFS([1]!Data_PL_Element[Value],[1]!Data_PL_Element[Index PL Element],DTR!$B248,[1]!Data_PL_Element[TenCongTyID],DTR!$B$1,[1]!Data_PL_Element[Thang.Nam],DTR!AJ$198)</f>
        <v>0</v>
      </c>
      <c r="AK248" s="189">
        <f>SUMIFS([1]!Data_PL_Element[Value],[1]!Data_PL_Element[Index PL Element],DTR!$B248,[1]!Data_PL_Element[TenCongTyID],DTR!$B$1,[1]!Data_PL_Element[Thang.Nam],DTR!AK$198)</f>
        <v>0</v>
      </c>
      <c r="AL248" s="189">
        <f>SUMIFS([1]!Data_PL_Element[Value],[1]!Data_PL_Element[Index PL Element],DTR!$B248,[1]!Data_PL_Element[TenCongTyID],DTR!$B$1,[1]!Data_PL_Element[Thang.Nam],DTR!AL$198)</f>
        <v>0</v>
      </c>
    </row>
    <row r="249" spans="1:38" ht="15" hidden="1" customHeight="1" outlineLevel="1">
      <c r="A249" s="194" t="s">
        <v>335</v>
      </c>
      <c r="B249" s="171">
        <v>51</v>
      </c>
      <c r="C249" s="187">
        <f t="shared" ref="C249:AL249" si="40">IFERROR(C244/C207,"")</f>
        <v>5.461951894182393E-2</v>
      </c>
      <c r="D249" s="187">
        <f t="shared" si="40"/>
        <v>6.7420906277327705E-2</v>
      </c>
      <c r="E249" s="187">
        <f t="shared" si="40"/>
        <v>5.2525688216835155E-2</v>
      </c>
      <c r="F249" s="187">
        <f t="shared" si="40"/>
        <v>5.2649874377032994E-2</v>
      </c>
      <c r="G249" s="187">
        <f t="shared" si="40"/>
        <v>5.5347107689687008E-2</v>
      </c>
      <c r="H249" s="187">
        <f t="shared" si="40"/>
        <v>8.0342823109023007E-2</v>
      </c>
      <c r="I249" s="187">
        <f t="shared" si="40"/>
        <v>9.2806456534713727E-2</v>
      </c>
      <c r="J249" s="187">
        <f t="shared" si="40"/>
        <v>3.9376107771791721E-2</v>
      </c>
      <c r="K249" s="187">
        <f t="shared" si="40"/>
        <v>4.798017940542644E-2</v>
      </c>
      <c r="L249" s="187">
        <f t="shared" si="40"/>
        <v>6.0065318350262804E-2</v>
      </c>
      <c r="M249" s="187">
        <f t="shared" si="40"/>
        <v>9.7560289950272119E-2</v>
      </c>
      <c r="N249" s="187">
        <f t="shared" si="40"/>
        <v>5.4924046392388341E-2</v>
      </c>
      <c r="O249" s="187">
        <f t="shared" si="40"/>
        <v>6.6736860332451048E-2</v>
      </c>
      <c r="P249" s="187">
        <f t="shared" si="40"/>
        <v>3.7306142796861196E-2</v>
      </c>
      <c r="Q249" s="187">
        <f t="shared" si="40"/>
        <v>4.8801479496075294E-2</v>
      </c>
      <c r="R249" s="187">
        <f t="shared" si="40"/>
        <v>5.7051130512382149E-2</v>
      </c>
      <c r="S249" s="187">
        <f t="shared" si="40"/>
        <v>5.2270954289817234E-2</v>
      </c>
      <c r="T249" s="187">
        <f t="shared" si="40"/>
        <v>6.4814449452153478E-2</v>
      </c>
      <c r="U249" s="187">
        <f t="shared" si="40"/>
        <v>5.5195127198245778E-2</v>
      </c>
      <c r="V249" s="187">
        <f t="shared" si="40"/>
        <v>4.7087795132064174E-2</v>
      </c>
      <c r="W249" s="187">
        <f t="shared" si="40"/>
        <v>0.11122826413944996</v>
      </c>
      <c r="X249" s="187">
        <f t="shared" si="40"/>
        <v>3.4661358855463974E-2</v>
      </c>
      <c r="Y249" s="187">
        <f t="shared" si="40"/>
        <v>0.11178133949961636</v>
      </c>
      <c r="Z249" s="187">
        <v>0.10361935185104061</v>
      </c>
      <c r="AA249" s="187">
        <f t="shared" si="40"/>
        <v>7.0046632790232669E-2</v>
      </c>
      <c r="AB249" s="187">
        <f t="shared" si="40"/>
        <v>5.8731246420433862E-2</v>
      </c>
      <c r="AC249" s="187">
        <f t="shared" si="40"/>
        <v>5.3660289130452676E-2</v>
      </c>
      <c r="AD249" s="187">
        <f t="shared" si="40"/>
        <v>5.834010465813283E-2</v>
      </c>
      <c r="AE249" s="187">
        <f t="shared" si="40"/>
        <v>5.5962560391500833E-2</v>
      </c>
      <c r="AF249" s="187">
        <f t="shared" si="40"/>
        <v>5.7449231559881353E-2</v>
      </c>
      <c r="AG249" s="187">
        <f t="shared" si="40"/>
        <v>5.9887018329667648E-2</v>
      </c>
      <c r="AH249" s="187">
        <f t="shared" si="40"/>
        <v>6.2879376214932281E-2</v>
      </c>
      <c r="AI249" s="187">
        <f t="shared" si="40"/>
        <v>5.5413530781988171E-2</v>
      </c>
      <c r="AJ249" s="187">
        <f t="shared" si="40"/>
        <v>5.6638485416058267E-2</v>
      </c>
      <c r="AK249" s="187">
        <f t="shared" si="40"/>
        <v>5.4411233248897059E-2</v>
      </c>
      <c r="AL249" s="187">
        <f t="shared" si="40"/>
        <v>6.8751358496776271E-2</v>
      </c>
    </row>
    <row r="250" spans="1:38" ht="15" hidden="1" customHeight="1" outlineLevel="1">
      <c r="A250" s="193" t="s">
        <v>336</v>
      </c>
      <c r="B250" s="146">
        <v>52</v>
      </c>
      <c r="C250" s="186">
        <f t="shared" ref="C250:Y251" si="41">C142</f>
        <v>801399604</v>
      </c>
      <c r="D250" s="186">
        <f t="shared" si="41"/>
        <v>695500231</v>
      </c>
      <c r="E250" s="186">
        <f t="shared" si="41"/>
        <v>663502461</v>
      </c>
      <c r="F250" s="186">
        <f t="shared" si="41"/>
        <v>1555671370</v>
      </c>
      <c r="G250" s="186">
        <f t="shared" si="41"/>
        <v>936492932</v>
      </c>
      <c r="H250" s="186">
        <f t="shared" si="41"/>
        <v>1103852896</v>
      </c>
      <c r="I250" s="186">
        <f t="shared" si="41"/>
        <v>1608708972</v>
      </c>
      <c r="J250" s="186">
        <f t="shared" si="41"/>
        <v>1489581015</v>
      </c>
      <c r="K250" s="186">
        <f t="shared" si="41"/>
        <v>1372261307</v>
      </c>
      <c r="L250" s="186">
        <f t="shared" si="41"/>
        <v>636041020</v>
      </c>
      <c r="M250" s="186">
        <f t="shared" si="41"/>
        <v>1257673070</v>
      </c>
      <c r="N250" s="186">
        <f t="shared" si="41"/>
        <v>993026233</v>
      </c>
      <c r="O250" s="186">
        <f t="shared" si="41"/>
        <v>1529745602</v>
      </c>
      <c r="P250" s="186">
        <f t="shared" si="41"/>
        <v>1349010483</v>
      </c>
      <c r="Q250" s="186">
        <f t="shared" si="41"/>
        <v>902730488</v>
      </c>
      <c r="R250" s="186">
        <f t="shared" si="41"/>
        <v>1450570894</v>
      </c>
      <c r="S250" s="186">
        <f t="shared" si="41"/>
        <v>858169737</v>
      </c>
      <c r="T250" s="186">
        <f t="shared" si="41"/>
        <v>1483876982</v>
      </c>
      <c r="U250" s="186">
        <f t="shared" si="41"/>
        <v>1315247967</v>
      </c>
      <c r="V250" s="186">
        <f t="shared" si="41"/>
        <v>1366041150</v>
      </c>
      <c r="W250" s="186">
        <f t="shared" si="41"/>
        <v>1603769193</v>
      </c>
      <c r="X250" s="186">
        <f t="shared" si="41"/>
        <v>2900732378</v>
      </c>
      <c r="Y250" s="186">
        <f t="shared" si="41"/>
        <v>1301741764</v>
      </c>
      <c r="Z250" s="186">
        <v>2453854146</v>
      </c>
      <c r="AA250" s="186">
        <f t="shared" ref="AA250:AL251" si="42">AA142</f>
        <v>1440729191.0893345</v>
      </c>
      <c r="AB250" s="186">
        <f t="shared" si="42"/>
        <v>2314401491.6227865</v>
      </c>
      <c r="AC250" s="186">
        <f t="shared" si="42"/>
        <v>2754845108.8531456</v>
      </c>
      <c r="AD250" s="186">
        <f t="shared" si="42"/>
        <v>2658973977.945015</v>
      </c>
      <c r="AE250" s="186">
        <f t="shared" si="42"/>
        <v>2984563857.6971397</v>
      </c>
      <c r="AF250" s="186">
        <f t="shared" si="42"/>
        <v>3083765892.6644506</v>
      </c>
      <c r="AG250" s="186">
        <f t="shared" si="42"/>
        <v>3139619158.6549101</v>
      </c>
      <c r="AH250" s="186">
        <f t="shared" si="42"/>
        <v>3321581053.7279758</v>
      </c>
      <c r="AI250" s="186">
        <f t="shared" si="42"/>
        <v>3248341883.5147653</v>
      </c>
      <c r="AJ250" s="186">
        <f t="shared" si="42"/>
        <v>3254733184.6761322</v>
      </c>
      <c r="AK250" s="186">
        <f t="shared" si="42"/>
        <v>3261994460.9206567</v>
      </c>
      <c r="AL250" s="186">
        <f t="shared" si="42"/>
        <v>3102355062.0342407</v>
      </c>
    </row>
    <row r="251" spans="1:38" ht="15" hidden="1" customHeight="1" outlineLevel="1">
      <c r="A251" s="178" t="s">
        <v>337</v>
      </c>
      <c r="B251" s="179">
        <v>53</v>
      </c>
      <c r="C251" s="189">
        <f t="shared" si="41"/>
        <v>460461775</v>
      </c>
      <c r="D251" s="189">
        <f t="shared" si="41"/>
        <v>563909516</v>
      </c>
      <c r="E251" s="189">
        <f t="shared" si="41"/>
        <v>587315920</v>
      </c>
      <c r="F251" s="189">
        <f t="shared" si="41"/>
        <v>905708142</v>
      </c>
      <c r="G251" s="189">
        <f t="shared" si="41"/>
        <v>974310029</v>
      </c>
      <c r="H251" s="189">
        <f t="shared" si="41"/>
        <v>1115056080</v>
      </c>
      <c r="I251" s="189">
        <f t="shared" si="41"/>
        <v>1160823006</v>
      </c>
      <c r="J251" s="189">
        <f t="shared" si="41"/>
        <v>939585045</v>
      </c>
      <c r="K251" s="189">
        <f t="shared" si="41"/>
        <v>859444105</v>
      </c>
      <c r="L251" s="189">
        <f t="shared" si="41"/>
        <v>840165515</v>
      </c>
      <c r="M251" s="189">
        <f t="shared" si="41"/>
        <v>889159081</v>
      </c>
      <c r="N251" s="189">
        <f t="shared" si="41"/>
        <v>1032562923</v>
      </c>
      <c r="O251" s="189">
        <f t="shared" si="41"/>
        <v>1114824276</v>
      </c>
      <c r="P251" s="189">
        <f t="shared" si="41"/>
        <v>928379281</v>
      </c>
      <c r="Q251" s="189">
        <f t="shared" si="41"/>
        <v>673966789</v>
      </c>
      <c r="R251" s="189">
        <f t="shared" si="41"/>
        <v>888393452</v>
      </c>
      <c r="S251" s="189">
        <f t="shared" si="41"/>
        <v>1186588729</v>
      </c>
      <c r="T251" s="189">
        <f t="shared" si="41"/>
        <v>1448899822</v>
      </c>
      <c r="U251" s="189">
        <f t="shared" si="41"/>
        <v>1242023326</v>
      </c>
      <c r="V251" s="189">
        <f t="shared" si="41"/>
        <v>1303560910</v>
      </c>
      <c r="W251" s="189">
        <f t="shared" si="41"/>
        <v>1595764355</v>
      </c>
      <c r="X251" s="189">
        <f t="shared" si="41"/>
        <v>1368802426</v>
      </c>
      <c r="Y251" s="189">
        <f t="shared" si="41"/>
        <v>1256132292</v>
      </c>
      <c r="Z251" s="189">
        <v>1256103396</v>
      </c>
      <c r="AA251" s="189">
        <f t="shared" si="42"/>
        <v>1440729191.0893345</v>
      </c>
      <c r="AB251" s="189">
        <f t="shared" si="42"/>
        <v>2314401491.6227865</v>
      </c>
      <c r="AC251" s="189">
        <f t="shared" si="42"/>
        <v>2754845108.8531456</v>
      </c>
      <c r="AD251" s="189">
        <f t="shared" si="42"/>
        <v>2658973977.945015</v>
      </c>
      <c r="AE251" s="189">
        <f t="shared" si="42"/>
        <v>2984563857.6971397</v>
      </c>
      <c r="AF251" s="189">
        <f t="shared" si="42"/>
        <v>3083765892.6644506</v>
      </c>
      <c r="AG251" s="189">
        <f t="shared" si="42"/>
        <v>3139619158.6549101</v>
      </c>
      <c r="AH251" s="189">
        <f t="shared" si="42"/>
        <v>3321581053.7279758</v>
      </c>
      <c r="AI251" s="189">
        <f t="shared" si="42"/>
        <v>3248341883.5147653</v>
      </c>
      <c r="AJ251" s="189">
        <f t="shared" si="42"/>
        <v>3254733184.6761322</v>
      </c>
      <c r="AK251" s="189">
        <f t="shared" si="42"/>
        <v>3261994460.9206567</v>
      </c>
      <c r="AL251" s="189">
        <f t="shared" si="42"/>
        <v>3102355062.0342407</v>
      </c>
    </row>
    <row r="252" spans="1:38" ht="15" hidden="1" customHeight="1" outlineLevel="1">
      <c r="A252" s="194" t="s">
        <v>338</v>
      </c>
      <c r="B252" s="195">
        <v>54</v>
      </c>
      <c r="C252" s="187">
        <f>IFERROR(C251/C207,"")</f>
        <v>4.7983953445342254E-3</v>
      </c>
      <c r="D252" s="187">
        <f t="shared" ref="D252:AL252" si="43">IFERROR(D251/D207,"")</f>
        <v>8.1797444953303784E-3</v>
      </c>
      <c r="E252" s="187">
        <f t="shared" si="43"/>
        <v>6.3762789738487681E-3</v>
      </c>
      <c r="F252" s="187">
        <f t="shared" si="43"/>
        <v>9.2903535679091549E-3</v>
      </c>
      <c r="G252" s="187">
        <f t="shared" si="43"/>
        <v>9.5179997534490073E-3</v>
      </c>
      <c r="H252" s="187">
        <f t="shared" si="43"/>
        <v>1.6375446732984765E-2</v>
      </c>
      <c r="I252" s="187">
        <f t="shared" si="43"/>
        <v>2.0563275411403303E-2</v>
      </c>
      <c r="J252" s="187">
        <f t="shared" si="43"/>
        <v>6.1000977040777012E-3</v>
      </c>
      <c r="K252" s="187">
        <f t="shared" si="43"/>
        <v>5.4801037490130374E-3</v>
      </c>
      <c r="L252" s="187">
        <f t="shared" si="43"/>
        <v>7.1924220847690854E-3</v>
      </c>
      <c r="M252" s="187">
        <f t="shared" si="43"/>
        <v>1.1680075765550343E-2</v>
      </c>
      <c r="N252" s="187">
        <f t="shared" si="43"/>
        <v>9.721891167147079E-3</v>
      </c>
      <c r="O252" s="187">
        <f t="shared" si="43"/>
        <v>9.7396455143667782E-3</v>
      </c>
      <c r="P252" s="187">
        <f t="shared" si="43"/>
        <v>4.9382018212735523E-3</v>
      </c>
      <c r="Q252" s="187">
        <f t="shared" si="43"/>
        <v>4.4855363736614855E-3</v>
      </c>
      <c r="R252" s="187">
        <f t="shared" si="43"/>
        <v>7.0828026150675412E-3</v>
      </c>
      <c r="S252" s="187">
        <f t="shared" si="43"/>
        <v>7.8030579568056499E-3</v>
      </c>
      <c r="T252" s="187">
        <f t="shared" si="43"/>
        <v>1.2161865122749433E-2</v>
      </c>
      <c r="U252" s="187">
        <f t="shared" si="43"/>
        <v>9.0007294941059218E-3</v>
      </c>
      <c r="V252" s="187">
        <f t="shared" si="43"/>
        <v>7.7389003546269311E-3</v>
      </c>
      <c r="W252" s="187">
        <f t="shared" si="43"/>
        <v>1.8837872261402773E-2</v>
      </c>
      <c r="X252" s="187">
        <f t="shared" si="43"/>
        <v>1.2566056762070751E-2</v>
      </c>
      <c r="Y252" s="187">
        <f t="shared" si="43"/>
        <v>1.4218024027256169E-2</v>
      </c>
      <c r="Z252" s="187">
        <v>1.2383323047989347E-2</v>
      </c>
      <c r="AA252" s="187">
        <f t="shared" si="43"/>
        <v>1.112486310172197E-2</v>
      </c>
      <c r="AB252" s="187">
        <f t="shared" si="43"/>
        <v>1.8084872809923731E-2</v>
      </c>
      <c r="AC252" s="187">
        <f t="shared" si="43"/>
        <v>1.9455190645760224E-2</v>
      </c>
      <c r="AD252" s="187">
        <f t="shared" si="43"/>
        <v>2.0177024179271391E-2</v>
      </c>
      <c r="AE252" s="187">
        <f t="shared" si="43"/>
        <v>2.1281176478567258E-2</v>
      </c>
      <c r="AF252" s="187">
        <f t="shared" si="43"/>
        <v>2.1807376798296311E-2</v>
      </c>
      <c r="AG252" s="187">
        <f t="shared" si="43"/>
        <v>2.1592376547498477E-2</v>
      </c>
      <c r="AH252" s="187">
        <f t="shared" si="43"/>
        <v>2.3511230173501981E-2</v>
      </c>
      <c r="AI252" s="187">
        <f t="shared" si="43"/>
        <v>2.1919153917586066E-2</v>
      </c>
      <c r="AJ252" s="187">
        <f t="shared" si="43"/>
        <v>2.3587675623757045E-2</v>
      </c>
      <c r="AK252" s="187">
        <f t="shared" si="43"/>
        <v>2.2353289011433092E-2</v>
      </c>
      <c r="AL252" s="187">
        <f t="shared" si="43"/>
        <v>2.1041187536783749E-2</v>
      </c>
    </row>
    <row r="253" spans="1:38" ht="15" customHeight="1">
      <c r="C253" s="201"/>
      <c r="N253" s="326"/>
      <c r="Z253" s="326"/>
    </row>
    <row r="254" spans="1:38" ht="15" customHeight="1" collapsed="1">
      <c r="A254" s="327" t="s">
        <v>339</v>
      </c>
      <c r="B254" s="177" t="s">
        <v>369</v>
      </c>
      <c r="C254" s="53" t="s">
        <v>66</v>
      </c>
      <c r="D254" s="54" t="s">
        <v>67</v>
      </c>
      <c r="E254" s="53" t="s">
        <v>68</v>
      </c>
      <c r="F254" s="53" t="s">
        <v>69</v>
      </c>
      <c r="G254" s="53" t="s">
        <v>70</v>
      </c>
      <c r="H254" s="53" t="s">
        <v>71</v>
      </c>
      <c r="I254" s="53" t="s">
        <v>72</v>
      </c>
      <c r="J254" s="54" t="s">
        <v>73</v>
      </c>
      <c r="K254" s="53" t="s">
        <v>74</v>
      </c>
      <c r="L254" s="53" t="s">
        <v>75</v>
      </c>
      <c r="M254" s="53" t="s">
        <v>76</v>
      </c>
      <c r="N254" s="53" t="s">
        <v>77</v>
      </c>
      <c r="O254" s="53" t="s">
        <v>78</v>
      </c>
      <c r="P254" s="53" t="s">
        <v>79</v>
      </c>
      <c r="Q254" s="53" t="s">
        <v>80</v>
      </c>
      <c r="R254" s="53" t="s">
        <v>81</v>
      </c>
      <c r="S254" s="53" t="s">
        <v>82</v>
      </c>
      <c r="T254" s="53" t="s">
        <v>83</v>
      </c>
      <c r="U254" s="53" t="s">
        <v>84</v>
      </c>
      <c r="V254" s="53" t="s">
        <v>85</v>
      </c>
      <c r="W254" s="53" t="s">
        <v>86</v>
      </c>
      <c r="X254" s="53" t="s">
        <v>87</v>
      </c>
      <c r="Y254" s="53" t="s">
        <v>88</v>
      </c>
      <c r="Z254" s="53" t="s">
        <v>89</v>
      </c>
      <c r="AA254" s="53" t="s">
        <v>8</v>
      </c>
      <c r="AB254" s="53" t="s">
        <v>9</v>
      </c>
      <c r="AC254" s="53" t="s">
        <v>10</v>
      </c>
      <c r="AD254" s="53" t="s">
        <v>11</v>
      </c>
      <c r="AE254" s="53" t="s">
        <v>12</v>
      </c>
      <c r="AF254" s="53" t="s">
        <v>13</v>
      </c>
      <c r="AG254" s="53" t="s">
        <v>14</v>
      </c>
      <c r="AH254" s="53" t="s">
        <v>15</v>
      </c>
      <c r="AI254" s="53" t="s">
        <v>16</v>
      </c>
      <c r="AJ254" s="53" t="s">
        <v>17</v>
      </c>
      <c r="AK254" s="53" t="s">
        <v>18</v>
      </c>
      <c r="AL254" s="53" t="s">
        <v>19</v>
      </c>
    </row>
    <row r="255" spans="1:38" ht="15" hidden="1" customHeight="1" outlineLevel="1">
      <c r="A255" s="196" t="s">
        <v>370</v>
      </c>
      <c r="B255" s="328">
        <v>1</v>
      </c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>
        <v>0</v>
      </c>
      <c r="AA255" s="199">
        <f>SUMIFS([1]!Data_Loan[Value],[1]!Data_Loan[Index Loan],DTR!$B255,[1]!Data_Loan[TenCongTyID],DTR!$B$1,[1]!Data_Loan[Thang.Nam],DTR!AA$254)</f>
        <v>0</v>
      </c>
      <c r="AB255" s="199">
        <f>SUMIFS([1]!Data_Loan[Value],[1]!Data_Loan[Index Loan],DTR!$B255,[1]!Data_Loan[TenCongTyID],DTR!$B$1,[1]!Data_Loan[Thang.Nam],DTR!AB$254)</f>
        <v>0</v>
      </c>
      <c r="AC255" s="199">
        <f>SUMIFS([1]!Data_Loan[Value],[1]!Data_Loan[Index Loan],DTR!$B255,[1]!Data_Loan[TenCongTyID],DTR!$B$1,[1]!Data_Loan[Thang.Nam],DTR!AC$254)</f>
        <v>0</v>
      </c>
      <c r="AD255" s="199">
        <f>SUMIFS([1]!Data_Loan[Value],[1]!Data_Loan[Index Loan],DTR!$B255,[1]!Data_Loan[TenCongTyID],DTR!$B$1,[1]!Data_Loan[Thang.Nam],DTR!AD$254)</f>
        <v>0</v>
      </c>
      <c r="AE255" s="199">
        <f>SUMIFS([1]!Data_Loan[Value],[1]!Data_Loan[Index Loan],DTR!$B255,[1]!Data_Loan[TenCongTyID],DTR!$B$1,[1]!Data_Loan[Thang.Nam],DTR!AE$254)</f>
        <v>0</v>
      </c>
      <c r="AF255" s="199">
        <f>SUMIFS([1]!Data_Loan[Value],[1]!Data_Loan[Index Loan],DTR!$B255,[1]!Data_Loan[TenCongTyID],DTR!$B$1,[1]!Data_Loan[Thang.Nam],DTR!AF$254)</f>
        <v>0</v>
      </c>
      <c r="AG255" s="199">
        <f>SUMIFS([1]!Data_Loan[Value],[1]!Data_Loan[Index Loan],DTR!$B255,[1]!Data_Loan[TenCongTyID],DTR!$B$1,[1]!Data_Loan[Thang.Nam],DTR!AG$254)</f>
        <v>0</v>
      </c>
      <c r="AH255" s="199">
        <f>SUMIFS([1]!Data_Loan[Value],[1]!Data_Loan[Index Loan],DTR!$B255,[1]!Data_Loan[TenCongTyID],DTR!$B$1,[1]!Data_Loan[Thang.Nam],DTR!AH$254)</f>
        <v>0</v>
      </c>
      <c r="AI255" s="199">
        <f>SUMIFS([1]!Data_Loan[Value],[1]!Data_Loan[Index Loan],DTR!$B255,[1]!Data_Loan[TenCongTyID],DTR!$B$1,[1]!Data_Loan[Thang.Nam],DTR!AI$254)</f>
        <v>0</v>
      </c>
      <c r="AJ255" s="199">
        <f>SUMIFS([1]!Data_Loan[Value],[1]!Data_Loan[Index Loan],DTR!$B255,[1]!Data_Loan[TenCongTyID],DTR!$B$1,[1]!Data_Loan[Thang.Nam],DTR!AJ$254)</f>
        <v>0</v>
      </c>
      <c r="AK255" s="199">
        <f>SUMIFS([1]!Data_Loan[Value],[1]!Data_Loan[Index Loan],DTR!$B255,[1]!Data_Loan[TenCongTyID],DTR!$B$1,[1]!Data_Loan[Thang.Nam],DTR!AK$254)</f>
        <v>0</v>
      </c>
      <c r="AL255" s="199">
        <f>SUMIFS([1]!Data_Loan[Value],[1]!Data_Loan[Index Loan],DTR!$B255,[1]!Data_Loan[TenCongTyID],DTR!$B$1,[1]!Data_Loan[Thang.Nam],DTR!AL$254)</f>
        <v>0</v>
      </c>
    </row>
    <row r="256" spans="1:38" ht="15" hidden="1" customHeight="1" outlineLevel="1">
      <c r="A256" s="200" t="s">
        <v>341</v>
      </c>
      <c r="B256" s="329">
        <v>2</v>
      </c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>
        <v>0</v>
      </c>
      <c r="AA256" s="201">
        <f>SUMIFS([1]!Data_Loan[Value],[1]!Data_Loan[Index Loan],DTR!$B256,[1]!Data_Loan[TenCongTyID],DTR!$B$1,[1]!Data_Loan[Thang.Nam],DTR!AA$254)</f>
        <v>0</v>
      </c>
      <c r="AB256" s="201">
        <f>SUMIFS([1]!Data_Loan[Value],[1]!Data_Loan[Index Loan],DTR!$B256,[1]!Data_Loan[TenCongTyID],DTR!$B$1,[1]!Data_Loan[Thang.Nam],DTR!AB$254)</f>
        <v>0</v>
      </c>
      <c r="AC256" s="201">
        <f>SUMIFS([1]!Data_Loan[Value],[1]!Data_Loan[Index Loan],DTR!$B256,[1]!Data_Loan[TenCongTyID],DTR!$B$1,[1]!Data_Loan[Thang.Nam],DTR!AC$254)</f>
        <v>0</v>
      </c>
      <c r="AD256" s="201">
        <f>SUMIFS([1]!Data_Loan[Value],[1]!Data_Loan[Index Loan],DTR!$B256,[1]!Data_Loan[TenCongTyID],DTR!$B$1,[1]!Data_Loan[Thang.Nam],DTR!AD$254)</f>
        <v>0</v>
      </c>
      <c r="AE256" s="201">
        <f>SUMIFS([1]!Data_Loan[Value],[1]!Data_Loan[Index Loan],DTR!$B256,[1]!Data_Loan[TenCongTyID],DTR!$B$1,[1]!Data_Loan[Thang.Nam],DTR!AE$254)</f>
        <v>0</v>
      </c>
      <c r="AF256" s="201">
        <f>SUMIFS([1]!Data_Loan[Value],[1]!Data_Loan[Index Loan],DTR!$B256,[1]!Data_Loan[TenCongTyID],DTR!$B$1,[1]!Data_Loan[Thang.Nam],DTR!AF$254)</f>
        <v>0</v>
      </c>
      <c r="AG256" s="201">
        <f>SUMIFS([1]!Data_Loan[Value],[1]!Data_Loan[Index Loan],DTR!$B256,[1]!Data_Loan[TenCongTyID],DTR!$B$1,[1]!Data_Loan[Thang.Nam],DTR!AG$254)</f>
        <v>0</v>
      </c>
      <c r="AH256" s="201">
        <f>SUMIFS([1]!Data_Loan[Value],[1]!Data_Loan[Index Loan],DTR!$B256,[1]!Data_Loan[TenCongTyID],DTR!$B$1,[1]!Data_Loan[Thang.Nam],DTR!AH$254)</f>
        <v>0</v>
      </c>
      <c r="AI256" s="201">
        <f>SUMIFS([1]!Data_Loan[Value],[1]!Data_Loan[Index Loan],DTR!$B256,[1]!Data_Loan[TenCongTyID],DTR!$B$1,[1]!Data_Loan[Thang.Nam],DTR!AI$254)</f>
        <v>0</v>
      </c>
      <c r="AJ256" s="201">
        <f>SUMIFS([1]!Data_Loan[Value],[1]!Data_Loan[Index Loan],DTR!$B256,[1]!Data_Loan[TenCongTyID],DTR!$B$1,[1]!Data_Loan[Thang.Nam],DTR!AJ$254)</f>
        <v>0</v>
      </c>
      <c r="AK256" s="201">
        <f>SUMIFS([1]!Data_Loan[Value],[1]!Data_Loan[Index Loan],DTR!$B256,[1]!Data_Loan[TenCongTyID],DTR!$B$1,[1]!Data_Loan[Thang.Nam],DTR!AK$254)</f>
        <v>0</v>
      </c>
      <c r="AL256" s="201">
        <f>SUMIFS([1]!Data_Loan[Value],[1]!Data_Loan[Index Loan],DTR!$B256,[1]!Data_Loan[TenCongTyID],DTR!$B$1,[1]!Data_Loan[Thang.Nam],DTR!AL$254)</f>
        <v>0</v>
      </c>
    </row>
    <row r="257" spans="1:38" ht="15" hidden="1" customHeight="1" outlineLevel="1">
      <c r="A257" s="200" t="s">
        <v>342</v>
      </c>
      <c r="B257" s="329">
        <v>3</v>
      </c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>
        <v>0</v>
      </c>
      <c r="AA257" s="201">
        <f>SUMIFS([1]!Data_Loan[Value],[1]!Data_Loan[Index Loan],DTR!$B257,[1]!Data_Loan[TenCongTyID],DTR!$B$1,[1]!Data_Loan[Thang.Nam],DTR!AA$254)</f>
        <v>0</v>
      </c>
      <c r="AB257" s="201">
        <f>SUMIFS([1]!Data_Loan[Value],[1]!Data_Loan[Index Loan],DTR!$B257,[1]!Data_Loan[TenCongTyID],DTR!$B$1,[1]!Data_Loan[Thang.Nam],DTR!AB$254)</f>
        <v>0</v>
      </c>
      <c r="AC257" s="201">
        <f>SUMIFS([1]!Data_Loan[Value],[1]!Data_Loan[Index Loan],DTR!$B257,[1]!Data_Loan[TenCongTyID],DTR!$B$1,[1]!Data_Loan[Thang.Nam],DTR!AC$254)</f>
        <v>0</v>
      </c>
      <c r="AD257" s="201">
        <f>SUMIFS([1]!Data_Loan[Value],[1]!Data_Loan[Index Loan],DTR!$B257,[1]!Data_Loan[TenCongTyID],DTR!$B$1,[1]!Data_Loan[Thang.Nam],DTR!AD$254)</f>
        <v>0</v>
      </c>
      <c r="AE257" s="201">
        <f>SUMIFS([1]!Data_Loan[Value],[1]!Data_Loan[Index Loan],DTR!$B257,[1]!Data_Loan[TenCongTyID],DTR!$B$1,[1]!Data_Loan[Thang.Nam],DTR!AE$254)</f>
        <v>0</v>
      </c>
      <c r="AF257" s="201">
        <f>SUMIFS([1]!Data_Loan[Value],[1]!Data_Loan[Index Loan],DTR!$B257,[1]!Data_Loan[TenCongTyID],DTR!$B$1,[1]!Data_Loan[Thang.Nam],DTR!AF$254)</f>
        <v>0</v>
      </c>
      <c r="AG257" s="201">
        <f>SUMIFS([1]!Data_Loan[Value],[1]!Data_Loan[Index Loan],DTR!$B257,[1]!Data_Loan[TenCongTyID],DTR!$B$1,[1]!Data_Loan[Thang.Nam],DTR!AG$254)</f>
        <v>0</v>
      </c>
      <c r="AH257" s="201">
        <f>SUMIFS([1]!Data_Loan[Value],[1]!Data_Loan[Index Loan],DTR!$B257,[1]!Data_Loan[TenCongTyID],DTR!$B$1,[1]!Data_Loan[Thang.Nam],DTR!AH$254)</f>
        <v>0</v>
      </c>
      <c r="AI257" s="201">
        <f>SUMIFS([1]!Data_Loan[Value],[1]!Data_Loan[Index Loan],DTR!$B257,[1]!Data_Loan[TenCongTyID],DTR!$B$1,[1]!Data_Loan[Thang.Nam],DTR!AI$254)</f>
        <v>0</v>
      </c>
      <c r="AJ257" s="201">
        <f>SUMIFS([1]!Data_Loan[Value],[1]!Data_Loan[Index Loan],DTR!$B257,[1]!Data_Loan[TenCongTyID],DTR!$B$1,[1]!Data_Loan[Thang.Nam],DTR!AJ$254)</f>
        <v>0</v>
      </c>
      <c r="AK257" s="201">
        <f>SUMIFS([1]!Data_Loan[Value],[1]!Data_Loan[Index Loan],DTR!$B257,[1]!Data_Loan[TenCongTyID],DTR!$B$1,[1]!Data_Loan[Thang.Nam],DTR!AK$254)</f>
        <v>0</v>
      </c>
      <c r="AL257" s="201">
        <f>SUMIFS([1]!Data_Loan[Value],[1]!Data_Loan[Index Loan],DTR!$B257,[1]!Data_Loan[TenCongTyID],DTR!$B$1,[1]!Data_Loan[Thang.Nam],DTR!AL$254)</f>
        <v>0</v>
      </c>
    </row>
    <row r="258" spans="1:38" ht="15" hidden="1" customHeight="1" outlineLevel="1">
      <c r="A258" s="200" t="s">
        <v>343</v>
      </c>
      <c r="B258" s="329">
        <v>4</v>
      </c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>
        <v>0</v>
      </c>
      <c r="AA258" s="201">
        <f>SUMIFS([1]!Data_Loan[Value],[1]!Data_Loan[Index Loan],DTR!$B258,[1]!Data_Loan[TenCongTyID],DTR!$B$1,[1]!Data_Loan[Thang.Nam],DTR!AA$254)</f>
        <v>0</v>
      </c>
      <c r="AB258" s="201">
        <f>SUMIFS([1]!Data_Loan[Value],[1]!Data_Loan[Index Loan],DTR!$B258,[1]!Data_Loan[TenCongTyID],DTR!$B$1,[1]!Data_Loan[Thang.Nam],DTR!AB$254)</f>
        <v>0</v>
      </c>
      <c r="AC258" s="201">
        <f>SUMIFS([1]!Data_Loan[Value],[1]!Data_Loan[Index Loan],DTR!$B258,[1]!Data_Loan[TenCongTyID],DTR!$B$1,[1]!Data_Loan[Thang.Nam],DTR!AC$254)</f>
        <v>0</v>
      </c>
      <c r="AD258" s="201">
        <f>SUMIFS([1]!Data_Loan[Value],[1]!Data_Loan[Index Loan],DTR!$B258,[1]!Data_Loan[TenCongTyID],DTR!$B$1,[1]!Data_Loan[Thang.Nam],DTR!AD$254)</f>
        <v>0</v>
      </c>
      <c r="AE258" s="201">
        <f>SUMIFS([1]!Data_Loan[Value],[1]!Data_Loan[Index Loan],DTR!$B258,[1]!Data_Loan[TenCongTyID],DTR!$B$1,[1]!Data_Loan[Thang.Nam],DTR!AE$254)</f>
        <v>0</v>
      </c>
      <c r="AF258" s="201">
        <f>SUMIFS([1]!Data_Loan[Value],[1]!Data_Loan[Index Loan],DTR!$B258,[1]!Data_Loan[TenCongTyID],DTR!$B$1,[1]!Data_Loan[Thang.Nam],DTR!AF$254)</f>
        <v>0</v>
      </c>
      <c r="AG258" s="201">
        <f>SUMIFS([1]!Data_Loan[Value],[1]!Data_Loan[Index Loan],DTR!$B258,[1]!Data_Loan[TenCongTyID],DTR!$B$1,[1]!Data_Loan[Thang.Nam],DTR!AG$254)</f>
        <v>0</v>
      </c>
      <c r="AH258" s="201">
        <f>SUMIFS([1]!Data_Loan[Value],[1]!Data_Loan[Index Loan],DTR!$B258,[1]!Data_Loan[TenCongTyID],DTR!$B$1,[1]!Data_Loan[Thang.Nam],DTR!AH$254)</f>
        <v>0</v>
      </c>
      <c r="AI258" s="201">
        <f>SUMIFS([1]!Data_Loan[Value],[1]!Data_Loan[Index Loan],DTR!$B258,[1]!Data_Loan[TenCongTyID],DTR!$B$1,[1]!Data_Loan[Thang.Nam],DTR!AI$254)</f>
        <v>0</v>
      </c>
      <c r="AJ258" s="201">
        <f>SUMIFS([1]!Data_Loan[Value],[1]!Data_Loan[Index Loan],DTR!$B258,[1]!Data_Loan[TenCongTyID],DTR!$B$1,[1]!Data_Loan[Thang.Nam],DTR!AJ$254)</f>
        <v>0</v>
      </c>
      <c r="AK258" s="201">
        <f>SUMIFS([1]!Data_Loan[Value],[1]!Data_Loan[Index Loan],DTR!$B258,[1]!Data_Loan[TenCongTyID],DTR!$B$1,[1]!Data_Loan[Thang.Nam],DTR!AK$254)</f>
        <v>0</v>
      </c>
      <c r="AL258" s="201">
        <f>SUMIFS([1]!Data_Loan[Value],[1]!Data_Loan[Index Loan],DTR!$B258,[1]!Data_Loan[TenCongTyID],DTR!$B$1,[1]!Data_Loan[Thang.Nam],DTR!AL$254)</f>
        <v>0</v>
      </c>
    </row>
    <row r="259" spans="1:38" ht="15" hidden="1" customHeight="1" outlineLevel="1">
      <c r="A259" s="200" t="s">
        <v>344</v>
      </c>
      <c r="B259" s="329">
        <v>5</v>
      </c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>
        <v>0</v>
      </c>
      <c r="AA259" s="201">
        <f>SUMIFS([1]!Data_Loan[Value],[1]!Data_Loan[Index Loan],DTR!$B259,[1]!Data_Loan[TenCongTyID],DTR!$B$1,[1]!Data_Loan[Thang.Nam],DTR!AA$254)</f>
        <v>0</v>
      </c>
      <c r="AB259" s="201">
        <f>SUMIFS([1]!Data_Loan[Value],[1]!Data_Loan[Index Loan],DTR!$B259,[1]!Data_Loan[TenCongTyID],DTR!$B$1,[1]!Data_Loan[Thang.Nam],DTR!AB$254)</f>
        <v>0</v>
      </c>
      <c r="AC259" s="201">
        <f>SUMIFS([1]!Data_Loan[Value],[1]!Data_Loan[Index Loan],DTR!$B259,[1]!Data_Loan[TenCongTyID],DTR!$B$1,[1]!Data_Loan[Thang.Nam],DTR!AC$254)</f>
        <v>0</v>
      </c>
      <c r="AD259" s="201">
        <f>SUMIFS([1]!Data_Loan[Value],[1]!Data_Loan[Index Loan],DTR!$B259,[1]!Data_Loan[TenCongTyID],DTR!$B$1,[1]!Data_Loan[Thang.Nam],DTR!AD$254)</f>
        <v>0</v>
      </c>
      <c r="AE259" s="201">
        <f>SUMIFS([1]!Data_Loan[Value],[1]!Data_Loan[Index Loan],DTR!$B259,[1]!Data_Loan[TenCongTyID],DTR!$B$1,[1]!Data_Loan[Thang.Nam],DTR!AE$254)</f>
        <v>0</v>
      </c>
      <c r="AF259" s="201">
        <f>SUMIFS([1]!Data_Loan[Value],[1]!Data_Loan[Index Loan],DTR!$B259,[1]!Data_Loan[TenCongTyID],DTR!$B$1,[1]!Data_Loan[Thang.Nam],DTR!AF$254)</f>
        <v>0</v>
      </c>
      <c r="AG259" s="201">
        <f>SUMIFS([1]!Data_Loan[Value],[1]!Data_Loan[Index Loan],DTR!$B259,[1]!Data_Loan[TenCongTyID],DTR!$B$1,[1]!Data_Loan[Thang.Nam],DTR!AG$254)</f>
        <v>0</v>
      </c>
      <c r="AH259" s="201">
        <f>SUMIFS([1]!Data_Loan[Value],[1]!Data_Loan[Index Loan],DTR!$B259,[1]!Data_Loan[TenCongTyID],DTR!$B$1,[1]!Data_Loan[Thang.Nam],DTR!AH$254)</f>
        <v>0</v>
      </c>
      <c r="AI259" s="201">
        <f>SUMIFS([1]!Data_Loan[Value],[1]!Data_Loan[Index Loan],DTR!$B259,[1]!Data_Loan[TenCongTyID],DTR!$B$1,[1]!Data_Loan[Thang.Nam],DTR!AI$254)</f>
        <v>0</v>
      </c>
      <c r="AJ259" s="201">
        <f>SUMIFS([1]!Data_Loan[Value],[1]!Data_Loan[Index Loan],DTR!$B259,[1]!Data_Loan[TenCongTyID],DTR!$B$1,[1]!Data_Loan[Thang.Nam],DTR!AJ$254)</f>
        <v>0</v>
      </c>
      <c r="AK259" s="201">
        <f>SUMIFS([1]!Data_Loan[Value],[1]!Data_Loan[Index Loan],DTR!$B259,[1]!Data_Loan[TenCongTyID],DTR!$B$1,[1]!Data_Loan[Thang.Nam],DTR!AK$254)</f>
        <v>0</v>
      </c>
      <c r="AL259" s="201">
        <f>SUMIFS([1]!Data_Loan[Value],[1]!Data_Loan[Index Loan],DTR!$B259,[1]!Data_Loan[TenCongTyID],DTR!$B$1,[1]!Data_Loan[Thang.Nam],DTR!AL$254)</f>
        <v>0</v>
      </c>
    </row>
    <row r="260" spans="1:38" ht="15" hidden="1" customHeight="1" outlineLevel="1">
      <c r="A260" s="200" t="s">
        <v>345</v>
      </c>
      <c r="B260" s="329">
        <v>6</v>
      </c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>
        <v>0</v>
      </c>
      <c r="AA260" s="201">
        <f>SUMIFS([1]!Data_Loan[Value],[1]!Data_Loan[Index Loan],DTR!$B260,[1]!Data_Loan[TenCongTyID],DTR!$B$1,[1]!Data_Loan[Thang.Nam],DTR!AA$254)</f>
        <v>0</v>
      </c>
      <c r="AB260" s="201">
        <f>SUMIFS([1]!Data_Loan[Value],[1]!Data_Loan[Index Loan],DTR!$B260,[1]!Data_Loan[TenCongTyID],DTR!$B$1,[1]!Data_Loan[Thang.Nam],DTR!AB$254)</f>
        <v>0</v>
      </c>
      <c r="AC260" s="201">
        <f>SUMIFS([1]!Data_Loan[Value],[1]!Data_Loan[Index Loan],DTR!$B260,[1]!Data_Loan[TenCongTyID],DTR!$B$1,[1]!Data_Loan[Thang.Nam],DTR!AC$254)</f>
        <v>0</v>
      </c>
      <c r="AD260" s="201">
        <f>SUMIFS([1]!Data_Loan[Value],[1]!Data_Loan[Index Loan],DTR!$B260,[1]!Data_Loan[TenCongTyID],DTR!$B$1,[1]!Data_Loan[Thang.Nam],DTR!AD$254)</f>
        <v>0</v>
      </c>
      <c r="AE260" s="201">
        <f>SUMIFS([1]!Data_Loan[Value],[1]!Data_Loan[Index Loan],DTR!$B260,[1]!Data_Loan[TenCongTyID],DTR!$B$1,[1]!Data_Loan[Thang.Nam],DTR!AE$254)</f>
        <v>0</v>
      </c>
      <c r="AF260" s="201">
        <f>SUMIFS([1]!Data_Loan[Value],[1]!Data_Loan[Index Loan],DTR!$B260,[1]!Data_Loan[TenCongTyID],DTR!$B$1,[1]!Data_Loan[Thang.Nam],DTR!AF$254)</f>
        <v>0</v>
      </c>
      <c r="AG260" s="201">
        <f>SUMIFS([1]!Data_Loan[Value],[1]!Data_Loan[Index Loan],DTR!$B260,[1]!Data_Loan[TenCongTyID],DTR!$B$1,[1]!Data_Loan[Thang.Nam],DTR!AG$254)</f>
        <v>0</v>
      </c>
      <c r="AH260" s="201">
        <f>SUMIFS([1]!Data_Loan[Value],[1]!Data_Loan[Index Loan],DTR!$B260,[1]!Data_Loan[TenCongTyID],DTR!$B$1,[1]!Data_Loan[Thang.Nam],DTR!AH$254)</f>
        <v>0</v>
      </c>
      <c r="AI260" s="201">
        <f>SUMIFS([1]!Data_Loan[Value],[1]!Data_Loan[Index Loan],DTR!$B260,[1]!Data_Loan[TenCongTyID],DTR!$B$1,[1]!Data_Loan[Thang.Nam],DTR!AI$254)</f>
        <v>0</v>
      </c>
      <c r="AJ260" s="201">
        <f>SUMIFS([1]!Data_Loan[Value],[1]!Data_Loan[Index Loan],DTR!$B260,[1]!Data_Loan[TenCongTyID],DTR!$B$1,[1]!Data_Loan[Thang.Nam],DTR!AJ$254)</f>
        <v>0</v>
      </c>
      <c r="AK260" s="201">
        <f>SUMIFS([1]!Data_Loan[Value],[1]!Data_Loan[Index Loan],DTR!$B260,[1]!Data_Loan[TenCongTyID],DTR!$B$1,[1]!Data_Loan[Thang.Nam],DTR!AK$254)</f>
        <v>0</v>
      </c>
      <c r="AL260" s="201">
        <f>SUMIFS([1]!Data_Loan[Value],[1]!Data_Loan[Index Loan],DTR!$B260,[1]!Data_Loan[TenCongTyID],DTR!$B$1,[1]!Data_Loan[Thang.Nam],DTR!AL$254)</f>
        <v>0</v>
      </c>
    </row>
    <row r="261" spans="1:38" ht="15" hidden="1" customHeight="1" outlineLevel="1">
      <c r="A261" s="200" t="s">
        <v>346</v>
      </c>
      <c r="B261" s="329">
        <v>7</v>
      </c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>
        <v>0</v>
      </c>
      <c r="AA261" s="201">
        <f>SUMIFS([1]!Data_Loan[Value],[1]!Data_Loan[Index Loan],DTR!$B261,[1]!Data_Loan[TenCongTyID],DTR!$B$1,[1]!Data_Loan[Thang.Nam],DTR!AA$254)</f>
        <v>0</v>
      </c>
      <c r="AB261" s="201">
        <f>SUMIFS([1]!Data_Loan[Value],[1]!Data_Loan[Index Loan],DTR!$B261,[1]!Data_Loan[TenCongTyID],DTR!$B$1,[1]!Data_Loan[Thang.Nam],DTR!AB$254)</f>
        <v>0</v>
      </c>
      <c r="AC261" s="201">
        <f>SUMIFS([1]!Data_Loan[Value],[1]!Data_Loan[Index Loan],DTR!$B261,[1]!Data_Loan[TenCongTyID],DTR!$B$1,[1]!Data_Loan[Thang.Nam],DTR!AC$254)</f>
        <v>0</v>
      </c>
      <c r="AD261" s="201">
        <f>SUMIFS([1]!Data_Loan[Value],[1]!Data_Loan[Index Loan],DTR!$B261,[1]!Data_Loan[TenCongTyID],DTR!$B$1,[1]!Data_Loan[Thang.Nam],DTR!AD$254)</f>
        <v>0</v>
      </c>
      <c r="AE261" s="201">
        <f>SUMIFS([1]!Data_Loan[Value],[1]!Data_Loan[Index Loan],DTR!$B261,[1]!Data_Loan[TenCongTyID],DTR!$B$1,[1]!Data_Loan[Thang.Nam],DTR!AE$254)</f>
        <v>0</v>
      </c>
      <c r="AF261" s="201">
        <f>SUMIFS([1]!Data_Loan[Value],[1]!Data_Loan[Index Loan],DTR!$B261,[1]!Data_Loan[TenCongTyID],DTR!$B$1,[1]!Data_Loan[Thang.Nam],DTR!AF$254)</f>
        <v>0</v>
      </c>
      <c r="AG261" s="201">
        <f>SUMIFS([1]!Data_Loan[Value],[1]!Data_Loan[Index Loan],DTR!$B261,[1]!Data_Loan[TenCongTyID],DTR!$B$1,[1]!Data_Loan[Thang.Nam],DTR!AG$254)</f>
        <v>0</v>
      </c>
      <c r="AH261" s="201">
        <f>SUMIFS([1]!Data_Loan[Value],[1]!Data_Loan[Index Loan],DTR!$B261,[1]!Data_Loan[TenCongTyID],DTR!$B$1,[1]!Data_Loan[Thang.Nam],DTR!AH$254)</f>
        <v>0</v>
      </c>
      <c r="AI261" s="201">
        <f>SUMIFS([1]!Data_Loan[Value],[1]!Data_Loan[Index Loan],DTR!$B261,[1]!Data_Loan[TenCongTyID],DTR!$B$1,[1]!Data_Loan[Thang.Nam],DTR!AI$254)</f>
        <v>0</v>
      </c>
      <c r="AJ261" s="201">
        <f>SUMIFS([1]!Data_Loan[Value],[1]!Data_Loan[Index Loan],DTR!$B261,[1]!Data_Loan[TenCongTyID],DTR!$B$1,[1]!Data_Loan[Thang.Nam],DTR!AJ$254)</f>
        <v>0</v>
      </c>
      <c r="AK261" s="201">
        <f>SUMIFS([1]!Data_Loan[Value],[1]!Data_Loan[Index Loan],DTR!$B261,[1]!Data_Loan[TenCongTyID],DTR!$B$1,[1]!Data_Loan[Thang.Nam],DTR!AK$254)</f>
        <v>0</v>
      </c>
      <c r="AL261" s="201">
        <f>SUMIFS([1]!Data_Loan[Value],[1]!Data_Loan[Index Loan],DTR!$B261,[1]!Data_Loan[TenCongTyID],DTR!$B$1,[1]!Data_Loan[Thang.Nam],DTR!AL$254)</f>
        <v>0</v>
      </c>
    </row>
    <row r="262" spans="1:38" ht="15" hidden="1" customHeight="1" outlineLevel="1">
      <c r="A262" s="200" t="s">
        <v>347</v>
      </c>
      <c r="B262" s="329">
        <v>8</v>
      </c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>
        <v>0</v>
      </c>
      <c r="AA262" s="201">
        <f>SUMIFS([1]!Data_Loan[Value],[1]!Data_Loan[Index Loan],DTR!$B262,[1]!Data_Loan[TenCongTyID],DTR!$B$1,[1]!Data_Loan[Thang.Nam],DTR!AA$254)</f>
        <v>0</v>
      </c>
      <c r="AB262" s="201">
        <f>SUMIFS([1]!Data_Loan[Value],[1]!Data_Loan[Index Loan],DTR!$B262,[1]!Data_Loan[TenCongTyID],DTR!$B$1,[1]!Data_Loan[Thang.Nam],DTR!AB$254)</f>
        <v>0</v>
      </c>
      <c r="AC262" s="201">
        <f>SUMIFS([1]!Data_Loan[Value],[1]!Data_Loan[Index Loan],DTR!$B262,[1]!Data_Loan[TenCongTyID],DTR!$B$1,[1]!Data_Loan[Thang.Nam],DTR!AC$254)</f>
        <v>0</v>
      </c>
      <c r="AD262" s="201">
        <f>SUMIFS([1]!Data_Loan[Value],[1]!Data_Loan[Index Loan],DTR!$B262,[1]!Data_Loan[TenCongTyID],DTR!$B$1,[1]!Data_Loan[Thang.Nam],DTR!AD$254)</f>
        <v>0</v>
      </c>
      <c r="AE262" s="201">
        <f>SUMIFS([1]!Data_Loan[Value],[1]!Data_Loan[Index Loan],DTR!$B262,[1]!Data_Loan[TenCongTyID],DTR!$B$1,[1]!Data_Loan[Thang.Nam],DTR!AE$254)</f>
        <v>0</v>
      </c>
      <c r="AF262" s="201">
        <f>SUMIFS([1]!Data_Loan[Value],[1]!Data_Loan[Index Loan],DTR!$B262,[1]!Data_Loan[TenCongTyID],DTR!$B$1,[1]!Data_Loan[Thang.Nam],DTR!AF$254)</f>
        <v>0</v>
      </c>
      <c r="AG262" s="201">
        <f>SUMIFS([1]!Data_Loan[Value],[1]!Data_Loan[Index Loan],DTR!$B262,[1]!Data_Loan[TenCongTyID],DTR!$B$1,[1]!Data_Loan[Thang.Nam],DTR!AG$254)</f>
        <v>0</v>
      </c>
      <c r="AH262" s="201">
        <f>SUMIFS([1]!Data_Loan[Value],[1]!Data_Loan[Index Loan],DTR!$B262,[1]!Data_Loan[TenCongTyID],DTR!$B$1,[1]!Data_Loan[Thang.Nam],DTR!AH$254)</f>
        <v>0</v>
      </c>
      <c r="AI262" s="201">
        <f>SUMIFS([1]!Data_Loan[Value],[1]!Data_Loan[Index Loan],DTR!$B262,[1]!Data_Loan[TenCongTyID],DTR!$B$1,[1]!Data_Loan[Thang.Nam],DTR!AI$254)</f>
        <v>0</v>
      </c>
      <c r="AJ262" s="201">
        <f>SUMIFS([1]!Data_Loan[Value],[1]!Data_Loan[Index Loan],DTR!$B262,[1]!Data_Loan[TenCongTyID],DTR!$B$1,[1]!Data_Loan[Thang.Nam],DTR!AJ$254)</f>
        <v>0</v>
      </c>
      <c r="AK262" s="201">
        <f>SUMIFS([1]!Data_Loan[Value],[1]!Data_Loan[Index Loan],DTR!$B262,[1]!Data_Loan[TenCongTyID],DTR!$B$1,[1]!Data_Loan[Thang.Nam],DTR!AK$254)</f>
        <v>0</v>
      </c>
      <c r="AL262" s="201">
        <f>SUMIFS([1]!Data_Loan[Value],[1]!Data_Loan[Index Loan],DTR!$B262,[1]!Data_Loan[TenCongTyID],DTR!$B$1,[1]!Data_Loan[Thang.Nam],DTR!AL$254)</f>
        <v>0</v>
      </c>
    </row>
    <row r="263" spans="1:38" ht="15" hidden="1" customHeight="1" outlineLevel="1">
      <c r="A263" s="200"/>
      <c r="B263" s="329">
        <v>9</v>
      </c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>
        <v>0</v>
      </c>
      <c r="AA263" s="201">
        <f>SUMIFS([1]!Data_Loan[Value],[1]!Data_Loan[Index Loan],DTR!$B263,[1]!Data_Loan[TenCongTyID],DTR!$B$1,[1]!Data_Loan[Thang.Nam],DTR!AA$254)</f>
        <v>0</v>
      </c>
      <c r="AB263" s="201">
        <f>SUMIFS([1]!Data_Loan[Value],[1]!Data_Loan[Index Loan],DTR!$B263,[1]!Data_Loan[TenCongTyID],DTR!$B$1,[1]!Data_Loan[Thang.Nam],DTR!AB$254)</f>
        <v>0</v>
      </c>
      <c r="AC263" s="201">
        <f>SUMIFS([1]!Data_Loan[Value],[1]!Data_Loan[Index Loan],DTR!$B263,[1]!Data_Loan[TenCongTyID],DTR!$B$1,[1]!Data_Loan[Thang.Nam],DTR!AC$254)</f>
        <v>0</v>
      </c>
      <c r="AD263" s="201">
        <f>SUMIFS([1]!Data_Loan[Value],[1]!Data_Loan[Index Loan],DTR!$B263,[1]!Data_Loan[TenCongTyID],DTR!$B$1,[1]!Data_Loan[Thang.Nam],DTR!AD$254)</f>
        <v>0</v>
      </c>
      <c r="AE263" s="201">
        <f>SUMIFS([1]!Data_Loan[Value],[1]!Data_Loan[Index Loan],DTR!$B263,[1]!Data_Loan[TenCongTyID],DTR!$B$1,[1]!Data_Loan[Thang.Nam],DTR!AE$254)</f>
        <v>0</v>
      </c>
      <c r="AF263" s="201">
        <f>SUMIFS([1]!Data_Loan[Value],[1]!Data_Loan[Index Loan],DTR!$B263,[1]!Data_Loan[TenCongTyID],DTR!$B$1,[1]!Data_Loan[Thang.Nam],DTR!AF$254)</f>
        <v>0</v>
      </c>
      <c r="AG263" s="201">
        <f>SUMIFS([1]!Data_Loan[Value],[1]!Data_Loan[Index Loan],DTR!$B263,[1]!Data_Loan[TenCongTyID],DTR!$B$1,[1]!Data_Loan[Thang.Nam],DTR!AG$254)</f>
        <v>0</v>
      </c>
      <c r="AH263" s="201">
        <f>SUMIFS([1]!Data_Loan[Value],[1]!Data_Loan[Index Loan],DTR!$B263,[1]!Data_Loan[TenCongTyID],DTR!$B$1,[1]!Data_Loan[Thang.Nam],DTR!AH$254)</f>
        <v>0</v>
      </c>
      <c r="AI263" s="201">
        <f>SUMIFS([1]!Data_Loan[Value],[1]!Data_Loan[Index Loan],DTR!$B263,[1]!Data_Loan[TenCongTyID],DTR!$B$1,[1]!Data_Loan[Thang.Nam],DTR!AI$254)</f>
        <v>0</v>
      </c>
      <c r="AJ263" s="201">
        <f>SUMIFS([1]!Data_Loan[Value],[1]!Data_Loan[Index Loan],DTR!$B263,[1]!Data_Loan[TenCongTyID],DTR!$B$1,[1]!Data_Loan[Thang.Nam],DTR!AJ$254)</f>
        <v>0</v>
      </c>
      <c r="AK263" s="201">
        <f>SUMIFS([1]!Data_Loan[Value],[1]!Data_Loan[Index Loan],DTR!$B263,[1]!Data_Loan[TenCongTyID],DTR!$B$1,[1]!Data_Loan[Thang.Nam],DTR!AK$254)</f>
        <v>0</v>
      </c>
      <c r="AL263" s="201">
        <f>SUMIFS([1]!Data_Loan[Value],[1]!Data_Loan[Index Loan],DTR!$B263,[1]!Data_Loan[TenCongTyID],DTR!$B$1,[1]!Data_Loan[Thang.Nam],DTR!AL$254)</f>
        <v>0</v>
      </c>
    </row>
    <row r="264" spans="1:38" ht="15" hidden="1" customHeight="1" outlineLevel="1">
      <c r="A264" s="196" t="s">
        <v>340</v>
      </c>
      <c r="B264" s="328">
        <v>10</v>
      </c>
      <c r="C264" s="199">
        <f t="shared" ref="C264:U264" si="44">SUM(C265:C272)</f>
        <v>0</v>
      </c>
      <c r="D264" s="199">
        <f t="shared" si="44"/>
        <v>0</v>
      </c>
      <c r="E264" s="199">
        <f t="shared" si="44"/>
        <v>0</v>
      </c>
      <c r="F264" s="199">
        <f t="shared" si="44"/>
        <v>0</v>
      </c>
      <c r="G264" s="199">
        <f t="shared" si="44"/>
        <v>0</v>
      </c>
      <c r="H264" s="199">
        <f t="shared" si="44"/>
        <v>0</v>
      </c>
      <c r="I264" s="199">
        <f t="shared" si="44"/>
        <v>0</v>
      </c>
      <c r="J264" s="199">
        <f t="shared" si="44"/>
        <v>0</v>
      </c>
      <c r="K264" s="199">
        <f t="shared" si="44"/>
        <v>0</v>
      </c>
      <c r="L264" s="199">
        <f t="shared" si="44"/>
        <v>0</v>
      </c>
      <c r="M264" s="199">
        <f t="shared" si="44"/>
        <v>0</v>
      </c>
      <c r="N264" s="199">
        <f t="shared" si="44"/>
        <v>168355474814</v>
      </c>
      <c r="O264" s="199">
        <f t="shared" si="44"/>
        <v>134925554251</v>
      </c>
      <c r="P264" s="199">
        <f t="shared" si="44"/>
        <v>43611829278</v>
      </c>
      <c r="Q264" s="199">
        <f t="shared" si="44"/>
        <v>98003020481</v>
      </c>
      <c r="R264" s="199">
        <f t="shared" si="44"/>
        <v>172928907420</v>
      </c>
      <c r="S264" s="199">
        <f t="shared" si="44"/>
        <v>200666324688</v>
      </c>
      <c r="T264" s="199">
        <f t="shared" si="44"/>
        <v>238388679271</v>
      </c>
      <c r="U264" s="199">
        <f t="shared" si="44"/>
        <v>250573370780</v>
      </c>
      <c r="V264" s="199">
        <f>SUM(V265:V272)</f>
        <v>294832243750</v>
      </c>
      <c r="W264" s="199">
        <f>SUM(W265:W272)</f>
        <v>309616499760</v>
      </c>
      <c r="X264" s="199">
        <f>SUM(X265:X272)</f>
        <v>259354189036</v>
      </c>
      <c r="Y264" s="199">
        <f>SUM(Y265:Y272)</f>
        <v>253300426901</v>
      </c>
      <c r="Z264" s="199">
        <v>242976860650</v>
      </c>
      <c r="AA264" s="199">
        <f>SUMIFS([1]!Data_Loan[Value],[1]!Data_Loan[Index Loan],DTR!$B264,[1]!Data_Loan[TenCongTyID],DTR!$B$1,[1]!Data_Loan[Thang.Nam],DTR!AA$254)</f>
        <v>0</v>
      </c>
      <c r="AB264" s="199">
        <f>SUMIFS([1]!Data_Loan[Value],[1]!Data_Loan[Index Loan],DTR!$B264,[1]!Data_Loan[TenCongTyID],DTR!$B$1,[1]!Data_Loan[Thang.Nam],DTR!AB$254)</f>
        <v>0</v>
      </c>
      <c r="AC264" s="199">
        <f>SUMIFS([1]!Data_Loan[Value],[1]!Data_Loan[Index Loan],DTR!$B264,[1]!Data_Loan[TenCongTyID],DTR!$B$1,[1]!Data_Loan[Thang.Nam],DTR!AC$254)</f>
        <v>0</v>
      </c>
      <c r="AD264" s="199">
        <f>SUMIFS([1]!Data_Loan[Value],[1]!Data_Loan[Index Loan],DTR!$B264,[1]!Data_Loan[TenCongTyID],DTR!$B$1,[1]!Data_Loan[Thang.Nam],DTR!AD$254)</f>
        <v>0</v>
      </c>
      <c r="AE264" s="199">
        <f>SUMIFS([1]!Data_Loan[Value],[1]!Data_Loan[Index Loan],DTR!$B264,[1]!Data_Loan[TenCongTyID],DTR!$B$1,[1]!Data_Loan[Thang.Nam],DTR!AE$254)</f>
        <v>0</v>
      </c>
      <c r="AF264" s="199">
        <f>SUMIFS([1]!Data_Loan[Value],[1]!Data_Loan[Index Loan],DTR!$B264,[1]!Data_Loan[TenCongTyID],DTR!$B$1,[1]!Data_Loan[Thang.Nam],DTR!AF$254)</f>
        <v>0</v>
      </c>
      <c r="AG264" s="199">
        <f>SUMIFS([1]!Data_Loan[Value],[1]!Data_Loan[Index Loan],DTR!$B264,[1]!Data_Loan[TenCongTyID],DTR!$B$1,[1]!Data_Loan[Thang.Nam],DTR!AG$254)</f>
        <v>0</v>
      </c>
      <c r="AH264" s="199">
        <f>SUMIFS([1]!Data_Loan[Value],[1]!Data_Loan[Index Loan],DTR!$B264,[1]!Data_Loan[TenCongTyID],DTR!$B$1,[1]!Data_Loan[Thang.Nam],DTR!AH$254)</f>
        <v>0</v>
      </c>
      <c r="AI264" s="199">
        <f>SUMIFS([1]!Data_Loan[Value],[1]!Data_Loan[Index Loan],DTR!$B264,[1]!Data_Loan[TenCongTyID],DTR!$B$1,[1]!Data_Loan[Thang.Nam],DTR!AI$254)</f>
        <v>0</v>
      </c>
      <c r="AJ264" s="199">
        <f>SUMIFS([1]!Data_Loan[Value],[1]!Data_Loan[Index Loan],DTR!$B264,[1]!Data_Loan[TenCongTyID],DTR!$B$1,[1]!Data_Loan[Thang.Nam],DTR!AJ$254)</f>
        <v>0</v>
      </c>
      <c r="AK264" s="199">
        <f>SUMIFS([1]!Data_Loan[Value],[1]!Data_Loan[Index Loan],DTR!$B264,[1]!Data_Loan[TenCongTyID],DTR!$B$1,[1]!Data_Loan[Thang.Nam],DTR!AK$254)</f>
        <v>0</v>
      </c>
      <c r="AL264" s="199">
        <f>SUMIFS([1]!Data_Loan[Value],[1]!Data_Loan[Index Loan],DTR!$B264,[1]!Data_Loan[TenCongTyID],DTR!$B$1,[1]!Data_Loan[Thang.Nam],DTR!AL$254)</f>
        <v>0</v>
      </c>
    </row>
    <row r="265" spans="1:38" ht="15" hidden="1" customHeight="1" outlineLevel="1">
      <c r="A265" s="200" t="s">
        <v>341</v>
      </c>
      <c r="B265" s="329">
        <v>11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>
        <v>71255000000</v>
      </c>
      <c r="O265" s="201">
        <v>62031000000</v>
      </c>
      <c r="P265" s="201">
        <v>18977000000</v>
      </c>
      <c r="Q265" s="201">
        <v>48865000000</v>
      </c>
      <c r="R265" s="201">
        <v>90981000000</v>
      </c>
      <c r="S265" s="201">
        <v>88582000000</v>
      </c>
      <c r="T265" s="201">
        <v>82124851218</v>
      </c>
      <c r="U265" s="201">
        <v>72804000000</v>
      </c>
      <c r="V265" s="201">
        <v>92313391942</v>
      </c>
      <c r="W265" s="201">
        <v>80862028656</v>
      </c>
      <c r="X265" s="201">
        <v>66989028656</v>
      </c>
      <c r="Y265" s="201">
        <v>66989028656</v>
      </c>
      <c r="Z265" s="201">
        <v>66989028656</v>
      </c>
      <c r="AA265" s="201">
        <f>SUMIFS([1]!Data_Loan[Value],[1]!Data_Loan[Index Loan],DTR!$B265,[1]!Data_Loan[TenCongTyID],DTR!$B$1,[1]!Data_Loan[Thang.Nam],DTR!AA$254)</f>
        <v>0</v>
      </c>
      <c r="AB265" s="201">
        <f>SUMIFS([1]!Data_Loan[Value],[1]!Data_Loan[Index Loan],DTR!$B265,[1]!Data_Loan[TenCongTyID],DTR!$B$1,[1]!Data_Loan[Thang.Nam],DTR!AB$254)</f>
        <v>0</v>
      </c>
      <c r="AC265" s="201">
        <f>SUMIFS([1]!Data_Loan[Value],[1]!Data_Loan[Index Loan],DTR!$B265,[1]!Data_Loan[TenCongTyID],DTR!$B$1,[1]!Data_Loan[Thang.Nam],DTR!AC$254)</f>
        <v>0</v>
      </c>
      <c r="AD265" s="201">
        <f>SUMIFS([1]!Data_Loan[Value],[1]!Data_Loan[Index Loan],DTR!$B265,[1]!Data_Loan[TenCongTyID],DTR!$B$1,[1]!Data_Loan[Thang.Nam],DTR!AD$254)</f>
        <v>0</v>
      </c>
      <c r="AE265" s="201">
        <f>SUMIFS([1]!Data_Loan[Value],[1]!Data_Loan[Index Loan],DTR!$B265,[1]!Data_Loan[TenCongTyID],DTR!$B$1,[1]!Data_Loan[Thang.Nam],DTR!AE$254)</f>
        <v>0</v>
      </c>
      <c r="AF265" s="201">
        <f>SUMIFS([1]!Data_Loan[Value],[1]!Data_Loan[Index Loan],DTR!$B265,[1]!Data_Loan[TenCongTyID],DTR!$B$1,[1]!Data_Loan[Thang.Nam],DTR!AF$254)</f>
        <v>0</v>
      </c>
      <c r="AG265" s="201">
        <f>SUMIFS([1]!Data_Loan[Value],[1]!Data_Loan[Index Loan],DTR!$B265,[1]!Data_Loan[TenCongTyID],DTR!$B$1,[1]!Data_Loan[Thang.Nam],DTR!AG$254)</f>
        <v>0</v>
      </c>
      <c r="AH265" s="201">
        <f>SUMIFS([1]!Data_Loan[Value],[1]!Data_Loan[Index Loan],DTR!$B265,[1]!Data_Loan[TenCongTyID],DTR!$B$1,[1]!Data_Loan[Thang.Nam],DTR!AH$254)</f>
        <v>0</v>
      </c>
      <c r="AI265" s="201">
        <f>SUMIFS([1]!Data_Loan[Value],[1]!Data_Loan[Index Loan],DTR!$B265,[1]!Data_Loan[TenCongTyID],DTR!$B$1,[1]!Data_Loan[Thang.Nam],DTR!AI$254)</f>
        <v>0</v>
      </c>
      <c r="AJ265" s="201">
        <f>SUMIFS([1]!Data_Loan[Value],[1]!Data_Loan[Index Loan],DTR!$B265,[1]!Data_Loan[TenCongTyID],DTR!$B$1,[1]!Data_Loan[Thang.Nam],DTR!AJ$254)</f>
        <v>0</v>
      </c>
      <c r="AK265" s="201">
        <f>SUMIFS([1]!Data_Loan[Value],[1]!Data_Loan[Index Loan],DTR!$B265,[1]!Data_Loan[TenCongTyID],DTR!$B$1,[1]!Data_Loan[Thang.Nam],DTR!AK$254)</f>
        <v>0</v>
      </c>
      <c r="AL265" s="201">
        <f>SUMIFS([1]!Data_Loan[Value],[1]!Data_Loan[Index Loan],DTR!$B265,[1]!Data_Loan[TenCongTyID],DTR!$B$1,[1]!Data_Loan[Thang.Nam],DTR!AL$254)</f>
        <v>0</v>
      </c>
    </row>
    <row r="266" spans="1:38" ht="15" hidden="1" customHeight="1" outlineLevel="1">
      <c r="A266" s="200" t="s">
        <v>342</v>
      </c>
      <c r="B266" s="329">
        <v>12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>
        <v>59227549743</v>
      </c>
      <c r="O266" s="201">
        <v>59227549743</v>
      </c>
      <c r="P266" s="201">
        <v>10967824770</v>
      </c>
      <c r="Q266" s="201">
        <v>35192821797</v>
      </c>
      <c r="R266" s="201">
        <v>59696932940</v>
      </c>
      <c r="S266" s="201">
        <v>74003145708</v>
      </c>
      <c r="T266" s="201">
        <v>102247404832</v>
      </c>
      <c r="U266" s="201">
        <v>105000758801</v>
      </c>
      <c r="V266" s="201">
        <v>98339501677</v>
      </c>
      <c r="W266" s="201">
        <v>80174525410</v>
      </c>
      <c r="X266" s="201">
        <v>55270634444</v>
      </c>
      <c r="Y266" s="201">
        <v>31305599367</v>
      </c>
      <c r="Z266" s="201">
        <v>24966464491</v>
      </c>
      <c r="AA266" s="201">
        <f>SUMIFS([1]!Data_Loan[Value],[1]!Data_Loan[Index Loan],DTR!$B266,[1]!Data_Loan[TenCongTyID],DTR!$B$1,[1]!Data_Loan[Thang.Nam],DTR!AA$254)</f>
        <v>0</v>
      </c>
      <c r="AB266" s="201">
        <f>SUMIFS([1]!Data_Loan[Value],[1]!Data_Loan[Index Loan],DTR!$B266,[1]!Data_Loan[TenCongTyID],DTR!$B$1,[1]!Data_Loan[Thang.Nam],DTR!AB$254)</f>
        <v>0</v>
      </c>
      <c r="AC266" s="201">
        <f>SUMIFS([1]!Data_Loan[Value],[1]!Data_Loan[Index Loan],DTR!$B266,[1]!Data_Loan[TenCongTyID],DTR!$B$1,[1]!Data_Loan[Thang.Nam],DTR!AC$254)</f>
        <v>0</v>
      </c>
      <c r="AD266" s="201">
        <f>SUMIFS([1]!Data_Loan[Value],[1]!Data_Loan[Index Loan],DTR!$B266,[1]!Data_Loan[TenCongTyID],DTR!$B$1,[1]!Data_Loan[Thang.Nam],DTR!AD$254)</f>
        <v>0</v>
      </c>
      <c r="AE266" s="201">
        <f>SUMIFS([1]!Data_Loan[Value],[1]!Data_Loan[Index Loan],DTR!$B266,[1]!Data_Loan[TenCongTyID],DTR!$B$1,[1]!Data_Loan[Thang.Nam],DTR!AE$254)</f>
        <v>0</v>
      </c>
      <c r="AF266" s="201">
        <f>SUMIFS([1]!Data_Loan[Value],[1]!Data_Loan[Index Loan],DTR!$B266,[1]!Data_Loan[TenCongTyID],DTR!$B$1,[1]!Data_Loan[Thang.Nam],DTR!AF$254)</f>
        <v>0</v>
      </c>
      <c r="AG266" s="201">
        <f>SUMIFS([1]!Data_Loan[Value],[1]!Data_Loan[Index Loan],DTR!$B266,[1]!Data_Loan[TenCongTyID],DTR!$B$1,[1]!Data_Loan[Thang.Nam],DTR!AG$254)</f>
        <v>0</v>
      </c>
      <c r="AH266" s="201">
        <f>SUMIFS([1]!Data_Loan[Value],[1]!Data_Loan[Index Loan],DTR!$B266,[1]!Data_Loan[TenCongTyID],DTR!$B$1,[1]!Data_Loan[Thang.Nam],DTR!AH$254)</f>
        <v>0</v>
      </c>
      <c r="AI266" s="201">
        <f>SUMIFS([1]!Data_Loan[Value],[1]!Data_Loan[Index Loan],DTR!$B266,[1]!Data_Loan[TenCongTyID],DTR!$B$1,[1]!Data_Loan[Thang.Nam],DTR!AI$254)</f>
        <v>0</v>
      </c>
      <c r="AJ266" s="201">
        <f>SUMIFS([1]!Data_Loan[Value],[1]!Data_Loan[Index Loan],DTR!$B266,[1]!Data_Loan[TenCongTyID],DTR!$B$1,[1]!Data_Loan[Thang.Nam],DTR!AJ$254)</f>
        <v>0</v>
      </c>
      <c r="AK266" s="201">
        <f>SUMIFS([1]!Data_Loan[Value],[1]!Data_Loan[Index Loan],DTR!$B266,[1]!Data_Loan[TenCongTyID],DTR!$B$1,[1]!Data_Loan[Thang.Nam],DTR!AK$254)</f>
        <v>0</v>
      </c>
      <c r="AL266" s="201">
        <f>SUMIFS([1]!Data_Loan[Value],[1]!Data_Loan[Index Loan],DTR!$B266,[1]!Data_Loan[TenCongTyID],DTR!$B$1,[1]!Data_Loan[Thang.Nam],DTR!AL$254)</f>
        <v>0</v>
      </c>
    </row>
    <row r="267" spans="1:38" ht="15" hidden="1" customHeight="1" outlineLevel="1">
      <c r="A267" s="200" t="s">
        <v>343</v>
      </c>
      <c r="B267" s="329">
        <v>13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>
        <v>23767004508</v>
      </c>
      <c r="O267" s="201">
        <v>13667004508</v>
      </c>
      <c r="P267" s="201">
        <v>13667004508</v>
      </c>
      <c r="Q267" s="201">
        <v>13667004508</v>
      </c>
      <c r="R267" s="201">
        <v>21972780304</v>
      </c>
      <c r="S267" s="201">
        <v>32049798323</v>
      </c>
      <c r="T267" s="201">
        <v>39585571449</v>
      </c>
      <c r="U267" s="201">
        <v>54125127716</v>
      </c>
      <c r="V267" s="201">
        <v>80169222070</v>
      </c>
      <c r="W267" s="201">
        <v>87240583973</v>
      </c>
      <c r="X267" s="201">
        <v>64730980597</v>
      </c>
      <c r="Y267" s="201">
        <v>55405837410</v>
      </c>
      <c r="Z267" s="201">
        <v>51149160926</v>
      </c>
      <c r="AA267" s="201">
        <f>SUMIFS([1]!Data_Loan[Value],[1]!Data_Loan[Index Loan],DTR!$B267,[1]!Data_Loan[TenCongTyID],DTR!$B$1,[1]!Data_Loan[Thang.Nam],DTR!AA$254)</f>
        <v>0</v>
      </c>
      <c r="AB267" s="201">
        <f>SUMIFS([1]!Data_Loan[Value],[1]!Data_Loan[Index Loan],DTR!$B267,[1]!Data_Loan[TenCongTyID],DTR!$B$1,[1]!Data_Loan[Thang.Nam],DTR!AB$254)</f>
        <v>0</v>
      </c>
      <c r="AC267" s="201">
        <f>SUMIFS([1]!Data_Loan[Value],[1]!Data_Loan[Index Loan],DTR!$B267,[1]!Data_Loan[TenCongTyID],DTR!$B$1,[1]!Data_Loan[Thang.Nam],DTR!AC$254)</f>
        <v>0</v>
      </c>
      <c r="AD267" s="201">
        <f>SUMIFS([1]!Data_Loan[Value],[1]!Data_Loan[Index Loan],DTR!$B267,[1]!Data_Loan[TenCongTyID],DTR!$B$1,[1]!Data_Loan[Thang.Nam],DTR!AD$254)</f>
        <v>0</v>
      </c>
      <c r="AE267" s="201">
        <f>SUMIFS([1]!Data_Loan[Value],[1]!Data_Loan[Index Loan],DTR!$B267,[1]!Data_Loan[TenCongTyID],DTR!$B$1,[1]!Data_Loan[Thang.Nam],DTR!AE$254)</f>
        <v>0</v>
      </c>
      <c r="AF267" s="201">
        <f>SUMIFS([1]!Data_Loan[Value],[1]!Data_Loan[Index Loan],DTR!$B267,[1]!Data_Loan[TenCongTyID],DTR!$B$1,[1]!Data_Loan[Thang.Nam],DTR!AF$254)</f>
        <v>0</v>
      </c>
      <c r="AG267" s="201">
        <f>SUMIFS([1]!Data_Loan[Value],[1]!Data_Loan[Index Loan],DTR!$B267,[1]!Data_Loan[TenCongTyID],DTR!$B$1,[1]!Data_Loan[Thang.Nam],DTR!AG$254)</f>
        <v>0</v>
      </c>
      <c r="AH267" s="201">
        <f>SUMIFS([1]!Data_Loan[Value],[1]!Data_Loan[Index Loan],DTR!$B267,[1]!Data_Loan[TenCongTyID],DTR!$B$1,[1]!Data_Loan[Thang.Nam],DTR!AH$254)</f>
        <v>0</v>
      </c>
      <c r="AI267" s="201">
        <f>SUMIFS([1]!Data_Loan[Value],[1]!Data_Loan[Index Loan],DTR!$B267,[1]!Data_Loan[TenCongTyID],DTR!$B$1,[1]!Data_Loan[Thang.Nam],DTR!AI$254)</f>
        <v>0</v>
      </c>
      <c r="AJ267" s="201">
        <f>SUMIFS([1]!Data_Loan[Value],[1]!Data_Loan[Index Loan],DTR!$B267,[1]!Data_Loan[TenCongTyID],DTR!$B$1,[1]!Data_Loan[Thang.Nam],DTR!AJ$254)</f>
        <v>0</v>
      </c>
      <c r="AK267" s="201">
        <f>SUMIFS([1]!Data_Loan[Value],[1]!Data_Loan[Index Loan],DTR!$B267,[1]!Data_Loan[TenCongTyID],DTR!$B$1,[1]!Data_Loan[Thang.Nam],DTR!AK$254)</f>
        <v>0</v>
      </c>
      <c r="AL267" s="201">
        <f>SUMIFS([1]!Data_Loan[Value],[1]!Data_Loan[Index Loan],DTR!$B267,[1]!Data_Loan[TenCongTyID],DTR!$B$1,[1]!Data_Loan[Thang.Nam],DTR!AL$254)</f>
        <v>0</v>
      </c>
    </row>
    <row r="268" spans="1:38" ht="15" hidden="1" customHeight="1" outlineLevel="1">
      <c r="A268" s="200" t="s">
        <v>344</v>
      </c>
      <c r="B268" s="329">
        <v>14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>
        <v>14105920563</v>
      </c>
      <c r="O268" s="201"/>
      <c r="P268" s="201"/>
      <c r="Q268" s="201">
        <v>278194176</v>
      </c>
      <c r="R268" s="201">
        <v>278194176</v>
      </c>
      <c r="S268" s="201">
        <v>6031380657</v>
      </c>
      <c r="T268" s="201">
        <v>14430851772</v>
      </c>
      <c r="U268" s="201">
        <v>18498731431</v>
      </c>
      <c r="V268" s="201">
        <v>23865375229</v>
      </c>
      <c r="W268" s="201">
        <v>56646971705</v>
      </c>
      <c r="X268" s="201">
        <v>67671155323</v>
      </c>
      <c r="Y268" s="201">
        <v>95052324284</v>
      </c>
      <c r="Z268" s="201">
        <v>99872206577</v>
      </c>
      <c r="AA268" s="201">
        <f>SUMIFS([1]!Data_Loan[Value],[1]!Data_Loan[Index Loan],DTR!$B268,[1]!Data_Loan[TenCongTyID],DTR!$B$1,[1]!Data_Loan[Thang.Nam],DTR!AA$254)</f>
        <v>0</v>
      </c>
      <c r="AB268" s="201">
        <f>SUMIFS([1]!Data_Loan[Value],[1]!Data_Loan[Index Loan],DTR!$B268,[1]!Data_Loan[TenCongTyID],DTR!$B$1,[1]!Data_Loan[Thang.Nam],DTR!AB$254)</f>
        <v>0</v>
      </c>
      <c r="AC268" s="201">
        <f>SUMIFS([1]!Data_Loan[Value],[1]!Data_Loan[Index Loan],DTR!$B268,[1]!Data_Loan[TenCongTyID],DTR!$B$1,[1]!Data_Loan[Thang.Nam],DTR!AC$254)</f>
        <v>0</v>
      </c>
      <c r="AD268" s="201">
        <f>SUMIFS([1]!Data_Loan[Value],[1]!Data_Loan[Index Loan],DTR!$B268,[1]!Data_Loan[TenCongTyID],DTR!$B$1,[1]!Data_Loan[Thang.Nam],DTR!AD$254)</f>
        <v>0</v>
      </c>
      <c r="AE268" s="201">
        <f>SUMIFS([1]!Data_Loan[Value],[1]!Data_Loan[Index Loan],DTR!$B268,[1]!Data_Loan[TenCongTyID],DTR!$B$1,[1]!Data_Loan[Thang.Nam],DTR!AE$254)</f>
        <v>0</v>
      </c>
      <c r="AF268" s="201">
        <f>SUMIFS([1]!Data_Loan[Value],[1]!Data_Loan[Index Loan],DTR!$B268,[1]!Data_Loan[TenCongTyID],DTR!$B$1,[1]!Data_Loan[Thang.Nam],DTR!AF$254)</f>
        <v>0</v>
      </c>
      <c r="AG268" s="201">
        <f>SUMIFS([1]!Data_Loan[Value],[1]!Data_Loan[Index Loan],DTR!$B268,[1]!Data_Loan[TenCongTyID],DTR!$B$1,[1]!Data_Loan[Thang.Nam],DTR!AG$254)</f>
        <v>0</v>
      </c>
      <c r="AH268" s="201">
        <f>SUMIFS([1]!Data_Loan[Value],[1]!Data_Loan[Index Loan],DTR!$B268,[1]!Data_Loan[TenCongTyID],DTR!$B$1,[1]!Data_Loan[Thang.Nam],DTR!AH$254)</f>
        <v>0</v>
      </c>
      <c r="AI268" s="201">
        <f>SUMIFS([1]!Data_Loan[Value],[1]!Data_Loan[Index Loan],DTR!$B268,[1]!Data_Loan[TenCongTyID],DTR!$B$1,[1]!Data_Loan[Thang.Nam],DTR!AI$254)</f>
        <v>0</v>
      </c>
      <c r="AJ268" s="201">
        <f>SUMIFS([1]!Data_Loan[Value],[1]!Data_Loan[Index Loan],DTR!$B268,[1]!Data_Loan[TenCongTyID],DTR!$B$1,[1]!Data_Loan[Thang.Nam],DTR!AJ$254)</f>
        <v>0</v>
      </c>
      <c r="AK268" s="201">
        <f>SUMIFS([1]!Data_Loan[Value],[1]!Data_Loan[Index Loan],DTR!$B268,[1]!Data_Loan[TenCongTyID],DTR!$B$1,[1]!Data_Loan[Thang.Nam],DTR!AK$254)</f>
        <v>0</v>
      </c>
      <c r="AL268" s="201">
        <f>SUMIFS([1]!Data_Loan[Value],[1]!Data_Loan[Index Loan],DTR!$B268,[1]!Data_Loan[TenCongTyID],DTR!$B$1,[1]!Data_Loan[Thang.Nam],DTR!AL$254)</f>
        <v>0</v>
      </c>
    </row>
    <row r="269" spans="1:38" ht="15" hidden="1" customHeight="1" outlineLevel="1">
      <c r="A269" s="200" t="s">
        <v>345</v>
      </c>
      <c r="B269" s="329">
        <v>15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>
        <v>144752832</v>
      </c>
      <c r="V269" s="201">
        <v>144752832</v>
      </c>
      <c r="W269" s="201">
        <v>4692390016</v>
      </c>
      <c r="X269" s="201">
        <v>4692390016</v>
      </c>
      <c r="Y269" s="201">
        <v>4547637184</v>
      </c>
      <c r="Z269" s="201">
        <v>0</v>
      </c>
      <c r="AA269" s="201">
        <f>SUMIFS([1]!Data_Loan[Value],[1]!Data_Loan[Index Loan],DTR!$B269,[1]!Data_Loan[TenCongTyID],DTR!$B$1,[1]!Data_Loan[Thang.Nam],DTR!AA$254)</f>
        <v>0</v>
      </c>
      <c r="AB269" s="201">
        <f>SUMIFS([1]!Data_Loan[Value],[1]!Data_Loan[Index Loan],DTR!$B269,[1]!Data_Loan[TenCongTyID],DTR!$B$1,[1]!Data_Loan[Thang.Nam],DTR!AB$254)</f>
        <v>0</v>
      </c>
      <c r="AC269" s="201">
        <f>SUMIFS([1]!Data_Loan[Value],[1]!Data_Loan[Index Loan],DTR!$B269,[1]!Data_Loan[TenCongTyID],DTR!$B$1,[1]!Data_Loan[Thang.Nam],DTR!AC$254)</f>
        <v>0</v>
      </c>
      <c r="AD269" s="201">
        <f>SUMIFS([1]!Data_Loan[Value],[1]!Data_Loan[Index Loan],DTR!$B269,[1]!Data_Loan[TenCongTyID],DTR!$B$1,[1]!Data_Loan[Thang.Nam],DTR!AD$254)</f>
        <v>0</v>
      </c>
      <c r="AE269" s="201">
        <f>SUMIFS([1]!Data_Loan[Value],[1]!Data_Loan[Index Loan],DTR!$B269,[1]!Data_Loan[TenCongTyID],DTR!$B$1,[1]!Data_Loan[Thang.Nam],DTR!AE$254)</f>
        <v>0</v>
      </c>
      <c r="AF269" s="201">
        <f>SUMIFS([1]!Data_Loan[Value],[1]!Data_Loan[Index Loan],DTR!$B269,[1]!Data_Loan[TenCongTyID],DTR!$B$1,[1]!Data_Loan[Thang.Nam],DTR!AF$254)</f>
        <v>0</v>
      </c>
      <c r="AG269" s="201">
        <f>SUMIFS([1]!Data_Loan[Value],[1]!Data_Loan[Index Loan],DTR!$B269,[1]!Data_Loan[TenCongTyID],DTR!$B$1,[1]!Data_Loan[Thang.Nam],DTR!AG$254)</f>
        <v>0</v>
      </c>
      <c r="AH269" s="201">
        <f>SUMIFS([1]!Data_Loan[Value],[1]!Data_Loan[Index Loan],DTR!$B269,[1]!Data_Loan[TenCongTyID],DTR!$B$1,[1]!Data_Loan[Thang.Nam],DTR!AH$254)</f>
        <v>0</v>
      </c>
      <c r="AI269" s="201">
        <f>SUMIFS([1]!Data_Loan[Value],[1]!Data_Loan[Index Loan],DTR!$B269,[1]!Data_Loan[TenCongTyID],DTR!$B$1,[1]!Data_Loan[Thang.Nam],DTR!AI$254)</f>
        <v>0</v>
      </c>
      <c r="AJ269" s="201">
        <f>SUMIFS([1]!Data_Loan[Value],[1]!Data_Loan[Index Loan],DTR!$B269,[1]!Data_Loan[TenCongTyID],DTR!$B$1,[1]!Data_Loan[Thang.Nam],DTR!AJ$254)</f>
        <v>0</v>
      </c>
      <c r="AK269" s="201">
        <f>SUMIFS([1]!Data_Loan[Value],[1]!Data_Loan[Index Loan],DTR!$B269,[1]!Data_Loan[TenCongTyID],DTR!$B$1,[1]!Data_Loan[Thang.Nam],DTR!AK$254)</f>
        <v>0</v>
      </c>
      <c r="AL269" s="201">
        <f>SUMIFS([1]!Data_Loan[Value],[1]!Data_Loan[Index Loan],DTR!$B269,[1]!Data_Loan[TenCongTyID],DTR!$B$1,[1]!Data_Loan[Thang.Nam],DTR!AL$254)</f>
        <v>0</v>
      </c>
    </row>
    <row r="270" spans="1:38" ht="15" hidden="1" customHeight="1" outlineLevel="1">
      <c r="A270" s="200" t="s">
        <v>346</v>
      </c>
      <c r="B270" s="329">
        <v>16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>
        <v>0</v>
      </c>
      <c r="AA270" s="201">
        <f>SUMIFS([1]!Data_Loan[Value],[1]!Data_Loan[Index Loan],DTR!$B270,[1]!Data_Loan[TenCongTyID],DTR!$B$1,[1]!Data_Loan[Thang.Nam],DTR!AA$254)</f>
        <v>0</v>
      </c>
      <c r="AB270" s="201">
        <f>SUMIFS([1]!Data_Loan[Value],[1]!Data_Loan[Index Loan],DTR!$B270,[1]!Data_Loan[TenCongTyID],DTR!$B$1,[1]!Data_Loan[Thang.Nam],DTR!AB$254)</f>
        <v>0</v>
      </c>
      <c r="AC270" s="201">
        <f>SUMIFS([1]!Data_Loan[Value],[1]!Data_Loan[Index Loan],DTR!$B270,[1]!Data_Loan[TenCongTyID],DTR!$B$1,[1]!Data_Loan[Thang.Nam],DTR!AC$254)</f>
        <v>0</v>
      </c>
      <c r="AD270" s="201">
        <f>SUMIFS([1]!Data_Loan[Value],[1]!Data_Loan[Index Loan],DTR!$B270,[1]!Data_Loan[TenCongTyID],DTR!$B$1,[1]!Data_Loan[Thang.Nam],DTR!AD$254)</f>
        <v>0</v>
      </c>
      <c r="AE270" s="201">
        <f>SUMIFS([1]!Data_Loan[Value],[1]!Data_Loan[Index Loan],DTR!$B270,[1]!Data_Loan[TenCongTyID],DTR!$B$1,[1]!Data_Loan[Thang.Nam],DTR!AE$254)</f>
        <v>0</v>
      </c>
      <c r="AF270" s="201">
        <f>SUMIFS([1]!Data_Loan[Value],[1]!Data_Loan[Index Loan],DTR!$B270,[1]!Data_Loan[TenCongTyID],DTR!$B$1,[1]!Data_Loan[Thang.Nam],DTR!AF$254)</f>
        <v>0</v>
      </c>
      <c r="AG270" s="201">
        <f>SUMIFS([1]!Data_Loan[Value],[1]!Data_Loan[Index Loan],DTR!$B270,[1]!Data_Loan[TenCongTyID],DTR!$B$1,[1]!Data_Loan[Thang.Nam],DTR!AG$254)</f>
        <v>0</v>
      </c>
      <c r="AH270" s="201">
        <f>SUMIFS([1]!Data_Loan[Value],[1]!Data_Loan[Index Loan],DTR!$B270,[1]!Data_Loan[TenCongTyID],DTR!$B$1,[1]!Data_Loan[Thang.Nam],DTR!AH$254)</f>
        <v>0</v>
      </c>
      <c r="AI270" s="201">
        <f>SUMIFS([1]!Data_Loan[Value],[1]!Data_Loan[Index Loan],DTR!$B270,[1]!Data_Loan[TenCongTyID],DTR!$B$1,[1]!Data_Loan[Thang.Nam],DTR!AI$254)</f>
        <v>0</v>
      </c>
      <c r="AJ270" s="201">
        <f>SUMIFS([1]!Data_Loan[Value],[1]!Data_Loan[Index Loan],DTR!$B270,[1]!Data_Loan[TenCongTyID],DTR!$B$1,[1]!Data_Loan[Thang.Nam],DTR!AJ$254)</f>
        <v>0</v>
      </c>
      <c r="AK270" s="201">
        <f>SUMIFS([1]!Data_Loan[Value],[1]!Data_Loan[Index Loan],DTR!$B270,[1]!Data_Loan[TenCongTyID],DTR!$B$1,[1]!Data_Loan[Thang.Nam],DTR!AK$254)</f>
        <v>0</v>
      </c>
      <c r="AL270" s="201">
        <f>SUMIFS([1]!Data_Loan[Value],[1]!Data_Loan[Index Loan],DTR!$B270,[1]!Data_Loan[TenCongTyID],DTR!$B$1,[1]!Data_Loan[Thang.Nam],DTR!AL$254)</f>
        <v>0</v>
      </c>
    </row>
    <row r="271" spans="1:38" ht="15" hidden="1" customHeight="1" outlineLevel="1">
      <c r="A271" s="200" t="s">
        <v>347</v>
      </c>
      <c r="B271" s="329">
        <v>17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>
        <v>0</v>
      </c>
      <c r="AA271" s="201">
        <f>SUMIFS([1]!Data_Loan[Value],[1]!Data_Loan[Index Loan],DTR!$B271,[1]!Data_Loan[TenCongTyID],DTR!$B$1,[1]!Data_Loan[Thang.Nam],DTR!AA$254)</f>
        <v>0</v>
      </c>
      <c r="AB271" s="201">
        <f>SUMIFS([1]!Data_Loan[Value],[1]!Data_Loan[Index Loan],DTR!$B271,[1]!Data_Loan[TenCongTyID],DTR!$B$1,[1]!Data_Loan[Thang.Nam],DTR!AB$254)</f>
        <v>0</v>
      </c>
      <c r="AC271" s="201">
        <f>SUMIFS([1]!Data_Loan[Value],[1]!Data_Loan[Index Loan],DTR!$B271,[1]!Data_Loan[TenCongTyID],DTR!$B$1,[1]!Data_Loan[Thang.Nam],DTR!AC$254)</f>
        <v>0</v>
      </c>
      <c r="AD271" s="201">
        <f>SUMIFS([1]!Data_Loan[Value],[1]!Data_Loan[Index Loan],DTR!$B271,[1]!Data_Loan[TenCongTyID],DTR!$B$1,[1]!Data_Loan[Thang.Nam],DTR!AD$254)</f>
        <v>0</v>
      </c>
      <c r="AE271" s="201">
        <f>SUMIFS([1]!Data_Loan[Value],[1]!Data_Loan[Index Loan],DTR!$B271,[1]!Data_Loan[TenCongTyID],DTR!$B$1,[1]!Data_Loan[Thang.Nam],DTR!AE$254)</f>
        <v>0</v>
      </c>
      <c r="AF271" s="201">
        <f>SUMIFS([1]!Data_Loan[Value],[1]!Data_Loan[Index Loan],DTR!$B271,[1]!Data_Loan[TenCongTyID],DTR!$B$1,[1]!Data_Loan[Thang.Nam],DTR!AF$254)</f>
        <v>0</v>
      </c>
      <c r="AG271" s="201">
        <f>SUMIFS([1]!Data_Loan[Value],[1]!Data_Loan[Index Loan],DTR!$B271,[1]!Data_Loan[TenCongTyID],DTR!$B$1,[1]!Data_Loan[Thang.Nam],DTR!AG$254)</f>
        <v>0</v>
      </c>
      <c r="AH271" s="201">
        <f>SUMIFS([1]!Data_Loan[Value],[1]!Data_Loan[Index Loan],DTR!$B271,[1]!Data_Loan[TenCongTyID],DTR!$B$1,[1]!Data_Loan[Thang.Nam],DTR!AH$254)</f>
        <v>0</v>
      </c>
      <c r="AI271" s="201">
        <f>SUMIFS([1]!Data_Loan[Value],[1]!Data_Loan[Index Loan],DTR!$B271,[1]!Data_Loan[TenCongTyID],DTR!$B$1,[1]!Data_Loan[Thang.Nam],DTR!AI$254)</f>
        <v>0</v>
      </c>
      <c r="AJ271" s="201">
        <f>SUMIFS([1]!Data_Loan[Value],[1]!Data_Loan[Index Loan],DTR!$B271,[1]!Data_Loan[TenCongTyID],DTR!$B$1,[1]!Data_Loan[Thang.Nam],DTR!AJ$254)</f>
        <v>0</v>
      </c>
      <c r="AK271" s="201">
        <f>SUMIFS([1]!Data_Loan[Value],[1]!Data_Loan[Index Loan],DTR!$B271,[1]!Data_Loan[TenCongTyID],DTR!$B$1,[1]!Data_Loan[Thang.Nam],DTR!AK$254)</f>
        <v>0</v>
      </c>
      <c r="AL271" s="201">
        <f>SUMIFS([1]!Data_Loan[Value],[1]!Data_Loan[Index Loan],DTR!$B271,[1]!Data_Loan[TenCongTyID],DTR!$B$1,[1]!Data_Loan[Thang.Nam],DTR!AL$254)</f>
        <v>0</v>
      </c>
    </row>
    <row r="272" spans="1:38" ht="15" hidden="1" customHeight="1" outlineLevel="1">
      <c r="B272" s="329">
        <v>18</v>
      </c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>
        <v>0</v>
      </c>
      <c r="AA272" s="201">
        <f>SUMIFS([1]!Data_Loan[Value],[1]!Data_Loan[Index Loan],DTR!$B272,[1]!Data_Loan[TenCongTyID],DTR!$B$1,[1]!Data_Loan[Thang.Nam],DTR!AA$254)</f>
        <v>0</v>
      </c>
      <c r="AB272" s="201">
        <f>SUMIFS([1]!Data_Loan[Value],[1]!Data_Loan[Index Loan],DTR!$B272,[1]!Data_Loan[TenCongTyID],DTR!$B$1,[1]!Data_Loan[Thang.Nam],DTR!AB$254)</f>
        <v>0</v>
      </c>
      <c r="AC272" s="201">
        <f>SUMIFS([1]!Data_Loan[Value],[1]!Data_Loan[Index Loan],DTR!$B272,[1]!Data_Loan[TenCongTyID],DTR!$B$1,[1]!Data_Loan[Thang.Nam],DTR!AC$254)</f>
        <v>0</v>
      </c>
      <c r="AD272" s="201">
        <f>SUMIFS([1]!Data_Loan[Value],[1]!Data_Loan[Index Loan],DTR!$B272,[1]!Data_Loan[TenCongTyID],DTR!$B$1,[1]!Data_Loan[Thang.Nam],DTR!AD$254)</f>
        <v>0</v>
      </c>
      <c r="AE272" s="201">
        <f>SUMIFS([1]!Data_Loan[Value],[1]!Data_Loan[Index Loan],DTR!$B272,[1]!Data_Loan[TenCongTyID],DTR!$B$1,[1]!Data_Loan[Thang.Nam],DTR!AE$254)</f>
        <v>0</v>
      </c>
      <c r="AF272" s="201">
        <f>SUMIFS([1]!Data_Loan[Value],[1]!Data_Loan[Index Loan],DTR!$B272,[1]!Data_Loan[TenCongTyID],DTR!$B$1,[1]!Data_Loan[Thang.Nam],DTR!AF$254)</f>
        <v>0</v>
      </c>
      <c r="AG272" s="201">
        <f>SUMIFS([1]!Data_Loan[Value],[1]!Data_Loan[Index Loan],DTR!$B272,[1]!Data_Loan[TenCongTyID],DTR!$B$1,[1]!Data_Loan[Thang.Nam],DTR!AG$254)</f>
        <v>0</v>
      </c>
      <c r="AH272" s="201">
        <f>SUMIFS([1]!Data_Loan[Value],[1]!Data_Loan[Index Loan],DTR!$B272,[1]!Data_Loan[TenCongTyID],DTR!$B$1,[1]!Data_Loan[Thang.Nam],DTR!AH$254)</f>
        <v>0</v>
      </c>
      <c r="AI272" s="201">
        <f>SUMIFS([1]!Data_Loan[Value],[1]!Data_Loan[Index Loan],DTR!$B272,[1]!Data_Loan[TenCongTyID],DTR!$B$1,[1]!Data_Loan[Thang.Nam],DTR!AI$254)</f>
        <v>0</v>
      </c>
      <c r="AJ272" s="201">
        <f>SUMIFS([1]!Data_Loan[Value],[1]!Data_Loan[Index Loan],DTR!$B272,[1]!Data_Loan[TenCongTyID],DTR!$B$1,[1]!Data_Loan[Thang.Nam],DTR!AJ$254)</f>
        <v>0</v>
      </c>
      <c r="AK272" s="201">
        <f>SUMIFS([1]!Data_Loan[Value],[1]!Data_Loan[Index Loan],DTR!$B272,[1]!Data_Loan[TenCongTyID],DTR!$B$1,[1]!Data_Loan[Thang.Nam],DTR!AK$254)</f>
        <v>0</v>
      </c>
      <c r="AL272" s="201">
        <f>SUMIFS([1]!Data_Loan[Value],[1]!Data_Loan[Index Loan],DTR!$B272,[1]!Data_Loan[TenCongTyID],DTR!$B$1,[1]!Data_Loan[Thang.Nam],DTR!AL$254)</f>
        <v>0</v>
      </c>
    </row>
    <row r="273" spans="1:38" ht="15" hidden="1" customHeight="1" outlineLevel="1">
      <c r="A273" s="202" t="s">
        <v>348</v>
      </c>
      <c r="B273" s="330">
        <v>19</v>
      </c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331">
        <f t="shared" ref="O273:Y273" si="45">(O265*O274+O266*O275+O267*O276+O268*O277+O269*O278)/(O265+O266+O267+O268+O269)</f>
        <v>0</v>
      </c>
      <c r="P273" s="201">
        <f t="shared" si="45"/>
        <v>0</v>
      </c>
      <c r="Q273" s="201">
        <f t="shared" si="45"/>
        <v>0</v>
      </c>
      <c r="R273" s="201">
        <f t="shared" si="45"/>
        <v>0</v>
      </c>
      <c r="S273" s="201">
        <f t="shared" si="45"/>
        <v>0</v>
      </c>
      <c r="T273" s="201">
        <f t="shared" si="45"/>
        <v>0</v>
      </c>
      <c r="U273" s="201">
        <f t="shared" si="45"/>
        <v>0</v>
      </c>
      <c r="V273" s="201">
        <f t="shared" si="45"/>
        <v>4.2320799942719971E-2</v>
      </c>
      <c r="W273" s="201">
        <f t="shared" si="45"/>
        <v>4.2235600083236985E-2</v>
      </c>
      <c r="X273" s="201">
        <f t="shared" si="45"/>
        <v>4.1246663792271036E-2</v>
      </c>
      <c r="Y273" s="201">
        <f t="shared" si="45"/>
        <v>4.0953562415666216E-2</v>
      </c>
      <c r="Z273" s="201">
        <v>0</v>
      </c>
      <c r="AA273" s="201">
        <f>SUMIFS([1]!Data_Loan[Value],[1]!Data_Loan[Index Loan],DTR!$B273,[1]!Data_Loan[TenCongTyID],DTR!$B$1,[1]!Data_Loan[Thang.Nam],DTR!AA$254)</f>
        <v>0</v>
      </c>
      <c r="AB273" s="201">
        <f>SUMIFS([1]!Data_Loan[Value],[1]!Data_Loan[Index Loan],DTR!$B273,[1]!Data_Loan[TenCongTyID],DTR!$B$1,[1]!Data_Loan[Thang.Nam],DTR!AB$254)</f>
        <v>0</v>
      </c>
      <c r="AC273" s="201">
        <f>SUMIFS([1]!Data_Loan[Value],[1]!Data_Loan[Index Loan],DTR!$B273,[1]!Data_Loan[TenCongTyID],DTR!$B$1,[1]!Data_Loan[Thang.Nam],DTR!AC$254)</f>
        <v>0</v>
      </c>
      <c r="AD273" s="201">
        <f>SUMIFS([1]!Data_Loan[Value],[1]!Data_Loan[Index Loan],DTR!$B273,[1]!Data_Loan[TenCongTyID],DTR!$B$1,[1]!Data_Loan[Thang.Nam],DTR!AD$254)</f>
        <v>0</v>
      </c>
      <c r="AE273" s="201">
        <f>SUMIFS([1]!Data_Loan[Value],[1]!Data_Loan[Index Loan],DTR!$B273,[1]!Data_Loan[TenCongTyID],DTR!$B$1,[1]!Data_Loan[Thang.Nam],DTR!AE$254)</f>
        <v>0</v>
      </c>
      <c r="AF273" s="201">
        <f>SUMIFS([1]!Data_Loan[Value],[1]!Data_Loan[Index Loan],DTR!$B273,[1]!Data_Loan[TenCongTyID],DTR!$B$1,[1]!Data_Loan[Thang.Nam],DTR!AF$254)</f>
        <v>0</v>
      </c>
      <c r="AG273" s="201">
        <f>SUMIFS([1]!Data_Loan[Value],[1]!Data_Loan[Index Loan],DTR!$B273,[1]!Data_Loan[TenCongTyID],DTR!$B$1,[1]!Data_Loan[Thang.Nam],DTR!AG$254)</f>
        <v>0</v>
      </c>
      <c r="AH273" s="201">
        <f>SUMIFS([1]!Data_Loan[Value],[1]!Data_Loan[Index Loan],DTR!$B273,[1]!Data_Loan[TenCongTyID],DTR!$B$1,[1]!Data_Loan[Thang.Nam],DTR!AH$254)</f>
        <v>0</v>
      </c>
      <c r="AI273" s="201">
        <f>SUMIFS([1]!Data_Loan[Value],[1]!Data_Loan[Index Loan],DTR!$B273,[1]!Data_Loan[TenCongTyID],DTR!$B$1,[1]!Data_Loan[Thang.Nam],DTR!AI$254)</f>
        <v>0</v>
      </c>
      <c r="AJ273" s="201">
        <f>SUMIFS([1]!Data_Loan[Value],[1]!Data_Loan[Index Loan],DTR!$B273,[1]!Data_Loan[TenCongTyID],DTR!$B$1,[1]!Data_Loan[Thang.Nam],DTR!AJ$254)</f>
        <v>0</v>
      </c>
      <c r="AK273" s="201">
        <f>SUMIFS([1]!Data_Loan[Value],[1]!Data_Loan[Index Loan],DTR!$B273,[1]!Data_Loan[TenCongTyID],DTR!$B$1,[1]!Data_Loan[Thang.Nam],DTR!AK$254)</f>
        <v>0</v>
      </c>
      <c r="AL273" s="201">
        <f>SUMIFS([1]!Data_Loan[Value],[1]!Data_Loan[Index Loan],DTR!$B273,[1]!Data_Loan[TenCongTyID],DTR!$B$1,[1]!Data_Loan[Thang.Nam],DTR!AL$254)</f>
        <v>0</v>
      </c>
    </row>
    <row r="274" spans="1:38" ht="15" hidden="1" customHeight="1" outlineLevel="1">
      <c r="A274" s="200" t="str">
        <f>A265</f>
        <v>ACB</v>
      </c>
      <c r="B274" s="329">
        <v>20</v>
      </c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>
        <v>4.2000000000000003E-2</v>
      </c>
      <c r="W274" s="201">
        <v>4.2000000000000003E-2</v>
      </c>
      <c r="X274" s="201">
        <v>4.2000000000000003E-2</v>
      </c>
      <c r="Y274" s="201">
        <v>4.2000000000000003E-2</v>
      </c>
      <c r="Z274" s="201">
        <v>0</v>
      </c>
      <c r="AA274" s="201">
        <f>SUMIFS([1]!Data_Loan[Value],[1]!Data_Loan[Index Loan],DTR!$B274,[1]!Data_Loan[TenCongTyID],DTR!$B$1,[1]!Data_Loan[Thang.Nam],DTR!AA$254)</f>
        <v>0</v>
      </c>
      <c r="AB274" s="201">
        <f>SUMIFS([1]!Data_Loan[Value],[1]!Data_Loan[Index Loan],DTR!$B274,[1]!Data_Loan[TenCongTyID],DTR!$B$1,[1]!Data_Loan[Thang.Nam],DTR!AB$254)</f>
        <v>0</v>
      </c>
      <c r="AC274" s="201">
        <f>SUMIFS([1]!Data_Loan[Value],[1]!Data_Loan[Index Loan],DTR!$B274,[1]!Data_Loan[TenCongTyID],DTR!$B$1,[1]!Data_Loan[Thang.Nam],DTR!AC$254)</f>
        <v>0</v>
      </c>
      <c r="AD274" s="201">
        <f>SUMIFS([1]!Data_Loan[Value],[1]!Data_Loan[Index Loan],DTR!$B274,[1]!Data_Loan[TenCongTyID],DTR!$B$1,[1]!Data_Loan[Thang.Nam],DTR!AD$254)</f>
        <v>0</v>
      </c>
      <c r="AE274" s="201">
        <f>SUMIFS([1]!Data_Loan[Value],[1]!Data_Loan[Index Loan],DTR!$B274,[1]!Data_Loan[TenCongTyID],DTR!$B$1,[1]!Data_Loan[Thang.Nam],DTR!AE$254)</f>
        <v>0</v>
      </c>
      <c r="AF274" s="201">
        <f>SUMIFS([1]!Data_Loan[Value],[1]!Data_Loan[Index Loan],DTR!$B274,[1]!Data_Loan[TenCongTyID],DTR!$B$1,[1]!Data_Loan[Thang.Nam],DTR!AF$254)</f>
        <v>0</v>
      </c>
      <c r="AG274" s="201">
        <f>SUMIFS([1]!Data_Loan[Value],[1]!Data_Loan[Index Loan],DTR!$B274,[1]!Data_Loan[TenCongTyID],DTR!$B$1,[1]!Data_Loan[Thang.Nam],DTR!AG$254)</f>
        <v>0</v>
      </c>
      <c r="AH274" s="201">
        <f>SUMIFS([1]!Data_Loan[Value],[1]!Data_Loan[Index Loan],DTR!$B274,[1]!Data_Loan[TenCongTyID],DTR!$B$1,[1]!Data_Loan[Thang.Nam],DTR!AH$254)</f>
        <v>0</v>
      </c>
      <c r="AI274" s="201">
        <f>SUMIFS([1]!Data_Loan[Value],[1]!Data_Loan[Index Loan],DTR!$B274,[1]!Data_Loan[TenCongTyID],DTR!$B$1,[1]!Data_Loan[Thang.Nam],DTR!AI$254)</f>
        <v>0</v>
      </c>
      <c r="AJ274" s="201">
        <f>SUMIFS([1]!Data_Loan[Value],[1]!Data_Loan[Index Loan],DTR!$B274,[1]!Data_Loan[TenCongTyID],DTR!$B$1,[1]!Data_Loan[Thang.Nam],DTR!AJ$254)</f>
        <v>0</v>
      </c>
      <c r="AK274" s="201">
        <f>SUMIFS([1]!Data_Loan[Value],[1]!Data_Loan[Index Loan],DTR!$B274,[1]!Data_Loan[TenCongTyID],DTR!$B$1,[1]!Data_Loan[Thang.Nam],DTR!AK$254)</f>
        <v>0</v>
      </c>
      <c r="AL274" s="201">
        <f>SUMIFS([1]!Data_Loan[Value],[1]!Data_Loan[Index Loan],DTR!$B274,[1]!Data_Loan[TenCongTyID],DTR!$B$1,[1]!Data_Loan[Thang.Nam],DTR!AL$254)</f>
        <v>0</v>
      </c>
    </row>
    <row r="275" spans="1:38" ht="15" hidden="1" customHeight="1" outlineLevel="1">
      <c r="A275" s="200" t="str">
        <f t="shared" ref="A275:A281" si="46">A266</f>
        <v>VietinBank</v>
      </c>
      <c r="B275" s="329">
        <v>21</v>
      </c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>
        <v>4.1000000000000002E-2</v>
      </c>
      <c r="W275" s="201">
        <v>4.1000000000000002E-2</v>
      </c>
      <c r="X275" s="201">
        <v>4.2000000000000003E-2</v>
      </c>
      <c r="Y275" s="201">
        <v>4.2999999999999997E-2</v>
      </c>
      <c r="Z275" s="201">
        <v>0</v>
      </c>
      <c r="AA275" s="201">
        <f>SUMIFS([1]!Data_Loan[Value],[1]!Data_Loan[Index Loan],DTR!$B275,[1]!Data_Loan[TenCongTyID],DTR!$B$1,[1]!Data_Loan[Thang.Nam],DTR!AA$254)</f>
        <v>0</v>
      </c>
      <c r="AB275" s="201">
        <f>SUMIFS([1]!Data_Loan[Value],[1]!Data_Loan[Index Loan],DTR!$B275,[1]!Data_Loan[TenCongTyID],DTR!$B$1,[1]!Data_Loan[Thang.Nam],DTR!AB$254)</f>
        <v>0</v>
      </c>
      <c r="AC275" s="201">
        <f>SUMIFS([1]!Data_Loan[Value],[1]!Data_Loan[Index Loan],DTR!$B275,[1]!Data_Loan[TenCongTyID],DTR!$B$1,[1]!Data_Loan[Thang.Nam],DTR!AC$254)</f>
        <v>0</v>
      </c>
      <c r="AD275" s="201">
        <f>SUMIFS([1]!Data_Loan[Value],[1]!Data_Loan[Index Loan],DTR!$B275,[1]!Data_Loan[TenCongTyID],DTR!$B$1,[1]!Data_Loan[Thang.Nam],DTR!AD$254)</f>
        <v>0</v>
      </c>
      <c r="AE275" s="201">
        <f>SUMIFS([1]!Data_Loan[Value],[1]!Data_Loan[Index Loan],DTR!$B275,[1]!Data_Loan[TenCongTyID],DTR!$B$1,[1]!Data_Loan[Thang.Nam],DTR!AE$254)</f>
        <v>0</v>
      </c>
      <c r="AF275" s="201">
        <f>SUMIFS([1]!Data_Loan[Value],[1]!Data_Loan[Index Loan],DTR!$B275,[1]!Data_Loan[TenCongTyID],DTR!$B$1,[1]!Data_Loan[Thang.Nam],DTR!AF$254)</f>
        <v>0</v>
      </c>
      <c r="AG275" s="201">
        <f>SUMIFS([1]!Data_Loan[Value],[1]!Data_Loan[Index Loan],DTR!$B275,[1]!Data_Loan[TenCongTyID],DTR!$B$1,[1]!Data_Loan[Thang.Nam],DTR!AG$254)</f>
        <v>0</v>
      </c>
      <c r="AH275" s="201">
        <f>SUMIFS([1]!Data_Loan[Value],[1]!Data_Loan[Index Loan],DTR!$B275,[1]!Data_Loan[TenCongTyID],DTR!$B$1,[1]!Data_Loan[Thang.Nam],DTR!AH$254)</f>
        <v>0</v>
      </c>
      <c r="AI275" s="201">
        <f>SUMIFS([1]!Data_Loan[Value],[1]!Data_Loan[Index Loan],DTR!$B275,[1]!Data_Loan[TenCongTyID],DTR!$B$1,[1]!Data_Loan[Thang.Nam],DTR!AI$254)</f>
        <v>0</v>
      </c>
      <c r="AJ275" s="201">
        <f>SUMIFS([1]!Data_Loan[Value],[1]!Data_Loan[Index Loan],DTR!$B275,[1]!Data_Loan[TenCongTyID],DTR!$B$1,[1]!Data_Loan[Thang.Nam],DTR!AJ$254)</f>
        <v>0</v>
      </c>
      <c r="AK275" s="201">
        <f>SUMIFS([1]!Data_Loan[Value],[1]!Data_Loan[Index Loan],DTR!$B275,[1]!Data_Loan[TenCongTyID],DTR!$B$1,[1]!Data_Loan[Thang.Nam],DTR!AK$254)</f>
        <v>0</v>
      </c>
      <c r="AL275" s="201">
        <f>SUMIFS([1]!Data_Loan[Value],[1]!Data_Loan[Index Loan],DTR!$B275,[1]!Data_Loan[TenCongTyID],DTR!$B$1,[1]!Data_Loan[Thang.Nam],DTR!AL$254)</f>
        <v>0</v>
      </c>
    </row>
    <row r="276" spans="1:38" ht="15" hidden="1" customHeight="1" outlineLevel="1">
      <c r="A276" s="200" t="str">
        <f t="shared" si="46"/>
        <v>Vietcombank</v>
      </c>
      <c r="B276" s="329">
        <v>22</v>
      </c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>
        <v>4.4999999999999998E-2</v>
      </c>
      <c r="W276" s="201">
        <v>4.4999999999999998E-2</v>
      </c>
      <c r="X276" s="201">
        <v>4.1000000000000002E-2</v>
      </c>
      <c r="Y276" s="201">
        <v>0.04</v>
      </c>
      <c r="Z276" s="201">
        <v>0</v>
      </c>
      <c r="AA276" s="201">
        <f>SUMIFS([1]!Data_Loan[Value],[1]!Data_Loan[Index Loan],DTR!$B276,[1]!Data_Loan[TenCongTyID],DTR!$B$1,[1]!Data_Loan[Thang.Nam],DTR!AA$254)</f>
        <v>0</v>
      </c>
      <c r="AB276" s="201">
        <f>SUMIFS([1]!Data_Loan[Value],[1]!Data_Loan[Index Loan],DTR!$B276,[1]!Data_Loan[TenCongTyID],DTR!$B$1,[1]!Data_Loan[Thang.Nam],DTR!AB$254)</f>
        <v>0</v>
      </c>
      <c r="AC276" s="201">
        <f>SUMIFS([1]!Data_Loan[Value],[1]!Data_Loan[Index Loan],DTR!$B276,[1]!Data_Loan[TenCongTyID],DTR!$B$1,[1]!Data_Loan[Thang.Nam],DTR!AC$254)</f>
        <v>0</v>
      </c>
      <c r="AD276" s="201">
        <f>SUMIFS([1]!Data_Loan[Value],[1]!Data_Loan[Index Loan],DTR!$B276,[1]!Data_Loan[TenCongTyID],DTR!$B$1,[1]!Data_Loan[Thang.Nam],DTR!AD$254)</f>
        <v>0</v>
      </c>
      <c r="AE276" s="201">
        <f>SUMIFS([1]!Data_Loan[Value],[1]!Data_Loan[Index Loan],DTR!$B276,[1]!Data_Loan[TenCongTyID],DTR!$B$1,[1]!Data_Loan[Thang.Nam],DTR!AE$254)</f>
        <v>0</v>
      </c>
      <c r="AF276" s="201">
        <f>SUMIFS([1]!Data_Loan[Value],[1]!Data_Loan[Index Loan],DTR!$B276,[1]!Data_Loan[TenCongTyID],DTR!$B$1,[1]!Data_Loan[Thang.Nam],DTR!AF$254)</f>
        <v>0</v>
      </c>
      <c r="AG276" s="201">
        <f>SUMIFS([1]!Data_Loan[Value],[1]!Data_Loan[Index Loan],DTR!$B276,[1]!Data_Loan[TenCongTyID],DTR!$B$1,[1]!Data_Loan[Thang.Nam],DTR!AG$254)</f>
        <v>0</v>
      </c>
      <c r="AH276" s="201">
        <f>SUMIFS([1]!Data_Loan[Value],[1]!Data_Loan[Index Loan],DTR!$B276,[1]!Data_Loan[TenCongTyID],DTR!$B$1,[1]!Data_Loan[Thang.Nam],DTR!AH$254)</f>
        <v>0</v>
      </c>
      <c r="AI276" s="201">
        <f>SUMIFS([1]!Data_Loan[Value],[1]!Data_Loan[Index Loan],DTR!$B276,[1]!Data_Loan[TenCongTyID],DTR!$B$1,[1]!Data_Loan[Thang.Nam],DTR!AI$254)</f>
        <v>0</v>
      </c>
      <c r="AJ276" s="201">
        <f>SUMIFS([1]!Data_Loan[Value],[1]!Data_Loan[Index Loan],DTR!$B276,[1]!Data_Loan[TenCongTyID],DTR!$B$1,[1]!Data_Loan[Thang.Nam],DTR!AJ$254)</f>
        <v>0</v>
      </c>
      <c r="AK276" s="201">
        <f>SUMIFS([1]!Data_Loan[Value],[1]!Data_Loan[Index Loan],DTR!$B276,[1]!Data_Loan[TenCongTyID],DTR!$B$1,[1]!Data_Loan[Thang.Nam],DTR!AK$254)</f>
        <v>0</v>
      </c>
      <c r="AL276" s="201">
        <f>SUMIFS([1]!Data_Loan[Value],[1]!Data_Loan[Index Loan],DTR!$B276,[1]!Data_Loan[TenCongTyID],DTR!$B$1,[1]!Data_Loan[Thang.Nam],DTR!AL$254)</f>
        <v>0</v>
      </c>
    </row>
    <row r="277" spans="1:38" ht="15" hidden="1" customHeight="1" outlineLevel="1">
      <c r="A277" s="200" t="str">
        <f t="shared" si="46"/>
        <v>BIDV</v>
      </c>
      <c r="B277" s="329">
        <v>23</v>
      </c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>
        <v>0.04</v>
      </c>
      <c r="W277" s="201">
        <v>0.04</v>
      </c>
      <c r="X277" s="201">
        <v>0.04</v>
      </c>
      <c r="Y277" s="201">
        <v>0.04</v>
      </c>
      <c r="Z277" s="201">
        <v>0</v>
      </c>
      <c r="AA277" s="201">
        <f>SUMIFS([1]!Data_Loan[Value],[1]!Data_Loan[Index Loan],DTR!$B277,[1]!Data_Loan[TenCongTyID],DTR!$B$1,[1]!Data_Loan[Thang.Nam],DTR!AA$254)</f>
        <v>0</v>
      </c>
      <c r="AB277" s="201">
        <f>SUMIFS([1]!Data_Loan[Value],[1]!Data_Loan[Index Loan],DTR!$B277,[1]!Data_Loan[TenCongTyID],DTR!$B$1,[1]!Data_Loan[Thang.Nam],DTR!AB$254)</f>
        <v>0</v>
      </c>
      <c r="AC277" s="201">
        <f>SUMIFS([1]!Data_Loan[Value],[1]!Data_Loan[Index Loan],DTR!$B277,[1]!Data_Loan[TenCongTyID],DTR!$B$1,[1]!Data_Loan[Thang.Nam],DTR!AC$254)</f>
        <v>0</v>
      </c>
      <c r="AD277" s="201">
        <f>SUMIFS([1]!Data_Loan[Value],[1]!Data_Loan[Index Loan],DTR!$B277,[1]!Data_Loan[TenCongTyID],DTR!$B$1,[1]!Data_Loan[Thang.Nam],DTR!AD$254)</f>
        <v>0</v>
      </c>
      <c r="AE277" s="201">
        <f>SUMIFS([1]!Data_Loan[Value],[1]!Data_Loan[Index Loan],DTR!$B277,[1]!Data_Loan[TenCongTyID],DTR!$B$1,[1]!Data_Loan[Thang.Nam],DTR!AE$254)</f>
        <v>0</v>
      </c>
      <c r="AF277" s="201">
        <f>SUMIFS([1]!Data_Loan[Value],[1]!Data_Loan[Index Loan],DTR!$B277,[1]!Data_Loan[TenCongTyID],DTR!$B$1,[1]!Data_Loan[Thang.Nam],DTR!AF$254)</f>
        <v>0</v>
      </c>
      <c r="AG277" s="201">
        <f>SUMIFS([1]!Data_Loan[Value],[1]!Data_Loan[Index Loan],DTR!$B277,[1]!Data_Loan[TenCongTyID],DTR!$B$1,[1]!Data_Loan[Thang.Nam],DTR!AG$254)</f>
        <v>0</v>
      </c>
      <c r="AH277" s="201">
        <f>SUMIFS([1]!Data_Loan[Value],[1]!Data_Loan[Index Loan],DTR!$B277,[1]!Data_Loan[TenCongTyID],DTR!$B$1,[1]!Data_Loan[Thang.Nam],DTR!AH$254)</f>
        <v>0</v>
      </c>
      <c r="AI277" s="201">
        <f>SUMIFS([1]!Data_Loan[Value],[1]!Data_Loan[Index Loan],DTR!$B277,[1]!Data_Loan[TenCongTyID],DTR!$B$1,[1]!Data_Loan[Thang.Nam],DTR!AI$254)</f>
        <v>0</v>
      </c>
      <c r="AJ277" s="201">
        <f>SUMIFS([1]!Data_Loan[Value],[1]!Data_Loan[Index Loan],DTR!$B277,[1]!Data_Loan[TenCongTyID],DTR!$B$1,[1]!Data_Loan[Thang.Nam],DTR!AJ$254)</f>
        <v>0</v>
      </c>
      <c r="AK277" s="201">
        <f>SUMIFS([1]!Data_Loan[Value],[1]!Data_Loan[Index Loan],DTR!$B277,[1]!Data_Loan[TenCongTyID],DTR!$B$1,[1]!Data_Loan[Thang.Nam],DTR!AK$254)</f>
        <v>0</v>
      </c>
      <c r="AL277" s="201">
        <f>SUMIFS([1]!Data_Loan[Value],[1]!Data_Loan[Index Loan],DTR!$B277,[1]!Data_Loan[TenCongTyID],DTR!$B$1,[1]!Data_Loan[Thang.Nam],DTR!AL$254)</f>
        <v>0</v>
      </c>
    </row>
    <row r="278" spans="1:38" ht="15" hidden="1" customHeight="1" outlineLevel="1">
      <c r="A278" s="200" t="str">
        <f t="shared" si="46"/>
        <v>Standard Chartered</v>
      </c>
      <c r="B278" s="329">
        <v>24</v>
      </c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>
        <v>4.2999999999999997E-2</v>
      </c>
      <c r="W278" s="201">
        <v>4.2999999999999997E-2</v>
      </c>
      <c r="X278" s="201">
        <v>4.2999999999999997E-2</v>
      </c>
      <c r="Y278" s="201">
        <v>4.2999999999999997E-2</v>
      </c>
      <c r="Z278" s="201">
        <v>0</v>
      </c>
      <c r="AA278" s="201">
        <f>SUMIFS([1]!Data_Loan[Value],[1]!Data_Loan[Index Loan],DTR!$B278,[1]!Data_Loan[TenCongTyID],DTR!$B$1,[1]!Data_Loan[Thang.Nam],DTR!AA$254)</f>
        <v>0</v>
      </c>
      <c r="AB278" s="201">
        <f>SUMIFS([1]!Data_Loan[Value],[1]!Data_Loan[Index Loan],DTR!$B278,[1]!Data_Loan[TenCongTyID],DTR!$B$1,[1]!Data_Loan[Thang.Nam],DTR!AB$254)</f>
        <v>0</v>
      </c>
      <c r="AC278" s="201">
        <f>SUMIFS([1]!Data_Loan[Value],[1]!Data_Loan[Index Loan],DTR!$B278,[1]!Data_Loan[TenCongTyID],DTR!$B$1,[1]!Data_Loan[Thang.Nam],DTR!AC$254)</f>
        <v>0</v>
      </c>
      <c r="AD278" s="201">
        <f>SUMIFS([1]!Data_Loan[Value],[1]!Data_Loan[Index Loan],DTR!$B278,[1]!Data_Loan[TenCongTyID],DTR!$B$1,[1]!Data_Loan[Thang.Nam],DTR!AD$254)</f>
        <v>0</v>
      </c>
      <c r="AE278" s="201">
        <f>SUMIFS([1]!Data_Loan[Value],[1]!Data_Loan[Index Loan],DTR!$B278,[1]!Data_Loan[TenCongTyID],DTR!$B$1,[1]!Data_Loan[Thang.Nam],DTR!AE$254)</f>
        <v>0</v>
      </c>
      <c r="AF278" s="201">
        <f>SUMIFS([1]!Data_Loan[Value],[1]!Data_Loan[Index Loan],DTR!$B278,[1]!Data_Loan[TenCongTyID],DTR!$B$1,[1]!Data_Loan[Thang.Nam],DTR!AF$254)</f>
        <v>0</v>
      </c>
      <c r="AG278" s="201">
        <f>SUMIFS([1]!Data_Loan[Value],[1]!Data_Loan[Index Loan],DTR!$B278,[1]!Data_Loan[TenCongTyID],DTR!$B$1,[1]!Data_Loan[Thang.Nam],DTR!AG$254)</f>
        <v>0</v>
      </c>
      <c r="AH278" s="201">
        <f>SUMIFS([1]!Data_Loan[Value],[1]!Data_Loan[Index Loan],DTR!$B278,[1]!Data_Loan[TenCongTyID],DTR!$B$1,[1]!Data_Loan[Thang.Nam],DTR!AH$254)</f>
        <v>0</v>
      </c>
      <c r="AI278" s="201">
        <f>SUMIFS([1]!Data_Loan[Value],[1]!Data_Loan[Index Loan],DTR!$B278,[1]!Data_Loan[TenCongTyID],DTR!$B$1,[1]!Data_Loan[Thang.Nam],DTR!AI$254)</f>
        <v>0</v>
      </c>
      <c r="AJ278" s="201">
        <f>SUMIFS([1]!Data_Loan[Value],[1]!Data_Loan[Index Loan],DTR!$B278,[1]!Data_Loan[TenCongTyID],DTR!$B$1,[1]!Data_Loan[Thang.Nam],DTR!AJ$254)</f>
        <v>0</v>
      </c>
      <c r="AK278" s="201">
        <f>SUMIFS([1]!Data_Loan[Value],[1]!Data_Loan[Index Loan],DTR!$B278,[1]!Data_Loan[TenCongTyID],DTR!$B$1,[1]!Data_Loan[Thang.Nam],DTR!AK$254)</f>
        <v>0</v>
      </c>
      <c r="AL278" s="201">
        <f>SUMIFS([1]!Data_Loan[Value],[1]!Data_Loan[Index Loan],DTR!$B278,[1]!Data_Loan[TenCongTyID],DTR!$B$1,[1]!Data_Loan[Thang.Nam],DTR!AL$254)</f>
        <v>0</v>
      </c>
    </row>
    <row r="279" spans="1:38" ht="15" hidden="1" customHeight="1" outlineLevel="1">
      <c r="A279" s="200" t="str">
        <f t="shared" si="46"/>
        <v>VILC</v>
      </c>
      <c r="B279" s="329">
        <v>25</v>
      </c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>
        <v>0</v>
      </c>
      <c r="AA279" s="201">
        <f>SUMIFS([1]!Data_Loan[Value],[1]!Data_Loan[Index Loan],DTR!$B279,[1]!Data_Loan[TenCongTyID],DTR!$B$1,[1]!Data_Loan[Thang.Nam],DTR!AA$254)</f>
        <v>0</v>
      </c>
      <c r="AB279" s="201">
        <f>SUMIFS([1]!Data_Loan[Value],[1]!Data_Loan[Index Loan],DTR!$B279,[1]!Data_Loan[TenCongTyID],DTR!$B$1,[1]!Data_Loan[Thang.Nam],DTR!AB$254)</f>
        <v>0</v>
      </c>
      <c r="AC279" s="201">
        <f>SUMIFS([1]!Data_Loan[Value],[1]!Data_Loan[Index Loan],DTR!$B279,[1]!Data_Loan[TenCongTyID],DTR!$B$1,[1]!Data_Loan[Thang.Nam],DTR!AC$254)</f>
        <v>0</v>
      </c>
      <c r="AD279" s="201">
        <f>SUMIFS([1]!Data_Loan[Value],[1]!Data_Loan[Index Loan],DTR!$B279,[1]!Data_Loan[TenCongTyID],DTR!$B$1,[1]!Data_Loan[Thang.Nam],DTR!AD$254)</f>
        <v>0</v>
      </c>
      <c r="AE279" s="201">
        <f>SUMIFS([1]!Data_Loan[Value],[1]!Data_Loan[Index Loan],DTR!$B279,[1]!Data_Loan[TenCongTyID],DTR!$B$1,[1]!Data_Loan[Thang.Nam],DTR!AE$254)</f>
        <v>0</v>
      </c>
      <c r="AF279" s="201">
        <f>SUMIFS([1]!Data_Loan[Value],[1]!Data_Loan[Index Loan],DTR!$B279,[1]!Data_Loan[TenCongTyID],DTR!$B$1,[1]!Data_Loan[Thang.Nam],DTR!AF$254)</f>
        <v>0</v>
      </c>
      <c r="AG279" s="201">
        <f>SUMIFS([1]!Data_Loan[Value],[1]!Data_Loan[Index Loan],DTR!$B279,[1]!Data_Loan[TenCongTyID],DTR!$B$1,[1]!Data_Loan[Thang.Nam],DTR!AG$254)</f>
        <v>0</v>
      </c>
      <c r="AH279" s="201">
        <f>SUMIFS([1]!Data_Loan[Value],[1]!Data_Loan[Index Loan],DTR!$B279,[1]!Data_Loan[TenCongTyID],DTR!$B$1,[1]!Data_Loan[Thang.Nam],DTR!AH$254)</f>
        <v>0</v>
      </c>
      <c r="AI279" s="201">
        <f>SUMIFS([1]!Data_Loan[Value],[1]!Data_Loan[Index Loan],DTR!$B279,[1]!Data_Loan[TenCongTyID],DTR!$B$1,[1]!Data_Loan[Thang.Nam],DTR!AI$254)</f>
        <v>0</v>
      </c>
      <c r="AJ279" s="201">
        <f>SUMIFS([1]!Data_Loan[Value],[1]!Data_Loan[Index Loan],DTR!$B279,[1]!Data_Loan[TenCongTyID],DTR!$B$1,[1]!Data_Loan[Thang.Nam],DTR!AJ$254)</f>
        <v>0</v>
      </c>
      <c r="AK279" s="201">
        <f>SUMIFS([1]!Data_Loan[Value],[1]!Data_Loan[Index Loan],DTR!$B279,[1]!Data_Loan[TenCongTyID],DTR!$B$1,[1]!Data_Loan[Thang.Nam],DTR!AK$254)</f>
        <v>0</v>
      </c>
      <c r="AL279" s="201">
        <f>SUMIFS([1]!Data_Loan[Value],[1]!Data_Loan[Index Loan],DTR!$B279,[1]!Data_Loan[TenCongTyID],DTR!$B$1,[1]!Data_Loan[Thang.Nam],DTR!AL$254)</f>
        <v>0</v>
      </c>
    </row>
    <row r="280" spans="1:38" ht="15" hidden="1" customHeight="1" outlineLevel="1">
      <c r="A280" s="200" t="str">
        <f t="shared" si="46"/>
        <v>IVB</v>
      </c>
      <c r="B280" s="329">
        <v>26</v>
      </c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>
        <v>0</v>
      </c>
      <c r="AA280" s="201">
        <f>SUMIFS([1]!Data_Loan[Value],[1]!Data_Loan[Index Loan],DTR!$B280,[1]!Data_Loan[TenCongTyID],DTR!$B$1,[1]!Data_Loan[Thang.Nam],DTR!AA$254)</f>
        <v>0</v>
      </c>
      <c r="AB280" s="201">
        <f>SUMIFS([1]!Data_Loan[Value],[1]!Data_Loan[Index Loan],DTR!$B280,[1]!Data_Loan[TenCongTyID],DTR!$B$1,[1]!Data_Loan[Thang.Nam],DTR!AB$254)</f>
        <v>0</v>
      </c>
      <c r="AC280" s="201">
        <f>SUMIFS([1]!Data_Loan[Value],[1]!Data_Loan[Index Loan],DTR!$B280,[1]!Data_Loan[TenCongTyID],DTR!$B$1,[1]!Data_Loan[Thang.Nam],DTR!AC$254)</f>
        <v>0</v>
      </c>
      <c r="AD280" s="201">
        <f>SUMIFS([1]!Data_Loan[Value],[1]!Data_Loan[Index Loan],DTR!$B280,[1]!Data_Loan[TenCongTyID],DTR!$B$1,[1]!Data_Loan[Thang.Nam],DTR!AD$254)</f>
        <v>0</v>
      </c>
      <c r="AE280" s="201">
        <f>SUMIFS([1]!Data_Loan[Value],[1]!Data_Loan[Index Loan],DTR!$B280,[1]!Data_Loan[TenCongTyID],DTR!$B$1,[1]!Data_Loan[Thang.Nam],DTR!AE$254)</f>
        <v>0</v>
      </c>
      <c r="AF280" s="201">
        <f>SUMIFS([1]!Data_Loan[Value],[1]!Data_Loan[Index Loan],DTR!$B280,[1]!Data_Loan[TenCongTyID],DTR!$B$1,[1]!Data_Loan[Thang.Nam],DTR!AF$254)</f>
        <v>0</v>
      </c>
      <c r="AG280" s="201">
        <f>SUMIFS([1]!Data_Loan[Value],[1]!Data_Loan[Index Loan],DTR!$B280,[1]!Data_Loan[TenCongTyID],DTR!$B$1,[1]!Data_Loan[Thang.Nam],DTR!AG$254)</f>
        <v>0</v>
      </c>
      <c r="AH280" s="201">
        <f>SUMIFS([1]!Data_Loan[Value],[1]!Data_Loan[Index Loan],DTR!$B280,[1]!Data_Loan[TenCongTyID],DTR!$B$1,[1]!Data_Loan[Thang.Nam],DTR!AH$254)</f>
        <v>0</v>
      </c>
      <c r="AI280" s="201">
        <f>SUMIFS([1]!Data_Loan[Value],[1]!Data_Loan[Index Loan],DTR!$B280,[1]!Data_Loan[TenCongTyID],DTR!$B$1,[1]!Data_Loan[Thang.Nam],DTR!AI$254)</f>
        <v>0</v>
      </c>
      <c r="AJ280" s="201">
        <f>SUMIFS([1]!Data_Loan[Value],[1]!Data_Loan[Index Loan],DTR!$B280,[1]!Data_Loan[TenCongTyID],DTR!$B$1,[1]!Data_Loan[Thang.Nam],DTR!AJ$254)</f>
        <v>0</v>
      </c>
      <c r="AK280" s="201">
        <f>SUMIFS([1]!Data_Loan[Value],[1]!Data_Loan[Index Loan],DTR!$B280,[1]!Data_Loan[TenCongTyID],DTR!$B$1,[1]!Data_Loan[Thang.Nam],DTR!AK$254)</f>
        <v>0</v>
      </c>
      <c r="AL280" s="201">
        <f>SUMIFS([1]!Data_Loan[Value],[1]!Data_Loan[Index Loan],DTR!$B280,[1]!Data_Loan[TenCongTyID],DTR!$B$1,[1]!Data_Loan[Thang.Nam],DTR!AL$254)</f>
        <v>0</v>
      </c>
    </row>
    <row r="281" spans="1:38" ht="15" hidden="1" customHeight="1" outlineLevel="1">
      <c r="A281" s="200">
        <f t="shared" si="46"/>
        <v>0</v>
      </c>
      <c r="B281" s="329">
        <v>27</v>
      </c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>
        <v>0</v>
      </c>
      <c r="AA281" s="201">
        <f>SUMIFS([1]!Data_Loan[Value],[1]!Data_Loan[Index Loan],DTR!$B281,[1]!Data_Loan[TenCongTyID],DTR!$B$1,[1]!Data_Loan[Thang.Nam],DTR!AA$254)</f>
        <v>0</v>
      </c>
      <c r="AB281" s="201">
        <f>SUMIFS([1]!Data_Loan[Value],[1]!Data_Loan[Index Loan],DTR!$B281,[1]!Data_Loan[TenCongTyID],DTR!$B$1,[1]!Data_Loan[Thang.Nam],DTR!AB$254)</f>
        <v>0</v>
      </c>
      <c r="AC281" s="201">
        <f>SUMIFS([1]!Data_Loan[Value],[1]!Data_Loan[Index Loan],DTR!$B281,[1]!Data_Loan[TenCongTyID],DTR!$B$1,[1]!Data_Loan[Thang.Nam],DTR!AC$254)</f>
        <v>0</v>
      </c>
      <c r="AD281" s="201">
        <f>SUMIFS([1]!Data_Loan[Value],[1]!Data_Loan[Index Loan],DTR!$B281,[1]!Data_Loan[TenCongTyID],DTR!$B$1,[1]!Data_Loan[Thang.Nam],DTR!AD$254)</f>
        <v>0</v>
      </c>
      <c r="AE281" s="201">
        <f>SUMIFS([1]!Data_Loan[Value],[1]!Data_Loan[Index Loan],DTR!$B281,[1]!Data_Loan[TenCongTyID],DTR!$B$1,[1]!Data_Loan[Thang.Nam],DTR!AE$254)</f>
        <v>0</v>
      </c>
      <c r="AF281" s="201">
        <f>SUMIFS([1]!Data_Loan[Value],[1]!Data_Loan[Index Loan],DTR!$B281,[1]!Data_Loan[TenCongTyID],DTR!$B$1,[1]!Data_Loan[Thang.Nam],DTR!AF$254)</f>
        <v>0</v>
      </c>
      <c r="AG281" s="201">
        <f>SUMIFS([1]!Data_Loan[Value],[1]!Data_Loan[Index Loan],DTR!$B281,[1]!Data_Loan[TenCongTyID],DTR!$B$1,[1]!Data_Loan[Thang.Nam],DTR!AG$254)</f>
        <v>0</v>
      </c>
      <c r="AH281" s="201">
        <f>SUMIFS([1]!Data_Loan[Value],[1]!Data_Loan[Index Loan],DTR!$B281,[1]!Data_Loan[TenCongTyID],DTR!$B$1,[1]!Data_Loan[Thang.Nam],DTR!AH$254)</f>
        <v>0</v>
      </c>
      <c r="AI281" s="201">
        <f>SUMIFS([1]!Data_Loan[Value],[1]!Data_Loan[Index Loan],DTR!$B281,[1]!Data_Loan[TenCongTyID],DTR!$B$1,[1]!Data_Loan[Thang.Nam],DTR!AI$254)</f>
        <v>0</v>
      </c>
      <c r="AJ281" s="201">
        <f>SUMIFS([1]!Data_Loan[Value],[1]!Data_Loan[Index Loan],DTR!$B281,[1]!Data_Loan[TenCongTyID],DTR!$B$1,[1]!Data_Loan[Thang.Nam],DTR!AJ$254)</f>
        <v>0</v>
      </c>
      <c r="AK281" s="201">
        <f>SUMIFS([1]!Data_Loan[Value],[1]!Data_Loan[Index Loan],DTR!$B281,[1]!Data_Loan[TenCongTyID],DTR!$B$1,[1]!Data_Loan[Thang.Nam],DTR!AK$254)</f>
        <v>0</v>
      </c>
      <c r="AL281" s="201">
        <f>SUMIFS([1]!Data_Loan[Value],[1]!Data_Loan[Index Loan],DTR!$B281,[1]!Data_Loan[TenCongTyID],DTR!$B$1,[1]!Data_Loan[Thang.Nam],DTR!AL$254)</f>
        <v>0</v>
      </c>
    </row>
    <row r="282" spans="1:38" ht="15" hidden="1" customHeight="1" outlineLevel="1">
      <c r="A282" s="196" t="s">
        <v>349</v>
      </c>
      <c r="B282" s="328">
        <v>28</v>
      </c>
      <c r="C282" s="199">
        <f t="shared" ref="C282:Y282" si="47">SUM(C283:C290)</f>
        <v>0</v>
      </c>
      <c r="D282" s="199">
        <f t="shared" si="47"/>
        <v>0</v>
      </c>
      <c r="E282" s="199">
        <f t="shared" si="47"/>
        <v>0</v>
      </c>
      <c r="F282" s="199">
        <f t="shared" si="47"/>
        <v>0</v>
      </c>
      <c r="G282" s="199">
        <f t="shared" si="47"/>
        <v>0</v>
      </c>
      <c r="H282" s="199">
        <f t="shared" si="47"/>
        <v>0</v>
      </c>
      <c r="I282" s="199">
        <f t="shared" si="47"/>
        <v>0</v>
      </c>
      <c r="J282" s="199">
        <f t="shared" si="47"/>
        <v>0</v>
      </c>
      <c r="K282" s="199">
        <f t="shared" si="47"/>
        <v>0</v>
      </c>
      <c r="L282" s="199">
        <f t="shared" si="47"/>
        <v>0</v>
      </c>
      <c r="M282" s="199">
        <f t="shared" si="47"/>
        <v>0</v>
      </c>
      <c r="N282" s="199">
        <f t="shared" si="47"/>
        <v>107172751116</v>
      </c>
      <c r="O282" s="199">
        <f t="shared" si="47"/>
        <v>108410341946</v>
      </c>
      <c r="P282" s="199">
        <f t="shared" si="47"/>
        <v>104162504168</v>
      </c>
      <c r="Q282" s="199">
        <f t="shared" si="47"/>
        <v>103325726390</v>
      </c>
      <c r="R282" s="199">
        <f t="shared" si="47"/>
        <v>102252755220</v>
      </c>
      <c r="S282" s="199">
        <f t="shared" si="47"/>
        <v>98004917442</v>
      </c>
      <c r="T282" s="199">
        <f t="shared" si="47"/>
        <v>77121791394</v>
      </c>
      <c r="U282" s="199">
        <f t="shared" si="47"/>
        <v>76048820224</v>
      </c>
      <c r="V282" s="199">
        <f t="shared" si="47"/>
        <v>74463510446</v>
      </c>
      <c r="W282" s="199">
        <f t="shared" si="47"/>
        <v>73626732668</v>
      </c>
      <c r="X282" s="199">
        <f t="shared" si="47"/>
        <v>72553761498</v>
      </c>
      <c r="Y282" s="199">
        <f t="shared" si="47"/>
        <v>71031650720</v>
      </c>
      <c r="Z282" s="199">
        <v>69631372942</v>
      </c>
      <c r="AA282" s="199">
        <f>SUMIFS([1]!Data_Loan[Value],[1]!Data_Loan[Index Loan],DTR!$B282,[1]!Data_Loan[TenCongTyID],DTR!$B$1,[1]!Data_Loan[Thang.Nam],DTR!AA$254)</f>
        <v>0</v>
      </c>
      <c r="AB282" s="199">
        <f>SUMIFS([1]!Data_Loan[Value],[1]!Data_Loan[Index Loan],DTR!$B282,[1]!Data_Loan[TenCongTyID],DTR!$B$1,[1]!Data_Loan[Thang.Nam],DTR!AB$254)</f>
        <v>0</v>
      </c>
      <c r="AC282" s="199">
        <f>SUMIFS([1]!Data_Loan[Value],[1]!Data_Loan[Index Loan],DTR!$B282,[1]!Data_Loan[TenCongTyID],DTR!$B$1,[1]!Data_Loan[Thang.Nam],DTR!AC$254)</f>
        <v>0</v>
      </c>
      <c r="AD282" s="199">
        <f>SUMIFS([1]!Data_Loan[Value],[1]!Data_Loan[Index Loan],DTR!$B282,[1]!Data_Loan[TenCongTyID],DTR!$B$1,[1]!Data_Loan[Thang.Nam],DTR!AD$254)</f>
        <v>0</v>
      </c>
      <c r="AE282" s="199">
        <f>SUMIFS([1]!Data_Loan[Value],[1]!Data_Loan[Index Loan],DTR!$B282,[1]!Data_Loan[TenCongTyID],DTR!$B$1,[1]!Data_Loan[Thang.Nam],DTR!AE$254)</f>
        <v>0</v>
      </c>
      <c r="AF282" s="199">
        <f>SUMIFS([1]!Data_Loan[Value],[1]!Data_Loan[Index Loan],DTR!$B282,[1]!Data_Loan[TenCongTyID],DTR!$B$1,[1]!Data_Loan[Thang.Nam],DTR!AF$254)</f>
        <v>0</v>
      </c>
      <c r="AG282" s="199">
        <f>SUMIFS([1]!Data_Loan[Value],[1]!Data_Loan[Index Loan],DTR!$B282,[1]!Data_Loan[TenCongTyID],DTR!$B$1,[1]!Data_Loan[Thang.Nam],DTR!AG$254)</f>
        <v>0</v>
      </c>
      <c r="AH282" s="199">
        <f>SUMIFS([1]!Data_Loan[Value],[1]!Data_Loan[Index Loan],DTR!$B282,[1]!Data_Loan[TenCongTyID],DTR!$B$1,[1]!Data_Loan[Thang.Nam],DTR!AH$254)</f>
        <v>0</v>
      </c>
      <c r="AI282" s="199">
        <f>SUMIFS([1]!Data_Loan[Value],[1]!Data_Loan[Index Loan],DTR!$B282,[1]!Data_Loan[TenCongTyID],DTR!$B$1,[1]!Data_Loan[Thang.Nam],DTR!AI$254)</f>
        <v>0</v>
      </c>
      <c r="AJ282" s="199">
        <f>SUMIFS([1]!Data_Loan[Value],[1]!Data_Loan[Index Loan],DTR!$B282,[1]!Data_Loan[TenCongTyID],DTR!$B$1,[1]!Data_Loan[Thang.Nam],DTR!AJ$254)</f>
        <v>0</v>
      </c>
      <c r="AK282" s="199">
        <f>SUMIFS([1]!Data_Loan[Value],[1]!Data_Loan[Index Loan],DTR!$B282,[1]!Data_Loan[TenCongTyID],DTR!$B$1,[1]!Data_Loan[Thang.Nam],DTR!AK$254)</f>
        <v>0</v>
      </c>
      <c r="AL282" s="199">
        <f>SUMIFS([1]!Data_Loan[Value],[1]!Data_Loan[Index Loan],DTR!$B282,[1]!Data_Loan[TenCongTyID],DTR!$B$1,[1]!Data_Loan[Thang.Nam],DTR!AL$254)</f>
        <v>0</v>
      </c>
    </row>
    <row r="283" spans="1:38" ht="15" hidden="1" customHeight="1" outlineLevel="1">
      <c r="A283" s="200" t="str">
        <f>A265</f>
        <v>ACB</v>
      </c>
      <c r="B283" s="329">
        <v>29</v>
      </c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>
        <v>79950528894</v>
      </c>
      <c r="O283" s="201">
        <v>81965897502</v>
      </c>
      <c r="P283" s="201">
        <v>78495837502</v>
      </c>
      <c r="Q283" s="201">
        <v>78436837502</v>
      </c>
      <c r="R283" s="201">
        <v>78141644110</v>
      </c>
      <c r="S283" s="201">
        <v>74671584110</v>
      </c>
      <c r="T283" s="201">
        <v>54566235840</v>
      </c>
      <c r="U283" s="201">
        <v>54271042448</v>
      </c>
      <c r="V283" s="201">
        <v>51904970448</v>
      </c>
      <c r="W283" s="201">
        <v>51845970448</v>
      </c>
      <c r="X283" s="201">
        <v>51550777056</v>
      </c>
      <c r="Y283" s="201">
        <v>49748205056</v>
      </c>
      <c r="Z283" s="201">
        <v>49125705056</v>
      </c>
      <c r="AA283" s="201">
        <f>SUMIFS([1]!Data_Loan[Value],[1]!Data_Loan[Index Loan],DTR!$B283,[1]!Data_Loan[TenCongTyID],DTR!$B$1,[1]!Data_Loan[Thang.Nam],DTR!AA$254)</f>
        <v>0</v>
      </c>
      <c r="AB283" s="201">
        <f>SUMIFS([1]!Data_Loan[Value],[1]!Data_Loan[Index Loan],DTR!$B283,[1]!Data_Loan[TenCongTyID],DTR!$B$1,[1]!Data_Loan[Thang.Nam],DTR!AB$254)</f>
        <v>0</v>
      </c>
      <c r="AC283" s="201">
        <f>SUMIFS([1]!Data_Loan[Value],[1]!Data_Loan[Index Loan],DTR!$B283,[1]!Data_Loan[TenCongTyID],DTR!$B$1,[1]!Data_Loan[Thang.Nam],DTR!AC$254)</f>
        <v>0</v>
      </c>
      <c r="AD283" s="201">
        <f>SUMIFS([1]!Data_Loan[Value],[1]!Data_Loan[Index Loan],DTR!$B283,[1]!Data_Loan[TenCongTyID],DTR!$B$1,[1]!Data_Loan[Thang.Nam],DTR!AD$254)</f>
        <v>0</v>
      </c>
      <c r="AE283" s="201">
        <f>SUMIFS([1]!Data_Loan[Value],[1]!Data_Loan[Index Loan],DTR!$B283,[1]!Data_Loan[TenCongTyID],DTR!$B$1,[1]!Data_Loan[Thang.Nam],DTR!AE$254)</f>
        <v>0</v>
      </c>
      <c r="AF283" s="201">
        <f>SUMIFS([1]!Data_Loan[Value],[1]!Data_Loan[Index Loan],DTR!$B283,[1]!Data_Loan[TenCongTyID],DTR!$B$1,[1]!Data_Loan[Thang.Nam],DTR!AF$254)</f>
        <v>0</v>
      </c>
      <c r="AG283" s="201">
        <f>SUMIFS([1]!Data_Loan[Value],[1]!Data_Loan[Index Loan],DTR!$B283,[1]!Data_Loan[TenCongTyID],DTR!$B$1,[1]!Data_Loan[Thang.Nam],DTR!AG$254)</f>
        <v>0</v>
      </c>
      <c r="AH283" s="201">
        <f>SUMIFS([1]!Data_Loan[Value],[1]!Data_Loan[Index Loan],DTR!$B283,[1]!Data_Loan[TenCongTyID],DTR!$B$1,[1]!Data_Loan[Thang.Nam],DTR!AH$254)</f>
        <v>0</v>
      </c>
      <c r="AI283" s="201">
        <f>SUMIFS([1]!Data_Loan[Value],[1]!Data_Loan[Index Loan],DTR!$B283,[1]!Data_Loan[TenCongTyID],DTR!$B$1,[1]!Data_Loan[Thang.Nam],DTR!AI$254)</f>
        <v>0</v>
      </c>
      <c r="AJ283" s="201">
        <f>SUMIFS([1]!Data_Loan[Value],[1]!Data_Loan[Index Loan],DTR!$B283,[1]!Data_Loan[TenCongTyID],DTR!$B$1,[1]!Data_Loan[Thang.Nam],DTR!AJ$254)</f>
        <v>0</v>
      </c>
      <c r="AK283" s="201">
        <f>SUMIFS([1]!Data_Loan[Value],[1]!Data_Loan[Index Loan],DTR!$B283,[1]!Data_Loan[TenCongTyID],DTR!$B$1,[1]!Data_Loan[Thang.Nam],DTR!AK$254)</f>
        <v>0</v>
      </c>
      <c r="AL283" s="201">
        <f>SUMIFS([1]!Data_Loan[Value],[1]!Data_Loan[Index Loan],DTR!$B283,[1]!Data_Loan[TenCongTyID],DTR!$B$1,[1]!Data_Loan[Thang.Nam],DTR!AL$254)</f>
        <v>0</v>
      </c>
    </row>
    <row r="284" spans="1:38" ht="15" hidden="1" customHeight="1" outlineLevel="1">
      <c r="A284" s="200" t="str">
        <f>A266</f>
        <v>VietinBank</v>
      </c>
      <c r="B284" s="329">
        <v>30</v>
      </c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>
        <v>1558540000</v>
      </c>
      <c r="W284" s="201">
        <v>1558540000</v>
      </c>
      <c r="X284" s="201">
        <v>1558540000</v>
      </c>
      <c r="Y284" s="201">
        <v>2616779000</v>
      </c>
      <c r="Z284" s="201">
        <v>2616779000</v>
      </c>
      <c r="AA284" s="201">
        <f>SUMIFS([1]!Data_Loan[Value],[1]!Data_Loan[Index Loan],DTR!$B284,[1]!Data_Loan[TenCongTyID],DTR!$B$1,[1]!Data_Loan[Thang.Nam],DTR!AA$254)</f>
        <v>0</v>
      </c>
      <c r="AB284" s="201">
        <f>SUMIFS([1]!Data_Loan[Value],[1]!Data_Loan[Index Loan],DTR!$B284,[1]!Data_Loan[TenCongTyID],DTR!$B$1,[1]!Data_Loan[Thang.Nam],DTR!AB$254)</f>
        <v>0</v>
      </c>
      <c r="AC284" s="201">
        <f>SUMIFS([1]!Data_Loan[Value],[1]!Data_Loan[Index Loan],DTR!$B284,[1]!Data_Loan[TenCongTyID],DTR!$B$1,[1]!Data_Loan[Thang.Nam],DTR!AC$254)</f>
        <v>0</v>
      </c>
      <c r="AD284" s="201">
        <f>SUMIFS([1]!Data_Loan[Value],[1]!Data_Loan[Index Loan],DTR!$B284,[1]!Data_Loan[TenCongTyID],DTR!$B$1,[1]!Data_Loan[Thang.Nam],DTR!AD$254)</f>
        <v>0</v>
      </c>
      <c r="AE284" s="201">
        <f>SUMIFS([1]!Data_Loan[Value],[1]!Data_Loan[Index Loan],DTR!$B284,[1]!Data_Loan[TenCongTyID],DTR!$B$1,[1]!Data_Loan[Thang.Nam],DTR!AE$254)</f>
        <v>0</v>
      </c>
      <c r="AF284" s="201">
        <f>SUMIFS([1]!Data_Loan[Value],[1]!Data_Loan[Index Loan],DTR!$B284,[1]!Data_Loan[TenCongTyID],DTR!$B$1,[1]!Data_Loan[Thang.Nam],DTR!AF$254)</f>
        <v>0</v>
      </c>
      <c r="AG284" s="201">
        <f>SUMIFS([1]!Data_Loan[Value],[1]!Data_Loan[Index Loan],DTR!$B284,[1]!Data_Loan[TenCongTyID],DTR!$B$1,[1]!Data_Loan[Thang.Nam],DTR!AG$254)</f>
        <v>0</v>
      </c>
      <c r="AH284" s="201">
        <f>SUMIFS([1]!Data_Loan[Value],[1]!Data_Loan[Index Loan],DTR!$B284,[1]!Data_Loan[TenCongTyID],DTR!$B$1,[1]!Data_Loan[Thang.Nam],DTR!AH$254)</f>
        <v>0</v>
      </c>
      <c r="AI284" s="201">
        <f>SUMIFS([1]!Data_Loan[Value],[1]!Data_Loan[Index Loan],DTR!$B284,[1]!Data_Loan[TenCongTyID],DTR!$B$1,[1]!Data_Loan[Thang.Nam],DTR!AI$254)</f>
        <v>0</v>
      </c>
      <c r="AJ284" s="201">
        <f>SUMIFS([1]!Data_Loan[Value],[1]!Data_Loan[Index Loan],DTR!$B284,[1]!Data_Loan[TenCongTyID],DTR!$B$1,[1]!Data_Loan[Thang.Nam],DTR!AJ$254)</f>
        <v>0</v>
      </c>
      <c r="AK284" s="201">
        <f>SUMIFS([1]!Data_Loan[Value],[1]!Data_Loan[Index Loan],DTR!$B284,[1]!Data_Loan[TenCongTyID],DTR!$B$1,[1]!Data_Loan[Thang.Nam],DTR!AK$254)</f>
        <v>0</v>
      </c>
      <c r="AL284" s="201">
        <f>SUMIFS([1]!Data_Loan[Value],[1]!Data_Loan[Index Loan],DTR!$B284,[1]!Data_Loan[TenCongTyID],DTR!$B$1,[1]!Data_Loan[Thang.Nam],DTR!AL$254)</f>
        <v>0</v>
      </c>
    </row>
    <row r="285" spans="1:38" ht="15" hidden="1" customHeight="1" outlineLevel="1">
      <c r="A285" s="200" t="str">
        <f>A267</f>
        <v>Vietcombank</v>
      </c>
      <c r="B285" s="329">
        <v>31</v>
      </c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>
        <v>0</v>
      </c>
      <c r="AA285" s="201">
        <f>SUMIFS([1]!Data_Loan[Value],[1]!Data_Loan[Index Loan],DTR!$B285,[1]!Data_Loan[TenCongTyID],DTR!$B$1,[1]!Data_Loan[Thang.Nam],DTR!AA$254)</f>
        <v>0</v>
      </c>
      <c r="AB285" s="201">
        <f>SUMIFS([1]!Data_Loan[Value],[1]!Data_Loan[Index Loan],DTR!$B285,[1]!Data_Loan[TenCongTyID],DTR!$B$1,[1]!Data_Loan[Thang.Nam],DTR!AB$254)</f>
        <v>0</v>
      </c>
      <c r="AC285" s="201">
        <f>SUMIFS([1]!Data_Loan[Value],[1]!Data_Loan[Index Loan],DTR!$B285,[1]!Data_Loan[TenCongTyID],DTR!$B$1,[1]!Data_Loan[Thang.Nam],DTR!AC$254)</f>
        <v>0</v>
      </c>
      <c r="AD285" s="201">
        <f>SUMIFS([1]!Data_Loan[Value],[1]!Data_Loan[Index Loan],DTR!$B285,[1]!Data_Loan[TenCongTyID],DTR!$B$1,[1]!Data_Loan[Thang.Nam],DTR!AD$254)</f>
        <v>0</v>
      </c>
      <c r="AE285" s="201">
        <f>SUMIFS([1]!Data_Loan[Value],[1]!Data_Loan[Index Loan],DTR!$B285,[1]!Data_Loan[TenCongTyID],DTR!$B$1,[1]!Data_Loan[Thang.Nam],DTR!AE$254)</f>
        <v>0</v>
      </c>
      <c r="AF285" s="201">
        <f>SUMIFS([1]!Data_Loan[Value],[1]!Data_Loan[Index Loan],DTR!$B285,[1]!Data_Loan[TenCongTyID],DTR!$B$1,[1]!Data_Loan[Thang.Nam],DTR!AF$254)</f>
        <v>0</v>
      </c>
      <c r="AG285" s="201">
        <f>SUMIFS([1]!Data_Loan[Value],[1]!Data_Loan[Index Loan],DTR!$B285,[1]!Data_Loan[TenCongTyID],DTR!$B$1,[1]!Data_Loan[Thang.Nam],DTR!AG$254)</f>
        <v>0</v>
      </c>
      <c r="AH285" s="201">
        <f>SUMIFS([1]!Data_Loan[Value],[1]!Data_Loan[Index Loan],DTR!$B285,[1]!Data_Loan[TenCongTyID],DTR!$B$1,[1]!Data_Loan[Thang.Nam],DTR!AH$254)</f>
        <v>0</v>
      </c>
      <c r="AI285" s="201">
        <f>SUMIFS([1]!Data_Loan[Value],[1]!Data_Loan[Index Loan],DTR!$B285,[1]!Data_Loan[TenCongTyID],DTR!$B$1,[1]!Data_Loan[Thang.Nam],DTR!AI$254)</f>
        <v>0</v>
      </c>
      <c r="AJ285" s="201">
        <f>SUMIFS([1]!Data_Loan[Value],[1]!Data_Loan[Index Loan],DTR!$B285,[1]!Data_Loan[TenCongTyID],DTR!$B$1,[1]!Data_Loan[Thang.Nam],DTR!AJ$254)</f>
        <v>0</v>
      </c>
      <c r="AK285" s="201">
        <f>SUMIFS([1]!Data_Loan[Value],[1]!Data_Loan[Index Loan],DTR!$B285,[1]!Data_Loan[TenCongTyID],DTR!$B$1,[1]!Data_Loan[Thang.Nam],DTR!AK$254)</f>
        <v>0</v>
      </c>
      <c r="AL285" s="201">
        <f>SUMIFS([1]!Data_Loan[Value],[1]!Data_Loan[Index Loan],DTR!$B285,[1]!Data_Loan[TenCongTyID],DTR!$B$1,[1]!Data_Loan[Thang.Nam],DTR!AL$254)</f>
        <v>0</v>
      </c>
    </row>
    <row r="286" spans="1:38" ht="15" hidden="1" customHeight="1" outlineLevel="1">
      <c r="A286" s="200" t="s">
        <v>344</v>
      </c>
      <c r="B286" s="329">
        <v>32</v>
      </c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>
        <v>0</v>
      </c>
      <c r="AA286" s="201">
        <f>SUMIFS([1]!Data_Loan[Value],[1]!Data_Loan[Index Loan],DTR!$B286,[1]!Data_Loan[TenCongTyID],DTR!$B$1,[1]!Data_Loan[Thang.Nam],DTR!AA$254)</f>
        <v>0</v>
      </c>
      <c r="AB286" s="201">
        <f>SUMIFS([1]!Data_Loan[Value],[1]!Data_Loan[Index Loan],DTR!$B286,[1]!Data_Loan[TenCongTyID],DTR!$B$1,[1]!Data_Loan[Thang.Nam],DTR!AB$254)</f>
        <v>0</v>
      </c>
      <c r="AC286" s="201">
        <f>SUMIFS([1]!Data_Loan[Value],[1]!Data_Loan[Index Loan],DTR!$B286,[1]!Data_Loan[TenCongTyID],DTR!$B$1,[1]!Data_Loan[Thang.Nam],DTR!AC$254)</f>
        <v>0</v>
      </c>
      <c r="AD286" s="201">
        <f>SUMIFS([1]!Data_Loan[Value],[1]!Data_Loan[Index Loan],DTR!$B286,[1]!Data_Loan[TenCongTyID],DTR!$B$1,[1]!Data_Loan[Thang.Nam],DTR!AD$254)</f>
        <v>0</v>
      </c>
      <c r="AE286" s="201">
        <f>SUMIFS([1]!Data_Loan[Value],[1]!Data_Loan[Index Loan],DTR!$B286,[1]!Data_Loan[TenCongTyID],DTR!$B$1,[1]!Data_Loan[Thang.Nam],DTR!AE$254)</f>
        <v>0</v>
      </c>
      <c r="AF286" s="201">
        <f>SUMIFS([1]!Data_Loan[Value],[1]!Data_Loan[Index Loan],DTR!$B286,[1]!Data_Loan[TenCongTyID],DTR!$B$1,[1]!Data_Loan[Thang.Nam],DTR!AF$254)</f>
        <v>0</v>
      </c>
      <c r="AG286" s="201">
        <f>SUMIFS([1]!Data_Loan[Value],[1]!Data_Loan[Index Loan],DTR!$B286,[1]!Data_Loan[TenCongTyID],DTR!$B$1,[1]!Data_Loan[Thang.Nam],DTR!AG$254)</f>
        <v>0</v>
      </c>
      <c r="AH286" s="201">
        <f>SUMIFS([1]!Data_Loan[Value],[1]!Data_Loan[Index Loan],DTR!$B286,[1]!Data_Loan[TenCongTyID],DTR!$B$1,[1]!Data_Loan[Thang.Nam],DTR!AH$254)</f>
        <v>0</v>
      </c>
      <c r="AI286" s="201">
        <f>SUMIFS([1]!Data_Loan[Value],[1]!Data_Loan[Index Loan],DTR!$B286,[1]!Data_Loan[TenCongTyID],DTR!$B$1,[1]!Data_Loan[Thang.Nam],DTR!AI$254)</f>
        <v>0</v>
      </c>
      <c r="AJ286" s="201">
        <f>SUMIFS([1]!Data_Loan[Value],[1]!Data_Loan[Index Loan],DTR!$B286,[1]!Data_Loan[TenCongTyID],DTR!$B$1,[1]!Data_Loan[Thang.Nam],DTR!AJ$254)</f>
        <v>0</v>
      </c>
      <c r="AK286" s="201">
        <f>SUMIFS([1]!Data_Loan[Value],[1]!Data_Loan[Index Loan],DTR!$B286,[1]!Data_Loan[TenCongTyID],DTR!$B$1,[1]!Data_Loan[Thang.Nam],DTR!AK$254)</f>
        <v>0</v>
      </c>
      <c r="AL286" s="201">
        <f>SUMIFS([1]!Data_Loan[Value],[1]!Data_Loan[Index Loan],DTR!$B286,[1]!Data_Loan[TenCongTyID],DTR!$B$1,[1]!Data_Loan[Thang.Nam],DTR!AL$254)</f>
        <v>0</v>
      </c>
    </row>
    <row r="287" spans="1:38" ht="15" hidden="1" customHeight="1" outlineLevel="1">
      <c r="A287" s="200" t="str">
        <f>A269</f>
        <v>Standard Chartered</v>
      </c>
      <c r="B287" s="329">
        <v>33</v>
      </c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>
        <v>0</v>
      </c>
      <c r="AA287" s="201">
        <f>SUMIFS([1]!Data_Loan[Value],[1]!Data_Loan[Index Loan],DTR!$B287,[1]!Data_Loan[TenCongTyID],DTR!$B$1,[1]!Data_Loan[Thang.Nam],DTR!AA$254)</f>
        <v>0</v>
      </c>
      <c r="AB287" s="201">
        <f>SUMIFS([1]!Data_Loan[Value],[1]!Data_Loan[Index Loan],DTR!$B287,[1]!Data_Loan[TenCongTyID],DTR!$B$1,[1]!Data_Loan[Thang.Nam],DTR!AB$254)</f>
        <v>0</v>
      </c>
      <c r="AC287" s="201">
        <f>SUMIFS([1]!Data_Loan[Value],[1]!Data_Loan[Index Loan],DTR!$B287,[1]!Data_Loan[TenCongTyID],DTR!$B$1,[1]!Data_Loan[Thang.Nam],DTR!AC$254)</f>
        <v>0</v>
      </c>
      <c r="AD287" s="201">
        <f>SUMIFS([1]!Data_Loan[Value],[1]!Data_Loan[Index Loan],DTR!$B287,[1]!Data_Loan[TenCongTyID],DTR!$B$1,[1]!Data_Loan[Thang.Nam],DTR!AD$254)</f>
        <v>0</v>
      </c>
      <c r="AE287" s="201">
        <f>SUMIFS([1]!Data_Loan[Value],[1]!Data_Loan[Index Loan],DTR!$B287,[1]!Data_Loan[TenCongTyID],DTR!$B$1,[1]!Data_Loan[Thang.Nam],DTR!AE$254)</f>
        <v>0</v>
      </c>
      <c r="AF287" s="201">
        <f>SUMIFS([1]!Data_Loan[Value],[1]!Data_Loan[Index Loan],DTR!$B287,[1]!Data_Loan[TenCongTyID],DTR!$B$1,[1]!Data_Loan[Thang.Nam],DTR!AF$254)</f>
        <v>0</v>
      </c>
      <c r="AG287" s="201">
        <f>SUMIFS([1]!Data_Loan[Value],[1]!Data_Loan[Index Loan],DTR!$B287,[1]!Data_Loan[TenCongTyID],DTR!$B$1,[1]!Data_Loan[Thang.Nam],DTR!AG$254)</f>
        <v>0</v>
      </c>
      <c r="AH287" s="201">
        <f>SUMIFS([1]!Data_Loan[Value],[1]!Data_Loan[Index Loan],DTR!$B287,[1]!Data_Loan[TenCongTyID],DTR!$B$1,[1]!Data_Loan[Thang.Nam],DTR!AH$254)</f>
        <v>0</v>
      </c>
      <c r="AI287" s="201">
        <f>SUMIFS([1]!Data_Loan[Value],[1]!Data_Loan[Index Loan],DTR!$B287,[1]!Data_Loan[TenCongTyID],DTR!$B$1,[1]!Data_Loan[Thang.Nam],DTR!AI$254)</f>
        <v>0</v>
      </c>
      <c r="AJ287" s="201">
        <f>SUMIFS([1]!Data_Loan[Value],[1]!Data_Loan[Index Loan],DTR!$B287,[1]!Data_Loan[TenCongTyID],DTR!$B$1,[1]!Data_Loan[Thang.Nam],DTR!AJ$254)</f>
        <v>0</v>
      </c>
      <c r="AK287" s="201">
        <f>SUMIFS([1]!Data_Loan[Value],[1]!Data_Loan[Index Loan],DTR!$B287,[1]!Data_Loan[TenCongTyID],DTR!$B$1,[1]!Data_Loan[Thang.Nam],DTR!AK$254)</f>
        <v>0</v>
      </c>
      <c r="AL287" s="201">
        <f>SUMIFS([1]!Data_Loan[Value],[1]!Data_Loan[Index Loan],DTR!$B287,[1]!Data_Loan[TenCongTyID],DTR!$B$1,[1]!Data_Loan[Thang.Nam],DTR!AL$254)</f>
        <v>0</v>
      </c>
    </row>
    <row r="288" spans="1:38" ht="15" hidden="1" customHeight="1" outlineLevel="1">
      <c r="A288" s="200" t="s">
        <v>346</v>
      </c>
      <c r="B288" s="329">
        <v>34</v>
      </c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>
        <v>27222222222</v>
      </c>
      <c r="O288" s="201">
        <v>26444444444</v>
      </c>
      <c r="P288" s="201">
        <v>25666666666</v>
      </c>
      <c r="Q288" s="201">
        <v>24888888888</v>
      </c>
      <c r="R288" s="201">
        <v>24111111110</v>
      </c>
      <c r="S288" s="201">
        <v>23333333332</v>
      </c>
      <c r="T288" s="201">
        <v>22555555554</v>
      </c>
      <c r="U288" s="201">
        <v>21777777776</v>
      </c>
      <c r="V288" s="201">
        <v>20999999998</v>
      </c>
      <c r="W288" s="201">
        <v>20222222220</v>
      </c>
      <c r="X288" s="201">
        <v>19444444442</v>
      </c>
      <c r="Y288" s="201">
        <v>18666666664</v>
      </c>
      <c r="Z288" s="201">
        <v>17888888886</v>
      </c>
      <c r="AA288" s="201">
        <f>SUMIFS([1]!Data_Loan[Value],[1]!Data_Loan[Index Loan],DTR!$B288,[1]!Data_Loan[TenCongTyID],DTR!$B$1,[1]!Data_Loan[Thang.Nam],DTR!AA$254)</f>
        <v>0</v>
      </c>
      <c r="AB288" s="201">
        <f>SUMIFS([1]!Data_Loan[Value],[1]!Data_Loan[Index Loan],DTR!$B288,[1]!Data_Loan[TenCongTyID],DTR!$B$1,[1]!Data_Loan[Thang.Nam],DTR!AB$254)</f>
        <v>0</v>
      </c>
      <c r="AC288" s="201">
        <f>SUMIFS([1]!Data_Loan[Value],[1]!Data_Loan[Index Loan],DTR!$B288,[1]!Data_Loan[TenCongTyID],DTR!$B$1,[1]!Data_Loan[Thang.Nam],DTR!AC$254)</f>
        <v>0</v>
      </c>
      <c r="AD288" s="201">
        <f>SUMIFS([1]!Data_Loan[Value],[1]!Data_Loan[Index Loan],DTR!$B288,[1]!Data_Loan[TenCongTyID],DTR!$B$1,[1]!Data_Loan[Thang.Nam],DTR!AD$254)</f>
        <v>0</v>
      </c>
      <c r="AE288" s="201">
        <f>SUMIFS([1]!Data_Loan[Value],[1]!Data_Loan[Index Loan],DTR!$B288,[1]!Data_Loan[TenCongTyID],DTR!$B$1,[1]!Data_Loan[Thang.Nam],DTR!AE$254)</f>
        <v>0</v>
      </c>
      <c r="AF288" s="201">
        <f>SUMIFS([1]!Data_Loan[Value],[1]!Data_Loan[Index Loan],DTR!$B288,[1]!Data_Loan[TenCongTyID],DTR!$B$1,[1]!Data_Loan[Thang.Nam],DTR!AF$254)</f>
        <v>0</v>
      </c>
      <c r="AG288" s="201">
        <f>SUMIFS([1]!Data_Loan[Value],[1]!Data_Loan[Index Loan],DTR!$B288,[1]!Data_Loan[TenCongTyID],DTR!$B$1,[1]!Data_Loan[Thang.Nam],DTR!AG$254)</f>
        <v>0</v>
      </c>
      <c r="AH288" s="201">
        <f>SUMIFS([1]!Data_Loan[Value],[1]!Data_Loan[Index Loan],DTR!$B288,[1]!Data_Loan[TenCongTyID],DTR!$B$1,[1]!Data_Loan[Thang.Nam],DTR!AH$254)</f>
        <v>0</v>
      </c>
      <c r="AI288" s="201">
        <f>SUMIFS([1]!Data_Loan[Value],[1]!Data_Loan[Index Loan],DTR!$B288,[1]!Data_Loan[TenCongTyID],DTR!$B$1,[1]!Data_Loan[Thang.Nam],DTR!AI$254)</f>
        <v>0</v>
      </c>
      <c r="AJ288" s="201">
        <f>SUMIFS([1]!Data_Loan[Value],[1]!Data_Loan[Index Loan],DTR!$B288,[1]!Data_Loan[TenCongTyID],DTR!$B$1,[1]!Data_Loan[Thang.Nam],DTR!AJ$254)</f>
        <v>0</v>
      </c>
      <c r="AK288" s="201">
        <f>SUMIFS([1]!Data_Loan[Value],[1]!Data_Loan[Index Loan],DTR!$B288,[1]!Data_Loan[TenCongTyID],DTR!$B$1,[1]!Data_Loan[Thang.Nam],DTR!AK$254)</f>
        <v>0</v>
      </c>
      <c r="AL288" s="201">
        <f>SUMIFS([1]!Data_Loan[Value],[1]!Data_Loan[Index Loan],DTR!$B288,[1]!Data_Loan[TenCongTyID],DTR!$B$1,[1]!Data_Loan[Thang.Nam],DTR!AL$254)</f>
        <v>0</v>
      </c>
    </row>
    <row r="289" spans="1:38" ht="15" hidden="1" customHeight="1" outlineLevel="1">
      <c r="A289" s="200" t="s">
        <v>347</v>
      </c>
      <c r="B289" s="329">
        <v>35</v>
      </c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>
        <v>0</v>
      </c>
      <c r="AA289" s="201">
        <f>SUMIFS([1]!Data_Loan[Value],[1]!Data_Loan[Index Loan],DTR!$B289,[1]!Data_Loan[TenCongTyID],DTR!$B$1,[1]!Data_Loan[Thang.Nam],DTR!AA$254)</f>
        <v>0</v>
      </c>
      <c r="AB289" s="201">
        <f>SUMIFS([1]!Data_Loan[Value],[1]!Data_Loan[Index Loan],DTR!$B289,[1]!Data_Loan[TenCongTyID],DTR!$B$1,[1]!Data_Loan[Thang.Nam],DTR!AB$254)</f>
        <v>0</v>
      </c>
      <c r="AC289" s="201">
        <f>SUMIFS([1]!Data_Loan[Value],[1]!Data_Loan[Index Loan],DTR!$B289,[1]!Data_Loan[TenCongTyID],DTR!$B$1,[1]!Data_Loan[Thang.Nam],DTR!AC$254)</f>
        <v>0</v>
      </c>
      <c r="AD289" s="201">
        <f>SUMIFS([1]!Data_Loan[Value],[1]!Data_Loan[Index Loan],DTR!$B289,[1]!Data_Loan[TenCongTyID],DTR!$B$1,[1]!Data_Loan[Thang.Nam],DTR!AD$254)</f>
        <v>0</v>
      </c>
      <c r="AE289" s="201">
        <f>SUMIFS([1]!Data_Loan[Value],[1]!Data_Loan[Index Loan],DTR!$B289,[1]!Data_Loan[TenCongTyID],DTR!$B$1,[1]!Data_Loan[Thang.Nam],DTR!AE$254)</f>
        <v>0</v>
      </c>
      <c r="AF289" s="201">
        <f>SUMIFS([1]!Data_Loan[Value],[1]!Data_Loan[Index Loan],DTR!$B289,[1]!Data_Loan[TenCongTyID],DTR!$B$1,[1]!Data_Loan[Thang.Nam],DTR!AF$254)</f>
        <v>0</v>
      </c>
      <c r="AG289" s="201">
        <f>SUMIFS([1]!Data_Loan[Value],[1]!Data_Loan[Index Loan],DTR!$B289,[1]!Data_Loan[TenCongTyID],DTR!$B$1,[1]!Data_Loan[Thang.Nam],DTR!AG$254)</f>
        <v>0</v>
      </c>
      <c r="AH289" s="201">
        <f>SUMIFS([1]!Data_Loan[Value],[1]!Data_Loan[Index Loan],DTR!$B289,[1]!Data_Loan[TenCongTyID],DTR!$B$1,[1]!Data_Loan[Thang.Nam],DTR!AH$254)</f>
        <v>0</v>
      </c>
      <c r="AI289" s="201">
        <f>SUMIFS([1]!Data_Loan[Value],[1]!Data_Loan[Index Loan],DTR!$B289,[1]!Data_Loan[TenCongTyID],DTR!$B$1,[1]!Data_Loan[Thang.Nam],DTR!AI$254)</f>
        <v>0</v>
      </c>
      <c r="AJ289" s="201">
        <f>SUMIFS([1]!Data_Loan[Value],[1]!Data_Loan[Index Loan],DTR!$B289,[1]!Data_Loan[TenCongTyID],DTR!$B$1,[1]!Data_Loan[Thang.Nam],DTR!AJ$254)</f>
        <v>0</v>
      </c>
      <c r="AK289" s="201">
        <f>SUMIFS([1]!Data_Loan[Value],[1]!Data_Loan[Index Loan],DTR!$B289,[1]!Data_Loan[TenCongTyID],DTR!$B$1,[1]!Data_Loan[Thang.Nam],DTR!AK$254)</f>
        <v>0</v>
      </c>
      <c r="AL289" s="201">
        <f>SUMIFS([1]!Data_Loan[Value],[1]!Data_Loan[Index Loan],DTR!$B289,[1]!Data_Loan[TenCongTyID],DTR!$B$1,[1]!Data_Loan[Thang.Nam],DTR!AL$254)</f>
        <v>0</v>
      </c>
    </row>
    <row r="290" spans="1:38" ht="15" hidden="1" customHeight="1" outlineLevel="1">
      <c r="B290" s="329">
        <v>36</v>
      </c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>
        <v>0</v>
      </c>
      <c r="AA290" s="201">
        <f>SUMIFS([1]!Data_Loan[Value],[1]!Data_Loan[Index Loan],DTR!$B290,[1]!Data_Loan[TenCongTyID],DTR!$B$1,[1]!Data_Loan[Thang.Nam],DTR!AA$254)</f>
        <v>0</v>
      </c>
      <c r="AB290" s="201">
        <f>SUMIFS([1]!Data_Loan[Value],[1]!Data_Loan[Index Loan],DTR!$B290,[1]!Data_Loan[TenCongTyID],DTR!$B$1,[1]!Data_Loan[Thang.Nam],DTR!AB$254)</f>
        <v>0</v>
      </c>
      <c r="AC290" s="201">
        <f>SUMIFS([1]!Data_Loan[Value],[1]!Data_Loan[Index Loan],DTR!$B290,[1]!Data_Loan[TenCongTyID],DTR!$B$1,[1]!Data_Loan[Thang.Nam],DTR!AC$254)</f>
        <v>0</v>
      </c>
      <c r="AD290" s="201">
        <f>SUMIFS([1]!Data_Loan[Value],[1]!Data_Loan[Index Loan],DTR!$B290,[1]!Data_Loan[TenCongTyID],DTR!$B$1,[1]!Data_Loan[Thang.Nam],DTR!AD$254)</f>
        <v>0</v>
      </c>
      <c r="AE290" s="201">
        <f>SUMIFS([1]!Data_Loan[Value],[1]!Data_Loan[Index Loan],DTR!$B290,[1]!Data_Loan[TenCongTyID],DTR!$B$1,[1]!Data_Loan[Thang.Nam],DTR!AE$254)</f>
        <v>0</v>
      </c>
      <c r="AF290" s="201">
        <f>SUMIFS([1]!Data_Loan[Value],[1]!Data_Loan[Index Loan],DTR!$B290,[1]!Data_Loan[TenCongTyID],DTR!$B$1,[1]!Data_Loan[Thang.Nam],DTR!AF$254)</f>
        <v>0</v>
      </c>
      <c r="AG290" s="201">
        <f>SUMIFS([1]!Data_Loan[Value],[1]!Data_Loan[Index Loan],DTR!$B290,[1]!Data_Loan[TenCongTyID],DTR!$B$1,[1]!Data_Loan[Thang.Nam],DTR!AG$254)</f>
        <v>0</v>
      </c>
      <c r="AH290" s="201">
        <f>SUMIFS([1]!Data_Loan[Value],[1]!Data_Loan[Index Loan],DTR!$B290,[1]!Data_Loan[TenCongTyID],DTR!$B$1,[1]!Data_Loan[Thang.Nam],DTR!AH$254)</f>
        <v>0</v>
      </c>
      <c r="AI290" s="201">
        <f>SUMIFS([1]!Data_Loan[Value],[1]!Data_Loan[Index Loan],DTR!$B290,[1]!Data_Loan[TenCongTyID],DTR!$B$1,[1]!Data_Loan[Thang.Nam],DTR!AI$254)</f>
        <v>0</v>
      </c>
      <c r="AJ290" s="201">
        <f>SUMIFS([1]!Data_Loan[Value],[1]!Data_Loan[Index Loan],DTR!$B290,[1]!Data_Loan[TenCongTyID],DTR!$B$1,[1]!Data_Loan[Thang.Nam],DTR!AJ$254)</f>
        <v>0</v>
      </c>
      <c r="AK290" s="201">
        <f>SUMIFS([1]!Data_Loan[Value],[1]!Data_Loan[Index Loan],DTR!$B290,[1]!Data_Loan[TenCongTyID],DTR!$B$1,[1]!Data_Loan[Thang.Nam],DTR!AK$254)</f>
        <v>0</v>
      </c>
      <c r="AL290" s="201">
        <f>SUMIFS([1]!Data_Loan[Value],[1]!Data_Loan[Index Loan],DTR!$B290,[1]!Data_Loan[TenCongTyID],DTR!$B$1,[1]!Data_Loan[Thang.Nam],DTR!AL$254)</f>
        <v>0</v>
      </c>
    </row>
    <row r="291" spans="1:38" ht="15" hidden="1" customHeight="1" outlineLevel="1">
      <c r="A291" s="202" t="s">
        <v>350</v>
      </c>
      <c r="B291" s="330">
        <v>37</v>
      </c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>
        <f>(V283*V292+V284*V293)/(V283+V284)</f>
        <v>7.1912545585562551E-2</v>
      </c>
      <c r="W291" s="201">
        <f>(W283*W292+W284*W293)/(W283+W284)</f>
        <v>7.1708163226864963E-2</v>
      </c>
      <c r="X291" s="201">
        <f>(X283*X292+X284*X293)/(X283+X284)</f>
        <v>6.9765232906556632E-2</v>
      </c>
      <c r="Y291" s="201">
        <f>(Y283*Y292+Y284*Y293)/(Y283+Y284)</f>
        <v>6.96501965324689E-2</v>
      </c>
      <c r="Z291" s="201">
        <v>0</v>
      </c>
      <c r="AA291" s="201">
        <f>SUMIFS([1]!Data_Loan[Value],[1]!Data_Loan[Index Loan],DTR!$B291,[1]!Data_Loan[TenCongTyID],DTR!$B$1,[1]!Data_Loan[Thang.Nam],DTR!AA$254)</f>
        <v>0</v>
      </c>
      <c r="AB291" s="201">
        <f>SUMIFS([1]!Data_Loan[Value],[1]!Data_Loan[Index Loan],DTR!$B291,[1]!Data_Loan[TenCongTyID],DTR!$B$1,[1]!Data_Loan[Thang.Nam],DTR!AB$254)</f>
        <v>0</v>
      </c>
      <c r="AC291" s="201">
        <f>SUMIFS([1]!Data_Loan[Value],[1]!Data_Loan[Index Loan],DTR!$B291,[1]!Data_Loan[TenCongTyID],DTR!$B$1,[1]!Data_Loan[Thang.Nam],DTR!AC$254)</f>
        <v>0</v>
      </c>
      <c r="AD291" s="201">
        <f>SUMIFS([1]!Data_Loan[Value],[1]!Data_Loan[Index Loan],DTR!$B291,[1]!Data_Loan[TenCongTyID],DTR!$B$1,[1]!Data_Loan[Thang.Nam],DTR!AD$254)</f>
        <v>0</v>
      </c>
      <c r="AE291" s="201">
        <f>SUMIFS([1]!Data_Loan[Value],[1]!Data_Loan[Index Loan],DTR!$B291,[1]!Data_Loan[TenCongTyID],DTR!$B$1,[1]!Data_Loan[Thang.Nam],DTR!AE$254)</f>
        <v>0</v>
      </c>
      <c r="AF291" s="201">
        <f>SUMIFS([1]!Data_Loan[Value],[1]!Data_Loan[Index Loan],DTR!$B291,[1]!Data_Loan[TenCongTyID],DTR!$B$1,[1]!Data_Loan[Thang.Nam],DTR!AF$254)</f>
        <v>0</v>
      </c>
      <c r="AG291" s="201">
        <f>SUMIFS([1]!Data_Loan[Value],[1]!Data_Loan[Index Loan],DTR!$B291,[1]!Data_Loan[TenCongTyID],DTR!$B$1,[1]!Data_Loan[Thang.Nam],DTR!AG$254)</f>
        <v>0</v>
      </c>
      <c r="AH291" s="201">
        <f>SUMIFS([1]!Data_Loan[Value],[1]!Data_Loan[Index Loan],DTR!$B291,[1]!Data_Loan[TenCongTyID],DTR!$B$1,[1]!Data_Loan[Thang.Nam],DTR!AH$254)</f>
        <v>0</v>
      </c>
      <c r="AI291" s="201">
        <f>SUMIFS([1]!Data_Loan[Value],[1]!Data_Loan[Index Loan],DTR!$B291,[1]!Data_Loan[TenCongTyID],DTR!$B$1,[1]!Data_Loan[Thang.Nam],DTR!AI$254)</f>
        <v>0</v>
      </c>
      <c r="AJ291" s="201">
        <f>SUMIFS([1]!Data_Loan[Value],[1]!Data_Loan[Index Loan],DTR!$B291,[1]!Data_Loan[TenCongTyID],DTR!$B$1,[1]!Data_Loan[Thang.Nam],DTR!AJ$254)</f>
        <v>0</v>
      </c>
      <c r="AK291" s="201">
        <f>SUMIFS([1]!Data_Loan[Value],[1]!Data_Loan[Index Loan],DTR!$B291,[1]!Data_Loan[TenCongTyID],DTR!$B$1,[1]!Data_Loan[Thang.Nam],DTR!AK$254)</f>
        <v>0</v>
      </c>
      <c r="AL291" s="201">
        <f>SUMIFS([1]!Data_Loan[Value],[1]!Data_Loan[Index Loan],DTR!$B291,[1]!Data_Loan[TenCongTyID],DTR!$B$1,[1]!Data_Loan[Thang.Nam],DTR!AL$254)</f>
        <v>0</v>
      </c>
    </row>
    <row r="292" spans="1:38" ht="15" hidden="1" customHeight="1" outlineLevel="1">
      <c r="A292" s="200" t="str">
        <f>A283</f>
        <v>ACB</v>
      </c>
      <c r="B292" s="329">
        <v>38</v>
      </c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>
        <v>7.1999999999999995E-2</v>
      </c>
      <c r="W292" s="201">
        <v>7.1999999999999995E-2</v>
      </c>
      <c r="X292" s="201">
        <v>7.0000000000000007E-2</v>
      </c>
      <c r="Y292" s="201">
        <v>7.0000000000000007E-2</v>
      </c>
      <c r="Z292" s="201">
        <v>0</v>
      </c>
      <c r="AA292" s="201">
        <f>SUMIFS([1]!Data_Loan[Value],[1]!Data_Loan[Index Loan],DTR!$B292,[1]!Data_Loan[TenCongTyID],DTR!$B$1,[1]!Data_Loan[Thang.Nam],DTR!AA$254)</f>
        <v>0</v>
      </c>
      <c r="AB292" s="201">
        <f>SUMIFS([1]!Data_Loan[Value],[1]!Data_Loan[Index Loan],DTR!$B292,[1]!Data_Loan[TenCongTyID],DTR!$B$1,[1]!Data_Loan[Thang.Nam],DTR!AB$254)</f>
        <v>0</v>
      </c>
      <c r="AC292" s="201">
        <f>SUMIFS([1]!Data_Loan[Value],[1]!Data_Loan[Index Loan],DTR!$B292,[1]!Data_Loan[TenCongTyID],DTR!$B$1,[1]!Data_Loan[Thang.Nam],DTR!AC$254)</f>
        <v>0</v>
      </c>
      <c r="AD292" s="201">
        <f>SUMIFS([1]!Data_Loan[Value],[1]!Data_Loan[Index Loan],DTR!$B292,[1]!Data_Loan[TenCongTyID],DTR!$B$1,[1]!Data_Loan[Thang.Nam],DTR!AD$254)</f>
        <v>0</v>
      </c>
      <c r="AE292" s="201">
        <f>SUMIFS([1]!Data_Loan[Value],[1]!Data_Loan[Index Loan],DTR!$B292,[1]!Data_Loan[TenCongTyID],DTR!$B$1,[1]!Data_Loan[Thang.Nam],DTR!AE$254)</f>
        <v>0</v>
      </c>
      <c r="AF292" s="201">
        <f>SUMIFS([1]!Data_Loan[Value],[1]!Data_Loan[Index Loan],DTR!$B292,[1]!Data_Loan[TenCongTyID],DTR!$B$1,[1]!Data_Loan[Thang.Nam],DTR!AF$254)</f>
        <v>0</v>
      </c>
      <c r="AG292" s="201">
        <f>SUMIFS([1]!Data_Loan[Value],[1]!Data_Loan[Index Loan],DTR!$B292,[1]!Data_Loan[TenCongTyID],DTR!$B$1,[1]!Data_Loan[Thang.Nam],DTR!AG$254)</f>
        <v>0</v>
      </c>
      <c r="AH292" s="201">
        <f>SUMIFS([1]!Data_Loan[Value],[1]!Data_Loan[Index Loan],DTR!$B292,[1]!Data_Loan[TenCongTyID],DTR!$B$1,[1]!Data_Loan[Thang.Nam],DTR!AH$254)</f>
        <v>0</v>
      </c>
      <c r="AI292" s="201">
        <f>SUMIFS([1]!Data_Loan[Value],[1]!Data_Loan[Index Loan],DTR!$B292,[1]!Data_Loan[TenCongTyID],DTR!$B$1,[1]!Data_Loan[Thang.Nam],DTR!AI$254)</f>
        <v>0</v>
      </c>
      <c r="AJ292" s="201">
        <f>SUMIFS([1]!Data_Loan[Value],[1]!Data_Loan[Index Loan],DTR!$B292,[1]!Data_Loan[TenCongTyID],DTR!$B$1,[1]!Data_Loan[Thang.Nam],DTR!AJ$254)</f>
        <v>0</v>
      </c>
      <c r="AK292" s="201">
        <f>SUMIFS([1]!Data_Loan[Value],[1]!Data_Loan[Index Loan],DTR!$B292,[1]!Data_Loan[TenCongTyID],DTR!$B$1,[1]!Data_Loan[Thang.Nam],DTR!AK$254)</f>
        <v>0</v>
      </c>
      <c r="AL292" s="201">
        <f>SUMIFS([1]!Data_Loan[Value],[1]!Data_Loan[Index Loan],DTR!$B292,[1]!Data_Loan[TenCongTyID],DTR!$B$1,[1]!Data_Loan[Thang.Nam],DTR!AL$254)</f>
        <v>0</v>
      </c>
    </row>
    <row r="293" spans="1:38" ht="15" hidden="1" customHeight="1" outlineLevel="1">
      <c r="A293" s="200" t="str">
        <f t="shared" ref="A293:A299" si="48">A284</f>
        <v>VietinBank</v>
      </c>
      <c r="B293" s="329">
        <v>39</v>
      </c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>
        <v>6.9000000000000006E-2</v>
      </c>
      <c r="W293" s="201">
        <v>6.2E-2</v>
      </c>
      <c r="X293" s="201">
        <v>6.2E-2</v>
      </c>
      <c r="Y293" s="201">
        <v>6.3E-2</v>
      </c>
      <c r="Z293" s="201">
        <v>0</v>
      </c>
      <c r="AA293" s="201">
        <f>SUMIFS([1]!Data_Loan[Value],[1]!Data_Loan[Index Loan],DTR!$B293,[1]!Data_Loan[TenCongTyID],DTR!$B$1,[1]!Data_Loan[Thang.Nam],DTR!AA$254)</f>
        <v>0</v>
      </c>
      <c r="AB293" s="201">
        <f>SUMIFS([1]!Data_Loan[Value],[1]!Data_Loan[Index Loan],DTR!$B293,[1]!Data_Loan[TenCongTyID],DTR!$B$1,[1]!Data_Loan[Thang.Nam],DTR!AB$254)</f>
        <v>0</v>
      </c>
      <c r="AC293" s="201">
        <f>SUMIFS([1]!Data_Loan[Value],[1]!Data_Loan[Index Loan],DTR!$B293,[1]!Data_Loan[TenCongTyID],DTR!$B$1,[1]!Data_Loan[Thang.Nam],DTR!AC$254)</f>
        <v>0</v>
      </c>
      <c r="AD293" s="201">
        <f>SUMIFS([1]!Data_Loan[Value],[1]!Data_Loan[Index Loan],DTR!$B293,[1]!Data_Loan[TenCongTyID],DTR!$B$1,[1]!Data_Loan[Thang.Nam],DTR!AD$254)</f>
        <v>0</v>
      </c>
      <c r="AE293" s="201">
        <f>SUMIFS([1]!Data_Loan[Value],[1]!Data_Loan[Index Loan],DTR!$B293,[1]!Data_Loan[TenCongTyID],DTR!$B$1,[1]!Data_Loan[Thang.Nam],DTR!AE$254)</f>
        <v>0</v>
      </c>
      <c r="AF293" s="201">
        <f>SUMIFS([1]!Data_Loan[Value],[1]!Data_Loan[Index Loan],DTR!$B293,[1]!Data_Loan[TenCongTyID],DTR!$B$1,[1]!Data_Loan[Thang.Nam],DTR!AF$254)</f>
        <v>0</v>
      </c>
      <c r="AG293" s="201">
        <f>SUMIFS([1]!Data_Loan[Value],[1]!Data_Loan[Index Loan],DTR!$B293,[1]!Data_Loan[TenCongTyID],DTR!$B$1,[1]!Data_Loan[Thang.Nam],DTR!AG$254)</f>
        <v>0</v>
      </c>
      <c r="AH293" s="201">
        <f>SUMIFS([1]!Data_Loan[Value],[1]!Data_Loan[Index Loan],DTR!$B293,[1]!Data_Loan[TenCongTyID],DTR!$B$1,[1]!Data_Loan[Thang.Nam],DTR!AH$254)</f>
        <v>0</v>
      </c>
      <c r="AI293" s="201">
        <f>SUMIFS([1]!Data_Loan[Value],[1]!Data_Loan[Index Loan],DTR!$B293,[1]!Data_Loan[TenCongTyID],DTR!$B$1,[1]!Data_Loan[Thang.Nam],DTR!AI$254)</f>
        <v>0</v>
      </c>
      <c r="AJ293" s="201">
        <f>SUMIFS([1]!Data_Loan[Value],[1]!Data_Loan[Index Loan],DTR!$B293,[1]!Data_Loan[TenCongTyID],DTR!$B$1,[1]!Data_Loan[Thang.Nam],DTR!AJ$254)</f>
        <v>0</v>
      </c>
      <c r="AK293" s="201">
        <f>SUMIFS([1]!Data_Loan[Value],[1]!Data_Loan[Index Loan],DTR!$B293,[1]!Data_Loan[TenCongTyID],DTR!$B$1,[1]!Data_Loan[Thang.Nam],DTR!AK$254)</f>
        <v>0</v>
      </c>
      <c r="AL293" s="201">
        <f>SUMIFS([1]!Data_Loan[Value],[1]!Data_Loan[Index Loan],DTR!$B293,[1]!Data_Loan[TenCongTyID],DTR!$B$1,[1]!Data_Loan[Thang.Nam],DTR!AL$254)</f>
        <v>0</v>
      </c>
    </row>
    <row r="294" spans="1:38" ht="15" hidden="1" customHeight="1" outlineLevel="1">
      <c r="A294" s="200" t="str">
        <f t="shared" si="48"/>
        <v>Vietcombank</v>
      </c>
      <c r="B294" s="329">
        <v>40</v>
      </c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>
        <v>0</v>
      </c>
      <c r="AA294" s="201">
        <f>SUMIFS([1]!Data_Loan[Value],[1]!Data_Loan[Index Loan],DTR!$B294,[1]!Data_Loan[TenCongTyID],DTR!$B$1,[1]!Data_Loan[Thang.Nam],DTR!AA$254)</f>
        <v>0</v>
      </c>
      <c r="AB294" s="201">
        <f>SUMIFS([1]!Data_Loan[Value],[1]!Data_Loan[Index Loan],DTR!$B294,[1]!Data_Loan[TenCongTyID],DTR!$B$1,[1]!Data_Loan[Thang.Nam],DTR!AB$254)</f>
        <v>0</v>
      </c>
      <c r="AC294" s="201">
        <f>SUMIFS([1]!Data_Loan[Value],[1]!Data_Loan[Index Loan],DTR!$B294,[1]!Data_Loan[TenCongTyID],DTR!$B$1,[1]!Data_Loan[Thang.Nam],DTR!AC$254)</f>
        <v>0</v>
      </c>
      <c r="AD294" s="201">
        <f>SUMIFS([1]!Data_Loan[Value],[1]!Data_Loan[Index Loan],DTR!$B294,[1]!Data_Loan[TenCongTyID],DTR!$B$1,[1]!Data_Loan[Thang.Nam],DTR!AD$254)</f>
        <v>0</v>
      </c>
      <c r="AE294" s="201">
        <f>SUMIFS([1]!Data_Loan[Value],[1]!Data_Loan[Index Loan],DTR!$B294,[1]!Data_Loan[TenCongTyID],DTR!$B$1,[1]!Data_Loan[Thang.Nam],DTR!AE$254)</f>
        <v>0</v>
      </c>
      <c r="AF294" s="201">
        <f>SUMIFS([1]!Data_Loan[Value],[1]!Data_Loan[Index Loan],DTR!$B294,[1]!Data_Loan[TenCongTyID],DTR!$B$1,[1]!Data_Loan[Thang.Nam],DTR!AF$254)</f>
        <v>0</v>
      </c>
      <c r="AG294" s="201">
        <f>SUMIFS([1]!Data_Loan[Value],[1]!Data_Loan[Index Loan],DTR!$B294,[1]!Data_Loan[TenCongTyID],DTR!$B$1,[1]!Data_Loan[Thang.Nam],DTR!AG$254)</f>
        <v>0</v>
      </c>
      <c r="AH294" s="201">
        <f>SUMIFS([1]!Data_Loan[Value],[1]!Data_Loan[Index Loan],DTR!$B294,[1]!Data_Loan[TenCongTyID],DTR!$B$1,[1]!Data_Loan[Thang.Nam],DTR!AH$254)</f>
        <v>0</v>
      </c>
      <c r="AI294" s="201">
        <f>SUMIFS([1]!Data_Loan[Value],[1]!Data_Loan[Index Loan],DTR!$B294,[1]!Data_Loan[TenCongTyID],DTR!$B$1,[1]!Data_Loan[Thang.Nam],DTR!AI$254)</f>
        <v>0</v>
      </c>
      <c r="AJ294" s="201">
        <f>SUMIFS([1]!Data_Loan[Value],[1]!Data_Loan[Index Loan],DTR!$B294,[1]!Data_Loan[TenCongTyID],DTR!$B$1,[1]!Data_Loan[Thang.Nam],DTR!AJ$254)</f>
        <v>0</v>
      </c>
      <c r="AK294" s="201">
        <f>SUMIFS([1]!Data_Loan[Value],[1]!Data_Loan[Index Loan],DTR!$B294,[1]!Data_Loan[TenCongTyID],DTR!$B$1,[1]!Data_Loan[Thang.Nam],DTR!AK$254)</f>
        <v>0</v>
      </c>
      <c r="AL294" s="201">
        <f>SUMIFS([1]!Data_Loan[Value],[1]!Data_Loan[Index Loan],DTR!$B294,[1]!Data_Loan[TenCongTyID],DTR!$B$1,[1]!Data_Loan[Thang.Nam],DTR!AL$254)</f>
        <v>0</v>
      </c>
    </row>
    <row r="295" spans="1:38" ht="15" hidden="1" customHeight="1" outlineLevel="1">
      <c r="A295" s="200" t="str">
        <f t="shared" si="48"/>
        <v>BIDV</v>
      </c>
      <c r="B295" s="329">
        <v>41</v>
      </c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>
        <v>0</v>
      </c>
      <c r="AA295" s="201">
        <f>SUMIFS([1]!Data_Loan[Value],[1]!Data_Loan[Index Loan],DTR!$B295,[1]!Data_Loan[TenCongTyID],DTR!$B$1,[1]!Data_Loan[Thang.Nam],DTR!AA$254)</f>
        <v>0</v>
      </c>
      <c r="AB295" s="201">
        <f>SUMIFS([1]!Data_Loan[Value],[1]!Data_Loan[Index Loan],DTR!$B295,[1]!Data_Loan[TenCongTyID],DTR!$B$1,[1]!Data_Loan[Thang.Nam],DTR!AB$254)</f>
        <v>0</v>
      </c>
      <c r="AC295" s="201">
        <f>SUMIFS([1]!Data_Loan[Value],[1]!Data_Loan[Index Loan],DTR!$B295,[1]!Data_Loan[TenCongTyID],DTR!$B$1,[1]!Data_Loan[Thang.Nam],DTR!AC$254)</f>
        <v>0</v>
      </c>
      <c r="AD295" s="201">
        <f>SUMIFS([1]!Data_Loan[Value],[1]!Data_Loan[Index Loan],DTR!$B295,[1]!Data_Loan[TenCongTyID],DTR!$B$1,[1]!Data_Loan[Thang.Nam],DTR!AD$254)</f>
        <v>0</v>
      </c>
      <c r="AE295" s="201">
        <f>SUMIFS([1]!Data_Loan[Value],[1]!Data_Loan[Index Loan],DTR!$B295,[1]!Data_Loan[TenCongTyID],DTR!$B$1,[1]!Data_Loan[Thang.Nam],DTR!AE$254)</f>
        <v>0</v>
      </c>
      <c r="AF295" s="201">
        <f>SUMIFS([1]!Data_Loan[Value],[1]!Data_Loan[Index Loan],DTR!$B295,[1]!Data_Loan[TenCongTyID],DTR!$B$1,[1]!Data_Loan[Thang.Nam],DTR!AF$254)</f>
        <v>0</v>
      </c>
      <c r="AG295" s="201">
        <f>SUMIFS([1]!Data_Loan[Value],[1]!Data_Loan[Index Loan],DTR!$B295,[1]!Data_Loan[TenCongTyID],DTR!$B$1,[1]!Data_Loan[Thang.Nam],DTR!AG$254)</f>
        <v>0</v>
      </c>
      <c r="AH295" s="201">
        <f>SUMIFS([1]!Data_Loan[Value],[1]!Data_Loan[Index Loan],DTR!$B295,[1]!Data_Loan[TenCongTyID],DTR!$B$1,[1]!Data_Loan[Thang.Nam],DTR!AH$254)</f>
        <v>0</v>
      </c>
      <c r="AI295" s="201">
        <f>SUMIFS([1]!Data_Loan[Value],[1]!Data_Loan[Index Loan],DTR!$B295,[1]!Data_Loan[TenCongTyID],DTR!$B$1,[1]!Data_Loan[Thang.Nam],DTR!AI$254)</f>
        <v>0</v>
      </c>
      <c r="AJ295" s="201">
        <f>SUMIFS([1]!Data_Loan[Value],[1]!Data_Loan[Index Loan],DTR!$B295,[1]!Data_Loan[TenCongTyID],DTR!$B$1,[1]!Data_Loan[Thang.Nam],DTR!AJ$254)</f>
        <v>0</v>
      </c>
      <c r="AK295" s="201">
        <f>SUMIFS([1]!Data_Loan[Value],[1]!Data_Loan[Index Loan],DTR!$B295,[1]!Data_Loan[TenCongTyID],DTR!$B$1,[1]!Data_Loan[Thang.Nam],DTR!AK$254)</f>
        <v>0</v>
      </c>
      <c r="AL295" s="201">
        <f>SUMIFS([1]!Data_Loan[Value],[1]!Data_Loan[Index Loan],DTR!$B295,[1]!Data_Loan[TenCongTyID],DTR!$B$1,[1]!Data_Loan[Thang.Nam],DTR!AL$254)</f>
        <v>0</v>
      </c>
    </row>
    <row r="296" spans="1:38" ht="15" hidden="1" customHeight="1" outlineLevel="1">
      <c r="A296" s="200" t="str">
        <f t="shared" si="48"/>
        <v>Standard Chartered</v>
      </c>
      <c r="B296" s="329">
        <v>42</v>
      </c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>
        <v>0</v>
      </c>
      <c r="AA296" s="201">
        <f>SUMIFS([1]!Data_Loan[Value],[1]!Data_Loan[Index Loan],DTR!$B296,[1]!Data_Loan[TenCongTyID],DTR!$B$1,[1]!Data_Loan[Thang.Nam],DTR!AA$254)</f>
        <v>0</v>
      </c>
      <c r="AB296" s="201">
        <f>SUMIFS([1]!Data_Loan[Value],[1]!Data_Loan[Index Loan],DTR!$B296,[1]!Data_Loan[TenCongTyID],DTR!$B$1,[1]!Data_Loan[Thang.Nam],DTR!AB$254)</f>
        <v>0</v>
      </c>
      <c r="AC296" s="201">
        <f>SUMIFS([1]!Data_Loan[Value],[1]!Data_Loan[Index Loan],DTR!$B296,[1]!Data_Loan[TenCongTyID],DTR!$B$1,[1]!Data_Loan[Thang.Nam],DTR!AC$254)</f>
        <v>0</v>
      </c>
      <c r="AD296" s="201">
        <f>SUMIFS([1]!Data_Loan[Value],[1]!Data_Loan[Index Loan],DTR!$B296,[1]!Data_Loan[TenCongTyID],DTR!$B$1,[1]!Data_Loan[Thang.Nam],DTR!AD$254)</f>
        <v>0</v>
      </c>
      <c r="AE296" s="201">
        <f>SUMIFS([1]!Data_Loan[Value],[1]!Data_Loan[Index Loan],DTR!$B296,[1]!Data_Loan[TenCongTyID],DTR!$B$1,[1]!Data_Loan[Thang.Nam],DTR!AE$254)</f>
        <v>0</v>
      </c>
      <c r="AF296" s="201">
        <f>SUMIFS([1]!Data_Loan[Value],[1]!Data_Loan[Index Loan],DTR!$B296,[1]!Data_Loan[TenCongTyID],DTR!$B$1,[1]!Data_Loan[Thang.Nam],DTR!AF$254)</f>
        <v>0</v>
      </c>
      <c r="AG296" s="201">
        <f>SUMIFS([1]!Data_Loan[Value],[1]!Data_Loan[Index Loan],DTR!$B296,[1]!Data_Loan[TenCongTyID],DTR!$B$1,[1]!Data_Loan[Thang.Nam],DTR!AG$254)</f>
        <v>0</v>
      </c>
      <c r="AH296" s="201">
        <f>SUMIFS([1]!Data_Loan[Value],[1]!Data_Loan[Index Loan],DTR!$B296,[1]!Data_Loan[TenCongTyID],DTR!$B$1,[1]!Data_Loan[Thang.Nam],DTR!AH$254)</f>
        <v>0</v>
      </c>
      <c r="AI296" s="201">
        <f>SUMIFS([1]!Data_Loan[Value],[1]!Data_Loan[Index Loan],DTR!$B296,[1]!Data_Loan[TenCongTyID],DTR!$B$1,[1]!Data_Loan[Thang.Nam],DTR!AI$254)</f>
        <v>0</v>
      </c>
      <c r="AJ296" s="201">
        <f>SUMIFS([1]!Data_Loan[Value],[1]!Data_Loan[Index Loan],DTR!$B296,[1]!Data_Loan[TenCongTyID],DTR!$B$1,[1]!Data_Loan[Thang.Nam],DTR!AJ$254)</f>
        <v>0</v>
      </c>
      <c r="AK296" s="201">
        <f>SUMIFS([1]!Data_Loan[Value],[1]!Data_Loan[Index Loan],DTR!$B296,[1]!Data_Loan[TenCongTyID],DTR!$B$1,[1]!Data_Loan[Thang.Nam],DTR!AK$254)</f>
        <v>0</v>
      </c>
      <c r="AL296" s="201">
        <f>SUMIFS([1]!Data_Loan[Value],[1]!Data_Loan[Index Loan],DTR!$B296,[1]!Data_Loan[TenCongTyID],DTR!$B$1,[1]!Data_Loan[Thang.Nam],DTR!AL$254)</f>
        <v>0</v>
      </c>
    </row>
    <row r="297" spans="1:38" ht="15" hidden="1" customHeight="1" outlineLevel="1">
      <c r="A297" s="200" t="str">
        <f t="shared" si="48"/>
        <v>VILC</v>
      </c>
      <c r="B297" s="329">
        <v>43</v>
      </c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>
        <v>0</v>
      </c>
      <c r="AA297" s="201">
        <f>SUMIFS([1]!Data_Loan[Value],[1]!Data_Loan[Index Loan],DTR!$B297,[1]!Data_Loan[TenCongTyID],DTR!$B$1,[1]!Data_Loan[Thang.Nam],DTR!AA$254)</f>
        <v>0</v>
      </c>
      <c r="AB297" s="201">
        <f>SUMIFS([1]!Data_Loan[Value],[1]!Data_Loan[Index Loan],DTR!$B297,[1]!Data_Loan[TenCongTyID],DTR!$B$1,[1]!Data_Loan[Thang.Nam],DTR!AB$254)</f>
        <v>0</v>
      </c>
      <c r="AC297" s="201">
        <f>SUMIFS([1]!Data_Loan[Value],[1]!Data_Loan[Index Loan],DTR!$B297,[1]!Data_Loan[TenCongTyID],DTR!$B$1,[1]!Data_Loan[Thang.Nam],DTR!AC$254)</f>
        <v>0</v>
      </c>
      <c r="AD297" s="201">
        <f>SUMIFS([1]!Data_Loan[Value],[1]!Data_Loan[Index Loan],DTR!$B297,[1]!Data_Loan[TenCongTyID],DTR!$B$1,[1]!Data_Loan[Thang.Nam],DTR!AD$254)</f>
        <v>0</v>
      </c>
      <c r="AE297" s="201">
        <f>SUMIFS([1]!Data_Loan[Value],[1]!Data_Loan[Index Loan],DTR!$B297,[1]!Data_Loan[TenCongTyID],DTR!$B$1,[1]!Data_Loan[Thang.Nam],DTR!AE$254)</f>
        <v>0</v>
      </c>
      <c r="AF297" s="201">
        <f>SUMIFS([1]!Data_Loan[Value],[1]!Data_Loan[Index Loan],DTR!$B297,[1]!Data_Loan[TenCongTyID],DTR!$B$1,[1]!Data_Loan[Thang.Nam],DTR!AF$254)</f>
        <v>0</v>
      </c>
      <c r="AG297" s="201">
        <f>SUMIFS([1]!Data_Loan[Value],[1]!Data_Loan[Index Loan],DTR!$B297,[1]!Data_Loan[TenCongTyID],DTR!$B$1,[1]!Data_Loan[Thang.Nam],DTR!AG$254)</f>
        <v>0</v>
      </c>
      <c r="AH297" s="201">
        <f>SUMIFS([1]!Data_Loan[Value],[1]!Data_Loan[Index Loan],DTR!$B297,[1]!Data_Loan[TenCongTyID],DTR!$B$1,[1]!Data_Loan[Thang.Nam],DTR!AH$254)</f>
        <v>0</v>
      </c>
      <c r="AI297" s="201">
        <f>SUMIFS([1]!Data_Loan[Value],[1]!Data_Loan[Index Loan],DTR!$B297,[1]!Data_Loan[TenCongTyID],DTR!$B$1,[1]!Data_Loan[Thang.Nam],DTR!AI$254)</f>
        <v>0</v>
      </c>
      <c r="AJ297" s="201">
        <f>SUMIFS([1]!Data_Loan[Value],[1]!Data_Loan[Index Loan],DTR!$B297,[1]!Data_Loan[TenCongTyID],DTR!$B$1,[1]!Data_Loan[Thang.Nam],DTR!AJ$254)</f>
        <v>0</v>
      </c>
      <c r="AK297" s="201">
        <f>SUMIFS([1]!Data_Loan[Value],[1]!Data_Loan[Index Loan],DTR!$B297,[1]!Data_Loan[TenCongTyID],DTR!$B$1,[1]!Data_Loan[Thang.Nam],DTR!AK$254)</f>
        <v>0</v>
      </c>
      <c r="AL297" s="201">
        <f>SUMIFS([1]!Data_Loan[Value],[1]!Data_Loan[Index Loan],DTR!$B297,[1]!Data_Loan[TenCongTyID],DTR!$B$1,[1]!Data_Loan[Thang.Nam],DTR!AL$254)</f>
        <v>0</v>
      </c>
    </row>
    <row r="298" spans="1:38" ht="15" hidden="1" customHeight="1" outlineLevel="1">
      <c r="A298" s="200" t="str">
        <f t="shared" si="48"/>
        <v>IVB</v>
      </c>
      <c r="B298" s="329">
        <v>44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>
        <v>0</v>
      </c>
      <c r="AA298" s="201">
        <f>SUMIFS([1]!Data_Loan[Value],[1]!Data_Loan[Index Loan],DTR!$B298,[1]!Data_Loan[TenCongTyID],DTR!$B$1,[1]!Data_Loan[Thang.Nam],DTR!AA$254)</f>
        <v>0</v>
      </c>
      <c r="AB298" s="201">
        <f>SUMIFS([1]!Data_Loan[Value],[1]!Data_Loan[Index Loan],DTR!$B298,[1]!Data_Loan[TenCongTyID],DTR!$B$1,[1]!Data_Loan[Thang.Nam],DTR!AB$254)</f>
        <v>0</v>
      </c>
      <c r="AC298" s="201">
        <f>SUMIFS([1]!Data_Loan[Value],[1]!Data_Loan[Index Loan],DTR!$B298,[1]!Data_Loan[TenCongTyID],DTR!$B$1,[1]!Data_Loan[Thang.Nam],DTR!AC$254)</f>
        <v>0</v>
      </c>
      <c r="AD298" s="201">
        <f>SUMIFS([1]!Data_Loan[Value],[1]!Data_Loan[Index Loan],DTR!$B298,[1]!Data_Loan[TenCongTyID],DTR!$B$1,[1]!Data_Loan[Thang.Nam],DTR!AD$254)</f>
        <v>0</v>
      </c>
      <c r="AE298" s="201">
        <f>SUMIFS([1]!Data_Loan[Value],[1]!Data_Loan[Index Loan],DTR!$B298,[1]!Data_Loan[TenCongTyID],DTR!$B$1,[1]!Data_Loan[Thang.Nam],DTR!AE$254)</f>
        <v>0</v>
      </c>
      <c r="AF298" s="201">
        <f>SUMIFS([1]!Data_Loan[Value],[1]!Data_Loan[Index Loan],DTR!$B298,[1]!Data_Loan[TenCongTyID],DTR!$B$1,[1]!Data_Loan[Thang.Nam],DTR!AF$254)</f>
        <v>0</v>
      </c>
      <c r="AG298" s="201">
        <f>SUMIFS([1]!Data_Loan[Value],[1]!Data_Loan[Index Loan],DTR!$B298,[1]!Data_Loan[TenCongTyID],DTR!$B$1,[1]!Data_Loan[Thang.Nam],DTR!AG$254)</f>
        <v>0</v>
      </c>
      <c r="AH298" s="201">
        <f>SUMIFS([1]!Data_Loan[Value],[1]!Data_Loan[Index Loan],DTR!$B298,[1]!Data_Loan[TenCongTyID],DTR!$B$1,[1]!Data_Loan[Thang.Nam],DTR!AH$254)</f>
        <v>0</v>
      </c>
      <c r="AI298" s="201">
        <f>SUMIFS([1]!Data_Loan[Value],[1]!Data_Loan[Index Loan],DTR!$B298,[1]!Data_Loan[TenCongTyID],DTR!$B$1,[1]!Data_Loan[Thang.Nam],DTR!AI$254)</f>
        <v>0</v>
      </c>
      <c r="AJ298" s="201">
        <f>SUMIFS([1]!Data_Loan[Value],[1]!Data_Loan[Index Loan],DTR!$B298,[1]!Data_Loan[TenCongTyID],DTR!$B$1,[1]!Data_Loan[Thang.Nam],DTR!AJ$254)</f>
        <v>0</v>
      </c>
      <c r="AK298" s="201">
        <f>SUMIFS([1]!Data_Loan[Value],[1]!Data_Loan[Index Loan],DTR!$B298,[1]!Data_Loan[TenCongTyID],DTR!$B$1,[1]!Data_Loan[Thang.Nam],DTR!AK$254)</f>
        <v>0</v>
      </c>
      <c r="AL298" s="201">
        <f>SUMIFS([1]!Data_Loan[Value],[1]!Data_Loan[Index Loan],DTR!$B298,[1]!Data_Loan[TenCongTyID],DTR!$B$1,[1]!Data_Loan[Thang.Nam],DTR!AL$254)</f>
        <v>0</v>
      </c>
    </row>
    <row r="299" spans="1:38" ht="15" hidden="1" customHeight="1" outlineLevel="1">
      <c r="A299" s="200">
        <f t="shared" si="48"/>
        <v>0</v>
      </c>
      <c r="B299" s="329">
        <v>45</v>
      </c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>
        <v>0</v>
      </c>
      <c r="AA299" s="201">
        <f>SUMIFS([1]!Data_Loan[Value],[1]!Data_Loan[Index Loan],DTR!$B299,[1]!Data_Loan[TenCongTyID],DTR!$B$1,[1]!Data_Loan[Thang.Nam],DTR!AA$254)</f>
        <v>0</v>
      </c>
      <c r="AB299" s="201">
        <f>SUMIFS([1]!Data_Loan[Value],[1]!Data_Loan[Index Loan],DTR!$B299,[1]!Data_Loan[TenCongTyID],DTR!$B$1,[1]!Data_Loan[Thang.Nam],DTR!AB$254)</f>
        <v>0</v>
      </c>
      <c r="AC299" s="201">
        <f>SUMIFS([1]!Data_Loan[Value],[1]!Data_Loan[Index Loan],DTR!$B299,[1]!Data_Loan[TenCongTyID],DTR!$B$1,[1]!Data_Loan[Thang.Nam],DTR!AC$254)</f>
        <v>0</v>
      </c>
      <c r="AD299" s="201">
        <f>SUMIFS([1]!Data_Loan[Value],[1]!Data_Loan[Index Loan],DTR!$B299,[1]!Data_Loan[TenCongTyID],DTR!$B$1,[1]!Data_Loan[Thang.Nam],DTR!AD$254)</f>
        <v>0</v>
      </c>
      <c r="AE299" s="201">
        <f>SUMIFS([1]!Data_Loan[Value],[1]!Data_Loan[Index Loan],DTR!$B299,[1]!Data_Loan[TenCongTyID],DTR!$B$1,[1]!Data_Loan[Thang.Nam],DTR!AE$254)</f>
        <v>0</v>
      </c>
      <c r="AF299" s="201">
        <f>SUMIFS([1]!Data_Loan[Value],[1]!Data_Loan[Index Loan],DTR!$B299,[1]!Data_Loan[TenCongTyID],DTR!$B$1,[1]!Data_Loan[Thang.Nam],DTR!AF$254)</f>
        <v>0</v>
      </c>
      <c r="AG299" s="201">
        <f>SUMIFS([1]!Data_Loan[Value],[1]!Data_Loan[Index Loan],DTR!$B299,[1]!Data_Loan[TenCongTyID],DTR!$B$1,[1]!Data_Loan[Thang.Nam],DTR!AG$254)</f>
        <v>0</v>
      </c>
      <c r="AH299" s="201">
        <f>SUMIFS([1]!Data_Loan[Value],[1]!Data_Loan[Index Loan],DTR!$B299,[1]!Data_Loan[TenCongTyID],DTR!$B$1,[1]!Data_Loan[Thang.Nam],DTR!AH$254)</f>
        <v>0</v>
      </c>
      <c r="AI299" s="201">
        <f>SUMIFS([1]!Data_Loan[Value],[1]!Data_Loan[Index Loan],DTR!$B299,[1]!Data_Loan[TenCongTyID],DTR!$B$1,[1]!Data_Loan[Thang.Nam],DTR!AI$254)</f>
        <v>0</v>
      </c>
      <c r="AJ299" s="201">
        <f>SUMIFS([1]!Data_Loan[Value],[1]!Data_Loan[Index Loan],DTR!$B299,[1]!Data_Loan[TenCongTyID],DTR!$B$1,[1]!Data_Loan[Thang.Nam],DTR!AJ$254)</f>
        <v>0</v>
      </c>
      <c r="AK299" s="201">
        <f>SUMIFS([1]!Data_Loan[Value],[1]!Data_Loan[Index Loan],DTR!$B299,[1]!Data_Loan[TenCongTyID],DTR!$B$1,[1]!Data_Loan[Thang.Nam],DTR!AK$254)</f>
        <v>0</v>
      </c>
      <c r="AL299" s="201">
        <f>SUMIFS([1]!Data_Loan[Value],[1]!Data_Loan[Index Loan],DTR!$B299,[1]!Data_Loan[TenCongTyID],DTR!$B$1,[1]!Data_Loan[Thang.Nam],DTR!AL$254)</f>
        <v>0</v>
      </c>
    </row>
    <row r="300" spans="1:38" ht="15" hidden="1" customHeight="1" outlineLevel="1" thickBot="1">
      <c r="A300" s="203" t="s">
        <v>371</v>
      </c>
      <c r="B300" s="332">
        <v>46</v>
      </c>
      <c r="C300" s="205">
        <f>C282+C264</f>
        <v>0</v>
      </c>
      <c r="D300" s="205">
        <f t="shared" ref="D300:Y300" si="49">D282+D264</f>
        <v>0</v>
      </c>
      <c r="E300" s="205">
        <f t="shared" si="49"/>
        <v>0</v>
      </c>
      <c r="F300" s="205">
        <f t="shared" si="49"/>
        <v>0</v>
      </c>
      <c r="G300" s="205">
        <f t="shared" si="49"/>
        <v>0</v>
      </c>
      <c r="H300" s="205">
        <f t="shared" si="49"/>
        <v>0</v>
      </c>
      <c r="I300" s="205">
        <f t="shared" si="49"/>
        <v>0</v>
      </c>
      <c r="J300" s="205">
        <f t="shared" si="49"/>
        <v>0</v>
      </c>
      <c r="K300" s="205">
        <f t="shared" si="49"/>
        <v>0</v>
      </c>
      <c r="L300" s="205">
        <f t="shared" si="49"/>
        <v>0</v>
      </c>
      <c r="M300" s="205">
        <f t="shared" si="49"/>
        <v>0</v>
      </c>
      <c r="N300" s="205">
        <f t="shared" si="49"/>
        <v>275528225930</v>
      </c>
      <c r="O300" s="205">
        <f t="shared" si="49"/>
        <v>243335896197</v>
      </c>
      <c r="P300" s="205">
        <f t="shared" si="49"/>
        <v>147774333446</v>
      </c>
      <c r="Q300" s="205">
        <f t="shared" si="49"/>
        <v>201328746871</v>
      </c>
      <c r="R300" s="205">
        <f t="shared" si="49"/>
        <v>275181662640</v>
      </c>
      <c r="S300" s="205">
        <f t="shared" si="49"/>
        <v>298671242130</v>
      </c>
      <c r="T300" s="205">
        <f t="shared" si="49"/>
        <v>315510470665</v>
      </c>
      <c r="U300" s="205">
        <f t="shared" si="49"/>
        <v>326622191004</v>
      </c>
      <c r="V300" s="205">
        <f t="shared" si="49"/>
        <v>369295754196</v>
      </c>
      <c r="W300" s="205">
        <f t="shared" si="49"/>
        <v>383243232428</v>
      </c>
      <c r="X300" s="205">
        <f t="shared" si="49"/>
        <v>331907950534</v>
      </c>
      <c r="Y300" s="205">
        <f t="shared" si="49"/>
        <v>324332077621</v>
      </c>
      <c r="Z300" s="205">
        <v>312608233592</v>
      </c>
      <c r="AA300" s="205">
        <f>SUMIFS([1]!Data_Loan[Value],[1]!Data_Loan[Index Loan],DTR!$B300,[1]!Data_Loan[TenCongTyID],DTR!$B$1,[1]!Data_Loan[Thang.Nam],DTR!AA$254)</f>
        <v>0</v>
      </c>
      <c r="AB300" s="205">
        <f>SUMIFS([1]!Data_Loan[Value],[1]!Data_Loan[Index Loan],DTR!$B300,[1]!Data_Loan[TenCongTyID],DTR!$B$1,[1]!Data_Loan[Thang.Nam],DTR!AB$254)</f>
        <v>0</v>
      </c>
      <c r="AC300" s="205">
        <f>SUMIFS([1]!Data_Loan[Value],[1]!Data_Loan[Index Loan],DTR!$B300,[1]!Data_Loan[TenCongTyID],DTR!$B$1,[1]!Data_Loan[Thang.Nam],DTR!AC$254)</f>
        <v>0</v>
      </c>
      <c r="AD300" s="205">
        <f>SUMIFS([1]!Data_Loan[Value],[1]!Data_Loan[Index Loan],DTR!$B300,[1]!Data_Loan[TenCongTyID],DTR!$B$1,[1]!Data_Loan[Thang.Nam],DTR!AD$254)</f>
        <v>0</v>
      </c>
      <c r="AE300" s="205">
        <f>SUMIFS([1]!Data_Loan[Value],[1]!Data_Loan[Index Loan],DTR!$B300,[1]!Data_Loan[TenCongTyID],DTR!$B$1,[1]!Data_Loan[Thang.Nam],DTR!AE$254)</f>
        <v>0</v>
      </c>
      <c r="AF300" s="205">
        <f>SUMIFS([1]!Data_Loan[Value],[1]!Data_Loan[Index Loan],DTR!$B300,[1]!Data_Loan[TenCongTyID],DTR!$B$1,[1]!Data_Loan[Thang.Nam],DTR!AF$254)</f>
        <v>0</v>
      </c>
      <c r="AG300" s="205">
        <f>SUMIFS([1]!Data_Loan[Value],[1]!Data_Loan[Index Loan],DTR!$B300,[1]!Data_Loan[TenCongTyID],DTR!$B$1,[1]!Data_Loan[Thang.Nam],DTR!AG$254)</f>
        <v>0</v>
      </c>
      <c r="AH300" s="205">
        <f>SUMIFS([1]!Data_Loan[Value],[1]!Data_Loan[Index Loan],DTR!$B300,[1]!Data_Loan[TenCongTyID],DTR!$B$1,[1]!Data_Loan[Thang.Nam],DTR!AH$254)</f>
        <v>0</v>
      </c>
      <c r="AI300" s="205">
        <f>SUMIFS([1]!Data_Loan[Value],[1]!Data_Loan[Index Loan],DTR!$B300,[1]!Data_Loan[TenCongTyID],DTR!$B$1,[1]!Data_Loan[Thang.Nam],DTR!AI$254)</f>
        <v>0</v>
      </c>
      <c r="AJ300" s="205">
        <f>SUMIFS([1]!Data_Loan[Value],[1]!Data_Loan[Index Loan],DTR!$B300,[1]!Data_Loan[TenCongTyID],DTR!$B$1,[1]!Data_Loan[Thang.Nam],DTR!AJ$254)</f>
        <v>0</v>
      </c>
      <c r="AK300" s="205">
        <f>SUMIFS([1]!Data_Loan[Value],[1]!Data_Loan[Index Loan],DTR!$B300,[1]!Data_Loan[TenCongTyID],DTR!$B$1,[1]!Data_Loan[Thang.Nam],DTR!AK$254)</f>
        <v>0</v>
      </c>
      <c r="AL300" s="205">
        <f>SUMIFS([1]!Data_Loan[Value],[1]!Data_Loan[Index Loan],DTR!$B300,[1]!Data_Loan[TenCongTyID],DTR!$B$1,[1]!Data_Loan[Thang.Nam],DTR!AL$254)</f>
        <v>0</v>
      </c>
    </row>
    <row r="301" spans="1:38" s="334" customFormat="1" ht="15" hidden="1" customHeight="1" outlineLevel="1" thickTop="1">
      <c r="A301" s="200" t="str">
        <f t="shared" ref="A301:A306" si="50">A283</f>
        <v>ACB</v>
      </c>
      <c r="B301" s="329">
        <v>47</v>
      </c>
      <c r="C301" s="333"/>
      <c r="D301" s="333"/>
      <c r="E301" s="333"/>
      <c r="F301" s="333"/>
      <c r="G301" s="333"/>
      <c r="H301" s="333"/>
      <c r="I301" s="333"/>
      <c r="J301" s="333"/>
      <c r="K301" s="333"/>
      <c r="L301" s="333"/>
      <c r="M301" s="333"/>
      <c r="N301" s="201">
        <f t="shared" ref="N301:Y306" si="51">N265+N283</f>
        <v>151205528894</v>
      </c>
      <c r="O301" s="201">
        <f t="shared" si="51"/>
        <v>143996897502</v>
      </c>
      <c r="P301" s="201">
        <f t="shared" si="51"/>
        <v>97472837502</v>
      </c>
      <c r="Q301" s="201">
        <f t="shared" si="51"/>
        <v>127301837502</v>
      </c>
      <c r="R301" s="201">
        <f t="shared" si="51"/>
        <v>169122644110</v>
      </c>
      <c r="S301" s="201">
        <f t="shared" si="51"/>
        <v>163253584110</v>
      </c>
      <c r="T301" s="201">
        <f t="shared" si="51"/>
        <v>136691087058</v>
      </c>
      <c r="U301" s="201">
        <f t="shared" si="51"/>
        <v>127075042448</v>
      </c>
      <c r="V301" s="201">
        <f t="shared" si="51"/>
        <v>144218362390</v>
      </c>
      <c r="W301" s="201">
        <f t="shared" si="51"/>
        <v>132707999104</v>
      </c>
      <c r="X301" s="201">
        <f t="shared" si="51"/>
        <v>118539805712</v>
      </c>
      <c r="Y301" s="201">
        <f t="shared" si="51"/>
        <v>116737233712</v>
      </c>
      <c r="Z301" s="201">
        <v>116114733712</v>
      </c>
      <c r="AA301" s="201">
        <f>SUMIFS([1]!Data_Loan[Value],[1]!Data_Loan[Index Loan],DTR!$B301,[1]!Data_Loan[TenCongTyID],DTR!$B$1,[1]!Data_Loan[Thang.Nam],DTR!AA$254)</f>
        <v>0</v>
      </c>
      <c r="AB301" s="201">
        <f>SUMIFS([1]!Data_Loan[Value],[1]!Data_Loan[Index Loan],DTR!$B301,[1]!Data_Loan[TenCongTyID],DTR!$B$1,[1]!Data_Loan[Thang.Nam],DTR!AB$254)</f>
        <v>0</v>
      </c>
      <c r="AC301" s="201">
        <f>SUMIFS([1]!Data_Loan[Value],[1]!Data_Loan[Index Loan],DTR!$B301,[1]!Data_Loan[TenCongTyID],DTR!$B$1,[1]!Data_Loan[Thang.Nam],DTR!AC$254)</f>
        <v>0</v>
      </c>
      <c r="AD301" s="201">
        <f>SUMIFS([1]!Data_Loan[Value],[1]!Data_Loan[Index Loan],DTR!$B301,[1]!Data_Loan[TenCongTyID],DTR!$B$1,[1]!Data_Loan[Thang.Nam],DTR!AD$254)</f>
        <v>0</v>
      </c>
      <c r="AE301" s="201">
        <f>SUMIFS([1]!Data_Loan[Value],[1]!Data_Loan[Index Loan],DTR!$B301,[1]!Data_Loan[TenCongTyID],DTR!$B$1,[1]!Data_Loan[Thang.Nam],DTR!AE$254)</f>
        <v>0</v>
      </c>
      <c r="AF301" s="201">
        <f>SUMIFS([1]!Data_Loan[Value],[1]!Data_Loan[Index Loan],DTR!$B301,[1]!Data_Loan[TenCongTyID],DTR!$B$1,[1]!Data_Loan[Thang.Nam],DTR!AF$254)</f>
        <v>0</v>
      </c>
      <c r="AG301" s="201">
        <f>SUMIFS([1]!Data_Loan[Value],[1]!Data_Loan[Index Loan],DTR!$B301,[1]!Data_Loan[TenCongTyID],DTR!$B$1,[1]!Data_Loan[Thang.Nam],DTR!AG$254)</f>
        <v>0</v>
      </c>
      <c r="AH301" s="201">
        <f>SUMIFS([1]!Data_Loan[Value],[1]!Data_Loan[Index Loan],DTR!$B301,[1]!Data_Loan[TenCongTyID],DTR!$B$1,[1]!Data_Loan[Thang.Nam],DTR!AH$254)</f>
        <v>0</v>
      </c>
      <c r="AI301" s="201">
        <f>SUMIFS([1]!Data_Loan[Value],[1]!Data_Loan[Index Loan],DTR!$B301,[1]!Data_Loan[TenCongTyID],DTR!$B$1,[1]!Data_Loan[Thang.Nam],DTR!AI$254)</f>
        <v>0</v>
      </c>
      <c r="AJ301" s="201">
        <f>SUMIFS([1]!Data_Loan[Value],[1]!Data_Loan[Index Loan],DTR!$B301,[1]!Data_Loan[TenCongTyID],DTR!$B$1,[1]!Data_Loan[Thang.Nam],DTR!AJ$254)</f>
        <v>0</v>
      </c>
      <c r="AK301" s="201">
        <f>SUMIFS([1]!Data_Loan[Value],[1]!Data_Loan[Index Loan],DTR!$B301,[1]!Data_Loan[TenCongTyID],DTR!$B$1,[1]!Data_Loan[Thang.Nam],DTR!AK$254)</f>
        <v>0</v>
      </c>
      <c r="AL301" s="201">
        <f>SUMIFS([1]!Data_Loan[Value],[1]!Data_Loan[Index Loan],DTR!$B301,[1]!Data_Loan[TenCongTyID],DTR!$B$1,[1]!Data_Loan[Thang.Nam],DTR!AL$254)</f>
        <v>0</v>
      </c>
    </row>
    <row r="302" spans="1:38" ht="15" hidden="1" customHeight="1" outlineLevel="1">
      <c r="A302" s="200" t="str">
        <f t="shared" si="50"/>
        <v>VietinBank</v>
      </c>
      <c r="B302" s="329">
        <v>48</v>
      </c>
      <c r="N302" s="201">
        <f t="shared" si="51"/>
        <v>59227549743</v>
      </c>
      <c r="O302" s="201">
        <f t="shared" si="51"/>
        <v>59227549743</v>
      </c>
      <c r="P302" s="201">
        <f t="shared" si="51"/>
        <v>10967824770</v>
      </c>
      <c r="Q302" s="201">
        <f t="shared" si="51"/>
        <v>35192821797</v>
      </c>
      <c r="R302" s="201">
        <f t="shared" si="51"/>
        <v>59696932940</v>
      </c>
      <c r="S302" s="201">
        <f t="shared" si="51"/>
        <v>74003145708</v>
      </c>
      <c r="T302" s="201">
        <f t="shared" si="51"/>
        <v>102247404832</v>
      </c>
      <c r="U302" s="201">
        <f t="shared" si="51"/>
        <v>105000758801</v>
      </c>
      <c r="V302" s="201">
        <f t="shared" si="51"/>
        <v>99898041677</v>
      </c>
      <c r="W302" s="201">
        <f t="shared" si="51"/>
        <v>81733065410</v>
      </c>
      <c r="X302" s="201">
        <f t="shared" si="51"/>
        <v>56829174444</v>
      </c>
      <c r="Y302" s="201">
        <f t="shared" si="51"/>
        <v>33922378367</v>
      </c>
      <c r="Z302" s="201">
        <v>27583243491</v>
      </c>
      <c r="AA302" s="201">
        <f>SUMIFS([1]!Data_Loan[Value],[1]!Data_Loan[Index Loan],DTR!$B302,[1]!Data_Loan[TenCongTyID],DTR!$B$1,[1]!Data_Loan[Thang.Nam],DTR!AA$254)</f>
        <v>0</v>
      </c>
      <c r="AB302" s="201">
        <f>SUMIFS([1]!Data_Loan[Value],[1]!Data_Loan[Index Loan],DTR!$B302,[1]!Data_Loan[TenCongTyID],DTR!$B$1,[1]!Data_Loan[Thang.Nam],DTR!AB$254)</f>
        <v>0</v>
      </c>
      <c r="AC302" s="201">
        <f>SUMIFS([1]!Data_Loan[Value],[1]!Data_Loan[Index Loan],DTR!$B302,[1]!Data_Loan[TenCongTyID],DTR!$B$1,[1]!Data_Loan[Thang.Nam],DTR!AC$254)</f>
        <v>0</v>
      </c>
      <c r="AD302" s="201">
        <f>SUMIFS([1]!Data_Loan[Value],[1]!Data_Loan[Index Loan],DTR!$B302,[1]!Data_Loan[TenCongTyID],DTR!$B$1,[1]!Data_Loan[Thang.Nam],DTR!AD$254)</f>
        <v>0</v>
      </c>
      <c r="AE302" s="201">
        <f>SUMIFS([1]!Data_Loan[Value],[1]!Data_Loan[Index Loan],DTR!$B302,[1]!Data_Loan[TenCongTyID],DTR!$B$1,[1]!Data_Loan[Thang.Nam],DTR!AE$254)</f>
        <v>0</v>
      </c>
      <c r="AF302" s="201">
        <f>SUMIFS([1]!Data_Loan[Value],[1]!Data_Loan[Index Loan],DTR!$B302,[1]!Data_Loan[TenCongTyID],DTR!$B$1,[1]!Data_Loan[Thang.Nam],DTR!AF$254)</f>
        <v>0</v>
      </c>
      <c r="AG302" s="201">
        <f>SUMIFS([1]!Data_Loan[Value],[1]!Data_Loan[Index Loan],DTR!$B302,[1]!Data_Loan[TenCongTyID],DTR!$B$1,[1]!Data_Loan[Thang.Nam],DTR!AG$254)</f>
        <v>0</v>
      </c>
      <c r="AH302" s="201">
        <f>SUMIFS([1]!Data_Loan[Value],[1]!Data_Loan[Index Loan],DTR!$B302,[1]!Data_Loan[TenCongTyID],DTR!$B$1,[1]!Data_Loan[Thang.Nam],DTR!AH$254)</f>
        <v>0</v>
      </c>
      <c r="AI302" s="201">
        <f>SUMIFS([1]!Data_Loan[Value],[1]!Data_Loan[Index Loan],DTR!$B302,[1]!Data_Loan[TenCongTyID],DTR!$B$1,[1]!Data_Loan[Thang.Nam],DTR!AI$254)</f>
        <v>0</v>
      </c>
      <c r="AJ302" s="201">
        <f>SUMIFS([1]!Data_Loan[Value],[1]!Data_Loan[Index Loan],DTR!$B302,[1]!Data_Loan[TenCongTyID],DTR!$B$1,[1]!Data_Loan[Thang.Nam],DTR!AJ$254)</f>
        <v>0</v>
      </c>
      <c r="AK302" s="201">
        <f>SUMIFS([1]!Data_Loan[Value],[1]!Data_Loan[Index Loan],DTR!$B302,[1]!Data_Loan[TenCongTyID],DTR!$B$1,[1]!Data_Loan[Thang.Nam],DTR!AK$254)</f>
        <v>0</v>
      </c>
      <c r="AL302" s="201">
        <f>SUMIFS([1]!Data_Loan[Value],[1]!Data_Loan[Index Loan],DTR!$B302,[1]!Data_Loan[TenCongTyID],DTR!$B$1,[1]!Data_Loan[Thang.Nam],DTR!AL$254)</f>
        <v>0</v>
      </c>
    </row>
    <row r="303" spans="1:38" ht="15" hidden="1" customHeight="1" outlineLevel="1">
      <c r="A303" s="200" t="str">
        <f t="shared" si="50"/>
        <v>Vietcombank</v>
      </c>
      <c r="B303" s="329">
        <v>49</v>
      </c>
      <c r="N303" s="201">
        <f t="shared" si="51"/>
        <v>23767004508</v>
      </c>
      <c r="O303" s="201">
        <f t="shared" si="51"/>
        <v>13667004508</v>
      </c>
      <c r="P303" s="201">
        <f t="shared" si="51"/>
        <v>13667004508</v>
      </c>
      <c r="Q303" s="201">
        <f t="shared" si="51"/>
        <v>13667004508</v>
      </c>
      <c r="R303" s="201">
        <f t="shared" si="51"/>
        <v>21972780304</v>
      </c>
      <c r="S303" s="201">
        <f t="shared" si="51"/>
        <v>32049798323</v>
      </c>
      <c r="T303" s="201">
        <f t="shared" si="51"/>
        <v>39585571449</v>
      </c>
      <c r="U303" s="201">
        <f t="shared" si="51"/>
        <v>54125127716</v>
      </c>
      <c r="V303" s="201">
        <f t="shared" si="51"/>
        <v>80169222070</v>
      </c>
      <c r="W303" s="201">
        <f t="shared" si="51"/>
        <v>87240583973</v>
      </c>
      <c r="X303" s="201">
        <f t="shared" si="51"/>
        <v>64730980597</v>
      </c>
      <c r="Y303" s="201">
        <f t="shared" si="51"/>
        <v>55405837410</v>
      </c>
      <c r="Z303" s="201">
        <v>51149160926</v>
      </c>
      <c r="AA303" s="201">
        <f>SUMIFS([1]!Data_Loan[Value],[1]!Data_Loan[Index Loan],DTR!$B303,[1]!Data_Loan[TenCongTyID],DTR!$B$1,[1]!Data_Loan[Thang.Nam],DTR!AA$254)</f>
        <v>0</v>
      </c>
      <c r="AB303" s="201">
        <f>SUMIFS([1]!Data_Loan[Value],[1]!Data_Loan[Index Loan],DTR!$B303,[1]!Data_Loan[TenCongTyID],DTR!$B$1,[1]!Data_Loan[Thang.Nam],DTR!AB$254)</f>
        <v>0</v>
      </c>
      <c r="AC303" s="201">
        <f>SUMIFS([1]!Data_Loan[Value],[1]!Data_Loan[Index Loan],DTR!$B303,[1]!Data_Loan[TenCongTyID],DTR!$B$1,[1]!Data_Loan[Thang.Nam],DTR!AC$254)</f>
        <v>0</v>
      </c>
      <c r="AD303" s="201">
        <f>SUMIFS([1]!Data_Loan[Value],[1]!Data_Loan[Index Loan],DTR!$B303,[1]!Data_Loan[TenCongTyID],DTR!$B$1,[1]!Data_Loan[Thang.Nam],DTR!AD$254)</f>
        <v>0</v>
      </c>
      <c r="AE303" s="201">
        <f>SUMIFS([1]!Data_Loan[Value],[1]!Data_Loan[Index Loan],DTR!$B303,[1]!Data_Loan[TenCongTyID],DTR!$B$1,[1]!Data_Loan[Thang.Nam],DTR!AE$254)</f>
        <v>0</v>
      </c>
      <c r="AF303" s="201">
        <f>SUMIFS([1]!Data_Loan[Value],[1]!Data_Loan[Index Loan],DTR!$B303,[1]!Data_Loan[TenCongTyID],DTR!$B$1,[1]!Data_Loan[Thang.Nam],DTR!AF$254)</f>
        <v>0</v>
      </c>
      <c r="AG303" s="201">
        <f>SUMIFS([1]!Data_Loan[Value],[1]!Data_Loan[Index Loan],DTR!$B303,[1]!Data_Loan[TenCongTyID],DTR!$B$1,[1]!Data_Loan[Thang.Nam],DTR!AG$254)</f>
        <v>0</v>
      </c>
      <c r="AH303" s="201">
        <f>SUMIFS([1]!Data_Loan[Value],[1]!Data_Loan[Index Loan],DTR!$B303,[1]!Data_Loan[TenCongTyID],DTR!$B$1,[1]!Data_Loan[Thang.Nam],DTR!AH$254)</f>
        <v>0</v>
      </c>
      <c r="AI303" s="201">
        <f>SUMIFS([1]!Data_Loan[Value],[1]!Data_Loan[Index Loan],DTR!$B303,[1]!Data_Loan[TenCongTyID],DTR!$B$1,[1]!Data_Loan[Thang.Nam],DTR!AI$254)</f>
        <v>0</v>
      </c>
      <c r="AJ303" s="201">
        <f>SUMIFS([1]!Data_Loan[Value],[1]!Data_Loan[Index Loan],DTR!$B303,[1]!Data_Loan[TenCongTyID],DTR!$B$1,[1]!Data_Loan[Thang.Nam],DTR!AJ$254)</f>
        <v>0</v>
      </c>
      <c r="AK303" s="201">
        <f>SUMIFS([1]!Data_Loan[Value],[1]!Data_Loan[Index Loan],DTR!$B303,[1]!Data_Loan[TenCongTyID],DTR!$B$1,[1]!Data_Loan[Thang.Nam],DTR!AK$254)</f>
        <v>0</v>
      </c>
      <c r="AL303" s="201">
        <f>SUMIFS([1]!Data_Loan[Value],[1]!Data_Loan[Index Loan],DTR!$B303,[1]!Data_Loan[TenCongTyID],DTR!$B$1,[1]!Data_Loan[Thang.Nam],DTR!AL$254)</f>
        <v>0</v>
      </c>
    </row>
    <row r="304" spans="1:38" ht="15" hidden="1" customHeight="1" outlineLevel="1">
      <c r="A304" s="200" t="str">
        <f t="shared" si="50"/>
        <v>BIDV</v>
      </c>
      <c r="B304" s="329">
        <v>50</v>
      </c>
      <c r="N304" s="201">
        <f t="shared" si="51"/>
        <v>14105920563</v>
      </c>
      <c r="O304" s="201">
        <f t="shared" si="51"/>
        <v>0</v>
      </c>
      <c r="P304" s="201">
        <f t="shared" si="51"/>
        <v>0</v>
      </c>
      <c r="Q304" s="201">
        <f t="shared" si="51"/>
        <v>278194176</v>
      </c>
      <c r="R304" s="201">
        <f t="shared" si="51"/>
        <v>278194176</v>
      </c>
      <c r="S304" s="201">
        <f t="shared" si="51"/>
        <v>6031380657</v>
      </c>
      <c r="T304" s="201">
        <f t="shared" si="51"/>
        <v>14430851772</v>
      </c>
      <c r="U304" s="201">
        <f t="shared" si="51"/>
        <v>18498731431</v>
      </c>
      <c r="V304" s="201">
        <f t="shared" si="51"/>
        <v>23865375229</v>
      </c>
      <c r="W304" s="201">
        <f t="shared" si="51"/>
        <v>56646971705</v>
      </c>
      <c r="X304" s="201">
        <f t="shared" si="51"/>
        <v>67671155323</v>
      </c>
      <c r="Y304" s="201">
        <f t="shared" si="51"/>
        <v>95052324284</v>
      </c>
      <c r="Z304" s="201">
        <v>99872206577</v>
      </c>
      <c r="AA304" s="201">
        <f>SUMIFS([1]!Data_Loan[Value],[1]!Data_Loan[Index Loan],DTR!$B304,[1]!Data_Loan[TenCongTyID],DTR!$B$1,[1]!Data_Loan[Thang.Nam],DTR!AA$254)</f>
        <v>0</v>
      </c>
      <c r="AB304" s="201">
        <f>SUMIFS([1]!Data_Loan[Value],[1]!Data_Loan[Index Loan],DTR!$B304,[1]!Data_Loan[TenCongTyID],DTR!$B$1,[1]!Data_Loan[Thang.Nam],DTR!AB$254)</f>
        <v>0</v>
      </c>
      <c r="AC304" s="201">
        <f>SUMIFS([1]!Data_Loan[Value],[1]!Data_Loan[Index Loan],DTR!$B304,[1]!Data_Loan[TenCongTyID],DTR!$B$1,[1]!Data_Loan[Thang.Nam],DTR!AC$254)</f>
        <v>0</v>
      </c>
      <c r="AD304" s="201">
        <f>SUMIFS([1]!Data_Loan[Value],[1]!Data_Loan[Index Loan],DTR!$B304,[1]!Data_Loan[TenCongTyID],DTR!$B$1,[1]!Data_Loan[Thang.Nam],DTR!AD$254)</f>
        <v>0</v>
      </c>
      <c r="AE304" s="201">
        <f>SUMIFS([1]!Data_Loan[Value],[1]!Data_Loan[Index Loan],DTR!$B304,[1]!Data_Loan[TenCongTyID],DTR!$B$1,[1]!Data_Loan[Thang.Nam],DTR!AE$254)</f>
        <v>0</v>
      </c>
      <c r="AF304" s="201">
        <f>SUMIFS([1]!Data_Loan[Value],[1]!Data_Loan[Index Loan],DTR!$B304,[1]!Data_Loan[TenCongTyID],DTR!$B$1,[1]!Data_Loan[Thang.Nam],DTR!AF$254)</f>
        <v>0</v>
      </c>
      <c r="AG304" s="201">
        <f>SUMIFS([1]!Data_Loan[Value],[1]!Data_Loan[Index Loan],DTR!$B304,[1]!Data_Loan[TenCongTyID],DTR!$B$1,[1]!Data_Loan[Thang.Nam],DTR!AG$254)</f>
        <v>0</v>
      </c>
      <c r="AH304" s="201">
        <f>SUMIFS([1]!Data_Loan[Value],[1]!Data_Loan[Index Loan],DTR!$B304,[1]!Data_Loan[TenCongTyID],DTR!$B$1,[1]!Data_Loan[Thang.Nam],DTR!AH$254)</f>
        <v>0</v>
      </c>
      <c r="AI304" s="201">
        <f>SUMIFS([1]!Data_Loan[Value],[1]!Data_Loan[Index Loan],DTR!$B304,[1]!Data_Loan[TenCongTyID],DTR!$B$1,[1]!Data_Loan[Thang.Nam],DTR!AI$254)</f>
        <v>0</v>
      </c>
      <c r="AJ304" s="201">
        <f>SUMIFS([1]!Data_Loan[Value],[1]!Data_Loan[Index Loan],DTR!$B304,[1]!Data_Loan[TenCongTyID],DTR!$B$1,[1]!Data_Loan[Thang.Nam],DTR!AJ$254)</f>
        <v>0</v>
      </c>
      <c r="AK304" s="201">
        <f>SUMIFS([1]!Data_Loan[Value],[1]!Data_Loan[Index Loan],DTR!$B304,[1]!Data_Loan[TenCongTyID],DTR!$B$1,[1]!Data_Loan[Thang.Nam],DTR!AK$254)</f>
        <v>0</v>
      </c>
      <c r="AL304" s="201">
        <f>SUMIFS([1]!Data_Loan[Value],[1]!Data_Loan[Index Loan],DTR!$B304,[1]!Data_Loan[TenCongTyID],DTR!$B$1,[1]!Data_Loan[Thang.Nam],DTR!AL$254)</f>
        <v>0</v>
      </c>
    </row>
    <row r="305" spans="1:38" ht="15" hidden="1" customHeight="1" outlineLevel="1">
      <c r="A305" s="200" t="str">
        <f t="shared" si="50"/>
        <v>Standard Chartered</v>
      </c>
      <c r="B305" s="329">
        <v>51</v>
      </c>
      <c r="N305" s="201">
        <f t="shared" si="51"/>
        <v>0</v>
      </c>
      <c r="O305" s="201">
        <f t="shared" si="51"/>
        <v>0</v>
      </c>
      <c r="P305" s="201">
        <f t="shared" si="51"/>
        <v>0</v>
      </c>
      <c r="Q305" s="201">
        <f t="shared" si="51"/>
        <v>0</v>
      </c>
      <c r="R305" s="201">
        <f t="shared" si="51"/>
        <v>0</v>
      </c>
      <c r="S305" s="201">
        <f t="shared" si="51"/>
        <v>0</v>
      </c>
      <c r="T305" s="201">
        <f t="shared" si="51"/>
        <v>0</v>
      </c>
      <c r="U305" s="201">
        <f t="shared" si="51"/>
        <v>144752832</v>
      </c>
      <c r="V305" s="201">
        <f t="shared" si="51"/>
        <v>144752832</v>
      </c>
      <c r="W305" s="201">
        <f t="shared" si="51"/>
        <v>4692390016</v>
      </c>
      <c r="X305" s="201">
        <f t="shared" si="51"/>
        <v>4692390016</v>
      </c>
      <c r="Y305" s="201">
        <f t="shared" si="51"/>
        <v>4547637184</v>
      </c>
      <c r="Z305" s="201">
        <v>0</v>
      </c>
      <c r="AA305" s="201">
        <f>SUMIFS([1]!Data_Loan[Value],[1]!Data_Loan[Index Loan],DTR!$B305,[1]!Data_Loan[TenCongTyID],DTR!$B$1,[1]!Data_Loan[Thang.Nam],DTR!AA$254)</f>
        <v>0</v>
      </c>
      <c r="AB305" s="201">
        <f>SUMIFS([1]!Data_Loan[Value],[1]!Data_Loan[Index Loan],DTR!$B305,[1]!Data_Loan[TenCongTyID],DTR!$B$1,[1]!Data_Loan[Thang.Nam],DTR!AB$254)</f>
        <v>0</v>
      </c>
      <c r="AC305" s="201">
        <f>SUMIFS([1]!Data_Loan[Value],[1]!Data_Loan[Index Loan],DTR!$B305,[1]!Data_Loan[TenCongTyID],DTR!$B$1,[1]!Data_Loan[Thang.Nam],DTR!AC$254)</f>
        <v>0</v>
      </c>
      <c r="AD305" s="201">
        <f>SUMIFS([1]!Data_Loan[Value],[1]!Data_Loan[Index Loan],DTR!$B305,[1]!Data_Loan[TenCongTyID],DTR!$B$1,[1]!Data_Loan[Thang.Nam],DTR!AD$254)</f>
        <v>0</v>
      </c>
      <c r="AE305" s="201">
        <f>SUMIFS([1]!Data_Loan[Value],[1]!Data_Loan[Index Loan],DTR!$B305,[1]!Data_Loan[TenCongTyID],DTR!$B$1,[1]!Data_Loan[Thang.Nam],DTR!AE$254)</f>
        <v>0</v>
      </c>
      <c r="AF305" s="201">
        <f>SUMIFS([1]!Data_Loan[Value],[1]!Data_Loan[Index Loan],DTR!$B305,[1]!Data_Loan[TenCongTyID],DTR!$B$1,[1]!Data_Loan[Thang.Nam],DTR!AF$254)</f>
        <v>0</v>
      </c>
      <c r="AG305" s="201">
        <f>SUMIFS([1]!Data_Loan[Value],[1]!Data_Loan[Index Loan],DTR!$B305,[1]!Data_Loan[TenCongTyID],DTR!$B$1,[1]!Data_Loan[Thang.Nam],DTR!AG$254)</f>
        <v>0</v>
      </c>
      <c r="AH305" s="201">
        <f>SUMIFS([1]!Data_Loan[Value],[1]!Data_Loan[Index Loan],DTR!$B305,[1]!Data_Loan[TenCongTyID],DTR!$B$1,[1]!Data_Loan[Thang.Nam],DTR!AH$254)</f>
        <v>0</v>
      </c>
      <c r="AI305" s="201">
        <f>SUMIFS([1]!Data_Loan[Value],[1]!Data_Loan[Index Loan],DTR!$B305,[1]!Data_Loan[TenCongTyID],DTR!$B$1,[1]!Data_Loan[Thang.Nam],DTR!AI$254)</f>
        <v>0</v>
      </c>
      <c r="AJ305" s="201">
        <f>SUMIFS([1]!Data_Loan[Value],[1]!Data_Loan[Index Loan],DTR!$B305,[1]!Data_Loan[TenCongTyID],DTR!$B$1,[1]!Data_Loan[Thang.Nam],DTR!AJ$254)</f>
        <v>0</v>
      </c>
      <c r="AK305" s="201">
        <f>SUMIFS([1]!Data_Loan[Value],[1]!Data_Loan[Index Loan],DTR!$B305,[1]!Data_Loan[TenCongTyID],DTR!$B$1,[1]!Data_Loan[Thang.Nam],DTR!AK$254)</f>
        <v>0</v>
      </c>
      <c r="AL305" s="201">
        <f>SUMIFS([1]!Data_Loan[Value],[1]!Data_Loan[Index Loan],DTR!$B305,[1]!Data_Loan[TenCongTyID],DTR!$B$1,[1]!Data_Loan[Thang.Nam],DTR!AL$254)</f>
        <v>0</v>
      </c>
    </row>
    <row r="306" spans="1:38" ht="15" hidden="1" customHeight="1" outlineLevel="1">
      <c r="A306" s="200" t="str">
        <f t="shared" si="50"/>
        <v>VILC</v>
      </c>
      <c r="B306" s="329">
        <v>52</v>
      </c>
      <c r="N306" s="201">
        <f t="shared" si="51"/>
        <v>27222222222</v>
      </c>
      <c r="O306" s="201">
        <f t="shared" si="51"/>
        <v>26444444444</v>
      </c>
      <c r="P306" s="201">
        <f t="shared" si="51"/>
        <v>25666666666</v>
      </c>
      <c r="Q306" s="201">
        <f t="shared" si="51"/>
        <v>24888888888</v>
      </c>
      <c r="R306" s="201">
        <f t="shared" si="51"/>
        <v>24111111110</v>
      </c>
      <c r="S306" s="201">
        <f t="shared" si="51"/>
        <v>23333333332</v>
      </c>
      <c r="T306" s="201">
        <f t="shared" si="51"/>
        <v>22555555554</v>
      </c>
      <c r="U306" s="201">
        <f t="shared" si="51"/>
        <v>21777777776</v>
      </c>
      <c r="V306" s="201">
        <f t="shared" si="51"/>
        <v>20999999998</v>
      </c>
      <c r="W306" s="201">
        <f t="shared" si="51"/>
        <v>20222222220</v>
      </c>
      <c r="X306" s="201">
        <f t="shared" si="51"/>
        <v>19444444442</v>
      </c>
      <c r="Y306" s="201">
        <f t="shared" si="51"/>
        <v>18666666664</v>
      </c>
      <c r="Z306" s="201">
        <v>17888888886</v>
      </c>
      <c r="AA306" s="201">
        <f>SUMIFS([1]!Data_Loan[Value],[1]!Data_Loan[Index Loan],DTR!$B306,[1]!Data_Loan[TenCongTyID],DTR!$B$1,[1]!Data_Loan[Thang.Nam],DTR!AA$254)</f>
        <v>0</v>
      </c>
      <c r="AB306" s="201">
        <f>SUMIFS([1]!Data_Loan[Value],[1]!Data_Loan[Index Loan],DTR!$B306,[1]!Data_Loan[TenCongTyID],DTR!$B$1,[1]!Data_Loan[Thang.Nam],DTR!AB$254)</f>
        <v>0</v>
      </c>
      <c r="AC306" s="201">
        <f>SUMIFS([1]!Data_Loan[Value],[1]!Data_Loan[Index Loan],DTR!$B306,[1]!Data_Loan[TenCongTyID],DTR!$B$1,[1]!Data_Loan[Thang.Nam],DTR!AC$254)</f>
        <v>0</v>
      </c>
      <c r="AD306" s="201">
        <f>SUMIFS([1]!Data_Loan[Value],[1]!Data_Loan[Index Loan],DTR!$B306,[1]!Data_Loan[TenCongTyID],DTR!$B$1,[1]!Data_Loan[Thang.Nam],DTR!AD$254)</f>
        <v>0</v>
      </c>
      <c r="AE306" s="201">
        <f>SUMIFS([1]!Data_Loan[Value],[1]!Data_Loan[Index Loan],DTR!$B306,[1]!Data_Loan[TenCongTyID],DTR!$B$1,[1]!Data_Loan[Thang.Nam],DTR!AE$254)</f>
        <v>0</v>
      </c>
      <c r="AF306" s="201">
        <f>SUMIFS([1]!Data_Loan[Value],[1]!Data_Loan[Index Loan],DTR!$B306,[1]!Data_Loan[TenCongTyID],DTR!$B$1,[1]!Data_Loan[Thang.Nam],DTR!AF$254)</f>
        <v>0</v>
      </c>
      <c r="AG306" s="201">
        <f>SUMIFS([1]!Data_Loan[Value],[1]!Data_Loan[Index Loan],DTR!$B306,[1]!Data_Loan[TenCongTyID],DTR!$B$1,[1]!Data_Loan[Thang.Nam],DTR!AG$254)</f>
        <v>0</v>
      </c>
      <c r="AH306" s="201">
        <f>SUMIFS([1]!Data_Loan[Value],[1]!Data_Loan[Index Loan],DTR!$B306,[1]!Data_Loan[TenCongTyID],DTR!$B$1,[1]!Data_Loan[Thang.Nam],DTR!AH$254)</f>
        <v>0</v>
      </c>
      <c r="AI306" s="201">
        <f>SUMIFS([1]!Data_Loan[Value],[1]!Data_Loan[Index Loan],DTR!$B306,[1]!Data_Loan[TenCongTyID],DTR!$B$1,[1]!Data_Loan[Thang.Nam],DTR!AI$254)</f>
        <v>0</v>
      </c>
      <c r="AJ306" s="201">
        <f>SUMIFS([1]!Data_Loan[Value],[1]!Data_Loan[Index Loan],DTR!$B306,[1]!Data_Loan[TenCongTyID],DTR!$B$1,[1]!Data_Loan[Thang.Nam],DTR!AJ$254)</f>
        <v>0</v>
      </c>
      <c r="AK306" s="201">
        <f>SUMIFS([1]!Data_Loan[Value],[1]!Data_Loan[Index Loan],DTR!$B306,[1]!Data_Loan[TenCongTyID],DTR!$B$1,[1]!Data_Loan[Thang.Nam],DTR!AK$254)</f>
        <v>0</v>
      </c>
      <c r="AL306" s="201">
        <f>SUMIFS([1]!Data_Loan[Value],[1]!Data_Loan[Index Loan],DTR!$B306,[1]!Data_Loan[TenCongTyID],DTR!$B$1,[1]!Data_Loan[Thang.Nam],DTR!AL$254)</f>
        <v>0</v>
      </c>
    </row>
    <row r="307" spans="1:38" ht="15" hidden="1" customHeight="1" outlineLevel="1">
      <c r="A307" s="200" t="s">
        <v>347</v>
      </c>
      <c r="B307" s="329">
        <v>53</v>
      </c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>
        <v>0</v>
      </c>
      <c r="AA307" s="201">
        <f>SUMIFS([1]!Data_Loan[Value],[1]!Data_Loan[Index Loan],DTR!$B307,[1]!Data_Loan[TenCongTyID],DTR!$B$1,[1]!Data_Loan[Thang.Nam],DTR!AA$254)</f>
        <v>0</v>
      </c>
      <c r="AB307" s="201">
        <f>SUMIFS([1]!Data_Loan[Value],[1]!Data_Loan[Index Loan],DTR!$B307,[1]!Data_Loan[TenCongTyID],DTR!$B$1,[1]!Data_Loan[Thang.Nam],DTR!AB$254)</f>
        <v>0</v>
      </c>
      <c r="AC307" s="201">
        <f>SUMIFS([1]!Data_Loan[Value],[1]!Data_Loan[Index Loan],DTR!$B307,[1]!Data_Loan[TenCongTyID],DTR!$B$1,[1]!Data_Loan[Thang.Nam],DTR!AC$254)</f>
        <v>0</v>
      </c>
      <c r="AD307" s="201">
        <f>SUMIFS([1]!Data_Loan[Value],[1]!Data_Loan[Index Loan],DTR!$B307,[1]!Data_Loan[TenCongTyID],DTR!$B$1,[1]!Data_Loan[Thang.Nam],DTR!AD$254)</f>
        <v>0</v>
      </c>
      <c r="AE307" s="201">
        <f>SUMIFS([1]!Data_Loan[Value],[1]!Data_Loan[Index Loan],DTR!$B307,[1]!Data_Loan[TenCongTyID],DTR!$B$1,[1]!Data_Loan[Thang.Nam],DTR!AE$254)</f>
        <v>0</v>
      </c>
      <c r="AF307" s="201">
        <f>SUMIFS([1]!Data_Loan[Value],[1]!Data_Loan[Index Loan],DTR!$B307,[1]!Data_Loan[TenCongTyID],DTR!$B$1,[1]!Data_Loan[Thang.Nam],DTR!AF$254)</f>
        <v>0</v>
      </c>
      <c r="AG307" s="201">
        <f>SUMIFS([1]!Data_Loan[Value],[1]!Data_Loan[Index Loan],DTR!$B307,[1]!Data_Loan[TenCongTyID],DTR!$B$1,[1]!Data_Loan[Thang.Nam],DTR!AG$254)</f>
        <v>0</v>
      </c>
      <c r="AH307" s="201">
        <f>SUMIFS([1]!Data_Loan[Value],[1]!Data_Loan[Index Loan],DTR!$B307,[1]!Data_Loan[TenCongTyID],DTR!$B$1,[1]!Data_Loan[Thang.Nam],DTR!AH$254)</f>
        <v>0</v>
      </c>
      <c r="AI307" s="201">
        <f>SUMIFS([1]!Data_Loan[Value],[1]!Data_Loan[Index Loan],DTR!$B307,[1]!Data_Loan[TenCongTyID],DTR!$B$1,[1]!Data_Loan[Thang.Nam],DTR!AI$254)</f>
        <v>0</v>
      </c>
      <c r="AJ307" s="201">
        <f>SUMIFS([1]!Data_Loan[Value],[1]!Data_Loan[Index Loan],DTR!$B307,[1]!Data_Loan[TenCongTyID],DTR!$B$1,[1]!Data_Loan[Thang.Nam],DTR!AJ$254)</f>
        <v>0</v>
      </c>
      <c r="AK307" s="201">
        <f>SUMIFS([1]!Data_Loan[Value],[1]!Data_Loan[Index Loan],DTR!$B307,[1]!Data_Loan[TenCongTyID],DTR!$B$1,[1]!Data_Loan[Thang.Nam],DTR!AK$254)</f>
        <v>0</v>
      </c>
      <c r="AL307" s="201">
        <f>SUMIFS([1]!Data_Loan[Value],[1]!Data_Loan[Index Loan],DTR!$B307,[1]!Data_Loan[TenCongTyID],DTR!$B$1,[1]!Data_Loan[Thang.Nam],DTR!AL$254)</f>
        <v>0</v>
      </c>
    </row>
    <row r="308" spans="1:38" ht="15" hidden="1" customHeight="1" outlineLevel="1">
      <c r="B308" s="335">
        <v>54</v>
      </c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>
        <v>0</v>
      </c>
      <c r="AA308" s="201">
        <f>SUMIFS([1]!Data_Loan[Value],[1]!Data_Loan[Index Loan],DTR!$B308,[1]!Data_Loan[TenCongTyID],DTR!$B$1,[1]!Data_Loan[Thang.Nam],DTR!AA$254)</f>
        <v>0</v>
      </c>
      <c r="AB308" s="201">
        <f>SUMIFS([1]!Data_Loan[Value],[1]!Data_Loan[Index Loan],DTR!$B308,[1]!Data_Loan[TenCongTyID],DTR!$B$1,[1]!Data_Loan[Thang.Nam],DTR!AB$254)</f>
        <v>0</v>
      </c>
      <c r="AC308" s="201">
        <f>SUMIFS([1]!Data_Loan[Value],[1]!Data_Loan[Index Loan],DTR!$B308,[1]!Data_Loan[TenCongTyID],DTR!$B$1,[1]!Data_Loan[Thang.Nam],DTR!AC$254)</f>
        <v>0</v>
      </c>
      <c r="AD308" s="201">
        <f>SUMIFS([1]!Data_Loan[Value],[1]!Data_Loan[Index Loan],DTR!$B308,[1]!Data_Loan[TenCongTyID],DTR!$B$1,[1]!Data_Loan[Thang.Nam],DTR!AD$254)</f>
        <v>0</v>
      </c>
      <c r="AE308" s="201">
        <f>SUMIFS([1]!Data_Loan[Value],[1]!Data_Loan[Index Loan],DTR!$B308,[1]!Data_Loan[TenCongTyID],DTR!$B$1,[1]!Data_Loan[Thang.Nam],DTR!AE$254)</f>
        <v>0</v>
      </c>
      <c r="AF308" s="201">
        <f>SUMIFS([1]!Data_Loan[Value],[1]!Data_Loan[Index Loan],DTR!$B308,[1]!Data_Loan[TenCongTyID],DTR!$B$1,[1]!Data_Loan[Thang.Nam],DTR!AF$254)</f>
        <v>0</v>
      </c>
      <c r="AG308" s="201">
        <f>SUMIFS([1]!Data_Loan[Value],[1]!Data_Loan[Index Loan],DTR!$B308,[1]!Data_Loan[TenCongTyID],DTR!$B$1,[1]!Data_Loan[Thang.Nam],DTR!AG$254)</f>
        <v>0</v>
      </c>
      <c r="AH308" s="201">
        <f>SUMIFS([1]!Data_Loan[Value],[1]!Data_Loan[Index Loan],DTR!$B308,[1]!Data_Loan[TenCongTyID],DTR!$B$1,[1]!Data_Loan[Thang.Nam],DTR!AH$254)</f>
        <v>0</v>
      </c>
      <c r="AI308" s="201">
        <f>SUMIFS([1]!Data_Loan[Value],[1]!Data_Loan[Index Loan],DTR!$B308,[1]!Data_Loan[TenCongTyID],DTR!$B$1,[1]!Data_Loan[Thang.Nam],DTR!AI$254)</f>
        <v>0</v>
      </c>
      <c r="AJ308" s="201">
        <f>SUMIFS([1]!Data_Loan[Value],[1]!Data_Loan[Index Loan],DTR!$B308,[1]!Data_Loan[TenCongTyID],DTR!$B$1,[1]!Data_Loan[Thang.Nam],DTR!AJ$254)</f>
        <v>0</v>
      </c>
      <c r="AK308" s="201">
        <f>SUMIFS([1]!Data_Loan[Value],[1]!Data_Loan[Index Loan],DTR!$B308,[1]!Data_Loan[TenCongTyID],DTR!$B$1,[1]!Data_Loan[Thang.Nam],DTR!AK$254)</f>
        <v>0</v>
      </c>
      <c r="AL308" s="201">
        <f>SUMIFS([1]!Data_Loan[Value],[1]!Data_Loan[Index Loan],DTR!$B308,[1]!Data_Loan[TenCongTyID],DTR!$B$1,[1]!Data_Loan[Thang.Nam],DTR!AL$254)</f>
        <v>0</v>
      </c>
    </row>
    <row r="309" spans="1:38" ht="15" hidden="1" customHeight="1" outlineLevel="1" thickBot="1">
      <c r="A309" s="203" t="s">
        <v>372</v>
      </c>
      <c r="B309" s="332">
        <v>55</v>
      </c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>
        <f>SUM(Y310:Y317)</f>
        <v>0</v>
      </c>
      <c r="Z309" s="205">
        <v>0</v>
      </c>
      <c r="AA309" s="205">
        <f>SUMIFS([1]!Data_Loan[Value],[1]!Data_Loan[Index Loan],DTR!$B309,[1]!Data_Loan[TenCongTyID],DTR!$B$1,[1]!Data_Loan[Thang.Nam],DTR!AA$254)</f>
        <v>0</v>
      </c>
      <c r="AB309" s="205">
        <f>SUMIFS([1]!Data_Loan[Value],[1]!Data_Loan[Index Loan],DTR!$B309,[1]!Data_Loan[TenCongTyID],DTR!$B$1,[1]!Data_Loan[Thang.Nam],DTR!AB$254)</f>
        <v>0</v>
      </c>
      <c r="AC309" s="205">
        <f>SUMIFS([1]!Data_Loan[Value],[1]!Data_Loan[Index Loan],DTR!$B309,[1]!Data_Loan[TenCongTyID],DTR!$B$1,[1]!Data_Loan[Thang.Nam],DTR!AC$254)</f>
        <v>0</v>
      </c>
      <c r="AD309" s="205">
        <f>SUMIFS([1]!Data_Loan[Value],[1]!Data_Loan[Index Loan],DTR!$B309,[1]!Data_Loan[TenCongTyID],DTR!$B$1,[1]!Data_Loan[Thang.Nam],DTR!AD$254)</f>
        <v>0</v>
      </c>
      <c r="AE309" s="205">
        <f>SUMIFS([1]!Data_Loan[Value],[1]!Data_Loan[Index Loan],DTR!$B309,[1]!Data_Loan[TenCongTyID],DTR!$B$1,[1]!Data_Loan[Thang.Nam],DTR!AE$254)</f>
        <v>0</v>
      </c>
      <c r="AF309" s="205">
        <f>SUMIFS([1]!Data_Loan[Value],[1]!Data_Loan[Index Loan],DTR!$B309,[1]!Data_Loan[TenCongTyID],DTR!$B$1,[1]!Data_Loan[Thang.Nam],DTR!AF$254)</f>
        <v>0</v>
      </c>
      <c r="AG309" s="205">
        <f>SUMIFS([1]!Data_Loan[Value],[1]!Data_Loan[Index Loan],DTR!$B309,[1]!Data_Loan[TenCongTyID],DTR!$B$1,[1]!Data_Loan[Thang.Nam],DTR!AG$254)</f>
        <v>0</v>
      </c>
      <c r="AH309" s="205">
        <f>SUMIFS([1]!Data_Loan[Value],[1]!Data_Loan[Index Loan],DTR!$B309,[1]!Data_Loan[TenCongTyID],DTR!$B$1,[1]!Data_Loan[Thang.Nam],DTR!AH$254)</f>
        <v>0</v>
      </c>
      <c r="AI309" s="205">
        <f>SUMIFS([1]!Data_Loan[Value],[1]!Data_Loan[Index Loan],DTR!$B309,[1]!Data_Loan[TenCongTyID],DTR!$B$1,[1]!Data_Loan[Thang.Nam],DTR!AI$254)</f>
        <v>0</v>
      </c>
      <c r="AJ309" s="205">
        <f>SUMIFS([1]!Data_Loan[Value],[1]!Data_Loan[Index Loan],DTR!$B309,[1]!Data_Loan[TenCongTyID],DTR!$B$1,[1]!Data_Loan[Thang.Nam],DTR!AJ$254)</f>
        <v>0</v>
      </c>
      <c r="AK309" s="205">
        <f>SUMIFS([1]!Data_Loan[Value],[1]!Data_Loan[Index Loan],DTR!$B309,[1]!Data_Loan[TenCongTyID],DTR!$B$1,[1]!Data_Loan[Thang.Nam],DTR!AK$254)</f>
        <v>0</v>
      </c>
      <c r="AL309" s="205">
        <f>SUMIFS([1]!Data_Loan[Value],[1]!Data_Loan[Index Loan],DTR!$B309,[1]!Data_Loan[TenCongTyID],DTR!$B$1,[1]!Data_Loan[Thang.Nam],DTR!AL$254)</f>
        <v>0</v>
      </c>
    </row>
    <row r="310" spans="1:38" ht="15" hidden="1" customHeight="1" outlineLevel="1" thickTop="1">
      <c r="A310" s="200" t="str">
        <f t="shared" ref="A310:A315" si="52">A292</f>
        <v>ACB</v>
      </c>
      <c r="B310" s="335">
        <v>56</v>
      </c>
      <c r="Z310" s="49">
        <v>0</v>
      </c>
      <c r="AA310" s="49">
        <f>SUMIFS([1]!Data_Loan[Value],[1]!Data_Loan[Index Loan],DTR!$B310,[1]!Data_Loan[TenCongTyID],DTR!$B$1,[1]!Data_Loan[Thang.Nam],DTR!AA$254)</f>
        <v>0</v>
      </c>
      <c r="AB310" s="49">
        <f>SUMIFS([1]!Data_Loan[Value],[1]!Data_Loan[Index Loan],DTR!$B310,[1]!Data_Loan[TenCongTyID],DTR!$B$1,[1]!Data_Loan[Thang.Nam],DTR!AB$254)</f>
        <v>0</v>
      </c>
      <c r="AC310" s="49">
        <f>SUMIFS([1]!Data_Loan[Value],[1]!Data_Loan[Index Loan],DTR!$B310,[1]!Data_Loan[TenCongTyID],DTR!$B$1,[1]!Data_Loan[Thang.Nam],DTR!AC$254)</f>
        <v>0</v>
      </c>
      <c r="AD310" s="49">
        <f>SUMIFS([1]!Data_Loan[Value],[1]!Data_Loan[Index Loan],DTR!$B310,[1]!Data_Loan[TenCongTyID],DTR!$B$1,[1]!Data_Loan[Thang.Nam],DTR!AD$254)</f>
        <v>0</v>
      </c>
      <c r="AE310" s="49">
        <f>SUMIFS([1]!Data_Loan[Value],[1]!Data_Loan[Index Loan],DTR!$B310,[1]!Data_Loan[TenCongTyID],DTR!$B$1,[1]!Data_Loan[Thang.Nam],DTR!AE$254)</f>
        <v>0</v>
      </c>
      <c r="AF310" s="49">
        <f>SUMIFS([1]!Data_Loan[Value],[1]!Data_Loan[Index Loan],DTR!$B310,[1]!Data_Loan[TenCongTyID],DTR!$B$1,[1]!Data_Loan[Thang.Nam],DTR!AF$254)</f>
        <v>0</v>
      </c>
      <c r="AG310" s="49">
        <f>SUMIFS([1]!Data_Loan[Value],[1]!Data_Loan[Index Loan],DTR!$B310,[1]!Data_Loan[TenCongTyID],DTR!$B$1,[1]!Data_Loan[Thang.Nam],DTR!AG$254)</f>
        <v>0</v>
      </c>
      <c r="AH310" s="49">
        <f>SUMIFS([1]!Data_Loan[Value],[1]!Data_Loan[Index Loan],DTR!$B310,[1]!Data_Loan[TenCongTyID],DTR!$B$1,[1]!Data_Loan[Thang.Nam],DTR!AH$254)</f>
        <v>0</v>
      </c>
      <c r="AI310" s="49">
        <f>SUMIFS([1]!Data_Loan[Value],[1]!Data_Loan[Index Loan],DTR!$B310,[1]!Data_Loan[TenCongTyID],DTR!$B$1,[1]!Data_Loan[Thang.Nam],DTR!AI$254)</f>
        <v>0</v>
      </c>
      <c r="AJ310" s="49">
        <f>SUMIFS([1]!Data_Loan[Value],[1]!Data_Loan[Index Loan],DTR!$B310,[1]!Data_Loan[TenCongTyID],DTR!$B$1,[1]!Data_Loan[Thang.Nam],DTR!AJ$254)</f>
        <v>0</v>
      </c>
      <c r="AK310" s="49">
        <f>SUMIFS([1]!Data_Loan[Value],[1]!Data_Loan[Index Loan],DTR!$B310,[1]!Data_Loan[TenCongTyID],DTR!$B$1,[1]!Data_Loan[Thang.Nam],DTR!AK$254)</f>
        <v>0</v>
      </c>
      <c r="AL310" s="49">
        <f>SUMIFS([1]!Data_Loan[Value],[1]!Data_Loan[Index Loan],DTR!$B310,[1]!Data_Loan[TenCongTyID],DTR!$B$1,[1]!Data_Loan[Thang.Nam],DTR!AL$254)</f>
        <v>0</v>
      </c>
    </row>
    <row r="311" spans="1:38" ht="15" hidden="1" customHeight="1" outlineLevel="1">
      <c r="A311" s="200" t="str">
        <f t="shared" si="52"/>
        <v>VietinBank</v>
      </c>
      <c r="B311" s="335">
        <v>57</v>
      </c>
      <c r="Z311" s="49">
        <v>0</v>
      </c>
      <c r="AA311" s="49">
        <f>SUMIFS([1]!Data_Loan[Value],[1]!Data_Loan[Index Loan],DTR!$B311,[1]!Data_Loan[TenCongTyID],DTR!$B$1,[1]!Data_Loan[Thang.Nam],DTR!AA$254)</f>
        <v>0</v>
      </c>
      <c r="AB311" s="49">
        <f>SUMIFS([1]!Data_Loan[Value],[1]!Data_Loan[Index Loan],DTR!$B311,[1]!Data_Loan[TenCongTyID],DTR!$B$1,[1]!Data_Loan[Thang.Nam],DTR!AB$254)</f>
        <v>0</v>
      </c>
      <c r="AC311" s="49">
        <f>SUMIFS([1]!Data_Loan[Value],[1]!Data_Loan[Index Loan],DTR!$B311,[1]!Data_Loan[TenCongTyID],DTR!$B$1,[1]!Data_Loan[Thang.Nam],DTR!AC$254)</f>
        <v>0</v>
      </c>
      <c r="AD311" s="49">
        <f>SUMIFS([1]!Data_Loan[Value],[1]!Data_Loan[Index Loan],DTR!$B311,[1]!Data_Loan[TenCongTyID],DTR!$B$1,[1]!Data_Loan[Thang.Nam],DTR!AD$254)</f>
        <v>0</v>
      </c>
      <c r="AE311" s="49">
        <f>SUMIFS([1]!Data_Loan[Value],[1]!Data_Loan[Index Loan],DTR!$B311,[1]!Data_Loan[TenCongTyID],DTR!$B$1,[1]!Data_Loan[Thang.Nam],DTR!AE$254)</f>
        <v>0</v>
      </c>
      <c r="AF311" s="49">
        <f>SUMIFS([1]!Data_Loan[Value],[1]!Data_Loan[Index Loan],DTR!$B311,[1]!Data_Loan[TenCongTyID],DTR!$B$1,[1]!Data_Loan[Thang.Nam],DTR!AF$254)</f>
        <v>0</v>
      </c>
      <c r="AG311" s="49">
        <f>SUMIFS([1]!Data_Loan[Value],[1]!Data_Loan[Index Loan],DTR!$B311,[1]!Data_Loan[TenCongTyID],DTR!$B$1,[1]!Data_Loan[Thang.Nam],DTR!AG$254)</f>
        <v>0</v>
      </c>
      <c r="AH311" s="49">
        <f>SUMIFS([1]!Data_Loan[Value],[1]!Data_Loan[Index Loan],DTR!$B311,[1]!Data_Loan[TenCongTyID],DTR!$B$1,[1]!Data_Loan[Thang.Nam],DTR!AH$254)</f>
        <v>0</v>
      </c>
      <c r="AI311" s="49">
        <f>SUMIFS([1]!Data_Loan[Value],[1]!Data_Loan[Index Loan],DTR!$B311,[1]!Data_Loan[TenCongTyID],DTR!$B$1,[1]!Data_Loan[Thang.Nam],DTR!AI$254)</f>
        <v>0</v>
      </c>
      <c r="AJ311" s="49">
        <f>SUMIFS([1]!Data_Loan[Value],[1]!Data_Loan[Index Loan],DTR!$B311,[1]!Data_Loan[TenCongTyID],DTR!$B$1,[1]!Data_Loan[Thang.Nam],DTR!AJ$254)</f>
        <v>0</v>
      </c>
      <c r="AK311" s="49">
        <f>SUMIFS([1]!Data_Loan[Value],[1]!Data_Loan[Index Loan],DTR!$B311,[1]!Data_Loan[TenCongTyID],DTR!$B$1,[1]!Data_Loan[Thang.Nam],DTR!AK$254)</f>
        <v>0</v>
      </c>
      <c r="AL311" s="49">
        <f>SUMIFS([1]!Data_Loan[Value],[1]!Data_Loan[Index Loan],DTR!$B311,[1]!Data_Loan[TenCongTyID],DTR!$B$1,[1]!Data_Loan[Thang.Nam],DTR!AL$254)</f>
        <v>0</v>
      </c>
    </row>
    <row r="312" spans="1:38" ht="15" hidden="1" customHeight="1" outlineLevel="1">
      <c r="A312" s="200" t="str">
        <f t="shared" si="52"/>
        <v>Vietcombank</v>
      </c>
      <c r="B312" s="335">
        <v>58</v>
      </c>
      <c r="Z312" s="49">
        <v>0</v>
      </c>
      <c r="AA312" s="49">
        <f>SUMIFS([1]!Data_Loan[Value],[1]!Data_Loan[Index Loan],DTR!$B312,[1]!Data_Loan[TenCongTyID],DTR!$B$1,[1]!Data_Loan[Thang.Nam],DTR!AA$254)</f>
        <v>0</v>
      </c>
      <c r="AB312" s="49">
        <f>SUMIFS([1]!Data_Loan[Value],[1]!Data_Loan[Index Loan],DTR!$B312,[1]!Data_Loan[TenCongTyID],DTR!$B$1,[1]!Data_Loan[Thang.Nam],DTR!AB$254)</f>
        <v>0</v>
      </c>
      <c r="AC312" s="49">
        <f>SUMIFS([1]!Data_Loan[Value],[1]!Data_Loan[Index Loan],DTR!$B312,[1]!Data_Loan[TenCongTyID],DTR!$B$1,[1]!Data_Loan[Thang.Nam],DTR!AC$254)</f>
        <v>0</v>
      </c>
      <c r="AD312" s="49">
        <f>SUMIFS([1]!Data_Loan[Value],[1]!Data_Loan[Index Loan],DTR!$B312,[1]!Data_Loan[TenCongTyID],DTR!$B$1,[1]!Data_Loan[Thang.Nam],DTR!AD$254)</f>
        <v>0</v>
      </c>
      <c r="AE312" s="49">
        <f>SUMIFS([1]!Data_Loan[Value],[1]!Data_Loan[Index Loan],DTR!$B312,[1]!Data_Loan[TenCongTyID],DTR!$B$1,[1]!Data_Loan[Thang.Nam],DTR!AE$254)</f>
        <v>0</v>
      </c>
      <c r="AF312" s="49">
        <f>SUMIFS([1]!Data_Loan[Value],[1]!Data_Loan[Index Loan],DTR!$B312,[1]!Data_Loan[TenCongTyID],DTR!$B$1,[1]!Data_Loan[Thang.Nam],DTR!AF$254)</f>
        <v>0</v>
      </c>
      <c r="AG312" s="49">
        <f>SUMIFS([1]!Data_Loan[Value],[1]!Data_Loan[Index Loan],DTR!$B312,[1]!Data_Loan[TenCongTyID],DTR!$B$1,[1]!Data_Loan[Thang.Nam],DTR!AG$254)</f>
        <v>0</v>
      </c>
      <c r="AH312" s="49">
        <f>SUMIFS([1]!Data_Loan[Value],[1]!Data_Loan[Index Loan],DTR!$B312,[1]!Data_Loan[TenCongTyID],DTR!$B$1,[1]!Data_Loan[Thang.Nam],DTR!AH$254)</f>
        <v>0</v>
      </c>
      <c r="AI312" s="49">
        <f>SUMIFS([1]!Data_Loan[Value],[1]!Data_Loan[Index Loan],DTR!$B312,[1]!Data_Loan[TenCongTyID],DTR!$B$1,[1]!Data_Loan[Thang.Nam],DTR!AI$254)</f>
        <v>0</v>
      </c>
      <c r="AJ312" s="49">
        <f>SUMIFS([1]!Data_Loan[Value],[1]!Data_Loan[Index Loan],DTR!$B312,[1]!Data_Loan[TenCongTyID],DTR!$B$1,[1]!Data_Loan[Thang.Nam],DTR!AJ$254)</f>
        <v>0</v>
      </c>
      <c r="AK312" s="49">
        <f>SUMIFS([1]!Data_Loan[Value],[1]!Data_Loan[Index Loan],DTR!$B312,[1]!Data_Loan[TenCongTyID],DTR!$B$1,[1]!Data_Loan[Thang.Nam],DTR!AK$254)</f>
        <v>0</v>
      </c>
      <c r="AL312" s="49">
        <f>SUMIFS([1]!Data_Loan[Value],[1]!Data_Loan[Index Loan],DTR!$B312,[1]!Data_Loan[TenCongTyID],DTR!$B$1,[1]!Data_Loan[Thang.Nam],DTR!AL$254)</f>
        <v>0</v>
      </c>
    </row>
    <row r="313" spans="1:38" ht="15" hidden="1" customHeight="1" outlineLevel="1">
      <c r="A313" s="200" t="str">
        <f t="shared" si="52"/>
        <v>BIDV</v>
      </c>
      <c r="B313" s="335">
        <v>59</v>
      </c>
      <c r="Z313" s="49">
        <v>0</v>
      </c>
      <c r="AA313" s="49">
        <f>SUMIFS([1]!Data_Loan[Value],[1]!Data_Loan[Index Loan],DTR!$B313,[1]!Data_Loan[TenCongTyID],DTR!$B$1,[1]!Data_Loan[Thang.Nam],DTR!AA$254)</f>
        <v>0</v>
      </c>
      <c r="AB313" s="49">
        <f>SUMIFS([1]!Data_Loan[Value],[1]!Data_Loan[Index Loan],DTR!$B313,[1]!Data_Loan[TenCongTyID],DTR!$B$1,[1]!Data_Loan[Thang.Nam],DTR!AB$254)</f>
        <v>0</v>
      </c>
      <c r="AC313" s="49">
        <f>SUMIFS([1]!Data_Loan[Value],[1]!Data_Loan[Index Loan],DTR!$B313,[1]!Data_Loan[TenCongTyID],DTR!$B$1,[1]!Data_Loan[Thang.Nam],DTR!AC$254)</f>
        <v>0</v>
      </c>
      <c r="AD313" s="49">
        <f>SUMIFS([1]!Data_Loan[Value],[1]!Data_Loan[Index Loan],DTR!$B313,[1]!Data_Loan[TenCongTyID],DTR!$B$1,[1]!Data_Loan[Thang.Nam],DTR!AD$254)</f>
        <v>0</v>
      </c>
      <c r="AE313" s="49">
        <f>SUMIFS([1]!Data_Loan[Value],[1]!Data_Loan[Index Loan],DTR!$B313,[1]!Data_Loan[TenCongTyID],DTR!$B$1,[1]!Data_Loan[Thang.Nam],DTR!AE$254)</f>
        <v>0</v>
      </c>
      <c r="AF313" s="49">
        <f>SUMIFS([1]!Data_Loan[Value],[1]!Data_Loan[Index Loan],DTR!$B313,[1]!Data_Loan[TenCongTyID],DTR!$B$1,[1]!Data_Loan[Thang.Nam],DTR!AF$254)</f>
        <v>0</v>
      </c>
      <c r="AG313" s="49">
        <f>SUMIFS([1]!Data_Loan[Value],[1]!Data_Loan[Index Loan],DTR!$B313,[1]!Data_Loan[TenCongTyID],DTR!$B$1,[1]!Data_Loan[Thang.Nam],DTR!AG$254)</f>
        <v>0</v>
      </c>
      <c r="AH313" s="49">
        <f>SUMIFS([1]!Data_Loan[Value],[1]!Data_Loan[Index Loan],DTR!$B313,[1]!Data_Loan[TenCongTyID],DTR!$B$1,[1]!Data_Loan[Thang.Nam],DTR!AH$254)</f>
        <v>0</v>
      </c>
      <c r="AI313" s="49">
        <f>SUMIFS([1]!Data_Loan[Value],[1]!Data_Loan[Index Loan],DTR!$B313,[1]!Data_Loan[TenCongTyID],DTR!$B$1,[1]!Data_Loan[Thang.Nam],DTR!AI$254)</f>
        <v>0</v>
      </c>
      <c r="AJ313" s="49">
        <f>SUMIFS([1]!Data_Loan[Value],[1]!Data_Loan[Index Loan],DTR!$B313,[1]!Data_Loan[TenCongTyID],DTR!$B$1,[1]!Data_Loan[Thang.Nam],DTR!AJ$254)</f>
        <v>0</v>
      </c>
      <c r="AK313" s="49">
        <f>SUMIFS([1]!Data_Loan[Value],[1]!Data_Loan[Index Loan],DTR!$B313,[1]!Data_Loan[TenCongTyID],DTR!$B$1,[1]!Data_Loan[Thang.Nam],DTR!AK$254)</f>
        <v>0</v>
      </c>
      <c r="AL313" s="49">
        <f>SUMIFS([1]!Data_Loan[Value],[1]!Data_Loan[Index Loan],DTR!$B313,[1]!Data_Loan[TenCongTyID],DTR!$B$1,[1]!Data_Loan[Thang.Nam],DTR!AL$254)</f>
        <v>0</v>
      </c>
    </row>
    <row r="314" spans="1:38" ht="15" hidden="1" customHeight="1" outlineLevel="1">
      <c r="A314" s="200" t="str">
        <f t="shared" si="52"/>
        <v>Standard Chartered</v>
      </c>
      <c r="B314" s="335">
        <v>60</v>
      </c>
      <c r="Z314" s="49">
        <v>0</v>
      </c>
      <c r="AA314" s="49">
        <f>SUMIFS([1]!Data_Loan[Value],[1]!Data_Loan[Index Loan],DTR!$B314,[1]!Data_Loan[TenCongTyID],DTR!$B$1,[1]!Data_Loan[Thang.Nam],DTR!AA$254)</f>
        <v>0</v>
      </c>
      <c r="AB314" s="49">
        <f>SUMIFS([1]!Data_Loan[Value],[1]!Data_Loan[Index Loan],DTR!$B314,[1]!Data_Loan[TenCongTyID],DTR!$B$1,[1]!Data_Loan[Thang.Nam],DTR!AB$254)</f>
        <v>0</v>
      </c>
      <c r="AC314" s="49">
        <f>SUMIFS([1]!Data_Loan[Value],[1]!Data_Loan[Index Loan],DTR!$B314,[1]!Data_Loan[TenCongTyID],DTR!$B$1,[1]!Data_Loan[Thang.Nam],DTR!AC$254)</f>
        <v>0</v>
      </c>
      <c r="AD314" s="49">
        <f>SUMIFS([1]!Data_Loan[Value],[1]!Data_Loan[Index Loan],DTR!$B314,[1]!Data_Loan[TenCongTyID],DTR!$B$1,[1]!Data_Loan[Thang.Nam],DTR!AD$254)</f>
        <v>0</v>
      </c>
      <c r="AE314" s="49">
        <f>SUMIFS([1]!Data_Loan[Value],[1]!Data_Loan[Index Loan],DTR!$B314,[1]!Data_Loan[TenCongTyID],DTR!$B$1,[1]!Data_Loan[Thang.Nam],DTR!AE$254)</f>
        <v>0</v>
      </c>
      <c r="AF314" s="49">
        <f>SUMIFS([1]!Data_Loan[Value],[1]!Data_Loan[Index Loan],DTR!$B314,[1]!Data_Loan[TenCongTyID],DTR!$B$1,[1]!Data_Loan[Thang.Nam],DTR!AF$254)</f>
        <v>0</v>
      </c>
      <c r="AG314" s="49">
        <f>SUMIFS([1]!Data_Loan[Value],[1]!Data_Loan[Index Loan],DTR!$B314,[1]!Data_Loan[TenCongTyID],DTR!$B$1,[1]!Data_Loan[Thang.Nam],DTR!AG$254)</f>
        <v>0</v>
      </c>
      <c r="AH314" s="49">
        <f>SUMIFS([1]!Data_Loan[Value],[1]!Data_Loan[Index Loan],DTR!$B314,[1]!Data_Loan[TenCongTyID],DTR!$B$1,[1]!Data_Loan[Thang.Nam],DTR!AH$254)</f>
        <v>0</v>
      </c>
      <c r="AI314" s="49">
        <f>SUMIFS([1]!Data_Loan[Value],[1]!Data_Loan[Index Loan],DTR!$B314,[1]!Data_Loan[TenCongTyID],DTR!$B$1,[1]!Data_Loan[Thang.Nam],DTR!AI$254)</f>
        <v>0</v>
      </c>
      <c r="AJ314" s="49">
        <f>SUMIFS([1]!Data_Loan[Value],[1]!Data_Loan[Index Loan],DTR!$B314,[1]!Data_Loan[TenCongTyID],DTR!$B$1,[1]!Data_Loan[Thang.Nam],DTR!AJ$254)</f>
        <v>0</v>
      </c>
      <c r="AK314" s="49">
        <f>SUMIFS([1]!Data_Loan[Value],[1]!Data_Loan[Index Loan],DTR!$B314,[1]!Data_Loan[TenCongTyID],DTR!$B$1,[1]!Data_Loan[Thang.Nam],DTR!AK$254)</f>
        <v>0</v>
      </c>
      <c r="AL314" s="49">
        <f>SUMIFS([1]!Data_Loan[Value],[1]!Data_Loan[Index Loan],DTR!$B314,[1]!Data_Loan[TenCongTyID],DTR!$B$1,[1]!Data_Loan[Thang.Nam],DTR!AL$254)</f>
        <v>0</v>
      </c>
    </row>
    <row r="315" spans="1:38" ht="15" hidden="1" customHeight="1" outlineLevel="1">
      <c r="A315" s="200" t="str">
        <f t="shared" si="52"/>
        <v>VILC</v>
      </c>
      <c r="B315" s="335">
        <v>61</v>
      </c>
      <c r="Z315" s="49">
        <v>0</v>
      </c>
      <c r="AA315" s="49">
        <f>SUMIFS([1]!Data_Loan[Value],[1]!Data_Loan[Index Loan],DTR!$B315,[1]!Data_Loan[TenCongTyID],DTR!$B$1,[1]!Data_Loan[Thang.Nam],DTR!AA$254)</f>
        <v>0</v>
      </c>
      <c r="AB315" s="49">
        <f>SUMIFS([1]!Data_Loan[Value],[1]!Data_Loan[Index Loan],DTR!$B315,[1]!Data_Loan[TenCongTyID],DTR!$B$1,[1]!Data_Loan[Thang.Nam],DTR!AB$254)</f>
        <v>0</v>
      </c>
      <c r="AC315" s="49">
        <f>SUMIFS([1]!Data_Loan[Value],[1]!Data_Loan[Index Loan],DTR!$B315,[1]!Data_Loan[TenCongTyID],DTR!$B$1,[1]!Data_Loan[Thang.Nam],DTR!AC$254)</f>
        <v>0</v>
      </c>
      <c r="AD315" s="49">
        <f>SUMIFS([1]!Data_Loan[Value],[1]!Data_Loan[Index Loan],DTR!$B315,[1]!Data_Loan[TenCongTyID],DTR!$B$1,[1]!Data_Loan[Thang.Nam],DTR!AD$254)</f>
        <v>0</v>
      </c>
      <c r="AE315" s="49">
        <f>SUMIFS([1]!Data_Loan[Value],[1]!Data_Loan[Index Loan],DTR!$B315,[1]!Data_Loan[TenCongTyID],DTR!$B$1,[1]!Data_Loan[Thang.Nam],DTR!AE$254)</f>
        <v>0</v>
      </c>
      <c r="AF315" s="49">
        <f>SUMIFS([1]!Data_Loan[Value],[1]!Data_Loan[Index Loan],DTR!$B315,[1]!Data_Loan[TenCongTyID],DTR!$B$1,[1]!Data_Loan[Thang.Nam],DTR!AF$254)</f>
        <v>0</v>
      </c>
      <c r="AG315" s="49">
        <f>SUMIFS([1]!Data_Loan[Value],[1]!Data_Loan[Index Loan],DTR!$B315,[1]!Data_Loan[TenCongTyID],DTR!$B$1,[1]!Data_Loan[Thang.Nam],DTR!AG$254)</f>
        <v>0</v>
      </c>
      <c r="AH315" s="49">
        <f>SUMIFS([1]!Data_Loan[Value],[1]!Data_Loan[Index Loan],DTR!$B315,[1]!Data_Loan[TenCongTyID],DTR!$B$1,[1]!Data_Loan[Thang.Nam],DTR!AH$254)</f>
        <v>0</v>
      </c>
      <c r="AI315" s="49">
        <f>SUMIFS([1]!Data_Loan[Value],[1]!Data_Loan[Index Loan],DTR!$B315,[1]!Data_Loan[TenCongTyID],DTR!$B$1,[1]!Data_Loan[Thang.Nam],DTR!AI$254)</f>
        <v>0</v>
      </c>
      <c r="AJ315" s="49">
        <f>SUMIFS([1]!Data_Loan[Value],[1]!Data_Loan[Index Loan],DTR!$B315,[1]!Data_Loan[TenCongTyID],DTR!$B$1,[1]!Data_Loan[Thang.Nam],DTR!AJ$254)</f>
        <v>0</v>
      </c>
      <c r="AK315" s="49">
        <f>SUMIFS([1]!Data_Loan[Value],[1]!Data_Loan[Index Loan],DTR!$B315,[1]!Data_Loan[TenCongTyID],DTR!$B$1,[1]!Data_Loan[Thang.Nam],DTR!AK$254)</f>
        <v>0</v>
      </c>
      <c r="AL315" s="49">
        <f>SUMIFS([1]!Data_Loan[Value],[1]!Data_Loan[Index Loan],DTR!$B315,[1]!Data_Loan[TenCongTyID],DTR!$B$1,[1]!Data_Loan[Thang.Nam],DTR!AL$254)</f>
        <v>0</v>
      </c>
    </row>
    <row r="316" spans="1:38" ht="15" hidden="1" customHeight="1" outlineLevel="1">
      <c r="A316" s="200" t="s">
        <v>347</v>
      </c>
      <c r="B316" s="335">
        <v>62</v>
      </c>
      <c r="Z316" s="49">
        <v>0</v>
      </c>
      <c r="AA316" s="49">
        <f>SUMIFS([1]!Data_Loan[Value],[1]!Data_Loan[Index Loan],DTR!$B316,[1]!Data_Loan[TenCongTyID],DTR!$B$1,[1]!Data_Loan[Thang.Nam],DTR!AA$254)</f>
        <v>0</v>
      </c>
      <c r="AB316" s="49">
        <f>SUMIFS([1]!Data_Loan[Value],[1]!Data_Loan[Index Loan],DTR!$B316,[1]!Data_Loan[TenCongTyID],DTR!$B$1,[1]!Data_Loan[Thang.Nam],DTR!AB$254)</f>
        <v>0</v>
      </c>
      <c r="AC316" s="49">
        <f>SUMIFS([1]!Data_Loan[Value],[1]!Data_Loan[Index Loan],DTR!$B316,[1]!Data_Loan[TenCongTyID],DTR!$B$1,[1]!Data_Loan[Thang.Nam],DTR!AC$254)</f>
        <v>0</v>
      </c>
      <c r="AD316" s="49">
        <f>SUMIFS([1]!Data_Loan[Value],[1]!Data_Loan[Index Loan],DTR!$B316,[1]!Data_Loan[TenCongTyID],DTR!$B$1,[1]!Data_Loan[Thang.Nam],DTR!AD$254)</f>
        <v>0</v>
      </c>
      <c r="AE316" s="49">
        <f>SUMIFS([1]!Data_Loan[Value],[1]!Data_Loan[Index Loan],DTR!$B316,[1]!Data_Loan[TenCongTyID],DTR!$B$1,[1]!Data_Loan[Thang.Nam],DTR!AE$254)</f>
        <v>0</v>
      </c>
      <c r="AF316" s="49">
        <f>SUMIFS([1]!Data_Loan[Value],[1]!Data_Loan[Index Loan],DTR!$B316,[1]!Data_Loan[TenCongTyID],DTR!$B$1,[1]!Data_Loan[Thang.Nam],DTR!AF$254)</f>
        <v>0</v>
      </c>
      <c r="AG316" s="49">
        <f>SUMIFS([1]!Data_Loan[Value],[1]!Data_Loan[Index Loan],DTR!$B316,[1]!Data_Loan[TenCongTyID],DTR!$B$1,[1]!Data_Loan[Thang.Nam],DTR!AG$254)</f>
        <v>0</v>
      </c>
      <c r="AH316" s="49">
        <f>SUMIFS([1]!Data_Loan[Value],[1]!Data_Loan[Index Loan],DTR!$B316,[1]!Data_Loan[TenCongTyID],DTR!$B$1,[1]!Data_Loan[Thang.Nam],DTR!AH$254)</f>
        <v>0</v>
      </c>
      <c r="AI316" s="49">
        <f>SUMIFS([1]!Data_Loan[Value],[1]!Data_Loan[Index Loan],DTR!$B316,[1]!Data_Loan[TenCongTyID],DTR!$B$1,[1]!Data_Loan[Thang.Nam],DTR!AI$254)</f>
        <v>0</v>
      </c>
      <c r="AJ316" s="49">
        <f>SUMIFS([1]!Data_Loan[Value],[1]!Data_Loan[Index Loan],DTR!$B316,[1]!Data_Loan[TenCongTyID],DTR!$B$1,[1]!Data_Loan[Thang.Nam],DTR!AJ$254)</f>
        <v>0</v>
      </c>
      <c r="AK316" s="49">
        <f>SUMIFS([1]!Data_Loan[Value],[1]!Data_Loan[Index Loan],DTR!$B316,[1]!Data_Loan[TenCongTyID],DTR!$B$1,[1]!Data_Loan[Thang.Nam],DTR!AK$254)</f>
        <v>0</v>
      </c>
      <c r="AL316" s="49">
        <f>SUMIFS([1]!Data_Loan[Value],[1]!Data_Loan[Index Loan],DTR!$B316,[1]!Data_Loan[TenCongTyID],DTR!$B$1,[1]!Data_Loan[Thang.Nam],DTR!AL$254)</f>
        <v>0</v>
      </c>
    </row>
    <row r="317" spans="1:38" ht="15" hidden="1" customHeight="1" outlineLevel="1">
      <c r="B317" s="335">
        <v>63</v>
      </c>
      <c r="Z317" s="49">
        <v>0</v>
      </c>
      <c r="AA317" s="49">
        <f>SUMIFS([1]!Data_Loan[Value],[1]!Data_Loan[Index Loan],DTR!$B317,[1]!Data_Loan[TenCongTyID],DTR!$B$1,[1]!Data_Loan[Thang.Nam],DTR!AA$254)</f>
        <v>0</v>
      </c>
      <c r="AB317" s="49">
        <f>SUMIFS([1]!Data_Loan[Value],[1]!Data_Loan[Index Loan],DTR!$B317,[1]!Data_Loan[TenCongTyID],DTR!$B$1,[1]!Data_Loan[Thang.Nam],DTR!AB$254)</f>
        <v>0</v>
      </c>
      <c r="AC317" s="49">
        <f>SUMIFS([1]!Data_Loan[Value],[1]!Data_Loan[Index Loan],DTR!$B317,[1]!Data_Loan[TenCongTyID],DTR!$B$1,[1]!Data_Loan[Thang.Nam],DTR!AC$254)</f>
        <v>0</v>
      </c>
      <c r="AD317" s="49">
        <f>SUMIFS([1]!Data_Loan[Value],[1]!Data_Loan[Index Loan],DTR!$B317,[1]!Data_Loan[TenCongTyID],DTR!$B$1,[1]!Data_Loan[Thang.Nam],DTR!AD$254)</f>
        <v>0</v>
      </c>
      <c r="AE317" s="49">
        <f>SUMIFS([1]!Data_Loan[Value],[1]!Data_Loan[Index Loan],DTR!$B317,[1]!Data_Loan[TenCongTyID],DTR!$B$1,[1]!Data_Loan[Thang.Nam],DTR!AE$254)</f>
        <v>0</v>
      </c>
      <c r="AF317" s="49">
        <f>SUMIFS([1]!Data_Loan[Value],[1]!Data_Loan[Index Loan],DTR!$B317,[1]!Data_Loan[TenCongTyID],DTR!$B$1,[1]!Data_Loan[Thang.Nam],DTR!AF$254)</f>
        <v>0</v>
      </c>
      <c r="AG317" s="49">
        <f>SUMIFS([1]!Data_Loan[Value],[1]!Data_Loan[Index Loan],DTR!$B317,[1]!Data_Loan[TenCongTyID],DTR!$B$1,[1]!Data_Loan[Thang.Nam],DTR!AG$254)</f>
        <v>0</v>
      </c>
      <c r="AH317" s="49">
        <f>SUMIFS([1]!Data_Loan[Value],[1]!Data_Loan[Index Loan],DTR!$B317,[1]!Data_Loan[TenCongTyID],DTR!$B$1,[1]!Data_Loan[Thang.Nam],DTR!AH$254)</f>
        <v>0</v>
      </c>
      <c r="AI317" s="49">
        <f>SUMIFS([1]!Data_Loan[Value],[1]!Data_Loan[Index Loan],DTR!$B317,[1]!Data_Loan[TenCongTyID],DTR!$B$1,[1]!Data_Loan[Thang.Nam],DTR!AI$254)</f>
        <v>0</v>
      </c>
      <c r="AJ317" s="49">
        <f>SUMIFS([1]!Data_Loan[Value],[1]!Data_Loan[Index Loan],DTR!$B317,[1]!Data_Loan[TenCongTyID],DTR!$B$1,[1]!Data_Loan[Thang.Nam],DTR!AJ$254)</f>
        <v>0</v>
      </c>
      <c r="AK317" s="49">
        <f>SUMIFS([1]!Data_Loan[Value],[1]!Data_Loan[Index Loan],DTR!$B317,[1]!Data_Loan[TenCongTyID],DTR!$B$1,[1]!Data_Loan[Thang.Nam],DTR!AK$254)</f>
        <v>0</v>
      </c>
      <c r="AL317" s="49">
        <f>SUMIFS([1]!Data_Loan[Value],[1]!Data_Loan[Index Loan],DTR!$B317,[1]!Data_Loan[TenCongTyID],DTR!$B$1,[1]!Data_Loan[Thang.Nam],DTR!AL$254)</f>
        <v>0</v>
      </c>
    </row>
    <row r="318" spans="1:38" ht="15" hidden="1" customHeight="1" outlineLevel="1" thickBot="1">
      <c r="A318" s="203" t="s">
        <v>373</v>
      </c>
      <c r="B318" s="332">
        <v>64</v>
      </c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>
        <v>0</v>
      </c>
      <c r="AA318" s="205">
        <f>SUMIFS([1]!Data_Loan[Value],[1]!Data_Loan[Index Loan],DTR!$B318,[1]!Data_Loan[TenCongTyID],DTR!$B$1,[1]!Data_Loan[Thang.Nam],DTR!AA$254)</f>
        <v>0</v>
      </c>
      <c r="AB318" s="205">
        <f>SUMIFS([1]!Data_Loan[Value],[1]!Data_Loan[Index Loan],DTR!$B318,[1]!Data_Loan[TenCongTyID],DTR!$B$1,[1]!Data_Loan[Thang.Nam],DTR!AB$254)</f>
        <v>0</v>
      </c>
      <c r="AC318" s="205">
        <f>SUMIFS([1]!Data_Loan[Value],[1]!Data_Loan[Index Loan],DTR!$B318,[1]!Data_Loan[TenCongTyID],DTR!$B$1,[1]!Data_Loan[Thang.Nam],DTR!AC$254)</f>
        <v>0</v>
      </c>
      <c r="AD318" s="205">
        <f>SUMIFS([1]!Data_Loan[Value],[1]!Data_Loan[Index Loan],DTR!$B318,[1]!Data_Loan[TenCongTyID],DTR!$B$1,[1]!Data_Loan[Thang.Nam],DTR!AD$254)</f>
        <v>0</v>
      </c>
      <c r="AE318" s="205">
        <f>SUMIFS([1]!Data_Loan[Value],[1]!Data_Loan[Index Loan],DTR!$B318,[1]!Data_Loan[TenCongTyID],DTR!$B$1,[1]!Data_Loan[Thang.Nam],DTR!AE$254)</f>
        <v>0</v>
      </c>
      <c r="AF318" s="205">
        <f>SUMIFS([1]!Data_Loan[Value],[1]!Data_Loan[Index Loan],DTR!$B318,[1]!Data_Loan[TenCongTyID],DTR!$B$1,[1]!Data_Loan[Thang.Nam],DTR!AF$254)</f>
        <v>0</v>
      </c>
      <c r="AG318" s="205">
        <f>SUMIFS([1]!Data_Loan[Value],[1]!Data_Loan[Index Loan],DTR!$B318,[1]!Data_Loan[TenCongTyID],DTR!$B$1,[1]!Data_Loan[Thang.Nam],DTR!AG$254)</f>
        <v>0</v>
      </c>
      <c r="AH318" s="205">
        <f>SUMIFS([1]!Data_Loan[Value],[1]!Data_Loan[Index Loan],DTR!$B318,[1]!Data_Loan[TenCongTyID],DTR!$B$1,[1]!Data_Loan[Thang.Nam],DTR!AH$254)</f>
        <v>0</v>
      </c>
      <c r="AI318" s="205">
        <f>SUMIFS([1]!Data_Loan[Value],[1]!Data_Loan[Index Loan],DTR!$B318,[1]!Data_Loan[TenCongTyID],DTR!$B$1,[1]!Data_Loan[Thang.Nam],DTR!AI$254)</f>
        <v>0</v>
      </c>
      <c r="AJ318" s="205">
        <f>SUMIFS([1]!Data_Loan[Value],[1]!Data_Loan[Index Loan],DTR!$B318,[1]!Data_Loan[TenCongTyID],DTR!$B$1,[1]!Data_Loan[Thang.Nam],DTR!AJ$254)</f>
        <v>0</v>
      </c>
      <c r="AK318" s="205">
        <f>SUMIFS([1]!Data_Loan[Value],[1]!Data_Loan[Index Loan],DTR!$B318,[1]!Data_Loan[TenCongTyID],DTR!$B$1,[1]!Data_Loan[Thang.Nam],DTR!AK$254)</f>
        <v>0</v>
      </c>
      <c r="AL318" s="205">
        <f>SUMIFS([1]!Data_Loan[Value],[1]!Data_Loan[Index Loan],DTR!$B318,[1]!Data_Loan[TenCongTyID],DTR!$B$1,[1]!Data_Loan[Thang.Nam],DTR!AL$254)</f>
        <v>0</v>
      </c>
    </row>
    <row r="319" spans="1:38" ht="15" hidden="1" customHeight="1" outlineLevel="1" thickTop="1">
      <c r="A319" s="200" t="str">
        <f t="shared" ref="A319:A324" si="53">A301</f>
        <v>ACB</v>
      </c>
      <c r="B319" s="335">
        <v>65</v>
      </c>
      <c r="Z319" s="49">
        <v>0</v>
      </c>
      <c r="AA319" s="49">
        <f>SUMIFS([1]!Data_Loan[Value],[1]!Data_Loan[Index Loan],DTR!$B319,[1]!Data_Loan[TenCongTyID],DTR!$B$1,[1]!Data_Loan[Thang.Nam],DTR!AA$254)</f>
        <v>0</v>
      </c>
      <c r="AB319" s="49">
        <f>SUMIFS([1]!Data_Loan[Value],[1]!Data_Loan[Index Loan],DTR!$B319,[1]!Data_Loan[TenCongTyID],DTR!$B$1,[1]!Data_Loan[Thang.Nam],DTR!AB$254)</f>
        <v>0</v>
      </c>
      <c r="AC319" s="49">
        <f>SUMIFS([1]!Data_Loan[Value],[1]!Data_Loan[Index Loan],DTR!$B319,[1]!Data_Loan[TenCongTyID],DTR!$B$1,[1]!Data_Loan[Thang.Nam],DTR!AC$254)</f>
        <v>0</v>
      </c>
      <c r="AD319" s="49">
        <f>SUMIFS([1]!Data_Loan[Value],[1]!Data_Loan[Index Loan],DTR!$B319,[1]!Data_Loan[TenCongTyID],DTR!$B$1,[1]!Data_Loan[Thang.Nam],DTR!AD$254)</f>
        <v>0</v>
      </c>
      <c r="AE319" s="49">
        <f>SUMIFS([1]!Data_Loan[Value],[1]!Data_Loan[Index Loan],DTR!$B319,[1]!Data_Loan[TenCongTyID],DTR!$B$1,[1]!Data_Loan[Thang.Nam],DTR!AE$254)</f>
        <v>0</v>
      </c>
      <c r="AF319" s="49">
        <f>SUMIFS([1]!Data_Loan[Value],[1]!Data_Loan[Index Loan],DTR!$B319,[1]!Data_Loan[TenCongTyID],DTR!$B$1,[1]!Data_Loan[Thang.Nam],DTR!AF$254)</f>
        <v>0</v>
      </c>
      <c r="AG319" s="49">
        <f>SUMIFS([1]!Data_Loan[Value],[1]!Data_Loan[Index Loan],DTR!$B319,[1]!Data_Loan[TenCongTyID],DTR!$B$1,[1]!Data_Loan[Thang.Nam],DTR!AG$254)</f>
        <v>0</v>
      </c>
      <c r="AH319" s="49">
        <f>SUMIFS([1]!Data_Loan[Value],[1]!Data_Loan[Index Loan],DTR!$B319,[1]!Data_Loan[TenCongTyID],DTR!$B$1,[1]!Data_Loan[Thang.Nam],DTR!AH$254)</f>
        <v>0</v>
      </c>
      <c r="AI319" s="49">
        <f>SUMIFS([1]!Data_Loan[Value],[1]!Data_Loan[Index Loan],DTR!$B319,[1]!Data_Loan[TenCongTyID],DTR!$B$1,[1]!Data_Loan[Thang.Nam],DTR!AI$254)</f>
        <v>0</v>
      </c>
      <c r="AJ319" s="49">
        <f>SUMIFS([1]!Data_Loan[Value],[1]!Data_Loan[Index Loan],DTR!$B319,[1]!Data_Loan[TenCongTyID],DTR!$B$1,[1]!Data_Loan[Thang.Nam],DTR!AJ$254)</f>
        <v>0</v>
      </c>
      <c r="AK319" s="49">
        <f>SUMIFS([1]!Data_Loan[Value],[1]!Data_Loan[Index Loan],DTR!$B319,[1]!Data_Loan[TenCongTyID],DTR!$B$1,[1]!Data_Loan[Thang.Nam],DTR!AK$254)</f>
        <v>0</v>
      </c>
      <c r="AL319" s="49">
        <f>SUMIFS([1]!Data_Loan[Value],[1]!Data_Loan[Index Loan],DTR!$B319,[1]!Data_Loan[TenCongTyID],DTR!$B$1,[1]!Data_Loan[Thang.Nam],DTR!AL$254)</f>
        <v>0</v>
      </c>
    </row>
    <row r="320" spans="1:38" ht="15" hidden="1" customHeight="1" outlineLevel="1">
      <c r="A320" s="200" t="str">
        <f t="shared" si="53"/>
        <v>VietinBank</v>
      </c>
      <c r="B320" s="335">
        <v>66</v>
      </c>
      <c r="Z320" s="49">
        <v>0</v>
      </c>
      <c r="AA320" s="49">
        <f>SUMIFS([1]!Data_Loan[Value],[1]!Data_Loan[Index Loan],DTR!$B320,[1]!Data_Loan[TenCongTyID],DTR!$B$1,[1]!Data_Loan[Thang.Nam],DTR!AA$254)</f>
        <v>0</v>
      </c>
      <c r="AB320" s="49">
        <f>SUMIFS([1]!Data_Loan[Value],[1]!Data_Loan[Index Loan],DTR!$B320,[1]!Data_Loan[TenCongTyID],DTR!$B$1,[1]!Data_Loan[Thang.Nam],DTR!AB$254)</f>
        <v>0</v>
      </c>
      <c r="AC320" s="49">
        <f>SUMIFS([1]!Data_Loan[Value],[1]!Data_Loan[Index Loan],DTR!$B320,[1]!Data_Loan[TenCongTyID],DTR!$B$1,[1]!Data_Loan[Thang.Nam],DTR!AC$254)</f>
        <v>0</v>
      </c>
      <c r="AD320" s="49">
        <f>SUMIFS([1]!Data_Loan[Value],[1]!Data_Loan[Index Loan],DTR!$B320,[1]!Data_Loan[TenCongTyID],DTR!$B$1,[1]!Data_Loan[Thang.Nam],DTR!AD$254)</f>
        <v>0</v>
      </c>
      <c r="AE320" s="49">
        <f>SUMIFS([1]!Data_Loan[Value],[1]!Data_Loan[Index Loan],DTR!$B320,[1]!Data_Loan[TenCongTyID],DTR!$B$1,[1]!Data_Loan[Thang.Nam],DTR!AE$254)</f>
        <v>0</v>
      </c>
      <c r="AF320" s="49">
        <f>SUMIFS([1]!Data_Loan[Value],[1]!Data_Loan[Index Loan],DTR!$B320,[1]!Data_Loan[TenCongTyID],DTR!$B$1,[1]!Data_Loan[Thang.Nam],DTR!AF$254)</f>
        <v>0</v>
      </c>
      <c r="AG320" s="49">
        <f>SUMIFS([1]!Data_Loan[Value],[1]!Data_Loan[Index Loan],DTR!$B320,[1]!Data_Loan[TenCongTyID],DTR!$B$1,[1]!Data_Loan[Thang.Nam],DTR!AG$254)</f>
        <v>0</v>
      </c>
      <c r="AH320" s="49">
        <f>SUMIFS([1]!Data_Loan[Value],[1]!Data_Loan[Index Loan],DTR!$B320,[1]!Data_Loan[TenCongTyID],DTR!$B$1,[1]!Data_Loan[Thang.Nam],DTR!AH$254)</f>
        <v>0</v>
      </c>
      <c r="AI320" s="49">
        <f>SUMIFS([1]!Data_Loan[Value],[1]!Data_Loan[Index Loan],DTR!$B320,[1]!Data_Loan[TenCongTyID],DTR!$B$1,[1]!Data_Loan[Thang.Nam],DTR!AI$254)</f>
        <v>0</v>
      </c>
      <c r="AJ320" s="49">
        <f>SUMIFS([1]!Data_Loan[Value],[1]!Data_Loan[Index Loan],DTR!$B320,[1]!Data_Loan[TenCongTyID],DTR!$B$1,[1]!Data_Loan[Thang.Nam],DTR!AJ$254)</f>
        <v>0</v>
      </c>
      <c r="AK320" s="49">
        <f>SUMIFS([1]!Data_Loan[Value],[1]!Data_Loan[Index Loan],DTR!$B320,[1]!Data_Loan[TenCongTyID],DTR!$B$1,[1]!Data_Loan[Thang.Nam],DTR!AK$254)</f>
        <v>0</v>
      </c>
      <c r="AL320" s="49">
        <f>SUMIFS([1]!Data_Loan[Value],[1]!Data_Loan[Index Loan],DTR!$B320,[1]!Data_Loan[TenCongTyID],DTR!$B$1,[1]!Data_Loan[Thang.Nam],DTR!AL$254)</f>
        <v>0</v>
      </c>
    </row>
    <row r="321" spans="1:38" ht="15" hidden="1" customHeight="1" outlineLevel="1">
      <c r="A321" s="200" t="str">
        <f t="shared" si="53"/>
        <v>Vietcombank</v>
      </c>
      <c r="B321" s="335">
        <v>67</v>
      </c>
      <c r="Z321" s="49">
        <v>0</v>
      </c>
      <c r="AA321" s="49">
        <f>SUMIFS([1]!Data_Loan[Value],[1]!Data_Loan[Index Loan],DTR!$B321,[1]!Data_Loan[TenCongTyID],DTR!$B$1,[1]!Data_Loan[Thang.Nam],DTR!AA$254)</f>
        <v>0</v>
      </c>
      <c r="AB321" s="49">
        <f>SUMIFS([1]!Data_Loan[Value],[1]!Data_Loan[Index Loan],DTR!$B321,[1]!Data_Loan[TenCongTyID],DTR!$B$1,[1]!Data_Loan[Thang.Nam],DTR!AB$254)</f>
        <v>0</v>
      </c>
      <c r="AC321" s="49">
        <f>SUMIFS([1]!Data_Loan[Value],[1]!Data_Loan[Index Loan],DTR!$B321,[1]!Data_Loan[TenCongTyID],DTR!$B$1,[1]!Data_Loan[Thang.Nam],DTR!AC$254)</f>
        <v>0</v>
      </c>
      <c r="AD321" s="49">
        <f>SUMIFS([1]!Data_Loan[Value],[1]!Data_Loan[Index Loan],DTR!$B321,[1]!Data_Loan[TenCongTyID],DTR!$B$1,[1]!Data_Loan[Thang.Nam],DTR!AD$254)</f>
        <v>0</v>
      </c>
      <c r="AE321" s="49">
        <f>SUMIFS([1]!Data_Loan[Value],[1]!Data_Loan[Index Loan],DTR!$B321,[1]!Data_Loan[TenCongTyID],DTR!$B$1,[1]!Data_Loan[Thang.Nam],DTR!AE$254)</f>
        <v>0</v>
      </c>
      <c r="AF321" s="49">
        <f>SUMIFS([1]!Data_Loan[Value],[1]!Data_Loan[Index Loan],DTR!$B321,[1]!Data_Loan[TenCongTyID],DTR!$B$1,[1]!Data_Loan[Thang.Nam],DTR!AF$254)</f>
        <v>0</v>
      </c>
      <c r="AG321" s="49">
        <f>SUMIFS([1]!Data_Loan[Value],[1]!Data_Loan[Index Loan],DTR!$B321,[1]!Data_Loan[TenCongTyID],DTR!$B$1,[1]!Data_Loan[Thang.Nam],DTR!AG$254)</f>
        <v>0</v>
      </c>
      <c r="AH321" s="49">
        <f>SUMIFS([1]!Data_Loan[Value],[1]!Data_Loan[Index Loan],DTR!$B321,[1]!Data_Loan[TenCongTyID],DTR!$B$1,[1]!Data_Loan[Thang.Nam],DTR!AH$254)</f>
        <v>0</v>
      </c>
      <c r="AI321" s="49">
        <f>SUMIFS([1]!Data_Loan[Value],[1]!Data_Loan[Index Loan],DTR!$B321,[1]!Data_Loan[TenCongTyID],DTR!$B$1,[1]!Data_Loan[Thang.Nam],DTR!AI$254)</f>
        <v>0</v>
      </c>
      <c r="AJ321" s="49">
        <f>SUMIFS([1]!Data_Loan[Value],[1]!Data_Loan[Index Loan],DTR!$B321,[1]!Data_Loan[TenCongTyID],DTR!$B$1,[1]!Data_Loan[Thang.Nam],DTR!AJ$254)</f>
        <v>0</v>
      </c>
      <c r="AK321" s="49">
        <f>SUMIFS([1]!Data_Loan[Value],[1]!Data_Loan[Index Loan],DTR!$B321,[1]!Data_Loan[TenCongTyID],DTR!$B$1,[1]!Data_Loan[Thang.Nam],DTR!AK$254)</f>
        <v>0</v>
      </c>
      <c r="AL321" s="49">
        <f>SUMIFS([1]!Data_Loan[Value],[1]!Data_Loan[Index Loan],DTR!$B321,[1]!Data_Loan[TenCongTyID],DTR!$B$1,[1]!Data_Loan[Thang.Nam],DTR!AL$254)</f>
        <v>0</v>
      </c>
    </row>
    <row r="322" spans="1:38" ht="15" hidden="1" customHeight="1" outlineLevel="1">
      <c r="A322" s="200" t="str">
        <f t="shared" si="53"/>
        <v>BIDV</v>
      </c>
      <c r="B322" s="335">
        <v>68</v>
      </c>
      <c r="Z322" s="49">
        <v>0</v>
      </c>
      <c r="AA322" s="49">
        <f>SUMIFS([1]!Data_Loan[Value],[1]!Data_Loan[Index Loan],DTR!$B322,[1]!Data_Loan[TenCongTyID],DTR!$B$1,[1]!Data_Loan[Thang.Nam],DTR!AA$254)</f>
        <v>0</v>
      </c>
      <c r="AB322" s="49">
        <f>SUMIFS([1]!Data_Loan[Value],[1]!Data_Loan[Index Loan],DTR!$B322,[1]!Data_Loan[TenCongTyID],DTR!$B$1,[1]!Data_Loan[Thang.Nam],DTR!AB$254)</f>
        <v>0</v>
      </c>
      <c r="AC322" s="49">
        <f>SUMIFS([1]!Data_Loan[Value],[1]!Data_Loan[Index Loan],DTR!$B322,[1]!Data_Loan[TenCongTyID],DTR!$B$1,[1]!Data_Loan[Thang.Nam],DTR!AC$254)</f>
        <v>0</v>
      </c>
      <c r="AD322" s="49">
        <f>SUMIFS([1]!Data_Loan[Value],[1]!Data_Loan[Index Loan],DTR!$B322,[1]!Data_Loan[TenCongTyID],DTR!$B$1,[1]!Data_Loan[Thang.Nam],DTR!AD$254)</f>
        <v>0</v>
      </c>
      <c r="AE322" s="49">
        <f>SUMIFS([1]!Data_Loan[Value],[1]!Data_Loan[Index Loan],DTR!$B322,[1]!Data_Loan[TenCongTyID],DTR!$B$1,[1]!Data_Loan[Thang.Nam],DTR!AE$254)</f>
        <v>0</v>
      </c>
      <c r="AF322" s="49">
        <f>SUMIFS([1]!Data_Loan[Value],[1]!Data_Loan[Index Loan],DTR!$B322,[1]!Data_Loan[TenCongTyID],DTR!$B$1,[1]!Data_Loan[Thang.Nam],DTR!AF$254)</f>
        <v>0</v>
      </c>
      <c r="AG322" s="49">
        <f>SUMIFS([1]!Data_Loan[Value],[1]!Data_Loan[Index Loan],DTR!$B322,[1]!Data_Loan[TenCongTyID],DTR!$B$1,[1]!Data_Loan[Thang.Nam],DTR!AG$254)</f>
        <v>0</v>
      </c>
      <c r="AH322" s="49">
        <f>SUMIFS([1]!Data_Loan[Value],[1]!Data_Loan[Index Loan],DTR!$B322,[1]!Data_Loan[TenCongTyID],DTR!$B$1,[1]!Data_Loan[Thang.Nam],DTR!AH$254)</f>
        <v>0</v>
      </c>
      <c r="AI322" s="49">
        <f>SUMIFS([1]!Data_Loan[Value],[1]!Data_Loan[Index Loan],DTR!$B322,[1]!Data_Loan[TenCongTyID],DTR!$B$1,[1]!Data_Loan[Thang.Nam],DTR!AI$254)</f>
        <v>0</v>
      </c>
      <c r="AJ322" s="49">
        <f>SUMIFS([1]!Data_Loan[Value],[1]!Data_Loan[Index Loan],DTR!$B322,[1]!Data_Loan[TenCongTyID],DTR!$B$1,[1]!Data_Loan[Thang.Nam],DTR!AJ$254)</f>
        <v>0</v>
      </c>
      <c r="AK322" s="49">
        <f>SUMIFS([1]!Data_Loan[Value],[1]!Data_Loan[Index Loan],DTR!$B322,[1]!Data_Loan[TenCongTyID],DTR!$B$1,[1]!Data_Loan[Thang.Nam],DTR!AK$254)</f>
        <v>0</v>
      </c>
      <c r="AL322" s="49">
        <f>SUMIFS([1]!Data_Loan[Value],[1]!Data_Loan[Index Loan],DTR!$B322,[1]!Data_Loan[TenCongTyID],DTR!$B$1,[1]!Data_Loan[Thang.Nam],DTR!AL$254)</f>
        <v>0</v>
      </c>
    </row>
    <row r="323" spans="1:38" ht="15" hidden="1" customHeight="1" outlineLevel="1">
      <c r="A323" s="200" t="str">
        <f t="shared" si="53"/>
        <v>Standard Chartered</v>
      </c>
      <c r="B323" s="335">
        <v>69</v>
      </c>
      <c r="Z323" s="49">
        <v>0</v>
      </c>
      <c r="AA323" s="49">
        <f>SUMIFS([1]!Data_Loan[Value],[1]!Data_Loan[Index Loan],DTR!$B323,[1]!Data_Loan[TenCongTyID],DTR!$B$1,[1]!Data_Loan[Thang.Nam],DTR!AA$254)</f>
        <v>0</v>
      </c>
      <c r="AB323" s="49">
        <f>SUMIFS([1]!Data_Loan[Value],[1]!Data_Loan[Index Loan],DTR!$B323,[1]!Data_Loan[TenCongTyID],DTR!$B$1,[1]!Data_Loan[Thang.Nam],DTR!AB$254)</f>
        <v>0</v>
      </c>
      <c r="AC323" s="49">
        <f>SUMIFS([1]!Data_Loan[Value],[1]!Data_Loan[Index Loan],DTR!$B323,[1]!Data_Loan[TenCongTyID],DTR!$B$1,[1]!Data_Loan[Thang.Nam],DTR!AC$254)</f>
        <v>0</v>
      </c>
      <c r="AD323" s="49">
        <f>SUMIFS([1]!Data_Loan[Value],[1]!Data_Loan[Index Loan],DTR!$B323,[1]!Data_Loan[TenCongTyID],DTR!$B$1,[1]!Data_Loan[Thang.Nam],DTR!AD$254)</f>
        <v>0</v>
      </c>
      <c r="AE323" s="49">
        <f>SUMIFS([1]!Data_Loan[Value],[1]!Data_Loan[Index Loan],DTR!$B323,[1]!Data_Loan[TenCongTyID],DTR!$B$1,[1]!Data_Loan[Thang.Nam],DTR!AE$254)</f>
        <v>0</v>
      </c>
      <c r="AF323" s="49">
        <f>SUMIFS([1]!Data_Loan[Value],[1]!Data_Loan[Index Loan],DTR!$B323,[1]!Data_Loan[TenCongTyID],DTR!$B$1,[1]!Data_Loan[Thang.Nam],DTR!AF$254)</f>
        <v>0</v>
      </c>
      <c r="AG323" s="49">
        <f>SUMIFS([1]!Data_Loan[Value],[1]!Data_Loan[Index Loan],DTR!$B323,[1]!Data_Loan[TenCongTyID],DTR!$B$1,[1]!Data_Loan[Thang.Nam],DTR!AG$254)</f>
        <v>0</v>
      </c>
      <c r="AH323" s="49">
        <f>SUMIFS([1]!Data_Loan[Value],[1]!Data_Loan[Index Loan],DTR!$B323,[1]!Data_Loan[TenCongTyID],DTR!$B$1,[1]!Data_Loan[Thang.Nam],DTR!AH$254)</f>
        <v>0</v>
      </c>
      <c r="AI323" s="49">
        <f>SUMIFS([1]!Data_Loan[Value],[1]!Data_Loan[Index Loan],DTR!$B323,[1]!Data_Loan[TenCongTyID],DTR!$B$1,[1]!Data_Loan[Thang.Nam],DTR!AI$254)</f>
        <v>0</v>
      </c>
      <c r="AJ323" s="49">
        <f>SUMIFS([1]!Data_Loan[Value],[1]!Data_Loan[Index Loan],DTR!$B323,[1]!Data_Loan[TenCongTyID],DTR!$B$1,[1]!Data_Loan[Thang.Nam],DTR!AJ$254)</f>
        <v>0</v>
      </c>
      <c r="AK323" s="49">
        <f>SUMIFS([1]!Data_Loan[Value],[1]!Data_Loan[Index Loan],DTR!$B323,[1]!Data_Loan[TenCongTyID],DTR!$B$1,[1]!Data_Loan[Thang.Nam],DTR!AK$254)</f>
        <v>0</v>
      </c>
      <c r="AL323" s="49">
        <f>SUMIFS([1]!Data_Loan[Value],[1]!Data_Loan[Index Loan],DTR!$B323,[1]!Data_Loan[TenCongTyID],DTR!$B$1,[1]!Data_Loan[Thang.Nam],DTR!AL$254)</f>
        <v>0</v>
      </c>
    </row>
    <row r="324" spans="1:38" ht="15" hidden="1" customHeight="1" outlineLevel="1">
      <c r="A324" s="200" t="str">
        <f t="shared" si="53"/>
        <v>VILC</v>
      </c>
      <c r="B324" s="335">
        <v>70</v>
      </c>
      <c r="Z324" s="49">
        <v>0</v>
      </c>
      <c r="AA324" s="49">
        <f>SUMIFS([1]!Data_Loan[Value],[1]!Data_Loan[Index Loan],DTR!$B324,[1]!Data_Loan[TenCongTyID],DTR!$B$1,[1]!Data_Loan[Thang.Nam],DTR!AA$254)</f>
        <v>0</v>
      </c>
      <c r="AB324" s="49">
        <f>SUMIFS([1]!Data_Loan[Value],[1]!Data_Loan[Index Loan],DTR!$B324,[1]!Data_Loan[TenCongTyID],DTR!$B$1,[1]!Data_Loan[Thang.Nam],DTR!AB$254)</f>
        <v>0</v>
      </c>
      <c r="AC324" s="49">
        <f>SUMIFS([1]!Data_Loan[Value],[1]!Data_Loan[Index Loan],DTR!$B324,[1]!Data_Loan[TenCongTyID],DTR!$B$1,[1]!Data_Loan[Thang.Nam],DTR!AC$254)</f>
        <v>0</v>
      </c>
      <c r="AD324" s="49">
        <f>SUMIFS([1]!Data_Loan[Value],[1]!Data_Loan[Index Loan],DTR!$B324,[1]!Data_Loan[TenCongTyID],DTR!$B$1,[1]!Data_Loan[Thang.Nam],DTR!AD$254)</f>
        <v>0</v>
      </c>
      <c r="AE324" s="49">
        <f>SUMIFS([1]!Data_Loan[Value],[1]!Data_Loan[Index Loan],DTR!$B324,[1]!Data_Loan[TenCongTyID],DTR!$B$1,[1]!Data_Loan[Thang.Nam],DTR!AE$254)</f>
        <v>0</v>
      </c>
      <c r="AF324" s="49">
        <f>SUMIFS([1]!Data_Loan[Value],[1]!Data_Loan[Index Loan],DTR!$B324,[1]!Data_Loan[TenCongTyID],DTR!$B$1,[1]!Data_Loan[Thang.Nam],DTR!AF$254)</f>
        <v>0</v>
      </c>
      <c r="AG324" s="49">
        <f>SUMIFS([1]!Data_Loan[Value],[1]!Data_Loan[Index Loan],DTR!$B324,[1]!Data_Loan[TenCongTyID],DTR!$B$1,[1]!Data_Loan[Thang.Nam],DTR!AG$254)</f>
        <v>0</v>
      </c>
      <c r="AH324" s="49">
        <f>SUMIFS([1]!Data_Loan[Value],[1]!Data_Loan[Index Loan],DTR!$B324,[1]!Data_Loan[TenCongTyID],DTR!$B$1,[1]!Data_Loan[Thang.Nam],DTR!AH$254)</f>
        <v>0</v>
      </c>
      <c r="AI324" s="49">
        <f>SUMIFS([1]!Data_Loan[Value],[1]!Data_Loan[Index Loan],DTR!$B324,[1]!Data_Loan[TenCongTyID],DTR!$B$1,[1]!Data_Loan[Thang.Nam],DTR!AI$254)</f>
        <v>0</v>
      </c>
      <c r="AJ324" s="49">
        <f>SUMIFS([1]!Data_Loan[Value],[1]!Data_Loan[Index Loan],DTR!$B324,[1]!Data_Loan[TenCongTyID],DTR!$B$1,[1]!Data_Loan[Thang.Nam],DTR!AJ$254)</f>
        <v>0</v>
      </c>
      <c r="AK324" s="49">
        <f>SUMIFS([1]!Data_Loan[Value],[1]!Data_Loan[Index Loan],DTR!$B324,[1]!Data_Loan[TenCongTyID],DTR!$B$1,[1]!Data_Loan[Thang.Nam],DTR!AK$254)</f>
        <v>0</v>
      </c>
      <c r="AL324" s="49">
        <f>SUMIFS([1]!Data_Loan[Value],[1]!Data_Loan[Index Loan],DTR!$B324,[1]!Data_Loan[TenCongTyID],DTR!$B$1,[1]!Data_Loan[Thang.Nam],DTR!AL$254)</f>
        <v>0</v>
      </c>
    </row>
    <row r="325" spans="1:38" ht="15" hidden="1" customHeight="1" outlineLevel="1">
      <c r="A325" s="200" t="s">
        <v>347</v>
      </c>
      <c r="B325" s="335">
        <v>71</v>
      </c>
      <c r="Z325" s="49">
        <v>0</v>
      </c>
      <c r="AA325" s="49">
        <f>SUMIFS([1]!Data_Loan[Value],[1]!Data_Loan[Index Loan],DTR!$B325,[1]!Data_Loan[TenCongTyID],DTR!$B$1,[1]!Data_Loan[Thang.Nam],DTR!AA$254)</f>
        <v>0</v>
      </c>
      <c r="AB325" s="49">
        <f>SUMIFS([1]!Data_Loan[Value],[1]!Data_Loan[Index Loan],DTR!$B325,[1]!Data_Loan[TenCongTyID],DTR!$B$1,[1]!Data_Loan[Thang.Nam],DTR!AB$254)</f>
        <v>0</v>
      </c>
      <c r="AC325" s="49">
        <f>SUMIFS([1]!Data_Loan[Value],[1]!Data_Loan[Index Loan],DTR!$B325,[1]!Data_Loan[TenCongTyID],DTR!$B$1,[1]!Data_Loan[Thang.Nam],DTR!AC$254)</f>
        <v>0</v>
      </c>
      <c r="AD325" s="49">
        <f>SUMIFS([1]!Data_Loan[Value],[1]!Data_Loan[Index Loan],DTR!$B325,[1]!Data_Loan[TenCongTyID],DTR!$B$1,[1]!Data_Loan[Thang.Nam],DTR!AD$254)</f>
        <v>0</v>
      </c>
      <c r="AE325" s="49">
        <f>SUMIFS([1]!Data_Loan[Value],[1]!Data_Loan[Index Loan],DTR!$B325,[1]!Data_Loan[TenCongTyID],DTR!$B$1,[1]!Data_Loan[Thang.Nam],DTR!AE$254)</f>
        <v>0</v>
      </c>
      <c r="AF325" s="49">
        <f>SUMIFS([1]!Data_Loan[Value],[1]!Data_Loan[Index Loan],DTR!$B325,[1]!Data_Loan[TenCongTyID],DTR!$B$1,[1]!Data_Loan[Thang.Nam],DTR!AF$254)</f>
        <v>0</v>
      </c>
      <c r="AG325" s="49">
        <f>SUMIFS([1]!Data_Loan[Value],[1]!Data_Loan[Index Loan],DTR!$B325,[1]!Data_Loan[TenCongTyID],DTR!$B$1,[1]!Data_Loan[Thang.Nam],DTR!AG$254)</f>
        <v>0</v>
      </c>
      <c r="AH325" s="49">
        <f>SUMIFS([1]!Data_Loan[Value],[1]!Data_Loan[Index Loan],DTR!$B325,[1]!Data_Loan[TenCongTyID],DTR!$B$1,[1]!Data_Loan[Thang.Nam],DTR!AH$254)</f>
        <v>0</v>
      </c>
      <c r="AI325" s="49">
        <f>SUMIFS([1]!Data_Loan[Value],[1]!Data_Loan[Index Loan],DTR!$B325,[1]!Data_Loan[TenCongTyID],DTR!$B$1,[1]!Data_Loan[Thang.Nam],DTR!AI$254)</f>
        <v>0</v>
      </c>
      <c r="AJ325" s="49">
        <f>SUMIFS([1]!Data_Loan[Value],[1]!Data_Loan[Index Loan],DTR!$B325,[1]!Data_Loan[TenCongTyID],DTR!$B$1,[1]!Data_Loan[Thang.Nam],DTR!AJ$254)</f>
        <v>0</v>
      </c>
      <c r="AK325" s="49">
        <f>SUMIFS([1]!Data_Loan[Value],[1]!Data_Loan[Index Loan],DTR!$B325,[1]!Data_Loan[TenCongTyID],DTR!$B$1,[1]!Data_Loan[Thang.Nam],DTR!AK$254)</f>
        <v>0</v>
      </c>
      <c r="AL325" s="49">
        <f>SUMIFS([1]!Data_Loan[Value],[1]!Data_Loan[Index Loan],DTR!$B325,[1]!Data_Loan[TenCongTyID],DTR!$B$1,[1]!Data_Loan[Thang.Nam],DTR!AL$254)</f>
        <v>0</v>
      </c>
    </row>
    <row r="327" spans="1:38" ht="15" customHeight="1"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  <c r="AA327" s="201"/>
      <c r="AB327" s="201"/>
      <c r="AC327" s="201"/>
      <c r="AD327" s="201"/>
      <c r="AE327" s="201"/>
      <c r="AF327" s="201"/>
      <c r="AG327" s="201"/>
      <c r="AH327" s="201"/>
      <c r="AI327" s="201"/>
      <c r="AJ327" s="201"/>
      <c r="AK327" s="201"/>
      <c r="AL327" s="201"/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DBB5-47F9-44B4-A623-BBC73BF6CD52}">
  <sheetPr>
    <tabColor rgb="FF00B050"/>
    <outlinePr summaryBelow="0" summaryRight="0"/>
  </sheetPr>
  <dimension ref="A1:AZ325"/>
  <sheetViews>
    <sheetView showGridLines="0" showZeros="0" zoomScale="80" zoomScaleNormal="80" workbookViewId="0">
      <pane xSplit="1" ySplit="5" topLeftCell="G132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A138" sqref="AA138"/>
    </sheetView>
  </sheetViews>
  <sheetFormatPr defaultColWidth="9.26953125" defaultRowHeight="15" customHeight="1" outlineLevelRow="1" outlineLevelCol="1"/>
  <cols>
    <col min="1" max="1" width="58.26953125" style="49" customWidth="1"/>
    <col min="2" max="2" width="8.1796875" style="174" hidden="1" customWidth="1" collapsed="1"/>
    <col min="3" max="26" width="18.26953125" style="49" hidden="1" customWidth="1" outlineLevel="1"/>
    <col min="27" max="28" width="16" style="49" bestFit="1" customWidth="1"/>
    <col min="29" max="30" width="15.54296875" style="49" bestFit="1" customWidth="1"/>
    <col min="31" max="32" width="16" style="49" bestFit="1" customWidth="1"/>
    <col min="33" max="33" width="15.26953125" style="49" bestFit="1" customWidth="1"/>
    <col min="34" max="34" width="16" style="49" bestFit="1" customWidth="1"/>
    <col min="35" max="35" width="15.26953125" style="49" bestFit="1" customWidth="1"/>
    <col min="36" max="36" width="16" style="49" bestFit="1" customWidth="1"/>
    <col min="37" max="37" width="15.54296875" style="49" bestFit="1" customWidth="1"/>
    <col min="38" max="38" width="16" style="49" bestFit="1" customWidth="1"/>
    <col min="39" max="39" width="16.453125" style="43" bestFit="1" customWidth="1"/>
    <col min="40" max="40" width="15.1796875" style="43" customWidth="1"/>
    <col min="41" max="43" width="9.26953125" style="43"/>
    <col min="44" max="44" width="7.81640625" style="43" customWidth="1"/>
    <col min="45" max="16384" width="9.26953125" style="43"/>
  </cols>
  <sheetData>
    <row r="1" spans="1:38" ht="19.5" customHeight="1">
      <c r="A1" s="47" t="s">
        <v>374</v>
      </c>
      <c r="B1" s="40">
        <v>6</v>
      </c>
      <c r="C1" s="41">
        <v>2024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ht="19.5" hidden="1" customHeight="1">
      <c r="A2" s="44" t="s">
        <v>63</v>
      </c>
      <c r="B2" s="45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>
        <v>7852370439</v>
      </c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</row>
    <row r="3" spans="1:38" ht="19.5" hidden="1" customHeight="1">
      <c r="A3" s="47"/>
      <c r="B3" s="45"/>
      <c r="C3" s="48">
        <v>2024</v>
      </c>
      <c r="D3" s="42">
        <f>C3</f>
        <v>2024</v>
      </c>
      <c r="E3" s="42">
        <f>D3</f>
        <v>2024</v>
      </c>
      <c r="F3" s="42">
        <f t="shared" ref="F3:N3" si="0">E3</f>
        <v>2024</v>
      </c>
      <c r="G3" s="42">
        <f t="shared" si="0"/>
        <v>2024</v>
      </c>
      <c r="H3" s="42">
        <f>G3</f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2">
        <v>2025</v>
      </c>
      <c r="P3" s="42">
        <f>O3</f>
        <v>2025</v>
      </c>
      <c r="Q3" s="42">
        <f>P3</f>
        <v>2025</v>
      </c>
      <c r="R3" s="42">
        <f>Q3</f>
        <v>2025</v>
      </c>
      <c r="S3" s="42">
        <f>R3</f>
        <v>2025</v>
      </c>
      <c r="T3" s="42">
        <f>S3</f>
        <v>2025</v>
      </c>
      <c r="U3" s="42">
        <f t="shared" ref="U3:Y3" si="1">T3</f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v>2025</v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</row>
    <row r="4" spans="1:38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</row>
    <row r="5" spans="1:38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5" t="s">
        <v>78</v>
      </c>
      <c r="P5" s="55" t="s">
        <v>79</v>
      </c>
      <c r="Q5" s="55" t="s">
        <v>80</v>
      </c>
      <c r="R5" s="55" t="s">
        <v>81</v>
      </c>
      <c r="S5" s="55" t="s">
        <v>82</v>
      </c>
      <c r="T5" s="55" t="s">
        <v>83</v>
      </c>
      <c r="U5" s="55" t="s">
        <v>84</v>
      </c>
      <c r="V5" s="55" t="s">
        <v>85</v>
      </c>
      <c r="W5" s="55" t="s">
        <v>86</v>
      </c>
      <c r="X5" s="55" t="s">
        <v>87</v>
      </c>
      <c r="Y5" s="55" t="s">
        <v>88</v>
      </c>
      <c r="Z5" s="55" t="s">
        <v>89</v>
      </c>
      <c r="AA5" s="55" t="s">
        <v>8</v>
      </c>
      <c r="AB5" s="55" t="s">
        <v>9</v>
      </c>
      <c r="AC5" s="55" t="s">
        <v>10</v>
      </c>
      <c r="AD5" s="55" t="s">
        <v>11</v>
      </c>
      <c r="AE5" s="55" t="s">
        <v>12</v>
      </c>
      <c r="AF5" s="55" t="s">
        <v>13</v>
      </c>
      <c r="AG5" s="55" t="s">
        <v>14</v>
      </c>
      <c r="AH5" s="55" t="s">
        <v>15</v>
      </c>
      <c r="AI5" s="55" t="s">
        <v>16</v>
      </c>
      <c r="AJ5" s="55" t="s">
        <v>17</v>
      </c>
      <c r="AK5" s="55" t="s">
        <v>18</v>
      </c>
      <c r="AL5" s="55" t="s">
        <v>19</v>
      </c>
    </row>
    <row r="6" spans="1:38" ht="15" hidden="1" customHeight="1" outlineLevel="1">
      <c r="A6" s="56" t="s">
        <v>90</v>
      </c>
      <c r="B6" s="57">
        <v>1</v>
      </c>
      <c r="C6" s="225">
        <v>33264538020</v>
      </c>
      <c r="D6" s="225">
        <v>32551129465</v>
      </c>
      <c r="E6" s="225">
        <v>23405155339</v>
      </c>
      <c r="F6" s="225">
        <v>24060531663</v>
      </c>
      <c r="G6" s="225">
        <v>22034755670</v>
      </c>
      <c r="H6" s="225">
        <v>19342039705</v>
      </c>
      <c r="I6" s="225">
        <v>16755488167</v>
      </c>
      <c r="J6" s="225">
        <v>17304550210</v>
      </c>
      <c r="K6" s="225">
        <v>18717735825</v>
      </c>
      <c r="L6" s="225">
        <v>19563435144</v>
      </c>
      <c r="M6" s="225">
        <v>20403294265</v>
      </c>
      <c r="N6" s="225">
        <v>14234985625</v>
      </c>
      <c r="O6" s="225">
        <v>17052736355</v>
      </c>
      <c r="P6" s="225">
        <v>18111886313</v>
      </c>
      <c r="Q6" s="225">
        <v>15423170562</v>
      </c>
      <c r="R6" s="225">
        <v>14883325448</v>
      </c>
      <c r="S6" s="225">
        <v>16455280731</v>
      </c>
      <c r="T6" s="225">
        <v>16206270057</v>
      </c>
      <c r="U6" s="225">
        <v>22865016378</v>
      </c>
      <c r="V6" s="225">
        <v>24327184786</v>
      </c>
      <c r="W6" s="225">
        <f>+W7+W10+W17+W25+W32</f>
        <v>21589275513</v>
      </c>
      <c r="X6" s="225">
        <v>19809770716</v>
      </c>
      <c r="Y6" s="225">
        <v>16614767016</v>
      </c>
      <c r="Z6" s="225">
        <v>14763691548</v>
      </c>
      <c r="AA6" s="336">
        <f>SUMIFS([1]!Data_BS[Value],[1]!Data_BS[Index BS],'Dai Loc'!$B6,[1]!Data_BS[TenCongTyID],'Dai Loc'!$B$1,[1]!Data_BS[Thang.Nam],'Dai Loc'!AA$5)</f>
        <v>0</v>
      </c>
      <c r="AB6" s="336">
        <f>SUMIFS([1]!Data_BS[Value],[1]!Data_BS[Index BS],'Dai Loc'!$B6,[1]!Data_BS[TenCongTyID],'Dai Loc'!$B$1,[1]!Data_BS[Thang.Nam],'Dai Loc'!AB$5)</f>
        <v>0</v>
      </c>
      <c r="AC6" s="336">
        <f>SUMIFS([1]!Data_BS[Value],[1]!Data_BS[Index BS],'Dai Loc'!$B6,[1]!Data_BS[TenCongTyID],'Dai Loc'!$B$1,[1]!Data_BS[Thang.Nam],'Dai Loc'!AC$5)</f>
        <v>0</v>
      </c>
      <c r="AD6" s="336">
        <f>SUMIFS([1]!Data_BS[Value],[1]!Data_BS[Index BS],'Dai Loc'!$B6,[1]!Data_BS[TenCongTyID],'Dai Loc'!$B$1,[1]!Data_BS[Thang.Nam],'Dai Loc'!AD$5)</f>
        <v>0</v>
      </c>
      <c r="AE6" s="336">
        <f>SUMIFS([1]!Data_BS[Value],[1]!Data_BS[Index BS],'Dai Loc'!$B6,[1]!Data_BS[TenCongTyID],'Dai Loc'!$B$1,[1]!Data_BS[Thang.Nam],'Dai Loc'!AE$5)</f>
        <v>0</v>
      </c>
      <c r="AF6" s="336">
        <f>SUMIFS([1]!Data_BS[Value],[1]!Data_BS[Index BS],'Dai Loc'!$B6,[1]!Data_BS[TenCongTyID],'Dai Loc'!$B$1,[1]!Data_BS[Thang.Nam],'Dai Loc'!AF$5)</f>
        <v>0</v>
      </c>
      <c r="AG6" s="336">
        <f>SUMIFS([1]!Data_BS[Value],[1]!Data_BS[Index BS],'Dai Loc'!$B6,[1]!Data_BS[TenCongTyID],'Dai Loc'!$B$1,[1]!Data_BS[Thang.Nam],'Dai Loc'!AG$5)</f>
        <v>0</v>
      </c>
      <c r="AH6" s="336">
        <f>SUMIFS([1]!Data_BS[Value],[1]!Data_BS[Index BS],'Dai Loc'!$B6,[1]!Data_BS[TenCongTyID],'Dai Loc'!$B$1,[1]!Data_BS[Thang.Nam],'Dai Loc'!AH$5)</f>
        <v>0</v>
      </c>
      <c r="AI6" s="336">
        <f>SUMIFS([1]!Data_BS[Value],[1]!Data_BS[Index BS],'Dai Loc'!$B6,[1]!Data_BS[TenCongTyID],'Dai Loc'!$B$1,[1]!Data_BS[Thang.Nam],'Dai Loc'!AI$5)</f>
        <v>0</v>
      </c>
      <c r="AJ6" s="336">
        <f>SUMIFS([1]!Data_BS[Value],[1]!Data_BS[Index BS],'Dai Loc'!$B6,[1]!Data_BS[TenCongTyID],'Dai Loc'!$B$1,[1]!Data_BS[Thang.Nam],'Dai Loc'!AJ$5)</f>
        <v>0</v>
      </c>
      <c r="AK6" s="336">
        <f>SUMIFS([1]!Data_BS[Value],[1]!Data_BS[Index BS],'Dai Loc'!$B6,[1]!Data_BS[TenCongTyID],'Dai Loc'!$B$1,[1]!Data_BS[Thang.Nam],'Dai Loc'!AK$5)</f>
        <v>0</v>
      </c>
      <c r="AL6" s="336">
        <f>SUMIFS([1]!Data_BS[Value],[1]!Data_BS[Index BS],'Dai Loc'!$B6,[1]!Data_BS[TenCongTyID],'Dai Loc'!$B$1,[1]!Data_BS[Thang.Nam],'Dai Loc'!AL$5)</f>
        <v>0</v>
      </c>
    </row>
    <row r="7" spans="1:38" ht="15" hidden="1" customHeight="1" outlineLevel="1">
      <c r="A7" s="59" t="s">
        <v>91</v>
      </c>
      <c r="B7" s="60">
        <v>2</v>
      </c>
      <c r="C7" s="227">
        <v>2946215478</v>
      </c>
      <c r="D7" s="227">
        <v>2265138258</v>
      </c>
      <c r="E7" s="227">
        <v>4218996644</v>
      </c>
      <c r="F7" s="227">
        <v>3557809436</v>
      </c>
      <c r="G7" s="227">
        <v>3941916171</v>
      </c>
      <c r="H7" s="227">
        <v>772158058</v>
      </c>
      <c r="I7" s="227">
        <v>2805501538</v>
      </c>
      <c r="J7" s="227">
        <v>331678492</v>
      </c>
      <c r="K7" s="227">
        <v>7420709</v>
      </c>
      <c r="L7" s="227">
        <v>3396724052</v>
      </c>
      <c r="M7" s="227">
        <v>1749435798</v>
      </c>
      <c r="N7" s="227">
        <v>1719447314</v>
      </c>
      <c r="O7" s="227">
        <v>2490854993</v>
      </c>
      <c r="P7" s="227">
        <v>185294992</v>
      </c>
      <c r="Q7" s="227">
        <v>1965557775</v>
      </c>
      <c r="R7" s="227">
        <v>2763415028</v>
      </c>
      <c r="S7" s="227">
        <v>1067640621</v>
      </c>
      <c r="T7" s="227">
        <v>451065154</v>
      </c>
      <c r="U7" s="227">
        <v>1634425568</v>
      </c>
      <c r="V7" s="227">
        <v>2579320451</v>
      </c>
      <c r="W7" s="227">
        <f>+SUM(W8:W9)</f>
        <v>6126662129</v>
      </c>
      <c r="X7" s="227">
        <v>8698290774</v>
      </c>
      <c r="Y7" s="227">
        <v>3721260007</v>
      </c>
      <c r="Z7" s="227">
        <v>4238403093</v>
      </c>
      <c r="AA7" s="337">
        <f>SUMIFS([1]!Data_BS[Value],[1]!Data_BS[Index BS],'Dai Loc'!$B7,[1]!Data_BS[TenCongTyID],'Dai Loc'!$B$1,[1]!Data_BS[Thang.Nam],'Dai Loc'!AA$5)</f>
        <v>0</v>
      </c>
      <c r="AB7" s="337">
        <f>SUMIFS([1]!Data_BS[Value],[1]!Data_BS[Index BS],'Dai Loc'!$B7,[1]!Data_BS[TenCongTyID],'Dai Loc'!$B$1,[1]!Data_BS[Thang.Nam],'Dai Loc'!AB$5)</f>
        <v>0</v>
      </c>
      <c r="AC7" s="337">
        <f>SUMIFS([1]!Data_BS[Value],[1]!Data_BS[Index BS],'Dai Loc'!$B7,[1]!Data_BS[TenCongTyID],'Dai Loc'!$B$1,[1]!Data_BS[Thang.Nam],'Dai Loc'!AC$5)</f>
        <v>0</v>
      </c>
      <c r="AD7" s="337">
        <f>SUMIFS([1]!Data_BS[Value],[1]!Data_BS[Index BS],'Dai Loc'!$B7,[1]!Data_BS[TenCongTyID],'Dai Loc'!$B$1,[1]!Data_BS[Thang.Nam],'Dai Loc'!AD$5)</f>
        <v>0</v>
      </c>
      <c r="AE7" s="337">
        <f>SUMIFS([1]!Data_BS[Value],[1]!Data_BS[Index BS],'Dai Loc'!$B7,[1]!Data_BS[TenCongTyID],'Dai Loc'!$B$1,[1]!Data_BS[Thang.Nam],'Dai Loc'!AE$5)</f>
        <v>0</v>
      </c>
      <c r="AF7" s="337">
        <f>SUMIFS([1]!Data_BS[Value],[1]!Data_BS[Index BS],'Dai Loc'!$B7,[1]!Data_BS[TenCongTyID],'Dai Loc'!$B$1,[1]!Data_BS[Thang.Nam],'Dai Loc'!AF$5)</f>
        <v>0</v>
      </c>
      <c r="AG7" s="337">
        <f>SUMIFS([1]!Data_BS[Value],[1]!Data_BS[Index BS],'Dai Loc'!$B7,[1]!Data_BS[TenCongTyID],'Dai Loc'!$B$1,[1]!Data_BS[Thang.Nam],'Dai Loc'!AG$5)</f>
        <v>0</v>
      </c>
      <c r="AH7" s="337">
        <f>SUMIFS([1]!Data_BS[Value],[1]!Data_BS[Index BS],'Dai Loc'!$B7,[1]!Data_BS[TenCongTyID],'Dai Loc'!$B$1,[1]!Data_BS[Thang.Nam],'Dai Loc'!AH$5)</f>
        <v>0</v>
      </c>
      <c r="AI7" s="337">
        <f>SUMIFS([1]!Data_BS[Value],[1]!Data_BS[Index BS],'Dai Loc'!$B7,[1]!Data_BS[TenCongTyID],'Dai Loc'!$B$1,[1]!Data_BS[Thang.Nam],'Dai Loc'!AI$5)</f>
        <v>0</v>
      </c>
      <c r="AJ7" s="337">
        <f>SUMIFS([1]!Data_BS[Value],[1]!Data_BS[Index BS],'Dai Loc'!$B7,[1]!Data_BS[TenCongTyID],'Dai Loc'!$B$1,[1]!Data_BS[Thang.Nam],'Dai Loc'!AJ$5)</f>
        <v>0</v>
      </c>
      <c r="AK7" s="337">
        <f>SUMIFS([1]!Data_BS[Value],[1]!Data_BS[Index BS],'Dai Loc'!$B7,[1]!Data_BS[TenCongTyID],'Dai Loc'!$B$1,[1]!Data_BS[Thang.Nam],'Dai Loc'!AK$5)</f>
        <v>0</v>
      </c>
      <c r="AL7" s="337">
        <f>SUMIFS([1]!Data_BS[Value],[1]!Data_BS[Index BS],'Dai Loc'!$B7,[1]!Data_BS[TenCongTyID],'Dai Loc'!$B$1,[1]!Data_BS[Thang.Nam],'Dai Loc'!AL$5)</f>
        <v>0</v>
      </c>
    </row>
    <row r="8" spans="1:38" ht="15" hidden="1" customHeight="1" outlineLevel="1">
      <c r="A8" s="62" t="s">
        <v>92</v>
      </c>
      <c r="B8" s="63">
        <v>3</v>
      </c>
      <c r="C8" s="229">
        <v>2946215478</v>
      </c>
      <c r="D8" s="229">
        <v>2265138258</v>
      </c>
      <c r="E8" s="229">
        <v>4218996644</v>
      </c>
      <c r="F8" s="229">
        <v>3557809436</v>
      </c>
      <c r="G8" s="229">
        <v>3941916171</v>
      </c>
      <c r="H8" s="229">
        <v>772158058</v>
      </c>
      <c r="I8" s="229">
        <v>2805501538</v>
      </c>
      <c r="J8" s="229">
        <v>331678492</v>
      </c>
      <c r="K8" s="229">
        <v>7420709</v>
      </c>
      <c r="L8" s="229">
        <v>3396724052</v>
      </c>
      <c r="M8" s="229">
        <v>1749435798</v>
      </c>
      <c r="N8" s="229">
        <v>1719447314</v>
      </c>
      <c r="O8" s="229">
        <v>2490854993</v>
      </c>
      <c r="P8" s="229">
        <v>185294992</v>
      </c>
      <c r="Q8" s="229">
        <v>1965557775</v>
      </c>
      <c r="R8" s="229">
        <v>2763415028</v>
      </c>
      <c r="S8" s="229">
        <v>1067640621</v>
      </c>
      <c r="T8" s="229">
        <v>451065154</v>
      </c>
      <c r="U8" s="229">
        <v>1634425568</v>
      </c>
      <c r="V8" s="229">
        <v>2579320451</v>
      </c>
      <c r="W8" s="229">
        <v>6126662129</v>
      </c>
      <c r="X8" s="229">
        <v>3698290774</v>
      </c>
      <c r="Y8" s="229">
        <v>721260007</v>
      </c>
      <c r="Z8" s="229">
        <v>4238403093</v>
      </c>
      <c r="AA8" s="229">
        <f>SUMIFS([1]!Data_BS[Value],[1]!Data_BS[Index BS],'Dai Loc'!$B8,[1]!Data_BS[TenCongTyID],'Dai Loc'!$B$1,[1]!Data_BS[Thang.Nam],'Dai Loc'!AA$5)</f>
        <v>0</v>
      </c>
      <c r="AB8" s="229">
        <f>SUMIFS([1]!Data_BS[Value],[1]!Data_BS[Index BS],'Dai Loc'!$B8,[1]!Data_BS[TenCongTyID],'Dai Loc'!$B$1,[1]!Data_BS[Thang.Nam],'Dai Loc'!AB$5)</f>
        <v>0</v>
      </c>
      <c r="AC8" s="229">
        <f>SUMIFS([1]!Data_BS[Value],[1]!Data_BS[Index BS],'Dai Loc'!$B8,[1]!Data_BS[TenCongTyID],'Dai Loc'!$B$1,[1]!Data_BS[Thang.Nam],'Dai Loc'!AC$5)</f>
        <v>0</v>
      </c>
      <c r="AD8" s="229">
        <f>SUMIFS([1]!Data_BS[Value],[1]!Data_BS[Index BS],'Dai Loc'!$B8,[1]!Data_BS[TenCongTyID],'Dai Loc'!$B$1,[1]!Data_BS[Thang.Nam],'Dai Loc'!AD$5)</f>
        <v>0</v>
      </c>
      <c r="AE8" s="229">
        <f>SUMIFS([1]!Data_BS[Value],[1]!Data_BS[Index BS],'Dai Loc'!$B8,[1]!Data_BS[TenCongTyID],'Dai Loc'!$B$1,[1]!Data_BS[Thang.Nam],'Dai Loc'!AE$5)</f>
        <v>0</v>
      </c>
      <c r="AF8" s="229">
        <f>SUMIFS([1]!Data_BS[Value],[1]!Data_BS[Index BS],'Dai Loc'!$B8,[1]!Data_BS[TenCongTyID],'Dai Loc'!$B$1,[1]!Data_BS[Thang.Nam],'Dai Loc'!AF$5)</f>
        <v>0</v>
      </c>
      <c r="AG8" s="229">
        <f>SUMIFS([1]!Data_BS[Value],[1]!Data_BS[Index BS],'Dai Loc'!$B8,[1]!Data_BS[TenCongTyID],'Dai Loc'!$B$1,[1]!Data_BS[Thang.Nam],'Dai Loc'!AG$5)</f>
        <v>0</v>
      </c>
      <c r="AH8" s="229">
        <f>SUMIFS([1]!Data_BS[Value],[1]!Data_BS[Index BS],'Dai Loc'!$B8,[1]!Data_BS[TenCongTyID],'Dai Loc'!$B$1,[1]!Data_BS[Thang.Nam],'Dai Loc'!AH$5)</f>
        <v>0</v>
      </c>
      <c r="AI8" s="229">
        <f>SUMIFS([1]!Data_BS[Value],[1]!Data_BS[Index BS],'Dai Loc'!$B8,[1]!Data_BS[TenCongTyID],'Dai Loc'!$B$1,[1]!Data_BS[Thang.Nam],'Dai Loc'!AI$5)</f>
        <v>0</v>
      </c>
      <c r="AJ8" s="229">
        <f>SUMIFS([1]!Data_BS[Value],[1]!Data_BS[Index BS],'Dai Loc'!$B8,[1]!Data_BS[TenCongTyID],'Dai Loc'!$B$1,[1]!Data_BS[Thang.Nam],'Dai Loc'!AJ$5)</f>
        <v>0</v>
      </c>
      <c r="AK8" s="229">
        <f>SUMIFS([1]!Data_BS[Value],[1]!Data_BS[Index BS],'Dai Loc'!$B8,[1]!Data_BS[TenCongTyID],'Dai Loc'!$B$1,[1]!Data_BS[Thang.Nam],'Dai Loc'!AK$5)</f>
        <v>0</v>
      </c>
      <c r="AL8" s="229">
        <f>SUMIFS([1]!Data_BS[Value],[1]!Data_BS[Index BS],'Dai Loc'!$B8,[1]!Data_BS[TenCongTyID],'Dai Loc'!$B$1,[1]!Data_BS[Thang.Nam],'Dai Loc'!AL$5)</f>
        <v>0</v>
      </c>
    </row>
    <row r="9" spans="1:38" ht="15" hidden="1" customHeight="1" outlineLevel="1">
      <c r="A9" s="62" t="s">
        <v>93</v>
      </c>
      <c r="B9" s="63">
        <v>4</v>
      </c>
      <c r="C9" s="244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>
        <v>0</v>
      </c>
      <c r="P9" s="244">
        <v>0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/>
      <c r="X9" s="244">
        <v>5000000000</v>
      </c>
      <c r="Y9" s="244">
        <v>3000000000</v>
      </c>
      <c r="Z9" s="244">
        <v>0</v>
      </c>
      <c r="AA9" s="244">
        <f>SUMIFS([1]!Data_BS[Value],[1]!Data_BS[Index BS],'Dai Loc'!$B9,[1]!Data_BS[TenCongTyID],'Dai Loc'!$B$1,[1]!Data_BS[Thang.Nam],'Dai Loc'!AA$5)</f>
        <v>0</v>
      </c>
      <c r="AB9" s="244">
        <f>SUMIFS([1]!Data_BS[Value],[1]!Data_BS[Index BS],'Dai Loc'!$B9,[1]!Data_BS[TenCongTyID],'Dai Loc'!$B$1,[1]!Data_BS[Thang.Nam],'Dai Loc'!AB$5)</f>
        <v>0</v>
      </c>
      <c r="AC9" s="244">
        <f>SUMIFS([1]!Data_BS[Value],[1]!Data_BS[Index BS],'Dai Loc'!$B9,[1]!Data_BS[TenCongTyID],'Dai Loc'!$B$1,[1]!Data_BS[Thang.Nam],'Dai Loc'!AC$5)</f>
        <v>0</v>
      </c>
      <c r="AD9" s="244">
        <f>SUMIFS([1]!Data_BS[Value],[1]!Data_BS[Index BS],'Dai Loc'!$B9,[1]!Data_BS[TenCongTyID],'Dai Loc'!$B$1,[1]!Data_BS[Thang.Nam],'Dai Loc'!AD$5)</f>
        <v>0</v>
      </c>
      <c r="AE9" s="244">
        <f>SUMIFS([1]!Data_BS[Value],[1]!Data_BS[Index BS],'Dai Loc'!$B9,[1]!Data_BS[TenCongTyID],'Dai Loc'!$B$1,[1]!Data_BS[Thang.Nam],'Dai Loc'!AE$5)</f>
        <v>0</v>
      </c>
      <c r="AF9" s="244">
        <f>SUMIFS([1]!Data_BS[Value],[1]!Data_BS[Index BS],'Dai Loc'!$B9,[1]!Data_BS[TenCongTyID],'Dai Loc'!$B$1,[1]!Data_BS[Thang.Nam],'Dai Loc'!AF$5)</f>
        <v>0</v>
      </c>
      <c r="AG9" s="244">
        <f>SUMIFS([1]!Data_BS[Value],[1]!Data_BS[Index BS],'Dai Loc'!$B9,[1]!Data_BS[TenCongTyID],'Dai Loc'!$B$1,[1]!Data_BS[Thang.Nam],'Dai Loc'!AG$5)</f>
        <v>0</v>
      </c>
      <c r="AH9" s="244">
        <f>SUMIFS([1]!Data_BS[Value],[1]!Data_BS[Index BS],'Dai Loc'!$B9,[1]!Data_BS[TenCongTyID],'Dai Loc'!$B$1,[1]!Data_BS[Thang.Nam],'Dai Loc'!AH$5)</f>
        <v>0</v>
      </c>
      <c r="AI9" s="244">
        <f>SUMIFS([1]!Data_BS[Value],[1]!Data_BS[Index BS],'Dai Loc'!$B9,[1]!Data_BS[TenCongTyID],'Dai Loc'!$B$1,[1]!Data_BS[Thang.Nam],'Dai Loc'!AI$5)</f>
        <v>0</v>
      </c>
      <c r="AJ9" s="244">
        <f>SUMIFS([1]!Data_BS[Value],[1]!Data_BS[Index BS],'Dai Loc'!$B9,[1]!Data_BS[TenCongTyID],'Dai Loc'!$B$1,[1]!Data_BS[Thang.Nam],'Dai Loc'!AJ$5)</f>
        <v>0</v>
      </c>
      <c r="AK9" s="244">
        <f>SUMIFS([1]!Data_BS[Value],[1]!Data_BS[Index BS],'Dai Loc'!$B9,[1]!Data_BS[TenCongTyID],'Dai Loc'!$B$1,[1]!Data_BS[Thang.Nam],'Dai Loc'!AK$5)</f>
        <v>0</v>
      </c>
      <c r="AL9" s="244">
        <f>SUMIFS([1]!Data_BS[Value],[1]!Data_BS[Index BS],'Dai Loc'!$B9,[1]!Data_BS[TenCongTyID],'Dai Loc'!$B$1,[1]!Data_BS[Thang.Nam],'Dai Loc'!AL$5)</f>
        <v>0</v>
      </c>
    </row>
    <row r="10" spans="1:38" ht="15" hidden="1" customHeight="1" outlineLevel="1">
      <c r="A10" s="59" t="s">
        <v>94</v>
      </c>
      <c r="B10" s="65">
        <v>5</v>
      </c>
      <c r="C10" s="232">
        <v>202000000</v>
      </c>
      <c r="D10" s="232">
        <v>202000000</v>
      </c>
      <c r="E10" s="232">
        <v>202000000</v>
      </c>
      <c r="F10" s="232">
        <v>202000000</v>
      </c>
      <c r="G10" s="232">
        <v>202000000</v>
      </c>
      <c r="H10" s="232">
        <v>202000000</v>
      </c>
      <c r="I10" s="232">
        <v>202000000</v>
      </c>
      <c r="J10" s="232">
        <v>202000000</v>
      </c>
      <c r="K10" s="232">
        <v>202000000</v>
      </c>
      <c r="L10" s="232">
        <v>202000000</v>
      </c>
      <c r="M10" s="232">
        <v>202000000</v>
      </c>
      <c r="N10" s="232">
        <v>202000000</v>
      </c>
      <c r="O10" s="232">
        <v>202000000</v>
      </c>
      <c r="P10" s="232">
        <v>202000000</v>
      </c>
      <c r="Q10" s="232">
        <v>202000000</v>
      </c>
      <c r="R10" s="232">
        <v>202000000</v>
      </c>
      <c r="S10" s="232">
        <v>202000000</v>
      </c>
      <c r="T10" s="232">
        <v>202000000</v>
      </c>
      <c r="U10" s="232">
        <v>202000000</v>
      </c>
      <c r="V10" s="232">
        <v>202000000</v>
      </c>
      <c r="W10" s="232">
        <f>SUM(W11:W13)</f>
        <v>202000000</v>
      </c>
      <c r="X10" s="232">
        <v>202000000</v>
      </c>
      <c r="Y10" s="232">
        <v>202000000</v>
      </c>
      <c r="Z10" s="232">
        <v>202000000</v>
      </c>
      <c r="AA10" s="232">
        <f>SUMIFS([1]!Data_BS[Value],[1]!Data_BS[Index BS],'Dai Loc'!$B10,[1]!Data_BS[TenCongTyID],'Dai Loc'!$B$1,[1]!Data_BS[Thang.Nam],'Dai Loc'!AA$5)</f>
        <v>0</v>
      </c>
      <c r="AB10" s="232">
        <f>SUMIFS([1]!Data_BS[Value],[1]!Data_BS[Index BS],'Dai Loc'!$B10,[1]!Data_BS[TenCongTyID],'Dai Loc'!$B$1,[1]!Data_BS[Thang.Nam],'Dai Loc'!AB$5)</f>
        <v>0</v>
      </c>
      <c r="AC10" s="232">
        <f>SUMIFS([1]!Data_BS[Value],[1]!Data_BS[Index BS],'Dai Loc'!$B10,[1]!Data_BS[TenCongTyID],'Dai Loc'!$B$1,[1]!Data_BS[Thang.Nam],'Dai Loc'!AC$5)</f>
        <v>0</v>
      </c>
      <c r="AD10" s="232">
        <f>SUMIFS([1]!Data_BS[Value],[1]!Data_BS[Index BS],'Dai Loc'!$B10,[1]!Data_BS[TenCongTyID],'Dai Loc'!$B$1,[1]!Data_BS[Thang.Nam],'Dai Loc'!AD$5)</f>
        <v>0</v>
      </c>
      <c r="AE10" s="232">
        <f>SUMIFS([1]!Data_BS[Value],[1]!Data_BS[Index BS],'Dai Loc'!$B10,[1]!Data_BS[TenCongTyID],'Dai Loc'!$B$1,[1]!Data_BS[Thang.Nam],'Dai Loc'!AE$5)</f>
        <v>0</v>
      </c>
      <c r="AF10" s="232">
        <f>SUMIFS([1]!Data_BS[Value],[1]!Data_BS[Index BS],'Dai Loc'!$B10,[1]!Data_BS[TenCongTyID],'Dai Loc'!$B$1,[1]!Data_BS[Thang.Nam],'Dai Loc'!AF$5)</f>
        <v>0</v>
      </c>
      <c r="AG10" s="232">
        <f>SUMIFS([1]!Data_BS[Value],[1]!Data_BS[Index BS],'Dai Loc'!$B10,[1]!Data_BS[TenCongTyID],'Dai Loc'!$B$1,[1]!Data_BS[Thang.Nam],'Dai Loc'!AG$5)</f>
        <v>0</v>
      </c>
      <c r="AH10" s="232">
        <f>SUMIFS([1]!Data_BS[Value],[1]!Data_BS[Index BS],'Dai Loc'!$B10,[1]!Data_BS[TenCongTyID],'Dai Loc'!$B$1,[1]!Data_BS[Thang.Nam],'Dai Loc'!AH$5)</f>
        <v>0</v>
      </c>
      <c r="AI10" s="232">
        <f>SUMIFS([1]!Data_BS[Value],[1]!Data_BS[Index BS],'Dai Loc'!$B10,[1]!Data_BS[TenCongTyID],'Dai Loc'!$B$1,[1]!Data_BS[Thang.Nam],'Dai Loc'!AI$5)</f>
        <v>0</v>
      </c>
      <c r="AJ10" s="232">
        <f>SUMIFS([1]!Data_BS[Value],[1]!Data_BS[Index BS],'Dai Loc'!$B10,[1]!Data_BS[TenCongTyID],'Dai Loc'!$B$1,[1]!Data_BS[Thang.Nam],'Dai Loc'!AJ$5)</f>
        <v>0</v>
      </c>
      <c r="AK10" s="232">
        <f>SUMIFS([1]!Data_BS[Value],[1]!Data_BS[Index BS],'Dai Loc'!$B10,[1]!Data_BS[TenCongTyID],'Dai Loc'!$B$1,[1]!Data_BS[Thang.Nam],'Dai Loc'!AK$5)</f>
        <v>0</v>
      </c>
      <c r="AL10" s="232">
        <f>SUMIFS([1]!Data_BS[Value],[1]!Data_BS[Index BS],'Dai Loc'!$B10,[1]!Data_BS[TenCongTyID],'Dai Loc'!$B$1,[1]!Data_BS[Thang.Nam],'Dai Loc'!AL$5)</f>
        <v>0</v>
      </c>
    </row>
    <row r="11" spans="1:38" ht="15" hidden="1" customHeight="1" outlineLevel="1">
      <c r="A11" s="62" t="s">
        <v>95</v>
      </c>
      <c r="B11" s="63">
        <v>6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>
        <v>0</v>
      </c>
      <c r="L11" s="229">
        <v>0</v>
      </c>
      <c r="M11" s="229">
        <v>0</v>
      </c>
      <c r="N11" s="229">
        <v>0</v>
      </c>
      <c r="O11" s="229">
        <v>0</v>
      </c>
      <c r="P11" s="229">
        <v>0</v>
      </c>
      <c r="Q11" s="229">
        <v>0</v>
      </c>
      <c r="R11" s="229">
        <v>0</v>
      </c>
      <c r="S11" s="229">
        <v>0</v>
      </c>
      <c r="T11" s="229">
        <v>0</v>
      </c>
      <c r="U11" s="229">
        <v>0</v>
      </c>
      <c r="V11" s="229">
        <v>0</v>
      </c>
      <c r="W11" s="229"/>
      <c r="X11" s="229">
        <v>0</v>
      </c>
      <c r="Y11" s="229">
        <v>0</v>
      </c>
      <c r="Z11" s="229">
        <v>0</v>
      </c>
      <c r="AA11" s="229">
        <f>SUMIFS([1]!Data_BS[Value],[1]!Data_BS[Index BS],'Dai Loc'!$B11,[1]!Data_BS[TenCongTyID],'Dai Loc'!$B$1,[1]!Data_BS[Thang.Nam],'Dai Loc'!AA$5)</f>
        <v>0</v>
      </c>
      <c r="AB11" s="229">
        <f>SUMIFS([1]!Data_BS[Value],[1]!Data_BS[Index BS],'Dai Loc'!$B11,[1]!Data_BS[TenCongTyID],'Dai Loc'!$B$1,[1]!Data_BS[Thang.Nam],'Dai Loc'!AB$5)</f>
        <v>0</v>
      </c>
      <c r="AC11" s="229">
        <f>SUMIFS([1]!Data_BS[Value],[1]!Data_BS[Index BS],'Dai Loc'!$B11,[1]!Data_BS[TenCongTyID],'Dai Loc'!$B$1,[1]!Data_BS[Thang.Nam],'Dai Loc'!AC$5)</f>
        <v>0</v>
      </c>
      <c r="AD11" s="229">
        <f>SUMIFS([1]!Data_BS[Value],[1]!Data_BS[Index BS],'Dai Loc'!$B11,[1]!Data_BS[TenCongTyID],'Dai Loc'!$B$1,[1]!Data_BS[Thang.Nam],'Dai Loc'!AD$5)</f>
        <v>0</v>
      </c>
      <c r="AE11" s="229">
        <f>SUMIFS([1]!Data_BS[Value],[1]!Data_BS[Index BS],'Dai Loc'!$B11,[1]!Data_BS[TenCongTyID],'Dai Loc'!$B$1,[1]!Data_BS[Thang.Nam],'Dai Loc'!AE$5)</f>
        <v>0</v>
      </c>
      <c r="AF11" s="229">
        <f>SUMIFS([1]!Data_BS[Value],[1]!Data_BS[Index BS],'Dai Loc'!$B11,[1]!Data_BS[TenCongTyID],'Dai Loc'!$B$1,[1]!Data_BS[Thang.Nam],'Dai Loc'!AF$5)</f>
        <v>0</v>
      </c>
      <c r="AG11" s="229">
        <f>SUMIFS([1]!Data_BS[Value],[1]!Data_BS[Index BS],'Dai Loc'!$B11,[1]!Data_BS[TenCongTyID],'Dai Loc'!$B$1,[1]!Data_BS[Thang.Nam],'Dai Loc'!AG$5)</f>
        <v>0</v>
      </c>
      <c r="AH11" s="229">
        <f>SUMIFS([1]!Data_BS[Value],[1]!Data_BS[Index BS],'Dai Loc'!$B11,[1]!Data_BS[TenCongTyID],'Dai Loc'!$B$1,[1]!Data_BS[Thang.Nam],'Dai Loc'!AH$5)</f>
        <v>0</v>
      </c>
      <c r="AI11" s="229">
        <f>SUMIFS([1]!Data_BS[Value],[1]!Data_BS[Index BS],'Dai Loc'!$B11,[1]!Data_BS[TenCongTyID],'Dai Loc'!$B$1,[1]!Data_BS[Thang.Nam],'Dai Loc'!AI$5)</f>
        <v>0</v>
      </c>
      <c r="AJ11" s="229">
        <f>SUMIFS([1]!Data_BS[Value],[1]!Data_BS[Index BS],'Dai Loc'!$B11,[1]!Data_BS[TenCongTyID],'Dai Loc'!$B$1,[1]!Data_BS[Thang.Nam],'Dai Loc'!AJ$5)</f>
        <v>0</v>
      </c>
      <c r="AK11" s="229">
        <f>SUMIFS([1]!Data_BS[Value],[1]!Data_BS[Index BS],'Dai Loc'!$B11,[1]!Data_BS[TenCongTyID],'Dai Loc'!$B$1,[1]!Data_BS[Thang.Nam],'Dai Loc'!AK$5)</f>
        <v>0</v>
      </c>
      <c r="AL11" s="229">
        <f>SUMIFS([1]!Data_BS[Value],[1]!Data_BS[Index BS],'Dai Loc'!$B11,[1]!Data_BS[TenCongTyID],'Dai Loc'!$B$1,[1]!Data_BS[Thang.Nam],'Dai Loc'!AL$5)</f>
        <v>0</v>
      </c>
    </row>
    <row r="12" spans="1:38" ht="15" hidden="1" customHeight="1" outlineLevel="1">
      <c r="A12" s="62" t="s">
        <v>96</v>
      </c>
      <c r="B12" s="63">
        <v>7</v>
      </c>
      <c r="C12" s="229">
        <v>0</v>
      </c>
      <c r="D12" s="229">
        <v>0</v>
      </c>
      <c r="E12" s="229">
        <v>0</v>
      </c>
      <c r="F12" s="229">
        <v>0</v>
      </c>
      <c r="G12" s="229">
        <v>0</v>
      </c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/>
      <c r="X12" s="229">
        <v>0</v>
      </c>
      <c r="Y12" s="229">
        <v>0</v>
      </c>
      <c r="Z12" s="229">
        <v>0</v>
      </c>
      <c r="AA12" s="229">
        <f>SUMIFS([1]!Data_BS[Value],[1]!Data_BS[Index BS],'Dai Loc'!$B12,[1]!Data_BS[TenCongTyID],'Dai Loc'!$B$1,[1]!Data_BS[Thang.Nam],'Dai Loc'!AA$5)</f>
        <v>0</v>
      </c>
      <c r="AB12" s="229">
        <f>SUMIFS([1]!Data_BS[Value],[1]!Data_BS[Index BS],'Dai Loc'!$B12,[1]!Data_BS[TenCongTyID],'Dai Loc'!$B$1,[1]!Data_BS[Thang.Nam],'Dai Loc'!AB$5)</f>
        <v>0</v>
      </c>
      <c r="AC12" s="229">
        <f>SUMIFS([1]!Data_BS[Value],[1]!Data_BS[Index BS],'Dai Loc'!$B12,[1]!Data_BS[TenCongTyID],'Dai Loc'!$B$1,[1]!Data_BS[Thang.Nam],'Dai Loc'!AC$5)</f>
        <v>0</v>
      </c>
      <c r="AD12" s="229">
        <f>SUMIFS([1]!Data_BS[Value],[1]!Data_BS[Index BS],'Dai Loc'!$B12,[1]!Data_BS[TenCongTyID],'Dai Loc'!$B$1,[1]!Data_BS[Thang.Nam],'Dai Loc'!AD$5)</f>
        <v>0</v>
      </c>
      <c r="AE12" s="229">
        <f>SUMIFS([1]!Data_BS[Value],[1]!Data_BS[Index BS],'Dai Loc'!$B12,[1]!Data_BS[TenCongTyID],'Dai Loc'!$B$1,[1]!Data_BS[Thang.Nam],'Dai Loc'!AE$5)</f>
        <v>0</v>
      </c>
      <c r="AF12" s="229">
        <f>SUMIFS([1]!Data_BS[Value],[1]!Data_BS[Index BS],'Dai Loc'!$B12,[1]!Data_BS[TenCongTyID],'Dai Loc'!$B$1,[1]!Data_BS[Thang.Nam],'Dai Loc'!AF$5)</f>
        <v>0</v>
      </c>
      <c r="AG12" s="229">
        <f>SUMIFS([1]!Data_BS[Value],[1]!Data_BS[Index BS],'Dai Loc'!$B12,[1]!Data_BS[TenCongTyID],'Dai Loc'!$B$1,[1]!Data_BS[Thang.Nam],'Dai Loc'!AG$5)</f>
        <v>0</v>
      </c>
      <c r="AH12" s="229">
        <f>SUMIFS([1]!Data_BS[Value],[1]!Data_BS[Index BS],'Dai Loc'!$B12,[1]!Data_BS[TenCongTyID],'Dai Loc'!$B$1,[1]!Data_BS[Thang.Nam],'Dai Loc'!AH$5)</f>
        <v>0</v>
      </c>
      <c r="AI12" s="229">
        <f>SUMIFS([1]!Data_BS[Value],[1]!Data_BS[Index BS],'Dai Loc'!$B12,[1]!Data_BS[TenCongTyID],'Dai Loc'!$B$1,[1]!Data_BS[Thang.Nam],'Dai Loc'!AI$5)</f>
        <v>0</v>
      </c>
      <c r="AJ12" s="229">
        <f>SUMIFS([1]!Data_BS[Value],[1]!Data_BS[Index BS],'Dai Loc'!$B12,[1]!Data_BS[TenCongTyID],'Dai Loc'!$B$1,[1]!Data_BS[Thang.Nam],'Dai Loc'!AJ$5)</f>
        <v>0</v>
      </c>
      <c r="AK12" s="229">
        <f>SUMIFS([1]!Data_BS[Value],[1]!Data_BS[Index BS],'Dai Loc'!$B12,[1]!Data_BS[TenCongTyID],'Dai Loc'!$B$1,[1]!Data_BS[Thang.Nam],'Dai Loc'!AK$5)</f>
        <v>0</v>
      </c>
      <c r="AL12" s="229">
        <f>SUMIFS([1]!Data_BS[Value],[1]!Data_BS[Index BS],'Dai Loc'!$B12,[1]!Data_BS[TenCongTyID],'Dai Loc'!$B$1,[1]!Data_BS[Thang.Nam],'Dai Loc'!AL$5)</f>
        <v>0</v>
      </c>
    </row>
    <row r="13" spans="1:38" ht="15" hidden="1" customHeight="1" outlineLevel="1">
      <c r="A13" s="66" t="s">
        <v>97</v>
      </c>
      <c r="B13" s="63">
        <v>8</v>
      </c>
      <c r="C13" s="229">
        <v>202000000</v>
      </c>
      <c r="D13" s="229">
        <v>202000000</v>
      </c>
      <c r="E13" s="229">
        <v>202000000</v>
      </c>
      <c r="F13" s="229">
        <v>202000000</v>
      </c>
      <c r="G13" s="229">
        <v>202000000</v>
      </c>
      <c r="H13" s="229">
        <v>202000000</v>
      </c>
      <c r="I13" s="229">
        <v>202000000</v>
      </c>
      <c r="J13" s="229">
        <v>202000000</v>
      </c>
      <c r="K13" s="229">
        <v>202000000</v>
      </c>
      <c r="L13" s="229">
        <v>202000000</v>
      </c>
      <c r="M13" s="229">
        <v>202000000</v>
      </c>
      <c r="N13" s="229">
        <v>202000000</v>
      </c>
      <c r="O13" s="229">
        <v>202000000</v>
      </c>
      <c r="P13" s="229">
        <v>202000000</v>
      </c>
      <c r="Q13" s="229">
        <v>202000000</v>
      </c>
      <c r="R13" s="229">
        <v>202000000</v>
      </c>
      <c r="S13" s="229">
        <v>202000000</v>
      </c>
      <c r="T13" s="229">
        <v>202000000</v>
      </c>
      <c r="U13" s="229">
        <v>202000000</v>
      </c>
      <c r="V13" s="229">
        <v>202000000</v>
      </c>
      <c r="W13" s="229">
        <v>202000000</v>
      </c>
      <c r="X13" s="229">
        <v>202000000</v>
      </c>
      <c r="Y13" s="229">
        <v>202000000</v>
      </c>
      <c r="Z13" s="229">
        <v>202000000</v>
      </c>
      <c r="AA13" s="229">
        <f>SUMIFS([1]!Data_BS[Value],[1]!Data_BS[Index BS],'Dai Loc'!$B13,[1]!Data_BS[TenCongTyID],'Dai Loc'!$B$1,[1]!Data_BS[Thang.Nam],'Dai Loc'!AA$5)</f>
        <v>0</v>
      </c>
      <c r="AB13" s="229">
        <f>SUMIFS([1]!Data_BS[Value],[1]!Data_BS[Index BS],'Dai Loc'!$B13,[1]!Data_BS[TenCongTyID],'Dai Loc'!$B$1,[1]!Data_BS[Thang.Nam],'Dai Loc'!AB$5)</f>
        <v>0</v>
      </c>
      <c r="AC13" s="229">
        <f>SUMIFS([1]!Data_BS[Value],[1]!Data_BS[Index BS],'Dai Loc'!$B13,[1]!Data_BS[TenCongTyID],'Dai Loc'!$B$1,[1]!Data_BS[Thang.Nam],'Dai Loc'!AC$5)</f>
        <v>0</v>
      </c>
      <c r="AD13" s="229">
        <f>SUMIFS([1]!Data_BS[Value],[1]!Data_BS[Index BS],'Dai Loc'!$B13,[1]!Data_BS[TenCongTyID],'Dai Loc'!$B$1,[1]!Data_BS[Thang.Nam],'Dai Loc'!AD$5)</f>
        <v>0</v>
      </c>
      <c r="AE13" s="229">
        <f>SUMIFS([1]!Data_BS[Value],[1]!Data_BS[Index BS],'Dai Loc'!$B13,[1]!Data_BS[TenCongTyID],'Dai Loc'!$B$1,[1]!Data_BS[Thang.Nam],'Dai Loc'!AE$5)</f>
        <v>0</v>
      </c>
      <c r="AF13" s="229">
        <f>SUMIFS([1]!Data_BS[Value],[1]!Data_BS[Index BS],'Dai Loc'!$B13,[1]!Data_BS[TenCongTyID],'Dai Loc'!$B$1,[1]!Data_BS[Thang.Nam],'Dai Loc'!AF$5)</f>
        <v>0</v>
      </c>
      <c r="AG13" s="229">
        <f>SUMIFS([1]!Data_BS[Value],[1]!Data_BS[Index BS],'Dai Loc'!$B13,[1]!Data_BS[TenCongTyID],'Dai Loc'!$B$1,[1]!Data_BS[Thang.Nam],'Dai Loc'!AG$5)</f>
        <v>0</v>
      </c>
      <c r="AH13" s="229">
        <f>SUMIFS([1]!Data_BS[Value],[1]!Data_BS[Index BS],'Dai Loc'!$B13,[1]!Data_BS[TenCongTyID],'Dai Loc'!$B$1,[1]!Data_BS[Thang.Nam],'Dai Loc'!AH$5)</f>
        <v>0</v>
      </c>
      <c r="AI13" s="229">
        <f>SUMIFS([1]!Data_BS[Value],[1]!Data_BS[Index BS],'Dai Loc'!$B13,[1]!Data_BS[TenCongTyID],'Dai Loc'!$B$1,[1]!Data_BS[Thang.Nam],'Dai Loc'!AI$5)</f>
        <v>0</v>
      </c>
      <c r="AJ13" s="229">
        <f>SUMIFS([1]!Data_BS[Value],[1]!Data_BS[Index BS],'Dai Loc'!$B13,[1]!Data_BS[TenCongTyID],'Dai Loc'!$B$1,[1]!Data_BS[Thang.Nam],'Dai Loc'!AJ$5)</f>
        <v>0</v>
      </c>
      <c r="AK13" s="229">
        <f>SUMIFS([1]!Data_BS[Value],[1]!Data_BS[Index BS],'Dai Loc'!$B13,[1]!Data_BS[TenCongTyID],'Dai Loc'!$B$1,[1]!Data_BS[Thang.Nam],'Dai Loc'!AK$5)</f>
        <v>0</v>
      </c>
      <c r="AL13" s="229">
        <f>SUMIFS([1]!Data_BS[Value],[1]!Data_BS[Index BS],'Dai Loc'!$B13,[1]!Data_BS[TenCongTyID],'Dai Loc'!$B$1,[1]!Data_BS[Thang.Nam],'Dai Loc'!AL$5)</f>
        <v>0</v>
      </c>
    </row>
    <row r="14" spans="1:38" ht="15" hidden="1" customHeight="1" outlineLevel="1">
      <c r="A14" s="66" t="s">
        <v>98</v>
      </c>
      <c r="B14" s="63">
        <v>9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>
        <v>0</v>
      </c>
      <c r="AA14" s="229">
        <f>SUMIFS([1]!Data_BS[Value],[1]!Data_BS[Index BS],'Dai Loc'!$B14,[1]!Data_BS[TenCongTyID],'Dai Loc'!$B$1,[1]!Data_BS[Thang.Nam],'Dai Loc'!AA$5)</f>
        <v>0</v>
      </c>
      <c r="AB14" s="229">
        <f>SUMIFS([1]!Data_BS[Value],[1]!Data_BS[Index BS],'Dai Loc'!$B14,[1]!Data_BS[TenCongTyID],'Dai Loc'!$B$1,[1]!Data_BS[Thang.Nam],'Dai Loc'!AB$5)</f>
        <v>0</v>
      </c>
      <c r="AC14" s="229">
        <f>SUMIFS([1]!Data_BS[Value],[1]!Data_BS[Index BS],'Dai Loc'!$B14,[1]!Data_BS[TenCongTyID],'Dai Loc'!$B$1,[1]!Data_BS[Thang.Nam],'Dai Loc'!AC$5)</f>
        <v>0</v>
      </c>
      <c r="AD14" s="229">
        <f>SUMIFS([1]!Data_BS[Value],[1]!Data_BS[Index BS],'Dai Loc'!$B14,[1]!Data_BS[TenCongTyID],'Dai Loc'!$B$1,[1]!Data_BS[Thang.Nam],'Dai Loc'!AD$5)</f>
        <v>0</v>
      </c>
      <c r="AE14" s="229">
        <f>SUMIFS([1]!Data_BS[Value],[1]!Data_BS[Index BS],'Dai Loc'!$B14,[1]!Data_BS[TenCongTyID],'Dai Loc'!$B$1,[1]!Data_BS[Thang.Nam],'Dai Loc'!AE$5)</f>
        <v>0</v>
      </c>
      <c r="AF14" s="229">
        <f>SUMIFS([1]!Data_BS[Value],[1]!Data_BS[Index BS],'Dai Loc'!$B14,[1]!Data_BS[TenCongTyID],'Dai Loc'!$B$1,[1]!Data_BS[Thang.Nam],'Dai Loc'!AF$5)</f>
        <v>0</v>
      </c>
      <c r="AG14" s="229">
        <f>SUMIFS([1]!Data_BS[Value],[1]!Data_BS[Index BS],'Dai Loc'!$B14,[1]!Data_BS[TenCongTyID],'Dai Loc'!$B$1,[1]!Data_BS[Thang.Nam],'Dai Loc'!AG$5)</f>
        <v>0</v>
      </c>
      <c r="AH14" s="229">
        <f>SUMIFS([1]!Data_BS[Value],[1]!Data_BS[Index BS],'Dai Loc'!$B14,[1]!Data_BS[TenCongTyID],'Dai Loc'!$B$1,[1]!Data_BS[Thang.Nam],'Dai Loc'!AH$5)</f>
        <v>0</v>
      </c>
      <c r="AI14" s="229">
        <f>SUMIFS([1]!Data_BS[Value],[1]!Data_BS[Index BS],'Dai Loc'!$B14,[1]!Data_BS[TenCongTyID],'Dai Loc'!$B$1,[1]!Data_BS[Thang.Nam],'Dai Loc'!AI$5)</f>
        <v>0</v>
      </c>
      <c r="AJ14" s="229">
        <f>SUMIFS([1]!Data_BS[Value],[1]!Data_BS[Index BS],'Dai Loc'!$B14,[1]!Data_BS[TenCongTyID],'Dai Loc'!$B$1,[1]!Data_BS[Thang.Nam],'Dai Loc'!AJ$5)</f>
        <v>0</v>
      </c>
      <c r="AK14" s="229">
        <f>SUMIFS([1]!Data_BS[Value],[1]!Data_BS[Index BS],'Dai Loc'!$B14,[1]!Data_BS[TenCongTyID],'Dai Loc'!$B$1,[1]!Data_BS[Thang.Nam],'Dai Loc'!AK$5)</f>
        <v>0</v>
      </c>
      <c r="AL14" s="229">
        <f>SUMIFS([1]!Data_BS[Value],[1]!Data_BS[Index BS],'Dai Loc'!$B14,[1]!Data_BS[TenCongTyID],'Dai Loc'!$B$1,[1]!Data_BS[Thang.Nam],'Dai Loc'!AL$5)</f>
        <v>0</v>
      </c>
    </row>
    <row r="15" spans="1:38" ht="15" hidden="1" customHeight="1" outlineLevel="1">
      <c r="A15" s="66" t="s">
        <v>99</v>
      </c>
      <c r="B15" s="63">
        <v>10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>
        <v>0</v>
      </c>
      <c r="AA15" s="229">
        <f>SUMIFS([1]!Data_BS[Value],[1]!Data_BS[Index BS],'Dai Loc'!$B15,[1]!Data_BS[TenCongTyID],'Dai Loc'!$B$1,[1]!Data_BS[Thang.Nam],'Dai Loc'!AA$5)</f>
        <v>0</v>
      </c>
      <c r="AB15" s="229">
        <f>SUMIFS([1]!Data_BS[Value],[1]!Data_BS[Index BS],'Dai Loc'!$B15,[1]!Data_BS[TenCongTyID],'Dai Loc'!$B$1,[1]!Data_BS[Thang.Nam],'Dai Loc'!AB$5)</f>
        <v>0</v>
      </c>
      <c r="AC15" s="229">
        <f>SUMIFS([1]!Data_BS[Value],[1]!Data_BS[Index BS],'Dai Loc'!$B15,[1]!Data_BS[TenCongTyID],'Dai Loc'!$B$1,[1]!Data_BS[Thang.Nam],'Dai Loc'!AC$5)</f>
        <v>0</v>
      </c>
      <c r="AD15" s="229">
        <f>SUMIFS([1]!Data_BS[Value],[1]!Data_BS[Index BS],'Dai Loc'!$B15,[1]!Data_BS[TenCongTyID],'Dai Loc'!$B$1,[1]!Data_BS[Thang.Nam],'Dai Loc'!AD$5)</f>
        <v>0</v>
      </c>
      <c r="AE15" s="229">
        <f>SUMIFS([1]!Data_BS[Value],[1]!Data_BS[Index BS],'Dai Loc'!$B15,[1]!Data_BS[TenCongTyID],'Dai Loc'!$B$1,[1]!Data_BS[Thang.Nam],'Dai Loc'!AE$5)</f>
        <v>0</v>
      </c>
      <c r="AF15" s="229">
        <f>SUMIFS([1]!Data_BS[Value],[1]!Data_BS[Index BS],'Dai Loc'!$B15,[1]!Data_BS[TenCongTyID],'Dai Loc'!$B$1,[1]!Data_BS[Thang.Nam],'Dai Loc'!AF$5)</f>
        <v>0</v>
      </c>
      <c r="AG15" s="229">
        <f>SUMIFS([1]!Data_BS[Value],[1]!Data_BS[Index BS],'Dai Loc'!$B15,[1]!Data_BS[TenCongTyID],'Dai Loc'!$B$1,[1]!Data_BS[Thang.Nam],'Dai Loc'!AG$5)</f>
        <v>0</v>
      </c>
      <c r="AH15" s="229">
        <f>SUMIFS([1]!Data_BS[Value],[1]!Data_BS[Index BS],'Dai Loc'!$B15,[1]!Data_BS[TenCongTyID],'Dai Loc'!$B$1,[1]!Data_BS[Thang.Nam],'Dai Loc'!AH$5)</f>
        <v>0</v>
      </c>
      <c r="AI15" s="229">
        <f>SUMIFS([1]!Data_BS[Value],[1]!Data_BS[Index BS],'Dai Loc'!$B15,[1]!Data_BS[TenCongTyID],'Dai Loc'!$B$1,[1]!Data_BS[Thang.Nam],'Dai Loc'!AI$5)</f>
        <v>0</v>
      </c>
      <c r="AJ15" s="229">
        <f>SUMIFS([1]!Data_BS[Value],[1]!Data_BS[Index BS],'Dai Loc'!$B15,[1]!Data_BS[TenCongTyID],'Dai Loc'!$B$1,[1]!Data_BS[Thang.Nam],'Dai Loc'!AJ$5)</f>
        <v>0</v>
      </c>
      <c r="AK15" s="229">
        <f>SUMIFS([1]!Data_BS[Value],[1]!Data_BS[Index BS],'Dai Loc'!$B15,[1]!Data_BS[TenCongTyID],'Dai Loc'!$B$1,[1]!Data_BS[Thang.Nam],'Dai Loc'!AK$5)</f>
        <v>0</v>
      </c>
      <c r="AL15" s="229">
        <f>SUMIFS([1]!Data_BS[Value],[1]!Data_BS[Index BS],'Dai Loc'!$B15,[1]!Data_BS[TenCongTyID],'Dai Loc'!$B$1,[1]!Data_BS[Thang.Nam],'Dai Loc'!AL$5)</f>
        <v>0</v>
      </c>
    </row>
    <row r="16" spans="1:38" ht="15" hidden="1" customHeight="1" outlineLevel="1">
      <c r="A16" s="66" t="s">
        <v>100</v>
      </c>
      <c r="B16" s="63">
        <v>11</v>
      </c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>
        <v>0</v>
      </c>
      <c r="AA16" s="229">
        <f>SUMIFS([1]!Data_BS[Value],[1]!Data_BS[Index BS],'Dai Loc'!$B16,[1]!Data_BS[TenCongTyID],'Dai Loc'!$B$1,[1]!Data_BS[Thang.Nam],'Dai Loc'!AA$5)</f>
        <v>0</v>
      </c>
      <c r="AB16" s="229">
        <f>SUMIFS([1]!Data_BS[Value],[1]!Data_BS[Index BS],'Dai Loc'!$B16,[1]!Data_BS[TenCongTyID],'Dai Loc'!$B$1,[1]!Data_BS[Thang.Nam],'Dai Loc'!AB$5)</f>
        <v>0</v>
      </c>
      <c r="AC16" s="229">
        <f>SUMIFS([1]!Data_BS[Value],[1]!Data_BS[Index BS],'Dai Loc'!$B16,[1]!Data_BS[TenCongTyID],'Dai Loc'!$B$1,[1]!Data_BS[Thang.Nam],'Dai Loc'!AC$5)</f>
        <v>0</v>
      </c>
      <c r="AD16" s="229">
        <f>SUMIFS([1]!Data_BS[Value],[1]!Data_BS[Index BS],'Dai Loc'!$B16,[1]!Data_BS[TenCongTyID],'Dai Loc'!$B$1,[1]!Data_BS[Thang.Nam],'Dai Loc'!AD$5)</f>
        <v>0</v>
      </c>
      <c r="AE16" s="229">
        <f>SUMIFS([1]!Data_BS[Value],[1]!Data_BS[Index BS],'Dai Loc'!$B16,[1]!Data_BS[TenCongTyID],'Dai Loc'!$B$1,[1]!Data_BS[Thang.Nam],'Dai Loc'!AE$5)</f>
        <v>0</v>
      </c>
      <c r="AF16" s="229">
        <f>SUMIFS([1]!Data_BS[Value],[1]!Data_BS[Index BS],'Dai Loc'!$B16,[1]!Data_BS[TenCongTyID],'Dai Loc'!$B$1,[1]!Data_BS[Thang.Nam],'Dai Loc'!AF$5)</f>
        <v>0</v>
      </c>
      <c r="AG16" s="229">
        <f>SUMIFS([1]!Data_BS[Value],[1]!Data_BS[Index BS],'Dai Loc'!$B16,[1]!Data_BS[TenCongTyID],'Dai Loc'!$B$1,[1]!Data_BS[Thang.Nam],'Dai Loc'!AG$5)</f>
        <v>0</v>
      </c>
      <c r="AH16" s="229">
        <f>SUMIFS([1]!Data_BS[Value],[1]!Data_BS[Index BS],'Dai Loc'!$B16,[1]!Data_BS[TenCongTyID],'Dai Loc'!$B$1,[1]!Data_BS[Thang.Nam],'Dai Loc'!AH$5)</f>
        <v>0</v>
      </c>
      <c r="AI16" s="229">
        <f>SUMIFS([1]!Data_BS[Value],[1]!Data_BS[Index BS],'Dai Loc'!$B16,[1]!Data_BS[TenCongTyID],'Dai Loc'!$B$1,[1]!Data_BS[Thang.Nam],'Dai Loc'!AI$5)</f>
        <v>0</v>
      </c>
      <c r="AJ16" s="229">
        <f>SUMIFS([1]!Data_BS[Value],[1]!Data_BS[Index BS],'Dai Loc'!$B16,[1]!Data_BS[TenCongTyID],'Dai Loc'!$B$1,[1]!Data_BS[Thang.Nam],'Dai Loc'!AJ$5)</f>
        <v>0</v>
      </c>
      <c r="AK16" s="229">
        <f>SUMIFS([1]!Data_BS[Value],[1]!Data_BS[Index BS],'Dai Loc'!$B16,[1]!Data_BS[TenCongTyID],'Dai Loc'!$B$1,[1]!Data_BS[Thang.Nam],'Dai Loc'!AK$5)</f>
        <v>0</v>
      </c>
      <c r="AL16" s="229">
        <f>SUMIFS([1]!Data_BS[Value],[1]!Data_BS[Index BS],'Dai Loc'!$B16,[1]!Data_BS[TenCongTyID],'Dai Loc'!$B$1,[1]!Data_BS[Thang.Nam],'Dai Loc'!AL$5)</f>
        <v>0</v>
      </c>
    </row>
    <row r="17" spans="1:38" ht="15" hidden="1" customHeight="1" outlineLevel="1">
      <c r="A17" s="59" t="s">
        <v>101</v>
      </c>
      <c r="B17" s="65">
        <v>12</v>
      </c>
      <c r="C17" s="233">
        <v>16658626185</v>
      </c>
      <c r="D17" s="233">
        <v>15500348188</v>
      </c>
      <c r="E17" s="233">
        <v>5482147536</v>
      </c>
      <c r="F17" s="233">
        <v>6345939397</v>
      </c>
      <c r="G17" s="233">
        <v>5527281336</v>
      </c>
      <c r="H17" s="233">
        <v>8251714126</v>
      </c>
      <c r="I17" s="233">
        <v>5210481853</v>
      </c>
      <c r="J17" s="233">
        <v>7136554164</v>
      </c>
      <c r="K17" s="233">
        <v>8947650552</v>
      </c>
      <c r="L17" s="233">
        <v>7476089680</v>
      </c>
      <c r="M17" s="233">
        <v>9462527411</v>
      </c>
      <c r="N17" s="234">
        <v>5949064562</v>
      </c>
      <c r="O17" s="234">
        <v>5228224588</v>
      </c>
      <c r="P17" s="234">
        <v>8616883790</v>
      </c>
      <c r="Q17" s="234">
        <v>6833083254</v>
      </c>
      <c r="R17" s="234">
        <v>5814554097</v>
      </c>
      <c r="S17" s="234">
        <v>8292340172</v>
      </c>
      <c r="T17" s="234">
        <v>7486229537</v>
      </c>
      <c r="U17" s="234">
        <v>5642649105</v>
      </c>
      <c r="V17" s="234">
        <v>5771887968</v>
      </c>
      <c r="W17" s="234">
        <f>+SUM(W18:W24)</f>
        <v>6300988376</v>
      </c>
      <c r="X17" s="234">
        <v>7423099413</v>
      </c>
      <c r="Y17" s="234">
        <v>7926213865</v>
      </c>
      <c r="Z17" s="234">
        <v>5629071496</v>
      </c>
      <c r="AA17" s="234">
        <f>SUMIFS([1]!Data_BS[Value],[1]!Data_BS[Index BS],'Dai Loc'!$B17,[1]!Data_BS[TenCongTyID],'Dai Loc'!$B$1,[1]!Data_BS[Thang.Nam],'Dai Loc'!AA$5)</f>
        <v>0</v>
      </c>
      <c r="AB17" s="234">
        <f>SUMIFS([1]!Data_BS[Value],[1]!Data_BS[Index BS],'Dai Loc'!$B17,[1]!Data_BS[TenCongTyID],'Dai Loc'!$B$1,[1]!Data_BS[Thang.Nam],'Dai Loc'!AB$5)</f>
        <v>0</v>
      </c>
      <c r="AC17" s="234">
        <f>SUMIFS([1]!Data_BS[Value],[1]!Data_BS[Index BS],'Dai Loc'!$B17,[1]!Data_BS[TenCongTyID],'Dai Loc'!$B$1,[1]!Data_BS[Thang.Nam],'Dai Loc'!AC$5)</f>
        <v>0</v>
      </c>
      <c r="AD17" s="234">
        <f>SUMIFS([1]!Data_BS[Value],[1]!Data_BS[Index BS],'Dai Loc'!$B17,[1]!Data_BS[TenCongTyID],'Dai Loc'!$B$1,[1]!Data_BS[Thang.Nam],'Dai Loc'!AD$5)</f>
        <v>0</v>
      </c>
      <c r="AE17" s="234">
        <f>SUMIFS([1]!Data_BS[Value],[1]!Data_BS[Index BS],'Dai Loc'!$B17,[1]!Data_BS[TenCongTyID],'Dai Loc'!$B$1,[1]!Data_BS[Thang.Nam],'Dai Loc'!AE$5)</f>
        <v>0</v>
      </c>
      <c r="AF17" s="234">
        <f>SUMIFS([1]!Data_BS[Value],[1]!Data_BS[Index BS],'Dai Loc'!$B17,[1]!Data_BS[TenCongTyID],'Dai Loc'!$B$1,[1]!Data_BS[Thang.Nam],'Dai Loc'!AF$5)</f>
        <v>0</v>
      </c>
      <c r="AG17" s="234">
        <f>SUMIFS([1]!Data_BS[Value],[1]!Data_BS[Index BS],'Dai Loc'!$B17,[1]!Data_BS[TenCongTyID],'Dai Loc'!$B$1,[1]!Data_BS[Thang.Nam],'Dai Loc'!AG$5)</f>
        <v>0</v>
      </c>
      <c r="AH17" s="234">
        <f>SUMIFS([1]!Data_BS[Value],[1]!Data_BS[Index BS],'Dai Loc'!$B17,[1]!Data_BS[TenCongTyID],'Dai Loc'!$B$1,[1]!Data_BS[Thang.Nam],'Dai Loc'!AH$5)</f>
        <v>0</v>
      </c>
      <c r="AI17" s="234">
        <f>SUMIFS([1]!Data_BS[Value],[1]!Data_BS[Index BS],'Dai Loc'!$B17,[1]!Data_BS[TenCongTyID],'Dai Loc'!$B$1,[1]!Data_BS[Thang.Nam],'Dai Loc'!AI$5)</f>
        <v>0</v>
      </c>
      <c r="AJ17" s="234">
        <f>SUMIFS([1]!Data_BS[Value],[1]!Data_BS[Index BS],'Dai Loc'!$B17,[1]!Data_BS[TenCongTyID],'Dai Loc'!$B$1,[1]!Data_BS[Thang.Nam],'Dai Loc'!AJ$5)</f>
        <v>0</v>
      </c>
      <c r="AK17" s="234">
        <f>SUMIFS([1]!Data_BS[Value],[1]!Data_BS[Index BS],'Dai Loc'!$B17,[1]!Data_BS[TenCongTyID],'Dai Loc'!$B$1,[1]!Data_BS[Thang.Nam],'Dai Loc'!AK$5)</f>
        <v>0</v>
      </c>
      <c r="AL17" s="234">
        <f>SUMIFS([1]!Data_BS[Value],[1]!Data_BS[Index BS],'Dai Loc'!$B17,[1]!Data_BS[TenCongTyID],'Dai Loc'!$B$1,[1]!Data_BS[Thang.Nam],'Dai Loc'!AL$5)</f>
        <v>0</v>
      </c>
    </row>
    <row r="18" spans="1:38" ht="15" hidden="1" customHeight="1" outlineLevel="1">
      <c r="A18" s="67" t="s">
        <v>102</v>
      </c>
      <c r="B18" s="63">
        <v>13</v>
      </c>
      <c r="C18" s="229">
        <v>13608290704</v>
      </c>
      <c r="D18" s="229">
        <v>12386602102</v>
      </c>
      <c r="E18" s="229">
        <v>2381138100</v>
      </c>
      <c r="F18" s="229">
        <v>3234258110</v>
      </c>
      <c r="G18" s="229">
        <v>2384727750</v>
      </c>
      <c r="H18" s="229">
        <v>5043732840</v>
      </c>
      <c r="I18" s="229">
        <v>2130680267</v>
      </c>
      <c r="J18" s="229">
        <v>3941517778</v>
      </c>
      <c r="K18" s="229">
        <v>5843239018</v>
      </c>
      <c r="L18" s="229">
        <v>4118510434</v>
      </c>
      <c r="M18" s="229">
        <v>5329154083</v>
      </c>
      <c r="N18" s="229">
        <v>3050417781</v>
      </c>
      <c r="O18" s="229">
        <v>1818060000</v>
      </c>
      <c r="P18" s="229">
        <v>4391185668</v>
      </c>
      <c r="Q18" s="229">
        <v>3145752577</v>
      </c>
      <c r="R18" s="229">
        <v>1736464919</v>
      </c>
      <c r="S18" s="229">
        <v>3526718568</v>
      </c>
      <c r="T18" s="229">
        <v>2830023867</v>
      </c>
      <c r="U18" s="229">
        <v>1079767233</v>
      </c>
      <c r="V18" s="229">
        <v>2580378716</v>
      </c>
      <c r="W18" s="229">
        <v>1955108427</v>
      </c>
      <c r="X18" s="229">
        <v>2785647821</v>
      </c>
      <c r="Y18" s="229">
        <v>3190212778</v>
      </c>
      <c r="Z18" s="229">
        <v>492988680</v>
      </c>
      <c r="AA18" s="229">
        <f>SUMIFS([1]!Data_BS[Value],[1]!Data_BS[Index BS],'Dai Loc'!$B18,[1]!Data_BS[TenCongTyID],'Dai Loc'!$B$1,[1]!Data_BS[Thang.Nam],'Dai Loc'!AA$5)</f>
        <v>0</v>
      </c>
      <c r="AB18" s="229">
        <f>SUMIFS([1]!Data_BS[Value],[1]!Data_BS[Index BS],'Dai Loc'!$B18,[1]!Data_BS[TenCongTyID],'Dai Loc'!$B$1,[1]!Data_BS[Thang.Nam],'Dai Loc'!AB$5)</f>
        <v>0</v>
      </c>
      <c r="AC18" s="229">
        <f>SUMIFS([1]!Data_BS[Value],[1]!Data_BS[Index BS],'Dai Loc'!$B18,[1]!Data_BS[TenCongTyID],'Dai Loc'!$B$1,[1]!Data_BS[Thang.Nam],'Dai Loc'!AC$5)</f>
        <v>0</v>
      </c>
      <c r="AD18" s="229">
        <f>SUMIFS([1]!Data_BS[Value],[1]!Data_BS[Index BS],'Dai Loc'!$B18,[1]!Data_BS[TenCongTyID],'Dai Loc'!$B$1,[1]!Data_BS[Thang.Nam],'Dai Loc'!AD$5)</f>
        <v>0</v>
      </c>
      <c r="AE18" s="229">
        <f>SUMIFS([1]!Data_BS[Value],[1]!Data_BS[Index BS],'Dai Loc'!$B18,[1]!Data_BS[TenCongTyID],'Dai Loc'!$B$1,[1]!Data_BS[Thang.Nam],'Dai Loc'!AE$5)</f>
        <v>0</v>
      </c>
      <c r="AF18" s="229">
        <f>SUMIFS([1]!Data_BS[Value],[1]!Data_BS[Index BS],'Dai Loc'!$B18,[1]!Data_BS[TenCongTyID],'Dai Loc'!$B$1,[1]!Data_BS[Thang.Nam],'Dai Loc'!AF$5)</f>
        <v>0</v>
      </c>
      <c r="AG18" s="229">
        <f>SUMIFS([1]!Data_BS[Value],[1]!Data_BS[Index BS],'Dai Loc'!$B18,[1]!Data_BS[TenCongTyID],'Dai Loc'!$B$1,[1]!Data_BS[Thang.Nam],'Dai Loc'!AG$5)</f>
        <v>0</v>
      </c>
      <c r="AH18" s="229">
        <f>SUMIFS([1]!Data_BS[Value],[1]!Data_BS[Index BS],'Dai Loc'!$B18,[1]!Data_BS[TenCongTyID],'Dai Loc'!$B$1,[1]!Data_BS[Thang.Nam],'Dai Loc'!AH$5)</f>
        <v>0</v>
      </c>
      <c r="AI18" s="229">
        <f>SUMIFS([1]!Data_BS[Value],[1]!Data_BS[Index BS],'Dai Loc'!$B18,[1]!Data_BS[TenCongTyID],'Dai Loc'!$B$1,[1]!Data_BS[Thang.Nam],'Dai Loc'!AI$5)</f>
        <v>0</v>
      </c>
      <c r="AJ18" s="229">
        <f>SUMIFS([1]!Data_BS[Value],[1]!Data_BS[Index BS],'Dai Loc'!$B18,[1]!Data_BS[TenCongTyID],'Dai Loc'!$B$1,[1]!Data_BS[Thang.Nam],'Dai Loc'!AJ$5)</f>
        <v>0</v>
      </c>
      <c r="AK18" s="229">
        <f>SUMIFS([1]!Data_BS[Value],[1]!Data_BS[Index BS],'Dai Loc'!$B18,[1]!Data_BS[TenCongTyID],'Dai Loc'!$B$1,[1]!Data_BS[Thang.Nam],'Dai Loc'!AK$5)</f>
        <v>0</v>
      </c>
      <c r="AL18" s="229">
        <f>SUMIFS([1]!Data_BS[Value],[1]!Data_BS[Index BS],'Dai Loc'!$B18,[1]!Data_BS[TenCongTyID],'Dai Loc'!$B$1,[1]!Data_BS[Thang.Nam],'Dai Loc'!AL$5)</f>
        <v>0</v>
      </c>
    </row>
    <row r="19" spans="1:38" ht="15" hidden="1" customHeight="1" outlineLevel="1">
      <c r="A19" s="67" t="s">
        <v>103</v>
      </c>
      <c r="B19" s="63">
        <v>14</v>
      </c>
      <c r="C19" s="229">
        <v>123910000</v>
      </c>
      <c r="D19" s="229">
        <v>138450000</v>
      </c>
      <c r="E19" s="229">
        <v>134190000</v>
      </c>
      <c r="F19" s="229">
        <v>143051350</v>
      </c>
      <c r="G19" s="229">
        <v>186150000</v>
      </c>
      <c r="H19" s="229">
        <v>239350000</v>
      </c>
      <c r="I19" s="229">
        <v>119650000</v>
      </c>
      <c r="J19" s="229">
        <v>226185400</v>
      </c>
      <c r="K19" s="229">
        <v>139494200</v>
      </c>
      <c r="L19" s="229">
        <v>387133780</v>
      </c>
      <c r="M19" s="229">
        <v>1173221742</v>
      </c>
      <c r="N19" s="229">
        <v>133534800</v>
      </c>
      <c r="O19" s="229">
        <v>612081264</v>
      </c>
      <c r="P19" s="229">
        <v>1370614445</v>
      </c>
      <c r="Q19" s="229">
        <v>926247000</v>
      </c>
      <c r="R19" s="229">
        <v>1324005501</v>
      </c>
      <c r="S19" s="229">
        <v>2003771567</v>
      </c>
      <c r="T19" s="229">
        <v>1826775993</v>
      </c>
      <c r="U19" s="229">
        <v>1578043087</v>
      </c>
      <c r="V19" s="229">
        <v>231679367</v>
      </c>
      <c r="W19" s="229">
        <v>1384273092</v>
      </c>
      <c r="X19" s="229">
        <v>1571013432</v>
      </c>
      <c r="Y19" s="229">
        <v>1648603432</v>
      </c>
      <c r="Z19" s="229">
        <v>2048754161</v>
      </c>
      <c r="AA19" s="229">
        <f>SUMIFS([1]!Data_BS[Value],[1]!Data_BS[Index BS],'Dai Loc'!$B19,[1]!Data_BS[TenCongTyID],'Dai Loc'!$B$1,[1]!Data_BS[Thang.Nam],'Dai Loc'!AA$5)</f>
        <v>0</v>
      </c>
      <c r="AB19" s="229">
        <f>SUMIFS([1]!Data_BS[Value],[1]!Data_BS[Index BS],'Dai Loc'!$B19,[1]!Data_BS[TenCongTyID],'Dai Loc'!$B$1,[1]!Data_BS[Thang.Nam],'Dai Loc'!AB$5)</f>
        <v>0</v>
      </c>
      <c r="AC19" s="229">
        <f>SUMIFS([1]!Data_BS[Value],[1]!Data_BS[Index BS],'Dai Loc'!$B19,[1]!Data_BS[TenCongTyID],'Dai Loc'!$B$1,[1]!Data_BS[Thang.Nam],'Dai Loc'!AC$5)</f>
        <v>0</v>
      </c>
      <c r="AD19" s="229">
        <f>SUMIFS([1]!Data_BS[Value],[1]!Data_BS[Index BS],'Dai Loc'!$B19,[1]!Data_BS[TenCongTyID],'Dai Loc'!$B$1,[1]!Data_BS[Thang.Nam],'Dai Loc'!AD$5)</f>
        <v>0</v>
      </c>
      <c r="AE19" s="229">
        <f>SUMIFS([1]!Data_BS[Value],[1]!Data_BS[Index BS],'Dai Loc'!$B19,[1]!Data_BS[TenCongTyID],'Dai Loc'!$B$1,[1]!Data_BS[Thang.Nam],'Dai Loc'!AE$5)</f>
        <v>0</v>
      </c>
      <c r="AF19" s="229">
        <f>SUMIFS([1]!Data_BS[Value],[1]!Data_BS[Index BS],'Dai Loc'!$B19,[1]!Data_BS[TenCongTyID],'Dai Loc'!$B$1,[1]!Data_BS[Thang.Nam],'Dai Loc'!AF$5)</f>
        <v>0</v>
      </c>
      <c r="AG19" s="229">
        <f>SUMIFS([1]!Data_BS[Value],[1]!Data_BS[Index BS],'Dai Loc'!$B19,[1]!Data_BS[TenCongTyID],'Dai Loc'!$B$1,[1]!Data_BS[Thang.Nam],'Dai Loc'!AG$5)</f>
        <v>0</v>
      </c>
      <c r="AH19" s="229">
        <f>SUMIFS([1]!Data_BS[Value],[1]!Data_BS[Index BS],'Dai Loc'!$B19,[1]!Data_BS[TenCongTyID],'Dai Loc'!$B$1,[1]!Data_BS[Thang.Nam],'Dai Loc'!AH$5)</f>
        <v>0</v>
      </c>
      <c r="AI19" s="229">
        <f>SUMIFS([1]!Data_BS[Value],[1]!Data_BS[Index BS],'Dai Loc'!$B19,[1]!Data_BS[TenCongTyID],'Dai Loc'!$B$1,[1]!Data_BS[Thang.Nam],'Dai Loc'!AI$5)</f>
        <v>0</v>
      </c>
      <c r="AJ19" s="229">
        <f>SUMIFS([1]!Data_BS[Value],[1]!Data_BS[Index BS],'Dai Loc'!$B19,[1]!Data_BS[TenCongTyID],'Dai Loc'!$B$1,[1]!Data_BS[Thang.Nam],'Dai Loc'!AJ$5)</f>
        <v>0</v>
      </c>
      <c r="AK19" s="229">
        <f>SUMIFS([1]!Data_BS[Value],[1]!Data_BS[Index BS],'Dai Loc'!$B19,[1]!Data_BS[TenCongTyID],'Dai Loc'!$B$1,[1]!Data_BS[Thang.Nam],'Dai Loc'!AK$5)</f>
        <v>0</v>
      </c>
      <c r="AL19" s="229">
        <f>SUMIFS([1]!Data_BS[Value],[1]!Data_BS[Index BS],'Dai Loc'!$B19,[1]!Data_BS[TenCongTyID],'Dai Loc'!$B$1,[1]!Data_BS[Thang.Nam],'Dai Loc'!AL$5)</f>
        <v>0</v>
      </c>
    </row>
    <row r="20" spans="1:38" ht="15" hidden="1" customHeight="1" outlineLevel="1">
      <c r="A20" s="67" t="s">
        <v>104</v>
      </c>
      <c r="B20" s="63">
        <v>15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Z20" s="229">
        <v>0</v>
      </c>
      <c r="AA20" s="229">
        <f>SUMIFS([1]!Data_BS[Value],[1]!Data_BS[Index BS],'Dai Loc'!$B20,[1]!Data_BS[TenCongTyID],'Dai Loc'!$B$1,[1]!Data_BS[Thang.Nam],'Dai Loc'!AA$5)</f>
        <v>0</v>
      </c>
      <c r="AB20" s="229">
        <f>SUMIFS([1]!Data_BS[Value],[1]!Data_BS[Index BS],'Dai Loc'!$B20,[1]!Data_BS[TenCongTyID],'Dai Loc'!$B$1,[1]!Data_BS[Thang.Nam],'Dai Loc'!AB$5)</f>
        <v>0</v>
      </c>
      <c r="AC20" s="229">
        <f>SUMIFS([1]!Data_BS[Value],[1]!Data_BS[Index BS],'Dai Loc'!$B20,[1]!Data_BS[TenCongTyID],'Dai Loc'!$B$1,[1]!Data_BS[Thang.Nam],'Dai Loc'!AC$5)</f>
        <v>0</v>
      </c>
      <c r="AD20" s="229">
        <f>SUMIFS([1]!Data_BS[Value],[1]!Data_BS[Index BS],'Dai Loc'!$B20,[1]!Data_BS[TenCongTyID],'Dai Loc'!$B$1,[1]!Data_BS[Thang.Nam],'Dai Loc'!AD$5)</f>
        <v>0</v>
      </c>
      <c r="AE20" s="229">
        <f>SUMIFS([1]!Data_BS[Value],[1]!Data_BS[Index BS],'Dai Loc'!$B20,[1]!Data_BS[TenCongTyID],'Dai Loc'!$B$1,[1]!Data_BS[Thang.Nam],'Dai Loc'!AE$5)</f>
        <v>0</v>
      </c>
      <c r="AF20" s="229">
        <f>SUMIFS([1]!Data_BS[Value],[1]!Data_BS[Index BS],'Dai Loc'!$B20,[1]!Data_BS[TenCongTyID],'Dai Loc'!$B$1,[1]!Data_BS[Thang.Nam],'Dai Loc'!AF$5)</f>
        <v>0</v>
      </c>
      <c r="AG20" s="229">
        <f>SUMIFS([1]!Data_BS[Value],[1]!Data_BS[Index BS],'Dai Loc'!$B20,[1]!Data_BS[TenCongTyID],'Dai Loc'!$B$1,[1]!Data_BS[Thang.Nam],'Dai Loc'!AG$5)</f>
        <v>0</v>
      </c>
      <c r="AH20" s="229">
        <f>SUMIFS([1]!Data_BS[Value],[1]!Data_BS[Index BS],'Dai Loc'!$B20,[1]!Data_BS[TenCongTyID],'Dai Loc'!$B$1,[1]!Data_BS[Thang.Nam],'Dai Loc'!AH$5)</f>
        <v>0</v>
      </c>
      <c r="AI20" s="229">
        <f>SUMIFS([1]!Data_BS[Value],[1]!Data_BS[Index BS],'Dai Loc'!$B20,[1]!Data_BS[TenCongTyID],'Dai Loc'!$B$1,[1]!Data_BS[Thang.Nam],'Dai Loc'!AI$5)</f>
        <v>0</v>
      </c>
      <c r="AJ20" s="229">
        <f>SUMIFS([1]!Data_BS[Value],[1]!Data_BS[Index BS],'Dai Loc'!$B20,[1]!Data_BS[TenCongTyID],'Dai Loc'!$B$1,[1]!Data_BS[Thang.Nam],'Dai Loc'!AJ$5)</f>
        <v>0</v>
      </c>
      <c r="AK20" s="229">
        <f>SUMIFS([1]!Data_BS[Value],[1]!Data_BS[Index BS],'Dai Loc'!$B20,[1]!Data_BS[TenCongTyID],'Dai Loc'!$B$1,[1]!Data_BS[Thang.Nam],'Dai Loc'!AK$5)</f>
        <v>0</v>
      </c>
      <c r="AL20" s="229">
        <f>SUMIFS([1]!Data_BS[Value],[1]!Data_BS[Index BS],'Dai Loc'!$B20,[1]!Data_BS[TenCongTyID],'Dai Loc'!$B$1,[1]!Data_BS[Thang.Nam],'Dai Loc'!AL$5)</f>
        <v>0</v>
      </c>
    </row>
    <row r="21" spans="1:38" ht="15" hidden="1" customHeight="1" outlineLevel="1">
      <c r="A21" s="67" t="s">
        <v>105</v>
      </c>
      <c r="B21" s="63">
        <v>16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Z21" s="229">
        <v>0</v>
      </c>
      <c r="AA21" s="229">
        <f>SUMIFS([1]!Data_BS[Value],[1]!Data_BS[Index BS],'Dai Loc'!$B21,[1]!Data_BS[TenCongTyID],'Dai Loc'!$B$1,[1]!Data_BS[Thang.Nam],'Dai Loc'!AA$5)</f>
        <v>0</v>
      </c>
      <c r="AB21" s="229">
        <f>SUMIFS([1]!Data_BS[Value],[1]!Data_BS[Index BS],'Dai Loc'!$B21,[1]!Data_BS[TenCongTyID],'Dai Loc'!$B$1,[1]!Data_BS[Thang.Nam],'Dai Loc'!AB$5)</f>
        <v>0</v>
      </c>
      <c r="AC21" s="229">
        <f>SUMIFS([1]!Data_BS[Value],[1]!Data_BS[Index BS],'Dai Loc'!$B21,[1]!Data_BS[TenCongTyID],'Dai Loc'!$B$1,[1]!Data_BS[Thang.Nam],'Dai Loc'!AC$5)</f>
        <v>0</v>
      </c>
      <c r="AD21" s="229">
        <f>SUMIFS([1]!Data_BS[Value],[1]!Data_BS[Index BS],'Dai Loc'!$B21,[1]!Data_BS[TenCongTyID],'Dai Loc'!$B$1,[1]!Data_BS[Thang.Nam],'Dai Loc'!AD$5)</f>
        <v>0</v>
      </c>
      <c r="AE21" s="229">
        <f>SUMIFS([1]!Data_BS[Value],[1]!Data_BS[Index BS],'Dai Loc'!$B21,[1]!Data_BS[TenCongTyID],'Dai Loc'!$B$1,[1]!Data_BS[Thang.Nam],'Dai Loc'!AE$5)</f>
        <v>0</v>
      </c>
      <c r="AF21" s="229">
        <f>SUMIFS([1]!Data_BS[Value],[1]!Data_BS[Index BS],'Dai Loc'!$B21,[1]!Data_BS[TenCongTyID],'Dai Loc'!$B$1,[1]!Data_BS[Thang.Nam],'Dai Loc'!AF$5)</f>
        <v>0</v>
      </c>
      <c r="AG21" s="229">
        <f>SUMIFS([1]!Data_BS[Value],[1]!Data_BS[Index BS],'Dai Loc'!$B21,[1]!Data_BS[TenCongTyID],'Dai Loc'!$B$1,[1]!Data_BS[Thang.Nam],'Dai Loc'!AG$5)</f>
        <v>0</v>
      </c>
      <c r="AH21" s="229">
        <f>SUMIFS([1]!Data_BS[Value],[1]!Data_BS[Index BS],'Dai Loc'!$B21,[1]!Data_BS[TenCongTyID],'Dai Loc'!$B$1,[1]!Data_BS[Thang.Nam],'Dai Loc'!AH$5)</f>
        <v>0</v>
      </c>
      <c r="AI21" s="229">
        <f>SUMIFS([1]!Data_BS[Value],[1]!Data_BS[Index BS],'Dai Loc'!$B21,[1]!Data_BS[TenCongTyID],'Dai Loc'!$B$1,[1]!Data_BS[Thang.Nam],'Dai Loc'!AI$5)</f>
        <v>0</v>
      </c>
      <c r="AJ21" s="229">
        <f>SUMIFS([1]!Data_BS[Value],[1]!Data_BS[Index BS],'Dai Loc'!$B21,[1]!Data_BS[TenCongTyID],'Dai Loc'!$B$1,[1]!Data_BS[Thang.Nam],'Dai Loc'!AJ$5)</f>
        <v>0</v>
      </c>
      <c r="AK21" s="229">
        <f>SUMIFS([1]!Data_BS[Value],[1]!Data_BS[Index BS],'Dai Loc'!$B21,[1]!Data_BS[TenCongTyID],'Dai Loc'!$B$1,[1]!Data_BS[Thang.Nam],'Dai Loc'!AK$5)</f>
        <v>0</v>
      </c>
      <c r="AL21" s="229">
        <f>SUMIFS([1]!Data_BS[Value],[1]!Data_BS[Index BS],'Dai Loc'!$B21,[1]!Data_BS[TenCongTyID],'Dai Loc'!$B$1,[1]!Data_BS[Thang.Nam],'Dai Loc'!AL$5)</f>
        <v>0</v>
      </c>
    </row>
    <row r="22" spans="1:38" ht="15" hidden="1" customHeight="1" outlineLevel="1">
      <c r="A22" s="67" t="s">
        <v>106</v>
      </c>
      <c r="B22" s="63">
        <v>17</v>
      </c>
      <c r="C22" s="229">
        <v>2926425481</v>
      </c>
      <c r="D22" s="229">
        <v>2975296086</v>
      </c>
      <c r="E22" s="229">
        <v>2966819436</v>
      </c>
      <c r="F22" s="229">
        <v>2968629937</v>
      </c>
      <c r="G22" s="229">
        <v>2956403586</v>
      </c>
      <c r="H22" s="229">
        <v>2968631286</v>
      </c>
      <c r="I22" s="229">
        <v>2960151586</v>
      </c>
      <c r="J22" s="229">
        <v>2968850986</v>
      </c>
      <c r="K22" s="229">
        <v>2964917334</v>
      </c>
      <c r="L22" s="229">
        <v>2970445466</v>
      </c>
      <c r="M22" s="229">
        <v>2960151586</v>
      </c>
      <c r="N22" s="229">
        <v>2765111981</v>
      </c>
      <c r="O22" s="229">
        <v>2798083324</v>
      </c>
      <c r="P22" s="229">
        <v>2855083677</v>
      </c>
      <c r="Q22" s="229">
        <v>2761083677</v>
      </c>
      <c r="R22" s="229">
        <v>2754083677</v>
      </c>
      <c r="S22" s="229">
        <v>2761850037</v>
      </c>
      <c r="T22" s="229">
        <v>2829429677</v>
      </c>
      <c r="U22" s="229">
        <v>2984838785</v>
      </c>
      <c r="V22" s="229">
        <v>2959829885</v>
      </c>
      <c r="W22" s="229">
        <v>2961606857</v>
      </c>
      <c r="X22" s="229">
        <v>3066438160</v>
      </c>
      <c r="Y22" s="229">
        <v>3087397655</v>
      </c>
      <c r="Z22" s="229">
        <v>3087328655</v>
      </c>
      <c r="AA22" s="229">
        <f>SUMIFS([1]!Data_BS[Value],[1]!Data_BS[Index BS],'Dai Loc'!$B22,[1]!Data_BS[TenCongTyID],'Dai Loc'!$B$1,[1]!Data_BS[Thang.Nam],'Dai Loc'!AA$5)</f>
        <v>0</v>
      </c>
      <c r="AB22" s="229">
        <f>SUMIFS([1]!Data_BS[Value],[1]!Data_BS[Index BS],'Dai Loc'!$B22,[1]!Data_BS[TenCongTyID],'Dai Loc'!$B$1,[1]!Data_BS[Thang.Nam],'Dai Loc'!AB$5)</f>
        <v>0</v>
      </c>
      <c r="AC22" s="229">
        <f>SUMIFS([1]!Data_BS[Value],[1]!Data_BS[Index BS],'Dai Loc'!$B22,[1]!Data_BS[TenCongTyID],'Dai Loc'!$B$1,[1]!Data_BS[Thang.Nam],'Dai Loc'!AC$5)</f>
        <v>0</v>
      </c>
      <c r="AD22" s="229">
        <f>SUMIFS([1]!Data_BS[Value],[1]!Data_BS[Index BS],'Dai Loc'!$B22,[1]!Data_BS[TenCongTyID],'Dai Loc'!$B$1,[1]!Data_BS[Thang.Nam],'Dai Loc'!AD$5)</f>
        <v>0</v>
      </c>
      <c r="AE22" s="229">
        <f>SUMIFS([1]!Data_BS[Value],[1]!Data_BS[Index BS],'Dai Loc'!$B22,[1]!Data_BS[TenCongTyID],'Dai Loc'!$B$1,[1]!Data_BS[Thang.Nam],'Dai Loc'!AE$5)</f>
        <v>0</v>
      </c>
      <c r="AF22" s="229">
        <f>SUMIFS([1]!Data_BS[Value],[1]!Data_BS[Index BS],'Dai Loc'!$B22,[1]!Data_BS[TenCongTyID],'Dai Loc'!$B$1,[1]!Data_BS[Thang.Nam],'Dai Loc'!AF$5)</f>
        <v>0</v>
      </c>
      <c r="AG22" s="229">
        <f>SUMIFS([1]!Data_BS[Value],[1]!Data_BS[Index BS],'Dai Loc'!$B22,[1]!Data_BS[TenCongTyID],'Dai Loc'!$B$1,[1]!Data_BS[Thang.Nam],'Dai Loc'!AG$5)</f>
        <v>0</v>
      </c>
      <c r="AH22" s="229">
        <f>SUMIFS([1]!Data_BS[Value],[1]!Data_BS[Index BS],'Dai Loc'!$B22,[1]!Data_BS[TenCongTyID],'Dai Loc'!$B$1,[1]!Data_BS[Thang.Nam],'Dai Loc'!AH$5)</f>
        <v>0</v>
      </c>
      <c r="AI22" s="229">
        <f>SUMIFS([1]!Data_BS[Value],[1]!Data_BS[Index BS],'Dai Loc'!$B22,[1]!Data_BS[TenCongTyID],'Dai Loc'!$B$1,[1]!Data_BS[Thang.Nam],'Dai Loc'!AI$5)</f>
        <v>0</v>
      </c>
      <c r="AJ22" s="229">
        <f>SUMIFS([1]!Data_BS[Value],[1]!Data_BS[Index BS],'Dai Loc'!$B22,[1]!Data_BS[TenCongTyID],'Dai Loc'!$B$1,[1]!Data_BS[Thang.Nam],'Dai Loc'!AJ$5)</f>
        <v>0</v>
      </c>
      <c r="AK22" s="229">
        <f>SUMIFS([1]!Data_BS[Value],[1]!Data_BS[Index BS],'Dai Loc'!$B22,[1]!Data_BS[TenCongTyID],'Dai Loc'!$B$1,[1]!Data_BS[Thang.Nam],'Dai Loc'!AK$5)</f>
        <v>0</v>
      </c>
      <c r="AL22" s="229">
        <f>SUMIFS([1]!Data_BS[Value],[1]!Data_BS[Index BS],'Dai Loc'!$B22,[1]!Data_BS[TenCongTyID],'Dai Loc'!$B$1,[1]!Data_BS[Thang.Nam],'Dai Loc'!AL$5)</f>
        <v>0</v>
      </c>
    </row>
    <row r="23" spans="1:38" ht="15" hidden="1" customHeight="1" outlineLevel="1">
      <c r="A23" s="67" t="s">
        <v>107</v>
      </c>
      <c r="B23" s="63">
        <v>18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/>
      <c r="X23" s="229">
        <v>0</v>
      </c>
      <c r="Y23" s="229">
        <v>0</v>
      </c>
      <c r="Z23" s="229">
        <v>0</v>
      </c>
      <c r="AA23" s="229">
        <f>SUMIFS([1]!Data_BS[Value],[1]!Data_BS[Index BS],'Dai Loc'!$B23,[1]!Data_BS[TenCongTyID],'Dai Loc'!$B$1,[1]!Data_BS[Thang.Nam],'Dai Loc'!AA$5)</f>
        <v>0</v>
      </c>
      <c r="AB23" s="229">
        <f>SUMIFS([1]!Data_BS[Value],[1]!Data_BS[Index BS],'Dai Loc'!$B23,[1]!Data_BS[TenCongTyID],'Dai Loc'!$B$1,[1]!Data_BS[Thang.Nam],'Dai Loc'!AB$5)</f>
        <v>0</v>
      </c>
      <c r="AC23" s="229">
        <f>SUMIFS([1]!Data_BS[Value],[1]!Data_BS[Index BS],'Dai Loc'!$B23,[1]!Data_BS[TenCongTyID],'Dai Loc'!$B$1,[1]!Data_BS[Thang.Nam],'Dai Loc'!AC$5)</f>
        <v>0</v>
      </c>
      <c r="AD23" s="229">
        <f>SUMIFS([1]!Data_BS[Value],[1]!Data_BS[Index BS],'Dai Loc'!$B23,[1]!Data_BS[TenCongTyID],'Dai Loc'!$B$1,[1]!Data_BS[Thang.Nam],'Dai Loc'!AD$5)</f>
        <v>0</v>
      </c>
      <c r="AE23" s="229">
        <f>SUMIFS([1]!Data_BS[Value],[1]!Data_BS[Index BS],'Dai Loc'!$B23,[1]!Data_BS[TenCongTyID],'Dai Loc'!$B$1,[1]!Data_BS[Thang.Nam],'Dai Loc'!AE$5)</f>
        <v>0</v>
      </c>
      <c r="AF23" s="229">
        <f>SUMIFS([1]!Data_BS[Value],[1]!Data_BS[Index BS],'Dai Loc'!$B23,[1]!Data_BS[TenCongTyID],'Dai Loc'!$B$1,[1]!Data_BS[Thang.Nam],'Dai Loc'!AF$5)</f>
        <v>0</v>
      </c>
      <c r="AG23" s="229">
        <f>SUMIFS([1]!Data_BS[Value],[1]!Data_BS[Index BS],'Dai Loc'!$B23,[1]!Data_BS[TenCongTyID],'Dai Loc'!$B$1,[1]!Data_BS[Thang.Nam],'Dai Loc'!AG$5)</f>
        <v>0</v>
      </c>
      <c r="AH23" s="229">
        <f>SUMIFS([1]!Data_BS[Value],[1]!Data_BS[Index BS],'Dai Loc'!$B23,[1]!Data_BS[TenCongTyID],'Dai Loc'!$B$1,[1]!Data_BS[Thang.Nam],'Dai Loc'!AH$5)</f>
        <v>0</v>
      </c>
      <c r="AI23" s="229">
        <f>SUMIFS([1]!Data_BS[Value],[1]!Data_BS[Index BS],'Dai Loc'!$B23,[1]!Data_BS[TenCongTyID],'Dai Loc'!$B$1,[1]!Data_BS[Thang.Nam],'Dai Loc'!AI$5)</f>
        <v>0</v>
      </c>
      <c r="AJ23" s="229">
        <f>SUMIFS([1]!Data_BS[Value],[1]!Data_BS[Index BS],'Dai Loc'!$B23,[1]!Data_BS[TenCongTyID],'Dai Loc'!$B$1,[1]!Data_BS[Thang.Nam],'Dai Loc'!AJ$5)</f>
        <v>0</v>
      </c>
      <c r="AK23" s="229">
        <f>SUMIFS([1]!Data_BS[Value],[1]!Data_BS[Index BS],'Dai Loc'!$B23,[1]!Data_BS[TenCongTyID],'Dai Loc'!$B$1,[1]!Data_BS[Thang.Nam],'Dai Loc'!AK$5)</f>
        <v>0</v>
      </c>
      <c r="AL23" s="229">
        <f>SUMIFS([1]!Data_BS[Value],[1]!Data_BS[Index BS],'Dai Loc'!$B23,[1]!Data_BS[TenCongTyID],'Dai Loc'!$B$1,[1]!Data_BS[Thang.Nam],'Dai Loc'!AL$5)</f>
        <v>0</v>
      </c>
    </row>
    <row r="24" spans="1:38" ht="15" hidden="1" customHeight="1" outlineLevel="1">
      <c r="A24" s="68" t="s">
        <v>108</v>
      </c>
      <c r="B24" s="63">
        <v>19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/>
      <c r="X24" s="229">
        <v>0</v>
      </c>
      <c r="Y24" s="229">
        <v>0</v>
      </c>
      <c r="Z24" s="229">
        <v>0</v>
      </c>
      <c r="AA24" s="229">
        <f>SUMIFS([1]!Data_BS[Value],[1]!Data_BS[Index BS],'Dai Loc'!$B24,[1]!Data_BS[TenCongTyID],'Dai Loc'!$B$1,[1]!Data_BS[Thang.Nam],'Dai Loc'!AA$5)</f>
        <v>0</v>
      </c>
      <c r="AB24" s="229">
        <f>SUMIFS([1]!Data_BS[Value],[1]!Data_BS[Index BS],'Dai Loc'!$B24,[1]!Data_BS[TenCongTyID],'Dai Loc'!$B$1,[1]!Data_BS[Thang.Nam],'Dai Loc'!AB$5)</f>
        <v>0</v>
      </c>
      <c r="AC24" s="229">
        <f>SUMIFS([1]!Data_BS[Value],[1]!Data_BS[Index BS],'Dai Loc'!$B24,[1]!Data_BS[TenCongTyID],'Dai Loc'!$B$1,[1]!Data_BS[Thang.Nam],'Dai Loc'!AC$5)</f>
        <v>0</v>
      </c>
      <c r="AD24" s="229">
        <f>SUMIFS([1]!Data_BS[Value],[1]!Data_BS[Index BS],'Dai Loc'!$B24,[1]!Data_BS[TenCongTyID],'Dai Loc'!$B$1,[1]!Data_BS[Thang.Nam],'Dai Loc'!AD$5)</f>
        <v>0</v>
      </c>
      <c r="AE24" s="229">
        <f>SUMIFS([1]!Data_BS[Value],[1]!Data_BS[Index BS],'Dai Loc'!$B24,[1]!Data_BS[TenCongTyID],'Dai Loc'!$B$1,[1]!Data_BS[Thang.Nam],'Dai Loc'!AE$5)</f>
        <v>0</v>
      </c>
      <c r="AF24" s="229">
        <f>SUMIFS([1]!Data_BS[Value],[1]!Data_BS[Index BS],'Dai Loc'!$B24,[1]!Data_BS[TenCongTyID],'Dai Loc'!$B$1,[1]!Data_BS[Thang.Nam],'Dai Loc'!AF$5)</f>
        <v>0</v>
      </c>
      <c r="AG24" s="229">
        <f>SUMIFS([1]!Data_BS[Value],[1]!Data_BS[Index BS],'Dai Loc'!$B24,[1]!Data_BS[TenCongTyID],'Dai Loc'!$B$1,[1]!Data_BS[Thang.Nam],'Dai Loc'!AG$5)</f>
        <v>0</v>
      </c>
      <c r="AH24" s="229">
        <f>SUMIFS([1]!Data_BS[Value],[1]!Data_BS[Index BS],'Dai Loc'!$B24,[1]!Data_BS[TenCongTyID],'Dai Loc'!$B$1,[1]!Data_BS[Thang.Nam],'Dai Loc'!AH$5)</f>
        <v>0</v>
      </c>
      <c r="AI24" s="229">
        <f>SUMIFS([1]!Data_BS[Value],[1]!Data_BS[Index BS],'Dai Loc'!$B24,[1]!Data_BS[TenCongTyID],'Dai Loc'!$B$1,[1]!Data_BS[Thang.Nam],'Dai Loc'!AI$5)</f>
        <v>0</v>
      </c>
      <c r="AJ24" s="229">
        <f>SUMIFS([1]!Data_BS[Value],[1]!Data_BS[Index BS],'Dai Loc'!$B24,[1]!Data_BS[TenCongTyID],'Dai Loc'!$B$1,[1]!Data_BS[Thang.Nam],'Dai Loc'!AJ$5)</f>
        <v>0</v>
      </c>
      <c r="AK24" s="229">
        <f>SUMIFS([1]!Data_BS[Value],[1]!Data_BS[Index BS],'Dai Loc'!$B24,[1]!Data_BS[TenCongTyID],'Dai Loc'!$B$1,[1]!Data_BS[Thang.Nam],'Dai Loc'!AK$5)</f>
        <v>0</v>
      </c>
      <c r="AL24" s="229">
        <f>SUMIFS([1]!Data_BS[Value],[1]!Data_BS[Index BS],'Dai Loc'!$B24,[1]!Data_BS[TenCongTyID],'Dai Loc'!$B$1,[1]!Data_BS[Thang.Nam],'Dai Loc'!AL$5)</f>
        <v>0</v>
      </c>
    </row>
    <row r="25" spans="1:38" ht="15" hidden="1" customHeight="1" outlineLevel="1">
      <c r="A25" s="59" t="s">
        <v>109</v>
      </c>
      <c r="B25" s="65">
        <v>20</v>
      </c>
      <c r="C25" s="233">
        <v>13208234475</v>
      </c>
      <c r="D25" s="233">
        <v>14340680867</v>
      </c>
      <c r="E25" s="233">
        <v>13290433415</v>
      </c>
      <c r="F25" s="233">
        <v>13785166707</v>
      </c>
      <c r="G25" s="233">
        <v>12095843160</v>
      </c>
      <c r="H25" s="233">
        <v>9876158887</v>
      </c>
      <c r="I25" s="233">
        <v>8323836901</v>
      </c>
      <c r="J25" s="233">
        <v>9442710702</v>
      </c>
      <c r="K25" s="233">
        <v>9382508311</v>
      </c>
      <c r="L25" s="233">
        <v>8298002387</v>
      </c>
      <c r="M25" s="233">
        <v>8589623574</v>
      </c>
      <c r="N25" s="234">
        <v>5867578748</v>
      </c>
      <c r="O25" s="234">
        <v>8139296420</v>
      </c>
      <c r="P25" s="234">
        <v>8144390990</v>
      </c>
      <c r="Q25" s="234">
        <v>5521593497</v>
      </c>
      <c r="R25" s="234">
        <v>5461032605</v>
      </c>
      <c r="S25" s="234">
        <v>6208792982</v>
      </c>
      <c r="T25" s="234">
        <v>7327289485</v>
      </c>
      <c r="U25" s="234">
        <v>14390258294</v>
      </c>
      <c r="V25" s="234">
        <v>14910683343</v>
      </c>
      <c r="W25" s="234">
        <v>7851723952</v>
      </c>
      <c r="X25" s="234">
        <v>2539444482</v>
      </c>
      <c r="Y25" s="234">
        <v>4024393760</v>
      </c>
      <c r="Z25" s="234">
        <v>3915897505</v>
      </c>
      <c r="AA25" s="234">
        <f>SUMIFS([1]!Data_BS[Value],[1]!Data_BS[Index BS],'Dai Loc'!$B25,[1]!Data_BS[TenCongTyID],'Dai Loc'!$B$1,[1]!Data_BS[Thang.Nam],'Dai Loc'!AA$5)</f>
        <v>0</v>
      </c>
      <c r="AB25" s="234">
        <f>SUMIFS([1]!Data_BS[Value],[1]!Data_BS[Index BS],'Dai Loc'!$B25,[1]!Data_BS[TenCongTyID],'Dai Loc'!$B$1,[1]!Data_BS[Thang.Nam],'Dai Loc'!AB$5)</f>
        <v>0</v>
      </c>
      <c r="AC25" s="234">
        <f>SUMIFS([1]!Data_BS[Value],[1]!Data_BS[Index BS],'Dai Loc'!$B25,[1]!Data_BS[TenCongTyID],'Dai Loc'!$B$1,[1]!Data_BS[Thang.Nam],'Dai Loc'!AC$5)</f>
        <v>0</v>
      </c>
      <c r="AD25" s="234">
        <f>SUMIFS([1]!Data_BS[Value],[1]!Data_BS[Index BS],'Dai Loc'!$B25,[1]!Data_BS[TenCongTyID],'Dai Loc'!$B$1,[1]!Data_BS[Thang.Nam],'Dai Loc'!AD$5)</f>
        <v>0</v>
      </c>
      <c r="AE25" s="234">
        <f>SUMIFS([1]!Data_BS[Value],[1]!Data_BS[Index BS],'Dai Loc'!$B25,[1]!Data_BS[TenCongTyID],'Dai Loc'!$B$1,[1]!Data_BS[Thang.Nam],'Dai Loc'!AE$5)</f>
        <v>0</v>
      </c>
      <c r="AF25" s="234">
        <f>SUMIFS([1]!Data_BS[Value],[1]!Data_BS[Index BS],'Dai Loc'!$B25,[1]!Data_BS[TenCongTyID],'Dai Loc'!$B$1,[1]!Data_BS[Thang.Nam],'Dai Loc'!AF$5)</f>
        <v>0</v>
      </c>
      <c r="AG25" s="234">
        <f>SUMIFS([1]!Data_BS[Value],[1]!Data_BS[Index BS],'Dai Loc'!$B25,[1]!Data_BS[TenCongTyID],'Dai Loc'!$B$1,[1]!Data_BS[Thang.Nam],'Dai Loc'!AG$5)</f>
        <v>0</v>
      </c>
      <c r="AH25" s="234">
        <f>SUMIFS([1]!Data_BS[Value],[1]!Data_BS[Index BS],'Dai Loc'!$B25,[1]!Data_BS[TenCongTyID],'Dai Loc'!$B$1,[1]!Data_BS[Thang.Nam],'Dai Loc'!AH$5)</f>
        <v>0</v>
      </c>
      <c r="AI25" s="234">
        <f>SUMIFS([1]!Data_BS[Value],[1]!Data_BS[Index BS],'Dai Loc'!$B25,[1]!Data_BS[TenCongTyID],'Dai Loc'!$B$1,[1]!Data_BS[Thang.Nam],'Dai Loc'!AI$5)</f>
        <v>0</v>
      </c>
      <c r="AJ25" s="234">
        <f>SUMIFS([1]!Data_BS[Value],[1]!Data_BS[Index BS],'Dai Loc'!$B25,[1]!Data_BS[TenCongTyID],'Dai Loc'!$B$1,[1]!Data_BS[Thang.Nam],'Dai Loc'!AJ$5)</f>
        <v>0</v>
      </c>
      <c r="AK25" s="234">
        <f>SUMIFS([1]!Data_BS[Value],[1]!Data_BS[Index BS],'Dai Loc'!$B25,[1]!Data_BS[TenCongTyID],'Dai Loc'!$B$1,[1]!Data_BS[Thang.Nam],'Dai Loc'!AK$5)</f>
        <v>0</v>
      </c>
      <c r="AL25" s="234">
        <f>SUMIFS([1]!Data_BS[Value],[1]!Data_BS[Index BS],'Dai Loc'!$B25,[1]!Data_BS[TenCongTyID],'Dai Loc'!$B$1,[1]!Data_BS[Thang.Nam],'Dai Loc'!AL$5)</f>
        <v>0</v>
      </c>
    </row>
    <row r="26" spans="1:38" ht="15" hidden="1" customHeight="1" outlineLevel="1">
      <c r="A26" s="62" t="s">
        <v>110</v>
      </c>
      <c r="B26" s="63">
        <v>21</v>
      </c>
      <c r="C26" s="229">
        <v>13208234475</v>
      </c>
      <c r="D26" s="229">
        <v>14340680867</v>
      </c>
      <c r="E26" s="229">
        <v>13290433415</v>
      </c>
      <c r="F26" s="229">
        <v>13785166707</v>
      </c>
      <c r="G26" s="229">
        <v>12095843160</v>
      </c>
      <c r="H26" s="229">
        <v>9876158887</v>
      </c>
      <c r="I26" s="229">
        <v>8323836901</v>
      </c>
      <c r="J26" s="229">
        <v>9442710702</v>
      </c>
      <c r="K26" s="229">
        <v>9382508311</v>
      </c>
      <c r="L26" s="229">
        <v>8298002387</v>
      </c>
      <c r="M26" s="229">
        <v>8589623574</v>
      </c>
      <c r="N26" s="229">
        <v>5867578748</v>
      </c>
      <c r="O26" s="229">
        <v>8139296420</v>
      </c>
      <c r="P26" s="229">
        <v>8144390990</v>
      </c>
      <c r="Q26" s="229">
        <v>5521593497</v>
      </c>
      <c r="R26" s="229">
        <v>5461032605</v>
      </c>
      <c r="S26" s="229">
        <v>6208792982</v>
      </c>
      <c r="T26" s="229">
        <v>7327289485</v>
      </c>
      <c r="U26" s="229">
        <v>14390258294</v>
      </c>
      <c r="V26" s="229">
        <v>14910683343</v>
      </c>
      <c r="W26" s="229">
        <v>7851723952</v>
      </c>
      <c r="X26" s="229">
        <v>2539444482</v>
      </c>
      <c r="Y26" s="229">
        <v>4024393760</v>
      </c>
      <c r="Z26" s="229">
        <v>3915897505</v>
      </c>
      <c r="AA26" s="229">
        <f>SUMIFS([1]!Data_BS[Value],[1]!Data_BS[Index BS],'Dai Loc'!$B26,[1]!Data_BS[TenCongTyID],'Dai Loc'!$B$1,[1]!Data_BS[Thang.Nam],'Dai Loc'!AA$5)</f>
        <v>0</v>
      </c>
      <c r="AB26" s="229">
        <f>SUMIFS([1]!Data_BS[Value],[1]!Data_BS[Index BS],'Dai Loc'!$B26,[1]!Data_BS[TenCongTyID],'Dai Loc'!$B$1,[1]!Data_BS[Thang.Nam],'Dai Loc'!AB$5)</f>
        <v>0</v>
      </c>
      <c r="AC26" s="229">
        <f>SUMIFS([1]!Data_BS[Value],[1]!Data_BS[Index BS],'Dai Loc'!$B26,[1]!Data_BS[TenCongTyID],'Dai Loc'!$B$1,[1]!Data_BS[Thang.Nam],'Dai Loc'!AC$5)</f>
        <v>0</v>
      </c>
      <c r="AD26" s="229">
        <f>SUMIFS([1]!Data_BS[Value],[1]!Data_BS[Index BS],'Dai Loc'!$B26,[1]!Data_BS[TenCongTyID],'Dai Loc'!$B$1,[1]!Data_BS[Thang.Nam],'Dai Loc'!AD$5)</f>
        <v>0</v>
      </c>
      <c r="AE26" s="229">
        <f>SUMIFS([1]!Data_BS[Value],[1]!Data_BS[Index BS],'Dai Loc'!$B26,[1]!Data_BS[TenCongTyID],'Dai Loc'!$B$1,[1]!Data_BS[Thang.Nam],'Dai Loc'!AE$5)</f>
        <v>0</v>
      </c>
      <c r="AF26" s="229">
        <f>SUMIFS([1]!Data_BS[Value],[1]!Data_BS[Index BS],'Dai Loc'!$B26,[1]!Data_BS[TenCongTyID],'Dai Loc'!$B$1,[1]!Data_BS[Thang.Nam],'Dai Loc'!AF$5)</f>
        <v>0</v>
      </c>
      <c r="AG26" s="229">
        <f>SUMIFS([1]!Data_BS[Value],[1]!Data_BS[Index BS],'Dai Loc'!$B26,[1]!Data_BS[TenCongTyID],'Dai Loc'!$B$1,[1]!Data_BS[Thang.Nam],'Dai Loc'!AG$5)</f>
        <v>0</v>
      </c>
      <c r="AH26" s="229">
        <f>SUMIFS([1]!Data_BS[Value],[1]!Data_BS[Index BS],'Dai Loc'!$B26,[1]!Data_BS[TenCongTyID],'Dai Loc'!$B$1,[1]!Data_BS[Thang.Nam],'Dai Loc'!AH$5)</f>
        <v>0</v>
      </c>
      <c r="AI26" s="229">
        <f>SUMIFS([1]!Data_BS[Value],[1]!Data_BS[Index BS],'Dai Loc'!$B26,[1]!Data_BS[TenCongTyID],'Dai Loc'!$B$1,[1]!Data_BS[Thang.Nam],'Dai Loc'!AI$5)</f>
        <v>0</v>
      </c>
      <c r="AJ26" s="229">
        <f>SUMIFS([1]!Data_BS[Value],[1]!Data_BS[Index BS],'Dai Loc'!$B26,[1]!Data_BS[TenCongTyID],'Dai Loc'!$B$1,[1]!Data_BS[Thang.Nam],'Dai Loc'!AJ$5)</f>
        <v>0</v>
      </c>
      <c r="AK26" s="229">
        <f>SUMIFS([1]!Data_BS[Value],[1]!Data_BS[Index BS],'Dai Loc'!$B26,[1]!Data_BS[TenCongTyID],'Dai Loc'!$B$1,[1]!Data_BS[Thang.Nam],'Dai Loc'!AK$5)</f>
        <v>0</v>
      </c>
      <c r="AL26" s="229">
        <f>SUMIFS([1]!Data_BS[Value],[1]!Data_BS[Index BS],'Dai Loc'!$B26,[1]!Data_BS[TenCongTyID],'Dai Loc'!$B$1,[1]!Data_BS[Thang.Nam],'Dai Loc'!AL$5)</f>
        <v>0</v>
      </c>
    </row>
    <row r="27" spans="1:38" ht="15" hidden="1" customHeight="1" outlineLevel="1">
      <c r="A27" s="62" t="s">
        <v>111</v>
      </c>
      <c r="B27" s="63">
        <v>22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/>
      <c r="X27" s="229">
        <v>0</v>
      </c>
      <c r="Y27" s="229">
        <v>0</v>
      </c>
      <c r="Z27" s="229">
        <v>0</v>
      </c>
      <c r="AA27" s="229">
        <f>SUMIFS([1]!Data_BS[Value],[1]!Data_BS[Index BS],'Dai Loc'!$B27,[1]!Data_BS[TenCongTyID],'Dai Loc'!$B$1,[1]!Data_BS[Thang.Nam],'Dai Loc'!AA$5)</f>
        <v>0</v>
      </c>
      <c r="AB27" s="229">
        <f>SUMIFS([1]!Data_BS[Value],[1]!Data_BS[Index BS],'Dai Loc'!$B27,[1]!Data_BS[TenCongTyID],'Dai Loc'!$B$1,[1]!Data_BS[Thang.Nam],'Dai Loc'!AB$5)</f>
        <v>0</v>
      </c>
      <c r="AC27" s="229">
        <f>SUMIFS([1]!Data_BS[Value],[1]!Data_BS[Index BS],'Dai Loc'!$B27,[1]!Data_BS[TenCongTyID],'Dai Loc'!$B$1,[1]!Data_BS[Thang.Nam],'Dai Loc'!AC$5)</f>
        <v>0</v>
      </c>
      <c r="AD27" s="229">
        <f>SUMIFS([1]!Data_BS[Value],[1]!Data_BS[Index BS],'Dai Loc'!$B27,[1]!Data_BS[TenCongTyID],'Dai Loc'!$B$1,[1]!Data_BS[Thang.Nam],'Dai Loc'!AD$5)</f>
        <v>0</v>
      </c>
      <c r="AE27" s="229">
        <f>SUMIFS([1]!Data_BS[Value],[1]!Data_BS[Index BS],'Dai Loc'!$B27,[1]!Data_BS[TenCongTyID],'Dai Loc'!$B$1,[1]!Data_BS[Thang.Nam],'Dai Loc'!AE$5)</f>
        <v>0</v>
      </c>
      <c r="AF27" s="229">
        <f>SUMIFS([1]!Data_BS[Value],[1]!Data_BS[Index BS],'Dai Loc'!$B27,[1]!Data_BS[TenCongTyID],'Dai Loc'!$B$1,[1]!Data_BS[Thang.Nam],'Dai Loc'!AF$5)</f>
        <v>0</v>
      </c>
      <c r="AG27" s="229">
        <f>SUMIFS([1]!Data_BS[Value],[1]!Data_BS[Index BS],'Dai Loc'!$B27,[1]!Data_BS[TenCongTyID],'Dai Loc'!$B$1,[1]!Data_BS[Thang.Nam],'Dai Loc'!AG$5)</f>
        <v>0</v>
      </c>
      <c r="AH27" s="229">
        <f>SUMIFS([1]!Data_BS[Value],[1]!Data_BS[Index BS],'Dai Loc'!$B27,[1]!Data_BS[TenCongTyID],'Dai Loc'!$B$1,[1]!Data_BS[Thang.Nam],'Dai Loc'!AH$5)</f>
        <v>0</v>
      </c>
      <c r="AI27" s="229">
        <f>SUMIFS([1]!Data_BS[Value],[1]!Data_BS[Index BS],'Dai Loc'!$B27,[1]!Data_BS[TenCongTyID],'Dai Loc'!$B$1,[1]!Data_BS[Thang.Nam],'Dai Loc'!AI$5)</f>
        <v>0</v>
      </c>
      <c r="AJ27" s="229">
        <f>SUMIFS([1]!Data_BS[Value],[1]!Data_BS[Index BS],'Dai Loc'!$B27,[1]!Data_BS[TenCongTyID],'Dai Loc'!$B$1,[1]!Data_BS[Thang.Nam],'Dai Loc'!AJ$5)</f>
        <v>0</v>
      </c>
      <c r="AK27" s="229">
        <f>SUMIFS([1]!Data_BS[Value],[1]!Data_BS[Index BS],'Dai Loc'!$B27,[1]!Data_BS[TenCongTyID],'Dai Loc'!$B$1,[1]!Data_BS[Thang.Nam],'Dai Loc'!AK$5)</f>
        <v>0</v>
      </c>
      <c r="AL27" s="229">
        <f>SUMIFS([1]!Data_BS[Value],[1]!Data_BS[Index BS],'Dai Loc'!$B27,[1]!Data_BS[TenCongTyID],'Dai Loc'!$B$1,[1]!Data_BS[Thang.Nam],'Dai Loc'!AL$5)</f>
        <v>0</v>
      </c>
    </row>
    <row r="28" spans="1:38" ht="15" hidden="1" customHeight="1" outlineLevel="1">
      <c r="A28" s="59" t="s">
        <v>112</v>
      </c>
      <c r="B28" s="65">
        <v>23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>
        <v>0</v>
      </c>
      <c r="AA28" s="229">
        <f>SUMIFS([1]!Data_BS[Value],[1]!Data_BS[Index BS],'Dai Loc'!$B28,[1]!Data_BS[TenCongTyID],'Dai Loc'!$B$1,[1]!Data_BS[Thang.Nam],'Dai Loc'!AA$5)</f>
        <v>0</v>
      </c>
      <c r="AB28" s="229">
        <f>SUMIFS([1]!Data_BS[Value],[1]!Data_BS[Index BS],'Dai Loc'!$B28,[1]!Data_BS[TenCongTyID],'Dai Loc'!$B$1,[1]!Data_BS[Thang.Nam],'Dai Loc'!AB$5)</f>
        <v>0</v>
      </c>
      <c r="AC28" s="229">
        <f>SUMIFS([1]!Data_BS[Value],[1]!Data_BS[Index BS],'Dai Loc'!$B28,[1]!Data_BS[TenCongTyID],'Dai Loc'!$B$1,[1]!Data_BS[Thang.Nam],'Dai Loc'!AC$5)</f>
        <v>0</v>
      </c>
      <c r="AD28" s="229">
        <f>SUMIFS([1]!Data_BS[Value],[1]!Data_BS[Index BS],'Dai Loc'!$B28,[1]!Data_BS[TenCongTyID],'Dai Loc'!$B$1,[1]!Data_BS[Thang.Nam],'Dai Loc'!AD$5)</f>
        <v>0</v>
      </c>
      <c r="AE28" s="229">
        <f>SUMIFS([1]!Data_BS[Value],[1]!Data_BS[Index BS],'Dai Loc'!$B28,[1]!Data_BS[TenCongTyID],'Dai Loc'!$B$1,[1]!Data_BS[Thang.Nam],'Dai Loc'!AE$5)</f>
        <v>0</v>
      </c>
      <c r="AF28" s="229">
        <f>SUMIFS([1]!Data_BS[Value],[1]!Data_BS[Index BS],'Dai Loc'!$B28,[1]!Data_BS[TenCongTyID],'Dai Loc'!$B$1,[1]!Data_BS[Thang.Nam],'Dai Loc'!AF$5)</f>
        <v>0</v>
      </c>
      <c r="AG28" s="229">
        <f>SUMIFS([1]!Data_BS[Value],[1]!Data_BS[Index BS],'Dai Loc'!$B28,[1]!Data_BS[TenCongTyID],'Dai Loc'!$B$1,[1]!Data_BS[Thang.Nam],'Dai Loc'!AG$5)</f>
        <v>0</v>
      </c>
      <c r="AH28" s="229">
        <f>SUMIFS([1]!Data_BS[Value],[1]!Data_BS[Index BS],'Dai Loc'!$B28,[1]!Data_BS[TenCongTyID],'Dai Loc'!$B$1,[1]!Data_BS[Thang.Nam],'Dai Loc'!AH$5)</f>
        <v>0</v>
      </c>
      <c r="AI28" s="229">
        <f>SUMIFS([1]!Data_BS[Value],[1]!Data_BS[Index BS],'Dai Loc'!$B28,[1]!Data_BS[TenCongTyID],'Dai Loc'!$B$1,[1]!Data_BS[Thang.Nam],'Dai Loc'!AI$5)</f>
        <v>0</v>
      </c>
      <c r="AJ28" s="229">
        <f>SUMIFS([1]!Data_BS[Value],[1]!Data_BS[Index BS],'Dai Loc'!$B28,[1]!Data_BS[TenCongTyID],'Dai Loc'!$B$1,[1]!Data_BS[Thang.Nam],'Dai Loc'!AJ$5)</f>
        <v>0</v>
      </c>
      <c r="AK28" s="229">
        <f>SUMIFS([1]!Data_BS[Value],[1]!Data_BS[Index BS],'Dai Loc'!$B28,[1]!Data_BS[TenCongTyID],'Dai Loc'!$B$1,[1]!Data_BS[Thang.Nam],'Dai Loc'!AK$5)</f>
        <v>0</v>
      </c>
      <c r="AL28" s="229">
        <f>SUMIFS([1]!Data_BS[Value],[1]!Data_BS[Index BS],'Dai Loc'!$B28,[1]!Data_BS[TenCongTyID],'Dai Loc'!$B$1,[1]!Data_BS[Thang.Nam],'Dai Loc'!AL$5)</f>
        <v>0</v>
      </c>
    </row>
    <row r="29" spans="1:38" ht="15" hidden="1" customHeight="1" outlineLevel="1">
      <c r="A29" s="62" t="s">
        <v>113</v>
      </c>
      <c r="B29" s="63">
        <v>24</v>
      </c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>
        <v>0</v>
      </c>
      <c r="AA29" s="229">
        <f>SUMIFS([1]!Data_BS[Value],[1]!Data_BS[Index BS],'Dai Loc'!$B29,[1]!Data_BS[TenCongTyID],'Dai Loc'!$B$1,[1]!Data_BS[Thang.Nam],'Dai Loc'!AA$5)</f>
        <v>0</v>
      </c>
      <c r="AB29" s="229">
        <f>SUMIFS([1]!Data_BS[Value],[1]!Data_BS[Index BS],'Dai Loc'!$B29,[1]!Data_BS[TenCongTyID],'Dai Loc'!$B$1,[1]!Data_BS[Thang.Nam],'Dai Loc'!AB$5)</f>
        <v>0</v>
      </c>
      <c r="AC29" s="229">
        <f>SUMIFS([1]!Data_BS[Value],[1]!Data_BS[Index BS],'Dai Loc'!$B29,[1]!Data_BS[TenCongTyID],'Dai Loc'!$B$1,[1]!Data_BS[Thang.Nam],'Dai Loc'!AC$5)</f>
        <v>0</v>
      </c>
      <c r="AD29" s="229">
        <f>SUMIFS([1]!Data_BS[Value],[1]!Data_BS[Index BS],'Dai Loc'!$B29,[1]!Data_BS[TenCongTyID],'Dai Loc'!$B$1,[1]!Data_BS[Thang.Nam],'Dai Loc'!AD$5)</f>
        <v>0</v>
      </c>
      <c r="AE29" s="229">
        <f>SUMIFS([1]!Data_BS[Value],[1]!Data_BS[Index BS],'Dai Loc'!$B29,[1]!Data_BS[TenCongTyID],'Dai Loc'!$B$1,[1]!Data_BS[Thang.Nam],'Dai Loc'!AE$5)</f>
        <v>0</v>
      </c>
      <c r="AF29" s="229">
        <f>SUMIFS([1]!Data_BS[Value],[1]!Data_BS[Index BS],'Dai Loc'!$B29,[1]!Data_BS[TenCongTyID],'Dai Loc'!$B$1,[1]!Data_BS[Thang.Nam],'Dai Loc'!AF$5)</f>
        <v>0</v>
      </c>
      <c r="AG29" s="229">
        <f>SUMIFS([1]!Data_BS[Value],[1]!Data_BS[Index BS],'Dai Loc'!$B29,[1]!Data_BS[TenCongTyID],'Dai Loc'!$B$1,[1]!Data_BS[Thang.Nam],'Dai Loc'!AG$5)</f>
        <v>0</v>
      </c>
      <c r="AH29" s="229">
        <f>SUMIFS([1]!Data_BS[Value],[1]!Data_BS[Index BS],'Dai Loc'!$B29,[1]!Data_BS[TenCongTyID],'Dai Loc'!$B$1,[1]!Data_BS[Thang.Nam],'Dai Loc'!AH$5)</f>
        <v>0</v>
      </c>
      <c r="AI29" s="229">
        <f>SUMIFS([1]!Data_BS[Value],[1]!Data_BS[Index BS],'Dai Loc'!$B29,[1]!Data_BS[TenCongTyID],'Dai Loc'!$B$1,[1]!Data_BS[Thang.Nam],'Dai Loc'!AI$5)</f>
        <v>0</v>
      </c>
      <c r="AJ29" s="229">
        <f>SUMIFS([1]!Data_BS[Value],[1]!Data_BS[Index BS],'Dai Loc'!$B29,[1]!Data_BS[TenCongTyID],'Dai Loc'!$B$1,[1]!Data_BS[Thang.Nam],'Dai Loc'!AJ$5)</f>
        <v>0</v>
      </c>
      <c r="AK29" s="229">
        <f>SUMIFS([1]!Data_BS[Value],[1]!Data_BS[Index BS],'Dai Loc'!$B29,[1]!Data_BS[TenCongTyID],'Dai Loc'!$B$1,[1]!Data_BS[Thang.Nam],'Dai Loc'!AK$5)</f>
        <v>0</v>
      </c>
      <c r="AL29" s="229">
        <f>SUMIFS([1]!Data_BS[Value],[1]!Data_BS[Index BS],'Dai Loc'!$B29,[1]!Data_BS[TenCongTyID],'Dai Loc'!$B$1,[1]!Data_BS[Thang.Nam],'Dai Loc'!AL$5)</f>
        <v>0</v>
      </c>
    </row>
    <row r="30" spans="1:38" ht="15" hidden="1" customHeight="1" outlineLevel="1">
      <c r="A30" s="62" t="s">
        <v>114</v>
      </c>
      <c r="B30" s="63">
        <v>25</v>
      </c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>
        <v>0</v>
      </c>
      <c r="AA30" s="229">
        <f>SUMIFS([1]!Data_BS[Value],[1]!Data_BS[Index BS],'Dai Loc'!$B30,[1]!Data_BS[TenCongTyID],'Dai Loc'!$B$1,[1]!Data_BS[Thang.Nam],'Dai Loc'!AA$5)</f>
        <v>0</v>
      </c>
      <c r="AB30" s="229">
        <f>SUMIFS([1]!Data_BS[Value],[1]!Data_BS[Index BS],'Dai Loc'!$B30,[1]!Data_BS[TenCongTyID],'Dai Loc'!$B$1,[1]!Data_BS[Thang.Nam],'Dai Loc'!AB$5)</f>
        <v>0</v>
      </c>
      <c r="AC30" s="229">
        <f>SUMIFS([1]!Data_BS[Value],[1]!Data_BS[Index BS],'Dai Loc'!$B30,[1]!Data_BS[TenCongTyID],'Dai Loc'!$B$1,[1]!Data_BS[Thang.Nam],'Dai Loc'!AC$5)</f>
        <v>0</v>
      </c>
      <c r="AD30" s="229">
        <f>SUMIFS([1]!Data_BS[Value],[1]!Data_BS[Index BS],'Dai Loc'!$B30,[1]!Data_BS[TenCongTyID],'Dai Loc'!$B$1,[1]!Data_BS[Thang.Nam],'Dai Loc'!AD$5)</f>
        <v>0</v>
      </c>
      <c r="AE30" s="229">
        <f>SUMIFS([1]!Data_BS[Value],[1]!Data_BS[Index BS],'Dai Loc'!$B30,[1]!Data_BS[TenCongTyID],'Dai Loc'!$B$1,[1]!Data_BS[Thang.Nam],'Dai Loc'!AE$5)</f>
        <v>0</v>
      </c>
      <c r="AF30" s="229">
        <f>SUMIFS([1]!Data_BS[Value],[1]!Data_BS[Index BS],'Dai Loc'!$B30,[1]!Data_BS[TenCongTyID],'Dai Loc'!$B$1,[1]!Data_BS[Thang.Nam],'Dai Loc'!AF$5)</f>
        <v>0</v>
      </c>
      <c r="AG30" s="229">
        <f>SUMIFS([1]!Data_BS[Value],[1]!Data_BS[Index BS],'Dai Loc'!$B30,[1]!Data_BS[TenCongTyID],'Dai Loc'!$B$1,[1]!Data_BS[Thang.Nam],'Dai Loc'!AG$5)</f>
        <v>0</v>
      </c>
      <c r="AH30" s="229">
        <f>SUMIFS([1]!Data_BS[Value],[1]!Data_BS[Index BS],'Dai Loc'!$B30,[1]!Data_BS[TenCongTyID],'Dai Loc'!$B$1,[1]!Data_BS[Thang.Nam],'Dai Loc'!AH$5)</f>
        <v>0</v>
      </c>
      <c r="AI30" s="229">
        <f>SUMIFS([1]!Data_BS[Value],[1]!Data_BS[Index BS],'Dai Loc'!$B30,[1]!Data_BS[TenCongTyID],'Dai Loc'!$B$1,[1]!Data_BS[Thang.Nam],'Dai Loc'!AI$5)</f>
        <v>0</v>
      </c>
      <c r="AJ30" s="229">
        <f>SUMIFS([1]!Data_BS[Value],[1]!Data_BS[Index BS],'Dai Loc'!$B30,[1]!Data_BS[TenCongTyID],'Dai Loc'!$B$1,[1]!Data_BS[Thang.Nam],'Dai Loc'!AJ$5)</f>
        <v>0</v>
      </c>
      <c r="AK30" s="229">
        <f>SUMIFS([1]!Data_BS[Value],[1]!Data_BS[Index BS],'Dai Loc'!$B30,[1]!Data_BS[TenCongTyID],'Dai Loc'!$B$1,[1]!Data_BS[Thang.Nam],'Dai Loc'!AK$5)</f>
        <v>0</v>
      </c>
      <c r="AL30" s="229">
        <f>SUMIFS([1]!Data_BS[Value],[1]!Data_BS[Index BS],'Dai Loc'!$B30,[1]!Data_BS[TenCongTyID],'Dai Loc'!$B$1,[1]!Data_BS[Thang.Nam],'Dai Loc'!AL$5)</f>
        <v>0</v>
      </c>
    </row>
    <row r="31" spans="1:38" ht="15" hidden="1" customHeight="1" outlineLevel="1">
      <c r="A31" s="62" t="s">
        <v>115</v>
      </c>
      <c r="B31" s="63">
        <v>26</v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>
        <v>0</v>
      </c>
      <c r="AA31" s="229">
        <f>SUMIFS([1]!Data_BS[Value],[1]!Data_BS[Index BS],'Dai Loc'!$B31,[1]!Data_BS[TenCongTyID],'Dai Loc'!$B$1,[1]!Data_BS[Thang.Nam],'Dai Loc'!AA$5)</f>
        <v>0</v>
      </c>
      <c r="AB31" s="229">
        <f>SUMIFS([1]!Data_BS[Value],[1]!Data_BS[Index BS],'Dai Loc'!$B31,[1]!Data_BS[TenCongTyID],'Dai Loc'!$B$1,[1]!Data_BS[Thang.Nam],'Dai Loc'!AB$5)</f>
        <v>0</v>
      </c>
      <c r="AC31" s="229">
        <f>SUMIFS([1]!Data_BS[Value],[1]!Data_BS[Index BS],'Dai Loc'!$B31,[1]!Data_BS[TenCongTyID],'Dai Loc'!$B$1,[1]!Data_BS[Thang.Nam],'Dai Loc'!AC$5)</f>
        <v>0</v>
      </c>
      <c r="AD31" s="229">
        <f>SUMIFS([1]!Data_BS[Value],[1]!Data_BS[Index BS],'Dai Loc'!$B31,[1]!Data_BS[TenCongTyID],'Dai Loc'!$B$1,[1]!Data_BS[Thang.Nam],'Dai Loc'!AD$5)</f>
        <v>0</v>
      </c>
      <c r="AE31" s="229">
        <f>SUMIFS([1]!Data_BS[Value],[1]!Data_BS[Index BS],'Dai Loc'!$B31,[1]!Data_BS[TenCongTyID],'Dai Loc'!$B$1,[1]!Data_BS[Thang.Nam],'Dai Loc'!AE$5)</f>
        <v>0</v>
      </c>
      <c r="AF31" s="229">
        <f>SUMIFS([1]!Data_BS[Value],[1]!Data_BS[Index BS],'Dai Loc'!$B31,[1]!Data_BS[TenCongTyID],'Dai Loc'!$B$1,[1]!Data_BS[Thang.Nam],'Dai Loc'!AF$5)</f>
        <v>0</v>
      </c>
      <c r="AG31" s="229">
        <f>SUMIFS([1]!Data_BS[Value],[1]!Data_BS[Index BS],'Dai Loc'!$B31,[1]!Data_BS[TenCongTyID],'Dai Loc'!$B$1,[1]!Data_BS[Thang.Nam],'Dai Loc'!AG$5)</f>
        <v>0</v>
      </c>
      <c r="AH31" s="229">
        <f>SUMIFS([1]!Data_BS[Value],[1]!Data_BS[Index BS],'Dai Loc'!$B31,[1]!Data_BS[TenCongTyID],'Dai Loc'!$B$1,[1]!Data_BS[Thang.Nam],'Dai Loc'!AH$5)</f>
        <v>0</v>
      </c>
      <c r="AI31" s="229">
        <f>SUMIFS([1]!Data_BS[Value],[1]!Data_BS[Index BS],'Dai Loc'!$B31,[1]!Data_BS[TenCongTyID],'Dai Loc'!$B$1,[1]!Data_BS[Thang.Nam],'Dai Loc'!AI$5)</f>
        <v>0</v>
      </c>
      <c r="AJ31" s="229">
        <f>SUMIFS([1]!Data_BS[Value],[1]!Data_BS[Index BS],'Dai Loc'!$B31,[1]!Data_BS[TenCongTyID],'Dai Loc'!$B$1,[1]!Data_BS[Thang.Nam],'Dai Loc'!AJ$5)</f>
        <v>0</v>
      </c>
      <c r="AK31" s="229">
        <f>SUMIFS([1]!Data_BS[Value],[1]!Data_BS[Index BS],'Dai Loc'!$B31,[1]!Data_BS[TenCongTyID],'Dai Loc'!$B$1,[1]!Data_BS[Thang.Nam],'Dai Loc'!AK$5)</f>
        <v>0</v>
      </c>
      <c r="AL31" s="229">
        <f>SUMIFS([1]!Data_BS[Value],[1]!Data_BS[Index BS],'Dai Loc'!$B31,[1]!Data_BS[TenCongTyID],'Dai Loc'!$B$1,[1]!Data_BS[Thang.Nam],'Dai Loc'!AL$5)</f>
        <v>0</v>
      </c>
    </row>
    <row r="32" spans="1:38" ht="15" hidden="1" customHeight="1" outlineLevel="1">
      <c r="A32" s="59" t="s">
        <v>116</v>
      </c>
      <c r="B32" s="65">
        <v>27</v>
      </c>
      <c r="C32" s="233">
        <v>249461882</v>
      </c>
      <c r="D32" s="233">
        <v>242962152</v>
      </c>
      <c r="E32" s="233">
        <v>211577744</v>
      </c>
      <c r="F32" s="233">
        <v>169616123</v>
      </c>
      <c r="G32" s="233">
        <v>267715003</v>
      </c>
      <c r="H32" s="233">
        <v>240008634</v>
      </c>
      <c r="I32" s="233">
        <v>213667875</v>
      </c>
      <c r="J32" s="233">
        <v>191606852</v>
      </c>
      <c r="K32" s="233">
        <v>178156253</v>
      </c>
      <c r="L32" s="233">
        <v>190619025</v>
      </c>
      <c r="M32" s="233">
        <v>399707482</v>
      </c>
      <c r="N32" s="234">
        <v>496895001</v>
      </c>
      <c r="O32" s="234">
        <v>992360354</v>
      </c>
      <c r="P32" s="234">
        <v>963316541</v>
      </c>
      <c r="Q32" s="234">
        <v>900936036</v>
      </c>
      <c r="R32" s="234">
        <v>642323718</v>
      </c>
      <c r="S32" s="234">
        <v>684506956</v>
      </c>
      <c r="T32" s="234">
        <v>739685881</v>
      </c>
      <c r="U32" s="234">
        <v>995683411</v>
      </c>
      <c r="V32" s="234">
        <v>863293024</v>
      </c>
      <c r="W32" s="234">
        <f>+SUM(W33:W37)</f>
        <v>1107901056</v>
      </c>
      <c r="X32" s="234">
        <v>946936047</v>
      </c>
      <c r="Y32" s="234">
        <v>740899384</v>
      </c>
      <c r="Z32" s="234">
        <v>778319454</v>
      </c>
      <c r="AA32" s="234">
        <f>SUMIFS([1]!Data_BS[Value],[1]!Data_BS[Index BS],'Dai Loc'!$B32,[1]!Data_BS[TenCongTyID],'Dai Loc'!$B$1,[1]!Data_BS[Thang.Nam],'Dai Loc'!AA$5)</f>
        <v>0</v>
      </c>
      <c r="AB32" s="234">
        <f>SUMIFS([1]!Data_BS[Value],[1]!Data_BS[Index BS],'Dai Loc'!$B32,[1]!Data_BS[TenCongTyID],'Dai Loc'!$B$1,[1]!Data_BS[Thang.Nam],'Dai Loc'!AB$5)</f>
        <v>0</v>
      </c>
      <c r="AC32" s="234">
        <f>SUMIFS([1]!Data_BS[Value],[1]!Data_BS[Index BS],'Dai Loc'!$B32,[1]!Data_BS[TenCongTyID],'Dai Loc'!$B$1,[1]!Data_BS[Thang.Nam],'Dai Loc'!AC$5)</f>
        <v>0</v>
      </c>
      <c r="AD32" s="234">
        <f>SUMIFS([1]!Data_BS[Value],[1]!Data_BS[Index BS],'Dai Loc'!$B32,[1]!Data_BS[TenCongTyID],'Dai Loc'!$B$1,[1]!Data_BS[Thang.Nam],'Dai Loc'!AD$5)</f>
        <v>0</v>
      </c>
      <c r="AE32" s="234">
        <f>SUMIFS([1]!Data_BS[Value],[1]!Data_BS[Index BS],'Dai Loc'!$B32,[1]!Data_BS[TenCongTyID],'Dai Loc'!$B$1,[1]!Data_BS[Thang.Nam],'Dai Loc'!AE$5)</f>
        <v>0</v>
      </c>
      <c r="AF32" s="234">
        <f>SUMIFS([1]!Data_BS[Value],[1]!Data_BS[Index BS],'Dai Loc'!$B32,[1]!Data_BS[TenCongTyID],'Dai Loc'!$B$1,[1]!Data_BS[Thang.Nam],'Dai Loc'!AF$5)</f>
        <v>0</v>
      </c>
      <c r="AG32" s="234">
        <f>SUMIFS([1]!Data_BS[Value],[1]!Data_BS[Index BS],'Dai Loc'!$B32,[1]!Data_BS[TenCongTyID],'Dai Loc'!$B$1,[1]!Data_BS[Thang.Nam],'Dai Loc'!AG$5)</f>
        <v>0</v>
      </c>
      <c r="AH32" s="234">
        <f>SUMIFS([1]!Data_BS[Value],[1]!Data_BS[Index BS],'Dai Loc'!$B32,[1]!Data_BS[TenCongTyID],'Dai Loc'!$B$1,[1]!Data_BS[Thang.Nam],'Dai Loc'!AH$5)</f>
        <v>0</v>
      </c>
      <c r="AI32" s="234">
        <f>SUMIFS([1]!Data_BS[Value],[1]!Data_BS[Index BS],'Dai Loc'!$B32,[1]!Data_BS[TenCongTyID],'Dai Loc'!$B$1,[1]!Data_BS[Thang.Nam],'Dai Loc'!AI$5)</f>
        <v>0</v>
      </c>
      <c r="AJ32" s="234">
        <f>SUMIFS([1]!Data_BS[Value],[1]!Data_BS[Index BS],'Dai Loc'!$B32,[1]!Data_BS[TenCongTyID],'Dai Loc'!$B$1,[1]!Data_BS[Thang.Nam],'Dai Loc'!AJ$5)</f>
        <v>0</v>
      </c>
      <c r="AK32" s="234">
        <f>SUMIFS([1]!Data_BS[Value],[1]!Data_BS[Index BS],'Dai Loc'!$B32,[1]!Data_BS[TenCongTyID],'Dai Loc'!$B$1,[1]!Data_BS[Thang.Nam],'Dai Loc'!AK$5)</f>
        <v>0</v>
      </c>
      <c r="AL32" s="234">
        <f>SUMIFS([1]!Data_BS[Value],[1]!Data_BS[Index BS],'Dai Loc'!$B32,[1]!Data_BS[TenCongTyID],'Dai Loc'!$B$1,[1]!Data_BS[Thang.Nam],'Dai Loc'!AL$5)</f>
        <v>0</v>
      </c>
    </row>
    <row r="33" spans="1:38" ht="15" hidden="1" customHeight="1" outlineLevel="1">
      <c r="A33" s="67" t="s">
        <v>117</v>
      </c>
      <c r="B33" s="63">
        <v>28</v>
      </c>
      <c r="C33" s="229">
        <v>375465882</v>
      </c>
      <c r="D33" s="229">
        <v>368966152</v>
      </c>
      <c r="E33" s="229">
        <v>337581744</v>
      </c>
      <c r="F33" s="229">
        <v>295620123</v>
      </c>
      <c r="G33" s="229">
        <v>267715003</v>
      </c>
      <c r="H33" s="229">
        <v>240008634</v>
      </c>
      <c r="I33" s="229">
        <v>213667875</v>
      </c>
      <c r="J33" s="229">
        <v>191606852</v>
      </c>
      <c r="K33" s="229">
        <v>178156253</v>
      </c>
      <c r="L33" s="229">
        <v>190619025</v>
      </c>
      <c r="M33" s="229">
        <v>399707482</v>
      </c>
      <c r="N33" s="229">
        <v>496895001</v>
      </c>
      <c r="O33" s="229">
        <v>992360354</v>
      </c>
      <c r="P33" s="229">
        <v>963316541</v>
      </c>
      <c r="Q33" s="229">
        <v>900936036</v>
      </c>
      <c r="R33" s="229">
        <v>642323718</v>
      </c>
      <c r="S33" s="229">
        <v>684506956</v>
      </c>
      <c r="T33" s="229">
        <v>739685881</v>
      </c>
      <c r="U33" s="229">
        <v>995683411</v>
      </c>
      <c r="V33" s="229">
        <v>863293024</v>
      </c>
      <c r="W33" s="229">
        <v>1107901056</v>
      </c>
      <c r="X33" s="229">
        <v>946936047</v>
      </c>
      <c r="Y33" s="229">
        <v>740899384</v>
      </c>
      <c r="Z33" s="229">
        <v>778319454</v>
      </c>
      <c r="AA33" s="229">
        <f>SUMIFS([1]!Data_BS[Value],[1]!Data_BS[Index BS],'Dai Loc'!$B33,[1]!Data_BS[TenCongTyID],'Dai Loc'!$B$1,[1]!Data_BS[Thang.Nam],'Dai Loc'!AA$5)</f>
        <v>0</v>
      </c>
      <c r="AB33" s="229">
        <f>SUMIFS([1]!Data_BS[Value],[1]!Data_BS[Index BS],'Dai Loc'!$B33,[1]!Data_BS[TenCongTyID],'Dai Loc'!$B$1,[1]!Data_BS[Thang.Nam],'Dai Loc'!AB$5)</f>
        <v>0</v>
      </c>
      <c r="AC33" s="229">
        <f>SUMIFS([1]!Data_BS[Value],[1]!Data_BS[Index BS],'Dai Loc'!$B33,[1]!Data_BS[TenCongTyID],'Dai Loc'!$B$1,[1]!Data_BS[Thang.Nam],'Dai Loc'!AC$5)</f>
        <v>0</v>
      </c>
      <c r="AD33" s="229">
        <f>SUMIFS([1]!Data_BS[Value],[1]!Data_BS[Index BS],'Dai Loc'!$B33,[1]!Data_BS[TenCongTyID],'Dai Loc'!$B$1,[1]!Data_BS[Thang.Nam],'Dai Loc'!AD$5)</f>
        <v>0</v>
      </c>
      <c r="AE33" s="229">
        <f>SUMIFS([1]!Data_BS[Value],[1]!Data_BS[Index BS],'Dai Loc'!$B33,[1]!Data_BS[TenCongTyID],'Dai Loc'!$B$1,[1]!Data_BS[Thang.Nam],'Dai Loc'!AE$5)</f>
        <v>0</v>
      </c>
      <c r="AF33" s="229">
        <f>SUMIFS([1]!Data_BS[Value],[1]!Data_BS[Index BS],'Dai Loc'!$B33,[1]!Data_BS[TenCongTyID],'Dai Loc'!$B$1,[1]!Data_BS[Thang.Nam],'Dai Loc'!AF$5)</f>
        <v>0</v>
      </c>
      <c r="AG33" s="229">
        <f>SUMIFS([1]!Data_BS[Value],[1]!Data_BS[Index BS],'Dai Loc'!$B33,[1]!Data_BS[TenCongTyID],'Dai Loc'!$B$1,[1]!Data_BS[Thang.Nam],'Dai Loc'!AG$5)</f>
        <v>0</v>
      </c>
      <c r="AH33" s="229">
        <f>SUMIFS([1]!Data_BS[Value],[1]!Data_BS[Index BS],'Dai Loc'!$B33,[1]!Data_BS[TenCongTyID],'Dai Loc'!$B$1,[1]!Data_BS[Thang.Nam],'Dai Loc'!AH$5)</f>
        <v>0</v>
      </c>
      <c r="AI33" s="229">
        <f>SUMIFS([1]!Data_BS[Value],[1]!Data_BS[Index BS],'Dai Loc'!$B33,[1]!Data_BS[TenCongTyID],'Dai Loc'!$B$1,[1]!Data_BS[Thang.Nam],'Dai Loc'!AI$5)</f>
        <v>0</v>
      </c>
      <c r="AJ33" s="229">
        <f>SUMIFS([1]!Data_BS[Value],[1]!Data_BS[Index BS],'Dai Loc'!$B33,[1]!Data_BS[TenCongTyID],'Dai Loc'!$B$1,[1]!Data_BS[Thang.Nam],'Dai Loc'!AJ$5)</f>
        <v>0</v>
      </c>
      <c r="AK33" s="229">
        <f>SUMIFS([1]!Data_BS[Value],[1]!Data_BS[Index BS],'Dai Loc'!$B33,[1]!Data_BS[TenCongTyID],'Dai Loc'!$B$1,[1]!Data_BS[Thang.Nam],'Dai Loc'!AK$5)</f>
        <v>0</v>
      </c>
      <c r="AL33" s="229">
        <f>SUMIFS([1]!Data_BS[Value],[1]!Data_BS[Index BS],'Dai Loc'!$B33,[1]!Data_BS[TenCongTyID],'Dai Loc'!$B$1,[1]!Data_BS[Thang.Nam],'Dai Loc'!AL$5)</f>
        <v>0</v>
      </c>
    </row>
    <row r="34" spans="1:38" ht="15" hidden="1" customHeight="1" outlineLevel="1">
      <c r="A34" s="67" t="s">
        <v>118</v>
      </c>
      <c r="B34" s="63">
        <v>29</v>
      </c>
      <c r="C34" s="229">
        <v>-126004000</v>
      </c>
      <c r="D34" s="229">
        <v>-126004000</v>
      </c>
      <c r="E34" s="229">
        <v>-126004000</v>
      </c>
      <c r="F34" s="229">
        <v>-126004000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/>
      <c r="X34" s="229">
        <v>0</v>
      </c>
      <c r="Y34" s="229">
        <v>0</v>
      </c>
      <c r="Z34" s="229">
        <v>0</v>
      </c>
      <c r="AA34" s="229">
        <f>SUMIFS([1]!Data_BS[Value],[1]!Data_BS[Index BS],'Dai Loc'!$B34,[1]!Data_BS[TenCongTyID],'Dai Loc'!$B$1,[1]!Data_BS[Thang.Nam],'Dai Loc'!AA$5)</f>
        <v>0</v>
      </c>
      <c r="AB34" s="229">
        <f>SUMIFS([1]!Data_BS[Value],[1]!Data_BS[Index BS],'Dai Loc'!$B34,[1]!Data_BS[TenCongTyID],'Dai Loc'!$B$1,[1]!Data_BS[Thang.Nam],'Dai Loc'!AB$5)</f>
        <v>0</v>
      </c>
      <c r="AC34" s="229">
        <f>SUMIFS([1]!Data_BS[Value],[1]!Data_BS[Index BS],'Dai Loc'!$B34,[1]!Data_BS[TenCongTyID],'Dai Loc'!$B$1,[1]!Data_BS[Thang.Nam],'Dai Loc'!AC$5)</f>
        <v>0</v>
      </c>
      <c r="AD34" s="229">
        <f>SUMIFS([1]!Data_BS[Value],[1]!Data_BS[Index BS],'Dai Loc'!$B34,[1]!Data_BS[TenCongTyID],'Dai Loc'!$B$1,[1]!Data_BS[Thang.Nam],'Dai Loc'!AD$5)</f>
        <v>0</v>
      </c>
      <c r="AE34" s="229">
        <f>SUMIFS([1]!Data_BS[Value],[1]!Data_BS[Index BS],'Dai Loc'!$B34,[1]!Data_BS[TenCongTyID],'Dai Loc'!$B$1,[1]!Data_BS[Thang.Nam],'Dai Loc'!AE$5)</f>
        <v>0</v>
      </c>
      <c r="AF34" s="229">
        <f>SUMIFS([1]!Data_BS[Value],[1]!Data_BS[Index BS],'Dai Loc'!$B34,[1]!Data_BS[TenCongTyID],'Dai Loc'!$B$1,[1]!Data_BS[Thang.Nam],'Dai Loc'!AF$5)</f>
        <v>0</v>
      </c>
      <c r="AG34" s="229">
        <f>SUMIFS([1]!Data_BS[Value],[1]!Data_BS[Index BS],'Dai Loc'!$B34,[1]!Data_BS[TenCongTyID],'Dai Loc'!$B$1,[1]!Data_BS[Thang.Nam],'Dai Loc'!AG$5)</f>
        <v>0</v>
      </c>
      <c r="AH34" s="229">
        <f>SUMIFS([1]!Data_BS[Value],[1]!Data_BS[Index BS],'Dai Loc'!$B34,[1]!Data_BS[TenCongTyID],'Dai Loc'!$B$1,[1]!Data_BS[Thang.Nam],'Dai Loc'!AH$5)</f>
        <v>0</v>
      </c>
      <c r="AI34" s="229">
        <f>SUMIFS([1]!Data_BS[Value],[1]!Data_BS[Index BS],'Dai Loc'!$B34,[1]!Data_BS[TenCongTyID],'Dai Loc'!$B$1,[1]!Data_BS[Thang.Nam],'Dai Loc'!AI$5)</f>
        <v>0</v>
      </c>
      <c r="AJ34" s="229">
        <f>SUMIFS([1]!Data_BS[Value],[1]!Data_BS[Index BS],'Dai Loc'!$B34,[1]!Data_BS[TenCongTyID],'Dai Loc'!$B$1,[1]!Data_BS[Thang.Nam],'Dai Loc'!AJ$5)</f>
        <v>0</v>
      </c>
      <c r="AK34" s="229">
        <f>SUMIFS([1]!Data_BS[Value],[1]!Data_BS[Index BS],'Dai Loc'!$B34,[1]!Data_BS[TenCongTyID],'Dai Loc'!$B$1,[1]!Data_BS[Thang.Nam],'Dai Loc'!AK$5)</f>
        <v>0</v>
      </c>
      <c r="AL34" s="229">
        <f>SUMIFS([1]!Data_BS[Value],[1]!Data_BS[Index BS],'Dai Loc'!$B34,[1]!Data_BS[TenCongTyID],'Dai Loc'!$B$1,[1]!Data_BS[Thang.Nam],'Dai Loc'!AL$5)</f>
        <v>0</v>
      </c>
    </row>
    <row r="35" spans="1:38" ht="15" hidden="1" customHeight="1" outlineLevel="1">
      <c r="A35" s="67" t="s">
        <v>119</v>
      </c>
      <c r="B35" s="63">
        <v>30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/>
      <c r="X35" s="229">
        <v>0</v>
      </c>
      <c r="Y35" s="229">
        <v>0</v>
      </c>
      <c r="Z35" s="229">
        <v>0</v>
      </c>
      <c r="AA35" s="229">
        <f>SUMIFS([1]!Data_BS[Value],[1]!Data_BS[Index BS],'Dai Loc'!$B35,[1]!Data_BS[TenCongTyID],'Dai Loc'!$B$1,[1]!Data_BS[Thang.Nam],'Dai Loc'!AA$5)</f>
        <v>0</v>
      </c>
      <c r="AB35" s="229">
        <f>SUMIFS([1]!Data_BS[Value],[1]!Data_BS[Index BS],'Dai Loc'!$B35,[1]!Data_BS[TenCongTyID],'Dai Loc'!$B$1,[1]!Data_BS[Thang.Nam],'Dai Loc'!AB$5)</f>
        <v>0</v>
      </c>
      <c r="AC35" s="229">
        <f>SUMIFS([1]!Data_BS[Value],[1]!Data_BS[Index BS],'Dai Loc'!$B35,[1]!Data_BS[TenCongTyID],'Dai Loc'!$B$1,[1]!Data_BS[Thang.Nam],'Dai Loc'!AC$5)</f>
        <v>0</v>
      </c>
      <c r="AD35" s="229">
        <f>SUMIFS([1]!Data_BS[Value],[1]!Data_BS[Index BS],'Dai Loc'!$B35,[1]!Data_BS[TenCongTyID],'Dai Loc'!$B$1,[1]!Data_BS[Thang.Nam],'Dai Loc'!AD$5)</f>
        <v>0</v>
      </c>
      <c r="AE35" s="229">
        <f>SUMIFS([1]!Data_BS[Value],[1]!Data_BS[Index BS],'Dai Loc'!$B35,[1]!Data_BS[TenCongTyID],'Dai Loc'!$B$1,[1]!Data_BS[Thang.Nam],'Dai Loc'!AE$5)</f>
        <v>0</v>
      </c>
      <c r="AF35" s="229">
        <f>SUMIFS([1]!Data_BS[Value],[1]!Data_BS[Index BS],'Dai Loc'!$B35,[1]!Data_BS[TenCongTyID],'Dai Loc'!$B$1,[1]!Data_BS[Thang.Nam],'Dai Loc'!AF$5)</f>
        <v>0</v>
      </c>
      <c r="AG35" s="229">
        <f>SUMIFS([1]!Data_BS[Value],[1]!Data_BS[Index BS],'Dai Loc'!$B35,[1]!Data_BS[TenCongTyID],'Dai Loc'!$B$1,[1]!Data_BS[Thang.Nam],'Dai Loc'!AG$5)</f>
        <v>0</v>
      </c>
      <c r="AH35" s="229">
        <f>SUMIFS([1]!Data_BS[Value],[1]!Data_BS[Index BS],'Dai Loc'!$B35,[1]!Data_BS[TenCongTyID],'Dai Loc'!$B$1,[1]!Data_BS[Thang.Nam],'Dai Loc'!AH$5)</f>
        <v>0</v>
      </c>
      <c r="AI35" s="229">
        <f>SUMIFS([1]!Data_BS[Value],[1]!Data_BS[Index BS],'Dai Loc'!$B35,[1]!Data_BS[TenCongTyID],'Dai Loc'!$B$1,[1]!Data_BS[Thang.Nam],'Dai Loc'!AI$5)</f>
        <v>0</v>
      </c>
      <c r="AJ35" s="229">
        <f>SUMIFS([1]!Data_BS[Value],[1]!Data_BS[Index BS],'Dai Loc'!$B35,[1]!Data_BS[TenCongTyID],'Dai Loc'!$B$1,[1]!Data_BS[Thang.Nam],'Dai Loc'!AJ$5)</f>
        <v>0</v>
      </c>
      <c r="AK35" s="229">
        <f>SUMIFS([1]!Data_BS[Value],[1]!Data_BS[Index BS],'Dai Loc'!$B35,[1]!Data_BS[TenCongTyID],'Dai Loc'!$B$1,[1]!Data_BS[Thang.Nam],'Dai Loc'!AK$5)</f>
        <v>0</v>
      </c>
      <c r="AL35" s="229">
        <f>SUMIFS([1]!Data_BS[Value],[1]!Data_BS[Index BS],'Dai Loc'!$B35,[1]!Data_BS[TenCongTyID],'Dai Loc'!$B$1,[1]!Data_BS[Thang.Nam],'Dai Loc'!AL$5)</f>
        <v>0</v>
      </c>
    </row>
    <row r="36" spans="1:38" ht="15" hidden="1" customHeight="1" outlineLevel="1">
      <c r="A36" s="67" t="s">
        <v>120</v>
      </c>
      <c r="B36" s="63">
        <v>31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/>
      <c r="X36" s="229">
        <v>0</v>
      </c>
      <c r="Y36" s="229">
        <v>0</v>
      </c>
      <c r="Z36" s="229">
        <v>0</v>
      </c>
      <c r="AA36" s="229">
        <f>SUMIFS([1]!Data_BS[Value],[1]!Data_BS[Index BS],'Dai Loc'!$B36,[1]!Data_BS[TenCongTyID],'Dai Loc'!$B$1,[1]!Data_BS[Thang.Nam],'Dai Loc'!AA$5)</f>
        <v>0</v>
      </c>
      <c r="AB36" s="229">
        <f>SUMIFS([1]!Data_BS[Value],[1]!Data_BS[Index BS],'Dai Loc'!$B36,[1]!Data_BS[TenCongTyID],'Dai Loc'!$B$1,[1]!Data_BS[Thang.Nam],'Dai Loc'!AB$5)</f>
        <v>0</v>
      </c>
      <c r="AC36" s="229">
        <f>SUMIFS([1]!Data_BS[Value],[1]!Data_BS[Index BS],'Dai Loc'!$B36,[1]!Data_BS[TenCongTyID],'Dai Loc'!$B$1,[1]!Data_BS[Thang.Nam],'Dai Loc'!AC$5)</f>
        <v>0</v>
      </c>
      <c r="AD36" s="229">
        <f>SUMIFS([1]!Data_BS[Value],[1]!Data_BS[Index BS],'Dai Loc'!$B36,[1]!Data_BS[TenCongTyID],'Dai Loc'!$B$1,[1]!Data_BS[Thang.Nam],'Dai Loc'!AD$5)</f>
        <v>0</v>
      </c>
      <c r="AE36" s="229">
        <f>SUMIFS([1]!Data_BS[Value],[1]!Data_BS[Index BS],'Dai Loc'!$B36,[1]!Data_BS[TenCongTyID],'Dai Loc'!$B$1,[1]!Data_BS[Thang.Nam],'Dai Loc'!AE$5)</f>
        <v>0</v>
      </c>
      <c r="AF36" s="229">
        <f>SUMIFS([1]!Data_BS[Value],[1]!Data_BS[Index BS],'Dai Loc'!$B36,[1]!Data_BS[TenCongTyID],'Dai Loc'!$B$1,[1]!Data_BS[Thang.Nam],'Dai Loc'!AF$5)</f>
        <v>0</v>
      </c>
      <c r="AG36" s="229">
        <f>SUMIFS([1]!Data_BS[Value],[1]!Data_BS[Index BS],'Dai Loc'!$B36,[1]!Data_BS[TenCongTyID],'Dai Loc'!$B$1,[1]!Data_BS[Thang.Nam],'Dai Loc'!AG$5)</f>
        <v>0</v>
      </c>
      <c r="AH36" s="229">
        <f>SUMIFS([1]!Data_BS[Value],[1]!Data_BS[Index BS],'Dai Loc'!$B36,[1]!Data_BS[TenCongTyID],'Dai Loc'!$B$1,[1]!Data_BS[Thang.Nam],'Dai Loc'!AH$5)</f>
        <v>0</v>
      </c>
      <c r="AI36" s="229">
        <f>SUMIFS([1]!Data_BS[Value],[1]!Data_BS[Index BS],'Dai Loc'!$B36,[1]!Data_BS[TenCongTyID],'Dai Loc'!$B$1,[1]!Data_BS[Thang.Nam],'Dai Loc'!AI$5)</f>
        <v>0</v>
      </c>
      <c r="AJ36" s="229">
        <f>SUMIFS([1]!Data_BS[Value],[1]!Data_BS[Index BS],'Dai Loc'!$B36,[1]!Data_BS[TenCongTyID],'Dai Loc'!$B$1,[1]!Data_BS[Thang.Nam],'Dai Loc'!AJ$5)</f>
        <v>0</v>
      </c>
      <c r="AK36" s="229">
        <f>SUMIFS([1]!Data_BS[Value],[1]!Data_BS[Index BS],'Dai Loc'!$B36,[1]!Data_BS[TenCongTyID],'Dai Loc'!$B$1,[1]!Data_BS[Thang.Nam],'Dai Loc'!AK$5)</f>
        <v>0</v>
      </c>
      <c r="AL36" s="229">
        <f>SUMIFS([1]!Data_BS[Value],[1]!Data_BS[Index BS],'Dai Loc'!$B36,[1]!Data_BS[TenCongTyID],'Dai Loc'!$B$1,[1]!Data_BS[Thang.Nam],'Dai Loc'!AL$5)</f>
        <v>0</v>
      </c>
    </row>
    <row r="37" spans="1:38" ht="15" hidden="1" customHeight="1" outlineLevel="1">
      <c r="A37" s="67" t="s">
        <v>121</v>
      </c>
      <c r="B37" s="63">
        <v>32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/>
      <c r="X37" s="229">
        <v>0</v>
      </c>
      <c r="Y37" s="229">
        <v>0</v>
      </c>
      <c r="Z37" s="229">
        <v>0</v>
      </c>
      <c r="AA37" s="229">
        <f>SUMIFS([1]!Data_BS[Value],[1]!Data_BS[Index BS],'Dai Loc'!$B37,[1]!Data_BS[TenCongTyID],'Dai Loc'!$B$1,[1]!Data_BS[Thang.Nam],'Dai Loc'!AA$5)</f>
        <v>0</v>
      </c>
      <c r="AB37" s="229">
        <f>SUMIFS([1]!Data_BS[Value],[1]!Data_BS[Index BS],'Dai Loc'!$B37,[1]!Data_BS[TenCongTyID],'Dai Loc'!$B$1,[1]!Data_BS[Thang.Nam],'Dai Loc'!AB$5)</f>
        <v>0</v>
      </c>
      <c r="AC37" s="229">
        <f>SUMIFS([1]!Data_BS[Value],[1]!Data_BS[Index BS],'Dai Loc'!$B37,[1]!Data_BS[TenCongTyID],'Dai Loc'!$B$1,[1]!Data_BS[Thang.Nam],'Dai Loc'!AC$5)</f>
        <v>0</v>
      </c>
      <c r="AD37" s="229">
        <f>SUMIFS([1]!Data_BS[Value],[1]!Data_BS[Index BS],'Dai Loc'!$B37,[1]!Data_BS[TenCongTyID],'Dai Loc'!$B$1,[1]!Data_BS[Thang.Nam],'Dai Loc'!AD$5)</f>
        <v>0</v>
      </c>
      <c r="AE37" s="229">
        <f>SUMIFS([1]!Data_BS[Value],[1]!Data_BS[Index BS],'Dai Loc'!$B37,[1]!Data_BS[TenCongTyID],'Dai Loc'!$B$1,[1]!Data_BS[Thang.Nam],'Dai Loc'!AE$5)</f>
        <v>0</v>
      </c>
      <c r="AF37" s="229">
        <f>SUMIFS([1]!Data_BS[Value],[1]!Data_BS[Index BS],'Dai Loc'!$B37,[1]!Data_BS[TenCongTyID],'Dai Loc'!$B$1,[1]!Data_BS[Thang.Nam],'Dai Loc'!AF$5)</f>
        <v>0</v>
      </c>
      <c r="AG37" s="229">
        <f>SUMIFS([1]!Data_BS[Value],[1]!Data_BS[Index BS],'Dai Loc'!$B37,[1]!Data_BS[TenCongTyID],'Dai Loc'!$B$1,[1]!Data_BS[Thang.Nam],'Dai Loc'!AG$5)</f>
        <v>0</v>
      </c>
      <c r="AH37" s="229">
        <f>SUMIFS([1]!Data_BS[Value],[1]!Data_BS[Index BS],'Dai Loc'!$B37,[1]!Data_BS[TenCongTyID],'Dai Loc'!$B$1,[1]!Data_BS[Thang.Nam],'Dai Loc'!AH$5)</f>
        <v>0</v>
      </c>
      <c r="AI37" s="229">
        <f>SUMIFS([1]!Data_BS[Value],[1]!Data_BS[Index BS],'Dai Loc'!$B37,[1]!Data_BS[TenCongTyID],'Dai Loc'!$B$1,[1]!Data_BS[Thang.Nam],'Dai Loc'!AI$5)</f>
        <v>0</v>
      </c>
      <c r="AJ37" s="229">
        <f>SUMIFS([1]!Data_BS[Value],[1]!Data_BS[Index BS],'Dai Loc'!$B37,[1]!Data_BS[TenCongTyID],'Dai Loc'!$B$1,[1]!Data_BS[Thang.Nam],'Dai Loc'!AJ$5)</f>
        <v>0</v>
      </c>
      <c r="AK37" s="229">
        <f>SUMIFS([1]!Data_BS[Value],[1]!Data_BS[Index BS],'Dai Loc'!$B37,[1]!Data_BS[TenCongTyID],'Dai Loc'!$B$1,[1]!Data_BS[Thang.Nam],'Dai Loc'!AK$5)</f>
        <v>0</v>
      </c>
      <c r="AL37" s="229">
        <f>SUMIFS([1]!Data_BS[Value],[1]!Data_BS[Index BS],'Dai Loc'!$B37,[1]!Data_BS[TenCongTyID],'Dai Loc'!$B$1,[1]!Data_BS[Thang.Nam],'Dai Loc'!AL$5)</f>
        <v>0</v>
      </c>
    </row>
    <row r="38" spans="1:38" ht="14" hidden="1" outlineLevel="1">
      <c r="A38" s="70" t="s">
        <v>122</v>
      </c>
      <c r="B38" s="71">
        <v>33</v>
      </c>
      <c r="C38" s="240">
        <v>30466419236</v>
      </c>
      <c r="D38" s="240">
        <v>29463849338</v>
      </c>
      <c r="E38" s="240">
        <v>28987262147</v>
      </c>
      <c r="F38" s="240">
        <v>28415924614</v>
      </c>
      <c r="G38" s="240">
        <v>27915539418</v>
      </c>
      <c r="H38" s="240">
        <v>27371434219</v>
      </c>
      <c r="I38" s="240">
        <v>26921557774</v>
      </c>
      <c r="J38" s="240">
        <v>26610306328</v>
      </c>
      <c r="K38" s="240">
        <v>26020754879</v>
      </c>
      <c r="L38" s="240">
        <v>25817377133</v>
      </c>
      <c r="M38" s="240">
        <v>25219667553</v>
      </c>
      <c r="N38" s="241">
        <v>24673757974</v>
      </c>
      <c r="O38" s="241">
        <v>24898331523</v>
      </c>
      <c r="P38" s="241">
        <v>24353477882</v>
      </c>
      <c r="Q38" s="241">
        <v>24260264292</v>
      </c>
      <c r="R38" s="241">
        <v>24728040870</v>
      </c>
      <c r="S38" s="241">
        <v>24164134378</v>
      </c>
      <c r="T38" s="241">
        <v>23241808674</v>
      </c>
      <c r="U38" s="241">
        <v>25141658929</v>
      </c>
      <c r="V38" s="241">
        <v>25082315070</v>
      </c>
      <c r="W38" s="241">
        <f>+W39+W46+W65+W71+W78+W68</f>
        <v>24399717348</v>
      </c>
      <c r="X38" s="241">
        <v>23806872186</v>
      </c>
      <c r="Y38" s="241">
        <v>23163884916</v>
      </c>
      <c r="Z38" s="241">
        <v>22792550879</v>
      </c>
      <c r="AA38" s="241">
        <f>SUMIFS([1]!Data_BS[Value],[1]!Data_BS[Index BS],'Dai Loc'!$B38,[1]!Data_BS[TenCongTyID],'Dai Loc'!$B$1,[1]!Data_BS[Thang.Nam],'Dai Loc'!AA$5)</f>
        <v>0</v>
      </c>
      <c r="AB38" s="241">
        <f>SUMIFS([1]!Data_BS[Value],[1]!Data_BS[Index BS],'Dai Loc'!$B38,[1]!Data_BS[TenCongTyID],'Dai Loc'!$B$1,[1]!Data_BS[Thang.Nam],'Dai Loc'!AB$5)</f>
        <v>0</v>
      </c>
      <c r="AC38" s="241">
        <f>SUMIFS([1]!Data_BS[Value],[1]!Data_BS[Index BS],'Dai Loc'!$B38,[1]!Data_BS[TenCongTyID],'Dai Loc'!$B$1,[1]!Data_BS[Thang.Nam],'Dai Loc'!AC$5)</f>
        <v>0</v>
      </c>
      <c r="AD38" s="241">
        <f>SUMIFS([1]!Data_BS[Value],[1]!Data_BS[Index BS],'Dai Loc'!$B38,[1]!Data_BS[TenCongTyID],'Dai Loc'!$B$1,[1]!Data_BS[Thang.Nam],'Dai Loc'!AD$5)</f>
        <v>0</v>
      </c>
      <c r="AE38" s="241">
        <f>SUMIFS([1]!Data_BS[Value],[1]!Data_BS[Index BS],'Dai Loc'!$B38,[1]!Data_BS[TenCongTyID],'Dai Loc'!$B$1,[1]!Data_BS[Thang.Nam],'Dai Loc'!AE$5)</f>
        <v>0</v>
      </c>
      <c r="AF38" s="241">
        <f>SUMIFS([1]!Data_BS[Value],[1]!Data_BS[Index BS],'Dai Loc'!$B38,[1]!Data_BS[TenCongTyID],'Dai Loc'!$B$1,[1]!Data_BS[Thang.Nam],'Dai Loc'!AF$5)</f>
        <v>0</v>
      </c>
      <c r="AG38" s="241">
        <f>SUMIFS([1]!Data_BS[Value],[1]!Data_BS[Index BS],'Dai Loc'!$B38,[1]!Data_BS[TenCongTyID],'Dai Loc'!$B$1,[1]!Data_BS[Thang.Nam],'Dai Loc'!AG$5)</f>
        <v>0</v>
      </c>
      <c r="AH38" s="241">
        <f>SUMIFS([1]!Data_BS[Value],[1]!Data_BS[Index BS],'Dai Loc'!$B38,[1]!Data_BS[TenCongTyID],'Dai Loc'!$B$1,[1]!Data_BS[Thang.Nam],'Dai Loc'!AH$5)</f>
        <v>0</v>
      </c>
      <c r="AI38" s="241">
        <f>SUMIFS([1]!Data_BS[Value],[1]!Data_BS[Index BS],'Dai Loc'!$B38,[1]!Data_BS[TenCongTyID],'Dai Loc'!$B$1,[1]!Data_BS[Thang.Nam],'Dai Loc'!AI$5)</f>
        <v>0</v>
      </c>
      <c r="AJ38" s="241">
        <f>SUMIFS([1]!Data_BS[Value],[1]!Data_BS[Index BS],'Dai Loc'!$B38,[1]!Data_BS[TenCongTyID],'Dai Loc'!$B$1,[1]!Data_BS[Thang.Nam],'Dai Loc'!AJ$5)</f>
        <v>0</v>
      </c>
      <c r="AK38" s="241">
        <f>SUMIFS([1]!Data_BS[Value],[1]!Data_BS[Index BS],'Dai Loc'!$B38,[1]!Data_BS[TenCongTyID],'Dai Loc'!$B$1,[1]!Data_BS[Thang.Nam],'Dai Loc'!AK$5)</f>
        <v>0</v>
      </c>
      <c r="AL38" s="241">
        <f>SUMIFS([1]!Data_BS[Value],[1]!Data_BS[Index BS],'Dai Loc'!$B38,[1]!Data_BS[TenCongTyID],'Dai Loc'!$B$1,[1]!Data_BS[Thang.Nam],'Dai Loc'!AL$5)</f>
        <v>0</v>
      </c>
    </row>
    <row r="39" spans="1:38" ht="15" hidden="1" customHeight="1" outlineLevel="1">
      <c r="A39" s="59" t="s">
        <v>123</v>
      </c>
      <c r="B39" s="65">
        <v>34</v>
      </c>
      <c r="C39" s="233">
        <v>0</v>
      </c>
      <c r="D39" s="233">
        <v>0</v>
      </c>
      <c r="E39" s="233">
        <v>0</v>
      </c>
      <c r="F39" s="233">
        <v>0</v>
      </c>
      <c r="G39" s="233">
        <v>0</v>
      </c>
      <c r="H39" s="233">
        <v>0</v>
      </c>
      <c r="I39" s="233">
        <v>0</v>
      </c>
      <c r="J39" s="233">
        <v>0</v>
      </c>
      <c r="K39" s="233">
        <v>0</v>
      </c>
      <c r="L39" s="233">
        <v>0</v>
      </c>
      <c r="M39" s="233">
        <v>0</v>
      </c>
      <c r="N39" s="234">
        <v>0</v>
      </c>
      <c r="O39" s="234">
        <v>0</v>
      </c>
      <c r="P39" s="234">
        <v>0</v>
      </c>
      <c r="Q39" s="234">
        <v>0</v>
      </c>
      <c r="R39" s="234">
        <v>0</v>
      </c>
      <c r="S39" s="234">
        <v>0</v>
      </c>
      <c r="T39" s="234">
        <v>0</v>
      </c>
      <c r="U39" s="234">
        <v>0</v>
      </c>
      <c r="V39" s="234">
        <v>0</v>
      </c>
      <c r="W39" s="234"/>
      <c r="X39" s="234">
        <v>0</v>
      </c>
      <c r="Y39" s="234">
        <v>0</v>
      </c>
      <c r="Z39" s="234">
        <v>0</v>
      </c>
      <c r="AA39" s="234">
        <f>SUMIFS([1]!Data_BS[Value],[1]!Data_BS[Index BS],'Dai Loc'!$B39,[1]!Data_BS[TenCongTyID],'Dai Loc'!$B$1,[1]!Data_BS[Thang.Nam],'Dai Loc'!AA$5)</f>
        <v>0</v>
      </c>
      <c r="AB39" s="234">
        <f>SUMIFS([1]!Data_BS[Value],[1]!Data_BS[Index BS],'Dai Loc'!$B39,[1]!Data_BS[TenCongTyID],'Dai Loc'!$B$1,[1]!Data_BS[Thang.Nam],'Dai Loc'!AB$5)</f>
        <v>0</v>
      </c>
      <c r="AC39" s="234">
        <f>SUMIFS([1]!Data_BS[Value],[1]!Data_BS[Index BS],'Dai Loc'!$B39,[1]!Data_BS[TenCongTyID],'Dai Loc'!$B$1,[1]!Data_BS[Thang.Nam],'Dai Loc'!AC$5)</f>
        <v>0</v>
      </c>
      <c r="AD39" s="234">
        <f>SUMIFS([1]!Data_BS[Value],[1]!Data_BS[Index BS],'Dai Loc'!$B39,[1]!Data_BS[TenCongTyID],'Dai Loc'!$B$1,[1]!Data_BS[Thang.Nam],'Dai Loc'!AD$5)</f>
        <v>0</v>
      </c>
      <c r="AE39" s="234">
        <f>SUMIFS([1]!Data_BS[Value],[1]!Data_BS[Index BS],'Dai Loc'!$B39,[1]!Data_BS[TenCongTyID],'Dai Loc'!$B$1,[1]!Data_BS[Thang.Nam],'Dai Loc'!AE$5)</f>
        <v>0</v>
      </c>
      <c r="AF39" s="234">
        <f>SUMIFS([1]!Data_BS[Value],[1]!Data_BS[Index BS],'Dai Loc'!$B39,[1]!Data_BS[TenCongTyID],'Dai Loc'!$B$1,[1]!Data_BS[Thang.Nam],'Dai Loc'!AF$5)</f>
        <v>0</v>
      </c>
      <c r="AG39" s="234">
        <f>SUMIFS([1]!Data_BS[Value],[1]!Data_BS[Index BS],'Dai Loc'!$B39,[1]!Data_BS[TenCongTyID],'Dai Loc'!$B$1,[1]!Data_BS[Thang.Nam],'Dai Loc'!AG$5)</f>
        <v>0</v>
      </c>
      <c r="AH39" s="234">
        <f>SUMIFS([1]!Data_BS[Value],[1]!Data_BS[Index BS],'Dai Loc'!$B39,[1]!Data_BS[TenCongTyID],'Dai Loc'!$B$1,[1]!Data_BS[Thang.Nam],'Dai Loc'!AH$5)</f>
        <v>0</v>
      </c>
      <c r="AI39" s="234">
        <f>SUMIFS([1]!Data_BS[Value],[1]!Data_BS[Index BS],'Dai Loc'!$B39,[1]!Data_BS[TenCongTyID],'Dai Loc'!$B$1,[1]!Data_BS[Thang.Nam],'Dai Loc'!AI$5)</f>
        <v>0</v>
      </c>
      <c r="AJ39" s="234">
        <f>SUMIFS([1]!Data_BS[Value],[1]!Data_BS[Index BS],'Dai Loc'!$B39,[1]!Data_BS[TenCongTyID],'Dai Loc'!$B$1,[1]!Data_BS[Thang.Nam],'Dai Loc'!AJ$5)</f>
        <v>0</v>
      </c>
      <c r="AK39" s="234">
        <f>SUMIFS([1]!Data_BS[Value],[1]!Data_BS[Index BS],'Dai Loc'!$B39,[1]!Data_BS[TenCongTyID],'Dai Loc'!$B$1,[1]!Data_BS[Thang.Nam],'Dai Loc'!AK$5)</f>
        <v>0</v>
      </c>
      <c r="AL39" s="234">
        <f>SUMIFS([1]!Data_BS[Value],[1]!Data_BS[Index BS],'Dai Loc'!$B39,[1]!Data_BS[TenCongTyID],'Dai Loc'!$B$1,[1]!Data_BS[Thang.Nam],'Dai Loc'!AL$5)</f>
        <v>0</v>
      </c>
    </row>
    <row r="40" spans="1:38" ht="15" hidden="1" customHeight="1" outlineLevel="1">
      <c r="A40" s="62" t="s">
        <v>124</v>
      </c>
      <c r="B40" s="63">
        <v>35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/>
      <c r="X40" s="229">
        <v>0</v>
      </c>
      <c r="Y40" s="229">
        <v>0</v>
      </c>
      <c r="Z40" s="229">
        <v>0</v>
      </c>
      <c r="AA40" s="229">
        <f>SUMIFS([1]!Data_BS[Value],[1]!Data_BS[Index BS],'Dai Loc'!$B40,[1]!Data_BS[TenCongTyID],'Dai Loc'!$B$1,[1]!Data_BS[Thang.Nam],'Dai Loc'!AA$5)</f>
        <v>0</v>
      </c>
      <c r="AB40" s="229">
        <f>SUMIFS([1]!Data_BS[Value],[1]!Data_BS[Index BS],'Dai Loc'!$B40,[1]!Data_BS[TenCongTyID],'Dai Loc'!$B$1,[1]!Data_BS[Thang.Nam],'Dai Loc'!AB$5)</f>
        <v>0</v>
      </c>
      <c r="AC40" s="229">
        <f>SUMIFS([1]!Data_BS[Value],[1]!Data_BS[Index BS],'Dai Loc'!$B40,[1]!Data_BS[TenCongTyID],'Dai Loc'!$B$1,[1]!Data_BS[Thang.Nam],'Dai Loc'!AC$5)</f>
        <v>0</v>
      </c>
      <c r="AD40" s="229">
        <f>SUMIFS([1]!Data_BS[Value],[1]!Data_BS[Index BS],'Dai Loc'!$B40,[1]!Data_BS[TenCongTyID],'Dai Loc'!$B$1,[1]!Data_BS[Thang.Nam],'Dai Loc'!AD$5)</f>
        <v>0</v>
      </c>
      <c r="AE40" s="229">
        <f>SUMIFS([1]!Data_BS[Value],[1]!Data_BS[Index BS],'Dai Loc'!$B40,[1]!Data_BS[TenCongTyID],'Dai Loc'!$B$1,[1]!Data_BS[Thang.Nam],'Dai Loc'!AE$5)</f>
        <v>0</v>
      </c>
      <c r="AF40" s="229">
        <f>SUMIFS([1]!Data_BS[Value],[1]!Data_BS[Index BS],'Dai Loc'!$B40,[1]!Data_BS[TenCongTyID],'Dai Loc'!$B$1,[1]!Data_BS[Thang.Nam],'Dai Loc'!AF$5)</f>
        <v>0</v>
      </c>
      <c r="AG40" s="229">
        <f>SUMIFS([1]!Data_BS[Value],[1]!Data_BS[Index BS],'Dai Loc'!$B40,[1]!Data_BS[TenCongTyID],'Dai Loc'!$B$1,[1]!Data_BS[Thang.Nam],'Dai Loc'!AG$5)</f>
        <v>0</v>
      </c>
      <c r="AH40" s="229">
        <f>SUMIFS([1]!Data_BS[Value],[1]!Data_BS[Index BS],'Dai Loc'!$B40,[1]!Data_BS[TenCongTyID],'Dai Loc'!$B$1,[1]!Data_BS[Thang.Nam],'Dai Loc'!AH$5)</f>
        <v>0</v>
      </c>
      <c r="AI40" s="229">
        <f>SUMIFS([1]!Data_BS[Value],[1]!Data_BS[Index BS],'Dai Loc'!$B40,[1]!Data_BS[TenCongTyID],'Dai Loc'!$B$1,[1]!Data_BS[Thang.Nam],'Dai Loc'!AI$5)</f>
        <v>0</v>
      </c>
      <c r="AJ40" s="229">
        <f>SUMIFS([1]!Data_BS[Value],[1]!Data_BS[Index BS],'Dai Loc'!$B40,[1]!Data_BS[TenCongTyID],'Dai Loc'!$B$1,[1]!Data_BS[Thang.Nam],'Dai Loc'!AJ$5)</f>
        <v>0</v>
      </c>
      <c r="AK40" s="229">
        <f>SUMIFS([1]!Data_BS[Value],[1]!Data_BS[Index BS],'Dai Loc'!$B40,[1]!Data_BS[TenCongTyID],'Dai Loc'!$B$1,[1]!Data_BS[Thang.Nam],'Dai Loc'!AK$5)</f>
        <v>0</v>
      </c>
      <c r="AL40" s="229">
        <f>SUMIFS([1]!Data_BS[Value],[1]!Data_BS[Index BS],'Dai Loc'!$B40,[1]!Data_BS[TenCongTyID],'Dai Loc'!$B$1,[1]!Data_BS[Thang.Nam],'Dai Loc'!AL$5)</f>
        <v>0</v>
      </c>
    </row>
    <row r="41" spans="1:38" ht="15" hidden="1" customHeight="1" outlineLevel="1">
      <c r="A41" s="62" t="s">
        <v>125</v>
      </c>
      <c r="B41" s="63">
        <v>36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/>
      <c r="X41" s="229">
        <v>0</v>
      </c>
      <c r="Y41" s="229">
        <v>0</v>
      </c>
      <c r="Z41" s="229">
        <v>0</v>
      </c>
      <c r="AA41" s="229">
        <f>SUMIFS([1]!Data_BS[Value],[1]!Data_BS[Index BS],'Dai Loc'!$B41,[1]!Data_BS[TenCongTyID],'Dai Loc'!$B$1,[1]!Data_BS[Thang.Nam],'Dai Loc'!AA$5)</f>
        <v>0</v>
      </c>
      <c r="AB41" s="229">
        <f>SUMIFS([1]!Data_BS[Value],[1]!Data_BS[Index BS],'Dai Loc'!$B41,[1]!Data_BS[TenCongTyID],'Dai Loc'!$B$1,[1]!Data_BS[Thang.Nam],'Dai Loc'!AB$5)</f>
        <v>0</v>
      </c>
      <c r="AC41" s="229">
        <f>SUMIFS([1]!Data_BS[Value],[1]!Data_BS[Index BS],'Dai Loc'!$B41,[1]!Data_BS[TenCongTyID],'Dai Loc'!$B$1,[1]!Data_BS[Thang.Nam],'Dai Loc'!AC$5)</f>
        <v>0</v>
      </c>
      <c r="AD41" s="229">
        <f>SUMIFS([1]!Data_BS[Value],[1]!Data_BS[Index BS],'Dai Loc'!$B41,[1]!Data_BS[TenCongTyID],'Dai Loc'!$B$1,[1]!Data_BS[Thang.Nam],'Dai Loc'!AD$5)</f>
        <v>0</v>
      </c>
      <c r="AE41" s="229">
        <f>SUMIFS([1]!Data_BS[Value],[1]!Data_BS[Index BS],'Dai Loc'!$B41,[1]!Data_BS[TenCongTyID],'Dai Loc'!$B$1,[1]!Data_BS[Thang.Nam],'Dai Loc'!AE$5)</f>
        <v>0</v>
      </c>
      <c r="AF41" s="229">
        <f>SUMIFS([1]!Data_BS[Value],[1]!Data_BS[Index BS],'Dai Loc'!$B41,[1]!Data_BS[TenCongTyID],'Dai Loc'!$B$1,[1]!Data_BS[Thang.Nam],'Dai Loc'!AF$5)</f>
        <v>0</v>
      </c>
      <c r="AG41" s="229">
        <f>SUMIFS([1]!Data_BS[Value],[1]!Data_BS[Index BS],'Dai Loc'!$B41,[1]!Data_BS[TenCongTyID],'Dai Loc'!$B$1,[1]!Data_BS[Thang.Nam],'Dai Loc'!AG$5)</f>
        <v>0</v>
      </c>
      <c r="AH41" s="229">
        <f>SUMIFS([1]!Data_BS[Value],[1]!Data_BS[Index BS],'Dai Loc'!$B41,[1]!Data_BS[TenCongTyID],'Dai Loc'!$B$1,[1]!Data_BS[Thang.Nam],'Dai Loc'!AH$5)</f>
        <v>0</v>
      </c>
      <c r="AI41" s="229">
        <f>SUMIFS([1]!Data_BS[Value],[1]!Data_BS[Index BS],'Dai Loc'!$B41,[1]!Data_BS[TenCongTyID],'Dai Loc'!$B$1,[1]!Data_BS[Thang.Nam],'Dai Loc'!AI$5)</f>
        <v>0</v>
      </c>
      <c r="AJ41" s="229">
        <f>SUMIFS([1]!Data_BS[Value],[1]!Data_BS[Index BS],'Dai Loc'!$B41,[1]!Data_BS[TenCongTyID],'Dai Loc'!$B$1,[1]!Data_BS[Thang.Nam],'Dai Loc'!AJ$5)</f>
        <v>0</v>
      </c>
      <c r="AK41" s="229">
        <f>SUMIFS([1]!Data_BS[Value],[1]!Data_BS[Index BS],'Dai Loc'!$B41,[1]!Data_BS[TenCongTyID],'Dai Loc'!$B$1,[1]!Data_BS[Thang.Nam],'Dai Loc'!AK$5)</f>
        <v>0</v>
      </c>
      <c r="AL41" s="229">
        <f>SUMIFS([1]!Data_BS[Value],[1]!Data_BS[Index BS],'Dai Loc'!$B41,[1]!Data_BS[TenCongTyID],'Dai Loc'!$B$1,[1]!Data_BS[Thang.Nam],'Dai Loc'!AL$5)</f>
        <v>0</v>
      </c>
    </row>
    <row r="42" spans="1:38" ht="15" hidden="1" customHeight="1" outlineLevel="1">
      <c r="A42" s="62" t="s">
        <v>126</v>
      </c>
      <c r="B42" s="63">
        <v>37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/>
      <c r="X42" s="229">
        <v>0</v>
      </c>
      <c r="Y42" s="229">
        <v>0</v>
      </c>
      <c r="Z42" s="229">
        <v>0</v>
      </c>
      <c r="AA42" s="229">
        <f>SUMIFS([1]!Data_BS[Value],[1]!Data_BS[Index BS],'Dai Loc'!$B42,[1]!Data_BS[TenCongTyID],'Dai Loc'!$B$1,[1]!Data_BS[Thang.Nam],'Dai Loc'!AA$5)</f>
        <v>0</v>
      </c>
      <c r="AB42" s="229">
        <f>SUMIFS([1]!Data_BS[Value],[1]!Data_BS[Index BS],'Dai Loc'!$B42,[1]!Data_BS[TenCongTyID],'Dai Loc'!$B$1,[1]!Data_BS[Thang.Nam],'Dai Loc'!AB$5)</f>
        <v>0</v>
      </c>
      <c r="AC42" s="229">
        <f>SUMIFS([1]!Data_BS[Value],[1]!Data_BS[Index BS],'Dai Loc'!$B42,[1]!Data_BS[TenCongTyID],'Dai Loc'!$B$1,[1]!Data_BS[Thang.Nam],'Dai Loc'!AC$5)</f>
        <v>0</v>
      </c>
      <c r="AD42" s="229">
        <f>SUMIFS([1]!Data_BS[Value],[1]!Data_BS[Index BS],'Dai Loc'!$B42,[1]!Data_BS[TenCongTyID],'Dai Loc'!$B$1,[1]!Data_BS[Thang.Nam],'Dai Loc'!AD$5)</f>
        <v>0</v>
      </c>
      <c r="AE42" s="229">
        <f>SUMIFS([1]!Data_BS[Value],[1]!Data_BS[Index BS],'Dai Loc'!$B42,[1]!Data_BS[TenCongTyID],'Dai Loc'!$B$1,[1]!Data_BS[Thang.Nam],'Dai Loc'!AE$5)</f>
        <v>0</v>
      </c>
      <c r="AF42" s="229">
        <f>SUMIFS([1]!Data_BS[Value],[1]!Data_BS[Index BS],'Dai Loc'!$B42,[1]!Data_BS[TenCongTyID],'Dai Loc'!$B$1,[1]!Data_BS[Thang.Nam],'Dai Loc'!AF$5)</f>
        <v>0</v>
      </c>
      <c r="AG42" s="229">
        <f>SUMIFS([1]!Data_BS[Value],[1]!Data_BS[Index BS],'Dai Loc'!$B42,[1]!Data_BS[TenCongTyID],'Dai Loc'!$B$1,[1]!Data_BS[Thang.Nam],'Dai Loc'!AG$5)</f>
        <v>0</v>
      </c>
      <c r="AH42" s="229">
        <f>SUMIFS([1]!Data_BS[Value],[1]!Data_BS[Index BS],'Dai Loc'!$B42,[1]!Data_BS[TenCongTyID],'Dai Loc'!$B$1,[1]!Data_BS[Thang.Nam],'Dai Loc'!AH$5)</f>
        <v>0</v>
      </c>
      <c r="AI42" s="229">
        <f>SUMIFS([1]!Data_BS[Value],[1]!Data_BS[Index BS],'Dai Loc'!$B42,[1]!Data_BS[TenCongTyID],'Dai Loc'!$B$1,[1]!Data_BS[Thang.Nam],'Dai Loc'!AI$5)</f>
        <v>0</v>
      </c>
      <c r="AJ42" s="229">
        <f>SUMIFS([1]!Data_BS[Value],[1]!Data_BS[Index BS],'Dai Loc'!$B42,[1]!Data_BS[TenCongTyID],'Dai Loc'!$B$1,[1]!Data_BS[Thang.Nam],'Dai Loc'!AJ$5)</f>
        <v>0</v>
      </c>
      <c r="AK42" s="229">
        <f>SUMIFS([1]!Data_BS[Value],[1]!Data_BS[Index BS],'Dai Loc'!$B42,[1]!Data_BS[TenCongTyID],'Dai Loc'!$B$1,[1]!Data_BS[Thang.Nam],'Dai Loc'!AK$5)</f>
        <v>0</v>
      </c>
      <c r="AL42" s="229">
        <f>SUMIFS([1]!Data_BS[Value],[1]!Data_BS[Index BS],'Dai Loc'!$B42,[1]!Data_BS[TenCongTyID],'Dai Loc'!$B$1,[1]!Data_BS[Thang.Nam],'Dai Loc'!AL$5)</f>
        <v>0</v>
      </c>
    </row>
    <row r="43" spans="1:38" ht="15" hidden="1" customHeight="1" outlineLevel="1">
      <c r="A43" s="62" t="s">
        <v>127</v>
      </c>
      <c r="B43" s="63">
        <v>38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/>
      <c r="X43" s="229">
        <v>0</v>
      </c>
      <c r="Y43" s="229">
        <v>0</v>
      </c>
      <c r="Z43" s="229">
        <v>0</v>
      </c>
      <c r="AA43" s="229">
        <f>SUMIFS([1]!Data_BS[Value],[1]!Data_BS[Index BS],'Dai Loc'!$B43,[1]!Data_BS[TenCongTyID],'Dai Loc'!$B$1,[1]!Data_BS[Thang.Nam],'Dai Loc'!AA$5)</f>
        <v>0</v>
      </c>
      <c r="AB43" s="229">
        <f>SUMIFS([1]!Data_BS[Value],[1]!Data_BS[Index BS],'Dai Loc'!$B43,[1]!Data_BS[TenCongTyID],'Dai Loc'!$B$1,[1]!Data_BS[Thang.Nam],'Dai Loc'!AB$5)</f>
        <v>0</v>
      </c>
      <c r="AC43" s="229">
        <f>SUMIFS([1]!Data_BS[Value],[1]!Data_BS[Index BS],'Dai Loc'!$B43,[1]!Data_BS[TenCongTyID],'Dai Loc'!$B$1,[1]!Data_BS[Thang.Nam],'Dai Loc'!AC$5)</f>
        <v>0</v>
      </c>
      <c r="AD43" s="229">
        <f>SUMIFS([1]!Data_BS[Value],[1]!Data_BS[Index BS],'Dai Loc'!$B43,[1]!Data_BS[TenCongTyID],'Dai Loc'!$B$1,[1]!Data_BS[Thang.Nam],'Dai Loc'!AD$5)</f>
        <v>0</v>
      </c>
      <c r="AE43" s="229">
        <f>SUMIFS([1]!Data_BS[Value],[1]!Data_BS[Index BS],'Dai Loc'!$B43,[1]!Data_BS[TenCongTyID],'Dai Loc'!$B$1,[1]!Data_BS[Thang.Nam],'Dai Loc'!AE$5)</f>
        <v>0</v>
      </c>
      <c r="AF43" s="229">
        <f>SUMIFS([1]!Data_BS[Value],[1]!Data_BS[Index BS],'Dai Loc'!$B43,[1]!Data_BS[TenCongTyID],'Dai Loc'!$B$1,[1]!Data_BS[Thang.Nam],'Dai Loc'!AF$5)</f>
        <v>0</v>
      </c>
      <c r="AG43" s="229">
        <f>SUMIFS([1]!Data_BS[Value],[1]!Data_BS[Index BS],'Dai Loc'!$B43,[1]!Data_BS[TenCongTyID],'Dai Loc'!$B$1,[1]!Data_BS[Thang.Nam],'Dai Loc'!AG$5)</f>
        <v>0</v>
      </c>
      <c r="AH43" s="229">
        <f>SUMIFS([1]!Data_BS[Value],[1]!Data_BS[Index BS],'Dai Loc'!$B43,[1]!Data_BS[TenCongTyID],'Dai Loc'!$B$1,[1]!Data_BS[Thang.Nam],'Dai Loc'!AH$5)</f>
        <v>0</v>
      </c>
      <c r="AI43" s="229">
        <f>SUMIFS([1]!Data_BS[Value],[1]!Data_BS[Index BS],'Dai Loc'!$B43,[1]!Data_BS[TenCongTyID],'Dai Loc'!$B$1,[1]!Data_BS[Thang.Nam],'Dai Loc'!AI$5)</f>
        <v>0</v>
      </c>
      <c r="AJ43" s="229">
        <f>SUMIFS([1]!Data_BS[Value],[1]!Data_BS[Index BS],'Dai Loc'!$B43,[1]!Data_BS[TenCongTyID],'Dai Loc'!$B$1,[1]!Data_BS[Thang.Nam],'Dai Loc'!AJ$5)</f>
        <v>0</v>
      </c>
      <c r="AK43" s="229">
        <f>SUMIFS([1]!Data_BS[Value],[1]!Data_BS[Index BS],'Dai Loc'!$B43,[1]!Data_BS[TenCongTyID],'Dai Loc'!$B$1,[1]!Data_BS[Thang.Nam],'Dai Loc'!AK$5)</f>
        <v>0</v>
      </c>
      <c r="AL43" s="229">
        <f>SUMIFS([1]!Data_BS[Value],[1]!Data_BS[Index BS],'Dai Loc'!$B43,[1]!Data_BS[TenCongTyID],'Dai Loc'!$B$1,[1]!Data_BS[Thang.Nam],'Dai Loc'!AL$5)</f>
        <v>0</v>
      </c>
    </row>
    <row r="44" spans="1:38" ht="15" hidden="1" customHeight="1" outlineLevel="1">
      <c r="A44" s="62" t="s">
        <v>128</v>
      </c>
      <c r="B44" s="63">
        <v>39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/>
      <c r="X44" s="229">
        <v>0</v>
      </c>
      <c r="Y44" s="229">
        <v>0</v>
      </c>
      <c r="Z44" s="229">
        <v>0</v>
      </c>
      <c r="AA44" s="229">
        <f>SUMIFS([1]!Data_BS[Value],[1]!Data_BS[Index BS],'Dai Loc'!$B44,[1]!Data_BS[TenCongTyID],'Dai Loc'!$B$1,[1]!Data_BS[Thang.Nam],'Dai Loc'!AA$5)</f>
        <v>0</v>
      </c>
      <c r="AB44" s="229">
        <f>SUMIFS([1]!Data_BS[Value],[1]!Data_BS[Index BS],'Dai Loc'!$B44,[1]!Data_BS[TenCongTyID],'Dai Loc'!$B$1,[1]!Data_BS[Thang.Nam],'Dai Loc'!AB$5)</f>
        <v>0</v>
      </c>
      <c r="AC44" s="229">
        <f>SUMIFS([1]!Data_BS[Value],[1]!Data_BS[Index BS],'Dai Loc'!$B44,[1]!Data_BS[TenCongTyID],'Dai Loc'!$B$1,[1]!Data_BS[Thang.Nam],'Dai Loc'!AC$5)</f>
        <v>0</v>
      </c>
      <c r="AD44" s="229">
        <f>SUMIFS([1]!Data_BS[Value],[1]!Data_BS[Index BS],'Dai Loc'!$B44,[1]!Data_BS[TenCongTyID],'Dai Loc'!$B$1,[1]!Data_BS[Thang.Nam],'Dai Loc'!AD$5)</f>
        <v>0</v>
      </c>
      <c r="AE44" s="229">
        <f>SUMIFS([1]!Data_BS[Value],[1]!Data_BS[Index BS],'Dai Loc'!$B44,[1]!Data_BS[TenCongTyID],'Dai Loc'!$B$1,[1]!Data_BS[Thang.Nam],'Dai Loc'!AE$5)</f>
        <v>0</v>
      </c>
      <c r="AF44" s="229">
        <f>SUMIFS([1]!Data_BS[Value],[1]!Data_BS[Index BS],'Dai Loc'!$B44,[1]!Data_BS[TenCongTyID],'Dai Loc'!$B$1,[1]!Data_BS[Thang.Nam],'Dai Loc'!AF$5)</f>
        <v>0</v>
      </c>
      <c r="AG44" s="229">
        <f>SUMIFS([1]!Data_BS[Value],[1]!Data_BS[Index BS],'Dai Loc'!$B44,[1]!Data_BS[TenCongTyID],'Dai Loc'!$B$1,[1]!Data_BS[Thang.Nam],'Dai Loc'!AG$5)</f>
        <v>0</v>
      </c>
      <c r="AH44" s="229">
        <f>SUMIFS([1]!Data_BS[Value],[1]!Data_BS[Index BS],'Dai Loc'!$B44,[1]!Data_BS[TenCongTyID],'Dai Loc'!$B$1,[1]!Data_BS[Thang.Nam],'Dai Loc'!AH$5)</f>
        <v>0</v>
      </c>
      <c r="AI44" s="229">
        <f>SUMIFS([1]!Data_BS[Value],[1]!Data_BS[Index BS],'Dai Loc'!$B44,[1]!Data_BS[TenCongTyID],'Dai Loc'!$B$1,[1]!Data_BS[Thang.Nam],'Dai Loc'!AI$5)</f>
        <v>0</v>
      </c>
      <c r="AJ44" s="229">
        <f>SUMIFS([1]!Data_BS[Value],[1]!Data_BS[Index BS],'Dai Loc'!$B44,[1]!Data_BS[TenCongTyID],'Dai Loc'!$B$1,[1]!Data_BS[Thang.Nam],'Dai Loc'!AJ$5)</f>
        <v>0</v>
      </c>
      <c r="AK44" s="229">
        <f>SUMIFS([1]!Data_BS[Value],[1]!Data_BS[Index BS],'Dai Loc'!$B44,[1]!Data_BS[TenCongTyID],'Dai Loc'!$B$1,[1]!Data_BS[Thang.Nam],'Dai Loc'!AK$5)</f>
        <v>0</v>
      </c>
      <c r="AL44" s="229">
        <f>SUMIFS([1]!Data_BS[Value],[1]!Data_BS[Index BS],'Dai Loc'!$B44,[1]!Data_BS[TenCongTyID],'Dai Loc'!$B$1,[1]!Data_BS[Thang.Nam],'Dai Loc'!AL$5)</f>
        <v>0</v>
      </c>
    </row>
    <row r="45" spans="1:38" ht="15" hidden="1" customHeight="1" outlineLevel="1">
      <c r="A45" s="62" t="s">
        <v>129</v>
      </c>
      <c r="B45" s="63">
        <v>40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/>
      <c r="X45" s="229">
        <v>0</v>
      </c>
      <c r="Y45" s="229">
        <v>0</v>
      </c>
      <c r="Z45" s="229">
        <v>0</v>
      </c>
      <c r="AA45" s="229">
        <f>SUMIFS([1]!Data_BS[Value],[1]!Data_BS[Index BS],'Dai Loc'!$B45,[1]!Data_BS[TenCongTyID],'Dai Loc'!$B$1,[1]!Data_BS[Thang.Nam],'Dai Loc'!AA$5)</f>
        <v>0</v>
      </c>
      <c r="AB45" s="229">
        <f>SUMIFS([1]!Data_BS[Value],[1]!Data_BS[Index BS],'Dai Loc'!$B45,[1]!Data_BS[TenCongTyID],'Dai Loc'!$B$1,[1]!Data_BS[Thang.Nam],'Dai Loc'!AB$5)</f>
        <v>0</v>
      </c>
      <c r="AC45" s="229">
        <f>SUMIFS([1]!Data_BS[Value],[1]!Data_BS[Index BS],'Dai Loc'!$B45,[1]!Data_BS[TenCongTyID],'Dai Loc'!$B$1,[1]!Data_BS[Thang.Nam],'Dai Loc'!AC$5)</f>
        <v>0</v>
      </c>
      <c r="AD45" s="229">
        <f>SUMIFS([1]!Data_BS[Value],[1]!Data_BS[Index BS],'Dai Loc'!$B45,[1]!Data_BS[TenCongTyID],'Dai Loc'!$B$1,[1]!Data_BS[Thang.Nam],'Dai Loc'!AD$5)</f>
        <v>0</v>
      </c>
      <c r="AE45" s="229">
        <f>SUMIFS([1]!Data_BS[Value],[1]!Data_BS[Index BS],'Dai Loc'!$B45,[1]!Data_BS[TenCongTyID],'Dai Loc'!$B$1,[1]!Data_BS[Thang.Nam],'Dai Loc'!AE$5)</f>
        <v>0</v>
      </c>
      <c r="AF45" s="229">
        <f>SUMIFS([1]!Data_BS[Value],[1]!Data_BS[Index BS],'Dai Loc'!$B45,[1]!Data_BS[TenCongTyID],'Dai Loc'!$B$1,[1]!Data_BS[Thang.Nam],'Dai Loc'!AF$5)</f>
        <v>0</v>
      </c>
      <c r="AG45" s="229">
        <f>SUMIFS([1]!Data_BS[Value],[1]!Data_BS[Index BS],'Dai Loc'!$B45,[1]!Data_BS[TenCongTyID],'Dai Loc'!$B$1,[1]!Data_BS[Thang.Nam],'Dai Loc'!AG$5)</f>
        <v>0</v>
      </c>
      <c r="AH45" s="229">
        <f>SUMIFS([1]!Data_BS[Value],[1]!Data_BS[Index BS],'Dai Loc'!$B45,[1]!Data_BS[TenCongTyID],'Dai Loc'!$B$1,[1]!Data_BS[Thang.Nam],'Dai Loc'!AH$5)</f>
        <v>0</v>
      </c>
      <c r="AI45" s="229">
        <f>SUMIFS([1]!Data_BS[Value],[1]!Data_BS[Index BS],'Dai Loc'!$B45,[1]!Data_BS[TenCongTyID],'Dai Loc'!$B$1,[1]!Data_BS[Thang.Nam],'Dai Loc'!AI$5)</f>
        <v>0</v>
      </c>
      <c r="AJ45" s="229">
        <f>SUMIFS([1]!Data_BS[Value],[1]!Data_BS[Index BS],'Dai Loc'!$B45,[1]!Data_BS[TenCongTyID],'Dai Loc'!$B$1,[1]!Data_BS[Thang.Nam],'Dai Loc'!AJ$5)</f>
        <v>0</v>
      </c>
      <c r="AK45" s="229">
        <f>SUMIFS([1]!Data_BS[Value],[1]!Data_BS[Index BS],'Dai Loc'!$B45,[1]!Data_BS[TenCongTyID],'Dai Loc'!$B$1,[1]!Data_BS[Thang.Nam],'Dai Loc'!AK$5)</f>
        <v>0</v>
      </c>
      <c r="AL45" s="229">
        <f>SUMIFS([1]!Data_BS[Value],[1]!Data_BS[Index BS],'Dai Loc'!$B45,[1]!Data_BS[TenCongTyID],'Dai Loc'!$B$1,[1]!Data_BS[Thang.Nam],'Dai Loc'!AL$5)</f>
        <v>0</v>
      </c>
    </row>
    <row r="46" spans="1:38" ht="15" hidden="1" customHeight="1" outlineLevel="1">
      <c r="A46" s="72" t="s">
        <v>130</v>
      </c>
      <c r="B46" s="65">
        <v>41</v>
      </c>
      <c r="C46" s="233">
        <v>24904824264</v>
      </c>
      <c r="D46" s="233">
        <v>24406179985</v>
      </c>
      <c r="E46" s="233">
        <v>23907535705</v>
      </c>
      <c r="F46" s="233">
        <v>26284009944</v>
      </c>
      <c r="G46" s="233">
        <v>26129962179</v>
      </c>
      <c r="H46" s="233">
        <v>25609819411</v>
      </c>
      <c r="I46" s="233">
        <v>25183905397</v>
      </c>
      <c r="J46" s="233">
        <v>24885816382</v>
      </c>
      <c r="K46" s="233">
        <v>24320227364</v>
      </c>
      <c r="L46" s="233">
        <v>24135828708</v>
      </c>
      <c r="M46" s="233">
        <v>23562298226</v>
      </c>
      <c r="N46" s="234">
        <v>23029767745</v>
      </c>
      <c r="O46" s="234">
        <v>23179097275</v>
      </c>
      <c r="P46" s="234">
        <v>22592859083</v>
      </c>
      <c r="Q46" s="234">
        <v>22006620894</v>
      </c>
      <c r="R46" s="234">
        <v>22422447764</v>
      </c>
      <c r="S46" s="234">
        <v>21828084571</v>
      </c>
      <c r="T46" s="234">
        <v>20525863109</v>
      </c>
      <c r="U46" s="234">
        <v>22436833132</v>
      </c>
      <c r="V46" s="234">
        <v>21812594347</v>
      </c>
      <c r="W46" s="234">
        <f>+W47+W53+W50</f>
        <v>21188355568</v>
      </c>
      <c r="X46" s="234">
        <v>20564116784</v>
      </c>
      <c r="Y46" s="234">
        <v>19939878006</v>
      </c>
      <c r="Z46" s="234">
        <v>19373639224</v>
      </c>
      <c r="AA46" s="234">
        <f>SUMIFS([1]!Data_BS[Value],[1]!Data_BS[Index BS],'Dai Loc'!$B46,[1]!Data_BS[TenCongTyID],'Dai Loc'!$B$1,[1]!Data_BS[Thang.Nam],'Dai Loc'!AA$5)</f>
        <v>0</v>
      </c>
      <c r="AB46" s="234">
        <f>SUMIFS([1]!Data_BS[Value],[1]!Data_BS[Index BS],'Dai Loc'!$B46,[1]!Data_BS[TenCongTyID],'Dai Loc'!$B$1,[1]!Data_BS[Thang.Nam],'Dai Loc'!AB$5)</f>
        <v>0</v>
      </c>
      <c r="AC46" s="234">
        <f>SUMIFS([1]!Data_BS[Value],[1]!Data_BS[Index BS],'Dai Loc'!$B46,[1]!Data_BS[TenCongTyID],'Dai Loc'!$B$1,[1]!Data_BS[Thang.Nam],'Dai Loc'!AC$5)</f>
        <v>0</v>
      </c>
      <c r="AD46" s="234">
        <f>SUMIFS([1]!Data_BS[Value],[1]!Data_BS[Index BS],'Dai Loc'!$B46,[1]!Data_BS[TenCongTyID],'Dai Loc'!$B$1,[1]!Data_BS[Thang.Nam],'Dai Loc'!AD$5)</f>
        <v>0</v>
      </c>
      <c r="AE46" s="234">
        <f>SUMIFS([1]!Data_BS[Value],[1]!Data_BS[Index BS],'Dai Loc'!$B46,[1]!Data_BS[TenCongTyID],'Dai Loc'!$B$1,[1]!Data_BS[Thang.Nam],'Dai Loc'!AE$5)</f>
        <v>0</v>
      </c>
      <c r="AF46" s="234">
        <f>SUMIFS([1]!Data_BS[Value],[1]!Data_BS[Index BS],'Dai Loc'!$B46,[1]!Data_BS[TenCongTyID],'Dai Loc'!$B$1,[1]!Data_BS[Thang.Nam],'Dai Loc'!AF$5)</f>
        <v>0</v>
      </c>
      <c r="AG46" s="234">
        <f>SUMIFS([1]!Data_BS[Value],[1]!Data_BS[Index BS],'Dai Loc'!$B46,[1]!Data_BS[TenCongTyID],'Dai Loc'!$B$1,[1]!Data_BS[Thang.Nam],'Dai Loc'!AG$5)</f>
        <v>0</v>
      </c>
      <c r="AH46" s="234">
        <f>SUMIFS([1]!Data_BS[Value],[1]!Data_BS[Index BS],'Dai Loc'!$B46,[1]!Data_BS[TenCongTyID],'Dai Loc'!$B$1,[1]!Data_BS[Thang.Nam],'Dai Loc'!AH$5)</f>
        <v>0</v>
      </c>
      <c r="AI46" s="234">
        <f>SUMIFS([1]!Data_BS[Value],[1]!Data_BS[Index BS],'Dai Loc'!$B46,[1]!Data_BS[TenCongTyID],'Dai Loc'!$B$1,[1]!Data_BS[Thang.Nam],'Dai Loc'!AI$5)</f>
        <v>0</v>
      </c>
      <c r="AJ46" s="234">
        <f>SUMIFS([1]!Data_BS[Value],[1]!Data_BS[Index BS],'Dai Loc'!$B46,[1]!Data_BS[TenCongTyID],'Dai Loc'!$B$1,[1]!Data_BS[Thang.Nam],'Dai Loc'!AJ$5)</f>
        <v>0</v>
      </c>
      <c r="AK46" s="234">
        <f>SUMIFS([1]!Data_BS[Value],[1]!Data_BS[Index BS],'Dai Loc'!$B46,[1]!Data_BS[TenCongTyID],'Dai Loc'!$B$1,[1]!Data_BS[Thang.Nam],'Dai Loc'!AK$5)</f>
        <v>0</v>
      </c>
      <c r="AL46" s="234">
        <f>SUMIFS([1]!Data_BS[Value],[1]!Data_BS[Index BS],'Dai Loc'!$B46,[1]!Data_BS[TenCongTyID],'Dai Loc'!$B$1,[1]!Data_BS[Thang.Nam],'Dai Loc'!AL$5)</f>
        <v>0</v>
      </c>
    </row>
    <row r="47" spans="1:38" ht="15" hidden="1" customHeight="1" outlineLevel="1">
      <c r="A47" s="72" t="s">
        <v>131</v>
      </c>
      <c r="B47" s="65">
        <v>42</v>
      </c>
      <c r="C47" s="233">
        <v>24589118888</v>
      </c>
      <c r="D47" s="233">
        <v>24097649731</v>
      </c>
      <c r="E47" s="233">
        <v>23606180574</v>
      </c>
      <c r="F47" s="233">
        <v>25989829935</v>
      </c>
      <c r="G47" s="233">
        <v>25842957292</v>
      </c>
      <c r="H47" s="233">
        <v>25329989646</v>
      </c>
      <c r="I47" s="233">
        <v>24911250754</v>
      </c>
      <c r="J47" s="233">
        <v>24620336861</v>
      </c>
      <c r="K47" s="233">
        <v>24061922966</v>
      </c>
      <c r="L47" s="233">
        <v>23884699432</v>
      </c>
      <c r="M47" s="233">
        <v>23318344072</v>
      </c>
      <c r="N47" s="234">
        <v>22792988713</v>
      </c>
      <c r="O47" s="234">
        <v>22949493365</v>
      </c>
      <c r="P47" s="234">
        <v>22370430295</v>
      </c>
      <c r="Q47" s="234">
        <v>21791367229</v>
      </c>
      <c r="R47" s="234">
        <v>22214369221</v>
      </c>
      <c r="S47" s="234">
        <v>21627181150</v>
      </c>
      <c r="T47" s="234">
        <v>20332134810</v>
      </c>
      <c r="U47" s="234">
        <v>22250279955</v>
      </c>
      <c r="V47" s="234">
        <v>21633216292</v>
      </c>
      <c r="W47" s="234">
        <f>+SUM(W48:W49)</f>
        <v>21016152636</v>
      </c>
      <c r="X47" s="234">
        <v>20399088974</v>
      </c>
      <c r="Y47" s="234">
        <v>19782025318</v>
      </c>
      <c r="Z47" s="234">
        <v>19222961658</v>
      </c>
      <c r="AA47" s="234">
        <f>SUMIFS([1]!Data_BS[Value],[1]!Data_BS[Index BS],'Dai Loc'!$B47,[1]!Data_BS[TenCongTyID],'Dai Loc'!$B$1,[1]!Data_BS[Thang.Nam],'Dai Loc'!AA$5)</f>
        <v>0</v>
      </c>
      <c r="AB47" s="234">
        <f>SUMIFS([1]!Data_BS[Value],[1]!Data_BS[Index BS],'Dai Loc'!$B47,[1]!Data_BS[TenCongTyID],'Dai Loc'!$B$1,[1]!Data_BS[Thang.Nam],'Dai Loc'!AB$5)</f>
        <v>0</v>
      </c>
      <c r="AC47" s="234">
        <f>SUMIFS([1]!Data_BS[Value],[1]!Data_BS[Index BS],'Dai Loc'!$B47,[1]!Data_BS[TenCongTyID],'Dai Loc'!$B$1,[1]!Data_BS[Thang.Nam],'Dai Loc'!AC$5)</f>
        <v>0</v>
      </c>
      <c r="AD47" s="234">
        <f>SUMIFS([1]!Data_BS[Value],[1]!Data_BS[Index BS],'Dai Loc'!$B47,[1]!Data_BS[TenCongTyID],'Dai Loc'!$B$1,[1]!Data_BS[Thang.Nam],'Dai Loc'!AD$5)</f>
        <v>0</v>
      </c>
      <c r="AE47" s="234">
        <f>SUMIFS([1]!Data_BS[Value],[1]!Data_BS[Index BS],'Dai Loc'!$B47,[1]!Data_BS[TenCongTyID],'Dai Loc'!$B$1,[1]!Data_BS[Thang.Nam],'Dai Loc'!AE$5)</f>
        <v>0</v>
      </c>
      <c r="AF47" s="234">
        <f>SUMIFS([1]!Data_BS[Value],[1]!Data_BS[Index BS],'Dai Loc'!$B47,[1]!Data_BS[TenCongTyID],'Dai Loc'!$B$1,[1]!Data_BS[Thang.Nam],'Dai Loc'!AF$5)</f>
        <v>0</v>
      </c>
      <c r="AG47" s="234">
        <f>SUMIFS([1]!Data_BS[Value],[1]!Data_BS[Index BS],'Dai Loc'!$B47,[1]!Data_BS[TenCongTyID],'Dai Loc'!$B$1,[1]!Data_BS[Thang.Nam],'Dai Loc'!AG$5)</f>
        <v>0</v>
      </c>
      <c r="AH47" s="234">
        <f>SUMIFS([1]!Data_BS[Value],[1]!Data_BS[Index BS],'Dai Loc'!$B47,[1]!Data_BS[TenCongTyID],'Dai Loc'!$B$1,[1]!Data_BS[Thang.Nam],'Dai Loc'!AH$5)</f>
        <v>0</v>
      </c>
      <c r="AI47" s="234">
        <f>SUMIFS([1]!Data_BS[Value],[1]!Data_BS[Index BS],'Dai Loc'!$B47,[1]!Data_BS[TenCongTyID],'Dai Loc'!$B$1,[1]!Data_BS[Thang.Nam],'Dai Loc'!AI$5)</f>
        <v>0</v>
      </c>
      <c r="AJ47" s="234">
        <f>SUMIFS([1]!Data_BS[Value],[1]!Data_BS[Index BS],'Dai Loc'!$B47,[1]!Data_BS[TenCongTyID],'Dai Loc'!$B$1,[1]!Data_BS[Thang.Nam],'Dai Loc'!AJ$5)</f>
        <v>0</v>
      </c>
      <c r="AK47" s="234">
        <f>SUMIFS([1]!Data_BS[Value],[1]!Data_BS[Index BS],'Dai Loc'!$B47,[1]!Data_BS[TenCongTyID],'Dai Loc'!$B$1,[1]!Data_BS[Thang.Nam],'Dai Loc'!AK$5)</f>
        <v>0</v>
      </c>
      <c r="AL47" s="234">
        <f>SUMIFS([1]!Data_BS[Value],[1]!Data_BS[Index BS],'Dai Loc'!$B47,[1]!Data_BS[TenCongTyID],'Dai Loc'!$B$1,[1]!Data_BS[Thang.Nam],'Dai Loc'!AL$5)</f>
        <v>0</v>
      </c>
    </row>
    <row r="48" spans="1:38" ht="15" hidden="1" customHeight="1" outlineLevel="1">
      <c r="A48" s="73" t="s">
        <v>132</v>
      </c>
      <c r="B48" s="63">
        <v>43</v>
      </c>
      <c r="C48" s="229">
        <v>28987796607</v>
      </c>
      <c r="D48" s="229">
        <v>28987796607</v>
      </c>
      <c r="E48" s="229">
        <v>28987796607</v>
      </c>
      <c r="F48" s="229">
        <v>31911645948</v>
      </c>
      <c r="G48" s="229">
        <v>32315720948</v>
      </c>
      <c r="H48" s="229">
        <v>32353700948</v>
      </c>
      <c r="I48" s="229">
        <v>32486700948</v>
      </c>
      <c r="J48" s="229">
        <v>32754200948</v>
      </c>
      <c r="K48" s="229">
        <v>32754200948</v>
      </c>
      <c r="L48" s="229">
        <v>33143332773</v>
      </c>
      <c r="M48" s="229">
        <v>33143332773</v>
      </c>
      <c r="N48" s="229">
        <v>33184332773</v>
      </c>
      <c r="O48" s="229">
        <v>33921758270</v>
      </c>
      <c r="P48" s="229">
        <v>33921758270</v>
      </c>
      <c r="Q48" s="229">
        <v>33921758270</v>
      </c>
      <c r="R48" s="229">
        <v>34931948329</v>
      </c>
      <c r="S48" s="229">
        <v>34931948329</v>
      </c>
      <c r="T48" s="229">
        <v>33539283529</v>
      </c>
      <c r="U48" s="229">
        <v>36032931529</v>
      </c>
      <c r="V48" s="229">
        <v>36032931529</v>
      </c>
      <c r="W48" s="229">
        <v>36032931529</v>
      </c>
      <c r="X48" s="229">
        <v>36032931529</v>
      </c>
      <c r="Y48" s="229">
        <v>36032931529</v>
      </c>
      <c r="Z48" s="229">
        <v>36090931529</v>
      </c>
      <c r="AA48" s="229">
        <f>SUMIFS([1]!Data_BS[Value],[1]!Data_BS[Index BS],'Dai Loc'!$B48,[1]!Data_BS[TenCongTyID],'Dai Loc'!$B$1,[1]!Data_BS[Thang.Nam],'Dai Loc'!AA$5)</f>
        <v>0</v>
      </c>
      <c r="AB48" s="229">
        <f>SUMIFS([1]!Data_BS[Value],[1]!Data_BS[Index BS],'Dai Loc'!$B48,[1]!Data_BS[TenCongTyID],'Dai Loc'!$B$1,[1]!Data_BS[Thang.Nam],'Dai Loc'!AB$5)</f>
        <v>0</v>
      </c>
      <c r="AC48" s="229">
        <f>SUMIFS([1]!Data_BS[Value],[1]!Data_BS[Index BS],'Dai Loc'!$B48,[1]!Data_BS[TenCongTyID],'Dai Loc'!$B$1,[1]!Data_BS[Thang.Nam],'Dai Loc'!AC$5)</f>
        <v>0</v>
      </c>
      <c r="AD48" s="229">
        <f>SUMIFS([1]!Data_BS[Value],[1]!Data_BS[Index BS],'Dai Loc'!$B48,[1]!Data_BS[TenCongTyID],'Dai Loc'!$B$1,[1]!Data_BS[Thang.Nam],'Dai Loc'!AD$5)</f>
        <v>0</v>
      </c>
      <c r="AE48" s="229">
        <f>SUMIFS([1]!Data_BS[Value],[1]!Data_BS[Index BS],'Dai Loc'!$B48,[1]!Data_BS[TenCongTyID],'Dai Loc'!$B$1,[1]!Data_BS[Thang.Nam],'Dai Loc'!AE$5)</f>
        <v>0</v>
      </c>
      <c r="AF48" s="229">
        <f>SUMIFS([1]!Data_BS[Value],[1]!Data_BS[Index BS],'Dai Loc'!$B48,[1]!Data_BS[TenCongTyID],'Dai Loc'!$B$1,[1]!Data_BS[Thang.Nam],'Dai Loc'!AF$5)</f>
        <v>0</v>
      </c>
      <c r="AG48" s="229">
        <f>SUMIFS([1]!Data_BS[Value],[1]!Data_BS[Index BS],'Dai Loc'!$B48,[1]!Data_BS[TenCongTyID],'Dai Loc'!$B$1,[1]!Data_BS[Thang.Nam],'Dai Loc'!AG$5)</f>
        <v>0</v>
      </c>
      <c r="AH48" s="229">
        <f>SUMIFS([1]!Data_BS[Value],[1]!Data_BS[Index BS],'Dai Loc'!$B48,[1]!Data_BS[TenCongTyID],'Dai Loc'!$B$1,[1]!Data_BS[Thang.Nam],'Dai Loc'!AH$5)</f>
        <v>0</v>
      </c>
      <c r="AI48" s="229">
        <f>SUMIFS([1]!Data_BS[Value],[1]!Data_BS[Index BS],'Dai Loc'!$B48,[1]!Data_BS[TenCongTyID],'Dai Loc'!$B$1,[1]!Data_BS[Thang.Nam],'Dai Loc'!AI$5)</f>
        <v>0</v>
      </c>
      <c r="AJ48" s="229">
        <f>SUMIFS([1]!Data_BS[Value],[1]!Data_BS[Index BS],'Dai Loc'!$B48,[1]!Data_BS[TenCongTyID],'Dai Loc'!$B$1,[1]!Data_BS[Thang.Nam],'Dai Loc'!AJ$5)</f>
        <v>0</v>
      </c>
      <c r="AK48" s="229">
        <f>SUMIFS([1]!Data_BS[Value],[1]!Data_BS[Index BS],'Dai Loc'!$B48,[1]!Data_BS[TenCongTyID],'Dai Loc'!$B$1,[1]!Data_BS[Thang.Nam],'Dai Loc'!AK$5)</f>
        <v>0</v>
      </c>
      <c r="AL48" s="229">
        <f>SUMIFS([1]!Data_BS[Value],[1]!Data_BS[Index BS],'Dai Loc'!$B48,[1]!Data_BS[TenCongTyID],'Dai Loc'!$B$1,[1]!Data_BS[Thang.Nam],'Dai Loc'!AL$5)</f>
        <v>0</v>
      </c>
    </row>
    <row r="49" spans="1:38" ht="15" hidden="1" customHeight="1" outlineLevel="1">
      <c r="A49" s="73" t="s">
        <v>133</v>
      </c>
      <c r="B49" s="63">
        <v>44</v>
      </c>
      <c r="C49" s="229">
        <v>-4398677719</v>
      </c>
      <c r="D49" s="229">
        <v>-4890146876</v>
      </c>
      <c r="E49" s="229">
        <v>-5381616033</v>
      </c>
      <c r="F49" s="229">
        <v>-5921816013</v>
      </c>
      <c r="G49" s="229">
        <v>-6472763656</v>
      </c>
      <c r="H49" s="229">
        <v>-7023711302</v>
      </c>
      <c r="I49" s="229">
        <v>-7575450194</v>
      </c>
      <c r="J49" s="229">
        <v>-8133864087</v>
      </c>
      <c r="K49" s="229">
        <v>-8692277982</v>
      </c>
      <c r="L49" s="229">
        <v>-9258633341</v>
      </c>
      <c r="M49" s="229">
        <v>-9824988701</v>
      </c>
      <c r="N49" s="229">
        <v>-10391344060</v>
      </c>
      <c r="O49" s="229">
        <v>-10972264905</v>
      </c>
      <c r="P49" s="229">
        <v>-11551327975</v>
      </c>
      <c r="Q49" s="229">
        <v>-12130391041</v>
      </c>
      <c r="R49" s="229">
        <v>-12717579108</v>
      </c>
      <c r="S49" s="229">
        <v>-13304767179</v>
      </c>
      <c r="T49" s="229">
        <v>-13207148719</v>
      </c>
      <c r="U49" s="229">
        <v>-13782651574</v>
      </c>
      <c r="V49" s="229">
        <v>-14399715237</v>
      </c>
      <c r="W49" s="229">
        <v>-15016778893</v>
      </c>
      <c r="X49" s="229">
        <v>-15633842555</v>
      </c>
      <c r="Y49" s="229">
        <v>-16250906211</v>
      </c>
      <c r="Z49" s="229">
        <v>-16867969871</v>
      </c>
      <c r="AA49" s="229">
        <f>SUMIFS([1]!Data_BS[Value],[1]!Data_BS[Index BS],'Dai Loc'!$B49,[1]!Data_BS[TenCongTyID],'Dai Loc'!$B$1,[1]!Data_BS[Thang.Nam],'Dai Loc'!AA$5)</f>
        <v>0</v>
      </c>
      <c r="AB49" s="229">
        <f>SUMIFS([1]!Data_BS[Value],[1]!Data_BS[Index BS],'Dai Loc'!$B49,[1]!Data_BS[TenCongTyID],'Dai Loc'!$B$1,[1]!Data_BS[Thang.Nam],'Dai Loc'!AB$5)</f>
        <v>0</v>
      </c>
      <c r="AC49" s="229">
        <f>SUMIFS([1]!Data_BS[Value],[1]!Data_BS[Index BS],'Dai Loc'!$B49,[1]!Data_BS[TenCongTyID],'Dai Loc'!$B$1,[1]!Data_BS[Thang.Nam],'Dai Loc'!AC$5)</f>
        <v>0</v>
      </c>
      <c r="AD49" s="229">
        <f>SUMIFS([1]!Data_BS[Value],[1]!Data_BS[Index BS],'Dai Loc'!$B49,[1]!Data_BS[TenCongTyID],'Dai Loc'!$B$1,[1]!Data_BS[Thang.Nam],'Dai Loc'!AD$5)</f>
        <v>0</v>
      </c>
      <c r="AE49" s="229">
        <f>SUMIFS([1]!Data_BS[Value],[1]!Data_BS[Index BS],'Dai Loc'!$B49,[1]!Data_BS[TenCongTyID],'Dai Loc'!$B$1,[1]!Data_BS[Thang.Nam],'Dai Loc'!AE$5)</f>
        <v>0</v>
      </c>
      <c r="AF49" s="229">
        <f>SUMIFS([1]!Data_BS[Value],[1]!Data_BS[Index BS],'Dai Loc'!$B49,[1]!Data_BS[TenCongTyID],'Dai Loc'!$B$1,[1]!Data_BS[Thang.Nam],'Dai Loc'!AF$5)</f>
        <v>0</v>
      </c>
      <c r="AG49" s="229">
        <f>SUMIFS([1]!Data_BS[Value],[1]!Data_BS[Index BS],'Dai Loc'!$B49,[1]!Data_BS[TenCongTyID],'Dai Loc'!$B$1,[1]!Data_BS[Thang.Nam],'Dai Loc'!AG$5)</f>
        <v>0</v>
      </c>
      <c r="AH49" s="229">
        <f>SUMIFS([1]!Data_BS[Value],[1]!Data_BS[Index BS],'Dai Loc'!$B49,[1]!Data_BS[TenCongTyID],'Dai Loc'!$B$1,[1]!Data_BS[Thang.Nam],'Dai Loc'!AH$5)</f>
        <v>0</v>
      </c>
      <c r="AI49" s="229">
        <f>SUMIFS([1]!Data_BS[Value],[1]!Data_BS[Index BS],'Dai Loc'!$B49,[1]!Data_BS[TenCongTyID],'Dai Loc'!$B$1,[1]!Data_BS[Thang.Nam],'Dai Loc'!AI$5)</f>
        <v>0</v>
      </c>
      <c r="AJ49" s="229">
        <f>SUMIFS([1]!Data_BS[Value],[1]!Data_BS[Index BS],'Dai Loc'!$B49,[1]!Data_BS[TenCongTyID],'Dai Loc'!$B$1,[1]!Data_BS[Thang.Nam],'Dai Loc'!AJ$5)</f>
        <v>0</v>
      </c>
      <c r="AK49" s="229">
        <f>SUMIFS([1]!Data_BS[Value],[1]!Data_BS[Index BS],'Dai Loc'!$B49,[1]!Data_BS[TenCongTyID],'Dai Loc'!$B$1,[1]!Data_BS[Thang.Nam],'Dai Loc'!AK$5)</f>
        <v>0</v>
      </c>
      <c r="AL49" s="229">
        <f>SUMIFS([1]!Data_BS[Value],[1]!Data_BS[Index BS],'Dai Loc'!$B49,[1]!Data_BS[TenCongTyID],'Dai Loc'!$B$1,[1]!Data_BS[Thang.Nam],'Dai Loc'!AL$5)</f>
        <v>0</v>
      </c>
    </row>
    <row r="50" spans="1:38" ht="15" hidden="1" customHeight="1" outlineLevel="1">
      <c r="A50" s="72" t="s">
        <v>134</v>
      </c>
      <c r="B50" s="65">
        <v>45</v>
      </c>
      <c r="C50" s="233">
        <v>0</v>
      </c>
      <c r="D50" s="233">
        <v>0</v>
      </c>
      <c r="E50" s="233">
        <v>0</v>
      </c>
      <c r="F50" s="233">
        <v>0</v>
      </c>
      <c r="G50" s="233">
        <v>0</v>
      </c>
      <c r="H50" s="233">
        <v>0</v>
      </c>
      <c r="I50" s="233">
        <v>0</v>
      </c>
      <c r="J50" s="233">
        <v>0</v>
      </c>
      <c r="K50" s="233">
        <v>0</v>
      </c>
      <c r="L50" s="233">
        <v>0</v>
      </c>
      <c r="M50" s="233">
        <v>0</v>
      </c>
      <c r="N50" s="234">
        <v>0</v>
      </c>
      <c r="O50" s="234">
        <v>0</v>
      </c>
      <c r="P50" s="234">
        <v>0</v>
      </c>
      <c r="Q50" s="234">
        <v>0</v>
      </c>
      <c r="R50" s="234">
        <v>0</v>
      </c>
      <c r="S50" s="234">
        <v>0</v>
      </c>
      <c r="T50" s="234">
        <v>0</v>
      </c>
      <c r="U50" s="234">
        <v>0</v>
      </c>
      <c r="V50" s="234">
        <v>0</v>
      </c>
      <c r="W50" s="234"/>
      <c r="X50" s="234">
        <v>0</v>
      </c>
      <c r="Y50" s="234">
        <v>0</v>
      </c>
      <c r="Z50" s="234">
        <v>0</v>
      </c>
      <c r="AA50" s="234">
        <f>SUMIFS([1]!Data_BS[Value],[1]!Data_BS[Index BS],'Dai Loc'!$B50,[1]!Data_BS[TenCongTyID],'Dai Loc'!$B$1,[1]!Data_BS[Thang.Nam],'Dai Loc'!AA$5)</f>
        <v>0</v>
      </c>
      <c r="AB50" s="234">
        <f>SUMIFS([1]!Data_BS[Value],[1]!Data_BS[Index BS],'Dai Loc'!$B50,[1]!Data_BS[TenCongTyID],'Dai Loc'!$B$1,[1]!Data_BS[Thang.Nam],'Dai Loc'!AB$5)</f>
        <v>0</v>
      </c>
      <c r="AC50" s="234">
        <f>SUMIFS([1]!Data_BS[Value],[1]!Data_BS[Index BS],'Dai Loc'!$B50,[1]!Data_BS[TenCongTyID],'Dai Loc'!$B$1,[1]!Data_BS[Thang.Nam],'Dai Loc'!AC$5)</f>
        <v>0</v>
      </c>
      <c r="AD50" s="234">
        <f>SUMIFS([1]!Data_BS[Value],[1]!Data_BS[Index BS],'Dai Loc'!$B50,[1]!Data_BS[TenCongTyID],'Dai Loc'!$B$1,[1]!Data_BS[Thang.Nam],'Dai Loc'!AD$5)</f>
        <v>0</v>
      </c>
      <c r="AE50" s="234">
        <f>SUMIFS([1]!Data_BS[Value],[1]!Data_BS[Index BS],'Dai Loc'!$B50,[1]!Data_BS[TenCongTyID],'Dai Loc'!$B$1,[1]!Data_BS[Thang.Nam],'Dai Loc'!AE$5)</f>
        <v>0</v>
      </c>
      <c r="AF50" s="234">
        <f>SUMIFS([1]!Data_BS[Value],[1]!Data_BS[Index BS],'Dai Loc'!$B50,[1]!Data_BS[TenCongTyID],'Dai Loc'!$B$1,[1]!Data_BS[Thang.Nam],'Dai Loc'!AF$5)</f>
        <v>0</v>
      </c>
      <c r="AG50" s="234">
        <f>SUMIFS([1]!Data_BS[Value],[1]!Data_BS[Index BS],'Dai Loc'!$B50,[1]!Data_BS[TenCongTyID],'Dai Loc'!$B$1,[1]!Data_BS[Thang.Nam],'Dai Loc'!AG$5)</f>
        <v>0</v>
      </c>
      <c r="AH50" s="234">
        <f>SUMIFS([1]!Data_BS[Value],[1]!Data_BS[Index BS],'Dai Loc'!$B50,[1]!Data_BS[TenCongTyID],'Dai Loc'!$B$1,[1]!Data_BS[Thang.Nam],'Dai Loc'!AH$5)</f>
        <v>0</v>
      </c>
      <c r="AI50" s="234">
        <f>SUMIFS([1]!Data_BS[Value],[1]!Data_BS[Index BS],'Dai Loc'!$B50,[1]!Data_BS[TenCongTyID],'Dai Loc'!$B$1,[1]!Data_BS[Thang.Nam],'Dai Loc'!AI$5)</f>
        <v>0</v>
      </c>
      <c r="AJ50" s="234">
        <f>SUMIFS([1]!Data_BS[Value],[1]!Data_BS[Index BS],'Dai Loc'!$B50,[1]!Data_BS[TenCongTyID],'Dai Loc'!$B$1,[1]!Data_BS[Thang.Nam],'Dai Loc'!AJ$5)</f>
        <v>0</v>
      </c>
      <c r="AK50" s="234">
        <f>SUMIFS([1]!Data_BS[Value],[1]!Data_BS[Index BS],'Dai Loc'!$B50,[1]!Data_BS[TenCongTyID],'Dai Loc'!$B$1,[1]!Data_BS[Thang.Nam],'Dai Loc'!AK$5)</f>
        <v>0</v>
      </c>
      <c r="AL50" s="234">
        <f>SUMIFS([1]!Data_BS[Value],[1]!Data_BS[Index BS],'Dai Loc'!$B50,[1]!Data_BS[TenCongTyID],'Dai Loc'!$B$1,[1]!Data_BS[Thang.Nam],'Dai Loc'!AL$5)</f>
        <v>0</v>
      </c>
    </row>
    <row r="51" spans="1:38" ht="15" hidden="1" customHeight="1" outlineLevel="1">
      <c r="A51" s="73" t="s">
        <v>135</v>
      </c>
      <c r="B51" s="63">
        <v>46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/>
      <c r="X51" s="229">
        <v>0</v>
      </c>
      <c r="Y51" s="229">
        <v>0</v>
      </c>
      <c r="Z51" s="229">
        <v>0</v>
      </c>
      <c r="AA51" s="229">
        <f>SUMIFS([1]!Data_BS[Value],[1]!Data_BS[Index BS],'Dai Loc'!$B51,[1]!Data_BS[TenCongTyID],'Dai Loc'!$B$1,[1]!Data_BS[Thang.Nam],'Dai Loc'!AA$5)</f>
        <v>0</v>
      </c>
      <c r="AB51" s="229">
        <f>SUMIFS([1]!Data_BS[Value],[1]!Data_BS[Index BS],'Dai Loc'!$B51,[1]!Data_BS[TenCongTyID],'Dai Loc'!$B$1,[1]!Data_BS[Thang.Nam],'Dai Loc'!AB$5)</f>
        <v>0</v>
      </c>
      <c r="AC51" s="229">
        <f>SUMIFS([1]!Data_BS[Value],[1]!Data_BS[Index BS],'Dai Loc'!$B51,[1]!Data_BS[TenCongTyID],'Dai Loc'!$B$1,[1]!Data_BS[Thang.Nam],'Dai Loc'!AC$5)</f>
        <v>0</v>
      </c>
      <c r="AD51" s="229">
        <f>SUMIFS([1]!Data_BS[Value],[1]!Data_BS[Index BS],'Dai Loc'!$B51,[1]!Data_BS[TenCongTyID],'Dai Loc'!$B$1,[1]!Data_BS[Thang.Nam],'Dai Loc'!AD$5)</f>
        <v>0</v>
      </c>
      <c r="AE51" s="229">
        <f>SUMIFS([1]!Data_BS[Value],[1]!Data_BS[Index BS],'Dai Loc'!$B51,[1]!Data_BS[TenCongTyID],'Dai Loc'!$B$1,[1]!Data_BS[Thang.Nam],'Dai Loc'!AE$5)</f>
        <v>0</v>
      </c>
      <c r="AF51" s="229">
        <f>SUMIFS([1]!Data_BS[Value],[1]!Data_BS[Index BS],'Dai Loc'!$B51,[1]!Data_BS[TenCongTyID],'Dai Loc'!$B$1,[1]!Data_BS[Thang.Nam],'Dai Loc'!AF$5)</f>
        <v>0</v>
      </c>
      <c r="AG51" s="229">
        <f>SUMIFS([1]!Data_BS[Value],[1]!Data_BS[Index BS],'Dai Loc'!$B51,[1]!Data_BS[TenCongTyID],'Dai Loc'!$B$1,[1]!Data_BS[Thang.Nam],'Dai Loc'!AG$5)</f>
        <v>0</v>
      </c>
      <c r="AH51" s="229">
        <f>SUMIFS([1]!Data_BS[Value],[1]!Data_BS[Index BS],'Dai Loc'!$B51,[1]!Data_BS[TenCongTyID],'Dai Loc'!$B$1,[1]!Data_BS[Thang.Nam],'Dai Loc'!AH$5)</f>
        <v>0</v>
      </c>
      <c r="AI51" s="229">
        <f>SUMIFS([1]!Data_BS[Value],[1]!Data_BS[Index BS],'Dai Loc'!$B51,[1]!Data_BS[TenCongTyID],'Dai Loc'!$B$1,[1]!Data_BS[Thang.Nam],'Dai Loc'!AI$5)</f>
        <v>0</v>
      </c>
      <c r="AJ51" s="229">
        <f>SUMIFS([1]!Data_BS[Value],[1]!Data_BS[Index BS],'Dai Loc'!$B51,[1]!Data_BS[TenCongTyID],'Dai Loc'!$B$1,[1]!Data_BS[Thang.Nam],'Dai Loc'!AJ$5)</f>
        <v>0</v>
      </c>
      <c r="AK51" s="229">
        <f>SUMIFS([1]!Data_BS[Value],[1]!Data_BS[Index BS],'Dai Loc'!$B51,[1]!Data_BS[TenCongTyID],'Dai Loc'!$B$1,[1]!Data_BS[Thang.Nam],'Dai Loc'!AK$5)</f>
        <v>0</v>
      </c>
      <c r="AL51" s="229">
        <f>SUMIFS([1]!Data_BS[Value],[1]!Data_BS[Index BS],'Dai Loc'!$B51,[1]!Data_BS[TenCongTyID],'Dai Loc'!$B$1,[1]!Data_BS[Thang.Nam],'Dai Loc'!AL$5)</f>
        <v>0</v>
      </c>
    </row>
    <row r="52" spans="1:38" ht="15" hidden="1" customHeight="1" outlineLevel="1">
      <c r="A52" s="73" t="s">
        <v>136</v>
      </c>
      <c r="B52" s="63">
        <v>47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/>
      <c r="X52" s="229">
        <v>0</v>
      </c>
      <c r="Y52" s="229">
        <v>0</v>
      </c>
      <c r="Z52" s="229">
        <v>0</v>
      </c>
      <c r="AA52" s="229">
        <f>SUMIFS([1]!Data_BS[Value],[1]!Data_BS[Index BS],'Dai Loc'!$B52,[1]!Data_BS[TenCongTyID],'Dai Loc'!$B$1,[1]!Data_BS[Thang.Nam],'Dai Loc'!AA$5)</f>
        <v>0</v>
      </c>
      <c r="AB52" s="229">
        <f>SUMIFS([1]!Data_BS[Value],[1]!Data_BS[Index BS],'Dai Loc'!$B52,[1]!Data_BS[TenCongTyID],'Dai Loc'!$B$1,[1]!Data_BS[Thang.Nam],'Dai Loc'!AB$5)</f>
        <v>0</v>
      </c>
      <c r="AC52" s="229">
        <f>SUMIFS([1]!Data_BS[Value],[1]!Data_BS[Index BS],'Dai Loc'!$B52,[1]!Data_BS[TenCongTyID],'Dai Loc'!$B$1,[1]!Data_BS[Thang.Nam],'Dai Loc'!AC$5)</f>
        <v>0</v>
      </c>
      <c r="AD52" s="229">
        <f>SUMIFS([1]!Data_BS[Value],[1]!Data_BS[Index BS],'Dai Loc'!$B52,[1]!Data_BS[TenCongTyID],'Dai Loc'!$B$1,[1]!Data_BS[Thang.Nam],'Dai Loc'!AD$5)</f>
        <v>0</v>
      </c>
      <c r="AE52" s="229">
        <f>SUMIFS([1]!Data_BS[Value],[1]!Data_BS[Index BS],'Dai Loc'!$B52,[1]!Data_BS[TenCongTyID],'Dai Loc'!$B$1,[1]!Data_BS[Thang.Nam],'Dai Loc'!AE$5)</f>
        <v>0</v>
      </c>
      <c r="AF52" s="229">
        <f>SUMIFS([1]!Data_BS[Value],[1]!Data_BS[Index BS],'Dai Loc'!$B52,[1]!Data_BS[TenCongTyID],'Dai Loc'!$B$1,[1]!Data_BS[Thang.Nam],'Dai Loc'!AF$5)</f>
        <v>0</v>
      </c>
      <c r="AG52" s="229">
        <f>SUMIFS([1]!Data_BS[Value],[1]!Data_BS[Index BS],'Dai Loc'!$B52,[1]!Data_BS[TenCongTyID],'Dai Loc'!$B$1,[1]!Data_BS[Thang.Nam],'Dai Loc'!AG$5)</f>
        <v>0</v>
      </c>
      <c r="AH52" s="229">
        <f>SUMIFS([1]!Data_BS[Value],[1]!Data_BS[Index BS],'Dai Loc'!$B52,[1]!Data_BS[TenCongTyID],'Dai Loc'!$B$1,[1]!Data_BS[Thang.Nam],'Dai Loc'!AH$5)</f>
        <v>0</v>
      </c>
      <c r="AI52" s="229">
        <f>SUMIFS([1]!Data_BS[Value],[1]!Data_BS[Index BS],'Dai Loc'!$B52,[1]!Data_BS[TenCongTyID],'Dai Loc'!$B$1,[1]!Data_BS[Thang.Nam],'Dai Loc'!AI$5)</f>
        <v>0</v>
      </c>
      <c r="AJ52" s="229">
        <f>SUMIFS([1]!Data_BS[Value],[1]!Data_BS[Index BS],'Dai Loc'!$B52,[1]!Data_BS[TenCongTyID],'Dai Loc'!$B$1,[1]!Data_BS[Thang.Nam],'Dai Loc'!AJ$5)</f>
        <v>0</v>
      </c>
      <c r="AK52" s="229">
        <f>SUMIFS([1]!Data_BS[Value],[1]!Data_BS[Index BS],'Dai Loc'!$B52,[1]!Data_BS[TenCongTyID],'Dai Loc'!$B$1,[1]!Data_BS[Thang.Nam],'Dai Loc'!AK$5)</f>
        <v>0</v>
      </c>
      <c r="AL52" s="229">
        <f>SUMIFS([1]!Data_BS[Value],[1]!Data_BS[Index BS],'Dai Loc'!$B52,[1]!Data_BS[TenCongTyID],'Dai Loc'!$B$1,[1]!Data_BS[Thang.Nam],'Dai Loc'!AL$5)</f>
        <v>0</v>
      </c>
    </row>
    <row r="53" spans="1:38" ht="15" hidden="1" customHeight="1" outlineLevel="1">
      <c r="A53" s="72" t="s">
        <v>137</v>
      </c>
      <c r="B53" s="65">
        <v>48</v>
      </c>
      <c r="C53" s="233">
        <v>315705376</v>
      </c>
      <c r="D53" s="233">
        <v>308530254</v>
      </c>
      <c r="E53" s="233">
        <v>301355131</v>
      </c>
      <c r="F53" s="233">
        <v>294180009</v>
      </c>
      <c r="G53" s="233">
        <v>287004887</v>
      </c>
      <c r="H53" s="233">
        <v>279829765</v>
      </c>
      <c r="I53" s="233">
        <v>272654643</v>
      </c>
      <c r="J53" s="233">
        <v>265479521</v>
      </c>
      <c r="K53" s="233">
        <v>258304398</v>
      </c>
      <c r="L53" s="233">
        <v>251129276</v>
      </c>
      <c r="M53" s="233">
        <v>243954154</v>
      </c>
      <c r="N53" s="234">
        <v>236779032</v>
      </c>
      <c r="O53" s="234">
        <v>229603910</v>
      </c>
      <c r="P53" s="234">
        <v>222428788</v>
      </c>
      <c r="Q53" s="234">
        <v>215253665</v>
      </c>
      <c r="R53" s="234">
        <v>208078543</v>
      </c>
      <c r="S53" s="234">
        <v>200903421</v>
      </c>
      <c r="T53" s="234">
        <v>193728299</v>
      </c>
      <c r="U53" s="234">
        <v>186553177</v>
      </c>
      <c r="V53" s="234">
        <v>179378055</v>
      </c>
      <c r="W53" s="234">
        <f>+SUM(W54:W55)</f>
        <v>172202932</v>
      </c>
      <c r="X53" s="234">
        <v>165027810</v>
      </c>
      <c r="Y53" s="234">
        <v>157852688</v>
      </c>
      <c r="Z53" s="234">
        <v>150677566</v>
      </c>
      <c r="AA53" s="234">
        <f>SUMIFS([1]!Data_BS[Value],[1]!Data_BS[Index BS],'Dai Loc'!$B53,[1]!Data_BS[TenCongTyID],'Dai Loc'!$B$1,[1]!Data_BS[Thang.Nam],'Dai Loc'!AA$5)</f>
        <v>0</v>
      </c>
      <c r="AB53" s="234">
        <f>SUMIFS([1]!Data_BS[Value],[1]!Data_BS[Index BS],'Dai Loc'!$B53,[1]!Data_BS[TenCongTyID],'Dai Loc'!$B$1,[1]!Data_BS[Thang.Nam],'Dai Loc'!AB$5)</f>
        <v>0</v>
      </c>
      <c r="AC53" s="234">
        <f>SUMIFS([1]!Data_BS[Value],[1]!Data_BS[Index BS],'Dai Loc'!$B53,[1]!Data_BS[TenCongTyID],'Dai Loc'!$B$1,[1]!Data_BS[Thang.Nam],'Dai Loc'!AC$5)</f>
        <v>0</v>
      </c>
      <c r="AD53" s="234">
        <f>SUMIFS([1]!Data_BS[Value],[1]!Data_BS[Index BS],'Dai Loc'!$B53,[1]!Data_BS[TenCongTyID],'Dai Loc'!$B$1,[1]!Data_BS[Thang.Nam],'Dai Loc'!AD$5)</f>
        <v>0</v>
      </c>
      <c r="AE53" s="234">
        <f>SUMIFS([1]!Data_BS[Value],[1]!Data_BS[Index BS],'Dai Loc'!$B53,[1]!Data_BS[TenCongTyID],'Dai Loc'!$B$1,[1]!Data_BS[Thang.Nam],'Dai Loc'!AE$5)</f>
        <v>0</v>
      </c>
      <c r="AF53" s="234">
        <f>SUMIFS([1]!Data_BS[Value],[1]!Data_BS[Index BS],'Dai Loc'!$B53,[1]!Data_BS[TenCongTyID],'Dai Loc'!$B$1,[1]!Data_BS[Thang.Nam],'Dai Loc'!AF$5)</f>
        <v>0</v>
      </c>
      <c r="AG53" s="234">
        <f>SUMIFS([1]!Data_BS[Value],[1]!Data_BS[Index BS],'Dai Loc'!$B53,[1]!Data_BS[TenCongTyID],'Dai Loc'!$B$1,[1]!Data_BS[Thang.Nam],'Dai Loc'!AG$5)</f>
        <v>0</v>
      </c>
      <c r="AH53" s="234">
        <f>SUMIFS([1]!Data_BS[Value],[1]!Data_BS[Index BS],'Dai Loc'!$B53,[1]!Data_BS[TenCongTyID],'Dai Loc'!$B$1,[1]!Data_BS[Thang.Nam],'Dai Loc'!AH$5)</f>
        <v>0</v>
      </c>
      <c r="AI53" s="234">
        <f>SUMIFS([1]!Data_BS[Value],[1]!Data_BS[Index BS],'Dai Loc'!$B53,[1]!Data_BS[TenCongTyID],'Dai Loc'!$B$1,[1]!Data_BS[Thang.Nam],'Dai Loc'!AI$5)</f>
        <v>0</v>
      </c>
      <c r="AJ53" s="234">
        <f>SUMIFS([1]!Data_BS[Value],[1]!Data_BS[Index BS],'Dai Loc'!$B53,[1]!Data_BS[TenCongTyID],'Dai Loc'!$B$1,[1]!Data_BS[Thang.Nam],'Dai Loc'!AJ$5)</f>
        <v>0</v>
      </c>
      <c r="AK53" s="234">
        <f>SUMIFS([1]!Data_BS[Value],[1]!Data_BS[Index BS],'Dai Loc'!$B53,[1]!Data_BS[TenCongTyID],'Dai Loc'!$B$1,[1]!Data_BS[Thang.Nam],'Dai Loc'!AK$5)</f>
        <v>0</v>
      </c>
      <c r="AL53" s="234">
        <f>SUMIFS([1]!Data_BS[Value],[1]!Data_BS[Index BS],'Dai Loc'!$B53,[1]!Data_BS[TenCongTyID],'Dai Loc'!$B$1,[1]!Data_BS[Thang.Nam],'Dai Loc'!AL$5)</f>
        <v>0</v>
      </c>
    </row>
    <row r="54" spans="1:38" ht="15" hidden="1" customHeight="1" outlineLevel="1">
      <c r="A54" s="73" t="s">
        <v>138</v>
      </c>
      <c r="B54" s="63">
        <v>49</v>
      </c>
      <c r="C54" s="229">
        <v>430507331</v>
      </c>
      <c r="D54" s="229">
        <v>430507331</v>
      </c>
      <c r="E54" s="229">
        <v>430507331</v>
      </c>
      <c r="F54" s="229">
        <v>430507331</v>
      </c>
      <c r="G54" s="229">
        <v>430507331</v>
      </c>
      <c r="H54" s="229">
        <v>430507331</v>
      </c>
      <c r="I54" s="229">
        <v>430507331</v>
      </c>
      <c r="J54" s="229">
        <v>430507331</v>
      </c>
      <c r="K54" s="229">
        <v>430507331</v>
      </c>
      <c r="L54" s="229">
        <v>430507331</v>
      </c>
      <c r="M54" s="229">
        <v>430507331</v>
      </c>
      <c r="N54" s="229">
        <v>430507331</v>
      </c>
      <c r="O54" s="229">
        <v>430507331</v>
      </c>
      <c r="P54" s="229">
        <v>430507331</v>
      </c>
      <c r="Q54" s="229">
        <v>430507331</v>
      </c>
      <c r="R54" s="229">
        <v>430507331</v>
      </c>
      <c r="S54" s="229">
        <v>430507331</v>
      </c>
      <c r="T54" s="229">
        <v>430507331</v>
      </c>
      <c r="U54" s="229">
        <v>430507331</v>
      </c>
      <c r="V54" s="229">
        <v>430507331</v>
      </c>
      <c r="W54" s="229">
        <v>430507331</v>
      </c>
      <c r="X54" s="229">
        <v>430507331</v>
      </c>
      <c r="Y54" s="229">
        <v>430507331</v>
      </c>
      <c r="Z54" s="229">
        <v>430507331</v>
      </c>
      <c r="AA54" s="229">
        <f>SUMIFS([1]!Data_BS[Value],[1]!Data_BS[Index BS],'Dai Loc'!$B54,[1]!Data_BS[TenCongTyID],'Dai Loc'!$B$1,[1]!Data_BS[Thang.Nam],'Dai Loc'!AA$5)</f>
        <v>0</v>
      </c>
      <c r="AB54" s="229">
        <f>SUMIFS([1]!Data_BS[Value],[1]!Data_BS[Index BS],'Dai Loc'!$B54,[1]!Data_BS[TenCongTyID],'Dai Loc'!$B$1,[1]!Data_BS[Thang.Nam],'Dai Loc'!AB$5)</f>
        <v>0</v>
      </c>
      <c r="AC54" s="229">
        <f>SUMIFS([1]!Data_BS[Value],[1]!Data_BS[Index BS],'Dai Loc'!$B54,[1]!Data_BS[TenCongTyID],'Dai Loc'!$B$1,[1]!Data_BS[Thang.Nam],'Dai Loc'!AC$5)</f>
        <v>0</v>
      </c>
      <c r="AD54" s="229">
        <f>SUMIFS([1]!Data_BS[Value],[1]!Data_BS[Index BS],'Dai Loc'!$B54,[1]!Data_BS[TenCongTyID],'Dai Loc'!$B$1,[1]!Data_BS[Thang.Nam],'Dai Loc'!AD$5)</f>
        <v>0</v>
      </c>
      <c r="AE54" s="229">
        <f>SUMIFS([1]!Data_BS[Value],[1]!Data_BS[Index BS],'Dai Loc'!$B54,[1]!Data_BS[TenCongTyID],'Dai Loc'!$B$1,[1]!Data_BS[Thang.Nam],'Dai Loc'!AE$5)</f>
        <v>0</v>
      </c>
      <c r="AF54" s="229">
        <f>SUMIFS([1]!Data_BS[Value],[1]!Data_BS[Index BS],'Dai Loc'!$B54,[1]!Data_BS[TenCongTyID],'Dai Loc'!$B$1,[1]!Data_BS[Thang.Nam],'Dai Loc'!AF$5)</f>
        <v>0</v>
      </c>
      <c r="AG54" s="229">
        <f>SUMIFS([1]!Data_BS[Value],[1]!Data_BS[Index BS],'Dai Loc'!$B54,[1]!Data_BS[TenCongTyID],'Dai Loc'!$B$1,[1]!Data_BS[Thang.Nam],'Dai Loc'!AG$5)</f>
        <v>0</v>
      </c>
      <c r="AH54" s="229">
        <f>SUMIFS([1]!Data_BS[Value],[1]!Data_BS[Index BS],'Dai Loc'!$B54,[1]!Data_BS[TenCongTyID],'Dai Loc'!$B$1,[1]!Data_BS[Thang.Nam],'Dai Loc'!AH$5)</f>
        <v>0</v>
      </c>
      <c r="AI54" s="229">
        <f>SUMIFS([1]!Data_BS[Value],[1]!Data_BS[Index BS],'Dai Loc'!$B54,[1]!Data_BS[TenCongTyID],'Dai Loc'!$B$1,[1]!Data_BS[Thang.Nam],'Dai Loc'!AI$5)</f>
        <v>0</v>
      </c>
      <c r="AJ54" s="229">
        <f>SUMIFS([1]!Data_BS[Value],[1]!Data_BS[Index BS],'Dai Loc'!$B54,[1]!Data_BS[TenCongTyID],'Dai Loc'!$B$1,[1]!Data_BS[Thang.Nam],'Dai Loc'!AJ$5)</f>
        <v>0</v>
      </c>
      <c r="AK54" s="229">
        <f>SUMIFS([1]!Data_BS[Value],[1]!Data_BS[Index BS],'Dai Loc'!$B54,[1]!Data_BS[TenCongTyID],'Dai Loc'!$B$1,[1]!Data_BS[Thang.Nam],'Dai Loc'!AK$5)</f>
        <v>0</v>
      </c>
      <c r="AL54" s="229">
        <f>SUMIFS([1]!Data_BS[Value],[1]!Data_BS[Index BS],'Dai Loc'!$B54,[1]!Data_BS[TenCongTyID],'Dai Loc'!$B$1,[1]!Data_BS[Thang.Nam],'Dai Loc'!AL$5)</f>
        <v>0</v>
      </c>
    </row>
    <row r="55" spans="1:38" ht="15" hidden="1" customHeight="1" outlineLevel="1">
      <c r="A55" s="73" t="s">
        <v>139</v>
      </c>
      <c r="B55" s="63">
        <v>50</v>
      </c>
      <c r="C55" s="229">
        <v>-114801955</v>
      </c>
      <c r="D55" s="229">
        <v>-121977077</v>
      </c>
      <c r="E55" s="229">
        <v>-129152200</v>
      </c>
      <c r="F55" s="229">
        <v>-136327322</v>
      </c>
      <c r="G55" s="229">
        <v>-143502444</v>
      </c>
      <c r="H55" s="229">
        <v>-150677566</v>
      </c>
      <c r="I55" s="229">
        <v>-157852688</v>
      </c>
      <c r="J55" s="229">
        <v>-165027810</v>
      </c>
      <c r="K55" s="229">
        <v>-172202933</v>
      </c>
      <c r="L55" s="229">
        <v>-179378055</v>
      </c>
      <c r="M55" s="229">
        <v>-186553177</v>
      </c>
      <c r="N55" s="229">
        <v>-193728299</v>
      </c>
      <c r="O55" s="229">
        <v>-200903421</v>
      </c>
      <c r="P55" s="229">
        <v>-208078543</v>
      </c>
      <c r="Q55" s="229">
        <v>-215253666</v>
      </c>
      <c r="R55" s="229">
        <v>-222428788</v>
      </c>
      <c r="S55" s="229">
        <v>-229603910</v>
      </c>
      <c r="T55" s="229">
        <v>-236779032</v>
      </c>
      <c r="U55" s="229">
        <v>-243954154</v>
      </c>
      <c r="V55" s="229">
        <v>-251129276</v>
      </c>
      <c r="W55" s="229">
        <v>-258304399</v>
      </c>
      <c r="X55" s="229">
        <v>-265479521</v>
      </c>
      <c r="Y55" s="229">
        <v>-272654643</v>
      </c>
      <c r="Z55" s="229">
        <v>-279829765</v>
      </c>
      <c r="AA55" s="229">
        <f>SUMIFS([1]!Data_BS[Value],[1]!Data_BS[Index BS],'Dai Loc'!$B55,[1]!Data_BS[TenCongTyID],'Dai Loc'!$B$1,[1]!Data_BS[Thang.Nam],'Dai Loc'!AA$5)</f>
        <v>0</v>
      </c>
      <c r="AB55" s="229">
        <f>SUMIFS([1]!Data_BS[Value],[1]!Data_BS[Index BS],'Dai Loc'!$B55,[1]!Data_BS[TenCongTyID],'Dai Loc'!$B$1,[1]!Data_BS[Thang.Nam],'Dai Loc'!AB$5)</f>
        <v>0</v>
      </c>
      <c r="AC55" s="229">
        <f>SUMIFS([1]!Data_BS[Value],[1]!Data_BS[Index BS],'Dai Loc'!$B55,[1]!Data_BS[TenCongTyID],'Dai Loc'!$B$1,[1]!Data_BS[Thang.Nam],'Dai Loc'!AC$5)</f>
        <v>0</v>
      </c>
      <c r="AD55" s="229">
        <f>SUMIFS([1]!Data_BS[Value],[1]!Data_BS[Index BS],'Dai Loc'!$B55,[1]!Data_BS[TenCongTyID],'Dai Loc'!$B$1,[1]!Data_BS[Thang.Nam],'Dai Loc'!AD$5)</f>
        <v>0</v>
      </c>
      <c r="AE55" s="229">
        <f>SUMIFS([1]!Data_BS[Value],[1]!Data_BS[Index BS],'Dai Loc'!$B55,[1]!Data_BS[TenCongTyID],'Dai Loc'!$B$1,[1]!Data_BS[Thang.Nam],'Dai Loc'!AE$5)</f>
        <v>0</v>
      </c>
      <c r="AF55" s="229">
        <f>SUMIFS([1]!Data_BS[Value],[1]!Data_BS[Index BS],'Dai Loc'!$B55,[1]!Data_BS[TenCongTyID],'Dai Loc'!$B$1,[1]!Data_BS[Thang.Nam],'Dai Loc'!AF$5)</f>
        <v>0</v>
      </c>
      <c r="AG55" s="229">
        <f>SUMIFS([1]!Data_BS[Value],[1]!Data_BS[Index BS],'Dai Loc'!$B55,[1]!Data_BS[TenCongTyID],'Dai Loc'!$B$1,[1]!Data_BS[Thang.Nam],'Dai Loc'!AG$5)</f>
        <v>0</v>
      </c>
      <c r="AH55" s="229">
        <f>SUMIFS([1]!Data_BS[Value],[1]!Data_BS[Index BS],'Dai Loc'!$B55,[1]!Data_BS[TenCongTyID],'Dai Loc'!$B$1,[1]!Data_BS[Thang.Nam],'Dai Loc'!AH$5)</f>
        <v>0</v>
      </c>
      <c r="AI55" s="229">
        <f>SUMIFS([1]!Data_BS[Value],[1]!Data_BS[Index BS],'Dai Loc'!$B55,[1]!Data_BS[TenCongTyID],'Dai Loc'!$B$1,[1]!Data_BS[Thang.Nam],'Dai Loc'!AI$5)</f>
        <v>0</v>
      </c>
      <c r="AJ55" s="229">
        <f>SUMIFS([1]!Data_BS[Value],[1]!Data_BS[Index BS],'Dai Loc'!$B55,[1]!Data_BS[TenCongTyID],'Dai Loc'!$B$1,[1]!Data_BS[Thang.Nam],'Dai Loc'!AJ$5)</f>
        <v>0</v>
      </c>
      <c r="AK55" s="229">
        <f>SUMIFS([1]!Data_BS[Value],[1]!Data_BS[Index BS],'Dai Loc'!$B55,[1]!Data_BS[TenCongTyID],'Dai Loc'!$B$1,[1]!Data_BS[Thang.Nam],'Dai Loc'!AK$5)</f>
        <v>0</v>
      </c>
      <c r="AL55" s="229">
        <f>SUMIFS([1]!Data_BS[Value],[1]!Data_BS[Index BS],'Dai Loc'!$B55,[1]!Data_BS[TenCongTyID],'Dai Loc'!$B$1,[1]!Data_BS[Thang.Nam],'Dai Loc'!AL$5)</f>
        <v>0</v>
      </c>
    </row>
    <row r="56" spans="1:38" ht="15" hidden="1" customHeight="1" outlineLevel="1">
      <c r="A56" s="72" t="s">
        <v>140</v>
      </c>
      <c r="B56" s="65">
        <v>51</v>
      </c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>
        <v>0</v>
      </c>
      <c r="AA56" s="229">
        <f>SUMIFS([1]!Data_BS[Value],[1]!Data_BS[Index BS],'Dai Loc'!$B56,[1]!Data_BS[TenCongTyID],'Dai Loc'!$B$1,[1]!Data_BS[Thang.Nam],'Dai Loc'!AA$5)</f>
        <v>0</v>
      </c>
      <c r="AB56" s="229">
        <f>SUMIFS([1]!Data_BS[Value],[1]!Data_BS[Index BS],'Dai Loc'!$B56,[1]!Data_BS[TenCongTyID],'Dai Loc'!$B$1,[1]!Data_BS[Thang.Nam],'Dai Loc'!AB$5)</f>
        <v>0</v>
      </c>
      <c r="AC56" s="229">
        <f>SUMIFS([1]!Data_BS[Value],[1]!Data_BS[Index BS],'Dai Loc'!$B56,[1]!Data_BS[TenCongTyID],'Dai Loc'!$B$1,[1]!Data_BS[Thang.Nam],'Dai Loc'!AC$5)</f>
        <v>0</v>
      </c>
      <c r="AD56" s="229">
        <f>SUMIFS([1]!Data_BS[Value],[1]!Data_BS[Index BS],'Dai Loc'!$B56,[1]!Data_BS[TenCongTyID],'Dai Loc'!$B$1,[1]!Data_BS[Thang.Nam],'Dai Loc'!AD$5)</f>
        <v>0</v>
      </c>
      <c r="AE56" s="229">
        <f>SUMIFS([1]!Data_BS[Value],[1]!Data_BS[Index BS],'Dai Loc'!$B56,[1]!Data_BS[TenCongTyID],'Dai Loc'!$B$1,[1]!Data_BS[Thang.Nam],'Dai Loc'!AE$5)</f>
        <v>0</v>
      </c>
      <c r="AF56" s="229">
        <f>SUMIFS([1]!Data_BS[Value],[1]!Data_BS[Index BS],'Dai Loc'!$B56,[1]!Data_BS[TenCongTyID],'Dai Loc'!$B$1,[1]!Data_BS[Thang.Nam],'Dai Loc'!AF$5)</f>
        <v>0</v>
      </c>
      <c r="AG56" s="229">
        <f>SUMIFS([1]!Data_BS[Value],[1]!Data_BS[Index BS],'Dai Loc'!$B56,[1]!Data_BS[TenCongTyID],'Dai Loc'!$B$1,[1]!Data_BS[Thang.Nam],'Dai Loc'!AG$5)</f>
        <v>0</v>
      </c>
      <c r="AH56" s="229">
        <f>SUMIFS([1]!Data_BS[Value],[1]!Data_BS[Index BS],'Dai Loc'!$B56,[1]!Data_BS[TenCongTyID],'Dai Loc'!$B$1,[1]!Data_BS[Thang.Nam],'Dai Loc'!AH$5)</f>
        <v>0</v>
      </c>
      <c r="AI56" s="229">
        <f>SUMIFS([1]!Data_BS[Value],[1]!Data_BS[Index BS],'Dai Loc'!$B56,[1]!Data_BS[TenCongTyID],'Dai Loc'!$B$1,[1]!Data_BS[Thang.Nam],'Dai Loc'!AI$5)</f>
        <v>0</v>
      </c>
      <c r="AJ56" s="229">
        <f>SUMIFS([1]!Data_BS[Value],[1]!Data_BS[Index BS],'Dai Loc'!$B56,[1]!Data_BS[TenCongTyID],'Dai Loc'!$B$1,[1]!Data_BS[Thang.Nam],'Dai Loc'!AJ$5)</f>
        <v>0</v>
      </c>
      <c r="AK56" s="229">
        <f>SUMIFS([1]!Data_BS[Value],[1]!Data_BS[Index BS],'Dai Loc'!$B56,[1]!Data_BS[TenCongTyID],'Dai Loc'!$B$1,[1]!Data_BS[Thang.Nam],'Dai Loc'!AK$5)</f>
        <v>0</v>
      </c>
      <c r="AL56" s="229">
        <f>SUMIFS([1]!Data_BS[Value],[1]!Data_BS[Index BS],'Dai Loc'!$B56,[1]!Data_BS[TenCongTyID],'Dai Loc'!$B$1,[1]!Data_BS[Thang.Nam],'Dai Loc'!AL$5)</f>
        <v>0</v>
      </c>
    </row>
    <row r="57" spans="1:38" ht="15" hidden="1" customHeight="1" outlineLevel="1">
      <c r="A57" s="73" t="s">
        <v>141</v>
      </c>
      <c r="B57" s="63">
        <v>52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>
        <v>0</v>
      </c>
      <c r="AA57" s="229">
        <f>SUMIFS([1]!Data_BS[Value],[1]!Data_BS[Index BS],'Dai Loc'!$B57,[1]!Data_BS[TenCongTyID],'Dai Loc'!$B$1,[1]!Data_BS[Thang.Nam],'Dai Loc'!AA$5)</f>
        <v>0</v>
      </c>
      <c r="AB57" s="229">
        <f>SUMIFS([1]!Data_BS[Value],[1]!Data_BS[Index BS],'Dai Loc'!$B57,[1]!Data_BS[TenCongTyID],'Dai Loc'!$B$1,[1]!Data_BS[Thang.Nam],'Dai Loc'!AB$5)</f>
        <v>0</v>
      </c>
      <c r="AC57" s="229">
        <f>SUMIFS([1]!Data_BS[Value],[1]!Data_BS[Index BS],'Dai Loc'!$B57,[1]!Data_BS[TenCongTyID],'Dai Loc'!$B$1,[1]!Data_BS[Thang.Nam],'Dai Loc'!AC$5)</f>
        <v>0</v>
      </c>
      <c r="AD57" s="229">
        <f>SUMIFS([1]!Data_BS[Value],[1]!Data_BS[Index BS],'Dai Loc'!$B57,[1]!Data_BS[TenCongTyID],'Dai Loc'!$B$1,[1]!Data_BS[Thang.Nam],'Dai Loc'!AD$5)</f>
        <v>0</v>
      </c>
      <c r="AE57" s="229">
        <f>SUMIFS([1]!Data_BS[Value],[1]!Data_BS[Index BS],'Dai Loc'!$B57,[1]!Data_BS[TenCongTyID],'Dai Loc'!$B$1,[1]!Data_BS[Thang.Nam],'Dai Loc'!AE$5)</f>
        <v>0</v>
      </c>
      <c r="AF57" s="229">
        <f>SUMIFS([1]!Data_BS[Value],[1]!Data_BS[Index BS],'Dai Loc'!$B57,[1]!Data_BS[TenCongTyID],'Dai Loc'!$B$1,[1]!Data_BS[Thang.Nam],'Dai Loc'!AF$5)</f>
        <v>0</v>
      </c>
      <c r="AG57" s="229">
        <f>SUMIFS([1]!Data_BS[Value],[1]!Data_BS[Index BS],'Dai Loc'!$B57,[1]!Data_BS[TenCongTyID],'Dai Loc'!$B$1,[1]!Data_BS[Thang.Nam],'Dai Loc'!AG$5)</f>
        <v>0</v>
      </c>
      <c r="AH57" s="229">
        <f>SUMIFS([1]!Data_BS[Value],[1]!Data_BS[Index BS],'Dai Loc'!$B57,[1]!Data_BS[TenCongTyID],'Dai Loc'!$B$1,[1]!Data_BS[Thang.Nam],'Dai Loc'!AH$5)</f>
        <v>0</v>
      </c>
      <c r="AI57" s="229">
        <f>SUMIFS([1]!Data_BS[Value],[1]!Data_BS[Index BS],'Dai Loc'!$B57,[1]!Data_BS[TenCongTyID],'Dai Loc'!$B$1,[1]!Data_BS[Thang.Nam],'Dai Loc'!AI$5)</f>
        <v>0</v>
      </c>
      <c r="AJ57" s="229">
        <f>SUMIFS([1]!Data_BS[Value],[1]!Data_BS[Index BS],'Dai Loc'!$B57,[1]!Data_BS[TenCongTyID],'Dai Loc'!$B$1,[1]!Data_BS[Thang.Nam],'Dai Loc'!AJ$5)</f>
        <v>0</v>
      </c>
      <c r="AK57" s="229">
        <f>SUMIFS([1]!Data_BS[Value],[1]!Data_BS[Index BS],'Dai Loc'!$B57,[1]!Data_BS[TenCongTyID],'Dai Loc'!$B$1,[1]!Data_BS[Thang.Nam],'Dai Loc'!AK$5)</f>
        <v>0</v>
      </c>
      <c r="AL57" s="229">
        <f>SUMIFS([1]!Data_BS[Value],[1]!Data_BS[Index BS],'Dai Loc'!$B57,[1]!Data_BS[TenCongTyID],'Dai Loc'!$B$1,[1]!Data_BS[Thang.Nam],'Dai Loc'!AL$5)</f>
        <v>0</v>
      </c>
    </row>
    <row r="58" spans="1:38" ht="15" hidden="1" customHeight="1" outlineLevel="1">
      <c r="A58" s="73" t="s">
        <v>142</v>
      </c>
      <c r="B58" s="63">
        <v>53</v>
      </c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>
        <v>0</v>
      </c>
      <c r="AA58" s="229">
        <f>SUMIFS([1]!Data_BS[Value],[1]!Data_BS[Index BS],'Dai Loc'!$B58,[1]!Data_BS[TenCongTyID],'Dai Loc'!$B$1,[1]!Data_BS[Thang.Nam],'Dai Loc'!AA$5)</f>
        <v>0</v>
      </c>
      <c r="AB58" s="229">
        <f>SUMIFS([1]!Data_BS[Value],[1]!Data_BS[Index BS],'Dai Loc'!$B58,[1]!Data_BS[TenCongTyID],'Dai Loc'!$B$1,[1]!Data_BS[Thang.Nam],'Dai Loc'!AB$5)</f>
        <v>0</v>
      </c>
      <c r="AC58" s="229">
        <f>SUMIFS([1]!Data_BS[Value],[1]!Data_BS[Index BS],'Dai Loc'!$B58,[1]!Data_BS[TenCongTyID],'Dai Loc'!$B$1,[1]!Data_BS[Thang.Nam],'Dai Loc'!AC$5)</f>
        <v>0</v>
      </c>
      <c r="AD58" s="229">
        <f>SUMIFS([1]!Data_BS[Value],[1]!Data_BS[Index BS],'Dai Loc'!$B58,[1]!Data_BS[TenCongTyID],'Dai Loc'!$B$1,[1]!Data_BS[Thang.Nam],'Dai Loc'!AD$5)</f>
        <v>0</v>
      </c>
      <c r="AE58" s="229">
        <f>SUMIFS([1]!Data_BS[Value],[1]!Data_BS[Index BS],'Dai Loc'!$B58,[1]!Data_BS[TenCongTyID],'Dai Loc'!$B$1,[1]!Data_BS[Thang.Nam],'Dai Loc'!AE$5)</f>
        <v>0</v>
      </c>
      <c r="AF58" s="229">
        <f>SUMIFS([1]!Data_BS[Value],[1]!Data_BS[Index BS],'Dai Loc'!$B58,[1]!Data_BS[TenCongTyID],'Dai Loc'!$B$1,[1]!Data_BS[Thang.Nam],'Dai Loc'!AF$5)</f>
        <v>0</v>
      </c>
      <c r="AG58" s="229">
        <f>SUMIFS([1]!Data_BS[Value],[1]!Data_BS[Index BS],'Dai Loc'!$B58,[1]!Data_BS[TenCongTyID],'Dai Loc'!$B$1,[1]!Data_BS[Thang.Nam],'Dai Loc'!AG$5)</f>
        <v>0</v>
      </c>
      <c r="AH58" s="229">
        <f>SUMIFS([1]!Data_BS[Value],[1]!Data_BS[Index BS],'Dai Loc'!$B58,[1]!Data_BS[TenCongTyID],'Dai Loc'!$B$1,[1]!Data_BS[Thang.Nam],'Dai Loc'!AH$5)</f>
        <v>0</v>
      </c>
      <c r="AI58" s="229">
        <f>SUMIFS([1]!Data_BS[Value],[1]!Data_BS[Index BS],'Dai Loc'!$B58,[1]!Data_BS[TenCongTyID],'Dai Loc'!$B$1,[1]!Data_BS[Thang.Nam],'Dai Loc'!AI$5)</f>
        <v>0</v>
      </c>
      <c r="AJ58" s="229">
        <f>SUMIFS([1]!Data_BS[Value],[1]!Data_BS[Index BS],'Dai Loc'!$B58,[1]!Data_BS[TenCongTyID],'Dai Loc'!$B$1,[1]!Data_BS[Thang.Nam],'Dai Loc'!AJ$5)</f>
        <v>0</v>
      </c>
      <c r="AK58" s="229">
        <f>SUMIFS([1]!Data_BS[Value],[1]!Data_BS[Index BS],'Dai Loc'!$B58,[1]!Data_BS[TenCongTyID],'Dai Loc'!$B$1,[1]!Data_BS[Thang.Nam],'Dai Loc'!AK$5)</f>
        <v>0</v>
      </c>
      <c r="AL58" s="229">
        <f>SUMIFS([1]!Data_BS[Value],[1]!Data_BS[Index BS],'Dai Loc'!$B58,[1]!Data_BS[TenCongTyID],'Dai Loc'!$B$1,[1]!Data_BS[Thang.Nam],'Dai Loc'!AL$5)</f>
        <v>0</v>
      </c>
    </row>
    <row r="59" spans="1:38" ht="15" hidden="1" customHeight="1" outlineLevel="1">
      <c r="A59" s="73" t="s">
        <v>143</v>
      </c>
      <c r="B59" s="63">
        <v>54</v>
      </c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>
        <v>0</v>
      </c>
      <c r="AA59" s="229">
        <f>SUMIFS([1]!Data_BS[Value],[1]!Data_BS[Index BS],'Dai Loc'!$B59,[1]!Data_BS[TenCongTyID],'Dai Loc'!$B$1,[1]!Data_BS[Thang.Nam],'Dai Loc'!AA$5)</f>
        <v>0</v>
      </c>
      <c r="AB59" s="229">
        <f>SUMIFS([1]!Data_BS[Value],[1]!Data_BS[Index BS],'Dai Loc'!$B59,[1]!Data_BS[TenCongTyID],'Dai Loc'!$B$1,[1]!Data_BS[Thang.Nam],'Dai Loc'!AB$5)</f>
        <v>0</v>
      </c>
      <c r="AC59" s="229">
        <f>SUMIFS([1]!Data_BS[Value],[1]!Data_BS[Index BS],'Dai Loc'!$B59,[1]!Data_BS[TenCongTyID],'Dai Loc'!$B$1,[1]!Data_BS[Thang.Nam],'Dai Loc'!AC$5)</f>
        <v>0</v>
      </c>
      <c r="AD59" s="229">
        <f>SUMIFS([1]!Data_BS[Value],[1]!Data_BS[Index BS],'Dai Loc'!$B59,[1]!Data_BS[TenCongTyID],'Dai Loc'!$B$1,[1]!Data_BS[Thang.Nam],'Dai Loc'!AD$5)</f>
        <v>0</v>
      </c>
      <c r="AE59" s="229">
        <f>SUMIFS([1]!Data_BS[Value],[1]!Data_BS[Index BS],'Dai Loc'!$B59,[1]!Data_BS[TenCongTyID],'Dai Loc'!$B$1,[1]!Data_BS[Thang.Nam],'Dai Loc'!AE$5)</f>
        <v>0</v>
      </c>
      <c r="AF59" s="229">
        <f>SUMIFS([1]!Data_BS[Value],[1]!Data_BS[Index BS],'Dai Loc'!$B59,[1]!Data_BS[TenCongTyID],'Dai Loc'!$B$1,[1]!Data_BS[Thang.Nam],'Dai Loc'!AF$5)</f>
        <v>0</v>
      </c>
      <c r="AG59" s="229">
        <f>SUMIFS([1]!Data_BS[Value],[1]!Data_BS[Index BS],'Dai Loc'!$B59,[1]!Data_BS[TenCongTyID],'Dai Loc'!$B$1,[1]!Data_BS[Thang.Nam],'Dai Loc'!AG$5)</f>
        <v>0</v>
      </c>
      <c r="AH59" s="229">
        <f>SUMIFS([1]!Data_BS[Value],[1]!Data_BS[Index BS],'Dai Loc'!$B59,[1]!Data_BS[TenCongTyID],'Dai Loc'!$B$1,[1]!Data_BS[Thang.Nam],'Dai Loc'!AH$5)</f>
        <v>0</v>
      </c>
      <c r="AI59" s="229">
        <f>SUMIFS([1]!Data_BS[Value],[1]!Data_BS[Index BS],'Dai Loc'!$B59,[1]!Data_BS[TenCongTyID],'Dai Loc'!$B$1,[1]!Data_BS[Thang.Nam],'Dai Loc'!AI$5)</f>
        <v>0</v>
      </c>
      <c r="AJ59" s="229">
        <f>SUMIFS([1]!Data_BS[Value],[1]!Data_BS[Index BS],'Dai Loc'!$B59,[1]!Data_BS[TenCongTyID],'Dai Loc'!$B$1,[1]!Data_BS[Thang.Nam],'Dai Loc'!AJ$5)</f>
        <v>0</v>
      </c>
      <c r="AK59" s="229">
        <f>SUMIFS([1]!Data_BS[Value],[1]!Data_BS[Index BS],'Dai Loc'!$B59,[1]!Data_BS[TenCongTyID],'Dai Loc'!$B$1,[1]!Data_BS[Thang.Nam],'Dai Loc'!AK$5)</f>
        <v>0</v>
      </c>
      <c r="AL59" s="229">
        <f>SUMIFS([1]!Data_BS[Value],[1]!Data_BS[Index BS],'Dai Loc'!$B59,[1]!Data_BS[TenCongTyID],'Dai Loc'!$B$1,[1]!Data_BS[Thang.Nam],'Dai Loc'!AL$5)</f>
        <v>0</v>
      </c>
    </row>
    <row r="60" spans="1:38" ht="15" hidden="1" customHeight="1" outlineLevel="1">
      <c r="A60" s="73" t="s">
        <v>144</v>
      </c>
      <c r="B60" s="63">
        <v>55</v>
      </c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>
        <v>0</v>
      </c>
      <c r="AA60" s="229">
        <f>SUMIFS([1]!Data_BS[Value],[1]!Data_BS[Index BS],'Dai Loc'!$B60,[1]!Data_BS[TenCongTyID],'Dai Loc'!$B$1,[1]!Data_BS[Thang.Nam],'Dai Loc'!AA$5)</f>
        <v>0</v>
      </c>
      <c r="AB60" s="229">
        <f>SUMIFS([1]!Data_BS[Value],[1]!Data_BS[Index BS],'Dai Loc'!$B60,[1]!Data_BS[TenCongTyID],'Dai Loc'!$B$1,[1]!Data_BS[Thang.Nam],'Dai Loc'!AB$5)</f>
        <v>0</v>
      </c>
      <c r="AC60" s="229">
        <f>SUMIFS([1]!Data_BS[Value],[1]!Data_BS[Index BS],'Dai Loc'!$B60,[1]!Data_BS[TenCongTyID],'Dai Loc'!$B$1,[1]!Data_BS[Thang.Nam],'Dai Loc'!AC$5)</f>
        <v>0</v>
      </c>
      <c r="AD60" s="229">
        <f>SUMIFS([1]!Data_BS[Value],[1]!Data_BS[Index BS],'Dai Loc'!$B60,[1]!Data_BS[TenCongTyID],'Dai Loc'!$B$1,[1]!Data_BS[Thang.Nam],'Dai Loc'!AD$5)</f>
        <v>0</v>
      </c>
      <c r="AE60" s="229">
        <f>SUMIFS([1]!Data_BS[Value],[1]!Data_BS[Index BS],'Dai Loc'!$B60,[1]!Data_BS[TenCongTyID],'Dai Loc'!$B$1,[1]!Data_BS[Thang.Nam],'Dai Loc'!AE$5)</f>
        <v>0</v>
      </c>
      <c r="AF60" s="229">
        <f>SUMIFS([1]!Data_BS[Value],[1]!Data_BS[Index BS],'Dai Loc'!$B60,[1]!Data_BS[TenCongTyID],'Dai Loc'!$B$1,[1]!Data_BS[Thang.Nam],'Dai Loc'!AF$5)</f>
        <v>0</v>
      </c>
      <c r="AG60" s="229">
        <f>SUMIFS([1]!Data_BS[Value],[1]!Data_BS[Index BS],'Dai Loc'!$B60,[1]!Data_BS[TenCongTyID],'Dai Loc'!$B$1,[1]!Data_BS[Thang.Nam],'Dai Loc'!AG$5)</f>
        <v>0</v>
      </c>
      <c r="AH60" s="229">
        <f>SUMIFS([1]!Data_BS[Value],[1]!Data_BS[Index BS],'Dai Loc'!$B60,[1]!Data_BS[TenCongTyID],'Dai Loc'!$B$1,[1]!Data_BS[Thang.Nam],'Dai Loc'!AH$5)</f>
        <v>0</v>
      </c>
      <c r="AI60" s="229">
        <f>SUMIFS([1]!Data_BS[Value],[1]!Data_BS[Index BS],'Dai Loc'!$B60,[1]!Data_BS[TenCongTyID],'Dai Loc'!$B$1,[1]!Data_BS[Thang.Nam],'Dai Loc'!AI$5)</f>
        <v>0</v>
      </c>
      <c r="AJ60" s="229">
        <f>SUMIFS([1]!Data_BS[Value],[1]!Data_BS[Index BS],'Dai Loc'!$B60,[1]!Data_BS[TenCongTyID],'Dai Loc'!$B$1,[1]!Data_BS[Thang.Nam],'Dai Loc'!AJ$5)</f>
        <v>0</v>
      </c>
      <c r="AK60" s="229">
        <f>SUMIFS([1]!Data_BS[Value],[1]!Data_BS[Index BS],'Dai Loc'!$B60,[1]!Data_BS[TenCongTyID],'Dai Loc'!$B$1,[1]!Data_BS[Thang.Nam],'Dai Loc'!AK$5)</f>
        <v>0</v>
      </c>
      <c r="AL60" s="229">
        <f>SUMIFS([1]!Data_BS[Value],[1]!Data_BS[Index BS],'Dai Loc'!$B60,[1]!Data_BS[TenCongTyID],'Dai Loc'!$B$1,[1]!Data_BS[Thang.Nam],'Dai Loc'!AL$5)</f>
        <v>0</v>
      </c>
    </row>
    <row r="61" spans="1:38" ht="15" hidden="1" customHeight="1" outlineLevel="1">
      <c r="A61" s="73" t="s">
        <v>145</v>
      </c>
      <c r="B61" s="63">
        <v>56</v>
      </c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>
        <v>0</v>
      </c>
      <c r="AA61" s="229">
        <f>SUMIFS([1]!Data_BS[Value],[1]!Data_BS[Index BS],'Dai Loc'!$B61,[1]!Data_BS[TenCongTyID],'Dai Loc'!$B$1,[1]!Data_BS[Thang.Nam],'Dai Loc'!AA$5)</f>
        <v>0</v>
      </c>
      <c r="AB61" s="229">
        <f>SUMIFS([1]!Data_BS[Value],[1]!Data_BS[Index BS],'Dai Loc'!$B61,[1]!Data_BS[TenCongTyID],'Dai Loc'!$B$1,[1]!Data_BS[Thang.Nam],'Dai Loc'!AB$5)</f>
        <v>0</v>
      </c>
      <c r="AC61" s="229">
        <f>SUMIFS([1]!Data_BS[Value],[1]!Data_BS[Index BS],'Dai Loc'!$B61,[1]!Data_BS[TenCongTyID],'Dai Loc'!$B$1,[1]!Data_BS[Thang.Nam],'Dai Loc'!AC$5)</f>
        <v>0</v>
      </c>
      <c r="AD61" s="229">
        <f>SUMIFS([1]!Data_BS[Value],[1]!Data_BS[Index BS],'Dai Loc'!$B61,[1]!Data_BS[TenCongTyID],'Dai Loc'!$B$1,[1]!Data_BS[Thang.Nam],'Dai Loc'!AD$5)</f>
        <v>0</v>
      </c>
      <c r="AE61" s="229">
        <f>SUMIFS([1]!Data_BS[Value],[1]!Data_BS[Index BS],'Dai Loc'!$B61,[1]!Data_BS[TenCongTyID],'Dai Loc'!$B$1,[1]!Data_BS[Thang.Nam],'Dai Loc'!AE$5)</f>
        <v>0</v>
      </c>
      <c r="AF61" s="229">
        <f>SUMIFS([1]!Data_BS[Value],[1]!Data_BS[Index BS],'Dai Loc'!$B61,[1]!Data_BS[TenCongTyID],'Dai Loc'!$B$1,[1]!Data_BS[Thang.Nam],'Dai Loc'!AF$5)</f>
        <v>0</v>
      </c>
      <c r="AG61" s="229">
        <f>SUMIFS([1]!Data_BS[Value],[1]!Data_BS[Index BS],'Dai Loc'!$B61,[1]!Data_BS[TenCongTyID],'Dai Loc'!$B$1,[1]!Data_BS[Thang.Nam],'Dai Loc'!AG$5)</f>
        <v>0</v>
      </c>
      <c r="AH61" s="229">
        <f>SUMIFS([1]!Data_BS[Value],[1]!Data_BS[Index BS],'Dai Loc'!$B61,[1]!Data_BS[TenCongTyID],'Dai Loc'!$B$1,[1]!Data_BS[Thang.Nam],'Dai Loc'!AH$5)</f>
        <v>0</v>
      </c>
      <c r="AI61" s="229">
        <f>SUMIFS([1]!Data_BS[Value],[1]!Data_BS[Index BS],'Dai Loc'!$B61,[1]!Data_BS[TenCongTyID],'Dai Loc'!$B$1,[1]!Data_BS[Thang.Nam],'Dai Loc'!AI$5)</f>
        <v>0</v>
      </c>
      <c r="AJ61" s="229">
        <f>SUMIFS([1]!Data_BS[Value],[1]!Data_BS[Index BS],'Dai Loc'!$B61,[1]!Data_BS[TenCongTyID],'Dai Loc'!$B$1,[1]!Data_BS[Thang.Nam],'Dai Loc'!AJ$5)</f>
        <v>0</v>
      </c>
      <c r="AK61" s="229">
        <f>SUMIFS([1]!Data_BS[Value],[1]!Data_BS[Index BS],'Dai Loc'!$B61,[1]!Data_BS[TenCongTyID],'Dai Loc'!$B$1,[1]!Data_BS[Thang.Nam],'Dai Loc'!AK$5)</f>
        <v>0</v>
      </c>
      <c r="AL61" s="229">
        <f>SUMIFS([1]!Data_BS[Value],[1]!Data_BS[Index BS],'Dai Loc'!$B61,[1]!Data_BS[TenCongTyID],'Dai Loc'!$B$1,[1]!Data_BS[Thang.Nam],'Dai Loc'!AL$5)</f>
        <v>0</v>
      </c>
    </row>
    <row r="62" spans="1:38" ht="15" hidden="1" customHeight="1" outlineLevel="1">
      <c r="A62" s="73" t="s">
        <v>146</v>
      </c>
      <c r="B62" s="63">
        <v>57</v>
      </c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>
        <v>0</v>
      </c>
      <c r="AA62" s="229">
        <f>SUMIFS([1]!Data_BS[Value],[1]!Data_BS[Index BS],'Dai Loc'!$B62,[1]!Data_BS[TenCongTyID],'Dai Loc'!$B$1,[1]!Data_BS[Thang.Nam],'Dai Loc'!AA$5)</f>
        <v>0</v>
      </c>
      <c r="AB62" s="229">
        <f>SUMIFS([1]!Data_BS[Value],[1]!Data_BS[Index BS],'Dai Loc'!$B62,[1]!Data_BS[TenCongTyID],'Dai Loc'!$B$1,[1]!Data_BS[Thang.Nam],'Dai Loc'!AB$5)</f>
        <v>0</v>
      </c>
      <c r="AC62" s="229">
        <f>SUMIFS([1]!Data_BS[Value],[1]!Data_BS[Index BS],'Dai Loc'!$B62,[1]!Data_BS[TenCongTyID],'Dai Loc'!$B$1,[1]!Data_BS[Thang.Nam],'Dai Loc'!AC$5)</f>
        <v>0</v>
      </c>
      <c r="AD62" s="229">
        <f>SUMIFS([1]!Data_BS[Value],[1]!Data_BS[Index BS],'Dai Loc'!$B62,[1]!Data_BS[TenCongTyID],'Dai Loc'!$B$1,[1]!Data_BS[Thang.Nam],'Dai Loc'!AD$5)</f>
        <v>0</v>
      </c>
      <c r="AE62" s="229">
        <f>SUMIFS([1]!Data_BS[Value],[1]!Data_BS[Index BS],'Dai Loc'!$B62,[1]!Data_BS[TenCongTyID],'Dai Loc'!$B$1,[1]!Data_BS[Thang.Nam],'Dai Loc'!AE$5)</f>
        <v>0</v>
      </c>
      <c r="AF62" s="229">
        <f>SUMIFS([1]!Data_BS[Value],[1]!Data_BS[Index BS],'Dai Loc'!$B62,[1]!Data_BS[TenCongTyID],'Dai Loc'!$B$1,[1]!Data_BS[Thang.Nam],'Dai Loc'!AF$5)</f>
        <v>0</v>
      </c>
      <c r="AG62" s="229">
        <f>SUMIFS([1]!Data_BS[Value],[1]!Data_BS[Index BS],'Dai Loc'!$B62,[1]!Data_BS[TenCongTyID],'Dai Loc'!$B$1,[1]!Data_BS[Thang.Nam],'Dai Loc'!AG$5)</f>
        <v>0</v>
      </c>
      <c r="AH62" s="229">
        <f>SUMIFS([1]!Data_BS[Value],[1]!Data_BS[Index BS],'Dai Loc'!$B62,[1]!Data_BS[TenCongTyID],'Dai Loc'!$B$1,[1]!Data_BS[Thang.Nam],'Dai Loc'!AH$5)</f>
        <v>0</v>
      </c>
      <c r="AI62" s="229">
        <f>SUMIFS([1]!Data_BS[Value],[1]!Data_BS[Index BS],'Dai Loc'!$B62,[1]!Data_BS[TenCongTyID],'Dai Loc'!$B$1,[1]!Data_BS[Thang.Nam],'Dai Loc'!AI$5)</f>
        <v>0</v>
      </c>
      <c r="AJ62" s="229">
        <f>SUMIFS([1]!Data_BS[Value],[1]!Data_BS[Index BS],'Dai Loc'!$B62,[1]!Data_BS[TenCongTyID],'Dai Loc'!$B$1,[1]!Data_BS[Thang.Nam],'Dai Loc'!AJ$5)</f>
        <v>0</v>
      </c>
      <c r="AK62" s="229">
        <f>SUMIFS([1]!Data_BS[Value],[1]!Data_BS[Index BS],'Dai Loc'!$B62,[1]!Data_BS[TenCongTyID],'Dai Loc'!$B$1,[1]!Data_BS[Thang.Nam],'Dai Loc'!AK$5)</f>
        <v>0</v>
      </c>
      <c r="AL62" s="229">
        <f>SUMIFS([1]!Data_BS[Value],[1]!Data_BS[Index BS],'Dai Loc'!$B62,[1]!Data_BS[TenCongTyID],'Dai Loc'!$B$1,[1]!Data_BS[Thang.Nam],'Dai Loc'!AL$5)</f>
        <v>0</v>
      </c>
    </row>
    <row r="63" spans="1:38" ht="15" hidden="1" customHeight="1" outlineLevel="1">
      <c r="A63" s="73" t="s">
        <v>147</v>
      </c>
      <c r="B63" s="63">
        <v>58</v>
      </c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>
        <v>0</v>
      </c>
      <c r="AA63" s="229">
        <f>SUMIFS([1]!Data_BS[Value],[1]!Data_BS[Index BS],'Dai Loc'!$B63,[1]!Data_BS[TenCongTyID],'Dai Loc'!$B$1,[1]!Data_BS[Thang.Nam],'Dai Loc'!AA$5)</f>
        <v>0</v>
      </c>
      <c r="AB63" s="229">
        <f>SUMIFS([1]!Data_BS[Value],[1]!Data_BS[Index BS],'Dai Loc'!$B63,[1]!Data_BS[TenCongTyID],'Dai Loc'!$B$1,[1]!Data_BS[Thang.Nam],'Dai Loc'!AB$5)</f>
        <v>0</v>
      </c>
      <c r="AC63" s="229">
        <f>SUMIFS([1]!Data_BS[Value],[1]!Data_BS[Index BS],'Dai Loc'!$B63,[1]!Data_BS[TenCongTyID],'Dai Loc'!$B$1,[1]!Data_BS[Thang.Nam],'Dai Loc'!AC$5)</f>
        <v>0</v>
      </c>
      <c r="AD63" s="229">
        <f>SUMIFS([1]!Data_BS[Value],[1]!Data_BS[Index BS],'Dai Loc'!$B63,[1]!Data_BS[TenCongTyID],'Dai Loc'!$B$1,[1]!Data_BS[Thang.Nam],'Dai Loc'!AD$5)</f>
        <v>0</v>
      </c>
      <c r="AE63" s="229">
        <f>SUMIFS([1]!Data_BS[Value],[1]!Data_BS[Index BS],'Dai Loc'!$B63,[1]!Data_BS[TenCongTyID],'Dai Loc'!$B$1,[1]!Data_BS[Thang.Nam],'Dai Loc'!AE$5)</f>
        <v>0</v>
      </c>
      <c r="AF63" s="229">
        <f>SUMIFS([1]!Data_BS[Value],[1]!Data_BS[Index BS],'Dai Loc'!$B63,[1]!Data_BS[TenCongTyID],'Dai Loc'!$B$1,[1]!Data_BS[Thang.Nam],'Dai Loc'!AF$5)</f>
        <v>0</v>
      </c>
      <c r="AG63" s="229">
        <f>SUMIFS([1]!Data_BS[Value],[1]!Data_BS[Index BS],'Dai Loc'!$B63,[1]!Data_BS[TenCongTyID],'Dai Loc'!$B$1,[1]!Data_BS[Thang.Nam],'Dai Loc'!AG$5)</f>
        <v>0</v>
      </c>
      <c r="AH63" s="229">
        <f>SUMIFS([1]!Data_BS[Value],[1]!Data_BS[Index BS],'Dai Loc'!$B63,[1]!Data_BS[TenCongTyID],'Dai Loc'!$B$1,[1]!Data_BS[Thang.Nam],'Dai Loc'!AH$5)</f>
        <v>0</v>
      </c>
      <c r="AI63" s="229">
        <f>SUMIFS([1]!Data_BS[Value],[1]!Data_BS[Index BS],'Dai Loc'!$B63,[1]!Data_BS[TenCongTyID],'Dai Loc'!$B$1,[1]!Data_BS[Thang.Nam],'Dai Loc'!AI$5)</f>
        <v>0</v>
      </c>
      <c r="AJ63" s="229">
        <f>SUMIFS([1]!Data_BS[Value],[1]!Data_BS[Index BS],'Dai Loc'!$B63,[1]!Data_BS[TenCongTyID],'Dai Loc'!$B$1,[1]!Data_BS[Thang.Nam],'Dai Loc'!AJ$5)</f>
        <v>0</v>
      </c>
      <c r="AK63" s="229">
        <f>SUMIFS([1]!Data_BS[Value],[1]!Data_BS[Index BS],'Dai Loc'!$B63,[1]!Data_BS[TenCongTyID],'Dai Loc'!$B$1,[1]!Data_BS[Thang.Nam],'Dai Loc'!AK$5)</f>
        <v>0</v>
      </c>
      <c r="AL63" s="229">
        <f>SUMIFS([1]!Data_BS[Value],[1]!Data_BS[Index BS],'Dai Loc'!$B63,[1]!Data_BS[TenCongTyID],'Dai Loc'!$B$1,[1]!Data_BS[Thang.Nam],'Dai Loc'!AL$5)</f>
        <v>0</v>
      </c>
    </row>
    <row r="64" spans="1:38" ht="15" hidden="1" customHeight="1" outlineLevel="1">
      <c r="A64" s="73" t="s">
        <v>148</v>
      </c>
      <c r="B64" s="63">
        <v>59</v>
      </c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>
        <v>0</v>
      </c>
      <c r="AA64" s="229">
        <f>SUMIFS([1]!Data_BS[Value],[1]!Data_BS[Index BS],'Dai Loc'!$B64,[1]!Data_BS[TenCongTyID],'Dai Loc'!$B$1,[1]!Data_BS[Thang.Nam],'Dai Loc'!AA$5)</f>
        <v>0</v>
      </c>
      <c r="AB64" s="229">
        <f>SUMIFS([1]!Data_BS[Value],[1]!Data_BS[Index BS],'Dai Loc'!$B64,[1]!Data_BS[TenCongTyID],'Dai Loc'!$B$1,[1]!Data_BS[Thang.Nam],'Dai Loc'!AB$5)</f>
        <v>0</v>
      </c>
      <c r="AC64" s="229">
        <f>SUMIFS([1]!Data_BS[Value],[1]!Data_BS[Index BS],'Dai Loc'!$B64,[1]!Data_BS[TenCongTyID],'Dai Loc'!$B$1,[1]!Data_BS[Thang.Nam],'Dai Loc'!AC$5)</f>
        <v>0</v>
      </c>
      <c r="AD64" s="229">
        <f>SUMIFS([1]!Data_BS[Value],[1]!Data_BS[Index BS],'Dai Loc'!$B64,[1]!Data_BS[TenCongTyID],'Dai Loc'!$B$1,[1]!Data_BS[Thang.Nam],'Dai Loc'!AD$5)</f>
        <v>0</v>
      </c>
      <c r="AE64" s="229">
        <f>SUMIFS([1]!Data_BS[Value],[1]!Data_BS[Index BS],'Dai Loc'!$B64,[1]!Data_BS[TenCongTyID],'Dai Loc'!$B$1,[1]!Data_BS[Thang.Nam],'Dai Loc'!AE$5)</f>
        <v>0</v>
      </c>
      <c r="AF64" s="229">
        <f>SUMIFS([1]!Data_BS[Value],[1]!Data_BS[Index BS],'Dai Loc'!$B64,[1]!Data_BS[TenCongTyID],'Dai Loc'!$B$1,[1]!Data_BS[Thang.Nam],'Dai Loc'!AF$5)</f>
        <v>0</v>
      </c>
      <c r="AG64" s="229">
        <f>SUMIFS([1]!Data_BS[Value],[1]!Data_BS[Index BS],'Dai Loc'!$B64,[1]!Data_BS[TenCongTyID],'Dai Loc'!$B$1,[1]!Data_BS[Thang.Nam],'Dai Loc'!AG$5)</f>
        <v>0</v>
      </c>
      <c r="AH64" s="229">
        <f>SUMIFS([1]!Data_BS[Value],[1]!Data_BS[Index BS],'Dai Loc'!$B64,[1]!Data_BS[TenCongTyID],'Dai Loc'!$B$1,[1]!Data_BS[Thang.Nam],'Dai Loc'!AH$5)</f>
        <v>0</v>
      </c>
      <c r="AI64" s="229">
        <f>SUMIFS([1]!Data_BS[Value],[1]!Data_BS[Index BS],'Dai Loc'!$B64,[1]!Data_BS[TenCongTyID],'Dai Loc'!$B$1,[1]!Data_BS[Thang.Nam],'Dai Loc'!AI$5)</f>
        <v>0</v>
      </c>
      <c r="AJ64" s="229">
        <f>SUMIFS([1]!Data_BS[Value],[1]!Data_BS[Index BS],'Dai Loc'!$B64,[1]!Data_BS[TenCongTyID],'Dai Loc'!$B$1,[1]!Data_BS[Thang.Nam],'Dai Loc'!AJ$5)</f>
        <v>0</v>
      </c>
      <c r="AK64" s="229">
        <f>SUMIFS([1]!Data_BS[Value],[1]!Data_BS[Index BS],'Dai Loc'!$B64,[1]!Data_BS[TenCongTyID],'Dai Loc'!$B$1,[1]!Data_BS[Thang.Nam],'Dai Loc'!AK$5)</f>
        <v>0</v>
      </c>
      <c r="AL64" s="229">
        <f>SUMIFS([1]!Data_BS[Value],[1]!Data_BS[Index BS],'Dai Loc'!$B64,[1]!Data_BS[TenCongTyID],'Dai Loc'!$B$1,[1]!Data_BS[Thang.Nam],'Dai Loc'!AL$5)</f>
        <v>0</v>
      </c>
    </row>
    <row r="65" spans="1:40" ht="15" hidden="1" customHeight="1" outlineLevel="1">
      <c r="A65" s="72" t="s">
        <v>149</v>
      </c>
      <c r="B65" s="65">
        <v>60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232">
        <v>0</v>
      </c>
      <c r="I65" s="232">
        <v>0</v>
      </c>
      <c r="J65" s="232">
        <v>0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/>
      <c r="X65" s="232">
        <v>0</v>
      </c>
      <c r="Y65" s="232">
        <v>0</v>
      </c>
      <c r="Z65" s="232">
        <v>0</v>
      </c>
      <c r="AA65" s="232">
        <f>SUMIFS([1]!Data_BS[Value],[1]!Data_BS[Index BS],'Dai Loc'!$B65,[1]!Data_BS[TenCongTyID],'Dai Loc'!$B$1,[1]!Data_BS[Thang.Nam],'Dai Loc'!AA$5)</f>
        <v>0</v>
      </c>
      <c r="AB65" s="232">
        <f>SUMIFS([1]!Data_BS[Value],[1]!Data_BS[Index BS],'Dai Loc'!$B65,[1]!Data_BS[TenCongTyID],'Dai Loc'!$B$1,[1]!Data_BS[Thang.Nam],'Dai Loc'!AB$5)</f>
        <v>0</v>
      </c>
      <c r="AC65" s="232">
        <f>SUMIFS([1]!Data_BS[Value],[1]!Data_BS[Index BS],'Dai Loc'!$B65,[1]!Data_BS[TenCongTyID],'Dai Loc'!$B$1,[1]!Data_BS[Thang.Nam],'Dai Loc'!AC$5)</f>
        <v>0</v>
      </c>
      <c r="AD65" s="232">
        <f>SUMIFS([1]!Data_BS[Value],[1]!Data_BS[Index BS],'Dai Loc'!$B65,[1]!Data_BS[TenCongTyID],'Dai Loc'!$B$1,[1]!Data_BS[Thang.Nam],'Dai Loc'!AD$5)</f>
        <v>0</v>
      </c>
      <c r="AE65" s="232">
        <f>SUMIFS([1]!Data_BS[Value],[1]!Data_BS[Index BS],'Dai Loc'!$B65,[1]!Data_BS[TenCongTyID],'Dai Loc'!$B$1,[1]!Data_BS[Thang.Nam],'Dai Loc'!AE$5)</f>
        <v>0</v>
      </c>
      <c r="AF65" s="232">
        <f>SUMIFS([1]!Data_BS[Value],[1]!Data_BS[Index BS],'Dai Loc'!$B65,[1]!Data_BS[TenCongTyID],'Dai Loc'!$B$1,[1]!Data_BS[Thang.Nam],'Dai Loc'!AF$5)</f>
        <v>0</v>
      </c>
      <c r="AG65" s="232">
        <f>SUMIFS([1]!Data_BS[Value],[1]!Data_BS[Index BS],'Dai Loc'!$B65,[1]!Data_BS[TenCongTyID],'Dai Loc'!$B$1,[1]!Data_BS[Thang.Nam],'Dai Loc'!AG$5)</f>
        <v>0</v>
      </c>
      <c r="AH65" s="232">
        <f>SUMIFS([1]!Data_BS[Value],[1]!Data_BS[Index BS],'Dai Loc'!$B65,[1]!Data_BS[TenCongTyID],'Dai Loc'!$B$1,[1]!Data_BS[Thang.Nam],'Dai Loc'!AH$5)</f>
        <v>0</v>
      </c>
      <c r="AI65" s="232">
        <f>SUMIFS([1]!Data_BS[Value],[1]!Data_BS[Index BS],'Dai Loc'!$B65,[1]!Data_BS[TenCongTyID],'Dai Loc'!$B$1,[1]!Data_BS[Thang.Nam],'Dai Loc'!AI$5)</f>
        <v>0</v>
      </c>
      <c r="AJ65" s="232">
        <f>SUMIFS([1]!Data_BS[Value],[1]!Data_BS[Index BS],'Dai Loc'!$B65,[1]!Data_BS[TenCongTyID],'Dai Loc'!$B$1,[1]!Data_BS[Thang.Nam],'Dai Loc'!AJ$5)</f>
        <v>0</v>
      </c>
      <c r="AK65" s="232">
        <f>SUMIFS([1]!Data_BS[Value],[1]!Data_BS[Index BS],'Dai Loc'!$B65,[1]!Data_BS[TenCongTyID],'Dai Loc'!$B$1,[1]!Data_BS[Thang.Nam],'Dai Loc'!AK$5)</f>
        <v>0</v>
      </c>
      <c r="AL65" s="232">
        <f>SUMIFS([1]!Data_BS[Value],[1]!Data_BS[Index BS],'Dai Loc'!$B65,[1]!Data_BS[TenCongTyID],'Dai Loc'!$B$1,[1]!Data_BS[Thang.Nam],'Dai Loc'!AL$5)</f>
        <v>0</v>
      </c>
    </row>
    <row r="66" spans="1:40" ht="15" hidden="1" customHeight="1" outlineLevel="1">
      <c r="A66" s="62" t="s">
        <v>150</v>
      </c>
      <c r="B66" s="63">
        <v>61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/>
      <c r="X66" s="229">
        <v>0</v>
      </c>
      <c r="Y66" s="229">
        <v>0</v>
      </c>
      <c r="Z66" s="229">
        <v>0</v>
      </c>
      <c r="AA66" s="229">
        <f>SUMIFS([1]!Data_BS[Value],[1]!Data_BS[Index BS],'Dai Loc'!$B66,[1]!Data_BS[TenCongTyID],'Dai Loc'!$B$1,[1]!Data_BS[Thang.Nam],'Dai Loc'!AA$5)</f>
        <v>0</v>
      </c>
      <c r="AB66" s="229">
        <f>SUMIFS([1]!Data_BS[Value],[1]!Data_BS[Index BS],'Dai Loc'!$B66,[1]!Data_BS[TenCongTyID],'Dai Loc'!$B$1,[1]!Data_BS[Thang.Nam],'Dai Loc'!AB$5)</f>
        <v>0</v>
      </c>
      <c r="AC66" s="229">
        <f>SUMIFS([1]!Data_BS[Value],[1]!Data_BS[Index BS],'Dai Loc'!$B66,[1]!Data_BS[TenCongTyID],'Dai Loc'!$B$1,[1]!Data_BS[Thang.Nam],'Dai Loc'!AC$5)</f>
        <v>0</v>
      </c>
      <c r="AD66" s="229">
        <f>SUMIFS([1]!Data_BS[Value],[1]!Data_BS[Index BS],'Dai Loc'!$B66,[1]!Data_BS[TenCongTyID],'Dai Loc'!$B$1,[1]!Data_BS[Thang.Nam],'Dai Loc'!AD$5)</f>
        <v>0</v>
      </c>
      <c r="AE66" s="229">
        <f>SUMIFS([1]!Data_BS[Value],[1]!Data_BS[Index BS],'Dai Loc'!$B66,[1]!Data_BS[TenCongTyID],'Dai Loc'!$B$1,[1]!Data_BS[Thang.Nam],'Dai Loc'!AE$5)</f>
        <v>0</v>
      </c>
      <c r="AF66" s="229">
        <f>SUMIFS([1]!Data_BS[Value],[1]!Data_BS[Index BS],'Dai Loc'!$B66,[1]!Data_BS[TenCongTyID],'Dai Loc'!$B$1,[1]!Data_BS[Thang.Nam],'Dai Loc'!AF$5)</f>
        <v>0</v>
      </c>
      <c r="AG66" s="229">
        <f>SUMIFS([1]!Data_BS[Value],[1]!Data_BS[Index BS],'Dai Loc'!$B66,[1]!Data_BS[TenCongTyID],'Dai Loc'!$B$1,[1]!Data_BS[Thang.Nam],'Dai Loc'!AG$5)</f>
        <v>0</v>
      </c>
      <c r="AH66" s="229">
        <f>SUMIFS([1]!Data_BS[Value],[1]!Data_BS[Index BS],'Dai Loc'!$B66,[1]!Data_BS[TenCongTyID],'Dai Loc'!$B$1,[1]!Data_BS[Thang.Nam],'Dai Loc'!AH$5)</f>
        <v>0</v>
      </c>
      <c r="AI66" s="229">
        <f>SUMIFS([1]!Data_BS[Value],[1]!Data_BS[Index BS],'Dai Loc'!$B66,[1]!Data_BS[TenCongTyID],'Dai Loc'!$B$1,[1]!Data_BS[Thang.Nam],'Dai Loc'!AI$5)</f>
        <v>0</v>
      </c>
      <c r="AJ66" s="229">
        <f>SUMIFS([1]!Data_BS[Value],[1]!Data_BS[Index BS],'Dai Loc'!$B66,[1]!Data_BS[TenCongTyID],'Dai Loc'!$B$1,[1]!Data_BS[Thang.Nam],'Dai Loc'!AJ$5)</f>
        <v>0</v>
      </c>
      <c r="AK66" s="229">
        <f>SUMIFS([1]!Data_BS[Value],[1]!Data_BS[Index BS],'Dai Loc'!$B66,[1]!Data_BS[TenCongTyID],'Dai Loc'!$B$1,[1]!Data_BS[Thang.Nam],'Dai Loc'!AK$5)</f>
        <v>0</v>
      </c>
      <c r="AL66" s="229">
        <f>SUMIFS([1]!Data_BS[Value],[1]!Data_BS[Index BS],'Dai Loc'!$B66,[1]!Data_BS[TenCongTyID],'Dai Loc'!$B$1,[1]!Data_BS[Thang.Nam],'Dai Loc'!AL$5)</f>
        <v>0</v>
      </c>
    </row>
    <row r="67" spans="1:40" ht="15" hidden="1" customHeight="1" outlineLevel="1">
      <c r="A67" s="62" t="s">
        <v>151</v>
      </c>
      <c r="B67" s="63">
        <v>62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/>
      <c r="X67" s="229">
        <v>0</v>
      </c>
      <c r="Y67" s="229">
        <v>0</v>
      </c>
      <c r="Z67" s="229">
        <v>0</v>
      </c>
      <c r="AA67" s="229">
        <f>SUMIFS([1]!Data_BS[Value],[1]!Data_BS[Index BS],'Dai Loc'!$B67,[1]!Data_BS[TenCongTyID],'Dai Loc'!$B$1,[1]!Data_BS[Thang.Nam],'Dai Loc'!AA$5)</f>
        <v>0</v>
      </c>
      <c r="AB67" s="229">
        <f>SUMIFS([1]!Data_BS[Value],[1]!Data_BS[Index BS],'Dai Loc'!$B67,[1]!Data_BS[TenCongTyID],'Dai Loc'!$B$1,[1]!Data_BS[Thang.Nam],'Dai Loc'!AB$5)</f>
        <v>0</v>
      </c>
      <c r="AC67" s="229">
        <f>SUMIFS([1]!Data_BS[Value],[1]!Data_BS[Index BS],'Dai Loc'!$B67,[1]!Data_BS[TenCongTyID],'Dai Loc'!$B$1,[1]!Data_BS[Thang.Nam],'Dai Loc'!AC$5)</f>
        <v>0</v>
      </c>
      <c r="AD67" s="229">
        <f>SUMIFS([1]!Data_BS[Value],[1]!Data_BS[Index BS],'Dai Loc'!$B67,[1]!Data_BS[TenCongTyID],'Dai Loc'!$B$1,[1]!Data_BS[Thang.Nam],'Dai Loc'!AD$5)</f>
        <v>0</v>
      </c>
      <c r="AE67" s="229">
        <f>SUMIFS([1]!Data_BS[Value],[1]!Data_BS[Index BS],'Dai Loc'!$B67,[1]!Data_BS[TenCongTyID],'Dai Loc'!$B$1,[1]!Data_BS[Thang.Nam],'Dai Loc'!AE$5)</f>
        <v>0</v>
      </c>
      <c r="AF67" s="229">
        <f>SUMIFS([1]!Data_BS[Value],[1]!Data_BS[Index BS],'Dai Loc'!$B67,[1]!Data_BS[TenCongTyID],'Dai Loc'!$B$1,[1]!Data_BS[Thang.Nam],'Dai Loc'!AF$5)</f>
        <v>0</v>
      </c>
      <c r="AG67" s="229">
        <f>SUMIFS([1]!Data_BS[Value],[1]!Data_BS[Index BS],'Dai Loc'!$B67,[1]!Data_BS[TenCongTyID],'Dai Loc'!$B$1,[1]!Data_BS[Thang.Nam],'Dai Loc'!AG$5)</f>
        <v>0</v>
      </c>
      <c r="AH67" s="229">
        <f>SUMIFS([1]!Data_BS[Value],[1]!Data_BS[Index BS],'Dai Loc'!$B67,[1]!Data_BS[TenCongTyID],'Dai Loc'!$B$1,[1]!Data_BS[Thang.Nam],'Dai Loc'!AH$5)</f>
        <v>0</v>
      </c>
      <c r="AI67" s="229">
        <f>SUMIFS([1]!Data_BS[Value],[1]!Data_BS[Index BS],'Dai Loc'!$B67,[1]!Data_BS[TenCongTyID],'Dai Loc'!$B$1,[1]!Data_BS[Thang.Nam],'Dai Loc'!AI$5)</f>
        <v>0</v>
      </c>
      <c r="AJ67" s="229">
        <f>SUMIFS([1]!Data_BS[Value],[1]!Data_BS[Index BS],'Dai Loc'!$B67,[1]!Data_BS[TenCongTyID],'Dai Loc'!$B$1,[1]!Data_BS[Thang.Nam],'Dai Loc'!AJ$5)</f>
        <v>0</v>
      </c>
      <c r="AK67" s="229">
        <f>SUMIFS([1]!Data_BS[Value],[1]!Data_BS[Index BS],'Dai Loc'!$B67,[1]!Data_BS[TenCongTyID],'Dai Loc'!$B$1,[1]!Data_BS[Thang.Nam],'Dai Loc'!AK$5)</f>
        <v>0</v>
      </c>
      <c r="AL67" s="229">
        <f>SUMIFS([1]!Data_BS[Value],[1]!Data_BS[Index BS],'Dai Loc'!$B67,[1]!Data_BS[TenCongTyID],'Dai Loc'!$B$1,[1]!Data_BS[Thang.Nam],'Dai Loc'!AL$5)</f>
        <v>0</v>
      </c>
    </row>
    <row r="68" spans="1:40" ht="15" hidden="1" customHeight="1" outlineLevel="1">
      <c r="A68" s="72" t="s">
        <v>152</v>
      </c>
      <c r="B68" s="65">
        <v>63</v>
      </c>
      <c r="C68" s="233">
        <v>4857379009</v>
      </c>
      <c r="D68" s="233">
        <v>4377415821</v>
      </c>
      <c r="E68" s="233">
        <v>4423435341</v>
      </c>
      <c r="F68" s="233">
        <v>1499586000</v>
      </c>
      <c r="G68" s="233">
        <v>1177211000</v>
      </c>
      <c r="H68" s="233">
        <v>1177211000</v>
      </c>
      <c r="I68" s="233">
        <v>1177211000</v>
      </c>
      <c r="J68" s="233">
        <v>1177211000</v>
      </c>
      <c r="K68" s="233">
        <v>1177211000</v>
      </c>
      <c r="L68" s="233">
        <v>1177211000</v>
      </c>
      <c r="M68" s="233">
        <v>1177211000</v>
      </c>
      <c r="N68" s="234">
        <v>1177211000</v>
      </c>
      <c r="O68" s="234">
        <v>1177211000</v>
      </c>
      <c r="P68" s="234">
        <v>1246628500</v>
      </c>
      <c r="Q68" s="234">
        <v>1725748047</v>
      </c>
      <c r="R68" s="234">
        <v>1627211000</v>
      </c>
      <c r="S68" s="234">
        <v>1185859000</v>
      </c>
      <c r="T68" s="234">
        <v>1187229000</v>
      </c>
      <c r="U68" s="234">
        <v>1178581000</v>
      </c>
      <c r="V68" s="234">
        <v>1178581000</v>
      </c>
      <c r="W68" s="234">
        <v>1178581000</v>
      </c>
      <c r="X68" s="234">
        <v>1178581000</v>
      </c>
      <c r="Y68" s="234">
        <v>1187370250</v>
      </c>
      <c r="Z68" s="234">
        <v>1426085050</v>
      </c>
      <c r="AA68" s="234">
        <f>SUMIFS([1]!Data_BS[Value],[1]!Data_BS[Index BS],'Dai Loc'!$B68,[1]!Data_BS[TenCongTyID],'Dai Loc'!$B$1,[1]!Data_BS[Thang.Nam],'Dai Loc'!AA$5)</f>
        <v>0</v>
      </c>
      <c r="AB68" s="234">
        <f>SUMIFS([1]!Data_BS[Value],[1]!Data_BS[Index BS],'Dai Loc'!$B68,[1]!Data_BS[TenCongTyID],'Dai Loc'!$B$1,[1]!Data_BS[Thang.Nam],'Dai Loc'!AB$5)</f>
        <v>0</v>
      </c>
      <c r="AC68" s="234">
        <f>SUMIFS([1]!Data_BS[Value],[1]!Data_BS[Index BS],'Dai Loc'!$B68,[1]!Data_BS[TenCongTyID],'Dai Loc'!$B$1,[1]!Data_BS[Thang.Nam],'Dai Loc'!AC$5)</f>
        <v>0</v>
      </c>
      <c r="AD68" s="234">
        <f>SUMIFS([1]!Data_BS[Value],[1]!Data_BS[Index BS],'Dai Loc'!$B68,[1]!Data_BS[TenCongTyID],'Dai Loc'!$B$1,[1]!Data_BS[Thang.Nam],'Dai Loc'!AD$5)</f>
        <v>0</v>
      </c>
      <c r="AE68" s="234">
        <f>SUMIFS([1]!Data_BS[Value],[1]!Data_BS[Index BS],'Dai Loc'!$B68,[1]!Data_BS[TenCongTyID],'Dai Loc'!$B$1,[1]!Data_BS[Thang.Nam],'Dai Loc'!AE$5)</f>
        <v>0</v>
      </c>
      <c r="AF68" s="234">
        <f>SUMIFS([1]!Data_BS[Value],[1]!Data_BS[Index BS],'Dai Loc'!$B68,[1]!Data_BS[TenCongTyID],'Dai Loc'!$B$1,[1]!Data_BS[Thang.Nam],'Dai Loc'!AF$5)</f>
        <v>0</v>
      </c>
      <c r="AG68" s="234">
        <f>SUMIFS([1]!Data_BS[Value],[1]!Data_BS[Index BS],'Dai Loc'!$B68,[1]!Data_BS[TenCongTyID],'Dai Loc'!$B$1,[1]!Data_BS[Thang.Nam],'Dai Loc'!AG$5)</f>
        <v>0</v>
      </c>
      <c r="AH68" s="234">
        <f>SUMIFS([1]!Data_BS[Value],[1]!Data_BS[Index BS],'Dai Loc'!$B68,[1]!Data_BS[TenCongTyID],'Dai Loc'!$B$1,[1]!Data_BS[Thang.Nam],'Dai Loc'!AH$5)</f>
        <v>0</v>
      </c>
      <c r="AI68" s="234">
        <f>SUMIFS([1]!Data_BS[Value],[1]!Data_BS[Index BS],'Dai Loc'!$B68,[1]!Data_BS[TenCongTyID],'Dai Loc'!$B$1,[1]!Data_BS[Thang.Nam],'Dai Loc'!AI$5)</f>
        <v>0</v>
      </c>
      <c r="AJ68" s="234">
        <f>SUMIFS([1]!Data_BS[Value],[1]!Data_BS[Index BS],'Dai Loc'!$B68,[1]!Data_BS[TenCongTyID],'Dai Loc'!$B$1,[1]!Data_BS[Thang.Nam],'Dai Loc'!AJ$5)</f>
        <v>0</v>
      </c>
      <c r="AK68" s="234">
        <f>SUMIFS([1]!Data_BS[Value],[1]!Data_BS[Index BS],'Dai Loc'!$B68,[1]!Data_BS[TenCongTyID],'Dai Loc'!$B$1,[1]!Data_BS[Thang.Nam],'Dai Loc'!AK$5)</f>
        <v>0</v>
      </c>
      <c r="AL68" s="234">
        <f>SUMIFS([1]!Data_BS[Value],[1]!Data_BS[Index BS],'Dai Loc'!$B68,[1]!Data_BS[TenCongTyID],'Dai Loc'!$B$1,[1]!Data_BS[Thang.Nam],'Dai Loc'!AL$5)</f>
        <v>0</v>
      </c>
    </row>
    <row r="69" spans="1:40" ht="15" hidden="1" customHeight="1" outlineLevel="1">
      <c r="A69" s="62" t="s">
        <v>153</v>
      </c>
      <c r="B69" s="63">
        <v>64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/>
      <c r="X69" s="229">
        <v>0</v>
      </c>
      <c r="Y69" s="229">
        <v>0</v>
      </c>
      <c r="Z69" s="229">
        <v>0</v>
      </c>
      <c r="AA69" s="229">
        <f>SUMIFS([1]!Data_BS[Value],[1]!Data_BS[Index BS],'Dai Loc'!$B69,[1]!Data_BS[TenCongTyID],'Dai Loc'!$B$1,[1]!Data_BS[Thang.Nam],'Dai Loc'!AA$5)</f>
        <v>0</v>
      </c>
      <c r="AB69" s="229">
        <f>SUMIFS([1]!Data_BS[Value],[1]!Data_BS[Index BS],'Dai Loc'!$B69,[1]!Data_BS[TenCongTyID],'Dai Loc'!$B$1,[1]!Data_BS[Thang.Nam],'Dai Loc'!AB$5)</f>
        <v>0</v>
      </c>
      <c r="AC69" s="229">
        <f>SUMIFS([1]!Data_BS[Value],[1]!Data_BS[Index BS],'Dai Loc'!$B69,[1]!Data_BS[TenCongTyID],'Dai Loc'!$B$1,[1]!Data_BS[Thang.Nam],'Dai Loc'!AC$5)</f>
        <v>0</v>
      </c>
      <c r="AD69" s="229">
        <f>SUMIFS([1]!Data_BS[Value],[1]!Data_BS[Index BS],'Dai Loc'!$B69,[1]!Data_BS[TenCongTyID],'Dai Loc'!$B$1,[1]!Data_BS[Thang.Nam],'Dai Loc'!AD$5)</f>
        <v>0</v>
      </c>
      <c r="AE69" s="229">
        <f>SUMIFS([1]!Data_BS[Value],[1]!Data_BS[Index BS],'Dai Loc'!$B69,[1]!Data_BS[TenCongTyID],'Dai Loc'!$B$1,[1]!Data_BS[Thang.Nam],'Dai Loc'!AE$5)</f>
        <v>0</v>
      </c>
      <c r="AF69" s="229">
        <f>SUMIFS([1]!Data_BS[Value],[1]!Data_BS[Index BS],'Dai Loc'!$B69,[1]!Data_BS[TenCongTyID],'Dai Loc'!$B$1,[1]!Data_BS[Thang.Nam],'Dai Loc'!AF$5)</f>
        <v>0</v>
      </c>
      <c r="AG69" s="229">
        <f>SUMIFS([1]!Data_BS[Value],[1]!Data_BS[Index BS],'Dai Loc'!$B69,[1]!Data_BS[TenCongTyID],'Dai Loc'!$B$1,[1]!Data_BS[Thang.Nam],'Dai Loc'!AG$5)</f>
        <v>0</v>
      </c>
      <c r="AH69" s="229">
        <f>SUMIFS([1]!Data_BS[Value],[1]!Data_BS[Index BS],'Dai Loc'!$B69,[1]!Data_BS[TenCongTyID],'Dai Loc'!$B$1,[1]!Data_BS[Thang.Nam],'Dai Loc'!AH$5)</f>
        <v>0</v>
      </c>
      <c r="AI69" s="229">
        <f>SUMIFS([1]!Data_BS[Value],[1]!Data_BS[Index BS],'Dai Loc'!$B69,[1]!Data_BS[TenCongTyID],'Dai Loc'!$B$1,[1]!Data_BS[Thang.Nam],'Dai Loc'!AI$5)</f>
        <v>0</v>
      </c>
      <c r="AJ69" s="229">
        <f>SUMIFS([1]!Data_BS[Value],[1]!Data_BS[Index BS],'Dai Loc'!$B69,[1]!Data_BS[TenCongTyID],'Dai Loc'!$B$1,[1]!Data_BS[Thang.Nam],'Dai Loc'!AJ$5)</f>
        <v>0</v>
      </c>
      <c r="AK69" s="229">
        <f>SUMIFS([1]!Data_BS[Value],[1]!Data_BS[Index BS],'Dai Loc'!$B69,[1]!Data_BS[TenCongTyID],'Dai Loc'!$B$1,[1]!Data_BS[Thang.Nam],'Dai Loc'!AK$5)</f>
        <v>0</v>
      </c>
      <c r="AL69" s="229">
        <f>SUMIFS([1]!Data_BS[Value],[1]!Data_BS[Index BS],'Dai Loc'!$B69,[1]!Data_BS[TenCongTyID],'Dai Loc'!$B$1,[1]!Data_BS[Thang.Nam],'Dai Loc'!AL$5)</f>
        <v>0</v>
      </c>
    </row>
    <row r="70" spans="1:40" ht="15" hidden="1" customHeight="1" outlineLevel="1">
      <c r="A70" s="62" t="s">
        <v>154</v>
      </c>
      <c r="B70" s="63">
        <v>65</v>
      </c>
      <c r="C70" s="229">
        <v>4857379009</v>
      </c>
      <c r="D70" s="229">
        <v>4377415821</v>
      </c>
      <c r="E70" s="229">
        <v>4423435341</v>
      </c>
      <c r="F70" s="229">
        <v>1499586000</v>
      </c>
      <c r="G70" s="229">
        <v>1177211000</v>
      </c>
      <c r="H70" s="229">
        <v>1177211000</v>
      </c>
      <c r="I70" s="229">
        <v>1177211000</v>
      </c>
      <c r="J70" s="229">
        <v>1177211000</v>
      </c>
      <c r="K70" s="229">
        <v>1177211000</v>
      </c>
      <c r="L70" s="229">
        <v>1177211000</v>
      </c>
      <c r="M70" s="229">
        <v>1177211000</v>
      </c>
      <c r="N70" s="229">
        <v>1177211000</v>
      </c>
      <c r="O70" s="229">
        <v>1177211000</v>
      </c>
      <c r="P70" s="229">
        <v>1246628500</v>
      </c>
      <c r="Q70" s="229">
        <v>1725748047</v>
      </c>
      <c r="R70" s="229">
        <v>1627211000</v>
      </c>
      <c r="S70" s="229">
        <v>1185859000</v>
      </c>
      <c r="T70" s="229">
        <v>1187229000</v>
      </c>
      <c r="U70" s="229">
        <v>1178581000</v>
      </c>
      <c r="V70" s="229">
        <v>1178581000</v>
      </c>
      <c r="W70" s="229">
        <v>1178581000</v>
      </c>
      <c r="X70" s="229">
        <v>1178581000</v>
      </c>
      <c r="Y70" s="229">
        <v>1187370250</v>
      </c>
      <c r="Z70" s="229">
        <v>1426085050</v>
      </c>
      <c r="AA70" s="229">
        <f>SUMIFS([1]!Data_BS[Value],[1]!Data_BS[Index BS],'Dai Loc'!$B70,[1]!Data_BS[TenCongTyID],'Dai Loc'!$B$1,[1]!Data_BS[Thang.Nam],'Dai Loc'!AA$5)</f>
        <v>0</v>
      </c>
      <c r="AB70" s="229">
        <f>SUMIFS([1]!Data_BS[Value],[1]!Data_BS[Index BS],'Dai Loc'!$B70,[1]!Data_BS[TenCongTyID],'Dai Loc'!$B$1,[1]!Data_BS[Thang.Nam],'Dai Loc'!AB$5)</f>
        <v>0</v>
      </c>
      <c r="AC70" s="229">
        <f>SUMIFS([1]!Data_BS[Value],[1]!Data_BS[Index BS],'Dai Loc'!$B70,[1]!Data_BS[TenCongTyID],'Dai Loc'!$B$1,[1]!Data_BS[Thang.Nam],'Dai Loc'!AC$5)</f>
        <v>0</v>
      </c>
      <c r="AD70" s="229">
        <f>SUMIFS([1]!Data_BS[Value],[1]!Data_BS[Index BS],'Dai Loc'!$B70,[1]!Data_BS[TenCongTyID],'Dai Loc'!$B$1,[1]!Data_BS[Thang.Nam],'Dai Loc'!AD$5)</f>
        <v>0</v>
      </c>
      <c r="AE70" s="229">
        <f>SUMIFS([1]!Data_BS[Value],[1]!Data_BS[Index BS],'Dai Loc'!$B70,[1]!Data_BS[TenCongTyID],'Dai Loc'!$B$1,[1]!Data_BS[Thang.Nam],'Dai Loc'!AE$5)</f>
        <v>0</v>
      </c>
      <c r="AF70" s="229">
        <f>SUMIFS([1]!Data_BS[Value],[1]!Data_BS[Index BS],'Dai Loc'!$B70,[1]!Data_BS[TenCongTyID],'Dai Loc'!$B$1,[1]!Data_BS[Thang.Nam],'Dai Loc'!AF$5)</f>
        <v>0</v>
      </c>
      <c r="AG70" s="229">
        <f>SUMIFS([1]!Data_BS[Value],[1]!Data_BS[Index BS],'Dai Loc'!$B70,[1]!Data_BS[TenCongTyID],'Dai Loc'!$B$1,[1]!Data_BS[Thang.Nam],'Dai Loc'!AG$5)</f>
        <v>0</v>
      </c>
      <c r="AH70" s="229">
        <f>SUMIFS([1]!Data_BS[Value],[1]!Data_BS[Index BS],'Dai Loc'!$B70,[1]!Data_BS[TenCongTyID],'Dai Loc'!$B$1,[1]!Data_BS[Thang.Nam],'Dai Loc'!AH$5)</f>
        <v>0</v>
      </c>
      <c r="AI70" s="229">
        <f>SUMIFS([1]!Data_BS[Value],[1]!Data_BS[Index BS],'Dai Loc'!$B70,[1]!Data_BS[TenCongTyID],'Dai Loc'!$B$1,[1]!Data_BS[Thang.Nam],'Dai Loc'!AI$5)</f>
        <v>0</v>
      </c>
      <c r="AJ70" s="229">
        <f>SUMIFS([1]!Data_BS[Value],[1]!Data_BS[Index BS],'Dai Loc'!$B70,[1]!Data_BS[TenCongTyID],'Dai Loc'!$B$1,[1]!Data_BS[Thang.Nam],'Dai Loc'!AJ$5)</f>
        <v>0</v>
      </c>
      <c r="AK70" s="229">
        <f>SUMIFS([1]!Data_BS[Value],[1]!Data_BS[Index BS],'Dai Loc'!$B70,[1]!Data_BS[TenCongTyID],'Dai Loc'!$B$1,[1]!Data_BS[Thang.Nam],'Dai Loc'!AK$5)</f>
        <v>0</v>
      </c>
      <c r="AL70" s="229">
        <f>SUMIFS([1]!Data_BS[Value],[1]!Data_BS[Index BS],'Dai Loc'!$B70,[1]!Data_BS[TenCongTyID],'Dai Loc'!$B$1,[1]!Data_BS[Thang.Nam],'Dai Loc'!AL$5)</f>
        <v>0</v>
      </c>
    </row>
    <row r="71" spans="1:40" ht="15" hidden="1" customHeight="1" outlineLevel="1">
      <c r="A71" s="75" t="s">
        <v>155</v>
      </c>
      <c r="B71" s="65">
        <v>66</v>
      </c>
      <c r="C71" s="233">
        <v>0</v>
      </c>
      <c r="D71" s="233">
        <v>0</v>
      </c>
      <c r="E71" s="233">
        <v>0</v>
      </c>
      <c r="F71" s="233">
        <v>0</v>
      </c>
      <c r="G71" s="233">
        <v>0</v>
      </c>
      <c r="H71" s="233">
        <v>0</v>
      </c>
      <c r="I71" s="233">
        <v>0</v>
      </c>
      <c r="J71" s="233">
        <v>0</v>
      </c>
      <c r="K71" s="233">
        <v>0</v>
      </c>
      <c r="L71" s="233">
        <v>0</v>
      </c>
      <c r="M71" s="233">
        <v>0</v>
      </c>
      <c r="N71" s="233">
        <v>0</v>
      </c>
      <c r="O71" s="233">
        <v>0</v>
      </c>
      <c r="P71" s="233">
        <v>0</v>
      </c>
      <c r="Q71" s="233">
        <v>0</v>
      </c>
      <c r="R71" s="233">
        <v>0</v>
      </c>
      <c r="S71" s="233">
        <v>0</v>
      </c>
      <c r="T71" s="233">
        <v>0</v>
      </c>
      <c r="U71" s="233">
        <v>0</v>
      </c>
      <c r="V71" s="233">
        <v>0</v>
      </c>
      <c r="W71" s="233"/>
      <c r="X71" s="233">
        <v>0</v>
      </c>
      <c r="Y71" s="233">
        <v>0</v>
      </c>
      <c r="Z71" s="233">
        <v>0</v>
      </c>
      <c r="AA71" s="233">
        <f>SUMIFS([1]!Data_BS[Value],[1]!Data_BS[Index BS],'Dai Loc'!$B71,[1]!Data_BS[TenCongTyID],'Dai Loc'!$B$1,[1]!Data_BS[Thang.Nam],'Dai Loc'!AA$5)</f>
        <v>0</v>
      </c>
      <c r="AB71" s="233">
        <f>SUMIFS([1]!Data_BS[Value],[1]!Data_BS[Index BS],'Dai Loc'!$B71,[1]!Data_BS[TenCongTyID],'Dai Loc'!$B$1,[1]!Data_BS[Thang.Nam],'Dai Loc'!AB$5)</f>
        <v>0</v>
      </c>
      <c r="AC71" s="233">
        <f>SUMIFS([1]!Data_BS[Value],[1]!Data_BS[Index BS],'Dai Loc'!$B71,[1]!Data_BS[TenCongTyID],'Dai Loc'!$B$1,[1]!Data_BS[Thang.Nam],'Dai Loc'!AC$5)</f>
        <v>0</v>
      </c>
      <c r="AD71" s="233">
        <f>SUMIFS([1]!Data_BS[Value],[1]!Data_BS[Index BS],'Dai Loc'!$B71,[1]!Data_BS[TenCongTyID],'Dai Loc'!$B$1,[1]!Data_BS[Thang.Nam],'Dai Loc'!AD$5)</f>
        <v>0</v>
      </c>
      <c r="AE71" s="233">
        <f>SUMIFS([1]!Data_BS[Value],[1]!Data_BS[Index BS],'Dai Loc'!$B71,[1]!Data_BS[TenCongTyID],'Dai Loc'!$B$1,[1]!Data_BS[Thang.Nam],'Dai Loc'!AE$5)</f>
        <v>0</v>
      </c>
      <c r="AF71" s="233">
        <f>SUMIFS([1]!Data_BS[Value],[1]!Data_BS[Index BS],'Dai Loc'!$B71,[1]!Data_BS[TenCongTyID],'Dai Loc'!$B$1,[1]!Data_BS[Thang.Nam],'Dai Loc'!AF$5)</f>
        <v>0</v>
      </c>
      <c r="AG71" s="233">
        <f>SUMIFS([1]!Data_BS[Value],[1]!Data_BS[Index BS],'Dai Loc'!$B71,[1]!Data_BS[TenCongTyID],'Dai Loc'!$B$1,[1]!Data_BS[Thang.Nam],'Dai Loc'!AG$5)</f>
        <v>0</v>
      </c>
      <c r="AH71" s="233">
        <f>SUMIFS([1]!Data_BS[Value],[1]!Data_BS[Index BS],'Dai Loc'!$B71,[1]!Data_BS[TenCongTyID],'Dai Loc'!$B$1,[1]!Data_BS[Thang.Nam],'Dai Loc'!AH$5)</f>
        <v>0</v>
      </c>
      <c r="AI71" s="233">
        <f>SUMIFS([1]!Data_BS[Value],[1]!Data_BS[Index BS],'Dai Loc'!$B71,[1]!Data_BS[TenCongTyID],'Dai Loc'!$B$1,[1]!Data_BS[Thang.Nam],'Dai Loc'!AI$5)</f>
        <v>0</v>
      </c>
      <c r="AJ71" s="233">
        <f>SUMIFS([1]!Data_BS[Value],[1]!Data_BS[Index BS],'Dai Loc'!$B71,[1]!Data_BS[TenCongTyID],'Dai Loc'!$B$1,[1]!Data_BS[Thang.Nam],'Dai Loc'!AJ$5)</f>
        <v>0</v>
      </c>
      <c r="AK71" s="233">
        <f>SUMIFS([1]!Data_BS[Value],[1]!Data_BS[Index BS],'Dai Loc'!$B71,[1]!Data_BS[TenCongTyID],'Dai Loc'!$B$1,[1]!Data_BS[Thang.Nam],'Dai Loc'!AK$5)</f>
        <v>0</v>
      </c>
      <c r="AL71" s="233">
        <f>SUMIFS([1]!Data_BS[Value],[1]!Data_BS[Index BS],'Dai Loc'!$B71,[1]!Data_BS[TenCongTyID],'Dai Loc'!$B$1,[1]!Data_BS[Thang.Nam],'Dai Loc'!AL$5)</f>
        <v>0</v>
      </c>
    </row>
    <row r="72" spans="1:40" ht="15" hidden="1" customHeight="1" outlineLevel="1">
      <c r="A72" s="62" t="s">
        <v>156</v>
      </c>
      <c r="B72" s="63">
        <v>67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/>
      <c r="X72" s="229">
        <v>0</v>
      </c>
      <c r="Y72" s="229">
        <v>0</v>
      </c>
      <c r="Z72" s="229">
        <v>0</v>
      </c>
      <c r="AA72" s="229">
        <f>SUMIFS([1]!Data_BS[Value],[1]!Data_BS[Index BS],'Dai Loc'!$B72,[1]!Data_BS[TenCongTyID],'Dai Loc'!$B$1,[1]!Data_BS[Thang.Nam],'Dai Loc'!AA$5)</f>
        <v>0</v>
      </c>
      <c r="AB72" s="229">
        <f>SUMIFS([1]!Data_BS[Value],[1]!Data_BS[Index BS],'Dai Loc'!$B72,[1]!Data_BS[TenCongTyID],'Dai Loc'!$B$1,[1]!Data_BS[Thang.Nam],'Dai Loc'!AB$5)</f>
        <v>0</v>
      </c>
      <c r="AC72" s="229">
        <f>SUMIFS([1]!Data_BS[Value],[1]!Data_BS[Index BS],'Dai Loc'!$B72,[1]!Data_BS[TenCongTyID],'Dai Loc'!$B$1,[1]!Data_BS[Thang.Nam],'Dai Loc'!AC$5)</f>
        <v>0</v>
      </c>
      <c r="AD72" s="229">
        <f>SUMIFS([1]!Data_BS[Value],[1]!Data_BS[Index BS],'Dai Loc'!$B72,[1]!Data_BS[TenCongTyID],'Dai Loc'!$B$1,[1]!Data_BS[Thang.Nam],'Dai Loc'!AD$5)</f>
        <v>0</v>
      </c>
      <c r="AE72" s="229">
        <f>SUMIFS([1]!Data_BS[Value],[1]!Data_BS[Index BS],'Dai Loc'!$B72,[1]!Data_BS[TenCongTyID],'Dai Loc'!$B$1,[1]!Data_BS[Thang.Nam],'Dai Loc'!AE$5)</f>
        <v>0</v>
      </c>
      <c r="AF72" s="229">
        <f>SUMIFS([1]!Data_BS[Value],[1]!Data_BS[Index BS],'Dai Loc'!$B72,[1]!Data_BS[TenCongTyID],'Dai Loc'!$B$1,[1]!Data_BS[Thang.Nam],'Dai Loc'!AF$5)</f>
        <v>0</v>
      </c>
      <c r="AG72" s="229">
        <f>SUMIFS([1]!Data_BS[Value],[1]!Data_BS[Index BS],'Dai Loc'!$B72,[1]!Data_BS[TenCongTyID],'Dai Loc'!$B$1,[1]!Data_BS[Thang.Nam],'Dai Loc'!AG$5)</f>
        <v>0</v>
      </c>
      <c r="AH72" s="229">
        <f>SUMIFS([1]!Data_BS[Value],[1]!Data_BS[Index BS],'Dai Loc'!$B72,[1]!Data_BS[TenCongTyID],'Dai Loc'!$B$1,[1]!Data_BS[Thang.Nam],'Dai Loc'!AH$5)</f>
        <v>0</v>
      </c>
      <c r="AI72" s="229">
        <f>SUMIFS([1]!Data_BS[Value],[1]!Data_BS[Index BS],'Dai Loc'!$B72,[1]!Data_BS[TenCongTyID],'Dai Loc'!$B$1,[1]!Data_BS[Thang.Nam],'Dai Loc'!AI$5)</f>
        <v>0</v>
      </c>
      <c r="AJ72" s="229">
        <f>SUMIFS([1]!Data_BS[Value],[1]!Data_BS[Index BS],'Dai Loc'!$B72,[1]!Data_BS[TenCongTyID],'Dai Loc'!$B$1,[1]!Data_BS[Thang.Nam],'Dai Loc'!AJ$5)</f>
        <v>0</v>
      </c>
      <c r="AK72" s="229">
        <f>SUMIFS([1]!Data_BS[Value],[1]!Data_BS[Index BS],'Dai Loc'!$B72,[1]!Data_BS[TenCongTyID],'Dai Loc'!$B$1,[1]!Data_BS[Thang.Nam],'Dai Loc'!AK$5)</f>
        <v>0</v>
      </c>
      <c r="AL72" s="229">
        <f>SUMIFS([1]!Data_BS[Value],[1]!Data_BS[Index BS],'Dai Loc'!$B72,[1]!Data_BS[TenCongTyID],'Dai Loc'!$B$1,[1]!Data_BS[Thang.Nam],'Dai Loc'!AL$5)</f>
        <v>0</v>
      </c>
    </row>
    <row r="73" spans="1:40" ht="15" hidden="1" customHeight="1" outlineLevel="1">
      <c r="A73" s="62" t="s">
        <v>157</v>
      </c>
      <c r="B73" s="63">
        <v>68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/>
      <c r="X73" s="229">
        <v>0</v>
      </c>
      <c r="Y73" s="229">
        <v>0</v>
      </c>
      <c r="Z73" s="229">
        <v>0</v>
      </c>
      <c r="AA73" s="229">
        <f>SUMIFS([1]!Data_BS[Value],[1]!Data_BS[Index BS],'Dai Loc'!$B73,[1]!Data_BS[TenCongTyID],'Dai Loc'!$B$1,[1]!Data_BS[Thang.Nam],'Dai Loc'!AA$5)</f>
        <v>0</v>
      </c>
      <c r="AB73" s="229">
        <f>SUMIFS([1]!Data_BS[Value],[1]!Data_BS[Index BS],'Dai Loc'!$B73,[1]!Data_BS[TenCongTyID],'Dai Loc'!$B$1,[1]!Data_BS[Thang.Nam],'Dai Loc'!AB$5)</f>
        <v>0</v>
      </c>
      <c r="AC73" s="229">
        <f>SUMIFS([1]!Data_BS[Value],[1]!Data_BS[Index BS],'Dai Loc'!$B73,[1]!Data_BS[TenCongTyID],'Dai Loc'!$B$1,[1]!Data_BS[Thang.Nam],'Dai Loc'!AC$5)</f>
        <v>0</v>
      </c>
      <c r="AD73" s="229">
        <f>SUMIFS([1]!Data_BS[Value],[1]!Data_BS[Index BS],'Dai Loc'!$B73,[1]!Data_BS[TenCongTyID],'Dai Loc'!$B$1,[1]!Data_BS[Thang.Nam],'Dai Loc'!AD$5)</f>
        <v>0</v>
      </c>
      <c r="AE73" s="229">
        <f>SUMIFS([1]!Data_BS[Value],[1]!Data_BS[Index BS],'Dai Loc'!$B73,[1]!Data_BS[TenCongTyID],'Dai Loc'!$B$1,[1]!Data_BS[Thang.Nam],'Dai Loc'!AE$5)</f>
        <v>0</v>
      </c>
      <c r="AF73" s="229">
        <f>SUMIFS([1]!Data_BS[Value],[1]!Data_BS[Index BS],'Dai Loc'!$B73,[1]!Data_BS[TenCongTyID],'Dai Loc'!$B$1,[1]!Data_BS[Thang.Nam],'Dai Loc'!AF$5)</f>
        <v>0</v>
      </c>
      <c r="AG73" s="229">
        <f>SUMIFS([1]!Data_BS[Value],[1]!Data_BS[Index BS],'Dai Loc'!$B73,[1]!Data_BS[TenCongTyID],'Dai Loc'!$B$1,[1]!Data_BS[Thang.Nam],'Dai Loc'!AG$5)</f>
        <v>0</v>
      </c>
      <c r="AH73" s="229">
        <f>SUMIFS([1]!Data_BS[Value],[1]!Data_BS[Index BS],'Dai Loc'!$B73,[1]!Data_BS[TenCongTyID],'Dai Loc'!$B$1,[1]!Data_BS[Thang.Nam],'Dai Loc'!AH$5)</f>
        <v>0</v>
      </c>
      <c r="AI73" s="229">
        <f>SUMIFS([1]!Data_BS[Value],[1]!Data_BS[Index BS],'Dai Loc'!$B73,[1]!Data_BS[TenCongTyID],'Dai Loc'!$B$1,[1]!Data_BS[Thang.Nam],'Dai Loc'!AI$5)</f>
        <v>0</v>
      </c>
      <c r="AJ73" s="229">
        <f>SUMIFS([1]!Data_BS[Value],[1]!Data_BS[Index BS],'Dai Loc'!$B73,[1]!Data_BS[TenCongTyID],'Dai Loc'!$B$1,[1]!Data_BS[Thang.Nam],'Dai Loc'!AJ$5)</f>
        <v>0</v>
      </c>
      <c r="AK73" s="229">
        <f>SUMIFS([1]!Data_BS[Value],[1]!Data_BS[Index BS],'Dai Loc'!$B73,[1]!Data_BS[TenCongTyID],'Dai Loc'!$B$1,[1]!Data_BS[Thang.Nam],'Dai Loc'!AK$5)</f>
        <v>0</v>
      </c>
      <c r="AL73" s="229">
        <f>SUMIFS([1]!Data_BS[Value],[1]!Data_BS[Index BS],'Dai Loc'!$B73,[1]!Data_BS[TenCongTyID],'Dai Loc'!$B$1,[1]!Data_BS[Thang.Nam],'Dai Loc'!AL$5)</f>
        <v>0</v>
      </c>
    </row>
    <row r="74" spans="1:40" ht="15" hidden="1" customHeight="1" outlineLevel="1">
      <c r="A74" s="62" t="s">
        <v>158</v>
      </c>
      <c r="B74" s="63">
        <v>69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/>
      <c r="X74" s="229">
        <v>0</v>
      </c>
      <c r="Y74" s="229">
        <v>0</v>
      </c>
      <c r="Z74" s="229">
        <v>0</v>
      </c>
      <c r="AA74" s="229">
        <f>SUMIFS([1]!Data_BS[Value],[1]!Data_BS[Index BS],'Dai Loc'!$B74,[1]!Data_BS[TenCongTyID],'Dai Loc'!$B$1,[1]!Data_BS[Thang.Nam],'Dai Loc'!AA$5)</f>
        <v>0</v>
      </c>
      <c r="AB74" s="229">
        <f>SUMIFS([1]!Data_BS[Value],[1]!Data_BS[Index BS],'Dai Loc'!$B74,[1]!Data_BS[TenCongTyID],'Dai Loc'!$B$1,[1]!Data_BS[Thang.Nam],'Dai Loc'!AB$5)</f>
        <v>0</v>
      </c>
      <c r="AC74" s="229">
        <f>SUMIFS([1]!Data_BS[Value],[1]!Data_BS[Index BS],'Dai Loc'!$B74,[1]!Data_BS[TenCongTyID],'Dai Loc'!$B$1,[1]!Data_BS[Thang.Nam],'Dai Loc'!AC$5)</f>
        <v>0</v>
      </c>
      <c r="AD74" s="229">
        <f>SUMIFS([1]!Data_BS[Value],[1]!Data_BS[Index BS],'Dai Loc'!$B74,[1]!Data_BS[TenCongTyID],'Dai Loc'!$B$1,[1]!Data_BS[Thang.Nam],'Dai Loc'!AD$5)</f>
        <v>0</v>
      </c>
      <c r="AE74" s="229">
        <f>SUMIFS([1]!Data_BS[Value],[1]!Data_BS[Index BS],'Dai Loc'!$B74,[1]!Data_BS[TenCongTyID],'Dai Loc'!$B$1,[1]!Data_BS[Thang.Nam],'Dai Loc'!AE$5)</f>
        <v>0</v>
      </c>
      <c r="AF74" s="229">
        <f>SUMIFS([1]!Data_BS[Value],[1]!Data_BS[Index BS],'Dai Loc'!$B74,[1]!Data_BS[TenCongTyID],'Dai Loc'!$B$1,[1]!Data_BS[Thang.Nam],'Dai Loc'!AF$5)</f>
        <v>0</v>
      </c>
      <c r="AG74" s="229">
        <f>SUMIFS([1]!Data_BS[Value],[1]!Data_BS[Index BS],'Dai Loc'!$B74,[1]!Data_BS[TenCongTyID],'Dai Loc'!$B$1,[1]!Data_BS[Thang.Nam],'Dai Loc'!AG$5)</f>
        <v>0</v>
      </c>
      <c r="AH74" s="229">
        <f>SUMIFS([1]!Data_BS[Value],[1]!Data_BS[Index BS],'Dai Loc'!$B74,[1]!Data_BS[TenCongTyID],'Dai Loc'!$B$1,[1]!Data_BS[Thang.Nam],'Dai Loc'!AH$5)</f>
        <v>0</v>
      </c>
      <c r="AI74" s="229">
        <f>SUMIFS([1]!Data_BS[Value],[1]!Data_BS[Index BS],'Dai Loc'!$B74,[1]!Data_BS[TenCongTyID],'Dai Loc'!$B$1,[1]!Data_BS[Thang.Nam],'Dai Loc'!AI$5)</f>
        <v>0</v>
      </c>
      <c r="AJ74" s="229">
        <f>SUMIFS([1]!Data_BS[Value],[1]!Data_BS[Index BS],'Dai Loc'!$B74,[1]!Data_BS[TenCongTyID],'Dai Loc'!$B$1,[1]!Data_BS[Thang.Nam],'Dai Loc'!AJ$5)</f>
        <v>0</v>
      </c>
      <c r="AK74" s="229">
        <f>SUMIFS([1]!Data_BS[Value],[1]!Data_BS[Index BS],'Dai Loc'!$B74,[1]!Data_BS[TenCongTyID],'Dai Loc'!$B$1,[1]!Data_BS[Thang.Nam],'Dai Loc'!AK$5)</f>
        <v>0</v>
      </c>
      <c r="AL74" s="229">
        <f>SUMIFS([1]!Data_BS[Value],[1]!Data_BS[Index BS],'Dai Loc'!$B74,[1]!Data_BS[TenCongTyID],'Dai Loc'!$B$1,[1]!Data_BS[Thang.Nam],'Dai Loc'!AL$5)</f>
        <v>0</v>
      </c>
    </row>
    <row r="75" spans="1:40" ht="15" hidden="1" customHeight="1" outlineLevel="1">
      <c r="A75" s="62" t="s">
        <v>159</v>
      </c>
      <c r="B75" s="63">
        <v>70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/>
      <c r="X75" s="229">
        <v>0</v>
      </c>
      <c r="Y75" s="229">
        <v>0</v>
      </c>
      <c r="Z75" s="229">
        <v>0</v>
      </c>
      <c r="AA75" s="229">
        <f>SUMIFS([1]!Data_BS[Value],[1]!Data_BS[Index BS],'Dai Loc'!$B75,[1]!Data_BS[TenCongTyID],'Dai Loc'!$B$1,[1]!Data_BS[Thang.Nam],'Dai Loc'!AA$5)</f>
        <v>0</v>
      </c>
      <c r="AB75" s="229">
        <f>SUMIFS([1]!Data_BS[Value],[1]!Data_BS[Index BS],'Dai Loc'!$B75,[1]!Data_BS[TenCongTyID],'Dai Loc'!$B$1,[1]!Data_BS[Thang.Nam],'Dai Loc'!AB$5)</f>
        <v>0</v>
      </c>
      <c r="AC75" s="229">
        <f>SUMIFS([1]!Data_BS[Value],[1]!Data_BS[Index BS],'Dai Loc'!$B75,[1]!Data_BS[TenCongTyID],'Dai Loc'!$B$1,[1]!Data_BS[Thang.Nam],'Dai Loc'!AC$5)</f>
        <v>0</v>
      </c>
      <c r="AD75" s="229">
        <f>SUMIFS([1]!Data_BS[Value],[1]!Data_BS[Index BS],'Dai Loc'!$B75,[1]!Data_BS[TenCongTyID],'Dai Loc'!$B$1,[1]!Data_BS[Thang.Nam],'Dai Loc'!AD$5)</f>
        <v>0</v>
      </c>
      <c r="AE75" s="229">
        <f>SUMIFS([1]!Data_BS[Value],[1]!Data_BS[Index BS],'Dai Loc'!$B75,[1]!Data_BS[TenCongTyID],'Dai Loc'!$B$1,[1]!Data_BS[Thang.Nam],'Dai Loc'!AE$5)</f>
        <v>0</v>
      </c>
      <c r="AF75" s="229">
        <f>SUMIFS([1]!Data_BS[Value],[1]!Data_BS[Index BS],'Dai Loc'!$B75,[1]!Data_BS[TenCongTyID],'Dai Loc'!$B$1,[1]!Data_BS[Thang.Nam],'Dai Loc'!AF$5)</f>
        <v>0</v>
      </c>
      <c r="AG75" s="229">
        <f>SUMIFS([1]!Data_BS[Value],[1]!Data_BS[Index BS],'Dai Loc'!$B75,[1]!Data_BS[TenCongTyID],'Dai Loc'!$B$1,[1]!Data_BS[Thang.Nam],'Dai Loc'!AG$5)</f>
        <v>0</v>
      </c>
      <c r="AH75" s="229">
        <f>SUMIFS([1]!Data_BS[Value],[1]!Data_BS[Index BS],'Dai Loc'!$B75,[1]!Data_BS[TenCongTyID],'Dai Loc'!$B$1,[1]!Data_BS[Thang.Nam],'Dai Loc'!AH$5)</f>
        <v>0</v>
      </c>
      <c r="AI75" s="229">
        <f>SUMIFS([1]!Data_BS[Value],[1]!Data_BS[Index BS],'Dai Loc'!$B75,[1]!Data_BS[TenCongTyID],'Dai Loc'!$B$1,[1]!Data_BS[Thang.Nam],'Dai Loc'!AI$5)</f>
        <v>0</v>
      </c>
      <c r="AJ75" s="229">
        <f>SUMIFS([1]!Data_BS[Value],[1]!Data_BS[Index BS],'Dai Loc'!$B75,[1]!Data_BS[TenCongTyID],'Dai Loc'!$B$1,[1]!Data_BS[Thang.Nam],'Dai Loc'!AJ$5)</f>
        <v>0</v>
      </c>
      <c r="AK75" s="229">
        <f>SUMIFS([1]!Data_BS[Value],[1]!Data_BS[Index BS],'Dai Loc'!$B75,[1]!Data_BS[TenCongTyID],'Dai Loc'!$B$1,[1]!Data_BS[Thang.Nam],'Dai Loc'!AK$5)</f>
        <v>0</v>
      </c>
      <c r="AL75" s="229">
        <f>SUMIFS([1]!Data_BS[Value],[1]!Data_BS[Index BS],'Dai Loc'!$B75,[1]!Data_BS[TenCongTyID],'Dai Loc'!$B$1,[1]!Data_BS[Thang.Nam],'Dai Loc'!AL$5)</f>
        <v>0</v>
      </c>
    </row>
    <row r="76" spans="1:40" ht="15" hidden="1" customHeight="1" outlineLevel="1">
      <c r="A76" s="66" t="s">
        <v>160</v>
      </c>
      <c r="B76" s="63">
        <v>71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/>
      <c r="X76" s="229">
        <v>0</v>
      </c>
      <c r="Y76" s="229">
        <v>0</v>
      </c>
      <c r="Z76" s="229">
        <v>0</v>
      </c>
      <c r="AA76" s="229">
        <f>SUMIFS([1]!Data_BS[Value],[1]!Data_BS[Index BS],'Dai Loc'!$B76,[1]!Data_BS[TenCongTyID],'Dai Loc'!$B$1,[1]!Data_BS[Thang.Nam],'Dai Loc'!AA$5)</f>
        <v>0</v>
      </c>
      <c r="AB76" s="229">
        <f>SUMIFS([1]!Data_BS[Value],[1]!Data_BS[Index BS],'Dai Loc'!$B76,[1]!Data_BS[TenCongTyID],'Dai Loc'!$B$1,[1]!Data_BS[Thang.Nam],'Dai Loc'!AB$5)</f>
        <v>0</v>
      </c>
      <c r="AC76" s="229">
        <f>SUMIFS([1]!Data_BS[Value],[1]!Data_BS[Index BS],'Dai Loc'!$B76,[1]!Data_BS[TenCongTyID],'Dai Loc'!$B$1,[1]!Data_BS[Thang.Nam],'Dai Loc'!AC$5)</f>
        <v>0</v>
      </c>
      <c r="AD76" s="229">
        <f>SUMIFS([1]!Data_BS[Value],[1]!Data_BS[Index BS],'Dai Loc'!$B76,[1]!Data_BS[TenCongTyID],'Dai Loc'!$B$1,[1]!Data_BS[Thang.Nam],'Dai Loc'!AD$5)</f>
        <v>0</v>
      </c>
      <c r="AE76" s="229">
        <f>SUMIFS([1]!Data_BS[Value],[1]!Data_BS[Index BS],'Dai Loc'!$B76,[1]!Data_BS[TenCongTyID],'Dai Loc'!$B$1,[1]!Data_BS[Thang.Nam],'Dai Loc'!AE$5)</f>
        <v>0</v>
      </c>
      <c r="AF76" s="229">
        <f>SUMIFS([1]!Data_BS[Value],[1]!Data_BS[Index BS],'Dai Loc'!$B76,[1]!Data_BS[TenCongTyID],'Dai Loc'!$B$1,[1]!Data_BS[Thang.Nam],'Dai Loc'!AF$5)</f>
        <v>0</v>
      </c>
      <c r="AG76" s="229">
        <f>SUMIFS([1]!Data_BS[Value],[1]!Data_BS[Index BS],'Dai Loc'!$B76,[1]!Data_BS[TenCongTyID],'Dai Loc'!$B$1,[1]!Data_BS[Thang.Nam],'Dai Loc'!AG$5)</f>
        <v>0</v>
      </c>
      <c r="AH76" s="229">
        <f>SUMIFS([1]!Data_BS[Value],[1]!Data_BS[Index BS],'Dai Loc'!$B76,[1]!Data_BS[TenCongTyID],'Dai Loc'!$B$1,[1]!Data_BS[Thang.Nam],'Dai Loc'!AH$5)</f>
        <v>0</v>
      </c>
      <c r="AI76" s="229">
        <f>SUMIFS([1]!Data_BS[Value],[1]!Data_BS[Index BS],'Dai Loc'!$B76,[1]!Data_BS[TenCongTyID],'Dai Loc'!$B$1,[1]!Data_BS[Thang.Nam],'Dai Loc'!AI$5)</f>
        <v>0</v>
      </c>
      <c r="AJ76" s="229">
        <f>SUMIFS([1]!Data_BS[Value],[1]!Data_BS[Index BS],'Dai Loc'!$B76,[1]!Data_BS[TenCongTyID],'Dai Loc'!$B$1,[1]!Data_BS[Thang.Nam],'Dai Loc'!AJ$5)</f>
        <v>0</v>
      </c>
      <c r="AK76" s="229">
        <f>SUMIFS([1]!Data_BS[Value],[1]!Data_BS[Index BS],'Dai Loc'!$B76,[1]!Data_BS[TenCongTyID],'Dai Loc'!$B$1,[1]!Data_BS[Thang.Nam],'Dai Loc'!AK$5)</f>
        <v>0</v>
      </c>
      <c r="AL76" s="229">
        <f>SUMIFS([1]!Data_BS[Value],[1]!Data_BS[Index BS],'Dai Loc'!$B76,[1]!Data_BS[TenCongTyID],'Dai Loc'!$B$1,[1]!Data_BS[Thang.Nam],'Dai Loc'!AL$5)</f>
        <v>0</v>
      </c>
    </row>
    <row r="77" spans="1:40" ht="15" hidden="1" customHeight="1" outlineLevel="1">
      <c r="A77" s="66" t="s">
        <v>161</v>
      </c>
      <c r="B77" s="63">
        <v>72</v>
      </c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>
        <v>0</v>
      </c>
      <c r="AA77" s="229">
        <f>SUMIFS([1]!Data_BS[Value],[1]!Data_BS[Index BS],'Dai Loc'!$B77,[1]!Data_BS[TenCongTyID],'Dai Loc'!$B$1,[1]!Data_BS[Thang.Nam],'Dai Loc'!AA$5)</f>
        <v>0</v>
      </c>
      <c r="AB77" s="229">
        <f>SUMIFS([1]!Data_BS[Value],[1]!Data_BS[Index BS],'Dai Loc'!$B77,[1]!Data_BS[TenCongTyID],'Dai Loc'!$B$1,[1]!Data_BS[Thang.Nam],'Dai Loc'!AB$5)</f>
        <v>0</v>
      </c>
      <c r="AC77" s="229">
        <f>SUMIFS([1]!Data_BS[Value],[1]!Data_BS[Index BS],'Dai Loc'!$B77,[1]!Data_BS[TenCongTyID],'Dai Loc'!$B$1,[1]!Data_BS[Thang.Nam],'Dai Loc'!AC$5)</f>
        <v>0</v>
      </c>
      <c r="AD77" s="229">
        <f>SUMIFS([1]!Data_BS[Value],[1]!Data_BS[Index BS],'Dai Loc'!$B77,[1]!Data_BS[TenCongTyID],'Dai Loc'!$B$1,[1]!Data_BS[Thang.Nam],'Dai Loc'!AD$5)</f>
        <v>0</v>
      </c>
      <c r="AE77" s="229">
        <f>SUMIFS([1]!Data_BS[Value],[1]!Data_BS[Index BS],'Dai Loc'!$B77,[1]!Data_BS[TenCongTyID],'Dai Loc'!$B$1,[1]!Data_BS[Thang.Nam],'Dai Loc'!AE$5)</f>
        <v>0</v>
      </c>
      <c r="AF77" s="229">
        <f>SUMIFS([1]!Data_BS[Value],[1]!Data_BS[Index BS],'Dai Loc'!$B77,[1]!Data_BS[TenCongTyID],'Dai Loc'!$B$1,[1]!Data_BS[Thang.Nam],'Dai Loc'!AF$5)</f>
        <v>0</v>
      </c>
      <c r="AG77" s="229">
        <f>SUMIFS([1]!Data_BS[Value],[1]!Data_BS[Index BS],'Dai Loc'!$B77,[1]!Data_BS[TenCongTyID],'Dai Loc'!$B$1,[1]!Data_BS[Thang.Nam],'Dai Loc'!AG$5)</f>
        <v>0</v>
      </c>
      <c r="AH77" s="229">
        <f>SUMIFS([1]!Data_BS[Value],[1]!Data_BS[Index BS],'Dai Loc'!$B77,[1]!Data_BS[TenCongTyID],'Dai Loc'!$B$1,[1]!Data_BS[Thang.Nam],'Dai Loc'!AH$5)</f>
        <v>0</v>
      </c>
      <c r="AI77" s="229">
        <f>SUMIFS([1]!Data_BS[Value],[1]!Data_BS[Index BS],'Dai Loc'!$B77,[1]!Data_BS[TenCongTyID],'Dai Loc'!$B$1,[1]!Data_BS[Thang.Nam],'Dai Loc'!AI$5)</f>
        <v>0</v>
      </c>
      <c r="AJ77" s="229">
        <f>SUMIFS([1]!Data_BS[Value],[1]!Data_BS[Index BS],'Dai Loc'!$B77,[1]!Data_BS[TenCongTyID],'Dai Loc'!$B$1,[1]!Data_BS[Thang.Nam],'Dai Loc'!AJ$5)</f>
        <v>0</v>
      </c>
      <c r="AK77" s="229">
        <f>SUMIFS([1]!Data_BS[Value],[1]!Data_BS[Index BS],'Dai Loc'!$B77,[1]!Data_BS[TenCongTyID],'Dai Loc'!$B$1,[1]!Data_BS[Thang.Nam],'Dai Loc'!AK$5)</f>
        <v>0</v>
      </c>
      <c r="AL77" s="229">
        <f>SUMIFS([1]!Data_BS[Value],[1]!Data_BS[Index BS],'Dai Loc'!$B77,[1]!Data_BS[TenCongTyID],'Dai Loc'!$B$1,[1]!Data_BS[Thang.Nam],'Dai Loc'!AL$5)</f>
        <v>0</v>
      </c>
    </row>
    <row r="78" spans="1:40" s="78" customFormat="1" ht="15" hidden="1" customHeight="1" outlineLevel="1">
      <c r="A78" s="76" t="s">
        <v>162</v>
      </c>
      <c r="B78" s="65">
        <v>73</v>
      </c>
      <c r="C78" s="233">
        <v>704215963</v>
      </c>
      <c r="D78" s="233">
        <v>680253532</v>
      </c>
      <c r="E78" s="233">
        <v>656291101</v>
      </c>
      <c r="F78" s="233">
        <v>632328670</v>
      </c>
      <c r="G78" s="233">
        <v>608366239</v>
      </c>
      <c r="H78" s="233">
        <v>584403808</v>
      </c>
      <c r="I78" s="233">
        <v>560441377</v>
      </c>
      <c r="J78" s="233">
        <v>547278946</v>
      </c>
      <c r="K78" s="233">
        <v>523316515</v>
      </c>
      <c r="L78" s="233">
        <v>504337425</v>
      </c>
      <c r="M78" s="233">
        <v>480158327</v>
      </c>
      <c r="N78" s="234">
        <v>466779229</v>
      </c>
      <c r="O78" s="234">
        <v>542023248</v>
      </c>
      <c r="P78" s="234">
        <v>513990299</v>
      </c>
      <c r="Q78" s="234">
        <v>527895351</v>
      </c>
      <c r="R78" s="234">
        <v>678382106</v>
      </c>
      <c r="S78" s="234">
        <v>1150190807</v>
      </c>
      <c r="T78" s="234">
        <v>1528716565</v>
      </c>
      <c r="U78" s="234">
        <v>1526244797</v>
      </c>
      <c r="V78" s="234">
        <v>2091139723</v>
      </c>
      <c r="W78" s="234">
        <v>2032780780</v>
      </c>
      <c r="X78" s="234">
        <v>2064174402</v>
      </c>
      <c r="Y78" s="234">
        <v>2036636660</v>
      </c>
      <c r="Z78" s="234">
        <v>1992826605</v>
      </c>
      <c r="AA78" s="234">
        <f>SUMIFS([1]!Data_BS[Value],[1]!Data_BS[Index BS],'Dai Loc'!$B78,[1]!Data_BS[TenCongTyID],'Dai Loc'!$B$1,[1]!Data_BS[Thang.Nam],'Dai Loc'!AA$5)</f>
        <v>0</v>
      </c>
      <c r="AB78" s="234">
        <f>SUMIFS([1]!Data_BS[Value],[1]!Data_BS[Index BS],'Dai Loc'!$B78,[1]!Data_BS[TenCongTyID],'Dai Loc'!$B$1,[1]!Data_BS[Thang.Nam],'Dai Loc'!AB$5)</f>
        <v>0</v>
      </c>
      <c r="AC78" s="234">
        <f>SUMIFS([1]!Data_BS[Value],[1]!Data_BS[Index BS],'Dai Loc'!$B78,[1]!Data_BS[TenCongTyID],'Dai Loc'!$B$1,[1]!Data_BS[Thang.Nam],'Dai Loc'!AC$5)</f>
        <v>0</v>
      </c>
      <c r="AD78" s="234">
        <f>SUMIFS([1]!Data_BS[Value],[1]!Data_BS[Index BS],'Dai Loc'!$B78,[1]!Data_BS[TenCongTyID],'Dai Loc'!$B$1,[1]!Data_BS[Thang.Nam],'Dai Loc'!AD$5)</f>
        <v>0</v>
      </c>
      <c r="AE78" s="234">
        <f>SUMIFS([1]!Data_BS[Value],[1]!Data_BS[Index BS],'Dai Loc'!$B78,[1]!Data_BS[TenCongTyID],'Dai Loc'!$B$1,[1]!Data_BS[Thang.Nam],'Dai Loc'!AE$5)</f>
        <v>0</v>
      </c>
      <c r="AF78" s="234">
        <f>SUMIFS([1]!Data_BS[Value],[1]!Data_BS[Index BS],'Dai Loc'!$B78,[1]!Data_BS[TenCongTyID],'Dai Loc'!$B$1,[1]!Data_BS[Thang.Nam],'Dai Loc'!AF$5)</f>
        <v>0</v>
      </c>
      <c r="AG78" s="234">
        <f>SUMIFS([1]!Data_BS[Value],[1]!Data_BS[Index BS],'Dai Loc'!$B78,[1]!Data_BS[TenCongTyID],'Dai Loc'!$B$1,[1]!Data_BS[Thang.Nam],'Dai Loc'!AG$5)</f>
        <v>0</v>
      </c>
      <c r="AH78" s="234">
        <f>SUMIFS([1]!Data_BS[Value],[1]!Data_BS[Index BS],'Dai Loc'!$B78,[1]!Data_BS[TenCongTyID],'Dai Loc'!$B$1,[1]!Data_BS[Thang.Nam],'Dai Loc'!AH$5)</f>
        <v>0</v>
      </c>
      <c r="AI78" s="234">
        <f>SUMIFS([1]!Data_BS[Value],[1]!Data_BS[Index BS],'Dai Loc'!$B78,[1]!Data_BS[TenCongTyID],'Dai Loc'!$B$1,[1]!Data_BS[Thang.Nam],'Dai Loc'!AI$5)</f>
        <v>0</v>
      </c>
      <c r="AJ78" s="234">
        <f>SUMIFS([1]!Data_BS[Value],[1]!Data_BS[Index BS],'Dai Loc'!$B78,[1]!Data_BS[TenCongTyID],'Dai Loc'!$B$1,[1]!Data_BS[Thang.Nam],'Dai Loc'!AJ$5)</f>
        <v>0</v>
      </c>
      <c r="AK78" s="234">
        <f>SUMIFS([1]!Data_BS[Value],[1]!Data_BS[Index BS],'Dai Loc'!$B78,[1]!Data_BS[TenCongTyID],'Dai Loc'!$B$1,[1]!Data_BS[Thang.Nam],'Dai Loc'!AK$5)</f>
        <v>0</v>
      </c>
      <c r="AL78" s="234">
        <f>SUMIFS([1]!Data_BS[Value],[1]!Data_BS[Index BS],'Dai Loc'!$B78,[1]!Data_BS[TenCongTyID],'Dai Loc'!$B$1,[1]!Data_BS[Thang.Nam],'Dai Loc'!AL$5)</f>
        <v>0</v>
      </c>
      <c r="AN78" s="43"/>
    </row>
    <row r="79" spans="1:40" ht="15" hidden="1" customHeight="1" outlineLevel="1">
      <c r="A79" s="67" t="s">
        <v>163</v>
      </c>
      <c r="B79" s="63">
        <v>74</v>
      </c>
      <c r="C79" s="229">
        <v>704215963</v>
      </c>
      <c r="D79" s="229">
        <v>680253532</v>
      </c>
      <c r="E79" s="229">
        <v>656291101</v>
      </c>
      <c r="F79" s="229">
        <v>632328670</v>
      </c>
      <c r="G79" s="229">
        <v>608366239</v>
      </c>
      <c r="H79" s="229">
        <v>584403808</v>
      </c>
      <c r="I79" s="229">
        <v>560441377</v>
      </c>
      <c r="J79" s="229">
        <v>547278946</v>
      </c>
      <c r="K79" s="229">
        <v>523316515</v>
      </c>
      <c r="L79" s="229">
        <v>504337425</v>
      </c>
      <c r="M79" s="229">
        <v>480158327</v>
      </c>
      <c r="N79" s="229">
        <v>466779229</v>
      </c>
      <c r="O79" s="229">
        <v>542023248</v>
      </c>
      <c r="P79" s="229">
        <v>513990299</v>
      </c>
      <c r="Q79" s="229">
        <v>527895351</v>
      </c>
      <c r="R79" s="229">
        <v>678382106</v>
      </c>
      <c r="S79" s="229">
        <v>1150190807</v>
      </c>
      <c r="T79" s="229">
        <v>1528716565</v>
      </c>
      <c r="U79" s="229">
        <v>1526244797</v>
      </c>
      <c r="V79" s="229">
        <v>2091139723</v>
      </c>
      <c r="W79" s="229">
        <v>2032780780</v>
      </c>
      <c r="X79" s="229">
        <v>2064174402</v>
      </c>
      <c r="Y79" s="229">
        <v>2036636660</v>
      </c>
      <c r="Z79" s="229">
        <v>1992826605</v>
      </c>
      <c r="AA79" s="229">
        <f>SUMIFS([1]!Data_BS[Value],[1]!Data_BS[Index BS],'Dai Loc'!$B79,[1]!Data_BS[TenCongTyID],'Dai Loc'!$B$1,[1]!Data_BS[Thang.Nam],'Dai Loc'!AA$5)</f>
        <v>0</v>
      </c>
      <c r="AB79" s="229">
        <f>SUMIFS([1]!Data_BS[Value],[1]!Data_BS[Index BS],'Dai Loc'!$B79,[1]!Data_BS[TenCongTyID],'Dai Loc'!$B$1,[1]!Data_BS[Thang.Nam],'Dai Loc'!AB$5)</f>
        <v>0</v>
      </c>
      <c r="AC79" s="229">
        <f>SUMIFS([1]!Data_BS[Value],[1]!Data_BS[Index BS],'Dai Loc'!$B79,[1]!Data_BS[TenCongTyID],'Dai Loc'!$B$1,[1]!Data_BS[Thang.Nam],'Dai Loc'!AC$5)</f>
        <v>0</v>
      </c>
      <c r="AD79" s="229">
        <f>SUMIFS([1]!Data_BS[Value],[1]!Data_BS[Index BS],'Dai Loc'!$B79,[1]!Data_BS[TenCongTyID],'Dai Loc'!$B$1,[1]!Data_BS[Thang.Nam],'Dai Loc'!AD$5)</f>
        <v>0</v>
      </c>
      <c r="AE79" s="229">
        <f>SUMIFS([1]!Data_BS[Value],[1]!Data_BS[Index BS],'Dai Loc'!$B79,[1]!Data_BS[TenCongTyID],'Dai Loc'!$B$1,[1]!Data_BS[Thang.Nam],'Dai Loc'!AE$5)</f>
        <v>0</v>
      </c>
      <c r="AF79" s="229">
        <f>SUMIFS([1]!Data_BS[Value],[1]!Data_BS[Index BS],'Dai Loc'!$B79,[1]!Data_BS[TenCongTyID],'Dai Loc'!$B$1,[1]!Data_BS[Thang.Nam],'Dai Loc'!AF$5)</f>
        <v>0</v>
      </c>
      <c r="AG79" s="229">
        <f>SUMIFS([1]!Data_BS[Value],[1]!Data_BS[Index BS],'Dai Loc'!$B79,[1]!Data_BS[TenCongTyID],'Dai Loc'!$B$1,[1]!Data_BS[Thang.Nam],'Dai Loc'!AG$5)</f>
        <v>0</v>
      </c>
      <c r="AH79" s="229">
        <f>SUMIFS([1]!Data_BS[Value],[1]!Data_BS[Index BS],'Dai Loc'!$B79,[1]!Data_BS[TenCongTyID],'Dai Loc'!$B$1,[1]!Data_BS[Thang.Nam],'Dai Loc'!AH$5)</f>
        <v>0</v>
      </c>
      <c r="AI79" s="229">
        <f>SUMIFS([1]!Data_BS[Value],[1]!Data_BS[Index BS],'Dai Loc'!$B79,[1]!Data_BS[TenCongTyID],'Dai Loc'!$B$1,[1]!Data_BS[Thang.Nam],'Dai Loc'!AI$5)</f>
        <v>0</v>
      </c>
      <c r="AJ79" s="229">
        <f>SUMIFS([1]!Data_BS[Value],[1]!Data_BS[Index BS],'Dai Loc'!$B79,[1]!Data_BS[TenCongTyID],'Dai Loc'!$B$1,[1]!Data_BS[Thang.Nam],'Dai Loc'!AJ$5)</f>
        <v>0</v>
      </c>
      <c r="AK79" s="229">
        <f>SUMIFS([1]!Data_BS[Value],[1]!Data_BS[Index BS],'Dai Loc'!$B79,[1]!Data_BS[TenCongTyID],'Dai Loc'!$B$1,[1]!Data_BS[Thang.Nam],'Dai Loc'!AK$5)</f>
        <v>0</v>
      </c>
      <c r="AL79" s="229">
        <f>SUMIFS([1]!Data_BS[Value],[1]!Data_BS[Index BS],'Dai Loc'!$B79,[1]!Data_BS[TenCongTyID],'Dai Loc'!$B$1,[1]!Data_BS[Thang.Nam],'Dai Loc'!AL$5)</f>
        <v>0</v>
      </c>
    </row>
    <row r="80" spans="1:40" ht="15" hidden="1" customHeight="1" outlineLevel="1">
      <c r="A80" s="67" t="s">
        <v>164</v>
      </c>
      <c r="B80" s="63">
        <v>75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/>
      <c r="X80" s="229">
        <v>0</v>
      </c>
      <c r="Y80" s="229">
        <v>0</v>
      </c>
      <c r="Z80" s="229">
        <v>0</v>
      </c>
      <c r="AA80" s="229">
        <f>SUMIFS([1]!Data_BS[Value],[1]!Data_BS[Index BS],'Dai Loc'!$B80,[1]!Data_BS[TenCongTyID],'Dai Loc'!$B$1,[1]!Data_BS[Thang.Nam],'Dai Loc'!AA$5)</f>
        <v>0</v>
      </c>
      <c r="AB80" s="229">
        <f>SUMIFS([1]!Data_BS[Value],[1]!Data_BS[Index BS],'Dai Loc'!$B80,[1]!Data_BS[TenCongTyID],'Dai Loc'!$B$1,[1]!Data_BS[Thang.Nam],'Dai Loc'!AB$5)</f>
        <v>0</v>
      </c>
      <c r="AC80" s="229">
        <f>SUMIFS([1]!Data_BS[Value],[1]!Data_BS[Index BS],'Dai Loc'!$B80,[1]!Data_BS[TenCongTyID],'Dai Loc'!$B$1,[1]!Data_BS[Thang.Nam],'Dai Loc'!AC$5)</f>
        <v>0</v>
      </c>
      <c r="AD80" s="229">
        <f>SUMIFS([1]!Data_BS[Value],[1]!Data_BS[Index BS],'Dai Loc'!$B80,[1]!Data_BS[TenCongTyID],'Dai Loc'!$B$1,[1]!Data_BS[Thang.Nam],'Dai Loc'!AD$5)</f>
        <v>0</v>
      </c>
      <c r="AE80" s="229">
        <f>SUMIFS([1]!Data_BS[Value],[1]!Data_BS[Index BS],'Dai Loc'!$B80,[1]!Data_BS[TenCongTyID],'Dai Loc'!$B$1,[1]!Data_BS[Thang.Nam],'Dai Loc'!AE$5)</f>
        <v>0</v>
      </c>
      <c r="AF80" s="229">
        <f>SUMIFS([1]!Data_BS[Value],[1]!Data_BS[Index BS],'Dai Loc'!$B80,[1]!Data_BS[TenCongTyID],'Dai Loc'!$B$1,[1]!Data_BS[Thang.Nam],'Dai Loc'!AF$5)</f>
        <v>0</v>
      </c>
      <c r="AG80" s="229">
        <f>SUMIFS([1]!Data_BS[Value],[1]!Data_BS[Index BS],'Dai Loc'!$B80,[1]!Data_BS[TenCongTyID],'Dai Loc'!$B$1,[1]!Data_BS[Thang.Nam],'Dai Loc'!AG$5)</f>
        <v>0</v>
      </c>
      <c r="AH80" s="229">
        <f>SUMIFS([1]!Data_BS[Value],[1]!Data_BS[Index BS],'Dai Loc'!$B80,[1]!Data_BS[TenCongTyID],'Dai Loc'!$B$1,[1]!Data_BS[Thang.Nam],'Dai Loc'!AH$5)</f>
        <v>0</v>
      </c>
      <c r="AI80" s="229">
        <f>SUMIFS([1]!Data_BS[Value],[1]!Data_BS[Index BS],'Dai Loc'!$B80,[1]!Data_BS[TenCongTyID],'Dai Loc'!$B$1,[1]!Data_BS[Thang.Nam],'Dai Loc'!AI$5)</f>
        <v>0</v>
      </c>
      <c r="AJ80" s="229">
        <f>SUMIFS([1]!Data_BS[Value],[1]!Data_BS[Index BS],'Dai Loc'!$B80,[1]!Data_BS[TenCongTyID],'Dai Loc'!$B$1,[1]!Data_BS[Thang.Nam],'Dai Loc'!AJ$5)</f>
        <v>0</v>
      </c>
      <c r="AK80" s="229">
        <f>SUMIFS([1]!Data_BS[Value],[1]!Data_BS[Index BS],'Dai Loc'!$B80,[1]!Data_BS[TenCongTyID],'Dai Loc'!$B$1,[1]!Data_BS[Thang.Nam],'Dai Loc'!AK$5)</f>
        <v>0</v>
      </c>
      <c r="AL80" s="229">
        <f>SUMIFS([1]!Data_BS[Value],[1]!Data_BS[Index BS],'Dai Loc'!$B80,[1]!Data_BS[TenCongTyID],'Dai Loc'!$B$1,[1]!Data_BS[Thang.Nam],'Dai Loc'!AL$5)</f>
        <v>0</v>
      </c>
    </row>
    <row r="81" spans="1:40" ht="15" hidden="1" customHeight="1" outlineLevel="1">
      <c r="A81" s="67" t="s">
        <v>165</v>
      </c>
      <c r="B81" s="63">
        <v>76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/>
      <c r="X81" s="229">
        <v>0</v>
      </c>
      <c r="Y81" s="229">
        <v>0</v>
      </c>
      <c r="Z81" s="229">
        <v>0</v>
      </c>
      <c r="AA81" s="229">
        <f>SUMIFS([1]!Data_BS[Value],[1]!Data_BS[Index BS],'Dai Loc'!$B81,[1]!Data_BS[TenCongTyID],'Dai Loc'!$B$1,[1]!Data_BS[Thang.Nam],'Dai Loc'!AA$5)</f>
        <v>0</v>
      </c>
      <c r="AB81" s="229">
        <f>SUMIFS([1]!Data_BS[Value],[1]!Data_BS[Index BS],'Dai Loc'!$B81,[1]!Data_BS[TenCongTyID],'Dai Loc'!$B$1,[1]!Data_BS[Thang.Nam],'Dai Loc'!AB$5)</f>
        <v>0</v>
      </c>
      <c r="AC81" s="229">
        <f>SUMIFS([1]!Data_BS[Value],[1]!Data_BS[Index BS],'Dai Loc'!$B81,[1]!Data_BS[TenCongTyID],'Dai Loc'!$B$1,[1]!Data_BS[Thang.Nam],'Dai Loc'!AC$5)</f>
        <v>0</v>
      </c>
      <c r="AD81" s="229">
        <f>SUMIFS([1]!Data_BS[Value],[1]!Data_BS[Index BS],'Dai Loc'!$B81,[1]!Data_BS[TenCongTyID],'Dai Loc'!$B$1,[1]!Data_BS[Thang.Nam],'Dai Loc'!AD$5)</f>
        <v>0</v>
      </c>
      <c r="AE81" s="229">
        <f>SUMIFS([1]!Data_BS[Value],[1]!Data_BS[Index BS],'Dai Loc'!$B81,[1]!Data_BS[TenCongTyID],'Dai Loc'!$B$1,[1]!Data_BS[Thang.Nam],'Dai Loc'!AE$5)</f>
        <v>0</v>
      </c>
      <c r="AF81" s="229">
        <f>SUMIFS([1]!Data_BS[Value],[1]!Data_BS[Index BS],'Dai Loc'!$B81,[1]!Data_BS[TenCongTyID],'Dai Loc'!$B$1,[1]!Data_BS[Thang.Nam],'Dai Loc'!AF$5)</f>
        <v>0</v>
      </c>
      <c r="AG81" s="229">
        <f>SUMIFS([1]!Data_BS[Value],[1]!Data_BS[Index BS],'Dai Loc'!$B81,[1]!Data_BS[TenCongTyID],'Dai Loc'!$B$1,[1]!Data_BS[Thang.Nam],'Dai Loc'!AG$5)</f>
        <v>0</v>
      </c>
      <c r="AH81" s="229">
        <f>SUMIFS([1]!Data_BS[Value],[1]!Data_BS[Index BS],'Dai Loc'!$B81,[1]!Data_BS[TenCongTyID],'Dai Loc'!$B$1,[1]!Data_BS[Thang.Nam],'Dai Loc'!AH$5)</f>
        <v>0</v>
      </c>
      <c r="AI81" s="229">
        <f>SUMIFS([1]!Data_BS[Value],[1]!Data_BS[Index BS],'Dai Loc'!$B81,[1]!Data_BS[TenCongTyID],'Dai Loc'!$B$1,[1]!Data_BS[Thang.Nam],'Dai Loc'!AI$5)</f>
        <v>0</v>
      </c>
      <c r="AJ81" s="229">
        <f>SUMIFS([1]!Data_BS[Value],[1]!Data_BS[Index BS],'Dai Loc'!$B81,[1]!Data_BS[TenCongTyID],'Dai Loc'!$B$1,[1]!Data_BS[Thang.Nam],'Dai Loc'!AJ$5)</f>
        <v>0</v>
      </c>
      <c r="AK81" s="229">
        <f>SUMIFS([1]!Data_BS[Value],[1]!Data_BS[Index BS],'Dai Loc'!$B81,[1]!Data_BS[TenCongTyID],'Dai Loc'!$B$1,[1]!Data_BS[Thang.Nam],'Dai Loc'!AK$5)</f>
        <v>0</v>
      </c>
      <c r="AL81" s="229">
        <f>SUMIFS([1]!Data_BS[Value],[1]!Data_BS[Index BS],'Dai Loc'!$B81,[1]!Data_BS[TenCongTyID],'Dai Loc'!$B$1,[1]!Data_BS[Thang.Nam],'Dai Loc'!AL$5)</f>
        <v>0</v>
      </c>
    </row>
    <row r="82" spans="1:40" ht="15" hidden="1" customHeight="1" outlineLevel="1">
      <c r="A82" s="67" t="s">
        <v>166</v>
      </c>
      <c r="B82" s="63">
        <v>77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/>
      <c r="X82" s="229">
        <v>0</v>
      </c>
      <c r="Y82" s="229">
        <v>0</v>
      </c>
      <c r="Z82" s="229">
        <v>0</v>
      </c>
      <c r="AA82" s="229">
        <f>SUMIFS([1]!Data_BS[Value],[1]!Data_BS[Index BS],'Dai Loc'!$B82,[1]!Data_BS[TenCongTyID],'Dai Loc'!$B$1,[1]!Data_BS[Thang.Nam],'Dai Loc'!AA$5)</f>
        <v>0</v>
      </c>
      <c r="AB82" s="229">
        <f>SUMIFS([1]!Data_BS[Value],[1]!Data_BS[Index BS],'Dai Loc'!$B82,[1]!Data_BS[TenCongTyID],'Dai Loc'!$B$1,[1]!Data_BS[Thang.Nam],'Dai Loc'!AB$5)</f>
        <v>0</v>
      </c>
      <c r="AC82" s="229">
        <f>SUMIFS([1]!Data_BS[Value],[1]!Data_BS[Index BS],'Dai Loc'!$B82,[1]!Data_BS[TenCongTyID],'Dai Loc'!$B$1,[1]!Data_BS[Thang.Nam],'Dai Loc'!AC$5)</f>
        <v>0</v>
      </c>
      <c r="AD82" s="229">
        <f>SUMIFS([1]!Data_BS[Value],[1]!Data_BS[Index BS],'Dai Loc'!$B82,[1]!Data_BS[TenCongTyID],'Dai Loc'!$B$1,[1]!Data_BS[Thang.Nam],'Dai Loc'!AD$5)</f>
        <v>0</v>
      </c>
      <c r="AE82" s="229">
        <f>SUMIFS([1]!Data_BS[Value],[1]!Data_BS[Index BS],'Dai Loc'!$B82,[1]!Data_BS[TenCongTyID],'Dai Loc'!$B$1,[1]!Data_BS[Thang.Nam],'Dai Loc'!AE$5)</f>
        <v>0</v>
      </c>
      <c r="AF82" s="229">
        <f>SUMIFS([1]!Data_BS[Value],[1]!Data_BS[Index BS],'Dai Loc'!$B82,[1]!Data_BS[TenCongTyID],'Dai Loc'!$B$1,[1]!Data_BS[Thang.Nam],'Dai Loc'!AF$5)</f>
        <v>0</v>
      </c>
      <c r="AG82" s="229">
        <f>SUMIFS([1]!Data_BS[Value],[1]!Data_BS[Index BS],'Dai Loc'!$B82,[1]!Data_BS[TenCongTyID],'Dai Loc'!$B$1,[1]!Data_BS[Thang.Nam],'Dai Loc'!AG$5)</f>
        <v>0</v>
      </c>
      <c r="AH82" s="229">
        <f>SUMIFS([1]!Data_BS[Value],[1]!Data_BS[Index BS],'Dai Loc'!$B82,[1]!Data_BS[TenCongTyID],'Dai Loc'!$B$1,[1]!Data_BS[Thang.Nam],'Dai Loc'!AH$5)</f>
        <v>0</v>
      </c>
      <c r="AI82" s="229">
        <f>SUMIFS([1]!Data_BS[Value],[1]!Data_BS[Index BS],'Dai Loc'!$B82,[1]!Data_BS[TenCongTyID],'Dai Loc'!$B$1,[1]!Data_BS[Thang.Nam],'Dai Loc'!AI$5)</f>
        <v>0</v>
      </c>
      <c r="AJ82" s="229">
        <f>SUMIFS([1]!Data_BS[Value],[1]!Data_BS[Index BS],'Dai Loc'!$B82,[1]!Data_BS[TenCongTyID],'Dai Loc'!$B$1,[1]!Data_BS[Thang.Nam],'Dai Loc'!AJ$5)</f>
        <v>0</v>
      </c>
      <c r="AK82" s="229">
        <f>SUMIFS([1]!Data_BS[Value],[1]!Data_BS[Index BS],'Dai Loc'!$B82,[1]!Data_BS[TenCongTyID],'Dai Loc'!$B$1,[1]!Data_BS[Thang.Nam],'Dai Loc'!AK$5)</f>
        <v>0</v>
      </c>
      <c r="AL82" s="229">
        <f>SUMIFS([1]!Data_BS[Value],[1]!Data_BS[Index BS],'Dai Loc'!$B82,[1]!Data_BS[TenCongTyID],'Dai Loc'!$B$1,[1]!Data_BS[Thang.Nam],'Dai Loc'!AL$5)</f>
        <v>0</v>
      </c>
    </row>
    <row r="83" spans="1:40" s="251" customFormat="1" ht="15" hidden="1" customHeight="1" outlineLevel="1">
      <c r="A83" s="80" t="s">
        <v>167</v>
      </c>
      <c r="B83" s="81">
        <v>78</v>
      </c>
      <c r="C83" s="249">
        <v>63730957256</v>
      </c>
      <c r="D83" s="249">
        <v>62014978803</v>
      </c>
      <c r="E83" s="249">
        <v>52392417486</v>
      </c>
      <c r="F83" s="249">
        <v>52476456277</v>
      </c>
      <c r="G83" s="249">
        <v>49950295088</v>
      </c>
      <c r="H83" s="249">
        <v>46713473924</v>
      </c>
      <c r="I83" s="249">
        <v>43677045941</v>
      </c>
      <c r="J83" s="249">
        <v>43914856538</v>
      </c>
      <c r="K83" s="249">
        <v>44738490704</v>
      </c>
      <c r="L83" s="249">
        <v>45380812277</v>
      </c>
      <c r="M83" s="249">
        <v>45622961818</v>
      </c>
      <c r="N83" s="250">
        <v>38908743599</v>
      </c>
      <c r="O83" s="250">
        <v>41951067878</v>
      </c>
      <c r="P83" s="250">
        <v>42465364195</v>
      </c>
      <c r="Q83" s="250">
        <v>39683434854</v>
      </c>
      <c r="R83" s="250">
        <v>39611366318</v>
      </c>
      <c r="S83" s="250">
        <v>40619415109</v>
      </c>
      <c r="T83" s="250">
        <v>39448078731</v>
      </c>
      <c r="U83" s="250">
        <v>48006675307</v>
      </c>
      <c r="V83" s="250">
        <v>49409499856</v>
      </c>
      <c r="W83" s="250">
        <f>+W38+W6</f>
        <v>45988992861</v>
      </c>
      <c r="X83" s="250">
        <v>43616642902</v>
      </c>
      <c r="Y83" s="250">
        <v>39778651932</v>
      </c>
      <c r="Z83" s="250">
        <v>37556242427</v>
      </c>
      <c r="AA83" s="250">
        <f>SUMIFS([1]!Data_BS[Value],[1]!Data_BS[Index BS],'Dai Loc'!$B83,[1]!Data_BS[TenCongTyID],'Dai Loc'!$B$1,[1]!Data_BS[Thang.Nam],'Dai Loc'!AA$5)</f>
        <v>0</v>
      </c>
      <c r="AB83" s="250">
        <f>SUMIFS([1]!Data_BS[Value],[1]!Data_BS[Index BS],'Dai Loc'!$B83,[1]!Data_BS[TenCongTyID],'Dai Loc'!$B$1,[1]!Data_BS[Thang.Nam],'Dai Loc'!AB$5)</f>
        <v>0</v>
      </c>
      <c r="AC83" s="250">
        <f>SUMIFS([1]!Data_BS[Value],[1]!Data_BS[Index BS],'Dai Loc'!$B83,[1]!Data_BS[TenCongTyID],'Dai Loc'!$B$1,[1]!Data_BS[Thang.Nam],'Dai Loc'!AC$5)</f>
        <v>0</v>
      </c>
      <c r="AD83" s="250">
        <f>SUMIFS([1]!Data_BS[Value],[1]!Data_BS[Index BS],'Dai Loc'!$B83,[1]!Data_BS[TenCongTyID],'Dai Loc'!$B$1,[1]!Data_BS[Thang.Nam],'Dai Loc'!AD$5)</f>
        <v>0</v>
      </c>
      <c r="AE83" s="250">
        <f>SUMIFS([1]!Data_BS[Value],[1]!Data_BS[Index BS],'Dai Loc'!$B83,[1]!Data_BS[TenCongTyID],'Dai Loc'!$B$1,[1]!Data_BS[Thang.Nam],'Dai Loc'!AE$5)</f>
        <v>0</v>
      </c>
      <c r="AF83" s="250">
        <f>SUMIFS([1]!Data_BS[Value],[1]!Data_BS[Index BS],'Dai Loc'!$B83,[1]!Data_BS[TenCongTyID],'Dai Loc'!$B$1,[1]!Data_BS[Thang.Nam],'Dai Loc'!AF$5)</f>
        <v>0</v>
      </c>
      <c r="AG83" s="250">
        <f>SUMIFS([1]!Data_BS[Value],[1]!Data_BS[Index BS],'Dai Loc'!$B83,[1]!Data_BS[TenCongTyID],'Dai Loc'!$B$1,[1]!Data_BS[Thang.Nam],'Dai Loc'!AG$5)</f>
        <v>0</v>
      </c>
      <c r="AH83" s="250">
        <f>SUMIFS([1]!Data_BS[Value],[1]!Data_BS[Index BS],'Dai Loc'!$B83,[1]!Data_BS[TenCongTyID],'Dai Loc'!$B$1,[1]!Data_BS[Thang.Nam],'Dai Loc'!AH$5)</f>
        <v>0</v>
      </c>
      <c r="AI83" s="250">
        <f>SUMIFS([1]!Data_BS[Value],[1]!Data_BS[Index BS],'Dai Loc'!$B83,[1]!Data_BS[TenCongTyID],'Dai Loc'!$B$1,[1]!Data_BS[Thang.Nam],'Dai Loc'!AI$5)</f>
        <v>0</v>
      </c>
      <c r="AJ83" s="250">
        <f>SUMIFS([1]!Data_BS[Value],[1]!Data_BS[Index BS],'Dai Loc'!$B83,[1]!Data_BS[TenCongTyID],'Dai Loc'!$B$1,[1]!Data_BS[Thang.Nam],'Dai Loc'!AJ$5)</f>
        <v>0</v>
      </c>
      <c r="AK83" s="250">
        <f>SUMIFS([1]!Data_BS[Value],[1]!Data_BS[Index BS],'Dai Loc'!$B83,[1]!Data_BS[TenCongTyID],'Dai Loc'!$B$1,[1]!Data_BS[Thang.Nam],'Dai Loc'!AK$5)</f>
        <v>0</v>
      </c>
      <c r="AL83" s="250">
        <f>SUMIFS([1]!Data_BS[Value],[1]!Data_BS[Index BS],'Dai Loc'!$B83,[1]!Data_BS[TenCongTyID],'Dai Loc'!$B$1,[1]!Data_BS[Thang.Nam],'Dai Loc'!AL$5)</f>
        <v>0</v>
      </c>
      <c r="AN83" s="43"/>
    </row>
    <row r="84" spans="1:40" ht="15" hidden="1" customHeight="1" outlineLevel="1">
      <c r="A84" s="56" t="s">
        <v>168</v>
      </c>
      <c r="B84" s="71">
        <v>79</v>
      </c>
      <c r="C84" s="240">
        <v>58847619526</v>
      </c>
      <c r="D84" s="240">
        <v>58312485933</v>
      </c>
      <c r="E84" s="240">
        <v>48769906304</v>
      </c>
      <c r="F84" s="240">
        <v>49424000723</v>
      </c>
      <c r="G84" s="240">
        <v>48114454244</v>
      </c>
      <c r="H84" s="240">
        <v>46497688285</v>
      </c>
      <c r="I84" s="240">
        <v>44417950340</v>
      </c>
      <c r="J84" s="240">
        <v>45589711544</v>
      </c>
      <c r="K84" s="240">
        <v>47089564228</v>
      </c>
      <c r="L84" s="240">
        <v>48160126002</v>
      </c>
      <c r="M84" s="240">
        <v>49572642985</v>
      </c>
      <c r="N84" s="241">
        <v>44111589494</v>
      </c>
      <c r="O84" s="241">
        <v>48666518645</v>
      </c>
      <c r="P84" s="241">
        <v>50589740390</v>
      </c>
      <c r="Q84" s="241">
        <v>48375110909</v>
      </c>
      <c r="R84" s="241">
        <v>49184145249</v>
      </c>
      <c r="S84" s="241">
        <v>49997776004</v>
      </c>
      <c r="T84" s="241">
        <v>49850991440</v>
      </c>
      <c r="U84" s="241">
        <v>57896245575</v>
      </c>
      <c r="V84" s="241">
        <v>58952994963</v>
      </c>
      <c r="W84" s="241">
        <v>56195441591</v>
      </c>
      <c r="X84" s="241">
        <v>54057185651</v>
      </c>
      <c r="Y84" s="241">
        <v>51178669828</v>
      </c>
      <c r="Z84" s="241">
        <v>49412777288</v>
      </c>
      <c r="AA84" s="241">
        <f>SUMIFS([1]!Data_BS[Value],[1]!Data_BS[Index BS],'Dai Loc'!$B84,[1]!Data_BS[TenCongTyID],'Dai Loc'!$B$1,[1]!Data_BS[Thang.Nam],'Dai Loc'!AA$5)</f>
        <v>0</v>
      </c>
      <c r="AB84" s="241">
        <f>SUMIFS([1]!Data_BS[Value],[1]!Data_BS[Index BS],'Dai Loc'!$B84,[1]!Data_BS[TenCongTyID],'Dai Loc'!$B$1,[1]!Data_BS[Thang.Nam],'Dai Loc'!AB$5)</f>
        <v>0</v>
      </c>
      <c r="AC84" s="241">
        <f>SUMIFS([1]!Data_BS[Value],[1]!Data_BS[Index BS],'Dai Loc'!$B84,[1]!Data_BS[TenCongTyID],'Dai Loc'!$B$1,[1]!Data_BS[Thang.Nam],'Dai Loc'!AC$5)</f>
        <v>0</v>
      </c>
      <c r="AD84" s="241">
        <f>SUMIFS([1]!Data_BS[Value],[1]!Data_BS[Index BS],'Dai Loc'!$B84,[1]!Data_BS[TenCongTyID],'Dai Loc'!$B$1,[1]!Data_BS[Thang.Nam],'Dai Loc'!AD$5)</f>
        <v>0</v>
      </c>
      <c r="AE84" s="241">
        <f>SUMIFS([1]!Data_BS[Value],[1]!Data_BS[Index BS],'Dai Loc'!$B84,[1]!Data_BS[TenCongTyID],'Dai Loc'!$B$1,[1]!Data_BS[Thang.Nam],'Dai Loc'!AE$5)</f>
        <v>0</v>
      </c>
      <c r="AF84" s="241">
        <f>SUMIFS([1]!Data_BS[Value],[1]!Data_BS[Index BS],'Dai Loc'!$B84,[1]!Data_BS[TenCongTyID],'Dai Loc'!$B$1,[1]!Data_BS[Thang.Nam],'Dai Loc'!AF$5)</f>
        <v>0</v>
      </c>
      <c r="AG84" s="241">
        <f>SUMIFS([1]!Data_BS[Value],[1]!Data_BS[Index BS],'Dai Loc'!$B84,[1]!Data_BS[TenCongTyID],'Dai Loc'!$B$1,[1]!Data_BS[Thang.Nam],'Dai Loc'!AG$5)</f>
        <v>0</v>
      </c>
      <c r="AH84" s="241">
        <f>SUMIFS([1]!Data_BS[Value],[1]!Data_BS[Index BS],'Dai Loc'!$B84,[1]!Data_BS[TenCongTyID],'Dai Loc'!$B$1,[1]!Data_BS[Thang.Nam],'Dai Loc'!AH$5)</f>
        <v>0</v>
      </c>
      <c r="AI84" s="241">
        <f>SUMIFS([1]!Data_BS[Value],[1]!Data_BS[Index BS],'Dai Loc'!$B84,[1]!Data_BS[TenCongTyID],'Dai Loc'!$B$1,[1]!Data_BS[Thang.Nam],'Dai Loc'!AI$5)</f>
        <v>0</v>
      </c>
      <c r="AJ84" s="241">
        <f>SUMIFS([1]!Data_BS[Value],[1]!Data_BS[Index BS],'Dai Loc'!$B84,[1]!Data_BS[TenCongTyID],'Dai Loc'!$B$1,[1]!Data_BS[Thang.Nam],'Dai Loc'!AJ$5)</f>
        <v>0</v>
      </c>
      <c r="AK84" s="241">
        <f>SUMIFS([1]!Data_BS[Value],[1]!Data_BS[Index BS],'Dai Loc'!$B84,[1]!Data_BS[TenCongTyID],'Dai Loc'!$B$1,[1]!Data_BS[Thang.Nam],'Dai Loc'!AK$5)</f>
        <v>0</v>
      </c>
      <c r="AL84" s="241">
        <f>SUMIFS([1]!Data_BS[Value],[1]!Data_BS[Index BS],'Dai Loc'!$B84,[1]!Data_BS[TenCongTyID],'Dai Loc'!$B$1,[1]!Data_BS[Thang.Nam],'Dai Loc'!AL$5)</f>
        <v>0</v>
      </c>
    </row>
    <row r="85" spans="1:40" ht="15" hidden="1" customHeight="1" outlineLevel="1">
      <c r="A85" s="59" t="s">
        <v>169</v>
      </c>
      <c r="B85" s="65">
        <v>80</v>
      </c>
      <c r="C85" s="233">
        <v>26077619526</v>
      </c>
      <c r="D85" s="233">
        <v>25542485933</v>
      </c>
      <c r="E85" s="233">
        <v>15999906304</v>
      </c>
      <c r="F85" s="233">
        <v>16654000723</v>
      </c>
      <c r="G85" s="233">
        <v>15344454244</v>
      </c>
      <c r="H85" s="233">
        <v>13727688285</v>
      </c>
      <c r="I85" s="233">
        <v>11647950340</v>
      </c>
      <c r="J85" s="233">
        <v>12819711544</v>
      </c>
      <c r="K85" s="233">
        <v>14319564228</v>
      </c>
      <c r="L85" s="233">
        <v>15390126002</v>
      </c>
      <c r="M85" s="233">
        <v>16802642985</v>
      </c>
      <c r="N85" s="234">
        <v>11341589494</v>
      </c>
      <c r="O85" s="234">
        <v>15896518645</v>
      </c>
      <c r="P85" s="234">
        <v>17819740390</v>
      </c>
      <c r="Q85" s="234">
        <v>15605110909</v>
      </c>
      <c r="R85" s="234">
        <v>16414145249</v>
      </c>
      <c r="S85" s="234">
        <v>17227776004</v>
      </c>
      <c r="T85" s="234">
        <v>17080991440</v>
      </c>
      <c r="U85" s="234">
        <v>25126245575</v>
      </c>
      <c r="V85" s="234">
        <v>26182994963</v>
      </c>
      <c r="W85" s="234">
        <v>23425441591</v>
      </c>
      <c r="X85" s="234">
        <v>21287185651</v>
      </c>
      <c r="Y85" s="234">
        <v>18408669828</v>
      </c>
      <c r="Z85" s="234">
        <v>16642777288</v>
      </c>
      <c r="AA85" s="234">
        <f>SUMIFS([1]!Data_BS[Value],[1]!Data_BS[Index BS],'Dai Loc'!$B85,[1]!Data_BS[TenCongTyID],'Dai Loc'!$B$1,[1]!Data_BS[Thang.Nam],'Dai Loc'!AA$5)</f>
        <v>0</v>
      </c>
      <c r="AB85" s="234">
        <f>SUMIFS([1]!Data_BS[Value],[1]!Data_BS[Index BS],'Dai Loc'!$B85,[1]!Data_BS[TenCongTyID],'Dai Loc'!$B$1,[1]!Data_BS[Thang.Nam],'Dai Loc'!AB$5)</f>
        <v>0</v>
      </c>
      <c r="AC85" s="234">
        <f>SUMIFS([1]!Data_BS[Value],[1]!Data_BS[Index BS],'Dai Loc'!$B85,[1]!Data_BS[TenCongTyID],'Dai Loc'!$B$1,[1]!Data_BS[Thang.Nam],'Dai Loc'!AC$5)</f>
        <v>0</v>
      </c>
      <c r="AD85" s="234">
        <f>SUMIFS([1]!Data_BS[Value],[1]!Data_BS[Index BS],'Dai Loc'!$B85,[1]!Data_BS[TenCongTyID],'Dai Loc'!$B$1,[1]!Data_BS[Thang.Nam],'Dai Loc'!AD$5)</f>
        <v>0</v>
      </c>
      <c r="AE85" s="234">
        <f>SUMIFS([1]!Data_BS[Value],[1]!Data_BS[Index BS],'Dai Loc'!$B85,[1]!Data_BS[TenCongTyID],'Dai Loc'!$B$1,[1]!Data_BS[Thang.Nam],'Dai Loc'!AE$5)</f>
        <v>0</v>
      </c>
      <c r="AF85" s="234">
        <f>SUMIFS([1]!Data_BS[Value],[1]!Data_BS[Index BS],'Dai Loc'!$B85,[1]!Data_BS[TenCongTyID],'Dai Loc'!$B$1,[1]!Data_BS[Thang.Nam],'Dai Loc'!AF$5)</f>
        <v>0</v>
      </c>
      <c r="AG85" s="234">
        <f>SUMIFS([1]!Data_BS[Value],[1]!Data_BS[Index BS],'Dai Loc'!$B85,[1]!Data_BS[TenCongTyID],'Dai Loc'!$B$1,[1]!Data_BS[Thang.Nam],'Dai Loc'!AG$5)</f>
        <v>0</v>
      </c>
      <c r="AH85" s="234">
        <f>SUMIFS([1]!Data_BS[Value],[1]!Data_BS[Index BS],'Dai Loc'!$B85,[1]!Data_BS[TenCongTyID],'Dai Loc'!$B$1,[1]!Data_BS[Thang.Nam],'Dai Loc'!AH$5)</f>
        <v>0</v>
      </c>
      <c r="AI85" s="234">
        <f>SUMIFS([1]!Data_BS[Value],[1]!Data_BS[Index BS],'Dai Loc'!$B85,[1]!Data_BS[TenCongTyID],'Dai Loc'!$B$1,[1]!Data_BS[Thang.Nam],'Dai Loc'!AI$5)</f>
        <v>0</v>
      </c>
      <c r="AJ85" s="234">
        <f>SUMIFS([1]!Data_BS[Value],[1]!Data_BS[Index BS],'Dai Loc'!$B85,[1]!Data_BS[TenCongTyID],'Dai Loc'!$B$1,[1]!Data_BS[Thang.Nam],'Dai Loc'!AJ$5)</f>
        <v>0</v>
      </c>
      <c r="AK85" s="234">
        <f>SUMIFS([1]!Data_BS[Value],[1]!Data_BS[Index BS],'Dai Loc'!$B85,[1]!Data_BS[TenCongTyID],'Dai Loc'!$B$1,[1]!Data_BS[Thang.Nam],'Dai Loc'!AK$5)</f>
        <v>0</v>
      </c>
      <c r="AL85" s="234">
        <f>SUMIFS([1]!Data_BS[Value],[1]!Data_BS[Index BS],'Dai Loc'!$B85,[1]!Data_BS[TenCongTyID],'Dai Loc'!$B$1,[1]!Data_BS[Thang.Nam],'Dai Loc'!AL$5)</f>
        <v>0</v>
      </c>
    </row>
    <row r="86" spans="1:40" ht="15" hidden="1" customHeight="1" outlineLevel="1">
      <c r="A86" s="67" t="s">
        <v>170</v>
      </c>
      <c r="B86" s="63">
        <v>81</v>
      </c>
      <c r="C86" s="229">
        <v>24622586817</v>
      </c>
      <c r="D86" s="229">
        <v>24427854123</v>
      </c>
      <c r="E86" s="229">
        <v>14525488388</v>
      </c>
      <c r="F86" s="229">
        <v>15125516019</v>
      </c>
      <c r="G86" s="229">
        <v>13726290794</v>
      </c>
      <c r="H86" s="229">
        <v>11782437615</v>
      </c>
      <c r="I86" s="229">
        <v>10145392242</v>
      </c>
      <c r="J86" s="229">
        <v>9507165043</v>
      </c>
      <c r="K86" s="229">
        <v>11875045795</v>
      </c>
      <c r="L86" s="229">
        <v>12004348771</v>
      </c>
      <c r="M86" s="229">
        <v>10523519896</v>
      </c>
      <c r="N86" s="229">
        <v>9348738447</v>
      </c>
      <c r="O86" s="229">
        <v>10969319235</v>
      </c>
      <c r="P86" s="229">
        <v>10031170366</v>
      </c>
      <c r="Q86" s="229">
        <v>8539390979</v>
      </c>
      <c r="R86" s="229">
        <v>9645001707</v>
      </c>
      <c r="S86" s="229">
        <v>10383411892</v>
      </c>
      <c r="T86" s="229">
        <v>9970977876</v>
      </c>
      <c r="U86" s="229">
        <v>13195393950</v>
      </c>
      <c r="V86" s="229">
        <v>9767934796</v>
      </c>
      <c r="W86" s="229">
        <v>8417203475</v>
      </c>
      <c r="X86" s="229">
        <v>7843661391</v>
      </c>
      <c r="Y86" s="229">
        <v>8434662713</v>
      </c>
      <c r="Z86" s="229">
        <v>4966936658</v>
      </c>
      <c r="AA86" s="229">
        <f>SUMIFS([1]!Data_BS[Value],[1]!Data_BS[Index BS],'Dai Loc'!$B86,[1]!Data_BS[TenCongTyID],'Dai Loc'!$B$1,[1]!Data_BS[Thang.Nam],'Dai Loc'!AA$5)</f>
        <v>0</v>
      </c>
      <c r="AB86" s="229">
        <f>SUMIFS([1]!Data_BS[Value],[1]!Data_BS[Index BS],'Dai Loc'!$B86,[1]!Data_BS[TenCongTyID],'Dai Loc'!$B$1,[1]!Data_BS[Thang.Nam],'Dai Loc'!AB$5)</f>
        <v>0</v>
      </c>
      <c r="AC86" s="229">
        <f>SUMIFS([1]!Data_BS[Value],[1]!Data_BS[Index BS],'Dai Loc'!$B86,[1]!Data_BS[TenCongTyID],'Dai Loc'!$B$1,[1]!Data_BS[Thang.Nam],'Dai Loc'!AC$5)</f>
        <v>0</v>
      </c>
      <c r="AD86" s="229">
        <f>SUMIFS([1]!Data_BS[Value],[1]!Data_BS[Index BS],'Dai Loc'!$B86,[1]!Data_BS[TenCongTyID],'Dai Loc'!$B$1,[1]!Data_BS[Thang.Nam],'Dai Loc'!AD$5)</f>
        <v>0</v>
      </c>
      <c r="AE86" s="229">
        <f>SUMIFS([1]!Data_BS[Value],[1]!Data_BS[Index BS],'Dai Loc'!$B86,[1]!Data_BS[TenCongTyID],'Dai Loc'!$B$1,[1]!Data_BS[Thang.Nam],'Dai Loc'!AE$5)</f>
        <v>0</v>
      </c>
      <c r="AF86" s="229">
        <f>SUMIFS([1]!Data_BS[Value],[1]!Data_BS[Index BS],'Dai Loc'!$B86,[1]!Data_BS[TenCongTyID],'Dai Loc'!$B$1,[1]!Data_BS[Thang.Nam],'Dai Loc'!AF$5)</f>
        <v>0</v>
      </c>
      <c r="AG86" s="229">
        <f>SUMIFS([1]!Data_BS[Value],[1]!Data_BS[Index BS],'Dai Loc'!$B86,[1]!Data_BS[TenCongTyID],'Dai Loc'!$B$1,[1]!Data_BS[Thang.Nam],'Dai Loc'!AG$5)</f>
        <v>0</v>
      </c>
      <c r="AH86" s="229">
        <f>SUMIFS([1]!Data_BS[Value],[1]!Data_BS[Index BS],'Dai Loc'!$B86,[1]!Data_BS[TenCongTyID],'Dai Loc'!$B$1,[1]!Data_BS[Thang.Nam],'Dai Loc'!AH$5)</f>
        <v>0</v>
      </c>
      <c r="AI86" s="229">
        <f>SUMIFS([1]!Data_BS[Value],[1]!Data_BS[Index BS],'Dai Loc'!$B86,[1]!Data_BS[TenCongTyID],'Dai Loc'!$B$1,[1]!Data_BS[Thang.Nam],'Dai Loc'!AI$5)</f>
        <v>0</v>
      </c>
      <c r="AJ86" s="229">
        <f>SUMIFS([1]!Data_BS[Value],[1]!Data_BS[Index BS],'Dai Loc'!$B86,[1]!Data_BS[TenCongTyID],'Dai Loc'!$B$1,[1]!Data_BS[Thang.Nam],'Dai Loc'!AJ$5)</f>
        <v>0</v>
      </c>
      <c r="AK86" s="229">
        <f>SUMIFS([1]!Data_BS[Value],[1]!Data_BS[Index BS],'Dai Loc'!$B86,[1]!Data_BS[TenCongTyID],'Dai Loc'!$B$1,[1]!Data_BS[Thang.Nam],'Dai Loc'!AK$5)</f>
        <v>0</v>
      </c>
      <c r="AL86" s="229">
        <f>SUMIFS([1]!Data_BS[Value],[1]!Data_BS[Index BS],'Dai Loc'!$B86,[1]!Data_BS[TenCongTyID],'Dai Loc'!$B$1,[1]!Data_BS[Thang.Nam],'Dai Loc'!AL$5)</f>
        <v>0</v>
      </c>
    </row>
    <row r="87" spans="1:40" ht="15" hidden="1" customHeight="1" outlineLevel="1">
      <c r="A87" s="67" t="s">
        <v>171</v>
      </c>
      <c r="B87" s="63">
        <v>82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2000000000</v>
      </c>
      <c r="K87" s="229">
        <v>0</v>
      </c>
      <c r="L87" s="229">
        <v>1000000000</v>
      </c>
      <c r="M87" s="229">
        <v>3080000000</v>
      </c>
      <c r="N87" s="229">
        <v>0</v>
      </c>
      <c r="O87" s="229">
        <v>3400000000</v>
      </c>
      <c r="P87" s="229">
        <v>5000000000</v>
      </c>
      <c r="Q87" s="229">
        <v>3900000000</v>
      </c>
      <c r="R87" s="229">
        <v>3900000000</v>
      </c>
      <c r="S87" s="229">
        <v>2552000000</v>
      </c>
      <c r="T87" s="229">
        <v>3288000000</v>
      </c>
      <c r="U87" s="229">
        <v>8940584700</v>
      </c>
      <c r="V87" s="229">
        <v>13096754000</v>
      </c>
      <c r="W87" s="229">
        <v>12233700000</v>
      </c>
      <c r="X87" s="229">
        <v>10680672232</v>
      </c>
      <c r="Y87" s="229">
        <v>7680672232</v>
      </c>
      <c r="Z87" s="229">
        <v>9621393836</v>
      </c>
      <c r="AA87" s="229">
        <f>SUMIFS([1]!Data_BS[Value],[1]!Data_BS[Index BS],'Dai Loc'!$B87,[1]!Data_BS[TenCongTyID],'Dai Loc'!$B$1,[1]!Data_BS[Thang.Nam],'Dai Loc'!AA$5)</f>
        <v>0</v>
      </c>
      <c r="AB87" s="229">
        <f>SUMIFS([1]!Data_BS[Value],[1]!Data_BS[Index BS],'Dai Loc'!$B87,[1]!Data_BS[TenCongTyID],'Dai Loc'!$B$1,[1]!Data_BS[Thang.Nam],'Dai Loc'!AB$5)</f>
        <v>0</v>
      </c>
      <c r="AC87" s="229">
        <f>SUMIFS([1]!Data_BS[Value],[1]!Data_BS[Index BS],'Dai Loc'!$B87,[1]!Data_BS[TenCongTyID],'Dai Loc'!$B$1,[1]!Data_BS[Thang.Nam],'Dai Loc'!AC$5)</f>
        <v>0</v>
      </c>
      <c r="AD87" s="229">
        <f>SUMIFS([1]!Data_BS[Value],[1]!Data_BS[Index BS],'Dai Loc'!$B87,[1]!Data_BS[TenCongTyID],'Dai Loc'!$B$1,[1]!Data_BS[Thang.Nam],'Dai Loc'!AD$5)</f>
        <v>0</v>
      </c>
      <c r="AE87" s="229">
        <f>SUMIFS([1]!Data_BS[Value],[1]!Data_BS[Index BS],'Dai Loc'!$B87,[1]!Data_BS[TenCongTyID],'Dai Loc'!$B$1,[1]!Data_BS[Thang.Nam],'Dai Loc'!AE$5)</f>
        <v>0</v>
      </c>
      <c r="AF87" s="229">
        <f>SUMIFS([1]!Data_BS[Value],[1]!Data_BS[Index BS],'Dai Loc'!$B87,[1]!Data_BS[TenCongTyID],'Dai Loc'!$B$1,[1]!Data_BS[Thang.Nam],'Dai Loc'!AF$5)</f>
        <v>0</v>
      </c>
      <c r="AG87" s="229">
        <f>SUMIFS([1]!Data_BS[Value],[1]!Data_BS[Index BS],'Dai Loc'!$B87,[1]!Data_BS[TenCongTyID],'Dai Loc'!$B$1,[1]!Data_BS[Thang.Nam],'Dai Loc'!AG$5)</f>
        <v>0</v>
      </c>
      <c r="AH87" s="229">
        <f>SUMIFS([1]!Data_BS[Value],[1]!Data_BS[Index BS],'Dai Loc'!$B87,[1]!Data_BS[TenCongTyID],'Dai Loc'!$B$1,[1]!Data_BS[Thang.Nam],'Dai Loc'!AH$5)</f>
        <v>0</v>
      </c>
      <c r="AI87" s="229">
        <f>SUMIFS([1]!Data_BS[Value],[1]!Data_BS[Index BS],'Dai Loc'!$B87,[1]!Data_BS[TenCongTyID],'Dai Loc'!$B$1,[1]!Data_BS[Thang.Nam],'Dai Loc'!AI$5)</f>
        <v>0</v>
      </c>
      <c r="AJ87" s="229">
        <f>SUMIFS([1]!Data_BS[Value],[1]!Data_BS[Index BS],'Dai Loc'!$B87,[1]!Data_BS[TenCongTyID],'Dai Loc'!$B$1,[1]!Data_BS[Thang.Nam],'Dai Loc'!AJ$5)</f>
        <v>0</v>
      </c>
      <c r="AK87" s="229">
        <f>SUMIFS([1]!Data_BS[Value],[1]!Data_BS[Index BS],'Dai Loc'!$B87,[1]!Data_BS[TenCongTyID],'Dai Loc'!$B$1,[1]!Data_BS[Thang.Nam],'Dai Loc'!AK$5)</f>
        <v>0</v>
      </c>
      <c r="AL87" s="229">
        <f>SUMIFS([1]!Data_BS[Value],[1]!Data_BS[Index BS],'Dai Loc'!$B87,[1]!Data_BS[TenCongTyID],'Dai Loc'!$B$1,[1]!Data_BS[Thang.Nam],'Dai Loc'!AL$5)</f>
        <v>0</v>
      </c>
    </row>
    <row r="88" spans="1:40" ht="15" hidden="1" customHeight="1" outlineLevel="1">
      <c r="A88" s="67" t="s">
        <v>172</v>
      </c>
      <c r="B88" s="63">
        <v>83</v>
      </c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>
        <v>0</v>
      </c>
      <c r="AA88" s="229">
        <f>SUMIFS([1]!Data_BS[Value],[1]!Data_BS[Index BS],'Dai Loc'!$B88,[1]!Data_BS[TenCongTyID],'Dai Loc'!$B$1,[1]!Data_BS[Thang.Nam],'Dai Loc'!AA$5)</f>
        <v>0</v>
      </c>
      <c r="AB88" s="229">
        <f>SUMIFS([1]!Data_BS[Value],[1]!Data_BS[Index BS],'Dai Loc'!$B88,[1]!Data_BS[TenCongTyID],'Dai Loc'!$B$1,[1]!Data_BS[Thang.Nam],'Dai Loc'!AB$5)</f>
        <v>0</v>
      </c>
      <c r="AC88" s="229">
        <f>SUMIFS([1]!Data_BS[Value],[1]!Data_BS[Index BS],'Dai Loc'!$B88,[1]!Data_BS[TenCongTyID],'Dai Loc'!$B$1,[1]!Data_BS[Thang.Nam],'Dai Loc'!AC$5)</f>
        <v>0</v>
      </c>
      <c r="AD88" s="229">
        <f>SUMIFS([1]!Data_BS[Value],[1]!Data_BS[Index BS],'Dai Loc'!$B88,[1]!Data_BS[TenCongTyID],'Dai Loc'!$B$1,[1]!Data_BS[Thang.Nam],'Dai Loc'!AD$5)</f>
        <v>0</v>
      </c>
      <c r="AE88" s="229">
        <f>SUMIFS([1]!Data_BS[Value],[1]!Data_BS[Index BS],'Dai Loc'!$B88,[1]!Data_BS[TenCongTyID],'Dai Loc'!$B$1,[1]!Data_BS[Thang.Nam],'Dai Loc'!AE$5)</f>
        <v>0</v>
      </c>
      <c r="AF88" s="229">
        <f>SUMIFS([1]!Data_BS[Value],[1]!Data_BS[Index BS],'Dai Loc'!$B88,[1]!Data_BS[TenCongTyID],'Dai Loc'!$B$1,[1]!Data_BS[Thang.Nam],'Dai Loc'!AF$5)</f>
        <v>0</v>
      </c>
      <c r="AG88" s="229">
        <f>SUMIFS([1]!Data_BS[Value],[1]!Data_BS[Index BS],'Dai Loc'!$B88,[1]!Data_BS[TenCongTyID],'Dai Loc'!$B$1,[1]!Data_BS[Thang.Nam],'Dai Loc'!AG$5)</f>
        <v>0</v>
      </c>
      <c r="AH88" s="229">
        <f>SUMIFS([1]!Data_BS[Value],[1]!Data_BS[Index BS],'Dai Loc'!$B88,[1]!Data_BS[TenCongTyID],'Dai Loc'!$B$1,[1]!Data_BS[Thang.Nam],'Dai Loc'!AH$5)</f>
        <v>0</v>
      </c>
      <c r="AI88" s="229">
        <f>SUMIFS([1]!Data_BS[Value],[1]!Data_BS[Index BS],'Dai Loc'!$B88,[1]!Data_BS[TenCongTyID],'Dai Loc'!$B$1,[1]!Data_BS[Thang.Nam],'Dai Loc'!AI$5)</f>
        <v>0</v>
      </c>
      <c r="AJ88" s="229">
        <f>SUMIFS([1]!Data_BS[Value],[1]!Data_BS[Index BS],'Dai Loc'!$B88,[1]!Data_BS[TenCongTyID],'Dai Loc'!$B$1,[1]!Data_BS[Thang.Nam],'Dai Loc'!AJ$5)</f>
        <v>0</v>
      </c>
      <c r="AK88" s="229">
        <f>SUMIFS([1]!Data_BS[Value],[1]!Data_BS[Index BS],'Dai Loc'!$B88,[1]!Data_BS[TenCongTyID],'Dai Loc'!$B$1,[1]!Data_BS[Thang.Nam],'Dai Loc'!AK$5)</f>
        <v>0</v>
      </c>
      <c r="AL88" s="229">
        <f>SUMIFS([1]!Data_BS[Value],[1]!Data_BS[Index BS],'Dai Loc'!$B88,[1]!Data_BS[TenCongTyID],'Dai Loc'!$B$1,[1]!Data_BS[Thang.Nam],'Dai Loc'!AL$5)</f>
        <v>0</v>
      </c>
    </row>
    <row r="89" spans="1:40" ht="15" hidden="1" customHeight="1" outlineLevel="1">
      <c r="A89" s="67" t="s">
        <v>173</v>
      </c>
      <c r="B89" s="63">
        <v>84</v>
      </c>
      <c r="C89" s="229">
        <v>423401400</v>
      </c>
      <c r="D89" s="229">
        <v>171872397</v>
      </c>
      <c r="E89" s="229">
        <v>493003251</v>
      </c>
      <c r="F89" s="229">
        <v>385897131</v>
      </c>
      <c r="G89" s="229">
        <v>571140238</v>
      </c>
      <c r="H89" s="229">
        <v>896976703</v>
      </c>
      <c r="I89" s="229">
        <v>366249265</v>
      </c>
      <c r="J89" s="229">
        <v>236278984</v>
      </c>
      <c r="K89" s="229">
        <v>508262486</v>
      </c>
      <c r="L89" s="229">
        <v>492684179</v>
      </c>
      <c r="M89" s="229">
        <v>331824086</v>
      </c>
      <c r="N89" s="229">
        <v>526131255</v>
      </c>
      <c r="O89" s="229">
        <v>87235095</v>
      </c>
      <c r="P89" s="229">
        <v>572121867</v>
      </c>
      <c r="Q89" s="229">
        <v>1155294757</v>
      </c>
      <c r="R89" s="229">
        <v>991732208</v>
      </c>
      <c r="S89" s="229">
        <v>1280799702</v>
      </c>
      <c r="T89" s="229">
        <v>1462108177</v>
      </c>
      <c r="U89" s="229">
        <v>1072152630</v>
      </c>
      <c r="V89" s="229">
        <v>1389551694</v>
      </c>
      <c r="W89" s="229">
        <v>1092955203</v>
      </c>
      <c r="X89" s="229">
        <v>982838041</v>
      </c>
      <c r="Y89" s="229">
        <v>461674423</v>
      </c>
      <c r="Z89" s="229">
        <v>666788346</v>
      </c>
      <c r="AA89" s="229">
        <f>SUMIFS([1]!Data_BS[Value],[1]!Data_BS[Index BS],'Dai Loc'!$B89,[1]!Data_BS[TenCongTyID],'Dai Loc'!$B$1,[1]!Data_BS[Thang.Nam],'Dai Loc'!AA$5)</f>
        <v>0</v>
      </c>
      <c r="AB89" s="229">
        <f>SUMIFS([1]!Data_BS[Value],[1]!Data_BS[Index BS],'Dai Loc'!$B89,[1]!Data_BS[TenCongTyID],'Dai Loc'!$B$1,[1]!Data_BS[Thang.Nam],'Dai Loc'!AB$5)</f>
        <v>0</v>
      </c>
      <c r="AC89" s="229">
        <f>SUMIFS([1]!Data_BS[Value],[1]!Data_BS[Index BS],'Dai Loc'!$B89,[1]!Data_BS[TenCongTyID],'Dai Loc'!$B$1,[1]!Data_BS[Thang.Nam],'Dai Loc'!AC$5)</f>
        <v>0</v>
      </c>
      <c r="AD89" s="229">
        <f>SUMIFS([1]!Data_BS[Value],[1]!Data_BS[Index BS],'Dai Loc'!$B89,[1]!Data_BS[TenCongTyID],'Dai Loc'!$B$1,[1]!Data_BS[Thang.Nam],'Dai Loc'!AD$5)</f>
        <v>0</v>
      </c>
      <c r="AE89" s="229">
        <f>SUMIFS([1]!Data_BS[Value],[1]!Data_BS[Index BS],'Dai Loc'!$B89,[1]!Data_BS[TenCongTyID],'Dai Loc'!$B$1,[1]!Data_BS[Thang.Nam],'Dai Loc'!AE$5)</f>
        <v>0</v>
      </c>
      <c r="AF89" s="229">
        <f>SUMIFS([1]!Data_BS[Value],[1]!Data_BS[Index BS],'Dai Loc'!$B89,[1]!Data_BS[TenCongTyID],'Dai Loc'!$B$1,[1]!Data_BS[Thang.Nam],'Dai Loc'!AF$5)</f>
        <v>0</v>
      </c>
      <c r="AG89" s="229">
        <f>SUMIFS([1]!Data_BS[Value],[1]!Data_BS[Index BS],'Dai Loc'!$B89,[1]!Data_BS[TenCongTyID],'Dai Loc'!$B$1,[1]!Data_BS[Thang.Nam],'Dai Loc'!AG$5)</f>
        <v>0</v>
      </c>
      <c r="AH89" s="229">
        <f>SUMIFS([1]!Data_BS[Value],[1]!Data_BS[Index BS],'Dai Loc'!$B89,[1]!Data_BS[TenCongTyID],'Dai Loc'!$B$1,[1]!Data_BS[Thang.Nam],'Dai Loc'!AH$5)</f>
        <v>0</v>
      </c>
      <c r="AI89" s="229">
        <f>SUMIFS([1]!Data_BS[Value],[1]!Data_BS[Index BS],'Dai Loc'!$B89,[1]!Data_BS[TenCongTyID],'Dai Loc'!$B$1,[1]!Data_BS[Thang.Nam],'Dai Loc'!AI$5)</f>
        <v>0</v>
      </c>
      <c r="AJ89" s="229">
        <f>SUMIFS([1]!Data_BS[Value],[1]!Data_BS[Index BS],'Dai Loc'!$B89,[1]!Data_BS[TenCongTyID],'Dai Loc'!$B$1,[1]!Data_BS[Thang.Nam],'Dai Loc'!AJ$5)</f>
        <v>0</v>
      </c>
      <c r="AK89" s="229">
        <f>SUMIFS([1]!Data_BS[Value],[1]!Data_BS[Index BS],'Dai Loc'!$B89,[1]!Data_BS[TenCongTyID],'Dai Loc'!$B$1,[1]!Data_BS[Thang.Nam],'Dai Loc'!AK$5)</f>
        <v>0</v>
      </c>
      <c r="AL89" s="229">
        <f>SUMIFS([1]!Data_BS[Value],[1]!Data_BS[Index BS],'Dai Loc'!$B89,[1]!Data_BS[TenCongTyID],'Dai Loc'!$B$1,[1]!Data_BS[Thang.Nam],'Dai Loc'!AL$5)</f>
        <v>0</v>
      </c>
    </row>
    <row r="90" spans="1:40" ht="15" hidden="1" customHeight="1" outlineLevel="1">
      <c r="A90" s="67" t="s">
        <v>174</v>
      </c>
      <c r="B90" s="63">
        <v>85</v>
      </c>
      <c r="C90" s="229">
        <v>756437492</v>
      </c>
      <c r="D90" s="229">
        <v>487845569</v>
      </c>
      <c r="E90" s="229">
        <v>526331037</v>
      </c>
      <c r="F90" s="229">
        <v>589826152</v>
      </c>
      <c r="G90" s="229">
        <v>480156710</v>
      </c>
      <c r="H90" s="229">
        <v>448850565</v>
      </c>
      <c r="I90" s="229">
        <v>474495051</v>
      </c>
      <c r="J90" s="229">
        <v>975183</v>
      </c>
      <c r="K90" s="229">
        <v>569623508</v>
      </c>
      <c r="L90" s="229">
        <v>552363610</v>
      </c>
      <c r="M90" s="229">
        <v>576413460</v>
      </c>
      <c r="N90" s="229">
        <v>548734741</v>
      </c>
      <c r="O90" s="229">
        <v>645100582</v>
      </c>
      <c r="P90" s="229">
        <v>523779608</v>
      </c>
      <c r="Q90" s="229">
        <v>509214049</v>
      </c>
      <c r="R90" s="229">
        <v>0</v>
      </c>
      <c r="S90" s="229">
        <v>513441896</v>
      </c>
      <c r="T90" s="229">
        <v>545503082</v>
      </c>
      <c r="U90" s="229">
        <v>546005661</v>
      </c>
      <c r="V90" s="229">
        <v>567085064</v>
      </c>
      <c r="W90" s="229">
        <v>567185734</v>
      </c>
      <c r="X90" s="229">
        <v>505418624</v>
      </c>
      <c r="Y90" s="229">
        <v>491829630</v>
      </c>
      <c r="Z90" s="229">
        <v>540394414</v>
      </c>
      <c r="AA90" s="229">
        <f>SUMIFS([1]!Data_BS[Value],[1]!Data_BS[Index BS],'Dai Loc'!$B90,[1]!Data_BS[TenCongTyID],'Dai Loc'!$B$1,[1]!Data_BS[Thang.Nam],'Dai Loc'!AA$5)</f>
        <v>0</v>
      </c>
      <c r="AB90" s="229">
        <f>SUMIFS([1]!Data_BS[Value],[1]!Data_BS[Index BS],'Dai Loc'!$B90,[1]!Data_BS[TenCongTyID],'Dai Loc'!$B$1,[1]!Data_BS[Thang.Nam],'Dai Loc'!AB$5)</f>
        <v>0</v>
      </c>
      <c r="AC90" s="229">
        <f>SUMIFS([1]!Data_BS[Value],[1]!Data_BS[Index BS],'Dai Loc'!$B90,[1]!Data_BS[TenCongTyID],'Dai Loc'!$B$1,[1]!Data_BS[Thang.Nam],'Dai Loc'!AC$5)</f>
        <v>0</v>
      </c>
      <c r="AD90" s="229">
        <f>SUMIFS([1]!Data_BS[Value],[1]!Data_BS[Index BS],'Dai Loc'!$B90,[1]!Data_BS[TenCongTyID],'Dai Loc'!$B$1,[1]!Data_BS[Thang.Nam],'Dai Loc'!AD$5)</f>
        <v>0</v>
      </c>
      <c r="AE90" s="229">
        <f>SUMIFS([1]!Data_BS[Value],[1]!Data_BS[Index BS],'Dai Loc'!$B90,[1]!Data_BS[TenCongTyID],'Dai Loc'!$B$1,[1]!Data_BS[Thang.Nam],'Dai Loc'!AE$5)</f>
        <v>0</v>
      </c>
      <c r="AF90" s="229">
        <f>SUMIFS([1]!Data_BS[Value],[1]!Data_BS[Index BS],'Dai Loc'!$B90,[1]!Data_BS[TenCongTyID],'Dai Loc'!$B$1,[1]!Data_BS[Thang.Nam],'Dai Loc'!AF$5)</f>
        <v>0</v>
      </c>
      <c r="AG90" s="229">
        <f>SUMIFS([1]!Data_BS[Value],[1]!Data_BS[Index BS],'Dai Loc'!$B90,[1]!Data_BS[TenCongTyID],'Dai Loc'!$B$1,[1]!Data_BS[Thang.Nam],'Dai Loc'!AG$5)</f>
        <v>0</v>
      </c>
      <c r="AH90" s="229">
        <f>SUMIFS([1]!Data_BS[Value],[1]!Data_BS[Index BS],'Dai Loc'!$B90,[1]!Data_BS[TenCongTyID],'Dai Loc'!$B$1,[1]!Data_BS[Thang.Nam],'Dai Loc'!AH$5)</f>
        <v>0</v>
      </c>
      <c r="AI90" s="229">
        <f>SUMIFS([1]!Data_BS[Value],[1]!Data_BS[Index BS],'Dai Loc'!$B90,[1]!Data_BS[TenCongTyID],'Dai Loc'!$B$1,[1]!Data_BS[Thang.Nam],'Dai Loc'!AI$5)</f>
        <v>0</v>
      </c>
      <c r="AJ90" s="229">
        <f>SUMIFS([1]!Data_BS[Value],[1]!Data_BS[Index BS],'Dai Loc'!$B90,[1]!Data_BS[TenCongTyID],'Dai Loc'!$B$1,[1]!Data_BS[Thang.Nam],'Dai Loc'!AJ$5)</f>
        <v>0</v>
      </c>
      <c r="AK90" s="229">
        <f>SUMIFS([1]!Data_BS[Value],[1]!Data_BS[Index BS],'Dai Loc'!$B90,[1]!Data_BS[TenCongTyID],'Dai Loc'!$B$1,[1]!Data_BS[Thang.Nam],'Dai Loc'!AK$5)</f>
        <v>0</v>
      </c>
      <c r="AL90" s="229">
        <f>SUMIFS([1]!Data_BS[Value],[1]!Data_BS[Index BS],'Dai Loc'!$B90,[1]!Data_BS[TenCongTyID],'Dai Loc'!$B$1,[1]!Data_BS[Thang.Nam],'Dai Loc'!AL$5)</f>
        <v>0</v>
      </c>
    </row>
    <row r="91" spans="1:40" ht="15" hidden="1" customHeight="1" outlineLevel="1">
      <c r="A91" s="67" t="s">
        <v>175</v>
      </c>
      <c r="B91" s="63">
        <v>86</v>
      </c>
      <c r="C91" s="229">
        <v>161495067</v>
      </c>
      <c r="D91" s="229">
        <v>159236289</v>
      </c>
      <c r="E91" s="229">
        <v>286895273</v>
      </c>
      <c r="F91" s="229">
        <v>346192659</v>
      </c>
      <c r="G91" s="229">
        <v>367111190</v>
      </c>
      <c r="H91" s="229">
        <v>411300290</v>
      </c>
      <c r="I91" s="229">
        <v>476034470</v>
      </c>
      <c r="J91" s="229">
        <v>569635558</v>
      </c>
      <c r="K91" s="229">
        <v>637549355</v>
      </c>
      <c r="L91" s="229">
        <v>656376341</v>
      </c>
      <c r="M91" s="229">
        <v>765836454</v>
      </c>
      <c r="N91" s="229">
        <v>777240552</v>
      </c>
      <c r="O91" s="229">
        <v>89612636</v>
      </c>
      <c r="P91" s="229">
        <v>195279138</v>
      </c>
      <c r="Q91" s="229">
        <v>291513043</v>
      </c>
      <c r="R91" s="229">
        <v>295282664</v>
      </c>
      <c r="S91" s="229">
        <v>370579654</v>
      </c>
      <c r="T91" s="229">
        <v>629736152</v>
      </c>
      <c r="U91" s="229">
        <v>582978895</v>
      </c>
      <c r="V91" s="229">
        <v>694554095</v>
      </c>
      <c r="W91" s="229">
        <v>715036226</v>
      </c>
      <c r="X91" s="229">
        <v>770619811</v>
      </c>
      <c r="Y91" s="229">
        <v>803014783</v>
      </c>
      <c r="Z91" s="229">
        <v>433434727</v>
      </c>
      <c r="AA91" s="229">
        <f>SUMIFS([1]!Data_BS[Value],[1]!Data_BS[Index BS],'Dai Loc'!$B91,[1]!Data_BS[TenCongTyID],'Dai Loc'!$B$1,[1]!Data_BS[Thang.Nam],'Dai Loc'!AA$5)</f>
        <v>0</v>
      </c>
      <c r="AB91" s="229">
        <f>SUMIFS([1]!Data_BS[Value],[1]!Data_BS[Index BS],'Dai Loc'!$B91,[1]!Data_BS[TenCongTyID],'Dai Loc'!$B$1,[1]!Data_BS[Thang.Nam],'Dai Loc'!AB$5)</f>
        <v>0</v>
      </c>
      <c r="AC91" s="229">
        <f>SUMIFS([1]!Data_BS[Value],[1]!Data_BS[Index BS],'Dai Loc'!$B91,[1]!Data_BS[TenCongTyID],'Dai Loc'!$B$1,[1]!Data_BS[Thang.Nam],'Dai Loc'!AC$5)</f>
        <v>0</v>
      </c>
      <c r="AD91" s="229">
        <f>SUMIFS([1]!Data_BS[Value],[1]!Data_BS[Index BS],'Dai Loc'!$B91,[1]!Data_BS[TenCongTyID],'Dai Loc'!$B$1,[1]!Data_BS[Thang.Nam],'Dai Loc'!AD$5)</f>
        <v>0</v>
      </c>
      <c r="AE91" s="229">
        <f>SUMIFS([1]!Data_BS[Value],[1]!Data_BS[Index BS],'Dai Loc'!$B91,[1]!Data_BS[TenCongTyID],'Dai Loc'!$B$1,[1]!Data_BS[Thang.Nam],'Dai Loc'!AE$5)</f>
        <v>0</v>
      </c>
      <c r="AF91" s="229">
        <f>SUMIFS([1]!Data_BS[Value],[1]!Data_BS[Index BS],'Dai Loc'!$B91,[1]!Data_BS[TenCongTyID],'Dai Loc'!$B$1,[1]!Data_BS[Thang.Nam],'Dai Loc'!AF$5)</f>
        <v>0</v>
      </c>
      <c r="AG91" s="229">
        <f>SUMIFS([1]!Data_BS[Value],[1]!Data_BS[Index BS],'Dai Loc'!$B91,[1]!Data_BS[TenCongTyID],'Dai Loc'!$B$1,[1]!Data_BS[Thang.Nam],'Dai Loc'!AG$5)</f>
        <v>0</v>
      </c>
      <c r="AH91" s="229">
        <f>SUMIFS([1]!Data_BS[Value],[1]!Data_BS[Index BS],'Dai Loc'!$B91,[1]!Data_BS[TenCongTyID],'Dai Loc'!$B$1,[1]!Data_BS[Thang.Nam],'Dai Loc'!AH$5)</f>
        <v>0</v>
      </c>
      <c r="AI91" s="229">
        <f>SUMIFS([1]!Data_BS[Value],[1]!Data_BS[Index BS],'Dai Loc'!$B91,[1]!Data_BS[TenCongTyID],'Dai Loc'!$B$1,[1]!Data_BS[Thang.Nam],'Dai Loc'!AI$5)</f>
        <v>0</v>
      </c>
      <c r="AJ91" s="229">
        <f>SUMIFS([1]!Data_BS[Value],[1]!Data_BS[Index BS],'Dai Loc'!$B91,[1]!Data_BS[TenCongTyID],'Dai Loc'!$B$1,[1]!Data_BS[Thang.Nam],'Dai Loc'!AJ$5)</f>
        <v>0</v>
      </c>
      <c r="AK91" s="229">
        <f>SUMIFS([1]!Data_BS[Value],[1]!Data_BS[Index BS],'Dai Loc'!$B91,[1]!Data_BS[TenCongTyID],'Dai Loc'!$B$1,[1]!Data_BS[Thang.Nam],'Dai Loc'!AK$5)</f>
        <v>0</v>
      </c>
      <c r="AL91" s="229">
        <f>SUMIFS([1]!Data_BS[Value],[1]!Data_BS[Index BS],'Dai Loc'!$B91,[1]!Data_BS[TenCongTyID],'Dai Loc'!$B$1,[1]!Data_BS[Thang.Nam],'Dai Loc'!AL$5)</f>
        <v>0</v>
      </c>
    </row>
    <row r="92" spans="1:40" ht="15" hidden="1" customHeight="1" outlineLevel="1">
      <c r="A92" s="67" t="s">
        <v>176</v>
      </c>
      <c r="B92" s="63">
        <v>87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Z92" s="229">
        <v>0</v>
      </c>
      <c r="AA92" s="229">
        <f>SUMIFS([1]!Data_BS[Value],[1]!Data_BS[Index BS],'Dai Loc'!$B92,[1]!Data_BS[TenCongTyID],'Dai Loc'!$B$1,[1]!Data_BS[Thang.Nam],'Dai Loc'!AA$5)</f>
        <v>0</v>
      </c>
      <c r="AB92" s="229">
        <f>SUMIFS([1]!Data_BS[Value],[1]!Data_BS[Index BS],'Dai Loc'!$B92,[1]!Data_BS[TenCongTyID],'Dai Loc'!$B$1,[1]!Data_BS[Thang.Nam],'Dai Loc'!AB$5)</f>
        <v>0</v>
      </c>
      <c r="AC92" s="229">
        <f>SUMIFS([1]!Data_BS[Value],[1]!Data_BS[Index BS],'Dai Loc'!$B92,[1]!Data_BS[TenCongTyID],'Dai Loc'!$B$1,[1]!Data_BS[Thang.Nam],'Dai Loc'!AC$5)</f>
        <v>0</v>
      </c>
      <c r="AD92" s="229">
        <f>SUMIFS([1]!Data_BS[Value],[1]!Data_BS[Index BS],'Dai Loc'!$B92,[1]!Data_BS[TenCongTyID],'Dai Loc'!$B$1,[1]!Data_BS[Thang.Nam],'Dai Loc'!AD$5)</f>
        <v>0</v>
      </c>
      <c r="AE92" s="229">
        <f>SUMIFS([1]!Data_BS[Value],[1]!Data_BS[Index BS],'Dai Loc'!$B92,[1]!Data_BS[TenCongTyID],'Dai Loc'!$B$1,[1]!Data_BS[Thang.Nam],'Dai Loc'!AE$5)</f>
        <v>0</v>
      </c>
      <c r="AF92" s="229">
        <f>SUMIFS([1]!Data_BS[Value],[1]!Data_BS[Index BS],'Dai Loc'!$B92,[1]!Data_BS[TenCongTyID],'Dai Loc'!$B$1,[1]!Data_BS[Thang.Nam],'Dai Loc'!AF$5)</f>
        <v>0</v>
      </c>
      <c r="AG92" s="229">
        <f>SUMIFS([1]!Data_BS[Value],[1]!Data_BS[Index BS],'Dai Loc'!$B92,[1]!Data_BS[TenCongTyID],'Dai Loc'!$B$1,[1]!Data_BS[Thang.Nam],'Dai Loc'!AG$5)</f>
        <v>0</v>
      </c>
      <c r="AH92" s="229">
        <f>SUMIFS([1]!Data_BS[Value],[1]!Data_BS[Index BS],'Dai Loc'!$B92,[1]!Data_BS[TenCongTyID],'Dai Loc'!$B$1,[1]!Data_BS[Thang.Nam],'Dai Loc'!AH$5)</f>
        <v>0</v>
      </c>
      <c r="AI92" s="229">
        <f>SUMIFS([1]!Data_BS[Value],[1]!Data_BS[Index BS],'Dai Loc'!$B92,[1]!Data_BS[TenCongTyID],'Dai Loc'!$B$1,[1]!Data_BS[Thang.Nam],'Dai Loc'!AI$5)</f>
        <v>0</v>
      </c>
      <c r="AJ92" s="229">
        <f>SUMIFS([1]!Data_BS[Value],[1]!Data_BS[Index BS],'Dai Loc'!$B92,[1]!Data_BS[TenCongTyID],'Dai Loc'!$B$1,[1]!Data_BS[Thang.Nam],'Dai Loc'!AJ$5)</f>
        <v>0</v>
      </c>
      <c r="AK92" s="229">
        <f>SUMIFS([1]!Data_BS[Value],[1]!Data_BS[Index BS],'Dai Loc'!$B92,[1]!Data_BS[TenCongTyID],'Dai Loc'!$B$1,[1]!Data_BS[Thang.Nam],'Dai Loc'!AK$5)</f>
        <v>0</v>
      </c>
      <c r="AL92" s="229">
        <f>SUMIFS([1]!Data_BS[Value],[1]!Data_BS[Index BS],'Dai Loc'!$B92,[1]!Data_BS[TenCongTyID],'Dai Loc'!$B$1,[1]!Data_BS[Thang.Nam],'Dai Loc'!AL$5)</f>
        <v>0</v>
      </c>
    </row>
    <row r="93" spans="1:40" ht="15" hidden="1" customHeight="1" outlineLevel="1">
      <c r="A93" s="67" t="s">
        <v>177</v>
      </c>
      <c r="B93" s="63">
        <v>88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/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Z93" s="229">
        <v>0</v>
      </c>
      <c r="AA93" s="229">
        <f>SUMIFS([1]!Data_BS[Value],[1]!Data_BS[Index BS],'Dai Loc'!$B93,[1]!Data_BS[TenCongTyID],'Dai Loc'!$B$1,[1]!Data_BS[Thang.Nam],'Dai Loc'!AA$5)</f>
        <v>0</v>
      </c>
      <c r="AB93" s="229">
        <f>SUMIFS([1]!Data_BS[Value],[1]!Data_BS[Index BS],'Dai Loc'!$B93,[1]!Data_BS[TenCongTyID],'Dai Loc'!$B$1,[1]!Data_BS[Thang.Nam],'Dai Loc'!AB$5)</f>
        <v>0</v>
      </c>
      <c r="AC93" s="229">
        <f>SUMIFS([1]!Data_BS[Value],[1]!Data_BS[Index BS],'Dai Loc'!$B93,[1]!Data_BS[TenCongTyID],'Dai Loc'!$B$1,[1]!Data_BS[Thang.Nam],'Dai Loc'!AC$5)</f>
        <v>0</v>
      </c>
      <c r="AD93" s="229">
        <f>SUMIFS([1]!Data_BS[Value],[1]!Data_BS[Index BS],'Dai Loc'!$B93,[1]!Data_BS[TenCongTyID],'Dai Loc'!$B$1,[1]!Data_BS[Thang.Nam],'Dai Loc'!AD$5)</f>
        <v>0</v>
      </c>
      <c r="AE93" s="229">
        <f>SUMIFS([1]!Data_BS[Value],[1]!Data_BS[Index BS],'Dai Loc'!$B93,[1]!Data_BS[TenCongTyID],'Dai Loc'!$B$1,[1]!Data_BS[Thang.Nam],'Dai Loc'!AE$5)</f>
        <v>0</v>
      </c>
      <c r="AF93" s="229">
        <f>SUMIFS([1]!Data_BS[Value],[1]!Data_BS[Index BS],'Dai Loc'!$B93,[1]!Data_BS[TenCongTyID],'Dai Loc'!$B$1,[1]!Data_BS[Thang.Nam],'Dai Loc'!AF$5)</f>
        <v>0</v>
      </c>
      <c r="AG93" s="229">
        <f>SUMIFS([1]!Data_BS[Value],[1]!Data_BS[Index BS],'Dai Loc'!$B93,[1]!Data_BS[TenCongTyID],'Dai Loc'!$B$1,[1]!Data_BS[Thang.Nam],'Dai Loc'!AG$5)</f>
        <v>0</v>
      </c>
      <c r="AH93" s="229">
        <f>SUMIFS([1]!Data_BS[Value],[1]!Data_BS[Index BS],'Dai Loc'!$B93,[1]!Data_BS[TenCongTyID],'Dai Loc'!$B$1,[1]!Data_BS[Thang.Nam],'Dai Loc'!AH$5)</f>
        <v>0</v>
      </c>
      <c r="AI93" s="229">
        <f>SUMIFS([1]!Data_BS[Value],[1]!Data_BS[Index BS],'Dai Loc'!$B93,[1]!Data_BS[TenCongTyID],'Dai Loc'!$B$1,[1]!Data_BS[Thang.Nam],'Dai Loc'!AI$5)</f>
        <v>0</v>
      </c>
      <c r="AJ93" s="229">
        <f>SUMIFS([1]!Data_BS[Value],[1]!Data_BS[Index BS],'Dai Loc'!$B93,[1]!Data_BS[TenCongTyID],'Dai Loc'!$B$1,[1]!Data_BS[Thang.Nam],'Dai Loc'!AJ$5)</f>
        <v>0</v>
      </c>
      <c r="AK93" s="229">
        <f>SUMIFS([1]!Data_BS[Value],[1]!Data_BS[Index BS],'Dai Loc'!$B93,[1]!Data_BS[TenCongTyID],'Dai Loc'!$B$1,[1]!Data_BS[Thang.Nam],'Dai Loc'!AK$5)</f>
        <v>0</v>
      </c>
      <c r="AL93" s="229">
        <f>SUMIFS([1]!Data_BS[Value],[1]!Data_BS[Index BS],'Dai Loc'!$B93,[1]!Data_BS[TenCongTyID],'Dai Loc'!$B$1,[1]!Data_BS[Thang.Nam],'Dai Loc'!AL$5)</f>
        <v>0</v>
      </c>
    </row>
    <row r="94" spans="1:40" ht="15" hidden="1" customHeight="1" outlineLevel="1">
      <c r="A94" s="67" t="s">
        <v>178</v>
      </c>
      <c r="B94" s="63">
        <v>89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Z94" s="229">
        <v>0</v>
      </c>
      <c r="AA94" s="229">
        <f>SUMIFS([1]!Data_BS[Value],[1]!Data_BS[Index BS],'Dai Loc'!$B94,[1]!Data_BS[TenCongTyID],'Dai Loc'!$B$1,[1]!Data_BS[Thang.Nam],'Dai Loc'!AA$5)</f>
        <v>0</v>
      </c>
      <c r="AB94" s="229">
        <f>SUMIFS([1]!Data_BS[Value],[1]!Data_BS[Index BS],'Dai Loc'!$B94,[1]!Data_BS[TenCongTyID],'Dai Loc'!$B$1,[1]!Data_BS[Thang.Nam],'Dai Loc'!AB$5)</f>
        <v>0</v>
      </c>
      <c r="AC94" s="229">
        <f>SUMIFS([1]!Data_BS[Value],[1]!Data_BS[Index BS],'Dai Loc'!$B94,[1]!Data_BS[TenCongTyID],'Dai Loc'!$B$1,[1]!Data_BS[Thang.Nam],'Dai Loc'!AC$5)</f>
        <v>0</v>
      </c>
      <c r="AD94" s="229">
        <f>SUMIFS([1]!Data_BS[Value],[1]!Data_BS[Index BS],'Dai Loc'!$B94,[1]!Data_BS[TenCongTyID],'Dai Loc'!$B$1,[1]!Data_BS[Thang.Nam],'Dai Loc'!AD$5)</f>
        <v>0</v>
      </c>
      <c r="AE94" s="229">
        <f>SUMIFS([1]!Data_BS[Value],[1]!Data_BS[Index BS],'Dai Loc'!$B94,[1]!Data_BS[TenCongTyID],'Dai Loc'!$B$1,[1]!Data_BS[Thang.Nam],'Dai Loc'!AE$5)</f>
        <v>0</v>
      </c>
      <c r="AF94" s="229">
        <f>SUMIFS([1]!Data_BS[Value],[1]!Data_BS[Index BS],'Dai Loc'!$B94,[1]!Data_BS[TenCongTyID],'Dai Loc'!$B$1,[1]!Data_BS[Thang.Nam],'Dai Loc'!AF$5)</f>
        <v>0</v>
      </c>
      <c r="AG94" s="229">
        <f>SUMIFS([1]!Data_BS[Value],[1]!Data_BS[Index BS],'Dai Loc'!$B94,[1]!Data_BS[TenCongTyID],'Dai Loc'!$B$1,[1]!Data_BS[Thang.Nam],'Dai Loc'!AG$5)</f>
        <v>0</v>
      </c>
      <c r="AH94" s="229">
        <f>SUMIFS([1]!Data_BS[Value],[1]!Data_BS[Index BS],'Dai Loc'!$B94,[1]!Data_BS[TenCongTyID],'Dai Loc'!$B$1,[1]!Data_BS[Thang.Nam],'Dai Loc'!AH$5)</f>
        <v>0</v>
      </c>
      <c r="AI94" s="229">
        <f>SUMIFS([1]!Data_BS[Value],[1]!Data_BS[Index BS],'Dai Loc'!$B94,[1]!Data_BS[TenCongTyID],'Dai Loc'!$B$1,[1]!Data_BS[Thang.Nam],'Dai Loc'!AI$5)</f>
        <v>0</v>
      </c>
      <c r="AJ94" s="229">
        <f>SUMIFS([1]!Data_BS[Value],[1]!Data_BS[Index BS],'Dai Loc'!$B94,[1]!Data_BS[TenCongTyID],'Dai Loc'!$B$1,[1]!Data_BS[Thang.Nam],'Dai Loc'!AJ$5)</f>
        <v>0</v>
      </c>
      <c r="AK94" s="229">
        <f>SUMIFS([1]!Data_BS[Value],[1]!Data_BS[Index BS],'Dai Loc'!$B94,[1]!Data_BS[TenCongTyID],'Dai Loc'!$B$1,[1]!Data_BS[Thang.Nam],'Dai Loc'!AK$5)</f>
        <v>0</v>
      </c>
      <c r="AL94" s="229">
        <f>SUMIFS([1]!Data_BS[Value],[1]!Data_BS[Index BS],'Dai Loc'!$B94,[1]!Data_BS[TenCongTyID],'Dai Loc'!$B$1,[1]!Data_BS[Thang.Nam],'Dai Loc'!AL$5)</f>
        <v>0</v>
      </c>
    </row>
    <row r="95" spans="1:40" ht="15" hidden="1" customHeight="1" outlineLevel="1">
      <c r="A95" s="67" t="s">
        <v>179</v>
      </c>
      <c r="B95" s="63">
        <v>90</v>
      </c>
      <c r="C95" s="229">
        <v>113618752</v>
      </c>
      <c r="D95" s="229">
        <v>295597557</v>
      </c>
      <c r="E95" s="229">
        <v>168108357</v>
      </c>
      <c r="F95" s="229">
        <v>206488764</v>
      </c>
      <c r="G95" s="229">
        <v>199675314</v>
      </c>
      <c r="H95" s="229">
        <v>188043114</v>
      </c>
      <c r="I95" s="229">
        <v>185699314</v>
      </c>
      <c r="J95" s="229">
        <v>505576778</v>
      </c>
      <c r="K95" s="229">
        <v>729003086</v>
      </c>
      <c r="L95" s="229">
        <v>684273103</v>
      </c>
      <c r="M95" s="229">
        <v>1524969091</v>
      </c>
      <c r="N95" s="229">
        <v>140744499</v>
      </c>
      <c r="O95" s="229">
        <v>705251097</v>
      </c>
      <c r="P95" s="229">
        <v>1497389411</v>
      </c>
      <c r="Q95" s="229">
        <v>1209698081</v>
      </c>
      <c r="R95" s="229">
        <v>1582128670</v>
      </c>
      <c r="S95" s="229">
        <v>2127542860</v>
      </c>
      <c r="T95" s="229">
        <v>1184666153</v>
      </c>
      <c r="U95" s="229">
        <v>789129739</v>
      </c>
      <c r="V95" s="229">
        <v>667115314</v>
      </c>
      <c r="W95" s="229">
        <v>399360953</v>
      </c>
      <c r="X95" s="229">
        <v>503975552</v>
      </c>
      <c r="Y95" s="229">
        <v>536816047</v>
      </c>
      <c r="Z95" s="229">
        <v>413829307</v>
      </c>
      <c r="AA95" s="229">
        <f>SUMIFS([1]!Data_BS[Value],[1]!Data_BS[Index BS],'Dai Loc'!$B95,[1]!Data_BS[TenCongTyID],'Dai Loc'!$B$1,[1]!Data_BS[Thang.Nam],'Dai Loc'!AA$5)</f>
        <v>0</v>
      </c>
      <c r="AB95" s="229">
        <f>SUMIFS([1]!Data_BS[Value],[1]!Data_BS[Index BS],'Dai Loc'!$B95,[1]!Data_BS[TenCongTyID],'Dai Loc'!$B$1,[1]!Data_BS[Thang.Nam],'Dai Loc'!AB$5)</f>
        <v>0</v>
      </c>
      <c r="AC95" s="229">
        <f>SUMIFS([1]!Data_BS[Value],[1]!Data_BS[Index BS],'Dai Loc'!$B95,[1]!Data_BS[TenCongTyID],'Dai Loc'!$B$1,[1]!Data_BS[Thang.Nam],'Dai Loc'!AC$5)</f>
        <v>0</v>
      </c>
      <c r="AD95" s="229">
        <f>SUMIFS([1]!Data_BS[Value],[1]!Data_BS[Index BS],'Dai Loc'!$B95,[1]!Data_BS[TenCongTyID],'Dai Loc'!$B$1,[1]!Data_BS[Thang.Nam],'Dai Loc'!AD$5)</f>
        <v>0</v>
      </c>
      <c r="AE95" s="229">
        <f>SUMIFS([1]!Data_BS[Value],[1]!Data_BS[Index BS],'Dai Loc'!$B95,[1]!Data_BS[TenCongTyID],'Dai Loc'!$B$1,[1]!Data_BS[Thang.Nam],'Dai Loc'!AE$5)</f>
        <v>0</v>
      </c>
      <c r="AF95" s="229">
        <f>SUMIFS([1]!Data_BS[Value],[1]!Data_BS[Index BS],'Dai Loc'!$B95,[1]!Data_BS[TenCongTyID],'Dai Loc'!$B$1,[1]!Data_BS[Thang.Nam],'Dai Loc'!AF$5)</f>
        <v>0</v>
      </c>
      <c r="AG95" s="229">
        <f>SUMIFS([1]!Data_BS[Value],[1]!Data_BS[Index BS],'Dai Loc'!$B95,[1]!Data_BS[TenCongTyID],'Dai Loc'!$B$1,[1]!Data_BS[Thang.Nam],'Dai Loc'!AG$5)</f>
        <v>0</v>
      </c>
      <c r="AH95" s="229">
        <f>SUMIFS([1]!Data_BS[Value],[1]!Data_BS[Index BS],'Dai Loc'!$B95,[1]!Data_BS[TenCongTyID],'Dai Loc'!$B$1,[1]!Data_BS[Thang.Nam],'Dai Loc'!AH$5)</f>
        <v>0</v>
      </c>
      <c r="AI95" s="229">
        <f>SUMIFS([1]!Data_BS[Value],[1]!Data_BS[Index BS],'Dai Loc'!$B95,[1]!Data_BS[TenCongTyID],'Dai Loc'!$B$1,[1]!Data_BS[Thang.Nam],'Dai Loc'!AI$5)</f>
        <v>0</v>
      </c>
      <c r="AJ95" s="229">
        <f>SUMIFS([1]!Data_BS[Value],[1]!Data_BS[Index BS],'Dai Loc'!$B95,[1]!Data_BS[TenCongTyID],'Dai Loc'!$B$1,[1]!Data_BS[Thang.Nam],'Dai Loc'!AJ$5)</f>
        <v>0</v>
      </c>
      <c r="AK95" s="229">
        <f>SUMIFS([1]!Data_BS[Value],[1]!Data_BS[Index BS],'Dai Loc'!$B95,[1]!Data_BS[TenCongTyID],'Dai Loc'!$B$1,[1]!Data_BS[Thang.Nam],'Dai Loc'!AK$5)</f>
        <v>0</v>
      </c>
      <c r="AL95" s="229">
        <f>SUMIFS([1]!Data_BS[Value],[1]!Data_BS[Index BS],'Dai Loc'!$B95,[1]!Data_BS[TenCongTyID],'Dai Loc'!$B$1,[1]!Data_BS[Thang.Nam],'Dai Loc'!AL$5)</f>
        <v>0</v>
      </c>
    </row>
    <row r="96" spans="1:40" ht="15" hidden="1" customHeight="1" outlineLevel="1">
      <c r="A96" s="67" t="s">
        <v>180</v>
      </c>
      <c r="B96" s="63">
        <v>91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/>
      <c r="X96" s="229">
        <v>0</v>
      </c>
      <c r="Y96" s="229">
        <v>0</v>
      </c>
      <c r="Z96" s="229">
        <v>0</v>
      </c>
      <c r="AA96" s="229">
        <f>SUMIFS([1]!Data_BS[Value],[1]!Data_BS[Index BS],'Dai Loc'!$B96,[1]!Data_BS[TenCongTyID],'Dai Loc'!$B$1,[1]!Data_BS[Thang.Nam],'Dai Loc'!AA$5)</f>
        <v>0</v>
      </c>
      <c r="AB96" s="229">
        <f>SUMIFS([1]!Data_BS[Value],[1]!Data_BS[Index BS],'Dai Loc'!$B96,[1]!Data_BS[TenCongTyID],'Dai Loc'!$B$1,[1]!Data_BS[Thang.Nam],'Dai Loc'!AB$5)</f>
        <v>0</v>
      </c>
      <c r="AC96" s="229">
        <f>SUMIFS([1]!Data_BS[Value],[1]!Data_BS[Index BS],'Dai Loc'!$B96,[1]!Data_BS[TenCongTyID],'Dai Loc'!$B$1,[1]!Data_BS[Thang.Nam],'Dai Loc'!AC$5)</f>
        <v>0</v>
      </c>
      <c r="AD96" s="229">
        <f>SUMIFS([1]!Data_BS[Value],[1]!Data_BS[Index BS],'Dai Loc'!$B96,[1]!Data_BS[TenCongTyID],'Dai Loc'!$B$1,[1]!Data_BS[Thang.Nam],'Dai Loc'!AD$5)</f>
        <v>0</v>
      </c>
      <c r="AE96" s="229">
        <f>SUMIFS([1]!Data_BS[Value],[1]!Data_BS[Index BS],'Dai Loc'!$B96,[1]!Data_BS[TenCongTyID],'Dai Loc'!$B$1,[1]!Data_BS[Thang.Nam],'Dai Loc'!AE$5)</f>
        <v>0</v>
      </c>
      <c r="AF96" s="229">
        <f>SUMIFS([1]!Data_BS[Value],[1]!Data_BS[Index BS],'Dai Loc'!$B96,[1]!Data_BS[TenCongTyID],'Dai Loc'!$B$1,[1]!Data_BS[Thang.Nam],'Dai Loc'!AF$5)</f>
        <v>0</v>
      </c>
      <c r="AG96" s="229">
        <f>SUMIFS([1]!Data_BS[Value],[1]!Data_BS[Index BS],'Dai Loc'!$B96,[1]!Data_BS[TenCongTyID],'Dai Loc'!$B$1,[1]!Data_BS[Thang.Nam],'Dai Loc'!AG$5)</f>
        <v>0</v>
      </c>
      <c r="AH96" s="229">
        <f>SUMIFS([1]!Data_BS[Value],[1]!Data_BS[Index BS],'Dai Loc'!$B96,[1]!Data_BS[TenCongTyID],'Dai Loc'!$B$1,[1]!Data_BS[Thang.Nam],'Dai Loc'!AH$5)</f>
        <v>0</v>
      </c>
      <c r="AI96" s="229">
        <f>SUMIFS([1]!Data_BS[Value],[1]!Data_BS[Index BS],'Dai Loc'!$B96,[1]!Data_BS[TenCongTyID],'Dai Loc'!$B$1,[1]!Data_BS[Thang.Nam],'Dai Loc'!AI$5)</f>
        <v>0</v>
      </c>
      <c r="AJ96" s="229">
        <f>SUMIFS([1]!Data_BS[Value],[1]!Data_BS[Index BS],'Dai Loc'!$B96,[1]!Data_BS[TenCongTyID],'Dai Loc'!$B$1,[1]!Data_BS[Thang.Nam],'Dai Loc'!AJ$5)</f>
        <v>0</v>
      </c>
      <c r="AK96" s="229">
        <f>SUMIFS([1]!Data_BS[Value],[1]!Data_BS[Index BS],'Dai Loc'!$B96,[1]!Data_BS[TenCongTyID],'Dai Loc'!$B$1,[1]!Data_BS[Thang.Nam],'Dai Loc'!AK$5)</f>
        <v>0</v>
      </c>
      <c r="AL96" s="229">
        <f>SUMIFS([1]!Data_BS[Value],[1]!Data_BS[Index BS],'Dai Loc'!$B96,[1]!Data_BS[TenCongTyID],'Dai Loc'!$B$1,[1]!Data_BS[Thang.Nam],'Dai Loc'!AL$5)</f>
        <v>0</v>
      </c>
    </row>
    <row r="97" spans="1:38" ht="15" hidden="1" customHeight="1" outlineLevel="1">
      <c r="A97" s="67" t="s">
        <v>181</v>
      </c>
      <c r="B97" s="63">
        <v>92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/>
      <c r="X97" s="229">
        <v>0</v>
      </c>
      <c r="Y97" s="229">
        <v>0</v>
      </c>
      <c r="Z97" s="229">
        <v>0</v>
      </c>
      <c r="AA97" s="229">
        <f>SUMIFS([1]!Data_BS[Value],[1]!Data_BS[Index BS],'Dai Loc'!$B97,[1]!Data_BS[TenCongTyID],'Dai Loc'!$B$1,[1]!Data_BS[Thang.Nam],'Dai Loc'!AA$5)</f>
        <v>0</v>
      </c>
      <c r="AB97" s="229">
        <f>SUMIFS([1]!Data_BS[Value],[1]!Data_BS[Index BS],'Dai Loc'!$B97,[1]!Data_BS[TenCongTyID],'Dai Loc'!$B$1,[1]!Data_BS[Thang.Nam],'Dai Loc'!AB$5)</f>
        <v>0</v>
      </c>
      <c r="AC97" s="229">
        <f>SUMIFS([1]!Data_BS[Value],[1]!Data_BS[Index BS],'Dai Loc'!$B97,[1]!Data_BS[TenCongTyID],'Dai Loc'!$B$1,[1]!Data_BS[Thang.Nam],'Dai Loc'!AC$5)</f>
        <v>0</v>
      </c>
      <c r="AD97" s="229">
        <f>SUMIFS([1]!Data_BS[Value],[1]!Data_BS[Index BS],'Dai Loc'!$B97,[1]!Data_BS[TenCongTyID],'Dai Loc'!$B$1,[1]!Data_BS[Thang.Nam],'Dai Loc'!AD$5)</f>
        <v>0</v>
      </c>
      <c r="AE97" s="229">
        <f>SUMIFS([1]!Data_BS[Value],[1]!Data_BS[Index BS],'Dai Loc'!$B97,[1]!Data_BS[TenCongTyID],'Dai Loc'!$B$1,[1]!Data_BS[Thang.Nam],'Dai Loc'!AE$5)</f>
        <v>0</v>
      </c>
      <c r="AF97" s="229">
        <f>SUMIFS([1]!Data_BS[Value],[1]!Data_BS[Index BS],'Dai Loc'!$B97,[1]!Data_BS[TenCongTyID],'Dai Loc'!$B$1,[1]!Data_BS[Thang.Nam],'Dai Loc'!AF$5)</f>
        <v>0</v>
      </c>
      <c r="AG97" s="229">
        <f>SUMIFS([1]!Data_BS[Value],[1]!Data_BS[Index BS],'Dai Loc'!$B97,[1]!Data_BS[TenCongTyID],'Dai Loc'!$B$1,[1]!Data_BS[Thang.Nam],'Dai Loc'!AG$5)</f>
        <v>0</v>
      </c>
      <c r="AH97" s="229">
        <f>SUMIFS([1]!Data_BS[Value],[1]!Data_BS[Index BS],'Dai Loc'!$B97,[1]!Data_BS[TenCongTyID],'Dai Loc'!$B$1,[1]!Data_BS[Thang.Nam],'Dai Loc'!AH$5)</f>
        <v>0</v>
      </c>
      <c r="AI97" s="229">
        <f>SUMIFS([1]!Data_BS[Value],[1]!Data_BS[Index BS],'Dai Loc'!$B97,[1]!Data_BS[TenCongTyID],'Dai Loc'!$B$1,[1]!Data_BS[Thang.Nam],'Dai Loc'!AI$5)</f>
        <v>0</v>
      </c>
      <c r="AJ97" s="229">
        <f>SUMIFS([1]!Data_BS[Value],[1]!Data_BS[Index BS],'Dai Loc'!$B97,[1]!Data_BS[TenCongTyID],'Dai Loc'!$B$1,[1]!Data_BS[Thang.Nam],'Dai Loc'!AJ$5)</f>
        <v>0</v>
      </c>
      <c r="AK97" s="229">
        <f>SUMIFS([1]!Data_BS[Value],[1]!Data_BS[Index BS],'Dai Loc'!$B97,[1]!Data_BS[TenCongTyID],'Dai Loc'!$B$1,[1]!Data_BS[Thang.Nam],'Dai Loc'!AK$5)</f>
        <v>0</v>
      </c>
      <c r="AL97" s="229">
        <f>SUMIFS([1]!Data_BS[Value],[1]!Data_BS[Index BS],'Dai Loc'!$B97,[1]!Data_BS[TenCongTyID],'Dai Loc'!$B$1,[1]!Data_BS[Thang.Nam],'Dai Loc'!AL$5)</f>
        <v>0</v>
      </c>
    </row>
    <row r="98" spans="1:38" ht="15" hidden="1" customHeight="1" outlineLevel="1">
      <c r="A98" s="67" t="s">
        <v>182</v>
      </c>
      <c r="B98" s="63">
        <v>93</v>
      </c>
      <c r="C98" s="229">
        <v>79998</v>
      </c>
      <c r="D98" s="229">
        <v>79998</v>
      </c>
      <c r="E98" s="229">
        <v>79998</v>
      </c>
      <c r="F98" s="229">
        <v>79998</v>
      </c>
      <c r="G98" s="229">
        <v>79998</v>
      </c>
      <c r="H98" s="229">
        <v>79998</v>
      </c>
      <c r="I98" s="229">
        <v>79998</v>
      </c>
      <c r="J98" s="229">
        <v>79998</v>
      </c>
      <c r="K98" s="229">
        <v>79998</v>
      </c>
      <c r="L98" s="229">
        <v>79998</v>
      </c>
      <c r="M98" s="229">
        <v>79998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/>
      <c r="X98" s="229">
        <v>0</v>
      </c>
      <c r="Y98" s="229">
        <v>0</v>
      </c>
      <c r="Z98" s="229">
        <v>0</v>
      </c>
      <c r="AA98" s="229">
        <f>SUMIFS([1]!Data_BS[Value],[1]!Data_BS[Index BS],'Dai Loc'!$B98,[1]!Data_BS[TenCongTyID],'Dai Loc'!$B$1,[1]!Data_BS[Thang.Nam],'Dai Loc'!AA$5)</f>
        <v>0</v>
      </c>
      <c r="AB98" s="229">
        <f>SUMIFS([1]!Data_BS[Value],[1]!Data_BS[Index BS],'Dai Loc'!$B98,[1]!Data_BS[TenCongTyID],'Dai Loc'!$B$1,[1]!Data_BS[Thang.Nam],'Dai Loc'!AB$5)</f>
        <v>0</v>
      </c>
      <c r="AC98" s="229">
        <f>SUMIFS([1]!Data_BS[Value],[1]!Data_BS[Index BS],'Dai Loc'!$B98,[1]!Data_BS[TenCongTyID],'Dai Loc'!$B$1,[1]!Data_BS[Thang.Nam],'Dai Loc'!AC$5)</f>
        <v>0</v>
      </c>
      <c r="AD98" s="229">
        <f>SUMIFS([1]!Data_BS[Value],[1]!Data_BS[Index BS],'Dai Loc'!$B98,[1]!Data_BS[TenCongTyID],'Dai Loc'!$B$1,[1]!Data_BS[Thang.Nam],'Dai Loc'!AD$5)</f>
        <v>0</v>
      </c>
      <c r="AE98" s="229">
        <f>SUMIFS([1]!Data_BS[Value],[1]!Data_BS[Index BS],'Dai Loc'!$B98,[1]!Data_BS[TenCongTyID],'Dai Loc'!$B$1,[1]!Data_BS[Thang.Nam],'Dai Loc'!AE$5)</f>
        <v>0</v>
      </c>
      <c r="AF98" s="229">
        <f>SUMIFS([1]!Data_BS[Value],[1]!Data_BS[Index BS],'Dai Loc'!$B98,[1]!Data_BS[TenCongTyID],'Dai Loc'!$B$1,[1]!Data_BS[Thang.Nam],'Dai Loc'!AF$5)</f>
        <v>0</v>
      </c>
      <c r="AG98" s="229">
        <f>SUMIFS([1]!Data_BS[Value],[1]!Data_BS[Index BS],'Dai Loc'!$B98,[1]!Data_BS[TenCongTyID],'Dai Loc'!$B$1,[1]!Data_BS[Thang.Nam],'Dai Loc'!AG$5)</f>
        <v>0</v>
      </c>
      <c r="AH98" s="229">
        <f>SUMIFS([1]!Data_BS[Value],[1]!Data_BS[Index BS],'Dai Loc'!$B98,[1]!Data_BS[TenCongTyID],'Dai Loc'!$B$1,[1]!Data_BS[Thang.Nam],'Dai Loc'!AH$5)</f>
        <v>0</v>
      </c>
      <c r="AI98" s="229">
        <f>SUMIFS([1]!Data_BS[Value],[1]!Data_BS[Index BS],'Dai Loc'!$B98,[1]!Data_BS[TenCongTyID],'Dai Loc'!$B$1,[1]!Data_BS[Thang.Nam],'Dai Loc'!AI$5)</f>
        <v>0</v>
      </c>
      <c r="AJ98" s="229">
        <f>SUMIFS([1]!Data_BS[Value],[1]!Data_BS[Index BS],'Dai Loc'!$B98,[1]!Data_BS[TenCongTyID],'Dai Loc'!$B$1,[1]!Data_BS[Thang.Nam],'Dai Loc'!AJ$5)</f>
        <v>0</v>
      </c>
      <c r="AK98" s="229">
        <f>SUMIFS([1]!Data_BS[Value],[1]!Data_BS[Index BS],'Dai Loc'!$B98,[1]!Data_BS[TenCongTyID],'Dai Loc'!$B$1,[1]!Data_BS[Thang.Nam],'Dai Loc'!AK$5)</f>
        <v>0</v>
      </c>
      <c r="AL98" s="229">
        <f>SUMIFS([1]!Data_BS[Value],[1]!Data_BS[Index BS],'Dai Loc'!$B98,[1]!Data_BS[TenCongTyID],'Dai Loc'!$B$1,[1]!Data_BS[Thang.Nam],'Dai Loc'!AL$5)</f>
        <v>0</v>
      </c>
    </row>
    <row r="99" spans="1:38" ht="15" hidden="1" customHeight="1" outlineLevel="1">
      <c r="A99" s="68" t="s">
        <v>183</v>
      </c>
      <c r="B99" s="63">
        <v>94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/>
      <c r="X99" s="229">
        <v>0</v>
      </c>
      <c r="Y99" s="229">
        <v>0</v>
      </c>
      <c r="Z99" s="229">
        <v>0</v>
      </c>
      <c r="AA99" s="229">
        <f>SUMIFS([1]!Data_BS[Value],[1]!Data_BS[Index BS],'Dai Loc'!$B99,[1]!Data_BS[TenCongTyID],'Dai Loc'!$B$1,[1]!Data_BS[Thang.Nam],'Dai Loc'!AA$5)</f>
        <v>0</v>
      </c>
      <c r="AB99" s="229">
        <f>SUMIFS([1]!Data_BS[Value],[1]!Data_BS[Index BS],'Dai Loc'!$B99,[1]!Data_BS[TenCongTyID],'Dai Loc'!$B$1,[1]!Data_BS[Thang.Nam],'Dai Loc'!AB$5)</f>
        <v>0</v>
      </c>
      <c r="AC99" s="229">
        <f>SUMIFS([1]!Data_BS[Value],[1]!Data_BS[Index BS],'Dai Loc'!$B99,[1]!Data_BS[TenCongTyID],'Dai Loc'!$B$1,[1]!Data_BS[Thang.Nam],'Dai Loc'!AC$5)</f>
        <v>0</v>
      </c>
      <c r="AD99" s="229">
        <f>SUMIFS([1]!Data_BS[Value],[1]!Data_BS[Index BS],'Dai Loc'!$B99,[1]!Data_BS[TenCongTyID],'Dai Loc'!$B$1,[1]!Data_BS[Thang.Nam],'Dai Loc'!AD$5)</f>
        <v>0</v>
      </c>
      <c r="AE99" s="229">
        <f>SUMIFS([1]!Data_BS[Value],[1]!Data_BS[Index BS],'Dai Loc'!$B99,[1]!Data_BS[TenCongTyID],'Dai Loc'!$B$1,[1]!Data_BS[Thang.Nam],'Dai Loc'!AE$5)</f>
        <v>0</v>
      </c>
      <c r="AF99" s="229">
        <f>SUMIFS([1]!Data_BS[Value],[1]!Data_BS[Index BS],'Dai Loc'!$B99,[1]!Data_BS[TenCongTyID],'Dai Loc'!$B$1,[1]!Data_BS[Thang.Nam],'Dai Loc'!AF$5)</f>
        <v>0</v>
      </c>
      <c r="AG99" s="229">
        <f>SUMIFS([1]!Data_BS[Value],[1]!Data_BS[Index BS],'Dai Loc'!$B99,[1]!Data_BS[TenCongTyID],'Dai Loc'!$B$1,[1]!Data_BS[Thang.Nam],'Dai Loc'!AG$5)</f>
        <v>0</v>
      </c>
      <c r="AH99" s="229">
        <f>SUMIFS([1]!Data_BS[Value],[1]!Data_BS[Index BS],'Dai Loc'!$B99,[1]!Data_BS[TenCongTyID],'Dai Loc'!$B$1,[1]!Data_BS[Thang.Nam],'Dai Loc'!AH$5)</f>
        <v>0</v>
      </c>
      <c r="AI99" s="229">
        <f>SUMIFS([1]!Data_BS[Value],[1]!Data_BS[Index BS],'Dai Loc'!$B99,[1]!Data_BS[TenCongTyID],'Dai Loc'!$B$1,[1]!Data_BS[Thang.Nam],'Dai Loc'!AI$5)</f>
        <v>0</v>
      </c>
      <c r="AJ99" s="229">
        <f>SUMIFS([1]!Data_BS[Value],[1]!Data_BS[Index BS],'Dai Loc'!$B99,[1]!Data_BS[TenCongTyID],'Dai Loc'!$B$1,[1]!Data_BS[Thang.Nam],'Dai Loc'!AJ$5)</f>
        <v>0</v>
      </c>
      <c r="AK99" s="229">
        <f>SUMIFS([1]!Data_BS[Value],[1]!Data_BS[Index BS],'Dai Loc'!$B99,[1]!Data_BS[TenCongTyID],'Dai Loc'!$B$1,[1]!Data_BS[Thang.Nam],'Dai Loc'!AK$5)</f>
        <v>0</v>
      </c>
      <c r="AL99" s="229">
        <f>SUMIFS([1]!Data_BS[Value],[1]!Data_BS[Index BS],'Dai Loc'!$B99,[1]!Data_BS[TenCongTyID],'Dai Loc'!$B$1,[1]!Data_BS[Thang.Nam],'Dai Loc'!AL$5)</f>
        <v>0</v>
      </c>
    </row>
    <row r="100" spans="1:38" ht="15" hidden="1" customHeight="1" outlineLevel="1">
      <c r="A100" s="68" t="s">
        <v>184</v>
      </c>
      <c r="B100" s="63">
        <v>95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/>
      <c r="X100" s="229">
        <v>0</v>
      </c>
      <c r="Y100" s="229">
        <v>0</v>
      </c>
      <c r="Z100" s="229">
        <v>0</v>
      </c>
      <c r="AA100" s="229">
        <f>SUMIFS([1]!Data_BS[Value],[1]!Data_BS[Index BS],'Dai Loc'!$B100,[1]!Data_BS[TenCongTyID],'Dai Loc'!$B$1,[1]!Data_BS[Thang.Nam],'Dai Loc'!AA$5)</f>
        <v>0</v>
      </c>
      <c r="AB100" s="229">
        <f>SUMIFS([1]!Data_BS[Value],[1]!Data_BS[Index BS],'Dai Loc'!$B100,[1]!Data_BS[TenCongTyID],'Dai Loc'!$B$1,[1]!Data_BS[Thang.Nam],'Dai Loc'!AB$5)</f>
        <v>0</v>
      </c>
      <c r="AC100" s="229">
        <f>SUMIFS([1]!Data_BS[Value],[1]!Data_BS[Index BS],'Dai Loc'!$B100,[1]!Data_BS[TenCongTyID],'Dai Loc'!$B$1,[1]!Data_BS[Thang.Nam],'Dai Loc'!AC$5)</f>
        <v>0</v>
      </c>
      <c r="AD100" s="229">
        <f>SUMIFS([1]!Data_BS[Value],[1]!Data_BS[Index BS],'Dai Loc'!$B100,[1]!Data_BS[TenCongTyID],'Dai Loc'!$B$1,[1]!Data_BS[Thang.Nam],'Dai Loc'!AD$5)</f>
        <v>0</v>
      </c>
      <c r="AE100" s="229">
        <f>SUMIFS([1]!Data_BS[Value],[1]!Data_BS[Index BS],'Dai Loc'!$B100,[1]!Data_BS[TenCongTyID],'Dai Loc'!$B$1,[1]!Data_BS[Thang.Nam],'Dai Loc'!AE$5)</f>
        <v>0</v>
      </c>
      <c r="AF100" s="229">
        <f>SUMIFS([1]!Data_BS[Value],[1]!Data_BS[Index BS],'Dai Loc'!$B100,[1]!Data_BS[TenCongTyID],'Dai Loc'!$B$1,[1]!Data_BS[Thang.Nam],'Dai Loc'!AF$5)</f>
        <v>0</v>
      </c>
      <c r="AG100" s="229">
        <f>SUMIFS([1]!Data_BS[Value],[1]!Data_BS[Index BS],'Dai Loc'!$B100,[1]!Data_BS[TenCongTyID],'Dai Loc'!$B$1,[1]!Data_BS[Thang.Nam],'Dai Loc'!AG$5)</f>
        <v>0</v>
      </c>
      <c r="AH100" s="229">
        <f>SUMIFS([1]!Data_BS[Value],[1]!Data_BS[Index BS],'Dai Loc'!$B100,[1]!Data_BS[TenCongTyID],'Dai Loc'!$B$1,[1]!Data_BS[Thang.Nam],'Dai Loc'!AH$5)</f>
        <v>0</v>
      </c>
      <c r="AI100" s="229">
        <f>SUMIFS([1]!Data_BS[Value],[1]!Data_BS[Index BS],'Dai Loc'!$B100,[1]!Data_BS[TenCongTyID],'Dai Loc'!$B$1,[1]!Data_BS[Thang.Nam],'Dai Loc'!AI$5)</f>
        <v>0</v>
      </c>
      <c r="AJ100" s="229">
        <f>SUMIFS([1]!Data_BS[Value],[1]!Data_BS[Index BS],'Dai Loc'!$B100,[1]!Data_BS[TenCongTyID],'Dai Loc'!$B$1,[1]!Data_BS[Thang.Nam],'Dai Loc'!AJ$5)</f>
        <v>0</v>
      </c>
      <c r="AK100" s="229">
        <f>SUMIFS([1]!Data_BS[Value],[1]!Data_BS[Index BS],'Dai Loc'!$B100,[1]!Data_BS[TenCongTyID],'Dai Loc'!$B$1,[1]!Data_BS[Thang.Nam],'Dai Loc'!AK$5)</f>
        <v>0</v>
      </c>
      <c r="AL100" s="229">
        <f>SUMIFS([1]!Data_BS[Value],[1]!Data_BS[Index BS],'Dai Loc'!$B100,[1]!Data_BS[TenCongTyID],'Dai Loc'!$B$1,[1]!Data_BS[Thang.Nam],'Dai Loc'!AL$5)</f>
        <v>0</v>
      </c>
    </row>
    <row r="101" spans="1:38" ht="15" hidden="1" customHeight="1" outlineLevel="1">
      <c r="A101" s="72" t="s">
        <v>185</v>
      </c>
      <c r="B101" s="65">
        <v>96</v>
      </c>
      <c r="C101" s="233">
        <v>32770000000</v>
      </c>
      <c r="D101" s="233">
        <v>32770000000</v>
      </c>
      <c r="E101" s="233">
        <v>32770000000</v>
      </c>
      <c r="F101" s="233">
        <v>32770000000</v>
      </c>
      <c r="G101" s="233">
        <v>32770000000</v>
      </c>
      <c r="H101" s="233">
        <v>32770000000</v>
      </c>
      <c r="I101" s="233">
        <v>32770000000</v>
      </c>
      <c r="J101" s="233">
        <v>32770000000</v>
      </c>
      <c r="K101" s="233">
        <v>32770000000</v>
      </c>
      <c r="L101" s="233">
        <v>32770000000</v>
      </c>
      <c r="M101" s="233">
        <v>32770000000</v>
      </c>
      <c r="N101" s="234">
        <v>32770000000</v>
      </c>
      <c r="O101" s="234">
        <v>32770000000</v>
      </c>
      <c r="P101" s="234">
        <v>32770000000</v>
      </c>
      <c r="Q101" s="234">
        <v>32770000000</v>
      </c>
      <c r="R101" s="234">
        <v>32770000000</v>
      </c>
      <c r="S101" s="234">
        <v>32770000000</v>
      </c>
      <c r="T101" s="234">
        <v>32770000000</v>
      </c>
      <c r="U101" s="234">
        <v>32770000000</v>
      </c>
      <c r="V101" s="234">
        <v>32770000000</v>
      </c>
      <c r="W101" s="234">
        <v>32770000000</v>
      </c>
      <c r="X101" s="234">
        <v>32770000000</v>
      </c>
      <c r="Y101" s="234">
        <v>32770000000</v>
      </c>
      <c r="Z101" s="234">
        <v>32770000000</v>
      </c>
      <c r="AA101" s="234">
        <f>SUMIFS([1]!Data_BS[Value],[1]!Data_BS[Index BS],'Dai Loc'!$B101,[1]!Data_BS[TenCongTyID],'Dai Loc'!$B$1,[1]!Data_BS[Thang.Nam],'Dai Loc'!AA$5)</f>
        <v>0</v>
      </c>
      <c r="AB101" s="234">
        <f>SUMIFS([1]!Data_BS[Value],[1]!Data_BS[Index BS],'Dai Loc'!$B101,[1]!Data_BS[TenCongTyID],'Dai Loc'!$B$1,[1]!Data_BS[Thang.Nam],'Dai Loc'!AB$5)</f>
        <v>0</v>
      </c>
      <c r="AC101" s="234">
        <f>SUMIFS([1]!Data_BS[Value],[1]!Data_BS[Index BS],'Dai Loc'!$B101,[1]!Data_BS[TenCongTyID],'Dai Loc'!$B$1,[1]!Data_BS[Thang.Nam],'Dai Loc'!AC$5)</f>
        <v>0</v>
      </c>
      <c r="AD101" s="234">
        <f>SUMIFS([1]!Data_BS[Value],[1]!Data_BS[Index BS],'Dai Loc'!$B101,[1]!Data_BS[TenCongTyID],'Dai Loc'!$B$1,[1]!Data_BS[Thang.Nam],'Dai Loc'!AD$5)</f>
        <v>0</v>
      </c>
      <c r="AE101" s="234">
        <f>SUMIFS([1]!Data_BS[Value],[1]!Data_BS[Index BS],'Dai Loc'!$B101,[1]!Data_BS[TenCongTyID],'Dai Loc'!$B$1,[1]!Data_BS[Thang.Nam],'Dai Loc'!AE$5)</f>
        <v>0</v>
      </c>
      <c r="AF101" s="234">
        <f>SUMIFS([1]!Data_BS[Value],[1]!Data_BS[Index BS],'Dai Loc'!$B101,[1]!Data_BS[TenCongTyID],'Dai Loc'!$B$1,[1]!Data_BS[Thang.Nam],'Dai Loc'!AF$5)</f>
        <v>0</v>
      </c>
      <c r="AG101" s="234">
        <f>SUMIFS([1]!Data_BS[Value],[1]!Data_BS[Index BS],'Dai Loc'!$B101,[1]!Data_BS[TenCongTyID],'Dai Loc'!$B$1,[1]!Data_BS[Thang.Nam],'Dai Loc'!AG$5)</f>
        <v>0</v>
      </c>
      <c r="AH101" s="234">
        <f>SUMIFS([1]!Data_BS[Value],[1]!Data_BS[Index BS],'Dai Loc'!$B101,[1]!Data_BS[TenCongTyID],'Dai Loc'!$B$1,[1]!Data_BS[Thang.Nam],'Dai Loc'!AH$5)</f>
        <v>0</v>
      </c>
      <c r="AI101" s="234">
        <f>SUMIFS([1]!Data_BS[Value],[1]!Data_BS[Index BS],'Dai Loc'!$B101,[1]!Data_BS[TenCongTyID],'Dai Loc'!$B$1,[1]!Data_BS[Thang.Nam],'Dai Loc'!AI$5)</f>
        <v>0</v>
      </c>
      <c r="AJ101" s="234">
        <f>SUMIFS([1]!Data_BS[Value],[1]!Data_BS[Index BS],'Dai Loc'!$B101,[1]!Data_BS[TenCongTyID],'Dai Loc'!$B$1,[1]!Data_BS[Thang.Nam],'Dai Loc'!AJ$5)</f>
        <v>0</v>
      </c>
      <c r="AK101" s="234">
        <f>SUMIFS([1]!Data_BS[Value],[1]!Data_BS[Index BS],'Dai Loc'!$B101,[1]!Data_BS[TenCongTyID],'Dai Loc'!$B$1,[1]!Data_BS[Thang.Nam],'Dai Loc'!AK$5)</f>
        <v>0</v>
      </c>
      <c r="AL101" s="234">
        <f>SUMIFS([1]!Data_BS[Value],[1]!Data_BS[Index BS],'Dai Loc'!$B101,[1]!Data_BS[TenCongTyID],'Dai Loc'!$B$1,[1]!Data_BS[Thang.Nam],'Dai Loc'!AL$5)</f>
        <v>0</v>
      </c>
    </row>
    <row r="102" spans="1:38" ht="15" hidden="1" customHeight="1" outlineLevel="1">
      <c r="A102" s="67" t="s">
        <v>186</v>
      </c>
      <c r="B102" s="63">
        <v>97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>
        <v>0</v>
      </c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>
        <v>0</v>
      </c>
      <c r="X102" s="229">
        <v>0</v>
      </c>
      <c r="Y102" s="229">
        <v>0</v>
      </c>
      <c r="Z102" s="229">
        <v>0</v>
      </c>
      <c r="AA102" s="229">
        <f>SUMIFS([1]!Data_BS[Value],[1]!Data_BS[Index BS],'Dai Loc'!$B102,[1]!Data_BS[TenCongTyID],'Dai Loc'!$B$1,[1]!Data_BS[Thang.Nam],'Dai Loc'!AA$5)</f>
        <v>0</v>
      </c>
      <c r="AB102" s="229">
        <f>SUMIFS([1]!Data_BS[Value],[1]!Data_BS[Index BS],'Dai Loc'!$B102,[1]!Data_BS[TenCongTyID],'Dai Loc'!$B$1,[1]!Data_BS[Thang.Nam],'Dai Loc'!AB$5)</f>
        <v>0</v>
      </c>
      <c r="AC102" s="229">
        <f>SUMIFS([1]!Data_BS[Value],[1]!Data_BS[Index BS],'Dai Loc'!$B102,[1]!Data_BS[TenCongTyID],'Dai Loc'!$B$1,[1]!Data_BS[Thang.Nam],'Dai Loc'!AC$5)</f>
        <v>0</v>
      </c>
      <c r="AD102" s="229">
        <f>SUMIFS([1]!Data_BS[Value],[1]!Data_BS[Index BS],'Dai Loc'!$B102,[1]!Data_BS[TenCongTyID],'Dai Loc'!$B$1,[1]!Data_BS[Thang.Nam],'Dai Loc'!AD$5)</f>
        <v>0</v>
      </c>
      <c r="AE102" s="229">
        <f>SUMIFS([1]!Data_BS[Value],[1]!Data_BS[Index BS],'Dai Loc'!$B102,[1]!Data_BS[TenCongTyID],'Dai Loc'!$B$1,[1]!Data_BS[Thang.Nam],'Dai Loc'!AE$5)</f>
        <v>0</v>
      </c>
      <c r="AF102" s="229">
        <f>SUMIFS([1]!Data_BS[Value],[1]!Data_BS[Index BS],'Dai Loc'!$B102,[1]!Data_BS[TenCongTyID],'Dai Loc'!$B$1,[1]!Data_BS[Thang.Nam],'Dai Loc'!AF$5)</f>
        <v>0</v>
      </c>
      <c r="AG102" s="229">
        <f>SUMIFS([1]!Data_BS[Value],[1]!Data_BS[Index BS],'Dai Loc'!$B102,[1]!Data_BS[TenCongTyID],'Dai Loc'!$B$1,[1]!Data_BS[Thang.Nam],'Dai Loc'!AG$5)</f>
        <v>0</v>
      </c>
      <c r="AH102" s="229">
        <f>SUMIFS([1]!Data_BS[Value],[1]!Data_BS[Index BS],'Dai Loc'!$B102,[1]!Data_BS[TenCongTyID],'Dai Loc'!$B$1,[1]!Data_BS[Thang.Nam],'Dai Loc'!AH$5)</f>
        <v>0</v>
      </c>
      <c r="AI102" s="229">
        <f>SUMIFS([1]!Data_BS[Value],[1]!Data_BS[Index BS],'Dai Loc'!$B102,[1]!Data_BS[TenCongTyID],'Dai Loc'!$B$1,[1]!Data_BS[Thang.Nam],'Dai Loc'!AI$5)</f>
        <v>0</v>
      </c>
      <c r="AJ102" s="229">
        <f>SUMIFS([1]!Data_BS[Value],[1]!Data_BS[Index BS],'Dai Loc'!$B102,[1]!Data_BS[TenCongTyID],'Dai Loc'!$B$1,[1]!Data_BS[Thang.Nam],'Dai Loc'!AJ$5)</f>
        <v>0</v>
      </c>
      <c r="AK102" s="229">
        <f>SUMIFS([1]!Data_BS[Value],[1]!Data_BS[Index BS],'Dai Loc'!$B102,[1]!Data_BS[TenCongTyID],'Dai Loc'!$B$1,[1]!Data_BS[Thang.Nam],'Dai Loc'!AK$5)</f>
        <v>0</v>
      </c>
      <c r="AL102" s="229">
        <f>SUMIFS([1]!Data_BS[Value],[1]!Data_BS[Index BS],'Dai Loc'!$B102,[1]!Data_BS[TenCongTyID],'Dai Loc'!$B$1,[1]!Data_BS[Thang.Nam],'Dai Loc'!AL$5)</f>
        <v>0</v>
      </c>
    </row>
    <row r="103" spans="1:38" ht="15" hidden="1" customHeight="1" outlineLevel="1">
      <c r="A103" s="67" t="s">
        <v>187</v>
      </c>
      <c r="B103" s="63">
        <v>98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Z103" s="229">
        <v>0</v>
      </c>
      <c r="AA103" s="229">
        <f>SUMIFS([1]!Data_BS[Value],[1]!Data_BS[Index BS],'Dai Loc'!$B103,[1]!Data_BS[TenCongTyID],'Dai Loc'!$B$1,[1]!Data_BS[Thang.Nam],'Dai Loc'!AA$5)</f>
        <v>0</v>
      </c>
      <c r="AB103" s="229">
        <f>SUMIFS([1]!Data_BS[Value],[1]!Data_BS[Index BS],'Dai Loc'!$B103,[1]!Data_BS[TenCongTyID],'Dai Loc'!$B$1,[1]!Data_BS[Thang.Nam],'Dai Loc'!AB$5)</f>
        <v>0</v>
      </c>
      <c r="AC103" s="229">
        <f>SUMIFS([1]!Data_BS[Value],[1]!Data_BS[Index BS],'Dai Loc'!$B103,[1]!Data_BS[TenCongTyID],'Dai Loc'!$B$1,[1]!Data_BS[Thang.Nam],'Dai Loc'!AC$5)</f>
        <v>0</v>
      </c>
      <c r="AD103" s="229">
        <f>SUMIFS([1]!Data_BS[Value],[1]!Data_BS[Index BS],'Dai Loc'!$B103,[1]!Data_BS[TenCongTyID],'Dai Loc'!$B$1,[1]!Data_BS[Thang.Nam],'Dai Loc'!AD$5)</f>
        <v>0</v>
      </c>
      <c r="AE103" s="229">
        <f>SUMIFS([1]!Data_BS[Value],[1]!Data_BS[Index BS],'Dai Loc'!$B103,[1]!Data_BS[TenCongTyID],'Dai Loc'!$B$1,[1]!Data_BS[Thang.Nam],'Dai Loc'!AE$5)</f>
        <v>0</v>
      </c>
      <c r="AF103" s="229">
        <f>SUMIFS([1]!Data_BS[Value],[1]!Data_BS[Index BS],'Dai Loc'!$B103,[1]!Data_BS[TenCongTyID],'Dai Loc'!$B$1,[1]!Data_BS[Thang.Nam],'Dai Loc'!AF$5)</f>
        <v>0</v>
      </c>
      <c r="AG103" s="229">
        <f>SUMIFS([1]!Data_BS[Value],[1]!Data_BS[Index BS],'Dai Loc'!$B103,[1]!Data_BS[TenCongTyID],'Dai Loc'!$B$1,[1]!Data_BS[Thang.Nam],'Dai Loc'!AG$5)</f>
        <v>0</v>
      </c>
      <c r="AH103" s="229">
        <f>SUMIFS([1]!Data_BS[Value],[1]!Data_BS[Index BS],'Dai Loc'!$B103,[1]!Data_BS[TenCongTyID],'Dai Loc'!$B$1,[1]!Data_BS[Thang.Nam],'Dai Loc'!AH$5)</f>
        <v>0</v>
      </c>
      <c r="AI103" s="229">
        <f>SUMIFS([1]!Data_BS[Value],[1]!Data_BS[Index BS],'Dai Loc'!$B103,[1]!Data_BS[TenCongTyID],'Dai Loc'!$B$1,[1]!Data_BS[Thang.Nam],'Dai Loc'!AI$5)</f>
        <v>0</v>
      </c>
      <c r="AJ103" s="229">
        <f>SUMIFS([1]!Data_BS[Value],[1]!Data_BS[Index BS],'Dai Loc'!$B103,[1]!Data_BS[TenCongTyID],'Dai Loc'!$B$1,[1]!Data_BS[Thang.Nam],'Dai Loc'!AJ$5)</f>
        <v>0</v>
      </c>
      <c r="AK103" s="229">
        <f>SUMIFS([1]!Data_BS[Value],[1]!Data_BS[Index BS],'Dai Loc'!$B103,[1]!Data_BS[TenCongTyID],'Dai Loc'!$B$1,[1]!Data_BS[Thang.Nam],'Dai Loc'!AK$5)</f>
        <v>0</v>
      </c>
      <c r="AL103" s="229">
        <f>SUMIFS([1]!Data_BS[Value],[1]!Data_BS[Index BS],'Dai Loc'!$B103,[1]!Data_BS[TenCongTyID],'Dai Loc'!$B$1,[1]!Data_BS[Thang.Nam],'Dai Loc'!AL$5)</f>
        <v>0</v>
      </c>
    </row>
    <row r="104" spans="1:38" ht="15" hidden="1" customHeight="1" outlineLevel="1">
      <c r="A104" s="67" t="s">
        <v>188</v>
      </c>
      <c r="B104" s="63">
        <v>99</v>
      </c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>
        <v>0</v>
      </c>
      <c r="AA104" s="229">
        <f>SUMIFS([1]!Data_BS[Value],[1]!Data_BS[Index BS],'Dai Loc'!$B104,[1]!Data_BS[TenCongTyID],'Dai Loc'!$B$1,[1]!Data_BS[Thang.Nam],'Dai Loc'!AA$5)</f>
        <v>0</v>
      </c>
      <c r="AB104" s="229">
        <f>SUMIFS([1]!Data_BS[Value],[1]!Data_BS[Index BS],'Dai Loc'!$B104,[1]!Data_BS[TenCongTyID],'Dai Loc'!$B$1,[1]!Data_BS[Thang.Nam],'Dai Loc'!AB$5)</f>
        <v>0</v>
      </c>
      <c r="AC104" s="229">
        <f>SUMIFS([1]!Data_BS[Value],[1]!Data_BS[Index BS],'Dai Loc'!$B104,[1]!Data_BS[TenCongTyID],'Dai Loc'!$B$1,[1]!Data_BS[Thang.Nam],'Dai Loc'!AC$5)</f>
        <v>0</v>
      </c>
      <c r="AD104" s="229">
        <f>SUMIFS([1]!Data_BS[Value],[1]!Data_BS[Index BS],'Dai Loc'!$B104,[1]!Data_BS[TenCongTyID],'Dai Loc'!$B$1,[1]!Data_BS[Thang.Nam],'Dai Loc'!AD$5)</f>
        <v>0</v>
      </c>
      <c r="AE104" s="229">
        <f>SUMIFS([1]!Data_BS[Value],[1]!Data_BS[Index BS],'Dai Loc'!$B104,[1]!Data_BS[TenCongTyID],'Dai Loc'!$B$1,[1]!Data_BS[Thang.Nam],'Dai Loc'!AE$5)</f>
        <v>0</v>
      </c>
      <c r="AF104" s="229">
        <f>SUMIFS([1]!Data_BS[Value],[1]!Data_BS[Index BS],'Dai Loc'!$B104,[1]!Data_BS[TenCongTyID],'Dai Loc'!$B$1,[1]!Data_BS[Thang.Nam],'Dai Loc'!AF$5)</f>
        <v>0</v>
      </c>
      <c r="AG104" s="229">
        <f>SUMIFS([1]!Data_BS[Value],[1]!Data_BS[Index BS],'Dai Loc'!$B104,[1]!Data_BS[TenCongTyID],'Dai Loc'!$B$1,[1]!Data_BS[Thang.Nam],'Dai Loc'!AG$5)</f>
        <v>0</v>
      </c>
      <c r="AH104" s="229">
        <f>SUMIFS([1]!Data_BS[Value],[1]!Data_BS[Index BS],'Dai Loc'!$B104,[1]!Data_BS[TenCongTyID],'Dai Loc'!$B$1,[1]!Data_BS[Thang.Nam],'Dai Loc'!AH$5)</f>
        <v>0</v>
      </c>
      <c r="AI104" s="229">
        <f>SUMIFS([1]!Data_BS[Value],[1]!Data_BS[Index BS],'Dai Loc'!$B104,[1]!Data_BS[TenCongTyID],'Dai Loc'!$B$1,[1]!Data_BS[Thang.Nam],'Dai Loc'!AI$5)</f>
        <v>0</v>
      </c>
      <c r="AJ104" s="229">
        <f>SUMIFS([1]!Data_BS[Value],[1]!Data_BS[Index BS],'Dai Loc'!$B104,[1]!Data_BS[TenCongTyID],'Dai Loc'!$B$1,[1]!Data_BS[Thang.Nam],'Dai Loc'!AJ$5)</f>
        <v>0</v>
      </c>
      <c r="AK104" s="229">
        <f>SUMIFS([1]!Data_BS[Value],[1]!Data_BS[Index BS],'Dai Loc'!$B104,[1]!Data_BS[TenCongTyID],'Dai Loc'!$B$1,[1]!Data_BS[Thang.Nam],'Dai Loc'!AK$5)</f>
        <v>0</v>
      </c>
      <c r="AL104" s="229">
        <f>SUMIFS([1]!Data_BS[Value],[1]!Data_BS[Index BS],'Dai Loc'!$B104,[1]!Data_BS[TenCongTyID],'Dai Loc'!$B$1,[1]!Data_BS[Thang.Nam],'Dai Loc'!AL$5)</f>
        <v>0</v>
      </c>
    </row>
    <row r="105" spans="1:38" ht="15" hidden="1" customHeight="1" outlineLevel="1">
      <c r="A105" s="67" t="s">
        <v>189</v>
      </c>
      <c r="B105" s="63">
        <v>100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Z105" s="229">
        <v>0</v>
      </c>
      <c r="AA105" s="229">
        <f>SUMIFS([1]!Data_BS[Value],[1]!Data_BS[Index BS],'Dai Loc'!$B105,[1]!Data_BS[TenCongTyID],'Dai Loc'!$B$1,[1]!Data_BS[Thang.Nam],'Dai Loc'!AA$5)</f>
        <v>0</v>
      </c>
      <c r="AB105" s="229">
        <f>SUMIFS([1]!Data_BS[Value],[1]!Data_BS[Index BS],'Dai Loc'!$B105,[1]!Data_BS[TenCongTyID],'Dai Loc'!$B$1,[1]!Data_BS[Thang.Nam],'Dai Loc'!AB$5)</f>
        <v>0</v>
      </c>
      <c r="AC105" s="229">
        <f>SUMIFS([1]!Data_BS[Value],[1]!Data_BS[Index BS],'Dai Loc'!$B105,[1]!Data_BS[TenCongTyID],'Dai Loc'!$B$1,[1]!Data_BS[Thang.Nam],'Dai Loc'!AC$5)</f>
        <v>0</v>
      </c>
      <c r="AD105" s="229">
        <f>SUMIFS([1]!Data_BS[Value],[1]!Data_BS[Index BS],'Dai Loc'!$B105,[1]!Data_BS[TenCongTyID],'Dai Loc'!$B$1,[1]!Data_BS[Thang.Nam],'Dai Loc'!AD$5)</f>
        <v>0</v>
      </c>
      <c r="AE105" s="229">
        <f>SUMIFS([1]!Data_BS[Value],[1]!Data_BS[Index BS],'Dai Loc'!$B105,[1]!Data_BS[TenCongTyID],'Dai Loc'!$B$1,[1]!Data_BS[Thang.Nam],'Dai Loc'!AE$5)</f>
        <v>0</v>
      </c>
      <c r="AF105" s="229">
        <f>SUMIFS([1]!Data_BS[Value],[1]!Data_BS[Index BS],'Dai Loc'!$B105,[1]!Data_BS[TenCongTyID],'Dai Loc'!$B$1,[1]!Data_BS[Thang.Nam],'Dai Loc'!AF$5)</f>
        <v>0</v>
      </c>
      <c r="AG105" s="229">
        <f>SUMIFS([1]!Data_BS[Value],[1]!Data_BS[Index BS],'Dai Loc'!$B105,[1]!Data_BS[TenCongTyID],'Dai Loc'!$B$1,[1]!Data_BS[Thang.Nam],'Dai Loc'!AG$5)</f>
        <v>0</v>
      </c>
      <c r="AH105" s="229">
        <f>SUMIFS([1]!Data_BS[Value],[1]!Data_BS[Index BS],'Dai Loc'!$B105,[1]!Data_BS[TenCongTyID],'Dai Loc'!$B$1,[1]!Data_BS[Thang.Nam],'Dai Loc'!AH$5)</f>
        <v>0</v>
      </c>
      <c r="AI105" s="229">
        <f>SUMIFS([1]!Data_BS[Value],[1]!Data_BS[Index BS],'Dai Loc'!$B105,[1]!Data_BS[TenCongTyID],'Dai Loc'!$B$1,[1]!Data_BS[Thang.Nam],'Dai Loc'!AI$5)</f>
        <v>0</v>
      </c>
      <c r="AJ105" s="229">
        <f>SUMIFS([1]!Data_BS[Value],[1]!Data_BS[Index BS],'Dai Loc'!$B105,[1]!Data_BS[TenCongTyID],'Dai Loc'!$B$1,[1]!Data_BS[Thang.Nam],'Dai Loc'!AJ$5)</f>
        <v>0</v>
      </c>
      <c r="AK105" s="229">
        <f>SUMIFS([1]!Data_BS[Value],[1]!Data_BS[Index BS],'Dai Loc'!$B105,[1]!Data_BS[TenCongTyID],'Dai Loc'!$B$1,[1]!Data_BS[Thang.Nam],'Dai Loc'!AK$5)</f>
        <v>0</v>
      </c>
      <c r="AL105" s="229">
        <f>SUMIFS([1]!Data_BS[Value],[1]!Data_BS[Index BS],'Dai Loc'!$B105,[1]!Data_BS[TenCongTyID],'Dai Loc'!$B$1,[1]!Data_BS[Thang.Nam],'Dai Loc'!AL$5)</f>
        <v>0</v>
      </c>
    </row>
    <row r="106" spans="1:38" ht="15" hidden="1" customHeight="1" outlineLevel="1">
      <c r="A106" s="67" t="s">
        <v>190</v>
      </c>
      <c r="B106" s="63">
        <v>101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Z106" s="229">
        <v>0</v>
      </c>
      <c r="AA106" s="229">
        <f>SUMIFS([1]!Data_BS[Value],[1]!Data_BS[Index BS],'Dai Loc'!$B106,[1]!Data_BS[TenCongTyID],'Dai Loc'!$B$1,[1]!Data_BS[Thang.Nam],'Dai Loc'!AA$5)</f>
        <v>0</v>
      </c>
      <c r="AB106" s="229">
        <f>SUMIFS([1]!Data_BS[Value],[1]!Data_BS[Index BS],'Dai Loc'!$B106,[1]!Data_BS[TenCongTyID],'Dai Loc'!$B$1,[1]!Data_BS[Thang.Nam],'Dai Loc'!AB$5)</f>
        <v>0</v>
      </c>
      <c r="AC106" s="229">
        <f>SUMIFS([1]!Data_BS[Value],[1]!Data_BS[Index BS],'Dai Loc'!$B106,[1]!Data_BS[TenCongTyID],'Dai Loc'!$B$1,[1]!Data_BS[Thang.Nam],'Dai Loc'!AC$5)</f>
        <v>0</v>
      </c>
      <c r="AD106" s="229">
        <f>SUMIFS([1]!Data_BS[Value],[1]!Data_BS[Index BS],'Dai Loc'!$B106,[1]!Data_BS[TenCongTyID],'Dai Loc'!$B$1,[1]!Data_BS[Thang.Nam],'Dai Loc'!AD$5)</f>
        <v>0</v>
      </c>
      <c r="AE106" s="229">
        <f>SUMIFS([1]!Data_BS[Value],[1]!Data_BS[Index BS],'Dai Loc'!$B106,[1]!Data_BS[TenCongTyID],'Dai Loc'!$B$1,[1]!Data_BS[Thang.Nam],'Dai Loc'!AE$5)</f>
        <v>0</v>
      </c>
      <c r="AF106" s="229">
        <f>SUMIFS([1]!Data_BS[Value],[1]!Data_BS[Index BS],'Dai Loc'!$B106,[1]!Data_BS[TenCongTyID],'Dai Loc'!$B$1,[1]!Data_BS[Thang.Nam],'Dai Loc'!AF$5)</f>
        <v>0</v>
      </c>
      <c r="AG106" s="229">
        <f>SUMIFS([1]!Data_BS[Value],[1]!Data_BS[Index BS],'Dai Loc'!$B106,[1]!Data_BS[TenCongTyID],'Dai Loc'!$B$1,[1]!Data_BS[Thang.Nam],'Dai Loc'!AG$5)</f>
        <v>0</v>
      </c>
      <c r="AH106" s="229">
        <f>SUMIFS([1]!Data_BS[Value],[1]!Data_BS[Index BS],'Dai Loc'!$B106,[1]!Data_BS[TenCongTyID],'Dai Loc'!$B$1,[1]!Data_BS[Thang.Nam],'Dai Loc'!AH$5)</f>
        <v>0</v>
      </c>
      <c r="AI106" s="229">
        <f>SUMIFS([1]!Data_BS[Value],[1]!Data_BS[Index BS],'Dai Loc'!$B106,[1]!Data_BS[TenCongTyID],'Dai Loc'!$B$1,[1]!Data_BS[Thang.Nam],'Dai Loc'!AI$5)</f>
        <v>0</v>
      </c>
      <c r="AJ106" s="229">
        <f>SUMIFS([1]!Data_BS[Value],[1]!Data_BS[Index BS],'Dai Loc'!$B106,[1]!Data_BS[TenCongTyID],'Dai Loc'!$B$1,[1]!Data_BS[Thang.Nam],'Dai Loc'!AJ$5)</f>
        <v>0</v>
      </c>
      <c r="AK106" s="229">
        <f>SUMIFS([1]!Data_BS[Value],[1]!Data_BS[Index BS],'Dai Loc'!$B106,[1]!Data_BS[TenCongTyID],'Dai Loc'!$B$1,[1]!Data_BS[Thang.Nam],'Dai Loc'!AK$5)</f>
        <v>0</v>
      </c>
      <c r="AL106" s="229">
        <f>SUMIFS([1]!Data_BS[Value],[1]!Data_BS[Index BS],'Dai Loc'!$B106,[1]!Data_BS[TenCongTyID],'Dai Loc'!$B$1,[1]!Data_BS[Thang.Nam],'Dai Loc'!AL$5)</f>
        <v>0</v>
      </c>
    </row>
    <row r="107" spans="1:38" ht="15" hidden="1" customHeight="1" outlineLevel="1">
      <c r="A107" s="67" t="s">
        <v>191</v>
      </c>
      <c r="B107" s="63">
        <v>102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Z107" s="229">
        <v>0</v>
      </c>
      <c r="AA107" s="229">
        <f>SUMIFS([1]!Data_BS[Value],[1]!Data_BS[Index BS],'Dai Loc'!$B107,[1]!Data_BS[TenCongTyID],'Dai Loc'!$B$1,[1]!Data_BS[Thang.Nam],'Dai Loc'!AA$5)</f>
        <v>0</v>
      </c>
      <c r="AB107" s="229">
        <f>SUMIFS([1]!Data_BS[Value],[1]!Data_BS[Index BS],'Dai Loc'!$B107,[1]!Data_BS[TenCongTyID],'Dai Loc'!$B$1,[1]!Data_BS[Thang.Nam],'Dai Loc'!AB$5)</f>
        <v>0</v>
      </c>
      <c r="AC107" s="229">
        <f>SUMIFS([1]!Data_BS[Value],[1]!Data_BS[Index BS],'Dai Loc'!$B107,[1]!Data_BS[TenCongTyID],'Dai Loc'!$B$1,[1]!Data_BS[Thang.Nam],'Dai Loc'!AC$5)</f>
        <v>0</v>
      </c>
      <c r="AD107" s="229">
        <f>SUMIFS([1]!Data_BS[Value],[1]!Data_BS[Index BS],'Dai Loc'!$B107,[1]!Data_BS[TenCongTyID],'Dai Loc'!$B$1,[1]!Data_BS[Thang.Nam],'Dai Loc'!AD$5)</f>
        <v>0</v>
      </c>
      <c r="AE107" s="229">
        <f>SUMIFS([1]!Data_BS[Value],[1]!Data_BS[Index BS],'Dai Loc'!$B107,[1]!Data_BS[TenCongTyID],'Dai Loc'!$B$1,[1]!Data_BS[Thang.Nam],'Dai Loc'!AE$5)</f>
        <v>0</v>
      </c>
      <c r="AF107" s="229">
        <f>SUMIFS([1]!Data_BS[Value],[1]!Data_BS[Index BS],'Dai Loc'!$B107,[1]!Data_BS[TenCongTyID],'Dai Loc'!$B$1,[1]!Data_BS[Thang.Nam],'Dai Loc'!AF$5)</f>
        <v>0</v>
      </c>
      <c r="AG107" s="229">
        <f>SUMIFS([1]!Data_BS[Value],[1]!Data_BS[Index BS],'Dai Loc'!$B107,[1]!Data_BS[TenCongTyID],'Dai Loc'!$B$1,[1]!Data_BS[Thang.Nam],'Dai Loc'!AG$5)</f>
        <v>0</v>
      </c>
      <c r="AH107" s="229">
        <f>SUMIFS([1]!Data_BS[Value],[1]!Data_BS[Index BS],'Dai Loc'!$B107,[1]!Data_BS[TenCongTyID],'Dai Loc'!$B$1,[1]!Data_BS[Thang.Nam],'Dai Loc'!AH$5)</f>
        <v>0</v>
      </c>
      <c r="AI107" s="229">
        <f>SUMIFS([1]!Data_BS[Value],[1]!Data_BS[Index BS],'Dai Loc'!$B107,[1]!Data_BS[TenCongTyID],'Dai Loc'!$B$1,[1]!Data_BS[Thang.Nam],'Dai Loc'!AI$5)</f>
        <v>0</v>
      </c>
      <c r="AJ107" s="229">
        <f>SUMIFS([1]!Data_BS[Value],[1]!Data_BS[Index BS],'Dai Loc'!$B107,[1]!Data_BS[TenCongTyID],'Dai Loc'!$B$1,[1]!Data_BS[Thang.Nam],'Dai Loc'!AJ$5)</f>
        <v>0</v>
      </c>
      <c r="AK107" s="229">
        <f>SUMIFS([1]!Data_BS[Value],[1]!Data_BS[Index BS],'Dai Loc'!$B107,[1]!Data_BS[TenCongTyID],'Dai Loc'!$B$1,[1]!Data_BS[Thang.Nam],'Dai Loc'!AK$5)</f>
        <v>0</v>
      </c>
      <c r="AL107" s="229">
        <f>SUMIFS([1]!Data_BS[Value],[1]!Data_BS[Index BS],'Dai Loc'!$B107,[1]!Data_BS[TenCongTyID],'Dai Loc'!$B$1,[1]!Data_BS[Thang.Nam],'Dai Loc'!AL$5)</f>
        <v>0</v>
      </c>
    </row>
    <row r="108" spans="1:38" ht="15" hidden="1" customHeight="1" outlineLevel="1">
      <c r="A108" s="67" t="s">
        <v>192</v>
      </c>
      <c r="B108" s="63">
        <v>103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Z108" s="229">
        <v>0</v>
      </c>
      <c r="AA108" s="229">
        <f>SUMIFS([1]!Data_BS[Value],[1]!Data_BS[Index BS],'Dai Loc'!$B108,[1]!Data_BS[TenCongTyID],'Dai Loc'!$B$1,[1]!Data_BS[Thang.Nam],'Dai Loc'!AA$5)</f>
        <v>0</v>
      </c>
      <c r="AB108" s="229">
        <f>SUMIFS([1]!Data_BS[Value],[1]!Data_BS[Index BS],'Dai Loc'!$B108,[1]!Data_BS[TenCongTyID],'Dai Loc'!$B$1,[1]!Data_BS[Thang.Nam],'Dai Loc'!AB$5)</f>
        <v>0</v>
      </c>
      <c r="AC108" s="229">
        <f>SUMIFS([1]!Data_BS[Value],[1]!Data_BS[Index BS],'Dai Loc'!$B108,[1]!Data_BS[TenCongTyID],'Dai Loc'!$B$1,[1]!Data_BS[Thang.Nam],'Dai Loc'!AC$5)</f>
        <v>0</v>
      </c>
      <c r="AD108" s="229">
        <f>SUMIFS([1]!Data_BS[Value],[1]!Data_BS[Index BS],'Dai Loc'!$B108,[1]!Data_BS[TenCongTyID],'Dai Loc'!$B$1,[1]!Data_BS[Thang.Nam],'Dai Loc'!AD$5)</f>
        <v>0</v>
      </c>
      <c r="AE108" s="229">
        <f>SUMIFS([1]!Data_BS[Value],[1]!Data_BS[Index BS],'Dai Loc'!$B108,[1]!Data_BS[TenCongTyID],'Dai Loc'!$B$1,[1]!Data_BS[Thang.Nam],'Dai Loc'!AE$5)</f>
        <v>0</v>
      </c>
      <c r="AF108" s="229">
        <f>SUMIFS([1]!Data_BS[Value],[1]!Data_BS[Index BS],'Dai Loc'!$B108,[1]!Data_BS[TenCongTyID],'Dai Loc'!$B$1,[1]!Data_BS[Thang.Nam],'Dai Loc'!AF$5)</f>
        <v>0</v>
      </c>
      <c r="AG108" s="229">
        <f>SUMIFS([1]!Data_BS[Value],[1]!Data_BS[Index BS],'Dai Loc'!$B108,[1]!Data_BS[TenCongTyID],'Dai Loc'!$B$1,[1]!Data_BS[Thang.Nam],'Dai Loc'!AG$5)</f>
        <v>0</v>
      </c>
      <c r="AH108" s="229">
        <f>SUMIFS([1]!Data_BS[Value],[1]!Data_BS[Index BS],'Dai Loc'!$B108,[1]!Data_BS[TenCongTyID],'Dai Loc'!$B$1,[1]!Data_BS[Thang.Nam],'Dai Loc'!AH$5)</f>
        <v>0</v>
      </c>
      <c r="AI108" s="229">
        <f>SUMIFS([1]!Data_BS[Value],[1]!Data_BS[Index BS],'Dai Loc'!$B108,[1]!Data_BS[TenCongTyID],'Dai Loc'!$B$1,[1]!Data_BS[Thang.Nam],'Dai Loc'!AI$5)</f>
        <v>0</v>
      </c>
      <c r="AJ108" s="229">
        <f>SUMIFS([1]!Data_BS[Value],[1]!Data_BS[Index BS],'Dai Loc'!$B108,[1]!Data_BS[TenCongTyID],'Dai Loc'!$B$1,[1]!Data_BS[Thang.Nam],'Dai Loc'!AJ$5)</f>
        <v>0</v>
      </c>
      <c r="AK108" s="229">
        <f>SUMIFS([1]!Data_BS[Value],[1]!Data_BS[Index BS],'Dai Loc'!$B108,[1]!Data_BS[TenCongTyID],'Dai Loc'!$B$1,[1]!Data_BS[Thang.Nam],'Dai Loc'!AK$5)</f>
        <v>0</v>
      </c>
      <c r="AL108" s="229">
        <f>SUMIFS([1]!Data_BS[Value],[1]!Data_BS[Index BS],'Dai Loc'!$B108,[1]!Data_BS[TenCongTyID],'Dai Loc'!$B$1,[1]!Data_BS[Thang.Nam],'Dai Loc'!AL$5)</f>
        <v>0</v>
      </c>
    </row>
    <row r="109" spans="1:38" ht="15" hidden="1" customHeight="1" outlineLevel="1">
      <c r="A109" s="67" t="s">
        <v>193</v>
      </c>
      <c r="B109" s="63">
        <v>104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Z109" s="229">
        <v>0</v>
      </c>
      <c r="AA109" s="229">
        <f>SUMIFS([1]!Data_BS[Value],[1]!Data_BS[Index BS],'Dai Loc'!$B109,[1]!Data_BS[TenCongTyID],'Dai Loc'!$B$1,[1]!Data_BS[Thang.Nam],'Dai Loc'!AA$5)</f>
        <v>0</v>
      </c>
      <c r="AB109" s="229">
        <f>SUMIFS([1]!Data_BS[Value],[1]!Data_BS[Index BS],'Dai Loc'!$B109,[1]!Data_BS[TenCongTyID],'Dai Loc'!$B$1,[1]!Data_BS[Thang.Nam],'Dai Loc'!AB$5)</f>
        <v>0</v>
      </c>
      <c r="AC109" s="229">
        <f>SUMIFS([1]!Data_BS[Value],[1]!Data_BS[Index BS],'Dai Loc'!$B109,[1]!Data_BS[TenCongTyID],'Dai Loc'!$B$1,[1]!Data_BS[Thang.Nam],'Dai Loc'!AC$5)</f>
        <v>0</v>
      </c>
      <c r="AD109" s="229">
        <f>SUMIFS([1]!Data_BS[Value],[1]!Data_BS[Index BS],'Dai Loc'!$B109,[1]!Data_BS[TenCongTyID],'Dai Loc'!$B$1,[1]!Data_BS[Thang.Nam],'Dai Loc'!AD$5)</f>
        <v>0</v>
      </c>
      <c r="AE109" s="229">
        <f>SUMIFS([1]!Data_BS[Value],[1]!Data_BS[Index BS],'Dai Loc'!$B109,[1]!Data_BS[TenCongTyID],'Dai Loc'!$B$1,[1]!Data_BS[Thang.Nam],'Dai Loc'!AE$5)</f>
        <v>0</v>
      </c>
      <c r="AF109" s="229">
        <f>SUMIFS([1]!Data_BS[Value],[1]!Data_BS[Index BS],'Dai Loc'!$B109,[1]!Data_BS[TenCongTyID],'Dai Loc'!$B$1,[1]!Data_BS[Thang.Nam],'Dai Loc'!AF$5)</f>
        <v>0</v>
      </c>
      <c r="AG109" s="229">
        <f>SUMIFS([1]!Data_BS[Value],[1]!Data_BS[Index BS],'Dai Loc'!$B109,[1]!Data_BS[TenCongTyID],'Dai Loc'!$B$1,[1]!Data_BS[Thang.Nam],'Dai Loc'!AG$5)</f>
        <v>0</v>
      </c>
      <c r="AH109" s="229">
        <f>SUMIFS([1]!Data_BS[Value],[1]!Data_BS[Index BS],'Dai Loc'!$B109,[1]!Data_BS[TenCongTyID],'Dai Loc'!$B$1,[1]!Data_BS[Thang.Nam],'Dai Loc'!AH$5)</f>
        <v>0</v>
      </c>
      <c r="AI109" s="229">
        <f>SUMIFS([1]!Data_BS[Value],[1]!Data_BS[Index BS],'Dai Loc'!$B109,[1]!Data_BS[TenCongTyID],'Dai Loc'!$B$1,[1]!Data_BS[Thang.Nam],'Dai Loc'!AI$5)</f>
        <v>0</v>
      </c>
      <c r="AJ109" s="229">
        <f>SUMIFS([1]!Data_BS[Value],[1]!Data_BS[Index BS],'Dai Loc'!$B109,[1]!Data_BS[TenCongTyID],'Dai Loc'!$B$1,[1]!Data_BS[Thang.Nam],'Dai Loc'!AJ$5)</f>
        <v>0</v>
      </c>
      <c r="AK109" s="229">
        <f>SUMIFS([1]!Data_BS[Value],[1]!Data_BS[Index BS],'Dai Loc'!$B109,[1]!Data_BS[TenCongTyID],'Dai Loc'!$B$1,[1]!Data_BS[Thang.Nam],'Dai Loc'!AK$5)</f>
        <v>0</v>
      </c>
      <c r="AL109" s="229">
        <f>SUMIFS([1]!Data_BS[Value],[1]!Data_BS[Index BS],'Dai Loc'!$B109,[1]!Data_BS[TenCongTyID],'Dai Loc'!$B$1,[1]!Data_BS[Thang.Nam],'Dai Loc'!AL$5)</f>
        <v>0</v>
      </c>
    </row>
    <row r="110" spans="1:38" ht="15" hidden="1" customHeight="1" outlineLevel="1">
      <c r="A110" s="67" t="s">
        <v>194</v>
      </c>
      <c r="B110" s="63">
        <v>105</v>
      </c>
      <c r="C110" s="229">
        <v>32770000000</v>
      </c>
      <c r="D110" s="229">
        <v>32770000000</v>
      </c>
      <c r="E110" s="229">
        <v>32770000000</v>
      </c>
      <c r="F110" s="229">
        <v>32770000000</v>
      </c>
      <c r="G110" s="229">
        <v>32770000000</v>
      </c>
      <c r="H110" s="229">
        <v>32770000000</v>
      </c>
      <c r="I110" s="229">
        <v>32770000000</v>
      </c>
      <c r="J110" s="229">
        <v>32770000000</v>
      </c>
      <c r="K110" s="229">
        <v>32770000000</v>
      </c>
      <c r="L110" s="229">
        <v>32770000000</v>
      </c>
      <c r="M110" s="229">
        <v>32770000000</v>
      </c>
      <c r="N110" s="229">
        <v>32770000000</v>
      </c>
      <c r="O110" s="229">
        <v>32770000000</v>
      </c>
      <c r="P110" s="229">
        <v>32770000000</v>
      </c>
      <c r="Q110" s="229">
        <v>32770000000</v>
      </c>
      <c r="R110" s="229">
        <v>32770000000</v>
      </c>
      <c r="S110" s="229">
        <v>32770000000</v>
      </c>
      <c r="T110" s="229">
        <v>32770000000</v>
      </c>
      <c r="U110" s="229">
        <v>32770000000</v>
      </c>
      <c r="V110" s="229">
        <v>32770000000</v>
      </c>
      <c r="W110" s="229">
        <v>32770000000</v>
      </c>
      <c r="X110" s="229">
        <v>32770000000</v>
      </c>
      <c r="Y110" s="229">
        <v>32770000000</v>
      </c>
      <c r="Z110" s="229">
        <v>32770000000</v>
      </c>
      <c r="AA110" s="229">
        <f>SUMIFS([1]!Data_BS[Value],[1]!Data_BS[Index BS],'Dai Loc'!$B110,[1]!Data_BS[TenCongTyID],'Dai Loc'!$B$1,[1]!Data_BS[Thang.Nam],'Dai Loc'!AA$5)</f>
        <v>0</v>
      </c>
      <c r="AB110" s="229">
        <f>SUMIFS([1]!Data_BS[Value],[1]!Data_BS[Index BS],'Dai Loc'!$B110,[1]!Data_BS[TenCongTyID],'Dai Loc'!$B$1,[1]!Data_BS[Thang.Nam],'Dai Loc'!AB$5)</f>
        <v>0</v>
      </c>
      <c r="AC110" s="229">
        <f>SUMIFS([1]!Data_BS[Value],[1]!Data_BS[Index BS],'Dai Loc'!$B110,[1]!Data_BS[TenCongTyID],'Dai Loc'!$B$1,[1]!Data_BS[Thang.Nam],'Dai Loc'!AC$5)</f>
        <v>0</v>
      </c>
      <c r="AD110" s="229">
        <f>SUMIFS([1]!Data_BS[Value],[1]!Data_BS[Index BS],'Dai Loc'!$B110,[1]!Data_BS[TenCongTyID],'Dai Loc'!$B$1,[1]!Data_BS[Thang.Nam],'Dai Loc'!AD$5)</f>
        <v>0</v>
      </c>
      <c r="AE110" s="229">
        <f>SUMIFS([1]!Data_BS[Value],[1]!Data_BS[Index BS],'Dai Loc'!$B110,[1]!Data_BS[TenCongTyID],'Dai Loc'!$B$1,[1]!Data_BS[Thang.Nam],'Dai Loc'!AE$5)</f>
        <v>0</v>
      </c>
      <c r="AF110" s="229">
        <f>SUMIFS([1]!Data_BS[Value],[1]!Data_BS[Index BS],'Dai Loc'!$B110,[1]!Data_BS[TenCongTyID],'Dai Loc'!$B$1,[1]!Data_BS[Thang.Nam],'Dai Loc'!AF$5)</f>
        <v>0</v>
      </c>
      <c r="AG110" s="229">
        <f>SUMIFS([1]!Data_BS[Value],[1]!Data_BS[Index BS],'Dai Loc'!$B110,[1]!Data_BS[TenCongTyID],'Dai Loc'!$B$1,[1]!Data_BS[Thang.Nam],'Dai Loc'!AG$5)</f>
        <v>0</v>
      </c>
      <c r="AH110" s="229">
        <f>SUMIFS([1]!Data_BS[Value],[1]!Data_BS[Index BS],'Dai Loc'!$B110,[1]!Data_BS[TenCongTyID],'Dai Loc'!$B$1,[1]!Data_BS[Thang.Nam],'Dai Loc'!AH$5)</f>
        <v>0</v>
      </c>
      <c r="AI110" s="229">
        <f>SUMIFS([1]!Data_BS[Value],[1]!Data_BS[Index BS],'Dai Loc'!$B110,[1]!Data_BS[TenCongTyID],'Dai Loc'!$B$1,[1]!Data_BS[Thang.Nam],'Dai Loc'!AI$5)</f>
        <v>0</v>
      </c>
      <c r="AJ110" s="229">
        <f>SUMIFS([1]!Data_BS[Value],[1]!Data_BS[Index BS],'Dai Loc'!$B110,[1]!Data_BS[TenCongTyID],'Dai Loc'!$B$1,[1]!Data_BS[Thang.Nam],'Dai Loc'!AJ$5)</f>
        <v>0</v>
      </c>
      <c r="AK110" s="229">
        <f>SUMIFS([1]!Data_BS[Value],[1]!Data_BS[Index BS],'Dai Loc'!$B110,[1]!Data_BS[TenCongTyID],'Dai Loc'!$B$1,[1]!Data_BS[Thang.Nam],'Dai Loc'!AK$5)</f>
        <v>0</v>
      </c>
      <c r="AL110" s="229">
        <f>SUMIFS([1]!Data_BS[Value],[1]!Data_BS[Index BS],'Dai Loc'!$B110,[1]!Data_BS[TenCongTyID],'Dai Loc'!$B$1,[1]!Data_BS[Thang.Nam],'Dai Loc'!AL$5)</f>
        <v>0</v>
      </c>
    </row>
    <row r="111" spans="1:38" ht="15" hidden="1" customHeight="1" outlineLevel="1">
      <c r="A111" s="67" t="s">
        <v>195</v>
      </c>
      <c r="B111" s="63">
        <v>106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/>
      <c r="X111" s="229">
        <v>0</v>
      </c>
      <c r="Y111" s="229">
        <v>0</v>
      </c>
      <c r="Z111" s="229">
        <v>0</v>
      </c>
      <c r="AA111" s="229">
        <f>SUMIFS([1]!Data_BS[Value],[1]!Data_BS[Index BS],'Dai Loc'!$B111,[1]!Data_BS[TenCongTyID],'Dai Loc'!$B$1,[1]!Data_BS[Thang.Nam],'Dai Loc'!AA$5)</f>
        <v>0</v>
      </c>
      <c r="AB111" s="229">
        <f>SUMIFS([1]!Data_BS[Value],[1]!Data_BS[Index BS],'Dai Loc'!$B111,[1]!Data_BS[TenCongTyID],'Dai Loc'!$B$1,[1]!Data_BS[Thang.Nam],'Dai Loc'!AB$5)</f>
        <v>0</v>
      </c>
      <c r="AC111" s="229">
        <f>SUMIFS([1]!Data_BS[Value],[1]!Data_BS[Index BS],'Dai Loc'!$B111,[1]!Data_BS[TenCongTyID],'Dai Loc'!$B$1,[1]!Data_BS[Thang.Nam],'Dai Loc'!AC$5)</f>
        <v>0</v>
      </c>
      <c r="AD111" s="229">
        <f>SUMIFS([1]!Data_BS[Value],[1]!Data_BS[Index BS],'Dai Loc'!$B111,[1]!Data_BS[TenCongTyID],'Dai Loc'!$B$1,[1]!Data_BS[Thang.Nam],'Dai Loc'!AD$5)</f>
        <v>0</v>
      </c>
      <c r="AE111" s="229">
        <f>SUMIFS([1]!Data_BS[Value],[1]!Data_BS[Index BS],'Dai Loc'!$B111,[1]!Data_BS[TenCongTyID],'Dai Loc'!$B$1,[1]!Data_BS[Thang.Nam],'Dai Loc'!AE$5)</f>
        <v>0</v>
      </c>
      <c r="AF111" s="229">
        <f>SUMIFS([1]!Data_BS[Value],[1]!Data_BS[Index BS],'Dai Loc'!$B111,[1]!Data_BS[TenCongTyID],'Dai Loc'!$B$1,[1]!Data_BS[Thang.Nam],'Dai Loc'!AF$5)</f>
        <v>0</v>
      </c>
      <c r="AG111" s="229">
        <f>SUMIFS([1]!Data_BS[Value],[1]!Data_BS[Index BS],'Dai Loc'!$B111,[1]!Data_BS[TenCongTyID],'Dai Loc'!$B$1,[1]!Data_BS[Thang.Nam],'Dai Loc'!AG$5)</f>
        <v>0</v>
      </c>
      <c r="AH111" s="229">
        <f>SUMIFS([1]!Data_BS[Value],[1]!Data_BS[Index BS],'Dai Loc'!$B111,[1]!Data_BS[TenCongTyID],'Dai Loc'!$B$1,[1]!Data_BS[Thang.Nam],'Dai Loc'!AH$5)</f>
        <v>0</v>
      </c>
      <c r="AI111" s="229">
        <f>SUMIFS([1]!Data_BS[Value],[1]!Data_BS[Index BS],'Dai Loc'!$B111,[1]!Data_BS[TenCongTyID],'Dai Loc'!$B$1,[1]!Data_BS[Thang.Nam],'Dai Loc'!AI$5)</f>
        <v>0</v>
      </c>
      <c r="AJ111" s="229">
        <f>SUMIFS([1]!Data_BS[Value],[1]!Data_BS[Index BS],'Dai Loc'!$B111,[1]!Data_BS[TenCongTyID],'Dai Loc'!$B$1,[1]!Data_BS[Thang.Nam],'Dai Loc'!AJ$5)</f>
        <v>0</v>
      </c>
      <c r="AK111" s="229">
        <f>SUMIFS([1]!Data_BS[Value],[1]!Data_BS[Index BS],'Dai Loc'!$B111,[1]!Data_BS[TenCongTyID],'Dai Loc'!$B$1,[1]!Data_BS[Thang.Nam],'Dai Loc'!AK$5)</f>
        <v>0</v>
      </c>
      <c r="AL111" s="229">
        <f>SUMIFS([1]!Data_BS[Value],[1]!Data_BS[Index BS],'Dai Loc'!$B111,[1]!Data_BS[TenCongTyID],'Dai Loc'!$B$1,[1]!Data_BS[Thang.Nam],'Dai Loc'!AL$5)</f>
        <v>0</v>
      </c>
    </row>
    <row r="112" spans="1:38" ht="15" hidden="1" customHeight="1" outlineLevel="1">
      <c r="A112" s="67" t="s">
        <v>196</v>
      </c>
      <c r="B112" s="63">
        <v>107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/>
      <c r="X112" s="229">
        <v>0</v>
      </c>
      <c r="Y112" s="229">
        <v>0</v>
      </c>
      <c r="Z112" s="229">
        <v>0</v>
      </c>
      <c r="AA112" s="229">
        <f>SUMIFS([1]!Data_BS[Value],[1]!Data_BS[Index BS],'Dai Loc'!$B112,[1]!Data_BS[TenCongTyID],'Dai Loc'!$B$1,[1]!Data_BS[Thang.Nam],'Dai Loc'!AA$5)</f>
        <v>0</v>
      </c>
      <c r="AB112" s="229">
        <f>SUMIFS([1]!Data_BS[Value],[1]!Data_BS[Index BS],'Dai Loc'!$B112,[1]!Data_BS[TenCongTyID],'Dai Loc'!$B$1,[1]!Data_BS[Thang.Nam],'Dai Loc'!AB$5)</f>
        <v>0</v>
      </c>
      <c r="AC112" s="229">
        <f>SUMIFS([1]!Data_BS[Value],[1]!Data_BS[Index BS],'Dai Loc'!$B112,[1]!Data_BS[TenCongTyID],'Dai Loc'!$B$1,[1]!Data_BS[Thang.Nam],'Dai Loc'!AC$5)</f>
        <v>0</v>
      </c>
      <c r="AD112" s="229">
        <f>SUMIFS([1]!Data_BS[Value],[1]!Data_BS[Index BS],'Dai Loc'!$B112,[1]!Data_BS[TenCongTyID],'Dai Loc'!$B$1,[1]!Data_BS[Thang.Nam],'Dai Loc'!AD$5)</f>
        <v>0</v>
      </c>
      <c r="AE112" s="229">
        <f>SUMIFS([1]!Data_BS[Value],[1]!Data_BS[Index BS],'Dai Loc'!$B112,[1]!Data_BS[TenCongTyID],'Dai Loc'!$B$1,[1]!Data_BS[Thang.Nam],'Dai Loc'!AE$5)</f>
        <v>0</v>
      </c>
      <c r="AF112" s="229">
        <f>SUMIFS([1]!Data_BS[Value],[1]!Data_BS[Index BS],'Dai Loc'!$B112,[1]!Data_BS[TenCongTyID],'Dai Loc'!$B$1,[1]!Data_BS[Thang.Nam],'Dai Loc'!AF$5)</f>
        <v>0</v>
      </c>
      <c r="AG112" s="229">
        <f>SUMIFS([1]!Data_BS[Value],[1]!Data_BS[Index BS],'Dai Loc'!$B112,[1]!Data_BS[TenCongTyID],'Dai Loc'!$B$1,[1]!Data_BS[Thang.Nam],'Dai Loc'!AG$5)</f>
        <v>0</v>
      </c>
      <c r="AH112" s="229">
        <f>SUMIFS([1]!Data_BS[Value],[1]!Data_BS[Index BS],'Dai Loc'!$B112,[1]!Data_BS[TenCongTyID],'Dai Loc'!$B$1,[1]!Data_BS[Thang.Nam],'Dai Loc'!AH$5)</f>
        <v>0</v>
      </c>
      <c r="AI112" s="229">
        <f>SUMIFS([1]!Data_BS[Value],[1]!Data_BS[Index BS],'Dai Loc'!$B112,[1]!Data_BS[TenCongTyID],'Dai Loc'!$B$1,[1]!Data_BS[Thang.Nam],'Dai Loc'!AI$5)</f>
        <v>0</v>
      </c>
      <c r="AJ112" s="229">
        <f>SUMIFS([1]!Data_BS[Value],[1]!Data_BS[Index BS],'Dai Loc'!$B112,[1]!Data_BS[TenCongTyID],'Dai Loc'!$B$1,[1]!Data_BS[Thang.Nam],'Dai Loc'!AJ$5)</f>
        <v>0</v>
      </c>
      <c r="AK112" s="229">
        <f>SUMIFS([1]!Data_BS[Value],[1]!Data_BS[Index BS],'Dai Loc'!$B112,[1]!Data_BS[TenCongTyID],'Dai Loc'!$B$1,[1]!Data_BS[Thang.Nam],'Dai Loc'!AK$5)</f>
        <v>0</v>
      </c>
      <c r="AL112" s="229">
        <f>SUMIFS([1]!Data_BS[Value],[1]!Data_BS[Index BS],'Dai Loc'!$B112,[1]!Data_BS[TenCongTyID],'Dai Loc'!$B$1,[1]!Data_BS[Thang.Nam],'Dai Loc'!AL$5)</f>
        <v>0</v>
      </c>
    </row>
    <row r="113" spans="1:38" ht="15" hidden="1" customHeight="1" outlineLevel="1">
      <c r="A113" s="67" t="s">
        <v>197</v>
      </c>
      <c r="B113" s="63">
        <v>108</v>
      </c>
      <c r="C113" s="229">
        <v>0</v>
      </c>
      <c r="D113" s="229">
        <v>0</v>
      </c>
      <c r="E113" s="229">
        <v>0</v>
      </c>
      <c r="F113" s="229">
        <v>0</v>
      </c>
      <c r="G113" s="229">
        <v>0</v>
      </c>
      <c r="H113" s="229">
        <v>0</v>
      </c>
      <c r="I113" s="229">
        <v>0</v>
      </c>
      <c r="J113" s="229">
        <v>0</v>
      </c>
      <c r="K113" s="229">
        <v>0</v>
      </c>
      <c r="L113" s="229">
        <v>0</v>
      </c>
      <c r="M113" s="229">
        <v>0</v>
      </c>
      <c r="N113" s="229">
        <v>0</v>
      </c>
      <c r="O113" s="229">
        <v>0</v>
      </c>
      <c r="P113" s="229">
        <v>0</v>
      </c>
      <c r="Q113" s="229">
        <v>0</v>
      </c>
      <c r="R113" s="229">
        <v>0</v>
      </c>
      <c r="S113" s="229">
        <v>0</v>
      </c>
      <c r="T113" s="229">
        <v>0</v>
      </c>
      <c r="U113" s="229">
        <v>0</v>
      </c>
      <c r="V113" s="229">
        <v>0</v>
      </c>
      <c r="W113" s="229"/>
      <c r="X113" s="229">
        <v>0</v>
      </c>
      <c r="Y113" s="229">
        <v>0</v>
      </c>
      <c r="Z113" s="229">
        <v>0</v>
      </c>
      <c r="AA113" s="229">
        <f>SUMIFS([1]!Data_BS[Value],[1]!Data_BS[Index BS],'Dai Loc'!$B113,[1]!Data_BS[TenCongTyID],'Dai Loc'!$B$1,[1]!Data_BS[Thang.Nam],'Dai Loc'!AA$5)</f>
        <v>0</v>
      </c>
      <c r="AB113" s="229">
        <f>SUMIFS([1]!Data_BS[Value],[1]!Data_BS[Index BS],'Dai Loc'!$B113,[1]!Data_BS[TenCongTyID],'Dai Loc'!$B$1,[1]!Data_BS[Thang.Nam],'Dai Loc'!AB$5)</f>
        <v>0</v>
      </c>
      <c r="AC113" s="229">
        <f>SUMIFS([1]!Data_BS[Value],[1]!Data_BS[Index BS],'Dai Loc'!$B113,[1]!Data_BS[TenCongTyID],'Dai Loc'!$B$1,[1]!Data_BS[Thang.Nam],'Dai Loc'!AC$5)</f>
        <v>0</v>
      </c>
      <c r="AD113" s="229">
        <f>SUMIFS([1]!Data_BS[Value],[1]!Data_BS[Index BS],'Dai Loc'!$B113,[1]!Data_BS[TenCongTyID],'Dai Loc'!$B$1,[1]!Data_BS[Thang.Nam],'Dai Loc'!AD$5)</f>
        <v>0</v>
      </c>
      <c r="AE113" s="229">
        <f>SUMIFS([1]!Data_BS[Value],[1]!Data_BS[Index BS],'Dai Loc'!$B113,[1]!Data_BS[TenCongTyID],'Dai Loc'!$B$1,[1]!Data_BS[Thang.Nam],'Dai Loc'!AE$5)</f>
        <v>0</v>
      </c>
      <c r="AF113" s="229">
        <f>SUMIFS([1]!Data_BS[Value],[1]!Data_BS[Index BS],'Dai Loc'!$B113,[1]!Data_BS[TenCongTyID],'Dai Loc'!$B$1,[1]!Data_BS[Thang.Nam],'Dai Loc'!AF$5)</f>
        <v>0</v>
      </c>
      <c r="AG113" s="229">
        <f>SUMIFS([1]!Data_BS[Value],[1]!Data_BS[Index BS],'Dai Loc'!$B113,[1]!Data_BS[TenCongTyID],'Dai Loc'!$B$1,[1]!Data_BS[Thang.Nam],'Dai Loc'!AG$5)</f>
        <v>0</v>
      </c>
      <c r="AH113" s="229">
        <f>SUMIFS([1]!Data_BS[Value],[1]!Data_BS[Index BS],'Dai Loc'!$B113,[1]!Data_BS[TenCongTyID],'Dai Loc'!$B$1,[1]!Data_BS[Thang.Nam],'Dai Loc'!AH$5)</f>
        <v>0</v>
      </c>
      <c r="AI113" s="229">
        <f>SUMIFS([1]!Data_BS[Value],[1]!Data_BS[Index BS],'Dai Loc'!$B113,[1]!Data_BS[TenCongTyID],'Dai Loc'!$B$1,[1]!Data_BS[Thang.Nam],'Dai Loc'!AI$5)</f>
        <v>0</v>
      </c>
      <c r="AJ113" s="229">
        <f>SUMIFS([1]!Data_BS[Value],[1]!Data_BS[Index BS],'Dai Loc'!$B113,[1]!Data_BS[TenCongTyID],'Dai Loc'!$B$1,[1]!Data_BS[Thang.Nam],'Dai Loc'!AJ$5)</f>
        <v>0</v>
      </c>
      <c r="AK113" s="229">
        <f>SUMIFS([1]!Data_BS[Value],[1]!Data_BS[Index BS],'Dai Loc'!$B113,[1]!Data_BS[TenCongTyID],'Dai Loc'!$B$1,[1]!Data_BS[Thang.Nam],'Dai Loc'!AK$5)</f>
        <v>0</v>
      </c>
      <c r="AL113" s="229">
        <f>SUMIFS([1]!Data_BS[Value],[1]!Data_BS[Index BS],'Dai Loc'!$B113,[1]!Data_BS[TenCongTyID],'Dai Loc'!$B$1,[1]!Data_BS[Thang.Nam],'Dai Loc'!AL$5)</f>
        <v>0</v>
      </c>
    </row>
    <row r="114" spans="1:38" ht="15" hidden="1" customHeight="1" outlineLevel="1">
      <c r="A114" s="67" t="s">
        <v>198</v>
      </c>
      <c r="B114" s="63">
        <v>109</v>
      </c>
      <c r="C114" s="229">
        <v>0</v>
      </c>
      <c r="D114" s="229">
        <v>0</v>
      </c>
      <c r="E114" s="229">
        <v>0</v>
      </c>
      <c r="F114" s="229">
        <v>0</v>
      </c>
      <c r="G114" s="229">
        <v>0</v>
      </c>
      <c r="H114" s="229">
        <v>0</v>
      </c>
      <c r="I114" s="229">
        <v>0</v>
      </c>
      <c r="J114" s="229">
        <v>0</v>
      </c>
      <c r="K114" s="229">
        <v>0</v>
      </c>
      <c r="L114" s="229">
        <v>0</v>
      </c>
      <c r="M114" s="229">
        <v>0</v>
      </c>
      <c r="N114" s="229">
        <v>0</v>
      </c>
      <c r="O114" s="229">
        <v>0</v>
      </c>
      <c r="P114" s="229">
        <v>0</v>
      </c>
      <c r="Q114" s="229">
        <v>0</v>
      </c>
      <c r="R114" s="229">
        <v>0</v>
      </c>
      <c r="S114" s="229">
        <v>0</v>
      </c>
      <c r="T114" s="229">
        <v>0</v>
      </c>
      <c r="U114" s="229">
        <v>0</v>
      </c>
      <c r="V114" s="229">
        <v>0</v>
      </c>
      <c r="W114" s="229"/>
      <c r="X114" s="229">
        <v>0</v>
      </c>
      <c r="Y114" s="229">
        <v>0</v>
      </c>
      <c r="Z114" s="229">
        <v>0</v>
      </c>
      <c r="AA114" s="229">
        <f>SUMIFS([1]!Data_BS[Value],[1]!Data_BS[Index BS],'Dai Loc'!$B114,[1]!Data_BS[TenCongTyID],'Dai Loc'!$B$1,[1]!Data_BS[Thang.Nam],'Dai Loc'!AA$5)</f>
        <v>0</v>
      </c>
      <c r="AB114" s="229">
        <f>SUMIFS([1]!Data_BS[Value],[1]!Data_BS[Index BS],'Dai Loc'!$B114,[1]!Data_BS[TenCongTyID],'Dai Loc'!$B$1,[1]!Data_BS[Thang.Nam],'Dai Loc'!AB$5)</f>
        <v>0</v>
      </c>
      <c r="AC114" s="229">
        <f>SUMIFS([1]!Data_BS[Value],[1]!Data_BS[Index BS],'Dai Loc'!$B114,[1]!Data_BS[TenCongTyID],'Dai Loc'!$B$1,[1]!Data_BS[Thang.Nam],'Dai Loc'!AC$5)</f>
        <v>0</v>
      </c>
      <c r="AD114" s="229">
        <f>SUMIFS([1]!Data_BS[Value],[1]!Data_BS[Index BS],'Dai Loc'!$B114,[1]!Data_BS[TenCongTyID],'Dai Loc'!$B$1,[1]!Data_BS[Thang.Nam],'Dai Loc'!AD$5)</f>
        <v>0</v>
      </c>
      <c r="AE114" s="229">
        <f>SUMIFS([1]!Data_BS[Value],[1]!Data_BS[Index BS],'Dai Loc'!$B114,[1]!Data_BS[TenCongTyID],'Dai Loc'!$B$1,[1]!Data_BS[Thang.Nam],'Dai Loc'!AE$5)</f>
        <v>0</v>
      </c>
      <c r="AF114" s="229">
        <f>SUMIFS([1]!Data_BS[Value],[1]!Data_BS[Index BS],'Dai Loc'!$B114,[1]!Data_BS[TenCongTyID],'Dai Loc'!$B$1,[1]!Data_BS[Thang.Nam],'Dai Loc'!AF$5)</f>
        <v>0</v>
      </c>
      <c r="AG114" s="229">
        <f>SUMIFS([1]!Data_BS[Value],[1]!Data_BS[Index BS],'Dai Loc'!$B114,[1]!Data_BS[TenCongTyID],'Dai Loc'!$B$1,[1]!Data_BS[Thang.Nam],'Dai Loc'!AG$5)</f>
        <v>0</v>
      </c>
      <c r="AH114" s="229">
        <f>SUMIFS([1]!Data_BS[Value],[1]!Data_BS[Index BS],'Dai Loc'!$B114,[1]!Data_BS[TenCongTyID],'Dai Loc'!$B$1,[1]!Data_BS[Thang.Nam],'Dai Loc'!AH$5)</f>
        <v>0</v>
      </c>
      <c r="AI114" s="229">
        <f>SUMIFS([1]!Data_BS[Value],[1]!Data_BS[Index BS],'Dai Loc'!$B114,[1]!Data_BS[TenCongTyID],'Dai Loc'!$B$1,[1]!Data_BS[Thang.Nam],'Dai Loc'!AI$5)</f>
        <v>0</v>
      </c>
      <c r="AJ114" s="229">
        <f>SUMIFS([1]!Data_BS[Value],[1]!Data_BS[Index BS],'Dai Loc'!$B114,[1]!Data_BS[TenCongTyID],'Dai Loc'!$B$1,[1]!Data_BS[Thang.Nam],'Dai Loc'!AJ$5)</f>
        <v>0</v>
      </c>
      <c r="AK114" s="229">
        <f>SUMIFS([1]!Data_BS[Value],[1]!Data_BS[Index BS],'Dai Loc'!$B114,[1]!Data_BS[TenCongTyID],'Dai Loc'!$B$1,[1]!Data_BS[Thang.Nam],'Dai Loc'!AK$5)</f>
        <v>0</v>
      </c>
      <c r="AL114" s="229">
        <f>SUMIFS([1]!Data_BS[Value],[1]!Data_BS[Index BS],'Dai Loc'!$B114,[1]!Data_BS[TenCongTyID],'Dai Loc'!$B$1,[1]!Data_BS[Thang.Nam],'Dai Loc'!AL$5)</f>
        <v>0</v>
      </c>
    </row>
    <row r="115" spans="1:38" ht="15" hidden="1" customHeight="1" outlineLevel="1">
      <c r="A115" s="67" t="s">
        <v>199</v>
      </c>
      <c r="B115" s="63">
        <v>110</v>
      </c>
      <c r="C115" s="229">
        <v>0</v>
      </c>
      <c r="D115" s="229">
        <v>0</v>
      </c>
      <c r="E115" s="229">
        <v>0</v>
      </c>
      <c r="F115" s="229">
        <v>0</v>
      </c>
      <c r="G115" s="229">
        <v>0</v>
      </c>
      <c r="H115" s="229">
        <v>0</v>
      </c>
      <c r="I115" s="229">
        <v>0</v>
      </c>
      <c r="J115" s="229">
        <v>0</v>
      </c>
      <c r="K115" s="229">
        <v>0</v>
      </c>
      <c r="L115" s="229">
        <v>0</v>
      </c>
      <c r="M115" s="229">
        <v>0</v>
      </c>
      <c r="N115" s="229">
        <v>0</v>
      </c>
      <c r="O115" s="229">
        <v>0</v>
      </c>
      <c r="P115" s="229">
        <v>0</v>
      </c>
      <c r="Q115" s="229">
        <v>0</v>
      </c>
      <c r="R115" s="229">
        <v>0</v>
      </c>
      <c r="S115" s="229">
        <v>0</v>
      </c>
      <c r="T115" s="229">
        <v>0</v>
      </c>
      <c r="U115" s="229">
        <v>0</v>
      </c>
      <c r="V115" s="229">
        <v>0</v>
      </c>
      <c r="W115" s="229"/>
      <c r="X115" s="229">
        <v>0</v>
      </c>
      <c r="Y115" s="229">
        <v>0</v>
      </c>
      <c r="Z115" s="229">
        <v>0</v>
      </c>
      <c r="AA115" s="229">
        <f>SUMIFS([1]!Data_BS[Value],[1]!Data_BS[Index BS],'Dai Loc'!$B115,[1]!Data_BS[TenCongTyID],'Dai Loc'!$B$1,[1]!Data_BS[Thang.Nam],'Dai Loc'!AA$5)</f>
        <v>0</v>
      </c>
      <c r="AB115" s="229">
        <f>SUMIFS([1]!Data_BS[Value],[1]!Data_BS[Index BS],'Dai Loc'!$B115,[1]!Data_BS[TenCongTyID],'Dai Loc'!$B$1,[1]!Data_BS[Thang.Nam],'Dai Loc'!AB$5)</f>
        <v>0</v>
      </c>
      <c r="AC115" s="229">
        <f>SUMIFS([1]!Data_BS[Value],[1]!Data_BS[Index BS],'Dai Loc'!$B115,[1]!Data_BS[TenCongTyID],'Dai Loc'!$B$1,[1]!Data_BS[Thang.Nam],'Dai Loc'!AC$5)</f>
        <v>0</v>
      </c>
      <c r="AD115" s="229">
        <f>SUMIFS([1]!Data_BS[Value],[1]!Data_BS[Index BS],'Dai Loc'!$B115,[1]!Data_BS[TenCongTyID],'Dai Loc'!$B$1,[1]!Data_BS[Thang.Nam],'Dai Loc'!AD$5)</f>
        <v>0</v>
      </c>
      <c r="AE115" s="229">
        <f>SUMIFS([1]!Data_BS[Value],[1]!Data_BS[Index BS],'Dai Loc'!$B115,[1]!Data_BS[TenCongTyID],'Dai Loc'!$B$1,[1]!Data_BS[Thang.Nam],'Dai Loc'!AE$5)</f>
        <v>0</v>
      </c>
      <c r="AF115" s="229">
        <f>SUMIFS([1]!Data_BS[Value],[1]!Data_BS[Index BS],'Dai Loc'!$B115,[1]!Data_BS[TenCongTyID],'Dai Loc'!$B$1,[1]!Data_BS[Thang.Nam],'Dai Loc'!AF$5)</f>
        <v>0</v>
      </c>
      <c r="AG115" s="229">
        <f>SUMIFS([1]!Data_BS[Value],[1]!Data_BS[Index BS],'Dai Loc'!$B115,[1]!Data_BS[TenCongTyID],'Dai Loc'!$B$1,[1]!Data_BS[Thang.Nam],'Dai Loc'!AG$5)</f>
        <v>0</v>
      </c>
      <c r="AH115" s="229">
        <f>SUMIFS([1]!Data_BS[Value],[1]!Data_BS[Index BS],'Dai Loc'!$B115,[1]!Data_BS[TenCongTyID],'Dai Loc'!$B$1,[1]!Data_BS[Thang.Nam],'Dai Loc'!AH$5)</f>
        <v>0</v>
      </c>
      <c r="AI115" s="229">
        <f>SUMIFS([1]!Data_BS[Value],[1]!Data_BS[Index BS],'Dai Loc'!$B115,[1]!Data_BS[TenCongTyID],'Dai Loc'!$B$1,[1]!Data_BS[Thang.Nam],'Dai Loc'!AI$5)</f>
        <v>0</v>
      </c>
      <c r="AJ115" s="229">
        <f>SUMIFS([1]!Data_BS[Value],[1]!Data_BS[Index BS],'Dai Loc'!$B115,[1]!Data_BS[TenCongTyID],'Dai Loc'!$B$1,[1]!Data_BS[Thang.Nam],'Dai Loc'!AJ$5)</f>
        <v>0</v>
      </c>
      <c r="AK115" s="229">
        <f>SUMIFS([1]!Data_BS[Value],[1]!Data_BS[Index BS],'Dai Loc'!$B115,[1]!Data_BS[TenCongTyID],'Dai Loc'!$B$1,[1]!Data_BS[Thang.Nam],'Dai Loc'!AK$5)</f>
        <v>0</v>
      </c>
      <c r="AL115" s="229">
        <f>SUMIFS([1]!Data_BS[Value],[1]!Data_BS[Index BS],'Dai Loc'!$B115,[1]!Data_BS[TenCongTyID],'Dai Loc'!$B$1,[1]!Data_BS[Thang.Nam],'Dai Loc'!AL$5)</f>
        <v>0</v>
      </c>
    </row>
    <row r="116" spans="1:38" ht="15" hidden="1" customHeight="1" outlineLevel="1">
      <c r="A116" s="56" t="s">
        <v>200</v>
      </c>
      <c r="B116" s="71">
        <v>111</v>
      </c>
      <c r="C116" s="240">
        <v>4883337730</v>
      </c>
      <c r="D116" s="240">
        <v>3702492870</v>
      </c>
      <c r="E116" s="240">
        <v>3622511182</v>
      </c>
      <c r="F116" s="240">
        <v>3052455554</v>
      </c>
      <c r="G116" s="240">
        <v>1835840844</v>
      </c>
      <c r="H116" s="240">
        <v>215785639</v>
      </c>
      <c r="I116" s="240">
        <v>-740904399</v>
      </c>
      <c r="J116" s="240">
        <v>-1674855006</v>
      </c>
      <c r="K116" s="240">
        <v>-2351073524</v>
      </c>
      <c r="L116" s="240">
        <v>-2779313725</v>
      </c>
      <c r="M116" s="240">
        <v>-3949681167</v>
      </c>
      <c r="N116" s="241">
        <v>-5202845895</v>
      </c>
      <c r="O116" s="241">
        <v>-6715450767</v>
      </c>
      <c r="P116" s="241">
        <v>-8124376195</v>
      </c>
      <c r="Q116" s="241">
        <v>-8691676055</v>
      </c>
      <c r="R116" s="241">
        <v>-9572778931</v>
      </c>
      <c r="S116" s="241">
        <v>-9378360895</v>
      </c>
      <c r="T116" s="241">
        <v>-10402912709</v>
      </c>
      <c r="U116" s="241">
        <v>-9889570268</v>
      </c>
      <c r="V116" s="241">
        <v>-9543495107</v>
      </c>
      <c r="W116" s="241">
        <v>-10206448730</v>
      </c>
      <c r="X116" s="241">
        <v>-10440542749</v>
      </c>
      <c r="Y116" s="241">
        <v>-11400017896</v>
      </c>
      <c r="Z116" s="241">
        <v>-11856534861</v>
      </c>
      <c r="AA116" s="241">
        <f>SUMIFS([1]!Data_BS[Value],[1]!Data_BS[Index BS],'Dai Loc'!$B116,[1]!Data_BS[TenCongTyID],'Dai Loc'!$B$1,[1]!Data_BS[Thang.Nam],'Dai Loc'!AA$5)</f>
        <v>0</v>
      </c>
      <c r="AB116" s="241">
        <f>SUMIFS([1]!Data_BS[Value],[1]!Data_BS[Index BS],'Dai Loc'!$B116,[1]!Data_BS[TenCongTyID],'Dai Loc'!$B$1,[1]!Data_BS[Thang.Nam],'Dai Loc'!AB$5)</f>
        <v>0</v>
      </c>
      <c r="AC116" s="241">
        <f>SUMIFS([1]!Data_BS[Value],[1]!Data_BS[Index BS],'Dai Loc'!$B116,[1]!Data_BS[TenCongTyID],'Dai Loc'!$B$1,[1]!Data_BS[Thang.Nam],'Dai Loc'!AC$5)</f>
        <v>0</v>
      </c>
      <c r="AD116" s="241">
        <f>SUMIFS([1]!Data_BS[Value],[1]!Data_BS[Index BS],'Dai Loc'!$B116,[1]!Data_BS[TenCongTyID],'Dai Loc'!$B$1,[1]!Data_BS[Thang.Nam],'Dai Loc'!AD$5)</f>
        <v>0</v>
      </c>
      <c r="AE116" s="241">
        <f>SUMIFS([1]!Data_BS[Value],[1]!Data_BS[Index BS],'Dai Loc'!$B116,[1]!Data_BS[TenCongTyID],'Dai Loc'!$B$1,[1]!Data_BS[Thang.Nam],'Dai Loc'!AE$5)</f>
        <v>0</v>
      </c>
      <c r="AF116" s="241">
        <f>SUMIFS([1]!Data_BS[Value],[1]!Data_BS[Index BS],'Dai Loc'!$B116,[1]!Data_BS[TenCongTyID],'Dai Loc'!$B$1,[1]!Data_BS[Thang.Nam],'Dai Loc'!AF$5)</f>
        <v>0</v>
      </c>
      <c r="AG116" s="241">
        <f>SUMIFS([1]!Data_BS[Value],[1]!Data_BS[Index BS],'Dai Loc'!$B116,[1]!Data_BS[TenCongTyID],'Dai Loc'!$B$1,[1]!Data_BS[Thang.Nam],'Dai Loc'!AG$5)</f>
        <v>0</v>
      </c>
      <c r="AH116" s="241">
        <f>SUMIFS([1]!Data_BS[Value],[1]!Data_BS[Index BS],'Dai Loc'!$B116,[1]!Data_BS[TenCongTyID],'Dai Loc'!$B$1,[1]!Data_BS[Thang.Nam],'Dai Loc'!AH$5)</f>
        <v>0</v>
      </c>
      <c r="AI116" s="241">
        <f>SUMIFS([1]!Data_BS[Value],[1]!Data_BS[Index BS],'Dai Loc'!$B116,[1]!Data_BS[TenCongTyID],'Dai Loc'!$B$1,[1]!Data_BS[Thang.Nam],'Dai Loc'!AI$5)</f>
        <v>0</v>
      </c>
      <c r="AJ116" s="241">
        <f>SUMIFS([1]!Data_BS[Value],[1]!Data_BS[Index BS],'Dai Loc'!$B116,[1]!Data_BS[TenCongTyID],'Dai Loc'!$B$1,[1]!Data_BS[Thang.Nam],'Dai Loc'!AJ$5)</f>
        <v>0</v>
      </c>
      <c r="AK116" s="241">
        <f>SUMIFS([1]!Data_BS[Value],[1]!Data_BS[Index BS],'Dai Loc'!$B116,[1]!Data_BS[TenCongTyID],'Dai Loc'!$B$1,[1]!Data_BS[Thang.Nam],'Dai Loc'!AK$5)</f>
        <v>0</v>
      </c>
      <c r="AL116" s="241">
        <f>SUMIFS([1]!Data_BS[Value],[1]!Data_BS[Index BS],'Dai Loc'!$B116,[1]!Data_BS[TenCongTyID],'Dai Loc'!$B$1,[1]!Data_BS[Thang.Nam],'Dai Loc'!AL$5)</f>
        <v>0</v>
      </c>
    </row>
    <row r="117" spans="1:38" ht="15" hidden="1" customHeight="1" outlineLevel="1">
      <c r="A117" s="67" t="s">
        <v>201</v>
      </c>
      <c r="B117" s="63">
        <v>112</v>
      </c>
      <c r="C117" s="229">
        <v>40000000000</v>
      </c>
      <c r="D117" s="229">
        <v>40000000000</v>
      </c>
      <c r="E117" s="229">
        <v>40000000000</v>
      </c>
      <c r="F117" s="229">
        <v>40000000000</v>
      </c>
      <c r="G117" s="229">
        <v>40000000000</v>
      </c>
      <c r="H117" s="229">
        <v>40000000000</v>
      </c>
      <c r="I117" s="229">
        <v>40000000000</v>
      </c>
      <c r="J117" s="229">
        <v>40000000000</v>
      </c>
      <c r="K117" s="229">
        <v>40000000000</v>
      </c>
      <c r="L117" s="229">
        <v>40000000000</v>
      </c>
      <c r="M117" s="229">
        <v>40000000000</v>
      </c>
      <c r="N117" s="229">
        <v>40000000000</v>
      </c>
      <c r="O117" s="229">
        <v>40000000000</v>
      </c>
      <c r="P117" s="229">
        <v>40000000000</v>
      </c>
      <c r="Q117" s="229">
        <v>40000000000</v>
      </c>
      <c r="R117" s="229">
        <v>40000000000</v>
      </c>
      <c r="S117" s="229">
        <v>40000000000</v>
      </c>
      <c r="T117" s="229">
        <v>40000000000</v>
      </c>
      <c r="U117" s="229">
        <v>40000000000</v>
      </c>
      <c r="V117" s="229">
        <v>40000000000</v>
      </c>
      <c r="W117" s="229">
        <v>40000000000</v>
      </c>
      <c r="X117" s="229">
        <v>40000000000</v>
      </c>
      <c r="Y117" s="229">
        <v>40000000000</v>
      </c>
      <c r="Z117" s="229">
        <v>40000000000</v>
      </c>
      <c r="AA117" s="229">
        <f>SUMIFS([1]!Data_BS[Value],[1]!Data_BS[Index BS],'Dai Loc'!$B117,[1]!Data_BS[TenCongTyID],'Dai Loc'!$B$1,[1]!Data_BS[Thang.Nam],'Dai Loc'!AA$5)</f>
        <v>0</v>
      </c>
      <c r="AB117" s="229">
        <f>SUMIFS([1]!Data_BS[Value],[1]!Data_BS[Index BS],'Dai Loc'!$B117,[1]!Data_BS[TenCongTyID],'Dai Loc'!$B$1,[1]!Data_BS[Thang.Nam],'Dai Loc'!AB$5)</f>
        <v>0</v>
      </c>
      <c r="AC117" s="229">
        <f>SUMIFS([1]!Data_BS[Value],[1]!Data_BS[Index BS],'Dai Loc'!$B117,[1]!Data_BS[TenCongTyID],'Dai Loc'!$B$1,[1]!Data_BS[Thang.Nam],'Dai Loc'!AC$5)</f>
        <v>0</v>
      </c>
      <c r="AD117" s="229">
        <f>SUMIFS([1]!Data_BS[Value],[1]!Data_BS[Index BS],'Dai Loc'!$B117,[1]!Data_BS[TenCongTyID],'Dai Loc'!$B$1,[1]!Data_BS[Thang.Nam],'Dai Loc'!AD$5)</f>
        <v>0</v>
      </c>
      <c r="AE117" s="229">
        <f>SUMIFS([1]!Data_BS[Value],[1]!Data_BS[Index BS],'Dai Loc'!$B117,[1]!Data_BS[TenCongTyID],'Dai Loc'!$B$1,[1]!Data_BS[Thang.Nam],'Dai Loc'!AE$5)</f>
        <v>0</v>
      </c>
      <c r="AF117" s="229">
        <f>SUMIFS([1]!Data_BS[Value],[1]!Data_BS[Index BS],'Dai Loc'!$B117,[1]!Data_BS[TenCongTyID],'Dai Loc'!$B$1,[1]!Data_BS[Thang.Nam],'Dai Loc'!AF$5)</f>
        <v>0</v>
      </c>
      <c r="AG117" s="229">
        <f>SUMIFS([1]!Data_BS[Value],[1]!Data_BS[Index BS],'Dai Loc'!$B117,[1]!Data_BS[TenCongTyID],'Dai Loc'!$B$1,[1]!Data_BS[Thang.Nam],'Dai Loc'!AG$5)</f>
        <v>0</v>
      </c>
      <c r="AH117" s="229">
        <f>SUMIFS([1]!Data_BS[Value],[1]!Data_BS[Index BS],'Dai Loc'!$B117,[1]!Data_BS[TenCongTyID],'Dai Loc'!$B$1,[1]!Data_BS[Thang.Nam],'Dai Loc'!AH$5)</f>
        <v>0</v>
      </c>
      <c r="AI117" s="229">
        <f>SUMIFS([1]!Data_BS[Value],[1]!Data_BS[Index BS],'Dai Loc'!$B117,[1]!Data_BS[TenCongTyID],'Dai Loc'!$B$1,[1]!Data_BS[Thang.Nam],'Dai Loc'!AI$5)</f>
        <v>0</v>
      </c>
      <c r="AJ117" s="229">
        <f>SUMIFS([1]!Data_BS[Value],[1]!Data_BS[Index BS],'Dai Loc'!$B117,[1]!Data_BS[TenCongTyID],'Dai Loc'!$B$1,[1]!Data_BS[Thang.Nam],'Dai Loc'!AJ$5)</f>
        <v>0</v>
      </c>
      <c r="AK117" s="229">
        <f>SUMIFS([1]!Data_BS[Value],[1]!Data_BS[Index BS],'Dai Loc'!$B117,[1]!Data_BS[TenCongTyID],'Dai Loc'!$B$1,[1]!Data_BS[Thang.Nam],'Dai Loc'!AK$5)</f>
        <v>0</v>
      </c>
      <c r="AL117" s="229">
        <f>SUMIFS([1]!Data_BS[Value],[1]!Data_BS[Index BS],'Dai Loc'!$B117,[1]!Data_BS[TenCongTyID],'Dai Loc'!$B$1,[1]!Data_BS[Thang.Nam],'Dai Loc'!AL$5)</f>
        <v>0</v>
      </c>
    </row>
    <row r="118" spans="1:38" ht="15" hidden="1" customHeight="1" outlineLevel="1">
      <c r="A118" s="67" t="s">
        <v>202</v>
      </c>
      <c r="B118" s="63">
        <v>113</v>
      </c>
      <c r="C118" s="229">
        <v>40000000000</v>
      </c>
      <c r="D118" s="229">
        <v>40000000000</v>
      </c>
      <c r="E118" s="229">
        <v>40000000000</v>
      </c>
      <c r="F118" s="229">
        <v>40000000000</v>
      </c>
      <c r="G118" s="229">
        <v>40000000000</v>
      </c>
      <c r="H118" s="229">
        <v>40000000000</v>
      </c>
      <c r="I118" s="229">
        <v>40000000000</v>
      </c>
      <c r="J118" s="229">
        <v>40000000000</v>
      </c>
      <c r="K118" s="229">
        <v>40000000000</v>
      </c>
      <c r="L118" s="229">
        <v>40000000000</v>
      </c>
      <c r="M118" s="229">
        <v>40000000000</v>
      </c>
      <c r="N118" s="229">
        <v>40000000000</v>
      </c>
      <c r="O118" s="229">
        <v>40000000000</v>
      </c>
      <c r="P118" s="229">
        <v>40000000000</v>
      </c>
      <c r="Q118" s="229">
        <v>40000000000</v>
      </c>
      <c r="R118" s="229">
        <v>40000000000</v>
      </c>
      <c r="S118" s="229">
        <v>40000000000</v>
      </c>
      <c r="T118" s="229">
        <v>40000000000</v>
      </c>
      <c r="U118" s="229">
        <v>40000000000</v>
      </c>
      <c r="V118" s="229">
        <v>40000000000</v>
      </c>
      <c r="W118" s="229">
        <v>40000000000</v>
      </c>
      <c r="X118" s="229">
        <v>40000000000</v>
      </c>
      <c r="Y118" s="229">
        <v>40000000000</v>
      </c>
      <c r="Z118" s="229">
        <v>40000000000</v>
      </c>
      <c r="AA118" s="229">
        <f>SUMIFS([1]!Data_BS[Value],[1]!Data_BS[Index BS],'Dai Loc'!$B118,[1]!Data_BS[TenCongTyID],'Dai Loc'!$B$1,[1]!Data_BS[Thang.Nam],'Dai Loc'!AA$5)</f>
        <v>0</v>
      </c>
      <c r="AB118" s="229">
        <f>SUMIFS([1]!Data_BS[Value],[1]!Data_BS[Index BS],'Dai Loc'!$B118,[1]!Data_BS[TenCongTyID],'Dai Loc'!$B$1,[1]!Data_BS[Thang.Nam],'Dai Loc'!AB$5)</f>
        <v>0</v>
      </c>
      <c r="AC118" s="229">
        <f>SUMIFS([1]!Data_BS[Value],[1]!Data_BS[Index BS],'Dai Loc'!$B118,[1]!Data_BS[TenCongTyID],'Dai Loc'!$B$1,[1]!Data_BS[Thang.Nam],'Dai Loc'!AC$5)</f>
        <v>0</v>
      </c>
      <c r="AD118" s="229">
        <f>SUMIFS([1]!Data_BS[Value],[1]!Data_BS[Index BS],'Dai Loc'!$B118,[1]!Data_BS[TenCongTyID],'Dai Loc'!$B$1,[1]!Data_BS[Thang.Nam],'Dai Loc'!AD$5)</f>
        <v>0</v>
      </c>
      <c r="AE118" s="229">
        <f>SUMIFS([1]!Data_BS[Value],[1]!Data_BS[Index BS],'Dai Loc'!$B118,[1]!Data_BS[TenCongTyID],'Dai Loc'!$B$1,[1]!Data_BS[Thang.Nam],'Dai Loc'!AE$5)</f>
        <v>0</v>
      </c>
      <c r="AF118" s="229">
        <f>SUMIFS([1]!Data_BS[Value],[1]!Data_BS[Index BS],'Dai Loc'!$B118,[1]!Data_BS[TenCongTyID],'Dai Loc'!$B$1,[1]!Data_BS[Thang.Nam],'Dai Loc'!AF$5)</f>
        <v>0</v>
      </c>
      <c r="AG118" s="229">
        <f>SUMIFS([1]!Data_BS[Value],[1]!Data_BS[Index BS],'Dai Loc'!$B118,[1]!Data_BS[TenCongTyID],'Dai Loc'!$B$1,[1]!Data_BS[Thang.Nam],'Dai Loc'!AG$5)</f>
        <v>0</v>
      </c>
      <c r="AH118" s="229">
        <f>SUMIFS([1]!Data_BS[Value],[1]!Data_BS[Index BS],'Dai Loc'!$B118,[1]!Data_BS[TenCongTyID],'Dai Loc'!$B$1,[1]!Data_BS[Thang.Nam],'Dai Loc'!AH$5)</f>
        <v>0</v>
      </c>
      <c r="AI118" s="229">
        <f>SUMIFS([1]!Data_BS[Value],[1]!Data_BS[Index BS],'Dai Loc'!$B118,[1]!Data_BS[TenCongTyID],'Dai Loc'!$B$1,[1]!Data_BS[Thang.Nam],'Dai Loc'!AI$5)</f>
        <v>0</v>
      </c>
      <c r="AJ118" s="229">
        <f>SUMIFS([1]!Data_BS[Value],[1]!Data_BS[Index BS],'Dai Loc'!$B118,[1]!Data_BS[TenCongTyID],'Dai Loc'!$B$1,[1]!Data_BS[Thang.Nam],'Dai Loc'!AJ$5)</f>
        <v>0</v>
      </c>
      <c r="AK118" s="229">
        <f>SUMIFS([1]!Data_BS[Value],[1]!Data_BS[Index BS],'Dai Loc'!$B118,[1]!Data_BS[TenCongTyID],'Dai Loc'!$B$1,[1]!Data_BS[Thang.Nam],'Dai Loc'!AK$5)</f>
        <v>0</v>
      </c>
      <c r="AL118" s="229">
        <f>SUMIFS([1]!Data_BS[Value],[1]!Data_BS[Index BS],'Dai Loc'!$B118,[1]!Data_BS[TenCongTyID],'Dai Loc'!$B$1,[1]!Data_BS[Thang.Nam],'Dai Loc'!AL$5)</f>
        <v>0</v>
      </c>
    </row>
    <row r="119" spans="1:38" ht="15" hidden="1" customHeight="1" outlineLevel="1">
      <c r="A119" s="67" t="s">
        <v>203</v>
      </c>
      <c r="B119" s="63">
        <v>114</v>
      </c>
      <c r="C119" s="229">
        <v>0</v>
      </c>
      <c r="D119" s="229">
        <v>0</v>
      </c>
      <c r="E119" s="229">
        <v>0</v>
      </c>
      <c r="F119" s="229">
        <v>0</v>
      </c>
      <c r="G119" s="229">
        <v>0</v>
      </c>
      <c r="H119" s="229">
        <v>0</v>
      </c>
      <c r="I119" s="229">
        <v>0</v>
      </c>
      <c r="J119" s="229">
        <v>0</v>
      </c>
      <c r="K119" s="229">
        <v>0</v>
      </c>
      <c r="L119" s="229">
        <v>0</v>
      </c>
      <c r="M119" s="229">
        <v>0</v>
      </c>
      <c r="N119" s="229">
        <v>0</v>
      </c>
      <c r="O119" s="229">
        <v>0</v>
      </c>
      <c r="P119" s="229">
        <v>0</v>
      </c>
      <c r="Q119" s="229">
        <v>0</v>
      </c>
      <c r="R119" s="229">
        <v>0</v>
      </c>
      <c r="S119" s="229">
        <v>0</v>
      </c>
      <c r="T119" s="229">
        <v>0</v>
      </c>
      <c r="U119" s="229">
        <v>0</v>
      </c>
      <c r="V119" s="229">
        <v>0</v>
      </c>
      <c r="W119" s="229">
        <v>0</v>
      </c>
      <c r="X119" s="229">
        <v>0</v>
      </c>
      <c r="Y119" s="229">
        <v>0</v>
      </c>
      <c r="Z119" s="229">
        <v>0</v>
      </c>
      <c r="AA119" s="229">
        <f>SUMIFS([1]!Data_BS[Value],[1]!Data_BS[Index BS],'Dai Loc'!$B119,[1]!Data_BS[TenCongTyID],'Dai Loc'!$B$1,[1]!Data_BS[Thang.Nam],'Dai Loc'!AA$5)</f>
        <v>0</v>
      </c>
      <c r="AB119" s="229">
        <f>SUMIFS([1]!Data_BS[Value],[1]!Data_BS[Index BS],'Dai Loc'!$B119,[1]!Data_BS[TenCongTyID],'Dai Loc'!$B$1,[1]!Data_BS[Thang.Nam],'Dai Loc'!AB$5)</f>
        <v>0</v>
      </c>
      <c r="AC119" s="229">
        <f>SUMIFS([1]!Data_BS[Value],[1]!Data_BS[Index BS],'Dai Loc'!$B119,[1]!Data_BS[TenCongTyID],'Dai Loc'!$B$1,[1]!Data_BS[Thang.Nam],'Dai Loc'!AC$5)</f>
        <v>0</v>
      </c>
      <c r="AD119" s="229">
        <f>SUMIFS([1]!Data_BS[Value],[1]!Data_BS[Index BS],'Dai Loc'!$B119,[1]!Data_BS[TenCongTyID],'Dai Loc'!$B$1,[1]!Data_BS[Thang.Nam],'Dai Loc'!AD$5)</f>
        <v>0</v>
      </c>
      <c r="AE119" s="229">
        <f>SUMIFS([1]!Data_BS[Value],[1]!Data_BS[Index BS],'Dai Loc'!$B119,[1]!Data_BS[TenCongTyID],'Dai Loc'!$B$1,[1]!Data_BS[Thang.Nam],'Dai Loc'!AE$5)</f>
        <v>0</v>
      </c>
      <c r="AF119" s="229">
        <f>SUMIFS([1]!Data_BS[Value],[1]!Data_BS[Index BS],'Dai Loc'!$B119,[1]!Data_BS[TenCongTyID],'Dai Loc'!$B$1,[1]!Data_BS[Thang.Nam],'Dai Loc'!AF$5)</f>
        <v>0</v>
      </c>
      <c r="AG119" s="229">
        <f>SUMIFS([1]!Data_BS[Value],[1]!Data_BS[Index BS],'Dai Loc'!$B119,[1]!Data_BS[TenCongTyID],'Dai Loc'!$B$1,[1]!Data_BS[Thang.Nam],'Dai Loc'!AG$5)</f>
        <v>0</v>
      </c>
      <c r="AH119" s="229">
        <f>SUMIFS([1]!Data_BS[Value],[1]!Data_BS[Index BS],'Dai Loc'!$B119,[1]!Data_BS[TenCongTyID],'Dai Loc'!$B$1,[1]!Data_BS[Thang.Nam],'Dai Loc'!AH$5)</f>
        <v>0</v>
      </c>
      <c r="AI119" s="229">
        <f>SUMIFS([1]!Data_BS[Value],[1]!Data_BS[Index BS],'Dai Loc'!$B119,[1]!Data_BS[TenCongTyID],'Dai Loc'!$B$1,[1]!Data_BS[Thang.Nam],'Dai Loc'!AI$5)</f>
        <v>0</v>
      </c>
      <c r="AJ119" s="229">
        <f>SUMIFS([1]!Data_BS[Value],[1]!Data_BS[Index BS],'Dai Loc'!$B119,[1]!Data_BS[TenCongTyID],'Dai Loc'!$B$1,[1]!Data_BS[Thang.Nam],'Dai Loc'!AJ$5)</f>
        <v>0</v>
      </c>
      <c r="AK119" s="229">
        <f>SUMIFS([1]!Data_BS[Value],[1]!Data_BS[Index BS],'Dai Loc'!$B119,[1]!Data_BS[TenCongTyID],'Dai Loc'!$B$1,[1]!Data_BS[Thang.Nam],'Dai Loc'!AK$5)</f>
        <v>0</v>
      </c>
      <c r="AL119" s="229">
        <f>SUMIFS([1]!Data_BS[Value],[1]!Data_BS[Index BS],'Dai Loc'!$B119,[1]!Data_BS[TenCongTyID],'Dai Loc'!$B$1,[1]!Data_BS[Thang.Nam],'Dai Loc'!AL$5)</f>
        <v>0</v>
      </c>
    </row>
    <row r="120" spans="1:38" ht="15" hidden="1" customHeight="1" outlineLevel="1">
      <c r="A120" s="67" t="s">
        <v>204</v>
      </c>
      <c r="B120" s="63">
        <v>115</v>
      </c>
      <c r="C120" s="229">
        <v>0</v>
      </c>
      <c r="D120" s="229">
        <v>0</v>
      </c>
      <c r="E120" s="229">
        <v>0</v>
      </c>
      <c r="F120" s="229">
        <v>0</v>
      </c>
      <c r="G120" s="229">
        <v>0</v>
      </c>
      <c r="H120" s="229">
        <v>0</v>
      </c>
      <c r="I120" s="229">
        <v>0</v>
      </c>
      <c r="J120" s="229">
        <v>0</v>
      </c>
      <c r="K120" s="229">
        <v>0</v>
      </c>
      <c r="L120" s="229">
        <v>0</v>
      </c>
      <c r="M120" s="229">
        <v>0</v>
      </c>
      <c r="N120" s="229">
        <v>0</v>
      </c>
      <c r="O120" s="229">
        <v>0</v>
      </c>
      <c r="P120" s="229">
        <v>0</v>
      </c>
      <c r="Q120" s="229">
        <v>0</v>
      </c>
      <c r="R120" s="229">
        <v>0</v>
      </c>
      <c r="S120" s="229">
        <v>0</v>
      </c>
      <c r="T120" s="229">
        <v>0</v>
      </c>
      <c r="U120" s="229">
        <v>0</v>
      </c>
      <c r="V120" s="229">
        <v>0</v>
      </c>
      <c r="W120" s="229">
        <v>0</v>
      </c>
      <c r="X120" s="229">
        <v>0</v>
      </c>
      <c r="Y120" s="229">
        <v>0</v>
      </c>
      <c r="Z120" s="229">
        <v>0</v>
      </c>
      <c r="AA120" s="229">
        <f>SUMIFS([1]!Data_BS[Value],[1]!Data_BS[Index BS],'Dai Loc'!$B120,[1]!Data_BS[TenCongTyID],'Dai Loc'!$B$1,[1]!Data_BS[Thang.Nam],'Dai Loc'!AA$5)</f>
        <v>0</v>
      </c>
      <c r="AB120" s="229">
        <f>SUMIFS([1]!Data_BS[Value],[1]!Data_BS[Index BS],'Dai Loc'!$B120,[1]!Data_BS[TenCongTyID],'Dai Loc'!$B$1,[1]!Data_BS[Thang.Nam],'Dai Loc'!AB$5)</f>
        <v>0</v>
      </c>
      <c r="AC120" s="229">
        <f>SUMIFS([1]!Data_BS[Value],[1]!Data_BS[Index BS],'Dai Loc'!$B120,[1]!Data_BS[TenCongTyID],'Dai Loc'!$B$1,[1]!Data_BS[Thang.Nam],'Dai Loc'!AC$5)</f>
        <v>0</v>
      </c>
      <c r="AD120" s="229">
        <f>SUMIFS([1]!Data_BS[Value],[1]!Data_BS[Index BS],'Dai Loc'!$B120,[1]!Data_BS[TenCongTyID],'Dai Loc'!$B$1,[1]!Data_BS[Thang.Nam],'Dai Loc'!AD$5)</f>
        <v>0</v>
      </c>
      <c r="AE120" s="229">
        <f>SUMIFS([1]!Data_BS[Value],[1]!Data_BS[Index BS],'Dai Loc'!$B120,[1]!Data_BS[TenCongTyID],'Dai Loc'!$B$1,[1]!Data_BS[Thang.Nam],'Dai Loc'!AE$5)</f>
        <v>0</v>
      </c>
      <c r="AF120" s="229">
        <f>SUMIFS([1]!Data_BS[Value],[1]!Data_BS[Index BS],'Dai Loc'!$B120,[1]!Data_BS[TenCongTyID],'Dai Loc'!$B$1,[1]!Data_BS[Thang.Nam],'Dai Loc'!AF$5)</f>
        <v>0</v>
      </c>
      <c r="AG120" s="229">
        <f>SUMIFS([1]!Data_BS[Value],[1]!Data_BS[Index BS],'Dai Loc'!$B120,[1]!Data_BS[TenCongTyID],'Dai Loc'!$B$1,[1]!Data_BS[Thang.Nam],'Dai Loc'!AG$5)</f>
        <v>0</v>
      </c>
      <c r="AH120" s="229">
        <f>SUMIFS([1]!Data_BS[Value],[1]!Data_BS[Index BS],'Dai Loc'!$B120,[1]!Data_BS[TenCongTyID],'Dai Loc'!$B$1,[1]!Data_BS[Thang.Nam],'Dai Loc'!AH$5)</f>
        <v>0</v>
      </c>
      <c r="AI120" s="229">
        <f>SUMIFS([1]!Data_BS[Value],[1]!Data_BS[Index BS],'Dai Loc'!$B120,[1]!Data_BS[TenCongTyID],'Dai Loc'!$B$1,[1]!Data_BS[Thang.Nam],'Dai Loc'!AI$5)</f>
        <v>0</v>
      </c>
      <c r="AJ120" s="229">
        <f>SUMIFS([1]!Data_BS[Value],[1]!Data_BS[Index BS],'Dai Loc'!$B120,[1]!Data_BS[TenCongTyID],'Dai Loc'!$B$1,[1]!Data_BS[Thang.Nam],'Dai Loc'!AJ$5)</f>
        <v>0</v>
      </c>
      <c r="AK120" s="229">
        <f>SUMIFS([1]!Data_BS[Value],[1]!Data_BS[Index BS],'Dai Loc'!$B120,[1]!Data_BS[TenCongTyID],'Dai Loc'!$B$1,[1]!Data_BS[Thang.Nam],'Dai Loc'!AK$5)</f>
        <v>0</v>
      </c>
      <c r="AL120" s="229">
        <f>SUMIFS([1]!Data_BS[Value],[1]!Data_BS[Index BS],'Dai Loc'!$B120,[1]!Data_BS[TenCongTyID],'Dai Loc'!$B$1,[1]!Data_BS[Thang.Nam],'Dai Loc'!AL$5)</f>
        <v>0</v>
      </c>
    </row>
    <row r="121" spans="1:38" ht="15" hidden="1" customHeight="1" outlineLevel="1">
      <c r="A121" s="67" t="s">
        <v>205</v>
      </c>
      <c r="B121" s="63">
        <v>116</v>
      </c>
      <c r="C121" s="229">
        <v>0</v>
      </c>
      <c r="D121" s="229">
        <v>0</v>
      </c>
      <c r="E121" s="229">
        <v>0</v>
      </c>
      <c r="F121" s="229">
        <v>0</v>
      </c>
      <c r="G121" s="229">
        <v>0</v>
      </c>
      <c r="H121" s="229">
        <v>0</v>
      </c>
      <c r="I121" s="229">
        <v>0</v>
      </c>
      <c r="J121" s="229">
        <v>0</v>
      </c>
      <c r="K121" s="229">
        <v>0</v>
      </c>
      <c r="L121" s="229">
        <v>0</v>
      </c>
      <c r="M121" s="229">
        <v>0</v>
      </c>
      <c r="N121" s="229">
        <v>0</v>
      </c>
      <c r="O121" s="229">
        <v>0</v>
      </c>
      <c r="P121" s="229">
        <v>0</v>
      </c>
      <c r="Q121" s="229">
        <v>0</v>
      </c>
      <c r="R121" s="229">
        <v>0</v>
      </c>
      <c r="S121" s="229">
        <v>0</v>
      </c>
      <c r="T121" s="229">
        <v>0</v>
      </c>
      <c r="U121" s="229">
        <v>0</v>
      </c>
      <c r="V121" s="229">
        <v>0</v>
      </c>
      <c r="W121" s="229">
        <v>0</v>
      </c>
      <c r="X121" s="229">
        <v>0</v>
      </c>
      <c r="Y121" s="229">
        <v>0</v>
      </c>
      <c r="Z121" s="229">
        <v>0</v>
      </c>
      <c r="AA121" s="229">
        <f>SUMIFS([1]!Data_BS[Value],[1]!Data_BS[Index BS],'Dai Loc'!$B121,[1]!Data_BS[TenCongTyID],'Dai Loc'!$B$1,[1]!Data_BS[Thang.Nam],'Dai Loc'!AA$5)</f>
        <v>0</v>
      </c>
      <c r="AB121" s="229">
        <f>SUMIFS([1]!Data_BS[Value],[1]!Data_BS[Index BS],'Dai Loc'!$B121,[1]!Data_BS[TenCongTyID],'Dai Loc'!$B$1,[1]!Data_BS[Thang.Nam],'Dai Loc'!AB$5)</f>
        <v>0</v>
      </c>
      <c r="AC121" s="229">
        <f>SUMIFS([1]!Data_BS[Value],[1]!Data_BS[Index BS],'Dai Loc'!$B121,[1]!Data_BS[TenCongTyID],'Dai Loc'!$B$1,[1]!Data_BS[Thang.Nam],'Dai Loc'!AC$5)</f>
        <v>0</v>
      </c>
      <c r="AD121" s="229">
        <f>SUMIFS([1]!Data_BS[Value],[1]!Data_BS[Index BS],'Dai Loc'!$B121,[1]!Data_BS[TenCongTyID],'Dai Loc'!$B$1,[1]!Data_BS[Thang.Nam],'Dai Loc'!AD$5)</f>
        <v>0</v>
      </c>
      <c r="AE121" s="229">
        <f>SUMIFS([1]!Data_BS[Value],[1]!Data_BS[Index BS],'Dai Loc'!$B121,[1]!Data_BS[TenCongTyID],'Dai Loc'!$B$1,[1]!Data_BS[Thang.Nam],'Dai Loc'!AE$5)</f>
        <v>0</v>
      </c>
      <c r="AF121" s="229">
        <f>SUMIFS([1]!Data_BS[Value],[1]!Data_BS[Index BS],'Dai Loc'!$B121,[1]!Data_BS[TenCongTyID],'Dai Loc'!$B$1,[1]!Data_BS[Thang.Nam],'Dai Loc'!AF$5)</f>
        <v>0</v>
      </c>
      <c r="AG121" s="229">
        <f>SUMIFS([1]!Data_BS[Value],[1]!Data_BS[Index BS],'Dai Loc'!$B121,[1]!Data_BS[TenCongTyID],'Dai Loc'!$B$1,[1]!Data_BS[Thang.Nam],'Dai Loc'!AG$5)</f>
        <v>0</v>
      </c>
      <c r="AH121" s="229">
        <f>SUMIFS([1]!Data_BS[Value],[1]!Data_BS[Index BS],'Dai Loc'!$B121,[1]!Data_BS[TenCongTyID],'Dai Loc'!$B$1,[1]!Data_BS[Thang.Nam],'Dai Loc'!AH$5)</f>
        <v>0</v>
      </c>
      <c r="AI121" s="229">
        <f>SUMIFS([1]!Data_BS[Value],[1]!Data_BS[Index BS],'Dai Loc'!$B121,[1]!Data_BS[TenCongTyID],'Dai Loc'!$B$1,[1]!Data_BS[Thang.Nam],'Dai Loc'!AI$5)</f>
        <v>0</v>
      </c>
      <c r="AJ121" s="229">
        <f>SUMIFS([1]!Data_BS[Value],[1]!Data_BS[Index BS],'Dai Loc'!$B121,[1]!Data_BS[TenCongTyID],'Dai Loc'!$B$1,[1]!Data_BS[Thang.Nam],'Dai Loc'!AJ$5)</f>
        <v>0</v>
      </c>
      <c r="AK121" s="229">
        <f>SUMIFS([1]!Data_BS[Value],[1]!Data_BS[Index BS],'Dai Loc'!$B121,[1]!Data_BS[TenCongTyID],'Dai Loc'!$B$1,[1]!Data_BS[Thang.Nam],'Dai Loc'!AK$5)</f>
        <v>0</v>
      </c>
      <c r="AL121" s="229">
        <f>SUMIFS([1]!Data_BS[Value],[1]!Data_BS[Index BS],'Dai Loc'!$B121,[1]!Data_BS[TenCongTyID],'Dai Loc'!$B$1,[1]!Data_BS[Thang.Nam],'Dai Loc'!AL$5)</f>
        <v>0</v>
      </c>
    </row>
    <row r="122" spans="1:38" ht="15" hidden="1" customHeight="1" outlineLevel="1">
      <c r="A122" s="67" t="s">
        <v>206</v>
      </c>
      <c r="B122" s="63">
        <v>117</v>
      </c>
      <c r="C122" s="229">
        <v>0</v>
      </c>
      <c r="D122" s="229">
        <v>0</v>
      </c>
      <c r="E122" s="229">
        <v>0</v>
      </c>
      <c r="F122" s="229">
        <v>0</v>
      </c>
      <c r="G122" s="229">
        <v>0</v>
      </c>
      <c r="H122" s="229">
        <v>0</v>
      </c>
      <c r="I122" s="229">
        <v>0</v>
      </c>
      <c r="J122" s="229">
        <v>0</v>
      </c>
      <c r="K122" s="229">
        <v>0</v>
      </c>
      <c r="L122" s="229">
        <v>0</v>
      </c>
      <c r="M122" s="229">
        <v>0</v>
      </c>
      <c r="N122" s="229">
        <v>0</v>
      </c>
      <c r="O122" s="229">
        <v>0</v>
      </c>
      <c r="P122" s="229">
        <v>0</v>
      </c>
      <c r="Q122" s="229">
        <v>0</v>
      </c>
      <c r="R122" s="229">
        <v>0</v>
      </c>
      <c r="S122" s="229">
        <v>0</v>
      </c>
      <c r="T122" s="229">
        <v>0</v>
      </c>
      <c r="U122" s="229">
        <v>0</v>
      </c>
      <c r="V122" s="229">
        <v>0</v>
      </c>
      <c r="W122" s="229">
        <v>0</v>
      </c>
      <c r="X122" s="229">
        <v>0</v>
      </c>
      <c r="Y122" s="229">
        <v>0</v>
      </c>
      <c r="Z122" s="229">
        <v>0</v>
      </c>
      <c r="AA122" s="229">
        <f>SUMIFS([1]!Data_BS[Value],[1]!Data_BS[Index BS],'Dai Loc'!$B122,[1]!Data_BS[TenCongTyID],'Dai Loc'!$B$1,[1]!Data_BS[Thang.Nam],'Dai Loc'!AA$5)</f>
        <v>0</v>
      </c>
      <c r="AB122" s="229">
        <f>SUMIFS([1]!Data_BS[Value],[1]!Data_BS[Index BS],'Dai Loc'!$B122,[1]!Data_BS[TenCongTyID],'Dai Loc'!$B$1,[1]!Data_BS[Thang.Nam],'Dai Loc'!AB$5)</f>
        <v>0</v>
      </c>
      <c r="AC122" s="229">
        <f>SUMIFS([1]!Data_BS[Value],[1]!Data_BS[Index BS],'Dai Loc'!$B122,[1]!Data_BS[TenCongTyID],'Dai Loc'!$B$1,[1]!Data_BS[Thang.Nam],'Dai Loc'!AC$5)</f>
        <v>0</v>
      </c>
      <c r="AD122" s="229">
        <f>SUMIFS([1]!Data_BS[Value],[1]!Data_BS[Index BS],'Dai Loc'!$B122,[1]!Data_BS[TenCongTyID],'Dai Loc'!$B$1,[1]!Data_BS[Thang.Nam],'Dai Loc'!AD$5)</f>
        <v>0</v>
      </c>
      <c r="AE122" s="229">
        <f>SUMIFS([1]!Data_BS[Value],[1]!Data_BS[Index BS],'Dai Loc'!$B122,[1]!Data_BS[TenCongTyID],'Dai Loc'!$B$1,[1]!Data_BS[Thang.Nam],'Dai Loc'!AE$5)</f>
        <v>0</v>
      </c>
      <c r="AF122" s="229">
        <f>SUMIFS([1]!Data_BS[Value],[1]!Data_BS[Index BS],'Dai Loc'!$B122,[1]!Data_BS[TenCongTyID],'Dai Loc'!$B$1,[1]!Data_BS[Thang.Nam],'Dai Loc'!AF$5)</f>
        <v>0</v>
      </c>
      <c r="AG122" s="229">
        <f>SUMIFS([1]!Data_BS[Value],[1]!Data_BS[Index BS],'Dai Loc'!$B122,[1]!Data_BS[TenCongTyID],'Dai Loc'!$B$1,[1]!Data_BS[Thang.Nam],'Dai Loc'!AG$5)</f>
        <v>0</v>
      </c>
      <c r="AH122" s="229">
        <f>SUMIFS([1]!Data_BS[Value],[1]!Data_BS[Index BS],'Dai Loc'!$B122,[1]!Data_BS[TenCongTyID],'Dai Loc'!$B$1,[1]!Data_BS[Thang.Nam],'Dai Loc'!AH$5)</f>
        <v>0</v>
      </c>
      <c r="AI122" s="229">
        <f>SUMIFS([1]!Data_BS[Value],[1]!Data_BS[Index BS],'Dai Loc'!$B122,[1]!Data_BS[TenCongTyID],'Dai Loc'!$B$1,[1]!Data_BS[Thang.Nam],'Dai Loc'!AI$5)</f>
        <v>0</v>
      </c>
      <c r="AJ122" s="229">
        <f>SUMIFS([1]!Data_BS[Value],[1]!Data_BS[Index BS],'Dai Loc'!$B122,[1]!Data_BS[TenCongTyID],'Dai Loc'!$B$1,[1]!Data_BS[Thang.Nam],'Dai Loc'!AJ$5)</f>
        <v>0</v>
      </c>
      <c r="AK122" s="229">
        <f>SUMIFS([1]!Data_BS[Value],[1]!Data_BS[Index BS],'Dai Loc'!$B122,[1]!Data_BS[TenCongTyID],'Dai Loc'!$B$1,[1]!Data_BS[Thang.Nam],'Dai Loc'!AK$5)</f>
        <v>0</v>
      </c>
      <c r="AL122" s="229">
        <f>SUMIFS([1]!Data_BS[Value],[1]!Data_BS[Index BS],'Dai Loc'!$B122,[1]!Data_BS[TenCongTyID],'Dai Loc'!$B$1,[1]!Data_BS[Thang.Nam],'Dai Loc'!AL$5)</f>
        <v>0</v>
      </c>
    </row>
    <row r="123" spans="1:38" ht="15" hidden="1" customHeight="1" outlineLevel="1">
      <c r="A123" s="67" t="s">
        <v>207</v>
      </c>
      <c r="B123" s="63">
        <v>118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Z123" s="229">
        <v>0</v>
      </c>
      <c r="AA123" s="229">
        <f>SUMIFS([1]!Data_BS[Value],[1]!Data_BS[Index BS],'Dai Loc'!$B123,[1]!Data_BS[TenCongTyID],'Dai Loc'!$B$1,[1]!Data_BS[Thang.Nam],'Dai Loc'!AA$5)</f>
        <v>0</v>
      </c>
      <c r="AB123" s="229">
        <f>SUMIFS([1]!Data_BS[Value],[1]!Data_BS[Index BS],'Dai Loc'!$B123,[1]!Data_BS[TenCongTyID],'Dai Loc'!$B$1,[1]!Data_BS[Thang.Nam],'Dai Loc'!AB$5)</f>
        <v>0</v>
      </c>
      <c r="AC123" s="229">
        <f>SUMIFS([1]!Data_BS[Value],[1]!Data_BS[Index BS],'Dai Loc'!$B123,[1]!Data_BS[TenCongTyID],'Dai Loc'!$B$1,[1]!Data_BS[Thang.Nam],'Dai Loc'!AC$5)</f>
        <v>0</v>
      </c>
      <c r="AD123" s="229">
        <f>SUMIFS([1]!Data_BS[Value],[1]!Data_BS[Index BS],'Dai Loc'!$B123,[1]!Data_BS[TenCongTyID],'Dai Loc'!$B$1,[1]!Data_BS[Thang.Nam],'Dai Loc'!AD$5)</f>
        <v>0</v>
      </c>
      <c r="AE123" s="229">
        <f>SUMIFS([1]!Data_BS[Value],[1]!Data_BS[Index BS],'Dai Loc'!$B123,[1]!Data_BS[TenCongTyID],'Dai Loc'!$B$1,[1]!Data_BS[Thang.Nam],'Dai Loc'!AE$5)</f>
        <v>0</v>
      </c>
      <c r="AF123" s="229">
        <f>SUMIFS([1]!Data_BS[Value],[1]!Data_BS[Index BS],'Dai Loc'!$B123,[1]!Data_BS[TenCongTyID],'Dai Loc'!$B$1,[1]!Data_BS[Thang.Nam],'Dai Loc'!AF$5)</f>
        <v>0</v>
      </c>
      <c r="AG123" s="229">
        <f>SUMIFS([1]!Data_BS[Value],[1]!Data_BS[Index BS],'Dai Loc'!$B123,[1]!Data_BS[TenCongTyID],'Dai Loc'!$B$1,[1]!Data_BS[Thang.Nam],'Dai Loc'!AG$5)</f>
        <v>0</v>
      </c>
      <c r="AH123" s="229">
        <f>SUMIFS([1]!Data_BS[Value],[1]!Data_BS[Index BS],'Dai Loc'!$B123,[1]!Data_BS[TenCongTyID],'Dai Loc'!$B$1,[1]!Data_BS[Thang.Nam],'Dai Loc'!AH$5)</f>
        <v>0</v>
      </c>
      <c r="AI123" s="229">
        <f>SUMIFS([1]!Data_BS[Value],[1]!Data_BS[Index BS],'Dai Loc'!$B123,[1]!Data_BS[TenCongTyID],'Dai Loc'!$B$1,[1]!Data_BS[Thang.Nam],'Dai Loc'!AI$5)</f>
        <v>0</v>
      </c>
      <c r="AJ123" s="229">
        <f>SUMIFS([1]!Data_BS[Value],[1]!Data_BS[Index BS],'Dai Loc'!$B123,[1]!Data_BS[TenCongTyID],'Dai Loc'!$B$1,[1]!Data_BS[Thang.Nam],'Dai Loc'!AJ$5)</f>
        <v>0</v>
      </c>
      <c r="AK123" s="229">
        <f>SUMIFS([1]!Data_BS[Value],[1]!Data_BS[Index BS],'Dai Loc'!$B123,[1]!Data_BS[TenCongTyID],'Dai Loc'!$B$1,[1]!Data_BS[Thang.Nam],'Dai Loc'!AK$5)</f>
        <v>0</v>
      </c>
      <c r="AL123" s="229">
        <f>SUMIFS([1]!Data_BS[Value],[1]!Data_BS[Index BS],'Dai Loc'!$B123,[1]!Data_BS[TenCongTyID],'Dai Loc'!$B$1,[1]!Data_BS[Thang.Nam],'Dai Loc'!AL$5)</f>
        <v>0</v>
      </c>
    </row>
    <row r="124" spans="1:38" ht="15" hidden="1" customHeight="1" outlineLevel="1">
      <c r="A124" s="67" t="s">
        <v>208</v>
      </c>
      <c r="B124" s="63">
        <v>119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Z124" s="229">
        <v>0</v>
      </c>
      <c r="AA124" s="229">
        <f>SUMIFS([1]!Data_BS[Value],[1]!Data_BS[Index BS],'Dai Loc'!$B124,[1]!Data_BS[TenCongTyID],'Dai Loc'!$B$1,[1]!Data_BS[Thang.Nam],'Dai Loc'!AA$5)</f>
        <v>0</v>
      </c>
      <c r="AB124" s="229">
        <f>SUMIFS([1]!Data_BS[Value],[1]!Data_BS[Index BS],'Dai Loc'!$B124,[1]!Data_BS[TenCongTyID],'Dai Loc'!$B$1,[1]!Data_BS[Thang.Nam],'Dai Loc'!AB$5)</f>
        <v>0</v>
      </c>
      <c r="AC124" s="229">
        <f>SUMIFS([1]!Data_BS[Value],[1]!Data_BS[Index BS],'Dai Loc'!$B124,[1]!Data_BS[TenCongTyID],'Dai Loc'!$B$1,[1]!Data_BS[Thang.Nam],'Dai Loc'!AC$5)</f>
        <v>0</v>
      </c>
      <c r="AD124" s="229">
        <f>SUMIFS([1]!Data_BS[Value],[1]!Data_BS[Index BS],'Dai Loc'!$B124,[1]!Data_BS[TenCongTyID],'Dai Loc'!$B$1,[1]!Data_BS[Thang.Nam],'Dai Loc'!AD$5)</f>
        <v>0</v>
      </c>
      <c r="AE124" s="229">
        <f>SUMIFS([1]!Data_BS[Value],[1]!Data_BS[Index BS],'Dai Loc'!$B124,[1]!Data_BS[TenCongTyID],'Dai Loc'!$B$1,[1]!Data_BS[Thang.Nam],'Dai Loc'!AE$5)</f>
        <v>0</v>
      </c>
      <c r="AF124" s="229">
        <f>SUMIFS([1]!Data_BS[Value],[1]!Data_BS[Index BS],'Dai Loc'!$B124,[1]!Data_BS[TenCongTyID],'Dai Loc'!$B$1,[1]!Data_BS[Thang.Nam],'Dai Loc'!AF$5)</f>
        <v>0</v>
      </c>
      <c r="AG124" s="229">
        <f>SUMIFS([1]!Data_BS[Value],[1]!Data_BS[Index BS],'Dai Loc'!$B124,[1]!Data_BS[TenCongTyID],'Dai Loc'!$B$1,[1]!Data_BS[Thang.Nam],'Dai Loc'!AG$5)</f>
        <v>0</v>
      </c>
      <c r="AH124" s="229">
        <f>SUMIFS([1]!Data_BS[Value],[1]!Data_BS[Index BS],'Dai Loc'!$B124,[1]!Data_BS[TenCongTyID],'Dai Loc'!$B$1,[1]!Data_BS[Thang.Nam],'Dai Loc'!AH$5)</f>
        <v>0</v>
      </c>
      <c r="AI124" s="229">
        <f>SUMIFS([1]!Data_BS[Value],[1]!Data_BS[Index BS],'Dai Loc'!$B124,[1]!Data_BS[TenCongTyID],'Dai Loc'!$B$1,[1]!Data_BS[Thang.Nam],'Dai Loc'!AI$5)</f>
        <v>0</v>
      </c>
      <c r="AJ124" s="229">
        <f>SUMIFS([1]!Data_BS[Value],[1]!Data_BS[Index BS],'Dai Loc'!$B124,[1]!Data_BS[TenCongTyID],'Dai Loc'!$B$1,[1]!Data_BS[Thang.Nam],'Dai Loc'!AJ$5)</f>
        <v>0</v>
      </c>
      <c r="AK124" s="229">
        <f>SUMIFS([1]!Data_BS[Value],[1]!Data_BS[Index BS],'Dai Loc'!$B124,[1]!Data_BS[TenCongTyID],'Dai Loc'!$B$1,[1]!Data_BS[Thang.Nam],'Dai Loc'!AK$5)</f>
        <v>0</v>
      </c>
      <c r="AL124" s="229">
        <f>SUMIFS([1]!Data_BS[Value],[1]!Data_BS[Index BS],'Dai Loc'!$B124,[1]!Data_BS[TenCongTyID],'Dai Loc'!$B$1,[1]!Data_BS[Thang.Nam],'Dai Loc'!AL$5)</f>
        <v>0</v>
      </c>
    </row>
    <row r="125" spans="1:38" ht="15" hidden="1" customHeight="1" outlineLevel="1">
      <c r="A125" s="67" t="s">
        <v>209</v>
      </c>
      <c r="B125" s="63">
        <v>120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>
        <v>0</v>
      </c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>
        <v>0</v>
      </c>
      <c r="X125" s="229">
        <v>0</v>
      </c>
      <c r="Y125" s="229">
        <v>0</v>
      </c>
      <c r="Z125" s="229">
        <v>0</v>
      </c>
      <c r="AA125" s="229">
        <f>SUMIFS([1]!Data_BS[Value],[1]!Data_BS[Index BS],'Dai Loc'!$B125,[1]!Data_BS[TenCongTyID],'Dai Loc'!$B$1,[1]!Data_BS[Thang.Nam],'Dai Loc'!AA$5)</f>
        <v>0</v>
      </c>
      <c r="AB125" s="229">
        <f>SUMIFS([1]!Data_BS[Value],[1]!Data_BS[Index BS],'Dai Loc'!$B125,[1]!Data_BS[TenCongTyID],'Dai Loc'!$B$1,[1]!Data_BS[Thang.Nam],'Dai Loc'!AB$5)</f>
        <v>0</v>
      </c>
      <c r="AC125" s="229">
        <f>SUMIFS([1]!Data_BS[Value],[1]!Data_BS[Index BS],'Dai Loc'!$B125,[1]!Data_BS[TenCongTyID],'Dai Loc'!$B$1,[1]!Data_BS[Thang.Nam],'Dai Loc'!AC$5)</f>
        <v>0</v>
      </c>
      <c r="AD125" s="229">
        <f>SUMIFS([1]!Data_BS[Value],[1]!Data_BS[Index BS],'Dai Loc'!$B125,[1]!Data_BS[TenCongTyID],'Dai Loc'!$B$1,[1]!Data_BS[Thang.Nam],'Dai Loc'!AD$5)</f>
        <v>0</v>
      </c>
      <c r="AE125" s="229">
        <f>SUMIFS([1]!Data_BS[Value],[1]!Data_BS[Index BS],'Dai Loc'!$B125,[1]!Data_BS[TenCongTyID],'Dai Loc'!$B$1,[1]!Data_BS[Thang.Nam],'Dai Loc'!AE$5)</f>
        <v>0</v>
      </c>
      <c r="AF125" s="229">
        <f>SUMIFS([1]!Data_BS[Value],[1]!Data_BS[Index BS],'Dai Loc'!$B125,[1]!Data_BS[TenCongTyID],'Dai Loc'!$B$1,[1]!Data_BS[Thang.Nam],'Dai Loc'!AF$5)</f>
        <v>0</v>
      </c>
      <c r="AG125" s="229">
        <f>SUMIFS([1]!Data_BS[Value],[1]!Data_BS[Index BS],'Dai Loc'!$B125,[1]!Data_BS[TenCongTyID],'Dai Loc'!$B$1,[1]!Data_BS[Thang.Nam],'Dai Loc'!AG$5)</f>
        <v>0</v>
      </c>
      <c r="AH125" s="229">
        <f>SUMIFS([1]!Data_BS[Value],[1]!Data_BS[Index BS],'Dai Loc'!$B125,[1]!Data_BS[TenCongTyID],'Dai Loc'!$B$1,[1]!Data_BS[Thang.Nam],'Dai Loc'!AH$5)</f>
        <v>0</v>
      </c>
      <c r="AI125" s="229">
        <f>SUMIFS([1]!Data_BS[Value],[1]!Data_BS[Index BS],'Dai Loc'!$B125,[1]!Data_BS[TenCongTyID],'Dai Loc'!$B$1,[1]!Data_BS[Thang.Nam],'Dai Loc'!AI$5)</f>
        <v>0</v>
      </c>
      <c r="AJ125" s="229">
        <f>SUMIFS([1]!Data_BS[Value],[1]!Data_BS[Index BS],'Dai Loc'!$B125,[1]!Data_BS[TenCongTyID],'Dai Loc'!$B$1,[1]!Data_BS[Thang.Nam],'Dai Loc'!AJ$5)</f>
        <v>0</v>
      </c>
      <c r="AK125" s="229">
        <f>SUMIFS([1]!Data_BS[Value],[1]!Data_BS[Index BS],'Dai Loc'!$B125,[1]!Data_BS[TenCongTyID],'Dai Loc'!$B$1,[1]!Data_BS[Thang.Nam],'Dai Loc'!AK$5)</f>
        <v>0</v>
      </c>
      <c r="AL125" s="229">
        <f>SUMIFS([1]!Data_BS[Value],[1]!Data_BS[Index BS],'Dai Loc'!$B125,[1]!Data_BS[TenCongTyID],'Dai Loc'!$B$1,[1]!Data_BS[Thang.Nam],'Dai Loc'!AL$5)</f>
        <v>0</v>
      </c>
    </row>
    <row r="126" spans="1:38" ht="15" hidden="1" customHeight="1" outlineLevel="1">
      <c r="A126" s="67" t="s">
        <v>210</v>
      </c>
      <c r="B126" s="63">
        <v>121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>
        <v>0</v>
      </c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>
        <v>0</v>
      </c>
      <c r="X126" s="229">
        <v>0</v>
      </c>
      <c r="Y126" s="229">
        <v>0</v>
      </c>
      <c r="Z126" s="229">
        <v>0</v>
      </c>
      <c r="AA126" s="229">
        <f>SUMIFS([1]!Data_BS[Value],[1]!Data_BS[Index BS],'Dai Loc'!$B126,[1]!Data_BS[TenCongTyID],'Dai Loc'!$B$1,[1]!Data_BS[Thang.Nam],'Dai Loc'!AA$5)</f>
        <v>0</v>
      </c>
      <c r="AB126" s="229">
        <f>SUMIFS([1]!Data_BS[Value],[1]!Data_BS[Index BS],'Dai Loc'!$B126,[1]!Data_BS[TenCongTyID],'Dai Loc'!$B$1,[1]!Data_BS[Thang.Nam],'Dai Loc'!AB$5)</f>
        <v>0</v>
      </c>
      <c r="AC126" s="229">
        <f>SUMIFS([1]!Data_BS[Value],[1]!Data_BS[Index BS],'Dai Loc'!$B126,[1]!Data_BS[TenCongTyID],'Dai Loc'!$B$1,[1]!Data_BS[Thang.Nam],'Dai Loc'!AC$5)</f>
        <v>0</v>
      </c>
      <c r="AD126" s="229">
        <f>SUMIFS([1]!Data_BS[Value],[1]!Data_BS[Index BS],'Dai Loc'!$B126,[1]!Data_BS[TenCongTyID],'Dai Loc'!$B$1,[1]!Data_BS[Thang.Nam],'Dai Loc'!AD$5)</f>
        <v>0</v>
      </c>
      <c r="AE126" s="229">
        <f>SUMIFS([1]!Data_BS[Value],[1]!Data_BS[Index BS],'Dai Loc'!$B126,[1]!Data_BS[TenCongTyID],'Dai Loc'!$B$1,[1]!Data_BS[Thang.Nam],'Dai Loc'!AE$5)</f>
        <v>0</v>
      </c>
      <c r="AF126" s="229">
        <f>SUMIFS([1]!Data_BS[Value],[1]!Data_BS[Index BS],'Dai Loc'!$B126,[1]!Data_BS[TenCongTyID],'Dai Loc'!$B$1,[1]!Data_BS[Thang.Nam],'Dai Loc'!AF$5)</f>
        <v>0</v>
      </c>
      <c r="AG126" s="229">
        <f>SUMIFS([1]!Data_BS[Value],[1]!Data_BS[Index BS],'Dai Loc'!$B126,[1]!Data_BS[TenCongTyID],'Dai Loc'!$B$1,[1]!Data_BS[Thang.Nam],'Dai Loc'!AG$5)</f>
        <v>0</v>
      </c>
      <c r="AH126" s="229">
        <f>SUMIFS([1]!Data_BS[Value],[1]!Data_BS[Index BS],'Dai Loc'!$B126,[1]!Data_BS[TenCongTyID],'Dai Loc'!$B$1,[1]!Data_BS[Thang.Nam],'Dai Loc'!AH$5)</f>
        <v>0</v>
      </c>
      <c r="AI126" s="229">
        <f>SUMIFS([1]!Data_BS[Value],[1]!Data_BS[Index BS],'Dai Loc'!$B126,[1]!Data_BS[TenCongTyID],'Dai Loc'!$B$1,[1]!Data_BS[Thang.Nam],'Dai Loc'!AI$5)</f>
        <v>0</v>
      </c>
      <c r="AJ126" s="229">
        <f>SUMIFS([1]!Data_BS[Value],[1]!Data_BS[Index BS],'Dai Loc'!$B126,[1]!Data_BS[TenCongTyID],'Dai Loc'!$B$1,[1]!Data_BS[Thang.Nam],'Dai Loc'!AJ$5)</f>
        <v>0</v>
      </c>
      <c r="AK126" s="229">
        <f>SUMIFS([1]!Data_BS[Value],[1]!Data_BS[Index BS],'Dai Loc'!$B126,[1]!Data_BS[TenCongTyID],'Dai Loc'!$B$1,[1]!Data_BS[Thang.Nam],'Dai Loc'!AK$5)</f>
        <v>0</v>
      </c>
      <c r="AL126" s="229">
        <f>SUMIFS([1]!Data_BS[Value],[1]!Data_BS[Index BS],'Dai Loc'!$B126,[1]!Data_BS[TenCongTyID],'Dai Loc'!$B$1,[1]!Data_BS[Thang.Nam],'Dai Loc'!AL$5)</f>
        <v>0</v>
      </c>
    </row>
    <row r="127" spans="1:38" ht="15" hidden="1" customHeight="1" outlineLevel="1">
      <c r="A127" s="67" t="s">
        <v>211</v>
      </c>
      <c r="B127" s="63">
        <v>122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Z127" s="229">
        <v>0</v>
      </c>
      <c r="AA127" s="229">
        <f>SUMIFS([1]!Data_BS[Value],[1]!Data_BS[Index BS],'Dai Loc'!$B127,[1]!Data_BS[TenCongTyID],'Dai Loc'!$B$1,[1]!Data_BS[Thang.Nam],'Dai Loc'!AA$5)</f>
        <v>0</v>
      </c>
      <c r="AB127" s="229">
        <f>SUMIFS([1]!Data_BS[Value],[1]!Data_BS[Index BS],'Dai Loc'!$B127,[1]!Data_BS[TenCongTyID],'Dai Loc'!$B$1,[1]!Data_BS[Thang.Nam],'Dai Loc'!AB$5)</f>
        <v>0</v>
      </c>
      <c r="AC127" s="229">
        <f>SUMIFS([1]!Data_BS[Value],[1]!Data_BS[Index BS],'Dai Loc'!$B127,[1]!Data_BS[TenCongTyID],'Dai Loc'!$B$1,[1]!Data_BS[Thang.Nam],'Dai Loc'!AC$5)</f>
        <v>0</v>
      </c>
      <c r="AD127" s="229">
        <f>SUMIFS([1]!Data_BS[Value],[1]!Data_BS[Index BS],'Dai Loc'!$B127,[1]!Data_BS[TenCongTyID],'Dai Loc'!$B$1,[1]!Data_BS[Thang.Nam],'Dai Loc'!AD$5)</f>
        <v>0</v>
      </c>
      <c r="AE127" s="229">
        <f>SUMIFS([1]!Data_BS[Value],[1]!Data_BS[Index BS],'Dai Loc'!$B127,[1]!Data_BS[TenCongTyID],'Dai Loc'!$B$1,[1]!Data_BS[Thang.Nam],'Dai Loc'!AE$5)</f>
        <v>0</v>
      </c>
      <c r="AF127" s="229">
        <f>SUMIFS([1]!Data_BS[Value],[1]!Data_BS[Index BS],'Dai Loc'!$B127,[1]!Data_BS[TenCongTyID],'Dai Loc'!$B$1,[1]!Data_BS[Thang.Nam],'Dai Loc'!AF$5)</f>
        <v>0</v>
      </c>
      <c r="AG127" s="229">
        <f>SUMIFS([1]!Data_BS[Value],[1]!Data_BS[Index BS],'Dai Loc'!$B127,[1]!Data_BS[TenCongTyID],'Dai Loc'!$B$1,[1]!Data_BS[Thang.Nam],'Dai Loc'!AG$5)</f>
        <v>0</v>
      </c>
      <c r="AH127" s="229">
        <f>SUMIFS([1]!Data_BS[Value],[1]!Data_BS[Index BS],'Dai Loc'!$B127,[1]!Data_BS[TenCongTyID],'Dai Loc'!$B$1,[1]!Data_BS[Thang.Nam],'Dai Loc'!AH$5)</f>
        <v>0</v>
      </c>
      <c r="AI127" s="229">
        <f>SUMIFS([1]!Data_BS[Value],[1]!Data_BS[Index BS],'Dai Loc'!$B127,[1]!Data_BS[TenCongTyID],'Dai Loc'!$B$1,[1]!Data_BS[Thang.Nam],'Dai Loc'!AI$5)</f>
        <v>0</v>
      </c>
      <c r="AJ127" s="229">
        <f>SUMIFS([1]!Data_BS[Value],[1]!Data_BS[Index BS],'Dai Loc'!$B127,[1]!Data_BS[TenCongTyID],'Dai Loc'!$B$1,[1]!Data_BS[Thang.Nam],'Dai Loc'!AJ$5)</f>
        <v>0</v>
      </c>
      <c r="AK127" s="229">
        <f>SUMIFS([1]!Data_BS[Value],[1]!Data_BS[Index BS],'Dai Loc'!$B127,[1]!Data_BS[TenCongTyID],'Dai Loc'!$B$1,[1]!Data_BS[Thang.Nam],'Dai Loc'!AK$5)</f>
        <v>0</v>
      </c>
      <c r="AL127" s="229">
        <f>SUMIFS([1]!Data_BS[Value],[1]!Data_BS[Index BS],'Dai Loc'!$B127,[1]!Data_BS[TenCongTyID],'Dai Loc'!$B$1,[1]!Data_BS[Thang.Nam],'Dai Loc'!AL$5)</f>
        <v>0</v>
      </c>
    </row>
    <row r="128" spans="1:38" ht="15" hidden="1" customHeight="1" outlineLevel="1">
      <c r="A128" s="86" t="s">
        <v>212</v>
      </c>
      <c r="B128" s="87">
        <v>123</v>
      </c>
      <c r="C128" s="257">
        <v>-35116662270</v>
      </c>
      <c r="D128" s="257">
        <v>-36297507130</v>
      </c>
      <c r="E128" s="257">
        <v>-36377488818</v>
      </c>
      <c r="F128" s="257">
        <v>-36947544446</v>
      </c>
      <c r="G128" s="257">
        <v>-38164159156</v>
      </c>
      <c r="H128" s="257">
        <v>-39784214361</v>
      </c>
      <c r="I128" s="257">
        <v>-40740904399</v>
      </c>
      <c r="J128" s="257">
        <v>-41674855006</v>
      </c>
      <c r="K128" s="257">
        <v>-42351073524</v>
      </c>
      <c r="L128" s="257">
        <v>-42779313725</v>
      </c>
      <c r="M128" s="257">
        <v>-43949681167</v>
      </c>
      <c r="N128" s="257">
        <v>-45202845895</v>
      </c>
      <c r="O128" s="257">
        <v>-46715450767</v>
      </c>
      <c r="P128" s="257">
        <v>-48124376195</v>
      </c>
      <c r="Q128" s="257">
        <v>-48691676055</v>
      </c>
      <c r="R128" s="257">
        <v>-49572778931</v>
      </c>
      <c r="S128" s="257">
        <v>-49378360895</v>
      </c>
      <c r="T128" s="257">
        <v>-50402912709</v>
      </c>
      <c r="U128" s="257">
        <v>-49889570268</v>
      </c>
      <c r="V128" s="257">
        <v>-49543495107</v>
      </c>
      <c r="W128" s="257">
        <v>-50206448730</v>
      </c>
      <c r="X128" s="257">
        <v>-50440542749</v>
      </c>
      <c r="Y128" s="257">
        <v>-51400017896</v>
      </c>
      <c r="Z128" s="257">
        <v>-51856534861</v>
      </c>
      <c r="AA128" s="257">
        <f>SUMIFS([1]!Data_BS[Value],[1]!Data_BS[Index BS],'Dai Loc'!$B128,[1]!Data_BS[TenCongTyID],'Dai Loc'!$B$1,[1]!Data_BS[Thang.Nam],'Dai Loc'!AA$5)</f>
        <v>0</v>
      </c>
      <c r="AB128" s="257">
        <f>SUMIFS([1]!Data_BS[Value],[1]!Data_BS[Index BS],'Dai Loc'!$B128,[1]!Data_BS[TenCongTyID],'Dai Loc'!$B$1,[1]!Data_BS[Thang.Nam],'Dai Loc'!AB$5)</f>
        <v>0</v>
      </c>
      <c r="AC128" s="257">
        <f>SUMIFS([1]!Data_BS[Value],[1]!Data_BS[Index BS],'Dai Loc'!$B128,[1]!Data_BS[TenCongTyID],'Dai Loc'!$B$1,[1]!Data_BS[Thang.Nam],'Dai Loc'!AC$5)</f>
        <v>0</v>
      </c>
      <c r="AD128" s="257">
        <f>SUMIFS([1]!Data_BS[Value],[1]!Data_BS[Index BS],'Dai Loc'!$B128,[1]!Data_BS[TenCongTyID],'Dai Loc'!$B$1,[1]!Data_BS[Thang.Nam],'Dai Loc'!AD$5)</f>
        <v>0</v>
      </c>
      <c r="AE128" s="257">
        <f>SUMIFS([1]!Data_BS[Value],[1]!Data_BS[Index BS],'Dai Loc'!$B128,[1]!Data_BS[TenCongTyID],'Dai Loc'!$B$1,[1]!Data_BS[Thang.Nam],'Dai Loc'!AE$5)</f>
        <v>0</v>
      </c>
      <c r="AF128" s="257">
        <f>SUMIFS([1]!Data_BS[Value],[1]!Data_BS[Index BS],'Dai Loc'!$B128,[1]!Data_BS[TenCongTyID],'Dai Loc'!$B$1,[1]!Data_BS[Thang.Nam],'Dai Loc'!AF$5)</f>
        <v>0</v>
      </c>
      <c r="AG128" s="257">
        <f>SUMIFS([1]!Data_BS[Value],[1]!Data_BS[Index BS],'Dai Loc'!$B128,[1]!Data_BS[TenCongTyID],'Dai Loc'!$B$1,[1]!Data_BS[Thang.Nam],'Dai Loc'!AG$5)</f>
        <v>0</v>
      </c>
      <c r="AH128" s="257">
        <f>SUMIFS([1]!Data_BS[Value],[1]!Data_BS[Index BS],'Dai Loc'!$B128,[1]!Data_BS[TenCongTyID],'Dai Loc'!$B$1,[1]!Data_BS[Thang.Nam],'Dai Loc'!AH$5)</f>
        <v>0</v>
      </c>
      <c r="AI128" s="257">
        <f>SUMIFS([1]!Data_BS[Value],[1]!Data_BS[Index BS],'Dai Loc'!$B128,[1]!Data_BS[TenCongTyID],'Dai Loc'!$B$1,[1]!Data_BS[Thang.Nam],'Dai Loc'!AI$5)</f>
        <v>0</v>
      </c>
      <c r="AJ128" s="257">
        <f>SUMIFS([1]!Data_BS[Value],[1]!Data_BS[Index BS],'Dai Loc'!$B128,[1]!Data_BS[TenCongTyID],'Dai Loc'!$B$1,[1]!Data_BS[Thang.Nam],'Dai Loc'!AJ$5)</f>
        <v>0</v>
      </c>
      <c r="AK128" s="257">
        <f>SUMIFS([1]!Data_BS[Value],[1]!Data_BS[Index BS],'Dai Loc'!$B128,[1]!Data_BS[TenCongTyID],'Dai Loc'!$B$1,[1]!Data_BS[Thang.Nam],'Dai Loc'!AK$5)</f>
        <v>0</v>
      </c>
      <c r="AL128" s="257">
        <f>SUMIFS([1]!Data_BS[Value],[1]!Data_BS[Index BS],'Dai Loc'!$B128,[1]!Data_BS[TenCongTyID],'Dai Loc'!$B$1,[1]!Data_BS[Thang.Nam],'Dai Loc'!AL$5)</f>
        <v>0</v>
      </c>
    </row>
    <row r="129" spans="1:52" ht="15" hidden="1" customHeight="1" outlineLevel="1">
      <c r="A129" s="89" t="s">
        <v>213</v>
      </c>
      <c r="B129" s="63">
        <v>124</v>
      </c>
      <c r="C129" s="229">
        <v>-32667545757</v>
      </c>
      <c r="D129" s="229">
        <v>-35116662270</v>
      </c>
      <c r="E129" s="229">
        <v>-36297507130</v>
      </c>
      <c r="F129" s="229">
        <v>-36377488818</v>
      </c>
      <c r="G129" s="229">
        <v>-36947544446</v>
      </c>
      <c r="H129" s="229">
        <v>-38164159156</v>
      </c>
      <c r="I129" s="229">
        <v>-39784214361</v>
      </c>
      <c r="J129" s="229">
        <v>-40740904399</v>
      </c>
      <c r="K129" s="229">
        <v>-41674855006</v>
      </c>
      <c r="L129" s="229">
        <v>-42351073524</v>
      </c>
      <c r="M129" s="229">
        <v>-42779313725</v>
      </c>
      <c r="N129" s="229">
        <v>-43949681167</v>
      </c>
      <c r="O129" s="229">
        <v>-45202845895</v>
      </c>
      <c r="P129" s="229">
        <v>-46715450767</v>
      </c>
      <c r="Q129" s="229">
        <v>-48124376195</v>
      </c>
      <c r="R129" s="229">
        <v>-48691676055</v>
      </c>
      <c r="S129" s="229">
        <v>-49572778931</v>
      </c>
      <c r="T129" s="229">
        <v>-49378360895</v>
      </c>
      <c r="U129" s="229">
        <v>-50402912709</v>
      </c>
      <c r="V129" s="229">
        <v>-49889570268</v>
      </c>
      <c r="W129" s="229">
        <v>-49543495107</v>
      </c>
      <c r="X129" s="229">
        <v>-50223647960</v>
      </c>
      <c r="Y129" s="229">
        <v>-50440542749</v>
      </c>
      <c r="Z129" s="229">
        <v>-51400017896</v>
      </c>
      <c r="AA129" s="229">
        <f>SUMIFS([1]!Data_BS[Value],[1]!Data_BS[Index BS],'Dai Loc'!$B129,[1]!Data_BS[TenCongTyID],'Dai Loc'!$B$1,[1]!Data_BS[Thang.Nam],'Dai Loc'!AA$5)</f>
        <v>0</v>
      </c>
      <c r="AB129" s="229">
        <f>SUMIFS([1]!Data_BS[Value],[1]!Data_BS[Index BS],'Dai Loc'!$B129,[1]!Data_BS[TenCongTyID],'Dai Loc'!$B$1,[1]!Data_BS[Thang.Nam],'Dai Loc'!AB$5)</f>
        <v>0</v>
      </c>
      <c r="AC129" s="229">
        <f>SUMIFS([1]!Data_BS[Value],[1]!Data_BS[Index BS],'Dai Loc'!$B129,[1]!Data_BS[TenCongTyID],'Dai Loc'!$B$1,[1]!Data_BS[Thang.Nam],'Dai Loc'!AC$5)</f>
        <v>0</v>
      </c>
      <c r="AD129" s="229">
        <f>SUMIFS([1]!Data_BS[Value],[1]!Data_BS[Index BS],'Dai Loc'!$B129,[1]!Data_BS[TenCongTyID],'Dai Loc'!$B$1,[1]!Data_BS[Thang.Nam],'Dai Loc'!AD$5)</f>
        <v>0</v>
      </c>
      <c r="AE129" s="229">
        <f>SUMIFS([1]!Data_BS[Value],[1]!Data_BS[Index BS],'Dai Loc'!$B129,[1]!Data_BS[TenCongTyID],'Dai Loc'!$B$1,[1]!Data_BS[Thang.Nam],'Dai Loc'!AE$5)</f>
        <v>0</v>
      </c>
      <c r="AF129" s="229">
        <f>SUMIFS([1]!Data_BS[Value],[1]!Data_BS[Index BS],'Dai Loc'!$B129,[1]!Data_BS[TenCongTyID],'Dai Loc'!$B$1,[1]!Data_BS[Thang.Nam],'Dai Loc'!AF$5)</f>
        <v>0</v>
      </c>
      <c r="AG129" s="229">
        <f>SUMIFS([1]!Data_BS[Value],[1]!Data_BS[Index BS],'Dai Loc'!$B129,[1]!Data_BS[TenCongTyID],'Dai Loc'!$B$1,[1]!Data_BS[Thang.Nam],'Dai Loc'!AG$5)</f>
        <v>0</v>
      </c>
      <c r="AH129" s="229">
        <f>SUMIFS([1]!Data_BS[Value],[1]!Data_BS[Index BS],'Dai Loc'!$B129,[1]!Data_BS[TenCongTyID],'Dai Loc'!$B$1,[1]!Data_BS[Thang.Nam],'Dai Loc'!AH$5)</f>
        <v>0</v>
      </c>
      <c r="AI129" s="229">
        <f>SUMIFS([1]!Data_BS[Value],[1]!Data_BS[Index BS],'Dai Loc'!$B129,[1]!Data_BS[TenCongTyID],'Dai Loc'!$B$1,[1]!Data_BS[Thang.Nam],'Dai Loc'!AI$5)</f>
        <v>0</v>
      </c>
      <c r="AJ129" s="229">
        <f>SUMIFS([1]!Data_BS[Value],[1]!Data_BS[Index BS],'Dai Loc'!$B129,[1]!Data_BS[TenCongTyID],'Dai Loc'!$B$1,[1]!Data_BS[Thang.Nam],'Dai Loc'!AJ$5)</f>
        <v>0</v>
      </c>
      <c r="AK129" s="229">
        <f>SUMIFS([1]!Data_BS[Value],[1]!Data_BS[Index BS],'Dai Loc'!$B129,[1]!Data_BS[TenCongTyID],'Dai Loc'!$B$1,[1]!Data_BS[Thang.Nam],'Dai Loc'!AK$5)</f>
        <v>0</v>
      </c>
      <c r="AL129" s="229">
        <f>SUMIFS([1]!Data_BS[Value],[1]!Data_BS[Index BS],'Dai Loc'!$B129,[1]!Data_BS[TenCongTyID],'Dai Loc'!$B$1,[1]!Data_BS[Thang.Nam],'Dai Loc'!AL$5)</f>
        <v>0</v>
      </c>
    </row>
    <row r="130" spans="1:52" ht="15" hidden="1" customHeight="1" outlineLevel="1">
      <c r="A130" s="89" t="s">
        <v>214</v>
      </c>
      <c r="B130" s="63">
        <v>125</v>
      </c>
      <c r="C130" s="229">
        <v>-2449116513</v>
      </c>
      <c r="D130" s="229">
        <v>-1180844860</v>
      </c>
      <c r="E130" s="229">
        <v>-79981688</v>
      </c>
      <c r="F130" s="229">
        <v>-570055628</v>
      </c>
      <c r="G130" s="229">
        <v>-1216614710</v>
      </c>
      <c r="H130" s="229">
        <v>-1620055205</v>
      </c>
      <c r="I130" s="229">
        <v>-956690038</v>
      </c>
      <c r="J130" s="229">
        <v>-933950607</v>
      </c>
      <c r="K130" s="229">
        <v>-676218518</v>
      </c>
      <c r="L130" s="229">
        <v>-428240201</v>
      </c>
      <c r="M130" s="229">
        <v>-1170367442</v>
      </c>
      <c r="N130" s="229">
        <v>-1253164728</v>
      </c>
      <c r="O130" s="229">
        <v>-1512604872</v>
      </c>
      <c r="P130" s="229">
        <v>-1408925428</v>
      </c>
      <c r="Q130" s="229">
        <v>-567299860</v>
      </c>
      <c r="R130" s="229">
        <v>-881102876</v>
      </c>
      <c r="S130" s="229">
        <v>194418036</v>
      </c>
      <c r="T130" s="229">
        <v>-1024551814</v>
      </c>
      <c r="U130" s="229">
        <v>513342441</v>
      </c>
      <c r="V130" s="229">
        <v>346075161</v>
      </c>
      <c r="W130" s="229">
        <v>-662953623</v>
      </c>
      <c r="X130" s="229">
        <v>-216894789</v>
      </c>
      <c r="Y130" s="229">
        <v>-959475147</v>
      </c>
      <c r="Z130" s="229">
        <v>-456516965</v>
      </c>
      <c r="AA130" s="229">
        <f>SUMIFS([1]!Data_BS[Value],[1]!Data_BS[Index BS],'Dai Loc'!$B130,[1]!Data_BS[TenCongTyID],'Dai Loc'!$B$1,[1]!Data_BS[Thang.Nam],'Dai Loc'!AA$5)</f>
        <v>0</v>
      </c>
      <c r="AB130" s="229">
        <f>SUMIFS([1]!Data_BS[Value],[1]!Data_BS[Index BS],'Dai Loc'!$B130,[1]!Data_BS[TenCongTyID],'Dai Loc'!$B$1,[1]!Data_BS[Thang.Nam],'Dai Loc'!AB$5)</f>
        <v>0</v>
      </c>
      <c r="AC130" s="229">
        <f>SUMIFS([1]!Data_BS[Value],[1]!Data_BS[Index BS],'Dai Loc'!$B130,[1]!Data_BS[TenCongTyID],'Dai Loc'!$B$1,[1]!Data_BS[Thang.Nam],'Dai Loc'!AC$5)</f>
        <v>0</v>
      </c>
      <c r="AD130" s="229">
        <f>SUMIFS([1]!Data_BS[Value],[1]!Data_BS[Index BS],'Dai Loc'!$B130,[1]!Data_BS[TenCongTyID],'Dai Loc'!$B$1,[1]!Data_BS[Thang.Nam],'Dai Loc'!AD$5)</f>
        <v>0</v>
      </c>
      <c r="AE130" s="229">
        <f>SUMIFS([1]!Data_BS[Value],[1]!Data_BS[Index BS],'Dai Loc'!$B130,[1]!Data_BS[TenCongTyID],'Dai Loc'!$B$1,[1]!Data_BS[Thang.Nam],'Dai Loc'!AE$5)</f>
        <v>0</v>
      </c>
      <c r="AF130" s="229">
        <f>SUMIFS([1]!Data_BS[Value],[1]!Data_BS[Index BS],'Dai Loc'!$B130,[1]!Data_BS[TenCongTyID],'Dai Loc'!$B$1,[1]!Data_BS[Thang.Nam],'Dai Loc'!AF$5)</f>
        <v>0</v>
      </c>
      <c r="AG130" s="229">
        <f>SUMIFS([1]!Data_BS[Value],[1]!Data_BS[Index BS],'Dai Loc'!$B130,[1]!Data_BS[TenCongTyID],'Dai Loc'!$B$1,[1]!Data_BS[Thang.Nam],'Dai Loc'!AG$5)</f>
        <v>0</v>
      </c>
      <c r="AH130" s="229">
        <f>SUMIFS([1]!Data_BS[Value],[1]!Data_BS[Index BS],'Dai Loc'!$B130,[1]!Data_BS[TenCongTyID],'Dai Loc'!$B$1,[1]!Data_BS[Thang.Nam],'Dai Loc'!AH$5)</f>
        <v>0</v>
      </c>
      <c r="AI130" s="229">
        <f>SUMIFS([1]!Data_BS[Value],[1]!Data_BS[Index BS],'Dai Loc'!$B130,[1]!Data_BS[TenCongTyID],'Dai Loc'!$B$1,[1]!Data_BS[Thang.Nam],'Dai Loc'!AI$5)</f>
        <v>0</v>
      </c>
      <c r="AJ130" s="229">
        <f>SUMIFS([1]!Data_BS[Value],[1]!Data_BS[Index BS],'Dai Loc'!$B130,[1]!Data_BS[TenCongTyID],'Dai Loc'!$B$1,[1]!Data_BS[Thang.Nam],'Dai Loc'!AJ$5)</f>
        <v>0</v>
      </c>
      <c r="AK130" s="229">
        <f>SUMIFS([1]!Data_BS[Value],[1]!Data_BS[Index BS],'Dai Loc'!$B130,[1]!Data_BS[TenCongTyID],'Dai Loc'!$B$1,[1]!Data_BS[Thang.Nam],'Dai Loc'!AK$5)</f>
        <v>0</v>
      </c>
      <c r="AL130" s="229">
        <f>SUMIFS([1]!Data_BS[Value],[1]!Data_BS[Index BS],'Dai Loc'!$B130,[1]!Data_BS[TenCongTyID],'Dai Loc'!$B$1,[1]!Data_BS[Thang.Nam],'Dai Loc'!AL$5)</f>
        <v>0</v>
      </c>
    </row>
    <row r="131" spans="1:52" s="264" customFormat="1" ht="15" hidden="1" customHeight="1" outlineLevel="1">
      <c r="A131" s="91" t="s">
        <v>215</v>
      </c>
      <c r="B131" s="92">
        <v>126</v>
      </c>
      <c r="C131" s="260">
        <v>63730957256</v>
      </c>
      <c r="D131" s="260">
        <v>62014978803</v>
      </c>
      <c r="E131" s="260">
        <v>52392417486</v>
      </c>
      <c r="F131" s="260">
        <v>52476456277</v>
      </c>
      <c r="G131" s="260">
        <v>49950295088</v>
      </c>
      <c r="H131" s="260">
        <v>46713473924</v>
      </c>
      <c r="I131" s="260">
        <v>43677045941</v>
      </c>
      <c r="J131" s="260">
        <v>43914856538</v>
      </c>
      <c r="K131" s="260">
        <v>44738490704</v>
      </c>
      <c r="L131" s="260">
        <v>45380812277</v>
      </c>
      <c r="M131" s="260">
        <v>45622961818</v>
      </c>
      <c r="N131" s="261">
        <v>38908743599</v>
      </c>
      <c r="O131" s="261">
        <v>41951067878</v>
      </c>
      <c r="P131" s="261">
        <v>42465364195</v>
      </c>
      <c r="Q131" s="261">
        <v>39683434854</v>
      </c>
      <c r="R131" s="261">
        <v>39611366318</v>
      </c>
      <c r="S131" s="261">
        <v>40619415109</v>
      </c>
      <c r="T131" s="261">
        <v>39448078731</v>
      </c>
      <c r="U131" s="261">
        <v>48006675307</v>
      </c>
      <c r="V131" s="261">
        <v>49409499856</v>
      </c>
      <c r="W131" s="261">
        <f>+W116+W84</f>
        <v>45988992861</v>
      </c>
      <c r="X131" s="261">
        <v>43616642902</v>
      </c>
      <c r="Y131" s="261">
        <v>39778651932</v>
      </c>
      <c r="Z131" s="261">
        <v>37556242427</v>
      </c>
      <c r="AA131" s="261">
        <f>SUMIFS([1]!Data_BS[Value],[1]!Data_BS[Index BS],'Dai Loc'!$B131,[1]!Data_BS[TenCongTyID],'Dai Loc'!$B$1,[1]!Data_BS[Thang.Nam],'Dai Loc'!AA$5)</f>
        <v>0</v>
      </c>
      <c r="AB131" s="261">
        <f>SUMIFS([1]!Data_BS[Value],[1]!Data_BS[Index BS],'Dai Loc'!$B131,[1]!Data_BS[TenCongTyID],'Dai Loc'!$B$1,[1]!Data_BS[Thang.Nam],'Dai Loc'!AB$5)</f>
        <v>0</v>
      </c>
      <c r="AC131" s="261">
        <f>SUMIFS([1]!Data_BS[Value],[1]!Data_BS[Index BS],'Dai Loc'!$B131,[1]!Data_BS[TenCongTyID],'Dai Loc'!$B$1,[1]!Data_BS[Thang.Nam],'Dai Loc'!AC$5)</f>
        <v>0</v>
      </c>
      <c r="AD131" s="261">
        <f>SUMIFS([1]!Data_BS[Value],[1]!Data_BS[Index BS],'Dai Loc'!$B131,[1]!Data_BS[TenCongTyID],'Dai Loc'!$B$1,[1]!Data_BS[Thang.Nam],'Dai Loc'!AD$5)</f>
        <v>0</v>
      </c>
      <c r="AE131" s="261">
        <f>SUMIFS([1]!Data_BS[Value],[1]!Data_BS[Index BS],'Dai Loc'!$B131,[1]!Data_BS[TenCongTyID],'Dai Loc'!$B$1,[1]!Data_BS[Thang.Nam],'Dai Loc'!AE$5)</f>
        <v>0</v>
      </c>
      <c r="AF131" s="261">
        <f>SUMIFS([1]!Data_BS[Value],[1]!Data_BS[Index BS],'Dai Loc'!$B131,[1]!Data_BS[TenCongTyID],'Dai Loc'!$B$1,[1]!Data_BS[Thang.Nam],'Dai Loc'!AF$5)</f>
        <v>0</v>
      </c>
      <c r="AG131" s="261">
        <f>SUMIFS([1]!Data_BS[Value],[1]!Data_BS[Index BS],'Dai Loc'!$B131,[1]!Data_BS[TenCongTyID],'Dai Loc'!$B$1,[1]!Data_BS[Thang.Nam],'Dai Loc'!AG$5)</f>
        <v>0</v>
      </c>
      <c r="AH131" s="261">
        <f>SUMIFS([1]!Data_BS[Value],[1]!Data_BS[Index BS],'Dai Loc'!$B131,[1]!Data_BS[TenCongTyID],'Dai Loc'!$B$1,[1]!Data_BS[Thang.Nam],'Dai Loc'!AH$5)</f>
        <v>0</v>
      </c>
      <c r="AI131" s="261">
        <f>SUMIFS([1]!Data_BS[Value],[1]!Data_BS[Index BS],'Dai Loc'!$B131,[1]!Data_BS[TenCongTyID],'Dai Loc'!$B$1,[1]!Data_BS[Thang.Nam],'Dai Loc'!AI$5)</f>
        <v>0</v>
      </c>
      <c r="AJ131" s="261">
        <f>SUMIFS([1]!Data_BS[Value],[1]!Data_BS[Index BS],'Dai Loc'!$B131,[1]!Data_BS[TenCongTyID],'Dai Loc'!$B$1,[1]!Data_BS[Thang.Nam],'Dai Loc'!AJ$5)</f>
        <v>0</v>
      </c>
      <c r="AK131" s="261">
        <f>SUMIFS([1]!Data_BS[Value],[1]!Data_BS[Index BS],'Dai Loc'!$B131,[1]!Data_BS[TenCongTyID],'Dai Loc'!$B$1,[1]!Data_BS[Thang.Nam],'Dai Loc'!AK$5)</f>
        <v>0</v>
      </c>
      <c r="AL131" s="261">
        <f>SUMIFS([1]!Data_BS[Value],[1]!Data_BS[Index BS],'Dai Loc'!$B131,[1]!Data_BS[TenCongTyID],'Dai Loc'!$B$1,[1]!Data_BS[Thang.Nam],'Dai Loc'!AL$5)</f>
        <v>0</v>
      </c>
      <c r="AN131" s="43"/>
    </row>
    <row r="132" spans="1:52" ht="15" customHeight="1">
      <c r="A132" s="94"/>
      <c r="B132" s="95"/>
      <c r="C132" s="95">
        <f t="shared" ref="C132:Y132" si="2">C131-C83</f>
        <v>0</v>
      </c>
      <c r="D132" s="95">
        <f t="shared" si="2"/>
        <v>0</v>
      </c>
      <c r="E132" s="95">
        <f t="shared" si="2"/>
        <v>0</v>
      </c>
      <c r="F132" s="95">
        <f t="shared" si="2"/>
        <v>0</v>
      </c>
      <c r="G132" s="95">
        <f t="shared" si="2"/>
        <v>0</v>
      </c>
      <c r="H132" s="95">
        <f t="shared" si="2"/>
        <v>0</v>
      </c>
      <c r="I132" s="265">
        <f t="shared" si="2"/>
        <v>0</v>
      </c>
      <c r="J132" s="265">
        <f t="shared" si="2"/>
        <v>0</v>
      </c>
      <c r="K132" s="265">
        <f t="shared" si="2"/>
        <v>0</v>
      </c>
      <c r="L132" s="265">
        <f t="shared" si="2"/>
        <v>0</v>
      </c>
      <c r="M132" s="265">
        <f t="shared" si="2"/>
        <v>0</v>
      </c>
      <c r="N132" s="265">
        <f t="shared" si="2"/>
        <v>0</v>
      </c>
      <c r="O132" s="265">
        <f t="shared" si="2"/>
        <v>0</v>
      </c>
      <c r="P132" s="265">
        <f t="shared" si="2"/>
        <v>0</v>
      </c>
      <c r="Q132" s="265">
        <f t="shared" si="2"/>
        <v>0</v>
      </c>
      <c r="R132" s="265">
        <f t="shared" si="2"/>
        <v>0</v>
      </c>
      <c r="S132" s="265">
        <f t="shared" si="2"/>
        <v>0</v>
      </c>
      <c r="T132" s="265">
        <f t="shared" si="2"/>
        <v>0</v>
      </c>
      <c r="U132" s="265">
        <f t="shared" si="2"/>
        <v>0</v>
      </c>
      <c r="V132" s="265">
        <f t="shared" si="2"/>
        <v>0</v>
      </c>
      <c r="W132" s="265">
        <f t="shared" si="2"/>
        <v>0</v>
      </c>
      <c r="X132" s="265">
        <f t="shared" si="2"/>
        <v>0</v>
      </c>
      <c r="Y132" s="265">
        <f t="shared" si="2"/>
        <v>0</v>
      </c>
      <c r="Z132" s="265">
        <v>0</v>
      </c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">
        <v>66</v>
      </c>
      <c r="D133" s="101" t="s">
        <v>67</v>
      </c>
      <c r="E133" s="101" t="s">
        <v>68</v>
      </c>
      <c r="F133" s="101" t="s">
        <v>69</v>
      </c>
      <c r="G133" s="101" t="s">
        <v>70</v>
      </c>
      <c r="H133" s="101" t="s">
        <v>71</v>
      </c>
      <c r="I133" s="101" t="s">
        <v>72</v>
      </c>
      <c r="J133" s="101" t="s">
        <v>73</v>
      </c>
      <c r="K133" s="101" t="s">
        <v>74</v>
      </c>
      <c r="L133" s="101" t="s">
        <v>75</v>
      </c>
      <c r="M133" s="101" t="s">
        <v>76</v>
      </c>
      <c r="N133" s="101" t="s">
        <v>77</v>
      </c>
      <c r="O133" s="101" t="s">
        <v>78</v>
      </c>
      <c r="P133" s="101" t="s">
        <v>79</v>
      </c>
      <c r="Q133" s="101" t="s">
        <v>80</v>
      </c>
      <c r="R133" s="101" t="s">
        <v>81</v>
      </c>
      <c r="S133" s="101" t="s">
        <v>82</v>
      </c>
      <c r="T133" s="101" t="s">
        <v>83</v>
      </c>
      <c r="U133" s="101" t="s">
        <v>84</v>
      </c>
      <c r="V133" s="101" t="s">
        <v>85</v>
      </c>
      <c r="W133" s="101" t="s">
        <v>86</v>
      </c>
      <c r="X133" s="101" t="s">
        <v>87</v>
      </c>
      <c r="Y133" s="101" t="s">
        <v>88</v>
      </c>
      <c r="Z133" s="101" t="s">
        <v>89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212">
        <v>2026</v>
      </c>
    </row>
    <row r="134" spans="1:52" s="107" customFormat="1" ht="15" customHeight="1">
      <c r="A134" s="104" t="s">
        <v>219</v>
      </c>
      <c r="B134" s="105">
        <v>1</v>
      </c>
      <c r="C134" s="106">
        <v>938</v>
      </c>
      <c r="D134" s="268">
        <v>278</v>
      </c>
      <c r="E134" s="268">
        <v>573</v>
      </c>
      <c r="F134" s="268">
        <v>500</v>
      </c>
      <c r="G134" s="268">
        <v>507</v>
      </c>
      <c r="H134" s="268">
        <v>799</v>
      </c>
      <c r="I134" s="268">
        <v>509</v>
      </c>
      <c r="J134" s="268">
        <v>498</v>
      </c>
      <c r="K134" s="268">
        <v>551</v>
      </c>
      <c r="L134" s="268">
        <v>716</v>
      </c>
      <c r="M134" s="269">
        <v>538</v>
      </c>
      <c r="N134" s="270">
        <v>381</v>
      </c>
      <c r="O134" s="270">
        <v>304</v>
      </c>
      <c r="P134" s="270">
        <v>444</v>
      </c>
      <c r="Q134" s="270">
        <v>889</v>
      </c>
      <c r="R134" s="270">
        <v>785</v>
      </c>
      <c r="S134" s="270">
        <v>911</v>
      </c>
      <c r="T134" s="270">
        <v>1004</v>
      </c>
      <c r="U134" s="270">
        <v>1107.232</v>
      </c>
      <c r="V134" s="270">
        <v>1084.2270000000001</v>
      </c>
      <c r="W134" s="270">
        <v>995</v>
      </c>
      <c r="X134" s="270">
        <v>963</v>
      </c>
      <c r="Y134" s="270">
        <v>492.50400000000002</v>
      </c>
      <c r="Z134" s="270">
        <v>676</v>
      </c>
      <c r="AA134" s="272">
        <v>769.27499999999998</v>
      </c>
      <c r="AB134" s="272">
        <v>598.32500000000005</v>
      </c>
      <c r="AC134" s="272">
        <v>854.75</v>
      </c>
      <c r="AD134" s="272">
        <v>940.22500000000002</v>
      </c>
      <c r="AE134" s="272">
        <v>939.07</v>
      </c>
      <c r="AF134" s="272">
        <v>902.77</v>
      </c>
      <c r="AG134" s="272">
        <v>902.77</v>
      </c>
      <c r="AH134" s="272">
        <v>902.77</v>
      </c>
      <c r="AI134" s="272">
        <v>902.77</v>
      </c>
      <c r="AJ134" s="272">
        <v>902.77</v>
      </c>
      <c r="AK134" s="272">
        <v>902.77</v>
      </c>
      <c r="AL134" s="272">
        <v>902.77</v>
      </c>
      <c r="AM134" s="338">
        <f t="shared" ref="AM134:AM153" si="3">SUM(AA134:AL134)</f>
        <v>10421.035000000002</v>
      </c>
    </row>
    <row r="135" spans="1:52" s="107" customFormat="1" ht="15" customHeight="1">
      <c r="A135" s="108" t="s">
        <v>220</v>
      </c>
      <c r="B135" s="109">
        <v>2</v>
      </c>
      <c r="C135" s="274">
        <v>18859106420</v>
      </c>
      <c r="D135" s="274">
        <v>4569145960</v>
      </c>
      <c r="E135" s="274">
        <v>9889167500</v>
      </c>
      <c r="F135" s="274">
        <v>8988544600</v>
      </c>
      <c r="G135" s="274">
        <v>8396397250</v>
      </c>
      <c r="H135" s="274">
        <v>13981977600</v>
      </c>
      <c r="I135" s="274">
        <v>8695495766</v>
      </c>
      <c r="J135" s="274">
        <v>9066018899</v>
      </c>
      <c r="K135" s="274">
        <v>10085358702</v>
      </c>
      <c r="L135" s="274">
        <v>12770520896</v>
      </c>
      <c r="M135" s="274">
        <v>10341915406</v>
      </c>
      <c r="N135" s="274">
        <v>9052536426</v>
      </c>
      <c r="O135" s="274">
        <v>5422948492</v>
      </c>
      <c r="P135" s="274">
        <v>8810676928</v>
      </c>
      <c r="Q135" s="274">
        <v>16279256392</v>
      </c>
      <c r="R135" s="274">
        <v>14772471605</v>
      </c>
      <c r="S135" s="274">
        <v>17582066937</v>
      </c>
      <c r="T135" s="274">
        <v>19496019197</v>
      </c>
      <c r="U135" s="274">
        <v>21794142714</v>
      </c>
      <c r="V135" s="274">
        <v>20947068360</v>
      </c>
      <c r="W135" s="274">
        <v>16641507646</v>
      </c>
      <c r="X135" s="274">
        <v>14529961948</v>
      </c>
      <c r="Y135" s="274">
        <v>7374095784</v>
      </c>
      <c r="Z135" s="274">
        <v>10294667630</v>
      </c>
      <c r="AA135" s="133">
        <f>AA137</f>
        <v>11415442500</v>
      </c>
      <c r="AB135" s="133">
        <f t="shared" ref="AB135:AL135" si="4">AB137</f>
        <v>8878677500</v>
      </c>
      <c r="AC135" s="133">
        <f t="shared" si="4"/>
        <v>12683825000</v>
      </c>
      <c r="AD135" s="133">
        <f t="shared" si="4"/>
        <v>13952207500</v>
      </c>
      <c r="AE135" s="133">
        <f t="shared" si="4"/>
        <v>13934978750</v>
      </c>
      <c r="AF135" s="133">
        <f t="shared" si="4"/>
        <v>14026113750</v>
      </c>
      <c r="AG135" s="133">
        <f t="shared" si="4"/>
        <v>14026113750</v>
      </c>
      <c r="AH135" s="133">
        <f t="shared" si="4"/>
        <v>14026113750</v>
      </c>
      <c r="AI135" s="133">
        <f t="shared" si="4"/>
        <v>14026113750</v>
      </c>
      <c r="AJ135" s="133">
        <f t="shared" si="4"/>
        <v>14026113750</v>
      </c>
      <c r="AK135" s="133">
        <f t="shared" si="4"/>
        <v>14026113750</v>
      </c>
      <c r="AL135" s="133">
        <f t="shared" si="4"/>
        <v>14026113750</v>
      </c>
      <c r="AM135" s="111">
        <f t="shared" si="3"/>
        <v>159047927500</v>
      </c>
    </row>
    <row r="136" spans="1:52" s="107" customFormat="1" ht="15" customHeight="1">
      <c r="A136" s="113" t="s">
        <v>221</v>
      </c>
      <c r="B136" s="114">
        <v>3</v>
      </c>
      <c r="C136" s="277">
        <v>0</v>
      </c>
      <c r="D136" s="277">
        <v>0</v>
      </c>
      <c r="E136" s="277">
        <v>0</v>
      </c>
      <c r="F136" s="278">
        <v>0</v>
      </c>
      <c r="G136" s="278">
        <v>0</v>
      </c>
      <c r="H136" s="278">
        <v>0</v>
      </c>
      <c r="I136" s="278">
        <v>0</v>
      </c>
      <c r="J136" s="278">
        <v>0</v>
      </c>
      <c r="K136" s="278">
        <v>0</v>
      </c>
      <c r="L136" s="278">
        <v>0</v>
      </c>
      <c r="M136" s="278">
        <v>0</v>
      </c>
      <c r="N136" s="279">
        <v>0</v>
      </c>
      <c r="O136" s="279">
        <v>0</v>
      </c>
      <c r="P136" s="279">
        <v>0</v>
      </c>
      <c r="Q136" s="279">
        <v>0</v>
      </c>
      <c r="R136" s="279">
        <v>0</v>
      </c>
      <c r="S136" s="279">
        <v>0</v>
      </c>
      <c r="T136" s="279">
        <v>0</v>
      </c>
      <c r="U136" s="279">
        <v>0</v>
      </c>
      <c r="V136" s="279">
        <v>0</v>
      </c>
      <c r="W136" s="279">
        <v>0</v>
      </c>
      <c r="X136" s="279">
        <v>0</v>
      </c>
      <c r="Y136" s="279">
        <v>0</v>
      </c>
      <c r="Z136" s="279">
        <v>0</v>
      </c>
      <c r="AA136" s="280">
        <v>0</v>
      </c>
      <c r="AB136" s="133">
        <v>0</v>
      </c>
      <c r="AC136" s="133">
        <v>0</v>
      </c>
      <c r="AD136" s="133">
        <v>0</v>
      </c>
      <c r="AE136" s="133">
        <v>0</v>
      </c>
      <c r="AF136" s="133">
        <v>0</v>
      </c>
      <c r="AG136" s="133">
        <v>0</v>
      </c>
      <c r="AH136" s="133">
        <v>0</v>
      </c>
      <c r="AI136" s="133">
        <v>0</v>
      </c>
      <c r="AJ136" s="133">
        <v>0</v>
      </c>
      <c r="AK136" s="133">
        <v>0</v>
      </c>
      <c r="AL136" s="133">
        <v>0</v>
      </c>
      <c r="AM136" s="111">
        <f t="shared" si="3"/>
        <v>0</v>
      </c>
    </row>
    <row r="137" spans="1:52" s="107" customFormat="1" ht="15" customHeight="1">
      <c r="A137" s="108" t="s">
        <v>222</v>
      </c>
      <c r="B137" s="116">
        <v>4</v>
      </c>
      <c r="C137" s="281">
        <v>18859106420</v>
      </c>
      <c r="D137" s="281">
        <v>4569145960</v>
      </c>
      <c r="E137" s="281">
        <v>9889167500</v>
      </c>
      <c r="F137" s="281">
        <v>8988544600</v>
      </c>
      <c r="G137" s="281">
        <v>8396397250</v>
      </c>
      <c r="H137" s="281">
        <v>13981977600</v>
      </c>
      <c r="I137" s="281">
        <v>8695495766</v>
      </c>
      <c r="J137" s="281">
        <v>9066018899</v>
      </c>
      <c r="K137" s="281">
        <v>10085358702</v>
      </c>
      <c r="L137" s="281">
        <v>12770520896</v>
      </c>
      <c r="M137" s="281">
        <v>10341915406</v>
      </c>
      <c r="N137" s="133">
        <v>9052536426</v>
      </c>
      <c r="O137" s="133">
        <v>5422948492</v>
      </c>
      <c r="P137" s="133">
        <v>8810676928</v>
      </c>
      <c r="Q137" s="133">
        <v>16279256392</v>
      </c>
      <c r="R137" s="133">
        <v>14772471605</v>
      </c>
      <c r="S137" s="133">
        <v>17582066937</v>
      </c>
      <c r="T137" s="133">
        <v>19496019197</v>
      </c>
      <c r="U137" s="133">
        <v>21794142714</v>
      </c>
      <c r="V137" s="133">
        <v>20947068360</v>
      </c>
      <c r="W137" s="133">
        <v>16641507646</v>
      </c>
      <c r="X137" s="133">
        <v>14529961948</v>
      </c>
      <c r="Y137" s="133">
        <v>7374095784</v>
      </c>
      <c r="Z137" s="133">
        <v>10294667630</v>
      </c>
      <c r="AA137" s="132">
        <v>11415442500</v>
      </c>
      <c r="AB137" s="133">
        <v>8878677500</v>
      </c>
      <c r="AC137" s="133">
        <v>12683825000</v>
      </c>
      <c r="AD137" s="133">
        <v>13952207500</v>
      </c>
      <c r="AE137" s="133">
        <v>13934978750</v>
      </c>
      <c r="AF137" s="133">
        <v>14026113750</v>
      </c>
      <c r="AG137" s="133">
        <v>14026113750</v>
      </c>
      <c r="AH137" s="133">
        <v>14026113750</v>
      </c>
      <c r="AI137" s="133">
        <v>14026113750</v>
      </c>
      <c r="AJ137" s="133">
        <v>14026113750</v>
      </c>
      <c r="AK137" s="133">
        <v>14026113750</v>
      </c>
      <c r="AL137" s="133">
        <v>14026113750</v>
      </c>
      <c r="AM137" s="111">
        <f t="shared" si="3"/>
        <v>159047927500</v>
      </c>
    </row>
    <row r="138" spans="1:52" s="107" customFormat="1" ht="15" customHeight="1">
      <c r="A138" s="113" t="s">
        <v>223</v>
      </c>
      <c r="B138" s="118">
        <v>5</v>
      </c>
      <c r="C138" s="282">
        <v>19303813750</v>
      </c>
      <c r="D138" s="277">
        <v>5445357498</v>
      </c>
      <c r="E138" s="277">
        <v>9525099975</v>
      </c>
      <c r="F138" s="283">
        <v>9177542757</v>
      </c>
      <c r="G138" s="283">
        <v>9252785278</v>
      </c>
      <c r="H138" s="283">
        <v>15202791010</v>
      </c>
      <c r="I138" s="283">
        <v>9266546963</v>
      </c>
      <c r="J138" s="283">
        <v>9640445579</v>
      </c>
      <c r="K138" s="283">
        <v>10348331156</v>
      </c>
      <c r="L138" s="283">
        <v>12802871939</v>
      </c>
      <c r="M138" s="284">
        <v>11067427637</v>
      </c>
      <c r="N138" s="283">
        <v>9672389057</v>
      </c>
      <c r="O138" s="283">
        <v>6459461109</v>
      </c>
      <c r="P138" s="283">
        <v>9788053505</v>
      </c>
      <c r="Q138" s="283">
        <v>16279720003</v>
      </c>
      <c r="R138" s="283">
        <v>15135281409</v>
      </c>
      <c r="S138" s="283">
        <v>16857467163</v>
      </c>
      <c r="T138" s="283">
        <v>19925736275</v>
      </c>
      <c r="U138" s="283">
        <v>20517811328</v>
      </c>
      <c r="V138" s="283">
        <v>19931952590</v>
      </c>
      <c r="W138" s="283">
        <v>16609887050</v>
      </c>
      <c r="X138" s="283">
        <v>14135481149</v>
      </c>
      <c r="Y138" s="283">
        <v>7795260584</v>
      </c>
      <c r="Z138" s="283">
        <v>10179013441</v>
      </c>
      <c r="AA138" s="286">
        <v>11615221404.494896</v>
      </c>
      <c r="AB138" s="283">
        <v>9331344444.4760895</v>
      </c>
      <c r="AC138" s="283">
        <v>12654398713.100452</v>
      </c>
      <c r="AD138" s="283">
        <v>13722499321.552162</v>
      </c>
      <c r="AE138" s="283">
        <v>13722090727.627693</v>
      </c>
      <c r="AF138" s="283">
        <v>14257349238.506895</v>
      </c>
      <c r="AG138" s="283">
        <v>14270228943.712023</v>
      </c>
      <c r="AH138" s="283">
        <v>14270193943.712023</v>
      </c>
      <c r="AI138" s="283">
        <v>14228633815.91715</v>
      </c>
      <c r="AJ138" s="283">
        <v>14261011147.91715</v>
      </c>
      <c r="AK138" s="283">
        <v>14267983405.506895</v>
      </c>
      <c r="AL138" s="283">
        <v>14257857276.712023</v>
      </c>
      <c r="AM138" s="120">
        <f t="shared" si="3"/>
        <v>160858812383.23544</v>
      </c>
    </row>
    <row r="139" spans="1:52" s="107" customFormat="1" ht="15" customHeight="1">
      <c r="A139" s="108" t="s">
        <v>224</v>
      </c>
      <c r="B139" s="121">
        <v>6</v>
      </c>
      <c r="C139" s="124">
        <v>-444707330</v>
      </c>
      <c r="D139" s="124">
        <v>-876211538</v>
      </c>
      <c r="E139" s="124">
        <v>364067525</v>
      </c>
      <c r="F139" s="124">
        <v>-188998157</v>
      </c>
      <c r="G139" s="124">
        <v>-856388028</v>
      </c>
      <c r="H139" s="124">
        <v>-1220813410</v>
      </c>
      <c r="I139" s="124">
        <v>-571051197</v>
      </c>
      <c r="J139" s="124">
        <v>-574426680</v>
      </c>
      <c r="K139" s="124">
        <v>-262972454</v>
      </c>
      <c r="L139" s="124">
        <v>-32351043</v>
      </c>
      <c r="M139" s="124">
        <v>-725512231</v>
      </c>
      <c r="N139" s="124">
        <v>-619852631</v>
      </c>
      <c r="O139" s="124">
        <v>-1036512617</v>
      </c>
      <c r="P139" s="124">
        <v>-977376577</v>
      </c>
      <c r="Q139" s="124">
        <v>-463611</v>
      </c>
      <c r="R139" s="124">
        <v>-362809804</v>
      </c>
      <c r="S139" s="124">
        <v>724599774</v>
      </c>
      <c r="T139" s="124">
        <v>-429717078</v>
      </c>
      <c r="U139" s="124">
        <v>1276331386</v>
      </c>
      <c r="V139" s="124">
        <v>1015115770</v>
      </c>
      <c r="W139" s="124">
        <v>31620596</v>
      </c>
      <c r="X139" s="124">
        <v>394480799</v>
      </c>
      <c r="Y139" s="124">
        <v>-421164800</v>
      </c>
      <c r="Z139" s="124">
        <v>115654189</v>
      </c>
      <c r="AA139" s="123">
        <f>AA137-AA138</f>
        <v>-199778904.49489594</v>
      </c>
      <c r="AB139" s="124">
        <f t="shared" ref="AB139:AL139" si="5">AB137-AB138</f>
        <v>-452666944.47608948</v>
      </c>
      <c r="AC139" s="124">
        <f t="shared" si="5"/>
        <v>29426286.899547577</v>
      </c>
      <c r="AD139" s="124">
        <f t="shared" si="5"/>
        <v>229708178.44783783</v>
      </c>
      <c r="AE139" s="124">
        <f t="shared" si="5"/>
        <v>212888022.37230682</v>
      </c>
      <c r="AF139" s="124">
        <f t="shared" si="5"/>
        <v>-231235488.50689507</v>
      </c>
      <c r="AG139" s="124">
        <f t="shared" si="5"/>
        <v>-244115193.71202278</v>
      </c>
      <c r="AH139" s="124">
        <f t="shared" si="5"/>
        <v>-244080193.71202278</v>
      </c>
      <c r="AI139" s="124">
        <f t="shared" si="5"/>
        <v>-202520065.9171505</v>
      </c>
      <c r="AJ139" s="124">
        <f t="shared" si="5"/>
        <v>-234897397.9171505</v>
      </c>
      <c r="AK139" s="124">
        <f t="shared" si="5"/>
        <v>-241869655.50689507</v>
      </c>
      <c r="AL139" s="124">
        <f t="shared" si="5"/>
        <v>-231743526.71202278</v>
      </c>
      <c r="AM139" s="125">
        <f t="shared" si="3"/>
        <v>-1810884883.2354527</v>
      </c>
    </row>
    <row r="140" spans="1:52" s="107" customFormat="1" ht="15" customHeight="1">
      <c r="A140" s="108" t="s">
        <v>225</v>
      </c>
      <c r="B140" s="121">
        <v>7</v>
      </c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>
        <v>0</v>
      </c>
      <c r="AA140" s="123">
        <v>0</v>
      </c>
      <c r="AB140" s="124">
        <v>0</v>
      </c>
      <c r="AC140" s="124">
        <v>0</v>
      </c>
      <c r="AD140" s="124">
        <v>0</v>
      </c>
      <c r="AE140" s="124">
        <v>0</v>
      </c>
      <c r="AF140" s="124">
        <v>0</v>
      </c>
      <c r="AG140" s="124">
        <v>0</v>
      </c>
      <c r="AH140" s="124">
        <v>0</v>
      </c>
      <c r="AI140" s="124">
        <v>0</v>
      </c>
      <c r="AJ140" s="124">
        <v>0</v>
      </c>
      <c r="AK140" s="124">
        <v>0</v>
      </c>
      <c r="AL140" s="124">
        <v>0</v>
      </c>
      <c r="AM140" s="125">
        <f t="shared" si="3"/>
        <v>0</v>
      </c>
    </row>
    <row r="141" spans="1:52" s="107" customFormat="1" ht="15" customHeight="1">
      <c r="A141" s="113" t="s">
        <v>226</v>
      </c>
      <c r="B141" s="114">
        <v>8</v>
      </c>
      <c r="C141" s="277">
        <v>12211</v>
      </c>
      <c r="D141" s="277">
        <v>25165</v>
      </c>
      <c r="E141" s="277">
        <v>19778</v>
      </c>
      <c r="F141" s="278">
        <v>32521</v>
      </c>
      <c r="G141" s="278">
        <v>24020</v>
      </c>
      <c r="H141" s="278">
        <v>16492</v>
      </c>
      <c r="I141" s="278">
        <v>11977</v>
      </c>
      <c r="J141" s="278">
        <v>14708</v>
      </c>
      <c r="K141" s="278">
        <v>4723</v>
      </c>
      <c r="L141" s="278">
        <v>16840</v>
      </c>
      <c r="M141" s="278">
        <v>9746260</v>
      </c>
      <c r="N141" s="279">
        <v>9087</v>
      </c>
      <c r="O141" s="279">
        <v>15622</v>
      </c>
      <c r="P141" s="279">
        <v>11487</v>
      </c>
      <c r="Q141" s="279">
        <v>8067</v>
      </c>
      <c r="R141" s="279">
        <v>20954</v>
      </c>
      <c r="S141" s="279">
        <v>11723</v>
      </c>
      <c r="T141" s="279">
        <v>8134</v>
      </c>
      <c r="U141" s="279">
        <v>14534</v>
      </c>
      <c r="V141" s="279">
        <v>10653</v>
      </c>
      <c r="W141" s="279">
        <v>24933</v>
      </c>
      <c r="X141" s="279">
        <v>46896</v>
      </c>
      <c r="Y141" s="279">
        <v>22423098</v>
      </c>
      <c r="Z141" s="279">
        <v>7820152</v>
      </c>
      <c r="AA141" s="287"/>
      <c r="AB141" s="279"/>
      <c r="AC141" s="279"/>
      <c r="AD141" s="279"/>
      <c r="AE141" s="279"/>
      <c r="AF141" s="279"/>
      <c r="AG141" s="279"/>
      <c r="AH141" s="279"/>
      <c r="AI141" s="279"/>
      <c r="AJ141" s="279"/>
      <c r="AK141" s="279"/>
      <c r="AL141" s="279"/>
      <c r="AM141" s="127">
        <f t="shared" si="3"/>
        <v>0</v>
      </c>
    </row>
    <row r="142" spans="1:52" s="107" customFormat="1" ht="15" customHeight="1">
      <c r="A142" s="108" t="s">
        <v>227</v>
      </c>
      <c r="B142" s="109">
        <v>9</v>
      </c>
      <c r="C142" s="274">
        <v>0</v>
      </c>
      <c r="D142" s="274">
        <v>0</v>
      </c>
      <c r="E142" s="274">
        <v>0</v>
      </c>
      <c r="F142" s="274">
        <v>0</v>
      </c>
      <c r="G142" s="274">
        <v>0</v>
      </c>
      <c r="H142" s="274">
        <v>0</v>
      </c>
      <c r="I142" s="274">
        <v>0</v>
      </c>
      <c r="J142" s="274">
        <v>0</v>
      </c>
      <c r="K142" s="274">
        <v>0</v>
      </c>
      <c r="L142" s="274">
        <v>0</v>
      </c>
      <c r="M142" s="274">
        <v>0</v>
      </c>
      <c r="N142" s="124">
        <v>0</v>
      </c>
      <c r="O142" s="124">
        <v>0</v>
      </c>
      <c r="P142" s="124">
        <v>0</v>
      </c>
      <c r="Q142" s="124">
        <v>0</v>
      </c>
      <c r="R142" s="124">
        <v>0</v>
      </c>
      <c r="S142" s="124">
        <v>0</v>
      </c>
      <c r="T142" s="124">
        <v>0</v>
      </c>
      <c r="U142" s="124">
        <v>0</v>
      </c>
      <c r="V142" s="124">
        <v>0</v>
      </c>
      <c r="W142" s="124">
        <v>0</v>
      </c>
      <c r="X142" s="124">
        <v>0</v>
      </c>
      <c r="Y142" s="124">
        <v>0</v>
      </c>
      <c r="Z142" s="124">
        <v>0</v>
      </c>
      <c r="AA142" s="123">
        <v>0</v>
      </c>
      <c r="AB142" s="124">
        <v>0</v>
      </c>
      <c r="AC142" s="124">
        <v>0</v>
      </c>
      <c r="AD142" s="124">
        <v>0</v>
      </c>
      <c r="AE142" s="124">
        <v>0</v>
      </c>
      <c r="AF142" s="124">
        <v>0</v>
      </c>
      <c r="AG142" s="124">
        <v>0</v>
      </c>
      <c r="AH142" s="124">
        <v>0</v>
      </c>
      <c r="AI142" s="124">
        <v>0</v>
      </c>
      <c r="AJ142" s="124">
        <v>0</v>
      </c>
      <c r="AK142" s="124">
        <v>0</v>
      </c>
      <c r="AL142" s="124">
        <v>0</v>
      </c>
      <c r="AM142" s="125">
        <f t="shared" si="3"/>
        <v>0</v>
      </c>
    </row>
    <row r="143" spans="1:52" s="107" customFormat="1" ht="15" customHeight="1">
      <c r="A143" s="113" t="s">
        <v>228</v>
      </c>
      <c r="B143" s="114">
        <v>10</v>
      </c>
      <c r="C143" s="277">
        <v>0</v>
      </c>
      <c r="D143" s="277">
        <v>0</v>
      </c>
      <c r="E143" s="277">
        <v>0</v>
      </c>
      <c r="F143" s="278">
        <v>0</v>
      </c>
      <c r="G143" s="278">
        <v>0</v>
      </c>
      <c r="H143" s="278">
        <v>0</v>
      </c>
      <c r="I143" s="278">
        <v>0</v>
      </c>
      <c r="J143" s="278">
        <v>0</v>
      </c>
      <c r="K143" s="278">
        <v>0</v>
      </c>
      <c r="L143" s="278">
        <v>0</v>
      </c>
      <c r="M143" s="278">
        <v>0</v>
      </c>
      <c r="N143" s="279">
        <v>0</v>
      </c>
      <c r="O143" s="279">
        <v>0</v>
      </c>
      <c r="P143" s="279">
        <v>0</v>
      </c>
      <c r="Q143" s="279">
        <v>0</v>
      </c>
      <c r="R143" s="279">
        <v>0</v>
      </c>
      <c r="S143" s="279">
        <v>0</v>
      </c>
      <c r="T143" s="279">
        <v>0</v>
      </c>
      <c r="U143" s="279">
        <v>0</v>
      </c>
      <c r="V143" s="279">
        <v>0</v>
      </c>
      <c r="W143" s="279">
        <v>0</v>
      </c>
      <c r="X143" s="279">
        <v>0</v>
      </c>
      <c r="Y143" s="279">
        <v>0</v>
      </c>
      <c r="Z143" s="279">
        <v>0</v>
      </c>
      <c r="AA143" s="287">
        <v>0</v>
      </c>
      <c r="AB143" s="279">
        <v>0</v>
      </c>
      <c r="AC143" s="279">
        <v>0</v>
      </c>
      <c r="AD143" s="279">
        <v>0</v>
      </c>
      <c r="AE143" s="279">
        <v>0</v>
      </c>
      <c r="AF143" s="279">
        <v>0</v>
      </c>
      <c r="AG143" s="279">
        <v>0</v>
      </c>
      <c r="AH143" s="279">
        <v>0</v>
      </c>
      <c r="AI143" s="279">
        <v>0</v>
      </c>
      <c r="AJ143" s="279">
        <v>0</v>
      </c>
      <c r="AK143" s="279">
        <v>0</v>
      </c>
      <c r="AL143" s="279">
        <v>0</v>
      </c>
      <c r="AM143" s="127">
        <f t="shared" si="3"/>
        <v>0</v>
      </c>
    </row>
    <row r="144" spans="1:52" s="107" customFormat="1" ht="15" customHeight="1">
      <c r="A144" s="113" t="s">
        <v>229</v>
      </c>
      <c r="B144" s="114">
        <v>11</v>
      </c>
      <c r="C144" s="277">
        <v>1789900000</v>
      </c>
      <c r="D144" s="277">
        <v>95542200</v>
      </c>
      <c r="E144" s="277">
        <v>198747500</v>
      </c>
      <c r="F144" s="278">
        <v>149800000</v>
      </c>
      <c r="G144" s="278">
        <v>136700000</v>
      </c>
      <c r="H144" s="278">
        <v>187000000</v>
      </c>
      <c r="I144" s="278">
        <v>154000000</v>
      </c>
      <c r="J144" s="278">
        <v>132500000</v>
      </c>
      <c r="K144" s="278">
        <v>185900000</v>
      </c>
      <c r="L144" s="278">
        <v>180600000</v>
      </c>
      <c r="M144" s="278">
        <v>156300000</v>
      </c>
      <c r="N144" s="278">
        <v>141100000</v>
      </c>
      <c r="O144" s="278">
        <v>91100000</v>
      </c>
      <c r="P144" s="278">
        <v>139700000</v>
      </c>
      <c r="Q144" s="278">
        <v>291900000</v>
      </c>
      <c r="R144" s="278">
        <v>255100000</v>
      </c>
      <c r="S144" s="278">
        <v>287700000</v>
      </c>
      <c r="T144" s="278">
        <v>330500000</v>
      </c>
      <c r="U144" s="278">
        <v>365500000</v>
      </c>
      <c r="V144" s="278">
        <v>358900000</v>
      </c>
      <c r="W144" s="278">
        <v>327900000</v>
      </c>
      <c r="X144" s="278">
        <v>294000000</v>
      </c>
      <c r="Y144" s="278">
        <v>171600000</v>
      </c>
      <c r="Z144" s="278">
        <v>214000000</v>
      </c>
      <c r="AA144" s="288">
        <v>265168000</v>
      </c>
      <c r="AB144" s="278">
        <v>206241777.77777776</v>
      </c>
      <c r="AC144" s="278">
        <v>294631111.1111111</v>
      </c>
      <c r="AD144" s="278">
        <v>324094222.22222221</v>
      </c>
      <c r="AE144" s="278">
        <v>323665955.55555552</v>
      </c>
      <c r="AF144" s="278">
        <v>291164622.22222221</v>
      </c>
      <c r="AG144" s="278">
        <v>291164622.22222221</v>
      </c>
      <c r="AH144" s="278">
        <v>291164622.22222221</v>
      </c>
      <c r="AI144" s="278">
        <v>291164622.22222221</v>
      </c>
      <c r="AJ144" s="278">
        <v>291164622.22222221</v>
      </c>
      <c r="AK144" s="278">
        <v>291164622.22222221</v>
      </c>
      <c r="AL144" s="278">
        <v>291164622.22222221</v>
      </c>
      <c r="AM144" s="131">
        <f t="shared" si="3"/>
        <v>3451953422.2222228</v>
      </c>
    </row>
    <row r="145" spans="1:39" s="107" customFormat="1" ht="15" customHeight="1">
      <c r="A145" s="113" t="s">
        <v>230</v>
      </c>
      <c r="B145" s="114">
        <v>12</v>
      </c>
      <c r="C145" s="277">
        <v>189486394</v>
      </c>
      <c r="D145" s="277">
        <v>225236410</v>
      </c>
      <c r="E145" s="277">
        <v>229978521</v>
      </c>
      <c r="F145" s="278">
        <v>229889992</v>
      </c>
      <c r="G145" s="278">
        <v>224134296</v>
      </c>
      <c r="H145" s="278">
        <v>214897048</v>
      </c>
      <c r="I145" s="278">
        <v>230047625</v>
      </c>
      <c r="J145" s="278">
        <v>229954420</v>
      </c>
      <c r="K145" s="278">
        <v>228488322</v>
      </c>
      <c r="L145" s="278">
        <v>213155072</v>
      </c>
      <c r="M145" s="278">
        <v>300846378</v>
      </c>
      <c r="N145" s="278">
        <v>338620473</v>
      </c>
      <c r="O145" s="278">
        <v>390880567</v>
      </c>
      <c r="P145" s="278">
        <v>288060338</v>
      </c>
      <c r="Q145" s="278">
        <v>278341956</v>
      </c>
      <c r="R145" s="278">
        <v>277195306</v>
      </c>
      <c r="S145" s="278">
        <v>257971197</v>
      </c>
      <c r="T145" s="278">
        <v>282882950</v>
      </c>
      <c r="U145" s="278">
        <v>303895747</v>
      </c>
      <c r="V145" s="278">
        <v>325151310</v>
      </c>
      <c r="W145" s="278">
        <v>377683972</v>
      </c>
      <c r="X145" s="278">
        <v>341492876</v>
      </c>
      <c r="Y145" s="278">
        <v>395204855</v>
      </c>
      <c r="Z145" s="278">
        <v>401983082</v>
      </c>
      <c r="AA145" s="288">
        <v>557450326.95105529</v>
      </c>
      <c r="AB145" s="278">
        <v>491305876.61772192</v>
      </c>
      <c r="AC145" s="278">
        <v>520520513.28438854</v>
      </c>
      <c r="AD145" s="278">
        <v>525352353.72883302</v>
      </c>
      <c r="AE145" s="278">
        <v>506877391.22883302</v>
      </c>
      <c r="AF145" s="278">
        <v>669664297.47327757</v>
      </c>
      <c r="AG145" s="278">
        <v>494437435.27327752</v>
      </c>
      <c r="AH145" s="278">
        <v>524812435.07327753</v>
      </c>
      <c r="AI145" s="278">
        <v>503502636.77327752</v>
      </c>
      <c r="AJ145" s="278">
        <v>485022616.10661083</v>
      </c>
      <c r="AK145" s="278">
        <v>500559340.10661083</v>
      </c>
      <c r="AL145" s="278">
        <v>494722478.10661083</v>
      </c>
      <c r="AM145" s="131">
        <f t="shared" si="3"/>
        <v>6274227700.7237749</v>
      </c>
    </row>
    <row r="146" spans="1:39" s="107" customFormat="1" ht="15" customHeight="1">
      <c r="A146" s="108" t="s">
        <v>231</v>
      </c>
      <c r="B146" s="109">
        <v>13</v>
      </c>
      <c r="C146" s="274">
        <v>-2424081513</v>
      </c>
      <c r="D146" s="274">
        <v>-1196964983</v>
      </c>
      <c r="E146" s="274">
        <v>-64638718</v>
      </c>
      <c r="F146" s="274">
        <v>-568655628</v>
      </c>
      <c r="G146" s="274">
        <v>-1217198304</v>
      </c>
      <c r="H146" s="274">
        <v>-1622693966</v>
      </c>
      <c r="I146" s="274">
        <v>-955086845</v>
      </c>
      <c r="J146" s="274">
        <v>-936866392</v>
      </c>
      <c r="K146" s="274">
        <v>-677356053</v>
      </c>
      <c r="L146" s="274">
        <v>-426089275</v>
      </c>
      <c r="M146" s="274">
        <v>-1172912349</v>
      </c>
      <c r="N146" s="124">
        <v>-1099564017</v>
      </c>
      <c r="O146" s="124">
        <v>-1518477562</v>
      </c>
      <c r="P146" s="124">
        <v>-1405125428</v>
      </c>
      <c r="Q146" s="124">
        <v>-570697500</v>
      </c>
      <c r="R146" s="124">
        <v>-895084156</v>
      </c>
      <c r="S146" s="124">
        <v>178940300</v>
      </c>
      <c r="T146" s="124">
        <v>-1043091894</v>
      </c>
      <c r="U146" s="124">
        <v>606950173</v>
      </c>
      <c r="V146" s="124">
        <v>331075113</v>
      </c>
      <c r="W146" s="124">
        <v>-673938443</v>
      </c>
      <c r="X146" s="124">
        <v>-240965181</v>
      </c>
      <c r="Y146" s="124">
        <v>-965546557</v>
      </c>
      <c r="Z146" s="124">
        <v>-492508741</v>
      </c>
      <c r="AA146" s="123">
        <f>AA139+AA140+AA141-AA142-AA144-AA145</f>
        <v>-1022397231.4459512</v>
      </c>
      <c r="AB146" s="124">
        <f t="shared" ref="AB146:AL146" si="6">AB139+AB140+AB141-AB142-AB144-AB145</f>
        <v>-1150214598.8715892</v>
      </c>
      <c r="AC146" s="124">
        <f t="shared" si="6"/>
        <v>-785725337.49595213</v>
      </c>
      <c r="AD146" s="124">
        <f t="shared" si="6"/>
        <v>-619738397.50321746</v>
      </c>
      <c r="AE146" s="124">
        <f t="shared" si="6"/>
        <v>-617655324.41208172</v>
      </c>
      <c r="AF146" s="124">
        <f t="shared" si="6"/>
        <v>-1192064408.202395</v>
      </c>
      <c r="AG146" s="124">
        <f t="shared" si="6"/>
        <v>-1029717251.2075225</v>
      </c>
      <c r="AH146" s="124">
        <f t="shared" si="6"/>
        <v>-1060057251.0075226</v>
      </c>
      <c r="AI146" s="124">
        <f t="shared" si="6"/>
        <v>-997187324.91265023</v>
      </c>
      <c r="AJ146" s="124">
        <f t="shared" si="6"/>
        <v>-1011084636.2459836</v>
      </c>
      <c r="AK146" s="124">
        <f t="shared" si="6"/>
        <v>-1033593617.8357282</v>
      </c>
      <c r="AL146" s="124">
        <f t="shared" si="6"/>
        <v>-1017630627.0408559</v>
      </c>
      <c r="AM146" s="125">
        <f t="shared" si="3"/>
        <v>-11537066006.181448</v>
      </c>
    </row>
    <row r="147" spans="1:39" s="107" customFormat="1" ht="15" customHeight="1">
      <c r="A147" s="113" t="s">
        <v>232</v>
      </c>
      <c r="B147" s="114">
        <v>14</v>
      </c>
      <c r="C147" s="277">
        <v>0</v>
      </c>
      <c r="D147" s="277">
        <v>0</v>
      </c>
      <c r="E147" s="277">
        <v>0</v>
      </c>
      <c r="F147" s="278">
        <v>0</v>
      </c>
      <c r="G147" s="278">
        <v>4695924</v>
      </c>
      <c r="H147" s="278">
        <v>6427650</v>
      </c>
      <c r="I147" s="278"/>
      <c r="J147" s="278">
        <v>6515785</v>
      </c>
      <c r="K147" s="278">
        <v>5868055</v>
      </c>
      <c r="L147" s="278">
        <v>2949074</v>
      </c>
      <c r="M147" s="278">
        <v>4844907</v>
      </c>
      <c r="N147" s="279">
        <v>6020663</v>
      </c>
      <c r="O147" s="279">
        <v>6872690</v>
      </c>
      <c r="P147" s="279">
        <v>0</v>
      </c>
      <c r="Q147" s="279">
        <v>5897640</v>
      </c>
      <c r="R147" s="279">
        <v>14981280</v>
      </c>
      <c r="S147" s="279">
        <v>21977736</v>
      </c>
      <c r="T147" s="279">
        <v>20040080</v>
      </c>
      <c r="U147" s="279">
        <v>35343900</v>
      </c>
      <c r="V147" s="279">
        <v>28282224</v>
      </c>
      <c r="W147" s="279">
        <v>14984820</v>
      </c>
      <c r="X147" s="279">
        <v>24570392</v>
      </c>
      <c r="Y147" s="279">
        <v>8366410</v>
      </c>
      <c r="Z147" s="279">
        <v>42001388</v>
      </c>
      <c r="AA147" s="287">
        <v>0</v>
      </c>
      <c r="AB147" s="279">
        <v>0</v>
      </c>
      <c r="AC147" s="279">
        <v>0</v>
      </c>
      <c r="AD147" s="279">
        <v>0</v>
      </c>
      <c r="AE147" s="279">
        <v>0</v>
      </c>
      <c r="AF147" s="279">
        <v>0</v>
      </c>
      <c r="AG147" s="279">
        <v>0</v>
      </c>
      <c r="AH147" s="279">
        <v>0</v>
      </c>
      <c r="AI147" s="279">
        <v>0</v>
      </c>
      <c r="AJ147" s="279">
        <v>0</v>
      </c>
      <c r="AK147" s="279">
        <v>0</v>
      </c>
      <c r="AL147" s="279">
        <v>0</v>
      </c>
      <c r="AM147" s="127">
        <f t="shared" si="3"/>
        <v>0</v>
      </c>
    </row>
    <row r="148" spans="1:39" s="107" customFormat="1" ht="15" customHeight="1">
      <c r="A148" s="113" t="s">
        <v>233</v>
      </c>
      <c r="B148" s="114">
        <v>15</v>
      </c>
      <c r="C148" s="277">
        <v>25035000</v>
      </c>
      <c r="D148" s="277">
        <v>4500869</v>
      </c>
      <c r="E148" s="277">
        <v>15342970</v>
      </c>
      <c r="F148" s="278">
        <v>1400000</v>
      </c>
      <c r="G148" s="278">
        <v>4112330</v>
      </c>
      <c r="H148" s="278">
        <v>3788889</v>
      </c>
      <c r="I148" s="278">
        <v>1603193</v>
      </c>
      <c r="J148" s="278">
        <v>3600000</v>
      </c>
      <c r="K148" s="278">
        <v>4730520</v>
      </c>
      <c r="L148" s="278">
        <v>5100000</v>
      </c>
      <c r="M148" s="278">
        <v>2300000</v>
      </c>
      <c r="N148" s="279">
        <v>159621374</v>
      </c>
      <c r="O148" s="279">
        <v>1000000</v>
      </c>
      <c r="P148" s="279">
        <v>3800000</v>
      </c>
      <c r="Q148" s="279">
        <v>2500000</v>
      </c>
      <c r="R148" s="279">
        <v>1000000</v>
      </c>
      <c r="S148" s="279">
        <v>6500000</v>
      </c>
      <c r="T148" s="279">
        <v>1500000</v>
      </c>
      <c r="U148" s="279">
        <v>128951632</v>
      </c>
      <c r="V148" s="279">
        <v>13282176</v>
      </c>
      <c r="W148" s="279">
        <v>4000000</v>
      </c>
      <c r="X148" s="279">
        <v>500000</v>
      </c>
      <c r="Y148" s="279">
        <v>2295000</v>
      </c>
      <c r="Z148" s="279">
        <v>6009612</v>
      </c>
      <c r="AA148" s="287">
        <v>0</v>
      </c>
      <c r="AB148" s="279">
        <v>0</v>
      </c>
      <c r="AC148" s="279">
        <v>0</v>
      </c>
      <c r="AD148" s="279">
        <v>0</v>
      </c>
      <c r="AE148" s="279">
        <v>0</v>
      </c>
      <c r="AF148" s="279">
        <v>0</v>
      </c>
      <c r="AG148" s="279">
        <v>0</v>
      </c>
      <c r="AH148" s="279">
        <v>0</v>
      </c>
      <c r="AI148" s="279">
        <v>0</v>
      </c>
      <c r="AJ148" s="279">
        <v>0</v>
      </c>
      <c r="AK148" s="279">
        <v>0</v>
      </c>
      <c r="AL148" s="279">
        <v>0</v>
      </c>
      <c r="AM148" s="127">
        <f t="shared" si="3"/>
        <v>0</v>
      </c>
    </row>
    <row r="149" spans="1:39" s="107" customFormat="1" ht="15" customHeight="1">
      <c r="A149" s="108" t="s">
        <v>234</v>
      </c>
      <c r="B149" s="109">
        <v>16</v>
      </c>
      <c r="C149" s="274">
        <v>-25035000</v>
      </c>
      <c r="D149" s="274">
        <v>-4500869</v>
      </c>
      <c r="E149" s="274">
        <v>-15342970</v>
      </c>
      <c r="F149" s="274">
        <v>-1400000</v>
      </c>
      <c r="G149" s="274">
        <v>583594</v>
      </c>
      <c r="H149" s="274">
        <v>2638761</v>
      </c>
      <c r="I149" s="274">
        <v>-1603193</v>
      </c>
      <c r="J149" s="274">
        <v>2915785</v>
      </c>
      <c r="K149" s="274">
        <v>1137535</v>
      </c>
      <c r="L149" s="274">
        <v>-2150926</v>
      </c>
      <c r="M149" s="274">
        <v>2544907</v>
      </c>
      <c r="N149" s="124">
        <v>-153600711</v>
      </c>
      <c r="O149" s="124">
        <v>5872690</v>
      </c>
      <c r="P149" s="124">
        <v>-3800000</v>
      </c>
      <c r="Q149" s="124">
        <v>3397640</v>
      </c>
      <c r="R149" s="124">
        <v>13981280</v>
      </c>
      <c r="S149" s="124">
        <v>15477736</v>
      </c>
      <c r="T149" s="124">
        <v>18540080</v>
      </c>
      <c r="U149" s="124">
        <v>-93607732</v>
      </c>
      <c r="V149" s="124">
        <v>15000048</v>
      </c>
      <c r="W149" s="124">
        <v>10984820</v>
      </c>
      <c r="X149" s="124">
        <v>24070392</v>
      </c>
      <c r="Y149" s="124">
        <v>6071410</v>
      </c>
      <c r="Z149" s="124">
        <v>35991776</v>
      </c>
      <c r="AA149" s="123">
        <f>AA147-AA148</f>
        <v>0</v>
      </c>
      <c r="AB149" s="124">
        <f t="shared" ref="AB149:AL149" si="7">AB147-AB148</f>
        <v>0</v>
      </c>
      <c r="AC149" s="124">
        <f t="shared" si="7"/>
        <v>0</v>
      </c>
      <c r="AD149" s="124">
        <f t="shared" si="7"/>
        <v>0</v>
      </c>
      <c r="AE149" s="124">
        <f t="shared" si="7"/>
        <v>0</v>
      </c>
      <c r="AF149" s="124">
        <f t="shared" si="7"/>
        <v>0</v>
      </c>
      <c r="AG149" s="124">
        <f t="shared" si="7"/>
        <v>0</v>
      </c>
      <c r="AH149" s="124">
        <f t="shared" si="7"/>
        <v>0</v>
      </c>
      <c r="AI149" s="124">
        <f t="shared" si="7"/>
        <v>0</v>
      </c>
      <c r="AJ149" s="124">
        <f t="shared" si="7"/>
        <v>0</v>
      </c>
      <c r="AK149" s="124">
        <f t="shared" si="7"/>
        <v>0</v>
      </c>
      <c r="AL149" s="124">
        <f t="shared" si="7"/>
        <v>0</v>
      </c>
      <c r="AM149" s="125">
        <f t="shared" si="3"/>
        <v>0</v>
      </c>
    </row>
    <row r="150" spans="1:39" s="107" customFormat="1" ht="15" customHeight="1">
      <c r="A150" s="108" t="s">
        <v>235</v>
      </c>
      <c r="B150" s="116">
        <v>17</v>
      </c>
      <c r="C150" s="281">
        <v>-2449116513</v>
      </c>
      <c r="D150" s="281">
        <v>-1201465852</v>
      </c>
      <c r="E150" s="281">
        <v>-79981688</v>
      </c>
      <c r="F150" s="281">
        <v>-570055628</v>
      </c>
      <c r="G150" s="281">
        <v>-1216614710</v>
      </c>
      <c r="H150" s="281">
        <v>-1620055205</v>
      </c>
      <c r="I150" s="281">
        <v>-956690038</v>
      </c>
      <c r="J150" s="281">
        <v>-933950607</v>
      </c>
      <c r="K150" s="281">
        <v>-676218518</v>
      </c>
      <c r="L150" s="281">
        <v>-428240201</v>
      </c>
      <c r="M150" s="281">
        <v>-1170367442</v>
      </c>
      <c r="N150" s="133">
        <v>-1253164728</v>
      </c>
      <c r="O150" s="133">
        <v>-1512604872</v>
      </c>
      <c r="P150" s="133">
        <v>-1408925428</v>
      </c>
      <c r="Q150" s="133">
        <v>-567299860</v>
      </c>
      <c r="R150" s="133">
        <v>-881102876</v>
      </c>
      <c r="S150" s="133">
        <v>194418036</v>
      </c>
      <c r="T150" s="133">
        <v>-1024551814</v>
      </c>
      <c r="U150" s="133">
        <v>513342441</v>
      </c>
      <c r="V150" s="133">
        <v>346075161</v>
      </c>
      <c r="W150" s="133">
        <v>-662953623</v>
      </c>
      <c r="X150" s="133">
        <v>-216894789</v>
      </c>
      <c r="Y150" s="133">
        <v>-959475147</v>
      </c>
      <c r="Z150" s="133">
        <v>-456516965</v>
      </c>
      <c r="AA150" s="132">
        <f>AA146+AA149</f>
        <v>-1022397231.4459512</v>
      </c>
      <c r="AB150" s="133">
        <f t="shared" ref="AB150:AL150" si="8">AB146+AB149</f>
        <v>-1150214598.8715892</v>
      </c>
      <c r="AC150" s="133">
        <f t="shared" si="8"/>
        <v>-785725337.49595213</v>
      </c>
      <c r="AD150" s="133">
        <f t="shared" si="8"/>
        <v>-619738397.50321746</v>
      </c>
      <c r="AE150" s="133">
        <f t="shared" si="8"/>
        <v>-617655324.41208172</v>
      </c>
      <c r="AF150" s="133">
        <f t="shared" si="8"/>
        <v>-1192064408.202395</v>
      </c>
      <c r="AG150" s="133">
        <f t="shared" si="8"/>
        <v>-1029717251.2075225</v>
      </c>
      <c r="AH150" s="133">
        <f t="shared" si="8"/>
        <v>-1060057251.0075226</v>
      </c>
      <c r="AI150" s="133">
        <f t="shared" si="8"/>
        <v>-997187324.91265023</v>
      </c>
      <c r="AJ150" s="133">
        <f t="shared" si="8"/>
        <v>-1011084636.2459836</v>
      </c>
      <c r="AK150" s="133">
        <f t="shared" si="8"/>
        <v>-1033593617.8357282</v>
      </c>
      <c r="AL150" s="133">
        <f t="shared" si="8"/>
        <v>-1017630627.0408559</v>
      </c>
      <c r="AM150" s="111">
        <f t="shared" si="3"/>
        <v>-11537066006.181448</v>
      </c>
    </row>
    <row r="151" spans="1:39" s="107" customFormat="1" ht="15" customHeight="1">
      <c r="A151" s="134" t="s">
        <v>236</v>
      </c>
      <c r="B151" s="114">
        <v>18</v>
      </c>
      <c r="C151" s="277">
        <v>0</v>
      </c>
      <c r="D151" s="289">
        <v>0</v>
      </c>
      <c r="E151" s="289">
        <v>0</v>
      </c>
      <c r="F151" s="289">
        <v>0</v>
      </c>
      <c r="G151" s="289">
        <v>0</v>
      </c>
      <c r="H151" s="289">
        <v>0</v>
      </c>
      <c r="I151" s="289">
        <v>0</v>
      </c>
      <c r="J151" s="289">
        <v>0</v>
      </c>
      <c r="K151" s="289">
        <v>0</v>
      </c>
      <c r="L151" s="289">
        <v>0</v>
      </c>
      <c r="M151" s="289">
        <v>0</v>
      </c>
      <c r="N151" s="290">
        <v>0</v>
      </c>
      <c r="O151" s="290">
        <v>0</v>
      </c>
      <c r="P151" s="290">
        <v>0</v>
      </c>
      <c r="Q151" s="290">
        <v>0</v>
      </c>
      <c r="R151" s="290">
        <v>0</v>
      </c>
      <c r="S151" s="290">
        <v>0</v>
      </c>
      <c r="T151" s="290">
        <v>0</v>
      </c>
      <c r="U151" s="290">
        <v>0</v>
      </c>
      <c r="V151" s="290">
        <v>0</v>
      </c>
      <c r="W151" s="290">
        <v>0</v>
      </c>
      <c r="X151" s="290">
        <v>0</v>
      </c>
      <c r="Y151" s="290">
        <v>0</v>
      </c>
      <c r="Z151" s="290">
        <v>0</v>
      </c>
      <c r="AA151" s="292">
        <v>0</v>
      </c>
      <c r="AB151" s="290">
        <v>0</v>
      </c>
      <c r="AC151" s="290">
        <v>0</v>
      </c>
      <c r="AD151" s="290">
        <v>0</v>
      </c>
      <c r="AE151" s="290">
        <v>0</v>
      </c>
      <c r="AF151" s="290">
        <v>0</v>
      </c>
      <c r="AG151" s="290">
        <v>0</v>
      </c>
      <c r="AH151" s="290">
        <v>0</v>
      </c>
      <c r="AI151" s="290">
        <v>0</v>
      </c>
      <c r="AJ151" s="290">
        <v>0</v>
      </c>
      <c r="AK151" s="290">
        <v>0</v>
      </c>
      <c r="AL151" s="290">
        <v>0</v>
      </c>
      <c r="AM151" s="137">
        <f t="shared" si="3"/>
        <v>0</v>
      </c>
    </row>
    <row r="152" spans="1:39" s="107" customFormat="1" ht="15" customHeight="1">
      <c r="A152" s="113" t="s">
        <v>237</v>
      </c>
      <c r="B152" s="114">
        <v>19</v>
      </c>
      <c r="C152" s="277">
        <v>0</v>
      </c>
      <c r="D152" s="278">
        <v>0</v>
      </c>
      <c r="E152" s="278">
        <v>0</v>
      </c>
      <c r="F152" s="278">
        <v>0</v>
      </c>
      <c r="G152" s="278">
        <v>0</v>
      </c>
      <c r="H152" s="278">
        <v>0</v>
      </c>
      <c r="I152" s="278">
        <v>0</v>
      </c>
      <c r="J152" s="278">
        <v>0</v>
      </c>
      <c r="K152" s="278">
        <v>0</v>
      </c>
      <c r="L152" s="278">
        <v>0</v>
      </c>
      <c r="M152" s="278">
        <v>0</v>
      </c>
      <c r="N152" s="279">
        <v>0</v>
      </c>
      <c r="O152" s="279">
        <v>0</v>
      </c>
      <c r="P152" s="279">
        <v>0</v>
      </c>
      <c r="Q152" s="279">
        <v>0</v>
      </c>
      <c r="R152" s="279">
        <v>0</v>
      </c>
      <c r="S152" s="279">
        <v>0</v>
      </c>
      <c r="T152" s="279">
        <v>0</v>
      </c>
      <c r="U152" s="279">
        <v>0</v>
      </c>
      <c r="V152" s="279">
        <v>0</v>
      </c>
      <c r="W152" s="279">
        <v>0</v>
      </c>
      <c r="X152" s="279">
        <v>0</v>
      </c>
      <c r="Y152" s="279">
        <v>0</v>
      </c>
      <c r="Z152" s="279">
        <v>0</v>
      </c>
      <c r="AA152" s="287">
        <v>0</v>
      </c>
      <c r="AB152" s="279">
        <v>0</v>
      </c>
      <c r="AC152" s="279">
        <v>0</v>
      </c>
      <c r="AD152" s="279">
        <v>0</v>
      </c>
      <c r="AE152" s="279">
        <v>0</v>
      </c>
      <c r="AF152" s="279">
        <v>0</v>
      </c>
      <c r="AG152" s="279">
        <v>0</v>
      </c>
      <c r="AH152" s="279">
        <v>0</v>
      </c>
      <c r="AI152" s="279">
        <v>0</v>
      </c>
      <c r="AJ152" s="279">
        <v>0</v>
      </c>
      <c r="AK152" s="279">
        <v>0</v>
      </c>
      <c r="AL152" s="279">
        <v>0</v>
      </c>
      <c r="AM152" s="127">
        <f t="shared" si="3"/>
        <v>0</v>
      </c>
    </row>
    <row r="153" spans="1:39" s="107" customFormat="1" ht="15" customHeight="1">
      <c r="A153" s="108" t="s">
        <v>238</v>
      </c>
      <c r="B153" s="121">
        <v>20</v>
      </c>
      <c r="C153" s="124">
        <v>-2449116513</v>
      </c>
      <c r="D153" s="124">
        <v>-1201465852</v>
      </c>
      <c r="E153" s="124">
        <v>-79981688</v>
      </c>
      <c r="F153" s="124">
        <v>-570055628</v>
      </c>
      <c r="G153" s="124">
        <v>-1216614710</v>
      </c>
      <c r="H153" s="124">
        <v>-1620055205</v>
      </c>
      <c r="I153" s="124">
        <v>-956690038</v>
      </c>
      <c r="J153" s="124">
        <v>-933950607</v>
      </c>
      <c r="K153" s="124">
        <v>-676218518</v>
      </c>
      <c r="L153" s="124">
        <v>-428240201</v>
      </c>
      <c r="M153" s="124">
        <v>-1170367442</v>
      </c>
      <c r="N153" s="124">
        <v>-1253164728</v>
      </c>
      <c r="O153" s="124">
        <v>-1512604872</v>
      </c>
      <c r="P153" s="124">
        <v>-1408925428</v>
      </c>
      <c r="Q153" s="124">
        <v>-567299860</v>
      </c>
      <c r="R153" s="124">
        <v>-881102876</v>
      </c>
      <c r="S153" s="124">
        <v>194418036</v>
      </c>
      <c r="T153" s="124">
        <v>-1024551814</v>
      </c>
      <c r="U153" s="124">
        <v>513342441</v>
      </c>
      <c r="V153" s="124">
        <v>346075161</v>
      </c>
      <c r="W153" s="124">
        <v>-662953623</v>
      </c>
      <c r="X153" s="124">
        <v>-216894789</v>
      </c>
      <c r="Y153" s="124">
        <v>-959475147</v>
      </c>
      <c r="Z153" s="124">
        <v>-456516965</v>
      </c>
      <c r="AA153" s="123">
        <f>AA150-AA151-AA152</f>
        <v>-1022397231.4459512</v>
      </c>
      <c r="AB153" s="123">
        <f t="shared" ref="AB153:AL153" si="9">AB150-AB151-AB152</f>
        <v>-1150214598.8715892</v>
      </c>
      <c r="AC153" s="123">
        <f t="shared" si="9"/>
        <v>-785725337.49595213</v>
      </c>
      <c r="AD153" s="123">
        <f t="shared" si="9"/>
        <v>-619738397.50321746</v>
      </c>
      <c r="AE153" s="123">
        <f t="shared" si="9"/>
        <v>-617655324.41208172</v>
      </c>
      <c r="AF153" s="123">
        <f t="shared" si="9"/>
        <v>-1192064408.202395</v>
      </c>
      <c r="AG153" s="123">
        <f t="shared" si="9"/>
        <v>-1029717251.2075225</v>
      </c>
      <c r="AH153" s="123">
        <f t="shared" si="9"/>
        <v>-1060057251.0075226</v>
      </c>
      <c r="AI153" s="123">
        <f t="shared" si="9"/>
        <v>-997187324.91265023</v>
      </c>
      <c r="AJ153" s="123">
        <f t="shared" si="9"/>
        <v>-1011084636.2459836</v>
      </c>
      <c r="AK153" s="123">
        <f t="shared" si="9"/>
        <v>-1033593617.8357282</v>
      </c>
      <c r="AL153" s="123">
        <f t="shared" si="9"/>
        <v>-1017630627.0408559</v>
      </c>
      <c r="AM153" s="125">
        <f t="shared" si="3"/>
        <v>-11537066006.181448</v>
      </c>
    </row>
    <row r="154" spans="1:39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2" t="s">
        <v>239</v>
      </c>
      <c r="AA154" s="294">
        <f>AA150-AA151-AA153</f>
        <v>0</v>
      </c>
      <c r="AB154" s="294">
        <f t="shared" ref="AB154:AM154" si="10">AB150-AB151-AB153</f>
        <v>0</v>
      </c>
      <c r="AC154" s="294">
        <f t="shared" si="10"/>
        <v>0</v>
      </c>
      <c r="AD154" s="294">
        <f t="shared" si="10"/>
        <v>0</v>
      </c>
      <c r="AE154" s="294">
        <f t="shared" si="10"/>
        <v>0</v>
      </c>
      <c r="AF154" s="294">
        <f t="shared" si="10"/>
        <v>0</v>
      </c>
      <c r="AG154" s="294">
        <f t="shared" si="10"/>
        <v>0</v>
      </c>
      <c r="AH154" s="294">
        <f t="shared" si="10"/>
        <v>0</v>
      </c>
      <c r="AI154" s="294">
        <f t="shared" si="10"/>
        <v>0</v>
      </c>
      <c r="AJ154" s="294">
        <f t="shared" si="10"/>
        <v>0</v>
      </c>
      <c r="AK154" s="294">
        <f t="shared" si="10"/>
        <v>0</v>
      </c>
      <c r="AL154" s="294">
        <f t="shared" si="10"/>
        <v>0</v>
      </c>
      <c r="AM154" s="294">
        <f t="shared" si="10"/>
        <v>0</v>
      </c>
    </row>
    <row r="155" spans="1:39" ht="15" customHeight="1">
      <c r="A155" s="51" t="s">
        <v>240</v>
      </c>
      <c r="B155" s="144" t="s">
        <v>241</v>
      </c>
      <c r="C155" s="53" t="s">
        <v>66</v>
      </c>
      <c r="D155" s="54" t="s">
        <v>67</v>
      </c>
      <c r="E155" s="54" t="s">
        <v>68</v>
      </c>
      <c r="F155" s="53" t="s">
        <v>69</v>
      </c>
      <c r="G155" s="53" t="s">
        <v>70</v>
      </c>
      <c r="H155" s="53" t="s">
        <v>71</v>
      </c>
      <c r="I155" s="53" t="s">
        <v>72</v>
      </c>
      <c r="J155" s="54" t="s">
        <v>73</v>
      </c>
      <c r="K155" s="54" t="s">
        <v>74</v>
      </c>
      <c r="L155" s="54" t="s">
        <v>75</v>
      </c>
      <c r="M155" s="54" t="s">
        <v>76</v>
      </c>
      <c r="N155" s="53" t="s">
        <v>77</v>
      </c>
      <c r="O155" s="53" t="s">
        <v>78</v>
      </c>
      <c r="P155" s="53" t="s">
        <v>79</v>
      </c>
      <c r="Q155" s="53" t="s">
        <v>80</v>
      </c>
      <c r="R155" s="53" t="s">
        <v>81</v>
      </c>
      <c r="S155" s="53" t="s">
        <v>82</v>
      </c>
      <c r="T155" s="53" t="s">
        <v>83</v>
      </c>
      <c r="U155" s="53" t="s">
        <v>84</v>
      </c>
      <c r="V155" s="53" t="s">
        <v>85</v>
      </c>
      <c r="W155" s="53" t="s">
        <v>86</v>
      </c>
      <c r="X155" s="53" t="s">
        <v>87</v>
      </c>
      <c r="Y155" s="53" t="s">
        <v>88</v>
      </c>
      <c r="Z155" s="53" t="s">
        <v>89</v>
      </c>
      <c r="AA155" s="53" t="s">
        <v>8</v>
      </c>
      <c r="AB155" s="53" t="s">
        <v>9</v>
      </c>
      <c r="AC155" s="53" t="s">
        <v>10</v>
      </c>
      <c r="AD155" s="53" t="s">
        <v>11</v>
      </c>
      <c r="AE155" s="53" t="s">
        <v>12</v>
      </c>
      <c r="AF155" s="53" t="s">
        <v>13</v>
      </c>
      <c r="AG155" s="53" t="s">
        <v>14</v>
      </c>
      <c r="AH155" s="53" t="s">
        <v>15</v>
      </c>
      <c r="AI155" s="53" t="s">
        <v>16</v>
      </c>
      <c r="AJ155" s="53" t="s">
        <v>17</v>
      </c>
      <c r="AK155" s="53" t="s">
        <v>18</v>
      </c>
      <c r="AL155" s="53" t="s">
        <v>19</v>
      </c>
    </row>
    <row r="156" spans="1:39" ht="15" customHeight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</row>
    <row r="157" spans="1:39" ht="15" customHeight="1">
      <c r="A157" s="145" t="s">
        <v>243</v>
      </c>
      <c r="B157" s="146">
        <v>2</v>
      </c>
      <c r="C157" s="295">
        <v>-2449116513</v>
      </c>
      <c r="D157" s="295">
        <v>-1201465852</v>
      </c>
      <c r="E157" s="295">
        <v>-79981688</v>
      </c>
      <c r="F157" s="295">
        <v>-570055628</v>
      </c>
      <c r="G157" s="295">
        <v>-1216614710</v>
      </c>
      <c r="H157" s="295">
        <v>-1620055205</v>
      </c>
      <c r="I157" s="295">
        <v>-956690038</v>
      </c>
      <c r="J157" s="295">
        <v>-933950607</v>
      </c>
      <c r="K157" s="295">
        <v>-676218518</v>
      </c>
      <c r="L157" s="295">
        <v>-428240201</v>
      </c>
      <c r="M157" s="295">
        <v>-1170367442</v>
      </c>
      <c r="N157" s="339">
        <v>-1253164728</v>
      </c>
      <c r="O157" s="339">
        <v>-1512604872</v>
      </c>
      <c r="P157" s="339">
        <v>-1408925428</v>
      </c>
      <c r="Q157" s="339">
        <v>-567299860</v>
      </c>
      <c r="R157" s="339">
        <v>-881102876</v>
      </c>
      <c r="S157" s="339">
        <v>194418036</v>
      </c>
      <c r="T157" s="339">
        <v>-1024551814</v>
      </c>
      <c r="U157" s="339">
        <v>513342441</v>
      </c>
      <c r="V157" s="339">
        <v>346075161</v>
      </c>
      <c r="W157" s="339">
        <f>W150</f>
        <v>-662953623</v>
      </c>
      <c r="X157" s="339">
        <v>-216894789</v>
      </c>
      <c r="Y157" s="339">
        <v>-959475147</v>
      </c>
      <c r="Z157" s="339">
        <v>-456516965</v>
      </c>
      <c r="AA157" s="340">
        <f>SUMIFS([1]!Data_CF[Value],[1]!Data_CF[Index CF],'Dai Loc'!$B157,[1]!Data_CF[TenCongTyID],'Dai Loc'!$B$1,[1]!Data_CF[Thang.Nam],'Dai Loc'!AA$155)</f>
        <v>0</v>
      </c>
      <c r="AB157" s="340">
        <f>SUMIFS([1]!Data_CF[Value],[1]!Data_CF[Index CF],'Dai Loc'!$B157,[1]!Data_CF[TenCongTyID],'Dai Loc'!$B$1,[1]!Data_CF[Thang.Nam],'Dai Loc'!AB$155)</f>
        <v>0</v>
      </c>
      <c r="AC157" s="340">
        <f>SUMIFS([1]!Data_CF[Value],[1]!Data_CF[Index CF],'Dai Loc'!$B157,[1]!Data_CF[TenCongTyID],'Dai Loc'!$B$1,[1]!Data_CF[Thang.Nam],'Dai Loc'!AC$155)</f>
        <v>0</v>
      </c>
      <c r="AD157" s="340">
        <f>SUMIFS([1]!Data_CF[Value],[1]!Data_CF[Index CF],'Dai Loc'!$B157,[1]!Data_CF[TenCongTyID],'Dai Loc'!$B$1,[1]!Data_CF[Thang.Nam],'Dai Loc'!AD$155)</f>
        <v>0</v>
      </c>
      <c r="AE157" s="340">
        <f>SUMIFS([1]!Data_CF[Value],[1]!Data_CF[Index CF],'Dai Loc'!$B157,[1]!Data_CF[TenCongTyID],'Dai Loc'!$B$1,[1]!Data_CF[Thang.Nam],'Dai Loc'!AE$155)</f>
        <v>0</v>
      </c>
      <c r="AF157" s="340">
        <f>SUMIFS([1]!Data_CF[Value],[1]!Data_CF[Index CF],'Dai Loc'!$B157,[1]!Data_CF[TenCongTyID],'Dai Loc'!$B$1,[1]!Data_CF[Thang.Nam],'Dai Loc'!AF$155)</f>
        <v>0</v>
      </c>
      <c r="AG157" s="340">
        <f>SUMIFS([1]!Data_CF[Value],[1]!Data_CF[Index CF],'Dai Loc'!$B157,[1]!Data_CF[TenCongTyID],'Dai Loc'!$B$1,[1]!Data_CF[Thang.Nam],'Dai Loc'!AG$155)</f>
        <v>0</v>
      </c>
      <c r="AH157" s="340">
        <f>SUMIFS([1]!Data_CF[Value],[1]!Data_CF[Index CF],'Dai Loc'!$B157,[1]!Data_CF[TenCongTyID],'Dai Loc'!$B$1,[1]!Data_CF[Thang.Nam],'Dai Loc'!AH$155)</f>
        <v>0</v>
      </c>
      <c r="AI157" s="340">
        <f>SUMIFS([1]!Data_CF[Value],[1]!Data_CF[Index CF],'Dai Loc'!$B157,[1]!Data_CF[TenCongTyID],'Dai Loc'!$B$1,[1]!Data_CF[Thang.Nam],'Dai Loc'!AI$155)</f>
        <v>0</v>
      </c>
      <c r="AJ157" s="340">
        <f>SUMIFS([1]!Data_CF[Value],[1]!Data_CF[Index CF],'Dai Loc'!$B157,[1]!Data_CF[TenCongTyID],'Dai Loc'!$B$1,[1]!Data_CF[Thang.Nam],'Dai Loc'!AJ$155)</f>
        <v>0</v>
      </c>
      <c r="AK157" s="340">
        <f>SUMIFS([1]!Data_CF[Value],[1]!Data_CF[Index CF],'Dai Loc'!$B157,[1]!Data_CF[TenCongTyID],'Dai Loc'!$B$1,[1]!Data_CF[Thang.Nam],'Dai Loc'!AK$155)</f>
        <v>0</v>
      </c>
      <c r="AL157" s="340">
        <f>SUMIFS([1]!Data_CF[Value],[1]!Data_CF[Index CF],'Dai Loc'!$B157,[1]!Data_CF[TenCongTyID],'Dai Loc'!$B$1,[1]!Data_CF[Thang.Nam],'Dai Loc'!AL$155)</f>
        <v>0</v>
      </c>
    </row>
    <row r="158" spans="1:39" ht="15" customHeight="1">
      <c r="A158" s="149" t="s">
        <v>244</v>
      </c>
      <c r="B158" s="150">
        <v>3</v>
      </c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>
        <v>0</v>
      </c>
      <c r="AA158" s="298">
        <f>SUMIFS([1]!Data_CF[Value],[1]!Data_CF[Index CF],'Dai Loc'!$B158,[1]!Data_CF[TenCongTyID],'Dai Loc'!$B$1,[1]!Data_CF[Thang.Nam],'Dai Loc'!AA$155)</f>
        <v>0</v>
      </c>
      <c r="AB158" s="298">
        <f>SUMIFS([1]!Data_CF[Value],[1]!Data_CF[Index CF],'Dai Loc'!$B158,[1]!Data_CF[TenCongTyID],'Dai Loc'!$B$1,[1]!Data_CF[Thang.Nam],'Dai Loc'!AB$155)</f>
        <v>0</v>
      </c>
      <c r="AC158" s="298">
        <f>SUMIFS([1]!Data_CF[Value],[1]!Data_CF[Index CF],'Dai Loc'!$B158,[1]!Data_CF[TenCongTyID],'Dai Loc'!$B$1,[1]!Data_CF[Thang.Nam],'Dai Loc'!AC$155)</f>
        <v>0</v>
      </c>
      <c r="AD158" s="298">
        <f>SUMIFS([1]!Data_CF[Value],[1]!Data_CF[Index CF],'Dai Loc'!$B158,[1]!Data_CF[TenCongTyID],'Dai Loc'!$B$1,[1]!Data_CF[Thang.Nam],'Dai Loc'!AD$155)</f>
        <v>0</v>
      </c>
      <c r="AE158" s="298">
        <f>SUMIFS([1]!Data_CF[Value],[1]!Data_CF[Index CF],'Dai Loc'!$B158,[1]!Data_CF[TenCongTyID],'Dai Loc'!$B$1,[1]!Data_CF[Thang.Nam],'Dai Loc'!AE$155)</f>
        <v>0</v>
      </c>
      <c r="AF158" s="298">
        <f>SUMIFS([1]!Data_CF[Value],[1]!Data_CF[Index CF],'Dai Loc'!$B158,[1]!Data_CF[TenCongTyID],'Dai Loc'!$B$1,[1]!Data_CF[Thang.Nam],'Dai Loc'!AF$155)</f>
        <v>0</v>
      </c>
      <c r="AG158" s="298">
        <f>SUMIFS([1]!Data_CF[Value],[1]!Data_CF[Index CF],'Dai Loc'!$B158,[1]!Data_CF[TenCongTyID],'Dai Loc'!$B$1,[1]!Data_CF[Thang.Nam],'Dai Loc'!AG$155)</f>
        <v>0</v>
      </c>
      <c r="AH158" s="298">
        <f>SUMIFS([1]!Data_CF[Value],[1]!Data_CF[Index CF],'Dai Loc'!$B158,[1]!Data_CF[TenCongTyID],'Dai Loc'!$B$1,[1]!Data_CF[Thang.Nam],'Dai Loc'!AH$155)</f>
        <v>0</v>
      </c>
      <c r="AI158" s="298">
        <f>SUMIFS([1]!Data_CF[Value],[1]!Data_CF[Index CF],'Dai Loc'!$B158,[1]!Data_CF[TenCongTyID],'Dai Loc'!$B$1,[1]!Data_CF[Thang.Nam],'Dai Loc'!AI$155)</f>
        <v>0</v>
      </c>
      <c r="AJ158" s="298">
        <f>SUMIFS([1]!Data_CF[Value],[1]!Data_CF[Index CF],'Dai Loc'!$B158,[1]!Data_CF[TenCongTyID],'Dai Loc'!$B$1,[1]!Data_CF[Thang.Nam],'Dai Loc'!AJ$155)</f>
        <v>0</v>
      </c>
      <c r="AK158" s="298">
        <f>SUMIFS([1]!Data_CF[Value],[1]!Data_CF[Index CF],'Dai Loc'!$B158,[1]!Data_CF[TenCongTyID],'Dai Loc'!$B$1,[1]!Data_CF[Thang.Nam],'Dai Loc'!AK$155)</f>
        <v>0</v>
      </c>
      <c r="AL158" s="298">
        <f>SUMIFS([1]!Data_CF[Value],[1]!Data_CF[Index CF],'Dai Loc'!$B158,[1]!Data_CF[TenCongTyID],'Dai Loc'!$B$1,[1]!Data_CF[Thang.Nam],'Dai Loc'!AL$155)</f>
        <v>0</v>
      </c>
    </row>
    <row r="159" spans="1:39" ht="15" customHeight="1">
      <c r="A159" s="153" t="s">
        <v>245</v>
      </c>
      <c r="B159" s="154">
        <v>4</v>
      </c>
      <c r="C159" s="299">
        <v>493689862</v>
      </c>
      <c r="D159" s="299">
        <v>498644279</v>
      </c>
      <c r="E159" s="299">
        <v>498644280</v>
      </c>
      <c r="F159" s="299">
        <v>547375102</v>
      </c>
      <c r="G159" s="299">
        <v>558122765</v>
      </c>
      <c r="H159" s="300">
        <v>558122768</v>
      </c>
      <c r="I159" s="300">
        <v>558914014</v>
      </c>
      <c r="J159" s="300">
        <v>565589015</v>
      </c>
      <c r="K159" s="300">
        <v>565589018</v>
      </c>
      <c r="L159" s="300">
        <v>573530481</v>
      </c>
      <c r="M159" s="300">
        <v>573530482</v>
      </c>
      <c r="N159" s="300">
        <v>573530481</v>
      </c>
      <c r="O159" s="300">
        <v>588095967</v>
      </c>
      <c r="P159" s="300">
        <v>586238192</v>
      </c>
      <c r="Q159" s="300">
        <v>586238189</v>
      </c>
      <c r="R159" s="300">
        <v>594363189</v>
      </c>
      <c r="S159" s="300">
        <v>594363193</v>
      </c>
      <c r="T159" s="300">
        <v>582677982</v>
      </c>
      <c r="U159" s="300">
        <v>582677982</v>
      </c>
      <c r="V159" s="300">
        <v>582677982</v>
      </c>
      <c r="W159" s="300">
        <v>582677982</v>
      </c>
      <c r="X159" s="300">
        <v>582677982</v>
      </c>
      <c r="Y159" s="300">
        <v>582677982</v>
      </c>
      <c r="Z159" s="300">
        <v>624238782</v>
      </c>
      <c r="AA159" s="301">
        <f>SUMIFS([1]!Data_CF[Value],[1]!Data_CF[Index CF],'Dai Loc'!$B159,[1]!Data_CF[TenCongTyID],'Dai Loc'!$B$1,[1]!Data_CF[Thang.Nam],'Dai Loc'!AA$155)</f>
        <v>0</v>
      </c>
      <c r="AB159" s="301">
        <f>SUMIFS([1]!Data_CF[Value],[1]!Data_CF[Index CF],'Dai Loc'!$B159,[1]!Data_CF[TenCongTyID],'Dai Loc'!$B$1,[1]!Data_CF[Thang.Nam],'Dai Loc'!AB$155)</f>
        <v>0</v>
      </c>
      <c r="AC159" s="301">
        <f>SUMIFS([1]!Data_CF[Value],[1]!Data_CF[Index CF],'Dai Loc'!$B159,[1]!Data_CF[TenCongTyID],'Dai Loc'!$B$1,[1]!Data_CF[Thang.Nam],'Dai Loc'!AC$155)</f>
        <v>0</v>
      </c>
      <c r="AD159" s="301">
        <f>SUMIFS([1]!Data_CF[Value],[1]!Data_CF[Index CF],'Dai Loc'!$B159,[1]!Data_CF[TenCongTyID],'Dai Loc'!$B$1,[1]!Data_CF[Thang.Nam],'Dai Loc'!AD$155)</f>
        <v>0</v>
      </c>
      <c r="AE159" s="301">
        <f>SUMIFS([1]!Data_CF[Value],[1]!Data_CF[Index CF],'Dai Loc'!$B159,[1]!Data_CF[TenCongTyID],'Dai Loc'!$B$1,[1]!Data_CF[Thang.Nam],'Dai Loc'!AE$155)</f>
        <v>0</v>
      </c>
      <c r="AF159" s="301">
        <f>SUMIFS([1]!Data_CF[Value],[1]!Data_CF[Index CF],'Dai Loc'!$B159,[1]!Data_CF[TenCongTyID],'Dai Loc'!$B$1,[1]!Data_CF[Thang.Nam],'Dai Loc'!AF$155)</f>
        <v>0</v>
      </c>
      <c r="AG159" s="301">
        <f>SUMIFS([1]!Data_CF[Value],[1]!Data_CF[Index CF],'Dai Loc'!$B159,[1]!Data_CF[TenCongTyID],'Dai Loc'!$B$1,[1]!Data_CF[Thang.Nam],'Dai Loc'!AG$155)</f>
        <v>0</v>
      </c>
      <c r="AH159" s="301">
        <f>SUMIFS([1]!Data_CF[Value],[1]!Data_CF[Index CF],'Dai Loc'!$B159,[1]!Data_CF[TenCongTyID],'Dai Loc'!$B$1,[1]!Data_CF[Thang.Nam],'Dai Loc'!AH$155)</f>
        <v>0</v>
      </c>
      <c r="AI159" s="301">
        <f>SUMIFS([1]!Data_CF[Value],[1]!Data_CF[Index CF],'Dai Loc'!$B159,[1]!Data_CF[TenCongTyID],'Dai Loc'!$B$1,[1]!Data_CF[Thang.Nam],'Dai Loc'!AI$155)</f>
        <v>0</v>
      </c>
      <c r="AJ159" s="301">
        <f>SUMIFS([1]!Data_CF[Value],[1]!Data_CF[Index CF],'Dai Loc'!$B159,[1]!Data_CF[TenCongTyID],'Dai Loc'!$B$1,[1]!Data_CF[Thang.Nam],'Dai Loc'!AJ$155)</f>
        <v>0</v>
      </c>
      <c r="AK159" s="301">
        <f>SUMIFS([1]!Data_CF[Value],[1]!Data_CF[Index CF],'Dai Loc'!$B159,[1]!Data_CF[TenCongTyID],'Dai Loc'!$B$1,[1]!Data_CF[Thang.Nam],'Dai Loc'!AK$155)</f>
        <v>0</v>
      </c>
      <c r="AL159" s="301">
        <f>SUMIFS([1]!Data_CF[Value],[1]!Data_CF[Index CF],'Dai Loc'!$B159,[1]!Data_CF[TenCongTyID],'Dai Loc'!$B$1,[1]!Data_CF[Thang.Nam],'Dai Loc'!AL$155)</f>
        <v>0</v>
      </c>
    </row>
    <row r="160" spans="1:39" ht="15" customHeight="1">
      <c r="A160" s="153" t="s">
        <v>246</v>
      </c>
      <c r="B160" s="154">
        <v>5</v>
      </c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>
        <v>0</v>
      </c>
      <c r="AA160" s="303">
        <f>SUMIFS([1]!Data_CF[Value],[1]!Data_CF[Index CF],'Dai Loc'!$B160,[1]!Data_CF[TenCongTyID],'Dai Loc'!$B$1,[1]!Data_CF[Thang.Nam],'Dai Loc'!AA$155)</f>
        <v>0</v>
      </c>
      <c r="AB160" s="303">
        <f>SUMIFS([1]!Data_CF[Value],[1]!Data_CF[Index CF],'Dai Loc'!$B160,[1]!Data_CF[TenCongTyID],'Dai Loc'!$B$1,[1]!Data_CF[Thang.Nam],'Dai Loc'!AB$155)</f>
        <v>0</v>
      </c>
      <c r="AC160" s="303">
        <f>SUMIFS([1]!Data_CF[Value],[1]!Data_CF[Index CF],'Dai Loc'!$B160,[1]!Data_CF[TenCongTyID],'Dai Loc'!$B$1,[1]!Data_CF[Thang.Nam],'Dai Loc'!AC$155)</f>
        <v>0</v>
      </c>
      <c r="AD160" s="303">
        <f>SUMIFS([1]!Data_CF[Value],[1]!Data_CF[Index CF],'Dai Loc'!$B160,[1]!Data_CF[TenCongTyID],'Dai Loc'!$B$1,[1]!Data_CF[Thang.Nam],'Dai Loc'!AD$155)</f>
        <v>0</v>
      </c>
      <c r="AE160" s="303">
        <f>SUMIFS([1]!Data_CF[Value],[1]!Data_CF[Index CF],'Dai Loc'!$B160,[1]!Data_CF[TenCongTyID],'Dai Loc'!$B$1,[1]!Data_CF[Thang.Nam],'Dai Loc'!AE$155)</f>
        <v>0</v>
      </c>
      <c r="AF160" s="303">
        <f>SUMIFS([1]!Data_CF[Value],[1]!Data_CF[Index CF],'Dai Loc'!$B160,[1]!Data_CF[TenCongTyID],'Dai Loc'!$B$1,[1]!Data_CF[Thang.Nam],'Dai Loc'!AF$155)</f>
        <v>0</v>
      </c>
      <c r="AG160" s="303">
        <f>SUMIFS([1]!Data_CF[Value],[1]!Data_CF[Index CF],'Dai Loc'!$B160,[1]!Data_CF[TenCongTyID],'Dai Loc'!$B$1,[1]!Data_CF[Thang.Nam],'Dai Loc'!AG$155)</f>
        <v>0</v>
      </c>
      <c r="AH160" s="303">
        <f>SUMIFS([1]!Data_CF[Value],[1]!Data_CF[Index CF],'Dai Loc'!$B160,[1]!Data_CF[TenCongTyID],'Dai Loc'!$B$1,[1]!Data_CF[Thang.Nam],'Dai Loc'!AH$155)</f>
        <v>0</v>
      </c>
      <c r="AI160" s="303">
        <f>SUMIFS([1]!Data_CF[Value],[1]!Data_CF[Index CF],'Dai Loc'!$B160,[1]!Data_CF[TenCongTyID],'Dai Loc'!$B$1,[1]!Data_CF[Thang.Nam],'Dai Loc'!AI$155)</f>
        <v>0</v>
      </c>
      <c r="AJ160" s="303">
        <f>SUMIFS([1]!Data_CF[Value],[1]!Data_CF[Index CF],'Dai Loc'!$B160,[1]!Data_CF[TenCongTyID],'Dai Loc'!$B$1,[1]!Data_CF[Thang.Nam],'Dai Loc'!AJ$155)</f>
        <v>0</v>
      </c>
      <c r="AK160" s="303">
        <f>SUMIFS([1]!Data_CF[Value],[1]!Data_CF[Index CF],'Dai Loc'!$B160,[1]!Data_CF[TenCongTyID],'Dai Loc'!$B$1,[1]!Data_CF[Thang.Nam],'Dai Loc'!AK$155)</f>
        <v>0</v>
      </c>
      <c r="AL160" s="303">
        <f>SUMIFS([1]!Data_CF[Value],[1]!Data_CF[Index CF],'Dai Loc'!$B160,[1]!Data_CF[TenCongTyID],'Dai Loc'!$B$1,[1]!Data_CF[Thang.Nam],'Dai Loc'!AL$155)</f>
        <v>0</v>
      </c>
    </row>
    <row r="161" spans="1:38" ht="14">
      <c r="A161" s="153" t="s">
        <v>247</v>
      </c>
      <c r="B161" s="154">
        <v>6</v>
      </c>
      <c r="C161" s="304"/>
      <c r="D161" s="304"/>
      <c r="E161" s="304"/>
      <c r="F161" s="304"/>
      <c r="G161" s="304"/>
      <c r="H161" s="304"/>
      <c r="I161" s="304"/>
      <c r="J161" s="304"/>
      <c r="K161" s="304"/>
      <c r="L161" s="304"/>
      <c r="M161" s="304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>
        <v>0</v>
      </c>
      <c r="AA161" s="303">
        <f>SUMIFS([1]!Data_CF[Value],[1]!Data_CF[Index CF],'Dai Loc'!$B161,[1]!Data_CF[TenCongTyID],'Dai Loc'!$B$1,[1]!Data_CF[Thang.Nam],'Dai Loc'!AA$155)</f>
        <v>0</v>
      </c>
      <c r="AB161" s="303">
        <f>SUMIFS([1]!Data_CF[Value],[1]!Data_CF[Index CF],'Dai Loc'!$B161,[1]!Data_CF[TenCongTyID],'Dai Loc'!$B$1,[1]!Data_CF[Thang.Nam],'Dai Loc'!AB$155)</f>
        <v>0</v>
      </c>
      <c r="AC161" s="303">
        <f>SUMIFS([1]!Data_CF[Value],[1]!Data_CF[Index CF],'Dai Loc'!$B161,[1]!Data_CF[TenCongTyID],'Dai Loc'!$B$1,[1]!Data_CF[Thang.Nam],'Dai Loc'!AC$155)</f>
        <v>0</v>
      </c>
      <c r="AD161" s="303">
        <f>SUMIFS([1]!Data_CF[Value],[1]!Data_CF[Index CF],'Dai Loc'!$B161,[1]!Data_CF[TenCongTyID],'Dai Loc'!$B$1,[1]!Data_CF[Thang.Nam],'Dai Loc'!AD$155)</f>
        <v>0</v>
      </c>
      <c r="AE161" s="303">
        <f>SUMIFS([1]!Data_CF[Value],[1]!Data_CF[Index CF],'Dai Loc'!$B161,[1]!Data_CF[TenCongTyID],'Dai Loc'!$B$1,[1]!Data_CF[Thang.Nam],'Dai Loc'!AE$155)</f>
        <v>0</v>
      </c>
      <c r="AF161" s="303">
        <f>SUMIFS([1]!Data_CF[Value],[1]!Data_CF[Index CF],'Dai Loc'!$B161,[1]!Data_CF[TenCongTyID],'Dai Loc'!$B$1,[1]!Data_CF[Thang.Nam],'Dai Loc'!AF$155)</f>
        <v>0</v>
      </c>
      <c r="AG161" s="303">
        <f>SUMIFS([1]!Data_CF[Value],[1]!Data_CF[Index CF],'Dai Loc'!$B161,[1]!Data_CF[TenCongTyID],'Dai Loc'!$B$1,[1]!Data_CF[Thang.Nam],'Dai Loc'!AG$155)</f>
        <v>0</v>
      </c>
      <c r="AH161" s="303">
        <f>SUMIFS([1]!Data_CF[Value],[1]!Data_CF[Index CF],'Dai Loc'!$B161,[1]!Data_CF[TenCongTyID],'Dai Loc'!$B$1,[1]!Data_CF[Thang.Nam],'Dai Loc'!AH$155)</f>
        <v>0</v>
      </c>
      <c r="AI161" s="303">
        <f>SUMIFS([1]!Data_CF[Value],[1]!Data_CF[Index CF],'Dai Loc'!$B161,[1]!Data_CF[TenCongTyID],'Dai Loc'!$B$1,[1]!Data_CF[Thang.Nam],'Dai Loc'!AI$155)</f>
        <v>0</v>
      </c>
      <c r="AJ161" s="303">
        <f>SUMIFS([1]!Data_CF[Value],[1]!Data_CF[Index CF],'Dai Loc'!$B161,[1]!Data_CF[TenCongTyID],'Dai Loc'!$B$1,[1]!Data_CF[Thang.Nam],'Dai Loc'!AJ$155)</f>
        <v>0</v>
      </c>
      <c r="AK161" s="303">
        <f>SUMIFS([1]!Data_CF[Value],[1]!Data_CF[Index CF],'Dai Loc'!$B161,[1]!Data_CF[TenCongTyID],'Dai Loc'!$B$1,[1]!Data_CF[Thang.Nam],'Dai Loc'!AK$155)</f>
        <v>0</v>
      </c>
      <c r="AL161" s="303">
        <f>SUMIFS([1]!Data_CF[Value],[1]!Data_CF[Index CF],'Dai Loc'!$B161,[1]!Data_CF[TenCongTyID],'Dai Loc'!$B$1,[1]!Data_CF[Thang.Nam],'Dai Loc'!AL$155)</f>
        <v>0</v>
      </c>
    </row>
    <row r="162" spans="1:38" ht="15" customHeight="1">
      <c r="A162" s="153" t="s">
        <v>248</v>
      </c>
      <c r="B162" s="154">
        <v>7</v>
      </c>
      <c r="C162" s="299">
        <v>-12211</v>
      </c>
      <c r="D162" s="299">
        <v>-25165</v>
      </c>
      <c r="E162" s="299">
        <v>-19778</v>
      </c>
      <c r="F162" s="299">
        <v>-32521</v>
      </c>
      <c r="G162" s="299">
        <v>-24020</v>
      </c>
      <c r="H162" s="299">
        <v>-16492</v>
      </c>
      <c r="I162" s="300">
        <v>-11977</v>
      </c>
      <c r="J162" s="300">
        <v>-14708</v>
      </c>
      <c r="K162" s="300">
        <v>-4723</v>
      </c>
      <c r="L162" s="299">
        <v>-16840</v>
      </c>
      <c r="M162" s="299">
        <v>-9746260</v>
      </c>
      <c r="N162" s="299">
        <v>-9087</v>
      </c>
      <c r="O162" s="299">
        <v>-15622</v>
      </c>
      <c r="P162" s="299">
        <v>-11487</v>
      </c>
      <c r="Q162" s="299">
        <v>-8067</v>
      </c>
      <c r="R162" s="299">
        <v>-20954</v>
      </c>
      <c r="S162" s="299">
        <v>-11723</v>
      </c>
      <c r="T162" s="299">
        <v>-8134</v>
      </c>
      <c r="U162" s="299">
        <v>-14534</v>
      </c>
      <c r="V162" s="299">
        <v>-10653</v>
      </c>
      <c r="W162" s="299">
        <f>-W141</f>
        <v>-24933</v>
      </c>
      <c r="X162" s="299">
        <v>-46896</v>
      </c>
      <c r="Y162" s="299">
        <v>-22423098</v>
      </c>
      <c r="Z162" s="299">
        <v>-7820152</v>
      </c>
      <c r="AA162" s="305">
        <f>SUMIFS([1]!Data_CF[Value],[1]!Data_CF[Index CF],'Dai Loc'!$B162,[1]!Data_CF[TenCongTyID],'Dai Loc'!$B$1,[1]!Data_CF[Thang.Nam],'Dai Loc'!AA$155)</f>
        <v>0</v>
      </c>
      <c r="AB162" s="305">
        <f>SUMIFS([1]!Data_CF[Value],[1]!Data_CF[Index CF],'Dai Loc'!$B162,[1]!Data_CF[TenCongTyID],'Dai Loc'!$B$1,[1]!Data_CF[Thang.Nam],'Dai Loc'!AB$155)</f>
        <v>0</v>
      </c>
      <c r="AC162" s="305">
        <f>SUMIFS([1]!Data_CF[Value],[1]!Data_CF[Index CF],'Dai Loc'!$B162,[1]!Data_CF[TenCongTyID],'Dai Loc'!$B$1,[1]!Data_CF[Thang.Nam],'Dai Loc'!AC$155)</f>
        <v>0</v>
      </c>
      <c r="AD162" s="305">
        <f>SUMIFS([1]!Data_CF[Value],[1]!Data_CF[Index CF],'Dai Loc'!$B162,[1]!Data_CF[TenCongTyID],'Dai Loc'!$B$1,[1]!Data_CF[Thang.Nam],'Dai Loc'!AD$155)</f>
        <v>0</v>
      </c>
      <c r="AE162" s="305">
        <f>SUMIFS([1]!Data_CF[Value],[1]!Data_CF[Index CF],'Dai Loc'!$B162,[1]!Data_CF[TenCongTyID],'Dai Loc'!$B$1,[1]!Data_CF[Thang.Nam],'Dai Loc'!AE$155)</f>
        <v>0</v>
      </c>
      <c r="AF162" s="305">
        <f>SUMIFS([1]!Data_CF[Value],[1]!Data_CF[Index CF],'Dai Loc'!$B162,[1]!Data_CF[TenCongTyID],'Dai Loc'!$B$1,[1]!Data_CF[Thang.Nam],'Dai Loc'!AF$155)</f>
        <v>0</v>
      </c>
      <c r="AG162" s="305">
        <f>SUMIFS([1]!Data_CF[Value],[1]!Data_CF[Index CF],'Dai Loc'!$B162,[1]!Data_CF[TenCongTyID],'Dai Loc'!$B$1,[1]!Data_CF[Thang.Nam],'Dai Loc'!AG$155)</f>
        <v>0</v>
      </c>
      <c r="AH162" s="305">
        <f>SUMIFS([1]!Data_CF[Value],[1]!Data_CF[Index CF],'Dai Loc'!$B162,[1]!Data_CF[TenCongTyID],'Dai Loc'!$B$1,[1]!Data_CF[Thang.Nam],'Dai Loc'!AH$155)</f>
        <v>0</v>
      </c>
      <c r="AI162" s="305">
        <f>SUMIFS([1]!Data_CF[Value],[1]!Data_CF[Index CF],'Dai Loc'!$B162,[1]!Data_CF[TenCongTyID],'Dai Loc'!$B$1,[1]!Data_CF[Thang.Nam],'Dai Loc'!AI$155)</f>
        <v>0</v>
      </c>
      <c r="AJ162" s="305">
        <f>SUMIFS([1]!Data_CF[Value],[1]!Data_CF[Index CF],'Dai Loc'!$B162,[1]!Data_CF[TenCongTyID],'Dai Loc'!$B$1,[1]!Data_CF[Thang.Nam],'Dai Loc'!AJ$155)</f>
        <v>0</v>
      </c>
      <c r="AK162" s="305">
        <f>SUMIFS([1]!Data_CF[Value],[1]!Data_CF[Index CF],'Dai Loc'!$B162,[1]!Data_CF[TenCongTyID],'Dai Loc'!$B$1,[1]!Data_CF[Thang.Nam],'Dai Loc'!AK$155)</f>
        <v>0</v>
      </c>
      <c r="AL162" s="305">
        <f>SUMIFS([1]!Data_CF[Value],[1]!Data_CF[Index CF],'Dai Loc'!$B162,[1]!Data_CF[TenCongTyID],'Dai Loc'!$B$1,[1]!Data_CF[Thang.Nam],'Dai Loc'!AL$155)</f>
        <v>0</v>
      </c>
    </row>
    <row r="163" spans="1:38" ht="15" customHeight="1">
      <c r="A163" s="153" t="s">
        <v>249</v>
      </c>
      <c r="B163" s="154">
        <v>8</v>
      </c>
      <c r="C163" s="304">
        <v>0</v>
      </c>
      <c r="D163" s="304">
        <v>0</v>
      </c>
      <c r="E163" s="306">
        <v>0</v>
      </c>
      <c r="F163" s="304">
        <v>0</v>
      </c>
      <c r="G163" s="304">
        <v>0</v>
      </c>
      <c r="H163" s="304">
        <v>0</v>
      </c>
      <c r="I163" s="304">
        <v>0</v>
      </c>
      <c r="J163" s="304">
        <v>0</v>
      </c>
      <c r="K163" s="304">
        <v>0</v>
      </c>
      <c r="L163" s="304">
        <v>0</v>
      </c>
      <c r="M163" s="304">
        <v>0</v>
      </c>
      <c r="N163" s="304">
        <v>0</v>
      </c>
      <c r="O163" s="304">
        <v>0</v>
      </c>
      <c r="P163" s="304">
        <v>0</v>
      </c>
      <c r="Q163" s="304">
        <v>0</v>
      </c>
      <c r="R163" s="304">
        <v>0</v>
      </c>
      <c r="S163" s="304">
        <v>0</v>
      </c>
      <c r="T163" s="304">
        <v>0</v>
      </c>
      <c r="U163" s="304">
        <v>0</v>
      </c>
      <c r="V163" s="304">
        <v>0</v>
      </c>
      <c r="W163" s="304"/>
      <c r="X163" s="304">
        <v>0</v>
      </c>
      <c r="Y163" s="304">
        <v>0</v>
      </c>
      <c r="Z163" s="304">
        <v>0</v>
      </c>
      <c r="AA163" s="305">
        <f>SUMIFS([1]!Data_CF[Value],[1]!Data_CF[Index CF],'Dai Loc'!$B163,[1]!Data_CF[TenCongTyID],'Dai Loc'!$B$1,[1]!Data_CF[Thang.Nam],'Dai Loc'!AA$155)</f>
        <v>0</v>
      </c>
      <c r="AB163" s="305">
        <f>SUMIFS([1]!Data_CF[Value],[1]!Data_CF[Index CF],'Dai Loc'!$B163,[1]!Data_CF[TenCongTyID],'Dai Loc'!$B$1,[1]!Data_CF[Thang.Nam],'Dai Loc'!AB$155)</f>
        <v>0</v>
      </c>
      <c r="AC163" s="305">
        <f>SUMIFS([1]!Data_CF[Value],[1]!Data_CF[Index CF],'Dai Loc'!$B163,[1]!Data_CF[TenCongTyID],'Dai Loc'!$B$1,[1]!Data_CF[Thang.Nam],'Dai Loc'!AC$155)</f>
        <v>0</v>
      </c>
      <c r="AD163" s="305">
        <f>SUMIFS([1]!Data_CF[Value],[1]!Data_CF[Index CF],'Dai Loc'!$B163,[1]!Data_CF[TenCongTyID],'Dai Loc'!$B$1,[1]!Data_CF[Thang.Nam],'Dai Loc'!AD$155)</f>
        <v>0</v>
      </c>
      <c r="AE163" s="305">
        <f>SUMIFS([1]!Data_CF[Value],[1]!Data_CF[Index CF],'Dai Loc'!$B163,[1]!Data_CF[TenCongTyID],'Dai Loc'!$B$1,[1]!Data_CF[Thang.Nam],'Dai Loc'!AE$155)</f>
        <v>0</v>
      </c>
      <c r="AF163" s="305">
        <f>SUMIFS([1]!Data_CF[Value],[1]!Data_CF[Index CF],'Dai Loc'!$B163,[1]!Data_CF[TenCongTyID],'Dai Loc'!$B$1,[1]!Data_CF[Thang.Nam],'Dai Loc'!AF$155)</f>
        <v>0</v>
      </c>
      <c r="AG163" s="305">
        <f>SUMIFS([1]!Data_CF[Value],[1]!Data_CF[Index CF],'Dai Loc'!$B163,[1]!Data_CF[TenCongTyID],'Dai Loc'!$B$1,[1]!Data_CF[Thang.Nam],'Dai Loc'!AG$155)</f>
        <v>0</v>
      </c>
      <c r="AH163" s="305">
        <f>SUMIFS([1]!Data_CF[Value],[1]!Data_CF[Index CF],'Dai Loc'!$B163,[1]!Data_CF[TenCongTyID],'Dai Loc'!$B$1,[1]!Data_CF[Thang.Nam],'Dai Loc'!AH$155)</f>
        <v>0</v>
      </c>
      <c r="AI163" s="305">
        <f>SUMIFS([1]!Data_CF[Value],[1]!Data_CF[Index CF],'Dai Loc'!$B163,[1]!Data_CF[TenCongTyID],'Dai Loc'!$B$1,[1]!Data_CF[Thang.Nam],'Dai Loc'!AI$155)</f>
        <v>0</v>
      </c>
      <c r="AJ163" s="305">
        <f>SUMIFS([1]!Data_CF[Value],[1]!Data_CF[Index CF],'Dai Loc'!$B163,[1]!Data_CF[TenCongTyID],'Dai Loc'!$B$1,[1]!Data_CF[Thang.Nam],'Dai Loc'!AJ$155)</f>
        <v>0</v>
      </c>
      <c r="AK163" s="305">
        <f>SUMIFS([1]!Data_CF[Value],[1]!Data_CF[Index CF],'Dai Loc'!$B163,[1]!Data_CF[TenCongTyID],'Dai Loc'!$B$1,[1]!Data_CF[Thang.Nam],'Dai Loc'!AK$155)</f>
        <v>0</v>
      </c>
      <c r="AL163" s="305">
        <f>SUMIFS([1]!Data_CF[Value],[1]!Data_CF[Index CF],'Dai Loc'!$B163,[1]!Data_CF[TenCongTyID],'Dai Loc'!$B$1,[1]!Data_CF[Thang.Nam],'Dai Loc'!AL$155)</f>
        <v>0</v>
      </c>
    </row>
    <row r="164" spans="1:38" ht="15" customHeight="1">
      <c r="A164" s="153" t="s">
        <v>250</v>
      </c>
      <c r="B164" s="154">
        <v>9</v>
      </c>
      <c r="C164" s="307">
        <v>-25035000</v>
      </c>
      <c r="D164" s="307">
        <v>-4500869</v>
      </c>
      <c r="E164" s="307">
        <v>-15342970</v>
      </c>
      <c r="F164" s="307">
        <v>-1400000</v>
      </c>
      <c r="G164" s="307">
        <v>583594</v>
      </c>
      <c r="H164" s="307">
        <v>2638761</v>
      </c>
      <c r="I164" s="307">
        <v>-1603193</v>
      </c>
      <c r="J164" s="307">
        <v>2915785</v>
      </c>
      <c r="K164" s="307">
        <v>1137535</v>
      </c>
      <c r="L164" s="307">
        <v>-2150926</v>
      </c>
      <c r="M164" s="307">
        <v>2544907</v>
      </c>
      <c r="N164" s="302">
        <v>-153600711</v>
      </c>
      <c r="O164" s="302">
        <v>5872690</v>
      </c>
      <c r="P164" s="302">
        <v>-3800000</v>
      </c>
      <c r="Q164" s="302">
        <v>3397640</v>
      </c>
      <c r="R164" s="302">
        <v>13981280</v>
      </c>
      <c r="S164" s="302">
        <v>15477736</v>
      </c>
      <c r="T164" s="302">
        <v>18540080</v>
      </c>
      <c r="U164" s="302">
        <v>-93607732</v>
      </c>
      <c r="V164" s="302">
        <v>15000048</v>
      </c>
      <c r="W164" s="302">
        <v>10984820</v>
      </c>
      <c r="X164" s="302">
        <v>24070392</v>
      </c>
      <c r="Y164" s="302">
        <v>6071410</v>
      </c>
      <c r="Z164" s="302">
        <v>35991776</v>
      </c>
      <c r="AA164" s="303">
        <f>SUMIFS([1]!Data_CF[Value],[1]!Data_CF[Index CF],'Dai Loc'!$B164,[1]!Data_CF[TenCongTyID],'Dai Loc'!$B$1,[1]!Data_CF[Thang.Nam],'Dai Loc'!AA$155)</f>
        <v>0</v>
      </c>
      <c r="AB164" s="303">
        <f>SUMIFS([1]!Data_CF[Value],[1]!Data_CF[Index CF],'Dai Loc'!$B164,[1]!Data_CF[TenCongTyID],'Dai Loc'!$B$1,[1]!Data_CF[Thang.Nam],'Dai Loc'!AB$155)</f>
        <v>0</v>
      </c>
      <c r="AC164" s="303">
        <f>SUMIFS([1]!Data_CF[Value],[1]!Data_CF[Index CF],'Dai Loc'!$B164,[1]!Data_CF[TenCongTyID],'Dai Loc'!$B$1,[1]!Data_CF[Thang.Nam],'Dai Loc'!AC$155)</f>
        <v>0</v>
      </c>
      <c r="AD164" s="303">
        <f>SUMIFS([1]!Data_CF[Value],[1]!Data_CF[Index CF],'Dai Loc'!$B164,[1]!Data_CF[TenCongTyID],'Dai Loc'!$B$1,[1]!Data_CF[Thang.Nam],'Dai Loc'!AD$155)</f>
        <v>0</v>
      </c>
      <c r="AE164" s="303">
        <f>SUMIFS([1]!Data_CF[Value],[1]!Data_CF[Index CF],'Dai Loc'!$B164,[1]!Data_CF[TenCongTyID],'Dai Loc'!$B$1,[1]!Data_CF[Thang.Nam],'Dai Loc'!AE$155)</f>
        <v>0</v>
      </c>
      <c r="AF164" s="303">
        <f>SUMIFS([1]!Data_CF[Value],[1]!Data_CF[Index CF],'Dai Loc'!$B164,[1]!Data_CF[TenCongTyID],'Dai Loc'!$B$1,[1]!Data_CF[Thang.Nam],'Dai Loc'!AF$155)</f>
        <v>0</v>
      </c>
      <c r="AG164" s="303">
        <f>SUMIFS([1]!Data_CF[Value],[1]!Data_CF[Index CF],'Dai Loc'!$B164,[1]!Data_CF[TenCongTyID],'Dai Loc'!$B$1,[1]!Data_CF[Thang.Nam],'Dai Loc'!AG$155)</f>
        <v>0</v>
      </c>
      <c r="AH164" s="303">
        <f>SUMIFS([1]!Data_CF[Value],[1]!Data_CF[Index CF],'Dai Loc'!$B164,[1]!Data_CF[TenCongTyID],'Dai Loc'!$B$1,[1]!Data_CF[Thang.Nam],'Dai Loc'!AH$155)</f>
        <v>0</v>
      </c>
      <c r="AI164" s="303">
        <f>SUMIFS([1]!Data_CF[Value],[1]!Data_CF[Index CF],'Dai Loc'!$B164,[1]!Data_CF[TenCongTyID],'Dai Loc'!$B$1,[1]!Data_CF[Thang.Nam],'Dai Loc'!AI$155)</f>
        <v>0</v>
      </c>
      <c r="AJ164" s="303">
        <f>SUMIFS([1]!Data_CF[Value],[1]!Data_CF[Index CF],'Dai Loc'!$B164,[1]!Data_CF[TenCongTyID],'Dai Loc'!$B$1,[1]!Data_CF[Thang.Nam],'Dai Loc'!AJ$155)</f>
        <v>0</v>
      </c>
      <c r="AK164" s="303">
        <f>SUMIFS([1]!Data_CF[Value],[1]!Data_CF[Index CF],'Dai Loc'!$B164,[1]!Data_CF[TenCongTyID],'Dai Loc'!$B$1,[1]!Data_CF[Thang.Nam],'Dai Loc'!AK$155)</f>
        <v>0</v>
      </c>
      <c r="AL164" s="303">
        <f>SUMIFS([1]!Data_CF[Value],[1]!Data_CF[Index CF],'Dai Loc'!$B164,[1]!Data_CF[TenCongTyID],'Dai Loc'!$B$1,[1]!Data_CF[Thang.Nam],'Dai Loc'!AL$155)</f>
        <v>0</v>
      </c>
    </row>
    <row r="165" spans="1:38" ht="14">
      <c r="A165" s="156" t="s">
        <v>251</v>
      </c>
      <c r="B165" s="157">
        <v>10</v>
      </c>
      <c r="C165" s="308">
        <v>-1980473862</v>
      </c>
      <c r="D165" s="308">
        <v>-707347607</v>
      </c>
      <c r="E165" s="308">
        <v>403299844</v>
      </c>
      <c r="F165" s="308">
        <v>-24113047</v>
      </c>
      <c r="G165" s="308">
        <v>-657932371</v>
      </c>
      <c r="H165" s="308">
        <v>-1059310168</v>
      </c>
      <c r="I165" s="308">
        <v>-399391194</v>
      </c>
      <c r="J165" s="308">
        <v>-365460515</v>
      </c>
      <c r="K165" s="308">
        <v>-109496688</v>
      </c>
      <c r="L165" s="308">
        <v>143122514</v>
      </c>
      <c r="M165" s="308">
        <v>-604038313</v>
      </c>
      <c r="N165" s="308">
        <v>-833244045</v>
      </c>
      <c r="O165" s="308">
        <v>-918651837</v>
      </c>
      <c r="P165" s="308">
        <v>-826498723</v>
      </c>
      <c r="Q165" s="308">
        <v>22327902</v>
      </c>
      <c r="R165" s="308">
        <v>-272779361</v>
      </c>
      <c r="S165" s="308">
        <v>804247242</v>
      </c>
      <c r="T165" s="308">
        <v>-423341886</v>
      </c>
      <c r="U165" s="308">
        <v>1002398157</v>
      </c>
      <c r="V165" s="308">
        <v>943742538</v>
      </c>
      <c r="W165" s="308">
        <f>+SUM(W157:W164)</f>
        <v>-69315754</v>
      </c>
      <c r="X165" s="308">
        <v>389806689</v>
      </c>
      <c r="Y165" s="308">
        <v>-393148853</v>
      </c>
      <c r="Z165" s="308">
        <v>195893441</v>
      </c>
      <c r="AA165" s="309">
        <f>SUMIFS([1]!Data_CF[Value],[1]!Data_CF[Index CF],'Dai Loc'!$B165,[1]!Data_CF[TenCongTyID],'Dai Loc'!$B$1,[1]!Data_CF[Thang.Nam],'Dai Loc'!AA$155)</f>
        <v>0</v>
      </c>
      <c r="AB165" s="309">
        <f>SUMIFS([1]!Data_CF[Value],[1]!Data_CF[Index CF],'Dai Loc'!$B165,[1]!Data_CF[TenCongTyID],'Dai Loc'!$B$1,[1]!Data_CF[Thang.Nam],'Dai Loc'!AB$155)</f>
        <v>0</v>
      </c>
      <c r="AC165" s="309">
        <f>SUMIFS([1]!Data_CF[Value],[1]!Data_CF[Index CF],'Dai Loc'!$B165,[1]!Data_CF[TenCongTyID],'Dai Loc'!$B$1,[1]!Data_CF[Thang.Nam],'Dai Loc'!AC$155)</f>
        <v>0</v>
      </c>
      <c r="AD165" s="309">
        <f>SUMIFS([1]!Data_CF[Value],[1]!Data_CF[Index CF],'Dai Loc'!$B165,[1]!Data_CF[TenCongTyID],'Dai Loc'!$B$1,[1]!Data_CF[Thang.Nam],'Dai Loc'!AD$155)</f>
        <v>0</v>
      </c>
      <c r="AE165" s="309">
        <f>SUMIFS([1]!Data_CF[Value],[1]!Data_CF[Index CF],'Dai Loc'!$B165,[1]!Data_CF[TenCongTyID],'Dai Loc'!$B$1,[1]!Data_CF[Thang.Nam],'Dai Loc'!AE$155)</f>
        <v>0</v>
      </c>
      <c r="AF165" s="309">
        <f>SUMIFS([1]!Data_CF[Value],[1]!Data_CF[Index CF],'Dai Loc'!$B165,[1]!Data_CF[TenCongTyID],'Dai Loc'!$B$1,[1]!Data_CF[Thang.Nam],'Dai Loc'!AF$155)</f>
        <v>0</v>
      </c>
      <c r="AG165" s="309">
        <f>SUMIFS([1]!Data_CF[Value],[1]!Data_CF[Index CF],'Dai Loc'!$B165,[1]!Data_CF[TenCongTyID],'Dai Loc'!$B$1,[1]!Data_CF[Thang.Nam],'Dai Loc'!AG$155)</f>
        <v>0</v>
      </c>
      <c r="AH165" s="309">
        <f>SUMIFS([1]!Data_CF[Value],[1]!Data_CF[Index CF],'Dai Loc'!$B165,[1]!Data_CF[TenCongTyID],'Dai Loc'!$B$1,[1]!Data_CF[Thang.Nam],'Dai Loc'!AH$155)</f>
        <v>0</v>
      </c>
      <c r="AI165" s="309">
        <f>SUMIFS([1]!Data_CF[Value],[1]!Data_CF[Index CF],'Dai Loc'!$B165,[1]!Data_CF[TenCongTyID],'Dai Loc'!$B$1,[1]!Data_CF[Thang.Nam],'Dai Loc'!AI$155)</f>
        <v>0</v>
      </c>
      <c r="AJ165" s="309">
        <f>SUMIFS([1]!Data_CF[Value],[1]!Data_CF[Index CF],'Dai Loc'!$B165,[1]!Data_CF[TenCongTyID],'Dai Loc'!$B$1,[1]!Data_CF[Thang.Nam],'Dai Loc'!AJ$155)</f>
        <v>0</v>
      </c>
      <c r="AK165" s="309">
        <f>SUMIFS([1]!Data_CF[Value],[1]!Data_CF[Index CF],'Dai Loc'!$B165,[1]!Data_CF[TenCongTyID],'Dai Loc'!$B$1,[1]!Data_CF[Thang.Nam],'Dai Loc'!AK$155)</f>
        <v>0</v>
      </c>
      <c r="AL165" s="309">
        <f>SUMIFS([1]!Data_CF[Value],[1]!Data_CF[Index CF],'Dai Loc'!$B165,[1]!Data_CF[TenCongTyID],'Dai Loc'!$B$1,[1]!Data_CF[Thang.Nam],'Dai Loc'!AL$155)</f>
        <v>0</v>
      </c>
    </row>
    <row r="166" spans="1:38" ht="15" customHeight="1">
      <c r="A166" s="158" t="s">
        <v>252</v>
      </c>
      <c r="B166" s="159">
        <v>11</v>
      </c>
      <c r="C166" s="299">
        <v>-7151282644</v>
      </c>
      <c r="D166" s="299">
        <v>1221688602</v>
      </c>
      <c r="E166" s="299">
        <v>10005464002</v>
      </c>
      <c r="F166" s="299">
        <v>-853120010</v>
      </c>
      <c r="G166" s="299">
        <v>849530360</v>
      </c>
      <c r="H166" s="299">
        <v>-2659005090</v>
      </c>
      <c r="I166" s="299">
        <v>2913052573</v>
      </c>
      <c r="J166" s="299">
        <v>-1810837511</v>
      </c>
      <c r="K166" s="299">
        <v>-1901721240</v>
      </c>
      <c r="L166" s="299">
        <v>1724728584</v>
      </c>
      <c r="M166" s="299">
        <v>-1210643649</v>
      </c>
      <c r="N166" s="299">
        <v>2278736302</v>
      </c>
      <c r="O166" s="299">
        <v>1232357781</v>
      </c>
      <c r="P166" s="299">
        <v>-2573125668</v>
      </c>
      <c r="Q166" s="299">
        <v>1245433091</v>
      </c>
      <c r="R166" s="299">
        <v>1409287658</v>
      </c>
      <c r="S166" s="299">
        <v>-1790253649</v>
      </c>
      <c r="T166" s="299">
        <v>696694701</v>
      </c>
      <c r="U166" s="299">
        <v>1750256634</v>
      </c>
      <c r="V166" s="299">
        <v>-1500611483</v>
      </c>
      <c r="W166" s="299">
        <v>625270289</v>
      </c>
      <c r="X166" s="299">
        <v>-849114562</v>
      </c>
      <c r="Y166" s="299">
        <v>-404564957</v>
      </c>
      <c r="Z166" s="299">
        <v>2697224098</v>
      </c>
      <c r="AA166" s="305">
        <f>SUMIFS([1]!Data_CF[Value],[1]!Data_CF[Index CF],'Dai Loc'!$B166,[1]!Data_CF[TenCongTyID],'Dai Loc'!$B$1,[1]!Data_CF[Thang.Nam],'Dai Loc'!AA$155)</f>
        <v>0</v>
      </c>
      <c r="AB166" s="305">
        <f>SUMIFS([1]!Data_CF[Value],[1]!Data_CF[Index CF],'Dai Loc'!$B166,[1]!Data_CF[TenCongTyID],'Dai Loc'!$B$1,[1]!Data_CF[Thang.Nam],'Dai Loc'!AB$155)</f>
        <v>0</v>
      </c>
      <c r="AC166" s="305">
        <f>SUMIFS([1]!Data_CF[Value],[1]!Data_CF[Index CF],'Dai Loc'!$B166,[1]!Data_CF[TenCongTyID],'Dai Loc'!$B$1,[1]!Data_CF[Thang.Nam],'Dai Loc'!AC$155)</f>
        <v>0</v>
      </c>
      <c r="AD166" s="305">
        <f>SUMIFS([1]!Data_CF[Value],[1]!Data_CF[Index CF],'Dai Loc'!$B166,[1]!Data_CF[TenCongTyID],'Dai Loc'!$B$1,[1]!Data_CF[Thang.Nam],'Dai Loc'!AD$155)</f>
        <v>0</v>
      </c>
      <c r="AE166" s="305">
        <f>SUMIFS([1]!Data_CF[Value],[1]!Data_CF[Index CF],'Dai Loc'!$B166,[1]!Data_CF[TenCongTyID],'Dai Loc'!$B$1,[1]!Data_CF[Thang.Nam],'Dai Loc'!AE$155)</f>
        <v>0</v>
      </c>
      <c r="AF166" s="305">
        <f>SUMIFS([1]!Data_CF[Value],[1]!Data_CF[Index CF],'Dai Loc'!$B166,[1]!Data_CF[TenCongTyID],'Dai Loc'!$B$1,[1]!Data_CF[Thang.Nam],'Dai Loc'!AF$155)</f>
        <v>0</v>
      </c>
      <c r="AG166" s="305">
        <f>SUMIFS([1]!Data_CF[Value],[1]!Data_CF[Index CF],'Dai Loc'!$B166,[1]!Data_CF[TenCongTyID],'Dai Loc'!$B$1,[1]!Data_CF[Thang.Nam],'Dai Loc'!AG$155)</f>
        <v>0</v>
      </c>
      <c r="AH166" s="305">
        <f>SUMIFS([1]!Data_CF[Value],[1]!Data_CF[Index CF],'Dai Loc'!$B166,[1]!Data_CF[TenCongTyID],'Dai Loc'!$B$1,[1]!Data_CF[Thang.Nam],'Dai Loc'!AH$155)</f>
        <v>0</v>
      </c>
      <c r="AI166" s="305">
        <f>SUMIFS([1]!Data_CF[Value],[1]!Data_CF[Index CF],'Dai Loc'!$B166,[1]!Data_CF[TenCongTyID],'Dai Loc'!$B$1,[1]!Data_CF[Thang.Nam],'Dai Loc'!AI$155)</f>
        <v>0</v>
      </c>
      <c r="AJ166" s="305">
        <f>SUMIFS([1]!Data_CF[Value],[1]!Data_CF[Index CF],'Dai Loc'!$B166,[1]!Data_CF[TenCongTyID],'Dai Loc'!$B$1,[1]!Data_CF[Thang.Nam],'Dai Loc'!AJ$155)</f>
        <v>0</v>
      </c>
      <c r="AK166" s="305">
        <f>SUMIFS([1]!Data_CF[Value],[1]!Data_CF[Index CF],'Dai Loc'!$B166,[1]!Data_CF[TenCongTyID],'Dai Loc'!$B$1,[1]!Data_CF[Thang.Nam],'Dai Loc'!AK$155)</f>
        <v>0</v>
      </c>
      <c r="AL166" s="305">
        <f>SUMIFS([1]!Data_CF[Value],[1]!Data_CF[Index CF],'Dai Loc'!$B166,[1]!Data_CF[TenCongTyID],'Dai Loc'!$B$1,[1]!Data_CF[Thang.Nam],'Dai Loc'!AL$155)</f>
        <v>0</v>
      </c>
    </row>
    <row r="167" spans="1:38" ht="15" customHeight="1">
      <c r="A167" s="160" t="s">
        <v>253</v>
      </c>
      <c r="B167" s="161">
        <v>12</v>
      </c>
      <c r="C167" s="299">
        <v>9292318022</v>
      </c>
      <c r="D167" s="299">
        <v>-1132446392</v>
      </c>
      <c r="E167" s="299">
        <v>1050247452</v>
      </c>
      <c r="F167" s="299">
        <v>-494733292</v>
      </c>
      <c r="G167" s="299">
        <v>1689323547</v>
      </c>
      <c r="H167" s="299">
        <v>2219684273</v>
      </c>
      <c r="I167" s="299">
        <v>1552321986</v>
      </c>
      <c r="J167" s="299">
        <v>-1118873801</v>
      </c>
      <c r="K167" s="299">
        <v>60202391</v>
      </c>
      <c r="L167" s="299">
        <v>1084505924</v>
      </c>
      <c r="M167" s="299">
        <v>-291621187</v>
      </c>
      <c r="N167" s="299">
        <v>2722044826</v>
      </c>
      <c r="O167" s="299">
        <v>-2271717672</v>
      </c>
      <c r="P167" s="299">
        <v>-5094570</v>
      </c>
      <c r="Q167" s="299">
        <v>2622797493</v>
      </c>
      <c r="R167" s="299">
        <v>60560892</v>
      </c>
      <c r="S167" s="299">
        <v>-747760377</v>
      </c>
      <c r="T167" s="299">
        <v>-1118496503</v>
      </c>
      <c r="U167" s="299">
        <v>-7062968809</v>
      </c>
      <c r="V167" s="299">
        <v>-520425049</v>
      </c>
      <c r="W167" s="299">
        <v>7058959391</v>
      </c>
      <c r="X167" s="299">
        <v>5312279470</v>
      </c>
      <c r="Y167" s="299">
        <v>-1484949278</v>
      </c>
      <c r="Z167" s="299">
        <v>108496255</v>
      </c>
      <c r="AA167" s="305">
        <f>SUMIFS([1]!Data_CF[Value],[1]!Data_CF[Index CF],'Dai Loc'!$B167,[1]!Data_CF[TenCongTyID],'Dai Loc'!$B$1,[1]!Data_CF[Thang.Nam],'Dai Loc'!AA$155)</f>
        <v>0</v>
      </c>
      <c r="AB167" s="305">
        <f>SUMIFS([1]!Data_CF[Value],[1]!Data_CF[Index CF],'Dai Loc'!$B167,[1]!Data_CF[TenCongTyID],'Dai Loc'!$B$1,[1]!Data_CF[Thang.Nam],'Dai Loc'!AB$155)</f>
        <v>0</v>
      </c>
      <c r="AC167" s="305">
        <f>SUMIFS([1]!Data_CF[Value],[1]!Data_CF[Index CF],'Dai Loc'!$B167,[1]!Data_CF[TenCongTyID],'Dai Loc'!$B$1,[1]!Data_CF[Thang.Nam],'Dai Loc'!AC$155)</f>
        <v>0</v>
      </c>
      <c r="AD167" s="305">
        <f>SUMIFS([1]!Data_CF[Value],[1]!Data_CF[Index CF],'Dai Loc'!$B167,[1]!Data_CF[TenCongTyID],'Dai Loc'!$B$1,[1]!Data_CF[Thang.Nam],'Dai Loc'!AD$155)</f>
        <v>0</v>
      </c>
      <c r="AE167" s="305">
        <f>SUMIFS([1]!Data_CF[Value],[1]!Data_CF[Index CF],'Dai Loc'!$B167,[1]!Data_CF[TenCongTyID],'Dai Loc'!$B$1,[1]!Data_CF[Thang.Nam],'Dai Loc'!AE$155)</f>
        <v>0</v>
      </c>
      <c r="AF167" s="305">
        <f>SUMIFS([1]!Data_CF[Value],[1]!Data_CF[Index CF],'Dai Loc'!$B167,[1]!Data_CF[TenCongTyID],'Dai Loc'!$B$1,[1]!Data_CF[Thang.Nam],'Dai Loc'!AF$155)</f>
        <v>0</v>
      </c>
      <c r="AG167" s="305">
        <f>SUMIFS([1]!Data_CF[Value],[1]!Data_CF[Index CF],'Dai Loc'!$B167,[1]!Data_CF[TenCongTyID],'Dai Loc'!$B$1,[1]!Data_CF[Thang.Nam],'Dai Loc'!AG$155)</f>
        <v>0</v>
      </c>
      <c r="AH167" s="305">
        <f>SUMIFS([1]!Data_CF[Value],[1]!Data_CF[Index CF],'Dai Loc'!$B167,[1]!Data_CF[TenCongTyID],'Dai Loc'!$B$1,[1]!Data_CF[Thang.Nam],'Dai Loc'!AH$155)</f>
        <v>0</v>
      </c>
      <c r="AI167" s="305">
        <f>SUMIFS([1]!Data_CF[Value],[1]!Data_CF[Index CF],'Dai Loc'!$B167,[1]!Data_CF[TenCongTyID],'Dai Loc'!$B$1,[1]!Data_CF[Thang.Nam],'Dai Loc'!AI$155)</f>
        <v>0</v>
      </c>
      <c r="AJ167" s="305">
        <f>SUMIFS([1]!Data_CF[Value],[1]!Data_CF[Index CF],'Dai Loc'!$B167,[1]!Data_CF[TenCongTyID],'Dai Loc'!$B$1,[1]!Data_CF[Thang.Nam],'Dai Loc'!AJ$155)</f>
        <v>0</v>
      </c>
      <c r="AK167" s="305">
        <f>SUMIFS([1]!Data_CF[Value],[1]!Data_CF[Index CF],'Dai Loc'!$B167,[1]!Data_CF[TenCongTyID],'Dai Loc'!$B$1,[1]!Data_CF[Thang.Nam],'Dai Loc'!AK$155)</f>
        <v>0</v>
      </c>
      <c r="AL167" s="305">
        <f>SUMIFS([1]!Data_CF[Value],[1]!Data_CF[Index CF],'Dai Loc'!$B167,[1]!Data_CF[TenCongTyID],'Dai Loc'!$B$1,[1]!Data_CF[Thang.Nam],'Dai Loc'!AL$155)</f>
        <v>0</v>
      </c>
    </row>
    <row r="168" spans="1:38" ht="14">
      <c r="A168" s="158" t="s">
        <v>254</v>
      </c>
      <c r="B168" s="159">
        <v>13</v>
      </c>
      <c r="C168" s="299">
        <v>1794619593</v>
      </c>
      <c r="D168" s="299">
        <v>-194732694</v>
      </c>
      <c r="E168" s="299">
        <v>-9902365735</v>
      </c>
      <c r="F168" s="299">
        <v>600027631</v>
      </c>
      <c r="G168" s="299">
        <v>-1399225225</v>
      </c>
      <c r="H168" s="299">
        <v>-1943853179</v>
      </c>
      <c r="I168" s="299">
        <v>-1637045373</v>
      </c>
      <c r="J168" s="299">
        <v>1361772801</v>
      </c>
      <c r="K168" s="299">
        <v>2367880752</v>
      </c>
      <c r="L168" s="299">
        <v>129302976</v>
      </c>
      <c r="M168" s="299">
        <v>599171125</v>
      </c>
      <c r="N168" s="299">
        <v>-4254781449</v>
      </c>
      <c r="O168" s="299">
        <v>5020580788</v>
      </c>
      <c r="P168" s="299">
        <v>661851131</v>
      </c>
      <c r="Q168" s="299">
        <v>-2591779387</v>
      </c>
      <c r="R168" s="299">
        <v>1105610728</v>
      </c>
      <c r="S168" s="299">
        <v>-609589815</v>
      </c>
      <c r="T168" s="299">
        <v>323565984</v>
      </c>
      <c r="U168" s="299">
        <v>8877000774</v>
      </c>
      <c r="V168" s="299">
        <v>728710146</v>
      </c>
      <c r="W168" s="299">
        <v>-2213785321</v>
      </c>
      <c r="X168" s="299">
        <v>-2126569852</v>
      </c>
      <c r="Y168" s="299">
        <v>-2408998678</v>
      </c>
      <c r="Z168" s="299">
        <v>-1527004451</v>
      </c>
      <c r="AA168" s="305">
        <f>SUMIFS([1]!Data_CF[Value],[1]!Data_CF[Index CF],'Dai Loc'!$B168,[1]!Data_CF[TenCongTyID],'Dai Loc'!$B$1,[1]!Data_CF[Thang.Nam],'Dai Loc'!AA$155)</f>
        <v>0</v>
      </c>
      <c r="AB168" s="305">
        <f>SUMIFS([1]!Data_CF[Value],[1]!Data_CF[Index CF],'Dai Loc'!$B168,[1]!Data_CF[TenCongTyID],'Dai Loc'!$B$1,[1]!Data_CF[Thang.Nam],'Dai Loc'!AB$155)</f>
        <v>0</v>
      </c>
      <c r="AC168" s="305">
        <f>SUMIFS([1]!Data_CF[Value],[1]!Data_CF[Index CF],'Dai Loc'!$B168,[1]!Data_CF[TenCongTyID],'Dai Loc'!$B$1,[1]!Data_CF[Thang.Nam],'Dai Loc'!AC$155)</f>
        <v>0</v>
      </c>
      <c r="AD168" s="305">
        <f>SUMIFS([1]!Data_CF[Value],[1]!Data_CF[Index CF],'Dai Loc'!$B168,[1]!Data_CF[TenCongTyID],'Dai Loc'!$B$1,[1]!Data_CF[Thang.Nam],'Dai Loc'!AD$155)</f>
        <v>0</v>
      </c>
      <c r="AE168" s="305">
        <f>SUMIFS([1]!Data_CF[Value],[1]!Data_CF[Index CF],'Dai Loc'!$B168,[1]!Data_CF[TenCongTyID],'Dai Loc'!$B$1,[1]!Data_CF[Thang.Nam],'Dai Loc'!AE$155)</f>
        <v>0</v>
      </c>
      <c r="AF168" s="305">
        <f>SUMIFS([1]!Data_CF[Value],[1]!Data_CF[Index CF],'Dai Loc'!$B168,[1]!Data_CF[TenCongTyID],'Dai Loc'!$B$1,[1]!Data_CF[Thang.Nam],'Dai Loc'!AF$155)</f>
        <v>0</v>
      </c>
      <c r="AG168" s="305">
        <f>SUMIFS([1]!Data_CF[Value],[1]!Data_CF[Index CF],'Dai Loc'!$B168,[1]!Data_CF[TenCongTyID],'Dai Loc'!$B$1,[1]!Data_CF[Thang.Nam],'Dai Loc'!AG$155)</f>
        <v>0</v>
      </c>
      <c r="AH168" s="305">
        <f>SUMIFS([1]!Data_CF[Value],[1]!Data_CF[Index CF],'Dai Loc'!$B168,[1]!Data_CF[TenCongTyID],'Dai Loc'!$B$1,[1]!Data_CF[Thang.Nam],'Dai Loc'!AH$155)</f>
        <v>0</v>
      </c>
      <c r="AI168" s="305">
        <f>SUMIFS([1]!Data_CF[Value],[1]!Data_CF[Index CF],'Dai Loc'!$B168,[1]!Data_CF[TenCongTyID],'Dai Loc'!$B$1,[1]!Data_CF[Thang.Nam],'Dai Loc'!AI$155)</f>
        <v>0</v>
      </c>
      <c r="AJ168" s="305">
        <f>SUMIFS([1]!Data_CF[Value],[1]!Data_CF[Index CF],'Dai Loc'!$B168,[1]!Data_CF[TenCongTyID],'Dai Loc'!$B$1,[1]!Data_CF[Thang.Nam],'Dai Loc'!AJ$155)</f>
        <v>0</v>
      </c>
      <c r="AK168" s="305">
        <f>SUMIFS([1]!Data_CF[Value],[1]!Data_CF[Index CF],'Dai Loc'!$B168,[1]!Data_CF[TenCongTyID],'Dai Loc'!$B$1,[1]!Data_CF[Thang.Nam],'Dai Loc'!AK$155)</f>
        <v>0</v>
      </c>
      <c r="AL168" s="305">
        <f>SUMIFS([1]!Data_CF[Value],[1]!Data_CF[Index CF],'Dai Loc'!$B168,[1]!Data_CF[TenCongTyID],'Dai Loc'!$B$1,[1]!Data_CF[Thang.Nam],'Dai Loc'!AL$155)</f>
        <v>0</v>
      </c>
    </row>
    <row r="169" spans="1:38" ht="15" customHeight="1">
      <c r="A169" s="158" t="s">
        <v>255</v>
      </c>
      <c r="B169" s="159">
        <v>14</v>
      </c>
      <c r="C169" s="299">
        <v>-131028934</v>
      </c>
      <c r="D169" s="299">
        <v>30462161</v>
      </c>
      <c r="E169" s="299">
        <v>55346839</v>
      </c>
      <c r="F169" s="299">
        <v>65924052</v>
      </c>
      <c r="G169" s="299">
        <v>51867551</v>
      </c>
      <c r="H169" s="299">
        <v>51668800</v>
      </c>
      <c r="I169" s="299">
        <v>50303190</v>
      </c>
      <c r="J169" s="299">
        <v>35223454</v>
      </c>
      <c r="K169" s="300">
        <v>37413030</v>
      </c>
      <c r="L169" s="341">
        <v>6516318</v>
      </c>
      <c r="M169" s="341">
        <v>-184909359</v>
      </c>
      <c r="N169" s="341">
        <v>-83808421</v>
      </c>
      <c r="O169" s="341">
        <v>-570709372</v>
      </c>
      <c r="P169" s="341">
        <v>57076762</v>
      </c>
      <c r="Q169" s="341">
        <v>48475453</v>
      </c>
      <c r="R169" s="341">
        <v>108125563</v>
      </c>
      <c r="S169" s="341">
        <v>-513991939</v>
      </c>
      <c r="T169" s="341">
        <v>-433704683</v>
      </c>
      <c r="U169" s="341">
        <v>-253525762</v>
      </c>
      <c r="V169" s="341">
        <v>-432504539</v>
      </c>
      <c r="W169" s="341">
        <v>-186249089</v>
      </c>
      <c r="X169" s="341">
        <v>129571387</v>
      </c>
      <c r="Y169" s="341">
        <v>233574405</v>
      </c>
      <c r="Z169" s="341">
        <v>6389985</v>
      </c>
      <c r="AA169" s="342">
        <f>SUMIFS([1]!Data_CF[Value],[1]!Data_CF[Index CF],'Dai Loc'!$B169,[1]!Data_CF[TenCongTyID],'Dai Loc'!$B$1,[1]!Data_CF[Thang.Nam],'Dai Loc'!AA$155)</f>
        <v>0</v>
      </c>
      <c r="AB169" s="342">
        <f>SUMIFS([1]!Data_CF[Value],[1]!Data_CF[Index CF],'Dai Loc'!$B169,[1]!Data_CF[TenCongTyID],'Dai Loc'!$B$1,[1]!Data_CF[Thang.Nam],'Dai Loc'!AB$155)</f>
        <v>0</v>
      </c>
      <c r="AC169" s="342">
        <f>SUMIFS([1]!Data_CF[Value],[1]!Data_CF[Index CF],'Dai Loc'!$B169,[1]!Data_CF[TenCongTyID],'Dai Loc'!$B$1,[1]!Data_CF[Thang.Nam],'Dai Loc'!AC$155)</f>
        <v>0</v>
      </c>
      <c r="AD169" s="342">
        <f>SUMIFS([1]!Data_CF[Value],[1]!Data_CF[Index CF],'Dai Loc'!$B169,[1]!Data_CF[TenCongTyID],'Dai Loc'!$B$1,[1]!Data_CF[Thang.Nam],'Dai Loc'!AD$155)</f>
        <v>0</v>
      </c>
      <c r="AE169" s="342">
        <f>SUMIFS([1]!Data_CF[Value],[1]!Data_CF[Index CF],'Dai Loc'!$B169,[1]!Data_CF[TenCongTyID],'Dai Loc'!$B$1,[1]!Data_CF[Thang.Nam],'Dai Loc'!AE$155)</f>
        <v>0</v>
      </c>
      <c r="AF169" s="342">
        <f>SUMIFS([1]!Data_CF[Value],[1]!Data_CF[Index CF],'Dai Loc'!$B169,[1]!Data_CF[TenCongTyID],'Dai Loc'!$B$1,[1]!Data_CF[Thang.Nam],'Dai Loc'!AF$155)</f>
        <v>0</v>
      </c>
      <c r="AG169" s="342">
        <f>SUMIFS([1]!Data_CF[Value],[1]!Data_CF[Index CF],'Dai Loc'!$B169,[1]!Data_CF[TenCongTyID],'Dai Loc'!$B$1,[1]!Data_CF[Thang.Nam],'Dai Loc'!AG$155)</f>
        <v>0</v>
      </c>
      <c r="AH169" s="342">
        <f>SUMIFS([1]!Data_CF[Value],[1]!Data_CF[Index CF],'Dai Loc'!$B169,[1]!Data_CF[TenCongTyID],'Dai Loc'!$B$1,[1]!Data_CF[Thang.Nam],'Dai Loc'!AH$155)</f>
        <v>0</v>
      </c>
      <c r="AI169" s="342">
        <f>SUMIFS([1]!Data_CF[Value],[1]!Data_CF[Index CF],'Dai Loc'!$B169,[1]!Data_CF[TenCongTyID],'Dai Loc'!$B$1,[1]!Data_CF[Thang.Nam],'Dai Loc'!AI$155)</f>
        <v>0</v>
      </c>
      <c r="AJ169" s="342">
        <f>SUMIFS([1]!Data_CF[Value],[1]!Data_CF[Index CF],'Dai Loc'!$B169,[1]!Data_CF[TenCongTyID],'Dai Loc'!$B$1,[1]!Data_CF[Thang.Nam],'Dai Loc'!AJ$155)</f>
        <v>0</v>
      </c>
      <c r="AK169" s="342">
        <f>SUMIFS([1]!Data_CF[Value],[1]!Data_CF[Index CF],'Dai Loc'!$B169,[1]!Data_CF[TenCongTyID],'Dai Loc'!$B$1,[1]!Data_CF[Thang.Nam],'Dai Loc'!AK$155)</f>
        <v>0</v>
      </c>
      <c r="AL169" s="342">
        <f>SUMIFS([1]!Data_CF[Value],[1]!Data_CF[Index CF],'Dai Loc'!$B169,[1]!Data_CF[TenCongTyID],'Dai Loc'!$B$1,[1]!Data_CF[Thang.Nam],'Dai Loc'!AL$155)</f>
        <v>0</v>
      </c>
    </row>
    <row r="170" spans="1:38" ht="15" customHeight="1">
      <c r="A170" s="158" t="s">
        <v>256</v>
      </c>
      <c r="B170" s="159">
        <v>15</v>
      </c>
      <c r="C170" s="304"/>
      <c r="D170" s="304"/>
      <c r="E170" s="304"/>
      <c r="F170" s="304"/>
      <c r="G170" s="304"/>
      <c r="H170" s="304"/>
      <c r="I170" s="304"/>
      <c r="J170" s="304"/>
      <c r="K170" s="304"/>
      <c r="L170" s="304"/>
      <c r="M170" s="304"/>
      <c r="N170" s="304"/>
      <c r="O170" s="304"/>
      <c r="P170" s="304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>
        <v>0</v>
      </c>
      <c r="AA170" s="305">
        <f>SUMIFS([1]!Data_CF[Value],[1]!Data_CF[Index CF],'Dai Loc'!$B170,[1]!Data_CF[TenCongTyID],'Dai Loc'!$B$1,[1]!Data_CF[Thang.Nam],'Dai Loc'!AA$155)</f>
        <v>0</v>
      </c>
      <c r="AB170" s="305">
        <f>SUMIFS([1]!Data_CF[Value],[1]!Data_CF[Index CF],'Dai Loc'!$B170,[1]!Data_CF[TenCongTyID],'Dai Loc'!$B$1,[1]!Data_CF[Thang.Nam],'Dai Loc'!AB$155)</f>
        <v>0</v>
      </c>
      <c r="AC170" s="305">
        <f>SUMIFS([1]!Data_CF[Value],[1]!Data_CF[Index CF],'Dai Loc'!$B170,[1]!Data_CF[TenCongTyID],'Dai Loc'!$B$1,[1]!Data_CF[Thang.Nam],'Dai Loc'!AC$155)</f>
        <v>0</v>
      </c>
      <c r="AD170" s="305">
        <f>SUMIFS([1]!Data_CF[Value],[1]!Data_CF[Index CF],'Dai Loc'!$B170,[1]!Data_CF[TenCongTyID],'Dai Loc'!$B$1,[1]!Data_CF[Thang.Nam],'Dai Loc'!AD$155)</f>
        <v>0</v>
      </c>
      <c r="AE170" s="305">
        <f>SUMIFS([1]!Data_CF[Value],[1]!Data_CF[Index CF],'Dai Loc'!$B170,[1]!Data_CF[TenCongTyID],'Dai Loc'!$B$1,[1]!Data_CF[Thang.Nam],'Dai Loc'!AE$155)</f>
        <v>0</v>
      </c>
      <c r="AF170" s="305">
        <f>SUMIFS([1]!Data_CF[Value],[1]!Data_CF[Index CF],'Dai Loc'!$B170,[1]!Data_CF[TenCongTyID],'Dai Loc'!$B$1,[1]!Data_CF[Thang.Nam],'Dai Loc'!AF$155)</f>
        <v>0</v>
      </c>
      <c r="AG170" s="305">
        <f>SUMIFS([1]!Data_CF[Value],[1]!Data_CF[Index CF],'Dai Loc'!$B170,[1]!Data_CF[TenCongTyID],'Dai Loc'!$B$1,[1]!Data_CF[Thang.Nam],'Dai Loc'!AG$155)</f>
        <v>0</v>
      </c>
      <c r="AH170" s="305">
        <f>SUMIFS([1]!Data_CF[Value],[1]!Data_CF[Index CF],'Dai Loc'!$B170,[1]!Data_CF[TenCongTyID],'Dai Loc'!$B$1,[1]!Data_CF[Thang.Nam],'Dai Loc'!AH$155)</f>
        <v>0</v>
      </c>
      <c r="AI170" s="305">
        <f>SUMIFS([1]!Data_CF[Value],[1]!Data_CF[Index CF],'Dai Loc'!$B170,[1]!Data_CF[TenCongTyID],'Dai Loc'!$B$1,[1]!Data_CF[Thang.Nam],'Dai Loc'!AI$155)</f>
        <v>0</v>
      </c>
      <c r="AJ170" s="305">
        <f>SUMIFS([1]!Data_CF[Value],[1]!Data_CF[Index CF],'Dai Loc'!$B170,[1]!Data_CF[TenCongTyID],'Dai Loc'!$B$1,[1]!Data_CF[Thang.Nam],'Dai Loc'!AJ$155)</f>
        <v>0</v>
      </c>
      <c r="AK170" s="305">
        <f>SUMIFS([1]!Data_CF[Value],[1]!Data_CF[Index CF],'Dai Loc'!$B170,[1]!Data_CF[TenCongTyID],'Dai Loc'!$B$1,[1]!Data_CF[Thang.Nam],'Dai Loc'!AK$155)</f>
        <v>0</v>
      </c>
      <c r="AL170" s="305">
        <f>SUMIFS([1]!Data_CF[Value],[1]!Data_CF[Index CF],'Dai Loc'!$B170,[1]!Data_CF[TenCongTyID],'Dai Loc'!$B$1,[1]!Data_CF[Thang.Nam],'Dai Loc'!AL$155)</f>
        <v>0</v>
      </c>
    </row>
    <row r="171" spans="1:38" ht="15" customHeight="1">
      <c r="A171" s="158" t="s">
        <v>257</v>
      </c>
      <c r="B171" s="159">
        <v>16</v>
      </c>
      <c r="C171" s="299"/>
      <c r="D171" s="299"/>
      <c r="E171" s="299"/>
      <c r="F171" s="299"/>
      <c r="G171" s="299"/>
      <c r="H171" s="299"/>
      <c r="I171" s="299"/>
      <c r="J171" s="299"/>
      <c r="K171" s="299"/>
      <c r="L171" s="341"/>
      <c r="M171" s="341"/>
      <c r="N171" s="341"/>
      <c r="O171" s="341"/>
      <c r="P171" s="341"/>
      <c r="Q171" s="341"/>
      <c r="R171" s="341"/>
      <c r="S171" s="341"/>
      <c r="T171" s="341"/>
      <c r="U171" s="341"/>
      <c r="V171" s="341"/>
      <c r="W171" s="341"/>
      <c r="X171" s="341"/>
      <c r="Y171" s="341"/>
      <c r="Z171" s="341">
        <v>0</v>
      </c>
      <c r="AA171" s="342">
        <f>SUMIFS([1]!Data_CF[Value],[1]!Data_CF[Index CF],'Dai Loc'!$B171,[1]!Data_CF[TenCongTyID],'Dai Loc'!$B$1,[1]!Data_CF[Thang.Nam],'Dai Loc'!AA$155)</f>
        <v>0</v>
      </c>
      <c r="AB171" s="342">
        <f>SUMIFS([1]!Data_CF[Value],[1]!Data_CF[Index CF],'Dai Loc'!$B171,[1]!Data_CF[TenCongTyID],'Dai Loc'!$B$1,[1]!Data_CF[Thang.Nam],'Dai Loc'!AB$155)</f>
        <v>0</v>
      </c>
      <c r="AC171" s="342">
        <f>SUMIFS([1]!Data_CF[Value],[1]!Data_CF[Index CF],'Dai Loc'!$B171,[1]!Data_CF[TenCongTyID],'Dai Loc'!$B$1,[1]!Data_CF[Thang.Nam],'Dai Loc'!AC$155)</f>
        <v>0</v>
      </c>
      <c r="AD171" s="342">
        <f>SUMIFS([1]!Data_CF[Value],[1]!Data_CF[Index CF],'Dai Loc'!$B171,[1]!Data_CF[TenCongTyID],'Dai Loc'!$B$1,[1]!Data_CF[Thang.Nam],'Dai Loc'!AD$155)</f>
        <v>0</v>
      </c>
      <c r="AE171" s="342">
        <f>SUMIFS([1]!Data_CF[Value],[1]!Data_CF[Index CF],'Dai Loc'!$B171,[1]!Data_CF[TenCongTyID],'Dai Loc'!$B$1,[1]!Data_CF[Thang.Nam],'Dai Loc'!AE$155)</f>
        <v>0</v>
      </c>
      <c r="AF171" s="342">
        <f>SUMIFS([1]!Data_CF[Value],[1]!Data_CF[Index CF],'Dai Loc'!$B171,[1]!Data_CF[TenCongTyID],'Dai Loc'!$B$1,[1]!Data_CF[Thang.Nam],'Dai Loc'!AF$155)</f>
        <v>0</v>
      </c>
      <c r="AG171" s="342">
        <f>SUMIFS([1]!Data_CF[Value],[1]!Data_CF[Index CF],'Dai Loc'!$B171,[1]!Data_CF[TenCongTyID],'Dai Loc'!$B$1,[1]!Data_CF[Thang.Nam],'Dai Loc'!AG$155)</f>
        <v>0</v>
      </c>
      <c r="AH171" s="342">
        <f>SUMIFS([1]!Data_CF[Value],[1]!Data_CF[Index CF],'Dai Loc'!$B171,[1]!Data_CF[TenCongTyID],'Dai Loc'!$B$1,[1]!Data_CF[Thang.Nam],'Dai Loc'!AH$155)</f>
        <v>0</v>
      </c>
      <c r="AI171" s="342">
        <f>SUMIFS([1]!Data_CF[Value],[1]!Data_CF[Index CF],'Dai Loc'!$B171,[1]!Data_CF[TenCongTyID],'Dai Loc'!$B$1,[1]!Data_CF[Thang.Nam],'Dai Loc'!AI$155)</f>
        <v>0</v>
      </c>
      <c r="AJ171" s="342">
        <f>SUMIFS([1]!Data_CF[Value],[1]!Data_CF[Index CF],'Dai Loc'!$B171,[1]!Data_CF[TenCongTyID],'Dai Loc'!$B$1,[1]!Data_CF[Thang.Nam],'Dai Loc'!AJ$155)</f>
        <v>0</v>
      </c>
      <c r="AK171" s="342">
        <f>SUMIFS([1]!Data_CF[Value],[1]!Data_CF[Index CF],'Dai Loc'!$B171,[1]!Data_CF[TenCongTyID],'Dai Loc'!$B$1,[1]!Data_CF[Thang.Nam],'Dai Loc'!AK$155)</f>
        <v>0</v>
      </c>
      <c r="AL171" s="342">
        <f>SUMIFS([1]!Data_CF[Value],[1]!Data_CF[Index CF],'Dai Loc'!$B171,[1]!Data_CF[TenCongTyID],'Dai Loc'!$B$1,[1]!Data_CF[Thang.Nam],'Dai Loc'!AL$155)</f>
        <v>0</v>
      </c>
    </row>
    <row r="172" spans="1:38" ht="15" customHeight="1">
      <c r="A172" s="158" t="s">
        <v>258</v>
      </c>
      <c r="B172" s="159">
        <v>17</v>
      </c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>
        <v>0</v>
      </c>
      <c r="X172" s="299"/>
      <c r="Y172" s="299"/>
      <c r="Z172" s="299">
        <v>0</v>
      </c>
      <c r="AA172" s="305">
        <f>SUMIFS([1]!Data_CF[Value],[1]!Data_CF[Index CF],'Dai Loc'!$B172,[1]!Data_CF[TenCongTyID],'Dai Loc'!$B$1,[1]!Data_CF[Thang.Nam],'Dai Loc'!AA$155)</f>
        <v>0</v>
      </c>
      <c r="AB172" s="305">
        <f>SUMIFS([1]!Data_CF[Value],[1]!Data_CF[Index CF],'Dai Loc'!$B172,[1]!Data_CF[TenCongTyID],'Dai Loc'!$B$1,[1]!Data_CF[Thang.Nam],'Dai Loc'!AB$155)</f>
        <v>0</v>
      </c>
      <c r="AC172" s="305">
        <f>SUMIFS([1]!Data_CF[Value],[1]!Data_CF[Index CF],'Dai Loc'!$B172,[1]!Data_CF[TenCongTyID],'Dai Loc'!$B$1,[1]!Data_CF[Thang.Nam],'Dai Loc'!AC$155)</f>
        <v>0</v>
      </c>
      <c r="AD172" s="305">
        <f>SUMIFS([1]!Data_CF[Value],[1]!Data_CF[Index CF],'Dai Loc'!$B172,[1]!Data_CF[TenCongTyID],'Dai Loc'!$B$1,[1]!Data_CF[Thang.Nam],'Dai Loc'!AD$155)</f>
        <v>0</v>
      </c>
      <c r="AE172" s="305">
        <f>SUMIFS([1]!Data_CF[Value],[1]!Data_CF[Index CF],'Dai Loc'!$B172,[1]!Data_CF[TenCongTyID],'Dai Loc'!$B$1,[1]!Data_CF[Thang.Nam],'Dai Loc'!AE$155)</f>
        <v>0</v>
      </c>
      <c r="AF172" s="305">
        <f>SUMIFS([1]!Data_CF[Value],[1]!Data_CF[Index CF],'Dai Loc'!$B172,[1]!Data_CF[TenCongTyID],'Dai Loc'!$B$1,[1]!Data_CF[Thang.Nam],'Dai Loc'!AF$155)</f>
        <v>0</v>
      </c>
      <c r="AG172" s="305">
        <f>SUMIFS([1]!Data_CF[Value],[1]!Data_CF[Index CF],'Dai Loc'!$B172,[1]!Data_CF[TenCongTyID],'Dai Loc'!$B$1,[1]!Data_CF[Thang.Nam],'Dai Loc'!AG$155)</f>
        <v>0</v>
      </c>
      <c r="AH172" s="305">
        <f>SUMIFS([1]!Data_CF[Value],[1]!Data_CF[Index CF],'Dai Loc'!$B172,[1]!Data_CF[TenCongTyID],'Dai Loc'!$B$1,[1]!Data_CF[Thang.Nam],'Dai Loc'!AH$155)</f>
        <v>0</v>
      </c>
      <c r="AI172" s="305">
        <f>SUMIFS([1]!Data_CF[Value],[1]!Data_CF[Index CF],'Dai Loc'!$B172,[1]!Data_CF[TenCongTyID],'Dai Loc'!$B$1,[1]!Data_CF[Thang.Nam],'Dai Loc'!AI$155)</f>
        <v>0</v>
      </c>
      <c r="AJ172" s="305">
        <f>SUMIFS([1]!Data_CF[Value],[1]!Data_CF[Index CF],'Dai Loc'!$B172,[1]!Data_CF[TenCongTyID],'Dai Loc'!$B$1,[1]!Data_CF[Thang.Nam],'Dai Loc'!AJ$155)</f>
        <v>0</v>
      </c>
      <c r="AK172" s="305">
        <f>SUMIFS([1]!Data_CF[Value],[1]!Data_CF[Index CF],'Dai Loc'!$B172,[1]!Data_CF[TenCongTyID],'Dai Loc'!$B$1,[1]!Data_CF[Thang.Nam],'Dai Loc'!AK$155)</f>
        <v>0</v>
      </c>
      <c r="AL172" s="305">
        <f>SUMIFS([1]!Data_CF[Value],[1]!Data_CF[Index CF],'Dai Loc'!$B172,[1]!Data_CF[TenCongTyID],'Dai Loc'!$B$1,[1]!Data_CF[Thang.Nam],'Dai Loc'!AL$155)</f>
        <v>0</v>
      </c>
    </row>
    <row r="173" spans="1:38" ht="15" customHeight="1">
      <c r="A173" s="158" t="s">
        <v>259</v>
      </c>
      <c r="B173" s="159">
        <v>18</v>
      </c>
      <c r="C173" s="310"/>
      <c r="D173" s="310">
        <v>581261898</v>
      </c>
      <c r="E173" s="310">
        <v>295846464</v>
      </c>
      <c r="F173" s="310">
        <v>44827458</v>
      </c>
      <c r="G173" s="310"/>
      <c r="H173" s="310">
        <v>183077251</v>
      </c>
      <c r="I173" s="310"/>
      <c r="J173" s="310"/>
      <c r="K173" s="310"/>
      <c r="L173" s="310"/>
      <c r="M173" s="310">
        <v>44753129</v>
      </c>
      <c r="N173" s="310">
        <v>100064303</v>
      </c>
      <c r="O173" s="310"/>
      <c r="P173" s="310">
        <v>310813567</v>
      </c>
      <c r="Q173" s="310"/>
      <c r="R173" s="310"/>
      <c r="S173" s="310">
        <v>1602926131</v>
      </c>
      <c r="T173" s="310">
        <v>1730001720</v>
      </c>
      <c r="U173" s="310"/>
      <c r="V173" s="310">
        <v>1725983270</v>
      </c>
      <c r="W173" s="310"/>
      <c r="X173" s="310"/>
      <c r="Y173" s="310"/>
      <c r="Z173" s="310">
        <v>0</v>
      </c>
      <c r="AA173" s="310">
        <f>SUMIFS([1]!Data_CF[Value],[1]!Data_CF[Index CF],'Dai Loc'!$B173,[1]!Data_CF[TenCongTyID],'Dai Loc'!$B$1,[1]!Data_CF[Thang.Nam],'Dai Loc'!AA$155)</f>
        <v>0</v>
      </c>
      <c r="AB173" s="310">
        <f>SUMIFS([1]!Data_CF[Value],[1]!Data_CF[Index CF],'Dai Loc'!$B173,[1]!Data_CF[TenCongTyID],'Dai Loc'!$B$1,[1]!Data_CF[Thang.Nam],'Dai Loc'!AB$155)</f>
        <v>0</v>
      </c>
      <c r="AC173" s="310">
        <f>SUMIFS([1]!Data_CF[Value],[1]!Data_CF[Index CF],'Dai Loc'!$B173,[1]!Data_CF[TenCongTyID],'Dai Loc'!$B$1,[1]!Data_CF[Thang.Nam],'Dai Loc'!AC$155)</f>
        <v>0</v>
      </c>
      <c r="AD173" s="310">
        <f>SUMIFS([1]!Data_CF[Value],[1]!Data_CF[Index CF],'Dai Loc'!$B173,[1]!Data_CF[TenCongTyID],'Dai Loc'!$B$1,[1]!Data_CF[Thang.Nam],'Dai Loc'!AD$155)</f>
        <v>0</v>
      </c>
      <c r="AE173" s="310">
        <f>SUMIFS([1]!Data_CF[Value],[1]!Data_CF[Index CF],'Dai Loc'!$B173,[1]!Data_CF[TenCongTyID],'Dai Loc'!$B$1,[1]!Data_CF[Thang.Nam],'Dai Loc'!AE$155)</f>
        <v>0</v>
      </c>
      <c r="AF173" s="310">
        <f>SUMIFS([1]!Data_CF[Value],[1]!Data_CF[Index CF],'Dai Loc'!$B173,[1]!Data_CF[TenCongTyID],'Dai Loc'!$B$1,[1]!Data_CF[Thang.Nam],'Dai Loc'!AF$155)</f>
        <v>0</v>
      </c>
      <c r="AG173" s="310">
        <f>SUMIFS([1]!Data_CF[Value],[1]!Data_CF[Index CF],'Dai Loc'!$B173,[1]!Data_CF[TenCongTyID],'Dai Loc'!$B$1,[1]!Data_CF[Thang.Nam],'Dai Loc'!AG$155)</f>
        <v>0</v>
      </c>
      <c r="AH173" s="310">
        <f>SUMIFS([1]!Data_CF[Value],[1]!Data_CF[Index CF],'Dai Loc'!$B173,[1]!Data_CF[TenCongTyID],'Dai Loc'!$B$1,[1]!Data_CF[Thang.Nam],'Dai Loc'!AH$155)</f>
        <v>0</v>
      </c>
      <c r="AI173" s="310">
        <f>SUMIFS([1]!Data_CF[Value],[1]!Data_CF[Index CF],'Dai Loc'!$B173,[1]!Data_CF[TenCongTyID],'Dai Loc'!$B$1,[1]!Data_CF[Thang.Nam],'Dai Loc'!AI$155)</f>
        <v>0</v>
      </c>
      <c r="AJ173" s="310">
        <f>SUMIFS([1]!Data_CF[Value],[1]!Data_CF[Index CF],'Dai Loc'!$B173,[1]!Data_CF[TenCongTyID],'Dai Loc'!$B$1,[1]!Data_CF[Thang.Nam],'Dai Loc'!AJ$155)</f>
        <v>0</v>
      </c>
      <c r="AK173" s="310">
        <f>SUMIFS([1]!Data_CF[Value],[1]!Data_CF[Index CF],'Dai Loc'!$B173,[1]!Data_CF[TenCongTyID],'Dai Loc'!$B$1,[1]!Data_CF[Thang.Nam],'Dai Loc'!AK$155)</f>
        <v>0</v>
      </c>
      <c r="AL173" s="310">
        <f>SUMIFS([1]!Data_CF[Value],[1]!Data_CF[Index CF],'Dai Loc'!$B173,[1]!Data_CF[TenCongTyID],'Dai Loc'!$B$1,[1]!Data_CF[Thang.Nam],'Dai Loc'!AL$155)</f>
        <v>0</v>
      </c>
    </row>
    <row r="174" spans="1:38" ht="15" customHeight="1">
      <c r="A174" s="158" t="s">
        <v>260</v>
      </c>
      <c r="B174" s="159">
        <v>19</v>
      </c>
      <c r="C174" s="307">
        <v>-396985123</v>
      </c>
      <c r="D174" s="307"/>
      <c r="E174" s="307"/>
      <c r="F174" s="307"/>
      <c r="G174" s="307">
        <v>-231157127</v>
      </c>
      <c r="H174" s="307"/>
      <c r="I174" s="307">
        <v>-578897702</v>
      </c>
      <c r="J174" s="307">
        <v>-843147474</v>
      </c>
      <c r="K174" s="307">
        <v>-778536028</v>
      </c>
      <c r="L174" s="307">
        <v>-88004798</v>
      </c>
      <c r="M174" s="307"/>
      <c r="N174" s="307"/>
      <c r="O174" s="307">
        <v>-2457877506</v>
      </c>
      <c r="P174" s="307"/>
      <c r="Q174" s="307">
        <v>-46111316</v>
      </c>
      <c r="R174" s="307">
        <v>-2524601239</v>
      </c>
      <c r="S174" s="307"/>
      <c r="T174" s="307"/>
      <c r="U174" s="307">
        <v>-5614800580</v>
      </c>
      <c r="V174" s="307"/>
      <c r="W174" s="307">
        <v>-1667537838</v>
      </c>
      <c r="X174" s="307">
        <v>-284344487</v>
      </c>
      <c r="Y174" s="307">
        <v>-527732656</v>
      </c>
      <c r="Z174" s="307">
        <v>-1260571042</v>
      </c>
      <c r="AA174" s="311">
        <f>SUMIFS([1]!Data_CF[Value],[1]!Data_CF[Index CF],'Dai Loc'!$B174,[1]!Data_CF[TenCongTyID],'Dai Loc'!$B$1,[1]!Data_CF[Thang.Nam],'Dai Loc'!AA$155)</f>
        <v>0</v>
      </c>
      <c r="AB174" s="311">
        <f>SUMIFS([1]!Data_CF[Value],[1]!Data_CF[Index CF],'Dai Loc'!$B174,[1]!Data_CF[TenCongTyID],'Dai Loc'!$B$1,[1]!Data_CF[Thang.Nam],'Dai Loc'!AB$155)</f>
        <v>0</v>
      </c>
      <c r="AC174" s="311">
        <f>SUMIFS([1]!Data_CF[Value],[1]!Data_CF[Index CF],'Dai Loc'!$B174,[1]!Data_CF[TenCongTyID],'Dai Loc'!$B$1,[1]!Data_CF[Thang.Nam],'Dai Loc'!AC$155)</f>
        <v>0</v>
      </c>
      <c r="AD174" s="311">
        <f>SUMIFS([1]!Data_CF[Value],[1]!Data_CF[Index CF],'Dai Loc'!$B174,[1]!Data_CF[TenCongTyID],'Dai Loc'!$B$1,[1]!Data_CF[Thang.Nam],'Dai Loc'!AD$155)</f>
        <v>0</v>
      </c>
      <c r="AE174" s="311">
        <f>SUMIFS([1]!Data_CF[Value],[1]!Data_CF[Index CF],'Dai Loc'!$B174,[1]!Data_CF[TenCongTyID],'Dai Loc'!$B$1,[1]!Data_CF[Thang.Nam],'Dai Loc'!AE$155)</f>
        <v>0</v>
      </c>
      <c r="AF174" s="311">
        <f>SUMIFS([1]!Data_CF[Value],[1]!Data_CF[Index CF],'Dai Loc'!$B174,[1]!Data_CF[TenCongTyID],'Dai Loc'!$B$1,[1]!Data_CF[Thang.Nam],'Dai Loc'!AF$155)</f>
        <v>0</v>
      </c>
      <c r="AG174" s="311">
        <f>SUMIFS([1]!Data_CF[Value],[1]!Data_CF[Index CF],'Dai Loc'!$B174,[1]!Data_CF[TenCongTyID],'Dai Loc'!$B$1,[1]!Data_CF[Thang.Nam],'Dai Loc'!AG$155)</f>
        <v>0</v>
      </c>
      <c r="AH174" s="311">
        <f>SUMIFS([1]!Data_CF[Value],[1]!Data_CF[Index CF],'Dai Loc'!$B174,[1]!Data_CF[TenCongTyID],'Dai Loc'!$B$1,[1]!Data_CF[Thang.Nam],'Dai Loc'!AH$155)</f>
        <v>0</v>
      </c>
      <c r="AI174" s="311">
        <f>SUMIFS([1]!Data_CF[Value],[1]!Data_CF[Index CF],'Dai Loc'!$B174,[1]!Data_CF[TenCongTyID],'Dai Loc'!$B$1,[1]!Data_CF[Thang.Nam],'Dai Loc'!AI$155)</f>
        <v>0</v>
      </c>
      <c r="AJ174" s="311">
        <f>SUMIFS([1]!Data_CF[Value],[1]!Data_CF[Index CF],'Dai Loc'!$B174,[1]!Data_CF[TenCongTyID],'Dai Loc'!$B$1,[1]!Data_CF[Thang.Nam],'Dai Loc'!AJ$155)</f>
        <v>0</v>
      </c>
      <c r="AK174" s="311">
        <f>SUMIFS([1]!Data_CF[Value],[1]!Data_CF[Index CF],'Dai Loc'!$B174,[1]!Data_CF[TenCongTyID],'Dai Loc'!$B$1,[1]!Data_CF[Thang.Nam],'Dai Loc'!AK$155)</f>
        <v>0</v>
      </c>
      <c r="AL174" s="311">
        <f>SUMIFS([1]!Data_CF[Value],[1]!Data_CF[Index CF],'Dai Loc'!$B174,[1]!Data_CF[TenCongTyID],'Dai Loc'!$B$1,[1]!Data_CF[Thang.Nam],'Dai Loc'!AL$155)</f>
        <v>0</v>
      </c>
    </row>
    <row r="175" spans="1:38" ht="15" customHeight="1">
      <c r="A175" s="162" t="s">
        <v>261</v>
      </c>
      <c r="B175" s="146">
        <v>20</v>
      </c>
      <c r="C175" s="312">
        <v>1427167052</v>
      </c>
      <c r="D175" s="312">
        <v>-201114032</v>
      </c>
      <c r="E175" s="312">
        <v>1907838866</v>
      </c>
      <c r="F175" s="312">
        <v>-661187208</v>
      </c>
      <c r="G175" s="312">
        <v>302406735</v>
      </c>
      <c r="H175" s="312">
        <v>-3207738113</v>
      </c>
      <c r="I175" s="312">
        <v>1900343480</v>
      </c>
      <c r="J175" s="312">
        <v>-2741323046</v>
      </c>
      <c r="K175" s="312">
        <v>-324257783</v>
      </c>
      <c r="L175" s="312">
        <v>3000171518</v>
      </c>
      <c r="M175" s="312">
        <v>-1647288254</v>
      </c>
      <c r="N175" s="343">
        <v>-70988484</v>
      </c>
      <c r="O175" s="343">
        <v>33982182</v>
      </c>
      <c r="P175" s="343">
        <v>-2374977501</v>
      </c>
      <c r="Q175" s="343">
        <v>1301143236</v>
      </c>
      <c r="R175" s="343">
        <v>-113795759</v>
      </c>
      <c r="S175" s="343">
        <v>-1254422407</v>
      </c>
      <c r="T175" s="343">
        <v>774719333</v>
      </c>
      <c r="U175" s="343">
        <v>-1301639586</v>
      </c>
      <c r="V175" s="343">
        <v>944894883</v>
      </c>
      <c r="W175" s="343">
        <f>+SUM(W165:W174)</f>
        <v>3547341678</v>
      </c>
      <c r="X175" s="343">
        <v>2571628645</v>
      </c>
      <c r="Y175" s="343">
        <v>-4985820017</v>
      </c>
      <c r="Z175" s="343">
        <v>220428286</v>
      </c>
      <c r="AA175" s="344">
        <f>SUMIFS([1]!Data_CF[Value],[1]!Data_CF[Index CF],'Dai Loc'!$B175,[1]!Data_CF[TenCongTyID],'Dai Loc'!$B$1,[1]!Data_CF[Thang.Nam],'Dai Loc'!AA$155)</f>
        <v>0</v>
      </c>
      <c r="AB175" s="344">
        <f>SUMIFS([1]!Data_CF[Value],[1]!Data_CF[Index CF],'Dai Loc'!$B175,[1]!Data_CF[TenCongTyID],'Dai Loc'!$B$1,[1]!Data_CF[Thang.Nam],'Dai Loc'!AB$155)</f>
        <v>0</v>
      </c>
      <c r="AC175" s="344">
        <f>SUMIFS([1]!Data_CF[Value],[1]!Data_CF[Index CF],'Dai Loc'!$B175,[1]!Data_CF[TenCongTyID],'Dai Loc'!$B$1,[1]!Data_CF[Thang.Nam],'Dai Loc'!AC$155)</f>
        <v>0</v>
      </c>
      <c r="AD175" s="344">
        <f>SUMIFS([1]!Data_CF[Value],[1]!Data_CF[Index CF],'Dai Loc'!$B175,[1]!Data_CF[TenCongTyID],'Dai Loc'!$B$1,[1]!Data_CF[Thang.Nam],'Dai Loc'!AD$155)</f>
        <v>0</v>
      </c>
      <c r="AE175" s="344">
        <f>SUMIFS([1]!Data_CF[Value],[1]!Data_CF[Index CF],'Dai Loc'!$B175,[1]!Data_CF[TenCongTyID],'Dai Loc'!$B$1,[1]!Data_CF[Thang.Nam],'Dai Loc'!AE$155)</f>
        <v>0</v>
      </c>
      <c r="AF175" s="344">
        <f>SUMIFS([1]!Data_CF[Value],[1]!Data_CF[Index CF],'Dai Loc'!$B175,[1]!Data_CF[TenCongTyID],'Dai Loc'!$B$1,[1]!Data_CF[Thang.Nam],'Dai Loc'!AF$155)</f>
        <v>0</v>
      </c>
      <c r="AG175" s="344">
        <f>SUMIFS([1]!Data_CF[Value],[1]!Data_CF[Index CF],'Dai Loc'!$B175,[1]!Data_CF[TenCongTyID],'Dai Loc'!$B$1,[1]!Data_CF[Thang.Nam],'Dai Loc'!AG$155)</f>
        <v>0</v>
      </c>
      <c r="AH175" s="344">
        <f>SUMIFS([1]!Data_CF[Value],[1]!Data_CF[Index CF],'Dai Loc'!$B175,[1]!Data_CF[TenCongTyID],'Dai Loc'!$B$1,[1]!Data_CF[Thang.Nam],'Dai Loc'!AH$155)</f>
        <v>0</v>
      </c>
      <c r="AI175" s="344">
        <f>SUMIFS([1]!Data_CF[Value],[1]!Data_CF[Index CF],'Dai Loc'!$B175,[1]!Data_CF[TenCongTyID],'Dai Loc'!$B$1,[1]!Data_CF[Thang.Nam],'Dai Loc'!AI$155)</f>
        <v>0</v>
      </c>
      <c r="AJ175" s="344">
        <f>SUMIFS([1]!Data_CF[Value],[1]!Data_CF[Index CF],'Dai Loc'!$B175,[1]!Data_CF[TenCongTyID],'Dai Loc'!$B$1,[1]!Data_CF[Thang.Nam],'Dai Loc'!AJ$155)</f>
        <v>0</v>
      </c>
      <c r="AK175" s="344">
        <f>SUMIFS([1]!Data_CF[Value],[1]!Data_CF[Index CF],'Dai Loc'!$B175,[1]!Data_CF[TenCongTyID],'Dai Loc'!$B$1,[1]!Data_CF[Thang.Nam],'Dai Loc'!AK$155)</f>
        <v>0</v>
      </c>
      <c r="AL175" s="344">
        <f>SUMIFS([1]!Data_CF[Value],[1]!Data_CF[Index CF],'Dai Loc'!$B175,[1]!Data_CF[TenCongTyID],'Dai Loc'!$B$1,[1]!Data_CF[Thang.Nam],'Dai Loc'!AL$155)</f>
        <v>0</v>
      </c>
    </row>
    <row r="176" spans="1:38" ht="15" customHeight="1">
      <c r="A176" s="145" t="s">
        <v>262</v>
      </c>
      <c r="B176" s="146">
        <v>21</v>
      </c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>
        <v>0</v>
      </c>
      <c r="AA176" s="316">
        <f>SUMIFS([1]!Data_CF[Value],[1]!Data_CF[Index CF],'Dai Loc'!$B176,[1]!Data_CF[TenCongTyID],'Dai Loc'!$B$1,[1]!Data_CF[Thang.Nam],'Dai Loc'!AA$155)</f>
        <v>0</v>
      </c>
      <c r="AB176" s="316">
        <f>SUMIFS([1]!Data_CF[Value],[1]!Data_CF[Index CF],'Dai Loc'!$B176,[1]!Data_CF[TenCongTyID],'Dai Loc'!$B$1,[1]!Data_CF[Thang.Nam],'Dai Loc'!AB$155)</f>
        <v>0</v>
      </c>
      <c r="AC176" s="316">
        <f>SUMIFS([1]!Data_CF[Value],[1]!Data_CF[Index CF],'Dai Loc'!$B176,[1]!Data_CF[TenCongTyID],'Dai Loc'!$B$1,[1]!Data_CF[Thang.Nam],'Dai Loc'!AC$155)</f>
        <v>0</v>
      </c>
      <c r="AD176" s="316">
        <f>SUMIFS([1]!Data_CF[Value],[1]!Data_CF[Index CF],'Dai Loc'!$B176,[1]!Data_CF[TenCongTyID],'Dai Loc'!$B$1,[1]!Data_CF[Thang.Nam],'Dai Loc'!AD$155)</f>
        <v>0</v>
      </c>
      <c r="AE176" s="316">
        <f>SUMIFS([1]!Data_CF[Value],[1]!Data_CF[Index CF],'Dai Loc'!$B176,[1]!Data_CF[TenCongTyID],'Dai Loc'!$B$1,[1]!Data_CF[Thang.Nam],'Dai Loc'!AE$155)</f>
        <v>0</v>
      </c>
      <c r="AF176" s="316">
        <f>SUMIFS([1]!Data_CF[Value],[1]!Data_CF[Index CF],'Dai Loc'!$B176,[1]!Data_CF[TenCongTyID],'Dai Loc'!$B$1,[1]!Data_CF[Thang.Nam],'Dai Loc'!AF$155)</f>
        <v>0</v>
      </c>
      <c r="AG176" s="316">
        <f>SUMIFS([1]!Data_CF[Value],[1]!Data_CF[Index CF],'Dai Loc'!$B176,[1]!Data_CF[TenCongTyID],'Dai Loc'!$B$1,[1]!Data_CF[Thang.Nam],'Dai Loc'!AG$155)</f>
        <v>0</v>
      </c>
      <c r="AH176" s="316">
        <f>SUMIFS([1]!Data_CF[Value],[1]!Data_CF[Index CF],'Dai Loc'!$B176,[1]!Data_CF[TenCongTyID],'Dai Loc'!$B$1,[1]!Data_CF[Thang.Nam],'Dai Loc'!AH$155)</f>
        <v>0</v>
      </c>
      <c r="AI176" s="316">
        <f>SUMIFS([1]!Data_CF[Value],[1]!Data_CF[Index CF],'Dai Loc'!$B176,[1]!Data_CF[TenCongTyID],'Dai Loc'!$B$1,[1]!Data_CF[Thang.Nam],'Dai Loc'!AI$155)</f>
        <v>0</v>
      </c>
      <c r="AJ176" s="316">
        <f>SUMIFS([1]!Data_CF[Value],[1]!Data_CF[Index CF],'Dai Loc'!$B176,[1]!Data_CF[TenCongTyID],'Dai Loc'!$B$1,[1]!Data_CF[Thang.Nam],'Dai Loc'!AJ$155)</f>
        <v>0</v>
      </c>
      <c r="AK176" s="316">
        <f>SUMIFS([1]!Data_CF[Value],[1]!Data_CF[Index CF],'Dai Loc'!$B176,[1]!Data_CF[TenCongTyID],'Dai Loc'!$B$1,[1]!Data_CF[Thang.Nam],'Dai Loc'!AK$155)</f>
        <v>0</v>
      </c>
      <c r="AL176" s="316">
        <f>SUMIFS([1]!Data_CF[Value],[1]!Data_CF[Index CF],'Dai Loc'!$B176,[1]!Data_CF[TenCongTyID],'Dai Loc'!$B$1,[1]!Data_CF[Thang.Nam],'Dai Loc'!AL$155)</f>
        <v>0</v>
      </c>
    </row>
    <row r="177" spans="1:38" ht="14">
      <c r="A177" s="164" t="s">
        <v>263</v>
      </c>
      <c r="B177" s="165">
        <v>22</v>
      </c>
      <c r="C177" s="299">
        <v>329428992</v>
      </c>
      <c r="D177" s="299">
        <v>-479963188</v>
      </c>
      <c r="E177" s="299">
        <v>46019520</v>
      </c>
      <c r="F177" s="299">
        <v>0</v>
      </c>
      <c r="G177" s="299">
        <v>81700000</v>
      </c>
      <c r="H177" s="299">
        <v>37980000</v>
      </c>
      <c r="I177" s="299">
        <v>133000000</v>
      </c>
      <c r="J177" s="299">
        <v>267500000</v>
      </c>
      <c r="K177" s="299">
        <v>0</v>
      </c>
      <c r="L177" s="299">
        <v>389131825</v>
      </c>
      <c r="M177" s="299">
        <v>0</v>
      </c>
      <c r="N177" s="299">
        <v>41000000</v>
      </c>
      <c r="O177" s="299">
        <v>737425497</v>
      </c>
      <c r="P177" s="299">
        <v>69417500</v>
      </c>
      <c r="Q177" s="299">
        <v>479119547</v>
      </c>
      <c r="R177" s="299">
        <v>911653012</v>
      </c>
      <c r="S177" s="299">
        <v>-441352000</v>
      </c>
      <c r="T177" s="299">
        <v>-1391294800</v>
      </c>
      <c r="U177" s="299">
        <v>2485000000</v>
      </c>
      <c r="V177" s="299">
        <v>0</v>
      </c>
      <c r="W177" s="299"/>
      <c r="X177" s="299">
        <v>0</v>
      </c>
      <c r="Y177" s="299">
        <v>8789250</v>
      </c>
      <c r="Z177" s="299">
        <v>296714800</v>
      </c>
      <c r="AA177" s="305">
        <f>SUMIFS([1]!Data_CF[Value],[1]!Data_CF[Index CF],'Dai Loc'!$B177,[1]!Data_CF[TenCongTyID],'Dai Loc'!$B$1,[1]!Data_CF[Thang.Nam],'Dai Loc'!AA$155)</f>
        <v>0</v>
      </c>
      <c r="AB177" s="305">
        <f>SUMIFS([1]!Data_CF[Value],[1]!Data_CF[Index CF],'Dai Loc'!$B177,[1]!Data_CF[TenCongTyID],'Dai Loc'!$B$1,[1]!Data_CF[Thang.Nam],'Dai Loc'!AB$155)</f>
        <v>0</v>
      </c>
      <c r="AC177" s="305">
        <f>SUMIFS([1]!Data_CF[Value],[1]!Data_CF[Index CF],'Dai Loc'!$B177,[1]!Data_CF[TenCongTyID],'Dai Loc'!$B$1,[1]!Data_CF[Thang.Nam],'Dai Loc'!AC$155)</f>
        <v>0</v>
      </c>
      <c r="AD177" s="305">
        <f>SUMIFS([1]!Data_CF[Value],[1]!Data_CF[Index CF],'Dai Loc'!$B177,[1]!Data_CF[TenCongTyID],'Dai Loc'!$B$1,[1]!Data_CF[Thang.Nam],'Dai Loc'!AD$155)</f>
        <v>0</v>
      </c>
      <c r="AE177" s="305">
        <f>SUMIFS([1]!Data_CF[Value],[1]!Data_CF[Index CF],'Dai Loc'!$B177,[1]!Data_CF[TenCongTyID],'Dai Loc'!$B$1,[1]!Data_CF[Thang.Nam],'Dai Loc'!AE$155)</f>
        <v>0</v>
      </c>
      <c r="AF177" s="305">
        <f>SUMIFS([1]!Data_CF[Value],[1]!Data_CF[Index CF],'Dai Loc'!$B177,[1]!Data_CF[TenCongTyID],'Dai Loc'!$B$1,[1]!Data_CF[Thang.Nam],'Dai Loc'!AF$155)</f>
        <v>0</v>
      </c>
      <c r="AG177" s="305">
        <f>SUMIFS([1]!Data_CF[Value],[1]!Data_CF[Index CF],'Dai Loc'!$B177,[1]!Data_CF[TenCongTyID],'Dai Loc'!$B$1,[1]!Data_CF[Thang.Nam],'Dai Loc'!AG$155)</f>
        <v>0</v>
      </c>
      <c r="AH177" s="305">
        <f>SUMIFS([1]!Data_CF[Value],[1]!Data_CF[Index CF],'Dai Loc'!$B177,[1]!Data_CF[TenCongTyID],'Dai Loc'!$B$1,[1]!Data_CF[Thang.Nam],'Dai Loc'!AH$155)</f>
        <v>0</v>
      </c>
      <c r="AI177" s="305">
        <f>SUMIFS([1]!Data_CF[Value],[1]!Data_CF[Index CF],'Dai Loc'!$B177,[1]!Data_CF[TenCongTyID],'Dai Loc'!$B$1,[1]!Data_CF[Thang.Nam],'Dai Loc'!AI$155)</f>
        <v>0</v>
      </c>
      <c r="AJ177" s="305">
        <f>SUMIFS([1]!Data_CF[Value],[1]!Data_CF[Index CF],'Dai Loc'!$B177,[1]!Data_CF[TenCongTyID],'Dai Loc'!$B$1,[1]!Data_CF[Thang.Nam],'Dai Loc'!AJ$155)</f>
        <v>0</v>
      </c>
      <c r="AK177" s="305">
        <f>SUMIFS([1]!Data_CF[Value],[1]!Data_CF[Index CF],'Dai Loc'!$B177,[1]!Data_CF[TenCongTyID],'Dai Loc'!$B$1,[1]!Data_CF[Thang.Nam],'Dai Loc'!AK$155)</f>
        <v>0</v>
      </c>
      <c r="AL177" s="305">
        <f>SUMIFS([1]!Data_CF[Value],[1]!Data_CF[Index CF],'Dai Loc'!$B177,[1]!Data_CF[TenCongTyID],'Dai Loc'!$B$1,[1]!Data_CF[Thang.Nam],'Dai Loc'!AL$155)</f>
        <v>0</v>
      </c>
    </row>
    <row r="178" spans="1:38" ht="14">
      <c r="A178" s="164" t="s">
        <v>264</v>
      </c>
      <c r="B178" s="165">
        <v>23</v>
      </c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>
        <v>0</v>
      </c>
      <c r="AA178" s="303">
        <f>SUMIFS([1]!Data_CF[Value],[1]!Data_CF[Index CF],'Dai Loc'!$B178,[1]!Data_CF[TenCongTyID],'Dai Loc'!$B$1,[1]!Data_CF[Thang.Nam],'Dai Loc'!AA$155)</f>
        <v>0</v>
      </c>
      <c r="AB178" s="303">
        <f>SUMIFS([1]!Data_CF[Value],[1]!Data_CF[Index CF],'Dai Loc'!$B178,[1]!Data_CF[TenCongTyID],'Dai Loc'!$B$1,[1]!Data_CF[Thang.Nam],'Dai Loc'!AB$155)</f>
        <v>0</v>
      </c>
      <c r="AC178" s="303">
        <f>SUMIFS([1]!Data_CF[Value],[1]!Data_CF[Index CF],'Dai Loc'!$B178,[1]!Data_CF[TenCongTyID],'Dai Loc'!$B$1,[1]!Data_CF[Thang.Nam],'Dai Loc'!AC$155)</f>
        <v>0</v>
      </c>
      <c r="AD178" s="303">
        <f>SUMIFS([1]!Data_CF[Value],[1]!Data_CF[Index CF],'Dai Loc'!$B178,[1]!Data_CF[TenCongTyID],'Dai Loc'!$B$1,[1]!Data_CF[Thang.Nam],'Dai Loc'!AD$155)</f>
        <v>0</v>
      </c>
      <c r="AE178" s="303">
        <f>SUMIFS([1]!Data_CF[Value],[1]!Data_CF[Index CF],'Dai Loc'!$B178,[1]!Data_CF[TenCongTyID],'Dai Loc'!$B$1,[1]!Data_CF[Thang.Nam],'Dai Loc'!AE$155)</f>
        <v>0</v>
      </c>
      <c r="AF178" s="303">
        <f>SUMIFS([1]!Data_CF[Value],[1]!Data_CF[Index CF],'Dai Loc'!$B178,[1]!Data_CF[TenCongTyID],'Dai Loc'!$B$1,[1]!Data_CF[Thang.Nam],'Dai Loc'!AF$155)</f>
        <v>0</v>
      </c>
      <c r="AG178" s="303">
        <f>SUMIFS([1]!Data_CF[Value],[1]!Data_CF[Index CF],'Dai Loc'!$B178,[1]!Data_CF[TenCongTyID],'Dai Loc'!$B$1,[1]!Data_CF[Thang.Nam],'Dai Loc'!AG$155)</f>
        <v>0</v>
      </c>
      <c r="AH178" s="303">
        <f>SUMIFS([1]!Data_CF[Value],[1]!Data_CF[Index CF],'Dai Loc'!$B178,[1]!Data_CF[TenCongTyID],'Dai Loc'!$B$1,[1]!Data_CF[Thang.Nam],'Dai Loc'!AH$155)</f>
        <v>0</v>
      </c>
      <c r="AI178" s="303">
        <f>SUMIFS([1]!Data_CF[Value],[1]!Data_CF[Index CF],'Dai Loc'!$B178,[1]!Data_CF[TenCongTyID],'Dai Loc'!$B$1,[1]!Data_CF[Thang.Nam],'Dai Loc'!AI$155)</f>
        <v>0</v>
      </c>
      <c r="AJ178" s="303">
        <f>SUMIFS([1]!Data_CF[Value],[1]!Data_CF[Index CF],'Dai Loc'!$B178,[1]!Data_CF[TenCongTyID],'Dai Loc'!$B$1,[1]!Data_CF[Thang.Nam],'Dai Loc'!AJ$155)</f>
        <v>0</v>
      </c>
      <c r="AK178" s="303">
        <f>SUMIFS([1]!Data_CF[Value],[1]!Data_CF[Index CF],'Dai Loc'!$B178,[1]!Data_CF[TenCongTyID],'Dai Loc'!$B$1,[1]!Data_CF[Thang.Nam],'Dai Loc'!AK$155)</f>
        <v>0</v>
      </c>
      <c r="AL178" s="303">
        <f>SUMIFS([1]!Data_CF[Value],[1]!Data_CF[Index CF],'Dai Loc'!$B178,[1]!Data_CF[TenCongTyID],'Dai Loc'!$B$1,[1]!Data_CF[Thang.Nam],'Dai Loc'!AL$155)</f>
        <v>0</v>
      </c>
    </row>
    <row r="179" spans="1:38" ht="14">
      <c r="A179" s="164" t="s">
        <v>265</v>
      </c>
      <c r="B179" s="165">
        <v>24</v>
      </c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>
        <v>0</v>
      </c>
      <c r="AA179" s="310">
        <f>SUMIFS([1]!Data_CF[Value],[1]!Data_CF[Index CF],'Dai Loc'!$B179,[1]!Data_CF[TenCongTyID],'Dai Loc'!$B$1,[1]!Data_CF[Thang.Nam],'Dai Loc'!AA$155)</f>
        <v>0</v>
      </c>
      <c r="AB179" s="310">
        <f>SUMIFS([1]!Data_CF[Value],[1]!Data_CF[Index CF],'Dai Loc'!$B179,[1]!Data_CF[TenCongTyID],'Dai Loc'!$B$1,[1]!Data_CF[Thang.Nam],'Dai Loc'!AB$155)</f>
        <v>0</v>
      </c>
      <c r="AC179" s="310">
        <f>SUMIFS([1]!Data_CF[Value],[1]!Data_CF[Index CF],'Dai Loc'!$B179,[1]!Data_CF[TenCongTyID],'Dai Loc'!$B$1,[1]!Data_CF[Thang.Nam],'Dai Loc'!AC$155)</f>
        <v>0</v>
      </c>
      <c r="AD179" s="310">
        <f>SUMIFS([1]!Data_CF[Value],[1]!Data_CF[Index CF],'Dai Loc'!$B179,[1]!Data_CF[TenCongTyID],'Dai Loc'!$B$1,[1]!Data_CF[Thang.Nam],'Dai Loc'!AD$155)</f>
        <v>0</v>
      </c>
      <c r="AE179" s="310">
        <f>SUMIFS([1]!Data_CF[Value],[1]!Data_CF[Index CF],'Dai Loc'!$B179,[1]!Data_CF[TenCongTyID],'Dai Loc'!$B$1,[1]!Data_CF[Thang.Nam],'Dai Loc'!AE$155)</f>
        <v>0</v>
      </c>
      <c r="AF179" s="310">
        <f>SUMIFS([1]!Data_CF[Value],[1]!Data_CF[Index CF],'Dai Loc'!$B179,[1]!Data_CF[TenCongTyID],'Dai Loc'!$B$1,[1]!Data_CF[Thang.Nam],'Dai Loc'!AF$155)</f>
        <v>0</v>
      </c>
      <c r="AG179" s="310">
        <f>SUMIFS([1]!Data_CF[Value],[1]!Data_CF[Index CF],'Dai Loc'!$B179,[1]!Data_CF[TenCongTyID],'Dai Loc'!$B$1,[1]!Data_CF[Thang.Nam],'Dai Loc'!AG$155)</f>
        <v>0</v>
      </c>
      <c r="AH179" s="310">
        <f>SUMIFS([1]!Data_CF[Value],[1]!Data_CF[Index CF],'Dai Loc'!$B179,[1]!Data_CF[TenCongTyID],'Dai Loc'!$B$1,[1]!Data_CF[Thang.Nam],'Dai Loc'!AH$155)</f>
        <v>0</v>
      </c>
      <c r="AI179" s="310">
        <f>SUMIFS([1]!Data_CF[Value],[1]!Data_CF[Index CF],'Dai Loc'!$B179,[1]!Data_CF[TenCongTyID],'Dai Loc'!$B$1,[1]!Data_CF[Thang.Nam],'Dai Loc'!AI$155)</f>
        <v>0</v>
      </c>
      <c r="AJ179" s="310">
        <f>SUMIFS([1]!Data_CF[Value],[1]!Data_CF[Index CF],'Dai Loc'!$B179,[1]!Data_CF[TenCongTyID],'Dai Loc'!$B$1,[1]!Data_CF[Thang.Nam],'Dai Loc'!AJ$155)</f>
        <v>0</v>
      </c>
      <c r="AK179" s="310">
        <f>SUMIFS([1]!Data_CF[Value],[1]!Data_CF[Index CF],'Dai Loc'!$B179,[1]!Data_CF[TenCongTyID],'Dai Loc'!$B$1,[1]!Data_CF[Thang.Nam],'Dai Loc'!AK$155)</f>
        <v>0</v>
      </c>
      <c r="AL179" s="310">
        <f>SUMIFS([1]!Data_CF[Value],[1]!Data_CF[Index CF],'Dai Loc'!$B179,[1]!Data_CF[TenCongTyID],'Dai Loc'!$B$1,[1]!Data_CF[Thang.Nam],'Dai Loc'!AL$155)</f>
        <v>0</v>
      </c>
    </row>
    <row r="180" spans="1:38" ht="14">
      <c r="A180" s="164" t="s">
        <v>266</v>
      </c>
      <c r="B180" s="165">
        <v>25</v>
      </c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>
        <v>0</v>
      </c>
      <c r="AA180" s="303">
        <f>SUMIFS([1]!Data_CF[Value],[1]!Data_CF[Index CF],'Dai Loc'!$B180,[1]!Data_CF[TenCongTyID],'Dai Loc'!$B$1,[1]!Data_CF[Thang.Nam],'Dai Loc'!AA$155)</f>
        <v>0</v>
      </c>
      <c r="AB180" s="303">
        <f>SUMIFS([1]!Data_CF[Value],[1]!Data_CF[Index CF],'Dai Loc'!$B180,[1]!Data_CF[TenCongTyID],'Dai Loc'!$B$1,[1]!Data_CF[Thang.Nam],'Dai Loc'!AB$155)</f>
        <v>0</v>
      </c>
      <c r="AC180" s="303">
        <f>SUMIFS([1]!Data_CF[Value],[1]!Data_CF[Index CF],'Dai Loc'!$B180,[1]!Data_CF[TenCongTyID],'Dai Loc'!$B$1,[1]!Data_CF[Thang.Nam],'Dai Loc'!AC$155)</f>
        <v>0</v>
      </c>
      <c r="AD180" s="303">
        <f>SUMIFS([1]!Data_CF[Value],[1]!Data_CF[Index CF],'Dai Loc'!$B180,[1]!Data_CF[TenCongTyID],'Dai Loc'!$B$1,[1]!Data_CF[Thang.Nam],'Dai Loc'!AD$155)</f>
        <v>0</v>
      </c>
      <c r="AE180" s="303">
        <f>SUMIFS([1]!Data_CF[Value],[1]!Data_CF[Index CF],'Dai Loc'!$B180,[1]!Data_CF[TenCongTyID],'Dai Loc'!$B$1,[1]!Data_CF[Thang.Nam],'Dai Loc'!AE$155)</f>
        <v>0</v>
      </c>
      <c r="AF180" s="303">
        <f>SUMIFS([1]!Data_CF[Value],[1]!Data_CF[Index CF],'Dai Loc'!$B180,[1]!Data_CF[TenCongTyID],'Dai Loc'!$B$1,[1]!Data_CF[Thang.Nam],'Dai Loc'!AF$155)</f>
        <v>0</v>
      </c>
      <c r="AG180" s="303">
        <f>SUMIFS([1]!Data_CF[Value],[1]!Data_CF[Index CF],'Dai Loc'!$B180,[1]!Data_CF[TenCongTyID],'Dai Loc'!$B$1,[1]!Data_CF[Thang.Nam],'Dai Loc'!AG$155)</f>
        <v>0</v>
      </c>
      <c r="AH180" s="303">
        <f>SUMIFS([1]!Data_CF[Value],[1]!Data_CF[Index CF],'Dai Loc'!$B180,[1]!Data_CF[TenCongTyID],'Dai Loc'!$B$1,[1]!Data_CF[Thang.Nam],'Dai Loc'!AH$155)</f>
        <v>0</v>
      </c>
      <c r="AI180" s="303">
        <f>SUMIFS([1]!Data_CF[Value],[1]!Data_CF[Index CF],'Dai Loc'!$B180,[1]!Data_CF[TenCongTyID],'Dai Loc'!$B$1,[1]!Data_CF[Thang.Nam],'Dai Loc'!AI$155)</f>
        <v>0</v>
      </c>
      <c r="AJ180" s="303">
        <f>SUMIFS([1]!Data_CF[Value],[1]!Data_CF[Index CF],'Dai Loc'!$B180,[1]!Data_CF[TenCongTyID],'Dai Loc'!$B$1,[1]!Data_CF[Thang.Nam],'Dai Loc'!AJ$155)</f>
        <v>0</v>
      </c>
      <c r="AK180" s="303">
        <f>SUMIFS([1]!Data_CF[Value],[1]!Data_CF[Index CF],'Dai Loc'!$B180,[1]!Data_CF[TenCongTyID],'Dai Loc'!$B$1,[1]!Data_CF[Thang.Nam],'Dai Loc'!AK$155)</f>
        <v>0</v>
      </c>
      <c r="AL180" s="303">
        <f>SUMIFS([1]!Data_CF[Value],[1]!Data_CF[Index CF],'Dai Loc'!$B180,[1]!Data_CF[TenCongTyID],'Dai Loc'!$B$1,[1]!Data_CF[Thang.Nam],'Dai Loc'!AL$155)</f>
        <v>0</v>
      </c>
    </row>
    <row r="181" spans="1:38" ht="15" customHeight="1">
      <c r="A181" s="164" t="s">
        <v>267</v>
      </c>
      <c r="B181" s="165">
        <v>26</v>
      </c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>
        <f>-((W72-V72)+(W73-V73)+(W74-V74))-W182</f>
        <v>0</v>
      </c>
      <c r="X181" s="299"/>
      <c r="Y181" s="299"/>
      <c r="Z181" s="299">
        <v>0</v>
      </c>
      <c r="AA181" s="305">
        <f>SUMIFS([1]!Data_CF[Value],[1]!Data_CF[Index CF],'Dai Loc'!$B181,[1]!Data_CF[TenCongTyID],'Dai Loc'!$B$1,[1]!Data_CF[Thang.Nam],'Dai Loc'!AA$155)</f>
        <v>0</v>
      </c>
      <c r="AB181" s="305">
        <f>SUMIFS([1]!Data_CF[Value],[1]!Data_CF[Index CF],'Dai Loc'!$B181,[1]!Data_CF[TenCongTyID],'Dai Loc'!$B$1,[1]!Data_CF[Thang.Nam],'Dai Loc'!AB$155)</f>
        <v>0</v>
      </c>
      <c r="AC181" s="305">
        <f>SUMIFS([1]!Data_CF[Value],[1]!Data_CF[Index CF],'Dai Loc'!$B181,[1]!Data_CF[TenCongTyID],'Dai Loc'!$B$1,[1]!Data_CF[Thang.Nam],'Dai Loc'!AC$155)</f>
        <v>0</v>
      </c>
      <c r="AD181" s="305">
        <f>SUMIFS([1]!Data_CF[Value],[1]!Data_CF[Index CF],'Dai Loc'!$B181,[1]!Data_CF[TenCongTyID],'Dai Loc'!$B$1,[1]!Data_CF[Thang.Nam],'Dai Loc'!AD$155)</f>
        <v>0</v>
      </c>
      <c r="AE181" s="305">
        <f>SUMIFS([1]!Data_CF[Value],[1]!Data_CF[Index CF],'Dai Loc'!$B181,[1]!Data_CF[TenCongTyID],'Dai Loc'!$B$1,[1]!Data_CF[Thang.Nam],'Dai Loc'!AE$155)</f>
        <v>0</v>
      </c>
      <c r="AF181" s="305">
        <f>SUMIFS([1]!Data_CF[Value],[1]!Data_CF[Index CF],'Dai Loc'!$B181,[1]!Data_CF[TenCongTyID],'Dai Loc'!$B$1,[1]!Data_CF[Thang.Nam],'Dai Loc'!AF$155)</f>
        <v>0</v>
      </c>
      <c r="AG181" s="305">
        <f>SUMIFS([1]!Data_CF[Value],[1]!Data_CF[Index CF],'Dai Loc'!$B181,[1]!Data_CF[TenCongTyID],'Dai Loc'!$B$1,[1]!Data_CF[Thang.Nam],'Dai Loc'!AG$155)</f>
        <v>0</v>
      </c>
      <c r="AH181" s="305">
        <f>SUMIFS([1]!Data_CF[Value],[1]!Data_CF[Index CF],'Dai Loc'!$B181,[1]!Data_CF[TenCongTyID],'Dai Loc'!$B$1,[1]!Data_CF[Thang.Nam],'Dai Loc'!AH$155)</f>
        <v>0</v>
      </c>
      <c r="AI181" s="305">
        <f>SUMIFS([1]!Data_CF[Value],[1]!Data_CF[Index CF],'Dai Loc'!$B181,[1]!Data_CF[TenCongTyID],'Dai Loc'!$B$1,[1]!Data_CF[Thang.Nam],'Dai Loc'!AI$155)</f>
        <v>0</v>
      </c>
      <c r="AJ181" s="305">
        <f>SUMIFS([1]!Data_CF[Value],[1]!Data_CF[Index CF],'Dai Loc'!$B181,[1]!Data_CF[TenCongTyID],'Dai Loc'!$B$1,[1]!Data_CF[Thang.Nam],'Dai Loc'!AJ$155)</f>
        <v>0</v>
      </c>
      <c r="AK181" s="305">
        <f>SUMIFS([1]!Data_CF[Value],[1]!Data_CF[Index CF],'Dai Loc'!$B181,[1]!Data_CF[TenCongTyID],'Dai Loc'!$B$1,[1]!Data_CF[Thang.Nam],'Dai Loc'!AK$155)</f>
        <v>0</v>
      </c>
      <c r="AL181" s="305">
        <f>SUMIFS([1]!Data_CF[Value],[1]!Data_CF[Index CF],'Dai Loc'!$B181,[1]!Data_CF[TenCongTyID],'Dai Loc'!$B$1,[1]!Data_CF[Thang.Nam],'Dai Loc'!AL$155)</f>
        <v>0</v>
      </c>
    </row>
    <row r="182" spans="1:38" ht="15" customHeight="1">
      <c r="A182" s="164" t="s">
        <v>268</v>
      </c>
      <c r="B182" s="165">
        <v>27</v>
      </c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>
        <v>0</v>
      </c>
      <c r="AA182" s="303">
        <f>SUMIFS([1]!Data_CF[Value],[1]!Data_CF[Index CF],'Dai Loc'!$B182,[1]!Data_CF[TenCongTyID],'Dai Loc'!$B$1,[1]!Data_CF[Thang.Nam],'Dai Loc'!AA$155)</f>
        <v>0</v>
      </c>
      <c r="AB182" s="303">
        <f>SUMIFS([1]!Data_CF[Value],[1]!Data_CF[Index CF],'Dai Loc'!$B182,[1]!Data_CF[TenCongTyID],'Dai Loc'!$B$1,[1]!Data_CF[Thang.Nam],'Dai Loc'!AB$155)</f>
        <v>0</v>
      </c>
      <c r="AC182" s="303">
        <f>SUMIFS([1]!Data_CF[Value],[1]!Data_CF[Index CF],'Dai Loc'!$B182,[1]!Data_CF[TenCongTyID],'Dai Loc'!$B$1,[1]!Data_CF[Thang.Nam],'Dai Loc'!AC$155)</f>
        <v>0</v>
      </c>
      <c r="AD182" s="303">
        <f>SUMIFS([1]!Data_CF[Value],[1]!Data_CF[Index CF],'Dai Loc'!$B182,[1]!Data_CF[TenCongTyID],'Dai Loc'!$B$1,[1]!Data_CF[Thang.Nam],'Dai Loc'!AD$155)</f>
        <v>0</v>
      </c>
      <c r="AE182" s="303">
        <f>SUMIFS([1]!Data_CF[Value],[1]!Data_CF[Index CF],'Dai Loc'!$B182,[1]!Data_CF[TenCongTyID],'Dai Loc'!$B$1,[1]!Data_CF[Thang.Nam],'Dai Loc'!AE$155)</f>
        <v>0</v>
      </c>
      <c r="AF182" s="303">
        <f>SUMIFS([1]!Data_CF[Value],[1]!Data_CF[Index CF],'Dai Loc'!$B182,[1]!Data_CF[TenCongTyID],'Dai Loc'!$B$1,[1]!Data_CF[Thang.Nam],'Dai Loc'!AF$155)</f>
        <v>0</v>
      </c>
      <c r="AG182" s="303">
        <f>SUMIFS([1]!Data_CF[Value],[1]!Data_CF[Index CF],'Dai Loc'!$B182,[1]!Data_CF[TenCongTyID],'Dai Loc'!$B$1,[1]!Data_CF[Thang.Nam],'Dai Loc'!AG$155)</f>
        <v>0</v>
      </c>
      <c r="AH182" s="303">
        <f>SUMIFS([1]!Data_CF[Value],[1]!Data_CF[Index CF],'Dai Loc'!$B182,[1]!Data_CF[TenCongTyID],'Dai Loc'!$B$1,[1]!Data_CF[Thang.Nam],'Dai Loc'!AH$155)</f>
        <v>0</v>
      </c>
      <c r="AI182" s="303">
        <f>SUMIFS([1]!Data_CF[Value],[1]!Data_CF[Index CF],'Dai Loc'!$B182,[1]!Data_CF[TenCongTyID],'Dai Loc'!$B$1,[1]!Data_CF[Thang.Nam],'Dai Loc'!AI$155)</f>
        <v>0</v>
      </c>
      <c r="AJ182" s="303">
        <f>SUMIFS([1]!Data_CF[Value],[1]!Data_CF[Index CF],'Dai Loc'!$B182,[1]!Data_CF[TenCongTyID],'Dai Loc'!$B$1,[1]!Data_CF[Thang.Nam],'Dai Loc'!AJ$155)</f>
        <v>0</v>
      </c>
      <c r="AK182" s="303">
        <f>SUMIFS([1]!Data_CF[Value],[1]!Data_CF[Index CF],'Dai Loc'!$B182,[1]!Data_CF[TenCongTyID],'Dai Loc'!$B$1,[1]!Data_CF[Thang.Nam],'Dai Loc'!AK$155)</f>
        <v>0</v>
      </c>
      <c r="AL182" s="303">
        <f>SUMIFS([1]!Data_CF[Value],[1]!Data_CF[Index CF],'Dai Loc'!$B182,[1]!Data_CF[TenCongTyID],'Dai Loc'!$B$1,[1]!Data_CF[Thang.Nam],'Dai Loc'!AL$155)</f>
        <v>0</v>
      </c>
    </row>
    <row r="183" spans="1:38" ht="15" customHeight="1">
      <c r="A183" s="164" t="s">
        <v>269</v>
      </c>
      <c r="B183" s="165">
        <v>28</v>
      </c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>
        <v>0</v>
      </c>
      <c r="AA183" s="305">
        <f>SUMIFS([1]!Data_CF[Value],[1]!Data_CF[Index CF],'Dai Loc'!$B183,[1]!Data_CF[TenCongTyID],'Dai Loc'!$B$1,[1]!Data_CF[Thang.Nam],'Dai Loc'!AA$155)</f>
        <v>0</v>
      </c>
      <c r="AB183" s="305">
        <f>SUMIFS([1]!Data_CF[Value],[1]!Data_CF[Index CF],'Dai Loc'!$B183,[1]!Data_CF[TenCongTyID],'Dai Loc'!$B$1,[1]!Data_CF[Thang.Nam],'Dai Loc'!AB$155)</f>
        <v>0</v>
      </c>
      <c r="AC183" s="305">
        <f>SUMIFS([1]!Data_CF[Value],[1]!Data_CF[Index CF],'Dai Loc'!$B183,[1]!Data_CF[TenCongTyID],'Dai Loc'!$B$1,[1]!Data_CF[Thang.Nam],'Dai Loc'!AC$155)</f>
        <v>0</v>
      </c>
      <c r="AD183" s="305">
        <f>SUMIFS([1]!Data_CF[Value],[1]!Data_CF[Index CF],'Dai Loc'!$B183,[1]!Data_CF[TenCongTyID],'Dai Loc'!$B$1,[1]!Data_CF[Thang.Nam],'Dai Loc'!AD$155)</f>
        <v>0</v>
      </c>
      <c r="AE183" s="305">
        <f>SUMIFS([1]!Data_CF[Value],[1]!Data_CF[Index CF],'Dai Loc'!$B183,[1]!Data_CF[TenCongTyID],'Dai Loc'!$B$1,[1]!Data_CF[Thang.Nam],'Dai Loc'!AE$155)</f>
        <v>0</v>
      </c>
      <c r="AF183" s="305">
        <f>SUMIFS([1]!Data_CF[Value],[1]!Data_CF[Index CF],'Dai Loc'!$B183,[1]!Data_CF[TenCongTyID],'Dai Loc'!$B$1,[1]!Data_CF[Thang.Nam],'Dai Loc'!AF$155)</f>
        <v>0</v>
      </c>
      <c r="AG183" s="305">
        <f>SUMIFS([1]!Data_CF[Value],[1]!Data_CF[Index CF],'Dai Loc'!$B183,[1]!Data_CF[TenCongTyID],'Dai Loc'!$B$1,[1]!Data_CF[Thang.Nam],'Dai Loc'!AG$155)</f>
        <v>0</v>
      </c>
      <c r="AH183" s="305">
        <f>SUMIFS([1]!Data_CF[Value],[1]!Data_CF[Index CF],'Dai Loc'!$B183,[1]!Data_CF[TenCongTyID],'Dai Loc'!$B$1,[1]!Data_CF[Thang.Nam],'Dai Loc'!AH$155)</f>
        <v>0</v>
      </c>
      <c r="AI183" s="305">
        <f>SUMIFS([1]!Data_CF[Value],[1]!Data_CF[Index CF],'Dai Loc'!$B183,[1]!Data_CF[TenCongTyID],'Dai Loc'!$B$1,[1]!Data_CF[Thang.Nam],'Dai Loc'!AI$155)</f>
        <v>0</v>
      </c>
      <c r="AJ183" s="305">
        <f>SUMIFS([1]!Data_CF[Value],[1]!Data_CF[Index CF],'Dai Loc'!$B183,[1]!Data_CF[TenCongTyID],'Dai Loc'!$B$1,[1]!Data_CF[Thang.Nam],'Dai Loc'!AJ$155)</f>
        <v>0</v>
      </c>
      <c r="AK183" s="305">
        <f>SUMIFS([1]!Data_CF[Value],[1]!Data_CF[Index CF],'Dai Loc'!$B183,[1]!Data_CF[TenCongTyID],'Dai Loc'!$B$1,[1]!Data_CF[Thang.Nam],'Dai Loc'!AK$155)</f>
        <v>0</v>
      </c>
      <c r="AL183" s="305">
        <f>SUMIFS([1]!Data_CF[Value],[1]!Data_CF[Index CF],'Dai Loc'!$B183,[1]!Data_CF[TenCongTyID],'Dai Loc'!$B$1,[1]!Data_CF[Thang.Nam],'Dai Loc'!AL$155)</f>
        <v>0</v>
      </c>
    </row>
    <row r="184" spans="1:38" ht="15" customHeight="1">
      <c r="A184" s="145" t="s">
        <v>270</v>
      </c>
      <c r="B184" s="146">
        <v>29</v>
      </c>
      <c r="C184" s="319">
        <v>329428992</v>
      </c>
      <c r="D184" s="319">
        <v>-479963188</v>
      </c>
      <c r="E184" s="319">
        <v>46019520</v>
      </c>
      <c r="F184" s="319">
        <v>0</v>
      </c>
      <c r="G184" s="319">
        <v>81700000</v>
      </c>
      <c r="H184" s="319">
        <v>37980000</v>
      </c>
      <c r="I184" s="319">
        <v>133000000</v>
      </c>
      <c r="J184" s="319">
        <v>267500000</v>
      </c>
      <c r="K184" s="319">
        <v>0</v>
      </c>
      <c r="L184" s="319">
        <v>389131825</v>
      </c>
      <c r="M184" s="319">
        <v>0</v>
      </c>
      <c r="N184" s="319">
        <v>41000000</v>
      </c>
      <c r="O184" s="319">
        <v>737425497</v>
      </c>
      <c r="P184" s="319">
        <v>69417500</v>
      </c>
      <c r="Q184" s="319">
        <v>479119547</v>
      </c>
      <c r="R184" s="319">
        <v>911653012</v>
      </c>
      <c r="S184" s="319">
        <v>-441352000</v>
      </c>
      <c r="T184" s="319">
        <v>-1391294800</v>
      </c>
      <c r="U184" s="319">
        <v>2485000000</v>
      </c>
      <c r="V184" s="319">
        <v>0</v>
      </c>
      <c r="W184" s="319">
        <f>+SUM(W177:W183)</f>
        <v>0</v>
      </c>
      <c r="X184" s="319">
        <v>0</v>
      </c>
      <c r="Y184" s="319">
        <v>8789250</v>
      </c>
      <c r="Z184" s="319">
        <v>296714800</v>
      </c>
      <c r="AA184" s="313">
        <f>SUMIFS([1]!Data_CF[Value],[1]!Data_CF[Index CF],'Dai Loc'!$B184,[1]!Data_CF[TenCongTyID],'Dai Loc'!$B$1,[1]!Data_CF[Thang.Nam],'Dai Loc'!AA$155)</f>
        <v>0</v>
      </c>
      <c r="AB184" s="313">
        <f>SUMIFS([1]!Data_CF[Value],[1]!Data_CF[Index CF],'Dai Loc'!$B184,[1]!Data_CF[TenCongTyID],'Dai Loc'!$B$1,[1]!Data_CF[Thang.Nam],'Dai Loc'!AB$155)</f>
        <v>0</v>
      </c>
      <c r="AC184" s="313">
        <f>SUMIFS([1]!Data_CF[Value],[1]!Data_CF[Index CF],'Dai Loc'!$B184,[1]!Data_CF[TenCongTyID],'Dai Loc'!$B$1,[1]!Data_CF[Thang.Nam],'Dai Loc'!AC$155)</f>
        <v>0</v>
      </c>
      <c r="AD184" s="313">
        <f>SUMIFS([1]!Data_CF[Value],[1]!Data_CF[Index CF],'Dai Loc'!$B184,[1]!Data_CF[TenCongTyID],'Dai Loc'!$B$1,[1]!Data_CF[Thang.Nam],'Dai Loc'!AD$155)</f>
        <v>0</v>
      </c>
      <c r="AE184" s="313">
        <f>SUMIFS([1]!Data_CF[Value],[1]!Data_CF[Index CF],'Dai Loc'!$B184,[1]!Data_CF[TenCongTyID],'Dai Loc'!$B$1,[1]!Data_CF[Thang.Nam],'Dai Loc'!AE$155)</f>
        <v>0</v>
      </c>
      <c r="AF184" s="313">
        <f>SUMIFS([1]!Data_CF[Value],[1]!Data_CF[Index CF],'Dai Loc'!$B184,[1]!Data_CF[TenCongTyID],'Dai Loc'!$B$1,[1]!Data_CF[Thang.Nam],'Dai Loc'!AF$155)</f>
        <v>0</v>
      </c>
      <c r="AG184" s="313">
        <f>SUMIFS([1]!Data_CF[Value],[1]!Data_CF[Index CF],'Dai Loc'!$B184,[1]!Data_CF[TenCongTyID],'Dai Loc'!$B$1,[1]!Data_CF[Thang.Nam],'Dai Loc'!AG$155)</f>
        <v>0</v>
      </c>
      <c r="AH184" s="313">
        <f>SUMIFS([1]!Data_CF[Value],[1]!Data_CF[Index CF],'Dai Loc'!$B184,[1]!Data_CF[TenCongTyID],'Dai Loc'!$B$1,[1]!Data_CF[Thang.Nam],'Dai Loc'!AH$155)</f>
        <v>0</v>
      </c>
      <c r="AI184" s="313">
        <f>SUMIFS([1]!Data_CF[Value],[1]!Data_CF[Index CF],'Dai Loc'!$B184,[1]!Data_CF[TenCongTyID],'Dai Loc'!$B$1,[1]!Data_CF[Thang.Nam],'Dai Loc'!AI$155)</f>
        <v>0</v>
      </c>
      <c r="AJ184" s="313">
        <f>SUMIFS([1]!Data_CF[Value],[1]!Data_CF[Index CF],'Dai Loc'!$B184,[1]!Data_CF[TenCongTyID],'Dai Loc'!$B$1,[1]!Data_CF[Thang.Nam],'Dai Loc'!AJ$155)</f>
        <v>0</v>
      </c>
      <c r="AK184" s="313">
        <f>SUMIFS([1]!Data_CF[Value],[1]!Data_CF[Index CF],'Dai Loc'!$B184,[1]!Data_CF[TenCongTyID],'Dai Loc'!$B$1,[1]!Data_CF[Thang.Nam],'Dai Loc'!AK$155)</f>
        <v>0</v>
      </c>
      <c r="AL184" s="313">
        <f>SUMIFS([1]!Data_CF[Value],[1]!Data_CF[Index CF],'Dai Loc'!$B184,[1]!Data_CF[TenCongTyID],'Dai Loc'!$B$1,[1]!Data_CF[Thang.Nam],'Dai Loc'!AL$155)</f>
        <v>0</v>
      </c>
    </row>
    <row r="185" spans="1:38" ht="15" customHeight="1">
      <c r="A185" s="145" t="s">
        <v>271</v>
      </c>
      <c r="B185" s="146">
        <v>30</v>
      </c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>
        <v>0</v>
      </c>
      <c r="AA185" s="316">
        <f>SUMIFS([1]!Data_CF[Value],[1]!Data_CF[Index CF],'Dai Loc'!$B185,[1]!Data_CF[TenCongTyID],'Dai Loc'!$B$1,[1]!Data_CF[Thang.Nam],'Dai Loc'!AA$155)</f>
        <v>0</v>
      </c>
      <c r="AB185" s="316">
        <f>SUMIFS([1]!Data_CF[Value],[1]!Data_CF[Index CF],'Dai Loc'!$B185,[1]!Data_CF[TenCongTyID],'Dai Loc'!$B$1,[1]!Data_CF[Thang.Nam],'Dai Loc'!AB$155)</f>
        <v>0</v>
      </c>
      <c r="AC185" s="316">
        <f>SUMIFS([1]!Data_CF[Value],[1]!Data_CF[Index CF],'Dai Loc'!$B185,[1]!Data_CF[TenCongTyID],'Dai Loc'!$B$1,[1]!Data_CF[Thang.Nam],'Dai Loc'!AC$155)</f>
        <v>0</v>
      </c>
      <c r="AD185" s="316">
        <f>SUMIFS([1]!Data_CF[Value],[1]!Data_CF[Index CF],'Dai Loc'!$B185,[1]!Data_CF[TenCongTyID],'Dai Loc'!$B$1,[1]!Data_CF[Thang.Nam],'Dai Loc'!AD$155)</f>
        <v>0</v>
      </c>
      <c r="AE185" s="316">
        <f>SUMIFS([1]!Data_CF[Value],[1]!Data_CF[Index CF],'Dai Loc'!$B185,[1]!Data_CF[TenCongTyID],'Dai Loc'!$B$1,[1]!Data_CF[Thang.Nam],'Dai Loc'!AE$155)</f>
        <v>0</v>
      </c>
      <c r="AF185" s="316">
        <f>SUMIFS([1]!Data_CF[Value],[1]!Data_CF[Index CF],'Dai Loc'!$B185,[1]!Data_CF[TenCongTyID],'Dai Loc'!$B$1,[1]!Data_CF[Thang.Nam],'Dai Loc'!AF$155)</f>
        <v>0</v>
      </c>
      <c r="AG185" s="316">
        <f>SUMIFS([1]!Data_CF[Value],[1]!Data_CF[Index CF],'Dai Loc'!$B185,[1]!Data_CF[TenCongTyID],'Dai Loc'!$B$1,[1]!Data_CF[Thang.Nam],'Dai Loc'!AG$155)</f>
        <v>0</v>
      </c>
      <c r="AH185" s="316">
        <f>SUMIFS([1]!Data_CF[Value],[1]!Data_CF[Index CF],'Dai Loc'!$B185,[1]!Data_CF[TenCongTyID],'Dai Loc'!$B$1,[1]!Data_CF[Thang.Nam],'Dai Loc'!AH$155)</f>
        <v>0</v>
      </c>
      <c r="AI185" s="316">
        <f>SUMIFS([1]!Data_CF[Value],[1]!Data_CF[Index CF],'Dai Loc'!$B185,[1]!Data_CF[TenCongTyID],'Dai Loc'!$B$1,[1]!Data_CF[Thang.Nam],'Dai Loc'!AI$155)</f>
        <v>0</v>
      </c>
      <c r="AJ185" s="316">
        <f>SUMIFS([1]!Data_CF[Value],[1]!Data_CF[Index CF],'Dai Loc'!$B185,[1]!Data_CF[TenCongTyID],'Dai Loc'!$B$1,[1]!Data_CF[Thang.Nam],'Dai Loc'!AJ$155)</f>
        <v>0</v>
      </c>
      <c r="AK185" s="316">
        <f>SUMIFS([1]!Data_CF[Value],[1]!Data_CF[Index CF],'Dai Loc'!$B185,[1]!Data_CF[TenCongTyID],'Dai Loc'!$B$1,[1]!Data_CF[Thang.Nam],'Dai Loc'!AK$155)</f>
        <v>0</v>
      </c>
      <c r="AL185" s="316">
        <f>SUMIFS([1]!Data_CF[Value],[1]!Data_CF[Index CF],'Dai Loc'!$B185,[1]!Data_CF[TenCongTyID],'Dai Loc'!$B$1,[1]!Data_CF[Thang.Nam],'Dai Loc'!AL$155)</f>
        <v>0</v>
      </c>
    </row>
    <row r="186" spans="1:38" ht="14">
      <c r="A186" s="164" t="s">
        <v>272</v>
      </c>
      <c r="B186" s="165">
        <v>31</v>
      </c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>
        <v>0</v>
      </c>
      <c r="AA186" s="303">
        <f>SUMIFS([1]!Data_CF[Value],[1]!Data_CF[Index CF],'Dai Loc'!$B186,[1]!Data_CF[TenCongTyID],'Dai Loc'!$B$1,[1]!Data_CF[Thang.Nam],'Dai Loc'!AA$155)</f>
        <v>0</v>
      </c>
      <c r="AB186" s="303">
        <f>SUMIFS([1]!Data_CF[Value],[1]!Data_CF[Index CF],'Dai Loc'!$B186,[1]!Data_CF[TenCongTyID],'Dai Loc'!$B$1,[1]!Data_CF[Thang.Nam],'Dai Loc'!AB$155)</f>
        <v>0</v>
      </c>
      <c r="AC186" s="303">
        <f>SUMIFS([1]!Data_CF[Value],[1]!Data_CF[Index CF],'Dai Loc'!$B186,[1]!Data_CF[TenCongTyID],'Dai Loc'!$B$1,[1]!Data_CF[Thang.Nam],'Dai Loc'!AC$155)</f>
        <v>0</v>
      </c>
      <c r="AD186" s="303">
        <f>SUMIFS([1]!Data_CF[Value],[1]!Data_CF[Index CF],'Dai Loc'!$B186,[1]!Data_CF[TenCongTyID],'Dai Loc'!$B$1,[1]!Data_CF[Thang.Nam],'Dai Loc'!AD$155)</f>
        <v>0</v>
      </c>
      <c r="AE186" s="303">
        <f>SUMIFS([1]!Data_CF[Value],[1]!Data_CF[Index CF],'Dai Loc'!$B186,[1]!Data_CF[TenCongTyID],'Dai Loc'!$B$1,[1]!Data_CF[Thang.Nam],'Dai Loc'!AE$155)</f>
        <v>0</v>
      </c>
      <c r="AF186" s="303">
        <f>SUMIFS([1]!Data_CF[Value],[1]!Data_CF[Index CF],'Dai Loc'!$B186,[1]!Data_CF[TenCongTyID],'Dai Loc'!$B$1,[1]!Data_CF[Thang.Nam],'Dai Loc'!AF$155)</f>
        <v>0</v>
      </c>
      <c r="AG186" s="303">
        <f>SUMIFS([1]!Data_CF[Value],[1]!Data_CF[Index CF],'Dai Loc'!$B186,[1]!Data_CF[TenCongTyID],'Dai Loc'!$B$1,[1]!Data_CF[Thang.Nam],'Dai Loc'!AG$155)</f>
        <v>0</v>
      </c>
      <c r="AH186" s="303">
        <f>SUMIFS([1]!Data_CF[Value],[1]!Data_CF[Index CF],'Dai Loc'!$B186,[1]!Data_CF[TenCongTyID],'Dai Loc'!$B$1,[1]!Data_CF[Thang.Nam],'Dai Loc'!AH$155)</f>
        <v>0</v>
      </c>
      <c r="AI186" s="303">
        <f>SUMIFS([1]!Data_CF[Value],[1]!Data_CF[Index CF],'Dai Loc'!$B186,[1]!Data_CF[TenCongTyID],'Dai Loc'!$B$1,[1]!Data_CF[Thang.Nam],'Dai Loc'!AI$155)</f>
        <v>0</v>
      </c>
      <c r="AJ186" s="303">
        <f>SUMIFS([1]!Data_CF[Value],[1]!Data_CF[Index CF],'Dai Loc'!$B186,[1]!Data_CF[TenCongTyID],'Dai Loc'!$B$1,[1]!Data_CF[Thang.Nam],'Dai Loc'!AJ$155)</f>
        <v>0</v>
      </c>
      <c r="AK186" s="303">
        <f>SUMIFS([1]!Data_CF[Value],[1]!Data_CF[Index CF],'Dai Loc'!$B186,[1]!Data_CF[TenCongTyID],'Dai Loc'!$B$1,[1]!Data_CF[Thang.Nam],'Dai Loc'!AK$155)</f>
        <v>0</v>
      </c>
      <c r="AL186" s="303">
        <f>SUMIFS([1]!Data_CF[Value],[1]!Data_CF[Index CF],'Dai Loc'!$B186,[1]!Data_CF[TenCongTyID],'Dai Loc'!$B$1,[1]!Data_CF[Thang.Nam],'Dai Loc'!AL$155)</f>
        <v>0</v>
      </c>
    </row>
    <row r="187" spans="1:38" ht="14">
      <c r="A187" s="164" t="s">
        <v>273</v>
      </c>
      <c r="B187" s="165">
        <v>32</v>
      </c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>
        <v>0</v>
      </c>
      <c r="AA187" s="303">
        <f>SUMIFS([1]!Data_CF[Value],[1]!Data_CF[Index CF],'Dai Loc'!$B187,[1]!Data_CF[TenCongTyID],'Dai Loc'!$B$1,[1]!Data_CF[Thang.Nam],'Dai Loc'!AA$155)</f>
        <v>0</v>
      </c>
      <c r="AB187" s="303">
        <f>SUMIFS([1]!Data_CF[Value],[1]!Data_CF[Index CF],'Dai Loc'!$B187,[1]!Data_CF[TenCongTyID],'Dai Loc'!$B$1,[1]!Data_CF[Thang.Nam],'Dai Loc'!AB$155)</f>
        <v>0</v>
      </c>
      <c r="AC187" s="303">
        <f>SUMIFS([1]!Data_CF[Value],[1]!Data_CF[Index CF],'Dai Loc'!$B187,[1]!Data_CF[TenCongTyID],'Dai Loc'!$B$1,[1]!Data_CF[Thang.Nam],'Dai Loc'!AC$155)</f>
        <v>0</v>
      </c>
      <c r="AD187" s="303">
        <f>SUMIFS([1]!Data_CF[Value],[1]!Data_CF[Index CF],'Dai Loc'!$B187,[1]!Data_CF[TenCongTyID],'Dai Loc'!$B$1,[1]!Data_CF[Thang.Nam],'Dai Loc'!AD$155)</f>
        <v>0</v>
      </c>
      <c r="AE187" s="303">
        <f>SUMIFS([1]!Data_CF[Value],[1]!Data_CF[Index CF],'Dai Loc'!$B187,[1]!Data_CF[TenCongTyID],'Dai Loc'!$B$1,[1]!Data_CF[Thang.Nam],'Dai Loc'!AE$155)</f>
        <v>0</v>
      </c>
      <c r="AF187" s="303">
        <f>SUMIFS([1]!Data_CF[Value],[1]!Data_CF[Index CF],'Dai Loc'!$B187,[1]!Data_CF[TenCongTyID],'Dai Loc'!$B$1,[1]!Data_CF[Thang.Nam],'Dai Loc'!AF$155)</f>
        <v>0</v>
      </c>
      <c r="AG187" s="303">
        <f>SUMIFS([1]!Data_CF[Value],[1]!Data_CF[Index CF],'Dai Loc'!$B187,[1]!Data_CF[TenCongTyID],'Dai Loc'!$B$1,[1]!Data_CF[Thang.Nam],'Dai Loc'!AG$155)</f>
        <v>0</v>
      </c>
      <c r="AH187" s="303">
        <f>SUMIFS([1]!Data_CF[Value],[1]!Data_CF[Index CF],'Dai Loc'!$B187,[1]!Data_CF[TenCongTyID],'Dai Loc'!$B$1,[1]!Data_CF[Thang.Nam],'Dai Loc'!AH$155)</f>
        <v>0</v>
      </c>
      <c r="AI187" s="303">
        <f>SUMIFS([1]!Data_CF[Value],[1]!Data_CF[Index CF],'Dai Loc'!$B187,[1]!Data_CF[TenCongTyID],'Dai Loc'!$B$1,[1]!Data_CF[Thang.Nam],'Dai Loc'!AI$155)</f>
        <v>0</v>
      </c>
      <c r="AJ187" s="303">
        <f>SUMIFS([1]!Data_CF[Value],[1]!Data_CF[Index CF],'Dai Loc'!$B187,[1]!Data_CF[TenCongTyID],'Dai Loc'!$B$1,[1]!Data_CF[Thang.Nam],'Dai Loc'!AJ$155)</f>
        <v>0</v>
      </c>
      <c r="AK187" s="303">
        <f>SUMIFS([1]!Data_CF[Value],[1]!Data_CF[Index CF],'Dai Loc'!$B187,[1]!Data_CF[TenCongTyID],'Dai Loc'!$B$1,[1]!Data_CF[Thang.Nam],'Dai Loc'!AK$155)</f>
        <v>0</v>
      </c>
      <c r="AL187" s="303">
        <f>SUMIFS([1]!Data_CF[Value],[1]!Data_CF[Index CF],'Dai Loc'!$B187,[1]!Data_CF[TenCongTyID],'Dai Loc'!$B$1,[1]!Data_CF[Thang.Nam],'Dai Loc'!AL$155)</f>
        <v>0</v>
      </c>
    </row>
    <row r="188" spans="1:38" ht="15" customHeight="1">
      <c r="A188" s="164" t="s">
        <v>274</v>
      </c>
      <c r="B188" s="165">
        <v>33</v>
      </c>
      <c r="C188" s="299">
        <v>0</v>
      </c>
      <c r="D188" s="317">
        <v>0</v>
      </c>
      <c r="E188" s="317">
        <v>0</v>
      </c>
      <c r="F188" s="317">
        <v>0</v>
      </c>
      <c r="G188" s="317">
        <v>0</v>
      </c>
      <c r="H188" s="317">
        <v>0</v>
      </c>
      <c r="I188" s="317">
        <v>0</v>
      </c>
      <c r="J188" s="317">
        <v>0</v>
      </c>
      <c r="K188" s="317">
        <v>0</v>
      </c>
      <c r="L188" s="317">
        <v>0</v>
      </c>
      <c r="M188" s="317">
        <v>0</v>
      </c>
      <c r="N188" s="317">
        <v>0</v>
      </c>
      <c r="O188" s="317">
        <v>0</v>
      </c>
      <c r="P188" s="317">
        <v>0</v>
      </c>
      <c r="Q188" s="317">
        <v>0</v>
      </c>
      <c r="R188" s="317">
        <v>0</v>
      </c>
      <c r="S188" s="317">
        <v>0</v>
      </c>
      <c r="T188" s="317">
        <v>0</v>
      </c>
      <c r="U188" s="317">
        <v>0</v>
      </c>
      <c r="V188" s="317">
        <v>0</v>
      </c>
      <c r="W188" s="317"/>
      <c r="X188" s="317">
        <v>0</v>
      </c>
      <c r="Y188" s="317">
        <v>0</v>
      </c>
      <c r="Z188" s="317">
        <v>0</v>
      </c>
      <c r="AA188" s="310">
        <f>SUMIFS([1]!Data_CF[Value],[1]!Data_CF[Index CF],'Dai Loc'!$B188,[1]!Data_CF[TenCongTyID],'Dai Loc'!$B$1,[1]!Data_CF[Thang.Nam],'Dai Loc'!AA$155)</f>
        <v>0</v>
      </c>
      <c r="AB188" s="310">
        <f>SUMIFS([1]!Data_CF[Value],[1]!Data_CF[Index CF],'Dai Loc'!$B188,[1]!Data_CF[TenCongTyID],'Dai Loc'!$B$1,[1]!Data_CF[Thang.Nam],'Dai Loc'!AB$155)</f>
        <v>0</v>
      </c>
      <c r="AC188" s="310">
        <f>SUMIFS([1]!Data_CF[Value],[1]!Data_CF[Index CF],'Dai Loc'!$B188,[1]!Data_CF[TenCongTyID],'Dai Loc'!$B$1,[1]!Data_CF[Thang.Nam],'Dai Loc'!AC$155)</f>
        <v>0</v>
      </c>
      <c r="AD188" s="310">
        <f>SUMIFS([1]!Data_CF[Value],[1]!Data_CF[Index CF],'Dai Loc'!$B188,[1]!Data_CF[TenCongTyID],'Dai Loc'!$B$1,[1]!Data_CF[Thang.Nam],'Dai Loc'!AD$155)</f>
        <v>0</v>
      </c>
      <c r="AE188" s="310">
        <f>SUMIFS([1]!Data_CF[Value],[1]!Data_CF[Index CF],'Dai Loc'!$B188,[1]!Data_CF[TenCongTyID],'Dai Loc'!$B$1,[1]!Data_CF[Thang.Nam],'Dai Loc'!AE$155)</f>
        <v>0</v>
      </c>
      <c r="AF188" s="310">
        <f>SUMIFS([1]!Data_CF[Value],[1]!Data_CF[Index CF],'Dai Loc'!$B188,[1]!Data_CF[TenCongTyID],'Dai Loc'!$B$1,[1]!Data_CF[Thang.Nam],'Dai Loc'!AF$155)</f>
        <v>0</v>
      </c>
      <c r="AG188" s="310">
        <f>SUMIFS([1]!Data_CF[Value],[1]!Data_CF[Index CF],'Dai Loc'!$B188,[1]!Data_CF[TenCongTyID],'Dai Loc'!$B$1,[1]!Data_CF[Thang.Nam],'Dai Loc'!AG$155)</f>
        <v>0</v>
      </c>
      <c r="AH188" s="310">
        <f>SUMIFS([1]!Data_CF[Value],[1]!Data_CF[Index CF],'Dai Loc'!$B188,[1]!Data_CF[TenCongTyID],'Dai Loc'!$B$1,[1]!Data_CF[Thang.Nam],'Dai Loc'!AH$155)</f>
        <v>0</v>
      </c>
      <c r="AI188" s="310">
        <f>SUMIFS([1]!Data_CF[Value],[1]!Data_CF[Index CF],'Dai Loc'!$B188,[1]!Data_CF[TenCongTyID],'Dai Loc'!$B$1,[1]!Data_CF[Thang.Nam],'Dai Loc'!AI$155)</f>
        <v>0</v>
      </c>
      <c r="AJ188" s="310">
        <f>SUMIFS([1]!Data_CF[Value],[1]!Data_CF[Index CF],'Dai Loc'!$B188,[1]!Data_CF[TenCongTyID],'Dai Loc'!$B$1,[1]!Data_CF[Thang.Nam],'Dai Loc'!AJ$155)</f>
        <v>0</v>
      </c>
      <c r="AK188" s="310">
        <f>SUMIFS([1]!Data_CF[Value],[1]!Data_CF[Index CF],'Dai Loc'!$B188,[1]!Data_CF[TenCongTyID],'Dai Loc'!$B$1,[1]!Data_CF[Thang.Nam],'Dai Loc'!AK$155)</f>
        <v>0</v>
      </c>
      <c r="AL188" s="310">
        <f>SUMIFS([1]!Data_CF[Value],[1]!Data_CF[Index CF],'Dai Loc'!$B188,[1]!Data_CF[TenCongTyID],'Dai Loc'!$B$1,[1]!Data_CF[Thang.Nam],'Dai Loc'!AL$155)</f>
        <v>0</v>
      </c>
    </row>
    <row r="189" spans="1:38" ht="15" customHeight="1">
      <c r="A189" s="164" t="s">
        <v>275</v>
      </c>
      <c r="B189" s="165">
        <v>34</v>
      </c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>
        <v>0</v>
      </c>
      <c r="AA189" s="305">
        <f>SUMIFS([1]!Data_CF[Value],[1]!Data_CF[Index CF],'Dai Loc'!$B189,[1]!Data_CF[TenCongTyID],'Dai Loc'!$B$1,[1]!Data_CF[Thang.Nam],'Dai Loc'!AA$155)</f>
        <v>0</v>
      </c>
      <c r="AB189" s="305">
        <f>SUMIFS([1]!Data_CF[Value],[1]!Data_CF[Index CF],'Dai Loc'!$B189,[1]!Data_CF[TenCongTyID],'Dai Loc'!$B$1,[1]!Data_CF[Thang.Nam],'Dai Loc'!AB$155)</f>
        <v>0</v>
      </c>
      <c r="AC189" s="305">
        <f>SUMIFS([1]!Data_CF[Value],[1]!Data_CF[Index CF],'Dai Loc'!$B189,[1]!Data_CF[TenCongTyID],'Dai Loc'!$B$1,[1]!Data_CF[Thang.Nam],'Dai Loc'!AC$155)</f>
        <v>0</v>
      </c>
      <c r="AD189" s="305">
        <f>SUMIFS([1]!Data_CF[Value],[1]!Data_CF[Index CF],'Dai Loc'!$B189,[1]!Data_CF[TenCongTyID],'Dai Loc'!$B$1,[1]!Data_CF[Thang.Nam],'Dai Loc'!AD$155)</f>
        <v>0</v>
      </c>
      <c r="AE189" s="305">
        <f>SUMIFS([1]!Data_CF[Value],[1]!Data_CF[Index CF],'Dai Loc'!$B189,[1]!Data_CF[TenCongTyID],'Dai Loc'!$B$1,[1]!Data_CF[Thang.Nam],'Dai Loc'!AE$155)</f>
        <v>0</v>
      </c>
      <c r="AF189" s="305">
        <f>SUMIFS([1]!Data_CF[Value],[1]!Data_CF[Index CF],'Dai Loc'!$B189,[1]!Data_CF[TenCongTyID],'Dai Loc'!$B$1,[1]!Data_CF[Thang.Nam],'Dai Loc'!AF$155)</f>
        <v>0</v>
      </c>
      <c r="AG189" s="305">
        <f>SUMIFS([1]!Data_CF[Value],[1]!Data_CF[Index CF],'Dai Loc'!$B189,[1]!Data_CF[TenCongTyID],'Dai Loc'!$B$1,[1]!Data_CF[Thang.Nam],'Dai Loc'!AG$155)</f>
        <v>0</v>
      </c>
      <c r="AH189" s="305">
        <f>SUMIFS([1]!Data_CF[Value],[1]!Data_CF[Index CF],'Dai Loc'!$B189,[1]!Data_CF[TenCongTyID],'Dai Loc'!$B$1,[1]!Data_CF[Thang.Nam],'Dai Loc'!AH$155)</f>
        <v>0</v>
      </c>
      <c r="AI189" s="305">
        <f>SUMIFS([1]!Data_CF[Value],[1]!Data_CF[Index CF],'Dai Loc'!$B189,[1]!Data_CF[TenCongTyID],'Dai Loc'!$B$1,[1]!Data_CF[Thang.Nam],'Dai Loc'!AI$155)</f>
        <v>0</v>
      </c>
      <c r="AJ189" s="305">
        <f>SUMIFS([1]!Data_CF[Value],[1]!Data_CF[Index CF],'Dai Loc'!$B189,[1]!Data_CF[TenCongTyID],'Dai Loc'!$B$1,[1]!Data_CF[Thang.Nam],'Dai Loc'!AJ$155)</f>
        <v>0</v>
      </c>
      <c r="AK189" s="305">
        <f>SUMIFS([1]!Data_CF[Value],[1]!Data_CF[Index CF],'Dai Loc'!$B189,[1]!Data_CF[TenCongTyID],'Dai Loc'!$B$1,[1]!Data_CF[Thang.Nam],'Dai Loc'!AK$155)</f>
        <v>0</v>
      </c>
      <c r="AL189" s="305">
        <f>SUMIFS([1]!Data_CF[Value],[1]!Data_CF[Index CF],'Dai Loc'!$B189,[1]!Data_CF[TenCongTyID],'Dai Loc'!$B$1,[1]!Data_CF[Thang.Nam],'Dai Loc'!AL$155)</f>
        <v>0</v>
      </c>
    </row>
    <row r="190" spans="1:38" ht="15" customHeight="1">
      <c r="A190" s="164" t="s">
        <v>276</v>
      </c>
      <c r="B190" s="165">
        <v>35</v>
      </c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>
        <v>0</v>
      </c>
      <c r="AA190" s="305">
        <f>SUMIFS([1]!Data_CF[Value],[1]!Data_CF[Index CF],'Dai Loc'!$B190,[1]!Data_CF[TenCongTyID],'Dai Loc'!$B$1,[1]!Data_CF[Thang.Nam],'Dai Loc'!AA$155)</f>
        <v>0</v>
      </c>
      <c r="AB190" s="305">
        <f>SUMIFS([1]!Data_CF[Value],[1]!Data_CF[Index CF],'Dai Loc'!$B190,[1]!Data_CF[TenCongTyID],'Dai Loc'!$B$1,[1]!Data_CF[Thang.Nam],'Dai Loc'!AB$155)</f>
        <v>0</v>
      </c>
      <c r="AC190" s="305">
        <f>SUMIFS([1]!Data_CF[Value],[1]!Data_CF[Index CF],'Dai Loc'!$B190,[1]!Data_CF[TenCongTyID],'Dai Loc'!$B$1,[1]!Data_CF[Thang.Nam],'Dai Loc'!AC$155)</f>
        <v>0</v>
      </c>
      <c r="AD190" s="305">
        <f>SUMIFS([1]!Data_CF[Value],[1]!Data_CF[Index CF],'Dai Loc'!$B190,[1]!Data_CF[TenCongTyID],'Dai Loc'!$B$1,[1]!Data_CF[Thang.Nam],'Dai Loc'!AD$155)</f>
        <v>0</v>
      </c>
      <c r="AE190" s="305">
        <f>SUMIFS([1]!Data_CF[Value],[1]!Data_CF[Index CF],'Dai Loc'!$B190,[1]!Data_CF[TenCongTyID],'Dai Loc'!$B$1,[1]!Data_CF[Thang.Nam],'Dai Loc'!AE$155)</f>
        <v>0</v>
      </c>
      <c r="AF190" s="305">
        <f>SUMIFS([1]!Data_CF[Value],[1]!Data_CF[Index CF],'Dai Loc'!$B190,[1]!Data_CF[TenCongTyID],'Dai Loc'!$B$1,[1]!Data_CF[Thang.Nam],'Dai Loc'!AF$155)</f>
        <v>0</v>
      </c>
      <c r="AG190" s="305">
        <f>SUMIFS([1]!Data_CF[Value],[1]!Data_CF[Index CF],'Dai Loc'!$B190,[1]!Data_CF[TenCongTyID],'Dai Loc'!$B$1,[1]!Data_CF[Thang.Nam],'Dai Loc'!AG$155)</f>
        <v>0</v>
      </c>
      <c r="AH190" s="305">
        <f>SUMIFS([1]!Data_CF[Value],[1]!Data_CF[Index CF],'Dai Loc'!$B190,[1]!Data_CF[TenCongTyID],'Dai Loc'!$B$1,[1]!Data_CF[Thang.Nam],'Dai Loc'!AH$155)</f>
        <v>0</v>
      </c>
      <c r="AI190" s="305">
        <f>SUMIFS([1]!Data_CF[Value],[1]!Data_CF[Index CF],'Dai Loc'!$B190,[1]!Data_CF[TenCongTyID],'Dai Loc'!$B$1,[1]!Data_CF[Thang.Nam],'Dai Loc'!AI$155)</f>
        <v>0</v>
      </c>
      <c r="AJ190" s="305">
        <f>SUMIFS([1]!Data_CF[Value],[1]!Data_CF[Index CF],'Dai Loc'!$B190,[1]!Data_CF[TenCongTyID],'Dai Loc'!$B$1,[1]!Data_CF[Thang.Nam],'Dai Loc'!AJ$155)</f>
        <v>0</v>
      </c>
      <c r="AK190" s="305">
        <f>SUMIFS([1]!Data_CF[Value],[1]!Data_CF[Index CF],'Dai Loc'!$B190,[1]!Data_CF[TenCongTyID],'Dai Loc'!$B$1,[1]!Data_CF[Thang.Nam],'Dai Loc'!AK$155)</f>
        <v>0</v>
      </c>
      <c r="AL190" s="305">
        <f>SUMIFS([1]!Data_CF[Value],[1]!Data_CF[Index CF],'Dai Loc'!$B190,[1]!Data_CF[TenCongTyID],'Dai Loc'!$B$1,[1]!Data_CF[Thang.Nam],'Dai Loc'!AL$155)</f>
        <v>0</v>
      </c>
    </row>
    <row r="191" spans="1:38" ht="15" customHeight="1">
      <c r="A191" s="164" t="s">
        <v>277</v>
      </c>
      <c r="B191" s="165">
        <v>36</v>
      </c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>
        <v>0</v>
      </c>
      <c r="AA191" s="311">
        <f>SUMIFS([1]!Data_CF[Value],[1]!Data_CF[Index CF],'Dai Loc'!$B191,[1]!Data_CF[TenCongTyID],'Dai Loc'!$B$1,[1]!Data_CF[Thang.Nam],'Dai Loc'!AA$155)</f>
        <v>0</v>
      </c>
      <c r="AB191" s="311">
        <f>SUMIFS([1]!Data_CF[Value],[1]!Data_CF[Index CF],'Dai Loc'!$B191,[1]!Data_CF[TenCongTyID],'Dai Loc'!$B$1,[1]!Data_CF[Thang.Nam],'Dai Loc'!AB$155)</f>
        <v>0</v>
      </c>
      <c r="AC191" s="311">
        <f>SUMIFS([1]!Data_CF[Value],[1]!Data_CF[Index CF],'Dai Loc'!$B191,[1]!Data_CF[TenCongTyID],'Dai Loc'!$B$1,[1]!Data_CF[Thang.Nam],'Dai Loc'!AC$155)</f>
        <v>0</v>
      </c>
      <c r="AD191" s="311">
        <f>SUMIFS([1]!Data_CF[Value],[1]!Data_CF[Index CF],'Dai Loc'!$B191,[1]!Data_CF[TenCongTyID],'Dai Loc'!$B$1,[1]!Data_CF[Thang.Nam],'Dai Loc'!AD$155)</f>
        <v>0</v>
      </c>
      <c r="AE191" s="311">
        <f>SUMIFS([1]!Data_CF[Value],[1]!Data_CF[Index CF],'Dai Loc'!$B191,[1]!Data_CF[TenCongTyID],'Dai Loc'!$B$1,[1]!Data_CF[Thang.Nam],'Dai Loc'!AE$155)</f>
        <v>0</v>
      </c>
      <c r="AF191" s="311">
        <f>SUMIFS([1]!Data_CF[Value],[1]!Data_CF[Index CF],'Dai Loc'!$B191,[1]!Data_CF[TenCongTyID],'Dai Loc'!$B$1,[1]!Data_CF[Thang.Nam],'Dai Loc'!AF$155)</f>
        <v>0</v>
      </c>
      <c r="AG191" s="311">
        <f>SUMIFS([1]!Data_CF[Value],[1]!Data_CF[Index CF],'Dai Loc'!$B191,[1]!Data_CF[TenCongTyID],'Dai Loc'!$B$1,[1]!Data_CF[Thang.Nam],'Dai Loc'!AG$155)</f>
        <v>0</v>
      </c>
      <c r="AH191" s="311">
        <f>SUMIFS([1]!Data_CF[Value],[1]!Data_CF[Index CF],'Dai Loc'!$B191,[1]!Data_CF[TenCongTyID],'Dai Loc'!$B$1,[1]!Data_CF[Thang.Nam],'Dai Loc'!AH$155)</f>
        <v>0</v>
      </c>
      <c r="AI191" s="311">
        <f>SUMIFS([1]!Data_CF[Value],[1]!Data_CF[Index CF],'Dai Loc'!$B191,[1]!Data_CF[TenCongTyID],'Dai Loc'!$B$1,[1]!Data_CF[Thang.Nam],'Dai Loc'!AI$155)</f>
        <v>0</v>
      </c>
      <c r="AJ191" s="311">
        <f>SUMIFS([1]!Data_CF[Value],[1]!Data_CF[Index CF],'Dai Loc'!$B191,[1]!Data_CF[TenCongTyID],'Dai Loc'!$B$1,[1]!Data_CF[Thang.Nam],'Dai Loc'!AJ$155)</f>
        <v>0</v>
      </c>
      <c r="AK191" s="311">
        <f>SUMIFS([1]!Data_CF[Value],[1]!Data_CF[Index CF],'Dai Loc'!$B191,[1]!Data_CF[TenCongTyID],'Dai Loc'!$B$1,[1]!Data_CF[Thang.Nam],'Dai Loc'!AK$155)</f>
        <v>0</v>
      </c>
      <c r="AL191" s="311">
        <f>SUMIFS([1]!Data_CF[Value],[1]!Data_CF[Index CF],'Dai Loc'!$B191,[1]!Data_CF[TenCongTyID],'Dai Loc'!$B$1,[1]!Data_CF[Thang.Nam],'Dai Loc'!AL$155)</f>
        <v>0</v>
      </c>
    </row>
    <row r="192" spans="1:38" ht="15" customHeight="1">
      <c r="A192" s="145" t="s">
        <v>278</v>
      </c>
      <c r="B192" s="146">
        <v>37</v>
      </c>
      <c r="C192" s="319">
        <v>0</v>
      </c>
      <c r="D192" s="319">
        <v>0</v>
      </c>
      <c r="E192" s="319">
        <v>0</v>
      </c>
      <c r="F192" s="319">
        <v>0</v>
      </c>
      <c r="G192" s="319">
        <v>0</v>
      </c>
      <c r="H192" s="319">
        <v>0</v>
      </c>
      <c r="I192" s="319">
        <v>0</v>
      </c>
      <c r="J192" s="319">
        <v>0</v>
      </c>
      <c r="K192" s="319">
        <v>0</v>
      </c>
      <c r="L192" s="319">
        <v>0</v>
      </c>
      <c r="M192" s="319">
        <v>0</v>
      </c>
      <c r="N192" s="319">
        <v>0</v>
      </c>
      <c r="O192" s="319">
        <v>0</v>
      </c>
      <c r="P192" s="319">
        <v>0</v>
      </c>
      <c r="Q192" s="319">
        <v>0</v>
      </c>
      <c r="R192" s="319">
        <v>0</v>
      </c>
      <c r="S192" s="319">
        <v>0</v>
      </c>
      <c r="T192" s="319">
        <v>0</v>
      </c>
      <c r="U192" s="319">
        <v>0</v>
      </c>
      <c r="V192" s="319">
        <v>0</v>
      </c>
      <c r="W192" s="319">
        <f>SUM(W186:W191)</f>
        <v>0</v>
      </c>
      <c r="X192" s="319">
        <v>0</v>
      </c>
      <c r="Y192" s="319">
        <v>0</v>
      </c>
      <c r="Z192" s="319">
        <v>0</v>
      </c>
      <c r="AA192" s="313">
        <f>SUMIFS([1]!Data_CF[Value],[1]!Data_CF[Index CF],'Dai Loc'!$B192,[1]!Data_CF[TenCongTyID],'Dai Loc'!$B$1,[1]!Data_CF[Thang.Nam],'Dai Loc'!AA$155)</f>
        <v>0</v>
      </c>
      <c r="AB192" s="313">
        <f>SUMIFS([1]!Data_CF[Value],[1]!Data_CF[Index CF],'Dai Loc'!$B192,[1]!Data_CF[TenCongTyID],'Dai Loc'!$B$1,[1]!Data_CF[Thang.Nam],'Dai Loc'!AB$155)</f>
        <v>0</v>
      </c>
      <c r="AC192" s="313">
        <f>SUMIFS([1]!Data_CF[Value],[1]!Data_CF[Index CF],'Dai Loc'!$B192,[1]!Data_CF[TenCongTyID],'Dai Loc'!$B$1,[1]!Data_CF[Thang.Nam],'Dai Loc'!AC$155)</f>
        <v>0</v>
      </c>
      <c r="AD192" s="313">
        <f>SUMIFS([1]!Data_CF[Value],[1]!Data_CF[Index CF],'Dai Loc'!$B192,[1]!Data_CF[TenCongTyID],'Dai Loc'!$B$1,[1]!Data_CF[Thang.Nam],'Dai Loc'!AD$155)</f>
        <v>0</v>
      </c>
      <c r="AE192" s="313">
        <f>SUMIFS([1]!Data_CF[Value],[1]!Data_CF[Index CF],'Dai Loc'!$B192,[1]!Data_CF[TenCongTyID],'Dai Loc'!$B$1,[1]!Data_CF[Thang.Nam],'Dai Loc'!AE$155)</f>
        <v>0</v>
      </c>
      <c r="AF192" s="313">
        <f>SUMIFS([1]!Data_CF[Value],[1]!Data_CF[Index CF],'Dai Loc'!$B192,[1]!Data_CF[TenCongTyID],'Dai Loc'!$B$1,[1]!Data_CF[Thang.Nam],'Dai Loc'!AF$155)</f>
        <v>0</v>
      </c>
      <c r="AG192" s="313">
        <f>SUMIFS([1]!Data_CF[Value],[1]!Data_CF[Index CF],'Dai Loc'!$B192,[1]!Data_CF[TenCongTyID],'Dai Loc'!$B$1,[1]!Data_CF[Thang.Nam],'Dai Loc'!AG$155)</f>
        <v>0</v>
      </c>
      <c r="AH192" s="313">
        <f>SUMIFS([1]!Data_CF[Value],[1]!Data_CF[Index CF],'Dai Loc'!$B192,[1]!Data_CF[TenCongTyID],'Dai Loc'!$B$1,[1]!Data_CF[Thang.Nam],'Dai Loc'!AH$155)</f>
        <v>0</v>
      </c>
      <c r="AI192" s="313">
        <f>SUMIFS([1]!Data_CF[Value],[1]!Data_CF[Index CF],'Dai Loc'!$B192,[1]!Data_CF[TenCongTyID],'Dai Loc'!$B$1,[1]!Data_CF[Thang.Nam],'Dai Loc'!AI$155)</f>
        <v>0</v>
      </c>
      <c r="AJ192" s="313">
        <f>SUMIFS([1]!Data_CF[Value],[1]!Data_CF[Index CF],'Dai Loc'!$B192,[1]!Data_CF[TenCongTyID],'Dai Loc'!$B$1,[1]!Data_CF[Thang.Nam],'Dai Loc'!AJ$155)</f>
        <v>0</v>
      </c>
      <c r="AK192" s="313">
        <f>SUMIFS([1]!Data_CF[Value],[1]!Data_CF[Index CF],'Dai Loc'!$B192,[1]!Data_CF[TenCongTyID],'Dai Loc'!$B$1,[1]!Data_CF[Thang.Nam],'Dai Loc'!AK$155)</f>
        <v>0</v>
      </c>
      <c r="AL192" s="313">
        <f>SUMIFS([1]!Data_CF[Value],[1]!Data_CF[Index CF],'Dai Loc'!$B192,[1]!Data_CF[TenCongTyID],'Dai Loc'!$B$1,[1]!Data_CF[Thang.Nam],'Dai Loc'!AL$155)</f>
        <v>0</v>
      </c>
    </row>
    <row r="193" spans="1:38" ht="15" customHeight="1">
      <c r="A193" s="167" t="s">
        <v>279</v>
      </c>
      <c r="B193" s="168">
        <v>38</v>
      </c>
      <c r="C193" s="345">
        <v>1756596044</v>
      </c>
      <c r="D193" s="345">
        <v>-681077220</v>
      </c>
      <c r="E193" s="345">
        <v>1953858386</v>
      </c>
      <c r="F193" s="345">
        <v>-661187208</v>
      </c>
      <c r="G193" s="345">
        <v>384106735</v>
      </c>
      <c r="H193" s="345">
        <v>-3169758113</v>
      </c>
      <c r="I193" s="345">
        <v>2033343480</v>
      </c>
      <c r="J193" s="345">
        <v>-2473823046</v>
      </c>
      <c r="K193" s="345">
        <v>-324257783</v>
      </c>
      <c r="L193" s="345">
        <v>3389303343</v>
      </c>
      <c r="M193" s="345">
        <v>-1647288254</v>
      </c>
      <c r="N193" s="320">
        <v>-29988484</v>
      </c>
      <c r="O193" s="320">
        <v>771407679</v>
      </c>
      <c r="P193" s="320">
        <v>-2305560001</v>
      </c>
      <c r="Q193" s="320">
        <v>1780262783</v>
      </c>
      <c r="R193" s="320">
        <v>797857253</v>
      </c>
      <c r="S193" s="320">
        <v>-1695774407</v>
      </c>
      <c r="T193" s="320">
        <v>-616575467</v>
      </c>
      <c r="U193" s="320">
        <v>1183360414</v>
      </c>
      <c r="V193" s="320">
        <v>944894883</v>
      </c>
      <c r="W193" s="320">
        <f>+W175+W184+W192</f>
        <v>3547341678</v>
      </c>
      <c r="X193" s="320">
        <v>2571628645</v>
      </c>
      <c r="Y193" s="320">
        <v>-4977030767</v>
      </c>
      <c r="Z193" s="320">
        <v>517143086</v>
      </c>
      <c r="AA193" s="321">
        <f>SUMIFS([1]!Data_CF[Value],[1]!Data_CF[Index CF],'Dai Loc'!$B193,[1]!Data_CF[TenCongTyID],'Dai Loc'!$B$1,[1]!Data_CF[Thang.Nam],'Dai Loc'!AA$155)</f>
        <v>0</v>
      </c>
      <c r="AB193" s="321">
        <f>SUMIFS([1]!Data_CF[Value],[1]!Data_CF[Index CF],'Dai Loc'!$B193,[1]!Data_CF[TenCongTyID],'Dai Loc'!$B$1,[1]!Data_CF[Thang.Nam],'Dai Loc'!AB$155)</f>
        <v>0</v>
      </c>
      <c r="AC193" s="321">
        <f>SUMIFS([1]!Data_CF[Value],[1]!Data_CF[Index CF],'Dai Loc'!$B193,[1]!Data_CF[TenCongTyID],'Dai Loc'!$B$1,[1]!Data_CF[Thang.Nam],'Dai Loc'!AC$155)</f>
        <v>0</v>
      </c>
      <c r="AD193" s="321">
        <f>SUMIFS([1]!Data_CF[Value],[1]!Data_CF[Index CF],'Dai Loc'!$B193,[1]!Data_CF[TenCongTyID],'Dai Loc'!$B$1,[1]!Data_CF[Thang.Nam],'Dai Loc'!AD$155)</f>
        <v>0</v>
      </c>
      <c r="AE193" s="321">
        <f>SUMIFS([1]!Data_CF[Value],[1]!Data_CF[Index CF],'Dai Loc'!$B193,[1]!Data_CF[TenCongTyID],'Dai Loc'!$B$1,[1]!Data_CF[Thang.Nam],'Dai Loc'!AE$155)</f>
        <v>0</v>
      </c>
      <c r="AF193" s="321">
        <f>SUMIFS([1]!Data_CF[Value],[1]!Data_CF[Index CF],'Dai Loc'!$B193,[1]!Data_CF[TenCongTyID],'Dai Loc'!$B$1,[1]!Data_CF[Thang.Nam],'Dai Loc'!AF$155)</f>
        <v>0</v>
      </c>
      <c r="AG193" s="321">
        <f>SUMIFS([1]!Data_CF[Value],[1]!Data_CF[Index CF],'Dai Loc'!$B193,[1]!Data_CF[TenCongTyID],'Dai Loc'!$B$1,[1]!Data_CF[Thang.Nam],'Dai Loc'!AG$155)</f>
        <v>0</v>
      </c>
      <c r="AH193" s="321">
        <f>SUMIFS([1]!Data_CF[Value],[1]!Data_CF[Index CF],'Dai Loc'!$B193,[1]!Data_CF[TenCongTyID],'Dai Loc'!$B$1,[1]!Data_CF[Thang.Nam],'Dai Loc'!AH$155)</f>
        <v>0</v>
      </c>
      <c r="AI193" s="321">
        <f>SUMIFS([1]!Data_CF[Value],[1]!Data_CF[Index CF],'Dai Loc'!$B193,[1]!Data_CF[TenCongTyID],'Dai Loc'!$B$1,[1]!Data_CF[Thang.Nam],'Dai Loc'!AI$155)</f>
        <v>0</v>
      </c>
      <c r="AJ193" s="321">
        <f>SUMIFS([1]!Data_CF[Value],[1]!Data_CF[Index CF],'Dai Loc'!$B193,[1]!Data_CF[TenCongTyID],'Dai Loc'!$B$1,[1]!Data_CF[Thang.Nam],'Dai Loc'!AJ$155)</f>
        <v>0</v>
      </c>
      <c r="AK193" s="321">
        <f>SUMIFS([1]!Data_CF[Value],[1]!Data_CF[Index CF],'Dai Loc'!$B193,[1]!Data_CF[TenCongTyID],'Dai Loc'!$B$1,[1]!Data_CF[Thang.Nam],'Dai Loc'!AK$155)</f>
        <v>0</v>
      </c>
      <c r="AL193" s="321">
        <f>SUMIFS([1]!Data_CF[Value],[1]!Data_CF[Index CF],'Dai Loc'!$B193,[1]!Data_CF[TenCongTyID],'Dai Loc'!$B$1,[1]!Data_CF[Thang.Nam],'Dai Loc'!AL$155)</f>
        <v>0</v>
      </c>
    </row>
    <row r="194" spans="1:38" ht="15" customHeight="1">
      <c r="A194" s="145" t="s">
        <v>280</v>
      </c>
      <c r="B194" s="146">
        <v>39</v>
      </c>
      <c r="C194" s="319">
        <v>1189619434</v>
      </c>
      <c r="D194" s="319">
        <v>2946215478</v>
      </c>
      <c r="E194" s="319">
        <v>2265138258</v>
      </c>
      <c r="F194" s="319">
        <v>4218996644</v>
      </c>
      <c r="G194" s="319">
        <v>3557809436</v>
      </c>
      <c r="H194" s="319">
        <v>3941916171</v>
      </c>
      <c r="I194" s="319">
        <v>772158058</v>
      </c>
      <c r="J194" s="319">
        <v>2805501538</v>
      </c>
      <c r="K194" s="319">
        <v>331678492</v>
      </c>
      <c r="L194" s="319">
        <v>7420709</v>
      </c>
      <c r="M194" s="319">
        <v>3396724052</v>
      </c>
      <c r="N194" s="346">
        <v>1749435798</v>
      </c>
      <c r="O194" s="346">
        <v>1719447314</v>
      </c>
      <c r="P194" s="346">
        <v>2490854993</v>
      </c>
      <c r="Q194" s="346">
        <v>185294992</v>
      </c>
      <c r="R194" s="346">
        <v>1965557775</v>
      </c>
      <c r="S194" s="346">
        <v>2763415028</v>
      </c>
      <c r="T194" s="346">
        <v>1067640621</v>
      </c>
      <c r="U194" s="346">
        <v>451065154</v>
      </c>
      <c r="V194" s="346">
        <v>1634425568</v>
      </c>
      <c r="W194" s="346">
        <f>V196</f>
        <v>2579320451</v>
      </c>
      <c r="X194" s="346">
        <v>6126662129</v>
      </c>
      <c r="Y194" s="346">
        <v>8698290774</v>
      </c>
      <c r="Z194" s="346">
        <v>3721260007</v>
      </c>
      <c r="AA194" s="344">
        <f>SUMIFS([1]!Data_CF[Value],[1]!Data_CF[Index CF],'Dai Loc'!$B194,[1]!Data_CF[TenCongTyID],'Dai Loc'!$B$1,[1]!Data_CF[Thang.Nam],'Dai Loc'!AA$155)</f>
        <v>0</v>
      </c>
      <c r="AB194" s="344">
        <f>SUMIFS([1]!Data_CF[Value],[1]!Data_CF[Index CF],'Dai Loc'!$B194,[1]!Data_CF[TenCongTyID],'Dai Loc'!$B$1,[1]!Data_CF[Thang.Nam],'Dai Loc'!AB$155)</f>
        <v>0</v>
      </c>
      <c r="AC194" s="344">
        <f>SUMIFS([1]!Data_CF[Value],[1]!Data_CF[Index CF],'Dai Loc'!$B194,[1]!Data_CF[TenCongTyID],'Dai Loc'!$B$1,[1]!Data_CF[Thang.Nam],'Dai Loc'!AC$155)</f>
        <v>0</v>
      </c>
      <c r="AD194" s="344">
        <f>SUMIFS([1]!Data_CF[Value],[1]!Data_CF[Index CF],'Dai Loc'!$B194,[1]!Data_CF[TenCongTyID],'Dai Loc'!$B$1,[1]!Data_CF[Thang.Nam],'Dai Loc'!AD$155)</f>
        <v>0</v>
      </c>
      <c r="AE194" s="344">
        <f>SUMIFS([1]!Data_CF[Value],[1]!Data_CF[Index CF],'Dai Loc'!$B194,[1]!Data_CF[TenCongTyID],'Dai Loc'!$B$1,[1]!Data_CF[Thang.Nam],'Dai Loc'!AE$155)</f>
        <v>0</v>
      </c>
      <c r="AF194" s="344">
        <f>SUMIFS([1]!Data_CF[Value],[1]!Data_CF[Index CF],'Dai Loc'!$B194,[1]!Data_CF[TenCongTyID],'Dai Loc'!$B$1,[1]!Data_CF[Thang.Nam],'Dai Loc'!AF$155)</f>
        <v>0</v>
      </c>
      <c r="AG194" s="344">
        <f>SUMIFS([1]!Data_CF[Value],[1]!Data_CF[Index CF],'Dai Loc'!$B194,[1]!Data_CF[TenCongTyID],'Dai Loc'!$B$1,[1]!Data_CF[Thang.Nam],'Dai Loc'!AG$155)</f>
        <v>0</v>
      </c>
      <c r="AH194" s="344">
        <f>SUMIFS([1]!Data_CF[Value],[1]!Data_CF[Index CF],'Dai Loc'!$B194,[1]!Data_CF[TenCongTyID],'Dai Loc'!$B$1,[1]!Data_CF[Thang.Nam],'Dai Loc'!AH$155)</f>
        <v>0</v>
      </c>
      <c r="AI194" s="344">
        <f>SUMIFS([1]!Data_CF[Value],[1]!Data_CF[Index CF],'Dai Loc'!$B194,[1]!Data_CF[TenCongTyID],'Dai Loc'!$B$1,[1]!Data_CF[Thang.Nam],'Dai Loc'!AI$155)</f>
        <v>0</v>
      </c>
      <c r="AJ194" s="344">
        <f>SUMIFS([1]!Data_CF[Value],[1]!Data_CF[Index CF],'Dai Loc'!$B194,[1]!Data_CF[TenCongTyID],'Dai Loc'!$B$1,[1]!Data_CF[Thang.Nam],'Dai Loc'!AJ$155)</f>
        <v>0</v>
      </c>
      <c r="AK194" s="344">
        <f>SUMIFS([1]!Data_CF[Value],[1]!Data_CF[Index CF],'Dai Loc'!$B194,[1]!Data_CF[TenCongTyID],'Dai Loc'!$B$1,[1]!Data_CF[Thang.Nam],'Dai Loc'!AK$155)</f>
        <v>0</v>
      </c>
      <c r="AL194" s="344">
        <f>SUMIFS([1]!Data_CF[Value],[1]!Data_CF[Index CF],'Dai Loc'!$B194,[1]!Data_CF[TenCongTyID],'Dai Loc'!$B$1,[1]!Data_CF[Thang.Nam],'Dai Loc'!AL$155)</f>
        <v>0</v>
      </c>
    </row>
    <row r="195" spans="1:38" ht="15" customHeight="1">
      <c r="A195" s="170" t="s">
        <v>281</v>
      </c>
      <c r="B195" s="171">
        <v>40</v>
      </c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>
        <v>0</v>
      </c>
      <c r="AA195" s="325">
        <f>SUMIFS([1]!Data_CF[Value],[1]!Data_CF[Index CF],'Dai Loc'!$B195,[1]!Data_CF[TenCongTyID],'Dai Loc'!$B$1,[1]!Data_CF[Thang.Nam],'Dai Loc'!AA$155)</f>
        <v>0</v>
      </c>
      <c r="AB195" s="325">
        <f>SUMIFS([1]!Data_CF[Value],[1]!Data_CF[Index CF],'Dai Loc'!$B195,[1]!Data_CF[TenCongTyID],'Dai Loc'!$B$1,[1]!Data_CF[Thang.Nam],'Dai Loc'!AB$155)</f>
        <v>0</v>
      </c>
      <c r="AC195" s="325">
        <f>SUMIFS([1]!Data_CF[Value],[1]!Data_CF[Index CF],'Dai Loc'!$B195,[1]!Data_CF[TenCongTyID],'Dai Loc'!$B$1,[1]!Data_CF[Thang.Nam],'Dai Loc'!AC$155)</f>
        <v>0</v>
      </c>
      <c r="AD195" s="325">
        <f>SUMIFS([1]!Data_CF[Value],[1]!Data_CF[Index CF],'Dai Loc'!$B195,[1]!Data_CF[TenCongTyID],'Dai Loc'!$B$1,[1]!Data_CF[Thang.Nam],'Dai Loc'!AD$155)</f>
        <v>0</v>
      </c>
      <c r="AE195" s="325">
        <f>SUMIFS([1]!Data_CF[Value],[1]!Data_CF[Index CF],'Dai Loc'!$B195,[1]!Data_CF[TenCongTyID],'Dai Loc'!$B$1,[1]!Data_CF[Thang.Nam],'Dai Loc'!AE$155)</f>
        <v>0</v>
      </c>
      <c r="AF195" s="325">
        <f>SUMIFS([1]!Data_CF[Value],[1]!Data_CF[Index CF],'Dai Loc'!$B195,[1]!Data_CF[TenCongTyID],'Dai Loc'!$B$1,[1]!Data_CF[Thang.Nam],'Dai Loc'!AF$155)</f>
        <v>0</v>
      </c>
      <c r="AG195" s="325">
        <f>SUMIFS([1]!Data_CF[Value],[1]!Data_CF[Index CF],'Dai Loc'!$B195,[1]!Data_CF[TenCongTyID],'Dai Loc'!$B$1,[1]!Data_CF[Thang.Nam],'Dai Loc'!AG$155)</f>
        <v>0</v>
      </c>
      <c r="AH195" s="325">
        <f>SUMIFS([1]!Data_CF[Value],[1]!Data_CF[Index CF],'Dai Loc'!$B195,[1]!Data_CF[TenCongTyID],'Dai Loc'!$B$1,[1]!Data_CF[Thang.Nam],'Dai Loc'!AH$155)</f>
        <v>0</v>
      </c>
      <c r="AI195" s="325">
        <f>SUMIFS([1]!Data_CF[Value],[1]!Data_CF[Index CF],'Dai Loc'!$B195,[1]!Data_CF[TenCongTyID],'Dai Loc'!$B$1,[1]!Data_CF[Thang.Nam],'Dai Loc'!AI$155)</f>
        <v>0</v>
      </c>
      <c r="AJ195" s="325">
        <f>SUMIFS([1]!Data_CF[Value],[1]!Data_CF[Index CF],'Dai Loc'!$B195,[1]!Data_CF[TenCongTyID],'Dai Loc'!$B$1,[1]!Data_CF[Thang.Nam],'Dai Loc'!AJ$155)</f>
        <v>0</v>
      </c>
      <c r="AK195" s="325">
        <f>SUMIFS([1]!Data_CF[Value],[1]!Data_CF[Index CF],'Dai Loc'!$B195,[1]!Data_CF[TenCongTyID],'Dai Loc'!$B$1,[1]!Data_CF[Thang.Nam],'Dai Loc'!AK$155)</f>
        <v>0</v>
      </c>
      <c r="AL195" s="325">
        <f>SUMIFS([1]!Data_CF[Value],[1]!Data_CF[Index CF],'Dai Loc'!$B195,[1]!Data_CF[TenCongTyID],'Dai Loc'!$B$1,[1]!Data_CF[Thang.Nam],'Dai Loc'!AL$155)</f>
        <v>0</v>
      </c>
    </row>
    <row r="196" spans="1:38" ht="15" customHeight="1">
      <c r="A196" s="145" t="s">
        <v>282</v>
      </c>
      <c r="B196" s="146">
        <v>41</v>
      </c>
      <c r="C196" s="319">
        <f>C194+C193</f>
        <v>2946215478</v>
      </c>
      <c r="D196" s="319">
        <f t="shared" ref="D196:W196" si="11">D194+D193</f>
        <v>2265138258</v>
      </c>
      <c r="E196" s="319">
        <f t="shared" si="11"/>
        <v>4218996644</v>
      </c>
      <c r="F196" s="319">
        <f t="shared" si="11"/>
        <v>3557809436</v>
      </c>
      <c r="G196" s="319">
        <f t="shared" si="11"/>
        <v>3941916171</v>
      </c>
      <c r="H196" s="319">
        <f t="shared" si="11"/>
        <v>772158058</v>
      </c>
      <c r="I196" s="319">
        <f t="shared" si="11"/>
        <v>2805501538</v>
      </c>
      <c r="J196" s="319">
        <f t="shared" si="11"/>
        <v>331678492</v>
      </c>
      <c r="K196" s="319">
        <f t="shared" si="11"/>
        <v>7420709</v>
      </c>
      <c r="L196" s="319">
        <f t="shared" si="11"/>
        <v>3396724052</v>
      </c>
      <c r="M196" s="319">
        <f t="shared" si="11"/>
        <v>1749435798</v>
      </c>
      <c r="N196" s="319">
        <f t="shared" si="11"/>
        <v>1719447314</v>
      </c>
      <c r="O196" s="319">
        <f t="shared" si="11"/>
        <v>2490854993</v>
      </c>
      <c r="P196" s="319">
        <f t="shared" si="11"/>
        <v>185294992</v>
      </c>
      <c r="Q196" s="319">
        <f t="shared" si="11"/>
        <v>1965557775</v>
      </c>
      <c r="R196" s="319">
        <f t="shared" si="11"/>
        <v>2763415028</v>
      </c>
      <c r="S196" s="319">
        <f t="shared" si="11"/>
        <v>1067640621</v>
      </c>
      <c r="T196" s="319">
        <f t="shared" si="11"/>
        <v>451065154</v>
      </c>
      <c r="U196" s="319">
        <f t="shared" si="11"/>
        <v>1634425568</v>
      </c>
      <c r="V196" s="319">
        <f t="shared" si="11"/>
        <v>2579320451</v>
      </c>
      <c r="W196" s="319">
        <f t="shared" si="11"/>
        <v>6126662129</v>
      </c>
      <c r="X196" s="319">
        <v>8698290774</v>
      </c>
      <c r="Y196" s="319">
        <v>3721260007</v>
      </c>
      <c r="Z196" s="319">
        <v>4238403093</v>
      </c>
      <c r="AA196" s="313">
        <f>SUMIFS([1]!Data_CF[Value],[1]!Data_CF[Index CF],'Dai Loc'!$B196,[1]!Data_CF[TenCongTyID],'Dai Loc'!$B$1,[1]!Data_CF[Thang.Nam],'Dai Loc'!AA$155)</f>
        <v>0</v>
      </c>
      <c r="AB196" s="313">
        <f>SUMIFS([1]!Data_CF[Value],[1]!Data_CF[Index CF],'Dai Loc'!$B196,[1]!Data_CF[TenCongTyID],'Dai Loc'!$B$1,[1]!Data_CF[Thang.Nam],'Dai Loc'!AB$155)</f>
        <v>0</v>
      </c>
      <c r="AC196" s="313">
        <f>SUMIFS([1]!Data_CF[Value],[1]!Data_CF[Index CF],'Dai Loc'!$B196,[1]!Data_CF[TenCongTyID],'Dai Loc'!$B$1,[1]!Data_CF[Thang.Nam],'Dai Loc'!AC$155)</f>
        <v>0</v>
      </c>
      <c r="AD196" s="313">
        <f>SUMIFS([1]!Data_CF[Value],[1]!Data_CF[Index CF],'Dai Loc'!$B196,[1]!Data_CF[TenCongTyID],'Dai Loc'!$B$1,[1]!Data_CF[Thang.Nam],'Dai Loc'!AD$155)</f>
        <v>0</v>
      </c>
      <c r="AE196" s="313">
        <f>SUMIFS([1]!Data_CF[Value],[1]!Data_CF[Index CF],'Dai Loc'!$B196,[1]!Data_CF[TenCongTyID],'Dai Loc'!$B$1,[1]!Data_CF[Thang.Nam],'Dai Loc'!AE$155)</f>
        <v>0</v>
      </c>
      <c r="AF196" s="313">
        <f>SUMIFS([1]!Data_CF[Value],[1]!Data_CF[Index CF],'Dai Loc'!$B196,[1]!Data_CF[TenCongTyID],'Dai Loc'!$B$1,[1]!Data_CF[Thang.Nam],'Dai Loc'!AF$155)</f>
        <v>0</v>
      </c>
      <c r="AG196" s="313">
        <f>SUMIFS([1]!Data_CF[Value],[1]!Data_CF[Index CF],'Dai Loc'!$B196,[1]!Data_CF[TenCongTyID],'Dai Loc'!$B$1,[1]!Data_CF[Thang.Nam],'Dai Loc'!AG$155)</f>
        <v>0</v>
      </c>
      <c r="AH196" s="313">
        <f>SUMIFS([1]!Data_CF[Value],[1]!Data_CF[Index CF],'Dai Loc'!$B196,[1]!Data_CF[TenCongTyID],'Dai Loc'!$B$1,[1]!Data_CF[Thang.Nam],'Dai Loc'!AH$155)</f>
        <v>0</v>
      </c>
      <c r="AI196" s="313">
        <f>SUMIFS([1]!Data_CF[Value],[1]!Data_CF[Index CF],'Dai Loc'!$B196,[1]!Data_CF[TenCongTyID],'Dai Loc'!$B$1,[1]!Data_CF[Thang.Nam],'Dai Loc'!AI$155)</f>
        <v>0</v>
      </c>
      <c r="AJ196" s="313">
        <f>SUMIFS([1]!Data_CF[Value],[1]!Data_CF[Index CF],'Dai Loc'!$B196,[1]!Data_CF[TenCongTyID],'Dai Loc'!$B$1,[1]!Data_CF[Thang.Nam],'Dai Loc'!AJ$155)</f>
        <v>0</v>
      </c>
      <c r="AK196" s="313">
        <f>SUMIFS([1]!Data_CF[Value],[1]!Data_CF[Index CF],'Dai Loc'!$B196,[1]!Data_CF[TenCongTyID],'Dai Loc'!$B$1,[1]!Data_CF[Thang.Nam],'Dai Loc'!AK$155)</f>
        <v>0</v>
      </c>
      <c r="AL196" s="313">
        <f>SUMIFS([1]!Data_CF[Value],[1]!Data_CF[Index CF],'Dai Loc'!$B196,[1]!Data_CF[TenCongTyID],'Dai Loc'!$B$1,[1]!Data_CF[Thang.Nam],'Dai Loc'!AL$155)</f>
        <v>0</v>
      </c>
    </row>
    <row r="197" spans="1:38" ht="15" customHeight="1">
      <c r="C197" s="175">
        <f t="shared" ref="C197:Y197" si="12">C7-C196</f>
        <v>0</v>
      </c>
      <c r="D197" s="175">
        <f t="shared" si="12"/>
        <v>0</v>
      </c>
      <c r="E197" s="175">
        <f t="shared" si="12"/>
        <v>0</v>
      </c>
      <c r="F197" s="175">
        <f t="shared" si="12"/>
        <v>0</v>
      </c>
      <c r="G197" s="175">
        <f t="shared" si="12"/>
        <v>0</v>
      </c>
      <c r="H197" s="175">
        <f t="shared" si="12"/>
        <v>0</v>
      </c>
      <c r="I197" s="175">
        <f t="shared" si="12"/>
        <v>0</v>
      </c>
      <c r="J197" s="175">
        <f t="shared" si="12"/>
        <v>0</v>
      </c>
      <c r="K197" s="175">
        <f t="shared" si="12"/>
        <v>0</v>
      </c>
      <c r="L197" s="175">
        <f t="shared" si="12"/>
        <v>0</v>
      </c>
      <c r="M197" s="175">
        <f t="shared" si="12"/>
        <v>0</v>
      </c>
      <c r="N197" s="175">
        <f t="shared" si="12"/>
        <v>0</v>
      </c>
      <c r="O197" s="175">
        <f t="shared" si="12"/>
        <v>0</v>
      </c>
      <c r="P197" s="175">
        <f t="shared" si="12"/>
        <v>0</v>
      </c>
      <c r="Q197" s="175">
        <f t="shared" si="12"/>
        <v>0</v>
      </c>
      <c r="R197" s="175">
        <f t="shared" si="12"/>
        <v>0</v>
      </c>
      <c r="S197" s="175">
        <f t="shared" si="12"/>
        <v>0</v>
      </c>
      <c r="T197" s="175">
        <f t="shared" si="12"/>
        <v>0</v>
      </c>
      <c r="U197" s="175">
        <f t="shared" si="12"/>
        <v>0</v>
      </c>
      <c r="V197" s="175">
        <f t="shared" si="12"/>
        <v>0</v>
      </c>
      <c r="W197" s="175">
        <f t="shared" si="12"/>
        <v>0</v>
      </c>
      <c r="X197" s="175">
        <f t="shared" si="12"/>
        <v>0</v>
      </c>
      <c r="Y197" s="175">
        <f t="shared" si="12"/>
        <v>0</v>
      </c>
      <c r="Z197" s="175">
        <v>0</v>
      </c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</row>
    <row r="198" spans="1:38" ht="15" customHeight="1">
      <c r="A198" s="176" t="s">
        <v>283</v>
      </c>
      <c r="B198" s="177" t="s">
        <v>284</v>
      </c>
      <c r="C198" s="349" t="s">
        <v>66</v>
      </c>
      <c r="D198" s="349" t="s">
        <v>67</v>
      </c>
      <c r="E198" s="349" t="s">
        <v>68</v>
      </c>
      <c r="F198" s="349" t="s">
        <v>69</v>
      </c>
      <c r="G198" s="349" t="s">
        <v>70</v>
      </c>
      <c r="H198" s="349" t="s">
        <v>71</v>
      </c>
      <c r="I198" s="349" t="s">
        <v>72</v>
      </c>
      <c r="J198" s="349" t="s">
        <v>73</v>
      </c>
      <c r="K198" s="349" t="s">
        <v>74</v>
      </c>
      <c r="L198" s="349" t="s">
        <v>75</v>
      </c>
      <c r="M198" s="349" t="s">
        <v>76</v>
      </c>
      <c r="N198" s="349" t="s">
        <v>77</v>
      </c>
      <c r="O198" s="349" t="s">
        <v>78</v>
      </c>
      <c r="P198" s="349" t="s">
        <v>79</v>
      </c>
      <c r="Q198" s="349" t="s">
        <v>80</v>
      </c>
      <c r="R198" s="349" t="s">
        <v>81</v>
      </c>
      <c r="S198" s="349" t="s">
        <v>82</v>
      </c>
      <c r="T198" s="349" t="s">
        <v>83</v>
      </c>
      <c r="U198" s="349" t="s">
        <v>84</v>
      </c>
      <c r="V198" s="349" t="s">
        <v>85</v>
      </c>
      <c r="W198" s="349" t="s">
        <v>86</v>
      </c>
      <c r="X198" s="349" t="s">
        <v>87</v>
      </c>
      <c r="Y198" s="349" t="s">
        <v>88</v>
      </c>
      <c r="Z198" s="349" t="s">
        <v>89</v>
      </c>
      <c r="AA198" s="349" t="s">
        <v>8</v>
      </c>
      <c r="AB198" s="349" t="s">
        <v>9</v>
      </c>
      <c r="AC198" s="349" t="s">
        <v>10</v>
      </c>
      <c r="AD198" s="349" t="s">
        <v>11</v>
      </c>
      <c r="AE198" s="349" t="s">
        <v>12</v>
      </c>
      <c r="AF198" s="349" t="s">
        <v>13</v>
      </c>
      <c r="AG198" s="349" t="s">
        <v>14</v>
      </c>
      <c r="AH198" s="349" t="s">
        <v>15</v>
      </c>
      <c r="AI198" s="349" t="s">
        <v>16</v>
      </c>
      <c r="AJ198" s="349" t="s">
        <v>17</v>
      </c>
      <c r="AK198" s="349" t="s">
        <v>18</v>
      </c>
      <c r="AL198" s="349" t="s">
        <v>19</v>
      </c>
    </row>
    <row r="199" spans="1:38" ht="15" customHeight="1">
      <c r="A199" s="178" t="s">
        <v>285</v>
      </c>
      <c r="B199" s="179">
        <v>1</v>
      </c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>
        <v>0</v>
      </c>
      <c r="AA199" s="180">
        <f>SUMIFS([1]!Data_PL_Element[Value],[1]!Data_PL_Element[Index PL Element],'Dai Loc'!$B199,[1]!Data_PL_Element[TenCongTyID],'Dai Loc'!$B$1,[1]!Data_PL_Element[Thang.Nam],'Dai Loc'!AA$198)</f>
        <v>0</v>
      </c>
      <c r="AB199" s="180">
        <f>SUMIFS([1]!Data_PL_Element[Value],[1]!Data_PL_Element[Index PL Element],'Dai Loc'!$B199,[1]!Data_PL_Element[TenCongTyID],'Dai Loc'!$B$1,[1]!Data_PL_Element[Thang.Nam],'Dai Loc'!AB$198)</f>
        <v>0</v>
      </c>
      <c r="AC199" s="180">
        <f>SUMIFS([1]!Data_PL_Element[Value],[1]!Data_PL_Element[Index PL Element],'Dai Loc'!$B199,[1]!Data_PL_Element[TenCongTyID],'Dai Loc'!$B$1,[1]!Data_PL_Element[Thang.Nam],'Dai Loc'!AC$198)</f>
        <v>0</v>
      </c>
      <c r="AD199" s="180">
        <f>SUMIFS([1]!Data_PL_Element[Value],[1]!Data_PL_Element[Index PL Element],'Dai Loc'!$B199,[1]!Data_PL_Element[TenCongTyID],'Dai Loc'!$B$1,[1]!Data_PL_Element[Thang.Nam],'Dai Loc'!AD$198)</f>
        <v>0</v>
      </c>
      <c r="AE199" s="180">
        <f>SUMIFS([1]!Data_PL_Element[Value],[1]!Data_PL_Element[Index PL Element],'Dai Loc'!$B199,[1]!Data_PL_Element[TenCongTyID],'Dai Loc'!$B$1,[1]!Data_PL_Element[Thang.Nam],'Dai Loc'!AE$198)</f>
        <v>0</v>
      </c>
      <c r="AF199" s="180">
        <f>SUMIFS([1]!Data_PL_Element[Value],[1]!Data_PL_Element[Index PL Element],'Dai Loc'!$B199,[1]!Data_PL_Element[TenCongTyID],'Dai Loc'!$B$1,[1]!Data_PL_Element[Thang.Nam],'Dai Loc'!AF$198)</f>
        <v>0</v>
      </c>
      <c r="AG199" s="180">
        <f>SUMIFS([1]!Data_PL_Element[Value],[1]!Data_PL_Element[Index PL Element],'Dai Loc'!$B199,[1]!Data_PL_Element[TenCongTyID],'Dai Loc'!$B$1,[1]!Data_PL_Element[Thang.Nam],'Dai Loc'!AG$198)</f>
        <v>0</v>
      </c>
      <c r="AH199" s="180">
        <f>SUMIFS([1]!Data_PL_Element[Value],[1]!Data_PL_Element[Index PL Element],'Dai Loc'!$B199,[1]!Data_PL_Element[TenCongTyID],'Dai Loc'!$B$1,[1]!Data_PL_Element[Thang.Nam],'Dai Loc'!AH$198)</f>
        <v>0</v>
      </c>
      <c r="AI199" s="180">
        <f>SUMIFS([1]!Data_PL_Element[Value],[1]!Data_PL_Element[Index PL Element],'Dai Loc'!$B199,[1]!Data_PL_Element[TenCongTyID],'Dai Loc'!$B$1,[1]!Data_PL_Element[Thang.Nam],'Dai Loc'!AI$198)</f>
        <v>0</v>
      </c>
      <c r="AJ199" s="180">
        <f>SUMIFS([1]!Data_PL_Element[Value],[1]!Data_PL_Element[Index PL Element],'Dai Loc'!$B199,[1]!Data_PL_Element[TenCongTyID],'Dai Loc'!$B$1,[1]!Data_PL_Element[Thang.Nam],'Dai Loc'!AJ$198)</f>
        <v>0</v>
      </c>
      <c r="AK199" s="180">
        <f>SUMIFS([1]!Data_PL_Element[Value],[1]!Data_PL_Element[Index PL Element],'Dai Loc'!$B199,[1]!Data_PL_Element[TenCongTyID],'Dai Loc'!$B$1,[1]!Data_PL_Element[Thang.Nam],'Dai Loc'!AK$198)</f>
        <v>0</v>
      </c>
      <c r="AL199" s="180">
        <f>SUMIFS([1]!Data_PL_Element[Value],[1]!Data_PL_Element[Index PL Element],'Dai Loc'!$B199,[1]!Data_PL_Element[TenCongTyID],'Dai Loc'!$B$1,[1]!Data_PL_Element[Thang.Nam],'Dai Loc'!AL$198)</f>
        <v>0</v>
      </c>
    </row>
    <row r="200" spans="1:38" ht="15" customHeight="1">
      <c r="A200" s="178" t="s">
        <v>286</v>
      </c>
      <c r="B200" s="179">
        <v>2</v>
      </c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>
        <v>0</v>
      </c>
      <c r="AA200" s="180">
        <f>SUMIFS([1]!Data_PL_Element[Value],[1]!Data_PL_Element[Index PL Element],'Dai Loc'!$B200,[1]!Data_PL_Element[TenCongTyID],'Dai Loc'!$B$1,[1]!Data_PL_Element[Thang.Nam],'Dai Loc'!AA$198)</f>
        <v>0</v>
      </c>
      <c r="AB200" s="180">
        <f>SUMIFS([1]!Data_PL_Element[Value],[1]!Data_PL_Element[Index PL Element],'Dai Loc'!$B200,[1]!Data_PL_Element[TenCongTyID],'Dai Loc'!$B$1,[1]!Data_PL_Element[Thang.Nam],'Dai Loc'!AB$198)</f>
        <v>0</v>
      </c>
      <c r="AC200" s="180">
        <f>SUMIFS([1]!Data_PL_Element[Value],[1]!Data_PL_Element[Index PL Element],'Dai Loc'!$B200,[1]!Data_PL_Element[TenCongTyID],'Dai Loc'!$B$1,[1]!Data_PL_Element[Thang.Nam],'Dai Loc'!AC$198)</f>
        <v>0</v>
      </c>
      <c r="AD200" s="180">
        <f>SUMIFS([1]!Data_PL_Element[Value],[1]!Data_PL_Element[Index PL Element],'Dai Loc'!$B200,[1]!Data_PL_Element[TenCongTyID],'Dai Loc'!$B$1,[1]!Data_PL_Element[Thang.Nam],'Dai Loc'!AD$198)</f>
        <v>0</v>
      </c>
      <c r="AE200" s="180">
        <f>SUMIFS([1]!Data_PL_Element[Value],[1]!Data_PL_Element[Index PL Element],'Dai Loc'!$B200,[1]!Data_PL_Element[TenCongTyID],'Dai Loc'!$B$1,[1]!Data_PL_Element[Thang.Nam],'Dai Loc'!AE$198)</f>
        <v>0</v>
      </c>
      <c r="AF200" s="180">
        <f>SUMIFS([1]!Data_PL_Element[Value],[1]!Data_PL_Element[Index PL Element],'Dai Loc'!$B200,[1]!Data_PL_Element[TenCongTyID],'Dai Loc'!$B$1,[1]!Data_PL_Element[Thang.Nam],'Dai Loc'!AF$198)</f>
        <v>0</v>
      </c>
      <c r="AG200" s="180">
        <f>SUMIFS([1]!Data_PL_Element[Value],[1]!Data_PL_Element[Index PL Element],'Dai Loc'!$B200,[1]!Data_PL_Element[TenCongTyID],'Dai Loc'!$B$1,[1]!Data_PL_Element[Thang.Nam],'Dai Loc'!AG$198)</f>
        <v>0</v>
      </c>
      <c r="AH200" s="180">
        <f>SUMIFS([1]!Data_PL_Element[Value],[1]!Data_PL_Element[Index PL Element],'Dai Loc'!$B200,[1]!Data_PL_Element[TenCongTyID],'Dai Loc'!$B$1,[1]!Data_PL_Element[Thang.Nam],'Dai Loc'!AH$198)</f>
        <v>0</v>
      </c>
      <c r="AI200" s="180">
        <f>SUMIFS([1]!Data_PL_Element[Value],[1]!Data_PL_Element[Index PL Element],'Dai Loc'!$B200,[1]!Data_PL_Element[TenCongTyID],'Dai Loc'!$B$1,[1]!Data_PL_Element[Thang.Nam],'Dai Loc'!AI$198)</f>
        <v>0</v>
      </c>
      <c r="AJ200" s="180">
        <f>SUMIFS([1]!Data_PL_Element[Value],[1]!Data_PL_Element[Index PL Element],'Dai Loc'!$B200,[1]!Data_PL_Element[TenCongTyID],'Dai Loc'!$B$1,[1]!Data_PL_Element[Thang.Nam],'Dai Loc'!AJ$198)</f>
        <v>0</v>
      </c>
      <c r="AK200" s="180">
        <f>SUMIFS([1]!Data_PL_Element[Value],[1]!Data_PL_Element[Index PL Element],'Dai Loc'!$B200,[1]!Data_PL_Element[TenCongTyID],'Dai Loc'!$B$1,[1]!Data_PL_Element[Thang.Nam],'Dai Loc'!AK$198)</f>
        <v>0</v>
      </c>
      <c r="AL200" s="180">
        <f>SUMIFS([1]!Data_PL_Element[Value],[1]!Data_PL_Element[Index PL Element],'Dai Loc'!$B200,[1]!Data_PL_Element[TenCongTyID],'Dai Loc'!$B$1,[1]!Data_PL_Element[Thang.Nam],'Dai Loc'!AL$198)</f>
        <v>0</v>
      </c>
    </row>
    <row r="201" spans="1:38" ht="15" customHeight="1">
      <c r="A201" s="178" t="s">
        <v>287</v>
      </c>
      <c r="B201" s="179">
        <v>3</v>
      </c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>
        <v>0</v>
      </c>
      <c r="AA201" s="180">
        <f>SUMIFS([1]!Data_PL_Element[Value],[1]!Data_PL_Element[Index PL Element],'Dai Loc'!$B201,[1]!Data_PL_Element[TenCongTyID],'Dai Loc'!$B$1,[1]!Data_PL_Element[Thang.Nam],'Dai Loc'!AA$198)</f>
        <v>0</v>
      </c>
      <c r="AB201" s="180">
        <f>SUMIFS([1]!Data_PL_Element[Value],[1]!Data_PL_Element[Index PL Element],'Dai Loc'!$B201,[1]!Data_PL_Element[TenCongTyID],'Dai Loc'!$B$1,[1]!Data_PL_Element[Thang.Nam],'Dai Loc'!AB$198)</f>
        <v>0</v>
      </c>
      <c r="AC201" s="180">
        <f>SUMIFS([1]!Data_PL_Element[Value],[1]!Data_PL_Element[Index PL Element],'Dai Loc'!$B201,[1]!Data_PL_Element[TenCongTyID],'Dai Loc'!$B$1,[1]!Data_PL_Element[Thang.Nam],'Dai Loc'!AC$198)</f>
        <v>0</v>
      </c>
      <c r="AD201" s="180">
        <f>SUMIFS([1]!Data_PL_Element[Value],[1]!Data_PL_Element[Index PL Element],'Dai Loc'!$B201,[1]!Data_PL_Element[TenCongTyID],'Dai Loc'!$B$1,[1]!Data_PL_Element[Thang.Nam],'Dai Loc'!AD$198)</f>
        <v>0</v>
      </c>
      <c r="AE201" s="180">
        <f>SUMIFS([1]!Data_PL_Element[Value],[1]!Data_PL_Element[Index PL Element],'Dai Loc'!$B201,[1]!Data_PL_Element[TenCongTyID],'Dai Loc'!$B$1,[1]!Data_PL_Element[Thang.Nam],'Dai Loc'!AE$198)</f>
        <v>0</v>
      </c>
      <c r="AF201" s="180">
        <f>SUMIFS([1]!Data_PL_Element[Value],[1]!Data_PL_Element[Index PL Element],'Dai Loc'!$B201,[1]!Data_PL_Element[TenCongTyID],'Dai Loc'!$B$1,[1]!Data_PL_Element[Thang.Nam],'Dai Loc'!AF$198)</f>
        <v>0</v>
      </c>
      <c r="AG201" s="180">
        <f>SUMIFS([1]!Data_PL_Element[Value],[1]!Data_PL_Element[Index PL Element],'Dai Loc'!$B201,[1]!Data_PL_Element[TenCongTyID],'Dai Loc'!$B$1,[1]!Data_PL_Element[Thang.Nam],'Dai Loc'!AG$198)</f>
        <v>0</v>
      </c>
      <c r="AH201" s="180">
        <f>SUMIFS([1]!Data_PL_Element[Value],[1]!Data_PL_Element[Index PL Element],'Dai Loc'!$B201,[1]!Data_PL_Element[TenCongTyID],'Dai Loc'!$B$1,[1]!Data_PL_Element[Thang.Nam],'Dai Loc'!AH$198)</f>
        <v>0</v>
      </c>
      <c r="AI201" s="180">
        <f>SUMIFS([1]!Data_PL_Element[Value],[1]!Data_PL_Element[Index PL Element],'Dai Loc'!$B201,[1]!Data_PL_Element[TenCongTyID],'Dai Loc'!$B$1,[1]!Data_PL_Element[Thang.Nam],'Dai Loc'!AI$198)</f>
        <v>0</v>
      </c>
      <c r="AJ201" s="180">
        <f>SUMIFS([1]!Data_PL_Element[Value],[1]!Data_PL_Element[Index PL Element],'Dai Loc'!$B201,[1]!Data_PL_Element[TenCongTyID],'Dai Loc'!$B$1,[1]!Data_PL_Element[Thang.Nam],'Dai Loc'!AJ$198)</f>
        <v>0</v>
      </c>
      <c r="AK201" s="180">
        <f>SUMIFS([1]!Data_PL_Element[Value],[1]!Data_PL_Element[Index PL Element],'Dai Loc'!$B201,[1]!Data_PL_Element[TenCongTyID],'Dai Loc'!$B$1,[1]!Data_PL_Element[Thang.Nam],'Dai Loc'!AK$198)</f>
        <v>0</v>
      </c>
      <c r="AL201" s="180">
        <f>SUMIFS([1]!Data_PL_Element[Value],[1]!Data_PL_Element[Index PL Element],'Dai Loc'!$B201,[1]!Data_PL_Element[TenCongTyID],'Dai Loc'!$B$1,[1]!Data_PL_Element[Thang.Nam],'Dai Loc'!AL$198)</f>
        <v>0</v>
      </c>
    </row>
    <row r="202" spans="1:38" ht="15" customHeight="1">
      <c r="A202" s="178" t="s">
        <v>288</v>
      </c>
      <c r="B202" s="179">
        <v>4</v>
      </c>
      <c r="C202" s="180">
        <v>538.81799999999998</v>
      </c>
      <c r="D202" s="180">
        <v>294.95800000000003</v>
      </c>
      <c r="E202" s="180">
        <v>591.25199999999995</v>
      </c>
      <c r="F202" s="180">
        <v>564.87</v>
      </c>
      <c r="G202" s="180">
        <v>435.01400000000001</v>
      </c>
      <c r="H202" s="180">
        <v>593.49300000000005</v>
      </c>
      <c r="I202" s="180">
        <v>592.72400000000005</v>
      </c>
      <c r="J202" s="180">
        <v>583.46199999999999</v>
      </c>
      <c r="K202" s="180">
        <v>675.93</v>
      </c>
      <c r="L202" s="180">
        <v>828.18899999999996</v>
      </c>
      <c r="M202" s="180">
        <v>652.16399999999999</v>
      </c>
      <c r="N202" s="180">
        <v>581.43499999999995</v>
      </c>
      <c r="O202" s="180">
        <v>435.90050000000002</v>
      </c>
      <c r="P202" s="180">
        <v>463.94400000000002</v>
      </c>
      <c r="Q202" s="180">
        <v>894.04399999999998</v>
      </c>
      <c r="R202" s="180">
        <v>776.79100000000005</v>
      </c>
      <c r="S202" s="180">
        <v>901.86800000000005</v>
      </c>
      <c r="T202" s="180">
        <v>1014.872</v>
      </c>
      <c r="U202" s="180">
        <v>1147.9359999999999</v>
      </c>
      <c r="V202" s="180">
        <v>1074.075</v>
      </c>
      <c r="W202" s="180">
        <v>1001.058</v>
      </c>
      <c r="X202" s="180">
        <v>942.33799999999997</v>
      </c>
      <c r="Y202" s="180">
        <v>518.43360600000005</v>
      </c>
      <c r="Z202" s="180">
        <v>653</v>
      </c>
      <c r="AA202" s="180">
        <f>SUMIFS([1]!Data_PL_Element[Value],[1]!Data_PL_Element[Index PL Element],'Dai Loc'!$B202,[1]!Data_PL_Element[TenCongTyID],'Dai Loc'!$B$1,[1]!Data_PL_Element[Thang.Nam],'Dai Loc'!AA$198)</f>
        <v>0</v>
      </c>
      <c r="AB202" s="180">
        <f>SUMIFS([1]!Data_PL_Element[Value],[1]!Data_PL_Element[Index PL Element],'Dai Loc'!$B202,[1]!Data_PL_Element[TenCongTyID],'Dai Loc'!$B$1,[1]!Data_PL_Element[Thang.Nam],'Dai Loc'!AB$198)</f>
        <v>0</v>
      </c>
      <c r="AC202" s="180">
        <f>SUMIFS([1]!Data_PL_Element[Value],[1]!Data_PL_Element[Index PL Element],'Dai Loc'!$B202,[1]!Data_PL_Element[TenCongTyID],'Dai Loc'!$B$1,[1]!Data_PL_Element[Thang.Nam],'Dai Loc'!AC$198)</f>
        <v>0</v>
      </c>
      <c r="AD202" s="180">
        <f>SUMIFS([1]!Data_PL_Element[Value],[1]!Data_PL_Element[Index PL Element],'Dai Loc'!$B202,[1]!Data_PL_Element[TenCongTyID],'Dai Loc'!$B$1,[1]!Data_PL_Element[Thang.Nam],'Dai Loc'!AD$198)</f>
        <v>0</v>
      </c>
      <c r="AE202" s="180">
        <f>SUMIFS([1]!Data_PL_Element[Value],[1]!Data_PL_Element[Index PL Element],'Dai Loc'!$B202,[1]!Data_PL_Element[TenCongTyID],'Dai Loc'!$B$1,[1]!Data_PL_Element[Thang.Nam],'Dai Loc'!AE$198)</f>
        <v>0</v>
      </c>
      <c r="AF202" s="180">
        <f>SUMIFS([1]!Data_PL_Element[Value],[1]!Data_PL_Element[Index PL Element],'Dai Loc'!$B202,[1]!Data_PL_Element[TenCongTyID],'Dai Loc'!$B$1,[1]!Data_PL_Element[Thang.Nam],'Dai Loc'!AF$198)</f>
        <v>0</v>
      </c>
      <c r="AG202" s="180">
        <f>SUMIFS([1]!Data_PL_Element[Value],[1]!Data_PL_Element[Index PL Element],'Dai Loc'!$B202,[1]!Data_PL_Element[TenCongTyID],'Dai Loc'!$B$1,[1]!Data_PL_Element[Thang.Nam],'Dai Loc'!AG$198)</f>
        <v>0</v>
      </c>
      <c r="AH202" s="180">
        <f>SUMIFS([1]!Data_PL_Element[Value],[1]!Data_PL_Element[Index PL Element],'Dai Loc'!$B202,[1]!Data_PL_Element[TenCongTyID],'Dai Loc'!$B$1,[1]!Data_PL_Element[Thang.Nam],'Dai Loc'!AH$198)</f>
        <v>0</v>
      </c>
      <c r="AI202" s="180">
        <f>SUMIFS([1]!Data_PL_Element[Value],[1]!Data_PL_Element[Index PL Element],'Dai Loc'!$B202,[1]!Data_PL_Element[TenCongTyID],'Dai Loc'!$B$1,[1]!Data_PL_Element[Thang.Nam],'Dai Loc'!AI$198)</f>
        <v>0</v>
      </c>
      <c r="AJ202" s="180">
        <f>SUMIFS([1]!Data_PL_Element[Value],[1]!Data_PL_Element[Index PL Element],'Dai Loc'!$B202,[1]!Data_PL_Element[TenCongTyID],'Dai Loc'!$B$1,[1]!Data_PL_Element[Thang.Nam],'Dai Loc'!AJ$198)</f>
        <v>0</v>
      </c>
      <c r="AK202" s="180">
        <f>SUMIFS([1]!Data_PL_Element[Value],[1]!Data_PL_Element[Index PL Element],'Dai Loc'!$B202,[1]!Data_PL_Element[TenCongTyID],'Dai Loc'!$B$1,[1]!Data_PL_Element[Thang.Nam],'Dai Loc'!AK$198)</f>
        <v>0</v>
      </c>
      <c r="AL202" s="180">
        <f>SUMIFS([1]!Data_PL_Element[Value],[1]!Data_PL_Element[Index PL Element],'Dai Loc'!$B202,[1]!Data_PL_Element[TenCongTyID],'Dai Loc'!$B$1,[1]!Data_PL_Element[Thang.Nam],'Dai Loc'!AL$198)</f>
        <v>0</v>
      </c>
    </row>
    <row r="203" spans="1:38" ht="15" customHeight="1">
      <c r="A203" s="178" t="s">
        <v>289</v>
      </c>
      <c r="B203" s="179">
        <v>5</v>
      </c>
      <c r="C203" s="180">
        <f t="shared" ref="C203:Y205" si="13">C134</f>
        <v>938</v>
      </c>
      <c r="D203" s="180">
        <f t="shared" si="13"/>
        <v>278</v>
      </c>
      <c r="E203" s="180">
        <f t="shared" si="13"/>
        <v>573</v>
      </c>
      <c r="F203" s="180">
        <f t="shared" si="13"/>
        <v>500</v>
      </c>
      <c r="G203" s="180">
        <f t="shared" si="13"/>
        <v>507</v>
      </c>
      <c r="H203" s="180">
        <f t="shared" si="13"/>
        <v>799</v>
      </c>
      <c r="I203" s="180">
        <f t="shared" si="13"/>
        <v>509</v>
      </c>
      <c r="J203" s="180">
        <f t="shared" si="13"/>
        <v>498</v>
      </c>
      <c r="K203" s="180">
        <f t="shared" si="13"/>
        <v>551</v>
      </c>
      <c r="L203" s="180">
        <f t="shared" si="13"/>
        <v>716</v>
      </c>
      <c r="M203" s="180">
        <f t="shared" si="13"/>
        <v>538</v>
      </c>
      <c r="N203" s="180">
        <f t="shared" si="13"/>
        <v>381</v>
      </c>
      <c r="O203" s="180">
        <f t="shared" si="13"/>
        <v>304</v>
      </c>
      <c r="P203" s="180">
        <f t="shared" si="13"/>
        <v>444</v>
      </c>
      <c r="Q203" s="180">
        <f t="shared" si="13"/>
        <v>889</v>
      </c>
      <c r="R203" s="180">
        <f t="shared" si="13"/>
        <v>785</v>
      </c>
      <c r="S203" s="180">
        <f t="shared" si="13"/>
        <v>911</v>
      </c>
      <c r="T203" s="180">
        <f t="shared" si="13"/>
        <v>1004</v>
      </c>
      <c r="U203" s="180">
        <f t="shared" si="13"/>
        <v>1107.232</v>
      </c>
      <c r="V203" s="180">
        <f t="shared" si="13"/>
        <v>1084.2270000000001</v>
      </c>
      <c r="W203" s="180">
        <f t="shared" si="13"/>
        <v>995</v>
      </c>
      <c r="X203" s="180">
        <f t="shared" si="13"/>
        <v>963</v>
      </c>
      <c r="Y203" s="180">
        <f t="shared" si="13"/>
        <v>492.50400000000002</v>
      </c>
      <c r="Z203" s="180">
        <v>676</v>
      </c>
      <c r="AA203" s="180" t="e">
        <f>#REF!</f>
        <v>#REF!</v>
      </c>
      <c r="AB203" s="180">
        <f t="shared" ref="AB203:AL205" si="14">AA134</f>
        <v>769.27499999999998</v>
      </c>
      <c r="AC203" s="180">
        <f t="shared" si="14"/>
        <v>598.32500000000005</v>
      </c>
      <c r="AD203" s="180">
        <f t="shared" si="14"/>
        <v>854.75</v>
      </c>
      <c r="AE203" s="180">
        <f t="shared" si="14"/>
        <v>940.22500000000002</v>
      </c>
      <c r="AF203" s="180">
        <f t="shared" si="14"/>
        <v>939.07</v>
      </c>
      <c r="AG203" s="180">
        <f t="shared" si="14"/>
        <v>902.77</v>
      </c>
      <c r="AH203" s="180">
        <f t="shared" si="14"/>
        <v>902.77</v>
      </c>
      <c r="AI203" s="180">
        <f t="shared" si="14"/>
        <v>902.77</v>
      </c>
      <c r="AJ203" s="180">
        <f t="shared" si="14"/>
        <v>902.77</v>
      </c>
      <c r="AK203" s="180">
        <f t="shared" si="14"/>
        <v>902.77</v>
      </c>
      <c r="AL203" s="180">
        <f t="shared" si="14"/>
        <v>902.77</v>
      </c>
    </row>
    <row r="204" spans="1:38" ht="15" customHeight="1">
      <c r="A204" s="181" t="s">
        <v>290</v>
      </c>
      <c r="B204" s="182">
        <v>6</v>
      </c>
      <c r="C204" s="183">
        <f t="shared" si="13"/>
        <v>18859106420</v>
      </c>
      <c r="D204" s="183">
        <f t="shared" si="13"/>
        <v>4569145960</v>
      </c>
      <c r="E204" s="183">
        <f t="shared" si="13"/>
        <v>9889167500</v>
      </c>
      <c r="F204" s="183">
        <f t="shared" si="13"/>
        <v>8988544600</v>
      </c>
      <c r="G204" s="183">
        <f t="shared" si="13"/>
        <v>8396397250</v>
      </c>
      <c r="H204" s="183">
        <f t="shared" si="13"/>
        <v>13981977600</v>
      </c>
      <c r="I204" s="183">
        <f t="shared" si="13"/>
        <v>8695495766</v>
      </c>
      <c r="J204" s="183">
        <f t="shared" si="13"/>
        <v>9066018899</v>
      </c>
      <c r="K204" s="183">
        <f t="shared" si="13"/>
        <v>10085358702</v>
      </c>
      <c r="L204" s="183">
        <f t="shared" si="13"/>
        <v>12770520896</v>
      </c>
      <c r="M204" s="183">
        <f t="shared" si="13"/>
        <v>10341915406</v>
      </c>
      <c r="N204" s="183">
        <f t="shared" si="13"/>
        <v>9052536426</v>
      </c>
      <c r="O204" s="183">
        <f t="shared" si="13"/>
        <v>5422948492</v>
      </c>
      <c r="P204" s="183">
        <f t="shared" si="13"/>
        <v>8810676928</v>
      </c>
      <c r="Q204" s="183">
        <f t="shared" si="13"/>
        <v>16279256392</v>
      </c>
      <c r="R204" s="183">
        <f t="shared" si="13"/>
        <v>14772471605</v>
      </c>
      <c r="S204" s="183">
        <f t="shared" si="13"/>
        <v>17582066937</v>
      </c>
      <c r="T204" s="183">
        <f t="shared" si="13"/>
        <v>19496019197</v>
      </c>
      <c r="U204" s="183">
        <f t="shared" si="13"/>
        <v>21794142714</v>
      </c>
      <c r="V204" s="183">
        <f t="shared" si="13"/>
        <v>20947068360</v>
      </c>
      <c r="W204" s="183">
        <f t="shared" si="13"/>
        <v>16641507646</v>
      </c>
      <c r="X204" s="183">
        <f t="shared" si="13"/>
        <v>14529961948</v>
      </c>
      <c r="Y204" s="183">
        <f t="shared" si="13"/>
        <v>7374095784</v>
      </c>
      <c r="Z204" s="183">
        <v>10294667630</v>
      </c>
      <c r="AA204" s="183" t="e">
        <f>#REF!</f>
        <v>#REF!</v>
      </c>
      <c r="AB204" s="183">
        <f t="shared" si="14"/>
        <v>11415442500</v>
      </c>
      <c r="AC204" s="183">
        <f t="shared" si="14"/>
        <v>8878677500</v>
      </c>
      <c r="AD204" s="183">
        <f t="shared" si="14"/>
        <v>12683825000</v>
      </c>
      <c r="AE204" s="183">
        <f t="shared" si="14"/>
        <v>13952207500</v>
      </c>
      <c r="AF204" s="183">
        <f t="shared" si="14"/>
        <v>13934978750</v>
      </c>
      <c r="AG204" s="183">
        <f t="shared" si="14"/>
        <v>14026113750</v>
      </c>
      <c r="AH204" s="183">
        <f t="shared" si="14"/>
        <v>14026113750</v>
      </c>
      <c r="AI204" s="183">
        <f t="shared" si="14"/>
        <v>14026113750</v>
      </c>
      <c r="AJ204" s="183">
        <f t="shared" si="14"/>
        <v>14026113750</v>
      </c>
      <c r="AK204" s="183">
        <f t="shared" si="14"/>
        <v>14026113750</v>
      </c>
      <c r="AL204" s="183">
        <f t="shared" si="14"/>
        <v>14026113750</v>
      </c>
    </row>
    <row r="205" spans="1:38" ht="15" customHeight="1">
      <c r="A205" s="184" t="s">
        <v>291</v>
      </c>
      <c r="B205" s="185">
        <v>7</v>
      </c>
      <c r="C205" s="186">
        <f t="shared" si="13"/>
        <v>0</v>
      </c>
      <c r="D205" s="186">
        <f t="shared" si="13"/>
        <v>0</v>
      </c>
      <c r="E205" s="186">
        <f t="shared" si="13"/>
        <v>0</v>
      </c>
      <c r="F205" s="186">
        <f t="shared" si="13"/>
        <v>0</v>
      </c>
      <c r="G205" s="186">
        <f t="shared" si="13"/>
        <v>0</v>
      </c>
      <c r="H205" s="186">
        <f t="shared" si="13"/>
        <v>0</v>
      </c>
      <c r="I205" s="186">
        <f t="shared" si="13"/>
        <v>0</v>
      </c>
      <c r="J205" s="186">
        <f t="shared" si="13"/>
        <v>0</v>
      </c>
      <c r="K205" s="186">
        <f t="shared" si="13"/>
        <v>0</v>
      </c>
      <c r="L205" s="186">
        <f t="shared" si="13"/>
        <v>0</v>
      </c>
      <c r="M205" s="186">
        <f t="shared" si="13"/>
        <v>0</v>
      </c>
      <c r="N205" s="186">
        <f t="shared" si="13"/>
        <v>0</v>
      </c>
      <c r="O205" s="186">
        <f t="shared" si="13"/>
        <v>0</v>
      </c>
      <c r="P205" s="186">
        <f t="shared" si="13"/>
        <v>0</v>
      </c>
      <c r="Q205" s="186">
        <f t="shared" si="13"/>
        <v>0</v>
      </c>
      <c r="R205" s="186">
        <f t="shared" si="13"/>
        <v>0</v>
      </c>
      <c r="S205" s="186">
        <f t="shared" si="13"/>
        <v>0</v>
      </c>
      <c r="T205" s="186">
        <f t="shared" si="13"/>
        <v>0</v>
      </c>
      <c r="U205" s="186">
        <f t="shared" si="13"/>
        <v>0</v>
      </c>
      <c r="V205" s="186">
        <f t="shared" si="13"/>
        <v>0</v>
      </c>
      <c r="W205" s="186">
        <f t="shared" si="13"/>
        <v>0</v>
      </c>
      <c r="X205" s="186">
        <f t="shared" si="13"/>
        <v>0</v>
      </c>
      <c r="Y205" s="186">
        <f t="shared" si="13"/>
        <v>0</v>
      </c>
      <c r="Z205" s="186">
        <v>0</v>
      </c>
      <c r="AA205" s="186" t="e">
        <f>#REF!</f>
        <v>#REF!</v>
      </c>
      <c r="AB205" s="186">
        <f t="shared" si="14"/>
        <v>0</v>
      </c>
      <c r="AC205" s="186">
        <f t="shared" si="14"/>
        <v>0</v>
      </c>
      <c r="AD205" s="186">
        <f t="shared" si="14"/>
        <v>0</v>
      </c>
      <c r="AE205" s="186">
        <f t="shared" si="14"/>
        <v>0</v>
      </c>
      <c r="AF205" s="186">
        <f t="shared" si="14"/>
        <v>0</v>
      </c>
      <c r="AG205" s="186">
        <f t="shared" si="14"/>
        <v>0</v>
      </c>
      <c r="AH205" s="186">
        <f t="shared" si="14"/>
        <v>0</v>
      </c>
      <c r="AI205" s="186">
        <f t="shared" si="14"/>
        <v>0</v>
      </c>
      <c r="AJ205" s="186">
        <f t="shared" si="14"/>
        <v>0</v>
      </c>
      <c r="AK205" s="186">
        <f t="shared" si="14"/>
        <v>0</v>
      </c>
      <c r="AL205" s="186">
        <f t="shared" si="14"/>
        <v>0</v>
      </c>
    </row>
    <row r="206" spans="1:38" ht="15" customHeight="1">
      <c r="A206" s="184" t="s">
        <v>292</v>
      </c>
      <c r="B206" s="185">
        <v>8</v>
      </c>
      <c r="C206" s="187">
        <f t="shared" ref="C206:AL206" si="15">IFERROR(C205/C204,"")</f>
        <v>0</v>
      </c>
      <c r="D206" s="187">
        <f t="shared" si="15"/>
        <v>0</v>
      </c>
      <c r="E206" s="187">
        <f t="shared" si="15"/>
        <v>0</v>
      </c>
      <c r="F206" s="187">
        <f t="shared" si="15"/>
        <v>0</v>
      </c>
      <c r="G206" s="187">
        <f t="shared" si="15"/>
        <v>0</v>
      </c>
      <c r="H206" s="187">
        <f t="shared" si="15"/>
        <v>0</v>
      </c>
      <c r="I206" s="187">
        <f t="shared" si="15"/>
        <v>0</v>
      </c>
      <c r="J206" s="187">
        <f t="shared" si="15"/>
        <v>0</v>
      </c>
      <c r="K206" s="187">
        <f t="shared" si="15"/>
        <v>0</v>
      </c>
      <c r="L206" s="187">
        <f t="shared" si="15"/>
        <v>0</v>
      </c>
      <c r="M206" s="187">
        <f t="shared" si="15"/>
        <v>0</v>
      </c>
      <c r="N206" s="187">
        <f t="shared" si="15"/>
        <v>0</v>
      </c>
      <c r="O206" s="187">
        <f t="shared" si="15"/>
        <v>0</v>
      </c>
      <c r="P206" s="187">
        <f t="shared" si="15"/>
        <v>0</v>
      </c>
      <c r="Q206" s="187">
        <f t="shared" si="15"/>
        <v>0</v>
      </c>
      <c r="R206" s="187">
        <f t="shared" si="15"/>
        <v>0</v>
      </c>
      <c r="S206" s="187">
        <f t="shared" si="15"/>
        <v>0</v>
      </c>
      <c r="T206" s="187">
        <f t="shared" si="15"/>
        <v>0</v>
      </c>
      <c r="U206" s="187">
        <f t="shared" si="15"/>
        <v>0</v>
      </c>
      <c r="V206" s="187">
        <f t="shared" si="15"/>
        <v>0</v>
      </c>
      <c r="W206" s="187">
        <f t="shared" si="15"/>
        <v>0</v>
      </c>
      <c r="X206" s="187">
        <f t="shared" si="15"/>
        <v>0</v>
      </c>
      <c r="Y206" s="187">
        <f t="shared" si="15"/>
        <v>0</v>
      </c>
      <c r="Z206" s="187">
        <v>0</v>
      </c>
      <c r="AA206" s="187" t="str">
        <f t="shared" si="15"/>
        <v/>
      </c>
      <c r="AB206" s="187">
        <f t="shared" si="15"/>
        <v>0</v>
      </c>
      <c r="AC206" s="187">
        <f t="shared" si="15"/>
        <v>0</v>
      </c>
      <c r="AD206" s="187">
        <f t="shared" si="15"/>
        <v>0</v>
      </c>
      <c r="AE206" s="187">
        <f t="shared" si="15"/>
        <v>0</v>
      </c>
      <c r="AF206" s="187">
        <f t="shared" si="15"/>
        <v>0</v>
      </c>
      <c r="AG206" s="187">
        <f t="shared" si="15"/>
        <v>0</v>
      </c>
      <c r="AH206" s="187">
        <f t="shared" si="15"/>
        <v>0</v>
      </c>
      <c r="AI206" s="187">
        <f t="shared" si="15"/>
        <v>0</v>
      </c>
      <c r="AJ206" s="187">
        <f t="shared" si="15"/>
        <v>0</v>
      </c>
      <c r="AK206" s="187">
        <f t="shared" si="15"/>
        <v>0</v>
      </c>
      <c r="AL206" s="187">
        <f t="shared" si="15"/>
        <v>0</v>
      </c>
    </row>
    <row r="207" spans="1:38" ht="15" customHeight="1">
      <c r="A207" s="181" t="s">
        <v>293</v>
      </c>
      <c r="B207" s="182">
        <v>9</v>
      </c>
      <c r="C207" s="188">
        <f t="shared" ref="C207:Y207" si="16">C137</f>
        <v>18859106420</v>
      </c>
      <c r="D207" s="188">
        <f t="shared" si="16"/>
        <v>4569145960</v>
      </c>
      <c r="E207" s="188">
        <f t="shared" si="16"/>
        <v>9889167500</v>
      </c>
      <c r="F207" s="188">
        <f t="shared" si="16"/>
        <v>8988544600</v>
      </c>
      <c r="G207" s="188">
        <f t="shared" si="16"/>
        <v>8396397250</v>
      </c>
      <c r="H207" s="188">
        <f t="shared" si="16"/>
        <v>13981977600</v>
      </c>
      <c r="I207" s="188">
        <f t="shared" si="16"/>
        <v>8695495766</v>
      </c>
      <c r="J207" s="188">
        <f t="shared" si="16"/>
        <v>9066018899</v>
      </c>
      <c r="K207" s="188">
        <f t="shared" si="16"/>
        <v>10085358702</v>
      </c>
      <c r="L207" s="188">
        <f t="shared" si="16"/>
        <v>12770520896</v>
      </c>
      <c r="M207" s="188">
        <f t="shared" si="16"/>
        <v>10341915406</v>
      </c>
      <c r="N207" s="188">
        <f t="shared" si="16"/>
        <v>9052536426</v>
      </c>
      <c r="O207" s="188">
        <f t="shared" si="16"/>
        <v>5422948492</v>
      </c>
      <c r="P207" s="188">
        <f t="shared" si="16"/>
        <v>8810676928</v>
      </c>
      <c r="Q207" s="188">
        <f t="shared" si="16"/>
        <v>16279256392</v>
      </c>
      <c r="R207" s="188">
        <f t="shared" si="16"/>
        <v>14772471605</v>
      </c>
      <c r="S207" s="188">
        <f t="shared" si="16"/>
        <v>17582066937</v>
      </c>
      <c r="T207" s="188">
        <f t="shared" si="16"/>
        <v>19496019197</v>
      </c>
      <c r="U207" s="188">
        <f t="shared" si="16"/>
        <v>21794142714</v>
      </c>
      <c r="V207" s="188">
        <f t="shared" si="16"/>
        <v>20947068360</v>
      </c>
      <c r="W207" s="188">
        <f t="shared" si="16"/>
        <v>16641507646</v>
      </c>
      <c r="X207" s="188">
        <f t="shared" si="16"/>
        <v>14529961948</v>
      </c>
      <c r="Y207" s="188">
        <f t="shared" si="16"/>
        <v>7374095784</v>
      </c>
      <c r="Z207" s="188">
        <v>10294667630</v>
      </c>
      <c r="AA207" s="188" t="e">
        <f>#REF!</f>
        <v>#REF!</v>
      </c>
      <c r="AB207" s="188">
        <f t="shared" ref="AB207:AL207" si="17">AA137</f>
        <v>11415442500</v>
      </c>
      <c r="AC207" s="188">
        <f t="shared" si="17"/>
        <v>8878677500</v>
      </c>
      <c r="AD207" s="188">
        <f t="shared" si="17"/>
        <v>12683825000</v>
      </c>
      <c r="AE207" s="188">
        <f t="shared" si="17"/>
        <v>13952207500</v>
      </c>
      <c r="AF207" s="188">
        <f t="shared" si="17"/>
        <v>13934978750</v>
      </c>
      <c r="AG207" s="188">
        <f t="shared" si="17"/>
        <v>14026113750</v>
      </c>
      <c r="AH207" s="188">
        <f t="shared" si="17"/>
        <v>14026113750</v>
      </c>
      <c r="AI207" s="188">
        <f t="shared" si="17"/>
        <v>14026113750</v>
      </c>
      <c r="AJ207" s="188">
        <f t="shared" si="17"/>
        <v>14026113750</v>
      </c>
      <c r="AK207" s="188">
        <f t="shared" si="17"/>
        <v>14026113750</v>
      </c>
      <c r="AL207" s="188">
        <f t="shared" si="17"/>
        <v>14026113750</v>
      </c>
    </row>
    <row r="208" spans="1:38" ht="15" customHeight="1">
      <c r="A208" s="178" t="s">
        <v>294</v>
      </c>
      <c r="B208" s="179">
        <v>10</v>
      </c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>
        <v>0</v>
      </c>
      <c r="AA208" s="189">
        <f>SUMIFS([1]!Data_PL_Element[Value],[1]!Data_PL_Element[Index PL Element],'Dai Loc'!$B208,[1]!Data_PL_Element[TenCongTyID],'Dai Loc'!$B$1,[1]!Data_PL_Element[Thang.Nam],'Dai Loc'!AA$198)</f>
        <v>0</v>
      </c>
      <c r="AB208" s="189">
        <f>SUMIFS([1]!Data_PL_Element[Value],[1]!Data_PL_Element[Index PL Element],'Dai Loc'!$B208,[1]!Data_PL_Element[TenCongTyID],'Dai Loc'!$B$1,[1]!Data_PL_Element[Thang.Nam],'Dai Loc'!AB$198)</f>
        <v>0</v>
      </c>
      <c r="AC208" s="189">
        <f>SUMIFS([1]!Data_PL_Element[Value],[1]!Data_PL_Element[Index PL Element],'Dai Loc'!$B208,[1]!Data_PL_Element[TenCongTyID],'Dai Loc'!$B$1,[1]!Data_PL_Element[Thang.Nam],'Dai Loc'!AC$198)</f>
        <v>0</v>
      </c>
      <c r="AD208" s="189">
        <f>SUMIFS([1]!Data_PL_Element[Value],[1]!Data_PL_Element[Index PL Element],'Dai Loc'!$B208,[1]!Data_PL_Element[TenCongTyID],'Dai Loc'!$B$1,[1]!Data_PL_Element[Thang.Nam],'Dai Loc'!AD$198)</f>
        <v>0</v>
      </c>
      <c r="AE208" s="189">
        <f>SUMIFS([1]!Data_PL_Element[Value],[1]!Data_PL_Element[Index PL Element],'Dai Loc'!$B208,[1]!Data_PL_Element[TenCongTyID],'Dai Loc'!$B$1,[1]!Data_PL_Element[Thang.Nam],'Dai Loc'!AE$198)</f>
        <v>0</v>
      </c>
      <c r="AF208" s="189">
        <f>SUMIFS([1]!Data_PL_Element[Value],[1]!Data_PL_Element[Index PL Element],'Dai Loc'!$B208,[1]!Data_PL_Element[TenCongTyID],'Dai Loc'!$B$1,[1]!Data_PL_Element[Thang.Nam],'Dai Loc'!AF$198)</f>
        <v>0</v>
      </c>
      <c r="AG208" s="189">
        <f>SUMIFS([1]!Data_PL_Element[Value],[1]!Data_PL_Element[Index PL Element],'Dai Loc'!$B208,[1]!Data_PL_Element[TenCongTyID],'Dai Loc'!$B$1,[1]!Data_PL_Element[Thang.Nam],'Dai Loc'!AG$198)</f>
        <v>0</v>
      </c>
      <c r="AH208" s="189">
        <f>SUMIFS([1]!Data_PL_Element[Value],[1]!Data_PL_Element[Index PL Element],'Dai Loc'!$B208,[1]!Data_PL_Element[TenCongTyID],'Dai Loc'!$B$1,[1]!Data_PL_Element[Thang.Nam],'Dai Loc'!AH$198)</f>
        <v>0</v>
      </c>
      <c r="AI208" s="189">
        <f>SUMIFS([1]!Data_PL_Element[Value],[1]!Data_PL_Element[Index PL Element],'Dai Loc'!$B208,[1]!Data_PL_Element[TenCongTyID],'Dai Loc'!$B$1,[1]!Data_PL_Element[Thang.Nam],'Dai Loc'!AI$198)</f>
        <v>0</v>
      </c>
      <c r="AJ208" s="189">
        <f>SUMIFS([1]!Data_PL_Element[Value],[1]!Data_PL_Element[Index PL Element],'Dai Loc'!$B208,[1]!Data_PL_Element[TenCongTyID],'Dai Loc'!$B$1,[1]!Data_PL_Element[Thang.Nam],'Dai Loc'!AJ$198)</f>
        <v>0</v>
      </c>
      <c r="AK208" s="189">
        <f>SUMIFS([1]!Data_PL_Element[Value],[1]!Data_PL_Element[Index PL Element],'Dai Loc'!$B208,[1]!Data_PL_Element[TenCongTyID],'Dai Loc'!$B$1,[1]!Data_PL_Element[Thang.Nam],'Dai Loc'!AK$198)</f>
        <v>0</v>
      </c>
      <c r="AL208" s="189">
        <f>SUMIFS([1]!Data_PL_Element[Value],[1]!Data_PL_Element[Index PL Element],'Dai Loc'!$B208,[1]!Data_PL_Element[TenCongTyID],'Dai Loc'!$B$1,[1]!Data_PL_Element[Thang.Nam],'Dai Loc'!AL$198)</f>
        <v>0</v>
      </c>
    </row>
    <row r="209" spans="1:38" ht="15" customHeight="1">
      <c r="A209" s="178" t="s">
        <v>295</v>
      </c>
      <c r="B209" s="179">
        <v>11</v>
      </c>
      <c r="C209" s="189">
        <f t="shared" ref="C209:Y209" si="18">C207</f>
        <v>18859106420</v>
      </c>
      <c r="D209" s="189">
        <f t="shared" si="18"/>
        <v>4569145960</v>
      </c>
      <c r="E209" s="189">
        <f t="shared" si="18"/>
        <v>9889167500</v>
      </c>
      <c r="F209" s="189">
        <f t="shared" si="18"/>
        <v>8988544600</v>
      </c>
      <c r="G209" s="189">
        <f t="shared" si="18"/>
        <v>8396397250</v>
      </c>
      <c r="H209" s="189">
        <f t="shared" si="18"/>
        <v>13981977600</v>
      </c>
      <c r="I209" s="189">
        <f t="shared" si="18"/>
        <v>8695495766</v>
      </c>
      <c r="J209" s="189">
        <f t="shared" si="18"/>
        <v>9066018899</v>
      </c>
      <c r="K209" s="189">
        <f t="shared" si="18"/>
        <v>10085358702</v>
      </c>
      <c r="L209" s="189">
        <f t="shared" si="18"/>
        <v>12770520896</v>
      </c>
      <c r="M209" s="189">
        <f t="shared" si="18"/>
        <v>10341915406</v>
      </c>
      <c r="N209" s="189">
        <f t="shared" si="18"/>
        <v>9052536426</v>
      </c>
      <c r="O209" s="189">
        <f t="shared" si="18"/>
        <v>5422948492</v>
      </c>
      <c r="P209" s="189">
        <f t="shared" si="18"/>
        <v>8810676928</v>
      </c>
      <c r="Q209" s="189">
        <f t="shared" si="18"/>
        <v>16279256392</v>
      </c>
      <c r="R209" s="189">
        <f t="shared" si="18"/>
        <v>14772471605</v>
      </c>
      <c r="S209" s="189">
        <f t="shared" si="18"/>
        <v>17582066937</v>
      </c>
      <c r="T209" s="189">
        <f t="shared" si="18"/>
        <v>19496019197</v>
      </c>
      <c r="U209" s="189">
        <f t="shared" si="18"/>
        <v>21794142714</v>
      </c>
      <c r="V209" s="189">
        <f t="shared" si="18"/>
        <v>20947068360</v>
      </c>
      <c r="W209" s="189">
        <f t="shared" si="18"/>
        <v>16641507646</v>
      </c>
      <c r="X209" s="189">
        <f t="shared" si="18"/>
        <v>14529961948</v>
      </c>
      <c r="Y209" s="189">
        <f t="shared" si="18"/>
        <v>7374095784</v>
      </c>
      <c r="Z209" s="189">
        <v>10294667630</v>
      </c>
      <c r="AA209" s="189">
        <f>SUMIFS([1]!Data_PL_Element[Value],[1]!Data_PL_Element[Index PL Element],'Dai Loc'!$B209,[1]!Data_PL_Element[TenCongTyID],'Dai Loc'!$B$1,[1]!Data_PL_Element[Thang.Nam],'Dai Loc'!AA$198)</f>
        <v>0</v>
      </c>
      <c r="AB209" s="189">
        <f>SUMIFS([1]!Data_PL_Element[Value],[1]!Data_PL_Element[Index PL Element],'Dai Loc'!$B209,[1]!Data_PL_Element[TenCongTyID],'Dai Loc'!$B$1,[1]!Data_PL_Element[Thang.Nam],'Dai Loc'!AB$198)</f>
        <v>0</v>
      </c>
      <c r="AC209" s="189">
        <f>SUMIFS([1]!Data_PL_Element[Value],[1]!Data_PL_Element[Index PL Element],'Dai Loc'!$B209,[1]!Data_PL_Element[TenCongTyID],'Dai Loc'!$B$1,[1]!Data_PL_Element[Thang.Nam],'Dai Loc'!AC$198)</f>
        <v>0</v>
      </c>
      <c r="AD209" s="189">
        <f>SUMIFS([1]!Data_PL_Element[Value],[1]!Data_PL_Element[Index PL Element],'Dai Loc'!$B209,[1]!Data_PL_Element[TenCongTyID],'Dai Loc'!$B$1,[1]!Data_PL_Element[Thang.Nam],'Dai Loc'!AD$198)</f>
        <v>0</v>
      </c>
      <c r="AE209" s="189">
        <f>SUMIFS([1]!Data_PL_Element[Value],[1]!Data_PL_Element[Index PL Element],'Dai Loc'!$B209,[1]!Data_PL_Element[TenCongTyID],'Dai Loc'!$B$1,[1]!Data_PL_Element[Thang.Nam],'Dai Loc'!AE$198)</f>
        <v>0</v>
      </c>
      <c r="AF209" s="189">
        <f>SUMIFS([1]!Data_PL_Element[Value],[1]!Data_PL_Element[Index PL Element],'Dai Loc'!$B209,[1]!Data_PL_Element[TenCongTyID],'Dai Loc'!$B$1,[1]!Data_PL_Element[Thang.Nam],'Dai Loc'!AF$198)</f>
        <v>0</v>
      </c>
      <c r="AG209" s="189">
        <f>SUMIFS([1]!Data_PL_Element[Value],[1]!Data_PL_Element[Index PL Element],'Dai Loc'!$B209,[1]!Data_PL_Element[TenCongTyID],'Dai Loc'!$B$1,[1]!Data_PL_Element[Thang.Nam],'Dai Loc'!AG$198)</f>
        <v>0</v>
      </c>
      <c r="AH209" s="189">
        <f>SUMIFS([1]!Data_PL_Element[Value],[1]!Data_PL_Element[Index PL Element],'Dai Loc'!$B209,[1]!Data_PL_Element[TenCongTyID],'Dai Loc'!$B$1,[1]!Data_PL_Element[Thang.Nam],'Dai Loc'!AH$198)</f>
        <v>0</v>
      </c>
      <c r="AI209" s="189">
        <f>SUMIFS([1]!Data_PL_Element[Value],[1]!Data_PL_Element[Index PL Element],'Dai Loc'!$B209,[1]!Data_PL_Element[TenCongTyID],'Dai Loc'!$B$1,[1]!Data_PL_Element[Thang.Nam],'Dai Loc'!AI$198)</f>
        <v>0</v>
      </c>
      <c r="AJ209" s="189">
        <f>SUMIFS([1]!Data_PL_Element[Value],[1]!Data_PL_Element[Index PL Element],'Dai Loc'!$B209,[1]!Data_PL_Element[TenCongTyID],'Dai Loc'!$B$1,[1]!Data_PL_Element[Thang.Nam],'Dai Loc'!AJ$198)</f>
        <v>0</v>
      </c>
      <c r="AK209" s="189">
        <f>SUMIFS([1]!Data_PL_Element[Value],[1]!Data_PL_Element[Index PL Element],'Dai Loc'!$B209,[1]!Data_PL_Element[TenCongTyID],'Dai Loc'!$B$1,[1]!Data_PL_Element[Thang.Nam],'Dai Loc'!AK$198)</f>
        <v>0</v>
      </c>
      <c r="AL209" s="189">
        <f>SUMIFS([1]!Data_PL_Element[Value],[1]!Data_PL_Element[Index PL Element],'Dai Loc'!$B209,[1]!Data_PL_Element[TenCongTyID],'Dai Loc'!$B$1,[1]!Data_PL_Element[Thang.Nam],'Dai Loc'!AL$198)</f>
        <v>0</v>
      </c>
    </row>
    <row r="210" spans="1:38" ht="15" customHeight="1">
      <c r="A210" s="178" t="s">
        <v>296</v>
      </c>
      <c r="B210" s="179">
        <v>12</v>
      </c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>
        <v>0</v>
      </c>
      <c r="AA210" s="189">
        <f>SUMIFS([1]!Data_PL_Element[Value],[1]!Data_PL_Element[Index PL Element],'Dai Loc'!$B210,[1]!Data_PL_Element[TenCongTyID],'Dai Loc'!$B$1,[1]!Data_PL_Element[Thang.Nam],'Dai Loc'!AA$198)</f>
        <v>0</v>
      </c>
      <c r="AB210" s="189">
        <f>SUMIFS([1]!Data_PL_Element[Value],[1]!Data_PL_Element[Index PL Element],'Dai Loc'!$B210,[1]!Data_PL_Element[TenCongTyID],'Dai Loc'!$B$1,[1]!Data_PL_Element[Thang.Nam],'Dai Loc'!AB$198)</f>
        <v>0</v>
      </c>
      <c r="AC210" s="189">
        <f>SUMIFS([1]!Data_PL_Element[Value],[1]!Data_PL_Element[Index PL Element],'Dai Loc'!$B210,[1]!Data_PL_Element[TenCongTyID],'Dai Loc'!$B$1,[1]!Data_PL_Element[Thang.Nam],'Dai Loc'!AC$198)</f>
        <v>0</v>
      </c>
      <c r="AD210" s="189">
        <f>SUMIFS([1]!Data_PL_Element[Value],[1]!Data_PL_Element[Index PL Element],'Dai Loc'!$B210,[1]!Data_PL_Element[TenCongTyID],'Dai Loc'!$B$1,[1]!Data_PL_Element[Thang.Nam],'Dai Loc'!AD$198)</f>
        <v>0</v>
      </c>
      <c r="AE210" s="189">
        <f>SUMIFS([1]!Data_PL_Element[Value],[1]!Data_PL_Element[Index PL Element],'Dai Loc'!$B210,[1]!Data_PL_Element[TenCongTyID],'Dai Loc'!$B$1,[1]!Data_PL_Element[Thang.Nam],'Dai Loc'!AE$198)</f>
        <v>0</v>
      </c>
      <c r="AF210" s="189">
        <f>SUMIFS([1]!Data_PL_Element[Value],[1]!Data_PL_Element[Index PL Element],'Dai Loc'!$B210,[1]!Data_PL_Element[TenCongTyID],'Dai Loc'!$B$1,[1]!Data_PL_Element[Thang.Nam],'Dai Loc'!AF$198)</f>
        <v>0</v>
      </c>
      <c r="AG210" s="189">
        <f>SUMIFS([1]!Data_PL_Element[Value],[1]!Data_PL_Element[Index PL Element],'Dai Loc'!$B210,[1]!Data_PL_Element[TenCongTyID],'Dai Loc'!$B$1,[1]!Data_PL_Element[Thang.Nam],'Dai Loc'!AG$198)</f>
        <v>0</v>
      </c>
      <c r="AH210" s="189">
        <f>SUMIFS([1]!Data_PL_Element[Value],[1]!Data_PL_Element[Index PL Element],'Dai Loc'!$B210,[1]!Data_PL_Element[TenCongTyID],'Dai Loc'!$B$1,[1]!Data_PL_Element[Thang.Nam],'Dai Loc'!AH$198)</f>
        <v>0</v>
      </c>
      <c r="AI210" s="189">
        <f>SUMIFS([1]!Data_PL_Element[Value],[1]!Data_PL_Element[Index PL Element],'Dai Loc'!$B210,[1]!Data_PL_Element[TenCongTyID],'Dai Loc'!$B$1,[1]!Data_PL_Element[Thang.Nam],'Dai Loc'!AI$198)</f>
        <v>0</v>
      </c>
      <c r="AJ210" s="189">
        <f>SUMIFS([1]!Data_PL_Element[Value],[1]!Data_PL_Element[Index PL Element],'Dai Loc'!$B210,[1]!Data_PL_Element[TenCongTyID],'Dai Loc'!$B$1,[1]!Data_PL_Element[Thang.Nam],'Dai Loc'!AJ$198)</f>
        <v>0</v>
      </c>
      <c r="AK210" s="189">
        <f>SUMIFS([1]!Data_PL_Element[Value],[1]!Data_PL_Element[Index PL Element],'Dai Loc'!$B210,[1]!Data_PL_Element[TenCongTyID],'Dai Loc'!$B$1,[1]!Data_PL_Element[Thang.Nam],'Dai Loc'!AK$198)</f>
        <v>0</v>
      </c>
      <c r="AL210" s="189">
        <f>SUMIFS([1]!Data_PL_Element[Value],[1]!Data_PL_Element[Index PL Element],'Dai Loc'!$B210,[1]!Data_PL_Element[TenCongTyID],'Dai Loc'!$B$1,[1]!Data_PL_Element[Thang.Nam],'Dai Loc'!AL$198)</f>
        <v>0</v>
      </c>
    </row>
    <row r="211" spans="1:38" ht="15" customHeight="1">
      <c r="A211" s="181" t="s">
        <v>297</v>
      </c>
      <c r="B211" s="182">
        <v>13</v>
      </c>
      <c r="C211" s="183">
        <f>C138</f>
        <v>19303813750</v>
      </c>
      <c r="D211" s="183">
        <f t="shared" ref="D211:Y211" si="19">D138</f>
        <v>5445357498</v>
      </c>
      <c r="E211" s="183">
        <f t="shared" si="19"/>
        <v>9525099975</v>
      </c>
      <c r="F211" s="183">
        <f t="shared" si="19"/>
        <v>9177542757</v>
      </c>
      <c r="G211" s="183">
        <f t="shared" si="19"/>
        <v>9252785278</v>
      </c>
      <c r="H211" s="183">
        <f t="shared" si="19"/>
        <v>15202791010</v>
      </c>
      <c r="I211" s="183">
        <f t="shared" si="19"/>
        <v>9266546963</v>
      </c>
      <c r="J211" s="183">
        <f t="shared" si="19"/>
        <v>9640445579</v>
      </c>
      <c r="K211" s="183">
        <f t="shared" si="19"/>
        <v>10348331156</v>
      </c>
      <c r="L211" s="183">
        <f t="shared" si="19"/>
        <v>12802871939</v>
      </c>
      <c r="M211" s="183">
        <f t="shared" si="19"/>
        <v>11067427637</v>
      </c>
      <c r="N211" s="183">
        <f t="shared" si="19"/>
        <v>9672389057</v>
      </c>
      <c r="O211" s="183">
        <f t="shared" si="19"/>
        <v>6459461109</v>
      </c>
      <c r="P211" s="183">
        <f t="shared" si="19"/>
        <v>9788053505</v>
      </c>
      <c r="Q211" s="183">
        <f t="shared" si="19"/>
        <v>16279720003</v>
      </c>
      <c r="R211" s="183">
        <f t="shared" si="19"/>
        <v>15135281409</v>
      </c>
      <c r="S211" s="183">
        <f t="shared" si="19"/>
        <v>16857467163</v>
      </c>
      <c r="T211" s="183">
        <f t="shared" si="19"/>
        <v>19925736275</v>
      </c>
      <c r="U211" s="183">
        <f t="shared" si="19"/>
        <v>20517811328</v>
      </c>
      <c r="V211" s="183">
        <f t="shared" si="19"/>
        <v>19931952590</v>
      </c>
      <c r="W211" s="183">
        <f t="shared" si="19"/>
        <v>16609887050</v>
      </c>
      <c r="X211" s="183">
        <f t="shared" si="19"/>
        <v>14135481149</v>
      </c>
      <c r="Y211" s="183">
        <f t="shared" si="19"/>
        <v>7795260584</v>
      </c>
      <c r="Z211" s="183">
        <v>10179013441</v>
      </c>
      <c r="AA211" s="183" t="e">
        <f>#REF!</f>
        <v>#REF!</v>
      </c>
      <c r="AB211" s="183">
        <f t="shared" ref="AB211:AL211" si="20">AA138</f>
        <v>11615221404.494896</v>
      </c>
      <c r="AC211" s="183">
        <f t="shared" si="20"/>
        <v>9331344444.4760895</v>
      </c>
      <c r="AD211" s="183">
        <f t="shared" si="20"/>
        <v>12654398713.100452</v>
      </c>
      <c r="AE211" s="183">
        <f t="shared" si="20"/>
        <v>13722499321.552162</v>
      </c>
      <c r="AF211" s="183">
        <f t="shared" si="20"/>
        <v>13722090727.627693</v>
      </c>
      <c r="AG211" s="183">
        <f t="shared" si="20"/>
        <v>14257349238.506895</v>
      </c>
      <c r="AH211" s="183">
        <f t="shared" si="20"/>
        <v>14270228943.712023</v>
      </c>
      <c r="AI211" s="183">
        <f t="shared" si="20"/>
        <v>14270193943.712023</v>
      </c>
      <c r="AJ211" s="183">
        <f t="shared" si="20"/>
        <v>14228633815.91715</v>
      </c>
      <c r="AK211" s="183">
        <f t="shared" si="20"/>
        <v>14261011147.91715</v>
      </c>
      <c r="AL211" s="183">
        <f t="shared" si="20"/>
        <v>14267983405.506895</v>
      </c>
    </row>
    <row r="212" spans="1:38" ht="15" customHeight="1">
      <c r="A212" s="178" t="s">
        <v>298</v>
      </c>
      <c r="B212" s="179">
        <v>14</v>
      </c>
      <c r="C212" s="189">
        <v>16426030328</v>
      </c>
      <c r="D212" s="189">
        <v>3760735389</v>
      </c>
      <c r="E212" s="189">
        <v>7977434117</v>
      </c>
      <c r="F212" s="189">
        <v>8050515041</v>
      </c>
      <c r="G212" s="189">
        <v>7537426536</v>
      </c>
      <c r="H212" s="189">
        <v>14512713558</v>
      </c>
      <c r="I212" s="189">
        <v>7914452249</v>
      </c>
      <c r="J212" s="189">
        <v>8350629684</v>
      </c>
      <c r="K212" s="189">
        <v>8615632148</v>
      </c>
      <c r="L212" s="189">
        <v>11356436087</v>
      </c>
      <c r="M212" s="189">
        <v>9595090504</v>
      </c>
      <c r="N212" s="189">
        <v>8183887207.6000004</v>
      </c>
      <c r="O212" s="189">
        <v>4371295617</v>
      </c>
      <c r="P212" s="189">
        <v>7607346885</v>
      </c>
      <c r="Q212" s="189">
        <v>13984591246</v>
      </c>
      <c r="R212" s="189">
        <v>12801995260</v>
      </c>
      <c r="S212" s="189">
        <v>14569460033.975006</v>
      </c>
      <c r="T212" s="189">
        <v>17492783672.268074</v>
      </c>
      <c r="U212" s="189">
        <v>17900584705</v>
      </c>
      <c r="V212" s="189">
        <v>17215980657</v>
      </c>
      <c r="W212" s="189">
        <v>13793591879</v>
      </c>
      <c r="X212" s="189">
        <v>11532415339</v>
      </c>
      <c r="Y212" s="189">
        <v>5446764070</v>
      </c>
      <c r="Z212" s="189">
        <v>7852370439</v>
      </c>
      <c r="AA212" s="189">
        <f>SUMIFS([1]!Data_PL_Element[Value],[1]!Data_PL_Element[Index PL Element],'Dai Loc'!$B212,[1]!Data_PL_Element[TenCongTyID],'Dai Loc'!$B$1,[1]!Data_PL_Element[Thang.Nam],'Dai Loc'!AA$198)</f>
        <v>0</v>
      </c>
      <c r="AB212" s="189">
        <f>SUMIFS([1]!Data_PL_Element[Value],[1]!Data_PL_Element[Index PL Element],'Dai Loc'!$B212,[1]!Data_PL_Element[TenCongTyID],'Dai Loc'!$B$1,[1]!Data_PL_Element[Thang.Nam],'Dai Loc'!AB$198)</f>
        <v>0</v>
      </c>
      <c r="AC212" s="189">
        <f>SUMIFS([1]!Data_PL_Element[Value],[1]!Data_PL_Element[Index PL Element],'Dai Loc'!$B212,[1]!Data_PL_Element[TenCongTyID],'Dai Loc'!$B$1,[1]!Data_PL_Element[Thang.Nam],'Dai Loc'!AC$198)</f>
        <v>0</v>
      </c>
      <c r="AD212" s="189">
        <f>SUMIFS([1]!Data_PL_Element[Value],[1]!Data_PL_Element[Index PL Element],'Dai Loc'!$B212,[1]!Data_PL_Element[TenCongTyID],'Dai Loc'!$B$1,[1]!Data_PL_Element[Thang.Nam],'Dai Loc'!AD$198)</f>
        <v>0</v>
      </c>
      <c r="AE212" s="189">
        <f>SUMIFS([1]!Data_PL_Element[Value],[1]!Data_PL_Element[Index PL Element],'Dai Loc'!$B212,[1]!Data_PL_Element[TenCongTyID],'Dai Loc'!$B$1,[1]!Data_PL_Element[Thang.Nam],'Dai Loc'!AE$198)</f>
        <v>0</v>
      </c>
      <c r="AF212" s="189">
        <f>SUMIFS([1]!Data_PL_Element[Value],[1]!Data_PL_Element[Index PL Element],'Dai Loc'!$B212,[1]!Data_PL_Element[TenCongTyID],'Dai Loc'!$B$1,[1]!Data_PL_Element[Thang.Nam],'Dai Loc'!AF$198)</f>
        <v>0</v>
      </c>
      <c r="AG212" s="189">
        <f>SUMIFS([1]!Data_PL_Element[Value],[1]!Data_PL_Element[Index PL Element],'Dai Loc'!$B212,[1]!Data_PL_Element[TenCongTyID],'Dai Loc'!$B$1,[1]!Data_PL_Element[Thang.Nam],'Dai Loc'!AG$198)</f>
        <v>0</v>
      </c>
      <c r="AH212" s="189">
        <f>SUMIFS([1]!Data_PL_Element[Value],[1]!Data_PL_Element[Index PL Element],'Dai Loc'!$B212,[1]!Data_PL_Element[TenCongTyID],'Dai Loc'!$B$1,[1]!Data_PL_Element[Thang.Nam],'Dai Loc'!AH$198)</f>
        <v>0</v>
      </c>
      <c r="AI212" s="189">
        <f>SUMIFS([1]!Data_PL_Element[Value],[1]!Data_PL_Element[Index PL Element],'Dai Loc'!$B212,[1]!Data_PL_Element[TenCongTyID],'Dai Loc'!$B$1,[1]!Data_PL_Element[Thang.Nam],'Dai Loc'!AI$198)</f>
        <v>0</v>
      </c>
      <c r="AJ212" s="189">
        <f>SUMIFS([1]!Data_PL_Element[Value],[1]!Data_PL_Element[Index PL Element],'Dai Loc'!$B212,[1]!Data_PL_Element[TenCongTyID],'Dai Loc'!$B$1,[1]!Data_PL_Element[Thang.Nam],'Dai Loc'!AJ$198)</f>
        <v>0</v>
      </c>
      <c r="AK212" s="189">
        <f>SUMIFS([1]!Data_PL_Element[Value],[1]!Data_PL_Element[Index PL Element],'Dai Loc'!$B212,[1]!Data_PL_Element[TenCongTyID],'Dai Loc'!$B$1,[1]!Data_PL_Element[Thang.Nam],'Dai Loc'!AK$198)</f>
        <v>0</v>
      </c>
      <c r="AL212" s="189">
        <f>SUMIFS([1]!Data_PL_Element[Value],[1]!Data_PL_Element[Index PL Element],'Dai Loc'!$B212,[1]!Data_PL_Element[TenCongTyID],'Dai Loc'!$B$1,[1]!Data_PL_Element[Thang.Nam],'Dai Loc'!AL$198)</f>
        <v>0</v>
      </c>
    </row>
    <row r="213" spans="1:38" ht="15" customHeight="1">
      <c r="A213" s="178" t="s">
        <v>299</v>
      </c>
      <c r="B213" s="179">
        <v>15</v>
      </c>
      <c r="C213" s="189">
        <v>144663455</v>
      </c>
      <c r="D213" s="189">
        <v>81583607</v>
      </c>
      <c r="E213" s="189">
        <v>176588995</v>
      </c>
      <c r="F213" s="189">
        <v>125155303</v>
      </c>
      <c r="G213" s="189">
        <v>180167910</v>
      </c>
      <c r="H213" s="189">
        <v>123423587</v>
      </c>
      <c r="I213" s="189">
        <v>160814030</v>
      </c>
      <c r="J213" s="189">
        <v>193193230</v>
      </c>
      <c r="K213" s="189">
        <v>194380252</v>
      </c>
      <c r="L213" s="189">
        <v>189470400</v>
      </c>
      <c r="M213" s="189">
        <v>232472530</v>
      </c>
      <c r="N213" s="189">
        <v>184763528</v>
      </c>
      <c r="O213" s="189">
        <v>98923928</v>
      </c>
      <c r="P213" s="189">
        <v>137461103</v>
      </c>
      <c r="Q213" s="189">
        <v>91144682</v>
      </c>
      <c r="R213" s="189">
        <v>96660795</v>
      </c>
      <c r="S213" s="189">
        <v>114502251</v>
      </c>
      <c r="T213" s="189">
        <v>100877816</v>
      </c>
      <c r="U213" s="189">
        <v>138627654</v>
      </c>
      <c r="V213" s="189">
        <v>130372904</v>
      </c>
      <c r="W213" s="189">
        <v>143640028</v>
      </c>
      <c r="X213" s="189">
        <v>133374004</v>
      </c>
      <c r="Y213" s="189">
        <v>99765354</v>
      </c>
      <c r="Z213" s="189">
        <v>124151141</v>
      </c>
      <c r="AA213" s="189">
        <f>SUMIFS([1]!Data_PL_Element[Value],[1]!Data_PL_Element[Index PL Element],'Dai Loc'!$B213,[1]!Data_PL_Element[TenCongTyID],'Dai Loc'!$B$1,[1]!Data_PL_Element[Thang.Nam],'Dai Loc'!AA$198)</f>
        <v>0</v>
      </c>
      <c r="AB213" s="189">
        <f>SUMIFS([1]!Data_PL_Element[Value],[1]!Data_PL_Element[Index PL Element],'Dai Loc'!$B213,[1]!Data_PL_Element[TenCongTyID],'Dai Loc'!$B$1,[1]!Data_PL_Element[Thang.Nam],'Dai Loc'!AB$198)</f>
        <v>0</v>
      </c>
      <c r="AC213" s="189">
        <f>SUMIFS([1]!Data_PL_Element[Value],[1]!Data_PL_Element[Index PL Element],'Dai Loc'!$B213,[1]!Data_PL_Element[TenCongTyID],'Dai Loc'!$B$1,[1]!Data_PL_Element[Thang.Nam],'Dai Loc'!AC$198)</f>
        <v>0</v>
      </c>
      <c r="AD213" s="189">
        <f>SUMIFS([1]!Data_PL_Element[Value],[1]!Data_PL_Element[Index PL Element],'Dai Loc'!$B213,[1]!Data_PL_Element[TenCongTyID],'Dai Loc'!$B$1,[1]!Data_PL_Element[Thang.Nam],'Dai Loc'!AD$198)</f>
        <v>0</v>
      </c>
      <c r="AE213" s="189">
        <f>SUMIFS([1]!Data_PL_Element[Value],[1]!Data_PL_Element[Index PL Element],'Dai Loc'!$B213,[1]!Data_PL_Element[TenCongTyID],'Dai Loc'!$B$1,[1]!Data_PL_Element[Thang.Nam],'Dai Loc'!AE$198)</f>
        <v>0</v>
      </c>
      <c r="AF213" s="189">
        <f>SUMIFS([1]!Data_PL_Element[Value],[1]!Data_PL_Element[Index PL Element],'Dai Loc'!$B213,[1]!Data_PL_Element[TenCongTyID],'Dai Loc'!$B$1,[1]!Data_PL_Element[Thang.Nam],'Dai Loc'!AF$198)</f>
        <v>0</v>
      </c>
      <c r="AG213" s="189">
        <f>SUMIFS([1]!Data_PL_Element[Value],[1]!Data_PL_Element[Index PL Element],'Dai Loc'!$B213,[1]!Data_PL_Element[TenCongTyID],'Dai Loc'!$B$1,[1]!Data_PL_Element[Thang.Nam],'Dai Loc'!AG$198)</f>
        <v>0</v>
      </c>
      <c r="AH213" s="189">
        <f>SUMIFS([1]!Data_PL_Element[Value],[1]!Data_PL_Element[Index PL Element],'Dai Loc'!$B213,[1]!Data_PL_Element[TenCongTyID],'Dai Loc'!$B$1,[1]!Data_PL_Element[Thang.Nam],'Dai Loc'!AH$198)</f>
        <v>0</v>
      </c>
      <c r="AI213" s="189">
        <f>SUMIFS([1]!Data_PL_Element[Value],[1]!Data_PL_Element[Index PL Element],'Dai Loc'!$B213,[1]!Data_PL_Element[TenCongTyID],'Dai Loc'!$B$1,[1]!Data_PL_Element[Thang.Nam],'Dai Loc'!AI$198)</f>
        <v>0</v>
      </c>
      <c r="AJ213" s="189">
        <f>SUMIFS([1]!Data_PL_Element[Value],[1]!Data_PL_Element[Index PL Element],'Dai Loc'!$B213,[1]!Data_PL_Element[TenCongTyID],'Dai Loc'!$B$1,[1]!Data_PL_Element[Thang.Nam],'Dai Loc'!AJ$198)</f>
        <v>0</v>
      </c>
      <c r="AK213" s="189">
        <f>SUMIFS([1]!Data_PL_Element[Value],[1]!Data_PL_Element[Index PL Element],'Dai Loc'!$B213,[1]!Data_PL_Element[TenCongTyID],'Dai Loc'!$B$1,[1]!Data_PL_Element[Thang.Nam],'Dai Loc'!AK$198)</f>
        <v>0</v>
      </c>
      <c r="AL213" s="189">
        <f>SUMIFS([1]!Data_PL_Element[Value],[1]!Data_PL_Element[Index PL Element],'Dai Loc'!$B213,[1]!Data_PL_Element[TenCongTyID],'Dai Loc'!$B$1,[1]!Data_PL_Element[Thang.Nam],'Dai Loc'!AL$198)</f>
        <v>0</v>
      </c>
    </row>
    <row r="214" spans="1:38" ht="15" customHeight="1">
      <c r="A214" s="178" t="s">
        <v>300</v>
      </c>
      <c r="B214" s="179">
        <v>16</v>
      </c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>
        <v>0</v>
      </c>
      <c r="AA214" s="189">
        <f>SUMIFS([1]!Data_PL_Element[Value],[1]!Data_PL_Element[Index PL Element],'Dai Loc'!$B214,[1]!Data_PL_Element[TenCongTyID],'Dai Loc'!$B$1,[1]!Data_PL_Element[Thang.Nam],'Dai Loc'!AA$198)</f>
        <v>0</v>
      </c>
      <c r="AB214" s="189">
        <f>SUMIFS([1]!Data_PL_Element[Value],[1]!Data_PL_Element[Index PL Element],'Dai Loc'!$B214,[1]!Data_PL_Element[TenCongTyID],'Dai Loc'!$B$1,[1]!Data_PL_Element[Thang.Nam],'Dai Loc'!AB$198)</f>
        <v>0</v>
      </c>
      <c r="AC214" s="189">
        <f>SUMIFS([1]!Data_PL_Element[Value],[1]!Data_PL_Element[Index PL Element],'Dai Loc'!$B214,[1]!Data_PL_Element[TenCongTyID],'Dai Loc'!$B$1,[1]!Data_PL_Element[Thang.Nam],'Dai Loc'!AC$198)</f>
        <v>0</v>
      </c>
      <c r="AD214" s="189">
        <f>SUMIFS([1]!Data_PL_Element[Value],[1]!Data_PL_Element[Index PL Element],'Dai Loc'!$B214,[1]!Data_PL_Element[TenCongTyID],'Dai Loc'!$B$1,[1]!Data_PL_Element[Thang.Nam],'Dai Loc'!AD$198)</f>
        <v>0</v>
      </c>
      <c r="AE214" s="189">
        <f>SUMIFS([1]!Data_PL_Element[Value],[1]!Data_PL_Element[Index PL Element],'Dai Loc'!$B214,[1]!Data_PL_Element[TenCongTyID],'Dai Loc'!$B$1,[1]!Data_PL_Element[Thang.Nam],'Dai Loc'!AE$198)</f>
        <v>0</v>
      </c>
      <c r="AF214" s="189">
        <f>SUMIFS([1]!Data_PL_Element[Value],[1]!Data_PL_Element[Index PL Element],'Dai Loc'!$B214,[1]!Data_PL_Element[TenCongTyID],'Dai Loc'!$B$1,[1]!Data_PL_Element[Thang.Nam],'Dai Loc'!AF$198)</f>
        <v>0</v>
      </c>
      <c r="AG214" s="189">
        <f>SUMIFS([1]!Data_PL_Element[Value],[1]!Data_PL_Element[Index PL Element],'Dai Loc'!$B214,[1]!Data_PL_Element[TenCongTyID],'Dai Loc'!$B$1,[1]!Data_PL_Element[Thang.Nam],'Dai Loc'!AG$198)</f>
        <v>0</v>
      </c>
      <c r="AH214" s="189">
        <f>SUMIFS([1]!Data_PL_Element[Value],[1]!Data_PL_Element[Index PL Element],'Dai Loc'!$B214,[1]!Data_PL_Element[TenCongTyID],'Dai Loc'!$B$1,[1]!Data_PL_Element[Thang.Nam],'Dai Loc'!AH$198)</f>
        <v>0</v>
      </c>
      <c r="AI214" s="189">
        <f>SUMIFS([1]!Data_PL_Element[Value],[1]!Data_PL_Element[Index PL Element],'Dai Loc'!$B214,[1]!Data_PL_Element[TenCongTyID],'Dai Loc'!$B$1,[1]!Data_PL_Element[Thang.Nam],'Dai Loc'!AI$198)</f>
        <v>0</v>
      </c>
      <c r="AJ214" s="189">
        <f>SUMIFS([1]!Data_PL_Element[Value],[1]!Data_PL_Element[Index PL Element],'Dai Loc'!$B214,[1]!Data_PL_Element[TenCongTyID],'Dai Loc'!$B$1,[1]!Data_PL_Element[Thang.Nam],'Dai Loc'!AJ$198)</f>
        <v>0</v>
      </c>
      <c r="AK214" s="189">
        <f>SUMIFS([1]!Data_PL_Element[Value],[1]!Data_PL_Element[Index PL Element],'Dai Loc'!$B214,[1]!Data_PL_Element[TenCongTyID],'Dai Loc'!$B$1,[1]!Data_PL_Element[Thang.Nam],'Dai Loc'!AK$198)</f>
        <v>0</v>
      </c>
      <c r="AL214" s="189">
        <f>SUMIFS([1]!Data_PL_Element[Value],[1]!Data_PL_Element[Index PL Element],'Dai Loc'!$B214,[1]!Data_PL_Element[TenCongTyID],'Dai Loc'!$B$1,[1]!Data_PL_Element[Thang.Nam],'Dai Loc'!AL$198)</f>
        <v>0</v>
      </c>
    </row>
    <row r="215" spans="1:38" ht="15" customHeight="1">
      <c r="A215" s="178" t="s">
        <v>301</v>
      </c>
      <c r="B215" s="179">
        <v>17</v>
      </c>
      <c r="C215" s="189">
        <f>314435580.98187+1445755080</f>
        <v>1760190660.9818699</v>
      </c>
      <c r="D215" s="189">
        <v>343521737.37501359</v>
      </c>
      <c r="E215" s="189">
        <v>357803658.4333446</v>
      </c>
      <c r="F215" s="189">
        <v>267241214.66017619</v>
      </c>
      <c r="G215" s="189">
        <v>302880679.9734475</v>
      </c>
      <c r="H215" s="189">
        <v>254289693.60888255</v>
      </c>
      <c r="I215" s="189">
        <v>252245848.22351697</v>
      </c>
      <c r="J215" s="189">
        <v>269466566</v>
      </c>
      <c r="K215" s="189">
        <v>367071023</v>
      </c>
      <c r="L215" s="189">
        <v>430458440</v>
      </c>
      <c r="M215" s="189">
        <v>378059483</v>
      </c>
      <c r="N215" s="189">
        <v>340647007</v>
      </c>
      <c r="O215" s="189">
        <v>258930893</v>
      </c>
      <c r="P215" s="189">
        <v>279547369</v>
      </c>
      <c r="Q215" s="189">
        <v>431280352</v>
      </c>
      <c r="R215" s="189">
        <v>492281213</v>
      </c>
      <c r="S215" s="189">
        <v>437227527</v>
      </c>
      <c r="T215" s="189">
        <v>544988250</v>
      </c>
      <c r="U215" s="189">
        <v>575759677</v>
      </c>
      <c r="V215" s="189">
        <v>633054087</v>
      </c>
      <c r="W215" s="189">
        <v>607040050</v>
      </c>
      <c r="X215" s="189">
        <v>489939556</v>
      </c>
      <c r="Y215" s="189">
        <v>316606858</v>
      </c>
      <c r="Z215" s="189">
        <v>377422195</v>
      </c>
      <c r="AA215" s="189">
        <f>SUMIFS([1]!Data_PL_Element[Value],[1]!Data_PL_Element[Index PL Element],'Dai Loc'!$B215,[1]!Data_PL_Element[TenCongTyID],'Dai Loc'!$B$1,[1]!Data_PL_Element[Thang.Nam],'Dai Loc'!AA$198)</f>
        <v>0</v>
      </c>
      <c r="AB215" s="189">
        <f>SUMIFS([1]!Data_PL_Element[Value],[1]!Data_PL_Element[Index PL Element],'Dai Loc'!$B215,[1]!Data_PL_Element[TenCongTyID],'Dai Loc'!$B$1,[1]!Data_PL_Element[Thang.Nam],'Dai Loc'!AB$198)</f>
        <v>0</v>
      </c>
      <c r="AC215" s="189">
        <f>SUMIFS([1]!Data_PL_Element[Value],[1]!Data_PL_Element[Index PL Element],'Dai Loc'!$B215,[1]!Data_PL_Element[TenCongTyID],'Dai Loc'!$B$1,[1]!Data_PL_Element[Thang.Nam],'Dai Loc'!AC$198)</f>
        <v>0</v>
      </c>
      <c r="AD215" s="189">
        <f>SUMIFS([1]!Data_PL_Element[Value],[1]!Data_PL_Element[Index PL Element],'Dai Loc'!$B215,[1]!Data_PL_Element[TenCongTyID],'Dai Loc'!$B$1,[1]!Data_PL_Element[Thang.Nam],'Dai Loc'!AD$198)</f>
        <v>0</v>
      </c>
      <c r="AE215" s="189">
        <f>SUMIFS([1]!Data_PL_Element[Value],[1]!Data_PL_Element[Index PL Element],'Dai Loc'!$B215,[1]!Data_PL_Element[TenCongTyID],'Dai Loc'!$B$1,[1]!Data_PL_Element[Thang.Nam],'Dai Loc'!AE$198)</f>
        <v>0</v>
      </c>
      <c r="AF215" s="189">
        <f>SUMIFS([1]!Data_PL_Element[Value],[1]!Data_PL_Element[Index PL Element],'Dai Loc'!$B215,[1]!Data_PL_Element[TenCongTyID],'Dai Loc'!$B$1,[1]!Data_PL_Element[Thang.Nam],'Dai Loc'!AF$198)</f>
        <v>0</v>
      </c>
      <c r="AG215" s="189">
        <f>SUMIFS([1]!Data_PL_Element[Value],[1]!Data_PL_Element[Index PL Element],'Dai Loc'!$B215,[1]!Data_PL_Element[TenCongTyID],'Dai Loc'!$B$1,[1]!Data_PL_Element[Thang.Nam],'Dai Loc'!AG$198)</f>
        <v>0</v>
      </c>
      <c r="AH215" s="189">
        <f>SUMIFS([1]!Data_PL_Element[Value],[1]!Data_PL_Element[Index PL Element],'Dai Loc'!$B215,[1]!Data_PL_Element[TenCongTyID],'Dai Loc'!$B$1,[1]!Data_PL_Element[Thang.Nam],'Dai Loc'!AH$198)</f>
        <v>0</v>
      </c>
      <c r="AI215" s="189">
        <f>SUMIFS([1]!Data_PL_Element[Value],[1]!Data_PL_Element[Index PL Element],'Dai Loc'!$B215,[1]!Data_PL_Element[TenCongTyID],'Dai Loc'!$B$1,[1]!Data_PL_Element[Thang.Nam],'Dai Loc'!AI$198)</f>
        <v>0</v>
      </c>
      <c r="AJ215" s="189">
        <f>SUMIFS([1]!Data_PL_Element[Value],[1]!Data_PL_Element[Index PL Element],'Dai Loc'!$B215,[1]!Data_PL_Element[TenCongTyID],'Dai Loc'!$B$1,[1]!Data_PL_Element[Thang.Nam],'Dai Loc'!AJ$198)</f>
        <v>0</v>
      </c>
      <c r="AK215" s="189">
        <f>SUMIFS([1]!Data_PL_Element[Value],[1]!Data_PL_Element[Index PL Element],'Dai Loc'!$B215,[1]!Data_PL_Element[TenCongTyID],'Dai Loc'!$B$1,[1]!Data_PL_Element[Thang.Nam],'Dai Loc'!AK$198)</f>
        <v>0</v>
      </c>
      <c r="AL215" s="189">
        <f>SUMIFS([1]!Data_PL_Element[Value],[1]!Data_PL_Element[Index PL Element],'Dai Loc'!$B215,[1]!Data_PL_Element[TenCongTyID],'Dai Loc'!$B$1,[1]!Data_PL_Element[Thang.Nam],'Dai Loc'!AL$198)</f>
        <v>0</v>
      </c>
    </row>
    <row r="216" spans="1:38" ht="15" customHeight="1">
      <c r="A216" s="178" t="s">
        <v>302</v>
      </c>
      <c r="B216" s="179">
        <v>18</v>
      </c>
      <c r="C216" s="189">
        <v>265477205.8109895</v>
      </c>
      <c r="D216" s="189">
        <v>283875654.06773102</v>
      </c>
      <c r="E216" s="189">
        <v>296026512.29698753</v>
      </c>
      <c r="F216" s="189">
        <v>261802825.33688888</v>
      </c>
      <c r="G216" s="189">
        <v>262989221.91949642</v>
      </c>
      <c r="H216" s="189">
        <v>239555668.23558888</v>
      </c>
      <c r="I216" s="189">
        <v>190184123.05138445</v>
      </c>
      <c r="J216" s="189">
        <v>200134232</v>
      </c>
      <c r="K216" s="189">
        <v>254694720</v>
      </c>
      <c r="L216" s="189">
        <v>228926669</v>
      </c>
      <c r="M216" s="189">
        <v>221679879</v>
      </c>
      <c r="N216" s="189">
        <v>221620431</v>
      </c>
      <c r="O216" s="189">
        <v>233014356</v>
      </c>
      <c r="P216" s="189">
        <v>247268271</v>
      </c>
      <c r="Q216" s="189">
        <v>223064598</v>
      </c>
      <c r="R216" s="189">
        <v>248212765</v>
      </c>
      <c r="S216" s="189">
        <v>233569014</v>
      </c>
      <c r="T216" s="189">
        <v>269472067</v>
      </c>
      <c r="U216" s="189">
        <v>301793927</v>
      </c>
      <c r="V216" s="189">
        <v>310178687</v>
      </c>
      <c r="W216" s="189">
        <v>332672170</v>
      </c>
      <c r="X216" s="189">
        <v>295357620</v>
      </c>
      <c r="Y216" s="189">
        <v>265317438</v>
      </c>
      <c r="Z216" s="189">
        <v>262438134</v>
      </c>
      <c r="AA216" s="189">
        <f>SUMIFS([1]!Data_PL_Element[Value],[1]!Data_PL_Element[Index PL Element],'Dai Loc'!$B216,[1]!Data_PL_Element[TenCongTyID],'Dai Loc'!$B$1,[1]!Data_PL_Element[Thang.Nam],'Dai Loc'!AA$198)</f>
        <v>0</v>
      </c>
      <c r="AB216" s="189">
        <f>SUMIFS([1]!Data_PL_Element[Value],[1]!Data_PL_Element[Index PL Element],'Dai Loc'!$B216,[1]!Data_PL_Element[TenCongTyID],'Dai Loc'!$B$1,[1]!Data_PL_Element[Thang.Nam],'Dai Loc'!AB$198)</f>
        <v>0</v>
      </c>
      <c r="AC216" s="189">
        <f>SUMIFS([1]!Data_PL_Element[Value],[1]!Data_PL_Element[Index PL Element],'Dai Loc'!$B216,[1]!Data_PL_Element[TenCongTyID],'Dai Loc'!$B$1,[1]!Data_PL_Element[Thang.Nam],'Dai Loc'!AC$198)</f>
        <v>0</v>
      </c>
      <c r="AD216" s="189">
        <f>SUMIFS([1]!Data_PL_Element[Value],[1]!Data_PL_Element[Index PL Element],'Dai Loc'!$B216,[1]!Data_PL_Element[TenCongTyID],'Dai Loc'!$B$1,[1]!Data_PL_Element[Thang.Nam],'Dai Loc'!AD$198)</f>
        <v>0</v>
      </c>
      <c r="AE216" s="189">
        <f>SUMIFS([1]!Data_PL_Element[Value],[1]!Data_PL_Element[Index PL Element],'Dai Loc'!$B216,[1]!Data_PL_Element[TenCongTyID],'Dai Loc'!$B$1,[1]!Data_PL_Element[Thang.Nam],'Dai Loc'!AE$198)</f>
        <v>0</v>
      </c>
      <c r="AF216" s="189">
        <f>SUMIFS([1]!Data_PL_Element[Value],[1]!Data_PL_Element[Index PL Element],'Dai Loc'!$B216,[1]!Data_PL_Element[TenCongTyID],'Dai Loc'!$B$1,[1]!Data_PL_Element[Thang.Nam],'Dai Loc'!AF$198)</f>
        <v>0</v>
      </c>
      <c r="AG216" s="189">
        <f>SUMIFS([1]!Data_PL_Element[Value],[1]!Data_PL_Element[Index PL Element],'Dai Loc'!$B216,[1]!Data_PL_Element[TenCongTyID],'Dai Loc'!$B$1,[1]!Data_PL_Element[Thang.Nam],'Dai Loc'!AG$198)</f>
        <v>0</v>
      </c>
      <c r="AH216" s="189">
        <f>SUMIFS([1]!Data_PL_Element[Value],[1]!Data_PL_Element[Index PL Element],'Dai Loc'!$B216,[1]!Data_PL_Element[TenCongTyID],'Dai Loc'!$B$1,[1]!Data_PL_Element[Thang.Nam],'Dai Loc'!AH$198)</f>
        <v>0</v>
      </c>
      <c r="AI216" s="189">
        <f>SUMIFS([1]!Data_PL_Element[Value],[1]!Data_PL_Element[Index PL Element],'Dai Loc'!$B216,[1]!Data_PL_Element[TenCongTyID],'Dai Loc'!$B$1,[1]!Data_PL_Element[Thang.Nam],'Dai Loc'!AI$198)</f>
        <v>0</v>
      </c>
      <c r="AJ216" s="189">
        <f>SUMIFS([1]!Data_PL_Element[Value],[1]!Data_PL_Element[Index PL Element],'Dai Loc'!$B216,[1]!Data_PL_Element[TenCongTyID],'Dai Loc'!$B$1,[1]!Data_PL_Element[Thang.Nam],'Dai Loc'!AJ$198)</f>
        <v>0</v>
      </c>
      <c r="AK216" s="189">
        <f>SUMIFS([1]!Data_PL_Element[Value],[1]!Data_PL_Element[Index PL Element],'Dai Loc'!$B216,[1]!Data_PL_Element[TenCongTyID],'Dai Loc'!$B$1,[1]!Data_PL_Element[Thang.Nam],'Dai Loc'!AK$198)</f>
        <v>0</v>
      </c>
      <c r="AL216" s="189">
        <f>SUMIFS([1]!Data_PL_Element[Value],[1]!Data_PL_Element[Index PL Element],'Dai Loc'!$B216,[1]!Data_PL_Element[TenCongTyID],'Dai Loc'!$B$1,[1]!Data_PL_Element[Thang.Nam],'Dai Loc'!AL$198)</f>
        <v>0</v>
      </c>
    </row>
    <row r="217" spans="1:38" ht="15" customHeight="1">
      <c r="A217" s="178" t="s">
        <v>303</v>
      </c>
      <c r="B217" s="179">
        <v>19</v>
      </c>
      <c r="C217" s="189">
        <v>170636673.20714086</v>
      </c>
      <c r="D217" s="189">
        <v>117519625.55725537</v>
      </c>
      <c r="E217" s="189">
        <v>121997878.26966779</v>
      </c>
      <c r="F217" s="189">
        <v>91480333.002934948</v>
      </c>
      <c r="G217" s="189">
        <v>112757102.23889495</v>
      </c>
      <c r="H217" s="189">
        <v>106906681.15552855</v>
      </c>
      <c r="I217" s="189">
        <v>85071315.725098565</v>
      </c>
      <c r="J217" s="189">
        <v>87223524</v>
      </c>
      <c r="K217" s="189">
        <v>96715165</v>
      </c>
      <c r="L217" s="189">
        <v>111727825</v>
      </c>
      <c r="M217" s="189">
        <v>105317817</v>
      </c>
      <c r="N217" s="189">
        <v>106357726</v>
      </c>
      <c r="O217" s="189">
        <v>131589554</v>
      </c>
      <c r="P217" s="189">
        <v>109796541</v>
      </c>
      <c r="Q217" s="189">
        <v>127869251</v>
      </c>
      <c r="R217" s="189">
        <v>120610083</v>
      </c>
      <c r="S217" s="189">
        <v>122323725</v>
      </c>
      <c r="T217" s="189">
        <v>123693636</v>
      </c>
      <c r="U217" s="189">
        <v>122533636</v>
      </c>
      <c r="V217" s="189">
        <v>128191056</v>
      </c>
      <c r="W217" s="189">
        <v>123840120</v>
      </c>
      <c r="X217" s="189">
        <v>131548014</v>
      </c>
      <c r="Y217" s="189">
        <v>113148436</v>
      </c>
      <c r="Z217" s="189">
        <v>116607515</v>
      </c>
      <c r="AA217" s="189">
        <f>SUMIFS([1]!Data_PL_Element[Value],[1]!Data_PL_Element[Index PL Element],'Dai Loc'!$B217,[1]!Data_PL_Element[TenCongTyID],'Dai Loc'!$B$1,[1]!Data_PL_Element[Thang.Nam],'Dai Loc'!AA$198)</f>
        <v>0</v>
      </c>
      <c r="AB217" s="189">
        <f>SUMIFS([1]!Data_PL_Element[Value],[1]!Data_PL_Element[Index PL Element],'Dai Loc'!$B217,[1]!Data_PL_Element[TenCongTyID],'Dai Loc'!$B$1,[1]!Data_PL_Element[Thang.Nam],'Dai Loc'!AB$198)</f>
        <v>0</v>
      </c>
      <c r="AC217" s="189">
        <f>SUMIFS([1]!Data_PL_Element[Value],[1]!Data_PL_Element[Index PL Element],'Dai Loc'!$B217,[1]!Data_PL_Element[TenCongTyID],'Dai Loc'!$B$1,[1]!Data_PL_Element[Thang.Nam],'Dai Loc'!AC$198)</f>
        <v>0</v>
      </c>
      <c r="AD217" s="189">
        <f>SUMIFS([1]!Data_PL_Element[Value],[1]!Data_PL_Element[Index PL Element],'Dai Loc'!$B217,[1]!Data_PL_Element[TenCongTyID],'Dai Loc'!$B$1,[1]!Data_PL_Element[Thang.Nam],'Dai Loc'!AD$198)</f>
        <v>0</v>
      </c>
      <c r="AE217" s="189">
        <f>SUMIFS([1]!Data_PL_Element[Value],[1]!Data_PL_Element[Index PL Element],'Dai Loc'!$B217,[1]!Data_PL_Element[TenCongTyID],'Dai Loc'!$B$1,[1]!Data_PL_Element[Thang.Nam],'Dai Loc'!AE$198)</f>
        <v>0</v>
      </c>
      <c r="AF217" s="189">
        <f>SUMIFS([1]!Data_PL_Element[Value],[1]!Data_PL_Element[Index PL Element],'Dai Loc'!$B217,[1]!Data_PL_Element[TenCongTyID],'Dai Loc'!$B$1,[1]!Data_PL_Element[Thang.Nam],'Dai Loc'!AF$198)</f>
        <v>0</v>
      </c>
      <c r="AG217" s="189">
        <f>SUMIFS([1]!Data_PL_Element[Value],[1]!Data_PL_Element[Index PL Element],'Dai Loc'!$B217,[1]!Data_PL_Element[TenCongTyID],'Dai Loc'!$B$1,[1]!Data_PL_Element[Thang.Nam],'Dai Loc'!AG$198)</f>
        <v>0</v>
      </c>
      <c r="AH217" s="189">
        <f>SUMIFS([1]!Data_PL_Element[Value],[1]!Data_PL_Element[Index PL Element],'Dai Loc'!$B217,[1]!Data_PL_Element[TenCongTyID],'Dai Loc'!$B$1,[1]!Data_PL_Element[Thang.Nam],'Dai Loc'!AH$198)</f>
        <v>0</v>
      </c>
      <c r="AI217" s="189">
        <f>SUMIFS([1]!Data_PL_Element[Value],[1]!Data_PL_Element[Index PL Element],'Dai Loc'!$B217,[1]!Data_PL_Element[TenCongTyID],'Dai Loc'!$B$1,[1]!Data_PL_Element[Thang.Nam],'Dai Loc'!AI$198)</f>
        <v>0</v>
      </c>
      <c r="AJ217" s="189">
        <f>SUMIFS([1]!Data_PL_Element[Value],[1]!Data_PL_Element[Index PL Element],'Dai Loc'!$B217,[1]!Data_PL_Element[TenCongTyID],'Dai Loc'!$B$1,[1]!Data_PL_Element[Thang.Nam],'Dai Loc'!AJ$198)</f>
        <v>0</v>
      </c>
      <c r="AK217" s="189">
        <f>SUMIFS([1]!Data_PL_Element[Value],[1]!Data_PL_Element[Index PL Element],'Dai Loc'!$B217,[1]!Data_PL_Element[TenCongTyID],'Dai Loc'!$B$1,[1]!Data_PL_Element[Thang.Nam],'Dai Loc'!AK$198)</f>
        <v>0</v>
      </c>
      <c r="AL217" s="189">
        <f>SUMIFS([1]!Data_PL_Element[Value],[1]!Data_PL_Element[Index PL Element],'Dai Loc'!$B217,[1]!Data_PL_Element[TenCongTyID],'Dai Loc'!$B$1,[1]!Data_PL_Element[Thang.Nam],'Dai Loc'!AL$198)</f>
        <v>0</v>
      </c>
    </row>
    <row r="218" spans="1:38" ht="15" customHeight="1">
      <c r="A218" s="178" t="s">
        <v>304</v>
      </c>
      <c r="B218" s="179">
        <v>20</v>
      </c>
      <c r="C218" s="189">
        <v>47249351</v>
      </c>
      <c r="D218" s="189">
        <v>48852684</v>
      </c>
      <c r="E218" s="189">
        <v>49370497</v>
      </c>
      <c r="F218" s="189">
        <v>48092497</v>
      </c>
      <c r="G218" s="189">
        <v>46938422</v>
      </c>
      <c r="H218" s="189">
        <v>52903079</v>
      </c>
      <c r="I218" s="189">
        <v>45555352</v>
      </c>
      <c r="J218" s="189">
        <v>39000618</v>
      </c>
      <c r="K218" s="189">
        <v>43182394</v>
      </c>
      <c r="L218" s="189">
        <v>44293239</v>
      </c>
      <c r="M218" s="189">
        <v>106339896</v>
      </c>
      <c r="N218" s="189">
        <v>101816393</v>
      </c>
      <c r="O218" s="189">
        <v>110007523</v>
      </c>
      <c r="P218" s="189">
        <v>113362753</v>
      </c>
      <c r="Q218" s="189">
        <v>99782616</v>
      </c>
      <c r="R218" s="189">
        <v>73937791</v>
      </c>
      <c r="S218" s="189">
        <v>72342351</v>
      </c>
      <c r="T218" s="189">
        <v>81810417</v>
      </c>
      <c r="U218" s="189">
        <v>107659866</v>
      </c>
      <c r="V218" s="189">
        <v>81298853</v>
      </c>
      <c r="W218" s="189">
        <v>99671851</v>
      </c>
      <c r="X218" s="189">
        <v>104952229</v>
      </c>
      <c r="Y218" s="189">
        <v>106235052</v>
      </c>
      <c r="Z218" s="189">
        <v>104585076</v>
      </c>
      <c r="AA218" s="189">
        <f>SUMIFS([1]!Data_PL_Element[Value],[1]!Data_PL_Element[Index PL Element],'Dai Loc'!$B218,[1]!Data_PL_Element[TenCongTyID],'Dai Loc'!$B$1,[1]!Data_PL_Element[Thang.Nam],'Dai Loc'!AA$198)</f>
        <v>0</v>
      </c>
      <c r="AB218" s="189">
        <f>SUMIFS([1]!Data_PL_Element[Value],[1]!Data_PL_Element[Index PL Element],'Dai Loc'!$B218,[1]!Data_PL_Element[TenCongTyID],'Dai Loc'!$B$1,[1]!Data_PL_Element[Thang.Nam],'Dai Loc'!AB$198)</f>
        <v>0</v>
      </c>
      <c r="AC218" s="189">
        <f>SUMIFS([1]!Data_PL_Element[Value],[1]!Data_PL_Element[Index PL Element],'Dai Loc'!$B218,[1]!Data_PL_Element[TenCongTyID],'Dai Loc'!$B$1,[1]!Data_PL_Element[Thang.Nam],'Dai Loc'!AC$198)</f>
        <v>0</v>
      </c>
      <c r="AD218" s="189">
        <f>SUMIFS([1]!Data_PL_Element[Value],[1]!Data_PL_Element[Index PL Element],'Dai Loc'!$B218,[1]!Data_PL_Element[TenCongTyID],'Dai Loc'!$B$1,[1]!Data_PL_Element[Thang.Nam],'Dai Loc'!AD$198)</f>
        <v>0</v>
      </c>
      <c r="AE218" s="189">
        <f>SUMIFS([1]!Data_PL_Element[Value],[1]!Data_PL_Element[Index PL Element],'Dai Loc'!$B218,[1]!Data_PL_Element[TenCongTyID],'Dai Loc'!$B$1,[1]!Data_PL_Element[Thang.Nam],'Dai Loc'!AE$198)</f>
        <v>0</v>
      </c>
      <c r="AF218" s="189">
        <f>SUMIFS([1]!Data_PL_Element[Value],[1]!Data_PL_Element[Index PL Element],'Dai Loc'!$B218,[1]!Data_PL_Element[TenCongTyID],'Dai Loc'!$B$1,[1]!Data_PL_Element[Thang.Nam],'Dai Loc'!AF$198)</f>
        <v>0</v>
      </c>
      <c r="AG218" s="189">
        <f>SUMIFS([1]!Data_PL_Element[Value],[1]!Data_PL_Element[Index PL Element],'Dai Loc'!$B218,[1]!Data_PL_Element[TenCongTyID],'Dai Loc'!$B$1,[1]!Data_PL_Element[Thang.Nam],'Dai Loc'!AG$198)</f>
        <v>0</v>
      </c>
      <c r="AH218" s="189">
        <f>SUMIFS([1]!Data_PL_Element[Value],[1]!Data_PL_Element[Index PL Element],'Dai Loc'!$B218,[1]!Data_PL_Element[TenCongTyID],'Dai Loc'!$B$1,[1]!Data_PL_Element[Thang.Nam],'Dai Loc'!AH$198)</f>
        <v>0</v>
      </c>
      <c r="AI218" s="189">
        <f>SUMIFS([1]!Data_PL_Element[Value],[1]!Data_PL_Element[Index PL Element],'Dai Loc'!$B218,[1]!Data_PL_Element[TenCongTyID],'Dai Loc'!$B$1,[1]!Data_PL_Element[Thang.Nam],'Dai Loc'!AI$198)</f>
        <v>0</v>
      </c>
      <c r="AJ218" s="189">
        <f>SUMIFS([1]!Data_PL_Element[Value],[1]!Data_PL_Element[Index PL Element],'Dai Loc'!$B218,[1]!Data_PL_Element[TenCongTyID],'Dai Loc'!$B$1,[1]!Data_PL_Element[Thang.Nam],'Dai Loc'!AJ$198)</f>
        <v>0</v>
      </c>
      <c r="AK218" s="189">
        <f>SUMIFS([1]!Data_PL_Element[Value],[1]!Data_PL_Element[Index PL Element],'Dai Loc'!$B218,[1]!Data_PL_Element[TenCongTyID],'Dai Loc'!$B$1,[1]!Data_PL_Element[Thang.Nam],'Dai Loc'!AK$198)</f>
        <v>0</v>
      </c>
      <c r="AL218" s="189">
        <f>SUMIFS([1]!Data_PL_Element[Value],[1]!Data_PL_Element[Index PL Element],'Dai Loc'!$B218,[1]!Data_PL_Element[TenCongTyID],'Dai Loc'!$B$1,[1]!Data_PL_Element[Thang.Nam],'Dai Loc'!AL$198)</f>
        <v>0</v>
      </c>
    </row>
    <row r="219" spans="1:38" ht="15" customHeight="1">
      <c r="A219" s="178" t="s">
        <v>305</v>
      </c>
      <c r="B219" s="191">
        <v>21</v>
      </c>
      <c r="C219" s="189">
        <v>838756928</v>
      </c>
      <c r="D219" s="189">
        <v>707635984.00000024</v>
      </c>
      <c r="E219" s="189">
        <v>781819200</v>
      </c>
      <c r="F219" s="189">
        <v>714162589.99999976</v>
      </c>
      <c r="G219" s="189">
        <v>998811733.99999976</v>
      </c>
      <c r="H219" s="189">
        <v>818929308.00000048</v>
      </c>
      <c r="I219" s="189">
        <v>875491866</v>
      </c>
      <c r="J219" s="189">
        <v>764650018</v>
      </c>
      <c r="K219" s="189">
        <v>1077346226</v>
      </c>
      <c r="L219" s="189">
        <v>1080473752</v>
      </c>
      <c r="M219" s="189">
        <v>854609958</v>
      </c>
      <c r="N219" s="189">
        <v>863929282</v>
      </c>
      <c r="O219" s="189">
        <v>784785916</v>
      </c>
      <c r="P219" s="189">
        <v>827570266</v>
      </c>
      <c r="Q219" s="189">
        <v>842706808</v>
      </c>
      <c r="R219" s="189">
        <v>788333226</v>
      </c>
      <c r="S219" s="189">
        <v>793196541</v>
      </c>
      <c r="T219" s="189">
        <v>818417974</v>
      </c>
      <c r="U219" s="189">
        <v>903008874</v>
      </c>
      <c r="V219" s="189">
        <v>897111536</v>
      </c>
      <c r="W219" s="189">
        <v>992039147</v>
      </c>
      <c r="X219" s="189">
        <v>935782954</v>
      </c>
      <c r="Y219" s="189">
        <v>936594772</v>
      </c>
      <c r="Z219" s="189">
        <v>828960357</v>
      </c>
      <c r="AA219" s="189">
        <f>SUMIFS([1]!Data_PL_Element[Value],[1]!Data_PL_Element[Index PL Element],'Dai Loc'!$B219,[1]!Data_PL_Element[TenCongTyID],'Dai Loc'!$B$1,[1]!Data_PL_Element[Thang.Nam],'Dai Loc'!AA$198)</f>
        <v>0</v>
      </c>
      <c r="AB219" s="189">
        <f>SUMIFS([1]!Data_PL_Element[Value],[1]!Data_PL_Element[Index PL Element],'Dai Loc'!$B219,[1]!Data_PL_Element[TenCongTyID],'Dai Loc'!$B$1,[1]!Data_PL_Element[Thang.Nam],'Dai Loc'!AB$198)</f>
        <v>0</v>
      </c>
      <c r="AC219" s="189">
        <f>SUMIFS([1]!Data_PL_Element[Value],[1]!Data_PL_Element[Index PL Element],'Dai Loc'!$B219,[1]!Data_PL_Element[TenCongTyID],'Dai Loc'!$B$1,[1]!Data_PL_Element[Thang.Nam],'Dai Loc'!AC$198)</f>
        <v>0</v>
      </c>
      <c r="AD219" s="189">
        <f>SUMIFS([1]!Data_PL_Element[Value],[1]!Data_PL_Element[Index PL Element],'Dai Loc'!$B219,[1]!Data_PL_Element[TenCongTyID],'Dai Loc'!$B$1,[1]!Data_PL_Element[Thang.Nam],'Dai Loc'!AD$198)</f>
        <v>0</v>
      </c>
      <c r="AE219" s="189">
        <f>SUMIFS([1]!Data_PL_Element[Value],[1]!Data_PL_Element[Index PL Element],'Dai Loc'!$B219,[1]!Data_PL_Element[TenCongTyID],'Dai Loc'!$B$1,[1]!Data_PL_Element[Thang.Nam],'Dai Loc'!AE$198)</f>
        <v>0</v>
      </c>
      <c r="AF219" s="189">
        <f>SUMIFS([1]!Data_PL_Element[Value],[1]!Data_PL_Element[Index PL Element],'Dai Loc'!$B219,[1]!Data_PL_Element[TenCongTyID],'Dai Loc'!$B$1,[1]!Data_PL_Element[Thang.Nam],'Dai Loc'!AF$198)</f>
        <v>0</v>
      </c>
      <c r="AG219" s="189">
        <f>SUMIFS([1]!Data_PL_Element[Value],[1]!Data_PL_Element[Index PL Element],'Dai Loc'!$B219,[1]!Data_PL_Element[TenCongTyID],'Dai Loc'!$B$1,[1]!Data_PL_Element[Thang.Nam],'Dai Loc'!AG$198)</f>
        <v>0</v>
      </c>
      <c r="AH219" s="189">
        <f>SUMIFS([1]!Data_PL_Element[Value],[1]!Data_PL_Element[Index PL Element],'Dai Loc'!$B219,[1]!Data_PL_Element[TenCongTyID],'Dai Loc'!$B$1,[1]!Data_PL_Element[Thang.Nam],'Dai Loc'!AH$198)</f>
        <v>0</v>
      </c>
      <c r="AI219" s="189">
        <f>SUMIFS([1]!Data_PL_Element[Value],[1]!Data_PL_Element[Index PL Element],'Dai Loc'!$B219,[1]!Data_PL_Element[TenCongTyID],'Dai Loc'!$B$1,[1]!Data_PL_Element[Thang.Nam],'Dai Loc'!AI$198)</f>
        <v>0</v>
      </c>
      <c r="AJ219" s="189">
        <f>SUMIFS([1]!Data_PL_Element[Value],[1]!Data_PL_Element[Index PL Element],'Dai Loc'!$B219,[1]!Data_PL_Element[TenCongTyID],'Dai Loc'!$B$1,[1]!Data_PL_Element[Thang.Nam],'Dai Loc'!AJ$198)</f>
        <v>0</v>
      </c>
      <c r="AK219" s="189">
        <f>SUMIFS([1]!Data_PL_Element[Value],[1]!Data_PL_Element[Index PL Element],'Dai Loc'!$B219,[1]!Data_PL_Element[TenCongTyID],'Dai Loc'!$B$1,[1]!Data_PL_Element[Thang.Nam],'Dai Loc'!AK$198)</f>
        <v>0</v>
      </c>
      <c r="AL219" s="189">
        <f>SUMIFS([1]!Data_PL_Element[Value],[1]!Data_PL_Element[Index PL Element],'Dai Loc'!$B219,[1]!Data_PL_Element[TenCongTyID],'Dai Loc'!$B$1,[1]!Data_PL_Element[Thang.Nam],'Dai Loc'!AL$198)</f>
        <v>0</v>
      </c>
    </row>
    <row r="220" spans="1:38" ht="15" customHeight="1">
      <c r="A220" s="178" t="s">
        <v>306</v>
      </c>
      <c r="B220" s="179">
        <v>22</v>
      </c>
      <c r="C220" s="189">
        <v>544158859</v>
      </c>
      <c r="D220" s="189">
        <v>527482408</v>
      </c>
      <c r="E220" s="189">
        <v>533997664</v>
      </c>
      <c r="F220" s="189">
        <v>494862517</v>
      </c>
      <c r="G220" s="189">
        <v>614671633</v>
      </c>
      <c r="H220" s="189">
        <v>687867090</v>
      </c>
      <c r="I220" s="189">
        <v>553887781</v>
      </c>
      <c r="J220" s="189">
        <v>556104449</v>
      </c>
      <c r="K220" s="189">
        <v>552030977</v>
      </c>
      <c r="L220" s="189">
        <v>559972443</v>
      </c>
      <c r="M220" s="189">
        <v>559972444</v>
      </c>
      <c r="N220" s="189">
        <v>559972441</v>
      </c>
      <c r="O220" s="189">
        <v>580920845</v>
      </c>
      <c r="P220" s="189">
        <v>579063070</v>
      </c>
      <c r="Q220" s="189">
        <v>579063066</v>
      </c>
      <c r="R220" s="189">
        <v>587188067</v>
      </c>
      <c r="S220" s="189">
        <v>587188071</v>
      </c>
      <c r="T220" s="189">
        <v>575502860</v>
      </c>
      <c r="U220" s="189">
        <v>575502855</v>
      </c>
      <c r="V220" s="189">
        <v>617063663</v>
      </c>
      <c r="W220" s="189">
        <v>617063656</v>
      </c>
      <c r="X220" s="189">
        <v>617063662</v>
      </c>
      <c r="Y220" s="189">
        <v>617063656</v>
      </c>
      <c r="Z220" s="189">
        <v>617063660</v>
      </c>
      <c r="AA220" s="189">
        <f>SUMIFS([1]!Data_PL_Element[Value],[1]!Data_PL_Element[Index PL Element],'Dai Loc'!$B220,[1]!Data_PL_Element[TenCongTyID],'Dai Loc'!$B$1,[1]!Data_PL_Element[Thang.Nam],'Dai Loc'!AA$198)</f>
        <v>0</v>
      </c>
      <c r="AB220" s="189">
        <f>SUMIFS([1]!Data_PL_Element[Value],[1]!Data_PL_Element[Index PL Element],'Dai Loc'!$B220,[1]!Data_PL_Element[TenCongTyID],'Dai Loc'!$B$1,[1]!Data_PL_Element[Thang.Nam],'Dai Loc'!AB$198)</f>
        <v>0</v>
      </c>
      <c r="AC220" s="189">
        <f>SUMIFS([1]!Data_PL_Element[Value],[1]!Data_PL_Element[Index PL Element],'Dai Loc'!$B220,[1]!Data_PL_Element[TenCongTyID],'Dai Loc'!$B$1,[1]!Data_PL_Element[Thang.Nam],'Dai Loc'!AC$198)</f>
        <v>0</v>
      </c>
      <c r="AD220" s="189">
        <f>SUMIFS([1]!Data_PL_Element[Value],[1]!Data_PL_Element[Index PL Element],'Dai Loc'!$B220,[1]!Data_PL_Element[TenCongTyID],'Dai Loc'!$B$1,[1]!Data_PL_Element[Thang.Nam],'Dai Loc'!AD$198)</f>
        <v>0</v>
      </c>
      <c r="AE220" s="189">
        <f>SUMIFS([1]!Data_PL_Element[Value],[1]!Data_PL_Element[Index PL Element],'Dai Loc'!$B220,[1]!Data_PL_Element[TenCongTyID],'Dai Loc'!$B$1,[1]!Data_PL_Element[Thang.Nam],'Dai Loc'!AE$198)</f>
        <v>0</v>
      </c>
      <c r="AF220" s="189">
        <f>SUMIFS([1]!Data_PL_Element[Value],[1]!Data_PL_Element[Index PL Element],'Dai Loc'!$B220,[1]!Data_PL_Element[TenCongTyID],'Dai Loc'!$B$1,[1]!Data_PL_Element[Thang.Nam],'Dai Loc'!AF$198)</f>
        <v>0</v>
      </c>
      <c r="AG220" s="189">
        <f>SUMIFS([1]!Data_PL_Element[Value],[1]!Data_PL_Element[Index PL Element],'Dai Loc'!$B220,[1]!Data_PL_Element[TenCongTyID],'Dai Loc'!$B$1,[1]!Data_PL_Element[Thang.Nam],'Dai Loc'!AG$198)</f>
        <v>0</v>
      </c>
      <c r="AH220" s="189">
        <f>SUMIFS([1]!Data_PL_Element[Value],[1]!Data_PL_Element[Index PL Element],'Dai Loc'!$B220,[1]!Data_PL_Element[TenCongTyID],'Dai Loc'!$B$1,[1]!Data_PL_Element[Thang.Nam],'Dai Loc'!AH$198)</f>
        <v>0</v>
      </c>
      <c r="AI220" s="189">
        <f>SUMIFS([1]!Data_PL_Element[Value],[1]!Data_PL_Element[Index PL Element],'Dai Loc'!$B220,[1]!Data_PL_Element[TenCongTyID],'Dai Loc'!$B$1,[1]!Data_PL_Element[Thang.Nam],'Dai Loc'!AI$198)</f>
        <v>0</v>
      </c>
      <c r="AJ220" s="189">
        <f>SUMIFS([1]!Data_PL_Element[Value],[1]!Data_PL_Element[Index PL Element],'Dai Loc'!$B220,[1]!Data_PL_Element[TenCongTyID],'Dai Loc'!$B$1,[1]!Data_PL_Element[Thang.Nam],'Dai Loc'!AJ$198)</f>
        <v>0</v>
      </c>
      <c r="AK220" s="189">
        <f>SUMIFS([1]!Data_PL_Element[Value],[1]!Data_PL_Element[Index PL Element],'Dai Loc'!$B220,[1]!Data_PL_Element[TenCongTyID],'Dai Loc'!$B$1,[1]!Data_PL_Element[Thang.Nam],'Dai Loc'!AK$198)</f>
        <v>0</v>
      </c>
      <c r="AL220" s="189">
        <f>SUMIFS([1]!Data_PL_Element[Value],[1]!Data_PL_Element[Index PL Element],'Dai Loc'!$B220,[1]!Data_PL_Element[TenCongTyID],'Dai Loc'!$B$1,[1]!Data_PL_Element[Thang.Nam],'Dai Loc'!AL$198)</f>
        <v>0</v>
      </c>
    </row>
    <row r="221" spans="1:38" ht="15" customHeight="1">
      <c r="A221" s="178" t="s">
        <v>307</v>
      </c>
      <c r="B221" s="179">
        <v>23</v>
      </c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>
        <v>0</v>
      </c>
      <c r="AA221" s="189">
        <f>SUMIFS([1]!Data_PL_Element[Value],[1]!Data_PL_Element[Index PL Element],'Dai Loc'!$B221,[1]!Data_PL_Element[TenCongTyID],'Dai Loc'!$B$1,[1]!Data_PL_Element[Thang.Nam],'Dai Loc'!AA$198)</f>
        <v>0</v>
      </c>
      <c r="AB221" s="189">
        <f>SUMIFS([1]!Data_PL_Element[Value],[1]!Data_PL_Element[Index PL Element],'Dai Loc'!$B221,[1]!Data_PL_Element[TenCongTyID],'Dai Loc'!$B$1,[1]!Data_PL_Element[Thang.Nam],'Dai Loc'!AB$198)</f>
        <v>0</v>
      </c>
      <c r="AC221" s="189">
        <f>SUMIFS([1]!Data_PL_Element[Value],[1]!Data_PL_Element[Index PL Element],'Dai Loc'!$B221,[1]!Data_PL_Element[TenCongTyID],'Dai Loc'!$B$1,[1]!Data_PL_Element[Thang.Nam],'Dai Loc'!AC$198)</f>
        <v>0</v>
      </c>
      <c r="AD221" s="189">
        <f>SUMIFS([1]!Data_PL_Element[Value],[1]!Data_PL_Element[Index PL Element],'Dai Loc'!$B221,[1]!Data_PL_Element[TenCongTyID],'Dai Loc'!$B$1,[1]!Data_PL_Element[Thang.Nam],'Dai Loc'!AD$198)</f>
        <v>0</v>
      </c>
      <c r="AE221" s="189">
        <f>SUMIFS([1]!Data_PL_Element[Value],[1]!Data_PL_Element[Index PL Element],'Dai Loc'!$B221,[1]!Data_PL_Element[TenCongTyID],'Dai Loc'!$B$1,[1]!Data_PL_Element[Thang.Nam],'Dai Loc'!AE$198)</f>
        <v>0</v>
      </c>
      <c r="AF221" s="189">
        <f>SUMIFS([1]!Data_PL_Element[Value],[1]!Data_PL_Element[Index PL Element],'Dai Loc'!$B221,[1]!Data_PL_Element[TenCongTyID],'Dai Loc'!$B$1,[1]!Data_PL_Element[Thang.Nam],'Dai Loc'!AF$198)</f>
        <v>0</v>
      </c>
      <c r="AG221" s="189">
        <f>SUMIFS([1]!Data_PL_Element[Value],[1]!Data_PL_Element[Index PL Element],'Dai Loc'!$B221,[1]!Data_PL_Element[TenCongTyID],'Dai Loc'!$B$1,[1]!Data_PL_Element[Thang.Nam],'Dai Loc'!AG$198)</f>
        <v>0</v>
      </c>
      <c r="AH221" s="189">
        <f>SUMIFS([1]!Data_PL_Element[Value],[1]!Data_PL_Element[Index PL Element],'Dai Loc'!$B221,[1]!Data_PL_Element[TenCongTyID],'Dai Loc'!$B$1,[1]!Data_PL_Element[Thang.Nam],'Dai Loc'!AH$198)</f>
        <v>0</v>
      </c>
      <c r="AI221" s="189">
        <f>SUMIFS([1]!Data_PL_Element[Value],[1]!Data_PL_Element[Index PL Element],'Dai Loc'!$B221,[1]!Data_PL_Element[TenCongTyID],'Dai Loc'!$B$1,[1]!Data_PL_Element[Thang.Nam],'Dai Loc'!AI$198)</f>
        <v>0</v>
      </c>
      <c r="AJ221" s="189">
        <f>SUMIFS([1]!Data_PL_Element[Value],[1]!Data_PL_Element[Index PL Element],'Dai Loc'!$B221,[1]!Data_PL_Element[TenCongTyID],'Dai Loc'!$B$1,[1]!Data_PL_Element[Thang.Nam],'Dai Loc'!AJ$198)</f>
        <v>0</v>
      </c>
      <c r="AK221" s="189">
        <f>SUMIFS([1]!Data_PL_Element[Value],[1]!Data_PL_Element[Index PL Element],'Dai Loc'!$B221,[1]!Data_PL_Element[TenCongTyID],'Dai Loc'!$B$1,[1]!Data_PL_Element[Thang.Nam],'Dai Loc'!AK$198)</f>
        <v>0</v>
      </c>
      <c r="AL221" s="189">
        <f>SUMIFS([1]!Data_PL_Element[Value],[1]!Data_PL_Element[Index PL Element],'Dai Loc'!$B221,[1]!Data_PL_Element[TenCongTyID],'Dai Loc'!$B$1,[1]!Data_PL_Element[Thang.Nam],'Dai Loc'!AL$198)</f>
        <v>0</v>
      </c>
    </row>
    <row r="222" spans="1:38" ht="15" customHeight="1">
      <c r="A222" s="178" t="s">
        <v>308</v>
      </c>
      <c r="B222" s="179">
        <v>24</v>
      </c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>
        <v>0</v>
      </c>
      <c r="AA222" s="189">
        <f>SUMIFS([1]!Data_PL_Element[Value],[1]!Data_PL_Element[Index PL Element],'Dai Loc'!$B222,[1]!Data_PL_Element[TenCongTyID],'Dai Loc'!$B$1,[1]!Data_PL_Element[Thang.Nam],'Dai Loc'!AA$198)</f>
        <v>0</v>
      </c>
      <c r="AB222" s="189">
        <f>SUMIFS([1]!Data_PL_Element[Value],[1]!Data_PL_Element[Index PL Element],'Dai Loc'!$B222,[1]!Data_PL_Element[TenCongTyID],'Dai Loc'!$B$1,[1]!Data_PL_Element[Thang.Nam],'Dai Loc'!AB$198)</f>
        <v>0</v>
      </c>
      <c r="AC222" s="189">
        <f>SUMIFS([1]!Data_PL_Element[Value],[1]!Data_PL_Element[Index PL Element],'Dai Loc'!$B222,[1]!Data_PL_Element[TenCongTyID],'Dai Loc'!$B$1,[1]!Data_PL_Element[Thang.Nam],'Dai Loc'!AC$198)</f>
        <v>0</v>
      </c>
      <c r="AD222" s="189">
        <f>SUMIFS([1]!Data_PL_Element[Value],[1]!Data_PL_Element[Index PL Element],'Dai Loc'!$B222,[1]!Data_PL_Element[TenCongTyID],'Dai Loc'!$B$1,[1]!Data_PL_Element[Thang.Nam],'Dai Loc'!AD$198)</f>
        <v>0</v>
      </c>
      <c r="AE222" s="189">
        <f>SUMIFS([1]!Data_PL_Element[Value],[1]!Data_PL_Element[Index PL Element],'Dai Loc'!$B222,[1]!Data_PL_Element[TenCongTyID],'Dai Loc'!$B$1,[1]!Data_PL_Element[Thang.Nam],'Dai Loc'!AE$198)</f>
        <v>0</v>
      </c>
      <c r="AF222" s="189">
        <f>SUMIFS([1]!Data_PL_Element[Value],[1]!Data_PL_Element[Index PL Element],'Dai Loc'!$B222,[1]!Data_PL_Element[TenCongTyID],'Dai Loc'!$B$1,[1]!Data_PL_Element[Thang.Nam],'Dai Loc'!AF$198)</f>
        <v>0</v>
      </c>
      <c r="AG222" s="189">
        <f>SUMIFS([1]!Data_PL_Element[Value],[1]!Data_PL_Element[Index PL Element],'Dai Loc'!$B222,[1]!Data_PL_Element[TenCongTyID],'Dai Loc'!$B$1,[1]!Data_PL_Element[Thang.Nam],'Dai Loc'!AG$198)</f>
        <v>0</v>
      </c>
      <c r="AH222" s="189">
        <f>SUMIFS([1]!Data_PL_Element[Value],[1]!Data_PL_Element[Index PL Element],'Dai Loc'!$B222,[1]!Data_PL_Element[TenCongTyID],'Dai Loc'!$B$1,[1]!Data_PL_Element[Thang.Nam],'Dai Loc'!AH$198)</f>
        <v>0</v>
      </c>
      <c r="AI222" s="189">
        <f>SUMIFS([1]!Data_PL_Element[Value],[1]!Data_PL_Element[Index PL Element],'Dai Loc'!$B222,[1]!Data_PL_Element[TenCongTyID],'Dai Loc'!$B$1,[1]!Data_PL_Element[Thang.Nam],'Dai Loc'!AI$198)</f>
        <v>0</v>
      </c>
      <c r="AJ222" s="189">
        <f>SUMIFS([1]!Data_PL_Element[Value],[1]!Data_PL_Element[Index PL Element],'Dai Loc'!$B222,[1]!Data_PL_Element[TenCongTyID],'Dai Loc'!$B$1,[1]!Data_PL_Element[Thang.Nam],'Dai Loc'!AJ$198)</f>
        <v>0</v>
      </c>
      <c r="AK222" s="189">
        <f>SUMIFS([1]!Data_PL_Element[Value],[1]!Data_PL_Element[Index PL Element],'Dai Loc'!$B222,[1]!Data_PL_Element[TenCongTyID],'Dai Loc'!$B$1,[1]!Data_PL_Element[Thang.Nam],'Dai Loc'!AK$198)</f>
        <v>0</v>
      </c>
      <c r="AL222" s="189">
        <f>SUMIFS([1]!Data_PL_Element[Value],[1]!Data_PL_Element[Index PL Element],'Dai Loc'!$B222,[1]!Data_PL_Element[TenCongTyID],'Dai Loc'!$B$1,[1]!Data_PL_Element[Thang.Nam],'Dai Loc'!AL$198)</f>
        <v>0</v>
      </c>
    </row>
    <row r="223" spans="1:38" ht="15" customHeight="1">
      <c r="A223" s="178" t="s">
        <v>309</v>
      </c>
      <c r="B223" s="179">
        <v>25</v>
      </c>
      <c r="C223" s="189">
        <f t="shared" ref="C223:Y223" si="21">C211-SUM(C212:C222)</f>
        <v>-893349711</v>
      </c>
      <c r="D223" s="189">
        <f t="shared" si="21"/>
        <v>-425849591</v>
      </c>
      <c r="E223" s="189">
        <f t="shared" si="21"/>
        <v>-769938547</v>
      </c>
      <c r="F223" s="189">
        <f t="shared" si="21"/>
        <v>-875769564</v>
      </c>
      <c r="G223" s="189">
        <f t="shared" si="21"/>
        <v>-803857961.13183975</v>
      </c>
      <c r="H223" s="189">
        <f t="shared" si="21"/>
        <v>-1593797655</v>
      </c>
      <c r="I223" s="189">
        <f t="shared" si="21"/>
        <v>-811155602</v>
      </c>
      <c r="J223" s="189">
        <f t="shared" si="21"/>
        <v>-819956742</v>
      </c>
      <c r="K223" s="189">
        <f t="shared" si="21"/>
        <v>-852721749</v>
      </c>
      <c r="L223" s="189">
        <f t="shared" si="21"/>
        <v>-1198886916</v>
      </c>
      <c r="M223" s="189">
        <f t="shared" si="21"/>
        <v>-986114874</v>
      </c>
      <c r="N223" s="189">
        <f t="shared" si="21"/>
        <v>-890604958.60000038</v>
      </c>
      <c r="O223" s="189">
        <f t="shared" si="21"/>
        <v>-110007523</v>
      </c>
      <c r="P223" s="189">
        <f t="shared" si="21"/>
        <v>-113362753</v>
      </c>
      <c r="Q223" s="189">
        <f t="shared" si="21"/>
        <v>-99782616</v>
      </c>
      <c r="R223" s="189">
        <f t="shared" si="21"/>
        <v>-73937791</v>
      </c>
      <c r="S223" s="189">
        <f t="shared" si="21"/>
        <v>-72342350.975006104</v>
      </c>
      <c r="T223" s="189">
        <f t="shared" si="21"/>
        <v>-81810417.268074036</v>
      </c>
      <c r="U223" s="189">
        <f t="shared" si="21"/>
        <v>-107659866</v>
      </c>
      <c r="V223" s="189">
        <f t="shared" si="21"/>
        <v>-81298853</v>
      </c>
      <c r="W223" s="189">
        <f t="shared" si="21"/>
        <v>-99671851</v>
      </c>
      <c r="X223" s="189">
        <f t="shared" si="21"/>
        <v>-104952229</v>
      </c>
      <c r="Y223" s="189">
        <f t="shared" si="21"/>
        <v>-106235052</v>
      </c>
      <c r="Z223" s="189">
        <v>-104585076</v>
      </c>
      <c r="AA223" s="189">
        <f>SUMIFS([1]!Data_PL_Element[Value],[1]!Data_PL_Element[Index PL Element],'Dai Loc'!$B223,[1]!Data_PL_Element[TenCongTyID],'Dai Loc'!$B$1,[1]!Data_PL_Element[Thang.Nam],'Dai Loc'!AA$198)</f>
        <v>0</v>
      </c>
      <c r="AB223" s="189">
        <f>SUMIFS([1]!Data_PL_Element[Value],[1]!Data_PL_Element[Index PL Element],'Dai Loc'!$B223,[1]!Data_PL_Element[TenCongTyID],'Dai Loc'!$B$1,[1]!Data_PL_Element[Thang.Nam],'Dai Loc'!AB$198)</f>
        <v>0</v>
      </c>
      <c r="AC223" s="189">
        <f>SUMIFS([1]!Data_PL_Element[Value],[1]!Data_PL_Element[Index PL Element],'Dai Loc'!$B223,[1]!Data_PL_Element[TenCongTyID],'Dai Loc'!$B$1,[1]!Data_PL_Element[Thang.Nam],'Dai Loc'!AC$198)</f>
        <v>0</v>
      </c>
      <c r="AD223" s="189">
        <f>SUMIFS([1]!Data_PL_Element[Value],[1]!Data_PL_Element[Index PL Element],'Dai Loc'!$B223,[1]!Data_PL_Element[TenCongTyID],'Dai Loc'!$B$1,[1]!Data_PL_Element[Thang.Nam],'Dai Loc'!AD$198)</f>
        <v>0</v>
      </c>
      <c r="AE223" s="189">
        <f>SUMIFS([1]!Data_PL_Element[Value],[1]!Data_PL_Element[Index PL Element],'Dai Loc'!$B223,[1]!Data_PL_Element[TenCongTyID],'Dai Loc'!$B$1,[1]!Data_PL_Element[Thang.Nam],'Dai Loc'!AE$198)</f>
        <v>0</v>
      </c>
      <c r="AF223" s="189">
        <f>SUMIFS([1]!Data_PL_Element[Value],[1]!Data_PL_Element[Index PL Element],'Dai Loc'!$B223,[1]!Data_PL_Element[TenCongTyID],'Dai Loc'!$B$1,[1]!Data_PL_Element[Thang.Nam],'Dai Loc'!AF$198)</f>
        <v>0</v>
      </c>
      <c r="AG223" s="189">
        <f>SUMIFS([1]!Data_PL_Element[Value],[1]!Data_PL_Element[Index PL Element],'Dai Loc'!$B223,[1]!Data_PL_Element[TenCongTyID],'Dai Loc'!$B$1,[1]!Data_PL_Element[Thang.Nam],'Dai Loc'!AG$198)</f>
        <v>0</v>
      </c>
      <c r="AH223" s="189">
        <f>SUMIFS([1]!Data_PL_Element[Value],[1]!Data_PL_Element[Index PL Element],'Dai Loc'!$B223,[1]!Data_PL_Element[TenCongTyID],'Dai Loc'!$B$1,[1]!Data_PL_Element[Thang.Nam],'Dai Loc'!AH$198)</f>
        <v>0</v>
      </c>
      <c r="AI223" s="189">
        <f>SUMIFS([1]!Data_PL_Element[Value],[1]!Data_PL_Element[Index PL Element],'Dai Loc'!$B223,[1]!Data_PL_Element[TenCongTyID],'Dai Loc'!$B$1,[1]!Data_PL_Element[Thang.Nam],'Dai Loc'!AI$198)</f>
        <v>0</v>
      </c>
      <c r="AJ223" s="189">
        <f>SUMIFS([1]!Data_PL_Element[Value],[1]!Data_PL_Element[Index PL Element],'Dai Loc'!$B223,[1]!Data_PL_Element[TenCongTyID],'Dai Loc'!$B$1,[1]!Data_PL_Element[Thang.Nam],'Dai Loc'!AJ$198)</f>
        <v>0</v>
      </c>
      <c r="AK223" s="189">
        <f>SUMIFS([1]!Data_PL_Element[Value],[1]!Data_PL_Element[Index PL Element],'Dai Loc'!$B223,[1]!Data_PL_Element[TenCongTyID],'Dai Loc'!$B$1,[1]!Data_PL_Element[Thang.Nam],'Dai Loc'!AK$198)</f>
        <v>0</v>
      </c>
      <c r="AL223" s="189">
        <f>SUMIFS([1]!Data_PL_Element[Value],[1]!Data_PL_Element[Index PL Element],'Dai Loc'!$B223,[1]!Data_PL_Element[TenCongTyID],'Dai Loc'!$B$1,[1]!Data_PL_Element[Thang.Nam],'Dai Loc'!AL$198)</f>
        <v>0</v>
      </c>
    </row>
    <row r="224" spans="1:38" ht="15" customHeight="1">
      <c r="A224" s="184" t="s">
        <v>310</v>
      </c>
      <c r="B224" s="185">
        <v>26</v>
      </c>
      <c r="C224" s="192">
        <f>IFERROR(C211/C207,"")</f>
        <v>1.0235805090705883</v>
      </c>
      <c r="D224" s="192">
        <f t="shared" ref="D224:AL224" si="22">IFERROR(D211/D207,"")</f>
        <v>1.1917670272892749</v>
      </c>
      <c r="E224" s="192">
        <f t="shared" si="22"/>
        <v>0.96318522009056884</v>
      </c>
      <c r="F224" s="192">
        <f t="shared" si="22"/>
        <v>1.0210265582928741</v>
      </c>
      <c r="G224" s="192">
        <f t="shared" si="22"/>
        <v>1.1019947011201738</v>
      </c>
      <c r="H224" s="192">
        <f t="shared" si="22"/>
        <v>1.0873133575897018</v>
      </c>
      <c r="I224" s="192">
        <f t="shared" si="22"/>
        <v>1.0656720688925927</v>
      </c>
      <c r="J224" s="192">
        <f t="shared" si="22"/>
        <v>1.0633604106057357</v>
      </c>
      <c r="K224" s="192">
        <f t="shared" si="22"/>
        <v>1.0260746753556569</v>
      </c>
      <c r="L224" s="192">
        <f t="shared" si="22"/>
        <v>1.0025332594702643</v>
      </c>
      <c r="M224" s="192">
        <f t="shared" si="22"/>
        <v>1.0701525977072954</v>
      </c>
      <c r="N224" s="192">
        <f t="shared" si="22"/>
        <v>1.0684728126826097</v>
      </c>
      <c r="O224" s="192">
        <f t="shared" si="22"/>
        <v>1.191134512623359</v>
      </c>
      <c r="P224" s="192">
        <f t="shared" si="22"/>
        <v>1.1109309290292932</v>
      </c>
      <c r="Q224" s="192">
        <f t="shared" si="22"/>
        <v>1.0000284786349471</v>
      </c>
      <c r="R224" s="192">
        <f t="shared" si="22"/>
        <v>1.0245598579371917</v>
      </c>
      <c r="S224" s="192">
        <f t="shared" si="22"/>
        <v>0.95878756595590364</v>
      </c>
      <c r="T224" s="192">
        <f t="shared" si="22"/>
        <v>1.0220412728187158</v>
      </c>
      <c r="U224" s="192">
        <f t="shared" si="22"/>
        <v>0.94143695382979586</v>
      </c>
      <c r="V224" s="192">
        <f t="shared" si="22"/>
        <v>0.95153900524149526</v>
      </c>
      <c r="W224" s="192">
        <f t="shared" si="22"/>
        <v>0.99809989595458315</v>
      </c>
      <c r="X224" s="192">
        <f t="shared" si="22"/>
        <v>0.97285052772940683</v>
      </c>
      <c r="Y224" s="192">
        <f t="shared" si="22"/>
        <v>1.0571140940308676</v>
      </c>
      <c r="Z224" s="192">
        <v>0.98876562185815808</v>
      </c>
      <c r="AA224" s="192" t="str">
        <f t="shared" si="22"/>
        <v/>
      </c>
      <c r="AB224" s="192">
        <f t="shared" si="22"/>
        <v>1.0175007586867435</v>
      </c>
      <c r="AC224" s="192">
        <f t="shared" si="22"/>
        <v>1.0509836002575934</v>
      </c>
      <c r="AD224" s="192">
        <f t="shared" si="22"/>
        <v>0.99768001475110646</v>
      </c>
      <c r="AE224" s="192">
        <f t="shared" si="22"/>
        <v>0.98353606922432613</v>
      </c>
      <c r="AF224" s="192">
        <f t="shared" si="22"/>
        <v>0.98472275945362986</v>
      </c>
      <c r="AG224" s="192">
        <f t="shared" si="22"/>
        <v>1.0164860696717859</v>
      </c>
      <c r="AH224" s="192">
        <f t="shared" si="22"/>
        <v>1.0174043358027109</v>
      </c>
      <c r="AI224" s="192">
        <f t="shared" si="22"/>
        <v>1.0174018404571987</v>
      </c>
      <c r="AJ224" s="192">
        <f t="shared" si="22"/>
        <v>1.0144387867891882</v>
      </c>
      <c r="AK224" s="192">
        <f t="shared" si="22"/>
        <v>1.0167471476493017</v>
      </c>
      <c r="AL224" s="192">
        <f t="shared" si="22"/>
        <v>1.0172442388403484</v>
      </c>
    </row>
    <row r="225" spans="1:38" ht="15" customHeight="1">
      <c r="A225" s="181" t="s">
        <v>311</v>
      </c>
      <c r="B225" s="182">
        <v>27</v>
      </c>
      <c r="C225" s="183">
        <f t="shared" ref="C225:Y225" si="23">C139</f>
        <v>-444707330</v>
      </c>
      <c r="D225" s="183">
        <f t="shared" si="23"/>
        <v>-876211538</v>
      </c>
      <c r="E225" s="183">
        <f t="shared" si="23"/>
        <v>364067525</v>
      </c>
      <c r="F225" s="183">
        <f t="shared" si="23"/>
        <v>-188998157</v>
      </c>
      <c r="G225" s="183">
        <f t="shared" si="23"/>
        <v>-856388028</v>
      </c>
      <c r="H225" s="183">
        <f t="shared" si="23"/>
        <v>-1220813410</v>
      </c>
      <c r="I225" s="183">
        <f t="shared" si="23"/>
        <v>-571051197</v>
      </c>
      <c r="J225" s="183">
        <f t="shared" si="23"/>
        <v>-574426680</v>
      </c>
      <c r="K225" s="183">
        <f t="shared" si="23"/>
        <v>-262972454</v>
      </c>
      <c r="L225" s="183">
        <f t="shared" si="23"/>
        <v>-32351043</v>
      </c>
      <c r="M225" s="183">
        <f t="shared" si="23"/>
        <v>-725512231</v>
      </c>
      <c r="N225" s="183">
        <f t="shared" si="23"/>
        <v>-619852631</v>
      </c>
      <c r="O225" s="183">
        <f t="shared" si="23"/>
        <v>-1036512617</v>
      </c>
      <c r="P225" s="183">
        <f t="shared" si="23"/>
        <v>-977376577</v>
      </c>
      <c r="Q225" s="183">
        <f t="shared" si="23"/>
        <v>-463611</v>
      </c>
      <c r="R225" s="183">
        <f t="shared" si="23"/>
        <v>-362809804</v>
      </c>
      <c r="S225" s="183">
        <f t="shared" si="23"/>
        <v>724599774</v>
      </c>
      <c r="T225" s="183">
        <f t="shared" si="23"/>
        <v>-429717078</v>
      </c>
      <c r="U225" s="183">
        <f t="shared" si="23"/>
        <v>1276331386</v>
      </c>
      <c r="V225" s="183">
        <f t="shared" si="23"/>
        <v>1015115770</v>
      </c>
      <c r="W225" s="183">
        <f t="shared" si="23"/>
        <v>31620596</v>
      </c>
      <c r="X225" s="183">
        <f t="shared" si="23"/>
        <v>394480799</v>
      </c>
      <c r="Y225" s="183">
        <f t="shared" si="23"/>
        <v>-421164800</v>
      </c>
      <c r="Z225" s="183">
        <v>115654189</v>
      </c>
      <c r="AA225" s="183" t="e">
        <f>#REF!</f>
        <v>#REF!</v>
      </c>
      <c r="AB225" s="183">
        <f t="shared" ref="AB225:AL225" si="24">AA139</f>
        <v>-199778904.49489594</v>
      </c>
      <c r="AC225" s="183">
        <f t="shared" si="24"/>
        <v>-452666944.47608948</v>
      </c>
      <c r="AD225" s="183">
        <f t="shared" si="24"/>
        <v>29426286.899547577</v>
      </c>
      <c r="AE225" s="183">
        <f t="shared" si="24"/>
        <v>229708178.44783783</v>
      </c>
      <c r="AF225" s="183">
        <f t="shared" si="24"/>
        <v>212888022.37230682</v>
      </c>
      <c r="AG225" s="183">
        <f t="shared" si="24"/>
        <v>-231235488.50689507</v>
      </c>
      <c r="AH225" s="183">
        <f t="shared" si="24"/>
        <v>-244115193.71202278</v>
      </c>
      <c r="AI225" s="183">
        <f t="shared" si="24"/>
        <v>-244080193.71202278</v>
      </c>
      <c r="AJ225" s="183">
        <f t="shared" si="24"/>
        <v>-202520065.9171505</v>
      </c>
      <c r="AK225" s="183">
        <f t="shared" si="24"/>
        <v>-234897397.9171505</v>
      </c>
      <c r="AL225" s="183">
        <f t="shared" si="24"/>
        <v>-241869655.50689507</v>
      </c>
    </row>
    <row r="226" spans="1:38" ht="15" customHeight="1">
      <c r="A226" s="184" t="s">
        <v>312</v>
      </c>
      <c r="B226" s="185">
        <v>28</v>
      </c>
      <c r="C226" s="187">
        <f t="shared" ref="C226:AL226" si="25">IFERROR(C225/C207,"")</f>
        <v>-2.3580509070588299E-2</v>
      </c>
      <c r="D226" s="187">
        <f t="shared" si="25"/>
        <v>-0.19176702728927486</v>
      </c>
      <c r="E226" s="187">
        <f t="shared" si="25"/>
        <v>3.6814779909431203E-2</v>
      </c>
      <c r="F226" s="187">
        <f t="shared" si="25"/>
        <v>-2.1026558292874243E-2</v>
      </c>
      <c r="G226" s="187">
        <f t="shared" si="25"/>
        <v>-0.10199470112017389</v>
      </c>
      <c r="H226" s="187">
        <f t="shared" si="25"/>
        <v>-8.7313357589701754E-2</v>
      </c>
      <c r="I226" s="187">
        <f t="shared" si="25"/>
        <v>-6.567206889259268E-2</v>
      </c>
      <c r="J226" s="187">
        <f t="shared" si="25"/>
        <v>-6.3360410605735717E-2</v>
      </c>
      <c r="K226" s="187">
        <f t="shared" si="25"/>
        <v>-2.6074675355656975E-2</v>
      </c>
      <c r="L226" s="187">
        <f t="shared" si="25"/>
        <v>-2.5332594702642897E-3</v>
      </c>
      <c r="M226" s="187">
        <f t="shared" si="25"/>
        <v>-7.0152597707295539E-2</v>
      </c>
      <c r="N226" s="187">
        <f t="shared" si="25"/>
        <v>-6.8472812682609796E-2</v>
      </c>
      <c r="O226" s="187">
        <f t="shared" si="25"/>
        <v>-0.19113451262335907</v>
      </c>
      <c r="P226" s="187">
        <f t="shared" si="25"/>
        <v>-0.11093092902929332</v>
      </c>
      <c r="Q226" s="187">
        <f t="shared" si="25"/>
        <v>-2.8478634947222103E-5</v>
      </c>
      <c r="R226" s="187">
        <f t="shared" si="25"/>
        <v>-2.4559857937191818E-2</v>
      </c>
      <c r="S226" s="187">
        <f t="shared" si="25"/>
        <v>4.1212434044096372E-2</v>
      </c>
      <c r="T226" s="187">
        <f t="shared" si="25"/>
        <v>-2.2041272818715926E-2</v>
      </c>
      <c r="U226" s="187">
        <f t="shared" si="25"/>
        <v>5.8563046170204129E-2</v>
      </c>
      <c r="V226" s="187">
        <f t="shared" si="25"/>
        <v>4.8460994758504718E-2</v>
      </c>
      <c r="W226" s="187">
        <f t="shared" si="25"/>
        <v>1.9001040454168475E-3</v>
      </c>
      <c r="X226" s="187">
        <f t="shared" si="25"/>
        <v>2.7149472270593177E-2</v>
      </c>
      <c r="Y226" s="187">
        <f t="shared" si="25"/>
        <v>-5.7114094030867556E-2</v>
      </c>
      <c r="Z226" s="187">
        <v>1.1234378141841963E-2</v>
      </c>
      <c r="AA226" s="187" t="str">
        <f t="shared" si="25"/>
        <v/>
      </c>
      <c r="AB226" s="187">
        <f t="shared" si="25"/>
        <v>-1.7500758686743501E-2</v>
      </c>
      <c r="AC226" s="187">
        <f t="shared" si="25"/>
        <v>-5.0983600257593485E-2</v>
      </c>
      <c r="AD226" s="187">
        <f t="shared" si="25"/>
        <v>2.3199852488935773E-3</v>
      </c>
      <c r="AE226" s="187">
        <f t="shared" si="25"/>
        <v>1.6463930775673874E-2</v>
      </c>
      <c r="AF226" s="187">
        <f t="shared" si="25"/>
        <v>1.5277240546370177E-2</v>
      </c>
      <c r="AG226" s="187">
        <f t="shared" si="25"/>
        <v>-1.6486069671785963E-2</v>
      </c>
      <c r="AH226" s="187">
        <f t="shared" si="25"/>
        <v>-1.7404335802711054E-2</v>
      </c>
      <c r="AI226" s="187">
        <f t="shared" si="25"/>
        <v>-1.7401840457198829E-2</v>
      </c>
      <c r="AJ226" s="187">
        <f t="shared" si="25"/>
        <v>-1.4438786789188167E-2</v>
      </c>
      <c r="AK226" s="187">
        <f t="shared" si="25"/>
        <v>-1.6747147649301682E-2</v>
      </c>
      <c r="AL226" s="187">
        <f t="shared" si="25"/>
        <v>-1.7244238840348421E-2</v>
      </c>
    </row>
    <row r="227" spans="1:38" ht="15" customHeight="1">
      <c r="A227" s="181" t="s">
        <v>313</v>
      </c>
      <c r="B227" s="182">
        <v>29</v>
      </c>
      <c r="C227" s="183">
        <f t="shared" ref="C227:Y227" si="26">C150</f>
        <v>-2449116513</v>
      </c>
      <c r="D227" s="183">
        <f t="shared" si="26"/>
        <v>-1201465852</v>
      </c>
      <c r="E227" s="183">
        <f t="shared" si="26"/>
        <v>-79981688</v>
      </c>
      <c r="F227" s="183">
        <f t="shared" si="26"/>
        <v>-570055628</v>
      </c>
      <c r="G227" s="183">
        <f t="shared" si="26"/>
        <v>-1216614710</v>
      </c>
      <c r="H227" s="183">
        <f t="shared" si="26"/>
        <v>-1620055205</v>
      </c>
      <c r="I227" s="183">
        <f t="shared" si="26"/>
        <v>-956690038</v>
      </c>
      <c r="J227" s="183">
        <f t="shared" si="26"/>
        <v>-933950607</v>
      </c>
      <c r="K227" s="183">
        <f t="shared" si="26"/>
        <v>-676218518</v>
      </c>
      <c r="L227" s="183">
        <f t="shared" si="26"/>
        <v>-428240201</v>
      </c>
      <c r="M227" s="183">
        <f t="shared" si="26"/>
        <v>-1170367442</v>
      </c>
      <c r="N227" s="183">
        <f t="shared" si="26"/>
        <v>-1253164728</v>
      </c>
      <c r="O227" s="183">
        <f t="shared" si="26"/>
        <v>-1512604872</v>
      </c>
      <c r="P227" s="183">
        <f t="shared" si="26"/>
        <v>-1408925428</v>
      </c>
      <c r="Q227" s="183">
        <f t="shared" si="26"/>
        <v>-567299860</v>
      </c>
      <c r="R227" s="183">
        <f t="shared" si="26"/>
        <v>-881102876</v>
      </c>
      <c r="S227" s="183">
        <f t="shared" si="26"/>
        <v>194418036</v>
      </c>
      <c r="T227" s="183">
        <f t="shared" si="26"/>
        <v>-1024551814</v>
      </c>
      <c r="U227" s="183">
        <f t="shared" si="26"/>
        <v>513342441</v>
      </c>
      <c r="V227" s="183">
        <f t="shared" si="26"/>
        <v>346075161</v>
      </c>
      <c r="W227" s="183">
        <f t="shared" si="26"/>
        <v>-662953623</v>
      </c>
      <c r="X227" s="183">
        <f t="shared" si="26"/>
        <v>-216894789</v>
      </c>
      <c r="Y227" s="183">
        <f t="shared" si="26"/>
        <v>-959475147</v>
      </c>
      <c r="Z227" s="183">
        <v>-456516965</v>
      </c>
      <c r="AA227" s="183" t="e">
        <f>#REF!</f>
        <v>#REF!</v>
      </c>
      <c r="AB227" s="183">
        <f t="shared" ref="AB227:AL227" si="27">AA150</f>
        <v>-1022397231.4459512</v>
      </c>
      <c r="AC227" s="183">
        <f t="shared" si="27"/>
        <v>-1150214598.8715892</v>
      </c>
      <c r="AD227" s="183">
        <f t="shared" si="27"/>
        <v>-785725337.49595213</v>
      </c>
      <c r="AE227" s="183">
        <f t="shared" si="27"/>
        <v>-619738397.50321746</v>
      </c>
      <c r="AF227" s="183">
        <f t="shared" si="27"/>
        <v>-617655324.41208172</v>
      </c>
      <c r="AG227" s="183">
        <f t="shared" si="27"/>
        <v>-1192064408.202395</v>
      </c>
      <c r="AH227" s="183">
        <f t="shared" si="27"/>
        <v>-1029717251.2075225</v>
      </c>
      <c r="AI227" s="183">
        <f t="shared" si="27"/>
        <v>-1060057251.0075226</v>
      </c>
      <c r="AJ227" s="183">
        <f t="shared" si="27"/>
        <v>-997187324.91265023</v>
      </c>
      <c r="AK227" s="183">
        <f t="shared" si="27"/>
        <v>-1011084636.2459836</v>
      </c>
      <c r="AL227" s="183">
        <f t="shared" si="27"/>
        <v>-1033593617.8357282</v>
      </c>
    </row>
    <row r="228" spans="1:38" ht="15" customHeight="1">
      <c r="A228" s="184" t="s">
        <v>314</v>
      </c>
      <c r="B228" s="185">
        <v>30</v>
      </c>
      <c r="C228" s="187">
        <f t="shared" ref="C228:AL228" si="28">IFERROR(C227/C207,"")</f>
        <v>-0.12986386833273939</v>
      </c>
      <c r="D228" s="187">
        <f t="shared" si="28"/>
        <v>-0.26295195262267351</v>
      </c>
      <c r="E228" s="187">
        <f t="shared" si="28"/>
        <v>-8.0878079979937647E-3</v>
      </c>
      <c r="F228" s="187">
        <f t="shared" si="28"/>
        <v>-6.3420236909098718E-2</v>
      </c>
      <c r="G228" s="187">
        <f t="shared" si="28"/>
        <v>-0.14489723077359162</v>
      </c>
      <c r="H228" s="187">
        <f t="shared" si="28"/>
        <v>-0.11586738667068097</v>
      </c>
      <c r="I228" s="187">
        <f t="shared" si="28"/>
        <v>-0.1100213333138204</v>
      </c>
      <c r="J228" s="187">
        <f t="shared" si="28"/>
        <v>-0.10301661814349589</v>
      </c>
      <c r="K228" s="187">
        <f t="shared" si="28"/>
        <v>-6.704952575121606E-2</v>
      </c>
      <c r="L228" s="187">
        <f t="shared" si="28"/>
        <v>-3.3533495186882624E-2</v>
      </c>
      <c r="M228" s="187">
        <f t="shared" si="28"/>
        <v>-0.11316737722694925</v>
      </c>
      <c r="N228" s="187">
        <f t="shared" si="28"/>
        <v>-0.1384324424700194</v>
      </c>
      <c r="O228" s="187">
        <f t="shared" si="28"/>
        <v>-0.2789266529511415</v>
      </c>
      <c r="P228" s="187">
        <f t="shared" si="28"/>
        <v>-0.1599111441168031</v>
      </c>
      <c r="Q228" s="187">
        <f t="shared" si="28"/>
        <v>-3.4848020470934049E-2</v>
      </c>
      <c r="R228" s="187">
        <f t="shared" si="28"/>
        <v>-5.9644919249787244E-2</v>
      </c>
      <c r="S228" s="187">
        <f t="shared" si="28"/>
        <v>1.1057746321671849E-2</v>
      </c>
      <c r="T228" s="187">
        <f t="shared" si="28"/>
        <v>-5.255184679740444E-2</v>
      </c>
      <c r="U228" s="187">
        <f t="shared" si="28"/>
        <v>2.3554146989697464E-2</v>
      </c>
      <c r="V228" s="187">
        <f t="shared" si="28"/>
        <v>1.6521412688987856E-2</v>
      </c>
      <c r="W228" s="187">
        <f t="shared" si="28"/>
        <v>-3.9837353508012804E-2</v>
      </c>
      <c r="X228" s="187">
        <f t="shared" si="28"/>
        <v>-1.4927416174675863E-2</v>
      </c>
      <c r="Y228" s="187">
        <f t="shared" si="28"/>
        <v>-0.13011427775074857</v>
      </c>
      <c r="Z228" s="187">
        <v>-4.434499309814046E-2</v>
      </c>
      <c r="AA228" s="187" t="str">
        <f t="shared" si="28"/>
        <v/>
      </c>
      <c r="AB228" s="187">
        <f t="shared" si="28"/>
        <v>-8.9562645639531827E-2</v>
      </c>
      <c r="AC228" s="187">
        <f t="shared" si="28"/>
        <v>-0.12954796464581456</v>
      </c>
      <c r="AD228" s="187">
        <f t="shared" si="28"/>
        <v>-6.1947033918865337E-2</v>
      </c>
      <c r="AE228" s="187">
        <f t="shared" si="28"/>
        <v>-4.4418662602546406E-2</v>
      </c>
      <c r="AF228" s="187">
        <f t="shared" si="28"/>
        <v>-4.4324095177546055E-2</v>
      </c>
      <c r="AG228" s="187">
        <f t="shared" si="28"/>
        <v>-8.4988930608265956E-2</v>
      </c>
      <c r="AH228" s="187">
        <f t="shared" si="28"/>
        <v>-7.3414294904568453E-2</v>
      </c>
      <c r="AI228" s="187">
        <f t="shared" si="28"/>
        <v>-7.5577402971476873E-2</v>
      </c>
      <c r="AJ228" s="187">
        <f t="shared" si="28"/>
        <v>-7.1095054744772068E-2</v>
      </c>
      <c r="AK228" s="187">
        <f t="shared" si="28"/>
        <v>-7.2085871700989415E-2</v>
      </c>
      <c r="AL228" s="187">
        <f t="shared" si="28"/>
        <v>-7.3690662735123494E-2</v>
      </c>
    </row>
    <row r="229" spans="1:38" ht="15" customHeight="1">
      <c r="A229" s="181" t="s">
        <v>315</v>
      </c>
      <c r="B229" s="182">
        <v>31</v>
      </c>
      <c r="C229" s="183">
        <f>C150+C143+C159</f>
        <v>-1955426651</v>
      </c>
      <c r="D229" s="183">
        <f t="shared" ref="D229:Y229" si="29">D150+D143+D159</f>
        <v>-702821573</v>
      </c>
      <c r="E229" s="183">
        <f t="shared" si="29"/>
        <v>418662592</v>
      </c>
      <c r="F229" s="183">
        <f t="shared" si="29"/>
        <v>-22680526</v>
      </c>
      <c r="G229" s="183">
        <f t="shared" si="29"/>
        <v>-658491945</v>
      </c>
      <c r="H229" s="183">
        <f t="shared" si="29"/>
        <v>-1061932437</v>
      </c>
      <c r="I229" s="183">
        <f t="shared" si="29"/>
        <v>-397776024</v>
      </c>
      <c r="J229" s="183">
        <f t="shared" si="29"/>
        <v>-368361592</v>
      </c>
      <c r="K229" s="183">
        <f t="shared" si="29"/>
        <v>-110629500</v>
      </c>
      <c r="L229" s="183">
        <f t="shared" si="29"/>
        <v>145290280</v>
      </c>
      <c r="M229" s="183">
        <f t="shared" si="29"/>
        <v>-596836960</v>
      </c>
      <c r="N229" s="183">
        <f t="shared" si="29"/>
        <v>-679634247</v>
      </c>
      <c r="O229" s="183">
        <f t="shared" si="29"/>
        <v>-924508905</v>
      </c>
      <c r="P229" s="183">
        <f t="shared" si="29"/>
        <v>-822687236</v>
      </c>
      <c r="Q229" s="183">
        <f t="shared" si="29"/>
        <v>18938329</v>
      </c>
      <c r="R229" s="183">
        <f t="shared" si="29"/>
        <v>-286739687</v>
      </c>
      <c r="S229" s="183">
        <f t="shared" si="29"/>
        <v>788781229</v>
      </c>
      <c r="T229" s="183">
        <f t="shared" si="29"/>
        <v>-441873832</v>
      </c>
      <c r="U229" s="183">
        <f t="shared" si="29"/>
        <v>1096020423</v>
      </c>
      <c r="V229" s="183">
        <f t="shared" si="29"/>
        <v>928753143</v>
      </c>
      <c r="W229" s="183">
        <f t="shared" si="29"/>
        <v>-80275641</v>
      </c>
      <c r="X229" s="183">
        <f t="shared" si="29"/>
        <v>365783193</v>
      </c>
      <c r="Y229" s="183">
        <f t="shared" si="29"/>
        <v>-376797165</v>
      </c>
      <c r="Z229" s="183">
        <v>167721817</v>
      </c>
      <c r="AA229" s="183" t="e">
        <f>#REF!+#REF!+AA159</f>
        <v>#REF!</v>
      </c>
      <c r="AB229" s="183">
        <f t="shared" ref="AB229:AL229" si="30">AA150+AA143+AB159</f>
        <v>-1022397231.4459512</v>
      </c>
      <c r="AC229" s="183">
        <f t="shared" si="30"/>
        <v>-1150214598.8715892</v>
      </c>
      <c r="AD229" s="183">
        <f t="shared" si="30"/>
        <v>-785725337.49595213</v>
      </c>
      <c r="AE229" s="183">
        <f t="shared" si="30"/>
        <v>-619738397.50321746</v>
      </c>
      <c r="AF229" s="183">
        <f t="shared" si="30"/>
        <v>-617655324.41208172</v>
      </c>
      <c r="AG229" s="183">
        <f t="shared" si="30"/>
        <v>-1192064408.202395</v>
      </c>
      <c r="AH229" s="183">
        <f t="shared" si="30"/>
        <v>-1029717251.2075225</v>
      </c>
      <c r="AI229" s="183">
        <f t="shared" si="30"/>
        <v>-1060057251.0075226</v>
      </c>
      <c r="AJ229" s="183">
        <f t="shared" si="30"/>
        <v>-997187324.91265023</v>
      </c>
      <c r="AK229" s="183">
        <f t="shared" si="30"/>
        <v>-1011084636.2459836</v>
      </c>
      <c r="AL229" s="183">
        <f t="shared" si="30"/>
        <v>-1033593617.8357282</v>
      </c>
    </row>
    <row r="230" spans="1:38" ht="15" customHeight="1">
      <c r="A230" s="184" t="s">
        <v>316</v>
      </c>
      <c r="B230" s="185">
        <v>32</v>
      </c>
      <c r="C230" s="187">
        <f t="shared" ref="C230:AL230" si="31">IFERROR(C229/C207,"")</f>
        <v>-0.10368607119827684</v>
      </c>
      <c r="D230" s="187">
        <f t="shared" si="31"/>
        <v>-0.15381902420118793</v>
      </c>
      <c r="E230" s="187">
        <f t="shared" si="31"/>
        <v>4.2335473840442082E-2</v>
      </c>
      <c r="F230" s="187">
        <f t="shared" si="31"/>
        <v>-2.523270118724226E-3</v>
      </c>
      <c r="G230" s="187">
        <f t="shared" si="31"/>
        <v>-7.8425534832811769E-2</v>
      </c>
      <c r="H230" s="187">
        <f t="shared" si="31"/>
        <v>-7.5950088562579302E-2</v>
      </c>
      <c r="I230" s="187">
        <f t="shared" si="31"/>
        <v>-4.5745065572377397E-2</v>
      </c>
      <c r="J230" s="187">
        <f t="shared" si="31"/>
        <v>-4.0631019646410735E-2</v>
      </c>
      <c r="K230" s="187">
        <f t="shared" si="31"/>
        <v>-1.0969317331079297E-2</v>
      </c>
      <c r="L230" s="187">
        <f t="shared" si="31"/>
        <v>1.1377004993234694E-2</v>
      </c>
      <c r="M230" s="187">
        <f t="shared" si="31"/>
        <v>-5.7710485588940041E-2</v>
      </c>
      <c r="N230" s="187">
        <f t="shared" si="31"/>
        <v>-7.5076665259032449E-2</v>
      </c>
      <c r="O230" s="187">
        <f t="shared" si="31"/>
        <v>-0.17048085674496943</v>
      </c>
      <c r="P230" s="187">
        <f t="shared" si="31"/>
        <v>-9.3373896548803292E-2</v>
      </c>
      <c r="Q230" s="187">
        <f t="shared" si="31"/>
        <v>1.1633411590781708E-3</v>
      </c>
      <c r="R230" s="187">
        <f t="shared" si="31"/>
        <v>-1.9410407050838262E-2</v>
      </c>
      <c r="S230" s="187">
        <f t="shared" si="31"/>
        <v>4.4862827096857162E-2</v>
      </c>
      <c r="T230" s="187">
        <f t="shared" si="31"/>
        <v>-2.2664823394716111E-2</v>
      </c>
      <c r="U230" s="187">
        <f t="shared" si="31"/>
        <v>5.0289678166415996E-2</v>
      </c>
      <c r="V230" s="187">
        <f t="shared" si="31"/>
        <v>4.4338096722571635E-2</v>
      </c>
      <c r="W230" s="187">
        <f t="shared" si="31"/>
        <v>-4.8238202155497182E-3</v>
      </c>
      <c r="X230" s="187">
        <f t="shared" si="31"/>
        <v>2.5174408185587079E-2</v>
      </c>
      <c r="Y230" s="187">
        <f t="shared" si="31"/>
        <v>-5.1097405842972433E-2</v>
      </c>
      <c r="Z230" s="187">
        <v>1.6292106071616807E-2</v>
      </c>
      <c r="AA230" s="187" t="str">
        <f t="shared" si="31"/>
        <v/>
      </c>
      <c r="AB230" s="187">
        <f t="shared" si="31"/>
        <v>-8.9562645639531827E-2</v>
      </c>
      <c r="AC230" s="187">
        <f t="shared" si="31"/>
        <v>-0.12954796464581456</v>
      </c>
      <c r="AD230" s="187">
        <f t="shared" si="31"/>
        <v>-6.1947033918865337E-2</v>
      </c>
      <c r="AE230" s="187">
        <f t="shared" si="31"/>
        <v>-4.4418662602546406E-2</v>
      </c>
      <c r="AF230" s="187">
        <f t="shared" si="31"/>
        <v>-4.4324095177546055E-2</v>
      </c>
      <c r="AG230" s="187">
        <f t="shared" si="31"/>
        <v>-8.4988930608265956E-2</v>
      </c>
      <c r="AH230" s="187">
        <f t="shared" si="31"/>
        <v>-7.3414294904568453E-2</v>
      </c>
      <c r="AI230" s="187">
        <f t="shared" si="31"/>
        <v>-7.5577402971476873E-2</v>
      </c>
      <c r="AJ230" s="187">
        <f t="shared" si="31"/>
        <v>-7.1095054744772068E-2</v>
      </c>
      <c r="AK230" s="187">
        <f t="shared" si="31"/>
        <v>-7.2085871700989415E-2</v>
      </c>
      <c r="AL230" s="187">
        <f t="shared" si="31"/>
        <v>-7.3690662735123494E-2</v>
      </c>
    </row>
    <row r="231" spans="1:38" ht="15" customHeight="1">
      <c r="A231" s="181" t="s">
        <v>317</v>
      </c>
      <c r="B231" s="182">
        <v>33</v>
      </c>
      <c r="C231" s="183">
        <f>C151+C152</f>
        <v>0</v>
      </c>
      <c r="D231" s="183">
        <f t="shared" ref="D231:Y231" si="32">D151+D152</f>
        <v>0</v>
      </c>
      <c r="E231" s="183">
        <f t="shared" si="32"/>
        <v>0</v>
      </c>
      <c r="F231" s="183">
        <f t="shared" si="32"/>
        <v>0</v>
      </c>
      <c r="G231" s="183">
        <f t="shared" si="32"/>
        <v>0</v>
      </c>
      <c r="H231" s="183">
        <f t="shared" si="32"/>
        <v>0</v>
      </c>
      <c r="I231" s="183">
        <f t="shared" si="32"/>
        <v>0</v>
      </c>
      <c r="J231" s="183">
        <f t="shared" si="32"/>
        <v>0</v>
      </c>
      <c r="K231" s="183">
        <f t="shared" si="32"/>
        <v>0</v>
      </c>
      <c r="L231" s="183">
        <f t="shared" si="32"/>
        <v>0</v>
      </c>
      <c r="M231" s="183">
        <f t="shared" si="32"/>
        <v>0</v>
      </c>
      <c r="N231" s="183">
        <f t="shared" si="32"/>
        <v>0</v>
      </c>
      <c r="O231" s="183">
        <f t="shared" si="32"/>
        <v>0</v>
      </c>
      <c r="P231" s="183">
        <f t="shared" si="32"/>
        <v>0</v>
      </c>
      <c r="Q231" s="183">
        <f t="shared" si="32"/>
        <v>0</v>
      </c>
      <c r="R231" s="183">
        <f t="shared" si="32"/>
        <v>0</v>
      </c>
      <c r="S231" s="183">
        <f t="shared" si="32"/>
        <v>0</v>
      </c>
      <c r="T231" s="183">
        <f t="shared" si="32"/>
        <v>0</v>
      </c>
      <c r="U231" s="183">
        <f t="shared" si="32"/>
        <v>0</v>
      </c>
      <c r="V231" s="183">
        <f t="shared" si="32"/>
        <v>0</v>
      </c>
      <c r="W231" s="183">
        <f t="shared" si="32"/>
        <v>0</v>
      </c>
      <c r="X231" s="183">
        <f t="shared" si="32"/>
        <v>0</v>
      </c>
      <c r="Y231" s="183">
        <f t="shared" si="32"/>
        <v>0</v>
      </c>
      <c r="Z231" s="183">
        <v>0</v>
      </c>
      <c r="AA231" s="183" t="e">
        <f>#REF!+#REF!</f>
        <v>#REF!</v>
      </c>
      <c r="AB231" s="183">
        <f t="shared" ref="AB231:AL231" si="33">AA151+AA152</f>
        <v>0</v>
      </c>
      <c r="AC231" s="183">
        <f t="shared" si="33"/>
        <v>0</v>
      </c>
      <c r="AD231" s="183">
        <f t="shared" si="33"/>
        <v>0</v>
      </c>
      <c r="AE231" s="183">
        <f t="shared" si="33"/>
        <v>0</v>
      </c>
      <c r="AF231" s="183">
        <f t="shared" si="33"/>
        <v>0</v>
      </c>
      <c r="AG231" s="183">
        <f t="shared" si="33"/>
        <v>0</v>
      </c>
      <c r="AH231" s="183">
        <f t="shared" si="33"/>
        <v>0</v>
      </c>
      <c r="AI231" s="183">
        <f t="shared" si="33"/>
        <v>0</v>
      </c>
      <c r="AJ231" s="183">
        <f t="shared" si="33"/>
        <v>0</v>
      </c>
      <c r="AK231" s="183">
        <f t="shared" si="33"/>
        <v>0</v>
      </c>
      <c r="AL231" s="183">
        <f t="shared" si="33"/>
        <v>0</v>
      </c>
    </row>
    <row r="232" spans="1:38" ht="15" customHeight="1">
      <c r="A232" s="184" t="s">
        <v>318</v>
      </c>
      <c r="B232" s="185">
        <v>34</v>
      </c>
      <c r="C232" s="187">
        <f>IFERROR(C231/C207,"")</f>
        <v>0</v>
      </c>
      <c r="D232" s="187">
        <f t="shared" ref="D232:AL232" si="34">IFERROR(D231/D207,"")</f>
        <v>0</v>
      </c>
      <c r="E232" s="187">
        <f t="shared" si="34"/>
        <v>0</v>
      </c>
      <c r="F232" s="187">
        <f t="shared" si="34"/>
        <v>0</v>
      </c>
      <c r="G232" s="187">
        <f t="shared" si="34"/>
        <v>0</v>
      </c>
      <c r="H232" s="187">
        <f t="shared" si="34"/>
        <v>0</v>
      </c>
      <c r="I232" s="187">
        <f t="shared" si="34"/>
        <v>0</v>
      </c>
      <c r="J232" s="187">
        <f t="shared" si="34"/>
        <v>0</v>
      </c>
      <c r="K232" s="187">
        <f t="shared" si="34"/>
        <v>0</v>
      </c>
      <c r="L232" s="187">
        <f t="shared" si="34"/>
        <v>0</v>
      </c>
      <c r="M232" s="187">
        <f t="shared" si="34"/>
        <v>0</v>
      </c>
      <c r="N232" s="187">
        <f t="shared" si="34"/>
        <v>0</v>
      </c>
      <c r="O232" s="187">
        <f t="shared" si="34"/>
        <v>0</v>
      </c>
      <c r="P232" s="187">
        <f t="shared" si="34"/>
        <v>0</v>
      </c>
      <c r="Q232" s="187">
        <f t="shared" si="34"/>
        <v>0</v>
      </c>
      <c r="R232" s="187">
        <f t="shared" si="34"/>
        <v>0</v>
      </c>
      <c r="S232" s="187">
        <f t="shared" si="34"/>
        <v>0</v>
      </c>
      <c r="T232" s="187">
        <f t="shared" si="34"/>
        <v>0</v>
      </c>
      <c r="U232" s="187">
        <f t="shared" si="34"/>
        <v>0</v>
      </c>
      <c r="V232" s="187">
        <f t="shared" si="34"/>
        <v>0</v>
      </c>
      <c r="W232" s="187">
        <f t="shared" si="34"/>
        <v>0</v>
      </c>
      <c r="X232" s="187">
        <f t="shared" si="34"/>
        <v>0</v>
      </c>
      <c r="Y232" s="187">
        <f t="shared" si="34"/>
        <v>0</v>
      </c>
      <c r="Z232" s="187">
        <v>0</v>
      </c>
      <c r="AA232" s="187" t="str">
        <f t="shared" si="34"/>
        <v/>
      </c>
      <c r="AB232" s="187">
        <f t="shared" si="34"/>
        <v>0</v>
      </c>
      <c r="AC232" s="187">
        <f t="shared" si="34"/>
        <v>0</v>
      </c>
      <c r="AD232" s="187">
        <f t="shared" si="34"/>
        <v>0</v>
      </c>
      <c r="AE232" s="187">
        <f t="shared" si="34"/>
        <v>0</v>
      </c>
      <c r="AF232" s="187">
        <f t="shared" si="34"/>
        <v>0</v>
      </c>
      <c r="AG232" s="187">
        <f t="shared" si="34"/>
        <v>0</v>
      </c>
      <c r="AH232" s="187">
        <f t="shared" si="34"/>
        <v>0</v>
      </c>
      <c r="AI232" s="187">
        <f t="shared" si="34"/>
        <v>0</v>
      </c>
      <c r="AJ232" s="187">
        <f t="shared" si="34"/>
        <v>0</v>
      </c>
      <c r="AK232" s="187">
        <f t="shared" si="34"/>
        <v>0</v>
      </c>
      <c r="AL232" s="187">
        <f t="shared" si="34"/>
        <v>0</v>
      </c>
    </row>
    <row r="233" spans="1:38" ht="15" customHeight="1">
      <c r="A233" s="181" t="s">
        <v>319</v>
      </c>
      <c r="B233" s="182">
        <v>35</v>
      </c>
      <c r="C233" s="183">
        <f t="shared" ref="C233:Y233" si="35">C153</f>
        <v>-2449116513</v>
      </c>
      <c r="D233" s="183">
        <f t="shared" si="35"/>
        <v>-1201465852</v>
      </c>
      <c r="E233" s="183">
        <f t="shared" si="35"/>
        <v>-79981688</v>
      </c>
      <c r="F233" s="183">
        <f t="shared" si="35"/>
        <v>-570055628</v>
      </c>
      <c r="G233" s="183">
        <f t="shared" si="35"/>
        <v>-1216614710</v>
      </c>
      <c r="H233" s="183">
        <f t="shared" si="35"/>
        <v>-1620055205</v>
      </c>
      <c r="I233" s="183">
        <f t="shared" si="35"/>
        <v>-956690038</v>
      </c>
      <c r="J233" s="183">
        <f t="shared" si="35"/>
        <v>-933950607</v>
      </c>
      <c r="K233" s="183">
        <f t="shared" si="35"/>
        <v>-676218518</v>
      </c>
      <c r="L233" s="183">
        <f t="shared" si="35"/>
        <v>-428240201</v>
      </c>
      <c r="M233" s="183">
        <f t="shared" si="35"/>
        <v>-1170367442</v>
      </c>
      <c r="N233" s="183">
        <f t="shared" si="35"/>
        <v>-1253164728</v>
      </c>
      <c r="O233" s="183">
        <f t="shared" si="35"/>
        <v>-1512604872</v>
      </c>
      <c r="P233" s="183">
        <f t="shared" si="35"/>
        <v>-1408925428</v>
      </c>
      <c r="Q233" s="183">
        <f t="shared" si="35"/>
        <v>-567299860</v>
      </c>
      <c r="R233" s="183">
        <f t="shared" si="35"/>
        <v>-881102876</v>
      </c>
      <c r="S233" s="183">
        <f t="shared" si="35"/>
        <v>194418036</v>
      </c>
      <c r="T233" s="183">
        <f t="shared" si="35"/>
        <v>-1024551814</v>
      </c>
      <c r="U233" s="183">
        <f t="shared" si="35"/>
        <v>513342441</v>
      </c>
      <c r="V233" s="183">
        <f t="shared" si="35"/>
        <v>346075161</v>
      </c>
      <c r="W233" s="183">
        <f t="shared" si="35"/>
        <v>-662953623</v>
      </c>
      <c r="X233" s="183">
        <f t="shared" si="35"/>
        <v>-216894789</v>
      </c>
      <c r="Y233" s="183">
        <f t="shared" si="35"/>
        <v>-959475147</v>
      </c>
      <c r="Z233" s="183">
        <v>-456516965</v>
      </c>
      <c r="AA233" s="183" t="e">
        <f>#REF!</f>
        <v>#REF!</v>
      </c>
      <c r="AB233" s="183">
        <f t="shared" ref="AB233:AL233" si="36">AA153</f>
        <v>-1022397231.4459512</v>
      </c>
      <c r="AC233" s="183">
        <f t="shared" si="36"/>
        <v>-1150214598.8715892</v>
      </c>
      <c r="AD233" s="183">
        <f t="shared" si="36"/>
        <v>-785725337.49595213</v>
      </c>
      <c r="AE233" s="183">
        <f t="shared" si="36"/>
        <v>-619738397.50321746</v>
      </c>
      <c r="AF233" s="183">
        <f t="shared" si="36"/>
        <v>-617655324.41208172</v>
      </c>
      <c r="AG233" s="183">
        <f t="shared" si="36"/>
        <v>-1192064408.202395</v>
      </c>
      <c r="AH233" s="183">
        <f t="shared" si="36"/>
        <v>-1029717251.2075225</v>
      </c>
      <c r="AI233" s="183">
        <f t="shared" si="36"/>
        <v>-1060057251.0075226</v>
      </c>
      <c r="AJ233" s="183">
        <f t="shared" si="36"/>
        <v>-997187324.91265023</v>
      </c>
      <c r="AK233" s="183">
        <f t="shared" si="36"/>
        <v>-1011084636.2459836</v>
      </c>
      <c r="AL233" s="183">
        <f t="shared" si="36"/>
        <v>-1033593617.8357282</v>
      </c>
    </row>
    <row r="234" spans="1:38" ht="15" customHeight="1">
      <c r="A234" s="184" t="s">
        <v>320</v>
      </c>
      <c r="B234" s="185">
        <v>36</v>
      </c>
      <c r="C234" s="187">
        <f t="shared" ref="C234:AL234" si="37">IFERROR(C233/C207,"")</f>
        <v>-0.12986386833273939</v>
      </c>
      <c r="D234" s="187">
        <f t="shared" si="37"/>
        <v>-0.26295195262267351</v>
      </c>
      <c r="E234" s="187">
        <f t="shared" si="37"/>
        <v>-8.0878079979937647E-3</v>
      </c>
      <c r="F234" s="187">
        <f t="shared" si="37"/>
        <v>-6.3420236909098718E-2</v>
      </c>
      <c r="G234" s="187">
        <f t="shared" si="37"/>
        <v>-0.14489723077359162</v>
      </c>
      <c r="H234" s="187">
        <f t="shared" si="37"/>
        <v>-0.11586738667068097</v>
      </c>
      <c r="I234" s="187">
        <f t="shared" si="37"/>
        <v>-0.1100213333138204</v>
      </c>
      <c r="J234" s="187">
        <f t="shared" si="37"/>
        <v>-0.10301661814349589</v>
      </c>
      <c r="K234" s="187">
        <f t="shared" si="37"/>
        <v>-6.704952575121606E-2</v>
      </c>
      <c r="L234" s="187">
        <f t="shared" si="37"/>
        <v>-3.3533495186882624E-2</v>
      </c>
      <c r="M234" s="187">
        <f t="shared" si="37"/>
        <v>-0.11316737722694925</v>
      </c>
      <c r="N234" s="187">
        <f t="shared" si="37"/>
        <v>-0.1384324424700194</v>
      </c>
      <c r="O234" s="187">
        <f t="shared" si="37"/>
        <v>-0.2789266529511415</v>
      </c>
      <c r="P234" s="187">
        <f t="shared" si="37"/>
        <v>-0.1599111441168031</v>
      </c>
      <c r="Q234" s="187">
        <f t="shared" si="37"/>
        <v>-3.4848020470934049E-2</v>
      </c>
      <c r="R234" s="187">
        <f t="shared" si="37"/>
        <v>-5.9644919249787244E-2</v>
      </c>
      <c r="S234" s="187">
        <f t="shared" si="37"/>
        <v>1.1057746321671849E-2</v>
      </c>
      <c r="T234" s="187">
        <f t="shared" si="37"/>
        <v>-5.255184679740444E-2</v>
      </c>
      <c r="U234" s="187">
        <f t="shared" si="37"/>
        <v>2.3554146989697464E-2</v>
      </c>
      <c r="V234" s="187">
        <f t="shared" si="37"/>
        <v>1.6521412688987856E-2</v>
      </c>
      <c r="W234" s="187">
        <f t="shared" si="37"/>
        <v>-3.9837353508012804E-2</v>
      </c>
      <c r="X234" s="187">
        <f t="shared" si="37"/>
        <v>-1.4927416174675863E-2</v>
      </c>
      <c r="Y234" s="187">
        <f t="shared" si="37"/>
        <v>-0.13011427775074857</v>
      </c>
      <c r="Z234" s="187">
        <v>-4.434499309814046E-2</v>
      </c>
      <c r="AA234" s="187" t="str">
        <f t="shared" si="37"/>
        <v/>
      </c>
      <c r="AB234" s="187">
        <f t="shared" si="37"/>
        <v>-8.9562645639531827E-2</v>
      </c>
      <c r="AC234" s="187">
        <f t="shared" si="37"/>
        <v>-0.12954796464581456</v>
      </c>
      <c r="AD234" s="187">
        <f t="shared" si="37"/>
        <v>-6.1947033918865337E-2</v>
      </c>
      <c r="AE234" s="187">
        <f t="shared" si="37"/>
        <v>-4.4418662602546406E-2</v>
      </c>
      <c r="AF234" s="187">
        <f t="shared" si="37"/>
        <v>-4.4324095177546055E-2</v>
      </c>
      <c r="AG234" s="187">
        <f t="shared" si="37"/>
        <v>-8.4988930608265956E-2</v>
      </c>
      <c r="AH234" s="187">
        <f t="shared" si="37"/>
        <v>-7.3414294904568453E-2</v>
      </c>
      <c r="AI234" s="187">
        <f t="shared" si="37"/>
        <v>-7.5577402971476873E-2</v>
      </c>
      <c r="AJ234" s="187">
        <f t="shared" si="37"/>
        <v>-7.1095054744772068E-2</v>
      </c>
      <c r="AK234" s="187">
        <f t="shared" si="37"/>
        <v>-7.2085871700989415E-2</v>
      </c>
      <c r="AL234" s="187">
        <f t="shared" si="37"/>
        <v>-7.3690662735123494E-2</v>
      </c>
    </row>
    <row r="235" spans="1:38" ht="15" customHeight="1">
      <c r="A235" s="193" t="s">
        <v>321</v>
      </c>
      <c r="B235" s="146">
        <v>37</v>
      </c>
      <c r="C235" s="183">
        <f t="shared" ref="C235:Y235" si="38">C144</f>
        <v>1789900000</v>
      </c>
      <c r="D235" s="183">
        <f t="shared" si="38"/>
        <v>95542200</v>
      </c>
      <c r="E235" s="183">
        <f t="shared" si="38"/>
        <v>198747500</v>
      </c>
      <c r="F235" s="183">
        <f t="shared" si="38"/>
        <v>149800000</v>
      </c>
      <c r="G235" s="183">
        <f t="shared" si="38"/>
        <v>136700000</v>
      </c>
      <c r="H235" s="183">
        <f t="shared" si="38"/>
        <v>187000000</v>
      </c>
      <c r="I235" s="183">
        <f t="shared" si="38"/>
        <v>154000000</v>
      </c>
      <c r="J235" s="183">
        <f t="shared" si="38"/>
        <v>132500000</v>
      </c>
      <c r="K235" s="183">
        <f t="shared" si="38"/>
        <v>185900000</v>
      </c>
      <c r="L235" s="183">
        <f t="shared" si="38"/>
        <v>180600000</v>
      </c>
      <c r="M235" s="183">
        <f t="shared" si="38"/>
        <v>156300000</v>
      </c>
      <c r="N235" s="183">
        <f t="shared" si="38"/>
        <v>141100000</v>
      </c>
      <c r="O235" s="183">
        <f t="shared" si="38"/>
        <v>91100000</v>
      </c>
      <c r="P235" s="183">
        <f t="shared" si="38"/>
        <v>139700000</v>
      </c>
      <c r="Q235" s="183">
        <f t="shared" si="38"/>
        <v>291900000</v>
      </c>
      <c r="R235" s="183">
        <f t="shared" si="38"/>
        <v>255100000</v>
      </c>
      <c r="S235" s="183">
        <f t="shared" si="38"/>
        <v>287700000</v>
      </c>
      <c r="T235" s="183">
        <f t="shared" si="38"/>
        <v>330500000</v>
      </c>
      <c r="U235" s="183">
        <f t="shared" si="38"/>
        <v>365500000</v>
      </c>
      <c r="V235" s="183">
        <f t="shared" si="38"/>
        <v>358900000</v>
      </c>
      <c r="W235" s="183">
        <f t="shared" si="38"/>
        <v>327900000</v>
      </c>
      <c r="X235" s="183">
        <f t="shared" si="38"/>
        <v>294000000</v>
      </c>
      <c r="Y235" s="183">
        <f t="shared" si="38"/>
        <v>171600000</v>
      </c>
      <c r="Z235" s="183">
        <v>214000000</v>
      </c>
      <c r="AA235" s="183" t="e">
        <f>#REF!</f>
        <v>#REF!</v>
      </c>
      <c r="AB235" s="183">
        <f t="shared" ref="AB235:AL235" si="39">AA144</f>
        <v>265168000</v>
      </c>
      <c r="AC235" s="183">
        <f t="shared" si="39"/>
        <v>206241777.77777776</v>
      </c>
      <c r="AD235" s="183">
        <f t="shared" si="39"/>
        <v>294631111.1111111</v>
      </c>
      <c r="AE235" s="183">
        <f t="shared" si="39"/>
        <v>324094222.22222221</v>
      </c>
      <c r="AF235" s="183">
        <f t="shared" si="39"/>
        <v>323665955.55555552</v>
      </c>
      <c r="AG235" s="183">
        <f t="shared" si="39"/>
        <v>291164622.22222221</v>
      </c>
      <c r="AH235" s="183">
        <f t="shared" si="39"/>
        <v>291164622.22222221</v>
      </c>
      <c r="AI235" s="183">
        <f t="shared" si="39"/>
        <v>291164622.22222221</v>
      </c>
      <c r="AJ235" s="183">
        <f t="shared" si="39"/>
        <v>291164622.22222221</v>
      </c>
      <c r="AK235" s="183">
        <f t="shared" si="39"/>
        <v>291164622.22222221</v>
      </c>
      <c r="AL235" s="183">
        <f t="shared" si="39"/>
        <v>291164622.22222221</v>
      </c>
    </row>
    <row r="236" spans="1:38" ht="15" customHeight="1">
      <c r="A236" s="190" t="s">
        <v>322</v>
      </c>
      <c r="B236" s="191">
        <v>38</v>
      </c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>
        <v>0</v>
      </c>
      <c r="AA236" s="189">
        <f>SUMIFS([1]!Data_PL_Element[Value],[1]!Data_PL_Element[Index PL Element],'Dai Loc'!$B236,[1]!Data_PL_Element[TenCongTyID],'Dai Loc'!$B$1,[1]!Data_PL_Element[Thang.Nam],'Dai Loc'!AA$198)</f>
        <v>0</v>
      </c>
      <c r="AB236" s="189">
        <f>SUMIFS([1]!Data_PL_Element[Value],[1]!Data_PL_Element[Index PL Element],'Dai Loc'!$B236,[1]!Data_PL_Element[TenCongTyID],'Dai Loc'!$B$1,[1]!Data_PL_Element[Thang.Nam],'Dai Loc'!AB$198)</f>
        <v>0</v>
      </c>
      <c r="AC236" s="189">
        <f>SUMIFS([1]!Data_PL_Element[Value],[1]!Data_PL_Element[Index PL Element],'Dai Loc'!$B236,[1]!Data_PL_Element[TenCongTyID],'Dai Loc'!$B$1,[1]!Data_PL_Element[Thang.Nam],'Dai Loc'!AC$198)</f>
        <v>0</v>
      </c>
      <c r="AD236" s="189">
        <f>SUMIFS([1]!Data_PL_Element[Value],[1]!Data_PL_Element[Index PL Element],'Dai Loc'!$B236,[1]!Data_PL_Element[TenCongTyID],'Dai Loc'!$B$1,[1]!Data_PL_Element[Thang.Nam],'Dai Loc'!AD$198)</f>
        <v>0</v>
      </c>
      <c r="AE236" s="189">
        <f>SUMIFS([1]!Data_PL_Element[Value],[1]!Data_PL_Element[Index PL Element],'Dai Loc'!$B236,[1]!Data_PL_Element[TenCongTyID],'Dai Loc'!$B$1,[1]!Data_PL_Element[Thang.Nam],'Dai Loc'!AE$198)</f>
        <v>0</v>
      </c>
      <c r="AF236" s="189">
        <f>SUMIFS([1]!Data_PL_Element[Value],[1]!Data_PL_Element[Index PL Element],'Dai Loc'!$B236,[1]!Data_PL_Element[TenCongTyID],'Dai Loc'!$B$1,[1]!Data_PL_Element[Thang.Nam],'Dai Loc'!AF$198)</f>
        <v>0</v>
      </c>
      <c r="AG236" s="189">
        <f>SUMIFS([1]!Data_PL_Element[Value],[1]!Data_PL_Element[Index PL Element],'Dai Loc'!$B236,[1]!Data_PL_Element[TenCongTyID],'Dai Loc'!$B$1,[1]!Data_PL_Element[Thang.Nam],'Dai Loc'!AG$198)</f>
        <v>0</v>
      </c>
      <c r="AH236" s="189">
        <f>SUMIFS([1]!Data_PL_Element[Value],[1]!Data_PL_Element[Index PL Element],'Dai Loc'!$B236,[1]!Data_PL_Element[TenCongTyID],'Dai Loc'!$B$1,[1]!Data_PL_Element[Thang.Nam],'Dai Loc'!AH$198)</f>
        <v>0</v>
      </c>
      <c r="AI236" s="189">
        <f>SUMIFS([1]!Data_PL_Element[Value],[1]!Data_PL_Element[Index PL Element],'Dai Loc'!$B236,[1]!Data_PL_Element[TenCongTyID],'Dai Loc'!$B$1,[1]!Data_PL_Element[Thang.Nam],'Dai Loc'!AI$198)</f>
        <v>0</v>
      </c>
      <c r="AJ236" s="189">
        <f>SUMIFS([1]!Data_PL_Element[Value],[1]!Data_PL_Element[Index PL Element],'Dai Loc'!$B236,[1]!Data_PL_Element[TenCongTyID],'Dai Loc'!$B$1,[1]!Data_PL_Element[Thang.Nam],'Dai Loc'!AJ$198)</f>
        <v>0</v>
      </c>
      <c r="AK236" s="189">
        <f>SUMIFS([1]!Data_PL_Element[Value],[1]!Data_PL_Element[Index PL Element],'Dai Loc'!$B236,[1]!Data_PL_Element[TenCongTyID],'Dai Loc'!$B$1,[1]!Data_PL_Element[Thang.Nam],'Dai Loc'!AK$198)</f>
        <v>0</v>
      </c>
      <c r="AL236" s="189">
        <f>SUMIFS([1]!Data_PL_Element[Value],[1]!Data_PL_Element[Index PL Element],'Dai Loc'!$B236,[1]!Data_PL_Element[TenCongTyID],'Dai Loc'!$B$1,[1]!Data_PL_Element[Thang.Nam],'Dai Loc'!AL$198)</f>
        <v>0</v>
      </c>
    </row>
    <row r="237" spans="1:38" ht="15" customHeight="1">
      <c r="A237" s="190" t="s">
        <v>323</v>
      </c>
      <c r="B237" s="191">
        <v>39</v>
      </c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>
        <v>0</v>
      </c>
      <c r="AA237" s="189">
        <f>SUMIFS([1]!Data_PL_Element[Value],[1]!Data_PL_Element[Index PL Element],'Dai Loc'!$B237,[1]!Data_PL_Element[TenCongTyID],'Dai Loc'!$B$1,[1]!Data_PL_Element[Thang.Nam],'Dai Loc'!AA$198)</f>
        <v>0</v>
      </c>
      <c r="AB237" s="189">
        <f>SUMIFS([1]!Data_PL_Element[Value],[1]!Data_PL_Element[Index PL Element],'Dai Loc'!$B237,[1]!Data_PL_Element[TenCongTyID],'Dai Loc'!$B$1,[1]!Data_PL_Element[Thang.Nam],'Dai Loc'!AB$198)</f>
        <v>0</v>
      </c>
      <c r="AC237" s="189">
        <f>SUMIFS([1]!Data_PL_Element[Value],[1]!Data_PL_Element[Index PL Element],'Dai Loc'!$B237,[1]!Data_PL_Element[TenCongTyID],'Dai Loc'!$B$1,[1]!Data_PL_Element[Thang.Nam],'Dai Loc'!AC$198)</f>
        <v>0</v>
      </c>
      <c r="AD237" s="189">
        <f>SUMIFS([1]!Data_PL_Element[Value],[1]!Data_PL_Element[Index PL Element],'Dai Loc'!$B237,[1]!Data_PL_Element[TenCongTyID],'Dai Loc'!$B$1,[1]!Data_PL_Element[Thang.Nam],'Dai Loc'!AD$198)</f>
        <v>0</v>
      </c>
      <c r="AE237" s="189">
        <f>SUMIFS([1]!Data_PL_Element[Value],[1]!Data_PL_Element[Index PL Element],'Dai Loc'!$B237,[1]!Data_PL_Element[TenCongTyID],'Dai Loc'!$B$1,[1]!Data_PL_Element[Thang.Nam],'Dai Loc'!AE$198)</f>
        <v>0</v>
      </c>
      <c r="AF237" s="189">
        <f>SUMIFS([1]!Data_PL_Element[Value],[1]!Data_PL_Element[Index PL Element],'Dai Loc'!$B237,[1]!Data_PL_Element[TenCongTyID],'Dai Loc'!$B$1,[1]!Data_PL_Element[Thang.Nam],'Dai Loc'!AF$198)</f>
        <v>0</v>
      </c>
      <c r="AG237" s="189">
        <f>SUMIFS([1]!Data_PL_Element[Value],[1]!Data_PL_Element[Index PL Element],'Dai Loc'!$B237,[1]!Data_PL_Element[TenCongTyID],'Dai Loc'!$B$1,[1]!Data_PL_Element[Thang.Nam],'Dai Loc'!AG$198)</f>
        <v>0</v>
      </c>
      <c r="AH237" s="189">
        <f>SUMIFS([1]!Data_PL_Element[Value],[1]!Data_PL_Element[Index PL Element],'Dai Loc'!$B237,[1]!Data_PL_Element[TenCongTyID],'Dai Loc'!$B$1,[1]!Data_PL_Element[Thang.Nam],'Dai Loc'!AH$198)</f>
        <v>0</v>
      </c>
      <c r="AI237" s="189">
        <f>SUMIFS([1]!Data_PL_Element[Value],[1]!Data_PL_Element[Index PL Element],'Dai Loc'!$B237,[1]!Data_PL_Element[TenCongTyID],'Dai Loc'!$B$1,[1]!Data_PL_Element[Thang.Nam],'Dai Loc'!AI$198)</f>
        <v>0</v>
      </c>
      <c r="AJ237" s="189">
        <f>SUMIFS([1]!Data_PL_Element[Value],[1]!Data_PL_Element[Index PL Element],'Dai Loc'!$B237,[1]!Data_PL_Element[TenCongTyID],'Dai Loc'!$B$1,[1]!Data_PL_Element[Thang.Nam],'Dai Loc'!AJ$198)</f>
        <v>0</v>
      </c>
      <c r="AK237" s="189">
        <f>SUMIFS([1]!Data_PL_Element[Value],[1]!Data_PL_Element[Index PL Element],'Dai Loc'!$B237,[1]!Data_PL_Element[TenCongTyID],'Dai Loc'!$B$1,[1]!Data_PL_Element[Thang.Nam],'Dai Loc'!AK$198)</f>
        <v>0</v>
      </c>
      <c r="AL237" s="189">
        <f>SUMIFS([1]!Data_PL_Element[Value],[1]!Data_PL_Element[Index PL Element],'Dai Loc'!$B237,[1]!Data_PL_Element[TenCongTyID],'Dai Loc'!$B$1,[1]!Data_PL_Element[Thang.Nam],'Dai Loc'!AL$198)</f>
        <v>0</v>
      </c>
    </row>
    <row r="238" spans="1:38" ht="15" customHeight="1">
      <c r="A238" s="190" t="s">
        <v>324</v>
      </c>
      <c r="B238" s="191">
        <v>40</v>
      </c>
      <c r="C238" s="189">
        <v>30000000</v>
      </c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>
        <v>0</v>
      </c>
      <c r="AA238" s="189">
        <f>SUMIFS([1]!Data_PL_Element[Value],[1]!Data_PL_Element[Index PL Element],'Dai Loc'!$B238,[1]!Data_PL_Element[TenCongTyID],'Dai Loc'!$B$1,[1]!Data_PL_Element[Thang.Nam],'Dai Loc'!AA$198)</f>
        <v>0</v>
      </c>
      <c r="AB238" s="189">
        <f>SUMIFS([1]!Data_PL_Element[Value],[1]!Data_PL_Element[Index PL Element],'Dai Loc'!$B238,[1]!Data_PL_Element[TenCongTyID],'Dai Loc'!$B$1,[1]!Data_PL_Element[Thang.Nam],'Dai Loc'!AB$198)</f>
        <v>0</v>
      </c>
      <c r="AC238" s="189">
        <f>SUMIFS([1]!Data_PL_Element[Value],[1]!Data_PL_Element[Index PL Element],'Dai Loc'!$B238,[1]!Data_PL_Element[TenCongTyID],'Dai Loc'!$B$1,[1]!Data_PL_Element[Thang.Nam],'Dai Loc'!AC$198)</f>
        <v>0</v>
      </c>
      <c r="AD238" s="189">
        <f>SUMIFS([1]!Data_PL_Element[Value],[1]!Data_PL_Element[Index PL Element],'Dai Loc'!$B238,[1]!Data_PL_Element[TenCongTyID],'Dai Loc'!$B$1,[1]!Data_PL_Element[Thang.Nam],'Dai Loc'!AD$198)</f>
        <v>0</v>
      </c>
      <c r="AE238" s="189">
        <f>SUMIFS([1]!Data_PL_Element[Value],[1]!Data_PL_Element[Index PL Element],'Dai Loc'!$B238,[1]!Data_PL_Element[TenCongTyID],'Dai Loc'!$B$1,[1]!Data_PL_Element[Thang.Nam],'Dai Loc'!AE$198)</f>
        <v>0</v>
      </c>
      <c r="AF238" s="189">
        <f>SUMIFS([1]!Data_PL_Element[Value],[1]!Data_PL_Element[Index PL Element],'Dai Loc'!$B238,[1]!Data_PL_Element[TenCongTyID],'Dai Loc'!$B$1,[1]!Data_PL_Element[Thang.Nam],'Dai Loc'!AF$198)</f>
        <v>0</v>
      </c>
      <c r="AG238" s="189">
        <f>SUMIFS([1]!Data_PL_Element[Value],[1]!Data_PL_Element[Index PL Element],'Dai Loc'!$B238,[1]!Data_PL_Element[TenCongTyID],'Dai Loc'!$B$1,[1]!Data_PL_Element[Thang.Nam],'Dai Loc'!AG$198)</f>
        <v>0</v>
      </c>
      <c r="AH238" s="189">
        <f>SUMIFS([1]!Data_PL_Element[Value],[1]!Data_PL_Element[Index PL Element],'Dai Loc'!$B238,[1]!Data_PL_Element[TenCongTyID],'Dai Loc'!$B$1,[1]!Data_PL_Element[Thang.Nam],'Dai Loc'!AH$198)</f>
        <v>0</v>
      </c>
      <c r="AI238" s="189">
        <f>SUMIFS([1]!Data_PL_Element[Value],[1]!Data_PL_Element[Index PL Element],'Dai Loc'!$B238,[1]!Data_PL_Element[TenCongTyID],'Dai Loc'!$B$1,[1]!Data_PL_Element[Thang.Nam],'Dai Loc'!AI$198)</f>
        <v>0</v>
      </c>
      <c r="AJ238" s="189">
        <f>SUMIFS([1]!Data_PL_Element[Value],[1]!Data_PL_Element[Index PL Element],'Dai Loc'!$B238,[1]!Data_PL_Element[TenCongTyID],'Dai Loc'!$B$1,[1]!Data_PL_Element[Thang.Nam],'Dai Loc'!AJ$198)</f>
        <v>0</v>
      </c>
      <c r="AK238" s="189">
        <f>SUMIFS([1]!Data_PL_Element[Value],[1]!Data_PL_Element[Index PL Element],'Dai Loc'!$B238,[1]!Data_PL_Element[TenCongTyID],'Dai Loc'!$B$1,[1]!Data_PL_Element[Thang.Nam],'Dai Loc'!AK$198)</f>
        <v>0</v>
      </c>
      <c r="AL238" s="189">
        <f>SUMIFS([1]!Data_PL_Element[Value],[1]!Data_PL_Element[Index PL Element],'Dai Loc'!$B238,[1]!Data_PL_Element[TenCongTyID],'Dai Loc'!$B$1,[1]!Data_PL_Element[Thang.Nam],'Dai Loc'!AL$198)</f>
        <v>0</v>
      </c>
    </row>
    <row r="239" spans="1:38" ht="15" customHeight="1">
      <c r="A239" s="190" t="s">
        <v>325</v>
      </c>
      <c r="B239" s="191">
        <v>41</v>
      </c>
      <c r="C239" s="189">
        <v>159900000</v>
      </c>
      <c r="D239" s="189">
        <v>95542200</v>
      </c>
      <c r="E239" s="189">
        <v>198747500</v>
      </c>
      <c r="F239" s="189">
        <v>149800000</v>
      </c>
      <c r="G239" s="189">
        <v>136700000</v>
      </c>
      <c r="H239" s="189">
        <v>187000000</v>
      </c>
      <c r="I239" s="189">
        <v>154000000</v>
      </c>
      <c r="J239" s="189">
        <v>132500000</v>
      </c>
      <c r="K239" s="189">
        <v>185900000</v>
      </c>
      <c r="L239" s="189">
        <v>180600000</v>
      </c>
      <c r="M239" s="189">
        <v>156300000</v>
      </c>
      <c r="N239" s="189">
        <v>141100000</v>
      </c>
      <c r="O239" s="189">
        <v>91100000</v>
      </c>
      <c r="P239" s="189">
        <v>139700000</v>
      </c>
      <c r="Q239" s="189">
        <v>291900000</v>
      </c>
      <c r="R239" s="189">
        <v>255100000</v>
      </c>
      <c r="S239" s="189">
        <v>287700000</v>
      </c>
      <c r="T239" s="189">
        <v>330500000</v>
      </c>
      <c r="U239" s="189">
        <v>365500000</v>
      </c>
      <c r="V239" s="189">
        <v>358900000</v>
      </c>
      <c r="W239" s="189">
        <v>327900000</v>
      </c>
      <c r="X239" s="189">
        <v>294000000</v>
      </c>
      <c r="Y239" s="189">
        <v>171600000</v>
      </c>
      <c r="Z239" s="189">
        <v>214000000</v>
      </c>
      <c r="AA239" s="189">
        <f>SUMIFS([1]!Data_PL_Element[Value],[1]!Data_PL_Element[Index PL Element],'Dai Loc'!$B239,[1]!Data_PL_Element[TenCongTyID],'Dai Loc'!$B$1,[1]!Data_PL_Element[Thang.Nam],'Dai Loc'!AA$198)</f>
        <v>0</v>
      </c>
      <c r="AB239" s="189">
        <f>SUMIFS([1]!Data_PL_Element[Value],[1]!Data_PL_Element[Index PL Element],'Dai Loc'!$B239,[1]!Data_PL_Element[TenCongTyID],'Dai Loc'!$B$1,[1]!Data_PL_Element[Thang.Nam],'Dai Loc'!AB$198)</f>
        <v>0</v>
      </c>
      <c r="AC239" s="189">
        <f>SUMIFS([1]!Data_PL_Element[Value],[1]!Data_PL_Element[Index PL Element],'Dai Loc'!$B239,[1]!Data_PL_Element[TenCongTyID],'Dai Loc'!$B$1,[1]!Data_PL_Element[Thang.Nam],'Dai Loc'!AC$198)</f>
        <v>0</v>
      </c>
      <c r="AD239" s="189">
        <f>SUMIFS([1]!Data_PL_Element[Value],[1]!Data_PL_Element[Index PL Element],'Dai Loc'!$B239,[1]!Data_PL_Element[TenCongTyID],'Dai Loc'!$B$1,[1]!Data_PL_Element[Thang.Nam],'Dai Loc'!AD$198)</f>
        <v>0</v>
      </c>
      <c r="AE239" s="189">
        <f>SUMIFS([1]!Data_PL_Element[Value],[1]!Data_PL_Element[Index PL Element],'Dai Loc'!$B239,[1]!Data_PL_Element[TenCongTyID],'Dai Loc'!$B$1,[1]!Data_PL_Element[Thang.Nam],'Dai Loc'!AE$198)</f>
        <v>0</v>
      </c>
      <c r="AF239" s="189">
        <f>SUMIFS([1]!Data_PL_Element[Value],[1]!Data_PL_Element[Index PL Element],'Dai Loc'!$B239,[1]!Data_PL_Element[TenCongTyID],'Dai Loc'!$B$1,[1]!Data_PL_Element[Thang.Nam],'Dai Loc'!AF$198)</f>
        <v>0</v>
      </c>
      <c r="AG239" s="189">
        <f>SUMIFS([1]!Data_PL_Element[Value],[1]!Data_PL_Element[Index PL Element],'Dai Loc'!$B239,[1]!Data_PL_Element[TenCongTyID],'Dai Loc'!$B$1,[1]!Data_PL_Element[Thang.Nam],'Dai Loc'!AG$198)</f>
        <v>0</v>
      </c>
      <c r="AH239" s="189">
        <f>SUMIFS([1]!Data_PL_Element[Value],[1]!Data_PL_Element[Index PL Element],'Dai Loc'!$B239,[1]!Data_PL_Element[TenCongTyID],'Dai Loc'!$B$1,[1]!Data_PL_Element[Thang.Nam],'Dai Loc'!AH$198)</f>
        <v>0</v>
      </c>
      <c r="AI239" s="189">
        <f>SUMIFS([1]!Data_PL_Element[Value],[1]!Data_PL_Element[Index PL Element],'Dai Loc'!$B239,[1]!Data_PL_Element[TenCongTyID],'Dai Loc'!$B$1,[1]!Data_PL_Element[Thang.Nam],'Dai Loc'!AI$198)</f>
        <v>0</v>
      </c>
      <c r="AJ239" s="189">
        <f>SUMIFS([1]!Data_PL_Element[Value],[1]!Data_PL_Element[Index PL Element],'Dai Loc'!$B239,[1]!Data_PL_Element[TenCongTyID],'Dai Loc'!$B$1,[1]!Data_PL_Element[Thang.Nam],'Dai Loc'!AJ$198)</f>
        <v>0</v>
      </c>
      <c r="AK239" s="189">
        <f>SUMIFS([1]!Data_PL_Element[Value],[1]!Data_PL_Element[Index PL Element],'Dai Loc'!$B239,[1]!Data_PL_Element[TenCongTyID],'Dai Loc'!$B$1,[1]!Data_PL_Element[Thang.Nam],'Dai Loc'!AK$198)</f>
        <v>0</v>
      </c>
      <c r="AL239" s="189">
        <f>SUMIFS([1]!Data_PL_Element[Value],[1]!Data_PL_Element[Index PL Element],'Dai Loc'!$B239,[1]!Data_PL_Element[TenCongTyID],'Dai Loc'!$B$1,[1]!Data_PL_Element[Thang.Nam],'Dai Loc'!AL$198)</f>
        <v>0</v>
      </c>
    </row>
    <row r="240" spans="1:38" ht="15" customHeight="1">
      <c r="A240" s="190" t="s">
        <v>326</v>
      </c>
      <c r="B240" s="191">
        <v>42</v>
      </c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>
        <v>0</v>
      </c>
      <c r="AA240" s="189">
        <f>SUMIFS([1]!Data_PL_Element[Value],[1]!Data_PL_Element[Index PL Element],'Dai Loc'!$B240,[1]!Data_PL_Element[TenCongTyID],'Dai Loc'!$B$1,[1]!Data_PL_Element[Thang.Nam],'Dai Loc'!AA$198)</f>
        <v>0</v>
      </c>
      <c r="AB240" s="189">
        <f>SUMIFS([1]!Data_PL_Element[Value],[1]!Data_PL_Element[Index PL Element],'Dai Loc'!$B240,[1]!Data_PL_Element[TenCongTyID],'Dai Loc'!$B$1,[1]!Data_PL_Element[Thang.Nam],'Dai Loc'!AB$198)</f>
        <v>0</v>
      </c>
      <c r="AC240" s="189">
        <f>SUMIFS([1]!Data_PL_Element[Value],[1]!Data_PL_Element[Index PL Element],'Dai Loc'!$B240,[1]!Data_PL_Element[TenCongTyID],'Dai Loc'!$B$1,[1]!Data_PL_Element[Thang.Nam],'Dai Loc'!AC$198)</f>
        <v>0</v>
      </c>
      <c r="AD240" s="189">
        <f>SUMIFS([1]!Data_PL_Element[Value],[1]!Data_PL_Element[Index PL Element],'Dai Loc'!$B240,[1]!Data_PL_Element[TenCongTyID],'Dai Loc'!$B$1,[1]!Data_PL_Element[Thang.Nam],'Dai Loc'!AD$198)</f>
        <v>0</v>
      </c>
      <c r="AE240" s="189">
        <f>SUMIFS([1]!Data_PL_Element[Value],[1]!Data_PL_Element[Index PL Element],'Dai Loc'!$B240,[1]!Data_PL_Element[TenCongTyID],'Dai Loc'!$B$1,[1]!Data_PL_Element[Thang.Nam],'Dai Loc'!AE$198)</f>
        <v>0</v>
      </c>
      <c r="AF240" s="189">
        <f>SUMIFS([1]!Data_PL_Element[Value],[1]!Data_PL_Element[Index PL Element],'Dai Loc'!$B240,[1]!Data_PL_Element[TenCongTyID],'Dai Loc'!$B$1,[1]!Data_PL_Element[Thang.Nam],'Dai Loc'!AF$198)</f>
        <v>0</v>
      </c>
      <c r="AG240" s="189">
        <f>SUMIFS([1]!Data_PL_Element[Value],[1]!Data_PL_Element[Index PL Element],'Dai Loc'!$B240,[1]!Data_PL_Element[TenCongTyID],'Dai Loc'!$B$1,[1]!Data_PL_Element[Thang.Nam],'Dai Loc'!AG$198)</f>
        <v>0</v>
      </c>
      <c r="AH240" s="189">
        <f>SUMIFS([1]!Data_PL_Element[Value],[1]!Data_PL_Element[Index PL Element],'Dai Loc'!$B240,[1]!Data_PL_Element[TenCongTyID],'Dai Loc'!$B$1,[1]!Data_PL_Element[Thang.Nam],'Dai Loc'!AH$198)</f>
        <v>0</v>
      </c>
      <c r="AI240" s="189">
        <f>SUMIFS([1]!Data_PL_Element[Value],[1]!Data_PL_Element[Index PL Element],'Dai Loc'!$B240,[1]!Data_PL_Element[TenCongTyID],'Dai Loc'!$B$1,[1]!Data_PL_Element[Thang.Nam],'Dai Loc'!AI$198)</f>
        <v>0</v>
      </c>
      <c r="AJ240" s="189">
        <f>SUMIFS([1]!Data_PL_Element[Value],[1]!Data_PL_Element[Index PL Element],'Dai Loc'!$B240,[1]!Data_PL_Element[TenCongTyID],'Dai Loc'!$B$1,[1]!Data_PL_Element[Thang.Nam],'Dai Loc'!AJ$198)</f>
        <v>0</v>
      </c>
      <c r="AK240" s="189">
        <f>SUMIFS([1]!Data_PL_Element[Value],[1]!Data_PL_Element[Index PL Element],'Dai Loc'!$B240,[1]!Data_PL_Element[TenCongTyID],'Dai Loc'!$B$1,[1]!Data_PL_Element[Thang.Nam],'Dai Loc'!AK$198)</f>
        <v>0</v>
      </c>
      <c r="AL240" s="189">
        <f>SUMIFS([1]!Data_PL_Element[Value],[1]!Data_PL_Element[Index PL Element],'Dai Loc'!$B240,[1]!Data_PL_Element[TenCongTyID],'Dai Loc'!$B$1,[1]!Data_PL_Element[Thang.Nam],'Dai Loc'!AL$198)</f>
        <v>0</v>
      </c>
    </row>
    <row r="241" spans="1:38" ht="15" customHeight="1">
      <c r="A241" s="190" t="s">
        <v>327</v>
      </c>
      <c r="B241" s="191">
        <v>43</v>
      </c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>
        <v>0</v>
      </c>
      <c r="AA241" s="189">
        <f>SUMIFS([1]!Data_PL_Element[Value],[1]!Data_PL_Element[Index PL Element],'Dai Loc'!$B241,[1]!Data_PL_Element[TenCongTyID],'Dai Loc'!$B$1,[1]!Data_PL_Element[Thang.Nam],'Dai Loc'!AA$198)</f>
        <v>0</v>
      </c>
      <c r="AB241" s="189">
        <f>SUMIFS([1]!Data_PL_Element[Value],[1]!Data_PL_Element[Index PL Element],'Dai Loc'!$B241,[1]!Data_PL_Element[TenCongTyID],'Dai Loc'!$B$1,[1]!Data_PL_Element[Thang.Nam],'Dai Loc'!AB$198)</f>
        <v>0</v>
      </c>
      <c r="AC241" s="189">
        <f>SUMIFS([1]!Data_PL_Element[Value],[1]!Data_PL_Element[Index PL Element],'Dai Loc'!$B241,[1]!Data_PL_Element[TenCongTyID],'Dai Loc'!$B$1,[1]!Data_PL_Element[Thang.Nam],'Dai Loc'!AC$198)</f>
        <v>0</v>
      </c>
      <c r="AD241" s="189">
        <f>SUMIFS([1]!Data_PL_Element[Value],[1]!Data_PL_Element[Index PL Element],'Dai Loc'!$B241,[1]!Data_PL_Element[TenCongTyID],'Dai Loc'!$B$1,[1]!Data_PL_Element[Thang.Nam],'Dai Loc'!AD$198)</f>
        <v>0</v>
      </c>
      <c r="AE241" s="189">
        <f>SUMIFS([1]!Data_PL_Element[Value],[1]!Data_PL_Element[Index PL Element],'Dai Loc'!$B241,[1]!Data_PL_Element[TenCongTyID],'Dai Loc'!$B$1,[1]!Data_PL_Element[Thang.Nam],'Dai Loc'!AE$198)</f>
        <v>0</v>
      </c>
      <c r="AF241" s="189">
        <f>SUMIFS([1]!Data_PL_Element[Value],[1]!Data_PL_Element[Index PL Element],'Dai Loc'!$B241,[1]!Data_PL_Element[TenCongTyID],'Dai Loc'!$B$1,[1]!Data_PL_Element[Thang.Nam],'Dai Loc'!AF$198)</f>
        <v>0</v>
      </c>
      <c r="AG241" s="189">
        <f>SUMIFS([1]!Data_PL_Element[Value],[1]!Data_PL_Element[Index PL Element],'Dai Loc'!$B241,[1]!Data_PL_Element[TenCongTyID],'Dai Loc'!$B$1,[1]!Data_PL_Element[Thang.Nam],'Dai Loc'!AG$198)</f>
        <v>0</v>
      </c>
      <c r="AH241" s="189">
        <f>SUMIFS([1]!Data_PL_Element[Value],[1]!Data_PL_Element[Index PL Element],'Dai Loc'!$B241,[1]!Data_PL_Element[TenCongTyID],'Dai Loc'!$B$1,[1]!Data_PL_Element[Thang.Nam],'Dai Loc'!AH$198)</f>
        <v>0</v>
      </c>
      <c r="AI241" s="189">
        <f>SUMIFS([1]!Data_PL_Element[Value],[1]!Data_PL_Element[Index PL Element],'Dai Loc'!$B241,[1]!Data_PL_Element[TenCongTyID],'Dai Loc'!$B$1,[1]!Data_PL_Element[Thang.Nam],'Dai Loc'!AI$198)</f>
        <v>0</v>
      </c>
      <c r="AJ241" s="189">
        <f>SUMIFS([1]!Data_PL_Element[Value],[1]!Data_PL_Element[Index PL Element],'Dai Loc'!$B241,[1]!Data_PL_Element[TenCongTyID],'Dai Loc'!$B$1,[1]!Data_PL_Element[Thang.Nam],'Dai Loc'!AJ$198)</f>
        <v>0</v>
      </c>
      <c r="AK241" s="189">
        <f>SUMIFS([1]!Data_PL_Element[Value],[1]!Data_PL_Element[Index PL Element],'Dai Loc'!$B241,[1]!Data_PL_Element[TenCongTyID],'Dai Loc'!$B$1,[1]!Data_PL_Element[Thang.Nam],'Dai Loc'!AK$198)</f>
        <v>0</v>
      </c>
      <c r="AL241" s="189">
        <f>SUMIFS([1]!Data_PL_Element[Value],[1]!Data_PL_Element[Index PL Element],'Dai Loc'!$B241,[1]!Data_PL_Element[TenCongTyID],'Dai Loc'!$B$1,[1]!Data_PL_Element[Thang.Nam],'Dai Loc'!AL$198)</f>
        <v>0</v>
      </c>
    </row>
    <row r="242" spans="1:38" ht="15" customHeight="1">
      <c r="A242" s="190" t="s">
        <v>328</v>
      </c>
      <c r="B242" s="191">
        <v>44</v>
      </c>
      <c r="C242" s="189">
        <v>1600000000</v>
      </c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>
        <v>0</v>
      </c>
      <c r="AA242" s="189">
        <f>SUMIFS([1]!Data_PL_Element[Value],[1]!Data_PL_Element[Index PL Element],'Dai Loc'!$B242,[1]!Data_PL_Element[TenCongTyID],'Dai Loc'!$B$1,[1]!Data_PL_Element[Thang.Nam],'Dai Loc'!AA$198)</f>
        <v>0</v>
      </c>
      <c r="AB242" s="189">
        <f>SUMIFS([1]!Data_PL_Element[Value],[1]!Data_PL_Element[Index PL Element],'Dai Loc'!$B242,[1]!Data_PL_Element[TenCongTyID],'Dai Loc'!$B$1,[1]!Data_PL_Element[Thang.Nam],'Dai Loc'!AB$198)</f>
        <v>0</v>
      </c>
      <c r="AC242" s="189">
        <f>SUMIFS([1]!Data_PL_Element[Value],[1]!Data_PL_Element[Index PL Element],'Dai Loc'!$B242,[1]!Data_PL_Element[TenCongTyID],'Dai Loc'!$B$1,[1]!Data_PL_Element[Thang.Nam],'Dai Loc'!AC$198)</f>
        <v>0</v>
      </c>
      <c r="AD242" s="189">
        <f>SUMIFS([1]!Data_PL_Element[Value],[1]!Data_PL_Element[Index PL Element],'Dai Loc'!$B242,[1]!Data_PL_Element[TenCongTyID],'Dai Loc'!$B$1,[1]!Data_PL_Element[Thang.Nam],'Dai Loc'!AD$198)</f>
        <v>0</v>
      </c>
      <c r="AE242" s="189">
        <f>SUMIFS([1]!Data_PL_Element[Value],[1]!Data_PL_Element[Index PL Element],'Dai Loc'!$B242,[1]!Data_PL_Element[TenCongTyID],'Dai Loc'!$B$1,[1]!Data_PL_Element[Thang.Nam],'Dai Loc'!AE$198)</f>
        <v>0</v>
      </c>
      <c r="AF242" s="189">
        <f>SUMIFS([1]!Data_PL_Element[Value],[1]!Data_PL_Element[Index PL Element],'Dai Loc'!$B242,[1]!Data_PL_Element[TenCongTyID],'Dai Loc'!$B$1,[1]!Data_PL_Element[Thang.Nam],'Dai Loc'!AF$198)</f>
        <v>0</v>
      </c>
      <c r="AG242" s="189">
        <f>SUMIFS([1]!Data_PL_Element[Value],[1]!Data_PL_Element[Index PL Element],'Dai Loc'!$B242,[1]!Data_PL_Element[TenCongTyID],'Dai Loc'!$B$1,[1]!Data_PL_Element[Thang.Nam],'Dai Loc'!AG$198)</f>
        <v>0</v>
      </c>
      <c r="AH242" s="189">
        <f>SUMIFS([1]!Data_PL_Element[Value],[1]!Data_PL_Element[Index PL Element],'Dai Loc'!$B242,[1]!Data_PL_Element[TenCongTyID],'Dai Loc'!$B$1,[1]!Data_PL_Element[Thang.Nam],'Dai Loc'!AH$198)</f>
        <v>0</v>
      </c>
      <c r="AI242" s="189">
        <f>SUMIFS([1]!Data_PL_Element[Value],[1]!Data_PL_Element[Index PL Element],'Dai Loc'!$B242,[1]!Data_PL_Element[TenCongTyID],'Dai Loc'!$B$1,[1]!Data_PL_Element[Thang.Nam],'Dai Loc'!AI$198)</f>
        <v>0</v>
      </c>
      <c r="AJ242" s="189">
        <f>SUMIFS([1]!Data_PL_Element[Value],[1]!Data_PL_Element[Index PL Element],'Dai Loc'!$B242,[1]!Data_PL_Element[TenCongTyID],'Dai Loc'!$B$1,[1]!Data_PL_Element[Thang.Nam],'Dai Loc'!AJ$198)</f>
        <v>0</v>
      </c>
      <c r="AK242" s="189">
        <f>SUMIFS([1]!Data_PL_Element[Value],[1]!Data_PL_Element[Index PL Element],'Dai Loc'!$B242,[1]!Data_PL_Element[TenCongTyID],'Dai Loc'!$B$1,[1]!Data_PL_Element[Thang.Nam],'Dai Loc'!AK$198)</f>
        <v>0</v>
      </c>
      <c r="AL242" s="189">
        <f>SUMIFS([1]!Data_PL_Element[Value],[1]!Data_PL_Element[Index PL Element],'Dai Loc'!$B242,[1]!Data_PL_Element[TenCongTyID],'Dai Loc'!$B$1,[1]!Data_PL_Element[Thang.Nam],'Dai Loc'!AL$198)</f>
        <v>0</v>
      </c>
    </row>
    <row r="243" spans="1:38" ht="15" customHeight="1">
      <c r="A243" s="194" t="s">
        <v>329</v>
      </c>
      <c r="B243" s="171">
        <v>45</v>
      </c>
      <c r="C243" s="187">
        <f>IFERROR(C235/C207,"")</f>
        <v>9.4909056672049893E-2</v>
      </c>
      <c r="D243" s="187">
        <f t="shared" ref="D243:AL243" si="40">IFERROR(D235/D207,"")</f>
        <v>2.0910297205738639E-2</v>
      </c>
      <c r="E243" s="187">
        <f t="shared" si="40"/>
        <v>2.009749556775128E-2</v>
      </c>
      <c r="F243" s="187">
        <f t="shared" si="40"/>
        <v>1.6665656862847406E-2</v>
      </c>
      <c r="G243" s="187">
        <f t="shared" si="40"/>
        <v>1.628079233626065E-2</v>
      </c>
      <c r="H243" s="187">
        <f t="shared" si="40"/>
        <v>1.337435986165505E-2</v>
      </c>
      <c r="I243" s="187">
        <f t="shared" si="40"/>
        <v>1.77103185539059E-2</v>
      </c>
      <c r="J243" s="187">
        <f t="shared" si="40"/>
        <v>1.4615014757427321E-2</v>
      </c>
      <c r="K243" s="187">
        <f t="shared" si="40"/>
        <v>1.8432661196585369E-2</v>
      </c>
      <c r="L243" s="187">
        <f t="shared" si="40"/>
        <v>1.4141944676396699E-2</v>
      </c>
      <c r="M243" s="187">
        <f t="shared" si="40"/>
        <v>1.5113254543671907E-2</v>
      </c>
      <c r="N243" s="187">
        <f t="shared" si="40"/>
        <v>1.5586791741013427E-2</v>
      </c>
      <c r="O243" s="187">
        <f t="shared" si="40"/>
        <v>1.6798979399194339E-2</v>
      </c>
      <c r="P243" s="187">
        <f t="shared" si="40"/>
        <v>1.5855762405274292E-2</v>
      </c>
      <c r="Q243" s="187">
        <f t="shared" si="40"/>
        <v>1.7930794439938075E-2</v>
      </c>
      <c r="R243" s="187">
        <f t="shared" si="40"/>
        <v>1.7268606555564944E-2</v>
      </c>
      <c r="S243" s="187">
        <f t="shared" si="40"/>
        <v>1.6363263831885386E-2</v>
      </c>
      <c r="T243" s="187">
        <f t="shared" si="40"/>
        <v>1.6952178629925464E-2</v>
      </c>
      <c r="U243" s="187">
        <f t="shared" si="40"/>
        <v>1.6770561007899254E-2</v>
      </c>
      <c r="V243" s="187">
        <f t="shared" si="40"/>
        <v>1.7133662516963303E-2</v>
      </c>
      <c r="W243" s="187">
        <f t="shared" si="40"/>
        <v>1.9703743613567064E-2</v>
      </c>
      <c r="X243" s="187">
        <f t="shared" si="40"/>
        <v>2.0234051613636065E-2</v>
      </c>
      <c r="Y243" s="187">
        <f t="shared" si="40"/>
        <v>2.3270649721194345E-2</v>
      </c>
      <c r="Z243" s="187">
        <v>2.0787460818684052E-2</v>
      </c>
      <c r="AA243" s="187" t="str">
        <f t="shared" si="40"/>
        <v/>
      </c>
      <c r="AB243" s="187">
        <f t="shared" si="40"/>
        <v>2.3228884907440076E-2</v>
      </c>
      <c r="AC243" s="187">
        <f t="shared" si="40"/>
        <v>2.3228884907440073E-2</v>
      </c>
      <c r="AD243" s="187">
        <f t="shared" si="40"/>
        <v>2.3228884907440076E-2</v>
      </c>
      <c r="AE243" s="187">
        <f t="shared" si="40"/>
        <v>2.3228884907440073E-2</v>
      </c>
      <c r="AF243" s="187">
        <f t="shared" si="40"/>
        <v>2.3226871124977892E-2</v>
      </c>
      <c r="AG243" s="187">
        <f t="shared" si="40"/>
        <v>2.0758752382299923E-2</v>
      </c>
      <c r="AH243" s="187">
        <f t="shared" si="40"/>
        <v>2.0758752382299923E-2</v>
      </c>
      <c r="AI243" s="187">
        <f t="shared" si="40"/>
        <v>2.0758752382299923E-2</v>
      </c>
      <c r="AJ243" s="187">
        <f t="shared" si="40"/>
        <v>2.0758752382299923E-2</v>
      </c>
      <c r="AK243" s="187">
        <f t="shared" si="40"/>
        <v>2.0758752382299923E-2</v>
      </c>
      <c r="AL243" s="187">
        <f t="shared" si="40"/>
        <v>2.0758752382299923E-2</v>
      </c>
    </row>
    <row r="244" spans="1:38" ht="15" customHeight="1">
      <c r="A244" s="193" t="s">
        <v>330</v>
      </c>
      <c r="B244" s="146">
        <v>46</v>
      </c>
      <c r="C244" s="183">
        <f t="shared" ref="C244:Y244" si="41">C145</f>
        <v>189486394</v>
      </c>
      <c r="D244" s="183">
        <f t="shared" si="41"/>
        <v>225236410</v>
      </c>
      <c r="E244" s="183">
        <f t="shared" si="41"/>
        <v>229978521</v>
      </c>
      <c r="F244" s="183">
        <f t="shared" si="41"/>
        <v>229889992</v>
      </c>
      <c r="G244" s="183">
        <f t="shared" si="41"/>
        <v>224134296</v>
      </c>
      <c r="H244" s="183">
        <f t="shared" si="41"/>
        <v>214897048</v>
      </c>
      <c r="I244" s="183">
        <f t="shared" si="41"/>
        <v>230047625</v>
      </c>
      <c r="J244" s="183">
        <f t="shared" si="41"/>
        <v>229954420</v>
      </c>
      <c r="K244" s="183">
        <f t="shared" si="41"/>
        <v>228488322</v>
      </c>
      <c r="L244" s="183">
        <f t="shared" si="41"/>
        <v>213155072</v>
      </c>
      <c r="M244" s="183">
        <f t="shared" si="41"/>
        <v>300846378</v>
      </c>
      <c r="N244" s="183">
        <f t="shared" si="41"/>
        <v>338620473</v>
      </c>
      <c r="O244" s="183">
        <f t="shared" si="41"/>
        <v>390880567</v>
      </c>
      <c r="P244" s="183">
        <f t="shared" si="41"/>
        <v>288060338</v>
      </c>
      <c r="Q244" s="183">
        <f t="shared" si="41"/>
        <v>278341956</v>
      </c>
      <c r="R244" s="183">
        <f t="shared" si="41"/>
        <v>277195306</v>
      </c>
      <c r="S244" s="183">
        <f t="shared" si="41"/>
        <v>257971197</v>
      </c>
      <c r="T244" s="183">
        <f t="shared" si="41"/>
        <v>282882950</v>
      </c>
      <c r="U244" s="183">
        <f t="shared" si="41"/>
        <v>303895747</v>
      </c>
      <c r="V244" s="183">
        <f t="shared" si="41"/>
        <v>325151310</v>
      </c>
      <c r="W244" s="183">
        <f t="shared" si="41"/>
        <v>377683972</v>
      </c>
      <c r="X244" s="183">
        <f t="shared" si="41"/>
        <v>341492876</v>
      </c>
      <c r="Y244" s="183">
        <f t="shared" si="41"/>
        <v>395204855</v>
      </c>
      <c r="Z244" s="183">
        <v>401983082</v>
      </c>
      <c r="AA244" s="183" t="e">
        <f>#REF!</f>
        <v>#REF!</v>
      </c>
      <c r="AB244" s="183">
        <f t="shared" ref="AB244:AL244" si="42">AA145</f>
        <v>557450326.95105529</v>
      </c>
      <c r="AC244" s="183">
        <f t="shared" si="42"/>
        <v>491305876.61772192</v>
      </c>
      <c r="AD244" s="183">
        <f t="shared" si="42"/>
        <v>520520513.28438854</v>
      </c>
      <c r="AE244" s="183">
        <f t="shared" si="42"/>
        <v>525352353.72883302</v>
      </c>
      <c r="AF244" s="183">
        <f t="shared" si="42"/>
        <v>506877391.22883302</v>
      </c>
      <c r="AG244" s="183">
        <f t="shared" si="42"/>
        <v>669664297.47327757</v>
      </c>
      <c r="AH244" s="183">
        <f t="shared" si="42"/>
        <v>494437435.27327752</v>
      </c>
      <c r="AI244" s="183">
        <f t="shared" si="42"/>
        <v>524812435.07327753</v>
      </c>
      <c r="AJ244" s="183">
        <f t="shared" si="42"/>
        <v>503502636.77327752</v>
      </c>
      <c r="AK244" s="183">
        <f t="shared" si="42"/>
        <v>485022616.10661083</v>
      </c>
      <c r="AL244" s="183">
        <f t="shared" si="42"/>
        <v>500559340.10661083</v>
      </c>
    </row>
    <row r="245" spans="1:38" ht="15" customHeight="1">
      <c r="A245" s="190" t="s">
        <v>331</v>
      </c>
      <c r="B245" s="191">
        <v>47</v>
      </c>
      <c r="C245" s="189">
        <v>101894397</v>
      </c>
      <c r="D245" s="189">
        <v>92639169</v>
      </c>
      <c r="E245" s="189">
        <v>89038665</v>
      </c>
      <c r="F245" s="189">
        <v>98945875</v>
      </c>
      <c r="G245" s="189">
        <v>100688115</v>
      </c>
      <c r="H245" s="189">
        <v>91145613</v>
      </c>
      <c r="I245" s="189">
        <v>101188883</v>
      </c>
      <c r="J245" s="189">
        <v>99144574</v>
      </c>
      <c r="K245" s="189">
        <v>105324038</v>
      </c>
      <c r="L245" s="189">
        <v>88970215</v>
      </c>
      <c r="M245" s="189">
        <v>161956753</v>
      </c>
      <c r="N245" s="189">
        <v>193747656</v>
      </c>
      <c r="O245" s="189">
        <v>176154385</v>
      </c>
      <c r="P245" s="189">
        <v>160747718</v>
      </c>
      <c r="Q245" s="189">
        <v>144445792</v>
      </c>
      <c r="R245" s="189">
        <v>151901754</v>
      </c>
      <c r="S245" s="189">
        <v>134234870</v>
      </c>
      <c r="T245" s="189">
        <v>130342447</v>
      </c>
      <c r="U245" s="189">
        <v>125447870</v>
      </c>
      <c r="V245" s="189">
        <v>125485062</v>
      </c>
      <c r="W245" s="189">
        <v>129197408</v>
      </c>
      <c r="X245" s="189">
        <v>132378775</v>
      </c>
      <c r="Y245" s="189">
        <v>164246381</v>
      </c>
      <c r="Z245" s="189">
        <v>179263239</v>
      </c>
      <c r="AA245" s="189">
        <f>SUMIFS([1]!Data_PL_Element[Value],[1]!Data_PL_Element[Index PL Element],'Dai Loc'!$B245,[1]!Data_PL_Element[TenCongTyID],'Dai Loc'!$B$1,[1]!Data_PL_Element[Thang.Nam],'Dai Loc'!AA$198)</f>
        <v>0</v>
      </c>
      <c r="AB245" s="189">
        <f>SUMIFS([1]!Data_PL_Element[Value],[1]!Data_PL_Element[Index PL Element],'Dai Loc'!$B245,[1]!Data_PL_Element[TenCongTyID],'Dai Loc'!$B$1,[1]!Data_PL_Element[Thang.Nam],'Dai Loc'!AB$198)</f>
        <v>0</v>
      </c>
      <c r="AC245" s="189">
        <f>SUMIFS([1]!Data_PL_Element[Value],[1]!Data_PL_Element[Index PL Element],'Dai Loc'!$B245,[1]!Data_PL_Element[TenCongTyID],'Dai Loc'!$B$1,[1]!Data_PL_Element[Thang.Nam],'Dai Loc'!AC$198)</f>
        <v>0</v>
      </c>
      <c r="AD245" s="189">
        <f>SUMIFS([1]!Data_PL_Element[Value],[1]!Data_PL_Element[Index PL Element],'Dai Loc'!$B245,[1]!Data_PL_Element[TenCongTyID],'Dai Loc'!$B$1,[1]!Data_PL_Element[Thang.Nam],'Dai Loc'!AD$198)</f>
        <v>0</v>
      </c>
      <c r="AE245" s="189">
        <f>SUMIFS([1]!Data_PL_Element[Value],[1]!Data_PL_Element[Index PL Element],'Dai Loc'!$B245,[1]!Data_PL_Element[TenCongTyID],'Dai Loc'!$B$1,[1]!Data_PL_Element[Thang.Nam],'Dai Loc'!AE$198)</f>
        <v>0</v>
      </c>
      <c r="AF245" s="189">
        <f>SUMIFS([1]!Data_PL_Element[Value],[1]!Data_PL_Element[Index PL Element],'Dai Loc'!$B245,[1]!Data_PL_Element[TenCongTyID],'Dai Loc'!$B$1,[1]!Data_PL_Element[Thang.Nam],'Dai Loc'!AF$198)</f>
        <v>0</v>
      </c>
      <c r="AG245" s="189">
        <f>SUMIFS([1]!Data_PL_Element[Value],[1]!Data_PL_Element[Index PL Element],'Dai Loc'!$B245,[1]!Data_PL_Element[TenCongTyID],'Dai Loc'!$B$1,[1]!Data_PL_Element[Thang.Nam],'Dai Loc'!AG$198)</f>
        <v>0</v>
      </c>
      <c r="AH245" s="189">
        <f>SUMIFS([1]!Data_PL_Element[Value],[1]!Data_PL_Element[Index PL Element],'Dai Loc'!$B245,[1]!Data_PL_Element[TenCongTyID],'Dai Loc'!$B$1,[1]!Data_PL_Element[Thang.Nam],'Dai Loc'!AH$198)</f>
        <v>0</v>
      </c>
      <c r="AI245" s="189">
        <f>SUMIFS([1]!Data_PL_Element[Value],[1]!Data_PL_Element[Index PL Element],'Dai Loc'!$B245,[1]!Data_PL_Element[TenCongTyID],'Dai Loc'!$B$1,[1]!Data_PL_Element[Thang.Nam],'Dai Loc'!AI$198)</f>
        <v>0</v>
      </c>
      <c r="AJ245" s="189">
        <f>SUMIFS([1]!Data_PL_Element[Value],[1]!Data_PL_Element[Index PL Element],'Dai Loc'!$B245,[1]!Data_PL_Element[TenCongTyID],'Dai Loc'!$B$1,[1]!Data_PL_Element[Thang.Nam],'Dai Loc'!AJ$198)</f>
        <v>0</v>
      </c>
      <c r="AK245" s="189">
        <f>SUMIFS([1]!Data_PL_Element[Value],[1]!Data_PL_Element[Index PL Element],'Dai Loc'!$B245,[1]!Data_PL_Element[TenCongTyID],'Dai Loc'!$B$1,[1]!Data_PL_Element[Thang.Nam],'Dai Loc'!AK$198)</f>
        <v>0</v>
      </c>
      <c r="AL245" s="189">
        <f>SUMIFS([1]!Data_PL_Element[Value],[1]!Data_PL_Element[Index PL Element],'Dai Loc'!$B245,[1]!Data_PL_Element[TenCongTyID],'Dai Loc'!$B$1,[1]!Data_PL_Element[Thang.Nam],'Dai Loc'!AL$198)</f>
        <v>0</v>
      </c>
    </row>
    <row r="246" spans="1:38" ht="15" customHeight="1">
      <c r="A246" s="190" t="s">
        <v>332</v>
      </c>
      <c r="B246" s="191">
        <v>48</v>
      </c>
      <c r="C246" s="189">
        <v>-15364991</v>
      </c>
      <c r="D246" s="189">
        <v>29669512</v>
      </c>
      <c r="E246" s="189">
        <v>31690484</v>
      </c>
      <c r="F246" s="189">
        <v>31365484</v>
      </c>
      <c r="G246" s="189">
        <v>32490632</v>
      </c>
      <c r="H246" s="189">
        <v>28899832</v>
      </c>
      <c r="I246" s="189">
        <v>33415632</v>
      </c>
      <c r="J246" s="189">
        <v>33490632</v>
      </c>
      <c r="K246" s="189">
        <v>32240632</v>
      </c>
      <c r="L246" s="189">
        <v>29487306</v>
      </c>
      <c r="M246" s="189">
        <v>46006266</v>
      </c>
      <c r="N246" s="189">
        <v>45831266</v>
      </c>
      <c r="O246" s="189">
        <v>102463809</v>
      </c>
      <c r="P246" s="189">
        <v>42746074</v>
      </c>
      <c r="Q246" s="189">
        <v>41312324</v>
      </c>
      <c r="R246" s="189">
        <v>35211324</v>
      </c>
      <c r="S246" s="189">
        <v>35736324</v>
      </c>
      <c r="T246" s="189">
        <v>35636324</v>
      </c>
      <c r="U246" s="189">
        <v>35661324</v>
      </c>
      <c r="V246" s="189">
        <v>35736324</v>
      </c>
      <c r="W246" s="189">
        <v>35361324</v>
      </c>
      <c r="X246" s="189">
        <v>41487324</v>
      </c>
      <c r="Y246" s="189">
        <v>47508243</v>
      </c>
      <c r="Z246" s="189">
        <v>47077642</v>
      </c>
      <c r="AA246" s="189">
        <f>SUMIFS([1]!Data_PL_Element[Value],[1]!Data_PL_Element[Index PL Element],'Dai Loc'!$B246,[1]!Data_PL_Element[TenCongTyID],'Dai Loc'!$B$1,[1]!Data_PL_Element[Thang.Nam],'Dai Loc'!AA$198)</f>
        <v>0</v>
      </c>
      <c r="AB246" s="189">
        <f>SUMIFS([1]!Data_PL_Element[Value],[1]!Data_PL_Element[Index PL Element],'Dai Loc'!$B246,[1]!Data_PL_Element[TenCongTyID],'Dai Loc'!$B$1,[1]!Data_PL_Element[Thang.Nam],'Dai Loc'!AB$198)</f>
        <v>0</v>
      </c>
      <c r="AC246" s="189">
        <f>SUMIFS([1]!Data_PL_Element[Value],[1]!Data_PL_Element[Index PL Element],'Dai Loc'!$B246,[1]!Data_PL_Element[TenCongTyID],'Dai Loc'!$B$1,[1]!Data_PL_Element[Thang.Nam],'Dai Loc'!AC$198)</f>
        <v>0</v>
      </c>
      <c r="AD246" s="189">
        <f>SUMIFS([1]!Data_PL_Element[Value],[1]!Data_PL_Element[Index PL Element],'Dai Loc'!$B246,[1]!Data_PL_Element[TenCongTyID],'Dai Loc'!$B$1,[1]!Data_PL_Element[Thang.Nam],'Dai Loc'!AD$198)</f>
        <v>0</v>
      </c>
      <c r="AE246" s="189">
        <f>SUMIFS([1]!Data_PL_Element[Value],[1]!Data_PL_Element[Index PL Element],'Dai Loc'!$B246,[1]!Data_PL_Element[TenCongTyID],'Dai Loc'!$B$1,[1]!Data_PL_Element[Thang.Nam],'Dai Loc'!AE$198)</f>
        <v>0</v>
      </c>
      <c r="AF246" s="189">
        <f>SUMIFS([1]!Data_PL_Element[Value],[1]!Data_PL_Element[Index PL Element],'Dai Loc'!$B246,[1]!Data_PL_Element[TenCongTyID],'Dai Loc'!$B$1,[1]!Data_PL_Element[Thang.Nam],'Dai Loc'!AF$198)</f>
        <v>0</v>
      </c>
      <c r="AG246" s="189">
        <f>SUMIFS([1]!Data_PL_Element[Value],[1]!Data_PL_Element[Index PL Element],'Dai Loc'!$B246,[1]!Data_PL_Element[TenCongTyID],'Dai Loc'!$B$1,[1]!Data_PL_Element[Thang.Nam],'Dai Loc'!AG$198)</f>
        <v>0</v>
      </c>
      <c r="AH246" s="189">
        <f>SUMIFS([1]!Data_PL_Element[Value],[1]!Data_PL_Element[Index PL Element],'Dai Loc'!$B246,[1]!Data_PL_Element[TenCongTyID],'Dai Loc'!$B$1,[1]!Data_PL_Element[Thang.Nam],'Dai Loc'!AH$198)</f>
        <v>0</v>
      </c>
      <c r="AI246" s="189">
        <f>SUMIFS([1]!Data_PL_Element[Value],[1]!Data_PL_Element[Index PL Element],'Dai Loc'!$B246,[1]!Data_PL_Element[TenCongTyID],'Dai Loc'!$B$1,[1]!Data_PL_Element[Thang.Nam],'Dai Loc'!AI$198)</f>
        <v>0</v>
      </c>
      <c r="AJ246" s="189">
        <f>SUMIFS([1]!Data_PL_Element[Value],[1]!Data_PL_Element[Index PL Element],'Dai Loc'!$B246,[1]!Data_PL_Element[TenCongTyID],'Dai Loc'!$B$1,[1]!Data_PL_Element[Thang.Nam],'Dai Loc'!AJ$198)</f>
        <v>0</v>
      </c>
      <c r="AK246" s="189">
        <f>SUMIFS([1]!Data_PL_Element[Value],[1]!Data_PL_Element[Index PL Element],'Dai Loc'!$B246,[1]!Data_PL_Element[TenCongTyID],'Dai Loc'!$B$1,[1]!Data_PL_Element[Thang.Nam],'Dai Loc'!AK$198)</f>
        <v>0</v>
      </c>
      <c r="AL246" s="189">
        <f>SUMIFS([1]!Data_PL_Element[Value],[1]!Data_PL_Element[Index PL Element],'Dai Loc'!$B246,[1]!Data_PL_Element[TenCongTyID],'Dai Loc'!$B$1,[1]!Data_PL_Element[Thang.Nam],'Dai Loc'!AL$198)</f>
        <v>0</v>
      </c>
    </row>
    <row r="247" spans="1:38" ht="15" customHeight="1">
      <c r="A247" s="190" t="s">
        <v>333</v>
      </c>
      <c r="B247" s="191">
        <v>49</v>
      </c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>
        <v>7175122</v>
      </c>
      <c r="P247" s="189">
        <v>7175122</v>
      </c>
      <c r="Q247" s="189">
        <v>7175123</v>
      </c>
      <c r="R247" s="189">
        <v>7175122</v>
      </c>
      <c r="S247" s="189">
        <v>7175122</v>
      </c>
      <c r="T247" s="189">
        <v>7175122</v>
      </c>
      <c r="U247" s="189">
        <v>7175122</v>
      </c>
      <c r="V247" s="189">
        <v>7175122</v>
      </c>
      <c r="W247" s="189">
        <v>7175123</v>
      </c>
      <c r="X247" s="189">
        <v>7175122</v>
      </c>
      <c r="Y247" s="189">
        <v>7175122</v>
      </c>
      <c r="Z247" s="189">
        <v>7175122</v>
      </c>
      <c r="AA247" s="189">
        <f>SUMIFS([1]!Data_PL_Element[Value],[1]!Data_PL_Element[Index PL Element],'Dai Loc'!$B247,[1]!Data_PL_Element[TenCongTyID],'Dai Loc'!$B$1,[1]!Data_PL_Element[Thang.Nam],'Dai Loc'!AA$198)</f>
        <v>0</v>
      </c>
      <c r="AB247" s="189">
        <f>SUMIFS([1]!Data_PL_Element[Value],[1]!Data_PL_Element[Index PL Element],'Dai Loc'!$B247,[1]!Data_PL_Element[TenCongTyID],'Dai Loc'!$B$1,[1]!Data_PL_Element[Thang.Nam],'Dai Loc'!AB$198)</f>
        <v>0</v>
      </c>
      <c r="AC247" s="189">
        <f>SUMIFS([1]!Data_PL_Element[Value],[1]!Data_PL_Element[Index PL Element],'Dai Loc'!$B247,[1]!Data_PL_Element[TenCongTyID],'Dai Loc'!$B$1,[1]!Data_PL_Element[Thang.Nam],'Dai Loc'!AC$198)</f>
        <v>0</v>
      </c>
      <c r="AD247" s="189">
        <f>SUMIFS([1]!Data_PL_Element[Value],[1]!Data_PL_Element[Index PL Element],'Dai Loc'!$B247,[1]!Data_PL_Element[TenCongTyID],'Dai Loc'!$B$1,[1]!Data_PL_Element[Thang.Nam],'Dai Loc'!AD$198)</f>
        <v>0</v>
      </c>
      <c r="AE247" s="189">
        <f>SUMIFS([1]!Data_PL_Element[Value],[1]!Data_PL_Element[Index PL Element],'Dai Loc'!$B247,[1]!Data_PL_Element[TenCongTyID],'Dai Loc'!$B$1,[1]!Data_PL_Element[Thang.Nam],'Dai Loc'!AE$198)</f>
        <v>0</v>
      </c>
      <c r="AF247" s="189">
        <f>SUMIFS([1]!Data_PL_Element[Value],[1]!Data_PL_Element[Index PL Element],'Dai Loc'!$B247,[1]!Data_PL_Element[TenCongTyID],'Dai Loc'!$B$1,[1]!Data_PL_Element[Thang.Nam],'Dai Loc'!AF$198)</f>
        <v>0</v>
      </c>
      <c r="AG247" s="189">
        <f>SUMIFS([1]!Data_PL_Element[Value],[1]!Data_PL_Element[Index PL Element],'Dai Loc'!$B247,[1]!Data_PL_Element[TenCongTyID],'Dai Loc'!$B$1,[1]!Data_PL_Element[Thang.Nam],'Dai Loc'!AG$198)</f>
        <v>0</v>
      </c>
      <c r="AH247" s="189">
        <f>SUMIFS([1]!Data_PL_Element[Value],[1]!Data_PL_Element[Index PL Element],'Dai Loc'!$B247,[1]!Data_PL_Element[TenCongTyID],'Dai Loc'!$B$1,[1]!Data_PL_Element[Thang.Nam],'Dai Loc'!AH$198)</f>
        <v>0</v>
      </c>
      <c r="AI247" s="189">
        <f>SUMIFS([1]!Data_PL_Element[Value],[1]!Data_PL_Element[Index PL Element],'Dai Loc'!$B247,[1]!Data_PL_Element[TenCongTyID],'Dai Loc'!$B$1,[1]!Data_PL_Element[Thang.Nam],'Dai Loc'!AI$198)</f>
        <v>0</v>
      </c>
      <c r="AJ247" s="189">
        <f>SUMIFS([1]!Data_PL_Element[Value],[1]!Data_PL_Element[Index PL Element],'Dai Loc'!$B247,[1]!Data_PL_Element[TenCongTyID],'Dai Loc'!$B$1,[1]!Data_PL_Element[Thang.Nam],'Dai Loc'!AJ$198)</f>
        <v>0</v>
      </c>
      <c r="AK247" s="189">
        <f>SUMIFS([1]!Data_PL_Element[Value],[1]!Data_PL_Element[Index PL Element],'Dai Loc'!$B247,[1]!Data_PL_Element[TenCongTyID],'Dai Loc'!$B$1,[1]!Data_PL_Element[Thang.Nam],'Dai Loc'!AK$198)</f>
        <v>0</v>
      </c>
      <c r="AL247" s="189">
        <f>SUMIFS([1]!Data_PL_Element[Value],[1]!Data_PL_Element[Index PL Element],'Dai Loc'!$B247,[1]!Data_PL_Element[TenCongTyID],'Dai Loc'!$B$1,[1]!Data_PL_Element[Thang.Nam],'Dai Loc'!AL$198)</f>
        <v>0</v>
      </c>
    </row>
    <row r="248" spans="1:38" ht="15" customHeight="1">
      <c r="A248" s="190" t="s">
        <v>334</v>
      </c>
      <c r="B248" s="191">
        <v>50</v>
      </c>
      <c r="C248" s="189">
        <f t="shared" ref="C248:Y248" si="43">C244-C245-C246-C247</f>
        <v>102956988</v>
      </c>
      <c r="D248" s="189">
        <f t="shared" si="43"/>
        <v>102927729</v>
      </c>
      <c r="E248" s="189">
        <f t="shared" si="43"/>
        <v>109249372</v>
      </c>
      <c r="F248" s="189">
        <f t="shared" si="43"/>
        <v>99578633</v>
      </c>
      <c r="G248" s="189">
        <f t="shared" si="43"/>
        <v>90955549</v>
      </c>
      <c r="H248" s="189">
        <f t="shared" si="43"/>
        <v>94851603</v>
      </c>
      <c r="I248" s="189">
        <f t="shared" si="43"/>
        <v>95443110</v>
      </c>
      <c r="J248" s="189">
        <f t="shared" si="43"/>
        <v>97319214</v>
      </c>
      <c r="K248" s="189">
        <f t="shared" si="43"/>
        <v>90923652</v>
      </c>
      <c r="L248" s="189">
        <f t="shared" si="43"/>
        <v>94697551</v>
      </c>
      <c r="M248" s="189">
        <f t="shared" si="43"/>
        <v>92883359</v>
      </c>
      <c r="N248" s="189">
        <f t="shared" si="43"/>
        <v>99041551</v>
      </c>
      <c r="O248" s="189">
        <f t="shared" si="43"/>
        <v>105087251</v>
      </c>
      <c r="P248" s="189">
        <f t="shared" si="43"/>
        <v>77391424</v>
      </c>
      <c r="Q248" s="189">
        <f t="shared" si="43"/>
        <v>85408717</v>
      </c>
      <c r="R248" s="189">
        <f t="shared" si="43"/>
        <v>82907106</v>
      </c>
      <c r="S248" s="189">
        <f t="shared" si="43"/>
        <v>80824881</v>
      </c>
      <c r="T248" s="189">
        <f t="shared" si="43"/>
        <v>109729057</v>
      </c>
      <c r="U248" s="189">
        <f t="shared" si="43"/>
        <v>135611431</v>
      </c>
      <c r="V248" s="189">
        <f t="shared" si="43"/>
        <v>156754802</v>
      </c>
      <c r="W248" s="189">
        <f t="shared" si="43"/>
        <v>205950117</v>
      </c>
      <c r="X248" s="189">
        <f t="shared" si="43"/>
        <v>160451655</v>
      </c>
      <c r="Y248" s="189">
        <f t="shared" si="43"/>
        <v>176275109</v>
      </c>
      <c r="Z248" s="189">
        <v>168467079</v>
      </c>
      <c r="AA248" s="189">
        <f>SUMIFS([1]!Data_PL_Element[Value],[1]!Data_PL_Element[Index PL Element],'Dai Loc'!$B248,[1]!Data_PL_Element[TenCongTyID],'Dai Loc'!$B$1,[1]!Data_PL_Element[Thang.Nam],'Dai Loc'!AA$198)</f>
        <v>0</v>
      </c>
      <c r="AB248" s="189">
        <f>SUMIFS([1]!Data_PL_Element[Value],[1]!Data_PL_Element[Index PL Element],'Dai Loc'!$B248,[1]!Data_PL_Element[TenCongTyID],'Dai Loc'!$B$1,[1]!Data_PL_Element[Thang.Nam],'Dai Loc'!AB$198)</f>
        <v>0</v>
      </c>
      <c r="AC248" s="189">
        <f>SUMIFS([1]!Data_PL_Element[Value],[1]!Data_PL_Element[Index PL Element],'Dai Loc'!$B248,[1]!Data_PL_Element[TenCongTyID],'Dai Loc'!$B$1,[1]!Data_PL_Element[Thang.Nam],'Dai Loc'!AC$198)</f>
        <v>0</v>
      </c>
      <c r="AD248" s="189">
        <f>SUMIFS([1]!Data_PL_Element[Value],[1]!Data_PL_Element[Index PL Element],'Dai Loc'!$B248,[1]!Data_PL_Element[TenCongTyID],'Dai Loc'!$B$1,[1]!Data_PL_Element[Thang.Nam],'Dai Loc'!AD$198)</f>
        <v>0</v>
      </c>
      <c r="AE248" s="189">
        <f>SUMIFS([1]!Data_PL_Element[Value],[1]!Data_PL_Element[Index PL Element],'Dai Loc'!$B248,[1]!Data_PL_Element[TenCongTyID],'Dai Loc'!$B$1,[1]!Data_PL_Element[Thang.Nam],'Dai Loc'!AE$198)</f>
        <v>0</v>
      </c>
      <c r="AF248" s="189">
        <f>SUMIFS([1]!Data_PL_Element[Value],[1]!Data_PL_Element[Index PL Element],'Dai Loc'!$B248,[1]!Data_PL_Element[TenCongTyID],'Dai Loc'!$B$1,[1]!Data_PL_Element[Thang.Nam],'Dai Loc'!AF$198)</f>
        <v>0</v>
      </c>
      <c r="AG248" s="189">
        <f>SUMIFS([1]!Data_PL_Element[Value],[1]!Data_PL_Element[Index PL Element],'Dai Loc'!$B248,[1]!Data_PL_Element[TenCongTyID],'Dai Loc'!$B$1,[1]!Data_PL_Element[Thang.Nam],'Dai Loc'!AG$198)</f>
        <v>0</v>
      </c>
      <c r="AH248" s="189">
        <f>SUMIFS([1]!Data_PL_Element[Value],[1]!Data_PL_Element[Index PL Element],'Dai Loc'!$B248,[1]!Data_PL_Element[TenCongTyID],'Dai Loc'!$B$1,[1]!Data_PL_Element[Thang.Nam],'Dai Loc'!AH$198)</f>
        <v>0</v>
      </c>
      <c r="AI248" s="189">
        <f>SUMIFS([1]!Data_PL_Element[Value],[1]!Data_PL_Element[Index PL Element],'Dai Loc'!$B248,[1]!Data_PL_Element[TenCongTyID],'Dai Loc'!$B$1,[1]!Data_PL_Element[Thang.Nam],'Dai Loc'!AI$198)</f>
        <v>0</v>
      </c>
      <c r="AJ248" s="189">
        <f>SUMIFS([1]!Data_PL_Element[Value],[1]!Data_PL_Element[Index PL Element],'Dai Loc'!$B248,[1]!Data_PL_Element[TenCongTyID],'Dai Loc'!$B$1,[1]!Data_PL_Element[Thang.Nam],'Dai Loc'!AJ$198)</f>
        <v>0</v>
      </c>
      <c r="AK248" s="189">
        <f>SUMIFS([1]!Data_PL_Element[Value],[1]!Data_PL_Element[Index PL Element],'Dai Loc'!$B248,[1]!Data_PL_Element[TenCongTyID],'Dai Loc'!$B$1,[1]!Data_PL_Element[Thang.Nam],'Dai Loc'!AK$198)</f>
        <v>0</v>
      </c>
      <c r="AL248" s="189">
        <f>SUMIFS([1]!Data_PL_Element[Value],[1]!Data_PL_Element[Index PL Element],'Dai Loc'!$B248,[1]!Data_PL_Element[TenCongTyID],'Dai Loc'!$B$1,[1]!Data_PL_Element[Thang.Nam],'Dai Loc'!AL$198)</f>
        <v>0</v>
      </c>
    </row>
    <row r="249" spans="1:38" ht="15" customHeight="1">
      <c r="A249" s="194" t="s">
        <v>335</v>
      </c>
      <c r="B249" s="171">
        <v>51</v>
      </c>
      <c r="C249" s="187">
        <f t="shared" ref="C249:AL249" si="44">IFERROR(C244/C207,"")</f>
        <v>1.0047474667148094E-2</v>
      </c>
      <c r="D249" s="187">
        <f t="shared" si="44"/>
        <v>4.9295078767849214E-2</v>
      </c>
      <c r="E249" s="187">
        <f t="shared" si="44"/>
        <v>2.3255599725659416E-2</v>
      </c>
      <c r="F249" s="187">
        <f t="shared" si="44"/>
        <v>2.5575886000498902E-2</v>
      </c>
      <c r="G249" s="187">
        <f t="shared" si="44"/>
        <v>2.6694103354864492E-2</v>
      </c>
      <c r="H249" s="187">
        <f t="shared" si="44"/>
        <v>1.5369574615825447E-2</v>
      </c>
      <c r="I249" s="187">
        <f t="shared" si="44"/>
        <v>2.6455952735840824E-2</v>
      </c>
      <c r="J249" s="187">
        <f t="shared" si="44"/>
        <v>2.536443201385389E-2</v>
      </c>
      <c r="K249" s="187">
        <f t="shared" si="44"/>
        <v>2.2655448234547088E-2</v>
      </c>
      <c r="L249" s="187">
        <f t="shared" si="44"/>
        <v>1.6691180707183582E-2</v>
      </c>
      <c r="M249" s="187">
        <f t="shared" si="44"/>
        <v>2.9090005689416099E-2</v>
      </c>
      <c r="N249" s="187">
        <f t="shared" si="44"/>
        <v>3.7406143103433452E-2</v>
      </c>
      <c r="O249" s="187">
        <f t="shared" si="44"/>
        <v>7.2078974671552165E-2</v>
      </c>
      <c r="P249" s="187">
        <f t="shared" si="44"/>
        <v>3.2694461544101688E-2</v>
      </c>
      <c r="Q249" s="187">
        <f t="shared" si="44"/>
        <v>1.7097952713416544E-2</v>
      </c>
      <c r="R249" s="187">
        <f t="shared" si="44"/>
        <v>1.8764314693702197E-2</v>
      </c>
      <c r="S249" s="187">
        <f t="shared" si="44"/>
        <v>1.4672404440522351E-2</v>
      </c>
      <c r="T249" s="187">
        <f t="shared" si="44"/>
        <v>1.450978002953184E-2</v>
      </c>
      <c r="U249" s="187">
        <f t="shared" si="44"/>
        <v>1.3943918372379252E-2</v>
      </c>
      <c r="V249" s="187">
        <f t="shared" si="44"/>
        <v>1.5522521071297063E-2</v>
      </c>
      <c r="W249" s="187">
        <f t="shared" si="44"/>
        <v>2.269529780799525E-2</v>
      </c>
      <c r="X249" s="187">
        <f t="shared" si="44"/>
        <v>2.3502668294806191E-2</v>
      </c>
      <c r="Y249" s="187">
        <f t="shared" si="44"/>
        <v>5.3593669864920757E-2</v>
      </c>
      <c r="Z249" s="187">
        <v>3.9047698910508681E-2</v>
      </c>
      <c r="AA249" s="187" t="str">
        <f t="shared" si="44"/>
        <v/>
      </c>
      <c r="AB249" s="187">
        <f t="shared" si="44"/>
        <v>4.8833002045348246E-2</v>
      </c>
      <c r="AC249" s="187">
        <f t="shared" si="44"/>
        <v>5.5335479480780998E-2</v>
      </c>
      <c r="AD249" s="187">
        <f t="shared" si="44"/>
        <v>4.1038134260318833E-2</v>
      </c>
      <c r="AE249" s="187">
        <f t="shared" si="44"/>
        <v>3.7653708470780201E-2</v>
      </c>
      <c r="AF249" s="187">
        <f t="shared" si="44"/>
        <v>3.6374464598938339E-2</v>
      </c>
      <c r="AG249" s="187">
        <f t="shared" si="44"/>
        <v>4.7744108554180063E-2</v>
      </c>
      <c r="AH249" s="187">
        <f t="shared" si="44"/>
        <v>3.5251206719557476E-2</v>
      </c>
      <c r="AI249" s="187">
        <f t="shared" si="44"/>
        <v>3.7416810131978111E-2</v>
      </c>
      <c r="AJ249" s="187">
        <f t="shared" si="44"/>
        <v>3.5897515573283974E-2</v>
      </c>
      <c r="AK249" s="187">
        <f t="shared" si="44"/>
        <v>3.457997166938781E-2</v>
      </c>
      <c r="AL249" s="187">
        <f t="shared" si="44"/>
        <v>3.5687671512475136E-2</v>
      </c>
    </row>
    <row r="250" spans="1:38" ht="15" customHeight="1">
      <c r="A250" s="193" t="s">
        <v>336</v>
      </c>
      <c r="B250" s="146">
        <v>52</v>
      </c>
      <c r="C250" s="186">
        <f t="shared" ref="C250:Y251" si="45">C142</f>
        <v>0</v>
      </c>
      <c r="D250" s="186">
        <f t="shared" si="45"/>
        <v>0</v>
      </c>
      <c r="E250" s="186">
        <f t="shared" si="45"/>
        <v>0</v>
      </c>
      <c r="F250" s="186">
        <f t="shared" si="45"/>
        <v>0</v>
      </c>
      <c r="G250" s="186">
        <f t="shared" si="45"/>
        <v>0</v>
      </c>
      <c r="H250" s="186">
        <f t="shared" si="45"/>
        <v>0</v>
      </c>
      <c r="I250" s="186">
        <f t="shared" si="45"/>
        <v>0</v>
      </c>
      <c r="J250" s="186">
        <f t="shared" si="45"/>
        <v>0</v>
      </c>
      <c r="K250" s="186">
        <f t="shared" si="45"/>
        <v>0</v>
      </c>
      <c r="L250" s="186">
        <f t="shared" si="45"/>
        <v>0</v>
      </c>
      <c r="M250" s="186">
        <f t="shared" si="45"/>
        <v>0</v>
      </c>
      <c r="N250" s="186">
        <f t="shared" si="45"/>
        <v>0</v>
      </c>
      <c r="O250" s="186">
        <f t="shared" si="45"/>
        <v>0</v>
      </c>
      <c r="P250" s="186">
        <f t="shared" si="45"/>
        <v>0</v>
      </c>
      <c r="Q250" s="186">
        <f t="shared" si="45"/>
        <v>0</v>
      </c>
      <c r="R250" s="186">
        <f t="shared" si="45"/>
        <v>0</v>
      </c>
      <c r="S250" s="186">
        <f t="shared" si="45"/>
        <v>0</v>
      </c>
      <c r="T250" s="186">
        <f t="shared" si="45"/>
        <v>0</v>
      </c>
      <c r="U250" s="186">
        <f t="shared" si="45"/>
        <v>0</v>
      </c>
      <c r="V250" s="186">
        <f t="shared" si="45"/>
        <v>0</v>
      </c>
      <c r="W250" s="186">
        <f t="shared" si="45"/>
        <v>0</v>
      </c>
      <c r="X250" s="186">
        <f t="shared" si="45"/>
        <v>0</v>
      </c>
      <c r="Y250" s="186">
        <f t="shared" si="45"/>
        <v>0</v>
      </c>
      <c r="Z250" s="186">
        <v>0</v>
      </c>
      <c r="AA250" s="186" t="e">
        <f>#REF!</f>
        <v>#REF!</v>
      </c>
      <c r="AB250" s="186">
        <f t="shared" ref="AB250:AL251" si="46">AA142</f>
        <v>0</v>
      </c>
      <c r="AC250" s="186">
        <f t="shared" si="46"/>
        <v>0</v>
      </c>
      <c r="AD250" s="186">
        <f t="shared" si="46"/>
        <v>0</v>
      </c>
      <c r="AE250" s="186">
        <f t="shared" si="46"/>
        <v>0</v>
      </c>
      <c r="AF250" s="186">
        <f t="shared" si="46"/>
        <v>0</v>
      </c>
      <c r="AG250" s="186">
        <f t="shared" si="46"/>
        <v>0</v>
      </c>
      <c r="AH250" s="186">
        <f t="shared" si="46"/>
        <v>0</v>
      </c>
      <c r="AI250" s="186">
        <f t="shared" si="46"/>
        <v>0</v>
      </c>
      <c r="AJ250" s="186">
        <f t="shared" si="46"/>
        <v>0</v>
      </c>
      <c r="AK250" s="186">
        <f t="shared" si="46"/>
        <v>0</v>
      </c>
      <c r="AL250" s="186">
        <f t="shared" si="46"/>
        <v>0</v>
      </c>
    </row>
    <row r="251" spans="1:38" ht="15" customHeight="1">
      <c r="A251" s="178" t="s">
        <v>337</v>
      </c>
      <c r="B251" s="179">
        <v>53</v>
      </c>
      <c r="C251" s="189">
        <f t="shared" si="45"/>
        <v>0</v>
      </c>
      <c r="D251" s="189">
        <f t="shared" si="45"/>
        <v>0</v>
      </c>
      <c r="E251" s="189">
        <f t="shared" si="45"/>
        <v>0</v>
      </c>
      <c r="F251" s="189">
        <f t="shared" si="45"/>
        <v>0</v>
      </c>
      <c r="G251" s="189">
        <f t="shared" si="45"/>
        <v>0</v>
      </c>
      <c r="H251" s="189">
        <f t="shared" si="45"/>
        <v>0</v>
      </c>
      <c r="I251" s="189">
        <f t="shared" si="45"/>
        <v>0</v>
      </c>
      <c r="J251" s="189">
        <f t="shared" si="45"/>
        <v>0</v>
      </c>
      <c r="K251" s="189">
        <f t="shared" si="45"/>
        <v>0</v>
      </c>
      <c r="L251" s="189">
        <f t="shared" si="45"/>
        <v>0</v>
      </c>
      <c r="M251" s="189">
        <f t="shared" si="45"/>
        <v>0</v>
      </c>
      <c r="N251" s="189">
        <f t="shared" si="45"/>
        <v>0</v>
      </c>
      <c r="O251" s="189">
        <f t="shared" si="45"/>
        <v>0</v>
      </c>
      <c r="P251" s="189">
        <f t="shared" si="45"/>
        <v>0</v>
      </c>
      <c r="Q251" s="189">
        <f t="shared" si="45"/>
        <v>0</v>
      </c>
      <c r="R251" s="189">
        <f t="shared" si="45"/>
        <v>0</v>
      </c>
      <c r="S251" s="189">
        <f t="shared" si="45"/>
        <v>0</v>
      </c>
      <c r="T251" s="189">
        <f t="shared" si="45"/>
        <v>0</v>
      </c>
      <c r="U251" s="189">
        <f t="shared" si="45"/>
        <v>0</v>
      </c>
      <c r="V251" s="189">
        <f t="shared" si="45"/>
        <v>0</v>
      </c>
      <c r="W251" s="189">
        <f t="shared" si="45"/>
        <v>0</v>
      </c>
      <c r="X251" s="189">
        <f t="shared" si="45"/>
        <v>0</v>
      </c>
      <c r="Y251" s="189">
        <f t="shared" si="45"/>
        <v>0</v>
      </c>
      <c r="Z251" s="189">
        <v>0</v>
      </c>
      <c r="AA251" s="189" t="e">
        <f>#REF!</f>
        <v>#REF!</v>
      </c>
      <c r="AB251" s="189">
        <f t="shared" si="46"/>
        <v>0</v>
      </c>
      <c r="AC251" s="189">
        <f t="shared" si="46"/>
        <v>0</v>
      </c>
      <c r="AD251" s="189">
        <f t="shared" si="46"/>
        <v>0</v>
      </c>
      <c r="AE251" s="189">
        <f t="shared" si="46"/>
        <v>0</v>
      </c>
      <c r="AF251" s="189">
        <f t="shared" si="46"/>
        <v>0</v>
      </c>
      <c r="AG251" s="189">
        <f t="shared" si="46"/>
        <v>0</v>
      </c>
      <c r="AH251" s="189">
        <f t="shared" si="46"/>
        <v>0</v>
      </c>
      <c r="AI251" s="189">
        <f t="shared" si="46"/>
        <v>0</v>
      </c>
      <c r="AJ251" s="189">
        <f t="shared" si="46"/>
        <v>0</v>
      </c>
      <c r="AK251" s="189">
        <f t="shared" si="46"/>
        <v>0</v>
      </c>
      <c r="AL251" s="189">
        <f t="shared" si="46"/>
        <v>0</v>
      </c>
    </row>
    <row r="252" spans="1:38" ht="15" customHeight="1">
      <c r="A252" s="194" t="s">
        <v>338</v>
      </c>
      <c r="B252" s="195">
        <v>54</v>
      </c>
      <c r="C252" s="187">
        <f>IFERROR(C251/C207,"")</f>
        <v>0</v>
      </c>
      <c r="D252" s="187">
        <f t="shared" ref="D252:AL252" si="47">IFERROR(D251/D207,"")</f>
        <v>0</v>
      </c>
      <c r="E252" s="187">
        <f t="shared" si="47"/>
        <v>0</v>
      </c>
      <c r="F252" s="187">
        <f t="shared" si="47"/>
        <v>0</v>
      </c>
      <c r="G252" s="187">
        <f t="shared" si="47"/>
        <v>0</v>
      </c>
      <c r="H252" s="187">
        <f t="shared" si="47"/>
        <v>0</v>
      </c>
      <c r="I252" s="187">
        <f t="shared" si="47"/>
        <v>0</v>
      </c>
      <c r="J252" s="187">
        <f t="shared" si="47"/>
        <v>0</v>
      </c>
      <c r="K252" s="187">
        <f t="shared" si="47"/>
        <v>0</v>
      </c>
      <c r="L252" s="187">
        <f t="shared" si="47"/>
        <v>0</v>
      </c>
      <c r="M252" s="187">
        <f t="shared" si="47"/>
        <v>0</v>
      </c>
      <c r="N252" s="187">
        <f t="shared" si="47"/>
        <v>0</v>
      </c>
      <c r="O252" s="187">
        <f t="shared" si="47"/>
        <v>0</v>
      </c>
      <c r="P252" s="187">
        <f t="shared" si="47"/>
        <v>0</v>
      </c>
      <c r="Q252" s="187">
        <f t="shared" si="47"/>
        <v>0</v>
      </c>
      <c r="R252" s="187">
        <f t="shared" si="47"/>
        <v>0</v>
      </c>
      <c r="S252" s="187">
        <f t="shared" si="47"/>
        <v>0</v>
      </c>
      <c r="T252" s="187">
        <f t="shared" si="47"/>
        <v>0</v>
      </c>
      <c r="U252" s="187">
        <f t="shared" si="47"/>
        <v>0</v>
      </c>
      <c r="V252" s="187">
        <f t="shared" si="47"/>
        <v>0</v>
      </c>
      <c r="W252" s="187">
        <f t="shared" si="47"/>
        <v>0</v>
      </c>
      <c r="X252" s="187">
        <f t="shared" si="47"/>
        <v>0</v>
      </c>
      <c r="Y252" s="187">
        <f t="shared" si="47"/>
        <v>0</v>
      </c>
      <c r="Z252" s="187">
        <v>0</v>
      </c>
      <c r="AA252" s="187" t="str">
        <f t="shared" si="47"/>
        <v/>
      </c>
      <c r="AB252" s="187">
        <f t="shared" si="47"/>
        <v>0</v>
      </c>
      <c r="AC252" s="187">
        <f t="shared" si="47"/>
        <v>0</v>
      </c>
      <c r="AD252" s="187">
        <f t="shared" si="47"/>
        <v>0</v>
      </c>
      <c r="AE252" s="187">
        <f t="shared" si="47"/>
        <v>0</v>
      </c>
      <c r="AF252" s="187">
        <f t="shared" si="47"/>
        <v>0</v>
      </c>
      <c r="AG252" s="187">
        <f t="shared" si="47"/>
        <v>0</v>
      </c>
      <c r="AH252" s="187">
        <f t="shared" si="47"/>
        <v>0</v>
      </c>
      <c r="AI252" s="187">
        <f t="shared" si="47"/>
        <v>0</v>
      </c>
      <c r="AJ252" s="187">
        <f t="shared" si="47"/>
        <v>0</v>
      </c>
      <c r="AK252" s="187">
        <f t="shared" si="47"/>
        <v>0</v>
      </c>
      <c r="AL252" s="187">
        <f t="shared" si="47"/>
        <v>0</v>
      </c>
    </row>
    <row r="253" spans="1:38" ht="15" customHeight="1">
      <c r="A253" s="350"/>
      <c r="B253" s="351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</row>
    <row r="254" spans="1:38" ht="15" customHeight="1">
      <c r="A254" s="327" t="s">
        <v>339</v>
      </c>
      <c r="B254" s="177" t="s">
        <v>369</v>
      </c>
      <c r="C254" s="353" t="s">
        <v>66</v>
      </c>
      <c r="D254" s="354" t="s">
        <v>67</v>
      </c>
      <c r="E254" s="354" t="s">
        <v>68</v>
      </c>
      <c r="F254" s="354" t="s">
        <v>69</v>
      </c>
      <c r="G254" s="354" t="s">
        <v>70</v>
      </c>
      <c r="H254" s="354" t="s">
        <v>71</v>
      </c>
      <c r="I254" s="353" t="s">
        <v>72</v>
      </c>
      <c r="J254" s="354" t="s">
        <v>73</v>
      </c>
      <c r="K254" s="354" t="s">
        <v>74</v>
      </c>
      <c r="L254" s="354" t="s">
        <v>75</v>
      </c>
      <c r="M254" s="354" t="s">
        <v>76</v>
      </c>
      <c r="N254" s="354" t="s">
        <v>77</v>
      </c>
      <c r="O254" s="354" t="s">
        <v>78</v>
      </c>
      <c r="P254" s="354" t="s">
        <v>79</v>
      </c>
      <c r="Q254" s="354" t="s">
        <v>80</v>
      </c>
      <c r="R254" s="354" t="s">
        <v>81</v>
      </c>
      <c r="S254" s="354" t="s">
        <v>82</v>
      </c>
      <c r="T254" s="354" t="s">
        <v>83</v>
      </c>
      <c r="U254" s="354" t="s">
        <v>84</v>
      </c>
      <c r="V254" s="354" t="s">
        <v>85</v>
      </c>
      <c r="W254" s="354" t="s">
        <v>86</v>
      </c>
      <c r="X254" s="354" t="s">
        <v>87</v>
      </c>
      <c r="Y254" s="354" t="s">
        <v>88</v>
      </c>
      <c r="Z254" s="354" t="s">
        <v>89</v>
      </c>
      <c r="AA254" s="354" t="s">
        <v>8</v>
      </c>
      <c r="AB254" s="354" t="s">
        <v>9</v>
      </c>
      <c r="AC254" s="354" t="s">
        <v>10</v>
      </c>
      <c r="AD254" s="354" t="s">
        <v>11</v>
      </c>
      <c r="AE254" s="354" t="s">
        <v>12</v>
      </c>
      <c r="AF254" s="354" t="s">
        <v>13</v>
      </c>
      <c r="AG254" s="354" t="s">
        <v>14</v>
      </c>
      <c r="AH254" s="354" t="s">
        <v>15</v>
      </c>
      <c r="AI254" s="354" t="s">
        <v>16</v>
      </c>
      <c r="AJ254" s="354" t="s">
        <v>17</v>
      </c>
      <c r="AK254" s="354" t="s">
        <v>18</v>
      </c>
      <c r="AL254" s="354" t="s">
        <v>19</v>
      </c>
    </row>
    <row r="255" spans="1:38" ht="15" customHeight="1">
      <c r="A255" s="196" t="s">
        <v>370</v>
      </c>
      <c r="B255" s="328">
        <v>1</v>
      </c>
      <c r="C255" s="355"/>
      <c r="D255" s="355"/>
      <c r="E255" s="355"/>
      <c r="F255" s="355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>
        <v>0</v>
      </c>
      <c r="AA255" s="199">
        <f>SUMIFS([1]!Data_Loan[Value],[1]!Data_Loan[Index Loan],'Dai Loc'!$B255,[1]!Data_Loan[TenCongTyID],'Dai Loc'!$B$1,[1]!Data_Loan[Thang.Nam],'Dai Loc'!AA$254)</f>
        <v>0</v>
      </c>
      <c r="AB255" s="199">
        <f>SUMIFS([1]!Data_Loan[Value],[1]!Data_Loan[Index Loan],'Dai Loc'!$B255,[1]!Data_Loan[TenCongTyID],'Dai Loc'!$B$1,[1]!Data_Loan[Thang.Nam],'Dai Loc'!AB$254)</f>
        <v>0</v>
      </c>
      <c r="AC255" s="199">
        <f>SUMIFS([1]!Data_Loan[Value],[1]!Data_Loan[Index Loan],'Dai Loc'!$B255,[1]!Data_Loan[TenCongTyID],'Dai Loc'!$B$1,[1]!Data_Loan[Thang.Nam],'Dai Loc'!AC$254)</f>
        <v>0</v>
      </c>
      <c r="AD255" s="199">
        <f>SUMIFS([1]!Data_Loan[Value],[1]!Data_Loan[Index Loan],'Dai Loc'!$B255,[1]!Data_Loan[TenCongTyID],'Dai Loc'!$B$1,[1]!Data_Loan[Thang.Nam],'Dai Loc'!AD$254)</f>
        <v>0</v>
      </c>
      <c r="AE255" s="199">
        <f>SUMIFS([1]!Data_Loan[Value],[1]!Data_Loan[Index Loan],'Dai Loc'!$B255,[1]!Data_Loan[TenCongTyID],'Dai Loc'!$B$1,[1]!Data_Loan[Thang.Nam],'Dai Loc'!AE$254)</f>
        <v>0</v>
      </c>
      <c r="AF255" s="199">
        <f>SUMIFS([1]!Data_Loan[Value],[1]!Data_Loan[Index Loan],'Dai Loc'!$B255,[1]!Data_Loan[TenCongTyID],'Dai Loc'!$B$1,[1]!Data_Loan[Thang.Nam],'Dai Loc'!AF$254)</f>
        <v>0</v>
      </c>
      <c r="AG255" s="199">
        <f>SUMIFS([1]!Data_Loan[Value],[1]!Data_Loan[Index Loan],'Dai Loc'!$B255,[1]!Data_Loan[TenCongTyID],'Dai Loc'!$B$1,[1]!Data_Loan[Thang.Nam],'Dai Loc'!AG$254)</f>
        <v>0</v>
      </c>
      <c r="AH255" s="199">
        <f>SUMIFS([1]!Data_Loan[Value],[1]!Data_Loan[Index Loan],'Dai Loc'!$B255,[1]!Data_Loan[TenCongTyID],'Dai Loc'!$B$1,[1]!Data_Loan[Thang.Nam],'Dai Loc'!AH$254)</f>
        <v>0</v>
      </c>
      <c r="AI255" s="199">
        <f>SUMIFS([1]!Data_Loan[Value],[1]!Data_Loan[Index Loan],'Dai Loc'!$B255,[1]!Data_Loan[TenCongTyID],'Dai Loc'!$B$1,[1]!Data_Loan[Thang.Nam],'Dai Loc'!AI$254)</f>
        <v>0</v>
      </c>
      <c r="AJ255" s="199">
        <f>SUMIFS([1]!Data_Loan[Value],[1]!Data_Loan[Index Loan],'Dai Loc'!$B255,[1]!Data_Loan[TenCongTyID],'Dai Loc'!$B$1,[1]!Data_Loan[Thang.Nam],'Dai Loc'!AJ$254)</f>
        <v>0</v>
      </c>
      <c r="AK255" s="199">
        <f>SUMIFS([1]!Data_Loan[Value],[1]!Data_Loan[Index Loan],'Dai Loc'!$B255,[1]!Data_Loan[TenCongTyID],'Dai Loc'!$B$1,[1]!Data_Loan[Thang.Nam],'Dai Loc'!AK$254)</f>
        <v>0</v>
      </c>
      <c r="AL255" s="199">
        <f>SUMIFS([1]!Data_Loan[Value],[1]!Data_Loan[Index Loan],'Dai Loc'!$B255,[1]!Data_Loan[TenCongTyID],'Dai Loc'!$B$1,[1]!Data_Loan[Thang.Nam],'Dai Loc'!AL$254)</f>
        <v>0</v>
      </c>
    </row>
    <row r="256" spans="1:38" ht="15" customHeight="1">
      <c r="A256" s="200" t="s">
        <v>341</v>
      </c>
      <c r="B256" s="329">
        <v>2</v>
      </c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>
        <v>0</v>
      </c>
      <c r="AA256" s="201">
        <f>SUMIFS([1]!Data_Loan[Value],[1]!Data_Loan[Index Loan],'Dai Loc'!$B256,[1]!Data_Loan[TenCongTyID],'Dai Loc'!$B$1,[1]!Data_Loan[Thang.Nam],'Dai Loc'!AA$254)</f>
        <v>0</v>
      </c>
      <c r="AB256" s="201">
        <f>SUMIFS([1]!Data_Loan[Value],[1]!Data_Loan[Index Loan],'Dai Loc'!$B256,[1]!Data_Loan[TenCongTyID],'Dai Loc'!$B$1,[1]!Data_Loan[Thang.Nam],'Dai Loc'!AB$254)</f>
        <v>0</v>
      </c>
      <c r="AC256" s="201">
        <f>SUMIFS([1]!Data_Loan[Value],[1]!Data_Loan[Index Loan],'Dai Loc'!$B256,[1]!Data_Loan[TenCongTyID],'Dai Loc'!$B$1,[1]!Data_Loan[Thang.Nam],'Dai Loc'!AC$254)</f>
        <v>0</v>
      </c>
      <c r="AD256" s="201">
        <f>SUMIFS([1]!Data_Loan[Value],[1]!Data_Loan[Index Loan],'Dai Loc'!$B256,[1]!Data_Loan[TenCongTyID],'Dai Loc'!$B$1,[1]!Data_Loan[Thang.Nam],'Dai Loc'!AD$254)</f>
        <v>0</v>
      </c>
      <c r="AE256" s="201">
        <f>SUMIFS([1]!Data_Loan[Value],[1]!Data_Loan[Index Loan],'Dai Loc'!$B256,[1]!Data_Loan[TenCongTyID],'Dai Loc'!$B$1,[1]!Data_Loan[Thang.Nam],'Dai Loc'!AE$254)</f>
        <v>0</v>
      </c>
      <c r="AF256" s="201">
        <f>SUMIFS([1]!Data_Loan[Value],[1]!Data_Loan[Index Loan],'Dai Loc'!$B256,[1]!Data_Loan[TenCongTyID],'Dai Loc'!$B$1,[1]!Data_Loan[Thang.Nam],'Dai Loc'!AF$254)</f>
        <v>0</v>
      </c>
      <c r="AG256" s="201">
        <f>SUMIFS([1]!Data_Loan[Value],[1]!Data_Loan[Index Loan],'Dai Loc'!$B256,[1]!Data_Loan[TenCongTyID],'Dai Loc'!$B$1,[1]!Data_Loan[Thang.Nam],'Dai Loc'!AG$254)</f>
        <v>0</v>
      </c>
      <c r="AH256" s="201">
        <f>SUMIFS([1]!Data_Loan[Value],[1]!Data_Loan[Index Loan],'Dai Loc'!$B256,[1]!Data_Loan[TenCongTyID],'Dai Loc'!$B$1,[1]!Data_Loan[Thang.Nam],'Dai Loc'!AH$254)</f>
        <v>0</v>
      </c>
      <c r="AI256" s="201">
        <f>SUMIFS([1]!Data_Loan[Value],[1]!Data_Loan[Index Loan],'Dai Loc'!$B256,[1]!Data_Loan[TenCongTyID],'Dai Loc'!$B$1,[1]!Data_Loan[Thang.Nam],'Dai Loc'!AI$254)</f>
        <v>0</v>
      </c>
      <c r="AJ256" s="201">
        <f>SUMIFS([1]!Data_Loan[Value],[1]!Data_Loan[Index Loan],'Dai Loc'!$B256,[1]!Data_Loan[TenCongTyID],'Dai Loc'!$B$1,[1]!Data_Loan[Thang.Nam],'Dai Loc'!AJ$254)</f>
        <v>0</v>
      </c>
      <c r="AK256" s="201">
        <f>SUMIFS([1]!Data_Loan[Value],[1]!Data_Loan[Index Loan],'Dai Loc'!$B256,[1]!Data_Loan[TenCongTyID],'Dai Loc'!$B$1,[1]!Data_Loan[Thang.Nam],'Dai Loc'!AK$254)</f>
        <v>0</v>
      </c>
      <c r="AL256" s="201">
        <f>SUMIFS([1]!Data_Loan[Value],[1]!Data_Loan[Index Loan],'Dai Loc'!$B256,[1]!Data_Loan[TenCongTyID],'Dai Loc'!$B$1,[1]!Data_Loan[Thang.Nam],'Dai Loc'!AL$254)</f>
        <v>0</v>
      </c>
    </row>
    <row r="257" spans="1:38" ht="15" customHeight="1">
      <c r="A257" s="200" t="s">
        <v>342</v>
      </c>
      <c r="B257" s="329">
        <v>3</v>
      </c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>
        <v>0</v>
      </c>
      <c r="AA257" s="201">
        <f>SUMIFS([1]!Data_Loan[Value],[1]!Data_Loan[Index Loan],'Dai Loc'!$B257,[1]!Data_Loan[TenCongTyID],'Dai Loc'!$B$1,[1]!Data_Loan[Thang.Nam],'Dai Loc'!AA$254)</f>
        <v>0</v>
      </c>
      <c r="AB257" s="201">
        <f>SUMIFS([1]!Data_Loan[Value],[1]!Data_Loan[Index Loan],'Dai Loc'!$B257,[1]!Data_Loan[TenCongTyID],'Dai Loc'!$B$1,[1]!Data_Loan[Thang.Nam],'Dai Loc'!AB$254)</f>
        <v>0</v>
      </c>
      <c r="AC257" s="201">
        <f>SUMIFS([1]!Data_Loan[Value],[1]!Data_Loan[Index Loan],'Dai Loc'!$B257,[1]!Data_Loan[TenCongTyID],'Dai Loc'!$B$1,[1]!Data_Loan[Thang.Nam],'Dai Loc'!AC$254)</f>
        <v>0</v>
      </c>
      <c r="AD257" s="201">
        <f>SUMIFS([1]!Data_Loan[Value],[1]!Data_Loan[Index Loan],'Dai Loc'!$B257,[1]!Data_Loan[TenCongTyID],'Dai Loc'!$B$1,[1]!Data_Loan[Thang.Nam],'Dai Loc'!AD$254)</f>
        <v>0</v>
      </c>
      <c r="AE257" s="201">
        <f>SUMIFS([1]!Data_Loan[Value],[1]!Data_Loan[Index Loan],'Dai Loc'!$B257,[1]!Data_Loan[TenCongTyID],'Dai Loc'!$B$1,[1]!Data_Loan[Thang.Nam],'Dai Loc'!AE$254)</f>
        <v>0</v>
      </c>
      <c r="AF257" s="201">
        <f>SUMIFS([1]!Data_Loan[Value],[1]!Data_Loan[Index Loan],'Dai Loc'!$B257,[1]!Data_Loan[TenCongTyID],'Dai Loc'!$B$1,[1]!Data_Loan[Thang.Nam],'Dai Loc'!AF$254)</f>
        <v>0</v>
      </c>
      <c r="AG257" s="201">
        <f>SUMIFS([1]!Data_Loan[Value],[1]!Data_Loan[Index Loan],'Dai Loc'!$B257,[1]!Data_Loan[TenCongTyID],'Dai Loc'!$B$1,[1]!Data_Loan[Thang.Nam],'Dai Loc'!AG$254)</f>
        <v>0</v>
      </c>
      <c r="AH257" s="201">
        <f>SUMIFS([1]!Data_Loan[Value],[1]!Data_Loan[Index Loan],'Dai Loc'!$B257,[1]!Data_Loan[TenCongTyID],'Dai Loc'!$B$1,[1]!Data_Loan[Thang.Nam],'Dai Loc'!AH$254)</f>
        <v>0</v>
      </c>
      <c r="AI257" s="201">
        <f>SUMIFS([1]!Data_Loan[Value],[1]!Data_Loan[Index Loan],'Dai Loc'!$B257,[1]!Data_Loan[TenCongTyID],'Dai Loc'!$B$1,[1]!Data_Loan[Thang.Nam],'Dai Loc'!AI$254)</f>
        <v>0</v>
      </c>
      <c r="AJ257" s="201">
        <f>SUMIFS([1]!Data_Loan[Value],[1]!Data_Loan[Index Loan],'Dai Loc'!$B257,[1]!Data_Loan[TenCongTyID],'Dai Loc'!$B$1,[1]!Data_Loan[Thang.Nam],'Dai Loc'!AJ$254)</f>
        <v>0</v>
      </c>
      <c r="AK257" s="201">
        <f>SUMIFS([1]!Data_Loan[Value],[1]!Data_Loan[Index Loan],'Dai Loc'!$B257,[1]!Data_Loan[TenCongTyID],'Dai Loc'!$B$1,[1]!Data_Loan[Thang.Nam],'Dai Loc'!AK$254)</f>
        <v>0</v>
      </c>
      <c r="AL257" s="201">
        <f>SUMIFS([1]!Data_Loan[Value],[1]!Data_Loan[Index Loan],'Dai Loc'!$B257,[1]!Data_Loan[TenCongTyID],'Dai Loc'!$B$1,[1]!Data_Loan[Thang.Nam],'Dai Loc'!AL$254)</f>
        <v>0</v>
      </c>
    </row>
    <row r="258" spans="1:38" ht="15" customHeight="1">
      <c r="A258" s="200" t="s">
        <v>343</v>
      </c>
      <c r="B258" s="329">
        <v>4</v>
      </c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>
        <v>0</v>
      </c>
      <c r="AA258" s="201">
        <f>SUMIFS([1]!Data_Loan[Value],[1]!Data_Loan[Index Loan],'Dai Loc'!$B258,[1]!Data_Loan[TenCongTyID],'Dai Loc'!$B$1,[1]!Data_Loan[Thang.Nam],'Dai Loc'!AA$254)</f>
        <v>0</v>
      </c>
      <c r="AB258" s="201">
        <f>SUMIFS([1]!Data_Loan[Value],[1]!Data_Loan[Index Loan],'Dai Loc'!$B258,[1]!Data_Loan[TenCongTyID],'Dai Loc'!$B$1,[1]!Data_Loan[Thang.Nam],'Dai Loc'!AB$254)</f>
        <v>0</v>
      </c>
      <c r="AC258" s="201">
        <f>SUMIFS([1]!Data_Loan[Value],[1]!Data_Loan[Index Loan],'Dai Loc'!$B258,[1]!Data_Loan[TenCongTyID],'Dai Loc'!$B$1,[1]!Data_Loan[Thang.Nam],'Dai Loc'!AC$254)</f>
        <v>0</v>
      </c>
      <c r="AD258" s="201">
        <f>SUMIFS([1]!Data_Loan[Value],[1]!Data_Loan[Index Loan],'Dai Loc'!$B258,[1]!Data_Loan[TenCongTyID],'Dai Loc'!$B$1,[1]!Data_Loan[Thang.Nam],'Dai Loc'!AD$254)</f>
        <v>0</v>
      </c>
      <c r="AE258" s="201">
        <f>SUMIFS([1]!Data_Loan[Value],[1]!Data_Loan[Index Loan],'Dai Loc'!$B258,[1]!Data_Loan[TenCongTyID],'Dai Loc'!$B$1,[1]!Data_Loan[Thang.Nam],'Dai Loc'!AE$254)</f>
        <v>0</v>
      </c>
      <c r="AF258" s="201">
        <f>SUMIFS([1]!Data_Loan[Value],[1]!Data_Loan[Index Loan],'Dai Loc'!$B258,[1]!Data_Loan[TenCongTyID],'Dai Loc'!$B$1,[1]!Data_Loan[Thang.Nam],'Dai Loc'!AF$254)</f>
        <v>0</v>
      </c>
      <c r="AG258" s="201">
        <f>SUMIFS([1]!Data_Loan[Value],[1]!Data_Loan[Index Loan],'Dai Loc'!$B258,[1]!Data_Loan[TenCongTyID],'Dai Loc'!$B$1,[1]!Data_Loan[Thang.Nam],'Dai Loc'!AG$254)</f>
        <v>0</v>
      </c>
      <c r="AH258" s="201">
        <f>SUMIFS([1]!Data_Loan[Value],[1]!Data_Loan[Index Loan],'Dai Loc'!$B258,[1]!Data_Loan[TenCongTyID],'Dai Loc'!$B$1,[1]!Data_Loan[Thang.Nam],'Dai Loc'!AH$254)</f>
        <v>0</v>
      </c>
      <c r="AI258" s="201">
        <f>SUMIFS([1]!Data_Loan[Value],[1]!Data_Loan[Index Loan],'Dai Loc'!$B258,[1]!Data_Loan[TenCongTyID],'Dai Loc'!$B$1,[1]!Data_Loan[Thang.Nam],'Dai Loc'!AI$254)</f>
        <v>0</v>
      </c>
      <c r="AJ258" s="201">
        <f>SUMIFS([1]!Data_Loan[Value],[1]!Data_Loan[Index Loan],'Dai Loc'!$B258,[1]!Data_Loan[TenCongTyID],'Dai Loc'!$B$1,[1]!Data_Loan[Thang.Nam],'Dai Loc'!AJ$254)</f>
        <v>0</v>
      </c>
      <c r="AK258" s="201">
        <f>SUMIFS([1]!Data_Loan[Value],[1]!Data_Loan[Index Loan],'Dai Loc'!$B258,[1]!Data_Loan[TenCongTyID],'Dai Loc'!$B$1,[1]!Data_Loan[Thang.Nam],'Dai Loc'!AK$254)</f>
        <v>0</v>
      </c>
      <c r="AL258" s="201">
        <f>SUMIFS([1]!Data_Loan[Value],[1]!Data_Loan[Index Loan],'Dai Loc'!$B258,[1]!Data_Loan[TenCongTyID],'Dai Loc'!$B$1,[1]!Data_Loan[Thang.Nam],'Dai Loc'!AL$254)</f>
        <v>0</v>
      </c>
    </row>
    <row r="259" spans="1:38" ht="15" customHeight="1">
      <c r="A259" s="200" t="s">
        <v>344</v>
      </c>
      <c r="B259" s="329">
        <v>5</v>
      </c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>
        <v>0</v>
      </c>
      <c r="AA259" s="201">
        <f>SUMIFS([1]!Data_Loan[Value],[1]!Data_Loan[Index Loan],'Dai Loc'!$B259,[1]!Data_Loan[TenCongTyID],'Dai Loc'!$B$1,[1]!Data_Loan[Thang.Nam],'Dai Loc'!AA$254)</f>
        <v>0</v>
      </c>
      <c r="AB259" s="201">
        <f>SUMIFS([1]!Data_Loan[Value],[1]!Data_Loan[Index Loan],'Dai Loc'!$B259,[1]!Data_Loan[TenCongTyID],'Dai Loc'!$B$1,[1]!Data_Loan[Thang.Nam],'Dai Loc'!AB$254)</f>
        <v>0</v>
      </c>
      <c r="AC259" s="201">
        <f>SUMIFS([1]!Data_Loan[Value],[1]!Data_Loan[Index Loan],'Dai Loc'!$B259,[1]!Data_Loan[TenCongTyID],'Dai Loc'!$B$1,[1]!Data_Loan[Thang.Nam],'Dai Loc'!AC$254)</f>
        <v>0</v>
      </c>
      <c r="AD259" s="201">
        <f>SUMIFS([1]!Data_Loan[Value],[1]!Data_Loan[Index Loan],'Dai Loc'!$B259,[1]!Data_Loan[TenCongTyID],'Dai Loc'!$B$1,[1]!Data_Loan[Thang.Nam],'Dai Loc'!AD$254)</f>
        <v>0</v>
      </c>
      <c r="AE259" s="201">
        <f>SUMIFS([1]!Data_Loan[Value],[1]!Data_Loan[Index Loan],'Dai Loc'!$B259,[1]!Data_Loan[TenCongTyID],'Dai Loc'!$B$1,[1]!Data_Loan[Thang.Nam],'Dai Loc'!AE$254)</f>
        <v>0</v>
      </c>
      <c r="AF259" s="201">
        <f>SUMIFS([1]!Data_Loan[Value],[1]!Data_Loan[Index Loan],'Dai Loc'!$B259,[1]!Data_Loan[TenCongTyID],'Dai Loc'!$B$1,[1]!Data_Loan[Thang.Nam],'Dai Loc'!AF$254)</f>
        <v>0</v>
      </c>
      <c r="AG259" s="201">
        <f>SUMIFS([1]!Data_Loan[Value],[1]!Data_Loan[Index Loan],'Dai Loc'!$B259,[1]!Data_Loan[TenCongTyID],'Dai Loc'!$B$1,[1]!Data_Loan[Thang.Nam],'Dai Loc'!AG$254)</f>
        <v>0</v>
      </c>
      <c r="AH259" s="201">
        <f>SUMIFS([1]!Data_Loan[Value],[1]!Data_Loan[Index Loan],'Dai Loc'!$B259,[1]!Data_Loan[TenCongTyID],'Dai Loc'!$B$1,[1]!Data_Loan[Thang.Nam],'Dai Loc'!AH$254)</f>
        <v>0</v>
      </c>
      <c r="AI259" s="201">
        <f>SUMIFS([1]!Data_Loan[Value],[1]!Data_Loan[Index Loan],'Dai Loc'!$B259,[1]!Data_Loan[TenCongTyID],'Dai Loc'!$B$1,[1]!Data_Loan[Thang.Nam],'Dai Loc'!AI$254)</f>
        <v>0</v>
      </c>
      <c r="AJ259" s="201">
        <f>SUMIFS([1]!Data_Loan[Value],[1]!Data_Loan[Index Loan],'Dai Loc'!$B259,[1]!Data_Loan[TenCongTyID],'Dai Loc'!$B$1,[1]!Data_Loan[Thang.Nam],'Dai Loc'!AJ$254)</f>
        <v>0</v>
      </c>
      <c r="AK259" s="201">
        <f>SUMIFS([1]!Data_Loan[Value],[1]!Data_Loan[Index Loan],'Dai Loc'!$B259,[1]!Data_Loan[TenCongTyID],'Dai Loc'!$B$1,[1]!Data_Loan[Thang.Nam],'Dai Loc'!AK$254)</f>
        <v>0</v>
      </c>
      <c r="AL259" s="201">
        <f>SUMIFS([1]!Data_Loan[Value],[1]!Data_Loan[Index Loan],'Dai Loc'!$B259,[1]!Data_Loan[TenCongTyID],'Dai Loc'!$B$1,[1]!Data_Loan[Thang.Nam],'Dai Loc'!AL$254)</f>
        <v>0</v>
      </c>
    </row>
    <row r="260" spans="1:38" ht="15" customHeight="1">
      <c r="A260" s="200" t="s">
        <v>345</v>
      </c>
      <c r="B260" s="329">
        <v>6</v>
      </c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>
        <v>0</v>
      </c>
      <c r="AA260" s="201">
        <f>SUMIFS([1]!Data_Loan[Value],[1]!Data_Loan[Index Loan],'Dai Loc'!$B260,[1]!Data_Loan[TenCongTyID],'Dai Loc'!$B$1,[1]!Data_Loan[Thang.Nam],'Dai Loc'!AA$254)</f>
        <v>0</v>
      </c>
      <c r="AB260" s="201">
        <f>SUMIFS([1]!Data_Loan[Value],[1]!Data_Loan[Index Loan],'Dai Loc'!$B260,[1]!Data_Loan[TenCongTyID],'Dai Loc'!$B$1,[1]!Data_Loan[Thang.Nam],'Dai Loc'!AB$254)</f>
        <v>0</v>
      </c>
      <c r="AC260" s="201">
        <f>SUMIFS([1]!Data_Loan[Value],[1]!Data_Loan[Index Loan],'Dai Loc'!$B260,[1]!Data_Loan[TenCongTyID],'Dai Loc'!$B$1,[1]!Data_Loan[Thang.Nam],'Dai Loc'!AC$254)</f>
        <v>0</v>
      </c>
      <c r="AD260" s="201">
        <f>SUMIFS([1]!Data_Loan[Value],[1]!Data_Loan[Index Loan],'Dai Loc'!$B260,[1]!Data_Loan[TenCongTyID],'Dai Loc'!$B$1,[1]!Data_Loan[Thang.Nam],'Dai Loc'!AD$254)</f>
        <v>0</v>
      </c>
      <c r="AE260" s="201">
        <f>SUMIFS([1]!Data_Loan[Value],[1]!Data_Loan[Index Loan],'Dai Loc'!$B260,[1]!Data_Loan[TenCongTyID],'Dai Loc'!$B$1,[1]!Data_Loan[Thang.Nam],'Dai Loc'!AE$254)</f>
        <v>0</v>
      </c>
      <c r="AF260" s="201">
        <f>SUMIFS([1]!Data_Loan[Value],[1]!Data_Loan[Index Loan],'Dai Loc'!$B260,[1]!Data_Loan[TenCongTyID],'Dai Loc'!$B$1,[1]!Data_Loan[Thang.Nam],'Dai Loc'!AF$254)</f>
        <v>0</v>
      </c>
      <c r="AG260" s="201">
        <f>SUMIFS([1]!Data_Loan[Value],[1]!Data_Loan[Index Loan],'Dai Loc'!$B260,[1]!Data_Loan[TenCongTyID],'Dai Loc'!$B$1,[1]!Data_Loan[Thang.Nam],'Dai Loc'!AG$254)</f>
        <v>0</v>
      </c>
      <c r="AH260" s="201">
        <f>SUMIFS([1]!Data_Loan[Value],[1]!Data_Loan[Index Loan],'Dai Loc'!$B260,[1]!Data_Loan[TenCongTyID],'Dai Loc'!$B$1,[1]!Data_Loan[Thang.Nam],'Dai Loc'!AH$254)</f>
        <v>0</v>
      </c>
      <c r="AI260" s="201">
        <f>SUMIFS([1]!Data_Loan[Value],[1]!Data_Loan[Index Loan],'Dai Loc'!$B260,[1]!Data_Loan[TenCongTyID],'Dai Loc'!$B$1,[1]!Data_Loan[Thang.Nam],'Dai Loc'!AI$254)</f>
        <v>0</v>
      </c>
      <c r="AJ260" s="201">
        <f>SUMIFS([1]!Data_Loan[Value],[1]!Data_Loan[Index Loan],'Dai Loc'!$B260,[1]!Data_Loan[TenCongTyID],'Dai Loc'!$B$1,[1]!Data_Loan[Thang.Nam],'Dai Loc'!AJ$254)</f>
        <v>0</v>
      </c>
      <c r="AK260" s="201">
        <f>SUMIFS([1]!Data_Loan[Value],[1]!Data_Loan[Index Loan],'Dai Loc'!$B260,[1]!Data_Loan[TenCongTyID],'Dai Loc'!$B$1,[1]!Data_Loan[Thang.Nam],'Dai Loc'!AK$254)</f>
        <v>0</v>
      </c>
      <c r="AL260" s="201">
        <f>SUMIFS([1]!Data_Loan[Value],[1]!Data_Loan[Index Loan],'Dai Loc'!$B260,[1]!Data_Loan[TenCongTyID],'Dai Loc'!$B$1,[1]!Data_Loan[Thang.Nam],'Dai Loc'!AL$254)</f>
        <v>0</v>
      </c>
    </row>
    <row r="261" spans="1:38" ht="15" customHeight="1">
      <c r="A261" s="200" t="s">
        <v>346</v>
      </c>
      <c r="B261" s="329">
        <v>7</v>
      </c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>
        <v>0</v>
      </c>
      <c r="AA261" s="201">
        <f>SUMIFS([1]!Data_Loan[Value],[1]!Data_Loan[Index Loan],'Dai Loc'!$B261,[1]!Data_Loan[TenCongTyID],'Dai Loc'!$B$1,[1]!Data_Loan[Thang.Nam],'Dai Loc'!AA$254)</f>
        <v>0</v>
      </c>
      <c r="AB261" s="201">
        <f>SUMIFS([1]!Data_Loan[Value],[1]!Data_Loan[Index Loan],'Dai Loc'!$B261,[1]!Data_Loan[TenCongTyID],'Dai Loc'!$B$1,[1]!Data_Loan[Thang.Nam],'Dai Loc'!AB$254)</f>
        <v>0</v>
      </c>
      <c r="AC261" s="201">
        <f>SUMIFS([1]!Data_Loan[Value],[1]!Data_Loan[Index Loan],'Dai Loc'!$B261,[1]!Data_Loan[TenCongTyID],'Dai Loc'!$B$1,[1]!Data_Loan[Thang.Nam],'Dai Loc'!AC$254)</f>
        <v>0</v>
      </c>
      <c r="AD261" s="201">
        <f>SUMIFS([1]!Data_Loan[Value],[1]!Data_Loan[Index Loan],'Dai Loc'!$B261,[1]!Data_Loan[TenCongTyID],'Dai Loc'!$B$1,[1]!Data_Loan[Thang.Nam],'Dai Loc'!AD$254)</f>
        <v>0</v>
      </c>
      <c r="AE261" s="201">
        <f>SUMIFS([1]!Data_Loan[Value],[1]!Data_Loan[Index Loan],'Dai Loc'!$B261,[1]!Data_Loan[TenCongTyID],'Dai Loc'!$B$1,[1]!Data_Loan[Thang.Nam],'Dai Loc'!AE$254)</f>
        <v>0</v>
      </c>
      <c r="AF261" s="201">
        <f>SUMIFS([1]!Data_Loan[Value],[1]!Data_Loan[Index Loan],'Dai Loc'!$B261,[1]!Data_Loan[TenCongTyID],'Dai Loc'!$B$1,[1]!Data_Loan[Thang.Nam],'Dai Loc'!AF$254)</f>
        <v>0</v>
      </c>
      <c r="AG261" s="201">
        <f>SUMIFS([1]!Data_Loan[Value],[1]!Data_Loan[Index Loan],'Dai Loc'!$B261,[1]!Data_Loan[TenCongTyID],'Dai Loc'!$B$1,[1]!Data_Loan[Thang.Nam],'Dai Loc'!AG$254)</f>
        <v>0</v>
      </c>
      <c r="AH261" s="201">
        <f>SUMIFS([1]!Data_Loan[Value],[1]!Data_Loan[Index Loan],'Dai Loc'!$B261,[1]!Data_Loan[TenCongTyID],'Dai Loc'!$B$1,[1]!Data_Loan[Thang.Nam],'Dai Loc'!AH$254)</f>
        <v>0</v>
      </c>
      <c r="AI261" s="201">
        <f>SUMIFS([1]!Data_Loan[Value],[1]!Data_Loan[Index Loan],'Dai Loc'!$B261,[1]!Data_Loan[TenCongTyID],'Dai Loc'!$B$1,[1]!Data_Loan[Thang.Nam],'Dai Loc'!AI$254)</f>
        <v>0</v>
      </c>
      <c r="AJ261" s="201">
        <f>SUMIFS([1]!Data_Loan[Value],[1]!Data_Loan[Index Loan],'Dai Loc'!$B261,[1]!Data_Loan[TenCongTyID],'Dai Loc'!$B$1,[1]!Data_Loan[Thang.Nam],'Dai Loc'!AJ$254)</f>
        <v>0</v>
      </c>
      <c r="AK261" s="201">
        <f>SUMIFS([1]!Data_Loan[Value],[1]!Data_Loan[Index Loan],'Dai Loc'!$B261,[1]!Data_Loan[TenCongTyID],'Dai Loc'!$B$1,[1]!Data_Loan[Thang.Nam],'Dai Loc'!AK$254)</f>
        <v>0</v>
      </c>
      <c r="AL261" s="201">
        <f>SUMIFS([1]!Data_Loan[Value],[1]!Data_Loan[Index Loan],'Dai Loc'!$B261,[1]!Data_Loan[TenCongTyID],'Dai Loc'!$B$1,[1]!Data_Loan[Thang.Nam],'Dai Loc'!AL$254)</f>
        <v>0</v>
      </c>
    </row>
    <row r="262" spans="1:38" ht="15" customHeight="1">
      <c r="A262" s="200" t="s">
        <v>347</v>
      </c>
      <c r="B262" s="329">
        <v>8</v>
      </c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>
        <v>0</v>
      </c>
      <c r="AA262" s="201">
        <f>SUMIFS([1]!Data_Loan[Value],[1]!Data_Loan[Index Loan],'Dai Loc'!$B262,[1]!Data_Loan[TenCongTyID],'Dai Loc'!$B$1,[1]!Data_Loan[Thang.Nam],'Dai Loc'!AA$254)</f>
        <v>0</v>
      </c>
      <c r="AB262" s="201">
        <f>SUMIFS([1]!Data_Loan[Value],[1]!Data_Loan[Index Loan],'Dai Loc'!$B262,[1]!Data_Loan[TenCongTyID],'Dai Loc'!$B$1,[1]!Data_Loan[Thang.Nam],'Dai Loc'!AB$254)</f>
        <v>0</v>
      </c>
      <c r="AC262" s="201">
        <f>SUMIFS([1]!Data_Loan[Value],[1]!Data_Loan[Index Loan],'Dai Loc'!$B262,[1]!Data_Loan[TenCongTyID],'Dai Loc'!$B$1,[1]!Data_Loan[Thang.Nam],'Dai Loc'!AC$254)</f>
        <v>0</v>
      </c>
      <c r="AD262" s="201">
        <f>SUMIFS([1]!Data_Loan[Value],[1]!Data_Loan[Index Loan],'Dai Loc'!$B262,[1]!Data_Loan[TenCongTyID],'Dai Loc'!$B$1,[1]!Data_Loan[Thang.Nam],'Dai Loc'!AD$254)</f>
        <v>0</v>
      </c>
      <c r="AE262" s="201">
        <f>SUMIFS([1]!Data_Loan[Value],[1]!Data_Loan[Index Loan],'Dai Loc'!$B262,[1]!Data_Loan[TenCongTyID],'Dai Loc'!$B$1,[1]!Data_Loan[Thang.Nam],'Dai Loc'!AE$254)</f>
        <v>0</v>
      </c>
      <c r="AF262" s="201">
        <f>SUMIFS([1]!Data_Loan[Value],[1]!Data_Loan[Index Loan],'Dai Loc'!$B262,[1]!Data_Loan[TenCongTyID],'Dai Loc'!$B$1,[1]!Data_Loan[Thang.Nam],'Dai Loc'!AF$254)</f>
        <v>0</v>
      </c>
      <c r="AG262" s="201">
        <f>SUMIFS([1]!Data_Loan[Value],[1]!Data_Loan[Index Loan],'Dai Loc'!$B262,[1]!Data_Loan[TenCongTyID],'Dai Loc'!$B$1,[1]!Data_Loan[Thang.Nam],'Dai Loc'!AG$254)</f>
        <v>0</v>
      </c>
      <c r="AH262" s="201">
        <f>SUMIFS([1]!Data_Loan[Value],[1]!Data_Loan[Index Loan],'Dai Loc'!$B262,[1]!Data_Loan[TenCongTyID],'Dai Loc'!$B$1,[1]!Data_Loan[Thang.Nam],'Dai Loc'!AH$254)</f>
        <v>0</v>
      </c>
      <c r="AI262" s="201">
        <f>SUMIFS([1]!Data_Loan[Value],[1]!Data_Loan[Index Loan],'Dai Loc'!$B262,[1]!Data_Loan[TenCongTyID],'Dai Loc'!$B$1,[1]!Data_Loan[Thang.Nam],'Dai Loc'!AI$254)</f>
        <v>0</v>
      </c>
      <c r="AJ262" s="201">
        <f>SUMIFS([1]!Data_Loan[Value],[1]!Data_Loan[Index Loan],'Dai Loc'!$B262,[1]!Data_Loan[TenCongTyID],'Dai Loc'!$B$1,[1]!Data_Loan[Thang.Nam],'Dai Loc'!AJ$254)</f>
        <v>0</v>
      </c>
      <c r="AK262" s="201">
        <f>SUMIFS([1]!Data_Loan[Value],[1]!Data_Loan[Index Loan],'Dai Loc'!$B262,[1]!Data_Loan[TenCongTyID],'Dai Loc'!$B$1,[1]!Data_Loan[Thang.Nam],'Dai Loc'!AK$254)</f>
        <v>0</v>
      </c>
      <c r="AL262" s="201">
        <f>SUMIFS([1]!Data_Loan[Value],[1]!Data_Loan[Index Loan],'Dai Loc'!$B262,[1]!Data_Loan[TenCongTyID],'Dai Loc'!$B$1,[1]!Data_Loan[Thang.Nam],'Dai Loc'!AL$254)</f>
        <v>0</v>
      </c>
    </row>
    <row r="263" spans="1:38" ht="15" customHeight="1">
      <c r="A263" s="200"/>
      <c r="B263" s="329">
        <v>9</v>
      </c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>
        <v>0</v>
      </c>
      <c r="AA263" s="201">
        <f>SUMIFS([1]!Data_Loan[Value],[1]!Data_Loan[Index Loan],'Dai Loc'!$B263,[1]!Data_Loan[TenCongTyID],'Dai Loc'!$B$1,[1]!Data_Loan[Thang.Nam],'Dai Loc'!AA$254)</f>
        <v>0</v>
      </c>
      <c r="AB263" s="201">
        <f>SUMIFS([1]!Data_Loan[Value],[1]!Data_Loan[Index Loan],'Dai Loc'!$B263,[1]!Data_Loan[TenCongTyID],'Dai Loc'!$B$1,[1]!Data_Loan[Thang.Nam],'Dai Loc'!AB$254)</f>
        <v>0</v>
      </c>
      <c r="AC263" s="201">
        <f>SUMIFS([1]!Data_Loan[Value],[1]!Data_Loan[Index Loan],'Dai Loc'!$B263,[1]!Data_Loan[TenCongTyID],'Dai Loc'!$B$1,[1]!Data_Loan[Thang.Nam],'Dai Loc'!AC$254)</f>
        <v>0</v>
      </c>
      <c r="AD263" s="201">
        <f>SUMIFS([1]!Data_Loan[Value],[1]!Data_Loan[Index Loan],'Dai Loc'!$B263,[1]!Data_Loan[TenCongTyID],'Dai Loc'!$B$1,[1]!Data_Loan[Thang.Nam],'Dai Loc'!AD$254)</f>
        <v>0</v>
      </c>
      <c r="AE263" s="201">
        <f>SUMIFS([1]!Data_Loan[Value],[1]!Data_Loan[Index Loan],'Dai Loc'!$B263,[1]!Data_Loan[TenCongTyID],'Dai Loc'!$B$1,[1]!Data_Loan[Thang.Nam],'Dai Loc'!AE$254)</f>
        <v>0</v>
      </c>
      <c r="AF263" s="201">
        <f>SUMIFS([1]!Data_Loan[Value],[1]!Data_Loan[Index Loan],'Dai Loc'!$B263,[1]!Data_Loan[TenCongTyID],'Dai Loc'!$B$1,[1]!Data_Loan[Thang.Nam],'Dai Loc'!AF$254)</f>
        <v>0</v>
      </c>
      <c r="AG263" s="201">
        <f>SUMIFS([1]!Data_Loan[Value],[1]!Data_Loan[Index Loan],'Dai Loc'!$B263,[1]!Data_Loan[TenCongTyID],'Dai Loc'!$B$1,[1]!Data_Loan[Thang.Nam],'Dai Loc'!AG$254)</f>
        <v>0</v>
      </c>
      <c r="AH263" s="201">
        <f>SUMIFS([1]!Data_Loan[Value],[1]!Data_Loan[Index Loan],'Dai Loc'!$B263,[1]!Data_Loan[TenCongTyID],'Dai Loc'!$B$1,[1]!Data_Loan[Thang.Nam],'Dai Loc'!AH$254)</f>
        <v>0</v>
      </c>
      <c r="AI263" s="201">
        <f>SUMIFS([1]!Data_Loan[Value],[1]!Data_Loan[Index Loan],'Dai Loc'!$B263,[1]!Data_Loan[TenCongTyID],'Dai Loc'!$B$1,[1]!Data_Loan[Thang.Nam],'Dai Loc'!AI$254)</f>
        <v>0</v>
      </c>
      <c r="AJ263" s="201">
        <f>SUMIFS([1]!Data_Loan[Value],[1]!Data_Loan[Index Loan],'Dai Loc'!$B263,[1]!Data_Loan[TenCongTyID],'Dai Loc'!$B$1,[1]!Data_Loan[Thang.Nam],'Dai Loc'!AJ$254)</f>
        <v>0</v>
      </c>
      <c r="AK263" s="201">
        <f>SUMIFS([1]!Data_Loan[Value],[1]!Data_Loan[Index Loan],'Dai Loc'!$B263,[1]!Data_Loan[TenCongTyID],'Dai Loc'!$B$1,[1]!Data_Loan[Thang.Nam],'Dai Loc'!AK$254)</f>
        <v>0</v>
      </c>
      <c r="AL263" s="201">
        <f>SUMIFS([1]!Data_Loan[Value],[1]!Data_Loan[Index Loan],'Dai Loc'!$B263,[1]!Data_Loan[TenCongTyID],'Dai Loc'!$B$1,[1]!Data_Loan[Thang.Nam],'Dai Loc'!AL$254)</f>
        <v>0</v>
      </c>
    </row>
    <row r="264" spans="1:38" ht="15" customHeight="1">
      <c r="A264" s="196" t="s">
        <v>340</v>
      </c>
      <c r="B264" s="328">
        <v>10</v>
      </c>
      <c r="C264" s="355"/>
      <c r="D264" s="355"/>
      <c r="E264" s="355"/>
      <c r="F264" s="355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>
        <v>0</v>
      </c>
      <c r="AA264" s="199">
        <f>SUMIFS([1]!Data_Loan[Value],[1]!Data_Loan[Index Loan],'Dai Loc'!$B264,[1]!Data_Loan[TenCongTyID],'Dai Loc'!$B$1,[1]!Data_Loan[Thang.Nam],'Dai Loc'!AA$254)</f>
        <v>0</v>
      </c>
      <c r="AB264" s="199">
        <f>SUMIFS([1]!Data_Loan[Value],[1]!Data_Loan[Index Loan],'Dai Loc'!$B264,[1]!Data_Loan[TenCongTyID],'Dai Loc'!$B$1,[1]!Data_Loan[Thang.Nam],'Dai Loc'!AB$254)</f>
        <v>0</v>
      </c>
      <c r="AC264" s="199">
        <f>SUMIFS([1]!Data_Loan[Value],[1]!Data_Loan[Index Loan],'Dai Loc'!$B264,[1]!Data_Loan[TenCongTyID],'Dai Loc'!$B$1,[1]!Data_Loan[Thang.Nam],'Dai Loc'!AC$254)</f>
        <v>0</v>
      </c>
      <c r="AD264" s="199">
        <f>SUMIFS([1]!Data_Loan[Value],[1]!Data_Loan[Index Loan],'Dai Loc'!$B264,[1]!Data_Loan[TenCongTyID],'Dai Loc'!$B$1,[1]!Data_Loan[Thang.Nam],'Dai Loc'!AD$254)</f>
        <v>0</v>
      </c>
      <c r="AE264" s="199">
        <f>SUMIFS([1]!Data_Loan[Value],[1]!Data_Loan[Index Loan],'Dai Loc'!$B264,[1]!Data_Loan[TenCongTyID],'Dai Loc'!$B$1,[1]!Data_Loan[Thang.Nam],'Dai Loc'!AE$254)</f>
        <v>0</v>
      </c>
      <c r="AF264" s="199">
        <f>SUMIFS([1]!Data_Loan[Value],[1]!Data_Loan[Index Loan],'Dai Loc'!$B264,[1]!Data_Loan[TenCongTyID],'Dai Loc'!$B$1,[1]!Data_Loan[Thang.Nam],'Dai Loc'!AF$254)</f>
        <v>0</v>
      </c>
      <c r="AG264" s="199">
        <f>SUMIFS([1]!Data_Loan[Value],[1]!Data_Loan[Index Loan],'Dai Loc'!$B264,[1]!Data_Loan[TenCongTyID],'Dai Loc'!$B$1,[1]!Data_Loan[Thang.Nam],'Dai Loc'!AG$254)</f>
        <v>0</v>
      </c>
      <c r="AH264" s="199">
        <f>SUMIFS([1]!Data_Loan[Value],[1]!Data_Loan[Index Loan],'Dai Loc'!$B264,[1]!Data_Loan[TenCongTyID],'Dai Loc'!$B$1,[1]!Data_Loan[Thang.Nam],'Dai Loc'!AH$254)</f>
        <v>0</v>
      </c>
      <c r="AI264" s="199">
        <f>SUMIFS([1]!Data_Loan[Value],[1]!Data_Loan[Index Loan],'Dai Loc'!$B264,[1]!Data_Loan[TenCongTyID],'Dai Loc'!$B$1,[1]!Data_Loan[Thang.Nam],'Dai Loc'!AI$254)</f>
        <v>0</v>
      </c>
      <c r="AJ264" s="199">
        <f>SUMIFS([1]!Data_Loan[Value],[1]!Data_Loan[Index Loan],'Dai Loc'!$B264,[1]!Data_Loan[TenCongTyID],'Dai Loc'!$B$1,[1]!Data_Loan[Thang.Nam],'Dai Loc'!AJ$254)</f>
        <v>0</v>
      </c>
      <c r="AK264" s="199">
        <f>SUMIFS([1]!Data_Loan[Value],[1]!Data_Loan[Index Loan],'Dai Loc'!$B264,[1]!Data_Loan[TenCongTyID],'Dai Loc'!$B$1,[1]!Data_Loan[Thang.Nam],'Dai Loc'!AK$254)</f>
        <v>0</v>
      </c>
      <c r="AL264" s="199">
        <f>SUMIFS([1]!Data_Loan[Value],[1]!Data_Loan[Index Loan],'Dai Loc'!$B264,[1]!Data_Loan[TenCongTyID],'Dai Loc'!$B$1,[1]!Data_Loan[Thang.Nam],'Dai Loc'!AL$254)</f>
        <v>0</v>
      </c>
    </row>
    <row r="265" spans="1:38" ht="15" customHeight="1">
      <c r="A265" s="200" t="s">
        <v>341</v>
      </c>
      <c r="B265" s="329">
        <v>11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>
        <v>0</v>
      </c>
      <c r="AA265" s="201">
        <f>SUMIFS([1]!Data_Loan[Value],[1]!Data_Loan[Index Loan],'Dai Loc'!$B265,[1]!Data_Loan[TenCongTyID],'Dai Loc'!$B$1,[1]!Data_Loan[Thang.Nam],'Dai Loc'!AA$254)</f>
        <v>0</v>
      </c>
      <c r="AB265" s="201">
        <f>SUMIFS([1]!Data_Loan[Value],[1]!Data_Loan[Index Loan],'Dai Loc'!$B265,[1]!Data_Loan[TenCongTyID],'Dai Loc'!$B$1,[1]!Data_Loan[Thang.Nam],'Dai Loc'!AB$254)</f>
        <v>0</v>
      </c>
      <c r="AC265" s="201">
        <f>SUMIFS([1]!Data_Loan[Value],[1]!Data_Loan[Index Loan],'Dai Loc'!$B265,[1]!Data_Loan[TenCongTyID],'Dai Loc'!$B$1,[1]!Data_Loan[Thang.Nam],'Dai Loc'!AC$254)</f>
        <v>0</v>
      </c>
      <c r="AD265" s="201">
        <f>SUMIFS([1]!Data_Loan[Value],[1]!Data_Loan[Index Loan],'Dai Loc'!$B265,[1]!Data_Loan[TenCongTyID],'Dai Loc'!$B$1,[1]!Data_Loan[Thang.Nam],'Dai Loc'!AD$254)</f>
        <v>0</v>
      </c>
      <c r="AE265" s="201">
        <f>SUMIFS([1]!Data_Loan[Value],[1]!Data_Loan[Index Loan],'Dai Loc'!$B265,[1]!Data_Loan[TenCongTyID],'Dai Loc'!$B$1,[1]!Data_Loan[Thang.Nam],'Dai Loc'!AE$254)</f>
        <v>0</v>
      </c>
      <c r="AF265" s="201">
        <f>SUMIFS([1]!Data_Loan[Value],[1]!Data_Loan[Index Loan],'Dai Loc'!$B265,[1]!Data_Loan[TenCongTyID],'Dai Loc'!$B$1,[1]!Data_Loan[Thang.Nam],'Dai Loc'!AF$254)</f>
        <v>0</v>
      </c>
      <c r="AG265" s="201">
        <f>SUMIFS([1]!Data_Loan[Value],[1]!Data_Loan[Index Loan],'Dai Loc'!$B265,[1]!Data_Loan[TenCongTyID],'Dai Loc'!$B$1,[1]!Data_Loan[Thang.Nam],'Dai Loc'!AG$254)</f>
        <v>0</v>
      </c>
      <c r="AH265" s="201">
        <f>SUMIFS([1]!Data_Loan[Value],[1]!Data_Loan[Index Loan],'Dai Loc'!$B265,[1]!Data_Loan[TenCongTyID],'Dai Loc'!$B$1,[1]!Data_Loan[Thang.Nam],'Dai Loc'!AH$254)</f>
        <v>0</v>
      </c>
      <c r="AI265" s="201">
        <f>SUMIFS([1]!Data_Loan[Value],[1]!Data_Loan[Index Loan],'Dai Loc'!$B265,[1]!Data_Loan[TenCongTyID],'Dai Loc'!$B$1,[1]!Data_Loan[Thang.Nam],'Dai Loc'!AI$254)</f>
        <v>0</v>
      </c>
      <c r="AJ265" s="201">
        <f>SUMIFS([1]!Data_Loan[Value],[1]!Data_Loan[Index Loan],'Dai Loc'!$B265,[1]!Data_Loan[TenCongTyID],'Dai Loc'!$B$1,[1]!Data_Loan[Thang.Nam],'Dai Loc'!AJ$254)</f>
        <v>0</v>
      </c>
      <c r="AK265" s="201">
        <f>SUMIFS([1]!Data_Loan[Value],[1]!Data_Loan[Index Loan],'Dai Loc'!$B265,[1]!Data_Loan[TenCongTyID],'Dai Loc'!$B$1,[1]!Data_Loan[Thang.Nam],'Dai Loc'!AK$254)</f>
        <v>0</v>
      </c>
      <c r="AL265" s="201">
        <f>SUMIFS([1]!Data_Loan[Value],[1]!Data_Loan[Index Loan],'Dai Loc'!$B265,[1]!Data_Loan[TenCongTyID],'Dai Loc'!$B$1,[1]!Data_Loan[Thang.Nam],'Dai Loc'!AL$254)</f>
        <v>0</v>
      </c>
    </row>
    <row r="266" spans="1:38" ht="15" customHeight="1">
      <c r="A266" s="200" t="s">
        <v>342</v>
      </c>
      <c r="B266" s="329">
        <v>12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>
        <v>0</v>
      </c>
      <c r="AA266" s="201">
        <f>SUMIFS([1]!Data_Loan[Value],[1]!Data_Loan[Index Loan],'Dai Loc'!$B266,[1]!Data_Loan[TenCongTyID],'Dai Loc'!$B$1,[1]!Data_Loan[Thang.Nam],'Dai Loc'!AA$254)</f>
        <v>0</v>
      </c>
      <c r="AB266" s="201">
        <f>SUMIFS([1]!Data_Loan[Value],[1]!Data_Loan[Index Loan],'Dai Loc'!$B266,[1]!Data_Loan[TenCongTyID],'Dai Loc'!$B$1,[1]!Data_Loan[Thang.Nam],'Dai Loc'!AB$254)</f>
        <v>0</v>
      </c>
      <c r="AC266" s="201">
        <f>SUMIFS([1]!Data_Loan[Value],[1]!Data_Loan[Index Loan],'Dai Loc'!$B266,[1]!Data_Loan[TenCongTyID],'Dai Loc'!$B$1,[1]!Data_Loan[Thang.Nam],'Dai Loc'!AC$254)</f>
        <v>0</v>
      </c>
      <c r="AD266" s="201">
        <f>SUMIFS([1]!Data_Loan[Value],[1]!Data_Loan[Index Loan],'Dai Loc'!$B266,[1]!Data_Loan[TenCongTyID],'Dai Loc'!$B$1,[1]!Data_Loan[Thang.Nam],'Dai Loc'!AD$254)</f>
        <v>0</v>
      </c>
      <c r="AE266" s="201">
        <f>SUMIFS([1]!Data_Loan[Value],[1]!Data_Loan[Index Loan],'Dai Loc'!$B266,[1]!Data_Loan[TenCongTyID],'Dai Loc'!$B$1,[1]!Data_Loan[Thang.Nam],'Dai Loc'!AE$254)</f>
        <v>0</v>
      </c>
      <c r="AF266" s="201">
        <f>SUMIFS([1]!Data_Loan[Value],[1]!Data_Loan[Index Loan],'Dai Loc'!$B266,[1]!Data_Loan[TenCongTyID],'Dai Loc'!$B$1,[1]!Data_Loan[Thang.Nam],'Dai Loc'!AF$254)</f>
        <v>0</v>
      </c>
      <c r="AG266" s="201">
        <f>SUMIFS([1]!Data_Loan[Value],[1]!Data_Loan[Index Loan],'Dai Loc'!$B266,[1]!Data_Loan[TenCongTyID],'Dai Loc'!$B$1,[1]!Data_Loan[Thang.Nam],'Dai Loc'!AG$254)</f>
        <v>0</v>
      </c>
      <c r="AH266" s="201">
        <f>SUMIFS([1]!Data_Loan[Value],[1]!Data_Loan[Index Loan],'Dai Loc'!$B266,[1]!Data_Loan[TenCongTyID],'Dai Loc'!$B$1,[1]!Data_Loan[Thang.Nam],'Dai Loc'!AH$254)</f>
        <v>0</v>
      </c>
      <c r="AI266" s="201">
        <f>SUMIFS([1]!Data_Loan[Value],[1]!Data_Loan[Index Loan],'Dai Loc'!$B266,[1]!Data_Loan[TenCongTyID],'Dai Loc'!$B$1,[1]!Data_Loan[Thang.Nam],'Dai Loc'!AI$254)</f>
        <v>0</v>
      </c>
      <c r="AJ266" s="201">
        <f>SUMIFS([1]!Data_Loan[Value],[1]!Data_Loan[Index Loan],'Dai Loc'!$B266,[1]!Data_Loan[TenCongTyID],'Dai Loc'!$B$1,[1]!Data_Loan[Thang.Nam],'Dai Loc'!AJ$254)</f>
        <v>0</v>
      </c>
      <c r="AK266" s="201">
        <f>SUMIFS([1]!Data_Loan[Value],[1]!Data_Loan[Index Loan],'Dai Loc'!$B266,[1]!Data_Loan[TenCongTyID],'Dai Loc'!$B$1,[1]!Data_Loan[Thang.Nam],'Dai Loc'!AK$254)</f>
        <v>0</v>
      </c>
      <c r="AL266" s="201">
        <f>SUMIFS([1]!Data_Loan[Value],[1]!Data_Loan[Index Loan],'Dai Loc'!$B266,[1]!Data_Loan[TenCongTyID],'Dai Loc'!$B$1,[1]!Data_Loan[Thang.Nam],'Dai Loc'!AL$254)</f>
        <v>0</v>
      </c>
    </row>
    <row r="267" spans="1:38" ht="15" customHeight="1">
      <c r="A267" s="200" t="s">
        <v>343</v>
      </c>
      <c r="B267" s="329">
        <v>13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>
        <v>0</v>
      </c>
      <c r="AA267" s="201">
        <f>SUMIFS([1]!Data_Loan[Value],[1]!Data_Loan[Index Loan],'Dai Loc'!$B267,[1]!Data_Loan[TenCongTyID],'Dai Loc'!$B$1,[1]!Data_Loan[Thang.Nam],'Dai Loc'!AA$254)</f>
        <v>0</v>
      </c>
      <c r="AB267" s="201">
        <f>SUMIFS([1]!Data_Loan[Value],[1]!Data_Loan[Index Loan],'Dai Loc'!$B267,[1]!Data_Loan[TenCongTyID],'Dai Loc'!$B$1,[1]!Data_Loan[Thang.Nam],'Dai Loc'!AB$254)</f>
        <v>0</v>
      </c>
      <c r="AC267" s="201">
        <f>SUMIFS([1]!Data_Loan[Value],[1]!Data_Loan[Index Loan],'Dai Loc'!$B267,[1]!Data_Loan[TenCongTyID],'Dai Loc'!$B$1,[1]!Data_Loan[Thang.Nam],'Dai Loc'!AC$254)</f>
        <v>0</v>
      </c>
      <c r="AD267" s="201">
        <f>SUMIFS([1]!Data_Loan[Value],[1]!Data_Loan[Index Loan],'Dai Loc'!$B267,[1]!Data_Loan[TenCongTyID],'Dai Loc'!$B$1,[1]!Data_Loan[Thang.Nam],'Dai Loc'!AD$254)</f>
        <v>0</v>
      </c>
      <c r="AE267" s="201">
        <f>SUMIFS([1]!Data_Loan[Value],[1]!Data_Loan[Index Loan],'Dai Loc'!$B267,[1]!Data_Loan[TenCongTyID],'Dai Loc'!$B$1,[1]!Data_Loan[Thang.Nam],'Dai Loc'!AE$254)</f>
        <v>0</v>
      </c>
      <c r="AF267" s="201">
        <f>SUMIFS([1]!Data_Loan[Value],[1]!Data_Loan[Index Loan],'Dai Loc'!$B267,[1]!Data_Loan[TenCongTyID],'Dai Loc'!$B$1,[1]!Data_Loan[Thang.Nam],'Dai Loc'!AF$254)</f>
        <v>0</v>
      </c>
      <c r="AG267" s="201">
        <f>SUMIFS([1]!Data_Loan[Value],[1]!Data_Loan[Index Loan],'Dai Loc'!$B267,[1]!Data_Loan[TenCongTyID],'Dai Loc'!$B$1,[1]!Data_Loan[Thang.Nam],'Dai Loc'!AG$254)</f>
        <v>0</v>
      </c>
      <c r="AH267" s="201">
        <f>SUMIFS([1]!Data_Loan[Value],[1]!Data_Loan[Index Loan],'Dai Loc'!$B267,[1]!Data_Loan[TenCongTyID],'Dai Loc'!$B$1,[1]!Data_Loan[Thang.Nam],'Dai Loc'!AH$254)</f>
        <v>0</v>
      </c>
      <c r="AI267" s="201">
        <f>SUMIFS([1]!Data_Loan[Value],[1]!Data_Loan[Index Loan],'Dai Loc'!$B267,[1]!Data_Loan[TenCongTyID],'Dai Loc'!$B$1,[1]!Data_Loan[Thang.Nam],'Dai Loc'!AI$254)</f>
        <v>0</v>
      </c>
      <c r="AJ267" s="201">
        <f>SUMIFS([1]!Data_Loan[Value],[1]!Data_Loan[Index Loan],'Dai Loc'!$B267,[1]!Data_Loan[TenCongTyID],'Dai Loc'!$B$1,[1]!Data_Loan[Thang.Nam],'Dai Loc'!AJ$254)</f>
        <v>0</v>
      </c>
      <c r="AK267" s="201">
        <f>SUMIFS([1]!Data_Loan[Value],[1]!Data_Loan[Index Loan],'Dai Loc'!$B267,[1]!Data_Loan[TenCongTyID],'Dai Loc'!$B$1,[1]!Data_Loan[Thang.Nam],'Dai Loc'!AK$254)</f>
        <v>0</v>
      </c>
      <c r="AL267" s="201">
        <f>SUMIFS([1]!Data_Loan[Value],[1]!Data_Loan[Index Loan],'Dai Loc'!$B267,[1]!Data_Loan[TenCongTyID],'Dai Loc'!$B$1,[1]!Data_Loan[Thang.Nam],'Dai Loc'!AL$254)</f>
        <v>0</v>
      </c>
    </row>
    <row r="268" spans="1:38" ht="15" customHeight="1">
      <c r="A268" s="200" t="s">
        <v>344</v>
      </c>
      <c r="B268" s="329">
        <v>14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>
        <v>0</v>
      </c>
      <c r="AA268" s="201">
        <f>SUMIFS([1]!Data_Loan[Value],[1]!Data_Loan[Index Loan],'Dai Loc'!$B268,[1]!Data_Loan[TenCongTyID],'Dai Loc'!$B$1,[1]!Data_Loan[Thang.Nam],'Dai Loc'!AA$254)</f>
        <v>0</v>
      </c>
      <c r="AB268" s="201">
        <f>SUMIFS([1]!Data_Loan[Value],[1]!Data_Loan[Index Loan],'Dai Loc'!$B268,[1]!Data_Loan[TenCongTyID],'Dai Loc'!$B$1,[1]!Data_Loan[Thang.Nam],'Dai Loc'!AB$254)</f>
        <v>0</v>
      </c>
      <c r="AC268" s="201">
        <f>SUMIFS([1]!Data_Loan[Value],[1]!Data_Loan[Index Loan],'Dai Loc'!$B268,[1]!Data_Loan[TenCongTyID],'Dai Loc'!$B$1,[1]!Data_Loan[Thang.Nam],'Dai Loc'!AC$254)</f>
        <v>0</v>
      </c>
      <c r="AD268" s="201">
        <f>SUMIFS([1]!Data_Loan[Value],[1]!Data_Loan[Index Loan],'Dai Loc'!$B268,[1]!Data_Loan[TenCongTyID],'Dai Loc'!$B$1,[1]!Data_Loan[Thang.Nam],'Dai Loc'!AD$254)</f>
        <v>0</v>
      </c>
      <c r="AE268" s="201">
        <f>SUMIFS([1]!Data_Loan[Value],[1]!Data_Loan[Index Loan],'Dai Loc'!$B268,[1]!Data_Loan[TenCongTyID],'Dai Loc'!$B$1,[1]!Data_Loan[Thang.Nam],'Dai Loc'!AE$254)</f>
        <v>0</v>
      </c>
      <c r="AF268" s="201">
        <f>SUMIFS([1]!Data_Loan[Value],[1]!Data_Loan[Index Loan],'Dai Loc'!$B268,[1]!Data_Loan[TenCongTyID],'Dai Loc'!$B$1,[1]!Data_Loan[Thang.Nam],'Dai Loc'!AF$254)</f>
        <v>0</v>
      </c>
      <c r="AG268" s="201">
        <f>SUMIFS([1]!Data_Loan[Value],[1]!Data_Loan[Index Loan],'Dai Loc'!$B268,[1]!Data_Loan[TenCongTyID],'Dai Loc'!$B$1,[1]!Data_Loan[Thang.Nam],'Dai Loc'!AG$254)</f>
        <v>0</v>
      </c>
      <c r="AH268" s="201">
        <f>SUMIFS([1]!Data_Loan[Value],[1]!Data_Loan[Index Loan],'Dai Loc'!$B268,[1]!Data_Loan[TenCongTyID],'Dai Loc'!$B$1,[1]!Data_Loan[Thang.Nam],'Dai Loc'!AH$254)</f>
        <v>0</v>
      </c>
      <c r="AI268" s="201">
        <f>SUMIFS([1]!Data_Loan[Value],[1]!Data_Loan[Index Loan],'Dai Loc'!$B268,[1]!Data_Loan[TenCongTyID],'Dai Loc'!$B$1,[1]!Data_Loan[Thang.Nam],'Dai Loc'!AI$254)</f>
        <v>0</v>
      </c>
      <c r="AJ268" s="201">
        <f>SUMIFS([1]!Data_Loan[Value],[1]!Data_Loan[Index Loan],'Dai Loc'!$B268,[1]!Data_Loan[TenCongTyID],'Dai Loc'!$B$1,[1]!Data_Loan[Thang.Nam],'Dai Loc'!AJ$254)</f>
        <v>0</v>
      </c>
      <c r="AK268" s="201">
        <f>SUMIFS([1]!Data_Loan[Value],[1]!Data_Loan[Index Loan],'Dai Loc'!$B268,[1]!Data_Loan[TenCongTyID],'Dai Loc'!$B$1,[1]!Data_Loan[Thang.Nam],'Dai Loc'!AK$254)</f>
        <v>0</v>
      </c>
      <c r="AL268" s="201">
        <f>SUMIFS([1]!Data_Loan[Value],[1]!Data_Loan[Index Loan],'Dai Loc'!$B268,[1]!Data_Loan[TenCongTyID],'Dai Loc'!$B$1,[1]!Data_Loan[Thang.Nam],'Dai Loc'!AL$254)</f>
        <v>0</v>
      </c>
    </row>
    <row r="269" spans="1:38" ht="15" customHeight="1">
      <c r="A269" s="200" t="s">
        <v>345</v>
      </c>
      <c r="B269" s="329">
        <v>15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>
        <v>0</v>
      </c>
      <c r="AA269" s="201">
        <f>SUMIFS([1]!Data_Loan[Value],[1]!Data_Loan[Index Loan],'Dai Loc'!$B269,[1]!Data_Loan[TenCongTyID],'Dai Loc'!$B$1,[1]!Data_Loan[Thang.Nam],'Dai Loc'!AA$254)</f>
        <v>0</v>
      </c>
      <c r="AB269" s="201">
        <f>SUMIFS([1]!Data_Loan[Value],[1]!Data_Loan[Index Loan],'Dai Loc'!$B269,[1]!Data_Loan[TenCongTyID],'Dai Loc'!$B$1,[1]!Data_Loan[Thang.Nam],'Dai Loc'!AB$254)</f>
        <v>0</v>
      </c>
      <c r="AC269" s="201">
        <f>SUMIFS([1]!Data_Loan[Value],[1]!Data_Loan[Index Loan],'Dai Loc'!$B269,[1]!Data_Loan[TenCongTyID],'Dai Loc'!$B$1,[1]!Data_Loan[Thang.Nam],'Dai Loc'!AC$254)</f>
        <v>0</v>
      </c>
      <c r="AD269" s="201">
        <f>SUMIFS([1]!Data_Loan[Value],[1]!Data_Loan[Index Loan],'Dai Loc'!$B269,[1]!Data_Loan[TenCongTyID],'Dai Loc'!$B$1,[1]!Data_Loan[Thang.Nam],'Dai Loc'!AD$254)</f>
        <v>0</v>
      </c>
      <c r="AE269" s="201">
        <f>SUMIFS([1]!Data_Loan[Value],[1]!Data_Loan[Index Loan],'Dai Loc'!$B269,[1]!Data_Loan[TenCongTyID],'Dai Loc'!$B$1,[1]!Data_Loan[Thang.Nam],'Dai Loc'!AE$254)</f>
        <v>0</v>
      </c>
      <c r="AF269" s="201">
        <f>SUMIFS([1]!Data_Loan[Value],[1]!Data_Loan[Index Loan],'Dai Loc'!$B269,[1]!Data_Loan[TenCongTyID],'Dai Loc'!$B$1,[1]!Data_Loan[Thang.Nam],'Dai Loc'!AF$254)</f>
        <v>0</v>
      </c>
      <c r="AG269" s="201">
        <f>SUMIFS([1]!Data_Loan[Value],[1]!Data_Loan[Index Loan],'Dai Loc'!$B269,[1]!Data_Loan[TenCongTyID],'Dai Loc'!$B$1,[1]!Data_Loan[Thang.Nam],'Dai Loc'!AG$254)</f>
        <v>0</v>
      </c>
      <c r="AH269" s="201">
        <f>SUMIFS([1]!Data_Loan[Value],[1]!Data_Loan[Index Loan],'Dai Loc'!$B269,[1]!Data_Loan[TenCongTyID],'Dai Loc'!$B$1,[1]!Data_Loan[Thang.Nam],'Dai Loc'!AH$254)</f>
        <v>0</v>
      </c>
      <c r="AI269" s="201">
        <f>SUMIFS([1]!Data_Loan[Value],[1]!Data_Loan[Index Loan],'Dai Loc'!$B269,[1]!Data_Loan[TenCongTyID],'Dai Loc'!$B$1,[1]!Data_Loan[Thang.Nam],'Dai Loc'!AI$254)</f>
        <v>0</v>
      </c>
      <c r="AJ269" s="201">
        <f>SUMIFS([1]!Data_Loan[Value],[1]!Data_Loan[Index Loan],'Dai Loc'!$B269,[1]!Data_Loan[TenCongTyID],'Dai Loc'!$B$1,[1]!Data_Loan[Thang.Nam],'Dai Loc'!AJ$254)</f>
        <v>0</v>
      </c>
      <c r="AK269" s="201">
        <f>SUMIFS([1]!Data_Loan[Value],[1]!Data_Loan[Index Loan],'Dai Loc'!$B269,[1]!Data_Loan[TenCongTyID],'Dai Loc'!$B$1,[1]!Data_Loan[Thang.Nam],'Dai Loc'!AK$254)</f>
        <v>0</v>
      </c>
      <c r="AL269" s="201">
        <f>SUMIFS([1]!Data_Loan[Value],[1]!Data_Loan[Index Loan],'Dai Loc'!$B269,[1]!Data_Loan[TenCongTyID],'Dai Loc'!$B$1,[1]!Data_Loan[Thang.Nam],'Dai Loc'!AL$254)</f>
        <v>0</v>
      </c>
    </row>
    <row r="270" spans="1:38" ht="15" customHeight="1">
      <c r="A270" s="200" t="s">
        <v>346</v>
      </c>
      <c r="B270" s="329">
        <v>16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>
        <v>0</v>
      </c>
      <c r="AA270" s="201">
        <f>SUMIFS([1]!Data_Loan[Value],[1]!Data_Loan[Index Loan],'Dai Loc'!$B270,[1]!Data_Loan[TenCongTyID],'Dai Loc'!$B$1,[1]!Data_Loan[Thang.Nam],'Dai Loc'!AA$254)</f>
        <v>0</v>
      </c>
      <c r="AB270" s="201">
        <f>SUMIFS([1]!Data_Loan[Value],[1]!Data_Loan[Index Loan],'Dai Loc'!$B270,[1]!Data_Loan[TenCongTyID],'Dai Loc'!$B$1,[1]!Data_Loan[Thang.Nam],'Dai Loc'!AB$254)</f>
        <v>0</v>
      </c>
      <c r="AC270" s="201">
        <f>SUMIFS([1]!Data_Loan[Value],[1]!Data_Loan[Index Loan],'Dai Loc'!$B270,[1]!Data_Loan[TenCongTyID],'Dai Loc'!$B$1,[1]!Data_Loan[Thang.Nam],'Dai Loc'!AC$254)</f>
        <v>0</v>
      </c>
      <c r="AD270" s="201">
        <f>SUMIFS([1]!Data_Loan[Value],[1]!Data_Loan[Index Loan],'Dai Loc'!$B270,[1]!Data_Loan[TenCongTyID],'Dai Loc'!$B$1,[1]!Data_Loan[Thang.Nam],'Dai Loc'!AD$254)</f>
        <v>0</v>
      </c>
      <c r="AE270" s="201">
        <f>SUMIFS([1]!Data_Loan[Value],[1]!Data_Loan[Index Loan],'Dai Loc'!$B270,[1]!Data_Loan[TenCongTyID],'Dai Loc'!$B$1,[1]!Data_Loan[Thang.Nam],'Dai Loc'!AE$254)</f>
        <v>0</v>
      </c>
      <c r="AF270" s="201">
        <f>SUMIFS([1]!Data_Loan[Value],[1]!Data_Loan[Index Loan],'Dai Loc'!$B270,[1]!Data_Loan[TenCongTyID],'Dai Loc'!$B$1,[1]!Data_Loan[Thang.Nam],'Dai Loc'!AF$254)</f>
        <v>0</v>
      </c>
      <c r="AG270" s="201">
        <f>SUMIFS([1]!Data_Loan[Value],[1]!Data_Loan[Index Loan],'Dai Loc'!$B270,[1]!Data_Loan[TenCongTyID],'Dai Loc'!$B$1,[1]!Data_Loan[Thang.Nam],'Dai Loc'!AG$254)</f>
        <v>0</v>
      </c>
      <c r="AH270" s="201">
        <f>SUMIFS([1]!Data_Loan[Value],[1]!Data_Loan[Index Loan],'Dai Loc'!$B270,[1]!Data_Loan[TenCongTyID],'Dai Loc'!$B$1,[1]!Data_Loan[Thang.Nam],'Dai Loc'!AH$254)</f>
        <v>0</v>
      </c>
      <c r="AI270" s="201">
        <f>SUMIFS([1]!Data_Loan[Value],[1]!Data_Loan[Index Loan],'Dai Loc'!$B270,[1]!Data_Loan[TenCongTyID],'Dai Loc'!$B$1,[1]!Data_Loan[Thang.Nam],'Dai Loc'!AI$254)</f>
        <v>0</v>
      </c>
      <c r="AJ270" s="201">
        <f>SUMIFS([1]!Data_Loan[Value],[1]!Data_Loan[Index Loan],'Dai Loc'!$B270,[1]!Data_Loan[TenCongTyID],'Dai Loc'!$B$1,[1]!Data_Loan[Thang.Nam],'Dai Loc'!AJ$254)</f>
        <v>0</v>
      </c>
      <c r="AK270" s="201">
        <f>SUMIFS([1]!Data_Loan[Value],[1]!Data_Loan[Index Loan],'Dai Loc'!$B270,[1]!Data_Loan[TenCongTyID],'Dai Loc'!$B$1,[1]!Data_Loan[Thang.Nam],'Dai Loc'!AK$254)</f>
        <v>0</v>
      </c>
      <c r="AL270" s="201">
        <f>SUMIFS([1]!Data_Loan[Value],[1]!Data_Loan[Index Loan],'Dai Loc'!$B270,[1]!Data_Loan[TenCongTyID],'Dai Loc'!$B$1,[1]!Data_Loan[Thang.Nam],'Dai Loc'!AL$254)</f>
        <v>0</v>
      </c>
    </row>
    <row r="271" spans="1:38" ht="15" customHeight="1">
      <c r="A271" s="200" t="s">
        <v>347</v>
      </c>
      <c r="B271" s="329">
        <v>17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>
        <v>0</v>
      </c>
      <c r="AA271" s="201">
        <f>SUMIFS([1]!Data_Loan[Value],[1]!Data_Loan[Index Loan],'Dai Loc'!$B271,[1]!Data_Loan[TenCongTyID],'Dai Loc'!$B$1,[1]!Data_Loan[Thang.Nam],'Dai Loc'!AA$254)</f>
        <v>0</v>
      </c>
      <c r="AB271" s="201">
        <f>SUMIFS([1]!Data_Loan[Value],[1]!Data_Loan[Index Loan],'Dai Loc'!$B271,[1]!Data_Loan[TenCongTyID],'Dai Loc'!$B$1,[1]!Data_Loan[Thang.Nam],'Dai Loc'!AB$254)</f>
        <v>0</v>
      </c>
      <c r="AC271" s="201">
        <f>SUMIFS([1]!Data_Loan[Value],[1]!Data_Loan[Index Loan],'Dai Loc'!$B271,[1]!Data_Loan[TenCongTyID],'Dai Loc'!$B$1,[1]!Data_Loan[Thang.Nam],'Dai Loc'!AC$254)</f>
        <v>0</v>
      </c>
      <c r="AD271" s="201">
        <f>SUMIFS([1]!Data_Loan[Value],[1]!Data_Loan[Index Loan],'Dai Loc'!$B271,[1]!Data_Loan[TenCongTyID],'Dai Loc'!$B$1,[1]!Data_Loan[Thang.Nam],'Dai Loc'!AD$254)</f>
        <v>0</v>
      </c>
      <c r="AE271" s="201">
        <f>SUMIFS([1]!Data_Loan[Value],[1]!Data_Loan[Index Loan],'Dai Loc'!$B271,[1]!Data_Loan[TenCongTyID],'Dai Loc'!$B$1,[1]!Data_Loan[Thang.Nam],'Dai Loc'!AE$254)</f>
        <v>0</v>
      </c>
      <c r="AF271" s="201">
        <f>SUMIFS([1]!Data_Loan[Value],[1]!Data_Loan[Index Loan],'Dai Loc'!$B271,[1]!Data_Loan[TenCongTyID],'Dai Loc'!$B$1,[1]!Data_Loan[Thang.Nam],'Dai Loc'!AF$254)</f>
        <v>0</v>
      </c>
      <c r="AG271" s="201">
        <f>SUMIFS([1]!Data_Loan[Value],[1]!Data_Loan[Index Loan],'Dai Loc'!$B271,[1]!Data_Loan[TenCongTyID],'Dai Loc'!$B$1,[1]!Data_Loan[Thang.Nam],'Dai Loc'!AG$254)</f>
        <v>0</v>
      </c>
      <c r="AH271" s="201">
        <f>SUMIFS([1]!Data_Loan[Value],[1]!Data_Loan[Index Loan],'Dai Loc'!$B271,[1]!Data_Loan[TenCongTyID],'Dai Loc'!$B$1,[1]!Data_Loan[Thang.Nam],'Dai Loc'!AH$254)</f>
        <v>0</v>
      </c>
      <c r="AI271" s="201">
        <f>SUMIFS([1]!Data_Loan[Value],[1]!Data_Loan[Index Loan],'Dai Loc'!$B271,[1]!Data_Loan[TenCongTyID],'Dai Loc'!$B$1,[1]!Data_Loan[Thang.Nam],'Dai Loc'!AI$254)</f>
        <v>0</v>
      </c>
      <c r="AJ271" s="201">
        <f>SUMIFS([1]!Data_Loan[Value],[1]!Data_Loan[Index Loan],'Dai Loc'!$B271,[1]!Data_Loan[TenCongTyID],'Dai Loc'!$B$1,[1]!Data_Loan[Thang.Nam],'Dai Loc'!AJ$254)</f>
        <v>0</v>
      </c>
      <c r="AK271" s="201">
        <f>SUMIFS([1]!Data_Loan[Value],[1]!Data_Loan[Index Loan],'Dai Loc'!$B271,[1]!Data_Loan[TenCongTyID],'Dai Loc'!$B$1,[1]!Data_Loan[Thang.Nam],'Dai Loc'!AK$254)</f>
        <v>0</v>
      </c>
      <c r="AL271" s="201">
        <f>SUMIFS([1]!Data_Loan[Value],[1]!Data_Loan[Index Loan],'Dai Loc'!$B271,[1]!Data_Loan[TenCongTyID],'Dai Loc'!$B$1,[1]!Data_Loan[Thang.Nam],'Dai Loc'!AL$254)</f>
        <v>0</v>
      </c>
    </row>
    <row r="272" spans="1:38" ht="15" customHeight="1">
      <c r="B272" s="329">
        <v>18</v>
      </c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>
        <v>0</v>
      </c>
      <c r="AA272" s="201">
        <f>SUMIFS([1]!Data_Loan[Value],[1]!Data_Loan[Index Loan],'Dai Loc'!$B272,[1]!Data_Loan[TenCongTyID],'Dai Loc'!$B$1,[1]!Data_Loan[Thang.Nam],'Dai Loc'!AA$254)</f>
        <v>0</v>
      </c>
      <c r="AB272" s="201">
        <f>SUMIFS([1]!Data_Loan[Value],[1]!Data_Loan[Index Loan],'Dai Loc'!$B272,[1]!Data_Loan[TenCongTyID],'Dai Loc'!$B$1,[1]!Data_Loan[Thang.Nam],'Dai Loc'!AB$254)</f>
        <v>0</v>
      </c>
      <c r="AC272" s="201">
        <f>SUMIFS([1]!Data_Loan[Value],[1]!Data_Loan[Index Loan],'Dai Loc'!$B272,[1]!Data_Loan[TenCongTyID],'Dai Loc'!$B$1,[1]!Data_Loan[Thang.Nam],'Dai Loc'!AC$254)</f>
        <v>0</v>
      </c>
      <c r="AD272" s="201">
        <f>SUMIFS([1]!Data_Loan[Value],[1]!Data_Loan[Index Loan],'Dai Loc'!$B272,[1]!Data_Loan[TenCongTyID],'Dai Loc'!$B$1,[1]!Data_Loan[Thang.Nam],'Dai Loc'!AD$254)</f>
        <v>0</v>
      </c>
      <c r="AE272" s="201">
        <f>SUMIFS([1]!Data_Loan[Value],[1]!Data_Loan[Index Loan],'Dai Loc'!$B272,[1]!Data_Loan[TenCongTyID],'Dai Loc'!$B$1,[1]!Data_Loan[Thang.Nam],'Dai Loc'!AE$254)</f>
        <v>0</v>
      </c>
      <c r="AF272" s="201">
        <f>SUMIFS([1]!Data_Loan[Value],[1]!Data_Loan[Index Loan],'Dai Loc'!$B272,[1]!Data_Loan[TenCongTyID],'Dai Loc'!$B$1,[1]!Data_Loan[Thang.Nam],'Dai Loc'!AF$254)</f>
        <v>0</v>
      </c>
      <c r="AG272" s="201">
        <f>SUMIFS([1]!Data_Loan[Value],[1]!Data_Loan[Index Loan],'Dai Loc'!$B272,[1]!Data_Loan[TenCongTyID],'Dai Loc'!$B$1,[1]!Data_Loan[Thang.Nam],'Dai Loc'!AG$254)</f>
        <v>0</v>
      </c>
      <c r="AH272" s="201">
        <f>SUMIFS([1]!Data_Loan[Value],[1]!Data_Loan[Index Loan],'Dai Loc'!$B272,[1]!Data_Loan[TenCongTyID],'Dai Loc'!$B$1,[1]!Data_Loan[Thang.Nam],'Dai Loc'!AH$254)</f>
        <v>0</v>
      </c>
      <c r="AI272" s="201">
        <f>SUMIFS([1]!Data_Loan[Value],[1]!Data_Loan[Index Loan],'Dai Loc'!$B272,[1]!Data_Loan[TenCongTyID],'Dai Loc'!$B$1,[1]!Data_Loan[Thang.Nam],'Dai Loc'!AI$254)</f>
        <v>0</v>
      </c>
      <c r="AJ272" s="201">
        <f>SUMIFS([1]!Data_Loan[Value],[1]!Data_Loan[Index Loan],'Dai Loc'!$B272,[1]!Data_Loan[TenCongTyID],'Dai Loc'!$B$1,[1]!Data_Loan[Thang.Nam],'Dai Loc'!AJ$254)</f>
        <v>0</v>
      </c>
      <c r="AK272" s="201">
        <f>SUMIFS([1]!Data_Loan[Value],[1]!Data_Loan[Index Loan],'Dai Loc'!$B272,[1]!Data_Loan[TenCongTyID],'Dai Loc'!$B$1,[1]!Data_Loan[Thang.Nam],'Dai Loc'!AK$254)</f>
        <v>0</v>
      </c>
      <c r="AL272" s="201">
        <f>SUMIFS([1]!Data_Loan[Value],[1]!Data_Loan[Index Loan],'Dai Loc'!$B272,[1]!Data_Loan[TenCongTyID],'Dai Loc'!$B$1,[1]!Data_Loan[Thang.Nam],'Dai Loc'!AL$254)</f>
        <v>0</v>
      </c>
    </row>
    <row r="273" spans="1:38" ht="15" customHeight="1">
      <c r="A273" s="202" t="s">
        <v>348</v>
      </c>
      <c r="B273" s="330">
        <v>19</v>
      </c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>
        <v>0</v>
      </c>
      <c r="AA273" s="201">
        <f>SUMIFS([1]!Data_Loan[Value],[1]!Data_Loan[Index Loan],'Dai Loc'!$B273,[1]!Data_Loan[TenCongTyID],'Dai Loc'!$B$1,[1]!Data_Loan[Thang.Nam],'Dai Loc'!AA$254)</f>
        <v>0</v>
      </c>
      <c r="AB273" s="201">
        <f>SUMIFS([1]!Data_Loan[Value],[1]!Data_Loan[Index Loan],'Dai Loc'!$B273,[1]!Data_Loan[TenCongTyID],'Dai Loc'!$B$1,[1]!Data_Loan[Thang.Nam],'Dai Loc'!AB$254)</f>
        <v>0</v>
      </c>
      <c r="AC273" s="201">
        <f>SUMIFS([1]!Data_Loan[Value],[1]!Data_Loan[Index Loan],'Dai Loc'!$B273,[1]!Data_Loan[TenCongTyID],'Dai Loc'!$B$1,[1]!Data_Loan[Thang.Nam],'Dai Loc'!AC$254)</f>
        <v>0</v>
      </c>
      <c r="AD273" s="201">
        <f>SUMIFS([1]!Data_Loan[Value],[1]!Data_Loan[Index Loan],'Dai Loc'!$B273,[1]!Data_Loan[TenCongTyID],'Dai Loc'!$B$1,[1]!Data_Loan[Thang.Nam],'Dai Loc'!AD$254)</f>
        <v>0</v>
      </c>
      <c r="AE273" s="201">
        <f>SUMIFS([1]!Data_Loan[Value],[1]!Data_Loan[Index Loan],'Dai Loc'!$B273,[1]!Data_Loan[TenCongTyID],'Dai Loc'!$B$1,[1]!Data_Loan[Thang.Nam],'Dai Loc'!AE$254)</f>
        <v>0</v>
      </c>
      <c r="AF273" s="201">
        <f>SUMIFS([1]!Data_Loan[Value],[1]!Data_Loan[Index Loan],'Dai Loc'!$B273,[1]!Data_Loan[TenCongTyID],'Dai Loc'!$B$1,[1]!Data_Loan[Thang.Nam],'Dai Loc'!AF$254)</f>
        <v>0</v>
      </c>
      <c r="AG273" s="201">
        <f>SUMIFS([1]!Data_Loan[Value],[1]!Data_Loan[Index Loan],'Dai Loc'!$B273,[1]!Data_Loan[TenCongTyID],'Dai Loc'!$B$1,[1]!Data_Loan[Thang.Nam],'Dai Loc'!AG$254)</f>
        <v>0</v>
      </c>
      <c r="AH273" s="201">
        <f>SUMIFS([1]!Data_Loan[Value],[1]!Data_Loan[Index Loan],'Dai Loc'!$B273,[1]!Data_Loan[TenCongTyID],'Dai Loc'!$B$1,[1]!Data_Loan[Thang.Nam],'Dai Loc'!AH$254)</f>
        <v>0</v>
      </c>
      <c r="AI273" s="201">
        <f>SUMIFS([1]!Data_Loan[Value],[1]!Data_Loan[Index Loan],'Dai Loc'!$B273,[1]!Data_Loan[TenCongTyID],'Dai Loc'!$B$1,[1]!Data_Loan[Thang.Nam],'Dai Loc'!AI$254)</f>
        <v>0</v>
      </c>
      <c r="AJ273" s="201">
        <f>SUMIFS([1]!Data_Loan[Value],[1]!Data_Loan[Index Loan],'Dai Loc'!$B273,[1]!Data_Loan[TenCongTyID],'Dai Loc'!$B$1,[1]!Data_Loan[Thang.Nam],'Dai Loc'!AJ$254)</f>
        <v>0</v>
      </c>
      <c r="AK273" s="201">
        <f>SUMIFS([1]!Data_Loan[Value],[1]!Data_Loan[Index Loan],'Dai Loc'!$B273,[1]!Data_Loan[TenCongTyID],'Dai Loc'!$B$1,[1]!Data_Loan[Thang.Nam],'Dai Loc'!AK$254)</f>
        <v>0</v>
      </c>
      <c r="AL273" s="201">
        <f>SUMIFS([1]!Data_Loan[Value],[1]!Data_Loan[Index Loan],'Dai Loc'!$B273,[1]!Data_Loan[TenCongTyID],'Dai Loc'!$B$1,[1]!Data_Loan[Thang.Nam],'Dai Loc'!AL$254)</f>
        <v>0</v>
      </c>
    </row>
    <row r="274" spans="1:38" ht="15" customHeight="1">
      <c r="A274" s="200" t="str">
        <f>A265</f>
        <v>ACB</v>
      </c>
      <c r="B274" s="329">
        <v>20</v>
      </c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>
        <v>0</v>
      </c>
      <c r="AA274" s="201">
        <f>SUMIFS([1]!Data_Loan[Value],[1]!Data_Loan[Index Loan],'Dai Loc'!$B274,[1]!Data_Loan[TenCongTyID],'Dai Loc'!$B$1,[1]!Data_Loan[Thang.Nam],'Dai Loc'!AA$254)</f>
        <v>0</v>
      </c>
      <c r="AB274" s="201">
        <f>SUMIFS([1]!Data_Loan[Value],[1]!Data_Loan[Index Loan],'Dai Loc'!$B274,[1]!Data_Loan[TenCongTyID],'Dai Loc'!$B$1,[1]!Data_Loan[Thang.Nam],'Dai Loc'!AB$254)</f>
        <v>0</v>
      </c>
      <c r="AC274" s="201">
        <f>SUMIFS([1]!Data_Loan[Value],[1]!Data_Loan[Index Loan],'Dai Loc'!$B274,[1]!Data_Loan[TenCongTyID],'Dai Loc'!$B$1,[1]!Data_Loan[Thang.Nam],'Dai Loc'!AC$254)</f>
        <v>0</v>
      </c>
      <c r="AD274" s="201">
        <f>SUMIFS([1]!Data_Loan[Value],[1]!Data_Loan[Index Loan],'Dai Loc'!$B274,[1]!Data_Loan[TenCongTyID],'Dai Loc'!$B$1,[1]!Data_Loan[Thang.Nam],'Dai Loc'!AD$254)</f>
        <v>0</v>
      </c>
      <c r="AE274" s="201">
        <f>SUMIFS([1]!Data_Loan[Value],[1]!Data_Loan[Index Loan],'Dai Loc'!$B274,[1]!Data_Loan[TenCongTyID],'Dai Loc'!$B$1,[1]!Data_Loan[Thang.Nam],'Dai Loc'!AE$254)</f>
        <v>0</v>
      </c>
      <c r="AF274" s="201">
        <f>SUMIFS([1]!Data_Loan[Value],[1]!Data_Loan[Index Loan],'Dai Loc'!$B274,[1]!Data_Loan[TenCongTyID],'Dai Loc'!$B$1,[1]!Data_Loan[Thang.Nam],'Dai Loc'!AF$254)</f>
        <v>0</v>
      </c>
      <c r="AG274" s="201">
        <f>SUMIFS([1]!Data_Loan[Value],[1]!Data_Loan[Index Loan],'Dai Loc'!$B274,[1]!Data_Loan[TenCongTyID],'Dai Loc'!$B$1,[1]!Data_Loan[Thang.Nam],'Dai Loc'!AG$254)</f>
        <v>0</v>
      </c>
      <c r="AH274" s="201">
        <f>SUMIFS([1]!Data_Loan[Value],[1]!Data_Loan[Index Loan],'Dai Loc'!$B274,[1]!Data_Loan[TenCongTyID],'Dai Loc'!$B$1,[1]!Data_Loan[Thang.Nam],'Dai Loc'!AH$254)</f>
        <v>0</v>
      </c>
      <c r="AI274" s="201">
        <f>SUMIFS([1]!Data_Loan[Value],[1]!Data_Loan[Index Loan],'Dai Loc'!$B274,[1]!Data_Loan[TenCongTyID],'Dai Loc'!$B$1,[1]!Data_Loan[Thang.Nam],'Dai Loc'!AI$254)</f>
        <v>0</v>
      </c>
      <c r="AJ274" s="201">
        <f>SUMIFS([1]!Data_Loan[Value],[1]!Data_Loan[Index Loan],'Dai Loc'!$B274,[1]!Data_Loan[TenCongTyID],'Dai Loc'!$B$1,[1]!Data_Loan[Thang.Nam],'Dai Loc'!AJ$254)</f>
        <v>0</v>
      </c>
      <c r="AK274" s="201">
        <f>SUMIFS([1]!Data_Loan[Value],[1]!Data_Loan[Index Loan],'Dai Loc'!$B274,[1]!Data_Loan[TenCongTyID],'Dai Loc'!$B$1,[1]!Data_Loan[Thang.Nam],'Dai Loc'!AK$254)</f>
        <v>0</v>
      </c>
      <c r="AL274" s="201">
        <f>SUMIFS([1]!Data_Loan[Value],[1]!Data_Loan[Index Loan],'Dai Loc'!$B274,[1]!Data_Loan[TenCongTyID],'Dai Loc'!$B$1,[1]!Data_Loan[Thang.Nam],'Dai Loc'!AL$254)</f>
        <v>0</v>
      </c>
    </row>
    <row r="275" spans="1:38" ht="15" customHeight="1">
      <c r="A275" s="200" t="str">
        <f t="shared" ref="A275:A281" si="48">A266</f>
        <v>VietinBank</v>
      </c>
      <c r="B275" s="329">
        <v>21</v>
      </c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>
        <v>0</v>
      </c>
      <c r="AA275" s="201">
        <f>SUMIFS([1]!Data_Loan[Value],[1]!Data_Loan[Index Loan],'Dai Loc'!$B275,[1]!Data_Loan[TenCongTyID],'Dai Loc'!$B$1,[1]!Data_Loan[Thang.Nam],'Dai Loc'!AA$254)</f>
        <v>0</v>
      </c>
      <c r="AB275" s="201">
        <f>SUMIFS([1]!Data_Loan[Value],[1]!Data_Loan[Index Loan],'Dai Loc'!$B275,[1]!Data_Loan[TenCongTyID],'Dai Loc'!$B$1,[1]!Data_Loan[Thang.Nam],'Dai Loc'!AB$254)</f>
        <v>0</v>
      </c>
      <c r="AC275" s="201">
        <f>SUMIFS([1]!Data_Loan[Value],[1]!Data_Loan[Index Loan],'Dai Loc'!$B275,[1]!Data_Loan[TenCongTyID],'Dai Loc'!$B$1,[1]!Data_Loan[Thang.Nam],'Dai Loc'!AC$254)</f>
        <v>0</v>
      </c>
      <c r="AD275" s="201">
        <f>SUMIFS([1]!Data_Loan[Value],[1]!Data_Loan[Index Loan],'Dai Loc'!$B275,[1]!Data_Loan[TenCongTyID],'Dai Loc'!$B$1,[1]!Data_Loan[Thang.Nam],'Dai Loc'!AD$254)</f>
        <v>0</v>
      </c>
      <c r="AE275" s="201">
        <f>SUMIFS([1]!Data_Loan[Value],[1]!Data_Loan[Index Loan],'Dai Loc'!$B275,[1]!Data_Loan[TenCongTyID],'Dai Loc'!$B$1,[1]!Data_Loan[Thang.Nam],'Dai Loc'!AE$254)</f>
        <v>0</v>
      </c>
      <c r="AF275" s="201">
        <f>SUMIFS([1]!Data_Loan[Value],[1]!Data_Loan[Index Loan],'Dai Loc'!$B275,[1]!Data_Loan[TenCongTyID],'Dai Loc'!$B$1,[1]!Data_Loan[Thang.Nam],'Dai Loc'!AF$254)</f>
        <v>0</v>
      </c>
      <c r="AG275" s="201">
        <f>SUMIFS([1]!Data_Loan[Value],[1]!Data_Loan[Index Loan],'Dai Loc'!$B275,[1]!Data_Loan[TenCongTyID],'Dai Loc'!$B$1,[1]!Data_Loan[Thang.Nam],'Dai Loc'!AG$254)</f>
        <v>0</v>
      </c>
      <c r="AH275" s="201">
        <f>SUMIFS([1]!Data_Loan[Value],[1]!Data_Loan[Index Loan],'Dai Loc'!$B275,[1]!Data_Loan[TenCongTyID],'Dai Loc'!$B$1,[1]!Data_Loan[Thang.Nam],'Dai Loc'!AH$254)</f>
        <v>0</v>
      </c>
      <c r="AI275" s="201">
        <f>SUMIFS([1]!Data_Loan[Value],[1]!Data_Loan[Index Loan],'Dai Loc'!$B275,[1]!Data_Loan[TenCongTyID],'Dai Loc'!$B$1,[1]!Data_Loan[Thang.Nam],'Dai Loc'!AI$254)</f>
        <v>0</v>
      </c>
      <c r="AJ275" s="201">
        <f>SUMIFS([1]!Data_Loan[Value],[1]!Data_Loan[Index Loan],'Dai Loc'!$B275,[1]!Data_Loan[TenCongTyID],'Dai Loc'!$B$1,[1]!Data_Loan[Thang.Nam],'Dai Loc'!AJ$254)</f>
        <v>0</v>
      </c>
      <c r="AK275" s="201">
        <f>SUMIFS([1]!Data_Loan[Value],[1]!Data_Loan[Index Loan],'Dai Loc'!$B275,[1]!Data_Loan[TenCongTyID],'Dai Loc'!$B$1,[1]!Data_Loan[Thang.Nam],'Dai Loc'!AK$254)</f>
        <v>0</v>
      </c>
      <c r="AL275" s="201">
        <f>SUMIFS([1]!Data_Loan[Value],[1]!Data_Loan[Index Loan],'Dai Loc'!$B275,[1]!Data_Loan[TenCongTyID],'Dai Loc'!$B$1,[1]!Data_Loan[Thang.Nam],'Dai Loc'!AL$254)</f>
        <v>0</v>
      </c>
    </row>
    <row r="276" spans="1:38" ht="15" customHeight="1">
      <c r="A276" s="200" t="str">
        <f t="shared" si="48"/>
        <v>Vietcombank</v>
      </c>
      <c r="B276" s="329">
        <v>22</v>
      </c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>
        <v>0</v>
      </c>
      <c r="AA276" s="201">
        <f>SUMIFS([1]!Data_Loan[Value],[1]!Data_Loan[Index Loan],'Dai Loc'!$B276,[1]!Data_Loan[TenCongTyID],'Dai Loc'!$B$1,[1]!Data_Loan[Thang.Nam],'Dai Loc'!AA$254)</f>
        <v>0</v>
      </c>
      <c r="AB276" s="201">
        <f>SUMIFS([1]!Data_Loan[Value],[1]!Data_Loan[Index Loan],'Dai Loc'!$B276,[1]!Data_Loan[TenCongTyID],'Dai Loc'!$B$1,[1]!Data_Loan[Thang.Nam],'Dai Loc'!AB$254)</f>
        <v>0</v>
      </c>
      <c r="AC276" s="201">
        <f>SUMIFS([1]!Data_Loan[Value],[1]!Data_Loan[Index Loan],'Dai Loc'!$B276,[1]!Data_Loan[TenCongTyID],'Dai Loc'!$B$1,[1]!Data_Loan[Thang.Nam],'Dai Loc'!AC$254)</f>
        <v>0</v>
      </c>
      <c r="AD276" s="201">
        <f>SUMIFS([1]!Data_Loan[Value],[1]!Data_Loan[Index Loan],'Dai Loc'!$B276,[1]!Data_Loan[TenCongTyID],'Dai Loc'!$B$1,[1]!Data_Loan[Thang.Nam],'Dai Loc'!AD$254)</f>
        <v>0</v>
      </c>
      <c r="AE276" s="201">
        <f>SUMIFS([1]!Data_Loan[Value],[1]!Data_Loan[Index Loan],'Dai Loc'!$B276,[1]!Data_Loan[TenCongTyID],'Dai Loc'!$B$1,[1]!Data_Loan[Thang.Nam],'Dai Loc'!AE$254)</f>
        <v>0</v>
      </c>
      <c r="AF276" s="201">
        <f>SUMIFS([1]!Data_Loan[Value],[1]!Data_Loan[Index Loan],'Dai Loc'!$B276,[1]!Data_Loan[TenCongTyID],'Dai Loc'!$B$1,[1]!Data_Loan[Thang.Nam],'Dai Loc'!AF$254)</f>
        <v>0</v>
      </c>
      <c r="AG276" s="201">
        <f>SUMIFS([1]!Data_Loan[Value],[1]!Data_Loan[Index Loan],'Dai Loc'!$B276,[1]!Data_Loan[TenCongTyID],'Dai Loc'!$B$1,[1]!Data_Loan[Thang.Nam],'Dai Loc'!AG$254)</f>
        <v>0</v>
      </c>
      <c r="AH276" s="201">
        <f>SUMIFS([1]!Data_Loan[Value],[1]!Data_Loan[Index Loan],'Dai Loc'!$B276,[1]!Data_Loan[TenCongTyID],'Dai Loc'!$B$1,[1]!Data_Loan[Thang.Nam],'Dai Loc'!AH$254)</f>
        <v>0</v>
      </c>
      <c r="AI276" s="201">
        <f>SUMIFS([1]!Data_Loan[Value],[1]!Data_Loan[Index Loan],'Dai Loc'!$B276,[1]!Data_Loan[TenCongTyID],'Dai Loc'!$B$1,[1]!Data_Loan[Thang.Nam],'Dai Loc'!AI$254)</f>
        <v>0</v>
      </c>
      <c r="AJ276" s="201">
        <f>SUMIFS([1]!Data_Loan[Value],[1]!Data_Loan[Index Loan],'Dai Loc'!$B276,[1]!Data_Loan[TenCongTyID],'Dai Loc'!$B$1,[1]!Data_Loan[Thang.Nam],'Dai Loc'!AJ$254)</f>
        <v>0</v>
      </c>
      <c r="AK276" s="201">
        <f>SUMIFS([1]!Data_Loan[Value],[1]!Data_Loan[Index Loan],'Dai Loc'!$B276,[1]!Data_Loan[TenCongTyID],'Dai Loc'!$B$1,[1]!Data_Loan[Thang.Nam],'Dai Loc'!AK$254)</f>
        <v>0</v>
      </c>
      <c r="AL276" s="201">
        <f>SUMIFS([1]!Data_Loan[Value],[1]!Data_Loan[Index Loan],'Dai Loc'!$B276,[1]!Data_Loan[TenCongTyID],'Dai Loc'!$B$1,[1]!Data_Loan[Thang.Nam],'Dai Loc'!AL$254)</f>
        <v>0</v>
      </c>
    </row>
    <row r="277" spans="1:38" ht="15" customHeight="1">
      <c r="A277" s="200" t="str">
        <f t="shared" si="48"/>
        <v>BIDV</v>
      </c>
      <c r="B277" s="329">
        <v>23</v>
      </c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>
        <v>0</v>
      </c>
      <c r="AA277" s="201">
        <f>SUMIFS([1]!Data_Loan[Value],[1]!Data_Loan[Index Loan],'Dai Loc'!$B277,[1]!Data_Loan[TenCongTyID],'Dai Loc'!$B$1,[1]!Data_Loan[Thang.Nam],'Dai Loc'!AA$254)</f>
        <v>0</v>
      </c>
      <c r="AB277" s="201">
        <f>SUMIFS([1]!Data_Loan[Value],[1]!Data_Loan[Index Loan],'Dai Loc'!$B277,[1]!Data_Loan[TenCongTyID],'Dai Loc'!$B$1,[1]!Data_Loan[Thang.Nam],'Dai Loc'!AB$254)</f>
        <v>0</v>
      </c>
      <c r="AC277" s="201">
        <f>SUMIFS([1]!Data_Loan[Value],[1]!Data_Loan[Index Loan],'Dai Loc'!$B277,[1]!Data_Loan[TenCongTyID],'Dai Loc'!$B$1,[1]!Data_Loan[Thang.Nam],'Dai Loc'!AC$254)</f>
        <v>0</v>
      </c>
      <c r="AD277" s="201">
        <f>SUMIFS([1]!Data_Loan[Value],[1]!Data_Loan[Index Loan],'Dai Loc'!$B277,[1]!Data_Loan[TenCongTyID],'Dai Loc'!$B$1,[1]!Data_Loan[Thang.Nam],'Dai Loc'!AD$254)</f>
        <v>0</v>
      </c>
      <c r="AE277" s="201">
        <f>SUMIFS([1]!Data_Loan[Value],[1]!Data_Loan[Index Loan],'Dai Loc'!$B277,[1]!Data_Loan[TenCongTyID],'Dai Loc'!$B$1,[1]!Data_Loan[Thang.Nam],'Dai Loc'!AE$254)</f>
        <v>0</v>
      </c>
      <c r="AF277" s="201">
        <f>SUMIFS([1]!Data_Loan[Value],[1]!Data_Loan[Index Loan],'Dai Loc'!$B277,[1]!Data_Loan[TenCongTyID],'Dai Loc'!$B$1,[1]!Data_Loan[Thang.Nam],'Dai Loc'!AF$254)</f>
        <v>0</v>
      </c>
      <c r="AG277" s="201">
        <f>SUMIFS([1]!Data_Loan[Value],[1]!Data_Loan[Index Loan],'Dai Loc'!$B277,[1]!Data_Loan[TenCongTyID],'Dai Loc'!$B$1,[1]!Data_Loan[Thang.Nam],'Dai Loc'!AG$254)</f>
        <v>0</v>
      </c>
      <c r="AH277" s="201">
        <f>SUMIFS([1]!Data_Loan[Value],[1]!Data_Loan[Index Loan],'Dai Loc'!$B277,[1]!Data_Loan[TenCongTyID],'Dai Loc'!$B$1,[1]!Data_Loan[Thang.Nam],'Dai Loc'!AH$254)</f>
        <v>0</v>
      </c>
      <c r="AI277" s="201">
        <f>SUMIFS([1]!Data_Loan[Value],[1]!Data_Loan[Index Loan],'Dai Loc'!$B277,[1]!Data_Loan[TenCongTyID],'Dai Loc'!$B$1,[1]!Data_Loan[Thang.Nam],'Dai Loc'!AI$254)</f>
        <v>0</v>
      </c>
      <c r="AJ277" s="201">
        <f>SUMIFS([1]!Data_Loan[Value],[1]!Data_Loan[Index Loan],'Dai Loc'!$B277,[1]!Data_Loan[TenCongTyID],'Dai Loc'!$B$1,[1]!Data_Loan[Thang.Nam],'Dai Loc'!AJ$254)</f>
        <v>0</v>
      </c>
      <c r="AK277" s="201">
        <f>SUMIFS([1]!Data_Loan[Value],[1]!Data_Loan[Index Loan],'Dai Loc'!$B277,[1]!Data_Loan[TenCongTyID],'Dai Loc'!$B$1,[1]!Data_Loan[Thang.Nam],'Dai Loc'!AK$254)</f>
        <v>0</v>
      </c>
      <c r="AL277" s="201">
        <f>SUMIFS([1]!Data_Loan[Value],[1]!Data_Loan[Index Loan],'Dai Loc'!$B277,[1]!Data_Loan[TenCongTyID],'Dai Loc'!$B$1,[1]!Data_Loan[Thang.Nam],'Dai Loc'!AL$254)</f>
        <v>0</v>
      </c>
    </row>
    <row r="278" spans="1:38" ht="15" customHeight="1">
      <c r="A278" s="200" t="str">
        <f t="shared" si="48"/>
        <v>Standard Chartered</v>
      </c>
      <c r="B278" s="329">
        <v>24</v>
      </c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>
        <v>0</v>
      </c>
      <c r="AA278" s="201">
        <f>SUMIFS([1]!Data_Loan[Value],[1]!Data_Loan[Index Loan],'Dai Loc'!$B278,[1]!Data_Loan[TenCongTyID],'Dai Loc'!$B$1,[1]!Data_Loan[Thang.Nam],'Dai Loc'!AA$254)</f>
        <v>0</v>
      </c>
      <c r="AB278" s="201">
        <f>SUMIFS([1]!Data_Loan[Value],[1]!Data_Loan[Index Loan],'Dai Loc'!$B278,[1]!Data_Loan[TenCongTyID],'Dai Loc'!$B$1,[1]!Data_Loan[Thang.Nam],'Dai Loc'!AB$254)</f>
        <v>0</v>
      </c>
      <c r="AC278" s="201">
        <f>SUMIFS([1]!Data_Loan[Value],[1]!Data_Loan[Index Loan],'Dai Loc'!$B278,[1]!Data_Loan[TenCongTyID],'Dai Loc'!$B$1,[1]!Data_Loan[Thang.Nam],'Dai Loc'!AC$254)</f>
        <v>0</v>
      </c>
      <c r="AD278" s="201">
        <f>SUMIFS([1]!Data_Loan[Value],[1]!Data_Loan[Index Loan],'Dai Loc'!$B278,[1]!Data_Loan[TenCongTyID],'Dai Loc'!$B$1,[1]!Data_Loan[Thang.Nam],'Dai Loc'!AD$254)</f>
        <v>0</v>
      </c>
      <c r="AE278" s="201">
        <f>SUMIFS([1]!Data_Loan[Value],[1]!Data_Loan[Index Loan],'Dai Loc'!$B278,[1]!Data_Loan[TenCongTyID],'Dai Loc'!$B$1,[1]!Data_Loan[Thang.Nam],'Dai Loc'!AE$254)</f>
        <v>0</v>
      </c>
      <c r="AF278" s="201">
        <f>SUMIFS([1]!Data_Loan[Value],[1]!Data_Loan[Index Loan],'Dai Loc'!$B278,[1]!Data_Loan[TenCongTyID],'Dai Loc'!$B$1,[1]!Data_Loan[Thang.Nam],'Dai Loc'!AF$254)</f>
        <v>0</v>
      </c>
      <c r="AG278" s="201">
        <f>SUMIFS([1]!Data_Loan[Value],[1]!Data_Loan[Index Loan],'Dai Loc'!$B278,[1]!Data_Loan[TenCongTyID],'Dai Loc'!$B$1,[1]!Data_Loan[Thang.Nam],'Dai Loc'!AG$254)</f>
        <v>0</v>
      </c>
      <c r="AH278" s="201">
        <f>SUMIFS([1]!Data_Loan[Value],[1]!Data_Loan[Index Loan],'Dai Loc'!$B278,[1]!Data_Loan[TenCongTyID],'Dai Loc'!$B$1,[1]!Data_Loan[Thang.Nam],'Dai Loc'!AH$254)</f>
        <v>0</v>
      </c>
      <c r="AI278" s="201">
        <f>SUMIFS([1]!Data_Loan[Value],[1]!Data_Loan[Index Loan],'Dai Loc'!$B278,[1]!Data_Loan[TenCongTyID],'Dai Loc'!$B$1,[1]!Data_Loan[Thang.Nam],'Dai Loc'!AI$254)</f>
        <v>0</v>
      </c>
      <c r="AJ278" s="201">
        <f>SUMIFS([1]!Data_Loan[Value],[1]!Data_Loan[Index Loan],'Dai Loc'!$B278,[1]!Data_Loan[TenCongTyID],'Dai Loc'!$B$1,[1]!Data_Loan[Thang.Nam],'Dai Loc'!AJ$254)</f>
        <v>0</v>
      </c>
      <c r="AK278" s="201">
        <f>SUMIFS([1]!Data_Loan[Value],[1]!Data_Loan[Index Loan],'Dai Loc'!$B278,[1]!Data_Loan[TenCongTyID],'Dai Loc'!$B$1,[1]!Data_Loan[Thang.Nam],'Dai Loc'!AK$254)</f>
        <v>0</v>
      </c>
      <c r="AL278" s="201">
        <f>SUMIFS([1]!Data_Loan[Value],[1]!Data_Loan[Index Loan],'Dai Loc'!$B278,[1]!Data_Loan[TenCongTyID],'Dai Loc'!$B$1,[1]!Data_Loan[Thang.Nam],'Dai Loc'!AL$254)</f>
        <v>0</v>
      </c>
    </row>
    <row r="279" spans="1:38" ht="15" customHeight="1">
      <c r="A279" s="200" t="str">
        <f t="shared" si="48"/>
        <v>VILC</v>
      </c>
      <c r="B279" s="329">
        <v>25</v>
      </c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>
        <v>0</v>
      </c>
      <c r="AA279" s="201">
        <f>SUMIFS([1]!Data_Loan[Value],[1]!Data_Loan[Index Loan],'Dai Loc'!$B279,[1]!Data_Loan[TenCongTyID],'Dai Loc'!$B$1,[1]!Data_Loan[Thang.Nam],'Dai Loc'!AA$254)</f>
        <v>0</v>
      </c>
      <c r="AB279" s="201">
        <f>SUMIFS([1]!Data_Loan[Value],[1]!Data_Loan[Index Loan],'Dai Loc'!$B279,[1]!Data_Loan[TenCongTyID],'Dai Loc'!$B$1,[1]!Data_Loan[Thang.Nam],'Dai Loc'!AB$254)</f>
        <v>0</v>
      </c>
      <c r="AC279" s="201">
        <f>SUMIFS([1]!Data_Loan[Value],[1]!Data_Loan[Index Loan],'Dai Loc'!$B279,[1]!Data_Loan[TenCongTyID],'Dai Loc'!$B$1,[1]!Data_Loan[Thang.Nam],'Dai Loc'!AC$254)</f>
        <v>0</v>
      </c>
      <c r="AD279" s="201">
        <f>SUMIFS([1]!Data_Loan[Value],[1]!Data_Loan[Index Loan],'Dai Loc'!$B279,[1]!Data_Loan[TenCongTyID],'Dai Loc'!$B$1,[1]!Data_Loan[Thang.Nam],'Dai Loc'!AD$254)</f>
        <v>0</v>
      </c>
      <c r="AE279" s="201">
        <f>SUMIFS([1]!Data_Loan[Value],[1]!Data_Loan[Index Loan],'Dai Loc'!$B279,[1]!Data_Loan[TenCongTyID],'Dai Loc'!$B$1,[1]!Data_Loan[Thang.Nam],'Dai Loc'!AE$254)</f>
        <v>0</v>
      </c>
      <c r="AF279" s="201">
        <f>SUMIFS([1]!Data_Loan[Value],[1]!Data_Loan[Index Loan],'Dai Loc'!$B279,[1]!Data_Loan[TenCongTyID],'Dai Loc'!$B$1,[1]!Data_Loan[Thang.Nam],'Dai Loc'!AF$254)</f>
        <v>0</v>
      </c>
      <c r="AG279" s="201">
        <f>SUMIFS([1]!Data_Loan[Value],[1]!Data_Loan[Index Loan],'Dai Loc'!$B279,[1]!Data_Loan[TenCongTyID],'Dai Loc'!$B$1,[1]!Data_Loan[Thang.Nam],'Dai Loc'!AG$254)</f>
        <v>0</v>
      </c>
      <c r="AH279" s="201">
        <f>SUMIFS([1]!Data_Loan[Value],[1]!Data_Loan[Index Loan],'Dai Loc'!$B279,[1]!Data_Loan[TenCongTyID],'Dai Loc'!$B$1,[1]!Data_Loan[Thang.Nam],'Dai Loc'!AH$254)</f>
        <v>0</v>
      </c>
      <c r="AI279" s="201">
        <f>SUMIFS([1]!Data_Loan[Value],[1]!Data_Loan[Index Loan],'Dai Loc'!$B279,[1]!Data_Loan[TenCongTyID],'Dai Loc'!$B$1,[1]!Data_Loan[Thang.Nam],'Dai Loc'!AI$254)</f>
        <v>0</v>
      </c>
      <c r="AJ279" s="201">
        <f>SUMIFS([1]!Data_Loan[Value],[1]!Data_Loan[Index Loan],'Dai Loc'!$B279,[1]!Data_Loan[TenCongTyID],'Dai Loc'!$B$1,[1]!Data_Loan[Thang.Nam],'Dai Loc'!AJ$254)</f>
        <v>0</v>
      </c>
      <c r="AK279" s="201">
        <f>SUMIFS([1]!Data_Loan[Value],[1]!Data_Loan[Index Loan],'Dai Loc'!$B279,[1]!Data_Loan[TenCongTyID],'Dai Loc'!$B$1,[1]!Data_Loan[Thang.Nam],'Dai Loc'!AK$254)</f>
        <v>0</v>
      </c>
      <c r="AL279" s="201">
        <f>SUMIFS([1]!Data_Loan[Value],[1]!Data_Loan[Index Loan],'Dai Loc'!$B279,[1]!Data_Loan[TenCongTyID],'Dai Loc'!$B$1,[1]!Data_Loan[Thang.Nam],'Dai Loc'!AL$254)</f>
        <v>0</v>
      </c>
    </row>
    <row r="280" spans="1:38" ht="15" customHeight="1">
      <c r="A280" s="200" t="str">
        <f t="shared" si="48"/>
        <v>IVB</v>
      </c>
      <c r="B280" s="329">
        <v>26</v>
      </c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>
        <v>0</v>
      </c>
      <c r="AA280" s="201">
        <f>SUMIFS([1]!Data_Loan[Value],[1]!Data_Loan[Index Loan],'Dai Loc'!$B280,[1]!Data_Loan[TenCongTyID],'Dai Loc'!$B$1,[1]!Data_Loan[Thang.Nam],'Dai Loc'!AA$254)</f>
        <v>0</v>
      </c>
      <c r="AB280" s="201">
        <f>SUMIFS([1]!Data_Loan[Value],[1]!Data_Loan[Index Loan],'Dai Loc'!$B280,[1]!Data_Loan[TenCongTyID],'Dai Loc'!$B$1,[1]!Data_Loan[Thang.Nam],'Dai Loc'!AB$254)</f>
        <v>0</v>
      </c>
      <c r="AC280" s="201">
        <f>SUMIFS([1]!Data_Loan[Value],[1]!Data_Loan[Index Loan],'Dai Loc'!$B280,[1]!Data_Loan[TenCongTyID],'Dai Loc'!$B$1,[1]!Data_Loan[Thang.Nam],'Dai Loc'!AC$254)</f>
        <v>0</v>
      </c>
      <c r="AD280" s="201">
        <f>SUMIFS([1]!Data_Loan[Value],[1]!Data_Loan[Index Loan],'Dai Loc'!$B280,[1]!Data_Loan[TenCongTyID],'Dai Loc'!$B$1,[1]!Data_Loan[Thang.Nam],'Dai Loc'!AD$254)</f>
        <v>0</v>
      </c>
      <c r="AE280" s="201">
        <f>SUMIFS([1]!Data_Loan[Value],[1]!Data_Loan[Index Loan],'Dai Loc'!$B280,[1]!Data_Loan[TenCongTyID],'Dai Loc'!$B$1,[1]!Data_Loan[Thang.Nam],'Dai Loc'!AE$254)</f>
        <v>0</v>
      </c>
      <c r="AF280" s="201">
        <f>SUMIFS([1]!Data_Loan[Value],[1]!Data_Loan[Index Loan],'Dai Loc'!$B280,[1]!Data_Loan[TenCongTyID],'Dai Loc'!$B$1,[1]!Data_Loan[Thang.Nam],'Dai Loc'!AF$254)</f>
        <v>0</v>
      </c>
      <c r="AG280" s="201">
        <f>SUMIFS([1]!Data_Loan[Value],[1]!Data_Loan[Index Loan],'Dai Loc'!$B280,[1]!Data_Loan[TenCongTyID],'Dai Loc'!$B$1,[1]!Data_Loan[Thang.Nam],'Dai Loc'!AG$254)</f>
        <v>0</v>
      </c>
      <c r="AH280" s="201">
        <f>SUMIFS([1]!Data_Loan[Value],[1]!Data_Loan[Index Loan],'Dai Loc'!$B280,[1]!Data_Loan[TenCongTyID],'Dai Loc'!$B$1,[1]!Data_Loan[Thang.Nam],'Dai Loc'!AH$254)</f>
        <v>0</v>
      </c>
      <c r="AI280" s="201">
        <f>SUMIFS([1]!Data_Loan[Value],[1]!Data_Loan[Index Loan],'Dai Loc'!$B280,[1]!Data_Loan[TenCongTyID],'Dai Loc'!$B$1,[1]!Data_Loan[Thang.Nam],'Dai Loc'!AI$254)</f>
        <v>0</v>
      </c>
      <c r="AJ280" s="201">
        <f>SUMIFS([1]!Data_Loan[Value],[1]!Data_Loan[Index Loan],'Dai Loc'!$B280,[1]!Data_Loan[TenCongTyID],'Dai Loc'!$B$1,[1]!Data_Loan[Thang.Nam],'Dai Loc'!AJ$254)</f>
        <v>0</v>
      </c>
      <c r="AK280" s="201">
        <f>SUMIFS([1]!Data_Loan[Value],[1]!Data_Loan[Index Loan],'Dai Loc'!$B280,[1]!Data_Loan[TenCongTyID],'Dai Loc'!$B$1,[1]!Data_Loan[Thang.Nam],'Dai Loc'!AK$254)</f>
        <v>0</v>
      </c>
      <c r="AL280" s="201">
        <f>SUMIFS([1]!Data_Loan[Value],[1]!Data_Loan[Index Loan],'Dai Loc'!$B280,[1]!Data_Loan[TenCongTyID],'Dai Loc'!$B$1,[1]!Data_Loan[Thang.Nam],'Dai Loc'!AL$254)</f>
        <v>0</v>
      </c>
    </row>
    <row r="281" spans="1:38" ht="15" customHeight="1">
      <c r="A281" s="200">
        <f t="shared" si="48"/>
        <v>0</v>
      </c>
      <c r="B281" s="329">
        <v>27</v>
      </c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>
        <v>0</v>
      </c>
      <c r="AA281" s="201">
        <f>SUMIFS([1]!Data_Loan[Value],[1]!Data_Loan[Index Loan],'Dai Loc'!$B281,[1]!Data_Loan[TenCongTyID],'Dai Loc'!$B$1,[1]!Data_Loan[Thang.Nam],'Dai Loc'!AA$254)</f>
        <v>0</v>
      </c>
      <c r="AB281" s="201">
        <f>SUMIFS([1]!Data_Loan[Value],[1]!Data_Loan[Index Loan],'Dai Loc'!$B281,[1]!Data_Loan[TenCongTyID],'Dai Loc'!$B$1,[1]!Data_Loan[Thang.Nam],'Dai Loc'!AB$254)</f>
        <v>0</v>
      </c>
      <c r="AC281" s="201">
        <f>SUMIFS([1]!Data_Loan[Value],[1]!Data_Loan[Index Loan],'Dai Loc'!$B281,[1]!Data_Loan[TenCongTyID],'Dai Loc'!$B$1,[1]!Data_Loan[Thang.Nam],'Dai Loc'!AC$254)</f>
        <v>0</v>
      </c>
      <c r="AD281" s="201">
        <f>SUMIFS([1]!Data_Loan[Value],[1]!Data_Loan[Index Loan],'Dai Loc'!$B281,[1]!Data_Loan[TenCongTyID],'Dai Loc'!$B$1,[1]!Data_Loan[Thang.Nam],'Dai Loc'!AD$254)</f>
        <v>0</v>
      </c>
      <c r="AE281" s="201">
        <f>SUMIFS([1]!Data_Loan[Value],[1]!Data_Loan[Index Loan],'Dai Loc'!$B281,[1]!Data_Loan[TenCongTyID],'Dai Loc'!$B$1,[1]!Data_Loan[Thang.Nam],'Dai Loc'!AE$254)</f>
        <v>0</v>
      </c>
      <c r="AF281" s="201">
        <f>SUMIFS([1]!Data_Loan[Value],[1]!Data_Loan[Index Loan],'Dai Loc'!$B281,[1]!Data_Loan[TenCongTyID],'Dai Loc'!$B$1,[1]!Data_Loan[Thang.Nam],'Dai Loc'!AF$254)</f>
        <v>0</v>
      </c>
      <c r="AG281" s="201">
        <f>SUMIFS([1]!Data_Loan[Value],[1]!Data_Loan[Index Loan],'Dai Loc'!$B281,[1]!Data_Loan[TenCongTyID],'Dai Loc'!$B$1,[1]!Data_Loan[Thang.Nam],'Dai Loc'!AG$254)</f>
        <v>0</v>
      </c>
      <c r="AH281" s="201">
        <f>SUMIFS([1]!Data_Loan[Value],[1]!Data_Loan[Index Loan],'Dai Loc'!$B281,[1]!Data_Loan[TenCongTyID],'Dai Loc'!$B$1,[1]!Data_Loan[Thang.Nam],'Dai Loc'!AH$254)</f>
        <v>0</v>
      </c>
      <c r="AI281" s="201">
        <f>SUMIFS([1]!Data_Loan[Value],[1]!Data_Loan[Index Loan],'Dai Loc'!$B281,[1]!Data_Loan[TenCongTyID],'Dai Loc'!$B$1,[1]!Data_Loan[Thang.Nam],'Dai Loc'!AI$254)</f>
        <v>0</v>
      </c>
      <c r="AJ281" s="201">
        <f>SUMIFS([1]!Data_Loan[Value],[1]!Data_Loan[Index Loan],'Dai Loc'!$B281,[1]!Data_Loan[TenCongTyID],'Dai Loc'!$B$1,[1]!Data_Loan[Thang.Nam],'Dai Loc'!AJ$254)</f>
        <v>0</v>
      </c>
      <c r="AK281" s="201">
        <f>SUMIFS([1]!Data_Loan[Value],[1]!Data_Loan[Index Loan],'Dai Loc'!$B281,[1]!Data_Loan[TenCongTyID],'Dai Loc'!$B$1,[1]!Data_Loan[Thang.Nam],'Dai Loc'!AK$254)</f>
        <v>0</v>
      </c>
      <c r="AL281" s="201">
        <f>SUMIFS([1]!Data_Loan[Value],[1]!Data_Loan[Index Loan],'Dai Loc'!$B281,[1]!Data_Loan[TenCongTyID],'Dai Loc'!$B$1,[1]!Data_Loan[Thang.Nam],'Dai Loc'!AL$254)</f>
        <v>0</v>
      </c>
    </row>
    <row r="282" spans="1:38" ht="15" customHeight="1">
      <c r="A282" s="196" t="s">
        <v>349</v>
      </c>
      <c r="B282" s="328">
        <v>28</v>
      </c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>
        <v>0</v>
      </c>
      <c r="AA282" s="199">
        <f>SUMIFS([1]!Data_Loan[Value],[1]!Data_Loan[Index Loan],'Dai Loc'!$B282,[1]!Data_Loan[TenCongTyID],'Dai Loc'!$B$1,[1]!Data_Loan[Thang.Nam],'Dai Loc'!AA$254)</f>
        <v>0</v>
      </c>
      <c r="AB282" s="199">
        <f>SUMIFS([1]!Data_Loan[Value],[1]!Data_Loan[Index Loan],'Dai Loc'!$B282,[1]!Data_Loan[TenCongTyID],'Dai Loc'!$B$1,[1]!Data_Loan[Thang.Nam],'Dai Loc'!AB$254)</f>
        <v>0</v>
      </c>
      <c r="AC282" s="199">
        <f>SUMIFS([1]!Data_Loan[Value],[1]!Data_Loan[Index Loan],'Dai Loc'!$B282,[1]!Data_Loan[TenCongTyID],'Dai Loc'!$B$1,[1]!Data_Loan[Thang.Nam],'Dai Loc'!AC$254)</f>
        <v>0</v>
      </c>
      <c r="AD282" s="199">
        <f>SUMIFS([1]!Data_Loan[Value],[1]!Data_Loan[Index Loan],'Dai Loc'!$B282,[1]!Data_Loan[TenCongTyID],'Dai Loc'!$B$1,[1]!Data_Loan[Thang.Nam],'Dai Loc'!AD$254)</f>
        <v>0</v>
      </c>
      <c r="AE282" s="199">
        <f>SUMIFS([1]!Data_Loan[Value],[1]!Data_Loan[Index Loan],'Dai Loc'!$B282,[1]!Data_Loan[TenCongTyID],'Dai Loc'!$B$1,[1]!Data_Loan[Thang.Nam],'Dai Loc'!AE$254)</f>
        <v>0</v>
      </c>
      <c r="AF282" s="199">
        <f>SUMIFS([1]!Data_Loan[Value],[1]!Data_Loan[Index Loan],'Dai Loc'!$B282,[1]!Data_Loan[TenCongTyID],'Dai Loc'!$B$1,[1]!Data_Loan[Thang.Nam],'Dai Loc'!AF$254)</f>
        <v>0</v>
      </c>
      <c r="AG282" s="199">
        <f>SUMIFS([1]!Data_Loan[Value],[1]!Data_Loan[Index Loan],'Dai Loc'!$B282,[1]!Data_Loan[TenCongTyID],'Dai Loc'!$B$1,[1]!Data_Loan[Thang.Nam],'Dai Loc'!AG$254)</f>
        <v>0</v>
      </c>
      <c r="AH282" s="199">
        <f>SUMIFS([1]!Data_Loan[Value],[1]!Data_Loan[Index Loan],'Dai Loc'!$B282,[1]!Data_Loan[TenCongTyID],'Dai Loc'!$B$1,[1]!Data_Loan[Thang.Nam],'Dai Loc'!AH$254)</f>
        <v>0</v>
      </c>
      <c r="AI282" s="199">
        <f>SUMIFS([1]!Data_Loan[Value],[1]!Data_Loan[Index Loan],'Dai Loc'!$B282,[1]!Data_Loan[TenCongTyID],'Dai Loc'!$B$1,[1]!Data_Loan[Thang.Nam],'Dai Loc'!AI$254)</f>
        <v>0</v>
      </c>
      <c r="AJ282" s="199">
        <f>SUMIFS([1]!Data_Loan[Value],[1]!Data_Loan[Index Loan],'Dai Loc'!$B282,[1]!Data_Loan[TenCongTyID],'Dai Loc'!$B$1,[1]!Data_Loan[Thang.Nam],'Dai Loc'!AJ$254)</f>
        <v>0</v>
      </c>
      <c r="AK282" s="199">
        <f>SUMIFS([1]!Data_Loan[Value],[1]!Data_Loan[Index Loan],'Dai Loc'!$B282,[1]!Data_Loan[TenCongTyID],'Dai Loc'!$B$1,[1]!Data_Loan[Thang.Nam],'Dai Loc'!AK$254)</f>
        <v>0</v>
      </c>
      <c r="AL282" s="199">
        <f>SUMIFS([1]!Data_Loan[Value],[1]!Data_Loan[Index Loan],'Dai Loc'!$B282,[1]!Data_Loan[TenCongTyID],'Dai Loc'!$B$1,[1]!Data_Loan[Thang.Nam],'Dai Loc'!AL$254)</f>
        <v>0</v>
      </c>
    </row>
    <row r="283" spans="1:38" ht="15" customHeight="1">
      <c r="A283" s="200" t="str">
        <f>A265</f>
        <v>ACB</v>
      </c>
      <c r="B283" s="329">
        <v>29</v>
      </c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>
        <v>0</v>
      </c>
      <c r="AA283" s="201">
        <f>SUMIFS([1]!Data_Loan[Value],[1]!Data_Loan[Index Loan],'Dai Loc'!$B283,[1]!Data_Loan[TenCongTyID],'Dai Loc'!$B$1,[1]!Data_Loan[Thang.Nam],'Dai Loc'!AA$254)</f>
        <v>0</v>
      </c>
      <c r="AB283" s="201">
        <f>SUMIFS([1]!Data_Loan[Value],[1]!Data_Loan[Index Loan],'Dai Loc'!$B283,[1]!Data_Loan[TenCongTyID],'Dai Loc'!$B$1,[1]!Data_Loan[Thang.Nam],'Dai Loc'!AB$254)</f>
        <v>0</v>
      </c>
      <c r="AC283" s="201">
        <f>SUMIFS([1]!Data_Loan[Value],[1]!Data_Loan[Index Loan],'Dai Loc'!$B283,[1]!Data_Loan[TenCongTyID],'Dai Loc'!$B$1,[1]!Data_Loan[Thang.Nam],'Dai Loc'!AC$254)</f>
        <v>0</v>
      </c>
      <c r="AD283" s="201">
        <f>SUMIFS([1]!Data_Loan[Value],[1]!Data_Loan[Index Loan],'Dai Loc'!$B283,[1]!Data_Loan[TenCongTyID],'Dai Loc'!$B$1,[1]!Data_Loan[Thang.Nam],'Dai Loc'!AD$254)</f>
        <v>0</v>
      </c>
      <c r="AE283" s="201">
        <f>SUMIFS([1]!Data_Loan[Value],[1]!Data_Loan[Index Loan],'Dai Loc'!$B283,[1]!Data_Loan[TenCongTyID],'Dai Loc'!$B$1,[1]!Data_Loan[Thang.Nam],'Dai Loc'!AE$254)</f>
        <v>0</v>
      </c>
      <c r="AF283" s="201">
        <f>SUMIFS([1]!Data_Loan[Value],[1]!Data_Loan[Index Loan],'Dai Loc'!$B283,[1]!Data_Loan[TenCongTyID],'Dai Loc'!$B$1,[1]!Data_Loan[Thang.Nam],'Dai Loc'!AF$254)</f>
        <v>0</v>
      </c>
      <c r="AG283" s="201">
        <f>SUMIFS([1]!Data_Loan[Value],[1]!Data_Loan[Index Loan],'Dai Loc'!$B283,[1]!Data_Loan[TenCongTyID],'Dai Loc'!$B$1,[1]!Data_Loan[Thang.Nam],'Dai Loc'!AG$254)</f>
        <v>0</v>
      </c>
      <c r="AH283" s="201">
        <f>SUMIFS([1]!Data_Loan[Value],[1]!Data_Loan[Index Loan],'Dai Loc'!$B283,[1]!Data_Loan[TenCongTyID],'Dai Loc'!$B$1,[1]!Data_Loan[Thang.Nam],'Dai Loc'!AH$254)</f>
        <v>0</v>
      </c>
      <c r="AI283" s="201">
        <f>SUMIFS([1]!Data_Loan[Value],[1]!Data_Loan[Index Loan],'Dai Loc'!$B283,[1]!Data_Loan[TenCongTyID],'Dai Loc'!$B$1,[1]!Data_Loan[Thang.Nam],'Dai Loc'!AI$254)</f>
        <v>0</v>
      </c>
      <c r="AJ283" s="201">
        <f>SUMIFS([1]!Data_Loan[Value],[1]!Data_Loan[Index Loan],'Dai Loc'!$B283,[1]!Data_Loan[TenCongTyID],'Dai Loc'!$B$1,[1]!Data_Loan[Thang.Nam],'Dai Loc'!AJ$254)</f>
        <v>0</v>
      </c>
      <c r="AK283" s="201">
        <f>SUMIFS([1]!Data_Loan[Value],[1]!Data_Loan[Index Loan],'Dai Loc'!$B283,[1]!Data_Loan[TenCongTyID],'Dai Loc'!$B$1,[1]!Data_Loan[Thang.Nam],'Dai Loc'!AK$254)</f>
        <v>0</v>
      </c>
      <c r="AL283" s="201">
        <f>SUMIFS([1]!Data_Loan[Value],[1]!Data_Loan[Index Loan],'Dai Loc'!$B283,[1]!Data_Loan[TenCongTyID],'Dai Loc'!$B$1,[1]!Data_Loan[Thang.Nam],'Dai Loc'!AL$254)</f>
        <v>0</v>
      </c>
    </row>
    <row r="284" spans="1:38" ht="15" customHeight="1">
      <c r="A284" s="200" t="str">
        <f>A266</f>
        <v>VietinBank</v>
      </c>
      <c r="B284" s="329">
        <v>30</v>
      </c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>
        <v>0</v>
      </c>
      <c r="AA284" s="201">
        <f>SUMIFS([1]!Data_Loan[Value],[1]!Data_Loan[Index Loan],'Dai Loc'!$B284,[1]!Data_Loan[TenCongTyID],'Dai Loc'!$B$1,[1]!Data_Loan[Thang.Nam],'Dai Loc'!AA$254)</f>
        <v>0</v>
      </c>
      <c r="AB284" s="201">
        <f>SUMIFS([1]!Data_Loan[Value],[1]!Data_Loan[Index Loan],'Dai Loc'!$B284,[1]!Data_Loan[TenCongTyID],'Dai Loc'!$B$1,[1]!Data_Loan[Thang.Nam],'Dai Loc'!AB$254)</f>
        <v>0</v>
      </c>
      <c r="AC284" s="201">
        <f>SUMIFS([1]!Data_Loan[Value],[1]!Data_Loan[Index Loan],'Dai Loc'!$B284,[1]!Data_Loan[TenCongTyID],'Dai Loc'!$B$1,[1]!Data_Loan[Thang.Nam],'Dai Loc'!AC$254)</f>
        <v>0</v>
      </c>
      <c r="AD284" s="201">
        <f>SUMIFS([1]!Data_Loan[Value],[1]!Data_Loan[Index Loan],'Dai Loc'!$B284,[1]!Data_Loan[TenCongTyID],'Dai Loc'!$B$1,[1]!Data_Loan[Thang.Nam],'Dai Loc'!AD$254)</f>
        <v>0</v>
      </c>
      <c r="AE284" s="201">
        <f>SUMIFS([1]!Data_Loan[Value],[1]!Data_Loan[Index Loan],'Dai Loc'!$B284,[1]!Data_Loan[TenCongTyID],'Dai Loc'!$B$1,[1]!Data_Loan[Thang.Nam],'Dai Loc'!AE$254)</f>
        <v>0</v>
      </c>
      <c r="AF284" s="201">
        <f>SUMIFS([1]!Data_Loan[Value],[1]!Data_Loan[Index Loan],'Dai Loc'!$B284,[1]!Data_Loan[TenCongTyID],'Dai Loc'!$B$1,[1]!Data_Loan[Thang.Nam],'Dai Loc'!AF$254)</f>
        <v>0</v>
      </c>
      <c r="AG284" s="201">
        <f>SUMIFS([1]!Data_Loan[Value],[1]!Data_Loan[Index Loan],'Dai Loc'!$B284,[1]!Data_Loan[TenCongTyID],'Dai Loc'!$B$1,[1]!Data_Loan[Thang.Nam],'Dai Loc'!AG$254)</f>
        <v>0</v>
      </c>
      <c r="AH284" s="201">
        <f>SUMIFS([1]!Data_Loan[Value],[1]!Data_Loan[Index Loan],'Dai Loc'!$B284,[1]!Data_Loan[TenCongTyID],'Dai Loc'!$B$1,[1]!Data_Loan[Thang.Nam],'Dai Loc'!AH$254)</f>
        <v>0</v>
      </c>
      <c r="AI284" s="201">
        <f>SUMIFS([1]!Data_Loan[Value],[1]!Data_Loan[Index Loan],'Dai Loc'!$B284,[1]!Data_Loan[TenCongTyID],'Dai Loc'!$B$1,[1]!Data_Loan[Thang.Nam],'Dai Loc'!AI$254)</f>
        <v>0</v>
      </c>
      <c r="AJ284" s="201">
        <f>SUMIFS([1]!Data_Loan[Value],[1]!Data_Loan[Index Loan],'Dai Loc'!$B284,[1]!Data_Loan[TenCongTyID],'Dai Loc'!$B$1,[1]!Data_Loan[Thang.Nam],'Dai Loc'!AJ$254)</f>
        <v>0</v>
      </c>
      <c r="AK284" s="201">
        <f>SUMIFS([1]!Data_Loan[Value],[1]!Data_Loan[Index Loan],'Dai Loc'!$B284,[1]!Data_Loan[TenCongTyID],'Dai Loc'!$B$1,[1]!Data_Loan[Thang.Nam],'Dai Loc'!AK$254)</f>
        <v>0</v>
      </c>
      <c r="AL284" s="201">
        <f>SUMIFS([1]!Data_Loan[Value],[1]!Data_Loan[Index Loan],'Dai Loc'!$B284,[1]!Data_Loan[TenCongTyID],'Dai Loc'!$B$1,[1]!Data_Loan[Thang.Nam],'Dai Loc'!AL$254)</f>
        <v>0</v>
      </c>
    </row>
    <row r="285" spans="1:38" ht="15" customHeight="1">
      <c r="A285" s="200" t="str">
        <f>A267</f>
        <v>Vietcombank</v>
      </c>
      <c r="B285" s="329">
        <v>31</v>
      </c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>
        <v>0</v>
      </c>
      <c r="AA285" s="201">
        <f>SUMIFS([1]!Data_Loan[Value],[1]!Data_Loan[Index Loan],'Dai Loc'!$B285,[1]!Data_Loan[TenCongTyID],'Dai Loc'!$B$1,[1]!Data_Loan[Thang.Nam],'Dai Loc'!AA$254)</f>
        <v>0</v>
      </c>
      <c r="AB285" s="201">
        <f>SUMIFS([1]!Data_Loan[Value],[1]!Data_Loan[Index Loan],'Dai Loc'!$B285,[1]!Data_Loan[TenCongTyID],'Dai Loc'!$B$1,[1]!Data_Loan[Thang.Nam],'Dai Loc'!AB$254)</f>
        <v>0</v>
      </c>
      <c r="AC285" s="201">
        <f>SUMIFS([1]!Data_Loan[Value],[1]!Data_Loan[Index Loan],'Dai Loc'!$B285,[1]!Data_Loan[TenCongTyID],'Dai Loc'!$B$1,[1]!Data_Loan[Thang.Nam],'Dai Loc'!AC$254)</f>
        <v>0</v>
      </c>
      <c r="AD285" s="201">
        <f>SUMIFS([1]!Data_Loan[Value],[1]!Data_Loan[Index Loan],'Dai Loc'!$B285,[1]!Data_Loan[TenCongTyID],'Dai Loc'!$B$1,[1]!Data_Loan[Thang.Nam],'Dai Loc'!AD$254)</f>
        <v>0</v>
      </c>
      <c r="AE285" s="201">
        <f>SUMIFS([1]!Data_Loan[Value],[1]!Data_Loan[Index Loan],'Dai Loc'!$B285,[1]!Data_Loan[TenCongTyID],'Dai Loc'!$B$1,[1]!Data_Loan[Thang.Nam],'Dai Loc'!AE$254)</f>
        <v>0</v>
      </c>
      <c r="AF285" s="201">
        <f>SUMIFS([1]!Data_Loan[Value],[1]!Data_Loan[Index Loan],'Dai Loc'!$B285,[1]!Data_Loan[TenCongTyID],'Dai Loc'!$B$1,[1]!Data_Loan[Thang.Nam],'Dai Loc'!AF$254)</f>
        <v>0</v>
      </c>
      <c r="AG285" s="201">
        <f>SUMIFS([1]!Data_Loan[Value],[1]!Data_Loan[Index Loan],'Dai Loc'!$B285,[1]!Data_Loan[TenCongTyID],'Dai Loc'!$B$1,[1]!Data_Loan[Thang.Nam],'Dai Loc'!AG$254)</f>
        <v>0</v>
      </c>
      <c r="AH285" s="201">
        <f>SUMIFS([1]!Data_Loan[Value],[1]!Data_Loan[Index Loan],'Dai Loc'!$B285,[1]!Data_Loan[TenCongTyID],'Dai Loc'!$B$1,[1]!Data_Loan[Thang.Nam],'Dai Loc'!AH$254)</f>
        <v>0</v>
      </c>
      <c r="AI285" s="201">
        <f>SUMIFS([1]!Data_Loan[Value],[1]!Data_Loan[Index Loan],'Dai Loc'!$B285,[1]!Data_Loan[TenCongTyID],'Dai Loc'!$B$1,[1]!Data_Loan[Thang.Nam],'Dai Loc'!AI$254)</f>
        <v>0</v>
      </c>
      <c r="AJ285" s="201">
        <f>SUMIFS([1]!Data_Loan[Value],[1]!Data_Loan[Index Loan],'Dai Loc'!$B285,[1]!Data_Loan[TenCongTyID],'Dai Loc'!$B$1,[1]!Data_Loan[Thang.Nam],'Dai Loc'!AJ$254)</f>
        <v>0</v>
      </c>
      <c r="AK285" s="201">
        <f>SUMIFS([1]!Data_Loan[Value],[1]!Data_Loan[Index Loan],'Dai Loc'!$B285,[1]!Data_Loan[TenCongTyID],'Dai Loc'!$B$1,[1]!Data_Loan[Thang.Nam],'Dai Loc'!AK$254)</f>
        <v>0</v>
      </c>
      <c r="AL285" s="201">
        <f>SUMIFS([1]!Data_Loan[Value],[1]!Data_Loan[Index Loan],'Dai Loc'!$B285,[1]!Data_Loan[TenCongTyID],'Dai Loc'!$B$1,[1]!Data_Loan[Thang.Nam],'Dai Loc'!AL$254)</f>
        <v>0</v>
      </c>
    </row>
    <row r="286" spans="1:38" ht="15" customHeight="1">
      <c r="A286" s="200" t="s">
        <v>344</v>
      </c>
      <c r="B286" s="329">
        <v>32</v>
      </c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>
        <v>0</v>
      </c>
      <c r="AA286" s="201">
        <f>SUMIFS([1]!Data_Loan[Value],[1]!Data_Loan[Index Loan],'Dai Loc'!$B286,[1]!Data_Loan[TenCongTyID],'Dai Loc'!$B$1,[1]!Data_Loan[Thang.Nam],'Dai Loc'!AA$254)</f>
        <v>0</v>
      </c>
      <c r="AB286" s="201">
        <f>SUMIFS([1]!Data_Loan[Value],[1]!Data_Loan[Index Loan],'Dai Loc'!$B286,[1]!Data_Loan[TenCongTyID],'Dai Loc'!$B$1,[1]!Data_Loan[Thang.Nam],'Dai Loc'!AB$254)</f>
        <v>0</v>
      </c>
      <c r="AC286" s="201">
        <f>SUMIFS([1]!Data_Loan[Value],[1]!Data_Loan[Index Loan],'Dai Loc'!$B286,[1]!Data_Loan[TenCongTyID],'Dai Loc'!$B$1,[1]!Data_Loan[Thang.Nam],'Dai Loc'!AC$254)</f>
        <v>0</v>
      </c>
      <c r="AD286" s="201">
        <f>SUMIFS([1]!Data_Loan[Value],[1]!Data_Loan[Index Loan],'Dai Loc'!$B286,[1]!Data_Loan[TenCongTyID],'Dai Loc'!$B$1,[1]!Data_Loan[Thang.Nam],'Dai Loc'!AD$254)</f>
        <v>0</v>
      </c>
      <c r="AE286" s="201">
        <f>SUMIFS([1]!Data_Loan[Value],[1]!Data_Loan[Index Loan],'Dai Loc'!$B286,[1]!Data_Loan[TenCongTyID],'Dai Loc'!$B$1,[1]!Data_Loan[Thang.Nam],'Dai Loc'!AE$254)</f>
        <v>0</v>
      </c>
      <c r="AF286" s="201">
        <f>SUMIFS([1]!Data_Loan[Value],[1]!Data_Loan[Index Loan],'Dai Loc'!$B286,[1]!Data_Loan[TenCongTyID],'Dai Loc'!$B$1,[1]!Data_Loan[Thang.Nam],'Dai Loc'!AF$254)</f>
        <v>0</v>
      </c>
      <c r="AG286" s="201">
        <f>SUMIFS([1]!Data_Loan[Value],[1]!Data_Loan[Index Loan],'Dai Loc'!$B286,[1]!Data_Loan[TenCongTyID],'Dai Loc'!$B$1,[1]!Data_Loan[Thang.Nam],'Dai Loc'!AG$254)</f>
        <v>0</v>
      </c>
      <c r="AH286" s="201">
        <f>SUMIFS([1]!Data_Loan[Value],[1]!Data_Loan[Index Loan],'Dai Loc'!$B286,[1]!Data_Loan[TenCongTyID],'Dai Loc'!$B$1,[1]!Data_Loan[Thang.Nam],'Dai Loc'!AH$254)</f>
        <v>0</v>
      </c>
      <c r="AI286" s="201">
        <f>SUMIFS([1]!Data_Loan[Value],[1]!Data_Loan[Index Loan],'Dai Loc'!$B286,[1]!Data_Loan[TenCongTyID],'Dai Loc'!$B$1,[1]!Data_Loan[Thang.Nam],'Dai Loc'!AI$254)</f>
        <v>0</v>
      </c>
      <c r="AJ286" s="201">
        <f>SUMIFS([1]!Data_Loan[Value],[1]!Data_Loan[Index Loan],'Dai Loc'!$B286,[1]!Data_Loan[TenCongTyID],'Dai Loc'!$B$1,[1]!Data_Loan[Thang.Nam],'Dai Loc'!AJ$254)</f>
        <v>0</v>
      </c>
      <c r="AK286" s="201">
        <f>SUMIFS([1]!Data_Loan[Value],[1]!Data_Loan[Index Loan],'Dai Loc'!$B286,[1]!Data_Loan[TenCongTyID],'Dai Loc'!$B$1,[1]!Data_Loan[Thang.Nam],'Dai Loc'!AK$254)</f>
        <v>0</v>
      </c>
      <c r="AL286" s="201">
        <f>SUMIFS([1]!Data_Loan[Value],[1]!Data_Loan[Index Loan],'Dai Loc'!$B286,[1]!Data_Loan[TenCongTyID],'Dai Loc'!$B$1,[1]!Data_Loan[Thang.Nam],'Dai Loc'!AL$254)</f>
        <v>0</v>
      </c>
    </row>
    <row r="287" spans="1:38" ht="15" customHeight="1">
      <c r="A287" s="200" t="str">
        <f>A269</f>
        <v>Standard Chartered</v>
      </c>
      <c r="B287" s="329">
        <v>33</v>
      </c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>
        <v>0</v>
      </c>
      <c r="AA287" s="201">
        <f>SUMIFS([1]!Data_Loan[Value],[1]!Data_Loan[Index Loan],'Dai Loc'!$B287,[1]!Data_Loan[TenCongTyID],'Dai Loc'!$B$1,[1]!Data_Loan[Thang.Nam],'Dai Loc'!AA$254)</f>
        <v>0</v>
      </c>
      <c r="AB287" s="201">
        <f>SUMIFS([1]!Data_Loan[Value],[1]!Data_Loan[Index Loan],'Dai Loc'!$B287,[1]!Data_Loan[TenCongTyID],'Dai Loc'!$B$1,[1]!Data_Loan[Thang.Nam],'Dai Loc'!AB$254)</f>
        <v>0</v>
      </c>
      <c r="AC287" s="201">
        <f>SUMIFS([1]!Data_Loan[Value],[1]!Data_Loan[Index Loan],'Dai Loc'!$B287,[1]!Data_Loan[TenCongTyID],'Dai Loc'!$B$1,[1]!Data_Loan[Thang.Nam],'Dai Loc'!AC$254)</f>
        <v>0</v>
      </c>
      <c r="AD287" s="201">
        <f>SUMIFS([1]!Data_Loan[Value],[1]!Data_Loan[Index Loan],'Dai Loc'!$B287,[1]!Data_Loan[TenCongTyID],'Dai Loc'!$B$1,[1]!Data_Loan[Thang.Nam],'Dai Loc'!AD$254)</f>
        <v>0</v>
      </c>
      <c r="AE287" s="201">
        <f>SUMIFS([1]!Data_Loan[Value],[1]!Data_Loan[Index Loan],'Dai Loc'!$B287,[1]!Data_Loan[TenCongTyID],'Dai Loc'!$B$1,[1]!Data_Loan[Thang.Nam],'Dai Loc'!AE$254)</f>
        <v>0</v>
      </c>
      <c r="AF287" s="201">
        <f>SUMIFS([1]!Data_Loan[Value],[1]!Data_Loan[Index Loan],'Dai Loc'!$B287,[1]!Data_Loan[TenCongTyID],'Dai Loc'!$B$1,[1]!Data_Loan[Thang.Nam],'Dai Loc'!AF$254)</f>
        <v>0</v>
      </c>
      <c r="AG287" s="201">
        <f>SUMIFS([1]!Data_Loan[Value],[1]!Data_Loan[Index Loan],'Dai Loc'!$B287,[1]!Data_Loan[TenCongTyID],'Dai Loc'!$B$1,[1]!Data_Loan[Thang.Nam],'Dai Loc'!AG$254)</f>
        <v>0</v>
      </c>
      <c r="AH287" s="201">
        <f>SUMIFS([1]!Data_Loan[Value],[1]!Data_Loan[Index Loan],'Dai Loc'!$B287,[1]!Data_Loan[TenCongTyID],'Dai Loc'!$B$1,[1]!Data_Loan[Thang.Nam],'Dai Loc'!AH$254)</f>
        <v>0</v>
      </c>
      <c r="AI287" s="201">
        <f>SUMIFS([1]!Data_Loan[Value],[1]!Data_Loan[Index Loan],'Dai Loc'!$B287,[1]!Data_Loan[TenCongTyID],'Dai Loc'!$B$1,[1]!Data_Loan[Thang.Nam],'Dai Loc'!AI$254)</f>
        <v>0</v>
      </c>
      <c r="AJ287" s="201">
        <f>SUMIFS([1]!Data_Loan[Value],[1]!Data_Loan[Index Loan],'Dai Loc'!$B287,[1]!Data_Loan[TenCongTyID],'Dai Loc'!$B$1,[1]!Data_Loan[Thang.Nam],'Dai Loc'!AJ$254)</f>
        <v>0</v>
      </c>
      <c r="AK287" s="201">
        <f>SUMIFS([1]!Data_Loan[Value],[1]!Data_Loan[Index Loan],'Dai Loc'!$B287,[1]!Data_Loan[TenCongTyID],'Dai Loc'!$B$1,[1]!Data_Loan[Thang.Nam],'Dai Loc'!AK$254)</f>
        <v>0</v>
      </c>
      <c r="AL287" s="201">
        <f>SUMIFS([1]!Data_Loan[Value],[1]!Data_Loan[Index Loan],'Dai Loc'!$B287,[1]!Data_Loan[TenCongTyID],'Dai Loc'!$B$1,[1]!Data_Loan[Thang.Nam],'Dai Loc'!AL$254)</f>
        <v>0</v>
      </c>
    </row>
    <row r="288" spans="1:38" ht="15" customHeight="1">
      <c r="A288" s="200" t="s">
        <v>346</v>
      </c>
      <c r="B288" s="329">
        <v>34</v>
      </c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>
        <v>0</v>
      </c>
      <c r="AA288" s="201">
        <f>SUMIFS([1]!Data_Loan[Value],[1]!Data_Loan[Index Loan],'Dai Loc'!$B288,[1]!Data_Loan[TenCongTyID],'Dai Loc'!$B$1,[1]!Data_Loan[Thang.Nam],'Dai Loc'!AA$254)</f>
        <v>0</v>
      </c>
      <c r="AB288" s="201">
        <f>SUMIFS([1]!Data_Loan[Value],[1]!Data_Loan[Index Loan],'Dai Loc'!$B288,[1]!Data_Loan[TenCongTyID],'Dai Loc'!$B$1,[1]!Data_Loan[Thang.Nam],'Dai Loc'!AB$254)</f>
        <v>0</v>
      </c>
      <c r="AC288" s="201">
        <f>SUMIFS([1]!Data_Loan[Value],[1]!Data_Loan[Index Loan],'Dai Loc'!$B288,[1]!Data_Loan[TenCongTyID],'Dai Loc'!$B$1,[1]!Data_Loan[Thang.Nam],'Dai Loc'!AC$254)</f>
        <v>0</v>
      </c>
      <c r="AD288" s="201">
        <f>SUMIFS([1]!Data_Loan[Value],[1]!Data_Loan[Index Loan],'Dai Loc'!$B288,[1]!Data_Loan[TenCongTyID],'Dai Loc'!$B$1,[1]!Data_Loan[Thang.Nam],'Dai Loc'!AD$254)</f>
        <v>0</v>
      </c>
      <c r="AE288" s="201">
        <f>SUMIFS([1]!Data_Loan[Value],[1]!Data_Loan[Index Loan],'Dai Loc'!$B288,[1]!Data_Loan[TenCongTyID],'Dai Loc'!$B$1,[1]!Data_Loan[Thang.Nam],'Dai Loc'!AE$254)</f>
        <v>0</v>
      </c>
      <c r="AF288" s="201">
        <f>SUMIFS([1]!Data_Loan[Value],[1]!Data_Loan[Index Loan],'Dai Loc'!$B288,[1]!Data_Loan[TenCongTyID],'Dai Loc'!$B$1,[1]!Data_Loan[Thang.Nam],'Dai Loc'!AF$254)</f>
        <v>0</v>
      </c>
      <c r="AG288" s="201">
        <f>SUMIFS([1]!Data_Loan[Value],[1]!Data_Loan[Index Loan],'Dai Loc'!$B288,[1]!Data_Loan[TenCongTyID],'Dai Loc'!$B$1,[1]!Data_Loan[Thang.Nam],'Dai Loc'!AG$254)</f>
        <v>0</v>
      </c>
      <c r="AH288" s="201">
        <f>SUMIFS([1]!Data_Loan[Value],[1]!Data_Loan[Index Loan],'Dai Loc'!$B288,[1]!Data_Loan[TenCongTyID],'Dai Loc'!$B$1,[1]!Data_Loan[Thang.Nam],'Dai Loc'!AH$254)</f>
        <v>0</v>
      </c>
      <c r="AI288" s="201">
        <f>SUMIFS([1]!Data_Loan[Value],[1]!Data_Loan[Index Loan],'Dai Loc'!$B288,[1]!Data_Loan[TenCongTyID],'Dai Loc'!$B$1,[1]!Data_Loan[Thang.Nam],'Dai Loc'!AI$254)</f>
        <v>0</v>
      </c>
      <c r="AJ288" s="201">
        <f>SUMIFS([1]!Data_Loan[Value],[1]!Data_Loan[Index Loan],'Dai Loc'!$B288,[1]!Data_Loan[TenCongTyID],'Dai Loc'!$B$1,[1]!Data_Loan[Thang.Nam],'Dai Loc'!AJ$254)</f>
        <v>0</v>
      </c>
      <c r="AK288" s="201">
        <f>SUMIFS([1]!Data_Loan[Value],[1]!Data_Loan[Index Loan],'Dai Loc'!$B288,[1]!Data_Loan[TenCongTyID],'Dai Loc'!$B$1,[1]!Data_Loan[Thang.Nam],'Dai Loc'!AK$254)</f>
        <v>0</v>
      </c>
      <c r="AL288" s="201">
        <f>SUMIFS([1]!Data_Loan[Value],[1]!Data_Loan[Index Loan],'Dai Loc'!$B288,[1]!Data_Loan[TenCongTyID],'Dai Loc'!$B$1,[1]!Data_Loan[Thang.Nam],'Dai Loc'!AL$254)</f>
        <v>0</v>
      </c>
    </row>
    <row r="289" spans="1:38" ht="15" customHeight="1">
      <c r="A289" s="200" t="s">
        <v>347</v>
      </c>
      <c r="B289" s="329">
        <v>35</v>
      </c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>
        <v>0</v>
      </c>
      <c r="AA289" s="201">
        <f>SUMIFS([1]!Data_Loan[Value],[1]!Data_Loan[Index Loan],'Dai Loc'!$B289,[1]!Data_Loan[TenCongTyID],'Dai Loc'!$B$1,[1]!Data_Loan[Thang.Nam],'Dai Loc'!AA$254)</f>
        <v>0</v>
      </c>
      <c r="AB289" s="201">
        <f>SUMIFS([1]!Data_Loan[Value],[1]!Data_Loan[Index Loan],'Dai Loc'!$B289,[1]!Data_Loan[TenCongTyID],'Dai Loc'!$B$1,[1]!Data_Loan[Thang.Nam],'Dai Loc'!AB$254)</f>
        <v>0</v>
      </c>
      <c r="AC289" s="201">
        <f>SUMIFS([1]!Data_Loan[Value],[1]!Data_Loan[Index Loan],'Dai Loc'!$B289,[1]!Data_Loan[TenCongTyID],'Dai Loc'!$B$1,[1]!Data_Loan[Thang.Nam],'Dai Loc'!AC$254)</f>
        <v>0</v>
      </c>
      <c r="AD289" s="201">
        <f>SUMIFS([1]!Data_Loan[Value],[1]!Data_Loan[Index Loan],'Dai Loc'!$B289,[1]!Data_Loan[TenCongTyID],'Dai Loc'!$B$1,[1]!Data_Loan[Thang.Nam],'Dai Loc'!AD$254)</f>
        <v>0</v>
      </c>
      <c r="AE289" s="201">
        <f>SUMIFS([1]!Data_Loan[Value],[1]!Data_Loan[Index Loan],'Dai Loc'!$B289,[1]!Data_Loan[TenCongTyID],'Dai Loc'!$B$1,[1]!Data_Loan[Thang.Nam],'Dai Loc'!AE$254)</f>
        <v>0</v>
      </c>
      <c r="AF289" s="201">
        <f>SUMIFS([1]!Data_Loan[Value],[1]!Data_Loan[Index Loan],'Dai Loc'!$B289,[1]!Data_Loan[TenCongTyID],'Dai Loc'!$B$1,[1]!Data_Loan[Thang.Nam],'Dai Loc'!AF$254)</f>
        <v>0</v>
      </c>
      <c r="AG289" s="201">
        <f>SUMIFS([1]!Data_Loan[Value],[1]!Data_Loan[Index Loan],'Dai Loc'!$B289,[1]!Data_Loan[TenCongTyID],'Dai Loc'!$B$1,[1]!Data_Loan[Thang.Nam],'Dai Loc'!AG$254)</f>
        <v>0</v>
      </c>
      <c r="AH289" s="201">
        <f>SUMIFS([1]!Data_Loan[Value],[1]!Data_Loan[Index Loan],'Dai Loc'!$B289,[1]!Data_Loan[TenCongTyID],'Dai Loc'!$B$1,[1]!Data_Loan[Thang.Nam],'Dai Loc'!AH$254)</f>
        <v>0</v>
      </c>
      <c r="AI289" s="201">
        <f>SUMIFS([1]!Data_Loan[Value],[1]!Data_Loan[Index Loan],'Dai Loc'!$B289,[1]!Data_Loan[TenCongTyID],'Dai Loc'!$B$1,[1]!Data_Loan[Thang.Nam],'Dai Loc'!AI$254)</f>
        <v>0</v>
      </c>
      <c r="AJ289" s="201">
        <f>SUMIFS([1]!Data_Loan[Value],[1]!Data_Loan[Index Loan],'Dai Loc'!$B289,[1]!Data_Loan[TenCongTyID],'Dai Loc'!$B$1,[1]!Data_Loan[Thang.Nam],'Dai Loc'!AJ$254)</f>
        <v>0</v>
      </c>
      <c r="AK289" s="201">
        <f>SUMIFS([1]!Data_Loan[Value],[1]!Data_Loan[Index Loan],'Dai Loc'!$B289,[1]!Data_Loan[TenCongTyID],'Dai Loc'!$B$1,[1]!Data_Loan[Thang.Nam],'Dai Loc'!AK$254)</f>
        <v>0</v>
      </c>
      <c r="AL289" s="201">
        <f>SUMIFS([1]!Data_Loan[Value],[1]!Data_Loan[Index Loan],'Dai Loc'!$B289,[1]!Data_Loan[TenCongTyID],'Dai Loc'!$B$1,[1]!Data_Loan[Thang.Nam],'Dai Loc'!AL$254)</f>
        <v>0</v>
      </c>
    </row>
    <row r="290" spans="1:38" ht="15" customHeight="1">
      <c r="B290" s="329">
        <v>36</v>
      </c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>
        <v>0</v>
      </c>
      <c r="AA290" s="201">
        <f>SUMIFS([1]!Data_Loan[Value],[1]!Data_Loan[Index Loan],'Dai Loc'!$B290,[1]!Data_Loan[TenCongTyID],'Dai Loc'!$B$1,[1]!Data_Loan[Thang.Nam],'Dai Loc'!AA$254)</f>
        <v>0</v>
      </c>
      <c r="AB290" s="201">
        <f>SUMIFS([1]!Data_Loan[Value],[1]!Data_Loan[Index Loan],'Dai Loc'!$B290,[1]!Data_Loan[TenCongTyID],'Dai Loc'!$B$1,[1]!Data_Loan[Thang.Nam],'Dai Loc'!AB$254)</f>
        <v>0</v>
      </c>
      <c r="AC290" s="201">
        <f>SUMIFS([1]!Data_Loan[Value],[1]!Data_Loan[Index Loan],'Dai Loc'!$B290,[1]!Data_Loan[TenCongTyID],'Dai Loc'!$B$1,[1]!Data_Loan[Thang.Nam],'Dai Loc'!AC$254)</f>
        <v>0</v>
      </c>
      <c r="AD290" s="201">
        <f>SUMIFS([1]!Data_Loan[Value],[1]!Data_Loan[Index Loan],'Dai Loc'!$B290,[1]!Data_Loan[TenCongTyID],'Dai Loc'!$B$1,[1]!Data_Loan[Thang.Nam],'Dai Loc'!AD$254)</f>
        <v>0</v>
      </c>
      <c r="AE290" s="201">
        <f>SUMIFS([1]!Data_Loan[Value],[1]!Data_Loan[Index Loan],'Dai Loc'!$B290,[1]!Data_Loan[TenCongTyID],'Dai Loc'!$B$1,[1]!Data_Loan[Thang.Nam],'Dai Loc'!AE$254)</f>
        <v>0</v>
      </c>
      <c r="AF290" s="201">
        <f>SUMIFS([1]!Data_Loan[Value],[1]!Data_Loan[Index Loan],'Dai Loc'!$B290,[1]!Data_Loan[TenCongTyID],'Dai Loc'!$B$1,[1]!Data_Loan[Thang.Nam],'Dai Loc'!AF$254)</f>
        <v>0</v>
      </c>
      <c r="AG290" s="201">
        <f>SUMIFS([1]!Data_Loan[Value],[1]!Data_Loan[Index Loan],'Dai Loc'!$B290,[1]!Data_Loan[TenCongTyID],'Dai Loc'!$B$1,[1]!Data_Loan[Thang.Nam],'Dai Loc'!AG$254)</f>
        <v>0</v>
      </c>
      <c r="AH290" s="201">
        <f>SUMIFS([1]!Data_Loan[Value],[1]!Data_Loan[Index Loan],'Dai Loc'!$B290,[1]!Data_Loan[TenCongTyID],'Dai Loc'!$B$1,[1]!Data_Loan[Thang.Nam],'Dai Loc'!AH$254)</f>
        <v>0</v>
      </c>
      <c r="AI290" s="201">
        <f>SUMIFS([1]!Data_Loan[Value],[1]!Data_Loan[Index Loan],'Dai Loc'!$B290,[1]!Data_Loan[TenCongTyID],'Dai Loc'!$B$1,[1]!Data_Loan[Thang.Nam],'Dai Loc'!AI$254)</f>
        <v>0</v>
      </c>
      <c r="AJ290" s="201">
        <f>SUMIFS([1]!Data_Loan[Value],[1]!Data_Loan[Index Loan],'Dai Loc'!$B290,[1]!Data_Loan[TenCongTyID],'Dai Loc'!$B$1,[1]!Data_Loan[Thang.Nam],'Dai Loc'!AJ$254)</f>
        <v>0</v>
      </c>
      <c r="AK290" s="201">
        <f>SUMIFS([1]!Data_Loan[Value],[1]!Data_Loan[Index Loan],'Dai Loc'!$B290,[1]!Data_Loan[TenCongTyID],'Dai Loc'!$B$1,[1]!Data_Loan[Thang.Nam],'Dai Loc'!AK$254)</f>
        <v>0</v>
      </c>
      <c r="AL290" s="201">
        <f>SUMIFS([1]!Data_Loan[Value],[1]!Data_Loan[Index Loan],'Dai Loc'!$B290,[1]!Data_Loan[TenCongTyID],'Dai Loc'!$B$1,[1]!Data_Loan[Thang.Nam],'Dai Loc'!AL$254)</f>
        <v>0</v>
      </c>
    </row>
    <row r="291" spans="1:38" ht="15" customHeight="1">
      <c r="A291" s="202" t="s">
        <v>350</v>
      </c>
      <c r="B291" s="330">
        <v>37</v>
      </c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>
        <v>0</v>
      </c>
      <c r="AA291" s="201">
        <f>SUMIFS([1]!Data_Loan[Value],[1]!Data_Loan[Index Loan],'Dai Loc'!$B291,[1]!Data_Loan[TenCongTyID],'Dai Loc'!$B$1,[1]!Data_Loan[Thang.Nam],'Dai Loc'!AA$254)</f>
        <v>0</v>
      </c>
      <c r="AB291" s="201">
        <f>SUMIFS([1]!Data_Loan[Value],[1]!Data_Loan[Index Loan],'Dai Loc'!$B291,[1]!Data_Loan[TenCongTyID],'Dai Loc'!$B$1,[1]!Data_Loan[Thang.Nam],'Dai Loc'!AB$254)</f>
        <v>0</v>
      </c>
      <c r="AC291" s="201">
        <f>SUMIFS([1]!Data_Loan[Value],[1]!Data_Loan[Index Loan],'Dai Loc'!$B291,[1]!Data_Loan[TenCongTyID],'Dai Loc'!$B$1,[1]!Data_Loan[Thang.Nam],'Dai Loc'!AC$254)</f>
        <v>0</v>
      </c>
      <c r="AD291" s="201">
        <f>SUMIFS([1]!Data_Loan[Value],[1]!Data_Loan[Index Loan],'Dai Loc'!$B291,[1]!Data_Loan[TenCongTyID],'Dai Loc'!$B$1,[1]!Data_Loan[Thang.Nam],'Dai Loc'!AD$254)</f>
        <v>0</v>
      </c>
      <c r="AE291" s="201">
        <f>SUMIFS([1]!Data_Loan[Value],[1]!Data_Loan[Index Loan],'Dai Loc'!$B291,[1]!Data_Loan[TenCongTyID],'Dai Loc'!$B$1,[1]!Data_Loan[Thang.Nam],'Dai Loc'!AE$254)</f>
        <v>0</v>
      </c>
      <c r="AF291" s="201">
        <f>SUMIFS([1]!Data_Loan[Value],[1]!Data_Loan[Index Loan],'Dai Loc'!$B291,[1]!Data_Loan[TenCongTyID],'Dai Loc'!$B$1,[1]!Data_Loan[Thang.Nam],'Dai Loc'!AF$254)</f>
        <v>0</v>
      </c>
      <c r="AG291" s="201">
        <f>SUMIFS([1]!Data_Loan[Value],[1]!Data_Loan[Index Loan],'Dai Loc'!$B291,[1]!Data_Loan[TenCongTyID],'Dai Loc'!$B$1,[1]!Data_Loan[Thang.Nam],'Dai Loc'!AG$254)</f>
        <v>0</v>
      </c>
      <c r="AH291" s="201">
        <f>SUMIFS([1]!Data_Loan[Value],[1]!Data_Loan[Index Loan],'Dai Loc'!$B291,[1]!Data_Loan[TenCongTyID],'Dai Loc'!$B$1,[1]!Data_Loan[Thang.Nam],'Dai Loc'!AH$254)</f>
        <v>0</v>
      </c>
      <c r="AI291" s="201">
        <f>SUMIFS([1]!Data_Loan[Value],[1]!Data_Loan[Index Loan],'Dai Loc'!$B291,[1]!Data_Loan[TenCongTyID],'Dai Loc'!$B$1,[1]!Data_Loan[Thang.Nam],'Dai Loc'!AI$254)</f>
        <v>0</v>
      </c>
      <c r="AJ291" s="201">
        <f>SUMIFS([1]!Data_Loan[Value],[1]!Data_Loan[Index Loan],'Dai Loc'!$B291,[1]!Data_Loan[TenCongTyID],'Dai Loc'!$B$1,[1]!Data_Loan[Thang.Nam],'Dai Loc'!AJ$254)</f>
        <v>0</v>
      </c>
      <c r="AK291" s="201">
        <f>SUMIFS([1]!Data_Loan[Value],[1]!Data_Loan[Index Loan],'Dai Loc'!$B291,[1]!Data_Loan[TenCongTyID],'Dai Loc'!$B$1,[1]!Data_Loan[Thang.Nam],'Dai Loc'!AK$254)</f>
        <v>0</v>
      </c>
      <c r="AL291" s="201">
        <f>SUMIFS([1]!Data_Loan[Value],[1]!Data_Loan[Index Loan],'Dai Loc'!$B291,[1]!Data_Loan[TenCongTyID],'Dai Loc'!$B$1,[1]!Data_Loan[Thang.Nam],'Dai Loc'!AL$254)</f>
        <v>0</v>
      </c>
    </row>
    <row r="292" spans="1:38" ht="15" customHeight="1">
      <c r="A292" s="200" t="str">
        <f>A283</f>
        <v>ACB</v>
      </c>
      <c r="B292" s="329">
        <v>38</v>
      </c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>
        <v>0</v>
      </c>
      <c r="AA292" s="201">
        <f>SUMIFS([1]!Data_Loan[Value],[1]!Data_Loan[Index Loan],'Dai Loc'!$B292,[1]!Data_Loan[TenCongTyID],'Dai Loc'!$B$1,[1]!Data_Loan[Thang.Nam],'Dai Loc'!AA$254)</f>
        <v>0</v>
      </c>
      <c r="AB292" s="201">
        <f>SUMIFS([1]!Data_Loan[Value],[1]!Data_Loan[Index Loan],'Dai Loc'!$B292,[1]!Data_Loan[TenCongTyID],'Dai Loc'!$B$1,[1]!Data_Loan[Thang.Nam],'Dai Loc'!AB$254)</f>
        <v>0</v>
      </c>
      <c r="AC292" s="201">
        <f>SUMIFS([1]!Data_Loan[Value],[1]!Data_Loan[Index Loan],'Dai Loc'!$B292,[1]!Data_Loan[TenCongTyID],'Dai Loc'!$B$1,[1]!Data_Loan[Thang.Nam],'Dai Loc'!AC$254)</f>
        <v>0</v>
      </c>
      <c r="AD292" s="201">
        <f>SUMIFS([1]!Data_Loan[Value],[1]!Data_Loan[Index Loan],'Dai Loc'!$B292,[1]!Data_Loan[TenCongTyID],'Dai Loc'!$B$1,[1]!Data_Loan[Thang.Nam],'Dai Loc'!AD$254)</f>
        <v>0</v>
      </c>
      <c r="AE292" s="201">
        <f>SUMIFS([1]!Data_Loan[Value],[1]!Data_Loan[Index Loan],'Dai Loc'!$B292,[1]!Data_Loan[TenCongTyID],'Dai Loc'!$B$1,[1]!Data_Loan[Thang.Nam],'Dai Loc'!AE$254)</f>
        <v>0</v>
      </c>
      <c r="AF292" s="201">
        <f>SUMIFS([1]!Data_Loan[Value],[1]!Data_Loan[Index Loan],'Dai Loc'!$B292,[1]!Data_Loan[TenCongTyID],'Dai Loc'!$B$1,[1]!Data_Loan[Thang.Nam],'Dai Loc'!AF$254)</f>
        <v>0</v>
      </c>
      <c r="AG292" s="201">
        <f>SUMIFS([1]!Data_Loan[Value],[1]!Data_Loan[Index Loan],'Dai Loc'!$B292,[1]!Data_Loan[TenCongTyID],'Dai Loc'!$B$1,[1]!Data_Loan[Thang.Nam],'Dai Loc'!AG$254)</f>
        <v>0</v>
      </c>
      <c r="AH292" s="201">
        <f>SUMIFS([1]!Data_Loan[Value],[1]!Data_Loan[Index Loan],'Dai Loc'!$B292,[1]!Data_Loan[TenCongTyID],'Dai Loc'!$B$1,[1]!Data_Loan[Thang.Nam],'Dai Loc'!AH$254)</f>
        <v>0</v>
      </c>
      <c r="AI292" s="201">
        <f>SUMIFS([1]!Data_Loan[Value],[1]!Data_Loan[Index Loan],'Dai Loc'!$B292,[1]!Data_Loan[TenCongTyID],'Dai Loc'!$B$1,[1]!Data_Loan[Thang.Nam],'Dai Loc'!AI$254)</f>
        <v>0</v>
      </c>
      <c r="AJ292" s="201">
        <f>SUMIFS([1]!Data_Loan[Value],[1]!Data_Loan[Index Loan],'Dai Loc'!$B292,[1]!Data_Loan[TenCongTyID],'Dai Loc'!$B$1,[1]!Data_Loan[Thang.Nam],'Dai Loc'!AJ$254)</f>
        <v>0</v>
      </c>
      <c r="AK292" s="201">
        <f>SUMIFS([1]!Data_Loan[Value],[1]!Data_Loan[Index Loan],'Dai Loc'!$B292,[1]!Data_Loan[TenCongTyID],'Dai Loc'!$B$1,[1]!Data_Loan[Thang.Nam],'Dai Loc'!AK$254)</f>
        <v>0</v>
      </c>
      <c r="AL292" s="201">
        <f>SUMIFS([1]!Data_Loan[Value],[1]!Data_Loan[Index Loan],'Dai Loc'!$B292,[1]!Data_Loan[TenCongTyID],'Dai Loc'!$B$1,[1]!Data_Loan[Thang.Nam],'Dai Loc'!AL$254)</f>
        <v>0</v>
      </c>
    </row>
    <row r="293" spans="1:38" ht="15" customHeight="1">
      <c r="A293" s="200" t="str">
        <f t="shared" ref="A293:A299" si="49">A284</f>
        <v>VietinBank</v>
      </c>
      <c r="B293" s="329">
        <v>39</v>
      </c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>
        <v>0</v>
      </c>
      <c r="AA293" s="201">
        <f>SUMIFS([1]!Data_Loan[Value],[1]!Data_Loan[Index Loan],'Dai Loc'!$B293,[1]!Data_Loan[TenCongTyID],'Dai Loc'!$B$1,[1]!Data_Loan[Thang.Nam],'Dai Loc'!AA$254)</f>
        <v>0</v>
      </c>
      <c r="AB293" s="201">
        <f>SUMIFS([1]!Data_Loan[Value],[1]!Data_Loan[Index Loan],'Dai Loc'!$B293,[1]!Data_Loan[TenCongTyID],'Dai Loc'!$B$1,[1]!Data_Loan[Thang.Nam],'Dai Loc'!AB$254)</f>
        <v>0</v>
      </c>
      <c r="AC293" s="201">
        <f>SUMIFS([1]!Data_Loan[Value],[1]!Data_Loan[Index Loan],'Dai Loc'!$B293,[1]!Data_Loan[TenCongTyID],'Dai Loc'!$B$1,[1]!Data_Loan[Thang.Nam],'Dai Loc'!AC$254)</f>
        <v>0</v>
      </c>
      <c r="AD293" s="201">
        <f>SUMIFS([1]!Data_Loan[Value],[1]!Data_Loan[Index Loan],'Dai Loc'!$B293,[1]!Data_Loan[TenCongTyID],'Dai Loc'!$B$1,[1]!Data_Loan[Thang.Nam],'Dai Loc'!AD$254)</f>
        <v>0</v>
      </c>
      <c r="AE293" s="201">
        <f>SUMIFS([1]!Data_Loan[Value],[1]!Data_Loan[Index Loan],'Dai Loc'!$B293,[1]!Data_Loan[TenCongTyID],'Dai Loc'!$B$1,[1]!Data_Loan[Thang.Nam],'Dai Loc'!AE$254)</f>
        <v>0</v>
      </c>
      <c r="AF293" s="201">
        <f>SUMIFS([1]!Data_Loan[Value],[1]!Data_Loan[Index Loan],'Dai Loc'!$B293,[1]!Data_Loan[TenCongTyID],'Dai Loc'!$B$1,[1]!Data_Loan[Thang.Nam],'Dai Loc'!AF$254)</f>
        <v>0</v>
      </c>
      <c r="AG293" s="201">
        <f>SUMIFS([1]!Data_Loan[Value],[1]!Data_Loan[Index Loan],'Dai Loc'!$B293,[1]!Data_Loan[TenCongTyID],'Dai Loc'!$B$1,[1]!Data_Loan[Thang.Nam],'Dai Loc'!AG$254)</f>
        <v>0</v>
      </c>
      <c r="AH293" s="201">
        <f>SUMIFS([1]!Data_Loan[Value],[1]!Data_Loan[Index Loan],'Dai Loc'!$B293,[1]!Data_Loan[TenCongTyID],'Dai Loc'!$B$1,[1]!Data_Loan[Thang.Nam],'Dai Loc'!AH$254)</f>
        <v>0</v>
      </c>
      <c r="AI293" s="201">
        <f>SUMIFS([1]!Data_Loan[Value],[1]!Data_Loan[Index Loan],'Dai Loc'!$B293,[1]!Data_Loan[TenCongTyID],'Dai Loc'!$B$1,[1]!Data_Loan[Thang.Nam],'Dai Loc'!AI$254)</f>
        <v>0</v>
      </c>
      <c r="AJ293" s="201">
        <f>SUMIFS([1]!Data_Loan[Value],[1]!Data_Loan[Index Loan],'Dai Loc'!$B293,[1]!Data_Loan[TenCongTyID],'Dai Loc'!$B$1,[1]!Data_Loan[Thang.Nam],'Dai Loc'!AJ$254)</f>
        <v>0</v>
      </c>
      <c r="AK293" s="201">
        <f>SUMIFS([1]!Data_Loan[Value],[1]!Data_Loan[Index Loan],'Dai Loc'!$B293,[1]!Data_Loan[TenCongTyID],'Dai Loc'!$B$1,[1]!Data_Loan[Thang.Nam],'Dai Loc'!AK$254)</f>
        <v>0</v>
      </c>
      <c r="AL293" s="201">
        <f>SUMIFS([1]!Data_Loan[Value],[1]!Data_Loan[Index Loan],'Dai Loc'!$B293,[1]!Data_Loan[TenCongTyID],'Dai Loc'!$B$1,[1]!Data_Loan[Thang.Nam],'Dai Loc'!AL$254)</f>
        <v>0</v>
      </c>
    </row>
    <row r="294" spans="1:38" ht="15" customHeight="1">
      <c r="A294" s="200" t="str">
        <f t="shared" si="49"/>
        <v>Vietcombank</v>
      </c>
      <c r="B294" s="329">
        <v>40</v>
      </c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>
        <v>0</v>
      </c>
      <c r="AA294" s="201">
        <f>SUMIFS([1]!Data_Loan[Value],[1]!Data_Loan[Index Loan],'Dai Loc'!$B294,[1]!Data_Loan[TenCongTyID],'Dai Loc'!$B$1,[1]!Data_Loan[Thang.Nam],'Dai Loc'!AA$254)</f>
        <v>0</v>
      </c>
      <c r="AB294" s="201">
        <f>SUMIFS([1]!Data_Loan[Value],[1]!Data_Loan[Index Loan],'Dai Loc'!$B294,[1]!Data_Loan[TenCongTyID],'Dai Loc'!$B$1,[1]!Data_Loan[Thang.Nam],'Dai Loc'!AB$254)</f>
        <v>0</v>
      </c>
      <c r="AC294" s="201">
        <f>SUMIFS([1]!Data_Loan[Value],[1]!Data_Loan[Index Loan],'Dai Loc'!$B294,[1]!Data_Loan[TenCongTyID],'Dai Loc'!$B$1,[1]!Data_Loan[Thang.Nam],'Dai Loc'!AC$254)</f>
        <v>0</v>
      </c>
      <c r="AD294" s="201">
        <f>SUMIFS([1]!Data_Loan[Value],[1]!Data_Loan[Index Loan],'Dai Loc'!$B294,[1]!Data_Loan[TenCongTyID],'Dai Loc'!$B$1,[1]!Data_Loan[Thang.Nam],'Dai Loc'!AD$254)</f>
        <v>0</v>
      </c>
      <c r="AE294" s="201">
        <f>SUMIFS([1]!Data_Loan[Value],[1]!Data_Loan[Index Loan],'Dai Loc'!$B294,[1]!Data_Loan[TenCongTyID],'Dai Loc'!$B$1,[1]!Data_Loan[Thang.Nam],'Dai Loc'!AE$254)</f>
        <v>0</v>
      </c>
      <c r="AF294" s="201">
        <f>SUMIFS([1]!Data_Loan[Value],[1]!Data_Loan[Index Loan],'Dai Loc'!$B294,[1]!Data_Loan[TenCongTyID],'Dai Loc'!$B$1,[1]!Data_Loan[Thang.Nam],'Dai Loc'!AF$254)</f>
        <v>0</v>
      </c>
      <c r="AG294" s="201">
        <f>SUMIFS([1]!Data_Loan[Value],[1]!Data_Loan[Index Loan],'Dai Loc'!$B294,[1]!Data_Loan[TenCongTyID],'Dai Loc'!$B$1,[1]!Data_Loan[Thang.Nam],'Dai Loc'!AG$254)</f>
        <v>0</v>
      </c>
      <c r="AH294" s="201">
        <f>SUMIFS([1]!Data_Loan[Value],[1]!Data_Loan[Index Loan],'Dai Loc'!$B294,[1]!Data_Loan[TenCongTyID],'Dai Loc'!$B$1,[1]!Data_Loan[Thang.Nam],'Dai Loc'!AH$254)</f>
        <v>0</v>
      </c>
      <c r="AI294" s="201">
        <f>SUMIFS([1]!Data_Loan[Value],[1]!Data_Loan[Index Loan],'Dai Loc'!$B294,[1]!Data_Loan[TenCongTyID],'Dai Loc'!$B$1,[1]!Data_Loan[Thang.Nam],'Dai Loc'!AI$254)</f>
        <v>0</v>
      </c>
      <c r="AJ294" s="201">
        <f>SUMIFS([1]!Data_Loan[Value],[1]!Data_Loan[Index Loan],'Dai Loc'!$B294,[1]!Data_Loan[TenCongTyID],'Dai Loc'!$B$1,[1]!Data_Loan[Thang.Nam],'Dai Loc'!AJ$254)</f>
        <v>0</v>
      </c>
      <c r="AK294" s="201">
        <f>SUMIFS([1]!Data_Loan[Value],[1]!Data_Loan[Index Loan],'Dai Loc'!$B294,[1]!Data_Loan[TenCongTyID],'Dai Loc'!$B$1,[1]!Data_Loan[Thang.Nam],'Dai Loc'!AK$254)</f>
        <v>0</v>
      </c>
      <c r="AL294" s="201">
        <f>SUMIFS([1]!Data_Loan[Value],[1]!Data_Loan[Index Loan],'Dai Loc'!$B294,[1]!Data_Loan[TenCongTyID],'Dai Loc'!$B$1,[1]!Data_Loan[Thang.Nam],'Dai Loc'!AL$254)</f>
        <v>0</v>
      </c>
    </row>
    <row r="295" spans="1:38" ht="15" customHeight="1">
      <c r="A295" s="200" t="str">
        <f t="shared" si="49"/>
        <v>BIDV</v>
      </c>
      <c r="B295" s="329">
        <v>41</v>
      </c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>
        <v>0</v>
      </c>
      <c r="AA295" s="201">
        <f>SUMIFS([1]!Data_Loan[Value],[1]!Data_Loan[Index Loan],'Dai Loc'!$B295,[1]!Data_Loan[TenCongTyID],'Dai Loc'!$B$1,[1]!Data_Loan[Thang.Nam],'Dai Loc'!AA$254)</f>
        <v>0</v>
      </c>
      <c r="AB295" s="201">
        <f>SUMIFS([1]!Data_Loan[Value],[1]!Data_Loan[Index Loan],'Dai Loc'!$B295,[1]!Data_Loan[TenCongTyID],'Dai Loc'!$B$1,[1]!Data_Loan[Thang.Nam],'Dai Loc'!AB$254)</f>
        <v>0</v>
      </c>
      <c r="AC295" s="201">
        <f>SUMIFS([1]!Data_Loan[Value],[1]!Data_Loan[Index Loan],'Dai Loc'!$B295,[1]!Data_Loan[TenCongTyID],'Dai Loc'!$B$1,[1]!Data_Loan[Thang.Nam],'Dai Loc'!AC$254)</f>
        <v>0</v>
      </c>
      <c r="AD295" s="201">
        <f>SUMIFS([1]!Data_Loan[Value],[1]!Data_Loan[Index Loan],'Dai Loc'!$B295,[1]!Data_Loan[TenCongTyID],'Dai Loc'!$B$1,[1]!Data_Loan[Thang.Nam],'Dai Loc'!AD$254)</f>
        <v>0</v>
      </c>
      <c r="AE295" s="201">
        <f>SUMIFS([1]!Data_Loan[Value],[1]!Data_Loan[Index Loan],'Dai Loc'!$B295,[1]!Data_Loan[TenCongTyID],'Dai Loc'!$B$1,[1]!Data_Loan[Thang.Nam],'Dai Loc'!AE$254)</f>
        <v>0</v>
      </c>
      <c r="AF295" s="201">
        <f>SUMIFS([1]!Data_Loan[Value],[1]!Data_Loan[Index Loan],'Dai Loc'!$B295,[1]!Data_Loan[TenCongTyID],'Dai Loc'!$B$1,[1]!Data_Loan[Thang.Nam],'Dai Loc'!AF$254)</f>
        <v>0</v>
      </c>
      <c r="AG295" s="201">
        <f>SUMIFS([1]!Data_Loan[Value],[1]!Data_Loan[Index Loan],'Dai Loc'!$B295,[1]!Data_Loan[TenCongTyID],'Dai Loc'!$B$1,[1]!Data_Loan[Thang.Nam],'Dai Loc'!AG$254)</f>
        <v>0</v>
      </c>
      <c r="AH295" s="201">
        <f>SUMIFS([1]!Data_Loan[Value],[1]!Data_Loan[Index Loan],'Dai Loc'!$B295,[1]!Data_Loan[TenCongTyID],'Dai Loc'!$B$1,[1]!Data_Loan[Thang.Nam],'Dai Loc'!AH$254)</f>
        <v>0</v>
      </c>
      <c r="AI295" s="201">
        <f>SUMIFS([1]!Data_Loan[Value],[1]!Data_Loan[Index Loan],'Dai Loc'!$B295,[1]!Data_Loan[TenCongTyID],'Dai Loc'!$B$1,[1]!Data_Loan[Thang.Nam],'Dai Loc'!AI$254)</f>
        <v>0</v>
      </c>
      <c r="AJ295" s="201">
        <f>SUMIFS([1]!Data_Loan[Value],[1]!Data_Loan[Index Loan],'Dai Loc'!$B295,[1]!Data_Loan[TenCongTyID],'Dai Loc'!$B$1,[1]!Data_Loan[Thang.Nam],'Dai Loc'!AJ$254)</f>
        <v>0</v>
      </c>
      <c r="AK295" s="201">
        <f>SUMIFS([1]!Data_Loan[Value],[1]!Data_Loan[Index Loan],'Dai Loc'!$B295,[1]!Data_Loan[TenCongTyID],'Dai Loc'!$B$1,[1]!Data_Loan[Thang.Nam],'Dai Loc'!AK$254)</f>
        <v>0</v>
      </c>
      <c r="AL295" s="201">
        <f>SUMIFS([1]!Data_Loan[Value],[1]!Data_Loan[Index Loan],'Dai Loc'!$B295,[1]!Data_Loan[TenCongTyID],'Dai Loc'!$B$1,[1]!Data_Loan[Thang.Nam],'Dai Loc'!AL$254)</f>
        <v>0</v>
      </c>
    </row>
    <row r="296" spans="1:38" ht="15" customHeight="1">
      <c r="A296" s="200" t="str">
        <f t="shared" si="49"/>
        <v>Standard Chartered</v>
      </c>
      <c r="B296" s="329">
        <v>42</v>
      </c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>
        <v>0</v>
      </c>
      <c r="AA296" s="201">
        <f>SUMIFS([1]!Data_Loan[Value],[1]!Data_Loan[Index Loan],'Dai Loc'!$B296,[1]!Data_Loan[TenCongTyID],'Dai Loc'!$B$1,[1]!Data_Loan[Thang.Nam],'Dai Loc'!AA$254)</f>
        <v>0</v>
      </c>
      <c r="AB296" s="201">
        <f>SUMIFS([1]!Data_Loan[Value],[1]!Data_Loan[Index Loan],'Dai Loc'!$B296,[1]!Data_Loan[TenCongTyID],'Dai Loc'!$B$1,[1]!Data_Loan[Thang.Nam],'Dai Loc'!AB$254)</f>
        <v>0</v>
      </c>
      <c r="AC296" s="201">
        <f>SUMIFS([1]!Data_Loan[Value],[1]!Data_Loan[Index Loan],'Dai Loc'!$B296,[1]!Data_Loan[TenCongTyID],'Dai Loc'!$B$1,[1]!Data_Loan[Thang.Nam],'Dai Loc'!AC$254)</f>
        <v>0</v>
      </c>
      <c r="AD296" s="201">
        <f>SUMIFS([1]!Data_Loan[Value],[1]!Data_Loan[Index Loan],'Dai Loc'!$B296,[1]!Data_Loan[TenCongTyID],'Dai Loc'!$B$1,[1]!Data_Loan[Thang.Nam],'Dai Loc'!AD$254)</f>
        <v>0</v>
      </c>
      <c r="AE296" s="201">
        <f>SUMIFS([1]!Data_Loan[Value],[1]!Data_Loan[Index Loan],'Dai Loc'!$B296,[1]!Data_Loan[TenCongTyID],'Dai Loc'!$B$1,[1]!Data_Loan[Thang.Nam],'Dai Loc'!AE$254)</f>
        <v>0</v>
      </c>
      <c r="AF296" s="201">
        <f>SUMIFS([1]!Data_Loan[Value],[1]!Data_Loan[Index Loan],'Dai Loc'!$B296,[1]!Data_Loan[TenCongTyID],'Dai Loc'!$B$1,[1]!Data_Loan[Thang.Nam],'Dai Loc'!AF$254)</f>
        <v>0</v>
      </c>
      <c r="AG296" s="201">
        <f>SUMIFS([1]!Data_Loan[Value],[1]!Data_Loan[Index Loan],'Dai Loc'!$B296,[1]!Data_Loan[TenCongTyID],'Dai Loc'!$B$1,[1]!Data_Loan[Thang.Nam],'Dai Loc'!AG$254)</f>
        <v>0</v>
      </c>
      <c r="AH296" s="201">
        <f>SUMIFS([1]!Data_Loan[Value],[1]!Data_Loan[Index Loan],'Dai Loc'!$B296,[1]!Data_Loan[TenCongTyID],'Dai Loc'!$B$1,[1]!Data_Loan[Thang.Nam],'Dai Loc'!AH$254)</f>
        <v>0</v>
      </c>
      <c r="AI296" s="201">
        <f>SUMIFS([1]!Data_Loan[Value],[1]!Data_Loan[Index Loan],'Dai Loc'!$B296,[1]!Data_Loan[TenCongTyID],'Dai Loc'!$B$1,[1]!Data_Loan[Thang.Nam],'Dai Loc'!AI$254)</f>
        <v>0</v>
      </c>
      <c r="AJ296" s="201">
        <f>SUMIFS([1]!Data_Loan[Value],[1]!Data_Loan[Index Loan],'Dai Loc'!$B296,[1]!Data_Loan[TenCongTyID],'Dai Loc'!$B$1,[1]!Data_Loan[Thang.Nam],'Dai Loc'!AJ$254)</f>
        <v>0</v>
      </c>
      <c r="AK296" s="201">
        <f>SUMIFS([1]!Data_Loan[Value],[1]!Data_Loan[Index Loan],'Dai Loc'!$B296,[1]!Data_Loan[TenCongTyID],'Dai Loc'!$B$1,[1]!Data_Loan[Thang.Nam],'Dai Loc'!AK$254)</f>
        <v>0</v>
      </c>
      <c r="AL296" s="201">
        <f>SUMIFS([1]!Data_Loan[Value],[1]!Data_Loan[Index Loan],'Dai Loc'!$B296,[1]!Data_Loan[TenCongTyID],'Dai Loc'!$B$1,[1]!Data_Loan[Thang.Nam],'Dai Loc'!AL$254)</f>
        <v>0</v>
      </c>
    </row>
    <row r="297" spans="1:38" ht="15" customHeight="1">
      <c r="A297" s="200" t="str">
        <f t="shared" si="49"/>
        <v>VILC</v>
      </c>
      <c r="B297" s="329">
        <v>43</v>
      </c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>
        <v>0</v>
      </c>
      <c r="AA297" s="201">
        <f>SUMIFS([1]!Data_Loan[Value],[1]!Data_Loan[Index Loan],'Dai Loc'!$B297,[1]!Data_Loan[TenCongTyID],'Dai Loc'!$B$1,[1]!Data_Loan[Thang.Nam],'Dai Loc'!AA$254)</f>
        <v>0</v>
      </c>
      <c r="AB297" s="201">
        <f>SUMIFS([1]!Data_Loan[Value],[1]!Data_Loan[Index Loan],'Dai Loc'!$B297,[1]!Data_Loan[TenCongTyID],'Dai Loc'!$B$1,[1]!Data_Loan[Thang.Nam],'Dai Loc'!AB$254)</f>
        <v>0</v>
      </c>
      <c r="AC297" s="201">
        <f>SUMIFS([1]!Data_Loan[Value],[1]!Data_Loan[Index Loan],'Dai Loc'!$B297,[1]!Data_Loan[TenCongTyID],'Dai Loc'!$B$1,[1]!Data_Loan[Thang.Nam],'Dai Loc'!AC$254)</f>
        <v>0</v>
      </c>
      <c r="AD297" s="201">
        <f>SUMIFS([1]!Data_Loan[Value],[1]!Data_Loan[Index Loan],'Dai Loc'!$B297,[1]!Data_Loan[TenCongTyID],'Dai Loc'!$B$1,[1]!Data_Loan[Thang.Nam],'Dai Loc'!AD$254)</f>
        <v>0</v>
      </c>
      <c r="AE297" s="201">
        <f>SUMIFS([1]!Data_Loan[Value],[1]!Data_Loan[Index Loan],'Dai Loc'!$B297,[1]!Data_Loan[TenCongTyID],'Dai Loc'!$B$1,[1]!Data_Loan[Thang.Nam],'Dai Loc'!AE$254)</f>
        <v>0</v>
      </c>
      <c r="AF297" s="201">
        <f>SUMIFS([1]!Data_Loan[Value],[1]!Data_Loan[Index Loan],'Dai Loc'!$B297,[1]!Data_Loan[TenCongTyID],'Dai Loc'!$B$1,[1]!Data_Loan[Thang.Nam],'Dai Loc'!AF$254)</f>
        <v>0</v>
      </c>
      <c r="AG297" s="201">
        <f>SUMIFS([1]!Data_Loan[Value],[1]!Data_Loan[Index Loan],'Dai Loc'!$B297,[1]!Data_Loan[TenCongTyID],'Dai Loc'!$B$1,[1]!Data_Loan[Thang.Nam],'Dai Loc'!AG$254)</f>
        <v>0</v>
      </c>
      <c r="AH297" s="201">
        <f>SUMIFS([1]!Data_Loan[Value],[1]!Data_Loan[Index Loan],'Dai Loc'!$B297,[1]!Data_Loan[TenCongTyID],'Dai Loc'!$B$1,[1]!Data_Loan[Thang.Nam],'Dai Loc'!AH$254)</f>
        <v>0</v>
      </c>
      <c r="AI297" s="201">
        <f>SUMIFS([1]!Data_Loan[Value],[1]!Data_Loan[Index Loan],'Dai Loc'!$B297,[1]!Data_Loan[TenCongTyID],'Dai Loc'!$B$1,[1]!Data_Loan[Thang.Nam],'Dai Loc'!AI$254)</f>
        <v>0</v>
      </c>
      <c r="AJ297" s="201">
        <f>SUMIFS([1]!Data_Loan[Value],[1]!Data_Loan[Index Loan],'Dai Loc'!$B297,[1]!Data_Loan[TenCongTyID],'Dai Loc'!$B$1,[1]!Data_Loan[Thang.Nam],'Dai Loc'!AJ$254)</f>
        <v>0</v>
      </c>
      <c r="AK297" s="201">
        <f>SUMIFS([1]!Data_Loan[Value],[1]!Data_Loan[Index Loan],'Dai Loc'!$B297,[1]!Data_Loan[TenCongTyID],'Dai Loc'!$B$1,[1]!Data_Loan[Thang.Nam],'Dai Loc'!AK$254)</f>
        <v>0</v>
      </c>
      <c r="AL297" s="201">
        <f>SUMIFS([1]!Data_Loan[Value],[1]!Data_Loan[Index Loan],'Dai Loc'!$B297,[1]!Data_Loan[TenCongTyID],'Dai Loc'!$B$1,[1]!Data_Loan[Thang.Nam],'Dai Loc'!AL$254)</f>
        <v>0</v>
      </c>
    </row>
    <row r="298" spans="1:38" ht="15" customHeight="1">
      <c r="A298" s="200" t="str">
        <f t="shared" si="49"/>
        <v>IVB</v>
      </c>
      <c r="B298" s="329">
        <v>44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>
        <v>0</v>
      </c>
      <c r="AA298" s="201">
        <f>SUMIFS([1]!Data_Loan[Value],[1]!Data_Loan[Index Loan],'Dai Loc'!$B298,[1]!Data_Loan[TenCongTyID],'Dai Loc'!$B$1,[1]!Data_Loan[Thang.Nam],'Dai Loc'!AA$254)</f>
        <v>0</v>
      </c>
      <c r="AB298" s="201">
        <f>SUMIFS([1]!Data_Loan[Value],[1]!Data_Loan[Index Loan],'Dai Loc'!$B298,[1]!Data_Loan[TenCongTyID],'Dai Loc'!$B$1,[1]!Data_Loan[Thang.Nam],'Dai Loc'!AB$254)</f>
        <v>0</v>
      </c>
      <c r="AC298" s="201">
        <f>SUMIFS([1]!Data_Loan[Value],[1]!Data_Loan[Index Loan],'Dai Loc'!$B298,[1]!Data_Loan[TenCongTyID],'Dai Loc'!$B$1,[1]!Data_Loan[Thang.Nam],'Dai Loc'!AC$254)</f>
        <v>0</v>
      </c>
      <c r="AD298" s="201">
        <f>SUMIFS([1]!Data_Loan[Value],[1]!Data_Loan[Index Loan],'Dai Loc'!$B298,[1]!Data_Loan[TenCongTyID],'Dai Loc'!$B$1,[1]!Data_Loan[Thang.Nam],'Dai Loc'!AD$254)</f>
        <v>0</v>
      </c>
      <c r="AE298" s="201">
        <f>SUMIFS([1]!Data_Loan[Value],[1]!Data_Loan[Index Loan],'Dai Loc'!$B298,[1]!Data_Loan[TenCongTyID],'Dai Loc'!$B$1,[1]!Data_Loan[Thang.Nam],'Dai Loc'!AE$254)</f>
        <v>0</v>
      </c>
      <c r="AF298" s="201">
        <f>SUMIFS([1]!Data_Loan[Value],[1]!Data_Loan[Index Loan],'Dai Loc'!$B298,[1]!Data_Loan[TenCongTyID],'Dai Loc'!$B$1,[1]!Data_Loan[Thang.Nam],'Dai Loc'!AF$254)</f>
        <v>0</v>
      </c>
      <c r="AG298" s="201">
        <f>SUMIFS([1]!Data_Loan[Value],[1]!Data_Loan[Index Loan],'Dai Loc'!$B298,[1]!Data_Loan[TenCongTyID],'Dai Loc'!$B$1,[1]!Data_Loan[Thang.Nam],'Dai Loc'!AG$254)</f>
        <v>0</v>
      </c>
      <c r="AH298" s="201">
        <f>SUMIFS([1]!Data_Loan[Value],[1]!Data_Loan[Index Loan],'Dai Loc'!$B298,[1]!Data_Loan[TenCongTyID],'Dai Loc'!$B$1,[1]!Data_Loan[Thang.Nam],'Dai Loc'!AH$254)</f>
        <v>0</v>
      </c>
      <c r="AI298" s="201">
        <f>SUMIFS([1]!Data_Loan[Value],[1]!Data_Loan[Index Loan],'Dai Loc'!$B298,[1]!Data_Loan[TenCongTyID],'Dai Loc'!$B$1,[1]!Data_Loan[Thang.Nam],'Dai Loc'!AI$254)</f>
        <v>0</v>
      </c>
      <c r="AJ298" s="201">
        <f>SUMIFS([1]!Data_Loan[Value],[1]!Data_Loan[Index Loan],'Dai Loc'!$B298,[1]!Data_Loan[TenCongTyID],'Dai Loc'!$B$1,[1]!Data_Loan[Thang.Nam],'Dai Loc'!AJ$254)</f>
        <v>0</v>
      </c>
      <c r="AK298" s="201">
        <f>SUMIFS([1]!Data_Loan[Value],[1]!Data_Loan[Index Loan],'Dai Loc'!$B298,[1]!Data_Loan[TenCongTyID],'Dai Loc'!$B$1,[1]!Data_Loan[Thang.Nam],'Dai Loc'!AK$254)</f>
        <v>0</v>
      </c>
      <c r="AL298" s="201">
        <f>SUMIFS([1]!Data_Loan[Value],[1]!Data_Loan[Index Loan],'Dai Loc'!$B298,[1]!Data_Loan[TenCongTyID],'Dai Loc'!$B$1,[1]!Data_Loan[Thang.Nam],'Dai Loc'!AL$254)</f>
        <v>0</v>
      </c>
    </row>
    <row r="299" spans="1:38" ht="15" customHeight="1">
      <c r="A299" s="200">
        <f t="shared" si="49"/>
        <v>0</v>
      </c>
      <c r="B299" s="329">
        <v>45</v>
      </c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>
        <v>0</v>
      </c>
      <c r="AA299" s="201">
        <f>SUMIFS([1]!Data_Loan[Value],[1]!Data_Loan[Index Loan],'Dai Loc'!$B299,[1]!Data_Loan[TenCongTyID],'Dai Loc'!$B$1,[1]!Data_Loan[Thang.Nam],'Dai Loc'!AA$254)</f>
        <v>0</v>
      </c>
      <c r="AB299" s="201">
        <f>SUMIFS([1]!Data_Loan[Value],[1]!Data_Loan[Index Loan],'Dai Loc'!$B299,[1]!Data_Loan[TenCongTyID],'Dai Loc'!$B$1,[1]!Data_Loan[Thang.Nam],'Dai Loc'!AB$254)</f>
        <v>0</v>
      </c>
      <c r="AC299" s="201">
        <f>SUMIFS([1]!Data_Loan[Value],[1]!Data_Loan[Index Loan],'Dai Loc'!$B299,[1]!Data_Loan[TenCongTyID],'Dai Loc'!$B$1,[1]!Data_Loan[Thang.Nam],'Dai Loc'!AC$254)</f>
        <v>0</v>
      </c>
      <c r="AD299" s="201">
        <f>SUMIFS([1]!Data_Loan[Value],[1]!Data_Loan[Index Loan],'Dai Loc'!$B299,[1]!Data_Loan[TenCongTyID],'Dai Loc'!$B$1,[1]!Data_Loan[Thang.Nam],'Dai Loc'!AD$254)</f>
        <v>0</v>
      </c>
      <c r="AE299" s="201">
        <f>SUMIFS([1]!Data_Loan[Value],[1]!Data_Loan[Index Loan],'Dai Loc'!$B299,[1]!Data_Loan[TenCongTyID],'Dai Loc'!$B$1,[1]!Data_Loan[Thang.Nam],'Dai Loc'!AE$254)</f>
        <v>0</v>
      </c>
      <c r="AF299" s="201">
        <f>SUMIFS([1]!Data_Loan[Value],[1]!Data_Loan[Index Loan],'Dai Loc'!$B299,[1]!Data_Loan[TenCongTyID],'Dai Loc'!$B$1,[1]!Data_Loan[Thang.Nam],'Dai Loc'!AF$254)</f>
        <v>0</v>
      </c>
      <c r="AG299" s="201">
        <f>SUMIFS([1]!Data_Loan[Value],[1]!Data_Loan[Index Loan],'Dai Loc'!$B299,[1]!Data_Loan[TenCongTyID],'Dai Loc'!$B$1,[1]!Data_Loan[Thang.Nam],'Dai Loc'!AG$254)</f>
        <v>0</v>
      </c>
      <c r="AH299" s="201">
        <f>SUMIFS([1]!Data_Loan[Value],[1]!Data_Loan[Index Loan],'Dai Loc'!$B299,[1]!Data_Loan[TenCongTyID],'Dai Loc'!$B$1,[1]!Data_Loan[Thang.Nam],'Dai Loc'!AH$254)</f>
        <v>0</v>
      </c>
      <c r="AI299" s="201">
        <f>SUMIFS([1]!Data_Loan[Value],[1]!Data_Loan[Index Loan],'Dai Loc'!$B299,[1]!Data_Loan[TenCongTyID],'Dai Loc'!$B$1,[1]!Data_Loan[Thang.Nam],'Dai Loc'!AI$254)</f>
        <v>0</v>
      </c>
      <c r="AJ299" s="201">
        <f>SUMIFS([1]!Data_Loan[Value],[1]!Data_Loan[Index Loan],'Dai Loc'!$B299,[1]!Data_Loan[TenCongTyID],'Dai Loc'!$B$1,[1]!Data_Loan[Thang.Nam],'Dai Loc'!AJ$254)</f>
        <v>0</v>
      </c>
      <c r="AK299" s="201">
        <f>SUMIFS([1]!Data_Loan[Value],[1]!Data_Loan[Index Loan],'Dai Loc'!$B299,[1]!Data_Loan[TenCongTyID],'Dai Loc'!$B$1,[1]!Data_Loan[Thang.Nam],'Dai Loc'!AK$254)</f>
        <v>0</v>
      </c>
      <c r="AL299" s="201">
        <f>SUMIFS([1]!Data_Loan[Value],[1]!Data_Loan[Index Loan],'Dai Loc'!$B299,[1]!Data_Loan[TenCongTyID],'Dai Loc'!$B$1,[1]!Data_Loan[Thang.Nam],'Dai Loc'!AL$254)</f>
        <v>0</v>
      </c>
    </row>
    <row r="300" spans="1:38" ht="15" customHeight="1" thickBot="1">
      <c r="A300" s="203" t="s">
        <v>371</v>
      </c>
      <c r="B300" s="332">
        <v>46</v>
      </c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>
        <v>0</v>
      </c>
      <c r="AA300" s="205">
        <f>SUMIFS([1]!Data_Loan[Value],[1]!Data_Loan[Index Loan],'Dai Loc'!$B300,[1]!Data_Loan[TenCongTyID],'Dai Loc'!$B$1,[1]!Data_Loan[Thang.Nam],'Dai Loc'!AA$254)</f>
        <v>0</v>
      </c>
      <c r="AB300" s="205">
        <f>SUMIFS([1]!Data_Loan[Value],[1]!Data_Loan[Index Loan],'Dai Loc'!$B300,[1]!Data_Loan[TenCongTyID],'Dai Loc'!$B$1,[1]!Data_Loan[Thang.Nam],'Dai Loc'!AB$254)</f>
        <v>0</v>
      </c>
      <c r="AC300" s="205">
        <f>SUMIFS([1]!Data_Loan[Value],[1]!Data_Loan[Index Loan],'Dai Loc'!$B300,[1]!Data_Loan[TenCongTyID],'Dai Loc'!$B$1,[1]!Data_Loan[Thang.Nam],'Dai Loc'!AC$254)</f>
        <v>0</v>
      </c>
      <c r="AD300" s="205">
        <f>SUMIFS([1]!Data_Loan[Value],[1]!Data_Loan[Index Loan],'Dai Loc'!$B300,[1]!Data_Loan[TenCongTyID],'Dai Loc'!$B$1,[1]!Data_Loan[Thang.Nam],'Dai Loc'!AD$254)</f>
        <v>0</v>
      </c>
      <c r="AE300" s="205">
        <f>SUMIFS([1]!Data_Loan[Value],[1]!Data_Loan[Index Loan],'Dai Loc'!$B300,[1]!Data_Loan[TenCongTyID],'Dai Loc'!$B$1,[1]!Data_Loan[Thang.Nam],'Dai Loc'!AE$254)</f>
        <v>0</v>
      </c>
      <c r="AF300" s="205">
        <f>SUMIFS([1]!Data_Loan[Value],[1]!Data_Loan[Index Loan],'Dai Loc'!$B300,[1]!Data_Loan[TenCongTyID],'Dai Loc'!$B$1,[1]!Data_Loan[Thang.Nam],'Dai Loc'!AF$254)</f>
        <v>0</v>
      </c>
      <c r="AG300" s="205">
        <f>SUMIFS([1]!Data_Loan[Value],[1]!Data_Loan[Index Loan],'Dai Loc'!$B300,[1]!Data_Loan[TenCongTyID],'Dai Loc'!$B$1,[1]!Data_Loan[Thang.Nam],'Dai Loc'!AG$254)</f>
        <v>0</v>
      </c>
      <c r="AH300" s="205">
        <f>SUMIFS([1]!Data_Loan[Value],[1]!Data_Loan[Index Loan],'Dai Loc'!$B300,[1]!Data_Loan[TenCongTyID],'Dai Loc'!$B$1,[1]!Data_Loan[Thang.Nam],'Dai Loc'!AH$254)</f>
        <v>0</v>
      </c>
      <c r="AI300" s="205">
        <f>SUMIFS([1]!Data_Loan[Value],[1]!Data_Loan[Index Loan],'Dai Loc'!$B300,[1]!Data_Loan[TenCongTyID],'Dai Loc'!$B$1,[1]!Data_Loan[Thang.Nam],'Dai Loc'!AI$254)</f>
        <v>0</v>
      </c>
      <c r="AJ300" s="205">
        <f>SUMIFS([1]!Data_Loan[Value],[1]!Data_Loan[Index Loan],'Dai Loc'!$B300,[1]!Data_Loan[TenCongTyID],'Dai Loc'!$B$1,[1]!Data_Loan[Thang.Nam],'Dai Loc'!AJ$254)</f>
        <v>0</v>
      </c>
      <c r="AK300" s="205">
        <f>SUMIFS([1]!Data_Loan[Value],[1]!Data_Loan[Index Loan],'Dai Loc'!$B300,[1]!Data_Loan[TenCongTyID],'Dai Loc'!$B$1,[1]!Data_Loan[Thang.Nam],'Dai Loc'!AK$254)</f>
        <v>0</v>
      </c>
      <c r="AL300" s="205">
        <f>SUMIFS([1]!Data_Loan[Value],[1]!Data_Loan[Index Loan],'Dai Loc'!$B300,[1]!Data_Loan[TenCongTyID],'Dai Loc'!$B$1,[1]!Data_Loan[Thang.Nam],'Dai Loc'!AL$254)</f>
        <v>0</v>
      </c>
    </row>
    <row r="301" spans="1:38" ht="15" customHeight="1" thickTop="1">
      <c r="A301" s="200" t="str">
        <f t="shared" ref="A301:A306" si="50">A283</f>
        <v>ACB</v>
      </c>
      <c r="B301" s="329">
        <v>47</v>
      </c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>
        <v>0</v>
      </c>
      <c r="AA301" s="201">
        <f>SUMIFS([1]!Data_Loan[Value],[1]!Data_Loan[Index Loan],'Dai Loc'!$B301,[1]!Data_Loan[TenCongTyID],'Dai Loc'!$B$1,[1]!Data_Loan[Thang.Nam],'Dai Loc'!AA$254)</f>
        <v>0</v>
      </c>
      <c r="AB301" s="201">
        <f>SUMIFS([1]!Data_Loan[Value],[1]!Data_Loan[Index Loan],'Dai Loc'!$B301,[1]!Data_Loan[TenCongTyID],'Dai Loc'!$B$1,[1]!Data_Loan[Thang.Nam],'Dai Loc'!AB$254)</f>
        <v>0</v>
      </c>
      <c r="AC301" s="201">
        <f>SUMIFS([1]!Data_Loan[Value],[1]!Data_Loan[Index Loan],'Dai Loc'!$B301,[1]!Data_Loan[TenCongTyID],'Dai Loc'!$B$1,[1]!Data_Loan[Thang.Nam],'Dai Loc'!AC$254)</f>
        <v>0</v>
      </c>
      <c r="AD301" s="201">
        <f>SUMIFS([1]!Data_Loan[Value],[1]!Data_Loan[Index Loan],'Dai Loc'!$B301,[1]!Data_Loan[TenCongTyID],'Dai Loc'!$B$1,[1]!Data_Loan[Thang.Nam],'Dai Loc'!AD$254)</f>
        <v>0</v>
      </c>
      <c r="AE301" s="201">
        <f>SUMIFS([1]!Data_Loan[Value],[1]!Data_Loan[Index Loan],'Dai Loc'!$B301,[1]!Data_Loan[TenCongTyID],'Dai Loc'!$B$1,[1]!Data_Loan[Thang.Nam],'Dai Loc'!AE$254)</f>
        <v>0</v>
      </c>
      <c r="AF301" s="201">
        <f>SUMIFS([1]!Data_Loan[Value],[1]!Data_Loan[Index Loan],'Dai Loc'!$B301,[1]!Data_Loan[TenCongTyID],'Dai Loc'!$B$1,[1]!Data_Loan[Thang.Nam],'Dai Loc'!AF$254)</f>
        <v>0</v>
      </c>
      <c r="AG301" s="201">
        <f>SUMIFS([1]!Data_Loan[Value],[1]!Data_Loan[Index Loan],'Dai Loc'!$B301,[1]!Data_Loan[TenCongTyID],'Dai Loc'!$B$1,[1]!Data_Loan[Thang.Nam],'Dai Loc'!AG$254)</f>
        <v>0</v>
      </c>
      <c r="AH301" s="201">
        <f>SUMIFS([1]!Data_Loan[Value],[1]!Data_Loan[Index Loan],'Dai Loc'!$B301,[1]!Data_Loan[TenCongTyID],'Dai Loc'!$B$1,[1]!Data_Loan[Thang.Nam],'Dai Loc'!AH$254)</f>
        <v>0</v>
      </c>
      <c r="AI301" s="201">
        <f>SUMIFS([1]!Data_Loan[Value],[1]!Data_Loan[Index Loan],'Dai Loc'!$B301,[1]!Data_Loan[TenCongTyID],'Dai Loc'!$B$1,[1]!Data_Loan[Thang.Nam],'Dai Loc'!AI$254)</f>
        <v>0</v>
      </c>
      <c r="AJ301" s="201">
        <f>SUMIFS([1]!Data_Loan[Value],[1]!Data_Loan[Index Loan],'Dai Loc'!$B301,[1]!Data_Loan[TenCongTyID],'Dai Loc'!$B$1,[1]!Data_Loan[Thang.Nam],'Dai Loc'!AJ$254)</f>
        <v>0</v>
      </c>
      <c r="AK301" s="201">
        <f>SUMIFS([1]!Data_Loan[Value],[1]!Data_Loan[Index Loan],'Dai Loc'!$B301,[1]!Data_Loan[TenCongTyID],'Dai Loc'!$B$1,[1]!Data_Loan[Thang.Nam],'Dai Loc'!AK$254)</f>
        <v>0</v>
      </c>
      <c r="AL301" s="201">
        <f>SUMIFS([1]!Data_Loan[Value],[1]!Data_Loan[Index Loan],'Dai Loc'!$B301,[1]!Data_Loan[TenCongTyID],'Dai Loc'!$B$1,[1]!Data_Loan[Thang.Nam],'Dai Loc'!AL$254)</f>
        <v>0</v>
      </c>
    </row>
    <row r="302" spans="1:38" ht="15" customHeight="1">
      <c r="A302" s="200" t="str">
        <f t="shared" si="50"/>
        <v>VietinBank</v>
      </c>
      <c r="B302" s="329">
        <v>48</v>
      </c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>
        <v>0</v>
      </c>
      <c r="AA302" s="201">
        <f>SUMIFS([1]!Data_Loan[Value],[1]!Data_Loan[Index Loan],'Dai Loc'!$B302,[1]!Data_Loan[TenCongTyID],'Dai Loc'!$B$1,[1]!Data_Loan[Thang.Nam],'Dai Loc'!AA$254)</f>
        <v>0</v>
      </c>
      <c r="AB302" s="201">
        <f>SUMIFS([1]!Data_Loan[Value],[1]!Data_Loan[Index Loan],'Dai Loc'!$B302,[1]!Data_Loan[TenCongTyID],'Dai Loc'!$B$1,[1]!Data_Loan[Thang.Nam],'Dai Loc'!AB$254)</f>
        <v>0</v>
      </c>
      <c r="AC302" s="201">
        <f>SUMIFS([1]!Data_Loan[Value],[1]!Data_Loan[Index Loan],'Dai Loc'!$B302,[1]!Data_Loan[TenCongTyID],'Dai Loc'!$B$1,[1]!Data_Loan[Thang.Nam],'Dai Loc'!AC$254)</f>
        <v>0</v>
      </c>
      <c r="AD302" s="201">
        <f>SUMIFS([1]!Data_Loan[Value],[1]!Data_Loan[Index Loan],'Dai Loc'!$B302,[1]!Data_Loan[TenCongTyID],'Dai Loc'!$B$1,[1]!Data_Loan[Thang.Nam],'Dai Loc'!AD$254)</f>
        <v>0</v>
      </c>
      <c r="AE302" s="201">
        <f>SUMIFS([1]!Data_Loan[Value],[1]!Data_Loan[Index Loan],'Dai Loc'!$B302,[1]!Data_Loan[TenCongTyID],'Dai Loc'!$B$1,[1]!Data_Loan[Thang.Nam],'Dai Loc'!AE$254)</f>
        <v>0</v>
      </c>
      <c r="AF302" s="201">
        <f>SUMIFS([1]!Data_Loan[Value],[1]!Data_Loan[Index Loan],'Dai Loc'!$B302,[1]!Data_Loan[TenCongTyID],'Dai Loc'!$B$1,[1]!Data_Loan[Thang.Nam],'Dai Loc'!AF$254)</f>
        <v>0</v>
      </c>
      <c r="AG302" s="201">
        <f>SUMIFS([1]!Data_Loan[Value],[1]!Data_Loan[Index Loan],'Dai Loc'!$B302,[1]!Data_Loan[TenCongTyID],'Dai Loc'!$B$1,[1]!Data_Loan[Thang.Nam],'Dai Loc'!AG$254)</f>
        <v>0</v>
      </c>
      <c r="AH302" s="201">
        <f>SUMIFS([1]!Data_Loan[Value],[1]!Data_Loan[Index Loan],'Dai Loc'!$B302,[1]!Data_Loan[TenCongTyID],'Dai Loc'!$B$1,[1]!Data_Loan[Thang.Nam],'Dai Loc'!AH$254)</f>
        <v>0</v>
      </c>
      <c r="AI302" s="201">
        <f>SUMIFS([1]!Data_Loan[Value],[1]!Data_Loan[Index Loan],'Dai Loc'!$B302,[1]!Data_Loan[TenCongTyID],'Dai Loc'!$B$1,[1]!Data_Loan[Thang.Nam],'Dai Loc'!AI$254)</f>
        <v>0</v>
      </c>
      <c r="AJ302" s="201">
        <f>SUMIFS([1]!Data_Loan[Value],[1]!Data_Loan[Index Loan],'Dai Loc'!$B302,[1]!Data_Loan[TenCongTyID],'Dai Loc'!$B$1,[1]!Data_Loan[Thang.Nam],'Dai Loc'!AJ$254)</f>
        <v>0</v>
      </c>
      <c r="AK302" s="201">
        <f>SUMIFS([1]!Data_Loan[Value],[1]!Data_Loan[Index Loan],'Dai Loc'!$B302,[1]!Data_Loan[TenCongTyID],'Dai Loc'!$B$1,[1]!Data_Loan[Thang.Nam],'Dai Loc'!AK$254)</f>
        <v>0</v>
      </c>
      <c r="AL302" s="201">
        <f>SUMIFS([1]!Data_Loan[Value],[1]!Data_Loan[Index Loan],'Dai Loc'!$B302,[1]!Data_Loan[TenCongTyID],'Dai Loc'!$B$1,[1]!Data_Loan[Thang.Nam],'Dai Loc'!AL$254)</f>
        <v>0</v>
      </c>
    </row>
    <row r="303" spans="1:38" ht="15" customHeight="1">
      <c r="A303" s="200" t="str">
        <f t="shared" si="50"/>
        <v>Vietcombank</v>
      </c>
      <c r="B303" s="329">
        <v>49</v>
      </c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>
        <v>0</v>
      </c>
      <c r="AA303" s="201">
        <f>SUMIFS([1]!Data_Loan[Value],[1]!Data_Loan[Index Loan],'Dai Loc'!$B303,[1]!Data_Loan[TenCongTyID],'Dai Loc'!$B$1,[1]!Data_Loan[Thang.Nam],'Dai Loc'!AA$254)</f>
        <v>0</v>
      </c>
      <c r="AB303" s="201">
        <f>SUMIFS([1]!Data_Loan[Value],[1]!Data_Loan[Index Loan],'Dai Loc'!$B303,[1]!Data_Loan[TenCongTyID],'Dai Loc'!$B$1,[1]!Data_Loan[Thang.Nam],'Dai Loc'!AB$254)</f>
        <v>0</v>
      </c>
      <c r="AC303" s="201">
        <f>SUMIFS([1]!Data_Loan[Value],[1]!Data_Loan[Index Loan],'Dai Loc'!$B303,[1]!Data_Loan[TenCongTyID],'Dai Loc'!$B$1,[1]!Data_Loan[Thang.Nam],'Dai Loc'!AC$254)</f>
        <v>0</v>
      </c>
      <c r="AD303" s="201">
        <f>SUMIFS([1]!Data_Loan[Value],[1]!Data_Loan[Index Loan],'Dai Loc'!$B303,[1]!Data_Loan[TenCongTyID],'Dai Loc'!$B$1,[1]!Data_Loan[Thang.Nam],'Dai Loc'!AD$254)</f>
        <v>0</v>
      </c>
      <c r="AE303" s="201">
        <f>SUMIFS([1]!Data_Loan[Value],[1]!Data_Loan[Index Loan],'Dai Loc'!$B303,[1]!Data_Loan[TenCongTyID],'Dai Loc'!$B$1,[1]!Data_Loan[Thang.Nam],'Dai Loc'!AE$254)</f>
        <v>0</v>
      </c>
      <c r="AF303" s="201">
        <f>SUMIFS([1]!Data_Loan[Value],[1]!Data_Loan[Index Loan],'Dai Loc'!$B303,[1]!Data_Loan[TenCongTyID],'Dai Loc'!$B$1,[1]!Data_Loan[Thang.Nam],'Dai Loc'!AF$254)</f>
        <v>0</v>
      </c>
      <c r="AG303" s="201">
        <f>SUMIFS([1]!Data_Loan[Value],[1]!Data_Loan[Index Loan],'Dai Loc'!$B303,[1]!Data_Loan[TenCongTyID],'Dai Loc'!$B$1,[1]!Data_Loan[Thang.Nam],'Dai Loc'!AG$254)</f>
        <v>0</v>
      </c>
      <c r="AH303" s="201">
        <f>SUMIFS([1]!Data_Loan[Value],[1]!Data_Loan[Index Loan],'Dai Loc'!$B303,[1]!Data_Loan[TenCongTyID],'Dai Loc'!$B$1,[1]!Data_Loan[Thang.Nam],'Dai Loc'!AH$254)</f>
        <v>0</v>
      </c>
      <c r="AI303" s="201">
        <f>SUMIFS([1]!Data_Loan[Value],[1]!Data_Loan[Index Loan],'Dai Loc'!$B303,[1]!Data_Loan[TenCongTyID],'Dai Loc'!$B$1,[1]!Data_Loan[Thang.Nam],'Dai Loc'!AI$254)</f>
        <v>0</v>
      </c>
      <c r="AJ303" s="201">
        <f>SUMIFS([1]!Data_Loan[Value],[1]!Data_Loan[Index Loan],'Dai Loc'!$B303,[1]!Data_Loan[TenCongTyID],'Dai Loc'!$B$1,[1]!Data_Loan[Thang.Nam],'Dai Loc'!AJ$254)</f>
        <v>0</v>
      </c>
      <c r="AK303" s="201">
        <f>SUMIFS([1]!Data_Loan[Value],[1]!Data_Loan[Index Loan],'Dai Loc'!$B303,[1]!Data_Loan[TenCongTyID],'Dai Loc'!$B$1,[1]!Data_Loan[Thang.Nam],'Dai Loc'!AK$254)</f>
        <v>0</v>
      </c>
      <c r="AL303" s="201">
        <f>SUMIFS([1]!Data_Loan[Value],[1]!Data_Loan[Index Loan],'Dai Loc'!$B303,[1]!Data_Loan[TenCongTyID],'Dai Loc'!$B$1,[1]!Data_Loan[Thang.Nam],'Dai Loc'!AL$254)</f>
        <v>0</v>
      </c>
    </row>
    <row r="304" spans="1:38" ht="15" customHeight="1">
      <c r="A304" s="200" t="str">
        <f t="shared" si="50"/>
        <v>BIDV</v>
      </c>
      <c r="B304" s="329">
        <v>50</v>
      </c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>
        <v>0</v>
      </c>
      <c r="AA304" s="201">
        <f>SUMIFS([1]!Data_Loan[Value],[1]!Data_Loan[Index Loan],'Dai Loc'!$B304,[1]!Data_Loan[TenCongTyID],'Dai Loc'!$B$1,[1]!Data_Loan[Thang.Nam],'Dai Loc'!AA$254)</f>
        <v>0</v>
      </c>
      <c r="AB304" s="201">
        <f>SUMIFS([1]!Data_Loan[Value],[1]!Data_Loan[Index Loan],'Dai Loc'!$B304,[1]!Data_Loan[TenCongTyID],'Dai Loc'!$B$1,[1]!Data_Loan[Thang.Nam],'Dai Loc'!AB$254)</f>
        <v>0</v>
      </c>
      <c r="AC304" s="201">
        <f>SUMIFS([1]!Data_Loan[Value],[1]!Data_Loan[Index Loan],'Dai Loc'!$B304,[1]!Data_Loan[TenCongTyID],'Dai Loc'!$B$1,[1]!Data_Loan[Thang.Nam],'Dai Loc'!AC$254)</f>
        <v>0</v>
      </c>
      <c r="AD304" s="201">
        <f>SUMIFS([1]!Data_Loan[Value],[1]!Data_Loan[Index Loan],'Dai Loc'!$B304,[1]!Data_Loan[TenCongTyID],'Dai Loc'!$B$1,[1]!Data_Loan[Thang.Nam],'Dai Loc'!AD$254)</f>
        <v>0</v>
      </c>
      <c r="AE304" s="201">
        <f>SUMIFS([1]!Data_Loan[Value],[1]!Data_Loan[Index Loan],'Dai Loc'!$B304,[1]!Data_Loan[TenCongTyID],'Dai Loc'!$B$1,[1]!Data_Loan[Thang.Nam],'Dai Loc'!AE$254)</f>
        <v>0</v>
      </c>
      <c r="AF304" s="201">
        <f>SUMIFS([1]!Data_Loan[Value],[1]!Data_Loan[Index Loan],'Dai Loc'!$B304,[1]!Data_Loan[TenCongTyID],'Dai Loc'!$B$1,[1]!Data_Loan[Thang.Nam],'Dai Loc'!AF$254)</f>
        <v>0</v>
      </c>
      <c r="AG304" s="201">
        <f>SUMIFS([1]!Data_Loan[Value],[1]!Data_Loan[Index Loan],'Dai Loc'!$B304,[1]!Data_Loan[TenCongTyID],'Dai Loc'!$B$1,[1]!Data_Loan[Thang.Nam],'Dai Loc'!AG$254)</f>
        <v>0</v>
      </c>
      <c r="AH304" s="201">
        <f>SUMIFS([1]!Data_Loan[Value],[1]!Data_Loan[Index Loan],'Dai Loc'!$B304,[1]!Data_Loan[TenCongTyID],'Dai Loc'!$B$1,[1]!Data_Loan[Thang.Nam],'Dai Loc'!AH$254)</f>
        <v>0</v>
      </c>
      <c r="AI304" s="201">
        <f>SUMIFS([1]!Data_Loan[Value],[1]!Data_Loan[Index Loan],'Dai Loc'!$B304,[1]!Data_Loan[TenCongTyID],'Dai Loc'!$B$1,[1]!Data_Loan[Thang.Nam],'Dai Loc'!AI$254)</f>
        <v>0</v>
      </c>
      <c r="AJ304" s="201">
        <f>SUMIFS([1]!Data_Loan[Value],[1]!Data_Loan[Index Loan],'Dai Loc'!$B304,[1]!Data_Loan[TenCongTyID],'Dai Loc'!$B$1,[1]!Data_Loan[Thang.Nam],'Dai Loc'!AJ$254)</f>
        <v>0</v>
      </c>
      <c r="AK304" s="201">
        <f>SUMIFS([1]!Data_Loan[Value],[1]!Data_Loan[Index Loan],'Dai Loc'!$B304,[1]!Data_Loan[TenCongTyID],'Dai Loc'!$B$1,[1]!Data_Loan[Thang.Nam],'Dai Loc'!AK$254)</f>
        <v>0</v>
      </c>
      <c r="AL304" s="201">
        <f>SUMIFS([1]!Data_Loan[Value],[1]!Data_Loan[Index Loan],'Dai Loc'!$B304,[1]!Data_Loan[TenCongTyID],'Dai Loc'!$B$1,[1]!Data_Loan[Thang.Nam],'Dai Loc'!AL$254)</f>
        <v>0</v>
      </c>
    </row>
    <row r="305" spans="1:38" ht="15" customHeight="1">
      <c r="A305" s="200" t="str">
        <f t="shared" si="50"/>
        <v>Standard Chartered</v>
      </c>
      <c r="B305" s="329">
        <v>51</v>
      </c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>
        <v>0</v>
      </c>
      <c r="AA305" s="201">
        <f>SUMIFS([1]!Data_Loan[Value],[1]!Data_Loan[Index Loan],'Dai Loc'!$B305,[1]!Data_Loan[TenCongTyID],'Dai Loc'!$B$1,[1]!Data_Loan[Thang.Nam],'Dai Loc'!AA$254)</f>
        <v>0</v>
      </c>
      <c r="AB305" s="201">
        <f>SUMIFS([1]!Data_Loan[Value],[1]!Data_Loan[Index Loan],'Dai Loc'!$B305,[1]!Data_Loan[TenCongTyID],'Dai Loc'!$B$1,[1]!Data_Loan[Thang.Nam],'Dai Loc'!AB$254)</f>
        <v>0</v>
      </c>
      <c r="AC305" s="201">
        <f>SUMIFS([1]!Data_Loan[Value],[1]!Data_Loan[Index Loan],'Dai Loc'!$B305,[1]!Data_Loan[TenCongTyID],'Dai Loc'!$B$1,[1]!Data_Loan[Thang.Nam],'Dai Loc'!AC$254)</f>
        <v>0</v>
      </c>
      <c r="AD305" s="201">
        <f>SUMIFS([1]!Data_Loan[Value],[1]!Data_Loan[Index Loan],'Dai Loc'!$B305,[1]!Data_Loan[TenCongTyID],'Dai Loc'!$B$1,[1]!Data_Loan[Thang.Nam],'Dai Loc'!AD$254)</f>
        <v>0</v>
      </c>
      <c r="AE305" s="201">
        <f>SUMIFS([1]!Data_Loan[Value],[1]!Data_Loan[Index Loan],'Dai Loc'!$B305,[1]!Data_Loan[TenCongTyID],'Dai Loc'!$B$1,[1]!Data_Loan[Thang.Nam],'Dai Loc'!AE$254)</f>
        <v>0</v>
      </c>
      <c r="AF305" s="201">
        <f>SUMIFS([1]!Data_Loan[Value],[1]!Data_Loan[Index Loan],'Dai Loc'!$B305,[1]!Data_Loan[TenCongTyID],'Dai Loc'!$B$1,[1]!Data_Loan[Thang.Nam],'Dai Loc'!AF$254)</f>
        <v>0</v>
      </c>
      <c r="AG305" s="201">
        <f>SUMIFS([1]!Data_Loan[Value],[1]!Data_Loan[Index Loan],'Dai Loc'!$B305,[1]!Data_Loan[TenCongTyID],'Dai Loc'!$B$1,[1]!Data_Loan[Thang.Nam],'Dai Loc'!AG$254)</f>
        <v>0</v>
      </c>
      <c r="AH305" s="201">
        <f>SUMIFS([1]!Data_Loan[Value],[1]!Data_Loan[Index Loan],'Dai Loc'!$B305,[1]!Data_Loan[TenCongTyID],'Dai Loc'!$B$1,[1]!Data_Loan[Thang.Nam],'Dai Loc'!AH$254)</f>
        <v>0</v>
      </c>
      <c r="AI305" s="201">
        <f>SUMIFS([1]!Data_Loan[Value],[1]!Data_Loan[Index Loan],'Dai Loc'!$B305,[1]!Data_Loan[TenCongTyID],'Dai Loc'!$B$1,[1]!Data_Loan[Thang.Nam],'Dai Loc'!AI$254)</f>
        <v>0</v>
      </c>
      <c r="AJ305" s="201">
        <f>SUMIFS([1]!Data_Loan[Value],[1]!Data_Loan[Index Loan],'Dai Loc'!$B305,[1]!Data_Loan[TenCongTyID],'Dai Loc'!$B$1,[1]!Data_Loan[Thang.Nam],'Dai Loc'!AJ$254)</f>
        <v>0</v>
      </c>
      <c r="AK305" s="201">
        <f>SUMIFS([1]!Data_Loan[Value],[1]!Data_Loan[Index Loan],'Dai Loc'!$B305,[1]!Data_Loan[TenCongTyID],'Dai Loc'!$B$1,[1]!Data_Loan[Thang.Nam],'Dai Loc'!AK$254)</f>
        <v>0</v>
      </c>
      <c r="AL305" s="201">
        <f>SUMIFS([1]!Data_Loan[Value],[1]!Data_Loan[Index Loan],'Dai Loc'!$B305,[1]!Data_Loan[TenCongTyID],'Dai Loc'!$B$1,[1]!Data_Loan[Thang.Nam],'Dai Loc'!AL$254)</f>
        <v>0</v>
      </c>
    </row>
    <row r="306" spans="1:38" ht="15" customHeight="1">
      <c r="A306" s="200" t="str">
        <f t="shared" si="50"/>
        <v>VILC</v>
      </c>
      <c r="B306" s="329">
        <v>52</v>
      </c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>
        <v>0</v>
      </c>
      <c r="AA306" s="201">
        <f>SUMIFS([1]!Data_Loan[Value],[1]!Data_Loan[Index Loan],'Dai Loc'!$B306,[1]!Data_Loan[TenCongTyID],'Dai Loc'!$B$1,[1]!Data_Loan[Thang.Nam],'Dai Loc'!AA$254)</f>
        <v>0</v>
      </c>
      <c r="AB306" s="201">
        <f>SUMIFS([1]!Data_Loan[Value],[1]!Data_Loan[Index Loan],'Dai Loc'!$B306,[1]!Data_Loan[TenCongTyID],'Dai Loc'!$B$1,[1]!Data_Loan[Thang.Nam],'Dai Loc'!AB$254)</f>
        <v>0</v>
      </c>
      <c r="AC306" s="201">
        <f>SUMIFS([1]!Data_Loan[Value],[1]!Data_Loan[Index Loan],'Dai Loc'!$B306,[1]!Data_Loan[TenCongTyID],'Dai Loc'!$B$1,[1]!Data_Loan[Thang.Nam],'Dai Loc'!AC$254)</f>
        <v>0</v>
      </c>
      <c r="AD306" s="201">
        <f>SUMIFS([1]!Data_Loan[Value],[1]!Data_Loan[Index Loan],'Dai Loc'!$B306,[1]!Data_Loan[TenCongTyID],'Dai Loc'!$B$1,[1]!Data_Loan[Thang.Nam],'Dai Loc'!AD$254)</f>
        <v>0</v>
      </c>
      <c r="AE306" s="201">
        <f>SUMIFS([1]!Data_Loan[Value],[1]!Data_Loan[Index Loan],'Dai Loc'!$B306,[1]!Data_Loan[TenCongTyID],'Dai Loc'!$B$1,[1]!Data_Loan[Thang.Nam],'Dai Loc'!AE$254)</f>
        <v>0</v>
      </c>
      <c r="AF306" s="201">
        <f>SUMIFS([1]!Data_Loan[Value],[1]!Data_Loan[Index Loan],'Dai Loc'!$B306,[1]!Data_Loan[TenCongTyID],'Dai Loc'!$B$1,[1]!Data_Loan[Thang.Nam],'Dai Loc'!AF$254)</f>
        <v>0</v>
      </c>
      <c r="AG306" s="201">
        <f>SUMIFS([1]!Data_Loan[Value],[1]!Data_Loan[Index Loan],'Dai Loc'!$B306,[1]!Data_Loan[TenCongTyID],'Dai Loc'!$B$1,[1]!Data_Loan[Thang.Nam],'Dai Loc'!AG$254)</f>
        <v>0</v>
      </c>
      <c r="AH306" s="201">
        <f>SUMIFS([1]!Data_Loan[Value],[1]!Data_Loan[Index Loan],'Dai Loc'!$B306,[1]!Data_Loan[TenCongTyID],'Dai Loc'!$B$1,[1]!Data_Loan[Thang.Nam],'Dai Loc'!AH$254)</f>
        <v>0</v>
      </c>
      <c r="AI306" s="201">
        <f>SUMIFS([1]!Data_Loan[Value],[1]!Data_Loan[Index Loan],'Dai Loc'!$B306,[1]!Data_Loan[TenCongTyID],'Dai Loc'!$B$1,[1]!Data_Loan[Thang.Nam],'Dai Loc'!AI$254)</f>
        <v>0</v>
      </c>
      <c r="AJ306" s="201">
        <f>SUMIFS([1]!Data_Loan[Value],[1]!Data_Loan[Index Loan],'Dai Loc'!$B306,[1]!Data_Loan[TenCongTyID],'Dai Loc'!$B$1,[1]!Data_Loan[Thang.Nam],'Dai Loc'!AJ$254)</f>
        <v>0</v>
      </c>
      <c r="AK306" s="201">
        <f>SUMIFS([1]!Data_Loan[Value],[1]!Data_Loan[Index Loan],'Dai Loc'!$B306,[1]!Data_Loan[TenCongTyID],'Dai Loc'!$B$1,[1]!Data_Loan[Thang.Nam],'Dai Loc'!AK$254)</f>
        <v>0</v>
      </c>
      <c r="AL306" s="201">
        <f>SUMIFS([1]!Data_Loan[Value],[1]!Data_Loan[Index Loan],'Dai Loc'!$B306,[1]!Data_Loan[TenCongTyID],'Dai Loc'!$B$1,[1]!Data_Loan[Thang.Nam],'Dai Loc'!AL$254)</f>
        <v>0</v>
      </c>
    </row>
    <row r="307" spans="1:38" ht="15" customHeight="1">
      <c r="A307" s="200" t="s">
        <v>347</v>
      </c>
      <c r="B307" s="329">
        <v>53</v>
      </c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>
        <v>0</v>
      </c>
      <c r="AA307" s="201">
        <f>SUMIFS([1]!Data_Loan[Value],[1]!Data_Loan[Index Loan],'Dai Loc'!$B307,[1]!Data_Loan[TenCongTyID],'Dai Loc'!$B$1,[1]!Data_Loan[Thang.Nam],'Dai Loc'!AA$254)</f>
        <v>0</v>
      </c>
      <c r="AB307" s="201">
        <f>SUMIFS([1]!Data_Loan[Value],[1]!Data_Loan[Index Loan],'Dai Loc'!$B307,[1]!Data_Loan[TenCongTyID],'Dai Loc'!$B$1,[1]!Data_Loan[Thang.Nam],'Dai Loc'!AB$254)</f>
        <v>0</v>
      </c>
      <c r="AC307" s="201">
        <f>SUMIFS([1]!Data_Loan[Value],[1]!Data_Loan[Index Loan],'Dai Loc'!$B307,[1]!Data_Loan[TenCongTyID],'Dai Loc'!$B$1,[1]!Data_Loan[Thang.Nam],'Dai Loc'!AC$254)</f>
        <v>0</v>
      </c>
      <c r="AD307" s="201">
        <f>SUMIFS([1]!Data_Loan[Value],[1]!Data_Loan[Index Loan],'Dai Loc'!$B307,[1]!Data_Loan[TenCongTyID],'Dai Loc'!$B$1,[1]!Data_Loan[Thang.Nam],'Dai Loc'!AD$254)</f>
        <v>0</v>
      </c>
      <c r="AE307" s="201">
        <f>SUMIFS([1]!Data_Loan[Value],[1]!Data_Loan[Index Loan],'Dai Loc'!$B307,[1]!Data_Loan[TenCongTyID],'Dai Loc'!$B$1,[1]!Data_Loan[Thang.Nam],'Dai Loc'!AE$254)</f>
        <v>0</v>
      </c>
      <c r="AF307" s="201">
        <f>SUMIFS([1]!Data_Loan[Value],[1]!Data_Loan[Index Loan],'Dai Loc'!$B307,[1]!Data_Loan[TenCongTyID],'Dai Loc'!$B$1,[1]!Data_Loan[Thang.Nam],'Dai Loc'!AF$254)</f>
        <v>0</v>
      </c>
      <c r="AG307" s="201">
        <f>SUMIFS([1]!Data_Loan[Value],[1]!Data_Loan[Index Loan],'Dai Loc'!$B307,[1]!Data_Loan[TenCongTyID],'Dai Loc'!$B$1,[1]!Data_Loan[Thang.Nam],'Dai Loc'!AG$254)</f>
        <v>0</v>
      </c>
      <c r="AH307" s="201">
        <f>SUMIFS([1]!Data_Loan[Value],[1]!Data_Loan[Index Loan],'Dai Loc'!$B307,[1]!Data_Loan[TenCongTyID],'Dai Loc'!$B$1,[1]!Data_Loan[Thang.Nam],'Dai Loc'!AH$254)</f>
        <v>0</v>
      </c>
      <c r="AI307" s="201">
        <f>SUMIFS([1]!Data_Loan[Value],[1]!Data_Loan[Index Loan],'Dai Loc'!$B307,[1]!Data_Loan[TenCongTyID],'Dai Loc'!$B$1,[1]!Data_Loan[Thang.Nam],'Dai Loc'!AI$254)</f>
        <v>0</v>
      </c>
      <c r="AJ307" s="201">
        <f>SUMIFS([1]!Data_Loan[Value],[1]!Data_Loan[Index Loan],'Dai Loc'!$B307,[1]!Data_Loan[TenCongTyID],'Dai Loc'!$B$1,[1]!Data_Loan[Thang.Nam],'Dai Loc'!AJ$254)</f>
        <v>0</v>
      </c>
      <c r="AK307" s="201">
        <f>SUMIFS([1]!Data_Loan[Value],[1]!Data_Loan[Index Loan],'Dai Loc'!$B307,[1]!Data_Loan[TenCongTyID],'Dai Loc'!$B$1,[1]!Data_Loan[Thang.Nam],'Dai Loc'!AK$254)</f>
        <v>0</v>
      </c>
      <c r="AL307" s="201">
        <f>SUMIFS([1]!Data_Loan[Value],[1]!Data_Loan[Index Loan],'Dai Loc'!$B307,[1]!Data_Loan[TenCongTyID],'Dai Loc'!$B$1,[1]!Data_Loan[Thang.Nam],'Dai Loc'!AL$254)</f>
        <v>0</v>
      </c>
    </row>
    <row r="308" spans="1:38" ht="15" customHeight="1">
      <c r="B308" s="335">
        <v>54</v>
      </c>
      <c r="Z308" s="49">
        <v>0</v>
      </c>
      <c r="AA308" s="201">
        <f>SUMIFS([1]!Data_Loan[Value],[1]!Data_Loan[Index Loan],'Dai Loc'!$B308,[1]!Data_Loan[TenCongTyID],'Dai Loc'!$B$1,[1]!Data_Loan[Thang.Nam],'Dai Loc'!AA$254)</f>
        <v>0</v>
      </c>
      <c r="AB308" s="201">
        <f>SUMIFS([1]!Data_Loan[Value],[1]!Data_Loan[Index Loan],'Dai Loc'!$B308,[1]!Data_Loan[TenCongTyID],'Dai Loc'!$B$1,[1]!Data_Loan[Thang.Nam],'Dai Loc'!AB$254)</f>
        <v>0</v>
      </c>
      <c r="AC308" s="201">
        <f>SUMIFS([1]!Data_Loan[Value],[1]!Data_Loan[Index Loan],'Dai Loc'!$B308,[1]!Data_Loan[TenCongTyID],'Dai Loc'!$B$1,[1]!Data_Loan[Thang.Nam],'Dai Loc'!AC$254)</f>
        <v>0</v>
      </c>
      <c r="AD308" s="201">
        <f>SUMIFS([1]!Data_Loan[Value],[1]!Data_Loan[Index Loan],'Dai Loc'!$B308,[1]!Data_Loan[TenCongTyID],'Dai Loc'!$B$1,[1]!Data_Loan[Thang.Nam],'Dai Loc'!AD$254)</f>
        <v>0</v>
      </c>
      <c r="AE308" s="201">
        <f>SUMIFS([1]!Data_Loan[Value],[1]!Data_Loan[Index Loan],'Dai Loc'!$B308,[1]!Data_Loan[TenCongTyID],'Dai Loc'!$B$1,[1]!Data_Loan[Thang.Nam],'Dai Loc'!AE$254)</f>
        <v>0</v>
      </c>
      <c r="AF308" s="201">
        <f>SUMIFS([1]!Data_Loan[Value],[1]!Data_Loan[Index Loan],'Dai Loc'!$B308,[1]!Data_Loan[TenCongTyID],'Dai Loc'!$B$1,[1]!Data_Loan[Thang.Nam],'Dai Loc'!AF$254)</f>
        <v>0</v>
      </c>
      <c r="AG308" s="201">
        <f>SUMIFS([1]!Data_Loan[Value],[1]!Data_Loan[Index Loan],'Dai Loc'!$B308,[1]!Data_Loan[TenCongTyID],'Dai Loc'!$B$1,[1]!Data_Loan[Thang.Nam],'Dai Loc'!AG$254)</f>
        <v>0</v>
      </c>
      <c r="AH308" s="201">
        <f>SUMIFS([1]!Data_Loan[Value],[1]!Data_Loan[Index Loan],'Dai Loc'!$B308,[1]!Data_Loan[TenCongTyID],'Dai Loc'!$B$1,[1]!Data_Loan[Thang.Nam],'Dai Loc'!AH$254)</f>
        <v>0</v>
      </c>
      <c r="AI308" s="201">
        <f>SUMIFS([1]!Data_Loan[Value],[1]!Data_Loan[Index Loan],'Dai Loc'!$B308,[1]!Data_Loan[TenCongTyID],'Dai Loc'!$B$1,[1]!Data_Loan[Thang.Nam],'Dai Loc'!AI$254)</f>
        <v>0</v>
      </c>
      <c r="AJ308" s="201">
        <f>SUMIFS([1]!Data_Loan[Value],[1]!Data_Loan[Index Loan],'Dai Loc'!$B308,[1]!Data_Loan[TenCongTyID],'Dai Loc'!$B$1,[1]!Data_Loan[Thang.Nam],'Dai Loc'!AJ$254)</f>
        <v>0</v>
      </c>
      <c r="AK308" s="201">
        <f>SUMIFS([1]!Data_Loan[Value],[1]!Data_Loan[Index Loan],'Dai Loc'!$B308,[1]!Data_Loan[TenCongTyID],'Dai Loc'!$B$1,[1]!Data_Loan[Thang.Nam],'Dai Loc'!AK$254)</f>
        <v>0</v>
      </c>
      <c r="AL308" s="201">
        <f>SUMIFS([1]!Data_Loan[Value],[1]!Data_Loan[Index Loan],'Dai Loc'!$B308,[1]!Data_Loan[TenCongTyID],'Dai Loc'!$B$1,[1]!Data_Loan[Thang.Nam],'Dai Loc'!AL$254)</f>
        <v>0</v>
      </c>
    </row>
    <row r="309" spans="1:38" ht="15" customHeight="1" thickBot="1">
      <c r="A309" s="203" t="s">
        <v>372</v>
      </c>
      <c r="B309" s="332">
        <v>55</v>
      </c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>
        <f>SUM(Y310:Y317)</f>
        <v>0</v>
      </c>
      <c r="Z309" s="205">
        <v>0</v>
      </c>
      <c r="AA309" s="205">
        <f>SUMIFS([1]!Data_Loan[Value],[1]!Data_Loan[Index Loan],'Dai Loc'!$B309,[1]!Data_Loan[TenCongTyID],'Dai Loc'!$B$1,[1]!Data_Loan[Thang.Nam],'Dai Loc'!AA$254)</f>
        <v>0</v>
      </c>
      <c r="AB309" s="205">
        <f>SUMIFS([1]!Data_Loan[Value],[1]!Data_Loan[Index Loan],'Dai Loc'!$B309,[1]!Data_Loan[TenCongTyID],'Dai Loc'!$B$1,[1]!Data_Loan[Thang.Nam],'Dai Loc'!AB$254)</f>
        <v>0</v>
      </c>
      <c r="AC309" s="205">
        <f>SUMIFS([1]!Data_Loan[Value],[1]!Data_Loan[Index Loan],'Dai Loc'!$B309,[1]!Data_Loan[TenCongTyID],'Dai Loc'!$B$1,[1]!Data_Loan[Thang.Nam],'Dai Loc'!AC$254)</f>
        <v>0</v>
      </c>
      <c r="AD309" s="205">
        <f>SUMIFS([1]!Data_Loan[Value],[1]!Data_Loan[Index Loan],'Dai Loc'!$B309,[1]!Data_Loan[TenCongTyID],'Dai Loc'!$B$1,[1]!Data_Loan[Thang.Nam],'Dai Loc'!AD$254)</f>
        <v>0</v>
      </c>
      <c r="AE309" s="205">
        <f>SUMIFS([1]!Data_Loan[Value],[1]!Data_Loan[Index Loan],'Dai Loc'!$B309,[1]!Data_Loan[TenCongTyID],'Dai Loc'!$B$1,[1]!Data_Loan[Thang.Nam],'Dai Loc'!AE$254)</f>
        <v>0</v>
      </c>
      <c r="AF309" s="205">
        <f>SUMIFS([1]!Data_Loan[Value],[1]!Data_Loan[Index Loan],'Dai Loc'!$B309,[1]!Data_Loan[TenCongTyID],'Dai Loc'!$B$1,[1]!Data_Loan[Thang.Nam],'Dai Loc'!AF$254)</f>
        <v>0</v>
      </c>
      <c r="AG309" s="205">
        <f>SUMIFS([1]!Data_Loan[Value],[1]!Data_Loan[Index Loan],'Dai Loc'!$B309,[1]!Data_Loan[TenCongTyID],'Dai Loc'!$B$1,[1]!Data_Loan[Thang.Nam],'Dai Loc'!AG$254)</f>
        <v>0</v>
      </c>
      <c r="AH309" s="205">
        <f>SUMIFS([1]!Data_Loan[Value],[1]!Data_Loan[Index Loan],'Dai Loc'!$B309,[1]!Data_Loan[TenCongTyID],'Dai Loc'!$B$1,[1]!Data_Loan[Thang.Nam],'Dai Loc'!AH$254)</f>
        <v>0</v>
      </c>
      <c r="AI309" s="205">
        <f>SUMIFS([1]!Data_Loan[Value],[1]!Data_Loan[Index Loan],'Dai Loc'!$B309,[1]!Data_Loan[TenCongTyID],'Dai Loc'!$B$1,[1]!Data_Loan[Thang.Nam],'Dai Loc'!AI$254)</f>
        <v>0</v>
      </c>
      <c r="AJ309" s="205">
        <f>SUMIFS([1]!Data_Loan[Value],[1]!Data_Loan[Index Loan],'Dai Loc'!$B309,[1]!Data_Loan[TenCongTyID],'Dai Loc'!$B$1,[1]!Data_Loan[Thang.Nam],'Dai Loc'!AJ$254)</f>
        <v>0</v>
      </c>
      <c r="AK309" s="205">
        <f>SUMIFS([1]!Data_Loan[Value],[1]!Data_Loan[Index Loan],'Dai Loc'!$B309,[1]!Data_Loan[TenCongTyID],'Dai Loc'!$B$1,[1]!Data_Loan[Thang.Nam],'Dai Loc'!AK$254)</f>
        <v>0</v>
      </c>
      <c r="AL309" s="205">
        <f>SUMIFS([1]!Data_Loan[Value],[1]!Data_Loan[Index Loan],'Dai Loc'!$B309,[1]!Data_Loan[TenCongTyID],'Dai Loc'!$B$1,[1]!Data_Loan[Thang.Nam],'Dai Loc'!AL$254)</f>
        <v>0</v>
      </c>
    </row>
    <row r="310" spans="1:38" ht="15" customHeight="1" thickTop="1">
      <c r="A310" s="200" t="str">
        <f t="shared" ref="A310:A315" si="51">A292</f>
        <v>ACB</v>
      </c>
      <c r="B310" s="335">
        <v>56</v>
      </c>
      <c r="Z310" s="49">
        <v>0</v>
      </c>
      <c r="AA310" s="201">
        <f>SUMIFS([1]!Data_Loan[Value],[1]!Data_Loan[Index Loan],'Dai Loc'!$B310,[1]!Data_Loan[TenCongTyID],'Dai Loc'!$B$1,[1]!Data_Loan[Thang.Nam],'Dai Loc'!AA$254)</f>
        <v>0</v>
      </c>
      <c r="AB310" s="201">
        <f>SUMIFS([1]!Data_Loan[Value],[1]!Data_Loan[Index Loan],'Dai Loc'!$B310,[1]!Data_Loan[TenCongTyID],'Dai Loc'!$B$1,[1]!Data_Loan[Thang.Nam],'Dai Loc'!AB$254)</f>
        <v>0</v>
      </c>
      <c r="AC310" s="201">
        <f>SUMIFS([1]!Data_Loan[Value],[1]!Data_Loan[Index Loan],'Dai Loc'!$B310,[1]!Data_Loan[TenCongTyID],'Dai Loc'!$B$1,[1]!Data_Loan[Thang.Nam],'Dai Loc'!AC$254)</f>
        <v>0</v>
      </c>
      <c r="AD310" s="201">
        <f>SUMIFS([1]!Data_Loan[Value],[1]!Data_Loan[Index Loan],'Dai Loc'!$B310,[1]!Data_Loan[TenCongTyID],'Dai Loc'!$B$1,[1]!Data_Loan[Thang.Nam],'Dai Loc'!AD$254)</f>
        <v>0</v>
      </c>
      <c r="AE310" s="201">
        <f>SUMIFS([1]!Data_Loan[Value],[1]!Data_Loan[Index Loan],'Dai Loc'!$B310,[1]!Data_Loan[TenCongTyID],'Dai Loc'!$B$1,[1]!Data_Loan[Thang.Nam],'Dai Loc'!AE$254)</f>
        <v>0</v>
      </c>
      <c r="AF310" s="201">
        <f>SUMIFS([1]!Data_Loan[Value],[1]!Data_Loan[Index Loan],'Dai Loc'!$B310,[1]!Data_Loan[TenCongTyID],'Dai Loc'!$B$1,[1]!Data_Loan[Thang.Nam],'Dai Loc'!AF$254)</f>
        <v>0</v>
      </c>
      <c r="AG310" s="201">
        <f>SUMIFS([1]!Data_Loan[Value],[1]!Data_Loan[Index Loan],'Dai Loc'!$B310,[1]!Data_Loan[TenCongTyID],'Dai Loc'!$B$1,[1]!Data_Loan[Thang.Nam],'Dai Loc'!AG$254)</f>
        <v>0</v>
      </c>
      <c r="AH310" s="201">
        <f>SUMIFS([1]!Data_Loan[Value],[1]!Data_Loan[Index Loan],'Dai Loc'!$B310,[1]!Data_Loan[TenCongTyID],'Dai Loc'!$B$1,[1]!Data_Loan[Thang.Nam],'Dai Loc'!AH$254)</f>
        <v>0</v>
      </c>
      <c r="AI310" s="201">
        <f>SUMIFS([1]!Data_Loan[Value],[1]!Data_Loan[Index Loan],'Dai Loc'!$B310,[1]!Data_Loan[TenCongTyID],'Dai Loc'!$B$1,[1]!Data_Loan[Thang.Nam],'Dai Loc'!AI$254)</f>
        <v>0</v>
      </c>
      <c r="AJ310" s="201">
        <f>SUMIFS([1]!Data_Loan[Value],[1]!Data_Loan[Index Loan],'Dai Loc'!$B310,[1]!Data_Loan[TenCongTyID],'Dai Loc'!$B$1,[1]!Data_Loan[Thang.Nam],'Dai Loc'!AJ$254)</f>
        <v>0</v>
      </c>
      <c r="AK310" s="201">
        <f>SUMIFS([1]!Data_Loan[Value],[1]!Data_Loan[Index Loan],'Dai Loc'!$B310,[1]!Data_Loan[TenCongTyID],'Dai Loc'!$B$1,[1]!Data_Loan[Thang.Nam],'Dai Loc'!AK$254)</f>
        <v>0</v>
      </c>
      <c r="AL310" s="201">
        <f>SUMIFS([1]!Data_Loan[Value],[1]!Data_Loan[Index Loan],'Dai Loc'!$B310,[1]!Data_Loan[TenCongTyID],'Dai Loc'!$B$1,[1]!Data_Loan[Thang.Nam],'Dai Loc'!AL$254)</f>
        <v>0</v>
      </c>
    </row>
    <row r="311" spans="1:38" ht="15" customHeight="1">
      <c r="A311" s="200" t="str">
        <f t="shared" si="51"/>
        <v>VietinBank</v>
      </c>
      <c r="B311" s="335">
        <v>57</v>
      </c>
      <c r="Z311" s="49">
        <v>0</v>
      </c>
      <c r="AA311" s="201">
        <f>SUMIFS([1]!Data_Loan[Value],[1]!Data_Loan[Index Loan],'Dai Loc'!$B311,[1]!Data_Loan[TenCongTyID],'Dai Loc'!$B$1,[1]!Data_Loan[Thang.Nam],'Dai Loc'!AA$254)</f>
        <v>0</v>
      </c>
      <c r="AB311" s="201">
        <f>SUMIFS([1]!Data_Loan[Value],[1]!Data_Loan[Index Loan],'Dai Loc'!$B311,[1]!Data_Loan[TenCongTyID],'Dai Loc'!$B$1,[1]!Data_Loan[Thang.Nam],'Dai Loc'!AB$254)</f>
        <v>0</v>
      </c>
      <c r="AC311" s="201">
        <f>SUMIFS([1]!Data_Loan[Value],[1]!Data_Loan[Index Loan],'Dai Loc'!$B311,[1]!Data_Loan[TenCongTyID],'Dai Loc'!$B$1,[1]!Data_Loan[Thang.Nam],'Dai Loc'!AC$254)</f>
        <v>0</v>
      </c>
      <c r="AD311" s="201">
        <f>SUMIFS([1]!Data_Loan[Value],[1]!Data_Loan[Index Loan],'Dai Loc'!$B311,[1]!Data_Loan[TenCongTyID],'Dai Loc'!$B$1,[1]!Data_Loan[Thang.Nam],'Dai Loc'!AD$254)</f>
        <v>0</v>
      </c>
      <c r="AE311" s="201">
        <f>SUMIFS([1]!Data_Loan[Value],[1]!Data_Loan[Index Loan],'Dai Loc'!$B311,[1]!Data_Loan[TenCongTyID],'Dai Loc'!$B$1,[1]!Data_Loan[Thang.Nam],'Dai Loc'!AE$254)</f>
        <v>0</v>
      </c>
      <c r="AF311" s="201">
        <f>SUMIFS([1]!Data_Loan[Value],[1]!Data_Loan[Index Loan],'Dai Loc'!$B311,[1]!Data_Loan[TenCongTyID],'Dai Loc'!$B$1,[1]!Data_Loan[Thang.Nam],'Dai Loc'!AF$254)</f>
        <v>0</v>
      </c>
      <c r="AG311" s="201">
        <f>SUMIFS([1]!Data_Loan[Value],[1]!Data_Loan[Index Loan],'Dai Loc'!$B311,[1]!Data_Loan[TenCongTyID],'Dai Loc'!$B$1,[1]!Data_Loan[Thang.Nam],'Dai Loc'!AG$254)</f>
        <v>0</v>
      </c>
      <c r="AH311" s="201">
        <f>SUMIFS([1]!Data_Loan[Value],[1]!Data_Loan[Index Loan],'Dai Loc'!$B311,[1]!Data_Loan[TenCongTyID],'Dai Loc'!$B$1,[1]!Data_Loan[Thang.Nam],'Dai Loc'!AH$254)</f>
        <v>0</v>
      </c>
      <c r="AI311" s="201">
        <f>SUMIFS([1]!Data_Loan[Value],[1]!Data_Loan[Index Loan],'Dai Loc'!$B311,[1]!Data_Loan[TenCongTyID],'Dai Loc'!$B$1,[1]!Data_Loan[Thang.Nam],'Dai Loc'!AI$254)</f>
        <v>0</v>
      </c>
      <c r="AJ311" s="201">
        <f>SUMIFS([1]!Data_Loan[Value],[1]!Data_Loan[Index Loan],'Dai Loc'!$B311,[1]!Data_Loan[TenCongTyID],'Dai Loc'!$B$1,[1]!Data_Loan[Thang.Nam],'Dai Loc'!AJ$254)</f>
        <v>0</v>
      </c>
      <c r="AK311" s="201">
        <f>SUMIFS([1]!Data_Loan[Value],[1]!Data_Loan[Index Loan],'Dai Loc'!$B311,[1]!Data_Loan[TenCongTyID],'Dai Loc'!$B$1,[1]!Data_Loan[Thang.Nam],'Dai Loc'!AK$254)</f>
        <v>0</v>
      </c>
      <c r="AL311" s="201">
        <f>SUMIFS([1]!Data_Loan[Value],[1]!Data_Loan[Index Loan],'Dai Loc'!$B311,[1]!Data_Loan[TenCongTyID],'Dai Loc'!$B$1,[1]!Data_Loan[Thang.Nam],'Dai Loc'!AL$254)</f>
        <v>0</v>
      </c>
    </row>
    <row r="312" spans="1:38" ht="15" customHeight="1">
      <c r="A312" s="200" t="str">
        <f t="shared" si="51"/>
        <v>Vietcombank</v>
      </c>
      <c r="B312" s="335">
        <v>58</v>
      </c>
      <c r="Z312" s="49">
        <v>0</v>
      </c>
      <c r="AA312" s="201">
        <f>SUMIFS([1]!Data_Loan[Value],[1]!Data_Loan[Index Loan],'Dai Loc'!$B312,[1]!Data_Loan[TenCongTyID],'Dai Loc'!$B$1,[1]!Data_Loan[Thang.Nam],'Dai Loc'!AA$254)</f>
        <v>0</v>
      </c>
      <c r="AB312" s="201">
        <f>SUMIFS([1]!Data_Loan[Value],[1]!Data_Loan[Index Loan],'Dai Loc'!$B312,[1]!Data_Loan[TenCongTyID],'Dai Loc'!$B$1,[1]!Data_Loan[Thang.Nam],'Dai Loc'!AB$254)</f>
        <v>0</v>
      </c>
      <c r="AC312" s="201">
        <f>SUMIFS([1]!Data_Loan[Value],[1]!Data_Loan[Index Loan],'Dai Loc'!$B312,[1]!Data_Loan[TenCongTyID],'Dai Loc'!$B$1,[1]!Data_Loan[Thang.Nam],'Dai Loc'!AC$254)</f>
        <v>0</v>
      </c>
      <c r="AD312" s="201">
        <f>SUMIFS([1]!Data_Loan[Value],[1]!Data_Loan[Index Loan],'Dai Loc'!$B312,[1]!Data_Loan[TenCongTyID],'Dai Loc'!$B$1,[1]!Data_Loan[Thang.Nam],'Dai Loc'!AD$254)</f>
        <v>0</v>
      </c>
      <c r="AE312" s="201">
        <f>SUMIFS([1]!Data_Loan[Value],[1]!Data_Loan[Index Loan],'Dai Loc'!$B312,[1]!Data_Loan[TenCongTyID],'Dai Loc'!$B$1,[1]!Data_Loan[Thang.Nam],'Dai Loc'!AE$254)</f>
        <v>0</v>
      </c>
      <c r="AF312" s="201">
        <f>SUMIFS([1]!Data_Loan[Value],[1]!Data_Loan[Index Loan],'Dai Loc'!$B312,[1]!Data_Loan[TenCongTyID],'Dai Loc'!$B$1,[1]!Data_Loan[Thang.Nam],'Dai Loc'!AF$254)</f>
        <v>0</v>
      </c>
      <c r="AG312" s="201">
        <f>SUMIFS([1]!Data_Loan[Value],[1]!Data_Loan[Index Loan],'Dai Loc'!$B312,[1]!Data_Loan[TenCongTyID],'Dai Loc'!$B$1,[1]!Data_Loan[Thang.Nam],'Dai Loc'!AG$254)</f>
        <v>0</v>
      </c>
      <c r="AH312" s="201">
        <f>SUMIFS([1]!Data_Loan[Value],[1]!Data_Loan[Index Loan],'Dai Loc'!$B312,[1]!Data_Loan[TenCongTyID],'Dai Loc'!$B$1,[1]!Data_Loan[Thang.Nam],'Dai Loc'!AH$254)</f>
        <v>0</v>
      </c>
      <c r="AI312" s="201">
        <f>SUMIFS([1]!Data_Loan[Value],[1]!Data_Loan[Index Loan],'Dai Loc'!$B312,[1]!Data_Loan[TenCongTyID],'Dai Loc'!$B$1,[1]!Data_Loan[Thang.Nam],'Dai Loc'!AI$254)</f>
        <v>0</v>
      </c>
      <c r="AJ312" s="201">
        <f>SUMIFS([1]!Data_Loan[Value],[1]!Data_Loan[Index Loan],'Dai Loc'!$B312,[1]!Data_Loan[TenCongTyID],'Dai Loc'!$B$1,[1]!Data_Loan[Thang.Nam],'Dai Loc'!AJ$254)</f>
        <v>0</v>
      </c>
      <c r="AK312" s="201">
        <f>SUMIFS([1]!Data_Loan[Value],[1]!Data_Loan[Index Loan],'Dai Loc'!$B312,[1]!Data_Loan[TenCongTyID],'Dai Loc'!$B$1,[1]!Data_Loan[Thang.Nam],'Dai Loc'!AK$254)</f>
        <v>0</v>
      </c>
      <c r="AL312" s="201">
        <f>SUMIFS([1]!Data_Loan[Value],[1]!Data_Loan[Index Loan],'Dai Loc'!$B312,[1]!Data_Loan[TenCongTyID],'Dai Loc'!$B$1,[1]!Data_Loan[Thang.Nam],'Dai Loc'!AL$254)</f>
        <v>0</v>
      </c>
    </row>
    <row r="313" spans="1:38" ht="15" customHeight="1">
      <c r="A313" s="200" t="str">
        <f t="shared" si="51"/>
        <v>BIDV</v>
      </c>
      <c r="B313" s="335">
        <v>59</v>
      </c>
      <c r="Z313" s="49">
        <v>0</v>
      </c>
      <c r="AA313" s="201">
        <f>SUMIFS([1]!Data_Loan[Value],[1]!Data_Loan[Index Loan],'Dai Loc'!$B313,[1]!Data_Loan[TenCongTyID],'Dai Loc'!$B$1,[1]!Data_Loan[Thang.Nam],'Dai Loc'!AA$254)</f>
        <v>0</v>
      </c>
      <c r="AB313" s="201">
        <f>SUMIFS([1]!Data_Loan[Value],[1]!Data_Loan[Index Loan],'Dai Loc'!$B313,[1]!Data_Loan[TenCongTyID],'Dai Loc'!$B$1,[1]!Data_Loan[Thang.Nam],'Dai Loc'!AB$254)</f>
        <v>0</v>
      </c>
      <c r="AC313" s="201">
        <f>SUMIFS([1]!Data_Loan[Value],[1]!Data_Loan[Index Loan],'Dai Loc'!$B313,[1]!Data_Loan[TenCongTyID],'Dai Loc'!$B$1,[1]!Data_Loan[Thang.Nam],'Dai Loc'!AC$254)</f>
        <v>0</v>
      </c>
      <c r="AD313" s="201">
        <f>SUMIFS([1]!Data_Loan[Value],[1]!Data_Loan[Index Loan],'Dai Loc'!$B313,[1]!Data_Loan[TenCongTyID],'Dai Loc'!$B$1,[1]!Data_Loan[Thang.Nam],'Dai Loc'!AD$254)</f>
        <v>0</v>
      </c>
      <c r="AE313" s="201">
        <f>SUMIFS([1]!Data_Loan[Value],[1]!Data_Loan[Index Loan],'Dai Loc'!$B313,[1]!Data_Loan[TenCongTyID],'Dai Loc'!$B$1,[1]!Data_Loan[Thang.Nam],'Dai Loc'!AE$254)</f>
        <v>0</v>
      </c>
      <c r="AF313" s="201">
        <f>SUMIFS([1]!Data_Loan[Value],[1]!Data_Loan[Index Loan],'Dai Loc'!$B313,[1]!Data_Loan[TenCongTyID],'Dai Loc'!$B$1,[1]!Data_Loan[Thang.Nam],'Dai Loc'!AF$254)</f>
        <v>0</v>
      </c>
      <c r="AG313" s="201">
        <f>SUMIFS([1]!Data_Loan[Value],[1]!Data_Loan[Index Loan],'Dai Loc'!$B313,[1]!Data_Loan[TenCongTyID],'Dai Loc'!$B$1,[1]!Data_Loan[Thang.Nam],'Dai Loc'!AG$254)</f>
        <v>0</v>
      </c>
      <c r="AH313" s="201">
        <f>SUMIFS([1]!Data_Loan[Value],[1]!Data_Loan[Index Loan],'Dai Loc'!$B313,[1]!Data_Loan[TenCongTyID],'Dai Loc'!$B$1,[1]!Data_Loan[Thang.Nam],'Dai Loc'!AH$254)</f>
        <v>0</v>
      </c>
      <c r="AI313" s="201">
        <f>SUMIFS([1]!Data_Loan[Value],[1]!Data_Loan[Index Loan],'Dai Loc'!$B313,[1]!Data_Loan[TenCongTyID],'Dai Loc'!$B$1,[1]!Data_Loan[Thang.Nam],'Dai Loc'!AI$254)</f>
        <v>0</v>
      </c>
      <c r="AJ313" s="201">
        <f>SUMIFS([1]!Data_Loan[Value],[1]!Data_Loan[Index Loan],'Dai Loc'!$B313,[1]!Data_Loan[TenCongTyID],'Dai Loc'!$B$1,[1]!Data_Loan[Thang.Nam],'Dai Loc'!AJ$254)</f>
        <v>0</v>
      </c>
      <c r="AK313" s="201">
        <f>SUMIFS([1]!Data_Loan[Value],[1]!Data_Loan[Index Loan],'Dai Loc'!$B313,[1]!Data_Loan[TenCongTyID],'Dai Loc'!$B$1,[1]!Data_Loan[Thang.Nam],'Dai Loc'!AK$254)</f>
        <v>0</v>
      </c>
      <c r="AL313" s="201">
        <f>SUMIFS([1]!Data_Loan[Value],[1]!Data_Loan[Index Loan],'Dai Loc'!$B313,[1]!Data_Loan[TenCongTyID],'Dai Loc'!$B$1,[1]!Data_Loan[Thang.Nam],'Dai Loc'!AL$254)</f>
        <v>0</v>
      </c>
    </row>
    <row r="314" spans="1:38" ht="15" customHeight="1">
      <c r="A314" s="200" t="str">
        <f t="shared" si="51"/>
        <v>Standard Chartered</v>
      </c>
      <c r="B314" s="335">
        <v>60</v>
      </c>
      <c r="Z314" s="49">
        <v>0</v>
      </c>
      <c r="AA314" s="201">
        <f>SUMIFS([1]!Data_Loan[Value],[1]!Data_Loan[Index Loan],'Dai Loc'!$B314,[1]!Data_Loan[TenCongTyID],'Dai Loc'!$B$1,[1]!Data_Loan[Thang.Nam],'Dai Loc'!AA$254)</f>
        <v>0</v>
      </c>
      <c r="AB314" s="201">
        <f>SUMIFS([1]!Data_Loan[Value],[1]!Data_Loan[Index Loan],'Dai Loc'!$B314,[1]!Data_Loan[TenCongTyID],'Dai Loc'!$B$1,[1]!Data_Loan[Thang.Nam],'Dai Loc'!AB$254)</f>
        <v>0</v>
      </c>
      <c r="AC314" s="201">
        <f>SUMIFS([1]!Data_Loan[Value],[1]!Data_Loan[Index Loan],'Dai Loc'!$B314,[1]!Data_Loan[TenCongTyID],'Dai Loc'!$B$1,[1]!Data_Loan[Thang.Nam],'Dai Loc'!AC$254)</f>
        <v>0</v>
      </c>
      <c r="AD314" s="201">
        <f>SUMIFS([1]!Data_Loan[Value],[1]!Data_Loan[Index Loan],'Dai Loc'!$B314,[1]!Data_Loan[TenCongTyID],'Dai Loc'!$B$1,[1]!Data_Loan[Thang.Nam],'Dai Loc'!AD$254)</f>
        <v>0</v>
      </c>
      <c r="AE314" s="201">
        <f>SUMIFS([1]!Data_Loan[Value],[1]!Data_Loan[Index Loan],'Dai Loc'!$B314,[1]!Data_Loan[TenCongTyID],'Dai Loc'!$B$1,[1]!Data_Loan[Thang.Nam],'Dai Loc'!AE$254)</f>
        <v>0</v>
      </c>
      <c r="AF314" s="201">
        <f>SUMIFS([1]!Data_Loan[Value],[1]!Data_Loan[Index Loan],'Dai Loc'!$B314,[1]!Data_Loan[TenCongTyID],'Dai Loc'!$B$1,[1]!Data_Loan[Thang.Nam],'Dai Loc'!AF$254)</f>
        <v>0</v>
      </c>
      <c r="AG314" s="201">
        <f>SUMIFS([1]!Data_Loan[Value],[1]!Data_Loan[Index Loan],'Dai Loc'!$B314,[1]!Data_Loan[TenCongTyID],'Dai Loc'!$B$1,[1]!Data_Loan[Thang.Nam],'Dai Loc'!AG$254)</f>
        <v>0</v>
      </c>
      <c r="AH314" s="201">
        <f>SUMIFS([1]!Data_Loan[Value],[1]!Data_Loan[Index Loan],'Dai Loc'!$B314,[1]!Data_Loan[TenCongTyID],'Dai Loc'!$B$1,[1]!Data_Loan[Thang.Nam],'Dai Loc'!AH$254)</f>
        <v>0</v>
      </c>
      <c r="AI314" s="201">
        <f>SUMIFS([1]!Data_Loan[Value],[1]!Data_Loan[Index Loan],'Dai Loc'!$B314,[1]!Data_Loan[TenCongTyID],'Dai Loc'!$B$1,[1]!Data_Loan[Thang.Nam],'Dai Loc'!AI$254)</f>
        <v>0</v>
      </c>
      <c r="AJ314" s="201">
        <f>SUMIFS([1]!Data_Loan[Value],[1]!Data_Loan[Index Loan],'Dai Loc'!$B314,[1]!Data_Loan[TenCongTyID],'Dai Loc'!$B$1,[1]!Data_Loan[Thang.Nam],'Dai Loc'!AJ$254)</f>
        <v>0</v>
      </c>
      <c r="AK314" s="201">
        <f>SUMIFS([1]!Data_Loan[Value],[1]!Data_Loan[Index Loan],'Dai Loc'!$B314,[1]!Data_Loan[TenCongTyID],'Dai Loc'!$B$1,[1]!Data_Loan[Thang.Nam],'Dai Loc'!AK$254)</f>
        <v>0</v>
      </c>
      <c r="AL314" s="201">
        <f>SUMIFS([1]!Data_Loan[Value],[1]!Data_Loan[Index Loan],'Dai Loc'!$B314,[1]!Data_Loan[TenCongTyID],'Dai Loc'!$B$1,[1]!Data_Loan[Thang.Nam],'Dai Loc'!AL$254)</f>
        <v>0</v>
      </c>
    </row>
    <row r="315" spans="1:38" ht="15" customHeight="1">
      <c r="A315" s="200" t="str">
        <f t="shared" si="51"/>
        <v>VILC</v>
      </c>
      <c r="B315" s="335">
        <v>61</v>
      </c>
      <c r="Z315" s="49">
        <v>0</v>
      </c>
      <c r="AA315" s="201">
        <f>SUMIFS([1]!Data_Loan[Value],[1]!Data_Loan[Index Loan],'Dai Loc'!$B315,[1]!Data_Loan[TenCongTyID],'Dai Loc'!$B$1,[1]!Data_Loan[Thang.Nam],'Dai Loc'!AA$254)</f>
        <v>0</v>
      </c>
      <c r="AB315" s="201">
        <f>SUMIFS([1]!Data_Loan[Value],[1]!Data_Loan[Index Loan],'Dai Loc'!$B315,[1]!Data_Loan[TenCongTyID],'Dai Loc'!$B$1,[1]!Data_Loan[Thang.Nam],'Dai Loc'!AB$254)</f>
        <v>0</v>
      </c>
      <c r="AC315" s="201">
        <f>SUMIFS([1]!Data_Loan[Value],[1]!Data_Loan[Index Loan],'Dai Loc'!$B315,[1]!Data_Loan[TenCongTyID],'Dai Loc'!$B$1,[1]!Data_Loan[Thang.Nam],'Dai Loc'!AC$254)</f>
        <v>0</v>
      </c>
      <c r="AD315" s="201">
        <f>SUMIFS([1]!Data_Loan[Value],[1]!Data_Loan[Index Loan],'Dai Loc'!$B315,[1]!Data_Loan[TenCongTyID],'Dai Loc'!$B$1,[1]!Data_Loan[Thang.Nam],'Dai Loc'!AD$254)</f>
        <v>0</v>
      </c>
      <c r="AE315" s="201">
        <f>SUMIFS([1]!Data_Loan[Value],[1]!Data_Loan[Index Loan],'Dai Loc'!$B315,[1]!Data_Loan[TenCongTyID],'Dai Loc'!$B$1,[1]!Data_Loan[Thang.Nam],'Dai Loc'!AE$254)</f>
        <v>0</v>
      </c>
      <c r="AF315" s="201">
        <f>SUMIFS([1]!Data_Loan[Value],[1]!Data_Loan[Index Loan],'Dai Loc'!$B315,[1]!Data_Loan[TenCongTyID],'Dai Loc'!$B$1,[1]!Data_Loan[Thang.Nam],'Dai Loc'!AF$254)</f>
        <v>0</v>
      </c>
      <c r="AG315" s="201">
        <f>SUMIFS([1]!Data_Loan[Value],[1]!Data_Loan[Index Loan],'Dai Loc'!$B315,[1]!Data_Loan[TenCongTyID],'Dai Loc'!$B$1,[1]!Data_Loan[Thang.Nam],'Dai Loc'!AG$254)</f>
        <v>0</v>
      </c>
      <c r="AH315" s="201">
        <f>SUMIFS([1]!Data_Loan[Value],[1]!Data_Loan[Index Loan],'Dai Loc'!$B315,[1]!Data_Loan[TenCongTyID],'Dai Loc'!$B$1,[1]!Data_Loan[Thang.Nam],'Dai Loc'!AH$254)</f>
        <v>0</v>
      </c>
      <c r="AI315" s="201">
        <f>SUMIFS([1]!Data_Loan[Value],[1]!Data_Loan[Index Loan],'Dai Loc'!$B315,[1]!Data_Loan[TenCongTyID],'Dai Loc'!$B$1,[1]!Data_Loan[Thang.Nam],'Dai Loc'!AI$254)</f>
        <v>0</v>
      </c>
      <c r="AJ315" s="201">
        <f>SUMIFS([1]!Data_Loan[Value],[1]!Data_Loan[Index Loan],'Dai Loc'!$B315,[1]!Data_Loan[TenCongTyID],'Dai Loc'!$B$1,[1]!Data_Loan[Thang.Nam],'Dai Loc'!AJ$254)</f>
        <v>0</v>
      </c>
      <c r="AK315" s="201">
        <f>SUMIFS([1]!Data_Loan[Value],[1]!Data_Loan[Index Loan],'Dai Loc'!$B315,[1]!Data_Loan[TenCongTyID],'Dai Loc'!$B$1,[1]!Data_Loan[Thang.Nam],'Dai Loc'!AK$254)</f>
        <v>0</v>
      </c>
      <c r="AL315" s="201">
        <f>SUMIFS([1]!Data_Loan[Value],[1]!Data_Loan[Index Loan],'Dai Loc'!$B315,[1]!Data_Loan[TenCongTyID],'Dai Loc'!$B$1,[1]!Data_Loan[Thang.Nam],'Dai Loc'!AL$254)</f>
        <v>0</v>
      </c>
    </row>
    <row r="316" spans="1:38" ht="15" customHeight="1">
      <c r="A316" s="200" t="s">
        <v>347</v>
      </c>
      <c r="B316" s="335">
        <v>62</v>
      </c>
      <c r="Z316" s="49">
        <v>0</v>
      </c>
      <c r="AA316" s="201">
        <f>SUMIFS([1]!Data_Loan[Value],[1]!Data_Loan[Index Loan],'Dai Loc'!$B316,[1]!Data_Loan[TenCongTyID],'Dai Loc'!$B$1,[1]!Data_Loan[Thang.Nam],'Dai Loc'!AA$254)</f>
        <v>0</v>
      </c>
      <c r="AB316" s="201">
        <f>SUMIFS([1]!Data_Loan[Value],[1]!Data_Loan[Index Loan],'Dai Loc'!$B316,[1]!Data_Loan[TenCongTyID],'Dai Loc'!$B$1,[1]!Data_Loan[Thang.Nam],'Dai Loc'!AB$254)</f>
        <v>0</v>
      </c>
      <c r="AC316" s="201">
        <f>SUMIFS([1]!Data_Loan[Value],[1]!Data_Loan[Index Loan],'Dai Loc'!$B316,[1]!Data_Loan[TenCongTyID],'Dai Loc'!$B$1,[1]!Data_Loan[Thang.Nam],'Dai Loc'!AC$254)</f>
        <v>0</v>
      </c>
      <c r="AD316" s="201">
        <f>SUMIFS([1]!Data_Loan[Value],[1]!Data_Loan[Index Loan],'Dai Loc'!$B316,[1]!Data_Loan[TenCongTyID],'Dai Loc'!$B$1,[1]!Data_Loan[Thang.Nam],'Dai Loc'!AD$254)</f>
        <v>0</v>
      </c>
      <c r="AE316" s="201">
        <f>SUMIFS([1]!Data_Loan[Value],[1]!Data_Loan[Index Loan],'Dai Loc'!$B316,[1]!Data_Loan[TenCongTyID],'Dai Loc'!$B$1,[1]!Data_Loan[Thang.Nam],'Dai Loc'!AE$254)</f>
        <v>0</v>
      </c>
      <c r="AF316" s="201">
        <f>SUMIFS([1]!Data_Loan[Value],[1]!Data_Loan[Index Loan],'Dai Loc'!$B316,[1]!Data_Loan[TenCongTyID],'Dai Loc'!$B$1,[1]!Data_Loan[Thang.Nam],'Dai Loc'!AF$254)</f>
        <v>0</v>
      </c>
      <c r="AG316" s="201">
        <f>SUMIFS([1]!Data_Loan[Value],[1]!Data_Loan[Index Loan],'Dai Loc'!$B316,[1]!Data_Loan[TenCongTyID],'Dai Loc'!$B$1,[1]!Data_Loan[Thang.Nam],'Dai Loc'!AG$254)</f>
        <v>0</v>
      </c>
      <c r="AH316" s="201">
        <f>SUMIFS([1]!Data_Loan[Value],[1]!Data_Loan[Index Loan],'Dai Loc'!$B316,[1]!Data_Loan[TenCongTyID],'Dai Loc'!$B$1,[1]!Data_Loan[Thang.Nam],'Dai Loc'!AH$254)</f>
        <v>0</v>
      </c>
      <c r="AI316" s="201">
        <f>SUMIFS([1]!Data_Loan[Value],[1]!Data_Loan[Index Loan],'Dai Loc'!$B316,[1]!Data_Loan[TenCongTyID],'Dai Loc'!$B$1,[1]!Data_Loan[Thang.Nam],'Dai Loc'!AI$254)</f>
        <v>0</v>
      </c>
      <c r="AJ316" s="201">
        <f>SUMIFS([1]!Data_Loan[Value],[1]!Data_Loan[Index Loan],'Dai Loc'!$B316,[1]!Data_Loan[TenCongTyID],'Dai Loc'!$B$1,[1]!Data_Loan[Thang.Nam],'Dai Loc'!AJ$254)</f>
        <v>0</v>
      </c>
      <c r="AK316" s="201">
        <f>SUMIFS([1]!Data_Loan[Value],[1]!Data_Loan[Index Loan],'Dai Loc'!$B316,[1]!Data_Loan[TenCongTyID],'Dai Loc'!$B$1,[1]!Data_Loan[Thang.Nam],'Dai Loc'!AK$254)</f>
        <v>0</v>
      </c>
      <c r="AL316" s="201">
        <f>SUMIFS([1]!Data_Loan[Value],[1]!Data_Loan[Index Loan],'Dai Loc'!$B316,[1]!Data_Loan[TenCongTyID],'Dai Loc'!$B$1,[1]!Data_Loan[Thang.Nam],'Dai Loc'!AL$254)</f>
        <v>0</v>
      </c>
    </row>
    <row r="317" spans="1:38" ht="15" customHeight="1">
      <c r="B317" s="335">
        <v>63</v>
      </c>
      <c r="Z317" s="49">
        <v>0</v>
      </c>
      <c r="AA317" s="201">
        <f>SUMIFS([1]!Data_Loan[Value],[1]!Data_Loan[Index Loan],'Dai Loc'!$B317,[1]!Data_Loan[TenCongTyID],'Dai Loc'!$B$1,[1]!Data_Loan[Thang.Nam],'Dai Loc'!AA$254)</f>
        <v>0</v>
      </c>
      <c r="AB317" s="201">
        <f>SUMIFS([1]!Data_Loan[Value],[1]!Data_Loan[Index Loan],'Dai Loc'!$B317,[1]!Data_Loan[TenCongTyID],'Dai Loc'!$B$1,[1]!Data_Loan[Thang.Nam],'Dai Loc'!AB$254)</f>
        <v>0</v>
      </c>
      <c r="AC317" s="201">
        <f>SUMIFS([1]!Data_Loan[Value],[1]!Data_Loan[Index Loan],'Dai Loc'!$B317,[1]!Data_Loan[TenCongTyID],'Dai Loc'!$B$1,[1]!Data_Loan[Thang.Nam],'Dai Loc'!AC$254)</f>
        <v>0</v>
      </c>
      <c r="AD317" s="201">
        <f>SUMIFS([1]!Data_Loan[Value],[1]!Data_Loan[Index Loan],'Dai Loc'!$B317,[1]!Data_Loan[TenCongTyID],'Dai Loc'!$B$1,[1]!Data_Loan[Thang.Nam],'Dai Loc'!AD$254)</f>
        <v>0</v>
      </c>
      <c r="AE317" s="201">
        <f>SUMIFS([1]!Data_Loan[Value],[1]!Data_Loan[Index Loan],'Dai Loc'!$B317,[1]!Data_Loan[TenCongTyID],'Dai Loc'!$B$1,[1]!Data_Loan[Thang.Nam],'Dai Loc'!AE$254)</f>
        <v>0</v>
      </c>
      <c r="AF317" s="201">
        <f>SUMIFS([1]!Data_Loan[Value],[1]!Data_Loan[Index Loan],'Dai Loc'!$B317,[1]!Data_Loan[TenCongTyID],'Dai Loc'!$B$1,[1]!Data_Loan[Thang.Nam],'Dai Loc'!AF$254)</f>
        <v>0</v>
      </c>
      <c r="AG317" s="201">
        <f>SUMIFS([1]!Data_Loan[Value],[1]!Data_Loan[Index Loan],'Dai Loc'!$B317,[1]!Data_Loan[TenCongTyID],'Dai Loc'!$B$1,[1]!Data_Loan[Thang.Nam],'Dai Loc'!AG$254)</f>
        <v>0</v>
      </c>
      <c r="AH317" s="201">
        <f>SUMIFS([1]!Data_Loan[Value],[1]!Data_Loan[Index Loan],'Dai Loc'!$B317,[1]!Data_Loan[TenCongTyID],'Dai Loc'!$B$1,[1]!Data_Loan[Thang.Nam],'Dai Loc'!AH$254)</f>
        <v>0</v>
      </c>
      <c r="AI317" s="201">
        <f>SUMIFS([1]!Data_Loan[Value],[1]!Data_Loan[Index Loan],'Dai Loc'!$B317,[1]!Data_Loan[TenCongTyID],'Dai Loc'!$B$1,[1]!Data_Loan[Thang.Nam],'Dai Loc'!AI$254)</f>
        <v>0</v>
      </c>
      <c r="AJ317" s="201">
        <f>SUMIFS([1]!Data_Loan[Value],[1]!Data_Loan[Index Loan],'Dai Loc'!$B317,[1]!Data_Loan[TenCongTyID],'Dai Loc'!$B$1,[1]!Data_Loan[Thang.Nam],'Dai Loc'!AJ$254)</f>
        <v>0</v>
      </c>
      <c r="AK317" s="201">
        <f>SUMIFS([1]!Data_Loan[Value],[1]!Data_Loan[Index Loan],'Dai Loc'!$B317,[1]!Data_Loan[TenCongTyID],'Dai Loc'!$B$1,[1]!Data_Loan[Thang.Nam],'Dai Loc'!AK$254)</f>
        <v>0</v>
      </c>
      <c r="AL317" s="201">
        <f>SUMIFS([1]!Data_Loan[Value],[1]!Data_Loan[Index Loan],'Dai Loc'!$B317,[1]!Data_Loan[TenCongTyID],'Dai Loc'!$B$1,[1]!Data_Loan[Thang.Nam],'Dai Loc'!AL$254)</f>
        <v>0</v>
      </c>
    </row>
    <row r="318" spans="1:38" ht="15" customHeight="1" thickBot="1">
      <c r="A318" s="203" t="s">
        <v>373</v>
      </c>
      <c r="B318" s="332">
        <v>64</v>
      </c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>
        <v>0</v>
      </c>
      <c r="AA318" s="205">
        <f>SUMIFS([1]!Data_Loan[Value],[1]!Data_Loan[Index Loan],'Dai Loc'!$B318,[1]!Data_Loan[TenCongTyID],'Dai Loc'!$B$1,[1]!Data_Loan[Thang.Nam],'Dai Loc'!AA$254)</f>
        <v>0</v>
      </c>
      <c r="AB318" s="205">
        <f>SUMIFS([1]!Data_Loan[Value],[1]!Data_Loan[Index Loan],'Dai Loc'!$B318,[1]!Data_Loan[TenCongTyID],'Dai Loc'!$B$1,[1]!Data_Loan[Thang.Nam],'Dai Loc'!AB$254)</f>
        <v>0</v>
      </c>
      <c r="AC318" s="205">
        <f>SUMIFS([1]!Data_Loan[Value],[1]!Data_Loan[Index Loan],'Dai Loc'!$B318,[1]!Data_Loan[TenCongTyID],'Dai Loc'!$B$1,[1]!Data_Loan[Thang.Nam],'Dai Loc'!AC$254)</f>
        <v>0</v>
      </c>
      <c r="AD318" s="205">
        <f>SUMIFS([1]!Data_Loan[Value],[1]!Data_Loan[Index Loan],'Dai Loc'!$B318,[1]!Data_Loan[TenCongTyID],'Dai Loc'!$B$1,[1]!Data_Loan[Thang.Nam],'Dai Loc'!AD$254)</f>
        <v>0</v>
      </c>
      <c r="AE318" s="205">
        <f>SUMIFS([1]!Data_Loan[Value],[1]!Data_Loan[Index Loan],'Dai Loc'!$B318,[1]!Data_Loan[TenCongTyID],'Dai Loc'!$B$1,[1]!Data_Loan[Thang.Nam],'Dai Loc'!AE$254)</f>
        <v>0</v>
      </c>
      <c r="AF318" s="205">
        <f>SUMIFS([1]!Data_Loan[Value],[1]!Data_Loan[Index Loan],'Dai Loc'!$B318,[1]!Data_Loan[TenCongTyID],'Dai Loc'!$B$1,[1]!Data_Loan[Thang.Nam],'Dai Loc'!AF$254)</f>
        <v>0</v>
      </c>
      <c r="AG318" s="205">
        <f>SUMIFS([1]!Data_Loan[Value],[1]!Data_Loan[Index Loan],'Dai Loc'!$B318,[1]!Data_Loan[TenCongTyID],'Dai Loc'!$B$1,[1]!Data_Loan[Thang.Nam],'Dai Loc'!AG$254)</f>
        <v>0</v>
      </c>
      <c r="AH318" s="205">
        <f>SUMIFS([1]!Data_Loan[Value],[1]!Data_Loan[Index Loan],'Dai Loc'!$B318,[1]!Data_Loan[TenCongTyID],'Dai Loc'!$B$1,[1]!Data_Loan[Thang.Nam],'Dai Loc'!AH$254)</f>
        <v>0</v>
      </c>
      <c r="AI318" s="205">
        <f>SUMIFS([1]!Data_Loan[Value],[1]!Data_Loan[Index Loan],'Dai Loc'!$B318,[1]!Data_Loan[TenCongTyID],'Dai Loc'!$B$1,[1]!Data_Loan[Thang.Nam],'Dai Loc'!AI$254)</f>
        <v>0</v>
      </c>
      <c r="AJ318" s="205">
        <f>SUMIFS([1]!Data_Loan[Value],[1]!Data_Loan[Index Loan],'Dai Loc'!$B318,[1]!Data_Loan[TenCongTyID],'Dai Loc'!$B$1,[1]!Data_Loan[Thang.Nam],'Dai Loc'!AJ$254)</f>
        <v>0</v>
      </c>
      <c r="AK318" s="205">
        <f>SUMIFS([1]!Data_Loan[Value],[1]!Data_Loan[Index Loan],'Dai Loc'!$B318,[1]!Data_Loan[TenCongTyID],'Dai Loc'!$B$1,[1]!Data_Loan[Thang.Nam],'Dai Loc'!AK$254)</f>
        <v>0</v>
      </c>
      <c r="AL318" s="205">
        <f>SUMIFS([1]!Data_Loan[Value],[1]!Data_Loan[Index Loan],'Dai Loc'!$B318,[1]!Data_Loan[TenCongTyID],'Dai Loc'!$B$1,[1]!Data_Loan[Thang.Nam],'Dai Loc'!AL$254)</f>
        <v>0</v>
      </c>
    </row>
    <row r="319" spans="1:38" ht="15" customHeight="1" thickTop="1">
      <c r="A319" s="200" t="str">
        <f t="shared" ref="A319:A324" si="52">A301</f>
        <v>ACB</v>
      </c>
      <c r="B319" s="335">
        <v>65</v>
      </c>
      <c r="Z319" s="49">
        <v>0</v>
      </c>
      <c r="AA319" s="201">
        <f>SUMIFS([1]!Data_Loan[Value],[1]!Data_Loan[Index Loan],'Dai Loc'!$B319,[1]!Data_Loan[TenCongTyID],'Dai Loc'!$B$1,[1]!Data_Loan[Thang.Nam],'Dai Loc'!AA$254)</f>
        <v>0</v>
      </c>
      <c r="AB319" s="201">
        <f>SUMIFS([1]!Data_Loan[Value],[1]!Data_Loan[Index Loan],'Dai Loc'!$B319,[1]!Data_Loan[TenCongTyID],'Dai Loc'!$B$1,[1]!Data_Loan[Thang.Nam],'Dai Loc'!AB$254)</f>
        <v>0</v>
      </c>
      <c r="AC319" s="201">
        <f>SUMIFS([1]!Data_Loan[Value],[1]!Data_Loan[Index Loan],'Dai Loc'!$B319,[1]!Data_Loan[TenCongTyID],'Dai Loc'!$B$1,[1]!Data_Loan[Thang.Nam],'Dai Loc'!AC$254)</f>
        <v>0</v>
      </c>
      <c r="AD319" s="201">
        <f>SUMIFS([1]!Data_Loan[Value],[1]!Data_Loan[Index Loan],'Dai Loc'!$B319,[1]!Data_Loan[TenCongTyID],'Dai Loc'!$B$1,[1]!Data_Loan[Thang.Nam],'Dai Loc'!AD$254)</f>
        <v>0</v>
      </c>
      <c r="AE319" s="201">
        <f>SUMIFS([1]!Data_Loan[Value],[1]!Data_Loan[Index Loan],'Dai Loc'!$B319,[1]!Data_Loan[TenCongTyID],'Dai Loc'!$B$1,[1]!Data_Loan[Thang.Nam],'Dai Loc'!AE$254)</f>
        <v>0</v>
      </c>
      <c r="AF319" s="201">
        <f>SUMIFS([1]!Data_Loan[Value],[1]!Data_Loan[Index Loan],'Dai Loc'!$B319,[1]!Data_Loan[TenCongTyID],'Dai Loc'!$B$1,[1]!Data_Loan[Thang.Nam],'Dai Loc'!AF$254)</f>
        <v>0</v>
      </c>
      <c r="AG319" s="201">
        <f>SUMIFS([1]!Data_Loan[Value],[1]!Data_Loan[Index Loan],'Dai Loc'!$B319,[1]!Data_Loan[TenCongTyID],'Dai Loc'!$B$1,[1]!Data_Loan[Thang.Nam],'Dai Loc'!AG$254)</f>
        <v>0</v>
      </c>
      <c r="AH319" s="201">
        <f>SUMIFS([1]!Data_Loan[Value],[1]!Data_Loan[Index Loan],'Dai Loc'!$B319,[1]!Data_Loan[TenCongTyID],'Dai Loc'!$B$1,[1]!Data_Loan[Thang.Nam],'Dai Loc'!AH$254)</f>
        <v>0</v>
      </c>
      <c r="AI319" s="201">
        <f>SUMIFS([1]!Data_Loan[Value],[1]!Data_Loan[Index Loan],'Dai Loc'!$B319,[1]!Data_Loan[TenCongTyID],'Dai Loc'!$B$1,[1]!Data_Loan[Thang.Nam],'Dai Loc'!AI$254)</f>
        <v>0</v>
      </c>
      <c r="AJ319" s="201">
        <f>SUMIFS([1]!Data_Loan[Value],[1]!Data_Loan[Index Loan],'Dai Loc'!$B319,[1]!Data_Loan[TenCongTyID],'Dai Loc'!$B$1,[1]!Data_Loan[Thang.Nam],'Dai Loc'!AJ$254)</f>
        <v>0</v>
      </c>
      <c r="AK319" s="201">
        <f>SUMIFS([1]!Data_Loan[Value],[1]!Data_Loan[Index Loan],'Dai Loc'!$B319,[1]!Data_Loan[TenCongTyID],'Dai Loc'!$B$1,[1]!Data_Loan[Thang.Nam],'Dai Loc'!AK$254)</f>
        <v>0</v>
      </c>
      <c r="AL319" s="201">
        <f>SUMIFS([1]!Data_Loan[Value],[1]!Data_Loan[Index Loan],'Dai Loc'!$B319,[1]!Data_Loan[TenCongTyID],'Dai Loc'!$B$1,[1]!Data_Loan[Thang.Nam],'Dai Loc'!AL$254)</f>
        <v>0</v>
      </c>
    </row>
    <row r="320" spans="1:38" ht="15" customHeight="1">
      <c r="A320" s="200" t="str">
        <f t="shared" si="52"/>
        <v>VietinBank</v>
      </c>
      <c r="B320" s="335">
        <v>66</v>
      </c>
      <c r="Z320" s="49">
        <v>0</v>
      </c>
      <c r="AA320" s="201">
        <f>SUMIFS([1]!Data_Loan[Value],[1]!Data_Loan[Index Loan],'Dai Loc'!$B320,[1]!Data_Loan[TenCongTyID],'Dai Loc'!$B$1,[1]!Data_Loan[Thang.Nam],'Dai Loc'!AA$254)</f>
        <v>0</v>
      </c>
      <c r="AB320" s="201">
        <f>SUMIFS([1]!Data_Loan[Value],[1]!Data_Loan[Index Loan],'Dai Loc'!$B320,[1]!Data_Loan[TenCongTyID],'Dai Loc'!$B$1,[1]!Data_Loan[Thang.Nam],'Dai Loc'!AB$254)</f>
        <v>0</v>
      </c>
      <c r="AC320" s="201">
        <f>SUMIFS([1]!Data_Loan[Value],[1]!Data_Loan[Index Loan],'Dai Loc'!$B320,[1]!Data_Loan[TenCongTyID],'Dai Loc'!$B$1,[1]!Data_Loan[Thang.Nam],'Dai Loc'!AC$254)</f>
        <v>0</v>
      </c>
      <c r="AD320" s="201">
        <f>SUMIFS([1]!Data_Loan[Value],[1]!Data_Loan[Index Loan],'Dai Loc'!$B320,[1]!Data_Loan[TenCongTyID],'Dai Loc'!$B$1,[1]!Data_Loan[Thang.Nam],'Dai Loc'!AD$254)</f>
        <v>0</v>
      </c>
      <c r="AE320" s="201">
        <f>SUMIFS([1]!Data_Loan[Value],[1]!Data_Loan[Index Loan],'Dai Loc'!$B320,[1]!Data_Loan[TenCongTyID],'Dai Loc'!$B$1,[1]!Data_Loan[Thang.Nam],'Dai Loc'!AE$254)</f>
        <v>0</v>
      </c>
      <c r="AF320" s="201">
        <f>SUMIFS([1]!Data_Loan[Value],[1]!Data_Loan[Index Loan],'Dai Loc'!$B320,[1]!Data_Loan[TenCongTyID],'Dai Loc'!$B$1,[1]!Data_Loan[Thang.Nam],'Dai Loc'!AF$254)</f>
        <v>0</v>
      </c>
      <c r="AG320" s="201">
        <f>SUMIFS([1]!Data_Loan[Value],[1]!Data_Loan[Index Loan],'Dai Loc'!$B320,[1]!Data_Loan[TenCongTyID],'Dai Loc'!$B$1,[1]!Data_Loan[Thang.Nam],'Dai Loc'!AG$254)</f>
        <v>0</v>
      </c>
      <c r="AH320" s="201">
        <f>SUMIFS([1]!Data_Loan[Value],[1]!Data_Loan[Index Loan],'Dai Loc'!$B320,[1]!Data_Loan[TenCongTyID],'Dai Loc'!$B$1,[1]!Data_Loan[Thang.Nam],'Dai Loc'!AH$254)</f>
        <v>0</v>
      </c>
      <c r="AI320" s="201">
        <f>SUMIFS([1]!Data_Loan[Value],[1]!Data_Loan[Index Loan],'Dai Loc'!$B320,[1]!Data_Loan[TenCongTyID],'Dai Loc'!$B$1,[1]!Data_Loan[Thang.Nam],'Dai Loc'!AI$254)</f>
        <v>0</v>
      </c>
      <c r="AJ320" s="201">
        <f>SUMIFS([1]!Data_Loan[Value],[1]!Data_Loan[Index Loan],'Dai Loc'!$B320,[1]!Data_Loan[TenCongTyID],'Dai Loc'!$B$1,[1]!Data_Loan[Thang.Nam],'Dai Loc'!AJ$254)</f>
        <v>0</v>
      </c>
      <c r="AK320" s="201">
        <f>SUMIFS([1]!Data_Loan[Value],[1]!Data_Loan[Index Loan],'Dai Loc'!$B320,[1]!Data_Loan[TenCongTyID],'Dai Loc'!$B$1,[1]!Data_Loan[Thang.Nam],'Dai Loc'!AK$254)</f>
        <v>0</v>
      </c>
      <c r="AL320" s="201">
        <f>SUMIFS([1]!Data_Loan[Value],[1]!Data_Loan[Index Loan],'Dai Loc'!$B320,[1]!Data_Loan[TenCongTyID],'Dai Loc'!$B$1,[1]!Data_Loan[Thang.Nam],'Dai Loc'!AL$254)</f>
        <v>0</v>
      </c>
    </row>
    <row r="321" spans="1:38" ht="15" customHeight="1">
      <c r="A321" s="200" t="str">
        <f t="shared" si="52"/>
        <v>Vietcombank</v>
      </c>
      <c r="B321" s="335">
        <v>67</v>
      </c>
      <c r="Z321" s="49">
        <v>0</v>
      </c>
      <c r="AA321" s="201">
        <f>SUMIFS([1]!Data_Loan[Value],[1]!Data_Loan[Index Loan],'Dai Loc'!$B321,[1]!Data_Loan[TenCongTyID],'Dai Loc'!$B$1,[1]!Data_Loan[Thang.Nam],'Dai Loc'!AA$254)</f>
        <v>0</v>
      </c>
      <c r="AB321" s="201">
        <f>SUMIFS([1]!Data_Loan[Value],[1]!Data_Loan[Index Loan],'Dai Loc'!$B321,[1]!Data_Loan[TenCongTyID],'Dai Loc'!$B$1,[1]!Data_Loan[Thang.Nam],'Dai Loc'!AB$254)</f>
        <v>0</v>
      </c>
      <c r="AC321" s="201">
        <f>SUMIFS([1]!Data_Loan[Value],[1]!Data_Loan[Index Loan],'Dai Loc'!$B321,[1]!Data_Loan[TenCongTyID],'Dai Loc'!$B$1,[1]!Data_Loan[Thang.Nam],'Dai Loc'!AC$254)</f>
        <v>0</v>
      </c>
      <c r="AD321" s="201">
        <f>SUMIFS([1]!Data_Loan[Value],[1]!Data_Loan[Index Loan],'Dai Loc'!$B321,[1]!Data_Loan[TenCongTyID],'Dai Loc'!$B$1,[1]!Data_Loan[Thang.Nam],'Dai Loc'!AD$254)</f>
        <v>0</v>
      </c>
      <c r="AE321" s="201">
        <f>SUMIFS([1]!Data_Loan[Value],[1]!Data_Loan[Index Loan],'Dai Loc'!$B321,[1]!Data_Loan[TenCongTyID],'Dai Loc'!$B$1,[1]!Data_Loan[Thang.Nam],'Dai Loc'!AE$254)</f>
        <v>0</v>
      </c>
      <c r="AF321" s="201">
        <f>SUMIFS([1]!Data_Loan[Value],[1]!Data_Loan[Index Loan],'Dai Loc'!$B321,[1]!Data_Loan[TenCongTyID],'Dai Loc'!$B$1,[1]!Data_Loan[Thang.Nam],'Dai Loc'!AF$254)</f>
        <v>0</v>
      </c>
      <c r="AG321" s="201">
        <f>SUMIFS([1]!Data_Loan[Value],[1]!Data_Loan[Index Loan],'Dai Loc'!$B321,[1]!Data_Loan[TenCongTyID],'Dai Loc'!$B$1,[1]!Data_Loan[Thang.Nam],'Dai Loc'!AG$254)</f>
        <v>0</v>
      </c>
      <c r="AH321" s="201">
        <f>SUMIFS([1]!Data_Loan[Value],[1]!Data_Loan[Index Loan],'Dai Loc'!$B321,[1]!Data_Loan[TenCongTyID],'Dai Loc'!$B$1,[1]!Data_Loan[Thang.Nam],'Dai Loc'!AH$254)</f>
        <v>0</v>
      </c>
      <c r="AI321" s="201">
        <f>SUMIFS([1]!Data_Loan[Value],[1]!Data_Loan[Index Loan],'Dai Loc'!$B321,[1]!Data_Loan[TenCongTyID],'Dai Loc'!$B$1,[1]!Data_Loan[Thang.Nam],'Dai Loc'!AI$254)</f>
        <v>0</v>
      </c>
      <c r="AJ321" s="201">
        <f>SUMIFS([1]!Data_Loan[Value],[1]!Data_Loan[Index Loan],'Dai Loc'!$B321,[1]!Data_Loan[TenCongTyID],'Dai Loc'!$B$1,[1]!Data_Loan[Thang.Nam],'Dai Loc'!AJ$254)</f>
        <v>0</v>
      </c>
      <c r="AK321" s="201">
        <f>SUMIFS([1]!Data_Loan[Value],[1]!Data_Loan[Index Loan],'Dai Loc'!$B321,[1]!Data_Loan[TenCongTyID],'Dai Loc'!$B$1,[1]!Data_Loan[Thang.Nam],'Dai Loc'!AK$254)</f>
        <v>0</v>
      </c>
      <c r="AL321" s="201">
        <f>SUMIFS([1]!Data_Loan[Value],[1]!Data_Loan[Index Loan],'Dai Loc'!$B321,[1]!Data_Loan[TenCongTyID],'Dai Loc'!$B$1,[1]!Data_Loan[Thang.Nam],'Dai Loc'!AL$254)</f>
        <v>0</v>
      </c>
    </row>
    <row r="322" spans="1:38" ht="15" customHeight="1">
      <c r="A322" s="200" t="str">
        <f t="shared" si="52"/>
        <v>BIDV</v>
      </c>
      <c r="B322" s="335">
        <v>68</v>
      </c>
      <c r="Z322" s="49">
        <v>0</v>
      </c>
      <c r="AA322" s="201">
        <f>SUMIFS([1]!Data_Loan[Value],[1]!Data_Loan[Index Loan],'Dai Loc'!$B322,[1]!Data_Loan[TenCongTyID],'Dai Loc'!$B$1,[1]!Data_Loan[Thang.Nam],'Dai Loc'!AA$254)</f>
        <v>0</v>
      </c>
      <c r="AB322" s="201">
        <f>SUMIFS([1]!Data_Loan[Value],[1]!Data_Loan[Index Loan],'Dai Loc'!$B322,[1]!Data_Loan[TenCongTyID],'Dai Loc'!$B$1,[1]!Data_Loan[Thang.Nam],'Dai Loc'!AB$254)</f>
        <v>0</v>
      </c>
      <c r="AC322" s="201">
        <f>SUMIFS([1]!Data_Loan[Value],[1]!Data_Loan[Index Loan],'Dai Loc'!$B322,[1]!Data_Loan[TenCongTyID],'Dai Loc'!$B$1,[1]!Data_Loan[Thang.Nam],'Dai Loc'!AC$254)</f>
        <v>0</v>
      </c>
      <c r="AD322" s="201">
        <f>SUMIFS([1]!Data_Loan[Value],[1]!Data_Loan[Index Loan],'Dai Loc'!$B322,[1]!Data_Loan[TenCongTyID],'Dai Loc'!$B$1,[1]!Data_Loan[Thang.Nam],'Dai Loc'!AD$254)</f>
        <v>0</v>
      </c>
      <c r="AE322" s="201">
        <f>SUMIFS([1]!Data_Loan[Value],[1]!Data_Loan[Index Loan],'Dai Loc'!$B322,[1]!Data_Loan[TenCongTyID],'Dai Loc'!$B$1,[1]!Data_Loan[Thang.Nam],'Dai Loc'!AE$254)</f>
        <v>0</v>
      </c>
      <c r="AF322" s="201">
        <f>SUMIFS([1]!Data_Loan[Value],[1]!Data_Loan[Index Loan],'Dai Loc'!$B322,[1]!Data_Loan[TenCongTyID],'Dai Loc'!$B$1,[1]!Data_Loan[Thang.Nam],'Dai Loc'!AF$254)</f>
        <v>0</v>
      </c>
      <c r="AG322" s="201">
        <f>SUMIFS([1]!Data_Loan[Value],[1]!Data_Loan[Index Loan],'Dai Loc'!$B322,[1]!Data_Loan[TenCongTyID],'Dai Loc'!$B$1,[1]!Data_Loan[Thang.Nam],'Dai Loc'!AG$254)</f>
        <v>0</v>
      </c>
      <c r="AH322" s="201">
        <f>SUMIFS([1]!Data_Loan[Value],[1]!Data_Loan[Index Loan],'Dai Loc'!$B322,[1]!Data_Loan[TenCongTyID],'Dai Loc'!$B$1,[1]!Data_Loan[Thang.Nam],'Dai Loc'!AH$254)</f>
        <v>0</v>
      </c>
      <c r="AI322" s="201">
        <f>SUMIFS([1]!Data_Loan[Value],[1]!Data_Loan[Index Loan],'Dai Loc'!$B322,[1]!Data_Loan[TenCongTyID],'Dai Loc'!$B$1,[1]!Data_Loan[Thang.Nam],'Dai Loc'!AI$254)</f>
        <v>0</v>
      </c>
      <c r="AJ322" s="201">
        <f>SUMIFS([1]!Data_Loan[Value],[1]!Data_Loan[Index Loan],'Dai Loc'!$B322,[1]!Data_Loan[TenCongTyID],'Dai Loc'!$B$1,[1]!Data_Loan[Thang.Nam],'Dai Loc'!AJ$254)</f>
        <v>0</v>
      </c>
      <c r="AK322" s="201">
        <f>SUMIFS([1]!Data_Loan[Value],[1]!Data_Loan[Index Loan],'Dai Loc'!$B322,[1]!Data_Loan[TenCongTyID],'Dai Loc'!$B$1,[1]!Data_Loan[Thang.Nam],'Dai Loc'!AK$254)</f>
        <v>0</v>
      </c>
      <c r="AL322" s="201">
        <f>SUMIFS([1]!Data_Loan[Value],[1]!Data_Loan[Index Loan],'Dai Loc'!$B322,[1]!Data_Loan[TenCongTyID],'Dai Loc'!$B$1,[1]!Data_Loan[Thang.Nam],'Dai Loc'!AL$254)</f>
        <v>0</v>
      </c>
    </row>
    <row r="323" spans="1:38" ht="15" customHeight="1">
      <c r="A323" s="200" t="str">
        <f t="shared" si="52"/>
        <v>Standard Chartered</v>
      </c>
      <c r="B323" s="335">
        <v>69</v>
      </c>
      <c r="Z323" s="49">
        <v>0</v>
      </c>
      <c r="AA323" s="201">
        <f>SUMIFS([1]!Data_Loan[Value],[1]!Data_Loan[Index Loan],'Dai Loc'!$B323,[1]!Data_Loan[TenCongTyID],'Dai Loc'!$B$1,[1]!Data_Loan[Thang.Nam],'Dai Loc'!AA$254)</f>
        <v>0</v>
      </c>
      <c r="AB323" s="201">
        <f>SUMIFS([1]!Data_Loan[Value],[1]!Data_Loan[Index Loan],'Dai Loc'!$B323,[1]!Data_Loan[TenCongTyID],'Dai Loc'!$B$1,[1]!Data_Loan[Thang.Nam],'Dai Loc'!AB$254)</f>
        <v>0</v>
      </c>
      <c r="AC323" s="201">
        <f>SUMIFS([1]!Data_Loan[Value],[1]!Data_Loan[Index Loan],'Dai Loc'!$B323,[1]!Data_Loan[TenCongTyID],'Dai Loc'!$B$1,[1]!Data_Loan[Thang.Nam],'Dai Loc'!AC$254)</f>
        <v>0</v>
      </c>
      <c r="AD323" s="201">
        <f>SUMIFS([1]!Data_Loan[Value],[1]!Data_Loan[Index Loan],'Dai Loc'!$B323,[1]!Data_Loan[TenCongTyID],'Dai Loc'!$B$1,[1]!Data_Loan[Thang.Nam],'Dai Loc'!AD$254)</f>
        <v>0</v>
      </c>
      <c r="AE323" s="201">
        <f>SUMIFS([1]!Data_Loan[Value],[1]!Data_Loan[Index Loan],'Dai Loc'!$B323,[1]!Data_Loan[TenCongTyID],'Dai Loc'!$B$1,[1]!Data_Loan[Thang.Nam],'Dai Loc'!AE$254)</f>
        <v>0</v>
      </c>
      <c r="AF323" s="201">
        <f>SUMIFS([1]!Data_Loan[Value],[1]!Data_Loan[Index Loan],'Dai Loc'!$B323,[1]!Data_Loan[TenCongTyID],'Dai Loc'!$B$1,[1]!Data_Loan[Thang.Nam],'Dai Loc'!AF$254)</f>
        <v>0</v>
      </c>
      <c r="AG323" s="201">
        <f>SUMIFS([1]!Data_Loan[Value],[1]!Data_Loan[Index Loan],'Dai Loc'!$B323,[1]!Data_Loan[TenCongTyID],'Dai Loc'!$B$1,[1]!Data_Loan[Thang.Nam],'Dai Loc'!AG$254)</f>
        <v>0</v>
      </c>
      <c r="AH323" s="201">
        <f>SUMIFS([1]!Data_Loan[Value],[1]!Data_Loan[Index Loan],'Dai Loc'!$B323,[1]!Data_Loan[TenCongTyID],'Dai Loc'!$B$1,[1]!Data_Loan[Thang.Nam],'Dai Loc'!AH$254)</f>
        <v>0</v>
      </c>
      <c r="AI323" s="201">
        <f>SUMIFS([1]!Data_Loan[Value],[1]!Data_Loan[Index Loan],'Dai Loc'!$B323,[1]!Data_Loan[TenCongTyID],'Dai Loc'!$B$1,[1]!Data_Loan[Thang.Nam],'Dai Loc'!AI$254)</f>
        <v>0</v>
      </c>
      <c r="AJ323" s="201">
        <f>SUMIFS([1]!Data_Loan[Value],[1]!Data_Loan[Index Loan],'Dai Loc'!$B323,[1]!Data_Loan[TenCongTyID],'Dai Loc'!$B$1,[1]!Data_Loan[Thang.Nam],'Dai Loc'!AJ$254)</f>
        <v>0</v>
      </c>
      <c r="AK323" s="201">
        <f>SUMIFS([1]!Data_Loan[Value],[1]!Data_Loan[Index Loan],'Dai Loc'!$B323,[1]!Data_Loan[TenCongTyID],'Dai Loc'!$B$1,[1]!Data_Loan[Thang.Nam],'Dai Loc'!AK$254)</f>
        <v>0</v>
      </c>
      <c r="AL323" s="201">
        <f>SUMIFS([1]!Data_Loan[Value],[1]!Data_Loan[Index Loan],'Dai Loc'!$B323,[1]!Data_Loan[TenCongTyID],'Dai Loc'!$B$1,[1]!Data_Loan[Thang.Nam],'Dai Loc'!AL$254)</f>
        <v>0</v>
      </c>
    </row>
    <row r="324" spans="1:38" ht="15" customHeight="1">
      <c r="A324" s="200" t="str">
        <f t="shared" si="52"/>
        <v>VILC</v>
      </c>
      <c r="B324" s="335">
        <v>70</v>
      </c>
      <c r="Z324" s="49">
        <v>0</v>
      </c>
      <c r="AA324" s="201">
        <f>SUMIFS([1]!Data_Loan[Value],[1]!Data_Loan[Index Loan],'Dai Loc'!$B324,[1]!Data_Loan[TenCongTyID],'Dai Loc'!$B$1,[1]!Data_Loan[Thang.Nam],'Dai Loc'!AA$254)</f>
        <v>0</v>
      </c>
      <c r="AB324" s="201">
        <f>SUMIFS([1]!Data_Loan[Value],[1]!Data_Loan[Index Loan],'Dai Loc'!$B324,[1]!Data_Loan[TenCongTyID],'Dai Loc'!$B$1,[1]!Data_Loan[Thang.Nam],'Dai Loc'!AB$254)</f>
        <v>0</v>
      </c>
      <c r="AC324" s="201">
        <f>SUMIFS([1]!Data_Loan[Value],[1]!Data_Loan[Index Loan],'Dai Loc'!$B324,[1]!Data_Loan[TenCongTyID],'Dai Loc'!$B$1,[1]!Data_Loan[Thang.Nam],'Dai Loc'!AC$254)</f>
        <v>0</v>
      </c>
      <c r="AD324" s="201">
        <f>SUMIFS([1]!Data_Loan[Value],[1]!Data_Loan[Index Loan],'Dai Loc'!$B324,[1]!Data_Loan[TenCongTyID],'Dai Loc'!$B$1,[1]!Data_Loan[Thang.Nam],'Dai Loc'!AD$254)</f>
        <v>0</v>
      </c>
      <c r="AE324" s="201">
        <f>SUMIFS([1]!Data_Loan[Value],[1]!Data_Loan[Index Loan],'Dai Loc'!$B324,[1]!Data_Loan[TenCongTyID],'Dai Loc'!$B$1,[1]!Data_Loan[Thang.Nam],'Dai Loc'!AE$254)</f>
        <v>0</v>
      </c>
      <c r="AF324" s="201">
        <f>SUMIFS([1]!Data_Loan[Value],[1]!Data_Loan[Index Loan],'Dai Loc'!$B324,[1]!Data_Loan[TenCongTyID],'Dai Loc'!$B$1,[1]!Data_Loan[Thang.Nam],'Dai Loc'!AF$254)</f>
        <v>0</v>
      </c>
      <c r="AG324" s="201">
        <f>SUMIFS([1]!Data_Loan[Value],[1]!Data_Loan[Index Loan],'Dai Loc'!$B324,[1]!Data_Loan[TenCongTyID],'Dai Loc'!$B$1,[1]!Data_Loan[Thang.Nam],'Dai Loc'!AG$254)</f>
        <v>0</v>
      </c>
      <c r="AH324" s="201">
        <f>SUMIFS([1]!Data_Loan[Value],[1]!Data_Loan[Index Loan],'Dai Loc'!$B324,[1]!Data_Loan[TenCongTyID],'Dai Loc'!$B$1,[1]!Data_Loan[Thang.Nam],'Dai Loc'!AH$254)</f>
        <v>0</v>
      </c>
      <c r="AI324" s="201">
        <f>SUMIFS([1]!Data_Loan[Value],[1]!Data_Loan[Index Loan],'Dai Loc'!$B324,[1]!Data_Loan[TenCongTyID],'Dai Loc'!$B$1,[1]!Data_Loan[Thang.Nam],'Dai Loc'!AI$254)</f>
        <v>0</v>
      </c>
      <c r="AJ324" s="201">
        <f>SUMIFS([1]!Data_Loan[Value],[1]!Data_Loan[Index Loan],'Dai Loc'!$B324,[1]!Data_Loan[TenCongTyID],'Dai Loc'!$B$1,[1]!Data_Loan[Thang.Nam],'Dai Loc'!AJ$254)</f>
        <v>0</v>
      </c>
      <c r="AK324" s="201">
        <f>SUMIFS([1]!Data_Loan[Value],[1]!Data_Loan[Index Loan],'Dai Loc'!$B324,[1]!Data_Loan[TenCongTyID],'Dai Loc'!$B$1,[1]!Data_Loan[Thang.Nam],'Dai Loc'!AK$254)</f>
        <v>0</v>
      </c>
      <c r="AL324" s="201">
        <f>SUMIFS([1]!Data_Loan[Value],[1]!Data_Loan[Index Loan],'Dai Loc'!$B324,[1]!Data_Loan[TenCongTyID],'Dai Loc'!$B$1,[1]!Data_Loan[Thang.Nam],'Dai Loc'!AL$254)</f>
        <v>0</v>
      </c>
    </row>
    <row r="325" spans="1:38" ht="15" customHeight="1">
      <c r="A325" s="200" t="s">
        <v>347</v>
      </c>
      <c r="B325" s="335">
        <v>71</v>
      </c>
      <c r="Z325" s="49">
        <v>0</v>
      </c>
      <c r="AA325" s="201">
        <f>SUMIFS([1]!Data_Loan[Value],[1]!Data_Loan[Index Loan],'Dai Loc'!$B325,[1]!Data_Loan[TenCongTyID],'Dai Loc'!$B$1,[1]!Data_Loan[Thang.Nam],'Dai Loc'!AA$254)</f>
        <v>0</v>
      </c>
      <c r="AB325" s="201">
        <f>SUMIFS([1]!Data_Loan[Value],[1]!Data_Loan[Index Loan],'Dai Loc'!$B325,[1]!Data_Loan[TenCongTyID],'Dai Loc'!$B$1,[1]!Data_Loan[Thang.Nam],'Dai Loc'!AB$254)</f>
        <v>0</v>
      </c>
      <c r="AC325" s="201">
        <f>SUMIFS([1]!Data_Loan[Value],[1]!Data_Loan[Index Loan],'Dai Loc'!$B325,[1]!Data_Loan[TenCongTyID],'Dai Loc'!$B$1,[1]!Data_Loan[Thang.Nam],'Dai Loc'!AC$254)</f>
        <v>0</v>
      </c>
      <c r="AD325" s="201">
        <f>SUMIFS([1]!Data_Loan[Value],[1]!Data_Loan[Index Loan],'Dai Loc'!$B325,[1]!Data_Loan[TenCongTyID],'Dai Loc'!$B$1,[1]!Data_Loan[Thang.Nam],'Dai Loc'!AD$254)</f>
        <v>0</v>
      </c>
      <c r="AE325" s="201">
        <f>SUMIFS([1]!Data_Loan[Value],[1]!Data_Loan[Index Loan],'Dai Loc'!$B325,[1]!Data_Loan[TenCongTyID],'Dai Loc'!$B$1,[1]!Data_Loan[Thang.Nam],'Dai Loc'!AE$254)</f>
        <v>0</v>
      </c>
      <c r="AF325" s="201">
        <f>SUMIFS([1]!Data_Loan[Value],[1]!Data_Loan[Index Loan],'Dai Loc'!$B325,[1]!Data_Loan[TenCongTyID],'Dai Loc'!$B$1,[1]!Data_Loan[Thang.Nam],'Dai Loc'!AF$254)</f>
        <v>0</v>
      </c>
      <c r="AG325" s="201">
        <f>SUMIFS([1]!Data_Loan[Value],[1]!Data_Loan[Index Loan],'Dai Loc'!$B325,[1]!Data_Loan[TenCongTyID],'Dai Loc'!$B$1,[1]!Data_Loan[Thang.Nam],'Dai Loc'!AG$254)</f>
        <v>0</v>
      </c>
      <c r="AH325" s="201">
        <f>SUMIFS([1]!Data_Loan[Value],[1]!Data_Loan[Index Loan],'Dai Loc'!$B325,[1]!Data_Loan[TenCongTyID],'Dai Loc'!$B$1,[1]!Data_Loan[Thang.Nam],'Dai Loc'!AH$254)</f>
        <v>0</v>
      </c>
      <c r="AI325" s="201">
        <f>SUMIFS([1]!Data_Loan[Value],[1]!Data_Loan[Index Loan],'Dai Loc'!$B325,[1]!Data_Loan[TenCongTyID],'Dai Loc'!$B$1,[1]!Data_Loan[Thang.Nam],'Dai Loc'!AI$254)</f>
        <v>0</v>
      </c>
      <c r="AJ325" s="201">
        <f>SUMIFS([1]!Data_Loan[Value],[1]!Data_Loan[Index Loan],'Dai Loc'!$B325,[1]!Data_Loan[TenCongTyID],'Dai Loc'!$B$1,[1]!Data_Loan[Thang.Nam],'Dai Loc'!AJ$254)</f>
        <v>0</v>
      </c>
      <c r="AK325" s="201">
        <f>SUMIFS([1]!Data_Loan[Value],[1]!Data_Loan[Index Loan],'Dai Loc'!$B325,[1]!Data_Loan[TenCongTyID],'Dai Loc'!$B$1,[1]!Data_Loan[Thang.Nam],'Dai Loc'!AK$254)</f>
        <v>0</v>
      </c>
      <c r="AL325" s="201">
        <f>SUMIFS([1]!Data_Loan[Value],[1]!Data_Loan[Index Loan],'Dai Loc'!$B325,[1]!Data_Loan[TenCongTyID],'Dai Loc'!$B$1,[1]!Data_Loan[Thang.Nam],'Dai Loc'!AL$254)</f>
        <v>0</v>
      </c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A6F8-8C6E-41DC-AED3-EB1F3FCD7603}">
  <sheetPr>
    <tabColor rgb="FF00B050"/>
    <outlinePr summaryBelow="0" summaryRight="0"/>
  </sheetPr>
  <dimension ref="A1:AZ325"/>
  <sheetViews>
    <sheetView showGridLines="0" showZeros="0" zoomScale="80" zoomScaleNormal="80" workbookViewId="0">
      <pane xSplit="1" ySplit="5" topLeftCell="Q132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M138" sqref="AM138"/>
    </sheetView>
  </sheetViews>
  <sheetFormatPr defaultColWidth="9.26953125" defaultRowHeight="15" customHeight="1" outlineLevelRow="1" outlineLevelCol="1"/>
  <cols>
    <col min="1" max="1" width="46.26953125" style="49" customWidth="1"/>
    <col min="2" max="2" width="8.1796875" style="174" hidden="1" customWidth="1" collapsed="1"/>
    <col min="3" max="26" width="18.26953125" style="49" hidden="1" customWidth="1" outlineLevel="1"/>
    <col min="27" max="27" width="16.54296875" style="49" bestFit="1" customWidth="1"/>
    <col min="28" max="28" width="16.1796875" style="49" bestFit="1" customWidth="1"/>
    <col min="29" max="31" width="16.54296875" style="49" bestFit="1" customWidth="1"/>
    <col min="32" max="34" width="16.81640625" style="49" bestFit="1" customWidth="1"/>
    <col min="35" max="35" width="17.453125" style="49" bestFit="1" customWidth="1"/>
    <col min="36" max="36" width="16.81640625" style="49" bestFit="1" customWidth="1"/>
    <col min="37" max="37" width="16.54296875" style="49" bestFit="1" customWidth="1"/>
    <col min="38" max="38" width="16.81640625" style="49" bestFit="1" customWidth="1"/>
    <col min="39" max="39" width="17.81640625" style="43" bestFit="1" customWidth="1"/>
    <col min="40" max="40" width="13.54296875" style="43" bestFit="1" customWidth="1"/>
    <col min="41" max="43" width="9.26953125" style="43"/>
    <col min="44" max="44" width="7.81640625" style="43" customWidth="1"/>
    <col min="45" max="16384" width="9.26953125" style="43"/>
  </cols>
  <sheetData>
    <row r="1" spans="1:38" ht="19.5" customHeight="1">
      <c r="A1" s="47" t="s">
        <v>375</v>
      </c>
      <c r="B1" s="40">
        <v>8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ht="19.5" hidden="1" customHeight="1">
      <c r="A2" s="44" t="s">
        <v>63</v>
      </c>
      <c r="B2" s="45"/>
      <c r="C2" s="41"/>
      <c r="D2" s="42"/>
      <c r="E2" s="42"/>
      <c r="F2" s="42"/>
      <c r="G2" s="42"/>
      <c r="H2" s="42"/>
      <c r="I2" s="42"/>
      <c r="J2" s="42"/>
      <c r="K2" s="222"/>
      <c r="L2" s="42"/>
      <c r="M2" s="42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</row>
    <row r="3" spans="1:38" ht="19.5" hidden="1" customHeight="1">
      <c r="A3" s="47"/>
      <c r="B3" s="45"/>
      <c r="C3" s="48">
        <v>2024</v>
      </c>
      <c r="D3" s="42">
        <f>C3</f>
        <v>2024</v>
      </c>
      <c r="E3" s="42">
        <f>D3</f>
        <v>2024</v>
      </c>
      <c r="F3" s="42">
        <f t="shared" ref="F3:N3" si="0">E3</f>
        <v>2024</v>
      </c>
      <c r="G3" s="42">
        <f t="shared" si="0"/>
        <v>2024</v>
      </c>
      <c r="H3" s="42">
        <f>G3</f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2">
        <v>2025</v>
      </c>
      <c r="P3" s="42">
        <f>O3</f>
        <v>2025</v>
      </c>
      <c r="Q3" s="42">
        <f>P3</f>
        <v>2025</v>
      </c>
      <c r="R3" s="42">
        <f>Q3</f>
        <v>2025</v>
      </c>
      <c r="S3" s="42">
        <f>R3</f>
        <v>2025</v>
      </c>
      <c r="T3" s="42">
        <f>S3</f>
        <v>2025</v>
      </c>
      <c r="U3" s="42">
        <f t="shared" ref="U3:Y3" si="1">T3</f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v>2025</v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</row>
    <row r="4" spans="1:38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</row>
    <row r="5" spans="1:38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5" t="s">
        <v>78</v>
      </c>
      <c r="P5" s="55" t="s">
        <v>79</v>
      </c>
      <c r="Q5" s="55" t="s">
        <v>80</v>
      </c>
      <c r="R5" s="55" t="s">
        <v>81</v>
      </c>
      <c r="S5" s="55" t="s">
        <v>82</v>
      </c>
      <c r="T5" s="55" t="s">
        <v>83</v>
      </c>
      <c r="U5" s="55" t="s">
        <v>84</v>
      </c>
      <c r="V5" s="55" t="s">
        <v>85</v>
      </c>
      <c r="W5" s="55" t="s">
        <v>86</v>
      </c>
      <c r="X5" s="55" t="s">
        <v>87</v>
      </c>
      <c r="Y5" s="55" t="s">
        <v>88</v>
      </c>
      <c r="Z5" s="55" t="s">
        <v>89</v>
      </c>
      <c r="AA5" s="55" t="s">
        <v>8</v>
      </c>
      <c r="AB5" s="55" t="s">
        <v>9</v>
      </c>
      <c r="AC5" s="55" t="s">
        <v>10</v>
      </c>
      <c r="AD5" s="55" t="s">
        <v>11</v>
      </c>
      <c r="AE5" s="55" t="s">
        <v>12</v>
      </c>
      <c r="AF5" s="55" t="s">
        <v>13</v>
      </c>
      <c r="AG5" s="55" t="s">
        <v>14</v>
      </c>
      <c r="AH5" s="55" t="s">
        <v>15</v>
      </c>
      <c r="AI5" s="55" t="s">
        <v>16</v>
      </c>
      <c r="AJ5" s="55" t="s">
        <v>17</v>
      </c>
      <c r="AK5" s="55" t="s">
        <v>18</v>
      </c>
      <c r="AL5" s="55" t="s">
        <v>19</v>
      </c>
    </row>
    <row r="6" spans="1:38" ht="15" hidden="1" customHeight="1" outlineLevel="1">
      <c r="A6" s="56" t="s">
        <v>90</v>
      </c>
      <c r="B6" s="57">
        <v>1</v>
      </c>
      <c r="C6" s="225">
        <v>16655400779</v>
      </c>
      <c r="D6" s="225">
        <v>16751161881</v>
      </c>
      <c r="E6" s="225">
        <v>17586132451</v>
      </c>
      <c r="F6" s="225">
        <v>17633864126</v>
      </c>
      <c r="G6" s="225">
        <v>15585930850</v>
      </c>
      <c r="H6" s="225">
        <v>16387350398</v>
      </c>
      <c r="I6" s="225">
        <v>14173712873</v>
      </c>
      <c r="J6" s="225">
        <v>14449371716</v>
      </c>
      <c r="K6" s="225">
        <v>14971331225</v>
      </c>
      <c r="L6" s="225">
        <v>14580386925</v>
      </c>
      <c r="M6" s="225">
        <v>14685617205</v>
      </c>
      <c r="N6" s="225">
        <v>14580396486</v>
      </c>
      <c r="O6" s="225">
        <v>13204501927</v>
      </c>
      <c r="P6" s="225">
        <v>13786486984</v>
      </c>
      <c r="Q6" s="225">
        <v>14537779420</v>
      </c>
      <c r="R6" s="225">
        <v>14891446290</v>
      </c>
      <c r="S6" s="225">
        <v>15269133452</v>
      </c>
      <c r="T6" s="225">
        <v>16512169198</v>
      </c>
      <c r="U6" s="225">
        <v>17559193747</v>
      </c>
      <c r="V6" s="225">
        <v>18810005297</v>
      </c>
      <c r="W6" s="225">
        <f>+W7+W10+W17+W25+W32</f>
        <v>18824545028</v>
      </c>
      <c r="X6" s="225">
        <v>18730252258</v>
      </c>
      <c r="Y6" s="225">
        <v>19454271459</v>
      </c>
      <c r="Z6" s="225">
        <v>15868532274</v>
      </c>
      <c r="AA6" s="336">
        <f>SUMIFS([1]!Data_BS[Value],[1]!Data_BS[Index BS],'Dong Lam'!$B6,[1]!Data_BS[TenCongTyID],'Dong Lam'!$B$1,[1]!Data_BS[Thang.Nam],'Dong Lam'!AA$5)</f>
        <v>0</v>
      </c>
      <c r="AB6" s="336">
        <f>SUMIFS([1]!Data_BS[Value],[1]!Data_BS[Index BS],'Dong Lam'!$B6,[1]!Data_BS[TenCongTyID],'Dong Lam'!$B$1,[1]!Data_BS[Thang.Nam],'Dong Lam'!AB$5)</f>
        <v>0</v>
      </c>
      <c r="AC6" s="336">
        <f>SUMIFS([1]!Data_BS[Value],[1]!Data_BS[Index BS],'Dong Lam'!$B6,[1]!Data_BS[TenCongTyID],'Dong Lam'!$B$1,[1]!Data_BS[Thang.Nam],'Dong Lam'!AC$5)</f>
        <v>0</v>
      </c>
      <c r="AD6" s="336">
        <f>SUMIFS([1]!Data_BS[Value],[1]!Data_BS[Index BS],'Dong Lam'!$B6,[1]!Data_BS[TenCongTyID],'Dong Lam'!$B$1,[1]!Data_BS[Thang.Nam],'Dong Lam'!AD$5)</f>
        <v>0</v>
      </c>
      <c r="AE6" s="336">
        <f>SUMIFS([1]!Data_BS[Value],[1]!Data_BS[Index BS],'Dong Lam'!$B6,[1]!Data_BS[TenCongTyID],'Dong Lam'!$B$1,[1]!Data_BS[Thang.Nam],'Dong Lam'!AE$5)</f>
        <v>0</v>
      </c>
      <c r="AF6" s="336">
        <f>SUMIFS([1]!Data_BS[Value],[1]!Data_BS[Index BS],'Dong Lam'!$B6,[1]!Data_BS[TenCongTyID],'Dong Lam'!$B$1,[1]!Data_BS[Thang.Nam],'Dong Lam'!AF$5)</f>
        <v>0</v>
      </c>
      <c r="AG6" s="336">
        <f>SUMIFS([1]!Data_BS[Value],[1]!Data_BS[Index BS],'Dong Lam'!$B6,[1]!Data_BS[TenCongTyID],'Dong Lam'!$B$1,[1]!Data_BS[Thang.Nam],'Dong Lam'!AG$5)</f>
        <v>0</v>
      </c>
      <c r="AH6" s="336">
        <f>SUMIFS([1]!Data_BS[Value],[1]!Data_BS[Index BS],'Dong Lam'!$B6,[1]!Data_BS[TenCongTyID],'Dong Lam'!$B$1,[1]!Data_BS[Thang.Nam],'Dong Lam'!AH$5)</f>
        <v>0</v>
      </c>
      <c r="AI6" s="336">
        <f>SUMIFS([1]!Data_BS[Value],[1]!Data_BS[Index BS],'Dong Lam'!$B6,[1]!Data_BS[TenCongTyID],'Dong Lam'!$B$1,[1]!Data_BS[Thang.Nam],'Dong Lam'!AI$5)</f>
        <v>0</v>
      </c>
      <c r="AJ6" s="336">
        <f>SUMIFS([1]!Data_BS[Value],[1]!Data_BS[Index BS],'Dong Lam'!$B6,[1]!Data_BS[TenCongTyID],'Dong Lam'!$B$1,[1]!Data_BS[Thang.Nam],'Dong Lam'!AJ$5)</f>
        <v>0</v>
      </c>
      <c r="AK6" s="336">
        <f>SUMIFS([1]!Data_BS[Value],[1]!Data_BS[Index BS],'Dong Lam'!$B6,[1]!Data_BS[TenCongTyID],'Dong Lam'!$B$1,[1]!Data_BS[Thang.Nam],'Dong Lam'!AK$5)</f>
        <v>0</v>
      </c>
      <c r="AL6" s="336">
        <f>SUMIFS([1]!Data_BS[Value],[1]!Data_BS[Index BS],'Dong Lam'!$B6,[1]!Data_BS[TenCongTyID],'Dong Lam'!$B$1,[1]!Data_BS[Thang.Nam],'Dong Lam'!AL$5)</f>
        <v>0</v>
      </c>
    </row>
    <row r="7" spans="1:38" ht="15" hidden="1" customHeight="1" outlineLevel="1">
      <c r="A7" s="59" t="s">
        <v>91</v>
      </c>
      <c r="B7" s="60">
        <v>2</v>
      </c>
      <c r="C7" s="227">
        <v>10090383500</v>
      </c>
      <c r="D7" s="227">
        <v>9523101882</v>
      </c>
      <c r="E7" s="227">
        <v>11009714369</v>
      </c>
      <c r="F7" s="227">
        <v>11029278425</v>
      </c>
      <c r="G7" s="227">
        <v>10496124461</v>
      </c>
      <c r="H7" s="227">
        <v>11384579309</v>
      </c>
      <c r="I7" s="227">
        <v>11426602174</v>
      </c>
      <c r="J7" s="227">
        <v>11746075725</v>
      </c>
      <c r="K7" s="227">
        <v>10269138389</v>
      </c>
      <c r="L7" s="227">
        <v>10626766582</v>
      </c>
      <c r="M7" s="227">
        <v>9858519374</v>
      </c>
      <c r="N7" s="227">
        <v>11072243110</v>
      </c>
      <c r="O7" s="227">
        <v>8834035774</v>
      </c>
      <c r="P7" s="227">
        <v>7848966637</v>
      </c>
      <c r="Q7" s="227">
        <v>8280510070</v>
      </c>
      <c r="R7" s="227">
        <v>9077992753</v>
      </c>
      <c r="S7" s="227">
        <v>8207694852</v>
      </c>
      <c r="T7" s="227">
        <v>9403068379</v>
      </c>
      <c r="U7" s="227">
        <v>7536622429</v>
      </c>
      <c r="V7" s="227">
        <v>10513571407</v>
      </c>
      <c r="W7" s="227">
        <f>+SUM(W8:W9)</f>
        <v>14815035663</v>
      </c>
      <c r="X7" s="227">
        <v>14386677390</v>
      </c>
      <c r="Y7" s="227">
        <v>13730084874</v>
      </c>
      <c r="Z7" s="227">
        <v>12687250220</v>
      </c>
      <c r="AA7" s="337">
        <f>SUMIFS([1]!Data_BS[Value],[1]!Data_BS[Index BS],'Dong Lam'!$B7,[1]!Data_BS[TenCongTyID],'Dong Lam'!$B$1,[1]!Data_BS[Thang.Nam],'Dong Lam'!AA$5)</f>
        <v>0</v>
      </c>
      <c r="AB7" s="337">
        <f>SUMIFS([1]!Data_BS[Value],[1]!Data_BS[Index BS],'Dong Lam'!$B7,[1]!Data_BS[TenCongTyID],'Dong Lam'!$B$1,[1]!Data_BS[Thang.Nam],'Dong Lam'!AB$5)</f>
        <v>0</v>
      </c>
      <c r="AC7" s="337">
        <f>SUMIFS([1]!Data_BS[Value],[1]!Data_BS[Index BS],'Dong Lam'!$B7,[1]!Data_BS[TenCongTyID],'Dong Lam'!$B$1,[1]!Data_BS[Thang.Nam],'Dong Lam'!AC$5)</f>
        <v>0</v>
      </c>
      <c r="AD7" s="337">
        <f>SUMIFS([1]!Data_BS[Value],[1]!Data_BS[Index BS],'Dong Lam'!$B7,[1]!Data_BS[TenCongTyID],'Dong Lam'!$B$1,[1]!Data_BS[Thang.Nam],'Dong Lam'!AD$5)</f>
        <v>0</v>
      </c>
      <c r="AE7" s="337">
        <f>SUMIFS([1]!Data_BS[Value],[1]!Data_BS[Index BS],'Dong Lam'!$B7,[1]!Data_BS[TenCongTyID],'Dong Lam'!$B$1,[1]!Data_BS[Thang.Nam],'Dong Lam'!AE$5)</f>
        <v>0</v>
      </c>
      <c r="AF7" s="337">
        <f>SUMIFS([1]!Data_BS[Value],[1]!Data_BS[Index BS],'Dong Lam'!$B7,[1]!Data_BS[TenCongTyID],'Dong Lam'!$B$1,[1]!Data_BS[Thang.Nam],'Dong Lam'!AF$5)</f>
        <v>0</v>
      </c>
      <c r="AG7" s="337">
        <f>SUMIFS([1]!Data_BS[Value],[1]!Data_BS[Index BS],'Dong Lam'!$B7,[1]!Data_BS[TenCongTyID],'Dong Lam'!$B$1,[1]!Data_BS[Thang.Nam],'Dong Lam'!AG$5)</f>
        <v>0</v>
      </c>
      <c r="AH7" s="337">
        <f>SUMIFS([1]!Data_BS[Value],[1]!Data_BS[Index BS],'Dong Lam'!$B7,[1]!Data_BS[TenCongTyID],'Dong Lam'!$B$1,[1]!Data_BS[Thang.Nam],'Dong Lam'!AH$5)</f>
        <v>0</v>
      </c>
      <c r="AI7" s="337">
        <f>SUMIFS([1]!Data_BS[Value],[1]!Data_BS[Index BS],'Dong Lam'!$B7,[1]!Data_BS[TenCongTyID],'Dong Lam'!$B$1,[1]!Data_BS[Thang.Nam],'Dong Lam'!AI$5)</f>
        <v>0</v>
      </c>
      <c r="AJ7" s="337">
        <f>SUMIFS([1]!Data_BS[Value],[1]!Data_BS[Index BS],'Dong Lam'!$B7,[1]!Data_BS[TenCongTyID],'Dong Lam'!$B$1,[1]!Data_BS[Thang.Nam],'Dong Lam'!AJ$5)</f>
        <v>0</v>
      </c>
      <c r="AK7" s="337">
        <f>SUMIFS([1]!Data_BS[Value],[1]!Data_BS[Index BS],'Dong Lam'!$B7,[1]!Data_BS[TenCongTyID],'Dong Lam'!$B$1,[1]!Data_BS[Thang.Nam],'Dong Lam'!AK$5)</f>
        <v>0</v>
      </c>
      <c r="AL7" s="337">
        <f>SUMIFS([1]!Data_BS[Value],[1]!Data_BS[Index BS],'Dong Lam'!$B7,[1]!Data_BS[TenCongTyID],'Dong Lam'!$B$1,[1]!Data_BS[Thang.Nam],'Dong Lam'!AL$5)</f>
        <v>0</v>
      </c>
    </row>
    <row r="8" spans="1:38" ht="15" hidden="1" customHeight="1" outlineLevel="1">
      <c r="A8" s="62" t="s">
        <v>92</v>
      </c>
      <c r="B8" s="63">
        <v>3</v>
      </c>
      <c r="C8" s="229">
        <v>6090383500</v>
      </c>
      <c r="D8" s="229">
        <v>5523101882</v>
      </c>
      <c r="E8" s="229">
        <v>7009714369</v>
      </c>
      <c r="F8" s="229">
        <v>3029278425</v>
      </c>
      <c r="G8" s="229">
        <v>2496124461</v>
      </c>
      <c r="H8" s="229">
        <v>7384579309</v>
      </c>
      <c r="I8" s="229">
        <v>4426602174</v>
      </c>
      <c r="J8" s="229">
        <v>4746075725</v>
      </c>
      <c r="K8" s="229">
        <v>3269138389</v>
      </c>
      <c r="L8" s="229">
        <v>3626766582</v>
      </c>
      <c r="M8" s="229">
        <v>2858519374</v>
      </c>
      <c r="N8" s="229">
        <v>4072243110</v>
      </c>
      <c r="O8" s="229">
        <v>1834035774</v>
      </c>
      <c r="P8" s="229">
        <v>848966637</v>
      </c>
      <c r="Q8" s="229">
        <v>1280510070</v>
      </c>
      <c r="R8" s="229">
        <v>2077992753</v>
      </c>
      <c r="S8" s="229">
        <v>1207694852</v>
      </c>
      <c r="T8" s="229">
        <v>2403068379</v>
      </c>
      <c r="U8" s="229">
        <v>1536622429</v>
      </c>
      <c r="V8" s="229">
        <v>4513571407</v>
      </c>
      <c r="W8" s="229">
        <v>8815035663</v>
      </c>
      <c r="X8" s="229">
        <v>5386677390</v>
      </c>
      <c r="Y8" s="229">
        <v>4730084874</v>
      </c>
      <c r="Z8" s="229">
        <v>3687250220</v>
      </c>
      <c r="AA8" s="229">
        <f>SUMIFS([1]!Data_BS[Value],[1]!Data_BS[Index BS],'Dong Lam'!$B8,[1]!Data_BS[TenCongTyID],'Dong Lam'!$B$1,[1]!Data_BS[Thang.Nam],'Dong Lam'!AA$5)</f>
        <v>0</v>
      </c>
      <c r="AB8" s="229">
        <f>SUMIFS([1]!Data_BS[Value],[1]!Data_BS[Index BS],'Dong Lam'!$B8,[1]!Data_BS[TenCongTyID],'Dong Lam'!$B$1,[1]!Data_BS[Thang.Nam],'Dong Lam'!AB$5)</f>
        <v>0</v>
      </c>
      <c r="AC8" s="229">
        <f>SUMIFS([1]!Data_BS[Value],[1]!Data_BS[Index BS],'Dong Lam'!$B8,[1]!Data_BS[TenCongTyID],'Dong Lam'!$B$1,[1]!Data_BS[Thang.Nam],'Dong Lam'!AC$5)</f>
        <v>0</v>
      </c>
      <c r="AD8" s="229">
        <f>SUMIFS([1]!Data_BS[Value],[1]!Data_BS[Index BS],'Dong Lam'!$B8,[1]!Data_BS[TenCongTyID],'Dong Lam'!$B$1,[1]!Data_BS[Thang.Nam],'Dong Lam'!AD$5)</f>
        <v>0</v>
      </c>
      <c r="AE8" s="229">
        <f>SUMIFS([1]!Data_BS[Value],[1]!Data_BS[Index BS],'Dong Lam'!$B8,[1]!Data_BS[TenCongTyID],'Dong Lam'!$B$1,[1]!Data_BS[Thang.Nam],'Dong Lam'!AE$5)</f>
        <v>0</v>
      </c>
      <c r="AF8" s="229">
        <f>SUMIFS([1]!Data_BS[Value],[1]!Data_BS[Index BS],'Dong Lam'!$B8,[1]!Data_BS[TenCongTyID],'Dong Lam'!$B$1,[1]!Data_BS[Thang.Nam],'Dong Lam'!AF$5)</f>
        <v>0</v>
      </c>
      <c r="AG8" s="229">
        <f>SUMIFS([1]!Data_BS[Value],[1]!Data_BS[Index BS],'Dong Lam'!$B8,[1]!Data_BS[TenCongTyID],'Dong Lam'!$B$1,[1]!Data_BS[Thang.Nam],'Dong Lam'!AG$5)</f>
        <v>0</v>
      </c>
      <c r="AH8" s="229">
        <f>SUMIFS([1]!Data_BS[Value],[1]!Data_BS[Index BS],'Dong Lam'!$B8,[1]!Data_BS[TenCongTyID],'Dong Lam'!$B$1,[1]!Data_BS[Thang.Nam],'Dong Lam'!AH$5)</f>
        <v>0</v>
      </c>
      <c r="AI8" s="229">
        <f>SUMIFS([1]!Data_BS[Value],[1]!Data_BS[Index BS],'Dong Lam'!$B8,[1]!Data_BS[TenCongTyID],'Dong Lam'!$B$1,[1]!Data_BS[Thang.Nam],'Dong Lam'!AI$5)</f>
        <v>0</v>
      </c>
      <c r="AJ8" s="229">
        <f>SUMIFS([1]!Data_BS[Value],[1]!Data_BS[Index BS],'Dong Lam'!$B8,[1]!Data_BS[TenCongTyID],'Dong Lam'!$B$1,[1]!Data_BS[Thang.Nam],'Dong Lam'!AJ$5)</f>
        <v>0</v>
      </c>
      <c r="AK8" s="229">
        <f>SUMIFS([1]!Data_BS[Value],[1]!Data_BS[Index BS],'Dong Lam'!$B8,[1]!Data_BS[TenCongTyID],'Dong Lam'!$B$1,[1]!Data_BS[Thang.Nam],'Dong Lam'!AK$5)</f>
        <v>0</v>
      </c>
      <c r="AL8" s="229">
        <f>SUMIFS([1]!Data_BS[Value],[1]!Data_BS[Index BS],'Dong Lam'!$B8,[1]!Data_BS[TenCongTyID],'Dong Lam'!$B$1,[1]!Data_BS[Thang.Nam],'Dong Lam'!AL$5)</f>
        <v>0</v>
      </c>
    </row>
    <row r="9" spans="1:38" ht="15" hidden="1" customHeight="1" outlineLevel="1">
      <c r="A9" s="62" t="s">
        <v>93</v>
      </c>
      <c r="B9" s="63">
        <v>4</v>
      </c>
      <c r="C9" s="229">
        <v>4000000000</v>
      </c>
      <c r="D9" s="229">
        <v>4000000000</v>
      </c>
      <c r="E9" s="229">
        <v>4000000000</v>
      </c>
      <c r="F9" s="229">
        <v>8000000000</v>
      </c>
      <c r="G9" s="229">
        <v>8000000000</v>
      </c>
      <c r="H9" s="229">
        <v>4000000000</v>
      </c>
      <c r="I9" s="229">
        <v>7000000000</v>
      </c>
      <c r="J9" s="229">
        <v>7000000000</v>
      </c>
      <c r="K9" s="229">
        <v>7000000000</v>
      </c>
      <c r="L9" s="229">
        <v>7000000000</v>
      </c>
      <c r="M9" s="229">
        <v>7000000000</v>
      </c>
      <c r="N9" s="229">
        <v>7000000000</v>
      </c>
      <c r="O9" s="229">
        <v>7000000000</v>
      </c>
      <c r="P9" s="229">
        <v>7000000000</v>
      </c>
      <c r="Q9" s="229">
        <v>7000000000</v>
      </c>
      <c r="R9" s="229">
        <v>7000000000</v>
      </c>
      <c r="S9" s="229">
        <v>7000000000</v>
      </c>
      <c r="T9" s="229">
        <v>7000000000</v>
      </c>
      <c r="U9" s="229">
        <v>6000000000</v>
      </c>
      <c r="V9" s="229">
        <v>6000000000</v>
      </c>
      <c r="W9" s="229">
        <v>6000000000</v>
      </c>
      <c r="X9" s="229">
        <v>9000000000</v>
      </c>
      <c r="Y9" s="229">
        <v>9000000000</v>
      </c>
      <c r="Z9" s="229">
        <v>9000000000</v>
      </c>
      <c r="AA9" s="229">
        <f>SUMIFS([1]!Data_BS[Value],[1]!Data_BS[Index BS],'Dong Lam'!$B9,[1]!Data_BS[TenCongTyID],'Dong Lam'!$B$1,[1]!Data_BS[Thang.Nam],'Dong Lam'!AA$5)</f>
        <v>0</v>
      </c>
      <c r="AB9" s="229">
        <f>SUMIFS([1]!Data_BS[Value],[1]!Data_BS[Index BS],'Dong Lam'!$B9,[1]!Data_BS[TenCongTyID],'Dong Lam'!$B$1,[1]!Data_BS[Thang.Nam],'Dong Lam'!AB$5)</f>
        <v>0</v>
      </c>
      <c r="AC9" s="229">
        <f>SUMIFS([1]!Data_BS[Value],[1]!Data_BS[Index BS],'Dong Lam'!$B9,[1]!Data_BS[TenCongTyID],'Dong Lam'!$B$1,[1]!Data_BS[Thang.Nam],'Dong Lam'!AC$5)</f>
        <v>0</v>
      </c>
      <c r="AD9" s="229">
        <f>SUMIFS([1]!Data_BS[Value],[1]!Data_BS[Index BS],'Dong Lam'!$B9,[1]!Data_BS[TenCongTyID],'Dong Lam'!$B$1,[1]!Data_BS[Thang.Nam],'Dong Lam'!AD$5)</f>
        <v>0</v>
      </c>
      <c r="AE9" s="229">
        <f>SUMIFS([1]!Data_BS[Value],[1]!Data_BS[Index BS],'Dong Lam'!$B9,[1]!Data_BS[TenCongTyID],'Dong Lam'!$B$1,[1]!Data_BS[Thang.Nam],'Dong Lam'!AE$5)</f>
        <v>0</v>
      </c>
      <c r="AF9" s="229">
        <f>SUMIFS([1]!Data_BS[Value],[1]!Data_BS[Index BS],'Dong Lam'!$B9,[1]!Data_BS[TenCongTyID],'Dong Lam'!$B$1,[1]!Data_BS[Thang.Nam],'Dong Lam'!AF$5)</f>
        <v>0</v>
      </c>
      <c r="AG9" s="229">
        <f>SUMIFS([1]!Data_BS[Value],[1]!Data_BS[Index BS],'Dong Lam'!$B9,[1]!Data_BS[TenCongTyID],'Dong Lam'!$B$1,[1]!Data_BS[Thang.Nam],'Dong Lam'!AG$5)</f>
        <v>0</v>
      </c>
      <c r="AH9" s="229">
        <f>SUMIFS([1]!Data_BS[Value],[1]!Data_BS[Index BS],'Dong Lam'!$B9,[1]!Data_BS[TenCongTyID],'Dong Lam'!$B$1,[1]!Data_BS[Thang.Nam],'Dong Lam'!AH$5)</f>
        <v>0</v>
      </c>
      <c r="AI9" s="229">
        <f>SUMIFS([1]!Data_BS[Value],[1]!Data_BS[Index BS],'Dong Lam'!$B9,[1]!Data_BS[TenCongTyID],'Dong Lam'!$B$1,[1]!Data_BS[Thang.Nam],'Dong Lam'!AI$5)</f>
        <v>0</v>
      </c>
      <c r="AJ9" s="229">
        <f>SUMIFS([1]!Data_BS[Value],[1]!Data_BS[Index BS],'Dong Lam'!$B9,[1]!Data_BS[TenCongTyID],'Dong Lam'!$B$1,[1]!Data_BS[Thang.Nam],'Dong Lam'!AJ$5)</f>
        <v>0</v>
      </c>
      <c r="AK9" s="229">
        <f>SUMIFS([1]!Data_BS[Value],[1]!Data_BS[Index BS],'Dong Lam'!$B9,[1]!Data_BS[TenCongTyID],'Dong Lam'!$B$1,[1]!Data_BS[Thang.Nam],'Dong Lam'!AK$5)</f>
        <v>0</v>
      </c>
      <c r="AL9" s="229">
        <f>SUMIFS([1]!Data_BS[Value],[1]!Data_BS[Index BS],'Dong Lam'!$B9,[1]!Data_BS[TenCongTyID],'Dong Lam'!$B$1,[1]!Data_BS[Thang.Nam],'Dong Lam'!AL$5)</f>
        <v>0</v>
      </c>
    </row>
    <row r="10" spans="1:38" ht="15" hidden="1" customHeight="1" outlineLevel="1">
      <c r="A10" s="59" t="s">
        <v>94</v>
      </c>
      <c r="B10" s="65">
        <v>5</v>
      </c>
      <c r="C10" s="232">
        <v>0</v>
      </c>
      <c r="D10" s="232">
        <v>0</v>
      </c>
      <c r="E10" s="232">
        <v>0</v>
      </c>
      <c r="F10" s="232">
        <v>0</v>
      </c>
      <c r="G10" s="232">
        <v>0</v>
      </c>
      <c r="H10" s="232">
        <v>0</v>
      </c>
      <c r="I10" s="232">
        <v>0</v>
      </c>
      <c r="J10" s="232">
        <v>0</v>
      </c>
      <c r="K10" s="232">
        <v>0</v>
      </c>
      <c r="L10" s="232">
        <v>0</v>
      </c>
      <c r="M10" s="232">
        <v>0</v>
      </c>
      <c r="N10" s="232">
        <v>0</v>
      </c>
      <c r="O10" s="232">
        <v>0</v>
      </c>
      <c r="P10" s="232">
        <v>0</v>
      </c>
      <c r="Q10" s="232">
        <v>0</v>
      </c>
      <c r="R10" s="232">
        <v>0</v>
      </c>
      <c r="S10" s="232">
        <v>0</v>
      </c>
      <c r="T10" s="232">
        <v>0</v>
      </c>
      <c r="U10" s="232">
        <v>0</v>
      </c>
      <c r="V10" s="232">
        <v>0</v>
      </c>
      <c r="W10" s="232">
        <f>SUM(W11:W13)</f>
        <v>0</v>
      </c>
      <c r="X10" s="232">
        <v>0</v>
      </c>
      <c r="Y10" s="232">
        <v>0</v>
      </c>
      <c r="Z10" s="232">
        <v>0</v>
      </c>
      <c r="AA10" s="232">
        <f>SUMIFS([1]!Data_BS[Value],[1]!Data_BS[Index BS],'Dong Lam'!$B10,[1]!Data_BS[TenCongTyID],'Dong Lam'!$B$1,[1]!Data_BS[Thang.Nam],'Dong Lam'!AA$5)</f>
        <v>0</v>
      </c>
      <c r="AB10" s="232">
        <f>SUMIFS([1]!Data_BS[Value],[1]!Data_BS[Index BS],'Dong Lam'!$B10,[1]!Data_BS[TenCongTyID],'Dong Lam'!$B$1,[1]!Data_BS[Thang.Nam],'Dong Lam'!AB$5)</f>
        <v>0</v>
      </c>
      <c r="AC10" s="232">
        <f>SUMIFS([1]!Data_BS[Value],[1]!Data_BS[Index BS],'Dong Lam'!$B10,[1]!Data_BS[TenCongTyID],'Dong Lam'!$B$1,[1]!Data_BS[Thang.Nam],'Dong Lam'!AC$5)</f>
        <v>0</v>
      </c>
      <c r="AD10" s="232">
        <f>SUMIFS([1]!Data_BS[Value],[1]!Data_BS[Index BS],'Dong Lam'!$B10,[1]!Data_BS[TenCongTyID],'Dong Lam'!$B$1,[1]!Data_BS[Thang.Nam],'Dong Lam'!AD$5)</f>
        <v>0</v>
      </c>
      <c r="AE10" s="232">
        <f>SUMIFS([1]!Data_BS[Value],[1]!Data_BS[Index BS],'Dong Lam'!$B10,[1]!Data_BS[TenCongTyID],'Dong Lam'!$B$1,[1]!Data_BS[Thang.Nam],'Dong Lam'!AE$5)</f>
        <v>0</v>
      </c>
      <c r="AF10" s="232">
        <f>SUMIFS([1]!Data_BS[Value],[1]!Data_BS[Index BS],'Dong Lam'!$B10,[1]!Data_BS[TenCongTyID],'Dong Lam'!$B$1,[1]!Data_BS[Thang.Nam],'Dong Lam'!AF$5)</f>
        <v>0</v>
      </c>
      <c r="AG10" s="232">
        <f>SUMIFS([1]!Data_BS[Value],[1]!Data_BS[Index BS],'Dong Lam'!$B10,[1]!Data_BS[TenCongTyID],'Dong Lam'!$B$1,[1]!Data_BS[Thang.Nam],'Dong Lam'!AG$5)</f>
        <v>0</v>
      </c>
      <c r="AH10" s="232">
        <f>SUMIFS([1]!Data_BS[Value],[1]!Data_BS[Index BS],'Dong Lam'!$B10,[1]!Data_BS[TenCongTyID],'Dong Lam'!$B$1,[1]!Data_BS[Thang.Nam],'Dong Lam'!AH$5)</f>
        <v>0</v>
      </c>
      <c r="AI10" s="232">
        <f>SUMIFS([1]!Data_BS[Value],[1]!Data_BS[Index BS],'Dong Lam'!$B10,[1]!Data_BS[TenCongTyID],'Dong Lam'!$B$1,[1]!Data_BS[Thang.Nam],'Dong Lam'!AI$5)</f>
        <v>0</v>
      </c>
      <c r="AJ10" s="232">
        <f>SUMIFS([1]!Data_BS[Value],[1]!Data_BS[Index BS],'Dong Lam'!$B10,[1]!Data_BS[TenCongTyID],'Dong Lam'!$B$1,[1]!Data_BS[Thang.Nam],'Dong Lam'!AJ$5)</f>
        <v>0</v>
      </c>
      <c r="AK10" s="232">
        <f>SUMIFS([1]!Data_BS[Value],[1]!Data_BS[Index BS],'Dong Lam'!$B10,[1]!Data_BS[TenCongTyID],'Dong Lam'!$B$1,[1]!Data_BS[Thang.Nam],'Dong Lam'!AK$5)</f>
        <v>0</v>
      </c>
      <c r="AL10" s="232">
        <f>SUMIFS([1]!Data_BS[Value],[1]!Data_BS[Index BS],'Dong Lam'!$B10,[1]!Data_BS[TenCongTyID],'Dong Lam'!$B$1,[1]!Data_BS[Thang.Nam],'Dong Lam'!AL$5)</f>
        <v>0</v>
      </c>
    </row>
    <row r="11" spans="1:38" ht="15" hidden="1" customHeight="1" outlineLevel="1">
      <c r="A11" s="62" t="s">
        <v>95</v>
      </c>
      <c r="B11" s="63">
        <v>6</v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>
        <v>0</v>
      </c>
      <c r="AA11" s="229">
        <f>SUMIFS([1]!Data_BS[Value],[1]!Data_BS[Index BS],'Dong Lam'!$B11,[1]!Data_BS[TenCongTyID],'Dong Lam'!$B$1,[1]!Data_BS[Thang.Nam],'Dong Lam'!AA$5)</f>
        <v>0</v>
      </c>
      <c r="AB11" s="229">
        <f>SUMIFS([1]!Data_BS[Value],[1]!Data_BS[Index BS],'Dong Lam'!$B11,[1]!Data_BS[TenCongTyID],'Dong Lam'!$B$1,[1]!Data_BS[Thang.Nam],'Dong Lam'!AB$5)</f>
        <v>0</v>
      </c>
      <c r="AC11" s="229">
        <f>SUMIFS([1]!Data_BS[Value],[1]!Data_BS[Index BS],'Dong Lam'!$B11,[1]!Data_BS[TenCongTyID],'Dong Lam'!$B$1,[1]!Data_BS[Thang.Nam],'Dong Lam'!AC$5)</f>
        <v>0</v>
      </c>
      <c r="AD11" s="229">
        <f>SUMIFS([1]!Data_BS[Value],[1]!Data_BS[Index BS],'Dong Lam'!$B11,[1]!Data_BS[TenCongTyID],'Dong Lam'!$B$1,[1]!Data_BS[Thang.Nam],'Dong Lam'!AD$5)</f>
        <v>0</v>
      </c>
      <c r="AE11" s="229">
        <f>SUMIFS([1]!Data_BS[Value],[1]!Data_BS[Index BS],'Dong Lam'!$B11,[1]!Data_BS[TenCongTyID],'Dong Lam'!$B$1,[1]!Data_BS[Thang.Nam],'Dong Lam'!AE$5)</f>
        <v>0</v>
      </c>
      <c r="AF11" s="229">
        <f>SUMIFS([1]!Data_BS[Value],[1]!Data_BS[Index BS],'Dong Lam'!$B11,[1]!Data_BS[TenCongTyID],'Dong Lam'!$B$1,[1]!Data_BS[Thang.Nam],'Dong Lam'!AF$5)</f>
        <v>0</v>
      </c>
      <c r="AG11" s="229">
        <f>SUMIFS([1]!Data_BS[Value],[1]!Data_BS[Index BS],'Dong Lam'!$B11,[1]!Data_BS[TenCongTyID],'Dong Lam'!$B$1,[1]!Data_BS[Thang.Nam],'Dong Lam'!AG$5)</f>
        <v>0</v>
      </c>
      <c r="AH11" s="229">
        <f>SUMIFS([1]!Data_BS[Value],[1]!Data_BS[Index BS],'Dong Lam'!$B11,[1]!Data_BS[TenCongTyID],'Dong Lam'!$B$1,[1]!Data_BS[Thang.Nam],'Dong Lam'!AH$5)</f>
        <v>0</v>
      </c>
      <c r="AI11" s="229">
        <f>SUMIFS([1]!Data_BS[Value],[1]!Data_BS[Index BS],'Dong Lam'!$B11,[1]!Data_BS[TenCongTyID],'Dong Lam'!$B$1,[1]!Data_BS[Thang.Nam],'Dong Lam'!AI$5)</f>
        <v>0</v>
      </c>
      <c r="AJ11" s="229">
        <f>SUMIFS([1]!Data_BS[Value],[1]!Data_BS[Index BS],'Dong Lam'!$B11,[1]!Data_BS[TenCongTyID],'Dong Lam'!$B$1,[1]!Data_BS[Thang.Nam],'Dong Lam'!AJ$5)</f>
        <v>0</v>
      </c>
      <c r="AK11" s="229">
        <f>SUMIFS([1]!Data_BS[Value],[1]!Data_BS[Index BS],'Dong Lam'!$B11,[1]!Data_BS[TenCongTyID],'Dong Lam'!$B$1,[1]!Data_BS[Thang.Nam],'Dong Lam'!AK$5)</f>
        <v>0</v>
      </c>
      <c r="AL11" s="229">
        <f>SUMIFS([1]!Data_BS[Value],[1]!Data_BS[Index BS],'Dong Lam'!$B11,[1]!Data_BS[TenCongTyID],'Dong Lam'!$B$1,[1]!Data_BS[Thang.Nam],'Dong Lam'!AL$5)</f>
        <v>0</v>
      </c>
    </row>
    <row r="12" spans="1:38" ht="15" hidden="1" customHeight="1" outlineLevel="1">
      <c r="A12" s="62" t="s">
        <v>96</v>
      </c>
      <c r="B12" s="63">
        <v>7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>
        <v>0</v>
      </c>
      <c r="AA12" s="229">
        <f>SUMIFS([1]!Data_BS[Value],[1]!Data_BS[Index BS],'Dong Lam'!$B12,[1]!Data_BS[TenCongTyID],'Dong Lam'!$B$1,[1]!Data_BS[Thang.Nam],'Dong Lam'!AA$5)</f>
        <v>0</v>
      </c>
      <c r="AB12" s="229">
        <f>SUMIFS([1]!Data_BS[Value],[1]!Data_BS[Index BS],'Dong Lam'!$B12,[1]!Data_BS[TenCongTyID],'Dong Lam'!$B$1,[1]!Data_BS[Thang.Nam],'Dong Lam'!AB$5)</f>
        <v>0</v>
      </c>
      <c r="AC12" s="229">
        <f>SUMIFS([1]!Data_BS[Value],[1]!Data_BS[Index BS],'Dong Lam'!$B12,[1]!Data_BS[TenCongTyID],'Dong Lam'!$B$1,[1]!Data_BS[Thang.Nam],'Dong Lam'!AC$5)</f>
        <v>0</v>
      </c>
      <c r="AD12" s="229">
        <f>SUMIFS([1]!Data_BS[Value],[1]!Data_BS[Index BS],'Dong Lam'!$B12,[1]!Data_BS[TenCongTyID],'Dong Lam'!$B$1,[1]!Data_BS[Thang.Nam],'Dong Lam'!AD$5)</f>
        <v>0</v>
      </c>
      <c r="AE12" s="229">
        <f>SUMIFS([1]!Data_BS[Value],[1]!Data_BS[Index BS],'Dong Lam'!$B12,[1]!Data_BS[TenCongTyID],'Dong Lam'!$B$1,[1]!Data_BS[Thang.Nam],'Dong Lam'!AE$5)</f>
        <v>0</v>
      </c>
      <c r="AF12" s="229">
        <f>SUMIFS([1]!Data_BS[Value],[1]!Data_BS[Index BS],'Dong Lam'!$B12,[1]!Data_BS[TenCongTyID],'Dong Lam'!$B$1,[1]!Data_BS[Thang.Nam],'Dong Lam'!AF$5)</f>
        <v>0</v>
      </c>
      <c r="AG12" s="229">
        <f>SUMIFS([1]!Data_BS[Value],[1]!Data_BS[Index BS],'Dong Lam'!$B12,[1]!Data_BS[TenCongTyID],'Dong Lam'!$B$1,[1]!Data_BS[Thang.Nam],'Dong Lam'!AG$5)</f>
        <v>0</v>
      </c>
      <c r="AH12" s="229">
        <f>SUMIFS([1]!Data_BS[Value],[1]!Data_BS[Index BS],'Dong Lam'!$B12,[1]!Data_BS[TenCongTyID],'Dong Lam'!$B$1,[1]!Data_BS[Thang.Nam],'Dong Lam'!AH$5)</f>
        <v>0</v>
      </c>
      <c r="AI12" s="229">
        <f>SUMIFS([1]!Data_BS[Value],[1]!Data_BS[Index BS],'Dong Lam'!$B12,[1]!Data_BS[TenCongTyID],'Dong Lam'!$B$1,[1]!Data_BS[Thang.Nam],'Dong Lam'!AI$5)</f>
        <v>0</v>
      </c>
      <c r="AJ12" s="229">
        <f>SUMIFS([1]!Data_BS[Value],[1]!Data_BS[Index BS],'Dong Lam'!$B12,[1]!Data_BS[TenCongTyID],'Dong Lam'!$B$1,[1]!Data_BS[Thang.Nam],'Dong Lam'!AJ$5)</f>
        <v>0</v>
      </c>
      <c r="AK12" s="229">
        <f>SUMIFS([1]!Data_BS[Value],[1]!Data_BS[Index BS],'Dong Lam'!$B12,[1]!Data_BS[TenCongTyID],'Dong Lam'!$B$1,[1]!Data_BS[Thang.Nam],'Dong Lam'!AK$5)</f>
        <v>0</v>
      </c>
      <c r="AL12" s="229">
        <f>SUMIFS([1]!Data_BS[Value],[1]!Data_BS[Index BS],'Dong Lam'!$B12,[1]!Data_BS[TenCongTyID],'Dong Lam'!$B$1,[1]!Data_BS[Thang.Nam],'Dong Lam'!AL$5)</f>
        <v>0</v>
      </c>
    </row>
    <row r="13" spans="1:38" ht="15" hidden="1" customHeight="1" outlineLevel="1">
      <c r="A13" s="66" t="s">
        <v>97</v>
      </c>
      <c r="B13" s="63">
        <v>8</v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>
        <v>0</v>
      </c>
      <c r="AA13" s="229">
        <f>SUMIFS([1]!Data_BS[Value],[1]!Data_BS[Index BS],'Dong Lam'!$B13,[1]!Data_BS[TenCongTyID],'Dong Lam'!$B$1,[1]!Data_BS[Thang.Nam],'Dong Lam'!AA$5)</f>
        <v>0</v>
      </c>
      <c r="AB13" s="229">
        <f>SUMIFS([1]!Data_BS[Value],[1]!Data_BS[Index BS],'Dong Lam'!$B13,[1]!Data_BS[TenCongTyID],'Dong Lam'!$B$1,[1]!Data_BS[Thang.Nam],'Dong Lam'!AB$5)</f>
        <v>0</v>
      </c>
      <c r="AC13" s="229">
        <f>SUMIFS([1]!Data_BS[Value],[1]!Data_BS[Index BS],'Dong Lam'!$B13,[1]!Data_BS[TenCongTyID],'Dong Lam'!$B$1,[1]!Data_BS[Thang.Nam],'Dong Lam'!AC$5)</f>
        <v>0</v>
      </c>
      <c r="AD13" s="229">
        <f>SUMIFS([1]!Data_BS[Value],[1]!Data_BS[Index BS],'Dong Lam'!$B13,[1]!Data_BS[TenCongTyID],'Dong Lam'!$B$1,[1]!Data_BS[Thang.Nam],'Dong Lam'!AD$5)</f>
        <v>0</v>
      </c>
      <c r="AE13" s="229">
        <f>SUMIFS([1]!Data_BS[Value],[1]!Data_BS[Index BS],'Dong Lam'!$B13,[1]!Data_BS[TenCongTyID],'Dong Lam'!$B$1,[1]!Data_BS[Thang.Nam],'Dong Lam'!AE$5)</f>
        <v>0</v>
      </c>
      <c r="AF13" s="229">
        <f>SUMIFS([1]!Data_BS[Value],[1]!Data_BS[Index BS],'Dong Lam'!$B13,[1]!Data_BS[TenCongTyID],'Dong Lam'!$B$1,[1]!Data_BS[Thang.Nam],'Dong Lam'!AF$5)</f>
        <v>0</v>
      </c>
      <c r="AG13" s="229">
        <f>SUMIFS([1]!Data_BS[Value],[1]!Data_BS[Index BS],'Dong Lam'!$B13,[1]!Data_BS[TenCongTyID],'Dong Lam'!$B$1,[1]!Data_BS[Thang.Nam],'Dong Lam'!AG$5)</f>
        <v>0</v>
      </c>
      <c r="AH13" s="229">
        <f>SUMIFS([1]!Data_BS[Value],[1]!Data_BS[Index BS],'Dong Lam'!$B13,[1]!Data_BS[TenCongTyID],'Dong Lam'!$B$1,[1]!Data_BS[Thang.Nam],'Dong Lam'!AH$5)</f>
        <v>0</v>
      </c>
      <c r="AI13" s="229">
        <f>SUMIFS([1]!Data_BS[Value],[1]!Data_BS[Index BS],'Dong Lam'!$B13,[1]!Data_BS[TenCongTyID],'Dong Lam'!$B$1,[1]!Data_BS[Thang.Nam],'Dong Lam'!AI$5)</f>
        <v>0</v>
      </c>
      <c r="AJ13" s="229">
        <f>SUMIFS([1]!Data_BS[Value],[1]!Data_BS[Index BS],'Dong Lam'!$B13,[1]!Data_BS[TenCongTyID],'Dong Lam'!$B$1,[1]!Data_BS[Thang.Nam],'Dong Lam'!AJ$5)</f>
        <v>0</v>
      </c>
      <c r="AK13" s="229">
        <f>SUMIFS([1]!Data_BS[Value],[1]!Data_BS[Index BS],'Dong Lam'!$B13,[1]!Data_BS[TenCongTyID],'Dong Lam'!$B$1,[1]!Data_BS[Thang.Nam],'Dong Lam'!AK$5)</f>
        <v>0</v>
      </c>
      <c r="AL13" s="229">
        <f>SUMIFS([1]!Data_BS[Value],[1]!Data_BS[Index BS],'Dong Lam'!$B13,[1]!Data_BS[TenCongTyID],'Dong Lam'!$B$1,[1]!Data_BS[Thang.Nam],'Dong Lam'!AL$5)</f>
        <v>0</v>
      </c>
    </row>
    <row r="14" spans="1:38" ht="15" hidden="1" customHeight="1" outlineLevel="1">
      <c r="A14" s="66" t="s">
        <v>98</v>
      </c>
      <c r="B14" s="63">
        <v>9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>
        <v>0</v>
      </c>
      <c r="AA14" s="229">
        <f>SUMIFS([1]!Data_BS[Value],[1]!Data_BS[Index BS],'Dong Lam'!$B14,[1]!Data_BS[TenCongTyID],'Dong Lam'!$B$1,[1]!Data_BS[Thang.Nam],'Dong Lam'!AA$5)</f>
        <v>0</v>
      </c>
      <c r="AB14" s="229">
        <f>SUMIFS([1]!Data_BS[Value],[1]!Data_BS[Index BS],'Dong Lam'!$B14,[1]!Data_BS[TenCongTyID],'Dong Lam'!$B$1,[1]!Data_BS[Thang.Nam],'Dong Lam'!AB$5)</f>
        <v>0</v>
      </c>
      <c r="AC14" s="229">
        <f>SUMIFS([1]!Data_BS[Value],[1]!Data_BS[Index BS],'Dong Lam'!$B14,[1]!Data_BS[TenCongTyID],'Dong Lam'!$B$1,[1]!Data_BS[Thang.Nam],'Dong Lam'!AC$5)</f>
        <v>0</v>
      </c>
      <c r="AD14" s="229">
        <f>SUMIFS([1]!Data_BS[Value],[1]!Data_BS[Index BS],'Dong Lam'!$B14,[1]!Data_BS[TenCongTyID],'Dong Lam'!$B$1,[1]!Data_BS[Thang.Nam],'Dong Lam'!AD$5)</f>
        <v>0</v>
      </c>
      <c r="AE14" s="229">
        <f>SUMIFS([1]!Data_BS[Value],[1]!Data_BS[Index BS],'Dong Lam'!$B14,[1]!Data_BS[TenCongTyID],'Dong Lam'!$B$1,[1]!Data_BS[Thang.Nam],'Dong Lam'!AE$5)</f>
        <v>0</v>
      </c>
      <c r="AF14" s="229">
        <f>SUMIFS([1]!Data_BS[Value],[1]!Data_BS[Index BS],'Dong Lam'!$B14,[1]!Data_BS[TenCongTyID],'Dong Lam'!$B$1,[1]!Data_BS[Thang.Nam],'Dong Lam'!AF$5)</f>
        <v>0</v>
      </c>
      <c r="AG14" s="229">
        <f>SUMIFS([1]!Data_BS[Value],[1]!Data_BS[Index BS],'Dong Lam'!$B14,[1]!Data_BS[TenCongTyID],'Dong Lam'!$B$1,[1]!Data_BS[Thang.Nam],'Dong Lam'!AG$5)</f>
        <v>0</v>
      </c>
      <c r="AH14" s="229">
        <f>SUMIFS([1]!Data_BS[Value],[1]!Data_BS[Index BS],'Dong Lam'!$B14,[1]!Data_BS[TenCongTyID],'Dong Lam'!$B$1,[1]!Data_BS[Thang.Nam],'Dong Lam'!AH$5)</f>
        <v>0</v>
      </c>
      <c r="AI14" s="229">
        <f>SUMIFS([1]!Data_BS[Value],[1]!Data_BS[Index BS],'Dong Lam'!$B14,[1]!Data_BS[TenCongTyID],'Dong Lam'!$B$1,[1]!Data_BS[Thang.Nam],'Dong Lam'!AI$5)</f>
        <v>0</v>
      </c>
      <c r="AJ14" s="229">
        <f>SUMIFS([1]!Data_BS[Value],[1]!Data_BS[Index BS],'Dong Lam'!$B14,[1]!Data_BS[TenCongTyID],'Dong Lam'!$B$1,[1]!Data_BS[Thang.Nam],'Dong Lam'!AJ$5)</f>
        <v>0</v>
      </c>
      <c r="AK14" s="229">
        <f>SUMIFS([1]!Data_BS[Value],[1]!Data_BS[Index BS],'Dong Lam'!$B14,[1]!Data_BS[TenCongTyID],'Dong Lam'!$B$1,[1]!Data_BS[Thang.Nam],'Dong Lam'!AK$5)</f>
        <v>0</v>
      </c>
      <c r="AL14" s="229">
        <f>SUMIFS([1]!Data_BS[Value],[1]!Data_BS[Index BS],'Dong Lam'!$B14,[1]!Data_BS[TenCongTyID],'Dong Lam'!$B$1,[1]!Data_BS[Thang.Nam],'Dong Lam'!AL$5)</f>
        <v>0</v>
      </c>
    </row>
    <row r="15" spans="1:38" ht="15" hidden="1" customHeight="1" outlineLevel="1">
      <c r="A15" s="66" t="s">
        <v>99</v>
      </c>
      <c r="B15" s="63">
        <v>10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>
        <v>0</v>
      </c>
      <c r="AA15" s="229">
        <f>SUMIFS([1]!Data_BS[Value],[1]!Data_BS[Index BS],'Dong Lam'!$B15,[1]!Data_BS[TenCongTyID],'Dong Lam'!$B$1,[1]!Data_BS[Thang.Nam],'Dong Lam'!AA$5)</f>
        <v>0</v>
      </c>
      <c r="AB15" s="229">
        <f>SUMIFS([1]!Data_BS[Value],[1]!Data_BS[Index BS],'Dong Lam'!$B15,[1]!Data_BS[TenCongTyID],'Dong Lam'!$B$1,[1]!Data_BS[Thang.Nam],'Dong Lam'!AB$5)</f>
        <v>0</v>
      </c>
      <c r="AC15" s="229">
        <f>SUMIFS([1]!Data_BS[Value],[1]!Data_BS[Index BS],'Dong Lam'!$B15,[1]!Data_BS[TenCongTyID],'Dong Lam'!$B$1,[1]!Data_BS[Thang.Nam],'Dong Lam'!AC$5)</f>
        <v>0</v>
      </c>
      <c r="AD15" s="229">
        <f>SUMIFS([1]!Data_BS[Value],[1]!Data_BS[Index BS],'Dong Lam'!$B15,[1]!Data_BS[TenCongTyID],'Dong Lam'!$B$1,[1]!Data_BS[Thang.Nam],'Dong Lam'!AD$5)</f>
        <v>0</v>
      </c>
      <c r="AE15" s="229">
        <f>SUMIFS([1]!Data_BS[Value],[1]!Data_BS[Index BS],'Dong Lam'!$B15,[1]!Data_BS[TenCongTyID],'Dong Lam'!$B$1,[1]!Data_BS[Thang.Nam],'Dong Lam'!AE$5)</f>
        <v>0</v>
      </c>
      <c r="AF15" s="229">
        <f>SUMIFS([1]!Data_BS[Value],[1]!Data_BS[Index BS],'Dong Lam'!$B15,[1]!Data_BS[TenCongTyID],'Dong Lam'!$B$1,[1]!Data_BS[Thang.Nam],'Dong Lam'!AF$5)</f>
        <v>0</v>
      </c>
      <c r="AG15" s="229">
        <f>SUMIFS([1]!Data_BS[Value],[1]!Data_BS[Index BS],'Dong Lam'!$B15,[1]!Data_BS[TenCongTyID],'Dong Lam'!$B$1,[1]!Data_BS[Thang.Nam],'Dong Lam'!AG$5)</f>
        <v>0</v>
      </c>
      <c r="AH15" s="229">
        <f>SUMIFS([1]!Data_BS[Value],[1]!Data_BS[Index BS],'Dong Lam'!$B15,[1]!Data_BS[TenCongTyID],'Dong Lam'!$B$1,[1]!Data_BS[Thang.Nam],'Dong Lam'!AH$5)</f>
        <v>0</v>
      </c>
      <c r="AI15" s="229">
        <f>SUMIFS([1]!Data_BS[Value],[1]!Data_BS[Index BS],'Dong Lam'!$B15,[1]!Data_BS[TenCongTyID],'Dong Lam'!$B$1,[1]!Data_BS[Thang.Nam],'Dong Lam'!AI$5)</f>
        <v>0</v>
      </c>
      <c r="AJ15" s="229">
        <f>SUMIFS([1]!Data_BS[Value],[1]!Data_BS[Index BS],'Dong Lam'!$B15,[1]!Data_BS[TenCongTyID],'Dong Lam'!$B$1,[1]!Data_BS[Thang.Nam],'Dong Lam'!AJ$5)</f>
        <v>0</v>
      </c>
      <c r="AK15" s="229">
        <f>SUMIFS([1]!Data_BS[Value],[1]!Data_BS[Index BS],'Dong Lam'!$B15,[1]!Data_BS[TenCongTyID],'Dong Lam'!$B$1,[1]!Data_BS[Thang.Nam],'Dong Lam'!AK$5)</f>
        <v>0</v>
      </c>
      <c r="AL15" s="229">
        <f>SUMIFS([1]!Data_BS[Value],[1]!Data_BS[Index BS],'Dong Lam'!$B15,[1]!Data_BS[TenCongTyID],'Dong Lam'!$B$1,[1]!Data_BS[Thang.Nam],'Dong Lam'!AL$5)</f>
        <v>0</v>
      </c>
    </row>
    <row r="16" spans="1:38" ht="15" hidden="1" customHeight="1" outlineLevel="1">
      <c r="A16" s="66" t="s">
        <v>100</v>
      </c>
      <c r="B16" s="63">
        <v>11</v>
      </c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>
        <v>0</v>
      </c>
      <c r="AA16" s="229">
        <f>SUMIFS([1]!Data_BS[Value],[1]!Data_BS[Index BS],'Dong Lam'!$B16,[1]!Data_BS[TenCongTyID],'Dong Lam'!$B$1,[1]!Data_BS[Thang.Nam],'Dong Lam'!AA$5)</f>
        <v>0</v>
      </c>
      <c r="AB16" s="229">
        <f>SUMIFS([1]!Data_BS[Value],[1]!Data_BS[Index BS],'Dong Lam'!$B16,[1]!Data_BS[TenCongTyID],'Dong Lam'!$B$1,[1]!Data_BS[Thang.Nam],'Dong Lam'!AB$5)</f>
        <v>0</v>
      </c>
      <c r="AC16" s="229">
        <f>SUMIFS([1]!Data_BS[Value],[1]!Data_BS[Index BS],'Dong Lam'!$B16,[1]!Data_BS[TenCongTyID],'Dong Lam'!$B$1,[1]!Data_BS[Thang.Nam],'Dong Lam'!AC$5)</f>
        <v>0</v>
      </c>
      <c r="AD16" s="229">
        <f>SUMIFS([1]!Data_BS[Value],[1]!Data_BS[Index BS],'Dong Lam'!$B16,[1]!Data_BS[TenCongTyID],'Dong Lam'!$B$1,[1]!Data_BS[Thang.Nam],'Dong Lam'!AD$5)</f>
        <v>0</v>
      </c>
      <c r="AE16" s="229">
        <f>SUMIFS([1]!Data_BS[Value],[1]!Data_BS[Index BS],'Dong Lam'!$B16,[1]!Data_BS[TenCongTyID],'Dong Lam'!$B$1,[1]!Data_BS[Thang.Nam],'Dong Lam'!AE$5)</f>
        <v>0</v>
      </c>
      <c r="AF16" s="229">
        <f>SUMIFS([1]!Data_BS[Value],[1]!Data_BS[Index BS],'Dong Lam'!$B16,[1]!Data_BS[TenCongTyID],'Dong Lam'!$B$1,[1]!Data_BS[Thang.Nam],'Dong Lam'!AF$5)</f>
        <v>0</v>
      </c>
      <c r="AG16" s="229">
        <f>SUMIFS([1]!Data_BS[Value],[1]!Data_BS[Index BS],'Dong Lam'!$B16,[1]!Data_BS[TenCongTyID],'Dong Lam'!$B$1,[1]!Data_BS[Thang.Nam],'Dong Lam'!AG$5)</f>
        <v>0</v>
      </c>
      <c r="AH16" s="229">
        <f>SUMIFS([1]!Data_BS[Value],[1]!Data_BS[Index BS],'Dong Lam'!$B16,[1]!Data_BS[TenCongTyID],'Dong Lam'!$B$1,[1]!Data_BS[Thang.Nam],'Dong Lam'!AH$5)</f>
        <v>0</v>
      </c>
      <c r="AI16" s="229">
        <f>SUMIFS([1]!Data_BS[Value],[1]!Data_BS[Index BS],'Dong Lam'!$B16,[1]!Data_BS[TenCongTyID],'Dong Lam'!$B$1,[1]!Data_BS[Thang.Nam],'Dong Lam'!AI$5)</f>
        <v>0</v>
      </c>
      <c r="AJ16" s="229">
        <f>SUMIFS([1]!Data_BS[Value],[1]!Data_BS[Index BS],'Dong Lam'!$B16,[1]!Data_BS[TenCongTyID],'Dong Lam'!$B$1,[1]!Data_BS[Thang.Nam],'Dong Lam'!AJ$5)</f>
        <v>0</v>
      </c>
      <c r="AK16" s="229">
        <f>SUMIFS([1]!Data_BS[Value],[1]!Data_BS[Index BS],'Dong Lam'!$B16,[1]!Data_BS[TenCongTyID],'Dong Lam'!$B$1,[1]!Data_BS[Thang.Nam],'Dong Lam'!AK$5)</f>
        <v>0</v>
      </c>
      <c r="AL16" s="229">
        <f>SUMIFS([1]!Data_BS[Value],[1]!Data_BS[Index BS],'Dong Lam'!$B16,[1]!Data_BS[TenCongTyID],'Dong Lam'!$B$1,[1]!Data_BS[Thang.Nam],'Dong Lam'!AL$5)</f>
        <v>0</v>
      </c>
    </row>
    <row r="17" spans="1:38" ht="15" hidden="1" customHeight="1" outlineLevel="1">
      <c r="A17" s="59" t="s">
        <v>101</v>
      </c>
      <c r="B17" s="65">
        <v>12</v>
      </c>
      <c r="C17" s="233">
        <v>1382816904</v>
      </c>
      <c r="D17" s="233">
        <v>2457182868</v>
      </c>
      <c r="E17" s="233">
        <v>1724128692</v>
      </c>
      <c r="F17" s="233">
        <v>1980030480</v>
      </c>
      <c r="G17" s="233">
        <v>2622074235</v>
      </c>
      <c r="H17" s="233">
        <v>2890771785</v>
      </c>
      <c r="I17" s="233">
        <v>1272281064</v>
      </c>
      <c r="J17" s="233">
        <v>1255041564</v>
      </c>
      <c r="K17" s="233">
        <v>2974642944</v>
      </c>
      <c r="L17" s="233">
        <v>2454597412</v>
      </c>
      <c r="M17" s="233">
        <v>3051282906</v>
      </c>
      <c r="N17" s="234">
        <v>2434139806</v>
      </c>
      <c r="O17" s="234">
        <v>2320323901</v>
      </c>
      <c r="P17" s="234">
        <v>3462927557</v>
      </c>
      <c r="Q17" s="234">
        <v>3547552868</v>
      </c>
      <c r="R17" s="234">
        <v>2705857308</v>
      </c>
      <c r="S17" s="234">
        <v>2949268036</v>
      </c>
      <c r="T17" s="234">
        <v>2421836654</v>
      </c>
      <c r="U17" s="234">
        <v>2276842655</v>
      </c>
      <c r="V17" s="234">
        <v>2493646152</v>
      </c>
      <c r="W17" s="234">
        <f>+SUM(W18:W24)</f>
        <v>1854175027</v>
      </c>
      <c r="X17" s="234">
        <v>3404777351</v>
      </c>
      <c r="Y17" s="234">
        <v>4007416939</v>
      </c>
      <c r="Z17" s="234">
        <v>1464039070</v>
      </c>
      <c r="AA17" s="234">
        <f>SUMIFS([1]!Data_BS[Value],[1]!Data_BS[Index BS],'Dong Lam'!$B17,[1]!Data_BS[TenCongTyID],'Dong Lam'!$B$1,[1]!Data_BS[Thang.Nam],'Dong Lam'!AA$5)</f>
        <v>0</v>
      </c>
      <c r="AB17" s="234">
        <f>SUMIFS([1]!Data_BS[Value],[1]!Data_BS[Index BS],'Dong Lam'!$B17,[1]!Data_BS[TenCongTyID],'Dong Lam'!$B$1,[1]!Data_BS[Thang.Nam],'Dong Lam'!AB$5)</f>
        <v>0</v>
      </c>
      <c r="AC17" s="234">
        <f>SUMIFS([1]!Data_BS[Value],[1]!Data_BS[Index BS],'Dong Lam'!$B17,[1]!Data_BS[TenCongTyID],'Dong Lam'!$B$1,[1]!Data_BS[Thang.Nam],'Dong Lam'!AC$5)</f>
        <v>0</v>
      </c>
      <c r="AD17" s="234">
        <f>SUMIFS([1]!Data_BS[Value],[1]!Data_BS[Index BS],'Dong Lam'!$B17,[1]!Data_BS[TenCongTyID],'Dong Lam'!$B$1,[1]!Data_BS[Thang.Nam],'Dong Lam'!AD$5)</f>
        <v>0</v>
      </c>
      <c r="AE17" s="234">
        <f>SUMIFS([1]!Data_BS[Value],[1]!Data_BS[Index BS],'Dong Lam'!$B17,[1]!Data_BS[TenCongTyID],'Dong Lam'!$B$1,[1]!Data_BS[Thang.Nam],'Dong Lam'!AE$5)</f>
        <v>0</v>
      </c>
      <c r="AF17" s="234">
        <f>SUMIFS([1]!Data_BS[Value],[1]!Data_BS[Index BS],'Dong Lam'!$B17,[1]!Data_BS[TenCongTyID],'Dong Lam'!$B$1,[1]!Data_BS[Thang.Nam],'Dong Lam'!AF$5)</f>
        <v>0</v>
      </c>
      <c r="AG17" s="234">
        <f>SUMIFS([1]!Data_BS[Value],[1]!Data_BS[Index BS],'Dong Lam'!$B17,[1]!Data_BS[TenCongTyID],'Dong Lam'!$B$1,[1]!Data_BS[Thang.Nam],'Dong Lam'!AG$5)</f>
        <v>0</v>
      </c>
      <c r="AH17" s="234">
        <f>SUMIFS([1]!Data_BS[Value],[1]!Data_BS[Index BS],'Dong Lam'!$B17,[1]!Data_BS[TenCongTyID],'Dong Lam'!$B$1,[1]!Data_BS[Thang.Nam],'Dong Lam'!AH$5)</f>
        <v>0</v>
      </c>
      <c r="AI17" s="234">
        <f>SUMIFS([1]!Data_BS[Value],[1]!Data_BS[Index BS],'Dong Lam'!$B17,[1]!Data_BS[TenCongTyID],'Dong Lam'!$B$1,[1]!Data_BS[Thang.Nam],'Dong Lam'!AI$5)</f>
        <v>0</v>
      </c>
      <c r="AJ17" s="234">
        <f>SUMIFS([1]!Data_BS[Value],[1]!Data_BS[Index BS],'Dong Lam'!$B17,[1]!Data_BS[TenCongTyID],'Dong Lam'!$B$1,[1]!Data_BS[Thang.Nam],'Dong Lam'!AJ$5)</f>
        <v>0</v>
      </c>
      <c r="AK17" s="234">
        <f>SUMIFS([1]!Data_BS[Value],[1]!Data_BS[Index BS],'Dong Lam'!$B17,[1]!Data_BS[TenCongTyID],'Dong Lam'!$B$1,[1]!Data_BS[Thang.Nam],'Dong Lam'!AK$5)</f>
        <v>0</v>
      </c>
      <c r="AL17" s="234">
        <f>SUMIFS([1]!Data_BS[Value],[1]!Data_BS[Index BS],'Dong Lam'!$B17,[1]!Data_BS[TenCongTyID],'Dong Lam'!$B$1,[1]!Data_BS[Thang.Nam],'Dong Lam'!AL$5)</f>
        <v>0</v>
      </c>
    </row>
    <row r="18" spans="1:38" ht="15" hidden="1" customHeight="1" outlineLevel="1">
      <c r="A18" s="67" t="s">
        <v>102</v>
      </c>
      <c r="B18" s="63">
        <v>13</v>
      </c>
      <c r="C18" s="229">
        <v>1398312768</v>
      </c>
      <c r="D18" s="229">
        <v>2472678732</v>
      </c>
      <c r="E18" s="229">
        <v>1686062460</v>
      </c>
      <c r="F18" s="229">
        <v>1875004248</v>
      </c>
      <c r="G18" s="229">
        <v>2366025168</v>
      </c>
      <c r="H18" s="229">
        <v>2622382608</v>
      </c>
      <c r="I18" s="229">
        <v>1287776928</v>
      </c>
      <c r="J18" s="229">
        <v>1270537428</v>
      </c>
      <c r="K18" s="229">
        <v>2990138808</v>
      </c>
      <c r="L18" s="229">
        <v>2460093276</v>
      </c>
      <c r="M18" s="229">
        <v>2890298106</v>
      </c>
      <c r="N18" s="229">
        <v>2171167146</v>
      </c>
      <c r="O18" s="229">
        <v>2194075101</v>
      </c>
      <c r="P18" s="229">
        <v>3245574757</v>
      </c>
      <c r="Q18" s="229">
        <v>3302720868</v>
      </c>
      <c r="R18" s="229">
        <v>2333761308</v>
      </c>
      <c r="S18" s="229">
        <v>2356378858</v>
      </c>
      <c r="T18" s="229">
        <v>1646925454</v>
      </c>
      <c r="U18" s="229">
        <v>1921224140</v>
      </c>
      <c r="V18" s="229">
        <v>1204904597</v>
      </c>
      <c r="W18" s="229"/>
      <c r="X18" s="229">
        <v>1042368852</v>
      </c>
      <c r="Y18" s="229">
        <v>1705247640</v>
      </c>
      <c r="Z18" s="229">
        <v>1352106540</v>
      </c>
      <c r="AA18" s="229">
        <f>SUMIFS([1]!Data_BS[Value],[1]!Data_BS[Index BS],'Dong Lam'!$B18,[1]!Data_BS[TenCongTyID],'Dong Lam'!$B$1,[1]!Data_BS[Thang.Nam],'Dong Lam'!AA$5)</f>
        <v>0</v>
      </c>
      <c r="AB18" s="229">
        <f>SUMIFS([1]!Data_BS[Value],[1]!Data_BS[Index BS],'Dong Lam'!$B18,[1]!Data_BS[TenCongTyID],'Dong Lam'!$B$1,[1]!Data_BS[Thang.Nam],'Dong Lam'!AB$5)</f>
        <v>0</v>
      </c>
      <c r="AC18" s="229">
        <f>SUMIFS([1]!Data_BS[Value],[1]!Data_BS[Index BS],'Dong Lam'!$B18,[1]!Data_BS[TenCongTyID],'Dong Lam'!$B$1,[1]!Data_BS[Thang.Nam],'Dong Lam'!AC$5)</f>
        <v>0</v>
      </c>
      <c r="AD18" s="229">
        <f>SUMIFS([1]!Data_BS[Value],[1]!Data_BS[Index BS],'Dong Lam'!$B18,[1]!Data_BS[TenCongTyID],'Dong Lam'!$B$1,[1]!Data_BS[Thang.Nam],'Dong Lam'!AD$5)</f>
        <v>0</v>
      </c>
      <c r="AE18" s="229">
        <f>SUMIFS([1]!Data_BS[Value],[1]!Data_BS[Index BS],'Dong Lam'!$B18,[1]!Data_BS[TenCongTyID],'Dong Lam'!$B$1,[1]!Data_BS[Thang.Nam],'Dong Lam'!AE$5)</f>
        <v>0</v>
      </c>
      <c r="AF18" s="229">
        <f>SUMIFS([1]!Data_BS[Value],[1]!Data_BS[Index BS],'Dong Lam'!$B18,[1]!Data_BS[TenCongTyID],'Dong Lam'!$B$1,[1]!Data_BS[Thang.Nam],'Dong Lam'!AF$5)</f>
        <v>0</v>
      </c>
      <c r="AG18" s="229">
        <f>SUMIFS([1]!Data_BS[Value],[1]!Data_BS[Index BS],'Dong Lam'!$B18,[1]!Data_BS[TenCongTyID],'Dong Lam'!$B$1,[1]!Data_BS[Thang.Nam],'Dong Lam'!AG$5)</f>
        <v>0</v>
      </c>
      <c r="AH18" s="229">
        <f>SUMIFS([1]!Data_BS[Value],[1]!Data_BS[Index BS],'Dong Lam'!$B18,[1]!Data_BS[TenCongTyID],'Dong Lam'!$B$1,[1]!Data_BS[Thang.Nam],'Dong Lam'!AH$5)</f>
        <v>0</v>
      </c>
      <c r="AI18" s="229">
        <f>SUMIFS([1]!Data_BS[Value],[1]!Data_BS[Index BS],'Dong Lam'!$B18,[1]!Data_BS[TenCongTyID],'Dong Lam'!$B$1,[1]!Data_BS[Thang.Nam],'Dong Lam'!AI$5)</f>
        <v>0</v>
      </c>
      <c r="AJ18" s="229">
        <f>SUMIFS([1]!Data_BS[Value],[1]!Data_BS[Index BS],'Dong Lam'!$B18,[1]!Data_BS[TenCongTyID],'Dong Lam'!$B$1,[1]!Data_BS[Thang.Nam],'Dong Lam'!AJ$5)</f>
        <v>0</v>
      </c>
      <c r="AK18" s="229">
        <f>SUMIFS([1]!Data_BS[Value],[1]!Data_BS[Index BS],'Dong Lam'!$B18,[1]!Data_BS[TenCongTyID],'Dong Lam'!$B$1,[1]!Data_BS[Thang.Nam],'Dong Lam'!AK$5)</f>
        <v>0</v>
      </c>
      <c r="AL18" s="229">
        <f>SUMIFS([1]!Data_BS[Value],[1]!Data_BS[Index BS],'Dong Lam'!$B18,[1]!Data_BS[TenCongTyID],'Dong Lam'!$B$1,[1]!Data_BS[Thang.Nam],'Dong Lam'!AL$5)</f>
        <v>0</v>
      </c>
    </row>
    <row r="19" spans="1:38" ht="15" hidden="1" customHeight="1" outlineLevel="1">
      <c r="A19" s="67" t="s">
        <v>103</v>
      </c>
      <c r="B19" s="63">
        <v>14</v>
      </c>
      <c r="C19" s="229">
        <v>105030000</v>
      </c>
      <c r="D19" s="229">
        <v>105030000</v>
      </c>
      <c r="E19" s="229">
        <v>158592096</v>
      </c>
      <c r="F19" s="229">
        <v>225552096</v>
      </c>
      <c r="G19" s="229">
        <v>376574931</v>
      </c>
      <c r="H19" s="229">
        <v>376574931</v>
      </c>
      <c r="I19" s="229">
        <v>105030000</v>
      </c>
      <c r="J19" s="229">
        <v>105030000</v>
      </c>
      <c r="K19" s="229">
        <v>105030000</v>
      </c>
      <c r="L19" s="229">
        <v>105030000</v>
      </c>
      <c r="M19" s="229">
        <v>160984800</v>
      </c>
      <c r="N19" s="229">
        <v>244060800</v>
      </c>
      <c r="O19" s="229">
        <v>124904800</v>
      </c>
      <c r="P19" s="229">
        <v>217352800</v>
      </c>
      <c r="Q19" s="229">
        <v>244832000</v>
      </c>
      <c r="R19" s="229">
        <v>372096000</v>
      </c>
      <c r="S19" s="229">
        <v>592889178</v>
      </c>
      <c r="T19" s="229">
        <v>773567200</v>
      </c>
      <c r="U19" s="229">
        <v>355570515</v>
      </c>
      <c r="V19" s="229">
        <v>1288693555</v>
      </c>
      <c r="W19" s="229">
        <v>1854127027</v>
      </c>
      <c r="X19" s="229">
        <v>2362360499</v>
      </c>
      <c r="Y19" s="229">
        <v>2302121299</v>
      </c>
      <c r="Z19" s="229">
        <v>111932530</v>
      </c>
      <c r="AA19" s="229">
        <f>SUMIFS([1]!Data_BS[Value],[1]!Data_BS[Index BS],'Dong Lam'!$B19,[1]!Data_BS[TenCongTyID],'Dong Lam'!$B$1,[1]!Data_BS[Thang.Nam],'Dong Lam'!AA$5)</f>
        <v>0</v>
      </c>
      <c r="AB19" s="229">
        <f>SUMIFS([1]!Data_BS[Value],[1]!Data_BS[Index BS],'Dong Lam'!$B19,[1]!Data_BS[TenCongTyID],'Dong Lam'!$B$1,[1]!Data_BS[Thang.Nam],'Dong Lam'!AB$5)</f>
        <v>0</v>
      </c>
      <c r="AC19" s="229">
        <f>SUMIFS([1]!Data_BS[Value],[1]!Data_BS[Index BS],'Dong Lam'!$B19,[1]!Data_BS[TenCongTyID],'Dong Lam'!$B$1,[1]!Data_BS[Thang.Nam],'Dong Lam'!AC$5)</f>
        <v>0</v>
      </c>
      <c r="AD19" s="229">
        <f>SUMIFS([1]!Data_BS[Value],[1]!Data_BS[Index BS],'Dong Lam'!$B19,[1]!Data_BS[TenCongTyID],'Dong Lam'!$B$1,[1]!Data_BS[Thang.Nam],'Dong Lam'!AD$5)</f>
        <v>0</v>
      </c>
      <c r="AE19" s="229">
        <f>SUMIFS([1]!Data_BS[Value],[1]!Data_BS[Index BS],'Dong Lam'!$B19,[1]!Data_BS[TenCongTyID],'Dong Lam'!$B$1,[1]!Data_BS[Thang.Nam],'Dong Lam'!AE$5)</f>
        <v>0</v>
      </c>
      <c r="AF19" s="229">
        <f>SUMIFS([1]!Data_BS[Value],[1]!Data_BS[Index BS],'Dong Lam'!$B19,[1]!Data_BS[TenCongTyID],'Dong Lam'!$B$1,[1]!Data_BS[Thang.Nam],'Dong Lam'!AF$5)</f>
        <v>0</v>
      </c>
      <c r="AG19" s="229">
        <f>SUMIFS([1]!Data_BS[Value],[1]!Data_BS[Index BS],'Dong Lam'!$B19,[1]!Data_BS[TenCongTyID],'Dong Lam'!$B$1,[1]!Data_BS[Thang.Nam],'Dong Lam'!AG$5)</f>
        <v>0</v>
      </c>
      <c r="AH19" s="229">
        <f>SUMIFS([1]!Data_BS[Value],[1]!Data_BS[Index BS],'Dong Lam'!$B19,[1]!Data_BS[TenCongTyID],'Dong Lam'!$B$1,[1]!Data_BS[Thang.Nam],'Dong Lam'!AH$5)</f>
        <v>0</v>
      </c>
      <c r="AI19" s="229">
        <f>SUMIFS([1]!Data_BS[Value],[1]!Data_BS[Index BS],'Dong Lam'!$B19,[1]!Data_BS[TenCongTyID],'Dong Lam'!$B$1,[1]!Data_BS[Thang.Nam],'Dong Lam'!AI$5)</f>
        <v>0</v>
      </c>
      <c r="AJ19" s="229">
        <f>SUMIFS([1]!Data_BS[Value],[1]!Data_BS[Index BS],'Dong Lam'!$B19,[1]!Data_BS[TenCongTyID],'Dong Lam'!$B$1,[1]!Data_BS[Thang.Nam],'Dong Lam'!AJ$5)</f>
        <v>0</v>
      </c>
      <c r="AK19" s="229">
        <f>SUMIFS([1]!Data_BS[Value],[1]!Data_BS[Index BS],'Dong Lam'!$B19,[1]!Data_BS[TenCongTyID],'Dong Lam'!$B$1,[1]!Data_BS[Thang.Nam],'Dong Lam'!AK$5)</f>
        <v>0</v>
      </c>
      <c r="AL19" s="229">
        <f>SUMIFS([1]!Data_BS[Value],[1]!Data_BS[Index BS],'Dong Lam'!$B19,[1]!Data_BS[TenCongTyID],'Dong Lam'!$B$1,[1]!Data_BS[Thang.Nam],'Dong Lam'!AL$5)</f>
        <v>0</v>
      </c>
    </row>
    <row r="20" spans="1:38" ht="15" hidden="1" customHeight="1" outlineLevel="1">
      <c r="A20" s="67" t="s">
        <v>104</v>
      </c>
      <c r="B20" s="63">
        <v>15</v>
      </c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>
        <v>0</v>
      </c>
      <c r="P20" s="229"/>
      <c r="Q20" s="229"/>
      <c r="R20" s="229"/>
      <c r="S20" s="229"/>
      <c r="T20" s="229"/>
      <c r="U20" s="229"/>
      <c r="V20" s="229">
        <v>0</v>
      </c>
      <c r="W20" s="229"/>
      <c r="X20" s="229"/>
      <c r="Y20" s="229"/>
      <c r="Z20" s="229">
        <v>0</v>
      </c>
      <c r="AA20" s="229">
        <f>SUMIFS([1]!Data_BS[Value],[1]!Data_BS[Index BS],'Dong Lam'!$B20,[1]!Data_BS[TenCongTyID],'Dong Lam'!$B$1,[1]!Data_BS[Thang.Nam],'Dong Lam'!AA$5)</f>
        <v>0</v>
      </c>
      <c r="AB20" s="229">
        <f>SUMIFS([1]!Data_BS[Value],[1]!Data_BS[Index BS],'Dong Lam'!$B20,[1]!Data_BS[TenCongTyID],'Dong Lam'!$B$1,[1]!Data_BS[Thang.Nam],'Dong Lam'!AB$5)</f>
        <v>0</v>
      </c>
      <c r="AC20" s="229">
        <f>SUMIFS([1]!Data_BS[Value],[1]!Data_BS[Index BS],'Dong Lam'!$B20,[1]!Data_BS[TenCongTyID],'Dong Lam'!$B$1,[1]!Data_BS[Thang.Nam],'Dong Lam'!AC$5)</f>
        <v>0</v>
      </c>
      <c r="AD20" s="229">
        <f>SUMIFS([1]!Data_BS[Value],[1]!Data_BS[Index BS],'Dong Lam'!$B20,[1]!Data_BS[TenCongTyID],'Dong Lam'!$B$1,[1]!Data_BS[Thang.Nam],'Dong Lam'!AD$5)</f>
        <v>0</v>
      </c>
      <c r="AE20" s="229">
        <f>SUMIFS([1]!Data_BS[Value],[1]!Data_BS[Index BS],'Dong Lam'!$B20,[1]!Data_BS[TenCongTyID],'Dong Lam'!$B$1,[1]!Data_BS[Thang.Nam],'Dong Lam'!AE$5)</f>
        <v>0</v>
      </c>
      <c r="AF20" s="229">
        <f>SUMIFS([1]!Data_BS[Value],[1]!Data_BS[Index BS],'Dong Lam'!$B20,[1]!Data_BS[TenCongTyID],'Dong Lam'!$B$1,[1]!Data_BS[Thang.Nam],'Dong Lam'!AF$5)</f>
        <v>0</v>
      </c>
      <c r="AG20" s="229">
        <f>SUMIFS([1]!Data_BS[Value],[1]!Data_BS[Index BS],'Dong Lam'!$B20,[1]!Data_BS[TenCongTyID],'Dong Lam'!$B$1,[1]!Data_BS[Thang.Nam],'Dong Lam'!AG$5)</f>
        <v>0</v>
      </c>
      <c r="AH20" s="229">
        <f>SUMIFS([1]!Data_BS[Value],[1]!Data_BS[Index BS],'Dong Lam'!$B20,[1]!Data_BS[TenCongTyID],'Dong Lam'!$B$1,[1]!Data_BS[Thang.Nam],'Dong Lam'!AH$5)</f>
        <v>0</v>
      </c>
      <c r="AI20" s="229">
        <f>SUMIFS([1]!Data_BS[Value],[1]!Data_BS[Index BS],'Dong Lam'!$B20,[1]!Data_BS[TenCongTyID],'Dong Lam'!$B$1,[1]!Data_BS[Thang.Nam],'Dong Lam'!AI$5)</f>
        <v>0</v>
      </c>
      <c r="AJ20" s="229">
        <f>SUMIFS([1]!Data_BS[Value],[1]!Data_BS[Index BS],'Dong Lam'!$B20,[1]!Data_BS[TenCongTyID],'Dong Lam'!$B$1,[1]!Data_BS[Thang.Nam],'Dong Lam'!AJ$5)</f>
        <v>0</v>
      </c>
      <c r="AK20" s="229">
        <f>SUMIFS([1]!Data_BS[Value],[1]!Data_BS[Index BS],'Dong Lam'!$B20,[1]!Data_BS[TenCongTyID],'Dong Lam'!$B$1,[1]!Data_BS[Thang.Nam],'Dong Lam'!AK$5)</f>
        <v>0</v>
      </c>
      <c r="AL20" s="229">
        <f>SUMIFS([1]!Data_BS[Value],[1]!Data_BS[Index BS],'Dong Lam'!$B20,[1]!Data_BS[TenCongTyID],'Dong Lam'!$B$1,[1]!Data_BS[Thang.Nam],'Dong Lam'!AL$5)</f>
        <v>0</v>
      </c>
    </row>
    <row r="21" spans="1:38" ht="15" hidden="1" customHeight="1" outlineLevel="1">
      <c r="A21" s="67" t="s">
        <v>105</v>
      </c>
      <c r="B21" s="63">
        <v>16</v>
      </c>
      <c r="C21" s="229"/>
      <c r="D21" s="229"/>
      <c r="E21" s="229"/>
      <c r="F21" s="229"/>
      <c r="G21" s="229"/>
      <c r="H21" s="229"/>
      <c r="I21" s="229"/>
      <c r="J21" s="229"/>
      <c r="K21" s="229"/>
      <c r="L21" s="229"/>
      <c r="M21" s="229"/>
      <c r="N21" s="229"/>
      <c r="O21" s="229">
        <v>0</v>
      </c>
      <c r="P21" s="229"/>
      <c r="Q21" s="229"/>
      <c r="R21" s="229"/>
      <c r="S21" s="229"/>
      <c r="T21" s="229"/>
      <c r="U21" s="229"/>
      <c r="V21" s="229">
        <v>0</v>
      </c>
      <c r="W21" s="229"/>
      <c r="X21" s="229"/>
      <c r="Y21" s="229"/>
      <c r="Z21" s="229">
        <v>0</v>
      </c>
      <c r="AA21" s="229">
        <f>SUMIFS([1]!Data_BS[Value],[1]!Data_BS[Index BS],'Dong Lam'!$B21,[1]!Data_BS[TenCongTyID],'Dong Lam'!$B$1,[1]!Data_BS[Thang.Nam],'Dong Lam'!AA$5)</f>
        <v>0</v>
      </c>
      <c r="AB21" s="229">
        <f>SUMIFS([1]!Data_BS[Value],[1]!Data_BS[Index BS],'Dong Lam'!$B21,[1]!Data_BS[TenCongTyID],'Dong Lam'!$B$1,[1]!Data_BS[Thang.Nam],'Dong Lam'!AB$5)</f>
        <v>0</v>
      </c>
      <c r="AC21" s="229">
        <f>SUMIFS([1]!Data_BS[Value],[1]!Data_BS[Index BS],'Dong Lam'!$B21,[1]!Data_BS[TenCongTyID],'Dong Lam'!$B$1,[1]!Data_BS[Thang.Nam],'Dong Lam'!AC$5)</f>
        <v>0</v>
      </c>
      <c r="AD21" s="229">
        <f>SUMIFS([1]!Data_BS[Value],[1]!Data_BS[Index BS],'Dong Lam'!$B21,[1]!Data_BS[TenCongTyID],'Dong Lam'!$B$1,[1]!Data_BS[Thang.Nam],'Dong Lam'!AD$5)</f>
        <v>0</v>
      </c>
      <c r="AE21" s="229">
        <f>SUMIFS([1]!Data_BS[Value],[1]!Data_BS[Index BS],'Dong Lam'!$B21,[1]!Data_BS[TenCongTyID],'Dong Lam'!$B$1,[1]!Data_BS[Thang.Nam],'Dong Lam'!AE$5)</f>
        <v>0</v>
      </c>
      <c r="AF21" s="229">
        <f>SUMIFS([1]!Data_BS[Value],[1]!Data_BS[Index BS],'Dong Lam'!$B21,[1]!Data_BS[TenCongTyID],'Dong Lam'!$B$1,[1]!Data_BS[Thang.Nam],'Dong Lam'!AF$5)</f>
        <v>0</v>
      </c>
      <c r="AG21" s="229">
        <f>SUMIFS([1]!Data_BS[Value],[1]!Data_BS[Index BS],'Dong Lam'!$B21,[1]!Data_BS[TenCongTyID],'Dong Lam'!$B$1,[1]!Data_BS[Thang.Nam],'Dong Lam'!AG$5)</f>
        <v>0</v>
      </c>
      <c r="AH21" s="229">
        <f>SUMIFS([1]!Data_BS[Value],[1]!Data_BS[Index BS],'Dong Lam'!$B21,[1]!Data_BS[TenCongTyID],'Dong Lam'!$B$1,[1]!Data_BS[Thang.Nam],'Dong Lam'!AH$5)</f>
        <v>0</v>
      </c>
      <c r="AI21" s="229">
        <f>SUMIFS([1]!Data_BS[Value],[1]!Data_BS[Index BS],'Dong Lam'!$B21,[1]!Data_BS[TenCongTyID],'Dong Lam'!$B$1,[1]!Data_BS[Thang.Nam],'Dong Lam'!AI$5)</f>
        <v>0</v>
      </c>
      <c r="AJ21" s="229">
        <f>SUMIFS([1]!Data_BS[Value],[1]!Data_BS[Index BS],'Dong Lam'!$B21,[1]!Data_BS[TenCongTyID],'Dong Lam'!$B$1,[1]!Data_BS[Thang.Nam],'Dong Lam'!AJ$5)</f>
        <v>0</v>
      </c>
      <c r="AK21" s="229">
        <f>SUMIFS([1]!Data_BS[Value],[1]!Data_BS[Index BS],'Dong Lam'!$B21,[1]!Data_BS[TenCongTyID],'Dong Lam'!$B$1,[1]!Data_BS[Thang.Nam],'Dong Lam'!AK$5)</f>
        <v>0</v>
      </c>
      <c r="AL21" s="229">
        <f>SUMIFS([1]!Data_BS[Value],[1]!Data_BS[Index BS],'Dong Lam'!$B21,[1]!Data_BS[TenCongTyID],'Dong Lam'!$B$1,[1]!Data_BS[Thang.Nam],'Dong Lam'!AL$5)</f>
        <v>0</v>
      </c>
    </row>
    <row r="22" spans="1:38" ht="15" hidden="1" customHeight="1" outlineLevel="1">
      <c r="A22" s="67" t="s">
        <v>106</v>
      </c>
      <c r="B22" s="63">
        <v>17</v>
      </c>
      <c r="C22" s="229"/>
      <c r="D22" s="229"/>
      <c r="E22" s="229"/>
      <c r="F22" s="229"/>
      <c r="G22" s="229"/>
      <c r="H22" s="229">
        <v>12340110</v>
      </c>
      <c r="I22" s="229">
        <v>0</v>
      </c>
      <c r="J22" s="229"/>
      <c r="K22" s="229"/>
      <c r="L22" s="229">
        <v>10000000</v>
      </c>
      <c r="M22" s="229"/>
      <c r="N22" s="229">
        <v>18911860</v>
      </c>
      <c r="O22" s="229">
        <v>1344000</v>
      </c>
      <c r="P22" s="229"/>
      <c r="Q22" s="229"/>
      <c r="R22" s="229"/>
      <c r="S22" s="229"/>
      <c r="T22" s="229">
        <v>1344000</v>
      </c>
      <c r="U22" s="229">
        <v>48000</v>
      </c>
      <c r="V22" s="229">
        <v>48000</v>
      </c>
      <c r="W22" s="229">
        <v>48000</v>
      </c>
      <c r="X22" s="229">
        <v>48000</v>
      </c>
      <c r="Y22" s="229">
        <v>48000</v>
      </c>
      <c r="Z22" s="229">
        <v>0</v>
      </c>
      <c r="AA22" s="229">
        <f>SUMIFS([1]!Data_BS[Value],[1]!Data_BS[Index BS],'Dong Lam'!$B22,[1]!Data_BS[TenCongTyID],'Dong Lam'!$B$1,[1]!Data_BS[Thang.Nam],'Dong Lam'!AA$5)</f>
        <v>0</v>
      </c>
      <c r="AB22" s="229">
        <f>SUMIFS([1]!Data_BS[Value],[1]!Data_BS[Index BS],'Dong Lam'!$B22,[1]!Data_BS[TenCongTyID],'Dong Lam'!$B$1,[1]!Data_BS[Thang.Nam],'Dong Lam'!AB$5)</f>
        <v>0</v>
      </c>
      <c r="AC22" s="229">
        <f>SUMIFS([1]!Data_BS[Value],[1]!Data_BS[Index BS],'Dong Lam'!$B22,[1]!Data_BS[TenCongTyID],'Dong Lam'!$B$1,[1]!Data_BS[Thang.Nam],'Dong Lam'!AC$5)</f>
        <v>0</v>
      </c>
      <c r="AD22" s="229">
        <f>SUMIFS([1]!Data_BS[Value],[1]!Data_BS[Index BS],'Dong Lam'!$B22,[1]!Data_BS[TenCongTyID],'Dong Lam'!$B$1,[1]!Data_BS[Thang.Nam],'Dong Lam'!AD$5)</f>
        <v>0</v>
      </c>
      <c r="AE22" s="229">
        <f>SUMIFS([1]!Data_BS[Value],[1]!Data_BS[Index BS],'Dong Lam'!$B22,[1]!Data_BS[TenCongTyID],'Dong Lam'!$B$1,[1]!Data_BS[Thang.Nam],'Dong Lam'!AE$5)</f>
        <v>0</v>
      </c>
      <c r="AF22" s="229">
        <f>SUMIFS([1]!Data_BS[Value],[1]!Data_BS[Index BS],'Dong Lam'!$B22,[1]!Data_BS[TenCongTyID],'Dong Lam'!$B$1,[1]!Data_BS[Thang.Nam],'Dong Lam'!AF$5)</f>
        <v>0</v>
      </c>
      <c r="AG22" s="229">
        <f>SUMIFS([1]!Data_BS[Value],[1]!Data_BS[Index BS],'Dong Lam'!$B22,[1]!Data_BS[TenCongTyID],'Dong Lam'!$B$1,[1]!Data_BS[Thang.Nam],'Dong Lam'!AG$5)</f>
        <v>0</v>
      </c>
      <c r="AH22" s="229">
        <f>SUMIFS([1]!Data_BS[Value],[1]!Data_BS[Index BS],'Dong Lam'!$B22,[1]!Data_BS[TenCongTyID],'Dong Lam'!$B$1,[1]!Data_BS[Thang.Nam],'Dong Lam'!AH$5)</f>
        <v>0</v>
      </c>
      <c r="AI22" s="229">
        <f>SUMIFS([1]!Data_BS[Value],[1]!Data_BS[Index BS],'Dong Lam'!$B22,[1]!Data_BS[TenCongTyID],'Dong Lam'!$B$1,[1]!Data_BS[Thang.Nam],'Dong Lam'!AI$5)</f>
        <v>0</v>
      </c>
      <c r="AJ22" s="229">
        <f>SUMIFS([1]!Data_BS[Value],[1]!Data_BS[Index BS],'Dong Lam'!$B22,[1]!Data_BS[TenCongTyID],'Dong Lam'!$B$1,[1]!Data_BS[Thang.Nam],'Dong Lam'!AJ$5)</f>
        <v>0</v>
      </c>
      <c r="AK22" s="229">
        <f>SUMIFS([1]!Data_BS[Value],[1]!Data_BS[Index BS],'Dong Lam'!$B22,[1]!Data_BS[TenCongTyID],'Dong Lam'!$B$1,[1]!Data_BS[Thang.Nam],'Dong Lam'!AK$5)</f>
        <v>0</v>
      </c>
      <c r="AL22" s="229">
        <f>SUMIFS([1]!Data_BS[Value],[1]!Data_BS[Index BS],'Dong Lam'!$B22,[1]!Data_BS[TenCongTyID],'Dong Lam'!$B$1,[1]!Data_BS[Thang.Nam],'Dong Lam'!AL$5)</f>
        <v>0</v>
      </c>
    </row>
    <row r="23" spans="1:38" ht="15" hidden="1" customHeight="1" outlineLevel="1">
      <c r="A23" s="67" t="s">
        <v>107</v>
      </c>
      <c r="B23" s="63">
        <v>18</v>
      </c>
      <c r="C23" s="229">
        <v>-120525864</v>
      </c>
      <c r="D23" s="229">
        <v>-120525864</v>
      </c>
      <c r="E23" s="229">
        <v>-120525864</v>
      </c>
      <c r="F23" s="229">
        <v>-120525864</v>
      </c>
      <c r="G23" s="229">
        <v>-120525864</v>
      </c>
      <c r="H23" s="229">
        <v>-120525864</v>
      </c>
      <c r="I23" s="229">
        <v>-120525864</v>
      </c>
      <c r="J23" s="229">
        <v>-120525864</v>
      </c>
      <c r="K23" s="229">
        <v>-120525864</v>
      </c>
      <c r="L23" s="229">
        <v>-120525864</v>
      </c>
      <c r="M23" s="229"/>
      <c r="N23" s="229"/>
      <c r="O23" s="229"/>
      <c r="P23" s="229"/>
      <c r="Q23" s="229"/>
      <c r="R23" s="229"/>
      <c r="S23" s="229"/>
      <c r="T23" s="229"/>
      <c r="U23" s="229"/>
      <c r="V23" s="229">
        <v>0</v>
      </c>
      <c r="W23" s="229"/>
      <c r="X23" s="229"/>
      <c r="Y23" s="229"/>
      <c r="Z23" s="229">
        <v>0</v>
      </c>
      <c r="AA23" s="229">
        <f>SUMIFS([1]!Data_BS[Value],[1]!Data_BS[Index BS],'Dong Lam'!$B23,[1]!Data_BS[TenCongTyID],'Dong Lam'!$B$1,[1]!Data_BS[Thang.Nam],'Dong Lam'!AA$5)</f>
        <v>0</v>
      </c>
      <c r="AB23" s="229">
        <f>SUMIFS([1]!Data_BS[Value],[1]!Data_BS[Index BS],'Dong Lam'!$B23,[1]!Data_BS[TenCongTyID],'Dong Lam'!$B$1,[1]!Data_BS[Thang.Nam],'Dong Lam'!AB$5)</f>
        <v>0</v>
      </c>
      <c r="AC23" s="229">
        <f>SUMIFS([1]!Data_BS[Value],[1]!Data_BS[Index BS],'Dong Lam'!$B23,[1]!Data_BS[TenCongTyID],'Dong Lam'!$B$1,[1]!Data_BS[Thang.Nam],'Dong Lam'!AC$5)</f>
        <v>0</v>
      </c>
      <c r="AD23" s="229">
        <f>SUMIFS([1]!Data_BS[Value],[1]!Data_BS[Index BS],'Dong Lam'!$B23,[1]!Data_BS[TenCongTyID],'Dong Lam'!$B$1,[1]!Data_BS[Thang.Nam],'Dong Lam'!AD$5)</f>
        <v>0</v>
      </c>
      <c r="AE23" s="229">
        <f>SUMIFS([1]!Data_BS[Value],[1]!Data_BS[Index BS],'Dong Lam'!$B23,[1]!Data_BS[TenCongTyID],'Dong Lam'!$B$1,[1]!Data_BS[Thang.Nam],'Dong Lam'!AE$5)</f>
        <v>0</v>
      </c>
      <c r="AF23" s="229">
        <f>SUMIFS([1]!Data_BS[Value],[1]!Data_BS[Index BS],'Dong Lam'!$B23,[1]!Data_BS[TenCongTyID],'Dong Lam'!$B$1,[1]!Data_BS[Thang.Nam],'Dong Lam'!AF$5)</f>
        <v>0</v>
      </c>
      <c r="AG23" s="229">
        <f>SUMIFS([1]!Data_BS[Value],[1]!Data_BS[Index BS],'Dong Lam'!$B23,[1]!Data_BS[TenCongTyID],'Dong Lam'!$B$1,[1]!Data_BS[Thang.Nam],'Dong Lam'!AG$5)</f>
        <v>0</v>
      </c>
      <c r="AH23" s="229">
        <f>SUMIFS([1]!Data_BS[Value],[1]!Data_BS[Index BS],'Dong Lam'!$B23,[1]!Data_BS[TenCongTyID],'Dong Lam'!$B$1,[1]!Data_BS[Thang.Nam],'Dong Lam'!AH$5)</f>
        <v>0</v>
      </c>
      <c r="AI23" s="229">
        <f>SUMIFS([1]!Data_BS[Value],[1]!Data_BS[Index BS],'Dong Lam'!$B23,[1]!Data_BS[TenCongTyID],'Dong Lam'!$B$1,[1]!Data_BS[Thang.Nam],'Dong Lam'!AI$5)</f>
        <v>0</v>
      </c>
      <c r="AJ23" s="229">
        <f>SUMIFS([1]!Data_BS[Value],[1]!Data_BS[Index BS],'Dong Lam'!$B23,[1]!Data_BS[TenCongTyID],'Dong Lam'!$B$1,[1]!Data_BS[Thang.Nam],'Dong Lam'!AJ$5)</f>
        <v>0</v>
      </c>
      <c r="AK23" s="229">
        <f>SUMIFS([1]!Data_BS[Value],[1]!Data_BS[Index BS],'Dong Lam'!$B23,[1]!Data_BS[TenCongTyID],'Dong Lam'!$B$1,[1]!Data_BS[Thang.Nam],'Dong Lam'!AK$5)</f>
        <v>0</v>
      </c>
      <c r="AL23" s="229">
        <f>SUMIFS([1]!Data_BS[Value],[1]!Data_BS[Index BS],'Dong Lam'!$B23,[1]!Data_BS[TenCongTyID],'Dong Lam'!$B$1,[1]!Data_BS[Thang.Nam],'Dong Lam'!AL$5)</f>
        <v>0</v>
      </c>
    </row>
    <row r="24" spans="1:38" ht="15" hidden="1" customHeight="1" outlineLevel="1">
      <c r="A24" s="68" t="s">
        <v>108</v>
      </c>
      <c r="B24" s="63">
        <v>19</v>
      </c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>
        <v>0</v>
      </c>
      <c r="W24" s="229"/>
      <c r="X24" s="229"/>
      <c r="Y24" s="229"/>
      <c r="Z24" s="229">
        <v>0</v>
      </c>
      <c r="AA24" s="229">
        <f>SUMIFS([1]!Data_BS[Value],[1]!Data_BS[Index BS],'Dong Lam'!$B24,[1]!Data_BS[TenCongTyID],'Dong Lam'!$B$1,[1]!Data_BS[Thang.Nam],'Dong Lam'!AA$5)</f>
        <v>0</v>
      </c>
      <c r="AB24" s="229">
        <f>SUMIFS([1]!Data_BS[Value],[1]!Data_BS[Index BS],'Dong Lam'!$B24,[1]!Data_BS[TenCongTyID],'Dong Lam'!$B$1,[1]!Data_BS[Thang.Nam],'Dong Lam'!AB$5)</f>
        <v>0</v>
      </c>
      <c r="AC24" s="229">
        <f>SUMIFS([1]!Data_BS[Value],[1]!Data_BS[Index BS],'Dong Lam'!$B24,[1]!Data_BS[TenCongTyID],'Dong Lam'!$B$1,[1]!Data_BS[Thang.Nam],'Dong Lam'!AC$5)</f>
        <v>0</v>
      </c>
      <c r="AD24" s="229">
        <f>SUMIFS([1]!Data_BS[Value],[1]!Data_BS[Index BS],'Dong Lam'!$B24,[1]!Data_BS[TenCongTyID],'Dong Lam'!$B$1,[1]!Data_BS[Thang.Nam],'Dong Lam'!AD$5)</f>
        <v>0</v>
      </c>
      <c r="AE24" s="229">
        <f>SUMIFS([1]!Data_BS[Value],[1]!Data_BS[Index BS],'Dong Lam'!$B24,[1]!Data_BS[TenCongTyID],'Dong Lam'!$B$1,[1]!Data_BS[Thang.Nam],'Dong Lam'!AE$5)</f>
        <v>0</v>
      </c>
      <c r="AF24" s="229">
        <f>SUMIFS([1]!Data_BS[Value],[1]!Data_BS[Index BS],'Dong Lam'!$B24,[1]!Data_BS[TenCongTyID],'Dong Lam'!$B$1,[1]!Data_BS[Thang.Nam],'Dong Lam'!AF$5)</f>
        <v>0</v>
      </c>
      <c r="AG24" s="229">
        <f>SUMIFS([1]!Data_BS[Value],[1]!Data_BS[Index BS],'Dong Lam'!$B24,[1]!Data_BS[TenCongTyID],'Dong Lam'!$B$1,[1]!Data_BS[Thang.Nam],'Dong Lam'!AG$5)</f>
        <v>0</v>
      </c>
      <c r="AH24" s="229">
        <f>SUMIFS([1]!Data_BS[Value],[1]!Data_BS[Index BS],'Dong Lam'!$B24,[1]!Data_BS[TenCongTyID],'Dong Lam'!$B$1,[1]!Data_BS[Thang.Nam],'Dong Lam'!AH$5)</f>
        <v>0</v>
      </c>
      <c r="AI24" s="229">
        <f>SUMIFS([1]!Data_BS[Value],[1]!Data_BS[Index BS],'Dong Lam'!$B24,[1]!Data_BS[TenCongTyID],'Dong Lam'!$B$1,[1]!Data_BS[Thang.Nam],'Dong Lam'!AI$5)</f>
        <v>0</v>
      </c>
      <c r="AJ24" s="229">
        <f>SUMIFS([1]!Data_BS[Value],[1]!Data_BS[Index BS],'Dong Lam'!$B24,[1]!Data_BS[TenCongTyID],'Dong Lam'!$B$1,[1]!Data_BS[Thang.Nam],'Dong Lam'!AJ$5)</f>
        <v>0</v>
      </c>
      <c r="AK24" s="229">
        <f>SUMIFS([1]!Data_BS[Value],[1]!Data_BS[Index BS],'Dong Lam'!$B24,[1]!Data_BS[TenCongTyID],'Dong Lam'!$B$1,[1]!Data_BS[Thang.Nam],'Dong Lam'!AK$5)</f>
        <v>0</v>
      </c>
      <c r="AL24" s="229">
        <f>SUMIFS([1]!Data_BS[Value],[1]!Data_BS[Index BS],'Dong Lam'!$B24,[1]!Data_BS[TenCongTyID],'Dong Lam'!$B$1,[1]!Data_BS[Thang.Nam],'Dong Lam'!AL$5)</f>
        <v>0</v>
      </c>
    </row>
    <row r="25" spans="1:38" ht="15" hidden="1" customHeight="1" outlineLevel="1">
      <c r="A25" s="59" t="s">
        <v>109</v>
      </c>
      <c r="B25" s="65">
        <v>20</v>
      </c>
      <c r="C25" s="233">
        <v>5097334928</v>
      </c>
      <c r="D25" s="233">
        <v>4689521975</v>
      </c>
      <c r="E25" s="233">
        <v>4782382935</v>
      </c>
      <c r="F25" s="233">
        <v>4564558366</v>
      </c>
      <c r="G25" s="233">
        <v>2418620233</v>
      </c>
      <c r="H25" s="233">
        <v>2070065742</v>
      </c>
      <c r="I25" s="233">
        <v>1435461347</v>
      </c>
      <c r="J25" s="233">
        <v>1414948155</v>
      </c>
      <c r="K25" s="233">
        <v>1662924313</v>
      </c>
      <c r="L25" s="233">
        <v>1439296958</v>
      </c>
      <c r="M25" s="233">
        <v>1723787677</v>
      </c>
      <c r="N25" s="234">
        <v>1028919593</v>
      </c>
      <c r="O25" s="234">
        <v>2008806177</v>
      </c>
      <c r="P25" s="234">
        <v>2407229278</v>
      </c>
      <c r="Q25" s="234">
        <v>2554142549</v>
      </c>
      <c r="R25" s="234">
        <v>2963049705</v>
      </c>
      <c r="S25" s="234">
        <v>3976906941</v>
      </c>
      <c r="T25" s="234">
        <v>4554776839</v>
      </c>
      <c r="U25" s="234">
        <v>7623270646</v>
      </c>
      <c r="V25" s="234">
        <v>5690293381</v>
      </c>
      <c r="W25" s="234">
        <v>2045402963</v>
      </c>
      <c r="X25" s="234">
        <v>805983164</v>
      </c>
      <c r="Y25" s="234">
        <v>1594635760</v>
      </c>
      <c r="Z25" s="234">
        <v>1493486657</v>
      </c>
      <c r="AA25" s="234">
        <f>SUMIFS([1]!Data_BS[Value],[1]!Data_BS[Index BS],'Dong Lam'!$B25,[1]!Data_BS[TenCongTyID],'Dong Lam'!$B$1,[1]!Data_BS[Thang.Nam],'Dong Lam'!AA$5)</f>
        <v>0</v>
      </c>
      <c r="AB25" s="234">
        <f>SUMIFS([1]!Data_BS[Value],[1]!Data_BS[Index BS],'Dong Lam'!$B25,[1]!Data_BS[TenCongTyID],'Dong Lam'!$B$1,[1]!Data_BS[Thang.Nam],'Dong Lam'!AB$5)</f>
        <v>0</v>
      </c>
      <c r="AC25" s="234">
        <f>SUMIFS([1]!Data_BS[Value],[1]!Data_BS[Index BS],'Dong Lam'!$B25,[1]!Data_BS[TenCongTyID],'Dong Lam'!$B$1,[1]!Data_BS[Thang.Nam],'Dong Lam'!AC$5)</f>
        <v>0</v>
      </c>
      <c r="AD25" s="234">
        <f>SUMIFS([1]!Data_BS[Value],[1]!Data_BS[Index BS],'Dong Lam'!$B25,[1]!Data_BS[TenCongTyID],'Dong Lam'!$B$1,[1]!Data_BS[Thang.Nam],'Dong Lam'!AD$5)</f>
        <v>0</v>
      </c>
      <c r="AE25" s="234">
        <f>SUMIFS([1]!Data_BS[Value],[1]!Data_BS[Index BS],'Dong Lam'!$B25,[1]!Data_BS[TenCongTyID],'Dong Lam'!$B$1,[1]!Data_BS[Thang.Nam],'Dong Lam'!AE$5)</f>
        <v>0</v>
      </c>
      <c r="AF25" s="234">
        <f>SUMIFS([1]!Data_BS[Value],[1]!Data_BS[Index BS],'Dong Lam'!$B25,[1]!Data_BS[TenCongTyID],'Dong Lam'!$B$1,[1]!Data_BS[Thang.Nam],'Dong Lam'!AF$5)</f>
        <v>0</v>
      </c>
      <c r="AG25" s="234">
        <f>SUMIFS([1]!Data_BS[Value],[1]!Data_BS[Index BS],'Dong Lam'!$B25,[1]!Data_BS[TenCongTyID],'Dong Lam'!$B$1,[1]!Data_BS[Thang.Nam],'Dong Lam'!AG$5)</f>
        <v>0</v>
      </c>
      <c r="AH25" s="234">
        <f>SUMIFS([1]!Data_BS[Value],[1]!Data_BS[Index BS],'Dong Lam'!$B25,[1]!Data_BS[TenCongTyID],'Dong Lam'!$B$1,[1]!Data_BS[Thang.Nam],'Dong Lam'!AH$5)</f>
        <v>0</v>
      </c>
      <c r="AI25" s="234">
        <f>SUMIFS([1]!Data_BS[Value],[1]!Data_BS[Index BS],'Dong Lam'!$B25,[1]!Data_BS[TenCongTyID],'Dong Lam'!$B$1,[1]!Data_BS[Thang.Nam],'Dong Lam'!AI$5)</f>
        <v>0</v>
      </c>
      <c r="AJ25" s="234">
        <f>SUMIFS([1]!Data_BS[Value],[1]!Data_BS[Index BS],'Dong Lam'!$B25,[1]!Data_BS[TenCongTyID],'Dong Lam'!$B$1,[1]!Data_BS[Thang.Nam],'Dong Lam'!AJ$5)</f>
        <v>0</v>
      </c>
      <c r="AK25" s="234">
        <f>SUMIFS([1]!Data_BS[Value],[1]!Data_BS[Index BS],'Dong Lam'!$B25,[1]!Data_BS[TenCongTyID],'Dong Lam'!$B$1,[1]!Data_BS[Thang.Nam],'Dong Lam'!AK$5)</f>
        <v>0</v>
      </c>
      <c r="AL25" s="234">
        <f>SUMIFS([1]!Data_BS[Value],[1]!Data_BS[Index BS],'Dong Lam'!$B25,[1]!Data_BS[TenCongTyID],'Dong Lam'!$B$1,[1]!Data_BS[Thang.Nam],'Dong Lam'!AL$5)</f>
        <v>0</v>
      </c>
    </row>
    <row r="26" spans="1:38" ht="15" hidden="1" customHeight="1" outlineLevel="1">
      <c r="A26" s="62" t="s">
        <v>110</v>
      </c>
      <c r="B26" s="63">
        <v>21</v>
      </c>
      <c r="C26" s="229">
        <v>5097334928</v>
      </c>
      <c r="D26" s="229">
        <v>4689521975</v>
      </c>
      <c r="E26" s="229">
        <v>4782382935</v>
      </c>
      <c r="F26" s="229">
        <v>4564558366</v>
      </c>
      <c r="G26" s="229">
        <v>2418620233</v>
      </c>
      <c r="H26" s="229">
        <v>2070065742</v>
      </c>
      <c r="I26" s="229">
        <v>1435461347</v>
      </c>
      <c r="J26" s="229">
        <v>1414948155</v>
      </c>
      <c r="K26" s="229">
        <v>1662924313</v>
      </c>
      <c r="L26" s="229">
        <v>1439296958</v>
      </c>
      <c r="M26" s="229">
        <v>1723787677</v>
      </c>
      <c r="N26" s="229">
        <v>1028919593</v>
      </c>
      <c r="O26" s="229">
        <v>2008806177</v>
      </c>
      <c r="P26" s="229">
        <v>2407229278</v>
      </c>
      <c r="Q26" s="229">
        <v>2554142549</v>
      </c>
      <c r="R26" s="229">
        <v>2963049705</v>
      </c>
      <c r="S26" s="229">
        <v>3976906941</v>
      </c>
      <c r="T26" s="229">
        <v>4554776839</v>
      </c>
      <c r="U26" s="229">
        <v>7623270646</v>
      </c>
      <c r="V26" s="229">
        <v>5690293381</v>
      </c>
      <c r="W26" s="229">
        <v>2045402963</v>
      </c>
      <c r="X26" s="229">
        <v>805983164</v>
      </c>
      <c r="Y26" s="229">
        <v>1594635760</v>
      </c>
      <c r="Z26" s="229">
        <v>1493486657</v>
      </c>
      <c r="AA26" s="229">
        <f>SUMIFS([1]!Data_BS[Value],[1]!Data_BS[Index BS],'Dong Lam'!$B26,[1]!Data_BS[TenCongTyID],'Dong Lam'!$B$1,[1]!Data_BS[Thang.Nam],'Dong Lam'!AA$5)</f>
        <v>0</v>
      </c>
      <c r="AB26" s="229">
        <f>SUMIFS([1]!Data_BS[Value],[1]!Data_BS[Index BS],'Dong Lam'!$B26,[1]!Data_BS[TenCongTyID],'Dong Lam'!$B$1,[1]!Data_BS[Thang.Nam],'Dong Lam'!AB$5)</f>
        <v>0</v>
      </c>
      <c r="AC26" s="229">
        <f>SUMIFS([1]!Data_BS[Value],[1]!Data_BS[Index BS],'Dong Lam'!$B26,[1]!Data_BS[TenCongTyID],'Dong Lam'!$B$1,[1]!Data_BS[Thang.Nam],'Dong Lam'!AC$5)</f>
        <v>0</v>
      </c>
      <c r="AD26" s="229">
        <f>SUMIFS([1]!Data_BS[Value],[1]!Data_BS[Index BS],'Dong Lam'!$B26,[1]!Data_BS[TenCongTyID],'Dong Lam'!$B$1,[1]!Data_BS[Thang.Nam],'Dong Lam'!AD$5)</f>
        <v>0</v>
      </c>
      <c r="AE26" s="229">
        <f>SUMIFS([1]!Data_BS[Value],[1]!Data_BS[Index BS],'Dong Lam'!$B26,[1]!Data_BS[TenCongTyID],'Dong Lam'!$B$1,[1]!Data_BS[Thang.Nam],'Dong Lam'!AE$5)</f>
        <v>0</v>
      </c>
      <c r="AF26" s="229">
        <f>SUMIFS([1]!Data_BS[Value],[1]!Data_BS[Index BS],'Dong Lam'!$B26,[1]!Data_BS[TenCongTyID],'Dong Lam'!$B$1,[1]!Data_BS[Thang.Nam],'Dong Lam'!AF$5)</f>
        <v>0</v>
      </c>
      <c r="AG26" s="229">
        <f>SUMIFS([1]!Data_BS[Value],[1]!Data_BS[Index BS],'Dong Lam'!$B26,[1]!Data_BS[TenCongTyID],'Dong Lam'!$B$1,[1]!Data_BS[Thang.Nam],'Dong Lam'!AG$5)</f>
        <v>0</v>
      </c>
      <c r="AH26" s="229">
        <f>SUMIFS([1]!Data_BS[Value],[1]!Data_BS[Index BS],'Dong Lam'!$B26,[1]!Data_BS[TenCongTyID],'Dong Lam'!$B$1,[1]!Data_BS[Thang.Nam],'Dong Lam'!AH$5)</f>
        <v>0</v>
      </c>
      <c r="AI26" s="229">
        <f>SUMIFS([1]!Data_BS[Value],[1]!Data_BS[Index BS],'Dong Lam'!$B26,[1]!Data_BS[TenCongTyID],'Dong Lam'!$B$1,[1]!Data_BS[Thang.Nam],'Dong Lam'!AI$5)</f>
        <v>0</v>
      </c>
      <c r="AJ26" s="229">
        <f>SUMIFS([1]!Data_BS[Value],[1]!Data_BS[Index BS],'Dong Lam'!$B26,[1]!Data_BS[TenCongTyID],'Dong Lam'!$B$1,[1]!Data_BS[Thang.Nam],'Dong Lam'!AJ$5)</f>
        <v>0</v>
      </c>
      <c r="AK26" s="229">
        <f>SUMIFS([1]!Data_BS[Value],[1]!Data_BS[Index BS],'Dong Lam'!$B26,[1]!Data_BS[TenCongTyID],'Dong Lam'!$B$1,[1]!Data_BS[Thang.Nam],'Dong Lam'!AK$5)</f>
        <v>0</v>
      </c>
      <c r="AL26" s="229">
        <f>SUMIFS([1]!Data_BS[Value],[1]!Data_BS[Index BS],'Dong Lam'!$B26,[1]!Data_BS[TenCongTyID],'Dong Lam'!$B$1,[1]!Data_BS[Thang.Nam],'Dong Lam'!AL$5)</f>
        <v>0</v>
      </c>
    </row>
    <row r="27" spans="1:38" ht="15" hidden="1" customHeight="1" outlineLevel="1">
      <c r="A27" s="62" t="s">
        <v>111</v>
      </c>
      <c r="B27" s="63">
        <v>22</v>
      </c>
      <c r="C27" s="229">
        <v>0</v>
      </c>
      <c r="D27" s="229">
        <v>0</v>
      </c>
      <c r="E27" s="229"/>
      <c r="F27" s="229"/>
      <c r="G27" s="229"/>
      <c r="H27" s="229"/>
      <c r="I27" s="229"/>
      <c r="J27" s="229">
        <v>0</v>
      </c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>
        <v>0</v>
      </c>
      <c r="AA27" s="229">
        <f>SUMIFS([1]!Data_BS[Value],[1]!Data_BS[Index BS],'Dong Lam'!$B27,[1]!Data_BS[TenCongTyID],'Dong Lam'!$B$1,[1]!Data_BS[Thang.Nam],'Dong Lam'!AA$5)</f>
        <v>0</v>
      </c>
      <c r="AB27" s="229">
        <f>SUMIFS([1]!Data_BS[Value],[1]!Data_BS[Index BS],'Dong Lam'!$B27,[1]!Data_BS[TenCongTyID],'Dong Lam'!$B$1,[1]!Data_BS[Thang.Nam],'Dong Lam'!AB$5)</f>
        <v>0</v>
      </c>
      <c r="AC27" s="229">
        <f>SUMIFS([1]!Data_BS[Value],[1]!Data_BS[Index BS],'Dong Lam'!$B27,[1]!Data_BS[TenCongTyID],'Dong Lam'!$B$1,[1]!Data_BS[Thang.Nam],'Dong Lam'!AC$5)</f>
        <v>0</v>
      </c>
      <c r="AD27" s="229">
        <f>SUMIFS([1]!Data_BS[Value],[1]!Data_BS[Index BS],'Dong Lam'!$B27,[1]!Data_BS[TenCongTyID],'Dong Lam'!$B$1,[1]!Data_BS[Thang.Nam],'Dong Lam'!AD$5)</f>
        <v>0</v>
      </c>
      <c r="AE27" s="229">
        <f>SUMIFS([1]!Data_BS[Value],[1]!Data_BS[Index BS],'Dong Lam'!$B27,[1]!Data_BS[TenCongTyID],'Dong Lam'!$B$1,[1]!Data_BS[Thang.Nam],'Dong Lam'!AE$5)</f>
        <v>0</v>
      </c>
      <c r="AF27" s="229">
        <f>SUMIFS([1]!Data_BS[Value],[1]!Data_BS[Index BS],'Dong Lam'!$B27,[1]!Data_BS[TenCongTyID],'Dong Lam'!$B$1,[1]!Data_BS[Thang.Nam],'Dong Lam'!AF$5)</f>
        <v>0</v>
      </c>
      <c r="AG27" s="229">
        <f>SUMIFS([1]!Data_BS[Value],[1]!Data_BS[Index BS],'Dong Lam'!$B27,[1]!Data_BS[TenCongTyID],'Dong Lam'!$B$1,[1]!Data_BS[Thang.Nam],'Dong Lam'!AG$5)</f>
        <v>0</v>
      </c>
      <c r="AH27" s="229">
        <f>SUMIFS([1]!Data_BS[Value],[1]!Data_BS[Index BS],'Dong Lam'!$B27,[1]!Data_BS[TenCongTyID],'Dong Lam'!$B$1,[1]!Data_BS[Thang.Nam],'Dong Lam'!AH$5)</f>
        <v>0</v>
      </c>
      <c r="AI27" s="229">
        <f>SUMIFS([1]!Data_BS[Value],[1]!Data_BS[Index BS],'Dong Lam'!$B27,[1]!Data_BS[TenCongTyID],'Dong Lam'!$B$1,[1]!Data_BS[Thang.Nam],'Dong Lam'!AI$5)</f>
        <v>0</v>
      </c>
      <c r="AJ27" s="229">
        <f>SUMIFS([1]!Data_BS[Value],[1]!Data_BS[Index BS],'Dong Lam'!$B27,[1]!Data_BS[TenCongTyID],'Dong Lam'!$B$1,[1]!Data_BS[Thang.Nam],'Dong Lam'!AJ$5)</f>
        <v>0</v>
      </c>
      <c r="AK27" s="229">
        <f>SUMIFS([1]!Data_BS[Value],[1]!Data_BS[Index BS],'Dong Lam'!$B27,[1]!Data_BS[TenCongTyID],'Dong Lam'!$B$1,[1]!Data_BS[Thang.Nam],'Dong Lam'!AK$5)</f>
        <v>0</v>
      </c>
      <c r="AL27" s="229">
        <f>SUMIFS([1]!Data_BS[Value],[1]!Data_BS[Index BS],'Dong Lam'!$B27,[1]!Data_BS[TenCongTyID],'Dong Lam'!$B$1,[1]!Data_BS[Thang.Nam],'Dong Lam'!AL$5)</f>
        <v>0</v>
      </c>
    </row>
    <row r="28" spans="1:38" ht="15" hidden="1" customHeight="1" outlineLevel="1">
      <c r="A28" s="59" t="s">
        <v>112</v>
      </c>
      <c r="B28" s="65">
        <v>23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>
        <v>0</v>
      </c>
      <c r="AA28" s="229">
        <f>SUMIFS([1]!Data_BS[Value],[1]!Data_BS[Index BS],'Dong Lam'!$B28,[1]!Data_BS[TenCongTyID],'Dong Lam'!$B$1,[1]!Data_BS[Thang.Nam],'Dong Lam'!AA$5)</f>
        <v>0</v>
      </c>
      <c r="AB28" s="229">
        <f>SUMIFS([1]!Data_BS[Value],[1]!Data_BS[Index BS],'Dong Lam'!$B28,[1]!Data_BS[TenCongTyID],'Dong Lam'!$B$1,[1]!Data_BS[Thang.Nam],'Dong Lam'!AB$5)</f>
        <v>0</v>
      </c>
      <c r="AC28" s="229">
        <f>SUMIFS([1]!Data_BS[Value],[1]!Data_BS[Index BS],'Dong Lam'!$B28,[1]!Data_BS[TenCongTyID],'Dong Lam'!$B$1,[1]!Data_BS[Thang.Nam],'Dong Lam'!AC$5)</f>
        <v>0</v>
      </c>
      <c r="AD28" s="229">
        <f>SUMIFS([1]!Data_BS[Value],[1]!Data_BS[Index BS],'Dong Lam'!$B28,[1]!Data_BS[TenCongTyID],'Dong Lam'!$B$1,[1]!Data_BS[Thang.Nam],'Dong Lam'!AD$5)</f>
        <v>0</v>
      </c>
      <c r="AE28" s="229">
        <f>SUMIFS([1]!Data_BS[Value],[1]!Data_BS[Index BS],'Dong Lam'!$B28,[1]!Data_BS[TenCongTyID],'Dong Lam'!$B$1,[1]!Data_BS[Thang.Nam],'Dong Lam'!AE$5)</f>
        <v>0</v>
      </c>
      <c r="AF28" s="229">
        <f>SUMIFS([1]!Data_BS[Value],[1]!Data_BS[Index BS],'Dong Lam'!$B28,[1]!Data_BS[TenCongTyID],'Dong Lam'!$B$1,[1]!Data_BS[Thang.Nam],'Dong Lam'!AF$5)</f>
        <v>0</v>
      </c>
      <c r="AG28" s="229">
        <f>SUMIFS([1]!Data_BS[Value],[1]!Data_BS[Index BS],'Dong Lam'!$B28,[1]!Data_BS[TenCongTyID],'Dong Lam'!$B$1,[1]!Data_BS[Thang.Nam],'Dong Lam'!AG$5)</f>
        <v>0</v>
      </c>
      <c r="AH28" s="229">
        <f>SUMIFS([1]!Data_BS[Value],[1]!Data_BS[Index BS],'Dong Lam'!$B28,[1]!Data_BS[TenCongTyID],'Dong Lam'!$B$1,[1]!Data_BS[Thang.Nam],'Dong Lam'!AH$5)</f>
        <v>0</v>
      </c>
      <c r="AI28" s="229">
        <f>SUMIFS([1]!Data_BS[Value],[1]!Data_BS[Index BS],'Dong Lam'!$B28,[1]!Data_BS[TenCongTyID],'Dong Lam'!$B$1,[1]!Data_BS[Thang.Nam],'Dong Lam'!AI$5)</f>
        <v>0</v>
      </c>
      <c r="AJ28" s="229">
        <f>SUMIFS([1]!Data_BS[Value],[1]!Data_BS[Index BS],'Dong Lam'!$B28,[1]!Data_BS[TenCongTyID],'Dong Lam'!$B$1,[1]!Data_BS[Thang.Nam],'Dong Lam'!AJ$5)</f>
        <v>0</v>
      </c>
      <c r="AK28" s="229">
        <f>SUMIFS([1]!Data_BS[Value],[1]!Data_BS[Index BS],'Dong Lam'!$B28,[1]!Data_BS[TenCongTyID],'Dong Lam'!$B$1,[1]!Data_BS[Thang.Nam],'Dong Lam'!AK$5)</f>
        <v>0</v>
      </c>
      <c r="AL28" s="229">
        <f>SUMIFS([1]!Data_BS[Value],[1]!Data_BS[Index BS],'Dong Lam'!$B28,[1]!Data_BS[TenCongTyID],'Dong Lam'!$B$1,[1]!Data_BS[Thang.Nam],'Dong Lam'!AL$5)</f>
        <v>0</v>
      </c>
    </row>
    <row r="29" spans="1:38" ht="15" hidden="1" customHeight="1" outlineLevel="1">
      <c r="A29" s="62" t="s">
        <v>113</v>
      </c>
      <c r="B29" s="63">
        <v>24</v>
      </c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>
        <v>0</v>
      </c>
      <c r="AA29" s="229">
        <f>SUMIFS([1]!Data_BS[Value],[1]!Data_BS[Index BS],'Dong Lam'!$B29,[1]!Data_BS[TenCongTyID],'Dong Lam'!$B$1,[1]!Data_BS[Thang.Nam],'Dong Lam'!AA$5)</f>
        <v>0</v>
      </c>
      <c r="AB29" s="229">
        <f>SUMIFS([1]!Data_BS[Value],[1]!Data_BS[Index BS],'Dong Lam'!$B29,[1]!Data_BS[TenCongTyID],'Dong Lam'!$B$1,[1]!Data_BS[Thang.Nam],'Dong Lam'!AB$5)</f>
        <v>0</v>
      </c>
      <c r="AC29" s="229">
        <f>SUMIFS([1]!Data_BS[Value],[1]!Data_BS[Index BS],'Dong Lam'!$B29,[1]!Data_BS[TenCongTyID],'Dong Lam'!$B$1,[1]!Data_BS[Thang.Nam],'Dong Lam'!AC$5)</f>
        <v>0</v>
      </c>
      <c r="AD29" s="229">
        <f>SUMIFS([1]!Data_BS[Value],[1]!Data_BS[Index BS],'Dong Lam'!$B29,[1]!Data_BS[TenCongTyID],'Dong Lam'!$B$1,[1]!Data_BS[Thang.Nam],'Dong Lam'!AD$5)</f>
        <v>0</v>
      </c>
      <c r="AE29" s="229">
        <f>SUMIFS([1]!Data_BS[Value],[1]!Data_BS[Index BS],'Dong Lam'!$B29,[1]!Data_BS[TenCongTyID],'Dong Lam'!$B$1,[1]!Data_BS[Thang.Nam],'Dong Lam'!AE$5)</f>
        <v>0</v>
      </c>
      <c r="AF29" s="229">
        <f>SUMIFS([1]!Data_BS[Value],[1]!Data_BS[Index BS],'Dong Lam'!$B29,[1]!Data_BS[TenCongTyID],'Dong Lam'!$B$1,[1]!Data_BS[Thang.Nam],'Dong Lam'!AF$5)</f>
        <v>0</v>
      </c>
      <c r="AG29" s="229">
        <f>SUMIFS([1]!Data_BS[Value],[1]!Data_BS[Index BS],'Dong Lam'!$B29,[1]!Data_BS[TenCongTyID],'Dong Lam'!$B$1,[1]!Data_BS[Thang.Nam],'Dong Lam'!AG$5)</f>
        <v>0</v>
      </c>
      <c r="AH29" s="229">
        <f>SUMIFS([1]!Data_BS[Value],[1]!Data_BS[Index BS],'Dong Lam'!$B29,[1]!Data_BS[TenCongTyID],'Dong Lam'!$B$1,[1]!Data_BS[Thang.Nam],'Dong Lam'!AH$5)</f>
        <v>0</v>
      </c>
      <c r="AI29" s="229">
        <f>SUMIFS([1]!Data_BS[Value],[1]!Data_BS[Index BS],'Dong Lam'!$B29,[1]!Data_BS[TenCongTyID],'Dong Lam'!$B$1,[1]!Data_BS[Thang.Nam],'Dong Lam'!AI$5)</f>
        <v>0</v>
      </c>
      <c r="AJ29" s="229">
        <f>SUMIFS([1]!Data_BS[Value],[1]!Data_BS[Index BS],'Dong Lam'!$B29,[1]!Data_BS[TenCongTyID],'Dong Lam'!$B$1,[1]!Data_BS[Thang.Nam],'Dong Lam'!AJ$5)</f>
        <v>0</v>
      </c>
      <c r="AK29" s="229">
        <f>SUMIFS([1]!Data_BS[Value],[1]!Data_BS[Index BS],'Dong Lam'!$B29,[1]!Data_BS[TenCongTyID],'Dong Lam'!$B$1,[1]!Data_BS[Thang.Nam],'Dong Lam'!AK$5)</f>
        <v>0</v>
      </c>
      <c r="AL29" s="229">
        <f>SUMIFS([1]!Data_BS[Value],[1]!Data_BS[Index BS],'Dong Lam'!$B29,[1]!Data_BS[TenCongTyID],'Dong Lam'!$B$1,[1]!Data_BS[Thang.Nam],'Dong Lam'!AL$5)</f>
        <v>0</v>
      </c>
    </row>
    <row r="30" spans="1:38" ht="15" hidden="1" customHeight="1" outlineLevel="1">
      <c r="A30" s="62" t="s">
        <v>114</v>
      </c>
      <c r="B30" s="63">
        <v>25</v>
      </c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>
        <v>0</v>
      </c>
      <c r="AA30" s="229">
        <f>SUMIFS([1]!Data_BS[Value],[1]!Data_BS[Index BS],'Dong Lam'!$B30,[1]!Data_BS[TenCongTyID],'Dong Lam'!$B$1,[1]!Data_BS[Thang.Nam],'Dong Lam'!AA$5)</f>
        <v>0</v>
      </c>
      <c r="AB30" s="229">
        <f>SUMIFS([1]!Data_BS[Value],[1]!Data_BS[Index BS],'Dong Lam'!$B30,[1]!Data_BS[TenCongTyID],'Dong Lam'!$B$1,[1]!Data_BS[Thang.Nam],'Dong Lam'!AB$5)</f>
        <v>0</v>
      </c>
      <c r="AC30" s="229">
        <f>SUMIFS([1]!Data_BS[Value],[1]!Data_BS[Index BS],'Dong Lam'!$B30,[1]!Data_BS[TenCongTyID],'Dong Lam'!$B$1,[1]!Data_BS[Thang.Nam],'Dong Lam'!AC$5)</f>
        <v>0</v>
      </c>
      <c r="AD30" s="229">
        <f>SUMIFS([1]!Data_BS[Value],[1]!Data_BS[Index BS],'Dong Lam'!$B30,[1]!Data_BS[TenCongTyID],'Dong Lam'!$B$1,[1]!Data_BS[Thang.Nam],'Dong Lam'!AD$5)</f>
        <v>0</v>
      </c>
      <c r="AE30" s="229">
        <f>SUMIFS([1]!Data_BS[Value],[1]!Data_BS[Index BS],'Dong Lam'!$B30,[1]!Data_BS[TenCongTyID],'Dong Lam'!$B$1,[1]!Data_BS[Thang.Nam],'Dong Lam'!AE$5)</f>
        <v>0</v>
      </c>
      <c r="AF30" s="229">
        <f>SUMIFS([1]!Data_BS[Value],[1]!Data_BS[Index BS],'Dong Lam'!$B30,[1]!Data_BS[TenCongTyID],'Dong Lam'!$B$1,[1]!Data_BS[Thang.Nam],'Dong Lam'!AF$5)</f>
        <v>0</v>
      </c>
      <c r="AG30" s="229">
        <f>SUMIFS([1]!Data_BS[Value],[1]!Data_BS[Index BS],'Dong Lam'!$B30,[1]!Data_BS[TenCongTyID],'Dong Lam'!$B$1,[1]!Data_BS[Thang.Nam],'Dong Lam'!AG$5)</f>
        <v>0</v>
      </c>
      <c r="AH30" s="229">
        <f>SUMIFS([1]!Data_BS[Value],[1]!Data_BS[Index BS],'Dong Lam'!$B30,[1]!Data_BS[TenCongTyID],'Dong Lam'!$B$1,[1]!Data_BS[Thang.Nam],'Dong Lam'!AH$5)</f>
        <v>0</v>
      </c>
      <c r="AI30" s="229">
        <f>SUMIFS([1]!Data_BS[Value],[1]!Data_BS[Index BS],'Dong Lam'!$B30,[1]!Data_BS[TenCongTyID],'Dong Lam'!$B$1,[1]!Data_BS[Thang.Nam],'Dong Lam'!AI$5)</f>
        <v>0</v>
      </c>
      <c r="AJ30" s="229">
        <f>SUMIFS([1]!Data_BS[Value],[1]!Data_BS[Index BS],'Dong Lam'!$B30,[1]!Data_BS[TenCongTyID],'Dong Lam'!$B$1,[1]!Data_BS[Thang.Nam],'Dong Lam'!AJ$5)</f>
        <v>0</v>
      </c>
      <c r="AK30" s="229">
        <f>SUMIFS([1]!Data_BS[Value],[1]!Data_BS[Index BS],'Dong Lam'!$B30,[1]!Data_BS[TenCongTyID],'Dong Lam'!$B$1,[1]!Data_BS[Thang.Nam],'Dong Lam'!AK$5)</f>
        <v>0</v>
      </c>
      <c r="AL30" s="229">
        <f>SUMIFS([1]!Data_BS[Value],[1]!Data_BS[Index BS],'Dong Lam'!$B30,[1]!Data_BS[TenCongTyID],'Dong Lam'!$B$1,[1]!Data_BS[Thang.Nam],'Dong Lam'!AL$5)</f>
        <v>0</v>
      </c>
    </row>
    <row r="31" spans="1:38" ht="15" hidden="1" customHeight="1" outlineLevel="1">
      <c r="A31" s="62" t="s">
        <v>115</v>
      </c>
      <c r="B31" s="63">
        <v>26</v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>
        <v>0</v>
      </c>
      <c r="AA31" s="229">
        <f>SUMIFS([1]!Data_BS[Value],[1]!Data_BS[Index BS],'Dong Lam'!$B31,[1]!Data_BS[TenCongTyID],'Dong Lam'!$B$1,[1]!Data_BS[Thang.Nam],'Dong Lam'!AA$5)</f>
        <v>0</v>
      </c>
      <c r="AB31" s="229">
        <f>SUMIFS([1]!Data_BS[Value],[1]!Data_BS[Index BS],'Dong Lam'!$B31,[1]!Data_BS[TenCongTyID],'Dong Lam'!$B$1,[1]!Data_BS[Thang.Nam],'Dong Lam'!AB$5)</f>
        <v>0</v>
      </c>
      <c r="AC31" s="229">
        <f>SUMIFS([1]!Data_BS[Value],[1]!Data_BS[Index BS],'Dong Lam'!$B31,[1]!Data_BS[TenCongTyID],'Dong Lam'!$B$1,[1]!Data_BS[Thang.Nam],'Dong Lam'!AC$5)</f>
        <v>0</v>
      </c>
      <c r="AD31" s="229">
        <f>SUMIFS([1]!Data_BS[Value],[1]!Data_BS[Index BS],'Dong Lam'!$B31,[1]!Data_BS[TenCongTyID],'Dong Lam'!$B$1,[1]!Data_BS[Thang.Nam],'Dong Lam'!AD$5)</f>
        <v>0</v>
      </c>
      <c r="AE31" s="229">
        <f>SUMIFS([1]!Data_BS[Value],[1]!Data_BS[Index BS],'Dong Lam'!$B31,[1]!Data_BS[TenCongTyID],'Dong Lam'!$B$1,[1]!Data_BS[Thang.Nam],'Dong Lam'!AE$5)</f>
        <v>0</v>
      </c>
      <c r="AF31" s="229">
        <f>SUMIFS([1]!Data_BS[Value],[1]!Data_BS[Index BS],'Dong Lam'!$B31,[1]!Data_BS[TenCongTyID],'Dong Lam'!$B$1,[1]!Data_BS[Thang.Nam],'Dong Lam'!AF$5)</f>
        <v>0</v>
      </c>
      <c r="AG31" s="229">
        <f>SUMIFS([1]!Data_BS[Value],[1]!Data_BS[Index BS],'Dong Lam'!$B31,[1]!Data_BS[TenCongTyID],'Dong Lam'!$B$1,[1]!Data_BS[Thang.Nam],'Dong Lam'!AG$5)</f>
        <v>0</v>
      </c>
      <c r="AH31" s="229">
        <f>SUMIFS([1]!Data_BS[Value],[1]!Data_BS[Index BS],'Dong Lam'!$B31,[1]!Data_BS[TenCongTyID],'Dong Lam'!$B$1,[1]!Data_BS[Thang.Nam],'Dong Lam'!AH$5)</f>
        <v>0</v>
      </c>
      <c r="AI31" s="229">
        <f>SUMIFS([1]!Data_BS[Value],[1]!Data_BS[Index BS],'Dong Lam'!$B31,[1]!Data_BS[TenCongTyID],'Dong Lam'!$B$1,[1]!Data_BS[Thang.Nam],'Dong Lam'!AI$5)</f>
        <v>0</v>
      </c>
      <c r="AJ31" s="229">
        <f>SUMIFS([1]!Data_BS[Value],[1]!Data_BS[Index BS],'Dong Lam'!$B31,[1]!Data_BS[TenCongTyID],'Dong Lam'!$B$1,[1]!Data_BS[Thang.Nam],'Dong Lam'!AJ$5)</f>
        <v>0</v>
      </c>
      <c r="AK31" s="229">
        <f>SUMIFS([1]!Data_BS[Value],[1]!Data_BS[Index BS],'Dong Lam'!$B31,[1]!Data_BS[TenCongTyID],'Dong Lam'!$B$1,[1]!Data_BS[Thang.Nam],'Dong Lam'!AK$5)</f>
        <v>0</v>
      </c>
      <c r="AL31" s="229">
        <f>SUMIFS([1]!Data_BS[Value],[1]!Data_BS[Index BS],'Dong Lam'!$B31,[1]!Data_BS[TenCongTyID],'Dong Lam'!$B$1,[1]!Data_BS[Thang.Nam],'Dong Lam'!AL$5)</f>
        <v>0</v>
      </c>
    </row>
    <row r="32" spans="1:38" ht="15" hidden="1" customHeight="1" outlineLevel="1">
      <c r="A32" s="59" t="s">
        <v>116</v>
      </c>
      <c r="B32" s="65">
        <v>27</v>
      </c>
      <c r="C32" s="233">
        <v>84865447</v>
      </c>
      <c r="D32" s="233">
        <v>81355156</v>
      </c>
      <c r="E32" s="233">
        <v>69906455</v>
      </c>
      <c r="F32" s="233">
        <v>59996855</v>
      </c>
      <c r="G32" s="233">
        <v>49111921</v>
      </c>
      <c r="H32" s="233">
        <v>41933562</v>
      </c>
      <c r="I32" s="233">
        <v>39368288</v>
      </c>
      <c r="J32" s="233">
        <v>33306272</v>
      </c>
      <c r="K32" s="233">
        <v>64625579</v>
      </c>
      <c r="L32" s="233">
        <v>59725973</v>
      </c>
      <c r="M32" s="233">
        <v>52027248</v>
      </c>
      <c r="N32" s="234">
        <v>45093977</v>
      </c>
      <c r="O32" s="234">
        <v>41336075</v>
      </c>
      <c r="P32" s="234">
        <v>67363512</v>
      </c>
      <c r="Q32" s="234">
        <v>155573933</v>
      </c>
      <c r="R32" s="234">
        <v>144546524</v>
      </c>
      <c r="S32" s="234">
        <v>135263623</v>
      </c>
      <c r="T32" s="234">
        <v>132487326</v>
      </c>
      <c r="U32" s="234">
        <v>122458017</v>
      </c>
      <c r="V32" s="234">
        <v>112494357</v>
      </c>
      <c r="W32" s="234">
        <f>+SUM(W33:W37)</f>
        <v>109931375</v>
      </c>
      <c r="X32" s="234">
        <v>132814353</v>
      </c>
      <c r="Y32" s="234">
        <v>122133886</v>
      </c>
      <c r="Z32" s="234">
        <v>223756327</v>
      </c>
      <c r="AA32" s="234">
        <f>SUMIFS([1]!Data_BS[Value],[1]!Data_BS[Index BS],'Dong Lam'!$B32,[1]!Data_BS[TenCongTyID],'Dong Lam'!$B$1,[1]!Data_BS[Thang.Nam],'Dong Lam'!AA$5)</f>
        <v>0</v>
      </c>
      <c r="AB32" s="234">
        <f>SUMIFS([1]!Data_BS[Value],[1]!Data_BS[Index BS],'Dong Lam'!$B32,[1]!Data_BS[TenCongTyID],'Dong Lam'!$B$1,[1]!Data_BS[Thang.Nam],'Dong Lam'!AB$5)</f>
        <v>0</v>
      </c>
      <c r="AC32" s="234">
        <f>SUMIFS([1]!Data_BS[Value],[1]!Data_BS[Index BS],'Dong Lam'!$B32,[1]!Data_BS[TenCongTyID],'Dong Lam'!$B$1,[1]!Data_BS[Thang.Nam],'Dong Lam'!AC$5)</f>
        <v>0</v>
      </c>
      <c r="AD32" s="234">
        <f>SUMIFS([1]!Data_BS[Value],[1]!Data_BS[Index BS],'Dong Lam'!$B32,[1]!Data_BS[TenCongTyID],'Dong Lam'!$B$1,[1]!Data_BS[Thang.Nam],'Dong Lam'!AD$5)</f>
        <v>0</v>
      </c>
      <c r="AE32" s="234">
        <f>SUMIFS([1]!Data_BS[Value],[1]!Data_BS[Index BS],'Dong Lam'!$B32,[1]!Data_BS[TenCongTyID],'Dong Lam'!$B$1,[1]!Data_BS[Thang.Nam],'Dong Lam'!AE$5)</f>
        <v>0</v>
      </c>
      <c r="AF32" s="234">
        <f>SUMIFS([1]!Data_BS[Value],[1]!Data_BS[Index BS],'Dong Lam'!$B32,[1]!Data_BS[TenCongTyID],'Dong Lam'!$B$1,[1]!Data_BS[Thang.Nam],'Dong Lam'!AF$5)</f>
        <v>0</v>
      </c>
      <c r="AG32" s="234">
        <f>SUMIFS([1]!Data_BS[Value],[1]!Data_BS[Index BS],'Dong Lam'!$B32,[1]!Data_BS[TenCongTyID],'Dong Lam'!$B$1,[1]!Data_BS[Thang.Nam],'Dong Lam'!AG$5)</f>
        <v>0</v>
      </c>
      <c r="AH32" s="234">
        <f>SUMIFS([1]!Data_BS[Value],[1]!Data_BS[Index BS],'Dong Lam'!$B32,[1]!Data_BS[TenCongTyID],'Dong Lam'!$B$1,[1]!Data_BS[Thang.Nam],'Dong Lam'!AH$5)</f>
        <v>0</v>
      </c>
      <c r="AI32" s="234">
        <f>SUMIFS([1]!Data_BS[Value],[1]!Data_BS[Index BS],'Dong Lam'!$B32,[1]!Data_BS[TenCongTyID],'Dong Lam'!$B$1,[1]!Data_BS[Thang.Nam],'Dong Lam'!AI$5)</f>
        <v>0</v>
      </c>
      <c r="AJ32" s="234">
        <f>SUMIFS([1]!Data_BS[Value],[1]!Data_BS[Index BS],'Dong Lam'!$B32,[1]!Data_BS[TenCongTyID],'Dong Lam'!$B$1,[1]!Data_BS[Thang.Nam],'Dong Lam'!AJ$5)</f>
        <v>0</v>
      </c>
      <c r="AK32" s="234">
        <f>SUMIFS([1]!Data_BS[Value],[1]!Data_BS[Index BS],'Dong Lam'!$B32,[1]!Data_BS[TenCongTyID],'Dong Lam'!$B$1,[1]!Data_BS[Thang.Nam],'Dong Lam'!AK$5)</f>
        <v>0</v>
      </c>
      <c r="AL32" s="234">
        <f>SUMIFS([1]!Data_BS[Value],[1]!Data_BS[Index BS],'Dong Lam'!$B32,[1]!Data_BS[TenCongTyID],'Dong Lam'!$B$1,[1]!Data_BS[Thang.Nam],'Dong Lam'!AL$5)</f>
        <v>0</v>
      </c>
    </row>
    <row r="33" spans="1:38" ht="15" hidden="1" customHeight="1" outlineLevel="1">
      <c r="A33" s="67" t="s">
        <v>117</v>
      </c>
      <c r="B33" s="63">
        <v>28</v>
      </c>
      <c r="C33" s="229">
        <v>84865447</v>
      </c>
      <c r="D33" s="229">
        <v>81355156</v>
      </c>
      <c r="E33" s="229">
        <v>69906455</v>
      </c>
      <c r="F33" s="229">
        <v>59996855</v>
      </c>
      <c r="G33" s="229">
        <v>49111921</v>
      </c>
      <c r="H33" s="229">
        <v>41933562</v>
      </c>
      <c r="I33" s="229">
        <v>39222693</v>
      </c>
      <c r="J33" s="229">
        <v>33306272</v>
      </c>
      <c r="K33" s="229">
        <v>64625579</v>
      </c>
      <c r="L33" s="229">
        <v>59725973</v>
      </c>
      <c r="M33" s="229">
        <v>52027248</v>
      </c>
      <c r="N33" s="229">
        <v>45093977</v>
      </c>
      <c r="O33" s="229">
        <v>41336075</v>
      </c>
      <c r="P33" s="229">
        <v>67363512</v>
      </c>
      <c r="Q33" s="229">
        <v>155573933</v>
      </c>
      <c r="R33" s="229">
        <v>144546524</v>
      </c>
      <c r="S33" s="229">
        <v>135263623</v>
      </c>
      <c r="T33" s="229">
        <v>132487326</v>
      </c>
      <c r="U33" s="229">
        <v>122458017</v>
      </c>
      <c r="V33" s="229">
        <v>112494357</v>
      </c>
      <c r="W33" s="229">
        <v>109931375</v>
      </c>
      <c r="X33" s="229">
        <v>132814353</v>
      </c>
      <c r="Y33" s="229">
        <v>122133886</v>
      </c>
      <c r="Z33" s="229">
        <v>223756327</v>
      </c>
      <c r="AA33" s="229">
        <f>SUMIFS([1]!Data_BS[Value],[1]!Data_BS[Index BS],'Dong Lam'!$B33,[1]!Data_BS[TenCongTyID],'Dong Lam'!$B$1,[1]!Data_BS[Thang.Nam],'Dong Lam'!AA$5)</f>
        <v>0</v>
      </c>
      <c r="AB33" s="229">
        <f>SUMIFS([1]!Data_BS[Value],[1]!Data_BS[Index BS],'Dong Lam'!$B33,[1]!Data_BS[TenCongTyID],'Dong Lam'!$B$1,[1]!Data_BS[Thang.Nam],'Dong Lam'!AB$5)</f>
        <v>0</v>
      </c>
      <c r="AC33" s="229">
        <f>SUMIFS([1]!Data_BS[Value],[1]!Data_BS[Index BS],'Dong Lam'!$B33,[1]!Data_BS[TenCongTyID],'Dong Lam'!$B$1,[1]!Data_BS[Thang.Nam],'Dong Lam'!AC$5)</f>
        <v>0</v>
      </c>
      <c r="AD33" s="229">
        <f>SUMIFS([1]!Data_BS[Value],[1]!Data_BS[Index BS],'Dong Lam'!$B33,[1]!Data_BS[TenCongTyID],'Dong Lam'!$B$1,[1]!Data_BS[Thang.Nam],'Dong Lam'!AD$5)</f>
        <v>0</v>
      </c>
      <c r="AE33" s="229">
        <f>SUMIFS([1]!Data_BS[Value],[1]!Data_BS[Index BS],'Dong Lam'!$B33,[1]!Data_BS[TenCongTyID],'Dong Lam'!$B$1,[1]!Data_BS[Thang.Nam],'Dong Lam'!AE$5)</f>
        <v>0</v>
      </c>
      <c r="AF33" s="229">
        <f>SUMIFS([1]!Data_BS[Value],[1]!Data_BS[Index BS],'Dong Lam'!$B33,[1]!Data_BS[TenCongTyID],'Dong Lam'!$B$1,[1]!Data_BS[Thang.Nam],'Dong Lam'!AF$5)</f>
        <v>0</v>
      </c>
      <c r="AG33" s="229">
        <f>SUMIFS([1]!Data_BS[Value],[1]!Data_BS[Index BS],'Dong Lam'!$B33,[1]!Data_BS[TenCongTyID],'Dong Lam'!$B$1,[1]!Data_BS[Thang.Nam],'Dong Lam'!AG$5)</f>
        <v>0</v>
      </c>
      <c r="AH33" s="229">
        <f>SUMIFS([1]!Data_BS[Value],[1]!Data_BS[Index BS],'Dong Lam'!$B33,[1]!Data_BS[TenCongTyID],'Dong Lam'!$B$1,[1]!Data_BS[Thang.Nam],'Dong Lam'!AH$5)</f>
        <v>0</v>
      </c>
      <c r="AI33" s="229">
        <f>SUMIFS([1]!Data_BS[Value],[1]!Data_BS[Index BS],'Dong Lam'!$B33,[1]!Data_BS[TenCongTyID],'Dong Lam'!$B$1,[1]!Data_BS[Thang.Nam],'Dong Lam'!AI$5)</f>
        <v>0</v>
      </c>
      <c r="AJ33" s="229">
        <f>SUMIFS([1]!Data_BS[Value],[1]!Data_BS[Index BS],'Dong Lam'!$B33,[1]!Data_BS[TenCongTyID],'Dong Lam'!$B$1,[1]!Data_BS[Thang.Nam],'Dong Lam'!AJ$5)</f>
        <v>0</v>
      </c>
      <c r="AK33" s="229">
        <f>SUMIFS([1]!Data_BS[Value],[1]!Data_BS[Index BS],'Dong Lam'!$B33,[1]!Data_BS[TenCongTyID],'Dong Lam'!$B$1,[1]!Data_BS[Thang.Nam],'Dong Lam'!AK$5)</f>
        <v>0</v>
      </c>
      <c r="AL33" s="229">
        <f>SUMIFS([1]!Data_BS[Value],[1]!Data_BS[Index BS],'Dong Lam'!$B33,[1]!Data_BS[TenCongTyID],'Dong Lam'!$B$1,[1]!Data_BS[Thang.Nam],'Dong Lam'!AL$5)</f>
        <v>0</v>
      </c>
    </row>
    <row r="34" spans="1:38" ht="15" hidden="1" customHeight="1" outlineLevel="1">
      <c r="A34" s="67" t="s">
        <v>118</v>
      </c>
      <c r="B34" s="63">
        <v>29</v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>
        <v>0</v>
      </c>
      <c r="AA34" s="229">
        <f>SUMIFS([1]!Data_BS[Value],[1]!Data_BS[Index BS],'Dong Lam'!$B34,[1]!Data_BS[TenCongTyID],'Dong Lam'!$B$1,[1]!Data_BS[Thang.Nam],'Dong Lam'!AA$5)</f>
        <v>0</v>
      </c>
      <c r="AB34" s="229">
        <f>SUMIFS([1]!Data_BS[Value],[1]!Data_BS[Index BS],'Dong Lam'!$B34,[1]!Data_BS[TenCongTyID],'Dong Lam'!$B$1,[1]!Data_BS[Thang.Nam],'Dong Lam'!AB$5)</f>
        <v>0</v>
      </c>
      <c r="AC34" s="229">
        <f>SUMIFS([1]!Data_BS[Value],[1]!Data_BS[Index BS],'Dong Lam'!$B34,[1]!Data_BS[TenCongTyID],'Dong Lam'!$B$1,[1]!Data_BS[Thang.Nam],'Dong Lam'!AC$5)</f>
        <v>0</v>
      </c>
      <c r="AD34" s="229">
        <f>SUMIFS([1]!Data_BS[Value],[1]!Data_BS[Index BS],'Dong Lam'!$B34,[1]!Data_BS[TenCongTyID],'Dong Lam'!$B$1,[1]!Data_BS[Thang.Nam],'Dong Lam'!AD$5)</f>
        <v>0</v>
      </c>
      <c r="AE34" s="229">
        <f>SUMIFS([1]!Data_BS[Value],[1]!Data_BS[Index BS],'Dong Lam'!$B34,[1]!Data_BS[TenCongTyID],'Dong Lam'!$B$1,[1]!Data_BS[Thang.Nam],'Dong Lam'!AE$5)</f>
        <v>0</v>
      </c>
      <c r="AF34" s="229">
        <f>SUMIFS([1]!Data_BS[Value],[1]!Data_BS[Index BS],'Dong Lam'!$B34,[1]!Data_BS[TenCongTyID],'Dong Lam'!$B$1,[1]!Data_BS[Thang.Nam],'Dong Lam'!AF$5)</f>
        <v>0</v>
      </c>
      <c r="AG34" s="229">
        <f>SUMIFS([1]!Data_BS[Value],[1]!Data_BS[Index BS],'Dong Lam'!$B34,[1]!Data_BS[TenCongTyID],'Dong Lam'!$B$1,[1]!Data_BS[Thang.Nam],'Dong Lam'!AG$5)</f>
        <v>0</v>
      </c>
      <c r="AH34" s="229">
        <f>SUMIFS([1]!Data_BS[Value],[1]!Data_BS[Index BS],'Dong Lam'!$B34,[1]!Data_BS[TenCongTyID],'Dong Lam'!$B$1,[1]!Data_BS[Thang.Nam],'Dong Lam'!AH$5)</f>
        <v>0</v>
      </c>
      <c r="AI34" s="229">
        <f>SUMIFS([1]!Data_BS[Value],[1]!Data_BS[Index BS],'Dong Lam'!$B34,[1]!Data_BS[TenCongTyID],'Dong Lam'!$B$1,[1]!Data_BS[Thang.Nam],'Dong Lam'!AI$5)</f>
        <v>0</v>
      </c>
      <c r="AJ34" s="229">
        <f>SUMIFS([1]!Data_BS[Value],[1]!Data_BS[Index BS],'Dong Lam'!$B34,[1]!Data_BS[TenCongTyID],'Dong Lam'!$B$1,[1]!Data_BS[Thang.Nam],'Dong Lam'!AJ$5)</f>
        <v>0</v>
      </c>
      <c r="AK34" s="229">
        <f>SUMIFS([1]!Data_BS[Value],[1]!Data_BS[Index BS],'Dong Lam'!$B34,[1]!Data_BS[TenCongTyID],'Dong Lam'!$B$1,[1]!Data_BS[Thang.Nam],'Dong Lam'!AK$5)</f>
        <v>0</v>
      </c>
      <c r="AL34" s="229">
        <f>SUMIFS([1]!Data_BS[Value],[1]!Data_BS[Index BS],'Dong Lam'!$B34,[1]!Data_BS[TenCongTyID],'Dong Lam'!$B$1,[1]!Data_BS[Thang.Nam],'Dong Lam'!AL$5)</f>
        <v>0</v>
      </c>
    </row>
    <row r="35" spans="1:38" ht="15" hidden="1" customHeight="1" outlineLevel="1">
      <c r="A35" s="67" t="s">
        <v>119</v>
      </c>
      <c r="B35" s="63">
        <v>30</v>
      </c>
      <c r="C35" s="229"/>
      <c r="D35" s="229"/>
      <c r="E35" s="229"/>
      <c r="F35" s="229"/>
      <c r="G35" s="229"/>
      <c r="H35" s="229"/>
      <c r="I35" s="229">
        <v>145595</v>
      </c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>
        <v>0</v>
      </c>
      <c r="AA35" s="229">
        <f>SUMIFS([1]!Data_BS[Value],[1]!Data_BS[Index BS],'Dong Lam'!$B35,[1]!Data_BS[TenCongTyID],'Dong Lam'!$B$1,[1]!Data_BS[Thang.Nam],'Dong Lam'!AA$5)</f>
        <v>0</v>
      </c>
      <c r="AB35" s="229">
        <f>SUMIFS([1]!Data_BS[Value],[1]!Data_BS[Index BS],'Dong Lam'!$B35,[1]!Data_BS[TenCongTyID],'Dong Lam'!$B$1,[1]!Data_BS[Thang.Nam],'Dong Lam'!AB$5)</f>
        <v>0</v>
      </c>
      <c r="AC35" s="229">
        <f>SUMIFS([1]!Data_BS[Value],[1]!Data_BS[Index BS],'Dong Lam'!$B35,[1]!Data_BS[TenCongTyID],'Dong Lam'!$B$1,[1]!Data_BS[Thang.Nam],'Dong Lam'!AC$5)</f>
        <v>0</v>
      </c>
      <c r="AD35" s="229">
        <f>SUMIFS([1]!Data_BS[Value],[1]!Data_BS[Index BS],'Dong Lam'!$B35,[1]!Data_BS[TenCongTyID],'Dong Lam'!$B$1,[1]!Data_BS[Thang.Nam],'Dong Lam'!AD$5)</f>
        <v>0</v>
      </c>
      <c r="AE35" s="229">
        <f>SUMIFS([1]!Data_BS[Value],[1]!Data_BS[Index BS],'Dong Lam'!$B35,[1]!Data_BS[TenCongTyID],'Dong Lam'!$B$1,[1]!Data_BS[Thang.Nam],'Dong Lam'!AE$5)</f>
        <v>0</v>
      </c>
      <c r="AF35" s="229">
        <f>SUMIFS([1]!Data_BS[Value],[1]!Data_BS[Index BS],'Dong Lam'!$B35,[1]!Data_BS[TenCongTyID],'Dong Lam'!$B$1,[1]!Data_BS[Thang.Nam],'Dong Lam'!AF$5)</f>
        <v>0</v>
      </c>
      <c r="AG35" s="229">
        <f>SUMIFS([1]!Data_BS[Value],[1]!Data_BS[Index BS],'Dong Lam'!$B35,[1]!Data_BS[TenCongTyID],'Dong Lam'!$B$1,[1]!Data_BS[Thang.Nam],'Dong Lam'!AG$5)</f>
        <v>0</v>
      </c>
      <c r="AH35" s="229">
        <f>SUMIFS([1]!Data_BS[Value],[1]!Data_BS[Index BS],'Dong Lam'!$B35,[1]!Data_BS[TenCongTyID],'Dong Lam'!$B$1,[1]!Data_BS[Thang.Nam],'Dong Lam'!AH$5)</f>
        <v>0</v>
      </c>
      <c r="AI35" s="229">
        <f>SUMIFS([1]!Data_BS[Value],[1]!Data_BS[Index BS],'Dong Lam'!$B35,[1]!Data_BS[TenCongTyID],'Dong Lam'!$B$1,[1]!Data_BS[Thang.Nam],'Dong Lam'!AI$5)</f>
        <v>0</v>
      </c>
      <c r="AJ35" s="229">
        <f>SUMIFS([1]!Data_BS[Value],[1]!Data_BS[Index BS],'Dong Lam'!$B35,[1]!Data_BS[TenCongTyID],'Dong Lam'!$B$1,[1]!Data_BS[Thang.Nam],'Dong Lam'!AJ$5)</f>
        <v>0</v>
      </c>
      <c r="AK35" s="229">
        <f>SUMIFS([1]!Data_BS[Value],[1]!Data_BS[Index BS],'Dong Lam'!$B35,[1]!Data_BS[TenCongTyID],'Dong Lam'!$B$1,[1]!Data_BS[Thang.Nam],'Dong Lam'!AK$5)</f>
        <v>0</v>
      </c>
      <c r="AL35" s="229">
        <f>SUMIFS([1]!Data_BS[Value],[1]!Data_BS[Index BS],'Dong Lam'!$B35,[1]!Data_BS[TenCongTyID],'Dong Lam'!$B$1,[1]!Data_BS[Thang.Nam],'Dong Lam'!AL$5)</f>
        <v>0</v>
      </c>
    </row>
    <row r="36" spans="1:38" ht="15" hidden="1" customHeight="1" outlineLevel="1">
      <c r="A36" s="67" t="s">
        <v>120</v>
      </c>
      <c r="B36" s="63">
        <v>31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>
        <v>0</v>
      </c>
      <c r="AA36" s="229">
        <f>SUMIFS([1]!Data_BS[Value],[1]!Data_BS[Index BS],'Dong Lam'!$B36,[1]!Data_BS[TenCongTyID],'Dong Lam'!$B$1,[1]!Data_BS[Thang.Nam],'Dong Lam'!AA$5)</f>
        <v>0</v>
      </c>
      <c r="AB36" s="229">
        <f>SUMIFS([1]!Data_BS[Value],[1]!Data_BS[Index BS],'Dong Lam'!$B36,[1]!Data_BS[TenCongTyID],'Dong Lam'!$B$1,[1]!Data_BS[Thang.Nam],'Dong Lam'!AB$5)</f>
        <v>0</v>
      </c>
      <c r="AC36" s="229">
        <f>SUMIFS([1]!Data_BS[Value],[1]!Data_BS[Index BS],'Dong Lam'!$B36,[1]!Data_BS[TenCongTyID],'Dong Lam'!$B$1,[1]!Data_BS[Thang.Nam],'Dong Lam'!AC$5)</f>
        <v>0</v>
      </c>
      <c r="AD36" s="229">
        <f>SUMIFS([1]!Data_BS[Value],[1]!Data_BS[Index BS],'Dong Lam'!$B36,[1]!Data_BS[TenCongTyID],'Dong Lam'!$B$1,[1]!Data_BS[Thang.Nam],'Dong Lam'!AD$5)</f>
        <v>0</v>
      </c>
      <c r="AE36" s="229">
        <f>SUMIFS([1]!Data_BS[Value],[1]!Data_BS[Index BS],'Dong Lam'!$B36,[1]!Data_BS[TenCongTyID],'Dong Lam'!$B$1,[1]!Data_BS[Thang.Nam],'Dong Lam'!AE$5)</f>
        <v>0</v>
      </c>
      <c r="AF36" s="229">
        <f>SUMIFS([1]!Data_BS[Value],[1]!Data_BS[Index BS],'Dong Lam'!$B36,[1]!Data_BS[TenCongTyID],'Dong Lam'!$B$1,[1]!Data_BS[Thang.Nam],'Dong Lam'!AF$5)</f>
        <v>0</v>
      </c>
      <c r="AG36" s="229">
        <f>SUMIFS([1]!Data_BS[Value],[1]!Data_BS[Index BS],'Dong Lam'!$B36,[1]!Data_BS[TenCongTyID],'Dong Lam'!$B$1,[1]!Data_BS[Thang.Nam],'Dong Lam'!AG$5)</f>
        <v>0</v>
      </c>
      <c r="AH36" s="229">
        <f>SUMIFS([1]!Data_BS[Value],[1]!Data_BS[Index BS],'Dong Lam'!$B36,[1]!Data_BS[TenCongTyID],'Dong Lam'!$B$1,[1]!Data_BS[Thang.Nam],'Dong Lam'!AH$5)</f>
        <v>0</v>
      </c>
      <c r="AI36" s="229">
        <f>SUMIFS([1]!Data_BS[Value],[1]!Data_BS[Index BS],'Dong Lam'!$B36,[1]!Data_BS[TenCongTyID],'Dong Lam'!$B$1,[1]!Data_BS[Thang.Nam],'Dong Lam'!AI$5)</f>
        <v>0</v>
      </c>
      <c r="AJ36" s="229">
        <f>SUMIFS([1]!Data_BS[Value],[1]!Data_BS[Index BS],'Dong Lam'!$B36,[1]!Data_BS[TenCongTyID],'Dong Lam'!$B$1,[1]!Data_BS[Thang.Nam],'Dong Lam'!AJ$5)</f>
        <v>0</v>
      </c>
      <c r="AK36" s="229">
        <f>SUMIFS([1]!Data_BS[Value],[1]!Data_BS[Index BS],'Dong Lam'!$B36,[1]!Data_BS[TenCongTyID],'Dong Lam'!$B$1,[1]!Data_BS[Thang.Nam],'Dong Lam'!AK$5)</f>
        <v>0</v>
      </c>
      <c r="AL36" s="229">
        <f>SUMIFS([1]!Data_BS[Value],[1]!Data_BS[Index BS],'Dong Lam'!$B36,[1]!Data_BS[TenCongTyID],'Dong Lam'!$B$1,[1]!Data_BS[Thang.Nam],'Dong Lam'!AL$5)</f>
        <v>0</v>
      </c>
    </row>
    <row r="37" spans="1:38" ht="15" hidden="1" customHeight="1" outlineLevel="1">
      <c r="A37" s="67" t="s">
        <v>121</v>
      </c>
      <c r="B37" s="63">
        <v>32</v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>
        <v>0</v>
      </c>
      <c r="AA37" s="229">
        <f>SUMIFS([1]!Data_BS[Value],[1]!Data_BS[Index BS],'Dong Lam'!$B37,[1]!Data_BS[TenCongTyID],'Dong Lam'!$B$1,[1]!Data_BS[Thang.Nam],'Dong Lam'!AA$5)</f>
        <v>0</v>
      </c>
      <c r="AB37" s="229">
        <f>SUMIFS([1]!Data_BS[Value],[1]!Data_BS[Index BS],'Dong Lam'!$B37,[1]!Data_BS[TenCongTyID],'Dong Lam'!$B$1,[1]!Data_BS[Thang.Nam],'Dong Lam'!AB$5)</f>
        <v>0</v>
      </c>
      <c r="AC37" s="229">
        <f>SUMIFS([1]!Data_BS[Value],[1]!Data_BS[Index BS],'Dong Lam'!$B37,[1]!Data_BS[TenCongTyID],'Dong Lam'!$B$1,[1]!Data_BS[Thang.Nam],'Dong Lam'!AC$5)</f>
        <v>0</v>
      </c>
      <c r="AD37" s="229">
        <f>SUMIFS([1]!Data_BS[Value],[1]!Data_BS[Index BS],'Dong Lam'!$B37,[1]!Data_BS[TenCongTyID],'Dong Lam'!$B$1,[1]!Data_BS[Thang.Nam],'Dong Lam'!AD$5)</f>
        <v>0</v>
      </c>
      <c r="AE37" s="229">
        <f>SUMIFS([1]!Data_BS[Value],[1]!Data_BS[Index BS],'Dong Lam'!$B37,[1]!Data_BS[TenCongTyID],'Dong Lam'!$B$1,[1]!Data_BS[Thang.Nam],'Dong Lam'!AE$5)</f>
        <v>0</v>
      </c>
      <c r="AF37" s="229">
        <f>SUMIFS([1]!Data_BS[Value],[1]!Data_BS[Index BS],'Dong Lam'!$B37,[1]!Data_BS[TenCongTyID],'Dong Lam'!$B$1,[1]!Data_BS[Thang.Nam],'Dong Lam'!AF$5)</f>
        <v>0</v>
      </c>
      <c r="AG37" s="229">
        <f>SUMIFS([1]!Data_BS[Value],[1]!Data_BS[Index BS],'Dong Lam'!$B37,[1]!Data_BS[TenCongTyID],'Dong Lam'!$B$1,[1]!Data_BS[Thang.Nam],'Dong Lam'!AG$5)</f>
        <v>0</v>
      </c>
      <c r="AH37" s="229">
        <f>SUMIFS([1]!Data_BS[Value],[1]!Data_BS[Index BS],'Dong Lam'!$B37,[1]!Data_BS[TenCongTyID],'Dong Lam'!$B$1,[1]!Data_BS[Thang.Nam],'Dong Lam'!AH$5)</f>
        <v>0</v>
      </c>
      <c r="AI37" s="229">
        <f>SUMIFS([1]!Data_BS[Value],[1]!Data_BS[Index BS],'Dong Lam'!$B37,[1]!Data_BS[TenCongTyID],'Dong Lam'!$B$1,[1]!Data_BS[Thang.Nam],'Dong Lam'!AI$5)</f>
        <v>0</v>
      </c>
      <c r="AJ37" s="229">
        <f>SUMIFS([1]!Data_BS[Value],[1]!Data_BS[Index BS],'Dong Lam'!$B37,[1]!Data_BS[TenCongTyID],'Dong Lam'!$B$1,[1]!Data_BS[Thang.Nam],'Dong Lam'!AJ$5)</f>
        <v>0</v>
      </c>
      <c r="AK37" s="229">
        <f>SUMIFS([1]!Data_BS[Value],[1]!Data_BS[Index BS],'Dong Lam'!$B37,[1]!Data_BS[TenCongTyID],'Dong Lam'!$B$1,[1]!Data_BS[Thang.Nam],'Dong Lam'!AK$5)</f>
        <v>0</v>
      </c>
      <c r="AL37" s="229">
        <f>SUMIFS([1]!Data_BS[Value],[1]!Data_BS[Index BS],'Dong Lam'!$B37,[1]!Data_BS[TenCongTyID],'Dong Lam'!$B$1,[1]!Data_BS[Thang.Nam],'Dong Lam'!AL$5)</f>
        <v>0</v>
      </c>
    </row>
    <row r="38" spans="1:38" ht="14" hidden="1" outlineLevel="1">
      <c r="A38" s="70" t="s">
        <v>122</v>
      </c>
      <c r="B38" s="71">
        <v>33</v>
      </c>
      <c r="C38" s="240">
        <v>22132533800</v>
      </c>
      <c r="D38" s="240">
        <v>21790111666</v>
      </c>
      <c r="E38" s="240">
        <v>21512401507</v>
      </c>
      <c r="F38" s="240">
        <v>21227139295</v>
      </c>
      <c r="G38" s="240">
        <v>21133588259</v>
      </c>
      <c r="H38" s="240">
        <v>20726411945</v>
      </c>
      <c r="I38" s="240">
        <v>20828470590</v>
      </c>
      <c r="J38" s="240">
        <v>20410787535</v>
      </c>
      <c r="K38" s="240">
        <v>20061663202</v>
      </c>
      <c r="L38" s="240">
        <v>19708125425</v>
      </c>
      <c r="M38" s="240">
        <v>19332199051</v>
      </c>
      <c r="N38" s="241">
        <v>18990831461</v>
      </c>
      <c r="O38" s="241">
        <v>18815372886</v>
      </c>
      <c r="P38" s="241">
        <v>18629807582</v>
      </c>
      <c r="Q38" s="241">
        <v>18536622943</v>
      </c>
      <c r="R38" s="241">
        <v>18143782320</v>
      </c>
      <c r="S38" s="241">
        <v>18284200867</v>
      </c>
      <c r="T38" s="241">
        <v>18217638950</v>
      </c>
      <c r="U38" s="241">
        <v>18256713289</v>
      </c>
      <c r="V38" s="241">
        <v>18516644378</v>
      </c>
      <c r="W38" s="241">
        <f>+W39+W46+W65+W71+W78+W68</f>
        <v>18100976603</v>
      </c>
      <c r="X38" s="241">
        <v>17761288602</v>
      </c>
      <c r="Y38" s="241">
        <v>18430227552</v>
      </c>
      <c r="Z38" s="241">
        <v>21149675626</v>
      </c>
      <c r="AA38" s="241">
        <f>SUMIFS([1]!Data_BS[Value],[1]!Data_BS[Index BS],'Dong Lam'!$B38,[1]!Data_BS[TenCongTyID],'Dong Lam'!$B$1,[1]!Data_BS[Thang.Nam],'Dong Lam'!AA$5)</f>
        <v>0</v>
      </c>
      <c r="AB38" s="241">
        <f>SUMIFS([1]!Data_BS[Value],[1]!Data_BS[Index BS],'Dong Lam'!$B38,[1]!Data_BS[TenCongTyID],'Dong Lam'!$B$1,[1]!Data_BS[Thang.Nam],'Dong Lam'!AB$5)</f>
        <v>0</v>
      </c>
      <c r="AC38" s="241">
        <f>SUMIFS([1]!Data_BS[Value],[1]!Data_BS[Index BS],'Dong Lam'!$B38,[1]!Data_BS[TenCongTyID],'Dong Lam'!$B$1,[1]!Data_BS[Thang.Nam],'Dong Lam'!AC$5)</f>
        <v>0</v>
      </c>
      <c r="AD38" s="241">
        <f>SUMIFS([1]!Data_BS[Value],[1]!Data_BS[Index BS],'Dong Lam'!$B38,[1]!Data_BS[TenCongTyID],'Dong Lam'!$B$1,[1]!Data_BS[Thang.Nam],'Dong Lam'!AD$5)</f>
        <v>0</v>
      </c>
      <c r="AE38" s="241">
        <f>SUMIFS([1]!Data_BS[Value],[1]!Data_BS[Index BS],'Dong Lam'!$B38,[1]!Data_BS[TenCongTyID],'Dong Lam'!$B$1,[1]!Data_BS[Thang.Nam],'Dong Lam'!AE$5)</f>
        <v>0</v>
      </c>
      <c r="AF38" s="241">
        <f>SUMIFS([1]!Data_BS[Value],[1]!Data_BS[Index BS],'Dong Lam'!$B38,[1]!Data_BS[TenCongTyID],'Dong Lam'!$B$1,[1]!Data_BS[Thang.Nam],'Dong Lam'!AF$5)</f>
        <v>0</v>
      </c>
      <c r="AG38" s="241">
        <f>SUMIFS([1]!Data_BS[Value],[1]!Data_BS[Index BS],'Dong Lam'!$B38,[1]!Data_BS[TenCongTyID],'Dong Lam'!$B$1,[1]!Data_BS[Thang.Nam],'Dong Lam'!AG$5)</f>
        <v>0</v>
      </c>
      <c r="AH38" s="241">
        <f>SUMIFS([1]!Data_BS[Value],[1]!Data_BS[Index BS],'Dong Lam'!$B38,[1]!Data_BS[TenCongTyID],'Dong Lam'!$B$1,[1]!Data_BS[Thang.Nam],'Dong Lam'!AH$5)</f>
        <v>0</v>
      </c>
      <c r="AI38" s="241">
        <f>SUMIFS([1]!Data_BS[Value],[1]!Data_BS[Index BS],'Dong Lam'!$B38,[1]!Data_BS[TenCongTyID],'Dong Lam'!$B$1,[1]!Data_BS[Thang.Nam],'Dong Lam'!AI$5)</f>
        <v>0</v>
      </c>
      <c r="AJ38" s="241">
        <f>SUMIFS([1]!Data_BS[Value],[1]!Data_BS[Index BS],'Dong Lam'!$B38,[1]!Data_BS[TenCongTyID],'Dong Lam'!$B$1,[1]!Data_BS[Thang.Nam],'Dong Lam'!AJ$5)</f>
        <v>0</v>
      </c>
      <c r="AK38" s="241">
        <f>SUMIFS([1]!Data_BS[Value],[1]!Data_BS[Index BS],'Dong Lam'!$B38,[1]!Data_BS[TenCongTyID],'Dong Lam'!$B$1,[1]!Data_BS[Thang.Nam],'Dong Lam'!AK$5)</f>
        <v>0</v>
      </c>
      <c r="AL38" s="241">
        <f>SUMIFS([1]!Data_BS[Value],[1]!Data_BS[Index BS],'Dong Lam'!$B38,[1]!Data_BS[TenCongTyID],'Dong Lam'!$B$1,[1]!Data_BS[Thang.Nam],'Dong Lam'!AL$5)</f>
        <v>0</v>
      </c>
    </row>
    <row r="39" spans="1:38" ht="15" hidden="1" customHeight="1" outlineLevel="1">
      <c r="A39" s="59" t="s">
        <v>123</v>
      </c>
      <c r="B39" s="65">
        <v>34</v>
      </c>
      <c r="C39" s="233">
        <v>0</v>
      </c>
      <c r="D39" s="233">
        <v>0</v>
      </c>
      <c r="E39" s="233">
        <v>0</v>
      </c>
      <c r="F39" s="233">
        <v>0</v>
      </c>
      <c r="G39" s="233">
        <v>0</v>
      </c>
      <c r="H39" s="233">
        <v>0</v>
      </c>
      <c r="I39" s="233">
        <v>0</v>
      </c>
      <c r="J39" s="233">
        <v>0</v>
      </c>
      <c r="K39" s="233">
        <v>0</v>
      </c>
      <c r="L39" s="233">
        <v>0</v>
      </c>
      <c r="M39" s="233">
        <v>0</v>
      </c>
      <c r="N39" s="234">
        <v>0</v>
      </c>
      <c r="O39" s="234">
        <v>0</v>
      </c>
      <c r="P39" s="234">
        <v>0</v>
      </c>
      <c r="Q39" s="234">
        <v>0</v>
      </c>
      <c r="R39" s="234">
        <v>0</v>
      </c>
      <c r="S39" s="234">
        <v>0</v>
      </c>
      <c r="T39" s="234">
        <v>0</v>
      </c>
      <c r="U39" s="234">
        <v>0</v>
      </c>
      <c r="V39" s="234">
        <v>0</v>
      </c>
      <c r="W39" s="234"/>
      <c r="X39" s="234">
        <v>0</v>
      </c>
      <c r="Y39" s="234">
        <v>0</v>
      </c>
      <c r="Z39" s="234">
        <v>0</v>
      </c>
      <c r="AA39" s="234">
        <f>SUMIFS([1]!Data_BS[Value],[1]!Data_BS[Index BS],'Dong Lam'!$B39,[1]!Data_BS[TenCongTyID],'Dong Lam'!$B$1,[1]!Data_BS[Thang.Nam],'Dong Lam'!AA$5)</f>
        <v>0</v>
      </c>
      <c r="AB39" s="234">
        <f>SUMIFS([1]!Data_BS[Value],[1]!Data_BS[Index BS],'Dong Lam'!$B39,[1]!Data_BS[TenCongTyID],'Dong Lam'!$B$1,[1]!Data_BS[Thang.Nam],'Dong Lam'!AB$5)</f>
        <v>0</v>
      </c>
      <c r="AC39" s="234">
        <f>SUMIFS([1]!Data_BS[Value],[1]!Data_BS[Index BS],'Dong Lam'!$B39,[1]!Data_BS[TenCongTyID],'Dong Lam'!$B$1,[1]!Data_BS[Thang.Nam],'Dong Lam'!AC$5)</f>
        <v>0</v>
      </c>
      <c r="AD39" s="234">
        <f>SUMIFS([1]!Data_BS[Value],[1]!Data_BS[Index BS],'Dong Lam'!$B39,[1]!Data_BS[TenCongTyID],'Dong Lam'!$B$1,[1]!Data_BS[Thang.Nam],'Dong Lam'!AD$5)</f>
        <v>0</v>
      </c>
      <c r="AE39" s="234">
        <f>SUMIFS([1]!Data_BS[Value],[1]!Data_BS[Index BS],'Dong Lam'!$B39,[1]!Data_BS[TenCongTyID],'Dong Lam'!$B$1,[1]!Data_BS[Thang.Nam],'Dong Lam'!AE$5)</f>
        <v>0</v>
      </c>
      <c r="AF39" s="234">
        <f>SUMIFS([1]!Data_BS[Value],[1]!Data_BS[Index BS],'Dong Lam'!$B39,[1]!Data_BS[TenCongTyID],'Dong Lam'!$B$1,[1]!Data_BS[Thang.Nam],'Dong Lam'!AF$5)</f>
        <v>0</v>
      </c>
      <c r="AG39" s="234">
        <f>SUMIFS([1]!Data_BS[Value],[1]!Data_BS[Index BS],'Dong Lam'!$B39,[1]!Data_BS[TenCongTyID],'Dong Lam'!$B$1,[1]!Data_BS[Thang.Nam],'Dong Lam'!AG$5)</f>
        <v>0</v>
      </c>
      <c r="AH39" s="234">
        <f>SUMIFS([1]!Data_BS[Value],[1]!Data_BS[Index BS],'Dong Lam'!$B39,[1]!Data_BS[TenCongTyID],'Dong Lam'!$B$1,[1]!Data_BS[Thang.Nam],'Dong Lam'!AH$5)</f>
        <v>0</v>
      </c>
      <c r="AI39" s="234">
        <f>SUMIFS([1]!Data_BS[Value],[1]!Data_BS[Index BS],'Dong Lam'!$B39,[1]!Data_BS[TenCongTyID],'Dong Lam'!$B$1,[1]!Data_BS[Thang.Nam],'Dong Lam'!AI$5)</f>
        <v>0</v>
      </c>
      <c r="AJ39" s="234">
        <f>SUMIFS([1]!Data_BS[Value],[1]!Data_BS[Index BS],'Dong Lam'!$B39,[1]!Data_BS[TenCongTyID],'Dong Lam'!$B$1,[1]!Data_BS[Thang.Nam],'Dong Lam'!AJ$5)</f>
        <v>0</v>
      </c>
      <c r="AK39" s="234">
        <f>SUMIFS([1]!Data_BS[Value],[1]!Data_BS[Index BS],'Dong Lam'!$B39,[1]!Data_BS[TenCongTyID],'Dong Lam'!$B$1,[1]!Data_BS[Thang.Nam],'Dong Lam'!AK$5)</f>
        <v>0</v>
      </c>
      <c r="AL39" s="234">
        <f>SUMIFS([1]!Data_BS[Value],[1]!Data_BS[Index BS],'Dong Lam'!$B39,[1]!Data_BS[TenCongTyID],'Dong Lam'!$B$1,[1]!Data_BS[Thang.Nam],'Dong Lam'!AL$5)</f>
        <v>0</v>
      </c>
    </row>
    <row r="40" spans="1:38" ht="15" hidden="1" customHeight="1" outlineLevel="1">
      <c r="A40" s="62" t="s">
        <v>124</v>
      </c>
      <c r="B40" s="63">
        <v>35</v>
      </c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>
        <v>0</v>
      </c>
      <c r="AA40" s="229">
        <f>SUMIFS([1]!Data_BS[Value],[1]!Data_BS[Index BS],'Dong Lam'!$B40,[1]!Data_BS[TenCongTyID],'Dong Lam'!$B$1,[1]!Data_BS[Thang.Nam],'Dong Lam'!AA$5)</f>
        <v>0</v>
      </c>
      <c r="AB40" s="229">
        <f>SUMIFS([1]!Data_BS[Value],[1]!Data_BS[Index BS],'Dong Lam'!$B40,[1]!Data_BS[TenCongTyID],'Dong Lam'!$B$1,[1]!Data_BS[Thang.Nam],'Dong Lam'!AB$5)</f>
        <v>0</v>
      </c>
      <c r="AC40" s="229">
        <f>SUMIFS([1]!Data_BS[Value],[1]!Data_BS[Index BS],'Dong Lam'!$B40,[1]!Data_BS[TenCongTyID],'Dong Lam'!$B$1,[1]!Data_BS[Thang.Nam],'Dong Lam'!AC$5)</f>
        <v>0</v>
      </c>
      <c r="AD40" s="229">
        <f>SUMIFS([1]!Data_BS[Value],[1]!Data_BS[Index BS],'Dong Lam'!$B40,[1]!Data_BS[TenCongTyID],'Dong Lam'!$B$1,[1]!Data_BS[Thang.Nam],'Dong Lam'!AD$5)</f>
        <v>0</v>
      </c>
      <c r="AE40" s="229">
        <f>SUMIFS([1]!Data_BS[Value],[1]!Data_BS[Index BS],'Dong Lam'!$B40,[1]!Data_BS[TenCongTyID],'Dong Lam'!$B$1,[1]!Data_BS[Thang.Nam],'Dong Lam'!AE$5)</f>
        <v>0</v>
      </c>
      <c r="AF40" s="229">
        <f>SUMIFS([1]!Data_BS[Value],[1]!Data_BS[Index BS],'Dong Lam'!$B40,[1]!Data_BS[TenCongTyID],'Dong Lam'!$B$1,[1]!Data_BS[Thang.Nam],'Dong Lam'!AF$5)</f>
        <v>0</v>
      </c>
      <c r="AG40" s="229">
        <f>SUMIFS([1]!Data_BS[Value],[1]!Data_BS[Index BS],'Dong Lam'!$B40,[1]!Data_BS[TenCongTyID],'Dong Lam'!$B$1,[1]!Data_BS[Thang.Nam],'Dong Lam'!AG$5)</f>
        <v>0</v>
      </c>
      <c r="AH40" s="229">
        <f>SUMIFS([1]!Data_BS[Value],[1]!Data_BS[Index BS],'Dong Lam'!$B40,[1]!Data_BS[TenCongTyID],'Dong Lam'!$B$1,[1]!Data_BS[Thang.Nam],'Dong Lam'!AH$5)</f>
        <v>0</v>
      </c>
      <c r="AI40" s="229">
        <f>SUMIFS([1]!Data_BS[Value],[1]!Data_BS[Index BS],'Dong Lam'!$B40,[1]!Data_BS[TenCongTyID],'Dong Lam'!$B$1,[1]!Data_BS[Thang.Nam],'Dong Lam'!AI$5)</f>
        <v>0</v>
      </c>
      <c r="AJ40" s="229">
        <f>SUMIFS([1]!Data_BS[Value],[1]!Data_BS[Index BS],'Dong Lam'!$B40,[1]!Data_BS[TenCongTyID],'Dong Lam'!$B$1,[1]!Data_BS[Thang.Nam],'Dong Lam'!AJ$5)</f>
        <v>0</v>
      </c>
      <c r="AK40" s="229">
        <f>SUMIFS([1]!Data_BS[Value],[1]!Data_BS[Index BS],'Dong Lam'!$B40,[1]!Data_BS[TenCongTyID],'Dong Lam'!$B$1,[1]!Data_BS[Thang.Nam],'Dong Lam'!AK$5)</f>
        <v>0</v>
      </c>
      <c r="AL40" s="229">
        <f>SUMIFS([1]!Data_BS[Value],[1]!Data_BS[Index BS],'Dong Lam'!$B40,[1]!Data_BS[TenCongTyID],'Dong Lam'!$B$1,[1]!Data_BS[Thang.Nam],'Dong Lam'!AL$5)</f>
        <v>0</v>
      </c>
    </row>
    <row r="41" spans="1:38" ht="15" hidden="1" customHeight="1" outlineLevel="1">
      <c r="A41" s="62" t="s">
        <v>125</v>
      </c>
      <c r="B41" s="63">
        <v>36</v>
      </c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>
        <v>0</v>
      </c>
      <c r="AA41" s="229">
        <f>SUMIFS([1]!Data_BS[Value],[1]!Data_BS[Index BS],'Dong Lam'!$B41,[1]!Data_BS[TenCongTyID],'Dong Lam'!$B$1,[1]!Data_BS[Thang.Nam],'Dong Lam'!AA$5)</f>
        <v>0</v>
      </c>
      <c r="AB41" s="229">
        <f>SUMIFS([1]!Data_BS[Value],[1]!Data_BS[Index BS],'Dong Lam'!$B41,[1]!Data_BS[TenCongTyID],'Dong Lam'!$B$1,[1]!Data_BS[Thang.Nam],'Dong Lam'!AB$5)</f>
        <v>0</v>
      </c>
      <c r="AC41" s="229">
        <f>SUMIFS([1]!Data_BS[Value],[1]!Data_BS[Index BS],'Dong Lam'!$B41,[1]!Data_BS[TenCongTyID],'Dong Lam'!$B$1,[1]!Data_BS[Thang.Nam],'Dong Lam'!AC$5)</f>
        <v>0</v>
      </c>
      <c r="AD41" s="229">
        <f>SUMIFS([1]!Data_BS[Value],[1]!Data_BS[Index BS],'Dong Lam'!$B41,[1]!Data_BS[TenCongTyID],'Dong Lam'!$B$1,[1]!Data_BS[Thang.Nam],'Dong Lam'!AD$5)</f>
        <v>0</v>
      </c>
      <c r="AE41" s="229">
        <f>SUMIFS([1]!Data_BS[Value],[1]!Data_BS[Index BS],'Dong Lam'!$B41,[1]!Data_BS[TenCongTyID],'Dong Lam'!$B$1,[1]!Data_BS[Thang.Nam],'Dong Lam'!AE$5)</f>
        <v>0</v>
      </c>
      <c r="AF41" s="229">
        <f>SUMIFS([1]!Data_BS[Value],[1]!Data_BS[Index BS],'Dong Lam'!$B41,[1]!Data_BS[TenCongTyID],'Dong Lam'!$B$1,[1]!Data_BS[Thang.Nam],'Dong Lam'!AF$5)</f>
        <v>0</v>
      </c>
      <c r="AG41" s="229">
        <f>SUMIFS([1]!Data_BS[Value],[1]!Data_BS[Index BS],'Dong Lam'!$B41,[1]!Data_BS[TenCongTyID],'Dong Lam'!$B$1,[1]!Data_BS[Thang.Nam],'Dong Lam'!AG$5)</f>
        <v>0</v>
      </c>
      <c r="AH41" s="229">
        <f>SUMIFS([1]!Data_BS[Value],[1]!Data_BS[Index BS],'Dong Lam'!$B41,[1]!Data_BS[TenCongTyID],'Dong Lam'!$B$1,[1]!Data_BS[Thang.Nam],'Dong Lam'!AH$5)</f>
        <v>0</v>
      </c>
      <c r="AI41" s="229">
        <f>SUMIFS([1]!Data_BS[Value],[1]!Data_BS[Index BS],'Dong Lam'!$B41,[1]!Data_BS[TenCongTyID],'Dong Lam'!$B$1,[1]!Data_BS[Thang.Nam],'Dong Lam'!AI$5)</f>
        <v>0</v>
      </c>
      <c r="AJ41" s="229">
        <f>SUMIFS([1]!Data_BS[Value],[1]!Data_BS[Index BS],'Dong Lam'!$B41,[1]!Data_BS[TenCongTyID],'Dong Lam'!$B$1,[1]!Data_BS[Thang.Nam],'Dong Lam'!AJ$5)</f>
        <v>0</v>
      </c>
      <c r="AK41" s="229">
        <f>SUMIFS([1]!Data_BS[Value],[1]!Data_BS[Index BS],'Dong Lam'!$B41,[1]!Data_BS[TenCongTyID],'Dong Lam'!$B$1,[1]!Data_BS[Thang.Nam],'Dong Lam'!AK$5)</f>
        <v>0</v>
      </c>
      <c r="AL41" s="229">
        <f>SUMIFS([1]!Data_BS[Value],[1]!Data_BS[Index BS],'Dong Lam'!$B41,[1]!Data_BS[TenCongTyID],'Dong Lam'!$B$1,[1]!Data_BS[Thang.Nam],'Dong Lam'!AL$5)</f>
        <v>0</v>
      </c>
    </row>
    <row r="42" spans="1:38" ht="15" hidden="1" customHeight="1" outlineLevel="1">
      <c r="A42" s="62" t="s">
        <v>126</v>
      </c>
      <c r="B42" s="63">
        <v>37</v>
      </c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>
        <v>0</v>
      </c>
      <c r="AA42" s="229">
        <f>SUMIFS([1]!Data_BS[Value],[1]!Data_BS[Index BS],'Dong Lam'!$B42,[1]!Data_BS[TenCongTyID],'Dong Lam'!$B$1,[1]!Data_BS[Thang.Nam],'Dong Lam'!AA$5)</f>
        <v>0</v>
      </c>
      <c r="AB42" s="229">
        <f>SUMIFS([1]!Data_BS[Value],[1]!Data_BS[Index BS],'Dong Lam'!$B42,[1]!Data_BS[TenCongTyID],'Dong Lam'!$B$1,[1]!Data_BS[Thang.Nam],'Dong Lam'!AB$5)</f>
        <v>0</v>
      </c>
      <c r="AC42" s="229">
        <f>SUMIFS([1]!Data_BS[Value],[1]!Data_BS[Index BS],'Dong Lam'!$B42,[1]!Data_BS[TenCongTyID],'Dong Lam'!$B$1,[1]!Data_BS[Thang.Nam],'Dong Lam'!AC$5)</f>
        <v>0</v>
      </c>
      <c r="AD42" s="229">
        <f>SUMIFS([1]!Data_BS[Value],[1]!Data_BS[Index BS],'Dong Lam'!$B42,[1]!Data_BS[TenCongTyID],'Dong Lam'!$B$1,[1]!Data_BS[Thang.Nam],'Dong Lam'!AD$5)</f>
        <v>0</v>
      </c>
      <c r="AE42" s="229">
        <f>SUMIFS([1]!Data_BS[Value],[1]!Data_BS[Index BS],'Dong Lam'!$B42,[1]!Data_BS[TenCongTyID],'Dong Lam'!$B$1,[1]!Data_BS[Thang.Nam],'Dong Lam'!AE$5)</f>
        <v>0</v>
      </c>
      <c r="AF42" s="229">
        <f>SUMIFS([1]!Data_BS[Value],[1]!Data_BS[Index BS],'Dong Lam'!$B42,[1]!Data_BS[TenCongTyID],'Dong Lam'!$B$1,[1]!Data_BS[Thang.Nam],'Dong Lam'!AF$5)</f>
        <v>0</v>
      </c>
      <c r="AG42" s="229">
        <f>SUMIFS([1]!Data_BS[Value],[1]!Data_BS[Index BS],'Dong Lam'!$B42,[1]!Data_BS[TenCongTyID],'Dong Lam'!$B$1,[1]!Data_BS[Thang.Nam],'Dong Lam'!AG$5)</f>
        <v>0</v>
      </c>
      <c r="AH42" s="229">
        <f>SUMIFS([1]!Data_BS[Value],[1]!Data_BS[Index BS],'Dong Lam'!$B42,[1]!Data_BS[TenCongTyID],'Dong Lam'!$B$1,[1]!Data_BS[Thang.Nam],'Dong Lam'!AH$5)</f>
        <v>0</v>
      </c>
      <c r="AI42" s="229">
        <f>SUMIFS([1]!Data_BS[Value],[1]!Data_BS[Index BS],'Dong Lam'!$B42,[1]!Data_BS[TenCongTyID],'Dong Lam'!$B$1,[1]!Data_BS[Thang.Nam],'Dong Lam'!AI$5)</f>
        <v>0</v>
      </c>
      <c r="AJ42" s="229">
        <f>SUMIFS([1]!Data_BS[Value],[1]!Data_BS[Index BS],'Dong Lam'!$B42,[1]!Data_BS[TenCongTyID],'Dong Lam'!$B$1,[1]!Data_BS[Thang.Nam],'Dong Lam'!AJ$5)</f>
        <v>0</v>
      </c>
      <c r="AK42" s="229">
        <f>SUMIFS([1]!Data_BS[Value],[1]!Data_BS[Index BS],'Dong Lam'!$B42,[1]!Data_BS[TenCongTyID],'Dong Lam'!$B$1,[1]!Data_BS[Thang.Nam],'Dong Lam'!AK$5)</f>
        <v>0</v>
      </c>
      <c r="AL42" s="229">
        <f>SUMIFS([1]!Data_BS[Value],[1]!Data_BS[Index BS],'Dong Lam'!$B42,[1]!Data_BS[TenCongTyID],'Dong Lam'!$B$1,[1]!Data_BS[Thang.Nam],'Dong Lam'!AL$5)</f>
        <v>0</v>
      </c>
    </row>
    <row r="43" spans="1:38" ht="15" hidden="1" customHeight="1" outlineLevel="1">
      <c r="A43" s="62" t="s">
        <v>127</v>
      </c>
      <c r="B43" s="63">
        <v>38</v>
      </c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>
        <v>0</v>
      </c>
      <c r="AA43" s="229">
        <f>SUMIFS([1]!Data_BS[Value],[1]!Data_BS[Index BS],'Dong Lam'!$B43,[1]!Data_BS[TenCongTyID],'Dong Lam'!$B$1,[1]!Data_BS[Thang.Nam],'Dong Lam'!AA$5)</f>
        <v>0</v>
      </c>
      <c r="AB43" s="229">
        <f>SUMIFS([1]!Data_BS[Value],[1]!Data_BS[Index BS],'Dong Lam'!$B43,[1]!Data_BS[TenCongTyID],'Dong Lam'!$B$1,[1]!Data_BS[Thang.Nam],'Dong Lam'!AB$5)</f>
        <v>0</v>
      </c>
      <c r="AC43" s="229">
        <f>SUMIFS([1]!Data_BS[Value],[1]!Data_BS[Index BS],'Dong Lam'!$B43,[1]!Data_BS[TenCongTyID],'Dong Lam'!$B$1,[1]!Data_BS[Thang.Nam],'Dong Lam'!AC$5)</f>
        <v>0</v>
      </c>
      <c r="AD43" s="229">
        <f>SUMIFS([1]!Data_BS[Value],[1]!Data_BS[Index BS],'Dong Lam'!$B43,[1]!Data_BS[TenCongTyID],'Dong Lam'!$B$1,[1]!Data_BS[Thang.Nam],'Dong Lam'!AD$5)</f>
        <v>0</v>
      </c>
      <c r="AE43" s="229">
        <f>SUMIFS([1]!Data_BS[Value],[1]!Data_BS[Index BS],'Dong Lam'!$B43,[1]!Data_BS[TenCongTyID],'Dong Lam'!$B$1,[1]!Data_BS[Thang.Nam],'Dong Lam'!AE$5)</f>
        <v>0</v>
      </c>
      <c r="AF43" s="229">
        <f>SUMIFS([1]!Data_BS[Value],[1]!Data_BS[Index BS],'Dong Lam'!$B43,[1]!Data_BS[TenCongTyID],'Dong Lam'!$B$1,[1]!Data_BS[Thang.Nam],'Dong Lam'!AF$5)</f>
        <v>0</v>
      </c>
      <c r="AG43" s="229">
        <f>SUMIFS([1]!Data_BS[Value],[1]!Data_BS[Index BS],'Dong Lam'!$B43,[1]!Data_BS[TenCongTyID],'Dong Lam'!$B$1,[1]!Data_BS[Thang.Nam],'Dong Lam'!AG$5)</f>
        <v>0</v>
      </c>
      <c r="AH43" s="229">
        <f>SUMIFS([1]!Data_BS[Value],[1]!Data_BS[Index BS],'Dong Lam'!$B43,[1]!Data_BS[TenCongTyID],'Dong Lam'!$B$1,[1]!Data_BS[Thang.Nam],'Dong Lam'!AH$5)</f>
        <v>0</v>
      </c>
      <c r="AI43" s="229">
        <f>SUMIFS([1]!Data_BS[Value],[1]!Data_BS[Index BS],'Dong Lam'!$B43,[1]!Data_BS[TenCongTyID],'Dong Lam'!$B$1,[1]!Data_BS[Thang.Nam],'Dong Lam'!AI$5)</f>
        <v>0</v>
      </c>
      <c r="AJ43" s="229">
        <f>SUMIFS([1]!Data_BS[Value],[1]!Data_BS[Index BS],'Dong Lam'!$B43,[1]!Data_BS[TenCongTyID],'Dong Lam'!$B$1,[1]!Data_BS[Thang.Nam],'Dong Lam'!AJ$5)</f>
        <v>0</v>
      </c>
      <c r="AK43" s="229">
        <f>SUMIFS([1]!Data_BS[Value],[1]!Data_BS[Index BS],'Dong Lam'!$B43,[1]!Data_BS[TenCongTyID],'Dong Lam'!$B$1,[1]!Data_BS[Thang.Nam],'Dong Lam'!AK$5)</f>
        <v>0</v>
      </c>
      <c r="AL43" s="229">
        <f>SUMIFS([1]!Data_BS[Value],[1]!Data_BS[Index BS],'Dong Lam'!$B43,[1]!Data_BS[TenCongTyID],'Dong Lam'!$B$1,[1]!Data_BS[Thang.Nam],'Dong Lam'!AL$5)</f>
        <v>0</v>
      </c>
    </row>
    <row r="44" spans="1:38" ht="15" hidden="1" customHeight="1" outlineLevel="1">
      <c r="A44" s="62" t="s">
        <v>128</v>
      </c>
      <c r="B44" s="63">
        <v>39</v>
      </c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>
        <v>0</v>
      </c>
      <c r="AA44" s="229">
        <f>SUMIFS([1]!Data_BS[Value],[1]!Data_BS[Index BS],'Dong Lam'!$B44,[1]!Data_BS[TenCongTyID],'Dong Lam'!$B$1,[1]!Data_BS[Thang.Nam],'Dong Lam'!AA$5)</f>
        <v>0</v>
      </c>
      <c r="AB44" s="229">
        <f>SUMIFS([1]!Data_BS[Value],[1]!Data_BS[Index BS],'Dong Lam'!$B44,[1]!Data_BS[TenCongTyID],'Dong Lam'!$B$1,[1]!Data_BS[Thang.Nam],'Dong Lam'!AB$5)</f>
        <v>0</v>
      </c>
      <c r="AC44" s="229">
        <f>SUMIFS([1]!Data_BS[Value],[1]!Data_BS[Index BS],'Dong Lam'!$B44,[1]!Data_BS[TenCongTyID],'Dong Lam'!$B$1,[1]!Data_BS[Thang.Nam],'Dong Lam'!AC$5)</f>
        <v>0</v>
      </c>
      <c r="AD44" s="229">
        <f>SUMIFS([1]!Data_BS[Value],[1]!Data_BS[Index BS],'Dong Lam'!$B44,[1]!Data_BS[TenCongTyID],'Dong Lam'!$B$1,[1]!Data_BS[Thang.Nam],'Dong Lam'!AD$5)</f>
        <v>0</v>
      </c>
      <c r="AE44" s="229">
        <f>SUMIFS([1]!Data_BS[Value],[1]!Data_BS[Index BS],'Dong Lam'!$B44,[1]!Data_BS[TenCongTyID],'Dong Lam'!$B$1,[1]!Data_BS[Thang.Nam],'Dong Lam'!AE$5)</f>
        <v>0</v>
      </c>
      <c r="AF44" s="229">
        <f>SUMIFS([1]!Data_BS[Value],[1]!Data_BS[Index BS],'Dong Lam'!$B44,[1]!Data_BS[TenCongTyID],'Dong Lam'!$B$1,[1]!Data_BS[Thang.Nam],'Dong Lam'!AF$5)</f>
        <v>0</v>
      </c>
      <c r="AG44" s="229">
        <f>SUMIFS([1]!Data_BS[Value],[1]!Data_BS[Index BS],'Dong Lam'!$B44,[1]!Data_BS[TenCongTyID],'Dong Lam'!$B$1,[1]!Data_BS[Thang.Nam],'Dong Lam'!AG$5)</f>
        <v>0</v>
      </c>
      <c r="AH44" s="229">
        <f>SUMIFS([1]!Data_BS[Value],[1]!Data_BS[Index BS],'Dong Lam'!$B44,[1]!Data_BS[TenCongTyID],'Dong Lam'!$B$1,[1]!Data_BS[Thang.Nam],'Dong Lam'!AH$5)</f>
        <v>0</v>
      </c>
      <c r="AI44" s="229">
        <f>SUMIFS([1]!Data_BS[Value],[1]!Data_BS[Index BS],'Dong Lam'!$B44,[1]!Data_BS[TenCongTyID],'Dong Lam'!$B$1,[1]!Data_BS[Thang.Nam],'Dong Lam'!AI$5)</f>
        <v>0</v>
      </c>
      <c r="AJ44" s="229">
        <f>SUMIFS([1]!Data_BS[Value],[1]!Data_BS[Index BS],'Dong Lam'!$B44,[1]!Data_BS[TenCongTyID],'Dong Lam'!$B$1,[1]!Data_BS[Thang.Nam],'Dong Lam'!AJ$5)</f>
        <v>0</v>
      </c>
      <c r="AK44" s="229">
        <f>SUMIFS([1]!Data_BS[Value],[1]!Data_BS[Index BS],'Dong Lam'!$B44,[1]!Data_BS[TenCongTyID],'Dong Lam'!$B$1,[1]!Data_BS[Thang.Nam],'Dong Lam'!AK$5)</f>
        <v>0</v>
      </c>
      <c r="AL44" s="229">
        <f>SUMIFS([1]!Data_BS[Value],[1]!Data_BS[Index BS],'Dong Lam'!$B44,[1]!Data_BS[TenCongTyID],'Dong Lam'!$B$1,[1]!Data_BS[Thang.Nam],'Dong Lam'!AL$5)</f>
        <v>0</v>
      </c>
    </row>
    <row r="45" spans="1:38" ht="15" hidden="1" customHeight="1" outlineLevel="1">
      <c r="A45" s="62" t="s">
        <v>129</v>
      </c>
      <c r="B45" s="63">
        <v>40</v>
      </c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>
        <v>0</v>
      </c>
      <c r="AA45" s="229">
        <f>SUMIFS([1]!Data_BS[Value],[1]!Data_BS[Index BS],'Dong Lam'!$B45,[1]!Data_BS[TenCongTyID],'Dong Lam'!$B$1,[1]!Data_BS[Thang.Nam],'Dong Lam'!AA$5)</f>
        <v>0</v>
      </c>
      <c r="AB45" s="229">
        <f>SUMIFS([1]!Data_BS[Value],[1]!Data_BS[Index BS],'Dong Lam'!$B45,[1]!Data_BS[TenCongTyID],'Dong Lam'!$B$1,[1]!Data_BS[Thang.Nam],'Dong Lam'!AB$5)</f>
        <v>0</v>
      </c>
      <c r="AC45" s="229">
        <f>SUMIFS([1]!Data_BS[Value],[1]!Data_BS[Index BS],'Dong Lam'!$B45,[1]!Data_BS[TenCongTyID],'Dong Lam'!$B$1,[1]!Data_BS[Thang.Nam],'Dong Lam'!AC$5)</f>
        <v>0</v>
      </c>
      <c r="AD45" s="229">
        <f>SUMIFS([1]!Data_BS[Value],[1]!Data_BS[Index BS],'Dong Lam'!$B45,[1]!Data_BS[TenCongTyID],'Dong Lam'!$B$1,[1]!Data_BS[Thang.Nam],'Dong Lam'!AD$5)</f>
        <v>0</v>
      </c>
      <c r="AE45" s="229">
        <f>SUMIFS([1]!Data_BS[Value],[1]!Data_BS[Index BS],'Dong Lam'!$B45,[1]!Data_BS[TenCongTyID],'Dong Lam'!$B$1,[1]!Data_BS[Thang.Nam],'Dong Lam'!AE$5)</f>
        <v>0</v>
      </c>
      <c r="AF45" s="229">
        <f>SUMIFS([1]!Data_BS[Value],[1]!Data_BS[Index BS],'Dong Lam'!$B45,[1]!Data_BS[TenCongTyID],'Dong Lam'!$B$1,[1]!Data_BS[Thang.Nam],'Dong Lam'!AF$5)</f>
        <v>0</v>
      </c>
      <c r="AG45" s="229">
        <f>SUMIFS([1]!Data_BS[Value],[1]!Data_BS[Index BS],'Dong Lam'!$B45,[1]!Data_BS[TenCongTyID],'Dong Lam'!$B$1,[1]!Data_BS[Thang.Nam],'Dong Lam'!AG$5)</f>
        <v>0</v>
      </c>
      <c r="AH45" s="229">
        <f>SUMIFS([1]!Data_BS[Value],[1]!Data_BS[Index BS],'Dong Lam'!$B45,[1]!Data_BS[TenCongTyID],'Dong Lam'!$B$1,[1]!Data_BS[Thang.Nam],'Dong Lam'!AH$5)</f>
        <v>0</v>
      </c>
      <c r="AI45" s="229">
        <f>SUMIFS([1]!Data_BS[Value],[1]!Data_BS[Index BS],'Dong Lam'!$B45,[1]!Data_BS[TenCongTyID],'Dong Lam'!$B$1,[1]!Data_BS[Thang.Nam],'Dong Lam'!AI$5)</f>
        <v>0</v>
      </c>
      <c r="AJ45" s="229">
        <f>SUMIFS([1]!Data_BS[Value],[1]!Data_BS[Index BS],'Dong Lam'!$B45,[1]!Data_BS[TenCongTyID],'Dong Lam'!$B$1,[1]!Data_BS[Thang.Nam],'Dong Lam'!AJ$5)</f>
        <v>0</v>
      </c>
      <c r="AK45" s="229">
        <f>SUMIFS([1]!Data_BS[Value],[1]!Data_BS[Index BS],'Dong Lam'!$B45,[1]!Data_BS[TenCongTyID],'Dong Lam'!$B$1,[1]!Data_BS[Thang.Nam],'Dong Lam'!AK$5)</f>
        <v>0</v>
      </c>
      <c r="AL45" s="229">
        <f>SUMIFS([1]!Data_BS[Value],[1]!Data_BS[Index BS],'Dong Lam'!$B45,[1]!Data_BS[TenCongTyID],'Dong Lam'!$B$1,[1]!Data_BS[Thang.Nam],'Dong Lam'!AL$5)</f>
        <v>0</v>
      </c>
    </row>
    <row r="46" spans="1:38" ht="15" hidden="1" customHeight="1" outlineLevel="1">
      <c r="A46" s="72" t="s">
        <v>130</v>
      </c>
      <c r="B46" s="65">
        <v>41</v>
      </c>
      <c r="C46" s="233">
        <v>21712687091</v>
      </c>
      <c r="D46" s="233">
        <v>21381437135</v>
      </c>
      <c r="E46" s="233">
        <v>21109353846</v>
      </c>
      <c r="F46" s="233">
        <v>20836260054</v>
      </c>
      <c r="G46" s="233">
        <v>20575384952</v>
      </c>
      <c r="H46" s="233">
        <v>20128143185</v>
      </c>
      <c r="I46" s="233">
        <v>20281572127</v>
      </c>
      <c r="J46" s="233">
        <v>19949031359</v>
      </c>
      <c r="K46" s="233">
        <v>19620722871</v>
      </c>
      <c r="L46" s="233">
        <v>19295786682</v>
      </c>
      <c r="M46" s="233">
        <v>18970850493</v>
      </c>
      <c r="N46" s="234">
        <v>18645914304</v>
      </c>
      <c r="O46" s="234">
        <v>18320978115</v>
      </c>
      <c r="P46" s="234">
        <v>18328350341</v>
      </c>
      <c r="Q46" s="234">
        <v>17998798757</v>
      </c>
      <c r="R46" s="234">
        <v>17669247173</v>
      </c>
      <c r="S46" s="234">
        <v>17339695589</v>
      </c>
      <c r="T46" s="234">
        <v>17272684746</v>
      </c>
      <c r="U46" s="234">
        <v>16935688718</v>
      </c>
      <c r="V46" s="234">
        <v>16823576172</v>
      </c>
      <c r="W46" s="234">
        <f>+W47+W53+W50</f>
        <v>16481442463</v>
      </c>
      <c r="X46" s="234">
        <v>16139308754</v>
      </c>
      <c r="Y46" s="234">
        <v>17712503047</v>
      </c>
      <c r="Z46" s="234">
        <v>20429544542</v>
      </c>
      <c r="AA46" s="234">
        <f>SUMIFS([1]!Data_BS[Value],[1]!Data_BS[Index BS],'Dong Lam'!$B46,[1]!Data_BS[TenCongTyID],'Dong Lam'!$B$1,[1]!Data_BS[Thang.Nam],'Dong Lam'!AA$5)</f>
        <v>0</v>
      </c>
      <c r="AB46" s="234">
        <f>SUMIFS([1]!Data_BS[Value],[1]!Data_BS[Index BS],'Dong Lam'!$B46,[1]!Data_BS[TenCongTyID],'Dong Lam'!$B$1,[1]!Data_BS[Thang.Nam],'Dong Lam'!AB$5)</f>
        <v>0</v>
      </c>
      <c r="AC46" s="234">
        <f>SUMIFS([1]!Data_BS[Value],[1]!Data_BS[Index BS],'Dong Lam'!$B46,[1]!Data_BS[TenCongTyID],'Dong Lam'!$B$1,[1]!Data_BS[Thang.Nam],'Dong Lam'!AC$5)</f>
        <v>0</v>
      </c>
      <c r="AD46" s="234">
        <f>SUMIFS([1]!Data_BS[Value],[1]!Data_BS[Index BS],'Dong Lam'!$B46,[1]!Data_BS[TenCongTyID],'Dong Lam'!$B$1,[1]!Data_BS[Thang.Nam],'Dong Lam'!AD$5)</f>
        <v>0</v>
      </c>
      <c r="AE46" s="234">
        <f>SUMIFS([1]!Data_BS[Value],[1]!Data_BS[Index BS],'Dong Lam'!$B46,[1]!Data_BS[TenCongTyID],'Dong Lam'!$B$1,[1]!Data_BS[Thang.Nam],'Dong Lam'!AE$5)</f>
        <v>0</v>
      </c>
      <c r="AF46" s="234">
        <f>SUMIFS([1]!Data_BS[Value],[1]!Data_BS[Index BS],'Dong Lam'!$B46,[1]!Data_BS[TenCongTyID],'Dong Lam'!$B$1,[1]!Data_BS[Thang.Nam],'Dong Lam'!AF$5)</f>
        <v>0</v>
      </c>
      <c r="AG46" s="234">
        <f>SUMIFS([1]!Data_BS[Value],[1]!Data_BS[Index BS],'Dong Lam'!$B46,[1]!Data_BS[TenCongTyID],'Dong Lam'!$B$1,[1]!Data_BS[Thang.Nam],'Dong Lam'!AG$5)</f>
        <v>0</v>
      </c>
      <c r="AH46" s="234">
        <f>SUMIFS([1]!Data_BS[Value],[1]!Data_BS[Index BS],'Dong Lam'!$B46,[1]!Data_BS[TenCongTyID],'Dong Lam'!$B$1,[1]!Data_BS[Thang.Nam],'Dong Lam'!AH$5)</f>
        <v>0</v>
      </c>
      <c r="AI46" s="234">
        <f>SUMIFS([1]!Data_BS[Value],[1]!Data_BS[Index BS],'Dong Lam'!$B46,[1]!Data_BS[TenCongTyID],'Dong Lam'!$B$1,[1]!Data_BS[Thang.Nam],'Dong Lam'!AI$5)</f>
        <v>0</v>
      </c>
      <c r="AJ46" s="234">
        <f>SUMIFS([1]!Data_BS[Value],[1]!Data_BS[Index BS],'Dong Lam'!$B46,[1]!Data_BS[TenCongTyID],'Dong Lam'!$B$1,[1]!Data_BS[Thang.Nam],'Dong Lam'!AJ$5)</f>
        <v>0</v>
      </c>
      <c r="AK46" s="234">
        <f>SUMIFS([1]!Data_BS[Value],[1]!Data_BS[Index BS],'Dong Lam'!$B46,[1]!Data_BS[TenCongTyID],'Dong Lam'!$B$1,[1]!Data_BS[Thang.Nam],'Dong Lam'!AK$5)</f>
        <v>0</v>
      </c>
      <c r="AL46" s="234">
        <f>SUMIFS([1]!Data_BS[Value],[1]!Data_BS[Index BS],'Dong Lam'!$B46,[1]!Data_BS[TenCongTyID],'Dong Lam'!$B$1,[1]!Data_BS[Thang.Nam],'Dong Lam'!AL$5)</f>
        <v>0</v>
      </c>
    </row>
    <row r="47" spans="1:38" ht="15" hidden="1" customHeight="1" outlineLevel="1">
      <c r="A47" s="72" t="s">
        <v>131</v>
      </c>
      <c r="B47" s="65">
        <v>42</v>
      </c>
      <c r="C47" s="233">
        <v>21691143507</v>
      </c>
      <c r="D47" s="233">
        <v>21361089203</v>
      </c>
      <c r="E47" s="233">
        <v>21090201566</v>
      </c>
      <c r="F47" s="233">
        <v>20818303426</v>
      </c>
      <c r="G47" s="233">
        <v>20558623976</v>
      </c>
      <c r="H47" s="233">
        <v>20112577861</v>
      </c>
      <c r="I47" s="233">
        <v>20267202455</v>
      </c>
      <c r="J47" s="233">
        <v>19935857339</v>
      </c>
      <c r="K47" s="233">
        <v>19608744503</v>
      </c>
      <c r="L47" s="233">
        <v>19285003966</v>
      </c>
      <c r="M47" s="233">
        <v>18961263429</v>
      </c>
      <c r="N47" s="234">
        <v>18637522892</v>
      </c>
      <c r="O47" s="234">
        <v>18313782355</v>
      </c>
      <c r="P47" s="234">
        <v>18322350233</v>
      </c>
      <c r="Q47" s="234">
        <v>17993994301</v>
      </c>
      <c r="R47" s="234">
        <v>17665638369</v>
      </c>
      <c r="S47" s="234">
        <v>17337282437</v>
      </c>
      <c r="T47" s="234">
        <v>17271467246</v>
      </c>
      <c r="U47" s="234">
        <v>16935666870</v>
      </c>
      <c r="V47" s="234">
        <v>16823576172</v>
      </c>
      <c r="W47" s="234">
        <f>+SUM(W48:W49)</f>
        <v>16481442463</v>
      </c>
      <c r="X47" s="234">
        <v>16139308754</v>
      </c>
      <c r="Y47" s="234">
        <v>17712503047</v>
      </c>
      <c r="Z47" s="234">
        <v>20429544542</v>
      </c>
      <c r="AA47" s="234">
        <f>SUMIFS([1]!Data_BS[Value],[1]!Data_BS[Index BS],'Dong Lam'!$B47,[1]!Data_BS[TenCongTyID],'Dong Lam'!$B$1,[1]!Data_BS[Thang.Nam],'Dong Lam'!AA$5)</f>
        <v>0</v>
      </c>
      <c r="AB47" s="234">
        <f>SUMIFS([1]!Data_BS[Value],[1]!Data_BS[Index BS],'Dong Lam'!$B47,[1]!Data_BS[TenCongTyID],'Dong Lam'!$B$1,[1]!Data_BS[Thang.Nam],'Dong Lam'!AB$5)</f>
        <v>0</v>
      </c>
      <c r="AC47" s="234">
        <f>SUMIFS([1]!Data_BS[Value],[1]!Data_BS[Index BS],'Dong Lam'!$B47,[1]!Data_BS[TenCongTyID],'Dong Lam'!$B$1,[1]!Data_BS[Thang.Nam],'Dong Lam'!AC$5)</f>
        <v>0</v>
      </c>
      <c r="AD47" s="234">
        <f>SUMIFS([1]!Data_BS[Value],[1]!Data_BS[Index BS],'Dong Lam'!$B47,[1]!Data_BS[TenCongTyID],'Dong Lam'!$B$1,[1]!Data_BS[Thang.Nam],'Dong Lam'!AD$5)</f>
        <v>0</v>
      </c>
      <c r="AE47" s="234">
        <f>SUMIFS([1]!Data_BS[Value],[1]!Data_BS[Index BS],'Dong Lam'!$B47,[1]!Data_BS[TenCongTyID],'Dong Lam'!$B$1,[1]!Data_BS[Thang.Nam],'Dong Lam'!AE$5)</f>
        <v>0</v>
      </c>
      <c r="AF47" s="234">
        <f>SUMIFS([1]!Data_BS[Value],[1]!Data_BS[Index BS],'Dong Lam'!$B47,[1]!Data_BS[TenCongTyID],'Dong Lam'!$B$1,[1]!Data_BS[Thang.Nam],'Dong Lam'!AF$5)</f>
        <v>0</v>
      </c>
      <c r="AG47" s="234">
        <f>SUMIFS([1]!Data_BS[Value],[1]!Data_BS[Index BS],'Dong Lam'!$B47,[1]!Data_BS[TenCongTyID],'Dong Lam'!$B$1,[1]!Data_BS[Thang.Nam],'Dong Lam'!AG$5)</f>
        <v>0</v>
      </c>
      <c r="AH47" s="234">
        <f>SUMIFS([1]!Data_BS[Value],[1]!Data_BS[Index BS],'Dong Lam'!$B47,[1]!Data_BS[TenCongTyID],'Dong Lam'!$B$1,[1]!Data_BS[Thang.Nam],'Dong Lam'!AH$5)</f>
        <v>0</v>
      </c>
      <c r="AI47" s="234">
        <f>SUMIFS([1]!Data_BS[Value],[1]!Data_BS[Index BS],'Dong Lam'!$B47,[1]!Data_BS[TenCongTyID],'Dong Lam'!$B$1,[1]!Data_BS[Thang.Nam],'Dong Lam'!AI$5)</f>
        <v>0</v>
      </c>
      <c r="AJ47" s="234">
        <f>SUMIFS([1]!Data_BS[Value],[1]!Data_BS[Index BS],'Dong Lam'!$B47,[1]!Data_BS[TenCongTyID],'Dong Lam'!$B$1,[1]!Data_BS[Thang.Nam],'Dong Lam'!AJ$5)</f>
        <v>0</v>
      </c>
      <c r="AK47" s="234">
        <f>SUMIFS([1]!Data_BS[Value],[1]!Data_BS[Index BS],'Dong Lam'!$B47,[1]!Data_BS[TenCongTyID],'Dong Lam'!$B$1,[1]!Data_BS[Thang.Nam],'Dong Lam'!AK$5)</f>
        <v>0</v>
      </c>
      <c r="AL47" s="234">
        <f>SUMIFS([1]!Data_BS[Value],[1]!Data_BS[Index BS],'Dong Lam'!$B47,[1]!Data_BS[TenCongTyID],'Dong Lam'!$B$1,[1]!Data_BS[Thang.Nam],'Dong Lam'!AL$5)</f>
        <v>0</v>
      </c>
    </row>
    <row r="48" spans="1:38" ht="15" hidden="1" customHeight="1" outlineLevel="1">
      <c r="A48" s="73" t="s">
        <v>132</v>
      </c>
      <c r="B48" s="63">
        <v>43</v>
      </c>
      <c r="C48" s="229">
        <v>27512399671</v>
      </c>
      <c r="D48" s="229">
        <v>27512399671</v>
      </c>
      <c r="E48" s="229">
        <v>27572399671</v>
      </c>
      <c r="F48" s="229">
        <v>27496063171</v>
      </c>
      <c r="G48" s="229">
        <v>27586063171</v>
      </c>
      <c r="H48" s="229">
        <v>27433063171</v>
      </c>
      <c r="I48" s="229">
        <v>27918745123</v>
      </c>
      <c r="J48" s="229">
        <v>27918745123</v>
      </c>
      <c r="K48" s="229">
        <v>27918745123</v>
      </c>
      <c r="L48" s="229">
        <v>27918745123</v>
      </c>
      <c r="M48" s="229">
        <v>27918745123</v>
      </c>
      <c r="N48" s="229">
        <v>27918745123</v>
      </c>
      <c r="O48" s="229">
        <v>27721540123</v>
      </c>
      <c r="P48" s="229">
        <v>28053848538</v>
      </c>
      <c r="Q48" s="229">
        <v>28053848538</v>
      </c>
      <c r="R48" s="229">
        <v>28053848538</v>
      </c>
      <c r="S48" s="229">
        <v>28053848538</v>
      </c>
      <c r="T48" s="229">
        <v>28321848538</v>
      </c>
      <c r="U48" s="229">
        <v>28321848538</v>
      </c>
      <c r="V48" s="229">
        <v>28549848538</v>
      </c>
      <c r="W48" s="229">
        <v>28549848538</v>
      </c>
      <c r="X48" s="229">
        <v>28549848538</v>
      </c>
      <c r="Y48" s="229">
        <v>30470952960</v>
      </c>
      <c r="Z48" s="229">
        <v>33543469154</v>
      </c>
      <c r="AA48" s="229">
        <f>SUMIFS([1]!Data_BS[Value],[1]!Data_BS[Index BS],'Dong Lam'!$B48,[1]!Data_BS[TenCongTyID],'Dong Lam'!$B$1,[1]!Data_BS[Thang.Nam],'Dong Lam'!AA$5)</f>
        <v>0</v>
      </c>
      <c r="AB48" s="229">
        <f>SUMIFS([1]!Data_BS[Value],[1]!Data_BS[Index BS],'Dong Lam'!$B48,[1]!Data_BS[TenCongTyID],'Dong Lam'!$B$1,[1]!Data_BS[Thang.Nam],'Dong Lam'!AB$5)</f>
        <v>0</v>
      </c>
      <c r="AC48" s="229">
        <f>SUMIFS([1]!Data_BS[Value],[1]!Data_BS[Index BS],'Dong Lam'!$B48,[1]!Data_BS[TenCongTyID],'Dong Lam'!$B$1,[1]!Data_BS[Thang.Nam],'Dong Lam'!AC$5)</f>
        <v>0</v>
      </c>
      <c r="AD48" s="229">
        <f>SUMIFS([1]!Data_BS[Value],[1]!Data_BS[Index BS],'Dong Lam'!$B48,[1]!Data_BS[TenCongTyID],'Dong Lam'!$B$1,[1]!Data_BS[Thang.Nam],'Dong Lam'!AD$5)</f>
        <v>0</v>
      </c>
      <c r="AE48" s="229">
        <f>SUMIFS([1]!Data_BS[Value],[1]!Data_BS[Index BS],'Dong Lam'!$B48,[1]!Data_BS[TenCongTyID],'Dong Lam'!$B$1,[1]!Data_BS[Thang.Nam],'Dong Lam'!AE$5)</f>
        <v>0</v>
      </c>
      <c r="AF48" s="229">
        <f>SUMIFS([1]!Data_BS[Value],[1]!Data_BS[Index BS],'Dong Lam'!$B48,[1]!Data_BS[TenCongTyID],'Dong Lam'!$B$1,[1]!Data_BS[Thang.Nam],'Dong Lam'!AF$5)</f>
        <v>0</v>
      </c>
      <c r="AG48" s="229">
        <f>SUMIFS([1]!Data_BS[Value],[1]!Data_BS[Index BS],'Dong Lam'!$B48,[1]!Data_BS[TenCongTyID],'Dong Lam'!$B$1,[1]!Data_BS[Thang.Nam],'Dong Lam'!AG$5)</f>
        <v>0</v>
      </c>
      <c r="AH48" s="229">
        <f>SUMIFS([1]!Data_BS[Value],[1]!Data_BS[Index BS],'Dong Lam'!$B48,[1]!Data_BS[TenCongTyID],'Dong Lam'!$B$1,[1]!Data_BS[Thang.Nam],'Dong Lam'!AH$5)</f>
        <v>0</v>
      </c>
      <c r="AI48" s="229">
        <f>SUMIFS([1]!Data_BS[Value],[1]!Data_BS[Index BS],'Dong Lam'!$B48,[1]!Data_BS[TenCongTyID],'Dong Lam'!$B$1,[1]!Data_BS[Thang.Nam],'Dong Lam'!AI$5)</f>
        <v>0</v>
      </c>
      <c r="AJ48" s="229">
        <f>SUMIFS([1]!Data_BS[Value],[1]!Data_BS[Index BS],'Dong Lam'!$B48,[1]!Data_BS[TenCongTyID],'Dong Lam'!$B$1,[1]!Data_BS[Thang.Nam],'Dong Lam'!AJ$5)</f>
        <v>0</v>
      </c>
      <c r="AK48" s="229">
        <f>SUMIFS([1]!Data_BS[Value],[1]!Data_BS[Index BS],'Dong Lam'!$B48,[1]!Data_BS[TenCongTyID],'Dong Lam'!$B$1,[1]!Data_BS[Thang.Nam],'Dong Lam'!AK$5)</f>
        <v>0</v>
      </c>
      <c r="AL48" s="229">
        <f>SUMIFS([1]!Data_BS[Value],[1]!Data_BS[Index BS],'Dong Lam'!$B48,[1]!Data_BS[TenCongTyID],'Dong Lam'!$B$1,[1]!Data_BS[Thang.Nam],'Dong Lam'!AL$5)</f>
        <v>0</v>
      </c>
    </row>
    <row r="49" spans="1:38" ht="15" hidden="1" customHeight="1" outlineLevel="1">
      <c r="A49" s="73" t="s">
        <v>133</v>
      </c>
      <c r="B49" s="63">
        <v>44</v>
      </c>
      <c r="C49" s="229">
        <v>-5821256164</v>
      </c>
      <c r="D49" s="229">
        <v>-6151310468</v>
      </c>
      <c r="E49" s="229">
        <v>-6482198105</v>
      </c>
      <c r="F49" s="229">
        <v>-6677759745</v>
      </c>
      <c r="G49" s="229">
        <v>-7027439195</v>
      </c>
      <c r="H49" s="229">
        <v>-7320485310</v>
      </c>
      <c r="I49" s="229">
        <v>-7651542668</v>
      </c>
      <c r="J49" s="229">
        <v>-7982887784</v>
      </c>
      <c r="K49" s="229">
        <v>-8310000620</v>
      </c>
      <c r="L49" s="229">
        <v>-8633741157</v>
      </c>
      <c r="M49" s="229">
        <v>-8957481694</v>
      </c>
      <c r="N49" s="229">
        <v>-9281222231</v>
      </c>
      <c r="O49" s="229">
        <v>-9407757768</v>
      </c>
      <c r="P49" s="229">
        <v>-9731498305</v>
      </c>
      <c r="Q49" s="229">
        <v>-10059854237</v>
      </c>
      <c r="R49" s="229">
        <v>-10388210169</v>
      </c>
      <c r="S49" s="229">
        <v>-10716566101</v>
      </c>
      <c r="T49" s="229">
        <v>-11050381292</v>
      </c>
      <c r="U49" s="229">
        <v>-11386181668</v>
      </c>
      <c r="V49" s="229">
        <v>-11726272366</v>
      </c>
      <c r="W49" s="229">
        <v>-12068406075</v>
      </c>
      <c r="X49" s="229">
        <v>-12410539784</v>
      </c>
      <c r="Y49" s="229">
        <v>-12758449913</v>
      </c>
      <c r="Z49" s="229">
        <v>-13113924612</v>
      </c>
      <c r="AA49" s="229">
        <f>SUMIFS([1]!Data_BS[Value],[1]!Data_BS[Index BS],'Dong Lam'!$B49,[1]!Data_BS[TenCongTyID],'Dong Lam'!$B$1,[1]!Data_BS[Thang.Nam],'Dong Lam'!AA$5)</f>
        <v>0</v>
      </c>
      <c r="AB49" s="229">
        <f>SUMIFS([1]!Data_BS[Value],[1]!Data_BS[Index BS],'Dong Lam'!$B49,[1]!Data_BS[TenCongTyID],'Dong Lam'!$B$1,[1]!Data_BS[Thang.Nam],'Dong Lam'!AB$5)</f>
        <v>0</v>
      </c>
      <c r="AC49" s="229">
        <f>SUMIFS([1]!Data_BS[Value],[1]!Data_BS[Index BS],'Dong Lam'!$B49,[1]!Data_BS[TenCongTyID],'Dong Lam'!$B$1,[1]!Data_BS[Thang.Nam],'Dong Lam'!AC$5)</f>
        <v>0</v>
      </c>
      <c r="AD49" s="229">
        <f>SUMIFS([1]!Data_BS[Value],[1]!Data_BS[Index BS],'Dong Lam'!$B49,[1]!Data_BS[TenCongTyID],'Dong Lam'!$B$1,[1]!Data_BS[Thang.Nam],'Dong Lam'!AD$5)</f>
        <v>0</v>
      </c>
      <c r="AE49" s="229">
        <f>SUMIFS([1]!Data_BS[Value],[1]!Data_BS[Index BS],'Dong Lam'!$B49,[1]!Data_BS[TenCongTyID],'Dong Lam'!$B$1,[1]!Data_BS[Thang.Nam],'Dong Lam'!AE$5)</f>
        <v>0</v>
      </c>
      <c r="AF49" s="229">
        <f>SUMIFS([1]!Data_BS[Value],[1]!Data_BS[Index BS],'Dong Lam'!$B49,[1]!Data_BS[TenCongTyID],'Dong Lam'!$B$1,[1]!Data_BS[Thang.Nam],'Dong Lam'!AF$5)</f>
        <v>0</v>
      </c>
      <c r="AG49" s="229">
        <f>SUMIFS([1]!Data_BS[Value],[1]!Data_BS[Index BS],'Dong Lam'!$B49,[1]!Data_BS[TenCongTyID],'Dong Lam'!$B$1,[1]!Data_BS[Thang.Nam],'Dong Lam'!AG$5)</f>
        <v>0</v>
      </c>
      <c r="AH49" s="229">
        <f>SUMIFS([1]!Data_BS[Value],[1]!Data_BS[Index BS],'Dong Lam'!$B49,[1]!Data_BS[TenCongTyID],'Dong Lam'!$B$1,[1]!Data_BS[Thang.Nam],'Dong Lam'!AH$5)</f>
        <v>0</v>
      </c>
      <c r="AI49" s="229">
        <f>SUMIFS([1]!Data_BS[Value],[1]!Data_BS[Index BS],'Dong Lam'!$B49,[1]!Data_BS[TenCongTyID],'Dong Lam'!$B$1,[1]!Data_BS[Thang.Nam],'Dong Lam'!AI$5)</f>
        <v>0</v>
      </c>
      <c r="AJ49" s="229">
        <f>SUMIFS([1]!Data_BS[Value],[1]!Data_BS[Index BS],'Dong Lam'!$B49,[1]!Data_BS[TenCongTyID],'Dong Lam'!$B$1,[1]!Data_BS[Thang.Nam],'Dong Lam'!AJ$5)</f>
        <v>0</v>
      </c>
      <c r="AK49" s="229">
        <f>SUMIFS([1]!Data_BS[Value],[1]!Data_BS[Index BS],'Dong Lam'!$B49,[1]!Data_BS[TenCongTyID],'Dong Lam'!$B$1,[1]!Data_BS[Thang.Nam],'Dong Lam'!AK$5)</f>
        <v>0</v>
      </c>
      <c r="AL49" s="229">
        <f>SUMIFS([1]!Data_BS[Value],[1]!Data_BS[Index BS],'Dong Lam'!$B49,[1]!Data_BS[TenCongTyID],'Dong Lam'!$B$1,[1]!Data_BS[Thang.Nam],'Dong Lam'!AL$5)</f>
        <v>0</v>
      </c>
    </row>
    <row r="50" spans="1:38" ht="15" hidden="1" customHeight="1" outlineLevel="1">
      <c r="A50" s="72" t="s">
        <v>134</v>
      </c>
      <c r="B50" s="65">
        <v>45</v>
      </c>
      <c r="C50" s="233">
        <v>21543584</v>
      </c>
      <c r="D50" s="233">
        <v>20347932</v>
      </c>
      <c r="E50" s="233">
        <v>19152280</v>
      </c>
      <c r="F50" s="233">
        <v>17956628</v>
      </c>
      <c r="G50" s="233">
        <v>16760976</v>
      </c>
      <c r="H50" s="233">
        <v>15565324</v>
      </c>
      <c r="I50" s="233">
        <v>14369672</v>
      </c>
      <c r="J50" s="233">
        <v>13174020</v>
      </c>
      <c r="K50" s="233">
        <v>11978368</v>
      </c>
      <c r="L50" s="233">
        <v>10782716</v>
      </c>
      <c r="M50" s="233">
        <v>9587064</v>
      </c>
      <c r="N50" s="234">
        <v>8391412</v>
      </c>
      <c r="O50" s="234">
        <v>0</v>
      </c>
      <c r="P50" s="234">
        <v>0</v>
      </c>
      <c r="Q50" s="234"/>
      <c r="R50" s="234">
        <v>0</v>
      </c>
      <c r="S50" s="234">
        <v>0</v>
      </c>
      <c r="T50" s="234">
        <v>0</v>
      </c>
      <c r="U50" s="234">
        <v>0</v>
      </c>
      <c r="V50" s="234">
        <v>0</v>
      </c>
      <c r="W50" s="234"/>
      <c r="X50" s="234">
        <v>0</v>
      </c>
      <c r="Y50" s="234">
        <v>0</v>
      </c>
      <c r="Z50" s="234">
        <v>0</v>
      </c>
      <c r="AA50" s="234">
        <f>SUMIFS([1]!Data_BS[Value],[1]!Data_BS[Index BS],'Dong Lam'!$B50,[1]!Data_BS[TenCongTyID],'Dong Lam'!$B$1,[1]!Data_BS[Thang.Nam],'Dong Lam'!AA$5)</f>
        <v>0</v>
      </c>
      <c r="AB50" s="234">
        <f>SUMIFS([1]!Data_BS[Value],[1]!Data_BS[Index BS],'Dong Lam'!$B50,[1]!Data_BS[TenCongTyID],'Dong Lam'!$B$1,[1]!Data_BS[Thang.Nam],'Dong Lam'!AB$5)</f>
        <v>0</v>
      </c>
      <c r="AC50" s="234">
        <f>SUMIFS([1]!Data_BS[Value],[1]!Data_BS[Index BS],'Dong Lam'!$B50,[1]!Data_BS[TenCongTyID],'Dong Lam'!$B$1,[1]!Data_BS[Thang.Nam],'Dong Lam'!AC$5)</f>
        <v>0</v>
      </c>
      <c r="AD50" s="234">
        <f>SUMIFS([1]!Data_BS[Value],[1]!Data_BS[Index BS],'Dong Lam'!$B50,[1]!Data_BS[TenCongTyID],'Dong Lam'!$B$1,[1]!Data_BS[Thang.Nam],'Dong Lam'!AD$5)</f>
        <v>0</v>
      </c>
      <c r="AE50" s="234">
        <f>SUMIFS([1]!Data_BS[Value],[1]!Data_BS[Index BS],'Dong Lam'!$B50,[1]!Data_BS[TenCongTyID],'Dong Lam'!$B$1,[1]!Data_BS[Thang.Nam],'Dong Lam'!AE$5)</f>
        <v>0</v>
      </c>
      <c r="AF50" s="234">
        <f>SUMIFS([1]!Data_BS[Value],[1]!Data_BS[Index BS],'Dong Lam'!$B50,[1]!Data_BS[TenCongTyID],'Dong Lam'!$B$1,[1]!Data_BS[Thang.Nam],'Dong Lam'!AF$5)</f>
        <v>0</v>
      </c>
      <c r="AG50" s="234">
        <f>SUMIFS([1]!Data_BS[Value],[1]!Data_BS[Index BS],'Dong Lam'!$B50,[1]!Data_BS[TenCongTyID],'Dong Lam'!$B$1,[1]!Data_BS[Thang.Nam],'Dong Lam'!AG$5)</f>
        <v>0</v>
      </c>
      <c r="AH50" s="234">
        <f>SUMIFS([1]!Data_BS[Value],[1]!Data_BS[Index BS],'Dong Lam'!$B50,[1]!Data_BS[TenCongTyID],'Dong Lam'!$B$1,[1]!Data_BS[Thang.Nam],'Dong Lam'!AH$5)</f>
        <v>0</v>
      </c>
      <c r="AI50" s="234">
        <f>SUMIFS([1]!Data_BS[Value],[1]!Data_BS[Index BS],'Dong Lam'!$B50,[1]!Data_BS[TenCongTyID],'Dong Lam'!$B$1,[1]!Data_BS[Thang.Nam],'Dong Lam'!AI$5)</f>
        <v>0</v>
      </c>
      <c r="AJ50" s="234">
        <f>SUMIFS([1]!Data_BS[Value],[1]!Data_BS[Index BS],'Dong Lam'!$B50,[1]!Data_BS[TenCongTyID],'Dong Lam'!$B$1,[1]!Data_BS[Thang.Nam],'Dong Lam'!AJ$5)</f>
        <v>0</v>
      </c>
      <c r="AK50" s="234">
        <f>SUMIFS([1]!Data_BS[Value],[1]!Data_BS[Index BS],'Dong Lam'!$B50,[1]!Data_BS[TenCongTyID],'Dong Lam'!$B$1,[1]!Data_BS[Thang.Nam],'Dong Lam'!AK$5)</f>
        <v>0</v>
      </c>
      <c r="AL50" s="234">
        <f>SUMIFS([1]!Data_BS[Value],[1]!Data_BS[Index BS],'Dong Lam'!$B50,[1]!Data_BS[TenCongTyID],'Dong Lam'!$B$1,[1]!Data_BS[Thang.Nam],'Dong Lam'!AL$5)</f>
        <v>0</v>
      </c>
    </row>
    <row r="51" spans="1:38" ht="15" hidden="1" customHeight="1" outlineLevel="1">
      <c r="A51" s="73" t="s">
        <v>135</v>
      </c>
      <c r="B51" s="63">
        <v>46</v>
      </c>
      <c r="C51" s="229">
        <v>55000000</v>
      </c>
      <c r="D51" s="229">
        <v>55000000</v>
      </c>
      <c r="E51" s="229">
        <v>55000000</v>
      </c>
      <c r="F51" s="229">
        <v>55000000</v>
      </c>
      <c r="G51" s="229">
        <v>55000000</v>
      </c>
      <c r="H51" s="229">
        <v>55000000</v>
      </c>
      <c r="I51" s="229">
        <v>55000000</v>
      </c>
      <c r="J51" s="229">
        <v>55000000</v>
      </c>
      <c r="K51" s="229">
        <v>55000000</v>
      </c>
      <c r="L51" s="229">
        <v>55000000</v>
      </c>
      <c r="M51" s="229">
        <v>55000000</v>
      </c>
      <c r="N51" s="229">
        <v>55000000</v>
      </c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>
        <v>0</v>
      </c>
      <c r="AA51" s="229">
        <f>SUMIFS([1]!Data_BS[Value],[1]!Data_BS[Index BS],'Dong Lam'!$B51,[1]!Data_BS[TenCongTyID],'Dong Lam'!$B$1,[1]!Data_BS[Thang.Nam],'Dong Lam'!AA$5)</f>
        <v>0</v>
      </c>
      <c r="AB51" s="229">
        <f>SUMIFS([1]!Data_BS[Value],[1]!Data_BS[Index BS],'Dong Lam'!$B51,[1]!Data_BS[TenCongTyID],'Dong Lam'!$B$1,[1]!Data_BS[Thang.Nam],'Dong Lam'!AB$5)</f>
        <v>0</v>
      </c>
      <c r="AC51" s="229">
        <f>SUMIFS([1]!Data_BS[Value],[1]!Data_BS[Index BS],'Dong Lam'!$B51,[1]!Data_BS[TenCongTyID],'Dong Lam'!$B$1,[1]!Data_BS[Thang.Nam],'Dong Lam'!AC$5)</f>
        <v>0</v>
      </c>
      <c r="AD51" s="229">
        <f>SUMIFS([1]!Data_BS[Value],[1]!Data_BS[Index BS],'Dong Lam'!$B51,[1]!Data_BS[TenCongTyID],'Dong Lam'!$B$1,[1]!Data_BS[Thang.Nam],'Dong Lam'!AD$5)</f>
        <v>0</v>
      </c>
      <c r="AE51" s="229">
        <f>SUMIFS([1]!Data_BS[Value],[1]!Data_BS[Index BS],'Dong Lam'!$B51,[1]!Data_BS[TenCongTyID],'Dong Lam'!$B$1,[1]!Data_BS[Thang.Nam],'Dong Lam'!AE$5)</f>
        <v>0</v>
      </c>
      <c r="AF51" s="229">
        <f>SUMIFS([1]!Data_BS[Value],[1]!Data_BS[Index BS],'Dong Lam'!$B51,[1]!Data_BS[TenCongTyID],'Dong Lam'!$B$1,[1]!Data_BS[Thang.Nam],'Dong Lam'!AF$5)</f>
        <v>0</v>
      </c>
      <c r="AG51" s="229">
        <f>SUMIFS([1]!Data_BS[Value],[1]!Data_BS[Index BS],'Dong Lam'!$B51,[1]!Data_BS[TenCongTyID],'Dong Lam'!$B$1,[1]!Data_BS[Thang.Nam],'Dong Lam'!AG$5)</f>
        <v>0</v>
      </c>
      <c r="AH51" s="229">
        <f>SUMIFS([1]!Data_BS[Value],[1]!Data_BS[Index BS],'Dong Lam'!$B51,[1]!Data_BS[TenCongTyID],'Dong Lam'!$B$1,[1]!Data_BS[Thang.Nam],'Dong Lam'!AH$5)</f>
        <v>0</v>
      </c>
      <c r="AI51" s="229">
        <f>SUMIFS([1]!Data_BS[Value],[1]!Data_BS[Index BS],'Dong Lam'!$B51,[1]!Data_BS[TenCongTyID],'Dong Lam'!$B$1,[1]!Data_BS[Thang.Nam],'Dong Lam'!AI$5)</f>
        <v>0</v>
      </c>
      <c r="AJ51" s="229">
        <f>SUMIFS([1]!Data_BS[Value],[1]!Data_BS[Index BS],'Dong Lam'!$B51,[1]!Data_BS[TenCongTyID],'Dong Lam'!$B$1,[1]!Data_BS[Thang.Nam],'Dong Lam'!AJ$5)</f>
        <v>0</v>
      </c>
      <c r="AK51" s="229">
        <f>SUMIFS([1]!Data_BS[Value],[1]!Data_BS[Index BS],'Dong Lam'!$B51,[1]!Data_BS[TenCongTyID],'Dong Lam'!$B$1,[1]!Data_BS[Thang.Nam],'Dong Lam'!AK$5)</f>
        <v>0</v>
      </c>
      <c r="AL51" s="229">
        <f>SUMIFS([1]!Data_BS[Value],[1]!Data_BS[Index BS],'Dong Lam'!$B51,[1]!Data_BS[TenCongTyID],'Dong Lam'!$B$1,[1]!Data_BS[Thang.Nam],'Dong Lam'!AL$5)</f>
        <v>0</v>
      </c>
    </row>
    <row r="52" spans="1:38" ht="15" hidden="1" customHeight="1" outlineLevel="1">
      <c r="A52" s="73" t="s">
        <v>136</v>
      </c>
      <c r="B52" s="63">
        <v>47</v>
      </c>
      <c r="C52" s="229">
        <v>-33456416</v>
      </c>
      <c r="D52" s="229">
        <v>-34652068</v>
      </c>
      <c r="E52" s="229">
        <v>-35847720</v>
      </c>
      <c r="F52" s="229">
        <v>-37043372</v>
      </c>
      <c r="G52" s="229">
        <v>-38239024</v>
      </c>
      <c r="H52" s="229">
        <v>-39434676</v>
      </c>
      <c r="I52" s="229">
        <v>-40630328</v>
      </c>
      <c r="J52" s="229">
        <v>-41825980</v>
      </c>
      <c r="K52" s="229">
        <v>-43021632</v>
      </c>
      <c r="L52" s="229">
        <v>-44217284</v>
      </c>
      <c r="M52" s="229">
        <v>-45412936</v>
      </c>
      <c r="N52" s="229">
        <v>-46608588</v>
      </c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>
        <v>0</v>
      </c>
      <c r="AA52" s="229">
        <f>SUMIFS([1]!Data_BS[Value],[1]!Data_BS[Index BS],'Dong Lam'!$B52,[1]!Data_BS[TenCongTyID],'Dong Lam'!$B$1,[1]!Data_BS[Thang.Nam],'Dong Lam'!AA$5)</f>
        <v>0</v>
      </c>
      <c r="AB52" s="229">
        <f>SUMIFS([1]!Data_BS[Value],[1]!Data_BS[Index BS],'Dong Lam'!$B52,[1]!Data_BS[TenCongTyID],'Dong Lam'!$B$1,[1]!Data_BS[Thang.Nam],'Dong Lam'!AB$5)</f>
        <v>0</v>
      </c>
      <c r="AC52" s="229">
        <f>SUMIFS([1]!Data_BS[Value],[1]!Data_BS[Index BS],'Dong Lam'!$B52,[1]!Data_BS[TenCongTyID],'Dong Lam'!$B$1,[1]!Data_BS[Thang.Nam],'Dong Lam'!AC$5)</f>
        <v>0</v>
      </c>
      <c r="AD52" s="229">
        <f>SUMIFS([1]!Data_BS[Value],[1]!Data_BS[Index BS],'Dong Lam'!$B52,[1]!Data_BS[TenCongTyID],'Dong Lam'!$B$1,[1]!Data_BS[Thang.Nam],'Dong Lam'!AD$5)</f>
        <v>0</v>
      </c>
      <c r="AE52" s="229">
        <f>SUMIFS([1]!Data_BS[Value],[1]!Data_BS[Index BS],'Dong Lam'!$B52,[1]!Data_BS[TenCongTyID],'Dong Lam'!$B$1,[1]!Data_BS[Thang.Nam],'Dong Lam'!AE$5)</f>
        <v>0</v>
      </c>
      <c r="AF52" s="229">
        <f>SUMIFS([1]!Data_BS[Value],[1]!Data_BS[Index BS],'Dong Lam'!$B52,[1]!Data_BS[TenCongTyID],'Dong Lam'!$B$1,[1]!Data_BS[Thang.Nam],'Dong Lam'!AF$5)</f>
        <v>0</v>
      </c>
      <c r="AG52" s="229">
        <f>SUMIFS([1]!Data_BS[Value],[1]!Data_BS[Index BS],'Dong Lam'!$B52,[1]!Data_BS[TenCongTyID],'Dong Lam'!$B$1,[1]!Data_BS[Thang.Nam],'Dong Lam'!AG$5)</f>
        <v>0</v>
      </c>
      <c r="AH52" s="229">
        <f>SUMIFS([1]!Data_BS[Value],[1]!Data_BS[Index BS],'Dong Lam'!$B52,[1]!Data_BS[TenCongTyID],'Dong Lam'!$B$1,[1]!Data_BS[Thang.Nam],'Dong Lam'!AH$5)</f>
        <v>0</v>
      </c>
      <c r="AI52" s="229">
        <f>SUMIFS([1]!Data_BS[Value],[1]!Data_BS[Index BS],'Dong Lam'!$B52,[1]!Data_BS[TenCongTyID],'Dong Lam'!$B$1,[1]!Data_BS[Thang.Nam],'Dong Lam'!AI$5)</f>
        <v>0</v>
      </c>
      <c r="AJ52" s="229">
        <f>SUMIFS([1]!Data_BS[Value],[1]!Data_BS[Index BS],'Dong Lam'!$B52,[1]!Data_BS[TenCongTyID],'Dong Lam'!$B$1,[1]!Data_BS[Thang.Nam],'Dong Lam'!AJ$5)</f>
        <v>0</v>
      </c>
      <c r="AK52" s="229">
        <f>SUMIFS([1]!Data_BS[Value],[1]!Data_BS[Index BS],'Dong Lam'!$B52,[1]!Data_BS[TenCongTyID],'Dong Lam'!$B$1,[1]!Data_BS[Thang.Nam],'Dong Lam'!AK$5)</f>
        <v>0</v>
      </c>
      <c r="AL52" s="229">
        <f>SUMIFS([1]!Data_BS[Value],[1]!Data_BS[Index BS],'Dong Lam'!$B52,[1]!Data_BS[TenCongTyID],'Dong Lam'!$B$1,[1]!Data_BS[Thang.Nam],'Dong Lam'!AL$5)</f>
        <v>0</v>
      </c>
    </row>
    <row r="53" spans="1:38" ht="15" hidden="1" customHeight="1" outlineLevel="1">
      <c r="A53" s="72" t="s">
        <v>137</v>
      </c>
      <c r="B53" s="65">
        <v>48</v>
      </c>
      <c r="C53" s="233">
        <v>0</v>
      </c>
      <c r="D53" s="233">
        <v>0</v>
      </c>
      <c r="E53" s="233">
        <v>0</v>
      </c>
      <c r="F53" s="233">
        <v>0</v>
      </c>
      <c r="G53" s="233">
        <v>0</v>
      </c>
      <c r="H53" s="233">
        <v>0</v>
      </c>
      <c r="I53" s="233">
        <v>0</v>
      </c>
      <c r="J53" s="233">
        <v>0</v>
      </c>
      <c r="K53" s="233">
        <v>0</v>
      </c>
      <c r="L53" s="233">
        <v>0</v>
      </c>
      <c r="M53" s="233">
        <v>0</v>
      </c>
      <c r="N53" s="234">
        <v>0</v>
      </c>
      <c r="O53" s="234">
        <v>7195760</v>
      </c>
      <c r="P53" s="234">
        <v>6000108</v>
      </c>
      <c r="Q53" s="234">
        <v>4804456</v>
      </c>
      <c r="R53" s="234">
        <v>3608804</v>
      </c>
      <c r="S53" s="234">
        <v>2413152</v>
      </c>
      <c r="T53" s="234">
        <v>1217500</v>
      </c>
      <c r="U53" s="234">
        <v>21848</v>
      </c>
      <c r="V53" s="234">
        <v>0</v>
      </c>
      <c r="W53" s="234">
        <f>+SUM(W54:W55)</f>
        <v>0</v>
      </c>
      <c r="X53" s="234">
        <v>0</v>
      </c>
      <c r="Y53" s="234">
        <v>0</v>
      </c>
      <c r="Z53" s="234">
        <v>0</v>
      </c>
      <c r="AA53" s="234">
        <f>SUMIFS([1]!Data_BS[Value],[1]!Data_BS[Index BS],'Dong Lam'!$B53,[1]!Data_BS[TenCongTyID],'Dong Lam'!$B$1,[1]!Data_BS[Thang.Nam],'Dong Lam'!AA$5)</f>
        <v>0</v>
      </c>
      <c r="AB53" s="234">
        <f>SUMIFS([1]!Data_BS[Value],[1]!Data_BS[Index BS],'Dong Lam'!$B53,[1]!Data_BS[TenCongTyID],'Dong Lam'!$B$1,[1]!Data_BS[Thang.Nam],'Dong Lam'!AB$5)</f>
        <v>0</v>
      </c>
      <c r="AC53" s="234">
        <f>SUMIFS([1]!Data_BS[Value],[1]!Data_BS[Index BS],'Dong Lam'!$B53,[1]!Data_BS[TenCongTyID],'Dong Lam'!$B$1,[1]!Data_BS[Thang.Nam],'Dong Lam'!AC$5)</f>
        <v>0</v>
      </c>
      <c r="AD53" s="234">
        <f>SUMIFS([1]!Data_BS[Value],[1]!Data_BS[Index BS],'Dong Lam'!$B53,[1]!Data_BS[TenCongTyID],'Dong Lam'!$B$1,[1]!Data_BS[Thang.Nam],'Dong Lam'!AD$5)</f>
        <v>0</v>
      </c>
      <c r="AE53" s="234">
        <f>SUMIFS([1]!Data_BS[Value],[1]!Data_BS[Index BS],'Dong Lam'!$B53,[1]!Data_BS[TenCongTyID],'Dong Lam'!$B$1,[1]!Data_BS[Thang.Nam],'Dong Lam'!AE$5)</f>
        <v>0</v>
      </c>
      <c r="AF53" s="234">
        <f>SUMIFS([1]!Data_BS[Value],[1]!Data_BS[Index BS],'Dong Lam'!$B53,[1]!Data_BS[TenCongTyID],'Dong Lam'!$B$1,[1]!Data_BS[Thang.Nam],'Dong Lam'!AF$5)</f>
        <v>0</v>
      </c>
      <c r="AG53" s="234">
        <f>SUMIFS([1]!Data_BS[Value],[1]!Data_BS[Index BS],'Dong Lam'!$B53,[1]!Data_BS[TenCongTyID],'Dong Lam'!$B$1,[1]!Data_BS[Thang.Nam],'Dong Lam'!AG$5)</f>
        <v>0</v>
      </c>
      <c r="AH53" s="234">
        <f>SUMIFS([1]!Data_BS[Value],[1]!Data_BS[Index BS],'Dong Lam'!$B53,[1]!Data_BS[TenCongTyID],'Dong Lam'!$B$1,[1]!Data_BS[Thang.Nam],'Dong Lam'!AH$5)</f>
        <v>0</v>
      </c>
      <c r="AI53" s="234">
        <f>SUMIFS([1]!Data_BS[Value],[1]!Data_BS[Index BS],'Dong Lam'!$B53,[1]!Data_BS[TenCongTyID],'Dong Lam'!$B$1,[1]!Data_BS[Thang.Nam],'Dong Lam'!AI$5)</f>
        <v>0</v>
      </c>
      <c r="AJ53" s="234">
        <f>SUMIFS([1]!Data_BS[Value],[1]!Data_BS[Index BS],'Dong Lam'!$B53,[1]!Data_BS[TenCongTyID],'Dong Lam'!$B$1,[1]!Data_BS[Thang.Nam],'Dong Lam'!AJ$5)</f>
        <v>0</v>
      </c>
      <c r="AK53" s="234">
        <f>SUMIFS([1]!Data_BS[Value],[1]!Data_BS[Index BS],'Dong Lam'!$B53,[1]!Data_BS[TenCongTyID],'Dong Lam'!$B$1,[1]!Data_BS[Thang.Nam],'Dong Lam'!AK$5)</f>
        <v>0</v>
      </c>
      <c r="AL53" s="234">
        <f>SUMIFS([1]!Data_BS[Value],[1]!Data_BS[Index BS],'Dong Lam'!$B53,[1]!Data_BS[TenCongTyID],'Dong Lam'!$B$1,[1]!Data_BS[Thang.Nam],'Dong Lam'!AL$5)</f>
        <v>0</v>
      </c>
    </row>
    <row r="54" spans="1:38" ht="15" hidden="1" customHeight="1" outlineLevel="1">
      <c r="A54" s="73" t="s">
        <v>138</v>
      </c>
      <c r="B54" s="63">
        <v>49</v>
      </c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>
        <v>55000000</v>
      </c>
      <c r="P54" s="229">
        <v>55000000</v>
      </c>
      <c r="Q54" s="229">
        <v>55000000</v>
      </c>
      <c r="R54" s="229">
        <v>55000000</v>
      </c>
      <c r="S54" s="229">
        <v>55000000</v>
      </c>
      <c r="T54" s="229">
        <v>55000000</v>
      </c>
      <c r="U54" s="229">
        <v>55000000</v>
      </c>
      <c r="V54" s="229">
        <v>55000000</v>
      </c>
      <c r="W54" s="229">
        <v>55000000</v>
      </c>
      <c r="X54" s="229">
        <v>55000000</v>
      </c>
      <c r="Y54" s="229">
        <v>55000000</v>
      </c>
      <c r="Z54" s="229">
        <v>55000000</v>
      </c>
      <c r="AA54" s="229">
        <f>SUMIFS([1]!Data_BS[Value],[1]!Data_BS[Index BS],'Dong Lam'!$B54,[1]!Data_BS[TenCongTyID],'Dong Lam'!$B$1,[1]!Data_BS[Thang.Nam],'Dong Lam'!AA$5)</f>
        <v>0</v>
      </c>
      <c r="AB54" s="229">
        <f>SUMIFS([1]!Data_BS[Value],[1]!Data_BS[Index BS],'Dong Lam'!$B54,[1]!Data_BS[TenCongTyID],'Dong Lam'!$B$1,[1]!Data_BS[Thang.Nam],'Dong Lam'!AB$5)</f>
        <v>0</v>
      </c>
      <c r="AC54" s="229">
        <f>SUMIFS([1]!Data_BS[Value],[1]!Data_BS[Index BS],'Dong Lam'!$B54,[1]!Data_BS[TenCongTyID],'Dong Lam'!$B$1,[1]!Data_BS[Thang.Nam],'Dong Lam'!AC$5)</f>
        <v>0</v>
      </c>
      <c r="AD54" s="229">
        <f>SUMIFS([1]!Data_BS[Value],[1]!Data_BS[Index BS],'Dong Lam'!$B54,[1]!Data_BS[TenCongTyID],'Dong Lam'!$B$1,[1]!Data_BS[Thang.Nam],'Dong Lam'!AD$5)</f>
        <v>0</v>
      </c>
      <c r="AE54" s="229">
        <f>SUMIFS([1]!Data_BS[Value],[1]!Data_BS[Index BS],'Dong Lam'!$B54,[1]!Data_BS[TenCongTyID],'Dong Lam'!$B$1,[1]!Data_BS[Thang.Nam],'Dong Lam'!AE$5)</f>
        <v>0</v>
      </c>
      <c r="AF54" s="229">
        <f>SUMIFS([1]!Data_BS[Value],[1]!Data_BS[Index BS],'Dong Lam'!$B54,[1]!Data_BS[TenCongTyID],'Dong Lam'!$B$1,[1]!Data_BS[Thang.Nam],'Dong Lam'!AF$5)</f>
        <v>0</v>
      </c>
      <c r="AG54" s="229">
        <f>SUMIFS([1]!Data_BS[Value],[1]!Data_BS[Index BS],'Dong Lam'!$B54,[1]!Data_BS[TenCongTyID],'Dong Lam'!$B$1,[1]!Data_BS[Thang.Nam],'Dong Lam'!AG$5)</f>
        <v>0</v>
      </c>
      <c r="AH54" s="229">
        <f>SUMIFS([1]!Data_BS[Value],[1]!Data_BS[Index BS],'Dong Lam'!$B54,[1]!Data_BS[TenCongTyID],'Dong Lam'!$B$1,[1]!Data_BS[Thang.Nam],'Dong Lam'!AH$5)</f>
        <v>0</v>
      </c>
      <c r="AI54" s="229">
        <f>SUMIFS([1]!Data_BS[Value],[1]!Data_BS[Index BS],'Dong Lam'!$B54,[1]!Data_BS[TenCongTyID],'Dong Lam'!$B$1,[1]!Data_BS[Thang.Nam],'Dong Lam'!AI$5)</f>
        <v>0</v>
      </c>
      <c r="AJ54" s="229">
        <f>SUMIFS([1]!Data_BS[Value],[1]!Data_BS[Index BS],'Dong Lam'!$B54,[1]!Data_BS[TenCongTyID],'Dong Lam'!$B$1,[1]!Data_BS[Thang.Nam],'Dong Lam'!AJ$5)</f>
        <v>0</v>
      </c>
      <c r="AK54" s="229">
        <f>SUMIFS([1]!Data_BS[Value],[1]!Data_BS[Index BS],'Dong Lam'!$B54,[1]!Data_BS[TenCongTyID],'Dong Lam'!$B$1,[1]!Data_BS[Thang.Nam],'Dong Lam'!AK$5)</f>
        <v>0</v>
      </c>
      <c r="AL54" s="229">
        <f>SUMIFS([1]!Data_BS[Value],[1]!Data_BS[Index BS],'Dong Lam'!$B54,[1]!Data_BS[TenCongTyID],'Dong Lam'!$B$1,[1]!Data_BS[Thang.Nam],'Dong Lam'!AL$5)</f>
        <v>0</v>
      </c>
    </row>
    <row r="55" spans="1:38" ht="15" hidden="1" customHeight="1" outlineLevel="1">
      <c r="A55" s="73" t="s">
        <v>139</v>
      </c>
      <c r="B55" s="63">
        <v>50</v>
      </c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>
        <v>-47804240</v>
      </c>
      <c r="P55" s="229">
        <v>-48999892</v>
      </c>
      <c r="Q55" s="229">
        <v>-50195544</v>
      </c>
      <c r="R55" s="229">
        <v>-51391196</v>
      </c>
      <c r="S55" s="229">
        <v>-52586848</v>
      </c>
      <c r="T55" s="229">
        <v>-53782500</v>
      </c>
      <c r="U55" s="229">
        <v>-54978152</v>
      </c>
      <c r="V55" s="229">
        <v>-55000000</v>
      </c>
      <c r="W55" s="229">
        <v>-55000000</v>
      </c>
      <c r="X55" s="229">
        <v>-55000000</v>
      </c>
      <c r="Y55" s="229">
        <v>-55000000</v>
      </c>
      <c r="Z55" s="229">
        <v>-55000000</v>
      </c>
      <c r="AA55" s="229">
        <f>SUMIFS([1]!Data_BS[Value],[1]!Data_BS[Index BS],'Dong Lam'!$B55,[1]!Data_BS[TenCongTyID],'Dong Lam'!$B$1,[1]!Data_BS[Thang.Nam],'Dong Lam'!AA$5)</f>
        <v>0</v>
      </c>
      <c r="AB55" s="229">
        <f>SUMIFS([1]!Data_BS[Value],[1]!Data_BS[Index BS],'Dong Lam'!$B55,[1]!Data_BS[TenCongTyID],'Dong Lam'!$B$1,[1]!Data_BS[Thang.Nam],'Dong Lam'!AB$5)</f>
        <v>0</v>
      </c>
      <c r="AC55" s="229">
        <f>SUMIFS([1]!Data_BS[Value],[1]!Data_BS[Index BS],'Dong Lam'!$B55,[1]!Data_BS[TenCongTyID],'Dong Lam'!$B$1,[1]!Data_BS[Thang.Nam],'Dong Lam'!AC$5)</f>
        <v>0</v>
      </c>
      <c r="AD55" s="229">
        <f>SUMIFS([1]!Data_BS[Value],[1]!Data_BS[Index BS],'Dong Lam'!$B55,[1]!Data_BS[TenCongTyID],'Dong Lam'!$B$1,[1]!Data_BS[Thang.Nam],'Dong Lam'!AD$5)</f>
        <v>0</v>
      </c>
      <c r="AE55" s="229">
        <f>SUMIFS([1]!Data_BS[Value],[1]!Data_BS[Index BS],'Dong Lam'!$B55,[1]!Data_BS[TenCongTyID],'Dong Lam'!$B$1,[1]!Data_BS[Thang.Nam],'Dong Lam'!AE$5)</f>
        <v>0</v>
      </c>
      <c r="AF55" s="229">
        <f>SUMIFS([1]!Data_BS[Value],[1]!Data_BS[Index BS],'Dong Lam'!$B55,[1]!Data_BS[TenCongTyID],'Dong Lam'!$B$1,[1]!Data_BS[Thang.Nam],'Dong Lam'!AF$5)</f>
        <v>0</v>
      </c>
      <c r="AG55" s="229">
        <f>SUMIFS([1]!Data_BS[Value],[1]!Data_BS[Index BS],'Dong Lam'!$B55,[1]!Data_BS[TenCongTyID],'Dong Lam'!$B$1,[1]!Data_BS[Thang.Nam],'Dong Lam'!AG$5)</f>
        <v>0</v>
      </c>
      <c r="AH55" s="229">
        <f>SUMIFS([1]!Data_BS[Value],[1]!Data_BS[Index BS],'Dong Lam'!$B55,[1]!Data_BS[TenCongTyID],'Dong Lam'!$B$1,[1]!Data_BS[Thang.Nam],'Dong Lam'!AH$5)</f>
        <v>0</v>
      </c>
      <c r="AI55" s="229">
        <f>SUMIFS([1]!Data_BS[Value],[1]!Data_BS[Index BS],'Dong Lam'!$B55,[1]!Data_BS[TenCongTyID],'Dong Lam'!$B$1,[1]!Data_BS[Thang.Nam],'Dong Lam'!AI$5)</f>
        <v>0</v>
      </c>
      <c r="AJ55" s="229">
        <f>SUMIFS([1]!Data_BS[Value],[1]!Data_BS[Index BS],'Dong Lam'!$B55,[1]!Data_BS[TenCongTyID],'Dong Lam'!$B$1,[1]!Data_BS[Thang.Nam],'Dong Lam'!AJ$5)</f>
        <v>0</v>
      </c>
      <c r="AK55" s="229">
        <f>SUMIFS([1]!Data_BS[Value],[1]!Data_BS[Index BS],'Dong Lam'!$B55,[1]!Data_BS[TenCongTyID],'Dong Lam'!$B$1,[1]!Data_BS[Thang.Nam],'Dong Lam'!AK$5)</f>
        <v>0</v>
      </c>
      <c r="AL55" s="229">
        <f>SUMIFS([1]!Data_BS[Value],[1]!Data_BS[Index BS],'Dong Lam'!$B55,[1]!Data_BS[TenCongTyID],'Dong Lam'!$B$1,[1]!Data_BS[Thang.Nam],'Dong Lam'!AL$5)</f>
        <v>0</v>
      </c>
    </row>
    <row r="56" spans="1:38" ht="15" hidden="1" customHeight="1" outlineLevel="1">
      <c r="A56" s="72" t="s">
        <v>140</v>
      </c>
      <c r="B56" s="65">
        <v>51</v>
      </c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>
        <v>0</v>
      </c>
      <c r="AA56" s="229">
        <f>SUMIFS([1]!Data_BS[Value],[1]!Data_BS[Index BS],'Dong Lam'!$B56,[1]!Data_BS[TenCongTyID],'Dong Lam'!$B$1,[1]!Data_BS[Thang.Nam],'Dong Lam'!AA$5)</f>
        <v>0</v>
      </c>
      <c r="AB56" s="229">
        <f>SUMIFS([1]!Data_BS[Value],[1]!Data_BS[Index BS],'Dong Lam'!$B56,[1]!Data_BS[TenCongTyID],'Dong Lam'!$B$1,[1]!Data_BS[Thang.Nam],'Dong Lam'!AB$5)</f>
        <v>0</v>
      </c>
      <c r="AC56" s="229">
        <f>SUMIFS([1]!Data_BS[Value],[1]!Data_BS[Index BS],'Dong Lam'!$B56,[1]!Data_BS[TenCongTyID],'Dong Lam'!$B$1,[1]!Data_BS[Thang.Nam],'Dong Lam'!AC$5)</f>
        <v>0</v>
      </c>
      <c r="AD56" s="229">
        <f>SUMIFS([1]!Data_BS[Value],[1]!Data_BS[Index BS],'Dong Lam'!$B56,[1]!Data_BS[TenCongTyID],'Dong Lam'!$B$1,[1]!Data_BS[Thang.Nam],'Dong Lam'!AD$5)</f>
        <v>0</v>
      </c>
      <c r="AE56" s="229">
        <f>SUMIFS([1]!Data_BS[Value],[1]!Data_BS[Index BS],'Dong Lam'!$B56,[1]!Data_BS[TenCongTyID],'Dong Lam'!$B$1,[1]!Data_BS[Thang.Nam],'Dong Lam'!AE$5)</f>
        <v>0</v>
      </c>
      <c r="AF56" s="229">
        <f>SUMIFS([1]!Data_BS[Value],[1]!Data_BS[Index BS],'Dong Lam'!$B56,[1]!Data_BS[TenCongTyID],'Dong Lam'!$B$1,[1]!Data_BS[Thang.Nam],'Dong Lam'!AF$5)</f>
        <v>0</v>
      </c>
      <c r="AG56" s="229">
        <f>SUMIFS([1]!Data_BS[Value],[1]!Data_BS[Index BS],'Dong Lam'!$B56,[1]!Data_BS[TenCongTyID],'Dong Lam'!$B$1,[1]!Data_BS[Thang.Nam],'Dong Lam'!AG$5)</f>
        <v>0</v>
      </c>
      <c r="AH56" s="229">
        <f>SUMIFS([1]!Data_BS[Value],[1]!Data_BS[Index BS],'Dong Lam'!$B56,[1]!Data_BS[TenCongTyID],'Dong Lam'!$B$1,[1]!Data_BS[Thang.Nam],'Dong Lam'!AH$5)</f>
        <v>0</v>
      </c>
      <c r="AI56" s="229">
        <f>SUMIFS([1]!Data_BS[Value],[1]!Data_BS[Index BS],'Dong Lam'!$B56,[1]!Data_BS[TenCongTyID],'Dong Lam'!$B$1,[1]!Data_BS[Thang.Nam],'Dong Lam'!AI$5)</f>
        <v>0</v>
      </c>
      <c r="AJ56" s="229">
        <f>SUMIFS([1]!Data_BS[Value],[1]!Data_BS[Index BS],'Dong Lam'!$B56,[1]!Data_BS[TenCongTyID],'Dong Lam'!$B$1,[1]!Data_BS[Thang.Nam],'Dong Lam'!AJ$5)</f>
        <v>0</v>
      </c>
      <c r="AK56" s="229">
        <f>SUMIFS([1]!Data_BS[Value],[1]!Data_BS[Index BS],'Dong Lam'!$B56,[1]!Data_BS[TenCongTyID],'Dong Lam'!$B$1,[1]!Data_BS[Thang.Nam],'Dong Lam'!AK$5)</f>
        <v>0</v>
      </c>
      <c r="AL56" s="229">
        <f>SUMIFS([1]!Data_BS[Value],[1]!Data_BS[Index BS],'Dong Lam'!$B56,[1]!Data_BS[TenCongTyID],'Dong Lam'!$B$1,[1]!Data_BS[Thang.Nam],'Dong Lam'!AL$5)</f>
        <v>0</v>
      </c>
    </row>
    <row r="57" spans="1:38" ht="15" hidden="1" customHeight="1" outlineLevel="1">
      <c r="A57" s="73" t="s">
        <v>141</v>
      </c>
      <c r="B57" s="63">
        <v>52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>
        <v>0</v>
      </c>
      <c r="AA57" s="229">
        <f>SUMIFS([1]!Data_BS[Value],[1]!Data_BS[Index BS],'Dong Lam'!$B57,[1]!Data_BS[TenCongTyID],'Dong Lam'!$B$1,[1]!Data_BS[Thang.Nam],'Dong Lam'!AA$5)</f>
        <v>0</v>
      </c>
      <c r="AB57" s="229">
        <f>SUMIFS([1]!Data_BS[Value],[1]!Data_BS[Index BS],'Dong Lam'!$B57,[1]!Data_BS[TenCongTyID],'Dong Lam'!$B$1,[1]!Data_BS[Thang.Nam],'Dong Lam'!AB$5)</f>
        <v>0</v>
      </c>
      <c r="AC57" s="229">
        <f>SUMIFS([1]!Data_BS[Value],[1]!Data_BS[Index BS],'Dong Lam'!$B57,[1]!Data_BS[TenCongTyID],'Dong Lam'!$B$1,[1]!Data_BS[Thang.Nam],'Dong Lam'!AC$5)</f>
        <v>0</v>
      </c>
      <c r="AD57" s="229">
        <f>SUMIFS([1]!Data_BS[Value],[1]!Data_BS[Index BS],'Dong Lam'!$B57,[1]!Data_BS[TenCongTyID],'Dong Lam'!$B$1,[1]!Data_BS[Thang.Nam],'Dong Lam'!AD$5)</f>
        <v>0</v>
      </c>
      <c r="AE57" s="229">
        <f>SUMIFS([1]!Data_BS[Value],[1]!Data_BS[Index BS],'Dong Lam'!$B57,[1]!Data_BS[TenCongTyID],'Dong Lam'!$B$1,[1]!Data_BS[Thang.Nam],'Dong Lam'!AE$5)</f>
        <v>0</v>
      </c>
      <c r="AF57" s="229">
        <f>SUMIFS([1]!Data_BS[Value],[1]!Data_BS[Index BS],'Dong Lam'!$B57,[1]!Data_BS[TenCongTyID],'Dong Lam'!$B$1,[1]!Data_BS[Thang.Nam],'Dong Lam'!AF$5)</f>
        <v>0</v>
      </c>
      <c r="AG57" s="229">
        <f>SUMIFS([1]!Data_BS[Value],[1]!Data_BS[Index BS],'Dong Lam'!$B57,[1]!Data_BS[TenCongTyID],'Dong Lam'!$B$1,[1]!Data_BS[Thang.Nam],'Dong Lam'!AG$5)</f>
        <v>0</v>
      </c>
      <c r="AH57" s="229">
        <f>SUMIFS([1]!Data_BS[Value],[1]!Data_BS[Index BS],'Dong Lam'!$B57,[1]!Data_BS[TenCongTyID],'Dong Lam'!$B$1,[1]!Data_BS[Thang.Nam],'Dong Lam'!AH$5)</f>
        <v>0</v>
      </c>
      <c r="AI57" s="229">
        <f>SUMIFS([1]!Data_BS[Value],[1]!Data_BS[Index BS],'Dong Lam'!$B57,[1]!Data_BS[TenCongTyID],'Dong Lam'!$B$1,[1]!Data_BS[Thang.Nam],'Dong Lam'!AI$5)</f>
        <v>0</v>
      </c>
      <c r="AJ57" s="229">
        <f>SUMIFS([1]!Data_BS[Value],[1]!Data_BS[Index BS],'Dong Lam'!$B57,[1]!Data_BS[TenCongTyID],'Dong Lam'!$B$1,[1]!Data_BS[Thang.Nam],'Dong Lam'!AJ$5)</f>
        <v>0</v>
      </c>
      <c r="AK57" s="229">
        <f>SUMIFS([1]!Data_BS[Value],[1]!Data_BS[Index BS],'Dong Lam'!$B57,[1]!Data_BS[TenCongTyID],'Dong Lam'!$B$1,[1]!Data_BS[Thang.Nam],'Dong Lam'!AK$5)</f>
        <v>0</v>
      </c>
      <c r="AL57" s="229">
        <f>SUMIFS([1]!Data_BS[Value],[1]!Data_BS[Index BS],'Dong Lam'!$B57,[1]!Data_BS[TenCongTyID],'Dong Lam'!$B$1,[1]!Data_BS[Thang.Nam],'Dong Lam'!AL$5)</f>
        <v>0</v>
      </c>
    </row>
    <row r="58" spans="1:38" ht="15" hidden="1" customHeight="1" outlineLevel="1">
      <c r="A58" s="73" t="s">
        <v>142</v>
      </c>
      <c r="B58" s="63">
        <v>53</v>
      </c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>
        <v>0</v>
      </c>
      <c r="AA58" s="229">
        <f>SUMIFS([1]!Data_BS[Value],[1]!Data_BS[Index BS],'Dong Lam'!$B58,[1]!Data_BS[TenCongTyID],'Dong Lam'!$B$1,[1]!Data_BS[Thang.Nam],'Dong Lam'!AA$5)</f>
        <v>0</v>
      </c>
      <c r="AB58" s="229">
        <f>SUMIFS([1]!Data_BS[Value],[1]!Data_BS[Index BS],'Dong Lam'!$B58,[1]!Data_BS[TenCongTyID],'Dong Lam'!$B$1,[1]!Data_BS[Thang.Nam],'Dong Lam'!AB$5)</f>
        <v>0</v>
      </c>
      <c r="AC58" s="229">
        <f>SUMIFS([1]!Data_BS[Value],[1]!Data_BS[Index BS],'Dong Lam'!$B58,[1]!Data_BS[TenCongTyID],'Dong Lam'!$B$1,[1]!Data_BS[Thang.Nam],'Dong Lam'!AC$5)</f>
        <v>0</v>
      </c>
      <c r="AD58" s="229">
        <f>SUMIFS([1]!Data_BS[Value],[1]!Data_BS[Index BS],'Dong Lam'!$B58,[1]!Data_BS[TenCongTyID],'Dong Lam'!$B$1,[1]!Data_BS[Thang.Nam],'Dong Lam'!AD$5)</f>
        <v>0</v>
      </c>
      <c r="AE58" s="229">
        <f>SUMIFS([1]!Data_BS[Value],[1]!Data_BS[Index BS],'Dong Lam'!$B58,[1]!Data_BS[TenCongTyID],'Dong Lam'!$B$1,[1]!Data_BS[Thang.Nam],'Dong Lam'!AE$5)</f>
        <v>0</v>
      </c>
      <c r="AF58" s="229">
        <f>SUMIFS([1]!Data_BS[Value],[1]!Data_BS[Index BS],'Dong Lam'!$B58,[1]!Data_BS[TenCongTyID],'Dong Lam'!$B$1,[1]!Data_BS[Thang.Nam],'Dong Lam'!AF$5)</f>
        <v>0</v>
      </c>
      <c r="AG58" s="229">
        <f>SUMIFS([1]!Data_BS[Value],[1]!Data_BS[Index BS],'Dong Lam'!$B58,[1]!Data_BS[TenCongTyID],'Dong Lam'!$B$1,[1]!Data_BS[Thang.Nam],'Dong Lam'!AG$5)</f>
        <v>0</v>
      </c>
      <c r="AH58" s="229">
        <f>SUMIFS([1]!Data_BS[Value],[1]!Data_BS[Index BS],'Dong Lam'!$B58,[1]!Data_BS[TenCongTyID],'Dong Lam'!$B$1,[1]!Data_BS[Thang.Nam],'Dong Lam'!AH$5)</f>
        <v>0</v>
      </c>
      <c r="AI58" s="229">
        <f>SUMIFS([1]!Data_BS[Value],[1]!Data_BS[Index BS],'Dong Lam'!$B58,[1]!Data_BS[TenCongTyID],'Dong Lam'!$B$1,[1]!Data_BS[Thang.Nam],'Dong Lam'!AI$5)</f>
        <v>0</v>
      </c>
      <c r="AJ58" s="229">
        <f>SUMIFS([1]!Data_BS[Value],[1]!Data_BS[Index BS],'Dong Lam'!$B58,[1]!Data_BS[TenCongTyID],'Dong Lam'!$B$1,[1]!Data_BS[Thang.Nam],'Dong Lam'!AJ$5)</f>
        <v>0</v>
      </c>
      <c r="AK58" s="229">
        <f>SUMIFS([1]!Data_BS[Value],[1]!Data_BS[Index BS],'Dong Lam'!$B58,[1]!Data_BS[TenCongTyID],'Dong Lam'!$B$1,[1]!Data_BS[Thang.Nam],'Dong Lam'!AK$5)</f>
        <v>0</v>
      </c>
      <c r="AL58" s="229">
        <f>SUMIFS([1]!Data_BS[Value],[1]!Data_BS[Index BS],'Dong Lam'!$B58,[1]!Data_BS[TenCongTyID],'Dong Lam'!$B$1,[1]!Data_BS[Thang.Nam],'Dong Lam'!AL$5)</f>
        <v>0</v>
      </c>
    </row>
    <row r="59" spans="1:38" ht="15" hidden="1" customHeight="1" outlineLevel="1">
      <c r="A59" s="73" t="s">
        <v>143</v>
      </c>
      <c r="B59" s="63">
        <v>54</v>
      </c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>
        <v>0</v>
      </c>
      <c r="AA59" s="229">
        <f>SUMIFS([1]!Data_BS[Value],[1]!Data_BS[Index BS],'Dong Lam'!$B59,[1]!Data_BS[TenCongTyID],'Dong Lam'!$B$1,[1]!Data_BS[Thang.Nam],'Dong Lam'!AA$5)</f>
        <v>0</v>
      </c>
      <c r="AB59" s="229">
        <f>SUMIFS([1]!Data_BS[Value],[1]!Data_BS[Index BS],'Dong Lam'!$B59,[1]!Data_BS[TenCongTyID],'Dong Lam'!$B$1,[1]!Data_BS[Thang.Nam],'Dong Lam'!AB$5)</f>
        <v>0</v>
      </c>
      <c r="AC59" s="229">
        <f>SUMIFS([1]!Data_BS[Value],[1]!Data_BS[Index BS],'Dong Lam'!$B59,[1]!Data_BS[TenCongTyID],'Dong Lam'!$B$1,[1]!Data_BS[Thang.Nam],'Dong Lam'!AC$5)</f>
        <v>0</v>
      </c>
      <c r="AD59" s="229">
        <f>SUMIFS([1]!Data_BS[Value],[1]!Data_BS[Index BS],'Dong Lam'!$B59,[1]!Data_BS[TenCongTyID],'Dong Lam'!$B$1,[1]!Data_BS[Thang.Nam],'Dong Lam'!AD$5)</f>
        <v>0</v>
      </c>
      <c r="AE59" s="229">
        <f>SUMIFS([1]!Data_BS[Value],[1]!Data_BS[Index BS],'Dong Lam'!$B59,[1]!Data_BS[TenCongTyID],'Dong Lam'!$B$1,[1]!Data_BS[Thang.Nam],'Dong Lam'!AE$5)</f>
        <v>0</v>
      </c>
      <c r="AF59" s="229">
        <f>SUMIFS([1]!Data_BS[Value],[1]!Data_BS[Index BS],'Dong Lam'!$B59,[1]!Data_BS[TenCongTyID],'Dong Lam'!$B$1,[1]!Data_BS[Thang.Nam],'Dong Lam'!AF$5)</f>
        <v>0</v>
      </c>
      <c r="AG59" s="229">
        <f>SUMIFS([1]!Data_BS[Value],[1]!Data_BS[Index BS],'Dong Lam'!$B59,[1]!Data_BS[TenCongTyID],'Dong Lam'!$B$1,[1]!Data_BS[Thang.Nam],'Dong Lam'!AG$5)</f>
        <v>0</v>
      </c>
      <c r="AH59" s="229">
        <f>SUMIFS([1]!Data_BS[Value],[1]!Data_BS[Index BS],'Dong Lam'!$B59,[1]!Data_BS[TenCongTyID],'Dong Lam'!$B$1,[1]!Data_BS[Thang.Nam],'Dong Lam'!AH$5)</f>
        <v>0</v>
      </c>
      <c r="AI59" s="229">
        <f>SUMIFS([1]!Data_BS[Value],[1]!Data_BS[Index BS],'Dong Lam'!$B59,[1]!Data_BS[TenCongTyID],'Dong Lam'!$B$1,[1]!Data_BS[Thang.Nam],'Dong Lam'!AI$5)</f>
        <v>0</v>
      </c>
      <c r="AJ59" s="229">
        <f>SUMIFS([1]!Data_BS[Value],[1]!Data_BS[Index BS],'Dong Lam'!$B59,[1]!Data_BS[TenCongTyID],'Dong Lam'!$B$1,[1]!Data_BS[Thang.Nam],'Dong Lam'!AJ$5)</f>
        <v>0</v>
      </c>
      <c r="AK59" s="229">
        <f>SUMIFS([1]!Data_BS[Value],[1]!Data_BS[Index BS],'Dong Lam'!$B59,[1]!Data_BS[TenCongTyID],'Dong Lam'!$B$1,[1]!Data_BS[Thang.Nam],'Dong Lam'!AK$5)</f>
        <v>0</v>
      </c>
      <c r="AL59" s="229">
        <f>SUMIFS([1]!Data_BS[Value],[1]!Data_BS[Index BS],'Dong Lam'!$B59,[1]!Data_BS[TenCongTyID],'Dong Lam'!$B$1,[1]!Data_BS[Thang.Nam],'Dong Lam'!AL$5)</f>
        <v>0</v>
      </c>
    </row>
    <row r="60" spans="1:38" ht="15" hidden="1" customHeight="1" outlineLevel="1">
      <c r="A60" s="73" t="s">
        <v>144</v>
      </c>
      <c r="B60" s="63">
        <v>55</v>
      </c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>
        <v>0</v>
      </c>
      <c r="AA60" s="229">
        <f>SUMIFS([1]!Data_BS[Value],[1]!Data_BS[Index BS],'Dong Lam'!$B60,[1]!Data_BS[TenCongTyID],'Dong Lam'!$B$1,[1]!Data_BS[Thang.Nam],'Dong Lam'!AA$5)</f>
        <v>0</v>
      </c>
      <c r="AB60" s="229">
        <f>SUMIFS([1]!Data_BS[Value],[1]!Data_BS[Index BS],'Dong Lam'!$B60,[1]!Data_BS[TenCongTyID],'Dong Lam'!$B$1,[1]!Data_BS[Thang.Nam],'Dong Lam'!AB$5)</f>
        <v>0</v>
      </c>
      <c r="AC60" s="229">
        <f>SUMIFS([1]!Data_BS[Value],[1]!Data_BS[Index BS],'Dong Lam'!$B60,[1]!Data_BS[TenCongTyID],'Dong Lam'!$B$1,[1]!Data_BS[Thang.Nam],'Dong Lam'!AC$5)</f>
        <v>0</v>
      </c>
      <c r="AD60" s="229">
        <f>SUMIFS([1]!Data_BS[Value],[1]!Data_BS[Index BS],'Dong Lam'!$B60,[1]!Data_BS[TenCongTyID],'Dong Lam'!$B$1,[1]!Data_BS[Thang.Nam],'Dong Lam'!AD$5)</f>
        <v>0</v>
      </c>
      <c r="AE60" s="229">
        <f>SUMIFS([1]!Data_BS[Value],[1]!Data_BS[Index BS],'Dong Lam'!$B60,[1]!Data_BS[TenCongTyID],'Dong Lam'!$B$1,[1]!Data_BS[Thang.Nam],'Dong Lam'!AE$5)</f>
        <v>0</v>
      </c>
      <c r="AF60" s="229">
        <f>SUMIFS([1]!Data_BS[Value],[1]!Data_BS[Index BS],'Dong Lam'!$B60,[1]!Data_BS[TenCongTyID],'Dong Lam'!$B$1,[1]!Data_BS[Thang.Nam],'Dong Lam'!AF$5)</f>
        <v>0</v>
      </c>
      <c r="AG60" s="229">
        <f>SUMIFS([1]!Data_BS[Value],[1]!Data_BS[Index BS],'Dong Lam'!$B60,[1]!Data_BS[TenCongTyID],'Dong Lam'!$B$1,[1]!Data_BS[Thang.Nam],'Dong Lam'!AG$5)</f>
        <v>0</v>
      </c>
      <c r="AH60" s="229">
        <f>SUMIFS([1]!Data_BS[Value],[1]!Data_BS[Index BS],'Dong Lam'!$B60,[1]!Data_BS[TenCongTyID],'Dong Lam'!$B$1,[1]!Data_BS[Thang.Nam],'Dong Lam'!AH$5)</f>
        <v>0</v>
      </c>
      <c r="AI60" s="229">
        <f>SUMIFS([1]!Data_BS[Value],[1]!Data_BS[Index BS],'Dong Lam'!$B60,[1]!Data_BS[TenCongTyID],'Dong Lam'!$B$1,[1]!Data_BS[Thang.Nam],'Dong Lam'!AI$5)</f>
        <v>0</v>
      </c>
      <c r="AJ60" s="229">
        <f>SUMIFS([1]!Data_BS[Value],[1]!Data_BS[Index BS],'Dong Lam'!$B60,[1]!Data_BS[TenCongTyID],'Dong Lam'!$B$1,[1]!Data_BS[Thang.Nam],'Dong Lam'!AJ$5)</f>
        <v>0</v>
      </c>
      <c r="AK60" s="229">
        <f>SUMIFS([1]!Data_BS[Value],[1]!Data_BS[Index BS],'Dong Lam'!$B60,[1]!Data_BS[TenCongTyID],'Dong Lam'!$B$1,[1]!Data_BS[Thang.Nam],'Dong Lam'!AK$5)</f>
        <v>0</v>
      </c>
      <c r="AL60" s="229">
        <f>SUMIFS([1]!Data_BS[Value],[1]!Data_BS[Index BS],'Dong Lam'!$B60,[1]!Data_BS[TenCongTyID],'Dong Lam'!$B$1,[1]!Data_BS[Thang.Nam],'Dong Lam'!AL$5)</f>
        <v>0</v>
      </c>
    </row>
    <row r="61" spans="1:38" ht="15" hidden="1" customHeight="1" outlineLevel="1">
      <c r="A61" s="73" t="s">
        <v>145</v>
      </c>
      <c r="B61" s="63">
        <v>56</v>
      </c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>
        <v>0</v>
      </c>
      <c r="AA61" s="229">
        <f>SUMIFS([1]!Data_BS[Value],[1]!Data_BS[Index BS],'Dong Lam'!$B61,[1]!Data_BS[TenCongTyID],'Dong Lam'!$B$1,[1]!Data_BS[Thang.Nam],'Dong Lam'!AA$5)</f>
        <v>0</v>
      </c>
      <c r="AB61" s="229">
        <f>SUMIFS([1]!Data_BS[Value],[1]!Data_BS[Index BS],'Dong Lam'!$B61,[1]!Data_BS[TenCongTyID],'Dong Lam'!$B$1,[1]!Data_BS[Thang.Nam],'Dong Lam'!AB$5)</f>
        <v>0</v>
      </c>
      <c r="AC61" s="229">
        <f>SUMIFS([1]!Data_BS[Value],[1]!Data_BS[Index BS],'Dong Lam'!$B61,[1]!Data_BS[TenCongTyID],'Dong Lam'!$B$1,[1]!Data_BS[Thang.Nam],'Dong Lam'!AC$5)</f>
        <v>0</v>
      </c>
      <c r="AD61" s="229">
        <f>SUMIFS([1]!Data_BS[Value],[1]!Data_BS[Index BS],'Dong Lam'!$B61,[1]!Data_BS[TenCongTyID],'Dong Lam'!$B$1,[1]!Data_BS[Thang.Nam],'Dong Lam'!AD$5)</f>
        <v>0</v>
      </c>
      <c r="AE61" s="229">
        <f>SUMIFS([1]!Data_BS[Value],[1]!Data_BS[Index BS],'Dong Lam'!$B61,[1]!Data_BS[TenCongTyID],'Dong Lam'!$B$1,[1]!Data_BS[Thang.Nam],'Dong Lam'!AE$5)</f>
        <v>0</v>
      </c>
      <c r="AF61" s="229">
        <f>SUMIFS([1]!Data_BS[Value],[1]!Data_BS[Index BS],'Dong Lam'!$B61,[1]!Data_BS[TenCongTyID],'Dong Lam'!$B$1,[1]!Data_BS[Thang.Nam],'Dong Lam'!AF$5)</f>
        <v>0</v>
      </c>
      <c r="AG61" s="229">
        <f>SUMIFS([1]!Data_BS[Value],[1]!Data_BS[Index BS],'Dong Lam'!$B61,[1]!Data_BS[TenCongTyID],'Dong Lam'!$B$1,[1]!Data_BS[Thang.Nam],'Dong Lam'!AG$5)</f>
        <v>0</v>
      </c>
      <c r="AH61" s="229">
        <f>SUMIFS([1]!Data_BS[Value],[1]!Data_BS[Index BS],'Dong Lam'!$B61,[1]!Data_BS[TenCongTyID],'Dong Lam'!$B$1,[1]!Data_BS[Thang.Nam],'Dong Lam'!AH$5)</f>
        <v>0</v>
      </c>
      <c r="AI61" s="229">
        <f>SUMIFS([1]!Data_BS[Value],[1]!Data_BS[Index BS],'Dong Lam'!$B61,[1]!Data_BS[TenCongTyID],'Dong Lam'!$B$1,[1]!Data_BS[Thang.Nam],'Dong Lam'!AI$5)</f>
        <v>0</v>
      </c>
      <c r="AJ61" s="229">
        <f>SUMIFS([1]!Data_BS[Value],[1]!Data_BS[Index BS],'Dong Lam'!$B61,[1]!Data_BS[TenCongTyID],'Dong Lam'!$B$1,[1]!Data_BS[Thang.Nam],'Dong Lam'!AJ$5)</f>
        <v>0</v>
      </c>
      <c r="AK61" s="229">
        <f>SUMIFS([1]!Data_BS[Value],[1]!Data_BS[Index BS],'Dong Lam'!$B61,[1]!Data_BS[TenCongTyID],'Dong Lam'!$B$1,[1]!Data_BS[Thang.Nam],'Dong Lam'!AK$5)</f>
        <v>0</v>
      </c>
      <c r="AL61" s="229">
        <f>SUMIFS([1]!Data_BS[Value],[1]!Data_BS[Index BS],'Dong Lam'!$B61,[1]!Data_BS[TenCongTyID],'Dong Lam'!$B$1,[1]!Data_BS[Thang.Nam],'Dong Lam'!AL$5)</f>
        <v>0</v>
      </c>
    </row>
    <row r="62" spans="1:38" ht="15" hidden="1" customHeight="1" outlineLevel="1">
      <c r="A62" s="73" t="s">
        <v>146</v>
      </c>
      <c r="B62" s="63">
        <v>57</v>
      </c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>
        <v>0</v>
      </c>
      <c r="AA62" s="229">
        <f>SUMIFS([1]!Data_BS[Value],[1]!Data_BS[Index BS],'Dong Lam'!$B62,[1]!Data_BS[TenCongTyID],'Dong Lam'!$B$1,[1]!Data_BS[Thang.Nam],'Dong Lam'!AA$5)</f>
        <v>0</v>
      </c>
      <c r="AB62" s="229">
        <f>SUMIFS([1]!Data_BS[Value],[1]!Data_BS[Index BS],'Dong Lam'!$B62,[1]!Data_BS[TenCongTyID],'Dong Lam'!$B$1,[1]!Data_BS[Thang.Nam],'Dong Lam'!AB$5)</f>
        <v>0</v>
      </c>
      <c r="AC62" s="229">
        <f>SUMIFS([1]!Data_BS[Value],[1]!Data_BS[Index BS],'Dong Lam'!$B62,[1]!Data_BS[TenCongTyID],'Dong Lam'!$B$1,[1]!Data_BS[Thang.Nam],'Dong Lam'!AC$5)</f>
        <v>0</v>
      </c>
      <c r="AD62" s="229">
        <f>SUMIFS([1]!Data_BS[Value],[1]!Data_BS[Index BS],'Dong Lam'!$B62,[1]!Data_BS[TenCongTyID],'Dong Lam'!$B$1,[1]!Data_BS[Thang.Nam],'Dong Lam'!AD$5)</f>
        <v>0</v>
      </c>
      <c r="AE62" s="229">
        <f>SUMIFS([1]!Data_BS[Value],[1]!Data_BS[Index BS],'Dong Lam'!$B62,[1]!Data_BS[TenCongTyID],'Dong Lam'!$B$1,[1]!Data_BS[Thang.Nam],'Dong Lam'!AE$5)</f>
        <v>0</v>
      </c>
      <c r="AF62" s="229">
        <f>SUMIFS([1]!Data_BS[Value],[1]!Data_BS[Index BS],'Dong Lam'!$B62,[1]!Data_BS[TenCongTyID],'Dong Lam'!$B$1,[1]!Data_BS[Thang.Nam],'Dong Lam'!AF$5)</f>
        <v>0</v>
      </c>
      <c r="AG62" s="229">
        <f>SUMIFS([1]!Data_BS[Value],[1]!Data_BS[Index BS],'Dong Lam'!$B62,[1]!Data_BS[TenCongTyID],'Dong Lam'!$B$1,[1]!Data_BS[Thang.Nam],'Dong Lam'!AG$5)</f>
        <v>0</v>
      </c>
      <c r="AH62" s="229">
        <f>SUMIFS([1]!Data_BS[Value],[1]!Data_BS[Index BS],'Dong Lam'!$B62,[1]!Data_BS[TenCongTyID],'Dong Lam'!$B$1,[1]!Data_BS[Thang.Nam],'Dong Lam'!AH$5)</f>
        <v>0</v>
      </c>
      <c r="AI62" s="229">
        <f>SUMIFS([1]!Data_BS[Value],[1]!Data_BS[Index BS],'Dong Lam'!$B62,[1]!Data_BS[TenCongTyID],'Dong Lam'!$B$1,[1]!Data_BS[Thang.Nam],'Dong Lam'!AI$5)</f>
        <v>0</v>
      </c>
      <c r="AJ62" s="229">
        <f>SUMIFS([1]!Data_BS[Value],[1]!Data_BS[Index BS],'Dong Lam'!$B62,[1]!Data_BS[TenCongTyID],'Dong Lam'!$B$1,[1]!Data_BS[Thang.Nam],'Dong Lam'!AJ$5)</f>
        <v>0</v>
      </c>
      <c r="AK62" s="229">
        <f>SUMIFS([1]!Data_BS[Value],[1]!Data_BS[Index BS],'Dong Lam'!$B62,[1]!Data_BS[TenCongTyID],'Dong Lam'!$B$1,[1]!Data_BS[Thang.Nam],'Dong Lam'!AK$5)</f>
        <v>0</v>
      </c>
      <c r="AL62" s="229">
        <f>SUMIFS([1]!Data_BS[Value],[1]!Data_BS[Index BS],'Dong Lam'!$B62,[1]!Data_BS[TenCongTyID],'Dong Lam'!$B$1,[1]!Data_BS[Thang.Nam],'Dong Lam'!AL$5)</f>
        <v>0</v>
      </c>
    </row>
    <row r="63" spans="1:38" ht="15" hidden="1" customHeight="1" outlineLevel="1">
      <c r="A63" s="73" t="s">
        <v>147</v>
      </c>
      <c r="B63" s="63">
        <v>58</v>
      </c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>
        <v>0</v>
      </c>
      <c r="AA63" s="229">
        <f>SUMIFS([1]!Data_BS[Value],[1]!Data_BS[Index BS],'Dong Lam'!$B63,[1]!Data_BS[TenCongTyID],'Dong Lam'!$B$1,[1]!Data_BS[Thang.Nam],'Dong Lam'!AA$5)</f>
        <v>0</v>
      </c>
      <c r="AB63" s="229">
        <f>SUMIFS([1]!Data_BS[Value],[1]!Data_BS[Index BS],'Dong Lam'!$B63,[1]!Data_BS[TenCongTyID],'Dong Lam'!$B$1,[1]!Data_BS[Thang.Nam],'Dong Lam'!AB$5)</f>
        <v>0</v>
      </c>
      <c r="AC63" s="229">
        <f>SUMIFS([1]!Data_BS[Value],[1]!Data_BS[Index BS],'Dong Lam'!$B63,[1]!Data_BS[TenCongTyID],'Dong Lam'!$B$1,[1]!Data_BS[Thang.Nam],'Dong Lam'!AC$5)</f>
        <v>0</v>
      </c>
      <c r="AD63" s="229">
        <f>SUMIFS([1]!Data_BS[Value],[1]!Data_BS[Index BS],'Dong Lam'!$B63,[1]!Data_BS[TenCongTyID],'Dong Lam'!$B$1,[1]!Data_BS[Thang.Nam],'Dong Lam'!AD$5)</f>
        <v>0</v>
      </c>
      <c r="AE63" s="229">
        <f>SUMIFS([1]!Data_BS[Value],[1]!Data_BS[Index BS],'Dong Lam'!$B63,[1]!Data_BS[TenCongTyID],'Dong Lam'!$B$1,[1]!Data_BS[Thang.Nam],'Dong Lam'!AE$5)</f>
        <v>0</v>
      </c>
      <c r="AF63" s="229">
        <f>SUMIFS([1]!Data_BS[Value],[1]!Data_BS[Index BS],'Dong Lam'!$B63,[1]!Data_BS[TenCongTyID],'Dong Lam'!$B$1,[1]!Data_BS[Thang.Nam],'Dong Lam'!AF$5)</f>
        <v>0</v>
      </c>
      <c r="AG63" s="229">
        <f>SUMIFS([1]!Data_BS[Value],[1]!Data_BS[Index BS],'Dong Lam'!$B63,[1]!Data_BS[TenCongTyID],'Dong Lam'!$B$1,[1]!Data_BS[Thang.Nam],'Dong Lam'!AG$5)</f>
        <v>0</v>
      </c>
      <c r="AH63" s="229">
        <f>SUMIFS([1]!Data_BS[Value],[1]!Data_BS[Index BS],'Dong Lam'!$B63,[1]!Data_BS[TenCongTyID],'Dong Lam'!$B$1,[1]!Data_BS[Thang.Nam],'Dong Lam'!AH$5)</f>
        <v>0</v>
      </c>
      <c r="AI63" s="229">
        <f>SUMIFS([1]!Data_BS[Value],[1]!Data_BS[Index BS],'Dong Lam'!$B63,[1]!Data_BS[TenCongTyID],'Dong Lam'!$B$1,[1]!Data_BS[Thang.Nam],'Dong Lam'!AI$5)</f>
        <v>0</v>
      </c>
      <c r="AJ63" s="229">
        <f>SUMIFS([1]!Data_BS[Value],[1]!Data_BS[Index BS],'Dong Lam'!$B63,[1]!Data_BS[TenCongTyID],'Dong Lam'!$B$1,[1]!Data_BS[Thang.Nam],'Dong Lam'!AJ$5)</f>
        <v>0</v>
      </c>
      <c r="AK63" s="229">
        <f>SUMIFS([1]!Data_BS[Value],[1]!Data_BS[Index BS],'Dong Lam'!$B63,[1]!Data_BS[TenCongTyID],'Dong Lam'!$B$1,[1]!Data_BS[Thang.Nam],'Dong Lam'!AK$5)</f>
        <v>0</v>
      </c>
      <c r="AL63" s="229">
        <f>SUMIFS([1]!Data_BS[Value],[1]!Data_BS[Index BS],'Dong Lam'!$B63,[1]!Data_BS[TenCongTyID],'Dong Lam'!$B$1,[1]!Data_BS[Thang.Nam],'Dong Lam'!AL$5)</f>
        <v>0</v>
      </c>
    </row>
    <row r="64" spans="1:38" ht="15" hidden="1" customHeight="1" outlineLevel="1">
      <c r="A64" s="73" t="s">
        <v>148</v>
      </c>
      <c r="B64" s="63">
        <v>59</v>
      </c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>
        <v>0</v>
      </c>
      <c r="AA64" s="229">
        <f>SUMIFS([1]!Data_BS[Value],[1]!Data_BS[Index BS],'Dong Lam'!$B64,[1]!Data_BS[TenCongTyID],'Dong Lam'!$B$1,[1]!Data_BS[Thang.Nam],'Dong Lam'!AA$5)</f>
        <v>0</v>
      </c>
      <c r="AB64" s="229">
        <f>SUMIFS([1]!Data_BS[Value],[1]!Data_BS[Index BS],'Dong Lam'!$B64,[1]!Data_BS[TenCongTyID],'Dong Lam'!$B$1,[1]!Data_BS[Thang.Nam],'Dong Lam'!AB$5)</f>
        <v>0</v>
      </c>
      <c r="AC64" s="229">
        <f>SUMIFS([1]!Data_BS[Value],[1]!Data_BS[Index BS],'Dong Lam'!$B64,[1]!Data_BS[TenCongTyID],'Dong Lam'!$B$1,[1]!Data_BS[Thang.Nam],'Dong Lam'!AC$5)</f>
        <v>0</v>
      </c>
      <c r="AD64" s="229">
        <f>SUMIFS([1]!Data_BS[Value],[1]!Data_BS[Index BS],'Dong Lam'!$B64,[1]!Data_BS[TenCongTyID],'Dong Lam'!$B$1,[1]!Data_BS[Thang.Nam],'Dong Lam'!AD$5)</f>
        <v>0</v>
      </c>
      <c r="AE64" s="229">
        <f>SUMIFS([1]!Data_BS[Value],[1]!Data_BS[Index BS],'Dong Lam'!$B64,[1]!Data_BS[TenCongTyID],'Dong Lam'!$B$1,[1]!Data_BS[Thang.Nam],'Dong Lam'!AE$5)</f>
        <v>0</v>
      </c>
      <c r="AF64" s="229">
        <f>SUMIFS([1]!Data_BS[Value],[1]!Data_BS[Index BS],'Dong Lam'!$B64,[1]!Data_BS[TenCongTyID],'Dong Lam'!$B$1,[1]!Data_BS[Thang.Nam],'Dong Lam'!AF$5)</f>
        <v>0</v>
      </c>
      <c r="AG64" s="229">
        <f>SUMIFS([1]!Data_BS[Value],[1]!Data_BS[Index BS],'Dong Lam'!$B64,[1]!Data_BS[TenCongTyID],'Dong Lam'!$B$1,[1]!Data_BS[Thang.Nam],'Dong Lam'!AG$5)</f>
        <v>0</v>
      </c>
      <c r="AH64" s="229">
        <f>SUMIFS([1]!Data_BS[Value],[1]!Data_BS[Index BS],'Dong Lam'!$B64,[1]!Data_BS[TenCongTyID],'Dong Lam'!$B$1,[1]!Data_BS[Thang.Nam],'Dong Lam'!AH$5)</f>
        <v>0</v>
      </c>
      <c r="AI64" s="229">
        <f>SUMIFS([1]!Data_BS[Value],[1]!Data_BS[Index BS],'Dong Lam'!$B64,[1]!Data_BS[TenCongTyID],'Dong Lam'!$B$1,[1]!Data_BS[Thang.Nam],'Dong Lam'!AI$5)</f>
        <v>0</v>
      </c>
      <c r="AJ64" s="229">
        <f>SUMIFS([1]!Data_BS[Value],[1]!Data_BS[Index BS],'Dong Lam'!$B64,[1]!Data_BS[TenCongTyID],'Dong Lam'!$B$1,[1]!Data_BS[Thang.Nam],'Dong Lam'!AJ$5)</f>
        <v>0</v>
      </c>
      <c r="AK64" s="229">
        <f>SUMIFS([1]!Data_BS[Value],[1]!Data_BS[Index BS],'Dong Lam'!$B64,[1]!Data_BS[TenCongTyID],'Dong Lam'!$B$1,[1]!Data_BS[Thang.Nam],'Dong Lam'!AK$5)</f>
        <v>0</v>
      </c>
      <c r="AL64" s="229">
        <f>SUMIFS([1]!Data_BS[Value],[1]!Data_BS[Index BS],'Dong Lam'!$B64,[1]!Data_BS[TenCongTyID],'Dong Lam'!$B$1,[1]!Data_BS[Thang.Nam],'Dong Lam'!AL$5)</f>
        <v>0</v>
      </c>
    </row>
    <row r="65" spans="1:38" ht="15" hidden="1" customHeight="1" outlineLevel="1">
      <c r="A65" s="72" t="s">
        <v>149</v>
      </c>
      <c r="B65" s="65">
        <v>60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232">
        <v>0</v>
      </c>
      <c r="I65" s="232">
        <v>0</v>
      </c>
      <c r="J65" s="232">
        <v>0</v>
      </c>
      <c r="K65" s="232">
        <v>0</v>
      </c>
      <c r="L65" s="232">
        <v>0</v>
      </c>
      <c r="M65" s="232">
        <v>0</v>
      </c>
      <c r="N65" s="232">
        <v>0</v>
      </c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/>
      <c r="X65" s="232">
        <v>0</v>
      </c>
      <c r="Y65" s="232">
        <v>0</v>
      </c>
      <c r="Z65" s="232">
        <v>0</v>
      </c>
      <c r="AA65" s="232">
        <f>SUMIFS([1]!Data_BS[Value],[1]!Data_BS[Index BS],'Dong Lam'!$B65,[1]!Data_BS[TenCongTyID],'Dong Lam'!$B$1,[1]!Data_BS[Thang.Nam],'Dong Lam'!AA$5)</f>
        <v>0</v>
      </c>
      <c r="AB65" s="232">
        <f>SUMIFS([1]!Data_BS[Value],[1]!Data_BS[Index BS],'Dong Lam'!$B65,[1]!Data_BS[TenCongTyID],'Dong Lam'!$B$1,[1]!Data_BS[Thang.Nam],'Dong Lam'!AB$5)</f>
        <v>0</v>
      </c>
      <c r="AC65" s="232">
        <f>SUMIFS([1]!Data_BS[Value],[1]!Data_BS[Index BS],'Dong Lam'!$B65,[1]!Data_BS[TenCongTyID],'Dong Lam'!$B$1,[1]!Data_BS[Thang.Nam],'Dong Lam'!AC$5)</f>
        <v>0</v>
      </c>
      <c r="AD65" s="232">
        <f>SUMIFS([1]!Data_BS[Value],[1]!Data_BS[Index BS],'Dong Lam'!$B65,[1]!Data_BS[TenCongTyID],'Dong Lam'!$B$1,[1]!Data_BS[Thang.Nam],'Dong Lam'!AD$5)</f>
        <v>0</v>
      </c>
      <c r="AE65" s="232">
        <f>SUMIFS([1]!Data_BS[Value],[1]!Data_BS[Index BS],'Dong Lam'!$B65,[1]!Data_BS[TenCongTyID],'Dong Lam'!$B$1,[1]!Data_BS[Thang.Nam],'Dong Lam'!AE$5)</f>
        <v>0</v>
      </c>
      <c r="AF65" s="232">
        <f>SUMIFS([1]!Data_BS[Value],[1]!Data_BS[Index BS],'Dong Lam'!$B65,[1]!Data_BS[TenCongTyID],'Dong Lam'!$B$1,[1]!Data_BS[Thang.Nam],'Dong Lam'!AF$5)</f>
        <v>0</v>
      </c>
      <c r="AG65" s="232">
        <f>SUMIFS([1]!Data_BS[Value],[1]!Data_BS[Index BS],'Dong Lam'!$B65,[1]!Data_BS[TenCongTyID],'Dong Lam'!$B$1,[1]!Data_BS[Thang.Nam],'Dong Lam'!AG$5)</f>
        <v>0</v>
      </c>
      <c r="AH65" s="232">
        <f>SUMIFS([1]!Data_BS[Value],[1]!Data_BS[Index BS],'Dong Lam'!$B65,[1]!Data_BS[TenCongTyID],'Dong Lam'!$B$1,[1]!Data_BS[Thang.Nam],'Dong Lam'!AH$5)</f>
        <v>0</v>
      </c>
      <c r="AI65" s="232">
        <f>SUMIFS([1]!Data_BS[Value],[1]!Data_BS[Index BS],'Dong Lam'!$B65,[1]!Data_BS[TenCongTyID],'Dong Lam'!$B$1,[1]!Data_BS[Thang.Nam],'Dong Lam'!AI$5)</f>
        <v>0</v>
      </c>
      <c r="AJ65" s="232">
        <f>SUMIFS([1]!Data_BS[Value],[1]!Data_BS[Index BS],'Dong Lam'!$B65,[1]!Data_BS[TenCongTyID],'Dong Lam'!$B$1,[1]!Data_BS[Thang.Nam],'Dong Lam'!AJ$5)</f>
        <v>0</v>
      </c>
      <c r="AK65" s="232">
        <f>SUMIFS([1]!Data_BS[Value],[1]!Data_BS[Index BS],'Dong Lam'!$B65,[1]!Data_BS[TenCongTyID],'Dong Lam'!$B$1,[1]!Data_BS[Thang.Nam],'Dong Lam'!AK$5)</f>
        <v>0</v>
      </c>
      <c r="AL65" s="232">
        <f>SUMIFS([1]!Data_BS[Value],[1]!Data_BS[Index BS],'Dong Lam'!$B65,[1]!Data_BS[TenCongTyID],'Dong Lam'!$B$1,[1]!Data_BS[Thang.Nam],'Dong Lam'!AL$5)</f>
        <v>0</v>
      </c>
    </row>
    <row r="66" spans="1:38" ht="15" hidden="1" customHeight="1" outlineLevel="1">
      <c r="A66" s="62" t="s">
        <v>150</v>
      </c>
      <c r="B66" s="63">
        <v>61</v>
      </c>
      <c r="C66" s="229">
        <v>0</v>
      </c>
      <c r="D66" s="229">
        <v>0</v>
      </c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>
        <v>0</v>
      </c>
      <c r="P66" s="229">
        <v>0</v>
      </c>
      <c r="Q66" s="229"/>
      <c r="R66" s="229"/>
      <c r="S66" s="229"/>
      <c r="T66" s="229"/>
      <c r="U66" s="229"/>
      <c r="V66" s="229"/>
      <c r="W66" s="229"/>
      <c r="X66" s="229"/>
      <c r="Y66" s="229"/>
      <c r="Z66" s="229">
        <v>0</v>
      </c>
      <c r="AA66" s="229">
        <f>SUMIFS([1]!Data_BS[Value],[1]!Data_BS[Index BS],'Dong Lam'!$B66,[1]!Data_BS[TenCongTyID],'Dong Lam'!$B$1,[1]!Data_BS[Thang.Nam],'Dong Lam'!AA$5)</f>
        <v>0</v>
      </c>
      <c r="AB66" s="229">
        <f>SUMIFS([1]!Data_BS[Value],[1]!Data_BS[Index BS],'Dong Lam'!$B66,[1]!Data_BS[TenCongTyID],'Dong Lam'!$B$1,[1]!Data_BS[Thang.Nam],'Dong Lam'!AB$5)</f>
        <v>0</v>
      </c>
      <c r="AC66" s="229">
        <f>SUMIFS([1]!Data_BS[Value],[1]!Data_BS[Index BS],'Dong Lam'!$B66,[1]!Data_BS[TenCongTyID],'Dong Lam'!$B$1,[1]!Data_BS[Thang.Nam],'Dong Lam'!AC$5)</f>
        <v>0</v>
      </c>
      <c r="AD66" s="229">
        <f>SUMIFS([1]!Data_BS[Value],[1]!Data_BS[Index BS],'Dong Lam'!$B66,[1]!Data_BS[TenCongTyID],'Dong Lam'!$B$1,[1]!Data_BS[Thang.Nam],'Dong Lam'!AD$5)</f>
        <v>0</v>
      </c>
      <c r="AE66" s="229">
        <f>SUMIFS([1]!Data_BS[Value],[1]!Data_BS[Index BS],'Dong Lam'!$B66,[1]!Data_BS[TenCongTyID],'Dong Lam'!$B$1,[1]!Data_BS[Thang.Nam],'Dong Lam'!AE$5)</f>
        <v>0</v>
      </c>
      <c r="AF66" s="229">
        <f>SUMIFS([1]!Data_BS[Value],[1]!Data_BS[Index BS],'Dong Lam'!$B66,[1]!Data_BS[TenCongTyID],'Dong Lam'!$B$1,[1]!Data_BS[Thang.Nam],'Dong Lam'!AF$5)</f>
        <v>0</v>
      </c>
      <c r="AG66" s="229">
        <f>SUMIFS([1]!Data_BS[Value],[1]!Data_BS[Index BS],'Dong Lam'!$B66,[1]!Data_BS[TenCongTyID],'Dong Lam'!$B$1,[1]!Data_BS[Thang.Nam],'Dong Lam'!AG$5)</f>
        <v>0</v>
      </c>
      <c r="AH66" s="229">
        <f>SUMIFS([1]!Data_BS[Value],[1]!Data_BS[Index BS],'Dong Lam'!$B66,[1]!Data_BS[TenCongTyID],'Dong Lam'!$B$1,[1]!Data_BS[Thang.Nam],'Dong Lam'!AH$5)</f>
        <v>0</v>
      </c>
      <c r="AI66" s="229">
        <f>SUMIFS([1]!Data_BS[Value],[1]!Data_BS[Index BS],'Dong Lam'!$B66,[1]!Data_BS[TenCongTyID],'Dong Lam'!$B$1,[1]!Data_BS[Thang.Nam],'Dong Lam'!AI$5)</f>
        <v>0</v>
      </c>
      <c r="AJ66" s="229">
        <f>SUMIFS([1]!Data_BS[Value],[1]!Data_BS[Index BS],'Dong Lam'!$B66,[1]!Data_BS[TenCongTyID],'Dong Lam'!$B$1,[1]!Data_BS[Thang.Nam],'Dong Lam'!AJ$5)</f>
        <v>0</v>
      </c>
      <c r="AK66" s="229">
        <f>SUMIFS([1]!Data_BS[Value],[1]!Data_BS[Index BS],'Dong Lam'!$B66,[1]!Data_BS[TenCongTyID],'Dong Lam'!$B$1,[1]!Data_BS[Thang.Nam],'Dong Lam'!AK$5)</f>
        <v>0</v>
      </c>
      <c r="AL66" s="229">
        <f>SUMIFS([1]!Data_BS[Value],[1]!Data_BS[Index BS],'Dong Lam'!$B66,[1]!Data_BS[TenCongTyID],'Dong Lam'!$B$1,[1]!Data_BS[Thang.Nam],'Dong Lam'!AL$5)</f>
        <v>0</v>
      </c>
    </row>
    <row r="67" spans="1:38" ht="15" hidden="1" customHeight="1" outlineLevel="1">
      <c r="A67" s="62" t="s">
        <v>151</v>
      </c>
      <c r="B67" s="63">
        <v>62</v>
      </c>
      <c r="C67" s="229">
        <v>0</v>
      </c>
      <c r="D67" s="229">
        <v>0</v>
      </c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>
        <v>0</v>
      </c>
      <c r="P67" s="229">
        <v>0</v>
      </c>
      <c r="Q67" s="229"/>
      <c r="R67" s="229"/>
      <c r="S67" s="229"/>
      <c r="T67" s="229"/>
      <c r="U67" s="229"/>
      <c r="V67" s="229"/>
      <c r="W67" s="229"/>
      <c r="X67" s="229"/>
      <c r="Y67" s="229"/>
      <c r="Z67" s="229">
        <v>0</v>
      </c>
      <c r="AA67" s="229">
        <f>SUMIFS([1]!Data_BS[Value],[1]!Data_BS[Index BS],'Dong Lam'!$B67,[1]!Data_BS[TenCongTyID],'Dong Lam'!$B$1,[1]!Data_BS[Thang.Nam],'Dong Lam'!AA$5)</f>
        <v>0</v>
      </c>
      <c r="AB67" s="229">
        <f>SUMIFS([1]!Data_BS[Value],[1]!Data_BS[Index BS],'Dong Lam'!$B67,[1]!Data_BS[TenCongTyID],'Dong Lam'!$B$1,[1]!Data_BS[Thang.Nam],'Dong Lam'!AB$5)</f>
        <v>0</v>
      </c>
      <c r="AC67" s="229">
        <f>SUMIFS([1]!Data_BS[Value],[1]!Data_BS[Index BS],'Dong Lam'!$B67,[1]!Data_BS[TenCongTyID],'Dong Lam'!$B$1,[1]!Data_BS[Thang.Nam],'Dong Lam'!AC$5)</f>
        <v>0</v>
      </c>
      <c r="AD67" s="229">
        <f>SUMIFS([1]!Data_BS[Value],[1]!Data_BS[Index BS],'Dong Lam'!$B67,[1]!Data_BS[TenCongTyID],'Dong Lam'!$B$1,[1]!Data_BS[Thang.Nam],'Dong Lam'!AD$5)</f>
        <v>0</v>
      </c>
      <c r="AE67" s="229">
        <f>SUMIFS([1]!Data_BS[Value],[1]!Data_BS[Index BS],'Dong Lam'!$B67,[1]!Data_BS[TenCongTyID],'Dong Lam'!$B$1,[1]!Data_BS[Thang.Nam],'Dong Lam'!AE$5)</f>
        <v>0</v>
      </c>
      <c r="AF67" s="229">
        <f>SUMIFS([1]!Data_BS[Value],[1]!Data_BS[Index BS],'Dong Lam'!$B67,[1]!Data_BS[TenCongTyID],'Dong Lam'!$B$1,[1]!Data_BS[Thang.Nam],'Dong Lam'!AF$5)</f>
        <v>0</v>
      </c>
      <c r="AG67" s="229">
        <f>SUMIFS([1]!Data_BS[Value],[1]!Data_BS[Index BS],'Dong Lam'!$B67,[1]!Data_BS[TenCongTyID],'Dong Lam'!$B$1,[1]!Data_BS[Thang.Nam],'Dong Lam'!AG$5)</f>
        <v>0</v>
      </c>
      <c r="AH67" s="229">
        <f>SUMIFS([1]!Data_BS[Value],[1]!Data_BS[Index BS],'Dong Lam'!$B67,[1]!Data_BS[TenCongTyID],'Dong Lam'!$B$1,[1]!Data_BS[Thang.Nam],'Dong Lam'!AH$5)</f>
        <v>0</v>
      </c>
      <c r="AI67" s="229">
        <f>SUMIFS([1]!Data_BS[Value],[1]!Data_BS[Index BS],'Dong Lam'!$B67,[1]!Data_BS[TenCongTyID],'Dong Lam'!$B$1,[1]!Data_BS[Thang.Nam],'Dong Lam'!AI$5)</f>
        <v>0</v>
      </c>
      <c r="AJ67" s="229">
        <f>SUMIFS([1]!Data_BS[Value],[1]!Data_BS[Index BS],'Dong Lam'!$B67,[1]!Data_BS[TenCongTyID],'Dong Lam'!$B$1,[1]!Data_BS[Thang.Nam],'Dong Lam'!AJ$5)</f>
        <v>0</v>
      </c>
      <c r="AK67" s="229">
        <f>SUMIFS([1]!Data_BS[Value],[1]!Data_BS[Index BS],'Dong Lam'!$B67,[1]!Data_BS[TenCongTyID],'Dong Lam'!$B$1,[1]!Data_BS[Thang.Nam],'Dong Lam'!AK$5)</f>
        <v>0</v>
      </c>
      <c r="AL67" s="229">
        <f>SUMIFS([1]!Data_BS[Value],[1]!Data_BS[Index BS],'Dong Lam'!$B67,[1]!Data_BS[TenCongTyID],'Dong Lam'!$B$1,[1]!Data_BS[Thang.Nam],'Dong Lam'!AL$5)</f>
        <v>0</v>
      </c>
    </row>
    <row r="68" spans="1:38" ht="15" hidden="1" customHeight="1" outlineLevel="1">
      <c r="A68" s="72" t="s">
        <v>152</v>
      </c>
      <c r="B68" s="65">
        <v>63</v>
      </c>
      <c r="C68" s="233">
        <v>419846709</v>
      </c>
      <c r="D68" s="233">
        <v>408674531</v>
      </c>
      <c r="E68" s="233">
        <v>403047661</v>
      </c>
      <c r="F68" s="233">
        <v>390879241</v>
      </c>
      <c r="G68" s="233">
        <v>558203307</v>
      </c>
      <c r="H68" s="233">
        <v>598268760</v>
      </c>
      <c r="I68" s="233">
        <v>546898463</v>
      </c>
      <c r="J68" s="233">
        <v>461756176</v>
      </c>
      <c r="K68" s="233">
        <v>440940331</v>
      </c>
      <c r="L68" s="233">
        <v>412338743</v>
      </c>
      <c r="M68" s="233">
        <v>361348558</v>
      </c>
      <c r="N68" s="234">
        <v>344917157</v>
      </c>
      <c r="O68" s="234">
        <v>159999948</v>
      </c>
      <c r="P68" s="234">
        <v>0</v>
      </c>
      <c r="Q68" s="234">
        <v>0</v>
      </c>
      <c r="R68" s="234">
        <v>0</v>
      </c>
      <c r="S68" s="234">
        <v>0</v>
      </c>
      <c r="T68" s="234">
        <v>6052200</v>
      </c>
      <c r="U68" s="234">
        <v>436804422</v>
      </c>
      <c r="V68" s="234">
        <v>831804422</v>
      </c>
      <c r="W68" s="234">
        <v>831804422</v>
      </c>
      <c r="X68" s="234">
        <v>831804422</v>
      </c>
      <c r="Y68" s="234">
        <v>0</v>
      </c>
      <c r="Z68" s="234">
        <v>0</v>
      </c>
      <c r="AA68" s="234">
        <f>SUMIFS([1]!Data_BS[Value],[1]!Data_BS[Index BS],'Dong Lam'!$B68,[1]!Data_BS[TenCongTyID],'Dong Lam'!$B$1,[1]!Data_BS[Thang.Nam],'Dong Lam'!AA$5)</f>
        <v>0</v>
      </c>
      <c r="AB68" s="234">
        <f>SUMIFS([1]!Data_BS[Value],[1]!Data_BS[Index BS],'Dong Lam'!$B68,[1]!Data_BS[TenCongTyID],'Dong Lam'!$B$1,[1]!Data_BS[Thang.Nam],'Dong Lam'!AB$5)</f>
        <v>0</v>
      </c>
      <c r="AC68" s="234">
        <f>SUMIFS([1]!Data_BS[Value],[1]!Data_BS[Index BS],'Dong Lam'!$B68,[1]!Data_BS[TenCongTyID],'Dong Lam'!$B$1,[1]!Data_BS[Thang.Nam],'Dong Lam'!AC$5)</f>
        <v>0</v>
      </c>
      <c r="AD68" s="234">
        <f>SUMIFS([1]!Data_BS[Value],[1]!Data_BS[Index BS],'Dong Lam'!$B68,[1]!Data_BS[TenCongTyID],'Dong Lam'!$B$1,[1]!Data_BS[Thang.Nam],'Dong Lam'!AD$5)</f>
        <v>0</v>
      </c>
      <c r="AE68" s="234">
        <f>SUMIFS([1]!Data_BS[Value],[1]!Data_BS[Index BS],'Dong Lam'!$B68,[1]!Data_BS[TenCongTyID],'Dong Lam'!$B$1,[1]!Data_BS[Thang.Nam],'Dong Lam'!AE$5)</f>
        <v>0</v>
      </c>
      <c r="AF68" s="234">
        <f>SUMIFS([1]!Data_BS[Value],[1]!Data_BS[Index BS],'Dong Lam'!$B68,[1]!Data_BS[TenCongTyID],'Dong Lam'!$B$1,[1]!Data_BS[Thang.Nam],'Dong Lam'!AF$5)</f>
        <v>0</v>
      </c>
      <c r="AG68" s="234">
        <f>SUMIFS([1]!Data_BS[Value],[1]!Data_BS[Index BS],'Dong Lam'!$B68,[1]!Data_BS[TenCongTyID],'Dong Lam'!$B$1,[1]!Data_BS[Thang.Nam],'Dong Lam'!AG$5)</f>
        <v>0</v>
      </c>
      <c r="AH68" s="234">
        <f>SUMIFS([1]!Data_BS[Value],[1]!Data_BS[Index BS],'Dong Lam'!$B68,[1]!Data_BS[TenCongTyID],'Dong Lam'!$B$1,[1]!Data_BS[Thang.Nam],'Dong Lam'!AH$5)</f>
        <v>0</v>
      </c>
      <c r="AI68" s="234">
        <f>SUMIFS([1]!Data_BS[Value],[1]!Data_BS[Index BS],'Dong Lam'!$B68,[1]!Data_BS[TenCongTyID],'Dong Lam'!$B$1,[1]!Data_BS[Thang.Nam],'Dong Lam'!AI$5)</f>
        <v>0</v>
      </c>
      <c r="AJ68" s="234">
        <f>SUMIFS([1]!Data_BS[Value],[1]!Data_BS[Index BS],'Dong Lam'!$B68,[1]!Data_BS[TenCongTyID],'Dong Lam'!$B$1,[1]!Data_BS[Thang.Nam],'Dong Lam'!AJ$5)</f>
        <v>0</v>
      </c>
      <c r="AK68" s="234">
        <f>SUMIFS([1]!Data_BS[Value],[1]!Data_BS[Index BS],'Dong Lam'!$B68,[1]!Data_BS[TenCongTyID],'Dong Lam'!$B$1,[1]!Data_BS[Thang.Nam],'Dong Lam'!AK$5)</f>
        <v>0</v>
      </c>
      <c r="AL68" s="234">
        <f>SUMIFS([1]!Data_BS[Value],[1]!Data_BS[Index BS],'Dong Lam'!$B68,[1]!Data_BS[TenCongTyID],'Dong Lam'!$B$1,[1]!Data_BS[Thang.Nam],'Dong Lam'!AL$5)</f>
        <v>0</v>
      </c>
    </row>
    <row r="69" spans="1:38" ht="15" hidden="1" customHeight="1" outlineLevel="1">
      <c r="A69" s="62" t="s">
        <v>153</v>
      </c>
      <c r="B69" s="63">
        <v>64</v>
      </c>
      <c r="C69" s="229">
        <v>419846709</v>
      </c>
      <c r="D69" s="229">
        <v>408674531</v>
      </c>
      <c r="E69" s="229">
        <v>403047661</v>
      </c>
      <c r="F69" s="229">
        <v>390879241</v>
      </c>
      <c r="G69" s="229">
        <v>460263307</v>
      </c>
      <c r="H69" s="229">
        <v>598268760</v>
      </c>
      <c r="I69" s="229">
        <v>546898463</v>
      </c>
      <c r="J69" s="229">
        <v>461756176</v>
      </c>
      <c r="K69" s="229">
        <v>440940331</v>
      </c>
      <c r="L69" s="229">
        <v>412338743</v>
      </c>
      <c r="M69" s="229">
        <v>361348558</v>
      </c>
      <c r="N69" s="229">
        <v>344917157</v>
      </c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>
        <v>0</v>
      </c>
      <c r="AA69" s="229">
        <f>SUMIFS([1]!Data_BS[Value],[1]!Data_BS[Index BS],'Dong Lam'!$B69,[1]!Data_BS[TenCongTyID],'Dong Lam'!$B$1,[1]!Data_BS[Thang.Nam],'Dong Lam'!AA$5)</f>
        <v>0</v>
      </c>
      <c r="AB69" s="229">
        <f>SUMIFS([1]!Data_BS[Value],[1]!Data_BS[Index BS],'Dong Lam'!$B69,[1]!Data_BS[TenCongTyID],'Dong Lam'!$B$1,[1]!Data_BS[Thang.Nam],'Dong Lam'!AB$5)</f>
        <v>0</v>
      </c>
      <c r="AC69" s="229">
        <f>SUMIFS([1]!Data_BS[Value],[1]!Data_BS[Index BS],'Dong Lam'!$B69,[1]!Data_BS[TenCongTyID],'Dong Lam'!$B$1,[1]!Data_BS[Thang.Nam],'Dong Lam'!AC$5)</f>
        <v>0</v>
      </c>
      <c r="AD69" s="229">
        <f>SUMIFS([1]!Data_BS[Value],[1]!Data_BS[Index BS],'Dong Lam'!$B69,[1]!Data_BS[TenCongTyID],'Dong Lam'!$B$1,[1]!Data_BS[Thang.Nam],'Dong Lam'!AD$5)</f>
        <v>0</v>
      </c>
      <c r="AE69" s="229">
        <f>SUMIFS([1]!Data_BS[Value],[1]!Data_BS[Index BS],'Dong Lam'!$B69,[1]!Data_BS[TenCongTyID],'Dong Lam'!$B$1,[1]!Data_BS[Thang.Nam],'Dong Lam'!AE$5)</f>
        <v>0</v>
      </c>
      <c r="AF69" s="229">
        <f>SUMIFS([1]!Data_BS[Value],[1]!Data_BS[Index BS],'Dong Lam'!$B69,[1]!Data_BS[TenCongTyID],'Dong Lam'!$B$1,[1]!Data_BS[Thang.Nam],'Dong Lam'!AF$5)</f>
        <v>0</v>
      </c>
      <c r="AG69" s="229">
        <f>SUMIFS([1]!Data_BS[Value],[1]!Data_BS[Index BS],'Dong Lam'!$B69,[1]!Data_BS[TenCongTyID],'Dong Lam'!$B$1,[1]!Data_BS[Thang.Nam],'Dong Lam'!AG$5)</f>
        <v>0</v>
      </c>
      <c r="AH69" s="229">
        <f>SUMIFS([1]!Data_BS[Value],[1]!Data_BS[Index BS],'Dong Lam'!$B69,[1]!Data_BS[TenCongTyID],'Dong Lam'!$B$1,[1]!Data_BS[Thang.Nam],'Dong Lam'!AH$5)</f>
        <v>0</v>
      </c>
      <c r="AI69" s="229">
        <f>SUMIFS([1]!Data_BS[Value],[1]!Data_BS[Index BS],'Dong Lam'!$B69,[1]!Data_BS[TenCongTyID],'Dong Lam'!$B$1,[1]!Data_BS[Thang.Nam],'Dong Lam'!AI$5)</f>
        <v>0</v>
      </c>
      <c r="AJ69" s="229">
        <f>SUMIFS([1]!Data_BS[Value],[1]!Data_BS[Index BS],'Dong Lam'!$B69,[1]!Data_BS[TenCongTyID],'Dong Lam'!$B$1,[1]!Data_BS[Thang.Nam],'Dong Lam'!AJ$5)</f>
        <v>0</v>
      </c>
      <c r="AK69" s="229">
        <f>SUMIFS([1]!Data_BS[Value],[1]!Data_BS[Index BS],'Dong Lam'!$B69,[1]!Data_BS[TenCongTyID],'Dong Lam'!$B$1,[1]!Data_BS[Thang.Nam],'Dong Lam'!AK$5)</f>
        <v>0</v>
      </c>
      <c r="AL69" s="229">
        <f>SUMIFS([1]!Data_BS[Value],[1]!Data_BS[Index BS],'Dong Lam'!$B69,[1]!Data_BS[TenCongTyID],'Dong Lam'!$B$1,[1]!Data_BS[Thang.Nam],'Dong Lam'!AL$5)</f>
        <v>0</v>
      </c>
    </row>
    <row r="70" spans="1:38" ht="15" hidden="1" customHeight="1" outlineLevel="1">
      <c r="A70" s="62" t="s">
        <v>154</v>
      </c>
      <c r="B70" s="63">
        <v>65</v>
      </c>
      <c r="C70" s="229"/>
      <c r="D70" s="229"/>
      <c r="E70" s="229"/>
      <c r="F70" s="229"/>
      <c r="G70" s="229">
        <v>97940000</v>
      </c>
      <c r="H70" s="229">
        <v>0</v>
      </c>
      <c r="I70" s="229"/>
      <c r="J70" s="229"/>
      <c r="K70" s="229"/>
      <c r="L70" s="229"/>
      <c r="M70" s="229"/>
      <c r="N70" s="229"/>
      <c r="O70" s="229">
        <v>159999948</v>
      </c>
      <c r="P70" s="229"/>
      <c r="Q70" s="229"/>
      <c r="R70" s="229"/>
      <c r="S70" s="229"/>
      <c r="T70" s="229">
        <v>6052200</v>
      </c>
      <c r="U70" s="229">
        <v>436804422</v>
      </c>
      <c r="V70" s="229">
        <v>831804422</v>
      </c>
      <c r="W70" s="229">
        <v>831804422</v>
      </c>
      <c r="X70" s="229">
        <v>831804422</v>
      </c>
      <c r="Y70" s="229"/>
      <c r="Z70" s="229">
        <v>0</v>
      </c>
      <c r="AA70" s="229">
        <f>SUMIFS([1]!Data_BS[Value],[1]!Data_BS[Index BS],'Dong Lam'!$B70,[1]!Data_BS[TenCongTyID],'Dong Lam'!$B$1,[1]!Data_BS[Thang.Nam],'Dong Lam'!AA$5)</f>
        <v>0</v>
      </c>
      <c r="AB70" s="229">
        <f>SUMIFS([1]!Data_BS[Value],[1]!Data_BS[Index BS],'Dong Lam'!$B70,[1]!Data_BS[TenCongTyID],'Dong Lam'!$B$1,[1]!Data_BS[Thang.Nam],'Dong Lam'!AB$5)</f>
        <v>0</v>
      </c>
      <c r="AC70" s="229">
        <f>SUMIFS([1]!Data_BS[Value],[1]!Data_BS[Index BS],'Dong Lam'!$B70,[1]!Data_BS[TenCongTyID],'Dong Lam'!$B$1,[1]!Data_BS[Thang.Nam],'Dong Lam'!AC$5)</f>
        <v>0</v>
      </c>
      <c r="AD70" s="229">
        <f>SUMIFS([1]!Data_BS[Value],[1]!Data_BS[Index BS],'Dong Lam'!$B70,[1]!Data_BS[TenCongTyID],'Dong Lam'!$B$1,[1]!Data_BS[Thang.Nam],'Dong Lam'!AD$5)</f>
        <v>0</v>
      </c>
      <c r="AE70" s="229">
        <f>SUMIFS([1]!Data_BS[Value],[1]!Data_BS[Index BS],'Dong Lam'!$B70,[1]!Data_BS[TenCongTyID],'Dong Lam'!$B$1,[1]!Data_BS[Thang.Nam],'Dong Lam'!AE$5)</f>
        <v>0</v>
      </c>
      <c r="AF70" s="229">
        <f>SUMIFS([1]!Data_BS[Value],[1]!Data_BS[Index BS],'Dong Lam'!$B70,[1]!Data_BS[TenCongTyID],'Dong Lam'!$B$1,[1]!Data_BS[Thang.Nam],'Dong Lam'!AF$5)</f>
        <v>0</v>
      </c>
      <c r="AG70" s="229">
        <f>SUMIFS([1]!Data_BS[Value],[1]!Data_BS[Index BS],'Dong Lam'!$B70,[1]!Data_BS[TenCongTyID],'Dong Lam'!$B$1,[1]!Data_BS[Thang.Nam],'Dong Lam'!AG$5)</f>
        <v>0</v>
      </c>
      <c r="AH70" s="229">
        <f>SUMIFS([1]!Data_BS[Value],[1]!Data_BS[Index BS],'Dong Lam'!$B70,[1]!Data_BS[TenCongTyID],'Dong Lam'!$B$1,[1]!Data_BS[Thang.Nam],'Dong Lam'!AH$5)</f>
        <v>0</v>
      </c>
      <c r="AI70" s="229">
        <f>SUMIFS([1]!Data_BS[Value],[1]!Data_BS[Index BS],'Dong Lam'!$B70,[1]!Data_BS[TenCongTyID],'Dong Lam'!$B$1,[1]!Data_BS[Thang.Nam],'Dong Lam'!AI$5)</f>
        <v>0</v>
      </c>
      <c r="AJ70" s="229">
        <f>SUMIFS([1]!Data_BS[Value],[1]!Data_BS[Index BS],'Dong Lam'!$B70,[1]!Data_BS[TenCongTyID],'Dong Lam'!$B$1,[1]!Data_BS[Thang.Nam],'Dong Lam'!AJ$5)</f>
        <v>0</v>
      </c>
      <c r="AK70" s="229">
        <f>SUMIFS([1]!Data_BS[Value],[1]!Data_BS[Index BS],'Dong Lam'!$B70,[1]!Data_BS[TenCongTyID],'Dong Lam'!$B$1,[1]!Data_BS[Thang.Nam],'Dong Lam'!AK$5)</f>
        <v>0</v>
      </c>
      <c r="AL70" s="229">
        <f>SUMIFS([1]!Data_BS[Value],[1]!Data_BS[Index BS],'Dong Lam'!$B70,[1]!Data_BS[TenCongTyID],'Dong Lam'!$B$1,[1]!Data_BS[Thang.Nam],'Dong Lam'!AL$5)</f>
        <v>0</v>
      </c>
    </row>
    <row r="71" spans="1:38" ht="15" hidden="1" customHeight="1" outlineLevel="1">
      <c r="A71" s="75" t="s">
        <v>155</v>
      </c>
      <c r="B71" s="65">
        <v>66</v>
      </c>
      <c r="C71" s="233">
        <v>0</v>
      </c>
      <c r="D71" s="233">
        <v>0</v>
      </c>
      <c r="E71" s="233">
        <v>0</v>
      </c>
      <c r="F71" s="233">
        <v>0</v>
      </c>
      <c r="G71" s="233">
        <v>0</v>
      </c>
      <c r="H71" s="233">
        <v>0</v>
      </c>
      <c r="I71" s="233">
        <v>0</v>
      </c>
      <c r="J71" s="233">
        <v>0</v>
      </c>
      <c r="K71" s="233">
        <v>0</v>
      </c>
      <c r="L71" s="233">
        <v>0</v>
      </c>
      <c r="M71" s="233">
        <v>0</v>
      </c>
      <c r="N71" s="233">
        <v>0</v>
      </c>
      <c r="O71" s="233">
        <v>0</v>
      </c>
      <c r="P71" s="233">
        <v>0</v>
      </c>
      <c r="Q71" s="233">
        <v>0</v>
      </c>
      <c r="R71" s="233">
        <v>0</v>
      </c>
      <c r="S71" s="233">
        <v>0</v>
      </c>
      <c r="T71" s="233">
        <v>0</v>
      </c>
      <c r="U71" s="233">
        <v>0</v>
      </c>
      <c r="V71" s="233">
        <v>0</v>
      </c>
      <c r="W71" s="233"/>
      <c r="X71" s="233">
        <v>0</v>
      </c>
      <c r="Y71" s="233">
        <v>0</v>
      </c>
      <c r="Z71" s="233">
        <v>0</v>
      </c>
      <c r="AA71" s="233">
        <f>SUMIFS([1]!Data_BS[Value],[1]!Data_BS[Index BS],'Dong Lam'!$B71,[1]!Data_BS[TenCongTyID],'Dong Lam'!$B$1,[1]!Data_BS[Thang.Nam],'Dong Lam'!AA$5)</f>
        <v>0</v>
      </c>
      <c r="AB71" s="233">
        <f>SUMIFS([1]!Data_BS[Value],[1]!Data_BS[Index BS],'Dong Lam'!$B71,[1]!Data_BS[TenCongTyID],'Dong Lam'!$B$1,[1]!Data_BS[Thang.Nam],'Dong Lam'!AB$5)</f>
        <v>0</v>
      </c>
      <c r="AC71" s="233">
        <f>SUMIFS([1]!Data_BS[Value],[1]!Data_BS[Index BS],'Dong Lam'!$B71,[1]!Data_BS[TenCongTyID],'Dong Lam'!$B$1,[1]!Data_BS[Thang.Nam],'Dong Lam'!AC$5)</f>
        <v>0</v>
      </c>
      <c r="AD71" s="233">
        <f>SUMIFS([1]!Data_BS[Value],[1]!Data_BS[Index BS],'Dong Lam'!$B71,[1]!Data_BS[TenCongTyID],'Dong Lam'!$B$1,[1]!Data_BS[Thang.Nam],'Dong Lam'!AD$5)</f>
        <v>0</v>
      </c>
      <c r="AE71" s="233">
        <f>SUMIFS([1]!Data_BS[Value],[1]!Data_BS[Index BS],'Dong Lam'!$B71,[1]!Data_BS[TenCongTyID],'Dong Lam'!$B$1,[1]!Data_BS[Thang.Nam],'Dong Lam'!AE$5)</f>
        <v>0</v>
      </c>
      <c r="AF71" s="233">
        <f>SUMIFS([1]!Data_BS[Value],[1]!Data_BS[Index BS],'Dong Lam'!$B71,[1]!Data_BS[TenCongTyID],'Dong Lam'!$B$1,[1]!Data_BS[Thang.Nam],'Dong Lam'!AF$5)</f>
        <v>0</v>
      </c>
      <c r="AG71" s="233">
        <f>SUMIFS([1]!Data_BS[Value],[1]!Data_BS[Index BS],'Dong Lam'!$B71,[1]!Data_BS[TenCongTyID],'Dong Lam'!$B$1,[1]!Data_BS[Thang.Nam],'Dong Lam'!AG$5)</f>
        <v>0</v>
      </c>
      <c r="AH71" s="233">
        <f>SUMIFS([1]!Data_BS[Value],[1]!Data_BS[Index BS],'Dong Lam'!$B71,[1]!Data_BS[TenCongTyID],'Dong Lam'!$B$1,[1]!Data_BS[Thang.Nam],'Dong Lam'!AH$5)</f>
        <v>0</v>
      </c>
      <c r="AI71" s="233">
        <f>SUMIFS([1]!Data_BS[Value],[1]!Data_BS[Index BS],'Dong Lam'!$B71,[1]!Data_BS[TenCongTyID],'Dong Lam'!$B$1,[1]!Data_BS[Thang.Nam],'Dong Lam'!AI$5)</f>
        <v>0</v>
      </c>
      <c r="AJ71" s="233">
        <f>SUMIFS([1]!Data_BS[Value],[1]!Data_BS[Index BS],'Dong Lam'!$B71,[1]!Data_BS[TenCongTyID],'Dong Lam'!$B$1,[1]!Data_BS[Thang.Nam],'Dong Lam'!AJ$5)</f>
        <v>0</v>
      </c>
      <c r="AK71" s="233">
        <f>SUMIFS([1]!Data_BS[Value],[1]!Data_BS[Index BS],'Dong Lam'!$B71,[1]!Data_BS[TenCongTyID],'Dong Lam'!$B$1,[1]!Data_BS[Thang.Nam],'Dong Lam'!AK$5)</f>
        <v>0</v>
      </c>
      <c r="AL71" s="233">
        <f>SUMIFS([1]!Data_BS[Value],[1]!Data_BS[Index BS],'Dong Lam'!$B71,[1]!Data_BS[TenCongTyID],'Dong Lam'!$B$1,[1]!Data_BS[Thang.Nam],'Dong Lam'!AL$5)</f>
        <v>0</v>
      </c>
    </row>
    <row r="72" spans="1:38" ht="15" hidden="1" customHeight="1" outlineLevel="1">
      <c r="A72" s="62" t="s">
        <v>156</v>
      </c>
      <c r="B72" s="63">
        <v>67</v>
      </c>
      <c r="C72" s="229">
        <v>0</v>
      </c>
      <c r="D72" s="229">
        <v>0</v>
      </c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>
        <v>0</v>
      </c>
      <c r="P72" s="229">
        <v>0</v>
      </c>
      <c r="Q72" s="229"/>
      <c r="R72" s="229"/>
      <c r="S72" s="229"/>
      <c r="T72" s="229"/>
      <c r="U72" s="229"/>
      <c r="V72" s="229"/>
      <c r="W72" s="229"/>
      <c r="X72" s="229"/>
      <c r="Y72" s="229"/>
      <c r="Z72" s="229">
        <v>0</v>
      </c>
      <c r="AA72" s="229">
        <f>SUMIFS([1]!Data_BS[Value],[1]!Data_BS[Index BS],'Dong Lam'!$B72,[1]!Data_BS[TenCongTyID],'Dong Lam'!$B$1,[1]!Data_BS[Thang.Nam],'Dong Lam'!AA$5)</f>
        <v>0</v>
      </c>
      <c r="AB72" s="229">
        <f>SUMIFS([1]!Data_BS[Value],[1]!Data_BS[Index BS],'Dong Lam'!$B72,[1]!Data_BS[TenCongTyID],'Dong Lam'!$B$1,[1]!Data_BS[Thang.Nam],'Dong Lam'!AB$5)</f>
        <v>0</v>
      </c>
      <c r="AC72" s="229">
        <f>SUMIFS([1]!Data_BS[Value],[1]!Data_BS[Index BS],'Dong Lam'!$B72,[1]!Data_BS[TenCongTyID],'Dong Lam'!$B$1,[1]!Data_BS[Thang.Nam],'Dong Lam'!AC$5)</f>
        <v>0</v>
      </c>
      <c r="AD72" s="229">
        <f>SUMIFS([1]!Data_BS[Value],[1]!Data_BS[Index BS],'Dong Lam'!$B72,[1]!Data_BS[TenCongTyID],'Dong Lam'!$B$1,[1]!Data_BS[Thang.Nam],'Dong Lam'!AD$5)</f>
        <v>0</v>
      </c>
      <c r="AE72" s="229">
        <f>SUMIFS([1]!Data_BS[Value],[1]!Data_BS[Index BS],'Dong Lam'!$B72,[1]!Data_BS[TenCongTyID],'Dong Lam'!$B$1,[1]!Data_BS[Thang.Nam],'Dong Lam'!AE$5)</f>
        <v>0</v>
      </c>
      <c r="AF72" s="229">
        <f>SUMIFS([1]!Data_BS[Value],[1]!Data_BS[Index BS],'Dong Lam'!$B72,[1]!Data_BS[TenCongTyID],'Dong Lam'!$B$1,[1]!Data_BS[Thang.Nam],'Dong Lam'!AF$5)</f>
        <v>0</v>
      </c>
      <c r="AG72" s="229">
        <f>SUMIFS([1]!Data_BS[Value],[1]!Data_BS[Index BS],'Dong Lam'!$B72,[1]!Data_BS[TenCongTyID],'Dong Lam'!$B$1,[1]!Data_BS[Thang.Nam],'Dong Lam'!AG$5)</f>
        <v>0</v>
      </c>
      <c r="AH72" s="229">
        <f>SUMIFS([1]!Data_BS[Value],[1]!Data_BS[Index BS],'Dong Lam'!$B72,[1]!Data_BS[TenCongTyID],'Dong Lam'!$B$1,[1]!Data_BS[Thang.Nam],'Dong Lam'!AH$5)</f>
        <v>0</v>
      </c>
      <c r="AI72" s="229">
        <f>SUMIFS([1]!Data_BS[Value],[1]!Data_BS[Index BS],'Dong Lam'!$B72,[1]!Data_BS[TenCongTyID],'Dong Lam'!$B$1,[1]!Data_BS[Thang.Nam],'Dong Lam'!AI$5)</f>
        <v>0</v>
      </c>
      <c r="AJ72" s="229">
        <f>SUMIFS([1]!Data_BS[Value],[1]!Data_BS[Index BS],'Dong Lam'!$B72,[1]!Data_BS[TenCongTyID],'Dong Lam'!$B$1,[1]!Data_BS[Thang.Nam],'Dong Lam'!AJ$5)</f>
        <v>0</v>
      </c>
      <c r="AK72" s="229">
        <f>SUMIFS([1]!Data_BS[Value],[1]!Data_BS[Index BS],'Dong Lam'!$B72,[1]!Data_BS[TenCongTyID],'Dong Lam'!$B$1,[1]!Data_BS[Thang.Nam],'Dong Lam'!AK$5)</f>
        <v>0</v>
      </c>
      <c r="AL72" s="229">
        <f>SUMIFS([1]!Data_BS[Value],[1]!Data_BS[Index BS],'Dong Lam'!$B72,[1]!Data_BS[TenCongTyID],'Dong Lam'!$B$1,[1]!Data_BS[Thang.Nam],'Dong Lam'!AL$5)</f>
        <v>0</v>
      </c>
    </row>
    <row r="73" spans="1:38" ht="15" hidden="1" customHeight="1" outlineLevel="1">
      <c r="A73" s="62" t="s">
        <v>157</v>
      </c>
      <c r="B73" s="63">
        <v>68</v>
      </c>
      <c r="C73" s="229">
        <v>0</v>
      </c>
      <c r="D73" s="229">
        <v>0</v>
      </c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>
        <v>0</v>
      </c>
      <c r="P73" s="229">
        <v>0</v>
      </c>
      <c r="Q73" s="229"/>
      <c r="R73" s="229"/>
      <c r="S73" s="229"/>
      <c r="T73" s="229"/>
      <c r="U73" s="229"/>
      <c r="V73" s="229"/>
      <c r="W73" s="229"/>
      <c r="X73" s="229"/>
      <c r="Y73" s="229"/>
      <c r="Z73" s="229">
        <v>0</v>
      </c>
      <c r="AA73" s="229">
        <f>SUMIFS([1]!Data_BS[Value],[1]!Data_BS[Index BS],'Dong Lam'!$B73,[1]!Data_BS[TenCongTyID],'Dong Lam'!$B$1,[1]!Data_BS[Thang.Nam],'Dong Lam'!AA$5)</f>
        <v>0</v>
      </c>
      <c r="AB73" s="229">
        <f>SUMIFS([1]!Data_BS[Value],[1]!Data_BS[Index BS],'Dong Lam'!$B73,[1]!Data_BS[TenCongTyID],'Dong Lam'!$B$1,[1]!Data_BS[Thang.Nam],'Dong Lam'!AB$5)</f>
        <v>0</v>
      </c>
      <c r="AC73" s="229">
        <f>SUMIFS([1]!Data_BS[Value],[1]!Data_BS[Index BS],'Dong Lam'!$B73,[1]!Data_BS[TenCongTyID],'Dong Lam'!$B$1,[1]!Data_BS[Thang.Nam],'Dong Lam'!AC$5)</f>
        <v>0</v>
      </c>
      <c r="AD73" s="229">
        <f>SUMIFS([1]!Data_BS[Value],[1]!Data_BS[Index BS],'Dong Lam'!$B73,[1]!Data_BS[TenCongTyID],'Dong Lam'!$B$1,[1]!Data_BS[Thang.Nam],'Dong Lam'!AD$5)</f>
        <v>0</v>
      </c>
      <c r="AE73" s="229">
        <f>SUMIFS([1]!Data_BS[Value],[1]!Data_BS[Index BS],'Dong Lam'!$B73,[1]!Data_BS[TenCongTyID],'Dong Lam'!$B$1,[1]!Data_BS[Thang.Nam],'Dong Lam'!AE$5)</f>
        <v>0</v>
      </c>
      <c r="AF73" s="229">
        <f>SUMIFS([1]!Data_BS[Value],[1]!Data_BS[Index BS],'Dong Lam'!$B73,[1]!Data_BS[TenCongTyID],'Dong Lam'!$B$1,[1]!Data_BS[Thang.Nam],'Dong Lam'!AF$5)</f>
        <v>0</v>
      </c>
      <c r="AG73" s="229">
        <f>SUMIFS([1]!Data_BS[Value],[1]!Data_BS[Index BS],'Dong Lam'!$B73,[1]!Data_BS[TenCongTyID],'Dong Lam'!$B$1,[1]!Data_BS[Thang.Nam],'Dong Lam'!AG$5)</f>
        <v>0</v>
      </c>
      <c r="AH73" s="229">
        <f>SUMIFS([1]!Data_BS[Value],[1]!Data_BS[Index BS],'Dong Lam'!$B73,[1]!Data_BS[TenCongTyID],'Dong Lam'!$B$1,[1]!Data_BS[Thang.Nam],'Dong Lam'!AH$5)</f>
        <v>0</v>
      </c>
      <c r="AI73" s="229">
        <f>SUMIFS([1]!Data_BS[Value],[1]!Data_BS[Index BS],'Dong Lam'!$B73,[1]!Data_BS[TenCongTyID],'Dong Lam'!$B$1,[1]!Data_BS[Thang.Nam],'Dong Lam'!AI$5)</f>
        <v>0</v>
      </c>
      <c r="AJ73" s="229">
        <f>SUMIFS([1]!Data_BS[Value],[1]!Data_BS[Index BS],'Dong Lam'!$B73,[1]!Data_BS[TenCongTyID],'Dong Lam'!$B$1,[1]!Data_BS[Thang.Nam],'Dong Lam'!AJ$5)</f>
        <v>0</v>
      </c>
      <c r="AK73" s="229">
        <f>SUMIFS([1]!Data_BS[Value],[1]!Data_BS[Index BS],'Dong Lam'!$B73,[1]!Data_BS[TenCongTyID],'Dong Lam'!$B$1,[1]!Data_BS[Thang.Nam],'Dong Lam'!AK$5)</f>
        <v>0</v>
      </c>
      <c r="AL73" s="229">
        <f>SUMIFS([1]!Data_BS[Value],[1]!Data_BS[Index BS],'Dong Lam'!$B73,[1]!Data_BS[TenCongTyID],'Dong Lam'!$B$1,[1]!Data_BS[Thang.Nam],'Dong Lam'!AL$5)</f>
        <v>0</v>
      </c>
    </row>
    <row r="74" spans="1:38" ht="15" hidden="1" customHeight="1" outlineLevel="1">
      <c r="A74" s="62" t="s">
        <v>158</v>
      </c>
      <c r="B74" s="63">
        <v>69</v>
      </c>
      <c r="C74" s="229">
        <v>0</v>
      </c>
      <c r="D74" s="229">
        <v>0</v>
      </c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>
        <v>0</v>
      </c>
      <c r="P74" s="229">
        <v>0</v>
      </c>
      <c r="Q74" s="229"/>
      <c r="R74" s="229"/>
      <c r="S74" s="229"/>
      <c r="T74" s="229"/>
      <c r="U74" s="229"/>
      <c r="V74" s="229"/>
      <c r="W74" s="229"/>
      <c r="X74" s="229"/>
      <c r="Y74" s="229"/>
      <c r="Z74" s="229">
        <v>0</v>
      </c>
      <c r="AA74" s="229">
        <f>SUMIFS([1]!Data_BS[Value],[1]!Data_BS[Index BS],'Dong Lam'!$B74,[1]!Data_BS[TenCongTyID],'Dong Lam'!$B$1,[1]!Data_BS[Thang.Nam],'Dong Lam'!AA$5)</f>
        <v>0</v>
      </c>
      <c r="AB74" s="229">
        <f>SUMIFS([1]!Data_BS[Value],[1]!Data_BS[Index BS],'Dong Lam'!$B74,[1]!Data_BS[TenCongTyID],'Dong Lam'!$B$1,[1]!Data_BS[Thang.Nam],'Dong Lam'!AB$5)</f>
        <v>0</v>
      </c>
      <c r="AC74" s="229">
        <f>SUMIFS([1]!Data_BS[Value],[1]!Data_BS[Index BS],'Dong Lam'!$B74,[1]!Data_BS[TenCongTyID],'Dong Lam'!$B$1,[1]!Data_BS[Thang.Nam],'Dong Lam'!AC$5)</f>
        <v>0</v>
      </c>
      <c r="AD74" s="229">
        <f>SUMIFS([1]!Data_BS[Value],[1]!Data_BS[Index BS],'Dong Lam'!$B74,[1]!Data_BS[TenCongTyID],'Dong Lam'!$B$1,[1]!Data_BS[Thang.Nam],'Dong Lam'!AD$5)</f>
        <v>0</v>
      </c>
      <c r="AE74" s="229">
        <f>SUMIFS([1]!Data_BS[Value],[1]!Data_BS[Index BS],'Dong Lam'!$B74,[1]!Data_BS[TenCongTyID],'Dong Lam'!$B$1,[1]!Data_BS[Thang.Nam],'Dong Lam'!AE$5)</f>
        <v>0</v>
      </c>
      <c r="AF74" s="229">
        <f>SUMIFS([1]!Data_BS[Value],[1]!Data_BS[Index BS],'Dong Lam'!$B74,[1]!Data_BS[TenCongTyID],'Dong Lam'!$B$1,[1]!Data_BS[Thang.Nam],'Dong Lam'!AF$5)</f>
        <v>0</v>
      </c>
      <c r="AG74" s="229">
        <f>SUMIFS([1]!Data_BS[Value],[1]!Data_BS[Index BS],'Dong Lam'!$B74,[1]!Data_BS[TenCongTyID],'Dong Lam'!$B$1,[1]!Data_BS[Thang.Nam],'Dong Lam'!AG$5)</f>
        <v>0</v>
      </c>
      <c r="AH74" s="229">
        <f>SUMIFS([1]!Data_BS[Value],[1]!Data_BS[Index BS],'Dong Lam'!$B74,[1]!Data_BS[TenCongTyID],'Dong Lam'!$B$1,[1]!Data_BS[Thang.Nam],'Dong Lam'!AH$5)</f>
        <v>0</v>
      </c>
      <c r="AI74" s="229">
        <f>SUMIFS([1]!Data_BS[Value],[1]!Data_BS[Index BS],'Dong Lam'!$B74,[1]!Data_BS[TenCongTyID],'Dong Lam'!$B$1,[1]!Data_BS[Thang.Nam],'Dong Lam'!AI$5)</f>
        <v>0</v>
      </c>
      <c r="AJ74" s="229">
        <f>SUMIFS([1]!Data_BS[Value],[1]!Data_BS[Index BS],'Dong Lam'!$B74,[1]!Data_BS[TenCongTyID],'Dong Lam'!$B$1,[1]!Data_BS[Thang.Nam],'Dong Lam'!AJ$5)</f>
        <v>0</v>
      </c>
      <c r="AK74" s="229">
        <f>SUMIFS([1]!Data_BS[Value],[1]!Data_BS[Index BS],'Dong Lam'!$B74,[1]!Data_BS[TenCongTyID],'Dong Lam'!$B$1,[1]!Data_BS[Thang.Nam],'Dong Lam'!AK$5)</f>
        <v>0</v>
      </c>
      <c r="AL74" s="229">
        <f>SUMIFS([1]!Data_BS[Value],[1]!Data_BS[Index BS],'Dong Lam'!$B74,[1]!Data_BS[TenCongTyID],'Dong Lam'!$B$1,[1]!Data_BS[Thang.Nam],'Dong Lam'!AL$5)</f>
        <v>0</v>
      </c>
    </row>
    <row r="75" spans="1:38" ht="15" hidden="1" customHeight="1" outlineLevel="1">
      <c r="A75" s="62" t="s">
        <v>159</v>
      </c>
      <c r="B75" s="63">
        <v>70</v>
      </c>
      <c r="C75" s="229">
        <v>0</v>
      </c>
      <c r="D75" s="229">
        <v>0</v>
      </c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>
        <v>0</v>
      </c>
      <c r="P75" s="229">
        <v>0</v>
      </c>
      <c r="Q75" s="229"/>
      <c r="R75" s="229"/>
      <c r="S75" s="229"/>
      <c r="T75" s="229"/>
      <c r="U75" s="229"/>
      <c r="V75" s="229"/>
      <c r="W75" s="229"/>
      <c r="X75" s="229"/>
      <c r="Y75" s="229"/>
      <c r="Z75" s="229">
        <v>0</v>
      </c>
      <c r="AA75" s="229">
        <f>SUMIFS([1]!Data_BS[Value],[1]!Data_BS[Index BS],'Dong Lam'!$B75,[1]!Data_BS[TenCongTyID],'Dong Lam'!$B$1,[1]!Data_BS[Thang.Nam],'Dong Lam'!AA$5)</f>
        <v>0</v>
      </c>
      <c r="AB75" s="229">
        <f>SUMIFS([1]!Data_BS[Value],[1]!Data_BS[Index BS],'Dong Lam'!$B75,[1]!Data_BS[TenCongTyID],'Dong Lam'!$B$1,[1]!Data_BS[Thang.Nam],'Dong Lam'!AB$5)</f>
        <v>0</v>
      </c>
      <c r="AC75" s="229">
        <f>SUMIFS([1]!Data_BS[Value],[1]!Data_BS[Index BS],'Dong Lam'!$B75,[1]!Data_BS[TenCongTyID],'Dong Lam'!$B$1,[1]!Data_BS[Thang.Nam],'Dong Lam'!AC$5)</f>
        <v>0</v>
      </c>
      <c r="AD75" s="229">
        <f>SUMIFS([1]!Data_BS[Value],[1]!Data_BS[Index BS],'Dong Lam'!$B75,[1]!Data_BS[TenCongTyID],'Dong Lam'!$B$1,[1]!Data_BS[Thang.Nam],'Dong Lam'!AD$5)</f>
        <v>0</v>
      </c>
      <c r="AE75" s="229">
        <f>SUMIFS([1]!Data_BS[Value],[1]!Data_BS[Index BS],'Dong Lam'!$B75,[1]!Data_BS[TenCongTyID],'Dong Lam'!$B$1,[1]!Data_BS[Thang.Nam],'Dong Lam'!AE$5)</f>
        <v>0</v>
      </c>
      <c r="AF75" s="229">
        <f>SUMIFS([1]!Data_BS[Value],[1]!Data_BS[Index BS],'Dong Lam'!$B75,[1]!Data_BS[TenCongTyID],'Dong Lam'!$B$1,[1]!Data_BS[Thang.Nam],'Dong Lam'!AF$5)</f>
        <v>0</v>
      </c>
      <c r="AG75" s="229">
        <f>SUMIFS([1]!Data_BS[Value],[1]!Data_BS[Index BS],'Dong Lam'!$B75,[1]!Data_BS[TenCongTyID],'Dong Lam'!$B$1,[1]!Data_BS[Thang.Nam],'Dong Lam'!AG$5)</f>
        <v>0</v>
      </c>
      <c r="AH75" s="229">
        <f>SUMIFS([1]!Data_BS[Value],[1]!Data_BS[Index BS],'Dong Lam'!$B75,[1]!Data_BS[TenCongTyID],'Dong Lam'!$B$1,[1]!Data_BS[Thang.Nam],'Dong Lam'!AH$5)</f>
        <v>0</v>
      </c>
      <c r="AI75" s="229">
        <f>SUMIFS([1]!Data_BS[Value],[1]!Data_BS[Index BS],'Dong Lam'!$B75,[1]!Data_BS[TenCongTyID],'Dong Lam'!$B$1,[1]!Data_BS[Thang.Nam],'Dong Lam'!AI$5)</f>
        <v>0</v>
      </c>
      <c r="AJ75" s="229">
        <f>SUMIFS([1]!Data_BS[Value],[1]!Data_BS[Index BS],'Dong Lam'!$B75,[1]!Data_BS[TenCongTyID],'Dong Lam'!$B$1,[1]!Data_BS[Thang.Nam],'Dong Lam'!AJ$5)</f>
        <v>0</v>
      </c>
      <c r="AK75" s="229">
        <f>SUMIFS([1]!Data_BS[Value],[1]!Data_BS[Index BS],'Dong Lam'!$B75,[1]!Data_BS[TenCongTyID],'Dong Lam'!$B$1,[1]!Data_BS[Thang.Nam],'Dong Lam'!AK$5)</f>
        <v>0</v>
      </c>
      <c r="AL75" s="229">
        <f>SUMIFS([1]!Data_BS[Value],[1]!Data_BS[Index BS],'Dong Lam'!$B75,[1]!Data_BS[TenCongTyID],'Dong Lam'!$B$1,[1]!Data_BS[Thang.Nam],'Dong Lam'!AL$5)</f>
        <v>0</v>
      </c>
    </row>
    <row r="76" spans="1:38" ht="15" hidden="1" customHeight="1" outlineLevel="1">
      <c r="A76" s="66" t="s">
        <v>160</v>
      </c>
      <c r="B76" s="63">
        <v>71</v>
      </c>
      <c r="C76" s="229">
        <v>0</v>
      </c>
      <c r="D76" s="229">
        <v>0</v>
      </c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>
        <v>0</v>
      </c>
      <c r="P76" s="229">
        <v>0</v>
      </c>
      <c r="Q76" s="229"/>
      <c r="R76" s="229"/>
      <c r="S76" s="229"/>
      <c r="T76" s="229"/>
      <c r="U76" s="229"/>
      <c r="V76" s="229"/>
      <c r="W76" s="229"/>
      <c r="X76" s="229"/>
      <c r="Y76" s="229"/>
      <c r="Z76" s="229">
        <v>0</v>
      </c>
      <c r="AA76" s="229">
        <f>SUMIFS([1]!Data_BS[Value],[1]!Data_BS[Index BS],'Dong Lam'!$B76,[1]!Data_BS[TenCongTyID],'Dong Lam'!$B$1,[1]!Data_BS[Thang.Nam],'Dong Lam'!AA$5)</f>
        <v>0</v>
      </c>
      <c r="AB76" s="229">
        <f>SUMIFS([1]!Data_BS[Value],[1]!Data_BS[Index BS],'Dong Lam'!$B76,[1]!Data_BS[TenCongTyID],'Dong Lam'!$B$1,[1]!Data_BS[Thang.Nam],'Dong Lam'!AB$5)</f>
        <v>0</v>
      </c>
      <c r="AC76" s="229">
        <f>SUMIFS([1]!Data_BS[Value],[1]!Data_BS[Index BS],'Dong Lam'!$B76,[1]!Data_BS[TenCongTyID],'Dong Lam'!$B$1,[1]!Data_BS[Thang.Nam],'Dong Lam'!AC$5)</f>
        <v>0</v>
      </c>
      <c r="AD76" s="229">
        <f>SUMIFS([1]!Data_BS[Value],[1]!Data_BS[Index BS],'Dong Lam'!$B76,[1]!Data_BS[TenCongTyID],'Dong Lam'!$B$1,[1]!Data_BS[Thang.Nam],'Dong Lam'!AD$5)</f>
        <v>0</v>
      </c>
      <c r="AE76" s="229">
        <f>SUMIFS([1]!Data_BS[Value],[1]!Data_BS[Index BS],'Dong Lam'!$B76,[1]!Data_BS[TenCongTyID],'Dong Lam'!$B$1,[1]!Data_BS[Thang.Nam],'Dong Lam'!AE$5)</f>
        <v>0</v>
      </c>
      <c r="AF76" s="229">
        <f>SUMIFS([1]!Data_BS[Value],[1]!Data_BS[Index BS],'Dong Lam'!$B76,[1]!Data_BS[TenCongTyID],'Dong Lam'!$B$1,[1]!Data_BS[Thang.Nam],'Dong Lam'!AF$5)</f>
        <v>0</v>
      </c>
      <c r="AG76" s="229">
        <f>SUMIFS([1]!Data_BS[Value],[1]!Data_BS[Index BS],'Dong Lam'!$B76,[1]!Data_BS[TenCongTyID],'Dong Lam'!$B$1,[1]!Data_BS[Thang.Nam],'Dong Lam'!AG$5)</f>
        <v>0</v>
      </c>
      <c r="AH76" s="229">
        <f>SUMIFS([1]!Data_BS[Value],[1]!Data_BS[Index BS],'Dong Lam'!$B76,[1]!Data_BS[TenCongTyID],'Dong Lam'!$B$1,[1]!Data_BS[Thang.Nam],'Dong Lam'!AH$5)</f>
        <v>0</v>
      </c>
      <c r="AI76" s="229">
        <f>SUMIFS([1]!Data_BS[Value],[1]!Data_BS[Index BS],'Dong Lam'!$B76,[1]!Data_BS[TenCongTyID],'Dong Lam'!$B$1,[1]!Data_BS[Thang.Nam],'Dong Lam'!AI$5)</f>
        <v>0</v>
      </c>
      <c r="AJ76" s="229">
        <f>SUMIFS([1]!Data_BS[Value],[1]!Data_BS[Index BS],'Dong Lam'!$B76,[1]!Data_BS[TenCongTyID],'Dong Lam'!$B$1,[1]!Data_BS[Thang.Nam],'Dong Lam'!AJ$5)</f>
        <v>0</v>
      </c>
      <c r="AK76" s="229">
        <f>SUMIFS([1]!Data_BS[Value],[1]!Data_BS[Index BS],'Dong Lam'!$B76,[1]!Data_BS[TenCongTyID],'Dong Lam'!$B$1,[1]!Data_BS[Thang.Nam],'Dong Lam'!AK$5)</f>
        <v>0</v>
      </c>
      <c r="AL76" s="229">
        <f>SUMIFS([1]!Data_BS[Value],[1]!Data_BS[Index BS],'Dong Lam'!$B76,[1]!Data_BS[TenCongTyID],'Dong Lam'!$B$1,[1]!Data_BS[Thang.Nam],'Dong Lam'!AL$5)</f>
        <v>0</v>
      </c>
    </row>
    <row r="77" spans="1:38" ht="15" hidden="1" customHeight="1" outlineLevel="1">
      <c r="A77" s="66" t="s">
        <v>161</v>
      </c>
      <c r="B77" s="63">
        <v>72</v>
      </c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>
        <v>0</v>
      </c>
      <c r="AA77" s="229">
        <f>SUMIFS([1]!Data_BS[Value],[1]!Data_BS[Index BS],'Dong Lam'!$B77,[1]!Data_BS[TenCongTyID],'Dong Lam'!$B$1,[1]!Data_BS[Thang.Nam],'Dong Lam'!AA$5)</f>
        <v>0</v>
      </c>
      <c r="AB77" s="229">
        <f>SUMIFS([1]!Data_BS[Value],[1]!Data_BS[Index BS],'Dong Lam'!$B77,[1]!Data_BS[TenCongTyID],'Dong Lam'!$B$1,[1]!Data_BS[Thang.Nam],'Dong Lam'!AB$5)</f>
        <v>0</v>
      </c>
      <c r="AC77" s="229">
        <f>SUMIFS([1]!Data_BS[Value],[1]!Data_BS[Index BS],'Dong Lam'!$B77,[1]!Data_BS[TenCongTyID],'Dong Lam'!$B$1,[1]!Data_BS[Thang.Nam],'Dong Lam'!AC$5)</f>
        <v>0</v>
      </c>
      <c r="AD77" s="229">
        <f>SUMIFS([1]!Data_BS[Value],[1]!Data_BS[Index BS],'Dong Lam'!$B77,[1]!Data_BS[TenCongTyID],'Dong Lam'!$B$1,[1]!Data_BS[Thang.Nam],'Dong Lam'!AD$5)</f>
        <v>0</v>
      </c>
      <c r="AE77" s="229">
        <f>SUMIFS([1]!Data_BS[Value],[1]!Data_BS[Index BS],'Dong Lam'!$B77,[1]!Data_BS[TenCongTyID],'Dong Lam'!$B$1,[1]!Data_BS[Thang.Nam],'Dong Lam'!AE$5)</f>
        <v>0</v>
      </c>
      <c r="AF77" s="229">
        <f>SUMIFS([1]!Data_BS[Value],[1]!Data_BS[Index BS],'Dong Lam'!$B77,[1]!Data_BS[TenCongTyID],'Dong Lam'!$B$1,[1]!Data_BS[Thang.Nam],'Dong Lam'!AF$5)</f>
        <v>0</v>
      </c>
      <c r="AG77" s="229">
        <f>SUMIFS([1]!Data_BS[Value],[1]!Data_BS[Index BS],'Dong Lam'!$B77,[1]!Data_BS[TenCongTyID],'Dong Lam'!$B$1,[1]!Data_BS[Thang.Nam],'Dong Lam'!AG$5)</f>
        <v>0</v>
      </c>
      <c r="AH77" s="229">
        <f>SUMIFS([1]!Data_BS[Value],[1]!Data_BS[Index BS],'Dong Lam'!$B77,[1]!Data_BS[TenCongTyID],'Dong Lam'!$B$1,[1]!Data_BS[Thang.Nam],'Dong Lam'!AH$5)</f>
        <v>0</v>
      </c>
      <c r="AI77" s="229">
        <f>SUMIFS([1]!Data_BS[Value],[1]!Data_BS[Index BS],'Dong Lam'!$B77,[1]!Data_BS[TenCongTyID],'Dong Lam'!$B$1,[1]!Data_BS[Thang.Nam],'Dong Lam'!AI$5)</f>
        <v>0</v>
      </c>
      <c r="AJ77" s="229">
        <f>SUMIFS([1]!Data_BS[Value],[1]!Data_BS[Index BS],'Dong Lam'!$B77,[1]!Data_BS[TenCongTyID],'Dong Lam'!$B$1,[1]!Data_BS[Thang.Nam],'Dong Lam'!AJ$5)</f>
        <v>0</v>
      </c>
      <c r="AK77" s="229">
        <f>SUMIFS([1]!Data_BS[Value],[1]!Data_BS[Index BS],'Dong Lam'!$B77,[1]!Data_BS[TenCongTyID],'Dong Lam'!$B$1,[1]!Data_BS[Thang.Nam],'Dong Lam'!AK$5)</f>
        <v>0</v>
      </c>
      <c r="AL77" s="229">
        <f>SUMIFS([1]!Data_BS[Value],[1]!Data_BS[Index BS],'Dong Lam'!$B77,[1]!Data_BS[TenCongTyID],'Dong Lam'!$B$1,[1]!Data_BS[Thang.Nam],'Dong Lam'!AL$5)</f>
        <v>0</v>
      </c>
    </row>
    <row r="78" spans="1:38" s="78" customFormat="1" ht="15" hidden="1" customHeight="1" outlineLevel="1">
      <c r="A78" s="76" t="s">
        <v>162</v>
      </c>
      <c r="B78" s="65">
        <v>73</v>
      </c>
      <c r="C78" s="233">
        <v>0</v>
      </c>
      <c r="D78" s="233">
        <v>0</v>
      </c>
      <c r="E78" s="233">
        <v>0</v>
      </c>
      <c r="F78" s="233">
        <v>0</v>
      </c>
      <c r="G78" s="233">
        <v>0</v>
      </c>
      <c r="H78" s="233">
        <v>0</v>
      </c>
      <c r="I78" s="233">
        <v>0</v>
      </c>
      <c r="J78" s="233">
        <v>0</v>
      </c>
      <c r="K78" s="233">
        <v>0</v>
      </c>
      <c r="L78" s="233">
        <v>0</v>
      </c>
      <c r="M78" s="233">
        <v>0</v>
      </c>
      <c r="N78" s="234">
        <v>0</v>
      </c>
      <c r="O78" s="234">
        <v>334394823</v>
      </c>
      <c r="P78" s="234">
        <v>301457241</v>
      </c>
      <c r="Q78" s="234">
        <v>537824186</v>
      </c>
      <c r="R78" s="234">
        <v>474535147</v>
      </c>
      <c r="S78" s="234">
        <v>944505278</v>
      </c>
      <c r="T78" s="234">
        <v>938902004</v>
      </c>
      <c r="U78" s="234">
        <v>884220149</v>
      </c>
      <c r="V78" s="234">
        <v>861263784</v>
      </c>
      <c r="W78" s="234">
        <v>787729718</v>
      </c>
      <c r="X78" s="234">
        <v>790175426</v>
      </c>
      <c r="Y78" s="234">
        <v>717724505</v>
      </c>
      <c r="Z78" s="234">
        <v>720131084</v>
      </c>
      <c r="AA78" s="234">
        <f>SUMIFS([1]!Data_BS[Value],[1]!Data_BS[Index BS],'Dong Lam'!$B78,[1]!Data_BS[TenCongTyID],'Dong Lam'!$B$1,[1]!Data_BS[Thang.Nam],'Dong Lam'!AA$5)</f>
        <v>0</v>
      </c>
      <c r="AB78" s="234">
        <f>SUMIFS([1]!Data_BS[Value],[1]!Data_BS[Index BS],'Dong Lam'!$B78,[1]!Data_BS[TenCongTyID],'Dong Lam'!$B$1,[1]!Data_BS[Thang.Nam],'Dong Lam'!AB$5)</f>
        <v>0</v>
      </c>
      <c r="AC78" s="234">
        <f>SUMIFS([1]!Data_BS[Value],[1]!Data_BS[Index BS],'Dong Lam'!$B78,[1]!Data_BS[TenCongTyID],'Dong Lam'!$B$1,[1]!Data_BS[Thang.Nam],'Dong Lam'!AC$5)</f>
        <v>0</v>
      </c>
      <c r="AD78" s="234">
        <f>SUMIFS([1]!Data_BS[Value],[1]!Data_BS[Index BS],'Dong Lam'!$B78,[1]!Data_BS[TenCongTyID],'Dong Lam'!$B$1,[1]!Data_BS[Thang.Nam],'Dong Lam'!AD$5)</f>
        <v>0</v>
      </c>
      <c r="AE78" s="234">
        <f>SUMIFS([1]!Data_BS[Value],[1]!Data_BS[Index BS],'Dong Lam'!$B78,[1]!Data_BS[TenCongTyID],'Dong Lam'!$B$1,[1]!Data_BS[Thang.Nam],'Dong Lam'!AE$5)</f>
        <v>0</v>
      </c>
      <c r="AF78" s="234">
        <f>SUMIFS([1]!Data_BS[Value],[1]!Data_BS[Index BS],'Dong Lam'!$B78,[1]!Data_BS[TenCongTyID],'Dong Lam'!$B$1,[1]!Data_BS[Thang.Nam],'Dong Lam'!AF$5)</f>
        <v>0</v>
      </c>
      <c r="AG78" s="234">
        <f>SUMIFS([1]!Data_BS[Value],[1]!Data_BS[Index BS],'Dong Lam'!$B78,[1]!Data_BS[TenCongTyID],'Dong Lam'!$B$1,[1]!Data_BS[Thang.Nam],'Dong Lam'!AG$5)</f>
        <v>0</v>
      </c>
      <c r="AH78" s="234">
        <f>SUMIFS([1]!Data_BS[Value],[1]!Data_BS[Index BS],'Dong Lam'!$B78,[1]!Data_BS[TenCongTyID],'Dong Lam'!$B$1,[1]!Data_BS[Thang.Nam],'Dong Lam'!AH$5)</f>
        <v>0</v>
      </c>
      <c r="AI78" s="234">
        <f>SUMIFS([1]!Data_BS[Value],[1]!Data_BS[Index BS],'Dong Lam'!$B78,[1]!Data_BS[TenCongTyID],'Dong Lam'!$B$1,[1]!Data_BS[Thang.Nam],'Dong Lam'!AI$5)</f>
        <v>0</v>
      </c>
      <c r="AJ78" s="234">
        <f>SUMIFS([1]!Data_BS[Value],[1]!Data_BS[Index BS],'Dong Lam'!$B78,[1]!Data_BS[TenCongTyID],'Dong Lam'!$B$1,[1]!Data_BS[Thang.Nam],'Dong Lam'!AJ$5)</f>
        <v>0</v>
      </c>
      <c r="AK78" s="234">
        <f>SUMIFS([1]!Data_BS[Value],[1]!Data_BS[Index BS],'Dong Lam'!$B78,[1]!Data_BS[TenCongTyID],'Dong Lam'!$B$1,[1]!Data_BS[Thang.Nam],'Dong Lam'!AK$5)</f>
        <v>0</v>
      </c>
      <c r="AL78" s="234">
        <f>SUMIFS([1]!Data_BS[Value],[1]!Data_BS[Index BS],'Dong Lam'!$B78,[1]!Data_BS[TenCongTyID],'Dong Lam'!$B$1,[1]!Data_BS[Thang.Nam],'Dong Lam'!AL$5)</f>
        <v>0</v>
      </c>
    </row>
    <row r="79" spans="1:38" ht="15" hidden="1" customHeight="1" outlineLevel="1">
      <c r="A79" s="67" t="s">
        <v>163</v>
      </c>
      <c r="B79" s="63">
        <v>74</v>
      </c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>
        <v>334394823</v>
      </c>
      <c r="P79" s="229">
        <v>301457241</v>
      </c>
      <c r="Q79" s="229">
        <v>537824186</v>
      </c>
      <c r="R79" s="229">
        <v>474535147</v>
      </c>
      <c r="S79" s="229">
        <v>944505278</v>
      </c>
      <c r="T79" s="229">
        <v>938902004</v>
      </c>
      <c r="U79" s="229">
        <v>884220149</v>
      </c>
      <c r="V79" s="229">
        <v>861263784</v>
      </c>
      <c r="W79" s="229">
        <v>787729718</v>
      </c>
      <c r="X79" s="229">
        <v>790175426</v>
      </c>
      <c r="Y79" s="229">
        <v>717724505</v>
      </c>
      <c r="Z79" s="229">
        <v>720131084</v>
      </c>
      <c r="AA79" s="229">
        <f>SUMIFS([1]!Data_BS[Value],[1]!Data_BS[Index BS],'Dong Lam'!$B79,[1]!Data_BS[TenCongTyID],'Dong Lam'!$B$1,[1]!Data_BS[Thang.Nam],'Dong Lam'!AA$5)</f>
        <v>0</v>
      </c>
      <c r="AB79" s="229">
        <f>SUMIFS([1]!Data_BS[Value],[1]!Data_BS[Index BS],'Dong Lam'!$B79,[1]!Data_BS[TenCongTyID],'Dong Lam'!$B$1,[1]!Data_BS[Thang.Nam],'Dong Lam'!AB$5)</f>
        <v>0</v>
      </c>
      <c r="AC79" s="229">
        <f>SUMIFS([1]!Data_BS[Value],[1]!Data_BS[Index BS],'Dong Lam'!$B79,[1]!Data_BS[TenCongTyID],'Dong Lam'!$B$1,[1]!Data_BS[Thang.Nam],'Dong Lam'!AC$5)</f>
        <v>0</v>
      </c>
      <c r="AD79" s="229">
        <f>SUMIFS([1]!Data_BS[Value],[1]!Data_BS[Index BS],'Dong Lam'!$B79,[1]!Data_BS[TenCongTyID],'Dong Lam'!$B$1,[1]!Data_BS[Thang.Nam],'Dong Lam'!AD$5)</f>
        <v>0</v>
      </c>
      <c r="AE79" s="229">
        <f>SUMIFS([1]!Data_BS[Value],[1]!Data_BS[Index BS],'Dong Lam'!$B79,[1]!Data_BS[TenCongTyID],'Dong Lam'!$B$1,[1]!Data_BS[Thang.Nam],'Dong Lam'!AE$5)</f>
        <v>0</v>
      </c>
      <c r="AF79" s="229">
        <f>SUMIFS([1]!Data_BS[Value],[1]!Data_BS[Index BS],'Dong Lam'!$B79,[1]!Data_BS[TenCongTyID],'Dong Lam'!$B$1,[1]!Data_BS[Thang.Nam],'Dong Lam'!AF$5)</f>
        <v>0</v>
      </c>
      <c r="AG79" s="229">
        <f>SUMIFS([1]!Data_BS[Value],[1]!Data_BS[Index BS],'Dong Lam'!$B79,[1]!Data_BS[TenCongTyID],'Dong Lam'!$B$1,[1]!Data_BS[Thang.Nam],'Dong Lam'!AG$5)</f>
        <v>0</v>
      </c>
      <c r="AH79" s="229">
        <f>SUMIFS([1]!Data_BS[Value],[1]!Data_BS[Index BS],'Dong Lam'!$B79,[1]!Data_BS[TenCongTyID],'Dong Lam'!$B$1,[1]!Data_BS[Thang.Nam],'Dong Lam'!AH$5)</f>
        <v>0</v>
      </c>
      <c r="AI79" s="229">
        <f>SUMIFS([1]!Data_BS[Value],[1]!Data_BS[Index BS],'Dong Lam'!$B79,[1]!Data_BS[TenCongTyID],'Dong Lam'!$B$1,[1]!Data_BS[Thang.Nam],'Dong Lam'!AI$5)</f>
        <v>0</v>
      </c>
      <c r="AJ79" s="229">
        <f>SUMIFS([1]!Data_BS[Value],[1]!Data_BS[Index BS],'Dong Lam'!$B79,[1]!Data_BS[TenCongTyID],'Dong Lam'!$B$1,[1]!Data_BS[Thang.Nam],'Dong Lam'!AJ$5)</f>
        <v>0</v>
      </c>
      <c r="AK79" s="229">
        <f>SUMIFS([1]!Data_BS[Value],[1]!Data_BS[Index BS],'Dong Lam'!$B79,[1]!Data_BS[TenCongTyID],'Dong Lam'!$B$1,[1]!Data_BS[Thang.Nam],'Dong Lam'!AK$5)</f>
        <v>0</v>
      </c>
      <c r="AL79" s="229">
        <f>SUMIFS([1]!Data_BS[Value],[1]!Data_BS[Index BS],'Dong Lam'!$B79,[1]!Data_BS[TenCongTyID],'Dong Lam'!$B$1,[1]!Data_BS[Thang.Nam],'Dong Lam'!AL$5)</f>
        <v>0</v>
      </c>
    </row>
    <row r="80" spans="1:38" ht="15" hidden="1" customHeight="1" outlineLevel="1">
      <c r="A80" s="67" t="s">
        <v>164</v>
      </c>
      <c r="B80" s="63">
        <v>75</v>
      </c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>
        <v>0</v>
      </c>
      <c r="AA80" s="229">
        <f>SUMIFS([1]!Data_BS[Value],[1]!Data_BS[Index BS],'Dong Lam'!$B80,[1]!Data_BS[TenCongTyID],'Dong Lam'!$B$1,[1]!Data_BS[Thang.Nam],'Dong Lam'!AA$5)</f>
        <v>0</v>
      </c>
      <c r="AB80" s="229">
        <f>SUMIFS([1]!Data_BS[Value],[1]!Data_BS[Index BS],'Dong Lam'!$B80,[1]!Data_BS[TenCongTyID],'Dong Lam'!$B$1,[1]!Data_BS[Thang.Nam],'Dong Lam'!AB$5)</f>
        <v>0</v>
      </c>
      <c r="AC80" s="229">
        <f>SUMIFS([1]!Data_BS[Value],[1]!Data_BS[Index BS],'Dong Lam'!$B80,[1]!Data_BS[TenCongTyID],'Dong Lam'!$B$1,[1]!Data_BS[Thang.Nam],'Dong Lam'!AC$5)</f>
        <v>0</v>
      </c>
      <c r="AD80" s="229">
        <f>SUMIFS([1]!Data_BS[Value],[1]!Data_BS[Index BS],'Dong Lam'!$B80,[1]!Data_BS[TenCongTyID],'Dong Lam'!$B$1,[1]!Data_BS[Thang.Nam],'Dong Lam'!AD$5)</f>
        <v>0</v>
      </c>
      <c r="AE80" s="229">
        <f>SUMIFS([1]!Data_BS[Value],[1]!Data_BS[Index BS],'Dong Lam'!$B80,[1]!Data_BS[TenCongTyID],'Dong Lam'!$B$1,[1]!Data_BS[Thang.Nam],'Dong Lam'!AE$5)</f>
        <v>0</v>
      </c>
      <c r="AF80" s="229">
        <f>SUMIFS([1]!Data_BS[Value],[1]!Data_BS[Index BS],'Dong Lam'!$B80,[1]!Data_BS[TenCongTyID],'Dong Lam'!$B$1,[1]!Data_BS[Thang.Nam],'Dong Lam'!AF$5)</f>
        <v>0</v>
      </c>
      <c r="AG80" s="229">
        <f>SUMIFS([1]!Data_BS[Value],[1]!Data_BS[Index BS],'Dong Lam'!$B80,[1]!Data_BS[TenCongTyID],'Dong Lam'!$B$1,[1]!Data_BS[Thang.Nam],'Dong Lam'!AG$5)</f>
        <v>0</v>
      </c>
      <c r="AH80" s="229">
        <f>SUMIFS([1]!Data_BS[Value],[1]!Data_BS[Index BS],'Dong Lam'!$B80,[1]!Data_BS[TenCongTyID],'Dong Lam'!$B$1,[1]!Data_BS[Thang.Nam],'Dong Lam'!AH$5)</f>
        <v>0</v>
      </c>
      <c r="AI80" s="229">
        <f>SUMIFS([1]!Data_BS[Value],[1]!Data_BS[Index BS],'Dong Lam'!$B80,[1]!Data_BS[TenCongTyID],'Dong Lam'!$B$1,[1]!Data_BS[Thang.Nam],'Dong Lam'!AI$5)</f>
        <v>0</v>
      </c>
      <c r="AJ80" s="229">
        <f>SUMIFS([1]!Data_BS[Value],[1]!Data_BS[Index BS],'Dong Lam'!$B80,[1]!Data_BS[TenCongTyID],'Dong Lam'!$B$1,[1]!Data_BS[Thang.Nam],'Dong Lam'!AJ$5)</f>
        <v>0</v>
      </c>
      <c r="AK80" s="229">
        <f>SUMIFS([1]!Data_BS[Value],[1]!Data_BS[Index BS],'Dong Lam'!$B80,[1]!Data_BS[TenCongTyID],'Dong Lam'!$B$1,[1]!Data_BS[Thang.Nam],'Dong Lam'!AK$5)</f>
        <v>0</v>
      </c>
      <c r="AL80" s="229">
        <f>SUMIFS([1]!Data_BS[Value],[1]!Data_BS[Index BS],'Dong Lam'!$B80,[1]!Data_BS[TenCongTyID],'Dong Lam'!$B$1,[1]!Data_BS[Thang.Nam],'Dong Lam'!AL$5)</f>
        <v>0</v>
      </c>
    </row>
    <row r="81" spans="1:38" ht="15" hidden="1" customHeight="1" outlineLevel="1">
      <c r="A81" s="67" t="s">
        <v>165</v>
      </c>
      <c r="B81" s="63">
        <v>76</v>
      </c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>
        <v>0</v>
      </c>
      <c r="AA81" s="229">
        <f>SUMIFS([1]!Data_BS[Value],[1]!Data_BS[Index BS],'Dong Lam'!$B81,[1]!Data_BS[TenCongTyID],'Dong Lam'!$B$1,[1]!Data_BS[Thang.Nam],'Dong Lam'!AA$5)</f>
        <v>0</v>
      </c>
      <c r="AB81" s="229">
        <f>SUMIFS([1]!Data_BS[Value],[1]!Data_BS[Index BS],'Dong Lam'!$B81,[1]!Data_BS[TenCongTyID],'Dong Lam'!$B$1,[1]!Data_BS[Thang.Nam],'Dong Lam'!AB$5)</f>
        <v>0</v>
      </c>
      <c r="AC81" s="229">
        <f>SUMIFS([1]!Data_BS[Value],[1]!Data_BS[Index BS],'Dong Lam'!$B81,[1]!Data_BS[TenCongTyID],'Dong Lam'!$B$1,[1]!Data_BS[Thang.Nam],'Dong Lam'!AC$5)</f>
        <v>0</v>
      </c>
      <c r="AD81" s="229">
        <f>SUMIFS([1]!Data_BS[Value],[1]!Data_BS[Index BS],'Dong Lam'!$B81,[1]!Data_BS[TenCongTyID],'Dong Lam'!$B$1,[1]!Data_BS[Thang.Nam],'Dong Lam'!AD$5)</f>
        <v>0</v>
      </c>
      <c r="AE81" s="229">
        <f>SUMIFS([1]!Data_BS[Value],[1]!Data_BS[Index BS],'Dong Lam'!$B81,[1]!Data_BS[TenCongTyID],'Dong Lam'!$B$1,[1]!Data_BS[Thang.Nam],'Dong Lam'!AE$5)</f>
        <v>0</v>
      </c>
      <c r="AF81" s="229">
        <f>SUMIFS([1]!Data_BS[Value],[1]!Data_BS[Index BS],'Dong Lam'!$B81,[1]!Data_BS[TenCongTyID],'Dong Lam'!$B$1,[1]!Data_BS[Thang.Nam],'Dong Lam'!AF$5)</f>
        <v>0</v>
      </c>
      <c r="AG81" s="229">
        <f>SUMIFS([1]!Data_BS[Value],[1]!Data_BS[Index BS],'Dong Lam'!$B81,[1]!Data_BS[TenCongTyID],'Dong Lam'!$B$1,[1]!Data_BS[Thang.Nam],'Dong Lam'!AG$5)</f>
        <v>0</v>
      </c>
      <c r="AH81" s="229">
        <f>SUMIFS([1]!Data_BS[Value],[1]!Data_BS[Index BS],'Dong Lam'!$B81,[1]!Data_BS[TenCongTyID],'Dong Lam'!$B$1,[1]!Data_BS[Thang.Nam],'Dong Lam'!AH$5)</f>
        <v>0</v>
      </c>
      <c r="AI81" s="229">
        <f>SUMIFS([1]!Data_BS[Value],[1]!Data_BS[Index BS],'Dong Lam'!$B81,[1]!Data_BS[TenCongTyID],'Dong Lam'!$B$1,[1]!Data_BS[Thang.Nam],'Dong Lam'!AI$5)</f>
        <v>0</v>
      </c>
      <c r="AJ81" s="229">
        <f>SUMIFS([1]!Data_BS[Value],[1]!Data_BS[Index BS],'Dong Lam'!$B81,[1]!Data_BS[TenCongTyID],'Dong Lam'!$B$1,[1]!Data_BS[Thang.Nam],'Dong Lam'!AJ$5)</f>
        <v>0</v>
      </c>
      <c r="AK81" s="229">
        <f>SUMIFS([1]!Data_BS[Value],[1]!Data_BS[Index BS],'Dong Lam'!$B81,[1]!Data_BS[TenCongTyID],'Dong Lam'!$B$1,[1]!Data_BS[Thang.Nam],'Dong Lam'!AK$5)</f>
        <v>0</v>
      </c>
      <c r="AL81" s="229">
        <f>SUMIFS([1]!Data_BS[Value],[1]!Data_BS[Index BS],'Dong Lam'!$B81,[1]!Data_BS[TenCongTyID],'Dong Lam'!$B$1,[1]!Data_BS[Thang.Nam],'Dong Lam'!AL$5)</f>
        <v>0</v>
      </c>
    </row>
    <row r="82" spans="1:38" ht="15" hidden="1" customHeight="1" outlineLevel="1">
      <c r="A82" s="67" t="s">
        <v>166</v>
      </c>
      <c r="B82" s="63">
        <v>77</v>
      </c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>
        <v>0</v>
      </c>
      <c r="AA82" s="229">
        <f>SUMIFS([1]!Data_BS[Value],[1]!Data_BS[Index BS],'Dong Lam'!$B82,[1]!Data_BS[TenCongTyID],'Dong Lam'!$B$1,[1]!Data_BS[Thang.Nam],'Dong Lam'!AA$5)</f>
        <v>0</v>
      </c>
      <c r="AB82" s="229">
        <f>SUMIFS([1]!Data_BS[Value],[1]!Data_BS[Index BS],'Dong Lam'!$B82,[1]!Data_BS[TenCongTyID],'Dong Lam'!$B$1,[1]!Data_BS[Thang.Nam],'Dong Lam'!AB$5)</f>
        <v>0</v>
      </c>
      <c r="AC82" s="229">
        <f>SUMIFS([1]!Data_BS[Value],[1]!Data_BS[Index BS],'Dong Lam'!$B82,[1]!Data_BS[TenCongTyID],'Dong Lam'!$B$1,[1]!Data_BS[Thang.Nam],'Dong Lam'!AC$5)</f>
        <v>0</v>
      </c>
      <c r="AD82" s="229">
        <f>SUMIFS([1]!Data_BS[Value],[1]!Data_BS[Index BS],'Dong Lam'!$B82,[1]!Data_BS[TenCongTyID],'Dong Lam'!$B$1,[1]!Data_BS[Thang.Nam],'Dong Lam'!AD$5)</f>
        <v>0</v>
      </c>
      <c r="AE82" s="229">
        <f>SUMIFS([1]!Data_BS[Value],[1]!Data_BS[Index BS],'Dong Lam'!$B82,[1]!Data_BS[TenCongTyID],'Dong Lam'!$B$1,[1]!Data_BS[Thang.Nam],'Dong Lam'!AE$5)</f>
        <v>0</v>
      </c>
      <c r="AF82" s="229">
        <f>SUMIFS([1]!Data_BS[Value],[1]!Data_BS[Index BS],'Dong Lam'!$B82,[1]!Data_BS[TenCongTyID],'Dong Lam'!$B$1,[1]!Data_BS[Thang.Nam],'Dong Lam'!AF$5)</f>
        <v>0</v>
      </c>
      <c r="AG82" s="229">
        <f>SUMIFS([1]!Data_BS[Value],[1]!Data_BS[Index BS],'Dong Lam'!$B82,[1]!Data_BS[TenCongTyID],'Dong Lam'!$B$1,[1]!Data_BS[Thang.Nam],'Dong Lam'!AG$5)</f>
        <v>0</v>
      </c>
      <c r="AH82" s="229">
        <f>SUMIFS([1]!Data_BS[Value],[1]!Data_BS[Index BS],'Dong Lam'!$B82,[1]!Data_BS[TenCongTyID],'Dong Lam'!$B$1,[1]!Data_BS[Thang.Nam],'Dong Lam'!AH$5)</f>
        <v>0</v>
      </c>
      <c r="AI82" s="229">
        <f>SUMIFS([1]!Data_BS[Value],[1]!Data_BS[Index BS],'Dong Lam'!$B82,[1]!Data_BS[TenCongTyID],'Dong Lam'!$B$1,[1]!Data_BS[Thang.Nam],'Dong Lam'!AI$5)</f>
        <v>0</v>
      </c>
      <c r="AJ82" s="229">
        <f>SUMIFS([1]!Data_BS[Value],[1]!Data_BS[Index BS],'Dong Lam'!$B82,[1]!Data_BS[TenCongTyID],'Dong Lam'!$B$1,[1]!Data_BS[Thang.Nam],'Dong Lam'!AJ$5)</f>
        <v>0</v>
      </c>
      <c r="AK82" s="229">
        <f>SUMIFS([1]!Data_BS[Value],[1]!Data_BS[Index BS],'Dong Lam'!$B82,[1]!Data_BS[TenCongTyID],'Dong Lam'!$B$1,[1]!Data_BS[Thang.Nam],'Dong Lam'!AK$5)</f>
        <v>0</v>
      </c>
      <c r="AL82" s="229">
        <f>SUMIFS([1]!Data_BS[Value],[1]!Data_BS[Index BS],'Dong Lam'!$B82,[1]!Data_BS[TenCongTyID],'Dong Lam'!$B$1,[1]!Data_BS[Thang.Nam],'Dong Lam'!AL$5)</f>
        <v>0</v>
      </c>
    </row>
    <row r="83" spans="1:38" s="251" customFormat="1" ht="15" hidden="1" customHeight="1" outlineLevel="1">
      <c r="A83" s="80" t="s">
        <v>167</v>
      </c>
      <c r="B83" s="81">
        <v>78</v>
      </c>
      <c r="C83" s="249">
        <v>38787934579</v>
      </c>
      <c r="D83" s="249">
        <v>38541273547</v>
      </c>
      <c r="E83" s="249">
        <v>39098533958</v>
      </c>
      <c r="F83" s="249">
        <v>38861003421</v>
      </c>
      <c r="G83" s="249">
        <v>36719519109</v>
      </c>
      <c r="H83" s="249">
        <v>37113762343</v>
      </c>
      <c r="I83" s="249">
        <v>35002183463</v>
      </c>
      <c r="J83" s="249">
        <v>34860159251</v>
      </c>
      <c r="K83" s="249">
        <v>35032994427</v>
      </c>
      <c r="L83" s="249">
        <v>34288512350</v>
      </c>
      <c r="M83" s="249">
        <v>34017816256</v>
      </c>
      <c r="N83" s="250">
        <v>33571227947</v>
      </c>
      <c r="O83" s="250">
        <v>32019874813</v>
      </c>
      <c r="P83" s="250">
        <v>32416294566</v>
      </c>
      <c r="Q83" s="250">
        <v>33074402363</v>
      </c>
      <c r="R83" s="250">
        <v>33035228610</v>
      </c>
      <c r="S83" s="250">
        <v>33553334319</v>
      </c>
      <c r="T83" s="250">
        <v>34729808148</v>
      </c>
      <c r="U83" s="250">
        <v>35815907036</v>
      </c>
      <c r="V83" s="250">
        <v>37326649675</v>
      </c>
      <c r="W83" s="250">
        <f>+W38+W6</f>
        <v>36925521631</v>
      </c>
      <c r="X83" s="250">
        <v>36491540860</v>
      </c>
      <c r="Y83" s="250">
        <v>37884499011</v>
      </c>
      <c r="Z83" s="250">
        <v>37018207900</v>
      </c>
      <c r="AA83" s="250">
        <f>SUMIFS([1]!Data_BS[Value],[1]!Data_BS[Index BS],'Dong Lam'!$B83,[1]!Data_BS[TenCongTyID],'Dong Lam'!$B$1,[1]!Data_BS[Thang.Nam],'Dong Lam'!AA$5)</f>
        <v>0</v>
      </c>
      <c r="AB83" s="250">
        <f>SUMIFS([1]!Data_BS[Value],[1]!Data_BS[Index BS],'Dong Lam'!$B83,[1]!Data_BS[TenCongTyID],'Dong Lam'!$B$1,[1]!Data_BS[Thang.Nam],'Dong Lam'!AB$5)</f>
        <v>0</v>
      </c>
      <c r="AC83" s="250">
        <f>SUMIFS([1]!Data_BS[Value],[1]!Data_BS[Index BS],'Dong Lam'!$B83,[1]!Data_BS[TenCongTyID],'Dong Lam'!$B$1,[1]!Data_BS[Thang.Nam],'Dong Lam'!AC$5)</f>
        <v>0</v>
      </c>
      <c r="AD83" s="250">
        <f>SUMIFS([1]!Data_BS[Value],[1]!Data_BS[Index BS],'Dong Lam'!$B83,[1]!Data_BS[TenCongTyID],'Dong Lam'!$B$1,[1]!Data_BS[Thang.Nam],'Dong Lam'!AD$5)</f>
        <v>0</v>
      </c>
      <c r="AE83" s="250">
        <f>SUMIFS([1]!Data_BS[Value],[1]!Data_BS[Index BS],'Dong Lam'!$B83,[1]!Data_BS[TenCongTyID],'Dong Lam'!$B$1,[1]!Data_BS[Thang.Nam],'Dong Lam'!AE$5)</f>
        <v>0</v>
      </c>
      <c r="AF83" s="250">
        <f>SUMIFS([1]!Data_BS[Value],[1]!Data_BS[Index BS],'Dong Lam'!$B83,[1]!Data_BS[TenCongTyID],'Dong Lam'!$B$1,[1]!Data_BS[Thang.Nam],'Dong Lam'!AF$5)</f>
        <v>0</v>
      </c>
      <c r="AG83" s="250">
        <f>SUMIFS([1]!Data_BS[Value],[1]!Data_BS[Index BS],'Dong Lam'!$B83,[1]!Data_BS[TenCongTyID],'Dong Lam'!$B$1,[1]!Data_BS[Thang.Nam],'Dong Lam'!AG$5)</f>
        <v>0</v>
      </c>
      <c r="AH83" s="250">
        <f>SUMIFS([1]!Data_BS[Value],[1]!Data_BS[Index BS],'Dong Lam'!$B83,[1]!Data_BS[TenCongTyID],'Dong Lam'!$B$1,[1]!Data_BS[Thang.Nam],'Dong Lam'!AH$5)</f>
        <v>0</v>
      </c>
      <c r="AI83" s="250">
        <f>SUMIFS([1]!Data_BS[Value],[1]!Data_BS[Index BS],'Dong Lam'!$B83,[1]!Data_BS[TenCongTyID],'Dong Lam'!$B$1,[1]!Data_BS[Thang.Nam],'Dong Lam'!AI$5)</f>
        <v>0</v>
      </c>
      <c r="AJ83" s="250">
        <f>SUMIFS([1]!Data_BS[Value],[1]!Data_BS[Index BS],'Dong Lam'!$B83,[1]!Data_BS[TenCongTyID],'Dong Lam'!$B$1,[1]!Data_BS[Thang.Nam],'Dong Lam'!AJ$5)</f>
        <v>0</v>
      </c>
      <c r="AK83" s="250">
        <f>SUMIFS([1]!Data_BS[Value],[1]!Data_BS[Index BS],'Dong Lam'!$B83,[1]!Data_BS[TenCongTyID],'Dong Lam'!$B$1,[1]!Data_BS[Thang.Nam],'Dong Lam'!AK$5)</f>
        <v>0</v>
      </c>
      <c r="AL83" s="250">
        <f>SUMIFS([1]!Data_BS[Value],[1]!Data_BS[Index BS],'Dong Lam'!$B83,[1]!Data_BS[TenCongTyID],'Dong Lam'!$B$1,[1]!Data_BS[Thang.Nam],'Dong Lam'!AL$5)</f>
        <v>0</v>
      </c>
    </row>
    <row r="84" spans="1:38" ht="15" hidden="1" customHeight="1" outlineLevel="1">
      <c r="A84" s="56" t="s">
        <v>168</v>
      </c>
      <c r="B84" s="71">
        <v>79</v>
      </c>
      <c r="C84" s="240">
        <v>3936386342</v>
      </c>
      <c r="D84" s="240">
        <v>3864858581</v>
      </c>
      <c r="E84" s="240">
        <v>4371797206</v>
      </c>
      <c r="F84" s="240">
        <v>4275714051</v>
      </c>
      <c r="G84" s="240">
        <v>2132171066</v>
      </c>
      <c r="H84" s="240">
        <v>2722076002</v>
      </c>
      <c r="I84" s="240">
        <v>1005099940</v>
      </c>
      <c r="J84" s="240">
        <v>1264043621</v>
      </c>
      <c r="K84" s="240">
        <v>1743954252</v>
      </c>
      <c r="L84" s="240">
        <v>1236264505</v>
      </c>
      <c r="M84" s="240">
        <v>1852970591</v>
      </c>
      <c r="N84" s="241">
        <v>1683206539</v>
      </c>
      <c r="O84" s="241">
        <v>577412396</v>
      </c>
      <c r="P84" s="241">
        <v>1023712770</v>
      </c>
      <c r="Q84" s="241">
        <v>1601294792</v>
      </c>
      <c r="R84" s="241">
        <v>1271317763</v>
      </c>
      <c r="S84" s="241">
        <v>1824676018</v>
      </c>
      <c r="T84" s="241">
        <v>2382206605</v>
      </c>
      <c r="U84" s="241">
        <v>2498009441</v>
      </c>
      <c r="V84" s="241">
        <v>2504220745</v>
      </c>
      <c r="W84" s="241">
        <v>2148019975</v>
      </c>
      <c r="X84" s="241">
        <v>1510088883</v>
      </c>
      <c r="Y84" s="241">
        <v>2794628671</v>
      </c>
      <c r="Z84" s="241">
        <v>1784212493</v>
      </c>
      <c r="AA84" s="241">
        <f>SUMIFS([1]!Data_BS[Value],[1]!Data_BS[Index BS],'Dong Lam'!$B84,[1]!Data_BS[TenCongTyID],'Dong Lam'!$B$1,[1]!Data_BS[Thang.Nam],'Dong Lam'!AA$5)</f>
        <v>0</v>
      </c>
      <c r="AB84" s="241">
        <f>SUMIFS([1]!Data_BS[Value],[1]!Data_BS[Index BS],'Dong Lam'!$B84,[1]!Data_BS[TenCongTyID],'Dong Lam'!$B$1,[1]!Data_BS[Thang.Nam],'Dong Lam'!AB$5)</f>
        <v>0</v>
      </c>
      <c r="AC84" s="241">
        <f>SUMIFS([1]!Data_BS[Value],[1]!Data_BS[Index BS],'Dong Lam'!$B84,[1]!Data_BS[TenCongTyID],'Dong Lam'!$B$1,[1]!Data_BS[Thang.Nam],'Dong Lam'!AC$5)</f>
        <v>0</v>
      </c>
      <c r="AD84" s="241">
        <f>SUMIFS([1]!Data_BS[Value],[1]!Data_BS[Index BS],'Dong Lam'!$B84,[1]!Data_BS[TenCongTyID],'Dong Lam'!$B$1,[1]!Data_BS[Thang.Nam],'Dong Lam'!AD$5)</f>
        <v>0</v>
      </c>
      <c r="AE84" s="241">
        <f>SUMIFS([1]!Data_BS[Value],[1]!Data_BS[Index BS],'Dong Lam'!$B84,[1]!Data_BS[TenCongTyID],'Dong Lam'!$B$1,[1]!Data_BS[Thang.Nam],'Dong Lam'!AE$5)</f>
        <v>0</v>
      </c>
      <c r="AF84" s="241">
        <f>SUMIFS([1]!Data_BS[Value],[1]!Data_BS[Index BS],'Dong Lam'!$B84,[1]!Data_BS[TenCongTyID],'Dong Lam'!$B$1,[1]!Data_BS[Thang.Nam],'Dong Lam'!AF$5)</f>
        <v>0</v>
      </c>
      <c r="AG84" s="241">
        <f>SUMIFS([1]!Data_BS[Value],[1]!Data_BS[Index BS],'Dong Lam'!$B84,[1]!Data_BS[TenCongTyID],'Dong Lam'!$B$1,[1]!Data_BS[Thang.Nam],'Dong Lam'!AG$5)</f>
        <v>0</v>
      </c>
      <c r="AH84" s="241">
        <f>SUMIFS([1]!Data_BS[Value],[1]!Data_BS[Index BS],'Dong Lam'!$B84,[1]!Data_BS[TenCongTyID],'Dong Lam'!$B$1,[1]!Data_BS[Thang.Nam],'Dong Lam'!AH$5)</f>
        <v>0</v>
      </c>
      <c r="AI84" s="241">
        <f>SUMIFS([1]!Data_BS[Value],[1]!Data_BS[Index BS],'Dong Lam'!$B84,[1]!Data_BS[TenCongTyID],'Dong Lam'!$B$1,[1]!Data_BS[Thang.Nam],'Dong Lam'!AI$5)</f>
        <v>0</v>
      </c>
      <c r="AJ84" s="241">
        <f>SUMIFS([1]!Data_BS[Value],[1]!Data_BS[Index BS],'Dong Lam'!$B84,[1]!Data_BS[TenCongTyID],'Dong Lam'!$B$1,[1]!Data_BS[Thang.Nam],'Dong Lam'!AJ$5)</f>
        <v>0</v>
      </c>
      <c r="AK84" s="241">
        <f>SUMIFS([1]!Data_BS[Value],[1]!Data_BS[Index BS],'Dong Lam'!$B84,[1]!Data_BS[TenCongTyID],'Dong Lam'!$B$1,[1]!Data_BS[Thang.Nam],'Dong Lam'!AK$5)</f>
        <v>0</v>
      </c>
      <c r="AL84" s="241">
        <f>SUMIFS([1]!Data_BS[Value],[1]!Data_BS[Index BS],'Dong Lam'!$B84,[1]!Data_BS[TenCongTyID],'Dong Lam'!$B$1,[1]!Data_BS[Thang.Nam],'Dong Lam'!AL$5)</f>
        <v>0</v>
      </c>
    </row>
    <row r="85" spans="1:38" ht="15" hidden="1" customHeight="1" outlineLevel="1">
      <c r="A85" s="59" t="s">
        <v>169</v>
      </c>
      <c r="B85" s="65">
        <v>80</v>
      </c>
      <c r="C85" s="233">
        <v>3936386342</v>
      </c>
      <c r="D85" s="233">
        <v>3864858581</v>
      </c>
      <c r="E85" s="233">
        <v>4371797206</v>
      </c>
      <c r="F85" s="233">
        <v>4275714051</v>
      </c>
      <c r="G85" s="233">
        <v>2132171066</v>
      </c>
      <c r="H85" s="233">
        <v>2722076002</v>
      </c>
      <c r="I85" s="233">
        <v>1005099940</v>
      </c>
      <c r="J85" s="233">
        <v>1264043621</v>
      </c>
      <c r="K85" s="233">
        <v>1743954252</v>
      </c>
      <c r="L85" s="233">
        <v>1236264505</v>
      </c>
      <c r="M85" s="233">
        <v>1852970591</v>
      </c>
      <c r="N85" s="234">
        <v>1683206539</v>
      </c>
      <c r="O85" s="234">
        <v>577412396</v>
      </c>
      <c r="P85" s="234">
        <v>1023712770</v>
      </c>
      <c r="Q85" s="234">
        <v>1601294792</v>
      </c>
      <c r="R85" s="234">
        <v>1271317763</v>
      </c>
      <c r="S85" s="234">
        <v>1824676018</v>
      </c>
      <c r="T85" s="234">
        <v>2382206605</v>
      </c>
      <c r="U85" s="234">
        <v>2498009441</v>
      </c>
      <c r="V85" s="234">
        <v>2504220745</v>
      </c>
      <c r="W85" s="234">
        <v>2148019975</v>
      </c>
      <c r="X85" s="234">
        <v>1510088883</v>
      </c>
      <c r="Y85" s="234">
        <v>2794628671</v>
      </c>
      <c r="Z85" s="234">
        <v>1784212493</v>
      </c>
      <c r="AA85" s="234">
        <f>SUMIFS([1]!Data_BS[Value],[1]!Data_BS[Index BS],'Dong Lam'!$B85,[1]!Data_BS[TenCongTyID],'Dong Lam'!$B$1,[1]!Data_BS[Thang.Nam],'Dong Lam'!AA$5)</f>
        <v>0</v>
      </c>
      <c r="AB85" s="234">
        <f>SUMIFS([1]!Data_BS[Value],[1]!Data_BS[Index BS],'Dong Lam'!$B85,[1]!Data_BS[TenCongTyID],'Dong Lam'!$B$1,[1]!Data_BS[Thang.Nam],'Dong Lam'!AB$5)</f>
        <v>0</v>
      </c>
      <c r="AC85" s="234">
        <f>SUMIFS([1]!Data_BS[Value],[1]!Data_BS[Index BS],'Dong Lam'!$B85,[1]!Data_BS[TenCongTyID],'Dong Lam'!$B$1,[1]!Data_BS[Thang.Nam],'Dong Lam'!AC$5)</f>
        <v>0</v>
      </c>
      <c r="AD85" s="234">
        <f>SUMIFS([1]!Data_BS[Value],[1]!Data_BS[Index BS],'Dong Lam'!$B85,[1]!Data_BS[TenCongTyID],'Dong Lam'!$B$1,[1]!Data_BS[Thang.Nam],'Dong Lam'!AD$5)</f>
        <v>0</v>
      </c>
      <c r="AE85" s="234">
        <f>SUMIFS([1]!Data_BS[Value],[1]!Data_BS[Index BS],'Dong Lam'!$B85,[1]!Data_BS[TenCongTyID],'Dong Lam'!$B$1,[1]!Data_BS[Thang.Nam],'Dong Lam'!AE$5)</f>
        <v>0</v>
      </c>
      <c r="AF85" s="234">
        <f>SUMIFS([1]!Data_BS[Value],[1]!Data_BS[Index BS],'Dong Lam'!$B85,[1]!Data_BS[TenCongTyID],'Dong Lam'!$B$1,[1]!Data_BS[Thang.Nam],'Dong Lam'!AF$5)</f>
        <v>0</v>
      </c>
      <c r="AG85" s="234">
        <f>SUMIFS([1]!Data_BS[Value],[1]!Data_BS[Index BS],'Dong Lam'!$B85,[1]!Data_BS[TenCongTyID],'Dong Lam'!$B$1,[1]!Data_BS[Thang.Nam],'Dong Lam'!AG$5)</f>
        <v>0</v>
      </c>
      <c r="AH85" s="234">
        <f>SUMIFS([1]!Data_BS[Value],[1]!Data_BS[Index BS],'Dong Lam'!$B85,[1]!Data_BS[TenCongTyID],'Dong Lam'!$B$1,[1]!Data_BS[Thang.Nam],'Dong Lam'!AH$5)</f>
        <v>0</v>
      </c>
      <c r="AI85" s="234">
        <f>SUMIFS([1]!Data_BS[Value],[1]!Data_BS[Index BS],'Dong Lam'!$B85,[1]!Data_BS[TenCongTyID],'Dong Lam'!$B$1,[1]!Data_BS[Thang.Nam],'Dong Lam'!AI$5)</f>
        <v>0</v>
      </c>
      <c r="AJ85" s="234">
        <f>SUMIFS([1]!Data_BS[Value],[1]!Data_BS[Index BS],'Dong Lam'!$B85,[1]!Data_BS[TenCongTyID],'Dong Lam'!$B$1,[1]!Data_BS[Thang.Nam],'Dong Lam'!AJ$5)</f>
        <v>0</v>
      </c>
      <c r="AK85" s="234">
        <f>SUMIFS([1]!Data_BS[Value],[1]!Data_BS[Index BS],'Dong Lam'!$B85,[1]!Data_BS[TenCongTyID],'Dong Lam'!$B$1,[1]!Data_BS[Thang.Nam],'Dong Lam'!AK$5)</f>
        <v>0</v>
      </c>
      <c r="AL85" s="234">
        <f>SUMIFS([1]!Data_BS[Value],[1]!Data_BS[Index BS],'Dong Lam'!$B85,[1]!Data_BS[TenCongTyID],'Dong Lam'!$B$1,[1]!Data_BS[Thang.Nam],'Dong Lam'!AL$5)</f>
        <v>0</v>
      </c>
    </row>
    <row r="86" spans="1:38" ht="15" hidden="1" customHeight="1" outlineLevel="1">
      <c r="A86" s="67" t="s">
        <v>170</v>
      </c>
      <c r="B86" s="63">
        <v>81</v>
      </c>
      <c r="C86" s="229">
        <v>2902521573</v>
      </c>
      <c r="D86" s="229">
        <v>2654525710</v>
      </c>
      <c r="E86" s="229">
        <v>2664441478</v>
      </c>
      <c r="F86" s="229">
        <v>3467038162</v>
      </c>
      <c r="G86" s="229">
        <v>572986270</v>
      </c>
      <c r="H86" s="229">
        <v>701595791</v>
      </c>
      <c r="I86" s="229">
        <v>336633370</v>
      </c>
      <c r="J86" s="229">
        <v>516721275</v>
      </c>
      <c r="K86" s="229">
        <v>443498798</v>
      </c>
      <c r="L86" s="229">
        <v>463157229</v>
      </c>
      <c r="M86" s="229">
        <v>714994052</v>
      </c>
      <c r="N86" s="229">
        <v>261517734</v>
      </c>
      <c r="O86" s="229">
        <v>181580633</v>
      </c>
      <c r="P86" s="229">
        <v>367187933</v>
      </c>
      <c r="Q86" s="229">
        <v>800699696</v>
      </c>
      <c r="R86" s="229">
        <v>578926254</v>
      </c>
      <c r="S86" s="229">
        <v>882812093</v>
      </c>
      <c r="T86" s="229">
        <v>1129429236</v>
      </c>
      <c r="U86" s="229">
        <v>1072757451</v>
      </c>
      <c r="V86" s="229">
        <v>956780815</v>
      </c>
      <c r="W86" s="229">
        <v>558323168</v>
      </c>
      <c r="X86" s="229">
        <v>431648954</v>
      </c>
      <c r="Y86" s="229">
        <v>1839261630</v>
      </c>
      <c r="Z86" s="229">
        <v>868547044</v>
      </c>
      <c r="AA86" s="229">
        <f>SUMIFS([1]!Data_BS[Value],[1]!Data_BS[Index BS],'Dong Lam'!$B86,[1]!Data_BS[TenCongTyID],'Dong Lam'!$B$1,[1]!Data_BS[Thang.Nam],'Dong Lam'!AA$5)</f>
        <v>0</v>
      </c>
      <c r="AB86" s="229">
        <f>SUMIFS([1]!Data_BS[Value],[1]!Data_BS[Index BS],'Dong Lam'!$B86,[1]!Data_BS[TenCongTyID],'Dong Lam'!$B$1,[1]!Data_BS[Thang.Nam],'Dong Lam'!AB$5)</f>
        <v>0</v>
      </c>
      <c r="AC86" s="229">
        <f>SUMIFS([1]!Data_BS[Value],[1]!Data_BS[Index BS],'Dong Lam'!$B86,[1]!Data_BS[TenCongTyID],'Dong Lam'!$B$1,[1]!Data_BS[Thang.Nam],'Dong Lam'!AC$5)</f>
        <v>0</v>
      </c>
      <c r="AD86" s="229">
        <f>SUMIFS([1]!Data_BS[Value],[1]!Data_BS[Index BS],'Dong Lam'!$B86,[1]!Data_BS[TenCongTyID],'Dong Lam'!$B$1,[1]!Data_BS[Thang.Nam],'Dong Lam'!AD$5)</f>
        <v>0</v>
      </c>
      <c r="AE86" s="229">
        <f>SUMIFS([1]!Data_BS[Value],[1]!Data_BS[Index BS],'Dong Lam'!$B86,[1]!Data_BS[TenCongTyID],'Dong Lam'!$B$1,[1]!Data_BS[Thang.Nam],'Dong Lam'!AE$5)</f>
        <v>0</v>
      </c>
      <c r="AF86" s="229">
        <f>SUMIFS([1]!Data_BS[Value],[1]!Data_BS[Index BS],'Dong Lam'!$B86,[1]!Data_BS[TenCongTyID],'Dong Lam'!$B$1,[1]!Data_BS[Thang.Nam],'Dong Lam'!AF$5)</f>
        <v>0</v>
      </c>
      <c r="AG86" s="229">
        <f>SUMIFS([1]!Data_BS[Value],[1]!Data_BS[Index BS],'Dong Lam'!$B86,[1]!Data_BS[TenCongTyID],'Dong Lam'!$B$1,[1]!Data_BS[Thang.Nam],'Dong Lam'!AG$5)</f>
        <v>0</v>
      </c>
      <c r="AH86" s="229">
        <f>SUMIFS([1]!Data_BS[Value],[1]!Data_BS[Index BS],'Dong Lam'!$B86,[1]!Data_BS[TenCongTyID],'Dong Lam'!$B$1,[1]!Data_BS[Thang.Nam],'Dong Lam'!AH$5)</f>
        <v>0</v>
      </c>
      <c r="AI86" s="229">
        <f>SUMIFS([1]!Data_BS[Value],[1]!Data_BS[Index BS],'Dong Lam'!$B86,[1]!Data_BS[TenCongTyID],'Dong Lam'!$B$1,[1]!Data_BS[Thang.Nam],'Dong Lam'!AI$5)</f>
        <v>0</v>
      </c>
      <c r="AJ86" s="229">
        <f>SUMIFS([1]!Data_BS[Value],[1]!Data_BS[Index BS],'Dong Lam'!$B86,[1]!Data_BS[TenCongTyID],'Dong Lam'!$B$1,[1]!Data_BS[Thang.Nam],'Dong Lam'!AJ$5)</f>
        <v>0</v>
      </c>
      <c r="AK86" s="229">
        <f>SUMIFS([1]!Data_BS[Value],[1]!Data_BS[Index BS],'Dong Lam'!$B86,[1]!Data_BS[TenCongTyID],'Dong Lam'!$B$1,[1]!Data_BS[Thang.Nam],'Dong Lam'!AK$5)</f>
        <v>0</v>
      </c>
      <c r="AL86" s="229">
        <f>SUMIFS([1]!Data_BS[Value],[1]!Data_BS[Index BS],'Dong Lam'!$B86,[1]!Data_BS[TenCongTyID],'Dong Lam'!$B$1,[1]!Data_BS[Thang.Nam],'Dong Lam'!AL$5)</f>
        <v>0</v>
      </c>
    </row>
    <row r="87" spans="1:38" ht="15" hidden="1" customHeight="1" outlineLevel="1">
      <c r="A87" s="67" t="s">
        <v>171</v>
      </c>
      <c r="B87" s="63">
        <v>82</v>
      </c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>
        <v>0</v>
      </c>
      <c r="P87" s="229">
        <v>0</v>
      </c>
      <c r="Q87" s="229"/>
      <c r="R87" s="229">
        <v>0</v>
      </c>
      <c r="S87" s="229"/>
      <c r="T87" s="229"/>
      <c r="U87" s="229">
        <v>0</v>
      </c>
      <c r="V87" s="229">
        <v>0</v>
      </c>
      <c r="W87" s="229">
        <v>253351429</v>
      </c>
      <c r="X87" s="229">
        <v>0</v>
      </c>
      <c r="Y87" s="229">
        <v>0</v>
      </c>
      <c r="Z87" s="229">
        <v>0</v>
      </c>
      <c r="AA87" s="229">
        <f>SUMIFS([1]!Data_BS[Value],[1]!Data_BS[Index BS],'Dong Lam'!$B87,[1]!Data_BS[TenCongTyID],'Dong Lam'!$B$1,[1]!Data_BS[Thang.Nam],'Dong Lam'!AA$5)</f>
        <v>0</v>
      </c>
      <c r="AB87" s="229">
        <f>SUMIFS([1]!Data_BS[Value],[1]!Data_BS[Index BS],'Dong Lam'!$B87,[1]!Data_BS[TenCongTyID],'Dong Lam'!$B$1,[1]!Data_BS[Thang.Nam],'Dong Lam'!AB$5)</f>
        <v>0</v>
      </c>
      <c r="AC87" s="229">
        <f>SUMIFS([1]!Data_BS[Value],[1]!Data_BS[Index BS],'Dong Lam'!$B87,[1]!Data_BS[TenCongTyID],'Dong Lam'!$B$1,[1]!Data_BS[Thang.Nam],'Dong Lam'!AC$5)</f>
        <v>0</v>
      </c>
      <c r="AD87" s="229">
        <f>SUMIFS([1]!Data_BS[Value],[1]!Data_BS[Index BS],'Dong Lam'!$B87,[1]!Data_BS[TenCongTyID],'Dong Lam'!$B$1,[1]!Data_BS[Thang.Nam],'Dong Lam'!AD$5)</f>
        <v>0</v>
      </c>
      <c r="AE87" s="229">
        <f>SUMIFS([1]!Data_BS[Value],[1]!Data_BS[Index BS],'Dong Lam'!$B87,[1]!Data_BS[TenCongTyID],'Dong Lam'!$B$1,[1]!Data_BS[Thang.Nam],'Dong Lam'!AE$5)</f>
        <v>0</v>
      </c>
      <c r="AF87" s="229">
        <f>SUMIFS([1]!Data_BS[Value],[1]!Data_BS[Index BS],'Dong Lam'!$B87,[1]!Data_BS[TenCongTyID],'Dong Lam'!$B$1,[1]!Data_BS[Thang.Nam],'Dong Lam'!AF$5)</f>
        <v>0</v>
      </c>
      <c r="AG87" s="229">
        <f>SUMIFS([1]!Data_BS[Value],[1]!Data_BS[Index BS],'Dong Lam'!$B87,[1]!Data_BS[TenCongTyID],'Dong Lam'!$B$1,[1]!Data_BS[Thang.Nam],'Dong Lam'!AG$5)</f>
        <v>0</v>
      </c>
      <c r="AH87" s="229">
        <f>SUMIFS([1]!Data_BS[Value],[1]!Data_BS[Index BS],'Dong Lam'!$B87,[1]!Data_BS[TenCongTyID],'Dong Lam'!$B$1,[1]!Data_BS[Thang.Nam],'Dong Lam'!AH$5)</f>
        <v>0</v>
      </c>
      <c r="AI87" s="229">
        <f>SUMIFS([1]!Data_BS[Value],[1]!Data_BS[Index BS],'Dong Lam'!$B87,[1]!Data_BS[TenCongTyID],'Dong Lam'!$B$1,[1]!Data_BS[Thang.Nam],'Dong Lam'!AI$5)</f>
        <v>0</v>
      </c>
      <c r="AJ87" s="229">
        <f>SUMIFS([1]!Data_BS[Value],[1]!Data_BS[Index BS],'Dong Lam'!$B87,[1]!Data_BS[TenCongTyID],'Dong Lam'!$B$1,[1]!Data_BS[Thang.Nam],'Dong Lam'!AJ$5)</f>
        <v>0</v>
      </c>
      <c r="AK87" s="229">
        <f>SUMIFS([1]!Data_BS[Value],[1]!Data_BS[Index BS],'Dong Lam'!$B87,[1]!Data_BS[TenCongTyID],'Dong Lam'!$B$1,[1]!Data_BS[Thang.Nam],'Dong Lam'!AK$5)</f>
        <v>0</v>
      </c>
      <c r="AL87" s="229">
        <f>SUMIFS([1]!Data_BS[Value],[1]!Data_BS[Index BS],'Dong Lam'!$B87,[1]!Data_BS[TenCongTyID],'Dong Lam'!$B$1,[1]!Data_BS[Thang.Nam],'Dong Lam'!AL$5)</f>
        <v>0</v>
      </c>
    </row>
    <row r="88" spans="1:38" ht="15" hidden="1" customHeight="1" outlineLevel="1">
      <c r="A88" s="67" t="s">
        <v>172</v>
      </c>
      <c r="B88" s="63">
        <v>83</v>
      </c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>
        <v>0</v>
      </c>
      <c r="AA88" s="229">
        <f>SUMIFS([1]!Data_BS[Value],[1]!Data_BS[Index BS],'Dong Lam'!$B88,[1]!Data_BS[TenCongTyID],'Dong Lam'!$B$1,[1]!Data_BS[Thang.Nam],'Dong Lam'!AA$5)</f>
        <v>0</v>
      </c>
      <c r="AB88" s="229">
        <f>SUMIFS([1]!Data_BS[Value],[1]!Data_BS[Index BS],'Dong Lam'!$B88,[1]!Data_BS[TenCongTyID],'Dong Lam'!$B$1,[1]!Data_BS[Thang.Nam],'Dong Lam'!AB$5)</f>
        <v>0</v>
      </c>
      <c r="AC88" s="229">
        <f>SUMIFS([1]!Data_BS[Value],[1]!Data_BS[Index BS],'Dong Lam'!$B88,[1]!Data_BS[TenCongTyID],'Dong Lam'!$B$1,[1]!Data_BS[Thang.Nam],'Dong Lam'!AC$5)</f>
        <v>0</v>
      </c>
      <c r="AD88" s="229">
        <f>SUMIFS([1]!Data_BS[Value],[1]!Data_BS[Index BS],'Dong Lam'!$B88,[1]!Data_BS[TenCongTyID],'Dong Lam'!$B$1,[1]!Data_BS[Thang.Nam],'Dong Lam'!AD$5)</f>
        <v>0</v>
      </c>
      <c r="AE88" s="229">
        <f>SUMIFS([1]!Data_BS[Value],[1]!Data_BS[Index BS],'Dong Lam'!$B88,[1]!Data_BS[TenCongTyID],'Dong Lam'!$B$1,[1]!Data_BS[Thang.Nam],'Dong Lam'!AE$5)</f>
        <v>0</v>
      </c>
      <c r="AF88" s="229">
        <f>SUMIFS([1]!Data_BS[Value],[1]!Data_BS[Index BS],'Dong Lam'!$B88,[1]!Data_BS[TenCongTyID],'Dong Lam'!$B$1,[1]!Data_BS[Thang.Nam],'Dong Lam'!AF$5)</f>
        <v>0</v>
      </c>
      <c r="AG88" s="229">
        <f>SUMIFS([1]!Data_BS[Value],[1]!Data_BS[Index BS],'Dong Lam'!$B88,[1]!Data_BS[TenCongTyID],'Dong Lam'!$B$1,[1]!Data_BS[Thang.Nam],'Dong Lam'!AG$5)</f>
        <v>0</v>
      </c>
      <c r="AH88" s="229">
        <f>SUMIFS([1]!Data_BS[Value],[1]!Data_BS[Index BS],'Dong Lam'!$B88,[1]!Data_BS[TenCongTyID],'Dong Lam'!$B$1,[1]!Data_BS[Thang.Nam],'Dong Lam'!AH$5)</f>
        <v>0</v>
      </c>
      <c r="AI88" s="229">
        <f>SUMIFS([1]!Data_BS[Value],[1]!Data_BS[Index BS],'Dong Lam'!$B88,[1]!Data_BS[TenCongTyID],'Dong Lam'!$B$1,[1]!Data_BS[Thang.Nam],'Dong Lam'!AI$5)</f>
        <v>0</v>
      </c>
      <c r="AJ88" s="229">
        <f>SUMIFS([1]!Data_BS[Value],[1]!Data_BS[Index BS],'Dong Lam'!$B88,[1]!Data_BS[TenCongTyID],'Dong Lam'!$B$1,[1]!Data_BS[Thang.Nam],'Dong Lam'!AJ$5)</f>
        <v>0</v>
      </c>
      <c r="AK88" s="229">
        <f>SUMIFS([1]!Data_BS[Value],[1]!Data_BS[Index BS],'Dong Lam'!$B88,[1]!Data_BS[TenCongTyID],'Dong Lam'!$B$1,[1]!Data_BS[Thang.Nam],'Dong Lam'!AK$5)</f>
        <v>0</v>
      </c>
      <c r="AL88" s="229">
        <f>SUMIFS([1]!Data_BS[Value],[1]!Data_BS[Index BS],'Dong Lam'!$B88,[1]!Data_BS[TenCongTyID],'Dong Lam'!$B$1,[1]!Data_BS[Thang.Nam],'Dong Lam'!AL$5)</f>
        <v>0</v>
      </c>
    </row>
    <row r="89" spans="1:38" ht="15" hidden="1" customHeight="1" outlineLevel="1">
      <c r="A89" s="67" t="s">
        <v>173</v>
      </c>
      <c r="B89" s="63">
        <v>84</v>
      </c>
      <c r="C89" s="229">
        <v>658895392</v>
      </c>
      <c r="D89" s="229">
        <v>957807482</v>
      </c>
      <c r="E89" s="229">
        <v>1392777746</v>
      </c>
      <c r="F89" s="229">
        <v>443777953</v>
      </c>
      <c r="G89" s="229">
        <v>1156485595</v>
      </c>
      <c r="H89" s="229">
        <v>1630934489</v>
      </c>
      <c r="I89" s="229">
        <v>280826404</v>
      </c>
      <c r="J89" s="229">
        <v>552450273</v>
      </c>
      <c r="K89" s="229">
        <v>853613141</v>
      </c>
      <c r="L89" s="229">
        <v>327354511</v>
      </c>
      <c r="M89" s="229">
        <v>685158863</v>
      </c>
      <c r="N89" s="229">
        <v>961055713</v>
      </c>
      <c r="O89" s="229">
        <v>155434766</v>
      </c>
      <c r="P89" s="229">
        <v>363233924</v>
      </c>
      <c r="Q89" s="229">
        <v>453195163</v>
      </c>
      <c r="R89" s="229">
        <v>579293716</v>
      </c>
      <c r="S89" s="229">
        <v>505416556</v>
      </c>
      <c r="T89" s="229">
        <v>777629887</v>
      </c>
      <c r="U89" s="229">
        <v>941686826</v>
      </c>
      <c r="V89" s="229">
        <v>989716828</v>
      </c>
      <c r="W89" s="229">
        <v>727904519</v>
      </c>
      <c r="X89" s="229">
        <v>500492257</v>
      </c>
      <c r="Y89" s="229">
        <v>338357274</v>
      </c>
      <c r="Z89" s="229">
        <v>284156251</v>
      </c>
      <c r="AA89" s="229">
        <f>SUMIFS([1]!Data_BS[Value],[1]!Data_BS[Index BS],'Dong Lam'!$B89,[1]!Data_BS[TenCongTyID],'Dong Lam'!$B$1,[1]!Data_BS[Thang.Nam],'Dong Lam'!AA$5)</f>
        <v>0</v>
      </c>
      <c r="AB89" s="229">
        <f>SUMIFS([1]!Data_BS[Value],[1]!Data_BS[Index BS],'Dong Lam'!$B89,[1]!Data_BS[TenCongTyID],'Dong Lam'!$B$1,[1]!Data_BS[Thang.Nam],'Dong Lam'!AB$5)</f>
        <v>0</v>
      </c>
      <c r="AC89" s="229">
        <f>SUMIFS([1]!Data_BS[Value],[1]!Data_BS[Index BS],'Dong Lam'!$B89,[1]!Data_BS[TenCongTyID],'Dong Lam'!$B$1,[1]!Data_BS[Thang.Nam],'Dong Lam'!AC$5)</f>
        <v>0</v>
      </c>
      <c r="AD89" s="229">
        <f>SUMIFS([1]!Data_BS[Value],[1]!Data_BS[Index BS],'Dong Lam'!$B89,[1]!Data_BS[TenCongTyID],'Dong Lam'!$B$1,[1]!Data_BS[Thang.Nam],'Dong Lam'!AD$5)</f>
        <v>0</v>
      </c>
      <c r="AE89" s="229">
        <f>SUMIFS([1]!Data_BS[Value],[1]!Data_BS[Index BS],'Dong Lam'!$B89,[1]!Data_BS[TenCongTyID],'Dong Lam'!$B$1,[1]!Data_BS[Thang.Nam],'Dong Lam'!AE$5)</f>
        <v>0</v>
      </c>
      <c r="AF89" s="229">
        <f>SUMIFS([1]!Data_BS[Value],[1]!Data_BS[Index BS],'Dong Lam'!$B89,[1]!Data_BS[TenCongTyID],'Dong Lam'!$B$1,[1]!Data_BS[Thang.Nam],'Dong Lam'!AF$5)</f>
        <v>0</v>
      </c>
      <c r="AG89" s="229">
        <f>SUMIFS([1]!Data_BS[Value],[1]!Data_BS[Index BS],'Dong Lam'!$B89,[1]!Data_BS[TenCongTyID],'Dong Lam'!$B$1,[1]!Data_BS[Thang.Nam],'Dong Lam'!AG$5)</f>
        <v>0</v>
      </c>
      <c r="AH89" s="229">
        <f>SUMIFS([1]!Data_BS[Value],[1]!Data_BS[Index BS],'Dong Lam'!$B89,[1]!Data_BS[TenCongTyID],'Dong Lam'!$B$1,[1]!Data_BS[Thang.Nam],'Dong Lam'!AH$5)</f>
        <v>0</v>
      </c>
      <c r="AI89" s="229">
        <f>SUMIFS([1]!Data_BS[Value],[1]!Data_BS[Index BS],'Dong Lam'!$B89,[1]!Data_BS[TenCongTyID],'Dong Lam'!$B$1,[1]!Data_BS[Thang.Nam],'Dong Lam'!AI$5)</f>
        <v>0</v>
      </c>
      <c r="AJ89" s="229">
        <f>SUMIFS([1]!Data_BS[Value],[1]!Data_BS[Index BS],'Dong Lam'!$B89,[1]!Data_BS[TenCongTyID],'Dong Lam'!$B$1,[1]!Data_BS[Thang.Nam],'Dong Lam'!AJ$5)</f>
        <v>0</v>
      </c>
      <c r="AK89" s="229">
        <f>SUMIFS([1]!Data_BS[Value],[1]!Data_BS[Index BS],'Dong Lam'!$B89,[1]!Data_BS[TenCongTyID],'Dong Lam'!$B$1,[1]!Data_BS[Thang.Nam],'Dong Lam'!AK$5)</f>
        <v>0</v>
      </c>
      <c r="AL89" s="229">
        <f>SUMIFS([1]!Data_BS[Value],[1]!Data_BS[Index BS],'Dong Lam'!$B89,[1]!Data_BS[TenCongTyID],'Dong Lam'!$B$1,[1]!Data_BS[Thang.Nam],'Dong Lam'!AL$5)</f>
        <v>0</v>
      </c>
    </row>
    <row r="90" spans="1:38" ht="15" hidden="1" customHeight="1" outlineLevel="1">
      <c r="A90" s="67" t="s">
        <v>174</v>
      </c>
      <c r="B90" s="63">
        <v>85</v>
      </c>
      <c r="C90" s="229">
        <v>238366968</v>
      </c>
      <c r="D90" s="229">
        <v>200237766</v>
      </c>
      <c r="E90" s="229">
        <v>237626648</v>
      </c>
      <c r="F90" s="229">
        <v>264173796</v>
      </c>
      <c r="G90" s="229">
        <v>268769935</v>
      </c>
      <c r="H90" s="229">
        <v>240493495</v>
      </c>
      <c r="I90" s="229">
        <v>217268506</v>
      </c>
      <c r="J90" s="229"/>
      <c r="K90" s="229">
        <v>225861547</v>
      </c>
      <c r="L90" s="229">
        <v>204354773</v>
      </c>
      <c r="M90" s="229">
        <v>190731219</v>
      </c>
      <c r="N90" s="229">
        <v>328386424</v>
      </c>
      <c r="O90" s="229">
        <v>208437848</v>
      </c>
      <c r="P90" s="229">
        <v>218467619</v>
      </c>
      <c r="Q90" s="229">
        <v>259807632</v>
      </c>
      <c r="R90" s="229">
        <v>1390814</v>
      </c>
      <c r="S90" s="229">
        <v>301719934</v>
      </c>
      <c r="T90" s="229">
        <v>299041666</v>
      </c>
      <c r="U90" s="229">
        <v>291625815</v>
      </c>
      <c r="V90" s="229">
        <v>322997419</v>
      </c>
      <c r="W90" s="229">
        <v>355582789</v>
      </c>
      <c r="X90" s="229">
        <v>289720214</v>
      </c>
      <c r="Y90" s="229">
        <v>292328376</v>
      </c>
      <c r="Z90" s="229">
        <v>610918101</v>
      </c>
      <c r="AA90" s="229">
        <f>SUMIFS([1]!Data_BS[Value],[1]!Data_BS[Index BS],'Dong Lam'!$B90,[1]!Data_BS[TenCongTyID],'Dong Lam'!$B$1,[1]!Data_BS[Thang.Nam],'Dong Lam'!AA$5)</f>
        <v>0</v>
      </c>
      <c r="AB90" s="229">
        <f>SUMIFS([1]!Data_BS[Value],[1]!Data_BS[Index BS],'Dong Lam'!$B90,[1]!Data_BS[TenCongTyID],'Dong Lam'!$B$1,[1]!Data_BS[Thang.Nam],'Dong Lam'!AB$5)</f>
        <v>0</v>
      </c>
      <c r="AC90" s="229">
        <f>SUMIFS([1]!Data_BS[Value],[1]!Data_BS[Index BS],'Dong Lam'!$B90,[1]!Data_BS[TenCongTyID],'Dong Lam'!$B$1,[1]!Data_BS[Thang.Nam],'Dong Lam'!AC$5)</f>
        <v>0</v>
      </c>
      <c r="AD90" s="229">
        <f>SUMIFS([1]!Data_BS[Value],[1]!Data_BS[Index BS],'Dong Lam'!$B90,[1]!Data_BS[TenCongTyID],'Dong Lam'!$B$1,[1]!Data_BS[Thang.Nam],'Dong Lam'!AD$5)</f>
        <v>0</v>
      </c>
      <c r="AE90" s="229">
        <f>SUMIFS([1]!Data_BS[Value],[1]!Data_BS[Index BS],'Dong Lam'!$B90,[1]!Data_BS[TenCongTyID],'Dong Lam'!$B$1,[1]!Data_BS[Thang.Nam],'Dong Lam'!AE$5)</f>
        <v>0</v>
      </c>
      <c r="AF90" s="229">
        <f>SUMIFS([1]!Data_BS[Value],[1]!Data_BS[Index BS],'Dong Lam'!$B90,[1]!Data_BS[TenCongTyID],'Dong Lam'!$B$1,[1]!Data_BS[Thang.Nam],'Dong Lam'!AF$5)</f>
        <v>0</v>
      </c>
      <c r="AG90" s="229">
        <f>SUMIFS([1]!Data_BS[Value],[1]!Data_BS[Index BS],'Dong Lam'!$B90,[1]!Data_BS[TenCongTyID],'Dong Lam'!$B$1,[1]!Data_BS[Thang.Nam],'Dong Lam'!AG$5)</f>
        <v>0</v>
      </c>
      <c r="AH90" s="229">
        <f>SUMIFS([1]!Data_BS[Value],[1]!Data_BS[Index BS],'Dong Lam'!$B90,[1]!Data_BS[TenCongTyID],'Dong Lam'!$B$1,[1]!Data_BS[Thang.Nam],'Dong Lam'!AH$5)</f>
        <v>0</v>
      </c>
      <c r="AI90" s="229">
        <f>SUMIFS([1]!Data_BS[Value],[1]!Data_BS[Index BS],'Dong Lam'!$B90,[1]!Data_BS[TenCongTyID],'Dong Lam'!$B$1,[1]!Data_BS[Thang.Nam],'Dong Lam'!AI$5)</f>
        <v>0</v>
      </c>
      <c r="AJ90" s="229">
        <f>SUMIFS([1]!Data_BS[Value],[1]!Data_BS[Index BS],'Dong Lam'!$B90,[1]!Data_BS[TenCongTyID],'Dong Lam'!$B$1,[1]!Data_BS[Thang.Nam],'Dong Lam'!AJ$5)</f>
        <v>0</v>
      </c>
      <c r="AK90" s="229">
        <f>SUMIFS([1]!Data_BS[Value],[1]!Data_BS[Index BS],'Dong Lam'!$B90,[1]!Data_BS[TenCongTyID],'Dong Lam'!$B$1,[1]!Data_BS[Thang.Nam],'Dong Lam'!AK$5)</f>
        <v>0</v>
      </c>
      <c r="AL90" s="229">
        <f>SUMIFS([1]!Data_BS[Value],[1]!Data_BS[Index BS],'Dong Lam'!$B90,[1]!Data_BS[TenCongTyID],'Dong Lam'!$B$1,[1]!Data_BS[Thang.Nam],'Dong Lam'!AL$5)</f>
        <v>0</v>
      </c>
    </row>
    <row r="91" spans="1:38" ht="15" hidden="1" customHeight="1" outlineLevel="1">
      <c r="A91" s="67" t="s">
        <v>175</v>
      </c>
      <c r="B91" s="63">
        <v>86</v>
      </c>
      <c r="C91" s="229">
        <v>136602409</v>
      </c>
      <c r="D91" s="229">
        <v>52287623</v>
      </c>
      <c r="E91" s="229">
        <v>76951334</v>
      </c>
      <c r="F91" s="229">
        <v>100724140</v>
      </c>
      <c r="G91" s="229">
        <v>133929266</v>
      </c>
      <c r="H91" s="229">
        <v>149052227</v>
      </c>
      <c r="I91" s="229">
        <v>170371660</v>
      </c>
      <c r="J91" s="229">
        <v>194872073</v>
      </c>
      <c r="K91" s="229">
        <v>220980766</v>
      </c>
      <c r="L91" s="229">
        <v>241397992</v>
      </c>
      <c r="M91" s="229">
        <v>262086457</v>
      </c>
      <c r="N91" s="229">
        <v>132246668</v>
      </c>
      <c r="O91" s="229">
        <v>24629409</v>
      </c>
      <c r="P91" s="229">
        <v>66296654</v>
      </c>
      <c r="Q91" s="229">
        <v>77958161</v>
      </c>
      <c r="R91" s="229">
        <v>105574139</v>
      </c>
      <c r="S91" s="229">
        <v>134682735</v>
      </c>
      <c r="T91" s="229">
        <v>170865616</v>
      </c>
      <c r="U91" s="229">
        <v>190726549</v>
      </c>
      <c r="V91" s="229">
        <v>234725683</v>
      </c>
      <c r="W91" s="229">
        <v>252858070</v>
      </c>
      <c r="X91" s="229">
        <v>288227458</v>
      </c>
      <c r="Y91" s="229">
        <v>324681391</v>
      </c>
      <c r="Z91" s="229">
        <v>20591097</v>
      </c>
      <c r="AA91" s="229">
        <f>SUMIFS([1]!Data_BS[Value],[1]!Data_BS[Index BS],'Dong Lam'!$B91,[1]!Data_BS[TenCongTyID],'Dong Lam'!$B$1,[1]!Data_BS[Thang.Nam],'Dong Lam'!AA$5)</f>
        <v>0</v>
      </c>
      <c r="AB91" s="229">
        <f>SUMIFS([1]!Data_BS[Value],[1]!Data_BS[Index BS],'Dong Lam'!$B91,[1]!Data_BS[TenCongTyID],'Dong Lam'!$B$1,[1]!Data_BS[Thang.Nam],'Dong Lam'!AB$5)</f>
        <v>0</v>
      </c>
      <c r="AC91" s="229">
        <f>SUMIFS([1]!Data_BS[Value],[1]!Data_BS[Index BS],'Dong Lam'!$B91,[1]!Data_BS[TenCongTyID],'Dong Lam'!$B$1,[1]!Data_BS[Thang.Nam],'Dong Lam'!AC$5)</f>
        <v>0</v>
      </c>
      <c r="AD91" s="229">
        <f>SUMIFS([1]!Data_BS[Value],[1]!Data_BS[Index BS],'Dong Lam'!$B91,[1]!Data_BS[TenCongTyID],'Dong Lam'!$B$1,[1]!Data_BS[Thang.Nam],'Dong Lam'!AD$5)</f>
        <v>0</v>
      </c>
      <c r="AE91" s="229">
        <f>SUMIFS([1]!Data_BS[Value],[1]!Data_BS[Index BS],'Dong Lam'!$B91,[1]!Data_BS[TenCongTyID],'Dong Lam'!$B$1,[1]!Data_BS[Thang.Nam],'Dong Lam'!AE$5)</f>
        <v>0</v>
      </c>
      <c r="AF91" s="229">
        <f>SUMIFS([1]!Data_BS[Value],[1]!Data_BS[Index BS],'Dong Lam'!$B91,[1]!Data_BS[TenCongTyID],'Dong Lam'!$B$1,[1]!Data_BS[Thang.Nam],'Dong Lam'!AF$5)</f>
        <v>0</v>
      </c>
      <c r="AG91" s="229">
        <f>SUMIFS([1]!Data_BS[Value],[1]!Data_BS[Index BS],'Dong Lam'!$B91,[1]!Data_BS[TenCongTyID],'Dong Lam'!$B$1,[1]!Data_BS[Thang.Nam],'Dong Lam'!AG$5)</f>
        <v>0</v>
      </c>
      <c r="AH91" s="229">
        <f>SUMIFS([1]!Data_BS[Value],[1]!Data_BS[Index BS],'Dong Lam'!$B91,[1]!Data_BS[TenCongTyID],'Dong Lam'!$B$1,[1]!Data_BS[Thang.Nam],'Dong Lam'!AH$5)</f>
        <v>0</v>
      </c>
      <c r="AI91" s="229">
        <f>SUMIFS([1]!Data_BS[Value],[1]!Data_BS[Index BS],'Dong Lam'!$B91,[1]!Data_BS[TenCongTyID],'Dong Lam'!$B$1,[1]!Data_BS[Thang.Nam],'Dong Lam'!AI$5)</f>
        <v>0</v>
      </c>
      <c r="AJ91" s="229">
        <f>SUMIFS([1]!Data_BS[Value],[1]!Data_BS[Index BS],'Dong Lam'!$B91,[1]!Data_BS[TenCongTyID],'Dong Lam'!$B$1,[1]!Data_BS[Thang.Nam],'Dong Lam'!AJ$5)</f>
        <v>0</v>
      </c>
      <c r="AK91" s="229">
        <f>SUMIFS([1]!Data_BS[Value],[1]!Data_BS[Index BS],'Dong Lam'!$B91,[1]!Data_BS[TenCongTyID],'Dong Lam'!$B$1,[1]!Data_BS[Thang.Nam],'Dong Lam'!AK$5)</f>
        <v>0</v>
      </c>
      <c r="AL91" s="229">
        <f>SUMIFS([1]!Data_BS[Value],[1]!Data_BS[Index BS],'Dong Lam'!$B91,[1]!Data_BS[TenCongTyID],'Dong Lam'!$B$1,[1]!Data_BS[Thang.Nam],'Dong Lam'!AL$5)</f>
        <v>0</v>
      </c>
    </row>
    <row r="92" spans="1:38" ht="15" hidden="1" customHeight="1" outlineLevel="1">
      <c r="A92" s="67" t="s">
        <v>176</v>
      </c>
      <c r="B92" s="63">
        <v>87</v>
      </c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>
        <v>0</v>
      </c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>
        <v>0</v>
      </c>
      <c r="AA92" s="229">
        <f>SUMIFS([1]!Data_BS[Value],[1]!Data_BS[Index BS],'Dong Lam'!$B92,[1]!Data_BS[TenCongTyID],'Dong Lam'!$B$1,[1]!Data_BS[Thang.Nam],'Dong Lam'!AA$5)</f>
        <v>0</v>
      </c>
      <c r="AB92" s="229">
        <f>SUMIFS([1]!Data_BS[Value],[1]!Data_BS[Index BS],'Dong Lam'!$B92,[1]!Data_BS[TenCongTyID],'Dong Lam'!$B$1,[1]!Data_BS[Thang.Nam],'Dong Lam'!AB$5)</f>
        <v>0</v>
      </c>
      <c r="AC92" s="229">
        <f>SUMIFS([1]!Data_BS[Value],[1]!Data_BS[Index BS],'Dong Lam'!$B92,[1]!Data_BS[TenCongTyID],'Dong Lam'!$B$1,[1]!Data_BS[Thang.Nam],'Dong Lam'!AC$5)</f>
        <v>0</v>
      </c>
      <c r="AD92" s="229">
        <f>SUMIFS([1]!Data_BS[Value],[1]!Data_BS[Index BS],'Dong Lam'!$B92,[1]!Data_BS[TenCongTyID],'Dong Lam'!$B$1,[1]!Data_BS[Thang.Nam],'Dong Lam'!AD$5)</f>
        <v>0</v>
      </c>
      <c r="AE92" s="229">
        <f>SUMIFS([1]!Data_BS[Value],[1]!Data_BS[Index BS],'Dong Lam'!$B92,[1]!Data_BS[TenCongTyID],'Dong Lam'!$B$1,[1]!Data_BS[Thang.Nam],'Dong Lam'!AE$5)</f>
        <v>0</v>
      </c>
      <c r="AF92" s="229">
        <f>SUMIFS([1]!Data_BS[Value],[1]!Data_BS[Index BS],'Dong Lam'!$B92,[1]!Data_BS[TenCongTyID],'Dong Lam'!$B$1,[1]!Data_BS[Thang.Nam],'Dong Lam'!AF$5)</f>
        <v>0</v>
      </c>
      <c r="AG92" s="229">
        <f>SUMIFS([1]!Data_BS[Value],[1]!Data_BS[Index BS],'Dong Lam'!$B92,[1]!Data_BS[TenCongTyID],'Dong Lam'!$B$1,[1]!Data_BS[Thang.Nam],'Dong Lam'!AG$5)</f>
        <v>0</v>
      </c>
      <c r="AH92" s="229">
        <f>SUMIFS([1]!Data_BS[Value],[1]!Data_BS[Index BS],'Dong Lam'!$B92,[1]!Data_BS[TenCongTyID],'Dong Lam'!$B$1,[1]!Data_BS[Thang.Nam],'Dong Lam'!AH$5)</f>
        <v>0</v>
      </c>
      <c r="AI92" s="229">
        <f>SUMIFS([1]!Data_BS[Value],[1]!Data_BS[Index BS],'Dong Lam'!$B92,[1]!Data_BS[TenCongTyID],'Dong Lam'!$B$1,[1]!Data_BS[Thang.Nam],'Dong Lam'!AI$5)</f>
        <v>0</v>
      </c>
      <c r="AJ92" s="229">
        <f>SUMIFS([1]!Data_BS[Value],[1]!Data_BS[Index BS],'Dong Lam'!$B92,[1]!Data_BS[TenCongTyID],'Dong Lam'!$B$1,[1]!Data_BS[Thang.Nam],'Dong Lam'!AJ$5)</f>
        <v>0</v>
      </c>
      <c r="AK92" s="229">
        <f>SUMIFS([1]!Data_BS[Value],[1]!Data_BS[Index BS],'Dong Lam'!$B92,[1]!Data_BS[TenCongTyID],'Dong Lam'!$B$1,[1]!Data_BS[Thang.Nam],'Dong Lam'!AK$5)</f>
        <v>0</v>
      </c>
      <c r="AL92" s="229">
        <f>SUMIFS([1]!Data_BS[Value],[1]!Data_BS[Index BS],'Dong Lam'!$B92,[1]!Data_BS[TenCongTyID],'Dong Lam'!$B$1,[1]!Data_BS[Thang.Nam],'Dong Lam'!AL$5)</f>
        <v>0</v>
      </c>
    </row>
    <row r="93" spans="1:38" ht="15" hidden="1" customHeight="1" outlineLevel="1">
      <c r="A93" s="67" t="s">
        <v>177</v>
      </c>
      <c r="B93" s="63">
        <v>88</v>
      </c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>
        <v>0</v>
      </c>
      <c r="AA93" s="229">
        <f>SUMIFS([1]!Data_BS[Value],[1]!Data_BS[Index BS],'Dong Lam'!$B93,[1]!Data_BS[TenCongTyID],'Dong Lam'!$B$1,[1]!Data_BS[Thang.Nam],'Dong Lam'!AA$5)</f>
        <v>0</v>
      </c>
      <c r="AB93" s="229">
        <f>SUMIFS([1]!Data_BS[Value],[1]!Data_BS[Index BS],'Dong Lam'!$B93,[1]!Data_BS[TenCongTyID],'Dong Lam'!$B$1,[1]!Data_BS[Thang.Nam],'Dong Lam'!AB$5)</f>
        <v>0</v>
      </c>
      <c r="AC93" s="229">
        <f>SUMIFS([1]!Data_BS[Value],[1]!Data_BS[Index BS],'Dong Lam'!$B93,[1]!Data_BS[TenCongTyID],'Dong Lam'!$B$1,[1]!Data_BS[Thang.Nam],'Dong Lam'!AC$5)</f>
        <v>0</v>
      </c>
      <c r="AD93" s="229">
        <f>SUMIFS([1]!Data_BS[Value],[1]!Data_BS[Index BS],'Dong Lam'!$B93,[1]!Data_BS[TenCongTyID],'Dong Lam'!$B$1,[1]!Data_BS[Thang.Nam],'Dong Lam'!AD$5)</f>
        <v>0</v>
      </c>
      <c r="AE93" s="229">
        <f>SUMIFS([1]!Data_BS[Value],[1]!Data_BS[Index BS],'Dong Lam'!$B93,[1]!Data_BS[TenCongTyID],'Dong Lam'!$B$1,[1]!Data_BS[Thang.Nam],'Dong Lam'!AE$5)</f>
        <v>0</v>
      </c>
      <c r="AF93" s="229">
        <f>SUMIFS([1]!Data_BS[Value],[1]!Data_BS[Index BS],'Dong Lam'!$B93,[1]!Data_BS[TenCongTyID],'Dong Lam'!$B$1,[1]!Data_BS[Thang.Nam],'Dong Lam'!AF$5)</f>
        <v>0</v>
      </c>
      <c r="AG93" s="229">
        <f>SUMIFS([1]!Data_BS[Value],[1]!Data_BS[Index BS],'Dong Lam'!$B93,[1]!Data_BS[TenCongTyID],'Dong Lam'!$B$1,[1]!Data_BS[Thang.Nam],'Dong Lam'!AG$5)</f>
        <v>0</v>
      </c>
      <c r="AH93" s="229">
        <f>SUMIFS([1]!Data_BS[Value],[1]!Data_BS[Index BS],'Dong Lam'!$B93,[1]!Data_BS[TenCongTyID],'Dong Lam'!$B$1,[1]!Data_BS[Thang.Nam],'Dong Lam'!AH$5)</f>
        <v>0</v>
      </c>
      <c r="AI93" s="229">
        <f>SUMIFS([1]!Data_BS[Value],[1]!Data_BS[Index BS],'Dong Lam'!$B93,[1]!Data_BS[TenCongTyID],'Dong Lam'!$B$1,[1]!Data_BS[Thang.Nam],'Dong Lam'!AI$5)</f>
        <v>0</v>
      </c>
      <c r="AJ93" s="229">
        <f>SUMIFS([1]!Data_BS[Value],[1]!Data_BS[Index BS],'Dong Lam'!$B93,[1]!Data_BS[TenCongTyID],'Dong Lam'!$B$1,[1]!Data_BS[Thang.Nam],'Dong Lam'!AJ$5)</f>
        <v>0</v>
      </c>
      <c r="AK93" s="229">
        <f>SUMIFS([1]!Data_BS[Value],[1]!Data_BS[Index BS],'Dong Lam'!$B93,[1]!Data_BS[TenCongTyID],'Dong Lam'!$B$1,[1]!Data_BS[Thang.Nam],'Dong Lam'!AK$5)</f>
        <v>0</v>
      </c>
      <c r="AL93" s="229">
        <f>SUMIFS([1]!Data_BS[Value],[1]!Data_BS[Index BS],'Dong Lam'!$B93,[1]!Data_BS[TenCongTyID],'Dong Lam'!$B$1,[1]!Data_BS[Thang.Nam],'Dong Lam'!AL$5)</f>
        <v>0</v>
      </c>
    </row>
    <row r="94" spans="1:38" ht="15" hidden="1" customHeight="1" outlineLevel="1">
      <c r="A94" s="67" t="s">
        <v>178</v>
      </c>
      <c r="B94" s="63">
        <v>89</v>
      </c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>
        <v>0</v>
      </c>
      <c r="AA94" s="229">
        <f>SUMIFS([1]!Data_BS[Value],[1]!Data_BS[Index BS],'Dong Lam'!$B94,[1]!Data_BS[TenCongTyID],'Dong Lam'!$B$1,[1]!Data_BS[Thang.Nam],'Dong Lam'!AA$5)</f>
        <v>0</v>
      </c>
      <c r="AB94" s="229">
        <f>SUMIFS([1]!Data_BS[Value],[1]!Data_BS[Index BS],'Dong Lam'!$B94,[1]!Data_BS[TenCongTyID],'Dong Lam'!$B$1,[1]!Data_BS[Thang.Nam],'Dong Lam'!AB$5)</f>
        <v>0</v>
      </c>
      <c r="AC94" s="229">
        <f>SUMIFS([1]!Data_BS[Value],[1]!Data_BS[Index BS],'Dong Lam'!$B94,[1]!Data_BS[TenCongTyID],'Dong Lam'!$B$1,[1]!Data_BS[Thang.Nam],'Dong Lam'!AC$5)</f>
        <v>0</v>
      </c>
      <c r="AD94" s="229">
        <f>SUMIFS([1]!Data_BS[Value],[1]!Data_BS[Index BS],'Dong Lam'!$B94,[1]!Data_BS[TenCongTyID],'Dong Lam'!$B$1,[1]!Data_BS[Thang.Nam],'Dong Lam'!AD$5)</f>
        <v>0</v>
      </c>
      <c r="AE94" s="229">
        <f>SUMIFS([1]!Data_BS[Value],[1]!Data_BS[Index BS],'Dong Lam'!$B94,[1]!Data_BS[TenCongTyID],'Dong Lam'!$B$1,[1]!Data_BS[Thang.Nam],'Dong Lam'!AE$5)</f>
        <v>0</v>
      </c>
      <c r="AF94" s="229">
        <f>SUMIFS([1]!Data_BS[Value],[1]!Data_BS[Index BS],'Dong Lam'!$B94,[1]!Data_BS[TenCongTyID],'Dong Lam'!$B$1,[1]!Data_BS[Thang.Nam],'Dong Lam'!AF$5)</f>
        <v>0</v>
      </c>
      <c r="AG94" s="229">
        <f>SUMIFS([1]!Data_BS[Value],[1]!Data_BS[Index BS],'Dong Lam'!$B94,[1]!Data_BS[TenCongTyID],'Dong Lam'!$B$1,[1]!Data_BS[Thang.Nam],'Dong Lam'!AG$5)</f>
        <v>0</v>
      </c>
      <c r="AH94" s="229">
        <f>SUMIFS([1]!Data_BS[Value],[1]!Data_BS[Index BS],'Dong Lam'!$B94,[1]!Data_BS[TenCongTyID],'Dong Lam'!$B$1,[1]!Data_BS[Thang.Nam],'Dong Lam'!AH$5)</f>
        <v>0</v>
      </c>
      <c r="AI94" s="229">
        <f>SUMIFS([1]!Data_BS[Value],[1]!Data_BS[Index BS],'Dong Lam'!$B94,[1]!Data_BS[TenCongTyID],'Dong Lam'!$B$1,[1]!Data_BS[Thang.Nam],'Dong Lam'!AI$5)</f>
        <v>0</v>
      </c>
      <c r="AJ94" s="229">
        <f>SUMIFS([1]!Data_BS[Value],[1]!Data_BS[Index BS],'Dong Lam'!$B94,[1]!Data_BS[TenCongTyID],'Dong Lam'!$B$1,[1]!Data_BS[Thang.Nam],'Dong Lam'!AJ$5)</f>
        <v>0</v>
      </c>
      <c r="AK94" s="229">
        <f>SUMIFS([1]!Data_BS[Value],[1]!Data_BS[Index BS],'Dong Lam'!$B94,[1]!Data_BS[TenCongTyID],'Dong Lam'!$B$1,[1]!Data_BS[Thang.Nam],'Dong Lam'!AK$5)</f>
        <v>0</v>
      </c>
      <c r="AL94" s="229">
        <f>SUMIFS([1]!Data_BS[Value],[1]!Data_BS[Index BS],'Dong Lam'!$B94,[1]!Data_BS[TenCongTyID],'Dong Lam'!$B$1,[1]!Data_BS[Thang.Nam],'Dong Lam'!AL$5)</f>
        <v>0</v>
      </c>
    </row>
    <row r="95" spans="1:38" ht="15" hidden="1" customHeight="1" outlineLevel="1">
      <c r="A95" s="67" t="s">
        <v>179</v>
      </c>
      <c r="B95" s="63">
        <v>90</v>
      </c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>
        <v>7329740</v>
      </c>
      <c r="P95" s="229">
        <v>8526640</v>
      </c>
      <c r="Q95" s="229">
        <v>9634140</v>
      </c>
      <c r="R95" s="229">
        <v>6132840</v>
      </c>
      <c r="S95" s="229">
        <v>44700</v>
      </c>
      <c r="T95" s="229">
        <v>5240200</v>
      </c>
      <c r="U95" s="229">
        <v>1212800</v>
      </c>
      <c r="V95" s="229"/>
      <c r="W95" s="229"/>
      <c r="X95" s="229"/>
      <c r="Y95" s="229"/>
      <c r="Z95" s="229">
        <v>0</v>
      </c>
      <c r="AA95" s="229">
        <f>SUMIFS([1]!Data_BS[Value],[1]!Data_BS[Index BS],'Dong Lam'!$B95,[1]!Data_BS[TenCongTyID],'Dong Lam'!$B$1,[1]!Data_BS[Thang.Nam],'Dong Lam'!AA$5)</f>
        <v>0</v>
      </c>
      <c r="AB95" s="229">
        <f>SUMIFS([1]!Data_BS[Value],[1]!Data_BS[Index BS],'Dong Lam'!$B95,[1]!Data_BS[TenCongTyID],'Dong Lam'!$B$1,[1]!Data_BS[Thang.Nam],'Dong Lam'!AB$5)</f>
        <v>0</v>
      </c>
      <c r="AC95" s="229">
        <f>SUMIFS([1]!Data_BS[Value],[1]!Data_BS[Index BS],'Dong Lam'!$B95,[1]!Data_BS[TenCongTyID],'Dong Lam'!$B$1,[1]!Data_BS[Thang.Nam],'Dong Lam'!AC$5)</f>
        <v>0</v>
      </c>
      <c r="AD95" s="229">
        <f>SUMIFS([1]!Data_BS[Value],[1]!Data_BS[Index BS],'Dong Lam'!$B95,[1]!Data_BS[TenCongTyID],'Dong Lam'!$B$1,[1]!Data_BS[Thang.Nam],'Dong Lam'!AD$5)</f>
        <v>0</v>
      </c>
      <c r="AE95" s="229">
        <f>SUMIFS([1]!Data_BS[Value],[1]!Data_BS[Index BS],'Dong Lam'!$B95,[1]!Data_BS[TenCongTyID],'Dong Lam'!$B$1,[1]!Data_BS[Thang.Nam],'Dong Lam'!AE$5)</f>
        <v>0</v>
      </c>
      <c r="AF95" s="229">
        <f>SUMIFS([1]!Data_BS[Value],[1]!Data_BS[Index BS],'Dong Lam'!$B95,[1]!Data_BS[TenCongTyID],'Dong Lam'!$B$1,[1]!Data_BS[Thang.Nam],'Dong Lam'!AF$5)</f>
        <v>0</v>
      </c>
      <c r="AG95" s="229">
        <f>SUMIFS([1]!Data_BS[Value],[1]!Data_BS[Index BS],'Dong Lam'!$B95,[1]!Data_BS[TenCongTyID],'Dong Lam'!$B$1,[1]!Data_BS[Thang.Nam],'Dong Lam'!AG$5)</f>
        <v>0</v>
      </c>
      <c r="AH95" s="229">
        <f>SUMIFS([1]!Data_BS[Value],[1]!Data_BS[Index BS],'Dong Lam'!$B95,[1]!Data_BS[TenCongTyID],'Dong Lam'!$B$1,[1]!Data_BS[Thang.Nam],'Dong Lam'!AH$5)</f>
        <v>0</v>
      </c>
      <c r="AI95" s="229">
        <f>SUMIFS([1]!Data_BS[Value],[1]!Data_BS[Index BS],'Dong Lam'!$B95,[1]!Data_BS[TenCongTyID],'Dong Lam'!$B$1,[1]!Data_BS[Thang.Nam],'Dong Lam'!AI$5)</f>
        <v>0</v>
      </c>
      <c r="AJ95" s="229">
        <f>SUMIFS([1]!Data_BS[Value],[1]!Data_BS[Index BS],'Dong Lam'!$B95,[1]!Data_BS[TenCongTyID],'Dong Lam'!$B$1,[1]!Data_BS[Thang.Nam],'Dong Lam'!AJ$5)</f>
        <v>0</v>
      </c>
      <c r="AK95" s="229">
        <f>SUMIFS([1]!Data_BS[Value],[1]!Data_BS[Index BS],'Dong Lam'!$B95,[1]!Data_BS[TenCongTyID],'Dong Lam'!$B$1,[1]!Data_BS[Thang.Nam],'Dong Lam'!AK$5)</f>
        <v>0</v>
      </c>
      <c r="AL95" s="229">
        <f>SUMIFS([1]!Data_BS[Value],[1]!Data_BS[Index BS],'Dong Lam'!$B95,[1]!Data_BS[TenCongTyID],'Dong Lam'!$B$1,[1]!Data_BS[Thang.Nam],'Dong Lam'!AL$5)</f>
        <v>0</v>
      </c>
    </row>
    <row r="96" spans="1:38" ht="15" hidden="1" customHeight="1" outlineLevel="1">
      <c r="A96" s="67" t="s">
        <v>180</v>
      </c>
      <c r="B96" s="63">
        <v>91</v>
      </c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>
        <v>0</v>
      </c>
      <c r="AA96" s="229">
        <f>SUMIFS([1]!Data_BS[Value],[1]!Data_BS[Index BS],'Dong Lam'!$B96,[1]!Data_BS[TenCongTyID],'Dong Lam'!$B$1,[1]!Data_BS[Thang.Nam],'Dong Lam'!AA$5)</f>
        <v>0</v>
      </c>
      <c r="AB96" s="229">
        <f>SUMIFS([1]!Data_BS[Value],[1]!Data_BS[Index BS],'Dong Lam'!$B96,[1]!Data_BS[TenCongTyID],'Dong Lam'!$B$1,[1]!Data_BS[Thang.Nam],'Dong Lam'!AB$5)</f>
        <v>0</v>
      </c>
      <c r="AC96" s="229">
        <f>SUMIFS([1]!Data_BS[Value],[1]!Data_BS[Index BS],'Dong Lam'!$B96,[1]!Data_BS[TenCongTyID],'Dong Lam'!$B$1,[1]!Data_BS[Thang.Nam],'Dong Lam'!AC$5)</f>
        <v>0</v>
      </c>
      <c r="AD96" s="229">
        <f>SUMIFS([1]!Data_BS[Value],[1]!Data_BS[Index BS],'Dong Lam'!$B96,[1]!Data_BS[TenCongTyID],'Dong Lam'!$B$1,[1]!Data_BS[Thang.Nam],'Dong Lam'!AD$5)</f>
        <v>0</v>
      </c>
      <c r="AE96" s="229">
        <f>SUMIFS([1]!Data_BS[Value],[1]!Data_BS[Index BS],'Dong Lam'!$B96,[1]!Data_BS[TenCongTyID],'Dong Lam'!$B$1,[1]!Data_BS[Thang.Nam],'Dong Lam'!AE$5)</f>
        <v>0</v>
      </c>
      <c r="AF96" s="229">
        <f>SUMIFS([1]!Data_BS[Value],[1]!Data_BS[Index BS],'Dong Lam'!$B96,[1]!Data_BS[TenCongTyID],'Dong Lam'!$B$1,[1]!Data_BS[Thang.Nam],'Dong Lam'!AF$5)</f>
        <v>0</v>
      </c>
      <c r="AG96" s="229">
        <f>SUMIFS([1]!Data_BS[Value],[1]!Data_BS[Index BS],'Dong Lam'!$B96,[1]!Data_BS[TenCongTyID],'Dong Lam'!$B$1,[1]!Data_BS[Thang.Nam],'Dong Lam'!AG$5)</f>
        <v>0</v>
      </c>
      <c r="AH96" s="229">
        <f>SUMIFS([1]!Data_BS[Value],[1]!Data_BS[Index BS],'Dong Lam'!$B96,[1]!Data_BS[TenCongTyID],'Dong Lam'!$B$1,[1]!Data_BS[Thang.Nam],'Dong Lam'!AH$5)</f>
        <v>0</v>
      </c>
      <c r="AI96" s="229">
        <f>SUMIFS([1]!Data_BS[Value],[1]!Data_BS[Index BS],'Dong Lam'!$B96,[1]!Data_BS[TenCongTyID],'Dong Lam'!$B$1,[1]!Data_BS[Thang.Nam],'Dong Lam'!AI$5)</f>
        <v>0</v>
      </c>
      <c r="AJ96" s="229">
        <f>SUMIFS([1]!Data_BS[Value],[1]!Data_BS[Index BS],'Dong Lam'!$B96,[1]!Data_BS[TenCongTyID],'Dong Lam'!$B$1,[1]!Data_BS[Thang.Nam],'Dong Lam'!AJ$5)</f>
        <v>0</v>
      </c>
      <c r="AK96" s="229">
        <f>SUMIFS([1]!Data_BS[Value],[1]!Data_BS[Index BS],'Dong Lam'!$B96,[1]!Data_BS[TenCongTyID],'Dong Lam'!$B$1,[1]!Data_BS[Thang.Nam],'Dong Lam'!AK$5)</f>
        <v>0</v>
      </c>
      <c r="AL96" s="229">
        <f>SUMIFS([1]!Data_BS[Value],[1]!Data_BS[Index BS],'Dong Lam'!$B96,[1]!Data_BS[TenCongTyID],'Dong Lam'!$B$1,[1]!Data_BS[Thang.Nam],'Dong Lam'!AL$5)</f>
        <v>0</v>
      </c>
    </row>
    <row r="97" spans="1:38" ht="15" hidden="1" customHeight="1" outlineLevel="1">
      <c r="A97" s="67" t="s">
        <v>181</v>
      </c>
      <c r="B97" s="63">
        <v>92</v>
      </c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>
        <v>0</v>
      </c>
      <c r="AA97" s="229">
        <f>SUMIFS([1]!Data_BS[Value],[1]!Data_BS[Index BS],'Dong Lam'!$B97,[1]!Data_BS[TenCongTyID],'Dong Lam'!$B$1,[1]!Data_BS[Thang.Nam],'Dong Lam'!AA$5)</f>
        <v>0</v>
      </c>
      <c r="AB97" s="229">
        <f>SUMIFS([1]!Data_BS[Value],[1]!Data_BS[Index BS],'Dong Lam'!$B97,[1]!Data_BS[TenCongTyID],'Dong Lam'!$B$1,[1]!Data_BS[Thang.Nam],'Dong Lam'!AB$5)</f>
        <v>0</v>
      </c>
      <c r="AC97" s="229">
        <f>SUMIFS([1]!Data_BS[Value],[1]!Data_BS[Index BS],'Dong Lam'!$B97,[1]!Data_BS[TenCongTyID],'Dong Lam'!$B$1,[1]!Data_BS[Thang.Nam],'Dong Lam'!AC$5)</f>
        <v>0</v>
      </c>
      <c r="AD97" s="229">
        <f>SUMIFS([1]!Data_BS[Value],[1]!Data_BS[Index BS],'Dong Lam'!$B97,[1]!Data_BS[TenCongTyID],'Dong Lam'!$B$1,[1]!Data_BS[Thang.Nam],'Dong Lam'!AD$5)</f>
        <v>0</v>
      </c>
      <c r="AE97" s="229">
        <f>SUMIFS([1]!Data_BS[Value],[1]!Data_BS[Index BS],'Dong Lam'!$B97,[1]!Data_BS[TenCongTyID],'Dong Lam'!$B$1,[1]!Data_BS[Thang.Nam],'Dong Lam'!AE$5)</f>
        <v>0</v>
      </c>
      <c r="AF97" s="229">
        <f>SUMIFS([1]!Data_BS[Value],[1]!Data_BS[Index BS],'Dong Lam'!$B97,[1]!Data_BS[TenCongTyID],'Dong Lam'!$B$1,[1]!Data_BS[Thang.Nam],'Dong Lam'!AF$5)</f>
        <v>0</v>
      </c>
      <c r="AG97" s="229">
        <f>SUMIFS([1]!Data_BS[Value],[1]!Data_BS[Index BS],'Dong Lam'!$B97,[1]!Data_BS[TenCongTyID],'Dong Lam'!$B$1,[1]!Data_BS[Thang.Nam],'Dong Lam'!AG$5)</f>
        <v>0</v>
      </c>
      <c r="AH97" s="229">
        <f>SUMIFS([1]!Data_BS[Value],[1]!Data_BS[Index BS],'Dong Lam'!$B97,[1]!Data_BS[TenCongTyID],'Dong Lam'!$B$1,[1]!Data_BS[Thang.Nam],'Dong Lam'!AH$5)</f>
        <v>0</v>
      </c>
      <c r="AI97" s="229">
        <f>SUMIFS([1]!Data_BS[Value],[1]!Data_BS[Index BS],'Dong Lam'!$B97,[1]!Data_BS[TenCongTyID],'Dong Lam'!$B$1,[1]!Data_BS[Thang.Nam],'Dong Lam'!AI$5)</f>
        <v>0</v>
      </c>
      <c r="AJ97" s="229">
        <f>SUMIFS([1]!Data_BS[Value],[1]!Data_BS[Index BS],'Dong Lam'!$B97,[1]!Data_BS[TenCongTyID],'Dong Lam'!$B$1,[1]!Data_BS[Thang.Nam],'Dong Lam'!AJ$5)</f>
        <v>0</v>
      </c>
      <c r="AK97" s="229">
        <f>SUMIFS([1]!Data_BS[Value],[1]!Data_BS[Index BS],'Dong Lam'!$B97,[1]!Data_BS[TenCongTyID],'Dong Lam'!$B$1,[1]!Data_BS[Thang.Nam],'Dong Lam'!AK$5)</f>
        <v>0</v>
      </c>
      <c r="AL97" s="229">
        <f>SUMIFS([1]!Data_BS[Value],[1]!Data_BS[Index BS],'Dong Lam'!$B97,[1]!Data_BS[TenCongTyID],'Dong Lam'!$B$1,[1]!Data_BS[Thang.Nam],'Dong Lam'!AL$5)</f>
        <v>0</v>
      </c>
    </row>
    <row r="98" spans="1:38" ht="15" hidden="1" customHeight="1" outlineLevel="1">
      <c r="A98" s="67" t="s">
        <v>182</v>
      </c>
      <c r="B98" s="63">
        <v>93</v>
      </c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>
        <v>0</v>
      </c>
      <c r="AA98" s="229">
        <f>SUMIFS([1]!Data_BS[Value],[1]!Data_BS[Index BS],'Dong Lam'!$B98,[1]!Data_BS[TenCongTyID],'Dong Lam'!$B$1,[1]!Data_BS[Thang.Nam],'Dong Lam'!AA$5)</f>
        <v>0</v>
      </c>
      <c r="AB98" s="229">
        <f>SUMIFS([1]!Data_BS[Value],[1]!Data_BS[Index BS],'Dong Lam'!$B98,[1]!Data_BS[TenCongTyID],'Dong Lam'!$B$1,[1]!Data_BS[Thang.Nam],'Dong Lam'!AB$5)</f>
        <v>0</v>
      </c>
      <c r="AC98" s="229">
        <f>SUMIFS([1]!Data_BS[Value],[1]!Data_BS[Index BS],'Dong Lam'!$B98,[1]!Data_BS[TenCongTyID],'Dong Lam'!$B$1,[1]!Data_BS[Thang.Nam],'Dong Lam'!AC$5)</f>
        <v>0</v>
      </c>
      <c r="AD98" s="229">
        <f>SUMIFS([1]!Data_BS[Value],[1]!Data_BS[Index BS],'Dong Lam'!$B98,[1]!Data_BS[TenCongTyID],'Dong Lam'!$B$1,[1]!Data_BS[Thang.Nam],'Dong Lam'!AD$5)</f>
        <v>0</v>
      </c>
      <c r="AE98" s="229">
        <f>SUMIFS([1]!Data_BS[Value],[1]!Data_BS[Index BS],'Dong Lam'!$B98,[1]!Data_BS[TenCongTyID],'Dong Lam'!$B$1,[1]!Data_BS[Thang.Nam],'Dong Lam'!AE$5)</f>
        <v>0</v>
      </c>
      <c r="AF98" s="229">
        <f>SUMIFS([1]!Data_BS[Value],[1]!Data_BS[Index BS],'Dong Lam'!$B98,[1]!Data_BS[TenCongTyID],'Dong Lam'!$B$1,[1]!Data_BS[Thang.Nam],'Dong Lam'!AF$5)</f>
        <v>0</v>
      </c>
      <c r="AG98" s="229">
        <f>SUMIFS([1]!Data_BS[Value],[1]!Data_BS[Index BS],'Dong Lam'!$B98,[1]!Data_BS[TenCongTyID],'Dong Lam'!$B$1,[1]!Data_BS[Thang.Nam],'Dong Lam'!AG$5)</f>
        <v>0</v>
      </c>
      <c r="AH98" s="229">
        <f>SUMIFS([1]!Data_BS[Value],[1]!Data_BS[Index BS],'Dong Lam'!$B98,[1]!Data_BS[TenCongTyID],'Dong Lam'!$B$1,[1]!Data_BS[Thang.Nam],'Dong Lam'!AH$5)</f>
        <v>0</v>
      </c>
      <c r="AI98" s="229">
        <f>SUMIFS([1]!Data_BS[Value],[1]!Data_BS[Index BS],'Dong Lam'!$B98,[1]!Data_BS[TenCongTyID],'Dong Lam'!$B$1,[1]!Data_BS[Thang.Nam],'Dong Lam'!AI$5)</f>
        <v>0</v>
      </c>
      <c r="AJ98" s="229">
        <f>SUMIFS([1]!Data_BS[Value],[1]!Data_BS[Index BS],'Dong Lam'!$B98,[1]!Data_BS[TenCongTyID],'Dong Lam'!$B$1,[1]!Data_BS[Thang.Nam],'Dong Lam'!AJ$5)</f>
        <v>0</v>
      </c>
      <c r="AK98" s="229">
        <f>SUMIFS([1]!Data_BS[Value],[1]!Data_BS[Index BS],'Dong Lam'!$B98,[1]!Data_BS[TenCongTyID],'Dong Lam'!$B$1,[1]!Data_BS[Thang.Nam],'Dong Lam'!AK$5)</f>
        <v>0</v>
      </c>
      <c r="AL98" s="229">
        <f>SUMIFS([1]!Data_BS[Value],[1]!Data_BS[Index BS],'Dong Lam'!$B98,[1]!Data_BS[TenCongTyID],'Dong Lam'!$B$1,[1]!Data_BS[Thang.Nam],'Dong Lam'!AL$5)</f>
        <v>0</v>
      </c>
    </row>
    <row r="99" spans="1:38" ht="15" hidden="1" customHeight="1" outlineLevel="1">
      <c r="A99" s="68" t="s">
        <v>183</v>
      </c>
      <c r="B99" s="63">
        <v>94</v>
      </c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>
        <v>0</v>
      </c>
      <c r="AA99" s="229">
        <f>SUMIFS([1]!Data_BS[Value],[1]!Data_BS[Index BS],'Dong Lam'!$B99,[1]!Data_BS[TenCongTyID],'Dong Lam'!$B$1,[1]!Data_BS[Thang.Nam],'Dong Lam'!AA$5)</f>
        <v>0</v>
      </c>
      <c r="AB99" s="229">
        <f>SUMIFS([1]!Data_BS[Value],[1]!Data_BS[Index BS],'Dong Lam'!$B99,[1]!Data_BS[TenCongTyID],'Dong Lam'!$B$1,[1]!Data_BS[Thang.Nam],'Dong Lam'!AB$5)</f>
        <v>0</v>
      </c>
      <c r="AC99" s="229">
        <f>SUMIFS([1]!Data_BS[Value],[1]!Data_BS[Index BS],'Dong Lam'!$B99,[1]!Data_BS[TenCongTyID],'Dong Lam'!$B$1,[1]!Data_BS[Thang.Nam],'Dong Lam'!AC$5)</f>
        <v>0</v>
      </c>
      <c r="AD99" s="229">
        <f>SUMIFS([1]!Data_BS[Value],[1]!Data_BS[Index BS],'Dong Lam'!$B99,[1]!Data_BS[TenCongTyID],'Dong Lam'!$B$1,[1]!Data_BS[Thang.Nam],'Dong Lam'!AD$5)</f>
        <v>0</v>
      </c>
      <c r="AE99" s="229">
        <f>SUMIFS([1]!Data_BS[Value],[1]!Data_BS[Index BS],'Dong Lam'!$B99,[1]!Data_BS[TenCongTyID],'Dong Lam'!$B$1,[1]!Data_BS[Thang.Nam],'Dong Lam'!AE$5)</f>
        <v>0</v>
      </c>
      <c r="AF99" s="229">
        <f>SUMIFS([1]!Data_BS[Value],[1]!Data_BS[Index BS],'Dong Lam'!$B99,[1]!Data_BS[TenCongTyID],'Dong Lam'!$B$1,[1]!Data_BS[Thang.Nam],'Dong Lam'!AF$5)</f>
        <v>0</v>
      </c>
      <c r="AG99" s="229">
        <f>SUMIFS([1]!Data_BS[Value],[1]!Data_BS[Index BS],'Dong Lam'!$B99,[1]!Data_BS[TenCongTyID],'Dong Lam'!$B$1,[1]!Data_BS[Thang.Nam],'Dong Lam'!AG$5)</f>
        <v>0</v>
      </c>
      <c r="AH99" s="229">
        <f>SUMIFS([1]!Data_BS[Value],[1]!Data_BS[Index BS],'Dong Lam'!$B99,[1]!Data_BS[TenCongTyID],'Dong Lam'!$B$1,[1]!Data_BS[Thang.Nam],'Dong Lam'!AH$5)</f>
        <v>0</v>
      </c>
      <c r="AI99" s="229">
        <f>SUMIFS([1]!Data_BS[Value],[1]!Data_BS[Index BS],'Dong Lam'!$B99,[1]!Data_BS[TenCongTyID],'Dong Lam'!$B$1,[1]!Data_BS[Thang.Nam],'Dong Lam'!AI$5)</f>
        <v>0</v>
      </c>
      <c r="AJ99" s="229">
        <f>SUMIFS([1]!Data_BS[Value],[1]!Data_BS[Index BS],'Dong Lam'!$B99,[1]!Data_BS[TenCongTyID],'Dong Lam'!$B$1,[1]!Data_BS[Thang.Nam],'Dong Lam'!AJ$5)</f>
        <v>0</v>
      </c>
      <c r="AK99" s="229">
        <f>SUMIFS([1]!Data_BS[Value],[1]!Data_BS[Index BS],'Dong Lam'!$B99,[1]!Data_BS[TenCongTyID],'Dong Lam'!$B$1,[1]!Data_BS[Thang.Nam],'Dong Lam'!AK$5)</f>
        <v>0</v>
      </c>
      <c r="AL99" s="229">
        <f>SUMIFS([1]!Data_BS[Value],[1]!Data_BS[Index BS],'Dong Lam'!$B99,[1]!Data_BS[TenCongTyID],'Dong Lam'!$B$1,[1]!Data_BS[Thang.Nam],'Dong Lam'!AL$5)</f>
        <v>0</v>
      </c>
    </row>
    <row r="100" spans="1:38" ht="15" hidden="1" customHeight="1" outlineLevel="1">
      <c r="A100" s="68" t="s">
        <v>184</v>
      </c>
      <c r="B100" s="63">
        <v>95</v>
      </c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>
        <v>0</v>
      </c>
      <c r="AA100" s="229">
        <f>SUMIFS([1]!Data_BS[Value],[1]!Data_BS[Index BS],'Dong Lam'!$B100,[1]!Data_BS[TenCongTyID],'Dong Lam'!$B$1,[1]!Data_BS[Thang.Nam],'Dong Lam'!AA$5)</f>
        <v>0</v>
      </c>
      <c r="AB100" s="229">
        <f>SUMIFS([1]!Data_BS[Value],[1]!Data_BS[Index BS],'Dong Lam'!$B100,[1]!Data_BS[TenCongTyID],'Dong Lam'!$B$1,[1]!Data_BS[Thang.Nam],'Dong Lam'!AB$5)</f>
        <v>0</v>
      </c>
      <c r="AC100" s="229">
        <f>SUMIFS([1]!Data_BS[Value],[1]!Data_BS[Index BS],'Dong Lam'!$B100,[1]!Data_BS[TenCongTyID],'Dong Lam'!$B$1,[1]!Data_BS[Thang.Nam],'Dong Lam'!AC$5)</f>
        <v>0</v>
      </c>
      <c r="AD100" s="229">
        <f>SUMIFS([1]!Data_BS[Value],[1]!Data_BS[Index BS],'Dong Lam'!$B100,[1]!Data_BS[TenCongTyID],'Dong Lam'!$B$1,[1]!Data_BS[Thang.Nam],'Dong Lam'!AD$5)</f>
        <v>0</v>
      </c>
      <c r="AE100" s="229">
        <f>SUMIFS([1]!Data_BS[Value],[1]!Data_BS[Index BS],'Dong Lam'!$B100,[1]!Data_BS[TenCongTyID],'Dong Lam'!$B$1,[1]!Data_BS[Thang.Nam],'Dong Lam'!AE$5)</f>
        <v>0</v>
      </c>
      <c r="AF100" s="229">
        <f>SUMIFS([1]!Data_BS[Value],[1]!Data_BS[Index BS],'Dong Lam'!$B100,[1]!Data_BS[TenCongTyID],'Dong Lam'!$B$1,[1]!Data_BS[Thang.Nam],'Dong Lam'!AF$5)</f>
        <v>0</v>
      </c>
      <c r="AG100" s="229">
        <f>SUMIFS([1]!Data_BS[Value],[1]!Data_BS[Index BS],'Dong Lam'!$B100,[1]!Data_BS[TenCongTyID],'Dong Lam'!$B$1,[1]!Data_BS[Thang.Nam],'Dong Lam'!AG$5)</f>
        <v>0</v>
      </c>
      <c r="AH100" s="229">
        <f>SUMIFS([1]!Data_BS[Value],[1]!Data_BS[Index BS],'Dong Lam'!$B100,[1]!Data_BS[TenCongTyID],'Dong Lam'!$B$1,[1]!Data_BS[Thang.Nam],'Dong Lam'!AH$5)</f>
        <v>0</v>
      </c>
      <c r="AI100" s="229">
        <f>SUMIFS([1]!Data_BS[Value],[1]!Data_BS[Index BS],'Dong Lam'!$B100,[1]!Data_BS[TenCongTyID],'Dong Lam'!$B$1,[1]!Data_BS[Thang.Nam],'Dong Lam'!AI$5)</f>
        <v>0</v>
      </c>
      <c r="AJ100" s="229">
        <f>SUMIFS([1]!Data_BS[Value],[1]!Data_BS[Index BS],'Dong Lam'!$B100,[1]!Data_BS[TenCongTyID],'Dong Lam'!$B$1,[1]!Data_BS[Thang.Nam],'Dong Lam'!AJ$5)</f>
        <v>0</v>
      </c>
      <c r="AK100" s="229">
        <f>SUMIFS([1]!Data_BS[Value],[1]!Data_BS[Index BS],'Dong Lam'!$B100,[1]!Data_BS[TenCongTyID],'Dong Lam'!$B$1,[1]!Data_BS[Thang.Nam],'Dong Lam'!AK$5)</f>
        <v>0</v>
      </c>
      <c r="AL100" s="229">
        <f>SUMIFS([1]!Data_BS[Value],[1]!Data_BS[Index BS],'Dong Lam'!$B100,[1]!Data_BS[TenCongTyID],'Dong Lam'!$B$1,[1]!Data_BS[Thang.Nam],'Dong Lam'!AL$5)</f>
        <v>0</v>
      </c>
    </row>
    <row r="101" spans="1:38" ht="15" hidden="1" customHeight="1" outlineLevel="1">
      <c r="A101" s="72" t="s">
        <v>185</v>
      </c>
      <c r="B101" s="65">
        <v>96</v>
      </c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4"/>
      <c r="O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4"/>
      <c r="Z101" s="234">
        <v>0</v>
      </c>
      <c r="AA101" s="234">
        <f>SUMIFS([1]!Data_BS[Value],[1]!Data_BS[Index BS],'Dong Lam'!$B101,[1]!Data_BS[TenCongTyID],'Dong Lam'!$B$1,[1]!Data_BS[Thang.Nam],'Dong Lam'!AA$5)</f>
        <v>0</v>
      </c>
      <c r="AB101" s="234">
        <f>SUMIFS([1]!Data_BS[Value],[1]!Data_BS[Index BS],'Dong Lam'!$B101,[1]!Data_BS[TenCongTyID],'Dong Lam'!$B$1,[1]!Data_BS[Thang.Nam],'Dong Lam'!AB$5)</f>
        <v>0</v>
      </c>
      <c r="AC101" s="234">
        <f>SUMIFS([1]!Data_BS[Value],[1]!Data_BS[Index BS],'Dong Lam'!$B101,[1]!Data_BS[TenCongTyID],'Dong Lam'!$B$1,[1]!Data_BS[Thang.Nam],'Dong Lam'!AC$5)</f>
        <v>0</v>
      </c>
      <c r="AD101" s="234">
        <f>SUMIFS([1]!Data_BS[Value],[1]!Data_BS[Index BS],'Dong Lam'!$B101,[1]!Data_BS[TenCongTyID],'Dong Lam'!$B$1,[1]!Data_BS[Thang.Nam],'Dong Lam'!AD$5)</f>
        <v>0</v>
      </c>
      <c r="AE101" s="234">
        <f>SUMIFS([1]!Data_BS[Value],[1]!Data_BS[Index BS],'Dong Lam'!$B101,[1]!Data_BS[TenCongTyID],'Dong Lam'!$B$1,[1]!Data_BS[Thang.Nam],'Dong Lam'!AE$5)</f>
        <v>0</v>
      </c>
      <c r="AF101" s="234">
        <f>SUMIFS([1]!Data_BS[Value],[1]!Data_BS[Index BS],'Dong Lam'!$B101,[1]!Data_BS[TenCongTyID],'Dong Lam'!$B$1,[1]!Data_BS[Thang.Nam],'Dong Lam'!AF$5)</f>
        <v>0</v>
      </c>
      <c r="AG101" s="234">
        <f>SUMIFS([1]!Data_BS[Value],[1]!Data_BS[Index BS],'Dong Lam'!$B101,[1]!Data_BS[TenCongTyID],'Dong Lam'!$B$1,[1]!Data_BS[Thang.Nam],'Dong Lam'!AG$5)</f>
        <v>0</v>
      </c>
      <c r="AH101" s="234">
        <f>SUMIFS([1]!Data_BS[Value],[1]!Data_BS[Index BS],'Dong Lam'!$B101,[1]!Data_BS[TenCongTyID],'Dong Lam'!$B$1,[1]!Data_BS[Thang.Nam],'Dong Lam'!AH$5)</f>
        <v>0</v>
      </c>
      <c r="AI101" s="234">
        <f>SUMIFS([1]!Data_BS[Value],[1]!Data_BS[Index BS],'Dong Lam'!$B101,[1]!Data_BS[TenCongTyID],'Dong Lam'!$B$1,[1]!Data_BS[Thang.Nam],'Dong Lam'!AI$5)</f>
        <v>0</v>
      </c>
      <c r="AJ101" s="234">
        <f>SUMIFS([1]!Data_BS[Value],[1]!Data_BS[Index BS],'Dong Lam'!$B101,[1]!Data_BS[TenCongTyID],'Dong Lam'!$B$1,[1]!Data_BS[Thang.Nam],'Dong Lam'!AJ$5)</f>
        <v>0</v>
      </c>
      <c r="AK101" s="234">
        <f>SUMIFS([1]!Data_BS[Value],[1]!Data_BS[Index BS],'Dong Lam'!$B101,[1]!Data_BS[TenCongTyID],'Dong Lam'!$B$1,[1]!Data_BS[Thang.Nam],'Dong Lam'!AK$5)</f>
        <v>0</v>
      </c>
      <c r="AL101" s="234">
        <f>SUMIFS([1]!Data_BS[Value],[1]!Data_BS[Index BS],'Dong Lam'!$B101,[1]!Data_BS[TenCongTyID],'Dong Lam'!$B$1,[1]!Data_BS[Thang.Nam],'Dong Lam'!AL$5)</f>
        <v>0</v>
      </c>
    </row>
    <row r="102" spans="1:38" ht="15" hidden="1" customHeight="1" outlineLevel="1">
      <c r="A102" s="67" t="s">
        <v>186</v>
      </c>
      <c r="B102" s="63">
        <v>97</v>
      </c>
      <c r="C102" s="229">
        <v>0</v>
      </c>
      <c r="D102" s="229">
        <v>0</v>
      </c>
      <c r="E102" s="229"/>
      <c r="F102" s="229"/>
      <c r="G102" s="229"/>
      <c r="H102" s="229"/>
      <c r="I102" s="229"/>
      <c r="J102" s="229">
        <v>0</v>
      </c>
      <c r="K102" s="229"/>
      <c r="L102" s="229"/>
      <c r="M102" s="229"/>
      <c r="N102" s="229"/>
      <c r="O102" s="229">
        <v>0</v>
      </c>
      <c r="P102" s="229">
        <v>0</v>
      </c>
      <c r="Q102" s="229"/>
      <c r="R102" s="229"/>
      <c r="S102" s="229"/>
      <c r="T102" s="229"/>
      <c r="U102" s="229"/>
      <c r="V102" s="229">
        <v>0</v>
      </c>
      <c r="W102" s="229"/>
      <c r="X102" s="229"/>
      <c r="Y102" s="229"/>
      <c r="Z102" s="229">
        <v>0</v>
      </c>
      <c r="AA102" s="229">
        <f>SUMIFS([1]!Data_BS[Value],[1]!Data_BS[Index BS],'Dong Lam'!$B102,[1]!Data_BS[TenCongTyID],'Dong Lam'!$B$1,[1]!Data_BS[Thang.Nam],'Dong Lam'!AA$5)</f>
        <v>0</v>
      </c>
      <c r="AB102" s="229">
        <f>SUMIFS([1]!Data_BS[Value],[1]!Data_BS[Index BS],'Dong Lam'!$B102,[1]!Data_BS[TenCongTyID],'Dong Lam'!$B$1,[1]!Data_BS[Thang.Nam],'Dong Lam'!AB$5)</f>
        <v>0</v>
      </c>
      <c r="AC102" s="229">
        <f>SUMIFS([1]!Data_BS[Value],[1]!Data_BS[Index BS],'Dong Lam'!$B102,[1]!Data_BS[TenCongTyID],'Dong Lam'!$B$1,[1]!Data_BS[Thang.Nam],'Dong Lam'!AC$5)</f>
        <v>0</v>
      </c>
      <c r="AD102" s="229">
        <f>SUMIFS([1]!Data_BS[Value],[1]!Data_BS[Index BS],'Dong Lam'!$B102,[1]!Data_BS[TenCongTyID],'Dong Lam'!$B$1,[1]!Data_BS[Thang.Nam],'Dong Lam'!AD$5)</f>
        <v>0</v>
      </c>
      <c r="AE102" s="229">
        <f>SUMIFS([1]!Data_BS[Value],[1]!Data_BS[Index BS],'Dong Lam'!$B102,[1]!Data_BS[TenCongTyID],'Dong Lam'!$B$1,[1]!Data_BS[Thang.Nam],'Dong Lam'!AE$5)</f>
        <v>0</v>
      </c>
      <c r="AF102" s="229">
        <f>SUMIFS([1]!Data_BS[Value],[1]!Data_BS[Index BS],'Dong Lam'!$B102,[1]!Data_BS[TenCongTyID],'Dong Lam'!$B$1,[1]!Data_BS[Thang.Nam],'Dong Lam'!AF$5)</f>
        <v>0</v>
      </c>
      <c r="AG102" s="229">
        <f>SUMIFS([1]!Data_BS[Value],[1]!Data_BS[Index BS],'Dong Lam'!$B102,[1]!Data_BS[TenCongTyID],'Dong Lam'!$B$1,[1]!Data_BS[Thang.Nam],'Dong Lam'!AG$5)</f>
        <v>0</v>
      </c>
      <c r="AH102" s="229">
        <f>SUMIFS([1]!Data_BS[Value],[1]!Data_BS[Index BS],'Dong Lam'!$B102,[1]!Data_BS[TenCongTyID],'Dong Lam'!$B$1,[1]!Data_BS[Thang.Nam],'Dong Lam'!AH$5)</f>
        <v>0</v>
      </c>
      <c r="AI102" s="229">
        <f>SUMIFS([1]!Data_BS[Value],[1]!Data_BS[Index BS],'Dong Lam'!$B102,[1]!Data_BS[TenCongTyID],'Dong Lam'!$B$1,[1]!Data_BS[Thang.Nam],'Dong Lam'!AI$5)</f>
        <v>0</v>
      </c>
      <c r="AJ102" s="229">
        <f>SUMIFS([1]!Data_BS[Value],[1]!Data_BS[Index BS],'Dong Lam'!$B102,[1]!Data_BS[TenCongTyID],'Dong Lam'!$B$1,[1]!Data_BS[Thang.Nam],'Dong Lam'!AJ$5)</f>
        <v>0</v>
      </c>
      <c r="AK102" s="229">
        <f>SUMIFS([1]!Data_BS[Value],[1]!Data_BS[Index BS],'Dong Lam'!$B102,[1]!Data_BS[TenCongTyID],'Dong Lam'!$B$1,[1]!Data_BS[Thang.Nam],'Dong Lam'!AK$5)</f>
        <v>0</v>
      </c>
      <c r="AL102" s="229">
        <f>SUMIFS([1]!Data_BS[Value],[1]!Data_BS[Index BS],'Dong Lam'!$B102,[1]!Data_BS[TenCongTyID],'Dong Lam'!$B$1,[1]!Data_BS[Thang.Nam],'Dong Lam'!AL$5)</f>
        <v>0</v>
      </c>
    </row>
    <row r="103" spans="1:38" ht="15" hidden="1" customHeight="1" outlineLevel="1">
      <c r="A103" s="67" t="s">
        <v>187</v>
      </c>
      <c r="B103" s="63">
        <v>98</v>
      </c>
      <c r="C103" s="229">
        <v>0</v>
      </c>
      <c r="D103" s="229">
        <v>0</v>
      </c>
      <c r="E103" s="229"/>
      <c r="F103" s="229"/>
      <c r="G103" s="229"/>
      <c r="H103" s="229"/>
      <c r="I103" s="229"/>
      <c r="J103" s="229">
        <v>0</v>
      </c>
      <c r="K103" s="229"/>
      <c r="L103" s="229"/>
      <c r="M103" s="229"/>
      <c r="N103" s="229"/>
      <c r="O103" s="229">
        <v>0</v>
      </c>
      <c r="P103" s="229">
        <v>0</v>
      </c>
      <c r="Q103" s="229"/>
      <c r="R103" s="229"/>
      <c r="S103" s="229"/>
      <c r="T103" s="229"/>
      <c r="U103" s="229"/>
      <c r="V103" s="229">
        <v>0</v>
      </c>
      <c r="W103" s="229"/>
      <c r="X103" s="229"/>
      <c r="Y103" s="229"/>
      <c r="Z103" s="229">
        <v>0</v>
      </c>
      <c r="AA103" s="229">
        <f>SUMIFS([1]!Data_BS[Value],[1]!Data_BS[Index BS],'Dong Lam'!$B103,[1]!Data_BS[TenCongTyID],'Dong Lam'!$B$1,[1]!Data_BS[Thang.Nam],'Dong Lam'!AA$5)</f>
        <v>0</v>
      </c>
      <c r="AB103" s="229">
        <f>SUMIFS([1]!Data_BS[Value],[1]!Data_BS[Index BS],'Dong Lam'!$B103,[1]!Data_BS[TenCongTyID],'Dong Lam'!$B$1,[1]!Data_BS[Thang.Nam],'Dong Lam'!AB$5)</f>
        <v>0</v>
      </c>
      <c r="AC103" s="229">
        <f>SUMIFS([1]!Data_BS[Value],[1]!Data_BS[Index BS],'Dong Lam'!$B103,[1]!Data_BS[TenCongTyID],'Dong Lam'!$B$1,[1]!Data_BS[Thang.Nam],'Dong Lam'!AC$5)</f>
        <v>0</v>
      </c>
      <c r="AD103" s="229">
        <f>SUMIFS([1]!Data_BS[Value],[1]!Data_BS[Index BS],'Dong Lam'!$B103,[1]!Data_BS[TenCongTyID],'Dong Lam'!$B$1,[1]!Data_BS[Thang.Nam],'Dong Lam'!AD$5)</f>
        <v>0</v>
      </c>
      <c r="AE103" s="229">
        <f>SUMIFS([1]!Data_BS[Value],[1]!Data_BS[Index BS],'Dong Lam'!$B103,[1]!Data_BS[TenCongTyID],'Dong Lam'!$B$1,[1]!Data_BS[Thang.Nam],'Dong Lam'!AE$5)</f>
        <v>0</v>
      </c>
      <c r="AF103" s="229">
        <f>SUMIFS([1]!Data_BS[Value],[1]!Data_BS[Index BS],'Dong Lam'!$B103,[1]!Data_BS[TenCongTyID],'Dong Lam'!$B$1,[1]!Data_BS[Thang.Nam],'Dong Lam'!AF$5)</f>
        <v>0</v>
      </c>
      <c r="AG103" s="229">
        <f>SUMIFS([1]!Data_BS[Value],[1]!Data_BS[Index BS],'Dong Lam'!$B103,[1]!Data_BS[TenCongTyID],'Dong Lam'!$B$1,[1]!Data_BS[Thang.Nam],'Dong Lam'!AG$5)</f>
        <v>0</v>
      </c>
      <c r="AH103" s="229">
        <f>SUMIFS([1]!Data_BS[Value],[1]!Data_BS[Index BS],'Dong Lam'!$B103,[1]!Data_BS[TenCongTyID],'Dong Lam'!$B$1,[1]!Data_BS[Thang.Nam],'Dong Lam'!AH$5)</f>
        <v>0</v>
      </c>
      <c r="AI103" s="229">
        <f>SUMIFS([1]!Data_BS[Value],[1]!Data_BS[Index BS],'Dong Lam'!$B103,[1]!Data_BS[TenCongTyID],'Dong Lam'!$B$1,[1]!Data_BS[Thang.Nam],'Dong Lam'!AI$5)</f>
        <v>0</v>
      </c>
      <c r="AJ103" s="229">
        <f>SUMIFS([1]!Data_BS[Value],[1]!Data_BS[Index BS],'Dong Lam'!$B103,[1]!Data_BS[TenCongTyID],'Dong Lam'!$B$1,[1]!Data_BS[Thang.Nam],'Dong Lam'!AJ$5)</f>
        <v>0</v>
      </c>
      <c r="AK103" s="229">
        <f>SUMIFS([1]!Data_BS[Value],[1]!Data_BS[Index BS],'Dong Lam'!$B103,[1]!Data_BS[TenCongTyID],'Dong Lam'!$B$1,[1]!Data_BS[Thang.Nam],'Dong Lam'!AK$5)</f>
        <v>0</v>
      </c>
      <c r="AL103" s="229">
        <f>SUMIFS([1]!Data_BS[Value],[1]!Data_BS[Index BS],'Dong Lam'!$B103,[1]!Data_BS[TenCongTyID],'Dong Lam'!$B$1,[1]!Data_BS[Thang.Nam],'Dong Lam'!AL$5)</f>
        <v>0</v>
      </c>
    </row>
    <row r="104" spans="1:38" ht="15" hidden="1" customHeight="1" outlineLevel="1">
      <c r="A104" s="67" t="s">
        <v>188</v>
      </c>
      <c r="B104" s="63">
        <v>99</v>
      </c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>
        <v>0</v>
      </c>
      <c r="AA104" s="229">
        <f>SUMIFS([1]!Data_BS[Value],[1]!Data_BS[Index BS],'Dong Lam'!$B104,[1]!Data_BS[TenCongTyID],'Dong Lam'!$B$1,[1]!Data_BS[Thang.Nam],'Dong Lam'!AA$5)</f>
        <v>0</v>
      </c>
      <c r="AB104" s="229">
        <f>SUMIFS([1]!Data_BS[Value],[1]!Data_BS[Index BS],'Dong Lam'!$B104,[1]!Data_BS[TenCongTyID],'Dong Lam'!$B$1,[1]!Data_BS[Thang.Nam],'Dong Lam'!AB$5)</f>
        <v>0</v>
      </c>
      <c r="AC104" s="229">
        <f>SUMIFS([1]!Data_BS[Value],[1]!Data_BS[Index BS],'Dong Lam'!$B104,[1]!Data_BS[TenCongTyID],'Dong Lam'!$B$1,[1]!Data_BS[Thang.Nam],'Dong Lam'!AC$5)</f>
        <v>0</v>
      </c>
      <c r="AD104" s="229">
        <f>SUMIFS([1]!Data_BS[Value],[1]!Data_BS[Index BS],'Dong Lam'!$B104,[1]!Data_BS[TenCongTyID],'Dong Lam'!$B$1,[1]!Data_BS[Thang.Nam],'Dong Lam'!AD$5)</f>
        <v>0</v>
      </c>
      <c r="AE104" s="229">
        <f>SUMIFS([1]!Data_BS[Value],[1]!Data_BS[Index BS],'Dong Lam'!$B104,[1]!Data_BS[TenCongTyID],'Dong Lam'!$B$1,[1]!Data_BS[Thang.Nam],'Dong Lam'!AE$5)</f>
        <v>0</v>
      </c>
      <c r="AF104" s="229">
        <f>SUMIFS([1]!Data_BS[Value],[1]!Data_BS[Index BS],'Dong Lam'!$B104,[1]!Data_BS[TenCongTyID],'Dong Lam'!$B$1,[1]!Data_BS[Thang.Nam],'Dong Lam'!AF$5)</f>
        <v>0</v>
      </c>
      <c r="AG104" s="229">
        <f>SUMIFS([1]!Data_BS[Value],[1]!Data_BS[Index BS],'Dong Lam'!$B104,[1]!Data_BS[TenCongTyID],'Dong Lam'!$B$1,[1]!Data_BS[Thang.Nam],'Dong Lam'!AG$5)</f>
        <v>0</v>
      </c>
      <c r="AH104" s="229">
        <f>SUMIFS([1]!Data_BS[Value],[1]!Data_BS[Index BS],'Dong Lam'!$B104,[1]!Data_BS[TenCongTyID],'Dong Lam'!$B$1,[1]!Data_BS[Thang.Nam],'Dong Lam'!AH$5)</f>
        <v>0</v>
      </c>
      <c r="AI104" s="229">
        <f>SUMIFS([1]!Data_BS[Value],[1]!Data_BS[Index BS],'Dong Lam'!$B104,[1]!Data_BS[TenCongTyID],'Dong Lam'!$B$1,[1]!Data_BS[Thang.Nam],'Dong Lam'!AI$5)</f>
        <v>0</v>
      </c>
      <c r="AJ104" s="229">
        <f>SUMIFS([1]!Data_BS[Value],[1]!Data_BS[Index BS],'Dong Lam'!$B104,[1]!Data_BS[TenCongTyID],'Dong Lam'!$B$1,[1]!Data_BS[Thang.Nam],'Dong Lam'!AJ$5)</f>
        <v>0</v>
      </c>
      <c r="AK104" s="229">
        <f>SUMIFS([1]!Data_BS[Value],[1]!Data_BS[Index BS],'Dong Lam'!$B104,[1]!Data_BS[TenCongTyID],'Dong Lam'!$B$1,[1]!Data_BS[Thang.Nam],'Dong Lam'!AK$5)</f>
        <v>0</v>
      </c>
      <c r="AL104" s="229">
        <f>SUMIFS([1]!Data_BS[Value],[1]!Data_BS[Index BS],'Dong Lam'!$B104,[1]!Data_BS[TenCongTyID],'Dong Lam'!$B$1,[1]!Data_BS[Thang.Nam],'Dong Lam'!AL$5)</f>
        <v>0</v>
      </c>
    </row>
    <row r="105" spans="1:38" ht="15" hidden="1" customHeight="1" outlineLevel="1">
      <c r="A105" s="67" t="s">
        <v>189</v>
      </c>
      <c r="B105" s="63">
        <v>100</v>
      </c>
      <c r="C105" s="229">
        <v>0</v>
      </c>
      <c r="D105" s="229">
        <v>0</v>
      </c>
      <c r="E105" s="229"/>
      <c r="F105" s="229"/>
      <c r="G105" s="229"/>
      <c r="H105" s="229"/>
      <c r="I105" s="229"/>
      <c r="J105" s="229">
        <v>0</v>
      </c>
      <c r="K105" s="229"/>
      <c r="L105" s="229"/>
      <c r="M105" s="229"/>
      <c r="N105" s="229"/>
      <c r="O105" s="229">
        <v>0</v>
      </c>
      <c r="P105" s="229">
        <v>0</v>
      </c>
      <c r="Q105" s="229"/>
      <c r="R105" s="229"/>
      <c r="S105" s="229"/>
      <c r="T105" s="229"/>
      <c r="U105" s="229"/>
      <c r="V105" s="229">
        <v>0</v>
      </c>
      <c r="W105" s="229"/>
      <c r="X105" s="229"/>
      <c r="Y105" s="229"/>
      <c r="Z105" s="229">
        <v>0</v>
      </c>
      <c r="AA105" s="229">
        <f>SUMIFS([1]!Data_BS[Value],[1]!Data_BS[Index BS],'Dong Lam'!$B105,[1]!Data_BS[TenCongTyID],'Dong Lam'!$B$1,[1]!Data_BS[Thang.Nam],'Dong Lam'!AA$5)</f>
        <v>0</v>
      </c>
      <c r="AB105" s="229">
        <f>SUMIFS([1]!Data_BS[Value],[1]!Data_BS[Index BS],'Dong Lam'!$B105,[1]!Data_BS[TenCongTyID],'Dong Lam'!$B$1,[1]!Data_BS[Thang.Nam],'Dong Lam'!AB$5)</f>
        <v>0</v>
      </c>
      <c r="AC105" s="229">
        <f>SUMIFS([1]!Data_BS[Value],[1]!Data_BS[Index BS],'Dong Lam'!$B105,[1]!Data_BS[TenCongTyID],'Dong Lam'!$B$1,[1]!Data_BS[Thang.Nam],'Dong Lam'!AC$5)</f>
        <v>0</v>
      </c>
      <c r="AD105" s="229">
        <f>SUMIFS([1]!Data_BS[Value],[1]!Data_BS[Index BS],'Dong Lam'!$B105,[1]!Data_BS[TenCongTyID],'Dong Lam'!$B$1,[1]!Data_BS[Thang.Nam],'Dong Lam'!AD$5)</f>
        <v>0</v>
      </c>
      <c r="AE105" s="229">
        <f>SUMIFS([1]!Data_BS[Value],[1]!Data_BS[Index BS],'Dong Lam'!$B105,[1]!Data_BS[TenCongTyID],'Dong Lam'!$B$1,[1]!Data_BS[Thang.Nam],'Dong Lam'!AE$5)</f>
        <v>0</v>
      </c>
      <c r="AF105" s="229">
        <f>SUMIFS([1]!Data_BS[Value],[1]!Data_BS[Index BS],'Dong Lam'!$B105,[1]!Data_BS[TenCongTyID],'Dong Lam'!$B$1,[1]!Data_BS[Thang.Nam],'Dong Lam'!AF$5)</f>
        <v>0</v>
      </c>
      <c r="AG105" s="229">
        <f>SUMIFS([1]!Data_BS[Value],[1]!Data_BS[Index BS],'Dong Lam'!$B105,[1]!Data_BS[TenCongTyID],'Dong Lam'!$B$1,[1]!Data_BS[Thang.Nam],'Dong Lam'!AG$5)</f>
        <v>0</v>
      </c>
      <c r="AH105" s="229">
        <f>SUMIFS([1]!Data_BS[Value],[1]!Data_BS[Index BS],'Dong Lam'!$B105,[1]!Data_BS[TenCongTyID],'Dong Lam'!$B$1,[1]!Data_BS[Thang.Nam],'Dong Lam'!AH$5)</f>
        <v>0</v>
      </c>
      <c r="AI105" s="229">
        <f>SUMIFS([1]!Data_BS[Value],[1]!Data_BS[Index BS],'Dong Lam'!$B105,[1]!Data_BS[TenCongTyID],'Dong Lam'!$B$1,[1]!Data_BS[Thang.Nam],'Dong Lam'!AI$5)</f>
        <v>0</v>
      </c>
      <c r="AJ105" s="229">
        <f>SUMIFS([1]!Data_BS[Value],[1]!Data_BS[Index BS],'Dong Lam'!$B105,[1]!Data_BS[TenCongTyID],'Dong Lam'!$B$1,[1]!Data_BS[Thang.Nam],'Dong Lam'!AJ$5)</f>
        <v>0</v>
      </c>
      <c r="AK105" s="229">
        <f>SUMIFS([1]!Data_BS[Value],[1]!Data_BS[Index BS],'Dong Lam'!$B105,[1]!Data_BS[TenCongTyID],'Dong Lam'!$B$1,[1]!Data_BS[Thang.Nam],'Dong Lam'!AK$5)</f>
        <v>0</v>
      </c>
      <c r="AL105" s="229">
        <f>SUMIFS([1]!Data_BS[Value],[1]!Data_BS[Index BS],'Dong Lam'!$B105,[1]!Data_BS[TenCongTyID],'Dong Lam'!$B$1,[1]!Data_BS[Thang.Nam],'Dong Lam'!AL$5)</f>
        <v>0</v>
      </c>
    </row>
    <row r="106" spans="1:38" ht="15" hidden="1" customHeight="1" outlineLevel="1">
      <c r="A106" s="67" t="s">
        <v>190</v>
      </c>
      <c r="B106" s="63">
        <v>101</v>
      </c>
      <c r="C106" s="229">
        <v>0</v>
      </c>
      <c r="D106" s="229">
        <v>0</v>
      </c>
      <c r="E106" s="229"/>
      <c r="F106" s="229"/>
      <c r="G106" s="229"/>
      <c r="H106" s="229"/>
      <c r="I106" s="229"/>
      <c r="J106" s="229">
        <v>0</v>
      </c>
      <c r="K106" s="229"/>
      <c r="L106" s="229"/>
      <c r="M106" s="229"/>
      <c r="N106" s="229"/>
      <c r="O106" s="229">
        <v>0</v>
      </c>
      <c r="P106" s="229">
        <v>0</v>
      </c>
      <c r="Q106" s="229"/>
      <c r="R106" s="229"/>
      <c r="S106" s="229"/>
      <c r="T106" s="229"/>
      <c r="U106" s="229"/>
      <c r="V106" s="229">
        <v>0</v>
      </c>
      <c r="W106" s="229"/>
      <c r="X106" s="229"/>
      <c r="Y106" s="229"/>
      <c r="Z106" s="229">
        <v>0</v>
      </c>
      <c r="AA106" s="229">
        <f>SUMIFS([1]!Data_BS[Value],[1]!Data_BS[Index BS],'Dong Lam'!$B106,[1]!Data_BS[TenCongTyID],'Dong Lam'!$B$1,[1]!Data_BS[Thang.Nam],'Dong Lam'!AA$5)</f>
        <v>0</v>
      </c>
      <c r="AB106" s="229">
        <f>SUMIFS([1]!Data_BS[Value],[1]!Data_BS[Index BS],'Dong Lam'!$B106,[1]!Data_BS[TenCongTyID],'Dong Lam'!$B$1,[1]!Data_BS[Thang.Nam],'Dong Lam'!AB$5)</f>
        <v>0</v>
      </c>
      <c r="AC106" s="229">
        <f>SUMIFS([1]!Data_BS[Value],[1]!Data_BS[Index BS],'Dong Lam'!$B106,[1]!Data_BS[TenCongTyID],'Dong Lam'!$B$1,[1]!Data_BS[Thang.Nam],'Dong Lam'!AC$5)</f>
        <v>0</v>
      </c>
      <c r="AD106" s="229">
        <f>SUMIFS([1]!Data_BS[Value],[1]!Data_BS[Index BS],'Dong Lam'!$B106,[1]!Data_BS[TenCongTyID],'Dong Lam'!$B$1,[1]!Data_BS[Thang.Nam],'Dong Lam'!AD$5)</f>
        <v>0</v>
      </c>
      <c r="AE106" s="229">
        <f>SUMIFS([1]!Data_BS[Value],[1]!Data_BS[Index BS],'Dong Lam'!$B106,[1]!Data_BS[TenCongTyID],'Dong Lam'!$B$1,[1]!Data_BS[Thang.Nam],'Dong Lam'!AE$5)</f>
        <v>0</v>
      </c>
      <c r="AF106" s="229">
        <f>SUMIFS([1]!Data_BS[Value],[1]!Data_BS[Index BS],'Dong Lam'!$B106,[1]!Data_BS[TenCongTyID],'Dong Lam'!$B$1,[1]!Data_BS[Thang.Nam],'Dong Lam'!AF$5)</f>
        <v>0</v>
      </c>
      <c r="AG106" s="229">
        <f>SUMIFS([1]!Data_BS[Value],[1]!Data_BS[Index BS],'Dong Lam'!$B106,[1]!Data_BS[TenCongTyID],'Dong Lam'!$B$1,[1]!Data_BS[Thang.Nam],'Dong Lam'!AG$5)</f>
        <v>0</v>
      </c>
      <c r="AH106" s="229">
        <f>SUMIFS([1]!Data_BS[Value],[1]!Data_BS[Index BS],'Dong Lam'!$B106,[1]!Data_BS[TenCongTyID],'Dong Lam'!$B$1,[1]!Data_BS[Thang.Nam],'Dong Lam'!AH$5)</f>
        <v>0</v>
      </c>
      <c r="AI106" s="229">
        <f>SUMIFS([1]!Data_BS[Value],[1]!Data_BS[Index BS],'Dong Lam'!$B106,[1]!Data_BS[TenCongTyID],'Dong Lam'!$B$1,[1]!Data_BS[Thang.Nam],'Dong Lam'!AI$5)</f>
        <v>0</v>
      </c>
      <c r="AJ106" s="229">
        <f>SUMIFS([1]!Data_BS[Value],[1]!Data_BS[Index BS],'Dong Lam'!$B106,[1]!Data_BS[TenCongTyID],'Dong Lam'!$B$1,[1]!Data_BS[Thang.Nam],'Dong Lam'!AJ$5)</f>
        <v>0</v>
      </c>
      <c r="AK106" s="229">
        <f>SUMIFS([1]!Data_BS[Value],[1]!Data_BS[Index BS],'Dong Lam'!$B106,[1]!Data_BS[TenCongTyID],'Dong Lam'!$B$1,[1]!Data_BS[Thang.Nam],'Dong Lam'!AK$5)</f>
        <v>0</v>
      </c>
      <c r="AL106" s="229">
        <f>SUMIFS([1]!Data_BS[Value],[1]!Data_BS[Index BS],'Dong Lam'!$B106,[1]!Data_BS[TenCongTyID],'Dong Lam'!$B$1,[1]!Data_BS[Thang.Nam],'Dong Lam'!AL$5)</f>
        <v>0</v>
      </c>
    </row>
    <row r="107" spans="1:38" ht="15" hidden="1" customHeight="1" outlineLevel="1">
      <c r="A107" s="67" t="s">
        <v>191</v>
      </c>
      <c r="B107" s="63">
        <v>102</v>
      </c>
      <c r="C107" s="229">
        <v>0</v>
      </c>
      <c r="D107" s="229">
        <v>0</v>
      </c>
      <c r="E107" s="229"/>
      <c r="F107" s="229"/>
      <c r="G107" s="229"/>
      <c r="H107" s="229"/>
      <c r="I107" s="229"/>
      <c r="J107" s="229">
        <v>0</v>
      </c>
      <c r="K107" s="229"/>
      <c r="L107" s="229"/>
      <c r="M107" s="229"/>
      <c r="N107" s="229"/>
      <c r="O107" s="229">
        <v>0</v>
      </c>
      <c r="P107" s="229">
        <v>0</v>
      </c>
      <c r="Q107" s="229"/>
      <c r="R107" s="229"/>
      <c r="S107" s="229"/>
      <c r="T107" s="229"/>
      <c r="U107" s="229"/>
      <c r="V107" s="229">
        <v>0</v>
      </c>
      <c r="W107" s="229"/>
      <c r="X107" s="229"/>
      <c r="Y107" s="229"/>
      <c r="Z107" s="229">
        <v>0</v>
      </c>
      <c r="AA107" s="229">
        <f>SUMIFS([1]!Data_BS[Value],[1]!Data_BS[Index BS],'Dong Lam'!$B107,[1]!Data_BS[TenCongTyID],'Dong Lam'!$B$1,[1]!Data_BS[Thang.Nam],'Dong Lam'!AA$5)</f>
        <v>0</v>
      </c>
      <c r="AB107" s="229">
        <f>SUMIFS([1]!Data_BS[Value],[1]!Data_BS[Index BS],'Dong Lam'!$B107,[1]!Data_BS[TenCongTyID],'Dong Lam'!$B$1,[1]!Data_BS[Thang.Nam],'Dong Lam'!AB$5)</f>
        <v>0</v>
      </c>
      <c r="AC107" s="229">
        <f>SUMIFS([1]!Data_BS[Value],[1]!Data_BS[Index BS],'Dong Lam'!$B107,[1]!Data_BS[TenCongTyID],'Dong Lam'!$B$1,[1]!Data_BS[Thang.Nam],'Dong Lam'!AC$5)</f>
        <v>0</v>
      </c>
      <c r="AD107" s="229">
        <f>SUMIFS([1]!Data_BS[Value],[1]!Data_BS[Index BS],'Dong Lam'!$B107,[1]!Data_BS[TenCongTyID],'Dong Lam'!$B$1,[1]!Data_BS[Thang.Nam],'Dong Lam'!AD$5)</f>
        <v>0</v>
      </c>
      <c r="AE107" s="229">
        <f>SUMIFS([1]!Data_BS[Value],[1]!Data_BS[Index BS],'Dong Lam'!$B107,[1]!Data_BS[TenCongTyID],'Dong Lam'!$B$1,[1]!Data_BS[Thang.Nam],'Dong Lam'!AE$5)</f>
        <v>0</v>
      </c>
      <c r="AF107" s="229">
        <f>SUMIFS([1]!Data_BS[Value],[1]!Data_BS[Index BS],'Dong Lam'!$B107,[1]!Data_BS[TenCongTyID],'Dong Lam'!$B$1,[1]!Data_BS[Thang.Nam],'Dong Lam'!AF$5)</f>
        <v>0</v>
      </c>
      <c r="AG107" s="229">
        <f>SUMIFS([1]!Data_BS[Value],[1]!Data_BS[Index BS],'Dong Lam'!$B107,[1]!Data_BS[TenCongTyID],'Dong Lam'!$B$1,[1]!Data_BS[Thang.Nam],'Dong Lam'!AG$5)</f>
        <v>0</v>
      </c>
      <c r="AH107" s="229">
        <f>SUMIFS([1]!Data_BS[Value],[1]!Data_BS[Index BS],'Dong Lam'!$B107,[1]!Data_BS[TenCongTyID],'Dong Lam'!$B$1,[1]!Data_BS[Thang.Nam],'Dong Lam'!AH$5)</f>
        <v>0</v>
      </c>
      <c r="AI107" s="229">
        <f>SUMIFS([1]!Data_BS[Value],[1]!Data_BS[Index BS],'Dong Lam'!$B107,[1]!Data_BS[TenCongTyID],'Dong Lam'!$B$1,[1]!Data_BS[Thang.Nam],'Dong Lam'!AI$5)</f>
        <v>0</v>
      </c>
      <c r="AJ107" s="229">
        <f>SUMIFS([1]!Data_BS[Value],[1]!Data_BS[Index BS],'Dong Lam'!$B107,[1]!Data_BS[TenCongTyID],'Dong Lam'!$B$1,[1]!Data_BS[Thang.Nam],'Dong Lam'!AJ$5)</f>
        <v>0</v>
      </c>
      <c r="AK107" s="229">
        <f>SUMIFS([1]!Data_BS[Value],[1]!Data_BS[Index BS],'Dong Lam'!$B107,[1]!Data_BS[TenCongTyID],'Dong Lam'!$B$1,[1]!Data_BS[Thang.Nam],'Dong Lam'!AK$5)</f>
        <v>0</v>
      </c>
      <c r="AL107" s="229">
        <f>SUMIFS([1]!Data_BS[Value],[1]!Data_BS[Index BS],'Dong Lam'!$B107,[1]!Data_BS[TenCongTyID],'Dong Lam'!$B$1,[1]!Data_BS[Thang.Nam],'Dong Lam'!AL$5)</f>
        <v>0</v>
      </c>
    </row>
    <row r="108" spans="1:38" ht="15" hidden="1" customHeight="1" outlineLevel="1">
      <c r="A108" s="67" t="s">
        <v>192</v>
      </c>
      <c r="B108" s="63">
        <v>103</v>
      </c>
      <c r="C108" s="229">
        <v>0</v>
      </c>
      <c r="D108" s="229">
        <v>0</v>
      </c>
      <c r="E108" s="229"/>
      <c r="F108" s="229"/>
      <c r="G108" s="229"/>
      <c r="H108" s="229"/>
      <c r="I108" s="229"/>
      <c r="J108" s="229">
        <v>0</v>
      </c>
      <c r="K108" s="229"/>
      <c r="L108" s="229"/>
      <c r="M108" s="229"/>
      <c r="N108" s="229"/>
      <c r="O108" s="229">
        <v>0</v>
      </c>
      <c r="P108" s="229">
        <v>0</v>
      </c>
      <c r="Q108" s="229"/>
      <c r="R108" s="229"/>
      <c r="S108" s="229"/>
      <c r="T108" s="229"/>
      <c r="U108" s="229"/>
      <c r="V108" s="229">
        <v>0</v>
      </c>
      <c r="W108" s="229"/>
      <c r="X108" s="229"/>
      <c r="Y108" s="229"/>
      <c r="Z108" s="229">
        <v>0</v>
      </c>
      <c r="AA108" s="229">
        <f>SUMIFS([1]!Data_BS[Value],[1]!Data_BS[Index BS],'Dong Lam'!$B108,[1]!Data_BS[TenCongTyID],'Dong Lam'!$B$1,[1]!Data_BS[Thang.Nam],'Dong Lam'!AA$5)</f>
        <v>0</v>
      </c>
      <c r="AB108" s="229">
        <f>SUMIFS([1]!Data_BS[Value],[1]!Data_BS[Index BS],'Dong Lam'!$B108,[1]!Data_BS[TenCongTyID],'Dong Lam'!$B$1,[1]!Data_BS[Thang.Nam],'Dong Lam'!AB$5)</f>
        <v>0</v>
      </c>
      <c r="AC108" s="229">
        <f>SUMIFS([1]!Data_BS[Value],[1]!Data_BS[Index BS],'Dong Lam'!$B108,[1]!Data_BS[TenCongTyID],'Dong Lam'!$B$1,[1]!Data_BS[Thang.Nam],'Dong Lam'!AC$5)</f>
        <v>0</v>
      </c>
      <c r="AD108" s="229">
        <f>SUMIFS([1]!Data_BS[Value],[1]!Data_BS[Index BS],'Dong Lam'!$B108,[1]!Data_BS[TenCongTyID],'Dong Lam'!$B$1,[1]!Data_BS[Thang.Nam],'Dong Lam'!AD$5)</f>
        <v>0</v>
      </c>
      <c r="AE108" s="229">
        <f>SUMIFS([1]!Data_BS[Value],[1]!Data_BS[Index BS],'Dong Lam'!$B108,[1]!Data_BS[TenCongTyID],'Dong Lam'!$B$1,[1]!Data_BS[Thang.Nam],'Dong Lam'!AE$5)</f>
        <v>0</v>
      </c>
      <c r="AF108" s="229">
        <f>SUMIFS([1]!Data_BS[Value],[1]!Data_BS[Index BS],'Dong Lam'!$B108,[1]!Data_BS[TenCongTyID],'Dong Lam'!$B$1,[1]!Data_BS[Thang.Nam],'Dong Lam'!AF$5)</f>
        <v>0</v>
      </c>
      <c r="AG108" s="229">
        <f>SUMIFS([1]!Data_BS[Value],[1]!Data_BS[Index BS],'Dong Lam'!$B108,[1]!Data_BS[TenCongTyID],'Dong Lam'!$B$1,[1]!Data_BS[Thang.Nam],'Dong Lam'!AG$5)</f>
        <v>0</v>
      </c>
      <c r="AH108" s="229">
        <f>SUMIFS([1]!Data_BS[Value],[1]!Data_BS[Index BS],'Dong Lam'!$B108,[1]!Data_BS[TenCongTyID],'Dong Lam'!$B$1,[1]!Data_BS[Thang.Nam],'Dong Lam'!AH$5)</f>
        <v>0</v>
      </c>
      <c r="AI108" s="229">
        <f>SUMIFS([1]!Data_BS[Value],[1]!Data_BS[Index BS],'Dong Lam'!$B108,[1]!Data_BS[TenCongTyID],'Dong Lam'!$B$1,[1]!Data_BS[Thang.Nam],'Dong Lam'!AI$5)</f>
        <v>0</v>
      </c>
      <c r="AJ108" s="229">
        <f>SUMIFS([1]!Data_BS[Value],[1]!Data_BS[Index BS],'Dong Lam'!$B108,[1]!Data_BS[TenCongTyID],'Dong Lam'!$B$1,[1]!Data_BS[Thang.Nam],'Dong Lam'!AJ$5)</f>
        <v>0</v>
      </c>
      <c r="AK108" s="229">
        <f>SUMIFS([1]!Data_BS[Value],[1]!Data_BS[Index BS],'Dong Lam'!$B108,[1]!Data_BS[TenCongTyID],'Dong Lam'!$B$1,[1]!Data_BS[Thang.Nam],'Dong Lam'!AK$5)</f>
        <v>0</v>
      </c>
      <c r="AL108" s="229">
        <f>SUMIFS([1]!Data_BS[Value],[1]!Data_BS[Index BS],'Dong Lam'!$B108,[1]!Data_BS[TenCongTyID],'Dong Lam'!$B$1,[1]!Data_BS[Thang.Nam],'Dong Lam'!AL$5)</f>
        <v>0</v>
      </c>
    </row>
    <row r="109" spans="1:38" ht="15" hidden="1" customHeight="1" outlineLevel="1">
      <c r="A109" s="67" t="s">
        <v>193</v>
      </c>
      <c r="B109" s="63">
        <v>104</v>
      </c>
      <c r="C109" s="229">
        <v>0</v>
      </c>
      <c r="D109" s="229">
        <v>0</v>
      </c>
      <c r="E109" s="229"/>
      <c r="F109" s="229"/>
      <c r="G109" s="229"/>
      <c r="H109" s="229"/>
      <c r="I109" s="229"/>
      <c r="J109" s="229">
        <v>0</v>
      </c>
      <c r="K109" s="229"/>
      <c r="L109" s="229"/>
      <c r="M109" s="229"/>
      <c r="N109" s="229"/>
      <c r="O109" s="229">
        <v>0</v>
      </c>
      <c r="P109" s="229">
        <v>0</v>
      </c>
      <c r="Q109" s="229"/>
      <c r="R109" s="229"/>
      <c r="S109" s="229"/>
      <c r="T109" s="229"/>
      <c r="U109" s="229"/>
      <c r="V109" s="229">
        <v>0</v>
      </c>
      <c r="W109" s="229"/>
      <c r="X109" s="229"/>
      <c r="Y109" s="229"/>
      <c r="Z109" s="229">
        <v>0</v>
      </c>
      <c r="AA109" s="229">
        <f>SUMIFS([1]!Data_BS[Value],[1]!Data_BS[Index BS],'Dong Lam'!$B109,[1]!Data_BS[TenCongTyID],'Dong Lam'!$B$1,[1]!Data_BS[Thang.Nam],'Dong Lam'!AA$5)</f>
        <v>0</v>
      </c>
      <c r="AB109" s="229">
        <f>SUMIFS([1]!Data_BS[Value],[1]!Data_BS[Index BS],'Dong Lam'!$B109,[1]!Data_BS[TenCongTyID],'Dong Lam'!$B$1,[1]!Data_BS[Thang.Nam],'Dong Lam'!AB$5)</f>
        <v>0</v>
      </c>
      <c r="AC109" s="229">
        <f>SUMIFS([1]!Data_BS[Value],[1]!Data_BS[Index BS],'Dong Lam'!$B109,[1]!Data_BS[TenCongTyID],'Dong Lam'!$B$1,[1]!Data_BS[Thang.Nam],'Dong Lam'!AC$5)</f>
        <v>0</v>
      </c>
      <c r="AD109" s="229">
        <f>SUMIFS([1]!Data_BS[Value],[1]!Data_BS[Index BS],'Dong Lam'!$B109,[1]!Data_BS[TenCongTyID],'Dong Lam'!$B$1,[1]!Data_BS[Thang.Nam],'Dong Lam'!AD$5)</f>
        <v>0</v>
      </c>
      <c r="AE109" s="229">
        <f>SUMIFS([1]!Data_BS[Value],[1]!Data_BS[Index BS],'Dong Lam'!$B109,[1]!Data_BS[TenCongTyID],'Dong Lam'!$B$1,[1]!Data_BS[Thang.Nam],'Dong Lam'!AE$5)</f>
        <v>0</v>
      </c>
      <c r="AF109" s="229">
        <f>SUMIFS([1]!Data_BS[Value],[1]!Data_BS[Index BS],'Dong Lam'!$B109,[1]!Data_BS[TenCongTyID],'Dong Lam'!$B$1,[1]!Data_BS[Thang.Nam],'Dong Lam'!AF$5)</f>
        <v>0</v>
      </c>
      <c r="AG109" s="229">
        <f>SUMIFS([1]!Data_BS[Value],[1]!Data_BS[Index BS],'Dong Lam'!$B109,[1]!Data_BS[TenCongTyID],'Dong Lam'!$B$1,[1]!Data_BS[Thang.Nam],'Dong Lam'!AG$5)</f>
        <v>0</v>
      </c>
      <c r="AH109" s="229">
        <f>SUMIFS([1]!Data_BS[Value],[1]!Data_BS[Index BS],'Dong Lam'!$B109,[1]!Data_BS[TenCongTyID],'Dong Lam'!$B$1,[1]!Data_BS[Thang.Nam],'Dong Lam'!AH$5)</f>
        <v>0</v>
      </c>
      <c r="AI109" s="229">
        <f>SUMIFS([1]!Data_BS[Value],[1]!Data_BS[Index BS],'Dong Lam'!$B109,[1]!Data_BS[TenCongTyID],'Dong Lam'!$B$1,[1]!Data_BS[Thang.Nam],'Dong Lam'!AI$5)</f>
        <v>0</v>
      </c>
      <c r="AJ109" s="229">
        <f>SUMIFS([1]!Data_BS[Value],[1]!Data_BS[Index BS],'Dong Lam'!$B109,[1]!Data_BS[TenCongTyID],'Dong Lam'!$B$1,[1]!Data_BS[Thang.Nam],'Dong Lam'!AJ$5)</f>
        <v>0</v>
      </c>
      <c r="AK109" s="229">
        <f>SUMIFS([1]!Data_BS[Value],[1]!Data_BS[Index BS],'Dong Lam'!$B109,[1]!Data_BS[TenCongTyID],'Dong Lam'!$B$1,[1]!Data_BS[Thang.Nam],'Dong Lam'!AK$5)</f>
        <v>0</v>
      </c>
      <c r="AL109" s="229">
        <f>SUMIFS([1]!Data_BS[Value],[1]!Data_BS[Index BS],'Dong Lam'!$B109,[1]!Data_BS[TenCongTyID],'Dong Lam'!$B$1,[1]!Data_BS[Thang.Nam],'Dong Lam'!AL$5)</f>
        <v>0</v>
      </c>
    </row>
    <row r="110" spans="1:38" ht="15" hidden="1" customHeight="1" outlineLevel="1">
      <c r="A110" s="67" t="s">
        <v>194</v>
      </c>
      <c r="B110" s="63">
        <v>105</v>
      </c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>
        <v>0</v>
      </c>
      <c r="AA110" s="229">
        <f>SUMIFS([1]!Data_BS[Value],[1]!Data_BS[Index BS],'Dong Lam'!$B110,[1]!Data_BS[TenCongTyID],'Dong Lam'!$B$1,[1]!Data_BS[Thang.Nam],'Dong Lam'!AA$5)</f>
        <v>0</v>
      </c>
      <c r="AB110" s="229">
        <f>SUMIFS([1]!Data_BS[Value],[1]!Data_BS[Index BS],'Dong Lam'!$B110,[1]!Data_BS[TenCongTyID],'Dong Lam'!$B$1,[1]!Data_BS[Thang.Nam],'Dong Lam'!AB$5)</f>
        <v>0</v>
      </c>
      <c r="AC110" s="229">
        <f>SUMIFS([1]!Data_BS[Value],[1]!Data_BS[Index BS],'Dong Lam'!$B110,[1]!Data_BS[TenCongTyID],'Dong Lam'!$B$1,[1]!Data_BS[Thang.Nam],'Dong Lam'!AC$5)</f>
        <v>0</v>
      </c>
      <c r="AD110" s="229">
        <f>SUMIFS([1]!Data_BS[Value],[1]!Data_BS[Index BS],'Dong Lam'!$B110,[1]!Data_BS[TenCongTyID],'Dong Lam'!$B$1,[1]!Data_BS[Thang.Nam],'Dong Lam'!AD$5)</f>
        <v>0</v>
      </c>
      <c r="AE110" s="229">
        <f>SUMIFS([1]!Data_BS[Value],[1]!Data_BS[Index BS],'Dong Lam'!$B110,[1]!Data_BS[TenCongTyID],'Dong Lam'!$B$1,[1]!Data_BS[Thang.Nam],'Dong Lam'!AE$5)</f>
        <v>0</v>
      </c>
      <c r="AF110" s="229">
        <f>SUMIFS([1]!Data_BS[Value],[1]!Data_BS[Index BS],'Dong Lam'!$B110,[1]!Data_BS[TenCongTyID],'Dong Lam'!$B$1,[1]!Data_BS[Thang.Nam],'Dong Lam'!AF$5)</f>
        <v>0</v>
      </c>
      <c r="AG110" s="229">
        <f>SUMIFS([1]!Data_BS[Value],[1]!Data_BS[Index BS],'Dong Lam'!$B110,[1]!Data_BS[TenCongTyID],'Dong Lam'!$B$1,[1]!Data_BS[Thang.Nam],'Dong Lam'!AG$5)</f>
        <v>0</v>
      </c>
      <c r="AH110" s="229">
        <f>SUMIFS([1]!Data_BS[Value],[1]!Data_BS[Index BS],'Dong Lam'!$B110,[1]!Data_BS[TenCongTyID],'Dong Lam'!$B$1,[1]!Data_BS[Thang.Nam],'Dong Lam'!AH$5)</f>
        <v>0</v>
      </c>
      <c r="AI110" s="229">
        <f>SUMIFS([1]!Data_BS[Value],[1]!Data_BS[Index BS],'Dong Lam'!$B110,[1]!Data_BS[TenCongTyID],'Dong Lam'!$B$1,[1]!Data_BS[Thang.Nam],'Dong Lam'!AI$5)</f>
        <v>0</v>
      </c>
      <c r="AJ110" s="229">
        <f>SUMIFS([1]!Data_BS[Value],[1]!Data_BS[Index BS],'Dong Lam'!$B110,[1]!Data_BS[TenCongTyID],'Dong Lam'!$B$1,[1]!Data_BS[Thang.Nam],'Dong Lam'!AJ$5)</f>
        <v>0</v>
      </c>
      <c r="AK110" s="229">
        <f>SUMIFS([1]!Data_BS[Value],[1]!Data_BS[Index BS],'Dong Lam'!$B110,[1]!Data_BS[TenCongTyID],'Dong Lam'!$B$1,[1]!Data_BS[Thang.Nam],'Dong Lam'!AK$5)</f>
        <v>0</v>
      </c>
      <c r="AL110" s="229">
        <f>SUMIFS([1]!Data_BS[Value],[1]!Data_BS[Index BS],'Dong Lam'!$B110,[1]!Data_BS[TenCongTyID],'Dong Lam'!$B$1,[1]!Data_BS[Thang.Nam],'Dong Lam'!AL$5)</f>
        <v>0</v>
      </c>
    </row>
    <row r="111" spans="1:38" ht="15" hidden="1" customHeight="1" outlineLevel="1">
      <c r="A111" s="67" t="s">
        <v>195</v>
      </c>
      <c r="B111" s="63">
        <v>106</v>
      </c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>
        <v>0</v>
      </c>
      <c r="AA111" s="229">
        <f>SUMIFS([1]!Data_BS[Value],[1]!Data_BS[Index BS],'Dong Lam'!$B111,[1]!Data_BS[TenCongTyID],'Dong Lam'!$B$1,[1]!Data_BS[Thang.Nam],'Dong Lam'!AA$5)</f>
        <v>0</v>
      </c>
      <c r="AB111" s="229">
        <f>SUMIFS([1]!Data_BS[Value],[1]!Data_BS[Index BS],'Dong Lam'!$B111,[1]!Data_BS[TenCongTyID],'Dong Lam'!$B$1,[1]!Data_BS[Thang.Nam],'Dong Lam'!AB$5)</f>
        <v>0</v>
      </c>
      <c r="AC111" s="229">
        <f>SUMIFS([1]!Data_BS[Value],[1]!Data_BS[Index BS],'Dong Lam'!$B111,[1]!Data_BS[TenCongTyID],'Dong Lam'!$B$1,[1]!Data_BS[Thang.Nam],'Dong Lam'!AC$5)</f>
        <v>0</v>
      </c>
      <c r="AD111" s="229">
        <f>SUMIFS([1]!Data_BS[Value],[1]!Data_BS[Index BS],'Dong Lam'!$B111,[1]!Data_BS[TenCongTyID],'Dong Lam'!$B$1,[1]!Data_BS[Thang.Nam],'Dong Lam'!AD$5)</f>
        <v>0</v>
      </c>
      <c r="AE111" s="229">
        <f>SUMIFS([1]!Data_BS[Value],[1]!Data_BS[Index BS],'Dong Lam'!$B111,[1]!Data_BS[TenCongTyID],'Dong Lam'!$B$1,[1]!Data_BS[Thang.Nam],'Dong Lam'!AE$5)</f>
        <v>0</v>
      </c>
      <c r="AF111" s="229">
        <f>SUMIFS([1]!Data_BS[Value],[1]!Data_BS[Index BS],'Dong Lam'!$B111,[1]!Data_BS[TenCongTyID],'Dong Lam'!$B$1,[1]!Data_BS[Thang.Nam],'Dong Lam'!AF$5)</f>
        <v>0</v>
      </c>
      <c r="AG111" s="229">
        <f>SUMIFS([1]!Data_BS[Value],[1]!Data_BS[Index BS],'Dong Lam'!$B111,[1]!Data_BS[TenCongTyID],'Dong Lam'!$B$1,[1]!Data_BS[Thang.Nam],'Dong Lam'!AG$5)</f>
        <v>0</v>
      </c>
      <c r="AH111" s="229">
        <f>SUMIFS([1]!Data_BS[Value],[1]!Data_BS[Index BS],'Dong Lam'!$B111,[1]!Data_BS[TenCongTyID],'Dong Lam'!$B$1,[1]!Data_BS[Thang.Nam],'Dong Lam'!AH$5)</f>
        <v>0</v>
      </c>
      <c r="AI111" s="229">
        <f>SUMIFS([1]!Data_BS[Value],[1]!Data_BS[Index BS],'Dong Lam'!$B111,[1]!Data_BS[TenCongTyID],'Dong Lam'!$B$1,[1]!Data_BS[Thang.Nam],'Dong Lam'!AI$5)</f>
        <v>0</v>
      </c>
      <c r="AJ111" s="229">
        <f>SUMIFS([1]!Data_BS[Value],[1]!Data_BS[Index BS],'Dong Lam'!$B111,[1]!Data_BS[TenCongTyID],'Dong Lam'!$B$1,[1]!Data_BS[Thang.Nam],'Dong Lam'!AJ$5)</f>
        <v>0</v>
      </c>
      <c r="AK111" s="229">
        <f>SUMIFS([1]!Data_BS[Value],[1]!Data_BS[Index BS],'Dong Lam'!$B111,[1]!Data_BS[TenCongTyID],'Dong Lam'!$B$1,[1]!Data_BS[Thang.Nam],'Dong Lam'!AK$5)</f>
        <v>0</v>
      </c>
      <c r="AL111" s="229">
        <f>SUMIFS([1]!Data_BS[Value],[1]!Data_BS[Index BS],'Dong Lam'!$B111,[1]!Data_BS[TenCongTyID],'Dong Lam'!$B$1,[1]!Data_BS[Thang.Nam],'Dong Lam'!AL$5)</f>
        <v>0</v>
      </c>
    </row>
    <row r="112" spans="1:38" ht="15" hidden="1" customHeight="1" outlineLevel="1">
      <c r="A112" s="67" t="s">
        <v>196</v>
      </c>
      <c r="B112" s="63">
        <v>107</v>
      </c>
      <c r="C112" s="229">
        <v>0</v>
      </c>
      <c r="D112" s="229">
        <v>0</v>
      </c>
      <c r="E112" s="229"/>
      <c r="F112" s="229"/>
      <c r="G112" s="229"/>
      <c r="H112" s="229"/>
      <c r="I112" s="229"/>
      <c r="J112" s="229">
        <v>0</v>
      </c>
      <c r="K112" s="229"/>
      <c r="L112" s="229"/>
      <c r="M112" s="229"/>
      <c r="N112" s="229"/>
      <c r="O112" s="229">
        <v>0</v>
      </c>
      <c r="P112" s="229">
        <v>0</v>
      </c>
      <c r="Q112" s="229"/>
      <c r="R112" s="229"/>
      <c r="S112" s="229"/>
      <c r="T112" s="229"/>
      <c r="U112" s="229"/>
      <c r="V112" s="229">
        <v>0</v>
      </c>
      <c r="W112" s="229"/>
      <c r="X112" s="229"/>
      <c r="Y112" s="229"/>
      <c r="Z112" s="229">
        <v>0</v>
      </c>
      <c r="AA112" s="229">
        <f>SUMIFS([1]!Data_BS[Value],[1]!Data_BS[Index BS],'Dong Lam'!$B112,[1]!Data_BS[TenCongTyID],'Dong Lam'!$B$1,[1]!Data_BS[Thang.Nam],'Dong Lam'!AA$5)</f>
        <v>0</v>
      </c>
      <c r="AB112" s="229">
        <f>SUMIFS([1]!Data_BS[Value],[1]!Data_BS[Index BS],'Dong Lam'!$B112,[1]!Data_BS[TenCongTyID],'Dong Lam'!$B$1,[1]!Data_BS[Thang.Nam],'Dong Lam'!AB$5)</f>
        <v>0</v>
      </c>
      <c r="AC112" s="229">
        <f>SUMIFS([1]!Data_BS[Value],[1]!Data_BS[Index BS],'Dong Lam'!$B112,[1]!Data_BS[TenCongTyID],'Dong Lam'!$B$1,[1]!Data_BS[Thang.Nam],'Dong Lam'!AC$5)</f>
        <v>0</v>
      </c>
      <c r="AD112" s="229">
        <f>SUMIFS([1]!Data_BS[Value],[1]!Data_BS[Index BS],'Dong Lam'!$B112,[1]!Data_BS[TenCongTyID],'Dong Lam'!$B$1,[1]!Data_BS[Thang.Nam],'Dong Lam'!AD$5)</f>
        <v>0</v>
      </c>
      <c r="AE112" s="229">
        <f>SUMIFS([1]!Data_BS[Value],[1]!Data_BS[Index BS],'Dong Lam'!$B112,[1]!Data_BS[TenCongTyID],'Dong Lam'!$B$1,[1]!Data_BS[Thang.Nam],'Dong Lam'!AE$5)</f>
        <v>0</v>
      </c>
      <c r="AF112" s="229">
        <f>SUMIFS([1]!Data_BS[Value],[1]!Data_BS[Index BS],'Dong Lam'!$B112,[1]!Data_BS[TenCongTyID],'Dong Lam'!$B$1,[1]!Data_BS[Thang.Nam],'Dong Lam'!AF$5)</f>
        <v>0</v>
      </c>
      <c r="AG112" s="229">
        <f>SUMIFS([1]!Data_BS[Value],[1]!Data_BS[Index BS],'Dong Lam'!$B112,[1]!Data_BS[TenCongTyID],'Dong Lam'!$B$1,[1]!Data_BS[Thang.Nam],'Dong Lam'!AG$5)</f>
        <v>0</v>
      </c>
      <c r="AH112" s="229">
        <f>SUMIFS([1]!Data_BS[Value],[1]!Data_BS[Index BS],'Dong Lam'!$B112,[1]!Data_BS[TenCongTyID],'Dong Lam'!$B$1,[1]!Data_BS[Thang.Nam],'Dong Lam'!AH$5)</f>
        <v>0</v>
      </c>
      <c r="AI112" s="229">
        <f>SUMIFS([1]!Data_BS[Value],[1]!Data_BS[Index BS],'Dong Lam'!$B112,[1]!Data_BS[TenCongTyID],'Dong Lam'!$B$1,[1]!Data_BS[Thang.Nam],'Dong Lam'!AI$5)</f>
        <v>0</v>
      </c>
      <c r="AJ112" s="229">
        <f>SUMIFS([1]!Data_BS[Value],[1]!Data_BS[Index BS],'Dong Lam'!$B112,[1]!Data_BS[TenCongTyID],'Dong Lam'!$B$1,[1]!Data_BS[Thang.Nam],'Dong Lam'!AJ$5)</f>
        <v>0</v>
      </c>
      <c r="AK112" s="229">
        <f>SUMIFS([1]!Data_BS[Value],[1]!Data_BS[Index BS],'Dong Lam'!$B112,[1]!Data_BS[TenCongTyID],'Dong Lam'!$B$1,[1]!Data_BS[Thang.Nam],'Dong Lam'!AK$5)</f>
        <v>0</v>
      </c>
      <c r="AL112" s="229">
        <f>SUMIFS([1]!Data_BS[Value],[1]!Data_BS[Index BS],'Dong Lam'!$B112,[1]!Data_BS[TenCongTyID],'Dong Lam'!$B$1,[1]!Data_BS[Thang.Nam],'Dong Lam'!AL$5)</f>
        <v>0</v>
      </c>
    </row>
    <row r="113" spans="1:38" ht="15" hidden="1" customHeight="1" outlineLevel="1">
      <c r="A113" s="67" t="s">
        <v>197</v>
      </c>
      <c r="B113" s="63">
        <v>108</v>
      </c>
      <c r="C113" s="229">
        <v>0</v>
      </c>
      <c r="D113" s="229">
        <v>0</v>
      </c>
      <c r="E113" s="229"/>
      <c r="F113" s="229"/>
      <c r="G113" s="229"/>
      <c r="H113" s="229"/>
      <c r="I113" s="229"/>
      <c r="J113" s="229">
        <v>0</v>
      </c>
      <c r="K113" s="229"/>
      <c r="L113" s="229"/>
      <c r="M113" s="229"/>
      <c r="N113" s="229"/>
      <c r="O113" s="229">
        <v>0</v>
      </c>
      <c r="P113" s="229">
        <v>0</v>
      </c>
      <c r="Q113" s="229"/>
      <c r="R113" s="229"/>
      <c r="S113" s="229"/>
      <c r="T113" s="229"/>
      <c r="U113" s="229"/>
      <c r="V113" s="229">
        <v>0</v>
      </c>
      <c r="W113" s="229"/>
      <c r="X113" s="229"/>
      <c r="Y113" s="229"/>
      <c r="Z113" s="229">
        <v>0</v>
      </c>
      <c r="AA113" s="229">
        <f>SUMIFS([1]!Data_BS[Value],[1]!Data_BS[Index BS],'Dong Lam'!$B113,[1]!Data_BS[TenCongTyID],'Dong Lam'!$B$1,[1]!Data_BS[Thang.Nam],'Dong Lam'!AA$5)</f>
        <v>0</v>
      </c>
      <c r="AB113" s="229">
        <f>SUMIFS([1]!Data_BS[Value],[1]!Data_BS[Index BS],'Dong Lam'!$B113,[1]!Data_BS[TenCongTyID],'Dong Lam'!$B$1,[1]!Data_BS[Thang.Nam],'Dong Lam'!AB$5)</f>
        <v>0</v>
      </c>
      <c r="AC113" s="229">
        <f>SUMIFS([1]!Data_BS[Value],[1]!Data_BS[Index BS],'Dong Lam'!$B113,[1]!Data_BS[TenCongTyID],'Dong Lam'!$B$1,[1]!Data_BS[Thang.Nam],'Dong Lam'!AC$5)</f>
        <v>0</v>
      </c>
      <c r="AD113" s="229">
        <f>SUMIFS([1]!Data_BS[Value],[1]!Data_BS[Index BS],'Dong Lam'!$B113,[1]!Data_BS[TenCongTyID],'Dong Lam'!$B$1,[1]!Data_BS[Thang.Nam],'Dong Lam'!AD$5)</f>
        <v>0</v>
      </c>
      <c r="AE113" s="229">
        <f>SUMIFS([1]!Data_BS[Value],[1]!Data_BS[Index BS],'Dong Lam'!$B113,[1]!Data_BS[TenCongTyID],'Dong Lam'!$B$1,[1]!Data_BS[Thang.Nam],'Dong Lam'!AE$5)</f>
        <v>0</v>
      </c>
      <c r="AF113" s="229">
        <f>SUMIFS([1]!Data_BS[Value],[1]!Data_BS[Index BS],'Dong Lam'!$B113,[1]!Data_BS[TenCongTyID],'Dong Lam'!$B$1,[1]!Data_BS[Thang.Nam],'Dong Lam'!AF$5)</f>
        <v>0</v>
      </c>
      <c r="AG113" s="229">
        <f>SUMIFS([1]!Data_BS[Value],[1]!Data_BS[Index BS],'Dong Lam'!$B113,[1]!Data_BS[TenCongTyID],'Dong Lam'!$B$1,[1]!Data_BS[Thang.Nam],'Dong Lam'!AG$5)</f>
        <v>0</v>
      </c>
      <c r="AH113" s="229">
        <f>SUMIFS([1]!Data_BS[Value],[1]!Data_BS[Index BS],'Dong Lam'!$B113,[1]!Data_BS[TenCongTyID],'Dong Lam'!$B$1,[1]!Data_BS[Thang.Nam],'Dong Lam'!AH$5)</f>
        <v>0</v>
      </c>
      <c r="AI113" s="229">
        <f>SUMIFS([1]!Data_BS[Value],[1]!Data_BS[Index BS],'Dong Lam'!$B113,[1]!Data_BS[TenCongTyID],'Dong Lam'!$B$1,[1]!Data_BS[Thang.Nam],'Dong Lam'!AI$5)</f>
        <v>0</v>
      </c>
      <c r="AJ113" s="229">
        <f>SUMIFS([1]!Data_BS[Value],[1]!Data_BS[Index BS],'Dong Lam'!$B113,[1]!Data_BS[TenCongTyID],'Dong Lam'!$B$1,[1]!Data_BS[Thang.Nam],'Dong Lam'!AJ$5)</f>
        <v>0</v>
      </c>
      <c r="AK113" s="229">
        <f>SUMIFS([1]!Data_BS[Value],[1]!Data_BS[Index BS],'Dong Lam'!$B113,[1]!Data_BS[TenCongTyID],'Dong Lam'!$B$1,[1]!Data_BS[Thang.Nam],'Dong Lam'!AK$5)</f>
        <v>0</v>
      </c>
      <c r="AL113" s="229">
        <f>SUMIFS([1]!Data_BS[Value],[1]!Data_BS[Index BS],'Dong Lam'!$B113,[1]!Data_BS[TenCongTyID],'Dong Lam'!$B$1,[1]!Data_BS[Thang.Nam],'Dong Lam'!AL$5)</f>
        <v>0</v>
      </c>
    </row>
    <row r="114" spans="1:38" ht="15" hidden="1" customHeight="1" outlineLevel="1">
      <c r="A114" s="67" t="s">
        <v>198</v>
      </c>
      <c r="B114" s="63">
        <v>109</v>
      </c>
      <c r="C114" s="229">
        <v>0</v>
      </c>
      <c r="D114" s="229">
        <v>0</v>
      </c>
      <c r="E114" s="229"/>
      <c r="F114" s="229"/>
      <c r="G114" s="229"/>
      <c r="H114" s="229"/>
      <c r="I114" s="229"/>
      <c r="J114" s="229">
        <v>0</v>
      </c>
      <c r="K114" s="229"/>
      <c r="L114" s="229"/>
      <c r="M114" s="229"/>
      <c r="N114" s="229"/>
      <c r="O114" s="229">
        <v>0</v>
      </c>
      <c r="P114" s="229">
        <v>0</v>
      </c>
      <c r="Q114" s="229"/>
      <c r="R114" s="229"/>
      <c r="S114" s="229"/>
      <c r="T114" s="229"/>
      <c r="U114" s="229"/>
      <c r="V114" s="229">
        <v>0</v>
      </c>
      <c r="W114" s="229"/>
      <c r="X114" s="229"/>
      <c r="Y114" s="229"/>
      <c r="Z114" s="229">
        <v>0</v>
      </c>
      <c r="AA114" s="229">
        <f>SUMIFS([1]!Data_BS[Value],[1]!Data_BS[Index BS],'Dong Lam'!$B114,[1]!Data_BS[TenCongTyID],'Dong Lam'!$B$1,[1]!Data_BS[Thang.Nam],'Dong Lam'!AA$5)</f>
        <v>0</v>
      </c>
      <c r="AB114" s="229">
        <f>SUMIFS([1]!Data_BS[Value],[1]!Data_BS[Index BS],'Dong Lam'!$B114,[1]!Data_BS[TenCongTyID],'Dong Lam'!$B$1,[1]!Data_BS[Thang.Nam],'Dong Lam'!AB$5)</f>
        <v>0</v>
      </c>
      <c r="AC114" s="229">
        <f>SUMIFS([1]!Data_BS[Value],[1]!Data_BS[Index BS],'Dong Lam'!$B114,[1]!Data_BS[TenCongTyID],'Dong Lam'!$B$1,[1]!Data_BS[Thang.Nam],'Dong Lam'!AC$5)</f>
        <v>0</v>
      </c>
      <c r="AD114" s="229">
        <f>SUMIFS([1]!Data_BS[Value],[1]!Data_BS[Index BS],'Dong Lam'!$B114,[1]!Data_BS[TenCongTyID],'Dong Lam'!$B$1,[1]!Data_BS[Thang.Nam],'Dong Lam'!AD$5)</f>
        <v>0</v>
      </c>
      <c r="AE114" s="229">
        <f>SUMIFS([1]!Data_BS[Value],[1]!Data_BS[Index BS],'Dong Lam'!$B114,[1]!Data_BS[TenCongTyID],'Dong Lam'!$B$1,[1]!Data_BS[Thang.Nam],'Dong Lam'!AE$5)</f>
        <v>0</v>
      </c>
      <c r="AF114" s="229">
        <f>SUMIFS([1]!Data_BS[Value],[1]!Data_BS[Index BS],'Dong Lam'!$B114,[1]!Data_BS[TenCongTyID],'Dong Lam'!$B$1,[1]!Data_BS[Thang.Nam],'Dong Lam'!AF$5)</f>
        <v>0</v>
      </c>
      <c r="AG114" s="229">
        <f>SUMIFS([1]!Data_BS[Value],[1]!Data_BS[Index BS],'Dong Lam'!$B114,[1]!Data_BS[TenCongTyID],'Dong Lam'!$B$1,[1]!Data_BS[Thang.Nam],'Dong Lam'!AG$5)</f>
        <v>0</v>
      </c>
      <c r="AH114" s="229">
        <f>SUMIFS([1]!Data_BS[Value],[1]!Data_BS[Index BS],'Dong Lam'!$B114,[1]!Data_BS[TenCongTyID],'Dong Lam'!$B$1,[1]!Data_BS[Thang.Nam],'Dong Lam'!AH$5)</f>
        <v>0</v>
      </c>
      <c r="AI114" s="229">
        <f>SUMIFS([1]!Data_BS[Value],[1]!Data_BS[Index BS],'Dong Lam'!$B114,[1]!Data_BS[TenCongTyID],'Dong Lam'!$B$1,[1]!Data_BS[Thang.Nam],'Dong Lam'!AI$5)</f>
        <v>0</v>
      </c>
      <c r="AJ114" s="229">
        <f>SUMIFS([1]!Data_BS[Value],[1]!Data_BS[Index BS],'Dong Lam'!$B114,[1]!Data_BS[TenCongTyID],'Dong Lam'!$B$1,[1]!Data_BS[Thang.Nam],'Dong Lam'!AJ$5)</f>
        <v>0</v>
      </c>
      <c r="AK114" s="229">
        <f>SUMIFS([1]!Data_BS[Value],[1]!Data_BS[Index BS],'Dong Lam'!$B114,[1]!Data_BS[TenCongTyID],'Dong Lam'!$B$1,[1]!Data_BS[Thang.Nam],'Dong Lam'!AK$5)</f>
        <v>0</v>
      </c>
      <c r="AL114" s="229">
        <f>SUMIFS([1]!Data_BS[Value],[1]!Data_BS[Index BS],'Dong Lam'!$B114,[1]!Data_BS[TenCongTyID],'Dong Lam'!$B$1,[1]!Data_BS[Thang.Nam],'Dong Lam'!AL$5)</f>
        <v>0</v>
      </c>
    </row>
    <row r="115" spans="1:38" ht="15" hidden="1" customHeight="1" outlineLevel="1">
      <c r="A115" s="67" t="s">
        <v>199</v>
      </c>
      <c r="B115" s="63">
        <v>110</v>
      </c>
      <c r="C115" s="229">
        <v>0</v>
      </c>
      <c r="D115" s="229">
        <v>0</v>
      </c>
      <c r="E115" s="229"/>
      <c r="F115" s="229"/>
      <c r="G115" s="229"/>
      <c r="H115" s="229"/>
      <c r="I115" s="229"/>
      <c r="J115" s="229">
        <v>0</v>
      </c>
      <c r="K115" s="229"/>
      <c r="L115" s="229"/>
      <c r="M115" s="229"/>
      <c r="N115" s="229"/>
      <c r="O115" s="229">
        <v>0</v>
      </c>
      <c r="P115" s="229">
        <v>0</v>
      </c>
      <c r="Q115" s="229"/>
      <c r="R115" s="229"/>
      <c r="S115" s="229"/>
      <c r="T115" s="229"/>
      <c r="U115" s="229"/>
      <c r="V115" s="229">
        <v>0</v>
      </c>
      <c r="W115" s="229"/>
      <c r="X115" s="229"/>
      <c r="Y115" s="229"/>
      <c r="Z115" s="229">
        <v>0</v>
      </c>
      <c r="AA115" s="229">
        <f>SUMIFS([1]!Data_BS[Value],[1]!Data_BS[Index BS],'Dong Lam'!$B115,[1]!Data_BS[TenCongTyID],'Dong Lam'!$B$1,[1]!Data_BS[Thang.Nam],'Dong Lam'!AA$5)</f>
        <v>0</v>
      </c>
      <c r="AB115" s="229">
        <f>SUMIFS([1]!Data_BS[Value],[1]!Data_BS[Index BS],'Dong Lam'!$B115,[1]!Data_BS[TenCongTyID],'Dong Lam'!$B$1,[1]!Data_BS[Thang.Nam],'Dong Lam'!AB$5)</f>
        <v>0</v>
      </c>
      <c r="AC115" s="229">
        <f>SUMIFS([1]!Data_BS[Value],[1]!Data_BS[Index BS],'Dong Lam'!$B115,[1]!Data_BS[TenCongTyID],'Dong Lam'!$B$1,[1]!Data_BS[Thang.Nam],'Dong Lam'!AC$5)</f>
        <v>0</v>
      </c>
      <c r="AD115" s="229">
        <f>SUMIFS([1]!Data_BS[Value],[1]!Data_BS[Index BS],'Dong Lam'!$B115,[1]!Data_BS[TenCongTyID],'Dong Lam'!$B$1,[1]!Data_BS[Thang.Nam],'Dong Lam'!AD$5)</f>
        <v>0</v>
      </c>
      <c r="AE115" s="229">
        <f>SUMIFS([1]!Data_BS[Value],[1]!Data_BS[Index BS],'Dong Lam'!$B115,[1]!Data_BS[TenCongTyID],'Dong Lam'!$B$1,[1]!Data_BS[Thang.Nam],'Dong Lam'!AE$5)</f>
        <v>0</v>
      </c>
      <c r="AF115" s="229">
        <f>SUMIFS([1]!Data_BS[Value],[1]!Data_BS[Index BS],'Dong Lam'!$B115,[1]!Data_BS[TenCongTyID],'Dong Lam'!$B$1,[1]!Data_BS[Thang.Nam],'Dong Lam'!AF$5)</f>
        <v>0</v>
      </c>
      <c r="AG115" s="229">
        <f>SUMIFS([1]!Data_BS[Value],[1]!Data_BS[Index BS],'Dong Lam'!$B115,[1]!Data_BS[TenCongTyID],'Dong Lam'!$B$1,[1]!Data_BS[Thang.Nam],'Dong Lam'!AG$5)</f>
        <v>0</v>
      </c>
      <c r="AH115" s="229">
        <f>SUMIFS([1]!Data_BS[Value],[1]!Data_BS[Index BS],'Dong Lam'!$B115,[1]!Data_BS[TenCongTyID],'Dong Lam'!$B$1,[1]!Data_BS[Thang.Nam],'Dong Lam'!AH$5)</f>
        <v>0</v>
      </c>
      <c r="AI115" s="229">
        <f>SUMIFS([1]!Data_BS[Value],[1]!Data_BS[Index BS],'Dong Lam'!$B115,[1]!Data_BS[TenCongTyID],'Dong Lam'!$B$1,[1]!Data_BS[Thang.Nam],'Dong Lam'!AI$5)</f>
        <v>0</v>
      </c>
      <c r="AJ115" s="229">
        <f>SUMIFS([1]!Data_BS[Value],[1]!Data_BS[Index BS],'Dong Lam'!$B115,[1]!Data_BS[TenCongTyID],'Dong Lam'!$B$1,[1]!Data_BS[Thang.Nam],'Dong Lam'!AJ$5)</f>
        <v>0</v>
      </c>
      <c r="AK115" s="229">
        <f>SUMIFS([1]!Data_BS[Value],[1]!Data_BS[Index BS],'Dong Lam'!$B115,[1]!Data_BS[TenCongTyID],'Dong Lam'!$B$1,[1]!Data_BS[Thang.Nam],'Dong Lam'!AK$5)</f>
        <v>0</v>
      </c>
      <c r="AL115" s="229">
        <f>SUMIFS([1]!Data_BS[Value],[1]!Data_BS[Index BS],'Dong Lam'!$B115,[1]!Data_BS[TenCongTyID],'Dong Lam'!$B$1,[1]!Data_BS[Thang.Nam],'Dong Lam'!AL$5)</f>
        <v>0</v>
      </c>
    </row>
    <row r="116" spans="1:38" ht="15" hidden="1" customHeight="1" outlineLevel="1">
      <c r="A116" s="56" t="s">
        <v>200</v>
      </c>
      <c r="B116" s="71">
        <v>111</v>
      </c>
      <c r="C116" s="240">
        <v>34851548237</v>
      </c>
      <c r="D116" s="240">
        <v>34676414966</v>
      </c>
      <c r="E116" s="240">
        <v>34726736752</v>
      </c>
      <c r="F116" s="240">
        <v>34585289370</v>
      </c>
      <c r="G116" s="240">
        <v>34587348043</v>
      </c>
      <c r="H116" s="240">
        <v>34391686341</v>
      </c>
      <c r="I116" s="240">
        <v>33997083523</v>
      </c>
      <c r="J116" s="240">
        <v>33596115630</v>
      </c>
      <c r="K116" s="240">
        <v>33289040175</v>
      </c>
      <c r="L116" s="240">
        <v>33052247845</v>
      </c>
      <c r="M116" s="240">
        <v>32164845665</v>
      </c>
      <c r="N116" s="241">
        <v>31888021408</v>
      </c>
      <c r="O116" s="241">
        <v>31442462417</v>
      </c>
      <c r="P116" s="241">
        <v>31392581796</v>
      </c>
      <c r="Q116" s="241">
        <v>31473107571</v>
      </c>
      <c r="R116" s="241">
        <v>31763910847</v>
      </c>
      <c r="S116" s="241">
        <v>31728658301</v>
      </c>
      <c r="T116" s="241">
        <v>32347601543</v>
      </c>
      <c r="U116" s="241">
        <v>33317897595</v>
      </c>
      <c r="V116" s="241">
        <v>34822428930</v>
      </c>
      <c r="W116" s="241">
        <v>34777501656</v>
      </c>
      <c r="X116" s="241">
        <v>34981451977</v>
      </c>
      <c r="Y116" s="241">
        <v>35089870340</v>
      </c>
      <c r="Z116" s="241">
        <v>35233995407</v>
      </c>
      <c r="AA116" s="241">
        <f>SUMIFS([1]!Data_BS[Value],[1]!Data_BS[Index BS],'Dong Lam'!$B116,[1]!Data_BS[TenCongTyID],'Dong Lam'!$B$1,[1]!Data_BS[Thang.Nam],'Dong Lam'!AA$5)</f>
        <v>0</v>
      </c>
      <c r="AB116" s="241">
        <f>SUMIFS([1]!Data_BS[Value],[1]!Data_BS[Index BS],'Dong Lam'!$B116,[1]!Data_BS[TenCongTyID],'Dong Lam'!$B$1,[1]!Data_BS[Thang.Nam],'Dong Lam'!AB$5)</f>
        <v>0</v>
      </c>
      <c r="AC116" s="241">
        <f>SUMIFS([1]!Data_BS[Value],[1]!Data_BS[Index BS],'Dong Lam'!$B116,[1]!Data_BS[TenCongTyID],'Dong Lam'!$B$1,[1]!Data_BS[Thang.Nam],'Dong Lam'!AC$5)</f>
        <v>0</v>
      </c>
      <c r="AD116" s="241">
        <f>SUMIFS([1]!Data_BS[Value],[1]!Data_BS[Index BS],'Dong Lam'!$B116,[1]!Data_BS[TenCongTyID],'Dong Lam'!$B$1,[1]!Data_BS[Thang.Nam],'Dong Lam'!AD$5)</f>
        <v>0</v>
      </c>
      <c r="AE116" s="241">
        <f>SUMIFS([1]!Data_BS[Value],[1]!Data_BS[Index BS],'Dong Lam'!$B116,[1]!Data_BS[TenCongTyID],'Dong Lam'!$B$1,[1]!Data_BS[Thang.Nam],'Dong Lam'!AE$5)</f>
        <v>0</v>
      </c>
      <c r="AF116" s="241">
        <f>SUMIFS([1]!Data_BS[Value],[1]!Data_BS[Index BS],'Dong Lam'!$B116,[1]!Data_BS[TenCongTyID],'Dong Lam'!$B$1,[1]!Data_BS[Thang.Nam],'Dong Lam'!AF$5)</f>
        <v>0</v>
      </c>
      <c r="AG116" s="241">
        <f>SUMIFS([1]!Data_BS[Value],[1]!Data_BS[Index BS],'Dong Lam'!$B116,[1]!Data_BS[TenCongTyID],'Dong Lam'!$B$1,[1]!Data_BS[Thang.Nam],'Dong Lam'!AG$5)</f>
        <v>0</v>
      </c>
      <c r="AH116" s="241">
        <f>SUMIFS([1]!Data_BS[Value],[1]!Data_BS[Index BS],'Dong Lam'!$B116,[1]!Data_BS[TenCongTyID],'Dong Lam'!$B$1,[1]!Data_BS[Thang.Nam],'Dong Lam'!AH$5)</f>
        <v>0</v>
      </c>
      <c r="AI116" s="241">
        <f>SUMIFS([1]!Data_BS[Value],[1]!Data_BS[Index BS],'Dong Lam'!$B116,[1]!Data_BS[TenCongTyID],'Dong Lam'!$B$1,[1]!Data_BS[Thang.Nam],'Dong Lam'!AI$5)</f>
        <v>0</v>
      </c>
      <c r="AJ116" s="241">
        <f>SUMIFS([1]!Data_BS[Value],[1]!Data_BS[Index BS],'Dong Lam'!$B116,[1]!Data_BS[TenCongTyID],'Dong Lam'!$B$1,[1]!Data_BS[Thang.Nam],'Dong Lam'!AJ$5)</f>
        <v>0</v>
      </c>
      <c r="AK116" s="241">
        <f>SUMIFS([1]!Data_BS[Value],[1]!Data_BS[Index BS],'Dong Lam'!$B116,[1]!Data_BS[TenCongTyID],'Dong Lam'!$B$1,[1]!Data_BS[Thang.Nam],'Dong Lam'!AK$5)</f>
        <v>0</v>
      </c>
      <c r="AL116" s="241">
        <f>SUMIFS([1]!Data_BS[Value],[1]!Data_BS[Index BS],'Dong Lam'!$B116,[1]!Data_BS[TenCongTyID],'Dong Lam'!$B$1,[1]!Data_BS[Thang.Nam],'Dong Lam'!AL$5)</f>
        <v>0</v>
      </c>
    </row>
    <row r="117" spans="1:38" ht="15" hidden="1" customHeight="1" outlineLevel="1">
      <c r="A117" s="67" t="s">
        <v>201</v>
      </c>
      <c r="B117" s="63">
        <v>112</v>
      </c>
      <c r="C117" s="229">
        <v>47000000000</v>
      </c>
      <c r="D117" s="229">
        <v>47000000000</v>
      </c>
      <c r="E117" s="229">
        <v>47000000000</v>
      </c>
      <c r="F117" s="229">
        <v>47000000000</v>
      </c>
      <c r="G117" s="229">
        <v>47000000000</v>
      </c>
      <c r="H117" s="229">
        <v>47000000000</v>
      </c>
      <c r="I117" s="229">
        <v>47000000000</v>
      </c>
      <c r="J117" s="229">
        <v>47000000000</v>
      </c>
      <c r="K117" s="229">
        <v>47000000000</v>
      </c>
      <c r="L117" s="229">
        <v>47000000000</v>
      </c>
      <c r="M117" s="229">
        <v>47000000000</v>
      </c>
      <c r="N117" s="229">
        <v>47000000000</v>
      </c>
      <c r="O117" s="229">
        <v>47000000000</v>
      </c>
      <c r="P117" s="229">
        <v>47000000000</v>
      </c>
      <c r="Q117" s="229">
        <v>47000000000</v>
      </c>
      <c r="R117" s="229">
        <v>47000000000</v>
      </c>
      <c r="S117" s="229">
        <v>47000000000</v>
      </c>
      <c r="T117" s="229">
        <v>47000000000</v>
      </c>
      <c r="U117" s="229">
        <v>47000000000</v>
      </c>
      <c r="V117" s="229">
        <v>47000000000</v>
      </c>
      <c r="W117" s="229">
        <v>47000000000</v>
      </c>
      <c r="X117" s="229">
        <v>47000000000</v>
      </c>
      <c r="Y117" s="229">
        <v>47000000000</v>
      </c>
      <c r="Z117" s="229">
        <v>47000000000</v>
      </c>
      <c r="AA117" s="229">
        <f>SUMIFS([1]!Data_BS[Value],[1]!Data_BS[Index BS],'Dong Lam'!$B117,[1]!Data_BS[TenCongTyID],'Dong Lam'!$B$1,[1]!Data_BS[Thang.Nam],'Dong Lam'!AA$5)</f>
        <v>0</v>
      </c>
      <c r="AB117" s="229">
        <f>SUMIFS([1]!Data_BS[Value],[1]!Data_BS[Index BS],'Dong Lam'!$B117,[1]!Data_BS[TenCongTyID],'Dong Lam'!$B$1,[1]!Data_BS[Thang.Nam],'Dong Lam'!AB$5)</f>
        <v>0</v>
      </c>
      <c r="AC117" s="229">
        <f>SUMIFS([1]!Data_BS[Value],[1]!Data_BS[Index BS],'Dong Lam'!$B117,[1]!Data_BS[TenCongTyID],'Dong Lam'!$B$1,[1]!Data_BS[Thang.Nam],'Dong Lam'!AC$5)</f>
        <v>0</v>
      </c>
      <c r="AD117" s="229">
        <f>SUMIFS([1]!Data_BS[Value],[1]!Data_BS[Index BS],'Dong Lam'!$B117,[1]!Data_BS[TenCongTyID],'Dong Lam'!$B$1,[1]!Data_BS[Thang.Nam],'Dong Lam'!AD$5)</f>
        <v>0</v>
      </c>
      <c r="AE117" s="229">
        <f>SUMIFS([1]!Data_BS[Value],[1]!Data_BS[Index BS],'Dong Lam'!$B117,[1]!Data_BS[TenCongTyID],'Dong Lam'!$B$1,[1]!Data_BS[Thang.Nam],'Dong Lam'!AE$5)</f>
        <v>0</v>
      </c>
      <c r="AF117" s="229">
        <f>SUMIFS([1]!Data_BS[Value],[1]!Data_BS[Index BS],'Dong Lam'!$B117,[1]!Data_BS[TenCongTyID],'Dong Lam'!$B$1,[1]!Data_BS[Thang.Nam],'Dong Lam'!AF$5)</f>
        <v>0</v>
      </c>
      <c r="AG117" s="229">
        <f>SUMIFS([1]!Data_BS[Value],[1]!Data_BS[Index BS],'Dong Lam'!$B117,[1]!Data_BS[TenCongTyID],'Dong Lam'!$B$1,[1]!Data_BS[Thang.Nam],'Dong Lam'!AG$5)</f>
        <v>0</v>
      </c>
      <c r="AH117" s="229">
        <f>SUMIFS([1]!Data_BS[Value],[1]!Data_BS[Index BS],'Dong Lam'!$B117,[1]!Data_BS[TenCongTyID],'Dong Lam'!$B$1,[1]!Data_BS[Thang.Nam],'Dong Lam'!AH$5)</f>
        <v>0</v>
      </c>
      <c r="AI117" s="229">
        <f>SUMIFS([1]!Data_BS[Value],[1]!Data_BS[Index BS],'Dong Lam'!$B117,[1]!Data_BS[TenCongTyID],'Dong Lam'!$B$1,[1]!Data_BS[Thang.Nam],'Dong Lam'!AI$5)</f>
        <v>0</v>
      </c>
      <c r="AJ117" s="229">
        <f>SUMIFS([1]!Data_BS[Value],[1]!Data_BS[Index BS],'Dong Lam'!$B117,[1]!Data_BS[TenCongTyID],'Dong Lam'!$B$1,[1]!Data_BS[Thang.Nam],'Dong Lam'!AJ$5)</f>
        <v>0</v>
      </c>
      <c r="AK117" s="229">
        <f>SUMIFS([1]!Data_BS[Value],[1]!Data_BS[Index BS],'Dong Lam'!$B117,[1]!Data_BS[TenCongTyID],'Dong Lam'!$B$1,[1]!Data_BS[Thang.Nam],'Dong Lam'!AK$5)</f>
        <v>0</v>
      </c>
      <c r="AL117" s="229">
        <f>SUMIFS([1]!Data_BS[Value],[1]!Data_BS[Index BS],'Dong Lam'!$B117,[1]!Data_BS[TenCongTyID],'Dong Lam'!$B$1,[1]!Data_BS[Thang.Nam],'Dong Lam'!AL$5)</f>
        <v>0</v>
      </c>
    </row>
    <row r="118" spans="1:38" ht="15" hidden="1" customHeight="1" outlineLevel="1">
      <c r="A118" s="67" t="s">
        <v>202</v>
      </c>
      <c r="B118" s="63">
        <v>113</v>
      </c>
      <c r="C118" s="229">
        <v>47000000000</v>
      </c>
      <c r="D118" s="229">
        <v>47000000000</v>
      </c>
      <c r="E118" s="229">
        <v>47000000000</v>
      </c>
      <c r="F118" s="229">
        <v>47000000000</v>
      </c>
      <c r="G118" s="229">
        <v>47000000000</v>
      </c>
      <c r="H118" s="229">
        <v>47000000000</v>
      </c>
      <c r="I118" s="229">
        <v>47000000000</v>
      </c>
      <c r="J118" s="229">
        <v>47000000000</v>
      </c>
      <c r="K118" s="229">
        <v>47000000000</v>
      </c>
      <c r="L118" s="229">
        <v>47000000000</v>
      </c>
      <c r="M118" s="229">
        <v>47000000000</v>
      </c>
      <c r="N118" s="229">
        <v>47000000000</v>
      </c>
      <c r="O118" s="229">
        <v>47000000000</v>
      </c>
      <c r="P118" s="229">
        <v>47000000000</v>
      </c>
      <c r="Q118" s="229">
        <v>47000000000</v>
      </c>
      <c r="R118" s="229">
        <v>47000000000</v>
      </c>
      <c r="S118" s="229">
        <v>47000000000</v>
      </c>
      <c r="T118" s="229">
        <v>47000000000</v>
      </c>
      <c r="U118" s="229">
        <v>47000000000</v>
      </c>
      <c r="V118" s="229">
        <v>47000000000</v>
      </c>
      <c r="W118" s="229">
        <v>47000000000</v>
      </c>
      <c r="X118" s="229">
        <v>47000000000</v>
      </c>
      <c r="Y118" s="229">
        <v>47000000000</v>
      </c>
      <c r="Z118" s="229">
        <v>47000000000</v>
      </c>
      <c r="AA118" s="229">
        <f>SUMIFS([1]!Data_BS[Value],[1]!Data_BS[Index BS],'Dong Lam'!$B118,[1]!Data_BS[TenCongTyID],'Dong Lam'!$B$1,[1]!Data_BS[Thang.Nam],'Dong Lam'!AA$5)</f>
        <v>0</v>
      </c>
      <c r="AB118" s="229">
        <f>SUMIFS([1]!Data_BS[Value],[1]!Data_BS[Index BS],'Dong Lam'!$B118,[1]!Data_BS[TenCongTyID],'Dong Lam'!$B$1,[1]!Data_BS[Thang.Nam],'Dong Lam'!AB$5)</f>
        <v>0</v>
      </c>
      <c r="AC118" s="229">
        <f>SUMIFS([1]!Data_BS[Value],[1]!Data_BS[Index BS],'Dong Lam'!$B118,[1]!Data_BS[TenCongTyID],'Dong Lam'!$B$1,[1]!Data_BS[Thang.Nam],'Dong Lam'!AC$5)</f>
        <v>0</v>
      </c>
      <c r="AD118" s="229">
        <f>SUMIFS([1]!Data_BS[Value],[1]!Data_BS[Index BS],'Dong Lam'!$B118,[1]!Data_BS[TenCongTyID],'Dong Lam'!$B$1,[1]!Data_BS[Thang.Nam],'Dong Lam'!AD$5)</f>
        <v>0</v>
      </c>
      <c r="AE118" s="229">
        <f>SUMIFS([1]!Data_BS[Value],[1]!Data_BS[Index BS],'Dong Lam'!$B118,[1]!Data_BS[TenCongTyID],'Dong Lam'!$B$1,[1]!Data_BS[Thang.Nam],'Dong Lam'!AE$5)</f>
        <v>0</v>
      </c>
      <c r="AF118" s="229">
        <f>SUMIFS([1]!Data_BS[Value],[1]!Data_BS[Index BS],'Dong Lam'!$B118,[1]!Data_BS[TenCongTyID],'Dong Lam'!$B$1,[1]!Data_BS[Thang.Nam],'Dong Lam'!AF$5)</f>
        <v>0</v>
      </c>
      <c r="AG118" s="229">
        <f>SUMIFS([1]!Data_BS[Value],[1]!Data_BS[Index BS],'Dong Lam'!$B118,[1]!Data_BS[TenCongTyID],'Dong Lam'!$B$1,[1]!Data_BS[Thang.Nam],'Dong Lam'!AG$5)</f>
        <v>0</v>
      </c>
      <c r="AH118" s="229">
        <f>SUMIFS([1]!Data_BS[Value],[1]!Data_BS[Index BS],'Dong Lam'!$B118,[1]!Data_BS[TenCongTyID],'Dong Lam'!$B$1,[1]!Data_BS[Thang.Nam],'Dong Lam'!AH$5)</f>
        <v>0</v>
      </c>
      <c r="AI118" s="229">
        <f>SUMIFS([1]!Data_BS[Value],[1]!Data_BS[Index BS],'Dong Lam'!$B118,[1]!Data_BS[TenCongTyID],'Dong Lam'!$B$1,[1]!Data_BS[Thang.Nam],'Dong Lam'!AI$5)</f>
        <v>0</v>
      </c>
      <c r="AJ118" s="229">
        <f>SUMIFS([1]!Data_BS[Value],[1]!Data_BS[Index BS],'Dong Lam'!$B118,[1]!Data_BS[TenCongTyID],'Dong Lam'!$B$1,[1]!Data_BS[Thang.Nam],'Dong Lam'!AJ$5)</f>
        <v>0</v>
      </c>
      <c r="AK118" s="229">
        <f>SUMIFS([1]!Data_BS[Value],[1]!Data_BS[Index BS],'Dong Lam'!$B118,[1]!Data_BS[TenCongTyID],'Dong Lam'!$B$1,[1]!Data_BS[Thang.Nam],'Dong Lam'!AK$5)</f>
        <v>0</v>
      </c>
      <c r="AL118" s="229">
        <f>SUMIFS([1]!Data_BS[Value],[1]!Data_BS[Index BS],'Dong Lam'!$B118,[1]!Data_BS[TenCongTyID],'Dong Lam'!$B$1,[1]!Data_BS[Thang.Nam],'Dong Lam'!AL$5)</f>
        <v>0</v>
      </c>
    </row>
    <row r="119" spans="1:38" ht="15" hidden="1" customHeight="1" outlineLevel="1">
      <c r="A119" s="67" t="s">
        <v>203</v>
      </c>
      <c r="B119" s="63">
        <v>114</v>
      </c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>
        <v>0</v>
      </c>
      <c r="AA119" s="229">
        <f>SUMIFS([1]!Data_BS[Value],[1]!Data_BS[Index BS],'Dong Lam'!$B119,[1]!Data_BS[TenCongTyID],'Dong Lam'!$B$1,[1]!Data_BS[Thang.Nam],'Dong Lam'!AA$5)</f>
        <v>0</v>
      </c>
      <c r="AB119" s="229">
        <f>SUMIFS([1]!Data_BS[Value],[1]!Data_BS[Index BS],'Dong Lam'!$B119,[1]!Data_BS[TenCongTyID],'Dong Lam'!$B$1,[1]!Data_BS[Thang.Nam],'Dong Lam'!AB$5)</f>
        <v>0</v>
      </c>
      <c r="AC119" s="229">
        <f>SUMIFS([1]!Data_BS[Value],[1]!Data_BS[Index BS],'Dong Lam'!$B119,[1]!Data_BS[TenCongTyID],'Dong Lam'!$B$1,[1]!Data_BS[Thang.Nam],'Dong Lam'!AC$5)</f>
        <v>0</v>
      </c>
      <c r="AD119" s="229">
        <f>SUMIFS([1]!Data_BS[Value],[1]!Data_BS[Index BS],'Dong Lam'!$B119,[1]!Data_BS[TenCongTyID],'Dong Lam'!$B$1,[1]!Data_BS[Thang.Nam],'Dong Lam'!AD$5)</f>
        <v>0</v>
      </c>
      <c r="AE119" s="229">
        <f>SUMIFS([1]!Data_BS[Value],[1]!Data_BS[Index BS],'Dong Lam'!$B119,[1]!Data_BS[TenCongTyID],'Dong Lam'!$B$1,[1]!Data_BS[Thang.Nam],'Dong Lam'!AE$5)</f>
        <v>0</v>
      </c>
      <c r="AF119" s="229">
        <f>SUMIFS([1]!Data_BS[Value],[1]!Data_BS[Index BS],'Dong Lam'!$B119,[1]!Data_BS[TenCongTyID],'Dong Lam'!$B$1,[1]!Data_BS[Thang.Nam],'Dong Lam'!AF$5)</f>
        <v>0</v>
      </c>
      <c r="AG119" s="229">
        <f>SUMIFS([1]!Data_BS[Value],[1]!Data_BS[Index BS],'Dong Lam'!$B119,[1]!Data_BS[TenCongTyID],'Dong Lam'!$B$1,[1]!Data_BS[Thang.Nam],'Dong Lam'!AG$5)</f>
        <v>0</v>
      </c>
      <c r="AH119" s="229">
        <f>SUMIFS([1]!Data_BS[Value],[1]!Data_BS[Index BS],'Dong Lam'!$B119,[1]!Data_BS[TenCongTyID],'Dong Lam'!$B$1,[1]!Data_BS[Thang.Nam],'Dong Lam'!AH$5)</f>
        <v>0</v>
      </c>
      <c r="AI119" s="229">
        <f>SUMIFS([1]!Data_BS[Value],[1]!Data_BS[Index BS],'Dong Lam'!$B119,[1]!Data_BS[TenCongTyID],'Dong Lam'!$B$1,[1]!Data_BS[Thang.Nam],'Dong Lam'!AI$5)</f>
        <v>0</v>
      </c>
      <c r="AJ119" s="229">
        <f>SUMIFS([1]!Data_BS[Value],[1]!Data_BS[Index BS],'Dong Lam'!$B119,[1]!Data_BS[TenCongTyID],'Dong Lam'!$B$1,[1]!Data_BS[Thang.Nam],'Dong Lam'!AJ$5)</f>
        <v>0</v>
      </c>
      <c r="AK119" s="229">
        <f>SUMIFS([1]!Data_BS[Value],[1]!Data_BS[Index BS],'Dong Lam'!$B119,[1]!Data_BS[TenCongTyID],'Dong Lam'!$B$1,[1]!Data_BS[Thang.Nam],'Dong Lam'!AK$5)</f>
        <v>0</v>
      </c>
      <c r="AL119" s="229">
        <f>SUMIFS([1]!Data_BS[Value],[1]!Data_BS[Index BS],'Dong Lam'!$B119,[1]!Data_BS[TenCongTyID],'Dong Lam'!$B$1,[1]!Data_BS[Thang.Nam],'Dong Lam'!AL$5)</f>
        <v>0</v>
      </c>
    </row>
    <row r="120" spans="1:38" ht="15" hidden="1" customHeight="1" outlineLevel="1">
      <c r="A120" s="67" t="s">
        <v>204</v>
      </c>
      <c r="B120" s="63">
        <v>115</v>
      </c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>
        <v>0</v>
      </c>
      <c r="AA120" s="229">
        <f>SUMIFS([1]!Data_BS[Value],[1]!Data_BS[Index BS],'Dong Lam'!$B120,[1]!Data_BS[TenCongTyID],'Dong Lam'!$B$1,[1]!Data_BS[Thang.Nam],'Dong Lam'!AA$5)</f>
        <v>0</v>
      </c>
      <c r="AB120" s="229">
        <f>SUMIFS([1]!Data_BS[Value],[1]!Data_BS[Index BS],'Dong Lam'!$B120,[1]!Data_BS[TenCongTyID],'Dong Lam'!$B$1,[1]!Data_BS[Thang.Nam],'Dong Lam'!AB$5)</f>
        <v>0</v>
      </c>
      <c r="AC120" s="229">
        <f>SUMIFS([1]!Data_BS[Value],[1]!Data_BS[Index BS],'Dong Lam'!$B120,[1]!Data_BS[TenCongTyID],'Dong Lam'!$B$1,[1]!Data_BS[Thang.Nam],'Dong Lam'!AC$5)</f>
        <v>0</v>
      </c>
      <c r="AD120" s="229">
        <f>SUMIFS([1]!Data_BS[Value],[1]!Data_BS[Index BS],'Dong Lam'!$B120,[1]!Data_BS[TenCongTyID],'Dong Lam'!$B$1,[1]!Data_BS[Thang.Nam],'Dong Lam'!AD$5)</f>
        <v>0</v>
      </c>
      <c r="AE120" s="229">
        <f>SUMIFS([1]!Data_BS[Value],[1]!Data_BS[Index BS],'Dong Lam'!$B120,[1]!Data_BS[TenCongTyID],'Dong Lam'!$B$1,[1]!Data_BS[Thang.Nam],'Dong Lam'!AE$5)</f>
        <v>0</v>
      </c>
      <c r="AF120" s="229">
        <f>SUMIFS([1]!Data_BS[Value],[1]!Data_BS[Index BS],'Dong Lam'!$B120,[1]!Data_BS[TenCongTyID],'Dong Lam'!$B$1,[1]!Data_BS[Thang.Nam],'Dong Lam'!AF$5)</f>
        <v>0</v>
      </c>
      <c r="AG120" s="229">
        <f>SUMIFS([1]!Data_BS[Value],[1]!Data_BS[Index BS],'Dong Lam'!$B120,[1]!Data_BS[TenCongTyID],'Dong Lam'!$B$1,[1]!Data_BS[Thang.Nam],'Dong Lam'!AG$5)</f>
        <v>0</v>
      </c>
      <c r="AH120" s="229">
        <f>SUMIFS([1]!Data_BS[Value],[1]!Data_BS[Index BS],'Dong Lam'!$B120,[1]!Data_BS[TenCongTyID],'Dong Lam'!$B$1,[1]!Data_BS[Thang.Nam],'Dong Lam'!AH$5)</f>
        <v>0</v>
      </c>
      <c r="AI120" s="229">
        <f>SUMIFS([1]!Data_BS[Value],[1]!Data_BS[Index BS],'Dong Lam'!$B120,[1]!Data_BS[TenCongTyID],'Dong Lam'!$B$1,[1]!Data_BS[Thang.Nam],'Dong Lam'!AI$5)</f>
        <v>0</v>
      </c>
      <c r="AJ120" s="229">
        <f>SUMIFS([1]!Data_BS[Value],[1]!Data_BS[Index BS],'Dong Lam'!$B120,[1]!Data_BS[TenCongTyID],'Dong Lam'!$B$1,[1]!Data_BS[Thang.Nam],'Dong Lam'!AJ$5)</f>
        <v>0</v>
      </c>
      <c r="AK120" s="229">
        <f>SUMIFS([1]!Data_BS[Value],[1]!Data_BS[Index BS],'Dong Lam'!$B120,[1]!Data_BS[TenCongTyID],'Dong Lam'!$B$1,[1]!Data_BS[Thang.Nam],'Dong Lam'!AK$5)</f>
        <v>0</v>
      </c>
      <c r="AL120" s="229">
        <f>SUMIFS([1]!Data_BS[Value],[1]!Data_BS[Index BS],'Dong Lam'!$B120,[1]!Data_BS[TenCongTyID],'Dong Lam'!$B$1,[1]!Data_BS[Thang.Nam],'Dong Lam'!AL$5)</f>
        <v>0</v>
      </c>
    </row>
    <row r="121" spans="1:38" ht="15" hidden="1" customHeight="1" outlineLevel="1">
      <c r="A121" s="67" t="s">
        <v>205</v>
      </c>
      <c r="B121" s="63">
        <v>116</v>
      </c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>
        <v>0</v>
      </c>
      <c r="AA121" s="229">
        <f>SUMIFS([1]!Data_BS[Value],[1]!Data_BS[Index BS],'Dong Lam'!$B121,[1]!Data_BS[TenCongTyID],'Dong Lam'!$B$1,[1]!Data_BS[Thang.Nam],'Dong Lam'!AA$5)</f>
        <v>0</v>
      </c>
      <c r="AB121" s="229">
        <f>SUMIFS([1]!Data_BS[Value],[1]!Data_BS[Index BS],'Dong Lam'!$B121,[1]!Data_BS[TenCongTyID],'Dong Lam'!$B$1,[1]!Data_BS[Thang.Nam],'Dong Lam'!AB$5)</f>
        <v>0</v>
      </c>
      <c r="AC121" s="229">
        <f>SUMIFS([1]!Data_BS[Value],[1]!Data_BS[Index BS],'Dong Lam'!$B121,[1]!Data_BS[TenCongTyID],'Dong Lam'!$B$1,[1]!Data_BS[Thang.Nam],'Dong Lam'!AC$5)</f>
        <v>0</v>
      </c>
      <c r="AD121" s="229">
        <f>SUMIFS([1]!Data_BS[Value],[1]!Data_BS[Index BS],'Dong Lam'!$B121,[1]!Data_BS[TenCongTyID],'Dong Lam'!$B$1,[1]!Data_BS[Thang.Nam],'Dong Lam'!AD$5)</f>
        <v>0</v>
      </c>
      <c r="AE121" s="229">
        <f>SUMIFS([1]!Data_BS[Value],[1]!Data_BS[Index BS],'Dong Lam'!$B121,[1]!Data_BS[TenCongTyID],'Dong Lam'!$B$1,[1]!Data_BS[Thang.Nam],'Dong Lam'!AE$5)</f>
        <v>0</v>
      </c>
      <c r="AF121" s="229">
        <f>SUMIFS([1]!Data_BS[Value],[1]!Data_BS[Index BS],'Dong Lam'!$B121,[1]!Data_BS[TenCongTyID],'Dong Lam'!$B$1,[1]!Data_BS[Thang.Nam],'Dong Lam'!AF$5)</f>
        <v>0</v>
      </c>
      <c r="AG121" s="229">
        <f>SUMIFS([1]!Data_BS[Value],[1]!Data_BS[Index BS],'Dong Lam'!$B121,[1]!Data_BS[TenCongTyID],'Dong Lam'!$B$1,[1]!Data_BS[Thang.Nam],'Dong Lam'!AG$5)</f>
        <v>0</v>
      </c>
      <c r="AH121" s="229">
        <f>SUMIFS([1]!Data_BS[Value],[1]!Data_BS[Index BS],'Dong Lam'!$B121,[1]!Data_BS[TenCongTyID],'Dong Lam'!$B$1,[1]!Data_BS[Thang.Nam],'Dong Lam'!AH$5)</f>
        <v>0</v>
      </c>
      <c r="AI121" s="229">
        <f>SUMIFS([1]!Data_BS[Value],[1]!Data_BS[Index BS],'Dong Lam'!$B121,[1]!Data_BS[TenCongTyID],'Dong Lam'!$B$1,[1]!Data_BS[Thang.Nam],'Dong Lam'!AI$5)</f>
        <v>0</v>
      </c>
      <c r="AJ121" s="229">
        <f>SUMIFS([1]!Data_BS[Value],[1]!Data_BS[Index BS],'Dong Lam'!$B121,[1]!Data_BS[TenCongTyID],'Dong Lam'!$B$1,[1]!Data_BS[Thang.Nam],'Dong Lam'!AJ$5)</f>
        <v>0</v>
      </c>
      <c r="AK121" s="229">
        <f>SUMIFS([1]!Data_BS[Value],[1]!Data_BS[Index BS],'Dong Lam'!$B121,[1]!Data_BS[TenCongTyID],'Dong Lam'!$B$1,[1]!Data_BS[Thang.Nam],'Dong Lam'!AK$5)</f>
        <v>0</v>
      </c>
      <c r="AL121" s="229">
        <f>SUMIFS([1]!Data_BS[Value],[1]!Data_BS[Index BS],'Dong Lam'!$B121,[1]!Data_BS[TenCongTyID],'Dong Lam'!$B$1,[1]!Data_BS[Thang.Nam],'Dong Lam'!AL$5)</f>
        <v>0</v>
      </c>
    </row>
    <row r="122" spans="1:38" ht="15" hidden="1" customHeight="1" outlineLevel="1">
      <c r="A122" s="67" t="s">
        <v>206</v>
      </c>
      <c r="B122" s="63">
        <v>117</v>
      </c>
      <c r="C122" s="229">
        <v>0</v>
      </c>
      <c r="D122" s="229">
        <v>0</v>
      </c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>
        <v>0</v>
      </c>
      <c r="P122" s="229">
        <v>0</v>
      </c>
      <c r="Q122" s="229"/>
      <c r="R122" s="229"/>
      <c r="S122" s="229"/>
      <c r="T122" s="229"/>
      <c r="U122" s="229"/>
      <c r="V122" s="229"/>
      <c r="W122" s="229"/>
      <c r="X122" s="229"/>
      <c r="Y122" s="229"/>
      <c r="Z122" s="229">
        <v>0</v>
      </c>
      <c r="AA122" s="229">
        <f>SUMIFS([1]!Data_BS[Value],[1]!Data_BS[Index BS],'Dong Lam'!$B122,[1]!Data_BS[TenCongTyID],'Dong Lam'!$B$1,[1]!Data_BS[Thang.Nam],'Dong Lam'!AA$5)</f>
        <v>0</v>
      </c>
      <c r="AB122" s="229">
        <f>SUMIFS([1]!Data_BS[Value],[1]!Data_BS[Index BS],'Dong Lam'!$B122,[1]!Data_BS[TenCongTyID],'Dong Lam'!$B$1,[1]!Data_BS[Thang.Nam],'Dong Lam'!AB$5)</f>
        <v>0</v>
      </c>
      <c r="AC122" s="229">
        <f>SUMIFS([1]!Data_BS[Value],[1]!Data_BS[Index BS],'Dong Lam'!$B122,[1]!Data_BS[TenCongTyID],'Dong Lam'!$B$1,[1]!Data_BS[Thang.Nam],'Dong Lam'!AC$5)</f>
        <v>0</v>
      </c>
      <c r="AD122" s="229">
        <f>SUMIFS([1]!Data_BS[Value],[1]!Data_BS[Index BS],'Dong Lam'!$B122,[1]!Data_BS[TenCongTyID],'Dong Lam'!$B$1,[1]!Data_BS[Thang.Nam],'Dong Lam'!AD$5)</f>
        <v>0</v>
      </c>
      <c r="AE122" s="229">
        <f>SUMIFS([1]!Data_BS[Value],[1]!Data_BS[Index BS],'Dong Lam'!$B122,[1]!Data_BS[TenCongTyID],'Dong Lam'!$B$1,[1]!Data_BS[Thang.Nam],'Dong Lam'!AE$5)</f>
        <v>0</v>
      </c>
      <c r="AF122" s="229">
        <f>SUMIFS([1]!Data_BS[Value],[1]!Data_BS[Index BS],'Dong Lam'!$B122,[1]!Data_BS[TenCongTyID],'Dong Lam'!$B$1,[1]!Data_BS[Thang.Nam],'Dong Lam'!AF$5)</f>
        <v>0</v>
      </c>
      <c r="AG122" s="229">
        <f>SUMIFS([1]!Data_BS[Value],[1]!Data_BS[Index BS],'Dong Lam'!$B122,[1]!Data_BS[TenCongTyID],'Dong Lam'!$B$1,[1]!Data_BS[Thang.Nam],'Dong Lam'!AG$5)</f>
        <v>0</v>
      </c>
      <c r="AH122" s="229">
        <f>SUMIFS([1]!Data_BS[Value],[1]!Data_BS[Index BS],'Dong Lam'!$B122,[1]!Data_BS[TenCongTyID],'Dong Lam'!$B$1,[1]!Data_BS[Thang.Nam],'Dong Lam'!AH$5)</f>
        <v>0</v>
      </c>
      <c r="AI122" s="229">
        <f>SUMIFS([1]!Data_BS[Value],[1]!Data_BS[Index BS],'Dong Lam'!$B122,[1]!Data_BS[TenCongTyID],'Dong Lam'!$B$1,[1]!Data_BS[Thang.Nam],'Dong Lam'!AI$5)</f>
        <v>0</v>
      </c>
      <c r="AJ122" s="229">
        <f>SUMIFS([1]!Data_BS[Value],[1]!Data_BS[Index BS],'Dong Lam'!$B122,[1]!Data_BS[TenCongTyID],'Dong Lam'!$B$1,[1]!Data_BS[Thang.Nam],'Dong Lam'!AJ$5)</f>
        <v>0</v>
      </c>
      <c r="AK122" s="229">
        <f>SUMIFS([1]!Data_BS[Value],[1]!Data_BS[Index BS],'Dong Lam'!$B122,[1]!Data_BS[TenCongTyID],'Dong Lam'!$B$1,[1]!Data_BS[Thang.Nam],'Dong Lam'!AK$5)</f>
        <v>0</v>
      </c>
      <c r="AL122" s="229">
        <f>SUMIFS([1]!Data_BS[Value],[1]!Data_BS[Index BS],'Dong Lam'!$B122,[1]!Data_BS[TenCongTyID],'Dong Lam'!$B$1,[1]!Data_BS[Thang.Nam],'Dong Lam'!AL$5)</f>
        <v>0</v>
      </c>
    </row>
    <row r="123" spans="1:38" ht="15" hidden="1" customHeight="1" outlineLevel="1">
      <c r="A123" s="67" t="s">
        <v>207</v>
      </c>
      <c r="B123" s="63">
        <v>118</v>
      </c>
      <c r="C123" s="229">
        <v>0</v>
      </c>
      <c r="D123" s="229">
        <v>0</v>
      </c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>
        <v>0</v>
      </c>
      <c r="P123" s="229">
        <v>0</v>
      </c>
      <c r="Q123" s="229"/>
      <c r="R123" s="229"/>
      <c r="S123" s="229"/>
      <c r="T123" s="229"/>
      <c r="U123" s="229"/>
      <c r="V123" s="229"/>
      <c r="W123" s="229"/>
      <c r="X123" s="229"/>
      <c r="Y123" s="229"/>
      <c r="Z123" s="229">
        <v>0</v>
      </c>
      <c r="AA123" s="229">
        <f>SUMIFS([1]!Data_BS[Value],[1]!Data_BS[Index BS],'Dong Lam'!$B123,[1]!Data_BS[TenCongTyID],'Dong Lam'!$B$1,[1]!Data_BS[Thang.Nam],'Dong Lam'!AA$5)</f>
        <v>0</v>
      </c>
      <c r="AB123" s="229">
        <f>SUMIFS([1]!Data_BS[Value],[1]!Data_BS[Index BS],'Dong Lam'!$B123,[1]!Data_BS[TenCongTyID],'Dong Lam'!$B$1,[1]!Data_BS[Thang.Nam],'Dong Lam'!AB$5)</f>
        <v>0</v>
      </c>
      <c r="AC123" s="229">
        <f>SUMIFS([1]!Data_BS[Value],[1]!Data_BS[Index BS],'Dong Lam'!$B123,[1]!Data_BS[TenCongTyID],'Dong Lam'!$B$1,[1]!Data_BS[Thang.Nam],'Dong Lam'!AC$5)</f>
        <v>0</v>
      </c>
      <c r="AD123" s="229">
        <f>SUMIFS([1]!Data_BS[Value],[1]!Data_BS[Index BS],'Dong Lam'!$B123,[1]!Data_BS[TenCongTyID],'Dong Lam'!$B$1,[1]!Data_BS[Thang.Nam],'Dong Lam'!AD$5)</f>
        <v>0</v>
      </c>
      <c r="AE123" s="229">
        <f>SUMIFS([1]!Data_BS[Value],[1]!Data_BS[Index BS],'Dong Lam'!$B123,[1]!Data_BS[TenCongTyID],'Dong Lam'!$B$1,[1]!Data_BS[Thang.Nam],'Dong Lam'!AE$5)</f>
        <v>0</v>
      </c>
      <c r="AF123" s="229">
        <f>SUMIFS([1]!Data_BS[Value],[1]!Data_BS[Index BS],'Dong Lam'!$B123,[1]!Data_BS[TenCongTyID],'Dong Lam'!$B$1,[1]!Data_BS[Thang.Nam],'Dong Lam'!AF$5)</f>
        <v>0</v>
      </c>
      <c r="AG123" s="229">
        <f>SUMIFS([1]!Data_BS[Value],[1]!Data_BS[Index BS],'Dong Lam'!$B123,[1]!Data_BS[TenCongTyID],'Dong Lam'!$B$1,[1]!Data_BS[Thang.Nam],'Dong Lam'!AG$5)</f>
        <v>0</v>
      </c>
      <c r="AH123" s="229">
        <f>SUMIFS([1]!Data_BS[Value],[1]!Data_BS[Index BS],'Dong Lam'!$B123,[1]!Data_BS[TenCongTyID],'Dong Lam'!$B$1,[1]!Data_BS[Thang.Nam],'Dong Lam'!AH$5)</f>
        <v>0</v>
      </c>
      <c r="AI123" s="229">
        <f>SUMIFS([1]!Data_BS[Value],[1]!Data_BS[Index BS],'Dong Lam'!$B123,[1]!Data_BS[TenCongTyID],'Dong Lam'!$B$1,[1]!Data_BS[Thang.Nam],'Dong Lam'!AI$5)</f>
        <v>0</v>
      </c>
      <c r="AJ123" s="229">
        <f>SUMIFS([1]!Data_BS[Value],[1]!Data_BS[Index BS],'Dong Lam'!$B123,[1]!Data_BS[TenCongTyID],'Dong Lam'!$B$1,[1]!Data_BS[Thang.Nam],'Dong Lam'!AJ$5)</f>
        <v>0</v>
      </c>
      <c r="AK123" s="229">
        <f>SUMIFS([1]!Data_BS[Value],[1]!Data_BS[Index BS],'Dong Lam'!$B123,[1]!Data_BS[TenCongTyID],'Dong Lam'!$B$1,[1]!Data_BS[Thang.Nam],'Dong Lam'!AK$5)</f>
        <v>0</v>
      </c>
      <c r="AL123" s="229">
        <f>SUMIFS([1]!Data_BS[Value],[1]!Data_BS[Index BS],'Dong Lam'!$B123,[1]!Data_BS[TenCongTyID],'Dong Lam'!$B$1,[1]!Data_BS[Thang.Nam],'Dong Lam'!AL$5)</f>
        <v>0</v>
      </c>
    </row>
    <row r="124" spans="1:38" ht="15" hidden="1" customHeight="1" outlineLevel="1">
      <c r="A124" s="67" t="s">
        <v>208</v>
      </c>
      <c r="B124" s="63">
        <v>119</v>
      </c>
      <c r="C124" s="229">
        <v>0</v>
      </c>
      <c r="D124" s="229">
        <v>0</v>
      </c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>
        <v>0</v>
      </c>
      <c r="P124" s="229">
        <v>0</v>
      </c>
      <c r="Q124" s="229"/>
      <c r="R124" s="229"/>
      <c r="S124" s="229"/>
      <c r="T124" s="229"/>
      <c r="U124" s="229"/>
      <c r="V124" s="229"/>
      <c r="W124" s="229"/>
      <c r="X124" s="229"/>
      <c r="Y124" s="229"/>
      <c r="Z124" s="229">
        <v>0</v>
      </c>
      <c r="AA124" s="229">
        <f>SUMIFS([1]!Data_BS[Value],[1]!Data_BS[Index BS],'Dong Lam'!$B124,[1]!Data_BS[TenCongTyID],'Dong Lam'!$B$1,[1]!Data_BS[Thang.Nam],'Dong Lam'!AA$5)</f>
        <v>0</v>
      </c>
      <c r="AB124" s="229">
        <f>SUMIFS([1]!Data_BS[Value],[1]!Data_BS[Index BS],'Dong Lam'!$B124,[1]!Data_BS[TenCongTyID],'Dong Lam'!$B$1,[1]!Data_BS[Thang.Nam],'Dong Lam'!AB$5)</f>
        <v>0</v>
      </c>
      <c r="AC124" s="229">
        <f>SUMIFS([1]!Data_BS[Value],[1]!Data_BS[Index BS],'Dong Lam'!$B124,[1]!Data_BS[TenCongTyID],'Dong Lam'!$B$1,[1]!Data_BS[Thang.Nam],'Dong Lam'!AC$5)</f>
        <v>0</v>
      </c>
      <c r="AD124" s="229">
        <f>SUMIFS([1]!Data_BS[Value],[1]!Data_BS[Index BS],'Dong Lam'!$B124,[1]!Data_BS[TenCongTyID],'Dong Lam'!$B$1,[1]!Data_BS[Thang.Nam],'Dong Lam'!AD$5)</f>
        <v>0</v>
      </c>
      <c r="AE124" s="229">
        <f>SUMIFS([1]!Data_BS[Value],[1]!Data_BS[Index BS],'Dong Lam'!$B124,[1]!Data_BS[TenCongTyID],'Dong Lam'!$B$1,[1]!Data_BS[Thang.Nam],'Dong Lam'!AE$5)</f>
        <v>0</v>
      </c>
      <c r="AF124" s="229">
        <f>SUMIFS([1]!Data_BS[Value],[1]!Data_BS[Index BS],'Dong Lam'!$B124,[1]!Data_BS[TenCongTyID],'Dong Lam'!$B$1,[1]!Data_BS[Thang.Nam],'Dong Lam'!AF$5)</f>
        <v>0</v>
      </c>
      <c r="AG124" s="229">
        <f>SUMIFS([1]!Data_BS[Value],[1]!Data_BS[Index BS],'Dong Lam'!$B124,[1]!Data_BS[TenCongTyID],'Dong Lam'!$B$1,[1]!Data_BS[Thang.Nam],'Dong Lam'!AG$5)</f>
        <v>0</v>
      </c>
      <c r="AH124" s="229">
        <f>SUMIFS([1]!Data_BS[Value],[1]!Data_BS[Index BS],'Dong Lam'!$B124,[1]!Data_BS[TenCongTyID],'Dong Lam'!$B$1,[1]!Data_BS[Thang.Nam],'Dong Lam'!AH$5)</f>
        <v>0</v>
      </c>
      <c r="AI124" s="229">
        <f>SUMIFS([1]!Data_BS[Value],[1]!Data_BS[Index BS],'Dong Lam'!$B124,[1]!Data_BS[TenCongTyID],'Dong Lam'!$B$1,[1]!Data_BS[Thang.Nam],'Dong Lam'!AI$5)</f>
        <v>0</v>
      </c>
      <c r="AJ124" s="229">
        <f>SUMIFS([1]!Data_BS[Value],[1]!Data_BS[Index BS],'Dong Lam'!$B124,[1]!Data_BS[TenCongTyID],'Dong Lam'!$B$1,[1]!Data_BS[Thang.Nam],'Dong Lam'!AJ$5)</f>
        <v>0</v>
      </c>
      <c r="AK124" s="229">
        <f>SUMIFS([1]!Data_BS[Value],[1]!Data_BS[Index BS],'Dong Lam'!$B124,[1]!Data_BS[TenCongTyID],'Dong Lam'!$B$1,[1]!Data_BS[Thang.Nam],'Dong Lam'!AK$5)</f>
        <v>0</v>
      </c>
      <c r="AL124" s="229">
        <f>SUMIFS([1]!Data_BS[Value],[1]!Data_BS[Index BS],'Dong Lam'!$B124,[1]!Data_BS[TenCongTyID],'Dong Lam'!$B$1,[1]!Data_BS[Thang.Nam],'Dong Lam'!AL$5)</f>
        <v>0</v>
      </c>
    </row>
    <row r="125" spans="1:38" ht="15" hidden="1" customHeight="1" outlineLevel="1">
      <c r="A125" s="67" t="s">
        <v>209</v>
      </c>
      <c r="B125" s="63">
        <v>120</v>
      </c>
      <c r="C125" s="229">
        <v>0</v>
      </c>
      <c r="D125" s="229">
        <v>0</v>
      </c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>
        <v>0</v>
      </c>
      <c r="P125" s="229">
        <v>0</v>
      </c>
      <c r="Q125" s="229"/>
      <c r="R125" s="229"/>
      <c r="S125" s="229"/>
      <c r="T125" s="229"/>
      <c r="U125" s="229"/>
      <c r="V125" s="229"/>
      <c r="W125" s="229"/>
      <c r="X125" s="229"/>
      <c r="Y125" s="229"/>
      <c r="Z125" s="229">
        <v>0</v>
      </c>
      <c r="AA125" s="229">
        <f>SUMIFS([1]!Data_BS[Value],[1]!Data_BS[Index BS],'Dong Lam'!$B125,[1]!Data_BS[TenCongTyID],'Dong Lam'!$B$1,[1]!Data_BS[Thang.Nam],'Dong Lam'!AA$5)</f>
        <v>0</v>
      </c>
      <c r="AB125" s="229">
        <f>SUMIFS([1]!Data_BS[Value],[1]!Data_BS[Index BS],'Dong Lam'!$B125,[1]!Data_BS[TenCongTyID],'Dong Lam'!$B$1,[1]!Data_BS[Thang.Nam],'Dong Lam'!AB$5)</f>
        <v>0</v>
      </c>
      <c r="AC125" s="229">
        <f>SUMIFS([1]!Data_BS[Value],[1]!Data_BS[Index BS],'Dong Lam'!$B125,[1]!Data_BS[TenCongTyID],'Dong Lam'!$B$1,[1]!Data_BS[Thang.Nam],'Dong Lam'!AC$5)</f>
        <v>0</v>
      </c>
      <c r="AD125" s="229">
        <f>SUMIFS([1]!Data_BS[Value],[1]!Data_BS[Index BS],'Dong Lam'!$B125,[1]!Data_BS[TenCongTyID],'Dong Lam'!$B$1,[1]!Data_BS[Thang.Nam],'Dong Lam'!AD$5)</f>
        <v>0</v>
      </c>
      <c r="AE125" s="229">
        <f>SUMIFS([1]!Data_BS[Value],[1]!Data_BS[Index BS],'Dong Lam'!$B125,[1]!Data_BS[TenCongTyID],'Dong Lam'!$B$1,[1]!Data_BS[Thang.Nam],'Dong Lam'!AE$5)</f>
        <v>0</v>
      </c>
      <c r="AF125" s="229">
        <f>SUMIFS([1]!Data_BS[Value],[1]!Data_BS[Index BS],'Dong Lam'!$B125,[1]!Data_BS[TenCongTyID],'Dong Lam'!$B$1,[1]!Data_BS[Thang.Nam],'Dong Lam'!AF$5)</f>
        <v>0</v>
      </c>
      <c r="AG125" s="229">
        <f>SUMIFS([1]!Data_BS[Value],[1]!Data_BS[Index BS],'Dong Lam'!$B125,[1]!Data_BS[TenCongTyID],'Dong Lam'!$B$1,[1]!Data_BS[Thang.Nam],'Dong Lam'!AG$5)</f>
        <v>0</v>
      </c>
      <c r="AH125" s="229">
        <f>SUMIFS([1]!Data_BS[Value],[1]!Data_BS[Index BS],'Dong Lam'!$B125,[1]!Data_BS[TenCongTyID],'Dong Lam'!$B$1,[1]!Data_BS[Thang.Nam],'Dong Lam'!AH$5)</f>
        <v>0</v>
      </c>
      <c r="AI125" s="229">
        <f>SUMIFS([1]!Data_BS[Value],[1]!Data_BS[Index BS],'Dong Lam'!$B125,[1]!Data_BS[TenCongTyID],'Dong Lam'!$B$1,[1]!Data_BS[Thang.Nam],'Dong Lam'!AI$5)</f>
        <v>0</v>
      </c>
      <c r="AJ125" s="229">
        <f>SUMIFS([1]!Data_BS[Value],[1]!Data_BS[Index BS],'Dong Lam'!$B125,[1]!Data_BS[TenCongTyID],'Dong Lam'!$B$1,[1]!Data_BS[Thang.Nam],'Dong Lam'!AJ$5)</f>
        <v>0</v>
      </c>
      <c r="AK125" s="229">
        <f>SUMIFS([1]!Data_BS[Value],[1]!Data_BS[Index BS],'Dong Lam'!$B125,[1]!Data_BS[TenCongTyID],'Dong Lam'!$B$1,[1]!Data_BS[Thang.Nam],'Dong Lam'!AK$5)</f>
        <v>0</v>
      </c>
      <c r="AL125" s="229">
        <f>SUMIFS([1]!Data_BS[Value],[1]!Data_BS[Index BS],'Dong Lam'!$B125,[1]!Data_BS[TenCongTyID],'Dong Lam'!$B$1,[1]!Data_BS[Thang.Nam],'Dong Lam'!AL$5)</f>
        <v>0</v>
      </c>
    </row>
    <row r="126" spans="1:38" ht="15" hidden="1" customHeight="1" outlineLevel="1">
      <c r="A126" s="67" t="s">
        <v>210</v>
      </c>
      <c r="B126" s="63">
        <v>121</v>
      </c>
      <c r="C126" s="229">
        <v>0</v>
      </c>
      <c r="D126" s="229">
        <v>0</v>
      </c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>
        <v>0</v>
      </c>
      <c r="P126" s="229">
        <v>0</v>
      </c>
      <c r="Q126" s="229"/>
      <c r="R126" s="229"/>
      <c r="S126" s="229"/>
      <c r="T126" s="229"/>
      <c r="U126" s="229"/>
      <c r="V126" s="229"/>
      <c r="W126" s="229"/>
      <c r="X126" s="229"/>
      <c r="Y126" s="229"/>
      <c r="Z126" s="229">
        <v>0</v>
      </c>
      <c r="AA126" s="229">
        <f>SUMIFS([1]!Data_BS[Value],[1]!Data_BS[Index BS],'Dong Lam'!$B126,[1]!Data_BS[TenCongTyID],'Dong Lam'!$B$1,[1]!Data_BS[Thang.Nam],'Dong Lam'!AA$5)</f>
        <v>0</v>
      </c>
      <c r="AB126" s="229">
        <f>SUMIFS([1]!Data_BS[Value],[1]!Data_BS[Index BS],'Dong Lam'!$B126,[1]!Data_BS[TenCongTyID],'Dong Lam'!$B$1,[1]!Data_BS[Thang.Nam],'Dong Lam'!AB$5)</f>
        <v>0</v>
      </c>
      <c r="AC126" s="229">
        <f>SUMIFS([1]!Data_BS[Value],[1]!Data_BS[Index BS],'Dong Lam'!$B126,[1]!Data_BS[TenCongTyID],'Dong Lam'!$B$1,[1]!Data_BS[Thang.Nam],'Dong Lam'!AC$5)</f>
        <v>0</v>
      </c>
      <c r="AD126" s="229">
        <f>SUMIFS([1]!Data_BS[Value],[1]!Data_BS[Index BS],'Dong Lam'!$B126,[1]!Data_BS[TenCongTyID],'Dong Lam'!$B$1,[1]!Data_BS[Thang.Nam],'Dong Lam'!AD$5)</f>
        <v>0</v>
      </c>
      <c r="AE126" s="229">
        <f>SUMIFS([1]!Data_BS[Value],[1]!Data_BS[Index BS],'Dong Lam'!$B126,[1]!Data_BS[TenCongTyID],'Dong Lam'!$B$1,[1]!Data_BS[Thang.Nam],'Dong Lam'!AE$5)</f>
        <v>0</v>
      </c>
      <c r="AF126" s="229">
        <f>SUMIFS([1]!Data_BS[Value],[1]!Data_BS[Index BS],'Dong Lam'!$B126,[1]!Data_BS[TenCongTyID],'Dong Lam'!$B$1,[1]!Data_BS[Thang.Nam],'Dong Lam'!AF$5)</f>
        <v>0</v>
      </c>
      <c r="AG126" s="229">
        <f>SUMIFS([1]!Data_BS[Value],[1]!Data_BS[Index BS],'Dong Lam'!$B126,[1]!Data_BS[TenCongTyID],'Dong Lam'!$B$1,[1]!Data_BS[Thang.Nam],'Dong Lam'!AG$5)</f>
        <v>0</v>
      </c>
      <c r="AH126" s="229">
        <f>SUMIFS([1]!Data_BS[Value],[1]!Data_BS[Index BS],'Dong Lam'!$B126,[1]!Data_BS[TenCongTyID],'Dong Lam'!$B$1,[1]!Data_BS[Thang.Nam],'Dong Lam'!AH$5)</f>
        <v>0</v>
      </c>
      <c r="AI126" s="229">
        <f>SUMIFS([1]!Data_BS[Value],[1]!Data_BS[Index BS],'Dong Lam'!$B126,[1]!Data_BS[TenCongTyID],'Dong Lam'!$B$1,[1]!Data_BS[Thang.Nam],'Dong Lam'!AI$5)</f>
        <v>0</v>
      </c>
      <c r="AJ126" s="229">
        <f>SUMIFS([1]!Data_BS[Value],[1]!Data_BS[Index BS],'Dong Lam'!$B126,[1]!Data_BS[TenCongTyID],'Dong Lam'!$B$1,[1]!Data_BS[Thang.Nam],'Dong Lam'!AJ$5)</f>
        <v>0</v>
      </c>
      <c r="AK126" s="229">
        <f>SUMIFS([1]!Data_BS[Value],[1]!Data_BS[Index BS],'Dong Lam'!$B126,[1]!Data_BS[TenCongTyID],'Dong Lam'!$B$1,[1]!Data_BS[Thang.Nam],'Dong Lam'!AK$5)</f>
        <v>0</v>
      </c>
      <c r="AL126" s="229">
        <f>SUMIFS([1]!Data_BS[Value],[1]!Data_BS[Index BS],'Dong Lam'!$B126,[1]!Data_BS[TenCongTyID],'Dong Lam'!$B$1,[1]!Data_BS[Thang.Nam],'Dong Lam'!AL$5)</f>
        <v>0</v>
      </c>
    </row>
    <row r="127" spans="1:38" ht="15" hidden="1" customHeight="1" outlineLevel="1">
      <c r="A127" s="67" t="s">
        <v>211</v>
      </c>
      <c r="B127" s="63">
        <v>122</v>
      </c>
      <c r="C127" s="229">
        <v>0</v>
      </c>
      <c r="D127" s="229">
        <v>0</v>
      </c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>
        <v>0</v>
      </c>
      <c r="P127" s="229">
        <v>0</v>
      </c>
      <c r="Q127" s="229"/>
      <c r="R127" s="229"/>
      <c r="S127" s="229"/>
      <c r="T127" s="229"/>
      <c r="U127" s="229"/>
      <c r="V127" s="229"/>
      <c r="W127" s="229"/>
      <c r="X127" s="229"/>
      <c r="Y127" s="229"/>
      <c r="Z127" s="229">
        <v>0</v>
      </c>
      <c r="AA127" s="229">
        <f>SUMIFS([1]!Data_BS[Value],[1]!Data_BS[Index BS],'Dong Lam'!$B127,[1]!Data_BS[TenCongTyID],'Dong Lam'!$B$1,[1]!Data_BS[Thang.Nam],'Dong Lam'!AA$5)</f>
        <v>0</v>
      </c>
      <c r="AB127" s="229">
        <f>SUMIFS([1]!Data_BS[Value],[1]!Data_BS[Index BS],'Dong Lam'!$B127,[1]!Data_BS[TenCongTyID],'Dong Lam'!$B$1,[1]!Data_BS[Thang.Nam],'Dong Lam'!AB$5)</f>
        <v>0</v>
      </c>
      <c r="AC127" s="229">
        <f>SUMIFS([1]!Data_BS[Value],[1]!Data_BS[Index BS],'Dong Lam'!$B127,[1]!Data_BS[TenCongTyID],'Dong Lam'!$B$1,[1]!Data_BS[Thang.Nam],'Dong Lam'!AC$5)</f>
        <v>0</v>
      </c>
      <c r="AD127" s="229">
        <f>SUMIFS([1]!Data_BS[Value],[1]!Data_BS[Index BS],'Dong Lam'!$B127,[1]!Data_BS[TenCongTyID],'Dong Lam'!$B$1,[1]!Data_BS[Thang.Nam],'Dong Lam'!AD$5)</f>
        <v>0</v>
      </c>
      <c r="AE127" s="229">
        <f>SUMIFS([1]!Data_BS[Value],[1]!Data_BS[Index BS],'Dong Lam'!$B127,[1]!Data_BS[TenCongTyID],'Dong Lam'!$B$1,[1]!Data_BS[Thang.Nam],'Dong Lam'!AE$5)</f>
        <v>0</v>
      </c>
      <c r="AF127" s="229">
        <f>SUMIFS([1]!Data_BS[Value],[1]!Data_BS[Index BS],'Dong Lam'!$B127,[1]!Data_BS[TenCongTyID],'Dong Lam'!$B$1,[1]!Data_BS[Thang.Nam],'Dong Lam'!AF$5)</f>
        <v>0</v>
      </c>
      <c r="AG127" s="229">
        <f>SUMIFS([1]!Data_BS[Value],[1]!Data_BS[Index BS],'Dong Lam'!$B127,[1]!Data_BS[TenCongTyID],'Dong Lam'!$B$1,[1]!Data_BS[Thang.Nam],'Dong Lam'!AG$5)</f>
        <v>0</v>
      </c>
      <c r="AH127" s="229">
        <f>SUMIFS([1]!Data_BS[Value],[1]!Data_BS[Index BS],'Dong Lam'!$B127,[1]!Data_BS[TenCongTyID],'Dong Lam'!$B$1,[1]!Data_BS[Thang.Nam],'Dong Lam'!AH$5)</f>
        <v>0</v>
      </c>
      <c r="AI127" s="229">
        <f>SUMIFS([1]!Data_BS[Value],[1]!Data_BS[Index BS],'Dong Lam'!$B127,[1]!Data_BS[TenCongTyID],'Dong Lam'!$B$1,[1]!Data_BS[Thang.Nam],'Dong Lam'!AI$5)</f>
        <v>0</v>
      </c>
      <c r="AJ127" s="229">
        <f>SUMIFS([1]!Data_BS[Value],[1]!Data_BS[Index BS],'Dong Lam'!$B127,[1]!Data_BS[TenCongTyID],'Dong Lam'!$B$1,[1]!Data_BS[Thang.Nam],'Dong Lam'!AJ$5)</f>
        <v>0</v>
      </c>
      <c r="AK127" s="229">
        <f>SUMIFS([1]!Data_BS[Value],[1]!Data_BS[Index BS],'Dong Lam'!$B127,[1]!Data_BS[TenCongTyID],'Dong Lam'!$B$1,[1]!Data_BS[Thang.Nam],'Dong Lam'!AK$5)</f>
        <v>0</v>
      </c>
      <c r="AL127" s="229">
        <f>SUMIFS([1]!Data_BS[Value],[1]!Data_BS[Index BS],'Dong Lam'!$B127,[1]!Data_BS[TenCongTyID],'Dong Lam'!$B$1,[1]!Data_BS[Thang.Nam],'Dong Lam'!AL$5)</f>
        <v>0</v>
      </c>
    </row>
    <row r="128" spans="1:38" ht="15" hidden="1" customHeight="1" outlineLevel="1">
      <c r="A128" s="86" t="s">
        <v>212</v>
      </c>
      <c r="B128" s="87">
        <v>123</v>
      </c>
      <c r="C128" s="257">
        <v>-12148451763</v>
      </c>
      <c r="D128" s="257">
        <v>-12323585034</v>
      </c>
      <c r="E128" s="257">
        <v>-12273263248</v>
      </c>
      <c r="F128" s="257">
        <v>-12414710630</v>
      </c>
      <c r="G128" s="257">
        <v>-12412651957</v>
      </c>
      <c r="H128" s="257">
        <v>-12608313659</v>
      </c>
      <c r="I128" s="257">
        <v>-13002916477</v>
      </c>
      <c r="J128" s="257">
        <v>-13403884370</v>
      </c>
      <c r="K128" s="257">
        <v>-13710959825</v>
      </c>
      <c r="L128" s="257">
        <v>-13947752155</v>
      </c>
      <c r="M128" s="257">
        <v>-14835154335</v>
      </c>
      <c r="N128" s="257">
        <v>-15111978592</v>
      </c>
      <c r="O128" s="257">
        <v>-15557537583</v>
      </c>
      <c r="P128" s="257">
        <v>-15607418204</v>
      </c>
      <c r="Q128" s="257">
        <v>-15526892429</v>
      </c>
      <c r="R128" s="257">
        <v>-15236089153</v>
      </c>
      <c r="S128" s="257">
        <v>-15271341699</v>
      </c>
      <c r="T128" s="257">
        <v>-14652398457</v>
      </c>
      <c r="U128" s="257">
        <v>-13682102405</v>
      </c>
      <c r="V128" s="257">
        <v>-12177571070</v>
      </c>
      <c r="W128" s="257">
        <v>-12222498344</v>
      </c>
      <c r="X128" s="257">
        <v>-12018548023</v>
      </c>
      <c r="Y128" s="257">
        <v>-11910129660</v>
      </c>
      <c r="Z128" s="257">
        <v>-11766004593</v>
      </c>
      <c r="AA128" s="257">
        <f>SUMIFS([1]!Data_BS[Value],[1]!Data_BS[Index BS],'Dong Lam'!$B128,[1]!Data_BS[TenCongTyID],'Dong Lam'!$B$1,[1]!Data_BS[Thang.Nam],'Dong Lam'!AA$5)</f>
        <v>0</v>
      </c>
      <c r="AB128" s="257">
        <f>SUMIFS([1]!Data_BS[Value],[1]!Data_BS[Index BS],'Dong Lam'!$B128,[1]!Data_BS[TenCongTyID],'Dong Lam'!$B$1,[1]!Data_BS[Thang.Nam],'Dong Lam'!AB$5)</f>
        <v>0</v>
      </c>
      <c r="AC128" s="257">
        <f>SUMIFS([1]!Data_BS[Value],[1]!Data_BS[Index BS],'Dong Lam'!$B128,[1]!Data_BS[TenCongTyID],'Dong Lam'!$B$1,[1]!Data_BS[Thang.Nam],'Dong Lam'!AC$5)</f>
        <v>0</v>
      </c>
      <c r="AD128" s="257">
        <f>SUMIFS([1]!Data_BS[Value],[1]!Data_BS[Index BS],'Dong Lam'!$B128,[1]!Data_BS[TenCongTyID],'Dong Lam'!$B$1,[1]!Data_BS[Thang.Nam],'Dong Lam'!AD$5)</f>
        <v>0</v>
      </c>
      <c r="AE128" s="257">
        <f>SUMIFS([1]!Data_BS[Value],[1]!Data_BS[Index BS],'Dong Lam'!$B128,[1]!Data_BS[TenCongTyID],'Dong Lam'!$B$1,[1]!Data_BS[Thang.Nam],'Dong Lam'!AE$5)</f>
        <v>0</v>
      </c>
      <c r="AF128" s="257">
        <f>SUMIFS([1]!Data_BS[Value],[1]!Data_BS[Index BS],'Dong Lam'!$B128,[1]!Data_BS[TenCongTyID],'Dong Lam'!$B$1,[1]!Data_BS[Thang.Nam],'Dong Lam'!AF$5)</f>
        <v>0</v>
      </c>
      <c r="AG128" s="257">
        <f>SUMIFS([1]!Data_BS[Value],[1]!Data_BS[Index BS],'Dong Lam'!$B128,[1]!Data_BS[TenCongTyID],'Dong Lam'!$B$1,[1]!Data_BS[Thang.Nam],'Dong Lam'!AG$5)</f>
        <v>0</v>
      </c>
      <c r="AH128" s="257">
        <f>SUMIFS([1]!Data_BS[Value],[1]!Data_BS[Index BS],'Dong Lam'!$B128,[1]!Data_BS[TenCongTyID],'Dong Lam'!$B$1,[1]!Data_BS[Thang.Nam],'Dong Lam'!AH$5)</f>
        <v>0</v>
      </c>
      <c r="AI128" s="257">
        <f>SUMIFS([1]!Data_BS[Value],[1]!Data_BS[Index BS],'Dong Lam'!$B128,[1]!Data_BS[TenCongTyID],'Dong Lam'!$B$1,[1]!Data_BS[Thang.Nam],'Dong Lam'!AI$5)</f>
        <v>0</v>
      </c>
      <c r="AJ128" s="257">
        <f>SUMIFS([1]!Data_BS[Value],[1]!Data_BS[Index BS],'Dong Lam'!$B128,[1]!Data_BS[TenCongTyID],'Dong Lam'!$B$1,[1]!Data_BS[Thang.Nam],'Dong Lam'!AJ$5)</f>
        <v>0</v>
      </c>
      <c r="AK128" s="257">
        <f>SUMIFS([1]!Data_BS[Value],[1]!Data_BS[Index BS],'Dong Lam'!$B128,[1]!Data_BS[TenCongTyID],'Dong Lam'!$B$1,[1]!Data_BS[Thang.Nam],'Dong Lam'!AK$5)</f>
        <v>0</v>
      </c>
      <c r="AL128" s="257">
        <f>SUMIFS([1]!Data_BS[Value],[1]!Data_BS[Index BS],'Dong Lam'!$B128,[1]!Data_BS[TenCongTyID],'Dong Lam'!$B$1,[1]!Data_BS[Thang.Nam],'Dong Lam'!AL$5)</f>
        <v>0</v>
      </c>
    </row>
    <row r="129" spans="1:52" ht="15" hidden="1" customHeight="1" outlineLevel="1">
      <c r="A129" s="89" t="s">
        <v>213</v>
      </c>
      <c r="B129" s="63">
        <v>124</v>
      </c>
      <c r="C129" s="229">
        <v>-11958731310</v>
      </c>
      <c r="D129" s="229">
        <v>-11958731310</v>
      </c>
      <c r="E129" s="229">
        <v>-11958731310</v>
      </c>
      <c r="F129" s="229">
        <v>-11958731310</v>
      </c>
      <c r="G129" s="229">
        <v>-11958731310</v>
      </c>
      <c r="H129" s="229">
        <v>-11958731310</v>
      </c>
      <c r="I129" s="229">
        <v>-11958731310</v>
      </c>
      <c r="J129" s="229">
        <v>-11958731310</v>
      </c>
      <c r="K129" s="229">
        <v>-11958731310</v>
      </c>
      <c r="L129" s="229">
        <v>-11958731310</v>
      </c>
      <c r="M129" s="229">
        <v>-11958731310</v>
      </c>
      <c r="N129" s="229">
        <v>-11958731310</v>
      </c>
      <c r="O129" s="229">
        <v>-15137023292</v>
      </c>
      <c r="P129" s="229">
        <v>-15137023292</v>
      </c>
      <c r="Q129" s="229">
        <v>-15137023292</v>
      </c>
      <c r="R129" s="229">
        <v>-15137023292</v>
      </c>
      <c r="S129" s="229">
        <v>-15137023292</v>
      </c>
      <c r="T129" s="229">
        <v>-15137023292</v>
      </c>
      <c r="U129" s="229">
        <v>-15137023292</v>
      </c>
      <c r="V129" s="229">
        <v>-15137023292</v>
      </c>
      <c r="W129" s="229">
        <v>-15137023292</v>
      </c>
      <c r="X129" s="229">
        <v>-15137023292</v>
      </c>
      <c r="Y129" s="229">
        <v>-15137023292</v>
      </c>
      <c r="Z129" s="229">
        <v>-15137023292</v>
      </c>
      <c r="AA129" s="229">
        <f>SUMIFS([1]!Data_BS[Value],[1]!Data_BS[Index BS],'Dong Lam'!$B129,[1]!Data_BS[TenCongTyID],'Dong Lam'!$B$1,[1]!Data_BS[Thang.Nam],'Dong Lam'!AA$5)</f>
        <v>0</v>
      </c>
      <c r="AB129" s="229">
        <f>SUMIFS([1]!Data_BS[Value],[1]!Data_BS[Index BS],'Dong Lam'!$B129,[1]!Data_BS[TenCongTyID],'Dong Lam'!$B$1,[1]!Data_BS[Thang.Nam],'Dong Lam'!AB$5)</f>
        <v>0</v>
      </c>
      <c r="AC129" s="229">
        <f>SUMIFS([1]!Data_BS[Value],[1]!Data_BS[Index BS],'Dong Lam'!$B129,[1]!Data_BS[TenCongTyID],'Dong Lam'!$B$1,[1]!Data_BS[Thang.Nam],'Dong Lam'!AC$5)</f>
        <v>0</v>
      </c>
      <c r="AD129" s="229">
        <f>SUMIFS([1]!Data_BS[Value],[1]!Data_BS[Index BS],'Dong Lam'!$B129,[1]!Data_BS[TenCongTyID],'Dong Lam'!$B$1,[1]!Data_BS[Thang.Nam],'Dong Lam'!AD$5)</f>
        <v>0</v>
      </c>
      <c r="AE129" s="229">
        <f>SUMIFS([1]!Data_BS[Value],[1]!Data_BS[Index BS],'Dong Lam'!$B129,[1]!Data_BS[TenCongTyID],'Dong Lam'!$B$1,[1]!Data_BS[Thang.Nam],'Dong Lam'!AE$5)</f>
        <v>0</v>
      </c>
      <c r="AF129" s="229">
        <f>SUMIFS([1]!Data_BS[Value],[1]!Data_BS[Index BS],'Dong Lam'!$B129,[1]!Data_BS[TenCongTyID],'Dong Lam'!$B$1,[1]!Data_BS[Thang.Nam],'Dong Lam'!AF$5)</f>
        <v>0</v>
      </c>
      <c r="AG129" s="229">
        <f>SUMIFS([1]!Data_BS[Value],[1]!Data_BS[Index BS],'Dong Lam'!$B129,[1]!Data_BS[TenCongTyID],'Dong Lam'!$B$1,[1]!Data_BS[Thang.Nam],'Dong Lam'!AG$5)</f>
        <v>0</v>
      </c>
      <c r="AH129" s="229">
        <f>SUMIFS([1]!Data_BS[Value],[1]!Data_BS[Index BS],'Dong Lam'!$B129,[1]!Data_BS[TenCongTyID],'Dong Lam'!$B$1,[1]!Data_BS[Thang.Nam],'Dong Lam'!AH$5)</f>
        <v>0</v>
      </c>
      <c r="AI129" s="229">
        <f>SUMIFS([1]!Data_BS[Value],[1]!Data_BS[Index BS],'Dong Lam'!$B129,[1]!Data_BS[TenCongTyID],'Dong Lam'!$B$1,[1]!Data_BS[Thang.Nam],'Dong Lam'!AI$5)</f>
        <v>0</v>
      </c>
      <c r="AJ129" s="229">
        <f>SUMIFS([1]!Data_BS[Value],[1]!Data_BS[Index BS],'Dong Lam'!$B129,[1]!Data_BS[TenCongTyID],'Dong Lam'!$B$1,[1]!Data_BS[Thang.Nam],'Dong Lam'!AJ$5)</f>
        <v>0</v>
      </c>
      <c r="AK129" s="229">
        <f>SUMIFS([1]!Data_BS[Value],[1]!Data_BS[Index BS],'Dong Lam'!$B129,[1]!Data_BS[TenCongTyID],'Dong Lam'!$B$1,[1]!Data_BS[Thang.Nam],'Dong Lam'!AK$5)</f>
        <v>0</v>
      </c>
      <c r="AL129" s="229">
        <f>SUMIFS([1]!Data_BS[Value],[1]!Data_BS[Index BS],'Dong Lam'!$B129,[1]!Data_BS[TenCongTyID],'Dong Lam'!$B$1,[1]!Data_BS[Thang.Nam],'Dong Lam'!AL$5)</f>
        <v>0</v>
      </c>
    </row>
    <row r="130" spans="1:52" ht="15" hidden="1" customHeight="1" outlineLevel="1">
      <c r="A130" s="89" t="s">
        <v>214</v>
      </c>
      <c r="B130" s="63">
        <v>125</v>
      </c>
      <c r="C130" s="229">
        <v>-189720453</v>
      </c>
      <c r="D130" s="229">
        <v>-364853724</v>
      </c>
      <c r="E130" s="229">
        <v>-314531938</v>
      </c>
      <c r="F130" s="229">
        <v>-455979320</v>
      </c>
      <c r="G130" s="229">
        <v>-453920647</v>
      </c>
      <c r="H130" s="229">
        <v>-649582349</v>
      </c>
      <c r="I130" s="229">
        <v>-1044185167</v>
      </c>
      <c r="J130" s="229">
        <v>-1445153060</v>
      </c>
      <c r="K130" s="229">
        <v>-1752228515</v>
      </c>
      <c r="L130" s="229">
        <v>-1989020845</v>
      </c>
      <c r="M130" s="229">
        <v>-2876423025</v>
      </c>
      <c r="N130" s="229">
        <v>-3153247282</v>
      </c>
      <c r="O130" s="229">
        <v>-420514291</v>
      </c>
      <c r="P130" s="229">
        <v>-470394912</v>
      </c>
      <c r="Q130" s="229">
        <v>-389869137</v>
      </c>
      <c r="R130" s="229">
        <v>-99065861</v>
      </c>
      <c r="S130" s="229">
        <v>-134318407</v>
      </c>
      <c r="T130" s="229">
        <v>484624835</v>
      </c>
      <c r="U130" s="229">
        <v>1454920887</v>
      </c>
      <c r="V130" s="229">
        <v>2959452222</v>
      </c>
      <c r="W130" s="229">
        <v>2914524948</v>
      </c>
      <c r="X130" s="229">
        <v>3118475269</v>
      </c>
      <c r="Y130" s="229">
        <v>3226893632</v>
      </c>
      <c r="Z130" s="229">
        <v>3371018699</v>
      </c>
      <c r="AA130" s="229">
        <f>SUMIFS([1]!Data_BS[Value],[1]!Data_BS[Index BS],'Dong Lam'!$B130,[1]!Data_BS[TenCongTyID],'Dong Lam'!$B$1,[1]!Data_BS[Thang.Nam],'Dong Lam'!AA$5)</f>
        <v>0</v>
      </c>
      <c r="AB130" s="229">
        <f>SUMIFS([1]!Data_BS[Value],[1]!Data_BS[Index BS],'Dong Lam'!$B130,[1]!Data_BS[TenCongTyID],'Dong Lam'!$B$1,[1]!Data_BS[Thang.Nam],'Dong Lam'!AB$5)</f>
        <v>0</v>
      </c>
      <c r="AC130" s="229">
        <f>SUMIFS([1]!Data_BS[Value],[1]!Data_BS[Index BS],'Dong Lam'!$B130,[1]!Data_BS[TenCongTyID],'Dong Lam'!$B$1,[1]!Data_BS[Thang.Nam],'Dong Lam'!AC$5)</f>
        <v>0</v>
      </c>
      <c r="AD130" s="229">
        <f>SUMIFS([1]!Data_BS[Value],[1]!Data_BS[Index BS],'Dong Lam'!$B130,[1]!Data_BS[TenCongTyID],'Dong Lam'!$B$1,[1]!Data_BS[Thang.Nam],'Dong Lam'!AD$5)</f>
        <v>0</v>
      </c>
      <c r="AE130" s="229">
        <f>SUMIFS([1]!Data_BS[Value],[1]!Data_BS[Index BS],'Dong Lam'!$B130,[1]!Data_BS[TenCongTyID],'Dong Lam'!$B$1,[1]!Data_BS[Thang.Nam],'Dong Lam'!AE$5)</f>
        <v>0</v>
      </c>
      <c r="AF130" s="229">
        <f>SUMIFS([1]!Data_BS[Value],[1]!Data_BS[Index BS],'Dong Lam'!$B130,[1]!Data_BS[TenCongTyID],'Dong Lam'!$B$1,[1]!Data_BS[Thang.Nam],'Dong Lam'!AF$5)</f>
        <v>0</v>
      </c>
      <c r="AG130" s="229">
        <f>SUMIFS([1]!Data_BS[Value],[1]!Data_BS[Index BS],'Dong Lam'!$B130,[1]!Data_BS[TenCongTyID],'Dong Lam'!$B$1,[1]!Data_BS[Thang.Nam],'Dong Lam'!AG$5)</f>
        <v>0</v>
      </c>
      <c r="AH130" s="229">
        <f>SUMIFS([1]!Data_BS[Value],[1]!Data_BS[Index BS],'Dong Lam'!$B130,[1]!Data_BS[TenCongTyID],'Dong Lam'!$B$1,[1]!Data_BS[Thang.Nam],'Dong Lam'!AH$5)</f>
        <v>0</v>
      </c>
      <c r="AI130" s="229">
        <f>SUMIFS([1]!Data_BS[Value],[1]!Data_BS[Index BS],'Dong Lam'!$B130,[1]!Data_BS[TenCongTyID],'Dong Lam'!$B$1,[1]!Data_BS[Thang.Nam],'Dong Lam'!AI$5)</f>
        <v>0</v>
      </c>
      <c r="AJ130" s="229">
        <f>SUMIFS([1]!Data_BS[Value],[1]!Data_BS[Index BS],'Dong Lam'!$B130,[1]!Data_BS[TenCongTyID],'Dong Lam'!$B$1,[1]!Data_BS[Thang.Nam],'Dong Lam'!AJ$5)</f>
        <v>0</v>
      </c>
      <c r="AK130" s="229">
        <f>SUMIFS([1]!Data_BS[Value],[1]!Data_BS[Index BS],'Dong Lam'!$B130,[1]!Data_BS[TenCongTyID],'Dong Lam'!$B$1,[1]!Data_BS[Thang.Nam],'Dong Lam'!AK$5)</f>
        <v>0</v>
      </c>
      <c r="AL130" s="229">
        <f>SUMIFS([1]!Data_BS[Value],[1]!Data_BS[Index BS],'Dong Lam'!$B130,[1]!Data_BS[TenCongTyID],'Dong Lam'!$B$1,[1]!Data_BS[Thang.Nam],'Dong Lam'!AL$5)</f>
        <v>0</v>
      </c>
    </row>
    <row r="131" spans="1:52" s="264" customFormat="1" ht="15" hidden="1" customHeight="1" outlineLevel="1">
      <c r="A131" s="91" t="s">
        <v>215</v>
      </c>
      <c r="B131" s="92">
        <v>126</v>
      </c>
      <c r="C131" s="260">
        <v>38787934579</v>
      </c>
      <c r="D131" s="260">
        <v>38541273547</v>
      </c>
      <c r="E131" s="260">
        <v>39098533958</v>
      </c>
      <c r="F131" s="260">
        <v>38861003421</v>
      </c>
      <c r="G131" s="260">
        <v>36719519109</v>
      </c>
      <c r="H131" s="260">
        <v>37113762343</v>
      </c>
      <c r="I131" s="260">
        <v>35002183463</v>
      </c>
      <c r="J131" s="260">
        <v>34860159251</v>
      </c>
      <c r="K131" s="260">
        <v>35032994427</v>
      </c>
      <c r="L131" s="260">
        <v>34288512350</v>
      </c>
      <c r="M131" s="260">
        <v>34017816256</v>
      </c>
      <c r="N131" s="261">
        <v>33571227947</v>
      </c>
      <c r="O131" s="261">
        <v>32019874813</v>
      </c>
      <c r="P131" s="261">
        <v>32416294566</v>
      </c>
      <c r="Q131" s="261">
        <v>33074402363</v>
      </c>
      <c r="R131" s="261">
        <v>33035228610</v>
      </c>
      <c r="S131" s="261">
        <v>33553334319</v>
      </c>
      <c r="T131" s="261">
        <v>34729808148</v>
      </c>
      <c r="U131" s="261">
        <v>35815907036</v>
      </c>
      <c r="V131" s="261">
        <v>37326649675</v>
      </c>
      <c r="W131" s="261">
        <f>+W116+W84</f>
        <v>36925521631</v>
      </c>
      <c r="X131" s="261">
        <v>36491540860</v>
      </c>
      <c r="Y131" s="261">
        <v>37884499011</v>
      </c>
      <c r="Z131" s="261">
        <v>37018207900</v>
      </c>
      <c r="AA131" s="261">
        <f>SUMIFS([1]!Data_BS[Value],[1]!Data_BS[Index BS],'Dong Lam'!$B131,[1]!Data_BS[TenCongTyID],'Dong Lam'!$B$1,[1]!Data_BS[Thang.Nam],'Dong Lam'!AA$5)</f>
        <v>0</v>
      </c>
      <c r="AB131" s="261">
        <f>SUMIFS([1]!Data_BS[Value],[1]!Data_BS[Index BS],'Dong Lam'!$B131,[1]!Data_BS[TenCongTyID],'Dong Lam'!$B$1,[1]!Data_BS[Thang.Nam],'Dong Lam'!AB$5)</f>
        <v>0</v>
      </c>
      <c r="AC131" s="261">
        <f>SUMIFS([1]!Data_BS[Value],[1]!Data_BS[Index BS],'Dong Lam'!$B131,[1]!Data_BS[TenCongTyID],'Dong Lam'!$B$1,[1]!Data_BS[Thang.Nam],'Dong Lam'!AC$5)</f>
        <v>0</v>
      </c>
      <c r="AD131" s="261">
        <f>SUMIFS([1]!Data_BS[Value],[1]!Data_BS[Index BS],'Dong Lam'!$B131,[1]!Data_BS[TenCongTyID],'Dong Lam'!$B$1,[1]!Data_BS[Thang.Nam],'Dong Lam'!AD$5)</f>
        <v>0</v>
      </c>
      <c r="AE131" s="261">
        <f>SUMIFS([1]!Data_BS[Value],[1]!Data_BS[Index BS],'Dong Lam'!$B131,[1]!Data_BS[TenCongTyID],'Dong Lam'!$B$1,[1]!Data_BS[Thang.Nam],'Dong Lam'!AE$5)</f>
        <v>0</v>
      </c>
      <c r="AF131" s="261">
        <f>SUMIFS([1]!Data_BS[Value],[1]!Data_BS[Index BS],'Dong Lam'!$B131,[1]!Data_BS[TenCongTyID],'Dong Lam'!$B$1,[1]!Data_BS[Thang.Nam],'Dong Lam'!AF$5)</f>
        <v>0</v>
      </c>
      <c r="AG131" s="261">
        <f>SUMIFS([1]!Data_BS[Value],[1]!Data_BS[Index BS],'Dong Lam'!$B131,[1]!Data_BS[TenCongTyID],'Dong Lam'!$B$1,[1]!Data_BS[Thang.Nam],'Dong Lam'!AG$5)</f>
        <v>0</v>
      </c>
      <c r="AH131" s="261">
        <f>SUMIFS([1]!Data_BS[Value],[1]!Data_BS[Index BS],'Dong Lam'!$B131,[1]!Data_BS[TenCongTyID],'Dong Lam'!$B$1,[1]!Data_BS[Thang.Nam],'Dong Lam'!AH$5)</f>
        <v>0</v>
      </c>
      <c r="AI131" s="261">
        <f>SUMIFS([1]!Data_BS[Value],[1]!Data_BS[Index BS],'Dong Lam'!$B131,[1]!Data_BS[TenCongTyID],'Dong Lam'!$B$1,[1]!Data_BS[Thang.Nam],'Dong Lam'!AI$5)</f>
        <v>0</v>
      </c>
      <c r="AJ131" s="261">
        <f>SUMIFS([1]!Data_BS[Value],[1]!Data_BS[Index BS],'Dong Lam'!$B131,[1]!Data_BS[TenCongTyID],'Dong Lam'!$B$1,[1]!Data_BS[Thang.Nam],'Dong Lam'!AJ$5)</f>
        <v>0</v>
      </c>
      <c r="AK131" s="261">
        <f>SUMIFS([1]!Data_BS[Value],[1]!Data_BS[Index BS],'Dong Lam'!$B131,[1]!Data_BS[TenCongTyID],'Dong Lam'!$B$1,[1]!Data_BS[Thang.Nam],'Dong Lam'!AK$5)</f>
        <v>0</v>
      </c>
      <c r="AL131" s="261">
        <f>SUMIFS([1]!Data_BS[Value],[1]!Data_BS[Index BS],'Dong Lam'!$B131,[1]!Data_BS[TenCongTyID],'Dong Lam'!$B$1,[1]!Data_BS[Thang.Nam],'Dong Lam'!AL$5)</f>
        <v>0</v>
      </c>
    </row>
    <row r="132" spans="1:52" ht="15" customHeight="1">
      <c r="A132" s="94"/>
      <c r="B132" s="95"/>
      <c r="C132" s="95">
        <f t="shared" ref="C132:Y132" si="2">C131-C83</f>
        <v>0</v>
      </c>
      <c r="D132" s="95">
        <f t="shared" si="2"/>
        <v>0</v>
      </c>
      <c r="E132" s="95">
        <f t="shared" si="2"/>
        <v>0</v>
      </c>
      <c r="F132" s="95">
        <f t="shared" si="2"/>
        <v>0</v>
      </c>
      <c r="G132" s="95">
        <f t="shared" si="2"/>
        <v>0</v>
      </c>
      <c r="H132" s="95">
        <f t="shared" si="2"/>
        <v>0</v>
      </c>
      <c r="I132" s="265">
        <f t="shared" si="2"/>
        <v>0</v>
      </c>
      <c r="J132" s="265">
        <f t="shared" si="2"/>
        <v>0</v>
      </c>
      <c r="K132" s="265">
        <f t="shared" si="2"/>
        <v>0</v>
      </c>
      <c r="L132" s="265">
        <f t="shared" si="2"/>
        <v>0</v>
      </c>
      <c r="M132" s="265">
        <f t="shared" si="2"/>
        <v>0</v>
      </c>
      <c r="N132" s="265">
        <f t="shared" si="2"/>
        <v>0</v>
      </c>
      <c r="O132" s="265">
        <f t="shared" si="2"/>
        <v>0</v>
      </c>
      <c r="P132" s="265">
        <f t="shared" si="2"/>
        <v>0</v>
      </c>
      <c r="Q132" s="265">
        <f t="shared" si="2"/>
        <v>0</v>
      </c>
      <c r="R132" s="265">
        <f t="shared" si="2"/>
        <v>0</v>
      </c>
      <c r="S132" s="265">
        <f t="shared" si="2"/>
        <v>0</v>
      </c>
      <c r="T132" s="265">
        <f t="shared" si="2"/>
        <v>0</v>
      </c>
      <c r="U132" s="265">
        <f t="shared" si="2"/>
        <v>0</v>
      </c>
      <c r="V132" s="265">
        <f t="shared" si="2"/>
        <v>0</v>
      </c>
      <c r="W132" s="265">
        <f t="shared" si="2"/>
        <v>0</v>
      </c>
      <c r="X132" s="265">
        <f t="shared" si="2"/>
        <v>0</v>
      </c>
      <c r="Y132" s="265">
        <f t="shared" si="2"/>
        <v>0</v>
      </c>
      <c r="Z132" s="265">
        <v>0</v>
      </c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">
        <v>66</v>
      </c>
      <c r="D133" s="101" t="s">
        <v>67</v>
      </c>
      <c r="E133" s="101" t="s">
        <v>68</v>
      </c>
      <c r="F133" s="101" t="s">
        <v>69</v>
      </c>
      <c r="G133" s="101" t="s">
        <v>70</v>
      </c>
      <c r="H133" s="101" t="s">
        <v>71</v>
      </c>
      <c r="I133" s="101" t="s">
        <v>72</v>
      </c>
      <c r="J133" s="101" t="s">
        <v>73</v>
      </c>
      <c r="K133" s="101" t="s">
        <v>74</v>
      </c>
      <c r="L133" s="101" t="s">
        <v>75</v>
      </c>
      <c r="M133" s="101" t="s">
        <v>76</v>
      </c>
      <c r="N133" s="101" t="s">
        <v>77</v>
      </c>
      <c r="O133" s="101" t="s">
        <v>78</v>
      </c>
      <c r="P133" s="101" t="s">
        <v>79</v>
      </c>
      <c r="Q133" s="101" t="s">
        <v>80</v>
      </c>
      <c r="R133" s="101" t="s">
        <v>81</v>
      </c>
      <c r="S133" s="101" t="s">
        <v>82</v>
      </c>
      <c r="T133" s="101" t="s">
        <v>83</v>
      </c>
      <c r="U133" s="101" t="s">
        <v>84</v>
      </c>
      <c r="V133" s="101" t="s">
        <v>85</v>
      </c>
      <c r="W133" s="101" t="s">
        <v>86</v>
      </c>
      <c r="X133" s="101" t="s">
        <v>87</v>
      </c>
      <c r="Y133" s="101" t="s">
        <v>88</v>
      </c>
      <c r="Z133" s="101" t="s">
        <v>89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212">
        <v>2026</v>
      </c>
    </row>
    <row r="134" spans="1:52" s="107" customFormat="1" ht="15" customHeight="1">
      <c r="A134" s="104" t="s">
        <v>219</v>
      </c>
      <c r="B134" s="105">
        <v>1</v>
      </c>
      <c r="C134" s="106">
        <v>573</v>
      </c>
      <c r="D134" s="268">
        <v>269</v>
      </c>
      <c r="E134" s="268">
        <v>385</v>
      </c>
      <c r="F134" s="268">
        <v>393</v>
      </c>
      <c r="G134" s="268">
        <v>627.69200000000001</v>
      </c>
      <c r="H134" s="268">
        <v>379</v>
      </c>
      <c r="I134" s="268">
        <v>289.90899999999999</v>
      </c>
      <c r="J134" s="268">
        <v>249.529</v>
      </c>
      <c r="K134" s="268">
        <v>256.07</v>
      </c>
      <c r="L134" s="268">
        <v>285.92700000000002</v>
      </c>
      <c r="M134" s="269">
        <v>301.60300000000001</v>
      </c>
      <c r="N134" s="270">
        <v>231.24799999999999</v>
      </c>
      <c r="O134" s="270">
        <v>136.81700000000001</v>
      </c>
      <c r="P134" s="270">
        <v>284.58600000000001</v>
      </c>
      <c r="Q134" s="270">
        <v>355.69799999999998</v>
      </c>
      <c r="R134" s="270">
        <v>421.53300000000002</v>
      </c>
      <c r="S134" s="270">
        <v>410.44900000000001</v>
      </c>
      <c r="T134" s="270">
        <v>572.58600000000001</v>
      </c>
      <c r="U134" s="270">
        <v>681.43200000000002</v>
      </c>
      <c r="V134" s="270">
        <v>736.18600000000004</v>
      </c>
      <c r="W134" s="270">
        <v>660.12800000000004</v>
      </c>
      <c r="X134" s="270">
        <v>493.928</v>
      </c>
      <c r="Y134" s="270">
        <v>419.82400000000001</v>
      </c>
      <c r="Z134" s="270">
        <v>530</v>
      </c>
      <c r="AA134" s="356">
        <v>798.98</v>
      </c>
      <c r="AB134" s="356">
        <v>489.61799999999999</v>
      </c>
      <c r="AC134" s="356">
        <v>953.61727499999984</v>
      </c>
      <c r="AD134" s="356">
        <v>1018.821875</v>
      </c>
      <c r="AE134" s="356">
        <v>1018.821875</v>
      </c>
      <c r="AF134" s="356">
        <v>1059.57475</v>
      </c>
      <c r="AG134" s="356">
        <v>1100.3276249999999</v>
      </c>
      <c r="AH134" s="356">
        <v>1059.57475</v>
      </c>
      <c r="AI134" s="356">
        <v>978.06899999999996</v>
      </c>
      <c r="AJ134" s="356">
        <v>1100.3276249999999</v>
      </c>
      <c r="AK134" s="356">
        <v>1018.821875</v>
      </c>
      <c r="AL134" s="356">
        <v>1100.3276249999999</v>
      </c>
      <c r="AM134" s="273">
        <f t="shared" ref="AM134:AM153" si="3">SUM(AA134:AL134)</f>
        <v>11696.882274999998</v>
      </c>
    </row>
    <row r="135" spans="1:52" s="107" customFormat="1" ht="15" customHeight="1">
      <c r="A135" s="108" t="s">
        <v>220</v>
      </c>
      <c r="B135" s="109">
        <v>2</v>
      </c>
      <c r="C135" s="274">
        <v>8400713900</v>
      </c>
      <c r="D135" s="274">
        <v>3931174800</v>
      </c>
      <c r="E135" s="274">
        <v>5768669300</v>
      </c>
      <c r="F135" s="274">
        <v>5809292600</v>
      </c>
      <c r="G135" s="274">
        <v>9485730900</v>
      </c>
      <c r="H135" s="274">
        <v>6180931000</v>
      </c>
      <c r="I135" s="274">
        <v>4176102000</v>
      </c>
      <c r="J135" s="274">
        <v>3625752000</v>
      </c>
      <c r="K135" s="274">
        <v>3921219000</v>
      </c>
      <c r="L135" s="274">
        <v>4329468100</v>
      </c>
      <c r="M135" s="274">
        <v>4671750950</v>
      </c>
      <c r="N135" s="274">
        <v>3649641000</v>
      </c>
      <c r="O135" s="274">
        <v>2184030270</v>
      </c>
      <c r="P135" s="274">
        <v>4906179695</v>
      </c>
      <c r="Q135" s="274">
        <v>6333654608</v>
      </c>
      <c r="R135" s="274">
        <v>7807068174</v>
      </c>
      <c r="S135" s="274">
        <v>7380147015</v>
      </c>
      <c r="T135" s="274">
        <v>10556762949</v>
      </c>
      <c r="U135" s="274">
        <v>12875151030</v>
      </c>
      <c r="V135" s="274">
        <v>13763220740</v>
      </c>
      <c r="W135" s="274">
        <v>9904916640</v>
      </c>
      <c r="X135" s="274">
        <v>7003708500</v>
      </c>
      <c r="Y135" s="274">
        <v>5985740000</v>
      </c>
      <c r="Z135" s="274">
        <v>7484127000</v>
      </c>
      <c r="AA135" s="276">
        <v>0</v>
      </c>
      <c r="AB135" s="276">
        <v>0</v>
      </c>
      <c r="AC135" s="276">
        <v>0</v>
      </c>
      <c r="AD135" s="276">
        <v>0</v>
      </c>
      <c r="AE135" s="276">
        <v>0</v>
      </c>
      <c r="AF135" s="276">
        <v>0</v>
      </c>
      <c r="AG135" s="276">
        <v>0</v>
      </c>
      <c r="AH135" s="276">
        <v>0</v>
      </c>
      <c r="AI135" s="276">
        <v>0</v>
      </c>
      <c r="AJ135" s="276">
        <v>0</v>
      </c>
      <c r="AK135" s="276">
        <v>0</v>
      </c>
      <c r="AL135" s="276">
        <v>0</v>
      </c>
      <c r="AM135" s="357">
        <f t="shared" si="3"/>
        <v>0</v>
      </c>
    </row>
    <row r="136" spans="1:52" s="107" customFormat="1" ht="15" customHeight="1">
      <c r="A136" s="113" t="s">
        <v>221</v>
      </c>
      <c r="B136" s="114">
        <v>3</v>
      </c>
      <c r="C136" s="277"/>
      <c r="D136" s="277"/>
      <c r="E136" s="277"/>
      <c r="F136" s="278"/>
      <c r="G136" s="278"/>
      <c r="H136" s="278"/>
      <c r="I136" s="278"/>
      <c r="J136" s="278"/>
      <c r="K136" s="278"/>
      <c r="L136" s="278"/>
      <c r="M136" s="278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>
        <v>0</v>
      </c>
      <c r="AA136" s="280">
        <v>0</v>
      </c>
      <c r="AB136" s="276">
        <v>0</v>
      </c>
      <c r="AC136" s="276">
        <v>0</v>
      </c>
      <c r="AD136" s="276">
        <v>0</v>
      </c>
      <c r="AE136" s="276">
        <v>0</v>
      </c>
      <c r="AF136" s="276">
        <v>0</v>
      </c>
      <c r="AG136" s="276">
        <v>0</v>
      </c>
      <c r="AH136" s="276">
        <v>0</v>
      </c>
      <c r="AI136" s="276">
        <v>0</v>
      </c>
      <c r="AJ136" s="276">
        <v>0</v>
      </c>
      <c r="AK136" s="276">
        <v>0</v>
      </c>
      <c r="AL136" s="276">
        <v>0</v>
      </c>
      <c r="AM136" s="357">
        <f t="shared" si="3"/>
        <v>0</v>
      </c>
    </row>
    <row r="137" spans="1:52" s="107" customFormat="1" ht="15" customHeight="1">
      <c r="A137" s="108" t="s">
        <v>222</v>
      </c>
      <c r="B137" s="116">
        <v>4</v>
      </c>
      <c r="C137" s="281">
        <v>8400713900</v>
      </c>
      <c r="D137" s="281">
        <v>3931174800</v>
      </c>
      <c r="E137" s="281">
        <v>5768669300</v>
      </c>
      <c r="F137" s="281">
        <v>5809292600</v>
      </c>
      <c r="G137" s="281">
        <v>9485730900</v>
      </c>
      <c r="H137" s="281">
        <v>6180931000</v>
      </c>
      <c r="I137" s="281">
        <v>4176102000</v>
      </c>
      <c r="J137" s="281">
        <v>3625752000</v>
      </c>
      <c r="K137" s="281">
        <v>3921219000</v>
      </c>
      <c r="L137" s="281">
        <v>4329468100</v>
      </c>
      <c r="M137" s="281">
        <v>4671750950</v>
      </c>
      <c r="N137" s="133">
        <v>3649641000</v>
      </c>
      <c r="O137" s="133">
        <v>2184030270</v>
      </c>
      <c r="P137" s="133">
        <v>4906179695</v>
      </c>
      <c r="Q137" s="133">
        <v>6333654608</v>
      </c>
      <c r="R137" s="133">
        <v>7807068174</v>
      </c>
      <c r="S137" s="133">
        <v>7380147015</v>
      </c>
      <c r="T137" s="133">
        <v>10556762949</v>
      </c>
      <c r="U137" s="133">
        <v>12875151030</v>
      </c>
      <c r="V137" s="133">
        <v>13763220740</v>
      </c>
      <c r="W137" s="133">
        <v>9904916640</v>
      </c>
      <c r="X137" s="133">
        <v>7003708500</v>
      </c>
      <c r="Y137" s="133">
        <v>5985740000</v>
      </c>
      <c r="Z137" s="133">
        <v>7484127000</v>
      </c>
      <c r="AA137" s="358">
        <v>11319672000</v>
      </c>
      <c r="AB137" s="276">
        <v>7463520000</v>
      </c>
      <c r="AC137" s="276">
        <v>14539209750</v>
      </c>
      <c r="AD137" s="276">
        <v>16106940625</v>
      </c>
      <c r="AE137" s="276">
        <v>16106940625</v>
      </c>
      <c r="AF137" s="276">
        <v>16751218250</v>
      </c>
      <c r="AG137" s="276">
        <v>17395495875</v>
      </c>
      <c r="AH137" s="276">
        <v>16751218250</v>
      </c>
      <c r="AI137" s="276">
        <v>15462663000</v>
      </c>
      <c r="AJ137" s="276">
        <v>17395495875</v>
      </c>
      <c r="AK137" s="276">
        <v>16106940625</v>
      </c>
      <c r="AL137" s="276">
        <v>17395495875</v>
      </c>
      <c r="AM137" s="357">
        <f t="shared" si="3"/>
        <v>182794810750</v>
      </c>
      <c r="AN137" s="359"/>
    </row>
    <row r="138" spans="1:52" s="107" customFormat="1" ht="15" customHeight="1">
      <c r="A138" s="113" t="s">
        <v>223</v>
      </c>
      <c r="B138" s="118">
        <v>5</v>
      </c>
      <c r="C138" s="282">
        <v>8360095204</v>
      </c>
      <c r="D138" s="277">
        <v>3915335812</v>
      </c>
      <c r="E138" s="277">
        <v>5491561659</v>
      </c>
      <c r="F138" s="283">
        <v>5777251201</v>
      </c>
      <c r="G138" s="283">
        <v>9281674213</v>
      </c>
      <c r="H138" s="283">
        <v>6197150720</v>
      </c>
      <c r="I138" s="283">
        <v>4472052819</v>
      </c>
      <c r="J138" s="283">
        <v>3843795589</v>
      </c>
      <c r="K138" s="283">
        <v>4098228510</v>
      </c>
      <c r="L138" s="283">
        <v>4453562079</v>
      </c>
      <c r="M138" s="284">
        <v>4802207565</v>
      </c>
      <c r="N138" s="283">
        <v>3764356934</v>
      </c>
      <c r="O138" s="283">
        <v>2508077713</v>
      </c>
      <c r="P138" s="283">
        <v>4740440112</v>
      </c>
      <c r="Q138" s="283">
        <v>6014198762</v>
      </c>
      <c r="R138" s="283">
        <v>7255972077</v>
      </c>
      <c r="S138" s="283">
        <v>7126741795</v>
      </c>
      <c r="T138" s="283">
        <v>9609629830</v>
      </c>
      <c r="U138" s="283">
        <v>11568387569</v>
      </c>
      <c r="V138" s="283">
        <v>11854114403</v>
      </c>
      <c r="W138" s="283">
        <v>9491382430</v>
      </c>
      <c r="X138" s="283">
        <v>6472207694</v>
      </c>
      <c r="Y138" s="283">
        <v>5524770244</v>
      </c>
      <c r="Z138" s="283">
        <v>6693518933</v>
      </c>
      <c r="AA138" s="360">
        <v>11065194159.771919</v>
      </c>
      <c r="AB138" s="285">
        <v>8484312662.2266903</v>
      </c>
      <c r="AC138" s="285">
        <v>14981194313.276604</v>
      </c>
      <c r="AD138" s="285">
        <v>16094983354.117205</v>
      </c>
      <c r="AE138" s="285">
        <v>16141285777.228315</v>
      </c>
      <c r="AF138" s="285">
        <v>16743718828.380339</v>
      </c>
      <c r="AG138" s="285">
        <v>17343062797.199028</v>
      </c>
      <c r="AH138" s="285">
        <v>16776758834.380339</v>
      </c>
      <c r="AI138" s="285">
        <v>15670997557.409628</v>
      </c>
      <c r="AJ138" s="285">
        <v>17325135640.865692</v>
      </c>
      <c r="AK138" s="285">
        <v>16232964444.228315</v>
      </c>
      <c r="AL138" s="285">
        <v>17332799001.865692</v>
      </c>
      <c r="AM138" s="361">
        <f t="shared" si="3"/>
        <v>184192407370.94977</v>
      </c>
    </row>
    <row r="139" spans="1:52" s="107" customFormat="1" ht="15" customHeight="1">
      <c r="A139" s="108" t="s">
        <v>224</v>
      </c>
      <c r="B139" s="121">
        <v>6</v>
      </c>
      <c r="C139" s="124">
        <v>40618696</v>
      </c>
      <c r="D139" s="124">
        <v>15838988</v>
      </c>
      <c r="E139" s="124">
        <v>277107641</v>
      </c>
      <c r="F139" s="124">
        <v>32041399</v>
      </c>
      <c r="G139" s="124">
        <v>204056687</v>
      </c>
      <c r="H139" s="124">
        <v>-16219720</v>
      </c>
      <c r="I139" s="124">
        <v>-295950819</v>
      </c>
      <c r="J139" s="124">
        <v>-218043589</v>
      </c>
      <c r="K139" s="124">
        <v>-177009510</v>
      </c>
      <c r="L139" s="124">
        <v>-124093979</v>
      </c>
      <c r="M139" s="124">
        <v>-130456615</v>
      </c>
      <c r="N139" s="124">
        <v>-114715934</v>
      </c>
      <c r="O139" s="124">
        <v>-324047443</v>
      </c>
      <c r="P139" s="124">
        <v>165739583</v>
      </c>
      <c r="Q139" s="124">
        <v>319455846</v>
      </c>
      <c r="R139" s="124">
        <v>551096097</v>
      </c>
      <c r="S139" s="124">
        <v>253405220</v>
      </c>
      <c r="T139" s="124">
        <v>947133119</v>
      </c>
      <c r="U139" s="124">
        <v>1306763461</v>
      </c>
      <c r="V139" s="124">
        <v>1909106337</v>
      </c>
      <c r="W139" s="124">
        <v>413534210</v>
      </c>
      <c r="X139" s="124">
        <v>531500806</v>
      </c>
      <c r="Y139" s="124">
        <v>460969756</v>
      </c>
      <c r="Z139" s="124">
        <v>790608067</v>
      </c>
      <c r="AA139" s="362">
        <f>AA137-AA138</f>
        <v>254477840.22808075</v>
      </c>
      <c r="AB139" s="275">
        <f t="shared" ref="AB139:AL139" si="4">AB137-AB138</f>
        <v>-1020792662.2266903</v>
      </c>
      <c r="AC139" s="275">
        <f t="shared" si="4"/>
        <v>-441984563.2766037</v>
      </c>
      <c r="AD139" s="275">
        <f t="shared" si="4"/>
        <v>11957270.882795334</v>
      </c>
      <c r="AE139" s="275">
        <f t="shared" si="4"/>
        <v>-34345152.228315353</v>
      </c>
      <c r="AF139" s="275">
        <f t="shared" si="4"/>
        <v>7499421.6196613312</v>
      </c>
      <c r="AG139" s="275">
        <f t="shared" si="4"/>
        <v>52433077.800971985</v>
      </c>
      <c r="AH139" s="275">
        <f t="shared" si="4"/>
        <v>-25540584.380338669</v>
      </c>
      <c r="AI139" s="275">
        <f t="shared" si="4"/>
        <v>-208334557.40962791</v>
      </c>
      <c r="AJ139" s="275">
        <f t="shared" si="4"/>
        <v>70360234.134307861</v>
      </c>
      <c r="AK139" s="275">
        <f t="shared" si="4"/>
        <v>-126023819.22831535</v>
      </c>
      <c r="AL139" s="275">
        <f t="shared" si="4"/>
        <v>62696873.134307861</v>
      </c>
      <c r="AM139" s="363">
        <f t="shared" si="3"/>
        <v>-1397596620.9497662</v>
      </c>
    </row>
    <row r="140" spans="1:52" s="107" customFormat="1" ht="15" customHeight="1">
      <c r="A140" s="108" t="s">
        <v>225</v>
      </c>
      <c r="B140" s="121">
        <v>7</v>
      </c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>
        <v>0</v>
      </c>
      <c r="AA140" s="362">
        <v>0</v>
      </c>
      <c r="AB140" s="275">
        <v>0</v>
      </c>
      <c r="AC140" s="275">
        <v>0</v>
      </c>
      <c r="AD140" s="275">
        <v>0</v>
      </c>
      <c r="AE140" s="275">
        <v>0</v>
      </c>
      <c r="AF140" s="275">
        <v>0</v>
      </c>
      <c r="AG140" s="275">
        <v>0</v>
      </c>
      <c r="AH140" s="275">
        <v>0</v>
      </c>
      <c r="AI140" s="275">
        <v>0</v>
      </c>
      <c r="AJ140" s="275">
        <v>0</v>
      </c>
      <c r="AK140" s="275">
        <v>0</v>
      </c>
      <c r="AL140" s="275">
        <v>0</v>
      </c>
      <c r="AM140" s="363">
        <f t="shared" si="3"/>
        <v>0</v>
      </c>
    </row>
    <row r="141" spans="1:52" s="107" customFormat="1" ht="15" customHeight="1">
      <c r="A141" s="113" t="s">
        <v>226</v>
      </c>
      <c r="B141" s="114">
        <v>8</v>
      </c>
      <c r="C141" s="277">
        <v>9382459</v>
      </c>
      <c r="D141" s="277">
        <v>10579719</v>
      </c>
      <c r="E141" s="277">
        <v>9899400</v>
      </c>
      <c r="F141" s="278">
        <v>10580906</v>
      </c>
      <c r="G141" s="278">
        <v>10872809</v>
      </c>
      <c r="H141" s="278">
        <v>12253869</v>
      </c>
      <c r="I141" s="278">
        <v>32961164</v>
      </c>
      <c r="J141" s="278">
        <v>10484107</v>
      </c>
      <c r="K141" s="278">
        <v>10990062</v>
      </c>
      <c r="L141" s="278">
        <v>51973968</v>
      </c>
      <c r="M141" s="278">
        <v>11239032</v>
      </c>
      <c r="N141" s="279">
        <v>10871181</v>
      </c>
      <c r="O141" s="279">
        <v>56610291</v>
      </c>
      <c r="P141" s="279">
        <v>11478700</v>
      </c>
      <c r="Q141" s="279">
        <v>10596772</v>
      </c>
      <c r="R141" s="279">
        <v>57102551</v>
      </c>
      <c r="S141" s="279">
        <v>11106781</v>
      </c>
      <c r="T141" s="279">
        <v>10419655</v>
      </c>
      <c r="U141" s="279">
        <v>56496007</v>
      </c>
      <c r="V141" s="279">
        <v>7319275</v>
      </c>
      <c r="W141" s="279">
        <v>7346208</v>
      </c>
      <c r="X141" s="279">
        <v>52495236</v>
      </c>
      <c r="Y141" s="279">
        <v>19072961</v>
      </c>
      <c r="Z141" s="279">
        <v>18946348</v>
      </c>
      <c r="AA141" s="364">
        <v>20000000</v>
      </c>
      <c r="AB141" s="280">
        <v>20000000</v>
      </c>
      <c r="AC141" s="280">
        <v>20000000</v>
      </c>
      <c r="AD141" s="280">
        <v>10000000</v>
      </c>
      <c r="AE141" s="280">
        <v>10000000</v>
      </c>
      <c r="AF141" s="280">
        <v>10000000</v>
      </c>
      <c r="AG141" s="280">
        <v>10000000</v>
      </c>
      <c r="AH141" s="280">
        <v>10000000</v>
      </c>
      <c r="AI141" s="280">
        <v>10000000</v>
      </c>
      <c r="AJ141" s="280">
        <v>10000000</v>
      </c>
      <c r="AK141" s="280">
        <v>10000000</v>
      </c>
      <c r="AL141" s="280">
        <v>10000000</v>
      </c>
      <c r="AM141" s="365">
        <f t="shared" si="3"/>
        <v>150000000</v>
      </c>
    </row>
    <row r="142" spans="1:52" s="107" customFormat="1" ht="15" customHeight="1">
      <c r="A142" s="108" t="s">
        <v>227</v>
      </c>
      <c r="B142" s="109">
        <v>9</v>
      </c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124"/>
      <c r="O142" s="124"/>
      <c r="P142" s="124"/>
      <c r="Q142" s="124"/>
      <c r="R142" s="124"/>
      <c r="S142" s="124"/>
      <c r="T142" s="124"/>
      <c r="U142" s="124">
        <v>3187200</v>
      </c>
      <c r="V142" s="124"/>
      <c r="W142" s="124"/>
      <c r="X142" s="124"/>
      <c r="Y142" s="124"/>
      <c r="Z142" s="124">
        <v>0</v>
      </c>
      <c r="AA142" s="362">
        <v>0</v>
      </c>
      <c r="AB142" s="275">
        <v>0</v>
      </c>
      <c r="AC142" s="275">
        <v>0</v>
      </c>
      <c r="AD142" s="275">
        <v>0</v>
      </c>
      <c r="AE142" s="275">
        <v>0</v>
      </c>
      <c r="AF142" s="275">
        <v>0</v>
      </c>
      <c r="AG142" s="275">
        <v>0</v>
      </c>
      <c r="AH142" s="275">
        <v>0</v>
      </c>
      <c r="AI142" s="275">
        <v>0</v>
      </c>
      <c r="AJ142" s="275">
        <v>0</v>
      </c>
      <c r="AK142" s="275">
        <v>0</v>
      </c>
      <c r="AL142" s="275">
        <v>0</v>
      </c>
      <c r="AM142" s="363">
        <f t="shared" si="3"/>
        <v>0</v>
      </c>
    </row>
    <row r="143" spans="1:52" s="107" customFormat="1" ht="15" customHeight="1">
      <c r="A143" s="113" t="s">
        <v>228</v>
      </c>
      <c r="B143" s="114">
        <v>10</v>
      </c>
      <c r="C143" s="277"/>
      <c r="D143" s="277"/>
      <c r="E143" s="277"/>
      <c r="F143" s="278"/>
      <c r="G143" s="278"/>
      <c r="H143" s="278"/>
      <c r="I143" s="278"/>
      <c r="J143" s="278"/>
      <c r="K143" s="278"/>
      <c r="L143" s="278"/>
      <c r="M143" s="278"/>
      <c r="N143" s="279"/>
      <c r="O143" s="279"/>
      <c r="P143" s="279"/>
      <c r="Q143" s="279"/>
      <c r="R143" s="279"/>
      <c r="S143" s="279"/>
      <c r="T143" s="279"/>
      <c r="U143" s="279">
        <v>3187200</v>
      </c>
      <c r="V143" s="279"/>
      <c r="W143" s="279"/>
      <c r="X143" s="279"/>
      <c r="Y143" s="279"/>
      <c r="Z143" s="279">
        <v>0</v>
      </c>
      <c r="AA143" s="364">
        <v>0</v>
      </c>
      <c r="AB143" s="280">
        <v>0</v>
      </c>
      <c r="AC143" s="280">
        <v>0</v>
      </c>
      <c r="AD143" s="280">
        <v>0</v>
      </c>
      <c r="AE143" s="280">
        <v>0</v>
      </c>
      <c r="AF143" s="280">
        <v>0</v>
      </c>
      <c r="AG143" s="280">
        <v>0</v>
      </c>
      <c r="AH143" s="280">
        <v>0</v>
      </c>
      <c r="AI143" s="280">
        <v>0</v>
      </c>
      <c r="AJ143" s="280">
        <v>0</v>
      </c>
      <c r="AK143" s="280">
        <v>0</v>
      </c>
      <c r="AL143" s="280">
        <v>0</v>
      </c>
      <c r="AM143" s="365">
        <f t="shared" si="3"/>
        <v>0</v>
      </c>
    </row>
    <row r="144" spans="1:52" s="107" customFormat="1" ht="15" customHeight="1">
      <c r="A144" s="113" t="s">
        <v>229</v>
      </c>
      <c r="B144" s="114">
        <v>11</v>
      </c>
      <c r="C144" s="277">
        <v>80500000</v>
      </c>
      <c r="D144" s="277">
        <v>92396800</v>
      </c>
      <c r="E144" s="277">
        <v>121389600</v>
      </c>
      <c r="F144" s="278">
        <v>78000000</v>
      </c>
      <c r="G144" s="278">
        <v>146000000</v>
      </c>
      <c r="H144" s="278">
        <v>115500000</v>
      </c>
      <c r="I144" s="278">
        <v>64000000</v>
      </c>
      <c r="J144" s="278">
        <v>54000000</v>
      </c>
      <c r="K144" s="278">
        <v>57900000</v>
      </c>
      <c r="L144" s="278">
        <v>75900000</v>
      </c>
      <c r="M144" s="278">
        <v>79200000</v>
      </c>
      <c r="N144" s="278">
        <v>75900000</v>
      </c>
      <c r="O144" s="278">
        <v>46200000</v>
      </c>
      <c r="P144" s="278">
        <v>111100000</v>
      </c>
      <c r="Q144" s="278">
        <v>142500000</v>
      </c>
      <c r="R144" s="278">
        <v>161600000</v>
      </c>
      <c r="S144" s="278">
        <v>157100000</v>
      </c>
      <c r="T144" s="278">
        <v>207400000</v>
      </c>
      <c r="U144" s="278">
        <v>261000000</v>
      </c>
      <c r="V144" s="278">
        <v>278300000</v>
      </c>
      <c r="W144" s="278">
        <v>246900000</v>
      </c>
      <c r="X144" s="278">
        <v>175300000</v>
      </c>
      <c r="Y144" s="278">
        <v>144200000</v>
      </c>
      <c r="Z144" s="278">
        <v>193700000</v>
      </c>
      <c r="AA144" s="364">
        <v>319592000</v>
      </c>
      <c r="AB144" s="280">
        <v>158213760</v>
      </c>
      <c r="AC144" s="280">
        <v>308129327.99999994</v>
      </c>
      <c r="AD144" s="280">
        <v>329198000</v>
      </c>
      <c r="AE144" s="280">
        <v>329198000</v>
      </c>
      <c r="AF144" s="280">
        <v>342365920</v>
      </c>
      <c r="AG144" s="280">
        <v>355533840</v>
      </c>
      <c r="AH144" s="280">
        <v>342365920</v>
      </c>
      <c r="AI144" s="280">
        <v>316030080</v>
      </c>
      <c r="AJ144" s="280">
        <v>355533840</v>
      </c>
      <c r="AK144" s="280">
        <v>329198000</v>
      </c>
      <c r="AL144" s="280">
        <v>355533840</v>
      </c>
      <c r="AM144" s="365">
        <f t="shared" si="3"/>
        <v>3840892528</v>
      </c>
    </row>
    <row r="145" spans="1:39" s="107" customFormat="1" ht="15" customHeight="1">
      <c r="A145" s="113" t="s">
        <v>230</v>
      </c>
      <c r="B145" s="114">
        <v>12</v>
      </c>
      <c r="C145" s="277">
        <v>159221608</v>
      </c>
      <c r="D145" s="277">
        <v>104655178</v>
      </c>
      <c r="E145" s="277">
        <v>115295655</v>
      </c>
      <c r="F145" s="278">
        <v>106050997</v>
      </c>
      <c r="G145" s="278">
        <v>66870820</v>
      </c>
      <c r="H145" s="278">
        <v>76195851</v>
      </c>
      <c r="I145" s="278">
        <v>68152514</v>
      </c>
      <c r="J145" s="278">
        <v>139408411</v>
      </c>
      <c r="K145" s="278">
        <v>83156007</v>
      </c>
      <c r="L145" s="278">
        <v>88772319</v>
      </c>
      <c r="M145" s="278">
        <v>552891636</v>
      </c>
      <c r="N145" s="278">
        <v>97079504</v>
      </c>
      <c r="O145" s="278">
        <v>147069830</v>
      </c>
      <c r="P145" s="278">
        <v>115999204</v>
      </c>
      <c r="Q145" s="278">
        <v>120706843</v>
      </c>
      <c r="R145" s="278">
        <v>155764782</v>
      </c>
      <c r="S145" s="278">
        <v>142223547</v>
      </c>
      <c r="T145" s="278">
        <v>131398532</v>
      </c>
      <c r="U145" s="278">
        <v>129629381</v>
      </c>
      <c r="V145" s="278">
        <v>133594277</v>
      </c>
      <c r="W145" s="278">
        <v>218907692</v>
      </c>
      <c r="X145" s="278">
        <v>204745721</v>
      </c>
      <c r="Y145" s="278">
        <v>227424354</v>
      </c>
      <c r="Z145" s="278">
        <v>505125793</v>
      </c>
      <c r="AA145" s="364">
        <v>353847359.69166666</v>
      </c>
      <c r="AB145" s="280">
        <v>461395058.69166666</v>
      </c>
      <c r="AC145" s="280">
        <v>336683433.02500004</v>
      </c>
      <c r="AD145" s="280">
        <v>351729344.02499998</v>
      </c>
      <c r="AE145" s="280">
        <v>345595762.02499998</v>
      </c>
      <c r="AF145" s="280">
        <v>359367480.17314816</v>
      </c>
      <c r="AG145" s="280">
        <v>378136181.1731481</v>
      </c>
      <c r="AH145" s="280">
        <v>623026153.17314827</v>
      </c>
      <c r="AI145" s="280">
        <v>380278478.17314816</v>
      </c>
      <c r="AJ145" s="280">
        <v>361826453.17314816</v>
      </c>
      <c r="AK145" s="280">
        <v>358433175.17314816</v>
      </c>
      <c r="AL145" s="280">
        <v>377191736.1731481</v>
      </c>
      <c r="AM145" s="365">
        <f t="shared" si="3"/>
        <v>4687510614.6703711</v>
      </c>
    </row>
    <row r="146" spans="1:39" s="107" customFormat="1" ht="15" customHeight="1">
      <c r="A146" s="108" t="s">
        <v>231</v>
      </c>
      <c r="B146" s="109">
        <v>13</v>
      </c>
      <c r="C146" s="274">
        <v>-189720453</v>
      </c>
      <c r="D146" s="274">
        <v>-170633271</v>
      </c>
      <c r="E146" s="274">
        <v>50321786</v>
      </c>
      <c r="F146" s="274">
        <v>-141428692</v>
      </c>
      <c r="G146" s="274">
        <v>2058676</v>
      </c>
      <c r="H146" s="274">
        <v>-195661702</v>
      </c>
      <c r="I146" s="274">
        <v>-395142169</v>
      </c>
      <c r="J146" s="274">
        <v>-400967893</v>
      </c>
      <c r="K146" s="274">
        <v>-307075455</v>
      </c>
      <c r="L146" s="274">
        <v>-236792330</v>
      </c>
      <c r="M146" s="274">
        <v>-751309219</v>
      </c>
      <c r="N146" s="124">
        <v>-276824257</v>
      </c>
      <c r="O146" s="124">
        <v>-460706982</v>
      </c>
      <c r="P146" s="124">
        <v>-49880921</v>
      </c>
      <c r="Q146" s="124">
        <v>66845775</v>
      </c>
      <c r="R146" s="124">
        <v>290833866</v>
      </c>
      <c r="S146" s="124">
        <v>-34811546</v>
      </c>
      <c r="T146" s="124">
        <v>618754242</v>
      </c>
      <c r="U146" s="124">
        <v>969442887</v>
      </c>
      <c r="V146" s="124">
        <v>1504531335</v>
      </c>
      <c r="W146" s="124">
        <v>-44927274</v>
      </c>
      <c r="X146" s="124">
        <v>203950321</v>
      </c>
      <c r="Y146" s="124">
        <v>108418363</v>
      </c>
      <c r="Z146" s="124">
        <v>110728622</v>
      </c>
      <c r="AA146" s="362">
        <f>AA139+AA140+AA141-AA142-AA144-AA145</f>
        <v>-398961519.46358591</v>
      </c>
      <c r="AB146" s="275">
        <f t="shared" ref="AB146:AL146" si="5">AB139+AB140+AB141-AB142-AB144-AB145</f>
        <v>-1620401480.9183569</v>
      </c>
      <c r="AC146" s="275">
        <f t="shared" si="5"/>
        <v>-1066797324.3016038</v>
      </c>
      <c r="AD146" s="275">
        <f t="shared" si="5"/>
        <v>-658970073.14220464</v>
      </c>
      <c r="AE146" s="275">
        <f t="shared" si="5"/>
        <v>-699138914.25331533</v>
      </c>
      <c r="AF146" s="275">
        <f t="shared" si="5"/>
        <v>-684233978.55348682</v>
      </c>
      <c r="AG146" s="275">
        <f t="shared" si="5"/>
        <v>-671236943.37217617</v>
      </c>
      <c r="AH146" s="275">
        <f t="shared" si="5"/>
        <v>-980932657.55348694</v>
      </c>
      <c r="AI146" s="275">
        <f t="shared" si="5"/>
        <v>-894643115.58277607</v>
      </c>
      <c r="AJ146" s="275">
        <f t="shared" si="5"/>
        <v>-637000059.03884029</v>
      </c>
      <c r="AK146" s="275">
        <f t="shared" si="5"/>
        <v>-803654994.40146351</v>
      </c>
      <c r="AL146" s="275">
        <f t="shared" si="5"/>
        <v>-660028703.03884029</v>
      </c>
      <c r="AM146" s="363">
        <f t="shared" si="3"/>
        <v>-9775999763.6201363</v>
      </c>
    </row>
    <row r="147" spans="1:39" s="107" customFormat="1" ht="15" customHeight="1">
      <c r="A147" s="113" t="s">
        <v>232</v>
      </c>
      <c r="B147" s="114">
        <v>14</v>
      </c>
      <c r="C147" s="277"/>
      <c r="D147" s="277"/>
      <c r="E147" s="277"/>
      <c r="F147" s="278">
        <v>81700000</v>
      </c>
      <c r="G147" s="278"/>
      <c r="H147" s="278"/>
      <c r="I147" s="278">
        <v>539351</v>
      </c>
      <c r="J147" s="278"/>
      <c r="K147" s="278"/>
      <c r="L147" s="278"/>
      <c r="M147" s="278"/>
      <c r="N147" s="279"/>
      <c r="O147" s="279">
        <v>76532366</v>
      </c>
      <c r="P147" s="279">
        <v>300</v>
      </c>
      <c r="Q147" s="279">
        <v>13680000</v>
      </c>
      <c r="R147" s="279">
        <v>6000060</v>
      </c>
      <c r="S147" s="279"/>
      <c r="T147" s="279"/>
      <c r="U147" s="279">
        <v>70515</v>
      </c>
      <c r="V147" s="279"/>
      <c r="W147" s="279"/>
      <c r="X147" s="279"/>
      <c r="Y147" s="279"/>
      <c r="Z147" s="279">
        <v>33444445</v>
      </c>
      <c r="AA147" s="364">
        <v>0</v>
      </c>
      <c r="AB147" s="280">
        <v>0</v>
      </c>
      <c r="AC147" s="280">
        <v>0</v>
      </c>
      <c r="AD147" s="280">
        <v>0</v>
      </c>
      <c r="AE147" s="280">
        <v>0</v>
      </c>
      <c r="AF147" s="280">
        <v>0</v>
      </c>
      <c r="AG147" s="280">
        <v>0</v>
      </c>
      <c r="AH147" s="280">
        <v>0</v>
      </c>
      <c r="AI147" s="280">
        <v>0</v>
      </c>
      <c r="AJ147" s="280">
        <v>0</v>
      </c>
      <c r="AK147" s="280">
        <v>0</v>
      </c>
      <c r="AL147" s="280">
        <v>0</v>
      </c>
      <c r="AM147" s="365">
        <f t="shared" si="3"/>
        <v>0</v>
      </c>
    </row>
    <row r="148" spans="1:39" s="107" customFormat="1" ht="15" customHeight="1">
      <c r="A148" s="113" t="s">
        <v>233</v>
      </c>
      <c r="B148" s="114">
        <v>15</v>
      </c>
      <c r="C148" s="277"/>
      <c r="D148" s="277">
        <v>4500000</v>
      </c>
      <c r="E148" s="277"/>
      <c r="F148" s="278">
        <v>81718690</v>
      </c>
      <c r="G148" s="278"/>
      <c r="H148" s="278"/>
      <c r="I148" s="278"/>
      <c r="J148" s="278"/>
      <c r="K148" s="278"/>
      <c r="L148" s="278"/>
      <c r="M148" s="278">
        <v>136092961</v>
      </c>
      <c r="N148" s="279"/>
      <c r="O148" s="279">
        <v>36339675</v>
      </c>
      <c r="P148" s="279"/>
      <c r="Q148" s="279"/>
      <c r="R148" s="279">
        <v>6000000</v>
      </c>
      <c r="S148" s="279"/>
      <c r="T148" s="279"/>
      <c r="U148" s="279"/>
      <c r="V148" s="279"/>
      <c r="W148" s="279"/>
      <c r="X148" s="279"/>
      <c r="Y148" s="279"/>
      <c r="Z148" s="279">
        <v>48000</v>
      </c>
      <c r="AA148" s="364">
        <v>0</v>
      </c>
      <c r="AB148" s="280">
        <v>0</v>
      </c>
      <c r="AC148" s="280">
        <v>0</v>
      </c>
      <c r="AD148" s="280">
        <v>0</v>
      </c>
      <c r="AE148" s="280">
        <v>0</v>
      </c>
      <c r="AF148" s="280">
        <v>0</v>
      </c>
      <c r="AG148" s="280">
        <v>0</v>
      </c>
      <c r="AH148" s="280">
        <v>0</v>
      </c>
      <c r="AI148" s="280">
        <v>0</v>
      </c>
      <c r="AJ148" s="280">
        <v>0</v>
      </c>
      <c r="AK148" s="280">
        <v>0</v>
      </c>
      <c r="AL148" s="280">
        <v>0</v>
      </c>
      <c r="AM148" s="365">
        <f t="shared" si="3"/>
        <v>0</v>
      </c>
    </row>
    <row r="149" spans="1:39" s="107" customFormat="1" ht="15" customHeight="1">
      <c r="A149" s="108" t="s">
        <v>234</v>
      </c>
      <c r="B149" s="109">
        <v>16</v>
      </c>
      <c r="C149" s="274">
        <v>0</v>
      </c>
      <c r="D149" s="274">
        <v>-4500000</v>
      </c>
      <c r="E149" s="274">
        <v>0</v>
      </c>
      <c r="F149" s="274">
        <v>-18690</v>
      </c>
      <c r="G149" s="274">
        <v>0</v>
      </c>
      <c r="H149" s="274">
        <v>0</v>
      </c>
      <c r="I149" s="274">
        <v>539351</v>
      </c>
      <c r="J149" s="274">
        <v>0</v>
      </c>
      <c r="K149" s="274">
        <v>0</v>
      </c>
      <c r="L149" s="274">
        <v>0</v>
      </c>
      <c r="M149" s="274">
        <v>-136092961</v>
      </c>
      <c r="N149" s="124">
        <v>0</v>
      </c>
      <c r="O149" s="124">
        <v>40192691</v>
      </c>
      <c r="P149" s="124">
        <v>300</v>
      </c>
      <c r="Q149" s="124">
        <v>13680000</v>
      </c>
      <c r="R149" s="124">
        <v>60</v>
      </c>
      <c r="S149" s="124">
        <v>0</v>
      </c>
      <c r="T149" s="124">
        <v>0</v>
      </c>
      <c r="U149" s="124">
        <v>70515</v>
      </c>
      <c r="V149" s="124">
        <v>0</v>
      </c>
      <c r="W149" s="124">
        <v>0</v>
      </c>
      <c r="X149" s="124">
        <v>0</v>
      </c>
      <c r="Y149" s="124">
        <v>0</v>
      </c>
      <c r="Z149" s="124">
        <v>33396445</v>
      </c>
      <c r="AA149" s="362">
        <f>AA147-AA148</f>
        <v>0</v>
      </c>
      <c r="AB149" s="275">
        <f t="shared" ref="AB149:AL149" si="6">AB147-AB148</f>
        <v>0</v>
      </c>
      <c r="AC149" s="275">
        <f t="shared" si="6"/>
        <v>0</v>
      </c>
      <c r="AD149" s="275">
        <f t="shared" si="6"/>
        <v>0</v>
      </c>
      <c r="AE149" s="275">
        <f t="shared" si="6"/>
        <v>0</v>
      </c>
      <c r="AF149" s="275">
        <f t="shared" si="6"/>
        <v>0</v>
      </c>
      <c r="AG149" s="275">
        <f t="shared" si="6"/>
        <v>0</v>
      </c>
      <c r="AH149" s="275">
        <f t="shared" si="6"/>
        <v>0</v>
      </c>
      <c r="AI149" s="275">
        <f t="shared" si="6"/>
        <v>0</v>
      </c>
      <c r="AJ149" s="275">
        <f t="shared" si="6"/>
        <v>0</v>
      </c>
      <c r="AK149" s="275">
        <f t="shared" si="6"/>
        <v>0</v>
      </c>
      <c r="AL149" s="275">
        <f t="shared" si="6"/>
        <v>0</v>
      </c>
      <c r="AM149" s="363">
        <f t="shared" si="3"/>
        <v>0</v>
      </c>
    </row>
    <row r="150" spans="1:39" s="107" customFormat="1" ht="15" customHeight="1">
      <c r="A150" s="108" t="s">
        <v>235</v>
      </c>
      <c r="B150" s="116">
        <v>17</v>
      </c>
      <c r="C150" s="281">
        <v>-189720453</v>
      </c>
      <c r="D150" s="281">
        <v>-175133271</v>
      </c>
      <c r="E150" s="281">
        <v>50321786</v>
      </c>
      <c r="F150" s="281">
        <v>-141447382</v>
      </c>
      <c r="G150" s="281">
        <v>2058676</v>
      </c>
      <c r="H150" s="281">
        <v>-195661702</v>
      </c>
      <c r="I150" s="281">
        <v>-394602818</v>
      </c>
      <c r="J150" s="281">
        <v>-400967893</v>
      </c>
      <c r="K150" s="281">
        <v>-307075455</v>
      </c>
      <c r="L150" s="281">
        <v>-236792330</v>
      </c>
      <c r="M150" s="281">
        <v>-887402180</v>
      </c>
      <c r="N150" s="133">
        <v>-276824257</v>
      </c>
      <c r="O150" s="133">
        <v>-420514291</v>
      </c>
      <c r="P150" s="133">
        <v>-49880621</v>
      </c>
      <c r="Q150" s="133">
        <v>80525775</v>
      </c>
      <c r="R150" s="133">
        <v>290833926</v>
      </c>
      <c r="S150" s="133">
        <v>-34811546</v>
      </c>
      <c r="T150" s="133">
        <v>618754242</v>
      </c>
      <c r="U150" s="133">
        <v>969513402</v>
      </c>
      <c r="V150" s="133">
        <v>1504531335</v>
      </c>
      <c r="W150" s="133">
        <v>-44927274</v>
      </c>
      <c r="X150" s="133">
        <v>203950321</v>
      </c>
      <c r="Y150" s="133">
        <v>108418363</v>
      </c>
      <c r="Z150" s="133">
        <v>144125067</v>
      </c>
      <c r="AA150" s="358">
        <f>AA146+AA149</f>
        <v>-398961519.46358591</v>
      </c>
      <c r="AB150" s="276">
        <f t="shared" ref="AB150:AL150" si="7">AB146+AB149</f>
        <v>-1620401480.9183569</v>
      </c>
      <c r="AC150" s="276">
        <f t="shared" si="7"/>
        <v>-1066797324.3016038</v>
      </c>
      <c r="AD150" s="276">
        <f t="shared" si="7"/>
        <v>-658970073.14220464</v>
      </c>
      <c r="AE150" s="276">
        <f t="shared" si="7"/>
        <v>-699138914.25331533</v>
      </c>
      <c r="AF150" s="276">
        <f t="shared" si="7"/>
        <v>-684233978.55348682</v>
      </c>
      <c r="AG150" s="276">
        <f t="shared" si="7"/>
        <v>-671236943.37217617</v>
      </c>
      <c r="AH150" s="276">
        <f t="shared" si="7"/>
        <v>-980932657.55348694</v>
      </c>
      <c r="AI150" s="276">
        <f t="shared" si="7"/>
        <v>-894643115.58277607</v>
      </c>
      <c r="AJ150" s="276">
        <f t="shared" si="7"/>
        <v>-637000059.03884029</v>
      </c>
      <c r="AK150" s="276">
        <f t="shared" si="7"/>
        <v>-803654994.40146351</v>
      </c>
      <c r="AL150" s="276">
        <f t="shared" si="7"/>
        <v>-660028703.03884029</v>
      </c>
      <c r="AM150" s="357">
        <f t="shared" si="3"/>
        <v>-9775999763.6201363</v>
      </c>
    </row>
    <row r="151" spans="1:39" s="107" customFormat="1" ht="15" customHeight="1">
      <c r="A151" s="134" t="s">
        <v>236</v>
      </c>
      <c r="B151" s="114">
        <v>18</v>
      </c>
      <c r="C151" s="277">
        <v>0</v>
      </c>
      <c r="D151" s="289">
        <v>0</v>
      </c>
      <c r="E151" s="289"/>
      <c r="F151" s="289"/>
      <c r="G151" s="289"/>
      <c r="H151" s="289"/>
      <c r="I151" s="289"/>
      <c r="J151" s="289">
        <v>0</v>
      </c>
      <c r="K151" s="289"/>
      <c r="L151" s="289"/>
      <c r="M151" s="289"/>
      <c r="N151" s="290"/>
      <c r="O151" s="290">
        <v>0</v>
      </c>
      <c r="P151" s="290">
        <v>0</v>
      </c>
      <c r="Q151" s="290"/>
      <c r="R151" s="290"/>
      <c r="S151" s="290"/>
      <c r="T151" s="290"/>
      <c r="U151" s="290"/>
      <c r="V151" s="290">
        <v>0</v>
      </c>
      <c r="W151" s="290"/>
      <c r="X151" s="290"/>
      <c r="Y151" s="290"/>
      <c r="Z151" s="290">
        <v>0</v>
      </c>
      <c r="AA151" s="366">
        <v>0</v>
      </c>
      <c r="AB151" s="291">
        <v>0</v>
      </c>
      <c r="AC151" s="291">
        <v>0</v>
      </c>
      <c r="AD151" s="291">
        <v>0</v>
      </c>
      <c r="AE151" s="291">
        <v>0</v>
      </c>
      <c r="AF151" s="291">
        <v>0</v>
      </c>
      <c r="AG151" s="291">
        <v>0</v>
      </c>
      <c r="AH151" s="291">
        <v>0</v>
      </c>
      <c r="AI151" s="291">
        <v>0</v>
      </c>
      <c r="AJ151" s="291">
        <v>0</v>
      </c>
      <c r="AK151" s="291">
        <v>0</v>
      </c>
      <c r="AL151" s="291">
        <v>0</v>
      </c>
      <c r="AM151" s="367">
        <f t="shared" si="3"/>
        <v>0</v>
      </c>
    </row>
    <row r="152" spans="1:39" s="107" customFormat="1" ht="15" customHeight="1">
      <c r="A152" s="113" t="s">
        <v>237</v>
      </c>
      <c r="B152" s="114">
        <v>19</v>
      </c>
      <c r="C152" s="277">
        <v>0</v>
      </c>
      <c r="D152" s="278">
        <v>0</v>
      </c>
      <c r="E152" s="278"/>
      <c r="F152" s="278"/>
      <c r="G152" s="278"/>
      <c r="H152" s="278"/>
      <c r="I152" s="278"/>
      <c r="J152" s="278">
        <v>0</v>
      </c>
      <c r="K152" s="278"/>
      <c r="L152" s="278"/>
      <c r="M152" s="278"/>
      <c r="N152" s="279"/>
      <c r="O152" s="279">
        <v>0</v>
      </c>
      <c r="P152" s="279">
        <v>0</v>
      </c>
      <c r="Q152" s="279"/>
      <c r="R152" s="279"/>
      <c r="S152" s="279"/>
      <c r="T152" s="279"/>
      <c r="U152" s="279"/>
      <c r="V152" s="279">
        <v>0</v>
      </c>
      <c r="W152" s="279"/>
      <c r="X152" s="279"/>
      <c r="Y152" s="279"/>
      <c r="Z152" s="279">
        <v>0</v>
      </c>
      <c r="AA152" s="364">
        <v>0</v>
      </c>
      <c r="AB152" s="280">
        <v>0</v>
      </c>
      <c r="AC152" s="280">
        <v>0</v>
      </c>
      <c r="AD152" s="280">
        <v>0</v>
      </c>
      <c r="AE152" s="280">
        <v>0</v>
      </c>
      <c r="AF152" s="280">
        <v>0</v>
      </c>
      <c r="AG152" s="280">
        <v>0</v>
      </c>
      <c r="AH152" s="280">
        <v>0</v>
      </c>
      <c r="AI152" s="280">
        <v>0</v>
      </c>
      <c r="AJ152" s="280">
        <v>0</v>
      </c>
      <c r="AK152" s="280">
        <v>0</v>
      </c>
      <c r="AL152" s="280">
        <v>0</v>
      </c>
      <c r="AM152" s="365">
        <f t="shared" si="3"/>
        <v>0</v>
      </c>
    </row>
    <row r="153" spans="1:39" s="107" customFormat="1" ht="15" customHeight="1">
      <c r="A153" s="108" t="s">
        <v>238</v>
      </c>
      <c r="B153" s="121">
        <v>20</v>
      </c>
      <c r="C153" s="124">
        <v>-189720453</v>
      </c>
      <c r="D153" s="124">
        <v>-175133271</v>
      </c>
      <c r="E153" s="124">
        <v>50321786</v>
      </c>
      <c r="F153" s="124">
        <v>-141447382</v>
      </c>
      <c r="G153" s="124">
        <v>2058676</v>
      </c>
      <c r="H153" s="124">
        <v>-195661702</v>
      </c>
      <c r="I153" s="124">
        <v>-394602818</v>
      </c>
      <c r="J153" s="124">
        <v>-400967893</v>
      </c>
      <c r="K153" s="124">
        <v>-307075455</v>
      </c>
      <c r="L153" s="124">
        <v>-236792330</v>
      </c>
      <c r="M153" s="124">
        <v>-887402180</v>
      </c>
      <c r="N153" s="124">
        <v>-276824257</v>
      </c>
      <c r="O153" s="124">
        <v>-420514291</v>
      </c>
      <c r="P153" s="124">
        <v>-49880621</v>
      </c>
      <c r="Q153" s="124">
        <v>80525775</v>
      </c>
      <c r="R153" s="124">
        <v>290833926</v>
      </c>
      <c r="S153" s="124">
        <v>-34811546</v>
      </c>
      <c r="T153" s="124">
        <v>618754242</v>
      </c>
      <c r="U153" s="124">
        <v>969513402</v>
      </c>
      <c r="V153" s="124">
        <v>1504531335</v>
      </c>
      <c r="W153" s="124">
        <v>-44927274</v>
      </c>
      <c r="X153" s="124">
        <v>203950321</v>
      </c>
      <c r="Y153" s="124">
        <v>108418363</v>
      </c>
      <c r="Z153" s="124">
        <v>144125067</v>
      </c>
      <c r="AA153" s="362">
        <f>AA150-AA151-AA152</f>
        <v>-398961519.46358591</v>
      </c>
      <c r="AB153" s="362">
        <f t="shared" ref="AB153:AL153" si="8">AB150-AB151-AB152</f>
        <v>-1620401480.9183569</v>
      </c>
      <c r="AC153" s="362">
        <f t="shared" si="8"/>
        <v>-1066797324.3016038</v>
      </c>
      <c r="AD153" s="362">
        <f t="shared" si="8"/>
        <v>-658970073.14220464</v>
      </c>
      <c r="AE153" s="362">
        <f t="shared" si="8"/>
        <v>-699138914.25331533</v>
      </c>
      <c r="AF153" s="362">
        <f t="shared" si="8"/>
        <v>-684233978.55348682</v>
      </c>
      <c r="AG153" s="362">
        <f t="shared" si="8"/>
        <v>-671236943.37217617</v>
      </c>
      <c r="AH153" s="362">
        <f t="shared" si="8"/>
        <v>-980932657.55348694</v>
      </c>
      <c r="AI153" s="362">
        <f t="shared" si="8"/>
        <v>-894643115.58277607</v>
      </c>
      <c r="AJ153" s="362">
        <f t="shared" si="8"/>
        <v>-637000059.03884029</v>
      </c>
      <c r="AK153" s="362">
        <f t="shared" si="8"/>
        <v>-803654994.40146351</v>
      </c>
      <c r="AL153" s="362">
        <f t="shared" si="8"/>
        <v>-660028703.03884029</v>
      </c>
      <c r="AM153" s="363">
        <f t="shared" si="3"/>
        <v>-9775999763.6201363</v>
      </c>
    </row>
    <row r="154" spans="1:39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2" t="s">
        <v>239</v>
      </c>
      <c r="AA154" s="294">
        <f>AA150-AA151-AA153</f>
        <v>0</v>
      </c>
      <c r="AB154" s="294">
        <f t="shared" ref="AB154:AM154" si="9">AB150-AB151-AB153</f>
        <v>0</v>
      </c>
      <c r="AC154" s="294">
        <f t="shared" si="9"/>
        <v>0</v>
      </c>
      <c r="AD154" s="294">
        <f t="shared" si="9"/>
        <v>0</v>
      </c>
      <c r="AE154" s="294">
        <f t="shared" si="9"/>
        <v>0</v>
      </c>
      <c r="AF154" s="294">
        <f t="shared" si="9"/>
        <v>0</v>
      </c>
      <c r="AG154" s="294">
        <f t="shared" si="9"/>
        <v>0</v>
      </c>
      <c r="AH154" s="294">
        <f t="shared" si="9"/>
        <v>0</v>
      </c>
      <c r="AI154" s="294">
        <f t="shared" si="9"/>
        <v>0</v>
      </c>
      <c r="AJ154" s="294">
        <f t="shared" si="9"/>
        <v>0</v>
      </c>
      <c r="AK154" s="294">
        <f t="shared" si="9"/>
        <v>0</v>
      </c>
      <c r="AL154" s="294">
        <f t="shared" si="9"/>
        <v>0</v>
      </c>
      <c r="AM154" s="294">
        <f t="shared" si="9"/>
        <v>0</v>
      </c>
    </row>
    <row r="155" spans="1:39" ht="15" customHeight="1">
      <c r="A155" s="51" t="s">
        <v>240</v>
      </c>
      <c r="B155" s="144" t="s">
        <v>241</v>
      </c>
      <c r="C155" s="53" t="s">
        <v>66</v>
      </c>
      <c r="D155" s="54" t="s">
        <v>67</v>
      </c>
      <c r="E155" s="54" t="s">
        <v>68</v>
      </c>
      <c r="F155" s="53" t="s">
        <v>69</v>
      </c>
      <c r="G155" s="53" t="s">
        <v>70</v>
      </c>
      <c r="H155" s="53" t="s">
        <v>71</v>
      </c>
      <c r="I155" s="53" t="s">
        <v>72</v>
      </c>
      <c r="J155" s="54" t="s">
        <v>73</v>
      </c>
      <c r="K155" s="54" t="s">
        <v>74</v>
      </c>
      <c r="L155" s="54" t="s">
        <v>75</v>
      </c>
      <c r="M155" s="54" t="s">
        <v>76</v>
      </c>
      <c r="N155" s="53" t="s">
        <v>77</v>
      </c>
      <c r="O155" s="53" t="s">
        <v>78</v>
      </c>
      <c r="P155" s="53" t="s">
        <v>79</v>
      </c>
      <c r="Q155" s="53" t="s">
        <v>80</v>
      </c>
      <c r="R155" s="53" t="s">
        <v>81</v>
      </c>
      <c r="S155" s="53" t="s">
        <v>82</v>
      </c>
      <c r="T155" s="53" t="s">
        <v>83</v>
      </c>
      <c r="U155" s="53" t="s">
        <v>84</v>
      </c>
      <c r="V155" s="53" t="s">
        <v>85</v>
      </c>
      <c r="W155" s="53" t="s">
        <v>86</v>
      </c>
      <c r="X155" s="53" t="s">
        <v>87</v>
      </c>
      <c r="Y155" s="53" t="s">
        <v>88</v>
      </c>
      <c r="Z155" s="53" t="s">
        <v>89</v>
      </c>
      <c r="AA155" s="53" t="s">
        <v>8</v>
      </c>
      <c r="AB155" s="53" t="s">
        <v>9</v>
      </c>
      <c r="AC155" s="53" t="s">
        <v>10</v>
      </c>
      <c r="AD155" s="53" t="s">
        <v>11</v>
      </c>
      <c r="AE155" s="53" t="s">
        <v>12</v>
      </c>
      <c r="AF155" s="53" t="s">
        <v>13</v>
      </c>
      <c r="AG155" s="53" t="s">
        <v>14</v>
      </c>
      <c r="AH155" s="53" t="s">
        <v>15</v>
      </c>
      <c r="AI155" s="53" t="s">
        <v>16</v>
      </c>
      <c r="AJ155" s="53" t="s">
        <v>17</v>
      </c>
      <c r="AK155" s="53" t="s">
        <v>18</v>
      </c>
      <c r="AL155" s="53" t="s">
        <v>19</v>
      </c>
    </row>
    <row r="156" spans="1:39" ht="15" customHeight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</row>
    <row r="157" spans="1:39" ht="15" customHeight="1">
      <c r="A157" s="145" t="s">
        <v>243</v>
      </c>
      <c r="B157" s="146">
        <v>2</v>
      </c>
      <c r="C157" s="295">
        <v>-189720453</v>
      </c>
      <c r="D157" s="295">
        <v>-175133271</v>
      </c>
      <c r="E157" s="295">
        <v>50321786</v>
      </c>
      <c r="F157" s="295">
        <v>-141447382</v>
      </c>
      <c r="G157" s="295">
        <v>2058676</v>
      </c>
      <c r="H157" s="295">
        <v>-195661702</v>
      </c>
      <c r="I157" s="295">
        <v>-394602818</v>
      </c>
      <c r="J157" s="295">
        <v>-400967893</v>
      </c>
      <c r="K157" s="295">
        <v>-307075455</v>
      </c>
      <c r="L157" s="295">
        <v>-236792330</v>
      </c>
      <c r="M157" s="295">
        <v>-887402180</v>
      </c>
      <c r="N157" s="339">
        <v>-276824257</v>
      </c>
      <c r="O157" s="339">
        <v>-420514291</v>
      </c>
      <c r="P157" s="339">
        <v>-49880621</v>
      </c>
      <c r="Q157" s="339">
        <v>80525775</v>
      </c>
      <c r="R157" s="339">
        <v>290833926</v>
      </c>
      <c r="S157" s="339">
        <v>-34811546</v>
      </c>
      <c r="T157" s="339">
        <v>618754242</v>
      </c>
      <c r="U157" s="339">
        <v>969513402</v>
      </c>
      <c r="V157" s="339">
        <v>1504531335</v>
      </c>
      <c r="W157" s="339">
        <f>W150</f>
        <v>-44927274</v>
      </c>
      <c r="X157" s="339">
        <v>203950321</v>
      </c>
      <c r="Y157" s="339">
        <v>108418363</v>
      </c>
      <c r="Z157" s="339">
        <v>144125067</v>
      </c>
      <c r="AA157" s="340">
        <f>SUMIFS([1]!Data_CF[Value],[1]!Data_CF[Index CF],'Dong Lam'!$B157,[1]!Data_CF[TenCongTyID],'Dong Lam'!$B$1,[1]!Data_CF[Thang.Nam],'Dong Lam'!AA$155)</f>
        <v>0</v>
      </c>
      <c r="AB157" s="340">
        <f>SUMIFS([1]!Data_CF[Value],[1]!Data_CF[Index CF],'Dong Lam'!$B157,[1]!Data_CF[TenCongTyID],'Dong Lam'!$B$1,[1]!Data_CF[Thang.Nam],'Dong Lam'!AB$155)</f>
        <v>0</v>
      </c>
      <c r="AC157" s="340">
        <f>SUMIFS([1]!Data_CF[Value],[1]!Data_CF[Index CF],'Dong Lam'!$B157,[1]!Data_CF[TenCongTyID],'Dong Lam'!$B$1,[1]!Data_CF[Thang.Nam],'Dong Lam'!AC$155)</f>
        <v>0</v>
      </c>
      <c r="AD157" s="340">
        <f>SUMIFS([1]!Data_CF[Value],[1]!Data_CF[Index CF],'Dong Lam'!$B157,[1]!Data_CF[TenCongTyID],'Dong Lam'!$B$1,[1]!Data_CF[Thang.Nam],'Dong Lam'!AD$155)</f>
        <v>0</v>
      </c>
      <c r="AE157" s="340">
        <f>SUMIFS([1]!Data_CF[Value],[1]!Data_CF[Index CF],'Dong Lam'!$B157,[1]!Data_CF[TenCongTyID],'Dong Lam'!$B$1,[1]!Data_CF[Thang.Nam],'Dong Lam'!AE$155)</f>
        <v>0</v>
      </c>
      <c r="AF157" s="340">
        <f>SUMIFS([1]!Data_CF[Value],[1]!Data_CF[Index CF],'Dong Lam'!$B157,[1]!Data_CF[TenCongTyID],'Dong Lam'!$B$1,[1]!Data_CF[Thang.Nam],'Dong Lam'!AF$155)</f>
        <v>0</v>
      </c>
      <c r="AG157" s="340">
        <f>SUMIFS([1]!Data_CF[Value],[1]!Data_CF[Index CF],'Dong Lam'!$B157,[1]!Data_CF[TenCongTyID],'Dong Lam'!$B$1,[1]!Data_CF[Thang.Nam],'Dong Lam'!AG$155)</f>
        <v>0</v>
      </c>
      <c r="AH157" s="340">
        <f>SUMIFS([1]!Data_CF[Value],[1]!Data_CF[Index CF],'Dong Lam'!$B157,[1]!Data_CF[TenCongTyID],'Dong Lam'!$B$1,[1]!Data_CF[Thang.Nam],'Dong Lam'!AH$155)</f>
        <v>0</v>
      </c>
      <c r="AI157" s="340">
        <f>SUMIFS([1]!Data_CF[Value],[1]!Data_CF[Index CF],'Dong Lam'!$B157,[1]!Data_CF[TenCongTyID],'Dong Lam'!$B$1,[1]!Data_CF[Thang.Nam],'Dong Lam'!AI$155)</f>
        <v>0</v>
      </c>
      <c r="AJ157" s="340">
        <f>SUMIFS([1]!Data_CF[Value],[1]!Data_CF[Index CF],'Dong Lam'!$B157,[1]!Data_CF[TenCongTyID],'Dong Lam'!$B$1,[1]!Data_CF[Thang.Nam],'Dong Lam'!AJ$155)</f>
        <v>0</v>
      </c>
      <c r="AK157" s="340">
        <f>SUMIFS([1]!Data_CF[Value],[1]!Data_CF[Index CF],'Dong Lam'!$B157,[1]!Data_CF[TenCongTyID],'Dong Lam'!$B$1,[1]!Data_CF[Thang.Nam],'Dong Lam'!AK$155)</f>
        <v>0</v>
      </c>
      <c r="AL157" s="340">
        <f>SUMIFS([1]!Data_CF[Value],[1]!Data_CF[Index CF],'Dong Lam'!$B157,[1]!Data_CF[TenCongTyID],'Dong Lam'!$B$1,[1]!Data_CF[Thang.Nam],'Dong Lam'!AL$155)</f>
        <v>0</v>
      </c>
    </row>
    <row r="158" spans="1:39" ht="15" customHeight="1">
      <c r="A158" s="149" t="s">
        <v>244</v>
      </c>
      <c r="B158" s="150">
        <v>3</v>
      </c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>
        <v>0</v>
      </c>
      <c r="AA158" s="298">
        <f>SUMIFS([1]!Data_CF[Value],[1]!Data_CF[Index CF],'Dong Lam'!$B158,[1]!Data_CF[TenCongTyID],'Dong Lam'!$B$1,[1]!Data_CF[Thang.Nam],'Dong Lam'!AA$155)</f>
        <v>0</v>
      </c>
      <c r="AB158" s="298">
        <f>SUMIFS([1]!Data_CF[Value],[1]!Data_CF[Index CF],'Dong Lam'!$B158,[1]!Data_CF[TenCongTyID],'Dong Lam'!$B$1,[1]!Data_CF[Thang.Nam],'Dong Lam'!AB$155)</f>
        <v>0</v>
      </c>
      <c r="AC158" s="298">
        <f>SUMIFS([1]!Data_CF[Value],[1]!Data_CF[Index CF],'Dong Lam'!$B158,[1]!Data_CF[TenCongTyID],'Dong Lam'!$B$1,[1]!Data_CF[Thang.Nam],'Dong Lam'!AC$155)</f>
        <v>0</v>
      </c>
      <c r="AD158" s="298">
        <f>SUMIFS([1]!Data_CF[Value],[1]!Data_CF[Index CF],'Dong Lam'!$B158,[1]!Data_CF[TenCongTyID],'Dong Lam'!$B$1,[1]!Data_CF[Thang.Nam],'Dong Lam'!AD$155)</f>
        <v>0</v>
      </c>
      <c r="AE158" s="298">
        <f>SUMIFS([1]!Data_CF[Value],[1]!Data_CF[Index CF],'Dong Lam'!$B158,[1]!Data_CF[TenCongTyID],'Dong Lam'!$B$1,[1]!Data_CF[Thang.Nam],'Dong Lam'!AE$155)</f>
        <v>0</v>
      </c>
      <c r="AF158" s="298">
        <f>SUMIFS([1]!Data_CF[Value],[1]!Data_CF[Index CF],'Dong Lam'!$B158,[1]!Data_CF[TenCongTyID],'Dong Lam'!$B$1,[1]!Data_CF[Thang.Nam],'Dong Lam'!AF$155)</f>
        <v>0</v>
      </c>
      <c r="AG158" s="298">
        <f>SUMIFS([1]!Data_CF[Value],[1]!Data_CF[Index CF],'Dong Lam'!$B158,[1]!Data_CF[TenCongTyID],'Dong Lam'!$B$1,[1]!Data_CF[Thang.Nam],'Dong Lam'!AG$155)</f>
        <v>0</v>
      </c>
      <c r="AH158" s="298">
        <f>SUMIFS([1]!Data_CF[Value],[1]!Data_CF[Index CF],'Dong Lam'!$B158,[1]!Data_CF[TenCongTyID],'Dong Lam'!$B$1,[1]!Data_CF[Thang.Nam],'Dong Lam'!AH$155)</f>
        <v>0</v>
      </c>
      <c r="AI158" s="298">
        <f>SUMIFS([1]!Data_CF[Value],[1]!Data_CF[Index CF],'Dong Lam'!$B158,[1]!Data_CF[TenCongTyID],'Dong Lam'!$B$1,[1]!Data_CF[Thang.Nam],'Dong Lam'!AI$155)</f>
        <v>0</v>
      </c>
      <c r="AJ158" s="298">
        <f>SUMIFS([1]!Data_CF[Value],[1]!Data_CF[Index CF],'Dong Lam'!$B158,[1]!Data_CF[TenCongTyID],'Dong Lam'!$B$1,[1]!Data_CF[Thang.Nam],'Dong Lam'!AJ$155)</f>
        <v>0</v>
      </c>
      <c r="AK158" s="298">
        <f>SUMIFS([1]!Data_CF[Value],[1]!Data_CF[Index CF],'Dong Lam'!$B158,[1]!Data_CF[TenCongTyID],'Dong Lam'!$B$1,[1]!Data_CF[Thang.Nam],'Dong Lam'!AK$155)</f>
        <v>0</v>
      </c>
      <c r="AL158" s="298">
        <f>SUMIFS([1]!Data_CF[Value],[1]!Data_CF[Index CF],'Dong Lam'!$B158,[1]!Data_CF[TenCongTyID],'Dong Lam'!$B$1,[1]!Data_CF[Thang.Nam],'Dong Lam'!AL$155)</f>
        <v>0</v>
      </c>
    </row>
    <row r="159" spans="1:39" ht="15" customHeight="1">
      <c r="A159" s="153" t="s">
        <v>245</v>
      </c>
      <c r="B159" s="154">
        <v>4</v>
      </c>
      <c r="C159" s="299">
        <v>331249956</v>
      </c>
      <c r="D159" s="299">
        <v>331249956</v>
      </c>
      <c r="E159" s="299">
        <v>332083289</v>
      </c>
      <c r="F159" s="299">
        <v>336375102</v>
      </c>
      <c r="G159" s="299">
        <v>350875102</v>
      </c>
      <c r="H159" s="300">
        <v>328075101</v>
      </c>
      <c r="I159" s="300">
        <v>332253010</v>
      </c>
      <c r="J159" s="300">
        <v>332540768</v>
      </c>
      <c r="K159" s="300">
        <v>328308488</v>
      </c>
      <c r="L159" s="300">
        <v>324936189</v>
      </c>
      <c r="M159" s="300">
        <v>324936189</v>
      </c>
      <c r="N159" s="300">
        <v>324936189</v>
      </c>
      <c r="O159" s="300">
        <v>324936189</v>
      </c>
      <c r="P159" s="300">
        <v>324936189</v>
      </c>
      <c r="Q159" s="300">
        <v>329551584</v>
      </c>
      <c r="R159" s="300">
        <v>329551584</v>
      </c>
      <c r="S159" s="300">
        <v>329551584</v>
      </c>
      <c r="T159" s="300">
        <v>335010843</v>
      </c>
      <c r="U159" s="300">
        <v>336996028</v>
      </c>
      <c r="V159" s="300">
        <v>340112546</v>
      </c>
      <c r="W159" s="300">
        <v>342133709</v>
      </c>
      <c r="X159" s="300">
        <v>342133709</v>
      </c>
      <c r="Y159" s="300">
        <v>347910129</v>
      </c>
      <c r="Z159" s="300">
        <v>355474699</v>
      </c>
      <c r="AA159" s="301">
        <f>SUMIFS([1]!Data_CF[Value],[1]!Data_CF[Index CF],'Dong Lam'!$B159,[1]!Data_CF[TenCongTyID],'Dong Lam'!$B$1,[1]!Data_CF[Thang.Nam],'Dong Lam'!AA$155)</f>
        <v>0</v>
      </c>
      <c r="AB159" s="301">
        <f>SUMIFS([1]!Data_CF[Value],[1]!Data_CF[Index CF],'Dong Lam'!$B159,[1]!Data_CF[TenCongTyID],'Dong Lam'!$B$1,[1]!Data_CF[Thang.Nam],'Dong Lam'!AB$155)</f>
        <v>0</v>
      </c>
      <c r="AC159" s="301">
        <f>SUMIFS([1]!Data_CF[Value],[1]!Data_CF[Index CF],'Dong Lam'!$B159,[1]!Data_CF[TenCongTyID],'Dong Lam'!$B$1,[1]!Data_CF[Thang.Nam],'Dong Lam'!AC$155)</f>
        <v>0</v>
      </c>
      <c r="AD159" s="301">
        <f>SUMIFS([1]!Data_CF[Value],[1]!Data_CF[Index CF],'Dong Lam'!$B159,[1]!Data_CF[TenCongTyID],'Dong Lam'!$B$1,[1]!Data_CF[Thang.Nam],'Dong Lam'!AD$155)</f>
        <v>0</v>
      </c>
      <c r="AE159" s="301">
        <f>SUMIFS([1]!Data_CF[Value],[1]!Data_CF[Index CF],'Dong Lam'!$B159,[1]!Data_CF[TenCongTyID],'Dong Lam'!$B$1,[1]!Data_CF[Thang.Nam],'Dong Lam'!AE$155)</f>
        <v>0</v>
      </c>
      <c r="AF159" s="301">
        <f>SUMIFS([1]!Data_CF[Value],[1]!Data_CF[Index CF],'Dong Lam'!$B159,[1]!Data_CF[TenCongTyID],'Dong Lam'!$B$1,[1]!Data_CF[Thang.Nam],'Dong Lam'!AF$155)</f>
        <v>0</v>
      </c>
      <c r="AG159" s="301">
        <f>SUMIFS([1]!Data_CF[Value],[1]!Data_CF[Index CF],'Dong Lam'!$B159,[1]!Data_CF[TenCongTyID],'Dong Lam'!$B$1,[1]!Data_CF[Thang.Nam],'Dong Lam'!AG$155)</f>
        <v>0</v>
      </c>
      <c r="AH159" s="301">
        <f>SUMIFS([1]!Data_CF[Value],[1]!Data_CF[Index CF],'Dong Lam'!$B159,[1]!Data_CF[TenCongTyID],'Dong Lam'!$B$1,[1]!Data_CF[Thang.Nam],'Dong Lam'!AH$155)</f>
        <v>0</v>
      </c>
      <c r="AI159" s="301">
        <f>SUMIFS([1]!Data_CF[Value],[1]!Data_CF[Index CF],'Dong Lam'!$B159,[1]!Data_CF[TenCongTyID],'Dong Lam'!$B$1,[1]!Data_CF[Thang.Nam],'Dong Lam'!AI$155)</f>
        <v>0</v>
      </c>
      <c r="AJ159" s="301">
        <f>SUMIFS([1]!Data_CF[Value],[1]!Data_CF[Index CF],'Dong Lam'!$B159,[1]!Data_CF[TenCongTyID],'Dong Lam'!$B$1,[1]!Data_CF[Thang.Nam],'Dong Lam'!AJ$155)</f>
        <v>0</v>
      </c>
      <c r="AK159" s="301">
        <f>SUMIFS([1]!Data_CF[Value],[1]!Data_CF[Index CF],'Dong Lam'!$B159,[1]!Data_CF[TenCongTyID],'Dong Lam'!$B$1,[1]!Data_CF[Thang.Nam],'Dong Lam'!AK$155)</f>
        <v>0</v>
      </c>
      <c r="AL159" s="301">
        <f>SUMIFS([1]!Data_CF[Value],[1]!Data_CF[Index CF],'Dong Lam'!$B159,[1]!Data_CF[TenCongTyID],'Dong Lam'!$B$1,[1]!Data_CF[Thang.Nam],'Dong Lam'!AL$155)</f>
        <v>0</v>
      </c>
    </row>
    <row r="160" spans="1:39" ht="15" customHeight="1">
      <c r="A160" s="153" t="s">
        <v>246</v>
      </c>
      <c r="B160" s="154">
        <v>5</v>
      </c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>
        <v>0</v>
      </c>
      <c r="AA160" s="303">
        <f>SUMIFS([1]!Data_CF[Value],[1]!Data_CF[Index CF],'Dong Lam'!$B160,[1]!Data_CF[TenCongTyID],'Dong Lam'!$B$1,[1]!Data_CF[Thang.Nam],'Dong Lam'!AA$155)</f>
        <v>0</v>
      </c>
      <c r="AB160" s="303">
        <f>SUMIFS([1]!Data_CF[Value],[1]!Data_CF[Index CF],'Dong Lam'!$B160,[1]!Data_CF[TenCongTyID],'Dong Lam'!$B$1,[1]!Data_CF[Thang.Nam],'Dong Lam'!AB$155)</f>
        <v>0</v>
      </c>
      <c r="AC160" s="303">
        <f>SUMIFS([1]!Data_CF[Value],[1]!Data_CF[Index CF],'Dong Lam'!$B160,[1]!Data_CF[TenCongTyID],'Dong Lam'!$B$1,[1]!Data_CF[Thang.Nam],'Dong Lam'!AC$155)</f>
        <v>0</v>
      </c>
      <c r="AD160" s="303">
        <f>SUMIFS([1]!Data_CF[Value],[1]!Data_CF[Index CF],'Dong Lam'!$B160,[1]!Data_CF[TenCongTyID],'Dong Lam'!$B$1,[1]!Data_CF[Thang.Nam],'Dong Lam'!AD$155)</f>
        <v>0</v>
      </c>
      <c r="AE160" s="303">
        <f>SUMIFS([1]!Data_CF[Value],[1]!Data_CF[Index CF],'Dong Lam'!$B160,[1]!Data_CF[TenCongTyID],'Dong Lam'!$B$1,[1]!Data_CF[Thang.Nam],'Dong Lam'!AE$155)</f>
        <v>0</v>
      </c>
      <c r="AF160" s="303">
        <f>SUMIFS([1]!Data_CF[Value],[1]!Data_CF[Index CF],'Dong Lam'!$B160,[1]!Data_CF[TenCongTyID],'Dong Lam'!$B$1,[1]!Data_CF[Thang.Nam],'Dong Lam'!AF$155)</f>
        <v>0</v>
      </c>
      <c r="AG160" s="303">
        <f>SUMIFS([1]!Data_CF[Value],[1]!Data_CF[Index CF],'Dong Lam'!$B160,[1]!Data_CF[TenCongTyID],'Dong Lam'!$B$1,[1]!Data_CF[Thang.Nam],'Dong Lam'!AG$155)</f>
        <v>0</v>
      </c>
      <c r="AH160" s="303">
        <f>SUMIFS([1]!Data_CF[Value],[1]!Data_CF[Index CF],'Dong Lam'!$B160,[1]!Data_CF[TenCongTyID],'Dong Lam'!$B$1,[1]!Data_CF[Thang.Nam],'Dong Lam'!AH$155)</f>
        <v>0</v>
      </c>
      <c r="AI160" s="303">
        <f>SUMIFS([1]!Data_CF[Value],[1]!Data_CF[Index CF],'Dong Lam'!$B160,[1]!Data_CF[TenCongTyID],'Dong Lam'!$B$1,[1]!Data_CF[Thang.Nam],'Dong Lam'!AI$155)</f>
        <v>0</v>
      </c>
      <c r="AJ160" s="303">
        <f>SUMIFS([1]!Data_CF[Value],[1]!Data_CF[Index CF],'Dong Lam'!$B160,[1]!Data_CF[TenCongTyID],'Dong Lam'!$B$1,[1]!Data_CF[Thang.Nam],'Dong Lam'!AJ$155)</f>
        <v>0</v>
      </c>
      <c r="AK160" s="303">
        <f>SUMIFS([1]!Data_CF[Value],[1]!Data_CF[Index CF],'Dong Lam'!$B160,[1]!Data_CF[TenCongTyID],'Dong Lam'!$B$1,[1]!Data_CF[Thang.Nam],'Dong Lam'!AK$155)</f>
        <v>0</v>
      </c>
      <c r="AL160" s="303">
        <f>SUMIFS([1]!Data_CF[Value],[1]!Data_CF[Index CF],'Dong Lam'!$B160,[1]!Data_CF[TenCongTyID],'Dong Lam'!$B$1,[1]!Data_CF[Thang.Nam],'Dong Lam'!AL$155)</f>
        <v>0</v>
      </c>
    </row>
    <row r="161" spans="1:38" ht="14">
      <c r="A161" s="153" t="s">
        <v>247</v>
      </c>
      <c r="B161" s="154">
        <v>6</v>
      </c>
      <c r="C161" s="304"/>
      <c r="D161" s="304"/>
      <c r="E161" s="304"/>
      <c r="F161" s="304"/>
      <c r="G161" s="304"/>
      <c r="H161" s="304"/>
      <c r="I161" s="304"/>
      <c r="J161" s="304"/>
      <c r="K161" s="304"/>
      <c r="L161" s="304"/>
      <c r="M161" s="304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>
        <v>0</v>
      </c>
      <c r="AA161" s="303">
        <f>SUMIFS([1]!Data_CF[Value],[1]!Data_CF[Index CF],'Dong Lam'!$B161,[1]!Data_CF[TenCongTyID],'Dong Lam'!$B$1,[1]!Data_CF[Thang.Nam],'Dong Lam'!AA$155)</f>
        <v>0</v>
      </c>
      <c r="AB161" s="303">
        <f>SUMIFS([1]!Data_CF[Value],[1]!Data_CF[Index CF],'Dong Lam'!$B161,[1]!Data_CF[TenCongTyID],'Dong Lam'!$B$1,[1]!Data_CF[Thang.Nam],'Dong Lam'!AB$155)</f>
        <v>0</v>
      </c>
      <c r="AC161" s="303">
        <f>SUMIFS([1]!Data_CF[Value],[1]!Data_CF[Index CF],'Dong Lam'!$B161,[1]!Data_CF[TenCongTyID],'Dong Lam'!$B$1,[1]!Data_CF[Thang.Nam],'Dong Lam'!AC$155)</f>
        <v>0</v>
      </c>
      <c r="AD161" s="303">
        <f>SUMIFS([1]!Data_CF[Value],[1]!Data_CF[Index CF],'Dong Lam'!$B161,[1]!Data_CF[TenCongTyID],'Dong Lam'!$B$1,[1]!Data_CF[Thang.Nam],'Dong Lam'!AD$155)</f>
        <v>0</v>
      </c>
      <c r="AE161" s="303">
        <f>SUMIFS([1]!Data_CF[Value],[1]!Data_CF[Index CF],'Dong Lam'!$B161,[1]!Data_CF[TenCongTyID],'Dong Lam'!$B$1,[1]!Data_CF[Thang.Nam],'Dong Lam'!AE$155)</f>
        <v>0</v>
      </c>
      <c r="AF161" s="303">
        <f>SUMIFS([1]!Data_CF[Value],[1]!Data_CF[Index CF],'Dong Lam'!$B161,[1]!Data_CF[TenCongTyID],'Dong Lam'!$B$1,[1]!Data_CF[Thang.Nam],'Dong Lam'!AF$155)</f>
        <v>0</v>
      </c>
      <c r="AG161" s="303">
        <f>SUMIFS([1]!Data_CF[Value],[1]!Data_CF[Index CF],'Dong Lam'!$B161,[1]!Data_CF[TenCongTyID],'Dong Lam'!$B$1,[1]!Data_CF[Thang.Nam],'Dong Lam'!AG$155)</f>
        <v>0</v>
      </c>
      <c r="AH161" s="303">
        <f>SUMIFS([1]!Data_CF[Value],[1]!Data_CF[Index CF],'Dong Lam'!$B161,[1]!Data_CF[TenCongTyID],'Dong Lam'!$B$1,[1]!Data_CF[Thang.Nam],'Dong Lam'!AH$155)</f>
        <v>0</v>
      </c>
      <c r="AI161" s="303">
        <f>SUMIFS([1]!Data_CF[Value],[1]!Data_CF[Index CF],'Dong Lam'!$B161,[1]!Data_CF[TenCongTyID],'Dong Lam'!$B$1,[1]!Data_CF[Thang.Nam],'Dong Lam'!AI$155)</f>
        <v>0</v>
      </c>
      <c r="AJ161" s="303">
        <f>SUMIFS([1]!Data_CF[Value],[1]!Data_CF[Index CF],'Dong Lam'!$B161,[1]!Data_CF[TenCongTyID],'Dong Lam'!$B$1,[1]!Data_CF[Thang.Nam],'Dong Lam'!AJ$155)</f>
        <v>0</v>
      </c>
      <c r="AK161" s="303">
        <f>SUMIFS([1]!Data_CF[Value],[1]!Data_CF[Index CF],'Dong Lam'!$B161,[1]!Data_CF[TenCongTyID],'Dong Lam'!$B$1,[1]!Data_CF[Thang.Nam],'Dong Lam'!AK$155)</f>
        <v>0</v>
      </c>
      <c r="AL161" s="303">
        <f>SUMIFS([1]!Data_CF[Value],[1]!Data_CF[Index CF],'Dong Lam'!$B161,[1]!Data_CF[TenCongTyID],'Dong Lam'!$B$1,[1]!Data_CF[Thang.Nam],'Dong Lam'!AL$155)</f>
        <v>0</v>
      </c>
    </row>
    <row r="162" spans="1:38" ht="15" customHeight="1">
      <c r="A162" s="153" t="s">
        <v>248</v>
      </c>
      <c r="B162" s="154">
        <v>7</v>
      </c>
      <c r="C162" s="299">
        <v>-9382459</v>
      </c>
      <c r="D162" s="299">
        <v>-10579719</v>
      </c>
      <c r="E162" s="299">
        <v>-9899400</v>
      </c>
      <c r="F162" s="299">
        <v>-10580906</v>
      </c>
      <c r="G162" s="299">
        <v>-10872809</v>
      </c>
      <c r="H162" s="299">
        <v>-12253869</v>
      </c>
      <c r="I162" s="300">
        <v>-32961164</v>
      </c>
      <c r="J162" s="300">
        <v>-10484107</v>
      </c>
      <c r="K162" s="300">
        <v>-10990062</v>
      </c>
      <c r="L162" s="299">
        <v>-51973968</v>
      </c>
      <c r="M162" s="299">
        <v>-11239032</v>
      </c>
      <c r="N162" s="299">
        <v>-10871181</v>
      </c>
      <c r="O162" s="299">
        <v>-56610291</v>
      </c>
      <c r="P162" s="299">
        <v>-11478700</v>
      </c>
      <c r="Q162" s="299">
        <v>-10596772</v>
      </c>
      <c r="R162" s="299">
        <v>-57102611</v>
      </c>
      <c r="S162" s="299">
        <v>-11106781</v>
      </c>
      <c r="T162" s="299">
        <v>-10419655</v>
      </c>
      <c r="U162" s="299">
        <v>-56496007</v>
      </c>
      <c r="V162" s="299">
        <v>-7319275</v>
      </c>
      <c r="W162" s="299">
        <f>-W141</f>
        <v>-7346208</v>
      </c>
      <c r="X162" s="299">
        <v>-52495236</v>
      </c>
      <c r="Y162" s="299">
        <v>19072961</v>
      </c>
      <c r="Z162" s="299">
        <v>-18946348</v>
      </c>
      <c r="AA162" s="305">
        <f>SUMIFS([1]!Data_CF[Value],[1]!Data_CF[Index CF],'Dong Lam'!$B162,[1]!Data_CF[TenCongTyID],'Dong Lam'!$B$1,[1]!Data_CF[Thang.Nam],'Dong Lam'!AA$155)</f>
        <v>0</v>
      </c>
      <c r="AB162" s="305">
        <f>SUMIFS([1]!Data_CF[Value],[1]!Data_CF[Index CF],'Dong Lam'!$B162,[1]!Data_CF[TenCongTyID],'Dong Lam'!$B$1,[1]!Data_CF[Thang.Nam],'Dong Lam'!AB$155)</f>
        <v>0</v>
      </c>
      <c r="AC162" s="305">
        <f>SUMIFS([1]!Data_CF[Value],[1]!Data_CF[Index CF],'Dong Lam'!$B162,[1]!Data_CF[TenCongTyID],'Dong Lam'!$B$1,[1]!Data_CF[Thang.Nam],'Dong Lam'!AC$155)</f>
        <v>0</v>
      </c>
      <c r="AD162" s="305">
        <f>SUMIFS([1]!Data_CF[Value],[1]!Data_CF[Index CF],'Dong Lam'!$B162,[1]!Data_CF[TenCongTyID],'Dong Lam'!$B$1,[1]!Data_CF[Thang.Nam],'Dong Lam'!AD$155)</f>
        <v>0</v>
      </c>
      <c r="AE162" s="305">
        <f>SUMIFS([1]!Data_CF[Value],[1]!Data_CF[Index CF],'Dong Lam'!$B162,[1]!Data_CF[TenCongTyID],'Dong Lam'!$B$1,[1]!Data_CF[Thang.Nam],'Dong Lam'!AE$155)</f>
        <v>0</v>
      </c>
      <c r="AF162" s="305">
        <f>SUMIFS([1]!Data_CF[Value],[1]!Data_CF[Index CF],'Dong Lam'!$B162,[1]!Data_CF[TenCongTyID],'Dong Lam'!$B$1,[1]!Data_CF[Thang.Nam],'Dong Lam'!AF$155)</f>
        <v>0</v>
      </c>
      <c r="AG162" s="305">
        <f>SUMIFS([1]!Data_CF[Value],[1]!Data_CF[Index CF],'Dong Lam'!$B162,[1]!Data_CF[TenCongTyID],'Dong Lam'!$B$1,[1]!Data_CF[Thang.Nam],'Dong Lam'!AG$155)</f>
        <v>0</v>
      </c>
      <c r="AH162" s="305">
        <f>SUMIFS([1]!Data_CF[Value],[1]!Data_CF[Index CF],'Dong Lam'!$B162,[1]!Data_CF[TenCongTyID],'Dong Lam'!$B$1,[1]!Data_CF[Thang.Nam],'Dong Lam'!AH$155)</f>
        <v>0</v>
      </c>
      <c r="AI162" s="305">
        <f>SUMIFS([1]!Data_CF[Value],[1]!Data_CF[Index CF],'Dong Lam'!$B162,[1]!Data_CF[TenCongTyID],'Dong Lam'!$B$1,[1]!Data_CF[Thang.Nam],'Dong Lam'!AI$155)</f>
        <v>0</v>
      </c>
      <c r="AJ162" s="305">
        <f>SUMIFS([1]!Data_CF[Value],[1]!Data_CF[Index CF],'Dong Lam'!$B162,[1]!Data_CF[TenCongTyID],'Dong Lam'!$B$1,[1]!Data_CF[Thang.Nam],'Dong Lam'!AJ$155)</f>
        <v>0</v>
      </c>
      <c r="AK162" s="305">
        <f>SUMIFS([1]!Data_CF[Value],[1]!Data_CF[Index CF],'Dong Lam'!$B162,[1]!Data_CF[TenCongTyID],'Dong Lam'!$B$1,[1]!Data_CF[Thang.Nam],'Dong Lam'!AK$155)</f>
        <v>0</v>
      </c>
      <c r="AL162" s="305">
        <f>SUMIFS([1]!Data_CF[Value],[1]!Data_CF[Index CF],'Dong Lam'!$B162,[1]!Data_CF[TenCongTyID],'Dong Lam'!$B$1,[1]!Data_CF[Thang.Nam],'Dong Lam'!AL$155)</f>
        <v>0</v>
      </c>
    </row>
    <row r="163" spans="1:38" ht="15" customHeight="1">
      <c r="A163" s="153" t="s">
        <v>249</v>
      </c>
      <c r="B163" s="154">
        <v>8</v>
      </c>
      <c r="C163" s="304"/>
      <c r="D163" s="304"/>
      <c r="E163" s="306"/>
      <c r="F163" s="304"/>
      <c r="G163" s="304"/>
      <c r="H163" s="304"/>
      <c r="I163" s="304"/>
      <c r="J163" s="304"/>
      <c r="K163" s="304"/>
      <c r="L163" s="304"/>
      <c r="M163" s="304"/>
      <c r="N163" s="304"/>
      <c r="O163" s="304"/>
      <c r="P163" s="304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>
        <v>0</v>
      </c>
      <c r="AA163" s="305">
        <f>SUMIFS([1]!Data_CF[Value],[1]!Data_CF[Index CF],'Dong Lam'!$B163,[1]!Data_CF[TenCongTyID],'Dong Lam'!$B$1,[1]!Data_CF[Thang.Nam],'Dong Lam'!AA$155)</f>
        <v>0</v>
      </c>
      <c r="AB163" s="305">
        <f>SUMIFS([1]!Data_CF[Value],[1]!Data_CF[Index CF],'Dong Lam'!$B163,[1]!Data_CF[TenCongTyID],'Dong Lam'!$B$1,[1]!Data_CF[Thang.Nam],'Dong Lam'!AB$155)</f>
        <v>0</v>
      </c>
      <c r="AC163" s="305">
        <f>SUMIFS([1]!Data_CF[Value],[1]!Data_CF[Index CF],'Dong Lam'!$B163,[1]!Data_CF[TenCongTyID],'Dong Lam'!$B$1,[1]!Data_CF[Thang.Nam],'Dong Lam'!AC$155)</f>
        <v>0</v>
      </c>
      <c r="AD163" s="305">
        <f>SUMIFS([1]!Data_CF[Value],[1]!Data_CF[Index CF],'Dong Lam'!$B163,[1]!Data_CF[TenCongTyID],'Dong Lam'!$B$1,[1]!Data_CF[Thang.Nam],'Dong Lam'!AD$155)</f>
        <v>0</v>
      </c>
      <c r="AE163" s="305">
        <f>SUMIFS([1]!Data_CF[Value],[1]!Data_CF[Index CF],'Dong Lam'!$B163,[1]!Data_CF[TenCongTyID],'Dong Lam'!$B$1,[1]!Data_CF[Thang.Nam],'Dong Lam'!AE$155)</f>
        <v>0</v>
      </c>
      <c r="AF163" s="305">
        <f>SUMIFS([1]!Data_CF[Value],[1]!Data_CF[Index CF],'Dong Lam'!$B163,[1]!Data_CF[TenCongTyID],'Dong Lam'!$B$1,[1]!Data_CF[Thang.Nam],'Dong Lam'!AF$155)</f>
        <v>0</v>
      </c>
      <c r="AG163" s="305">
        <f>SUMIFS([1]!Data_CF[Value],[1]!Data_CF[Index CF],'Dong Lam'!$B163,[1]!Data_CF[TenCongTyID],'Dong Lam'!$B$1,[1]!Data_CF[Thang.Nam],'Dong Lam'!AG$155)</f>
        <v>0</v>
      </c>
      <c r="AH163" s="305">
        <f>SUMIFS([1]!Data_CF[Value],[1]!Data_CF[Index CF],'Dong Lam'!$B163,[1]!Data_CF[TenCongTyID],'Dong Lam'!$B$1,[1]!Data_CF[Thang.Nam],'Dong Lam'!AH$155)</f>
        <v>0</v>
      </c>
      <c r="AI163" s="305">
        <f>SUMIFS([1]!Data_CF[Value],[1]!Data_CF[Index CF],'Dong Lam'!$B163,[1]!Data_CF[TenCongTyID],'Dong Lam'!$B$1,[1]!Data_CF[Thang.Nam],'Dong Lam'!AI$155)</f>
        <v>0</v>
      </c>
      <c r="AJ163" s="305">
        <f>SUMIFS([1]!Data_CF[Value],[1]!Data_CF[Index CF],'Dong Lam'!$B163,[1]!Data_CF[TenCongTyID],'Dong Lam'!$B$1,[1]!Data_CF[Thang.Nam],'Dong Lam'!AJ$155)</f>
        <v>0</v>
      </c>
      <c r="AK163" s="305">
        <f>SUMIFS([1]!Data_CF[Value],[1]!Data_CF[Index CF],'Dong Lam'!$B163,[1]!Data_CF[TenCongTyID],'Dong Lam'!$B$1,[1]!Data_CF[Thang.Nam],'Dong Lam'!AK$155)</f>
        <v>0</v>
      </c>
      <c r="AL163" s="305">
        <f>SUMIFS([1]!Data_CF[Value],[1]!Data_CF[Index CF],'Dong Lam'!$B163,[1]!Data_CF[TenCongTyID],'Dong Lam'!$B$1,[1]!Data_CF[Thang.Nam],'Dong Lam'!AL$155)</f>
        <v>0</v>
      </c>
    </row>
    <row r="164" spans="1:38" ht="15" customHeight="1">
      <c r="A164" s="153" t="s">
        <v>250</v>
      </c>
      <c r="B164" s="154">
        <v>9</v>
      </c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>
        <v>0</v>
      </c>
      <c r="AA164" s="303">
        <f>SUMIFS([1]!Data_CF[Value],[1]!Data_CF[Index CF],'Dong Lam'!$B164,[1]!Data_CF[TenCongTyID],'Dong Lam'!$B$1,[1]!Data_CF[Thang.Nam],'Dong Lam'!AA$155)</f>
        <v>0</v>
      </c>
      <c r="AB164" s="303">
        <f>SUMIFS([1]!Data_CF[Value],[1]!Data_CF[Index CF],'Dong Lam'!$B164,[1]!Data_CF[TenCongTyID],'Dong Lam'!$B$1,[1]!Data_CF[Thang.Nam],'Dong Lam'!AB$155)</f>
        <v>0</v>
      </c>
      <c r="AC164" s="303">
        <f>SUMIFS([1]!Data_CF[Value],[1]!Data_CF[Index CF],'Dong Lam'!$B164,[1]!Data_CF[TenCongTyID],'Dong Lam'!$B$1,[1]!Data_CF[Thang.Nam],'Dong Lam'!AC$155)</f>
        <v>0</v>
      </c>
      <c r="AD164" s="303">
        <f>SUMIFS([1]!Data_CF[Value],[1]!Data_CF[Index CF],'Dong Lam'!$B164,[1]!Data_CF[TenCongTyID],'Dong Lam'!$B$1,[1]!Data_CF[Thang.Nam],'Dong Lam'!AD$155)</f>
        <v>0</v>
      </c>
      <c r="AE164" s="303">
        <f>SUMIFS([1]!Data_CF[Value],[1]!Data_CF[Index CF],'Dong Lam'!$B164,[1]!Data_CF[TenCongTyID],'Dong Lam'!$B$1,[1]!Data_CF[Thang.Nam],'Dong Lam'!AE$155)</f>
        <v>0</v>
      </c>
      <c r="AF164" s="303">
        <f>SUMIFS([1]!Data_CF[Value],[1]!Data_CF[Index CF],'Dong Lam'!$B164,[1]!Data_CF[TenCongTyID],'Dong Lam'!$B$1,[1]!Data_CF[Thang.Nam],'Dong Lam'!AF$155)</f>
        <v>0</v>
      </c>
      <c r="AG164" s="303">
        <f>SUMIFS([1]!Data_CF[Value],[1]!Data_CF[Index CF],'Dong Lam'!$B164,[1]!Data_CF[TenCongTyID],'Dong Lam'!$B$1,[1]!Data_CF[Thang.Nam],'Dong Lam'!AG$155)</f>
        <v>0</v>
      </c>
      <c r="AH164" s="303">
        <f>SUMIFS([1]!Data_CF[Value],[1]!Data_CF[Index CF],'Dong Lam'!$B164,[1]!Data_CF[TenCongTyID],'Dong Lam'!$B$1,[1]!Data_CF[Thang.Nam],'Dong Lam'!AH$155)</f>
        <v>0</v>
      </c>
      <c r="AI164" s="303">
        <f>SUMIFS([1]!Data_CF[Value],[1]!Data_CF[Index CF],'Dong Lam'!$B164,[1]!Data_CF[TenCongTyID],'Dong Lam'!$B$1,[1]!Data_CF[Thang.Nam],'Dong Lam'!AI$155)</f>
        <v>0</v>
      </c>
      <c r="AJ164" s="303">
        <f>SUMIFS([1]!Data_CF[Value],[1]!Data_CF[Index CF],'Dong Lam'!$B164,[1]!Data_CF[TenCongTyID],'Dong Lam'!$B$1,[1]!Data_CF[Thang.Nam],'Dong Lam'!AJ$155)</f>
        <v>0</v>
      </c>
      <c r="AK164" s="303">
        <f>SUMIFS([1]!Data_CF[Value],[1]!Data_CF[Index CF],'Dong Lam'!$B164,[1]!Data_CF[TenCongTyID],'Dong Lam'!$B$1,[1]!Data_CF[Thang.Nam],'Dong Lam'!AK$155)</f>
        <v>0</v>
      </c>
      <c r="AL164" s="303">
        <f>SUMIFS([1]!Data_CF[Value],[1]!Data_CF[Index CF],'Dong Lam'!$B164,[1]!Data_CF[TenCongTyID],'Dong Lam'!$B$1,[1]!Data_CF[Thang.Nam],'Dong Lam'!AL$155)</f>
        <v>0</v>
      </c>
    </row>
    <row r="165" spans="1:38" ht="14">
      <c r="A165" s="156" t="s">
        <v>251</v>
      </c>
      <c r="B165" s="157">
        <v>10</v>
      </c>
      <c r="C165" s="308">
        <v>132147044</v>
      </c>
      <c r="D165" s="308">
        <v>145536966</v>
      </c>
      <c r="E165" s="308">
        <v>372505675</v>
      </c>
      <c r="F165" s="308">
        <v>184346814</v>
      </c>
      <c r="G165" s="308">
        <v>342060969</v>
      </c>
      <c r="H165" s="308">
        <v>120159530</v>
      </c>
      <c r="I165" s="308">
        <v>-95310972</v>
      </c>
      <c r="J165" s="308">
        <v>-78911232</v>
      </c>
      <c r="K165" s="308">
        <v>10242971</v>
      </c>
      <c r="L165" s="308">
        <v>36169891</v>
      </c>
      <c r="M165" s="308">
        <v>-573705023</v>
      </c>
      <c r="N165" s="308">
        <v>37240751</v>
      </c>
      <c r="O165" s="308">
        <v>-152188393</v>
      </c>
      <c r="P165" s="308">
        <v>263576868</v>
      </c>
      <c r="Q165" s="308">
        <v>399480587</v>
      </c>
      <c r="R165" s="308">
        <v>563282899</v>
      </c>
      <c r="S165" s="308">
        <v>283633257</v>
      </c>
      <c r="T165" s="308">
        <v>943345430</v>
      </c>
      <c r="U165" s="308">
        <v>1250013423</v>
      </c>
      <c r="V165" s="308">
        <v>1837324606</v>
      </c>
      <c r="W165" s="308">
        <f>+SUM(W157:W164)</f>
        <v>289860227</v>
      </c>
      <c r="X165" s="308">
        <v>493588794</v>
      </c>
      <c r="Y165" s="308">
        <v>475401453</v>
      </c>
      <c r="Z165" s="308">
        <v>480653418</v>
      </c>
      <c r="AA165" s="309">
        <f>SUMIFS([1]!Data_CF[Value],[1]!Data_CF[Index CF],'Dong Lam'!$B165,[1]!Data_CF[TenCongTyID],'Dong Lam'!$B$1,[1]!Data_CF[Thang.Nam],'Dong Lam'!AA$155)</f>
        <v>0</v>
      </c>
      <c r="AB165" s="309">
        <f>SUMIFS([1]!Data_CF[Value],[1]!Data_CF[Index CF],'Dong Lam'!$B165,[1]!Data_CF[TenCongTyID],'Dong Lam'!$B$1,[1]!Data_CF[Thang.Nam],'Dong Lam'!AB$155)</f>
        <v>0</v>
      </c>
      <c r="AC165" s="309">
        <f>SUMIFS([1]!Data_CF[Value],[1]!Data_CF[Index CF],'Dong Lam'!$B165,[1]!Data_CF[TenCongTyID],'Dong Lam'!$B$1,[1]!Data_CF[Thang.Nam],'Dong Lam'!AC$155)</f>
        <v>0</v>
      </c>
      <c r="AD165" s="309">
        <f>SUMIFS([1]!Data_CF[Value],[1]!Data_CF[Index CF],'Dong Lam'!$B165,[1]!Data_CF[TenCongTyID],'Dong Lam'!$B$1,[1]!Data_CF[Thang.Nam],'Dong Lam'!AD$155)</f>
        <v>0</v>
      </c>
      <c r="AE165" s="309">
        <f>SUMIFS([1]!Data_CF[Value],[1]!Data_CF[Index CF],'Dong Lam'!$B165,[1]!Data_CF[TenCongTyID],'Dong Lam'!$B$1,[1]!Data_CF[Thang.Nam],'Dong Lam'!AE$155)</f>
        <v>0</v>
      </c>
      <c r="AF165" s="309">
        <f>SUMIFS([1]!Data_CF[Value],[1]!Data_CF[Index CF],'Dong Lam'!$B165,[1]!Data_CF[TenCongTyID],'Dong Lam'!$B$1,[1]!Data_CF[Thang.Nam],'Dong Lam'!AF$155)</f>
        <v>0</v>
      </c>
      <c r="AG165" s="309">
        <f>SUMIFS([1]!Data_CF[Value],[1]!Data_CF[Index CF],'Dong Lam'!$B165,[1]!Data_CF[TenCongTyID],'Dong Lam'!$B$1,[1]!Data_CF[Thang.Nam],'Dong Lam'!AG$155)</f>
        <v>0</v>
      </c>
      <c r="AH165" s="309">
        <f>SUMIFS([1]!Data_CF[Value],[1]!Data_CF[Index CF],'Dong Lam'!$B165,[1]!Data_CF[TenCongTyID],'Dong Lam'!$B$1,[1]!Data_CF[Thang.Nam],'Dong Lam'!AH$155)</f>
        <v>0</v>
      </c>
      <c r="AI165" s="309">
        <f>SUMIFS([1]!Data_CF[Value],[1]!Data_CF[Index CF],'Dong Lam'!$B165,[1]!Data_CF[TenCongTyID],'Dong Lam'!$B$1,[1]!Data_CF[Thang.Nam],'Dong Lam'!AI$155)</f>
        <v>0</v>
      </c>
      <c r="AJ165" s="309">
        <f>SUMIFS([1]!Data_CF[Value],[1]!Data_CF[Index CF],'Dong Lam'!$B165,[1]!Data_CF[TenCongTyID],'Dong Lam'!$B$1,[1]!Data_CF[Thang.Nam],'Dong Lam'!AJ$155)</f>
        <v>0</v>
      </c>
      <c r="AK165" s="309">
        <f>SUMIFS([1]!Data_CF[Value],[1]!Data_CF[Index CF],'Dong Lam'!$B165,[1]!Data_CF[TenCongTyID],'Dong Lam'!$B$1,[1]!Data_CF[Thang.Nam],'Dong Lam'!AK$155)</f>
        <v>0</v>
      </c>
      <c r="AL165" s="309">
        <f>SUMIFS([1]!Data_CF[Value],[1]!Data_CF[Index CF],'Dong Lam'!$B165,[1]!Data_CF[TenCongTyID],'Dong Lam'!$B$1,[1]!Data_CF[Thang.Nam],'Dong Lam'!AL$155)</f>
        <v>0</v>
      </c>
    </row>
    <row r="166" spans="1:38" ht="15" customHeight="1">
      <c r="A166" s="158" t="s">
        <v>252</v>
      </c>
      <c r="B166" s="159">
        <v>11</v>
      </c>
      <c r="C166" s="299">
        <v>-1338330678</v>
      </c>
      <c r="D166" s="299">
        <v>-1322361827</v>
      </c>
      <c r="E166" s="299">
        <v>796532040</v>
      </c>
      <c r="F166" s="299">
        <v>613673586</v>
      </c>
      <c r="G166" s="299">
        <v>-2757367295</v>
      </c>
      <c r="H166" s="299">
        <v>-76926816</v>
      </c>
      <c r="I166" s="299">
        <v>981983369</v>
      </c>
      <c r="J166" s="299">
        <v>197327405</v>
      </c>
      <c r="K166" s="299">
        <v>-1792823857</v>
      </c>
      <c r="L166" s="299">
        <v>539703963</v>
      </c>
      <c r="M166" s="299">
        <v>-168368007</v>
      </c>
      <c r="N166" s="299">
        <v>265654642</v>
      </c>
      <c r="O166" s="299">
        <v>-102845055</v>
      </c>
      <c r="P166" s="299">
        <v>-853392056</v>
      </c>
      <c r="Q166" s="299">
        <v>1107500</v>
      </c>
      <c r="R166" s="299">
        <v>747186118</v>
      </c>
      <c r="S166" s="299">
        <v>281268289</v>
      </c>
      <c r="T166" s="299">
        <v>956070547</v>
      </c>
      <c r="U166" s="299">
        <v>-330956411</v>
      </c>
      <c r="V166" s="299">
        <v>600342907</v>
      </c>
      <c r="W166" s="299">
        <v>800647078</v>
      </c>
      <c r="X166" s="299">
        <v>-1163243194</v>
      </c>
      <c r="Y166" s="299">
        <v>744733888</v>
      </c>
      <c r="Z166" s="299">
        <v>-617573486</v>
      </c>
      <c r="AA166" s="305">
        <f>SUMIFS([1]!Data_CF[Value],[1]!Data_CF[Index CF],'Dong Lam'!$B166,[1]!Data_CF[TenCongTyID],'Dong Lam'!$B$1,[1]!Data_CF[Thang.Nam],'Dong Lam'!AA$155)</f>
        <v>0</v>
      </c>
      <c r="AB166" s="305">
        <f>SUMIFS([1]!Data_CF[Value],[1]!Data_CF[Index CF],'Dong Lam'!$B166,[1]!Data_CF[TenCongTyID],'Dong Lam'!$B$1,[1]!Data_CF[Thang.Nam],'Dong Lam'!AB$155)</f>
        <v>0</v>
      </c>
      <c r="AC166" s="305">
        <f>SUMIFS([1]!Data_CF[Value],[1]!Data_CF[Index CF],'Dong Lam'!$B166,[1]!Data_CF[TenCongTyID],'Dong Lam'!$B$1,[1]!Data_CF[Thang.Nam],'Dong Lam'!AC$155)</f>
        <v>0</v>
      </c>
      <c r="AD166" s="305">
        <f>SUMIFS([1]!Data_CF[Value],[1]!Data_CF[Index CF],'Dong Lam'!$B166,[1]!Data_CF[TenCongTyID],'Dong Lam'!$B$1,[1]!Data_CF[Thang.Nam],'Dong Lam'!AD$155)</f>
        <v>0</v>
      </c>
      <c r="AE166" s="305">
        <f>SUMIFS([1]!Data_CF[Value],[1]!Data_CF[Index CF],'Dong Lam'!$B166,[1]!Data_CF[TenCongTyID],'Dong Lam'!$B$1,[1]!Data_CF[Thang.Nam],'Dong Lam'!AE$155)</f>
        <v>0</v>
      </c>
      <c r="AF166" s="305">
        <f>SUMIFS([1]!Data_CF[Value],[1]!Data_CF[Index CF],'Dong Lam'!$B166,[1]!Data_CF[TenCongTyID],'Dong Lam'!$B$1,[1]!Data_CF[Thang.Nam],'Dong Lam'!AF$155)</f>
        <v>0</v>
      </c>
      <c r="AG166" s="305">
        <f>SUMIFS([1]!Data_CF[Value],[1]!Data_CF[Index CF],'Dong Lam'!$B166,[1]!Data_CF[TenCongTyID],'Dong Lam'!$B$1,[1]!Data_CF[Thang.Nam],'Dong Lam'!AG$155)</f>
        <v>0</v>
      </c>
      <c r="AH166" s="305">
        <f>SUMIFS([1]!Data_CF[Value],[1]!Data_CF[Index CF],'Dong Lam'!$B166,[1]!Data_CF[TenCongTyID],'Dong Lam'!$B$1,[1]!Data_CF[Thang.Nam],'Dong Lam'!AH$155)</f>
        <v>0</v>
      </c>
      <c r="AI166" s="305">
        <f>SUMIFS([1]!Data_CF[Value],[1]!Data_CF[Index CF],'Dong Lam'!$B166,[1]!Data_CF[TenCongTyID],'Dong Lam'!$B$1,[1]!Data_CF[Thang.Nam],'Dong Lam'!AI$155)</f>
        <v>0</v>
      </c>
      <c r="AJ166" s="305">
        <f>SUMIFS([1]!Data_CF[Value],[1]!Data_CF[Index CF],'Dong Lam'!$B166,[1]!Data_CF[TenCongTyID],'Dong Lam'!$B$1,[1]!Data_CF[Thang.Nam],'Dong Lam'!AJ$155)</f>
        <v>0</v>
      </c>
      <c r="AK166" s="305">
        <f>SUMIFS([1]!Data_CF[Value],[1]!Data_CF[Index CF],'Dong Lam'!$B166,[1]!Data_CF[TenCongTyID],'Dong Lam'!$B$1,[1]!Data_CF[Thang.Nam],'Dong Lam'!AK$155)</f>
        <v>0</v>
      </c>
      <c r="AL166" s="305">
        <f>SUMIFS([1]!Data_CF[Value],[1]!Data_CF[Index CF],'Dong Lam'!$B166,[1]!Data_CF[TenCongTyID],'Dong Lam'!$B$1,[1]!Data_CF[Thang.Nam],'Dong Lam'!AL$155)</f>
        <v>0</v>
      </c>
    </row>
    <row r="167" spans="1:38" ht="15" customHeight="1">
      <c r="A167" s="160" t="s">
        <v>253</v>
      </c>
      <c r="B167" s="161">
        <v>12</v>
      </c>
      <c r="C167" s="299">
        <v>3572731482</v>
      </c>
      <c r="D167" s="299">
        <v>407812953</v>
      </c>
      <c r="E167" s="299">
        <v>-92860960</v>
      </c>
      <c r="F167" s="299">
        <v>217824569</v>
      </c>
      <c r="G167" s="299">
        <v>2145938130</v>
      </c>
      <c r="H167" s="299">
        <v>348554491</v>
      </c>
      <c r="I167" s="299">
        <v>634604395</v>
      </c>
      <c r="J167" s="299">
        <v>20513192</v>
      </c>
      <c r="K167" s="299">
        <v>-247976158</v>
      </c>
      <c r="L167" s="299">
        <v>223627355</v>
      </c>
      <c r="M167" s="299">
        <v>-284490719</v>
      </c>
      <c r="N167" s="299">
        <v>694868084</v>
      </c>
      <c r="O167" s="299">
        <v>-979886584</v>
      </c>
      <c r="P167" s="299">
        <v>-398423101</v>
      </c>
      <c r="Q167" s="299">
        <v>-146913271</v>
      </c>
      <c r="R167" s="299">
        <v>-408907156</v>
      </c>
      <c r="S167" s="299">
        <v>-1013857236</v>
      </c>
      <c r="T167" s="299">
        <v>-577869898</v>
      </c>
      <c r="U167" s="299">
        <v>-3068507866</v>
      </c>
      <c r="V167" s="299">
        <v>1932977265</v>
      </c>
      <c r="W167" s="299">
        <v>3644890418</v>
      </c>
      <c r="X167" s="299">
        <v>1239419799</v>
      </c>
      <c r="Y167" s="299">
        <v>-788652596</v>
      </c>
      <c r="Z167" s="299">
        <v>101149103</v>
      </c>
      <c r="AA167" s="305">
        <f>SUMIFS([1]!Data_CF[Value],[1]!Data_CF[Index CF],'Dong Lam'!$B167,[1]!Data_CF[TenCongTyID],'Dong Lam'!$B$1,[1]!Data_CF[Thang.Nam],'Dong Lam'!AA$155)</f>
        <v>0</v>
      </c>
      <c r="AB167" s="305">
        <f>SUMIFS([1]!Data_CF[Value],[1]!Data_CF[Index CF],'Dong Lam'!$B167,[1]!Data_CF[TenCongTyID],'Dong Lam'!$B$1,[1]!Data_CF[Thang.Nam],'Dong Lam'!AB$155)</f>
        <v>0</v>
      </c>
      <c r="AC167" s="305">
        <f>SUMIFS([1]!Data_CF[Value],[1]!Data_CF[Index CF],'Dong Lam'!$B167,[1]!Data_CF[TenCongTyID],'Dong Lam'!$B$1,[1]!Data_CF[Thang.Nam],'Dong Lam'!AC$155)</f>
        <v>0</v>
      </c>
      <c r="AD167" s="305">
        <f>SUMIFS([1]!Data_CF[Value],[1]!Data_CF[Index CF],'Dong Lam'!$B167,[1]!Data_CF[TenCongTyID],'Dong Lam'!$B$1,[1]!Data_CF[Thang.Nam],'Dong Lam'!AD$155)</f>
        <v>0</v>
      </c>
      <c r="AE167" s="305">
        <f>SUMIFS([1]!Data_CF[Value],[1]!Data_CF[Index CF],'Dong Lam'!$B167,[1]!Data_CF[TenCongTyID],'Dong Lam'!$B$1,[1]!Data_CF[Thang.Nam],'Dong Lam'!AE$155)</f>
        <v>0</v>
      </c>
      <c r="AF167" s="305">
        <f>SUMIFS([1]!Data_CF[Value],[1]!Data_CF[Index CF],'Dong Lam'!$B167,[1]!Data_CF[TenCongTyID],'Dong Lam'!$B$1,[1]!Data_CF[Thang.Nam],'Dong Lam'!AF$155)</f>
        <v>0</v>
      </c>
      <c r="AG167" s="305">
        <f>SUMIFS([1]!Data_CF[Value],[1]!Data_CF[Index CF],'Dong Lam'!$B167,[1]!Data_CF[TenCongTyID],'Dong Lam'!$B$1,[1]!Data_CF[Thang.Nam],'Dong Lam'!AG$155)</f>
        <v>0</v>
      </c>
      <c r="AH167" s="305">
        <f>SUMIFS([1]!Data_CF[Value],[1]!Data_CF[Index CF],'Dong Lam'!$B167,[1]!Data_CF[TenCongTyID],'Dong Lam'!$B$1,[1]!Data_CF[Thang.Nam],'Dong Lam'!AH$155)</f>
        <v>0</v>
      </c>
      <c r="AI167" s="305">
        <f>SUMIFS([1]!Data_CF[Value],[1]!Data_CF[Index CF],'Dong Lam'!$B167,[1]!Data_CF[TenCongTyID],'Dong Lam'!$B$1,[1]!Data_CF[Thang.Nam],'Dong Lam'!AI$155)</f>
        <v>0</v>
      </c>
      <c r="AJ167" s="305">
        <f>SUMIFS([1]!Data_CF[Value],[1]!Data_CF[Index CF],'Dong Lam'!$B167,[1]!Data_CF[TenCongTyID],'Dong Lam'!$B$1,[1]!Data_CF[Thang.Nam],'Dong Lam'!AJ$155)</f>
        <v>0</v>
      </c>
      <c r="AK167" s="305">
        <f>SUMIFS([1]!Data_CF[Value],[1]!Data_CF[Index CF],'Dong Lam'!$B167,[1]!Data_CF[TenCongTyID],'Dong Lam'!$B$1,[1]!Data_CF[Thang.Nam],'Dong Lam'!AK$155)</f>
        <v>0</v>
      </c>
      <c r="AL167" s="305">
        <f>SUMIFS([1]!Data_CF[Value],[1]!Data_CF[Index CF],'Dong Lam'!$B167,[1]!Data_CF[TenCongTyID],'Dong Lam'!$B$1,[1]!Data_CF[Thang.Nam],'Dong Lam'!AL$155)</f>
        <v>0</v>
      </c>
    </row>
    <row r="168" spans="1:38" ht="14">
      <c r="A168" s="158" t="s">
        <v>254</v>
      </c>
      <c r="B168" s="159">
        <v>13</v>
      </c>
      <c r="C168" s="299">
        <v>213270157</v>
      </c>
      <c r="D168" s="299">
        <v>176468102</v>
      </c>
      <c r="E168" s="299">
        <v>443460761</v>
      </c>
      <c r="F168" s="299">
        <v>-965639839</v>
      </c>
      <c r="G168" s="299">
        <v>-117817709</v>
      </c>
      <c r="H168" s="299">
        <v>497957974</v>
      </c>
      <c r="I168" s="299">
        <v>-980268208</v>
      </c>
      <c r="J168" s="299">
        <v>175152671</v>
      </c>
      <c r="K168" s="299">
        <v>645099646</v>
      </c>
      <c r="L168" s="299">
        <v>-446703303</v>
      </c>
      <c r="M168" s="299">
        <v>252737509</v>
      </c>
      <c r="N168" s="299">
        <v>228539078</v>
      </c>
      <c r="O168" s="299">
        <v>-865266637</v>
      </c>
      <c r="P168" s="299">
        <v>207954895</v>
      </c>
      <c r="Q168" s="299">
        <v>556217702</v>
      </c>
      <c r="R168" s="299">
        <v>-157389389</v>
      </c>
      <c r="S168" s="299">
        <v>105251008</v>
      </c>
      <c r="T168" s="299">
        <v>224010973</v>
      </c>
      <c r="U168" s="299">
        <v>686306587</v>
      </c>
      <c r="V168" s="299">
        <v>-712475489</v>
      </c>
      <c r="W168" s="299">
        <v>-428044511</v>
      </c>
      <c r="X168" s="299">
        <v>-947227556</v>
      </c>
      <c r="Y168" s="299">
        <v>10164739</v>
      </c>
      <c r="Z168" s="299">
        <v>2239955583</v>
      </c>
      <c r="AA168" s="305">
        <f>SUMIFS([1]!Data_CF[Value],[1]!Data_CF[Index CF],'Dong Lam'!$B168,[1]!Data_CF[TenCongTyID],'Dong Lam'!$B$1,[1]!Data_CF[Thang.Nam],'Dong Lam'!AA$155)</f>
        <v>0</v>
      </c>
      <c r="AB168" s="305">
        <f>SUMIFS([1]!Data_CF[Value],[1]!Data_CF[Index CF],'Dong Lam'!$B168,[1]!Data_CF[TenCongTyID],'Dong Lam'!$B$1,[1]!Data_CF[Thang.Nam],'Dong Lam'!AB$155)</f>
        <v>0</v>
      </c>
      <c r="AC168" s="305">
        <f>SUMIFS([1]!Data_CF[Value],[1]!Data_CF[Index CF],'Dong Lam'!$B168,[1]!Data_CF[TenCongTyID],'Dong Lam'!$B$1,[1]!Data_CF[Thang.Nam],'Dong Lam'!AC$155)</f>
        <v>0</v>
      </c>
      <c r="AD168" s="305">
        <f>SUMIFS([1]!Data_CF[Value],[1]!Data_CF[Index CF],'Dong Lam'!$B168,[1]!Data_CF[TenCongTyID],'Dong Lam'!$B$1,[1]!Data_CF[Thang.Nam],'Dong Lam'!AD$155)</f>
        <v>0</v>
      </c>
      <c r="AE168" s="305">
        <f>SUMIFS([1]!Data_CF[Value],[1]!Data_CF[Index CF],'Dong Lam'!$B168,[1]!Data_CF[TenCongTyID],'Dong Lam'!$B$1,[1]!Data_CF[Thang.Nam],'Dong Lam'!AE$155)</f>
        <v>0</v>
      </c>
      <c r="AF168" s="305">
        <f>SUMIFS([1]!Data_CF[Value],[1]!Data_CF[Index CF],'Dong Lam'!$B168,[1]!Data_CF[TenCongTyID],'Dong Lam'!$B$1,[1]!Data_CF[Thang.Nam],'Dong Lam'!AF$155)</f>
        <v>0</v>
      </c>
      <c r="AG168" s="305">
        <f>SUMIFS([1]!Data_CF[Value],[1]!Data_CF[Index CF],'Dong Lam'!$B168,[1]!Data_CF[TenCongTyID],'Dong Lam'!$B$1,[1]!Data_CF[Thang.Nam],'Dong Lam'!AG$155)</f>
        <v>0</v>
      </c>
      <c r="AH168" s="305">
        <f>SUMIFS([1]!Data_CF[Value],[1]!Data_CF[Index CF],'Dong Lam'!$B168,[1]!Data_CF[TenCongTyID],'Dong Lam'!$B$1,[1]!Data_CF[Thang.Nam],'Dong Lam'!AH$155)</f>
        <v>0</v>
      </c>
      <c r="AI168" s="305">
        <f>SUMIFS([1]!Data_CF[Value],[1]!Data_CF[Index CF],'Dong Lam'!$B168,[1]!Data_CF[TenCongTyID],'Dong Lam'!$B$1,[1]!Data_CF[Thang.Nam],'Dong Lam'!AI$155)</f>
        <v>0</v>
      </c>
      <c r="AJ168" s="305">
        <f>SUMIFS([1]!Data_CF[Value],[1]!Data_CF[Index CF],'Dong Lam'!$B168,[1]!Data_CF[TenCongTyID],'Dong Lam'!$B$1,[1]!Data_CF[Thang.Nam],'Dong Lam'!AJ$155)</f>
        <v>0</v>
      </c>
      <c r="AK168" s="305">
        <f>SUMIFS([1]!Data_CF[Value],[1]!Data_CF[Index CF],'Dong Lam'!$B168,[1]!Data_CF[TenCongTyID],'Dong Lam'!$B$1,[1]!Data_CF[Thang.Nam],'Dong Lam'!AK$155)</f>
        <v>0</v>
      </c>
      <c r="AL168" s="305">
        <f>SUMIFS([1]!Data_CF[Value],[1]!Data_CF[Index CF],'Dong Lam'!$B168,[1]!Data_CF[TenCongTyID],'Dong Lam'!$B$1,[1]!Data_CF[Thang.Nam],'Dong Lam'!AL$155)</f>
        <v>0</v>
      </c>
    </row>
    <row r="169" spans="1:38" ht="15" customHeight="1">
      <c r="A169" s="158" t="s">
        <v>255</v>
      </c>
      <c r="B169" s="159">
        <v>14</v>
      </c>
      <c r="C169" s="299">
        <v>47790167</v>
      </c>
      <c r="D169" s="299">
        <v>14682469</v>
      </c>
      <c r="E169" s="299">
        <v>17075571</v>
      </c>
      <c r="F169" s="299">
        <v>22078020</v>
      </c>
      <c r="G169" s="299">
        <v>58499132</v>
      </c>
      <c r="H169" s="299">
        <v>-29484200</v>
      </c>
      <c r="I169" s="299">
        <v>-46264931</v>
      </c>
      <c r="J169" s="299">
        <v>-5092592</v>
      </c>
      <c r="K169" s="300">
        <v>-102470000</v>
      </c>
      <c r="L169" s="299">
        <v>-47143681</v>
      </c>
      <c r="M169" s="299">
        <v>-5660000</v>
      </c>
      <c r="N169" s="299">
        <v>-23450000</v>
      </c>
      <c r="O169" s="299">
        <v>-34483910</v>
      </c>
      <c r="P169" s="299">
        <v>-43955976</v>
      </c>
      <c r="Q169" s="299">
        <v>-388945857</v>
      </c>
      <c r="R169" s="299">
        <v>-3792400</v>
      </c>
      <c r="S169" s="299">
        <v>-537700000</v>
      </c>
      <c r="T169" s="299">
        <v>-86550980</v>
      </c>
      <c r="U169" s="299">
        <v>-29045468</v>
      </c>
      <c r="V169" s="299">
        <v>-65539586</v>
      </c>
      <c r="W169" s="299">
        <v>-13235164</v>
      </c>
      <c r="X169" s="299">
        <v>-103391352</v>
      </c>
      <c r="Y169" s="299">
        <v>-8940000</v>
      </c>
      <c r="Z169" s="299">
        <v>-193449426</v>
      </c>
      <c r="AA169" s="305">
        <f>SUMIFS([1]!Data_CF[Value],[1]!Data_CF[Index CF],'Dong Lam'!$B169,[1]!Data_CF[TenCongTyID],'Dong Lam'!$B$1,[1]!Data_CF[Thang.Nam],'Dong Lam'!AA$155)</f>
        <v>0</v>
      </c>
      <c r="AB169" s="305">
        <f>SUMIFS([1]!Data_CF[Value],[1]!Data_CF[Index CF],'Dong Lam'!$B169,[1]!Data_CF[TenCongTyID],'Dong Lam'!$B$1,[1]!Data_CF[Thang.Nam],'Dong Lam'!AB$155)</f>
        <v>0</v>
      </c>
      <c r="AC169" s="305">
        <f>SUMIFS([1]!Data_CF[Value],[1]!Data_CF[Index CF],'Dong Lam'!$B169,[1]!Data_CF[TenCongTyID],'Dong Lam'!$B$1,[1]!Data_CF[Thang.Nam],'Dong Lam'!AC$155)</f>
        <v>0</v>
      </c>
      <c r="AD169" s="305">
        <f>SUMIFS([1]!Data_CF[Value],[1]!Data_CF[Index CF],'Dong Lam'!$B169,[1]!Data_CF[TenCongTyID],'Dong Lam'!$B$1,[1]!Data_CF[Thang.Nam],'Dong Lam'!AD$155)</f>
        <v>0</v>
      </c>
      <c r="AE169" s="305">
        <f>SUMIFS([1]!Data_CF[Value],[1]!Data_CF[Index CF],'Dong Lam'!$B169,[1]!Data_CF[TenCongTyID],'Dong Lam'!$B$1,[1]!Data_CF[Thang.Nam],'Dong Lam'!AE$155)</f>
        <v>0</v>
      </c>
      <c r="AF169" s="305">
        <f>SUMIFS([1]!Data_CF[Value],[1]!Data_CF[Index CF],'Dong Lam'!$B169,[1]!Data_CF[TenCongTyID],'Dong Lam'!$B$1,[1]!Data_CF[Thang.Nam],'Dong Lam'!AF$155)</f>
        <v>0</v>
      </c>
      <c r="AG169" s="305">
        <f>SUMIFS([1]!Data_CF[Value],[1]!Data_CF[Index CF],'Dong Lam'!$B169,[1]!Data_CF[TenCongTyID],'Dong Lam'!$B$1,[1]!Data_CF[Thang.Nam],'Dong Lam'!AG$155)</f>
        <v>0</v>
      </c>
      <c r="AH169" s="305">
        <f>SUMIFS([1]!Data_CF[Value],[1]!Data_CF[Index CF],'Dong Lam'!$B169,[1]!Data_CF[TenCongTyID],'Dong Lam'!$B$1,[1]!Data_CF[Thang.Nam],'Dong Lam'!AH$155)</f>
        <v>0</v>
      </c>
      <c r="AI169" s="305">
        <f>SUMIFS([1]!Data_CF[Value],[1]!Data_CF[Index CF],'Dong Lam'!$B169,[1]!Data_CF[TenCongTyID],'Dong Lam'!$B$1,[1]!Data_CF[Thang.Nam],'Dong Lam'!AI$155)</f>
        <v>0</v>
      </c>
      <c r="AJ169" s="305">
        <f>SUMIFS([1]!Data_CF[Value],[1]!Data_CF[Index CF],'Dong Lam'!$B169,[1]!Data_CF[TenCongTyID],'Dong Lam'!$B$1,[1]!Data_CF[Thang.Nam],'Dong Lam'!AJ$155)</f>
        <v>0</v>
      </c>
      <c r="AK169" s="305">
        <f>SUMIFS([1]!Data_CF[Value],[1]!Data_CF[Index CF],'Dong Lam'!$B169,[1]!Data_CF[TenCongTyID],'Dong Lam'!$B$1,[1]!Data_CF[Thang.Nam],'Dong Lam'!AK$155)</f>
        <v>0</v>
      </c>
      <c r="AL169" s="305">
        <f>SUMIFS([1]!Data_CF[Value],[1]!Data_CF[Index CF],'Dong Lam'!$B169,[1]!Data_CF[TenCongTyID],'Dong Lam'!$B$1,[1]!Data_CF[Thang.Nam],'Dong Lam'!AL$155)</f>
        <v>0</v>
      </c>
    </row>
    <row r="170" spans="1:38" ht="15" customHeight="1">
      <c r="A170" s="158" t="s">
        <v>256</v>
      </c>
      <c r="B170" s="159">
        <v>15</v>
      </c>
      <c r="C170" s="304"/>
      <c r="D170" s="304"/>
      <c r="E170" s="304"/>
      <c r="F170" s="304"/>
      <c r="G170" s="304"/>
      <c r="H170" s="304"/>
      <c r="I170" s="304"/>
      <c r="J170" s="304"/>
      <c r="K170" s="304"/>
      <c r="L170" s="304"/>
      <c r="M170" s="304"/>
      <c r="N170" s="304"/>
      <c r="O170" s="304"/>
      <c r="P170" s="304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>
        <v>0</v>
      </c>
      <c r="AA170" s="305">
        <f>SUMIFS([1]!Data_CF[Value],[1]!Data_CF[Index CF],'Dong Lam'!$B170,[1]!Data_CF[TenCongTyID],'Dong Lam'!$B$1,[1]!Data_CF[Thang.Nam],'Dong Lam'!AA$155)</f>
        <v>0</v>
      </c>
      <c r="AB170" s="305">
        <f>SUMIFS([1]!Data_CF[Value],[1]!Data_CF[Index CF],'Dong Lam'!$B170,[1]!Data_CF[TenCongTyID],'Dong Lam'!$B$1,[1]!Data_CF[Thang.Nam],'Dong Lam'!AB$155)</f>
        <v>0</v>
      </c>
      <c r="AC170" s="305">
        <f>SUMIFS([1]!Data_CF[Value],[1]!Data_CF[Index CF],'Dong Lam'!$B170,[1]!Data_CF[TenCongTyID],'Dong Lam'!$B$1,[1]!Data_CF[Thang.Nam],'Dong Lam'!AC$155)</f>
        <v>0</v>
      </c>
      <c r="AD170" s="305">
        <f>SUMIFS([1]!Data_CF[Value],[1]!Data_CF[Index CF],'Dong Lam'!$B170,[1]!Data_CF[TenCongTyID],'Dong Lam'!$B$1,[1]!Data_CF[Thang.Nam],'Dong Lam'!AD$155)</f>
        <v>0</v>
      </c>
      <c r="AE170" s="305">
        <f>SUMIFS([1]!Data_CF[Value],[1]!Data_CF[Index CF],'Dong Lam'!$B170,[1]!Data_CF[TenCongTyID],'Dong Lam'!$B$1,[1]!Data_CF[Thang.Nam],'Dong Lam'!AE$155)</f>
        <v>0</v>
      </c>
      <c r="AF170" s="305">
        <f>SUMIFS([1]!Data_CF[Value],[1]!Data_CF[Index CF],'Dong Lam'!$B170,[1]!Data_CF[TenCongTyID],'Dong Lam'!$B$1,[1]!Data_CF[Thang.Nam],'Dong Lam'!AF$155)</f>
        <v>0</v>
      </c>
      <c r="AG170" s="305">
        <f>SUMIFS([1]!Data_CF[Value],[1]!Data_CF[Index CF],'Dong Lam'!$B170,[1]!Data_CF[TenCongTyID],'Dong Lam'!$B$1,[1]!Data_CF[Thang.Nam],'Dong Lam'!AG$155)</f>
        <v>0</v>
      </c>
      <c r="AH170" s="305">
        <f>SUMIFS([1]!Data_CF[Value],[1]!Data_CF[Index CF],'Dong Lam'!$B170,[1]!Data_CF[TenCongTyID],'Dong Lam'!$B$1,[1]!Data_CF[Thang.Nam],'Dong Lam'!AH$155)</f>
        <v>0</v>
      </c>
      <c r="AI170" s="305">
        <f>SUMIFS([1]!Data_CF[Value],[1]!Data_CF[Index CF],'Dong Lam'!$B170,[1]!Data_CF[TenCongTyID],'Dong Lam'!$B$1,[1]!Data_CF[Thang.Nam],'Dong Lam'!AI$155)</f>
        <v>0</v>
      </c>
      <c r="AJ170" s="305">
        <f>SUMIFS([1]!Data_CF[Value],[1]!Data_CF[Index CF],'Dong Lam'!$B170,[1]!Data_CF[TenCongTyID],'Dong Lam'!$B$1,[1]!Data_CF[Thang.Nam],'Dong Lam'!AJ$155)</f>
        <v>0</v>
      </c>
      <c r="AK170" s="305">
        <f>SUMIFS([1]!Data_CF[Value],[1]!Data_CF[Index CF],'Dong Lam'!$B170,[1]!Data_CF[TenCongTyID],'Dong Lam'!$B$1,[1]!Data_CF[Thang.Nam],'Dong Lam'!AK$155)</f>
        <v>0</v>
      </c>
      <c r="AL170" s="305">
        <f>SUMIFS([1]!Data_CF[Value],[1]!Data_CF[Index CF],'Dong Lam'!$B170,[1]!Data_CF[TenCongTyID],'Dong Lam'!$B$1,[1]!Data_CF[Thang.Nam],'Dong Lam'!AL$155)</f>
        <v>0</v>
      </c>
    </row>
    <row r="171" spans="1:38" ht="15" customHeight="1">
      <c r="A171" s="158" t="s">
        <v>257</v>
      </c>
      <c r="B171" s="159">
        <v>16</v>
      </c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>
        <v>0</v>
      </c>
      <c r="AA171" s="305">
        <f>SUMIFS([1]!Data_CF[Value],[1]!Data_CF[Index CF],'Dong Lam'!$B171,[1]!Data_CF[TenCongTyID],'Dong Lam'!$B$1,[1]!Data_CF[Thang.Nam],'Dong Lam'!AA$155)</f>
        <v>0</v>
      </c>
      <c r="AB171" s="305">
        <f>SUMIFS([1]!Data_CF[Value],[1]!Data_CF[Index CF],'Dong Lam'!$B171,[1]!Data_CF[TenCongTyID],'Dong Lam'!$B$1,[1]!Data_CF[Thang.Nam],'Dong Lam'!AB$155)</f>
        <v>0</v>
      </c>
      <c r="AC171" s="305">
        <f>SUMIFS([1]!Data_CF[Value],[1]!Data_CF[Index CF],'Dong Lam'!$B171,[1]!Data_CF[TenCongTyID],'Dong Lam'!$B$1,[1]!Data_CF[Thang.Nam],'Dong Lam'!AC$155)</f>
        <v>0</v>
      </c>
      <c r="AD171" s="305">
        <f>SUMIFS([1]!Data_CF[Value],[1]!Data_CF[Index CF],'Dong Lam'!$B171,[1]!Data_CF[TenCongTyID],'Dong Lam'!$B$1,[1]!Data_CF[Thang.Nam],'Dong Lam'!AD$155)</f>
        <v>0</v>
      </c>
      <c r="AE171" s="305">
        <f>SUMIFS([1]!Data_CF[Value],[1]!Data_CF[Index CF],'Dong Lam'!$B171,[1]!Data_CF[TenCongTyID],'Dong Lam'!$B$1,[1]!Data_CF[Thang.Nam],'Dong Lam'!AE$155)</f>
        <v>0</v>
      </c>
      <c r="AF171" s="305">
        <f>SUMIFS([1]!Data_CF[Value],[1]!Data_CF[Index CF],'Dong Lam'!$B171,[1]!Data_CF[TenCongTyID],'Dong Lam'!$B$1,[1]!Data_CF[Thang.Nam],'Dong Lam'!AF$155)</f>
        <v>0</v>
      </c>
      <c r="AG171" s="305">
        <f>SUMIFS([1]!Data_CF[Value],[1]!Data_CF[Index CF],'Dong Lam'!$B171,[1]!Data_CF[TenCongTyID],'Dong Lam'!$B$1,[1]!Data_CF[Thang.Nam],'Dong Lam'!AG$155)</f>
        <v>0</v>
      </c>
      <c r="AH171" s="305">
        <f>SUMIFS([1]!Data_CF[Value],[1]!Data_CF[Index CF],'Dong Lam'!$B171,[1]!Data_CF[TenCongTyID],'Dong Lam'!$B$1,[1]!Data_CF[Thang.Nam],'Dong Lam'!AH$155)</f>
        <v>0</v>
      </c>
      <c r="AI171" s="305">
        <f>SUMIFS([1]!Data_CF[Value],[1]!Data_CF[Index CF],'Dong Lam'!$B171,[1]!Data_CF[TenCongTyID],'Dong Lam'!$B$1,[1]!Data_CF[Thang.Nam],'Dong Lam'!AI$155)</f>
        <v>0</v>
      </c>
      <c r="AJ171" s="305">
        <f>SUMIFS([1]!Data_CF[Value],[1]!Data_CF[Index CF],'Dong Lam'!$B171,[1]!Data_CF[TenCongTyID],'Dong Lam'!$B$1,[1]!Data_CF[Thang.Nam],'Dong Lam'!AJ$155)</f>
        <v>0</v>
      </c>
      <c r="AK171" s="305">
        <f>SUMIFS([1]!Data_CF[Value],[1]!Data_CF[Index CF],'Dong Lam'!$B171,[1]!Data_CF[TenCongTyID],'Dong Lam'!$B$1,[1]!Data_CF[Thang.Nam],'Dong Lam'!AK$155)</f>
        <v>0</v>
      </c>
      <c r="AL171" s="305">
        <f>SUMIFS([1]!Data_CF[Value],[1]!Data_CF[Index CF],'Dong Lam'!$B171,[1]!Data_CF[TenCongTyID],'Dong Lam'!$B$1,[1]!Data_CF[Thang.Nam],'Dong Lam'!AL$155)</f>
        <v>0</v>
      </c>
    </row>
    <row r="172" spans="1:38" ht="15" customHeight="1">
      <c r="A172" s="158" t="s">
        <v>258</v>
      </c>
      <c r="B172" s="159">
        <v>17</v>
      </c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>
        <v>0</v>
      </c>
      <c r="X172" s="299"/>
      <c r="Y172" s="299"/>
      <c r="Z172" s="299">
        <v>0</v>
      </c>
      <c r="AA172" s="305">
        <f>SUMIFS([1]!Data_CF[Value],[1]!Data_CF[Index CF],'Dong Lam'!$B172,[1]!Data_CF[TenCongTyID],'Dong Lam'!$B$1,[1]!Data_CF[Thang.Nam],'Dong Lam'!AA$155)</f>
        <v>0</v>
      </c>
      <c r="AB172" s="305">
        <f>SUMIFS([1]!Data_CF[Value],[1]!Data_CF[Index CF],'Dong Lam'!$B172,[1]!Data_CF[TenCongTyID],'Dong Lam'!$B$1,[1]!Data_CF[Thang.Nam],'Dong Lam'!AB$155)</f>
        <v>0</v>
      </c>
      <c r="AC172" s="305">
        <f>SUMIFS([1]!Data_CF[Value],[1]!Data_CF[Index CF],'Dong Lam'!$B172,[1]!Data_CF[TenCongTyID],'Dong Lam'!$B$1,[1]!Data_CF[Thang.Nam],'Dong Lam'!AC$155)</f>
        <v>0</v>
      </c>
      <c r="AD172" s="305">
        <f>SUMIFS([1]!Data_CF[Value],[1]!Data_CF[Index CF],'Dong Lam'!$B172,[1]!Data_CF[TenCongTyID],'Dong Lam'!$B$1,[1]!Data_CF[Thang.Nam],'Dong Lam'!AD$155)</f>
        <v>0</v>
      </c>
      <c r="AE172" s="305">
        <f>SUMIFS([1]!Data_CF[Value],[1]!Data_CF[Index CF],'Dong Lam'!$B172,[1]!Data_CF[TenCongTyID],'Dong Lam'!$B$1,[1]!Data_CF[Thang.Nam],'Dong Lam'!AE$155)</f>
        <v>0</v>
      </c>
      <c r="AF172" s="305">
        <f>SUMIFS([1]!Data_CF[Value],[1]!Data_CF[Index CF],'Dong Lam'!$B172,[1]!Data_CF[TenCongTyID],'Dong Lam'!$B$1,[1]!Data_CF[Thang.Nam],'Dong Lam'!AF$155)</f>
        <v>0</v>
      </c>
      <c r="AG172" s="305">
        <f>SUMIFS([1]!Data_CF[Value],[1]!Data_CF[Index CF],'Dong Lam'!$B172,[1]!Data_CF[TenCongTyID],'Dong Lam'!$B$1,[1]!Data_CF[Thang.Nam],'Dong Lam'!AG$155)</f>
        <v>0</v>
      </c>
      <c r="AH172" s="305">
        <f>SUMIFS([1]!Data_CF[Value],[1]!Data_CF[Index CF],'Dong Lam'!$B172,[1]!Data_CF[TenCongTyID],'Dong Lam'!$B$1,[1]!Data_CF[Thang.Nam],'Dong Lam'!AH$155)</f>
        <v>0</v>
      </c>
      <c r="AI172" s="305">
        <f>SUMIFS([1]!Data_CF[Value],[1]!Data_CF[Index CF],'Dong Lam'!$B172,[1]!Data_CF[TenCongTyID],'Dong Lam'!$B$1,[1]!Data_CF[Thang.Nam],'Dong Lam'!AI$155)</f>
        <v>0</v>
      </c>
      <c r="AJ172" s="305">
        <f>SUMIFS([1]!Data_CF[Value],[1]!Data_CF[Index CF],'Dong Lam'!$B172,[1]!Data_CF[TenCongTyID],'Dong Lam'!$B$1,[1]!Data_CF[Thang.Nam],'Dong Lam'!AJ$155)</f>
        <v>0</v>
      </c>
      <c r="AK172" s="305">
        <f>SUMIFS([1]!Data_CF[Value],[1]!Data_CF[Index CF],'Dong Lam'!$B172,[1]!Data_CF[TenCongTyID],'Dong Lam'!$B$1,[1]!Data_CF[Thang.Nam],'Dong Lam'!AK$155)</f>
        <v>0</v>
      </c>
      <c r="AL172" s="305">
        <f>SUMIFS([1]!Data_CF[Value],[1]!Data_CF[Index CF],'Dong Lam'!$B172,[1]!Data_CF[TenCongTyID],'Dong Lam'!$B$1,[1]!Data_CF[Thang.Nam],'Dong Lam'!AL$155)</f>
        <v>0</v>
      </c>
    </row>
    <row r="173" spans="1:38" ht="15" customHeight="1">
      <c r="A173" s="158" t="s">
        <v>259</v>
      </c>
      <c r="B173" s="159">
        <v>18</v>
      </c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>
        <v>0</v>
      </c>
      <c r="AA173" s="310">
        <f>SUMIFS([1]!Data_CF[Value],[1]!Data_CF[Index CF],'Dong Lam'!$B173,[1]!Data_CF[TenCongTyID],'Dong Lam'!$B$1,[1]!Data_CF[Thang.Nam],'Dong Lam'!AA$155)</f>
        <v>0</v>
      </c>
      <c r="AB173" s="310">
        <f>SUMIFS([1]!Data_CF[Value],[1]!Data_CF[Index CF],'Dong Lam'!$B173,[1]!Data_CF[TenCongTyID],'Dong Lam'!$B$1,[1]!Data_CF[Thang.Nam],'Dong Lam'!AB$155)</f>
        <v>0</v>
      </c>
      <c r="AC173" s="310">
        <f>SUMIFS([1]!Data_CF[Value],[1]!Data_CF[Index CF],'Dong Lam'!$B173,[1]!Data_CF[TenCongTyID],'Dong Lam'!$B$1,[1]!Data_CF[Thang.Nam],'Dong Lam'!AC$155)</f>
        <v>0</v>
      </c>
      <c r="AD173" s="310">
        <f>SUMIFS([1]!Data_CF[Value],[1]!Data_CF[Index CF],'Dong Lam'!$B173,[1]!Data_CF[TenCongTyID],'Dong Lam'!$B$1,[1]!Data_CF[Thang.Nam],'Dong Lam'!AD$155)</f>
        <v>0</v>
      </c>
      <c r="AE173" s="310">
        <f>SUMIFS([1]!Data_CF[Value],[1]!Data_CF[Index CF],'Dong Lam'!$B173,[1]!Data_CF[TenCongTyID],'Dong Lam'!$B$1,[1]!Data_CF[Thang.Nam],'Dong Lam'!AE$155)</f>
        <v>0</v>
      </c>
      <c r="AF173" s="310">
        <f>SUMIFS([1]!Data_CF[Value],[1]!Data_CF[Index CF],'Dong Lam'!$B173,[1]!Data_CF[TenCongTyID],'Dong Lam'!$B$1,[1]!Data_CF[Thang.Nam],'Dong Lam'!AF$155)</f>
        <v>0</v>
      </c>
      <c r="AG173" s="310">
        <f>SUMIFS([1]!Data_CF[Value],[1]!Data_CF[Index CF],'Dong Lam'!$B173,[1]!Data_CF[TenCongTyID],'Dong Lam'!$B$1,[1]!Data_CF[Thang.Nam],'Dong Lam'!AG$155)</f>
        <v>0</v>
      </c>
      <c r="AH173" s="310">
        <f>SUMIFS([1]!Data_CF[Value],[1]!Data_CF[Index CF],'Dong Lam'!$B173,[1]!Data_CF[TenCongTyID],'Dong Lam'!$B$1,[1]!Data_CF[Thang.Nam],'Dong Lam'!AH$155)</f>
        <v>0</v>
      </c>
      <c r="AI173" s="310">
        <f>SUMIFS([1]!Data_CF[Value],[1]!Data_CF[Index CF],'Dong Lam'!$B173,[1]!Data_CF[TenCongTyID],'Dong Lam'!$B$1,[1]!Data_CF[Thang.Nam],'Dong Lam'!AI$155)</f>
        <v>0</v>
      </c>
      <c r="AJ173" s="310">
        <f>SUMIFS([1]!Data_CF[Value],[1]!Data_CF[Index CF],'Dong Lam'!$B173,[1]!Data_CF[TenCongTyID],'Dong Lam'!$B$1,[1]!Data_CF[Thang.Nam],'Dong Lam'!AJ$155)</f>
        <v>0</v>
      </c>
      <c r="AK173" s="310">
        <f>SUMIFS([1]!Data_CF[Value],[1]!Data_CF[Index CF],'Dong Lam'!$B173,[1]!Data_CF[TenCongTyID],'Dong Lam'!$B$1,[1]!Data_CF[Thang.Nam],'Dong Lam'!AK$155)</f>
        <v>0</v>
      </c>
      <c r="AL173" s="310">
        <f>SUMIFS([1]!Data_CF[Value],[1]!Data_CF[Index CF],'Dong Lam'!$B173,[1]!Data_CF[TenCongTyID],'Dong Lam'!$B$1,[1]!Data_CF[Thang.Nam],'Dong Lam'!AL$155)</f>
        <v>0</v>
      </c>
    </row>
    <row r="174" spans="1:38" ht="15" customHeight="1">
      <c r="A174" s="158" t="s">
        <v>260</v>
      </c>
      <c r="B174" s="159">
        <v>19</v>
      </c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>
        <v>0</v>
      </c>
      <c r="AA174" s="311">
        <f>SUMIFS([1]!Data_CF[Value],[1]!Data_CF[Index CF],'Dong Lam'!$B174,[1]!Data_CF[TenCongTyID],'Dong Lam'!$B$1,[1]!Data_CF[Thang.Nam],'Dong Lam'!AA$155)</f>
        <v>0</v>
      </c>
      <c r="AB174" s="311">
        <f>SUMIFS([1]!Data_CF[Value],[1]!Data_CF[Index CF],'Dong Lam'!$B174,[1]!Data_CF[TenCongTyID],'Dong Lam'!$B$1,[1]!Data_CF[Thang.Nam],'Dong Lam'!AB$155)</f>
        <v>0</v>
      </c>
      <c r="AC174" s="311">
        <f>SUMIFS([1]!Data_CF[Value],[1]!Data_CF[Index CF],'Dong Lam'!$B174,[1]!Data_CF[TenCongTyID],'Dong Lam'!$B$1,[1]!Data_CF[Thang.Nam],'Dong Lam'!AC$155)</f>
        <v>0</v>
      </c>
      <c r="AD174" s="311">
        <f>SUMIFS([1]!Data_CF[Value],[1]!Data_CF[Index CF],'Dong Lam'!$B174,[1]!Data_CF[TenCongTyID],'Dong Lam'!$B$1,[1]!Data_CF[Thang.Nam],'Dong Lam'!AD$155)</f>
        <v>0</v>
      </c>
      <c r="AE174" s="311">
        <f>SUMIFS([1]!Data_CF[Value],[1]!Data_CF[Index CF],'Dong Lam'!$B174,[1]!Data_CF[TenCongTyID],'Dong Lam'!$B$1,[1]!Data_CF[Thang.Nam],'Dong Lam'!AE$155)</f>
        <v>0</v>
      </c>
      <c r="AF174" s="311">
        <f>SUMIFS([1]!Data_CF[Value],[1]!Data_CF[Index CF],'Dong Lam'!$B174,[1]!Data_CF[TenCongTyID],'Dong Lam'!$B$1,[1]!Data_CF[Thang.Nam],'Dong Lam'!AF$155)</f>
        <v>0</v>
      </c>
      <c r="AG174" s="311">
        <f>SUMIFS([1]!Data_CF[Value],[1]!Data_CF[Index CF],'Dong Lam'!$B174,[1]!Data_CF[TenCongTyID],'Dong Lam'!$B$1,[1]!Data_CF[Thang.Nam],'Dong Lam'!AG$155)</f>
        <v>0</v>
      </c>
      <c r="AH174" s="311">
        <f>SUMIFS([1]!Data_CF[Value],[1]!Data_CF[Index CF],'Dong Lam'!$B174,[1]!Data_CF[TenCongTyID],'Dong Lam'!$B$1,[1]!Data_CF[Thang.Nam],'Dong Lam'!AH$155)</f>
        <v>0</v>
      </c>
      <c r="AI174" s="311">
        <f>SUMIFS([1]!Data_CF[Value],[1]!Data_CF[Index CF],'Dong Lam'!$B174,[1]!Data_CF[TenCongTyID],'Dong Lam'!$B$1,[1]!Data_CF[Thang.Nam],'Dong Lam'!AI$155)</f>
        <v>0</v>
      </c>
      <c r="AJ174" s="311">
        <f>SUMIFS([1]!Data_CF[Value],[1]!Data_CF[Index CF],'Dong Lam'!$B174,[1]!Data_CF[TenCongTyID],'Dong Lam'!$B$1,[1]!Data_CF[Thang.Nam],'Dong Lam'!AJ$155)</f>
        <v>0</v>
      </c>
      <c r="AK174" s="311">
        <f>SUMIFS([1]!Data_CF[Value],[1]!Data_CF[Index CF],'Dong Lam'!$B174,[1]!Data_CF[TenCongTyID],'Dong Lam'!$B$1,[1]!Data_CF[Thang.Nam],'Dong Lam'!AK$155)</f>
        <v>0</v>
      </c>
      <c r="AL174" s="311">
        <f>SUMIFS([1]!Data_CF[Value],[1]!Data_CF[Index CF],'Dong Lam'!$B174,[1]!Data_CF[TenCongTyID],'Dong Lam'!$B$1,[1]!Data_CF[Thang.Nam],'Dong Lam'!AL$155)</f>
        <v>0</v>
      </c>
    </row>
    <row r="175" spans="1:38" ht="15" customHeight="1">
      <c r="A175" s="162" t="s">
        <v>261</v>
      </c>
      <c r="B175" s="146">
        <v>20</v>
      </c>
      <c r="C175" s="312">
        <v>2627608172</v>
      </c>
      <c r="D175" s="312">
        <v>-577861337</v>
      </c>
      <c r="E175" s="312">
        <v>1536713087</v>
      </c>
      <c r="F175" s="312">
        <v>72283150</v>
      </c>
      <c r="G175" s="312">
        <v>-328686773</v>
      </c>
      <c r="H175" s="312">
        <v>860260979</v>
      </c>
      <c r="I175" s="312">
        <v>494743653</v>
      </c>
      <c r="J175" s="312">
        <v>308989444</v>
      </c>
      <c r="K175" s="312">
        <v>-1487927398</v>
      </c>
      <c r="L175" s="312">
        <v>305654225</v>
      </c>
      <c r="M175" s="312">
        <v>-779486240</v>
      </c>
      <c r="N175" s="343">
        <v>1202852555</v>
      </c>
      <c r="O175" s="343">
        <v>-2134670579</v>
      </c>
      <c r="P175" s="343">
        <v>-824239370</v>
      </c>
      <c r="Q175" s="343">
        <v>420946661</v>
      </c>
      <c r="R175" s="343">
        <v>740380072</v>
      </c>
      <c r="S175" s="343">
        <v>-881404682</v>
      </c>
      <c r="T175" s="343">
        <v>1459006072</v>
      </c>
      <c r="U175" s="343">
        <v>-1492189735</v>
      </c>
      <c r="V175" s="343">
        <v>3592629703</v>
      </c>
      <c r="W175" s="343">
        <f>+SUM(W165:W174)</f>
        <v>4294118048</v>
      </c>
      <c r="X175" s="343">
        <v>-480853509</v>
      </c>
      <c r="Y175" s="343">
        <v>432707484</v>
      </c>
      <c r="Z175" s="343">
        <v>2010735192</v>
      </c>
      <c r="AA175" s="344">
        <f>SUMIFS([1]!Data_CF[Value],[1]!Data_CF[Index CF],'Dong Lam'!$B175,[1]!Data_CF[TenCongTyID],'Dong Lam'!$B$1,[1]!Data_CF[Thang.Nam],'Dong Lam'!AA$155)</f>
        <v>0</v>
      </c>
      <c r="AB175" s="344">
        <f>SUMIFS([1]!Data_CF[Value],[1]!Data_CF[Index CF],'Dong Lam'!$B175,[1]!Data_CF[TenCongTyID],'Dong Lam'!$B$1,[1]!Data_CF[Thang.Nam],'Dong Lam'!AB$155)</f>
        <v>0</v>
      </c>
      <c r="AC175" s="344">
        <f>SUMIFS([1]!Data_CF[Value],[1]!Data_CF[Index CF],'Dong Lam'!$B175,[1]!Data_CF[TenCongTyID],'Dong Lam'!$B$1,[1]!Data_CF[Thang.Nam],'Dong Lam'!AC$155)</f>
        <v>0</v>
      </c>
      <c r="AD175" s="344">
        <f>SUMIFS([1]!Data_CF[Value],[1]!Data_CF[Index CF],'Dong Lam'!$B175,[1]!Data_CF[TenCongTyID],'Dong Lam'!$B$1,[1]!Data_CF[Thang.Nam],'Dong Lam'!AD$155)</f>
        <v>0</v>
      </c>
      <c r="AE175" s="344">
        <f>SUMIFS([1]!Data_CF[Value],[1]!Data_CF[Index CF],'Dong Lam'!$B175,[1]!Data_CF[TenCongTyID],'Dong Lam'!$B$1,[1]!Data_CF[Thang.Nam],'Dong Lam'!AE$155)</f>
        <v>0</v>
      </c>
      <c r="AF175" s="344">
        <f>SUMIFS([1]!Data_CF[Value],[1]!Data_CF[Index CF],'Dong Lam'!$B175,[1]!Data_CF[TenCongTyID],'Dong Lam'!$B$1,[1]!Data_CF[Thang.Nam],'Dong Lam'!AF$155)</f>
        <v>0</v>
      </c>
      <c r="AG175" s="344">
        <f>SUMIFS([1]!Data_CF[Value],[1]!Data_CF[Index CF],'Dong Lam'!$B175,[1]!Data_CF[TenCongTyID],'Dong Lam'!$B$1,[1]!Data_CF[Thang.Nam],'Dong Lam'!AG$155)</f>
        <v>0</v>
      </c>
      <c r="AH175" s="344">
        <f>SUMIFS([1]!Data_CF[Value],[1]!Data_CF[Index CF],'Dong Lam'!$B175,[1]!Data_CF[TenCongTyID],'Dong Lam'!$B$1,[1]!Data_CF[Thang.Nam],'Dong Lam'!AH$155)</f>
        <v>0</v>
      </c>
      <c r="AI175" s="344">
        <f>SUMIFS([1]!Data_CF[Value],[1]!Data_CF[Index CF],'Dong Lam'!$B175,[1]!Data_CF[TenCongTyID],'Dong Lam'!$B$1,[1]!Data_CF[Thang.Nam],'Dong Lam'!AI$155)</f>
        <v>0</v>
      </c>
      <c r="AJ175" s="344">
        <f>SUMIFS([1]!Data_CF[Value],[1]!Data_CF[Index CF],'Dong Lam'!$B175,[1]!Data_CF[TenCongTyID],'Dong Lam'!$B$1,[1]!Data_CF[Thang.Nam],'Dong Lam'!AJ$155)</f>
        <v>0</v>
      </c>
      <c r="AK175" s="344">
        <f>SUMIFS([1]!Data_CF[Value],[1]!Data_CF[Index CF],'Dong Lam'!$B175,[1]!Data_CF[TenCongTyID],'Dong Lam'!$B$1,[1]!Data_CF[Thang.Nam],'Dong Lam'!AK$155)</f>
        <v>0</v>
      </c>
      <c r="AL175" s="344">
        <f>SUMIFS([1]!Data_CF[Value],[1]!Data_CF[Index CF],'Dong Lam'!$B175,[1]!Data_CF[TenCongTyID],'Dong Lam'!$B$1,[1]!Data_CF[Thang.Nam],'Dong Lam'!AL$155)</f>
        <v>0</v>
      </c>
    </row>
    <row r="176" spans="1:38" ht="15" customHeight="1">
      <c r="A176" s="145" t="s">
        <v>262</v>
      </c>
      <c r="B176" s="146">
        <v>21</v>
      </c>
      <c r="C176" s="314"/>
      <c r="D176" s="314"/>
      <c r="E176" s="314"/>
      <c r="F176" s="314"/>
      <c r="G176" s="314"/>
      <c r="H176" s="314"/>
      <c r="I176" s="314"/>
      <c r="J176" s="314"/>
      <c r="K176" s="314"/>
      <c r="L176" s="314"/>
      <c r="M176" s="314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  <c r="Z176" s="315">
        <v>0</v>
      </c>
      <c r="AA176" s="316">
        <f>SUMIFS([1]!Data_CF[Value],[1]!Data_CF[Index CF],'Dong Lam'!$B176,[1]!Data_CF[TenCongTyID],'Dong Lam'!$B$1,[1]!Data_CF[Thang.Nam],'Dong Lam'!AA$155)</f>
        <v>0</v>
      </c>
      <c r="AB176" s="316">
        <f>SUMIFS([1]!Data_CF[Value],[1]!Data_CF[Index CF],'Dong Lam'!$B176,[1]!Data_CF[TenCongTyID],'Dong Lam'!$B$1,[1]!Data_CF[Thang.Nam],'Dong Lam'!AB$155)</f>
        <v>0</v>
      </c>
      <c r="AC176" s="316">
        <f>SUMIFS([1]!Data_CF[Value],[1]!Data_CF[Index CF],'Dong Lam'!$B176,[1]!Data_CF[TenCongTyID],'Dong Lam'!$B$1,[1]!Data_CF[Thang.Nam],'Dong Lam'!AC$155)</f>
        <v>0</v>
      </c>
      <c r="AD176" s="316">
        <f>SUMIFS([1]!Data_CF[Value],[1]!Data_CF[Index CF],'Dong Lam'!$B176,[1]!Data_CF[TenCongTyID],'Dong Lam'!$B$1,[1]!Data_CF[Thang.Nam],'Dong Lam'!AD$155)</f>
        <v>0</v>
      </c>
      <c r="AE176" s="316">
        <f>SUMIFS([1]!Data_CF[Value],[1]!Data_CF[Index CF],'Dong Lam'!$B176,[1]!Data_CF[TenCongTyID],'Dong Lam'!$B$1,[1]!Data_CF[Thang.Nam],'Dong Lam'!AE$155)</f>
        <v>0</v>
      </c>
      <c r="AF176" s="316">
        <f>SUMIFS([1]!Data_CF[Value],[1]!Data_CF[Index CF],'Dong Lam'!$B176,[1]!Data_CF[TenCongTyID],'Dong Lam'!$B$1,[1]!Data_CF[Thang.Nam],'Dong Lam'!AF$155)</f>
        <v>0</v>
      </c>
      <c r="AG176" s="316">
        <f>SUMIFS([1]!Data_CF[Value],[1]!Data_CF[Index CF],'Dong Lam'!$B176,[1]!Data_CF[TenCongTyID],'Dong Lam'!$B$1,[1]!Data_CF[Thang.Nam],'Dong Lam'!AG$155)</f>
        <v>0</v>
      </c>
      <c r="AH176" s="316">
        <f>SUMIFS([1]!Data_CF[Value],[1]!Data_CF[Index CF],'Dong Lam'!$B176,[1]!Data_CF[TenCongTyID],'Dong Lam'!$B$1,[1]!Data_CF[Thang.Nam],'Dong Lam'!AH$155)</f>
        <v>0</v>
      </c>
      <c r="AI176" s="316">
        <f>SUMIFS([1]!Data_CF[Value],[1]!Data_CF[Index CF],'Dong Lam'!$B176,[1]!Data_CF[TenCongTyID],'Dong Lam'!$B$1,[1]!Data_CF[Thang.Nam],'Dong Lam'!AI$155)</f>
        <v>0</v>
      </c>
      <c r="AJ176" s="316">
        <f>SUMIFS([1]!Data_CF[Value],[1]!Data_CF[Index CF],'Dong Lam'!$B176,[1]!Data_CF[TenCongTyID],'Dong Lam'!$B$1,[1]!Data_CF[Thang.Nam],'Dong Lam'!AJ$155)</f>
        <v>0</v>
      </c>
      <c r="AK176" s="316">
        <f>SUMIFS([1]!Data_CF[Value],[1]!Data_CF[Index CF],'Dong Lam'!$B176,[1]!Data_CF[TenCongTyID],'Dong Lam'!$B$1,[1]!Data_CF[Thang.Nam],'Dong Lam'!AK$155)</f>
        <v>0</v>
      </c>
      <c r="AL176" s="316">
        <f>SUMIFS([1]!Data_CF[Value],[1]!Data_CF[Index CF],'Dong Lam'!$B176,[1]!Data_CF[TenCongTyID],'Dong Lam'!$B$1,[1]!Data_CF[Thang.Nam],'Dong Lam'!AL$155)</f>
        <v>0</v>
      </c>
    </row>
    <row r="177" spans="1:38" ht="14">
      <c r="A177" s="164" t="s">
        <v>263</v>
      </c>
      <c r="B177" s="165">
        <v>22</v>
      </c>
      <c r="C177" s="299"/>
      <c r="D177" s="299"/>
      <c r="E177" s="299">
        <v>-60000000</v>
      </c>
      <c r="F177" s="299">
        <v>-145000000</v>
      </c>
      <c r="G177" s="299">
        <v>-215340000</v>
      </c>
      <c r="H177" s="299">
        <v>15940000</v>
      </c>
      <c r="I177" s="299">
        <v>-485681952</v>
      </c>
      <c r="J177" s="299"/>
      <c r="K177" s="299"/>
      <c r="L177" s="299"/>
      <c r="M177" s="299"/>
      <c r="N177" s="299"/>
      <c r="O177" s="299">
        <v>-160147048</v>
      </c>
      <c r="P177" s="299">
        <v>-172308467</v>
      </c>
      <c r="Q177" s="299"/>
      <c r="R177" s="299"/>
      <c r="S177" s="299"/>
      <c r="T177" s="299">
        <v>-274052200</v>
      </c>
      <c r="U177" s="299">
        <v>-430752222</v>
      </c>
      <c r="V177" s="299">
        <v>-623000000</v>
      </c>
      <c r="W177" s="299"/>
      <c r="X177" s="299"/>
      <c r="Y177" s="299">
        <v>-1089300000</v>
      </c>
      <c r="Z177" s="299">
        <v>-3072516194</v>
      </c>
      <c r="AA177" s="305">
        <f>SUMIFS([1]!Data_CF[Value],[1]!Data_CF[Index CF],'Dong Lam'!$B177,[1]!Data_CF[TenCongTyID],'Dong Lam'!$B$1,[1]!Data_CF[Thang.Nam],'Dong Lam'!AA$155)</f>
        <v>0</v>
      </c>
      <c r="AB177" s="305">
        <f>SUMIFS([1]!Data_CF[Value],[1]!Data_CF[Index CF],'Dong Lam'!$B177,[1]!Data_CF[TenCongTyID],'Dong Lam'!$B$1,[1]!Data_CF[Thang.Nam],'Dong Lam'!AB$155)</f>
        <v>0</v>
      </c>
      <c r="AC177" s="305">
        <f>SUMIFS([1]!Data_CF[Value],[1]!Data_CF[Index CF],'Dong Lam'!$B177,[1]!Data_CF[TenCongTyID],'Dong Lam'!$B$1,[1]!Data_CF[Thang.Nam],'Dong Lam'!AC$155)</f>
        <v>0</v>
      </c>
      <c r="AD177" s="305">
        <f>SUMIFS([1]!Data_CF[Value],[1]!Data_CF[Index CF],'Dong Lam'!$B177,[1]!Data_CF[TenCongTyID],'Dong Lam'!$B$1,[1]!Data_CF[Thang.Nam],'Dong Lam'!AD$155)</f>
        <v>0</v>
      </c>
      <c r="AE177" s="305">
        <f>SUMIFS([1]!Data_CF[Value],[1]!Data_CF[Index CF],'Dong Lam'!$B177,[1]!Data_CF[TenCongTyID],'Dong Lam'!$B$1,[1]!Data_CF[Thang.Nam],'Dong Lam'!AE$155)</f>
        <v>0</v>
      </c>
      <c r="AF177" s="305">
        <f>SUMIFS([1]!Data_CF[Value],[1]!Data_CF[Index CF],'Dong Lam'!$B177,[1]!Data_CF[TenCongTyID],'Dong Lam'!$B$1,[1]!Data_CF[Thang.Nam],'Dong Lam'!AF$155)</f>
        <v>0</v>
      </c>
      <c r="AG177" s="305">
        <f>SUMIFS([1]!Data_CF[Value],[1]!Data_CF[Index CF],'Dong Lam'!$B177,[1]!Data_CF[TenCongTyID],'Dong Lam'!$B$1,[1]!Data_CF[Thang.Nam],'Dong Lam'!AG$155)</f>
        <v>0</v>
      </c>
      <c r="AH177" s="305">
        <f>SUMIFS([1]!Data_CF[Value],[1]!Data_CF[Index CF],'Dong Lam'!$B177,[1]!Data_CF[TenCongTyID],'Dong Lam'!$B$1,[1]!Data_CF[Thang.Nam],'Dong Lam'!AH$155)</f>
        <v>0</v>
      </c>
      <c r="AI177" s="305">
        <f>SUMIFS([1]!Data_CF[Value],[1]!Data_CF[Index CF],'Dong Lam'!$B177,[1]!Data_CF[TenCongTyID],'Dong Lam'!$B$1,[1]!Data_CF[Thang.Nam],'Dong Lam'!AI$155)</f>
        <v>0</v>
      </c>
      <c r="AJ177" s="305">
        <f>SUMIFS([1]!Data_CF[Value],[1]!Data_CF[Index CF],'Dong Lam'!$B177,[1]!Data_CF[TenCongTyID],'Dong Lam'!$B$1,[1]!Data_CF[Thang.Nam],'Dong Lam'!AJ$155)</f>
        <v>0</v>
      </c>
      <c r="AK177" s="305">
        <f>SUMIFS([1]!Data_CF[Value],[1]!Data_CF[Index CF],'Dong Lam'!$B177,[1]!Data_CF[TenCongTyID],'Dong Lam'!$B$1,[1]!Data_CF[Thang.Nam],'Dong Lam'!AK$155)</f>
        <v>0</v>
      </c>
      <c r="AL177" s="305">
        <f>SUMIFS([1]!Data_CF[Value],[1]!Data_CF[Index CF],'Dong Lam'!$B177,[1]!Data_CF[TenCongTyID],'Dong Lam'!$B$1,[1]!Data_CF[Thang.Nam],'Dong Lam'!AL$155)</f>
        <v>0</v>
      </c>
    </row>
    <row r="178" spans="1:38" ht="14">
      <c r="A178" s="164" t="s">
        <v>264</v>
      </c>
      <c r="B178" s="165">
        <v>23</v>
      </c>
      <c r="C178" s="317"/>
      <c r="D178" s="317"/>
      <c r="E178" s="317"/>
      <c r="F178" s="317">
        <v>81700000</v>
      </c>
      <c r="G178" s="317"/>
      <c r="H178" s="317"/>
      <c r="I178" s="317"/>
      <c r="J178" s="317"/>
      <c r="K178" s="317"/>
      <c r="L178" s="317"/>
      <c r="M178" s="317"/>
      <c r="N178" s="302"/>
      <c r="O178" s="302"/>
      <c r="P178" s="302"/>
      <c r="Q178" s="302"/>
      <c r="R178" s="302"/>
      <c r="S178" s="302"/>
      <c r="T178" s="302"/>
      <c r="U178" s="302"/>
      <c r="V178" s="302"/>
      <c r="W178" s="302"/>
      <c r="X178" s="302"/>
      <c r="Y178" s="302"/>
      <c r="Z178" s="302">
        <v>0</v>
      </c>
      <c r="AA178" s="303">
        <f>SUMIFS([1]!Data_CF[Value],[1]!Data_CF[Index CF],'Dong Lam'!$B178,[1]!Data_CF[TenCongTyID],'Dong Lam'!$B$1,[1]!Data_CF[Thang.Nam],'Dong Lam'!AA$155)</f>
        <v>0</v>
      </c>
      <c r="AB178" s="303">
        <f>SUMIFS([1]!Data_CF[Value],[1]!Data_CF[Index CF],'Dong Lam'!$B178,[1]!Data_CF[TenCongTyID],'Dong Lam'!$B$1,[1]!Data_CF[Thang.Nam],'Dong Lam'!AB$155)</f>
        <v>0</v>
      </c>
      <c r="AC178" s="303">
        <f>SUMIFS([1]!Data_CF[Value],[1]!Data_CF[Index CF],'Dong Lam'!$B178,[1]!Data_CF[TenCongTyID],'Dong Lam'!$B$1,[1]!Data_CF[Thang.Nam],'Dong Lam'!AC$155)</f>
        <v>0</v>
      </c>
      <c r="AD178" s="303">
        <f>SUMIFS([1]!Data_CF[Value],[1]!Data_CF[Index CF],'Dong Lam'!$B178,[1]!Data_CF[TenCongTyID],'Dong Lam'!$B$1,[1]!Data_CF[Thang.Nam],'Dong Lam'!AD$155)</f>
        <v>0</v>
      </c>
      <c r="AE178" s="303">
        <f>SUMIFS([1]!Data_CF[Value],[1]!Data_CF[Index CF],'Dong Lam'!$B178,[1]!Data_CF[TenCongTyID],'Dong Lam'!$B$1,[1]!Data_CF[Thang.Nam],'Dong Lam'!AE$155)</f>
        <v>0</v>
      </c>
      <c r="AF178" s="303">
        <f>SUMIFS([1]!Data_CF[Value],[1]!Data_CF[Index CF],'Dong Lam'!$B178,[1]!Data_CF[TenCongTyID],'Dong Lam'!$B$1,[1]!Data_CF[Thang.Nam],'Dong Lam'!AF$155)</f>
        <v>0</v>
      </c>
      <c r="AG178" s="303">
        <f>SUMIFS([1]!Data_CF[Value],[1]!Data_CF[Index CF],'Dong Lam'!$B178,[1]!Data_CF[TenCongTyID],'Dong Lam'!$B$1,[1]!Data_CF[Thang.Nam],'Dong Lam'!AG$155)</f>
        <v>0</v>
      </c>
      <c r="AH178" s="303">
        <f>SUMIFS([1]!Data_CF[Value],[1]!Data_CF[Index CF],'Dong Lam'!$B178,[1]!Data_CF[TenCongTyID],'Dong Lam'!$B$1,[1]!Data_CF[Thang.Nam],'Dong Lam'!AH$155)</f>
        <v>0</v>
      </c>
      <c r="AI178" s="303">
        <f>SUMIFS([1]!Data_CF[Value],[1]!Data_CF[Index CF],'Dong Lam'!$B178,[1]!Data_CF[TenCongTyID],'Dong Lam'!$B$1,[1]!Data_CF[Thang.Nam],'Dong Lam'!AI$155)</f>
        <v>0</v>
      </c>
      <c r="AJ178" s="303">
        <f>SUMIFS([1]!Data_CF[Value],[1]!Data_CF[Index CF],'Dong Lam'!$B178,[1]!Data_CF[TenCongTyID],'Dong Lam'!$B$1,[1]!Data_CF[Thang.Nam],'Dong Lam'!AJ$155)</f>
        <v>0</v>
      </c>
      <c r="AK178" s="303">
        <f>SUMIFS([1]!Data_CF[Value],[1]!Data_CF[Index CF],'Dong Lam'!$B178,[1]!Data_CF[TenCongTyID],'Dong Lam'!$B$1,[1]!Data_CF[Thang.Nam],'Dong Lam'!AK$155)</f>
        <v>0</v>
      </c>
      <c r="AL178" s="303">
        <f>SUMIFS([1]!Data_CF[Value],[1]!Data_CF[Index CF],'Dong Lam'!$B178,[1]!Data_CF[TenCongTyID],'Dong Lam'!$B$1,[1]!Data_CF[Thang.Nam],'Dong Lam'!AL$155)</f>
        <v>0</v>
      </c>
    </row>
    <row r="179" spans="1:38" ht="14">
      <c r="A179" s="164" t="s">
        <v>265</v>
      </c>
      <c r="B179" s="165">
        <v>24</v>
      </c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/>
      <c r="P179" s="318"/>
      <c r="Q179" s="318"/>
      <c r="R179" s="318"/>
      <c r="S179" s="318"/>
      <c r="T179" s="318"/>
      <c r="U179" s="318"/>
      <c r="V179" s="318"/>
      <c r="W179" s="318"/>
      <c r="X179" s="318"/>
      <c r="Y179" s="318"/>
      <c r="Z179" s="318">
        <v>0</v>
      </c>
      <c r="AA179" s="310">
        <f>SUMIFS([1]!Data_CF[Value],[1]!Data_CF[Index CF],'Dong Lam'!$B179,[1]!Data_CF[TenCongTyID],'Dong Lam'!$B$1,[1]!Data_CF[Thang.Nam],'Dong Lam'!AA$155)</f>
        <v>0</v>
      </c>
      <c r="AB179" s="310">
        <f>SUMIFS([1]!Data_CF[Value],[1]!Data_CF[Index CF],'Dong Lam'!$B179,[1]!Data_CF[TenCongTyID],'Dong Lam'!$B$1,[1]!Data_CF[Thang.Nam],'Dong Lam'!AB$155)</f>
        <v>0</v>
      </c>
      <c r="AC179" s="310">
        <f>SUMIFS([1]!Data_CF[Value],[1]!Data_CF[Index CF],'Dong Lam'!$B179,[1]!Data_CF[TenCongTyID],'Dong Lam'!$B$1,[1]!Data_CF[Thang.Nam],'Dong Lam'!AC$155)</f>
        <v>0</v>
      </c>
      <c r="AD179" s="310">
        <f>SUMIFS([1]!Data_CF[Value],[1]!Data_CF[Index CF],'Dong Lam'!$B179,[1]!Data_CF[TenCongTyID],'Dong Lam'!$B$1,[1]!Data_CF[Thang.Nam],'Dong Lam'!AD$155)</f>
        <v>0</v>
      </c>
      <c r="AE179" s="310">
        <f>SUMIFS([1]!Data_CF[Value],[1]!Data_CF[Index CF],'Dong Lam'!$B179,[1]!Data_CF[TenCongTyID],'Dong Lam'!$B$1,[1]!Data_CF[Thang.Nam],'Dong Lam'!AE$155)</f>
        <v>0</v>
      </c>
      <c r="AF179" s="310">
        <f>SUMIFS([1]!Data_CF[Value],[1]!Data_CF[Index CF],'Dong Lam'!$B179,[1]!Data_CF[TenCongTyID],'Dong Lam'!$B$1,[1]!Data_CF[Thang.Nam],'Dong Lam'!AF$155)</f>
        <v>0</v>
      </c>
      <c r="AG179" s="310">
        <f>SUMIFS([1]!Data_CF[Value],[1]!Data_CF[Index CF],'Dong Lam'!$B179,[1]!Data_CF[TenCongTyID],'Dong Lam'!$B$1,[1]!Data_CF[Thang.Nam],'Dong Lam'!AG$155)</f>
        <v>0</v>
      </c>
      <c r="AH179" s="310">
        <f>SUMIFS([1]!Data_CF[Value],[1]!Data_CF[Index CF],'Dong Lam'!$B179,[1]!Data_CF[TenCongTyID],'Dong Lam'!$B$1,[1]!Data_CF[Thang.Nam],'Dong Lam'!AH$155)</f>
        <v>0</v>
      </c>
      <c r="AI179" s="310">
        <f>SUMIFS([1]!Data_CF[Value],[1]!Data_CF[Index CF],'Dong Lam'!$B179,[1]!Data_CF[TenCongTyID],'Dong Lam'!$B$1,[1]!Data_CF[Thang.Nam],'Dong Lam'!AI$155)</f>
        <v>0</v>
      </c>
      <c r="AJ179" s="310">
        <f>SUMIFS([1]!Data_CF[Value],[1]!Data_CF[Index CF],'Dong Lam'!$B179,[1]!Data_CF[TenCongTyID],'Dong Lam'!$B$1,[1]!Data_CF[Thang.Nam],'Dong Lam'!AJ$155)</f>
        <v>0</v>
      </c>
      <c r="AK179" s="310">
        <f>SUMIFS([1]!Data_CF[Value],[1]!Data_CF[Index CF],'Dong Lam'!$B179,[1]!Data_CF[TenCongTyID],'Dong Lam'!$B$1,[1]!Data_CF[Thang.Nam],'Dong Lam'!AK$155)</f>
        <v>0</v>
      </c>
      <c r="AL179" s="310">
        <f>SUMIFS([1]!Data_CF[Value],[1]!Data_CF[Index CF],'Dong Lam'!$B179,[1]!Data_CF[TenCongTyID],'Dong Lam'!$B$1,[1]!Data_CF[Thang.Nam],'Dong Lam'!AL$155)</f>
        <v>0</v>
      </c>
    </row>
    <row r="180" spans="1:38" ht="14">
      <c r="A180" s="164" t="s">
        <v>266</v>
      </c>
      <c r="B180" s="165">
        <v>25</v>
      </c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02"/>
      <c r="O180" s="302"/>
      <c r="P180" s="302"/>
      <c r="Q180" s="302"/>
      <c r="R180" s="302"/>
      <c r="S180" s="302"/>
      <c r="T180" s="302"/>
      <c r="U180" s="302"/>
      <c r="V180" s="302"/>
      <c r="W180" s="302"/>
      <c r="X180" s="302"/>
      <c r="Y180" s="302"/>
      <c r="Z180" s="302">
        <v>0</v>
      </c>
      <c r="AA180" s="303">
        <f>SUMIFS([1]!Data_CF[Value],[1]!Data_CF[Index CF],'Dong Lam'!$B180,[1]!Data_CF[TenCongTyID],'Dong Lam'!$B$1,[1]!Data_CF[Thang.Nam],'Dong Lam'!AA$155)</f>
        <v>0</v>
      </c>
      <c r="AB180" s="303">
        <f>SUMIFS([1]!Data_CF[Value],[1]!Data_CF[Index CF],'Dong Lam'!$B180,[1]!Data_CF[TenCongTyID],'Dong Lam'!$B$1,[1]!Data_CF[Thang.Nam],'Dong Lam'!AB$155)</f>
        <v>0</v>
      </c>
      <c r="AC180" s="303">
        <f>SUMIFS([1]!Data_CF[Value],[1]!Data_CF[Index CF],'Dong Lam'!$B180,[1]!Data_CF[TenCongTyID],'Dong Lam'!$B$1,[1]!Data_CF[Thang.Nam],'Dong Lam'!AC$155)</f>
        <v>0</v>
      </c>
      <c r="AD180" s="303">
        <f>SUMIFS([1]!Data_CF[Value],[1]!Data_CF[Index CF],'Dong Lam'!$B180,[1]!Data_CF[TenCongTyID],'Dong Lam'!$B$1,[1]!Data_CF[Thang.Nam],'Dong Lam'!AD$155)</f>
        <v>0</v>
      </c>
      <c r="AE180" s="303">
        <f>SUMIFS([1]!Data_CF[Value],[1]!Data_CF[Index CF],'Dong Lam'!$B180,[1]!Data_CF[TenCongTyID],'Dong Lam'!$B$1,[1]!Data_CF[Thang.Nam],'Dong Lam'!AE$155)</f>
        <v>0</v>
      </c>
      <c r="AF180" s="303">
        <f>SUMIFS([1]!Data_CF[Value],[1]!Data_CF[Index CF],'Dong Lam'!$B180,[1]!Data_CF[TenCongTyID],'Dong Lam'!$B$1,[1]!Data_CF[Thang.Nam],'Dong Lam'!AF$155)</f>
        <v>0</v>
      </c>
      <c r="AG180" s="303">
        <f>SUMIFS([1]!Data_CF[Value],[1]!Data_CF[Index CF],'Dong Lam'!$B180,[1]!Data_CF[TenCongTyID],'Dong Lam'!$B$1,[1]!Data_CF[Thang.Nam],'Dong Lam'!AG$155)</f>
        <v>0</v>
      </c>
      <c r="AH180" s="303">
        <f>SUMIFS([1]!Data_CF[Value],[1]!Data_CF[Index CF],'Dong Lam'!$B180,[1]!Data_CF[TenCongTyID],'Dong Lam'!$B$1,[1]!Data_CF[Thang.Nam],'Dong Lam'!AH$155)</f>
        <v>0</v>
      </c>
      <c r="AI180" s="303">
        <f>SUMIFS([1]!Data_CF[Value],[1]!Data_CF[Index CF],'Dong Lam'!$B180,[1]!Data_CF[TenCongTyID],'Dong Lam'!$B$1,[1]!Data_CF[Thang.Nam],'Dong Lam'!AI$155)</f>
        <v>0</v>
      </c>
      <c r="AJ180" s="303">
        <f>SUMIFS([1]!Data_CF[Value],[1]!Data_CF[Index CF],'Dong Lam'!$B180,[1]!Data_CF[TenCongTyID],'Dong Lam'!$B$1,[1]!Data_CF[Thang.Nam],'Dong Lam'!AJ$155)</f>
        <v>0</v>
      </c>
      <c r="AK180" s="303">
        <f>SUMIFS([1]!Data_CF[Value],[1]!Data_CF[Index CF],'Dong Lam'!$B180,[1]!Data_CF[TenCongTyID],'Dong Lam'!$B$1,[1]!Data_CF[Thang.Nam],'Dong Lam'!AK$155)</f>
        <v>0</v>
      </c>
      <c r="AL180" s="303">
        <f>SUMIFS([1]!Data_CF[Value],[1]!Data_CF[Index CF],'Dong Lam'!$B180,[1]!Data_CF[TenCongTyID],'Dong Lam'!$B$1,[1]!Data_CF[Thang.Nam],'Dong Lam'!AL$155)</f>
        <v>0</v>
      </c>
    </row>
    <row r="181" spans="1:38" ht="15" customHeight="1">
      <c r="A181" s="164" t="s">
        <v>267</v>
      </c>
      <c r="B181" s="165">
        <v>26</v>
      </c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>
        <f>-((W72-V72)+(W73-V73)+(W74-V74))-W182</f>
        <v>0</v>
      </c>
      <c r="X181" s="299"/>
      <c r="Y181" s="299"/>
      <c r="Z181" s="299">
        <v>0</v>
      </c>
      <c r="AA181" s="305">
        <f>SUMIFS([1]!Data_CF[Value],[1]!Data_CF[Index CF],'Dong Lam'!$B181,[1]!Data_CF[TenCongTyID],'Dong Lam'!$B$1,[1]!Data_CF[Thang.Nam],'Dong Lam'!AA$155)</f>
        <v>0</v>
      </c>
      <c r="AB181" s="305">
        <f>SUMIFS([1]!Data_CF[Value],[1]!Data_CF[Index CF],'Dong Lam'!$B181,[1]!Data_CF[TenCongTyID],'Dong Lam'!$B$1,[1]!Data_CF[Thang.Nam],'Dong Lam'!AB$155)</f>
        <v>0</v>
      </c>
      <c r="AC181" s="305">
        <f>SUMIFS([1]!Data_CF[Value],[1]!Data_CF[Index CF],'Dong Lam'!$B181,[1]!Data_CF[TenCongTyID],'Dong Lam'!$B$1,[1]!Data_CF[Thang.Nam],'Dong Lam'!AC$155)</f>
        <v>0</v>
      </c>
      <c r="AD181" s="305">
        <f>SUMIFS([1]!Data_CF[Value],[1]!Data_CF[Index CF],'Dong Lam'!$B181,[1]!Data_CF[TenCongTyID],'Dong Lam'!$B$1,[1]!Data_CF[Thang.Nam],'Dong Lam'!AD$155)</f>
        <v>0</v>
      </c>
      <c r="AE181" s="305">
        <f>SUMIFS([1]!Data_CF[Value],[1]!Data_CF[Index CF],'Dong Lam'!$B181,[1]!Data_CF[TenCongTyID],'Dong Lam'!$B$1,[1]!Data_CF[Thang.Nam],'Dong Lam'!AE$155)</f>
        <v>0</v>
      </c>
      <c r="AF181" s="305">
        <f>SUMIFS([1]!Data_CF[Value],[1]!Data_CF[Index CF],'Dong Lam'!$B181,[1]!Data_CF[TenCongTyID],'Dong Lam'!$B$1,[1]!Data_CF[Thang.Nam],'Dong Lam'!AF$155)</f>
        <v>0</v>
      </c>
      <c r="AG181" s="305">
        <f>SUMIFS([1]!Data_CF[Value],[1]!Data_CF[Index CF],'Dong Lam'!$B181,[1]!Data_CF[TenCongTyID],'Dong Lam'!$B$1,[1]!Data_CF[Thang.Nam],'Dong Lam'!AG$155)</f>
        <v>0</v>
      </c>
      <c r="AH181" s="305">
        <f>SUMIFS([1]!Data_CF[Value],[1]!Data_CF[Index CF],'Dong Lam'!$B181,[1]!Data_CF[TenCongTyID],'Dong Lam'!$B$1,[1]!Data_CF[Thang.Nam],'Dong Lam'!AH$155)</f>
        <v>0</v>
      </c>
      <c r="AI181" s="305">
        <f>SUMIFS([1]!Data_CF[Value],[1]!Data_CF[Index CF],'Dong Lam'!$B181,[1]!Data_CF[TenCongTyID],'Dong Lam'!$B$1,[1]!Data_CF[Thang.Nam],'Dong Lam'!AI$155)</f>
        <v>0</v>
      </c>
      <c r="AJ181" s="305">
        <f>SUMIFS([1]!Data_CF[Value],[1]!Data_CF[Index CF],'Dong Lam'!$B181,[1]!Data_CF[TenCongTyID],'Dong Lam'!$B$1,[1]!Data_CF[Thang.Nam],'Dong Lam'!AJ$155)</f>
        <v>0</v>
      </c>
      <c r="AK181" s="305">
        <f>SUMIFS([1]!Data_CF[Value],[1]!Data_CF[Index CF],'Dong Lam'!$B181,[1]!Data_CF[TenCongTyID],'Dong Lam'!$B$1,[1]!Data_CF[Thang.Nam],'Dong Lam'!AK$155)</f>
        <v>0</v>
      </c>
      <c r="AL181" s="305">
        <f>SUMIFS([1]!Data_CF[Value],[1]!Data_CF[Index CF],'Dong Lam'!$B181,[1]!Data_CF[TenCongTyID],'Dong Lam'!$B$1,[1]!Data_CF[Thang.Nam],'Dong Lam'!AL$155)</f>
        <v>0</v>
      </c>
    </row>
    <row r="182" spans="1:38" ht="15" customHeight="1">
      <c r="A182" s="164" t="s">
        <v>268</v>
      </c>
      <c r="B182" s="165">
        <v>27</v>
      </c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02"/>
      <c r="O182" s="302"/>
      <c r="P182" s="302"/>
      <c r="Q182" s="302"/>
      <c r="R182" s="302"/>
      <c r="S182" s="302"/>
      <c r="T182" s="302"/>
      <c r="U182" s="302"/>
      <c r="V182" s="302"/>
      <c r="W182" s="302"/>
      <c r="X182" s="302"/>
      <c r="Y182" s="302"/>
      <c r="Z182" s="302">
        <v>0</v>
      </c>
      <c r="AA182" s="303">
        <f>SUMIFS([1]!Data_CF[Value],[1]!Data_CF[Index CF],'Dong Lam'!$B182,[1]!Data_CF[TenCongTyID],'Dong Lam'!$B$1,[1]!Data_CF[Thang.Nam],'Dong Lam'!AA$155)</f>
        <v>0</v>
      </c>
      <c r="AB182" s="303">
        <f>SUMIFS([1]!Data_CF[Value],[1]!Data_CF[Index CF],'Dong Lam'!$B182,[1]!Data_CF[TenCongTyID],'Dong Lam'!$B$1,[1]!Data_CF[Thang.Nam],'Dong Lam'!AB$155)</f>
        <v>0</v>
      </c>
      <c r="AC182" s="303">
        <f>SUMIFS([1]!Data_CF[Value],[1]!Data_CF[Index CF],'Dong Lam'!$B182,[1]!Data_CF[TenCongTyID],'Dong Lam'!$B$1,[1]!Data_CF[Thang.Nam],'Dong Lam'!AC$155)</f>
        <v>0</v>
      </c>
      <c r="AD182" s="303">
        <f>SUMIFS([1]!Data_CF[Value],[1]!Data_CF[Index CF],'Dong Lam'!$B182,[1]!Data_CF[TenCongTyID],'Dong Lam'!$B$1,[1]!Data_CF[Thang.Nam],'Dong Lam'!AD$155)</f>
        <v>0</v>
      </c>
      <c r="AE182" s="303">
        <f>SUMIFS([1]!Data_CF[Value],[1]!Data_CF[Index CF],'Dong Lam'!$B182,[1]!Data_CF[TenCongTyID],'Dong Lam'!$B$1,[1]!Data_CF[Thang.Nam],'Dong Lam'!AE$155)</f>
        <v>0</v>
      </c>
      <c r="AF182" s="303">
        <f>SUMIFS([1]!Data_CF[Value],[1]!Data_CF[Index CF],'Dong Lam'!$B182,[1]!Data_CF[TenCongTyID],'Dong Lam'!$B$1,[1]!Data_CF[Thang.Nam],'Dong Lam'!AF$155)</f>
        <v>0</v>
      </c>
      <c r="AG182" s="303">
        <f>SUMIFS([1]!Data_CF[Value],[1]!Data_CF[Index CF],'Dong Lam'!$B182,[1]!Data_CF[TenCongTyID],'Dong Lam'!$B$1,[1]!Data_CF[Thang.Nam],'Dong Lam'!AG$155)</f>
        <v>0</v>
      </c>
      <c r="AH182" s="303">
        <f>SUMIFS([1]!Data_CF[Value],[1]!Data_CF[Index CF],'Dong Lam'!$B182,[1]!Data_CF[TenCongTyID],'Dong Lam'!$B$1,[1]!Data_CF[Thang.Nam],'Dong Lam'!AH$155)</f>
        <v>0</v>
      </c>
      <c r="AI182" s="303">
        <f>SUMIFS([1]!Data_CF[Value],[1]!Data_CF[Index CF],'Dong Lam'!$B182,[1]!Data_CF[TenCongTyID],'Dong Lam'!$B$1,[1]!Data_CF[Thang.Nam],'Dong Lam'!AI$155)</f>
        <v>0</v>
      </c>
      <c r="AJ182" s="303">
        <f>SUMIFS([1]!Data_CF[Value],[1]!Data_CF[Index CF],'Dong Lam'!$B182,[1]!Data_CF[TenCongTyID],'Dong Lam'!$B$1,[1]!Data_CF[Thang.Nam],'Dong Lam'!AJ$155)</f>
        <v>0</v>
      </c>
      <c r="AK182" s="303">
        <f>SUMIFS([1]!Data_CF[Value],[1]!Data_CF[Index CF],'Dong Lam'!$B182,[1]!Data_CF[TenCongTyID],'Dong Lam'!$B$1,[1]!Data_CF[Thang.Nam],'Dong Lam'!AK$155)</f>
        <v>0</v>
      </c>
      <c r="AL182" s="303">
        <f>SUMIFS([1]!Data_CF[Value],[1]!Data_CF[Index CF],'Dong Lam'!$B182,[1]!Data_CF[TenCongTyID],'Dong Lam'!$B$1,[1]!Data_CF[Thang.Nam],'Dong Lam'!AL$155)</f>
        <v>0</v>
      </c>
    </row>
    <row r="183" spans="1:38" ht="15" customHeight="1">
      <c r="A183" s="164" t="s">
        <v>269</v>
      </c>
      <c r="B183" s="165">
        <v>28</v>
      </c>
      <c r="C183" s="299">
        <v>9382459</v>
      </c>
      <c r="D183" s="299">
        <v>10579719</v>
      </c>
      <c r="E183" s="299">
        <v>9899400</v>
      </c>
      <c r="F183" s="299">
        <v>10580906</v>
      </c>
      <c r="G183" s="299">
        <v>10872809</v>
      </c>
      <c r="H183" s="299">
        <v>12253869</v>
      </c>
      <c r="I183" s="299">
        <v>32961164</v>
      </c>
      <c r="J183" s="299">
        <v>10484107</v>
      </c>
      <c r="K183" s="299">
        <v>10990062</v>
      </c>
      <c r="L183" s="299">
        <v>51973968</v>
      </c>
      <c r="M183" s="299">
        <v>11239032</v>
      </c>
      <c r="N183" s="299">
        <v>10871181</v>
      </c>
      <c r="O183" s="299">
        <v>56610291</v>
      </c>
      <c r="P183" s="299">
        <v>11478700</v>
      </c>
      <c r="Q183" s="299">
        <v>10596772</v>
      </c>
      <c r="R183" s="299">
        <v>57102611</v>
      </c>
      <c r="S183" s="299">
        <v>11106781</v>
      </c>
      <c r="T183" s="299">
        <v>10419655</v>
      </c>
      <c r="U183" s="299">
        <v>56496007</v>
      </c>
      <c r="V183" s="299">
        <v>7319275</v>
      </c>
      <c r="W183" s="299">
        <f>-W162</f>
        <v>7346208</v>
      </c>
      <c r="X183" s="299">
        <v>52495236</v>
      </c>
      <c r="Y183" s="299"/>
      <c r="Z183" s="299">
        <v>18946348</v>
      </c>
      <c r="AA183" s="305">
        <f>SUMIFS([1]!Data_CF[Value],[1]!Data_CF[Index CF],'Dong Lam'!$B183,[1]!Data_CF[TenCongTyID],'Dong Lam'!$B$1,[1]!Data_CF[Thang.Nam],'Dong Lam'!AA$155)</f>
        <v>0</v>
      </c>
      <c r="AB183" s="305">
        <f>SUMIFS([1]!Data_CF[Value],[1]!Data_CF[Index CF],'Dong Lam'!$B183,[1]!Data_CF[TenCongTyID],'Dong Lam'!$B$1,[1]!Data_CF[Thang.Nam],'Dong Lam'!AB$155)</f>
        <v>0</v>
      </c>
      <c r="AC183" s="305">
        <f>SUMIFS([1]!Data_CF[Value],[1]!Data_CF[Index CF],'Dong Lam'!$B183,[1]!Data_CF[TenCongTyID],'Dong Lam'!$B$1,[1]!Data_CF[Thang.Nam],'Dong Lam'!AC$155)</f>
        <v>0</v>
      </c>
      <c r="AD183" s="305">
        <f>SUMIFS([1]!Data_CF[Value],[1]!Data_CF[Index CF],'Dong Lam'!$B183,[1]!Data_CF[TenCongTyID],'Dong Lam'!$B$1,[1]!Data_CF[Thang.Nam],'Dong Lam'!AD$155)</f>
        <v>0</v>
      </c>
      <c r="AE183" s="305">
        <f>SUMIFS([1]!Data_CF[Value],[1]!Data_CF[Index CF],'Dong Lam'!$B183,[1]!Data_CF[TenCongTyID],'Dong Lam'!$B$1,[1]!Data_CF[Thang.Nam],'Dong Lam'!AE$155)</f>
        <v>0</v>
      </c>
      <c r="AF183" s="305">
        <f>SUMIFS([1]!Data_CF[Value],[1]!Data_CF[Index CF],'Dong Lam'!$B183,[1]!Data_CF[TenCongTyID],'Dong Lam'!$B$1,[1]!Data_CF[Thang.Nam],'Dong Lam'!AF$155)</f>
        <v>0</v>
      </c>
      <c r="AG183" s="305">
        <f>SUMIFS([1]!Data_CF[Value],[1]!Data_CF[Index CF],'Dong Lam'!$B183,[1]!Data_CF[TenCongTyID],'Dong Lam'!$B$1,[1]!Data_CF[Thang.Nam],'Dong Lam'!AG$155)</f>
        <v>0</v>
      </c>
      <c r="AH183" s="305">
        <f>SUMIFS([1]!Data_CF[Value],[1]!Data_CF[Index CF],'Dong Lam'!$B183,[1]!Data_CF[TenCongTyID],'Dong Lam'!$B$1,[1]!Data_CF[Thang.Nam],'Dong Lam'!AH$155)</f>
        <v>0</v>
      </c>
      <c r="AI183" s="305">
        <f>SUMIFS([1]!Data_CF[Value],[1]!Data_CF[Index CF],'Dong Lam'!$B183,[1]!Data_CF[TenCongTyID],'Dong Lam'!$B$1,[1]!Data_CF[Thang.Nam],'Dong Lam'!AI$155)</f>
        <v>0</v>
      </c>
      <c r="AJ183" s="305">
        <f>SUMIFS([1]!Data_CF[Value],[1]!Data_CF[Index CF],'Dong Lam'!$B183,[1]!Data_CF[TenCongTyID],'Dong Lam'!$B$1,[1]!Data_CF[Thang.Nam],'Dong Lam'!AJ$155)</f>
        <v>0</v>
      </c>
      <c r="AK183" s="305">
        <f>SUMIFS([1]!Data_CF[Value],[1]!Data_CF[Index CF],'Dong Lam'!$B183,[1]!Data_CF[TenCongTyID],'Dong Lam'!$B$1,[1]!Data_CF[Thang.Nam],'Dong Lam'!AK$155)</f>
        <v>0</v>
      </c>
      <c r="AL183" s="305">
        <f>SUMIFS([1]!Data_CF[Value],[1]!Data_CF[Index CF],'Dong Lam'!$B183,[1]!Data_CF[TenCongTyID],'Dong Lam'!$B$1,[1]!Data_CF[Thang.Nam],'Dong Lam'!AL$155)</f>
        <v>0</v>
      </c>
    </row>
    <row r="184" spans="1:38" ht="15" customHeight="1">
      <c r="A184" s="145" t="s">
        <v>270</v>
      </c>
      <c r="B184" s="146">
        <v>29</v>
      </c>
      <c r="C184" s="319">
        <v>9382459</v>
      </c>
      <c r="D184" s="319">
        <v>10579719</v>
      </c>
      <c r="E184" s="319">
        <v>-50100600</v>
      </c>
      <c r="F184" s="319">
        <v>-52719094</v>
      </c>
      <c r="G184" s="319">
        <v>-204467191</v>
      </c>
      <c r="H184" s="319">
        <v>28193869</v>
      </c>
      <c r="I184" s="319">
        <v>-452720788</v>
      </c>
      <c r="J184" s="319">
        <v>10484107</v>
      </c>
      <c r="K184" s="319">
        <v>10990062</v>
      </c>
      <c r="L184" s="319">
        <v>51973968</v>
      </c>
      <c r="M184" s="319">
        <v>11239032</v>
      </c>
      <c r="N184" s="319">
        <v>10871181</v>
      </c>
      <c r="O184" s="319">
        <v>-103536757</v>
      </c>
      <c r="P184" s="319">
        <v>-160829767</v>
      </c>
      <c r="Q184" s="319">
        <v>10596772</v>
      </c>
      <c r="R184" s="319">
        <v>57102611</v>
      </c>
      <c r="S184" s="319">
        <v>11106781</v>
      </c>
      <c r="T184" s="319">
        <v>-263632545</v>
      </c>
      <c r="U184" s="319">
        <v>-374256215</v>
      </c>
      <c r="V184" s="319">
        <v>-615680725</v>
      </c>
      <c r="W184" s="319">
        <f>+SUM(W177:W183)</f>
        <v>7346208</v>
      </c>
      <c r="X184" s="319">
        <v>52495236</v>
      </c>
      <c r="Y184" s="319">
        <v>-1089300000</v>
      </c>
      <c r="Z184" s="319">
        <v>-3053569846</v>
      </c>
      <c r="AA184" s="313">
        <f>SUMIFS([1]!Data_CF[Value],[1]!Data_CF[Index CF],'Dong Lam'!$B184,[1]!Data_CF[TenCongTyID],'Dong Lam'!$B$1,[1]!Data_CF[Thang.Nam],'Dong Lam'!AA$155)</f>
        <v>0</v>
      </c>
      <c r="AB184" s="313">
        <f>SUMIFS([1]!Data_CF[Value],[1]!Data_CF[Index CF],'Dong Lam'!$B184,[1]!Data_CF[TenCongTyID],'Dong Lam'!$B$1,[1]!Data_CF[Thang.Nam],'Dong Lam'!AB$155)</f>
        <v>0</v>
      </c>
      <c r="AC184" s="313">
        <f>SUMIFS([1]!Data_CF[Value],[1]!Data_CF[Index CF],'Dong Lam'!$B184,[1]!Data_CF[TenCongTyID],'Dong Lam'!$B$1,[1]!Data_CF[Thang.Nam],'Dong Lam'!AC$155)</f>
        <v>0</v>
      </c>
      <c r="AD184" s="313">
        <f>SUMIFS([1]!Data_CF[Value],[1]!Data_CF[Index CF],'Dong Lam'!$B184,[1]!Data_CF[TenCongTyID],'Dong Lam'!$B$1,[1]!Data_CF[Thang.Nam],'Dong Lam'!AD$155)</f>
        <v>0</v>
      </c>
      <c r="AE184" s="313">
        <f>SUMIFS([1]!Data_CF[Value],[1]!Data_CF[Index CF],'Dong Lam'!$B184,[1]!Data_CF[TenCongTyID],'Dong Lam'!$B$1,[1]!Data_CF[Thang.Nam],'Dong Lam'!AE$155)</f>
        <v>0</v>
      </c>
      <c r="AF184" s="313">
        <f>SUMIFS([1]!Data_CF[Value],[1]!Data_CF[Index CF],'Dong Lam'!$B184,[1]!Data_CF[TenCongTyID],'Dong Lam'!$B$1,[1]!Data_CF[Thang.Nam],'Dong Lam'!AF$155)</f>
        <v>0</v>
      </c>
      <c r="AG184" s="313">
        <f>SUMIFS([1]!Data_CF[Value],[1]!Data_CF[Index CF],'Dong Lam'!$B184,[1]!Data_CF[TenCongTyID],'Dong Lam'!$B$1,[1]!Data_CF[Thang.Nam],'Dong Lam'!AG$155)</f>
        <v>0</v>
      </c>
      <c r="AH184" s="313">
        <f>SUMIFS([1]!Data_CF[Value],[1]!Data_CF[Index CF],'Dong Lam'!$B184,[1]!Data_CF[TenCongTyID],'Dong Lam'!$B$1,[1]!Data_CF[Thang.Nam],'Dong Lam'!AH$155)</f>
        <v>0</v>
      </c>
      <c r="AI184" s="313">
        <f>SUMIFS([1]!Data_CF[Value],[1]!Data_CF[Index CF],'Dong Lam'!$B184,[1]!Data_CF[TenCongTyID],'Dong Lam'!$B$1,[1]!Data_CF[Thang.Nam],'Dong Lam'!AI$155)</f>
        <v>0</v>
      </c>
      <c r="AJ184" s="313">
        <f>SUMIFS([1]!Data_CF[Value],[1]!Data_CF[Index CF],'Dong Lam'!$B184,[1]!Data_CF[TenCongTyID],'Dong Lam'!$B$1,[1]!Data_CF[Thang.Nam],'Dong Lam'!AJ$155)</f>
        <v>0</v>
      </c>
      <c r="AK184" s="313">
        <f>SUMIFS([1]!Data_CF[Value],[1]!Data_CF[Index CF],'Dong Lam'!$B184,[1]!Data_CF[TenCongTyID],'Dong Lam'!$B$1,[1]!Data_CF[Thang.Nam],'Dong Lam'!AK$155)</f>
        <v>0</v>
      </c>
      <c r="AL184" s="313">
        <f>SUMIFS([1]!Data_CF[Value],[1]!Data_CF[Index CF],'Dong Lam'!$B184,[1]!Data_CF[TenCongTyID],'Dong Lam'!$B$1,[1]!Data_CF[Thang.Nam],'Dong Lam'!AL$155)</f>
        <v>0</v>
      </c>
    </row>
    <row r="185" spans="1:38" ht="15" customHeight="1">
      <c r="A185" s="145" t="s">
        <v>271</v>
      </c>
      <c r="B185" s="146">
        <v>30</v>
      </c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>
        <v>0</v>
      </c>
      <c r="AA185" s="316">
        <f>SUMIFS([1]!Data_CF[Value],[1]!Data_CF[Index CF],'Dong Lam'!$B185,[1]!Data_CF[TenCongTyID],'Dong Lam'!$B$1,[1]!Data_CF[Thang.Nam],'Dong Lam'!AA$155)</f>
        <v>0</v>
      </c>
      <c r="AB185" s="316">
        <f>SUMIFS([1]!Data_CF[Value],[1]!Data_CF[Index CF],'Dong Lam'!$B185,[1]!Data_CF[TenCongTyID],'Dong Lam'!$B$1,[1]!Data_CF[Thang.Nam],'Dong Lam'!AB$155)</f>
        <v>0</v>
      </c>
      <c r="AC185" s="316">
        <f>SUMIFS([1]!Data_CF[Value],[1]!Data_CF[Index CF],'Dong Lam'!$B185,[1]!Data_CF[TenCongTyID],'Dong Lam'!$B$1,[1]!Data_CF[Thang.Nam],'Dong Lam'!AC$155)</f>
        <v>0</v>
      </c>
      <c r="AD185" s="316">
        <f>SUMIFS([1]!Data_CF[Value],[1]!Data_CF[Index CF],'Dong Lam'!$B185,[1]!Data_CF[TenCongTyID],'Dong Lam'!$B$1,[1]!Data_CF[Thang.Nam],'Dong Lam'!AD$155)</f>
        <v>0</v>
      </c>
      <c r="AE185" s="316">
        <f>SUMIFS([1]!Data_CF[Value],[1]!Data_CF[Index CF],'Dong Lam'!$B185,[1]!Data_CF[TenCongTyID],'Dong Lam'!$B$1,[1]!Data_CF[Thang.Nam],'Dong Lam'!AE$155)</f>
        <v>0</v>
      </c>
      <c r="AF185" s="316">
        <f>SUMIFS([1]!Data_CF[Value],[1]!Data_CF[Index CF],'Dong Lam'!$B185,[1]!Data_CF[TenCongTyID],'Dong Lam'!$B$1,[1]!Data_CF[Thang.Nam],'Dong Lam'!AF$155)</f>
        <v>0</v>
      </c>
      <c r="AG185" s="316">
        <f>SUMIFS([1]!Data_CF[Value],[1]!Data_CF[Index CF],'Dong Lam'!$B185,[1]!Data_CF[TenCongTyID],'Dong Lam'!$B$1,[1]!Data_CF[Thang.Nam],'Dong Lam'!AG$155)</f>
        <v>0</v>
      </c>
      <c r="AH185" s="316">
        <f>SUMIFS([1]!Data_CF[Value],[1]!Data_CF[Index CF],'Dong Lam'!$B185,[1]!Data_CF[TenCongTyID],'Dong Lam'!$B$1,[1]!Data_CF[Thang.Nam],'Dong Lam'!AH$155)</f>
        <v>0</v>
      </c>
      <c r="AI185" s="316">
        <f>SUMIFS([1]!Data_CF[Value],[1]!Data_CF[Index CF],'Dong Lam'!$B185,[1]!Data_CF[TenCongTyID],'Dong Lam'!$B$1,[1]!Data_CF[Thang.Nam],'Dong Lam'!AI$155)</f>
        <v>0</v>
      </c>
      <c r="AJ185" s="316">
        <f>SUMIFS([1]!Data_CF[Value],[1]!Data_CF[Index CF],'Dong Lam'!$B185,[1]!Data_CF[TenCongTyID],'Dong Lam'!$B$1,[1]!Data_CF[Thang.Nam],'Dong Lam'!AJ$155)</f>
        <v>0</v>
      </c>
      <c r="AK185" s="316">
        <f>SUMIFS([1]!Data_CF[Value],[1]!Data_CF[Index CF],'Dong Lam'!$B185,[1]!Data_CF[TenCongTyID],'Dong Lam'!$B$1,[1]!Data_CF[Thang.Nam],'Dong Lam'!AK$155)</f>
        <v>0</v>
      </c>
      <c r="AL185" s="316">
        <f>SUMIFS([1]!Data_CF[Value],[1]!Data_CF[Index CF],'Dong Lam'!$B185,[1]!Data_CF[TenCongTyID],'Dong Lam'!$B$1,[1]!Data_CF[Thang.Nam],'Dong Lam'!AL$155)</f>
        <v>0</v>
      </c>
    </row>
    <row r="186" spans="1:38" ht="14">
      <c r="A186" s="164" t="s">
        <v>272</v>
      </c>
      <c r="B186" s="165">
        <v>31</v>
      </c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>
        <v>0</v>
      </c>
      <c r="AA186" s="303">
        <f>SUMIFS([1]!Data_CF[Value],[1]!Data_CF[Index CF],'Dong Lam'!$B186,[1]!Data_CF[TenCongTyID],'Dong Lam'!$B$1,[1]!Data_CF[Thang.Nam],'Dong Lam'!AA$155)</f>
        <v>0</v>
      </c>
      <c r="AB186" s="303">
        <f>SUMIFS([1]!Data_CF[Value],[1]!Data_CF[Index CF],'Dong Lam'!$B186,[1]!Data_CF[TenCongTyID],'Dong Lam'!$B$1,[1]!Data_CF[Thang.Nam],'Dong Lam'!AB$155)</f>
        <v>0</v>
      </c>
      <c r="AC186" s="303">
        <f>SUMIFS([1]!Data_CF[Value],[1]!Data_CF[Index CF],'Dong Lam'!$B186,[1]!Data_CF[TenCongTyID],'Dong Lam'!$B$1,[1]!Data_CF[Thang.Nam],'Dong Lam'!AC$155)</f>
        <v>0</v>
      </c>
      <c r="AD186" s="303">
        <f>SUMIFS([1]!Data_CF[Value],[1]!Data_CF[Index CF],'Dong Lam'!$B186,[1]!Data_CF[TenCongTyID],'Dong Lam'!$B$1,[1]!Data_CF[Thang.Nam],'Dong Lam'!AD$155)</f>
        <v>0</v>
      </c>
      <c r="AE186" s="303">
        <f>SUMIFS([1]!Data_CF[Value],[1]!Data_CF[Index CF],'Dong Lam'!$B186,[1]!Data_CF[TenCongTyID],'Dong Lam'!$B$1,[1]!Data_CF[Thang.Nam],'Dong Lam'!AE$155)</f>
        <v>0</v>
      </c>
      <c r="AF186" s="303">
        <f>SUMIFS([1]!Data_CF[Value],[1]!Data_CF[Index CF],'Dong Lam'!$B186,[1]!Data_CF[TenCongTyID],'Dong Lam'!$B$1,[1]!Data_CF[Thang.Nam],'Dong Lam'!AF$155)</f>
        <v>0</v>
      </c>
      <c r="AG186" s="303">
        <f>SUMIFS([1]!Data_CF[Value],[1]!Data_CF[Index CF],'Dong Lam'!$B186,[1]!Data_CF[TenCongTyID],'Dong Lam'!$B$1,[1]!Data_CF[Thang.Nam],'Dong Lam'!AG$155)</f>
        <v>0</v>
      </c>
      <c r="AH186" s="303">
        <f>SUMIFS([1]!Data_CF[Value],[1]!Data_CF[Index CF],'Dong Lam'!$B186,[1]!Data_CF[TenCongTyID],'Dong Lam'!$B$1,[1]!Data_CF[Thang.Nam],'Dong Lam'!AH$155)</f>
        <v>0</v>
      </c>
      <c r="AI186" s="303">
        <f>SUMIFS([1]!Data_CF[Value],[1]!Data_CF[Index CF],'Dong Lam'!$B186,[1]!Data_CF[TenCongTyID],'Dong Lam'!$B$1,[1]!Data_CF[Thang.Nam],'Dong Lam'!AI$155)</f>
        <v>0</v>
      </c>
      <c r="AJ186" s="303">
        <f>SUMIFS([1]!Data_CF[Value],[1]!Data_CF[Index CF],'Dong Lam'!$B186,[1]!Data_CF[TenCongTyID],'Dong Lam'!$B$1,[1]!Data_CF[Thang.Nam],'Dong Lam'!AJ$155)</f>
        <v>0</v>
      </c>
      <c r="AK186" s="303">
        <f>SUMIFS([1]!Data_CF[Value],[1]!Data_CF[Index CF],'Dong Lam'!$B186,[1]!Data_CF[TenCongTyID],'Dong Lam'!$B$1,[1]!Data_CF[Thang.Nam],'Dong Lam'!AK$155)</f>
        <v>0</v>
      </c>
      <c r="AL186" s="303">
        <f>SUMIFS([1]!Data_CF[Value],[1]!Data_CF[Index CF],'Dong Lam'!$B186,[1]!Data_CF[TenCongTyID],'Dong Lam'!$B$1,[1]!Data_CF[Thang.Nam],'Dong Lam'!AL$155)</f>
        <v>0</v>
      </c>
    </row>
    <row r="187" spans="1:38" ht="14">
      <c r="A187" s="164" t="s">
        <v>273</v>
      </c>
      <c r="B187" s="165">
        <v>32</v>
      </c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>
        <v>0</v>
      </c>
      <c r="AA187" s="303">
        <f>SUMIFS([1]!Data_CF[Value],[1]!Data_CF[Index CF],'Dong Lam'!$B187,[1]!Data_CF[TenCongTyID],'Dong Lam'!$B$1,[1]!Data_CF[Thang.Nam],'Dong Lam'!AA$155)</f>
        <v>0</v>
      </c>
      <c r="AB187" s="303">
        <f>SUMIFS([1]!Data_CF[Value],[1]!Data_CF[Index CF],'Dong Lam'!$B187,[1]!Data_CF[TenCongTyID],'Dong Lam'!$B$1,[1]!Data_CF[Thang.Nam],'Dong Lam'!AB$155)</f>
        <v>0</v>
      </c>
      <c r="AC187" s="303">
        <f>SUMIFS([1]!Data_CF[Value],[1]!Data_CF[Index CF],'Dong Lam'!$B187,[1]!Data_CF[TenCongTyID],'Dong Lam'!$B$1,[1]!Data_CF[Thang.Nam],'Dong Lam'!AC$155)</f>
        <v>0</v>
      </c>
      <c r="AD187" s="303">
        <f>SUMIFS([1]!Data_CF[Value],[1]!Data_CF[Index CF],'Dong Lam'!$B187,[1]!Data_CF[TenCongTyID],'Dong Lam'!$B$1,[1]!Data_CF[Thang.Nam],'Dong Lam'!AD$155)</f>
        <v>0</v>
      </c>
      <c r="AE187" s="303">
        <f>SUMIFS([1]!Data_CF[Value],[1]!Data_CF[Index CF],'Dong Lam'!$B187,[1]!Data_CF[TenCongTyID],'Dong Lam'!$B$1,[1]!Data_CF[Thang.Nam],'Dong Lam'!AE$155)</f>
        <v>0</v>
      </c>
      <c r="AF187" s="303">
        <f>SUMIFS([1]!Data_CF[Value],[1]!Data_CF[Index CF],'Dong Lam'!$B187,[1]!Data_CF[TenCongTyID],'Dong Lam'!$B$1,[1]!Data_CF[Thang.Nam],'Dong Lam'!AF$155)</f>
        <v>0</v>
      </c>
      <c r="AG187" s="303">
        <f>SUMIFS([1]!Data_CF[Value],[1]!Data_CF[Index CF],'Dong Lam'!$B187,[1]!Data_CF[TenCongTyID],'Dong Lam'!$B$1,[1]!Data_CF[Thang.Nam],'Dong Lam'!AG$155)</f>
        <v>0</v>
      </c>
      <c r="AH187" s="303">
        <f>SUMIFS([1]!Data_CF[Value],[1]!Data_CF[Index CF],'Dong Lam'!$B187,[1]!Data_CF[TenCongTyID],'Dong Lam'!$B$1,[1]!Data_CF[Thang.Nam],'Dong Lam'!AH$155)</f>
        <v>0</v>
      </c>
      <c r="AI187" s="303">
        <f>SUMIFS([1]!Data_CF[Value],[1]!Data_CF[Index CF],'Dong Lam'!$B187,[1]!Data_CF[TenCongTyID],'Dong Lam'!$B$1,[1]!Data_CF[Thang.Nam],'Dong Lam'!AI$155)</f>
        <v>0</v>
      </c>
      <c r="AJ187" s="303">
        <f>SUMIFS([1]!Data_CF[Value],[1]!Data_CF[Index CF],'Dong Lam'!$B187,[1]!Data_CF[TenCongTyID],'Dong Lam'!$B$1,[1]!Data_CF[Thang.Nam],'Dong Lam'!AJ$155)</f>
        <v>0</v>
      </c>
      <c r="AK187" s="303">
        <f>SUMIFS([1]!Data_CF[Value],[1]!Data_CF[Index CF],'Dong Lam'!$B187,[1]!Data_CF[TenCongTyID],'Dong Lam'!$B$1,[1]!Data_CF[Thang.Nam],'Dong Lam'!AK$155)</f>
        <v>0</v>
      </c>
      <c r="AL187" s="303">
        <f>SUMIFS([1]!Data_CF[Value],[1]!Data_CF[Index CF],'Dong Lam'!$B187,[1]!Data_CF[TenCongTyID],'Dong Lam'!$B$1,[1]!Data_CF[Thang.Nam],'Dong Lam'!AL$155)</f>
        <v>0</v>
      </c>
    </row>
    <row r="188" spans="1:38" ht="15" customHeight="1">
      <c r="A188" s="164" t="s">
        <v>274</v>
      </c>
      <c r="B188" s="165">
        <v>33</v>
      </c>
      <c r="C188" s="299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>
        <v>0</v>
      </c>
      <c r="AA188" s="310">
        <f>SUMIFS([1]!Data_CF[Value],[1]!Data_CF[Index CF],'Dong Lam'!$B188,[1]!Data_CF[TenCongTyID],'Dong Lam'!$B$1,[1]!Data_CF[Thang.Nam],'Dong Lam'!AA$155)</f>
        <v>0</v>
      </c>
      <c r="AB188" s="310">
        <f>SUMIFS([1]!Data_CF[Value],[1]!Data_CF[Index CF],'Dong Lam'!$B188,[1]!Data_CF[TenCongTyID],'Dong Lam'!$B$1,[1]!Data_CF[Thang.Nam],'Dong Lam'!AB$155)</f>
        <v>0</v>
      </c>
      <c r="AC188" s="310">
        <f>SUMIFS([1]!Data_CF[Value],[1]!Data_CF[Index CF],'Dong Lam'!$B188,[1]!Data_CF[TenCongTyID],'Dong Lam'!$B$1,[1]!Data_CF[Thang.Nam],'Dong Lam'!AC$155)</f>
        <v>0</v>
      </c>
      <c r="AD188" s="310">
        <f>SUMIFS([1]!Data_CF[Value],[1]!Data_CF[Index CF],'Dong Lam'!$B188,[1]!Data_CF[TenCongTyID],'Dong Lam'!$B$1,[1]!Data_CF[Thang.Nam],'Dong Lam'!AD$155)</f>
        <v>0</v>
      </c>
      <c r="AE188" s="310">
        <f>SUMIFS([1]!Data_CF[Value],[1]!Data_CF[Index CF],'Dong Lam'!$B188,[1]!Data_CF[TenCongTyID],'Dong Lam'!$B$1,[1]!Data_CF[Thang.Nam],'Dong Lam'!AE$155)</f>
        <v>0</v>
      </c>
      <c r="AF188" s="310">
        <f>SUMIFS([1]!Data_CF[Value],[1]!Data_CF[Index CF],'Dong Lam'!$B188,[1]!Data_CF[TenCongTyID],'Dong Lam'!$B$1,[1]!Data_CF[Thang.Nam],'Dong Lam'!AF$155)</f>
        <v>0</v>
      </c>
      <c r="AG188" s="310">
        <f>SUMIFS([1]!Data_CF[Value],[1]!Data_CF[Index CF],'Dong Lam'!$B188,[1]!Data_CF[TenCongTyID],'Dong Lam'!$B$1,[1]!Data_CF[Thang.Nam],'Dong Lam'!AG$155)</f>
        <v>0</v>
      </c>
      <c r="AH188" s="310">
        <f>SUMIFS([1]!Data_CF[Value],[1]!Data_CF[Index CF],'Dong Lam'!$B188,[1]!Data_CF[TenCongTyID],'Dong Lam'!$B$1,[1]!Data_CF[Thang.Nam],'Dong Lam'!AH$155)</f>
        <v>0</v>
      </c>
      <c r="AI188" s="310">
        <f>SUMIFS([1]!Data_CF[Value],[1]!Data_CF[Index CF],'Dong Lam'!$B188,[1]!Data_CF[TenCongTyID],'Dong Lam'!$B$1,[1]!Data_CF[Thang.Nam],'Dong Lam'!AI$155)</f>
        <v>0</v>
      </c>
      <c r="AJ188" s="310">
        <f>SUMIFS([1]!Data_CF[Value],[1]!Data_CF[Index CF],'Dong Lam'!$B188,[1]!Data_CF[TenCongTyID],'Dong Lam'!$B$1,[1]!Data_CF[Thang.Nam],'Dong Lam'!AJ$155)</f>
        <v>0</v>
      </c>
      <c r="AK188" s="310">
        <f>SUMIFS([1]!Data_CF[Value],[1]!Data_CF[Index CF],'Dong Lam'!$B188,[1]!Data_CF[TenCongTyID],'Dong Lam'!$B$1,[1]!Data_CF[Thang.Nam],'Dong Lam'!AK$155)</f>
        <v>0</v>
      </c>
      <c r="AL188" s="310">
        <f>SUMIFS([1]!Data_CF[Value],[1]!Data_CF[Index CF],'Dong Lam'!$B188,[1]!Data_CF[TenCongTyID],'Dong Lam'!$B$1,[1]!Data_CF[Thang.Nam],'Dong Lam'!AL$155)</f>
        <v>0</v>
      </c>
    </row>
    <row r="189" spans="1:38" ht="15" customHeight="1">
      <c r="A189" s="164" t="s">
        <v>275</v>
      </c>
      <c r="B189" s="165">
        <v>34</v>
      </c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>
        <v>0</v>
      </c>
      <c r="AA189" s="305">
        <f>SUMIFS([1]!Data_CF[Value],[1]!Data_CF[Index CF],'Dong Lam'!$B189,[1]!Data_CF[TenCongTyID],'Dong Lam'!$B$1,[1]!Data_CF[Thang.Nam],'Dong Lam'!AA$155)</f>
        <v>0</v>
      </c>
      <c r="AB189" s="305">
        <f>SUMIFS([1]!Data_CF[Value],[1]!Data_CF[Index CF],'Dong Lam'!$B189,[1]!Data_CF[TenCongTyID],'Dong Lam'!$B$1,[1]!Data_CF[Thang.Nam],'Dong Lam'!AB$155)</f>
        <v>0</v>
      </c>
      <c r="AC189" s="305">
        <f>SUMIFS([1]!Data_CF[Value],[1]!Data_CF[Index CF],'Dong Lam'!$B189,[1]!Data_CF[TenCongTyID],'Dong Lam'!$B$1,[1]!Data_CF[Thang.Nam],'Dong Lam'!AC$155)</f>
        <v>0</v>
      </c>
      <c r="AD189" s="305">
        <f>SUMIFS([1]!Data_CF[Value],[1]!Data_CF[Index CF],'Dong Lam'!$B189,[1]!Data_CF[TenCongTyID],'Dong Lam'!$B$1,[1]!Data_CF[Thang.Nam],'Dong Lam'!AD$155)</f>
        <v>0</v>
      </c>
      <c r="AE189" s="305">
        <f>SUMIFS([1]!Data_CF[Value],[1]!Data_CF[Index CF],'Dong Lam'!$B189,[1]!Data_CF[TenCongTyID],'Dong Lam'!$B$1,[1]!Data_CF[Thang.Nam],'Dong Lam'!AE$155)</f>
        <v>0</v>
      </c>
      <c r="AF189" s="305">
        <f>SUMIFS([1]!Data_CF[Value],[1]!Data_CF[Index CF],'Dong Lam'!$B189,[1]!Data_CF[TenCongTyID],'Dong Lam'!$B$1,[1]!Data_CF[Thang.Nam],'Dong Lam'!AF$155)</f>
        <v>0</v>
      </c>
      <c r="AG189" s="305">
        <f>SUMIFS([1]!Data_CF[Value],[1]!Data_CF[Index CF],'Dong Lam'!$B189,[1]!Data_CF[TenCongTyID],'Dong Lam'!$B$1,[1]!Data_CF[Thang.Nam],'Dong Lam'!AG$155)</f>
        <v>0</v>
      </c>
      <c r="AH189" s="305">
        <f>SUMIFS([1]!Data_CF[Value],[1]!Data_CF[Index CF],'Dong Lam'!$B189,[1]!Data_CF[TenCongTyID],'Dong Lam'!$B$1,[1]!Data_CF[Thang.Nam],'Dong Lam'!AH$155)</f>
        <v>0</v>
      </c>
      <c r="AI189" s="305">
        <f>SUMIFS([1]!Data_CF[Value],[1]!Data_CF[Index CF],'Dong Lam'!$B189,[1]!Data_CF[TenCongTyID],'Dong Lam'!$B$1,[1]!Data_CF[Thang.Nam],'Dong Lam'!AI$155)</f>
        <v>0</v>
      </c>
      <c r="AJ189" s="305">
        <f>SUMIFS([1]!Data_CF[Value],[1]!Data_CF[Index CF],'Dong Lam'!$B189,[1]!Data_CF[TenCongTyID],'Dong Lam'!$B$1,[1]!Data_CF[Thang.Nam],'Dong Lam'!AJ$155)</f>
        <v>0</v>
      </c>
      <c r="AK189" s="305">
        <f>SUMIFS([1]!Data_CF[Value],[1]!Data_CF[Index CF],'Dong Lam'!$B189,[1]!Data_CF[TenCongTyID],'Dong Lam'!$B$1,[1]!Data_CF[Thang.Nam],'Dong Lam'!AK$155)</f>
        <v>0</v>
      </c>
      <c r="AL189" s="305">
        <f>SUMIFS([1]!Data_CF[Value],[1]!Data_CF[Index CF],'Dong Lam'!$B189,[1]!Data_CF[TenCongTyID],'Dong Lam'!$B$1,[1]!Data_CF[Thang.Nam],'Dong Lam'!AL$155)</f>
        <v>0</v>
      </c>
    </row>
    <row r="190" spans="1:38" ht="15" customHeight="1">
      <c r="A190" s="164" t="s">
        <v>276</v>
      </c>
      <c r="B190" s="165">
        <v>35</v>
      </c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>
        <v>0</v>
      </c>
      <c r="AA190" s="305">
        <f>SUMIFS([1]!Data_CF[Value],[1]!Data_CF[Index CF],'Dong Lam'!$B190,[1]!Data_CF[TenCongTyID],'Dong Lam'!$B$1,[1]!Data_CF[Thang.Nam],'Dong Lam'!AA$155)</f>
        <v>0</v>
      </c>
      <c r="AB190" s="305">
        <f>SUMIFS([1]!Data_CF[Value],[1]!Data_CF[Index CF],'Dong Lam'!$B190,[1]!Data_CF[TenCongTyID],'Dong Lam'!$B$1,[1]!Data_CF[Thang.Nam],'Dong Lam'!AB$155)</f>
        <v>0</v>
      </c>
      <c r="AC190" s="305">
        <f>SUMIFS([1]!Data_CF[Value],[1]!Data_CF[Index CF],'Dong Lam'!$B190,[1]!Data_CF[TenCongTyID],'Dong Lam'!$B$1,[1]!Data_CF[Thang.Nam],'Dong Lam'!AC$155)</f>
        <v>0</v>
      </c>
      <c r="AD190" s="305">
        <f>SUMIFS([1]!Data_CF[Value],[1]!Data_CF[Index CF],'Dong Lam'!$B190,[1]!Data_CF[TenCongTyID],'Dong Lam'!$B$1,[1]!Data_CF[Thang.Nam],'Dong Lam'!AD$155)</f>
        <v>0</v>
      </c>
      <c r="AE190" s="305">
        <f>SUMIFS([1]!Data_CF[Value],[1]!Data_CF[Index CF],'Dong Lam'!$B190,[1]!Data_CF[TenCongTyID],'Dong Lam'!$B$1,[1]!Data_CF[Thang.Nam],'Dong Lam'!AE$155)</f>
        <v>0</v>
      </c>
      <c r="AF190" s="305">
        <f>SUMIFS([1]!Data_CF[Value],[1]!Data_CF[Index CF],'Dong Lam'!$B190,[1]!Data_CF[TenCongTyID],'Dong Lam'!$B$1,[1]!Data_CF[Thang.Nam],'Dong Lam'!AF$155)</f>
        <v>0</v>
      </c>
      <c r="AG190" s="305">
        <f>SUMIFS([1]!Data_CF[Value],[1]!Data_CF[Index CF],'Dong Lam'!$B190,[1]!Data_CF[TenCongTyID],'Dong Lam'!$B$1,[1]!Data_CF[Thang.Nam],'Dong Lam'!AG$155)</f>
        <v>0</v>
      </c>
      <c r="AH190" s="305">
        <f>SUMIFS([1]!Data_CF[Value],[1]!Data_CF[Index CF],'Dong Lam'!$B190,[1]!Data_CF[TenCongTyID],'Dong Lam'!$B$1,[1]!Data_CF[Thang.Nam],'Dong Lam'!AH$155)</f>
        <v>0</v>
      </c>
      <c r="AI190" s="305">
        <f>SUMIFS([1]!Data_CF[Value],[1]!Data_CF[Index CF],'Dong Lam'!$B190,[1]!Data_CF[TenCongTyID],'Dong Lam'!$B$1,[1]!Data_CF[Thang.Nam],'Dong Lam'!AI$155)</f>
        <v>0</v>
      </c>
      <c r="AJ190" s="305">
        <f>SUMIFS([1]!Data_CF[Value],[1]!Data_CF[Index CF],'Dong Lam'!$B190,[1]!Data_CF[TenCongTyID],'Dong Lam'!$B$1,[1]!Data_CF[Thang.Nam],'Dong Lam'!AJ$155)</f>
        <v>0</v>
      </c>
      <c r="AK190" s="305">
        <f>SUMIFS([1]!Data_CF[Value],[1]!Data_CF[Index CF],'Dong Lam'!$B190,[1]!Data_CF[TenCongTyID],'Dong Lam'!$B$1,[1]!Data_CF[Thang.Nam],'Dong Lam'!AK$155)</f>
        <v>0</v>
      </c>
      <c r="AL190" s="305">
        <f>SUMIFS([1]!Data_CF[Value],[1]!Data_CF[Index CF],'Dong Lam'!$B190,[1]!Data_CF[TenCongTyID],'Dong Lam'!$B$1,[1]!Data_CF[Thang.Nam],'Dong Lam'!AL$155)</f>
        <v>0</v>
      </c>
    </row>
    <row r="191" spans="1:38" ht="15" customHeight="1">
      <c r="A191" s="164" t="s">
        <v>277</v>
      </c>
      <c r="B191" s="165">
        <v>36</v>
      </c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>
        <v>0</v>
      </c>
      <c r="AA191" s="311">
        <f>SUMIFS([1]!Data_CF[Value],[1]!Data_CF[Index CF],'Dong Lam'!$B191,[1]!Data_CF[TenCongTyID],'Dong Lam'!$B$1,[1]!Data_CF[Thang.Nam],'Dong Lam'!AA$155)</f>
        <v>0</v>
      </c>
      <c r="AB191" s="311">
        <f>SUMIFS([1]!Data_CF[Value],[1]!Data_CF[Index CF],'Dong Lam'!$B191,[1]!Data_CF[TenCongTyID],'Dong Lam'!$B$1,[1]!Data_CF[Thang.Nam],'Dong Lam'!AB$155)</f>
        <v>0</v>
      </c>
      <c r="AC191" s="311">
        <f>SUMIFS([1]!Data_CF[Value],[1]!Data_CF[Index CF],'Dong Lam'!$B191,[1]!Data_CF[TenCongTyID],'Dong Lam'!$B$1,[1]!Data_CF[Thang.Nam],'Dong Lam'!AC$155)</f>
        <v>0</v>
      </c>
      <c r="AD191" s="311">
        <f>SUMIFS([1]!Data_CF[Value],[1]!Data_CF[Index CF],'Dong Lam'!$B191,[1]!Data_CF[TenCongTyID],'Dong Lam'!$B$1,[1]!Data_CF[Thang.Nam],'Dong Lam'!AD$155)</f>
        <v>0</v>
      </c>
      <c r="AE191" s="311">
        <f>SUMIFS([1]!Data_CF[Value],[1]!Data_CF[Index CF],'Dong Lam'!$B191,[1]!Data_CF[TenCongTyID],'Dong Lam'!$B$1,[1]!Data_CF[Thang.Nam],'Dong Lam'!AE$155)</f>
        <v>0</v>
      </c>
      <c r="AF191" s="311">
        <f>SUMIFS([1]!Data_CF[Value],[1]!Data_CF[Index CF],'Dong Lam'!$B191,[1]!Data_CF[TenCongTyID],'Dong Lam'!$B$1,[1]!Data_CF[Thang.Nam],'Dong Lam'!AF$155)</f>
        <v>0</v>
      </c>
      <c r="AG191" s="311">
        <f>SUMIFS([1]!Data_CF[Value],[1]!Data_CF[Index CF],'Dong Lam'!$B191,[1]!Data_CF[TenCongTyID],'Dong Lam'!$B$1,[1]!Data_CF[Thang.Nam],'Dong Lam'!AG$155)</f>
        <v>0</v>
      </c>
      <c r="AH191" s="311">
        <f>SUMIFS([1]!Data_CF[Value],[1]!Data_CF[Index CF],'Dong Lam'!$B191,[1]!Data_CF[TenCongTyID],'Dong Lam'!$B$1,[1]!Data_CF[Thang.Nam],'Dong Lam'!AH$155)</f>
        <v>0</v>
      </c>
      <c r="AI191" s="311">
        <f>SUMIFS([1]!Data_CF[Value],[1]!Data_CF[Index CF],'Dong Lam'!$B191,[1]!Data_CF[TenCongTyID],'Dong Lam'!$B$1,[1]!Data_CF[Thang.Nam],'Dong Lam'!AI$155)</f>
        <v>0</v>
      </c>
      <c r="AJ191" s="311">
        <f>SUMIFS([1]!Data_CF[Value],[1]!Data_CF[Index CF],'Dong Lam'!$B191,[1]!Data_CF[TenCongTyID],'Dong Lam'!$B$1,[1]!Data_CF[Thang.Nam],'Dong Lam'!AJ$155)</f>
        <v>0</v>
      </c>
      <c r="AK191" s="311">
        <f>SUMIFS([1]!Data_CF[Value],[1]!Data_CF[Index CF],'Dong Lam'!$B191,[1]!Data_CF[TenCongTyID],'Dong Lam'!$B$1,[1]!Data_CF[Thang.Nam],'Dong Lam'!AK$155)</f>
        <v>0</v>
      </c>
      <c r="AL191" s="311">
        <f>SUMIFS([1]!Data_CF[Value],[1]!Data_CF[Index CF],'Dong Lam'!$B191,[1]!Data_CF[TenCongTyID],'Dong Lam'!$B$1,[1]!Data_CF[Thang.Nam],'Dong Lam'!AL$155)</f>
        <v>0</v>
      </c>
    </row>
    <row r="192" spans="1:38" ht="15" customHeight="1">
      <c r="A192" s="145" t="s">
        <v>278</v>
      </c>
      <c r="B192" s="146">
        <v>37</v>
      </c>
      <c r="C192" s="319">
        <v>0</v>
      </c>
      <c r="D192" s="319">
        <v>0</v>
      </c>
      <c r="E192" s="319">
        <v>0</v>
      </c>
      <c r="F192" s="319">
        <v>0</v>
      </c>
      <c r="G192" s="319">
        <v>0</v>
      </c>
      <c r="H192" s="319">
        <v>0</v>
      </c>
      <c r="I192" s="319">
        <v>0</v>
      </c>
      <c r="J192" s="319">
        <v>0</v>
      </c>
      <c r="K192" s="319">
        <v>0</v>
      </c>
      <c r="L192" s="319">
        <v>0</v>
      </c>
      <c r="M192" s="319">
        <v>0</v>
      </c>
      <c r="N192" s="319">
        <v>0</v>
      </c>
      <c r="O192" s="319">
        <v>0</v>
      </c>
      <c r="P192" s="319">
        <v>0</v>
      </c>
      <c r="Q192" s="319">
        <v>0</v>
      </c>
      <c r="R192" s="319">
        <v>0</v>
      </c>
      <c r="S192" s="319">
        <v>0</v>
      </c>
      <c r="T192" s="319">
        <v>0</v>
      </c>
      <c r="U192" s="319">
        <v>0</v>
      </c>
      <c r="V192" s="319">
        <v>0</v>
      </c>
      <c r="W192" s="319">
        <f>SUM(W186:W191)</f>
        <v>0</v>
      </c>
      <c r="X192" s="319">
        <v>0</v>
      </c>
      <c r="Y192" s="319">
        <v>0</v>
      </c>
      <c r="Z192" s="319">
        <v>0</v>
      </c>
      <c r="AA192" s="313">
        <f>SUMIFS([1]!Data_CF[Value],[1]!Data_CF[Index CF],'Dong Lam'!$B192,[1]!Data_CF[TenCongTyID],'Dong Lam'!$B$1,[1]!Data_CF[Thang.Nam],'Dong Lam'!AA$155)</f>
        <v>0</v>
      </c>
      <c r="AB192" s="313">
        <f>SUMIFS([1]!Data_CF[Value],[1]!Data_CF[Index CF],'Dong Lam'!$B192,[1]!Data_CF[TenCongTyID],'Dong Lam'!$B$1,[1]!Data_CF[Thang.Nam],'Dong Lam'!AB$155)</f>
        <v>0</v>
      </c>
      <c r="AC192" s="313">
        <f>SUMIFS([1]!Data_CF[Value],[1]!Data_CF[Index CF],'Dong Lam'!$B192,[1]!Data_CF[TenCongTyID],'Dong Lam'!$B$1,[1]!Data_CF[Thang.Nam],'Dong Lam'!AC$155)</f>
        <v>0</v>
      </c>
      <c r="AD192" s="313">
        <f>SUMIFS([1]!Data_CF[Value],[1]!Data_CF[Index CF],'Dong Lam'!$B192,[1]!Data_CF[TenCongTyID],'Dong Lam'!$B$1,[1]!Data_CF[Thang.Nam],'Dong Lam'!AD$155)</f>
        <v>0</v>
      </c>
      <c r="AE192" s="313">
        <f>SUMIFS([1]!Data_CF[Value],[1]!Data_CF[Index CF],'Dong Lam'!$B192,[1]!Data_CF[TenCongTyID],'Dong Lam'!$B$1,[1]!Data_CF[Thang.Nam],'Dong Lam'!AE$155)</f>
        <v>0</v>
      </c>
      <c r="AF192" s="313">
        <f>SUMIFS([1]!Data_CF[Value],[1]!Data_CF[Index CF],'Dong Lam'!$B192,[1]!Data_CF[TenCongTyID],'Dong Lam'!$B$1,[1]!Data_CF[Thang.Nam],'Dong Lam'!AF$155)</f>
        <v>0</v>
      </c>
      <c r="AG192" s="313">
        <f>SUMIFS([1]!Data_CF[Value],[1]!Data_CF[Index CF],'Dong Lam'!$B192,[1]!Data_CF[TenCongTyID],'Dong Lam'!$B$1,[1]!Data_CF[Thang.Nam],'Dong Lam'!AG$155)</f>
        <v>0</v>
      </c>
      <c r="AH192" s="313">
        <f>SUMIFS([1]!Data_CF[Value],[1]!Data_CF[Index CF],'Dong Lam'!$B192,[1]!Data_CF[TenCongTyID],'Dong Lam'!$B$1,[1]!Data_CF[Thang.Nam],'Dong Lam'!AH$155)</f>
        <v>0</v>
      </c>
      <c r="AI192" s="313">
        <f>SUMIFS([1]!Data_CF[Value],[1]!Data_CF[Index CF],'Dong Lam'!$B192,[1]!Data_CF[TenCongTyID],'Dong Lam'!$B$1,[1]!Data_CF[Thang.Nam],'Dong Lam'!AI$155)</f>
        <v>0</v>
      </c>
      <c r="AJ192" s="313">
        <f>SUMIFS([1]!Data_CF[Value],[1]!Data_CF[Index CF],'Dong Lam'!$B192,[1]!Data_CF[TenCongTyID],'Dong Lam'!$B$1,[1]!Data_CF[Thang.Nam],'Dong Lam'!AJ$155)</f>
        <v>0</v>
      </c>
      <c r="AK192" s="313">
        <f>SUMIFS([1]!Data_CF[Value],[1]!Data_CF[Index CF],'Dong Lam'!$B192,[1]!Data_CF[TenCongTyID],'Dong Lam'!$B$1,[1]!Data_CF[Thang.Nam],'Dong Lam'!AK$155)</f>
        <v>0</v>
      </c>
      <c r="AL192" s="313">
        <f>SUMIFS([1]!Data_CF[Value],[1]!Data_CF[Index CF],'Dong Lam'!$B192,[1]!Data_CF[TenCongTyID],'Dong Lam'!$B$1,[1]!Data_CF[Thang.Nam],'Dong Lam'!AL$155)</f>
        <v>0</v>
      </c>
    </row>
    <row r="193" spans="1:39" ht="15" customHeight="1">
      <c r="A193" s="167" t="s">
        <v>279</v>
      </c>
      <c r="B193" s="168">
        <v>38</v>
      </c>
      <c r="C193" s="345">
        <v>2636990631</v>
      </c>
      <c r="D193" s="345">
        <v>-567281618</v>
      </c>
      <c r="E193" s="345">
        <v>1486612487</v>
      </c>
      <c r="F193" s="345">
        <v>19564056</v>
      </c>
      <c r="G193" s="345">
        <v>-533153964</v>
      </c>
      <c r="H193" s="345">
        <v>888454848</v>
      </c>
      <c r="I193" s="345">
        <v>42022865</v>
      </c>
      <c r="J193" s="345">
        <v>319473551</v>
      </c>
      <c r="K193" s="345">
        <v>-1476937336</v>
      </c>
      <c r="L193" s="345">
        <v>357628193</v>
      </c>
      <c r="M193" s="345">
        <v>-768247208</v>
      </c>
      <c r="N193" s="320">
        <v>1213723736</v>
      </c>
      <c r="O193" s="320">
        <v>-2238207336</v>
      </c>
      <c r="P193" s="320">
        <v>-985069137</v>
      </c>
      <c r="Q193" s="320">
        <v>431543433</v>
      </c>
      <c r="R193" s="320">
        <v>797482683</v>
      </c>
      <c r="S193" s="320">
        <v>-870297901</v>
      </c>
      <c r="T193" s="320">
        <v>1195373527</v>
      </c>
      <c r="U193" s="320">
        <v>-1866445950</v>
      </c>
      <c r="V193" s="320">
        <v>2976948978</v>
      </c>
      <c r="W193" s="320">
        <f>+W175+W184+W192</f>
        <v>4301464256</v>
      </c>
      <c r="X193" s="320">
        <v>-428358273</v>
      </c>
      <c r="Y193" s="320">
        <v>-656592516</v>
      </c>
      <c r="Z193" s="320">
        <v>-1042834654</v>
      </c>
      <c r="AA193" s="321">
        <f>SUMIFS([1]!Data_CF[Value],[1]!Data_CF[Index CF],'Dong Lam'!$B193,[1]!Data_CF[TenCongTyID],'Dong Lam'!$B$1,[1]!Data_CF[Thang.Nam],'Dong Lam'!AA$155)</f>
        <v>0</v>
      </c>
      <c r="AB193" s="321">
        <f>SUMIFS([1]!Data_CF[Value],[1]!Data_CF[Index CF],'Dong Lam'!$B193,[1]!Data_CF[TenCongTyID],'Dong Lam'!$B$1,[1]!Data_CF[Thang.Nam],'Dong Lam'!AB$155)</f>
        <v>0</v>
      </c>
      <c r="AC193" s="321">
        <f>SUMIFS([1]!Data_CF[Value],[1]!Data_CF[Index CF],'Dong Lam'!$B193,[1]!Data_CF[TenCongTyID],'Dong Lam'!$B$1,[1]!Data_CF[Thang.Nam],'Dong Lam'!AC$155)</f>
        <v>0</v>
      </c>
      <c r="AD193" s="321">
        <f>SUMIFS([1]!Data_CF[Value],[1]!Data_CF[Index CF],'Dong Lam'!$B193,[1]!Data_CF[TenCongTyID],'Dong Lam'!$B$1,[1]!Data_CF[Thang.Nam],'Dong Lam'!AD$155)</f>
        <v>0</v>
      </c>
      <c r="AE193" s="321">
        <f>SUMIFS([1]!Data_CF[Value],[1]!Data_CF[Index CF],'Dong Lam'!$B193,[1]!Data_CF[TenCongTyID],'Dong Lam'!$B$1,[1]!Data_CF[Thang.Nam],'Dong Lam'!AE$155)</f>
        <v>0</v>
      </c>
      <c r="AF193" s="321">
        <f>SUMIFS([1]!Data_CF[Value],[1]!Data_CF[Index CF],'Dong Lam'!$B193,[1]!Data_CF[TenCongTyID],'Dong Lam'!$B$1,[1]!Data_CF[Thang.Nam],'Dong Lam'!AF$155)</f>
        <v>0</v>
      </c>
      <c r="AG193" s="321">
        <f>SUMIFS([1]!Data_CF[Value],[1]!Data_CF[Index CF],'Dong Lam'!$B193,[1]!Data_CF[TenCongTyID],'Dong Lam'!$B$1,[1]!Data_CF[Thang.Nam],'Dong Lam'!AG$155)</f>
        <v>0</v>
      </c>
      <c r="AH193" s="321">
        <f>SUMIFS([1]!Data_CF[Value],[1]!Data_CF[Index CF],'Dong Lam'!$B193,[1]!Data_CF[TenCongTyID],'Dong Lam'!$B$1,[1]!Data_CF[Thang.Nam],'Dong Lam'!AH$155)</f>
        <v>0</v>
      </c>
      <c r="AI193" s="321">
        <f>SUMIFS([1]!Data_CF[Value],[1]!Data_CF[Index CF],'Dong Lam'!$B193,[1]!Data_CF[TenCongTyID],'Dong Lam'!$B$1,[1]!Data_CF[Thang.Nam],'Dong Lam'!AI$155)</f>
        <v>0</v>
      </c>
      <c r="AJ193" s="321">
        <f>SUMIFS([1]!Data_CF[Value],[1]!Data_CF[Index CF],'Dong Lam'!$B193,[1]!Data_CF[TenCongTyID],'Dong Lam'!$B$1,[1]!Data_CF[Thang.Nam],'Dong Lam'!AJ$155)</f>
        <v>0</v>
      </c>
      <c r="AK193" s="321">
        <f>SUMIFS([1]!Data_CF[Value],[1]!Data_CF[Index CF],'Dong Lam'!$B193,[1]!Data_CF[TenCongTyID],'Dong Lam'!$B$1,[1]!Data_CF[Thang.Nam],'Dong Lam'!AK$155)</f>
        <v>0</v>
      </c>
      <c r="AL193" s="321">
        <f>SUMIFS([1]!Data_CF[Value],[1]!Data_CF[Index CF],'Dong Lam'!$B193,[1]!Data_CF[TenCongTyID],'Dong Lam'!$B$1,[1]!Data_CF[Thang.Nam],'Dong Lam'!AL$155)</f>
        <v>0</v>
      </c>
    </row>
    <row r="194" spans="1:39" ht="15" customHeight="1">
      <c r="A194" s="145" t="s">
        <v>280</v>
      </c>
      <c r="B194" s="146">
        <v>39</v>
      </c>
      <c r="C194" s="319">
        <v>7453392869</v>
      </c>
      <c r="D194" s="319">
        <v>10090383500</v>
      </c>
      <c r="E194" s="319">
        <v>9523101882</v>
      </c>
      <c r="F194" s="319">
        <v>11009714369</v>
      </c>
      <c r="G194" s="319">
        <v>11029278425</v>
      </c>
      <c r="H194" s="319">
        <v>10496124461</v>
      </c>
      <c r="I194" s="319">
        <v>11384579309</v>
      </c>
      <c r="J194" s="319">
        <v>11426602174</v>
      </c>
      <c r="K194" s="319">
        <v>11746075725</v>
      </c>
      <c r="L194" s="319">
        <v>10269138389</v>
      </c>
      <c r="M194" s="319">
        <v>10626766582</v>
      </c>
      <c r="N194" s="319">
        <v>9858519374</v>
      </c>
      <c r="O194" s="319">
        <v>11072243110</v>
      </c>
      <c r="P194" s="319">
        <v>8834035774</v>
      </c>
      <c r="Q194" s="319">
        <v>7848966637</v>
      </c>
      <c r="R194" s="319">
        <v>8280510070</v>
      </c>
      <c r="S194" s="319">
        <v>9077992753</v>
      </c>
      <c r="T194" s="319">
        <v>8207694852</v>
      </c>
      <c r="U194" s="319">
        <v>9403068379</v>
      </c>
      <c r="V194" s="319">
        <v>7536622429</v>
      </c>
      <c r="W194" s="319">
        <f>V196</f>
        <v>10513571407</v>
      </c>
      <c r="X194" s="319">
        <v>14815035663</v>
      </c>
      <c r="Y194" s="319">
        <v>14386677390</v>
      </c>
      <c r="Z194" s="319">
        <v>13730084874</v>
      </c>
      <c r="AA194" s="313">
        <f>SUMIFS([1]!Data_CF[Value],[1]!Data_CF[Index CF],'Dong Lam'!$B194,[1]!Data_CF[TenCongTyID],'Dong Lam'!$B$1,[1]!Data_CF[Thang.Nam],'Dong Lam'!AA$155)</f>
        <v>0</v>
      </c>
      <c r="AB194" s="313">
        <f>SUMIFS([1]!Data_CF[Value],[1]!Data_CF[Index CF],'Dong Lam'!$B194,[1]!Data_CF[TenCongTyID],'Dong Lam'!$B$1,[1]!Data_CF[Thang.Nam],'Dong Lam'!AB$155)</f>
        <v>0</v>
      </c>
      <c r="AC194" s="313">
        <f>SUMIFS([1]!Data_CF[Value],[1]!Data_CF[Index CF],'Dong Lam'!$B194,[1]!Data_CF[TenCongTyID],'Dong Lam'!$B$1,[1]!Data_CF[Thang.Nam],'Dong Lam'!AC$155)</f>
        <v>0</v>
      </c>
      <c r="AD194" s="313">
        <f>SUMIFS([1]!Data_CF[Value],[1]!Data_CF[Index CF],'Dong Lam'!$B194,[1]!Data_CF[TenCongTyID],'Dong Lam'!$B$1,[1]!Data_CF[Thang.Nam],'Dong Lam'!AD$155)</f>
        <v>0</v>
      </c>
      <c r="AE194" s="313">
        <f>SUMIFS([1]!Data_CF[Value],[1]!Data_CF[Index CF],'Dong Lam'!$B194,[1]!Data_CF[TenCongTyID],'Dong Lam'!$B$1,[1]!Data_CF[Thang.Nam],'Dong Lam'!AE$155)</f>
        <v>0</v>
      </c>
      <c r="AF194" s="313">
        <f>SUMIFS([1]!Data_CF[Value],[1]!Data_CF[Index CF],'Dong Lam'!$B194,[1]!Data_CF[TenCongTyID],'Dong Lam'!$B$1,[1]!Data_CF[Thang.Nam],'Dong Lam'!AF$155)</f>
        <v>0</v>
      </c>
      <c r="AG194" s="313">
        <f>SUMIFS([1]!Data_CF[Value],[1]!Data_CF[Index CF],'Dong Lam'!$B194,[1]!Data_CF[TenCongTyID],'Dong Lam'!$B$1,[1]!Data_CF[Thang.Nam],'Dong Lam'!AG$155)</f>
        <v>0</v>
      </c>
      <c r="AH194" s="313">
        <f>SUMIFS([1]!Data_CF[Value],[1]!Data_CF[Index CF],'Dong Lam'!$B194,[1]!Data_CF[TenCongTyID],'Dong Lam'!$B$1,[1]!Data_CF[Thang.Nam],'Dong Lam'!AH$155)</f>
        <v>0</v>
      </c>
      <c r="AI194" s="313">
        <f>SUMIFS([1]!Data_CF[Value],[1]!Data_CF[Index CF],'Dong Lam'!$B194,[1]!Data_CF[TenCongTyID],'Dong Lam'!$B$1,[1]!Data_CF[Thang.Nam],'Dong Lam'!AI$155)</f>
        <v>0</v>
      </c>
      <c r="AJ194" s="313">
        <f>SUMIFS([1]!Data_CF[Value],[1]!Data_CF[Index CF],'Dong Lam'!$B194,[1]!Data_CF[TenCongTyID],'Dong Lam'!$B$1,[1]!Data_CF[Thang.Nam],'Dong Lam'!AJ$155)</f>
        <v>0</v>
      </c>
      <c r="AK194" s="313">
        <f>SUMIFS([1]!Data_CF[Value],[1]!Data_CF[Index CF],'Dong Lam'!$B194,[1]!Data_CF[TenCongTyID],'Dong Lam'!$B$1,[1]!Data_CF[Thang.Nam],'Dong Lam'!AK$155)</f>
        <v>0</v>
      </c>
      <c r="AL194" s="313">
        <f>SUMIFS([1]!Data_CF[Value],[1]!Data_CF[Index CF],'Dong Lam'!$B194,[1]!Data_CF[TenCongTyID],'Dong Lam'!$B$1,[1]!Data_CF[Thang.Nam],'Dong Lam'!AL$155)</f>
        <v>0</v>
      </c>
    </row>
    <row r="195" spans="1:39" ht="15" customHeight="1">
      <c r="A195" s="170" t="s">
        <v>281</v>
      </c>
      <c r="B195" s="171">
        <v>40</v>
      </c>
      <c r="C195" s="347">
        <v>0</v>
      </c>
      <c r="D195" s="347">
        <v>0</v>
      </c>
      <c r="E195" s="347"/>
      <c r="F195" s="347"/>
      <c r="G195" s="347"/>
      <c r="H195" s="347"/>
      <c r="I195" s="347"/>
      <c r="J195" s="347"/>
      <c r="K195" s="347"/>
      <c r="L195" s="347"/>
      <c r="M195" s="347"/>
      <c r="N195" s="348"/>
      <c r="O195" s="348">
        <v>0</v>
      </c>
      <c r="P195" s="348">
        <v>0</v>
      </c>
      <c r="Q195" s="348"/>
      <c r="R195" s="348"/>
      <c r="S195" s="348"/>
      <c r="T195" s="348"/>
      <c r="U195" s="348"/>
      <c r="V195" s="348"/>
      <c r="W195" s="348"/>
      <c r="X195" s="348"/>
      <c r="Y195" s="348"/>
      <c r="Z195" s="348">
        <v>0</v>
      </c>
      <c r="AA195" s="325">
        <f>SUMIFS([1]!Data_CF[Value],[1]!Data_CF[Index CF],'Dong Lam'!$B195,[1]!Data_CF[TenCongTyID],'Dong Lam'!$B$1,[1]!Data_CF[Thang.Nam],'Dong Lam'!AA$155)</f>
        <v>0</v>
      </c>
      <c r="AB195" s="325">
        <f>SUMIFS([1]!Data_CF[Value],[1]!Data_CF[Index CF],'Dong Lam'!$B195,[1]!Data_CF[TenCongTyID],'Dong Lam'!$B$1,[1]!Data_CF[Thang.Nam],'Dong Lam'!AB$155)</f>
        <v>0</v>
      </c>
      <c r="AC195" s="325">
        <f>SUMIFS([1]!Data_CF[Value],[1]!Data_CF[Index CF],'Dong Lam'!$B195,[1]!Data_CF[TenCongTyID],'Dong Lam'!$B$1,[1]!Data_CF[Thang.Nam],'Dong Lam'!AC$155)</f>
        <v>0</v>
      </c>
      <c r="AD195" s="325">
        <f>SUMIFS([1]!Data_CF[Value],[1]!Data_CF[Index CF],'Dong Lam'!$B195,[1]!Data_CF[TenCongTyID],'Dong Lam'!$B$1,[1]!Data_CF[Thang.Nam],'Dong Lam'!AD$155)</f>
        <v>0</v>
      </c>
      <c r="AE195" s="325">
        <f>SUMIFS([1]!Data_CF[Value],[1]!Data_CF[Index CF],'Dong Lam'!$B195,[1]!Data_CF[TenCongTyID],'Dong Lam'!$B$1,[1]!Data_CF[Thang.Nam],'Dong Lam'!AE$155)</f>
        <v>0</v>
      </c>
      <c r="AF195" s="325">
        <f>SUMIFS([1]!Data_CF[Value],[1]!Data_CF[Index CF],'Dong Lam'!$B195,[1]!Data_CF[TenCongTyID],'Dong Lam'!$B$1,[1]!Data_CF[Thang.Nam],'Dong Lam'!AF$155)</f>
        <v>0</v>
      </c>
      <c r="AG195" s="325">
        <f>SUMIFS([1]!Data_CF[Value],[1]!Data_CF[Index CF],'Dong Lam'!$B195,[1]!Data_CF[TenCongTyID],'Dong Lam'!$B$1,[1]!Data_CF[Thang.Nam],'Dong Lam'!AG$155)</f>
        <v>0</v>
      </c>
      <c r="AH195" s="325">
        <f>SUMIFS([1]!Data_CF[Value],[1]!Data_CF[Index CF],'Dong Lam'!$B195,[1]!Data_CF[TenCongTyID],'Dong Lam'!$B$1,[1]!Data_CF[Thang.Nam],'Dong Lam'!AH$155)</f>
        <v>0</v>
      </c>
      <c r="AI195" s="325">
        <f>SUMIFS([1]!Data_CF[Value],[1]!Data_CF[Index CF],'Dong Lam'!$B195,[1]!Data_CF[TenCongTyID],'Dong Lam'!$B$1,[1]!Data_CF[Thang.Nam],'Dong Lam'!AI$155)</f>
        <v>0</v>
      </c>
      <c r="AJ195" s="325">
        <f>SUMIFS([1]!Data_CF[Value],[1]!Data_CF[Index CF],'Dong Lam'!$B195,[1]!Data_CF[TenCongTyID],'Dong Lam'!$B$1,[1]!Data_CF[Thang.Nam],'Dong Lam'!AJ$155)</f>
        <v>0</v>
      </c>
      <c r="AK195" s="325">
        <f>SUMIFS([1]!Data_CF[Value],[1]!Data_CF[Index CF],'Dong Lam'!$B195,[1]!Data_CF[TenCongTyID],'Dong Lam'!$B$1,[1]!Data_CF[Thang.Nam],'Dong Lam'!AK$155)</f>
        <v>0</v>
      </c>
      <c r="AL195" s="325">
        <f>SUMIFS([1]!Data_CF[Value],[1]!Data_CF[Index CF],'Dong Lam'!$B195,[1]!Data_CF[TenCongTyID],'Dong Lam'!$B$1,[1]!Data_CF[Thang.Nam],'Dong Lam'!AL$155)</f>
        <v>0</v>
      </c>
    </row>
    <row r="196" spans="1:39" ht="15" customHeight="1">
      <c r="A196" s="145" t="s">
        <v>282</v>
      </c>
      <c r="B196" s="146">
        <v>41</v>
      </c>
      <c r="C196" s="319">
        <f>C194+C193</f>
        <v>10090383500</v>
      </c>
      <c r="D196" s="319">
        <f t="shared" ref="D196:W196" si="10">D194+D193</f>
        <v>9523101882</v>
      </c>
      <c r="E196" s="319">
        <f t="shared" si="10"/>
        <v>11009714369</v>
      </c>
      <c r="F196" s="319">
        <f t="shared" si="10"/>
        <v>11029278425</v>
      </c>
      <c r="G196" s="319">
        <f t="shared" si="10"/>
        <v>10496124461</v>
      </c>
      <c r="H196" s="319">
        <f t="shared" si="10"/>
        <v>11384579309</v>
      </c>
      <c r="I196" s="319">
        <f t="shared" si="10"/>
        <v>11426602174</v>
      </c>
      <c r="J196" s="319">
        <f t="shared" si="10"/>
        <v>11746075725</v>
      </c>
      <c r="K196" s="319">
        <f t="shared" si="10"/>
        <v>10269138389</v>
      </c>
      <c r="L196" s="319">
        <f t="shared" si="10"/>
        <v>10626766582</v>
      </c>
      <c r="M196" s="319">
        <f t="shared" si="10"/>
        <v>9858519374</v>
      </c>
      <c r="N196" s="319">
        <f t="shared" si="10"/>
        <v>11072243110</v>
      </c>
      <c r="O196" s="319">
        <f t="shared" si="10"/>
        <v>8834035774</v>
      </c>
      <c r="P196" s="319">
        <f t="shared" si="10"/>
        <v>7848966637</v>
      </c>
      <c r="Q196" s="319">
        <f t="shared" si="10"/>
        <v>8280510070</v>
      </c>
      <c r="R196" s="319">
        <f t="shared" si="10"/>
        <v>9077992753</v>
      </c>
      <c r="S196" s="319">
        <f t="shared" si="10"/>
        <v>8207694852</v>
      </c>
      <c r="T196" s="319">
        <f t="shared" si="10"/>
        <v>9403068379</v>
      </c>
      <c r="U196" s="319">
        <f t="shared" si="10"/>
        <v>7536622429</v>
      </c>
      <c r="V196" s="319">
        <f t="shared" si="10"/>
        <v>10513571407</v>
      </c>
      <c r="W196" s="319">
        <f t="shared" si="10"/>
        <v>14815035663</v>
      </c>
      <c r="X196" s="319">
        <v>14386677390</v>
      </c>
      <c r="Y196" s="319">
        <v>13730084874</v>
      </c>
      <c r="Z196" s="319">
        <v>12687250220</v>
      </c>
      <c r="AA196" s="313">
        <f>SUMIFS([1]!Data_CF[Value],[1]!Data_CF[Index CF],'Dong Lam'!$B196,[1]!Data_CF[TenCongTyID],'Dong Lam'!$B$1,[1]!Data_CF[Thang.Nam],'Dong Lam'!AA$155)</f>
        <v>0</v>
      </c>
      <c r="AB196" s="313">
        <f>SUMIFS([1]!Data_CF[Value],[1]!Data_CF[Index CF],'Dong Lam'!$B196,[1]!Data_CF[TenCongTyID],'Dong Lam'!$B$1,[1]!Data_CF[Thang.Nam],'Dong Lam'!AB$155)</f>
        <v>0</v>
      </c>
      <c r="AC196" s="313">
        <f>SUMIFS([1]!Data_CF[Value],[1]!Data_CF[Index CF],'Dong Lam'!$B196,[1]!Data_CF[TenCongTyID],'Dong Lam'!$B$1,[1]!Data_CF[Thang.Nam],'Dong Lam'!AC$155)</f>
        <v>0</v>
      </c>
      <c r="AD196" s="313">
        <f>SUMIFS([1]!Data_CF[Value],[1]!Data_CF[Index CF],'Dong Lam'!$B196,[1]!Data_CF[TenCongTyID],'Dong Lam'!$B$1,[1]!Data_CF[Thang.Nam],'Dong Lam'!AD$155)</f>
        <v>0</v>
      </c>
      <c r="AE196" s="313">
        <f>SUMIFS([1]!Data_CF[Value],[1]!Data_CF[Index CF],'Dong Lam'!$B196,[1]!Data_CF[TenCongTyID],'Dong Lam'!$B$1,[1]!Data_CF[Thang.Nam],'Dong Lam'!AE$155)</f>
        <v>0</v>
      </c>
      <c r="AF196" s="313">
        <f>SUMIFS([1]!Data_CF[Value],[1]!Data_CF[Index CF],'Dong Lam'!$B196,[1]!Data_CF[TenCongTyID],'Dong Lam'!$B$1,[1]!Data_CF[Thang.Nam],'Dong Lam'!AF$155)</f>
        <v>0</v>
      </c>
      <c r="AG196" s="313">
        <f>SUMIFS([1]!Data_CF[Value],[1]!Data_CF[Index CF],'Dong Lam'!$B196,[1]!Data_CF[TenCongTyID],'Dong Lam'!$B$1,[1]!Data_CF[Thang.Nam],'Dong Lam'!AG$155)</f>
        <v>0</v>
      </c>
      <c r="AH196" s="313">
        <f>SUMIFS([1]!Data_CF[Value],[1]!Data_CF[Index CF],'Dong Lam'!$B196,[1]!Data_CF[TenCongTyID],'Dong Lam'!$B$1,[1]!Data_CF[Thang.Nam],'Dong Lam'!AH$155)</f>
        <v>0</v>
      </c>
      <c r="AI196" s="313">
        <f>SUMIFS([1]!Data_CF[Value],[1]!Data_CF[Index CF],'Dong Lam'!$B196,[1]!Data_CF[TenCongTyID],'Dong Lam'!$B$1,[1]!Data_CF[Thang.Nam],'Dong Lam'!AI$155)</f>
        <v>0</v>
      </c>
      <c r="AJ196" s="313">
        <f>SUMIFS([1]!Data_CF[Value],[1]!Data_CF[Index CF],'Dong Lam'!$B196,[1]!Data_CF[TenCongTyID],'Dong Lam'!$B$1,[1]!Data_CF[Thang.Nam],'Dong Lam'!AJ$155)</f>
        <v>0</v>
      </c>
      <c r="AK196" s="313">
        <f>SUMIFS([1]!Data_CF[Value],[1]!Data_CF[Index CF],'Dong Lam'!$B196,[1]!Data_CF[TenCongTyID],'Dong Lam'!$B$1,[1]!Data_CF[Thang.Nam],'Dong Lam'!AK$155)</f>
        <v>0</v>
      </c>
      <c r="AL196" s="313">
        <f>SUMIFS([1]!Data_CF[Value],[1]!Data_CF[Index CF],'Dong Lam'!$B196,[1]!Data_CF[TenCongTyID],'Dong Lam'!$B$1,[1]!Data_CF[Thang.Nam],'Dong Lam'!AL$155)</f>
        <v>0</v>
      </c>
    </row>
    <row r="197" spans="1:39" ht="15" customHeight="1">
      <c r="C197" s="175">
        <f t="shared" ref="C197:Y197" si="11">C7-C196</f>
        <v>0</v>
      </c>
      <c r="D197" s="175">
        <f t="shared" si="11"/>
        <v>0</v>
      </c>
      <c r="E197" s="175">
        <f t="shared" si="11"/>
        <v>0</v>
      </c>
      <c r="F197" s="175">
        <f t="shared" si="11"/>
        <v>0</v>
      </c>
      <c r="G197" s="175">
        <f t="shared" si="11"/>
        <v>0</v>
      </c>
      <c r="H197" s="175">
        <f t="shared" si="11"/>
        <v>0</v>
      </c>
      <c r="I197" s="175">
        <f t="shared" si="11"/>
        <v>0</v>
      </c>
      <c r="J197" s="175">
        <f t="shared" si="11"/>
        <v>0</v>
      </c>
      <c r="K197" s="175">
        <f t="shared" si="11"/>
        <v>0</v>
      </c>
      <c r="L197" s="175">
        <f t="shared" si="11"/>
        <v>0</v>
      </c>
      <c r="M197" s="175">
        <f t="shared" si="11"/>
        <v>0</v>
      </c>
      <c r="N197" s="175">
        <f t="shared" si="11"/>
        <v>0</v>
      </c>
      <c r="O197" s="175">
        <f t="shared" si="11"/>
        <v>0</v>
      </c>
      <c r="P197" s="175">
        <f t="shared" si="11"/>
        <v>0</v>
      </c>
      <c r="Q197" s="175">
        <f t="shared" si="11"/>
        <v>0</v>
      </c>
      <c r="R197" s="175">
        <f t="shared" si="11"/>
        <v>0</v>
      </c>
      <c r="S197" s="175">
        <f t="shared" si="11"/>
        <v>0</v>
      </c>
      <c r="T197" s="175">
        <f t="shared" si="11"/>
        <v>0</v>
      </c>
      <c r="U197" s="175">
        <f t="shared" si="11"/>
        <v>0</v>
      </c>
      <c r="V197" s="175">
        <f t="shared" si="11"/>
        <v>0</v>
      </c>
      <c r="W197" s="175">
        <f t="shared" si="11"/>
        <v>0</v>
      </c>
      <c r="X197" s="175">
        <f t="shared" si="11"/>
        <v>0</v>
      </c>
      <c r="Y197" s="175">
        <f t="shared" si="11"/>
        <v>0</v>
      </c>
      <c r="Z197" s="175">
        <v>0</v>
      </c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</row>
    <row r="198" spans="1:39" ht="15" customHeight="1">
      <c r="A198" s="176" t="s">
        <v>283</v>
      </c>
      <c r="B198" s="177" t="s">
        <v>284</v>
      </c>
      <c r="C198" s="349" t="s">
        <v>66</v>
      </c>
      <c r="D198" s="349" t="s">
        <v>67</v>
      </c>
      <c r="E198" s="349" t="s">
        <v>68</v>
      </c>
      <c r="F198" s="349" t="s">
        <v>69</v>
      </c>
      <c r="G198" s="349" t="s">
        <v>70</v>
      </c>
      <c r="H198" s="349" t="s">
        <v>71</v>
      </c>
      <c r="I198" s="349" t="s">
        <v>72</v>
      </c>
      <c r="J198" s="349" t="s">
        <v>73</v>
      </c>
      <c r="K198" s="349" t="s">
        <v>74</v>
      </c>
      <c r="L198" s="349" t="s">
        <v>75</v>
      </c>
      <c r="M198" s="349" t="s">
        <v>76</v>
      </c>
      <c r="N198" s="349" t="s">
        <v>77</v>
      </c>
      <c r="O198" s="349" t="s">
        <v>78</v>
      </c>
      <c r="P198" s="349" t="s">
        <v>79</v>
      </c>
      <c r="Q198" s="349" t="s">
        <v>80</v>
      </c>
      <c r="R198" s="349" t="s">
        <v>81</v>
      </c>
      <c r="S198" s="349" t="s">
        <v>82</v>
      </c>
      <c r="T198" s="349" t="s">
        <v>83</v>
      </c>
      <c r="U198" s="349" t="s">
        <v>84</v>
      </c>
      <c r="V198" s="349" t="s">
        <v>85</v>
      </c>
      <c r="W198" s="349" t="s">
        <v>86</v>
      </c>
      <c r="X198" s="349" t="s">
        <v>87</v>
      </c>
      <c r="Y198" s="349" t="s">
        <v>88</v>
      </c>
      <c r="Z198" s="349" t="s">
        <v>89</v>
      </c>
      <c r="AA198" s="102" t="s">
        <v>8</v>
      </c>
      <c r="AB198" s="102" t="s">
        <v>9</v>
      </c>
      <c r="AC198" s="102" t="s">
        <v>10</v>
      </c>
      <c r="AD198" s="102" t="s">
        <v>11</v>
      </c>
      <c r="AE198" s="102" t="s">
        <v>12</v>
      </c>
      <c r="AF198" s="102" t="s">
        <v>13</v>
      </c>
      <c r="AG198" s="102" t="s">
        <v>14</v>
      </c>
      <c r="AH198" s="102" t="s">
        <v>15</v>
      </c>
      <c r="AI198" s="102" t="s">
        <v>16</v>
      </c>
      <c r="AJ198" s="102" t="s">
        <v>17</v>
      </c>
      <c r="AK198" s="102" t="s">
        <v>18</v>
      </c>
      <c r="AL198" s="102" t="s">
        <v>19</v>
      </c>
      <c r="AM198" s="212">
        <v>2026</v>
      </c>
    </row>
    <row r="199" spans="1:39" ht="15" customHeight="1">
      <c r="A199" s="178" t="s">
        <v>285</v>
      </c>
      <c r="B199" s="179">
        <v>1</v>
      </c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>
        <v>0</v>
      </c>
      <c r="AA199" s="180">
        <f>SUMIFS([1]!Data_PL_Element[Value],[1]!Data_PL_Element[Index PL Element],'Dong Lam'!$B199,[1]!Data_PL_Element[TenCongTyID],'Dong Lam'!$B$1,[1]!Data_PL_Element[Thang.Nam],'Dong Lam'!AA$198)</f>
        <v>0</v>
      </c>
      <c r="AB199" s="180">
        <f>SUMIFS([1]!Data_PL_Element[Value],[1]!Data_PL_Element[Index PL Element],'Dong Lam'!$B199,[1]!Data_PL_Element[TenCongTyID],'Dong Lam'!$B$1,[1]!Data_PL_Element[Thang.Nam],'Dong Lam'!AB$198)</f>
        <v>0</v>
      </c>
      <c r="AC199" s="180">
        <f>SUMIFS([1]!Data_PL_Element[Value],[1]!Data_PL_Element[Index PL Element],'Dong Lam'!$B199,[1]!Data_PL_Element[TenCongTyID],'Dong Lam'!$B$1,[1]!Data_PL_Element[Thang.Nam],'Dong Lam'!AC$198)</f>
        <v>0</v>
      </c>
      <c r="AD199" s="180">
        <f>SUMIFS([1]!Data_PL_Element[Value],[1]!Data_PL_Element[Index PL Element],'Dong Lam'!$B199,[1]!Data_PL_Element[TenCongTyID],'Dong Lam'!$B$1,[1]!Data_PL_Element[Thang.Nam],'Dong Lam'!AD$198)</f>
        <v>0</v>
      </c>
      <c r="AE199" s="180">
        <f>SUMIFS([1]!Data_PL_Element[Value],[1]!Data_PL_Element[Index PL Element],'Dong Lam'!$B199,[1]!Data_PL_Element[TenCongTyID],'Dong Lam'!$B$1,[1]!Data_PL_Element[Thang.Nam],'Dong Lam'!AE$198)</f>
        <v>0</v>
      </c>
      <c r="AF199" s="180">
        <f>SUMIFS([1]!Data_PL_Element[Value],[1]!Data_PL_Element[Index PL Element],'Dong Lam'!$B199,[1]!Data_PL_Element[TenCongTyID],'Dong Lam'!$B$1,[1]!Data_PL_Element[Thang.Nam],'Dong Lam'!AF$198)</f>
        <v>0</v>
      </c>
      <c r="AG199" s="180">
        <f>SUMIFS([1]!Data_PL_Element[Value],[1]!Data_PL_Element[Index PL Element],'Dong Lam'!$B199,[1]!Data_PL_Element[TenCongTyID],'Dong Lam'!$B$1,[1]!Data_PL_Element[Thang.Nam],'Dong Lam'!AG$198)</f>
        <v>0</v>
      </c>
      <c r="AH199" s="180">
        <f>SUMIFS([1]!Data_PL_Element[Value],[1]!Data_PL_Element[Index PL Element],'Dong Lam'!$B199,[1]!Data_PL_Element[TenCongTyID],'Dong Lam'!$B$1,[1]!Data_PL_Element[Thang.Nam],'Dong Lam'!AH$198)</f>
        <v>0</v>
      </c>
      <c r="AI199" s="180">
        <f>SUMIFS([1]!Data_PL_Element[Value],[1]!Data_PL_Element[Index PL Element],'Dong Lam'!$B199,[1]!Data_PL_Element[TenCongTyID],'Dong Lam'!$B$1,[1]!Data_PL_Element[Thang.Nam],'Dong Lam'!AI$198)</f>
        <v>0</v>
      </c>
      <c r="AJ199" s="180">
        <f>SUMIFS([1]!Data_PL_Element[Value],[1]!Data_PL_Element[Index PL Element],'Dong Lam'!$B199,[1]!Data_PL_Element[TenCongTyID],'Dong Lam'!$B$1,[1]!Data_PL_Element[Thang.Nam],'Dong Lam'!AJ$198)</f>
        <v>0</v>
      </c>
      <c r="AK199" s="180">
        <f>SUMIFS([1]!Data_PL_Element[Value],[1]!Data_PL_Element[Index PL Element],'Dong Lam'!$B199,[1]!Data_PL_Element[TenCongTyID],'Dong Lam'!$B$1,[1]!Data_PL_Element[Thang.Nam],'Dong Lam'!AK$198)</f>
        <v>0</v>
      </c>
      <c r="AL199" s="180">
        <f>SUMIFS([1]!Data_PL_Element[Value],[1]!Data_PL_Element[Index PL Element],'Dong Lam'!$B199,[1]!Data_PL_Element[TenCongTyID],'Dong Lam'!$B$1,[1]!Data_PL_Element[Thang.Nam],'Dong Lam'!AL$198)</f>
        <v>0</v>
      </c>
    </row>
    <row r="200" spans="1:39" ht="15" customHeight="1">
      <c r="A200" s="178" t="s">
        <v>286</v>
      </c>
      <c r="B200" s="179">
        <v>2</v>
      </c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>
        <v>0</v>
      </c>
      <c r="AA200" s="180">
        <f>SUMIFS([1]!Data_PL_Element[Value],[1]!Data_PL_Element[Index PL Element],'Dong Lam'!$B200,[1]!Data_PL_Element[TenCongTyID],'Dong Lam'!$B$1,[1]!Data_PL_Element[Thang.Nam],'Dong Lam'!AA$198)</f>
        <v>0</v>
      </c>
      <c r="AB200" s="180">
        <f>SUMIFS([1]!Data_PL_Element[Value],[1]!Data_PL_Element[Index PL Element],'Dong Lam'!$B200,[1]!Data_PL_Element[TenCongTyID],'Dong Lam'!$B$1,[1]!Data_PL_Element[Thang.Nam],'Dong Lam'!AB$198)</f>
        <v>0</v>
      </c>
      <c r="AC200" s="180">
        <f>SUMIFS([1]!Data_PL_Element[Value],[1]!Data_PL_Element[Index PL Element],'Dong Lam'!$B200,[1]!Data_PL_Element[TenCongTyID],'Dong Lam'!$B$1,[1]!Data_PL_Element[Thang.Nam],'Dong Lam'!AC$198)</f>
        <v>0</v>
      </c>
      <c r="AD200" s="180">
        <f>SUMIFS([1]!Data_PL_Element[Value],[1]!Data_PL_Element[Index PL Element],'Dong Lam'!$B200,[1]!Data_PL_Element[TenCongTyID],'Dong Lam'!$B$1,[1]!Data_PL_Element[Thang.Nam],'Dong Lam'!AD$198)</f>
        <v>0</v>
      </c>
      <c r="AE200" s="180">
        <f>SUMIFS([1]!Data_PL_Element[Value],[1]!Data_PL_Element[Index PL Element],'Dong Lam'!$B200,[1]!Data_PL_Element[TenCongTyID],'Dong Lam'!$B$1,[1]!Data_PL_Element[Thang.Nam],'Dong Lam'!AE$198)</f>
        <v>0</v>
      </c>
      <c r="AF200" s="180">
        <f>SUMIFS([1]!Data_PL_Element[Value],[1]!Data_PL_Element[Index PL Element],'Dong Lam'!$B200,[1]!Data_PL_Element[TenCongTyID],'Dong Lam'!$B$1,[1]!Data_PL_Element[Thang.Nam],'Dong Lam'!AF$198)</f>
        <v>0</v>
      </c>
      <c r="AG200" s="180">
        <f>SUMIFS([1]!Data_PL_Element[Value],[1]!Data_PL_Element[Index PL Element],'Dong Lam'!$B200,[1]!Data_PL_Element[TenCongTyID],'Dong Lam'!$B$1,[1]!Data_PL_Element[Thang.Nam],'Dong Lam'!AG$198)</f>
        <v>0</v>
      </c>
      <c r="AH200" s="180">
        <f>SUMIFS([1]!Data_PL_Element[Value],[1]!Data_PL_Element[Index PL Element],'Dong Lam'!$B200,[1]!Data_PL_Element[TenCongTyID],'Dong Lam'!$B$1,[1]!Data_PL_Element[Thang.Nam],'Dong Lam'!AH$198)</f>
        <v>0</v>
      </c>
      <c r="AI200" s="180">
        <f>SUMIFS([1]!Data_PL_Element[Value],[1]!Data_PL_Element[Index PL Element],'Dong Lam'!$B200,[1]!Data_PL_Element[TenCongTyID],'Dong Lam'!$B$1,[1]!Data_PL_Element[Thang.Nam],'Dong Lam'!AI$198)</f>
        <v>0</v>
      </c>
      <c r="AJ200" s="180">
        <f>SUMIFS([1]!Data_PL_Element[Value],[1]!Data_PL_Element[Index PL Element],'Dong Lam'!$B200,[1]!Data_PL_Element[TenCongTyID],'Dong Lam'!$B$1,[1]!Data_PL_Element[Thang.Nam],'Dong Lam'!AJ$198)</f>
        <v>0</v>
      </c>
      <c r="AK200" s="180">
        <f>SUMIFS([1]!Data_PL_Element[Value],[1]!Data_PL_Element[Index PL Element],'Dong Lam'!$B200,[1]!Data_PL_Element[TenCongTyID],'Dong Lam'!$B$1,[1]!Data_PL_Element[Thang.Nam],'Dong Lam'!AK$198)</f>
        <v>0</v>
      </c>
      <c r="AL200" s="180">
        <f>SUMIFS([1]!Data_PL_Element[Value],[1]!Data_PL_Element[Index PL Element],'Dong Lam'!$B200,[1]!Data_PL_Element[TenCongTyID],'Dong Lam'!$B$1,[1]!Data_PL_Element[Thang.Nam],'Dong Lam'!AL$198)</f>
        <v>0</v>
      </c>
    </row>
    <row r="201" spans="1:39" ht="15" customHeight="1">
      <c r="A201" s="178" t="s">
        <v>287</v>
      </c>
      <c r="B201" s="179">
        <v>3</v>
      </c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>
        <v>0</v>
      </c>
      <c r="AA201" s="180">
        <f>SUMIFS([1]!Data_PL_Element[Value],[1]!Data_PL_Element[Index PL Element],'Dong Lam'!$B201,[1]!Data_PL_Element[TenCongTyID],'Dong Lam'!$B$1,[1]!Data_PL_Element[Thang.Nam],'Dong Lam'!AA$198)</f>
        <v>0</v>
      </c>
      <c r="AB201" s="180">
        <f>SUMIFS([1]!Data_PL_Element[Value],[1]!Data_PL_Element[Index PL Element],'Dong Lam'!$B201,[1]!Data_PL_Element[TenCongTyID],'Dong Lam'!$B$1,[1]!Data_PL_Element[Thang.Nam],'Dong Lam'!AB$198)</f>
        <v>0</v>
      </c>
      <c r="AC201" s="180">
        <f>SUMIFS([1]!Data_PL_Element[Value],[1]!Data_PL_Element[Index PL Element],'Dong Lam'!$B201,[1]!Data_PL_Element[TenCongTyID],'Dong Lam'!$B$1,[1]!Data_PL_Element[Thang.Nam],'Dong Lam'!AC$198)</f>
        <v>0</v>
      </c>
      <c r="AD201" s="180">
        <f>SUMIFS([1]!Data_PL_Element[Value],[1]!Data_PL_Element[Index PL Element],'Dong Lam'!$B201,[1]!Data_PL_Element[TenCongTyID],'Dong Lam'!$B$1,[1]!Data_PL_Element[Thang.Nam],'Dong Lam'!AD$198)</f>
        <v>0</v>
      </c>
      <c r="AE201" s="180">
        <f>SUMIFS([1]!Data_PL_Element[Value],[1]!Data_PL_Element[Index PL Element],'Dong Lam'!$B201,[1]!Data_PL_Element[TenCongTyID],'Dong Lam'!$B$1,[1]!Data_PL_Element[Thang.Nam],'Dong Lam'!AE$198)</f>
        <v>0</v>
      </c>
      <c r="AF201" s="180">
        <f>SUMIFS([1]!Data_PL_Element[Value],[1]!Data_PL_Element[Index PL Element],'Dong Lam'!$B201,[1]!Data_PL_Element[TenCongTyID],'Dong Lam'!$B$1,[1]!Data_PL_Element[Thang.Nam],'Dong Lam'!AF$198)</f>
        <v>0</v>
      </c>
      <c r="AG201" s="180">
        <f>SUMIFS([1]!Data_PL_Element[Value],[1]!Data_PL_Element[Index PL Element],'Dong Lam'!$B201,[1]!Data_PL_Element[TenCongTyID],'Dong Lam'!$B$1,[1]!Data_PL_Element[Thang.Nam],'Dong Lam'!AG$198)</f>
        <v>0</v>
      </c>
      <c r="AH201" s="180">
        <f>SUMIFS([1]!Data_PL_Element[Value],[1]!Data_PL_Element[Index PL Element],'Dong Lam'!$B201,[1]!Data_PL_Element[TenCongTyID],'Dong Lam'!$B$1,[1]!Data_PL_Element[Thang.Nam],'Dong Lam'!AH$198)</f>
        <v>0</v>
      </c>
      <c r="AI201" s="180">
        <f>SUMIFS([1]!Data_PL_Element[Value],[1]!Data_PL_Element[Index PL Element],'Dong Lam'!$B201,[1]!Data_PL_Element[TenCongTyID],'Dong Lam'!$B$1,[1]!Data_PL_Element[Thang.Nam],'Dong Lam'!AI$198)</f>
        <v>0</v>
      </c>
      <c r="AJ201" s="180">
        <f>SUMIFS([1]!Data_PL_Element[Value],[1]!Data_PL_Element[Index PL Element],'Dong Lam'!$B201,[1]!Data_PL_Element[TenCongTyID],'Dong Lam'!$B$1,[1]!Data_PL_Element[Thang.Nam],'Dong Lam'!AJ$198)</f>
        <v>0</v>
      </c>
      <c r="AK201" s="180">
        <f>SUMIFS([1]!Data_PL_Element[Value],[1]!Data_PL_Element[Index PL Element],'Dong Lam'!$B201,[1]!Data_PL_Element[TenCongTyID],'Dong Lam'!$B$1,[1]!Data_PL_Element[Thang.Nam],'Dong Lam'!AK$198)</f>
        <v>0</v>
      </c>
      <c r="AL201" s="180">
        <f>SUMIFS([1]!Data_PL_Element[Value],[1]!Data_PL_Element[Index PL Element],'Dong Lam'!$B201,[1]!Data_PL_Element[TenCongTyID],'Dong Lam'!$B$1,[1]!Data_PL_Element[Thang.Nam],'Dong Lam'!AL$198)</f>
        <v>0</v>
      </c>
    </row>
    <row r="202" spans="1:39" ht="15" customHeight="1">
      <c r="A202" s="178" t="s">
        <v>288</v>
      </c>
      <c r="B202" s="179">
        <v>4</v>
      </c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>
        <v>169.60300000000001</v>
      </c>
      <c r="P202" s="180">
        <v>352.04700000000003</v>
      </c>
      <c r="Q202" s="180">
        <v>366.815</v>
      </c>
      <c r="R202" s="180">
        <v>397.517</v>
      </c>
      <c r="S202" s="180">
        <v>475.43599999999998</v>
      </c>
      <c r="T202" s="180">
        <v>524.84</v>
      </c>
      <c r="U202" s="180">
        <v>665.73</v>
      </c>
      <c r="V202" s="180">
        <v>741.495</v>
      </c>
      <c r="W202" s="180">
        <v>605.87400000000002</v>
      </c>
      <c r="X202" s="180">
        <v>473.22699999999998</v>
      </c>
      <c r="Y202" s="180">
        <v>435.67</v>
      </c>
      <c r="Z202" s="180">
        <v>501.34500000000003</v>
      </c>
      <c r="AA202" s="180">
        <f>SUMIFS([1]!Data_PL_Element[Value],[1]!Data_PL_Element[Index PL Element],'Dong Lam'!$B202,[1]!Data_PL_Element[TenCongTyID],'Dong Lam'!$B$1,[1]!Data_PL_Element[Thang.Nam],'Dong Lam'!AA$198)</f>
        <v>0</v>
      </c>
      <c r="AB202" s="180">
        <f>SUMIFS([1]!Data_PL_Element[Value],[1]!Data_PL_Element[Index PL Element],'Dong Lam'!$B202,[1]!Data_PL_Element[TenCongTyID],'Dong Lam'!$B$1,[1]!Data_PL_Element[Thang.Nam],'Dong Lam'!AB$198)</f>
        <v>0</v>
      </c>
      <c r="AC202" s="180">
        <f>SUMIFS([1]!Data_PL_Element[Value],[1]!Data_PL_Element[Index PL Element],'Dong Lam'!$B202,[1]!Data_PL_Element[TenCongTyID],'Dong Lam'!$B$1,[1]!Data_PL_Element[Thang.Nam],'Dong Lam'!AC$198)</f>
        <v>0</v>
      </c>
      <c r="AD202" s="180">
        <f>SUMIFS([1]!Data_PL_Element[Value],[1]!Data_PL_Element[Index PL Element],'Dong Lam'!$B202,[1]!Data_PL_Element[TenCongTyID],'Dong Lam'!$B$1,[1]!Data_PL_Element[Thang.Nam],'Dong Lam'!AD$198)</f>
        <v>0</v>
      </c>
      <c r="AE202" s="180">
        <f>SUMIFS([1]!Data_PL_Element[Value],[1]!Data_PL_Element[Index PL Element],'Dong Lam'!$B202,[1]!Data_PL_Element[TenCongTyID],'Dong Lam'!$B$1,[1]!Data_PL_Element[Thang.Nam],'Dong Lam'!AE$198)</f>
        <v>0</v>
      </c>
      <c r="AF202" s="180">
        <f>SUMIFS([1]!Data_PL_Element[Value],[1]!Data_PL_Element[Index PL Element],'Dong Lam'!$B202,[1]!Data_PL_Element[TenCongTyID],'Dong Lam'!$B$1,[1]!Data_PL_Element[Thang.Nam],'Dong Lam'!AF$198)</f>
        <v>0</v>
      </c>
      <c r="AG202" s="180">
        <f>SUMIFS([1]!Data_PL_Element[Value],[1]!Data_PL_Element[Index PL Element],'Dong Lam'!$B202,[1]!Data_PL_Element[TenCongTyID],'Dong Lam'!$B$1,[1]!Data_PL_Element[Thang.Nam],'Dong Lam'!AG$198)</f>
        <v>0</v>
      </c>
      <c r="AH202" s="180">
        <f>SUMIFS([1]!Data_PL_Element[Value],[1]!Data_PL_Element[Index PL Element],'Dong Lam'!$B202,[1]!Data_PL_Element[TenCongTyID],'Dong Lam'!$B$1,[1]!Data_PL_Element[Thang.Nam],'Dong Lam'!AH$198)</f>
        <v>0</v>
      </c>
      <c r="AI202" s="180">
        <f>SUMIFS([1]!Data_PL_Element[Value],[1]!Data_PL_Element[Index PL Element],'Dong Lam'!$B202,[1]!Data_PL_Element[TenCongTyID],'Dong Lam'!$B$1,[1]!Data_PL_Element[Thang.Nam],'Dong Lam'!AI$198)</f>
        <v>0</v>
      </c>
      <c r="AJ202" s="180">
        <f>SUMIFS([1]!Data_PL_Element[Value],[1]!Data_PL_Element[Index PL Element],'Dong Lam'!$B202,[1]!Data_PL_Element[TenCongTyID],'Dong Lam'!$B$1,[1]!Data_PL_Element[Thang.Nam],'Dong Lam'!AJ$198)</f>
        <v>0</v>
      </c>
      <c r="AK202" s="180">
        <f>SUMIFS([1]!Data_PL_Element[Value],[1]!Data_PL_Element[Index PL Element],'Dong Lam'!$B202,[1]!Data_PL_Element[TenCongTyID],'Dong Lam'!$B$1,[1]!Data_PL_Element[Thang.Nam],'Dong Lam'!AK$198)</f>
        <v>0</v>
      </c>
      <c r="AL202" s="180">
        <f>SUMIFS([1]!Data_PL_Element[Value],[1]!Data_PL_Element[Index PL Element],'Dong Lam'!$B202,[1]!Data_PL_Element[TenCongTyID],'Dong Lam'!$B$1,[1]!Data_PL_Element[Thang.Nam],'Dong Lam'!AL$198)</f>
        <v>0</v>
      </c>
    </row>
    <row r="203" spans="1:39" ht="15" customHeight="1">
      <c r="A203" s="178" t="s">
        <v>289</v>
      </c>
      <c r="B203" s="179">
        <v>5</v>
      </c>
      <c r="C203" s="180">
        <f t="shared" ref="C203:Y205" si="12">C134</f>
        <v>573</v>
      </c>
      <c r="D203" s="180">
        <f t="shared" si="12"/>
        <v>269</v>
      </c>
      <c r="E203" s="180">
        <f t="shared" si="12"/>
        <v>385</v>
      </c>
      <c r="F203" s="180">
        <f t="shared" si="12"/>
        <v>393</v>
      </c>
      <c r="G203" s="180">
        <f t="shared" si="12"/>
        <v>627.69200000000001</v>
      </c>
      <c r="H203" s="180">
        <f t="shared" si="12"/>
        <v>379</v>
      </c>
      <c r="I203" s="180">
        <f t="shared" si="12"/>
        <v>289.90899999999999</v>
      </c>
      <c r="J203" s="180">
        <f t="shared" si="12"/>
        <v>249.529</v>
      </c>
      <c r="K203" s="180">
        <f t="shared" si="12"/>
        <v>256.07</v>
      </c>
      <c r="L203" s="180">
        <f t="shared" si="12"/>
        <v>285.92700000000002</v>
      </c>
      <c r="M203" s="180">
        <f t="shared" si="12"/>
        <v>301.60300000000001</v>
      </c>
      <c r="N203" s="180">
        <f t="shared" si="12"/>
        <v>231.24799999999999</v>
      </c>
      <c r="O203" s="180">
        <f t="shared" si="12"/>
        <v>136.81700000000001</v>
      </c>
      <c r="P203" s="180">
        <f t="shared" si="12"/>
        <v>284.58600000000001</v>
      </c>
      <c r="Q203" s="180">
        <f t="shared" si="12"/>
        <v>355.69799999999998</v>
      </c>
      <c r="R203" s="180">
        <f t="shared" si="12"/>
        <v>421.53300000000002</v>
      </c>
      <c r="S203" s="180">
        <f t="shared" si="12"/>
        <v>410.44900000000001</v>
      </c>
      <c r="T203" s="180">
        <f t="shared" si="12"/>
        <v>572.58600000000001</v>
      </c>
      <c r="U203" s="180">
        <f t="shared" si="12"/>
        <v>681.43200000000002</v>
      </c>
      <c r="V203" s="180">
        <f t="shared" si="12"/>
        <v>736.18600000000004</v>
      </c>
      <c r="W203" s="180">
        <f t="shared" si="12"/>
        <v>660.12800000000004</v>
      </c>
      <c r="X203" s="180">
        <f t="shared" si="12"/>
        <v>493.928</v>
      </c>
      <c r="Y203" s="180">
        <f t="shared" si="12"/>
        <v>419.82400000000001</v>
      </c>
      <c r="Z203" s="180">
        <v>530</v>
      </c>
      <c r="AA203" s="180">
        <f t="shared" ref="AA203:AL205" si="13">AA134</f>
        <v>798.98</v>
      </c>
      <c r="AB203" s="180">
        <f t="shared" si="13"/>
        <v>489.61799999999999</v>
      </c>
      <c r="AC203" s="180">
        <f t="shared" si="13"/>
        <v>953.61727499999984</v>
      </c>
      <c r="AD203" s="180">
        <f t="shared" si="13"/>
        <v>1018.821875</v>
      </c>
      <c r="AE203" s="180">
        <f t="shared" si="13"/>
        <v>1018.821875</v>
      </c>
      <c r="AF203" s="180">
        <f t="shared" si="13"/>
        <v>1059.57475</v>
      </c>
      <c r="AG203" s="180">
        <f t="shared" si="13"/>
        <v>1100.3276249999999</v>
      </c>
      <c r="AH203" s="180">
        <f t="shared" si="13"/>
        <v>1059.57475</v>
      </c>
      <c r="AI203" s="180">
        <f t="shared" si="13"/>
        <v>978.06899999999996</v>
      </c>
      <c r="AJ203" s="180">
        <f t="shared" si="13"/>
        <v>1100.3276249999999</v>
      </c>
      <c r="AK203" s="180">
        <f t="shared" si="13"/>
        <v>1018.821875</v>
      </c>
      <c r="AL203" s="180">
        <f t="shared" si="13"/>
        <v>1100.3276249999999</v>
      </c>
    </row>
    <row r="204" spans="1:39" ht="15" customHeight="1">
      <c r="A204" s="181" t="s">
        <v>290</v>
      </c>
      <c r="B204" s="182">
        <v>6</v>
      </c>
      <c r="C204" s="183">
        <f t="shared" si="12"/>
        <v>8400713900</v>
      </c>
      <c r="D204" s="183">
        <f t="shared" si="12"/>
        <v>3931174800</v>
      </c>
      <c r="E204" s="183">
        <f t="shared" si="12"/>
        <v>5768669300</v>
      </c>
      <c r="F204" s="183">
        <f t="shared" si="12"/>
        <v>5809292600</v>
      </c>
      <c r="G204" s="183">
        <f t="shared" si="12"/>
        <v>9485730900</v>
      </c>
      <c r="H204" s="183">
        <f t="shared" si="12"/>
        <v>6180931000</v>
      </c>
      <c r="I204" s="183">
        <f t="shared" si="12"/>
        <v>4176102000</v>
      </c>
      <c r="J204" s="183">
        <f t="shared" si="12"/>
        <v>3625752000</v>
      </c>
      <c r="K204" s="183">
        <f t="shared" si="12"/>
        <v>3921219000</v>
      </c>
      <c r="L204" s="183">
        <f t="shared" si="12"/>
        <v>4329468100</v>
      </c>
      <c r="M204" s="183">
        <f t="shared" si="12"/>
        <v>4671750950</v>
      </c>
      <c r="N204" s="183">
        <f t="shared" si="12"/>
        <v>3649641000</v>
      </c>
      <c r="O204" s="183">
        <f t="shared" si="12"/>
        <v>2184030270</v>
      </c>
      <c r="P204" s="183">
        <f t="shared" si="12"/>
        <v>4906179695</v>
      </c>
      <c r="Q204" s="183">
        <f t="shared" si="12"/>
        <v>6333654608</v>
      </c>
      <c r="R204" s="183">
        <f t="shared" si="12"/>
        <v>7807068174</v>
      </c>
      <c r="S204" s="183">
        <f t="shared" si="12"/>
        <v>7380147015</v>
      </c>
      <c r="T204" s="183">
        <f t="shared" si="12"/>
        <v>10556762949</v>
      </c>
      <c r="U204" s="183">
        <f t="shared" si="12"/>
        <v>12875151030</v>
      </c>
      <c r="V204" s="183">
        <f t="shared" si="12"/>
        <v>13763220740</v>
      </c>
      <c r="W204" s="183">
        <f t="shared" si="12"/>
        <v>9904916640</v>
      </c>
      <c r="X204" s="183">
        <f t="shared" si="12"/>
        <v>7003708500</v>
      </c>
      <c r="Y204" s="183">
        <f t="shared" si="12"/>
        <v>5985740000</v>
      </c>
      <c r="Z204" s="183">
        <v>7484127000</v>
      </c>
      <c r="AA204" s="183">
        <f t="shared" si="13"/>
        <v>0</v>
      </c>
      <c r="AB204" s="183">
        <f t="shared" si="13"/>
        <v>0</v>
      </c>
      <c r="AC204" s="183">
        <f t="shared" si="13"/>
        <v>0</v>
      </c>
      <c r="AD204" s="183">
        <f t="shared" si="13"/>
        <v>0</v>
      </c>
      <c r="AE204" s="183">
        <f t="shared" si="13"/>
        <v>0</v>
      </c>
      <c r="AF204" s="183">
        <f t="shared" si="13"/>
        <v>0</v>
      </c>
      <c r="AG204" s="183">
        <f t="shared" si="13"/>
        <v>0</v>
      </c>
      <c r="AH204" s="183">
        <f t="shared" si="13"/>
        <v>0</v>
      </c>
      <c r="AI204" s="183">
        <f t="shared" si="13"/>
        <v>0</v>
      </c>
      <c r="AJ204" s="183">
        <f t="shared" si="13"/>
        <v>0</v>
      </c>
      <c r="AK204" s="183">
        <f t="shared" si="13"/>
        <v>0</v>
      </c>
      <c r="AL204" s="183">
        <f t="shared" si="13"/>
        <v>0</v>
      </c>
    </row>
    <row r="205" spans="1:39" ht="15" customHeight="1">
      <c r="A205" s="184" t="s">
        <v>291</v>
      </c>
      <c r="B205" s="185">
        <v>7</v>
      </c>
      <c r="C205" s="186">
        <f t="shared" si="12"/>
        <v>0</v>
      </c>
      <c r="D205" s="186">
        <f t="shared" si="12"/>
        <v>0</v>
      </c>
      <c r="E205" s="186">
        <f t="shared" si="12"/>
        <v>0</v>
      </c>
      <c r="F205" s="186">
        <f t="shared" si="12"/>
        <v>0</v>
      </c>
      <c r="G205" s="186">
        <f t="shared" si="12"/>
        <v>0</v>
      </c>
      <c r="H205" s="186">
        <f t="shared" si="12"/>
        <v>0</v>
      </c>
      <c r="I205" s="186">
        <f t="shared" si="12"/>
        <v>0</v>
      </c>
      <c r="J205" s="186">
        <f t="shared" si="12"/>
        <v>0</v>
      </c>
      <c r="K205" s="186">
        <f t="shared" si="12"/>
        <v>0</v>
      </c>
      <c r="L205" s="186">
        <f t="shared" si="12"/>
        <v>0</v>
      </c>
      <c r="M205" s="186">
        <f t="shared" si="12"/>
        <v>0</v>
      </c>
      <c r="N205" s="186">
        <f t="shared" si="12"/>
        <v>0</v>
      </c>
      <c r="O205" s="186">
        <f t="shared" si="12"/>
        <v>0</v>
      </c>
      <c r="P205" s="186">
        <f t="shared" si="12"/>
        <v>0</v>
      </c>
      <c r="Q205" s="186">
        <f t="shared" si="12"/>
        <v>0</v>
      </c>
      <c r="R205" s="186">
        <f t="shared" si="12"/>
        <v>0</v>
      </c>
      <c r="S205" s="186">
        <f t="shared" si="12"/>
        <v>0</v>
      </c>
      <c r="T205" s="186">
        <f t="shared" si="12"/>
        <v>0</v>
      </c>
      <c r="U205" s="186">
        <f t="shared" si="12"/>
        <v>0</v>
      </c>
      <c r="V205" s="186">
        <f t="shared" si="12"/>
        <v>0</v>
      </c>
      <c r="W205" s="186">
        <f t="shared" si="12"/>
        <v>0</v>
      </c>
      <c r="X205" s="186">
        <f t="shared" si="12"/>
        <v>0</v>
      </c>
      <c r="Y205" s="186">
        <f t="shared" si="12"/>
        <v>0</v>
      </c>
      <c r="Z205" s="186">
        <v>0</v>
      </c>
      <c r="AA205" s="186">
        <f t="shared" si="13"/>
        <v>0</v>
      </c>
      <c r="AB205" s="186">
        <f t="shared" si="13"/>
        <v>0</v>
      </c>
      <c r="AC205" s="186">
        <f t="shared" si="13"/>
        <v>0</v>
      </c>
      <c r="AD205" s="186">
        <f t="shared" si="13"/>
        <v>0</v>
      </c>
      <c r="AE205" s="186">
        <f t="shared" si="13"/>
        <v>0</v>
      </c>
      <c r="AF205" s="186">
        <f t="shared" si="13"/>
        <v>0</v>
      </c>
      <c r="AG205" s="186">
        <f t="shared" si="13"/>
        <v>0</v>
      </c>
      <c r="AH205" s="186">
        <f t="shared" si="13"/>
        <v>0</v>
      </c>
      <c r="AI205" s="186">
        <f t="shared" si="13"/>
        <v>0</v>
      </c>
      <c r="AJ205" s="186">
        <f t="shared" si="13"/>
        <v>0</v>
      </c>
      <c r="AK205" s="186">
        <f t="shared" si="13"/>
        <v>0</v>
      </c>
      <c r="AL205" s="186">
        <f t="shared" si="13"/>
        <v>0</v>
      </c>
    </row>
    <row r="206" spans="1:39" ht="15" customHeight="1">
      <c r="A206" s="184" t="s">
        <v>292</v>
      </c>
      <c r="B206" s="185">
        <v>8</v>
      </c>
      <c r="C206" s="187">
        <f t="shared" ref="C206:AL206" si="14">IFERROR(C205/C204,"")</f>
        <v>0</v>
      </c>
      <c r="D206" s="187">
        <f t="shared" si="14"/>
        <v>0</v>
      </c>
      <c r="E206" s="187">
        <f t="shared" si="14"/>
        <v>0</v>
      </c>
      <c r="F206" s="187">
        <f t="shared" si="14"/>
        <v>0</v>
      </c>
      <c r="G206" s="187">
        <f t="shared" si="14"/>
        <v>0</v>
      </c>
      <c r="H206" s="187">
        <f t="shared" si="14"/>
        <v>0</v>
      </c>
      <c r="I206" s="187">
        <f t="shared" si="14"/>
        <v>0</v>
      </c>
      <c r="J206" s="187">
        <f t="shared" si="14"/>
        <v>0</v>
      </c>
      <c r="K206" s="187">
        <f t="shared" si="14"/>
        <v>0</v>
      </c>
      <c r="L206" s="187">
        <f t="shared" si="14"/>
        <v>0</v>
      </c>
      <c r="M206" s="187">
        <f t="shared" si="14"/>
        <v>0</v>
      </c>
      <c r="N206" s="187">
        <f t="shared" si="14"/>
        <v>0</v>
      </c>
      <c r="O206" s="187">
        <f t="shared" si="14"/>
        <v>0</v>
      </c>
      <c r="P206" s="187">
        <f t="shared" si="14"/>
        <v>0</v>
      </c>
      <c r="Q206" s="187">
        <f t="shared" si="14"/>
        <v>0</v>
      </c>
      <c r="R206" s="187">
        <f t="shared" si="14"/>
        <v>0</v>
      </c>
      <c r="S206" s="187">
        <f t="shared" si="14"/>
        <v>0</v>
      </c>
      <c r="T206" s="187">
        <f t="shared" si="14"/>
        <v>0</v>
      </c>
      <c r="U206" s="187">
        <f t="shared" si="14"/>
        <v>0</v>
      </c>
      <c r="V206" s="187">
        <f t="shared" si="14"/>
        <v>0</v>
      </c>
      <c r="W206" s="187">
        <f t="shared" si="14"/>
        <v>0</v>
      </c>
      <c r="X206" s="187">
        <f t="shared" si="14"/>
        <v>0</v>
      </c>
      <c r="Y206" s="187">
        <f t="shared" si="14"/>
        <v>0</v>
      </c>
      <c r="Z206" s="187">
        <v>0</v>
      </c>
      <c r="AA206" s="187" t="str">
        <f t="shared" si="14"/>
        <v/>
      </c>
      <c r="AB206" s="187" t="str">
        <f t="shared" si="14"/>
        <v/>
      </c>
      <c r="AC206" s="187" t="str">
        <f t="shared" si="14"/>
        <v/>
      </c>
      <c r="AD206" s="187" t="str">
        <f t="shared" si="14"/>
        <v/>
      </c>
      <c r="AE206" s="187" t="str">
        <f t="shared" si="14"/>
        <v/>
      </c>
      <c r="AF206" s="187" t="str">
        <f t="shared" si="14"/>
        <v/>
      </c>
      <c r="AG206" s="187" t="str">
        <f t="shared" si="14"/>
        <v/>
      </c>
      <c r="AH206" s="187" t="str">
        <f t="shared" si="14"/>
        <v/>
      </c>
      <c r="AI206" s="187" t="str">
        <f t="shared" si="14"/>
        <v/>
      </c>
      <c r="AJ206" s="187" t="str">
        <f t="shared" si="14"/>
        <v/>
      </c>
      <c r="AK206" s="187" t="str">
        <f t="shared" si="14"/>
        <v/>
      </c>
      <c r="AL206" s="187" t="str">
        <f t="shared" si="14"/>
        <v/>
      </c>
    </row>
    <row r="207" spans="1:39" ht="15" customHeight="1">
      <c r="A207" s="181" t="s">
        <v>293</v>
      </c>
      <c r="B207" s="182">
        <v>9</v>
      </c>
      <c r="C207" s="188">
        <f t="shared" ref="C207:AL207" si="15">C137</f>
        <v>8400713900</v>
      </c>
      <c r="D207" s="188">
        <f t="shared" si="15"/>
        <v>3931174800</v>
      </c>
      <c r="E207" s="188">
        <f t="shared" si="15"/>
        <v>5768669300</v>
      </c>
      <c r="F207" s="188">
        <f t="shared" si="15"/>
        <v>5809292600</v>
      </c>
      <c r="G207" s="188">
        <f t="shared" si="15"/>
        <v>9485730900</v>
      </c>
      <c r="H207" s="188">
        <f t="shared" si="15"/>
        <v>6180931000</v>
      </c>
      <c r="I207" s="188">
        <f t="shared" si="15"/>
        <v>4176102000</v>
      </c>
      <c r="J207" s="188">
        <f t="shared" si="15"/>
        <v>3625752000</v>
      </c>
      <c r="K207" s="188">
        <f t="shared" si="15"/>
        <v>3921219000</v>
      </c>
      <c r="L207" s="188">
        <f t="shared" si="15"/>
        <v>4329468100</v>
      </c>
      <c r="M207" s="188">
        <f t="shared" si="15"/>
        <v>4671750950</v>
      </c>
      <c r="N207" s="188">
        <f t="shared" si="15"/>
        <v>3649641000</v>
      </c>
      <c r="O207" s="188">
        <f t="shared" si="15"/>
        <v>2184030270</v>
      </c>
      <c r="P207" s="188">
        <f t="shared" si="15"/>
        <v>4906179695</v>
      </c>
      <c r="Q207" s="188">
        <f t="shared" si="15"/>
        <v>6333654608</v>
      </c>
      <c r="R207" s="188">
        <f t="shared" si="15"/>
        <v>7807068174</v>
      </c>
      <c r="S207" s="188">
        <f t="shared" si="15"/>
        <v>7380147015</v>
      </c>
      <c r="T207" s="188">
        <f t="shared" si="15"/>
        <v>10556762949</v>
      </c>
      <c r="U207" s="188">
        <f t="shared" si="15"/>
        <v>12875151030</v>
      </c>
      <c r="V207" s="188">
        <f t="shared" si="15"/>
        <v>13763220740</v>
      </c>
      <c r="W207" s="188">
        <f t="shared" si="15"/>
        <v>9904916640</v>
      </c>
      <c r="X207" s="188">
        <f t="shared" si="15"/>
        <v>7003708500</v>
      </c>
      <c r="Y207" s="188">
        <f t="shared" si="15"/>
        <v>5985740000</v>
      </c>
      <c r="Z207" s="188">
        <v>7484127000</v>
      </c>
      <c r="AA207" s="188">
        <f t="shared" si="15"/>
        <v>11319672000</v>
      </c>
      <c r="AB207" s="188">
        <f t="shared" si="15"/>
        <v>7463520000</v>
      </c>
      <c r="AC207" s="188">
        <f t="shared" si="15"/>
        <v>14539209750</v>
      </c>
      <c r="AD207" s="188">
        <f t="shared" si="15"/>
        <v>16106940625</v>
      </c>
      <c r="AE207" s="188">
        <f t="shared" si="15"/>
        <v>16106940625</v>
      </c>
      <c r="AF207" s="188">
        <f t="shared" si="15"/>
        <v>16751218250</v>
      </c>
      <c r="AG207" s="188">
        <f t="shared" si="15"/>
        <v>17395495875</v>
      </c>
      <c r="AH207" s="188">
        <f t="shared" si="15"/>
        <v>16751218250</v>
      </c>
      <c r="AI207" s="188">
        <f t="shared" si="15"/>
        <v>15462663000</v>
      </c>
      <c r="AJ207" s="188">
        <f t="shared" si="15"/>
        <v>17395495875</v>
      </c>
      <c r="AK207" s="188">
        <f t="shared" si="15"/>
        <v>16106940625</v>
      </c>
      <c r="AL207" s="188">
        <f t="shared" si="15"/>
        <v>17395495875</v>
      </c>
    </row>
    <row r="208" spans="1:39" ht="15" customHeight="1">
      <c r="A208" s="178" t="s">
        <v>294</v>
      </c>
      <c r="B208" s="179">
        <v>10</v>
      </c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>
        <v>0</v>
      </c>
      <c r="AA208" s="189">
        <f>SUMIFS([1]!Data_PL_Element[Value],[1]!Data_PL_Element[Index PL Element],'Dong Lam'!$B208,[1]!Data_PL_Element[TenCongTyID],'Dong Lam'!$B$1,[1]!Data_PL_Element[Thang.Nam],'Dong Lam'!AA$198)</f>
        <v>0</v>
      </c>
      <c r="AB208" s="189">
        <f>SUMIFS([1]!Data_PL_Element[Value],[1]!Data_PL_Element[Index PL Element],'Dong Lam'!$B208,[1]!Data_PL_Element[TenCongTyID],'Dong Lam'!$B$1,[1]!Data_PL_Element[Thang.Nam],'Dong Lam'!AB$198)</f>
        <v>0</v>
      </c>
      <c r="AC208" s="189">
        <f>SUMIFS([1]!Data_PL_Element[Value],[1]!Data_PL_Element[Index PL Element],'Dong Lam'!$B208,[1]!Data_PL_Element[TenCongTyID],'Dong Lam'!$B$1,[1]!Data_PL_Element[Thang.Nam],'Dong Lam'!AC$198)</f>
        <v>0</v>
      </c>
      <c r="AD208" s="189">
        <f>SUMIFS([1]!Data_PL_Element[Value],[1]!Data_PL_Element[Index PL Element],'Dong Lam'!$B208,[1]!Data_PL_Element[TenCongTyID],'Dong Lam'!$B$1,[1]!Data_PL_Element[Thang.Nam],'Dong Lam'!AD$198)</f>
        <v>0</v>
      </c>
      <c r="AE208" s="189">
        <f>SUMIFS([1]!Data_PL_Element[Value],[1]!Data_PL_Element[Index PL Element],'Dong Lam'!$B208,[1]!Data_PL_Element[TenCongTyID],'Dong Lam'!$B$1,[1]!Data_PL_Element[Thang.Nam],'Dong Lam'!AE$198)</f>
        <v>0</v>
      </c>
      <c r="AF208" s="189">
        <f>SUMIFS([1]!Data_PL_Element[Value],[1]!Data_PL_Element[Index PL Element],'Dong Lam'!$B208,[1]!Data_PL_Element[TenCongTyID],'Dong Lam'!$B$1,[1]!Data_PL_Element[Thang.Nam],'Dong Lam'!AF$198)</f>
        <v>0</v>
      </c>
      <c r="AG208" s="189">
        <f>SUMIFS([1]!Data_PL_Element[Value],[1]!Data_PL_Element[Index PL Element],'Dong Lam'!$B208,[1]!Data_PL_Element[TenCongTyID],'Dong Lam'!$B$1,[1]!Data_PL_Element[Thang.Nam],'Dong Lam'!AG$198)</f>
        <v>0</v>
      </c>
      <c r="AH208" s="189">
        <f>SUMIFS([1]!Data_PL_Element[Value],[1]!Data_PL_Element[Index PL Element],'Dong Lam'!$B208,[1]!Data_PL_Element[TenCongTyID],'Dong Lam'!$B$1,[1]!Data_PL_Element[Thang.Nam],'Dong Lam'!AH$198)</f>
        <v>0</v>
      </c>
      <c r="AI208" s="189">
        <f>SUMIFS([1]!Data_PL_Element[Value],[1]!Data_PL_Element[Index PL Element],'Dong Lam'!$B208,[1]!Data_PL_Element[TenCongTyID],'Dong Lam'!$B$1,[1]!Data_PL_Element[Thang.Nam],'Dong Lam'!AI$198)</f>
        <v>0</v>
      </c>
      <c r="AJ208" s="189">
        <f>SUMIFS([1]!Data_PL_Element[Value],[1]!Data_PL_Element[Index PL Element],'Dong Lam'!$B208,[1]!Data_PL_Element[TenCongTyID],'Dong Lam'!$B$1,[1]!Data_PL_Element[Thang.Nam],'Dong Lam'!AJ$198)</f>
        <v>0</v>
      </c>
      <c r="AK208" s="189">
        <f>SUMIFS([1]!Data_PL_Element[Value],[1]!Data_PL_Element[Index PL Element],'Dong Lam'!$B208,[1]!Data_PL_Element[TenCongTyID],'Dong Lam'!$B$1,[1]!Data_PL_Element[Thang.Nam],'Dong Lam'!AK$198)</f>
        <v>0</v>
      </c>
      <c r="AL208" s="189">
        <f>SUMIFS([1]!Data_PL_Element[Value],[1]!Data_PL_Element[Index PL Element],'Dong Lam'!$B208,[1]!Data_PL_Element[TenCongTyID],'Dong Lam'!$B$1,[1]!Data_PL_Element[Thang.Nam],'Dong Lam'!AL$198)</f>
        <v>0</v>
      </c>
    </row>
    <row r="209" spans="1:38" ht="15" customHeight="1">
      <c r="A209" s="178" t="s">
        <v>295</v>
      </c>
      <c r="B209" s="179">
        <v>11</v>
      </c>
      <c r="C209" s="189">
        <f>C207</f>
        <v>8400713900</v>
      </c>
      <c r="D209" s="189">
        <f t="shared" ref="D209:Y209" si="16">D207</f>
        <v>3931174800</v>
      </c>
      <c r="E209" s="189">
        <f t="shared" si="16"/>
        <v>5768669300</v>
      </c>
      <c r="F209" s="189">
        <f t="shared" si="16"/>
        <v>5809292600</v>
      </c>
      <c r="G209" s="189">
        <f t="shared" si="16"/>
        <v>9485730900</v>
      </c>
      <c r="H209" s="189">
        <f t="shared" si="16"/>
        <v>6180931000</v>
      </c>
      <c r="I209" s="189">
        <f t="shared" si="16"/>
        <v>4176102000</v>
      </c>
      <c r="J209" s="189">
        <f t="shared" si="16"/>
        <v>3625752000</v>
      </c>
      <c r="K209" s="189">
        <f t="shared" si="16"/>
        <v>3921219000</v>
      </c>
      <c r="L209" s="189">
        <f t="shared" si="16"/>
        <v>4329468100</v>
      </c>
      <c r="M209" s="189">
        <f t="shared" si="16"/>
        <v>4671750950</v>
      </c>
      <c r="N209" s="189">
        <f t="shared" si="16"/>
        <v>3649641000</v>
      </c>
      <c r="O209" s="189">
        <f t="shared" si="16"/>
        <v>2184030270</v>
      </c>
      <c r="P209" s="189">
        <f t="shared" si="16"/>
        <v>4906179695</v>
      </c>
      <c r="Q209" s="189">
        <f t="shared" si="16"/>
        <v>6333654608</v>
      </c>
      <c r="R209" s="189">
        <f t="shared" si="16"/>
        <v>7807068174</v>
      </c>
      <c r="S209" s="189">
        <f t="shared" si="16"/>
        <v>7380147015</v>
      </c>
      <c r="T209" s="189">
        <f t="shared" si="16"/>
        <v>10556762949</v>
      </c>
      <c r="U209" s="189">
        <f t="shared" si="16"/>
        <v>12875151030</v>
      </c>
      <c r="V209" s="189">
        <f t="shared" si="16"/>
        <v>13763220740</v>
      </c>
      <c r="W209" s="189">
        <f t="shared" si="16"/>
        <v>9904916640</v>
      </c>
      <c r="X209" s="189">
        <f t="shared" si="16"/>
        <v>7003708500</v>
      </c>
      <c r="Y209" s="189">
        <f t="shared" si="16"/>
        <v>5985740000</v>
      </c>
      <c r="Z209" s="189">
        <v>7484127000</v>
      </c>
      <c r="AA209" s="189">
        <f>SUMIFS([1]!Data_PL_Element[Value],[1]!Data_PL_Element[Index PL Element],'Dong Lam'!$B209,[1]!Data_PL_Element[TenCongTyID],'Dong Lam'!$B$1,[1]!Data_PL_Element[Thang.Nam],'Dong Lam'!AA$198)</f>
        <v>0</v>
      </c>
      <c r="AB209" s="189">
        <f>SUMIFS([1]!Data_PL_Element[Value],[1]!Data_PL_Element[Index PL Element],'Dong Lam'!$B209,[1]!Data_PL_Element[TenCongTyID],'Dong Lam'!$B$1,[1]!Data_PL_Element[Thang.Nam],'Dong Lam'!AB$198)</f>
        <v>0</v>
      </c>
      <c r="AC209" s="189">
        <f>SUMIFS([1]!Data_PL_Element[Value],[1]!Data_PL_Element[Index PL Element],'Dong Lam'!$B209,[1]!Data_PL_Element[TenCongTyID],'Dong Lam'!$B$1,[1]!Data_PL_Element[Thang.Nam],'Dong Lam'!AC$198)</f>
        <v>0</v>
      </c>
      <c r="AD209" s="189">
        <f>SUMIFS([1]!Data_PL_Element[Value],[1]!Data_PL_Element[Index PL Element],'Dong Lam'!$B209,[1]!Data_PL_Element[TenCongTyID],'Dong Lam'!$B$1,[1]!Data_PL_Element[Thang.Nam],'Dong Lam'!AD$198)</f>
        <v>0</v>
      </c>
      <c r="AE209" s="189">
        <f>SUMIFS([1]!Data_PL_Element[Value],[1]!Data_PL_Element[Index PL Element],'Dong Lam'!$B209,[1]!Data_PL_Element[TenCongTyID],'Dong Lam'!$B$1,[1]!Data_PL_Element[Thang.Nam],'Dong Lam'!AE$198)</f>
        <v>0</v>
      </c>
      <c r="AF209" s="189">
        <f>SUMIFS([1]!Data_PL_Element[Value],[1]!Data_PL_Element[Index PL Element],'Dong Lam'!$B209,[1]!Data_PL_Element[TenCongTyID],'Dong Lam'!$B$1,[1]!Data_PL_Element[Thang.Nam],'Dong Lam'!AF$198)</f>
        <v>0</v>
      </c>
      <c r="AG209" s="189">
        <f>SUMIFS([1]!Data_PL_Element[Value],[1]!Data_PL_Element[Index PL Element],'Dong Lam'!$B209,[1]!Data_PL_Element[TenCongTyID],'Dong Lam'!$B$1,[1]!Data_PL_Element[Thang.Nam],'Dong Lam'!AG$198)</f>
        <v>0</v>
      </c>
      <c r="AH209" s="189">
        <f>SUMIFS([1]!Data_PL_Element[Value],[1]!Data_PL_Element[Index PL Element],'Dong Lam'!$B209,[1]!Data_PL_Element[TenCongTyID],'Dong Lam'!$B$1,[1]!Data_PL_Element[Thang.Nam],'Dong Lam'!AH$198)</f>
        <v>0</v>
      </c>
      <c r="AI209" s="189">
        <f>SUMIFS([1]!Data_PL_Element[Value],[1]!Data_PL_Element[Index PL Element],'Dong Lam'!$B209,[1]!Data_PL_Element[TenCongTyID],'Dong Lam'!$B$1,[1]!Data_PL_Element[Thang.Nam],'Dong Lam'!AI$198)</f>
        <v>0</v>
      </c>
      <c r="AJ209" s="189">
        <f>SUMIFS([1]!Data_PL_Element[Value],[1]!Data_PL_Element[Index PL Element],'Dong Lam'!$B209,[1]!Data_PL_Element[TenCongTyID],'Dong Lam'!$B$1,[1]!Data_PL_Element[Thang.Nam],'Dong Lam'!AJ$198)</f>
        <v>0</v>
      </c>
      <c r="AK209" s="189">
        <f>SUMIFS([1]!Data_PL_Element[Value],[1]!Data_PL_Element[Index PL Element],'Dong Lam'!$B209,[1]!Data_PL_Element[TenCongTyID],'Dong Lam'!$B$1,[1]!Data_PL_Element[Thang.Nam],'Dong Lam'!AK$198)</f>
        <v>0</v>
      </c>
      <c r="AL209" s="189">
        <f>SUMIFS([1]!Data_PL_Element[Value],[1]!Data_PL_Element[Index PL Element],'Dong Lam'!$B209,[1]!Data_PL_Element[TenCongTyID],'Dong Lam'!$B$1,[1]!Data_PL_Element[Thang.Nam],'Dong Lam'!AL$198)</f>
        <v>0</v>
      </c>
    </row>
    <row r="210" spans="1:38" ht="15" customHeight="1">
      <c r="A210" s="178" t="s">
        <v>296</v>
      </c>
      <c r="B210" s="179">
        <v>12</v>
      </c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>
        <v>0</v>
      </c>
      <c r="AA210" s="189">
        <f>SUMIFS([1]!Data_PL_Element[Value],[1]!Data_PL_Element[Index PL Element],'Dong Lam'!$B210,[1]!Data_PL_Element[TenCongTyID],'Dong Lam'!$B$1,[1]!Data_PL_Element[Thang.Nam],'Dong Lam'!AA$198)</f>
        <v>0</v>
      </c>
      <c r="AB210" s="189">
        <f>SUMIFS([1]!Data_PL_Element[Value],[1]!Data_PL_Element[Index PL Element],'Dong Lam'!$B210,[1]!Data_PL_Element[TenCongTyID],'Dong Lam'!$B$1,[1]!Data_PL_Element[Thang.Nam],'Dong Lam'!AB$198)</f>
        <v>0</v>
      </c>
      <c r="AC210" s="189">
        <f>SUMIFS([1]!Data_PL_Element[Value],[1]!Data_PL_Element[Index PL Element],'Dong Lam'!$B210,[1]!Data_PL_Element[TenCongTyID],'Dong Lam'!$B$1,[1]!Data_PL_Element[Thang.Nam],'Dong Lam'!AC$198)</f>
        <v>0</v>
      </c>
      <c r="AD210" s="189">
        <f>SUMIFS([1]!Data_PL_Element[Value],[1]!Data_PL_Element[Index PL Element],'Dong Lam'!$B210,[1]!Data_PL_Element[TenCongTyID],'Dong Lam'!$B$1,[1]!Data_PL_Element[Thang.Nam],'Dong Lam'!AD$198)</f>
        <v>0</v>
      </c>
      <c r="AE210" s="189">
        <f>SUMIFS([1]!Data_PL_Element[Value],[1]!Data_PL_Element[Index PL Element],'Dong Lam'!$B210,[1]!Data_PL_Element[TenCongTyID],'Dong Lam'!$B$1,[1]!Data_PL_Element[Thang.Nam],'Dong Lam'!AE$198)</f>
        <v>0</v>
      </c>
      <c r="AF210" s="189">
        <f>SUMIFS([1]!Data_PL_Element[Value],[1]!Data_PL_Element[Index PL Element],'Dong Lam'!$B210,[1]!Data_PL_Element[TenCongTyID],'Dong Lam'!$B$1,[1]!Data_PL_Element[Thang.Nam],'Dong Lam'!AF$198)</f>
        <v>0</v>
      </c>
      <c r="AG210" s="189">
        <f>SUMIFS([1]!Data_PL_Element[Value],[1]!Data_PL_Element[Index PL Element],'Dong Lam'!$B210,[1]!Data_PL_Element[TenCongTyID],'Dong Lam'!$B$1,[1]!Data_PL_Element[Thang.Nam],'Dong Lam'!AG$198)</f>
        <v>0</v>
      </c>
      <c r="AH210" s="189">
        <f>SUMIFS([1]!Data_PL_Element[Value],[1]!Data_PL_Element[Index PL Element],'Dong Lam'!$B210,[1]!Data_PL_Element[TenCongTyID],'Dong Lam'!$B$1,[1]!Data_PL_Element[Thang.Nam],'Dong Lam'!AH$198)</f>
        <v>0</v>
      </c>
      <c r="AI210" s="189">
        <f>SUMIFS([1]!Data_PL_Element[Value],[1]!Data_PL_Element[Index PL Element],'Dong Lam'!$B210,[1]!Data_PL_Element[TenCongTyID],'Dong Lam'!$B$1,[1]!Data_PL_Element[Thang.Nam],'Dong Lam'!AI$198)</f>
        <v>0</v>
      </c>
      <c r="AJ210" s="189">
        <f>SUMIFS([1]!Data_PL_Element[Value],[1]!Data_PL_Element[Index PL Element],'Dong Lam'!$B210,[1]!Data_PL_Element[TenCongTyID],'Dong Lam'!$B$1,[1]!Data_PL_Element[Thang.Nam],'Dong Lam'!AJ$198)</f>
        <v>0</v>
      </c>
      <c r="AK210" s="189">
        <f>SUMIFS([1]!Data_PL_Element[Value],[1]!Data_PL_Element[Index PL Element],'Dong Lam'!$B210,[1]!Data_PL_Element[TenCongTyID],'Dong Lam'!$B$1,[1]!Data_PL_Element[Thang.Nam],'Dong Lam'!AK$198)</f>
        <v>0</v>
      </c>
      <c r="AL210" s="189">
        <f>SUMIFS([1]!Data_PL_Element[Value],[1]!Data_PL_Element[Index PL Element],'Dong Lam'!$B210,[1]!Data_PL_Element[TenCongTyID],'Dong Lam'!$B$1,[1]!Data_PL_Element[Thang.Nam],'Dong Lam'!AL$198)</f>
        <v>0</v>
      </c>
    </row>
    <row r="211" spans="1:38" ht="15" customHeight="1">
      <c r="A211" s="181" t="s">
        <v>297</v>
      </c>
      <c r="B211" s="182">
        <v>13</v>
      </c>
      <c r="C211" s="183">
        <f>C138</f>
        <v>8360095204</v>
      </c>
      <c r="D211" s="183">
        <f t="shared" ref="D211:AL211" si="17">D138</f>
        <v>3915335812</v>
      </c>
      <c r="E211" s="183">
        <f t="shared" si="17"/>
        <v>5491561659</v>
      </c>
      <c r="F211" s="183">
        <f t="shared" si="17"/>
        <v>5777251201</v>
      </c>
      <c r="G211" s="183">
        <f t="shared" si="17"/>
        <v>9281674213</v>
      </c>
      <c r="H211" s="183">
        <f t="shared" si="17"/>
        <v>6197150720</v>
      </c>
      <c r="I211" s="183">
        <f t="shared" si="17"/>
        <v>4472052819</v>
      </c>
      <c r="J211" s="183">
        <f t="shared" si="17"/>
        <v>3843795589</v>
      </c>
      <c r="K211" s="183">
        <f t="shared" si="17"/>
        <v>4098228510</v>
      </c>
      <c r="L211" s="183">
        <f t="shared" si="17"/>
        <v>4453562079</v>
      </c>
      <c r="M211" s="183">
        <f t="shared" si="17"/>
        <v>4802207565</v>
      </c>
      <c r="N211" s="183">
        <f t="shared" si="17"/>
        <v>3764356934</v>
      </c>
      <c r="O211" s="183">
        <f t="shared" si="17"/>
        <v>2508077713</v>
      </c>
      <c r="P211" s="183">
        <f t="shared" si="17"/>
        <v>4740440112</v>
      </c>
      <c r="Q211" s="183">
        <f t="shared" si="17"/>
        <v>6014198762</v>
      </c>
      <c r="R211" s="183">
        <f t="shared" si="17"/>
        <v>7255972077</v>
      </c>
      <c r="S211" s="183">
        <f t="shared" si="17"/>
        <v>7126741795</v>
      </c>
      <c r="T211" s="183">
        <f t="shared" si="17"/>
        <v>9609629830</v>
      </c>
      <c r="U211" s="183">
        <f t="shared" si="17"/>
        <v>11568387569</v>
      </c>
      <c r="V211" s="183">
        <f t="shared" si="17"/>
        <v>11854114403</v>
      </c>
      <c r="W211" s="183">
        <f t="shared" si="17"/>
        <v>9491382430</v>
      </c>
      <c r="X211" s="183">
        <f t="shared" si="17"/>
        <v>6472207694</v>
      </c>
      <c r="Y211" s="183">
        <f t="shared" si="17"/>
        <v>5524770244</v>
      </c>
      <c r="Z211" s="183">
        <v>6693518933</v>
      </c>
      <c r="AA211" s="183">
        <f t="shared" si="17"/>
        <v>11065194159.771919</v>
      </c>
      <c r="AB211" s="183">
        <f t="shared" si="17"/>
        <v>8484312662.2266903</v>
      </c>
      <c r="AC211" s="183">
        <f t="shared" si="17"/>
        <v>14981194313.276604</v>
      </c>
      <c r="AD211" s="183">
        <f t="shared" si="17"/>
        <v>16094983354.117205</v>
      </c>
      <c r="AE211" s="183">
        <f t="shared" si="17"/>
        <v>16141285777.228315</v>
      </c>
      <c r="AF211" s="183">
        <f t="shared" si="17"/>
        <v>16743718828.380339</v>
      </c>
      <c r="AG211" s="183">
        <f t="shared" si="17"/>
        <v>17343062797.199028</v>
      </c>
      <c r="AH211" s="183">
        <f t="shared" si="17"/>
        <v>16776758834.380339</v>
      </c>
      <c r="AI211" s="183">
        <f t="shared" si="17"/>
        <v>15670997557.409628</v>
      </c>
      <c r="AJ211" s="183">
        <f t="shared" si="17"/>
        <v>17325135640.865692</v>
      </c>
      <c r="AK211" s="183">
        <f t="shared" si="17"/>
        <v>16232964444.228315</v>
      </c>
      <c r="AL211" s="183">
        <f t="shared" si="17"/>
        <v>17332799001.865692</v>
      </c>
    </row>
    <row r="212" spans="1:38" ht="15" customHeight="1">
      <c r="A212" s="178" t="s">
        <v>298</v>
      </c>
      <c r="B212" s="179">
        <v>14</v>
      </c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>
        <v>0</v>
      </c>
      <c r="AA212" s="189">
        <f>SUMIFS([1]!Data_PL_Element[Value],[1]!Data_PL_Element[Index PL Element],'Dong Lam'!$B212,[1]!Data_PL_Element[TenCongTyID],'Dong Lam'!$B$1,[1]!Data_PL_Element[Thang.Nam],'Dong Lam'!AA$198)</f>
        <v>0</v>
      </c>
      <c r="AB212" s="189">
        <f>SUMIFS([1]!Data_PL_Element[Value],[1]!Data_PL_Element[Index PL Element],'Dong Lam'!$B212,[1]!Data_PL_Element[TenCongTyID],'Dong Lam'!$B$1,[1]!Data_PL_Element[Thang.Nam],'Dong Lam'!AB$198)</f>
        <v>0</v>
      </c>
      <c r="AC212" s="189">
        <f>SUMIFS([1]!Data_PL_Element[Value],[1]!Data_PL_Element[Index PL Element],'Dong Lam'!$B212,[1]!Data_PL_Element[TenCongTyID],'Dong Lam'!$B$1,[1]!Data_PL_Element[Thang.Nam],'Dong Lam'!AC$198)</f>
        <v>0</v>
      </c>
      <c r="AD212" s="189">
        <f>SUMIFS([1]!Data_PL_Element[Value],[1]!Data_PL_Element[Index PL Element],'Dong Lam'!$B212,[1]!Data_PL_Element[TenCongTyID],'Dong Lam'!$B$1,[1]!Data_PL_Element[Thang.Nam],'Dong Lam'!AD$198)</f>
        <v>0</v>
      </c>
      <c r="AE212" s="189">
        <f>SUMIFS([1]!Data_PL_Element[Value],[1]!Data_PL_Element[Index PL Element],'Dong Lam'!$B212,[1]!Data_PL_Element[TenCongTyID],'Dong Lam'!$B$1,[1]!Data_PL_Element[Thang.Nam],'Dong Lam'!AE$198)</f>
        <v>0</v>
      </c>
      <c r="AF212" s="189">
        <f>SUMIFS([1]!Data_PL_Element[Value],[1]!Data_PL_Element[Index PL Element],'Dong Lam'!$B212,[1]!Data_PL_Element[TenCongTyID],'Dong Lam'!$B$1,[1]!Data_PL_Element[Thang.Nam],'Dong Lam'!AF$198)</f>
        <v>0</v>
      </c>
      <c r="AG212" s="189">
        <f>SUMIFS([1]!Data_PL_Element[Value],[1]!Data_PL_Element[Index PL Element],'Dong Lam'!$B212,[1]!Data_PL_Element[TenCongTyID],'Dong Lam'!$B$1,[1]!Data_PL_Element[Thang.Nam],'Dong Lam'!AG$198)</f>
        <v>0</v>
      </c>
      <c r="AH212" s="189">
        <f>SUMIFS([1]!Data_PL_Element[Value],[1]!Data_PL_Element[Index PL Element],'Dong Lam'!$B212,[1]!Data_PL_Element[TenCongTyID],'Dong Lam'!$B$1,[1]!Data_PL_Element[Thang.Nam],'Dong Lam'!AH$198)</f>
        <v>0</v>
      </c>
      <c r="AI212" s="189">
        <f>SUMIFS([1]!Data_PL_Element[Value],[1]!Data_PL_Element[Index PL Element],'Dong Lam'!$B212,[1]!Data_PL_Element[TenCongTyID],'Dong Lam'!$B$1,[1]!Data_PL_Element[Thang.Nam],'Dong Lam'!AI$198)</f>
        <v>0</v>
      </c>
      <c r="AJ212" s="189">
        <f>SUMIFS([1]!Data_PL_Element[Value],[1]!Data_PL_Element[Index PL Element],'Dong Lam'!$B212,[1]!Data_PL_Element[TenCongTyID],'Dong Lam'!$B$1,[1]!Data_PL_Element[Thang.Nam],'Dong Lam'!AJ$198)</f>
        <v>0</v>
      </c>
      <c r="AK212" s="189">
        <f>SUMIFS([1]!Data_PL_Element[Value],[1]!Data_PL_Element[Index PL Element],'Dong Lam'!$B212,[1]!Data_PL_Element[TenCongTyID],'Dong Lam'!$B$1,[1]!Data_PL_Element[Thang.Nam],'Dong Lam'!AK$198)</f>
        <v>0</v>
      </c>
      <c r="AL212" s="189">
        <f>SUMIFS([1]!Data_PL_Element[Value],[1]!Data_PL_Element[Index PL Element],'Dong Lam'!$B212,[1]!Data_PL_Element[TenCongTyID],'Dong Lam'!$B$1,[1]!Data_PL_Element[Thang.Nam],'Dong Lam'!AL$198)</f>
        <v>0</v>
      </c>
    </row>
    <row r="213" spans="1:38" ht="15" customHeight="1">
      <c r="A213" s="178" t="s">
        <v>299</v>
      </c>
      <c r="B213" s="179">
        <v>15</v>
      </c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>
        <v>29933328</v>
      </c>
      <c r="P213" s="189">
        <v>42584746</v>
      </c>
      <c r="Q213" s="189">
        <v>50234030</v>
      </c>
      <c r="R213" s="189">
        <v>64188162</v>
      </c>
      <c r="S213" s="189">
        <v>75938598</v>
      </c>
      <c r="T213" s="189">
        <v>74355304</v>
      </c>
      <c r="U213" s="189">
        <v>87780534</v>
      </c>
      <c r="V213" s="189">
        <v>104547540</v>
      </c>
      <c r="W213" s="189">
        <v>88315378</v>
      </c>
      <c r="X213" s="189">
        <v>72544044</v>
      </c>
      <c r="Y213" s="189">
        <v>54912000</v>
      </c>
      <c r="Z213" s="189">
        <v>45631278</v>
      </c>
      <c r="AA213" s="189">
        <f>SUMIFS([1]!Data_PL_Element[Value],[1]!Data_PL_Element[Index PL Element],'Dong Lam'!$B213,[1]!Data_PL_Element[TenCongTyID],'Dong Lam'!$B$1,[1]!Data_PL_Element[Thang.Nam],'Dong Lam'!AA$198)</f>
        <v>0</v>
      </c>
      <c r="AB213" s="189">
        <f>SUMIFS([1]!Data_PL_Element[Value],[1]!Data_PL_Element[Index PL Element],'Dong Lam'!$B213,[1]!Data_PL_Element[TenCongTyID],'Dong Lam'!$B$1,[1]!Data_PL_Element[Thang.Nam],'Dong Lam'!AB$198)</f>
        <v>0</v>
      </c>
      <c r="AC213" s="189">
        <f>SUMIFS([1]!Data_PL_Element[Value],[1]!Data_PL_Element[Index PL Element],'Dong Lam'!$B213,[1]!Data_PL_Element[TenCongTyID],'Dong Lam'!$B$1,[1]!Data_PL_Element[Thang.Nam],'Dong Lam'!AC$198)</f>
        <v>0</v>
      </c>
      <c r="AD213" s="189">
        <f>SUMIFS([1]!Data_PL_Element[Value],[1]!Data_PL_Element[Index PL Element],'Dong Lam'!$B213,[1]!Data_PL_Element[TenCongTyID],'Dong Lam'!$B$1,[1]!Data_PL_Element[Thang.Nam],'Dong Lam'!AD$198)</f>
        <v>0</v>
      </c>
      <c r="AE213" s="189">
        <f>SUMIFS([1]!Data_PL_Element[Value],[1]!Data_PL_Element[Index PL Element],'Dong Lam'!$B213,[1]!Data_PL_Element[TenCongTyID],'Dong Lam'!$B$1,[1]!Data_PL_Element[Thang.Nam],'Dong Lam'!AE$198)</f>
        <v>0</v>
      </c>
      <c r="AF213" s="189">
        <f>SUMIFS([1]!Data_PL_Element[Value],[1]!Data_PL_Element[Index PL Element],'Dong Lam'!$B213,[1]!Data_PL_Element[TenCongTyID],'Dong Lam'!$B$1,[1]!Data_PL_Element[Thang.Nam],'Dong Lam'!AF$198)</f>
        <v>0</v>
      </c>
      <c r="AG213" s="189">
        <f>SUMIFS([1]!Data_PL_Element[Value],[1]!Data_PL_Element[Index PL Element],'Dong Lam'!$B213,[1]!Data_PL_Element[TenCongTyID],'Dong Lam'!$B$1,[1]!Data_PL_Element[Thang.Nam],'Dong Lam'!AG$198)</f>
        <v>0</v>
      </c>
      <c r="AH213" s="189">
        <f>SUMIFS([1]!Data_PL_Element[Value],[1]!Data_PL_Element[Index PL Element],'Dong Lam'!$B213,[1]!Data_PL_Element[TenCongTyID],'Dong Lam'!$B$1,[1]!Data_PL_Element[Thang.Nam],'Dong Lam'!AH$198)</f>
        <v>0</v>
      </c>
      <c r="AI213" s="189">
        <f>SUMIFS([1]!Data_PL_Element[Value],[1]!Data_PL_Element[Index PL Element],'Dong Lam'!$B213,[1]!Data_PL_Element[TenCongTyID],'Dong Lam'!$B$1,[1]!Data_PL_Element[Thang.Nam],'Dong Lam'!AI$198)</f>
        <v>0</v>
      </c>
      <c r="AJ213" s="189">
        <f>SUMIFS([1]!Data_PL_Element[Value],[1]!Data_PL_Element[Index PL Element],'Dong Lam'!$B213,[1]!Data_PL_Element[TenCongTyID],'Dong Lam'!$B$1,[1]!Data_PL_Element[Thang.Nam],'Dong Lam'!AJ$198)</f>
        <v>0</v>
      </c>
      <c r="AK213" s="189">
        <f>SUMIFS([1]!Data_PL_Element[Value],[1]!Data_PL_Element[Index PL Element],'Dong Lam'!$B213,[1]!Data_PL_Element[TenCongTyID],'Dong Lam'!$B$1,[1]!Data_PL_Element[Thang.Nam],'Dong Lam'!AK$198)</f>
        <v>0</v>
      </c>
      <c r="AL213" s="189">
        <f>SUMIFS([1]!Data_PL_Element[Value],[1]!Data_PL_Element[Index PL Element],'Dong Lam'!$B213,[1]!Data_PL_Element[TenCongTyID],'Dong Lam'!$B$1,[1]!Data_PL_Element[Thang.Nam],'Dong Lam'!AL$198)</f>
        <v>0</v>
      </c>
    </row>
    <row r="214" spans="1:38" ht="15" customHeight="1">
      <c r="A214" s="178" t="s">
        <v>300</v>
      </c>
      <c r="B214" s="179">
        <v>16</v>
      </c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>
        <v>0</v>
      </c>
      <c r="AA214" s="189">
        <f>SUMIFS([1]!Data_PL_Element[Value],[1]!Data_PL_Element[Index PL Element],'Dong Lam'!$B214,[1]!Data_PL_Element[TenCongTyID],'Dong Lam'!$B$1,[1]!Data_PL_Element[Thang.Nam],'Dong Lam'!AA$198)</f>
        <v>0</v>
      </c>
      <c r="AB214" s="189">
        <f>SUMIFS([1]!Data_PL_Element[Value],[1]!Data_PL_Element[Index PL Element],'Dong Lam'!$B214,[1]!Data_PL_Element[TenCongTyID],'Dong Lam'!$B$1,[1]!Data_PL_Element[Thang.Nam],'Dong Lam'!AB$198)</f>
        <v>0</v>
      </c>
      <c r="AC214" s="189">
        <f>SUMIFS([1]!Data_PL_Element[Value],[1]!Data_PL_Element[Index PL Element],'Dong Lam'!$B214,[1]!Data_PL_Element[TenCongTyID],'Dong Lam'!$B$1,[1]!Data_PL_Element[Thang.Nam],'Dong Lam'!AC$198)</f>
        <v>0</v>
      </c>
      <c r="AD214" s="189">
        <f>SUMIFS([1]!Data_PL_Element[Value],[1]!Data_PL_Element[Index PL Element],'Dong Lam'!$B214,[1]!Data_PL_Element[TenCongTyID],'Dong Lam'!$B$1,[1]!Data_PL_Element[Thang.Nam],'Dong Lam'!AD$198)</f>
        <v>0</v>
      </c>
      <c r="AE214" s="189">
        <f>SUMIFS([1]!Data_PL_Element[Value],[1]!Data_PL_Element[Index PL Element],'Dong Lam'!$B214,[1]!Data_PL_Element[TenCongTyID],'Dong Lam'!$B$1,[1]!Data_PL_Element[Thang.Nam],'Dong Lam'!AE$198)</f>
        <v>0</v>
      </c>
      <c r="AF214" s="189">
        <f>SUMIFS([1]!Data_PL_Element[Value],[1]!Data_PL_Element[Index PL Element],'Dong Lam'!$B214,[1]!Data_PL_Element[TenCongTyID],'Dong Lam'!$B$1,[1]!Data_PL_Element[Thang.Nam],'Dong Lam'!AF$198)</f>
        <v>0</v>
      </c>
      <c r="AG214" s="189">
        <f>SUMIFS([1]!Data_PL_Element[Value],[1]!Data_PL_Element[Index PL Element],'Dong Lam'!$B214,[1]!Data_PL_Element[TenCongTyID],'Dong Lam'!$B$1,[1]!Data_PL_Element[Thang.Nam],'Dong Lam'!AG$198)</f>
        <v>0</v>
      </c>
      <c r="AH214" s="189">
        <f>SUMIFS([1]!Data_PL_Element[Value],[1]!Data_PL_Element[Index PL Element],'Dong Lam'!$B214,[1]!Data_PL_Element[TenCongTyID],'Dong Lam'!$B$1,[1]!Data_PL_Element[Thang.Nam],'Dong Lam'!AH$198)</f>
        <v>0</v>
      </c>
      <c r="AI214" s="189">
        <f>SUMIFS([1]!Data_PL_Element[Value],[1]!Data_PL_Element[Index PL Element],'Dong Lam'!$B214,[1]!Data_PL_Element[TenCongTyID],'Dong Lam'!$B$1,[1]!Data_PL_Element[Thang.Nam],'Dong Lam'!AI$198)</f>
        <v>0</v>
      </c>
      <c r="AJ214" s="189">
        <f>SUMIFS([1]!Data_PL_Element[Value],[1]!Data_PL_Element[Index PL Element],'Dong Lam'!$B214,[1]!Data_PL_Element[TenCongTyID],'Dong Lam'!$B$1,[1]!Data_PL_Element[Thang.Nam],'Dong Lam'!AJ$198)</f>
        <v>0</v>
      </c>
      <c r="AK214" s="189">
        <f>SUMIFS([1]!Data_PL_Element[Value],[1]!Data_PL_Element[Index PL Element],'Dong Lam'!$B214,[1]!Data_PL_Element[TenCongTyID],'Dong Lam'!$B$1,[1]!Data_PL_Element[Thang.Nam],'Dong Lam'!AK$198)</f>
        <v>0</v>
      </c>
      <c r="AL214" s="189">
        <f>SUMIFS([1]!Data_PL_Element[Value],[1]!Data_PL_Element[Index PL Element],'Dong Lam'!$B214,[1]!Data_PL_Element[TenCongTyID],'Dong Lam'!$B$1,[1]!Data_PL_Element[Thang.Nam],'Dong Lam'!AL$198)</f>
        <v>0</v>
      </c>
    </row>
    <row r="215" spans="1:38" ht="15" customHeight="1">
      <c r="A215" s="178" t="s">
        <v>301</v>
      </c>
      <c r="B215" s="179">
        <v>17</v>
      </c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>
        <v>269725226</v>
      </c>
      <c r="P215" s="189">
        <v>308788306</v>
      </c>
      <c r="Q215" s="189">
        <v>346383398</v>
      </c>
      <c r="R215" s="189">
        <v>503063532</v>
      </c>
      <c r="S215" s="189">
        <v>499012508</v>
      </c>
      <c r="T215" s="189">
        <v>495385394</v>
      </c>
      <c r="U215" s="189">
        <v>561688066</v>
      </c>
      <c r="V215" s="189">
        <v>677152226</v>
      </c>
      <c r="W215" s="189">
        <v>690011074</v>
      </c>
      <c r="X215" s="189">
        <v>517613972</v>
      </c>
      <c r="Y215" s="189">
        <v>409300834</v>
      </c>
      <c r="Z215" s="189">
        <v>251168194</v>
      </c>
      <c r="AA215" s="189">
        <f>SUMIFS([1]!Data_PL_Element[Value],[1]!Data_PL_Element[Index PL Element],'Dong Lam'!$B215,[1]!Data_PL_Element[TenCongTyID],'Dong Lam'!$B$1,[1]!Data_PL_Element[Thang.Nam],'Dong Lam'!AA$198)</f>
        <v>0</v>
      </c>
      <c r="AB215" s="189">
        <f>SUMIFS([1]!Data_PL_Element[Value],[1]!Data_PL_Element[Index PL Element],'Dong Lam'!$B215,[1]!Data_PL_Element[TenCongTyID],'Dong Lam'!$B$1,[1]!Data_PL_Element[Thang.Nam],'Dong Lam'!AB$198)</f>
        <v>0</v>
      </c>
      <c r="AC215" s="189">
        <f>SUMIFS([1]!Data_PL_Element[Value],[1]!Data_PL_Element[Index PL Element],'Dong Lam'!$B215,[1]!Data_PL_Element[TenCongTyID],'Dong Lam'!$B$1,[1]!Data_PL_Element[Thang.Nam],'Dong Lam'!AC$198)</f>
        <v>0</v>
      </c>
      <c r="AD215" s="189">
        <f>SUMIFS([1]!Data_PL_Element[Value],[1]!Data_PL_Element[Index PL Element],'Dong Lam'!$B215,[1]!Data_PL_Element[TenCongTyID],'Dong Lam'!$B$1,[1]!Data_PL_Element[Thang.Nam],'Dong Lam'!AD$198)</f>
        <v>0</v>
      </c>
      <c r="AE215" s="189">
        <f>SUMIFS([1]!Data_PL_Element[Value],[1]!Data_PL_Element[Index PL Element],'Dong Lam'!$B215,[1]!Data_PL_Element[TenCongTyID],'Dong Lam'!$B$1,[1]!Data_PL_Element[Thang.Nam],'Dong Lam'!AE$198)</f>
        <v>0</v>
      </c>
      <c r="AF215" s="189">
        <f>SUMIFS([1]!Data_PL_Element[Value],[1]!Data_PL_Element[Index PL Element],'Dong Lam'!$B215,[1]!Data_PL_Element[TenCongTyID],'Dong Lam'!$B$1,[1]!Data_PL_Element[Thang.Nam],'Dong Lam'!AF$198)</f>
        <v>0</v>
      </c>
      <c r="AG215" s="189">
        <f>SUMIFS([1]!Data_PL_Element[Value],[1]!Data_PL_Element[Index PL Element],'Dong Lam'!$B215,[1]!Data_PL_Element[TenCongTyID],'Dong Lam'!$B$1,[1]!Data_PL_Element[Thang.Nam],'Dong Lam'!AG$198)</f>
        <v>0</v>
      </c>
      <c r="AH215" s="189">
        <f>SUMIFS([1]!Data_PL_Element[Value],[1]!Data_PL_Element[Index PL Element],'Dong Lam'!$B215,[1]!Data_PL_Element[TenCongTyID],'Dong Lam'!$B$1,[1]!Data_PL_Element[Thang.Nam],'Dong Lam'!AH$198)</f>
        <v>0</v>
      </c>
      <c r="AI215" s="189">
        <f>SUMIFS([1]!Data_PL_Element[Value],[1]!Data_PL_Element[Index PL Element],'Dong Lam'!$B215,[1]!Data_PL_Element[TenCongTyID],'Dong Lam'!$B$1,[1]!Data_PL_Element[Thang.Nam],'Dong Lam'!AI$198)</f>
        <v>0</v>
      </c>
      <c r="AJ215" s="189">
        <f>SUMIFS([1]!Data_PL_Element[Value],[1]!Data_PL_Element[Index PL Element],'Dong Lam'!$B215,[1]!Data_PL_Element[TenCongTyID],'Dong Lam'!$B$1,[1]!Data_PL_Element[Thang.Nam],'Dong Lam'!AJ$198)</f>
        <v>0</v>
      </c>
      <c r="AK215" s="189">
        <f>SUMIFS([1]!Data_PL_Element[Value],[1]!Data_PL_Element[Index PL Element],'Dong Lam'!$B215,[1]!Data_PL_Element[TenCongTyID],'Dong Lam'!$B$1,[1]!Data_PL_Element[Thang.Nam],'Dong Lam'!AK$198)</f>
        <v>0</v>
      </c>
      <c r="AL215" s="189">
        <f>SUMIFS([1]!Data_PL_Element[Value],[1]!Data_PL_Element[Index PL Element],'Dong Lam'!$B215,[1]!Data_PL_Element[TenCongTyID],'Dong Lam'!$B$1,[1]!Data_PL_Element[Thang.Nam],'Dong Lam'!AL$198)</f>
        <v>0</v>
      </c>
    </row>
    <row r="216" spans="1:38" ht="15" customHeight="1">
      <c r="A216" s="178" t="s">
        <v>302</v>
      </c>
      <c r="B216" s="179">
        <v>18</v>
      </c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>
        <v>41923232</v>
      </c>
      <c r="P216" s="189">
        <v>49804122</v>
      </c>
      <c r="Q216" s="189">
        <v>60974905</v>
      </c>
      <c r="R216" s="189">
        <v>80682174</v>
      </c>
      <c r="S216" s="189">
        <v>92964406</v>
      </c>
      <c r="T216" s="189">
        <v>88560728</v>
      </c>
      <c r="U216" s="189">
        <v>90303988</v>
      </c>
      <c r="V216" s="189">
        <v>116911417</v>
      </c>
      <c r="W216" s="189">
        <v>103290596</v>
      </c>
      <c r="X216" s="189">
        <v>76070616</v>
      </c>
      <c r="Y216" s="189">
        <v>104450000</v>
      </c>
      <c r="Z216" s="189">
        <v>93127486</v>
      </c>
      <c r="AA216" s="189">
        <f>SUMIFS([1]!Data_PL_Element[Value],[1]!Data_PL_Element[Index PL Element],'Dong Lam'!$B216,[1]!Data_PL_Element[TenCongTyID],'Dong Lam'!$B$1,[1]!Data_PL_Element[Thang.Nam],'Dong Lam'!AA$198)</f>
        <v>0</v>
      </c>
      <c r="AB216" s="189">
        <f>SUMIFS([1]!Data_PL_Element[Value],[1]!Data_PL_Element[Index PL Element],'Dong Lam'!$B216,[1]!Data_PL_Element[TenCongTyID],'Dong Lam'!$B$1,[1]!Data_PL_Element[Thang.Nam],'Dong Lam'!AB$198)</f>
        <v>0</v>
      </c>
      <c r="AC216" s="189">
        <f>SUMIFS([1]!Data_PL_Element[Value],[1]!Data_PL_Element[Index PL Element],'Dong Lam'!$B216,[1]!Data_PL_Element[TenCongTyID],'Dong Lam'!$B$1,[1]!Data_PL_Element[Thang.Nam],'Dong Lam'!AC$198)</f>
        <v>0</v>
      </c>
      <c r="AD216" s="189">
        <f>SUMIFS([1]!Data_PL_Element[Value],[1]!Data_PL_Element[Index PL Element],'Dong Lam'!$B216,[1]!Data_PL_Element[TenCongTyID],'Dong Lam'!$B$1,[1]!Data_PL_Element[Thang.Nam],'Dong Lam'!AD$198)</f>
        <v>0</v>
      </c>
      <c r="AE216" s="189">
        <f>SUMIFS([1]!Data_PL_Element[Value],[1]!Data_PL_Element[Index PL Element],'Dong Lam'!$B216,[1]!Data_PL_Element[TenCongTyID],'Dong Lam'!$B$1,[1]!Data_PL_Element[Thang.Nam],'Dong Lam'!AE$198)</f>
        <v>0</v>
      </c>
      <c r="AF216" s="189">
        <f>SUMIFS([1]!Data_PL_Element[Value],[1]!Data_PL_Element[Index PL Element],'Dong Lam'!$B216,[1]!Data_PL_Element[TenCongTyID],'Dong Lam'!$B$1,[1]!Data_PL_Element[Thang.Nam],'Dong Lam'!AF$198)</f>
        <v>0</v>
      </c>
      <c r="AG216" s="189">
        <f>SUMIFS([1]!Data_PL_Element[Value],[1]!Data_PL_Element[Index PL Element],'Dong Lam'!$B216,[1]!Data_PL_Element[TenCongTyID],'Dong Lam'!$B$1,[1]!Data_PL_Element[Thang.Nam],'Dong Lam'!AG$198)</f>
        <v>0</v>
      </c>
      <c r="AH216" s="189">
        <f>SUMIFS([1]!Data_PL_Element[Value],[1]!Data_PL_Element[Index PL Element],'Dong Lam'!$B216,[1]!Data_PL_Element[TenCongTyID],'Dong Lam'!$B$1,[1]!Data_PL_Element[Thang.Nam],'Dong Lam'!AH$198)</f>
        <v>0</v>
      </c>
      <c r="AI216" s="189">
        <f>SUMIFS([1]!Data_PL_Element[Value],[1]!Data_PL_Element[Index PL Element],'Dong Lam'!$B216,[1]!Data_PL_Element[TenCongTyID],'Dong Lam'!$B$1,[1]!Data_PL_Element[Thang.Nam],'Dong Lam'!AI$198)</f>
        <v>0</v>
      </c>
      <c r="AJ216" s="189">
        <f>SUMIFS([1]!Data_PL_Element[Value],[1]!Data_PL_Element[Index PL Element],'Dong Lam'!$B216,[1]!Data_PL_Element[TenCongTyID],'Dong Lam'!$B$1,[1]!Data_PL_Element[Thang.Nam],'Dong Lam'!AJ$198)</f>
        <v>0</v>
      </c>
      <c r="AK216" s="189">
        <f>SUMIFS([1]!Data_PL_Element[Value],[1]!Data_PL_Element[Index PL Element],'Dong Lam'!$B216,[1]!Data_PL_Element[TenCongTyID],'Dong Lam'!$B$1,[1]!Data_PL_Element[Thang.Nam],'Dong Lam'!AK$198)</f>
        <v>0</v>
      </c>
      <c r="AL216" s="189">
        <f>SUMIFS([1]!Data_PL_Element[Value],[1]!Data_PL_Element[Index PL Element],'Dong Lam'!$B216,[1]!Data_PL_Element[TenCongTyID],'Dong Lam'!$B$1,[1]!Data_PL_Element[Thang.Nam],'Dong Lam'!AL$198)</f>
        <v>0</v>
      </c>
    </row>
    <row r="217" spans="1:38" ht="14">
      <c r="A217" s="178" t="s">
        <v>303</v>
      </c>
      <c r="B217" s="179">
        <v>19</v>
      </c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>
        <v>82462003</v>
      </c>
      <c r="P217" s="189">
        <v>78870662</v>
      </c>
      <c r="Q217" s="189">
        <v>81551971</v>
      </c>
      <c r="R217" s="189">
        <v>99281194</v>
      </c>
      <c r="S217" s="189">
        <v>75857405</v>
      </c>
      <c r="T217" s="189">
        <v>90842480</v>
      </c>
      <c r="U217" s="189">
        <v>91688681</v>
      </c>
      <c r="V217" s="189">
        <v>96780099</v>
      </c>
      <c r="W217" s="189">
        <v>94507736</v>
      </c>
      <c r="X217" s="189">
        <v>94257736</v>
      </c>
      <c r="Y217" s="189">
        <v>94120236</v>
      </c>
      <c r="Z217" s="189">
        <v>50366177</v>
      </c>
      <c r="AA217" s="189">
        <f>SUMIFS([1]!Data_PL_Element[Value],[1]!Data_PL_Element[Index PL Element],'Dong Lam'!$B217,[1]!Data_PL_Element[TenCongTyID],'Dong Lam'!$B$1,[1]!Data_PL_Element[Thang.Nam],'Dong Lam'!AA$198)</f>
        <v>0</v>
      </c>
      <c r="AB217" s="189">
        <f>SUMIFS([1]!Data_PL_Element[Value],[1]!Data_PL_Element[Index PL Element],'Dong Lam'!$B217,[1]!Data_PL_Element[TenCongTyID],'Dong Lam'!$B$1,[1]!Data_PL_Element[Thang.Nam],'Dong Lam'!AB$198)</f>
        <v>0</v>
      </c>
      <c r="AC217" s="189">
        <f>SUMIFS([1]!Data_PL_Element[Value],[1]!Data_PL_Element[Index PL Element],'Dong Lam'!$B217,[1]!Data_PL_Element[TenCongTyID],'Dong Lam'!$B$1,[1]!Data_PL_Element[Thang.Nam],'Dong Lam'!AC$198)</f>
        <v>0</v>
      </c>
      <c r="AD217" s="189">
        <f>SUMIFS([1]!Data_PL_Element[Value],[1]!Data_PL_Element[Index PL Element],'Dong Lam'!$B217,[1]!Data_PL_Element[TenCongTyID],'Dong Lam'!$B$1,[1]!Data_PL_Element[Thang.Nam],'Dong Lam'!AD$198)</f>
        <v>0</v>
      </c>
      <c r="AE217" s="189">
        <f>SUMIFS([1]!Data_PL_Element[Value],[1]!Data_PL_Element[Index PL Element],'Dong Lam'!$B217,[1]!Data_PL_Element[TenCongTyID],'Dong Lam'!$B$1,[1]!Data_PL_Element[Thang.Nam],'Dong Lam'!AE$198)</f>
        <v>0</v>
      </c>
      <c r="AF217" s="189">
        <f>SUMIFS([1]!Data_PL_Element[Value],[1]!Data_PL_Element[Index PL Element],'Dong Lam'!$B217,[1]!Data_PL_Element[TenCongTyID],'Dong Lam'!$B$1,[1]!Data_PL_Element[Thang.Nam],'Dong Lam'!AF$198)</f>
        <v>0</v>
      </c>
      <c r="AG217" s="189">
        <f>SUMIFS([1]!Data_PL_Element[Value],[1]!Data_PL_Element[Index PL Element],'Dong Lam'!$B217,[1]!Data_PL_Element[TenCongTyID],'Dong Lam'!$B$1,[1]!Data_PL_Element[Thang.Nam],'Dong Lam'!AG$198)</f>
        <v>0</v>
      </c>
      <c r="AH217" s="189">
        <f>SUMIFS([1]!Data_PL_Element[Value],[1]!Data_PL_Element[Index PL Element],'Dong Lam'!$B217,[1]!Data_PL_Element[TenCongTyID],'Dong Lam'!$B$1,[1]!Data_PL_Element[Thang.Nam],'Dong Lam'!AH$198)</f>
        <v>0</v>
      </c>
      <c r="AI217" s="189">
        <f>SUMIFS([1]!Data_PL_Element[Value],[1]!Data_PL_Element[Index PL Element],'Dong Lam'!$B217,[1]!Data_PL_Element[TenCongTyID],'Dong Lam'!$B$1,[1]!Data_PL_Element[Thang.Nam],'Dong Lam'!AI$198)</f>
        <v>0</v>
      </c>
      <c r="AJ217" s="189">
        <f>SUMIFS([1]!Data_PL_Element[Value],[1]!Data_PL_Element[Index PL Element],'Dong Lam'!$B217,[1]!Data_PL_Element[TenCongTyID],'Dong Lam'!$B$1,[1]!Data_PL_Element[Thang.Nam],'Dong Lam'!AJ$198)</f>
        <v>0</v>
      </c>
      <c r="AK217" s="189">
        <f>SUMIFS([1]!Data_PL_Element[Value],[1]!Data_PL_Element[Index PL Element],'Dong Lam'!$B217,[1]!Data_PL_Element[TenCongTyID],'Dong Lam'!$B$1,[1]!Data_PL_Element[Thang.Nam],'Dong Lam'!AK$198)</f>
        <v>0</v>
      </c>
      <c r="AL217" s="189">
        <f>SUMIFS([1]!Data_PL_Element[Value],[1]!Data_PL_Element[Index PL Element],'Dong Lam'!$B217,[1]!Data_PL_Element[TenCongTyID],'Dong Lam'!$B$1,[1]!Data_PL_Element[Thang.Nam],'Dong Lam'!AL$198)</f>
        <v>0</v>
      </c>
    </row>
    <row r="218" spans="1:38" ht="15" customHeight="1">
      <c r="A218" s="178" t="s">
        <v>304</v>
      </c>
      <c r="B218" s="179">
        <v>20</v>
      </c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>
        <v>0</v>
      </c>
      <c r="AA218" s="189">
        <f>SUMIFS([1]!Data_PL_Element[Value],[1]!Data_PL_Element[Index PL Element],'Dong Lam'!$B218,[1]!Data_PL_Element[TenCongTyID],'Dong Lam'!$B$1,[1]!Data_PL_Element[Thang.Nam],'Dong Lam'!AA$198)</f>
        <v>0</v>
      </c>
      <c r="AB218" s="189">
        <f>SUMIFS([1]!Data_PL_Element[Value],[1]!Data_PL_Element[Index PL Element],'Dong Lam'!$B218,[1]!Data_PL_Element[TenCongTyID],'Dong Lam'!$B$1,[1]!Data_PL_Element[Thang.Nam],'Dong Lam'!AB$198)</f>
        <v>0</v>
      </c>
      <c r="AC218" s="189">
        <f>SUMIFS([1]!Data_PL_Element[Value],[1]!Data_PL_Element[Index PL Element],'Dong Lam'!$B218,[1]!Data_PL_Element[TenCongTyID],'Dong Lam'!$B$1,[1]!Data_PL_Element[Thang.Nam],'Dong Lam'!AC$198)</f>
        <v>0</v>
      </c>
      <c r="AD218" s="189">
        <f>SUMIFS([1]!Data_PL_Element[Value],[1]!Data_PL_Element[Index PL Element],'Dong Lam'!$B218,[1]!Data_PL_Element[TenCongTyID],'Dong Lam'!$B$1,[1]!Data_PL_Element[Thang.Nam],'Dong Lam'!AD$198)</f>
        <v>0</v>
      </c>
      <c r="AE218" s="189">
        <f>SUMIFS([1]!Data_PL_Element[Value],[1]!Data_PL_Element[Index PL Element],'Dong Lam'!$B218,[1]!Data_PL_Element[TenCongTyID],'Dong Lam'!$B$1,[1]!Data_PL_Element[Thang.Nam],'Dong Lam'!AE$198)</f>
        <v>0</v>
      </c>
      <c r="AF218" s="189">
        <f>SUMIFS([1]!Data_PL_Element[Value],[1]!Data_PL_Element[Index PL Element],'Dong Lam'!$B218,[1]!Data_PL_Element[TenCongTyID],'Dong Lam'!$B$1,[1]!Data_PL_Element[Thang.Nam],'Dong Lam'!AF$198)</f>
        <v>0</v>
      </c>
      <c r="AG218" s="189">
        <f>SUMIFS([1]!Data_PL_Element[Value],[1]!Data_PL_Element[Index PL Element],'Dong Lam'!$B218,[1]!Data_PL_Element[TenCongTyID],'Dong Lam'!$B$1,[1]!Data_PL_Element[Thang.Nam],'Dong Lam'!AG$198)</f>
        <v>0</v>
      </c>
      <c r="AH218" s="189">
        <f>SUMIFS([1]!Data_PL_Element[Value],[1]!Data_PL_Element[Index PL Element],'Dong Lam'!$B218,[1]!Data_PL_Element[TenCongTyID],'Dong Lam'!$B$1,[1]!Data_PL_Element[Thang.Nam],'Dong Lam'!AH$198)</f>
        <v>0</v>
      </c>
      <c r="AI218" s="189">
        <f>SUMIFS([1]!Data_PL_Element[Value],[1]!Data_PL_Element[Index PL Element],'Dong Lam'!$B218,[1]!Data_PL_Element[TenCongTyID],'Dong Lam'!$B$1,[1]!Data_PL_Element[Thang.Nam],'Dong Lam'!AI$198)</f>
        <v>0</v>
      </c>
      <c r="AJ218" s="189">
        <f>SUMIFS([1]!Data_PL_Element[Value],[1]!Data_PL_Element[Index PL Element],'Dong Lam'!$B218,[1]!Data_PL_Element[TenCongTyID],'Dong Lam'!$B$1,[1]!Data_PL_Element[Thang.Nam],'Dong Lam'!AJ$198)</f>
        <v>0</v>
      </c>
      <c r="AK218" s="189">
        <f>SUMIFS([1]!Data_PL_Element[Value],[1]!Data_PL_Element[Index PL Element],'Dong Lam'!$B218,[1]!Data_PL_Element[TenCongTyID],'Dong Lam'!$B$1,[1]!Data_PL_Element[Thang.Nam],'Dong Lam'!AK$198)</f>
        <v>0</v>
      </c>
      <c r="AL218" s="189">
        <f>SUMIFS([1]!Data_PL_Element[Value],[1]!Data_PL_Element[Index PL Element],'Dong Lam'!$B218,[1]!Data_PL_Element[TenCongTyID],'Dong Lam'!$B$1,[1]!Data_PL_Element[Thang.Nam],'Dong Lam'!AL$198)</f>
        <v>0</v>
      </c>
    </row>
    <row r="219" spans="1:38" ht="15" customHeight="1">
      <c r="A219" s="190" t="s">
        <v>305</v>
      </c>
      <c r="B219" s="191">
        <v>21</v>
      </c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>
        <v>0</v>
      </c>
      <c r="AA219" s="189">
        <f>SUMIFS([1]!Data_PL_Element[Value],[1]!Data_PL_Element[Index PL Element],'Dong Lam'!$B219,[1]!Data_PL_Element[TenCongTyID],'Dong Lam'!$B$1,[1]!Data_PL_Element[Thang.Nam],'Dong Lam'!AA$198)</f>
        <v>0</v>
      </c>
      <c r="AB219" s="189">
        <f>SUMIFS([1]!Data_PL_Element[Value],[1]!Data_PL_Element[Index PL Element],'Dong Lam'!$B219,[1]!Data_PL_Element[TenCongTyID],'Dong Lam'!$B$1,[1]!Data_PL_Element[Thang.Nam],'Dong Lam'!AB$198)</f>
        <v>0</v>
      </c>
      <c r="AC219" s="189">
        <f>SUMIFS([1]!Data_PL_Element[Value],[1]!Data_PL_Element[Index PL Element],'Dong Lam'!$B219,[1]!Data_PL_Element[TenCongTyID],'Dong Lam'!$B$1,[1]!Data_PL_Element[Thang.Nam],'Dong Lam'!AC$198)</f>
        <v>0</v>
      </c>
      <c r="AD219" s="189">
        <f>SUMIFS([1]!Data_PL_Element[Value],[1]!Data_PL_Element[Index PL Element],'Dong Lam'!$B219,[1]!Data_PL_Element[TenCongTyID],'Dong Lam'!$B$1,[1]!Data_PL_Element[Thang.Nam],'Dong Lam'!AD$198)</f>
        <v>0</v>
      </c>
      <c r="AE219" s="189">
        <f>SUMIFS([1]!Data_PL_Element[Value],[1]!Data_PL_Element[Index PL Element],'Dong Lam'!$B219,[1]!Data_PL_Element[TenCongTyID],'Dong Lam'!$B$1,[1]!Data_PL_Element[Thang.Nam],'Dong Lam'!AE$198)</f>
        <v>0</v>
      </c>
      <c r="AF219" s="189">
        <f>SUMIFS([1]!Data_PL_Element[Value],[1]!Data_PL_Element[Index PL Element],'Dong Lam'!$B219,[1]!Data_PL_Element[TenCongTyID],'Dong Lam'!$B$1,[1]!Data_PL_Element[Thang.Nam],'Dong Lam'!AF$198)</f>
        <v>0</v>
      </c>
      <c r="AG219" s="189">
        <f>SUMIFS([1]!Data_PL_Element[Value],[1]!Data_PL_Element[Index PL Element],'Dong Lam'!$B219,[1]!Data_PL_Element[TenCongTyID],'Dong Lam'!$B$1,[1]!Data_PL_Element[Thang.Nam],'Dong Lam'!AG$198)</f>
        <v>0</v>
      </c>
      <c r="AH219" s="189">
        <f>SUMIFS([1]!Data_PL_Element[Value],[1]!Data_PL_Element[Index PL Element],'Dong Lam'!$B219,[1]!Data_PL_Element[TenCongTyID],'Dong Lam'!$B$1,[1]!Data_PL_Element[Thang.Nam],'Dong Lam'!AH$198)</f>
        <v>0</v>
      </c>
      <c r="AI219" s="189">
        <f>SUMIFS([1]!Data_PL_Element[Value],[1]!Data_PL_Element[Index PL Element],'Dong Lam'!$B219,[1]!Data_PL_Element[TenCongTyID],'Dong Lam'!$B$1,[1]!Data_PL_Element[Thang.Nam],'Dong Lam'!AI$198)</f>
        <v>0</v>
      </c>
      <c r="AJ219" s="189">
        <f>SUMIFS([1]!Data_PL_Element[Value],[1]!Data_PL_Element[Index PL Element],'Dong Lam'!$B219,[1]!Data_PL_Element[TenCongTyID],'Dong Lam'!$B$1,[1]!Data_PL_Element[Thang.Nam],'Dong Lam'!AJ$198)</f>
        <v>0</v>
      </c>
      <c r="AK219" s="189">
        <f>SUMIFS([1]!Data_PL_Element[Value],[1]!Data_PL_Element[Index PL Element],'Dong Lam'!$B219,[1]!Data_PL_Element[TenCongTyID],'Dong Lam'!$B$1,[1]!Data_PL_Element[Thang.Nam],'Dong Lam'!AK$198)</f>
        <v>0</v>
      </c>
      <c r="AL219" s="189">
        <f>SUMIFS([1]!Data_PL_Element[Value],[1]!Data_PL_Element[Index PL Element],'Dong Lam'!$B219,[1]!Data_PL_Element[TenCongTyID],'Dong Lam'!$B$1,[1]!Data_PL_Element[Thang.Nam],'Dong Lam'!AL$198)</f>
        <v>0</v>
      </c>
    </row>
    <row r="220" spans="1:38" ht="15" customHeight="1">
      <c r="A220" s="178" t="s">
        <v>306</v>
      </c>
      <c r="B220" s="179">
        <v>22</v>
      </c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>
        <v>308859691</v>
      </c>
      <c r="P220" s="189">
        <v>308859691</v>
      </c>
      <c r="Q220" s="189">
        <v>313475086</v>
      </c>
      <c r="R220" s="189">
        <v>313475086</v>
      </c>
      <c r="S220" s="189">
        <v>313475086</v>
      </c>
      <c r="T220" s="189">
        <v>318934345</v>
      </c>
      <c r="U220" s="189">
        <v>320919530</v>
      </c>
      <c r="V220" s="189">
        <v>325209852</v>
      </c>
      <c r="W220" s="189">
        <v>327252863</v>
      </c>
      <c r="X220" s="189">
        <v>327252863</v>
      </c>
      <c r="Y220" s="189">
        <v>361947307</v>
      </c>
      <c r="Z220" s="189">
        <v>348288297</v>
      </c>
      <c r="AA220" s="189">
        <f>SUMIFS([1]!Data_PL_Element[Value],[1]!Data_PL_Element[Index PL Element],'Dong Lam'!$B220,[1]!Data_PL_Element[TenCongTyID],'Dong Lam'!$B$1,[1]!Data_PL_Element[Thang.Nam],'Dong Lam'!AA$198)</f>
        <v>0</v>
      </c>
      <c r="AB220" s="189">
        <f>SUMIFS([1]!Data_PL_Element[Value],[1]!Data_PL_Element[Index PL Element],'Dong Lam'!$B220,[1]!Data_PL_Element[TenCongTyID],'Dong Lam'!$B$1,[1]!Data_PL_Element[Thang.Nam],'Dong Lam'!AB$198)</f>
        <v>0</v>
      </c>
      <c r="AC220" s="189">
        <f>SUMIFS([1]!Data_PL_Element[Value],[1]!Data_PL_Element[Index PL Element],'Dong Lam'!$B220,[1]!Data_PL_Element[TenCongTyID],'Dong Lam'!$B$1,[1]!Data_PL_Element[Thang.Nam],'Dong Lam'!AC$198)</f>
        <v>0</v>
      </c>
      <c r="AD220" s="189">
        <f>SUMIFS([1]!Data_PL_Element[Value],[1]!Data_PL_Element[Index PL Element],'Dong Lam'!$B220,[1]!Data_PL_Element[TenCongTyID],'Dong Lam'!$B$1,[1]!Data_PL_Element[Thang.Nam],'Dong Lam'!AD$198)</f>
        <v>0</v>
      </c>
      <c r="AE220" s="189">
        <f>SUMIFS([1]!Data_PL_Element[Value],[1]!Data_PL_Element[Index PL Element],'Dong Lam'!$B220,[1]!Data_PL_Element[TenCongTyID],'Dong Lam'!$B$1,[1]!Data_PL_Element[Thang.Nam],'Dong Lam'!AE$198)</f>
        <v>0</v>
      </c>
      <c r="AF220" s="189">
        <f>SUMIFS([1]!Data_PL_Element[Value],[1]!Data_PL_Element[Index PL Element],'Dong Lam'!$B220,[1]!Data_PL_Element[TenCongTyID],'Dong Lam'!$B$1,[1]!Data_PL_Element[Thang.Nam],'Dong Lam'!AF$198)</f>
        <v>0</v>
      </c>
      <c r="AG220" s="189">
        <f>SUMIFS([1]!Data_PL_Element[Value],[1]!Data_PL_Element[Index PL Element],'Dong Lam'!$B220,[1]!Data_PL_Element[TenCongTyID],'Dong Lam'!$B$1,[1]!Data_PL_Element[Thang.Nam],'Dong Lam'!AG$198)</f>
        <v>0</v>
      </c>
      <c r="AH220" s="189">
        <f>SUMIFS([1]!Data_PL_Element[Value],[1]!Data_PL_Element[Index PL Element],'Dong Lam'!$B220,[1]!Data_PL_Element[TenCongTyID],'Dong Lam'!$B$1,[1]!Data_PL_Element[Thang.Nam],'Dong Lam'!AH$198)</f>
        <v>0</v>
      </c>
      <c r="AI220" s="189">
        <f>SUMIFS([1]!Data_PL_Element[Value],[1]!Data_PL_Element[Index PL Element],'Dong Lam'!$B220,[1]!Data_PL_Element[TenCongTyID],'Dong Lam'!$B$1,[1]!Data_PL_Element[Thang.Nam],'Dong Lam'!AI$198)</f>
        <v>0</v>
      </c>
      <c r="AJ220" s="189">
        <f>SUMIFS([1]!Data_PL_Element[Value],[1]!Data_PL_Element[Index PL Element],'Dong Lam'!$B220,[1]!Data_PL_Element[TenCongTyID],'Dong Lam'!$B$1,[1]!Data_PL_Element[Thang.Nam],'Dong Lam'!AJ$198)</f>
        <v>0</v>
      </c>
      <c r="AK220" s="189">
        <f>SUMIFS([1]!Data_PL_Element[Value],[1]!Data_PL_Element[Index PL Element],'Dong Lam'!$B220,[1]!Data_PL_Element[TenCongTyID],'Dong Lam'!$B$1,[1]!Data_PL_Element[Thang.Nam],'Dong Lam'!AK$198)</f>
        <v>0</v>
      </c>
      <c r="AL220" s="189">
        <f>SUMIFS([1]!Data_PL_Element[Value],[1]!Data_PL_Element[Index PL Element],'Dong Lam'!$B220,[1]!Data_PL_Element[TenCongTyID],'Dong Lam'!$B$1,[1]!Data_PL_Element[Thang.Nam],'Dong Lam'!AL$198)</f>
        <v>0</v>
      </c>
    </row>
    <row r="221" spans="1:38" ht="15" customHeight="1">
      <c r="A221" s="178" t="s">
        <v>307</v>
      </c>
      <c r="B221" s="179">
        <v>23</v>
      </c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>
        <v>0</v>
      </c>
      <c r="AA221" s="189">
        <f>SUMIFS([1]!Data_PL_Element[Value],[1]!Data_PL_Element[Index PL Element],'Dong Lam'!$B221,[1]!Data_PL_Element[TenCongTyID],'Dong Lam'!$B$1,[1]!Data_PL_Element[Thang.Nam],'Dong Lam'!AA$198)</f>
        <v>0</v>
      </c>
      <c r="AB221" s="189">
        <f>SUMIFS([1]!Data_PL_Element[Value],[1]!Data_PL_Element[Index PL Element],'Dong Lam'!$B221,[1]!Data_PL_Element[TenCongTyID],'Dong Lam'!$B$1,[1]!Data_PL_Element[Thang.Nam],'Dong Lam'!AB$198)</f>
        <v>0</v>
      </c>
      <c r="AC221" s="189">
        <f>SUMIFS([1]!Data_PL_Element[Value],[1]!Data_PL_Element[Index PL Element],'Dong Lam'!$B221,[1]!Data_PL_Element[TenCongTyID],'Dong Lam'!$B$1,[1]!Data_PL_Element[Thang.Nam],'Dong Lam'!AC$198)</f>
        <v>0</v>
      </c>
      <c r="AD221" s="189">
        <f>SUMIFS([1]!Data_PL_Element[Value],[1]!Data_PL_Element[Index PL Element],'Dong Lam'!$B221,[1]!Data_PL_Element[TenCongTyID],'Dong Lam'!$B$1,[1]!Data_PL_Element[Thang.Nam],'Dong Lam'!AD$198)</f>
        <v>0</v>
      </c>
      <c r="AE221" s="189">
        <f>SUMIFS([1]!Data_PL_Element[Value],[1]!Data_PL_Element[Index PL Element],'Dong Lam'!$B221,[1]!Data_PL_Element[TenCongTyID],'Dong Lam'!$B$1,[1]!Data_PL_Element[Thang.Nam],'Dong Lam'!AE$198)</f>
        <v>0</v>
      </c>
      <c r="AF221" s="189">
        <f>SUMIFS([1]!Data_PL_Element[Value],[1]!Data_PL_Element[Index PL Element],'Dong Lam'!$B221,[1]!Data_PL_Element[TenCongTyID],'Dong Lam'!$B$1,[1]!Data_PL_Element[Thang.Nam],'Dong Lam'!AF$198)</f>
        <v>0</v>
      </c>
      <c r="AG221" s="189">
        <f>SUMIFS([1]!Data_PL_Element[Value],[1]!Data_PL_Element[Index PL Element],'Dong Lam'!$B221,[1]!Data_PL_Element[TenCongTyID],'Dong Lam'!$B$1,[1]!Data_PL_Element[Thang.Nam],'Dong Lam'!AG$198)</f>
        <v>0</v>
      </c>
      <c r="AH221" s="189">
        <f>SUMIFS([1]!Data_PL_Element[Value],[1]!Data_PL_Element[Index PL Element],'Dong Lam'!$B221,[1]!Data_PL_Element[TenCongTyID],'Dong Lam'!$B$1,[1]!Data_PL_Element[Thang.Nam],'Dong Lam'!AH$198)</f>
        <v>0</v>
      </c>
      <c r="AI221" s="189">
        <f>SUMIFS([1]!Data_PL_Element[Value],[1]!Data_PL_Element[Index PL Element],'Dong Lam'!$B221,[1]!Data_PL_Element[TenCongTyID],'Dong Lam'!$B$1,[1]!Data_PL_Element[Thang.Nam],'Dong Lam'!AI$198)</f>
        <v>0</v>
      </c>
      <c r="AJ221" s="189">
        <f>SUMIFS([1]!Data_PL_Element[Value],[1]!Data_PL_Element[Index PL Element],'Dong Lam'!$B221,[1]!Data_PL_Element[TenCongTyID],'Dong Lam'!$B$1,[1]!Data_PL_Element[Thang.Nam],'Dong Lam'!AJ$198)</f>
        <v>0</v>
      </c>
      <c r="AK221" s="189">
        <f>SUMIFS([1]!Data_PL_Element[Value],[1]!Data_PL_Element[Index PL Element],'Dong Lam'!$B221,[1]!Data_PL_Element[TenCongTyID],'Dong Lam'!$B$1,[1]!Data_PL_Element[Thang.Nam],'Dong Lam'!AK$198)</f>
        <v>0</v>
      </c>
      <c r="AL221" s="189">
        <f>SUMIFS([1]!Data_PL_Element[Value],[1]!Data_PL_Element[Index PL Element],'Dong Lam'!$B221,[1]!Data_PL_Element[TenCongTyID],'Dong Lam'!$B$1,[1]!Data_PL_Element[Thang.Nam],'Dong Lam'!AL$198)</f>
        <v>0</v>
      </c>
    </row>
    <row r="222" spans="1:38" ht="15" customHeight="1">
      <c r="A222" s="178" t="s">
        <v>308</v>
      </c>
      <c r="B222" s="179">
        <v>24</v>
      </c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>
        <v>0</v>
      </c>
      <c r="AA222" s="189">
        <f>SUMIFS([1]!Data_PL_Element[Value],[1]!Data_PL_Element[Index PL Element],'Dong Lam'!$B222,[1]!Data_PL_Element[TenCongTyID],'Dong Lam'!$B$1,[1]!Data_PL_Element[Thang.Nam],'Dong Lam'!AA$198)</f>
        <v>0</v>
      </c>
      <c r="AB222" s="189">
        <f>SUMIFS([1]!Data_PL_Element[Value],[1]!Data_PL_Element[Index PL Element],'Dong Lam'!$B222,[1]!Data_PL_Element[TenCongTyID],'Dong Lam'!$B$1,[1]!Data_PL_Element[Thang.Nam],'Dong Lam'!AB$198)</f>
        <v>0</v>
      </c>
      <c r="AC222" s="189">
        <f>SUMIFS([1]!Data_PL_Element[Value],[1]!Data_PL_Element[Index PL Element],'Dong Lam'!$B222,[1]!Data_PL_Element[TenCongTyID],'Dong Lam'!$B$1,[1]!Data_PL_Element[Thang.Nam],'Dong Lam'!AC$198)</f>
        <v>0</v>
      </c>
      <c r="AD222" s="189">
        <f>SUMIFS([1]!Data_PL_Element[Value],[1]!Data_PL_Element[Index PL Element],'Dong Lam'!$B222,[1]!Data_PL_Element[TenCongTyID],'Dong Lam'!$B$1,[1]!Data_PL_Element[Thang.Nam],'Dong Lam'!AD$198)</f>
        <v>0</v>
      </c>
      <c r="AE222" s="189">
        <f>SUMIFS([1]!Data_PL_Element[Value],[1]!Data_PL_Element[Index PL Element],'Dong Lam'!$B222,[1]!Data_PL_Element[TenCongTyID],'Dong Lam'!$B$1,[1]!Data_PL_Element[Thang.Nam],'Dong Lam'!AE$198)</f>
        <v>0</v>
      </c>
      <c r="AF222" s="189">
        <f>SUMIFS([1]!Data_PL_Element[Value],[1]!Data_PL_Element[Index PL Element],'Dong Lam'!$B222,[1]!Data_PL_Element[TenCongTyID],'Dong Lam'!$B$1,[1]!Data_PL_Element[Thang.Nam],'Dong Lam'!AF$198)</f>
        <v>0</v>
      </c>
      <c r="AG222" s="189">
        <f>SUMIFS([1]!Data_PL_Element[Value],[1]!Data_PL_Element[Index PL Element],'Dong Lam'!$B222,[1]!Data_PL_Element[TenCongTyID],'Dong Lam'!$B$1,[1]!Data_PL_Element[Thang.Nam],'Dong Lam'!AG$198)</f>
        <v>0</v>
      </c>
      <c r="AH222" s="189">
        <f>SUMIFS([1]!Data_PL_Element[Value],[1]!Data_PL_Element[Index PL Element],'Dong Lam'!$B222,[1]!Data_PL_Element[TenCongTyID],'Dong Lam'!$B$1,[1]!Data_PL_Element[Thang.Nam],'Dong Lam'!AH$198)</f>
        <v>0</v>
      </c>
      <c r="AI222" s="189">
        <f>SUMIFS([1]!Data_PL_Element[Value],[1]!Data_PL_Element[Index PL Element],'Dong Lam'!$B222,[1]!Data_PL_Element[TenCongTyID],'Dong Lam'!$B$1,[1]!Data_PL_Element[Thang.Nam],'Dong Lam'!AI$198)</f>
        <v>0</v>
      </c>
      <c r="AJ222" s="189">
        <f>SUMIFS([1]!Data_PL_Element[Value],[1]!Data_PL_Element[Index PL Element],'Dong Lam'!$B222,[1]!Data_PL_Element[TenCongTyID],'Dong Lam'!$B$1,[1]!Data_PL_Element[Thang.Nam],'Dong Lam'!AJ$198)</f>
        <v>0</v>
      </c>
      <c r="AK222" s="189">
        <f>SUMIFS([1]!Data_PL_Element[Value],[1]!Data_PL_Element[Index PL Element],'Dong Lam'!$B222,[1]!Data_PL_Element[TenCongTyID],'Dong Lam'!$B$1,[1]!Data_PL_Element[Thang.Nam],'Dong Lam'!AK$198)</f>
        <v>0</v>
      </c>
      <c r="AL222" s="189">
        <f>SUMIFS([1]!Data_PL_Element[Value],[1]!Data_PL_Element[Index PL Element],'Dong Lam'!$B222,[1]!Data_PL_Element[TenCongTyID],'Dong Lam'!$B$1,[1]!Data_PL_Element[Thang.Nam],'Dong Lam'!AL$198)</f>
        <v>0</v>
      </c>
    </row>
    <row r="223" spans="1:38" ht="15" customHeight="1">
      <c r="A223" s="178" t="s">
        <v>309</v>
      </c>
      <c r="B223" s="179">
        <v>25</v>
      </c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>
        <v>0</v>
      </c>
      <c r="AA223" s="189">
        <f>SUMIFS([1]!Data_PL_Element[Value],[1]!Data_PL_Element[Index PL Element],'Dong Lam'!$B223,[1]!Data_PL_Element[TenCongTyID],'Dong Lam'!$B$1,[1]!Data_PL_Element[Thang.Nam],'Dong Lam'!AA$198)</f>
        <v>0</v>
      </c>
      <c r="AB223" s="189">
        <f>SUMIFS([1]!Data_PL_Element[Value],[1]!Data_PL_Element[Index PL Element],'Dong Lam'!$B223,[1]!Data_PL_Element[TenCongTyID],'Dong Lam'!$B$1,[1]!Data_PL_Element[Thang.Nam],'Dong Lam'!AB$198)</f>
        <v>0</v>
      </c>
      <c r="AC223" s="189">
        <f>SUMIFS([1]!Data_PL_Element[Value],[1]!Data_PL_Element[Index PL Element],'Dong Lam'!$B223,[1]!Data_PL_Element[TenCongTyID],'Dong Lam'!$B$1,[1]!Data_PL_Element[Thang.Nam],'Dong Lam'!AC$198)</f>
        <v>0</v>
      </c>
      <c r="AD223" s="189">
        <f>SUMIFS([1]!Data_PL_Element[Value],[1]!Data_PL_Element[Index PL Element],'Dong Lam'!$B223,[1]!Data_PL_Element[TenCongTyID],'Dong Lam'!$B$1,[1]!Data_PL_Element[Thang.Nam],'Dong Lam'!AD$198)</f>
        <v>0</v>
      </c>
      <c r="AE223" s="189">
        <f>SUMIFS([1]!Data_PL_Element[Value],[1]!Data_PL_Element[Index PL Element],'Dong Lam'!$B223,[1]!Data_PL_Element[TenCongTyID],'Dong Lam'!$B$1,[1]!Data_PL_Element[Thang.Nam],'Dong Lam'!AE$198)</f>
        <v>0</v>
      </c>
      <c r="AF223" s="189">
        <f>SUMIFS([1]!Data_PL_Element[Value],[1]!Data_PL_Element[Index PL Element],'Dong Lam'!$B223,[1]!Data_PL_Element[TenCongTyID],'Dong Lam'!$B$1,[1]!Data_PL_Element[Thang.Nam],'Dong Lam'!AF$198)</f>
        <v>0</v>
      </c>
      <c r="AG223" s="189">
        <f>SUMIFS([1]!Data_PL_Element[Value],[1]!Data_PL_Element[Index PL Element],'Dong Lam'!$B223,[1]!Data_PL_Element[TenCongTyID],'Dong Lam'!$B$1,[1]!Data_PL_Element[Thang.Nam],'Dong Lam'!AG$198)</f>
        <v>0</v>
      </c>
      <c r="AH223" s="189">
        <f>SUMIFS([1]!Data_PL_Element[Value],[1]!Data_PL_Element[Index PL Element],'Dong Lam'!$B223,[1]!Data_PL_Element[TenCongTyID],'Dong Lam'!$B$1,[1]!Data_PL_Element[Thang.Nam],'Dong Lam'!AH$198)</f>
        <v>0</v>
      </c>
      <c r="AI223" s="189">
        <f>SUMIFS([1]!Data_PL_Element[Value],[1]!Data_PL_Element[Index PL Element],'Dong Lam'!$B223,[1]!Data_PL_Element[TenCongTyID],'Dong Lam'!$B$1,[1]!Data_PL_Element[Thang.Nam],'Dong Lam'!AI$198)</f>
        <v>0</v>
      </c>
      <c r="AJ223" s="189">
        <f>SUMIFS([1]!Data_PL_Element[Value],[1]!Data_PL_Element[Index PL Element],'Dong Lam'!$B223,[1]!Data_PL_Element[TenCongTyID],'Dong Lam'!$B$1,[1]!Data_PL_Element[Thang.Nam],'Dong Lam'!AJ$198)</f>
        <v>0</v>
      </c>
      <c r="AK223" s="189">
        <f>SUMIFS([1]!Data_PL_Element[Value],[1]!Data_PL_Element[Index PL Element],'Dong Lam'!$B223,[1]!Data_PL_Element[TenCongTyID],'Dong Lam'!$B$1,[1]!Data_PL_Element[Thang.Nam],'Dong Lam'!AK$198)</f>
        <v>0</v>
      </c>
      <c r="AL223" s="189">
        <f>SUMIFS([1]!Data_PL_Element[Value],[1]!Data_PL_Element[Index PL Element],'Dong Lam'!$B223,[1]!Data_PL_Element[TenCongTyID],'Dong Lam'!$B$1,[1]!Data_PL_Element[Thang.Nam],'Dong Lam'!AL$198)</f>
        <v>0</v>
      </c>
    </row>
    <row r="224" spans="1:38" ht="15" customHeight="1">
      <c r="A224" s="184" t="s">
        <v>310</v>
      </c>
      <c r="B224" s="185">
        <v>26</v>
      </c>
      <c r="C224" s="192">
        <f>IFERROR(C211/C207,"")</f>
        <v>0.99516485188240966</v>
      </c>
      <c r="D224" s="192">
        <f t="shared" ref="D224:AL224" si="18">IFERROR(D211/D207,"")</f>
        <v>0.99597092757106598</v>
      </c>
      <c r="E224" s="192">
        <f t="shared" si="18"/>
        <v>0.95196333390093968</v>
      </c>
      <c r="F224" s="192">
        <f t="shared" si="18"/>
        <v>0.9944844577117703</v>
      </c>
      <c r="G224" s="192">
        <f t="shared" si="18"/>
        <v>0.97848803754278968</v>
      </c>
      <c r="H224" s="192">
        <f t="shared" si="18"/>
        <v>1.0026241548401043</v>
      </c>
      <c r="I224" s="192">
        <f t="shared" si="18"/>
        <v>1.0708677180298758</v>
      </c>
      <c r="J224" s="192">
        <f t="shared" si="18"/>
        <v>1.0601374801696311</v>
      </c>
      <c r="K224" s="192">
        <f t="shared" si="18"/>
        <v>1.0451414496359424</v>
      </c>
      <c r="L224" s="192">
        <f t="shared" si="18"/>
        <v>1.0286626384890099</v>
      </c>
      <c r="M224" s="192">
        <f t="shared" si="18"/>
        <v>1.027924565413745</v>
      </c>
      <c r="N224" s="192">
        <f t="shared" si="18"/>
        <v>1.0314321145559249</v>
      </c>
      <c r="O224" s="192">
        <f t="shared" si="18"/>
        <v>1.1483713149268759</v>
      </c>
      <c r="P224" s="192">
        <f t="shared" si="18"/>
        <v>0.9662181996373046</v>
      </c>
      <c r="Q224" s="192">
        <f t="shared" si="18"/>
        <v>0.94956216185257447</v>
      </c>
      <c r="R224" s="192">
        <f t="shared" si="18"/>
        <v>0.92941062064305724</v>
      </c>
      <c r="S224" s="192">
        <f t="shared" si="18"/>
        <v>0.96566393332206535</v>
      </c>
      <c r="T224" s="192">
        <f t="shared" si="18"/>
        <v>0.91028186162977942</v>
      </c>
      <c r="U224" s="192">
        <f t="shared" si="18"/>
        <v>0.89850499943999496</v>
      </c>
      <c r="V224" s="192">
        <f t="shared" si="18"/>
        <v>0.8612892742865359</v>
      </c>
      <c r="W224" s="192">
        <f t="shared" si="18"/>
        <v>0.95824960218948396</v>
      </c>
      <c r="X224" s="192">
        <f t="shared" si="18"/>
        <v>0.92411151806218095</v>
      </c>
      <c r="Y224" s="192">
        <f t="shared" si="18"/>
        <v>0.92298867708921539</v>
      </c>
      <c r="Z224" s="192">
        <v>0.89436201884334676</v>
      </c>
      <c r="AA224" s="192">
        <f t="shared" si="18"/>
        <v>0.97751897402786225</v>
      </c>
      <c r="AB224" s="192">
        <f t="shared" si="18"/>
        <v>1.1367709421595562</v>
      </c>
      <c r="AC224" s="192">
        <f t="shared" si="18"/>
        <v>1.0303994901288638</v>
      </c>
      <c r="AD224" s="192">
        <f t="shared" si="18"/>
        <v>0.99925763239828203</v>
      </c>
      <c r="AE224" s="192">
        <f t="shared" si="18"/>
        <v>1.0021323200369292</v>
      </c>
      <c r="AF224" s="192">
        <f t="shared" si="18"/>
        <v>0.99955230589753308</v>
      </c>
      <c r="AG224" s="192">
        <f t="shared" si="18"/>
        <v>0.99698582448136319</v>
      </c>
      <c r="AH224" s="192">
        <f t="shared" si="18"/>
        <v>1.001524700114294</v>
      </c>
      <c r="AI224" s="192">
        <f t="shared" si="18"/>
        <v>1.0134733944217518</v>
      </c>
      <c r="AJ224" s="192">
        <f t="shared" si="18"/>
        <v>0.99595526137111012</v>
      </c>
      <c r="AK224" s="192">
        <f t="shared" si="18"/>
        <v>1.0078241934432111</v>
      </c>
      <c r="AL224" s="192">
        <f t="shared" si="18"/>
        <v>0.99639579845352888</v>
      </c>
    </row>
    <row r="225" spans="1:38" ht="15" customHeight="1">
      <c r="A225" s="181" t="s">
        <v>311</v>
      </c>
      <c r="B225" s="182">
        <v>27</v>
      </c>
      <c r="C225" s="183">
        <f t="shared" ref="C225:AL225" si="19">C139</f>
        <v>40618696</v>
      </c>
      <c r="D225" s="183">
        <f t="shared" si="19"/>
        <v>15838988</v>
      </c>
      <c r="E225" s="183">
        <f t="shared" si="19"/>
        <v>277107641</v>
      </c>
      <c r="F225" s="183">
        <f t="shared" si="19"/>
        <v>32041399</v>
      </c>
      <c r="G225" s="183">
        <f t="shared" si="19"/>
        <v>204056687</v>
      </c>
      <c r="H225" s="183">
        <f t="shared" si="19"/>
        <v>-16219720</v>
      </c>
      <c r="I225" s="183">
        <f t="shared" si="19"/>
        <v>-295950819</v>
      </c>
      <c r="J225" s="183">
        <f t="shared" si="19"/>
        <v>-218043589</v>
      </c>
      <c r="K225" s="183">
        <f t="shared" si="19"/>
        <v>-177009510</v>
      </c>
      <c r="L225" s="183">
        <f t="shared" si="19"/>
        <v>-124093979</v>
      </c>
      <c r="M225" s="183">
        <f t="shared" si="19"/>
        <v>-130456615</v>
      </c>
      <c r="N225" s="183">
        <f t="shared" si="19"/>
        <v>-114715934</v>
      </c>
      <c r="O225" s="183">
        <f t="shared" si="19"/>
        <v>-324047443</v>
      </c>
      <c r="P225" s="183">
        <f t="shared" si="19"/>
        <v>165739583</v>
      </c>
      <c r="Q225" s="183">
        <f t="shared" si="19"/>
        <v>319455846</v>
      </c>
      <c r="R225" s="183">
        <f t="shared" si="19"/>
        <v>551096097</v>
      </c>
      <c r="S225" s="183">
        <f t="shared" si="19"/>
        <v>253405220</v>
      </c>
      <c r="T225" s="183">
        <f t="shared" si="19"/>
        <v>947133119</v>
      </c>
      <c r="U225" s="183">
        <f t="shared" si="19"/>
        <v>1306763461</v>
      </c>
      <c r="V225" s="183">
        <f t="shared" si="19"/>
        <v>1909106337</v>
      </c>
      <c r="W225" s="183">
        <f t="shared" si="19"/>
        <v>413534210</v>
      </c>
      <c r="X225" s="183">
        <f t="shared" si="19"/>
        <v>531500806</v>
      </c>
      <c r="Y225" s="183">
        <f t="shared" si="19"/>
        <v>460969756</v>
      </c>
      <c r="Z225" s="183">
        <v>790608067</v>
      </c>
      <c r="AA225" s="183">
        <f t="shared" si="19"/>
        <v>254477840.22808075</v>
      </c>
      <c r="AB225" s="183">
        <f t="shared" si="19"/>
        <v>-1020792662.2266903</v>
      </c>
      <c r="AC225" s="183">
        <f t="shared" si="19"/>
        <v>-441984563.2766037</v>
      </c>
      <c r="AD225" s="183">
        <f t="shared" si="19"/>
        <v>11957270.882795334</v>
      </c>
      <c r="AE225" s="183">
        <f t="shared" si="19"/>
        <v>-34345152.228315353</v>
      </c>
      <c r="AF225" s="183">
        <f t="shared" si="19"/>
        <v>7499421.6196613312</v>
      </c>
      <c r="AG225" s="183">
        <f t="shared" si="19"/>
        <v>52433077.800971985</v>
      </c>
      <c r="AH225" s="183">
        <f t="shared" si="19"/>
        <v>-25540584.380338669</v>
      </c>
      <c r="AI225" s="183">
        <f t="shared" si="19"/>
        <v>-208334557.40962791</v>
      </c>
      <c r="AJ225" s="183">
        <f t="shared" si="19"/>
        <v>70360234.134307861</v>
      </c>
      <c r="AK225" s="183">
        <f t="shared" si="19"/>
        <v>-126023819.22831535</v>
      </c>
      <c r="AL225" s="183">
        <f t="shared" si="19"/>
        <v>62696873.134307861</v>
      </c>
    </row>
    <row r="226" spans="1:38" ht="15" customHeight="1">
      <c r="A226" s="184" t="s">
        <v>312</v>
      </c>
      <c r="B226" s="185">
        <v>28</v>
      </c>
      <c r="C226" s="187">
        <f t="shared" ref="C226:AL226" si="20">IFERROR(C225/C207,"")</f>
        <v>4.8351481175903394E-3</v>
      </c>
      <c r="D226" s="187">
        <f t="shared" si="20"/>
        <v>4.0290724289339663E-3</v>
      </c>
      <c r="E226" s="187">
        <f t="shared" si="20"/>
        <v>4.8036666099060314E-2</v>
      </c>
      <c r="F226" s="187">
        <f t="shared" si="20"/>
        <v>5.515542288229724E-3</v>
      </c>
      <c r="G226" s="187">
        <f t="shared" si="20"/>
        <v>2.1511962457210335E-2</v>
      </c>
      <c r="H226" s="187">
        <f t="shared" si="20"/>
        <v>-2.6241548401041851E-3</v>
      </c>
      <c r="I226" s="187">
        <f t="shared" si="20"/>
        <v>-7.0867718029875709E-2</v>
      </c>
      <c r="J226" s="187">
        <f t="shared" si="20"/>
        <v>-6.0137480169631018E-2</v>
      </c>
      <c r="K226" s="187">
        <f t="shared" si="20"/>
        <v>-4.5141449635942292E-2</v>
      </c>
      <c r="L226" s="187">
        <f t="shared" si="20"/>
        <v>-2.8662638489009771E-2</v>
      </c>
      <c r="M226" s="187">
        <f t="shared" si="20"/>
        <v>-2.7924565413744926E-2</v>
      </c>
      <c r="N226" s="187">
        <f t="shared" si="20"/>
        <v>-3.1432114555924817E-2</v>
      </c>
      <c r="O226" s="187">
        <f t="shared" si="20"/>
        <v>-0.148371314926876</v>
      </c>
      <c r="P226" s="187">
        <f t="shared" si="20"/>
        <v>3.3781800362695437E-2</v>
      </c>
      <c r="Q226" s="187">
        <f t="shared" si="20"/>
        <v>5.043783814742555E-2</v>
      </c>
      <c r="R226" s="187">
        <f t="shared" si="20"/>
        <v>7.0589379356942705E-2</v>
      </c>
      <c r="S226" s="187">
        <f t="shared" si="20"/>
        <v>3.4336066677934603E-2</v>
      </c>
      <c r="T226" s="187">
        <f t="shared" si="20"/>
        <v>8.9718138370220593E-2</v>
      </c>
      <c r="U226" s="187">
        <f t="shared" si="20"/>
        <v>0.10149500056000509</v>
      </c>
      <c r="V226" s="187">
        <f t="shared" si="20"/>
        <v>0.13871072571346407</v>
      </c>
      <c r="W226" s="187">
        <f t="shared" si="20"/>
        <v>4.1750397810516052E-2</v>
      </c>
      <c r="X226" s="187">
        <f t="shared" si="20"/>
        <v>7.588848193781908E-2</v>
      </c>
      <c r="Y226" s="187">
        <f t="shared" si="20"/>
        <v>7.7011322910784635E-2</v>
      </c>
      <c r="Z226" s="187">
        <v>0.10563798115665328</v>
      </c>
      <c r="AA226" s="187">
        <f t="shared" si="20"/>
        <v>2.2481025972137775E-2</v>
      </c>
      <c r="AB226" s="187">
        <f t="shared" si="20"/>
        <v>-0.13677094215955612</v>
      </c>
      <c r="AC226" s="187">
        <f t="shared" si="20"/>
        <v>-3.0399490128863688E-2</v>
      </c>
      <c r="AD226" s="187">
        <f t="shared" si="20"/>
        <v>7.4236760171799126E-4</v>
      </c>
      <c r="AE226" s="187">
        <f t="shared" si="20"/>
        <v>-2.132320036929133E-3</v>
      </c>
      <c r="AF226" s="187">
        <f t="shared" si="20"/>
        <v>4.4769410246692541E-4</v>
      </c>
      <c r="AG226" s="187">
        <f t="shared" si="20"/>
        <v>3.0141755186367737E-3</v>
      </c>
      <c r="AH226" s="187">
        <f t="shared" si="20"/>
        <v>-1.5247001142939959E-3</v>
      </c>
      <c r="AI226" s="187">
        <f t="shared" si="20"/>
        <v>-1.3473394421751798E-2</v>
      </c>
      <c r="AJ226" s="187">
        <f t="shared" si="20"/>
        <v>4.0447386288899262E-3</v>
      </c>
      <c r="AK226" s="187">
        <f t="shared" si="20"/>
        <v>-7.8241934432110912E-3</v>
      </c>
      <c r="AL226" s="187">
        <f t="shared" si="20"/>
        <v>3.60420154647117E-3</v>
      </c>
    </row>
    <row r="227" spans="1:38" ht="15" customHeight="1">
      <c r="A227" s="181" t="s">
        <v>313</v>
      </c>
      <c r="B227" s="182">
        <v>29</v>
      </c>
      <c r="C227" s="183">
        <f t="shared" ref="C227:AL227" si="21">C150</f>
        <v>-189720453</v>
      </c>
      <c r="D227" s="183">
        <f t="shared" si="21"/>
        <v>-175133271</v>
      </c>
      <c r="E227" s="183">
        <f t="shared" si="21"/>
        <v>50321786</v>
      </c>
      <c r="F227" s="183">
        <f t="shared" si="21"/>
        <v>-141447382</v>
      </c>
      <c r="G227" s="183">
        <f t="shared" si="21"/>
        <v>2058676</v>
      </c>
      <c r="H227" s="183">
        <f t="shared" si="21"/>
        <v>-195661702</v>
      </c>
      <c r="I227" s="183">
        <f t="shared" si="21"/>
        <v>-394602818</v>
      </c>
      <c r="J227" s="183">
        <f t="shared" si="21"/>
        <v>-400967893</v>
      </c>
      <c r="K227" s="183">
        <f t="shared" si="21"/>
        <v>-307075455</v>
      </c>
      <c r="L227" s="183">
        <f t="shared" si="21"/>
        <v>-236792330</v>
      </c>
      <c r="M227" s="183">
        <f t="shared" si="21"/>
        <v>-887402180</v>
      </c>
      <c r="N227" s="183">
        <f t="shared" si="21"/>
        <v>-276824257</v>
      </c>
      <c r="O227" s="183">
        <f t="shared" si="21"/>
        <v>-420514291</v>
      </c>
      <c r="P227" s="183">
        <f t="shared" si="21"/>
        <v>-49880621</v>
      </c>
      <c r="Q227" s="183">
        <f t="shared" si="21"/>
        <v>80525775</v>
      </c>
      <c r="R227" s="183">
        <f t="shared" si="21"/>
        <v>290833926</v>
      </c>
      <c r="S227" s="183">
        <f t="shared" si="21"/>
        <v>-34811546</v>
      </c>
      <c r="T227" s="183">
        <f t="shared" si="21"/>
        <v>618754242</v>
      </c>
      <c r="U227" s="183">
        <f t="shared" si="21"/>
        <v>969513402</v>
      </c>
      <c r="V227" s="183">
        <f t="shared" si="21"/>
        <v>1504531335</v>
      </c>
      <c r="W227" s="183">
        <f t="shared" si="21"/>
        <v>-44927274</v>
      </c>
      <c r="X227" s="183">
        <f t="shared" si="21"/>
        <v>203950321</v>
      </c>
      <c r="Y227" s="183">
        <f t="shared" si="21"/>
        <v>108418363</v>
      </c>
      <c r="Z227" s="183">
        <v>144125067</v>
      </c>
      <c r="AA227" s="183">
        <f t="shared" si="21"/>
        <v>-398961519.46358591</v>
      </c>
      <c r="AB227" s="183">
        <f t="shared" si="21"/>
        <v>-1620401480.9183569</v>
      </c>
      <c r="AC227" s="183">
        <f t="shared" si="21"/>
        <v>-1066797324.3016038</v>
      </c>
      <c r="AD227" s="183">
        <f t="shared" si="21"/>
        <v>-658970073.14220464</v>
      </c>
      <c r="AE227" s="183">
        <f t="shared" si="21"/>
        <v>-699138914.25331533</v>
      </c>
      <c r="AF227" s="183">
        <f t="shared" si="21"/>
        <v>-684233978.55348682</v>
      </c>
      <c r="AG227" s="183">
        <f t="shared" si="21"/>
        <v>-671236943.37217617</v>
      </c>
      <c r="AH227" s="183">
        <f t="shared" si="21"/>
        <v>-980932657.55348694</v>
      </c>
      <c r="AI227" s="183">
        <f t="shared" si="21"/>
        <v>-894643115.58277607</v>
      </c>
      <c r="AJ227" s="183">
        <f t="shared" si="21"/>
        <v>-637000059.03884029</v>
      </c>
      <c r="AK227" s="183">
        <f t="shared" si="21"/>
        <v>-803654994.40146351</v>
      </c>
      <c r="AL227" s="183">
        <f t="shared" si="21"/>
        <v>-660028703.03884029</v>
      </c>
    </row>
    <row r="228" spans="1:38" ht="15" customHeight="1">
      <c r="A228" s="184" t="s">
        <v>314</v>
      </c>
      <c r="B228" s="185">
        <v>30</v>
      </c>
      <c r="C228" s="187">
        <f t="shared" ref="C228:AL228" si="22">IFERROR(C227/C207,"")</f>
        <v>-2.2583848855988298E-2</v>
      </c>
      <c r="D228" s="187">
        <f t="shared" si="22"/>
        <v>-4.4549855936194954E-2</v>
      </c>
      <c r="E228" s="187">
        <f t="shared" si="22"/>
        <v>8.7232918690624203E-3</v>
      </c>
      <c r="F228" s="187">
        <f t="shared" si="22"/>
        <v>-2.4348469209486884E-2</v>
      </c>
      <c r="G228" s="187">
        <f t="shared" si="22"/>
        <v>2.1702871625843824E-4</v>
      </c>
      <c r="H228" s="187">
        <f t="shared" si="22"/>
        <v>-3.1655700735051077E-2</v>
      </c>
      <c r="I228" s="187">
        <f t="shared" si="22"/>
        <v>-9.4490704010582113E-2</v>
      </c>
      <c r="J228" s="187">
        <f t="shared" si="22"/>
        <v>-0.11058889107694073</v>
      </c>
      <c r="K228" s="187">
        <f t="shared" si="22"/>
        <v>-7.8311222862074273E-2</v>
      </c>
      <c r="L228" s="187">
        <f t="shared" si="22"/>
        <v>-5.4693168890654259E-2</v>
      </c>
      <c r="M228" s="187">
        <f t="shared" si="22"/>
        <v>-0.18995066079025466</v>
      </c>
      <c r="N228" s="187">
        <f t="shared" si="22"/>
        <v>-7.5849722479553475E-2</v>
      </c>
      <c r="O228" s="187">
        <f t="shared" si="22"/>
        <v>-0.19254050494455829</v>
      </c>
      <c r="P228" s="187">
        <f t="shared" si="22"/>
        <v>-1.0166896465458548E-2</v>
      </c>
      <c r="Q228" s="187">
        <f t="shared" si="22"/>
        <v>1.2713951104673184E-2</v>
      </c>
      <c r="R228" s="187">
        <f t="shared" si="22"/>
        <v>3.7252643312193523E-2</v>
      </c>
      <c r="S228" s="187">
        <f t="shared" si="22"/>
        <v>-4.7169176886647695E-3</v>
      </c>
      <c r="T228" s="187">
        <f t="shared" si="22"/>
        <v>5.8612118600106684E-2</v>
      </c>
      <c r="U228" s="187">
        <f t="shared" si="22"/>
        <v>7.5301128487034144E-2</v>
      </c>
      <c r="V228" s="187">
        <f t="shared" si="22"/>
        <v>0.10931535310099226</v>
      </c>
      <c r="W228" s="187">
        <f t="shared" si="22"/>
        <v>-4.5358558413874745E-3</v>
      </c>
      <c r="X228" s="187">
        <f t="shared" si="22"/>
        <v>2.9120332606646891E-2</v>
      </c>
      <c r="Y228" s="187">
        <f t="shared" si="22"/>
        <v>1.811277519571515E-2</v>
      </c>
      <c r="Z228" s="187">
        <v>1.9257432029146485E-2</v>
      </c>
      <c r="AA228" s="187">
        <f t="shared" si="22"/>
        <v>-3.5244971715044919E-2</v>
      </c>
      <c r="AB228" s="187">
        <f t="shared" si="22"/>
        <v>-0.21710955164833173</v>
      </c>
      <c r="AC228" s="187">
        <f t="shared" si="22"/>
        <v>-7.3373817603917826E-2</v>
      </c>
      <c r="AD228" s="187">
        <f t="shared" si="22"/>
        <v>-4.0912181182278656E-2</v>
      </c>
      <c r="AE228" s="187">
        <f t="shared" si="22"/>
        <v>-4.3406065157287767E-2</v>
      </c>
      <c r="AF228" s="187">
        <f t="shared" si="22"/>
        <v>-4.0846818920378336E-2</v>
      </c>
      <c r="AG228" s="187">
        <f t="shared" si="22"/>
        <v>-3.8586824324844157E-2</v>
      </c>
      <c r="AH228" s="187">
        <f t="shared" si="22"/>
        <v>-5.855888466819343E-2</v>
      </c>
      <c r="AI228" s="187">
        <f t="shared" si="22"/>
        <v>-5.7858281952001156E-2</v>
      </c>
      <c r="AJ228" s="187">
        <f t="shared" si="22"/>
        <v>-3.6618677824200876E-2</v>
      </c>
      <c r="AK228" s="187">
        <f t="shared" si="22"/>
        <v>-4.9894949830142775E-2</v>
      </c>
      <c r="AL228" s="187">
        <f t="shared" si="22"/>
        <v>-3.794250579469844E-2</v>
      </c>
    </row>
    <row r="229" spans="1:38" ht="15" customHeight="1">
      <c r="A229" s="181" t="s">
        <v>315</v>
      </c>
      <c r="B229" s="182">
        <v>31</v>
      </c>
      <c r="C229" s="183">
        <f>C150+C143+C159</f>
        <v>141529503</v>
      </c>
      <c r="D229" s="183">
        <f t="shared" ref="D229:AL229" si="23">D150+D143+D159</f>
        <v>156116685</v>
      </c>
      <c r="E229" s="183">
        <f t="shared" si="23"/>
        <v>382405075</v>
      </c>
      <c r="F229" s="183">
        <f t="shared" si="23"/>
        <v>194927720</v>
      </c>
      <c r="G229" s="183">
        <f t="shared" si="23"/>
        <v>352933778</v>
      </c>
      <c r="H229" s="183">
        <f t="shared" si="23"/>
        <v>132413399</v>
      </c>
      <c r="I229" s="183">
        <f t="shared" si="23"/>
        <v>-62349808</v>
      </c>
      <c r="J229" s="183">
        <f t="shared" si="23"/>
        <v>-68427125</v>
      </c>
      <c r="K229" s="183">
        <f t="shared" si="23"/>
        <v>21233033</v>
      </c>
      <c r="L229" s="183">
        <f t="shared" si="23"/>
        <v>88143859</v>
      </c>
      <c r="M229" s="183">
        <f t="shared" si="23"/>
        <v>-562465991</v>
      </c>
      <c r="N229" s="183">
        <f t="shared" si="23"/>
        <v>48111932</v>
      </c>
      <c r="O229" s="183">
        <f t="shared" si="23"/>
        <v>-95578102</v>
      </c>
      <c r="P229" s="183">
        <f t="shared" si="23"/>
        <v>275055568</v>
      </c>
      <c r="Q229" s="183">
        <f t="shared" si="23"/>
        <v>410077359</v>
      </c>
      <c r="R229" s="183">
        <f t="shared" si="23"/>
        <v>620385510</v>
      </c>
      <c r="S229" s="183">
        <f t="shared" si="23"/>
        <v>294740038</v>
      </c>
      <c r="T229" s="183">
        <f t="shared" si="23"/>
        <v>953765085</v>
      </c>
      <c r="U229" s="183">
        <f t="shared" si="23"/>
        <v>1309696630</v>
      </c>
      <c r="V229" s="183">
        <f t="shared" si="23"/>
        <v>1844643881</v>
      </c>
      <c r="W229" s="183">
        <f t="shared" si="23"/>
        <v>297206435</v>
      </c>
      <c r="X229" s="183">
        <f t="shared" si="23"/>
        <v>546084030</v>
      </c>
      <c r="Y229" s="183">
        <f t="shared" si="23"/>
        <v>456328492</v>
      </c>
      <c r="Z229" s="183">
        <v>499599766</v>
      </c>
      <c r="AA229" s="183">
        <f t="shared" si="23"/>
        <v>-398961519.46358591</v>
      </c>
      <c r="AB229" s="183">
        <f t="shared" si="23"/>
        <v>-1620401480.9183569</v>
      </c>
      <c r="AC229" s="183">
        <f t="shared" si="23"/>
        <v>-1066797324.3016038</v>
      </c>
      <c r="AD229" s="183">
        <f t="shared" si="23"/>
        <v>-658970073.14220464</v>
      </c>
      <c r="AE229" s="183">
        <f t="shared" si="23"/>
        <v>-699138914.25331533</v>
      </c>
      <c r="AF229" s="183">
        <f t="shared" si="23"/>
        <v>-684233978.55348682</v>
      </c>
      <c r="AG229" s="183">
        <f t="shared" si="23"/>
        <v>-671236943.37217617</v>
      </c>
      <c r="AH229" s="183">
        <f t="shared" si="23"/>
        <v>-980932657.55348694</v>
      </c>
      <c r="AI229" s="183">
        <f t="shared" si="23"/>
        <v>-894643115.58277607</v>
      </c>
      <c r="AJ229" s="183">
        <f t="shared" si="23"/>
        <v>-637000059.03884029</v>
      </c>
      <c r="AK229" s="183">
        <f t="shared" si="23"/>
        <v>-803654994.40146351</v>
      </c>
      <c r="AL229" s="183">
        <f t="shared" si="23"/>
        <v>-660028703.03884029</v>
      </c>
    </row>
    <row r="230" spans="1:38" ht="15" customHeight="1">
      <c r="A230" s="184" t="s">
        <v>316</v>
      </c>
      <c r="B230" s="185">
        <v>32</v>
      </c>
      <c r="C230" s="187">
        <f t="shared" ref="C230:AL230" si="24">IFERROR(C229/C207,"")</f>
        <v>1.6847318535630644E-2</v>
      </c>
      <c r="D230" s="187">
        <f t="shared" si="24"/>
        <v>3.9712476026250471E-2</v>
      </c>
      <c r="E230" s="187">
        <f t="shared" si="24"/>
        <v>6.6289997764302416E-2</v>
      </c>
      <c r="F230" s="187">
        <f t="shared" si="24"/>
        <v>3.3554467543948467E-2</v>
      </c>
      <c r="G230" s="187">
        <f t="shared" si="24"/>
        <v>3.7206809018796853E-2</v>
      </c>
      <c r="H230" s="187">
        <f t="shared" si="24"/>
        <v>2.142288904373791E-2</v>
      </c>
      <c r="I230" s="187">
        <f t="shared" si="24"/>
        <v>-1.4930144905464474E-2</v>
      </c>
      <c r="J230" s="187">
        <f t="shared" si="24"/>
        <v>-1.8872533201388292E-2</v>
      </c>
      <c r="K230" s="187">
        <f t="shared" si="24"/>
        <v>5.414906180960564E-3</v>
      </c>
      <c r="L230" s="187">
        <f t="shared" si="24"/>
        <v>2.0359050341541955E-2</v>
      </c>
      <c r="M230" s="187">
        <f t="shared" si="24"/>
        <v>-0.12039725512337082</v>
      </c>
      <c r="N230" s="187">
        <f t="shared" si="24"/>
        <v>1.318264782755345E-2</v>
      </c>
      <c r="O230" s="187">
        <f t="shared" si="24"/>
        <v>-4.3762260675993286E-2</v>
      </c>
      <c r="P230" s="187">
        <f t="shared" si="24"/>
        <v>5.6063084741946045E-2</v>
      </c>
      <c r="Q230" s="187">
        <f t="shared" si="24"/>
        <v>6.474577228793528E-2</v>
      </c>
      <c r="R230" s="187">
        <f t="shared" si="24"/>
        <v>7.9464594925157631E-2</v>
      </c>
      <c r="S230" s="187">
        <f t="shared" si="24"/>
        <v>3.9936878953894389E-2</v>
      </c>
      <c r="T230" s="187">
        <f t="shared" si="24"/>
        <v>9.0346358027329418E-2</v>
      </c>
      <c r="U230" s="187">
        <f t="shared" si="24"/>
        <v>0.10172281683906585</v>
      </c>
      <c r="V230" s="187">
        <f t="shared" si="24"/>
        <v>0.13402705048818392</v>
      </c>
      <c r="W230" s="187">
        <f t="shared" si="24"/>
        <v>3.0005950156083292E-2</v>
      </c>
      <c r="X230" s="187">
        <f t="shared" si="24"/>
        <v>7.7970696524562663E-2</v>
      </c>
      <c r="Y230" s="187">
        <f t="shared" si="24"/>
        <v>7.6235936074737623E-2</v>
      </c>
      <c r="Z230" s="187">
        <v>6.6754581529682749E-2</v>
      </c>
      <c r="AA230" s="187">
        <f t="shared" si="24"/>
        <v>-3.5244971715044919E-2</v>
      </c>
      <c r="AB230" s="187">
        <f t="shared" si="24"/>
        <v>-0.21710955164833173</v>
      </c>
      <c r="AC230" s="187">
        <f t="shared" si="24"/>
        <v>-7.3373817603917826E-2</v>
      </c>
      <c r="AD230" s="187">
        <f t="shared" si="24"/>
        <v>-4.0912181182278656E-2</v>
      </c>
      <c r="AE230" s="187">
        <f t="shared" si="24"/>
        <v>-4.3406065157287767E-2</v>
      </c>
      <c r="AF230" s="187">
        <f t="shared" si="24"/>
        <v>-4.0846818920378336E-2</v>
      </c>
      <c r="AG230" s="187">
        <f t="shared" si="24"/>
        <v>-3.8586824324844157E-2</v>
      </c>
      <c r="AH230" s="187">
        <f t="shared" si="24"/>
        <v>-5.855888466819343E-2</v>
      </c>
      <c r="AI230" s="187">
        <f t="shared" si="24"/>
        <v>-5.7858281952001156E-2</v>
      </c>
      <c r="AJ230" s="187">
        <f t="shared" si="24"/>
        <v>-3.6618677824200876E-2</v>
      </c>
      <c r="AK230" s="187">
        <f t="shared" si="24"/>
        <v>-4.9894949830142775E-2</v>
      </c>
      <c r="AL230" s="187">
        <f t="shared" si="24"/>
        <v>-3.794250579469844E-2</v>
      </c>
    </row>
    <row r="231" spans="1:38" ht="15" customHeight="1">
      <c r="A231" s="181" t="s">
        <v>317</v>
      </c>
      <c r="B231" s="182">
        <v>33</v>
      </c>
      <c r="C231" s="183">
        <f>C151+C152</f>
        <v>0</v>
      </c>
      <c r="D231" s="183">
        <f t="shared" ref="D231:AL231" si="25">D151+D152</f>
        <v>0</v>
      </c>
      <c r="E231" s="183">
        <f t="shared" si="25"/>
        <v>0</v>
      </c>
      <c r="F231" s="183">
        <f t="shared" si="25"/>
        <v>0</v>
      </c>
      <c r="G231" s="183">
        <f t="shared" si="25"/>
        <v>0</v>
      </c>
      <c r="H231" s="183">
        <f t="shared" si="25"/>
        <v>0</v>
      </c>
      <c r="I231" s="183">
        <f t="shared" si="25"/>
        <v>0</v>
      </c>
      <c r="J231" s="183">
        <f t="shared" si="25"/>
        <v>0</v>
      </c>
      <c r="K231" s="183">
        <f t="shared" si="25"/>
        <v>0</v>
      </c>
      <c r="L231" s="183">
        <f t="shared" si="25"/>
        <v>0</v>
      </c>
      <c r="M231" s="183">
        <f t="shared" si="25"/>
        <v>0</v>
      </c>
      <c r="N231" s="183">
        <f t="shared" si="25"/>
        <v>0</v>
      </c>
      <c r="O231" s="183">
        <f t="shared" si="25"/>
        <v>0</v>
      </c>
      <c r="P231" s="183">
        <f t="shared" si="25"/>
        <v>0</v>
      </c>
      <c r="Q231" s="183">
        <f t="shared" si="25"/>
        <v>0</v>
      </c>
      <c r="R231" s="183">
        <f t="shared" si="25"/>
        <v>0</v>
      </c>
      <c r="S231" s="183">
        <f t="shared" si="25"/>
        <v>0</v>
      </c>
      <c r="T231" s="183">
        <f t="shared" si="25"/>
        <v>0</v>
      </c>
      <c r="U231" s="183">
        <f t="shared" si="25"/>
        <v>0</v>
      </c>
      <c r="V231" s="183">
        <f t="shared" si="25"/>
        <v>0</v>
      </c>
      <c r="W231" s="183">
        <f t="shared" si="25"/>
        <v>0</v>
      </c>
      <c r="X231" s="183">
        <f t="shared" si="25"/>
        <v>0</v>
      </c>
      <c r="Y231" s="183">
        <f t="shared" si="25"/>
        <v>0</v>
      </c>
      <c r="Z231" s="183">
        <v>0</v>
      </c>
      <c r="AA231" s="183">
        <f t="shared" si="25"/>
        <v>0</v>
      </c>
      <c r="AB231" s="183">
        <f t="shared" si="25"/>
        <v>0</v>
      </c>
      <c r="AC231" s="183">
        <f t="shared" si="25"/>
        <v>0</v>
      </c>
      <c r="AD231" s="183">
        <f t="shared" si="25"/>
        <v>0</v>
      </c>
      <c r="AE231" s="183">
        <f t="shared" si="25"/>
        <v>0</v>
      </c>
      <c r="AF231" s="183">
        <f t="shared" si="25"/>
        <v>0</v>
      </c>
      <c r="AG231" s="183">
        <f t="shared" si="25"/>
        <v>0</v>
      </c>
      <c r="AH231" s="183">
        <f t="shared" si="25"/>
        <v>0</v>
      </c>
      <c r="AI231" s="183">
        <f t="shared" si="25"/>
        <v>0</v>
      </c>
      <c r="AJ231" s="183">
        <f t="shared" si="25"/>
        <v>0</v>
      </c>
      <c r="AK231" s="183">
        <f t="shared" si="25"/>
        <v>0</v>
      </c>
      <c r="AL231" s="183">
        <f t="shared" si="25"/>
        <v>0</v>
      </c>
    </row>
    <row r="232" spans="1:38" ht="15" customHeight="1">
      <c r="A232" s="184" t="s">
        <v>318</v>
      </c>
      <c r="B232" s="185">
        <v>34</v>
      </c>
      <c r="C232" s="187">
        <f>IFERROR(C231/C207,"")</f>
        <v>0</v>
      </c>
      <c r="D232" s="187">
        <f t="shared" ref="D232:AL232" si="26">IFERROR(D231/D207,"")</f>
        <v>0</v>
      </c>
      <c r="E232" s="187">
        <f t="shared" si="26"/>
        <v>0</v>
      </c>
      <c r="F232" s="187">
        <f t="shared" si="26"/>
        <v>0</v>
      </c>
      <c r="G232" s="187">
        <f t="shared" si="26"/>
        <v>0</v>
      </c>
      <c r="H232" s="187">
        <f t="shared" si="26"/>
        <v>0</v>
      </c>
      <c r="I232" s="187">
        <f t="shared" si="26"/>
        <v>0</v>
      </c>
      <c r="J232" s="187">
        <f t="shared" si="26"/>
        <v>0</v>
      </c>
      <c r="K232" s="187">
        <f t="shared" si="26"/>
        <v>0</v>
      </c>
      <c r="L232" s="187">
        <f t="shared" si="26"/>
        <v>0</v>
      </c>
      <c r="M232" s="187">
        <f t="shared" si="26"/>
        <v>0</v>
      </c>
      <c r="N232" s="187">
        <f t="shared" si="26"/>
        <v>0</v>
      </c>
      <c r="O232" s="187">
        <f t="shared" si="26"/>
        <v>0</v>
      </c>
      <c r="P232" s="187">
        <f t="shared" si="26"/>
        <v>0</v>
      </c>
      <c r="Q232" s="187">
        <f t="shared" si="26"/>
        <v>0</v>
      </c>
      <c r="R232" s="187">
        <f t="shared" si="26"/>
        <v>0</v>
      </c>
      <c r="S232" s="187">
        <f t="shared" si="26"/>
        <v>0</v>
      </c>
      <c r="T232" s="187">
        <f t="shared" si="26"/>
        <v>0</v>
      </c>
      <c r="U232" s="187">
        <f t="shared" si="26"/>
        <v>0</v>
      </c>
      <c r="V232" s="187">
        <f t="shared" si="26"/>
        <v>0</v>
      </c>
      <c r="W232" s="187">
        <f t="shared" si="26"/>
        <v>0</v>
      </c>
      <c r="X232" s="187">
        <f t="shared" si="26"/>
        <v>0</v>
      </c>
      <c r="Y232" s="187">
        <f t="shared" si="26"/>
        <v>0</v>
      </c>
      <c r="Z232" s="187">
        <v>0</v>
      </c>
      <c r="AA232" s="187">
        <f t="shared" si="26"/>
        <v>0</v>
      </c>
      <c r="AB232" s="187">
        <f t="shared" si="26"/>
        <v>0</v>
      </c>
      <c r="AC232" s="187">
        <f t="shared" si="26"/>
        <v>0</v>
      </c>
      <c r="AD232" s="187">
        <f t="shared" si="26"/>
        <v>0</v>
      </c>
      <c r="AE232" s="187">
        <f t="shared" si="26"/>
        <v>0</v>
      </c>
      <c r="AF232" s="187">
        <f t="shared" si="26"/>
        <v>0</v>
      </c>
      <c r="AG232" s="187">
        <f t="shared" si="26"/>
        <v>0</v>
      </c>
      <c r="AH232" s="187">
        <f t="shared" si="26"/>
        <v>0</v>
      </c>
      <c r="AI232" s="187">
        <f t="shared" si="26"/>
        <v>0</v>
      </c>
      <c r="AJ232" s="187">
        <f t="shared" si="26"/>
        <v>0</v>
      </c>
      <c r="AK232" s="187">
        <f t="shared" si="26"/>
        <v>0</v>
      </c>
      <c r="AL232" s="187">
        <f t="shared" si="26"/>
        <v>0</v>
      </c>
    </row>
    <row r="233" spans="1:38" ht="15" customHeight="1">
      <c r="A233" s="181" t="s">
        <v>319</v>
      </c>
      <c r="B233" s="182">
        <v>35</v>
      </c>
      <c r="C233" s="183">
        <f t="shared" ref="C233:AL233" si="27">C153</f>
        <v>-189720453</v>
      </c>
      <c r="D233" s="183">
        <f t="shared" si="27"/>
        <v>-175133271</v>
      </c>
      <c r="E233" s="183">
        <f t="shared" si="27"/>
        <v>50321786</v>
      </c>
      <c r="F233" s="183">
        <f t="shared" si="27"/>
        <v>-141447382</v>
      </c>
      <c r="G233" s="183">
        <f t="shared" si="27"/>
        <v>2058676</v>
      </c>
      <c r="H233" s="183">
        <f t="shared" si="27"/>
        <v>-195661702</v>
      </c>
      <c r="I233" s="183">
        <f t="shared" si="27"/>
        <v>-394602818</v>
      </c>
      <c r="J233" s="183">
        <f t="shared" si="27"/>
        <v>-400967893</v>
      </c>
      <c r="K233" s="183">
        <f t="shared" si="27"/>
        <v>-307075455</v>
      </c>
      <c r="L233" s="183">
        <f t="shared" si="27"/>
        <v>-236792330</v>
      </c>
      <c r="M233" s="183">
        <f t="shared" si="27"/>
        <v>-887402180</v>
      </c>
      <c r="N233" s="183">
        <f t="shared" si="27"/>
        <v>-276824257</v>
      </c>
      <c r="O233" s="183">
        <f t="shared" si="27"/>
        <v>-420514291</v>
      </c>
      <c r="P233" s="183">
        <f t="shared" si="27"/>
        <v>-49880621</v>
      </c>
      <c r="Q233" s="183">
        <f t="shared" si="27"/>
        <v>80525775</v>
      </c>
      <c r="R233" s="183">
        <f t="shared" si="27"/>
        <v>290833926</v>
      </c>
      <c r="S233" s="183">
        <f t="shared" si="27"/>
        <v>-34811546</v>
      </c>
      <c r="T233" s="183">
        <f t="shared" si="27"/>
        <v>618754242</v>
      </c>
      <c r="U233" s="183">
        <f t="shared" si="27"/>
        <v>969513402</v>
      </c>
      <c r="V233" s="183">
        <f t="shared" si="27"/>
        <v>1504531335</v>
      </c>
      <c r="W233" s="183">
        <f t="shared" si="27"/>
        <v>-44927274</v>
      </c>
      <c r="X233" s="183">
        <f t="shared" si="27"/>
        <v>203950321</v>
      </c>
      <c r="Y233" s="183">
        <f t="shared" si="27"/>
        <v>108418363</v>
      </c>
      <c r="Z233" s="183">
        <v>144125067</v>
      </c>
      <c r="AA233" s="183">
        <f t="shared" si="27"/>
        <v>-398961519.46358591</v>
      </c>
      <c r="AB233" s="183">
        <f t="shared" si="27"/>
        <v>-1620401480.9183569</v>
      </c>
      <c r="AC233" s="183">
        <f t="shared" si="27"/>
        <v>-1066797324.3016038</v>
      </c>
      <c r="AD233" s="183">
        <f t="shared" si="27"/>
        <v>-658970073.14220464</v>
      </c>
      <c r="AE233" s="183">
        <f t="shared" si="27"/>
        <v>-699138914.25331533</v>
      </c>
      <c r="AF233" s="183">
        <f t="shared" si="27"/>
        <v>-684233978.55348682</v>
      </c>
      <c r="AG233" s="183">
        <f t="shared" si="27"/>
        <v>-671236943.37217617</v>
      </c>
      <c r="AH233" s="183">
        <f t="shared" si="27"/>
        <v>-980932657.55348694</v>
      </c>
      <c r="AI233" s="183">
        <f t="shared" si="27"/>
        <v>-894643115.58277607</v>
      </c>
      <c r="AJ233" s="183">
        <f t="shared" si="27"/>
        <v>-637000059.03884029</v>
      </c>
      <c r="AK233" s="183">
        <f t="shared" si="27"/>
        <v>-803654994.40146351</v>
      </c>
      <c r="AL233" s="183">
        <f t="shared" si="27"/>
        <v>-660028703.03884029</v>
      </c>
    </row>
    <row r="234" spans="1:38" ht="15" customHeight="1">
      <c r="A234" s="184" t="s">
        <v>320</v>
      </c>
      <c r="B234" s="185">
        <v>36</v>
      </c>
      <c r="C234" s="187">
        <f t="shared" ref="C234:AL234" si="28">IFERROR(C233/C207,"")</f>
        <v>-2.2583848855988298E-2</v>
      </c>
      <c r="D234" s="187">
        <f t="shared" si="28"/>
        <v>-4.4549855936194954E-2</v>
      </c>
      <c r="E234" s="187">
        <f t="shared" si="28"/>
        <v>8.7232918690624203E-3</v>
      </c>
      <c r="F234" s="187">
        <f t="shared" si="28"/>
        <v>-2.4348469209486884E-2</v>
      </c>
      <c r="G234" s="187">
        <f t="shared" si="28"/>
        <v>2.1702871625843824E-4</v>
      </c>
      <c r="H234" s="187">
        <f t="shared" si="28"/>
        <v>-3.1655700735051077E-2</v>
      </c>
      <c r="I234" s="187">
        <f t="shared" si="28"/>
        <v>-9.4490704010582113E-2</v>
      </c>
      <c r="J234" s="187">
        <f t="shared" si="28"/>
        <v>-0.11058889107694073</v>
      </c>
      <c r="K234" s="187">
        <f t="shared" si="28"/>
        <v>-7.8311222862074273E-2</v>
      </c>
      <c r="L234" s="187">
        <f t="shared" si="28"/>
        <v>-5.4693168890654259E-2</v>
      </c>
      <c r="M234" s="187">
        <f t="shared" si="28"/>
        <v>-0.18995066079025466</v>
      </c>
      <c r="N234" s="187">
        <f t="shared" si="28"/>
        <v>-7.5849722479553475E-2</v>
      </c>
      <c r="O234" s="187">
        <f t="shared" si="28"/>
        <v>-0.19254050494455829</v>
      </c>
      <c r="P234" s="187">
        <f t="shared" si="28"/>
        <v>-1.0166896465458548E-2</v>
      </c>
      <c r="Q234" s="187">
        <f t="shared" si="28"/>
        <v>1.2713951104673184E-2</v>
      </c>
      <c r="R234" s="187">
        <f t="shared" si="28"/>
        <v>3.7252643312193523E-2</v>
      </c>
      <c r="S234" s="187">
        <f t="shared" si="28"/>
        <v>-4.7169176886647695E-3</v>
      </c>
      <c r="T234" s="187">
        <f t="shared" si="28"/>
        <v>5.8612118600106684E-2</v>
      </c>
      <c r="U234" s="187">
        <f t="shared" si="28"/>
        <v>7.5301128487034144E-2</v>
      </c>
      <c r="V234" s="187">
        <f t="shared" si="28"/>
        <v>0.10931535310099226</v>
      </c>
      <c r="W234" s="187">
        <f t="shared" si="28"/>
        <v>-4.5358558413874745E-3</v>
      </c>
      <c r="X234" s="187">
        <f t="shared" si="28"/>
        <v>2.9120332606646891E-2</v>
      </c>
      <c r="Y234" s="187">
        <f t="shared" si="28"/>
        <v>1.811277519571515E-2</v>
      </c>
      <c r="Z234" s="187">
        <v>1.9257432029146485E-2</v>
      </c>
      <c r="AA234" s="187">
        <f t="shared" si="28"/>
        <v>-3.5244971715044919E-2</v>
      </c>
      <c r="AB234" s="187">
        <f t="shared" si="28"/>
        <v>-0.21710955164833173</v>
      </c>
      <c r="AC234" s="187">
        <f t="shared" si="28"/>
        <v>-7.3373817603917826E-2</v>
      </c>
      <c r="AD234" s="187">
        <f t="shared" si="28"/>
        <v>-4.0912181182278656E-2</v>
      </c>
      <c r="AE234" s="187">
        <f t="shared" si="28"/>
        <v>-4.3406065157287767E-2</v>
      </c>
      <c r="AF234" s="187">
        <f t="shared" si="28"/>
        <v>-4.0846818920378336E-2</v>
      </c>
      <c r="AG234" s="187">
        <f t="shared" si="28"/>
        <v>-3.8586824324844157E-2</v>
      </c>
      <c r="AH234" s="187">
        <f t="shared" si="28"/>
        <v>-5.855888466819343E-2</v>
      </c>
      <c r="AI234" s="187">
        <f t="shared" si="28"/>
        <v>-5.7858281952001156E-2</v>
      </c>
      <c r="AJ234" s="187">
        <f t="shared" si="28"/>
        <v>-3.6618677824200876E-2</v>
      </c>
      <c r="AK234" s="187">
        <f t="shared" si="28"/>
        <v>-4.9894949830142775E-2</v>
      </c>
      <c r="AL234" s="187">
        <f t="shared" si="28"/>
        <v>-3.794250579469844E-2</v>
      </c>
    </row>
    <row r="235" spans="1:38" ht="15" customHeight="1">
      <c r="A235" s="193" t="s">
        <v>321</v>
      </c>
      <c r="B235" s="146">
        <v>37</v>
      </c>
      <c r="C235" s="183">
        <f t="shared" ref="C235:AL235" si="29">C144</f>
        <v>80500000</v>
      </c>
      <c r="D235" s="183">
        <f t="shared" si="29"/>
        <v>92396800</v>
      </c>
      <c r="E235" s="183">
        <f t="shared" si="29"/>
        <v>121389600</v>
      </c>
      <c r="F235" s="183">
        <f t="shared" si="29"/>
        <v>78000000</v>
      </c>
      <c r="G235" s="183">
        <f t="shared" si="29"/>
        <v>146000000</v>
      </c>
      <c r="H235" s="183">
        <f t="shared" si="29"/>
        <v>115500000</v>
      </c>
      <c r="I235" s="183">
        <f t="shared" si="29"/>
        <v>64000000</v>
      </c>
      <c r="J235" s="183">
        <f t="shared" si="29"/>
        <v>54000000</v>
      </c>
      <c r="K235" s="183">
        <f t="shared" si="29"/>
        <v>57900000</v>
      </c>
      <c r="L235" s="183">
        <f t="shared" si="29"/>
        <v>75900000</v>
      </c>
      <c r="M235" s="183">
        <f t="shared" si="29"/>
        <v>79200000</v>
      </c>
      <c r="N235" s="183">
        <f t="shared" si="29"/>
        <v>75900000</v>
      </c>
      <c r="O235" s="183">
        <f t="shared" si="29"/>
        <v>46200000</v>
      </c>
      <c r="P235" s="183">
        <f t="shared" si="29"/>
        <v>111100000</v>
      </c>
      <c r="Q235" s="183">
        <f t="shared" si="29"/>
        <v>142500000</v>
      </c>
      <c r="R235" s="183">
        <f t="shared" si="29"/>
        <v>161600000</v>
      </c>
      <c r="S235" s="183">
        <f t="shared" si="29"/>
        <v>157100000</v>
      </c>
      <c r="T235" s="183">
        <f t="shared" si="29"/>
        <v>207400000</v>
      </c>
      <c r="U235" s="183">
        <f t="shared" si="29"/>
        <v>261000000</v>
      </c>
      <c r="V235" s="183">
        <f t="shared" si="29"/>
        <v>278300000</v>
      </c>
      <c r="W235" s="183">
        <f t="shared" si="29"/>
        <v>246900000</v>
      </c>
      <c r="X235" s="183">
        <f t="shared" si="29"/>
        <v>175300000</v>
      </c>
      <c r="Y235" s="183">
        <f t="shared" si="29"/>
        <v>144200000</v>
      </c>
      <c r="Z235" s="183">
        <v>193700000</v>
      </c>
      <c r="AA235" s="183">
        <f t="shared" si="29"/>
        <v>319592000</v>
      </c>
      <c r="AB235" s="183">
        <f t="shared" si="29"/>
        <v>158213760</v>
      </c>
      <c r="AC235" s="183">
        <f t="shared" si="29"/>
        <v>308129327.99999994</v>
      </c>
      <c r="AD235" s="183">
        <f t="shared" si="29"/>
        <v>329198000</v>
      </c>
      <c r="AE235" s="183">
        <f t="shared" si="29"/>
        <v>329198000</v>
      </c>
      <c r="AF235" s="183">
        <f t="shared" si="29"/>
        <v>342365920</v>
      </c>
      <c r="AG235" s="183">
        <f t="shared" si="29"/>
        <v>355533840</v>
      </c>
      <c r="AH235" s="183">
        <f t="shared" si="29"/>
        <v>342365920</v>
      </c>
      <c r="AI235" s="183">
        <f t="shared" si="29"/>
        <v>316030080</v>
      </c>
      <c r="AJ235" s="183">
        <f t="shared" si="29"/>
        <v>355533840</v>
      </c>
      <c r="AK235" s="183">
        <f t="shared" si="29"/>
        <v>329198000</v>
      </c>
      <c r="AL235" s="183">
        <f t="shared" si="29"/>
        <v>355533840</v>
      </c>
    </row>
    <row r="236" spans="1:38" ht="15" customHeight="1">
      <c r="A236" s="190" t="s">
        <v>322</v>
      </c>
      <c r="B236" s="191">
        <v>38</v>
      </c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>
        <v>0</v>
      </c>
      <c r="AA236" s="189">
        <f>SUMIFS([1]!Data_PL_Element[Value],[1]!Data_PL_Element[Index PL Element],'Dong Lam'!$B236,[1]!Data_PL_Element[TenCongTyID],'Dong Lam'!$B$1,[1]!Data_PL_Element[Thang.Nam],'Dong Lam'!AA$198)</f>
        <v>0</v>
      </c>
      <c r="AB236" s="189">
        <f>SUMIFS([1]!Data_PL_Element[Value],[1]!Data_PL_Element[Index PL Element],'Dong Lam'!$B236,[1]!Data_PL_Element[TenCongTyID],'Dong Lam'!$B$1,[1]!Data_PL_Element[Thang.Nam],'Dong Lam'!AB$198)</f>
        <v>0</v>
      </c>
      <c r="AC236" s="189">
        <f>SUMIFS([1]!Data_PL_Element[Value],[1]!Data_PL_Element[Index PL Element],'Dong Lam'!$B236,[1]!Data_PL_Element[TenCongTyID],'Dong Lam'!$B$1,[1]!Data_PL_Element[Thang.Nam],'Dong Lam'!AC$198)</f>
        <v>0</v>
      </c>
      <c r="AD236" s="189">
        <f>SUMIFS([1]!Data_PL_Element[Value],[1]!Data_PL_Element[Index PL Element],'Dong Lam'!$B236,[1]!Data_PL_Element[TenCongTyID],'Dong Lam'!$B$1,[1]!Data_PL_Element[Thang.Nam],'Dong Lam'!AD$198)</f>
        <v>0</v>
      </c>
      <c r="AE236" s="189">
        <f>SUMIFS([1]!Data_PL_Element[Value],[1]!Data_PL_Element[Index PL Element],'Dong Lam'!$B236,[1]!Data_PL_Element[TenCongTyID],'Dong Lam'!$B$1,[1]!Data_PL_Element[Thang.Nam],'Dong Lam'!AE$198)</f>
        <v>0</v>
      </c>
      <c r="AF236" s="189">
        <f>SUMIFS([1]!Data_PL_Element[Value],[1]!Data_PL_Element[Index PL Element],'Dong Lam'!$B236,[1]!Data_PL_Element[TenCongTyID],'Dong Lam'!$B$1,[1]!Data_PL_Element[Thang.Nam],'Dong Lam'!AF$198)</f>
        <v>0</v>
      </c>
      <c r="AG236" s="189">
        <f>SUMIFS([1]!Data_PL_Element[Value],[1]!Data_PL_Element[Index PL Element],'Dong Lam'!$B236,[1]!Data_PL_Element[TenCongTyID],'Dong Lam'!$B$1,[1]!Data_PL_Element[Thang.Nam],'Dong Lam'!AG$198)</f>
        <v>0</v>
      </c>
      <c r="AH236" s="189">
        <f>SUMIFS([1]!Data_PL_Element[Value],[1]!Data_PL_Element[Index PL Element],'Dong Lam'!$B236,[1]!Data_PL_Element[TenCongTyID],'Dong Lam'!$B$1,[1]!Data_PL_Element[Thang.Nam],'Dong Lam'!AH$198)</f>
        <v>0</v>
      </c>
      <c r="AI236" s="189">
        <f>SUMIFS([1]!Data_PL_Element[Value],[1]!Data_PL_Element[Index PL Element],'Dong Lam'!$B236,[1]!Data_PL_Element[TenCongTyID],'Dong Lam'!$B$1,[1]!Data_PL_Element[Thang.Nam],'Dong Lam'!AI$198)</f>
        <v>0</v>
      </c>
      <c r="AJ236" s="189">
        <f>SUMIFS([1]!Data_PL_Element[Value],[1]!Data_PL_Element[Index PL Element],'Dong Lam'!$B236,[1]!Data_PL_Element[TenCongTyID],'Dong Lam'!$B$1,[1]!Data_PL_Element[Thang.Nam],'Dong Lam'!AJ$198)</f>
        <v>0</v>
      </c>
      <c r="AK236" s="189">
        <f>SUMIFS([1]!Data_PL_Element[Value],[1]!Data_PL_Element[Index PL Element],'Dong Lam'!$B236,[1]!Data_PL_Element[TenCongTyID],'Dong Lam'!$B$1,[1]!Data_PL_Element[Thang.Nam],'Dong Lam'!AK$198)</f>
        <v>0</v>
      </c>
      <c r="AL236" s="189">
        <f>SUMIFS([1]!Data_PL_Element[Value],[1]!Data_PL_Element[Index PL Element],'Dong Lam'!$B236,[1]!Data_PL_Element[TenCongTyID],'Dong Lam'!$B$1,[1]!Data_PL_Element[Thang.Nam],'Dong Lam'!AL$198)</f>
        <v>0</v>
      </c>
    </row>
    <row r="237" spans="1:38" ht="15" customHeight="1">
      <c r="A237" s="190" t="s">
        <v>323</v>
      </c>
      <c r="B237" s="191">
        <v>39</v>
      </c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>
        <v>0</v>
      </c>
      <c r="AA237" s="189">
        <f>SUMIFS([1]!Data_PL_Element[Value],[1]!Data_PL_Element[Index PL Element],'Dong Lam'!$B237,[1]!Data_PL_Element[TenCongTyID],'Dong Lam'!$B$1,[1]!Data_PL_Element[Thang.Nam],'Dong Lam'!AA$198)</f>
        <v>0</v>
      </c>
      <c r="AB237" s="189">
        <f>SUMIFS([1]!Data_PL_Element[Value],[1]!Data_PL_Element[Index PL Element],'Dong Lam'!$B237,[1]!Data_PL_Element[TenCongTyID],'Dong Lam'!$B$1,[1]!Data_PL_Element[Thang.Nam],'Dong Lam'!AB$198)</f>
        <v>0</v>
      </c>
      <c r="AC237" s="189">
        <f>SUMIFS([1]!Data_PL_Element[Value],[1]!Data_PL_Element[Index PL Element],'Dong Lam'!$B237,[1]!Data_PL_Element[TenCongTyID],'Dong Lam'!$B$1,[1]!Data_PL_Element[Thang.Nam],'Dong Lam'!AC$198)</f>
        <v>0</v>
      </c>
      <c r="AD237" s="189">
        <f>SUMIFS([1]!Data_PL_Element[Value],[1]!Data_PL_Element[Index PL Element],'Dong Lam'!$B237,[1]!Data_PL_Element[TenCongTyID],'Dong Lam'!$B$1,[1]!Data_PL_Element[Thang.Nam],'Dong Lam'!AD$198)</f>
        <v>0</v>
      </c>
      <c r="AE237" s="189">
        <f>SUMIFS([1]!Data_PL_Element[Value],[1]!Data_PL_Element[Index PL Element],'Dong Lam'!$B237,[1]!Data_PL_Element[TenCongTyID],'Dong Lam'!$B$1,[1]!Data_PL_Element[Thang.Nam],'Dong Lam'!AE$198)</f>
        <v>0</v>
      </c>
      <c r="AF237" s="189">
        <f>SUMIFS([1]!Data_PL_Element[Value],[1]!Data_PL_Element[Index PL Element],'Dong Lam'!$B237,[1]!Data_PL_Element[TenCongTyID],'Dong Lam'!$B$1,[1]!Data_PL_Element[Thang.Nam],'Dong Lam'!AF$198)</f>
        <v>0</v>
      </c>
      <c r="AG237" s="189">
        <f>SUMIFS([1]!Data_PL_Element[Value],[1]!Data_PL_Element[Index PL Element],'Dong Lam'!$B237,[1]!Data_PL_Element[TenCongTyID],'Dong Lam'!$B$1,[1]!Data_PL_Element[Thang.Nam],'Dong Lam'!AG$198)</f>
        <v>0</v>
      </c>
      <c r="AH237" s="189">
        <f>SUMIFS([1]!Data_PL_Element[Value],[1]!Data_PL_Element[Index PL Element],'Dong Lam'!$B237,[1]!Data_PL_Element[TenCongTyID],'Dong Lam'!$B$1,[1]!Data_PL_Element[Thang.Nam],'Dong Lam'!AH$198)</f>
        <v>0</v>
      </c>
      <c r="AI237" s="189">
        <f>SUMIFS([1]!Data_PL_Element[Value],[1]!Data_PL_Element[Index PL Element],'Dong Lam'!$B237,[1]!Data_PL_Element[TenCongTyID],'Dong Lam'!$B$1,[1]!Data_PL_Element[Thang.Nam],'Dong Lam'!AI$198)</f>
        <v>0</v>
      </c>
      <c r="AJ237" s="189">
        <f>SUMIFS([1]!Data_PL_Element[Value],[1]!Data_PL_Element[Index PL Element],'Dong Lam'!$B237,[1]!Data_PL_Element[TenCongTyID],'Dong Lam'!$B$1,[1]!Data_PL_Element[Thang.Nam],'Dong Lam'!AJ$198)</f>
        <v>0</v>
      </c>
      <c r="AK237" s="189">
        <f>SUMIFS([1]!Data_PL_Element[Value],[1]!Data_PL_Element[Index PL Element],'Dong Lam'!$B237,[1]!Data_PL_Element[TenCongTyID],'Dong Lam'!$B$1,[1]!Data_PL_Element[Thang.Nam],'Dong Lam'!AK$198)</f>
        <v>0</v>
      </c>
      <c r="AL237" s="189">
        <f>SUMIFS([1]!Data_PL_Element[Value],[1]!Data_PL_Element[Index PL Element],'Dong Lam'!$B237,[1]!Data_PL_Element[TenCongTyID],'Dong Lam'!$B$1,[1]!Data_PL_Element[Thang.Nam],'Dong Lam'!AL$198)</f>
        <v>0</v>
      </c>
    </row>
    <row r="238" spans="1:38" ht="15" customHeight="1">
      <c r="A238" s="190" t="s">
        <v>324</v>
      </c>
      <c r="B238" s="191">
        <v>40</v>
      </c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>
        <v>0</v>
      </c>
      <c r="AA238" s="189">
        <f>SUMIFS([1]!Data_PL_Element[Value],[1]!Data_PL_Element[Index PL Element],'Dong Lam'!$B238,[1]!Data_PL_Element[TenCongTyID],'Dong Lam'!$B$1,[1]!Data_PL_Element[Thang.Nam],'Dong Lam'!AA$198)</f>
        <v>0</v>
      </c>
      <c r="AB238" s="189">
        <f>SUMIFS([1]!Data_PL_Element[Value],[1]!Data_PL_Element[Index PL Element],'Dong Lam'!$B238,[1]!Data_PL_Element[TenCongTyID],'Dong Lam'!$B$1,[1]!Data_PL_Element[Thang.Nam],'Dong Lam'!AB$198)</f>
        <v>0</v>
      </c>
      <c r="AC238" s="189">
        <f>SUMIFS([1]!Data_PL_Element[Value],[1]!Data_PL_Element[Index PL Element],'Dong Lam'!$B238,[1]!Data_PL_Element[TenCongTyID],'Dong Lam'!$B$1,[1]!Data_PL_Element[Thang.Nam],'Dong Lam'!AC$198)</f>
        <v>0</v>
      </c>
      <c r="AD238" s="189">
        <f>SUMIFS([1]!Data_PL_Element[Value],[1]!Data_PL_Element[Index PL Element],'Dong Lam'!$B238,[1]!Data_PL_Element[TenCongTyID],'Dong Lam'!$B$1,[1]!Data_PL_Element[Thang.Nam],'Dong Lam'!AD$198)</f>
        <v>0</v>
      </c>
      <c r="AE238" s="189">
        <f>SUMIFS([1]!Data_PL_Element[Value],[1]!Data_PL_Element[Index PL Element],'Dong Lam'!$B238,[1]!Data_PL_Element[TenCongTyID],'Dong Lam'!$B$1,[1]!Data_PL_Element[Thang.Nam],'Dong Lam'!AE$198)</f>
        <v>0</v>
      </c>
      <c r="AF238" s="189">
        <f>SUMIFS([1]!Data_PL_Element[Value],[1]!Data_PL_Element[Index PL Element],'Dong Lam'!$B238,[1]!Data_PL_Element[TenCongTyID],'Dong Lam'!$B$1,[1]!Data_PL_Element[Thang.Nam],'Dong Lam'!AF$198)</f>
        <v>0</v>
      </c>
      <c r="AG238" s="189">
        <f>SUMIFS([1]!Data_PL_Element[Value],[1]!Data_PL_Element[Index PL Element],'Dong Lam'!$B238,[1]!Data_PL_Element[TenCongTyID],'Dong Lam'!$B$1,[1]!Data_PL_Element[Thang.Nam],'Dong Lam'!AG$198)</f>
        <v>0</v>
      </c>
      <c r="AH238" s="189">
        <f>SUMIFS([1]!Data_PL_Element[Value],[1]!Data_PL_Element[Index PL Element],'Dong Lam'!$B238,[1]!Data_PL_Element[TenCongTyID],'Dong Lam'!$B$1,[1]!Data_PL_Element[Thang.Nam],'Dong Lam'!AH$198)</f>
        <v>0</v>
      </c>
      <c r="AI238" s="189">
        <f>SUMIFS([1]!Data_PL_Element[Value],[1]!Data_PL_Element[Index PL Element],'Dong Lam'!$B238,[1]!Data_PL_Element[TenCongTyID],'Dong Lam'!$B$1,[1]!Data_PL_Element[Thang.Nam],'Dong Lam'!AI$198)</f>
        <v>0</v>
      </c>
      <c r="AJ238" s="189">
        <f>SUMIFS([1]!Data_PL_Element[Value],[1]!Data_PL_Element[Index PL Element],'Dong Lam'!$B238,[1]!Data_PL_Element[TenCongTyID],'Dong Lam'!$B$1,[1]!Data_PL_Element[Thang.Nam],'Dong Lam'!AJ$198)</f>
        <v>0</v>
      </c>
      <c r="AK238" s="189">
        <f>SUMIFS([1]!Data_PL_Element[Value],[1]!Data_PL_Element[Index PL Element],'Dong Lam'!$B238,[1]!Data_PL_Element[TenCongTyID],'Dong Lam'!$B$1,[1]!Data_PL_Element[Thang.Nam],'Dong Lam'!AK$198)</f>
        <v>0</v>
      </c>
      <c r="AL238" s="189">
        <f>SUMIFS([1]!Data_PL_Element[Value],[1]!Data_PL_Element[Index PL Element],'Dong Lam'!$B238,[1]!Data_PL_Element[TenCongTyID],'Dong Lam'!$B$1,[1]!Data_PL_Element[Thang.Nam],'Dong Lam'!AL$198)</f>
        <v>0</v>
      </c>
    </row>
    <row r="239" spans="1:38" ht="15" customHeight="1">
      <c r="A239" s="190" t="s">
        <v>325</v>
      </c>
      <c r="B239" s="191">
        <v>41</v>
      </c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>
        <v>46200000</v>
      </c>
      <c r="P239" s="189">
        <v>111100000</v>
      </c>
      <c r="Q239" s="189">
        <v>142500000</v>
      </c>
      <c r="R239" s="189">
        <v>161600000</v>
      </c>
      <c r="S239" s="189">
        <v>157100000</v>
      </c>
      <c r="T239" s="189">
        <v>207400000</v>
      </c>
      <c r="U239" s="189">
        <v>261000000</v>
      </c>
      <c r="V239" s="189">
        <v>278300000</v>
      </c>
      <c r="W239" s="189">
        <v>246900000</v>
      </c>
      <c r="X239" s="189">
        <v>175300000</v>
      </c>
      <c r="Y239" s="189">
        <f>Y235</f>
        <v>144200000</v>
      </c>
      <c r="Z239" s="189">
        <v>193700000</v>
      </c>
      <c r="AA239" s="189">
        <f>SUMIFS([1]!Data_PL_Element[Value],[1]!Data_PL_Element[Index PL Element],'Dong Lam'!$B239,[1]!Data_PL_Element[TenCongTyID],'Dong Lam'!$B$1,[1]!Data_PL_Element[Thang.Nam],'Dong Lam'!AA$198)</f>
        <v>0</v>
      </c>
      <c r="AB239" s="189">
        <f>SUMIFS([1]!Data_PL_Element[Value],[1]!Data_PL_Element[Index PL Element],'Dong Lam'!$B239,[1]!Data_PL_Element[TenCongTyID],'Dong Lam'!$B$1,[1]!Data_PL_Element[Thang.Nam],'Dong Lam'!AB$198)</f>
        <v>0</v>
      </c>
      <c r="AC239" s="189">
        <f>SUMIFS([1]!Data_PL_Element[Value],[1]!Data_PL_Element[Index PL Element],'Dong Lam'!$B239,[1]!Data_PL_Element[TenCongTyID],'Dong Lam'!$B$1,[1]!Data_PL_Element[Thang.Nam],'Dong Lam'!AC$198)</f>
        <v>0</v>
      </c>
      <c r="AD239" s="189">
        <f>SUMIFS([1]!Data_PL_Element[Value],[1]!Data_PL_Element[Index PL Element],'Dong Lam'!$B239,[1]!Data_PL_Element[TenCongTyID],'Dong Lam'!$B$1,[1]!Data_PL_Element[Thang.Nam],'Dong Lam'!AD$198)</f>
        <v>0</v>
      </c>
      <c r="AE239" s="189">
        <f>SUMIFS([1]!Data_PL_Element[Value],[1]!Data_PL_Element[Index PL Element],'Dong Lam'!$B239,[1]!Data_PL_Element[TenCongTyID],'Dong Lam'!$B$1,[1]!Data_PL_Element[Thang.Nam],'Dong Lam'!AE$198)</f>
        <v>0</v>
      </c>
      <c r="AF239" s="189">
        <f>SUMIFS([1]!Data_PL_Element[Value],[1]!Data_PL_Element[Index PL Element],'Dong Lam'!$B239,[1]!Data_PL_Element[TenCongTyID],'Dong Lam'!$B$1,[1]!Data_PL_Element[Thang.Nam],'Dong Lam'!AF$198)</f>
        <v>0</v>
      </c>
      <c r="AG239" s="189">
        <f>SUMIFS([1]!Data_PL_Element[Value],[1]!Data_PL_Element[Index PL Element],'Dong Lam'!$B239,[1]!Data_PL_Element[TenCongTyID],'Dong Lam'!$B$1,[1]!Data_PL_Element[Thang.Nam],'Dong Lam'!AG$198)</f>
        <v>0</v>
      </c>
      <c r="AH239" s="189">
        <f>SUMIFS([1]!Data_PL_Element[Value],[1]!Data_PL_Element[Index PL Element],'Dong Lam'!$B239,[1]!Data_PL_Element[TenCongTyID],'Dong Lam'!$B$1,[1]!Data_PL_Element[Thang.Nam],'Dong Lam'!AH$198)</f>
        <v>0</v>
      </c>
      <c r="AI239" s="189">
        <f>SUMIFS([1]!Data_PL_Element[Value],[1]!Data_PL_Element[Index PL Element],'Dong Lam'!$B239,[1]!Data_PL_Element[TenCongTyID],'Dong Lam'!$B$1,[1]!Data_PL_Element[Thang.Nam],'Dong Lam'!AI$198)</f>
        <v>0</v>
      </c>
      <c r="AJ239" s="189">
        <f>SUMIFS([1]!Data_PL_Element[Value],[1]!Data_PL_Element[Index PL Element],'Dong Lam'!$B239,[1]!Data_PL_Element[TenCongTyID],'Dong Lam'!$B$1,[1]!Data_PL_Element[Thang.Nam],'Dong Lam'!AJ$198)</f>
        <v>0</v>
      </c>
      <c r="AK239" s="189">
        <f>SUMIFS([1]!Data_PL_Element[Value],[1]!Data_PL_Element[Index PL Element],'Dong Lam'!$B239,[1]!Data_PL_Element[TenCongTyID],'Dong Lam'!$B$1,[1]!Data_PL_Element[Thang.Nam],'Dong Lam'!AK$198)</f>
        <v>0</v>
      </c>
      <c r="AL239" s="189">
        <f>SUMIFS([1]!Data_PL_Element[Value],[1]!Data_PL_Element[Index PL Element],'Dong Lam'!$B239,[1]!Data_PL_Element[TenCongTyID],'Dong Lam'!$B$1,[1]!Data_PL_Element[Thang.Nam],'Dong Lam'!AL$198)</f>
        <v>0</v>
      </c>
    </row>
    <row r="240" spans="1:38" ht="15" customHeight="1">
      <c r="A240" s="190" t="s">
        <v>326</v>
      </c>
      <c r="B240" s="191">
        <v>42</v>
      </c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>
        <v>0</v>
      </c>
      <c r="AA240" s="189">
        <f>SUMIFS([1]!Data_PL_Element[Value],[1]!Data_PL_Element[Index PL Element],'Dong Lam'!$B240,[1]!Data_PL_Element[TenCongTyID],'Dong Lam'!$B$1,[1]!Data_PL_Element[Thang.Nam],'Dong Lam'!AA$198)</f>
        <v>0</v>
      </c>
      <c r="AB240" s="189">
        <f>SUMIFS([1]!Data_PL_Element[Value],[1]!Data_PL_Element[Index PL Element],'Dong Lam'!$B240,[1]!Data_PL_Element[TenCongTyID],'Dong Lam'!$B$1,[1]!Data_PL_Element[Thang.Nam],'Dong Lam'!AB$198)</f>
        <v>0</v>
      </c>
      <c r="AC240" s="189">
        <f>SUMIFS([1]!Data_PL_Element[Value],[1]!Data_PL_Element[Index PL Element],'Dong Lam'!$B240,[1]!Data_PL_Element[TenCongTyID],'Dong Lam'!$B$1,[1]!Data_PL_Element[Thang.Nam],'Dong Lam'!AC$198)</f>
        <v>0</v>
      </c>
      <c r="AD240" s="189">
        <f>SUMIFS([1]!Data_PL_Element[Value],[1]!Data_PL_Element[Index PL Element],'Dong Lam'!$B240,[1]!Data_PL_Element[TenCongTyID],'Dong Lam'!$B$1,[1]!Data_PL_Element[Thang.Nam],'Dong Lam'!AD$198)</f>
        <v>0</v>
      </c>
      <c r="AE240" s="189">
        <f>SUMIFS([1]!Data_PL_Element[Value],[1]!Data_PL_Element[Index PL Element],'Dong Lam'!$B240,[1]!Data_PL_Element[TenCongTyID],'Dong Lam'!$B$1,[1]!Data_PL_Element[Thang.Nam],'Dong Lam'!AE$198)</f>
        <v>0</v>
      </c>
      <c r="AF240" s="189">
        <f>SUMIFS([1]!Data_PL_Element[Value],[1]!Data_PL_Element[Index PL Element],'Dong Lam'!$B240,[1]!Data_PL_Element[TenCongTyID],'Dong Lam'!$B$1,[1]!Data_PL_Element[Thang.Nam],'Dong Lam'!AF$198)</f>
        <v>0</v>
      </c>
      <c r="AG240" s="189">
        <f>SUMIFS([1]!Data_PL_Element[Value],[1]!Data_PL_Element[Index PL Element],'Dong Lam'!$B240,[1]!Data_PL_Element[TenCongTyID],'Dong Lam'!$B$1,[1]!Data_PL_Element[Thang.Nam],'Dong Lam'!AG$198)</f>
        <v>0</v>
      </c>
      <c r="AH240" s="189">
        <f>SUMIFS([1]!Data_PL_Element[Value],[1]!Data_PL_Element[Index PL Element],'Dong Lam'!$B240,[1]!Data_PL_Element[TenCongTyID],'Dong Lam'!$B$1,[1]!Data_PL_Element[Thang.Nam],'Dong Lam'!AH$198)</f>
        <v>0</v>
      </c>
      <c r="AI240" s="189">
        <f>SUMIFS([1]!Data_PL_Element[Value],[1]!Data_PL_Element[Index PL Element],'Dong Lam'!$B240,[1]!Data_PL_Element[TenCongTyID],'Dong Lam'!$B$1,[1]!Data_PL_Element[Thang.Nam],'Dong Lam'!AI$198)</f>
        <v>0</v>
      </c>
      <c r="AJ240" s="189">
        <f>SUMIFS([1]!Data_PL_Element[Value],[1]!Data_PL_Element[Index PL Element],'Dong Lam'!$B240,[1]!Data_PL_Element[TenCongTyID],'Dong Lam'!$B$1,[1]!Data_PL_Element[Thang.Nam],'Dong Lam'!AJ$198)</f>
        <v>0</v>
      </c>
      <c r="AK240" s="189">
        <f>SUMIFS([1]!Data_PL_Element[Value],[1]!Data_PL_Element[Index PL Element],'Dong Lam'!$B240,[1]!Data_PL_Element[TenCongTyID],'Dong Lam'!$B$1,[1]!Data_PL_Element[Thang.Nam],'Dong Lam'!AK$198)</f>
        <v>0</v>
      </c>
      <c r="AL240" s="189">
        <f>SUMIFS([1]!Data_PL_Element[Value],[1]!Data_PL_Element[Index PL Element],'Dong Lam'!$B240,[1]!Data_PL_Element[TenCongTyID],'Dong Lam'!$B$1,[1]!Data_PL_Element[Thang.Nam],'Dong Lam'!AL$198)</f>
        <v>0</v>
      </c>
    </row>
    <row r="241" spans="1:38" ht="15" customHeight="1">
      <c r="A241" s="190" t="s">
        <v>327</v>
      </c>
      <c r="B241" s="191">
        <v>43</v>
      </c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>
        <v>0</v>
      </c>
      <c r="AA241" s="189">
        <f>SUMIFS([1]!Data_PL_Element[Value],[1]!Data_PL_Element[Index PL Element],'Dong Lam'!$B241,[1]!Data_PL_Element[TenCongTyID],'Dong Lam'!$B$1,[1]!Data_PL_Element[Thang.Nam],'Dong Lam'!AA$198)</f>
        <v>0</v>
      </c>
      <c r="AB241" s="189">
        <f>SUMIFS([1]!Data_PL_Element[Value],[1]!Data_PL_Element[Index PL Element],'Dong Lam'!$B241,[1]!Data_PL_Element[TenCongTyID],'Dong Lam'!$B$1,[1]!Data_PL_Element[Thang.Nam],'Dong Lam'!AB$198)</f>
        <v>0</v>
      </c>
      <c r="AC241" s="189">
        <f>SUMIFS([1]!Data_PL_Element[Value],[1]!Data_PL_Element[Index PL Element],'Dong Lam'!$B241,[1]!Data_PL_Element[TenCongTyID],'Dong Lam'!$B$1,[1]!Data_PL_Element[Thang.Nam],'Dong Lam'!AC$198)</f>
        <v>0</v>
      </c>
      <c r="AD241" s="189">
        <f>SUMIFS([1]!Data_PL_Element[Value],[1]!Data_PL_Element[Index PL Element],'Dong Lam'!$B241,[1]!Data_PL_Element[TenCongTyID],'Dong Lam'!$B$1,[1]!Data_PL_Element[Thang.Nam],'Dong Lam'!AD$198)</f>
        <v>0</v>
      </c>
      <c r="AE241" s="189">
        <f>SUMIFS([1]!Data_PL_Element[Value],[1]!Data_PL_Element[Index PL Element],'Dong Lam'!$B241,[1]!Data_PL_Element[TenCongTyID],'Dong Lam'!$B$1,[1]!Data_PL_Element[Thang.Nam],'Dong Lam'!AE$198)</f>
        <v>0</v>
      </c>
      <c r="AF241" s="189">
        <f>SUMIFS([1]!Data_PL_Element[Value],[1]!Data_PL_Element[Index PL Element],'Dong Lam'!$B241,[1]!Data_PL_Element[TenCongTyID],'Dong Lam'!$B$1,[1]!Data_PL_Element[Thang.Nam],'Dong Lam'!AF$198)</f>
        <v>0</v>
      </c>
      <c r="AG241" s="189">
        <f>SUMIFS([1]!Data_PL_Element[Value],[1]!Data_PL_Element[Index PL Element],'Dong Lam'!$B241,[1]!Data_PL_Element[TenCongTyID],'Dong Lam'!$B$1,[1]!Data_PL_Element[Thang.Nam],'Dong Lam'!AG$198)</f>
        <v>0</v>
      </c>
      <c r="AH241" s="189">
        <f>SUMIFS([1]!Data_PL_Element[Value],[1]!Data_PL_Element[Index PL Element],'Dong Lam'!$B241,[1]!Data_PL_Element[TenCongTyID],'Dong Lam'!$B$1,[1]!Data_PL_Element[Thang.Nam],'Dong Lam'!AH$198)</f>
        <v>0</v>
      </c>
      <c r="AI241" s="189">
        <f>SUMIFS([1]!Data_PL_Element[Value],[1]!Data_PL_Element[Index PL Element],'Dong Lam'!$B241,[1]!Data_PL_Element[TenCongTyID],'Dong Lam'!$B$1,[1]!Data_PL_Element[Thang.Nam],'Dong Lam'!AI$198)</f>
        <v>0</v>
      </c>
      <c r="AJ241" s="189">
        <f>SUMIFS([1]!Data_PL_Element[Value],[1]!Data_PL_Element[Index PL Element],'Dong Lam'!$B241,[1]!Data_PL_Element[TenCongTyID],'Dong Lam'!$B$1,[1]!Data_PL_Element[Thang.Nam],'Dong Lam'!AJ$198)</f>
        <v>0</v>
      </c>
      <c r="AK241" s="189">
        <f>SUMIFS([1]!Data_PL_Element[Value],[1]!Data_PL_Element[Index PL Element],'Dong Lam'!$B241,[1]!Data_PL_Element[TenCongTyID],'Dong Lam'!$B$1,[1]!Data_PL_Element[Thang.Nam],'Dong Lam'!AK$198)</f>
        <v>0</v>
      </c>
      <c r="AL241" s="189">
        <f>SUMIFS([1]!Data_PL_Element[Value],[1]!Data_PL_Element[Index PL Element],'Dong Lam'!$B241,[1]!Data_PL_Element[TenCongTyID],'Dong Lam'!$B$1,[1]!Data_PL_Element[Thang.Nam],'Dong Lam'!AL$198)</f>
        <v>0</v>
      </c>
    </row>
    <row r="242" spans="1:38" ht="15" customHeight="1">
      <c r="A242" s="190" t="s">
        <v>328</v>
      </c>
      <c r="B242" s="191">
        <v>44</v>
      </c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>
        <v>0</v>
      </c>
      <c r="AA242" s="189">
        <f>SUMIFS([1]!Data_PL_Element[Value],[1]!Data_PL_Element[Index PL Element],'Dong Lam'!$B242,[1]!Data_PL_Element[TenCongTyID],'Dong Lam'!$B$1,[1]!Data_PL_Element[Thang.Nam],'Dong Lam'!AA$198)</f>
        <v>0</v>
      </c>
      <c r="AB242" s="189">
        <f>SUMIFS([1]!Data_PL_Element[Value],[1]!Data_PL_Element[Index PL Element],'Dong Lam'!$B242,[1]!Data_PL_Element[TenCongTyID],'Dong Lam'!$B$1,[1]!Data_PL_Element[Thang.Nam],'Dong Lam'!AB$198)</f>
        <v>0</v>
      </c>
      <c r="AC242" s="189">
        <f>SUMIFS([1]!Data_PL_Element[Value],[1]!Data_PL_Element[Index PL Element],'Dong Lam'!$B242,[1]!Data_PL_Element[TenCongTyID],'Dong Lam'!$B$1,[1]!Data_PL_Element[Thang.Nam],'Dong Lam'!AC$198)</f>
        <v>0</v>
      </c>
      <c r="AD242" s="189">
        <f>SUMIFS([1]!Data_PL_Element[Value],[1]!Data_PL_Element[Index PL Element],'Dong Lam'!$B242,[1]!Data_PL_Element[TenCongTyID],'Dong Lam'!$B$1,[1]!Data_PL_Element[Thang.Nam],'Dong Lam'!AD$198)</f>
        <v>0</v>
      </c>
      <c r="AE242" s="189">
        <f>SUMIFS([1]!Data_PL_Element[Value],[1]!Data_PL_Element[Index PL Element],'Dong Lam'!$B242,[1]!Data_PL_Element[TenCongTyID],'Dong Lam'!$B$1,[1]!Data_PL_Element[Thang.Nam],'Dong Lam'!AE$198)</f>
        <v>0</v>
      </c>
      <c r="AF242" s="189">
        <f>SUMIFS([1]!Data_PL_Element[Value],[1]!Data_PL_Element[Index PL Element],'Dong Lam'!$B242,[1]!Data_PL_Element[TenCongTyID],'Dong Lam'!$B$1,[1]!Data_PL_Element[Thang.Nam],'Dong Lam'!AF$198)</f>
        <v>0</v>
      </c>
      <c r="AG242" s="189">
        <f>SUMIFS([1]!Data_PL_Element[Value],[1]!Data_PL_Element[Index PL Element],'Dong Lam'!$B242,[1]!Data_PL_Element[TenCongTyID],'Dong Lam'!$B$1,[1]!Data_PL_Element[Thang.Nam],'Dong Lam'!AG$198)</f>
        <v>0</v>
      </c>
      <c r="AH242" s="189">
        <f>SUMIFS([1]!Data_PL_Element[Value],[1]!Data_PL_Element[Index PL Element],'Dong Lam'!$B242,[1]!Data_PL_Element[TenCongTyID],'Dong Lam'!$B$1,[1]!Data_PL_Element[Thang.Nam],'Dong Lam'!AH$198)</f>
        <v>0</v>
      </c>
      <c r="AI242" s="189">
        <f>SUMIFS([1]!Data_PL_Element[Value],[1]!Data_PL_Element[Index PL Element],'Dong Lam'!$B242,[1]!Data_PL_Element[TenCongTyID],'Dong Lam'!$B$1,[1]!Data_PL_Element[Thang.Nam],'Dong Lam'!AI$198)</f>
        <v>0</v>
      </c>
      <c r="AJ242" s="189">
        <f>SUMIFS([1]!Data_PL_Element[Value],[1]!Data_PL_Element[Index PL Element],'Dong Lam'!$B242,[1]!Data_PL_Element[TenCongTyID],'Dong Lam'!$B$1,[1]!Data_PL_Element[Thang.Nam],'Dong Lam'!AJ$198)</f>
        <v>0</v>
      </c>
      <c r="AK242" s="189">
        <f>SUMIFS([1]!Data_PL_Element[Value],[1]!Data_PL_Element[Index PL Element],'Dong Lam'!$B242,[1]!Data_PL_Element[TenCongTyID],'Dong Lam'!$B$1,[1]!Data_PL_Element[Thang.Nam],'Dong Lam'!AK$198)</f>
        <v>0</v>
      </c>
      <c r="AL242" s="189">
        <f>SUMIFS([1]!Data_PL_Element[Value],[1]!Data_PL_Element[Index PL Element],'Dong Lam'!$B242,[1]!Data_PL_Element[TenCongTyID],'Dong Lam'!$B$1,[1]!Data_PL_Element[Thang.Nam],'Dong Lam'!AL$198)</f>
        <v>0</v>
      </c>
    </row>
    <row r="243" spans="1:38" ht="15" customHeight="1">
      <c r="A243" s="194" t="s">
        <v>329</v>
      </c>
      <c r="B243" s="171">
        <v>45</v>
      </c>
      <c r="C243" s="187">
        <f>IFERROR(C235/C207,"")</f>
        <v>9.5825189333016095E-3</v>
      </c>
      <c r="D243" s="187">
        <f t="shared" ref="D243:AL243" si="30">IFERROR(D235/D207,"")</f>
        <v>2.3503610167627243E-2</v>
      </c>
      <c r="E243" s="187">
        <f t="shared" si="30"/>
        <v>2.1042911924245684E-2</v>
      </c>
      <c r="F243" s="187">
        <f t="shared" si="30"/>
        <v>1.3426763871387715E-2</v>
      </c>
      <c r="G243" s="187">
        <f t="shared" si="30"/>
        <v>1.5391539306686425E-2</v>
      </c>
      <c r="H243" s="187">
        <f t="shared" si="30"/>
        <v>1.8686505317726407E-2</v>
      </c>
      <c r="I243" s="187">
        <f t="shared" si="30"/>
        <v>1.5325296173321437E-2</v>
      </c>
      <c r="J243" s="187">
        <f t="shared" si="30"/>
        <v>1.489346210110344E-2</v>
      </c>
      <c r="K243" s="187">
        <f t="shared" si="30"/>
        <v>1.4765816446365276E-2</v>
      </c>
      <c r="L243" s="187">
        <f t="shared" si="30"/>
        <v>1.7531021882341621E-2</v>
      </c>
      <c r="M243" s="187">
        <f t="shared" si="30"/>
        <v>1.6952958504776457E-2</v>
      </c>
      <c r="N243" s="187">
        <f t="shared" si="30"/>
        <v>2.0796566018411126E-2</v>
      </c>
      <c r="O243" s="187">
        <f t="shared" si="30"/>
        <v>2.1153552967926585E-2</v>
      </c>
      <c r="P243" s="187">
        <f t="shared" si="30"/>
        <v>2.2644910481616595E-2</v>
      </c>
      <c r="Q243" s="187">
        <f t="shared" si="30"/>
        <v>2.249885868736971E-2</v>
      </c>
      <c r="R243" s="187">
        <f t="shared" si="30"/>
        <v>2.0699191604113178E-2</v>
      </c>
      <c r="S243" s="187">
        <f t="shared" si="30"/>
        <v>2.1286838823223631E-2</v>
      </c>
      <c r="T243" s="187">
        <f t="shared" si="30"/>
        <v>1.9646173832069059E-2</v>
      </c>
      <c r="U243" s="187">
        <f t="shared" si="30"/>
        <v>2.0271606864405069E-2</v>
      </c>
      <c r="V243" s="187">
        <f t="shared" si="30"/>
        <v>2.0220557764591952E-2</v>
      </c>
      <c r="W243" s="187">
        <f t="shared" si="30"/>
        <v>2.4927014428664591E-2</v>
      </c>
      <c r="X243" s="187">
        <f t="shared" si="30"/>
        <v>2.5029596820027561E-2</v>
      </c>
      <c r="Y243" s="187">
        <f t="shared" si="30"/>
        <v>2.4090588632316137E-2</v>
      </c>
      <c r="Z243" s="187">
        <v>2.5881442150834693E-2</v>
      </c>
      <c r="AA243" s="187">
        <f t="shared" si="30"/>
        <v>2.8233326902051579E-2</v>
      </c>
      <c r="AB243" s="187">
        <f t="shared" si="30"/>
        <v>2.1198276416489806E-2</v>
      </c>
      <c r="AC243" s="187">
        <f t="shared" si="30"/>
        <v>2.1192990079808151E-2</v>
      </c>
      <c r="AD243" s="187">
        <f t="shared" si="30"/>
        <v>2.0438269915085131E-2</v>
      </c>
      <c r="AE243" s="187">
        <f t="shared" si="30"/>
        <v>2.0438269915085131E-2</v>
      </c>
      <c r="AF243" s="187">
        <f t="shared" si="30"/>
        <v>2.0438269915085131E-2</v>
      </c>
      <c r="AG243" s="187">
        <f t="shared" si="30"/>
        <v>2.0438269915085131E-2</v>
      </c>
      <c r="AH243" s="187">
        <f t="shared" si="30"/>
        <v>2.0438269915085131E-2</v>
      </c>
      <c r="AI243" s="187">
        <f t="shared" si="30"/>
        <v>2.0438269915085131E-2</v>
      </c>
      <c r="AJ243" s="187">
        <f t="shared" si="30"/>
        <v>2.0438269915085131E-2</v>
      </c>
      <c r="AK243" s="187">
        <f t="shared" si="30"/>
        <v>2.0438269915085131E-2</v>
      </c>
      <c r="AL243" s="187">
        <f t="shared" si="30"/>
        <v>2.0438269915085131E-2</v>
      </c>
    </row>
    <row r="244" spans="1:38" ht="15" customHeight="1">
      <c r="A244" s="193" t="s">
        <v>330</v>
      </c>
      <c r="B244" s="146">
        <v>46</v>
      </c>
      <c r="C244" s="183">
        <f t="shared" ref="C244:AL244" si="31">C145</f>
        <v>159221608</v>
      </c>
      <c r="D244" s="183">
        <f t="shared" si="31"/>
        <v>104655178</v>
      </c>
      <c r="E244" s="183">
        <f t="shared" si="31"/>
        <v>115295655</v>
      </c>
      <c r="F244" s="183">
        <f t="shared" si="31"/>
        <v>106050997</v>
      </c>
      <c r="G244" s="183">
        <f t="shared" si="31"/>
        <v>66870820</v>
      </c>
      <c r="H244" s="183">
        <f t="shared" si="31"/>
        <v>76195851</v>
      </c>
      <c r="I244" s="183">
        <f t="shared" si="31"/>
        <v>68152514</v>
      </c>
      <c r="J244" s="183">
        <f t="shared" si="31"/>
        <v>139408411</v>
      </c>
      <c r="K244" s="183">
        <f t="shared" si="31"/>
        <v>83156007</v>
      </c>
      <c r="L244" s="183">
        <f t="shared" si="31"/>
        <v>88772319</v>
      </c>
      <c r="M244" s="183">
        <f t="shared" si="31"/>
        <v>552891636</v>
      </c>
      <c r="N244" s="183">
        <f t="shared" si="31"/>
        <v>97079504</v>
      </c>
      <c r="O244" s="183">
        <f t="shared" si="31"/>
        <v>147069830</v>
      </c>
      <c r="P244" s="183">
        <f t="shared" si="31"/>
        <v>115999204</v>
      </c>
      <c r="Q244" s="183">
        <f t="shared" si="31"/>
        <v>120706843</v>
      </c>
      <c r="R244" s="183">
        <f t="shared" si="31"/>
        <v>155764782</v>
      </c>
      <c r="S244" s="183">
        <f t="shared" si="31"/>
        <v>142223547</v>
      </c>
      <c r="T244" s="183">
        <f t="shared" si="31"/>
        <v>131398532</v>
      </c>
      <c r="U244" s="183">
        <f t="shared" si="31"/>
        <v>129629381</v>
      </c>
      <c r="V244" s="183">
        <f t="shared" si="31"/>
        <v>133594277</v>
      </c>
      <c r="W244" s="183">
        <f t="shared" si="31"/>
        <v>218907692</v>
      </c>
      <c r="X244" s="183">
        <f t="shared" si="31"/>
        <v>204745721</v>
      </c>
      <c r="Y244" s="183">
        <f t="shared" si="31"/>
        <v>227424354</v>
      </c>
      <c r="Z244" s="183">
        <v>505125793</v>
      </c>
      <c r="AA244" s="183">
        <f t="shared" si="31"/>
        <v>353847359.69166666</v>
      </c>
      <c r="AB244" s="183">
        <f t="shared" si="31"/>
        <v>461395058.69166666</v>
      </c>
      <c r="AC244" s="183">
        <f t="shared" si="31"/>
        <v>336683433.02500004</v>
      </c>
      <c r="AD244" s="183">
        <f t="shared" si="31"/>
        <v>351729344.02499998</v>
      </c>
      <c r="AE244" s="183">
        <f t="shared" si="31"/>
        <v>345595762.02499998</v>
      </c>
      <c r="AF244" s="183">
        <f t="shared" si="31"/>
        <v>359367480.17314816</v>
      </c>
      <c r="AG244" s="183">
        <f t="shared" si="31"/>
        <v>378136181.1731481</v>
      </c>
      <c r="AH244" s="183">
        <f t="shared" si="31"/>
        <v>623026153.17314827</v>
      </c>
      <c r="AI244" s="183">
        <f t="shared" si="31"/>
        <v>380278478.17314816</v>
      </c>
      <c r="AJ244" s="183">
        <f t="shared" si="31"/>
        <v>361826453.17314816</v>
      </c>
      <c r="AK244" s="183">
        <f t="shared" si="31"/>
        <v>358433175.17314816</v>
      </c>
      <c r="AL244" s="183">
        <f t="shared" si="31"/>
        <v>377191736.1731481</v>
      </c>
    </row>
    <row r="245" spans="1:38" ht="15" customHeight="1">
      <c r="A245" s="190" t="s">
        <v>331</v>
      </c>
      <c r="B245" s="191">
        <v>47</v>
      </c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>
        <v>44728768</v>
      </c>
      <c r="P245" s="189">
        <v>48375701</v>
      </c>
      <c r="Q245" s="189">
        <v>58841552</v>
      </c>
      <c r="R245" s="189">
        <v>63979284</v>
      </c>
      <c r="S245" s="189">
        <v>60427640</v>
      </c>
      <c r="T245" s="189">
        <v>64362588</v>
      </c>
      <c r="U245" s="189">
        <v>57979412</v>
      </c>
      <c r="V245" s="189">
        <v>65372693</v>
      </c>
      <c r="W245" s="189">
        <v>129818269</v>
      </c>
      <c r="X245" s="189">
        <v>124043585</v>
      </c>
      <c r="Y245" s="189">
        <v>131186250</v>
      </c>
      <c r="Z245" s="189">
        <v>167254229</v>
      </c>
      <c r="AA245" s="189">
        <f>SUMIFS([1]!Data_PL_Element[Value],[1]!Data_PL_Element[Index PL Element],'Dong Lam'!$B245,[1]!Data_PL_Element[TenCongTyID],'Dong Lam'!$B$1,[1]!Data_PL_Element[Thang.Nam],'Dong Lam'!AA$198)</f>
        <v>0</v>
      </c>
      <c r="AB245" s="189">
        <f>SUMIFS([1]!Data_PL_Element[Value],[1]!Data_PL_Element[Index PL Element],'Dong Lam'!$B245,[1]!Data_PL_Element[TenCongTyID],'Dong Lam'!$B$1,[1]!Data_PL_Element[Thang.Nam],'Dong Lam'!AB$198)</f>
        <v>0</v>
      </c>
      <c r="AC245" s="189">
        <f>SUMIFS([1]!Data_PL_Element[Value],[1]!Data_PL_Element[Index PL Element],'Dong Lam'!$B245,[1]!Data_PL_Element[TenCongTyID],'Dong Lam'!$B$1,[1]!Data_PL_Element[Thang.Nam],'Dong Lam'!AC$198)</f>
        <v>0</v>
      </c>
      <c r="AD245" s="189">
        <f>SUMIFS([1]!Data_PL_Element[Value],[1]!Data_PL_Element[Index PL Element],'Dong Lam'!$B245,[1]!Data_PL_Element[TenCongTyID],'Dong Lam'!$B$1,[1]!Data_PL_Element[Thang.Nam],'Dong Lam'!AD$198)</f>
        <v>0</v>
      </c>
      <c r="AE245" s="189">
        <f>SUMIFS([1]!Data_PL_Element[Value],[1]!Data_PL_Element[Index PL Element],'Dong Lam'!$B245,[1]!Data_PL_Element[TenCongTyID],'Dong Lam'!$B$1,[1]!Data_PL_Element[Thang.Nam],'Dong Lam'!AE$198)</f>
        <v>0</v>
      </c>
      <c r="AF245" s="189">
        <f>SUMIFS([1]!Data_PL_Element[Value],[1]!Data_PL_Element[Index PL Element],'Dong Lam'!$B245,[1]!Data_PL_Element[TenCongTyID],'Dong Lam'!$B$1,[1]!Data_PL_Element[Thang.Nam],'Dong Lam'!AF$198)</f>
        <v>0</v>
      </c>
      <c r="AG245" s="189">
        <f>SUMIFS([1]!Data_PL_Element[Value],[1]!Data_PL_Element[Index PL Element],'Dong Lam'!$B245,[1]!Data_PL_Element[TenCongTyID],'Dong Lam'!$B$1,[1]!Data_PL_Element[Thang.Nam],'Dong Lam'!AG$198)</f>
        <v>0</v>
      </c>
      <c r="AH245" s="189">
        <f>SUMIFS([1]!Data_PL_Element[Value],[1]!Data_PL_Element[Index PL Element],'Dong Lam'!$B245,[1]!Data_PL_Element[TenCongTyID],'Dong Lam'!$B$1,[1]!Data_PL_Element[Thang.Nam],'Dong Lam'!AH$198)</f>
        <v>0</v>
      </c>
      <c r="AI245" s="189">
        <f>SUMIFS([1]!Data_PL_Element[Value],[1]!Data_PL_Element[Index PL Element],'Dong Lam'!$B245,[1]!Data_PL_Element[TenCongTyID],'Dong Lam'!$B$1,[1]!Data_PL_Element[Thang.Nam],'Dong Lam'!AI$198)</f>
        <v>0</v>
      </c>
      <c r="AJ245" s="189">
        <f>SUMIFS([1]!Data_PL_Element[Value],[1]!Data_PL_Element[Index PL Element],'Dong Lam'!$B245,[1]!Data_PL_Element[TenCongTyID],'Dong Lam'!$B$1,[1]!Data_PL_Element[Thang.Nam],'Dong Lam'!AJ$198)</f>
        <v>0</v>
      </c>
      <c r="AK245" s="189">
        <f>SUMIFS([1]!Data_PL_Element[Value],[1]!Data_PL_Element[Index PL Element],'Dong Lam'!$B245,[1]!Data_PL_Element[TenCongTyID],'Dong Lam'!$B$1,[1]!Data_PL_Element[Thang.Nam],'Dong Lam'!AK$198)</f>
        <v>0</v>
      </c>
      <c r="AL245" s="189">
        <f>SUMIFS([1]!Data_PL_Element[Value],[1]!Data_PL_Element[Index PL Element],'Dong Lam'!$B245,[1]!Data_PL_Element[TenCongTyID],'Dong Lam'!$B$1,[1]!Data_PL_Element[Thang.Nam],'Dong Lam'!AL$198)</f>
        <v>0</v>
      </c>
    </row>
    <row r="246" spans="1:38" ht="15" customHeight="1">
      <c r="A246" s="190" t="s">
        <v>332</v>
      </c>
      <c r="B246" s="191">
        <v>48</v>
      </c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>
        <v>13173046</v>
      </c>
      <c r="P246" s="189">
        <v>14147803</v>
      </c>
      <c r="Q246" s="189">
        <v>16100243</v>
      </c>
      <c r="R246" s="189">
        <v>19688497</v>
      </c>
      <c r="S246" s="189">
        <v>18872196</v>
      </c>
      <c r="T246" s="189">
        <v>19329697</v>
      </c>
      <c r="U246" s="189">
        <v>19044302</v>
      </c>
      <c r="V246" s="189">
        <v>19303618</v>
      </c>
      <c r="W246" s="189">
        <v>35756142</v>
      </c>
      <c r="X246" s="189">
        <v>35929108</v>
      </c>
      <c r="Y246" s="189">
        <v>35756142</v>
      </c>
      <c r="Z246" s="189">
        <v>178395806</v>
      </c>
      <c r="AA246" s="189">
        <f>SUMIFS([1]!Data_PL_Element[Value],[1]!Data_PL_Element[Index PL Element],'Dong Lam'!$B246,[1]!Data_PL_Element[TenCongTyID],'Dong Lam'!$B$1,[1]!Data_PL_Element[Thang.Nam],'Dong Lam'!AA$198)</f>
        <v>0</v>
      </c>
      <c r="AB246" s="189">
        <f>SUMIFS([1]!Data_PL_Element[Value],[1]!Data_PL_Element[Index PL Element],'Dong Lam'!$B246,[1]!Data_PL_Element[TenCongTyID],'Dong Lam'!$B$1,[1]!Data_PL_Element[Thang.Nam],'Dong Lam'!AB$198)</f>
        <v>0</v>
      </c>
      <c r="AC246" s="189">
        <f>SUMIFS([1]!Data_PL_Element[Value],[1]!Data_PL_Element[Index PL Element],'Dong Lam'!$B246,[1]!Data_PL_Element[TenCongTyID],'Dong Lam'!$B$1,[1]!Data_PL_Element[Thang.Nam],'Dong Lam'!AC$198)</f>
        <v>0</v>
      </c>
      <c r="AD246" s="189">
        <f>SUMIFS([1]!Data_PL_Element[Value],[1]!Data_PL_Element[Index PL Element],'Dong Lam'!$B246,[1]!Data_PL_Element[TenCongTyID],'Dong Lam'!$B$1,[1]!Data_PL_Element[Thang.Nam],'Dong Lam'!AD$198)</f>
        <v>0</v>
      </c>
      <c r="AE246" s="189">
        <f>SUMIFS([1]!Data_PL_Element[Value],[1]!Data_PL_Element[Index PL Element],'Dong Lam'!$B246,[1]!Data_PL_Element[TenCongTyID],'Dong Lam'!$B$1,[1]!Data_PL_Element[Thang.Nam],'Dong Lam'!AE$198)</f>
        <v>0</v>
      </c>
      <c r="AF246" s="189">
        <f>SUMIFS([1]!Data_PL_Element[Value],[1]!Data_PL_Element[Index PL Element],'Dong Lam'!$B246,[1]!Data_PL_Element[TenCongTyID],'Dong Lam'!$B$1,[1]!Data_PL_Element[Thang.Nam],'Dong Lam'!AF$198)</f>
        <v>0</v>
      </c>
      <c r="AG246" s="189">
        <f>SUMIFS([1]!Data_PL_Element[Value],[1]!Data_PL_Element[Index PL Element],'Dong Lam'!$B246,[1]!Data_PL_Element[TenCongTyID],'Dong Lam'!$B$1,[1]!Data_PL_Element[Thang.Nam],'Dong Lam'!AG$198)</f>
        <v>0</v>
      </c>
      <c r="AH246" s="189">
        <f>SUMIFS([1]!Data_PL_Element[Value],[1]!Data_PL_Element[Index PL Element],'Dong Lam'!$B246,[1]!Data_PL_Element[TenCongTyID],'Dong Lam'!$B$1,[1]!Data_PL_Element[Thang.Nam],'Dong Lam'!AH$198)</f>
        <v>0</v>
      </c>
      <c r="AI246" s="189">
        <f>SUMIFS([1]!Data_PL_Element[Value],[1]!Data_PL_Element[Index PL Element],'Dong Lam'!$B246,[1]!Data_PL_Element[TenCongTyID],'Dong Lam'!$B$1,[1]!Data_PL_Element[Thang.Nam],'Dong Lam'!AI$198)</f>
        <v>0</v>
      </c>
      <c r="AJ246" s="189">
        <f>SUMIFS([1]!Data_PL_Element[Value],[1]!Data_PL_Element[Index PL Element],'Dong Lam'!$B246,[1]!Data_PL_Element[TenCongTyID],'Dong Lam'!$B$1,[1]!Data_PL_Element[Thang.Nam],'Dong Lam'!AJ$198)</f>
        <v>0</v>
      </c>
      <c r="AK246" s="189">
        <f>SUMIFS([1]!Data_PL_Element[Value],[1]!Data_PL_Element[Index PL Element],'Dong Lam'!$B246,[1]!Data_PL_Element[TenCongTyID],'Dong Lam'!$B$1,[1]!Data_PL_Element[Thang.Nam],'Dong Lam'!AK$198)</f>
        <v>0</v>
      </c>
      <c r="AL246" s="189">
        <f>SUMIFS([1]!Data_PL_Element[Value],[1]!Data_PL_Element[Index PL Element],'Dong Lam'!$B246,[1]!Data_PL_Element[TenCongTyID],'Dong Lam'!$B$1,[1]!Data_PL_Element[Thang.Nam],'Dong Lam'!AL$198)</f>
        <v>0</v>
      </c>
    </row>
    <row r="247" spans="1:38" ht="15" customHeight="1">
      <c r="A247" s="190" t="s">
        <v>333</v>
      </c>
      <c r="B247" s="191">
        <v>49</v>
      </c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>
        <v>16076498</v>
      </c>
      <c r="P247" s="189">
        <v>16076498</v>
      </c>
      <c r="Q247" s="189">
        <v>16076498</v>
      </c>
      <c r="R247" s="189">
        <v>16076498</v>
      </c>
      <c r="S247" s="189">
        <v>16076498</v>
      </c>
      <c r="T247" s="189">
        <v>16076498</v>
      </c>
      <c r="U247" s="189">
        <v>16076498</v>
      </c>
      <c r="V247" s="189">
        <v>14902694</v>
      </c>
      <c r="W247" s="189">
        <v>14880846</v>
      </c>
      <c r="X247" s="189">
        <v>14880846</v>
      </c>
      <c r="Y247" s="189">
        <v>14880846</v>
      </c>
      <c r="Z247" s="189">
        <v>14880846</v>
      </c>
      <c r="AA247" s="189">
        <f>SUMIFS([1]!Data_PL_Element[Value],[1]!Data_PL_Element[Index PL Element],'Dong Lam'!$B247,[1]!Data_PL_Element[TenCongTyID],'Dong Lam'!$B$1,[1]!Data_PL_Element[Thang.Nam],'Dong Lam'!AA$198)</f>
        <v>0</v>
      </c>
      <c r="AB247" s="189">
        <f>SUMIFS([1]!Data_PL_Element[Value],[1]!Data_PL_Element[Index PL Element],'Dong Lam'!$B247,[1]!Data_PL_Element[TenCongTyID],'Dong Lam'!$B$1,[1]!Data_PL_Element[Thang.Nam],'Dong Lam'!AB$198)</f>
        <v>0</v>
      </c>
      <c r="AC247" s="189">
        <f>SUMIFS([1]!Data_PL_Element[Value],[1]!Data_PL_Element[Index PL Element],'Dong Lam'!$B247,[1]!Data_PL_Element[TenCongTyID],'Dong Lam'!$B$1,[1]!Data_PL_Element[Thang.Nam],'Dong Lam'!AC$198)</f>
        <v>0</v>
      </c>
      <c r="AD247" s="189">
        <f>SUMIFS([1]!Data_PL_Element[Value],[1]!Data_PL_Element[Index PL Element],'Dong Lam'!$B247,[1]!Data_PL_Element[TenCongTyID],'Dong Lam'!$B$1,[1]!Data_PL_Element[Thang.Nam],'Dong Lam'!AD$198)</f>
        <v>0</v>
      </c>
      <c r="AE247" s="189">
        <f>SUMIFS([1]!Data_PL_Element[Value],[1]!Data_PL_Element[Index PL Element],'Dong Lam'!$B247,[1]!Data_PL_Element[TenCongTyID],'Dong Lam'!$B$1,[1]!Data_PL_Element[Thang.Nam],'Dong Lam'!AE$198)</f>
        <v>0</v>
      </c>
      <c r="AF247" s="189">
        <f>SUMIFS([1]!Data_PL_Element[Value],[1]!Data_PL_Element[Index PL Element],'Dong Lam'!$B247,[1]!Data_PL_Element[TenCongTyID],'Dong Lam'!$B$1,[1]!Data_PL_Element[Thang.Nam],'Dong Lam'!AF$198)</f>
        <v>0</v>
      </c>
      <c r="AG247" s="189">
        <f>SUMIFS([1]!Data_PL_Element[Value],[1]!Data_PL_Element[Index PL Element],'Dong Lam'!$B247,[1]!Data_PL_Element[TenCongTyID],'Dong Lam'!$B$1,[1]!Data_PL_Element[Thang.Nam],'Dong Lam'!AG$198)</f>
        <v>0</v>
      </c>
      <c r="AH247" s="189">
        <f>SUMIFS([1]!Data_PL_Element[Value],[1]!Data_PL_Element[Index PL Element],'Dong Lam'!$B247,[1]!Data_PL_Element[TenCongTyID],'Dong Lam'!$B$1,[1]!Data_PL_Element[Thang.Nam],'Dong Lam'!AH$198)</f>
        <v>0</v>
      </c>
      <c r="AI247" s="189">
        <f>SUMIFS([1]!Data_PL_Element[Value],[1]!Data_PL_Element[Index PL Element],'Dong Lam'!$B247,[1]!Data_PL_Element[TenCongTyID],'Dong Lam'!$B$1,[1]!Data_PL_Element[Thang.Nam],'Dong Lam'!AI$198)</f>
        <v>0</v>
      </c>
      <c r="AJ247" s="189">
        <f>SUMIFS([1]!Data_PL_Element[Value],[1]!Data_PL_Element[Index PL Element],'Dong Lam'!$B247,[1]!Data_PL_Element[TenCongTyID],'Dong Lam'!$B$1,[1]!Data_PL_Element[Thang.Nam],'Dong Lam'!AJ$198)</f>
        <v>0</v>
      </c>
      <c r="AK247" s="189">
        <f>SUMIFS([1]!Data_PL_Element[Value],[1]!Data_PL_Element[Index PL Element],'Dong Lam'!$B247,[1]!Data_PL_Element[TenCongTyID],'Dong Lam'!$B$1,[1]!Data_PL_Element[Thang.Nam],'Dong Lam'!AK$198)</f>
        <v>0</v>
      </c>
      <c r="AL247" s="189">
        <f>SUMIFS([1]!Data_PL_Element[Value],[1]!Data_PL_Element[Index PL Element],'Dong Lam'!$B247,[1]!Data_PL_Element[TenCongTyID],'Dong Lam'!$B$1,[1]!Data_PL_Element[Thang.Nam],'Dong Lam'!AL$198)</f>
        <v>0</v>
      </c>
    </row>
    <row r="248" spans="1:38" ht="15" customHeight="1">
      <c r="A248" s="190" t="s">
        <v>334</v>
      </c>
      <c r="B248" s="191">
        <v>50</v>
      </c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>
        <f>O244-SUM(O245:O247)</f>
        <v>73091518</v>
      </c>
      <c r="P248" s="189">
        <f t="shared" ref="P248:Y248" si="32">P244-SUM(P245:P247)</f>
        <v>37399202</v>
      </c>
      <c r="Q248" s="189">
        <f t="shared" si="32"/>
        <v>29688550</v>
      </c>
      <c r="R248" s="189">
        <f t="shared" si="32"/>
        <v>56020503</v>
      </c>
      <c r="S248" s="189">
        <f t="shared" si="32"/>
        <v>46847213</v>
      </c>
      <c r="T248" s="189">
        <f t="shared" si="32"/>
        <v>31629749</v>
      </c>
      <c r="U248" s="189">
        <f t="shared" si="32"/>
        <v>36529169</v>
      </c>
      <c r="V248" s="189">
        <f t="shared" si="32"/>
        <v>34015272</v>
      </c>
      <c r="W248" s="189">
        <f t="shared" si="32"/>
        <v>38452435</v>
      </c>
      <c r="X248" s="189">
        <f t="shared" si="32"/>
        <v>29892182</v>
      </c>
      <c r="Y248" s="189">
        <f t="shared" si="32"/>
        <v>45601116</v>
      </c>
      <c r="Z248" s="189">
        <v>0</v>
      </c>
      <c r="AA248" s="189">
        <f>SUMIFS([1]!Data_PL_Element[Value],[1]!Data_PL_Element[Index PL Element],'Dong Lam'!$B248,[1]!Data_PL_Element[TenCongTyID],'Dong Lam'!$B$1,[1]!Data_PL_Element[Thang.Nam],'Dong Lam'!AA$198)</f>
        <v>0</v>
      </c>
      <c r="AB248" s="189">
        <f>SUMIFS([1]!Data_PL_Element[Value],[1]!Data_PL_Element[Index PL Element],'Dong Lam'!$B248,[1]!Data_PL_Element[TenCongTyID],'Dong Lam'!$B$1,[1]!Data_PL_Element[Thang.Nam],'Dong Lam'!AB$198)</f>
        <v>0</v>
      </c>
      <c r="AC248" s="189">
        <f>SUMIFS([1]!Data_PL_Element[Value],[1]!Data_PL_Element[Index PL Element],'Dong Lam'!$B248,[1]!Data_PL_Element[TenCongTyID],'Dong Lam'!$B$1,[1]!Data_PL_Element[Thang.Nam],'Dong Lam'!AC$198)</f>
        <v>0</v>
      </c>
      <c r="AD248" s="189">
        <f>SUMIFS([1]!Data_PL_Element[Value],[1]!Data_PL_Element[Index PL Element],'Dong Lam'!$B248,[1]!Data_PL_Element[TenCongTyID],'Dong Lam'!$B$1,[1]!Data_PL_Element[Thang.Nam],'Dong Lam'!AD$198)</f>
        <v>0</v>
      </c>
      <c r="AE248" s="189">
        <f>SUMIFS([1]!Data_PL_Element[Value],[1]!Data_PL_Element[Index PL Element],'Dong Lam'!$B248,[1]!Data_PL_Element[TenCongTyID],'Dong Lam'!$B$1,[1]!Data_PL_Element[Thang.Nam],'Dong Lam'!AE$198)</f>
        <v>0</v>
      </c>
      <c r="AF248" s="189">
        <f>SUMIFS([1]!Data_PL_Element[Value],[1]!Data_PL_Element[Index PL Element],'Dong Lam'!$B248,[1]!Data_PL_Element[TenCongTyID],'Dong Lam'!$B$1,[1]!Data_PL_Element[Thang.Nam],'Dong Lam'!AF$198)</f>
        <v>0</v>
      </c>
      <c r="AG248" s="189">
        <f>SUMIFS([1]!Data_PL_Element[Value],[1]!Data_PL_Element[Index PL Element],'Dong Lam'!$B248,[1]!Data_PL_Element[TenCongTyID],'Dong Lam'!$B$1,[1]!Data_PL_Element[Thang.Nam],'Dong Lam'!AG$198)</f>
        <v>0</v>
      </c>
      <c r="AH248" s="189">
        <f>SUMIFS([1]!Data_PL_Element[Value],[1]!Data_PL_Element[Index PL Element],'Dong Lam'!$B248,[1]!Data_PL_Element[TenCongTyID],'Dong Lam'!$B$1,[1]!Data_PL_Element[Thang.Nam],'Dong Lam'!AH$198)</f>
        <v>0</v>
      </c>
      <c r="AI248" s="189">
        <f>SUMIFS([1]!Data_PL_Element[Value],[1]!Data_PL_Element[Index PL Element],'Dong Lam'!$B248,[1]!Data_PL_Element[TenCongTyID],'Dong Lam'!$B$1,[1]!Data_PL_Element[Thang.Nam],'Dong Lam'!AI$198)</f>
        <v>0</v>
      </c>
      <c r="AJ248" s="189">
        <f>SUMIFS([1]!Data_PL_Element[Value],[1]!Data_PL_Element[Index PL Element],'Dong Lam'!$B248,[1]!Data_PL_Element[TenCongTyID],'Dong Lam'!$B$1,[1]!Data_PL_Element[Thang.Nam],'Dong Lam'!AJ$198)</f>
        <v>0</v>
      </c>
      <c r="AK248" s="189">
        <f>SUMIFS([1]!Data_PL_Element[Value],[1]!Data_PL_Element[Index PL Element],'Dong Lam'!$B248,[1]!Data_PL_Element[TenCongTyID],'Dong Lam'!$B$1,[1]!Data_PL_Element[Thang.Nam],'Dong Lam'!AK$198)</f>
        <v>0</v>
      </c>
      <c r="AL248" s="189">
        <f>SUMIFS([1]!Data_PL_Element[Value],[1]!Data_PL_Element[Index PL Element],'Dong Lam'!$B248,[1]!Data_PL_Element[TenCongTyID],'Dong Lam'!$B$1,[1]!Data_PL_Element[Thang.Nam],'Dong Lam'!AL$198)</f>
        <v>0</v>
      </c>
    </row>
    <row r="249" spans="1:38" ht="15" customHeight="1">
      <c r="A249" s="194" t="s">
        <v>335</v>
      </c>
      <c r="B249" s="171">
        <v>51</v>
      </c>
      <c r="C249" s="187">
        <f t="shared" ref="C249:AL249" si="33">IFERROR(C244/C207,"")</f>
        <v>1.8953342524853752E-2</v>
      </c>
      <c r="D249" s="187">
        <f t="shared" si="33"/>
        <v>2.6621858178374567E-2</v>
      </c>
      <c r="E249" s="187">
        <f t="shared" si="33"/>
        <v>1.9986525315292384E-2</v>
      </c>
      <c r="F249" s="187">
        <f t="shared" si="33"/>
        <v>1.8255406346721112E-2</v>
      </c>
      <c r="G249" s="187">
        <f t="shared" si="33"/>
        <v>7.0496222910983062E-3</v>
      </c>
      <c r="H249" s="187">
        <f t="shared" si="33"/>
        <v>1.232756861385445E-2</v>
      </c>
      <c r="I249" s="187">
        <f t="shared" si="33"/>
        <v>1.6319647843850558E-2</v>
      </c>
      <c r="J249" s="187">
        <f t="shared" si="33"/>
        <v>3.8449516403769479E-2</v>
      </c>
      <c r="K249" s="187">
        <f t="shared" si="33"/>
        <v>2.1206672465883696E-2</v>
      </c>
      <c r="L249" s="187">
        <f t="shared" si="33"/>
        <v>2.0504209050529788E-2</v>
      </c>
      <c r="M249" s="187">
        <f t="shared" si="33"/>
        <v>0.11834784043871174</v>
      </c>
      <c r="N249" s="187">
        <f t="shared" si="33"/>
        <v>2.6599740632023808E-2</v>
      </c>
      <c r="O249" s="187">
        <f t="shared" si="33"/>
        <v>6.7338732443483942E-2</v>
      </c>
      <c r="P249" s="187">
        <f t="shared" si="33"/>
        <v>2.3643488663535387E-2</v>
      </c>
      <c r="Q249" s="187">
        <f t="shared" si="33"/>
        <v>1.9058008443898398E-2</v>
      </c>
      <c r="R249" s="187">
        <f t="shared" si="33"/>
        <v>1.9951764033359649E-2</v>
      </c>
      <c r="S249" s="187">
        <f t="shared" si="33"/>
        <v>1.9271099438931707E-2</v>
      </c>
      <c r="T249" s="187">
        <f t="shared" si="33"/>
        <v>1.2446858249521162E-2</v>
      </c>
      <c r="U249" s="187">
        <f t="shared" si="33"/>
        <v>1.006818333221525E-2</v>
      </c>
      <c r="V249" s="187">
        <f t="shared" si="33"/>
        <v>9.706614427227445E-3</v>
      </c>
      <c r="W249" s="187">
        <f t="shared" si="33"/>
        <v>2.2100912098135538E-2</v>
      </c>
      <c r="X249" s="187">
        <f t="shared" si="33"/>
        <v>2.9233901011157162E-2</v>
      </c>
      <c r="Y249" s="187">
        <f t="shared" si="33"/>
        <v>3.7994358926381699E-2</v>
      </c>
      <c r="Z249" s="187">
        <v>6.7492947808074341E-2</v>
      </c>
      <c r="AA249" s="187">
        <f t="shared" si="33"/>
        <v>3.1259506431959044E-2</v>
      </c>
      <c r="AB249" s="187">
        <f t="shared" si="33"/>
        <v>6.182003380330818E-2</v>
      </c>
      <c r="AC249" s="187">
        <f t="shared" si="33"/>
        <v>2.3156927977120628E-2</v>
      </c>
      <c r="AD249" s="187">
        <f t="shared" si="33"/>
        <v>2.18371292360184E-2</v>
      </c>
      <c r="AE249" s="187">
        <f t="shared" si="33"/>
        <v>2.1456325572380384E-2</v>
      </c>
      <c r="AF249" s="187">
        <f t="shared" si="33"/>
        <v>2.1453214614593666E-2</v>
      </c>
      <c r="AG249" s="187">
        <f t="shared" si="33"/>
        <v>2.1737591379420686E-2</v>
      </c>
      <c r="AH249" s="187">
        <f t="shared" si="33"/>
        <v>3.7192886145647842E-2</v>
      </c>
      <c r="AI249" s="187">
        <f t="shared" si="33"/>
        <v>2.4593336747567231E-2</v>
      </c>
      <c r="AJ249" s="187">
        <f t="shared" si="33"/>
        <v>2.0800007989030561E-2</v>
      </c>
      <c r="AK249" s="187">
        <f t="shared" si="33"/>
        <v>2.2253336838953433E-2</v>
      </c>
      <c r="AL249" s="187">
        <f t="shared" si="33"/>
        <v>2.1683298877109364E-2</v>
      </c>
    </row>
    <row r="250" spans="1:38" ht="15" customHeight="1">
      <c r="A250" s="193" t="s">
        <v>336</v>
      </c>
      <c r="B250" s="146">
        <v>52</v>
      </c>
      <c r="C250" s="186">
        <f t="shared" ref="C250:Y251" si="34">C142</f>
        <v>0</v>
      </c>
      <c r="D250" s="186">
        <f t="shared" si="34"/>
        <v>0</v>
      </c>
      <c r="E250" s="186">
        <f t="shared" si="34"/>
        <v>0</v>
      </c>
      <c r="F250" s="186">
        <f t="shared" si="34"/>
        <v>0</v>
      </c>
      <c r="G250" s="186">
        <f t="shared" si="34"/>
        <v>0</v>
      </c>
      <c r="H250" s="186">
        <f t="shared" si="34"/>
        <v>0</v>
      </c>
      <c r="I250" s="186">
        <f t="shared" si="34"/>
        <v>0</v>
      </c>
      <c r="J250" s="186">
        <f t="shared" si="34"/>
        <v>0</v>
      </c>
      <c r="K250" s="186">
        <f t="shared" si="34"/>
        <v>0</v>
      </c>
      <c r="L250" s="186">
        <f t="shared" si="34"/>
        <v>0</v>
      </c>
      <c r="M250" s="186">
        <f t="shared" si="34"/>
        <v>0</v>
      </c>
      <c r="N250" s="186">
        <f t="shared" si="34"/>
        <v>0</v>
      </c>
      <c r="O250" s="186">
        <f t="shared" si="34"/>
        <v>0</v>
      </c>
      <c r="P250" s="186">
        <f t="shared" si="34"/>
        <v>0</v>
      </c>
      <c r="Q250" s="186">
        <f t="shared" si="34"/>
        <v>0</v>
      </c>
      <c r="R250" s="186">
        <f t="shared" si="34"/>
        <v>0</v>
      </c>
      <c r="S250" s="186">
        <f t="shared" si="34"/>
        <v>0</v>
      </c>
      <c r="T250" s="186">
        <f t="shared" si="34"/>
        <v>0</v>
      </c>
      <c r="U250" s="186">
        <f t="shared" si="34"/>
        <v>3187200</v>
      </c>
      <c r="V250" s="186">
        <f t="shared" si="34"/>
        <v>0</v>
      </c>
      <c r="W250" s="186">
        <f t="shared" si="34"/>
        <v>0</v>
      </c>
      <c r="X250" s="186">
        <f t="shared" si="34"/>
        <v>0</v>
      </c>
      <c r="Y250" s="186">
        <f t="shared" si="34"/>
        <v>0</v>
      </c>
      <c r="Z250" s="186">
        <v>0</v>
      </c>
      <c r="AA250" s="186">
        <f t="shared" ref="AA250:AL251" si="35">AA142</f>
        <v>0</v>
      </c>
      <c r="AB250" s="186">
        <f t="shared" si="35"/>
        <v>0</v>
      </c>
      <c r="AC250" s="186">
        <f t="shared" si="35"/>
        <v>0</v>
      </c>
      <c r="AD250" s="186">
        <f t="shared" si="35"/>
        <v>0</v>
      </c>
      <c r="AE250" s="186">
        <f t="shared" si="35"/>
        <v>0</v>
      </c>
      <c r="AF250" s="186">
        <f t="shared" si="35"/>
        <v>0</v>
      </c>
      <c r="AG250" s="186">
        <f t="shared" si="35"/>
        <v>0</v>
      </c>
      <c r="AH250" s="186">
        <f t="shared" si="35"/>
        <v>0</v>
      </c>
      <c r="AI250" s="186">
        <f t="shared" si="35"/>
        <v>0</v>
      </c>
      <c r="AJ250" s="186">
        <f t="shared" si="35"/>
        <v>0</v>
      </c>
      <c r="AK250" s="186">
        <f t="shared" si="35"/>
        <v>0</v>
      </c>
      <c r="AL250" s="186">
        <f t="shared" si="35"/>
        <v>0</v>
      </c>
    </row>
    <row r="251" spans="1:38" ht="15" customHeight="1">
      <c r="A251" s="178" t="s">
        <v>337</v>
      </c>
      <c r="B251" s="179">
        <v>53</v>
      </c>
      <c r="C251" s="189">
        <f t="shared" si="34"/>
        <v>0</v>
      </c>
      <c r="D251" s="189">
        <f t="shared" si="34"/>
        <v>0</v>
      </c>
      <c r="E251" s="189">
        <f t="shared" si="34"/>
        <v>0</v>
      </c>
      <c r="F251" s="189">
        <f t="shared" si="34"/>
        <v>0</v>
      </c>
      <c r="G251" s="189">
        <f t="shared" si="34"/>
        <v>0</v>
      </c>
      <c r="H251" s="189">
        <f t="shared" si="34"/>
        <v>0</v>
      </c>
      <c r="I251" s="189">
        <f t="shared" si="34"/>
        <v>0</v>
      </c>
      <c r="J251" s="189">
        <f t="shared" si="34"/>
        <v>0</v>
      </c>
      <c r="K251" s="189">
        <f t="shared" si="34"/>
        <v>0</v>
      </c>
      <c r="L251" s="189">
        <f t="shared" si="34"/>
        <v>0</v>
      </c>
      <c r="M251" s="189">
        <f t="shared" si="34"/>
        <v>0</v>
      </c>
      <c r="N251" s="189">
        <f t="shared" si="34"/>
        <v>0</v>
      </c>
      <c r="O251" s="189">
        <f t="shared" si="34"/>
        <v>0</v>
      </c>
      <c r="P251" s="189">
        <f t="shared" si="34"/>
        <v>0</v>
      </c>
      <c r="Q251" s="189">
        <f t="shared" si="34"/>
        <v>0</v>
      </c>
      <c r="R251" s="189">
        <f t="shared" si="34"/>
        <v>0</v>
      </c>
      <c r="S251" s="189">
        <f t="shared" si="34"/>
        <v>0</v>
      </c>
      <c r="T251" s="189">
        <f t="shared" si="34"/>
        <v>0</v>
      </c>
      <c r="U251" s="189">
        <f t="shared" si="34"/>
        <v>3187200</v>
      </c>
      <c r="V251" s="189">
        <f t="shared" si="34"/>
        <v>0</v>
      </c>
      <c r="W251" s="189">
        <f t="shared" si="34"/>
        <v>0</v>
      </c>
      <c r="X251" s="189">
        <f t="shared" si="34"/>
        <v>0</v>
      </c>
      <c r="Y251" s="189">
        <f t="shared" si="34"/>
        <v>0</v>
      </c>
      <c r="Z251" s="189">
        <v>0</v>
      </c>
      <c r="AA251" s="189">
        <f t="shared" si="35"/>
        <v>0</v>
      </c>
      <c r="AB251" s="189">
        <f t="shared" si="35"/>
        <v>0</v>
      </c>
      <c r="AC251" s="189">
        <f t="shared" si="35"/>
        <v>0</v>
      </c>
      <c r="AD251" s="189">
        <f t="shared" si="35"/>
        <v>0</v>
      </c>
      <c r="AE251" s="189">
        <f t="shared" si="35"/>
        <v>0</v>
      </c>
      <c r="AF251" s="189">
        <f t="shared" si="35"/>
        <v>0</v>
      </c>
      <c r="AG251" s="189">
        <f t="shared" si="35"/>
        <v>0</v>
      </c>
      <c r="AH251" s="189">
        <f t="shared" si="35"/>
        <v>0</v>
      </c>
      <c r="AI251" s="189">
        <f t="shared" si="35"/>
        <v>0</v>
      </c>
      <c r="AJ251" s="189">
        <f t="shared" si="35"/>
        <v>0</v>
      </c>
      <c r="AK251" s="189">
        <f t="shared" si="35"/>
        <v>0</v>
      </c>
      <c r="AL251" s="189">
        <f t="shared" si="35"/>
        <v>0</v>
      </c>
    </row>
    <row r="252" spans="1:38" ht="15" customHeight="1">
      <c r="A252" s="194" t="s">
        <v>338</v>
      </c>
      <c r="B252" s="195">
        <v>54</v>
      </c>
      <c r="C252" s="187">
        <f>IFERROR(C251/C207,"")</f>
        <v>0</v>
      </c>
      <c r="D252" s="187">
        <f t="shared" ref="D252:AL252" si="36">IFERROR(D251/D207,"")</f>
        <v>0</v>
      </c>
      <c r="E252" s="187">
        <f t="shared" si="36"/>
        <v>0</v>
      </c>
      <c r="F252" s="187">
        <f t="shared" si="36"/>
        <v>0</v>
      </c>
      <c r="G252" s="187">
        <f t="shared" si="36"/>
        <v>0</v>
      </c>
      <c r="H252" s="187">
        <f t="shared" si="36"/>
        <v>0</v>
      </c>
      <c r="I252" s="187">
        <f t="shared" si="36"/>
        <v>0</v>
      </c>
      <c r="J252" s="187">
        <f t="shared" si="36"/>
        <v>0</v>
      </c>
      <c r="K252" s="187">
        <f t="shared" si="36"/>
        <v>0</v>
      </c>
      <c r="L252" s="187">
        <f t="shared" si="36"/>
        <v>0</v>
      </c>
      <c r="M252" s="187">
        <f t="shared" si="36"/>
        <v>0</v>
      </c>
      <c r="N252" s="187">
        <f t="shared" si="36"/>
        <v>0</v>
      </c>
      <c r="O252" s="187">
        <f t="shared" si="36"/>
        <v>0</v>
      </c>
      <c r="P252" s="187">
        <f t="shared" si="36"/>
        <v>0</v>
      </c>
      <c r="Q252" s="187">
        <f t="shared" si="36"/>
        <v>0</v>
      </c>
      <c r="R252" s="187">
        <f t="shared" si="36"/>
        <v>0</v>
      </c>
      <c r="S252" s="187">
        <f t="shared" si="36"/>
        <v>0</v>
      </c>
      <c r="T252" s="187">
        <f t="shared" si="36"/>
        <v>0</v>
      </c>
      <c r="U252" s="187">
        <f t="shared" si="36"/>
        <v>2.4754661072119477E-4</v>
      </c>
      <c r="V252" s="187">
        <f t="shared" si="36"/>
        <v>0</v>
      </c>
      <c r="W252" s="187">
        <f t="shared" si="36"/>
        <v>0</v>
      </c>
      <c r="X252" s="187">
        <f t="shared" si="36"/>
        <v>0</v>
      </c>
      <c r="Y252" s="187">
        <f t="shared" si="36"/>
        <v>0</v>
      </c>
      <c r="Z252" s="187">
        <v>0</v>
      </c>
      <c r="AA252" s="187">
        <f t="shared" si="36"/>
        <v>0</v>
      </c>
      <c r="AB252" s="187">
        <f t="shared" si="36"/>
        <v>0</v>
      </c>
      <c r="AC252" s="187">
        <f t="shared" si="36"/>
        <v>0</v>
      </c>
      <c r="AD252" s="187">
        <f t="shared" si="36"/>
        <v>0</v>
      </c>
      <c r="AE252" s="187">
        <f t="shared" si="36"/>
        <v>0</v>
      </c>
      <c r="AF252" s="187">
        <f t="shared" si="36"/>
        <v>0</v>
      </c>
      <c r="AG252" s="187">
        <f t="shared" si="36"/>
        <v>0</v>
      </c>
      <c r="AH252" s="187">
        <f t="shared" si="36"/>
        <v>0</v>
      </c>
      <c r="AI252" s="187">
        <f t="shared" si="36"/>
        <v>0</v>
      </c>
      <c r="AJ252" s="187">
        <f t="shared" si="36"/>
        <v>0</v>
      </c>
      <c r="AK252" s="187">
        <f t="shared" si="36"/>
        <v>0</v>
      </c>
      <c r="AL252" s="187">
        <f t="shared" si="36"/>
        <v>0</v>
      </c>
    </row>
    <row r="253" spans="1:38" ht="15" customHeight="1">
      <c r="A253" s="350"/>
      <c r="B253" s="351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</row>
    <row r="254" spans="1:38" ht="15" customHeight="1">
      <c r="A254" s="176" t="s">
        <v>339</v>
      </c>
      <c r="B254" s="177" t="s">
        <v>369</v>
      </c>
      <c r="C254" s="353" t="s">
        <v>66</v>
      </c>
      <c r="D254" s="354" t="s">
        <v>67</v>
      </c>
      <c r="E254" s="354" t="s">
        <v>68</v>
      </c>
      <c r="F254" s="354" t="s">
        <v>69</v>
      </c>
      <c r="G254" s="354" t="s">
        <v>70</v>
      </c>
      <c r="H254" s="354" t="s">
        <v>71</v>
      </c>
      <c r="I254" s="353" t="s">
        <v>72</v>
      </c>
      <c r="J254" s="354" t="s">
        <v>73</v>
      </c>
      <c r="K254" s="354" t="s">
        <v>74</v>
      </c>
      <c r="L254" s="354" t="s">
        <v>75</v>
      </c>
      <c r="M254" s="354" t="s">
        <v>76</v>
      </c>
      <c r="N254" s="354" t="s">
        <v>77</v>
      </c>
      <c r="O254" s="354" t="s">
        <v>78</v>
      </c>
      <c r="P254" s="354" t="s">
        <v>79</v>
      </c>
      <c r="Q254" s="354" t="s">
        <v>80</v>
      </c>
      <c r="R254" s="354" t="s">
        <v>81</v>
      </c>
      <c r="S254" s="354" t="s">
        <v>82</v>
      </c>
      <c r="T254" s="354" t="s">
        <v>83</v>
      </c>
      <c r="U254" s="354" t="s">
        <v>84</v>
      </c>
      <c r="V254" s="354" t="s">
        <v>85</v>
      </c>
      <c r="W254" s="354" t="s">
        <v>86</v>
      </c>
      <c r="X254" s="354" t="s">
        <v>87</v>
      </c>
      <c r="Y254" s="354" t="s">
        <v>88</v>
      </c>
      <c r="Z254" s="354" t="s">
        <v>89</v>
      </c>
      <c r="AA254" s="354" t="s">
        <v>8</v>
      </c>
      <c r="AB254" s="354" t="s">
        <v>9</v>
      </c>
      <c r="AC254" s="354" t="s">
        <v>10</v>
      </c>
      <c r="AD254" s="354" t="s">
        <v>11</v>
      </c>
      <c r="AE254" s="354" t="s">
        <v>12</v>
      </c>
      <c r="AF254" s="354" t="s">
        <v>13</v>
      </c>
      <c r="AG254" s="354" t="s">
        <v>14</v>
      </c>
      <c r="AH254" s="354" t="s">
        <v>15</v>
      </c>
      <c r="AI254" s="354" t="s">
        <v>16</v>
      </c>
      <c r="AJ254" s="354" t="s">
        <v>17</v>
      </c>
      <c r="AK254" s="354" t="s">
        <v>18</v>
      </c>
      <c r="AL254" s="354" t="s">
        <v>19</v>
      </c>
    </row>
    <row r="255" spans="1:38" ht="15" customHeight="1">
      <c r="A255" s="196" t="s">
        <v>370</v>
      </c>
      <c r="B255" s="328">
        <v>1</v>
      </c>
      <c r="C255" s="355"/>
      <c r="D255" s="355"/>
      <c r="E255" s="355"/>
      <c r="F255" s="355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>
        <v>0</v>
      </c>
      <c r="AA255" s="199">
        <f>SUMIFS([1]!Data_Loan[Value],[1]!Data_Loan[Index Loan],'Dong Lam'!$B255,[1]!Data_Loan[TenCongTyID],'Dong Lam'!$B$1,[1]!Data_Loan[Thang.Nam],'Dong Lam'!AA$254)</f>
        <v>0</v>
      </c>
      <c r="AB255" s="199">
        <f>SUMIFS([1]!Data_Loan[Value],[1]!Data_Loan[Index Loan],'Dong Lam'!$B255,[1]!Data_Loan[TenCongTyID],'Dong Lam'!$B$1,[1]!Data_Loan[Thang.Nam],'Dong Lam'!AB$254)</f>
        <v>0</v>
      </c>
      <c r="AC255" s="199">
        <f>SUMIFS([1]!Data_Loan[Value],[1]!Data_Loan[Index Loan],'Dong Lam'!$B255,[1]!Data_Loan[TenCongTyID],'Dong Lam'!$B$1,[1]!Data_Loan[Thang.Nam],'Dong Lam'!AC$254)</f>
        <v>0</v>
      </c>
      <c r="AD255" s="199">
        <f>SUMIFS([1]!Data_Loan[Value],[1]!Data_Loan[Index Loan],'Dong Lam'!$B255,[1]!Data_Loan[TenCongTyID],'Dong Lam'!$B$1,[1]!Data_Loan[Thang.Nam],'Dong Lam'!AD$254)</f>
        <v>0</v>
      </c>
      <c r="AE255" s="199">
        <f>SUMIFS([1]!Data_Loan[Value],[1]!Data_Loan[Index Loan],'Dong Lam'!$B255,[1]!Data_Loan[TenCongTyID],'Dong Lam'!$B$1,[1]!Data_Loan[Thang.Nam],'Dong Lam'!AE$254)</f>
        <v>0</v>
      </c>
      <c r="AF255" s="199">
        <f>SUMIFS([1]!Data_Loan[Value],[1]!Data_Loan[Index Loan],'Dong Lam'!$B255,[1]!Data_Loan[TenCongTyID],'Dong Lam'!$B$1,[1]!Data_Loan[Thang.Nam],'Dong Lam'!AF$254)</f>
        <v>0</v>
      </c>
      <c r="AG255" s="199">
        <f>SUMIFS([1]!Data_Loan[Value],[1]!Data_Loan[Index Loan],'Dong Lam'!$B255,[1]!Data_Loan[TenCongTyID],'Dong Lam'!$B$1,[1]!Data_Loan[Thang.Nam],'Dong Lam'!AG$254)</f>
        <v>0</v>
      </c>
      <c r="AH255" s="199">
        <f>SUMIFS([1]!Data_Loan[Value],[1]!Data_Loan[Index Loan],'Dong Lam'!$B255,[1]!Data_Loan[TenCongTyID],'Dong Lam'!$B$1,[1]!Data_Loan[Thang.Nam],'Dong Lam'!AH$254)</f>
        <v>0</v>
      </c>
      <c r="AI255" s="199">
        <f>SUMIFS([1]!Data_Loan[Value],[1]!Data_Loan[Index Loan],'Dong Lam'!$B255,[1]!Data_Loan[TenCongTyID],'Dong Lam'!$B$1,[1]!Data_Loan[Thang.Nam],'Dong Lam'!AI$254)</f>
        <v>0</v>
      </c>
      <c r="AJ255" s="199">
        <f>SUMIFS([1]!Data_Loan[Value],[1]!Data_Loan[Index Loan],'Dong Lam'!$B255,[1]!Data_Loan[TenCongTyID],'Dong Lam'!$B$1,[1]!Data_Loan[Thang.Nam],'Dong Lam'!AJ$254)</f>
        <v>0</v>
      </c>
      <c r="AK255" s="199">
        <f>SUMIFS([1]!Data_Loan[Value],[1]!Data_Loan[Index Loan],'Dong Lam'!$B255,[1]!Data_Loan[TenCongTyID],'Dong Lam'!$B$1,[1]!Data_Loan[Thang.Nam],'Dong Lam'!AK$254)</f>
        <v>0</v>
      </c>
      <c r="AL255" s="199">
        <f>SUMIFS([1]!Data_Loan[Value],[1]!Data_Loan[Index Loan],'Dong Lam'!$B255,[1]!Data_Loan[TenCongTyID],'Dong Lam'!$B$1,[1]!Data_Loan[Thang.Nam],'Dong Lam'!AL$254)</f>
        <v>0</v>
      </c>
    </row>
    <row r="256" spans="1:38" ht="15" customHeight="1">
      <c r="A256" s="200" t="s">
        <v>341</v>
      </c>
      <c r="B256" s="329">
        <v>2</v>
      </c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>
        <v>0</v>
      </c>
      <c r="AA256" s="201">
        <f>SUMIFS([1]!Data_Loan[Value],[1]!Data_Loan[Index Loan],'Dong Lam'!$B256,[1]!Data_Loan[TenCongTyID],'Dong Lam'!$B$1,[1]!Data_Loan[Thang.Nam],'Dong Lam'!AA$254)</f>
        <v>0</v>
      </c>
      <c r="AB256" s="201">
        <f>SUMIFS([1]!Data_Loan[Value],[1]!Data_Loan[Index Loan],'Dong Lam'!$B256,[1]!Data_Loan[TenCongTyID],'Dong Lam'!$B$1,[1]!Data_Loan[Thang.Nam],'Dong Lam'!AB$254)</f>
        <v>0</v>
      </c>
      <c r="AC256" s="201">
        <f>SUMIFS([1]!Data_Loan[Value],[1]!Data_Loan[Index Loan],'Dong Lam'!$B256,[1]!Data_Loan[TenCongTyID],'Dong Lam'!$B$1,[1]!Data_Loan[Thang.Nam],'Dong Lam'!AC$254)</f>
        <v>0</v>
      </c>
      <c r="AD256" s="201">
        <f>SUMIFS([1]!Data_Loan[Value],[1]!Data_Loan[Index Loan],'Dong Lam'!$B256,[1]!Data_Loan[TenCongTyID],'Dong Lam'!$B$1,[1]!Data_Loan[Thang.Nam],'Dong Lam'!AD$254)</f>
        <v>0</v>
      </c>
      <c r="AE256" s="201">
        <f>SUMIFS([1]!Data_Loan[Value],[1]!Data_Loan[Index Loan],'Dong Lam'!$B256,[1]!Data_Loan[TenCongTyID],'Dong Lam'!$B$1,[1]!Data_Loan[Thang.Nam],'Dong Lam'!AE$254)</f>
        <v>0</v>
      </c>
      <c r="AF256" s="201">
        <f>SUMIFS([1]!Data_Loan[Value],[1]!Data_Loan[Index Loan],'Dong Lam'!$B256,[1]!Data_Loan[TenCongTyID],'Dong Lam'!$B$1,[1]!Data_Loan[Thang.Nam],'Dong Lam'!AF$254)</f>
        <v>0</v>
      </c>
      <c r="AG256" s="201">
        <f>SUMIFS([1]!Data_Loan[Value],[1]!Data_Loan[Index Loan],'Dong Lam'!$B256,[1]!Data_Loan[TenCongTyID],'Dong Lam'!$B$1,[1]!Data_Loan[Thang.Nam],'Dong Lam'!AG$254)</f>
        <v>0</v>
      </c>
      <c r="AH256" s="201">
        <f>SUMIFS([1]!Data_Loan[Value],[1]!Data_Loan[Index Loan],'Dong Lam'!$B256,[1]!Data_Loan[TenCongTyID],'Dong Lam'!$B$1,[1]!Data_Loan[Thang.Nam],'Dong Lam'!AH$254)</f>
        <v>0</v>
      </c>
      <c r="AI256" s="201">
        <f>SUMIFS([1]!Data_Loan[Value],[1]!Data_Loan[Index Loan],'Dong Lam'!$B256,[1]!Data_Loan[TenCongTyID],'Dong Lam'!$B$1,[1]!Data_Loan[Thang.Nam],'Dong Lam'!AI$254)</f>
        <v>0</v>
      </c>
      <c r="AJ256" s="201">
        <f>SUMIFS([1]!Data_Loan[Value],[1]!Data_Loan[Index Loan],'Dong Lam'!$B256,[1]!Data_Loan[TenCongTyID],'Dong Lam'!$B$1,[1]!Data_Loan[Thang.Nam],'Dong Lam'!AJ$254)</f>
        <v>0</v>
      </c>
      <c r="AK256" s="201">
        <f>SUMIFS([1]!Data_Loan[Value],[1]!Data_Loan[Index Loan],'Dong Lam'!$B256,[1]!Data_Loan[TenCongTyID],'Dong Lam'!$B$1,[1]!Data_Loan[Thang.Nam],'Dong Lam'!AK$254)</f>
        <v>0</v>
      </c>
      <c r="AL256" s="201">
        <f>SUMIFS([1]!Data_Loan[Value],[1]!Data_Loan[Index Loan],'Dong Lam'!$B256,[1]!Data_Loan[TenCongTyID],'Dong Lam'!$B$1,[1]!Data_Loan[Thang.Nam],'Dong Lam'!AL$254)</f>
        <v>0</v>
      </c>
    </row>
    <row r="257" spans="1:38" ht="15" customHeight="1">
      <c r="A257" s="200" t="s">
        <v>342</v>
      </c>
      <c r="B257" s="329">
        <v>3</v>
      </c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>
        <v>0</v>
      </c>
      <c r="AA257" s="201">
        <f>SUMIFS([1]!Data_Loan[Value],[1]!Data_Loan[Index Loan],'Dong Lam'!$B257,[1]!Data_Loan[TenCongTyID],'Dong Lam'!$B$1,[1]!Data_Loan[Thang.Nam],'Dong Lam'!AA$254)</f>
        <v>0</v>
      </c>
      <c r="AB257" s="201">
        <f>SUMIFS([1]!Data_Loan[Value],[1]!Data_Loan[Index Loan],'Dong Lam'!$B257,[1]!Data_Loan[TenCongTyID],'Dong Lam'!$B$1,[1]!Data_Loan[Thang.Nam],'Dong Lam'!AB$254)</f>
        <v>0</v>
      </c>
      <c r="AC257" s="201">
        <f>SUMIFS([1]!Data_Loan[Value],[1]!Data_Loan[Index Loan],'Dong Lam'!$B257,[1]!Data_Loan[TenCongTyID],'Dong Lam'!$B$1,[1]!Data_Loan[Thang.Nam],'Dong Lam'!AC$254)</f>
        <v>0</v>
      </c>
      <c r="AD257" s="201">
        <f>SUMIFS([1]!Data_Loan[Value],[1]!Data_Loan[Index Loan],'Dong Lam'!$B257,[1]!Data_Loan[TenCongTyID],'Dong Lam'!$B$1,[1]!Data_Loan[Thang.Nam],'Dong Lam'!AD$254)</f>
        <v>0</v>
      </c>
      <c r="AE257" s="201">
        <f>SUMIFS([1]!Data_Loan[Value],[1]!Data_Loan[Index Loan],'Dong Lam'!$B257,[1]!Data_Loan[TenCongTyID],'Dong Lam'!$B$1,[1]!Data_Loan[Thang.Nam],'Dong Lam'!AE$254)</f>
        <v>0</v>
      </c>
      <c r="AF257" s="201">
        <f>SUMIFS([1]!Data_Loan[Value],[1]!Data_Loan[Index Loan],'Dong Lam'!$B257,[1]!Data_Loan[TenCongTyID],'Dong Lam'!$B$1,[1]!Data_Loan[Thang.Nam],'Dong Lam'!AF$254)</f>
        <v>0</v>
      </c>
      <c r="AG257" s="201">
        <f>SUMIFS([1]!Data_Loan[Value],[1]!Data_Loan[Index Loan],'Dong Lam'!$B257,[1]!Data_Loan[TenCongTyID],'Dong Lam'!$B$1,[1]!Data_Loan[Thang.Nam],'Dong Lam'!AG$254)</f>
        <v>0</v>
      </c>
      <c r="AH257" s="201">
        <f>SUMIFS([1]!Data_Loan[Value],[1]!Data_Loan[Index Loan],'Dong Lam'!$B257,[1]!Data_Loan[TenCongTyID],'Dong Lam'!$B$1,[1]!Data_Loan[Thang.Nam],'Dong Lam'!AH$254)</f>
        <v>0</v>
      </c>
      <c r="AI257" s="201">
        <f>SUMIFS([1]!Data_Loan[Value],[1]!Data_Loan[Index Loan],'Dong Lam'!$B257,[1]!Data_Loan[TenCongTyID],'Dong Lam'!$B$1,[1]!Data_Loan[Thang.Nam],'Dong Lam'!AI$254)</f>
        <v>0</v>
      </c>
      <c r="AJ257" s="201">
        <f>SUMIFS([1]!Data_Loan[Value],[1]!Data_Loan[Index Loan],'Dong Lam'!$B257,[1]!Data_Loan[TenCongTyID],'Dong Lam'!$B$1,[1]!Data_Loan[Thang.Nam],'Dong Lam'!AJ$254)</f>
        <v>0</v>
      </c>
      <c r="AK257" s="201">
        <f>SUMIFS([1]!Data_Loan[Value],[1]!Data_Loan[Index Loan],'Dong Lam'!$B257,[1]!Data_Loan[TenCongTyID],'Dong Lam'!$B$1,[1]!Data_Loan[Thang.Nam],'Dong Lam'!AK$254)</f>
        <v>0</v>
      </c>
      <c r="AL257" s="201">
        <f>SUMIFS([1]!Data_Loan[Value],[1]!Data_Loan[Index Loan],'Dong Lam'!$B257,[1]!Data_Loan[TenCongTyID],'Dong Lam'!$B$1,[1]!Data_Loan[Thang.Nam],'Dong Lam'!AL$254)</f>
        <v>0</v>
      </c>
    </row>
    <row r="258" spans="1:38" ht="15" customHeight="1">
      <c r="A258" s="200" t="s">
        <v>343</v>
      </c>
      <c r="B258" s="329">
        <v>4</v>
      </c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>
        <v>0</v>
      </c>
      <c r="AA258" s="201">
        <f>SUMIFS([1]!Data_Loan[Value],[1]!Data_Loan[Index Loan],'Dong Lam'!$B258,[1]!Data_Loan[TenCongTyID],'Dong Lam'!$B$1,[1]!Data_Loan[Thang.Nam],'Dong Lam'!AA$254)</f>
        <v>0</v>
      </c>
      <c r="AB258" s="201">
        <f>SUMIFS([1]!Data_Loan[Value],[1]!Data_Loan[Index Loan],'Dong Lam'!$B258,[1]!Data_Loan[TenCongTyID],'Dong Lam'!$B$1,[1]!Data_Loan[Thang.Nam],'Dong Lam'!AB$254)</f>
        <v>0</v>
      </c>
      <c r="AC258" s="201">
        <f>SUMIFS([1]!Data_Loan[Value],[1]!Data_Loan[Index Loan],'Dong Lam'!$B258,[1]!Data_Loan[TenCongTyID],'Dong Lam'!$B$1,[1]!Data_Loan[Thang.Nam],'Dong Lam'!AC$254)</f>
        <v>0</v>
      </c>
      <c r="AD258" s="201">
        <f>SUMIFS([1]!Data_Loan[Value],[1]!Data_Loan[Index Loan],'Dong Lam'!$B258,[1]!Data_Loan[TenCongTyID],'Dong Lam'!$B$1,[1]!Data_Loan[Thang.Nam],'Dong Lam'!AD$254)</f>
        <v>0</v>
      </c>
      <c r="AE258" s="201">
        <f>SUMIFS([1]!Data_Loan[Value],[1]!Data_Loan[Index Loan],'Dong Lam'!$B258,[1]!Data_Loan[TenCongTyID],'Dong Lam'!$B$1,[1]!Data_Loan[Thang.Nam],'Dong Lam'!AE$254)</f>
        <v>0</v>
      </c>
      <c r="AF258" s="201">
        <f>SUMIFS([1]!Data_Loan[Value],[1]!Data_Loan[Index Loan],'Dong Lam'!$B258,[1]!Data_Loan[TenCongTyID],'Dong Lam'!$B$1,[1]!Data_Loan[Thang.Nam],'Dong Lam'!AF$254)</f>
        <v>0</v>
      </c>
      <c r="AG258" s="201">
        <f>SUMIFS([1]!Data_Loan[Value],[1]!Data_Loan[Index Loan],'Dong Lam'!$B258,[1]!Data_Loan[TenCongTyID],'Dong Lam'!$B$1,[1]!Data_Loan[Thang.Nam],'Dong Lam'!AG$254)</f>
        <v>0</v>
      </c>
      <c r="AH258" s="201">
        <f>SUMIFS([1]!Data_Loan[Value],[1]!Data_Loan[Index Loan],'Dong Lam'!$B258,[1]!Data_Loan[TenCongTyID],'Dong Lam'!$B$1,[1]!Data_Loan[Thang.Nam],'Dong Lam'!AH$254)</f>
        <v>0</v>
      </c>
      <c r="AI258" s="201">
        <f>SUMIFS([1]!Data_Loan[Value],[1]!Data_Loan[Index Loan],'Dong Lam'!$B258,[1]!Data_Loan[TenCongTyID],'Dong Lam'!$B$1,[1]!Data_Loan[Thang.Nam],'Dong Lam'!AI$254)</f>
        <v>0</v>
      </c>
      <c r="AJ258" s="201">
        <f>SUMIFS([1]!Data_Loan[Value],[1]!Data_Loan[Index Loan],'Dong Lam'!$B258,[1]!Data_Loan[TenCongTyID],'Dong Lam'!$B$1,[1]!Data_Loan[Thang.Nam],'Dong Lam'!AJ$254)</f>
        <v>0</v>
      </c>
      <c r="AK258" s="201">
        <f>SUMIFS([1]!Data_Loan[Value],[1]!Data_Loan[Index Loan],'Dong Lam'!$B258,[1]!Data_Loan[TenCongTyID],'Dong Lam'!$B$1,[1]!Data_Loan[Thang.Nam],'Dong Lam'!AK$254)</f>
        <v>0</v>
      </c>
      <c r="AL258" s="201">
        <f>SUMIFS([1]!Data_Loan[Value],[1]!Data_Loan[Index Loan],'Dong Lam'!$B258,[1]!Data_Loan[TenCongTyID],'Dong Lam'!$B$1,[1]!Data_Loan[Thang.Nam],'Dong Lam'!AL$254)</f>
        <v>0</v>
      </c>
    </row>
    <row r="259" spans="1:38" ht="15" customHeight="1">
      <c r="A259" s="200" t="s">
        <v>344</v>
      </c>
      <c r="B259" s="329">
        <v>5</v>
      </c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>
        <v>0</v>
      </c>
      <c r="AA259" s="201">
        <f>SUMIFS([1]!Data_Loan[Value],[1]!Data_Loan[Index Loan],'Dong Lam'!$B259,[1]!Data_Loan[TenCongTyID],'Dong Lam'!$B$1,[1]!Data_Loan[Thang.Nam],'Dong Lam'!AA$254)</f>
        <v>0</v>
      </c>
      <c r="AB259" s="201">
        <f>SUMIFS([1]!Data_Loan[Value],[1]!Data_Loan[Index Loan],'Dong Lam'!$B259,[1]!Data_Loan[TenCongTyID],'Dong Lam'!$B$1,[1]!Data_Loan[Thang.Nam],'Dong Lam'!AB$254)</f>
        <v>0</v>
      </c>
      <c r="AC259" s="201">
        <f>SUMIFS([1]!Data_Loan[Value],[1]!Data_Loan[Index Loan],'Dong Lam'!$B259,[1]!Data_Loan[TenCongTyID],'Dong Lam'!$B$1,[1]!Data_Loan[Thang.Nam],'Dong Lam'!AC$254)</f>
        <v>0</v>
      </c>
      <c r="AD259" s="201">
        <f>SUMIFS([1]!Data_Loan[Value],[1]!Data_Loan[Index Loan],'Dong Lam'!$B259,[1]!Data_Loan[TenCongTyID],'Dong Lam'!$B$1,[1]!Data_Loan[Thang.Nam],'Dong Lam'!AD$254)</f>
        <v>0</v>
      </c>
      <c r="AE259" s="201">
        <f>SUMIFS([1]!Data_Loan[Value],[1]!Data_Loan[Index Loan],'Dong Lam'!$B259,[1]!Data_Loan[TenCongTyID],'Dong Lam'!$B$1,[1]!Data_Loan[Thang.Nam],'Dong Lam'!AE$254)</f>
        <v>0</v>
      </c>
      <c r="AF259" s="201">
        <f>SUMIFS([1]!Data_Loan[Value],[1]!Data_Loan[Index Loan],'Dong Lam'!$B259,[1]!Data_Loan[TenCongTyID],'Dong Lam'!$B$1,[1]!Data_Loan[Thang.Nam],'Dong Lam'!AF$254)</f>
        <v>0</v>
      </c>
      <c r="AG259" s="201">
        <f>SUMIFS([1]!Data_Loan[Value],[1]!Data_Loan[Index Loan],'Dong Lam'!$B259,[1]!Data_Loan[TenCongTyID],'Dong Lam'!$B$1,[1]!Data_Loan[Thang.Nam],'Dong Lam'!AG$254)</f>
        <v>0</v>
      </c>
      <c r="AH259" s="201">
        <f>SUMIFS([1]!Data_Loan[Value],[1]!Data_Loan[Index Loan],'Dong Lam'!$B259,[1]!Data_Loan[TenCongTyID],'Dong Lam'!$B$1,[1]!Data_Loan[Thang.Nam],'Dong Lam'!AH$254)</f>
        <v>0</v>
      </c>
      <c r="AI259" s="201">
        <f>SUMIFS([1]!Data_Loan[Value],[1]!Data_Loan[Index Loan],'Dong Lam'!$B259,[1]!Data_Loan[TenCongTyID],'Dong Lam'!$B$1,[1]!Data_Loan[Thang.Nam],'Dong Lam'!AI$254)</f>
        <v>0</v>
      </c>
      <c r="AJ259" s="201">
        <f>SUMIFS([1]!Data_Loan[Value],[1]!Data_Loan[Index Loan],'Dong Lam'!$B259,[1]!Data_Loan[TenCongTyID],'Dong Lam'!$B$1,[1]!Data_Loan[Thang.Nam],'Dong Lam'!AJ$254)</f>
        <v>0</v>
      </c>
      <c r="AK259" s="201">
        <f>SUMIFS([1]!Data_Loan[Value],[1]!Data_Loan[Index Loan],'Dong Lam'!$B259,[1]!Data_Loan[TenCongTyID],'Dong Lam'!$B$1,[1]!Data_Loan[Thang.Nam],'Dong Lam'!AK$254)</f>
        <v>0</v>
      </c>
      <c r="AL259" s="201">
        <f>SUMIFS([1]!Data_Loan[Value],[1]!Data_Loan[Index Loan],'Dong Lam'!$B259,[1]!Data_Loan[TenCongTyID],'Dong Lam'!$B$1,[1]!Data_Loan[Thang.Nam],'Dong Lam'!AL$254)</f>
        <v>0</v>
      </c>
    </row>
    <row r="260" spans="1:38" ht="15" customHeight="1">
      <c r="A260" s="200" t="s">
        <v>345</v>
      </c>
      <c r="B260" s="329">
        <v>6</v>
      </c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>
        <v>0</v>
      </c>
      <c r="AA260" s="201">
        <f>SUMIFS([1]!Data_Loan[Value],[1]!Data_Loan[Index Loan],'Dong Lam'!$B260,[1]!Data_Loan[TenCongTyID],'Dong Lam'!$B$1,[1]!Data_Loan[Thang.Nam],'Dong Lam'!AA$254)</f>
        <v>0</v>
      </c>
      <c r="AB260" s="201">
        <f>SUMIFS([1]!Data_Loan[Value],[1]!Data_Loan[Index Loan],'Dong Lam'!$B260,[1]!Data_Loan[TenCongTyID],'Dong Lam'!$B$1,[1]!Data_Loan[Thang.Nam],'Dong Lam'!AB$254)</f>
        <v>0</v>
      </c>
      <c r="AC260" s="201">
        <f>SUMIFS([1]!Data_Loan[Value],[1]!Data_Loan[Index Loan],'Dong Lam'!$B260,[1]!Data_Loan[TenCongTyID],'Dong Lam'!$B$1,[1]!Data_Loan[Thang.Nam],'Dong Lam'!AC$254)</f>
        <v>0</v>
      </c>
      <c r="AD260" s="201">
        <f>SUMIFS([1]!Data_Loan[Value],[1]!Data_Loan[Index Loan],'Dong Lam'!$B260,[1]!Data_Loan[TenCongTyID],'Dong Lam'!$B$1,[1]!Data_Loan[Thang.Nam],'Dong Lam'!AD$254)</f>
        <v>0</v>
      </c>
      <c r="AE260" s="201">
        <f>SUMIFS([1]!Data_Loan[Value],[1]!Data_Loan[Index Loan],'Dong Lam'!$B260,[1]!Data_Loan[TenCongTyID],'Dong Lam'!$B$1,[1]!Data_Loan[Thang.Nam],'Dong Lam'!AE$254)</f>
        <v>0</v>
      </c>
      <c r="AF260" s="201">
        <f>SUMIFS([1]!Data_Loan[Value],[1]!Data_Loan[Index Loan],'Dong Lam'!$B260,[1]!Data_Loan[TenCongTyID],'Dong Lam'!$B$1,[1]!Data_Loan[Thang.Nam],'Dong Lam'!AF$254)</f>
        <v>0</v>
      </c>
      <c r="AG260" s="201">
        <f>SUMIFS([1]!Data_Loan[Value],[1]!Data_Loan[Index Loan],'Dong Lam'!$B260,[1]!Data_Loan[TenCongTyID],'Dong Lam'!$B$1,[1]!Data_Loan[Thang.Nam],'Dong Lam'!AG$254)</f>
        <v>0</v>
      </c>
      <c r="AH260" s="201">
        <f>SUMIFS([1]!Data_Loan[Value],[1]!Data_Loan[Index Loan],'Dong Lam'!$B260,[1]!Data_Loan[TenCongTyID],'Dong Lam'!$B$1,[1]!Data_Loan[Thang.Nam],'Dong Lam'!AH$254)</f>
        <v>0</v>
      </c>
      <c r="AI260" s="201">
        <f>SUMIFS([1]!Data_Loan[Value],[1]!Data_Loan[Index Loan],'Dong Lam'!$B260,[1]!Data_Loan[TenCongTyID],'Dong Lam'!$B$1,[1]!Data_Loan[Thang.Nam],'Dong Lam'!AI$254)</f>
        <v>0</v>
      </c>
      <c r="AJ260" s="201">
        <f>SUMIFS([1]!Data_Loan[Value],[1]!Data_Loan[Index Loan],'Dong Lam'!$B260,[1]!Data_Loan[TenCongTyID],'Dong Lam'!$B$1,[1]!Data_Loan[Thang.Nam],'Dong Lam'!AJ$254)</f>
        <v>0</v>
      </c>
      <c r="AK260" s="201">
        <f>SUMIFS([1]!Data_Loan[Value],[1]!Data_Loan[Index Loan],'Dong Lam'!$B260,[1]!Data_Loan[TenCongTyID],'Dong Lam'!$B$1,[1]!Data_Loan[Thang.Nam],'Dong Lam'!AK$254)</f>
        <v>0</v>
      </c>
      <c r="AL260" s="201">
        <f>SUMIFS([1]!Data_Loan[Value],[1]!Data_Loan[Index Loan],'Dong Lam'!$B260,[1]!Data_Loan[TenCongTyID],'Dong Lam'!$B$1,[1]!Data_Loan[Thang.Nam],'Dong Lam'!AL$254)</f>
        <v>0</v>
      </c>
    </row>
    <row r="261" spans="1:38" ht="15" customHeight="1">
      <c r="A261" s="200" t="s">
        <v>346</v>
      </c>
      <c r="B261" s="329">
        <v>7</v>
      </c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>
        <v>0</v>
      </c>
      <c r="AA261" s="201">
        <f>SUMIFS([1]!Data_Loan[Value],[1]!Data_Loan[Index Loan],'Dong Lam'!$B261,[1]!Data_Loan[TenCongTyID],'Dong Lam'!$B$1,[1]!Data_Loan[Thang.Nam],'Dong Lam'!AA$254)</f>
        <v>0</v>
      </c>
      <c r="AB261" s="201">
        <f>SUMIFS([1]!Data_Loan[Value],[1]!Data_Loan[Index Loan],'Dong Lam'!$B261,[1]!Data_Loan[TenCongTyID],'Dong Lam'!$B$1,[1]!Data_Loan[Thang.Nam],'Dong Lam'!AB$254)</f>
        <v>0</v>
      </c>
      <c r="AC261" s="201">
        <f>SUMIFS([1]!Data_Loan[Value],[1]!Data_Loan[Index Loan],'Dong Lam'!$B261,[1]!Data_Loan[TenCongTyID],'Dong Lam'!$B$1,[1]!Data_Loan[Thang.Nam],'Dong Lam'!AC$254)</f>
        <v>0</v>
      </c>
      <c r="AD261" s="201">
        <f>SUMIFS([1]!Data_Loan[Value],[1]!Data_Loan[Index Loan],'Dong Lam'!$B261,[1]!Data_Loan[TenCongTyID],'Dong Lam'!$B$1,[1]!Data_Loan[Thang.Nam],'Dong Lam'!AD$254)</f>
        <v>0</v>
      </c>
      <c r="AE261" s="201">
        <f>SUMIFS([1]!Data_Loan[Value],[1]!Data_Loan[Index Loan],'Dong Lam'!$B261,[1]!Data_Loan[TenCongTyID],'Dong Lam'!$B$1,[1]!Data_Loan[Thang.Nam],'Dong Lam'!AE$254)</f>
        <v>0</v>
      </c>
      <c r="AF261" s="201">
        <f>SUMIFS([1]!Data_Loan[Value],[1]!Data_Loan[Index Loan],'Dong Lam'!$B261,[1]!Data_Loan[TenCongTyID],'Dong Lam'!$B$1,[1]!Data_Loan[Thang.Nam],'Dong Lam'!AF$254)</f>
        <v>0</v>
      </c>
      <c r="AG261" s="201">
        <f>SUMIFS([1]!Data_Loan[Value],[1]!Data_Loan[Index Loan],'Dong Lam'!$B261,[1]!Data_Loan[TenCongTyID],'Dong Lam'!$B$1,[1]!Data_Loan[Thang.Nam],'Dong Lam'!AG$254)</f>
        <v>0</v>
      </c>
      <c r="AH261" s="201">
        <f>SUMIFS([1]!Data_Loan[Value],[1]!Data_Loan[Index Loan],'Dong Lam'!$B261,[1]!Data_Loan[TenCongTyID],'Dong Lam'!$B$1,[1]!Data_Loan[Thang.Nam],'Dong Lam'!AH$254)</f>
        <v>0</v>
      </c>
      <c r="AI261" s="201">
        <f>SUMIFS([1]!Data_Loan[Value],[1]!Data_Loan[Index Loan],'Dong Lam'!$B261,[1]!Data_Loan[TenCongTyID],'Dong Lam'!$B$1,[1]!Data_Loan[Thang.Nam],'Dong Lam'!AI$254)</f>
        <v>0</v>
      </c>
      <c r="AJ261" s="201">
        <f>SUMIFS([1]!Data_Loan[Value],[1]!Data_Loan[Index Loan],'Dong Lam'!$B261,[1]!Data_Loan[TenCongTyID],'Dong Lam'!$B$1,[1]!Data_Loan[Thang.Nam],'Dong Lam'!AJ$254)</f>
        <v>0</v>
      </c>
      <c r="AK261" s="201">
        <f>SUMIFS([1]!Data_Loan[Value],[1]!Data_Loan[Index Loan],'Dong Lam'!$B261,[1]!Data_Loan[TenCongTyID],'Dong Lam'!$B$1,[1]!Data_Loan[Thang.Nam],'Dong Lam'!AK$254)</f>
        <v>0</v>
      </c>
      <c r="AL261" s="201">
        <f>SUMIFS([1]!Data_Loan[Value],[1]!Data_Loan[Index Loan],'Dong Lam'!$B261,[1]!Data_Loan[TenCongTyID],'Dong Lam'!$B$1,[1]!Data_Loan[Thang.Nam],'Dong Lam'!AL$254)</f>
        <v>0</v>
      </c>
    </row>
    <row r="262" spans="1:38" ht="15" customHeight="1">
      <c r="A262" s="200" t="s">
        <v>347</v>
      </c>
      <c r="B262" s="329">
        <v>8</v>
      </c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>
        <v>0</v>
      </c>
      <c r="AA262" s="201">
        <f>SUMIFS([1]!Data_Loan[Value],[1]!Data_Loan[Index Loan],'Dong Lam'!$B262,[1]!Data_Loan[TenCongTyID],'Dong Lam'!$B$1,[1]!Data_Loan[Thang.Nam],'Dong Lam'!AA$254)</f>
        <v>0</v>
      </c>
      <c r="AB262" s="201">
        <f>SUMIFS([1]!Data_Loan[Value],[1]!Data_Loan[Index Loan],'Dong Lam'!$B262,[1]!Data_Loan[TenCongTyID],'Dong Lam'!$B$1,[1]!Data_Loan[Thang.Nam],'Dong Lam'!AB$254)</f>
        <v>0</v>
      </c>
      <c r="AC262" s="201">
        <f>SUMIFS([1]!Data_Loan[Value],[1]!Data_Loan[Index Loan],'Dong Lam'!$B262,[1]!Data_Loan[TenCongTyID],'Dong Lam'!$B$1,[1]!Data_Loan[Thang.Nam],'Dong Lam'!AC$254)</f>
        <v>0</v>
      </c>
      <c r="AD262" s="201">
        <f>SUMIFS([1]!Data_Loan[Value],[1]!Data_Loan[Index Loan],'Dong Lam'!$B262,[1]!Data_Loan[TenCongTyID],'Dong Lam'!$B$1,[1]!Data_Loan[Thang.Nam],'Dong Lam'!AD$254)</f>
        <v>0</v>
      </c>
      <c r="AE262" s="201">
        <f>SUMIFS([1]!Data_Loan[Value],[1]!Data_Loan[Index Loan],'Dong Lam'!$B262,[1]!Data_Loan[TenCongTyID],'Dong Lam'!$B$1,[1]!Data_Loan[Thang.Nam],'Dong Lam'!AE$254)</f>
        <v>0</v>
      </c>
      <c r="AF262" s="201">
        <f>SUMIFS([1]!Data_Loan[Value],[1]!Data_Loan[Index Loan],'Dong Lam'!$B262,[1]!Data_Loan[TenCongTyID],'Dong Lam'!$B$1,[1]!Data_Loan[Thang.Nam],'Dong Lam'!AF$254)</f>
        <v>0</v>
      </c>
      <c r="AG262" s="201">
        <f>SUMIFS([1]!Data_Loan[Value],[1]!Data_Loan[Index Loan],'Dong Lam'!$B262,[1]!Data_Loan[TenCongTyID],'Dong Lam'!$B$1,[1]!Data_Loan[Thang.Nam],'Dong Lam'!AG$254)</f>
        <v>0</v>
      </c>
      <c r="AH262" s="201">
        <f>SUMIFS([1]!Data_Loan[Value],[1]!Data_Loan[Index Loan],'Dong Lam'!$B262,[1]!Data_Loan[TenCongTyID],'Dong Lam'!$B$1,[1]!Data_Loan[Thang.Nam],'Dong Lam'!AH$254)</f>
        <v>0</v>
      </c>
      <c r="AI262" s="201">
        <f>SUMIFS([1]!Data_Loan[Value],[1]!Data_Loan[Index Loan],'Dong Lam'!$B262,[1]!Data_Loan[TenCongTyID],'Dong Lam'!$B$1,[1]!Data_Loan[Thang.Nam],'Dong Lam'!AI$254)</f>
        <v>0</v>
      </c>
      <c r="AJ262" s="201">
        <f>SUMIFS([1]!Data_Loan[Value],[1]!Data_Loan[Index Loan],'Dong Lam'!$B262,[1]!Data_Loan[TenCongTyID],'Dong Lam'!$B$1,[1]!Data_Loan[Thang.Nam],'Dong Lam'!AJ$254)</f>
        <v>0</v>
      </c>
      <c r="AK262" s="201">
        <f>SUMIFS([1]!Data_Loan[Value],[1]!Data_Loan[Index Loan],'Dong Lam'!$B262,[1]!Data_Loan[TenCongTyID],'Dong Lam'!$B$1,[1]!Data_Loan[Thang.Nam],'Dong Lam'!AK$254)</f>
        <v>0</v>
      </c>
      <c r="AL262" s="201">
        <f>SUMIFS([1]!Data_Loan[Value],[1]!Data_Loan[Index Loan],'Dong Lam'!$B262,[1]!Data_Loan[TenCongTyID],'Dong Lam'!$B$1,[1]!Data_Loan[Thang.Nam],'Dong Lam'!AL$254)</f>
        <v>0</v>
      </c>
    </row>
    <row r="263" spans="1:38" ht="15" customHeight="1">
      <c r="A263" s="200"/>
      <c r="B263" s="329">
        <v>9</v>
      </c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>
        <v>0</v>
      </c>
      <c r="AA263" s="201">
        <f>SUMIFS([1]!Data_Loan[Value],[1]!Data_Loan[Index Loan],'Dong Lam'!$B263,[1]!Data_Loan[TenCongTyID],'Dong Lam'!$B$1,[1]!Data_Loan[Thang.Nam],'Dong Lam'!AA$254)</f>
        <v>0</v>
      </c>
      <c r="AB263" s="201">
        <f>SUMIFS([1]!Data_Loan[Value],[1]!Data_Loan[Index Loan],'Dong Lam'!$B263,[1]!Data_Loan[TenCongTyID],'Dong Lam'!$B$1,[1]!Data_Loan[Thang.Nam],'Dong Lam'!AB$254)</f>
        <v>0</v>
      </c>
      <c r="AC263" s="201">
        <f>SUMIFS([1]!Data_Loan[Value],[1]!Data_Loan[Index Loan],'Dong Lam'!$B263,[1]!Data_Loan[TenCongTyID],'Dong Lam'!$B$1,[1]!Data_Loan[Thang.Nam],'Dong Lam'!AC$254)</f>
        <v>0</v>
      </c>
      <c r="AD263" s="201">
        <f>SUMIFS([1]!Data_Loan[Value],[1]!Data_Loan[Index Loan],'Dong Lam'!$B263,[1]!Data_Loan[TenCongTyID],'Dong Lam'!$B$1,[1]!Data_Loan[Thang.Nam],'Dong Lam'!AD$254)</f>
        <v>0</v>
      </c>
      <c r="AE263" s="201">
        <f>SUMIFS([1]!Data_Loan[Value],[1]!Data_Loan[Index Loan],'Dong Lam'!$B263,[1]!Data_Loan[TenCongTyID],'Dong Lam'!$B$1,[1]!Data_Loan[Thang.Nam],'Dong Lam'!AE$254)</f>
        <v>0</v>
      </c>
      <c r="AF263" s="201">
        <f>SUMIFS([1]!Data_Loan[Value],[1]!Data_Loan[Index Loan],'Dong Lam'!$B263,[1]!Data_Loan[TenCongTyID],'Dong Lam'!$B$1,[1]!Data_Loan[Thang.Nam],'Dong Lam'!AF$254)</f>
        <v>0</v>
      </c>
      <c r="AG263" s="201">
        <f>SUMIFS([1]!Data_Loan[Value],[1]!Data_Loan[Index Loan],'Dong Lam'!$B263,[1]!Data_Loan[TenCongTyID],'Dong Lam'!$B$1,[1]!Data_Loan[Thang.Nam],'Dong Lam'!AG$254)</f>
        <v>0</v>
      </c>
      <c r="AH263" s="201">
        <f>SUMIFS([1]!Data_Loan[Value],[1]!Data_Loan[Index Loan],'Dong Lam'!$B263,[1]!Data_Loan[TenCongTyID],'Dong Lam'!$B$1,[1]!Data_Loan[Thang.Nam],'Dong Lam'!AH$254)</f>
        <v>0</v>
      </c>
      <c r="AI263" s="201">
        <f>SUMIFS([1]!Data_Loan[Value],[1]!Data_Loan[Index Loan],'Dong Lam'!$B263,[1]!Data_Loan[TenCongTyID],'Dong Lam'!$B$1,[1]!Data_Loan[Thang.Nam],'Dong Lam'!AI$254)</f>
        <v>0</v>
      </c>
      <c r="AJ263" s="201">
        <f>SUMIFS([1]!Data_Loan[Value],[1]!Data_Loan[Index Loan],'Dong Lam'!$B263,[1]!Data_Loan[TenCongTyID],'Dong Lam'!$B$1,[1]!Data_Loan[Thang.Nam],'Dong Lam'!AJ$254)</f>
        <v>0</v>
      </c>
      <c r="AK263" s="201">
        <f>SUMIFS([1]!Data_Loan[Value],[1]!Data_Loan[Index Loan],'Dong Lam'!$B263,[1]!Data_Loan[TenCongTyID],'Dong Lam'!$B$1,[1]!Data_Loan[Thang.Nam],'Dong Lam'!AK$254)</f>
        <v>0</v>
      </c>
      <c r="AL263" s="201">
        <f>SUMIFS([1]!Data_Loan[Value],[1]!Data_Loan[Index Loan],'Dong Lam'!$B263,[1]!Data_Loan[TenCongTyID],'Dong Lam'!$B$1,[1]!Data_Loan[Thang.Nam],'Dong Lam'!AL$254)</f>
        <v>0</v>
      </c>
    </row>
    <row r="264" spans="1:38" ht="15" customHeight="1">
      <c r="A264" s="196" t="s">
        <v>340</v>
      </c>
      <c r="B264" s="328">
        <v>10</v>
      </c>
      <c r="C264" s="355"/>
      <c r="D264" s="355"/>
      <c r="E264" s="355"/>
      <c r="F264" s="355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>
        <v>0</v>
      </c>
      <c r="AA264" s="199">
        <f>SUMIFS([1]!Data_Loan[Value],[1]!Data_Loan[Index Loan],'Dong Lam'!$B264,[1]!Data_Loan[TenCongTyID],'Dong Lam'!$B$1,[1]!Data_Loan[Thang.Nam],'Dong Lam'!AA$254)</f>
        <v>0</v>
      </c>
      <c r="AB264" s="199">
        <f>SUMIFS([1]!Data_Loan[Value],[1]!Data_Loan[Index Loan],'Dong Lam'!$B264,[1]!Data_Loan[TenCongTyID],'Dong Lam'!$B$1,[1]!Data_Loan[Thang.Nam],'Dong Lam'!AB$254)</f>
        <v>0</v>
      </c>
      <c r="AC264" s="199">
        <f>SUMIFS([1]!Data_Loan[Value],[1]!Data_Loan[Index Loan],'Dong Lam'!$B264,[1]!Data_Loan[TenCongTyID],'Dong Lam'!$B$1,[1]!Data_Loan[Thang.Nam],'Dong Lam'!AC$254)</f>
        <v>0</v>
      </c>
      <c r="AD264" s="199">
        <f>SUMIFS([1]!Data_Loan[Value],[1]!Data_Loan[Index Loan],'Dong Lam'!$B264,[1]!Data_Loan[TenCongTyID],'Dong Lam'!$B$1,[1]!Data_Loan[Thang.Nam],'Dong Lam'!AD$254)</f>
        <v>0</v>
      </c>
      <c r="AE264" s="199">
        <f>SUMIFS([1]!Data_Loan[Value],[1]!Data_Loan[Index Loan],'Dong Lam'!$B264,[1]!Data_Loan[TenCongTyID],'Dong Lam'!$B$1,[1]!Data_Loan[Thang.Nam],'Dong Lam'!AE$254)</f>
        <v>0</v>
      </c>
      <c r="AF264" s="199">
        <f>SUMIFS([1]!Data_Loan[Value],[1]!Data_Loan[Index Loan],'Dong Lam'!$B264,[1]!Data_Loan[TenCongTyID],'Dong Lam'!$B$1,[1]!Data_Loan[Thang.Nam],'Dong Lam'!AF$254)</f>
        <v>0</v>
      </c>
      <c r="AG264" s="199">
        <f>SUMIFS([1]!Data_Loan[Value],[1]!Data_Loan[Index Loan],'Dong Lam'!$B264,[1]!Data_Loan[TenCongTyID],'Dong Lam'!$B$1,[1]!Data_Loan[Thang.Nam],'Dong Lam'!AG$254)</f>
        <v>0</v>
      </c>
      <c r="AH264" s="199">
        <f>SUMIFS([1]!Data_Loan[Value],[1]!Data_Loan[Index Loan],'Dong Lam'!$B264,[1]!Data_Loan[TenCongTyID],'Dong Lam'!$B$1,[1]!Data_Loan[Thang.Nam],'Dong Lam'!AH$254)</f>
        <v>0</v>
      </c>
      <c r="AI264" s="199">
        <f>SUMIFS([1]!Data_Loan[Value],[1]!Data_Loan[Index Loan],'Dong Lam'!$B264,[1]!Data_Loan[TenCongTyID],'Dong Lam'!$B$1,[1]!Data_Loan[Thang.Nam],'Dong Lam'!AI$254)</f>
        <v>0</v>
      </c>
      <c r="AJ264" s="199">
        <f>SUMIFS([1]!Data_Loan[Value],[1]!Data_Loan[Index Loan],'Dong Lam'!$B264,[1]!Data_Loan[TenCongTyID],'Dong Lam'!$B$1,[1]!Data_Loan[Thang.Nam],'Dong Lam'!AJ$254)</f>
        <v>0</v>
      </c>
      <c r="AK264" s="199">
        <f>SUMIFS([1]!Data_Loan[Value],[1]!Data_Loan[Index Loan],'Dong Lam'!$B264,[1]!Data_Loan[TenCongTyID],'Dong Lam'!$B$1,[1]!Data_Loan[Thang.Nam],'Dong Lam'!AK$254)</f>
        <v>0</v>
      </c>
      <c r="AL264" s="199">
        <f>SUMIFS([1]!Data_Loan[Value],[1]!Data_Loan[Index Loan],'Dong Lam'!$B264,[1]!Data_Loan[TenCongTyID],'Dong Lam'!$B$1,[1]!Data_Loan[Thang.Nam],'Dong Lam'!AL$254)</f>
        <v>0</v>
      </c>
    </row>
    <row r="265" spans="1:38" ht="15" customHeight="1">
      <c r="A265" s="200" t="s">
        <v>341</v>
      </c>
      <c r="B265" s="329">
        <v>11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>
        <v>0</v>
      </c>
      <c r="AA265" s="201">
        <f>SUMIFS([1]!Data_Loan[Value],[1]!Data_Loan[Index Loan],'Dong Lam'!$B265,[1]!Data_Loan[TenCongTyID],'Dong Lam'!$B$1,[1]!Data_Loan[Thang.Nam],'Dong Lam'!AA$254)</f>
        <v>0</v>
      </c>
      <c r="AB265" s="201">
        <f>SUMIFS([1]!Data_Loan[Value],[1]!Data_Loan[Index Loan],'Dong Lam'!$B265,[1]!Data_Loan[TenCongTyID],'Dong Lam'!$B$1,[1]!Data_Loan[Thang.Nam],'Dong Lam'!AB$254)</f>
        <v>0</v>
      </c>
      <c r="AC265" s="201">
        <f>SUMIFS([1]!Data_Loan[Value],[1]!Data_Loan[Index Loan],'Dong Lam'!$B265,[1]!Data_Loan[TenCongTyID],'Dong Lam'!$B$1,[1]!Data_Loan[Thang.Nam],'Dong Lam'!AC$254)</f>
        <v>0</v>
      </c>
      <c r="AD265" s="201">
        <f>SUMIFS([1]!Data_Loan[Value],[1]!Data_Loan[Index Loan],'Dong Lam'!$B265,[1]!Data_Loan[TenCongTyID],'Dong Lam'!$B$1,[1]!Data_Loan[Thang.Nam],'Dong Lam'!AD$254)</f>
        <v>0</v>
      </c>
      <c r="AE265" s="201">
        <f>SUMIFS([1]!Data_Loan[Value],[1]!Data_Loan[Index Loan],'Dong Lam'!$B265,[1]!Data_Loan[TenCongTyID],'Dong Lam'!$B$1,[1]!Data_Loan[Thang.Nam],'Dong Lam'!AE$254)</f>
        <v>0</v>
      </c>
      <c r="AF265" s="201">
        <f>SUMIFS([1]!Data_Loan[Value],[1]!Data_Loan[Index Loan],'Dong Lam'!$B265,[1]!Data_Loan[TenCongTyID],'Dong Lam'!$B$1,[1]!Data_Loan[Thang.Nam],'Dong Lam'!AF$254)</f>
        <v>0</v>
      </c>
      <c r="AG265" s="201">
        <f>SUMIFS([1]!Data_Loan[Value],[1]!Data_Loan[Index Loan],'Dong Lam'!$B265,[1]!Data_Loan[TenCongTyID],'Dong Lam'!$B$1,[1]!Data_Loan[Thang.Nam],'Dong Lam'!AG$254)</f>
        <v>0</v>
      </c>
      <c r="AH265" s="201">
        <f>SUMIFS([1]!Data_Loan[Value],[1]!Data_Loan[Index Loan],'Dong Lam'!$B265,[1]!Data_Loan[TenCongTyID],'Dong Lam'!$B$1,[1]!Data_Loan[Thang.Nam],'Dong Lam'!AH$254)</f>
        <v>0</v>
      </c>
      <c r="AI265" s="201">
        <f>SUMIFS([1]!Data_Loan[Value],[1]!Data_Loan[Index Loan],'Dong Lam'!$B265,[1]!Data_Loan[TenCongTyID],'Dong Lam'!$B$1,[1]!Data_Loan[Thang.Nam],'Dong Lam'!AI$254)</f>
        <v>0</v>
      </c>
      <c r="AJ265" s="201">
        <f>SUMIFS([1]!Data_Loan[Value],[1]!Data_Loan[Index Loan],'Dong Lam'!$B265,[1]!Data_Loan[TenCongTyID],'Dong Lam'!$B$1,[1]!Data_Loan[Thang.Nam],'Dong Lam'!AJ$254)</f>
        <v>0</v>
      </c>
      <c r="AK265" s="201">
        <f>SUMIFS([1]!Data_Loan[Value],[1]!Data_Loan[Index Loan],'Dong Lam'!$B265,[1]!Data_Loan[TenCongTyID],'Dong Lam'!$B$1,[1]!Data_Loan[Thang.Nam],'Dong Lam'!AK$254)</f>
        <v>0</v>
      </c>
      <c r="AL265" s="201">
        <f>SUMIFS([1]!Data_Loan[Value],[1]!Data_Loan[Index Loan],'Dong Lam'!$B265,[1]!Data_Loan[TenCongTyID],'Dong Lam'!$B$1,[1]!Data_Loan[Thang.Nam],'Dong Lam'!AL$254)</f>
        <v>0</v>
      </c>
    </row>
    <row r="266" spans="1:38" ht="15" customHeight="1">
      <c r="A266" s="200" t="s">
        <v>342</v>
      </c>
      <c r="B266" s="329">
        <v>12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>
        <v>0</v>
      </c>
      <c r="AA266" s="201">
        <f>SUMIFS([1]!Data_Loan[Value],[1]!Data_Loan[Index Loan],'Dong Lam'!$B266,[1]!Data_Loan[TenCongTyID],'Dong Lam'!$B$1,[1]!Data_Loan[Thang.Nam],'Dong Lam'!AA$254)</f>
        <v>0</v>
      </c>
      <c r="AB266" s="201">
        <f>SUMIFS([1]!Data_Loan[Value],[1]!Data_Loan[Index Loan],'Dong Lam'!$B266,[1]!Data_Loan[TenCongTyID],'Dong Lam'!$B$1,[1]!Data_Loan[Thang.Nam],'Dong Lam'!AB$254)</f>
        <v>0</v>
      </c>
      <c r="AC266" s="201">
        <f>SUMIFS([1]!Data_Loan[Value],[1]!Data_Loan[Index Loan],'Dong Lam'!$B266,[1]!Data_Loan[TenCongTyID],'Dong Lam'!$B$1,[1]!Data_Loan[Thang.Nam],'Dong Lam'!AC$254)</f>
        <v>0</v>
      </c>
      <c r="AD266" s="201">
        <f>SUMIFS([1]!Data_Loan[Value],[1]!Data_Loan[Index Loan],'Dong Lam'!$B266,[1]!Data_Loan[TenCongTyID],'Dong Lam'!$B$1,[1]!Data_Loan[Thang.Nam],'Dong Lam'!AD$254)</f>
        <v>0</v>
      </c>
      <c r="AE266" s="201">
        <f>SUMIFS([1]!Data_Loan[Value],[1]!Data_Loan[Index Loan],'Dong Lam'!$B266,[1]!Data_Loan[TenCongTyID],'Dong Lam'!$B$1,[1]!Data_Loan[Thang.Nam],'Dong Lam'!AE$254)</f>
        <v>0</v>
      </c>
      <c r="AF266" s="201">
        <f>SUMIFS([1]!Data_Loan[Value],[1]!Data_Loan[Index Loan],'Dong Lam'!$B266,[1]!Data_Loan[TenCongTyID],'Dong Lam'!$B$1,[1]!Data_Loan[Thang.Nam],'Dong Lam'!AF$254)</f>
        <v>0</v>
      </c>
      <c r="AG266" s="201">
        <f>SUMIFS([1]!Data_Loan[Value],[1]!Data_Loan[Index Loan],'Dong Lam'!$B266,[1]!Data_Loan[TenCongTyID],'Dong Lam'!$B$1,[1]!Data_Loan[Thang.Nam],'Dong Lam'!AG$254)</f>
        <v>0</v>
      </c>
      <c r="AH266" s="201">
        <f>SUMIFS([1]!Data_Loan[Value],[1]!Data_Loan[Index Loan],'Dong Lam'!$B266,[1]!Data_Loan[TenCongTyID],'Dong Lam'!$B$1,[1]!Data_Loan[Thang.Nam],'Dong Lam'!AH$254)</f>
        <v>0</v>
      </c>
      <c r="AI266" s="201">
        <f>SUMIFS([1]!Data_Loan[Value],[1]!Data_Loan[Index Loan],'Dong Lam'!$B266,[1]!Data_Loan[TenCongTyID],'Dong Lam'!$B$1,[1]!Data_Loan[Thang.Nam],'Dong Lam'!AI$254)</f>
        <v>0</v>
      </c>
      <c r="AJ266" s="201">
        <f>SUMIFS([1]!Data_Loan[Value],[1]!Data_Loan[Index Loan],'Dong Lam'!$B266,[1]!Data_Loan[TenCongTyID],'Dong Lam'!$B$1,[1]!Data_Loan[Thang.Nam],'Dong Lam'!AJ$254)</f>
        <v>0</v>
      </c>
      <c r="AK266" s="201">
        <f>SUMIFS([1]!Data_Loan[Value],[1]!Data_Loan[Index Loan],'Dong Lam'!$B266,[1]!Data_Loan[TenCongTyID],'Dong Lam'!$B$1,[1]!Data_Loan[Thang.Nam],'Dong Lam'!AK$254)</f>
        <v>0</v>
      </c>
      <c r="AL266" s="201">
        <f>SUMIFS([1]!Data_Loan[Value],[1]!Data_Loan[Index Loan],'Dong Lam'!$B266,[1]!Data_Loan[TenCongTyID],'Dong Lam'!$B$1,[1]!Data_Loan[Thang.Nam],'Dong Lam'!AL$254)</f>
        <v>0</v>
      </c>
    </row>
    <row r="267" spans="1:38" ht="15" customHeight="1">
      <c r="A267" s="200" t="s">
        <v>343</v>
      </c>
      <c r="B267" s="329">
        <v>13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>
        <v>0</v>
      </c>
      <c r="AA267" s="201">
        <f>SUMIFS([1]!Data_Loan[Value],[1]!Data_Loan[Index Loan],'Dong Lam'!$B267,[1]!Data_Loan[TenCongTyID],'Dong Lam'!$B$1,[1]!Data_Loan[Thang.Nam],'Dong Lam'!AA$254)</f>
        <v>0</v>
      </c>
      <c r="AB267" s="201">
        <f>SUMIFS([1]!Data_Loan[Value],[1]!Data_Loan[Index Loan],'Dong Lam'!$B267,[1]!Data_Loan[TenCongTyID],'Dong Lam'!$B$1,[1]!Data_Loan[Thang.Nam],'Dong Lam'!AB$254)</f>
        <v>0</v>
      </c>
      <c r="AC267" s="201">
        <f>SUMIFS([1]!Data_Loan[Value],[1]!Data_Loan[Index Loan],'Dong Lam'!$B267,[1]!Data_Loan[TenCongTyID],'Dong Lam'!$B$1,[1]!Data_Loan[Thang.Nam],'Dong Lam'!AC$254)</f>
        <v>0</v>
      </c>
      <c r="AD267" s="201">
        <f>SUMIFS([1]!Data_Loan[Value],[1]!Data_Loan[Index Loan],'Dong Lam'!$B267,[1]!Data_Loan[TenCongTyID],'Dong Lam'!$B$1,[1]!Data_Loan[Thang.Nam],'Dong Lam'!AD$254)</f>
        <v>0</v>
      </c>
      <c r="AE267" s="201">
        <f>SUMIFS([1]!Data_Loan[Value],[1]!Data_Loan[Index Loan],'Dong Lam'!$B267,[1]!Data_Loan[TenCongTyID],'Dong Lam'!$B$1,[1]!Data_Loan[Thang.Nam],'Dong Lam'!AE$254)</f>
        <v>0</v>
      </c>
      <c r="AF267" s="201">
        <f>SUMIFS([1]!Data_Loan[Value],[1]!Data_Loan[Index Loan],'Dong Lam'!$B267,[1]!Data_Loan[TenCongTyID],'Dong Lam'!$B$1,[1]!Data_Loan[Thang.Nam],'Dong Lam'!AF$254)</f>
        <v>0</v>
      </c>
      <c r="AG267" s="201">
        <f>SUMIFS([1]!Data_Loan[Value],[1]!Data_Loan[Index Loan],'Dong Lam'!$B267,[1]!Data_Loan[TenCongTyID],'Dong Lam'!$B$1,[1]!Data_Loan[Thang.Nam],'Dong Lam'!AG$254)</f>
        <v>0</v>
      </c>
      <c r="AH267" s="201">
        <f>SUMIFS([1]!Data_Loan[Value],[1]!Data_Loan[Index Loan],'Dong Lam'!$B267,[1]!Data_Loan[TenCongTyID],'Dong Lam'!$B$1,[1]!Data_Loan[Thang.Nam],'Dong Lam'!AH$254)</f>
        <v>0</v>
      </c>
      <c r="AI267" s="201">
        <f>SUMIFS([1]!Data_Loan[Value],[1]!Data_Loan[Index Loan],'Dong Lam'!$B267,[1]!Data_Loan[TenCongTyID],'Dong Lam'!$B$1,[1]!Data_Loan[Thang.Nam],'Dong Lam'!AI$254)</f>
        <v>0</v>
      </c>
      <c r="AJ267" s="201">
        <f>SUMIFS([1]!Data_Loan[Value],[1]!Data_Loan[Index Loan],'Dong Lam'!$B267,[1]!Data_Loan[TenCongTyID],'Dong Lam'!$B$1,[1]!Data_Loan[Thang.Nam],'Dong Lam'!AJ$254)</f>
        <v>0</v>
      </c>
      <c r="AK267" s="201">
        <f>SUMIFS([1]!Data_Loan[Value],[1]!Data_Loan[Index Loan],'Dong Lam'!$B267,[1]!Data_Loan[TenCongTyID],'Dong Lam'!$B$1,[1]!Data_Loan[Thang.Nam],'Dong Lam'!AK$254)</f>
        <v>0</v>
      </c>
      <c r="AL267" s="201">
        <f>SUMIFS([1]!Data_Loan[Value],[1]!Data_Loan[Index Loan],'Dong Lam'!$B267,[1]!Data_Loan[TenCongTyID],'Dong Lam'!$B$1,[1]!Data_Loan[Thang.Nam],'Dong Lam'!AL$254)</f>
        <v>0</v>
      </c>
    </row>
    <row r="268" spans="1:38" ht="15" customHeight="1">
      <c r="A268" s="200" t="s">
        <v>344</v>
      </c>
      <c r="B268" s="329">
        <v>14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>
        <v>0</v>
      </c>
      <c r="AA268" s="201">
        <f>SUMIFS([1]!Data_Loan[Value],[1]!Data_Loan[Index Loan],'Dong Lam'!$B268,[1]!Data_Loan[TenCongTyID],'Dong Lam'!$B$1,[1]!Data_Loan[Thang.Nam],'Dong Lam'!AA$254)</f>
        <v>0</v>
      </c>
      <c r="AB268" s="201">
        <f>SUMIFS([1]!Data_Loan[Value],[1]!Data_Loan[Index Loan],'Dong Lam'!$B268,[1]!Data_Loan[TenCongTyID],'Dong Lam'!$B$1,[1]!Data_Loan[Thang.Nam],'Dong Lam'!AB$254)</f>
        <v>0</v>
      </c>
      <c r="AC268" s="201">
        <f>SUMIFS([1]!Data_Loan[Value],[1]!Data_Loan[Index Loan],'Dong Lam'!$B268,[1]!Data_Loan[TenCongTyID],'Dong Lam'!$B$1,[1]!Data_Loan[Thang.Nam],'Dong Lam'!AC$254)</f>
        <v>0</v>
      </c>
      <c r="AD268" s="201">
        <f>SUMIFS([1]!Data_Loan[Value],[1]!Data_Loan[Index Loan],'Dong Lam'!$B268,[1]!Data_Loan[TenCongTyID],'Dong Lam'!$B$1,[1]!Data_Loan[Thang.Nam],'Dong Lam'!AD$254)</f>
        <v>0</v>
      </c>
      <c r="AE268" s="201">
        <f>SUMIFS([1]!Data_Loan[Value],[1]!Data_Loan[Index Loan],'Dong Lam'!$B268,[1]!Data_Loan[TenCongTyID],'Dong Lam'!$B$1,[1]!Data_Loan[Thang.Nam],'Dong Lam'!AE$254)</f>
        <v>0</v>
      </c>
      <c r="AF268" s="201">
        <f>SUMIFS([1]!Data_Loan[Value],[1]!Data_Loan[Index Loan],'Dong Lam'!$B268,[1]!Data_Loan[TenCongTyID],'Dong Lam'!$B$1,[1]!Data_Loan[Thang.Nam],'Dong Lam'!AF$254)</f>
        <v>0</v>
      </c>
      <c r="AG268" s="201">
        <f>SUMIFS([1]!Data_Loan[Value],[1]!Data_Loan[Index Loan],'Dong Lam'!$B268,[1]!Data_Loan[TenCongTyID],'Dong Lam'!$B$1,[1]!Data_Loan[Thang.Nam],'Dong Lam'!AG$254)</f>
        <v>0</v>
      </c>
      <c r="AH268" s="201">
        <f>SUMIFS([1]!Data_Loan[Value],[1]!Data_Loan[Index Loan],'Dong Lam'!$B268,[1]!Data_Loan[TenCongTyID],'Dong Lam'!$B$1,[1]!Data_Loan[Thang.Nam],'Dong Lam'!AH$254)</f>
        <v>0</v>
      </c>
      <c r="AI268" s="201">
        <f>SUMIFS([1]!Data_Loan[Value],[1]!Data_Loan[Index Loan],'Dong Lam'!$B268,[1]!Data_Loan[TenCongTyID],'Dong Lam'!$B$1,[1]!Data_Loan[Thang.Nam],'Dong Lam'!AI$254)</f>
        <v>0</v>
      </c>
      <c r="AJ268" s="201">
        <f>SUMIFS([1]!Data_Loan[Value],[1]!Data_Loan[Index Loan],'Dong Lam'!$B268,[1]!Data_Loan[TenCongTyID],'Dong Lam'!$B$1,[1]!Data_Loan[Thang.Nam],'Dong Lam'!AJ$254)</f>
        <v>0</v>
      </c>
      <c r="AK268" s="201">
        <f>SUMIFS([1]!Data_Loan[Value],[1]!Data_Loan[Index Loan],'Dong Lam'!$B268,[1]!Data_Loan[TenCongTyID],'Dong Lam'!$B$1,[1]!Data_Loan[Thang.Nam],'Dong Lam'!AK$254)</f>
        <v>0</v>
      </c>
      <c r="AL268" s="201">
        <f>SUMIFS([1]!Data_Loan[Value],[1]!Data_Loan[Index Loan],'Dong Lam'!$B268,[1]!Data_Loan[TenCongTyID],'Dong Lam'!$B$1,[1]!Data_Loan[Thang.Nam],'Dong Lam'!AL$254)</f>
        <v>0</v>
      </c>
    </row>
    <row r="269" spans="1:38" ht="15" customHeight="1">
      <c r="A269" s="200" t="s">
        <v>345</v>
      </c>
      <c r="B269" s="329">
        <v>15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>
        <v>0</v>
      </c>
      <c r="AA269" s="201">
        <f>SUMIFS([1]!Data_Loan[Value],[1]!Data_Loan[Index Loan],'Dong Lam'!$B269,[1]!Data_Loan[TenCongTyID],'Dong Lam'!$B$1,[1]!Data_Loan[Thang.Nam],'Dong Lam'!AA$254)</f>
        <v>0</v>
      </c>
      <c r="AB269" s="201">
        <f>SUMIFS([1]!Data_Loan[Value],[1]!Data_Loan[Index Loan],'Dong Lam'!$B269,[1]!Data_Loan[TenCongTyID],'Dong Lam'!$B$1,[1]!Data_Loan[Thang.Nam],'Dong Lam'!AB$254)</f>
        <v>0</v>
      </c>
      <c r="AC269" s="201">
        <f>SUMIFS([1]!Data_Loan[Value],[1]!Data_Loan[Index Loan],'Dong Lam'!$B269,[1]!Data_Loan[TenCongTyID],'Dong Lam'!$B$1,[1]!Data_Loan[Thang.Nam],'Dong Lam'!AC$254)</f>
        <v>0</v>
      </c>
      <c r="AD269" s="201">
        <f>SUMIFS([1]!Data_Loan[Value],[1]!Data_Loan[Index Loan],'Dong Lam'!$B269,[1]!Data_Loan[TenCongTyID],'Dong Lam'!$B$1,[1]!Data_Loan[Thang.Nam],'Dong Lam'!AD$254)</f>
        <v>0</v>
      </c>
      <c r="AE269" s="201">
        <f>SUMIFS([1]!Data_Loan[Value],[1]!Data_Loan[Index Loan],'Dong Lam'!$B269,[1]!Data_Loan[TenCongTyID],'Dong Lam'!$B$1,[1]!Data_Loan[Thang.Nam],'Dong Lam'!AE$254)</f>
        <v>0</v>
      </c>
      <c r="AF269" s="201">
        <f>SUMIFS([1]!Data_Loan[Value],[1]!Data_Loan[Index Loan],'Dong Lam'!$B269,[1]!Data_Loan[TenCongTyID],'Dong Lam'!$B$1,[1]!Data_Loan[Thang.Nam],'Dong Lam'!AF$254)</f>
        <v>0</v>
      </c>
      <c r="AG269" s="201">
        <f>SUMIFS([1]!Data_Loan[Value],[1]!Data_Loan[Index Loan],'Dong Lam'!$B269,[1]!Data_Loan[TenCongTyID],'Dong Lam'!$B$1,[1]!Data_Loan[Thang.Nam],'Dong Lam'!AG$254)</f>
        <v>0</v>
      </c>
      <c r="AH269" s="201">
        <f>SUMIFS([1]!Data_Loan[Value],[1]!Data_Loan[Index Loan],'Dong Lam'!$B269,[1]!Data_Loan[TenCongTyID],'Dong Lam'!$B$1,[1]!Data_Loan[Thang.Nam],'Dong Lam'!AH$254)</f>
        <v>0</v>
      </c>
      <c r="AI269" s="201">
        <f>SUMIFS([1]!Data_Loan[Value],[1]!Data_Loan[Index Loan],'Dong Lam'!$B269,[1]!Data_Loan[TenCongTyID],'Dong Lam'!$B$1,[1]!Data_Loan[Thang.Nam],'Dong Lam'!AI$254)</f>
        <v>0</v>
      </c>
      <c r="AJ269" s="201">
        <f>SUMIFS([1]!Data_Loan[Value],[1]!Data_Loan[Index Loan],'Dong Lam'!$B269,[1]!Data_Loan[TenCongTyID],'Dong Lam'!$B$1,[1]!Data_Loan[Thang.Nam],'Dong Lam'!AJ$254)</f>
        <v>0</v>
      </c>
      <c r="AK269" s="201">
        <f>SUMIFS([1]!Data_Loan[Value],[1]!Data_Loan[Index Loan],'Dong Lam'!$B269,[1]!Data_Loan[TenCongTyID],'Dong Lam'!$B$1,[1]!Data_Loan[Thang.Nam],'Dong Lam'!AK$254)</f>
        <v>0</v>
      </c>
      <c r="AL269" s="201">
        <f>SUMIFS([1]!Data_Loan[Value],[1]!Data_Loan[Index Loan],'Dong Lam'!$B269,[1]!Data_Loan[TenCongTyID],'Dong Lam'!$B$1,[1]!Data_Loan[Thang.Nam],'Dong Lam'!AL$254)</f>
        <v>0</v>
      </c>
    </row>
    <row r="270" spans="1:38" ht="15" customHeight="1">
      <c r="A270" s="200" t="s">
        <v>346</v>
      </c>
      <c r="B270" s="329">
        <v>16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>
        <v>0</v>
      </c>
      <c r="AA270" s="201">
        <f>SUMIFS([1]!Data_Loan[Value],[1]!Data_Loan[Index Loan],'Dong Lam'!$B270,[1]!Data_Loan[TenCongTyID],'Dong Lam'!$B$1,[1]!Data_Loan[Thang.Nam],'Dong Lam'!AA$254)</f>
        <v>0</v>
      </c>
      <c r="AB270" s="201">
        <f>SUMIFS([1]!Data_Loan[Value],[1]!Data_Loan[Index Loan],'Dong Lam'!$B270,[1]!Data_Loan[TenCongTyID],'Dong Lam'!$B$1,[1]!Data_Loan[Thang.Nam],'Dong Lam'!AB$254)</f>
        <v>0</v>
      </c>
      <c r="AC270" s="201">
        <f>SUMIFS([1]!Data_Loan[Value],[1]!Data_Loan[Index Loan],'Dong Lam'!$B270,[1]!Data_Loan[TenCongTyID],'Dong Lam'!$B$1,[1]!Data_Loan[Thang.Nam],'Dong Lam'!AC$254)</f>
        <v>0</v>
      </c>
      <c r="AD270" s="201">
        <f>SUMIFS([1]!Data_Loan[Value],[1]!Data_Loan[Index Loan],'Dong Lam'!$B270,[1]!Data_Loan[TenCongTyID],'Dong Lam'!$B$1,[1]!Data_Loan[Thang.Nam],'Dong Lam'!AD$254)</f>
        <v>0</v>
      </c>
      <c r="AE270" s="201">
        <f>SUMIFS([1]!Data_Loan[Value],[1]!Data_Loan[Index Loan],'Dong Lam'!$B270,[1]!Data_Loan[TenCongTyID],'Dong Lam'!$B$1,[1]!Data_Loan[Thang.Nam],'Dong Lam'!AE$254)</f>
        <v>0</v>
      </c>
      <c r="AF270" s="201">
        <f>SUMIFS([1]!Data_Loan[Value],[1]!Data_Loan[Index Loan],'Dong Lam'!$B270,[1]!Data_Loan[TenCongTyID],'Dong Lam'!$B$1,[1]!Data_Loan[Thang.Nam],'Dong Lam'!AF$254)</f>
        <v>0</v>
      </c>
      <c r="AG270" s="201">
        <f>SUMIFS([1]!Data_Loan[Value],[1]!Data_Loan[Index Loan],'Dong Lam'!$B270,[1]!Data_Loan[TenCongTyID],'Dong Lam'!$B$1,[1]!Data_Loan[Thang.Nam],'Dong Lam'!AG$254)</f>
        <v>0</v>
      </c>
      <c r="AH270" s="201">
        <f>SUMIFS([1]!Data_Loan[Value],[1]!Data_Loan[Index Loan],'Dong Lam'!$B270,[1]!Data_Loan[TenCongTyID],'Dong Lam'!$B$1,[1]!Data_Loan[Thang.Nam],'Dong Lam'!AH$254)</f>
        <v>0</v>
      </c>
      <c r="AI270" s="201">
        <f>SUMIFS([1]!Data_Loan[Value],[1]!Data_Loan[Index Loan],'Dong Lam'!$B270,[1]!Data_Loan[TenCongTyID],'Dong Lam'!$B$1,[1]!Data_Loan[Thang.Nam],'Dong Lam'!AI$254)</f>
        <v>0</v>
      </c>
      <c r="AJ270" s="201">
        <f>SUMIFS([1]!Data_Loan[Value],[1]!Data_Loan[Index Loan],'Dong Lam'!$B270,[1]!Data_Loan[TenCongTyID],'Dong Lam'!$B$1,[1]!Data_Loan[Thang.Nam],'Dong Lam'!AJ$254)</f>
        <v>0</v>
      </c>
      <c r="AK270" s="201">
        <f>SUMIFS([1]!Data_Loan[Value],[1]!Data_Loan[Index Loan],'Dong Lam'!$B270,[1]!Data_Loan[TenCongTyID],'Dong Lam'!$B$1,[1]!Data_Loan[Thang.Nam],'Dong Lam'!AK$254)</f>
        <v>0</v>
      </c>
      <c r="AL270" s="201">
        <f>SUMIFS([1]!Data_Loan[Value],[1]!Data_Loan[Index Loan],'Dong Lam'!$B270,[1]!Data_Loan[TenCongTyID],'Dong Lam'!$B$1,[1]!Data_Loan[Thang.Nam],'Dong Lam'!AL$254)</f>
        <v>0</v>
      </c>
    </row>
    <row r="271" spans="1:38" ht="15" customHeight="1">
      <c r="A271" s="200" t="s">
        <v>347</v>
      </c>
      <c r="B271" s="329">
        <v>17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>
        <v>0</v>
      </c>
      <c r="AA271" s="201">
        <f>SUMIFS([1]!Data_Loan[Value],[1]!Data_Loan[Index Loan],'Dong Lam'!$B271,[1]!Data_Loan[TenCongTyID],'Dong Lam'!$B$1,[1]!Data_Loan[Thang.Nam],'Dong Lam'!AA$254)</f>
        <v>0</v>
      </c>
      <c r="AB271" s="201">
        <f>SUMIFS([1]!Data_Loan[Value],[1]!Data_Loan[Index Loan],'Dong Lam'!$B271,[1]!Data_Loan[TenCongTyID],'Dong Lam'!$B$1,[1]!Data_Loan[Thang.Nam],'Dong Lam'!AB$254)</f>
        <v>0</v>
      </c>
      <c r="AC271" s="201">
        <f>SUMIFS([1]!Data_Loan[Value],[1]!Data_Loan[Index Loan],'Dong Lam'!$B271,[1]!Data_Loan[TenCongTyID],'Dong Lam'!$B$1,[1]!Data_Loan[Thang.Nam],'Dong Lam'!AC$254)</f>
        <v>0</v>
      </c>
      <c r="AD271" s="201">
        <f>SUMIFS([1]!Data_Loan[Value],[1]!Data_Loan[Index Loan],'Dong Lam'!$B271,[1]!Data_Loan[TenCongTyID],'Dong Lam'!$B$1,[1]!Data_Loan[Thang.Nam],'Dong Lam'!AD$254)</f>
        <v>0</v>
      </c>
      <c r="AE271" s="201">
        <f>SUMIFS([1]!Data_Loan[Value],[1]!Data_Loan[Index Loan],'Dong Lam'!$B271,[1]!Data_Loan[TenCongTyID],'Dong Lam'!$B$1,[1]!Data_Loan[Thang.Nam],'Dong Lam'!AE$254)</f>
        <v>0</v>
      </c>
      <c r="AF271" s="201">
        <f>SUMIFS([1]!Data_Loan[Value],[1]!Data_Loan[Index Loan],'Dong Lam'!$B271,[1]!Data_Loan[TenCongTyID],'Dong Lam'!$B$1,[1]!Data_Loan[Thang.Nam],'Dong Lam'!AF$254)</f>
        <v>0</v>
      </c>
      <c r="AG271" s="201">
        <f>SUMIFS([1]!Data_Loan[Value],[1]!Data_Loan[Index Loan],'Dong Lam'!$B271,[1]!Data_Loan[TenCongTyID],'Dong Lam'!$B$1,[1]!Data_Loan[Thang.Nam],'Dong Lam'!AG$254)</f>
        <v>0</v>
      </c>
      <c r="AH271" s="201">
        <f>SUMIFS([1]!Data_Loan[Value],[1]!Data_Loan[Index Loan],'Dong Lam'!$B271,[1]!Data_Loan[TenCongTyID],'Dong Lam'!$B$1,[1]!Data_Loan[Thang.Nam],'Dong Lam'!AH$254)</f>
        <v>0</v>
      </c>
      <c r="AI271" s="201">
        <f>SUMIFS([1]!Data_Loan[Value],[1]!Data_Loan[Index Loan],'Dong Lam'!$B271,[1]!Data_Loan[TenCongTyID],'Dong Lam'!$B$1,[1]!Data_Loan[Thang.Nam],'Dong Lam'!AI$254)</f>
        <v>0</v>
      </c>
      <c r="AJ271" s="201">
        <f>SUMIFS([1]!Data_Loan[Value],[1]!Data_Loan[Index Loan],'Dong Lam'!$B271,[1]!Data_Loan[TenCongTyID],'Dong Lam'!$B$1,[1]!Data_Loan[Thang.Nam],'Dong Lam'!AJ$254)</f>
        <v>0</v>
      </c>
      <c r="AK271" s="201">
        <f>SUMIFS([1]!Data_Loan[Value],[1]!Data_Loan[Index Loan],'Dong Lam'!$B271,[1]!Data_Loan[TenCongTyID],'Dong Lam'!$B$1,[1]!Data_Loan[Thang.Nam],'Dong Lam'!AK$254)</f>
        <v>0</v>
      </c>
      <c r="AL271" s="201">
        <f>SUMIFS([1]!Data_Loan[Value],[1]!Data_Loan[Index Loan],'Dong Lam'!$B271,[1]!Data_Loan[TenCongTyID],'Dong Lam'!$B$1,[1]!Data_Loan[Thang.Nam],'Dong Lam'!AL$254)</f>
        <v>0</v>
      </c>
    </row>
    <row r="272" spans="1:38" ht="15" customHeight="1">
      <c r="B272" s="329">
        <v>18</v>
      </c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>
        <v>0</v>
      </c>
      <c r="AA272" s="201">
        <f>SUMIFS([1]!Data_Loan[Value],[1]!Data_Loan[Index Loan],'Dong Lam'!$B272,[1]!Data_Loan[TenCongTyID],'Dong Lam'!$B$1,[1]!Data_Loan[Thang.Nam],'Dong Lam'!AA$254)</f>
        <v>0</v>
      </c>
      <c r="AB272" s="201">
        <f>SUMIFS([1]!Data_Loan[Value],[1]!Data_Loan[Index Loan],'Dong Lam'!$B272,[1]!Data_Loan[TenCongTyID],'Dong Lam'!$B$1,[1]!Data_Loan[Thang.Nam],'Dong Lam'!AB$254)</f>
        <v>0</v>
      </c>
      <c r="AC272" s="201">
        <f>SUMIFS([1]!Data_Loan[Value],[1]!Data_Loan[Index Loan],'Dong Lam'!$B272,[1]!Data_Loan[TenCongTyID],'Dong Lam'!$B$1,[1]!Data_Loan[Thang.Nam],'Dong Lam'!AC$254)</f>
        <v>0</v>
      </c>
      <c r="AD272" s="201">
        <f>SUMIFS([1]!Data_Loan[Value],[1]!Data_Loan[Index Loan],'Dong Lam'!$B272,[1]!Data_Loan[TenCongTyID],'Dong Lam'!$B$1,[1]!Data_Loan[Thang.Nam],'Dong Lam'!AD$254)</f>
        <v>0</v>
      </c>
      <c r="AE272" s="201">
        <f>SUMIFS([1]!Data_Loan[Value],[1]!Data_Loan[Index Loan],'Dong Lam'!$B272,[1]!Data_Loan[TenCongTyID],'Dong Lam'!$B$1,[1]!Data_Loan[Thang.Nam],'Dong Lam'!AE$254)</f>
        <v>0</v>
      </c>
      <c r="AF272" s="201">
        <f>SUMIFS([1]!Data_Loan[Value],[1]!Data_Loan[Index Loan],'Dong Lam'!$B272,[1]!Data_Loan[TenCongTyID],'Dong Lam'!$B$1,[1]!Data_Loan[Thang.Nam],'Dong Lam'!AF$254)</f>
        <v>0</v>
      </c>
      <c r="AG272" s="201">
        <f>SUMIFS([1]!Data_Loan[Value],[1]!Data_Loan[Index Loan],'Dong Lam'!$B272,[1]!Data_Loan[TenCongTyID],'Dong Lam'!$B$1,[1]!Data_Loan[Thang.Nam],'Dong Lam'!AG$254)</f>
        <v>0</v>
      </c>
      <c r="AH272" s="201">
        <f>SUMIFS([1]!Data_Loan[Value],[1]!Data_Loan[Index Loan],'Dong Lam'!$B272,[1]!Data_Loan[TenCongTyID],'Dong Lam'!$B$1,[1]!Data_Loan[Thang.Nam],'Dong Lam'!AH$254)</f>
        <v>0</v>
      </c>
      <c r="AI272" s="201">
        <f>SUMIFS([1]!Data_Loan[Value],[1]!Data_Loan[Index Loan],'Dong Lam'!$B272,[1]!Data_Loan[TenCongTyID],'Dong Lam'!$B$1,[1]!Data_Loan[Thang.Nam],'Dong Lam'!AI$254)</f>
        <v>0</v>
      </c>
      <c r="AJ272" s="201">
        <f>SUMIFS([1]!Data_Loan[Value],[1]!Data_Loan[Index Loan],'Dong Lam'!$B272,[1]!Data_Loan[TenCongTyID],'Dong Lam'!$B$1,[1]!Data_Loan[Thang.Nam],'Dong Lam'!AJ$254)</f>
        <v>0</v>
      </c>
      <c r="AK272" s="201">
        <f>SUMIFS([1]!Data_Loan[Value],[1]!Data_Loan[Index Loan],'Dong Lam'!$B272,[1]!Data_Loan[TenCongTyID],'Dong Lam'!$B$1,[1]!Data_Loan[Thang.Nam],'Dong Lam'!AK$254)</f>
        <v>0</v>
      </c>
      <c r="AL272" s="201">
        <f>SUMIFS([1]!Data_Loan[Value],[1]!Data_Loan[Index Loan],'Dong Lam'!$B272,[1]!Data_Loan[TenCongTyID],'Dong Lam'!$B$1,[1]!Data_Loan[Thang.Nam],'Dong Lam'!AL$254)</f>
        <v>0</v>
      </c>
    </row>
    <row r="273" spans="1:38" ht="15" customHeight="1">
      <c r="A273" s="202" t="s">
        <v>348</v>
      </c>
      <c r="B273" s="330">
        <v>19</v>
      </c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>
        <v>0</v>
      </c>
      <c r="AA273" s="201">
        <f>SUMIFS([1]!Data_Loan[Value],[1]!Data_Loan[Index Loan],'Dong Lam'!$B273,[1]!Data_Loan[TenCongTyID],'Dong Lam'!$B$1,[1]!Data_Loan[Thang.Nam],'Dong Lam'!AA$254)</f>
        <v>0</v>
      </c>
      <c r="AB273" s="201">
        <f>SUMIFS([1]!Data_Loan[Value],[1]!Data_Loan[Index Loan],'Dong Lam'!$B273,[1]!Data_Loan[TenCongTyID],'Dong Lam'!$B$1,[1]!Data_Loan[Thang.Nam],'Dong Lam'!AB$254)</f>
        <v>0</v>
      </c>
      <c r="AC273" s="201">
        <f>SUMIFS([1]!Data_Loan[Value],[1]!Data_Loan[Index Loan],'Dong Lam'!$B273,[1]!Data_Loan[TenCongTyID],'Dong Lam'!$B$1,[1]!Data_Loan[Thang.Nam],'Dong Lam'!AC$254)</f>
        <v>0</v>
      </c>
      <c r="AD273" s="201">
        <f>SUMIFS([1]!Data_Loan[Value],[1]!Data_Loan[Index Loan],'Dong Lam'!$B273,[1]!Data_Loan[TenCongTyID],'Dong Lam'!$B$1,[1]!Data_Loan[Thang.Nam],'Dong Lam'!AD$254)</f>
        <v>0</v>
      </c>
      <c r="AE273" s="201">
        <f>SUMIFS([1]!Data_Loan[Value],[1]!Data_Loan[Index Loan],'Dong Lam'!$B273,[1]!Data_Loan[TenCongTyID],'Dong Lam'!$B$1,[1]!Data_Loan[Thang.Nam],'Dong Lam'!AE$254)</f>
        <v>0</v>
      </c>
      <c r="AF273" s="201">
        <f>SUMIFS([1]!Data_Loan[Value],[1]!Data_Loan[Index Loan],'Dong Lam'!$B273,[1]!Data_Loan[TenCongTyID],'Dong Lam'!$B$1,[1]!Data_Loan[Thang.Nam],'Dong Lam'!AF$254)</f>
        <v>0</v>
      </c>
      <c r="AG273" s="201">
        <f>SUMIFS([1]!Data_Loan[Value],[1]!Data_Loan[Index Loan],'Dong Lam'!$B273,[1]!Data_Loan[TenCongTyID],'Dong Lam'!$B$1,[1]!Data_Loan[Thang.Nam],'Dong Lam'!AG$254)</f>
        <v>0</v>
      </c>
      <c r="AH273" s="201">
        <f>SUMIFS([1]!Data_Loan[Value],[1]!Data_Loan[Index Loan],'Dong Lam'!$B273,[1]!Data_Loan[TenCongTyID],'Dong Lam'!$B$1,[1]!Data_Loan[Thang.Nam],'Dong Lam'!AH$254)</f>
        <v>0</v>
      </c>
      <c r="AI273" s="201">
        <f>SUMIFS([1]!Data_Loan[Value],[1]!Data_Loan[Index Loan],'Dong Lam'!$B273,[1]!Data_Loan[TenCongTyID],'Dong Lam'!$B$1,[1]!Data_Loan[Thang.Nam],'Dong Lam'!AI$254)</f>
        <v>0</v>
      </c>
      <c r="AJ273" s="201">
        <f>SUMIFS([1]!Data_Loan[Value],[1]!Data_Loan[Index Loan],'Dong Lam'!$B273,[1]!Data_Loan[TenCongTyID],'Dong Lam'!$B$1,[1]!Data_Loan[Thang.Nam],'Dong Lam'!AJ$254)</f>
        <v>0</v>
      </c>
      <c r="AK273" s="201">
        <f>SUMIFS([1]!Data_Loan[Value],[1]!Data_Loan[Index Loan],'Dong Lam'!$B273,[1]!Data_Loan[TenCongTyID],'Dong Lam'!$B$1,[1]!Data_Loan[Thang.Nam],'Dong Lam'!AK$254)</f>
        <v>0</v>
      </c>
      <c r="AL273" s="201">
        <f>SUMIFS([1]!Data_Loan[Value],[1]!Data_Loan[Index Loan],'Dong Lam'!$B273,[1]!Data_Loan[TenCongTyID],'Dong Lam'!$B$1,[1]!Data_Loan[Thang.Nam],'Dong Lam'!AL$254)</f>
        <v>0</v>
      </c>
    </row>
    <row r="274" spans="1:38" ht="15" customHeight="1">
      <c r="A274" s="200" t="str">
        <f>A265</f>
        <v>ACB</v>
      </c>
      <c r="B274" s="329">
        <v>20</v>
      </c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>
        <v>0</v>
      </c>
      <c r="AA274" s="201">
        <f>SUMIFS([1]!Data_Loan[Value],[1]!Data_Loan[Index Loan],'Dong Lam'!$B274,[1]!Data_Loan[TenCongTyID],'Dong Lam'!$B$1,[1]!Data_Loan[Thang.Nam],'Dong Lam'!AA$254)</f>
        <v>0</v>
      </c>
      <c r="AB274" s="201">
        <f>SUMIFS([1]!Data_Loan[Value],[1]!Data_Loan[Index Loan],'Dong Lam'!$B274,[1]!Data_Loan[TenCongTyID],'Dong Lam'!$B$1,[1]!Data_Loan[Thang.Nam],'Dong Lam'!AB$254)</f>
        <v>0</v>
      </c>
      <c r="AC274" s="201">
        <f>SUMIFS([1]!Data_Loan[Value],[1]!Data_Loan[Index Loan],'Dong Lam'!$B274,[1]!Data_Loan[TenCongTyID],'Dong Lam'!$B$1,[1]!Data_Loan[Thang.Nam],'Dong Lam'!AC$254)</f>
        <v>0</v>
      </c>
      <c r="AD274" s="201">
        <f>SUMIFS([1]!Data_Loan[Value],[1]!Data_Loan[Index Loan],'Dong Lam'!$B274,[1]!Data_Loan[TenCongTyID],'Dong Lam'!$B$1,[1]!Data_Loan[Thang.Nam],'Dong Lam'!AD$254)</f>
        <v>0</v>
      </c>
      <c r="AE274" s="201">
        <f>SUMIFS([1]!Data_Loan[Value],[1]!Data_Loan[Index Loan],'Dong Lam'!$B274,[1]!Data_Loan[TenCongTyID],'Dong Lam'!$B$1,[1]!Data_Loan[Thang.Nam],'Dong Lam'!AE$254)</f>
        <v>0</v>
      </c>
      <c r="AF274" s="201">
        <f>SUMIFS([1]!Data_Loan[Value],[1]!Data_Loan[Index Loan],'Dong Lam'!$B274,[1]!Data_Loan[TenCongTyID],'Dong Lam'!$B$1,[1]!Data_Loan[Thang.Nam],'Dong Lam'!AF$254)</f>
        <v>0</v>
      </c>
      <c r="AG274" s="201">
        <f>SUMIFS([1]!Data_Loan[Value],[1]!Data_Loan[Index Loan],'Dong Lam'!$B274,[1]!Data_Loan[TenCongTyID],'Dong Lam'!$B$1,[1]!Data_Loan[Thang.Nam],'Dong Lam'!AG$254)</f>
        <v>0</v>
      </c>
      <c r="AH274" s="201">
        <f>SUMIFS([1]!Data_Loan[Value],[1]!Data_Loan[Index Loan],'Dong Lam'!$B274,[1]!Data_Loan[TenCongTyID],'Dong Lam'!$B$1,[1]!Data_Loan[Thang.Nam],'Dong Lam'!AH$254)</f>
        <v>0</v>
      </c>
      <c r="AI274" s="201">
        <f>SUMIFS([1]!Data_Loan[Value],[1]!Data_Loan[Index Loan],'Dong Lam'!$B274,[1]!Data_Loan[TenCongTyID],'Dong Lam'!$B$1,[1]!Data_Loan[Thang.Nam],'Dong Lam'!AI$254)</f>
        <v>0</v>
      </c>
      <c r="AJ274" s="201">
        <f>SUMIFS([1]!Data_Loan[Value],[1]!Data_Loan[Index Loan],'Dong Lam'!$B274,[1]!Data_Loan[TenCongTyID],'Dong Lam'!$B$1,[1]!Data_Loan[Thang.Nam],'Dong Lam'!AJ$254)</f>
        <v>0</v>
      </c>
      <c r="AK274" s="201">
        <f>SUMIFS([1]!Data_Loan[Value],[1]!Data_Loan[Index Loan],'Dong Lam'!$B274,[1]!Data_Loan[TenCongTyID],'Dong Lam'!$B$1,[1]!Data_Loan[Thang.Nam],'Dong Lam'!AK$254)</f>
        <v>0</v>
      </c>
      <c r="AL274" s="201">
        <f>SUMIFS([1]!Data_Loan[Value],[1]!Data_Loan[Index Loan],'Dong Lam'!$B274,[1]!Data_Loan[TenCongTyID],'Dong Lam'!$B$1,[1]!Data_Loan[Thang.Nam],'Dong Lam'!AL$254)</f>
        <v>0</v>
      </c>
    </row>
    <row r="275" spans="1:38" ht="15" customHeight="1">
      <c r="A275" s="200" t="str">
        <f t="shared" ref="A275:A281" si="37">A266</f>
        <v>VietinBank</v>
      </c>
      <c r="B275" s="329">
        <v>21</v>
      </c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>
        <v>0</v>
      </c>
      <c r="AA275" s="201">
        <f>SUMIFS([1]!Data_Loan[Value],[1]!Data_Loan[Index Loan],'Dong Lam'!$B275,[1]!Data_Loan[TenCongTyID],'Dong Lam'!$B$1,[1]!Data_Loan[Thang.Nam],'Dong Lam'!AA$254)</f>
        <v>0</v>
      </c>
      <c r="AB275" s="201">
        <f>SUMIFS([1]!Data_Loan[Value],[1]!Data_Loan[Index Loan],'Dong Lam'!$B275,[1]!Data_Loan[TenCongTyID],'Dong Lam'!$B$1,[1]!Data_Loan[Thang.Nam],'Dong Lam'!AB$254)</f>
        <v>0</v>
      </c>
      <c r="AC275" s="201">
        <f>SUMIFS([1]!Data_Loan[Value],[1]!Data_Loan[Index Loan],'Dong Lam'!$B275,[1]!Data_Loan[TenCongTyID],'Dong Lam'!$B$1,[1]!Data_Loan[Thang.Nam],'Dong Lam'!AC$254)</f>
        <v>0</v>
      </c>
      <c r="AD275" s="201">
        <f>SUMIFS([1]!Data_Loan[Value],[1]!Data_Loan[Index Loan],'Dong Lam'!$B275,[1]!Data_Loan[TenCongTyID],'Dong Lam'!$B$1,[1]!Data_Loan[Thang.Nam],'Dong Lam'!AD$254)</f>
        <v>0</v>
      </c>
      <c r="AE275" s="201">
        <f>SUMIFS([1]!Data_Loan[Value],[1]!Data_Loan[Index Loan],'Dong Lam'!$B275,[1]!Data_Loan[TenCongTyID],'Dong Lam'!$B$1,[1]!Data_Loan[Thang.Nam],'Dong Lam'!AE$254)</f>
        <v>0</v>
      </c>
      <c r="AF275" s="201">
        <f>SUMIFS([1]!Data_Loan[Value],[1]!Data_Loan[Index Loan],'Dong Lam'!$B275,[1]!Data_Loan[TenCongTyID],'Dong Lam'!$B$1,[1]!Data_Loan[Thang.Nam],'Dong Lam'!AF$254)</f>
        <v>0</v>
      </c>
      <c r="AG275" s="201">
        <f>SUMIFS([1]!Data_Loan[Value],[1]!Data_Loan[Index Loan],'Dong Lam'!$B275,[1]!Data_Loan[TenCongTyID],'Dong Lam'!$B$1,[1]!Data_Loan[Thang.Nam],'Dong Lam'!AG$254)</f>
        <v>0</v>
      </c>
      <c r="AH275" s="201">
        <f>SUMIFS([1]!Data_Loan[Value],[1]!Data_Loan[Index Loan],'Dong Lam'!$B275,[1]!Data_Loan[TenCongTyID],'Dong Lam'!$B$1,[1]!Data_Loan[Thang.Nam],'Dong Lam'!AH$254)</f>
        <v>0</v>
      </c>
      <c r="AI275" s="201">
        <f>SUMIFS([1]!Data_Loan[Value],[1]!Data_Loan[Index Loan],'Dong Lam'!$B275,[1]!Data_Loan[TenCongTyID],'Dong Lam'!$B$1,[1]!Data_Loan[Thang.Nam],'Dong Lam'!AI$254)</f>
        <v>0</v>
      </c>
      <c r="AJ275" s="201">
        <f>SUMIFS([1]!Data_Loan[Value],[1]!Data_Loan[Index Loan],'Dong Lam'!$B275,[1]!Data_Loan[TenCongTyID],'Dong Lam'!$B$1,[1]!Data_Loan[Thang.Nam],'Dong Lam'!AJ$254)</f>
        <v>0</v>
      </c>
      <c r="AK275" s="201">
        <f>SUMIFS([1]!Data_Loan[Value],[1]!Data_Loan[Index Loan],'Dong Lam'!$B275,[1]!Data_Loan[TenCongTyID],'Dong Lam'!$B$1,[1]!Data_Loan[Thang.Nam],'Dong Lam'!AK$254)</f>
        <v>0</v>
      </c>
      <c r="AL275" s="201">
        <f>SUMIFS([1]!Data_Loan[Value],[1]!Data_Loan[Index Loan],'Dong Lam'!$B275,[1]!Data_Loan[TenCongTyID],'Dong Lam'!$B$1,[1]!Data_Loan[Thang.Nam],'Dong Lam'!AL$254)</f>
        <v>0</v>
      </c>
    </row>
    <row r="276" spans="1:38" ht="15" customHeight="1">
      <c r="A276" s="200" t="str">
        <f t="shared" si="37"/>
        <v>Vietcombank</v>
      </c>
      <c r="B276" s="329">
        <v>22</v>
      </c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>
        <v>0</v>
      </c>
      <c r="AA276" s="201">
        <f>SUMIFS([1]!Data_Loan[Value],[1]!Data_Loan[Index Loan],'Dong Lam'!$B276,[1]!Data_Loan[TenCongTyID],'Dong Lam'!$B$1,[1]!Data_Loan[Thang.Nam],'Dong Lam'!AA$254)</f>
        <v>0</v>
      </c>
      <c r="AB276" s="201">
        <f>SUMIFS([1]!Data_Loan[Value],[1]!Data_Loan[Index Loan],'Dong Lam'!$B276,[1]!Data_Loan[TenCongTyID],'Dong Lam'!$B$1,[1]!Data_Loan[Thang.Nam],'Dong Lam'!AB$254)</f>
        <v>0</v>
      </c>
      <c r="AC276" s="201">
        <f>SUMIFS([1]!Data_Loan[Value],[1]!Data_Loan[Index Loan],'Dong Lam'!$B276,[1]!Data_Loan[TenCongTyID],'Dong Lam'!$B$1,[1]!Data_Loan[Thang.Nam],'Dong Lam'!AC$254)</f>
        <v>0</v>
      </c>
      <c r="AD276" s="201">
        <f>SUMIFS([1]!Data_Loan[Value],[1]!Data_Loan[Index Loan],'Dong Lam'!$B276,[1]!Data_Loan[TenCongTyID],'Dong Lam'!$B$1,[1]!Data_Loan[Thang.Nam],'Dong Lam'!AD$254)</f>
        <v>0</v>
      </c>
      <c r="AE276" s="201">
        <f>SUMIFS([1]!Data_Loan[Value],[1]!Data_Loan[Index Loan],'Dong Lam'!$B276,[1]!Data_Loan[TenCongTyID],'Dong Lam'!$B$1,[1]!Data_Loan[Thang.Nam],'Dong Lam'!AE$254)</f>
        <v>0</v>
      </c>
      <c r="AF276" s="201">
        <f>SUMIFS([1]!Data_Loan[Value],[1]!Data_Loan[Index Loan],'Dong Lam'!$B276,[1]!Data_Loan[TenCongTyID],'Dong Lam'!$B$1,[1]!Data_Loan[Thang.Nam],'Dong Lam'!AF$254)</f>
        <v>0</v>
      </c>
      <c r="AG276" s="201">
        <f>SUMIFS([1]!Data_Loan[Value],[1]!Data_Loan[Index Loan],'Dong Lam'!$B276,[1]!Data_Loan[TenCongTyID],'Dong Lam'!$B$1,[1]!Data_Loan[Thang.Nam],'Dong Lam'!AG$254)</f>
        <v>0</v>
      </c>
      <c r="AH276" s="201">
        <f>SUMIFS([1]!Data_Loan[Value],[1]!Data_Loan[Index Loan],'Dong Lam'!$B276,[1]!Data_Loan[TenCongTyID],'Dong Lam'!$B$1,[1]!Data_Loan[Thang.Nam],'Dong Lam'!AH$254)</f>
        <v>0</v>
      </c>
      <c r="AI276" s="201">
        <f>SUMIFS([1]!Data_Loan[Value],[1]!Data_Loan[Index Loan],'Dong Lam'!$B276,[1]!Data_Loan[TenCongTyID],'Dong Lam'!$B$1,[1]!Data_Loan[Thang.Nam],'Dong Lam'!AI$254)</f>
        <v>0</v>
      </c>
      <c r="AJ276" s="201">
        <f>SUMIFS([1]!Data_Loan[Value],[1]!Data_Loan[Index Loan],'Dong Lam'!$B276,[1]!Data_Loan[TenCongTyID],'Dong Lam'!$B$1,[1]!Data_Loan[Thang.Nam],'Dong Lam'!AJ$254)</f>
        <v>0</v>
      </c>
      <c r="AK276" s="201">
        <f>SUMIFS([1]!Data_Loan[Value],[1]!Data_Loan[Index Loan],'Dong Lam'!$B276,[1]!Data_Loan[TenCongTyID],'Dong Lam'!$B$1,[1]!Data_Loan[Thang.Nam],'Dong Lam'!AK$254)</f>
        <v>0</v>
      </c>
      <c r="AL276" s="201">
        <f>SUMIFS([1]!Data_Loan[Value],[1]!Data_Loan[Index Loan],'Dong Lam'!$B276,[1]!Data_Loan[TenCongTyID],'Dong Lam'!$B$1,[1]!Data_Loan[Thang.Nam],'Dong Lam'!AL$254)</f>
        <v>0</v>
      </c>
    </row>
    <row r="277" spans="1:38" ht="15" customHeight="1">
      <c r="A277" s="200" t="str">
        <f t="shared" si="37"/>
        <v>BIDV</v>
      </c>
      <c r="B277" s="329">
        <v>23</v>
      </c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>
        <v>0</v>
      </c>
      <c r="AA277" s="201">
        <f>SUMIFS([1]!Data_Loan[Value],[1]!Data_Loan[Index Loan],'Dong Lam'!$B277,[1]!Data_Loan[TenCongTyID],'Dong Lam'!$B$1,[1]!Data_Loan[Thang.Nam],'Dong Lam'!AA$254)</f>
        <v>0</v>
      </c>
      <c r="AB277" s="201">
        <f>SUMIFS([1]!Data_Loan[Value],[1]!Data_Loan[Index Loan],'Dong Lam'!$B277,[1]!Data_Loan[TenCongTyID],'Dong Lam'!$B$1,[1]!Data_Loan[Thang.Nam],'Dong Lam'!AB$254)</f>
        <v>0</v>
      </c>
      <c r="AC277" s="201">
        <f>SUMIFS([1]!Data_Loan[Value],[1]!Data_Loan[Index Loan],'Dong Lam'!$B277,[1]!Data_Loan[TenCongTyID],'Dong Lam'!$B$1,[1]!Data_Loan[Thang.Nam],'Dong Lam'!AC$254)</f>
        <v>0</v>
      </c>
      <c r="AD277" s="201">
        <f>SUMIFS([1]!Data_Loan[Value],[1]!Data_Loan[Index Loan],'Dong Lam'!$B277,[1]!Data_Loan[TenCongTyID],'Dong Lam'!$B$1,[1]!Data_Loan[Thang.Nam],'Dong Lam'!AD$254)</f>
        <v>0</v>
      </c>
      <c r="AE277" s="201">
        <f>SUMIFS([1]!Data_Loan[Value],[1]!Data_Loan[Index Loan],'Dong Lam'!$B277,[1]!Data_Loan[TenCongTyID],'Dong Lam'!$B$1,[1]!Data_Loan[Thang.Nam],'Dong Lam'!AE$254)</f>
        <v>0</v>
      </c>
      <c r="AF277" s="201">
        <f>SUMIFS([1]!Data_Loan[Value],[1]!Data_Loan[Index Loan],'Dong Lam'!$B277,[1]!Data_Loan[TenCongTyID],'Dong Lam'!$B$1,[1]!Data_Loan[Thang.Nam],'Dong Lam'!AF$254)</f>
        <v>0</v>
      </c>
      <c r="AG277" s="201">
        <f>SUMIFS([1]!Data_Loan[Value],[1]!Data_Loan[Index Loan],'Dong Lam'!$B277,[1]!Data_Loan[TenCongTyID],'Dong Lam'!$B$1,[1]!Data_Loan[Thang.Nam],'Dong Lam'!AG$254)</f>
        <v>0</v>
      </c>
      <c r="AH277" s="201">
        <f>SUMIFS([1]!Data_Loan[Value],[1]!Data_Loan[Index Loan],'Dong Lam'!$B277,[1]!Data_Loan[TenCongTyID],'Dong Lam'!$B$1,[1]!Data_Loan[Thang.Nam],'Dong Lam'!AH$254)</f>
        <v>0</v>
      </c>
      <c r="AI277" s="201">
        <f>SUMIFS([1]!Data_Loan[Value],[1]!Data_Loan[Index Loan],'Dong Lam'!$B277,[1]!Data_Loan[TenCongTyID],'Dong Lam'!$B$1,[1]!Data_Loan[Thang.Nam],'Dong Lam'!AI$254)</f>
        <v>0</v>
      </c>
      <c r="AJ277" s="201">
        <f>SUMIFS([1]!Data_Loan[Value],[1]!Data_Loan[Index Loan],'Dong Lam'!$B277,[1]!Data_Loan[TenCongTyID],'Dong Lam'!$B$1,[1]!Data_Loan[Thang.Nam],'Dong Lam'!AJ$254)</f>
        <v>0</v>
      </c>
      <c r="AK277" s="201">
        <f>SUMIFS([1]!Data_Loan[Value],[1]!Data_Loan[Index Loan],'Dong Lam'!$B277,[1]!Data_Loan[TenCongTyID],'Dong Lam'!$B$1,[1]!Data_Loan[Thang.Nam],'Dong Lam'!AK$254)</f>
        <v>0</v>
      </c>
      <c r="AL277" s="201">
        <f>SUMIFS([1]!Data_Loan[Value],[1]!Data_Loan[Index Loan],'Dong Lam'!$B277,[1]!Data_Loan[TenCongTyID],'Dong Lam'!$B$1,[1]!Data_Loan[Thang.Nam],'Dong Lam'!AL$254)</f>
        <v>0</v>
      </c>
    </row>
    <row r="278" spans="1:38" ht="15" customHeight="1">
      <c r="A278" s="200" t="str">
        <f t="shared" si="37"/>
        <v>Standard Chartered</v>
      </c>
      <c r="B278" s="329">
        <v>24</v>
      </c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>
        <v>0</v>
      </c>
      <c r="AA278" s="201">
        <f>SUMIFS([1]!Data_Loan[Value],[1]!Data_Loan[Index Loan],'Dong Lam'!$B278,[1]!Data_Loan[TenCongTyID],'Dong Lam'!$B$1,[1]!Data_Loan[Thang.Nam],'Dong Lam'!AA$254)</f>
        <v>0</v>
      </c>
      <c r="AB278" s="201">
        <f>SUMIFS([1]!Data_Loan[Value],[1]!Data_Loan[Index Loan],'Dong Lam'!$B278,[1]!Data_Loan[TenCongTyID],'Dong Lam'!$B$1,[1]!Data_Loan[Thang.Nam],'Dong Lam'!AB$254)</f>
        <v>0</v>
      </c>
      <c r="AC278" s="201">
        <f>SUMIFS([1]!Data_Loan[Value],[1]!Data_Loan[Index Loan],'Dong Lam'!$B278,[1]!Data_Loan[TenCongTyID],'Dong Lam'!$B$1,[1]!Data_Loan[Thang.Nam],'Dong Lam'!AC$254)</f>
        <v>0</v>
      </c>
      <c r="AD278" s="201">
        <f>SUMIFS([1]!Data_Loan[Value],[1]!Data_Loan[Index Loan],'Dong Lam'!$B278,[1]!Data_Loan[TenCongTyID],'Dong Lam'!$B$1,[1]!Data_Loan[Thang.Nam],'Dong Lam'!AD$254)</f>
        <v>0</v>
      </c>
      <c r="AE278" s="201">
        <f>SUMIFS([1]!Data_Loan[Value],[1]!Data_Loan[Index Loan],'Dong Lam'!$B278,[1]!Data_Loan[TenCongTyID],'Dong Lam'!$B$1,[1]!Data_Loan[Thang.Nam],'Dong Lam'!AE$254)</f>
        <v>0</v>
      </c>
      <c r="AF278" s="201">
        <f>SUMIFS([1]!Data_Loan[Value],[1]!Data_Loan[Index Loan],'Dong Lam'!$B278,[1]!Data_Loan[TenCongTyID],'Dong Lam'!$B$1,[1]!Data_Loan[Thang.Nam],'Dong Lam'!AF$254)</f>
        <v>0</v>
      </c>
      <c r="AG278" s="201">
        <f>SUMIFS([1]!Data_Loan[Value],[1]!Data_Loan[Index Loan],'Dong Lam'!$B278,[1]!Data_Loan[TenCongTyID],'Dong Lam'!$B$1,[1]!Data_Loan[Thang.Nam],'Dong Lam'!AG$254)</f>
        <v>0</v>
      </c>
      <c r="AH278" s="201">
        <f>SUMIFS([1]!Data_Loan[Value],[1]!Data_Loan[Index Loan],'Dong Lam'!$B278,[1]!Data_Loan[TenCongTyID],'Dong Lam'!$B$1,[1]!Data_Loan[Thang.Nam],'Dong Lam'!AH$254)</f>
        <v>0</v>
      </c>
      <c r="AI278" s="201">
        <f>SUMIFS([1]!Data_Loan[Value],[1]!Data_Loan[Index Loan],'Dong Lam'!$B278,[1]!Data_Loan[TenCongTyID],'Dong Lam'!$B$1,[1]!Data_Loan[Thang.Nam],'Dong Lam'!AI$254)</f>
        <v>0</v>
      </c>
      <c r="AJ278" s="201">
        <f>SUMIFS([1]!Data_Loan[Value],[1]!Data_Loan[Index Loan],'Dong Lam'!$B278,[1]!Data_Loan[TenCongTyID],'Dong Lam'!$B$1,[1]!Data_Loan[Thang.Nam],'Dong Lam'!AJ$254)</f>
        <v>0</v>
      </c>
      <c r="AK278" s="201">
        <f>SUMIFS([1]!Data_Loan[Value],[1]!Data_Loan[Index Loan],'Dong Lam'!$B278,[1]!Data_Loan[TenCongTyID],'Dong Lam'!$B$1,[1]!Data_Loan[Thang.Nam],'Dong Lam'!AK$254)</f>
        <v>0</v>
      </c>
      <c r="AL278" s="201">
        <f>SUMIFS([1]!Data_Loan[Value],[1]!Data_Loan[Index Loan],'Dong Lam'!$B278,[1]!Data_Loan[TenCongTyID],'Dong Lam'!$B$1,[1]!Data_Loan[Thang.Nam],'Dong Lam'!AL$254)</f>
        <v>0</v>
      </c>
    </row>
    <row r="279" spans="1:38" ht="15" customHeight="1">
      <c r="A279" s="200" t="str">
        <f t="shared" si="37"/>
        <v>VILC</v>
      </c>
      <c r="B279" s="329">
        <v>25</v>
      </c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>
        <v>0</v>
      </c>
      <c r="AA279" s="201">
        <f>SUMIFS([1]!Data_Loan[Value],[1]!Data_Loan[Index Loan],'Dong Lam'!$B279,[1]!Data_Loan[TenCongTyID],'Dong Lam'!$B$1,[1]!Data_Loan[Thang.Nam],'Dong Lam'!AA$254)</f>
        <v>0</v>
      </c>
      <c r="AB279" s="201">
        <f>SUMIFS([1]!Data_Loan[Value],[1]!Data_Loan[Index Loan],'Dong Lam'!$B279,[1]!Data_Loan[TenCongTyID],'Dong Lam'!$B$1,[1]!Data_Loan[Thang.Nam],'Dong Lam'!AB$254)</f>
        <v>0</v>
      </c>
      <c r="AC279" s="201">
        <f>SUMIFS([1]!Data_Loan[Value],[1]!Data_Loan[Index Loan],'Dong Lam'!$B279,[1]!Data_Loan[TenCongTyID],'Dong Lam'!$B$1,[1]!Data_Loan[Thang.Nam],'Dong Lam'!AC$254)</f>
        <v>0</v>
      </c>
      <c r="AD279" s="201">
        <f>SUMIFS([1]!Data_Loan[Value],[1]!Data_Loan[Index Loan],'Dong Lam'!$B279,[1]!Data_Loan[TenCongTyID],'Dong Lam'!$B$1,[1]!Data_Loan[Thang.Nam],'Dong Lam'!AD$254)</f>
        <v>0</v>
      </c>
      <c r="AE279" s="201">
        <f>SUMIFS([1]!Data_Loan[Value],[1]!Data_Loan[Index Loan],'Dong Lam'!$B279,[1]!Data_Loan[TenCongTyID],'Dong Lam'!$B$1,[1]!Data_Loan[Thang.Nam],'Dong Lam'!AE$254)</f>
        <v>0</v>
      </c>
      <c r="AF279" s="201">
        <f>SUMIFS([1]!Data_Loan[Value],[1]!Data_Loan[Index Loan],'Dong Lam'!$B279,[1]!Data_Loan[TenCongTyID],'Dong Lam'!$B$1,[1]!Data_Loan[Thang.Nam],'Dong Lam'!AF$254)</f>
        <v>0</v>
      </c>
      <c r="AG279" s="201">
        <f>SUMIFS([1]!Data_Loan[Value],[1]!Data_Loan[Index Loan],'Dong Lam'!$B279,[1]!Data_Loan[TenCongTyID],'Dong Lam'!$B$1,[1]!Data_Loan[Thang.Nam],'Dong Lam'!AG$254)</f>
        <v>0</v>
      </c>
      <c r="AH279" s="201">
        <f>SUMIFS([1]!Data_Loan[Value],[1]!Data_Loan[Index Loan],'Dong Lam'!$B279,[1]!Data_Loan[TenCongTyID],'Dong Lam'!$B$1,[1]!Data_Loan[Thang.Nam],'Dong Lam'!AH$254)</f>
        <v>0</v>
      </c>
      <c r="AI279" s="201">
        <f>SUMIFS([1]!Data_Loan[Value],[1]!Data_Loan[Index Loan],'Dong Lam'!$B279,[1]!Data_Loan[TenCongTyID],'Dong Lam'!$B$1,[1]!Data_Loan[Thang.Nam],'Dong Lam'!AI$254)</f>
        <v>0</v>
      </c>
      <c r="AJ279" s="201">
        <f>SUMIFS([1]!Data_Loan[Value],[1]!Data_Loan[Index Loan],'Dong Lam'!$B279,[1]!Data_Loan[TenCongTyID],'Dong Lam'!$B$1,[1]!Data_Loan[Thang.Nam],'Dong Lam'!AJ$254)</f>
        <v>0</v>
      </c>
      <c r="AK279" s="201">
        <f>SUMIFS([1]!Data_Loan[Value],[1]!Data_Loan[Index Loan],'Dong Lam'!$B279,[1]!Data_Loan[TenCongTyID],'Dong Lam'!$B$1,[1]!Data_Loan[Thang.Nam],'Dong Lam'!AK$254)</f>
        <v>0</v>
      </c>
      <c r="AL279" s="201">
        <f>SUMIFS([1]!Data_Loan[Value],[1]!Data_Loan[Index Loan],'Dong Lam'!$B279,[1]!Data_Loan[TenCongTyID],'Dong Lam'!$B$1,[1]!Data_Loan[Thang.Nam],'Dong Lam'!AL$254)</f>
        <v>0</v>
      </c>
    </row>
    <row r="280" spans="1:38" ht="15" customHeight="1">
      <c r="A280" s="200" t="str">
        <f t="shared" si="37"/>
        <v>IVB</v>
      </c>
      <c r="B280" s="329">
        <v>26</v>
      </c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>
        <v>0</v>
      </c>
      <c r="AA280" s="201">
        <f>SUMIFS([1]!Data_Loan[Value],[1]!Data_Loan[Index Loan],'Dong Lam'!$B280,[1]!Data_Loan[TenCongTyID],'Dong Lam'!$B$1,[1]!Data_Loan[Thang.Nam],'Dong Lam'!AA$254)</f>
        <v>0</v>
      </c>
      <c r="AB280" s="201">
        <f>SUMIFS([1]!Data_Loan[Value],[1]!Data_Loan[Index Loan],'Dong Lam'!$B280,[1]!Data_Loan[TenCongTyID],'Dong Lam'!$B$1,[1]!Data_Loan[Thang.Nam],'Dong Lam'!AB$254)</f>
        <v>0</v>
      </c>
      <c r="AC280" s="201">
        <f>SUMIFS([1]!Data_Loan[Value],[1]!Data_Loan[Index Loan],'Dong Lam'!$B280,[1]!Data_Loan[TenCongTyID],'Dong Lam'!$B$1,[1]!Data_Loan[Thang.Nam],'Dong Lam'!AC$254)</f>
        <v>0</v>
      </c>
      <c r="AD280" s="201">
        <f>SUMIFS([1]!Data_Loan[Value],[1]!Data_Loan[Index Loan],'Dong Lam'!$B280,[1]!Data_Loan[TenCongTyID],'Dong Lam'!$B$1,[1]!Data_Loan[Thang.Nam],'Dong Lam'!AD$254)</f>
        <v>0</v>
      </c>
      <c r="AE280" s="201">
        <f>SUMIFS([1]!Data_Loan[Value],[1]!Data_Loan[Index Loan],'Dong Lam'!$B280,[1]!Data_Loan[TenCongTyID],'Dong Lam'!$B$1,[1]!Data_Loan[Thang.Nam],'Dong Lam'!AE$254)</f>
        <v>0</v>
      </c>
      <c r="AF280" s="201">
        <f>SUMIFS([1]!Data_Loan[Value],[1]!Data_Loan[Index Loan],'Dong Lam'!$B280,[1]!Data_Loan[TenCongTyID],'Dong Lam'!$B$1,[1]!Data_Loan[Thang.Nam],'Dong Lam'!AF$254)</f>
        <v>0</v>
      </c>
      <c r="AG280" s="201">
        <f>SUMIFS([1]!Data_Loan[Value],[1]!Data_Loan[Index Loan],'Dong Lam'!$B280,[1]!Data_Loan[TenCongTyID],'Dong Lam'!$B$1,[1]!Data_Loan[Thang.Nam],'Dong Lam'!AG$254)</f>
        <v>0</v>
      </c>
      <c r="AH280" s="201">
        <f>SUMIFS([1]!Data_Loan[Value],[1]!Data_Loan[Index Loan],'Dong Lam'!$B280,[1]!Data_Loan[TenCongTyID],'Dong Lam'!$B$1,[1]!Data_Loan[Thang.Nam],'Dong Lam'!AH$254)</f>
        <v>0</v>
      </c>
      <c r="AI280" s="201">
        <f>SUMIFS([1]!Data_Loan[Value],[1]!Data_Loan[Index Loan],'Dong Lam'!$B280,[1]!Data_Loan[TenCongTyID],'Dong Lam'!$B$1,[1]!Data_Loan[Thang.Nam],'Dong Lam'!AI$254)</f>
        <v>0</v>
      </c>
      <c r="AJ280" s="201">
        <f>SUMIFS([1]!Data_Loan[Value],[1]!Data_Loan[Index Loan],'Dong Lam'!$B280,[1]!Data_Loan[TenCongTyID],'Dong Lam'!$B$1,[1]!Data_Loan[Thang.Nam],'Dong Lam'!AJ$254)</f>
        <v>0</v>
      </c>
      <c r="AK280" s="201">
        <f>SUMIFS([1]!Data_Loan[Value],[1]!Data_Loan[Index Loan],'Dong Lam'!$B280,[1]!Data_Loan[TenCongTyID],'Dong Lam'!$B$1,[1]!Data_Loan[Thang.Nam],'Dong Lam'!AK$254)</f>
        <v>0</v>
      </c>
      <c r="AL280" s="201">
        <f>SUMIFS([1]!Data_Loan[Value],[1]!Data_Loan[Index Loan],'Dong Lam'!$B280,[1]!Data_Loan[TenCongTyID],'Dong Lam'!$B$1,[1]!Data_Loan[Thang.Nam],'Dong Lam'!AL$254)</f>
        <v>0</v>
      </c>
    </row>
    <row r="281" spans="1:38" ht="15" customHeight="1">
      <c r="A281" s="200">
        <f t="shared" si="37"/>
        <v>0</v>
      </c>
      <c r="B281" s="329">
        <v>27</v>
      </c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>
        <v>0</v>
      </c>
      <c r="AA281" s="201">
        <f>SUMIFS([1]!Data_Loan[Value],[1]!Data_Loan[Index Loan],'Dong Lam'!$B281,[1]!Data_Loan[TenCongTyID],'Dong Lam'!$B$1,[1]!Data_Loan[Thang.Nam],'Dong Lam'!AA$254)</f>
        <v>0</v>
      </c>
      <c r="AB281" s="201">
        <f>SUMIFS([1]!Data_Loan[Value],[1]!Data_Loan[Index Loan],'Dong Lam'!$B281,[1]!Data_Loan[TenCongTyID],'Dong Lam'!$B$1,[1]!Data_Loan[Thang.Nam],'Dong Lam'!AB$254)</f>
        <v>0</v>
      </c>
      <c r="AC281" s="201">
        <f>SUMIFS([1]!Data_Loan[Value],[1]!Data_Loan[Index Loan],'Dong Lam'!$B281,[1]!Data_Loan[TenCongTyID],'Dong Lam'!$B$1,[1]!Data_Loan[Thang.Nam],'Dong Lam'!AC$254)</f>
        <v>0</v>
      </c>
      <c r="AD281" s="201">
        <f>SUMIFS([1]!Data_Loan[Value],[1]!Data_Loan[Index Loan],'Dong Lam'!$B281,[1]!Data_Loan[TenCongTyID],'Dong Lam'!$B$1,[1]!Data_Loan[Thang.Nam],'Dong Lam'!AD$254)</f>
        <v>0</v>
      </c>
      <c r="AE281" s="201">
        <f>SUMIFS([1]!Data_Loan[Value],[1]!Data_Loan[Index Loan],'Dong Lam'!$B281,[1]!Data_Loan[TenCongTyID],'Dong Lam'!$B$1,[1]!Data_Loan[Thang.Nam],'Dong Lam'!AE$254)</f>
        <v>0</v>
      </c>
      <c r="AF281" s="201">
        <f>SUMIFS([1]!Data_Loan[Value],[1]!Data_Loan[Index Loan],'Dong Lam'!$B281,[1]!Data_Loan[TenCongTyID],'Dong Lam'!$B$1,[1]!Data_Loan[Thang.Nam],'Dong Lam'!AF$254)</f>
        <v>0</v>
      </c>
      <c r="AG281" s="201">
        <f>SUMIFS([1]!Data_Loan[Value],[1]!Data_Loan[Index Loan],'Dong Lam'!$B281,[1]!Data_Loan[TenCongTyID],'Dong Lam'!$B$1,[1]!Data_Loan[Thang.Nam],'Dong Lam'!AG$254)</f>
        <v>0</v>
      </c>
      <c r="AH281" s="201">
        <f>SUMIFS([1]!Data_Loan[Value],[1]!Data_Loan[Index Loan],'Dong Lam'!$B281,[1]!Data_Loan[TenCongTyID],'Dong Lam'!$B$1,[1]!Data_Loan[Thang.Nam],'Dong Lam'!AH$254)</f>
        <v>0</v>
      </c>
      <c r="AI281" s="201">
        <f>SUMIFS([1]!Data_Loan[Value],[1]!Data_Loan[Index Loan],'Dong Lam'!$B281,[1]!Data_Loan[TenCongTyID],'Dong Lam'!$B$1,[1]!Data_Loan[Thang.Nam],'Dong Lam'!AI$254)</f>
        <v>0</v>
      </c>
      <c r="AJ281" s="201">
        <f>SUMIFS([1]!Data_Loan[Value],[1]!Data_Loan[Index Loan],'Dong Lam'!$B281,[1]!Data_Loan[TenCongTyID],'Dong Lam'!$B$1,[1]!Data_Loan[Thang.Nam],'Dong Lam'!AJ$254)</f>
        <v>0</v>
      </c>
      <c r="AK281" s="201">
        <f>SUMIFS([1]!Data_Loan[Value],[1]!Data_Loan[Index Loan],'Dong Lam'!$B281,[1]!Data_Loan[TenCongTyID],'Dong Lam'!$B$1,[1]!Data_Loan[Thang.Nam],'Dong Lam'!AK$254)</f>
        <v>0</v>
      </c>
      <c r="AL281" s="201">
        <f>SUMIFS([1]!Data_Loan[Value],[1]!Data_Loan[Index Loan],'Dong Lam'!$B281,[1]!Data_Loan[TenCongTyID],'Dong Lam'!$B$1,[1]!Data_Loan[Thang.Nam],'Dong Lam'!AL$254)</f>
        <v>0</v>
      </c>
    </row>
    <row r="282" spans="1:38" ht="15" customHeight="1">
      <c r="A282" s="196" t="s">
        <v>349</v>
      </c>
      <c r="B282" s="328">
        <v>28</v>
      </c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>
        <v>0</v>
      </c>
      <c r="AA282" s="199">
        <f>SUMIFS([1]!Data_Loan[Value],[1]!Data_Loan[Index Loan],'Dong Lam'!$B282,[1]!Data_Loan[TenCongTyID],'Dong Lam'!$B$1,[1]!Data_Loan[Thang.Nam],'Dong Lam'!AA$254)</f>
        <v>0</v>
      </c>
      <c r="AB282" s="199">
        <f>SUMIFS([1]!Data_Loan[Value],[1]!Data_Loan[Index Loan],'Dong Lam'!$B282,[1]!Data_Loan[TenCongTyID],'Dong Lam'!$B$1,[1]!Data_Loan[Thang.Nam],'Dong Lam'!AB$254)</f>
        <v>0</v>
      </c>
      <c r="AC282" s="199">
        <f>SUMIFS([1]!Data_Loan[Value],[1]!Data_Loan[Index Loan],'Dong Lam'!$B282,[1]!Data_Loan[TenCongTyID],'Dong Lam'!$B$1,[1]!Data_Loan[Thang.Nam],'Dong Lam'!AC$254)</f>
        <v>0</v>
      </c>
      <c r="AD282" s="199">
        <f>SUMIFS([1]!Data_Loan[Value],[1]!Data_Loan[Index Loan],'Dong Lam'!$B282,[1]!Data_Loan[TenCongTyID],'Dong Lam'!$B$1,[1]!Data_Loan[Thang.Nam],'Dong Lam'!AD$254)</f>
        <v>0</v>
      </c>
      <c r="AE282" s="199">
        <f>SUMIFS([1]!Data_Loan[Value],[1]!Data_Loan[Index Loan],'Dong Lam'!$B282,[1]!Data_Loan[TenCongTyID],'Dong Lam'!$B$1,[1]!Data_Loan[Thang.Nam],'Dong Lam'!AE$254)</f>
        <v>0</v>
      </c>
      <c r="AF282" s="199">
        <f>SUMIFS([1]!Data_Loan[Value],[1]!Data_Loan[Index Loan],'Dong Lam'!$B282,[1]!Data_Loan[TenCongTyID],'Dong Lam'!$B$1,[1]!Data_Loan[Thang.Nam],'Dong Lam'!AF$254)</f>
        <v>0</v>
      </c>
      <c r="AG282" s="199">
        <f>SUMIFS([1]!Data_Loan[Value],[1]!Data_Loan[Index Loan],'Dong Lam'!$B282,[1]!Data_Loan[TenCongTyID],'Dong Lam'!$B$1,[1]!Data_Loan[Thang.Nam],'Dong Lam'!AG$254)</f>
        <v>0</v>
      </c>
      <c r="AH282" s="199">
        <f>SUMIFS([1]!Data_Loan[Value],[1]!Data_Loan[Index Loan],'Dong Lam'!$B282,[1]!Data_Loan[TenCongTyID],'Dong Lam'!$B$1,[1]!Data_Loan[Thang.Nam],'Dong Lam'!AH$254)</f>
        <v>0</v>
      </c>
      <c r="AI282" s="199">
        <f>SUMIFS([1]!Data_Loan[Value],[1]!Data_Loan[Index Loan],'Dong Lam'!$B282,[1]!Data_Loan[TenCongTyID],'Dong Lam'!$B$1,[1]!Data_Loan[Thang.Nam],'Dong Lam'!AI$254)</f>
        <v>0</v>
      </c>
      <c r="AJ282" s="199">
        <f>SUMIFS([1]!Data_Loan[Value],[1]!Data_Loan[Index Loan],'Dong Lam'!$B282,[1]!Data_Loan[TenCongTyID],'Dong Lam'!$B$1,[1]!Data_Loan[Thang.Nam],'Dong Lam'!AJ$254)</f>
        <v>0</v>
      </c>
      <c r="AK282" s="199">
        <f>SUMIFS([1]!Data_Loan[Value],[1]!Data_Loan[Index Loan],'Dong Lam'!$B282,[1]!Data_Loan[TenCongTyID],'Dong Lam'!$B$1,[1]!Data_Loan[Thang.Nam],'Dong Lam'!AK$254)</f>
        <v>0</v>
      </c>
      <c r="AL282" s="199">
        <f>SUMIFS([1]!Data_Loan[Value],[1]!Data_Loan[Index Loan],'Dong Lam'!$B282,[1]!Data_Loan[TenCongTyID],'Dong Lam'!$B$1,[1]!Data_Loan[Thang.Nam],'Dong Lam'!AL$254)</f>
        <v>0</v>
      </c>
    </row>
    <row r="283" spans="1:38" ht="15" customHeight="1">
      <c r="A283" s="200" t="str">
        <f>A265</f>
        <v>ACB</v>
      </c>
      <c r="B283" s="329">
        <v>29</v>
      </c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>
        <v>0</v>
      </c>
      <c r="AA283" s="201">
        <f>SUMIFS([1]!Data_Loan[Value],[1]!Data_Loan[Index Loan],'Dong Lam'!$B283,[1]!Data_Loan[TenCongTyID],'Dong Lam'!$B$1,[1]!Data_Loan[Thang.Nam],'Dong Lam'!AA$254)</f>
        <v>0</v>
      </c>
      <c r="AB283" s="201">
        <f>SUMIFS([1]!Data_Loan[Value],[1]!Data_Loan[Index Loan],'Dong Lam'!$B283,[1]!Data_Loan[TenCongTyID],'Dong Lam'!$B$1,[1]!Data_Loan[Thang.Nam],'Dong Lam'!AB$254)</f>
        <v>0</v>
      </c>
      <c r="AC283" s="201">
        <f>SUMIFS([1]!Data_Loan[Value],[1]!Data_Loan[Index Loan],'Dong Lam'!$B283,[1]!Data_Loan[TenCongTyID],'Dong Lam'!$B$1,[1]!Data_Loan[Thang.Nam],'Dong Lam'!AC$254)</f>
        <v>0</v>
      </c>
      <c r="AD283" s="201">
        <f>SUMIFS([1]!Data_Loan[Value],[1]!Data_Loan[Index Loan],'Dong Lam'!$B283,[1]!Data_Loan[TenCongTyID],'Dong Lam'!$B$1,[1]!Data_Loan[Thang.Nam],'Dong Lam'!AD$254)</f>
        <v>0</v>
      </c>
      <c r="AE283" s="201">
        <f>SUMIFS([1]!Data_Loan[Value],[1]!Data_Loan[Index Loan],'Dong Lam'!$B283,[1]!Data_Loan[TenCongTyID],'Dong Lam'!$B$1,[1]!Data_Loan[Thang.Nam],'Dong Lam'!AE$254)</f>
        <v>0</v>
      </c>
      <c r="AF283" s="201">
        <f>SUMIFS([1]!Data_Loan[Value],[1]!Data_Loan[Index Loan],'Dong Lam'!$B283,[1]!Data_Loan[TenCongTyID],'Dong Lam'!$B$1,[1]!Data_Loan[Thang.Nam],'Dong Lam'!AF$254)</f>
        <v>0</v>
      </c>
      <c r="AG283" s="201">
        <f>SUMIFS([1]!Data_Loan[Value],[1]!Data_Loan[Index Loan],'Dong Lam'!$B283,[1]!Data_Loan[TenCongTyID],'Dong Lam'!$B$1,[1]!Data_Loan[Thang.Nam],'Dong Lam'!AG$254)</f>
        <v>0</v>
      </c>
      <c r="AH283" s="201">
        <f>SUMIFS([1]!Data_Loan[Value],[1]!Data_Loan[Index Loan],'Dong Lam'!$B283,[1]!Data_Loan[TenCongTyID],'Dong Lam'!$B$1,[1]!Data_Loan[Thang.Nam],'Dong Lam'!AH$254)</f>
        <v>0</v>
      </c>
      <c r="AI283" s="201">
        <f>SUMIFS([1]!Data_Loan[Value],[1]!Data_Loan[Index Loan],'Dong Lam'!$B283,[1]!Data_Loan[TenCongTyID],'Dong Lam'!$B$1,[1]!Data_Loan[Thang.Nam],'Dong Lam'!AI$254)</f>
        <v>0</v>
      </c>
      <c r="AJ283" s="201">
        <f>SUMIFS([1]!Data_Loan[Value],[1]!Data_Loan[Index Loan],'Dong Lam'!$B283,[1]!Data_Loan[TenCongTyID],'Dong Lam'!$B$1,[1]!Data_Loan[Thang.Nam],'Dong Lam'!AJ$254)</f>
        <v>0</v>
      </c>
      <c r="AK283" s="201">
        <f>SUMIFS([1]!Data_Loan[Value],[1]!Data_Loan[Index Loan],'Dong Lam'!$B283,[1]!Data_Loan[TenCongTyID],'Dong Lam'!$B$1,[1]!Data_Loan[Thang.Nam],'Dong Lam'!AK$254)</f>
        <v>0</v>
      </c>
      <c r="AL283" s="201">
        <f>SUMIFS([1]!Data_Loan[Value],[1]!Data_Loan[Index Loan],'Dong Lam'!$B283,[1]!Data_Loan[TenCongTyID],'Dong Lam'!$B$1,[1]!Data_Loan[Thang.Nam],'Dong Lam'!AL$254)</f>
        <v>0</v>
      </c>
    </row>
    <row r="284" spans="1:38" ht="15" customHeight="1">
      <c r="A284" s="200" t="str">
        <f>A266</f>
        <v>VietinBank</v>
      </c>
      <c r="B284" s="329">
        <v>30</v>
      </c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>
        <v>0</v>
      </c>
      <c r="AA284" s="201">
        <f>SUMIFS([1]!Data_Loan[Value],[1]!Data_Loan[Index Loan],'Dong Lam'!$B284,[1]!Data_Loan[TenCongTyID],'Dong Lam'!$B$1,[1]!Data_Loan[Thang.Nam],'Dong Lam'!AA$254)</f>
        <v>0</v>
      </c>
      <c r="AB284" s="201">
        <f>SUMIFS([1]!Data_Loan[Value],[1]!Data_Loan[Index Loan],'Dong Lam'!$B284,[1]!Data_Loan[TenCongTyID],'Dong Lam'!$B$1,[1]!Data_Loan[Thang.Nam],'Dong Lam'!AB$254)</f>
        <v>0</v>
      </c>
      <c r="AC284" s="201">
        <f>SUMIFS([1]!Data_Loan[Value],[1]!Data_Loan[Index Loan],'Dong Lam'!$B284,[1]!Data_Loan[TenCongTyID],'Dong Lam'!$B$1,[1]!Data_Loan[Thang.Nam],'Dong Lam'!AC$254)</f>
        <v>0</v>
      </c>
      <c r="AD284" s="201">
        <f>SUMIFS([1]!Data_Loan[Value],[1]!Data_Loan[Index Loan],'Dong Lam'!$B284,[1]!Data_Loan[TenCongTyID],'Dong Lam'!$B$1,[1]!Data_Loan[Thang.Nam],'Dong Lam'!AD$254)</f>
        <v>0</v>
      </c>
      <c r="AE284" s="201">
        <f>SUMIFS([1]!Data_Loan[Value],[1]!Data_Loan[Index Loan],'Dong Lam'!$B284,[1]!Data_Loan[TenCongTyID],'Dong Lam'!$B$1,[1]!Data_Loan[Thang.Nam],'Dong Lam'!AE$254)</f>
        <v>0</v>
      </c>
      <c r="AF284" s="201">
        <f>SUMIFS([1]!Data_Loan[Value],[1]!Data_Loan[Index Loan],'Dong Lam'!$B284,[1]!Data_Loan[TenCongTyID],'Dong Lam'!$B$1,[1]!Data_Loan[Thang.Nam],'Dong Lam'!AF$254)</f>
        <v>0</v>
      </c>
      <c r="AG284" s="201">
        <f>SUMIFS([1]!Data_Loan[Value],[1]!Data_Loan[Index Loan],'Dong Lam'!$B284,[1]!Data_Loan[TenCongTyID],'Dong Lam'!$B$1,[1]!Data_Loan[Thang.Nam],'Dong Lam'!AG$254)</f>
        <v>0</v>
      </c>
      <c r="AH284" s="201">
        <f>SUMIFS([1]!Data_Loan[Value],[1]!Data_Loan[Index Loan],'Dong Lam'!$B284,[1]!Data_Loan[TenCongTyID],'Dong Lam'!$B$1,[1]!Data_Loan[Thang.Nam],'Dong Lam'!AH$254)</f>
        <v>0</v>
      </c>
      <c r="AI284" s="201">
        <f>SUMIFS([1]!Data_Loan[Value],[1]!Data_Loan[Index Loan],'Dong Lam'!$B284,[1]!Data_Loan[TenCongTyID],'Dong Lam'!$B$1,[1]!Data_Loan[Thang.Nam],'Dong Lam'!AI$254)</f>
        <v>0</v>
      </c>
      <c r="AJ284" s="201">
        <f>SUMIFS([1]!Data_Loan[Value],[1]!Data_Loan[Index Loan],'Dong Lam'!$B284,[1]!Data_Loan[TenCongTyID],'Dong Lam'!$B$1,[1]!Data_Loan[Thang.Nam],'Dong Lam'!AJ$254)</f>
        <v>0</v>
      </c>
      <c r="AK284" s="201">
        <f>SUMIFS([1]!Data_Loan[Value],[1]!Data_Loan[Index Loan],'Dong Lam'!$B284,[1]!Data_Loan[TenCongTyID],'Dong Lam'!$B$1,[1]!Data_Loan[Thang.Nam],'Dong Lam'!AK$254)</f>
        <v>0</v>
      </c>
      <c r="AL284" s="201">
        <f>SUMIFS([1]!Data_Loan[Value],[1]!Data_Loan[Index Loan],'Dong Lam'!$B284,[1]!Data_Loan[TenCongTyID],'Dong Lam'!$B$1,[1]!Data_Loan[Thang.Nam],'Dong Lam'!AL$254)</f>
        <v>0</v>
      </c>
    </row>
    <row r="285" spans="1:38" ht="15" customHeight="1">
      <c r="A285" s="200" t="str">
        <f>A267</f>
        <v>Vietcombank</v>
      </c>
      <c r="B285" s="329">
        <v>31</v>
      </c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>
        <v>0</v>
      </c>
      <c r="AA285" s="201">
        <f>SUMIFS([1]!Data_Loan[Value],[1]!Data_Loan[Index Loan],'Dong Lam'!$B285,[1]!Data_Loan[TenCongTyID],'Dong Lam'!$B$1,[1]!Data_Loan[Thang.Nam],'Dong Lam'!AA$254)</f>
        <v>0</v>
      </c>
      <c r="AB285" s="201">
        <f>SUMIFS([1]!Data_Loan[Value],[1]!Data_Loan[Index Loan],'Dong Lam'!$B285,[1]!Data_Loan[TenCongTyID],'Dong Lam'!$B$1,[1]!Data_Loan[Thang.Nam],'Dong Lam'!AB$254)</f>
        <v>0</v>
      </c>
      <c r="AC285" s="201">
        <f>SUMIFS([1]!Data_Loan[Value],[1]!Data_Loan[Index Loan],'Dong Lam'!$B285,[1]!Data_Loan[TenCongTyID],'Dong Lam'!$B$1,[1]!Data_Loan[Thang.Nam],'Dong Lam'!AC$254)</f>
        <v>0</v>
      </c>
      <c r="AD285" s="201">
        <f>SUMIFS([1]!Data_Loan[Value],[1]!Data_Loan[Index Loan],'Dong Lam'!$B285,[1]!Data_Loan[TenCongTyID],'Dong Lam'!$B$1,[1]!Data_Loan[Thang.Nam],'Dong Lam'!AD$254)</f>
        <v>0</v>
      </c>
      <c r="AE285" s="201">
        <f>SUMIFS([1]!Data_Loan[Value],[1]!Data_Loan[Index Loan],'Dong Lam'!$B285,[1]!Data_Loan[TenCongTyID],'Dong Lam'!$B$1,[1]!Data_Loan[Thang.Nam],'Dong Lam'!AE$254)</f>
        <v>0</v>
      </c>
      <c r="AF285" s="201">
        <f>SUMIFS([1]!Data_Loan[Value],[1]!Data_Loan[Index Loan],'Dong Lam'!$B285,[1]!Data_Loan[TenCongTyID],'Dong Lam'!$B$1,[1]!Data_Loan[Thang.Nam],'Dong Lam'!AF$254)</f>
        <v>0</v>
      </c>
      <c r="AG285" s="201">
        <f>SUMIFS([1]!Data_Loan[Value],[1]!Data_Loan[Index Loan],'Dong Lam'!$B285,[1]!Data_Loan[TenCongTyID],'Dong Lam'!$B$1,[1]!Data_Loan[Thang.Nam],'Dong Lam'!AG$254)</f>
        <v>0</v>
      </c>
      <c r="AH285" s="201">
        <f>SUMIFS([1]!Data_Loan[Value],[1]!Data_Loan[Index Loan],'Dong Lam'!$B285,[1]!Data_Loan[TenCongTyID],'Dong Lam'!$B$1,[1]!Data_Loan[Thang.Nam],'Dong Lam'!AH$254)</f>
        <v>0</v>
      </c>
      <c r="AI285" s="201">
        <f>SUMIFS([1]!Data_Loan[Value],[1]!Data_Loan[Index Loan],'Dong Lam'!$B285,[1]!Data_Loan[TenCongTyID],'Dong Lam'!$B$1,[1]!Data_Loan[Thang.Nam],'Dong Lam'!AI$254)</f>
        <v>0</v>
      </c>
      <c r="AJ285" s="201">
        <f>SUMIFS([1]!Data_Loan[Value],[1]!Data_Loan[Index Loan],'Dong Lam'!$B285,[1]!Data_Loan[TenCongTyID],'Dong Lam'!$B$1,[1]!Data_Loan[Thang.Nam],'Dong Lam'!AJ$254)</f>
        <v>0</v>
      </c>
      <c r="AK285" s="201">
        <f>SUMIFS([1]!Data_Loan[Value],[1]!Data_Loan[Index Loan],'Dong Lam'!$B285,[1]!Data_Loan[TenCongTyID],'Dong Lam'!$B$1,[1]!Data_Loan[Thang.Nam],'Dong Lam'!AK$254)</f>
        <v>0</v>
      </c>
      <c r="AL285" s="201">
        <f>SUMIFS([1]!Data_Loan[Value],[1]!Data_Loan[Index Loan],'Dong Lam'!$B285,[1]!Data_Loan[TenCongTyID],'Dong Lam'!$B$1,[1]!Data_Loan[Thang.Nam],'Dong Lam'!AL$254)</f>
        <v>0</v>
      </c>
    </row>
    <row r="286" spans="1:38" ht="15" customHeight="1">
      <c r="A286" s="200" t="s">
        <v>344</v>
      </c>
      <c r="B286" s="329">
        <v>32</v>
      </c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>
        <v>0</v>
      </c>
      <c r="AA286" s="201">
        <f>SUMIFS([1]!Data_Loan[Value],[1]!Data_Loan[Index Loan],'Dong Lam'!$B286,[1]!Data_Loan[TenCongTyID],'Dong Lam'!$B$1,[1]!Data_Loan[Thang.Nam],'Dong Lam'!AA$254)</f>
        <v>0</v>
      </c>
      <c r="AB286" s="201">
        <f>SUMIFS([1]!Data_Loan[Value],[1]!Data_Loan[Index Loan],'Dong Lam'!$B286,[1]!Data_Loan[TenCongTyID],'Dong Lam'!$B$1,[1]!Data_Loan[Thang.Nam],'Dong Lam'!AB$254)</f>
        <v>0</v>
      </c>
      <c r="AC286" s="201">
        <f>SUMIFS([1]!Data_Loan[Value],[1]!Data_Loan[Index Loan],'Dong Lam'!$B286,[1]!Data_Loan[TenCongTyID],'Dong Lam'!$B$1,[1]!Data_Loan[Thang.Nam],'Dong Lam'!AC$254)</f>
        <v>0</v>
      </c>
      <c r="AD286" s="201">
        <f>SUMIFS([1]!Data_Loan[Value],[1]!Data_Loan[Index Loan],'Dong Lam'!$B286,[1]!Data_Loan[TenCongTyID],'Dong Lam'!$B$1,[1]!Data_Loan[Thang.Nam],'Dong Lam'!AD$254)</f>
        <v>0</v>
      </c>
      <c r="AE286" s="201">
        <f>SUMIFS([1]!Data_Loan[Value],[1]!Data_Loan[Index Loan],'Dong Lam'!$B286,[1]!Data_Loan[TenCongTyID],'Dong Lam'!$B$1,[1]!Data_Loan[Thang.Nam],'Dong Lam'!AE$254)</f>
        <v>0</v>
      </c>
      <c r="AF286" s="201">
        <f>SUMIFS([1]!Data_Loan[Value],[1]!Data_Loan[Index Loan],'Dong Lam'!$B286,[1]!Data_Loan[TenCongTyID],'Dong Lam'!$B$1,[1]!Data_Loan[Thang.Nam],'Dong Lam'!AF$254)</f>
        <v>0</v>
      </c>
      <c r="AG286" s="201">
        <f>SUMIFS([1]!Data_Loan[Value],[1]!Data_Loan[Index Loan],'Dong Lam'!$B286,[1]!Data_Loan[TenCongTyID],'Dong Lam'!$B$1,[1]!Data_Loan[Thang.Nam],'Dong Lam'!AG$254)</f>
        <v>0</v>
      </c>
      <c r="AH286" s="201">
        <f>SUMIFS([1]!Data_Loan[Value],[1]!Data_Loan[Index Loan],'Dong Lam'!$B286,[1]!Data_Loan[TenCongTyID],'Dong Lam'!$B$1,[1]!Data_Loan[Thang.Nam],'Dong Lam'!AH$254)</f>
        <v>0</v>
      </c>
      <c r="AI286" s="201">
        <f>SUMIFS([1]!Data_Loan[Value],[1]!Data_Loan[Index Loan],'Dong Lam'!$B286,[1]!Data_Loan[TenCongTyID],'Dong Lam'!$B$1,[1]!Data_Loan[Thang.Nam],'Dong Lam'!AI$254)</f>
        <v>0</v>
      </c>
      <c r="AJ286" s="201">
        <f>SUMIFS([1]!Data_Loan[Value],[1]!Data_Loan[Index Loan],'Dong Lam'!$B286,[1]!Data_Loan[TenCongTyID],'Dong Lam'!$B$1,[1]!Data_Loan[Thang.Nam],'Dong Lam'!AJ$254)</f>
        <v>0</v>
      </c>
      <c r="AK286" s="201">
        <f>SUMIFS([1]!Data_Loan[Value],[1]!Data_Loan[Index Loan],'Dong Lam'!$B286,[1]!Data_Loan[TenCongTyID],'Dong Lam'!$B$1,[1]!Data_Loan[Thang.Nam],'Dong Lam'!AK$254)</f>
        <v>0</v>
      </c>
      <c r="AL286" s="201">
        <f>SUMIFS([1]!Data_Loan[Value],[1]!Data_Loan[Index Loan],'Dong Lam'!$B286,[1]!Data_Loan[TenCongTyID],'Dong Lam'!$B$1,[1]!Data_Loan[Thang.Nam],'Dong Lam'!AL$254)</f>
        <v>0</v>
      </c>
    </row>
    <row r="287" spans="1:38" ht="15" customHeight="1">
      <c r="A287" s="200" t="str">
        <f>A269</f>
        <v>Standard Chartered</v>
      </c>
      <c r="B287" s="329">
        <v>33</v>
      </c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>
        <v>0</v>
      </c>
      <c r="AA287" s="201">
        <f>SUMIFS([1]!Data_Loan[Value],[1]!Data_Loan[Index Loan],'Dong Lam'!$B287,[1]!Data_Loan[TenCongTyID],'Dong Lam'!$B$1,[1]!Data_Loan[Thang.Nam],'Dong Lam'!AA$254)</f>
        <v>0</v>
      </c>
      <c r="AB287" s="201">
        <f>SUMIFS([1]!Data_Loan[Value],[1]!Data_Loan[Index Loan],'Dong Lam'!$B287,[1]!Data_Loan[TenCongTyID],'Dong Lam'!$B$1,[1]!Data_Loan[Thang.Nam],'Dong Lam'!AB$254)</f>
        <v>0</v>
      </c>
      <c r="AC287" s="201">
        <f>SUMIFS([1]!Data_Loan[Value],[1]!Data_Loan[Index Loan],'Dong Lam'!$B287,[1]!Data_Loan[TenCongTyID],'Dong Lam'!$B$1,[1]!Data_Loan[Thang.Nam],'Dong Lam'!AC$254)</f>
        <v>0</v>
      </c>
      <c r="AD287" s="201">
        <f>SUMIFS([1]!Data_Loan[Value],[1]!Data_Loan[Index Loan],'Dong Lam'!$B287,[1]!Data_Loan[TenCongTyID],'Dong Lam'!$B$1,[1]!Data_Loan[Thang.Nam],'Dong Lam'!AD$254)</f>
        <v>0</v>
      </c>
      <c r="AE287" s="201">
        <f>SUMIFS([1]!Data_Loan[Value],[1]!Data_Loan[Index Loan],'Dong Lam'!$B287,[1]!Data_Loan[TenCongTyID],'Dong Lam'!$B$1,[1]!Data_Loan[Thang.Nam],'Dong Lam'!AE$254)</f>
        <v>0</v>
      </c>
      <c r="AF287" s="201">
        <f>SUMIFS([1]!Data_Loan[Value],[1]!Data_Loan[Index Loan],'Dong Lam'!$B287,[1]!Data_Loan[TenCongTyID],'Dong Lam'!$B$1,[1]!Data_Loan[Thang.Nam],'Dong Lam'!AF$254)</f>
        <v>0</v>
      </c>
      <c r="AG287" s="201">
        <f>SUMIFS([1]!Data_Loan[Value],[1]!Data_Loan[Index Loan],'Dong Lam'!$B287,[1]!Data_Loan[TenCongTyID],'Dong Lam'!$B$1,[1]!Data_Loan[Thang.Nam],'Dong Lam'!AG$254)</f>
        <v>0</v>
      </c>
      <c r="AH287" s="201">
        <f>SUMIFS([1]!Data_Loan[Value],[1]!Data_Loan[Index Loan],'Dong Lam'!$B287,[1]!Data_Loan[TenCongTyID],'Dong Lam'!$B$1,[1]!Data_Loan[Thang.Nam],'Dong Lam'!AH$254)</f>
        <v>0</v>
      </c>
      <c r="AI287" s="201">
        <f>SUMIFS([1]!Data_Loan[Value],[1]!Data_Loan[Index Loan],'Dong Lam'!$B287,[1]!Data_Loan[TenCongTyID],'Dong Lam'!$B$1,[1]!Data_Loan[Thang.Nam],'Dong Lam'!AI$254)</f>
        <v>0</v>
      </c>
      <c r="AJ287" s="201">
        <f>SUMIFS([1]!Data_Loan[Value],[1]!Data_Loan[Index Loan],'Dong Lam'!$B287,[1]!Data_Loan[TenCongTyID],'Dong Lam'!$B$1,[1]!Data_Loan[Thang.Nam],'Dong Lam'!AJ$254)</f>
        <v>0</v>
      </c>
      <c r="AK287" s="201">
        <f>SUMIFS([1]!Data_Loan[Value],[1]!Data_Loan[Index Loan],'Dong Lam'!$B287,[1]!Data_Loan[TenCongTyID],'Dong Lam'!$B$1,[1]!Data_Loan[Thang.Nam],'Dong Lam'!AK$254)</f>
        <v>0</v>
      </c>
      <c r="AL287" s="201">
        <f>SUMIFS([1]!Data_Loan[Value],[1]!Data_Loan[Index Loan],'Dong Lam'!$B287,[1]!Data_Loan[TenCongTyID],'Dong Lam'!$B$1,[1]!Data_Loan[Thang.Nam],'Dong Lam'!AL$254)</f>
        <v>0</v>
      </c>
    </row>
    <row r="288" spans="1:38" ht="15" customHeight="1">
      <c r="A288" s="200" t="s">
        <v>346</v>
      </c>
      <c r="B288" s="329">
        <v>34</v>
      </c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>
        <v>0</v>
      </c>
      <c r="AA288" s="201">
        <f>SUMIFS([1]!Data_Loan[Value],[1]!Data_Loan[Index Loan],'Dong Lam'!$B288,[1]!Data_Loan[TenCongTyID],'Dong Lam'!$B$1,[1]!Data_Loan[Thang.Nam],'Dong Lam'!AA$254)</f>
        <v>0</v>
      </c>
      <c r="AB288" s="201">
        <f>SUMIFS([1]!Data_Loan[Value],[1]!Data_Loan[Index Loan],'Dong Lam'!$B288,[1]!Data_Loan[TenCongTyID],'Dong Lam'!$B$1,[1]!Data_Loan[Thang.Nam],'Dong Lam'!AB$254)</f>
        <v>0</v>
      </c>
      <c r="AC288" s="201">
        <f>SUMIFS([1]!Data_Loan[Value],[1]!Data_Loan[Index Loan],'Dong Lam'!$B288,[1]!Data_Loan[TenCongTyID],'Dong Lam'!$B$1,[1]!Data_Loan[Thang.Nam],'Dong Lam'!AC$254)</f>
        <v>0</v>
      </c>
      <c r="AD288" s="201">
        <f>SUMIFS([1]!Data_Loan[Value],[1]!Data_Loan[Index Loan],'Dong Lam'!$B288,[1]!Data_Loan[TenCongTyID],'Dong Lam'!$B$1,[1]!Data_Loan[Thang.Nam],'Dong Lam'!AD$254)</f>
        <v>0</v>
      </c>
      <c r="AE288" s="201">
        <f>SUMIFS([1]!Data_Loan[Value],[1]!Data_Loan[Index Loan],'Dong Lam'!$B288,[1]!Data_Loan[TenCongTyID],'Dong Lam'!$B$1,[1]!Data_Loan[Thang.Nam],'Dong Lam'!AE$254)</f>
        <v>0</v>
      </c>
      <c r="AF288" s="201">
        <f>SUMIFS([1]!Data_Loan[Value],[1]!Data_Loan[Index Loan],'Dong Lam'!$B288,[1]!Data_Loan[TenCongTyID],'Dong Lam'!$B$1,[1]!Data_Loan[Thang.Nam],'Dong Lam'!AF$254)</f>
        <v>0</v>
      </c>
      <c r="AG288" s="201">
        <f>SUMIFS([1]!Data_Loan[Value],[1]!Data_Loan[Index Loan],'Dong Lam'!$B288,[1]!Data_Loan[TenCongTyID],'Dong Lam'!$B$1,[1]!Data_Loan[Thang.Nam],'Dong Lam'!AG$254)</f>
        <v>0</v>
      </c>
      <c r="AH288" s="201">
        <f>SUMIFS([1]!Data_Loan[Value],[1]!Data_Loan[Index Loan],'Dong Lam'!$B288,[1]!Data_Loan[TenCongTyID],'Dong Lam'!$B$1,[1]!Data_Loan[Thang.Nam],'Dong Lam'!AH$254)</f>
        <v>0</v>
      </c>
      <c r="AI288" s="201">
        <f>SUMIFS([1]!Data_Loan[Value],[1]!Data_Loan[Index Loan],'Dong Lam'!$B288,[1]!Data_Loan[TenCongTyID],'Dong Lam'!$B$1,[1]!Data_Loan[Thang.Nam],'Dong Lam'!AI$254)</f>
        <v>0</v>
      </c>
      <c r="AJ288" s="201">
        <f>SUMIFS([1]!Data_Loan[Value],[1]!Data_Loan[Index Loan],'Dong Lam'!$B288,[1]!Data_Loan[TenCongTyID],'Dong Lam'!$B$1,[1]!Data_Loan[Thang.Nam],'Dong Lam'!AJ$254)</f>
        <v>0</v>
      </c>
      <c r="AK288" s="201">
        <f>SUMIFS([1]!Data_Loan[Value],[1]!Data_Loan[Index Loan],'Dong Lam'!$B288,[1]!Data_Loan[TenCongTyID],'Dong Lam'!$B$1,[1]!Data_Loan[Thang.Nam],'Dong Lam'!AK$254)</f>
        <v>0</v>
      </c>
      <c r="AL288" s="201">
        <f>SUMIFS([1]!Data_Loan[Value],[1]!Data_Loan[Index Loan],'Dong Lam'!$B288,[1]!Data_Loan[TenCongTyID],'Dong Lam'!$B$1,[1]!Data_Loan[Thang.Nam],'Dong Lam'!AL$254)</f>
        <v>0</v>
      </c>
    </row>
    <row r="289" spans="1:38" ht="15" customHeight="1">
      <c r="A289" s="200" t="s">
        <v>347</v>
      </c>
      <c r="B289" s="329">
        <v>35</v>
      </c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>
        <v>0</v>
      </c>
      <c r="AA289" s="201">
        <f>SUMIFS([1]!Data_Loan[Value],[1]!Data_Loan[Index Loan],'Dong Lam'!$B289,[1]!Data_Loan[TenCongTyID],'Dong Lam'!$B$1,[1]!Data_Loan[Thang.Nam],'Dong Lam'!AA$254)</f>
        <v>0</v>
      </c>
      <c r="AB289" s="201">
        <f>SUMIFS([1]!Data_Loan[Value],[1]!Data_Loan[Index Loan],'Dong Lam'!$B289,[1]!Data_Loan[TenCongTyID],'Dong Lam'!$B$1,[1]!Data_Loan[Thang.Nam],'Dong Lam'!AB$254)</f>
        <v>0</v>
      </c>
      <c r="AC289" s="201">
        <f>SUMIFS([1]!Data_Loan[Value],[1]!Data_Loan[Index Loan],'Dong Lam'!$B289,[1]!Data_Loan[TenCongTyID],'Dong Lam'!$B$1,[1]!Data_Loan[Thang.Nam],'Dong Lam'!AC$254)</f>
        <v>0</v>
      </c>
      <c r="AD289" s="201">
        <f>SUMIFS([1]!Data_Loan[Value],[1]!Data_Loan[Index Loan],'Dong Lam'!$B289,[1]!Data_Loan[TenCongTyID],'Dong Lam'!$B$1,[1]!Data_Loan[Thang.Nam],'Dong Lam'!AD$254)</f>
        <v>0</v>
      </c>
      <c r="AE289" s="201">
        <f>SUMIFS([1]!Data_Loan[Value],[1]!Data_Loan[Index Loan],'Dong Lam'!$B289,[1]!Data_Loan[TenCongTyID],'Dong Lam'!$B$1,[1]!Data_Loan[Thang.Nam],'Dong Lam'!AE$254)</f>
        <v>0</v>
      </c>
      <c r="AF289" s="201">
        <f>SUMIFS([1]!Data_Loan[Value],[1]!Data_Loan[Index Loan],'Dong Lam'!$B289,[1]!Data_Loan[TenCongTyID],'Dong Lam'!$B$1,[1]!Data_Loan[Thang.Nam],'Dong Lam'!AF$254)</f>
        <v>0</v>
      </c>
      <c r="AG289" s="201">
        <f>SUMIFS([1]!Data_Loan[Value],[1]!Data_Loan[Index Loan],'Dong Lam'!$B289,[1]!Data_Loan[TenCongTyID],'Dong Lam'!$B$1,[1]!Data_Loan[Thang.Nam],'Dong Lam'!AG$254)</f>
        <v>0</v>
      </c>
      <c r="AH289" s="201">
        <f>SUMIFS([1]!Data_Loan[Value],[1]!Data_Loan[Index Loan],'Dong Lam'!$B289,[1]!Data_Loan[TenCongTyID],'Dong Lam'!$B$1,[1]!Data_Loan[Thang.Nam],'Dong Lam'!AH$254)</f>
        <v>0</v>
      </c>
      <c r="AI289" s="201">
        <f>SUMIFS([1]!Data_Loan[Value],[1]!Data_Loan[Index Loan],'Dong Lam'!$B289,[1]!Data_Loan[TenCongTyID],'Dong Lam'!$B$1,[1]!Data_Loan[Thang.Nam],'Dong Lam'!AI$254)</f>
        <v>0</v>
      </c>
      <c r="AJ289" s="201">
        <f>SUMIFS([1]!Data_Loan[Value],[1]!Data_Loan[Index Loan],'Dong Lam'!$B289,[1]!Data_Loan[TenCongTyID],'Dong Lam'!$B$1,[1]!Data_Loan[Thang.Nam],'Dong Lam'!AJ$254)</f>
        <v>0</v>
      </c>
      <c r="AK289" s="201">
        <f>SUMIFS([1]!Data_Loan[Value],[1]!Data_Loan[Index Loan],'Dong Lam'!$B289,[1]!Data_Loan[TenCongTyID],'Dong Lam'!$B$1,[1]!Data_Loan[Thang.Nam],'Dong Lam'!AK$254)</f>
        <v>0</v>
      </c>
      <c r="AL289" s="201">
        <f>SUMIFS([1]!Data_Loan[Value],[1]!Data_Loan[Index Loan],'Dong Lam'!$B289,[1]!Data_Loan[TenCongTyID],'Dong Lam'!$B$1,[1]!Data_Loan[Thang.Nam],'Dong Lam'!AL$254)</f>
        <v>0</v>
      </c>
    </row>
    <row r="290" spans="1:38" ht="15" customHeight="1">
      <c r="B290" s="329">
        <v>36</v>
      </c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>
        <v>0</v>
      </c>
      <c r="AA290" s="201">
        <f>SUMIFS([1]!Data_Loan[Value],[1]!Data_Loan[Index Loan],'Dong Lam'!$B290,[1]!Data_Loan[TenCongTyID],'Dong Lam'!$B$1,[1]!Data_Loan[Thang.Nam],'Dong Lam'!AA$254)</f>
        <v>0</v>
      </c>
      <c r="AB290" s="201">
        <f>SUMIFS([1]!Data_Loan[Value],[1]!Data_Loan[Index Loan],'Dong Lam'!$B290,[1]!Data_Loan[TenCongTyID],'Dong Lam'!$B$1,[1]!Data_Loan[Thang.Nam],'Dong Lam'!AB$254)</f>
        <v>0</v>
      </c>
      <c r="AC290" s="201">
        <f>SUMIFS([1]!Data_Loan[Value],[1]!Data_Loan[Index Loan],'Dong Lam'!$B290,[1]!Data_Loan[TenCongTyID],'Dong Lam'!$B$1,[1]!Data_Loan[Thang.Nam],'Dong Lam'!AC$254)</f>
        <v>0</v>
      </c>
      <c r="AD290" s="201">
        <f>SUMIFS([1]!Data_Loan[Value],[1]!Data_Loan[Index Loan],'Dong Lam'!$B290,[1]!Data_Loan[TenCongTyID],'Dong Lam'!$B$1,[1]!Data_Loan[Thang.Nam],'Dong Lam'!AD$254)</f>
        <v>0</v>
      </c>
      <c r="AE290" s="201">
        <f>SUMIFS([1]!Data_Loan[Value],[1]!Data_Loan[Index Loan],'Dong Lam'!$B290,[1]!Data_Loan[TenCongTyID],'Dong Lam'!$B$1,[1]!Data_Loan[Thang.Nam],'Dong Lam'!AE$254)</f>
        <v>0</v>
      </c>
      <c r="AF290" s="201">
        <f>SUMIFS([1]!Data_Loan[Value],[1]!Data_Loan[Index Loan],'Dong Lam'!$B290,[1]!Data_Loan[TenCongTyID],'Dong Lam'!$B$1,[1]!Data_Loan[Thang.Nam],'Dong Lam'!AF$254)</f>
        <v>0</v>
      </c>
      <c r="AG290" s="201">
        <f>SUMIFS([1]!Data_Loan[Value],[1]!Data_Loan[Index Loan],'Dong Lam'!$B290,[1]!Data_Loan[TenCongTyID],'Dong Lam'!$B$1,[1]!Data_Loan[Thang.Nam],'Dong Lam'!AG$254)</f>
        <v>0</v>
      </c>
      <c r="AH290" s="201">
        <f>SUMIFS([1]!Data_Loan[Value],[1]!Data_Loan[Index Loan],'Dong Lam'!$B290,[1]!Data_Loan[TenCongTyID],'Dong Lam'!$B$1,[1]!Data_Loan[Thang.Nam],'Dong Lam'!AH$254)</f>
        <v>0</v>
      </c>
      <c r="AI290" s="201">
        <f>SUMIFS([1]!Data_Loan[Value],[1]!Data_Loan[Index Loan],'Dong Lam'!$B290,[1]!Data_Loan[TenCongTyID],'Dong Lam'!$B$1,[1]!Data_Loan[Thang.Nam],'Dong Lam'!AI$254)</f>
        <v>0</v>
      </c>
      <c r="AJ290" s="201">
        <f>SUMIFS([1]!Data_Loan[Value],[1]!Data_Loan[Index Loan],'Dong Lam'!$B290,[1]!Data_Loan[TenCongTyID],'Dong Lam'!$B$1,[1]!Data_Loan[Thang.Nam],'Dong Lam'!AJ$254)</f>
        <v>0</v>
      </c>
      <c r="AK290" s="201">
        <f>SUMIFS([1]!Data_Loan[Value],[1]!Data_Loan[Index Loan],'Dong Lam'!$B290,[1]!Data_Loan[TenCongTyID],'Dong Lam'!$B$1,[1]!Data_Loan[Thang.Nam],'Dong Lam'!AK$254)</f>
        <v>0</v>
      </c>
      <c r="AL290" s="201">
        <f>SUMIFS([1]!Data_Loan[Value],[1]!Data_Loan[Index Loan],'Dong Lam'!$B290,[1]!Data_Loan[TenCongTyID],'Dong Lam'!$B$1,[1]!Data_Loan[Thang.Nam],'Dong Lam'!AL$254)</f>
        <v>0</v>
      </c>
    </row>
    <row r="291" spans="1:38" ht="15" customHeight="1">
      <c r="A291" s="202" t="s">
        <v>350</v>
      </c>
      <c r="B291" s="330">
        <v>37</v>
      </c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>
        <v>0</v>
      </c>
      <c r="AA291" s="201">
        <f>SUMIFS([1]!Data_Loan[Value],[1]!Data_Loan[Index Loan],'Dong Lam'!$B291,[1]!Data_Loan[TenCongTyID],'Dong Lam'!$B$1,[1]!Data_Loan[Thang.Nam],'Dong Lam'!AA$254)</f>
        <v>0</v>
      </c>
      <c r="AB291" s="201">
        <f>SUMIFS([1]!Data_Loan[Value],[1]!Data_Loan[Index Loan],'Dong Lam'!$B291,[1]!Data_Loan[TenCongTyID],'Dong Lam'!$B$1,[1]!Data_Loan[Thang.Nam],'Dong Lam'!AB$254)</f>
        <v>0</v>
      </c>
      <c r="AC291" s="201">
        <f>SUMIFS([1]!Data_Loan[Value],[1]!Data_Loan[Index Loan],'Dong Lam'!$B291,[1]!Data_Loan[TenCongTyID],'Dong Lam'!$B$1,[1]!Data_Loan[Thang.Nam],'Dong Lam'!AC$254)</f>
        <v>0</v>
      </c>
      <c r="AD291" s="201">
        <f>SUMIFS([1]!Data_Loan[Value],[1]!Data_Loan[Index Loan],'Dong Lam'!$B291,[1]!Data_Loan[TenCongTyID],'Dong Lam'!$B$1,[1]!Data_Loan[Thang.Nam],'Dong Lam'!AD$254)</f>
        <v>0</v>
      </c>
      <c r="AE291" s="201">
        <f>SUMIFS([1]!Data_Loan[Value],[1]!Data_Loan[Index Loan],'Dong Lam'!$B291,[1]!Data_Loan[TenCongTyID],'Dong Lam'!$B$1,[1]!Data_Loan[Thang.Nam],'Dong Lam'!AE$254)</f>
        <v>0</v>
      </c>
      <c r="AF291" s="201">
        <f>SUMIFS([1]!Data_Loan[Value],[1]!Data_Loan[Index Loan],'Dong Lam'!$B291,[1]!Data_Loan[TenCongTyID],'Dong Lam'!$B$1,[1]!Data_Loan[Thang.Nam],'Dong Lam'!AF$254)</f>
        <v>0</v>
      </c>
      <c r="AG291" s="201">
        <f>SUMIFS([1]!Data_Loan[Value],[1]!Data_Loan[Index Loan],'Dong Lam'!$B291,[1]!Data_Loan[TenCongTyID],'Dong Lam'!$B$1,[1]!Data_Loan[Thang.Nam],'Dong Lam'!AG$254)</f>
        <v>0</v>
      </c>
      <c r="AH291" s="201">
        <f>SUMIFS([1]!Data_Loan[Value],[1]!Data_Loan[Index Loan],'Dong Lam'!$B291,[1]!Data_Loan[TenCongTyID],'Dong Lam'!$B$1,[1]!Data_Loan[Thang.Nam],'Dong Lam'!AH$254)</f>
        <v>0</v>
      </c>
      <c r="AI291" s="201">
        <f>SUMIFS([1]!Data_Loan[Value],[1]!Data_Loan[Index Loan],'Dong Lam'!$B291,[1]!Data_Loan[TenCongTyID],'Dong Lam'!$B$1,[1]!Data_Loan[Thang.Nam],'Dong Lam'!AI$254)</f>
        <v>0</v>
      </c>
      <c r="AJ291" s="201">
        <f>SUMIFS([1]!Data_Loan[Value],[1]!Data_Loan[Index Loan],'Dong Lam'!$B291,[1]!Data_Loan[TenCongTyID],'Dong Lam'!$B$1,[1]!Data_Loan[Thang.Nam],'Dong Lam'!AJ$254)</f>
        <v>0</v>
      </c>
      <c r="AK291" s="201">
        <f>SUMIFS([1]!Data_Loan[Value],[1]!Data_Loan[Index Loan],'Dong Lam'!$B291,[1]!Data_Loan[TenCongTyID],'Dong Lam'!$B$1,[1]!Data_Loan[Thang.Nam],'Dong Lam'!AK$254)</f>
        <v>0</v>
      </c>
      <c r="AL291" s="201">
        <f>SUMIFS([1]!Data_Loan[Value],[1]!Data_Loan[Index Loan],'Dong Lam'!$B291,[1]!Data_Loan[TenCongTyID],'Dong Lam'!$B$1,[1]!Data_Loan[Thang.Nam],'Dong Lam'!AL$254)</f>
        <v>0</v>
      </c>
    </row>
    <row r="292" spans="1:38" ht="15" customHeight="1">
      <c r="A292" s="200" t="str">
        <f>A283</f>
        <v>ACB</v>
      </c>
      <c r="B292" s="329">
        <v>38</v>
      </c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>
        <v>0</v>
      </c>
      <c r="AA292" s="201">
        <f>SUMIFS([1]!Data_Loan[Value],[1]!Data_Loan[Index Loan],'Dong Lam'!$B292,[1]!Data_Loan[TenCongTyID],'Dong Lam'!$B$1,[1]!Data_Loan[Thang.Nam],'Dong Lam'!AA$254)</f>
        <v>0</v>
      </c>
      <c r="AB292" s="201">
        <f>SUMIFS([1]!Data_Loan[Value],[1]!Data_Loan[Index Loan],'Dong Lam'!$B292,[1]!Data_Loan[TenCongTyID],'Dong Lam'!$B$1,[1]!Data_Loan[Thang.Nam],'Dong Lam'!AB$254)</f>
        <v>0</v>
      </c>
      <c r="AC292" s="201">
        <f>SUMIFS([1]!Data_Loan[Value],[1]!Data_Loan[Index Loan],'Dong Lam'!$B292,[1]!Data_Loan[TenCongTyID],'Dong Lam'!$B$1,[1]!Data_Loan[Thang.Nam],'Dong Lam'!AC$254)</f>
        <v>0</v>
      </c>
      <c r="AD292" s="201">
        <f>SUMIFS([1]!Data_Loan[Value],[1]!Data_Loan[Index Loan],'Dong Lam'!$B292,[1]!Data_Loan[TenCongTyID],'Dong Lam'!$B$1,[1]!Data_Loan[Thang.Nam],'Dong Lam'!AD$254)</f>
        <v>0</v>
      </c>
      <c r="AE292" s="201">
        <f>SUMIFS([1]!Data_Loan[Value],[1]!Data_Loan[Index Loan],'Dong Lam'!$B292,[1]!Data_Loan[TenCongTyID],'Dong Lam'!$B$1,[1]!Data_Loan[Thang.Nam],'Dong Lam'!AE$254)</f>
        <v>0</v>
      </c>
      <c r="AF292" s="201">
        <f>SUMIFS([1]!Data_Loan[Value],[1]!Data_Loan[Index Loan],'Dong Lam'!$B292,[1]!Data_Loan[TenCongTyID],'Dong Lam'!$B$1,[1]!Data_Loan[Thang.Nam],'Dong Lam'!AF$254)</f>
        <v>0</v>
      </c>
      <c r="AG292" s="201">
        <f>SUMIFS([1]!Data_Loan[Value],[1]!Data_Loan[Index Loan],'Dong Lam'!$B292,[1]!Data_Loan[TenCongTyID],'Dong Lam'!$B$1,[1]!Data_Loan[Thang.Nam],'Dong Lam'!AG$254)</f>
        <v>0</v>
      </c>
      <c r="AH292" s="201">
        <f>SUMIFS([1]!Data_Loan[Value],[1]!Data_Loan[Index Loan],'Dong Lam'!$B292,[1]!Data_Loan[TenCongTyID],'Dong Lam'!$B$1,[1]!Data_Loan[Thang.Nam],'Dong Lam'!AH$254)</f>
        <v>0</v>
      </c>
      <c r="AI292" s="201">
        <f>SUMIFS([1]!Data_Loan[Value],[1]!Data_Loan[Index Loan],'Dong Lam'!$B292,[1]!Data_Loan[TenCongTyID],'Dong Lam'!$B$1,[1]!Data_Loan[Thang.Nam],'Dong Lam'!AI$254)</f>
        <v>0</v>
      </c>
      <c r="AJ292" s="201">
        <f>SUMIFS([1]!Data_Loan[Value],[1]!Data_Loan[Index Loan],'Dong Lam'!$B292,[1]!Data_Loan[TenCongTyID],'Dong Lam'!$B$1,[1]!Data_Loan[Thang.Nam],'Dong Lam'!AJ$254)</f>
        <v>0</v>
      </c>
      <c r="AK292" s="201">
        <f>SUMIFS([1]!Data_Loan[Value],[1]!Data_Loan[Index Loan],'Dong Lam'!$B292,[1]!Data_Loan[TenCongTyID],'Dong Lam'!$B$1,[1]!Data_Loan[Thang.Nam],'Dong Lam'!AK$254)</f>
        <v>0</v>
      </c>
      <c r="AL292" s="201">
        <f>SUMIFS([1]!Data_Loan[Value],[1]!Data_Loan[Index Loan],'Dong Lam'!$B292,[1]!Data_Loan[TenCongTyID],'Dong Lam'!$B$1,[1]!Data_Loan[Thang.Nam],'Dong Lam'!AL$254)</f>
        <v>0</v>
      </c>
    </row>
    <row r="293" spans="1:38" ht="15" customHeight="1">
      <c r="A293" s="200" t="str">
        <f t="shared" ref="A293:A299" si="38">A284</f>
        <v>VietinBank</v>
      </c>
      <c r="B293" s="329">
        <v>39</v>
      </c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>
        <v>0</v>
      </c>
      <c r="AA293" s="201">
        <f>SUMIFS([1]!Data_Loan[Value],[1]!Data_Loan[Index Loan],'Dong Lam'!$B293,[1]!Data_Loan[TenCongTyID],'Dong Lam'!$B$1,[1]!Data_Loan[Thang.Nam],'Dong Lam'!AA$254)</f>
        <v>0</v>
      </c>
      <c r="AB293" s="201">
        <f>SUMIFS([1]!Data_Loan[Value],[1]!Data_Loan[Index Loan],'Dong Lam'!$B293,[1]!Data_Loan[TenCongTyID],'Dong Lam'!$B$1,[1]!Data_Loan[Thang.Nam],'Dong Lam'!AB$254)</f>
        <v>0</v>
      </c>
      <c r="AC293" s="201">
        <f>SUMIFS([1]!Data_Loan[Value],[1]!Data_Loan[Index Loan],'Dong Lam'!$B293,[1]!Data_Loan[TenCongTyID],'Dong Lam'!$B$1,[1]!Data_Loan[Thang.Nam],'Dong Lam'!AC$254)</f>
        <v>0</v>
      </c>
      <c r="AD293" s="201">
        <f>SUMIFS([1]!Data_Loan[Value],[1]!Data_Loan[Index Loan],'Dong Lam'!$B293,[1]!Data_Loan[TenCongTyID],'Dong Lam'!$B$1,[1]!Data_Loan[Thang.Nam],'Dong Lam'!AD$254)</f>
        <v>0</v>
      </c>
      <c r="AE293" s="201">
        <f>SUMIFS([1]!Data_Loan[Value],[1]!Data_Loan[Index Loan],'Dong Lam'!$B293,[1]!Data_Loan[TenCongTyID],'Dong Lam'!$B$1,[1]!Data_Loan[Thang.Nam],'Dong Lam'!AE$254)</f>
        <v>0</v>
      </c>
      <c r="AF293" s="201">
        <f>SUMIFS([1]!Data_Loan[Value],[1]!Data_Loan[Index Loan],'Dong Lam'!$B293,[1]!Data_Loan[TenCongTyID],'Dong Lam'!$B$1,[1]!Data_Loan[Thang.Nam],'Dong Lam'!AF$254)</f>
        <v>0</v>
      </c>
      <c r="AG293" s="201">
        <f>SUMIFS([1]!Data_Loan[Value],[1]!Data_Loan[Index Loan],'Dong Lam'!$B293,[1]!Data_Loan[TenCongTyID],'Dong Lam'!$B$1,[1]!Data_Loan[Thang.Nam],'Dong Lam'!AG$254)</f>
        <v>0</v>
      </c>
      <c r="AH293" s="201">
        <f>SUMIFS([1]!Data_Loan[Value],[1]!Data_Loan[Index Loan],'Dong Lam'!$B293,[1]!Data_Loan[TenCongTyID],'Dong Lam'!$B$1,[1]!Data_Loan[Thang.Nam],'Dong Lam'!AH$254)</f>
        <v>0</v>
      </c>
      <c r="AI293" s="201">
        <f>SUMIFS([1]!Data_Loan[Value],[1]!Data_Loan[Index Loan],'Dong Lam'!$B293,[1]!Data_Loan[TenCongTyID],'Dong Lam'!$B$1,[1]!Data_Loan[Thang.Nam],'Dong Lam'!AI$254)</f>
        <v>0</v>
      </c>
      <c r="AJ293" s="201">
        <f>SUMIFS([1]!Data_Loan[Value],[1]!Data_Loan[Index Loan],'Dong Lam'!$B293,[1]!Data_Loan[TenCongTyID],'Dong Lam'!$B$1,[1]!Data_Loan[Thang.Nam],'Dong Lam'!AJ$254)</f>
        <v>0</v>
      </c>
      <c r="AK293" s="201">
        <f>SUMIFS([1]!Data_Loan[Value],[1]!Data_Loan[Index Loan],'Dong Lam'!$B293,[1]!Data_Loan[TenCongTyID],'Dong Lam'!$B$1,[1]!Data_Loan[Thang.Nam],'Dong Lam'!AK$254)</f>
        <v>0</v>
      </c>
      <c r="AL293" s="201">
        <f>SUMIFS([1]!Data_Loan[Value],[1]!Data_Loan[Index Loan],'Dong Lam'!$B293,[1]!Data_Loan[TenCongTyID],'Dong Lam'!$B$1,[1]!Data_Loan[Thang.Nam],'Dong Lam'!AL$254)</f>
        <v>0</v>
      </c>
    </row>
    <row r="294" spans="1:38" ht="15" customHeight="1">
      <c r="A294" s="200" t="str">
        <f t="shared" si="38"/>
        <v>Vietcombank</v>
      </c>
      <c r="B294" s="329">
        <v>40</v>
      </c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>
        <v>0</v>
      </c>
      <c r="AA294" s="201">
        <f>SUMIFS([1]!Data_Loan[Value],[1]!Data_Loan[Index Loan],'Dong Lam'!$B294,[1]!Data_Loan[TenCongTyID],'Dong Lam'!$B$1,[1]!Data_Loan[Thang.Nam],'Dong Lam'!AA$254)</f>
        <v>0</v>
      </c>
      <c r="AB294" s="201">
        <f>SUMIFS([1]!Data_Loan[Value],[1]!Data_Loan[Index Loan],'Dong Lam'!$B294,[1]!Data_Loan[TenCongTyID],'Dong Lam'!$B$1,[1]!Data_Loan[Thang.Nam],'Dong Lam'!AB$254)</f>
        <v>0</v>
      </c>
      <c r="AC294" s="201">
        <f>SUMIFS([1]!Data_Loan[Value],[1]!Data_Loan[Index Loan],'Dong Lam'!$B294,[1]!Data_Loan[TenCongTyID],'Dong Lam'!$B$1,[1]!Data_Loan[Thang.Nam],'Dong Lam'!AC$254)</f>
        <v>0</v>
      </c>
      <c r="AD294" s="201">
        <f>SUMIFS([1]!Data_Loan[Value],[1]!Data_Loan[Index Loan],'Dong Lam'!$B294,[1]!Data_Loan[TenCongTyID],'Dong Lam'!$B$1,[1]!Data_Loan[Thang.Nam],'Dong Lam'!AD$254)</f>
        <v>0</v>
      </c>
      <c r="AE294" s="201">
        <f>SUMIFS([1]!Data_Loan[Value],[1]!Data_Loan[Index Loan],'Dong Lam'!$B294,[1]!Data_Loan[TenCongTyID],'Dong Lam'!$B$1,[1]!Data_Loan[Thang.Nam],'Dong Lam'!AE$254)</f>
        <v>0</v>
      </c>
      <c r="AF294" s="201">
        <f>SUMIFS([1]!Data_Loan[Value],[1]!Data_Loan[Index Loan],'Dong Lam'!$B294,[1]!Data_Loan[TenCongTyID],'Dong Lam'!$B$1,[1]!Data_Loan[Thang.Nam],'Dong Lam'!AF$254)</f>
        <v>0</v>
      </c>
      <c r="AG294" s="201">
        <f>SUMIFS([1]!Data_Loan[Value],[1]!Data_Loan[Index Loan],'Dong Lam'!$B294,[1]!Data_Loan[TenCongTyID],'Dong Lam'!$B$1,[1]!Data_Loan[Thang.Nam],'Dong Lam'!AG$254)</f>
        <v>0</v>
      </c>
      <c r="AH294" s="201">
        <f>SUMIFS([1]!Data_Loan[Value],[1]!Data_Loan[Index Loan],'Dong Lam'!$B294,[1]!Data_Loan[TenCongTyID],'Dong Lam'!$B$1,[1]!Data_Loan[Thang.Nam],'Dong Lam'!AH$254)</f>
        <v>0</v>
      </c>
      <c r="AI294" s="201">
        <f>SUMIFS([1]!Data_Loan[Value],[1]!Data_Loan[Index Loan],'Dong Lam'!$B294,[1]!Data_Loan[TenCongTyID],'Dong Lam'!$B$1,[1]!Data_Loan[Thang.Nam],'Dong Lam'!AI$254)</f>
        <v>0</v>
      </c>
      <c r="AJ294" s="201">
        <f>SUMIFS([1]!Data_Loan[Value],[1]!Data_Loan[Index Loan],'Dong Lam'!$B294,[1]!Data_Loan[TenCongTyID],'Dong Lam'!$B$1,[1]!Data_Loan[Thang.Nam],'Dong Lam'!AJ$254)</f>
        <v>0</v>
      </c>
      <c r="AK294" s="201">
        <f>SUMIFS([1]!Data_Loan[Value],[1]!Data_Loan[Index Loan],'Dong Lam'!$B294,[1]!Data_Loan[TenCongTyID],'Dong Lam'!$B$1,[1]!Data_Loan[Thang.Nam],'Dong Lam'!AK$254)</f>
        <v>0</v>
      </c>
      <c r="AL294" s="201">
        <f>SUMIFS([1]!Data_Loan[Value],[1]!Data_Loan[Index Loan],'Dong Lam'!$B294,[1]!Data_Loan[TenCongTyID],'Dong Lam'!$B$1,[1]!Data_Loan[Thang.Nam],'Dong Lam'!AL$254)</f>
        <v>0</v>
      </c>
    </row>
    <row r="295" spans="1:38" ht="15" customHeight="1">
      <c r="A295" s="200" t="str">
        <f t="shared" si="38"/>
        <v>BIDV</v>
      </c>
      <c r="B295" s="329">
        <v>41</v>
      </c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>
        <v>0</v>
      </c>
      <c r="AA295" s="201">
        <f>SUMIFS([1]!Data_Loan[Value],[1]!Data_Loan[Index Loan],'Dong Lam'!$B295,[1]!Data_Loan[TenCongTyID],'Dong Lam'!$B$1,[1]!Data_Loan[Thang.Nam],'Dong Lam'!AA$254)</f>
        <v>0</v>
      </c>
      <c r="AB295" s="201">
        <f>SUMIFS([1]!Data_Loan[Value],[1]!Data_Loan[Index Loan],'Dong Lam'!$B295,[1]!Data_Loan[TenCongTyID],'Dong Lam'!$B$1,[1]!Data_Loan[Thang.Nam],'Dong Lam'!AB$254)</f>
        <v>0</v>
      </c>
      <c r="AC295" s="201">
        <f>SUMIFS([1]!Data_Loan[Value],[1]!Data_Loan[Index Loan],'Dong Lam'!$B295,[1]!Data_Loan[TenCongTyID],'Dong Lam'!$B$1,[1]!Data_Loan[Thang.Nam],'Dong Lam'!AC$254)</f>
        <v>0</v>
      </c>
      <c r="AD295" s="201">
        <f>SUMIFS([1]!Data_Loan[Value],[1]!Data_Loan[Index Loan],'Dong Lam'!$B295,[1]!Data_Loan[TenCongTyID],'Dong Lam'!$B$1,[1]!Data_Loan[Thang.Nam],'Dong Lam'!AD$254)</f>
        <v>0</v>
      </c>
      <c r="AE295" s="201">
        <f>SUMIFS([1]!Data_Loan[Value],[1]!Data_Loan[Index Loan],'Dong Lam'!$B295,[1]!Data_Loan[TenCongTyID],'Dong Lam'!$B$1,[1]!Data_Loan[Thang.Nam],'Dong Lam'!AE$254)</f>
        <v>0</v>
      </c>
      <c r="AF295" s="201">
        <f>SUMIFS([1]!Data_Loan[Value],[1]!Data_Loan[Index Loan],'Dong Lam'!$B295,[1]!Data_Loan[TenCongTyID],'Dong Lam'!$B$1,[1]!Data_Loan[Thang.Nam],'Dong Lam'!AF$254)</f>
        <v>0</v>
      </c>
      <c r="AG295" s="201">
        <f>SUMIFS([1]!Data_Loan[Value],[1]!Data_Loan[Index Loan],'Dong Lam'!$B295,[1]!Data_Loan[TenCongTyID],'Dong Lam'!$B$1,[1]!Data_Loan[Thang.Nam],'Dong Lam'!AG$254)</f>
        <v>0</v>
      </c>
      <c r="AH295" s="201">
        <f>SUMIFS([1]!Data_Loan[Value],[1]!Data_Loan[Index Loan],'Dong Lam'!$B295,[1]!Data_Loan[TenCongTyID],'Dong Lam'!$B$1,[1]!Data_Loan[Thang.Nam],'Dong Lam'!AH$254)</f>
        <v>0</v>
      </c>
      <c r="AI295" s="201">
        <f>SUMIFS([1]!Data_Loan[Value],[1]!Data_Loan[Index Loan],'Dong Lam'!$B295,[1]!Data_Loan[TenCongTyID],'Dong Lam'!$B$1,[1]!Data_Loan[Thang.Nam],'Dong Lam'!AI$254)</f>
        <v>0</v>
      </c>
      <c r="AJ295" s="201">
        <f>SUMIFS([1]!Data_Loan[Value],[1]!Data_Loan[Index Loan],'Dong Lam'!$B295,[1]!Data_Loan[TenCongTyID],'Dong Lam'!$B$1,[1]!Data_Loan[Thang.Nam],'Dong Lam'!AJ$254)</f>
        <v>0</v>
      </c>
      <c r="AK295" s="201">
        <f>SUMIFS([1]!Data_Loan[Value],[1]!Data_Loan[Index Loan],'Dong Lam'!$B295,[1]!Data_Loan[TenCongTyID],'Dong Lam'!$B$1,[1]!Data_Loan[Thang.Nam],'Dong Lam'!AK$254)</f>
        <v>0</v>
      </c>
      <c r="AL295" s="201">
        <f>SUMIFS([1]!Data_Loan[Value],[1]!Data_Loan[Index Loan],'Dong Lam'!$B295,[1]!Data_Loan[TenCongTyID],'Dong Lam'!$B$1,[1]!Data_Loan[Thang.Nam],'Dong Lam'!AL$254)</f>
        <v>0</v>
      </c>
    </row>
    <row r="296" spans="1:38" ht="15" customHeight="1">
      <c r="A296" s="200" t="str">
        <f t="shared" si="38"/>
        <v>Standard Chartered</v>
      </c>
      <c r="B296" s="329">
        <v>42</v>
      </c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>
        <v>0</v>
      </c>
      <c r="AA296" s="201">
        <f>SUMIFS([1]!Data_Loan[Value],[1]!Data_Loan[Index Loan],'Dong Lam'!$B296,[1]!Data_Loan[TenCongTyID],'Dong Lam'!$B$1,[1]!Data_Loan[Thang.Nam],'Dong Lam'!AA$254)</f>
        <v>0</v>
      </c>
      <c r="AB296" s="201">
        <f>SUMIFS([1]!Data_Loan[Value],[1]!Data_Loan[Index Loan],'Dong Lam'!$B296,[1]!Data_Loan[TenCongTyID],'Dong Lam'!$B$1,[1]!Data_Loan[Thang.Nam],'Dong Lam'!AB$254)</f>
        <v>0</v>
      </c>
      <c r="AC296" s="201">
        <f>SUMIFS([1]!Data_Loan[Value],[1]!Data_Loan[Index Loan],'Dong Lam'!$B296,[1]!Data_Loan[TenCongTyID],'Dong Lam'!$B$1,[1]!Data_Loan[Thang.Nam],'Dong Lam'!AC$254)</f>
        <v>0</v>
      </c>
      <c r="AD296" s="201">
        <f>SUMIFS([1]!Data_Loan[Value],[1]!Data_Loan[Index Loan],'Dong Lam'!$B296,[1]!Data_Loan[TenCongTyID],'Dong Lam'!$B$1,[1]!Data_Loan[Thang.Nam],'Dong Lam'!AD$254)</f>
        <v>0</v>
      </c>
      <c r="AE296" s="201">
        <f>SUMIFS([1]!Data_Loan[Value],[1]!Data_Loan[Index Loan],'Dong Lam'!$B296,[1]!Data_Loan[TenCongTyID],'Dong Lam'!$B$1,[1]!Data_Loan[Thang.Nam],'Dong Lam'!AE$254)</f>
        <v>0</v>
      </c>
      <c r="AF296" s="201">
        <f>SUMIFS([1]!Data_Loan[Value],[1]!Data_Loan[Index Loan],'Dong Lam'!$B296,[1]!Data_Loan[TenCongTyID],'Dong Lam'!$B$1,[1]!Data_Loan[Thang.Nam],'Dong Lam'!AF$254)</f>
        <v>0</v>
      </c>
      <c r="AG296" s="201">
        <f>SUMIFS([1]!Data_Loan[Value],[1]!Data_Loan[Index Loan],'Dong Lam'!$B296,[1]!Data_Loan[TenCongTyID],'Dong Lam'!$B$1,[1]!Data_Loan[Thang.Nam],'Dong Lam'!AG$254)</f>
        <v>0</v>
      </c>
      <c r="AH296" s="201">
        <f>SUMIFS([1]!Data_Loan[Value],[1]!Data_Loan[Index Loan],'Dong Lam'!$B296,[1]!Data_Loan[TenCongTyID],'Dong Lam'!$B$1,[1]!Data_Loan[Thang.Nam],'Dong Lam'!AH$254)</f>
        <v>0</v>
      </c>
      <c r="AI296" s="201">
        <f>SUMIFS([1]!Data_Loan[Value],[1]!Data_Loan[Index Loan],'Dong Lam'!$B296,[1]!Data_Loan[TenCongTyID],'Dong Lam'!$B$1,[1]!Data_Loan[Thang.Nam],'Dong Lam'!AI$254)</f>
        <v>0</v>
      </c>
      <c r="AJ296" s="201">
        <f>SUMIFS([1]!Data_Loan[Value],[1]!Data_Loan[Index Loan],'Dong Lam'!$B296,[1]!Data_Loan[TenCongTyID],'Dong Lam'!$B$1,[1]!Data_Loan[Thang.Nam],'Dong Lam'!AJ$254)</f>
        <v>0</v>
      </c>
      <c r="AK296" s="201">
        <f>SUMIFS([1]!Data_Loan[Value],[1]!Data_Loan[Index Loan],'Dong Lam'!$B296,[1]!Data_Loan[TenCongTyID],'Dong Lam'!$B$1,[1]!Data_Loan[Thang.Nam],'Dong Lam'!AK$254)</f>
        <v>0</v>
      </c>
      <c r="AL296" s="201">
        <f>SUMIFS([1]!Data_Loan[Value],[1]!Data_Loan[Index Loan],'Dong Lam'!$B296,[1]!Data_Loan[TenCongTyID],'Dong Lam'!$B$1,[1]!Data_Loan[Thang.Nam],'Dong Lam'!AL$254)</f>
        <v>0</v>
      </c>
    </row>
    <row r="297" spans="1:38" ht="15" customHeight="1">
      <c r="A297" s="200" t="str">
        <f t="shared" si="38"/>
        <v>VILC</v>
      </c>
      <c r="B297" s="329">
        <v>43</v>
      </c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>
        <v>0</v>
      </c>
      <c r="AA297" s="201">
        <f>SUMIFS([1]!Data_Loan[Value],[1]!Data_Loan[Index Loan],'Dong Lam'!$B297,[1]!Data_Loan[TenCongTyID],'Dong Lam'!$B$1,[1]!Data_Loan[Thang.Nam],'Dong Lam'!AA$254)</f>
        <v>0</v>
      </c>
      <c r="AB297" s="201">
        <f>SUMIFS([1]!Data_Loan[Value],[1]!Data_Loan[Index Loan],'Dong Lam'!$B297,[1]!Data_Loan[TenCongTyID],'Dong Lam'!$B$1,[1]!Data_Loan[Thang.Nam],'Dong Lam'!AB$254)</f>
        <v>0</v>
      </c>
      <c r="AC297" s="201">
        <f>SUMIFS([1]!Data_Loan[Value],[1]!Data_Loan[Index Loan],'Dong Lam'!$B297,[1]!Data_Loan[TenCongTyID],'Dong Lam'!$B$1,[1]!Data_Loan[Thang.Nam],'Dong Lam'!AC$254)</f>
        <v>0</v>
      </c>
      <c r="AD297" s="201">
        <f>SUMIFS([1]!Data_Loan[Value],[1]!Data_Loan[Index Loan],'Dong Lam'!$B297,[1]!Data_Loan[TenCongTyID],'Dong Lam'!$B$1,[1]!Data_Loan[Thang.Nam],'Dong Lam'!AD$254)</f>
        <v>0</v>
      </c>
      <c r="AE297" s="201">
        <f>SUMIFS([1]!Data_Loan[Value],[1]!Data_Loan[Index Loan],'Dong Lam'!$B297,[1]!Data_Loan[TenCongTyID],'Dong Lam'!$B$1,[1]!Data_Loan[Thang.Nam],'Dong Lam'!AE$254)</f>
        <v>0</v>
      </c>
      <c r="AF297" s="201">
        <f>SUMIFS([1]!Data_Loan[Value],[1]!Data_Loan[Index Loan],'Dong Lam'!$B297,[1]!Data_Loan[TenCongTyID],'Dong Lam'!$B$1,[1]!Data_Loan[Thang.Nam],'Dong Lam'!AF$254)</f>
        <v>0</v>
      </c>
      <c r="AG297" s="201">
        <f>SUMIFS([1]!Data_Loan[Value],[1]!Data_Loan[Index Loan],'Dong Lam'!$B297,[1]!Data_Loan[TenCongTyID],'Dong Lam'!$B$1,[1]!Data_Loan[Thang.Nam],'Dong Lam'!AG$254)</f>
        <v>0</v>
      </c>
      <c r="AH297" s="201">
        <f>SUMIFS([1]!Data_Loan[Value],[1]!Data_Loan[Index Loan],'Dong Lam'!$B297,[1]!Data_Loan[TenCongTyID],'Dong Lam'!$B$1,[1]!Data_Loan[Thang.Nam],'Dong Lam'!AH$254)</f>
        <v>0</v>
      </c>
      <c r="AI297" s="201">
        <f>SUMIFS([1]!Data_Loan[Value],[1]!Data_Loan[Index Loan],'Dong Lam'!$B297,[1]!Data_Loan[TenCongTyID],'Dong Lam'!$B$1,[1]!Data_Loan[Thang.Nam],'Dong Lam'!AI$254)</f>
        <v>0</v>
      </c>
      <c r="AJ297" s="201">
        <f>SUMIFS([1]!Data_Loan[Value],[1]!Data_Loan[Index Loan],'Dong Lam'!$B297,[1]!Data_Loan[TenCongTyID],'Dong Lam'!$B$1,[1]!Data_Loan[Thang.Nam],'Dong Lam'!AJ$254)</f>
        <v>0</v>
      </c>
      <c r="AK297" s="201">
        <f>SUMIFS([1]!Data_Loan[Value],[1]!Data_Loan[Index Loan],'Dong Lam'!$B297,[1]!Data_Loan[TenCongTyID],'Dong Lam'!$B$1,[1]!Data_Loan[Thang.Nam],'Dong Lam'!AK$254)</f>
        <v>0</v>
      </c>
      <c r="AL297" s="201">
        <f>SUMIFS([1]!Data_Loan[Value],[1]!Data_Loan[Index Loan],'Dong Lam'!$B297,[1]!Data_Loan[TenCongTyID],'Dong Lam'!$B$1,[1]!Data_Loan[Thang.Nam],'Dong Lam'!AL$254)</f>
        <v>0</v>
      </c>
    </row>
    <row r="298" spans="1:38" ht="15" customHeight="1">
      <c r="A298" s="200" t="str">
        <f t="shared" si="38"/>
        <v>IVB</v>
      </c>
      <c r="B298" s="329">
        <v>44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>
        <v>0</v>
      </c>
      <c r="AA298" s="201">
        <f>SUMIFS([1]!Data_Loan[Value],[1]!Data_Loan[Index Loan],'Dong Lam'!$B298,[1]!Data_Loan[TenCongTyID],'Dong Lam'!$B$1,[1]!Data_Loan[Thang.Nam],'Dong Lam'!AA$254)</f>
        <v>0</v>
      </c>
      <c r="AB298" s="201">
        <f>SUMIFS([1]!Data_Loan[Value],[1]!Data_Loan[Index Loan],'Dong Lam'!$B298,[1]!Data_Loan[TenCongTyID],'Dong Lam'!$B$1,[1]!Data_Loan[Thang.Nam],'Dong Lam'!AB$254)</f>
        <v>0</v>
      </c>
      <c r="AC298" s="201">
        <f>SUMIFS([1]!Data_Loan[Value],[1]!Data_Loan[Index Loan],'Dong Lam'!$B298,[1]!Data_Loan[TenCongTyID],'Dong Lam'!$B$1,[1]!Data_Loan[Thang.Nam],'Dong Lam'!AC$254)</f>
        <v>0</v>
      </c>
      <c r="AD298" s="201">
        <f>SUMIFS([1]!Data_Loan[Value],[1]!Data_Loan[Index Loan],'Dong Lam'!$B298,[1]!Data_Loan[TenCongTyID],'Dong Lam'!$B$1,[1]!Data_Loan[Thang.Nam],'Dong Lam'!AD$254)</f>
        <v>0</v>
      </c>
      <c r="AE298" s="201">
        <f>SUMIFS([1]!Data_Loan[Value],[1]!Data_Loan[Index Loan],'Dong Lam'!$B298,[1]!Data_Loan[TenCongTyID],'Dong Lam'!$B$1,[1]!Data_Loan[Thang.Nam],'Dong Lam'!AE$254)</f>
        <v>0</v>
      </c>
      <c r="AF298" s="201">
        <f>SUMIFS([1]!Data_Loan[Value],[1]!Data_Loan[Index Loan],'Dong Lam'!$B298,[1]!Data_Loan[TenCongTyID],'Dong Lam'!$B$1,[1]!Data_Loan[Thang.Nam],'Dong Lam'!AF$254)</f>
        <v>0</v>
      </c>
      <c r="AG298" s="201">
        <f>SUMIFS([1]!Data_Loan[Value],[1]!Data_Loan[Index Loan],'Dong Lam'!$B298,[1]!Data_Loan[TenCongTyID],'Dong Lam'!$B$1,[1]!Data_Loan[Thang.Nam],'Dong Lam'!AG$254)</f>
        <v>0</v>
      </c>
      <c r="AH298" s="201">
        <f>SUMIFS([1]!Data_Loan[Value],[1]!Data_Loan[Index Loan],'Dong Lam'!$B298,[1]!Data_Loan[TenCongTyID],'Dong Lam'!$B$1,[1]!Data_Loan[Thang.Nam],'Dong Lam'!AH$254)</f>
        <v>0</v>
      </c>
      <c r="AI298" s="201">
        <f>SUMIFS([1]!Data_Loan[Value],[1]!Data_Loan[Index Loan],'Dong Lam'!$B298,[1]!Data_Loan[TenCongTyID],'Dong Lam'!$B$1,[1]!Data_Loan[Thang.Nam],'Dong Lam'!AI$254)</f>
        <v>0</v>
      </c>
      <c r="AJ298" s="201">
        <f>SUMIFS([1]!Data_Loan[Value],[1]!Data_Loan[Index Loan],'Dong Lam'!$B298,[1]!Data_Loan[TenCongTyID],'Dong Lam'!$B$1,[1]!Data_Loan[Thang.Nam],'Dong Lam'!AJ$254)</f>
        <v>0</v>
      </c>
      <c r="AK298" s="201">
        <f>SUMIFS([1]!Data_Loan[Value],[1]!Data_Loan[Index Loan],'Dong Lam'!$B298,[1]!Data_Loan[TenCongTyID],'Dong Lam'!$B$1,[1]!Data_Loan[Thang.Nam],'Dong Lam'!AK$254)</f>
        <v>0</v>
      </c>
      <c r="AL298" s="201">
        <f>SUMIFS([1]!Data_Loan[Value],[1]!Data_Loan[Index Loan],'Dong Lam'!$B298,[1]!Data_Loan[TenCongTyID],'Dong Lam'!$B$1,[1]!Data_Loan[Thang.Nam],'Dong Lam'!AL$254)</f>
        <v>0</v>
      </c>
    </row>
    <row r="299" spans="1:38" ht="15" customHeight="1">
      <c r="A299" s="200">
        <f t="shared" si="38"/>
        <v>0</v>
      </c>
      <c r="B299" s="329">
        <v>45</v>
      </c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>
        <v>0</v>
      </c>
      <c r="AA299" s="201">
        <f>SUMIFS([1]!Data_Loan[Value],[1]!Data_Loan[Index Loan],'Dong Lam'!$B299,[1]!Data_Loan[TenCongTyID],'Dong Lam'!$B$1,[1]!Data_Loan[Thang.Nam],'Dong Lam'!AA$254)</f>
        <v>0</v>
      </c>
      <c r="AB299" s="201">
        <f>SUMIFS([1]!Data_Loan[Value],[1]!Data_Loan[Index Loan],'Dong Lam'!$B299,[1]!Data_Loan[TenCongTyID],'Dong Lam'!$B$1,[1]!Data_Loan[Thang.Nam],'Dong Lam'!AB$254)</f>
        <v>0</v>
      </c>
      <c r="AC299" s="201">
        <f>SUMIFS([1]!Data_Loan[Value],[1]!Data_Loan[Index Loan],'Dong Lam'!$B299,[1]!Data_Loan[TenCongTyID],'Dong Lam'!$B$1,[1]!Data_Loan[Thang.Nam],'Dong Lam'!AC$254)</f>
        <v>0</v>
      </c>
      <c r="AD299" s="201">
        <f>SUMIFS([1]!Data_Loan[Value],[1]!Data_Loan[Index Loan],'Dong Lam'!$B299,[1]!Data_Loan[TenCongTyID],'Dong Lam'!$B$1,[1]!Data_Loan[Thang.Nam],'Dong Lam'!AD$254)</f>
        <v>0</v>
      </c>
      <c r="AE299" s="201">
        <f>SUMIFS([1]!Data_Loan[Value],[1]!Data_Loan[Index Loan],'Dong Lam'!$B299,[1]!Data_Loan[TenCongTyID],'Dong Lam'!$B$1,[1]!Data_Loan[Thang.Nam],'Dong Lam'!AE$254)</f>
        <v>0</v>
      </c>
      <c r="AF299" s="201">
        <f>SUMIFS([1]!Data_Loan[Value],[1]!Data_Loan[Index Loan],'Dong Lam'!$B299,[1]!Data_Loan[TenCongTyID],'Dong Lam'!$B$1,[1]!Data_Loan[Thang.Nam],'Dong Lam'!AF$254)</f>
        <v>0</v>
      </c>
      <c r="AG299" s="201">
        <f>SUMIFS([1]!Data_Loan[Value],[1]!Data_Loan[Index Loan],'Dong Lam'!$B299,[1]!Data_Loan[TenCongTyID],'Dong Lam'!$B$1,[1]!Data_Loan[Thang.Nam],'Dong Lam'!AG$254)</f>
        <v>0</v>
      </c>
      <c r="AH299" s="201">
        <f>SUMIFS([1]!Data_Loan[Value],[1]!Data_Loan[Index Loan],'Dong Lam'!$B299,[1]!Data_Loan[TenCongTyID],'Dong Lam'!$B$1,[1]!Data_Loan[Thang.Nam],'Dong Lam'!AH$254)</f>
        <v>0</v>
      </c>
      <c r="AI299" s="201">
        <f>SUMIFS([1]!Data_Loan[Value],[1]!Data_Loan[Index Loan],'Dong Lam'!$B299,[1]!Data_Loan[TenCongTyID],'Dong Lam'!$B$1,[1]!Data_Loan[Thang.Nam],'Dong Lam'!AI$254)</f>
        <v>0</v>
      </c>
      <c r="AJ299" s="201">
        <f>SUMIFS([1]!Data_Loan[Value],[1]!Data_Loan[Index Loan],'Dong Lam'!$B299,[1]!Data_Loan[TenCongTyID],'Dong Lam'!$B$1,[1]!Data_Loan[Thang.Nam],'Dong Lam'!AJ$254)</f>
        <v>0</v>
      </c>
      <c r="AK299" s="201">
        <f>SUMIFS([1]!Data_Loan[Value],[1]!Data_Loan[Index Loan],'Dong Lam'!$B299,[1]!Data_Loan[TenCongTyID],'Dong Lam'!$B$1,[1]!Data_Loan[Thang.Nam],'Dong Lam'!AK$254)</f>
        <v>0</v>
      </c>
      <c r="AL299" s="201">
        <f>SUMIFS([1]!Data_Loan[Value],[1]!Data_Loan[Index Loan],'Dong Lam'!$B299,[1]!Data_Loan[TenCongTyID],'Dong Lam'!$B$1,[1]!Data_Loan[Thang.Nam],'Dong Lam'!AL$254)</f>
        <v>0</v>
      </c>
    </row>
    <row r="300" spans="1:38" ht="15" customHeight="1" thickBot="1">
      <c r="A300" s="203" t="s">
        <v>371</v>
      </c>
      <c r="B300" s="332">
        <v>46</v>
      </c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>
        <v>0</v>
      </c>
      <c r="AA300" s="205">
        <f>SUMIFS([1]!Data_Loan[Value],[1]!Data_Loan[Index Loan],'Dong Lam'!$B300,[1]!Data_Loan[TenCongTyID],'Dong Lam'!$B$1,[1]!Data_Loan[Thang.Nam],'Dong Lam'!AA$254)</f>
        <v>0</v>
      </c>
      <c r="AB300" s="205">
        <f>SUMIFS([1]!Data_Loan[Value],[1]!Data_Loan[Index Loan],'Dong Lam'!$B300,[1]!Data_Loan[TenCongTyID],'Dong Lam'!$B$1,[1]!Data_Loan[Thang.Nam],'Dong Lam'!AB$254)</f>
        <v>0</v>
      </c>
      <c r="AC300" s="205">
        <f>SUMIFS([1]!Data_Loan[Value],[1]!Data_Loan[Index Loan],'Dong Lam'!$B300,[1]!Data_Loan[TenCongTyID],'Dong Lam'!$B$1,[1]!Data_Loan[Thang.Nam],'Dong Lam'!AC$254)</f>
        <v>0</v>
      </c>
      <c r="AD300" s="205">
        <f>SUMIFS([1]!Data_Loan[Value],[1]!Data_Loan[Index Loan],'Dong Lam'!$B300,[1]!Data_Loan[TenCongTyID],'Dong Lam'!$B$1,[1]!Data_Loan[Thang.Nam],'Dong Lam'!AD$254)</f>
        <v>0</v>
      </c>
      <c r="AE300" s="205">
        <f>SUMIFS([1]!Data_Loan[Value],[1]!Data_Loan[Index Loan],'Dong Lam'!$B300,[1]!Data_Loan[TenCongTyID],'Dong Lam'!$B$1,[1]!Data_Loan[Thang.Nam],'Dong Lam'!AE$254)</f>
        <v>0</v>
      </c>
      <c r="AF300" s="205">
        <f>SUMIFS([1]!Data_Loan[Value],[1]!Data_Loan[Index Loan],'Dong Lam'!$B300,[1]!Data_Loan[TenCongTyID],'Dong Lam'!$B$1,[1]!Data_Loan[Thang.Nam],'Dong Lam'!AF$254)</f>
        <v>0</v>
      </c>
      <c r="AG300" s="205">
        <f>SUMIFS([1]!Data_Loan[Value],[1]!Data_Loan[Index Loan],'Dong Lam'!$B300,[1]!Data_Loan[TenCongTyID],'Dong Lam'!$B$1,[1]!Data_Loan[Thang.Nam],'Dong Lam'!AG$254)</f>
        <v>0</v>
      </c>
      <c r="AH300" s="205">
        <f>SUMIFS([1]!Data_Loan[Value],[1]!Data_Loan[Index Loan],'Dong Lam'!$B300,[1]!Data_Loan[TenCongTyID],'Dong Lam'!$B$1,[1]!Data_Loan[Thang.Nam],'Dong Lam'!AH$254)</f>
        <v>0</v>
      </c>
      <c r="AI300" s="205">
        <f>SUMIFS([1]!Data_Loan[Value],[1]!Data_Loan[Index Loan],'Dong Lam'!$B300,[1]!Data_Loan[TenCongTyID],'Dong Lam'!$B$1,[1]!Data_Loan[Thang.Nam],'Dong Lam'!AI$254)</f>
        <v>0</v>
      </c>
      <c r="AJ300" s="205">
        <f>SUMIFS([1]!Data_Loan[Value],[1]!Data_Loan[Index Loan],'Dong Lam'!$B300,[1]!Data_Loan[TenCongTyID],'Dong Lam'!$B$1,[1]!Data_Loan[Thang.Nam],'Dong Lam'!AJ$254)</f>
        <v>0</v>
      </c>
      <c r="AK300" s="205">
        <f>SUMIFS([1]!Data_Loan[Value],[1]!Data_Loan[Index Loan],'Dong Lam'!$B300,[1]!Data_Loan[TenCongTyID],'Dong Lam'!$B$1,[1]!Data_Loan[Thang.Nam],'Dong Lam'!AK$254)</f>
        <v>0</v>
      </c>
      <c r="AL300" s="205">
        <f>SUMIFS([1]!Data_Loan[Value],[1]!Data_Loan[Index Loan],'Dong Lam'!$B300,[1]!Data_Loan[TenCongTyID],'Dong Lam'!$B$1,[1]!Data_Loan[Thang.Nam],'Dong Lam'!AL$254)</f>
        <v>0</v>
      </c>
    </row>
    <row r="301" spans="1:38" ht="15" customHeight="1" thickTop="1">
      <c r="A301" s="200" t="str">
        <f t="shared" ref="A301:A306" si="39">A283</f>
        <v>ACB</v>
      </c>
      <c r="B301" s="329">
        <v>47</v>
      </c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>
        <v>0</v>
      </c>
      <c r="AA301" s="201">
        <f>SUMIFS([1]!Data_Loan[Value],[1]!Data_Loan[Index Loan],'Dong Lam'!$B301,[1]!Data_Loan[TenCongTyID],'Dong Lam'!$B$1,[1]!Data_Loan[Thang.Nam],'Dong Lam'!AA$254)</f>
        <v>0</v>
      </c>
      <c r="AB301" s="201">
        <f>SUMIFS([1]!Data_Loan[Value],[1]!Data_Loan[Index Loan],'Dong Lam'!$B301,[1]!Data_Loan[TenCongTyID],'Dong Lam'!$B$1,[1]!Data_Loan[Thang.Nam],'Dong Lam'!AB$254)</f>
        <v>0</v>
      </c>
      <c r="AC301" s="201">
        <f>SUMIFS([1]!Data_Loan[Value],[1]!Data_Loan[Index Loan],'Dong Lam'!$B301,[1]!Data_Loan[TenCongTyID],'Dong Lam'!$B$1,[1]!Data_Loan[Thang.Nam],'Dong Lam'!AC$254)</f>
        <v>0</v>
      </c>
      <c r="AD301" s="201">
        <f>SUMIFS([1]!Data_Loan[Value],[1]!Data_Loan[Index Loan],'Dong Lam'!$B301,[1]!Data_Loan[TenCongTyID],'Dong Lam'!$B$1,[1]!Data_Loan[Thang.Nam],'Dong Lam'!AD$254)</f>
        <v>0</v>
      </c>
      <c r="AE301" s="201">
        <f>SUMIFS([1]!Data_Loan[Value],[1]!Data_Loan[Index Loan],'Dong Lam'!$B301,[1]!Data_Loan[TenCongTyID],'Dong Lam'!$B$1,[1]!Data_Loan[Thang.Nam],'Dong Lam'!AE$254)</f>
        <v>0</v>
      </c>
      <c r="AF301" s="201">
        <f>SUMIFS([1]!Data_Loan[Value],[1]!Data_Loan[Index Loan],'Dong Lam'!$B301,[1]!Data_Loan[TenCongTyID],'Dong Lam'!$B$1,[1]!Data_Loan[Thang.Nam],'Dong Lam'!AF$254)</f>
        <v>0</v>
      </c>
      <c r="AG301" s="201">
        <f>SUMIFS([1]!Data_Loan[Value],[1]!Data_Loan[Index Loan],'Dong Lam'!$B301,[1]!Data_Loan[TenCongTyID],'Dong Lam'!$B$1,[1]!Data_Loan[Thang.Nam],'Dong Lam'!AG$254)</f>
        <v>0</v>
      </c>
      <c r="AH301" s="201">
        <f>SUMIFS([1]!Data_Loan[Value],[1]!Data_Loan[Index Loan],'Dong Lam'!$B301,[1]!Data_Loan[TenCongTyID],'Dong Lam'!$B$1,[1]!Data_Loan[Thang.Nam],'Dong Lam'!AH$254)</f>
        <v>0</v>
      </c>
      <c r="AI301" s="201">
        <f>SUMIFS([1]!Data_Loan[Value],[1]!Data_Loan[Index Loan],'Dong Lam'!$B301,[1]!Data_Loan[TenCongTyID],'Dong Lam'!$B$1,[1]!Data_Loan[Thang.Nam],'Dong Lam'!AI$254)</f>
        <v>0</v>
      </c>
      <c r="AJ301" s="201">
        <f>SUMIFS([1]!Data_Loan[Value],[1]!Data_Loan[Index Loan],'Dong Lam'!$B301,[1]!Data_Loan[TenCongTyID],'Dong Lam'!$B$1,[1]!Data_Loan[Thang.Nam],'Dong Lam'!AJ$254)</f>
        <v>0</v>
      </c>
      <c r="AK301" s="201">
        <f>SUMIFS([1]!Data_Loan[Value],[1]!Data_Loan[Index Loan],'Dong Lam'!$B301,[1]!Data_Loan[TenCongTyID],'Dong Lam'!$B$1,[1]!Data_Loan[Thang.Nam],'Dong Lam'!AK$254)</f>
        <v>0</v>
      </c>
      <c r="AL301" s="201">
        <f>SUMIFS([1]!Data_Loan[Value],[1]!Data_Loan[Index Loan],'Dong Lam'!$B301,[1]!Data_Loan[TenCongTyID],'Dong Lam'!$B$1,[1]!Data_Loan[Thang.Nam],'Dong Lam'!AL$254)</f>
        <v>0</v>
      </c>
    </row>
    <row r="302" spans="1:38" ht="15" customHeight="1">
      <c r="A302" s="200" t="str">
        <f t="shared" si="39"/>
        <v>VietinBank</v>
      </c>
      <c r="B302" s="329">
        <v>48</v>
      </c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>
        <v>0</v>
      </c>
      <c r="AA302" s="201">
        <f>SUMIFS([1]!Data_Loan[Value],[1]!Data_Loan[Index Loan],'Dong Lam'!$B302,[1]!Data_Loan[TenCongTyID],'Dong Lam'!$B$1,[1]!Data_Loan[Thang.Nam],'Dong Lam'!AA$254)</f>
        <v>0</v>
      </c>
      <c r="AB302" s="201">
        <f>SUMIFS([1]!Data_Loan[Value],[1]!Data_Loan[Index Loan],'Dong Lam'!$B302,[1]!Data_Loan[TenCongTyID],'Dong Lam'!$B$1,[1]!Data_Loan[Thang.Nam],'Dong Lam'!AB$254)</f>
        <v>0</v>
      </c>
      <c r="AC302" s="201">
        <f>SUMIFS([1]!Data_Loan[Value],[1]!Data_Loan[Index Loan],'Dong Lam'!$B302,[1]!Data_Loan[TenCongTyID],'Dong Lam'!$B$1,[1]!Data_Loan[Thang.Nam],'Dong Lam'!AC$254)</f>
        <v>0</v>
      </c>
      <c r="AD302" s="201">
        <f>SUMIFS([1]!Data_Loan[Value],[1]!Data_Loan[Index Loan],'Dong Lam'!$B302,[1]!Data_Loan[TenCongTyID],'Dong Lam'!$B$1,[1]!Data_Loan[Thang.Nam],'Dong Lam'!AD$254)</f>
        <v>0</v>
      </c>
      <c r="AE302" s="201">
        <f>SUMIFS([1]!Data_Loan[Value],[1]!Data_Loan[Index Loan],'Dong Lam'!$B302,[1]!Data_Loan[TenCongTyID],'Dong Lam'!$B$1,[1]!Data_Loan[Thang.Nam],'Dong Lam'!AE$254)</f>
        <v>0</v>
      </c>
      <c r="AF302" s="201">
        <f>SUMIFS([1]!Data_Loan[Value],[1]!Data_Loan[Index Loan],'Dong Lam'!$B302,[1]!Data_Loan[TenCongTyID],'Dong Lam'!$B$1,[1]!Data_Loan[Thang.Nam],'Dong Lam'!AF$254)</f>
        <v>0</v>
      </c>
      <c r="AG302" s="201">
        <f>SUMIFS([1]!Data_Loan[Value],[1]!Data_Loan[Index Loan],'Dong Lam'!$B302,[1]!Data_Loan[TenCongTyID],'Dong Lam'!$B$1,[1]!Data_Loan[Thang.Nam],'Dong Lam'!AG$254)</f>
        <v>0</v>
      </c>
      <c r="AH302" s="201">
        <f>SUMIFS([1]!Data_Loan[Value],[1]!Data_Loan[Index Loan],'Dong Lam'!$B302,[1]!Data_Loan[TenCongTyID],'Dong Lam'!$B$1,[1]!Data_Loan[Thang.Nam],'Dong Lam'!AH$254)</f>
        <v>0</v>
      </c>
      <c r="AI302" s="201">
        <f>SUMIFS([1]!Data_Loan[Value],[1]!Data_Loan[Index Loan],'Dong Lam'!$B302,[1]!Data_Loan[TenCongTyID],'Dong Lam'!$B$1,[1]!Data_Loan[Thang.Nam],'Dong Lam'!AI$254)</f>
        <v>0</v>
      </c>
      <c r="AJ302" s="201">
        <f>SUMIFS([1]!Data_Loan[Value],[1]!Data_Loan[Index Loan],'Dong Lam'!$B302,[1]!Data_Loan[TenCongTyID],'Dong Lam'!$B$1,[1]!Data_Loan[Thang.Nam],'Dong Lam'!AJ$254)</f>
        <v>0</v>
      </c>
      <c r="AK302" s="201">
        <f>SUMIFS([1]!Data_Loan[Value],[1]!Data_Loan[Index Loan],'Dong Lam'!$B302,[1]!Data_Loan[TenCongTyID],'Dong Lam'!$B$1,[1]!Data_Loan[Thang.Nam],'Dong Lam'!AK$254)</f>
        <v>0</v>
      </c>
      <c r="AL302" s="201">
        <f>SUMIFS([1]!Data_Loan[Value],[1]!Data_Loan[Index Loan],'Dong Lam'!$B302,[1]!Data_Loan[TenCongTyID],'Dong Lam'!$B$1,[1]!Data_Loan[Thang.Nam],'Dong Lam'!AL$254)</f>
        <v>0</v>
      </c>
    </row>
    <row r="303" spans="1:38" ht="15" customHeight="1">
      <c r="A303" s="200" t="str">
        <f t="shared" si="39"/>
        <v>Vietcombank</v>
      </c>
      <c r="B303" s="329">
        <v>49</v>
      </c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>
        <v>0</v>
      </c>
      <c r="AA303" s="201">
        <f>SUMIFS([1]!Data_Loan[Value],[1]!Data_Loan[Index Loan],'Dong Lam'!$B303,[1]!Data_Loan[TenCongTyID],'Dong Lam'!$B$1,[1]!Data_Loan[Thang.Nam],'Dong Lam'!AA$254)</f>
        <v>0</v>
      </c>
      <c r="AB303" s="201">
        <f>SUMIFS([1]!Data_Loan[Value],[1]!Data_Loan[Index Loan],'Dong Lam'!$B303,[1]!Data_Loan[TenCongTyID],'Dong Lam'!$B$1,[1]!Data_Loan[Thang.Nam],'Dong Lam'!AB$254)</f>
        <v>0</v>
      </c>
      <c r="AC303" s="201">
        <f>SUMIFS([1]!Data_Loan[Value],[1]!Data_Loan[Index Loan],'Dong Lam'!$B303,[1]!Data_Loan[TenCongTyID],'Dong Lam'!$B$1,[1]!Data_Loan[Thang.Nam],'Dong Lam'!AC$254)</f>
        <v>0</v>
      </c>
      <c r="AD303" s="201">
        <f>SUMIFS([1]!Data_Loan[Value],[1]!Data_Loan[Index Loan],'Dong Lam'!$B303,[1]!Data_Loan[TenCongTyID],'Dong Lam'!$B$1,[1]!Data_Loan[Thang.Nam],'Dong Lam'!AD$254)</f>
        <v>0</v>
      </c>
      <c r="AE303" s="201">
        <f>SUMIFS([1]!Data_Loan[Value],[1]!Data_Loan[Index Loan],'Dong Lam'!$B303,[1]!Data_Loan[TenCongTyID],'Dong Lam'!$B$1,[1]!Data_Loan[Thang.Nam],'Dong Lam'!AE$254)</f>
        <v>0</v>
      </c>
      <c r="AF303" s="201">
        <f>SUMIFS([1]!Data_Loan[Value],[1]!Data_Loan[Index Loan],'Dong Lam'!$B303,[1]!Data_Loan[TenCongTyID],'Dong Lam'!$B$1,[1]!Data_Loan[Thang.Nam],'Dong Lam'!AF$254)</f>
        <v>0</v>
      </c>
      <c r="AG303" s="201">
        <f>SUMIFS([1]!Data_Loan[Value],[1]!Data_Loan[Index Loan],'Dong Lam'!$B303,[1]!Data_Loan[TenCongTyID],'Dong Lam'!$B$1,[1]!Data_Loan[Thang.Nam],'Dong Lam'!AG$254)</f>
        <v>0</v>
      </c>
      <c r="AH303" s="201">
        <f>SUMIFS([1]!Data_Loan[Value],[1]!Data_Loan[Index Loan],'Dong Lam'!$B303,[1]!Data_Loan[TenCongTyID],'Dong Lam'!$B$1,[1]!Data_Loan[Thang.Nam],'Dong Lam'!AH$254)</f>
        <v>0</v>
      </c>
      <c r="AI303" s="201">
        <f>SUMIFS([1]!Data_Loan[Value],[1]!Data_Loan[Index Loan],'Dong Lam'!$B303,[1]!Data_Loan[TenCongTyID],'Dong Lam'!$B$1,[1]!Data_Loan[Thang.Nam],'Dong Lam'!AI$254)</f>
        <v>0</v>
      </c>
      <c r="AJ303" s="201">
        <f>SUMIFS([1]!Data_Loan[Value],[1]!Data_Loan[Index Loan],'Dong Lam'!$B303,[1]!Data_Loan[TenCongTyID],'Dong Lam'!$B$1,[1]!Data_Loan[Thang.Nam],'Dong Lam'!AJ$254)</f>
        <v>0</v>
      </c>
      <c r="AK303" s="201">
        <f>SUMIFS([1]!Data_Loan[Value],[1]!Data_Loan[Index Loan],'Dong Lam'!$B303,[1]!Data_Loan[TenCongTyID],'Dong Lam'!$B$1,[1]!Data_Loan[Thang.Nam],'Dong Lam'!AK$254)</f>
        <v>0</v>
      </c>
      <c r="AL303" s="201">
        <f>SUMIFS([1]!Data_Loan[Value],[1]!Data_Loan[Index Loan],'Dong Lam'!$B303,[1]!Data_Loan[TenCongTyID],'Dong Lam'!$B$1,[1]!Data_Loan[Thang.Nam],'Dong Lam'!AL$254)</f>
        <v>0</v>
      </c>
    </row>
    <row r="304" spans="1:38" ht="15" customHeight="1">
      <c r="A304" s="200" t="str">
        <f t="shared" si="39"/>
        <v>BIDV</v>
      </c>
      <c r="B304" s="329">
        <v>50</v>
      </c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>
        <v>0</v>
      </c>
      <c r="AA304" s="201">
        <f>SUMIFS([1]!Data_Loan[Value],[1]!Data_Loan[Index Loan],'Dong Lam'!$B304,[1]!Data_Loan[TenCongTyID],'Dong Lam'!$B$1,[1]!Data_Loan[Thang.Nam],'Dong Lam'!AA$254)</f>
        <v>0</v>
      </c>
      <c r="AB304" s="201">
        <f>SUMIFS([1]!Data_Loan[Value],[1]!Data_Loan[Index Loan],'Dong Lam'!$B304,[1]!Data_Loan[TenCongTyID],'Dong Lam'!$B$1,[1]!Data_Loan[Thang.Nam],'Dong Lam'!AB$254)</f>
        <v>0</v>
      </c>
      <c r="AC304" s="201">
        <f>SUMIFS([1]!Data_Loan[Value],[1]!Data_Loan[Index Loan],'Dong Lam'!$B304,[1]!Data_Loan[TenCongTyID],'Dong Lam'!$B$1,[1]!Data_Loan[Thang.Nam],'Dong Lam'!AC$254)</f>
        <v>0</v>
      </c>
      <c r="AD304" s="201">
        <f>SUMIFS([1]!Data_Loan[Value],[1]!Data_Loan[Index Loan],'Dong Lam'!$B304,[1]!Data_Loan[TenCongTyID],'Dong Lam'!$B$1,[1]!Data_Loan[Thang.Nam],'Dong Lam'!AD$254)</f>
        <v>0</v>
      </c>
      <c r="AE304" s="201">
        <f>SUMIFS([1]!Data_Loan[Value],[1]!Data_Loan[Index Loan],'Dong Lam'!$B304,[1]!Data_Loan[TenCongTyID],'Dong Lam'!$B$1,[1]!Data_Loan[Thang.Nam],'Dong Lam'!AE$254)</f>
        <v>0</v>
      </c>
      <c r="AF304" s="201">
        <f>SUMIFS([1]!Data_Loan[Value],[1]!Data_Loan[Index Loan],'Dong Lam'!$B304,[1]!Data_Loan[TenCongTyID],'Dong Lam'!$B$1,[1]!Data_Loan[Thang.Nam],'Dong Lam'!AF$254)</f>
        <v>0</v>
      </c>
      <c r="AG304" s="201">
        <f>SUMIFS([1]!Data_Loan[Value],[1]!Data_Loan[Index Loan],'Dong Lam'!$B304,[1]!Data_Loan[TenCongTyID],'Dong Lam'!$B$1,[1]!Data_Loan[Thang.Nam],'Dong Lam'!AG$254)</f>
        <v>0</v>
      </c>
      <c r="AH304" s="201">
        <f>SUMIFS([1]!Data_Loan[Value],[1]!Data_Loan[Index Loan],'Dong Lam'!$B304,[1]!Data_Loan[TenCongTyID],'Dong Lam'!$B$1,[1]!Data_Loan[Thang.Nam],'Dong Lam'!AH$254)</f>
        <v>0</v>
      </c>
      <c r="AI304" s="201">
        <f>SUMIFS([1]!Data_Loan[Value],[1]!Data_Loan[Index Loan],'Dong Lam'!$B304,[1]!Data_Loan[TenCongTyID],'Dong Lam'!$B$1,[1]!Data_Loan[Thang.Nam],'Dong Lam'!AI$254)</f>
        <v>0</v>
      </c>
      <c r="AJ304" s="201">
        <f>SUMIFS([1]!Data_Loan[Value],[1]!Data_Loan[Index Loan],'Dong Lam'!$B304,[1]!Data_Loan[TenCongTyID],'Dong Lam'!$B$1,[1]!Data_Loan[Thang.Nam],'Dong Lam'!AJ$254)</f>
        <v>0</v>
      </c>
      <c r="AK304" s="201">
        <f>SUMIFS([1]!Data_Loan[Value],[1]!Data_Loan[Index Loan],'Dong Lam'!$B304,[1]!Data_Loan[TenCongTyID],'Dong Lam'!$B$1,[1]!Data_Loan[Thang.Nam],'Dong Lam'!AK$254)</f>
        <v>0</v>
      </c>
      <c r="AL304" s="201">
        <f>SUMIFS([1]!Data_Loan[Value],[1]!Data_Loan[Index Loan],'Dong Lam'!$B304,[1]!Data_Loan[TenCongTyID],'Dong Lam'!$B$1,[1]!Data_Loan[Thang.Nam],'Dong Lam'!AL$254)</f>
        <v>0</v>
      </c>
    </row>
    <row r="305" spans="1:38" ht="15" customHeight="1">
      <c r="A305" s="200" t="str">
        <f t="shared" si="39"/>
        <v>Standard Chartered</v>
      </c>
      <c r="B305" s="329">
        <v>51</v>
      </c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>
        <v>0</v>
      </c>
      <c r="AA305" s="201">
        <f>SUMIFS([1]!Data_Loan[Value],[1]!Data_Loan[Index Loan],'Dong Lam'!$B305,[1]!Data_Loan[TenCongTyID],'Dong Lam'!$B$1,[1]!Data_Loan[Thang.Nam],'Dong Lam'!AA$254)</f>
        <v>0</v>
      </c>
      <c r="AB305" s="201">
        <f>SUMIFS([1]!Data_Loan[Value],[1]!Data_Loan[Index Loan],'Dong Lam'!$B305,[1]!Data_Loan[TenCongTyID],'Dong Lam'!$B$1,[1]!Data_Loan[Thang.Nam],'Dong Lam'!AB$254)</f>
        <v>0</v>
      </c>
      <c r="AC305" s="201">
        <f>SUMIFS([1]!Data_Loan[Value],[1]!Data_Loan[Index Loan],'Dong Lam'!$B305,[1]!Data_Loan[TenCongTyID],'Dong Lam'!$B$1,[1]!Data_Loan[Thang.Nam],'Dong Lam'!AC$254)</f>
        <v>0</v>
      </c>
      <c r="AD305" s="201">
        <f>SUMIFS([1]!Data_Loan[Value],[1]!Data_Loan[Index Loan],'Dong Lam'!$B305,[1]!Data_Loan[TenCongTyID],'Dong Lam'!$B$1,[1]!Data_Loan[Thang.Nam],'Dong Lam'!AD$254)</f>
        <v>0</v>
      </c>
      <c r="AE305" s="201">
        <f>SUMIFS([1]!Data_Loan[Value],[1]!Data_Loan[Index Loan],'Dong Lam'!$B305,[1]!Data_Loan[TenCongTyID],'Dong Lam'!$B$1,[1]!Data_Loan[Thang.Nam],'Dong Lam'!AE$254)</f>
        <v>0</v>
      </c>
      <c r="AF305" s="201">
        <f>SUMIFS([1]!Data_Loan[Value],[1]!Data_Loan[Index Loan],'Dong Lam'!$B305,[1]!Data_Loan[TenCongTyID],'Dong Lam'!$B$1,[1]!Data_Loan[Thang.Nam],'Dong Lam'!AF$254)</f>
        <v>0</v>
      </c>
      <c r="AG305" s="201">
        <f>SUMIFS([1]!Data_Loan[Value],[1]!Data_Loan[Index Loan],'Dong Lam'!$B305,[1]!Data_Loan[TenCongTyID],'Dong Lam'!$B$1,[1]!Data_Loan[Thang.Nam],'Dong Lam'!AG$254)</f>
        <v>0</v>
      </c>
      <c r="AH305" s="201">
        <f>SUMIFS([1]!Data_Loan[Value],[1]!Data_Loan[Index Loan],'Dong Lam'!$B305,[1]!Data_Loan[TenCongTyID],'Dong Lam'!$B$1,[1]!Data_Loan[Thang.Nam],'Dong Lam'!AH$254)</f>
        <v>0</v>
      </c>
      <c r="AI305" s="201">
        <f>SUMIFS([1]!Data_Loan[Value],[1]!Data_Loan[Index Loan],'Dong Lam'!$B305,[1]!Data_Loan[TenCongTyID],'Dong Lam'!$B$1,[1]!Data_Loan[Thang.Nam],'Dong Lam'!AI$254)</f>
        <v>0</v>
      </c>
      <c r="AJ305" s="201">
        <f>SUMIFS([1]!Data_Loan[Value],[1]!Data_Loan[Index Loan],'Dong Lam'!$B305,[1]!Data_Loan[TenCongTyID],'Dong Lam'!$B$1,[1]!Data_Loan[Thang.Nam],'Dong Lam'!AJ$254)</f>
        <v>0</v>
      </c>
      <c r="AK305" s="201">
        <f>SUMIFS([1]!Data_Loan[Value],[1]!Data_Loan[Index Loan],'Dong Lam'!$B305,[1]!Data_Loan[TenCongTyID],'Dong Lam'!$B$1,[1]!Data_Loan[Thang.Nam],'Dong Lam'!AK$254)</f>
        <v>0</v>
      </c>
      <c r="AL305" s="201">
        <f>SUMIFS([1]!Data_Loan[Value],[1]!Data_Loan[Index Loan],'Dong Lam'!$B305,[1]!Data_Loan[TenCongTyID],'Dong Lam'!$B$1,[1]!Data_Loan[Thang.Nam],'Dong Lam'!AL$254)</f>
        <v>0</v>
      </c>
    </row>
    <row r="306" spans="1:38" ht="15" customHeight="1">
      <c r="A306" s="200" t="str">
        <f t="shared" si="39"/>
        <v>VILC</v>
      </c>
      <c r="B306" s="329">
        <v>52</v>
      </c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>
        <v>0</v>
      </c>
      <c r="AA306" s="201">
        <f>SUMIFS([1]!Data_Loan[Value],[1]!Data_Loan[Index Loan],'Dong Lam'!$B306,[1]!Data_Loan[TenCongTyID],'Dong Lam'!$B$1,[1]!Data_Loan[Thang.Nam],'Dong Lam'!AA$254)</f>
        <v>0</v>
      </c>
      <c r="AB306" s="201">
        <f>SUMIFS([1]!Data_Loan[Value],[1]!Data_Loan[Index Loan],'Dong Lam'!$B306,[1]!Data_Loan[TenCongTyID],'Dong Lam'!$B$1,[1]!Data_Loan[Thang.Nam],'Dong Lam'!AB$254)</f>
        <v>0</v>
      </c>
      <c r="AC306" s="201">
        <f>SUMIFS([1]!Data_Loan[Value],[1]!Data_Loan[Index Loan],'Dong Lam'!$B306,[1]!Data_Loan[TenCongTyID],'Dong Lam'!$B$1,[1]!Data_Loan[Thang.Nam],'Dong Lam'!AC$254)</f>
        <v>0</v>
      </c>
      <c r="AD306" s="201">
        <f>SUMIFS([1]!Data_Loan[Value],[1]!Data_Loan[Index Loan],'Dong Lam'!$B306,[1]!Data_Loan[TenCongTyID],'Dong Lam'!$B$1,[1]!Data_Loan[Thang.Nam],'Dong Lam'!AD$254)</f>
        <v>0</v>
      </c>
      <c r="AE306" s="201">
        <f>SUMIFS([1]!Data_Loan[Value],[1]!Data_Loan[Index Loan],'Dong Lam'!$B306,[1]!Data_Loan[TenCongTyID],'Dong Lam'!$B$1,[1]!Data_Loan[Thang.Nam],'Dong Lam'!AE$254)</f>
        <v>0</v>
      </c>
      <c r="AF306" s="201">
        <f>SUMIFS([1]!Data_Loan[Value],[1]!Data_Loan[Index Loan],'Dong Lam'!$B306,[1]!Data_Loan[TenCongTyID],'Dong Lam'!$B$1,[1]!Data_Loan[Thang.Nam],'Dong Lam'!AF$254)</f>
        <v>0</v>
      </c>
      <c r="AG306" s="201">
        <f>SUMIFS([1]!Data_Loan[Value],[1]!Data_Loan[Index Loan],'Dong Lam'!$B306,[1]!Data_Loan[TenCongTyID],'Dong Lam'!$B$1,[1]!Data_Loan[Thang.Nam],'Dong Lam'!AG$254)</f>
        <v>0</v>
      </c>
      <c r="AH306" s="201">
        <f>SUMIFS([1]!Data_Loan[Value],[1]!Data_Loan[Index Loan],'Dong Lam'!$B306,[1]!Data_Loan[TenCongTyID],'Dong Lam'!$B$1,[1]!Data_Loan[Thang.Nam],'Dong Lam'!AH$254)</f>
        <v>0</v>
      </c>
      <c r="AI306" s="201">
        <f>SUMIFS([1]!Data_Loan[Value],[1]!Data_Loan[Index Loan],'Dong Lam'!$B306,[1]!Data_Loan[TenCongTyID],'Dong Lam'!$B$1,[1]!Data_Loan[Thang.Nam],'Dong Lam'!AI$254)</f>
        <v>0</v>
      </c>
      <c r="AJ306" s="201">
        <f>SUMIFS([1]!Data_Loan[Value],[1]!Data_Loan[Index Loan],'Dong Lam'!$B306,[1]!Data_Loan[TenCongTyID],'Dong Lam'!$B$1,[1]!Data_Loan[Thang.Nam],'Dong Lam'!AJ$254)</f>
        <v>0</v>
      </c>
      <c r="AK306" s="201">
        <f>SUMIFS([1]!Data_Loan[Value],[1]!Data_Loan[Index Loan],'Dong Lam'!$B306,[1]!Data_Loan[TenCongTyID],'Dong Lam'!$B$1,[1]!Data_Loan[Thang.Nam],'Dong Lam'!AK$254)</f>
        <v>0</v>
      </c>
      <c r="AL306" s="201">
        <f>SUMIFS([1]!Data_Loan[Value],[1]!Data_Loan[Index Loan],'Dong Lam'!$B306,[1]!Data_Loan[TenCongTyID],'Dong Lam'!$B$1,[1]!Data_Loan[Thang.Nam],'Dong Lam'!AL$254)</f>
        <v>0</v>
      </c>
    </row>
    <row r="307" spans="1:38" ht="15" customHeight="1">
      <c r="A307" s="200" t="s">
        <v>347</v>
      </c>
      <c r="B307" s="329">
        <v>53</v>
      </c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>
        <v>0</v>
      </c>
      <c r="AA307" s="201">
        <f>SUMIFS([1]!Data_Loan[Value],[1]!Data_Loan[Index Loan],'Dong Lam'!$B307,[1]!Data_Loan[TenCongTyID],'Dong Lam'!$B$1,[1]!Data_Loan[Thang.Nam],'Dong Lam'!AA$254)</f>
        <v>0</v>
      </c>
      <c r="AB307" s="201">
        <f>SUMIFS([1]!Data_Loan[Value],[1]!Data_Loan[Index Loan],'Dong Lam'!$B307,[1]!Data_Loan[TenCongTyID],'Dong Lam'!$B$1,[1]!Data_Loan[Thang.Nam],'Dong Lam'!AB$254)</f>
        <v>0</v>
      </c>
      <c r="AC307" s="201">
        <f>SUMIFS([1]!Data_Loan[Value],[1]!Data_Loan[Index Loan],'Dong Lam'!$B307,[1]!Data_Loan[TenCongTyID],'Dong Lam'!$B$1,[1]!Data_Loan[Thang.Nam],'Dong Lam'!AC$254)</f>
        <v>0</v>
      </c>
      <c r="AD307" s="201">
        <f>SUMIFS([1]!Data_Loan[Value],[1]!Data_Loan[Index Loan],'Dong Lam'!$B307,[1]!Data_Loan[TenCongTyID],'Dong Lam'!$B$1,[1]!Data_Loan[Thang.Nam],'Dong Lam'!AD$254)</f>
        <v>0</v>
      </c>
      <c r="AE307" s="201">
        <f>SUMIFS([1]!Data_Loan[Value],[1]!Data_Loan[Index Loan],'Dong Lam'!$B307,[1]!Data_Loan[TenCongTyID],'Dong Lam'!$B$1,[1]!Data_Loan[Thang.Nam],'Dong Lam'!AE$254)</f>
        <v>0</v>
      </c>
      <c r="AF307" s="201">
        <f>SUMIFS([1]!Data_Loan[Value],[1]!Data_Loan[Index Loan],'Dong Lam'!$B307,[1]!Data_Loan[TenCongTyID],'Dong Lam'!$B$1,[1]!Data_Loan[Thang.Nam],'Dong Lam'!AF$254)</f>
        <v>0</v>
      </c>
      <c r="AG307" s="201">
        <f>SUMIFS([1]!Data_Loan[Value],[1]!Data_Loan[Index Loan],'Dong Lam'!$B307,[1]!Data_Loan[TenCongTyID],'Dong Lam'!$B$1,[1]!Data_Loan[Thang.Nam],'Dong Lam'!AG$254)</f>
        <v>0</v>
      </c>
      <c r="AH307" s="201">
        <f>SUMIFS([1]!Data_Loan[Value],[1]!Data_Loan[Index Loan],'Dong Lam'!$B307,[1]!Data_Loan[TenCongTyID],'Dong Lam'!$B$1,[1]!Data_Loan[Thang.Nam],'Dong Lam'!AH$254)</f>
        <v>0</v>
      </c>
      <c r="AI307" s="201">
        <f>SUMIFS([1]!Data_Loan[Value],[1]!Data_Loan[Index Loan],'Dong Lam'!$B307,[1]!Data_Loan[TenCongTyID],'Dong Lam'!$B$1,[1]!Data_Loan[Thang.Nam],'Dong Lam'!AI$254)</f>
        <v>0</v>
      </c>
      <c r="AJ307" s="201">
        <f>SUMIFS([1]!Data_Loan[Value],[1]!Data_Loan[Index Loan],'Dong Lam'!$B307,[1]!Data_Loan[TenCongTyID],'Dong Lam'!$B$1,[1]!Data_Loan[Thang.Nam],'Dong Lam'!AJ$254)</f>
        <v>0</v>
      </c>
      <c r="AK307" s="201">
        <f>SUMIFS([1]!Data_Loan[Value],[1]!Data_Loan[Index Loan],'Dong Lam'!$B307,[1]!Data_Loan[TenCongTyID],'Dong Lam'!$B$1,[1]!Data_Loan[Thang.Nam],'Dong Lam'!AK$254)</f>
        <v>0</v>
      </c>
      <c r="AL307" s="201">
        <f>SUMIFS([1]!Data_Loan[Value],[1]!Data_Loan[Index Loan],'Dong Lam'!$B307,[1]!Data_Loan[TenCongTyID],'Dong Lam'!$B$1,[1]!Data_Loan[Thang.Nam],'Dong Lam'!AL$254)</f>
        <v>0</v>
      </c>
    </row>
    <row r="308" spans="1:38" ht="15" customHeight="1">
      <c r="B308" s="335">
        <v>54</v>
      </c>
      <c r="Z308" s="49">
        <v>0</v>
      </c>
      <c r="AA308" s="49">
        <f>SUMIFS([1]!Data_Loan[Value],[1]!Data_Loan[Index Loan],'Dong Lam'!$B308,[1]!Data_Loan[TenCongTyID],'Dong Lam'!$B$1,[1]!Data_Loan[Thang.Nam],'Dong Lam'!AA$254)</f>
        <v>0</v>
      </c>
      <c r="AB308" s="49">
        <f>SUMIFS([1]!Data_Loan[Value],[1]!Data_Loan[Index Loan],'Dong Lam'!$B308,[1]!Data_Loan[TenCongTyID],'Dong Lam'!$B$1,[1]!Data_Loan[Thang.Nam],'Dong Lam'!AB$254)</f>
        <v>0</v>
      </c>
      <c r="AC308" s="49">
        <f>SUMIFS([1]!Data_Loan[Value],[1]!Data_Loan[Index Loan],'Dong Lam'!$B308,[1]!Data_Loan[TenCongTyID],'Dong Lam'!$B$1,[1]!Data_Loan[Thang.Nam],'Dong Lam'!AC$254)</f>
        <v>0</v>
      </c>
      <c r="AD308" s="49">
        <f>SUMIFS([1]!Data_Loan[Value],[1]!Data_Loan[Index Loan],'Dong Lam'!$B308,[1]!Data_Loan[TenCongTyID],'Dong Lam'!$B$1,[1]!Data_Loan[Thang.Nam],'Dong Lam'!AD$254)</f>
        <v>0</v>
      </c>
      <c r="AE308" s="49">
        <f>SUMIFS([1]!Data_Loan[Value],[1]!Data_Loan[Index Loan],'Dong Lam'!$B308,[1]!Data_Loan[TenCongTyID],'Dong Lam'!$B$1,[1]!Data_Loan[Thang.Nam],'Dong Lam'!AE$254)</f>
        <v>0</v>
      </c>
      <c r="AF308" s="49">
        <f>SUMIFS([1]!Data_Loan[Value],[1]!Data_Loan[Index Loan],'Dong Lam'!$B308,[1]!Data_Loan[TenCongTyID],'Dong Lam'!$B$1,[1]!Data_Loan[Thang.Nam],'Dong Lam'!AF$254)</f>
        <v>0</v>
      </c>
      <c r="AG308" s="49">
        <f>SUMIFS([1]!Data_Loan[Value],[1]!Data_Loan[Index Loan],'Dong Lam'!$B308,[1]!Data_Loan[TenCongTyID],'Dong Lam'!$B$1,[1]!Data_Loan[Thang.Nam],'Dong Lam'!AG$254)</f>
        <v>0</v>
      </c>
      <c r="AH308" s="49">
        <f>SUMIFS([1]!Data_Loan[Value],[1]!Data_Loan[Index Loan],'Dong Lam'!$B308,[1]!Data_Loan[TenCongTyID],'Dong Lam'!$B$1,[1]!Data_Loan[Thang.Nam],'Dong Lam'!AH$254)</f>
        <v>0</v>
      </c>
      <c r="AI308" s="49">
        <f>SUMIFS([1]!Data_Loan[Value],[1]!Data_Loan[Index Loan],'Dong Lam'!$B308,[1]!Data_Loan[TenCongTyID],'Dong Lam'!$B$1,[1]!Data_Loan[Thang.Nam],'Dong Lam'!AI$254)</f>
        <v>0</v>
      </c>
      <c r="AJ308" s="49">
        <f>SUMIFS([1]!Data_Loan[Value],[1]!Data_Loan[Index Loan],'Dong Lam'!$B308,[1]!Data_Loan[TenCongTyID],'Dong Lam'!$B$1,[1]!Data_Loan[Thang.Nam],'Dong Lam'!AJ$254)</f>
        <v>0</v>
      </c>
      <c r="AK308" s="49">
        <f>SUMIFS([1]!Data_Loan[Value],[1]!Data_Loan[Index Loan],'Dong Lam'!$B308,[1]!Data_Loan[TenCongTyID],'Dong Lam'!$B$1,[1]!Data_Loan[Thang.Nam],'Dong Lam'!AK$254)</f>
        <v>0</v>
      </c>
      <c r="AL308" s="49">
        <f>SUMIFS([1]!Data_Loan[Value],[1]!Data_Loan[Index Loan],'Dong Lam'!$B308,[1]!Data_Loan[TenCongTyID],'Dong Lam'!$B$1,[1]!Data_Loan[Thang.Nam],'Dong Lam'!AL$254)</f>
        <v>0</v>
      </c>
    </row>
    <row r="309" spans="1:38" ht="15" customHeight="1" thickBot="1">
      <c r="A309" s="203" t="s">
        <v>372</v>
      </c>
      <c r="B309" s="332">
        <v>55</v>
      </c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>
        <f>SUM(Y310:Y317)</f>
        <v>0</v>
      </c>
      <c r="Z309" s="205">
        <v>0</v>
      </c>
      <c r="AA309" s="205">
        <f>SUMIFS([1]!Data_Loan[Value],[1]!Data_Loan[Index Loan],'Dong Lam'!$B309,[1]!Data_Loan[TenCongTyID],'Dong Lam'!$B$1,[1]!Data_Loan[Thang.Nam],'Dong Lam'!AA$254)</f>
        <v>0</v>
      </c>
      <c r="AB309" s="205">
        <f>SUMIFS([1]!Data_Loan[Value],[1]!Data_Loan[Index Loan],'Dong Lam'!$B309,[1]!Data_Loan[TenCongTyID],'Dong Lam'!$B$1,[1]!Data_Loan[Thang.Nam],'Dong Lam'!AB$254)</f>
        <v>0</v>
      </c>
      <c r="AC309" s="205">
        <f>SUMIFS([1]!Data_Loan[Value],[1]!Data_Loan[Index Loan],'Dong Lam'!$B309,[1]!Data_Loan[TenCongTyID],'Dong Lam'!$B$1,[1]!Data_Loan[Thang.Nam],'Dong Lam'!AC$254)</f>
        <v>0</v>
      </c>
      <c r="AD309" s="205">
        <f>SUMIFS([1]!Data_Loan[Value],[1]!Data_Loan[Index Loan],'Dong Lam'!$B309,[1]!Data_Loan[TenCongTyID],'Dong Lam'!$B$1,[1]!Data_Loan[Thang.Nam],'Dong Lam'!AD$254)</f>
        <v>0</v>
      </c>
      <c r="AE309" s="205">
        <f>SUMIFS([1]!Data_Loan[Value],[1]!Data_Loan[Index Loan],'Dong Lam'!$B309,[1]!Data_Loan[TenCongTyID],'Dong Lam'!$B$1,[1]!Data_Loan[Thang.Nam],'Dong Lam'!AE$254)</f>
        <v>0</v>
      </c>
      <c r="AF309" s="205">
        <f>SUMIFS([1]!Data_Loan[Value],[1]!Data_Loan[Index Loan],'Dong Lam'!$B309,[1]!Data_Loan[TenCongTyID],'Dong Lam'!$B$1,[1]!Data_Loan[Thang.Nam],'Dong Lam'!AF$254)</f>
        <v>0</v>
      </c>
      <c r="AG309" s="205">
        <f>SUMIFS([1]!Data_Loan[Value],[1]!Data_Loan[Index Loan],'Dong Lam'!$B309,[1]!Data_Loan[TenCongTyID],'Dong Lam'!$B$1,[1]!Data_Loan[Thang.Nam],'Dong Lam'!AG$254)</f>
        <v>0</v>
      </c>
      <c r="AH309" s="205">
        <f>SUMIFS([1]!Data_Loan[Value],[1]!Data_Loan[Index Loan],'Dong Lam'!$B309,[1]!Data_Loan[TenCongTyID],'Dong Lam'!$B$1,[1]!Data_Loan[Thang.Nam],'Dong Lam'!AH$254)</f>
        <v>0</v>
      </c>
      <c r="AI309" s="205">
        <f>SUMIFS([1]!Data_Loan[Value],[1]!Data_Loan[Index Loan],'Dong Lam'!$B309,[1]!Data_Loan[TenCongTyID],'Dong Lam'!$B$1,[1]!Data_Loan[Thang.Nam],'Dong Lam'!AI$254)</f>
        <v>0</v>
      </c>
      <c r="AJ309" s="205">
        <f>SUMIFS([1]!Data_Loan[Value],[1]!Data_Loan[Index Loan],'Dong Lam'!$B309,[1]!Data_Loan[TenCongTyID],'Dong Lam'!$B$1,[1]!Data_Loan[Thang.Nam],'Dong Lam'!AJ$254)</f>
        <v>0</v>
      </c>
      <c r="AK309" s="205">
        <f>SUMIFS([1]!Data_Loan[Value],[1]!Data_Loan[Index Loan],'Dong Lam'!$B309,[1]!Data_Loan[TenCongTyID],'Dong Lam'!$B$1,[1]!Data_Loan[Thang.Nam],'Dong Lam'!AK$254)</f>
        <v>0</v>
      </c>
      <c r="AL309" s="205">
        <f>SUMIFS([1]!Data_Loan[Value],[1]!Data_Loan[Index Loan],'Dong Lam'!$B309,[1]!Data_Loan[TenCongTyID],'Dong Lam'!$B$1,[1]!Data_Loan[Thang.Nam],'Dong Lam'!AL$254)</f>
        <v>0</v>
      </c>
    </row>
    <row r="310" spans="1:38" ht="15" customHeight="1" thickTop="1">
      <c r="A310" s="200" t="str">
        <f t="shared" ref="A310:A315" si="40">A292</f>
        <v>ACB</v>
      </c>
      <c r="B310" s="335">
        <v>56</v>
      </c>
      <c r="Z310" s="49">
        <v>0</v>
      </c>
      <c r="AA310" s="49">
        <f>SUMIFS([1]!Data_Loan[Value],[1]!Data_Loan[Index Loan],'Dong Lam'!$B310,[1]!Data_Loan[TenCongTyID],'Dong Lam'!$B$1,[1]!Data_Loan[Thang.Nam],'Dong Lam'!AA$254)</f>
        <v>0</v>
      </c>
      <c r="AB310" s="49">
        <f>SUMIFS([1]!Data_Loan[Value],[1]!Data_Loan[Index Loan],'Dong Lam'!$B310,[1]!Data_Loan[TenCongTyID],'Dong Lam'!$B$1,[1]!Data_Loan[Thang.Nam],'Dong Lam'!AB$254)</f>
        <v>0</v>
      </c>
      <c r="AC310" s="49">
        <f>SUMIFS([1]!Data_Loan[Value],[1]!Data_Loan[Index Loan],'Dong Lam'!$B310,[1]!Data_Loan[TenCongTyID],'Dong Lam'!$B$1,[1]!Data_Loan[Thang.Nam],'Dong Lam'!AC$254)</f>
        <v>0</v>
      </c>
      <c r="AD310" s="49">
        <f>SUMIFS([1]!Data_Loan[Value],[1]!Data_Loan[Index Loan],'Dong Lam'!$B310,[1]!Data_Loan[TenCongTyID],'Dong Lam'!$B$1,[1]!Data_Loan[Thang.Nam],'Dong Lam'!AD$254)</f>
        <v>0</v>
      </c>
      <c r="AE310" s="49">
        <f>SUMIFS([1]!Data_Loan[Value],[1]!Data_Loan[Index Loan],'Dong Lam'!$B310,[1]!Data_Loan[TenCongTyID],'Dong Lam'!$B$1,[1]!Data_Loan[Thang.Nam],'Dong Lam'!AE$254)</f>
        <v>0</v>
      </c>
      <c r="AF310" s="49">
        <f>SUMIFS([1]!Data_Loan[Value],[1]!Data_Loan[Index Loan],'Dong Lam'!$B310,[1]!Data_Loan[TenCongTyID],'Dong Lam'!$B$1,[1]!Data_Loan[Thang.Nam],'Dong Lam'!AF$254)</f>
        <v>0</v>
      </c>
      <c r="AG310" s="49">
        <f>SUMIFS([1]!Data_Loan[Value],[1]!Data_Loan[Index Loan],'Dong Lam'!$B310,[1]!Data_Loan[TenCongTyID],'Dong Lam'!$B$1,[1]!Data_Loan[Thang.Nam],'Dong Lam'!AG$254)</f>
        <v>0</v>
      </c>
      <c r="AH310" s="49">
        <f>SUMIFS([1]!Data_Loan[Value],[1]!Data_Loan[Index Loan],'Dong Lam'!$B310,[1]!Data_Loan[TenCongTyID],'Dong Lam'!$B$1,[1]!Data_Loan[Thang.Nam],'Dong Lam'!AH$254)</f>
        <v>0</v>
      </c>
      <c r="AI310" s="49">
        <f>SUMIFS([1]!Data_Loan[Value],[1]!Data_Loan[Index Loan],'Dong Lam'!$B310,[1]!Data_Loan[TenCongTyID],'Dong Lam'!$B$1,[1]!Data_Loan[Thang.Nam],'Dong Lam'!AI$254)</f>
        <v>0</v>
      </c>
      <c r="AJ310" s="49">
        <f>SUMIFS([1]!Data_Loan[Value],[1]!Data_Loan[Index Loan],'Dong Lam'!$B310,[1]!Data_Loan[TenCongTyID],'Dong Lam'!$B$1,[1]!Data_Loan[Thang.Nam],'Dong Lam'!AJ$254)</f>
        <v>0</v>
      </c>
      <c r="AK310" s="49">
        <f>SUMIFS([1]!Data_Loan[Value],[1]!Data_Loan[Index Loan],'Dong Lam'!$B310,[1]!Data_Loan[TenCongTyID],'Dong Lam'!$B$1,[1]!Data_Loan[Thang.Nam],'Dong Lam'!AK$254)</f>
        <v>0</v>
      </c>
      <c r="AL310" s="49">
        <f>SUMIFS([1]!Data_Loan[Value],[1]!Data_Loan[Index Loan],'Dong Lam'!$B310,[1]!Data_Loan[TenCongTyID],'Dong Lam'!$B$1,[1]!Data_Loan[Thang.Nam],'Dong Lam'!AL$254)</f>
        <v>0</v>
      </c>
    </row>
    <row r="311" spans="1:38" ht="15" customHeight="1">
      <c r="A311" s="200" t="str">
        <f t="shared" si="40"/>
        <v>VietinBank</v>
      </c>
      <c r="B311" s="335">
        <v>57</v>
      </c>
      <c r="Z311" s="49">
        <v>0</v>
      </c>
      <c r="AA311" s="49">
        <f>SUMIFS([1]!Data_Loan[Value],[1]!Data_Loan[Index Loan],'Dong Lam'!$B311,[1]!Data_Loan[TenCongTyID],'Dong Lam'!$B$1,[1]!Data_Loan[Thang.Nam],'Dong Lam'!AA$254)</f>
        <v>0</v>
      </c>
      <c r="AB311" s="49">
        <f>SUMIFS([1]!Data_Loan[Value],[1]!Data_Loan[Index Loan],'Dong Lam'!$B311,[1]!Data_Loan[TenCongTyID],'Dong Lam'!$B$1,[1]!Data_Loan[Thang.Nam],'Dong Lam'!AB$254)</f>
        <v>0</v>
      </c>
      <c r="AC311" s="49">
        <f>SUMIFS([1]!Data_Loan[Value],[1]!Data_Loan[Index Loan],'Dong Lam'!$B311,[1]!Data_Loan[TenCongTyID],'Dong Lam'!$B$1,[1]!Data_Loan[Thang.Nam],'Dong Lam'!AC$254)</f>
        <v>0</v>
      </c>
      <c r="AD311" s="49">
        <f>SUMIFS([1]!Data_Loan[Value],[1]!Data_Loan[Index Loan],'Dong Lam'!$B311,[1]!Data_Loan[TenCongTyID],'Dong Lam'!$B$1,[1]!Data_Loan[Thang.Nam],'Dong Lam'!AD$254)</f>
        <v>0</v>
      </c>
      <c r="AE311" s="49">
        <f>SUMIFS([1]!Data_Loan[Value],[1]!Data_Loan[Index Loan],'Dong Lam'!$B311,[1]!Data_Loan[TenCongTyID],'Dong Lam'!$B$1,[1]!Data_Loan[Thang.Nam],'Dong Lam'!AE$254)</f>
        <v>0</v>
      </c>
      <c r="AF311" s="49">
        <f>SUMIFS([1]!Data_Loan[Value],[1]!Data_Loan[Index Loan],'Dong Lam'!$B311,[1]!Data_Loan[TenCongTyID],'Dong Lam'!$B$1,[1]!Data_Loan[Thang.Nam],'Dong Lam'!AF$254)</f>
        <v>0</v>
      </c>
      <c r="AG311" s="49">
        <f>SUMIFS([1]!Data_Loan[Value],[1]!Data_Loan[Index Loan],'Dong Lam'!$B311,[1]!Data_Loan[TenCongTyID],'Dong Lam'!$B$1,[1]!Data_Loan[Thang.Nam],'Dong Lam'!AG$254)</f>
        <v>0</v>
      </c>
      <c r="AH311" s="49">
        <f>SUMIFS([1]!Data_Loan[Value],[1]!Data_Loan[Index Loan],'Dong Lam'!$B311,[1]!Data_Loan[TenCongTyID],'Dong Lam'!$B$1,[1]!Data_Loan[Thang.Nam],'Dong Lam'!AH$254)</f>
        <v>0</v>
      </c>
      <c r="AI311" s="49">
        <f>SUMIFS([1]!Data_Loan[Value],[1]!Data_Loan[Index Loan],'Dong Lam'!$B311,[1]!Data_Loan[TenCongTyID],'Dong Lam'!$B$1,[1]!Data_Loan[Thang.Nam],'Dong Lam'!AI$254)</f>
        <v>0</v>
      </c>
      <c r="AJ311" s="49">
        <f>SUMIFS([1]!Data_Loan[Value],[1]!Data_Loan[Index Loan],'Dong Lam'!$B311,[1]!Data_Loan[TenCongTyID],'Dong Lam'!$B$1,[1]!Data_Loan[Thang.Nam],'Dong Lam'!AJ$254)</f>
        <v>0</v>
      </c>
      <c r="AK311" s="49">
        <f>SUMIFS([1]!Data_Loan[Value],[1]!Data_Loan[Index Loan],'Dong Lam'!$B311,[1]!Data_Loan[TenCongTyID],'Dong Lam'!$B$1,[1]!Data_Loan[Thang.Nam],'Dong Lam'!AK$254)</f>
        <v>0</v>
      </c>
      <c r="AL311" s="49">
        <f>SUMIFS([1]!Data_Loan[Value],[1]!Data_Loan[Index Loan],'Dong Lam'!$B311,[1]!Data_Loan[TenCongTyID],'Dong Lam'!$B$1,[1]!Data_Loan[Thang.Nam],'Dong Lam'!AL$254)</f>
        <v>0</v>
      </c>
    </row>
    <row r="312" spans="1:38" ht="15" customHeight="1">
      <c r="A312" s="200" t="str">
        <f t="shared" si="40"/>
        <v>Vietcombank</v>
      </c>
      <c r="B312" s="335">
        <v>58</v>
      </c>
      <c r="Z312" s="49">
        <v>0</v>
      </c>
      <c r="AA312" s="49">
        <f>SUMIFS([1]!Data_Loan[Value],[1]!Data_Loan[Index Loan],'Dong Lam'!$B312,[1]!Data_Loan[TenCongTyID],'Dong Lam'!$B$1,[1]!Data_Loan[Thang.Nam],'Dong Lam'!AA$254)</f>
        <v>0</v>
      </c>
      <c r="AB312" s="49">
        <f>SUMIFS([1]!Data_Loan[Value],[1]!Data_Loan[Index Loan],'Dong Lam'!$B312,[1]!Data_Loan[TenCongTyID],'Dong Lam'!$B$1,[1]!Data_Loan[Thang.Nam],'Dong Lam'!AB$254)</f>
        <v>0</v>
      </c>
      <c r="AC312" s="49">
        <f>SUMIFS([1]!Data_Loan[Value],[1]!Data_Loan[Index Loan],'Dong Lam'!$B312,[1]!Data_Loan[TenCongTyID],'Dong Lam'!$B$1,[1]!Data_Loan[Thang.Nam],'Dong Lam'!AC$254)</f>
        <v>0</v>
      </c>
      <c r="AD312" s="49">
        <f>SUMIFS([1]!Data_Loan[Value],[1]!Data_Loan[Index Loan],'Dong Lam'!$B312,[1]!Data_Loan[TenCongTyID],'Dong Lam'!$B$1,[1]!Data_Loan[Thang.Nam],'Dong Lam'!AD$254)</f>
        <v>0</v>
      </c>
      <c r="AE312" s="49">
        <f>SUMIFS([1]!Data_Loan[Value],[1]!Data_Loan[Index Loan],'Dong Lam'!$B312,[1]!Data_Loan[TenCongTyID],'Dong Lam'!$B$1,[1]!Data_Loan[Thang.Nam],'Dong Lam'!AE$254)</f>
        <v>0</v>
      </c>
      <c r="AF312" s="49">
        <f>SUMIFS([1]!Data_Loan[Value],[1]!Data_Loan[Index Loan],'Dong Lam'!$B312,[1]!Data_Loan[TenCongTyID],'Dong Lam'!$B$1,[1]!Data_Loan[Thang.Nam],'Dong Lam'!AF$254)</f>
        <v>0</v>
      </c>
      <c r="AG312" s="49">
        <f>SUMIFS([1]!Data_Loan[Value],[1]!Data_Loan[Index Loan],'Dong Lam'!$B312,[1]!Data_Loan[TenCongTyID],'Dong Lam'!$B$1,[1]!Data_Loan[Thang.Nam],'Dong Lam'!AG$254)</f>
        <v>0</v>
      </c>
      <c r="AH312" s="49">
        <f>SUMIFS([1]!Data_Loan[Value],[1]!Data_Loan[Index Loan],'Dong Lam'!$B312,[1]!Data_Loan[TenCongTyID],'Dong Lam'!$B$1,[1]!Data_Loan[Thang.Nam],'Dong Lam'!AH$254)</f>
        <v>0</v>
      </c>
      <c r="AI312" s="49">
        <f>SUMIFS([1]!Data_Loan[Value],[1]!Data_Loan[Index Loan],'Dong Lam'!$B312,[1]!Data_Loan[TenCongTyID],'Dong Lam'!$B$1,[1]!Data_Loan[Thang.Nam],'Dong Lam'!AI$254)</f>
        <v>0</v>
      </c>
      <c r="AJ312" s="49">
        <f>SUMIFS([1]!Data_Loan[Value],[1]!Data_Loan[Index Loan],'Dong Lam'!$B312,[1]!Data_Loan[TenCongTyID],'Dong Lam'!$B$1,[1]!Data_Loan[Thang.Nam],'Dong Lam'!AJ$254)</f>
        <v>0</v>
      </c>
      <c r="AK312" s="49">
        <f>SUMIFS([1]!Data_Loan[Value],[1]!Data_Loan[Index Loan],'Dong Lam'!$B312,[1]!Data_Loan[TenCongTyID],'Dong Lam'!$B$1,[1]!Data_Loan[Thang.Nam],'Dong Lam'!AK$254)</f>
        <v>0</v>
      </c>
      <c r="AL312" s="49">
        <f>SUMIFS([1]!Data_Loan[Value],[1]!Data_Loan[Index Loan],'Dong Lam'!$B312,[1]!Data_Loan[TenCongTyID],'Dong Lam'!$B$1,[1]!Data_Loan[Thang.Nam],'Dong Lam'!AL$254)</f>
        <v>0</v>
      </c>
    </row>
    <row r="313" spans="1:38" ht="15" customHeight="1">
      <c r="A313" s="200" t="str">
        <f t="shared" si="40"/>
        <v>BIDV</v>
      </c>
      <c r="B313" s="335">
        <v>59</v>
      </c>
      <c r="Z313" s="49">
        <v>0</v>
      </c>
      <c r="AA313" s="49">
        <f>SUMIFS([1]!Data_Loan[Value],[1]!Data_Loan[Index Loan],'Dong Lam'!$B313,[1]!Data_Loan[TenCongTyID],'Dong Lam'!$B$1,[1]!Data_Loan[Thang.Nam],'Dong Lam'!AA$254)</f>
        <v>0</v>
      </c>
      <c r="AB313" s="49">
        <f>SUMIFS([1]!Data_Loan[Value],[1]!Data_Loan[Index Loan],'Dong Lam'!$B313,[1]!Data_Loan[TenCongTyID],'Dong Lam'!$B$1,[1]!Data_Loan[Thang.Nam],'Dong Lam'!AB$254)</f>
        <v>0</v>
      </c>
      <c r="AC313" s="49">
        <f>SUMIFS([1]!Data_Loan[Value],[1]!Data_Loan[Index Loan],'Dong Lam'!$B313,[1]!Data_Loan[TenCongTyID],'Dong Lam'!$B$1,[1]!Data_Loan[Thang.Nam],'Dong Lam'!AC$254)</f>
        <v>0</v>
      </c>
      <c r="AD313" s="49">
        <f>SUMIFS([1]!Data_Loan[Value],[1]!Data_Loan[Index Loan],'Dong Lam'!$B313,[1]!Data_Loan[TenCongTyID],'Dong Lam'!$B$1,[1]!Data_Loan[Thang.Nam],'Dong Lam'!AD$254)</f>
        <v>0</v>
      </c>
      <c r="AE313" s="49">
        <f>SUMIFS([1]!Data_Loan[Value],[1]!Data_Loan[Index Loan],'Dong Lam'!$B313,[1]!Data_Loan[TenCongTyID],'Dong Lam'!$B$1,[1]!Data_Loan[Thang.Nam],'Dong Lam'!AE$254)</f>
        <v>0</v>
      </c>
      <c r="AF313" s="49">
        <f>SUMIFS([1]!Data_Loan[Value],[1]!Data_Loan[Index Loan],'Dong Lam'!$B313,[1]!Data_Loan[TenCongTyID],'Dong Lam'!$B$1,[1]!Data_Loan[Thang.Nam],'Dong Lam'!AF$254)</f>
        <v>0</v>
      </c>
      <c r="AG313" s="49">
        <f>SUMIFS([1]!Data_Loan[Value],[1]!Data_Loan[Index Loan],'Dong Lam'!$B313,[1]!Data_Loan[TenCongTyID],'Dong Lam'!$B$1,[1]!Data_Loan[Thang.Nam],'Dong Lam'!AG$254)</f>
        <v>0</v>
      </c>
      <c r="AH313" s="49">
        <f>SUMIFS([1]!Data_Loan[Value],[1]!Data_Loan[Index Loan],'Dong Lam'!$B313,[1]!Data_Loan[TenCongTyID],'Dong Lam'!$B$1,[1]!Data_Loan[Thang.Nam],'Dong Lam'!AH$254)</f>
        <v>0</v>
      </c>
      <c r="AI313" s="49">
        <f>SUMIFS([1]!Data_Loan[Value],[1]!Data_Loan[Index Loan],'Dong Lam'!$B313,[1]!Data_Loan[TenCongTyID],'Dong Lam'!$B$1,[1]!Data_Loan[Thang.Nam],'Dong Lam'!AI$254)</f>
        <v>0</v>
      </c>
      <c r="AJ313" s="49">
        <f>SUMIFS([1]!Data_Loan[Value],[1]!Data_Loan[Index Loan],'Dong Lam'!$B313,[1]!Data_Loan[TenCongTyID],'Dong Lam'!$B$1,[1]!Data_Loan[Thang.Nam],'Dong Lam'!AJ$254)</f>
        <v>0</v>
      </c>
      <c r="AK313" s="49">
        <f>SUMIFS([1]!Data_Loan[Value],[1]!Data_Loan[Index Loan],'Dong Lam'!$B313,[1]!Data_Loan[TenCongTyID],'Dong Lam'!$B$1,[1]!Data_Loan[Thang.Nam],'Dong Lam'!AK$254)</f>
        <v>0</v>
      </c>
      <c r="AL313" s="49">
        <f>SUMIFS([1]!Data_Loan[Value],[1]!Data_Loan[Index Loan],'Dong Lam'!$B313,[1]!Data_Loan[TenCongTyID],'Dong Lam'!$B$1,[1]!Data_Loan[Thang.Nam],'Dong Lam'!AL$254)</f>
        <v>0</v>
      </c>
    </row>
    <row r="314" spans="1:38" ht="15" customHeight="1">
      <c r="A314" s="200" t="str">
        <f t="shared" si="40"/>
        <v>Standard Chartered</v>
      </c>
      <c r="B314" s="335">
        <v>60</v>
      </c>
      <c r="Z314" s="49">
        <v>0</v>
      </c>
      <c r="AA314" s="49">
        <f>SUMIFS([1]!Data_Loan[Value],[1]!Data_Loan[Index Loan],'Dong Lam'!$B314,[1]!Data_Loan[TenCongTyID],'Dong Lam'!$B$1,[1]!Data_Loan[Thang.Nam],'Dong Lam'!AA$254)</f>
        <v>0</v>
      </c>
      <c r="AB314" s="49">
        <f>SUMIFS([1]!Data_Loan[Value],[1]!Data_Loan[Index Loan],'Dong Lam'!$B314,[1]!Data_Loan[TenCongTyID],'Dong Lam'!$B$1,[1]!Data_Loan[Thang.Nam],'Dong Lam'!AB$254)</f>
        <v>0</v>
      </c>
      <c r="AC314" s="49">
        <f>SUMIFS([1]!Data_Loan[Value],[1]!Data_Loan[Index Loan],'Dong Lam'!$B314,[1]!Data_Loan[TenCongTyID],'Dong Lam'!$B$1,[1]!Data_Loan[Thang.Nam],'Dong Lam'!AC$254)</f>
        <v>0</v>
      </c>
      <c r="AD314" s="49">
        <f>SUMIFS([1]!Data_Loan[Value],[1]!Data_Loan[Index Loan],'Dong Lam'!$B314,[1]!Data_Loan[TenCongTyID],'Dong Lam'!$B$1,[1]!Data_Loan[Thang.Nam],'Dong Lam'!AD$254)</f>
        <v>0</v>
      </c>
      <c r="AE314" s="49">
        <f>SUMIFS([1]!Data_Loan[Value],[1]!Data_Loan[Index Loan],'Dong Lam'!$B314,[1]!Data_Loan[TenCongTyID],'Dong Lam'!$B$1,[1]!Data_Loan[Thang.Nam],'Dong Lam'!AE$254)</f>
        <v>0</v>
      </c>
      <c r="AF314" s="49">
        <f>SUMIFS([1]!Data_Loan[Value],[1]!Data_Loan[Index Loan],'Dong Lam'!$B314,[1]!Data_Loan[TenCongTyID],'Dong Lam'!$B$1,[1]!Data_Loan[Thang.Nam],'Dong Lam'!AF$254)</f>
        <v>0</v>
      </c>
      <c r="AG314" s="49">
        <f>SUMIFS([1]!Data_Loan[Value],[1]!Data_Loan[Index Loan],'Dong Lam'!$B314,[1]!Data_Loan[TenCongTyID],'Dong Lam'!$B$1,[1]!Data_Loan[Thang.Nam],'Dong Lam'!AG$254)</f>
        <v>0</v>
      </c>
      <c r="AH314" s="49">
        <f>SUMIFS([1]!Data_Loan[Value],[1]!Data_Loan[Index Loan],'Dong Lam'!$B314,[1]!Data_Loan[TenCongTyID],'Dong Lam'!$B$1,[1]!Data_Loan[Thang.Nam],'Dong Lam'!AH$254)</f>
        <v>0</v>
      </c>
      <c r="AI314" s="49">
        <f>SUMIFS([1]!Data_Loan[Value],[1]!Data_Loan[Index Loan],'Dong Lam'!$B314,[1]!Data_Loan[TenCongTyID],'Dong Lam'!$B$1,[1]!Data_Loan[Thang.Nam],'Dong Lam'!AI$254)</f>
        <v>0</v>
      </c>
      <c r="AJ314" s="49">
        <f>SUMIFS([1]!Data_Loan[Value],[1]!Data_Loan[Index Loan],'Dong Lam'!$B314,[1]!Data_Loan[TenCongTyID],'Dong Lam'!$B$1,[1]!Data_Loan[Thang.Nam],'Dong Lam'!AJ$254)</f>
        <v>0</v>
      </c>
      <c r="AK314" s="49">
        <f>SUMIFS([1]!Data_Loan[Value],[1]!Data_Loan[Index Loan],'Dong Lam'!$B314,[1]!Data_Loan[TenCongTyID],'Dong Lam'!$B$1,[1]!Data_Loan[Thang.Nam],'Dong Lam'!AK$254)</f>
        <v>0</v>
      </c>
      <c r="AL314" s="49">
        <f>SUMIFS([1]!Data_Loan[Value],[1]!Data_Loan[Index Loan],'Dong Lam'!$B314,[1]!Data_Loan[TenCongTyID],'Dong Lam'!$B$1,[1]!Data_Loan[Thang.Nam],'Dong Lam'!AL$254)</f>
        <v>0</v>
      </c>
    </row>
    <row r="315" spans="1:38" ht="15" customHeight="1">
      <c r="A315" s="200" t="str">
        <f t="shared" si="40"/>
        <v>VILC</v>
      </c>
      <c r="B315" s="335">
        <v>61</v>
      </c>
      <c r="Z315" s="49">
        <v>0</v>
      </c>
      <c r="AA315" s="49">
        <f>SUMIFS([1]!Data_Loan[Value],[1]!Data_Loan[Index Loan],'Dong Lam'!$B315,[1]!Data_Loan[TenCongTyID],'Dong Lam'!$B$1,[1]!Data_Loan[Thang.Nam],'Dong Lam'!AA$254)</f>
        <v>0</v>
      </c>
      <c r="AB315" s="49">
        <f>SUMIFS([1]!Data_Loan[Value],[1]!Data_Loan[Index Loan],'Dong Lam'!$B315,[1]!Data_Loan[TenCongTyID],'Dong Lam'!$B$1,[1]!Data_Loan[Thang.Nam],'Dong Lam'!AB$254)</f>
        <v>0</v>
      </c>
      <c r="AC315" s="49">
        <f>SUMIFS([1]!Data_Loan[Value],[1]!Data_Loan[Index Loan],'Dong Lam'!$B315,[1]!Data_Loan[TenCongTyID],'Dong Lam'!$B$1,[1]!Data_Loan[Thang.Nam],'Dong Lam'!AC$254)</f>
        <v>0</v>
      </c>
      <c r="AD315" s="49">
        <f>SUMIFS([1]!Data_Loan[Value],[1]!Data_Loan[Index Loan],'Dong Lam'!$B315,[1]!Data_Loan[TenCongTyID],'Dong Lam'!$B$1,[1]!Data_Loan[Thang.Nam],'Dong Lam'!AD$254)</f>
        <v>0</v>
      </c>
      <c r="AE315" s="49">
        <f>SUMIFS([1]!Data_Loan[Value],[1]!Data_Loan[Index Loan],'Dong Lam'!$B315,[1]!Data_Loan[TenCongTyID],'Dong Lam'!$B$1,[1]!Data_Loan[Thang.Nam],'Dong Lam'!AE$254)</f>
        <v>0</v>
      </c>
      <c r="AF315" s="49">
        <f>SUMIFS([1]!Data_Loan[Value],[1]!Data_Loan[Index Loan],'Dong Lam'!$B315,[1]!Data_Loan[TenCongTyID],'Dong Lam'!$B$1,[1]!Data_Loan[Thang.Nam],'Dong Lam'!AF$254)</f>
        <v>0</v>
      </c>
      <c r="AG315" s="49">
        <f>SUMIFS([1]!Data_Loan[Value],[1]!Data_Loan[Index Loan],'Dong Lam'!$B315,[1]!Data_Loan[TenCongTyID],'Dong Lam'!$B$1,[1]!Data_Loan[Thang.Nam],'Dong Lam'!AG$254)</f>
        <v>0</v>
      </c>
      <c r="AH315" s="49">
        <f>SUMIFS([1]!Data_Loan[Value],[1]!Data_Loan[Index Loan],'Dong Lam'!$B315,[1]!Data_Loan[TenCongTyID],'Dong Lam'!$B$1,[1]!Data_Loan[Thang.Nam],'Dong Lam'!AH$254)</f>
        <v>0</v>
      </c>
      <c r="AI315" s="49">
        <f>SUMIFS([1]!Data_Loan[Value],[1]!Data_Loan[Index Loan],'Dong Lam'!$B315,[1]!Data_Loan[TenCongTyID],'Dong Lam'!$B$1,[1]!Data_Loan[Thang.Nam],'Dong Lam'!AI$254)</f>
        <v>0</v>
      </c>
      <c r="AJ315" s="49">
        <f>SUMIFS([1]!Data_Loan[Value],[1]!Data_Loan[Index Loan],'Dong Lam'!$B315,[1]!Data_Loan[TenCongTyID],'Dong Lam'!$B$1,[1]!Data_Loan[Thang.Nam],'Dong Lam'!AJ$254)</f>
        <v>0</v>
      </c>
      <c r="AK315" s="49">
        <f>SUMIFS([1]!Data_Loan[Value],[1]!Data_Loan[Index Loan],'Dong Lam'!$B315,[1]!Data_Loan[TenCongTyID],'Dong Lam'!$B$1,[1]!Data_Loan[Thang.Nam],'Dong Lam'!AK$254)</f>
        <v>0</v>
      </c>
      <c r="AL315" s="49">
        <f>SUMIFS([1]!Data_Loan[Value],[1]!Data_Loan[Index Loan],'Dong Lam'!$B315,[1]!Data_Loan[TenCongTyID],'Dong Lam'!$B$1,[1]!Data_Loan[Thang.Nam],'Dong Lam'!AL$254)</f>
        <v>0</v>
      </c>
    </row>
    <row r="316" spans="1:38" ht="15" customHeight="1">
      <c r="A316" s="200" t="s">
        <v>347</v>
      </c>
      <c r="B316" s="335">
        <v>62</v>
      </c>
      <c r="Z316" s="49">
        <v>0</v>
      </c>
      <c r="AA316" s="49">
        <f>SUMIFS([1]!Data_Loan[Value],[1]!Data_Loan[Index Loan],'Dong Lam'!$B316,[1]!Data_Loan[TenCongTyID],'Dong Lam'!$B$1,[1]!Data_Loan[Thang.Nam],'Dong Lam'!AA$254)</f>
        <v>0</v>
      </c>
      <c r="AB316" s="49">
        <f>SUMIFS([1]!Data_Loan[Value],[1]!Data_Loan[Index Loan],'Dong Lam'!$B316,[1]!Data_Loan[TenCongTyID],'Dong Lam'!$B$1,[1]!Data_Loan[Thang.Nam],'Dong Lam'!AB$254)</f>
        <v>0</v>
      </c>
      <c r="AC316" s="49">
        <f>SUMIFS([1]!Data_Loan[Value],[1]!Data_Loan[Index Loan],'Dong Lam'!$B316,[1]!Data_Loan[TenCongTyID],'Dong Lam'!$B$1,[1]!Data_Loan[Thang.Nam],'Dong Lam'!AC$254)</f>
        <v>0</v>
      </c>
      <c r="AD316" s="49">
        <f>SUMIFS([1]!Data_Loan[Value],[1]!Data_Loan[Index Loan],'Dong Lam'!$B316,[1]!Data_Loan[TenCongTyID],'Dong Lam'!$B$1,[1]!Data_Loan[Thang.Nam],'Dong Lam'!AD$254)</f>
        <v>0</v>
      </c>
      <c r="AE316" s="49">
        <f>SUMIFS([1]!Data_Loan[Value],[1]!Data_Loan[Index Loan],'Dong Lam'!$B316,[1]!Data_Loan[TenCongTyID],'Dong Lam'!$B$1,[1]!Data_Loan[Thang.Nam],'Dong Lam'!AE$254)</f>
        <v>0</v>
      </c>
      <c r="AF316" s="49">
        <f>SUMIFS([1]!Data_Loan[Value],[1]!Data_Loan[Index Loan],'Dong Lam'!$B316,[1]!Data_Loan[TenCongTyID],'Dong Lam'!$B$1,[1]!Data_Loan[Thang.Nam],'Dong Lam'!AF$254)</f>
        <v>0</v>
      </c>
      <c r="AG316" s="49">
        <f>SUMIFS([1]!Data_Loan[Value],[1]!Data_Loan[Index Loan],'Dong Lam'!$B316,[1]!Data_Loan[TenCongTyID],'Dong Lam'!$B$1,[1]!Data_Loan[Thang.Nam],'Dong Lam'!AG$254)</f>
        <v>0</v>
      </c>
      <c r="AH316" s="49">
        <f>SUMIFS([1]!Data_Loan[Value],[1]!Data_Loan[Index Loan],'Dong Lam'!$B316,[1]!Data_Loan[TenCongTyID],'Dong Lam'!$B$1,[1]!Data_Loan[Thang.Nam],'Dong Lam'!AH$254)</f>
        <v>0</v>
      </c>
      <c r="AI316" s="49">
        <f>SUMIFS([1]!Data_Loan[Value],[1]!Data_Loan[Index Loan],'Dong Lam'!$B316,[1]!Data_Loan[TenCongTyID],'Dong Lam'!$B$1,[1]!Data_Loan[Thang.Nam],'Dong Lam'!AI$254)</f>
        <v>0</v>
      </c>
      <c r="AJ316" s="49">
        <f>SUMIFS([1]!Data_Loan[Value],[1]!Data_Loan[Index Loan],'Dong Lam'!$B316,[1]!Data_Loan[TenCongTyID],'Dong Lam'!$B$1,[1]!Data_Loan[Thang.Nam],'Dong Lam'!AJ$254)</f>
        <v>0</v>
      </c>
      <c r="AK316" s="49">
        <f>SUMIFS([1]!Data_Loan[Value],[1]!Data_Loan[Index Loan],'Dong Lam'!$B316,[1]!Data_Loan[TenCongTyID],'Dong Lam'!$B$1,[1]!Data_Loan[Thang.Nam],'Dong Lam'!AK$254)</f>
        <v>0</v>
      </c>
      <c r="AL316" s="49">
        <f>SUMIFS([1]!Data_Loan[Value],[1]!Data_Loan[Index Loan],'Dong Lam'!$B316,[1]!Data_Loan[TenCongTyID],'Dong Lam'!$B$1,[1]!Data_Loan[Thang.Nam],'Dong Lam'!AL$254)</f>
        <v>0</v>
      </c>
    </row>
    <row r="317" spans="1:38" ht="15" customHeight="1">
      <c r="B317" s="335">
        <v>63</v>
      </c>
      <c r="Z317" s="49">
        <v>0</v>
      </c>
      <c r="AA317" s="49">
        <f>SUMIFS([1]!Data_Loan[Value],[1]!Data_Loan[Index Loan],'Dong Lam'!$B317,[1]!Data_Loan[TenCongTyID],'Dong Lam'!$B$1,[1]!Data_Loan[Thang.Nam],'Dong Lam'!AA$254)</f>
        <v>0</v>
      </c>
      <c r="AB317" s="49">
        <f>SUMIFS([1]!Data_Loan[Value],[1]!Data_Loan[Index Loan],'Dong Lam'!$B317,[1]!Data_Loan[TenCongTyID],'Dong Lam'!$B$1,[1]!Data_Loan[Thang.Nam],'Dong Lam'!AB$254)</f>
        <v>0</v>
      </c>
      <c r="AC317" s="49">
        <f>SUMIFS([1]!Data_Loan[Value],[1]!Data_Loan[Index Loan],'Dong Lam'!$B317,[1]!Data_Loan[TenCongTyID],'Dong Lam'!$B$1,[1]!Data_Loan[Thang.Nam],'Dong Lam'!AC$254)</f>
        <v>0</v>
      </c>
      <c r="AD317" s="49">
        <f>SUMIFS([1]!Data_Loan[Value],[1]!Data_Loan[Index Loan],'Dong Lam'!$B317,[1]!Data_Loan[TenCongTyID],'Dong Lam'!$B$1,[1]!Data_Loan[Thang.Nam],'Dong Lam'!AD$254)</f>
        <v>0</v>
      </c>
      <c r="AE317" s="49">
        <f>SUMIFS([1]!Data_Loan[Value],[1]!Data_Loan[Index Loan],'Dong Lam'!$B317,[1]!Data_Loan[TenCongTyID],'Dong Lam'!$B$1,[1]!Data_Loan[Thang.Nam],'Dong Lam'!AE$254)</f>
        <v>0</v>
      </c>
      <c r="AF317" s="49">
        <f>SUMIFS([1]!Data_Loan[Value],[1]!Data_Loan[Index Loan],'Dong Lam'!$B317,[1]!Data_Loan[TenCongTyID],'Dong Lam'!$B$1,[1]!Data_Loan[Thang.Nam],'Dong Lam'!AF$254)</f>
        <v>0</v>
      </c>
      <c r="AG317" s="49">
        <f>SUMIFS([1]!Data_Loan[Value],[1]!Data_Loan[Index Loan],'Dong Lam'!$B317,[1]!Data_Loan[TenCongTyID],'Dong Lam'!$B$1,[1]!Data_Loan[Thang.Nam],'Dong Lam'!AG$254)</f>
        <v>0</v>
      </c>
      <c r="AH317" s="49">
        <f>SUMIFS([1]!Data_Loan[Value],[1]!Data_Loan[Index Loan],'Dong Lam'!$B317,[1]!Data_Loan[TenCongTyID],'Dong Lam'!$B$1,[1]!Data_Loan[Thang.Nam],'Dong Lam'!AH$254)</f>
        <v>0</v>
      </c>
      <c r="AI317" s="49">
        <f>SUMIFS([1]!Data_Loan[Value],[1]!Data_Loan[Index Loan],'Dong Lam'!$B317,[1]!Data_Loan[TenCongTyID],'Dong Lam'!$B$1,[1]!Data_Loan[Thang.Nam],'Dong Lam'!AI$254)</f>
        <v>0</v>
      </c>
      <c r="AJ317" s="49">
        <f>SUMIFS([1]!Data_Loan[Value],[1]!Data_Loan[Index Loan],'Dong Lam'!$B317,[1]!Data_Loan[TenCongTyID],'Dong Lam'!$B$1,[1]!Data_Loan[Thang.Nam],'Dong Lam'!AJ$254)</f>
        <v>0</v>
      </c>
      <c r="AK317" s="49">
        <f>SUMIFS([1]!Data_Loan[Value],[1]!Data_Loan[Index Loan],'Dong Lam'!$B317,[1]!Data_Loan[TenCongTyID],'Dong Lam'!$B$1,[1]!Data_Loan[Thang.Nam],'Dong Lam'!AK$254)</f>
        <v>0</v>
      </c>
      <c r="AL317" s="49">
        <f>SUMIFS([1]!Data_Loan[Value],[1]!Data_Loan[Index Loan],'Dong Lam'!$B317,[1]!Data_Loan[TenCongTyID],'Dong Lam'!$B$1,[1]!Data_Loan[Thang.Nam],'Dong Lam'!AL$254)</f>
        <v>0</v>
      </c>
    </row>
    <row r="318" spans="1:38" ht="15" customHeight="1" thickBot="1">
      <c r="A318" s="203" t="s">
        <v>373</v>
      </c>
      <c r="B318" s="332">
        <v>64</v>
      </c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>
        <v>0</v>
      </c>
      <c r="AA318" s="205">
        <f>SUMIFS([1]!Data_Loan[Value],[1]!Data_Loan[Index Loan],'Dong Lam'!$B318,[1]!Data_Loan[TenCongTyID],'Dong Lam'!$B$1,[1]!Data_Loan[Thang.Nam],'Dong Lam'!AA$254)</f>
        <v>0</v>
      </c>
      <c r="AB318" s="205">
        <f>SUMIFS([1]!Data_Loan[Value],[1]!Data_Loan[Index Loan],'Dong Lam'!$B318,[1]!Data_Loan[TenCongTyID],'Dong Lam'!$B$1,[1]!Data_Loan[Thang.Nam],'Dong Lam'!AB$254)</f>
        <v>0</v>
      </c>
      <c r="AC318" s="205">
        <f>SUMIFS([1]!Data_Loan[Value],[1]!Data_Loan[Index Loan],'Dong Lam'!$B318,[1]!Data_Loan[TenCongTyID],'Dong Lam'!$B$1,[1]!Data_Loan[Thang.Nam],'Dong Lam'!AC$254)</f>
        <v>0</v>
      </c>
      <c r="AD318" s="205">
        <f>SUMIFS([1]!Data_Loan[Value],[1]!Data_Loan[Index Loan],'Dong Lam'!$B318,[1]!Data_Loan[TenCongTyID],'Dong Lam'!$B$1,[1]!Data_Loan[Thang.Nam],'Dong Lam'!AD$254)</f>
        <v>0</v>
      </c>
      <c r="AE318" s="205">
        <f>SUMIFS([1]!Data_Loan[Value],[1]!Data_Loan[Index Loan],'Dong Lam'!$B318,[1]!Data_Loan[TenCongTyID],'Dong Lam'!$B$1,[1]!Data_Loan[Thang.Nam],'Dong Lam'!AE$254)</f>
        <v>0</v>
      </c>
      <c r="AF318" s="205">
        <f>SUMIFS([1]!Data_Loan[Value],[1]!Data_Loan[Index Loan],'Dong Lam'!$B318,[1]!Data_Loan[TenCongTyID],'Dong Lam'!$B$1,[1]!Data_Loan[Thang.Nam],'Dong Lam'!AF$254)</f>
        <v>0</v>
      </c>
      <c r="AG318" s="205">
        <f>SUMIFS([1]!Data_Loan[Value],[1]!Data_Loan[Index Loan],'Dong Lam'!$B318,[1]!Data_Loan[TenCongTyID],'Dong Lam'!$B$1,[1]!Data_Loan[Thang.Nam],'Dong Lam'!AG$254)</f>
        <v>0</v>
      </c>
      <c r="AH318" s="205">
        <f>SUMIFS([1]!Data_Loan[Value],[1]!Data_Loan[Index Loan],'Dong Lam'!$B318,[1]!Data_Loan[TenCongTyID],'Dong Lam'!$B$1,[1]!Data_Loan[Thang.Nam],'Dong Lam'!AH$254)</f>
        <v>0</v>
      </c>
      <c r="AI318" s="205">
        <f>SUMIFS([1]!Data_Loan[Value],[1]!Data_Loan[Index Loan],'Dong Lam'!$B318,[1]!Data_Loan[TenCongTyID],'Dong Lam'!$B$1,[1]!Data_Loan[Thang.Nam],'Dong Lam'!AI$254)</f>
        <v>0</v>
      </c>
      <c r="AJ318" s="205">
        <f>SUMIFS([1]!Data_Loan[Value],[1]!Data_Loan[Index Loan],'Dong Lam'!$B318,[1]!Data_Loan[TenCongTyID],'Dong Lam'!$B$1,[1]!Data_Loan[Thang.Nam],'Dong Lam'!AJ$254)</f>
        <v>0</v>
      </c>
      <c r="AK318" s="205">
        <f>SUMIFS([1]!Data_Loan[Value],[1]!Data_Loan[Index Loan],'Dong Lam'!$B318,[1]!Data_Loan[TenCongTyID],'Dong Lam'!$B$1,[1]!Data_Loan[Thang.Nam],'Dong Lam'!AK$254)</f>
        <v>0</v>
      </c>
      <c r="AL318" s="205">
        <f>SUMIFS([1]!Data_Loan[Value],[1]!Data_Loan[Index Loan],'Dong Lam'!$B318,[1]!Data_Loan[TenCongTyID],'Dong Lam'!$B$1,[1]!Data_Loan[Thang.Nam],'Dong Lam'!AL$254)</f>
        <v>0</v>
      </c>
    </row>
    <row r="319" spans="1:38" ht="15" customHeight="1" thickTop="1">
      <c r="A319" s="200" t="str">
        <f t="shared" ref="A319:A324" si="41">A301</f>
        <v>ACB</v>
      </c>
      <c r="B319" s="335">
        <v>65</v>
      </c>
      <c r="Z319" s="49">
        <v>0</v>
      </c>
      <c r="AA319" s="49">
        <f>SUMIFS([1]!Data_Loan[Value],[1]!Data_Loan[Index Loan],'Dong Lam'!$B319,[1]!Data_Loan[TenCongTyID],'Dong Lam'!$B$1,[1]!Data_Loan[Thang.Nam],'Dong Lam'!AA$254)</f>
        <v>0</v>
      </c>
      <c r="AB319" s="49">
        <f>SUMIFS([1]!Data_Loan[Value],[1]!Data_Loan[Index Loan],'Dong Lam'!$B319,[1]!Data_Loan[TenCongTyID],'Dong Lam'!$B$1,[1]!Data_Loan[Thang.Nam],'Dong Lam'!AB$254)</f>
        <v>0</v>
      </c>
      <c r="AC319" s="49">
        <f>SUMIFS([1]!Data_Loan[Value],[1]!Data_Loan[Index Loan],'Dong Lam'!$B319,[1]!Data_Loan[TenCongTyID],'Dong Lam'!$B$1,[1]!Data_Loan[Thang.Nam],'Dong Lam'!AC$254)</f>
        <v>0</v>
      </c>
      <c r="AD319" s="49">
        <f>SUMIFS([1]!Data_Loan[Value],[1]!Data_Loan[Index Loan],'Dong Lam'!$B319,[1]!Data_Loan[TenCongTyID],'Dong Lam'!$B$1,[1]!Data_Loan[Thang.Nam],'Dong Lam'!AD$254)</f>
        <v>0</v>
      </c>
      <c r="AE319" s="49">
        <f>SUMIFS([1]!Data_Loan[Value],[1]!Data_Loan[Index Loan],'Dong Lam'!$B319,[1]!Data_Loan[TenCongTyID],'Dong Lam'!$B$1,[1]!Data_Loan[Thang.Nam],'Dong Lam'!AE$254)</f>
        <v>0</v>
      </c>
      <c r="AF319" s="49">
        <f>SUMIFS([1]!Data_Loan[Value],[1]!Data_Loan[Index Loan],'Dong Lam'!$B319,[1]!Data_Loan[TenCongTyID],'Dong Lam'!$B$1,[1]!Data_Loan[Thang.Nam],'Dong Lam'!AF$254)</f>
        <v>0</v>
      </c>
      <c r="AG319" s="49">
        <f>SUMIFS([1]!Data_Loan[Value],[1]!Data_Loan[Index Loan],'Dong Lam'!$B319,[1]!Data_Loan[TenCongTyID],'Dong Lam'!$B$1,[1]!Data_Loan[Thang.Nam],'Dong Lam'!AG$254)</f>
        <v>0</v>
      </c>
      <c r="AH319" s="49">
        <f>SUMIFS([1]!Data_Loan[Value],[1]!Data_Loan[Index Loan],'Dong Lam'!$B319,[1]!Data_Loan[TenCongTyID],'Dong Lam'!$B$1,[1]!Data_Loan[Thang.Nam],'Dong Lam'!AH$254)</f>
        <v>0</v>
      </c>
      <c r="AI319" s="49">
        <f>SUMIFS([1]!Data_Loan[Value],[1]!Data_Loan[Index Loan],'Dong Lam'!$B319,[1]!Data_Loan[TenCongTyID],'Dong Lam'!$B$1,[1]!Data_Loan[Thang.Nam],'Dong Lam'!AI$254)</f>
        <v>0</v>
      </c>
      <c r="AJ319" s="49">
        <f>SUMIFS([1]!Data_Loan[Value],[1]!Data_Loan[Index Loan],'Dong Lam'!$B319,[1]!Data_Loan[TenCongTyID],'Dong Lam'!$B$1,[1]!Data_Loan[Thang.Nam],'Dong Lam'!AJ$254)</f>
        <v>0</v>
      </c>
      <c r="AK319" s="49">
        <f>SUMIFS([1]!Data_Loan[Value],[1]!Data_Loan[Index Loan],'Dong Lam'!$B319,[1]!Data_Loan[TenCongTyID],'Dong Lam'!$B$1,[1]!Data_Loan[Thang.Nam],'Dong Lam'!AK$254)</f>
        <v>0</v>
      </c>
      <c r="AL319" s="49">
        <f>SUMIFS([1]!Data_Loan[Value],[1]!Data_Loan[Index Loan],'Dong Lam'!$B319,[1]!Data_Loan[TenCongTyID],'Dong Lam'!$B$1,[1]!Data_Loan[Thang.Nam],'Dong Lam'!AL$254)</f>
        <v>0</v>
      </c>
    </row>
    <row r="320" spans="1:38" ht="15" customHeight="1">
      <c r="A320" s="200" t="str">
        <f t="shared" si="41"/>
        <v>VietinBank</v>
      </c>
      <c r="B320" s="335">
        <v>66</v>
      </c>
      <c r="Z320" s="49">
        <v>0</v>
      </c>
      <c r="AA320" s="49">
        <f>SUMIFS([1]!Data_Loan[Value],[1]!Data_Loan[Index Loan],'Dong Lam'!$B320,[1]!Data_Loan[TenCongTyID],'Dong Lam'!$B$1,[1]!Data_Loan[Thang.Nam],'Dong Lam'!AA$254)</f>
        <v>0</v>
      </c>
      <c r="AB320" s="49">
        <f>SUMIFS([1]!Data_Loan[Value],[1]!Data_Loan[Index Loan],'Dong Lam'!$B320,[1]!Data_Loan[TenCongTyID],'Dong Lam'!$B$1,[1]!Data_Loan[Thang.Nam],'Dong Lam'!AB$254)</f>
        <v>0</v>
      </c>
      <c r="AC320" s="49">
        <f>SUMIFS([1]!Data_Loan[Value],[1]!Data_Loan[Index Loan],'Dong Lam'!$B320,[1]!Data_Loan[TenCongTyID],'Dong Lam'!$B$1,[1]!Data_Loan[Thang.Nam],'Dong Lam'!AC$254)</f>
        <v>0</v>
      </c>
      <c r="AD320" s="49">
        <f>SUMIFS([1]!Data_Loan[Value],[1]!Data_Loan[Index Loan],'Dong Lam'!$B320,[1]!Data_Loan[TenCongTyID],'Dong Lam'!$B$1,[1]!Data_Loan[Thang.Nam],'Dong Lam'!AD$254)</f>
        <v>0</v>
      </c>
      <c r="AE320" s="49">
        <f>SUMIFS([1]!Data_Loan[Value],[1]!Data_Loan[Index Loan],'Dong Lam'!$B320,[1]!Data_Loan[TenCongTyID],'Dong Lam'!$B$1,[1]!Data_Loan[Thang.Nam],'Dong Lam'!AE$254)</f>
        <v>0</v>
      </c>
      <c r="AF320" s="49">
        <f>SUMIFS([1]!Data_Loan[Value],[1]!Data_Loan[Index Loan],'Dong Lam'!$B320,[1]!Data_Loan[TenCongTyID],'Dong Lam'!$B$1,[1]!Data_Loan[Thang.Nam],'Dong Lam'!AF$254)</f>
        <v>0</v>
      </c>
      <c r="AG320" s="49">
        <f>SUMIFS([1]!Data_Loan[Value],[1]!Data_Loan[Index Loan],'Dong Lam'!$B320,[1]!Data_Loan[TenCongTyID],'Dong Lam'!$B$1,[1]!Data_Loan[Thang.Nam],'Dong Lam'!AG$254)</f>
        <v>0</v>
      </c>
      <c r="AH320" s="49">
        <f>SUMIFS([1]!Data_Loan[Value],[1]!Data_Loan[Index Loan],'Dong Lam'!$B320,[1]!Data_Loan[TenCongTyID],'Dong Lam'!$B$1,[1]!Data_Loan[Thang.Nam],'Dong Lam'!AH$254)</f>
        <v>0</v>
      </c>
      <c r="AI320" s="49">
        <f>SUMIFS([1]!Data_Loan[Value],[1]!Data_Loan[Index Loan],'Dong Lam'!$B320,[1]!Data_Loan[TenCongTyID],'Dong Lam'!$B$1,[1]!Data_Loan[Thang.Nam],'Dong Lam'!AI$254)</f>
        <v>0</v>
      </c>
      <c r="AJ320" s="49">
        <f>SUMIFS([1]!Data_Loan[Value],[1]!Data_Loan[Index Loan],'Dong Lam'!$B320,[1]!Data_Loan[TenCongTyID],'Dong Lam'!$B$1,[1]!Data_Loan[Thang.Nam],'Dong Lam'!AJ$254)</f>
        <v>0</v>
      </c>
      <c r="AK320" s="49">
        <f>SUMIFS([1]!Data_Loan[Value],[1]!Data_Loan[Index Loan],'Dong Lam'!$B320,[1]!Data_Loan[TenCongTyID],'Dong Lam'!$B$1,[1]!Data_Loan[Thang.Nam],'Dong Lam'!AK$254)</f>
        <v>0</v>
      </c>
      <c r="AL320" s="49">
        <f>SUMIFS([1]!Data_Loan[Value],[1]!Data_Loan[Index Loan],'Dong Lam'!$B320,[1]!Data_Loan[TenCongTyID],'Dong Lam'!$B$1,[1]!Data_Loan[Thang.Nam],'Dong Lam'!AL$254)</f>
        <v>0</v>
      </c>
    </row>
    <row r="321" spans="1:38" ht="15" customHeight="1">
      <c r="A321" s="200" t="str">
        <f t="shared" si="41"/>
        <v>Vietcombank</v>
      </c>
      <c r="B321" s="335">
        <v>67</v>
      </c>
      <c r="Z321" s="49">
        <v>0</v>
      </c>
      <c r="AA321" s="49">
        <f>SUMIFS([1]!Data_Loan[Value],[1]!Data_Loan[Index Loan],'Dong Lam'!$B321,[1]!Data_Loan[TenCongTyID],'Dong Lam'!$B$1,[1]!Data_Loan[Thang.Nam],'Dong Lam'!AA$254)</f>
        <v>0</v>
      </c>
      <c r="AB321" s="49">
        <f>SUMIFS([1]!Data_Loan[Value],[1]!Data_Loan[Index Loan],'Dong Lam'!$B321,[1]!Data_Loan[TenCongTyID],'Dong Lam'!$B$1,[1]!Data_Loan[Thang.Nam],'Dong Lam'!AB$254)</f>
        <v>0</v>
      </c>
      <c r="AC321" s="49">
        <f>SUMIFS([1]!Data_Loan[Value],[1]!Data_Loan[Index Loan],'Dong Lam'!$B321,[1]!Data_Loan[TenCongTyID],'Dong Lam'!$B$1,[1]!Data_Loan[Thang.Nam],'Dong Lam'!AC$254)</f>
        <v>0</v>
      </c>
      <c r="AD321" s="49">
        <f>SUMIFS([1]!Data_Loan[Value],[1]!Data_Loan[Index Loan],'Dong Lam'!$B321,[1]!Data_Loan[TenCongTyID],'Dong Lam'!$B$1,[1]!Data_Loan[Thang.Nam],'Dong Lam'!AD$254)</f>
        <v>0</v>
      </c>
      <c r="AE321" s="49">
        <f>SUMIFS([1]!Data_Loan[Value],[1]!Data_Loan[Index Loan],'Dong Lam'!$B321,[1]!Data_Loan[TenCongTyID],'Dong Lam'!$B$1,[1]!Data_Loan[Thang.Nam],'Dong Lam'!AE$254)</f>
        <v>0</v>
      </c>
      <c r="AF321" s="49">
        <f>SUMIFS([1]!Data_Loan[Value],[1]!Data_Loan[Index Loan],'Dong Lam'!$B321,[1]!Data_Loan[TenCongTyID],'Dong Lam'!$B$1,[1]!Data_Loan[Thang.Nam],'Dong Lam'!AF$254)</f>
        <v>0</v>
      </c>
      <c r="AG321" s="49">
        <f>SUMIFS([1]!Data_Loan[Value],[1]!Data_Loan[Index Loan],'Dong Lam'!$B321,[1]!Data_Loan[TenCongTyID],'Dong Lam'!$B$1,[1]!Data_Loan[Thang.Nam],'Dong Lam'!AG$254)</f>
        <v>0</v>
      </c>
      <c r="AH321" s="49">
        <f>SUMIFS([1]!Data_Loan[Value],[1]!Data_Loan[Index Loan],'Dong Lam'!$B321,[1]!Data_Loan[TenCongTyID],'Dong Lam'!$B$1,[1]!Data_Loan[Thang.Nam],'Dong Lam'!AH$254)</f>
        <v>0</v>
      </c>
      <c r="AI321" s="49">
        <f>SUMIFS([1]!Data_Loan[Value],[1]!Data_Loan[Index Loan],'Dong Lam'!$B321,[1]!Data_Loan[TenCongTyID],'Dong Lam'!$B$1,[1]!Data_Loan[Thang.Nam],'Dong Lam'!AI$254)</f>
        <v>0</v>
      </c>
      <c r="AJ321" s="49">
        <f>SUMIFS([1]!Data_Loan[Value],[1]!Data_Loan[Index Loan],'Dong Lam'!$B321,[1]!Data_Loan[TenCongTyID],'Dong Lam'!$B$1,[1]!Data_Loan[Thang.Nam],'Dong Lam'!AJ$254)</f>
        <v>0</v>
      </c>
      <c r="AK321" s="49">
        <f>SUMIFS([1]!Data_Loan[Value],[1]!Data_Loan[Index Loan],'Dong Lam'!$B321,[1]!Data_Loan[TenCongTyID],'Dong Lam'!$B$1,[1]!Data_Loan[Thang.Nam],'Dong Lam'!AK$254)</f>
        <v>0</v>
      </c>
      <c r="AL321" s="49">
        <f>SUMIFS([1]!Data_Loan[Value],[1]!Data_Loan[Index Loan],'Dong Lam'!$B321,[1]!Data_Loan[TenCongTyID],'Dong Lam'!$B$1,[1]!Data_Loan[Thang.Nam],'Dong Lam'!AL$254)</f>
        <v>0</v>
      </c>
    </row>
    <row r="322" spans="1:38" ht="15" customHeight="1">
      <c r="A322" s="200" t="str">
        <f t="shared" si="41"/>
        <v>BIDV</v>
      </c>
      <c r="B322" s="335">
        <v>68</v>
      </c>
      <c r="Z322" s="49">
        <v>0</v>
      </c>
      <c r="AA322" s="49">
        <f>SUMIFS([1]!Data_Loan[Value],[1]!Data_Loan[Index Loan],'Dong Lam'!$B322,[1]!Data_Loan[TenCongTyID],'Dong Lam'!$B$1,[1]!Data_Loan[Thang.Nam],'Dong Lam'!AA$254)</f>
        <v>0</v>
      </c>
      <c r="AB322" s="49">
        <f>SUMIFS([1]!Data_Loan[Value],[1]!Data_Loan[Index Loan],'Dong Lam'!$B322,[1]!Data_Loan[TenCongTyID],'Dong Lam'!$B$1,[1]!Data_Loan[Thang.Nam],'Dong Lam'!AB$254)</f>
        <v>0</v>
      </c>
      <c r="AC322" s="49">
        <f>SUMIFS([1]!Data_Loan[Value],[1]!Data_Loan[Index Loan],'Dong Lam'!$B322,[1]!Data_Loan[TenCongTyID],'Dong Lam'!$B$1,[1]!Data_Loan[Thang.Nam],'Dong Lam'!AC$254)</f>
        <v>0</v>
      </c>
      <c r="AD322" s="49">
        <f>SUMIFS([1]!Data_Loan[Value],[1]!Data_Loan[Index Loan],'Dong Lam'!$B322,[1]!Data_Loan[TenCongTyID],'Dong Lam'!$B$1,[1]!Data_Loan[Thang.Nam],'Dong Lam'!AD$254)</f>
        <v>0</v>
      </c>
      <c r="AE322" s="49">
        <f>SUMIFS([1]!Data_Loan[Value],[1]!Data_Loan[Index Loan],'Dong Lam'!$B322,[1]!Data_Loan[TenCongTyID],'Dong Lam'!$B$1,[1]!Data_Loan[Thang.Nam],'Dong Lam'!AE$254)</f>
        <v>0</v>
      </c>
      <c r="AF322" s="49">
        <f>SUMIFS([1]!Data_Loan[Value],[1]!Data_Loan[Index Loan],'Dong Lam'!$B322,[1]!Data_Loan[TenCongTyID],'Dong Lam'!$B$1,[1]!Data_Loan[Thang.Nam],'Dong Lam'!AF$254)</f>
        <v>0</v>
      </c>
      <c r="AG322" s="49">
        <f>SUMIFS([1]!Data_Loan[Value],[1]!Data_Loan[Index Loan],'Dong Lam'!$B322,[1]!Data_Loan[TenCongTyID],'Dong Lam'!$B$1,[1]!Data_Loan[Thang.Nam],'Dong Lam'!AG$254)</f>
        <v>0</v>
      </c>
      <c r="AH322" s="49">
        <f>SUMIFS([1]!Data_Loan[Value],[1]!Data_Loan[Index Loan],'Dong Lam'!$B322,[1]!Data_Loan[TenCongTyID],'Dong Lam'!$B$1,[1]!Data_Loan[Thang.Nam],'Dong Lam'!AH$254)</f>
        <v>0</v>
      </c>
      <c r="AI322" s="49">
        <f>SUMIFS([1]!Data_Loan[Value],[1]!Data_Loan[Index Loan],'Dong Lam'!$B322,[1]!Data_Loan[TenCongTyID],'Dong Lam'!$B$1,[1]!Data_Loan[Thang.Nam],'Dong Lam'!AI$254)</f>
        <v>0</v>
      </c>
      <c r="AJ322" s="49">
        <f>SUMIFS([1]!Data_Loan[Value],[1]!Data_Loan[Index Loan],'Dong Lam'!$B322,[1]!Data_Loan[TenCongTyID],'Dong Lam'!$B$1,[1]!Data_Loan[Thang.Nam],'Dong Lam'!AJ$254)</f>
        <v>0</v>
      </c>
      <c r="AK322" s="49">
        <f>SUMIFS([1]!Data_Loan[Value],[1]!Data_Loan[Index Loan],'Dong Lam'!$B322,[1]!Data_Loan[TenCongTyID],'Dong Lam'!$B$1,[1]!Data_Loan[Thang.Nam],'Dong Lam'!AK$254)</f>
        <v>0</v>
      </c>
      <c r="AL322" s="49">
        <f>SUMIFS([1]!Data_Loan[Value],[1]!Data_Loan[Index Loan],'Dong Lam'!$B322,[1]!Data_Loan[TenCongTyID],'Dong Lam'!$B$1,[1]!Data_Loan[Thang.Nam],'Dong Lam'!AL$254)</f>
        <v>0</v>
      </c>
    </row>
    <row r="323" spans="1:38" ht="15" customHeight="1">
      <c r="A323" s="200" t="str">
        <f t="shared" si="41"/>
        <v>Standard Chartered</v>
      </c>
      <c r="B323" s="335">
        <v>69</v>
      </c>
      <c r="Z323" s="49">
        <v>0</v>
      </c>
      <c r="AA323" s="49">
        <f>SUMIFS([1]!Data_Loan[Value],[1]!Data_Loan[Index Loan],'Dong Lam'!$B323,[1]!Data_Loan[TenCongTyID],'Dong Lam'!$B$1,[1]!Data_Loan[Thang.Nam],'Dong Lam'!AA$254)</f>
        <v>0</v>
      </c>
      <c r="AB323" s="49">
        <f>SUMIFS([1]!Data_Loan[Value],[1]!Data_Loan[Index Loan],'Dong Lam'!$B323,[1]!Data_Loan[TenCongTyID],'Dong Lam'!$B$1,[1]!Data_Loan[Thang.Nam],'Dong Lam'!AB$254)</f>
        <v>0</v>
      </c>
      <c r="AC323" s="49">
        <f>SUMIFS([1]!Data_Loan[Value],[1]!Data_Loan[Index Loan],'Dong Lam'!$B323,[1]!Data_Loan[TenCongTyID],'Dong Lam'!$B$1,[1]!Data_Loan[Thang.Nam],'Dong Lam'!AC$254)</f>
        <v>0</v>
      </c>
      <c r="AD323" s="49">
        <f>SUMIFS([1]!Data_Loan[Value],[1]!Data_Loan[Index Loan],'Dong Lam'!$B323,[1]!Data_Loan[TenCongTyID],'Dong Lam'!$B$1,[1]!Data_Loan[Thang.Nam],'Dong Lam'!AD$254)</f>
        <v>0</v>
      </c>
      <c r="AE323" s="49">
        <f>SUMIFS([1]!Data_Loan[Value],[1]!Data_Loan[Index Loan],'Dong Lam'!$B323,[1]!Data_Loan[TenCongTyID],'Dong Lam'!$B$1,[1]!Data_Loan[Thang.Nam],'Dong Lam'!AE$254)</f>
        <v>0</v>
      </c>
      <c r="AF323" s="49">
        <f>SUMIFS([1]!Data_Loan[Value],[1]!Data_Loan[Index Loan],'Dong Lam'!$B323,[1]!Data_Loan[TenCongTyID],'Dong Lam'!$B$1,[1]!Data_Loan[Thang.Nam],'Dong Lam'!AF$254)</f>
        <v>0</v>
      </c>
      <c r="AG323" s="49">
        <f>SUMIFS([1]!Data_Loan[Value],[1]!Data_Loan[Index Loan],'Dong Lam'!$B323,[1]!Data_Loan[TenCongTyID],'Dong Lam'!$B$1,[1]!Data_Loan[Thang.Nam],'Dong Lam'!AG$254)</f>
        <v>0</v>
      </c>
      <c r="AH323" s="49">
        <f>SUMIFS([1]!Data_Loan[Value],[1]!Data_Loan[Index Loan],'Dong Lam'!$B323,[1]!Data_Loan[TenCongTyID],'Dong Lam'!$B$1,[1]!Data_Loan[Thang.Nam],'Dong Lam'!AH$254)</f>
        <v>0</v>
      </c>
      <c r="AI323" s="49">
        <f>SUMIFS([1]!Data_Loan[Value],[1]!Data_Loan[Index Loan],'Dong Lam'!$B323,[1]!Data_Loan[TenCongTyID],'Dong Lam'!$B$1,[1]!Data_Loan[Thang.Nam],'Dong Lam'!AI$254)</f>
        <v>0</v>
      </c>
      <c r="AJ323" s="49">
        <f>SUMIFS([1]!Data_Loan[Value],[1]!Data_Loan[Index Loan],'Dong Lam'!$B323,[1]!Data_Loan[TenCongTyID],'Dong Lam'!$B$1,[1]!Data_Loan[Thang.Nam],'Dong Lam'!AJ$254)</f>
        <v>0</v>
      </c>
      <c r="AK323" s="49">
        <f>SUMIFS([1]!Data_Loan[Value],[1]!Data_Loan[Index Loan],'Dong Lam'!$B323,[1]!Data_Loan[TenCongTyID],'Dong Lam'!$B$1,[1]!Data_Loan[Thang.Nam],'Dong Lam'!AK$254)</f>
        <v>0</v>
      </c>
      <c r="AL323" s="49">
        <f>SUMIFS([1]!Data_Loan[Value],[1]!Data_Loan[Index Loan],'Dong Lam'!$B323,[1]!Data_Loan[TenCongTyID],'Dong Lam'!$B$1,[1]!Data_Loan[Thang.Nam],'Dong Lam'!AL$254)</f>
        <v>0</v>
      </c>
    </row>
    <row r="324" spans="1:38" ht="15" customHeight="1">
      <c r="A324" s="200" t="str">
        <f t="shared" si="41"/>
        <v>VILC</v>
      </c>
      <c r="B324" s="335">
        <v>70</v>
      </c>
      <c r="Z324" s="49">
        <v>0</v>
      </c>
      <c r="AA324" s="49">
        <f>SUMIFS([1]!Data_Loan[Value],[1]!Data_Loan[Index Loan],'Dong Lam'!$B324,[1]!Data_Loan[TenCongTyID],'Dong Lam'!$B$1,[1]!Data_Loan[Thang.Nam],'Dong Lam'!AA$254)</f>
        <v>0</v>
      </c>
      <c r="AB324" s="49">
        <f>SUMIFS([1]!Data_Loan[Value],[1]!Data_Loan[Index Loan],'Dong Lam'!$B324,[1]!Data_Loan[TenCongTyID],'Dong Lam'!$B$1,[1]!Data_Loan[Thang.Nam],'Dong Lam'!AB$254)</f>
        <v>0</v>
      </c>
      <c r="AC324" s="49">
        <f>SUMIFS([1]!Data_Loan[Value],[1]!Data_Loan[Index Loan],'Dong Lam'!$B324,[1]!Data_Loan[TenCongTyID],'Dong Lam'!$B$1,[1]!Data_Loan[Thang.Nam],'Dong Lam'!AC$254)</f>
        <v>0</v>
      </c>
      <c r="AD324" s="49">
        <f>SUMIFS([1]!Data_Loan[Value],[1]!Data_Loan[Index Loan],'Dong Lam'!$B324,[1]!Data_Loan[TenCongTyID],'Dong Lam'!$B$1,[1]!Data_Loan[Thang.Nam],'Dong Lam'!AD$254)</f>
        <v>0</v>
      </c>
      <c r="AE324" s="49">
        <f>SUMIFS([1]!Data_Loan[Value],[1]!Data_Loan[Index Loan],'Dong Lam'!$B324,[1]!Data_Loan[TenCongTyID],'Dong Lam'!$B$1,[1]!Data_Loan[Thang.Nam],'Dong Lam'!AE$254)</f>
        <v>0</v>
      </c>
      <c r="AF324" s="49">
        <f>SUMIFS([1]!Data_Loan[Value],[1]!Data_Loan[Index Loan],'Dong Lam'!$B324,[1]!Data_Loan[TenCongTyID],'Dong Lam'!$B$1,[1]!Data_Loan[Thang.Nam],'Dong Lam'!AF$254)</f>
        <v>0</v>
      </c>
      <c r="AG324" s="49">
        <f>SUMIFS([1]!Data_Loan[Value],[1]!Data_Loan[Index Loan],'Dong Lam'!$B324,[1]!Data_Loan[TenCongTyID],'Dong Lam'!$B$1,[1]!Data_Loan[Thang.Nam],'Dong Lam'!AG$254)</f>
        <v>0</v>
      </c>
      <c r="AH324" s="49">
        <f>SUMIFS([1]!Data_Loan[Value],[1]!Data_Loan[Index Loan],'Dong Lam'!$B324,[1]!Data_Loan[TenCongTyID],'Dong Lam'!$B$1,[1]!Data_Loan[Thang.Nam],'Dong Lam'!AH$254)</f>
        <v>0</v>
      </c>
      <c r="AI324" s="49">
        <f>SUMIFS([1]!Data_Loan[Value],[1]!Data_Loan[Index Loan],'Dong Lam'!$B324,[1]!Data_Loan[TenCongTyID],'Dong Lam'!$B$1,[1]!Data_Loan[Thang.Nam],'Dong Lam'!AI$254)</f>
        <v>0</v>
      </c>
      <c r="AJ324" s="49">
        <f>SUMIFS([1]!Data_Loan[Value],[1]!Data_Loan[Index Loan],'Dong Lam'!$B324,[1]!Data_Loan[TenCongTyID],'Dong Lam'!$B$1,[1]!Data_Loan[Thang.Nam],'Dong Lam'!AJ$254)</f>
        <v>0</v>
      </c>
      <c r="AK324" s="49">
        <f>SUMIFS([1]!Data_Loan[Value],[1]!Data_Loan[Index Loan],'Dong Lam'!$B324,[1]!Data_Loan[TenCongTyID],'Dong Lam'!$B$1,[1]!Data_Loan[Thang.Nam],'Dong Lam'!AK$254)</f>
        <v>0</v>
      </c>
      <c r="AL324" s="49">
        <f>SUMIFS([1]!Data_Loan[Value],[1]!Data_Loan[Index Loan],'Dong Lam'!$B324,[1]!Data_Loan[TenCongTyID],'Dong Lam'!$B$1,[1]!Data_Loan[Thang.Nam],'Dong Lam'!AL$254)</f>
        <v>0</v>
      </c>
    </row>
    <row r="325" spans="1:38" ht="15" customHeight="1">
      <c r="A325" s="200" t="s">
        <v>347</v>
      </c>
      <c r="B325" s="335">
        <v>71</v>
      </c>
      <c r="Z325" s="49">
        <v>0</v>
      </c>
      <c r="AA325" s="49">
        <f>SUMIFS([1]!Data_Loan[Value],[1]!Data_Loan[Index Loan],'Dong Lam'!$B325,[1]!Data_Loan[TenCongTyID],'Dong Lam'!$B$1,[1]!Data_Loan[Thang.Nam],'Dong Lam'!AA$254)</f>
        <v>0</v>
      </c>
      <c r="AB325" s="49">
        <f>SUMIFS([1]!Data_Loan[Value],[1]!Data_Loan[Index Loan],'Dong Lam'!$B325,[1]!Data_Loan[TenCongTyID],'Dong Lam'!$B$1,[1]!Data_Loan[Thang.Nam],'Dong Lam'!AB$254)</f>
        <v>0</v>
      </c>
      <c r="AC325" s="49">
        <f>SUMIFS([1]!Data_Loan[Value],[1]!Data_Loan[Index Loan],'Dong Lam'!$B325,[1]!Data_Loan[TenCongTyID],'Dong Lam'!$B$1,[1]!Data_Loan[Thang.Nam],'Dong Lam'!AC$254)</f>
        <v>0</v>
      </c>
      <c r="AD325" s="49">
        <f>SUMIFS([1]!Data_Loan[Value],[1]!Data_Loan[Index Loan],'Dong Lam'!$B325,[1]!Data_Loan[TenCongTyID],'Dong Lam'!$B$1,[1]!Data_Loan[Thang.Nam],'Dong Lam'!AD$254)</f>
        <v>0</v>
      </c>
      <c r="AE325" s="49">
        <f>SUMIFS([1]!Data_Loan[Value],[1]!Data_Loan[Index Loan],'Dong Lam'!$B325,[1]!Data_Loan[TenCongTyID],'Dong Lam'!$B$1,[1]!Data_Loan[Thang.Nam],'Dong Lam'!AE$254)</f>
        <v>0</v>
      </c>
      <c r="AF325" s="49">
        <f>SUMIFS([1]!Data_Loan[Value],[1]!Data_Loan[Index Loan],'Dong Lam'!$B325,[1]!Data_Loan[TenCongTyID],'Dong Lam'!$B$1,[1]!Data_Loan[Thang.Nam],'Dong Lam'!AF$254)</f>
        <v>0</v>
      </c>
      <c r="AG325" s="49">
        <f>SUMIFS([1]!Data_Loan[Value],[1]!Data_Loan[Index Loan],'Dong Lam'!$B325,[1]!Data_Loan[TenCongTyID],'Dong Lam'!$B$1,[1]!Data_Loan[Thang.Nam],'Dong Lam'!AG$254)</f>
        <v>0</v>
      </c>
      <c r="AH325" s="49">
        <f>SUMIFS([1]!Data_Loan[Value],[1]!Data_Loan[Index Loan],'Dong Lam'!$B325,[1]!Data_Loan[TenCongTyID],'Dong Lam'!$B$1,[1]!Data_Loan[Thang.Nam],'Dong Lam'!AH$254)</f>
        <v>0</v>
      </c>
      <c r="AI325" s="49">
        <f>SUMIFS([1]!Data_Loan[Value],[1]!Data_Loan[Index Loan],'Dong Lam'!$B325,[1]!Data_Loan[TenCongTyID],'Dong Lam'!$B$1,[1]!Data_Loan[Thang.Nam],'Dong Lam'!AI$254)</f>
        <v>0</v>
      </c>
      <c r="AJ325" s="49">
        <f>SUMIFS([1]!Data_Loan[Value],[1]!Data_Loan[Index Loan],'Dong Lam'!$B325,[1]!Data_Loan[TenCongTyID],'Dong Lam'!$B$1,[1]!Data_Loan[Thang.Nam],'Dong Lam'!AJ$254)</f>
        <v>0</v>
      </c>
      <c r="AK325" s="49">
        <f>SUMIFS([1]!Data_Loan[Value],[1]!Data_Loan[Index Loan],'Dong Lam'!$B325,[1]!Data_Loan[TenCongTyID],'Dong Lam'!$B$1,[1]!Data_Loan[Thang.Nam],'Dong Lam'!AK$254)</f>
        <v>0</v>
      </c>
      <c r="AL325" s="49">
        <f>SUMIFS([1]!Data_Loan[Value],[1]!Data_Loan[Index Loan],'Dong Lam'!$B325,[1]!Data_Loan[TenCongTyID],'Dong Lam'!$B$1,[1]!Data_Loan[Thang.Nam],'Dong Lam'!AL$254)</f>
        <v>0</v>
      </c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DCAF-EF9E-4700-BF0C-48A5DF7E93DB}">
  <sheetPr>
    <tabColor rgb="FF00B050"/>
    <outlinePr summaryBelow="0" summaryRight="0"/>
  </sheetPr>
  <dimension ref="A1:AZ325"/>
  <sheetViews>
    <sheetView showGridLines="0" showZeros="0" zoomScale="80" zoomScaleNormal="80" workbookViewId="0">
      <pane xSplit="1" ySplit="5" topLeftCell="W132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A138" sqref="AA138"/>
    </sheetView>
  </sheetViews>
  <sheetFormatPr defaultColWidth="9.26953125" defaultRowHeight="15" customHeight="1" outlineLevelRow="1" outlineLevelCol="1"/>
  <cols>
    <col min="1" max="1" width="48.26953125" style="49" customWidth="1"/>
    <col min="2" max="2" width="8.1796875" style="174" hidden="1" customWidth="1" collapsed="1"/>
    <col min="3" max="26" width="18.26953125" style="49" hidden="1" customWidth="1" outlineLevel="1"/>
    <col min="27" max="27" width="15.1796875" style="49" bestFit="1" customWidth="1"/>
    <col min="28" max="29" width="14.81640625" style="49" bestFit="1" customWidth="1"/>
    <col min="30" max="38" width="15.1796875" style="49" bestFit="1" customWidth="1"/>
    <col min="39" max="39" width="17.1796875" style="43" bestFit="1" customWidth="1"/>
    <col min="40" max="40" width="13.54296875" style="43" bestFit="1" customWidth="1"/>
    <col min="41" max="43" width="9.26953125" style="43"/>
    <col min="44" max="44" width="7.81640625" style="43" customWidth="1"/>
    <col min="45" max="16384" width="9.26953125" style="43"/>
  </cols>
  <sheetData>
    <row r="1" spans="1:38" ht="19.5" customHeight="1">
      <c r="A1" s="47" t="s">
        <v>376</v>
      </c>
      <c r="B1" s="40">
        <v>7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ht="19.5" hidden="1" customHeight="1">
      <c r="A2" s="44" t="s">
        <v>63</v>
      </c>
      <c r="B2" s="45"/>
      <c r="C2" s="41"/>
      <c r="D2" s="42"/>
      <c r="E2" s="42"/>
      <c r="F2" s="42"/>
      <c r="G2" s="42"/>
      <c r="H2" s="42"/>
      <c r="I2" s="42"/>
      <c r="J2" s="42"/>
      <c r="K2" s="222"/>
      <c r="L2" s="42"/>
      <c r="M2" s="42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</row>
    <row r="3" spans="1:38" ht="19.5" hidden="1" customHeight="1">
      <c r="A3" s="47"/>
      <c r="B3" s="45"/>
      <c r="C3" s="48">
        <v>2024</v>
      </c>
      <c r="D3" s="42">
        <f>C3</f>
        <v>2024</v>
      </c>
      <c r="E3" s="42">
        <f>D3</f>
        <v>2024</v>
      </c>
      <c r="F3" s="42">
        <f t="shared" ref="F3:N3" si="0">E3</f>
        <v>2024</v>
      </c>
      <c r="G3" s="42">
        <f t="shared" si="0"/>
        <v>2024</v>
      </c>
      <c r="H3" s="42">
        <f>G3</f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2">
        <v>2025</v>
      </c>
      <c r="P3" s="42">
        <f>O3</f>
        <v>2025</v>
      </c>
      <c r="Q3" s="42">
        <f>P3</f>
        <v>2025</v>
      </c>
      <c r="R3" s="42">
        <f>Q3</f>
        <v>2025</v>
      </c>
      <c r="S3" s="42">
        <f>R3</f>
        <v>2025</v>
      </c>
      <c r="T3" s="42">
        <f>S3</f>
        <v>2025</v>
      </c>
      <c r="U3" s="42">
        <f t="shared" ref="U3:Y3" si="1">T3</f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v>2025</v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</row>
    <row r="4" spans="1:38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</row>
    <row r="5" spans="1:38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5" t="s">
        <v>78</v>
      </c>
      <c r="P5" s="55" t="s">
        <v>79</v>
      </c>
      <c r="Q5" s="55" t="s">
        <v>80</v>
      </c>
      <c r="R5" s="55" t="s">
        <v>81</v>
      </c>
      <c r="S5" s="55" t="s">
        <v>82</v>
      </c>
      <c r="T5" s="55" t="s">
        <v>83</v>
      </c>
      <c r="U5" s="55" t="s">
        <v>84</v>
      </c>
      <c r="V5" s="55" t="s">
        <v>85</v>
      </c>
      <c r="W5" s="55" t="s">
        <v>86</v>
      </c>
      <c r="X5" s="55" t="s">
        <v>87</v>
      </c>
      <c r="Y5" s="55" t="s">
        <v>88</v>
      </c>
      <c r="Z5" s="55" t="s">
        <v>89</v>
      </c>
      <c r="AA5" s="55" t="s">
        <v>8</v>
      </c>
      <c r="AB5" s="55" t="s">
        <v>9</v>
      </c>
      <c r="AC5" s="55" t="s">
        <v>10</v>
      </c>
      <c r="AD5" s="55" t="s">
        <v>11</v>
      </c>
      <c r="AE5" s="55" t="s">
        <v>12</v>
      </c>
      <c r="AF5" s="55" t="s">
        <v>13</v>
      </c>
      <c r="AG5" s="55" t="s">
        <v>14</v>
      </c>
      <c r="AH5" s="55" t="s">
        <v>15</v>
      </c>
      <c r="AI5" s="55" t="s">
        <v>16</v>
      </c>
      <c r="AJ5" s="55" t="s">
        <v>17</v>
      </c>
      <c r="AK5" s="55" t="s">
        <v>18</v>
      </c>
      <c r="AL5" s="55" t="s">
        <v>19</v>
      </c>
    </row>
    <row r="6" spans="1:38" ht="15" hidden="1" customHeight="1" outlineLevel="1">
      <c r="A6" s="56" t="s">
        <v>90</v>
      </c>
      <c r="B6" s="57">
        <v>1</v>
      </c>
      <c r="C6" s="225">
        <v>10103114315</v>
      </c>
      <c r="D6" s="225">
        <v>10135163319</v>
      </c>
      <c r="E6" s="225">
        <v>10184981130.860001</v>
      </c>
      <c r="F6" s="225">
        <v>9555348922.882</v>
      </c>
      <c r="G6" s="225">
        <v>9196060410</v>
      </c>
      <c r="H6" s="225">
        <v>8684994866</v>
      </c>
      <c r="I6" s="225">
        <v>8245968607</v>
      </c>
      <c r="J6" s="225">
        <v>10545495550</v>
      </c>
      <c r="K6" s="225">
        <v>11220415620</v>
      </c>
      <c r="L6" s="225">
        <v>12143594996</v>
      </c>
      <c r="M6" s="225">
        <v>11303945554</v>
      </c>
      <c r="N6" s="225">
        <v>10918507176.482</v>
      </c>
      <c r="O6" s="225">
        <v>9622462298.9999008</v>
      </c>
      <c r="P6" s="225">
        <v>10781416982</v>
      </c>
      <c r="Q6" s="225">
        <v>9989155997.4820004</v>
      </c>
      <c r="R6" s="225">
        <v>9470285625</v>
      </c>
      <c r="S6" s="225">
        <v>9847590487</v>
      </c>
      <c r="T6" s="225">
        <v>10640908397.482</v>
      </c>
      <c r="U6" s="225">
        <v>12177668470.482</v>
      </c>
      <c r="V6" s="225">
        <v>14816286163.482</v>
      </c>
      <c r="W6" s="225">
        <f>+W7+W10+W17+W25+W32</f>
        <v>12964527031.482</v>
      </c>
      <c r="X6" s="225">
        <v>13237895817.482</v>
      </c>
      <c r="Y6" s="225">
        <v>14247961697.482</v>
      </c>
      <c r="Z6" s="225">
        <v>15229289556</v>
      </c>
      <c r="AA6" s="336">
        <f>SUMIFS([1]!Data_BS[Value],[1]!Data_BS[Index BS],'Khanh Nga'!$B6,[1]!Data_BS[TenCongTyID],'Khanh Nga'!$B$1,[1]!Data_BS[Thang.Nam],'Khanh Nga'!AA$5)</f>
        <v>0</v>
      </c>
      <c r="AB6" s="336">
        <f>SUMIFS([1]!Data_BS[Value],[1]!Data_BS[Index BS],'Khanh Nga'!$B6,[1]!Data_BS[TenCongTyID],'Khanh Nga'!$B$1,[1]!Data_BS[Thang.Nam],'Khanh Nga'!AB$5)</f>
        <v>0</v>
      </c>
      <c r="AC6" s="336">
        <f>SUMIFS([1]!Data_BS[Value],[1]!Data_BS[Index BS],'Khanh Nga'!$B6,[1]!Data_BS[TenCongTyID],'Khanh Nga'!$B$1,[1]!Data_BS[Thang.Nam],'Khanh Nga'!AC$5)</f>
        <v>0</v>
      </c>
      <c r="AD6" s="336">
        <f>SUMIFS([1]!Data_BS[Value],[1]!Data_BS[Index BS],'Khanh Nga'!$B6,[1]!Data_BS[TenCongTyID],'Khanh Nga'!$B$1,[1]!Data_BS[Thang.Nam],'Khanh Nga'!AD$5)</f>
        <v>0</v>
      </c>
      <c r="AE6" s="336">
        <f>SUMIFS([1]!Data_BS[Value],[1]!Data_BS[Index BS],'Khanh Nga'!$B6,[1]!Data_BS[TenCongTyID],'Khanh Nga'!$B$1,[1]!Data_BS[Thang.Nam],'Khanh Nga'!AE$5)</f>
        <v>0</v>
      </c>
      <c r="AF6" s="336">
        <f>SUMIFS([1]!Data_BS[Value],[1]!Data_BS[Index BS],'Khanh Nga'!$B6,[1]!Data_BS[TenCongTyID],'Khanh Nga'!$B$1,[1]!Data_BS[Thang.Nam],'Khanh Nga'!AF$5)</f>
        <v>0</v>
      </c>
      <c r="AG6" s="336">
        <f>SUMIFS([1]!Data_BS[Value],[1]!Data_BS[Index BS],'Khanh Nga'!$B6,[1]!Data_BS[TenCongTyID],'Khanh Nga'!$B$1,[1]!Data_BS[Thang.Nam],'Khanh Nga'!AG$5)</f>
        <v>0</v>
      </c>
      <c r="AH6" s="336">
        <f>SUMIFS([1]!Data_BS[Value],[1]!Data_BS[Index BS],'Khanh Nga'!$B6,[1]!Data_BS[TenCongTyID],'Khanh Nga'!$B$1,[1]!Data_BS[Thang.Nam],'Khanh Nga'!AH$5)</f>
        <v>0</v>
      </c>
      <c r="AI6" s="336">
        <f>SUMIFS([1]!Data_BS[Value],[1]!Data_BS[Index BS],'Khanh Nga'!$B6,[1]!Data_BS[TenCongTyID],'Khanh Nga'!$B$1,[1]!Data_BS[Thang.Nam],'Khanh Nga'!AI$5)</f>
        <v>0</v>
      </c>
      <c r="AJ6" s="336">
        <f>SUMIFS([1]!Data_BS[Value],[1]!Data_BS[Index BS],'Khanh Nga'!$B6,[1]!Data_BS[TenCongTyID],'Khanh Nga'!$B$1,[1]!Data_BS[Thang.Nam],'Khanh Nga'!AJ$5)</f>
        <v>0</v>
      </c>
      <c r="AK6" s="336">
        <f>SUMIFS([1]!Data_BS[Value],[1]!Data_BS[Index BS],'Khanh Nga'!$B6,[1]!Data_BS[TenCongTyID],'Khanh Nga'!$B$1,[1]!Data_BS[Thang.Nam],'Khanh Nga'!AK$5)</f>
        <v>0</v>
      </c>
      <c r="AL6" s="336">
        <f>SUMIFS([1]!Data_BS[Value],[1]!Data_BS[Index BS],'Khanh Nga'!$B6,[1]!Data_BS[TenCongTyID],'Khanh Nga'!$B$1,[1]!Data_BS[Thang.Nam],'Khanh Nga'!AL$5)</f>
        <v>0</v>
      </c>
    </row>
    <row r="7" spans="1:38" ht="15" hidden="1" customHeight="1" outlineLevel="1">
      <c r="A7" s="59" t="s">
        <v>91</v>
      </c>
      <c r="B7" s="60">
        <v>2</v>
      </c>
      <c r="C7" s="227">
        <v>2558802474</v>
      </c>
      <c r="D7" s="227">
        <v>1393898918</v>
      </c>
      <c r="E7" s="227">
        <v>4499399789</v>
      </c>
      <c r="F7" s="227">
        <v>4431257417</v>
      </c>
      <c r="G7" s="227">
        <v>2753755390</v>
      </c>
      <c r="H7" s="227">
        <v>3803839418</v>
      </c>
      <c r="I7" s="227">
        <v>5122409452</v>
      </c>
      <c r="J7" s="227">
        <v>6603237668</v>
      </c>
      <c r="K7" s="227">
        <v>4901151740</v>
      </c>
      <c r="L7" s="227">
        <v>7217320341</v>
      </c>
      <c r="M7" s="227">
        <v>6076881148</v>
      </c>
      <c r="N7" s="227">
        <v>6003863340</v>
      </c>
      <c r="O7" s="227">
        <v>1083666234</v>
      </c>
      <c r="P7" s="227">
        <v>1893084896</v>
      </c>
      <c r="Q7" s="227">
        <v>3882973993</v>
      </c>
      <c r="R7" s="227">
        <v>3533396638</v>
      </c>
      <c r="S7" s="227">
        <v>2890093789</v>
      </c>
      <c r="T7" s="227">
        <v>4170404441</v>
      </c>
      <c r="U7" s="227">
        <v>6295754488</v>
      </c>
      <c r="V7" s="227">
        <v>9081751086</v>
      </c>
      <c r="W7" s="227">
        <f>+SUM(W8:W9)</f>
        <v>8696224125</v>
      </c>
      <c r="X7" s="227">
        <v>8789877445</v>
      </c>
      <c r="Y7" s="227">
        <v>8971843955</v>
      </c>
      <c r="Z7" s="227">
        <v>2740054809</v>
      </c>
      <c r="AA7" s="337">
        <f>SUMIFS([1]!Data_BS[Value],[1]!Data_BS[Index BS],'Khanh Nga'!$B7,[1]!Data_BS[TenCongTyID],'Khanh Nga'!$B$1,[1]!Data_BS[Thang.Nam],'Khanh Nga'!AA$5)</f>
        <v>0</v>
      </c>
      <c r="AB7" s="337">
        <f>SUMIFS([1]!Data_BS[Value],[1]!Data_BS[Index BS],'Khanh Nga'!$B7,[1]!Data_BS[TenCongTyID],'Khanh Nga'!$B$1,[1]!Data_BS[Thang.Nam],'Khanh Nga'!AB$5)</f>
        <v>0</v>
      </c>
      <c r="AC7" s="337">
        <f>SUMIFS([1]!Data_BS[Value],[1]!Data_BS[Index BS],'Khanh Nga'!$B7,[1]!Data_BS[TenCongTyID],'Khanh Nga'!$B$1,[1]!Data_BS[Thang.Nam],'Khanh Nga'!AC$5)</f>
        <v>0</v>
      </c>
      <c r="AD7" s="337">
        <f>SUMIFS([1]!Data_BS[Value],[1]!Data_BS[Index BS],'Khanh Nga'!$B7,[1]!Data_BS[TenCongTyID],'Khanh Nga'!$B$1,[1]!Data_BS[Thang.Nam],'Khanh Nga'!AD$5)</f>
        <v>0</v>
      </c>
      <c r="AE7" s="337">
        <f>SUMIFS([1]!Data_BS[Value],[1]!Data_BS[Index BS],'Khanh Nga'!$B7,[1]!Data_BS[TenCongTyID],'Khanh Nga'!$B$1,[1]!Data_BS[Thang.Nam],'Khanh Nga'!AE$5)</f>
        <v>0</v>
      </c>
      <c r="AF7" s="337">
        <f>SUMIFS([1]!Data_BS[Value],[1]!Data_BS[Index BS],'Khanh Nga'!$B7,[1]!Data_BS[TenCongTyID],'Khanh Nga'!$B$1,[1]!Data_BS[Thang.Nam],'Khanh Nga'!AF$5)</f>
        <v>0</v>
      </c>
      <c r="AG7" s="337">
        <f>SUMIFS([1]!Data_BS[Value],[1]!Data_BS[Index BS],'Khanh Nga'!$B7,[1]!Data_BS[TenCongTyID],'Khanh Nga'!$B$1,[1]!Data_BS[Thang.Nam],'Khanh Nga'!AG$5)</f>
        <v>0</v>
      </c>
      <c r="AH7" s="337">
        <f>SUMIFS([1]!Data_BS[Value],[1]!Data_BS[Index BS],'Khanh Nga'!$B7,[1]!Data_BS[TenCongTyID],'Khanh Nga'!$B$1,[1]!Data_BS[Thang.Nam],'Khanh Nga'!AH$5)</f>
        <v>0</v>
      </c>
      <c r="AI7" s="337">
        <f>SUMIFS([1]!Data_BS[Value],[1]!Data_BS[Index BS],'Khanh Nga'!$B7,[1]!Data_BS[TenCongTyID],'Khanh Nga'!$B$1,[1]!Data_BS[Thang.Nam],'Khanh Nga'!AI$5)</f>
        <v>0</v>
      </c>
      <c r="AJ7" s="337">
        <f>SUMIFS([1]!Data_BS[Value],[1]!Data_BS[Index BS],'Khanh Nga'!$B7,[1]!Data_BS[TenCongTyID],'Khanh Nga'!$B$1,[1]!Data_BS[Thang.Nam],'Khanh Nga'!AJ$5)</f>
        <v>0</v>
      </c>
      <c r="AK7" s="337">
        <f>SUMIFS([1]!Data_BS[Value],[1]!Data_BS[Index BS],'Khanh Nga'!$B7,[1]!Data_BS[TenCongTyID],'Khanh Nga'!$B$1,[1]!Data_BS[Thang.Nam],'Khanh Nga'!AK$5)</f>
        <v>0</v>
      </c>
      <c r="AL7" s="337">
        <f>SUMIFS([1]!Data_BS[Value],[1]!Data_BS[Index BS],'Khanh Nga'!$B7,[1]!Data_BS[TenCongTyID],'Khanh Nga'!$B$1,[1]!Data_BS[Thang.Nam],'Khanh Nga'!AL$5)</f>
        <v>0</v>
      </c>
    </row>
    <row r="8" spans="1:38" ht="15" hidden="1" customHeight="1" outlineLevel="1">
      <c r="A8" s="62" t="s">
        <v>92</v>
      </c>
      <c r="B8" s="63">
        <v>3</v>
      </c>
      <c r="C8" s="229">
        <v>2558802474</v>
      </c>
      <c r="D8" s="229">
        <v>1393898918</v>
      </c>
      <c r="E8" s="229">
        <v>4499399789</v>
      </c>
      <c r="F8" s="229">
        <v>4431257417</v>
      </c>
      <c r="G8" s="229">
        <v>2753755390</v>
      </c>
      <c r="H8" s="229">
        <v>3803839418</v>
      </c>
      <c r="I8" s="229">
        <v>5122409452</v>
      </c>
      <c r="J8" s="229">
        <v>6603237668</v>
      </c>
      <c r="K8" s="229">
        <v>4901151740</v>
      </c>
      <c r="L8" s="229">
        <v>7217320341</v>
      </c>
      <c r="M8" s="229">
        <v>6076881148</v>
      </c>
      <c r="N8" s="229">
        <v>6003863340</v>
      </c>
      <c r="O8" s="229">
        <v>1083666234</v>
      </c>
      <c r="P8" s="229">
        <v>1893084896</v>
      </c>
      <c r="Q8" s="229">
        <v>3882973993</v>
      </c>
      <c r="R8" s="229">
        <v>3533396638</v>
      </c>
      <c r="S8" s="229">
        <v>2890093789</v>
      </c>
      <c r="T8" s="229">
        <v>4170404441</v>
      </c>
      <c r="U8" s="229">
        <v>6295754488</v>
      </c>
      <c r="V8" s="229">
        <v>9081751086</v>
      </c>
      <c r="W8" s="229">
        <v>8696224125</v>
      </c>
      <c r="X8" s="229">
        <v>8789877445</v>
      </c>
      <c r="Y8" s="229">
        <v>8971843955</v>
      </c>
      <c r="Z8" s="229">
        <v>2740054809</v>
      </c>
      <c r="AA8" s="229">
        <f>SUMIFS([1]!Data_BS[Value],[1]!Data_BS[Index BS],'Khanh Nga'!$B8,[1]!Data_BS[TenCongTyID],'Khanh Nga'!$B$1,[1]!Data_BS[Thang.Nam],'Khanh Nga'!AA$5)</f>
        <v>0</v>
      </c>
      <c r="AB8" s="229">
        <f>SUMIFS([1]!Data_BS[Value],[1]!Data_BS[Index BS],'Khanh Nga'!$B8,[1]!Data_BS[TenCongTyID],'Khanh Nga'!$B$1,[1]!Data_BS[Thang.Nam],'Khanh Nga'!AB$5)</f>
        <v>0</v>
      </c>
      <c r="AC8" s="229">
        <f>SUMIFS([1]!Data_BS[Value],[1]!Data_BS[Index BS],'Khanh Nga'!$B8,[1]!Data_BS[TenCongTyID],'Khanh Nga'!$B$1,[1]!Data_BS[Thang.Nam],'Khanh Nga'!AC$5)</f>
        <v>0</v>
      </c>
      <c r="AD8" s="229">
        <f>SUMIFS([1]!Data_BS[Value],[1]!Data_BS[Index BS],'Khanh Nga'!$B8,[1]!Data_BS[TenCongTyID],'Khanh Nga'!$B$1,[1]!Data_BS[Thang.Nam],'Khanh Nga'!AD$5)</f>
        <v>0</v>
      </c>
      <c r="AE8" s="229">
        <f>SUMIFS([1]!Data_BS[Value],[1]!Data_BS[Index BS],'Khanh Nga'!$B8,[1]!Data_BS[TenCongTyID],'Khanh Nga'!$B$1,[1]!Data_BS[Thang.Nam],'Khanh Nga'!AE$5)</f>
        <v>0</v>
      </c>
      <c r="AF8" s="229">
        <f>SUMIFS([1]!Data_BS[Value],[1]!Data_BS[Index BS],'Khanh Nga'!$B8,[1]!Data_BS[TenCongTyID],'Khanh Nga'!$B$1,[1]!Data_BS[Thang.Nam],'Khanh Nga'!AF$5)</f>
        <v>0</v>
      </c>
      <c r="AG8" s="229">
        <f>SUMIFS([1]!Data_BS[Value],[1]!Data_BS[Index BS],'Khanh Nga'!$B8,[1]!Data_BS[TenCongTyID],'Khanh Nga'!$B$1,[1]!Data_BS[Thang.Nam],'Khanh Nga'!AG$5)</f>
        <v>0</v>
      </c>
      <c r="AH8" s="229">
        <f>SUMIFS([1]!Data_BS[Value],[1]!Data_BS[Index BS],'Khanh Nga'!$B8,[1]!Data_BS[TenCongTyID],'Khanh Nga'!$B$1,[1]!Data_BS[Thang.Nam],'Khanh Nga'!AH$5)</f>
        <v>0</v>
      </c>
      <c r="AI8" s="229">
        <f>SUMIFS([1]!Data_BS[Value],[1]!Data_BS[Index BS],'Khanh Nga'!$B8,[1]!Data_BS[TenCongTyID],'Khanh Nga'!$B$1,[1]!Data_BS[Thang.Nam],'Khanh Nga'!AI$5)</f>
        <v>0</v>
      </c>
      <c r="AJ8" s="229">
        <f>SUMIFS([1]!Data_BS[Value],[1]!Data_BS[Index BS],'Khanh Nga'!$B8,[1]!Data_BS[TenCongTyID],'Khanh Nga'!$B$1,[1]!Data_BS[Thang.Nam],'Khanh Nga'!AJ$5)</f>
        <v>0</v>
      </c>
      <c r="AK8" s="229">
        <f>SUMIFS([1]!Data_BS[Value],[1]!Data_BS[Index BS],'Khanh Nga'!$B8,[1]!Data_BS[TenCongTyID],'Khanh Nga'!$B$1,[1]!Data_BS[Thang.Nam],'Khanh Nga'!AK$5)</f>
        <v>0</v>
      </c>
      <c r="AL8" s="229">
        <f>SUMIFS([1]!Data_BS[Value],[1]!Data_BS[Index BS],'Khanh Nga'!$B8,[1]!Data_BS[TenCongTyID],'Khanh Nga'!$B$1,[1]!Data_BS[Thang.Nam],'Khanh Nga'!AL$5)</f>
        <v>0</v>
      </c>
    </row>
    <row r="9" spans="1:38" ht="15" hidden="1" customHeight="1" outlineLevel="1">
      <c r="A9" s="62" t="s">
        <v>93</v>
      </c>
      <c r="B9" s="63">
        <v>4</v>
      </c>
      <c r="C9" s="368">
        <v>0</v>
      </c>
      <c r="D9" s="244">
        <v>0</v>
      </c>
      <c r="E9" s="244">
        <v>0</v>
      </c>
      <c r="F9" s="244">
        <v>0</v>
      </c>
      <c r="G9" s="244">
        <v>0</v>
      </c>
      <c r="H9" s="244">
        <v>0</v>
      </c>
      <c r="I9" s="244">
        <v>0</v>
      </c>
      <c r="J9" s="244">
        <v>0</v>
      </c>
      <c r="K9" s="244">
        <v>0</v>
      </c>
      <c r="L9" s="244">
        <v>0</v>
      </c>
      <c r="M9" s="244">
        <v>0</v>
      </c>
      <c r="N9" s="244">
        <v>0</v>
      </c>
      <c r="O9" s="244">
        <v>0</v>
      </c>
      <c r="P9" s="244">
        <v>0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/>
      <c r="X9" s="244">
        <v>0</v>
      </c>
      <c r="Y9" s="244"/>
      <c r="Z9" s="244">
        <v>0</v>
      </c>
      <c r="AA9" s="244">
        <f>SUMIFS([1]!Data_BS[Value],[1]!Data_BS[Index BS],'Khanh Nga'!$B9,[1]!Data_BS[TenCongTyID],'Khanh Nga'!$B$1,[1]!Data_BS[Thang.Nam],'Khanh Nga'!AA$5)</f>
        <v>0</v>
      </c>
      <c r="AB9" s="244">
        <f>SUMIFS([1]!Data_BS[Value],[1]!Data_BS[Index BS],'Khanh Nga'!$B9,[1]!Data_BS[TenCongTyID],'Khanh Nga'!$B$1,[1]!Data_BS[Thang.Nam],'Khanh Nga'!AB$5)</f>
        <v>0</v>
      </c>
      <c r="AC9" s="244">
        <f>SUMIFS([1]!Data_BS[Value],[1]!Data_BS[Index BS],'Khanh Nga'!$B9,[1]!Data_BS[TenCongTyID],'Khanh Nga'!$B$1,[1]!Data_BS[Thang.Nam],'Khanh Nga'!AC$5)</f>
        <v>0</v>
      </c>
      <c r="AD9" s="244">
        <f>SUMIFS([1]!Data_BS[Value],[1]!Data_BS[Index BS],'Khanh Nga'!$B9,[1]!Data_BS[TenCongTyID],'Khanh Nga'!$B$1,[1]!Data_BS[Thang.Nam],'Khanh Nga'!AD$5)</f>
        <v>0</v>
      </c>
      <c r="AE9" s="244">
        <f>SUMIFS([1]!Data_BS[Value],[1]!Data_BS[Index BS],'Khanh Nga'!$B9,[1]!Data_BS[TenCongTyID],'Khanh Nga'!$B$1,[1]!Data_BS[Thang.Nam],'Khanh Nga'!AE$5)</f>
        <v>0</v>
      </c>
      <c r="AF9" s="244">
        <f>SUMIFS([1]!Data_BS[Value],[1]!Data_BS[Index BS],'Khanh Nga'!$B9,[1]!Data_BS[TenCongTyID],'Khanh Nga'!$B$1,[1]!Data_BS[Thang.Nam],'Khanh Nga'!AF$5)</f>
        <v>0</v>
      </c>
      <c r="AG9" s="244">
        <f>SUMIFS([1]!Data_BS[Value],[1]!Data_BS[Index BS],'Khanh Nga'!$B9,[1]!Data_BS[TenCongTyID],'Khanh Nga'!$B$1,[1]!Data_BS[Thang.Nam],'Khanh Nga'!AG$5)</f>
        <v>0</v>
      </c>
      <c r="AH9" s="244">
        <f>SUMIFS([1]!Data_BS[Value],[1]!Data_BS[Index BS],'Khanh Nga'!$B9,[1]!Data_BS[TenCongTyID],'Khanh Nga'!$B$1,[1]!Data_BS[Thang.Nam],'Khanh Nga'!AH$5)</f>
        <v>0</v>
      </c>
      <c r="AI9" s="244">
        <f>SUMIFS([1]!Data_BS[Value],[1]!Data_BS[Index BS],'Khanh Nga'!$B9,[1]!Data_BS[TenCongTyID],'Khanh Nga'!$B$1,[1]!Data_BS[Thang.Nam],'Khanh Nga'!AI$5)</f>
        <v>0</v>
      </c>
      <c r="AJ9" s="244">
        <f>SUMIFS([1]!Data_BS[Value],[1]!Data_BS[Index BS],'Khanh Nga'!$B9,[1]!Data_BS[TenCongTyID],'Khanh Nga'!$B$1,[1]!Data_BS[Thang.Nam],'Khanh Nga'!AJ$5)</f>
        <v>0</v>
      </c>
      <c r="AK9" s="244">
        <f>SUMIFS([1]!Data_BS[Value],[1]!Data_BS[Index BS],'Khanh Nga'!$B9,[1]!Data_BS[TenCongTyID],'Khanh Nga'!$B$1,[1]!Data_BS[Thang.Nam],'Khanh Nga'!AK$5)</f>
        <v>0</v>
      </c>
      <c r="AL9" s="244">
        <f>SUMIFS([1]!Data_BS[Value],[1]!Data_BS[Index BS],'Khanh Nga'!$B9,[1]!Data_BS[TenCongTyID],'Khanh Nga'!$B$1,[1]!Data_BS[Thang.Nam],'Khanh Nga'!AL$5)</f>
        <v>0</v>
      </c>
    </row>
    <row r="10" spans="1:38" ht="15" hidden="1" customHeight="1" outlineLevel="1">
      <c r="A10" s="59" t="s">
        <v>94</v>
      </c>
      <c r="B10" s="65">
        <v>5</v>
      </c>
      <c r="C10" s="232">
        <v>0</v>
      </c>
      <c r="D10" s="232">
        <v>0</v>
      </c>
      <c r="E10" s="232">
        <v>0</v>
      </c>
      <c r="F10" s="232">
        <v>0</v>
      </c>
      <c r="G10" s="232">
        <v>0</v>
      </c>
      <c r="H10" s="232">
        <v>0</v>
      </c>
      <c r="I10" s="232">
        <v>0</v>
      </c>
      <c r="J10" s="232">
        <v>0</v>
      </c>
      <c r="K10" s="232">
        <v>0</v>
      </c>
      <c r="L10" s="232">
        <v>0</v>
      </c>
      <c r="M10" s="232">
        <v>0</v>
      </c>
      <c r="N10" s="232"/>
      <c r="O10" s="232">
        <v>2000000000</v>
      </c>
      <c r="P10" s="232">
        <v>0</v>
      </c>
      <c r="Q10" s="232">
        <v>0</v>
      </c>
      <c r="R10" s="232">
        <v>0</v>
      </c>
      <c r="S10" s="232">
        <v>0</v>
      </c>
      <c r="T10" s="232">
        <v>0</v>
      </c>
      <c r="U10" s="232">
        <v>0</v>
      </c>
      <c r="V10" s="232">
        <v>0</v>
      </c>
      <c r="W10" s="232">
        <f>SUM(W11:W13)</f>
        <v>0</v>
      </c>
      <c r="X10" s="232">
        <v>0</v>
      </c>
      <c r="Y10" s="232">
        <v>0</v>
      </c>
      <c r="Z10" s="232">
        <v>6000000000</v>
      </c>
      <c r="AA10" s="232">
        <f>SUMIFS([1]!Data_BS[Value],[1]!Data_BS[Index BS],'Khanh Nga'!$B10,[1]!Data_BS[TenCongTyID],'Khanh Nga'!$B$1,[1]!Data_BS[Thang.Nam],'Khanh Nga'!AA$5)</f>
        <v>0</v>
      </c>
      <c r="AB10" s="232">
        <f>SUMIFS([1]!Data_BS[Value],[1]!Data_BS[Index BS],'Khanh Nga'!$B10,[1]!Data_BS[TenCongTyID],'Khanh Nga'!$B$1,[1]!Data_BS[Thang.Nam],'Khanh Nga'!AB$5)</f>
        <v>0</v>
      </c>
      <c r="AC10" s="232">
        <f>SUMIFS([1]!Data_BS[Value],[1]!Data_BS[Index BS],'Khanh Nga'!$B10,[1]!Data_BS[TenCongTyID],'Khanh Nga'!$B$1,[1]!Data_BS[Thang.Nam],'Khanh Nga'!AC$5)</f>
        <v>0</v>
      </c>
      <c r="AD10" s="232">
        <f>SUMIFS([1]!Data_BS[Value],[1]!Data_BS[Index BS],'Khanh Nga'!$B10,[1]!Data_BS[TenCongTyID],'Khanh Nga'!$B$1,[1]!Data_BS[Thang.Nam],'Khanh Nga'!AD$5)</f>
        <v>0</v>
      </c>
      <c r="AE10" s="232">
        <f>SUMIFS([1]!Data_BS[Value],[1]!Data_BS[Index BS],'Khanh Nga'!$B10,[1]!Data_BS[TenCongTyID],'Khanh Nga'!$B$1,[1]!Data_BS[Thang.Nam],'Khanh Nga'!AE$5)</f>
        <v>0</v>
      </c>
      <c r="AF10" s="232">
        <f>SUMIFS([1]!Data_BS[Value],[1]!Data_BS[Index BS],'Khanh Nga'!$B10,[1]!Data_BS[TenCongTyID],'Khanh Nga'!$B$1,[1]!Data_BS[Thang.Nam],'Khanh Nga'!AF$5)</f>
        <v>0</v>
      </c>
      <c r="AG10" s="232">
        <f>SUMIFS([1]!Data_BS[Value],[1]!Data_BS[Index BS],'Khanh Nga'!$B10,[1]!Data_BS[TenCongTyID],'Khanh Nga'!$B$1,[1]!Data_BS[Thang.Nam],'Khanh Nga'!AG$5)</f>
        <v>0</v>
      </c>
      <c r="AH10" s="232">
        <f>SUMIFS([1]!Data_BS[Value],[1]!Data_BS[Index BS],'Khanh Nga'!$B10,[1]!Data_BS[TenCongTyID],'Khanh Nga'!$B$1,[1]!Data_BS[Thang.Nam],'Khanh Nga'!AH$5)</f>
        <v>0</v>
      </c>
      <c r="AI10" s="232">
        <f>SUMIFS([1]!Data_BS[Value],[1]!Data_BS[Index BS],'Khanh Nga'!$B10,[1]!Data_BS[TenCongTyID],'Khanh Nga'!$B$1,[1]!Data_BS[Thang.Nam],'Khanh Nga'!AI$5)</f>
        <v>0</v>
      </c>
      <c r="AJ10" s="232">
        <f>SUMIFS([1]!Data_BS[Value],[1]!Data_BS[Index BS],'Khanh Nga'!$B10,[1]!Data_BS[TenCongTyID],'Khanh Nga'!$B$1,[1]!Data_BS[Thang.Nam],'Khanh Nga'!AJ$5)</f>
        <v>0</v>
      </c>
      <c r="AK10" s="232">
        <f>SUMIFS([1]!Data_BS[Value],[1]!Data_BS[Index BS],'Khanh Nga'!$B10,[1]!Data_BS[TenCongTyID],'Khanh Nga'!$B$1,[1]!Data_BS[Thang.Nam],'Khanh Nga'!AK$5)</f>
        <v>0</v>
      </c>
      <c r="AL10" s="232">
        <f>SUMIFS([1]!Data_BS[Value],[1]!Data_BS[Index BS],'Khanh Nga'!$B10,[1]!Data_BS[TenCongTyID],'Khanh Nga'!$B$1,[1]!Data_BS[Thang.Nam],'Khanh Nga'!AL$5)</f>
        <v>0</v>
      </c>
    </row>
    <row r="11" spans="1:38" ht="15" hidden="1" customHeight="1" outlineLevel="1">
      <c r="A11" s="62" t="s">
        <v>95</v>
      </c>
      <c r="B11" s="63">
        <v>6</v>
      </c>
      <c r="C11" s="229">
        <v>0</v>
      </c>
      <c r="D11" s="229">
        <v>0</v>
      </c>
      <c r="E11" s="229">
        <v>0</v>
      </c>
      <c r="F11" s="229">
        <v>0</v>
      </c>
      <c r="G11" s="229">
        <v>0</v>
      </c>
      <c r="H11" s="229">
        <v>0</v>
      </c>
      <c r="I11" s="229">
        <v>0</v>
      </c>
      <c r="J11" s="229">
        <v>0</v>
      </c>
      <c r="K11" s="229">
        <v>0</v>
      </c>
      <c r="L11" s="229">
        <v>0</v>
      </c>
      <c r="M11" s="229">
        <v>0</v>
      </c>
      <c r="N11" s="229"/>
      <c r="O11" s="229">
        <v>0</v>
      </c>
      <c r="P11" s="229">
        <v>0</v>
      </c>
      <c r="Q11" s="229">
        <v>0</v>
      </c>
      <c r="R11" s="229">
        <v>0</v>
      </c>
      <c r="S11" s="229">
        <v>0</v>
      </c>
      <c r="T11" s="229">
        <v>0</v>
      </c>
      <c r="U11" s="229">
        <v>0</v>
      </c>
      <c r="V11" s="229">
        <v>0</v>
      </c>
      <c r="W11" s="229"/>
      <c r="X11" s="229">
        <v>0</v>
      </c>
      <c r="Y11" s="229"/>
      <c r="Z11" s="229">
        <v>0</v>
      </c>
      <c r="AA11" s="229">
        <f>SUMIFS([1]!Data_BS[Value],[1]!Data_BS[Index BS],'Khanh Nga'!$B11,[1]!Data_BS[TenCongTyID],'Khanh Nga'!$B$1,[1]!Data_BS[Thang.Nam],'Khanh Nga'!AA$5)</f>
        <v>0</v>
      </c>
      <c r="AB11" s="229">
        <f>SUMIFS([1]!Data_BS[Value],[1]!Data_BS[Index BS],'Khanh Nga'!$B11,[1]!Data_BS[TenCongTyID],'Khanh Nga'!$B$1,[1]!Data_BS[Thang.Nam],'Khanh Nga'!AB$5)</f>
        <v>0</v>
      </c>
      <c r="AC11" s="229">
        <f>SUMIFS([1]!Data_BS[Value],[1]!Data_BS[Index BS],'Khanh Nga'!$B11,[1]!Data_BS[TenCongTyID],'Khanh Nga'!$B$1,[1]!Data_BS[Thang.Nam],'Khanh Nga'!AC$5)</f>
        <v>0</v>
      </c>
      <c r="AD11" s="229">
        <f>SUMIFS([1]!Data_BS[Value],[1]!Data_BS[Index BS],'Khanh Nga'!$B11,[1]!Data_BS[TenCongTyID],'Khanh Nga'!$B$1,[1]!Data_BS[Thang.Nam],'Khanh Nga'!AD$5)</f>
        <v>0</v>
      </c>
      <c r="AE11" s="229">
        <f>SUMIFS([1]!Data_BS[Value],[1]!Data_BS[Index BS],'Khanh Nga'!$B11,[1]!Data_BS[TenCongTyID],'Khanh Nga'!$B$1,[1]!Data_BS[Thang.Nam],'Khanh Nga'!AE$5)</f>
        <v>0</v>
      </c>
      <c r="AF11" s="229">
        <f>SUMIFS([1]!Data_BS[Value],[1]!Data_BS[Index BS],'Khanh Nga'!$B11,[1]!Data_BS[TenCongTyID],'Khanh Nga'!$B$1,[1]!Data_BS[Thang.Nam],'Khanh Nga'!AF$5)</f>
        <v>0</v>
      </c>
      <c r="AG11" s="229">
        <f>SUMIFS([1]!Data_BS[Value],[1]!Data_BS[Index BS],'Khanh Nga'!$B11,[1]!Data_BS[TenCongTyID],'Khanh Nga'!$B$1,[1]!Data_BS[Thang.Nam],'Khanh Nga'!AG$5)</f>
        <v>0</v>
      </c>
      <c r="AH11" s="229">
        <f>SUMIFS([1]!Data_BS[Value],[1]!Data_BS[Index BS],'Khanh Nga'!$B11,[1]!Data_BS[TenCongTyID],'Khanh Nga'!$B$1,[1]!Data_BS[Thang.Nam],'Khanh Nga'!AH$5)</f>
        <v>0</v>
      </c>
      <c r="AI11" s="229">
        <f>SUMIFS([1]!Data_BS[Value],[1]!Data_BS[Index BS],'Khanh Nga'!$B11,[1]!Data_BS[TenCongTyID],'Khanh Nga'!$B$1,[1]!Data_BS[Thang.Nam],'Khanh Nga'!AI$5)</f>
        <v>0</v>
      </c>
      <c r="AJ11" s="229">
        <f>SUMIFS([1]!Data_BS[Value],[1]!Data_BS[Index BS],'Khanh Nga'!$B11,[1]!Data_BS[TenCongTyID],'Khanh Nga'!$B$1,[1]!Data_BS[Thang.Nam],'Khanh Nga'!AJ$5)</f>
        <v>0</v>
      </c>
      <c r="AK11" s="229">
        <f>SUMIFS([1]!Data_BS[Value],[1]!Data_BS[Index BS],'Khanh Nga'!$B11,[1]!Data_BS[TenCongTyID],'Khanh Nga'!$B$1,[1]!Data_BS[Thang.Nam],'Khanh Nga'!AK$5)</f>
        <v>0</v>
      </c>
      <c r="AL11" s="229">
        <f>SUMIFS([1]!Data_BS[Value],[1]!Data_BS[Index BS],'Khanh Nga'!$B11,[1]!Data_BS[TenCongTyID],'Khanh Nga'!$B$1,[1]!Data_BS[Thang.Nam],'Khanh Nga'!AL$5)</f>
        <v>0</v>
      </c>
    </row>
    <row r="12" spans="1:38" ht="15" hidden="1" customHeight="1" outlineLevel="1">
      <c r="A12" s="62" t="s">
        <v>96</v>
      </c>
      <c r="B12" s="63">
        <v>7</v>
      </c>
      <c r="C12" s="229">
        <v>0</v>
      </c>
      <c r="D12" s="229">
        <v>0</v>
      </c>
      <c r="E12" s="229">
        <v>0</v>
      </c>
      <c r="F12" s="229">
        <v>0</v>
      </c>
      <c r="G12" s="229">
        <v>0</v>
      </c>
      <c r="H12" s="229">
        <v>0</v>
      </c>
      <c r="I12" s="229">
        <v>0</v>
      </c>
      <c r="J12" s="229">
        <v>0</v>
      </c>
      <c r="K12" s="229">
        <v>0</v>
      </c>
      <c r="L12" s="229">
        <v>0</v>
      </c>
      <c r="M12" s="229">
        <v>0</v>
      </c>
      <c r="N12" s="229"/>
      <c r="O12" s="229">
        <v>0</v>
      </c>
      <c r="P12" s="229">
        <v>0</v>
      </c>
      <c r="Q12" s="229">
        <v>0</v>
      </c>
      <c r="R12" s="229">
        <v>0</v>
      </c>
      <c r="S12" s="229">
        <v>0</v>
      </c>
      <c r="T12" s="229">
        <v>0</v>
      </c>
      <c r="U12" s="229">
        <v>0</v>
      </c>
      <c r="V12" s="229">
        <v>0</v>
      </c>
      <c r="W12" s="229"/>
      <c r="X12" s="229">
        <v>0</v>
      </c>
      <c r="Y12" s="229"/>
      <c r="Z12" s="229">
        <v>0</v>
      </c>
      <c r="AA12" s="229">
        <f>SUMIFS([1]!Data_BS[Value],[1]!Data_BS[Index BS],'Khanh Nga'!$B12,[1]!Data_BS[TenCongTyID],'Khanh Nga'!$B$1,[1]!Data_BS[Thang.Nam],'Khanh Nga'!AA$5)</f>
        <v>0</v>
      </c>
      <c r="AB12" s="229">
        <f>SUMIFS([1]!Data_BS[Value],[1]!Data_BS[Index BS],'Khanh Nga'!$B12,[1]!Data_BS[TenCongTyID],'Khanh Nga'!$B$1,[1]!Data_BS[Thang.Nam],'Khanh Nga'!AB$5)</f>
        <v>0</v>
      </c>
      <c r="AC12" s="229">
        <f>SUMIFS([1]!Data_BS[Value],[1]!Data_BS[Index BS],'Khanh Nga'!$B12,[1]!Data_BS[TenCongTyID],'Khanh Nga'!$B$1,[1]!Data_BS[Thang.Nam],'Khanh Nga'!AC$5)</f>
        <v>0</v>
      </c>
      <c r="AD12" s="229">
        <f>SUMIFS([1]!Data_BS[Value],[1]!Data_BS[Index BS],'Khanh Nga'!$B12,[1]!Data_BS[TenCongTyID],'Khanh Nga'!$B$1,[1]!Data_BS[Thang.Nam],'Khanh Nga'!AD$5)</f>
        <v>0</v>
      </c>
      <c r="AE12" s="229">
        <f>SUMIFS([1]!Data_BS[Value],[1]!Data_BS[Index BS],'Khanh Nga'!$B12,[1]!Data_BS[TenCongTyID],'Khanh Nga'!$B$1,[1]!Data_BS[Thang.Nam],'Khanh Nga'!AE$5)</f>
        <v>0</v>
      </c>
      <c r="AF12" s="229">
        <f>SUMIFS([1]!Data_BS[Value],[1]!Data_BS[Index BS],'Khanh Nga'!$B12,[1]!Data_BS[TenCongTyID],'Khanh Nga'!$B$1,[1]!Data_BS[Thang.Nam],'Khanh Nga'!AF$5)</f>
        <v>0</v>
      </c>
      <c r="AG12" s="229">
        <f>SUMIFS([1]!Data_BS[Value],[1]!Data_BS[Index BS],'Khanh Nga'!$B12,[1]!Data_BS[TenCongTyID],'Khanh Nga'!$B$1,[1]!Data_BS[Thang.Nam],'Khanh Nga'!AG$5)</f>
        <v>0</v>
      </c>
      <c r="AH12" s="229">
        <f>SUMIFS([1]!Data_BS[Value],[1]!Data_BS[Index BS],'Khanh Nga'!$B12,[1]!Data_BS[TenCongTyID],'Khanh Nga'!$B$1,[1]!Data_BS[Thang.Nam],'Khanh Nga'!AH$5)</f>
        <v>0</v>
      </c>
      <c r="AI12" s="229">
        <f>SUMIFS([1]!Data_BS[Value],[1]!Data_BS[Index BS],'Khanh Nga'!$B12,[1]!Data_BS[TenCongTyID],'Khanh Nga'!$B$1,[1]!Data_BS[Thang.Nam],'Khanh Nga'!AI$5)</f>
        <v>0</v>
      </c>
      <c r="AJ12" s="229">
        <f>SUMIFS([1]!Data_BS[Value],[1]!Data_BS[Index BS],'Khanh Nga'!$B12,[1]!Data_BS[TenCongTyID],'Khanh Nga'!$B$1,[1]!Data_BS[Thang.Nam],'Khanh Nga'!AJ$5)</f>
        <v>0</v>
      </c>
      <c r="AK12" s="229">
        <f>SUMIFS([1]!Data_BS[Value],[1]!Data_BS[Index BS],'Khanh Nga'!$B12,[1]!Data_BS[TenCongTyID],'Khanh Nga'!$B$1,[1]!Data_BS[Thang.Nam],'Khanh Nga'!AK$5)</f>
        <v>0</v>
      </c>
      <c r="AL12" s="229">
        <f>SUMIFS([1]!Data_BS[Value],[1]!Data_BS[Index BS],'Khanh Nga'!$B12,[1]!Data_BS[TenCongTyID],'Khanh Nga'!$B$1,[1]!Data_BS[Thang.Nam],'Khanh Nga'!AL$5)</f>
        <v>0</v>
      </c>
    </row>
    <row r="13" spans="1:38" ht="15" hidden="1" customHeight="1" outlineLevel="1">
      <c r="A13" s="66" t="s">
        <v>97</v>
      </c>
      <c r="B13" s="63">
        <v>8</v>
      </c>
      <c r="C13" s="229">
        <v>0</v>
      </c>
      <c r="D13" s="229">
        <v>0</v>
      </c>
      <c r="E13" s="229">
        <v>0</v>
      </c>
      <c r="F13" s="229">
        <v>0</v>
      </c>
      <c r="G13" s="229">
        <v>0</v>
      </c>
      <c r="H13" s="229">
        <v>0</v>
      </c>
      <c r="I13" s="229">
        <v>0</v>
      </c>
      <c r="J13" s="229">
        <v>0</v>
      </c>
      <c r="K13" s="229">
        <v>0</v>
      </c>
      <c r="L13" s="229">
        <v>0</v>
      </c>
      <c r="M13" s="229">
        <v>0</v>
      </c>
      <c r="N13" s="229"/>
      <c r="O13" s="229">
        <v>2000000000</v>
      </c>
      <c r="P13" s="229">
        <v>0</v>
      </c>
      <c r="Q13" s="229">
        <v>0</v>
      </c>
      <c r="R13" s="229">
        <v>0</v>
      </c>
      <c r="S13" s="229">
        <v>0</v>
      </c>
      <c r="T13" s="229">
        <v>0</v>
      </c>
      <c r="U13" s="229">
        <v>0</v>
      </c>
      <c r="V13" s="229">
        <v>0</v>
      </c>
      <c r="W13" s="229"/>
      <c r="X13" s="229">
        <v>0</v>
      </c>
      <c r="Y13" s="229"/>
      <c r="Z13" s="229">
        <v>6000000000</v>
      </c>
      <c r="AA13" s="229">
        <f>SUMIFS([1]!Data_BS[Value],[1]!Data_BS[Index BS],'Khanh Nga'!$B13,[1]!Data_BS[TenCongTyID],'Khanh Nga'!$B$1,[1]!Data_BS[Thang.Nam],'Khanh Nga'!AA$5)</f>
        <v>0</v>
      </c>
      <c r="AB13" s="229">
        <f>SUMIFS([1]!Data_BS[Value],[1]!Data_BS[Index BS],'Khanh Nga'!$B13,[1]!Data_BS[TenCongTyID],'Khanh Nga'!$B$1,[1]!Data_BS[Thang.Nam],'Khanh Nga'!AB$5)</f>
        <v>0</v>
      </c>
      <c r="AC13" s="229">
        <f>SUMIFS([1]!Data_BS[Value],[1]!Data_BS[Index BS],'Khanh Nga'!$B13,[1]!Data_BS[TenCongTyID],'Khanh Nga'!$B$1,[1]!Data_BS[Thang.Nam],'Khanh Nga'!AC$5)</f>
        <v>0</v>
      </c>
      <c r="AD13" s="229">
        <f>SUMIFS([1]!Data_BS[Value],[1]!Data_BS[Index BS],'Khanh Nga'!$B13,[1]!Data_BS[TenCongTyID],'Khanh Nga'!$B$1,[1]!Data_BS[Thang.Nam],'Khanh Nga'!AD$5)</f>
        <v>0</v>
      </c>
      <c r="AE13" s="229">
        <f>SUMIFS([1]!Data_BS[Value],[1]!Data_BS[Index BS],'Khanh Nga'!$B13,[1]!Data_BS[TenCongTyID],'Khanh Nga'!$B$1,[1]!Data_BS[Thang.Nam],'Khanh Nga'!AE$5)</f>
        <v>0</v>
      </c>
      <c r="AF13" s="229">
        <f>SUMIFS([1]!Data_BS[Value],[1]!Data_BS[Index BS],'Khanh Nga'!$B13,[1]!Data_BS[TenCongTyID],'Khanh Nga'!$B$1,[1]!Data_BS[Thang.Nam],'Khanh Nga'!AF$5)</f>
        <v>0</v>
      </c>
      <c r="AG13" s="229">
        <f>SUMIFS([1]!Data_BS[Value],[1]!Data_BS[Index BS],'Khanh Nga'!$B13,[1]!Data_BS[TenCongTyID],'Khanh Nga'!$B$1,[1]!Data_BS[Thang.Nam],'Khanh Nga'!AG$5)</f>
        <v>0</v>
      </c>
      <c r="AH13" s="229">
        <f>SUMIFS([1]!Data_BS[Value],[1]!Data_BS[Index BS],'Khanh Nga'!$B13,[1]!Data_BS[TenCongTyID],'Khanh Nga'!$B$1,[1]!Data_BS[Thang.Nam],'Khanh Nga'!AH$5)</f>
        <v>0</v>
      </c>
      <c r="AI13" s="229">
        <f>SUMIFS([1]!Data_BS[Value],[1]!Data_BS[Index BS],'Khanh Nga'!$B13,[1]!Data_BS[TenCongTyID],'Khanh Nga'!$B$1,[1]!Data_BS[Thang.Nam],'Khanh Nga'!AI$5)</f>
        <v>0</v>
      </c>
      <c r="AJ13" s="229">
        <f>SUMIFS([1]!Data_BS[Value],[1]!Data_BS[Index BS],'Khanh Nga'!$B13,[1]!Data_BS[TenCongTyID],'Khanh Nga'!$B$1,[1]!Data_BS[Thang.Nam],'Khanh Nga'!AJ$5)</f>
        <v>0</v>
      </c>
      <c r="AK13" s="229">
        <f>SUMIFS([1]!Data_BS[Value],[1]!Data_BS[Index BS],'Khanh Nga'!$B13,[1]!Data_BS[TenCongTyID],'Khanh Nga'!$B$1,[1]!Data_BS[Thang.Nam],'Khanh Nga'!AK$5)</f>
        <v>0</v>
      </c>
      <c r="AL13" s="229">
        <f>SUMIFS([1]!Data_BS[Value],[1]!Data_BS[Index BS],'Khanh Nga'!$B13,[1]!Data_BS[TenCongTyID],'Khanh Nga'!$B$1,[1]!Data_BS[Thang.Nam],'Khanh Nga'!AL$5)</f>
        <v>0</v>
      </c>
    </row>
    <row r="14" spans="1:38" ht="15" hidden="1" customHeight="1" outlineLevel="1">
      <c r="A14" s="66" t="s">
        <v>98</v>
      </c>
      <c r="B14" s="63">
        <v>9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>
        <v>0</v>
      </c>
      <c r="AA14" s="229">
        <f>SUMIFS([1]!Data_BS[Value],[1]!Data_BS[Index BS],'Khanh Nga'!$B14,[1]!Data_BS[TenCongTyID],'Khanh Nga'!$B$1,[1]!Data_BS[Thang.Nam],'Khanh Nga'!AA$5)</f>
        <v>0</v>
      </c>
      <c r="AB14" s="229">
        <f>SUMIFS([1]!Data_BS[Value],[1]!Data_BS[Index BS],'Khanh Nga'!$B14,[1]!Data_BS[TenCongTyID],'Khanh Nga'!$B$1,[1]!Data_BS[Thang.Nam],'Khanh Nga'!AB$5)</f>
        <v>0</v>
      </c>
      <c r="AC14" s="229">
        <f>SUMIFS([1]!Data_BS[Value],[1]!Data_BS[Index BS],'Khanh Nga'!$B14,[1]!Data_BS[TenCongTyID],'Khanh Nga'!$B$1,[1]!Data_BS[Thang.Nam],'Khanh Nga'!AC$5)</f>
        <v>0</v>
      </c>
      <c r="AD14" s="229">
        <f>SUMIFS([1]!Data_BS[Value],[1]!Data_BS[Index BS],'Khanh Nga'!$B14,[1]!Data_BS[TenCongTyID],'Khanh Nga'!$B$1,[1]!Data_BS[Thang.Nam],'Khanh Nga'!AD$5)</f>
        <v>0</v>
      </c>
      <c r="AE14" s="229">
        <f>SUMIFS([1]!Data_BS[Value],[1]!Data_BS[Index BS],'Khanh Nga'!$B14,[1]!Data_BS[TenCongTyID],'Khanh Nga'!$B$1,[1]!Data_BS[Thang.Nam],'Khanh Nga'!AE$5)</f>
        <v>0</v>
      </c>
      <c r="AF14" s="229">
        <f>SUMIFS([1]!Data_BS[Value],[1]!Data_BS[Index BS],'Khanh Nga'!$B14,[1]!Data_BS[TenCongTyID],'Khanh Nga'!$B$1,[1]!Data_BS[Thang.Nam],'Khanh Nga'!AF$5)</f>
        <v>0</v>
      </c>
      <c r="AG14" s="229">
        <f>SUMIFS([1]!Data_BS[Value],[1]!Data_BS[Index BS],'Khanh Nga'!$B14,[1]!Data_BS[TenCongTyID],'Khanh Nga'!$B$1,[1]!Data_BS[Thang.Nam],'Khanh Nga'!AG$5)</f>
        <v>0</v>
      </c>
      <c r="AH14" s="229">
        <f>SUMIFS([1]!Data_BS[Value],[1]!Data_BS[Index BS],'Khanh Nga'!$B14,[1]!Data_BS[TenCongTyID],'Khanh Nga'!$B$1,[1]!Data_BS[Thang.Nam],'Khanh Nga'!AH$5)</f>
        <v>0</v>
      </c>
      <c r="AI14" s="229">
        <f>SUMIFS([1]!Data_BS[Value],[1]!Data_BS[Index BS],'Khanh Nga'!$B14,[1]!Data_BS[TenCongTyID],'Khanh Nga'!$B$1,[1]!Data_BS[Thang.Nam],'Khanh Nga'!AI$5)</f>
        <v>0</v>
      </c>
      <c r="AJ14" s="229">
        <f>SUMIFS([1]!Data_BS[Value],[1]!Data_BS[Index BS],'Khanh Nga'!$B14,[1]!Data_BS[TenCongTyID],'Khanh Nga'!$B$1,[1]!Data_BS[Thang.Nam],'Khanh Nga'!AJ$5)</f>
        <v>0</v>
      </c>
      <c r="AK14" s="229">
        <f>SUMIFS([1]!Data_BS[Value],[1]!Data_BS[Index BS],'Khanh Nga'!$B14,[1]!Data_BS[TenCongTyID],'Khanh Nga'!$B$1,[1]!Data_BS[Thang.Nam],'Khanh Nga'!AK$5)</f>
        <v>0</v>
      </c>
      <c r="AL14" s="229">
        <f>SUMIFS([1]!Data_BS[Value],[1]!Data_BS[Index BS],'Khanh Nga'!$B14,[1]!Data_BS[TenCongTyID],'Khanh Nga'!$B$1,[1]!Data_BS[Thang.Nam],'Khanh Nga'!AL$5)</f>
        <v>0</v>
      </c>
    </row>
    <row r="15" spans="1:38" ht="15" hidden="1" customHeight="1" outlineLevel="1">
      <c r="A15" s="66" t="s">
        <v>99</v>
      </c>
      <c r="B15" s="63">
        <v>10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>
        <v>0</v>
      </c>
      <c r="AA15" s="229">
        <f>SUMIFS([1]!Data_BS[Value],[1]!Data_BS[Index BS],'Khanh Nga'!$B15,[1]!Data_BS[TenCongTyID],'Khanh Nga'!$B$1,[1]!Data_BS[Thang.Nam],'Khanh Nga'!AA$5)</f>
        <v>0</v>
      </c>
      <c r="AB15" s="229">
        <f>SUMIFS([1]!Data_BS[Value],[1]!Data_BS[Index BS],'Khanh Nga'!$B15,[1]!Data_BS[TenCongTyID],'Khanh Nga'!$B$1,[1]!Data_BS[Thang.Nam],'Khanh Nga'!AB$5)</f>
        <v>0</v>
      </c>
      <c r="AC15" s="229">
        <f>SUMIFS([1]!Data_BS[Value],[1]!Data_BS[Index BS],'Khanh Nga'!$B15,[1]!Data_BS[TenCongTyID],'Khanh Nga'!$B$1,[1]!Data_BS[Thang.Nam],'Khanh Nga'!AC$5)</f>
        <v>0</v>
      </c>
      <c r="AD15" s="229">
        <f>SUMIFS([1]!Data_BS[Value],[1]!Data_BS[Index BS],'Khanh Nga'!$B15,[1]!Data_BS[TenCongTyID],'Khanh Nga'!$B$1,[1]!Data_BS[Thang.Nam],'Khanh Nga'!AD$5)</f>
        <v>0</v>
      </c>
      <c r="AE15" s="229">
        <f>SUMIFS([1]!Data_BS[Value],[1]!Data_BS[Index BS],'Khanh Nga'!$B15,[1]!Data_BS[TenCongTyID],'Khanh Nga'!$B$1,[1]!Data_BS[Thang.Nam],'Khanh Nga'!AE$5)</f>
        <v>0</v>
      </c>
      <c r="AF15" s="229">
        <f>SUMIFS([1]!Data_BS[Value],[1]!Data_BS[Index BS],'Khanh Nga'!$B15,[1]!Data_BS[TenCongTyID],'Khanh Nga'!$B$1,[1]!Data_BS[Thang.Nam],'Khanh Nga'!AF$5)</f>
        <v>0</v>
      </c>
      <c r="AG15" s="229">
        <f>SUMIFS([1]!Data_BS[Value],[1]!Data_BS[Index BS],'Khanh Nga'!$B15,[1]!Data_BS[TenCongTyID],'Khanh Nga'!$B$1,[1]!Data_BS[Thang.Nam],'Khanh Nga'!AG$5)</f>
        <v>0</v>
      </c>
      <c r="AH15" s="229">
        <f>SUMIFS([1]!Data_BS[Value],[1]!Data_BS[Index BS],'Khanh Nga'!$B15,[1]!Data_BS[TenCongTyID],'Khanh Nga'!$B$1,[1]!Data_BS[Thang.Nam],'Khanh Nga'!AH$5)</f>
        <v>0</v>
      </c>
      <c r="AI15" s="229">
        <f>SUMIFS([1]!Data_BS[Value],[1]!Data_BS[Index BS],'Khanh Nga'!$B15,[1]!Data_BS[TenCongTyID],'Khanh Nga'!$B$1,[1]!Data_BS[Thang.Nam],'Khanh Nga'!AI$5)</f>
        <v>0</v>
      </c>
      <c r="AJ15" s="229">
        <f>SUMIFS([1]!Data_BS[Value],[1]!Data_BS[Index BS],'Khanh Nga'!$B15,[1]!Data_BS[TenCongTyID],'Khanh Nga'!$B$1,[1]!Data_BS[Thang.Nam],'Khanh Nga'!AJ$5)</f>
        <v>0</v>
      </c>
      <c r="AK15" s="229">
        <f>SUMIFS([1]!Data_BS[Value],[1]!Data_BS[Index BS],'Khanh Nga'!$B15,[1]!Data_BS[TenCongTyID],'Khanh Nga'!$B$1,[1]!Data_BS[Thang.Nam],'Khanh Nga'!AK$5)</f>
        <v>0</v>
      </c>
      <c r="AL15" s="229">
        <f>SUMIFS([1]!Data_BS[Value],[1]!Data_BS[Index BS],'Khanh Nga'!$B15,[1]!Data_BS[TenCongTyID],'Khanh Nga'!$B$1,[1]!Data_BS[Thang.Nam],'Khanh Nga'!AL$5)</f>
        <v>0</v>
      </c>
    </row>
    <row r="16" spans="1:38" ht="15" hidden="1" customHeight="1" outlineLevel="1">
      <c r="A16" s="66" t="s">
        <v>100</v>
      </c>
      <c r="B16" s="63">
        <v>11</v>
      </c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>
        <v>0</v>
      </c>
      <c r="AA16" s="229">
        <f>SUMIFS([1]!Data_BS[Value],[1]!Data_BS[Index BS],'Khanh Nga'!$B16,[1]!Data_BS[TenCongTyID],'Khanh Nga'!$B$1,[1]!Data_BS[Thang.Nam],'Khanh Nga'!AA$5)</f>
        <v>0</v>
      </c>
      <c r="AB16" s="229">
        <f>SUMIFS([1]!Data_BS[Value],[1]!Data_BS[Index BS],'Khanh Nga'!$B16,[1]!Data_BS[TenCongTyID],'Khanh Nga'!$B$1,[1]!Data_BS[Thang.Nam],'Khanh Nga'!AB$5)</f>
        <v>0</v>
      </c>
      <c r="AC16" s="229">
        <f>SUMIFS([1]!Data_BS[Value],[1]!Data_BS[Index BS],'Khanh Nga'!$B16,[1]!Data_BS[TenCongTyID],'Khanh Nga'!$B$1,[1]!Data_BS[Thang.Nam],'Khanh Nga'!AC$5)</f>
        <v>0</v>
      </c>
      <c r="AD16" s="229">
        <f>SUMIFS([1]!Data_BS[Value],[1]!Data_BS[Index BS],'Khanh Nga'!$B16,[1]!Data_BS[TenCongTyID],'Khanh Nga'!$B$1,[1]!Data_BS[Thang.Nam],'Khanh Nga'!AD$5)</f>
        <v>0</v>
      </c>
      <c r="AE16" s="229">
        <f>SUMIFS([1]!Data_BS[Value],[1]!Data_BS[Index BS],'Khanh Nga'!$B16,[1]!Data_BS[TenCongTyID],'Khanh Nga'!$B$1,[1]!Data_BS[Thang.Nam],'Khanh Nga'!AE$5)</f>
        <v>0</v>
      </c>
      <c r="AF16" s="229">
        <f>SUMIFS([1]!Data_BS[Value],[1]!Data_BS[Index BS],'Khanh Nga'!$B16,[1]!Data_BS[TenCongTyID],'Khanh Nga'!$B$1,[1]!Data_BS[Thang.Nam],'Khanh Nga'!AF$5)</f>
        <v>0</v>
      </c>
      <c r="AG16" s="229">
        <f>SUMIFS([1]!Data_BS[Value],[1]!Data_BS[Index BS],'Khanh Nga'!$B16,[1]!Data_BS[TenCongTyID],'Khanh Nga'!$B$1,[1]!Data_BS[Thang.Nam],'Khanh Nga'!AG$5)</f>
        <v>0</v>
      </c>
      <c r="AH16" s="229">
        <f>SUMIFS([1]!Data_BS[Value],[1]!Data_BS[Index BS],'Khanh Nga'!$B16,[1]!Data_BS[TenCongTyID],'Khanh Nga'!$B$1,[1]!Data_BS[Thang.Nam],'Khanh Nga'!AH$5)</f>
        <v>0</v>
      </c>
      <c r="AI16" s="229">
        <f>SUMIFS([1]!Data_BS[Value],[1]!Data_BS[Index BS],'Khanh Nga'!$B16,[1]!Data_BS[TenCongTyID],'Khanh Nga'!$B$1,[1]!Data_BS[Thang.Nam],'Khanh Nga'!AI$5)</f>
        <v>0</v>
      </c>
      <c r="AJ16" s="229">
        <f>SUMIFS([1]!Data_BS[Value],[1]!Data_BS[Index BS],'Khanh Nga'!$B16,[1]!Data_BS[TenCongTyID],'Khanh Nga'!$B$1,[1]!Data_BS[Thang.Nam],'Khanh Nga'!AJ$5)</f>
        <v>0</v>
      </c>
      <c r="AK16" s="229">
        <f>SUMIFS([1]!Data_BS[Value],[1]!Data_BS[Index BS],'Khanh Nga'!$B16,[1]!Data_BS[TenCongTyID],'Khanh Nga'!$B$1,[1]!Data_BS[Thang.Nam],'Khanh Nga'!AK$5)</f>
        <v>0</v>
      </c>
      <c r="AL16" s="229">
        <f>SUMIFS([1]!Data_BS[Value],[1]!Data_BS[Index BS],'Khanh Nga'!$B16,[1]!Data_BS[TenCongTyID],'Khanh Nga'!$B$1,[1]!Data_BS[Thang.Nam],'Khanh Nga'!AL$5)</f>
        <v>0</v>
      </c>
    </row>
    <row r="17" spans="1:38" ht="15" hidden="1" customHeight="1" outlineLevel="1">
      <c r="A17" s="59" t="s">
        <v>101</v>
      </c>
      <c r="B17" s="65">
        <v>12</v>
      </c>
      <c r="C17" s="233">
        <v>2275247566.1399999</v>
      </c>
      <c r="D17" s="233">
        <v>4066918298.1399999</v>
      </c>
      <c r="E17" s="233">
        <v>2253017086</v>
      </c>
      <c r="F17" s="233">
        <v>1844506187</v>
      </c>
      <c r="G17" s="233">
        <v>4226313594.7480001</v>
      </c>
      <c r="H17" s="233">
        <v>3115881874.7480001</v>
      </c>
      <c r="I17" s="233">
        <v>1649763475.5179999</v>
      </c>
      <c r="J17" s="233">
        <v>2331678873.5180001</v>
      </c>
      <c r="K17" s="233">
        <v>3687830193.5180001</v>
      </c>
      <c r="L17" s="233">
        <v>2589220427.5180001</v>
      </c>
      <c r="M17" s="233">
        <v>3060947819.5180001</v>
      </c>
      <c r="N17" s="234">
        <v>1609307950</v>
      </c>
      <c r="O17" s="234">
        <v>1515600838.5179</v>
      </c>
      <c r="P17" s="234">
        <v>1512818951.5179999</v>
      </c>
      <c r="Q17" s="234">
        <v>317284604</v>
      </c>
      <c r="R17" s="234">
        <v>437681304.51800001</v>
      </c>
      <c r="S17" s="234">
        <v>1802013642.5179999</v>
      </c>
      <c r="T17" s="234">
        <v>382567548</v>
      </c>
      <c r="U17" s="234">
        <v>446674724</v>
      </c>
      <c r="V17" s="234">
        <v>290037774</v>
      </c>
      <c r="W17" s="234">
        <f>+SUM(W18:W24)</f>
        <v>804314929</v>
      </c>
      <c r="X17" s="234">
        <v>1748706129</v>
      </c>
      <c r="Y17" s="234">
        <v>1996141214</v>
      </c>
      <c r="Z17" s="234">
        <v>2273620186</v>
      </c>
      <c r="AA17" s="234">
        <f>SUMIFS([1]!Data_BS[Value],[1]!Data_BS[Index BS],'Khanh Nga'!$B17,[1]!Data_BS[TenCongTyID],'Khanh Nga'!$B$1,[1]!Data_BS[Thang.Nam],'Khanh Nga'!AA$5)</f>
        <v>0</v>
      </c>
      <c r="AB17" s="234">
        <f>SUMIFS([1]!Data_BS[Value],[1]!Data_BS[Index BS],'Khanh Nga'!$B17,[1]!Data_BS[TenCongTyID],'Khanh Nga'!$B$1,[1]!Data_BS[Thang.Nam],'Khanh Nga'!AB$5)</f>
        <v>0</v>
      </c>
      <c r="AC17" s="234">
        <f>SUMIFS([1]!Data_BS[Value],[1]!Data_BS[Index BS],'Khanh Nga'!$B17,[1]!Data_BS[TenCongTyID],'Khanh Nga'!$B$1,[1]!Data_BS[Thang.Nam],'Khanh Nga'!AC$5)</f>
        <v>0</v>
      </c>
      <c r="AD17" s="234">
        <f>SUMIFS([1]!Data_BS[Value],[1]!Data_BS[Index BS],'Khanh Nga'!$B17,[1]!Data_BS[TenCongTyID],'Khanh Nga'!$B$1,[1]!Data_BS[Thang.Nam],'Khanh Nga'!AD$5)</f>
        <v>0</v>
      </c>
      <c r="AE17" s="234">
        <f>SUMIFS([1]!Data_BS[Value],[1]!Data_BS[Index BS],'Khanh Nga'!$B17,[1]!Data_BS[TenCongTyID],'Khanh Nga'!$B$1,[1]!Data_BS[Thang.Nam],'Khanh Nga'!AE$5)</f>
        <v>0</v>
      </c>
      <c r="AF17" s="234">
        <f>SUMIFS([1]!Data_BS[Value],[1]!Data_BS[Index BS],'Khanh Nga'!$B17,[1]!Data_BS[TenCongTyID],'Khanh Nga'!$B$1,[1]!Data_BS[Thang.Nam],'Khanh Nga'!AF$5)</f>
        <v>0</v>
      </c>
      <c r="AG17" s="234">
        <f>SUMIFS([1]!Data_BS[Value],[1]!Data_BS[Index BS],'Khanh Nga'!$B17,[1]!Data_BS[TenCongTyID],'Khanh Nga'!$B$1,[1]!Data_BS[Thang.Nam],'Khanh Nga'!AG$5)</f>
        <v>0</v>
      </c>
      <c r="AH17" s="234">
        <f>SUMIFS([1]!Data_BS[Value],[1]!Data_BS[Index BS],'Khanh Nga'!$B17,[1]!Data_BS[TenCongTyID],'Khanh Nga'!$B$1,[1]!Data_BS[Thang.Nam],'Khanh Nga'!AH$5)</f>
        <v>0</v>
      </c>
      <c r="AI17" s="234">
        <f>SUMIFS([1]!Data_BS[Value],[1]!Data_BS[Index BS],'Khanh Nga'!$B17,[1]!Data_BS[TenCongTyID],'Khanh Nga'!$B$1,[1]!Data_BS[Thang.Nam],'Khanh Nga'!AI$5)</f>
        <v>0</v>
      </c>
      <c r="AJ17" s="234">
        <f>SUMIFS([1]!Data_BS[Value],[1]!Data_BS[Index BS],'Khanh Nga'!$B17,[1]!Data_BS[TenCongTyID],'Khanh Nga'!$B$1,[1]!Data_BS[Thang.Nam],'Khanh Nga'!AJ$5)</f>
        <v>0</v>
      </c>
      <c r="AK17" s="234">
        <f>SUMIFS([1]!Data_BS[Value],[1]!Data_BS[Index BS],'Khanh Nga'!$B17,[1]!Data_BS[TenCongTyID],'Khanh Nga'!$B$1,[1]!Data_BS[Thang.Nam],'Khanh Nga'!AK$5)</f>
        <v>0</v>
      </c>
      <c r="AL17" s="234">
        <f>SUMIFS([1]!Data_BS[Value],[1]!Data_BS[Index BS],'Khanh Nga'!$B17,[1]!Data_BS[TenCongTyID],'Khanh Nga'!$B$1,[1]!Data_BS[Thang.Nam],'Khanh Nga'!AL$5)</f>
        <v>0</v>
      </c>
    </row>
    <row r="18" spans="1:38" ht="15" hidden="1" customHeight="1" outlineLevel="1">
      <c r="A18" s="67" t="s">
        <v>102</v>
      </c>
      <c r="B18" s="63">
        <v>13</v>
      </c>
      <c r="C18" s="229">
        <v>1972488980</v>
      </c>
      <c r="D18" s="229">
        <v>3763782920</v>
      </c>
      <c r="E18" s="229">
        <v>1950558500</v>
      </c>
      <c r="F18" s="229">
        <v>1840484700</v>
      </c>
      <c r="G18" s="229">
        <v>3956416380</v>
      </c>
      <c r="H18" s="229">
        <v>2885016420</v>
      </c>
      <c r="I18" s="229">
        <v>1190366820</v>
      </c>
      <c r="J18" s="229">
        <v>1386246420</v>
      </c>
      <c r="K18" s="229">
        <v>2371792180</v>
      </c>
      <c r="L18" s="229">
        <v>1875305520</v>
      </c>
      <c r="M18" s="229">
        <v>2497110264</v>
      </c>
      <c r="N18" s="229">
        <v>1498339440</v>
      </c>
      <c r="O18" s="229">
        <v>1367557572</v>
      </c>
      <c r="P18" s="229">
        <v>1270506828</v>
      </c>
      <c r="Q18" s="229">
        <v>147204</v>
      </c>
      <c r="R18" s="229">
        <v>147204</v>
      </c>
      <c r="S18" s="229">
        <v>874243583</v>
      </c>
      <c r="T18" s="229"/>
      <c r="U18" s="229">
        <v>0</v>
      </c>
      <c r="V18" s="229">
        <v>0</v>
      </c>
      <c r="W18" s="229">
        <v>502553255</v>
      </c>
      <c r="X18" s="229">
        <v>1440037055</v>
      </c>
      <c r="Y18" s="229">
        <v>1712124540</v>
      </c>
      <c r="Z18" s="229">
        <v>1967294520</v>
      </c>
      <c r="AA18" s="229">
        <f>SUMIFS([1]!Data_BS[Value],[1]!Data_BS[Index BS],'Khanh Nga'!$B18,[1]!Data_BS[TenCongTyID],'Khanh Nga'!$B$1,[1]!Data_BS[Thang.Nam],'Khanh Nga'!AA$5)</f>
        <v>0</v>
      </c>
      <c r="AB18" s="229">
        <f>SUMIFS([1]!Data_BS[Value],[1]!Data_BS[Index BS],'Khanh Nga'!$B18,[1]!Data_BS[TenCongTyID],'Khanh Nga'!$B$1,[1]!Data_BS[Thang.Nam],'Khanh Nga'!AB$5)</f>
        <v>0</v>
      </c>
      <c r="AC18" s="229">
        <f>SUMIFS([1]!Data_BS[Value],[1]!Data_BS[Index BS],'Khanh Nga'!$B18,[1]!Data_BS[TenCongTyID],'Khanh Nga'!$B$1,[1]!Data_BS[Thang.Nam],'Khanh Nga'!AC$5)</f>
        <v>0</v>
      </c>
      <c r="AD18" s="229">
        <f>SUMIFS([1]!Data_BS[Value],[1]!Data_BS[Index BS],'Khanh Nga'!$B18,[1]!Data_BS[TenCongTyID],'Khanh Nga'!$B$1,[1]!Data_BS[Thang.Nam],'Khanh Nga'!AD$5)</f>
        <v>0</v>
      </c>
      <c r="AE18" s="229">
        <f>SUMIFS([1]!Data_BS[Value],[1]!Data_BS[Index BS],'Khanh Nga'!$B18,[1]!Data_BS[TenCongTyID],'Khanh Nga'!$B$1,[1]!Data_BS[Thang.Nam],'Khanh Nga'!AE$5)</f>
        <v>0</v>
      </c>
      <c r="AF18" s="229">
        <f>SUMIFS([1]!Data_BS[Value],[1]!Data_BS[Index BS],'Khanh Nga'!$B18,[1]!Data_BS[TenCongTyID],'Khanh Nga'!$B$1,[1]!Data_BS[Thang.Nam],'Khanh Nga'!AF$5)</f>
        <v>0</v>
      </c>
      <c r="AG18" s="229">
        <f>SUMIFS([1]!Data_BS[Value],[1]!Data_BS[Index BS],'Khanh Nga'!$B18,[1]!Data_BS[TenCongTyID],'Khanh Nga'!$B$1,[1]!Data_BS[Thang.Nam],'Khanh Nga'!AG$5)</f>
        <v>0</v>
      </c>
      <c r="AH18" s="229">
        <f>SUMIFS([1]!Data_BS[Value],[1]!Data_BS[Index BS],'Khanh Nga'!$B18,[1]!Data_BS[TenCongTyID],'Khanh Nga'!$B$1,[1]!Data_BS[Thang.Nam],'Khanh Nga'!AH$5)</f>
        <v>0</v>
      </c>
      <c r="AI18" s="229">
        <f>SUMIFS([1]!Data_BS[Value],[1]!Data_BS[Index BS],'Khanh Nga'!$B18,[1]!Data_BS[TenCongTyID],'Khanh Nga'!$B$1,[1]!Data_BS[Thang.Nam],'Khanh Nga'!AI$5)</f>
        <v>0</v>
      </c>
      <c r="AJ18" s="229">
        <f>SUMIFS([1]!Data_BS[Value],[1]!Data_BS[Index BS],'Khanh Nga'!$B18,[1]!Data_BS[TenCongTyID],'Khanh Nga'!$B$1,[1]!Data_BS[Thang.Nam],'Khanh Nga'!AJ$5)</f>
        <v>0</v>
      </c>
      <c r="AK18" s="229">
        <f>SUMIFS([1]!Data_BS[Value],[1]!Data_BS[Index BS],'Khanh Nga'!$B18,[1]!Data_BS[TenCongTyID],'Khanh Nga'!$B$1,[1]!Data_BS[Thang.Nam],'Khanh Nga'!AK$5)</f>
        <v>0</v>
      </c>
      <c r="AL18" s="229">
        <f>SUMIFS([1]!Data_BS[Value],[1]!Data_BS[Index BS],'Khanh Nga'!$B18,[1]!Data_BS[TenCongTyID],'Khanh Nga'!$B$1,[1]!Data_BS[Thang.Nam],'Khanh Nga'!AL$5)</f>
        <v>0</v>
      </c>
    </row>
    <row r="19" spans="1:38" ht="15" hidden="1" customHeight="1" outlineLevel="1">
      <c r="A19" s="67" t="s">
        <v>103</v>
      </c>
      <c r="B19" s="63">
        <v>14</v>
      </c>
      <c r="C19" s="229">
        <v>302758586</v>
      </c>
      <c r="D19" s="229">
        <v>303135378</v>
      </c>
      <c r="E19" s="229">
        <v>302458586</v>
      </c>
      <c r="F19" s="229">
        <v>4021487</v>
      </c>
      <c r="G19" s="229">
        <v>4429387</v>
      </c>
      <c r="H19" s="229">
        <v>3351603</v>
      </c>
      <c r="I19" s="229">
        <v>141882804</v>
      </c>
      <c r="J19" s="229">
        <v>726490043</v>
      </c>
      <c r="K19" s="229">
        <v>1187095603</v>
      </c>
      <c r="L19" s="229">
        <v>713914907</v>
      </c>
      <c r="M19" s="229">
        <v>485203444</v>
      </c>
      <c r="N19" s="229">
        <v>25968510</v>
      </c>
      <c r="O19" s="229">
        <v>63043266</v>
      </c>
      <c r="P19" s="229">
        <v>151512123</v>
      </c>
      <c r="Q19" s="229">
        <v>226337400</v>
      </c>
      <c r="R19" s="229">
        <v>150994100</v>
      </c>
      <c r="S19" s="229">
        <v>631128494</v>
      </c>
      <c r="T19" s="229">
        <v>94918290</v>
      </c>
      <c r="U19" s="229">
        <v>159925466</v>
      </c>
      <c r="V19" s="229">
        <v>2388516</v>
      </c>
      <c r="W19" s="229">
        <v>18112416</v>
      </c>
      <c r="X19" s="229">
        <v>25019816</v>
      </c>
      <c r="Y19" s="229">
        <v>367416</v>
      </c>
      <c r="Z19" s="229">
        <v>2926408</v>
      </c>
      <c r="AA19" s="229">
        <f>SUMIFS([1]!Data_BS[Value],[1]!Data_BS[Index BS],'Khanh Nga'!$B19,[1]!Data_BS[TenCongTyID],'Khanh Nga'!$B$1,[1]!Data_BS[Thang.Nam],'Khanh Nga'!AA$5)</f>
        <v>0</v>
      </c>
      <c r="AB19" s="229">
        <f>SUMIFS([1]!Data_BS[Value],[1]!Data_BS[Index BS],'Khanh Nga'!$B19,[1]!Data_BS[TenCongTyID],'Khanh Nga'!$B$1,[1]!Data_BS[Thang.Nam],'Khanh Nga'!AB$5)</f>
        <v>0</v>
      </c>
      <c r="AC19" s="229">
        <f>SUMIFS([1]!Data_BS[Value],[1]!Data_BS[Index BS],'Khanh Nga'!$B19,[1]!Data_BS[TenCongTyID],'Khanh Nga'!$B$1,[1]!Data_BS[Thang.Nam],'Khanh Nga'!AC$5)</f>
        <v>0</v>
      </c>
      <c r="AD19" s="229">
        <f>SUMIFS([1]!Data_BS[Value],[1]!Data_BS[Index BS],'Khanh Nga'!$B19,[1]!Data_BS[TenCongTyID],'Khanh Nga'!$B$1,[1]!Data_BS[Thang.Nam],'Khanh Nga'!AD$5)</f>
        <v>0</v>
      </c>
      <c r="AE19" s="229">
        <f>SUMIFS([1]!Data_BS[Value],[1]!Data_BS[Index BS],'Khanh Nga'!$B19,[1]!Data_BS[TenCongTyID],'Khanh Nga'!$B$1,[1]!Data_BS[Thang.Nam],'Khanh Nga'!AE$5)</f>
        <v>0</v>
      </c>
      <c r="AF19" s="229">
        <f>SUMIFS([1]!Data_BS[Value],[1]!Data_BS[Index BS],'Khanh Nga'!$B19,[1]!Data_BS[TenCongTyID],'Khanh Nga'!$B$1,[1]!Data_BS[Thang.Nam],'Khanh Nga'!AF$5)</f>
        <v>0</v>
      </c>
      <c r="AG19" s="229">
        <f>SUMIFS([1]!Data_BS[Value],[1]!Data_BS[Index BS],'Khanh Nga'!$B19,[1]!Data_BS[TenCongTyID],'Khanh Nga'!$B$1,[1]!Data_BS[Thang.Nam],'Khanh Nga'!AG$5)</f>
        <v>0</v>
      </c>
      <c r="AH19" s="229">
        <f>SUMIFS([1]!Data_BS[Value],[1]!Data_BS[Index BS],'Khanh Nga'!$B19,[1]!Data_BS[TenCongTyID],'Khanh Nga'!$B$1,[1]!Data_BS[Thang.Nam],'Khanh Nga'!AH$5)</f>
        <v>0</v>
      </c>
      <c r="AI19" s="229">
        <f>SUMIFS([1]!Data_BS[Value],[1]!Data_BS[Index BS],'Khanh Nga'!$B19,[1]!Data_BS[TenCongTyID],'Khanh Nga'!$B$1,[1]!Data_BS[Thang.Nam],'Khanh Nga'!AI$5)</f>
        <v>0</v>
      </c>
      <c r="AJ19" s="229">
        <f>SUMIFS([1]!Data_BS[Value],[1]!Data_BS[Index BS],'Khanh Nga'!$B19,[1]!Data_BS[TenCongTyID],'Khanh Nga'!$B$1,[1]!Data_BS[Thang.Nam],'Khanh Nga'!AJ$5)</f>
        <v>0</v>
      </c>
      <c r="AK19" s="229">
        <f>SUMIFS([1]!Data_BS[Value],[1]!Data_BS[Index BS],'Khanh Nga'!$B19,[1]!Data_BS[TenCongTyID],'Khanh Nga'!$B$1,[1]!Data_BS[Thang.Nam],'Khanh Nga'!AK$5)</f>
        <v>0</v>
      </c>
      <c r="AL19" s="229">
        <f>SUMIFS([1]!Data_BS[Value],[1]!Data_BS[Index BS],'Khanh Nga'!$B19,[1]!Data_BS[TenCongTyID],'Khanh Nga'!$B$1,[1]!Data_BS[Thang.Nam],'Khanh Nga'!AL$5)</f>
        <v>0</v>
      </c>
    </row>
    <row r="20" spans="1:38" ht="15" hidden="1" customHeight="1" outlineLevel="1">
      <c r="A20" s="67" t="s">
        <v>104</v>
      </c>
      <c r="B20" s="63">
        <v>15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/>
      <c r="Z20" s="229">
        <v>0</v>
      </c>
      <c r="AA20" s="229">
        <f>SUMIFS([1]!Data_BS[Value],[1]!Data_BS[Index BS],'Khanh Nga'!$B20,[1]!Data_BS[TenCongTyID],'Khanh Nga'!$B$1,[1]!Data_BS[Thang.Nam],'Khanh Nga'!AA$5)</f>
        <v>0</v>
      </c>
      <c r="AB20" s="229">
        <f>SUMIFS([1]!Data_BS[Value],[1]!Data_BS[Index BS],'Khanh Nga'!$B20,[1]!Data_BS[TenCongTyID],'Khanh Nga'!$B$1,[1]!Data_BS[Thang.Nam],'Khanh Nga'!AB$5)</f>
        <v>0</v>
      </c>
      <c r="AC20" s="229">
        <f>SUMIFS([1]!Data_BS[Value],[1]!Data_BS[Index BS],'Khanh Nga'!$B20,[1]!Data_BS[TenCongTyID],'Khanh Nga'!$B$1,[1]!Data_BS[Thang.Nam],'Khanh Nga'!AC$5)</f>
        <v>0</v>
      </c>
      <c r="AD20" s="229">
        <f>SUMIFS([1]!Data_BS[Value],[1]!Data_BS[Index BS],'Khanh Nga'!$B20,[1]!Data_BS[TenCongTyID],'Khanh Nga'!$B$1,[1]!Data_BS[Thang.Nam],'Khanh Nga'!AD$5)</f>
        <v>0</v>
      </c>
      <c r="AE20" s="229">
        <f>SUMIFS([1]!Data_BS[Value],[1]!Data_BS[Index BS],'Khanh Nga'!$B20,[1]!Data_BS[TenCongTyID],'Khanh Nga'!$B$1,[1]!Data_BS[Thang.Nam],'Khanh Nga'!AE$5)</f>
        <v>0</v>
      </c>
      <c r="AF20" s="229">
        <f>SUMIFS([1]!Data_BS[Value],[1]!Data_BS[Index BS],'Khanh Nga'!$B20,[1]!Data_BS[TenCongTyID],'Khanh Nga'!$B$1,[1]!Data_BS[Thang.Nam],'Khanh Nga'!AF$5)</f>
        <v>0</v>
      </c>
      <c r="AG20" s="229">
        <f>SUMIFS([1]!Data_BS[Value],[1]!Data_BS[Index BS],'Khanh Nga'!$B20,[1]!Data_BS[TenCongTyID],'Khanh Nga'!$B$1,[1]!Data_BS[Thang.Nam],'Khanh Nga'!AG$5)</f>
        <v>0</v>
      </c>
      <c r="AH20" s="229">
        <f>SUMIFS([1]!Data_BS[Value],[1]!Data_BS[Index BS],'Khanh Nga'!$B20,[1]!Data_BS[TenCongTyID],'Khanh Nga'!$B$1,[1]!Data_BS[Thang.Nam],'Khanh Nga'!AH$5)</f>
        <v>0</v>
      </c>
      <c r="AI20" s="229">
        <f>SUMIFS([1]!Data_BS[Value],[1]!Data_BS[Index BS],'Khanh Nga'!$B20,[1]!Data_BS[TenCongTyID],'Khanh Nga'!$B$1,[1]!Data_BS[Thang.Nam],'Khanh Nga'!AI$5)</f>
        <v>0</v>
      </c>
      <c r="AJ20" s="229">
        <f>SUMIFS([1]!Data_BS[Value],[1]!Data_BS[Index BS],'Khanh Nga'!$B20,[1]!Data_BS[TenCongTyID],'Khanh Nga'!$B$1,[1]!Data_BS[Thang.Nam],'Khanh Nga'!AJ$5)</f>
        <v>0</v>
      </c>
      <c r="AK20" s="229">
        <f>SUMIFS([1]!Data_BS[Value],[1]!Data_BS[Index BS],'Khanh Nga'!$B20,[1]!Data_BS[TenCongTyID],'Khanh Nga'!$B$1,[1]!Data_BS[Thang.Nam],'Khanh Nga'!AK$5)</f>
        <v>0</v>
      </c>
      <c r="AL20" s="229">
        <f>SUMIFS([1]!Data_BS[Value],[1]!Data_BS[Index BS],'Khanh Nga'!$B20,[1]!Data_BS[TenCongTyID],'Khanh Nga'!$B$1,[1]!Data_BS[Thang.Nam],'Khanh Nga'!AL$5)</f>
        <v>0</v>
      </c>
    </row>
    <row r="21" spans="1:38" ht="15" hidden="1" customHeight="1" outlineLevel="1">
      <c r="A21" s="67" t="s">
        <v>105</v>
      </c>
      <c r="B21" s="63">
        <v>16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/>
      <c r="Z21" s="229">
        <v>0</v>
      </c>
      <c r="AA21" s="229">
        <f>SUMIFS([1]!Data_BS[Value],[1]!Data_BS[Index BS],'Khanh Nga'!$B21,[1]!Data_BS[TenCongTyID],'Khanh Nga'!$B$1,[1]!Data_BS[Thang.Nam],'Khanh Nga'!AA$5)</f>
        <v>0</v>
      </c>
      <c r="AB21" s="229">
        <f>SUMIFS([1]!Data_BS[Value],[1]!Data_BS[Index BS],'Khanh Nga'!$B21,[1]!Data_BS[TenCongTyID],'Khanh Nga'!$B$1,[1]!Data_BS[Thang.Nam],'Khanh Nga'!AB$5)</f>
        <v>0</v>
      </c>
      <c r="AC21" s="229">
        <f>SUMIFS([1]!Data_BS[Value],[1]!Data_BS[Index BS],'Khanh Nga'!$B21,[1]!Data_BS[TenCongTyID],'Khanh Nga'!$B$1,[1]!Data_BS[Thang.Nam],'Khanh Nga'!AC$5)</f>
        <v>0</v>
      </c>
      <c r="AD21" s="229">
        <f>SUMIFS([1]!Data_BS[Value],[1]!Data_BS[Index BS],'Khanh Nga'!$B21,[1]!Data_BS[TenCongTyID],'Khanh Nga'!$B$1,[1]!Data_BS[Thang.Nam],'Khanh Nga'!AD$5)</f>
        <v>0</v>
      </c>
      <c r="AE21" s="229">
        <f>SUMIFS([1]!Data_BS[Value],[1]!Data_BS[Index BS],'Khanh Nga'!$B21,[1]!Data_BS[TenCongTyID],'Khanh Nga'!$B$1,[1]!Data_BS[Thang.Nam],'Khanh Nga'!AE$5)</f>
        <v>0</v>
      </c>
      <c r="AF21" s="229">
        <f>SUMIFS([1]!Data_BS[Value],[1]!Data_BS[Index BS],'Khanh Nga'!$B21,[1]!Data_BS[TenCongTyID],'Khanh Nga'!$B$1,[1]!Data_BS[Thang.Nam],'Khanh Nga'!AF$5)</f>
        <v>0</v>
      </c>
      <c r="AG21" s="229">
        <f>SUMIFS([1]!Data_BS[Value],[1]!Data_BS[Index BS],'Khanh Nga'!$B21,[1]!Data_BS[TenCongTyID],'Khanh Nga'!$B$1,[1]!Data_BS[Thang.Nam],'Khanh Nga'!AG$5)</f>
        <v>0</v>
      </c>
      <c r="AH21" s="229">
        <f>SUMIFS([1]!Data_BS[Value],[1]!Data_BS[Index BS],'Khanh Nga'!$B21,[1]!Data_BS[TenCongTyID],'Khanh Nga'!$B$1,[1]!Data_BS[Thang.Nam],'Khanh Nga'!AH$5)</f>
        <v>0</v>
      </c>
      <c r="AI21" s="229">
        <f>SUMIFS([1]!Data_BS[Value],[1]!Data_BS[Index BS],'Khanh Nga'!$B21,[1]!Data_BS[TenCongTyID],'Khanh Nga'!$B$1,[1]!Data_BS[Thang.Nam],'Khanh Nga'!AI$5)</f>
        <v>0</v>
      </c>
      <c r="AJ21" s="229">
        <f>SUMIFS([1]!Data_BS[Value],[1]!Data_BS[Index BS],'Khanh Nga'!$B21,[1]!Data_BS[TenCongTyID],'Khanh Nga'!$B$1,[1]!Data_BS[Thang.Nam],'Khanh Nga'!AJ$5)</f>
        <v>0</v>
      </c>
      <c r="AK21" s="229">
        <f>SUMIFS([1]!Data_BS[Value],[1]!Data_BS[Index BS],'Khanh Nga'!$B21,[1]!Data_BS[TenCongTyID],'Khanh Nga'!$B$1,[1]!Data_BS[Thang.Nam],'Khanh Nga'!AK$5)</f>
        <v>0</v>
      </c>
      <c r="AL21" s="229">
        <f>SUMIFS([1]!Data_BS[Value],[1]!Data_BS[Index BS],'Khanh Nga'!$B21,[1]!Data_BS[TenCongTyID],'Khanh Nga'!$B$1,[1]!Data_BS[Thang.Nam],'Khanh Nga'!AL$5)</f>
        <v>0</v>
      </c>
    </row>
    <row r="22" spans="1:38" ht="15" hidden="1" customHeight="1" outlineLevel="1">
      <c r="A22" s="67" t="s">
        <v>106</v>
      </c>
      <c r="B22" s="63">
        <v>17</v>
      </c>
      <c r="C22" s="229">
        <v>0.14000000000000001</v>
      </c>
      <c r="D22" s="229">
        <v>0.14000000000000001</v>
      </c>
      <c r="E22" s="229">
        <v>0</v>
      </c>
      <c r="F22" s="229">
        <v>0</v>
      </c>
      <c r="G22" s="229">
        <v>265467827.748</v>
      </c>
      <c r="H22" s="229">
        <v>227513851.748</v>
      </c>
      <c r="I22" s="229">
        <v>317513851.51800001</v>
      </c>
      <c r="J22" s="229">
        <v>218942410.51800001</v>
      </c>
      <c r="K22" s="229">
        <v>128942410.51800001</v>
      </c>
      <c r="L22" s="229">
        <v>0.51800000000000002</v>
      </c>
      <c r="M22" s="229">
        <v>78634111.518000007</v>
      </c>
      <c r="N22" s="229">
        <v>85000000</v>
      </c>
      <c r="O22" s="229">
        <v>85000000.517900005</v>
      </c>
      <c r="P22" s="229">
        <v>90800000.518000007</v>
      </c>
      <c r="Q22" s="229">
        <v>90800000</v>
      </c>
      <c r="R22" s="229">
        <v>286540000.51800001</v>
      </c>
      <c r="S22" s="229">
        <v>296641565.51800001</v>
      </c>
      <c r="T22" s="229">
        <v>287649258</v>
      </c>
      <c r="U22" s="229">
        <v>286749258</v>
      </c>
      <c r="V22" s="229">
        <v>287649258</v>
      </c>
      <c r="W22" s="229">
        <v>283649258</v>
      </c>
      <c r="X22" s="229">
        <v>283649258</v>
      </c>
      <c r="Y22" s="229">
        <v>283649258</v>
      </c>
      <c r="Z22" s="229">
        <v>303399258</v>
      </c>
      <c r="AA22" s="229">
        <f>SUMIFS([1]!Data_BS[Value],[1]!Data_BS[Index BS],'Khanh Nga'!$B22,[1]!Data_BS[TenCongTyID],'Khanh Nga'!$B$1,[1]!Data_BS[Thang.Nam],'Khanh Nga'!AA$5)</f>
        <v>0</v>
      </c>
      <c r="AB22" s="229">
        <f>SUMIFS([1]!Data_BS[Value],[1]!Data_BS[Index BS],'Khanh Nga'!$B22,[1]!Data_BS[TenCongTyID],'Khanh Nga'!$B$1,[1]!Data_BS[Thang.Nam],'Khanh Nga'!AB$5)</f>
        <v>0</v>
      </c>
      <c r="AC22" s="229">
        <f>SUMIFS([1]!Data_BS[Value],[1]!Data_BS[Index BS],'Khanh Nga'!$B22,[1]!Data_BS[TenCongTyID],'Khanh Nga'!$B$1,[1]!Data_BS[Thang.Nam],'Khanh Nga'!AC$5)</f>
        <v>0</v>
      </c>
      <c r="AD22" s="229">
        <f>SUMIFS([1]!Data_BS[Value],[1]!Data_BS[Index BS],'Khanh Nga'!$B22,[1]!Data_BS[TenCongTyID],'Khanh Nga'!$B$1,[1]!Data_BS[Thang.Nam],'Khanh Nga'!AD$5)</f>
        <v>0</v>
      </c>
      <c r="AE22" s="229">
        <f>SUMIFS([1]!Data_BS[Value],[1]!Data_BS[Index BS],'Khanh Nga'!$B22,[1]!Data_BS[TenCongTyID],'Khanh Nga'!$B$1,[1]!Data_BS[Thang.Nam],'Khanh Nga'!AE$5)</f>
        <v>0</v>
      </c>
      <c r="AF22" s="229">
        <f>SUMIFS([1]!Data_BS[Value],[1]!Data_BS[Index BS],'Khanh Nga'!$B22,[1]!Data_BS[TenCongTyID],'Khanh Nga'!$B$1,[1]!Data_BS[Thang.Nam],'Khanh Nga'!AF$5)</f>
        <v>0</v>
      </c>
      <c r="AG22" s="229">
        <f>SUMIFS([1]!Data_BS[Value],[1]!Data_BS[Index BS],'Khanh Nga'!$B22,[1]!Data_BS[TenCongTyID],'Khanh Nga'!$B$1,[1]!Data_BS[Thang.Nam],'Khanh Nga'!AG$5)</f>
        <v>0</v>
      </c>
      <c r="AH22" s="229">
        <f>SUMIFS([1]!Data_BS[Value],[1]!Data_BS[Index BS],'Khanh Nga'!$B22,[1]!Data_BS[TenCongTyID],'Khanh Nga'!$B$1,[1]!Data_BS[Thang.Nam],'Khanh Nga'!AH$5)</f>
        <v>0</v>
      </c>
      <c r="AI22" s="229">
        <f>SUMIFS([1]!Data_BS[Value],[1]!Data_BS[Index BS],'Khanh Nga'!$B22,[1]!Data_BS[TenCongTyID],'Khanh Nga'!$B$1,[1]!Data_BS[Thang.Nam],'Khanh Nga'!AI$5)</f>
        <v>0</v>
      </c>
      <c r="AJ22" s="229">
        <f>SUMIFS([1]!Data_BS[Value],[1]!Data_BS[Index BS],'Khanh Nga'!$B22,[1]!Data_BS[TenCongTyID],'Khanh Nga'!$B$1,[1]!Data_BS[Thang.Nam],'Khanh Nga'!AJ$5)</f>
        <v>0</v>
      </c>
      <c r="AK22" s="229">
        <f>SUMIFS([1]!Data_BS[Value],[1]!Data_BS[Index BS],'Khanh Nga'!$B22,[1]!Data_BS[TenCongTyID],'Khanh Nga'!$B$1,[1]!Data_BS[Thang.Nam],'Khanh Nga'!AK$5)</f>
        <v>0</v>
      </c>
      <c r="AL22" s="229">
        <f>SUMIFS([1]!Data_BS[Value],[1]!Data_BS[Index BS],'Khanh Nga'!$B22,[1]!Data_BS[TenCongTyID],'Khanh Nga'!$B$1,[1]!Data_BS[Thang.Nam],'Khanh Nga'!AL$5)</f>
        <v>0</v>
      </c>
    </row>
    <row r="23" spans="1:38" ht="15" hidden="1" customHeight="1" outlineLevel="1">
      <c r="A23" s="67" t="s">
        <v>107</v>
      </c>
      <c r="B23" s="63">
        <v>18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/>
      <c r="X23" s="229">
        <v>0</v>
      </c>
      <c r="Y23" s="229"/>
      <c r="Z23" s="229">
        <v>0</v>
      </c>
      <c r="AA23" s="229">
        <f>SUMIFS([1]!Data_BS[Value],[1]!Data_BS[Index BS],'Khanh Nga'!$B23,[1]!Data_BS[TenCongTyID],'Khanh Nga'!$B$1,[1]!Data_BS[Thang.Nam],'Khanh Nga'!AA$5)</f>
        <v>0</v>
      </c>
      <c r="AB23" s="229">
        <f>SUMIFS([1]!Data_BS[Value],[1]!Data_BS[Index BS],'Khanh Nga'!$B23,[1]!Data_BS[TenCongTyID],'Khanh Nga'!$B$1,[1]!Data_BS[Thang.Nam],'Khanh Nga'!AB$5)</f>
        <v>0</v>
      </c>
      <c r="AC23" s="229">
        <f>SUMIFS([1]!Data_BS[Value],[1]!Data_BS[Index BS],'Khanh Nga'!$B23,[1]!Data_BS[TenCongTyID],'Khanh Nga'!$B$1,[1]!Data_BS[Thang.Nam],'Khanh Nga'!AC$5)</f>
        <v>0</v>
      </c>
      <c r="AD23" s="229">
        <f>SUMIFS([1]!Data_BS[Value],[1]!Data_BS[Index BS],'Khanh Nga'!$B23,[1]!Data_BS[TenCongTyID],'Khanh Nga'!$B$1,[1]!Data_BS[Thang.Nam],'Khanh Nga'!AD$5)</f>
        <v>0</v>
      </c>
      <c r="AE23" s="229">
        <f>SUMIFS([1]!Data_BS[Value],[1]!Data_BS[Index BS],'Khanh Nga'!$B23,[1]!Data_BS[TenCongTyID],'Khanh Nga'!$B$1,[1]!Data_BS[Thang.Nam],'Khanh Nga'!AE$5)</f>
        <v>0</v>
      </c>
      <c r="AF23" s="229">
        <f>SUMIFS([1]!Data_BS[Value],[1]!Data_BS[Index BS],'Khanh Nga'!$B23,[1]!Data_BS[TenCongTyID],'Khanh Nga'!$B$1,[1]!Data_BS[Thang.Nam],'Khanh Nga'!AF$5)</f>
        <v>0</v>
      </c>
      <c r="AG23" s="229">
        <f>SUMIFS([1]!Data_BS[Value],[1]!Data_BS[Index BS],'Khanh Nga'!$B23,[1]!Data_BS[TenCongTyID],'Khanh Nga'!$B$1,[1]!Data_BS[Thang.Nam],'Khanh Nga'!AG$5)</f>
        <v>0</v>
      </c>
      <c r="AH23" s="229">
        <f>SUMIFS([1]!Data_BS[Value],[1]!Data_BS[Index BS],'Khanh Nga'!$B23,[1]!Data_BS[TenCongTyID],'Khanh Nga'!$B$1,[1]!Data_BS[Thang.Nam],'Khanh Nga'!AH$5)</f>
        <v>0</v>
      </c>
      <c r="AI23" s="229">
        <f>SUMIFS([1]!Data_BS[Value],[1]!Data_BS[Index BS],'Khanh Nga'!$B23,[1]!Data_BS[TenCongTyID],'Khanh Nga'!$B$1,[1]!Data_BS[Thang.Nam],'Khanh Nga'!AI$5)</f>
        <v>0</v>
      </c>
      <c r="AJ23" s="229">
        <f>SUMIFS([1]!Data_BS[Value],[1]!Data_BS[Index BS],'Khanh Nga'!$B23,[1]!Data_BS[TenCongTyID],'Khanh Nga'!$B$1,[1]!Data_BS[Thang.Nam],'Khanh Nga'!AJ$5)</f>
        <v>0</v>
      </c>
      <c r="AK23" s="229">
        <f>SUMIFS([1]!Data_BS[Value],[1]!Data_BS[Index BS],'Khanh Nga'!$B23,[1]!Data_BS[TenCongTyID],'Khanh Nga'!$B$1,[1]!Data_BS[Thang.Nam],'Khanh Nga'!AK$5)</f>
        <v>0</v>
      </c>
      <c r="AL23" s="229">
        <f>SUMIFS([1]!Data_BS[Value],[1]!Data_BS[Index BS],'Khanh Nga'!$B23,[1]!Data_BS[TenCongTyID],'Khanh Nga'!$B$1,[1]!Data_BS[Thang.Nam],'Khanh Nga'!AL$5)</f>
        <v>0</v>
      </c>
    </row>
    <row r="24" spans="1:38" ht="15" hidden="1" customHeight="1" outlineLevel="1">
      <c r="A24" s="68" t="s">
        <v>108</v>
      </c>
      <c r="B24" s="63">
        <v>19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/>
      <c r="X24" s="229">
        <v>0</v>
      </c>
      <c r="Y24" s="229"/>
      <c r="Z24" s="229">
        <v>0</v>
      </c>
      <c r="AA24" s="229">
        <f>SUMIFS([1]!Data_BS[Value],[1]!Data_BS[Index BS],'Khanh Nga'!$B24,[1]!Data_BS[TenCongTyID],'Khanh Nga'!$B$1,[1]!Data_BS[Thang.Nam],'Khanh Nga'!AA$5)</f>
        <v>0</v>
      </c>
      <c r="AB24" s="229">
        <f>SUMIFS([1]!Data_BS[Value],[1]!Data_BS[Index BS],'Khanh Nga'!$B24,[1]!Data_BS[TenCongTyID],'Khanh Nga'!$B$1,[1]!Data_BS[Thang.Nam],'Khanh Nga'!AB$5)</f>
        <v>0</v>
      </c>
      <c r="AC24" s="229">
        <f>SUMIFS([1]!Data_BS[Value],[1]!Data_BS[Index BS],'Khanh Nga'!$B24,[1]!Data_BS[TenCongTyID],'Khanh Nga'!$B$1,[1]!Data_BS[Thang.Nam],'Khanh Nga'!AC$5)</f>
        <v>0</v>
      </c>
      <c r="AD24" s="229">
        <f>SUMIFS([1]!Data_BS[Value],[1]!Data_BS[Index BS],'Khanh Nga'!$B24,[1]!Data_BS[TenCongTyID],'Khanh Nga'!$B$1,[1]!Data_BS[Thang.Nam],'Khanh Nga'!AD$5)</f>
        <v>0</v>
      </c>
      <c r="AE24" s="229">
        <f>SUMIFS([1]!Data_BS[Value],[1]!Data_BS[Index BS],'Khanh Nga'!$B24,[1]!Data_BS[TenCongTyID],'Khanh Nga'!$B$1,[1]!Data_BS[Thang.Nam],'Khanh Nga'!AE$5)</f>
        <v>0</v>
      </c>
      <c r="AF24" s="229">
        <f>SUMIFS([1]!Data_BS[Value],[1]!Data_BS[Index BS],'Khanh Nga'!$B24,[1]!Data_BS[TenCongTyID],'Khanh Nga'!$B$1,[1]!Data_BS[Thang.Nam],'Khanh Nga'!AF$5)</f>
        <v>0</v>
      </c>
      <c r="AG24" s="229">
        <f>SUMIFS([1]!Data_BS[Value],[1]!Data_BS[Index BS],'Khanh Nga'!$B24,[1]!Data_BS[TenCongTyID],'Khanh Nga'!$B$1,[1]!Data_BS[Thang.Nam],'Khanh Nga'!AG$5)</f>
        <v>0</v>
      </c>
      <c r="AH24" s="229">
        <f>SUMIFS([1]!Data_BS[Value],[1]!Data_BS[Index BS],'Khanh Nga'!$B24,[1]!Data_BS[TenCongTyID],'Khanh Nga'!$B$1,[1]!Data_BS[Thang.Nam],'Khanh Nga'!AH$5)</f>
        <v>0</v>
      </c>
      <c r="AI24" s="229">
        <f>SUMIFS([1]!Data_BS[Value],[1]!Data_BS[Index BS],'Khanh Nga'!$B24,[1]!Data_BS[TenCongTyID],'Khanh Nga'!$B$1,[1]!Data_BS[Thang.Nam],'Khanh Nga'!AI$5)</f>
        <v>0</v>
      </c>
      <c r="AJ24" s="229">
        <f>SUMIFS([1]!Data_BS[Value],[1]!Data_BS[Index BS],'Khanh Nga'!$B24,[1]!Data_BS[TenCongTyID],'Khanh Nga'!$B$1,[1]!Data_BS[Thang.Nam],'Khanh Nga'!AJ$5)</f>
        <v>0</v>
      </c>
      <c r="AK24" s="229">
        <f>SUMIFS([1]!Data_BS[Value],[1]!Data_BS[Index BS],'Khanh Nga'!$B24,[1]!Data_BS[TenCongTyID],'Khanh Nga'!$B$1,[1]!Data_BS[Thang.Nam],'Khanh Nga'!AK$5)</f>
        <v>0</v>
      </c>
      <c r="AL24" s="229">
        <f>SUMIFS([1]!Data_BS[Value],[1]!Data_BS[Index BS],'Khanh Nga'!$B24,[1]!Data_BS[TenCongTyID],'Khanh Nga'!$B$1,[1]!Data_BS[Thang.Nam],'Khanh Nga'!AL$5)</f>
        <v>0</v>
      </c>
    </row>
    <row r="25" spans="1:38" ht="15" hidden="1" customHeight="1" outlineLevel="1">
      <c r="A25" s="59" t="s">
        <v>109</v>
      </c>
      <c r="B25" s="65">
        <v>20</v>
      </c>
      <c r="C25" s="233">
        <v>4969670757.8599997</v>
      </c>
      <c r="D25" s="233">
        <v>4483113089.8599997</v>
      </c>
      <c r="E25" s="233">
        <v>3342082436.8600001</v>
      </c>
      <c r="F25" s="233">
        <v>3207557289.882</v>
      </c>
      <c r="G25" s="233">
        <v>1938187597.2520001</v>
      </c>
      <c r="H25" s="233">
        <v>1606663091.2520001</v>
      </c>
      <c r="I25" s="233">
        <v>1341187734.4820001</v>
      </c>
      <c r="J25" s="233">
        <v>1123441746.4820001</v>
      </c>
      <c r="K25" s="233">
        <v>2162328881.4819999</v>
      </c>
      <c r="L25" s="233">
        <v>1806164367.4820001</v>
      </c>
      <c r="M25" s="233">
        <v>1580750604.4820001</v>
      </c>
      <c r="N25" s="234">
        <v>1582545526.4820001</v>
      </c>
      <c r="O25" s="234">
        <v>3331592584.4819999</v>
      </c>
      <c r="P25" s="234">
        <v>5777204809.4820004</v>
      </c>
      <c r="Q25" s="234">
        <v>4210249772.4819999</v>
      </c>
      <c r="R25" s="234">
        <v>3858495552.4819999</v>
      </c>
      <c r="S25" s="234">
        <v>3377651510.4819999</v>
      </c>
      <c r="T25" s="234">
        <v>4300173808.4820004</v>
      </c>
      <c r="U25" s="234">
        <v>3756030085.4819999</v>
      </c>
      <c r="V25" s="234">
        <v>3884529326.4819999</v>
      </c>
      <c r="W25" s="234">
        <v>2009834444.4820001</v>
      </c>
      <c r="X25" s="234">
        <v>1284373153.4820001</v>
      </c>
      <c r="Y25" s="234">
        <v>1896233144.4820001</v>
      </c>
      <c r="Z25" s="234">
        <v>2740108395</v>
      </c>
      <c r="AA25" s="234">
        <f>SUMIFS([1]!Data_BS[Value],[1]!Data_BS[Index BS],'Khanh Nga'!$B25,[1]!Data_BS[TenCongTyID],'Khanh Nga'!$B$1,[1]!Data_BS[Thang.Nam],'Khanh Nga'!AA$5)</f>
        <v>0</v>
      </c>
      <c r="AB25" s="234">
        <f>SUMIFS([1]!Data_BS[Value],[1]!Data_BS[Index BS],'Khanh Nga'!$B25,[1]!Data_BS[TenCongTyID],'Khanh Nga'!$B$1,[1]!Data_BS[Thang.Nam],'Khanh Nga'!AB$5)</f>
        <v>0</v>
      </c>
      <c r="AC25" s="234">
        <f>SUMIFS([1]!Data_BS[Value],[1]!Data_BS[Index BS],'Khanh Nga'!$B25,[1]!Data_BS[TenCongTyID],'Khanh Nga'!$B$1,[1]!Data_BS[Thang.Nam],'Khanh Nga'!AC$5)</f>
        <v>0</v>
      </c>
      <c r="AD25" s="234">
        <f>SUMIFS([1]!Data_BS[Value],[1]!Data_BS[Index BS],'Khanh Nga'!$B25,[1]!Data_BS[TenCongTyID],'Khanh Nga'!$B$1,[1]!Data_BS[Thang.Nam],'Khanh Nga'!AD$5)</f>
        <v>0</v>
      </c>
      <c r="AE25" s="234">
        <f>SUMIFS([1]!Data_BS[Value],[1]!Data_BS[Index BS],'Khanh Nga'!$B25,[1]!Data_BS[TenCongTyID],'Khanh Nga'!$B$1,[1]!Data_BS[Thang.Nam],'Khanh Nga'!AE$5)</f>
        <v>0</v>
      </c>
      <c r="AF25" s="234">
        <f>SUMIFS([1]!Data_BS[Value],[1]!Data_BS[Index BS],'Khanh Nga'!$B25,[1]!Data_BS[TenCongTyID],'Khanh Nga'!$B$1,[1]!Data_BS[Thang.Nam],'Khanh Nga'!AF$5)</f>
        <v>0</v>
      </c>
      <c r="AG25" s="234">
        <f>SUMIFS([1]!Data_BS[Value],[1]!Data_BS[Index BS],'Khanh Nga'!$B25,[1]!Data_BS[TenCongTyID],'Khanh Nga'!$B$1,[1]!Data_BS[Thang.Nam],'Khanh Nga'!AG$5)</f>
        <v>0</v>
      </c>
      <c r="AH25" s="234">
        <f>SUMIFS([1]!Data_BS[Value],[1]!Data_BS[Index BS],'Khanh Nga'!$B25,[1]!Data_BS[TenCongTyID],'Khanh Nga'!$B$1,[1]!Data_BS[Thang.Nam],'Khanh Nga'!AH$5)</f>
        <v>0</v>
      </c>
      <c r="AI25" s="234">
        <f>SUMIFS([1]!Data_BS[Value],[1]!Data_BS[Index BS],'Khanh Nga'!$B25,[1]!Data_BS[TenCongTyID],'Khanh Nga'!$B$1,[1]!Data_BS[Thang.Nam],'Khanh Nga'!AI$5)</f>
        <v>0</v>
      </c>
      <c r="AJ25" s="234">
        <f>SUMIFS([1]!Data_BS[Value],[1]!Data_BS[Index BS],'Khanh Nga'!$B25,[1]!Data_BS[TenCongTyID],'Khanh Nga'!$B$1,[1]!Data_BS[Thang.Nam],'Khanh Nga'!AJ$5)</f>
        <v>0</v>
      </c>
      <c r="AK25" s="234">
        <f>SUMIFS([1]!Data_BS[Value],[1]!Data_BS[Index BS],'Khanh Nga'!$B25,[1]!Data_BS[TenCongTyID],'Khanh Nga'!$B$1,[1]!Data_BS[Thang.Nam],'Khanh Nga'!AK$5)</f>
        <v>0</v>
      </c>
      <c r="AL25" s="234">
        <f>SUMIFS([1]!Data_BS[Value],[1]!Data_BS[Index BS],'Khanh Nga'!$B25,[1]!Data_BS[TenCongTyID],'Khanh Nga'!$B$1,[1]!Data_BS[Thang.Nam],'Khanh Nga'!AL$5)</f>
        <v>0</v>
      </c>
    </row>
    <row r="26" spans="1:38" ht="15" hidden="1" customHeight="1" outlineLevel="1">
      <c r="A26" s="62" t="s">
        <v>110</v>
      </c>
      <c r="B26" s="63">
        <v>21</v>
      </c>
      <c r="C26" s="229">
        <v>4969670757.8599997</v>
      </c>
      <c r="D26" s="229">
        <v>4483113089.8599997</v>
      </c>
      <c r="E26" s="229">
        <v>3342082436.8600001</v>
      </c>
      <c r="F26" s="229">
        <v>3207557289.882</v>
      </c>
      <c r="G26" s="229">
        <v>1938187597.2520001</v>
      </c>
      <c r="H26" s="229">
        <v>1606663091.2520001</v>
      </c>
      <c r="I26" s="229">
        <v>1341187734.4820001</v>
      </c>
      <c r="J26" s="229">
        <v>1123441746.4820001</v>
      </c>
      <c r="K26" s="229">
        <v>2162328881.4819999</v>
      </c>
      <c r="L26" s="229">
        <v>1806164367.4820001</v>
      </c>
      <c r="M26" s="229">
        <v>1580750604.4820001</v>
      </c>
      <c r="N26" s="229">
        <v>1582545526.4820001</v>
      </c>
      <c r="O26" s="229">
        <v>3331592584.4819999</v>
      </c>
      <c r="P26" s="229">
        <v>5777204809.4820004</v>
      </c>
      <c r="Q26" s="229">
        <v>4210249772.4819999</v>
      </c>
      <c r="R26" s="229">
        <v>3858495552.4819999</v>
      </c>
      <c r="S26" s="229">
        <v>3377651510.4819999</v>
      </c>
      <c r="T26" s="229">
        <v>4300173808.4820004</v>
      </c>
      <c r="U26" s="229">
        <v>3756030085.4819999</v>
      </c>
      <c r="V26" s="229">
        <v>3884529326.4819999</v>
      </c>
      <c r="W26" s="229">
        <v>2009834444.4820001</v>
      </c>
      <c r="X26" s="229">
        <v>1284373153.4820001</v>
      </c>
      <c r="Y26" s="229">
        <v>1896233144.4820001</v>
      </c>
      <c r="Z26" s="229">
        <v>2740108395</v>
      </c>
      <c r="AA26" s="229">
        <f>SUMIFS([1]!Data_BS[Value],[1]!Data_BS[Index BS],'Khanh Nga'!$B26,[1]!Data_BS[TenCongTyID],'Khanh Nga'!$B$1,[1]!Data_BS[Thang.Nam],'Khanh Nga'!AA$5)</f>
        <v>0</v>
      </c>
      <c r="AB26" s="229">
        <f>SUMIFS([1]!Data_BS[Value],[1]!Data_BS[Index BS],'Khanh Nga'!$B26,[1]!Data_BS[TenCongTyID],'Khanh Nga'!$B$1,[1]!Data_BS[Thang.Nam],'Khanh Nga'!AB$5)</f>
        <v>0</v>
      </c>
      <c r="AC26" s="229">
        <f>SUMIFS([1]!Data_BS[Value],[1]!Data_BS[Index BS],'Khanh Nga'!$B26,[1]!Data_BS[TenCongTyID],'Khanh Nga'!$B$1,[1]!Data_BS[Thang.Nam],'Khanh Nga'!AC$5)</f>
        <v>0</v>
      </c>
      <c r="AD26" s="229">
        <f>SUMIFS([1]!Data_BS[Value],[1]!Data_BS[Index BS],'Khanh Nga'!$B26,[1]!Data_BS[TenCongTyID],'Khanh Nga'!$B$1,[1]!Data_BS[Thang.Nam],'Khanh Nga'!AD$5)</f>
        <v>0</v>
      </c>
      <c r="AE26" s="229">
        <f>SUMIFS([1]!Data_BS[Value],[1]!Data_BS[Index BS],'Khanh Nga'!$B26,[1]!Data_BS[TenCongTyID],'Khanh Nga'!$B$1,[1]!Data_BS[Thang.Nam],'Khanh Nga'!AE$5)</f>
        <v>0</v>
      </c>
      <c r="AF26" s="229">
        <f>SUMIFS([1]!Data_BS[Value],[1]!Data_BS[Index BS],'Khanh Nga'!$B26,[1]!Data_BS[TenCongTyID],'Khanh Nga'!$B$1,[1]!Data_BS[Thang.Nam],'Khanh Nga'!AF$5)</f>
        <v>0</v>
      </c>
      <c r="AG26" s="229">
        <f>SUMIFS([1]!Data_BS[Value],[1]!Data_BS[Index BS],'Khanh Nga'!$B26,[1]!Data_BS[TenCongTyID],'Khanh Nga'!$B$1,[1]!Data_BS[Thang.Nam],'Khanh Nga'!AG$5)</f>
        <v>0</v>
      </c>
      <c r="AH26" s="229">
        <f>SUMIFS([1]!Data_BS[Value],[1]!Data_BS[Index BS],'Khanh Nga'!$B26,[1]!Data_BS[TenCongTyID],'Khanh Nga'!$B$1,[1]!Data_BS[Thang.Nam],'Khanh Nga'!AH$5)</f>
        <v>0</v>
      </c>
      <c r="AI26" s="229">
        <f>SUMIFS([1]!Data_BS[Value],[1]!Data_BS[Index BS],'Khanh Nga'!$B26,[1]!Data_BS[TenCongTyID],'Khanh Nga'!$B$1,[1]!Data_BS[Thang.Nam],'Khanh Nga'!AI$5)</f>
        <v>0</v>
      </c>
      <c r="AJ26" s="229">
        <f>SUMIFS([1]!Data_BS[Value],[1]!Data_BS[Index BS],'Khanh Nga'!$B26,[1]!Data_BS[TenCongTyID],'Khanh Nga'!$B$1,[1]!Data_BS[Thang.Nam],'Khanh Nga'!AJ$5)</f>
        <v>0</v>
      </c>
      <c r="AK26" s="229">
        <f>SUMIFS([1]!Data_BS[Value],[1]!Data_BS[Index BS],'Khanh Nga'!$B26,[1]!Data_BS[TenCongTyID],'Khanh Nga'!$B$1,[1]!Data_BS[Thang.Nam],'Khanh Nga'!AK$5)</f>
        <v>0</v>
      </c>
      <c r="AL26" s="229">
        <f>SUMIFS([1]!Data_BS[Value],[1]!Data_BS[Index BS],'Khanh Nga'!$B26,[1]!Data_BS[TenCongTyID],'Khanh Nga'!$B$1,[1]!Data_BS[Thang.Nam],'Khanh Nga'!AL$5)</f>
        <v>0</v>
      </c>
    </row>
    <row r="27" spans="1:38" ht="15" hidden="1" customHeight="1" outlineLevel="1">
      <c r="A27" s="62" t="s">
        <v>111</v>
      </c>
      <c r="B27" s="63">
        <v>22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/>
      <c r="X27" s="229">
        <v>0</v>
      </c>
      <c r="Y27" s="229"/>
      <c r="Z27" s="229">
        <v>0</v>
      </c>
      <c r="AA27" s="229">
        <f>SUMIFS([1]!Data_BS[Value],[1]!Data_BS[Index BS],'Khanh Nga'!$B27,[1]!Data_BS[TenCongTyID],'Khanh Nga'!$B$1,[1]!Data_BS[Thang.Nam],'Khanh Nga'!AA$5)</f>
        <v>0</v>
      </c>
      <c r="AB27" s="229">
        <f>SUMIFS([1]!Data_BS[Value],[1]!Data_BS[Index BS],'Khanh Nga'!$B27,[1]!Data_BS[TenCongTyID],'Khanh Nga'!$B$1,[1]!Data_BS[Thang.Nam],'Khanh Nga'!AB$5)</f>
        <v>0</v>
      </c>
      <c r="AC27" s="229">
        <f>SUMIFS([1]!Data_BS[Value],[1]!Data_BS[Index BS],'Khanh Nga'!$B27,[1]!Data_BS[TenCongTyID],'Khanh Nga'!$B$1,[1]!Data_BS[Thang.Nam],'Khanh Nga'!AC$5)</f>
        <v>0</v>
      </c>
      <c r="AD27" s="229">
        <f>SUMIFS([1]!Data_BS[Value],[1]!Data_BS[Index BS],'Khanh Nga'!$B27,[1]!Data_BS[TenCongTyID],'Khanh Nga'!$B$1,[1]!Data_BS[Thang.Nam],'Khanh Nga'!AD$5)</f>
        <v>0</v>
      </c>
      <c r="AE27" s="229">
        <f>SUMIFS([1]!Data_BS[Value],[1]!Data_BS[Index BS],'Khanh Nga'!$B27,[1]!Data_BS[TenCongTyID],'Khanh Nga'!$B$1,[1]!Data_BS[Thang.Nam],'Khanh Nga'!AE$5)</f>
        <v>0</v>
      </c>
      <c r="AF27" s="229">
        <f>SUMIFS([1]!Data_BS[Value],[1]!Data_BS[Index BS],'Khanh Nga'!$B27,[1]!Data_BS[TenCongTyID],'Khanh Nga'!$B$1,[1]!Data_BS[Thang.Nam],'Khanh Nga'!AF$5)</f>
        <v>0</v>
      </c>
      <c r="AG27" s="229">
        <f>SUMIFS([1]!Data_BS[Value],[1]!Data_BS[Index BS],'Khanh Nga'!$B27,[1]!Data_BS[TenCongTyID],'Khanh Nga'!$B$1,[1]!Data_BS[Thang.Nam],'Khanh Nga'!AG$5)</f>
        <v>0</v>
      </c>
      <c r="AH27" s="229">
        <f>SUMIFS([1]!Data_BS[Value],[1]!Data_BS[Index BS],'Khanh Nga'!$B27,[1]!Data_BS[TenCongTyID],'Khanh Nga'!$B$1,[1]!Data_BS[Thang.Nam],'Khanh Nga'!AH$5)</f>
        <v>0</v>
      </c>
      <c r="AI27" s="229">
        <f>SUMIFS([1]!Data_BS[Value],[1]!Data_BS[Index BS],'Khanh Nga'!$B27,[1]!Data_BS[TenCongTyID],'Khanh Nga'!$B$1,[1]!Data_BS[Thang.Nam],'Khanh Nga'!AI$5)</f>
        <v>0</v>
      </c>
      <c r="AJ27" s="229">
        <f>SUMIFS([1]!Data_BS[Value],[1]!Data_BS[Index BS],'Khanh Nga'!$B27,[1]!Data_BS[TenCongTyID],'Khanh Nga'!$B$1,[1]!Data_BS[Thang.Nam],'Khanh Nga'!AJ$5)</f>
        <v>0</v>
      </c>
      <c r="AK27" s="229">
        <f>SUMIFS([1]!Data_BS[Value],[1]!Data_BS[Index BS],'Khanh Nga'!$B27,[1]!Data_BS[TenCongTyID],'Khanh Nga'!$B$1,[1]!Data_BS[Thang.Nam],'Khanh Nga'!AK$5)</f>
        <v>0</v>
      </c>
      <c r="AL27" s="229">
        <f>SUMIFS([1]!Data_BS[Value],[1]!Data_BS[Index BS],'Khanh Nga'!$B27,[1]!Data_BS[TenCongTyID],'Khanh Nga'!$B$1,[1]!Data_BS[Thang.Nam],'Khanh Nga'!AL$5)</f>
        <v>0</v>
      </c>
    </row>
    <row r="28" spans="1:38" ht="15" hidden="1" customHeight="1" outlineLevel="1">
      <c r="A28" s="59" t="s">
        <v>112</v>
      </c>
      <c r="B28" s="65">
        <v>23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>
        <v>0</v>
      </c>
      <c r="AA28" s="229">
        <f>SUMIFS([1]!Data_BS[Value],[1]!Data_BS[Index BS],'Khanh Nga'!$B28,[1]!Data_BS[TenCongTyID],'Khanh Nga'!$B$1,[1]!Data_BS[Thang.Nam],'Khanh Nga'!AA$5)</f>
        <v>0</v>
      </c>
      <c r="AB28" s="229">
        <f>SUMIFS([1]!Data_BS[Value],[1]!Data_BS[Index BS],'Khanh Nga'!$B28,[1]!Data_BS[TenCongTyID],'Khanh Nga'!$B$1,[1]!Data_BS[Thang.Nam],'Khanh Nga'!AB$5)</f>
        <v>0</v>
      </c>
      <c r="AC28" s="229">
        <f>SUMIFS([1]!Data_BS[Value],[1]!Data_BS[Index BS],'Khanh Nga'!$B28,[1]!Data_BS[TenCongTyID],'Khanh Nga'!$B$1,[1]!Data_BS[Thang.Nam],'Khanh Nga'!AC$5)</f>
        <v>0</v>
      </c>
      <c r="AD28" s="229">
        <f>SUMIFS([1]!Data_BS[Value],[1]!Data_BS[Index BS],'Khanh Nga'!$B28,[1]!Data_BS[TenCongTyID],'Khanh Nga'!$B$1,[1]!Data_BS[Thang.Nam],'Khanh Nga'!AD$5)</f>
        <v>0</v>
      </c>
      <c r="AE28" s="229">
        <f>SUMIFS([1]!Data_BS[Value],[1]!Data_BS[Index BS],'Khanh Nga'!$B28,[1]!Data_BS[TenCongTyID],'Khanh Nga'!$B$1,[1]!Data_BS[Thang.Nam],'Khanh Nga'!AE$5)</f>
        <v>0</v>
      </c>
      <c r="AF28" s="229">
        <f>SUMIFS([1]!Data_BS[Value],[1]!Data_BS[Index BS],'Khanh Nga'!$B28,[1]!Data_BS[TenCongTyID],'Khanh Nga'!$B$1,[1]!Data_BS[Thang.Nam],'Khanh Nga'!AF$5)</f>
        <v>0</v>
      </c>
      <c r="AG28" s="229">
        <f>SUMIFS([1]!Data_BS[Value],[1]!Data_BS[Index BS],'Khanh Nga'!$B28,[1]!Data_BS[TenCongTyID],'Khanh Nga'!$B$1,[1]!Data_BS[Thang.Nam],'Khanh Nga'!AG$5)</f>
        <v>0</v>
      </c>
      <c r="AH28" s="229">
        <f>SUMIFS([1]!Data_BS[Value],[1]!Data_BS[Index BS],'Khanh Nga'!$B28,[1]!Data_BS[TenCongTyID],'Khanh Nga'!$B$1,[1]!Data_BS[Thang.Nam],'Khanh Nga'!AH$5)</f>
        <v>0</v>
      </c>
      <c r="AI28" s="229">
        <f>SUMIFS([1]!Data_BS[Value],[1]!Data_BS[Index BS],'Khanh Nga'!$B28,[1]!Data_BS[TenCongTyID],'Khanh Nga'!$B$1,[1]!Data_BS[Thang.Nam],'Khanh Nga'!AI$5)</f>
        <v>0</v>
      </c>
      <c r="AJ28" s="229">
        <f>SUMIFS([1]!Data_BS[Value],[1]!Data_BS[Index BS],'Khanh Nga'!$B28,[1]!Data_BS[TenCongTyID],'Khanh Nga'!$B$1,[1]!Data_BS[Thang.Nam],'Khanh Nga'!AJ$5)</f>
        <v>0</v>
      </c>
      <c r="AK28" s="229">
        <f>SUMIFS([1]!Data_BS[Value],[1]!Data_BS[Index BS],'Khanh Nga'!$B28,[1]!Data_BS[TenCongTyID],'Khanh Nga'!$B$1,[1]!Data_BS[Thang.Nam],'Khanh Nga'!AK$5)</f>
        <v>0</v>
      </c>
      <c r="AL28" s="229">
        <f>SUMIFS([1]!Data_BS[Value],[1]!Data_BS[Index BS],'Khanh Nga'!$B28,[1]!Data_BS[TenCongTyID],'Khanh Nga'!$B$1,[1]!Data_BS[Thang.Nam],'Khanh Nga'!AL$5)</f>
        <v>0</v>
      </c>
    </row>
    <row r="29" spans="1:38" ht="15" hidden="1" customHeight="1" outlineLevel="1">
      <c r="A29" s="62" t="s">
        <v>113</v>
      </c>
      <c r="B29" s="63">
        <v>24</v>
      </c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>
        <v>0</v>
      </c>
      <c r="AA29" s="229">
        <f>SUMIFS([1]!Data_BS[Value],[1]!Data_BS[Index BS],'Khanh Nga'!$B29,[1]!Data_BS[TenCongTyID],'Khanh Nga'!$B$1,[1]!Data_BS[Thang.Nam],'Khanh Nga'!AA$5)</f>
        <v>0</v>
      </c>
      <c r="AB29" s="229">
        <f>SUMIFS([1]!Data_BS[Value],[1]!Data_BS[Index BS],'Khanh Nga'!$B29,[1]!Data_BS[TenCongTyID],'Khanh Nga'!$B$1,[1]!Data_BS[Thang.Nam],'Khanh Nga'!AB$5)</f>
        <v>0</v>
      </c>
      <c r="AC29" s="229">
        <f>SUMIFS([1]!Data_BS[Value],[1]!Data_BS[Index BS],'Khanh Nga'!$B29,[1]!Data_BS[TenCongTyID],'Khanh Nga'!$B$1,[1]!Data_BS[Thang.Nam],'Khanh Nga'!AC$5)</f>
        <v>0</v>
      </c>
      <c r="AD29" s="229">
        <f>SUMIFS([1]!Data_BS[Value],[1]!Data_BS[Index BS],'Khanh Nga'!$B29,[1]!Data_BS[TenCongTyID],'Khanh Nga'!$B$1,[1]!Data_BS[Thang.Nam],'Khanh Nga'!AD$5)</f>
        <v>0</v>
      </c>
      <c r="AE29" s="229">
        <f>SUMIFS([1]!Data_BS[Value],[1]!Data_BS[Index BS],'Khanh Nga'!$B29,[1]!Data_BS[TenCongTyID],'Khanh Nga'!$B$1,[1]!Data_BS[Thang.Nam],'Khanh Nga'!AE$5)</f>
        <v>0</v>
      </c>
      <c r="AF29" s="229">
        <f>SUMIFS([1]!Data_BS[Value],[1]!Data_BS[Index BS],'Khanh Nga'!$B29,[1]!Data_BS[TenCongTyID],'Khanh Nga'!$B$1,[1]!Data_BS[Thang.Nam],'Khanh Nga'!AF$5)</f>
        <v>0</v>
      </c>
      <c r="AG29" s="229">
        <f>SUMIFS([1]!Data_BS[Value],[1]!Data_BS[Index BS],'Khanh Nga'!$B29,[1]!Data_BS[TenCongTyID],'Khanh Nga'!$B$1,[1]!Data_BS[Thang.Nam],'Khanh Nga'!AG$5)</f>
        <v>0</v>
      </c>
      <c r="AH29" s="229">
        <f>SUMIFS([1]!Data_BS[Value],[1]!Data_BS[Index BS],'Khanh Nga'!$B29,[1]!Data_BS[TenCongTyID],'Khanh Nga'!$B$1,[1]!Data_BS[Thang.Nam],'Khanh Nga'!AH$5)</f>
        <v>0</v>
      </c>
      <c r="AI29" s="229">
        <f>SUMIFS([1]!Data_BS[Value],[1]!Data_BS[Index BS],'Khanh Nga'!$B29,[1]!Data_BS[TenCongTyID],'Khanh Nga'!$B$1,[1]!Data_BS[Thang.Nam],'Khanh Nga'!AI$5)</f>
        <v>0</v>
      </c>
      <c r="AJ29" s="229">
        <f>SUMIFS([1]!Data_BS[Value],[1]!Data_BS[Index BS],'Khanh Nga'!$B29,[1]!Data_BS[TenCongTyID],'Khanh Nga'!$B$1,[1]!Data_BS[Thang.Nam],'Khanh Nga'!AJ$5)</f>
        <v>0</v>
      </c>
      <c r="AK29" s="229">
        <f>SUMIFS([1]!Data_BS[Value],[1]!Data_BS[Index BS],'Khanh Nga'!$B29,[1]!Data_BS[TenCongTyID],'Khanh Nga'!$B$1,[1]!Data_BS[Thang.Nam],'Khanh Nga'!AK$5)</f>
        <v>0</v>
      </c>
      <c r="AL29" s="229">
        <f>SUMIFS([1]!Data_BS[Value],[1]!Data_BS[Index BS],'Khanh Nga'!$B29,[1]!Data_BS[TenCongTyID],'Khanh Nga'!$B$1,[1]!Data_BS[Thang.Nam],'Khanh Nga'!AL$5)</f>
        <v>0</v>
      </c>
    </row>
    <row r="30" spans="1:38" ht="15" hidden="1" customHeight="1" outlineLevel="1">
      <c r="A30" s="62" t="s">
        <v>114</v>
      </c>
      <c r="B30" s="63">
        <v>25</v>
      </c>
      <c r="C30" s="229"/>
      <c r="D30" s="229"/>
      <c r="E30" s="229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>
        <v>0</v>
      </c>
      <c r="AA30" s="229">
        <f>SUMIFS([1]!Data_BS[Value],[1]!Data_BS[Index BS],'Khanh Nga'!$B30,[1]!Data_BS[TenCongTyID],'Khanh Nga'!$B$1,[1]!Data_BS[Thang.Nam],'Khanh Nga'!AA$5)</f>
        <v>0</v>
      </c>
      <c r="AB30" s="229">
        <f>SUMIFS([1]!Data_BS[Value],[1]!Data_BS[Index BS],'Khanh Nga'!$B30,[1]!Data_BS[TenCongTyID],'Khanh Nga'!$B$1,[1]!Data_BS[Thang.Nam],'Khanh Nga'!AB$5)</f>
        <v>0</v>
      </c>
      <c r="AC30" s="229">
        <f>SUMIFS([1]!Data_BS[Value],[1]!Data_BS[Index BS],'Khanh Nga'!$B30,[1]!Data_BS[TenCongTyID],'Khanh Nga'!$B$1,[1]!Data_BS[Thang.Nam],'Khanh Nga'!AC$5)</f>
        <v>0</v>
      </c>
      <c r="AD30" s="229">
        <f>SUMIFS([1]!Data_BS[Value],[1]!Data_BS[Index BS],'Khanh Nga'!$B30,[1]!Data_BS[TenCongTyID],'Khanh Nga'!$B$1,[1]!Data_BS[Thang.Nam],'Khanh Nga'!AD$5)</f>
        <v>0</v>
      </c>
      <c r="AE30" s="229">
        <f>SUMIFS([1]!Data_BS[Value],[1]!Data_BS[Index BS],'Khanh Nga'!$B30,[1]!Data_BS[TenCongTyID],'Khanh Nga'!$B$1,[1]!Data_BS[Thang.Nam],'Khanh Nga'!AE$5)</f>
        <v>0</v>
      </c>
      <c r="AF30" s="229">
        <f>SUMIFS([1]!Data_BS[Value],[1]!Data_BS[Index BS],'Khanh Nga'!$B30,[1]!Data_BS[TenCongTyID],'Khanh Nga'!$B$1,[1]!Data_BS[Thang.Nam],'Khanh Nga'!AF$5)</f>
        <v>0</v>
      </c>
      <c r="AG30" s="229">
        <f>SUMIFS([1]!Data_BS[Value],[1]!Data_BS[Index BS],'Khanh Nga'!$B30,[1]!Data_BS[TenCongTyID],'Khanh Nga'!$B$1,[1]!Data_BS[Thang.Nam],'Khanh Nga'!AG$5)</f>
        <v>0</v>
      </c>
      <c r="AH30" s="229">
        <f>SUMIFS([1]!Data_BS[Value],[1]!Data_BS[Index BS],'Khanh Nga'!$B30,[1]!Data_BS[TenCongTyID],'Khanh Nga'!$B$1,[1]!Data_BS[Thang.Nam],'Khanh Nga'!AH$5)</f>
        <v>0</v>
      </c>
      <c r="AI30" s="229">
        <f>SUMIFS([1]!Data_BS[Value],[1]!Data_BS[Index BS],'Khanh Nga'!$B30,[1]!Data_BS[TenCongTyID],'Khanh Nga'!$B$1,[1]!Data_BS[Thang.Nam],'Khanh Nga'!AI$5)</f>
        <v>0</v>
      </c>
      <c r="AJ30" s="229">
        <f>SUMIFS([1]!Data_BS[Value],[1]!Data_BS[Index BS],'Khanh Nga'!$B30,[1]!Data_BS[TenCongTyID],'Khanh Nga'!$B$1,[1]!Data_BS[Thang.Nam],'Khanh Nga'!AJ$5)</f>
        <v>0</v>
      </c>
      <c r="AK30" s="229">
        <f>SUMIFS([1]!Data_BS[Value],[1]!Data_BS[Index BS],'Khanh Nga'!$B30,[1]!Data_BS[TenCongTyID],'Khanh Nga'!$B$1,[1]!Data_BS[Thang.Nam],'Khanh Nga'!AK$5)</f>
        <v>0</v>
      </c>
      <c r="AL30" s="229">
        <f>SUMIFS([1]!Data_BS[Value],[1]!Data_BS[Index BS],'Khanh Nga'!$B30,[1]!Data_BS[TenCongTyID],'Khanh Nga'!$B$1,[1]!Data_BS[Thang.Nam],'Khanh Nga'!AL$5)</f>
        <v>0</v>
      </c>
    </row>
    <row r="31" spans="1:38" ht="15" hidden="1" customHeight="1" outlineLevel="1">
      <c r="A31" s="62" t="s">
        <v>115</v>
      </c>
      <c r="B31" s="63">
        <v>26</v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>
        <v>0</v>
      </c>
      <c r="AA31" s="229">
        <f>SUMIFS([1]!Data_BS[Value],[1]!Data_BS[Index BS],'Khanh Nga'!$B31,[1]!Data_BS[TenCongTyID],'Khanh Nga'!$B$1,[1]!Data_BS[Thang.Nam],'Khanh Nga'!AA$5)</f>
        <v>0</v>
      </c>
      <c r="AB31" s="229">
        <f>SUMIFS([1]!Data_BS[Value],[1]!Data_BS[Index BS],'Khanh Nga'!$B31,[1]!Data_BS[TenCongTyID],'Khanh Nga'!$B$1,[1]!Data_BS[Thang.Nam],'Khanh Nga'!AB$5)</f>
        <v>0</v>
      </c>
      <c r="AC31" s="229">
        <f>SUMIFS([1]!Data_BS[Value],[1]!Data_BS[Index BS],'Khanh Nga'!$B31,[1]!Data_BS[TenCongTyID],'Khanh Nga'!$B$1,[1]!Data_BS[Thang.Nam],'Khanh Nga'!AC$5)</f>
        <v>0</v>
      </c>
      <c r="AD31" s="229">
        <f>SUMIFS([1]!Data_BS[Value],[1]!Data_BS[Index BS],'Khanh Nga'!$B31,[1]!Data_BS[TenCongTyID],'Khanh Nga'!$B$1,[1]!Data_BS[Thang.Nam],'Khanh Nga'!AD$5)</f>
        <v>0</v>
      </c>
      <c r="AE31" s="229">
        <f>SUMIFS([1]!Data_BS[Value],[1]!Data_BS[Index BS],'Khanh Nga'!$B31,[1]!Data_BS[TenCongTyID],'Khanh Nga'!$B$1,[1]!Data_BS[Thang.Nam],'Khanh Nga'!AE$5)</f>
        <v>0</v>
      </c>
      <c r="AF31" s="229">
        <f>SUMIFS([1]!Data_BS[Value],[1]!Data_BS[Index BS],'Khanh Nga'!$B31,[1]!Data_BS[TenCongTyID],'Khanh Nga'!$B$1,[1]!Data_BS[Thang.Nam],'Khanh Nga'!AF$5)</f>
        <v>0</v>
      </c>
      <c r="AG31" s="229">
        <f>SUMIFS([1]!Data_BS[Value],[1]!Data_BS[Index BS],'Khanh Nga'!$B31,[1]!Data_BS[TenCongTyID],'Khanh Nga'!$B$1,[1]!Data_BS[Thang.Nam],'Khanh Nga'!AG$5)</f>
        <v>0</v>
      </c>
      <c r="AH31" s="229">
        <f>SUMIFS([1]!Data_BS[Value],[1]!Data_BS[Index BS],'Khanh Nga'!$B31,[1]!Data_BS[TenCongTyID],'Khanh Nga'!$B$1,[1]!Data_BS[Thang.Nam],'Khanh Nga'!AH$5)</f>
        <v>0</v>
      </c>
      <c r="AI31" s="229">
        <f>SUMIFS([1]!Data_BS[Value],[1]!Data_BS[Index BS],'Khanh Nga'!$B31,[1]!Data_BS[TenCongTyID],'Khanh Nga'!$B$1,[1]!Data_BS[Thang.Nam],'Khanh Nga'!AI$5)</f>
        <v>0</v>
      </c>
      <c r="AJ31" s="229">
        <f>SUMIFS([1]!Data_BS[Value],[1]!Data_BS[Index BS],'Khanh Nga'!$B31,[1]!Data_BS[TenCongTyID],'Khanh Nga'!$B$1,[1]!Data_BS[Thang.Nam],'Khanh Nga'!AJ$5)</f>
        <v>0</v>
      </c>
      <c r="AK31" s="229">
        <f>SUMIFS([1]!Data_BS[Value],[1]!Data_BS[Index BS],'Khanh Nga'!$B31,[1]!Data_BS[TenCongTyID],'Khanh Nga'!$B$1,[1]!Data_BS[Thang.Nam],'Khanh Nga'!AK$5)</f>
        <v>0</v>
      </c>
      <c r="AL31" s="229">
        <f>SUMIFS([1]!Data_BS[Value],[1]!Data_BS[Index BS],'Khanh Nga'!$B31,[1]!Data_BS[TenCongTyID],'Khanh Nga'!$B$1,[1]!Data_BS[Thang.Nam],'Khanh Nga'!AL$5)</f>
        <v>0</v>
      </c>
    </row>
    <row r="32" spans="1:38" ht="15" hidden="1" customHeight="1" outlineLevel="1">
      <c r="A32" s="59" t="s">
        <v>116</v>
      </c>
      <c r="B32" s="65">
        <v>27</v>
      </c>
      <c r="C32" s="233">
        <v>299393517</v>
      </c>
      <c r="D32" s="233">
        <v>191233013</v>
      </c>
      <c r="E32" s="233">
        <v>90481819</v>
      </c>
      <c r="F32" s="233">
        <v>72028029</v>
      </c>
      <c r="G32" s="233">
        <v>277803828</v>
      </c>
      <c r="H32" s="233">
        <v>158610482</v>
      </c>
      <c r="I32" s="233">
        <v>132607945</v>
      </c>
      <c r="J32" s="233">
        <v>487137262</v>
      </c>
      <c r="K32" s="233">
        <v>469104805</v>
      </c>
      <c r="L32" s="233">
        <v>530889860</v>
      </c>
      <c r="M32" s="233">
        <v>585365982</v>
      </c>
      <c r="N32" s="234">
        <v>1722790360</v>
      </c>
      <c r="O32" s="234">
        <v>1691602642</v>
      </c>
      <c r="P32" s="234">
        <v>1598308325</v>
      </c>
      <c r="Q32" s="234">
        <v>1578647628</v>
      </c>
      <c r="R32" s="234">
        <v>1640712130</v>
      </c>
      <c r="S32" s="234">
        <v>1777831545</v>
      </c>
      <c r="T32" s="234">
        <v>1787762600</v>
      </c>
      <c r="U32" s="234">
        <v>1679209173</v>
      </c>
      <c r="V32" s="234">
        <v>1559967977</v>
      </c>
      <c r="W32" s="234">
        <v>1454153533</v>
      </c>
      <c r="X32" s="234">
        <v>1414939090</v>
      </c>
      <c r="Y32" s="234">
        <v>1383743384</v>
      </c>
      <c r="Z32" s="234">
        <v>1475506166</v>
      </c>
      <c r="AA32" s="234">
        <f>SUMIFS([1]!Data_BS[Value],[1]!Data_BS[Index BS],'Khanh Nga'!$B32,[1]!Data_BS[TenCongTyID],'Khanh Nga'!$B$1,[1]!Data_BS[Thang.Nam],'Khanh Nga'!AA$5)</f>
        <v>0</v>
      </c>
      <c r="AB32" s="234">
        <f>SUMIFS([1]!Data_BS[Value],[1]!Data_BS[Index BS],'Khanh Nga'!$B32,[1]!Data_BS[TenCongTyID],'Khanh Nga'!$B$1,[1]!Data_BS[Thang.Nam],'Khanh Nga'!AB$5)</f>
        <v>0</v>
      </c>
      <c r="AC32" s="234">
        <f>SUMIFS([1]!Data_BS[Value],[1]!Data_BS[Index BS],'Khanh Nga'!$B32,[1]!Data_BS[TenCongTyID],'Khanh Nga'!$B$1,[1]!Data_BS[Thang.Nam],'Khanh Nga'!AC$5)</f>
        <v>0</v>
      </c>
      <c r="AD32" s="234">
        <f>SUMIFS([1]!Data_BS[Value],[1]!Data_BS[Index BS],'Khanh Nga'!$B32,[1]!Data_BS[TenCongTyID],'Khanh Nga'!$B$1,[1]!Data_BS[Thang.Nam],'Khanh Nga'!AD$5)</f>
        <v>0</v>
      </c>
      <c r="AE32" s="234">
        <f>SUMIFS([1]!Data_BS[Value],[1]!Data_BS[Index BS],'Khanh Nga'!$B32,[1]!Data_BS[TenCongTyID],'Khanh Nga'!$B$1,[1]!Data_BS[Thang.Nam],'Khanh Nga'!AE$5)</f>
        <v>0</v>
      </c>
      <c r="AF32" s="234">
        <f>SUMIFS([1]!Data_BS[Value],[1]!Data_BS[Index BS],'Khanh Nga'!$B32,[1]!Data_BS[TenCongTyID],'Khanh Nga'!$B$1,[1]!Data_BS[Thang.Nam],'Khanh Nga'!AF$5)</f>
        <v>0</v>
      </c>
      <c r="AG32" s="234">
        <f>SUMIFS([1]!Data_BS[Value],[1]!Data_BS[Index BS],'Khanh Nga'!$B32,[1]!Data_BS[TenCongTyID],'Khanh Nga'!$B$1,[1]!Data_BS[Thang.Nam],'Khanh Nga'!AG$5)</f>
        <v>0</v>
      </c>
      <c r="AH32" s="234">
        <f>SUMIFS([1]!Data_BS[Value],[1]!Data_BS[Index BS],'Khanh Nga'!$B32,[1]!Data_BS[TenCongTyID],'Khanh Nga'!$B$1,[1]!Data_BS[Thang.Nam],'Khanh Nga'!AH$5)</f>
        <v>0</v>
      </c>
      <c r="AI32" s="234">
        <f>SUMIFS([1]!Data_BS[Value],[1]!Data_BS[Index BS],'Khanh Nga'!$B32,[1]!Data_BS[TenCongTyID],'Khanh Nga'!$B$1,[1]!Data_BS[Thang.Nam],'Khanh Nga'!AI$5)</f>
        <v>0</v>
      </c>
      <c r="AJ32" s="234">
        <f>SUMIFS([1]!Data_BS[Value],[1]!Data_BS[Index BS],'Khanh Nga'!$B32,[1]!Data_BS[TenCongTyID],'Khanh Nga'!$B$1,[1]!Data_BS[Thang.Nam],'Khanh Nga'!AJ$5)</f>
        <v>0</v>
      </c>
      <c r="AK32" s="234">
        <f>SUMIFS([1]!Data_BS[Value],[1]!Data_BS[Index BS],'Khanh Nga'!$B32,[1]!Data_BS[TenCongTyID],'Khanh Nga'!$B$1,[1]!Data_BS[Thang.Nam],'Khanh Nga'!AK$5)</f>
        <v>0</v>
      </c>
      <c r="AL32" s="234">
        <f>SUMIFS([1]!Data_BS[Value],[1]!Data_BS[Index BS],'Khanh Nga'!$B32,[1]!Data_BS[TenCongTyID],'Khanh Nga'!$B$1,[1]!Data_BS[Thang.Nam],'Khanh Nga'!AL$5)</f>
        <v>0</v>
      </c>
    </row>
    <row r="33" spans="1:38" ht="15" hidden="1" customHeight="1" outlineLevel="1">
      <c r="A33" s="67" t="s">
        <v>117</v>
      </c>
      <c r="B33" s="63">
        <v>28</v>
      </c>
      <c r="C33" s="229">
        <v>299393517</v>
      </c>
      <c r="D33" s="229">
        <v>191233013</v>
      </c>
      <c r="E33" s="229">
        <v>90481819</v>
      </c>
      <c r="F33" s="229">
        <v>69458278</v>
      </c>
      <c r="G33" s="229">
        <v>277803828</v>
      </c>
      <c r="H33" s="229">
        <v>154935453</v>
      </c>
      <c r="I33" s="229">
        <v>128927801</v>
      </c>
      <c r="J33" s="229">
        <v>483512118</v>
      </c>
      <c r="K33" s="229">
        <v>468668881</v>
      </c>
      <c r="L33" s="229">
        <v>526861755</v>
      </c>
      <c r="M33" s="229">
        <v>492490196</v>
      </c>
      <c r="N33" s="229">
        <v>1722790360</v>
      </c>
      <c r="O33" s="229">
        <v>1691602642</v>
      </c>
      <c r="P33" s="229">
        <v>1598308325</v>
      </c>
      <c r="Q33" s="229">
        <v>1578647628</v>
      </c>
      <c r="R33" s="229">
        <v>1640712130</v>
      </c>
      <c r="S33" s="229">
        <v>1777831545</v>
      </c>
      <c r="T33" s="229">
        <v>1787762600</v>
      </c>
      <c r="U33" s="229">
        <v>1667546915</v>
      </c>
      <c r="V33" s="229">
        <v>1559967977</v>
      </c>
      <c r="W33" s="229">
        <v>1454153533</v>
      </c>
      <c r="X33" s="229">
        <v>1414939090</v>
      </c>
      <c r="Y33" s="229">
        <v>1383743384</v>
      </c>
      <c r="Z33" s="229">
        <v>1475506166</v>
      </c>
      <c r="AA33" s="229">
        <f>SUMIFS([1]!Data_BS[Value],[1]!Data_BS[Index BS],'Khanh Nga'!$B33,[1]!Data_BS[TenCongTyID],'Khanh Nga'!$B$1,[1]!Data_BS[Thang.Nam],'Khanh Nga'!AA$5)</f>
        <v>0</v>
      </c>
      <c r="AB33" s="229">
        <f>SUMIFS([1]!Data_BS[Value],[1]!Data_BS[Index BS],'Khanh Nga'!$B33,[1]!Data_BS[TenCongTyID],'Khanh Nga'!$B$1,[1]!Data_BS[Thang.Nam],'Khanh Nga'!AB$5)</f>
        <v>0</v>
      </c>
      <c r="AC33" s="229">
        <f>SUMIFS([1]!Data_BS[Value],[1]!Data_BS[Index BS],'Khanh Nga'!$B33,[1]!Data_BS[TenCongTyID],'Khanh Nga'!$B$1,[1]!Data_BS[Thang.Nam],'Khanh Nga'!AC$5)</f>
        <v>0</v>
      </c>
      <c r="AD33" s="229">
        <f>SUMIFS([1]!Data_BS[Value],[1]!Data_BS[Index BS],'Khanh Nga'!$B33,[1]!Data_BS[TenCongTyID],'Khanh Nga'!$B$1,[1]!Data_BS[Thang.Nam],'Khanh Nga'!AD$5)</f>
        <v>0</v>
      </c>
      <c r="AE33" s="229">
        <f>SUMIFS([1]!Data_BS[Value],[1]!Data_BS[Index BS],'Khanh Nga'!$B33,[1]!Data_BS[TenCongTyID],'Khanh Nga'!$B$1,[1]!Data_BS[Thang.Nam],'Khanh Nga'!AE$5)</f>
        <v>0</v>
      </c>
      <c r="AF33" s="229">
        <f>SUMIFS([1]!Data_BS[Value],[1]!Data_BS[Index BS],'Khanh Nga'!$B33,[1]!Data_BS[TenCongTyID],'Khanh Nga'!$B$1,[1]!Data_BS[Thang.Nam],'Khanh Nga'!AF$5)</f>
        <v>0</v>
      </c>
      <c r="AG33" s="229">
        <f>SUMIFS([1]!Data_BS[Value],[1]!Data_BS[Index BS],'Khanh Nga'!$B33,[1]!Data_BS[TenCongTyID],'Khanh Nga'!$B$1,[1]!Data_BS[Thang.Nam],'Khanh Nga'!AG$5)</f>
        <v>0</v>
      </c>
      <c r="AH33" s="229">
        <f>SUMIFS([1]!Data_BS[Value],[1]!Data_BS[Index BS],'Khanh Nga'!$B33,[1]!Data_BS[TenCongTyID],'Khanh Nga'!$B$1,[1]!Data_BS[Thang.Nam],'Khanh Nga'!AH$5)</f>
        <v>0</v>
      </c>
      <c r="AI33" s="229">
        <f>SUMIFS([1]!Data_BS[Value],[1]!Data_BS[Index BS],'Khanh Nga'!$B33,[1]!Data_BS[TenCongTyID],'Khanh Nga'!$B$1,[1]!Data_BS[Thang.Nam],'Khanh Nga'!AI$5)</f>
        <v>0</v>
      </c>
      <c r="AJ33" s="229">
        <f>SUMIFS([1]!Data_BS[Value],[1]!Data_BS[Index BS],'Khanh Nga'!$B33,[1]!Data_BS[TenCongTyID],'Khanh Nga'!$B$1,[1]!Data_BS[Thang.Nam],'Khanh Nga'!AJ$5)</f>
        <v>0</v>
      </c>
      <c r="AK33" s="229">
        <f>SUMIFS([1]!Data_BS[Value],[1]!Data_BS[Index BS],'Khanh Nga'!$B33,[1]!Data_BS[TenCongTyID],'Khanh Nga'!$B$1,[1]!Data_BS[Thang.Nam],'Khanh Nga'!AK$5)</f>
        <v>0</v>
      </c>
      <c r="AL33" s="229">
        <f>SUMIFS([1]!Data_BS[Value],[1]!Data_BS[Index BS],'Khanh Nga'!$B33,[1]!Data_BS[TenCongTyID],'Khanh Nga'!$B$1,[1]!Data_BS[Thang.Nam],'Khanh Nga'!AL$5)</f>
        <v>0</v>
      </c>
    </row>
    <row r="34" spans="1:38" ht="15" hidden="1" customHeight="1" outlineLevel="1">
      <c r="A34" s="67" t="s">
        <v>118</v>
      </c>
      <c r="B34" s="63">
        <v>29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92875786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/>
      <c r="X34" s="229">
        <v>0</v>
      </c>
      <c r="Y34" s="229"/>
      <c r="Z34" s="229">
        <v>0</v>
      </c>
      <c r="AA34" s="229">
        <f>SUMIFS([1]!Data_BS[Value],[1]!Data_BS[Index BS],'Khanh Nga'!$B34,[1]!Data_BS[TenCongTyID],'Khanh Nga'!$B$1,[1]!Data_BS[Thang.Nam],'Khanh Nga'!AA$5)</f>
        <v>0</v>
      </c>
      <c r="AB34" s="229">
        <f>SUMIFS([1]!Data_BS[Value],[1]!Data_BS[Index BS],'Khanh Nga'!$B34,[1]!Data_BS[TenCongTyID],'Khanh Nga'!$B$1,[1]!Data_BS[Thang.Nam],'Khanh Nga'!AB$5)</f>
        <v>0</v>
      </c>
      <c r="AC34" s="229">
        <f>SUMIFS([1]!Data_BS[Value],[1]!Data_BS[Index BS],'Khanh Nga'!$B34,[1]!Data_BS[TenCongTyID],'Khanh Nga'!$B$1,[1]!Data_BS[Thang.Nam],'Khanh Nga'!AC$5)</f>
        <v>0</v>
      </c>
      <c r="AD34" s="229">
        <f>SUMIFS([1]!Data_BS[Value],[1]!Data_BS[Index BS],'Khanh Nga'!$B34,[1]!Data_BS[TenCongTyID],'Khanh Nga'!$B$1,[1]!Data_BS[Thang.Nam],'Khanh Nga'!AD$5)</f>
        <v>0</v>
      </c>
      <c r="AE34" s="229">
        <f>SUMIFS([1]!Data_BS[Value],[1]!Data_BS[Index BS],'Khanh Nga'!$B34,[1]!Data_BS[TenCongTyID],'Khanh Nga'!$B$1,[1]!Data_BS[Thang.Nam],'Khanh Nga'!AE$5)</f>
        <v>0</v>
      </c>
      <c r="AF34" s="229">
        <f>SUMIFS([1]!Data_BS[Value],[1]!Data_BS[Index BS],'Khanh Nga'!$B34,[1]!Data_BS[TenCongTyID],'Khanh Nga'!$B$1,[1]!Data_BS[Thang.Nam],'Khanh Nga'!AF$5)</f>
        <v>0</v>
      </c>
      <c r="AG34" s="229">
        <f>SUMIFS([1]!Data_BS[Value],[1]!Data_BS[Index BS],'Khanh Nga'!$B34,[1]!Data_BS[TenCongTyID],'Khanh Nga'!$B$1,[1]!Data_BS[Thang.Nam],'Khanh Nga'!AG$5)</f>
        <v>0</v>
      </c>
      <c r="AH34" s="229">
        <f>SUMIFS([1]!Data_BS[Value],[1]!Data_BS[Index BS],'Khanh Nga'!$B34,[1]!Data_BS[TenCongTyID],'Khanh Nga'!$B$1,[1]!Data_BS[Thang.Nam],'Khanh Nga'!AH$5)</f>
        <v>0</v>
      </c>
      <c r="AI34" s="229">
        <f>SUMIFS([1]!Data_BS[Value],[1]!Data_BS[Index BS],'Khanh Nga'!$B34,[1]!Data_BS[TenCongTyID],'Khanh Nga'!$B$1,[1]!Data_BS[Thang.Nam],'Khanh Nga'!AI$5)</f>
        <v>0</v>
      </c>
      <c r="AJ34" s="229">
        <f>SUMIFS([1]!Data_BS[Value],[1]!Data_BS[Index BS],'Khanh Nga'!$B34,[1]!Data_BS[TenCongTyID],'Khanh Nga'!$B$1,[1]!Data_BS[Thang.Nam],'Khanh Nga'!AJ$5)</f>
        <v>0</v>
      </c>
      <c r="AK34" s="229">
        <f>SUMIFS([1]!Data_BS[Value],[1]!Data_BS[Index BS],'Khanh Nga'!$B34,[1]!Data_BS[TenCongTyID],'Khanh Nga'!$B$1,[1]!Data_BS[Thang.Nam],'Khanh Nga'!AK$5)</f>
        <v>0</v>
      </c>
      <c r="AL34" s="229">
        <f>SUMIFS([1]!Data_BS[Value],[1]!Data_BS[Index BS],'Khanh Nga'!$B34,[1]!Data_BS[TenCongTyID],'Khanh Nga'!$B$1,[1]!Data_BS[Thang.Nam],'Khanh Nga'!AL$5)</f>
        <v>0</v>
      </c>
    </row>
    <row r="35" spans="1:38" ht="15" hidden="1" customHeight="1" outlineLevel="1">
      <c r="A35" s="67" t="s">
        <v>119</v>
      </c>
      <c r="B35" s="63">
        <v>30</v>
      </c>
      <c r="C35" s="229">
        <v>0</v>
      </c>
      <c r="D35" s="229">
        <v>0</v>
      </c>
      <c r="E35" s="229">
        <v>0</v>
      </c>
      <c r="F35" s="229">
        <v>2569751</v>
      </c>
      <c r="G35" s="229">
        <v>0</v>
      </c>
      <c r="H35" s="229">
        <v>3675029</v>
      </c>
      <c r="I35" s="229">
        <v>3680144</v>
      </c>
      <c r="J35" s="229">
        <v>3625144</v>
      </c>
      <c r="K35" s="229">
        <v>435924</v>
      </c>
      <c r="L35" s="229">
        <v>4028105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11662258</v>
      </c>
      <c r="V35" s="229">
        <v>0</v>
      </c>
      <c r="W35" s="229"/>
      <c r="X35" s="229">
        <v>0</v>
      </c>
      <c r="Y35" s="229"/>
      <c r="Z35" s="229">
        <v>0</v>
      </c>
      <c r="AA35" s="229">
        <f>SUMIFS([1]!Data_BS[Value],[1]!Data_BS[Index BS],'Khanh Nga'!$B35,[1]!Data_BS[TenCongTyID],'Khanh Nga'!$B$1,[1]!Data_BS[Thang.Nam],'Khanh Nga'!AA$5)</f>
        <v>0</v>
      </c>
      <c r="AB35" s="229">
        <f>SUMIFS([1]!Data_BS[Value],[1]!Data_BS[Index BS],'Khanh Nga'!$B35,[1]!Data_BS[TenCongTyID],'Khanh Nga'!$B$1,[1]!Data_BS[Thang.Nam],'Khanh Nga'!AB$5)</f>
        <v>0</v>
      </c>
      <c r="AC35" s="229">
        <f>SUMIFS([1]!Data_BS[Value],[1]!Data_BS[Index BS],'Khanh Nga'!$B35,[1]!Data_BS[TenCongTyID],'Khanh Nga'!$B$1,[1]!Data_BS[Thang.Nam],'Khanh Nga'!AC$5)</f>
        <v>0</v>
      </c>
      <c r="AD35" s="229">
        <f>SUMIFS([1]!Data_BS[Value],[1]!Data_BS[Index BS],'Khanh Nga'!$B35,[1]!Data_BS[TenCongTyID],'Khanh Nga'!$B$1,[1]!Data_BS[Thang.Nam],'Khanh Nga'!AD$5)</f>
        <v>0</v>
      </c>
      <c r="AE35" s="229">
        <f>SUMIFS([1]!Data_BS[Value],[1]!Data_BS[Index BS],'Khanh Nga'!$B35,[1]!Data_BS[TenCongTyID],'Khanh Nga'!$B$1,[1]!Data_BS[Thang.Nam],'Khanh Nga'!AE$5)</f>
        <v>0</v>
      </c>
      <c r="AF35" s="229">
        <f>SUMIFS([1]!Data_BS[Value],[1]!Data_BS[Index BS],'Khanh Nga'!$B35,[1]!Data_BS[TenCongTyID],'Khanh Nga'!$B$1,[1]!Data_BS[Thang.Nam],'Khanh Nga'!AF$5)</f>
        <v>0</v>
      </c>
      <c r="AG35" s="229">
        <f>SUMIFS([1]!Data_BS[Value],[1]!Data_BS[Index BS],'Khanh Nga'!$B35,[1]!Data_BS[TenCongTyID],'Khanh Nga'!$B$1,[1]!Data_BS[Thang.Nam],'Khanh Nga'!AG$5)</f>
        <v>0</v>
      </c>
      <c r="AH35" s="229">
        <f>SUMIFS([1]!Data_BS[Value],[1]!Data_BS[Index BS],'Khanh Nga'!$B35,[1]!Data_BS[TenCongTyID],'Khanh Nga'!$B$1,[1]!Data_BS[Thang.Nam],'Khanh Nga'!AH$5)</f>
        <v>0</v>
      </c>
      <c r="AI35" s="229">
        <f>SUMIFS([1]!Data_BS[Value],[1]!Data_BS[Index BS],'Khanh Nga'!$B35,[1]!Data_BS[TenCongTyID],'Khanh Nga'!$B$1,[1]!Data_BS[Thang.Nam],'Khanh Nga'!AI$5)</f>
        <v>0</v>
      </c>
      <c r="AJ35" s="229">
        <f>SUMIFS([1]!Data_BS[Value],[1]!Data_BS[Index BS],'Khanh Nga'!$B35,[1]!Data_BS[TenCongTyID],'Khanh Nga'!$B$1,[1]!Data_BS[Thang.Nam],'Khanh Nga'!AJ$5)</f>
        <v>0</v>
      </c>
      <c r="AK35" s="229">
        <f>SUMIFS([1]!Data_BS[Value],[1]!Data_BS[Index BS],'Khanh Nga'!$B35,[1]!Data_BS[TenCongTyID],'Khanh Nga'!$B$1,[1]!Data_BS[Thang.Nam],'Khanh Nga'!AK$5)</f>
        <v>0</v>
      </c>
      <c r="AL35" s="229">
        <f>SUMIFS([1]!Data_BS[Value],[1]!Data_BS[Index BS],'Khanh Nga'!$B35,[1]!Data_BS[TenCongTyID],'Khanh Nga'!$B$1,[1]!Data_BS[Thang.Nam],'Khanh Nga'!AL$5)</f>
        <v>0</v>
      </c>
    </row>
    <row r="36" spans="1:38" ht="15" hidden="1" customHeight="1" outlineLevel="1">
      <c r="A36" s="67" t="s">
        <v>120</v>
      </c>
      <c r="B36" s="63">
        <v>31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/>
      <c r="X36" s="229">
        <v>0</v>
      </c>
      <c r="Y36" s="229"/>
      <c r="Z36" s="229">
        <v>0</v>
      </c>
      <c r="AA36" s="229">
        <f>SUMIFS([1]!Data_BS[Value],[1]!Data_BS[Index BS],'Khanh Nga'!$B36,[1]!Data_BS[TenCongTyID],'Khanh Nga'!$B$1,[1]!Data_BS[Thang.Nam],'Khanh Nga'!AA$5)</f>
        <v>0</v>
      </c>
      <c r="AB36" s="229">
        <f>SUMIFS([1]!Data_BS[Value],[1]!Data_BS[Index BS],'Khanh Nga'!$B36,[1]!Data_BS[TenCongTyID],'Khanh Nga'!$B$1,[1]!Data_BS[Thang.Nam],'Khanh Nga'!AB$5)</f>
        <v>0</v>
      </c>
      <c r="AC36" s="229">
        <f>SUMIFS([1]!Data_BS[Value],[1]!Data_BS[Index BS],'Khanh Nga'!$B36,[1]!Data_BS[TenCongTyID],'Khanh Nga'!$B$1,[1]!Data_BS[Thang.Nam],'Khanh Nga'!AC$5)</f>
        <v>0</v>
      </c>
      <c r="AD36" s="229">
        <f>SUMIFS([1]!Data_BS[Value],[1]!Data_BS[Index BS],'Khanh Nga'!$B36,[1]!Data_BS[TenCongTyID],'Khanh Nga'!$B$1,[1]!Data_BS[Thang.Nam],'Khanh Nga'!AD$5)</f>
        <v>0</v>
      </c>
      <c r="AE36" s="229">
        <f>SUMIFS([1]!Data_BS[Value],[1]!Data_BS[Index BS],'Khanh Nga'!$B36,[1]!Data_BS[TenCongTyID],'Khanh Nga'!$B$1,[1]!Data_BS[Thang.Nam],'Khanh Nga'!AE$5)</f>
        <v>0</v>
      </c>
      <c r="AF36" s="229">
        <f>SUMIFS([1]!Data_BS[Value],[1]!Data_BS[Index BS],'Khanh Nga'!$B36,[1]!Data_BS[TenCongTyID],'Khanh Nga'!$B$1,[1]!Data_BS[Thang.Nam],'Khanh Nga'!AF$5)</f>
        <v>0</v>
      </c>
      <c r="AG36" s="229">
        <f>SUMIFS([1]!Data_BS[Value],[1]!Data_BS[Index BS],'Khanh Nga'!$B36,[1]!Data_BS[TenCongTyID],'Khanh Nga'!$B$1,[1]!Data_BS[Thang.Nam],'Khanh Nga'!AG$5)</f>
        <v>0</v>
      </c>
      <c r="AH36" s="229">
        <f>SUMIFS([1]!Data_BS[Value],[1]!Data_BS[Index BS],'Khanh Nga'!$B36,[1]!Data_BS[TenCongTyID],'Khanh Nga'!$B$1,[1]!Data_BS[Thang.Nam],'Khanh Nga'!AH$5)</f>
        <v>0</v>
      </c>
      <c r="AI36" s="229">
        <f>SUMIFS([1]!Data_BS[Value],[1]!Data_BS[Index BS],'Khanh Nga'!$B36,[1]!Data_BS[TenCongTyID],'Khanh Nga'!$B$1,[1]!Data_BS[Thang.Nam],'Khanh Nga'!AI$5)</f>
        <v>0</v>
      </c>
      <c r="AJ36" s="229">
        <f>SUMIFS([1]!Data_BS[Value],[1]!Data_BS[Index BS],'Khanh Nga'!$B36,[1]!Data_BS[TenCongTyID],'Khanh Nga'!$B$1,[1]!Data_BS[Thang.Nam],'Khanh Nga'!AJ$5)</f>
        <v>0</v>
      </c>
      <c r="AK36" s="229">
        <f>SUMIFS([1]!Data_BS[Value],[1]!Data_BS[Index BS],'Khanh Nga'!$B36,[1]!Data_BS[TenCongTyID],'Khanh Nga'!$B$1,[1]!Data_BS[Thang.Nam],'Khanh Nga'!AK$5)</f>
        <v>0</v>
      </c>
      <c r="AL36" s="229">
        <f>SUMIFS([1]!Data_BS[Value],[1]!Data_BS[Index BS],'Khanh Nga'!$B36,[1]!Data_BS[TenCongTyID],'Khanh Nga'!$B$1,[1]!Data_BS[Thang.Nam],'Khanh Nga'!AL$5)</f>
        <v>0</v>
      </c>
    </row>
    <row r="37" spans="1:38" ht="15" hidden="1" customHeight="1" outlineLevel="1">
      <c r="A37" s="67" t="s">
        <v>121</v>
      </c>
      <c r="B37" s="63">
        <v>32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/>
      <c r="X37" s="229">
        <v>0</v>
      </c>
      <c r="Y37" s="229"/>
      <c r="Z37" s="229">
        <v>0</v>
      </c>
      <c r="AA37" s="229">
        <f>SUMIFS([1]!Data_BS[Value],[1]!Data_BS[Index BS],'Khanh Nga'!$B37,[1]!Data_BS[TenCongTyID],'Khanh Nga'!$B$1,[1]!Data_BS[Thang.Nam],'Khanh Nga'!AA$5)</f>
        <v>0</v>
      </c>
      <c r="AB37" s="229">
        <f>SUMIFS([1]!Data_BS[Value],[1]!Data_BS[Index BS],'Khanh Nga'!$B37,[1]!Data_BS[TenCongTyID],'Khanh Nga'!$B$1,[1]!Data_BS[Thang.Nam],'Khanh Nga'!AB$5)</f>
        <v>0</v>
      </c>
      <c r="AC37" s="229">
        <f>SUMIFS([1]!Data_BS[Value],[1]!Data_BS[Index BS],'Khanh Nga'!$B37,[1]!Data_BS[TenCongTyID],'Khanh Nga'!$B$1,[1]!Data_BS[Thang.Nam],'Khanh Nga'!AC$5)</f>
        <v>0</v>
      </c>
      <c r="AD37" s="229">
        <f>SUMIFS([1]!Data_BS[Value],[1]!Data_BS[Index BS],'Khanh Nga'!$B37,[1]!Data_BS[TenCongTyID],'Khanh Nga'!$B$1,[1]!Data_BS[Thang.Nam],'Khanh Nga'!AD$5)</f>
        <v>0</v>
      </c>
      <c r="AE37" s="229">
        <f>SUMIFS([1]!Data_BS[Value],[1]!Data_BS[Index BS],'Khanh Nga'!$B37,[1]!Data_BS[TenCongTyID],'Khanh Nga'!$B$1,[1]!Data_BS[Thang.Nam],'Khanh Nga'!AE$5)</f>
        <v>0</v>
      </c>
      <c r="AF37" s="229">
        <f>SUMIFS([1]!Data_BS[Value],[1]!Data_BS[Index BS],'Khanh Nga'!$B37,[1]!Data_BS[TenCongTyID],'Khanh Nga'!$B$1,[1]!Data_BS[Thang.Nam],'Khanh Nga'!AF$5)</f>
        <v>0</v>
      </c>
      <c r="AG37" s="229">
        <f>SUMIFS([1]!Data_BS[Value],[1]!Data_BS[Index BS],'Khanh Nga'!$B37,[1]!Data_BS[TenCongTyID],'Khanh Nga'!$B$1,[1]!Data_BS[Thang.Nam],'Khanh Nga'!AG$5)</f>
        <v>0</v>
      </c>
      <c r="AH37" s="229">
        <f>SUMIFS([1]!Data_BS[Value],[1]!Data_BS[Index BS],'Khanh Nga'!$B37,[1]!Data_BS[TenCongTyID],'Khanh Nga'!$B$1,[1]!Data_BS[Thang.Nam],'Khanh Nga'!AH$5)</f>
        <v>0</v>
      </c>
      <c r="AI37" s="229">
        <f>SUMIFS([1]!Data_BS[Value],[1]!Data_BS[Index BS],'Khanh Nga'!$B37,[1]!Data_BS[TenCongTyID],'Khanh Nga'!$B$1,[1]!Data_BS[Thang.Nam],'Khanh Nga'!AI$5)</f>
        <v>0</v>
      </c>
      <c r="AJ37" s="229">
        <f>SUMIFS([1]!Data_BS[Value],[1]!Data_BS[Index BS],'Khanh Nga'!$B37,[1]!Data_BS[TenCongTyID],'Khanh Nga'!$B$1,[1]!Data_BS[Thang.Nam],'Khanh Nga'!AJ$5)</f>
        <v>0</v>
      </c>
      <c r="AK37" s="229">
        <f>SUMIFS([1]!Data_BS[Value],[1]!Data_BS[Index BS],'Khanh Nga'!$B37,[1]!Data_BS[TenCongTyID],'Khanh Nga'!$B$1,[1]!Data_BS[Thang.Nam],'Khanh Nga'!AK$5)</f>
        <v>0</v>
      </c>
      <c r="AL37" s="229">
        <f>SUMIFS([1]!Data_BS[Value],[1]!Data_BS[Index BS],'Khanh Nga'!$B37,[1]!Data_BS[TenCongTyID],'Khanh Nga'!$B$1,[1]!Data_BS[Thang.Nam],'Khanh Nga'!AL$5)</f>
        <v>0</v>
      </c>
    </row>
    <row r="38" spans="1:38" ht="14" hidden="1" outlineLevel="1">
      <c r="A38" s="70" t="s">
        <v>122</v>
      </c>
      <c r="B38" s="71">
        <v>33</v>
      </c>
      <c r="C38" s="240">
        <v>5404864897</v>
      </c>
      <c r="D38" s="240">
        <v>5282551212</v>
      </c>
      <c r="E38" s="240">
        <v>5160237527</v>
      </c>
      <c r="F38" s="240">
        <v>5331923842</v>
      </c>
      <c r="G38" s="240">
        <v>5012929409</v>
      </c>
      <c r="H38" s="240">
        <v>5784407447</v>
      </c>
      <c r="I38" s="240">
        <v>5643479688</v>
      </c>
      <c r="J38" s="240">
        <v>5419127516</v>
      </c>
      <c r="K38" s="240">
        <v>5196017498</v>
      </c>
      <c r="L38" s="240">
        <v>6384979984</v>
      </c>
      <c r="M38" s="240">
        <v>7107420521</v>
      </c>
      <c r="N38" s="241">
        <v>6850924337</v>
      </c>
      <c r="O38" s="241">
        <v>7267465926</v>
      </c>
      <c r="P38" s="241">
        <v>7105911843</v>
      </c>
      <c r="Q38" s="241">
        <v>6944357760</v>
      </c>
      <c r="R38" s="241">
        <v>7528970344</v>
      </c>
      <c r="S38" s="241">
        <v>7284093676</v>
      </c>
      <c r="T38" s="241">
        <v>7622529710</v>
      </c>
      <c r="U38" s="241">
        <v>7598139347</v>
      </c>
      <c r="V38" s="241">
        <v>7788793798</v>
      </c>
      <c r="W38" s="241">
        <f>+W39+W46+W65+W71+W78+W68</f>
        <v>7672122570</v>
      </c>
      <c r="X38" s="241">
        <v>7475390719</v>
      </c>
      <c r="Y38" s="241">
        <v>7334159795</v>
      </c>
      <c r="Z38" s="241">
        <v>7145209425</v>
      </c>
      <c r="AA38" s="241">
        <f>SUMIFS([1]!Data_BS[Value],[1]!Data_BS[Index BS],'Khanh Nga'!$B38,[1]!Data_BS[TenCongTyID],'Khanh Nga'!$B$1,[1]!Data_BS[Thang.Nam],'Khanh Nga'!AA$5)</f>
        <v>0</v>
      </c>
      <c r="AB38" s="241">
        <f>SUMIFS([1]!Data_BS[Value],[1]!Data_BS[Index BS],'Khanh Nga'!$B38,[1]!Data_BS[TenCongTyID],'Khanh Nga'!$B$1,[1]!Data_BS[Thang.Nam],'Khanh Nga'!AB$5)</f>
        <v>0</v>
      </c>
      <c r="AC38" s="241">
        <f>SUMIFS([1]!Data_BS[Value],[1]!Data_BS[Index BS],'Khanh Nga'!$B38,[1]!Data_BS[TenCongTyID],'Khanh Nga'!$B$1,[1]!Data_BS[Thang.Nam],'Khanh Nga'!AC$5)</f>
        <v>0</v>
      </c>
      <c r="AD38" s="241">
        <f>SUMIFS([1]!Data_BS[Value],[1]!Data_BS[Index BS],'Khanh Nga'!$B38,[1]!Data_BS[TenCongTyID],'Khanh Nga'!$B$1,[1]!Data_BS[Thang.Nam],'Khanh Nga'!AD$5)</f>
        <v>0</v>
      </c>
      <c r="AE38" s="241">
        <f>SUMIFS([1]!Data_BS[Value],[1]!Data_BS[Index BS],'Khanh Nga'!$B38,[1]!Data_BS[TenCongTyID],'Khanh Nga'!$B$1,[1]!Data_BS[Thang.Nam],'Khanh Nga'!AE$5)</f>
        <v>0</v>
      </c>
      <c r="AF38" s="241">
        <f>SUMIFS([1]!Data_BS[Value],[1]!Data_BS[Index BS],'Khanh Nga'!$B38,[1]!Data_BS[TenCongTyID],'Khanh Nga'!$B$1,[1]!Data_BS[Thang.Nam],'Khanh Nga'!AF$5)</f>
        <v>0</v>
      </c>
      <c r="AG38" s="241">
        <f>SUMIFS([1]!Data_BS[Value],[1]!Data_BS[Index BS],'Khanh Nga'!$B38,[1]!Data_BS[TenCongTyID],'Khanh Nga'!$B$1,[1]!Data_BS[Thang.Nam],'Khanh Nga'!AG$5)</f>
        <v>0</v>
      </c>
      <c r="AH38" s="241">
        <f>SUMIFS([1]!Data_BS[Value],[1]!Data_BS[Index BS],'Khanh Nga'!$B38,[1]!Data_BS[TenCongTyID],'Khanh Nga'!$B$1,[1]!Data_BS[Thang.Nam],'Khanh Nga'!AH$5)</f>
        <v>0</v>
      </c>
      <c r="AI38" s="241">
        <f>SUMIFS([1]!Data_BS[Value],[1]!Data_BS[Index BS],'Khanh Nga'!$B38,[1]!Data_BS[TenCongTyID],'Khanh Nga'!$B$1,[1]!Data_BS[Thang.Nam],'Khanh Nga'!AI$5)</f>
        <v>0</v>
      </c>
      <c r="AJ38" s="241">
        <f>SUMIFS([1]!Data_BS[Value],[1]!Data_BS[Index BS],'Khanh Nga'!$B38,[1]!Data_BS[TenCongTyID],'Khanh Nga'!$B$1,[1]!Data_BS[Thang.Nam],'Khanh Nga'!AJ$5)</f>
        <v>0</v>
      </c>
      <c r="AK38" s="241">
        <f>SUMIFS([1]!Data_BS[Value],[1]!Data_BS[Index BS],'Khanh Nga'!$B38,[1]!Data_BS[TenCongTyID],'Khanh Nga'!$B$1,[1]!Data_BS[Thang.Nam],'Khanh Nga'!AK$5)</f>
        <v>0</v>
      </c>
      <c r="AL38" s="241">
        <f>SUMIFS([1]!Data_BS[Value],[1]!Data_BS[Index BS],'Khanh Nga'!$B38,[1]!Data_BS[TenCongTyID],'Khanh Nga'!$B$1,[1]!Data_BS[Thang.Nam],'Khanh Nga'!AL$5)</f>
        <v>0</v>
      </c>
    </row>
    <row r="39" spans="1:38" ht="15" hidden="1" customHeight="1" outlineLevel="1">
      <c r="A39" s="59" t="s">
        <v>123</v>
      </c>
      <c r="B39" s="65">
        <v>34</v>
      </c>
      <c r="C39" s="233">
        <v>240000000</v>
      </c>
      <c r="D39" s="233">
        <v>240000000</v>
      </c>
      <c r="E39" s="233">
        <v>240000000</v>
      </c>
      <c r="F39" s="233">
        <v>240000000</v>
      </c>
      <c r="G39" s="233">
        <v>240000000</v>
      </c>
      <c r="H39" s="233">
        <v>1140000000</v>
      </c>
      <c r="I39" s="233">
        <v>930823092</v>
      </c>
      <c r="J39" s="233">
        <v>930823092</v>
      </c>
      <c r="K39" s="233">
        <v>930823092</v>
      </c>
      <c r="L39" s="233">
        <v>930823092</v>
      </c>
      <c r="M39" s="233">
        <v>930823092</v>
      </c>
      <c r="N39" s="234">
        <v>930823092</v>
      </c>
      <c r="O39" s="234">
        <v>930823092</v>
      </c>
      <c r="P39" s="234">
        <v>930823092</v>
      </c>
      <c r="Q39" s="234">
        <v>930823092</v>
      </c>
      <c r="R39" s="234">
        <v>930823092</v>
      </c>
      <c r="S39" s="234">
        <v>930823092</v>
      </c>
      <c r="T39" s="234">
        <v>930823092</v>
      </c>
      <c r="U39" s="234">
        <v>930823092</v>
      </c>
      <c r="V39" s="234">
        <v>930823092</v>
      </c>
      <c r="W39" s="234">
        <v>930823092</v>
      </c>
      <c r="X39" s="234">
        <v>930823092</v>
      </c>
      <c r="Y39" s="234">
        <v>930823092</v>
      </c>
      <c r="Z39" s="234">
        <v>930823092</v>
      </c>
      <c r="AA39" s="234">
        <f>SUMIFS([1]!Data_BS[Value],[1]!Data_BS[Index BS],'Khanh Nga'!$B39,[1]!Data_BS[TenCongTyID],'Khanh Nga'!$B$1,[1]!Data_BS[Thang.Nam],'Khanh Nga'!AA$5)</f>
        <v>0</v>
      </c>
      <c r="AB39" s="234">
        <f>SUMIFS([1]!Data_BS[Value],[1]!Data_BS[Index BS],'Khanh Nga'!$B39,[1]!Data_BS[TenCongTyID],'Khanh Nga'!$B$1,[1]!Data_BS[Thang.Nam],'Khanh Nga'!AB$5)</f>
        <v>0</v>
      </c>
      <c r="AC39" s="234">
        <f>SUMIFS([1]!Data_BS[Value],[1]!Data_BS[Index BS],'Khanh Nga'!$B39,[1]!Data_BS[TenCongTyID],'Khanh Nga'!$B$1,[1]!Data_BS[Thang.Nam],'Khanh Nga'!AC$5)</f>
        <v>0</v>
      </c>
      <c r="AD39" s="234">
        <f>SUMIFS([1]!Data_BS[Value],[1]!Data_BS[Index BS],'Khanh Nga'!$B39,[1]!Data_BS[TenCongTyID],'Khanh Nga'!$B$1,[1]!Data_BS[Thang.Nam],'Khanh Nga'!AD$5)</f>
        <v>0</v>
      </c>
      <c r="AE39" s="234">
        <f>SUMIFS([1]!Data_BS[Value],[1]!Data_BS[Index BS],'Khanh Nga'!$B39,[1]!Data_BS[TenCongTyID],'Khanh Nga'!$B$1,[1]!Data_BS[Thang.Nam],'Khanh Nga'!AE$5)</f>
        <v>0</v>
      </c>
      <c r="AF39" s="234">
        <f>SUMIFS([1]!Data_BS[Value],[1]!Data_BS[Index BS],'Khanh Nga'!$B39,[1]!Data_BS[TenCongTyID],'Khanh Nga'!$B$1,[1]!Data_BS[Thang.Nam],'Khanh Nga'!AF$5)</f>
        <v>0</v>
      </c>
      <c r="AG39" s="234">
        <f>SUMIFS([1]!Data_BS[Value],[1]!Data_BS[Index BS],'Khanh Nga'!$B39,[1]!Data_BS[TenCongTyID],'Khanh Nga'!$B$1,[1]!Data_BS[Thang.Nam],'Khanh Nga'!AG$5)</f>
        <v>0</v>
      </c>
      <c r="AH39" s="234">
        <f>SUMIFS([1]!Data_BS[Value],[1]!Data_BS[Index BS],'Khanh Nga'!$B39,[1]!Data_BS[TenCongTyID],'Khanh Nga'!$B$1,[1]!Data_BS[Thang.Nam],'Khanh Nga'!AH$5)</f>
        <v>0</v>
      </c>
      <c r="AI39" s="234">
        <f>SUMIFS([1]!Data_BS[Value],[1]!Data_BS[Index BS],'Khanh Nga'!$B39,[1]!Data_BS[TenCongTyID],'Khanh Nga'!$B$1,[1]!Data_BS[Thang.Nam],'Khanh Nga'!AI$5)</f>
        <v>0</v>
      </c>
      <c r="AJ39" s="234">
        <f>SUMIFS([1]!Data_BS[Value],[1]!Data_BS[Index BS],'Khanh Nga'!$B39,[1]!Data_BS[TenCongTyID],'Khanh Nga'!$B$1,[1]!Data_BS[Thang.Nam],'Khanh Nga'!AJ$5)</f>
        <v>0</v>
      </c>
      <c r="AK39" s="234">
        <f>SUMIFS([1]!Data_BS[Value],[1]!Data_BS[Index BS],'Khanh Nga'!$B39,[1]!Data_BS[TenCongTyID],'Khanh Nga'!$B$1,[1]!Data_BS[Thang.Nam],'Khanh Nga'!AK$5)</f>
        <v>0</v>
      </c>
      <c r="AL39" s="234">
        <f>SUMIFS([1]!Data_BS[Value],[1]!Data_BS[Index BS],'Khanh Nga'!$B39,[1]!Data_BS[TenCongTyID],'Khanh Nga'!$B$1,[1]!Data_BS[Thang.Nam],'Khanh Nga'!AL$5)</f>
        <v>0</v>
      </c>
    </row>
    <row r="40" spans="1:38" ht="15" hidden="1" customHeight="1" outlineLevel="1">
      <c r="A40" s="62" t="s">
        <v>124</v>
      </c>
      <c r="B40" s="63">
        <v>35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/>
      <c r="X40" s="229">
        <v>0</v>
      </c>
      <c r="Y40" s="229"/>
      <c r="Z40" s="229">
        <v>0</v>
      </c>
      <c r="AA40" s="229">
        <f>SUMIFS([1]!Data_BS[Value],[1]!Data_BS[Index BS],'Khanh Nga'!$B40,[1]!Data_BS[TenCongTyID],'Khanh Nga'!$B$1,[1]!Data_BS[Thang.Nam],'Khanh Nga'!AA$5)</f>
        <v>0</v>
      </c>
      <c r="AB40" s="229">
        <f>SUMIFS([1]!Data_BS[Value],[1]!Data_BS[Index BS],'Khanh Nga'!$B40,[1]!Data_BS[TenCongTyID],'Khanh Nga'!$B$1,[1]!Data_BS[Thang.Nam],'Khanh Nga'!AB$5)</f>
        <v>0</v>
      </c>
      <c r="AC40" s="229">
        <f>SUMIFS([1]!Data_BS[Value],[1]!Data_BS[Index BS],'Khanh Nga'!$B40,[1]!Data_BS[TenCongTyID],'Khanh Nga'!$B$1,[1]!Data_BS[Thang.Nam],'Khanh Nga'!AC$5)</f>
        <v>0</v>
      </c>
      <c r="AD40" s="229">
        <f>SUMIFS([1]!Data_BS[Value],[1]!Data_BS[Index BS],'Khanh Nga'!$B40,[1]!Data_BS[TenCongTyID],'Khanh Nga'!$B$1,[1]!Data_BS[Thang.Nam],'Khanh Nga'!AD$5)</f>
        <v>0</v>
      </c>
      <c r="AE40" s="229">
        <f>SUMIFS([1]!Data_BS[Value],[1]!Data_BS[Index BS],'Khanh Nga'!$B40,[1]!Data_BS[TenCongTyID],'Khanh Nga'!$B$1,[1]!Data_BS[Thang.Nam],'Khanh Nga'!AE$5)</f>
        <v>0</v>
      </c>
      <c r="AF40" s="229">
        <f>SUMIFS([1]!Data_BS[Value],[1]!Data_BS[Index BS],'Khanh Nga'!$B40,[1]!Data_BS[TenCongTyID],'Khanh Nga'!$B$1,[1]!Data_BS[Thang.Nam],'Khanh Nga'!AF$5)</f>
        <v>0</v>
      </c>
      <c r="AG40" s="229">
        <f>SUMIFS([1]!Data_BS[Value],[1]!Data_BS[Index BS],'Khanh Nga'!$B40,[1]!Data_BS[TenCongTyID],'Khanh Nga'!$B$1,[1]!Data_BS[Thang.Nam],'Khanh Nga'!AG$5)</f>
        <v>0</v>
      </c>
      <c r="AH40" s="229">
        <f>SUMIFS([1]!Data_BS[Value],[1]!Data_BS[Index BS],'Khanh Nga'!$B40,[1]!Data_BS[TenCongTyID],'Khanh Nga'!$B$1,[1]!Data_BS[Thang.Nam],'Khanh Nga'!AH$5)</f>
        <v>0</v>
      </c>
      <c r="AI40" s="229">
        <f>SUMIFS([1]!Data_BS[Value],[1]!Data_BS[Index BS],'Khanh Nga'!$B40,[1]!Data_BS[TenCongTyID],'Khanh Nga'!$B$1,[1]!Data_BS[Thang.Nam],'Khanh Nga'!AI$5)</f>
        <v>0</v>
      </c>
      <c r="AJ40" s="229">
        <f>SUMIFS([1]!Data_BS[Value],[1]!Data_BS[Index BS],'Khanh Nga'!$B40,[1]!Data_BS[TenCongTyID],'Khanh Nga'!$B$1,[1]!Data_BS[Thang.Nam],'Khanh Nga'!AJ$5)</f>
        <v>0</v>
      </c>
      <c r="AK40" s="229">
        <f>SUMIFS([1]!Data_BS[Value],[1]!Data_BS[Index BS],'Khanh Nga'!$B40,[1]!Data_BS[TenCongTyID],'Khanh Nga'!$B$1,[1]!Data_BS[Thang.Nam],'Khanh Nga'!AK$5)</f>
        <v>0</v>
      </c>
      <c r="AL40" s="229">
        <f>SUMIFS([1]!Data_BS[Value],[1]!Data_BS[Index BS],'Khanh Nga'!$B40,[1]!Data_BS[TenCongTyID],'Khanh Nga'!$B$1,[1]!Data_BS[Thang.Nam],'Khanh Nga'!AL$5)</f>
        <v>0</v>
      </c>
    </row>
    <row r="41" spans="1:38" ht="15" hidden="1" customHeight="1" outlineLevel="1">
      <c r="A41" s="62" t="s">
        <v>125</v>
      </c>
      <c r="B41" s="63">
        <v>36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/>
      <c r="X41" s="229">
        <v>0</v>
      </c>
      <c r="Y41" s="229"/>
      <c r="Z41" s="229">
        <v>0</v>
      </c>
      <c r="AA41" s="229">
        <f>SUMIFS([1]!Data_BS[Value],[1]!Data_BS[Index BS],'Khanh Nga'!$B41,[1]!Data_BS[TenCongTyID],'Khanh Nga'!$B$1,[1]!Data_BS[Thang.Nam],'Khanh Nga'!AA$5)</f>
        <v>0</v>
      </c>
      <c r="AB41" s="229">
        <f>SUMIFS([1]!Data_BS[Value],[1]!Data_BS[Index BS],'Khanh Nga'!$B41,[1]!Data_BS[TenCongTyID],'Khanh Nga'!$B$1,[1]!Data_BS[Thang.Nam],'Khanh Nga'!AB$5)</f>
        <v>0</v>
      </c>
      <c r="AC41" s="229">
        <f>SUMIFS([1]!Data_BS[Value],[1]!Data_BS[Index BS],'Khanh Nga'!$B41,[1]!Data_BS[TenCongTyID],'Khanh Nga'!$B$1,[1]!Data_BS[Thang.Nam],'Khanh Nga'!AC$5)</f>
        <v>0</v>
      </c>
      <c r="AD41" s="229">
        <f>SUMIFS([1]!Data_BS[Value],[1]!Data_BS[Index BS],'Khanh Nga'!$B41,[1]!Data_BS[TenCongTyID],'Khanh Nga'!$B$1,[1]!Data_BS[Thang.Nam],'Khanh Nga'!AD$5)</f>
        <v>0</v>
      </c>
      <c r="AE41" s="229">
        <f>SUMIFS([1]!Data_BS[Value],[1]!Data_BS[Index BS],'Khanh Nga'!$B41,[1]!Data_BS[TenCongTyID],'Khanh Nga'!$B$1,[1]!Data_BS[Thang.Nam],'Khanh Nga'!AE$5)</f>
        <v>0</v>
      </c>
      <c r="AF41" s="229">
        <f>SUMIFS([1]!Data_BS[Value],[1]!Data_BS[Index BS],'Khanh Nga'!$B41,[1]!Data_BS[TenCongTyID],'Khanh Nga'!$B$1,[1]!Data_BS[Thang.Nam],'Khanh Nga'!AF$5)</f>
        <v>0</v>
      </c>
      <c r="AG41" s="229">
        <f>SUMIFS([1]!Data_BS[Value],[1]!Data_BS[Index BS],'Khanh Nga'!$B41,[1]!Data_BS[TenCongTyID],'Khanh Nga'!$B$1,[1]!Data_BS[Thang.Nam],'Khanh Nga'!AG$5)</f>
        <v>0</v>
      </c>
      <c r="AH41" s="229">
        <f>SUMIFS([1]!Data_BS[Value],[1]!Data_BS[Index BS],'Khanh Nga'!$B41,[1]!Data_BS[TenCongTyID],'Khanh Nga'!$B$1,[1]!Data_BS[Thang.Nam],'Khanh Nga'!AH$5)</f>
        <v>0</v>
      </c>
      <c r="AI41" s="229">
        <f>SUMIFS([1]!Data_BS[Value],[1]!Data_BS[Index BS],'Khanh Nga'!$B41,[1]!Data_BS[TenCongTyID],'Khanh Nga'!$B$1,[1]!Data_BS[Thang.Nam],'Khanh Nga'!AI$5)</f>
        <v>0</v>
      </c>
      <c r="AJ41" s="229">
        <f>SUMIFS([1]!Data_BS[Value],[1]!Data_BS[Index BS],'Khanh Nga'!$B41,[1]!Data_BS[TenCongTyID],'Khanh Nga'!$B$1,[1]!Data_BS[Thang.Nam],'Khanh Nga'!AJ$5)</f>
        <v>0</v>
      </c>
      <c r="AK41" s="229">
        <f>SUMIFS([1]!Data_BS[Value],[1]!Data_BS[Index BS],'Khanh Nga'!$B41,[1]!Data_BS[TenCongTyID],'Khanh Nga'!$B$1,[1]!Data_BS[Thang.Nam],'Khanh Nga'!AK$5)</f>
        <v>0</v>
      </c>
      <c r="AL41" s="229">
        <f>SUMIFS([1]!Data_BS[Value],[1]!Data_BS[Index BS],'Khanh Nga'!$B41,[1]!Data_BS[TenCongTyID],'Khanh Nga'!$B$1,[1]!Data_BS[Thang.Nam],'Khanh Nga'!AL$5)</f>
        <v>0</v>
      </c>
    </row>
    <row r="42" spans="1:38" ht="15" hidden="1" customHeight="1" outlineLevel="1">
      <c r="A42" s="62" t="s">
        <v>126</v>
      </c>
      <c r="B42" s="63">
        <v>37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/>
      <c r="X42" s="229">
        <v>0</v>
      </c>
      <c r="Y42" s="229"/>
      <c r="Z42" s="229">
        <v>0</v>
      </c>
      <c r="AA42" s="229">
        <f>SUMIFS([1]!Data_BS[Value],[1]!Data_BS[Index BS],'Khanh Nga'!$B42,[1]!Data_BS[TenCongTyID],'Khanh Nga'!$B$1,[1]!Data_BS[Thang.Nam],'Khanh Nga'!AA$5)</f>
        <v>0</v>
      </c>
      <c r="AB42" s="229">
        <f>SUMIFS([1]!Data_BS[Value],[1]!Data_BS[Index BS],'Khanh Nga'!$B42,[1]!Data_BS[TenCongTyID],'Khanh Nga'!$B$1,[1]!Data_BS[Thang.Nam],'Khanh Nga'!AB$5)</f>
        <v>0</v>
      </c>
      <c r="AC42" s="229">
        <f>SUMIFS([1]!Data_BS[Value],[1]!Data_BS[Index BS],'Khanh Nga'!$B42,[1]!Data_BS[TenCongTyID],'Khanh Nga'!$B$1,[1]!Data_BS[Thang.Nam],'Khanh Nga'!AC$5)</f>
        <v>0</v>
      </c>
      <c r="AD42" s="229">
        <f>SUMIFS([1]!Data_BS[Value],[1]!Data_BS[Index BS],'Khanh Nga'!$B42,[1]!Data_BS[TenCongTyID],'Khanh Nga'!$B$1,[1]!Data_BS[Thang.Nam],'Khanh Nga'!AD$5)</f>
        <v>0</v>
      </c>
      <c r="AE42" s="229">
        <f>SUMIFS([1]!Data_BS[Value],[1]!Data_BS[Index BS],'Khanh Nga'!$B42,[1]!Data_BS[TenCongTyID],'Khanh Nga'!$B$1,[1]!Data_BS[Thang.Nam],'Khanh Nga'!AE$5)</f>
        <v>0</v>
      </c>
      <c r="AF42" s="229">
        <f>SUMIFS([1]!Data_BS[Value],[1]!Data_BS[Index BS],'Khanh Nga'!$B42,[1]!Data_BS[TenCongTyID],'Khanh Nga'!$B$1,[1]!Data_BS[Thang.Nam],'Khanh Nga'!AF$5)</f>
        <v>0</v>
      </c>
      <c r="AG42" s="229">
        <f>SUMIFS([1]!Data_BS[Value],[1]!Data_BS[Index BS],'Khanh Nga'!$B42,[1]!Data_BS[TenCongTyID],'Khanh Nga'!$B$1,[1]!Data_BS[Thang.Nam],'Khanh Nga'!AG$5)</f>
        <v>0</v>
      </c>
      <c r="AH42" s="229">
        <f>SUMIFS([1]!Data_BS[Value],[1]!Data_BS[Index BS],'Khanh Nga'!$B42,[1]!Data_BS[TenCongTyID],'Khanh Nga'!$B$1,[1]!Data_BS[Thang.Nam],'Khanh Nga'!AH$5)</f>
        <v>0</v>
      </c>
      <c r="AI42" s="229">
        <f>SUMIFS([1]!Data_BS[Value],[1]!Data_BS[Index BS],'Khanh Nga'!$B42,[1]!Data_BS[TenCongTyID],'Khanh Nga'!$B$1,[1]!Data_BS[Thang.Nam],'Khanh Nga'!AI$5)</f>
        <v>0</v>
      </c>
      <c r="AJ42" s="229">
        <f>SUMIFS([1]!Data_BS[Value],[1]!Data_BS[Index BS],'Khanh Nga'!$B42,[1]!Data_BS[TenCongTyID],'Khanh Nga'!$B$1,[1]!Data_BS[Thang.Nam],'Khanh Nga'!AJ$5)</f>
        <v>0</v>
      </c>
      <c r="AK42" s="229">
        <f>SUMIFS([1]!Data_BS[Value],[1]!Data_BS[Index BS],'Khanh Nga'!$B42,[1]!Data_BS[TenCongTyID],'Khanh Nga'!$B$1,[1]!Data_BS[Thang.Nam],'Khanh Nga'!AK$5)</f>
        <v>0</v>
      </c>
      <c r="AL42" s="229">
        <f>SUMIFS([1]!Data_BS[Value],[1]!Data_BS[Index BS],'Khanh Nga'!$B42,[1]!Data_BS[TenCongTyID],'Khanh Nga'!$B$1,[1]!Data_BS[Thang.Nam],'Khanh Nga'!AL$5)</f>
        <v>0</v>
      </c>
    </row>
    <row r="43" spans="1:38" ht="15" hidden="1" customHeight="1" outlineLevel="1">
      <c r="A43" s="62" t="s">
        <v>127</v>
      </c>
      <c r="B43" s="63">
        <v>38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/>
      <c r="X43" s="229">
        <v>0</v>
      </c>
      <c r="Y43" s="229"/>
      <c r="Z43" s="229">
        <v>0</v>
      </c>
      <c r="AA43" s="229">
        <f>SUMIFS([1]!Data_BS[Value],[1]!Data_BS[Index BS],'Khanh Nga'!$B43,[1]!Data_BS[TenCongTyID],'Khanh Nga'!$B$1,[1]!Data_BS[Thang.Nam],'Khanh Nga'!AA$5)</f>
        <v>0</v>
      </c>
      <c r="AB43" s="229">
        <f>SUMIFS([1]!Data_BS[Value],[1]!Data_BS[Index BS],'Khanh Nga'!$B43,[1]!Data_BS[TenCongTyID],'Khanh Nga'!$B$1,[1]!Data_BS[Thang.Nam],'Khanh Nga'!AB$5)</f>
        <v>0</v>
      </c>
      <c r="AC43" s="229">
        <f>SUMIFS([1]!Data_BS[Value],[1]!Data_BS[Index BS],'Khanh Nga'!$B43,[1]!Data_BS[TenCongTyID],'Khanh Nga'!$B$1,[1]!Data_BS[Thang.Nam],'Khanh Nga'!AC$5)</f>
        <v>0</v>
      </c>
      <c r="AD43" s="229">
        <f>SUMIFS([1]!Data_BS[Value],[1]!Data_BS[Index BS],'Khanh Nga'!$B43,[1]!Data_BS[TenCongTyID],'Khanh Nga'!$B$1,[1]!Data_BS[Thang.Nam],'Khanh Nga'!AD$5)</f>
        <v>0</v>
      </c>
      <c r="AE43" s="229">
        <f>SUMIFS([1]!Data_BS[Value],[1]!Data_BS[Index BS],'Khanh Nga'!$B43,[1]!Data_BS[TenCongTyID],'Khanh Nga'!$B$1,[1]!Data_BS[Thang.Nam],'Khanh Nga'!AE$5)</f>
        <v>0</v>
      </c>
      <c r="AF43" s="229">
        <f>SUMIFS([1]!Data_BS[Value],[1]!Data_BS[Index BS],'Khanh Nga'!$B43,[1]!Data_BS[TenCongTyID],'Khanh Nga'!$B$1,[1]!Data_BS[Thang.Nam],'Khanh Nga'!AF$5)</f>
        <v>0</v>
      </c>
      <c r="AG43" s="229">
        <f>SUMIFS([1]!Data_BS[Value],[1]!Data_BS[Index BS],'Khanh Nga'!$B43,[1]!Data_BS[TenCongTyID],'Khanh Nga'!$B$1,[1]!Data_BS[Thang.Nam],'Khanh Nga'!AG$5)</f>
        <v>0</v>
      </c>
      <c r="AH43" s="229">
        <f>SUMIFS([1]!Data_BS[Value],[1]!Data_BS[Index BS],'Khanh Nga'!$B43,[1]!Data_BS[TenCongTyID],'Khanh Nga'!$B$1,[1]!Data_BS[Thang.Nam],'Khanh Nga'!AH$5)</f>
        <v>0</v>
      </c>
      <c r="AI43" s="229">
        <f>SUMIFS([1]!Data_BS[Value],[1]!Data_BS[Index BS],'Khanh Nga'!$B43,[1]!Data_BS[TenCongTyID],'Khanh Nga'!$B$1,[1]!Data_BS[Thang.Nam],'Khanh Nga'!AI$5)</f>
        <v>0</v>
      </c>
      <c r="AJ43" s="229">
        <f>SUMIFS([1]!Data_BS[Value],[1]!Data_BS[Index BS],'Khanh Nga'!$B43,[1]!Data_BS[TenCongTyID],'Khanh Nga'!$B$1,[1]!Data_BS[Thang.Nam],'Khanh Nga'!AJ$5)</f>
        <v>0</v>
      </c>
      <c r="AK43" s="229">
        <f>SUMIFS([1]!Data_BS[Value],[1]!Data_BS[Index BS],'Khanh Nga'!$B43,[1]!Data_BS[TenCongTyID],'Khanh Nga'!$B$1,[1]!Data_BS[Thang.Nam],'Khanh Nga'!AK$5)</f>
        <v>0</v>
      </c>
      <c r="AL43" s="229">
        <f>SUMIFS([1]!Data_BS[Value],[1]!Data_BS[Index BS],'Khanh Nga'!$B43,[1]!Data_BS[TenCongTyID],'Khanh Nga'!$B$1,[1]!Data_BS[Thang.Nam],'Khanh Nga'!AL$5)</f>
        <v>0</v>
      </c>
    </row>
    <row r="44" spans="1:38" ht="15" hidden="1" customHeight="1" outlineLevel="1">
      <c r="A44" s="62" t="s">
        <v>128</v>
      </c>
      <c r="B44" s="63">
        <v>39</v>
      </c>
      <c r="C44" s="229">
        <v>240000000</v>
      </c>
      <c r="D44" s="229">
        <v>240000000</v>
      </c>
      <c r="E44" s="229">
        <v>240000000</v>
      </c>
      <c r="F44" s="229">
        <v>240000000</v>
      </c>
      <c r="G44" s="229">
        <v>240000000</v>
      </c>
      <c r="H44" s="229">
        <v>1140000000</v>
      </c>
      <c r="I44" s="229">
        <v>930823092</v>
      </c>
      <c r="J44" s="229">
        <v>930823092</v>
      </c>
      <c r="K44" s="229">
        <v>930823092</v>
      </c>
      <c r="L44" s="229">
        <v>930823092</v>
      </c>
      <c r="M44" s="229">
        <v>930823092</v>
      </c>
      <c r="N44" s="229">
        <v>930823092</v>
      </c>
      <c r="O44" s="229">
        <v>930823092</v>
      </c>
      <c r="P44" s="229">
        <v>930823092</v>
      </c>
      <c r="Q44" s="229">
        <v>930823092</v>
      </c>
      <c r="R44" s="229">
        <v>930823092</v>
      </c>
      <c r="S44" s="229">
        <v>930823092</v>
      </c>
      <c r="T44" s="229">
        <v>930823092</v>
      </c>
      <c r="U44" s="229">
        <v>930823092</v>
      </c>
      <c r="V44" s="229">
        <v>930823092</v>
      </c>
      <c r="W44" s="229">
        <v>930823092</v>
      </c>
      <c r="X44" s="229">
        <v>930823092</v>
      </c>
      <c r="Y44" s="229">
        <v>930823092</v>
      </c>
      <c r="Z44" s="229">
        <v>930823092</v>
      </c>
      <c r="AA44" s="229">
        <f>SUMIFS([1]!Data_BS[Value],[1]!Data_BS[Index BS],'Khanh Nga'!$B44,[1]!Data_BS[TenCongTyID],'Khanh Nga'!$B$1,[1]!Data_BS[Thang.Nam],'Khanh Nga'!AA$5)</f>
        <v>0</v>
      </c>
      <c r="AB44" s="229">
        <f>SUMIFS([1]!Data_BS[Value],[1]!Data_BS[Index BS],'Khanh Nga'!$B44,[1]!Data_BS[TenCongTyID],'Khanh Nga'!$B$1,[1]!Data_BS[Thang.Nam],'Khanh Nga'!AB$5)</f>
        <v>0</v>
      </c>
      <c r="AC44" s="229">
        <f>SUMIFS([1]!Data_BS[Value],[1]!Data_BS[Index BS],'Khanh Nga'!$B44,[1]!Data_BS[TenCongTyID],'Khanh Nga'!$B$1,[1]!Data_BS[Thang.Nam],'Khanh Nga'!AC$5)</f>
        <v>0</v>
      </c>
      <c r="AD44" s="229">
        <f>SUMIFS([1]!Data_BS[Value],[1]!Data_BS[Index BS],'Khanh Nga'!$B44,[1]!Data_BS[TenCongTyID],'Khanh Nga'!$B$1,[1]!Data_BS[Thang.Nam],'Khanh Nga'!AD$5)</f>
        <v>0</v>
      </c>
      <c r="AE44" s="229">
        <f>SUMIFS([1]!Data_BS[Value],[1]!Data_BS[Index BS],'Khanh Nga'!$B44,[1]!Data_BS[TenCongTyID],'Khanh Nga'!$B$1,[1]!Data_BS[Thang.Nam],'Khanh Nga'!AE$5)</f>
        <v>0</v>
      </c>
      <c r="AF44" s="229">
        <f>SUMIFS([1]!Data_BS[Value],[1]!Data_BS[Index BS],'Khanh Nga'!$B44,[1]!Data_BS[TenCongTyID],'Khanh Nga'!$B$1,[1]!Data_BS[Thang.Nam],'Khanh Nga'!AF$5)</f>
        <v>0</v>
      </c>
      <c r="AG44" s="229">
        <f>SUMIFS([1]!Data_BS[Value],[1]!Data_BS[Index BS],'Khanh Nga'!$B44,[1]!Data_BS[TenCongTyID],'Khanh Nga'!$B$1,[1]!Data_BS[Thang.Nam],'Khanh Nga'!AG$5)</f>
        <v>0</v>
      </c>
      <c r="AH44" s="229">
        <f>SUMIFS([1]!Data_BS[Value],[1]!Data_BS[Index BS],'Khanh Nga'!$B44,[1]!Data_BS[TenCongTyID],'Khanh Nga'!$B$1,[1]!Data_BS[Thang.Nam],'Khanh Nga'!AH$5)</f>
        <v>0</v>
      </c>
      <c r="AI44" s="229">
        <f>SUMIFS([1]!Data_BS[Value],[1]!Data_BS[Index BS],'Khanh Nga'!$B44,[1]!Data_BS[TenCongTyID],'Khanh Nga'!$B$1,[1]!Data_BS[Thang.Nam],'Khanh Nga'!AI$5)</f>
        <v>0</v>
      </c>
      <c r="AJ44" s="229">
        <f>SUMIFS([1]!Data_BS[Value],[1]!Data_BS[Index BS],'Khanh Nga'!$B44,[1]!Data_BS[TenCongTyID],'Khanh Nga'!$B$1,[1]!Data_BS[Thang.Nam],'Khanh Nga'!AJ$5)</f>
        <v>0</v>
      </c>
      <c r="AK44" s="229">
        <f>SUMIFS([1]!Data_BS[Value],[1]!Data_BS[Index BS],'Khanh Nga'!$B44,[1]!Data_BS[TenCongTyID],'Khanh Nga'!$B$1,[1]!Data_BS[Thang.Nam],'Khanh Nga'!AK$5)</f>
        <v>0</v>
      </c>
      <c r="AL44" s="229">
        <f>SUMIFS([1]!Data_BS[Value],[1]!Data_BS[Index BS],'Khanh Nga'!$B44,[1]!Data_BS[TenCongTyID],'Khanh Nga'!$B$1,[1]!Data_BS[Thang.Nam],'Khanh Nga'!AL$5)</f>
        <v>0</v>
      </c>
    </row>
    <row r="45" spans="1:38" ht="15" hidden="1" customHeight="1" outlineLevel="1">
      <c r="A45" s="62" t="s">
        <v>129</v>
      </c>
      <c r="B45" s="63">
        <v>40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/>
      <c r="X45" s="229">
        <v>0</v>
      </c>
      <c r="Y45" s="229"/>
      <c r="Z45" s="229">
        <v>0</v>
      </c>
      <c r="AA45" s="229">
        <f>SUMIFS([1]!Data_BS[Value],[1]!Data_BS[Index BS],'Khanh Nga'!$B45,[1]!Data_BS[TenCongTyID],'Khanh Nga'!$B$1,[1]!Data_BS[Thang.Nam],'Khanh Nga'!AA$5)</f>
        <v>0</v>
      </c>
      <c r="AB45" s="229">
        <f>SUMIFS([1]!Data_BS[Value],[1]!Data_BS[Index BS],'Khanh Nga'!$B45,[1]!Data_BS[TenCongTyID],'Khanh Nga'!$B$1,[1]!Data_BS[Thang.Nam],'Khanh Nga'!AB$5)</f>
        <v>0</v>
      </c>
      <c r="AC45" s="229">
        <f>SUMIFS([1]!Data_BS[Value],[1]!Data_BS[Index BS],'Khanh Nga'!$B45,[1]!Data_BS[TenCongTyID],'Khanh Nga'!$B$1,[1]!Data_BS[Thang.Nam],'Khanh Nga'!AC$5)</f>
        <v>0</v>
      </c>
      <c r="AD45" s="229">
        <f>SUMIFS([1]!Data_BS[Value],[1]!Data_BS[Index BS],'Khanh Nga'!$B45,[1]!Data_BS[TenCongTyID],'Khanh Nga'!$B$1,[1]!Data_BS[Thang.Nam],'Khanh Nga'!AD$5)</f>
        <v>0</v>
      </c>
      <c r="AE45" s="229">
        <f>SUMIFS([1]!Data_BS[Value],[1]!Data_BS[Index BS],'Khanh Nga'!$B45,[1]!Data_BS[TenCongTyID],'Khanh Nga'!$B$1,[1]!Data_BS[Thang.Nam],'Khanh Nga'!AE$5)</f>
        <v>0</v>
      </c>
      <c r="AF45" s="229">
        <f>SUMIFS([1]!Data_BS[Value],[1]!Data_BS[Index BS],'Khanh Nga'!$B45,[1]!Data_BS[TenCongTyID],'Khanh Nga'!$B$1,[1]!Data_BS[Thang.Nam],'Khanh Nga'!AF$5)</f>
        <v>0</v>
      </c>
      <c r="AG45" s="229">
        <f>SUMIFS([1]!Data_BS[Value],[1]!Data_BS[Index BS],'Khanh Nga'!$B45,[1]!Data_BS[TenCongTyID],'Khanh Nga'!$B$1,[1]!Data_BS[Thang.Nam],'Khanh Nga'!AG$5)</f>
        <v>0</v>
      </c>
      <c r="AH45" s="229">
        <f>SUMIFS([1]!Data_BS[Value],[1]!Data_BS[Index BS],'Khanh Nga'!$B45,[1]!Data_BS[TenCongTyID],'Khanh Nga'!$B$1,[1]!Data_BS[Thang.Nam],'Khanh Nga'!AH$5)</f>
        <v>0</v>
      </c>
      <c r="AI45" s="229">
        <f>SUMIFS([1]!Data_BS[Value],[1]!Data_BS[Index BS],'Khanh Nga'!$B45,[1]!Data_BS[TenCongTyID],'Khanh Nga'!$B$1,[1]!Data_BS[Thang.Nam],'Khanh Nga'!AI$5)</f>
        <v>0</v>
      </c>
      <c r="AJ45" s="229">
        <f>SUMIFS([1]!Data_BS[Value],[1]!Data_BS[Index BS],'Khanh Nga'!$B45,[1]!Data_BS[TenCongTyID],'Khanh Nga'!$B$1,[1]!Data_BS[Thang.Nam],'Khanh Nga'!AJ$5)</f>
        <v>0</v>
      </c>
      <c r="AK45" s="229">
        <f>SUMIFS([1]!Data_BS[Value],[1]!Data_BS[Index BS],'Khanh Nga'!$B45,[1]!Data_BS[TenCongTyID],'Khanh Nga'!$B$1,[1]!Data_BS[Thang.Nam],'Khanh Nga'!AK$5)</f>
        <v>0</v>
      </c>
      <c r="AL45" s="229">
        <f>SUMIFS([1]!Data_BS[Value],[1]!Data_BS[Index BS],'Khanh Nga'!$B45,[1]!Data_BS[TenCongTyID],'Khanh Nga'!$B$1,[1]!Data_BS[Thang.Nam],'Khanh Nga'!AL$5)</f>
        <v>0</v>
      </c>
    </row>
    <row r="46" spans="1:38" ht="15" hidden="1" customHeight="1" outlineLevel="1">
      <c r="A46" s="72" t="s">
        <v>130</v>
      </c>
      <c r="B46" s="65">
        <v>41</v>
      </c>
      <c r="C46" s="233">
        <v>5024373398</v>
      </c>
      <c r="D46" s="233">
        <v>4918203199</v>
      </c>
      <c r="E46" s="233">
        <v>4812033000</v>
      </c>
      <c r="F46" s="233">
        <v>4705862801</v>
      </c>
      <c r="G46" s="233">
        <v>4676181850</v>
      </c>
      <c r="H46" s="233">
        <v>4563178318</v>
      </c>
      <c r="I46" s="233">
        <v>4450174786</v>
      </c>
      <c r="J46" s="233">
        <v>4337171254</v>
      </c>
      <c r="K46" s="233">
        <v>4224167722</v>
      </c>
      <c r="L46" s="233">
        <v>5409491509</v>
      </c>
      <c r="M46" s="233">
        <v>6103258009</v>
      </c>
      <c r="N46" s="234">
        <v>5789559137</v>
      </c>
      <c r="O46" s="234">
        <v>6214483511</v>
      </c>
      <c r="P46" s="234">
        <v>6061312213</v>
      </c>
      <c r="Q46" s="234">
        <v>5908140915</v>
      </c>
      <c r="R46" s="234">
        <v>6501136284</v>
      </c>
      <c r="S46" s="234">
        <v>6264642401</v>
      </c>
      <c r="T46" s="234">
        <v>6611423434</v>
      </c>
      <c r="U46" s="234">
        <v>6433204467</v>
      </c>
      <c r="V46" s="234">
        <v>6523318834</v>
      </c>
      <c r="W46" s="234">
        <f>+W47+W53+W50</f>
        <v>6346099867</v>
      </c>
      <c r="X46" s="234">
        <v>6168880900</v>
      </c>
      <c r="Y46" s="234">
        <v>5993504522</v>
      </c>
      <c r="Z46" s="234">
        <v>5818128147</v>
      </c>
      <c r="AA46" s="234">
        <f>SUMIFS([1]!Data_BS[Value],[1]!Data_BS[Index BS],'Khanh Nga'!$B46,[1]!Data_BS[TenCongTyID],'Khanh Nga'!$B$1,[1]!Data_BS[Thang.Nam],'Khanh Nga'!AA$5)</f>
        <v>0</v>
      </c>
      <c r="AB46" s="234">
        <f>SUMIFS([1]!Data_BS[Value],[1]!Data_BS[Index BS],'Khanh Nga'!$B46,[1]!Data_BS[TenCongTyID],'Khanh Nga'!$B$1,[1]!Data_BS[Thang.Nam],'Khanh Nga'!AB$5)</f>
        <v>0</v>
      </c>
      <c r="AC46" s="234">
        <f>SUMIFS([1]!Data_BS[Value],[1]!Data_BS[Index BS],'Khanh Nga'!$B46,[1]!Data_BS[TenCongTyID],'Khanh Nga'!$B$1,[1]!Data_BS[Thang.Nam],'Khanh Nga'!AC$5)</f>
        <v>0</v>
      </c>
      <c r="AD46" s="234">
        <f>SUMIFS([1]!Data_BS[Value],[1]!Data_BS[Index BS],'Khanh Nga'!$B46,[1]!Data_BS[TenCongTyID],'Khanh Nga'!$B$1,[1]!Data_BS[Thang.Nam],'Khanh Nga'!AD$5)</f>
        <v>0</v>
      </c>
      <c r="AE46" s="234">
        <f>SUMIFS([1]!Data_BS[Value],[1]!Data_BS[Index BS],'Khanh Nga'!$B46,[1]!Data_BS[TenCongTyID],'Khanh Nga'!$B$1,[1]!Data_BS[Thang.Nam],'Khanh Nga'!AE$5)</f>
        <v>0</v>
      </c>
      <c r="AF46" s="234">
        <f>SUMIFS([1]!Data_BS[Value],[1]!Data_BS[Index BS],'Khanh Nga'!$B46,[1]!Data_BS[TenCongTyID],'Khanh Nga'!$B$1,[1]!Data_BS[Thang.Nam],'Khanh Nga'!AF$5)</f>
        <v>0</v>
      </c>
      <c r="AG46" s="234">
        <f>SUMIFS([1]!Data_BS[Value],[1]!Data_BS[Index BS],'Khanh Nga'!$B46,[1]!Data_BS[TenCongTyID],'Khanh Nga'!$B$1,[1]!Data_BS[Thang.Nam],'Khanh Nga'!AG$5)</f>
        <v>0</v>
      </c>
      <c r="AH46" s="234">
        <f>SUMIFS([1]!Data_BS[Value],[1]!Data_BS[Index BS],'Khanh Nga'!$B46,[1]!Data_BS[TenCongTyID],'Khanh Nga'!$B$1,[1]!Data_BS[Thang.Nam],'Khanh Nga'!AH$5)</f>
        <v>0</v>
      </c>
      <c r="AI46" s="234">
        <f>SUMIFS([1]!Data_BS[Value],[1]!Data_BS[Index BS],'Khanh Nga'!$B46,[1]!Data_BS[TenCongTyID],'Khanh Nga'!$B$1,[1]!Data_BS[Thang.Nam],'Khanh Nga'!AI$5)</f>
        <v>0</v>
      </c>
      <c r="AJ46" s="234">
        <f>SUMIFS([1]!Data_BS[Value],[1]!Data_BS[Index BS],'Khanh Nga'!$B46,[1]!Data_BS[TenCongTyID],'Khanh Nga'!$B$1,[1]!Data_BS[Thang.Nam],'Khanh Nga'!AJ$5)</f>
        <v>0</v>
      </c>
      <c r="AK46" s="234">
        <f>SUMIFS([1]!Data_BS[Value],[1]!Data_BS[Index BS],'Khanh Nga'!$B46,[1]!Data_BS[TenCongTyID],'Khanh Nga'!$B$1,[1]!Data_BS[Thang.Nam],'Khanh Nga'!AK$5)</f>
        <v>0</v>
      </c>
      <c r="AL46" s="234">
        <f>SUMIFS([1]!Data_BS[Value],[1]!Data_BS[Index BS],'Khanh Nga'!$B46,[1]!Data_BS[TenCongTyID],'Khanh Nga'!$B$1,[1]!Data_BS[Thang.Nam],'Khanh Nga'!AL$5)</f>
        <v>0</v>
      </c>
    </row>
    <row r="47" spans="1:38" ht="15" hidden="1" customHeight="1" outlineLevel="1">
      <c r="A47" s="72" t="s">
        <v>131</v>
      </c>
      <c r="B47" s="65">
        <v>42</v>
      </c>
      <c r="C47" s="233">
        <v>5024373398</v>
      </c>
      <c r="D47" s="233">
        <v>4918203199</v>
      </c>
      <c r="E47" s="233">
        <v>4812033000</v>
      </c>
      <c r="F47" s="233">
        <v>4705862801</v>
      </c>
      <c r="G47" s="233">
        <v>4676181850</v>
      </c>
      <c r="H47" s="233">
        <v>4563178318</v>
      </c>
      <c r="I47" s="233">
        <v>4450174786</v>
      </c>
      <c r="J47" s="233">
        <v>4337171254</v>
      </c>
      <c r="K47" s="233">
        <v>4224167722</v>
      </c>
      <c r="L47" s="233">
        <v>5409491509</v>
      </c>
      <c r="M47" s="233">
        <v>6103258009</v>
      </c>
      <c r="N47" s="234">
        <v>5789559137</v>
      </c>
      <c r="O47" s="234">
        <v>6214483511</v>
      </c>
      <c r="P47" s="234">
        <v>6061312213</v>
      </c>
      <c r="Q47" s="234">
        <v>5908140915</v>
      </c>
      <c r="R47" s="234">
        <v>6501136284</v>
      </c>
      <c r="S47" s="234">
        <v>6264642401</v>
      </c>
      <c r="T47" s="234">
        <v>6611423434</v>
      </c>
      <c r="U47" s="234">
        <v>6433204467</v>
      </c>
      <c r="V47" s="234">
        <v>6523318834</v>
      </c>
      <c r="W47" s="234">
        <f>+SUM(W48:W49)</f>
        <v>6346099867</v>
      </c>
      <c r="X47" s="234">
        <v>6168880900</v>
      </c>
      <c r="Y47" s="234">
        <v>5993504522</v>
      </c>
      <c r="Z47" s="234">
        <v>5818128147</v>
      </c>
      <c r="AA47" s="234">
        <f>SUMIFS([1]!Data_BS[Value],[1]!Data_BS[Index BS],'Khanh Nga'!$B47,[1]!Data_BS[TenCongTyID],'Khanh Nga'!$B$1,[1]!Data_BS[Thang.Nam],'Khanh Nga'!AA$5)</f>
        <v>0</v>
      </c>
      <c r="AB47" s="234">
        <f>SUMIFS([1]!Data_BS[Value],[1]!Data_BS[Index BS],'Khanh Nga'!$B47,[1]!Data_BS[TenCongTyID],'Khanh Nga'!$B$1,[1]!Data_BS[Thang.Nam],'Khanh Nga'!AB$5)</f>
        <v>0</v>
      </c>
      <c r="AC47" s="234">
        <f>SUMIFS([1]!Data_BS[Value],[1]!Data_BS[Index BS],'Khanh Nga'!$B47,[1]!Data_BS[TenCongTyID],'Khanh Nga'!$B$1,[1]!Data_BS[Thang.Nam],'Khanh Nga'!AC$5)</f>
        <v>0</v>
      </c>
      <c r="AD47" s="234">
        <f>SUMIFS([1]!Data_BS[Value],[1]!Data_BS[Index BS],'Khanh Nga'!$B47,[1]!Data_BS[TenCongTyID],'Khanh Nga'!$B$1,[1]!Data_BS[Thang.Nam],'Khanh Nga'!AD$5)</f>
        <v>0</v>
      </c>
      <c r="AE47" s="234">
        <f>SUMIFS([1]!Data_BS[Value],[1]!Data_BS[Index BS],'Khanh Nga'!$B47,[1]!Data_BS[TenCongTyID],'Khanh Nga'!$B$1,[1]!Data_BS[Thang.Nam],'Khanh Nga'!AE$5)</f>
        <v>0</v>
      </c>
      <c r="AF47" s="234">
        <f>SUMIFS([1]!Data_BS[Value],[1]!Data_BS[Index BS],'Khanh Nga'!$B47,[1]!Data_BS[TenCongTyID],'Khanh Nga'!$B$1,[1]!Data_BS[Thang.Nam],'Khanh Nga'!AF$5)</f>
        <v>0</v>
      </c>
      <c r="AG47" s="234">
        <f>SUMIFS([1]!Data_BS[Value],[1]!Data_BS[Index BS],'Khanh Nga'!$B47,[1]!Data_BS[TenCongTyID],'Khanh Nga'!$B$1,[1]!Data_BS[Thang.Nam],'Khanh Nga'!AG$5)</f>
        <v>0</v>
      </c>
      <c r="AH47" s="234">
        <f>SUMIFS([1]!Data_BS[Value],[1]!Data_BS[Index BS],'Khanh Nga'!$B47,[1]!Data_BS[TenCongTyID],'Khanh Nga'!$B$1,[1]!Data_BS[Thang.Nam],'Khanh Nga'!AH$5)</f>
        <v>0</v>
      </c>
      <c r="AI47" s="234">
        <f>SUMIFS([1]!Data_BS[Value],[1]!Data_BS[Index BS],'Khanh Nga'!$B47,[1]!Data_BS[TenCongTyID],'Khanh Nga'!$B$1,[1]!Data_BS[Thang.Nam],'Khanh Nga'!AI$5)</f>
        <v>0</v>
      </c>
      <c r="AJ47" s="234">
        <f>SUMIFS([1]!Data_BS[Value],[1]!Data_BS[Index BS],'Khanh Nga'!$B47,[1]!Data_BS[TenCongTyID],'Khanh Nga'!$B$1,[1]!Data_BS[Thang.Nam],'Khanh Nga'!AJ$5)</f>
        <v>0</v>
      </c>
      <c r="AK47" s="234">
        <f>SUMIFS([1]!Data_BS[Value],[1]!Data_BS[Index BS],'Khanh Nga'!$B47,[1]!Data_BS[TenCongTyID],'Khanh Nga'!$B$1,[1]!Data_BS[Thang.Nam],'Khanh Nga'!AK$5)</f>
        <v>0</v>
      </c>
      <c r="AL47" s="234">
        <f>SUMIFS([1]!Data_BS[Value],[1]!Data_BS[Index BS],'Khanh Nga'!$B47,[1]!Data_BS[TenCongTyID],'Khanh Nga'!$B$1,[1]!Data_BS[Thang.Nam],'Khanh Nga'!AL$5)</f>
        <v>0</v>
      </c>
    </row>
    <row r="48" spans="1:38" ht="15" hidden="1" customHeight="1" outlineLevel="1">
      <c r="A48" s="73" t="s">
        <v>132</v>
      </c>
      <c r="B48" s="63">
        <v>43</v>
      </c>
      <c r="C48" s="229">
        <v>6596023613</v>
      </c>
      <c r="D48" s="229">
        <v>6596023613</v>
      </c>
      <c r="E48" s="229">
        <v>6596023613</v>
      </c>
      <c r="F48" s="229">
        <v>6596023613</v>
      </c>
      <c r="G48" s="229">
        <v>6678023613</v>
      </c>
      <c r="H48" s="229">
        <v>6678023613</v>
      </c>
      <c r="I48" s="229">
        <v>6678023613</v>
      </c>
      <c r="J48" s="229">
        <v>6678023613</v>
      </c>
      <c r="K48" s="229">
        <v>6678023613</v>
      </c>
      <c r="L48" s="229">
        <v>7991779896</v>
      </c>
      <c r="M48" s="229">
        <v>8833316586</v>
      </c>
      <c r="N48" s="229">
        <v>8663154084</v>
      </c>
      <c r="O48" s="229">
        <v>9241249756</v>
      </c>
      <c r="P48" s="229">
        <v>9241249756</v>
      </c>
      <c r="Q48" s="229">
        <v>9241249756</v>
      </c>
      <c r="R48" s="229">
        <v>10014249756</v>
      </c>
      <c r="S48" s="229">
        <v>9936749756</v>
      </c>
      <c r="T48" s="229">
        <v>10446249756</v>
      </c>
      <c r="U48" s="229">
        <v>10446249756</v>
      </c>
      <c r="V48" s="229">
        <v>10690249756</v>
      </c>
      <c r="W48" s="229">
        <v>10690249756</v>
      </c>
      <c r="X48" s="229">
        <v>10690249756</v>
      </c>
      <c r="Y48" s="229">
        <v>10690249756</v>
      </c>
      <c r="Z48" s="229">
        <v>10690249756</v>
      </c>
      <c r="AA48" s="229">
        <f>SUMIFS([1]!Data_BS[Value],[1]!Data_BS[Index BS],'Khanh Nga'!$B48,[1]!Data_BS[TenCongTyID],'Khanh Nga'!$B$1,[1]!Data_BS[Thang.Nam],'Khanh Nga'!AA$5)</f>
        <v>0</v>
      </c>
      <c r="AB48" s="229">
        <f>SUMIFS([1]!Data_BS[Value],[1]!Data_BS[Index BS],'Khanh Nga'!$B48,[1]!Data_BS[TenCongTyID],'Khanh Nga'!$B$1,[1]!Data_BS[Thang.Nam],'Khanh Nga'!AB$5)</f>
        <v>0</v>
      </c>
      <c r="AC48" s="229">
        <f>SUMIFS([1]!Data_BS[Value],[1]!Data_BS[Index BS],'Khanh Nga'!$B48,[1]!Data_BS[TenCongTyID],'Khanh Nga'!$B$1,[1]!Data_BS[Thang.Nam],'Khanh Nga'!AC$5)</f>
        <v>0</v>
      </c>
      <c r="AD48" s="229">
        <f>SUMIFS([1]!Data_BS[Value],[1]!Data_BS[Index BS],'Khanh Nga'!$B48,[1]!Data_BS[TenCongTyID],'Khanh Nga'!$B$1,[1]!Data_BS[Thang.Nam],'Khanh Nga'!AD$5)</f>
        <v>0</v>
      </c>
      <c r="AE48" s="229">
        <f>SUMIFS([1]!Data_BS[Value],[1]!Data_BS[Index BS],'Khanh Nga'!$B48,[1]!Data_BS[TenCongTyID],'Khanh Nga'!$B$1,[1]!Data_BS[Thang.Nam],'Khanh Nga'!AE$5)</f>
        <v>0</v>
      </c>
      <c r="AF48" s="229">
        <f>SUMIFS([1]!Data_BS[Value],[1]!Data_BS[Index BS],'Khanh Nga'!$B48,[1]!Data_BS[TenCongTyID],'Khanh Nga'!$B$1,[1]!Data_BS[Thang.Nam],'Khanh Nga'!AF$5)</f>
        <v>0</v>
      </c>
      <c r="AG48" s="229">
        <f>SUMIFS([1]!Data_BS[Value],[1]!Data_BS[Index BS],'Khanh Nga'!$B48,[1]!Data_BS[TenCongTyID],'Khanh Nga'!$B$1,[1]!Data_BS[Thang.Nam],'Khanh Nga'!AG$5)</f>
        <v>0</v>
      </c>
      <c r="AH48" s="229">
        <f>SUMIFS([1]!Data_BS[Value],[1]!Data_BS[Index BS],'Khanh Nga'!$B48,[1]!Data_BS[TenCongTyID],'Khanh Nga'!$B$1,[1]!Data_BS[Thang.Nam],'Khanh Nga'!AH$5)</f>
        <v>0</v>
      </c>
      <c r="AI48" s="229">
        <f>SUMIFS([1]!Data_BS[Value],[1]!Data_BS[Index BS],'Khanh Nga'!$B48,[1]!Data_BS[TenCongTyID],'Khanh Nga'!$B$1,[1]!Data_BS[Thang.Nam],'Khanh Nga'!AI$5)</f>
        <v>0</v>
      </c>
      <c r="AJ48" s="229">
        <f>SUMIFS([1]!Data_BS[Value],[1]!Data_BS[Index BS],'Khanh Nga'!$B48,[1]!Data_BS[TenCongTyID],'Khanh Nga'!$B$1,[1]!Data_BS[Thang.Nam],'Khanh Nga'!AJ$5)</f>
        <v>0</v>
      </c>
      <c r="AK48" s="229">
        <f>SUMIFS([1]!Data_BS[Value],[1]!Data_BS[Index BS],'Khanh Nga'!$B48,[1]!Data_BS[TenCongTyID],'Khanh Nga'!$B$1,[1]!Data_BS[Thang.Nam],'Khanh Nga'!AK$5)</f>
        <v>0</v>
      </c>
      <c r="AL48" s="229">
        <f>SUMIFS([1]!Data_BS[Value],[1]!Data_BS[Index BS],'Khanh Nga'!$B48,[1]!Data_BS[TenCongTyID],'Khanh Nga'!$B$1,[1]!Data_BS[Thang.Nam],'Khanh Nga'!AL$5)</f>
        <v>0</v>
      </c>
    </row>
    <row r="49" spans="1:38" ht="15" hidden="1" customHeight="1" outlineLevel="1">
      <c r="A49" s="73" t="s">
        <v>133</v>
      </c>
      <c r="B49" s="63">
        <v>44</v>
      </c>
      <c r="C49" s="229">
        <v>-1571650215</v>
      </c>
      <c r="D49" s="229">
        <v>-1677820414</v>
      </c>
      <c r="E49" s="229">
        <v>-1783990613</v>
      </c>
      <c r="F49" s="229">
        <v>-1890160812</v>
      </c>
      <c r="G49" s="229">
        <v>-2001841763</v>
      </c>
      <c r="H49" s="229">
        <v>-2114845295</v>
      </c>
      <c r="I49" s="229">
        <v>-2227848827</v>
      </c>
      <c r="J49" s="229">
        <v>-2340852359</v>
      </c>
      <c r="K49" s="229">
        <v>-2453855891</v>
      </c>
      <c r="L49" s="229">
        <v>-2582288387</v>
      </c>
      <c r="M49" s="229">
        <v>-2730058577</v>
      </c>
      <c r="N49" s="229">
        <v>-2873594947</v>
      </c>
      <c r="O49" s="229">
        <v>-3026766245</v>
      </c>
      <c r="P49" s="229">
        <v>-3179937543</v>
      </c>
      <c r="Q49" s="229">
        <v>-3333108841</v>
      </c>
      <c r="R49" s="229">
        <v>-3513113472</v>
      </c>
      <c r="S49" s="229">
        <v>-3672107355</v>
      </c>
      <c r="T49" s="229">
        <v>-3834826322</v>
      </c>
      <c r="U49" s="229">
        <v>-4013045289</v>
      </c>
      <c r="V49" s="229">
        <v>-4166930922</v>
      </c>
      <c r="W49" s="229">
        <v>-4344149889</v>
      </c>
      <c r="X49" s="229">
        <v>-4521368856</v>
      </c>
      <c r="Y49" s="229">
        <v>-4696745234</v>
      </c>
      <c r="Z49" s="229">
        <v>-4872121609</v>
      </c>
      <c r="AA49" s="229">
        <f>SUMIFS([1]!Data_BS[Value],[1]!Data_BS[Index BS],'Khanh Nga'!$B49,[1]!Data_BS[TenCongTyID],'Khanh Nga'!$B$1,[1]!Data_BS[Thang.Nam],'Khanh Nga'!AA$5)</f>
        <v>0</v>
      </c>
      <c r="AB49" s="229">
        <f>SUMIFS([1]!Data_BS[Value],[1]!Data_BS[Index BS],'Khanh Nga'!$B49,[1]!Data_BS[TenCongTyID],'Khanh Nga'!$B$1,[1]!Data_BS[Thang.Nam],'Khanh Nga'!AB$5)</f>
        <v>0</v>
      </c>
      <c r="AC49" s="229">
        <f>SUMIFS([1]!Data_BS[Value],[1]!Data_BS[Index BS],'Khanh Nga'!$B49,[1]!Data_BS[TenCongTyID],'Khanh Nga'!$B$1,[1]!Data_BS[Thang.Nam],'Khanh Nga'!AC$5)</f>
        <v>0</v>
      </c>
      <c r="AD49" s="229">
        <f>SUMIFS([1]!Data_BS[Value],[1]!Data_BS[Index BS],'Khanh Nga'!$B49,[1]!Data_BS[TenCongTyID],'Khanh Nga'!$B$1,[1]!Data_BS[Thang.Nam],'Khanh Nga'!AD$5)</f>
        <v>0</v>
      </c>
      <c r="AE49" s="229">
        <f>SUMIFS([1]!Data_BS[Value],[1]!Data_BS[Index BS],'Khanh Nga'!$B49,[1]!Data_BS[TenCongTyID],'Khanh Nga'!$B$1,[1]!Data_BS[Thang.Nam],'Khanh Nga'!AE$5)</f>
        <v>0</v>
      </c>
      <c r="AF49" s="229">
        <f>SUMIFS([1]!Data_BS[Value],[1]!Data_BS[Index BS],'Khanh Nga'!$B49,[1]!Data_BS[TenCongTyID],'Khanh Nga'!$B$1,[1]!Data_BS[Thang.Nam],'Khanh Nga'!AF$5)</f>
        <v>0</v>
      </c>
      <c r="AG49" s="229">
        <f>SUMIFS([1]!Data_BS[Value],[1]!Data_BS[Index BS],'Khanh Nga'!$B49,[1]!Data_BS[TenCongTyID],'Khanh Nga'!$B$1,[1]!Data_BS[Thang.Nam],'Khanh Nga'!AG$5)</f>
        <v>0</v>
      </c>
      <c r="AH49" s="229">
        <f>SUMIFS([1]!Data_BS[Value],[1]!Data_BS[Index BS],'Khanh Nga'!$B49,[1]!Data_BS[TenCongTyID],'Khanh Nga'!$B$1,[1]!Data_BS[Thang.Nam],'Khanh Nga'!AH$5)</f>
        <v>0</v>
      </c>
      <c r="AI49" s="229">
        <f>SUMIFS([1]!Data_BS[Value],[1]!Data_BS[Index BS],'Khanh Nga'!$B49,[1]!Data_BS[TenCongTyID],'Khanh Nga'!$B$1,[1]!Data_BS[Thang.Nam],'Khanh Nga'!AI$5)</f>
        <v>0</v>
      </c>
      <c r="AJ49" s="229">
        <f>SUMIFS([1]!Data_BS[Value],[1]!Data_BS[Index BS],'Khanh Nga'!$B49,[1]!Data_BS[TenCongTyID],'Khanh Nga'!$B$1,[1]!Data_BS[Thang.Nam],'Khanh Nga'!AJ$5)</f>
        <v>0</v>
      </c>
      <c r="AK49" s="229">
        <f>SUMIFS([1]!Data_BS[Value],[1]!Data_BS[Index BS],'Khanh Nga'!$B49,[1]!Data_BS[TenCongTyID],'Khanh Nga'!$B$1,[1]!Data_BS[Thang.Nam],'Khanh Nga'!AK$5)</f>
        <v>0</v>
      </c>
      <c r="AL49" s="229">
        <f>SUMIFS([1]!Data_BS[Value],[1]!Data_BS[Index BS],'Khanh Nga'!$B49,[1]!Data_BS[TenCongTyID],'Khanh Nga'!$B$1,[1]!Data_BS[Thang.Nam],'Khanh Nga'!AL$5)</f>
        <v>0</v>
      </c>
    </row>
    <row r="50" spans="1:38" ht="15" hidden="1" customHeight="1" outlineLevel="1">
      <c r="A50" s="72" t="s">
        <v>134</v>
      </c>
      <c r="B50" s="65">
        <v>45</v>
      </c>
      <c r="C50" s="233">
        <v>0</v>
      </c>
      <c r="D50" s="233">
        <v>0</v>
      </c>
      <c r="E50" s="233">
        <v>0</v>
      </c>
      <c r="F50" s="233">
        <v>0</v>
      </c>
      <c r="G50" s="233">
        <v>0</v>
      </c>
      <c r="H50" s="233">
        <v>0</v>
      </c>
      <c r="I50" s="233">
        <v>0</v>
      </c>
      <c r="J50" s="233">
        <v>0</v>
      </c>
      <c r="K50" s="233">
        <v>0</v>
      </c>
      <c r="L50" s="233">
        <v>0</v>
      </c>
      <c r="M50" s="233">
        <v>0</v>
      </c>
      <c r="N50" s="234"/>
      <c r="O50" s="234">
        <v>0</v>
      </c>
      <c r="P50" s="234">
        <v>0</v>
      </c>
      <c r="Q50" s="234">
        <v>0</v>
      </c>
      <c r="R50" s="234">
        <v>0</v>
      </c>
      <c r="S50" s="234">
        <v>0</v>
      </c>
      <c r="T50" s="234">
        <v>0</v>
      </c>
      <c r="U50" s="234">
        <v>0</v>
      </c>
      <c r="V50" s="234">
        <v>0</v>
      </c>
      <c r="W50" s="234"/>
      <c r="X50" s="234">
        <v>0</v>
      </c>
      <c r="Y50" s="234"/>
      <c r="Z50" s="234">
        <v>0</v>
      </c>
      <c r="AA50" s="234">
        <f>SUMIFS([1]!Data_BS[Value],[1]!Data_BS[Index BS],'Khanh Nga'!$B50,[1]!Data_BS[TenCongTyID],'Khanh Nga'!$B$1,[1]!Data_BS[Thang.Nam],'Khanh Nga'!AA$5)</f>
        <v>0</v>
      </c>
      <c r="AB50" s="234">
        <f>SUMIFS([1]!Data_BS[Value],[1]!Data_BS[Index BS],'Khanh Nga'!$B50,[1]!Data_BS[TenCongTyID],'Khanh Nga'!$B$1,[1]!Data_BS[Thang.Nam],'Khanh Nga'!AB$5)</f>
        <v>0</v>
      </c>
      <c r="AC50" s="234">
        <f>SUMIFS([1]!Data_BS[Value],[1]!Data_BS[Index BS],'Khanh Nga'!$B50,[1]!Data_BS[TenCongTyID],'Khanh Nga'!$B$1,[1]!Data_BS[Thang.Nam],'Khanh Nga'!AC$5)</f>
        <v>0</v>
      </c>
      <c r="AD50" s="234">
        <f>SUMIFS([1]!Data_BS[Value],[1]!Data_BS[Index BS],'Khanh Nga'!$B50,[1]!Data_BS[TenCongTyID],'Khanh Nga'!$B$1,[1]!Data_BS[Thang.Nam],'Khanh Nga'!AD$5)</f>
        <v>0</v>
      </c>
      <c r="AE50" s="234">
        <f>SUMIFS([1]!Data_BS[Value],[1]!Data_BS[Index BS],'Khanh Nga'!$B50,[1]!Data_BS[TenCongTyID],'Khanh Nga'!$B$1,[1]!Data_BS[Thang.Nam],'Khanh Nga'!AE$5)</f>
        <v>0</v>
      </c>
      <c r="AF50" s="234">
        <f>SUMIFS([1]!Data_BS[Value],[1]!Data_BS[Index BS],'Khanh Nga'!$B50,[1]!Data_BS[TenCongTyID],'Khanh Nga'!$B$1,[1]!Data_BS[Thang.Nam],'Khanh Nga'!AF$5)</f>
        <v>0</v>
      </c>
      <c r="AG50" s="234">
        <f>SUMIFS([1]!Data_BS[Value],[1]!Data_BS[Index BS],'Khanh Nga'!$B50,[1]!Data_BS[TenCongTyID],'Khanh Nga'!$B$1,[1]!Data_BS[Thang.Nam],'Khanh Nga'!AG$5)</f>
        <v>0</v>
      </c>
      <c r="AH50" s="234">
        <f>SUMIFS([1]!Data_BS[Value],[1]!Data_BS[Index BS],'Khanh Nga'!$B50,[1]!Data_BS[TenCongTyID],'Khanh Nga'!$B$1,[1]!Data_BS[Thang.Nam],'Khanh Nga'!AH$5)</f>
        <v>0</v>
      </c>
      <c r="AI50" s="234">
        <f>SUMIFS([1]!Data_BS[Value],[1]!Data_BS[Index BS],'Khanh Nga'!$B50,[1]!Data_BS[TenCongTyID],'Khanh Nga'!$B$1,[1]!Data_BS[Thang.Nam],'Khanh Nga'!AI$5)</f>
        <v>0</v>
      </c>
      <c r="AJ50" s="234">
        <f>SUMIFS([1]!Data_BS[Value],[1]!Data_BS[Index BS],'Khanh Nga'!$B50,[1]!Data_BS[TenCongTyID],'Khanh Nga'!$B$1,[1]!Data_BS[Thang.Nam],'Khanh Nga'!AJ$5)</f>
        <v>0</v>
      </c>
      <c r="AK50" s="234">
        <f>SUMIFS([1]!Data_BS[Value],[1]!Data_BS[Index BS],'Khanh Nga'!$B50,[1]!Data_BS[TenCongTyID],'Khanh Nga'!$B$1,[1]!Data_BS[Thang.Nam],'Khanh Nga'!AK$5)</f>
        <v>0</v>
      </c>
      <c r="AL50" s="234">
        <f>SUMIFS([1]!Data_BS[Value],[1]!Data_BS[Index BS],'Khanh Nga'!$B50,[1]!Data_BS[TenCongTyID],'Khanh Nga'!$B$1,[1]!Data_BS[Thang.Nam],'Khanh Nga'!AL$5)</f>
        <v>0</v>
      </c>
    </row>
    <row r="51" spans="1:38" ht="15" hidden="1" customHeight="1" outlineLevel="1">
      <c r="A51" s="73" t="s">
        <v>135</v>
      </c>
      <c r="B51" s="63">
        <v>46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/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/>
      <c r="X51" s="229">
        <v>0</v>
      </c>
      <c r="Y51" s="229"/>
      <c r="Z51" s="229">
        <v>0</v>
      </c>
      <c r="AA51" s="229">
        <f>SUMIFS([1]!Data_BS[Value],[1]!Data_BS[Index BS],'Khanh Nga'!$B51,[1]!Data_BS[TenCongTyID],'Khanh Nga'!$B$1,[1]!Data_BS[Thang.Nam],'Khanh Nga'!AA$5)</f>
        <v>0</v>
      </c>
      <c r="AB51" s="229">
        <f>SUMIFS([1]!Data_BS[Value],[1]!Data_BS[Index BS],'Khanh Nga'!$B51,[1]!Data_BS[TenCongTyID],'Khanh Nga'!$B$1,[1]!Data_BS[Thang.Nam],'Khanh Nga'!AB$5)</f>
        <v>0</v>
      </c>
      <c r="AC51" s="229">
        <f>SUMIFS([1]!Data_BS[Value],[1]!Data_BS[Index BS],'Khanh Nga'!$B51,[1]!Data_BS[TenCongTyID],'Khanh Nga'!$B$1,[1]!Data_BS[Thang.Nam],'Khanh Nga'!AC$5)</f>
        <v>0</v>
      </c>
      <c r="AD51" s="229">
        <f>SUMIFS([1]!Data_BS[Value],[1]!Data_BS[Index BS],'Khanh Nga'!$B51,[1]!Data_BS[TenCongTyID],'Khanh Nga'!$B$1,[1]!Data_BS[Thang.Nam],'Khanh Nga'!AD$5)</f>
        <v>0</v>
      </c>
      <c r="AE51" s="229">
        <f>SUMIFS([1]!Data_BS[Value],[1]!Data_BS[Index BS],'Khanh Nga'!$B51,[1]!Data_BS[TenCongTyID],'Khanh Nga'!$B$1,[1]!Data_BS[Thang.Nam],'Khanh Nga'!AE$5)</f>
        <v>0</v>
      </c>
      <c r="AF51" s="229">
        <f>SUMIFS([1]!Data_BS[Value],[1]!Data_BS[Index BS],'Khanh Nga'!$B51,[1]!Data_BS[TenCongTyID],'Khanh Nga'!$B$1,[1]!Data_BS[Thang.Nam],'Khanh Nga'!AF$5)</f>
        <v>0</v>
      </c>
      <c r="AG51" s="229">
        <f>SUMIFS([1]!Data_BS[Value],[1]!Data_BS[Index BS],'Khanh Nga'!$B51,[1]!Data_BS[TenCongTyID],'Khanh Nga'!$B$1,[1]!Data_BS[Thang.Nam],'Khanh Nga'!AG$5)</f>
        <v>0</v>
      </c>
      <c r="AH51" s="229">
        <f>SUMIFS([1]!Data_BS[Value],[1]!Data_BS[Index BS],'Khanh Nga'!$B51,[1]!Data_BS[TenCongTyID],'Khanh Nga'!$B$1,[1]!Data_BS[Thang.Nam],'Khanh Nga'!AH$5)</f>
        <v>0</v>
      </c>
      <c r="AI51" s="229">
        <f>SUMIFS([1]!Data_BS[Value],[1]!Data_BS[Index BS],'Khanh Nga'!$B51,[1]!Data_BS[TenCongTyID],'Khanh Nga'!$B$1,[1]!Data_BS[Thang.Nam],'Khanh Nga'!AI$5)</f>
        <v>0</v>
      </c>
      <c r="AJ51" s="229">
        <f>SUMIFS([1]!Data_BS[Value],[1]!Data_BS[Index BS],'Khanh Nga'!$B51,[1]!Data_BS[TenCongTyID],'Khanh Nga'!$B$1,[1]!Data_BS[Thang.Nam],'Khanh Nga'!AJ$5)</f>
        <v>0</v>
      </c>
      <c r="AK51" s="229">
        <f>SUMIFS([1]!Data_BS[Value],[1]!Data_BS[Index BS],'Khanh Nga'!$B51,[1]!Data_BS[TenCongTyID],'Khanh Nga'!$B$1,[1]!Data_BS[Thang.Nam],'Khanh Nga'!AK$5)</f>
        <v>0</v>
      </c>
      <c r="AL51" s="229">
        <f>SUMIFS([1]!Data_BS[Value],[1]!Data_BS[Index BS],'Khanh Nga'!$B51,[1]!Data_BS[TenCongTyID],'Khanh Nga'!$B$1,[1]!Data_BS[Thang.Nam],'Khanh Nga'!AL$5)</f>
        <v>0</v>
      </c>
    </row>
    <row r="52" spans="1:38" ht="15" hidden="1" customHeight="1" outlineLevel="1">
      <c r="A52" s="73" t="s">
        <v>136</v>
      </c>
      <c r="B52" s="63">
        <v>47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/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/>
      <c r="X52" s="229">
        <v>0</v>
      </c>
      <c r="Y52" s="229"/>
      <c r="Z52" s="229">
        <v>0</v>
      </c>
      <c r="AA52" s="229">
        <f>SUMIFS([1]!Data_BS[Value],[1]!Data_BS[Index BS],'Khanh Nga'!$B52,[1]!Data_BS[TenCongTyID],'Khanh Nga'!$B$1,[1]!Data_BS[Thang.Nam],'Khanh Nga'!AA$5)</f>
        <v>0</v>
      </c>
      <c r="AB52" s="229">
        <f>SUMIFS([1]!Data_BS[Value],[1]!Data_BS[Index BS],'Khanh Nga'!$B52,[1]!Data_BS[TenCongTyID],'Khanh Nga'!$B$1,[1]!Data_BS[Thang.Nam],'Khanh Nga'!AB$5)</f>
        <v>0</v>
      </c>
      <c r="AC52" s="229">
        <f>SUMIFS([1]!Data_BS[Value],[1]!Data_BS[Index BS],'Khanh Nga'!$B52,[1]!Data_BS[TenCongTyID],'Khanh Nga'!$B$1,[1]!Data_BS[Thang.Nam],'Khanh Nga'!AC$5)</f>
        <v>0</v>
      </c>
      <c r="AD52" s="229">
        <f>SUMIFS([1]!Data_BS[Value],[1]!Data_BS[Index BS],'Khanh Nga'!$B52,[1]!Data_BS[TenCongTyID],'Khanh Nga'!$B$1,[1]!Data_BS[Thang.Nam],'Khanh Nga'!AD$5)</f>
        <v>0</v>
      </c>
      <c r="AE52" s="229">
        <f>SUMIFS([1]!Data_BS[Value],[1]!Data_BS[Index BS],'Khanh Nga'!$B52,[1]!Data_BS[TenCongTyID],'Khanh Nga'!$B$1,[1]!Data_BS[Thang.Nam],'Khanh Nga'!AE$5)</f>
        <v>0</v>
      </c>
      <c r="AF52" s="229">
        <f>SUMIFS([1]!Data_BS[Value],[1]!Data_BS[Index BS],'Khanh Nga'!$B52,[1]!Data_BS[TenCongTyID],'Khanh Nga'!$B$1,[1]!Data_BS[Thang.Nam],'Khanh Nga'!AF$5)</f>
        <v>0</v>
      </c>
      <c r="AG52" s="229">
        <f>SUMIFS([1]!Data_BS[Value],[1]!Data_BS[Index BS],'Khanh Nga'!$B52,[1]!Data_BS[TenCongTyID],'Khanh Nga'!$B$1,[1]!Data_BS[Thang.Nam],'Khanh Nga'!AG$5)</f>
        <v>0</v>
      </c>
      <c r="AH52" s="229">
        <f>SUMIFS([1]!Data_BS[Value],[1]!Data_BS[Index BS],'Khanh Nga'!$B52,[1]!Data_BS[TenCongTyID],'Khanh Nga'!$B$1,[1]!Data_BS[Thang.Nam],'Khanh Nga'!AH$5)</f>
        <v>0</v>
      </c>
      <c r="AI52" s="229">
        <f>SUMIFS([1]!Data_BS[Value],[1]!Data_BS[Index BS],'Khanh Nga'!$B52,[1]!Data_BS[TenCongTyID],'Khanh Nga'!$B$1,[1]!Data_BS[Thang.Nam],'Khanh Nga'!AI$5)</f>
        <v>0</v>
      </c>
      <c r="AJ52" s="229">
        <f>SUMIFS([1]!Data_BS[Value],[1]!Data_BS[Index BS],'Khanh Nga'!$B52,[1]!Data_BS[TenCongTyID],'Khanh Nga'!$B$1,[1]!Data_BS[Thang.Nam],'Khanh Nga'!AJ$5)</f>
        <v>0</v>
      </c>
      <c r="AK52" s="229">
        <f>SUMIFS([1]!Data_BS[Value],[1]!Data_BS[Index BS],'Khanh Nga'!$B52,[1]!Data_BS[TenCongTyID],'Khanh Nga'!$B$1,[1]!Data_BS[Thang.Nam],'Khanh Nga'!AK$5)</f>
        <v>0</v>
      </c>
      <c r="AL52" s="229">
        <f>SUMIFS([1]!Data_BS[Value],[1]!Data_BS[Index BS],'Khanh Nga'!$B52,[1]!Data_BS[TenCongTyID],'Khanh Nga'!$B$1,[1]!Data_BS[Thang.Nam],'Khanh Nga'!AL$5)</f>
        <v>0</v>
      </c>
    </row>
    <row r="53" spans="1:38" ht="15" hidden="1" customHeight="1" outlineLevel="1">
      <c r="A53" s="72" t="s">
        <v>137</v>
      </c>
      <c r="B53" s="65">
        <v>48</v>
      </c>
      <c r="C53" s="233">
        <v>0</v>
      </c>
      <c r="D53" s="233">
        <v>0</v>
      </c>
      <c r="E53" s="233">
        <v>0</v>
      </c>
      <c r="F53" s="233">
        <v>0</v>
      </c>
      <c r="G53" s="233">
        <v>0</v>
      </c>
      <c r="H53" s="233">
        <v>0</v>
      </c>
      <c r="I53" s="233">
        <v>0</v>
      </c>
      <c r="J53" s="233">
        <v>0</v>
      </c>
      <c r="K53" s="233">
        <v>0</v>
      </c>
      <c r="L53" s="233">
        <v>0</v>
      </c>
      <c r="M53" s="233">
        <v>0</v>
      </c>
      <c r="N53" s="234"/>
      <c r="O53" s="234">
        <v>0</v>
      </c>
      <c r="P53" s="234">
        <v>0</v>
      </c>
      <c r="Q53" s="234">
        <v>0</v>
      </c>
      <c r="R53" s="234">
        <v>0</v>
      </c>
      <c r="S53" s="234">
        <v>0</v>
      </c>
      <c r="T53" s="234">
        <v>0</v>
      </c>
      <c r="U53" s="234">
        <v>0</v>
      </c>
      <c r="V53" s="234">
        <v>0</v>
      </c>
      <c r="W53" s="234">
        <f>+SUM(W54:W55)</f>
        <v>0</v>
      </c>
      <c r="X53" s="234">
        <v>0</v>
      </c>
      <c r="Y53" s="234">
        <v>0</v>
      </c>
      <c r="Z53" s="234">
        <v>0</v>
      </c>
      <c r="AA53" s="234">
        <f>SUMIFS([1]!Data_BS[Value],[1]!Data_BS[Index BS],'Khanh Nga'!$B53,[1]!Data_BS[TenCongTyID],'Khanh Nga'!$B$1,[1]!Data_BS[Thang.Nam],'Khanh Nga'!AA$5)</f>
        <v>0</v>
      </c>
      <c r="AB53" s="234">
        <f>SUMIFS([1]!Data_BS[Value],[1]!Data_BS[Index BS],'Khanh Nga'!$B53,[1]!Data_BS[TenCongTyID],'Khanh Nga'!$B$1,[1]!Data_BS[Thang.Nam],'Khanh Nga'!AB$5)</f>
        <v>0</v>
      </c>
      <c r="AC53" s="234">
        <f>SUMIFS([1]!Data_BS[Value],[1]!Data_BS[Index BS],'Khanh Nga'!$B53,[1]!Data_BS[TenCongTyID],'Khanh Nga'!$B$1,[1]!Data_BS[Thang.Nam],'Khanh Nga'!AC$5)</f>
        <v>0</v>
      </c>
      <c r="AD53" s="234">
        <f>SUMIFS([1]!Data_BS[Value],[1]!Data_BS[Index BS],'Khanh Nga'!$B53,[1]!Data_BS[TenCongTyID],'Khanh Nga'!$B$1,[1]!Data_BS[Thang.Nam],'Khanh Nga'!AD$5)</f>
        <v>0</v>
      </c>
      <c r="AE53" s="234">
        <f>SUMIFS([1]!Data_BS[Value],[1]!Data_BS[Index BS],'Khanh Nga'!$B53,[1]!Data_BS[TenCongTyID],'Khanh Nga'!$B$1,[1]!Data_BS[Thang.Nam],'Khanh Nga'!AE$5)</f>
        <v>0</v>
      </c>
      <c r="AF53" s="234">
        <f>SUMIFS([1]!Data_BS[Value],[1]!Data_BS[Index BS],'Khanh Nga'!$B53,[1]!Data_BS[TenCongTyID],'Khanh Nga'!$B$1,[1]!Data_BS[Thang.Nam],'Khanh Nga'!AF$5)</f>
        <v>0</v>
      </c>
      <c r="AG53" s="234">
        <f>SUMIFS([1]!Data_BS[Value],[1]!Data_BS[Index BS],'Khanh Nga'!$B53,[1]!Data_BS[TenCongTyID],'Khanh Nga'!$B$1,[1]!Data_BS[Thang.Nam],'Khanh Nga'!AG$5)</f>
        <v>0</v>
      </c>
      <c r="AH53" s="234">
        <f>SUMIFS([1]!Data_BS[Value],[1]!Data_BS[Index BS],'Khanh Nga'!$B53,[1]!Data_BS[TenCongTyID],'Khanh Nga'!$B$1,[1]!Data_BS[Thang.Nam],'Khanh Nga'!AH$5)</f>
        <v>0</v>
      </c>
      <c r="AI53" s="234">
        <f>SUMIFS([1]!Data_BS[Value],[1]!Data_BS[Index BS],'Khanh Nga'!$B53,[1]!Data_BS[TenCongTyID],'Khanh Nga'!$B$1,[1]!Data_BS[Thang.Nam],'Khanh Nga'!AI$5)</f>
        <v>0</v>
      </c>
      <c r="AJ53" s="234">
        <f>SUMIFS([1]!Data_BS[Value],[1]!Data_BS[Index BS],'Khanh Nga'!$B53,[1]!Data_BS[TenCongTyID],'Khanh Nga'!$B$1,[1]!Data_BS[Thang.Nam],'Khanh Nga'!AJ$5)</f>
        <v>0</v>
      </c>
      <c r="AK53" s="234">
        <f>SUMIFS([1]!Data_BS[Value],[1]!Data_BS[Index BS],'Khanh Nga'!$B53,[1]!Data_BS[TenCongTyID],'Khanh Nga'!$B$1,[1]!Data_BS[Thang.Nam],'Khanh Nga'!AK$5)</f>
        <v>0</v>
      </c>
      <c r="AL53" s="234">
        <f>SUMIFS([1]!Data_BS[Value],[1]!Data_BS[Index BS],'Khanh Nga'!$B53,[1]!Data_BS[TenCongTyID],'Khanh Nga'!$B$1,[1]!Data_BS[Thang.Nam],'Khanh Nga'!AL$5)</f>
        <v>0</v>
      </c>
    </row>
    <row r="54" spans="1:38" ht="15" hidden="1" customHeight="1" outlineLevel="1">
      <c r="A54" s="73" t="s">
        <v>138</v>
      </c>
      <c r="B54" s="63">
        <v>49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/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/>
      <c r="X54" s="229">
        <v>0</v>
      </c>
      <c r="Y54" s="229"/>
      <c r="Z54" s="229">
        <v>0</v>
      </c>
      <c r="AA54" s="229">
        <f>SUMIFS([1]!Data_BS[Value],[1]!Data_BS[Index BS],'Khanh Nga'!$B54,[1]!Data_BS[TenCongTyID],'Khanh Nga'!$B$1,[1]!Data_BS[Thang.Nam],'Khanh Nga'!AA$5)</f>
        <v>0</v>
      </c>
      <c r="AB54" s="229">
        <f>SUMIFS([1]!Data_BS[Value],[1]!Data_BS[Index BS],'Khanh Nga'!$B54,[1]!Data_BS[TenCongTyID],'Khanh Nga'!$B$1,[1]!Data_BS[Thang.Nam],'Khanh Nga'!AB$5)</f>
        <v>0</v>
      </c>
      <c r="AC54" s="229">
        <f>SUMIFS([1]!Data_BS[Value],[1]!Data_BS[Index BS],'Khanh Nga'!$B54,[1]!Data_BS[TenCongTyID],'Khanh Nga'!$B$1,[1]!Data_BS[Thang.Nam],'Khanh Nga'!AC$5)</f>
        <v>0</v>
      </c>
      <c r="AD54" s="229">
        <f>SUMIFS([1]!Data_BS[Value],[1]!Data_BS[Index BS],'Khanh Nga'!$B54,[1]!Data_BS[TenCongTyID],'Khanh Nga'!$B$1,[1]!Data_BS[Thang.Nam],'Khanh Nga'!AD$5)</f>
        <v>0</v>
      </c>
      <c r="AE54" s="229">
        <f>SUMIFS([1]!Data_BS[Value],[1]!Data_BS[Index BS],'Khanh Nga'!$B54,[1]!Data_BS[TenCongTyID],'Khanh Nga'!$B$1,[1]!Data_BS[Thang.Nam],'Khanh Nga'!AE$5)</f>
        <v>0</v>
      </c>
      <c r="AF54" s="229">
        <f>SUMIFS([1]!Data_BS[Value],[1]!Data_BS[Index BS],'Khanh Nga'!$B54,[1]!Data_BS[TenCongTyID],'Khanh Nga'!$B$1,[1]!Data_BS[Thang.Nam],'Khanh Nga'!AF$5)</f>
        <v>0</v>
      </c>
      <c r="AG54" s="229">
        <f>SUMIFS([1]!Data_BS[Value],[1]!Data_BS[Index BS],'Khanh Nga'!$B54,[1]!Data_BS[TenCongTyID],'Khanh Nga'!$B$1,[1]!Data_BS[Thang.Nam],'Khanh Nga'!AG$5)</f>
        <v>0</v>
      </c>
      <c r="AH54" s="229">
        <f>SUMIFS([1]!Data_BS[Value],[1]!Data_BS[Index BS],'Khanh Nga'!$B54,[1]!Data_BS[TenCongTyID],'Khanh Nga'!$B$1,[1]!Data_BS[Thang.Nam],'Khanh Nga'!AH$5)</f>
        <v>0</v>
      </c>
      <c r="AI54" s="229">
        <f>SUMIFS([1]!Data_BS[Value],[1]!Data_BS[Index BS],'Khanh Nga'!$B54,[1]!Data_BS[TenCongTyID],'Khanh Nga'!$B$1,[1]!Data_BS[Thang.Nam],'Khanh Nga'!AI$5)</f>
        <v>0</v>
      </c>
      <c r="AJ54" s="229">
        <f>SUMIFS([1]!Data_BS[Value],[1]!Data_BS[Index BS],'Khanh Nga'!$B54,[1]!Data_BS[TenCongTyID],'Khanh Nga'!$B$1,[1]!Data_BS[Thang.Nam],'Khanh Nga'!AJ$5)</f>
        <v>0</v>
      </c>
      <c r="AK54" s="229">
        <f>SUMIFS([1]!Data_BS[Value],[1]!Data_BS[Index BS],'Khanh Nga'!$B54,[1]!Data_BS[TenCongTyID],'Khanh Nga'!$B$1,[1]!Data_BS[Thang.Nam],'Khanh Nga'!AK$5)</f>
        <v>0</v>
      </c>
      <c r="AL54" s="229">
        <f>SUMIFS([1]!Data_BS[Value],[1]!Data_BS[Index BS],'Khanh Nga'!$B54,[1]!Data_BS[TenCongTyID],'Khanh Nga'!$B$1,[1]!Data_BS[Thang.Nam],'Khanh Nga'!AL$5)</f>
        <v>0</v>
      </c>
    </row>
    <row r="55" spans="1:38" ht="15" hidden="1" customHeight="1" outlineLevel="1">
      <c r="A55" s="73" t="s">
        <v>139</v>
      </c>
      <c r="B55" s="63">
        <v>50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/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/>
      <c r="X55" s="229">
        <v>0</v>
      </c>
      <c r="Y55" s="229"/>
      <c r="Z55" s="229">
        <v>0</v>
      </c>
      <c r="AA55" s="229">
        <f>SUMIFS([1]!Data_BS[Value],[1]!Data_BS[Index BS],'Khanh Nga'!$B55,[1]!Data_BS[TenCongTyID],'Khanh Nga'!$B$1,[1]!Data_BS[Thang.Nam],'Khanh Nga'!AA$5)</f>
        <v>0</v>
      </c>
      <c r="AB55" s="229">
        <f>SUMIFS([1]!Data_BS[Value],[1]!Data_BS[Index BS],'Khanh Nga'!$B55,[1]!Data_BS[TenCongTyID],'Khanh Nga'!$B$1,[1]!Data_BS[Thang.Nam],'Khanh Nga'!AB$5)</f>
        <v>0</v>
      </c>
      <c r="AC55" s="229">
        <f>SUMIFS([1]!Data_BS[Value],[1]!Data_BS[Index BS],'Khanh Nga'!$B55,[1]!Data_BS[TenCongTyID],'Khanh Nga'!$B$1,[1]!Data_BS[Thang.Nam],'Khanh Nga'!AC$5)</f>
        <v>0</v>
      </c>
      <c r="AD55" s="229">
        <f>SUMIFS([1]!Data_BS[Value],[1]!Data_BS[Index BS],'Khanh Nga'!$B55,[1]!Data_BS[TenCongTyID],'Khanh Nga'!$B$1,[1]!Data_BS[Thang.Nam],'Khanh Nga'!AD$5)</f>
        <v>0</v>
      </c>
      <c r="AE55" s="229">
        <f>SUMIFS([1]!Data_BS[Value],[1]!Data_BS[Index BS],'Khanh Nga'!$B55,[1]!Data_BS[TenCongTyID],'Khanh Nga'!$B$1,[1]!Data_BS[Thang.Nam],'Khanh Nga'!AE$5)</f>
        <v>0</v>
      </c>
      <c r="AF55" s="229">
        <f>SUMIFS([1]!Data_BS[Value],[1]!Data_BS[Index BS],'Khanh Nga'!$B55,[1]!Data_BS[TenCongTyID],'Khanh Nga'!$B$1,[1]!Data_BS[Thang.Nam],'Khanh Nga'!AF$5)</f>
        <v>0</v>
      </c>
      <c r="AG55" s="229">
        <f>SUMIFS([1]!Data_BS[Value],[1]!Data_BS[Index BS],'Khanh Nga'!$B55,[1]!Data_BS[TenCongTyID],'Khanh Nga'!$B$1,[1]!Data_BS[Thang.Nam],'Khanh Nga'!AG$5)</f>
        <v>0</v>
      </c>
      <c r="AH55" s="229">
        <f>SUMIFS([1]!Data_BS[Value],[1]!Data_BS[Index BS],'Khanh Nga'!$B55,[1]!Data_BS[TenCongTyID],'Khanh Nga'!$B$1,[1]!Data_BS[Thang.Nam],'Khanh Nga'!AH$5)</f>
        <v>0</v>
      </c>
      <c r="AI55" s="229">
        <f>SUMIFS([1]!Data_BS[Value],[1]!Data_BS[Index BS],'Khanh Nga'!$B55,[1]!Data_BS[TenCongTyID],'Khanh Nga'!$B$1,[1]!Data_BS[Thang.Nam],'Khanh Nga'!AI$5)</f>
        <v>0</v>
      </c>
      <c r="AJ55" s="229">
        <f>SUMIFS([1]!Data_BS[Value],[1]!Data_BS[Index BS],'Khanh Nga'!$B55,[1]!Data_BS[TenCongTyID],'Khanh Nga'!$B$1,[1]!Data_BS[Thang.Nam],'Khanh Nga'!AJ$5)</f>
        <v>0</v>
      </c>
      <c r="AK55" s="229">
        <f>SUMIFS([1]!Data_BS[Value],[1]!Data_BS[Index BS],'Khanh Nga'!$B55,[1]!Data_BS[TenCongTyID],'Khanh Nga'!$B$1,[1]!Data_BS[Thang.Nam],'Khanh Nga'!AK$5)</f>
        <v>0</v>
      </c>
      <c r="AL55" s="229">
        <f>SUMIFS([1]!Data_BS[Value],[1]!Data_BS[Index BS],'Khanh Nga'!$B55,[1]!Data_BS[TenCongTyID],'Khanh Nga'!$B$1,[1]!Data_BS[Thang.Nam],'Khanh Nga'!AL$5)</f>
        <v>0</v>
      </c>
    </row>
    <row r="56" spans="1:38" ht="15" hidden="1" customHeight="1" outlineLevel="1">
      <c r="A56" s="72" t="s">
        <v>140</v>
      </c>
      <c r="B56" s="65">
        <v>51</v>
      </c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>
        <v>0</v>
      </c>
      <c r="AA56" s="229">
        <f>SUMIFS([1]!Data_BS[Value],[1]!Data_BS[Index BS],'Khanh Nga'!$B56,[1]!Data_BS[TenCongTyID],'Khanh Nga'!$B$1,[1]!Data_BS[Thang.Nam],'Khanh Nga'!AA$5)</f>
        <v>0</v>
      </c>
      <c r="AB56" s="229">
        <f>SUMIFS([1]!Data_BS[Value],[1]!Data_BS[Index BS],'Khanh Nga'!$B56,[1]!Data_BS[TenCongTyID],'Khanh Nga'!$B$1,[1]!Data_BS[Thang.Nam],'Khanh Nga'!AB$5)</f>
        <v>0</v>
      </c>
      <c r="AC56" s="229">
        <f>SUMIFS([1]!Data_BS[Value],[1]!Data_BS[Index BS],'Khanh Nga'!$B56,[1]!Data_BS[TenCongTyID],'Khanh Nga'!$B$1,[1]!Data_BS[Thang.Nam],'Khanh Nga'!AC$5)</f>
        <v>0</v>
      </c>
      <c r="AD56" s="229">
        <f>SUMIFS([1]!Data_BS[Value],[1]!Data_BS[Index BS],'Khanh Nga'!$B56,[1]!Data_BS[TenCongTyID],'Khanh Nga'!$B$1,[1]!Data_BS[Thang.Nam],'Khanh Nga'!AD$5)</f>
        <v>0</v>
      </c>
      <c r="AE56" s="229">
        <f>SUMIFS([1]!Data_BS[Value],[1]!Data_BS[Index BS],'Khanh Nga'!$B56,[1]!Data_BS[TenCongTyID],'Khanh Nga'!$B$1,[1]!Data_BS[Thang.Nam],'Khanh Nga'!AE$5)</f>
        <v>0</v>
      </c>
      <c r="AF56" s="229">
        <f>SUMIFS([1]!Data_BS[Value],[1]!Data_BS[Index BS],'Khanh Nga'!$B56,[1]!Data_BS[TenCongTyID],'Khanh Nga'!$B$1,[1]!Data_BS[Thang.Nam],'Khanh Nga'!AF$5)</f>
        <v>0</v>
      </c>
      <c r="AG56" s="229">
        <f>SUMIFS([1]!Data_BS[Value],[1]!Data_BS[Index BS],'Khanh Nga'!$B56,[1]!Data_BS[TenCongTyID],'Khanh Nga'!$B$1,[1]!Data_BS[Thang.Nam],'Khanh Nga'!AG$5)</f>
        <v>0</v>
      </c>
      <c r="AH56" s="229">
        <f>SUMIFS([1]!Data_BS[Value],[1]!Data_BS[Index BS],'Khanh Nga'!$B56,[1]!Data_BS[TenCongTyID],'Khanh Nga'!$B$1,[1]!Data_BS[Thang.Nam],'Khanh Nga'!AH$5)</f>
        <v>0</v>
      </c>
      <c r="AI56" s="229">
        <f>SUMIFS([1]!Data_BS[Value],[1]!Data_BS[Index BS],'Khanh Nga'!$B56,[1]!Data_BS[TenCongTyID],'Khanh Nga'!$B$1,[1]!Data_BS[Thang.Nam],'Khanh Nga'!AI$5)</f>
        <v>0</v>
      </c>
      <c r="AJ56" s="229">
        <f>SUMIFS([1]!Data_BS[Value],[1]!Data_BS[Index BS],'Khanh Nga'!$B56,[1]!Data_BS[TenCongTyID],'Khanh Nga'!$B$1,[1]!Data_BS[Thang.Nam],'Khanh Nga'!AJ$5)</f>
        <v>0</v>
      </c>
      <c r="AK56" s="229">
        <f>SUMIFS([1]!Data_BS[Value],[1]!Data_BS[Index BS],'Khanh Nga'!$B56,[1]!Data_BS[TenCongTyID],'Khanh Nga'!$B$1,[1]!Data_BS[Thang.Nam],'Khanh Nga'!AK$5)</f>
        <v>0</v>
      </c>
      <c r="AL56" s="229">
        <f>SUMIFS([1]!Data_BS[Value],[1]!Data_BS[Index BS],'Khanh Nga'!$B56,[1]!Data_BS[TenCongTyID],'Khanh Nga'!$B$1,[1]!Data_BS[Thang.Nam],'Khanh Nga'!AL$5)</f>
        <v>0</v>
      </c>
    </row>
    <row r="57" spans="1:38" ht="15" hidden="1" customHeight="1" outlineLevel="1">
      <c r="A57" s="73" t="s">
        <v>141</v>
      </c>
      <c r="B57" s="63">
        <v>52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>
        <v>0</v>
      </c>
      <c r="AA57" s="229">
        <f>SUMIFS([1]!Data_BS[Value],[1]!Data_BS[Index BS],'Khanh Nga'!$B57,[1]!Data_BS[TenCongTyID],'Khanh Nga'!$B$1,[1]!Data_BS[Thang.Nam],'Khanh Nga'!AA$5)</f>
        <v>0</v>
      </c>
      <c r="AB57" s="229">
        <f>SUMIFS([1]!Data_BS[Value],[1]!Data_BS[Index BS],'Khanh Nga'!$B57,[1]!Data_BS[TenCongTyID],'Khanh Nga'!$B$1,[1]!Data_BS[Thang.Nam],'Khanh Nga'!AB$5)</f>
        <v>0</v>
      </c>
      <c r="AC57" s="229">
        <f>SUMIFS([1]!Data_BS[Value],[1]!Data_BS[Index BS],'Khanh Nga'!$B57,[1]!Data_BS[TenCongTyID],'Khanh Nga'!$B$1,[1]!Data_BS[Thang.Nam],'Khanh Nga'!AC$5)</f>
        <v>0</v>
      </c>
      <c r="AD57" s="229">
        <f>SUMIFS([1]!Data_BS[Value],[1]!Data_BS[Index BS],'Khanh Nga'!$B57,[1]!Data_BS[TenCongTyID],'Khanh Nga'!$B$1,[1]!Data_BS[Thang.Nam],'Khanh Nga'!AD$5)</f>
        <v>0</v>
      </c>
      <c r="AE57" s="229">
        <f>SUMIFS([1]!Data_BS[Value],[1]!Data_BS[Index BS],'Khanh Nga'!$B57,[1]!Data_BS[TenCongTyID],'Khanh Nga'!$B$1,[1]!Data_BS[Thang.Nam],'Khanh Nga'!AE$5)</f>
        <v>0</v>
      </c>
      <c r="AF57" s="229">
        <f>SUMIFS([1]!Data_BS[Value],[1]!Data_BS[Index BS],'Khanh Nga'!$B57,[1]!Data_BS[TenCongTyID],'Khanh Nga'!$B$1,[1]!Data_BS[Thang.Nam],'Khanh Nga'!AF$5)</f>
        <v>0</v>
      </c>
      <c r="AG57" s="229">
        <f>SUMIFS([1]!Data_BS[Value],[1]!Data_BS[Index BS],'Khanh Nga'!$B57,[1]!Data_BS[TenCongTyID],'Khanh Nga'!$B$1,[1]!Data_BS[Thang.Nam],'Khanh Nga'!AG$5)</f>
        <v>0</v>
      </c>
      <c r="AH57" s="229">
        <f>SUMIFS([1]!Data_BS[Value],[1]!Data_BS[Index BS],'Khanh Nga'!$B57,[1]!Data_BS[TenCongTyID],'Khanh Nga'!$B$1,[1]!Data_BS[Thang.Nam],'Khanh Nga'!AH$5)</f>
        <v>0</v>
      </c>
      <c r="AI57" s="229">
        <f>SUMIFS([1]!Data_BS[Value],[1]!Data_BS[Index BS],'Khanh Nga'!$B57,[1]!Data_BS[TenCongTyID],'Khanh Nga'!$B$1,[1]!Data_BS[Thang.Nam],'Khanh Nga'!AI$5)</f>
        <v>0</v>
      </c>
      <c r="AJ57" s="229">
        <f>SUMIFS([1]!Data_BS[Value],[1]!Data_BS[Index BS],'Khanh Nga'!$B57,[1]!Data_BS[TenCongTyID],'Khanh Nga'!$B$1,[1]!Data_BS[Thang.Nam],'Khanh Nga'!AJ$5)</f>
        <v>0</v>
      </c>
      <c r="AK57" s="229">
        <f>SUMIFS([1]!Data_BS[Value],[1]!Data_BS[Index BS],'Khanh Nga'!$B57,[1]!Data_BS[TenCongTyID],'Khanh Nga'!$B$1,[1]!Data_BS[Thang.Nam],'Khanh Nga'!AK$5)</f>
        <v>0</v>
      </c>
      <c r="AL57" s="229">
        <f>SUMIFS([1]!Data_BS[Value],[1]!Data_BS[Index BS],'Khanh Nga'!$B57,[1]!Data_BS[TenCongTyID],'Khanh Nga'!$B$1,[1]!Data_BS[Thang.Nam],'Khanh Nga'!AL$5)</f>
        <v>0</v>
      </c>
    </row>
    <row r="58" spans="1:38" ht="15" hidden="1" customHeight="1" outlineLevel="1">
      <c r="A58" s="73" t="s">
        <v>142</v>
      </c>
      <c r="B58" s="63">
        <v>53</v>
      </c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>
        <v>0</v>
      </c>
      <c r="AA58" s="229">
        <f>SUMIFS([1]!Data_BS[Value],[1]!Data_BS[Index BS],'Khanh Nga'!$B58,[1]!Data_BS[TenCongTyID],'Khanh Nga'!$B$1,[1]!Data_BS[Thang.Nam],'Khanh Nga'!AA$5)</f>
        <v>0</v>
      </c>
      <c r="AB58" s="229">
        <f>SUMIFS([1]!Data_BS[Value],[1]!Data_BS[Index BS],'Khanh Nga'!$B58,[1]!Data_BS[TenCongTyID],'Khanh Nga'!$B$1,[1]!Data_BS[Thang.Nam],'Khanh Nga'!AB$5)</f>
        <v>0</v>
      </c>
      <c r="AC58" s="229">
        <f>SUMIFS([1]!Data_BS[Value],[1]!Data_BS[Index BS],'Khanh Nga'!$B58,[1]!Data_BS[TenCongTyID],'Khanh Nga'!$B$1,[1]!Data_BS[Thang.Nam],'Khanh Nga'!AC$5)</f>
        <v>0</v>
      </c>
      <c r="AD58" s="229">
        <f>SUMIFS([1]!Data_BS[Value],[1]!Data_BS[Index BS],'Khanh Nga'!$B58,[1]!Data_BS[TenCongTyID],'Khanh Nga'!$B$1,[1]!Data_BS[Thang.Nam],'Khanh Nga'!AD$5)</f>
        <v>0</v>
      </c>
      <c r="AE58" s="229">
        <f>SUMIFS([1]!Data_BS[Value],[1]!Data_BS[Index BS],'Khanh Nga'!$B58,[1]!Data_BS[TenCongTyID],'Khanh Nga'!$B$1,[1]!Data_BS[Thang.Nam],'Khanh Nga'!AE$5)</f>
        <v>0</v>
      </c>
      <c r="AF58" s="229">
        <f>SUMIFS([1]!Data_BS[Value],[1]!Data_BS[Index BS],'Khanh Nga'!$B58,[1]!Data_BS[TenCongTyID],'Khanh Nga'!$B$1,[1]!Data_BS[Thang.Nam],'Khanh Nga'!AF$5)</f>
        <v>0</v>
      </c>
      <c r="AG58" s="229">
        <f>SUMIFS([1]!Data_BS[Value],[1]!Data_BS[Index BS],'Khanh Nga'!$B58,[1]!Data_BS[TenCongTyID],'Khanh Nga'!$B$1,[1]!Data_BS[Thang.Nam],'Khanh Nga'!AG$5)</f>
        <v>0</v>
      </c>
      <c r="AH58" s="229">
        <f>SUMIFS([1]!Data_BS[Value],[1]!Data_BS[Index BS],'Khanh Nga'!$B58,[1]!Data_BS[TenCongTyID],'Khanh Nga'!$B$1,[1]!Data_BS[Thang.Nam],'Khanh Nga'!AH$5)</f>
        <v>0</v>
      </c>
      <c r="AI58" s="229">
        <f>SUMIFS([1]!Data_BS[Value],[1]!Data_BS[Index BS],'Khanh Nga'!$B58,[1]!Data_BS[TenCongTyID],'Khanh Nga'!$B$1,[1]!Data_BS[Thang.Nam],'Khanh Nga'!AI$5)</f>
        <v>0</v>
      </c>
      <c r="AJ58" s="229">
        <f>SUMIFS([1]!Data_BS[Value],[1]!Data_BS[Index BS],'Khanh Nga'!$B58,[1]!Data_BS[TenCongTyID],'Khanh Nga'!$B$1,[1]!Data_BS[Thang.Nam],'Khanh Nga'!AJ$5)</f>
        <v>0</v>
      </c>
      <c r="AK58" s="229">
        <f>SUMIFS([1]!Data_BS[Value],[1]!Data_BS[Index BS],'Khanh Nga'!$B58,[1]!Data_BS[TenCongTyID],'Khanh Nga'!$B$1,[1]!Data_BS[Thang.Nam],'Khanh Nga'!AK$5)</f>
        <v>0</v>
      </c>
      <c r="AL58" s="229">
        <f>SUMIFS([1]!Data_BS[Value],[1]!Data_BS[Index BS],'Khanh Nga'!$B58,[1]!Data_BS[TenCongTyID],'Khanh Nga'!$B$1,[1]!Data_BS[Thang.Nam],'Khanh Nga'!AL$5)</f>
        <v>0</v>
      </c>
    </row>
    <row r="59" spans="1:38" ht="15" hidden="1" customHeight="1" outlineLevel="1">
      <c r="A59" s="73" t="s">
        <v>143</v>
      </c>
      <c r="B59" s="63">
        <v>54</v>
      </c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>
        <v>0</v>
      </c>
      <c r="AA59" s="229">
        <f>SUMIFS([1]!Data_BS[Value],[1]!Data_BS[Index BS],'Khanh Nga'!$B59,[1]!Data_BS[TenCongTyID],'Khanh Nga'!$B$1,[1]!Data_BS[Thang.Nam],'Khanh Nga'!AA$5)</f>
        <v>0</v>
      </c>
      <c r="AB59" s="229">
        <f>SUMIFS([1]!Data_BS[Value],[1]!Data_BS[Index BS],'Khanh Nga'!$B59,[1]!Data_BS[TenCongTyID],'Khanh Nga'!$B$1,[1]!Data_BS[Thang.Nam],'Khanh Nga'!AB$5)</f>
        <v>0</v>
      </c>
      <c r="AC59" s="229">
        <f>SUMIFS([1]!Data_BS[Value],[1]!Data_BS[Index BS],'Khanh Nga'!$B59,[1]!Data_BS[TenCongTyID],'Khanh Nga'!$B$1,[1]!Data_BS[Thang.Nam],'Khanh Nga'!AC$5)</f>
        <v>0</v>
      </c>
      <c r="AD59" s="229">
        <f>SUMIFS([1]!Data_BS[Value],[1]!Data_BS[Index BS],'Khanh Nga'!$B59,[1]!Data_BS[TenCongTyID],'Khanh Nga'!$B$1,[1]!Data_BS[Thang.Nam],'Khanh Nga'!AD$5)</f>
        <v>0</v>
      </c>
      <c r="AE59" s="229">
        <f>SUMIFS([1]!Data_BS[Value],[1]!Data_BS[Index BS],'Khanh Nga'!$B59,[1]!Data_BS[TenCongTyID],'Khanh Nga'!$B$1,[1]!Data_BS[Thang.Nam],'Khanh Nga'!AE$5)</f>
        <v>0</v>
      </c>
      <c r="AF59" s="229">
        <f>SUMIFS([1]!Data_BS[Value],[1]!Data_BS[Index BS],'Khanh Nga'!$B59,[1]!Data_BS[TenCongTyID],'Khanh Nga'!$B$1,[1]!Data_BS[Thang.Nam],'Khanh Nga'!AF$5)</f>
        <v>0</v>
      </c>
      <c r="AG59" s="229">
        <f>SUMIFS([1]!Data_BS[Value],[1]!Data_BS[Index BS],'Khanh Nga'!$B59,[1]!Data_BS[TenCongTyID],'Khanh Nga'!$B$1,[1]!Data_BS[Thang.Nam],'Khanh Nga'!AG$5)</f>
        <v>0</v>
      </c>
      <c r="AH59" s="229">
        <f>SUMIFS([1]!Data_BS[Value],[1]!Data_BS[Index BS],'Khanh Nga'!$B59,[1]!Data_BS[TenCongTyID],'Khanh Nga'!$B$1,[1]!Data_BS[Thang.Nam],'Khanh Nga'!AH$5)</f>
        <v>0</v>
      </c>
      <c r="AI59" s="229">
        <f>SUMIFS([1]!Data_BS[Value],[1]!Data_BS[Index BS],'Khanh Nga'!$B59,[1]!Data_BS[TenCongTyID],'Khanh Nga'!$B$1,[1]!Data_BS[Thang.Nam],'Khanh Nga'!AI$5)</f>
        <v>0</v>
      </c>
      <c r="AJ59" s="229">
        <f>SUMIFS([1]!Data_BS[Value],[1]!Data_BS[Index BS],'Khanh Nga'!$B59,[1]!Data_BS[TenCongTyID],'Khanh Nga'!$B$1,[1]!Data_BS[Thang.Nam],'Khanh Nga'!AJ$5)</f>
        <v>0</v>
      </c>
      <c r="AK59" s="229">
        <f>SUMIFS([1]!Data_BS[Value],[1]!Data_BS[Index BS],'Khanh Nga'!$B59,[1]!Data_BS[TenCongTyID],'Khanh Nga'!$B$1,[1]!Data_BS[Thang.Nam],'Khanh Nga'!AK$5)</f>
        <v>0</v>
      </c>
      <c r="AL59" s="229">
        <f>SUMIFS([1]!Data_BS[Value],[1]!Data_BS[Index BS],'Khanh Nga'!$B59,[1]!Data_BS[TenCongTyID],'Khanh Nga'!$B$1,[1]!Data_BS[Thang.Nam],'Khanh Nga'!AL$5)</f>
        <v>0</v>
      </c>
    </row>
    <row r="60" spans="1:38" ht="15" hidden="1" customHeight="1" outlineLevel="1">
      <c r="A60" s="73" t="s">
        <v>144</v>
      </c>
      <c r="B60" s="63">
        <v>55</v>
      </c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>
        <v>0</v>
      </c>
      <c r="AA60" s="229">
        <f>SUMIFS([1]!Data_BS[Value],[1]!Data_BS[Index BS],'Khanh Nga'!$B60,[1]!Data_BS[TenCongTyID],'Khanh Nga'!$B$1,[1]!Data_BS[Thang.Nam],'Khanh Nga'!AA$5)</f>
        <v>0</v>
      </c>
      <c r="AB60" s="229">
        <f>SUMIFS([1]!Data_BS[Value],[1]!Data_BS[Index BS],'Khanh Nga'!$B60,[1]!Data_BS[TenCongTyID],'Khanh Nga'!$B$1,[1]!Data_BS[Thang.Nam],'Khanh Nga'!AB$5)</f>
        <v>0</v>
      </c>
      <c r="AC60" s="229">
        <f>SUMIFS([1]!Data_BS[Value],[1]!Data_BS[Index BS],'Khanh Nga'!$B60,[1]!Data_BS[TenCongTyID],'Khanh Nga'!$B$1,[1]!Data_BS[Thang.Nam],'Khanh Nga'!AC$5)</f>
        <v>0</v>
      </c>
      <c r="AD60" s="229">
        <f>SUMIFS([1]!Data_BS[Value],[1]!Data_BS[Index BS],'Khanh Nga'!$B60,[1]!Data_BS[TenCongTyID],'Khanh Nga'!$B$1,[1]!Data_BS[Thang.Nam],'Khanh Nga'!AD$5)</f>
        <v>0</v>
      </c>
      <c r="AE60" s="229">
        <f>SUMIFS([1]!Data_BS[Value],[1]!Data_BS[Index BS],'Khanh Nga'!$B60,[1]!Data_BS[TenCongTyID],'Khanh Nga'!$B$1,[1]!Data_BS[Thang.Nam],'Khanh Nga'!AE$5)</f>
        <v>0</v>
      </c>
      <c r="AF60" s="229">
        <f>SUMIFS([1]!Data_BS[Value],[1]!Data_BS[Index BS],'Khanh Nga'!$B60,[1]!Data_BS[TenCongTyID],'Khanh Nga'!$B$1,[1]!Data_BS[Thang.Nam],'Khanh Nga'!AF$5)</f>
        <v>0</v>
      </c>
      <c r="AG60" s="229">
        <f>SUMIFS([1]!Data_BS[Value],[1]!Data_BS[Index BS],'Khanh Nga'!$B60,[1]!Data_BS[TenCongTyID],'Khanh Nga'!$B$1,[1]!Data_BS[Thang.Nam],'Khanh Nga'!AG$5)</f>
        <v>0</v>
      </c>
      <c r="AH60" s="229">
        <f>SUMIFS([1]!Data_BS[Value],[1]!Data_BS[Index BS],'Khanh Nga'!$B60,[1]!Data_BS[TenCongTyID],'Khanh Nga'!$B$1,[1]!Data_BS[Thang.Nam],'Khanh Nga'!AH$5)</f>
        <v>0</v>
      </c>
      <c r="AI60" s="229">
        <f>SUMIFS([1]!Data_BS[Value],[1]!Data_BS[Index BS],'Khanh Nga'!$B60,[1]!Data_BS[TenCongTyID],'Khanh Nga'!$B$1,[1]!Data_BS[Thang.Nam],'Khanh Nga'!AI$5)</f>
        <v>0</v>
      </c>
      <c r="AJ60" s="229">
        <f>SUMIFS([1]!Data_BS[Value],[1]!Data_BS[Index BS],'Khanh Nga'!$B60,[1]!Data_BS[TenCongTyID],'Khanh Nga'!$B$1,[1]!Data_BS[Thang.Nam],'Khanh Nga'!AJ$5)</f>
        <v>0</v>
      </c>
      <c r="AK60" s="229">
        <f>SUMIFS([1]!Data_BS[Value],[1]!Data_BS[Index BS],'Khanh Nga'!$B60,[1]!Data_BS[TenCongTyID],'Khanh Nga'!$B$1,[1]!Data_BS[Thang.Nam],'Khanh Nga'!AK$5)</f>
        <v>0</v>
      </c>
      <c r="AL60" s="229">
        <f>SUMIFS([1]!Data_BS[Value],[1]!Data_BS[Index BS],'Khanh Nga'!$B60,[1]!Data_BS[TenCongTyID],'Khanh Nga'!$B$1,[1]!Data_BS[Thang.Nam],'Khanh Nga'!AL$5)</f>
        <v>0</v>
      </c>
    </row>
    <row r="61" spans="1:38" ht="15" hidden="1" customHeight="1" outlineLevel="1">
      <c r="A61" s="73" t="s">
        <v>145</v>
      </c>
      <c r="B61" s="63">
        <v>56</v>
      </c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>
        <v>0</v>
      </c>
      <c r="AA61" s="229">
        <f>SUMIFS([1]!Data_BS[Value],[1]!Data_BS[Index BS],'Khanh Nga'!$B61,[1]!Data_BS[TenCongTyID],'Khanh Nga'!$B$1,[1]!Data_BS[Thang.Nam],'Khanh Nga'!AA$5)</f>
        <v>0</v>
      </c>
      <c r="AB61" s="229">
        <f>SUMIFS([1]!Data_BS[Value],[1]!Data_BS[Index BS],'Khanh Nga'!$B61,[1]!Data_BS[TenCongTyID],'Khanh Nga'!$B$1,[1]!Data_BS[Thang.Nam],'Khanh Nga'!AB$5)</f>
        <v>0</v>
      </c>
      <c r="AC61" s="229">
        <f>SUMIFS([1]!Data_BS[Value],[1]!Data_BS[Index BS],'Khanh Nga'!$B61,[1]!Data_BS[TenCongTyID],'Khanh Nga'!$B$1,[1]!Data_BS[Thang.Nam],'Khanh Nga'!AC$5)</f>
        <v>0</v>
      </c>
      <c r="AD61" s="229">
        <f>SUMIFS([1]!Data_BS[Value],[1]!Data_BS[Index BS],'Khanh Nga'!$B61,[1]!Data_BS[TenCongTyID],'Khanh Nga'!$B$1,[1]!Data_BS[Thang.Nam],'Khanh Nga'!AD$5)</f>
        <v>0</v>
      </c>
      <c r="AE61" s="229">
        <f>SUMIFS([1]!Data_BS[Value],[1]!Data_BS[Index BS],'Khanh Nga'!$B61,[1]!Data_BS[TenCongTyID],'Khanh Nga'!$B$1,[1]!Data_BS[Thang.Nam],'Khanh Nga'!AE$5)</f>
        <v>0</v>
      </c>
      <c r="AF61" s="229">
        <f>SUMIFS([1]!Data_BS[Value],[1]!Data_BS[Index BS],'Khanh Nga'!$B61,[1]!Data_BS[TenCongTyID],'Khanh Nga'!$B$1,[1]!Data_BS[Thang.Nam],'Khanh Nga'!AF$5)</f>
        <v>0</v>
      </c>
      <c r="AG61" s="229">
        <f>SUMIFS([1]!Data_BS[Value],[1]!Data_BS[Index BS],'Khanh Nga'!$B61,[1]!Data_BS[TenCongTyID],'Khanh Nga'!$B$1,[1]!Data_BS[Thang.Nam],'Khanh Nga'!AG$5)</f>
        <v>0</v>
      </c>
      <c r="AH61" s="229">
        <f>SUMIFS([1]!Data_BS[Value],[1]!Data_BS[Index BS],'Khanh Nga'!$B61,[1]!Data_BS[TenCongTyID],'Khanh Nga'!$B$1,[1]!Data_BS[Thang.Nam],'Khanh Nga'!AH$5)</f>
        <v>0</v>
      </c>
      <c r="AI61" s="229">
        <f>SUMIFS([1]!Data_BS[Value],[1]!Data_BS[Index BS],'Khanh Nga'!$B61,[1]!Data_BS[TenCongTyID],'Khanh Nga'!$B$1,[1]!Data_BS[Thang.Nam],'Khanh Nga'!AI$5)</f>
        <v>0</v>
      </c>
      <c r="AJ61" s="229">
        <f>SUMIFS([1]!Data_BS[Value],[1]!Data_BS[Index BS],'Khanh Nga'!$B61,[1]!Data_BS[TenCongTyID],'Khanh Nga'!$B$1,[1]!Data_BS[Thang.Nam],'Khanh Nga'!AJ$5)</f>
        <v>0</v>
      </c>
      <c r="AK61" s="229">
        <f>SUMIFS([1]!Data_BS[Value],[1]!Data_BS[Index BS],'Khanh Nga'!$B61,[1]!Data_BS[TenCongTyID],'Khanh Nga'!$B$1,[1]!Data_BS[Thang.Nam],'Khanh Nga'!AK$5)</f>
        <v>0</v>
      </c>
      <c r="AL61" s="229">
        <f>SUMIFS([1]!Data_BS[Value],[1]!Data_BS[Index BS],'Khanh Nga'!$B61,[1]!Data_BS[TenCongTyID],'Khanh Nga'!$B$1,[1]!Data_BS[Thang.Nam],'Khanh Nga'!AL$5)</f>
        <v>0</v>
      </c>
    </row>
    <row r="62" spans="1:38" ht="15" hidden="1" customHeight="1" outlineLevel="1">
      <c r="A62" s="73" t="s">
        <v>146</v>
      </c>
      <c r="B62" s="63">
        <v>57</v>
      </c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>
        <v>0</v>
      </c>
      <c r="AA62" s="229">
        <f>SUMIFS([1]!Data_BS[Value],[1]!Data_BS[Index BS],'Khanh Nga'!$B62,[1]!Data_BS[TenCongTyID],'Khanh Nga'!$B$1,[1]!Data_BS[Thang.Nam],'Khanh Nga'!AA$5)</f>
        <v>0</v>
      </c>
      <c r="AB62" s="229">
        <f>SUMIFS([1]!Data_BS[Value],[1]!Data_BS[Index BS],'Khanh Nga'!$B62,[1]!Data_BS[TenCongTyID],'Khanh Nga'!$B$1,[1]!Data_BS[Thang.Nam],'Khanh Nga'!AB$5)</f>
        <v>0</v>
      </c>
      <c r="AC62" s="229">
        <f>SUMIFS([1]!Data_BS[Value],[1]!Data_BS[Index BS],'Khanh Nga'!$B62,[1]!Data_BS[TenCongTyID],'Khanh Nga'!$B$1,[1]!Data_BS[Thang.Nam],'Khanh Nga'!AC$5)</f>
        <v>0</v>
      </c>
      <c r="AD62" s="229">
        <f>SUMIFS([1]!Data_BS[Value],[1]!Data_BS[Index BS],'Khanh Nga'!$B62,[1]!Data_BS[TenCongTyID],'Khanh Nga'!$B$1,[1]!Data_BS[Thang.Nam],'Khanh Nga'!AD$5)</f>
        <v>0</v>
      </c>
      <c r="AE62" s="229">
        <f>SUMIFS([1]!Data_BS[Value],[1]!Data_BS[Index BS],'Khanh Nga'!$B62,[1]!Data_BS[TenCongTyID],'Khanh Nga'!$B$1,[1]!Data_BS[Thang.Nam],'Khanh Nga'!AE$5)</f>
        <v>0</v>
      </c>
      <c r="AF62" s="229">
        <f>SUMIFS([1]!Data_BS[Value],[1]!Data_BS[Index BS],'Khanh Nga'!$B62,[1]!Data_BS[TenCongTyID],'Khanh Nga'!$B$1,[1]!Data_BS[Thang.Nam],'Khanh Nga'!AF$5)</f>
        <v>0</v>
      </c>
      <c r="AG62" s="229">
        <f>SUMIFS([1]!Data_BS[Value],[1]!Data_BS[Index BS],'Khanh Nga'!$B62,[1]!Data_BS[TenCongTyID],'Khanh Nga'!$B$1,[1]!Data_BS[Thang.Nam],'Khanh Nga'!AG$5)</f>
        <v>0</v>
      </c>
      <c r="AH62" s="229">
        <f>SUMIFS([1]!Data_BS[Value],[1]!Data_BS[Index BS],'Khanh Nga'!$B62,[1]!Data_BS[TenCongTyID],'Khanh Nga'!$B$1,[1]!Data_BS[Thang.Nam],'Khanh Nga'!AH$5)</f>
        <v>0</v>
      </c>
      <c r="AI62" s="229">
        <f>SUMIFS([1]!Data_BS[Value],[1]!Data_BS[Index BS],'Khanh Nga'!$B62,[1]!Data_BS[TenCongTyID],'Khanh Nga'!$B$1,[1]!Data_BS[Thang.Nam],'Khanh Nga'!AI$5)</f>
        <v>0</v>
      </c>
      <c r="AJ62" s="229">
        <f>SUMIFS([1]!Data_BS[Value],[1]!Data_BS[Index BS],'Khanh Nga'!$B62,[1]!Data_BS[TenCongTyID],'Khanh Nga'!$B$1,[1]!Data_BS[Thang.Nam],'Khanh Nga'!AJ$5)</f>
        <v>0</v>
      </c>
      <c r="AK62" s="229">
        <f>SUMIFS([1]!Data_BS[Value],[1]!Data_BS[Index BS],'Khanh Nga'!$B62,[1]!Data_BS[TenCongTyID],'Khanh Nga'!$B$1,[1]!Data_BS[Thang.Nam],'Khanh Nga'!AK$5)</f>
        <v>0</v>
      </c>
      <c r="AL62" s="229">
        <f>SUMIFS([1]!Data_BS[Value],[1]!Data_BS[Index BS],'Khanh Nga'!$B62,[1]!Data_BS[TenCongTyID],'Khanh Nga'!$B$1,[1]!Data_BS[Thang.Nam],'Khanh Nga'!AL$5)</f>
        <v>0</v>
      </c>
    </row>
    <row r="63" spans="1:38" ht="15" hidden="1" customHeight="1" outlineLevel="1">
      <c r="A63" s="73" t="s">
        <v>147</v>
      </c>
      <c r="B63" s="63">
        <v>58</v>
      </c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>
        <v>0</v>
      </c>
      <c r="AA63" s="229">
        <f>SUMIFS([1]!Data_BS[Value],[1]!Data_BS[Index BS],'Khanh Nga'!$B63,[1]!Data_BS[TenCongTyID],'Khanh Nga'!$B$1,[1]!Data_BS[Thang.Nam],'Khanh Nga'!AA$5)</f>
        <v>0</v>
      </c>
      <c r="AB63" s="229">
        <f>SUMIFS([1]!Data_BS[Value],[1]!Data_BS[Index BS],'Khanh Nga'!$B63,[1]!Data_BS[TenCongTyID],'Khanh Nga'!$B$1,[1]!Data_BS[Thang.Nam],'Khanh Nga'!AB$5)</f>
        <v>0</v>
      </c>
      <c r="AC63" s="229">
        <f>SUMIFS([1]!Data_BS[Value],[1]!Data_BS[Index BS],'Khanh Nga'!$B63,[1]!Data_BS[TenCongTyID],'Khanh Nga'!$B$1,[1]!Data_BS[Thang.Nam],'Khanh Nga'!AC$5)</f>
        <v>0</v>
      </c>
      <c r="AD63" s="229">
        <f>SUMIFS([1]!Data_BS[Value],[1]!Data_BS[Index BS],'Khanh Nga'!$B63,[1]!Data_BS[TenCongTyID],'Khanh Nga'!$B$1,[1]!Data_BS[Thang.Nam],'Khanh Nga'!AD$5)</f>
        <v>0</v>
      </c>
      <c r="AE63" s="229">
        <f>SUMIFS([1]!Data_BS[Value],[1]!Data_BS[Index BS],'Khanh Nga'!$B63,[1]!Data_BS[TenCongTyID],'Khanh Nga'!$B$1,[1]!Data_BS[Thang.Nam],'Khanh Nga'!AE$5)</f>
        <v>0</v>
      </c>
      <c r="AF63" s="229">
        <f>SUMIFS([1]!Data_BS[Value],[1]!Data_BS[Index BS],'Khanh Nga'!$B63,[1]!Data_BS[TenCongTyID],'Khanh Nga'!$B$1,[1]!Data_BS[Thang.Nam],'Khanh Nga'!AF$5)</f>
        <v>0</v>
      </c>
      <c r="AG63" s="229">
        <f>SUMIFS([1]!Data_BS[Value],[1]!Data_BS[Index BS],'Khanh Nga'!$B63,[1]!Data_BS[TenCongTyID],'Khanh Nga'!$B$1,[1]!Data_BS[Thang.Nam],'Khanh Nga'!AG$5)</f>
        <v>0</v>
      </c>
      <c r="AH63" s="229">
        <f>SUMIFS([1]!Data_BS[Value],[1]!Data_BS[Index BS],'Khanh Nga'!$B63,[1]!Data_BS[TenCongTyID],'Khanh Nga'!$B$1,[1]!Data_BS[Thang.Nam],'Khanh Nga'!AH$5)</f>
        <v>0</v>
      </c>
      <c r="AI63" s="229">
        <f>SUMIFS([1]!Data_BS[Value],[1]!Data_BS[Index BS],'Khanh Nga'!$B63,[1]!Data_BS[TenCongTyID],'Khanh Nga'!$B$1,[1]!Data_BS[Thang.Nam],'Khanh Nga'!AI$5)</f>
        <v>0</v>
      </c>
      <c r="AJ63" s="229">
        <f>SUMIFS([1]!Data_BS[Value],[1]!Data_BS[Index BS],'Khanh Nga'!$B63,[1]!Data_BS[TenCongTyID],'Khanh Nga'!$B$1,[1]!Data_BS[Thang.Nam],'Khanh Nga'!AJ$5)</f>
        <v>0</v>
      </c>
      <c r="AK63" s="229">
        <f>SUMIFS([1]!Data_BS[Value],[1]!Data_BS[Index BS],'Khanh Nga'!$B63,[1]!Data_BS[TenCongTyID],'Khanh Nga'!$B$1,[1]!Data_BS[Thang.Nam],'Khanh Nga'!AK$5)</f>
        <v>0</v>
      </c>
      <c r="AL63" s="229">
        <f>SUMIFS([1]!Data_BS[Value],[1]!Data_BS[Index BS],'Khanh Nga'!$B63,[1]!Data_BS[TenCongTyID],'Khanh Nga'!$B$1,[1]!Data_BS[Thang.Nam],'Khanh Nga'!AL$5)</f>
        <v>0</v>
      </c>
    </row>
    <row r="64" spans="1:38" ht="15" hidden="1" customHeight="1" outlineLevel="1">
      <c r="A64" s="73" t="s">
        <v>148</v>
      </c>
      <c r="B64" s="63">
        <v>59</v>
      </c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>
        <v>0</v>
      </c>
      <c r="AA64" s="229">
        <f>SUMIFS([1]!Data_BS[Value],[1]!Data_BS[Index BS],'Khanh Nga'!$B64,[1]!Data_BS[TenCongTyID],'Khanh Nga'!$B$1,[1]!Data_BS[Thang.Nam],'Khanh Nga'!AA$5)</f>
        <v>0</v>
      </c>
      <c r="AB64" s="229">
        <f>SUMIFS([1]!Data_BS[Value],[1]!Data_BS[Index BS],'Khanh Nga'!$B64,[1]!Data_BS[TenCongTyID],'Khanh Nga'!$B$1,[1]!Data_BS[Thang.Nam],'Khanh Nga'!AB$5)</f>
        <v>0</v>
      </c>
      <c r="AC64" s="229">
        <f>SUMIFS([1]!Data_BS[Value],[1]!Data_BS[Index BS],'Khanh Nga'!$B64,[1]!Data_BS[TenCongTyID],'Khanh Nga'!$B$1,[1]!Data_BS[Thang.Nam],'Khanh Nga'!AC$5)</f>
        <v>0</v>
      </c>
      <c r="AD64" s="229">
        <f>SUMIFS([1]!Data_BS[Value],[1]!Data_BS[Index BS],'Khanh Nga'!$B64,[1]!Data_BS[TenCongTyID],'Khanh Nga'!$B$1,[1]!Data_BS[Thang.Nam],'Khanh Nga'!AD$5)</f>
        <v>0</v>
      </c>
      <c r="AE64" s="229">
        <f>SUMIFS([1]!Data_BS[Value],[1]!Data_BS[Index BS],'Khanh Nga'!$B64,[1]!Data_BS[TenCongTyID],'Khanh Nga'!$B$1,[1]!Data_BS[Thang.Nam],'Khanh Nga'!AE$5)</f>
        <v>0</v>
      </c>
      <c r="AF64" s="229">
        <f>SUMIFS([1]!Data_BS[Value],[1]!Data_BS[Index BS],'Khanh Nga'!$B64,[1]!Data_BS[TenCongTyID],'Khanh Nga'!$B$1,[1]!Data_BS[Thang.Nam],'Khanh Nga'!AF$5)</f>
        <v>0</v>
      </c>
      <c r="AG64" s="229">
        <f>SUMIFS([1]!Data_BS[Value],[1]!Data_BS[Index BS],'Khanh Nga'!$B64,[1]!Data_BS[TenCongTyID],'Khanh Nga'!$B$1,[1]!Data_BS[Thang.Nam],'Khanh Nga'!AG$5)</f>
        <v>0</v>
      </c>
      <c r="AH64" s="229">
        <f>SUMIFS([1]!Data_BS[Value],[1]!Data_BS[Index BS],'Khanh Nga'!$B64,[1]!Data_BS[TenCongTyID],'Khanh Nga'!$B$1,[1]!Data_BS[Thang.Nam],'Khanh Nga'!AH$5)</f>
        <v>0</v>
      </c>
      <c r="AI64" s="229">
        <f>SUMIFS([1]!Data_BS[Value],[1]!Data_BS[Index BS],'Khanh Nga'!$B64,[1]!Data_BS[TenCongTyID],'Khanh Nga'!$B$1,[1]!Data_BS[Thang.Nam],'Khanh Nga'!AI$5)</f>
        <v>0</v>
      </c>
      <c r="AJ64" s="229">
        <f>SUMIFS([1]!Data_BS[Value],[1]!Data_BS[Index BS],'Khanh Nga'!$B64,[1]!Data_BS[TenCongTyID],'Khanh Nga'!$B$1,[1]!Data_BS[Thang.Nam],'Khanh Nga'!AJ$5)</f>
        <v>0</v>
      </c>
      <c r="AK64" s="229">
        <f>SUMIFS([1]!Data_BS[Value],[1]!Data_BS[Index BS],'Khanh Nga'!$B64,[1]!Data_BS[TenCongTyID],'Khanh Nga'!$B$1,[1]!Data_BS[Thang.Nam],'Khanh Nga'!AK$5)</f>
        <v>0</v>
      </c>
      <c r="AL64" s="229">
        <f>SUMIFS([1]!Data_BS[Value],[1]!Data_BS[Index BS],'Khanh Nga'!$B64,[1]!Data_BS[TenCongTyID],'Khanh Nga'!$B$1,[1]!Data_BS[Thang.Nam],'Khanh Nga'!AL$5)</f>
        <v>0</v>
      </c>
    </row>
    <row r="65" spans="1:38" ht="15" hidden="1" customHeight="1" outlineLevel="1">
      <c r="A65" s="72" t="s">
        <v>149</v>
      </c>
      <c r="B65" s="65">
        <v>60</v>
      </c>
      <c r="C65" s="232">
        <v>0</v>
      </c>
      <c r="D65" s="232">
        <v>0</v>
      </c>
      <c r="E65" s="232">
        <v>0</v>
      </c>
      <c r="F65" s="232">
        <v>0</v>
      </c>
      <c r="G65" s="232">
        <v>0</v>
      </c>
      <c r="H65" s="232">
        <v>0</v>
      </c>
      <c r="I65" s="232">
        <v>0</v>
      </c>
      <c r="J65" s="232">
        <v>0</v>
      </c>
      <c r="K65" s="232">
        <v>0</v>
      </c>
      <c r="L65" s="232">
        <v>0</v>
      </c>
      <c r="M65" s="232">
        <v>0</v>
      </c>
      <c r="N65" s="232"/>
      <c r="O65" s="232">
        <v>0</v>
      </c>
      <c r="P65" s="232">
        <v>0</v>
      </c>
      <c r="Q65" s="232">
        <v>0</v>
      </c>
      <c r="R65" s="232">
        <v>0</v>
      </c>
      <c r="S65" s="232">
        <v>0</v>
      </c>
      <c r="T65" s="232">
        <v>0</v>
      </c>
      <c r="U65" s="232">
        <v>0</v>
      </c>
      <c r="V65" s="232">
        <v>0</v>
      </c>
      <c r="W65" s="232"/>
      <c r="X65" s="232">
        <v>0</v>
      </c>
      <c r="Y65" s="232"/>
      <c r="Z65" s="232">
        <v>0</v>
      </c>
      <c r="AA65" s="232">
        <f>SUMIFS([1]!Data_BS[Value],[1]!Data_BS[Index BS],'Khanh Nga'!$B65,[1]!Data_BS[TenCongTyID],'Khanh Nga'!$B$1,[1]!Data_BS[Thang.Nam],'Khanh Nga'!AA$5)</f>
        <v>0</v>
      </c>
      <c r="AB65" s="232">
        <f>SUMIFS([1]!Data_BS[Value],[1]!Data_BS[Index BS],'Khanh Nga'!$B65,[1]!Data_BS[TenCongTyID],'Khanh Nga'!$B$1,[1]!Data_BS[Thang.Nam],'Khanh Nga'!AB$5)</f>
        <v>0</v>
      </c>
      <c r="AC65" s="232">
        <f>SUMIFS([1]!Data_BS[Value],[1]!Data_BS[Index BS],'Khanh Nga'!$B65,[1]!Data_BS[TenCongTyID],'Khanh Nga'!$B$1,[1]!Data_BS[Thang.Nam],'Khanh Nga'!AC$5)</f>
        <v>0</v>
      </c>
      <c r="AD65" s="232">
        <f>SUMIFS([1]!Data_BS[Value],[1]!Data_BS[Index BS],'Khanh Nga'!$B65,[1]!Data_BS[TenCongTyID],'Khanh Nga'!$B$1,[1]!Data_BS[Thang.Nam],'Khanh Nga'!AD$5)</f>
        <v>0</v>
      </c>
      <c r="AE65" s="232">
        <f>SUMIFS([1]!Data_BS[Value],[1]!Data_BS[Index BS],'Khanh Nga'!$B65,[1]!Data_BS[TenCongTyID],'Khanh Nga'!$B$1,[1]!Data_BS[Thang.Nam],'Khanh Nga'!AE$5)</f>
        <v>0</v>
      </c>
      <c r="AF65" s="232">
        <f>SUMIFS([1]!Data_BS[Value],[1]!Data_BS[Index BS],'Khanh Nga'!$B65,[1]!Data_BS[TenCongTyID],'Khanh Nga'!$B$1,[1]!Data_BS[Thang.Nam],'Khanh Nga'!AF$5)</f>
        <v>0</v>
      </c>
      <c r="AG65" s="232">
        <f>SUMIFS([1]!Data_BS[Value],[1]!Data_BS[Index BS],'Khanh Nga'!$B65,[1]!Data_BS[TenCongTyID],'Khanh Nga'!$B$1,[1]!Data_BS[Thang.Nam],'Khanh Nga'!AG$5)</f>
        <v>0</v>
      </c>
      <c r="AH65" s="232">
        <f>SUMIFS([1]!Data_BS[Value],[1]!Data_BS[Index BS],'Khanh Nga'!$B65,[1]!Data_BS[TenCongTyID],'Khanh Nga'!$B$1,[1]!Data_BS[Thang.Nam],'Khanh Nga'!AH$5)</f>
        <v>0</v>
      </c>
      <c r="AI65" s="232">
        <f>SUMIFS([1]!Data_BS[Value],[1]!Data_BS[Index BS],'Khanh Nga'!$B65,[1]!Data_BS[TenCongTyID],'Khanh Nga'!$B$1,[1]!Data_BS[Thang.Nam],'Khanh Nga'!AI$5)</f>
        <v>0</v>
      </c>
      <c r="AJ65" s="232">
        <f>SUMIFS([1]!Data_BS[Value],[1]!Data_BS[Index BS],'Khanh Nga'!$B65,[1]!Data_BS[TenCongTyID],'Khanh Nga'!$B$1,[1]!Data_BS[Thang.Nam],'Khanh Nga'!AJ$5)</f>
        <v>0</v>
      </c>
      <c r="AK65" s="232">
        <f>SUMIFS([1]!Data_BS[Value],[1]!Data_BS[Index BS],'Khanh Nga'!$B65,[1]!Data_BS[TenCongTyID],'Khanh Nga'!$B$1,[1]!Data_BS[Thang.Nam],'Khanh Nga'!AK$5)</f>
        <v>0</v>
      </c>
      <c r="AL65" s="232">
        <f>SUMIFS([1]!Data_BS[Value],[1]!Data_BS[Index BS],'Khanh Nga'!$B65,[1]!Data_BS[TenCongTyID],'Khanh Nga'!$B$1,[1]!Data_BS[Thang.Nam],'Khanh Nga'!AL$5)</f>
        <v>0</v>
      </c>
    </row>
    <row r="66" spans="1:38" ht="15" hidden="1" customHeight="1" outlineLevel="1">
      <c r="A66" s="62" t="s">
        <v>150</v>
      </c>
      <c r="B66" s="63">
        <v>61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/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/>
      <c r="X66" s="229">
        <v>0</v>
      </c>
      <c r="Y66" s="229"/>
      <c r="Z66" s="229">
        <v>0</v>
      </c>
      <c r="AA66" s="229">
        <f>SUMIFS([1]!Data_BS[Value],[1]!Data_BS[Index BS],'Khanh Nga'!$B66,[1]!Data_BS[TenCongTyID],'Khanh Nga'!$B$1,[1]!Data_BS[Thang.Nam],'Khanh Nga'!AA$5)</f>
        <v>0</v>
      </c>
      <c r="AB66" s="229">
        <f>SUMIFS([1]!Data_BS[Value],[1]!Data_BS[Index BS],'Khanh Nga'!$B66,[1]!Data_BS[TenCongTyID],'Khanh Nga'!$B$1,[1]!Data_BS[Thang.Nam],'Khanh Nga'!AB$5)</f>
        <v>0</v>
      </c>
      <c r="AC66" s="229">
        <f>SUMIFS([1]!Data_BS[Value],[1]!Data_BS[Index BS],'Khanh Nga'!$B66,[1]!Data_BS[TenCongTyID],'Khanh Nga'!$B$1,[1]!Data_BS[Thang.Nam],'Khanh Nga'!AC$5)</f>
        <v>0</v>
      </c>
      <c r="AD66" s="229">
        <f>SUMIFS([1]!Data_BS[Value],[1]!Data_BS[Index BS],'Khanh Nga'!$B66,[1]!Data_BS[TenCongTyID],'Khanh Nga'!$B$1,[1]!Data_BS[Thang.Nam],'Khanh Nga'!AD$5)</f>
        <v>0</v>
      </c>
      <c r="AE66" s="229">
        <f>SUMIFS([1]!Data_BS[Value],[1]!Data_BS[Index BS],'Khanh Nga'!$B66,[1]!Data_BS[TenCongTyID],'Khanh Nga'!$B$1,[1]!Data_BS[Thang.Nam],'Khanh Nga'!AE$5)</f>
        <v>0</v>
      </c>
      <c r="AF66" s="229">
        <f>SUMIFS([1]!Data_BS[Value],[1]!Data_BS[Index BS],'Khanh Nga'!$B66,[1]!Data_BS[TenCongTyID],'Khanh Nga'!$B$1,[1]!Data_BS[Thang.Nam],'Khanh Nga'!AF$5)</f>
        <v>0</v>
      </c>
      <c r="AG66" s="229">
        <f>SUMIFS([1]!Data_BS[Value],[1]!Data_BS[Index BS],'Khanh Nga'!$B66,[1]!Data_BS[TenCongTyID],'Khanh Nga'!$B$1,[1]!Data_BS[Thang.Nam],'Khanh Nga'!AG$5)</f>
        <v>0</v>
      </c>
      <c r="AH66" s="229">
        <f>SUMIFS([1]!Data_BS[Value],[1]!Data_BS[Index BS],'Khanh Nga'!$B66,[1]!Data_BS[TenCongTyID],'Khanh Nga'!$B$1,[1]!Data_BS[Thang.Nam],'Khanh Nga'!AH$5)</f>
        <v>0</v>
      </c>
      <c r="AI66" s="229">
        <f>SUMIFS([1]!Data_BS[Value],[1]!Data_BS[Index BS],'Khanh Nga'!$B66,[1]!Data_BS[TenCongTyID],'Khanh Nga'!$B$1,[1]!Data_BS[Thang.Nam],'Khanh Nga'!AI$5)</f>
        <v>0</v>
      </c>
      <c r="AJ66" s="229">
        <f>SUMIFS([1]!Data_BS[Value],[1]!Data_BS[Index BS],'Khanh Nga'!$B66,[1]!Data_BS[TenCongTyID],'Khanh Nga'!$B$1,[1]!Data_BS[Thang.Nam],'Khanh Nga'!AJ$5)</f>
        <v>0</v>
      </c>
      <c r="AK66" s="229">
        <f>SUMIFS([1]!Data_BS[Value],[1]!Data_BS[Index BS],'Khanh Nga'!$B66,[1]!Data_BS[TenCongTyID],'Khanh Nga'!$B$1,[1]!Data_BS[Thang.Nam],'Khanh Nga'!AK$5)</f>
        <v>0</v>
      </c>
      <c r="AL66" s="229">
        <f>SUMIFS([1]!Data_BS[Value],[1]!Data_BS[Index BS],'Khanh Nga'!$B66,[1]!Data_BS[TenCongTyID],'Khanh Nga'!$B$1,[1]!Data_BS[Thang.Nam],'Khanh Nga'!AL$5)</f>
        <v>0</v>
      </c>
    </row>
    <row r="67" spans="1:38" ht="15" hidden="1" customHeight="1" outlineLevel="1">
      <c r="A67" s="62" t="s">
        <v>151</v>
      </c>
      <c r="B67" s="63">
        <v>62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/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/>
      <c r="X67" s="229">
        <v>0</v>
      </c>
      <c r="Y67" s="229"/>
      <c r="Z67" s="229">
        <v>0</v>
      </c>
      <c r="AA67" s="229">
        <f>SUMIFS([1]!Data_BS[Value],[1]!Data_BS[Index BS],'Khanh Nga'!$B67,[1]!Data_BS[TenCongTyID],'Khanh Nga'!$B$1,[1]!Data_BS[Thang.Nam],'Khanh Nga'!AA$5)</f>
        <v>0</v>
      </c>
      <c r="AB67" s="229">
        <f>SUMIFS([1]!Data_BS[Value],[1]!Data_BS[Index BS],'Khanh Nga'!$B67,[1]!Data_BS[TenCongTyID],'Khanh Nga'!$B$1,[1]!Data_BS[Thang.Nam],'Khanh Nga'!AB$5)</f>
        <v>0</v>
      </c>
      <c r="AC67" s="229">
        <f>SUMIFS([1]!Data_BS[Value],[1]!Data_BS[Index BS],'Khanh Nga'!$B67,[1]!Data_BS[TenCongTyID],'Khanh Nga'!$B$1,[1]!Data_BS[Thang.Nam],'Khanh Nga'!AC$5)</f>
        <v>0</v>
      </c>
      <c r="AD67" s="229">
        <f>SUMIFS([1]!Data_BS[Value],[1]!Data_BS[Index BS],'Khanh Nga'!$B67,[1]!Data_BS[TenCongTyID],'Khanh Nga'!$B$1,[1]!Data_BS[Thang.Nam],'Khanh Nga'!AD$5)</f>
        <v>0</v>
      </c>
      <c r="AE67" s="229">
        <f>SUMIFS([1]!Data_BS[Value],[1]!Data_BS[Index BS],'Khanh Nga'!$B67,[1]!Data_BS[TenCongTyID],'Khanh Nga'!$B$1,[1]!Data_BS[Thang.Nam],'Khanh Nga'!AE$5)</f>
        <v>0</v>
      </c>
      <c r="AF67" s="229">
        <f>SUMIFS([1]!Data_BS[Value],[1]!Data_BS[Index BS],'Khanh Nga'!$B67,[1]!Data_BS[TenCongTyID],'Khanh Nga'!$B$1,[1]!Data_BS[Thang.Nam],'Khanh Nga'!AF$5)</f>
        <v>0</v>
      </c>
      <c r="AG67" s="229">
        <f>SUMIFS([1]!Data_BS[Value],[1]!Data_BS[Index BS],'Khanh Nga'!$B67,[1]!Data_BS[TenCongTyID],'Khanh Nga'!$B$1,[1]!Data_BS[Thang.Nam],'Khanh Nga'!AG$5)</f>
        <v>0</v>
      </c>
      <c r="AH67" s="229">
        <f>SUMIFS([1]!Data_BS[Value],[1]!Data_BS[Index BS],'Khanh Nga'!$B67,[1]!Data_BS[TenCongTyID],'Khanh Nga'!$B$1,[1]!Data_BS[Thang.Nam],'Khanh Nga'!AH$5)</f>
        <v>0</v>
      </c>
      <c r="AI67" s="229">
        <f>SUMIFS([1]!Data_BS[Value],[1]!Data_BS[Index BS],'Khanh Nga'!$B67,[1]!Data_BS[TenCongTyID],'Khanh Nga'!$B$1,[1]!Data_BS[Thang.Nam],'Khanh Nga'!AI$5)</f>
        <v>0</v>
      </c>
      <c r="AJ67" s="229">
        <f>SUMIFS([1]!Data_BS[Value],[1]!Data_BS[Index BS],'Khanh Nga'!$B67,[1]!Data_BS[TenCongTyID],'Khanh Nga'!$B$1,[1]!Data_BS[Thang.Nam],'Khanh Nga'!AJ$5)</f>
        <v>0</v>
      </c>
      <c r="AK67" s="229">
        <f>SUMIFS([1]!Data_BS[Value],[1]!Data_BS[Index BS],'Khanh Nga'!$B67,[1]!Data_BS[TenCongTyID],'Khanh Nga'!$B$1,[1]!Data_BS[Thang.Nam],'Khanh Nga'!AK$5)</f>
        <v>0</v>
      </c>
      <c r="AL67" s="229">
        <f>SUMIFS([1]!Data_BS[Value],[1]!Data_BS[Index BS],'Khanh Nga'!$B67,[1]!Data_BS[TenCongTyID],'Khanh Nga'!$B$1,[1]!Data_BS[Thang.Nam],'Khanh Nga'!AL$5)</f>
        <v>0</v>
      </c>
    </row>
    <row r="68" spans="1:38" ht="15" hidden="1" customHeight="1" outlineLevel="1">
      <c r="A68" s="72" t="s">
        <v>152</v>
      </c>
      <c r="B68" s="65">
        <v>63</v>
      </c>
      <c r="C68" s="233">
        <v>0</v>
      </c>
      <c r="D68" s="233">
        <v>0</v>
      </c>
      <c r="E68" s="233">
        <v>0</v>
      </c>
      <c r="F68" s="233">
        <v>0</v>
      </c>
      <c r="G68" s="233">
        <v>0</v>
      </c>
      <c r="H68" s="233">
        <v>0</v>
      </c>
      <c r="I68" s="233">
        <v>0</v>
      </c>
      <c r="J68" s="233">
        <v>0</v>
      </c>
      <c r="K68" s="233">
        <v>0</v>
      </c>
      <c r="L68" s="233">
        <v>0</v>
      </c>
      <c r="M68" s="233">
        <v>30781194</v>
      </c>
      <c r="N68" s="234"/>
      <c r="O68" s="234">
        <v>0</v>
      </c>
      <c r="P68" s="234">
        <v>0</v>
      </c>
      <c r="Q68" s="234">
        <v>0</v>
      </c>
      <c r="R68" s="234">
        <v>0</v>
      </c>
      <c r="S68" s="234">
        <v>0</v>
      </c>
      <c r="T68" s="234">
        <v>0</v>
      </c>
      <c r="U68" s="234">
        <v>0</v>
      </c>
      <c r="V68" s="234">
        <v>0</v>
      </c>
      <c r="W68" s="234"/>
      <c r="X68" s="234">
        <v>0</v>
      </c>
      <c r="Y68" s="234"/>
      <c r="Z68" s="234">
        <v>0</v>
      </c>
      <c r="AA68" s="234">
        <f>SUMIFS([1]!Data_BS[Value],[1]!Data_BS[Index BS],'Khanh Nga'!$B68,[1]!Data_BS[TenCongTyID],'Khanh Nga'!$B$1,[1]!Data_BS[Thang.Nam],'Khanh Nga'!AA$5)</f>
        <v>0</v>
      </c>
      <c r="AB68" s="234">
        <f>SUMIFS([1]!Data_BS[Value],[1]!Data_BS[Index BS],'Khanh Nga'!$B68,[1]!Data_BS[TenCongTyID],'Khanh Nga'!$B$1,[1]!Data_BS[Thang.Nam],'Khanh Nga'!AB$5)</f>
        <v>0</v>
      </c>
      <c r="AC68" s="234">
        <f>SUMIFS([1]!Data_BS[Value],[1]!Data_BS[Index BS],'Khanh Nga'!$B68,[1]!Data_BS[TenCongTyID],'Khanh Nga'!$B$1,[1]!Data_BS[Thang.Nam],'Khanh Nga'!AC$5)</f>
        <v>0</v>
      </c>
      <c r="AD68" s="234">
        <f>SUMIFS([1]!Data_BS[Value],[1]!Data_BS[Index BS],'Khanh Nga'!$B68,[1]!Data_BS[TenCongTyID],'Khanh Nga'!$B$1,[1]!Data_BS[Thang.Nam],'Khanh Nga'!AD$5)</f>
        <v>0</v>
      </c>
      <c r="AE68" s="234">
        <f>SUMIFS([1]!Data_BS[Value],[1]!Data_BS[Index BS],'Khanh Nga'!$B68,[1]!Data_BS[TenCongTyID],'Khanh Nga'!$B$1,[1]!Data_BS[Thang.Nam],'Khanh Nga'!AE$5)</f>
        <v>0</v>
      </c>
      <c r="AF68" s="234">
        <f>SUMIFS([1]!Data_BS[Value],[1]!Data_BS[Index BS],'Khanh Nga'!$B68,[1]!Data_BS[TenCongTyID],'Khanh Nga'!$B$1,[1]!Data_BS[Thang.Nam],'Khanh Nga'!AF$5)</f>
        <v>0</v>
      </c>
      <c r="AG68" s="234">
        <f>SUMIFS([1]!Data_BS[Value],[1]!Data_BS[Index BS],'Khanh Nga'!$B68,[1]!Data_BS[TenCongTyID],'Khanh Nga'!$B$1,[1]!Data_BS[Thang.Nam],'Khanh Nga'!AG$5)</f>
        <v>0</v>
      </c>
      <c r="AH68" s="234">
        <f>SUMIFS([1]!Data_BS[Value],[1]!Data_BS[Index BS],'Khanh Nga'!$B68,[1]!Data_BS[TenCongTyID],'Khanh Nga'!$B$1,[1]!Data_BS[Thang.Nam],'Khanh Nga'!AH$5)</f>
        <v>0</v>
      </c>
      <c r="AI68" s="234">
        <f>SUMIFS([1]!Data_BS[Value],[1]!Data_BS[Index BS],'Khanh Nga'!$B68,[1]!Data_BS[TenCongTyID],'Khanh Nga'!$B$1,[1]!Data_BS[Thang.Nam],'Khanh Nga'!AI$5)</f>
        <v>0</v>
      </c>
      <c r="AJ68" s="234">
        <f>SUMIFS([1]!Data_BS[Value],[1]!Data_BS[Index BS],'Khanh Nga'!$B68,[1]!Data_BS[TenCongTyID],'Khanh Nga'!$B$1,[1]!Data_BS[Thang.Nam],'Khanh Nga'!AJ$5)</f>
        <v>0</v>
      </c>
      <c r="AK68" s="234">
        <f>SUMIFS([1]!Data_BS[Value],[1]!Data_BS[Index BS],'Khanh Nga'!$B68,[1]!Data_BS[TenCongTyID],'Khanh Nga'!$B$1,[1]!Data_BS[Thang.Nam],'Khanh Nga'!AK$5)</f>
        <v>0</v>
      </c>
      <c r="AL68" s="234">
        <f>SUMIFS([1]!Data_BS[Value],[1]!Data_BS[Index BS],'Khanh Nga'!$B68,[1]!Data_BS[TenCongTyID],'Khanh Nga'!$B$1,[1]!Data_BS[Thang.Nam],'Khanh Nga'!AL$5)</f>
        <v>0</v>
      </c>
    </row>
    <row r="69" spans="1:38" ht="15" hidden="1" customHeight="1" outlineLevel="1">
      <c r="A69" s="62" t="s">
        <v>153</v>
      </c>
      <c r="B69" s="63">
        <v>64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/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/>
      <c r="X69" s="229">
        <v>0</v>
      </c>
      <c r="Y69" s="229"/>
      <c r="Z69" s="229">
        <v>0</v>
      </c>
      <c r="AA69" s="229">
        <f>SUMIFS([1]!Data_BS[Value],[1]!Data_BS[Index BS],'Khanh Nga'!$B69,[1]!Data_BS[TenCongTyID],'Khanh Nga'!$B$1,[1]!Data_BS[Thang.Nam],'Khanh Nga'!AA$5)</f>
        <v>0</v>
      </c>
      <c r="AB69" s="229">
        <f>SUMIFS([1]!Data_BS[Value],[1]!Data_BS[Index BS],'Khanh Nga'!$B69,[1]!Data_BS[TenCongTyID],'Khanh Nga'!$B$1,[1]!Data_BS[Thang.Nam],'Khanh Nga'!AB$5)</f>
        <v>0</v>
      </c>
      <c r="AC69" s="229">
        <f>SUMIFS([1]!Data_BS[Value],[1]!Data_BS[Index BS],'Khanh Nga'!$B69,[1]!Data_BS[TenCongTyID],'Khanh Nga'!$B$1,[1]!Data_BS[Thang.Nam],'Khanh Nga'!AC$5)</f>
        <v>0</v>
      </c>
      <c r="AD69" s="229">
        <f>SUMIFS([1]!Data_BS[Value],[1]!Data_BS[Index BS],'Khanh Nga'!$B69,[1]!Data_BS[TenCongTyID],'Khanh Nga'!$B$1,[1]!Data_BS[Thang.Nam],'Khanh Nga'!AD$5)</f>
        <v>0</v>
      </c>
      <c r="AE69" s="229">
        <f>SUMIFS([1]!Data_BS[Value],[1]!Data_BS[Index BS],'Khanh Nga'!$B69,[1]!Data_BS[TenCongTyID],'Khanh Nga'!$B$1,[1]!Data_BS[Thang.Nam],'Khanh Nga'!AE$5)</f>
        <v>0</v>
      </c>
      <c r="AF69" s="229">
        <f>SUMIFS([1]!Data_BS[Value],[1]!Data_BS[Index BS],'Khanh Nga'!$B69,[1]!Data_BS[TenCongTyID],'Khanh Nga'!$B$1,[1]!Data_BS[Thang.Nam],'Khanh Nga'!AF$5)</f>
        <v>0</v>
      </c>
      <c r="AG69" s="229">
        <f>SUMIFS([1]!Data_BS[Value],[1]!Data_BS[Index BS],'Khanh Nga'!$B69,[1]!Data_BS[TenCongTyID],'Khanh Nga'!$B$1,[1]!Data_BS[Thang.Nam],'Khanh Nga'!AG$5)</f>
        <v>0</v>
      </c>
      <c r="AH69" s="229">
        <f>SUMIFS([1]!Data_BS[Value],[1]!Data_BS[Index BS],'Khanh Nga'!$B69,[1]!Data_BS[TenCongTyID],'Khanh Nga'!$B$1,[1]!Data_BS[Thang.Nam],'Khanh Nga'!AH$5)</f>
        <v>0</v>
      </c>
      <c r="AI69" s="229">
        <f>SUMIFS([1]!Data_BS[Value],[1]!Data_BS[Index BS],'Khanh Nga'!$B69,[1]!Data_BS[TenCongTyID],'Khanh Nga'!$B$1,[1]!Data_BS[Thang.Nam],'Khanh Nga'!AI$5)</f>
        <v>0</v>
      </c>
      <c r="AJ69" s="229">
        <f>SUMIFS([1]!Data_BS[Value],[1]!Data_BS[Index BS],'Khanh Nga'!$B69,[1]!Data_BS[TenCongTyID],'Khanh Nga'!$B$1,[1]!Data_BS[Thang.Nam],'Khanh Nga'!AJ$5)</f>
        <v>0</v>
      </c>
      <c r="AK69" s="229">
        <f>SUMIFS([1]!Data_BS[Value],[1]!Data_BS[Index BS],'Khanh Nga'!$B69,[1]!Data_BS[TenCongTyID],'Khanh Nga'!$B$1,[1]!Data_BS[Thang.Nam],'Khanh Nga'!AK$5)</f>
        <v>0</v>
      </c>
      <c r="AL69" s="229">
        <f>SUMIFS([1]!Data_BS[Value],[1]!Data_BS[Index BS],'Khanh Nga'!$B69,[1]!Data_BS[TenCongTyID],'Khanh Nga'!$B$1,[1]!Data_BS[Thang.Nam],'Khanh Nga'!AL$5)</f>
        <v>0</v>
      </c>
    </row>
    <row r="70" spans="1:38" ht="15" hidden="1" customHeight="1" outlineLevel="1">
      <c r="A70" s="62" t="s">
        <v>154</v>
      </c>
      <c r="B70" s="63">
        <v>65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30781194</v>
      </c>
      <c r="N70" s="229"/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/>
      <c r="X70" s="229">
        <v>0</v>
      </c>
      <c r="Y70" s="229"/>
      <c r="Z70" s="229">
        <v>0</v>
      </c>
      <c r="AA70" s="229">
        <f>SUMIFS([1]!Data_BS[Value],[1]!Data_BS[Index BS],'Khanh Nga'!$B70,[1]!Data_BS[TenCongTyID],'Khanh Nga'!$B$1,[1]!Data_BS[Thang.Nam],'Khanh Nga'!AA$5)</f>
        <v>0</v>
      </c>
      <c r="AB70" s="229">
        <f>SUMIFS([1]!Data_BS[Value],[1]!Data_BS[Index BS],'Khanh Nga'!$B70,[1]!Data_BS[TenCongTyID],'Khanh Nga'!$B$1,[1]!Data_BS[Thang.Nam],'Khanh Nga'!AB$5)</f>
        <v>0</v>
      </c>
      <c r="AC70" s="229">
        <f>SUMIFS([1]!Data_BS[Value],[1]!Data_BS[Index BS],'Khanh Nga'!$B70,[1]!Data_BS[TenCongTyID],'Khanh Nga'!$B$1,[1]!Data_BS[Thang.Nam],'Khanh Nga'!AC$5)</f>
        <v>0</v>
      </c>
      <c r="AD70" s="229">
        <f>SUMIFS([1]!Data_BS[Value],[1]!Data_BS[Index BS],'Khanh Nga'!$B70,[1]!Data_BS[TenCongTyID],'Khanh Nga'!$B$1,[1]!Data_BS[Thang.Nam],'Khanh Nga'!AD$5)</f>
        <v>0</v>
      </c>
      <c r="AE70" s="229">
        <f>SUMIFS([1]!Data_BS[Value],[1]!Data_BS[Index BS],'Khanh Nga'!$B70,[1]!Data_BS[TenCongTyID],'Khanh Nga'!$B$1,[1]!Data_BS[Thang.Nam],'Khanh Nga'!AE$5)</f>
        <v>0</v>
      </c>
      <c r="AF70" s="229">
        <f>SUMIFS([1]!Data_BS[Value],[1]!Data_BS[Index BS],'Khanh Nga'!$B70,[1]!Data_BS[TenCongTyID],'Khanh Nga'!$B$1,[1]!Data_BS[Thang.Nam],'Khanh Nga'!AF$5)</f>
        <v>0</v>
      </c>
      <c r="AG70" s="229">
        <f>SUMIFS([1]!Data_BS[Value],[1]!Data_BS[Index BS],'Khanh Nga'!$B70,[1]!Data_BS[TenCongTyID],'Khanh Nga'!$B$1,[1]!Data_BS[Thang.Nam],'Khanh Nga'!AG$5)</f>
        <v>0</v>
      </c>
      <c r="AH70" s="229">
        <f>SUMIFS([1]!Data_BS[Value],[1]!Data_BS[Index BS],'Khanh Nga'!$B70,[1]!Data_BS[TenCongTyID],'Khanh Nga'!$B$1,[1]!Data_BS[Thang.Nam],'Khanh Nga'!AH$5)</f>
        <v>0</v>
      </c>
      <c r="AI70" s="229">
        <f>SUMIFS([1]!Data_BS[Value],[1]!Data_BS[Index BS],'Khanh Nga'!$B70,[1]!Data_BS[TenCongTyID],'Khanh Nga'!$B$1,[1]!Data_BS[Thang.Nam],'Khanh Nga'!AI$5)</f>
        <v>0</v>
      </c>
      <c r="AJ70" s="229">
        <f>SUMIFS([1]!Data_BS[Value],[1]!Data_BS[Index BS],'Khanh Nga'!$B70,[1]!Data_BS[TenCongTyID],'Khanh Nga'!$B$1,[1]!Data_BS[Thang.Nam],'Khanh Nga'!AJ$5)</f>
        <v>0</v>
      </c>
      <c r="AK70" s="229">
        <f>SUMIFS([1]!Data_BS[Value],[1]!Data_BS[Index BS],'Khanh Nga'!$B70,[1]!Data_BS[TenCongTyID],'Khanh Nga'!$B$1,[1]!Data_BS[Thang.Nam],'Khanh Nga'!AK$5)</f>
        <v>0</v>
      </c>
      <c r="AL70" s="229">
        <f>SUMIFS([1]!Data_BS[Value],[1]!Data_BS[Index BS],'Khanh Nga'!$B70,[1]!Data_BS[TenCongTyID],'Khanh Nga'!$B$1,[1]!Data_BS[Thang.Nam],'Khanh Nga'!AL$5)</f>
        <v>0</v>
      </c>
    </row>
    <row r="71" spans="1:38" ht="15" hidden="1" customHeight="1" outlineLevel="1">
      <c r="A71" s="75" t="s">
        <v>155</v>
      </c>
      <c r="B71" s="65">
        <v>66</v>
      </c>
      <c r="C71" s="233">
        <v>0</v>
      </c>
      <c r="D71" s="233">
        <v>0</v>
      </c>
      <c r="E71" s="233">
        <v>0</v>
      </c>
      <c r="F71" s="233">
        <v>0</v>
      </c>
      <c r="G71" s="233">
        <v>0</v>
      </c>
      <c r="H71" s="233">
        <v>0</v>
      </c>
      <c r="I71" s="233">
        <v>0</v>
      </c>
      <c r="J71" s="233">
        <v>0</v>
      </c>
      <c r="K71" s="233">
        <v>0</v>
      </c>
      <c r="L71" s="233">
        <v>0</v>
      </c>
      <c r="M71" s="233">
        <v>0</v>
      </c>
      <c r="N71" s="233"/>
      <c r="O71" s="233">
        <v>0</v>
      </c>
      <c r="P71" s="233">
        <v>0</v>
      </c>
      <c r="Q71" s="233">
        <v>0</v>
      </c>
      <c r="R71" s="233">
        <v>0</v>
      </c>
      <c r="S71" s="233">
        <v>0</v>
      </c>
      <c r="T71" s="233">
        <v>0</v>
      </c>
      <c r="U71" s="233">
        <v>0</v>
      </c>
      <c r="V71" s="233">
        <v>0</v>
      </c>
      <c r="W71" s="233"/>
      <c r="X71" s="233">
        <v>0</v>
      </c>
      <c r="Y71" s="233"/>
      <c r="Z71" s="233">
        <v>0</v>
      </c>
      <c r="AA71" s="233">
        <f>SUMIFS([1]!Data_BS[Value],[1]!Data_BS[Index BS],'Khanh Nga'!$B71,[1]!Data_BS[TenCongTyID],'Khanh Nga'!$B$1,[1]!Data_BS[Thang.Nam],'Khanh Nga'!AA$5)</f>
        <v>0</v>
      </c>
      <c r="AB71" s="233">
        <f>SUMIFS([1]!Data_BS[Value],[1]!Data_BS[Index BS],'Khanh Nga'!$B71,[1]!Data_BS[TenCongTyID],'Khanh Nga'!$B$1,[1]!Data_BS[Thang.Nam],'Khanh Nga'!AB$5)</f>
        <v>0</v>
      </c>
      <c r="AC71" s="233">
        <f>SUMIFS([1]!Data_BS[Value],[1]!Data_BS[Index BS],'Khanh Nga'!$B71,[1]!Data_BS[TenCongTyID],'Khanh Nga'!$B$1,[1]!Data_BS[Thang.Nam],'Khanh Nga'!AC$5)</f>
        <v>0</v>
      </c>
      <c r="AD71" s="233">
        <f>SUMIFS([1]!Data_BS[Value],[1]!Data_BS[Index BS],'Khanh Nga'!$B71,[1]!Data_BS[TenCongTyID],'Khanh Nga'!$B$1,[1]!Data_BS[Thang.Nam],'Khanh Nga'!AD$5)</f>
        <v>0</v>
      </c>
      <c r="AE71" s="233">
        <f>SUMIFS([1]!Data_BS[Value],[1]!Data_BS[Index BS],'Khanh Nga'!$B71,[1]!Data_BS[TenCongTyID],'Khanh Nga'!$B$1,[1]!Data_BS[Thang.Nam],'Khanh Nga'!AE$5)</f>
        <v>0</v>
      </c>
      <c r="AF71" s="233">
        <f>SUMIFS([1]!Data_BS[Value],[1]!Data_BS[Index BS],'Khanh Nga'!$B71,[1]!Data_BS[TenCongTyID],'Khanh Nga'!$B$1,[1]!Data_BS[Thang.Nam],'Khanh Nga'!AF$5)</f>
        <v>0</v>
      </c>
      <c r="AG71" s="233">
        <f>SUMIFS([1]!Data_BS[Value],[1]!Data_BS[Index BS],'Khanh Nga'!$B71,[1]!Data_BS[TenCongTyID],'Khanh Nga'!$B$1,[1]!Data_BS[Thang.Nam],'Khanh Nga'!AG$5)</f>
        <v>0</v>
      </c>
      <c r="AH71" s="233">
        <f>SUMIFS([1]!Data_BS[Value],[1]!Data_BS[Index BS],'Khanh Nga'!$B71,[1]!Data_BS[TenCongTyID],'Khanh Nga'!$B$1,[1]!Data_BS[Thang.Nam],'Khanh Nga'!AH$5)</f>
        <v>0</v>
      </c>
      <c r="AI71" s="233">
        <f>SUMIFS([1]!Data_BS[Value],[1]!Data_BS[Index BS],'Khanh Nga'!$B71,[1]!Data_BS[TenCongTyID],'Khanh Nga'!$B$1,[1]!Data_BS[Thang.Nam],'Khanh Nga'!AI$5)</f>
        <v>0</v>
      </c>
      <c r="AJ71" s="233">
        <f>SUMIFS([1]!Data_BS[Value],[1]!Data_BS[Index BS],'Khanh Nga'!$B71,[1]!Data_BS[TenCongTyID],'Khanh Nga'!$B$1,[1]!Data_BS[Thang.Nam],'Khanh Nga'!AJ$5)</f>
        <v>0</v>
      </c>
      <c r="AK71" s="233">
        <f>SUMIFS([1]!Data_BS[Value],[1]!Data_BS[Index BS],'Khanh Nga'!$B71,[1]!Data_BS[TenCongTyID],'Khanh Nga'!$B$1,[1]!Data_BS[Thang.Nam],'Khanh Nga'!AK$5)</f>
        <v>0</v>
      </c>
      <c r="AL71" s="233">
        <f>SUMIFS([1]!Data_BS[Value],[1]!Data_BS[Index BS],'Khanh Nga'!$B71,[1]!Data_BS[TenCongTyID],'Khanh Nga'!$B$1,[1]!Data_BS[Thang.Nam],'Khanh Nga'!AL$5)</f>
        <v>0</v>
      </c>
    </row>
    <row r="72" spans="1:38" ht="15" hidden="1" customHeight="1" outlineLevel="1">
      <c r="A72" s="62" t="s">
        <v>156</v>
      </c>
      <c r="B72" s="63">
        <v>67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/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/>
      <c r="X72" s="229">
        <v>0</v>
      </c>
      <c r="Y72" s="229"/>
      <c r="Z72" s="229">
        <v>0</v>
      </c>
      <c r="AA72" s="229">
        <f>SUMIFS([1]!Data_BS[Value],[1]!Data_BS[Index BS],'Khanh Nga'!$B72,[1]!Data_BS[TenCongTyID],'Khanh Nga'!$B$1,[1]!Data_BS[Thang.Nam],'Khanh Nga'!AA$5)</f>
        <v>0</v>
      </c>
      <c r="AB72" s="229">
        <f>SUMIFS([1]!Data_BS[Value],[1]!Data_BS[Index BS],'Khanh Nga'!$B72,[1]!Data_BS[TenCongTyID],'Khanh Nga'!$B$1,[1]!Data_BS[Thang.Nam],'Khanh Nga'!AB$5)</f>
        <v>0</v>
      </c>
      <c r="AC72" s="229">
        <f>SUMIFS([1]!Data_BS[Value],[1]!Data_BS[Index BS],'Khanh Nga'!$B72,[1]!Data_BS[TenCongTyID],'Khanh Nga'!$B$1,[1]!Data_BS[Thang.Nam],'Khanh Nga'!AC$5)</f>
        <v>0</v>
      </c>
      <c r="AD72" s="229">
        <f>SUMIFS([1]!Data_BS[Value],[1]!Data_BS[Index BS],'Khanh Nga'!$B72,[1]!Data_BS[TenCongTyID],'Khanh Nga'!$B$1,[1]!Data_BS[Thang.Nam],'Khanh Nga'!AD$5)</f>
        <v>0</v>
      </c>
      <c r="AE72" s="229">
        <f>SUMIFS([1]!Data_BS[Value],[1]!Data_BS[Index BS],'Khanh Nga'!$B72,[1]!Data_BS[TenCongTyID],'Khanh Nga'!$B$1,[1]!Data_BS[Thang.Nam],'Khanh Nga'!AE$5)</f>
        <v>0</v>
      </c>
      <c r="AF72" s="229">
        <f>SUMIFS([1]!Data_BS[Value],[1]!Data_BS[Index BS],'Khanh Nga'!$B72,[1]!Data_BS[TenCongTyID],'Khanh Nga'!$B$1,[1]!Data_BS[Thang.Nam],'Khanh Nga'!AF$5)</f>
        <v>0</v>
      </c>
      <c r="AG72" s="229">
        <f>SUMIFS([1]!Data_BS[Value],[1]!Data_BS[Index BS],'Khanh Nga'!$B72,[1]!Data_BS[TenCongTyID],'Khanh Nga'!$B$1,[1]!Data_BS[Thang.Nam],'Khanh Nga'!AG$5)</f>
        <v>0</v>
      </c>
      <c r="AH72" s="229">
        <f>SUMIFS([1]!Data_BS[Value],[1]!Data_BS[Index BS],'Khanh Nga'!$B72,[1]!Data_BS[TenCongTyID],'Khanh Nga'!$B$1,[1]!Data_BS[Thang.Nam],'Khanh Nga'!AH$5)</f>
        <v>0</v>
      </c>
      <c r="AI72" s="229">
        <f>SUMIFS([1]!Data_BS[Value],[1]!Data_BS[Index BS],'Khanh Nga'!$B72,[1]!Data_BS[TenCongTyID],'Khanh Nga'!$B$1,[1]!Data_BS[Thang.Nam],'Khanh Nga'!AI$5)</f>
        <v>0</v>
      </c>
      <c r="AJ72" s="229">
        <f>SUMIFS([1]!Data_BS[Value],[1]!Data_BS[Index BS],'Khanh Nga'!$B72,[1]!Data_BS[TenCongTyID],'Khanh Nga'!$B$1,[1]!Data_BS[Thang.Nam],'Khanh Nga'!AJ$5)</f>
        <v>0</v>
      </c>
      <c r="AK72" s="229">
        <f>SUMIFS([1]!Data_BS[Value],[1]!Data_BS[Index BS],'Khanh Nga'!$B72,[1]!Data_BS[TenCongTyID],'Khanh Nga'!$B$1,[1]!Data_BS[Thang.Nam],'Khanh Nga'!AK$5)</f>
        <v>0</v>
      </c>
      <c r="AL72" s="229">
        <f>SUMIFS([1]!Data_BS[Value],[1]!Data_BS[Index BS],'Khanh Nga'!$B72,[1]!Data_BS[TenCongTyID],'Khanh Nga'!$B$1,[1]!Data_BS[Thang.Nam],'Khanh Nga'!AL$5)</f>
        <v>0</v>
      </c>
    </row>
    <row r="73" spans="1:38" ht="15" hidden="1" customHeight="1" outlineLevel="1">
      <c r="A73" s="62" t="s">
        <v>157</v>
      </c>
      <c r="B73" s="63">
        <v>68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/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/>
      <c r="X73" s="229">
        <v>0</v>
      </c>
      <c r="Y73" s="229"/>
      <c r="Z73" s="229">
        <v>0</v>
      </c>
      <c r="AA73" s="229">
        <f>SUMIFS([1]!Data_BS[Value],[1]!Data_BS[Index BS],'Khanh Nga'!$B73,[1]!Data_BS[TenCongTyID],'Khanh Nga'!$B$1,[1]!Data_BS[Thang.Nam],'Khanh Nga'!AA$5)</f>
        <v>0</v>
      </c>
      <c r="AB73" s="229">
        <f>SUMIFS([1]!Data_BS[Value],[1]!Data_BS[Index BS],'Khanh Nga'!$B73,[1]!Data_BS[TenCongTyID],'Khanh Nga'!$B$1,[1]!Data_BS[Thang.Nam],'Khanh Nga'!AB$5)</f>
        <v>0</v>
      </c>
      <c r="AC73" s="229">
        <f>SUMIFS([1]!Data_BS[Value],[1]!Data_BS[Index BS],'Khanh Nga'!$B73,[1]!Data_BS[TenCongTyID],'Khanh Nga'!$B$1,[1]!Data_BS[Thang.Nam],'Khanh Nga'!AC$5)</f>
        <v>0</v>
      </c>
      <c r="AD73" s="229">
        <f>SUMIFS([1]!Data_BS[Value],[1]!Data_BS[Index BS],'Khanh Nga'!$B73,[1]!Data_BS[TenCongTyID],'Khanh Nga'!$B$1,[1]!Data_BS[Thang.Nam],'Khanh Nga'!AD$5)</f>
        <v>0</v>
      </c>
      <c r="AE73" s="229">
        <f>SUMIFS([1]!Data_BS[Value],[1]!Data_BS[Index BS],'Khanh Nga'!$B73,[1]!Data_BS[TenCongTyID],'Khanh Nga'!$B$1,[1]!Data_BS[Thang.Nam],'Khanh Nga'!AE$5)</f>
        <v>0</v>
      </c>
      <c r="AF73" s="229">
        <f>SUMIFS([1]!Data_BS[Value],[1]!Data_BS[Index BS],'Khanh Nga'!$B73,[1]!Data_BS[TenCongTyID],'Khanh Nga'!$B$1,[1]!Data_BS[Thang.Nam],'Khanh Nga'!AF$5)</f>
        <v>0</v>
      </c>
      <c r="AG73" s="229">
        <f>SUMIFS([1]!Data_BS[Value],[1]!Data_BS[Index BS],'Khanh Nga'!$B73,[1]!Data_BS[TenCongTyID],'Khanh Nga'!$B$1,[1]!Data_BS[Thang.Nam],'Khanh Nga'!AG$5)</f>
        <v>0</v>
      </c>
      <c r="AH73" s="229">
        <f>SUMIFS([1]!Data_BS[Value],[1]!Data_BS[Index BS],'Khanh Nga'!$B73,[1]!Data_BS[TenCongTyID],'Khanh Nga'!$B$1,[1]!Data_BS[Thang.Nam],'Khanh Nga'!AH$5)</f>
        <v>0</v>
      </c>
      <c r="AI73" s="229">
        <f>SUMIFS([1]!Data_BS[Value],[1]!Data_BS[Index BS],'Khanh Nga'!$B73,[1]!Data_BS[TenCongTyID],'Khanh Nga'!$B$1,[1]!Data_BS[Thang.Nam],'Khanh Nga'!AI$5)</f>
        <v>0</v>
      </c>
      <c r="AJ73" s="229">
        <f>SUMIFS([1]!Data_BS[Value],[1]!Data_BS[Index BS],'Khanh Nga'!$B73,[1]!Data_BS[TenCongTyID],'Khanh Nga'!$B$1,[1]!Data_BS[Thang.Nam],'Khanh Nga'!AJ$5)</f>
        <v>0</v>
      </c>
      <c r="AK73" s="229">
        <f>SUMIFS([1]!Data_BS[Value],[1]!Data_BS[Index BS],'Khanh Nga'!$B73,[1]!Data_BS[TenCongTyID],'Khanh Nga'!$B$1,[1]!Data_BS[Thang.Nam],'Khanh Nga'!AK$5)</f>
        <v>0</v>
      </c>
      <c r="AL73" s="229">
        <f>SUMIFS([1]!Data_BS[Value],[1]!Data_BS[Index BS],'Khanh Nga'!$B73,[1]!Data_BS[TenCongTyID],'Khanh Nga'!$B$1,[1]!Data_BS[Thang.Nam],'Khanh Nga'!AL$5)</f>
        <v>0</v>
      </c>
    </row>
    <row r="74" spans="1:38" ht="15" hidden="1" customHeight="1" outlineLevel="1">
      <c r="A74" s="62" t="s">
        <v>158</v>
      </c>
      <c r="B74" s="63">
        <v>69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/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/>
      <c r="X74" s="229">
        <v>0</v>
      </c>
      <c r="Y74" s="229"/>
      <c r="Z74" s="229">
        <v>0</v>
      </c>
      <c r="AA74" s="229">
        <f>SUMIFS([1]!Data_BS[Value],[1]!Data_BS[Index BS],'Khanh Nga'!$B74,[1]!Data_BS[TenCongTyID],'Khanh Nga'!$B$1,[1]!Data_BS[Thang.Nam],'Khanh Nga'!AA$5)</f>
        <v>0</v>
      </c>
      <c r="AB74" s="229">
        <f>SUMIFS([1]!Data_BS[Value],[1]!Data_BS[Index BS],'Khanh Nga'!$B74,[1]!Data_BS[TenCongTyID],'Khanh Nga'!$B$1,[1]!Data_BS[Thang.Nam],'Khanh Nga'!AB$5)</f>
        <v>0</v>
      </c>
      <c r="AC74" s="229">
        <f>SUMIFS([1]!Data_BS[Value],[1]!Data_BS[Index BS],'Khanh Nga'!$B74,[1]!Data_BS[TenCongTyID],'Khanh Nga'!$B$1,[1]!Data_BS[Thang.Nam],'Khanh Nga'!AC$5)</f>
        <v>0</v>
      </c>
      <c r="AD74" s="229">
        <f>SUMIFS([1]!Data_BS[Value],[1]!Data_BS[Index BS],'Khanh Nga'!$B74,[1]!Data_BS[TenCongTyID],'Khanh Nga'!$B$1,[1]!Data_BS[Thang.Nam],'Khanh Nga'!AD$5)</f>
        <v>0</v>
      </c>
      <c r="AE74" s="229">
        <f>SUMIFS([1]!Data_BS[Value],[1]!Data_BS[Index BS],'Khanh Nga'!$B74,[1]!Data_BS[TenCongTyID],'Khanh Nga'!$B$1,[1]!Data_BS[Thang.Nam],'Khanh Nga'!AE$5)</f>
        <v>0</v>
      </c>
      <c r="AF74" s="229">
        <f>SUMIFS([1]!Data_BS[Value],[1]!Data_BS[Index BS],'Khanh Nga'!$B74,[1]!Data_BS[TenCongTyID],'Khanh Nga'!$B$1,[1]!Data_BS[Thang.Nam],'Khanh Nga'!AF$5)</f>
        <v>0</v>
      </c>
      <c r="AG74" s="229">
        <f>SUMIFS([1]!Data_BS[Value],[1]!Data_BS[Index BS],'Khanh Nga'!$B74,[1]!Data_BS[TenCongTyID],'Khanh Nga'!$B$1,[1]!Data_BS[Thang.Nam],'Khanh Nga'!AG$5)</f>
        <v>0</v>
      </c>
      <c r="AH74" s="229">
        <f>SUMIFS([1]!Data_BS[Value],[1]!Data_BS[Index BS],'Khanh Nga'!$B74,[1]!Data_BS[TenCongTyID],'Khanh Nga'!$B$1,[1]!Data_BS[Thang.Nam],'Khanh Nga'!AH$5)</f>
        <v>0</v>
      </c>
      <c r="AI74" s="229">
        <f>SUMIFS([1]!Data_BS[Value],[1]!Data_BS[Index BS],'Khanh Nga'!$B74,[1]!Data_BS[TenCongTyID],'Khanh Nga'!$B$1,[1]!Data_BS[Thang.Nam],'Khanh Nga'!AI$5)</f>
        <v>0</v>
      </c>
      <c r="AJ74" s="229">
        <f>SUMIFS([1]!Data_BS[Value],[1]!Data_BS[Index BS],'Khanh Nga'!$B74,[1]!Data_BS[TenCongTyID],'Khanh Nga'!$B$1,[1]!Data_BS[Thang.Nam],'Khanh Nga'!AJ$5)</f>
        <v>0</v>
      </c>
      <c r="AK74" s="229">
        <f>SUMIFS([1]!Data_BS[Value],[1]!Data_BS[Index BS],'Khanh Nga'!$B74,[1]!Data_BS[TenCongTyID],'Khanh Nga'!$B$1,[1]!Data_BS[Thang.Nam],'Khanh Nga'!AK$5)</f>
        <v>0</v>
      </c>
      <c r="AL74" s="229">
        <f>SUMIFS([1]!Data_BS[Value],[1]!Data_BS[Index BS],'Khanh Nga'!$B74,[1]!Data_BS[TenCongTyID],'Khanh Nga'!$B$1,[1]!Data_BS[Thang.Nam],'Khanh Nga'!AL$5)</f>
        <v>0</v>
      </c>
    </row>
    <row r="75" spans="1:38" ht="15" hidden="1" customHeight="1" outlineLevel="1">
      <c r="A75" s="62" t="s">
        <v>159</v>
      </c>
      <c r="B75" s="63">
        <v>70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/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/>
      <c r="X75" s="229">
        <v>0</v>
      </c>
      <c r="Y75" s="229"/>
      <c r="Z75" s="229">
        <v>0</v>
      </c>
      <c r="AA75" s="229">
        <f>SUMIFS([1]!Data_BS[Value],[1]!Data_BS[Index BS],'Khanh Nga'!$B75,[1]!Data_BS[TenCongTyID],'Khanh Nga'!$B$1,[1]!Data_BS[Thang.Nam],'Khanh Nga'!AA$5)</f>
        <v>0</v>
      </c>
      <c r="AB75" s="229">
        <f>SUMIFS([1]!Data_BS[Value],[1]!Data_BS[Index BS],'Khanh Nga'!$B75,[1]!Data_BS[TenCongTyID],'Khanh Nga'!$B$1,[1]!Data_BS[Thang.Nam],'Khanh Nga'!AB$5)</f>
        <v>0</v>
      </c>
      <c r="AC75" s="229">
        <f>SUMIFS([1]!Data_BS[Value],[1]!Data_BS[Index BS],'Khanh Nga'!$B75,[1]!Data_BS[TenCongTyID],'Khanh Nga'!$B$1,[1]!Data_BS[Thang.Nam],'Khanh Nga'!AC$5)</f>
        <v>0</v>
      </c>
      <c r="AD75" s="229">
        <f>SUMIFS([1]!Data_BS[Value],[1]!Data_BS[Index BS],'Khanh Nga'!$B75,[1]!Data_BS[TenCongTyID],'Khanh Nga'!$B$1,[1]!Data_BS[Thang.Nam],'Khanh Nga'!AD$5)</f>
        <v>0</v>
      </c>
      <c r="AE75" s="229">
        <f>SUMIFS([1]!Data_BS[Value],[1]!Data_BS[Index BS],'Khanh Nga'!$B75,[1]!Data_BS[TenCongTyID],'Khanh Nga'!$B$1,[1]!Data_BS[Thang.Nam],'Khanh Nga'!AE$5)</f>
        <v>0</v>
      </c>
      <c r="AF75" s="229">
        <f>SUMIFS([1]!Data_BS[Value],[1]!Data_BS[Index BS],'Khanh Nga'!$B75,[1]!Data_BS[TenCongTyID],'Khanh Nga'!$B$1,[1]!Data_BS[Thang.Nam],'Khanh Nga'!AF$5)</f>
        <v>0</v>
      </c>
      <c r="AG75" s="229">
        <f>SUMIFS([1]!Data_BS[Value],[1]!Data_BS[Index BS],'Khanh Nga'!$B75,[1]!Data_BS[TenCongTyID],'Khanh Nga'!$B$1,[1]!Data_BS[Thang.Nam],'Khanh Nga'!AG$5)</f>
        <v>0</v>
      </c>
      <c r="AH75" s="229">
        <f>SUMIFS([1]!Data_BS[Value],[1]!Data_BS[Index BS],'Khanh Nga'!$B75,[1]!Data_BS[TenCongTyID],'Khanh Nga'!$B$1,[1]!Data_BS[Thang.Nam],'Khanh Nga'!AH$5)</f>
        <v>0</v>
      </c>
      <c r="AI75" s="229">
        <f>SUMIFS([1]!Data_BS[Value],[1]!Data_BS[Index BS],'Khanh Nga'!$B75,[1]!Data_BS[TenCongTyID],'Khanh Nga'!$B$1,[1]!Data_BS[Thang.Nam],'Khanh Nga'!AI$5)</f>
        <v>0</v>
      </c>
      <c r="AJ75" s="229">
        <f>SUMIFS([1]!Data_BS[Value],[1]!Data_BS[Index BS],'Khanh Nga'!$B75,[1]!Data_BS[TenCongTyID],'Khanh Nga'!$B$1,[1]!Data_BS[Thang.Nam],'Khanh Nga'!AJ$5)</f>
        <v>0</v>
      </c>
      <c r="AK75" s="229">
        <f>SUMIFS([1]!Data_BS[Value],[1]!Data_BS[Index BS],'Khanh Nga'!$B75,[1]!Data_BS[TenCongTyID],'Khanh Nga'!$B$1,[1]!Data_BS[Thang.Nam],'Khanh Nga'!AK$5)</f>
        <v>0</v>
      </c>
      <c r="AL75" s="229">
        <f>SUMIFS([1]!Data_BS[Value],[1]!Data_BS[Index BS],'Khanh Nga'!$B75,[1]!Data_BS[TenCongTyID],'Khanh Nga'!$B$1,[1]!Data_BS[Thang.Nam],'Khanh Nga'!AL$5)</f>
        <v>0</v>
      </c>
    </row>
    <row r="76" spans="1:38" ht="15" hidden="1" customHeight="1" outlineLevel="1">
      <c r="A76" s="66" t="s">
        <v>160</v>
      </c>
      <c r="B76" s="63">
        <v>71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/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/>
      <c r="X76" s="229">
        <v>0</v>
      </c>
      <c r="Y76" s="229"/>
      <c r="Z76" s="229">
        <v>0</v>
      </c>
      <c r="AA76" s="229">
        <f>SUMIFS([1]!Data_BS[Value],[1]!Data_BS[Index BS],'Khanh Nga'!$B76,[1]!Data_BS[TenCongTyID],'Khanh Nga'!$B$1,[1]!Data_BS[Thang.Nam],'Khanh Nga'!AA$5)</f>
        <v>0</v>
      </c>
      <c r="AB76" s="229">
        <f>SUMIFS([1]!Data_BS[Value],[1]!Data_BS[Index BS],'Khanh Nga'!$B76,[1]!Data_BS[TenCongTyID],'Khanh Nga'!$B$1,[1]!Data_BS[Thang.Nam],'Khanh Nga'!AB$5)</f>
        <v>0</v>
      </c>
      <c r="AC76" s="229">
        <f>SUMIFS([1]!Data_BS[Value],[1]!Data_BS[Index BS],'Khanh Nga'!$B76,[1]!Data_BS[TenCongTyID],'Khanh Nga'!$B$1,[1]!Data_BS[Thang.Nam],'Khanh Nga'!AC$5)</f>
        <v>0</v>
      </c>
      <c r="AD76" s="229">
        <f>SUMIFS([1]!Data_BS[Value],[1]!Data_BS[Index BS],'Khanh Nga'!$B76,[1]!Data_BS[TenCongTyID],'Khanh Nga'!$B$1,[1]!Data_BS[Thang.Nam],'Khanh Nga'!AD$5)</f>
        <v>0</v>
      </c>
      <c r="AE76" s="229">
        <f>SUMIFS([1]!Data_BS[Value],[1]!Data_BS[Index BS],'Khanh Nga'!$B76,[1]!Data_BS[TenCongTyID],'Khanh Nga'!$B$1,[1]!Data_BS[Thang.Nam],'Khanh Nga'!AE$5)</f>
        <v>0</v>
      </c>
      <c r="AF76" s="229">
        <f>SUMIFS([1]!Data_BS[Value],[1]!Data_BS[Index BS],'Khanh Nga'!$B76,[1]!Data_BS[TenCongTyID],'Khanh Nga'!$B$1,[1]!Data_BS[Thang.Nam],'Khanh Nga'!AF$5)</f>
        <v>0</v>
      </c>
      <c r="AG76" s="229">
        <f>SUMIFS([1]!Data_BS[Value],[1]!Data_BS[Index BS],'Khanh Nga'!$B76,[1]!Data_BS[TenCongTyID],'Khanh Nga'!$B$1,[1]!Data_BS[Thang.Nam],'Khanh Nga'!AG$5)</f>
        <v>0</v>
      </c>
      <c r="AH76" s="229">
        <f>SUMIFS([1]!Data_BS[Value],[1]!Data_BS[Index BS],'Khanh Nga'!$B76,[1]!Data_BS[TenCongTyID],'Khanh Nga'!$B$1,[1]!Data_BS[Thang.Nam],'Khanh Nga'!AH$5)</f>
        <v>0</v>
      </c>
      <c r="AI76" s="229">
        <f>SUMIFS([1]!Data_BS[Value],[1]!Data_BS[Index BS],'Khanh Nga'!$B76,[1]!Data_BS[TenCongTyID],'Khanh Nga'!$B$1,[1]!Data_BS[Thang.Nam],'Khanh Nga'!AI$5)</f>
        <v>0</v>
      </c>
      <c r="AJ76" s="229">
        <f>SUMIFS([1]!Data_BS[Value],[1]!Data_BS[Index BS],'Khanh Nga'!$B76,[1]!Data_BS[TenCongTyID],'Khanh Nga'!$B$1,[1]!Data_BS[Thang.Nam],'Khanh Nga'!AJ$5)</f>
        <v>0</v>
      </c>
      <c r="AK76" s="229">
        <f>SUMIFS([1]!Data_BS[Value],[1]!Data_BS[Index BS],'Khanh Nga'!$B76,[1]!Data_BS[TenCongTyID],'Khanh Nga'!$B$1,[1]!Data_BS[Thang.Nam],'Khanh Nga'!AK$5)</f>
        <v>0</v>
      </c>
      <c r="AL76" s="229">
        <f>SUMIFS([1]!Data_BS[Value],[1]!Data_BS[Index BS],'Khanh Nga'!$B76,[1]!Data_BS[TenCongTyID],'Khanh Nga'!$B$1,[1]!Data_BS[Thang.Nam],'Khanh Nga'!AL$5)</f>
        <v>0</v>
      </c>
    </row>
    <row r="77" spans="1:38" ht="15" hidden="1" customHeight="1" outlineLevel="1">
      <c r="A77" s="66" t="s">
        <v>161</v>
      </c>
      <c r="B77" s="63">
        <v>72</v>
      </c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>
        <v>0</v>
      </c>
      <c r="AA77" s="229">
        <f>SUMIFS([1]!Data_BS[Value],[1]!Data_BS[Index BS],'Khanh Nga'!$B77,[1]!Data_BS[TenCongTyID],'Khanh Nga'!$B$1,[1]!Data_BS[Thang.Nam],'Khanh Nga'!AA$5)</f>
        <v>0</v>
      </c>
      <c r="AB77" s="229">
        <f>SUMIFS([1]!Data_BS[Value],[1]!Data_BS[Index BS],'Khanh Nga'!$B77,[1]!Data_BS[TenCongTyID],'Khanh Nga'!$B$1,[1]!Data_BS[Thang.Nam],'Khanh Nga'!AB$5)</f>
        <v>0</v>
      </c>
      <c r="AC77" s="229">
        <f>SUMIFS([1]!Data_BS[Value],[1]!Data_BS[Index BS],'Khanh Nga'!$B77,[1]!Data_BS[TenCongTyID],'Khanh Nga'!$B$1,[1]!Data_BS[Thang.Nam],'Khanh Nga'!AC$5)</f>
        <v>0</v>
      </c>
      <c r="AD77" s="229">
        <f>SUMIFS([1]!Data_BS[Value],[1]!Data_BS[Index BS],'Khanh Nga'!$B77,[1]!Data_BS[TenCongTyID],'Khanh Nga'!$B$1,[1]!Data_BS[Thang.Nam],'Khanh Nga'!AD$5)</f>
        <v>0</v>
      </c>
      <c r="AE77" s="229">
        <f>SUMIFS([1]!Data_BS[Value],[1]!Data_BS[Index BS],'Khanh Nga'!$B77,[1]!Data_BS[TenCongTyID],'Khanh Nga'!$B$1,[1]!Data_BS[Thang.Nam],'Khanh Nga'!AE$5)</f>
        <v>0</v>
      </c>
      <c r="AF77" s="229">
        <f>SUMIFS([1]!Data_BS[Value],[1]!Data_BS[Index BS],'Khanh Nga'!$B77,[1]!Data_BS[TenCongTyID],'Khanh Nga'!$B$1,[1]!Data_BS[Thang.Nam],'Khanh Nga'!AF$5)</f>
        <v>0</v>
      </c>
      <c r="AG77" s="229">
        <f>SUMIFS([1]!Data_BS[Value],[1]!Data_BS[Index BS],'Khanh Nga'!$B77,[1]!Data_BS[TenCongTyID],'Khanh Nga'!$B$1,[1]!Data_BS[Thang.Nam],'Khanh Nga'!AG$5)</f>
        <v>0</v>
      </c>
      <c r="AH77" s="229">
        <f>SUMIFS([1]!Data_BS[Value],[1]!Data_BS[Index BS],'Khanh Nga'!$B77,[1]!Data_BS[TenCongTyID],'Khanh Nga'!$B$1,[1]!Data_BS[Thang.Nam],'Khanh Nga'!AH$5)</f>
        <v>0</v>
      </c>
      <c r="AI77" s="229">
        <f>SUMIFS([1]!Data_BS[Value],[1]!Data_BS[Index BS],'Khanh Nga'!$B77,[1]!Data_BS[TenCongTyID],'Khanh Nga'!$B$1,[1]!Data_BS[Thang.Nam],'Khanh Nga'!AI$5)</f>
        <v>0</v>
      </c>
      <c r="AJ77" s="229">
        <f>SUMIFS([1]!Data_BS[Value],[1]!Data_BS[Index BS],'Khanh Nga'!$B77,[1]!Data_BS[TenCongTyID],'Khanh Nga'!$B$1,[1]!Data_BS[Thang.Nam],'Khanh Nga'!AJ$5)</f>
        <v>0</v>
      </c>
      <c r="AK77" s="229">
        <f>SUMIFS([1]!Data_BS[Value],[1]!Data_BS[Index BS],'Khanh Nga'!$B77,[1]!Data_BS[TenCongTyID],'Khanh Nga'!$B$1,[1]!Data_BS[Thang.Nam],'Khanh Nga'!AK$5)</f>
        <v>0</v>
      </c>
      <c r="AL77" s="229">
        <f>SUMIFS([1]!Data_BS[Value],[1]!Data_BS[Index BS],'Khanh Nga'!$B77,[1]!Data_BS[TenCongTyID],'Khanh Nga'!$B$1,[1]!Data_BS[Thang.Nam],'Khanh Nga'!AL$5)</f>
        <v>0</v>
      </c>
    </row>
    <row r="78" spans="1:38" s="78" customFormat="1" ht="15" hidden="1" customHeight="1" outlineLevel="1">
      <c r="A78" s="76" t="s">
        <v>162</v>
      </c>
      <c r="B78" s="65">
        <v>73</v>
      </c>
      <c r="C78" s="233">
        <v>140491499</v>
      </c>
      <c r="D78" s="233">
        <v>124348013</v>
      </c>
      <c r="E78" s="233">
        <v>108204527</v>
      </c>
      <c r="F78" s="233">
        <v>386061041</v>
      </c>
      <c r="G78" s="233">
        <v>96747559</v>
      </c>
      <c r="H78" s="233">
        <v>81229129</v>
      </c>
      <c r="I78" s="233">
        <v>262481810</v>
      </c>
      <c r="J78" s="233">
        <v>151133170</v>
      </c>
      <c r="K78" s="233">
        <v>41026684</v>
      </c>
      <c r="L78" s="233">
        <v>44665383</v>
      </c>
      <c r="M78" s="233">
        <v>42558226</v>
      </c>
      <c r="N78" s="234">
        <v>130542108</v>
      </c>
      <c r="O78" s="234">
        <v>122159323</v>
      </c>
      <c r="P78" s="234">
        <v>113776538</v>
      </c>
      <c r="Q78" s="234">
        <v>105393753</v>
      </c>
      <c r="R78" s="234">
        <v>97010968</v>
      </c>
      <c r="S78" s="234">
        <v>88628183</v>
      </c>
      <c r="T78" s="234">
        <v>80283184</v>
      </c>
      <c r="U78" s="234">
        <v>234111788</v>
      </c>
      <c r="V78" s="234">
        <v>334651872</v>
      </c>
      <c r="W78" s="234">
        <v>395199611</v>
      </c>
      <c r="X78" s="234">
        <v>375686727</v>
      </c>
      <c r="Y78" s="234">
        <v>409832181</v>
      </c>
      <c r="Z78" s="234">
        <v>396258186</v>
      </c>
      <c r="AA78" s="234">
        <f>SUMIFS([1]!Data_BS[Value],[1]!Data_BS[Index BS],'Khanh Nga'!$B78,[1]!Data_BS[TenCongTyID],'Khanh Nga'!$B$1,[1]!Data_BS[Thang.Nam],'Khanh Nga'!AA$5)</f>
        <v>0</v>
      </c>
      <c r="AB78" s="234">
        <f>SUMIFS([1]!Data_BS[Value],[1]!Data_BS[Index BS],'Khanh Nga'!$B78,[1]!Data_BS[TenCongTyID],'Khanh Nga'!$B$1,[1]!Data_BS[Thang.Nam],'Khanh Nga'!AB$5)</f>
        <v>0</v>
      </c>
      <c r="AC78" s="234">
        <f>SUMIFS([1]!Data_BS[Value],[1]!Data_BS[Index BS],'Khanh Nga'!$B78,[1]!Data_BS[TenCongTyID],'Khanh Nga'!$B$1,[1]!Data_BS[Thang.Nam],'Khanh Nga'!AC$5)</f>
        <v>0</v>
      </c>
      <c r="AD78" s="234">
        <f>SUMIFS([1]!Data_BS[Value],[1]!Data_BS[Index BS],'Khanh Nga'!$B78,[1]!Data_BS[TenCongTyID],'Khanh Nga'!$B$1,[1]!Data_BS[Thang.Nam],'Khanh Nga'!AD$5)</f>
        <v>0</v>
      </c>
      <c r="AE78" s="234">
        <f>SUMIFS([1]!Data_BS[Value],[1]!Data_BS[Index BS],'Khanh Nga'!$B78,[1]!Data_BS[TenCongTyID],'Khanh Nga'!$B$1,[1]!Data_BS[Thang.Nam],'Khanh Nga'!AE$5)</f>
        <v>0</v>
      </c>
      <c r="AF78" s="234">
        <f>SUMIFS([1]!Data_BS[Value],[1]!Data_BS[Index BS],'Khanh Nga'!$B78,[1]!Data_BS[TenCongTyID],'Khanh Nga'!$B$1,[1]!Data_BS[Thang.Nam],'Khanh Nga'!AF$5)</f>
        <v>0</v>
      </c>
      <c r="AG78" s="234">
        <f>SUMIFS([1]!Data_BS[Value],[1]!Data_BS[Index BS],'Khanh Nga'!$B78,[1]!Data_BS[TenCongTyID],'Khanh Nga'!$B$1,[1]!Data_BS[Thang.Nam],'Khanh Nga'!AG$5)</f>
        <v>0</v>
      </c>
      <c r="AH78" s="234">
        <f>SUMIFS([1]!Data_BS[Value],[1]!Data_BS[Index BS],'Khanh Nga'!$B78,[1]!Data_BS[TenCongTyID],'Khanh Nga'!$B$1,[1]!Data_BS[Thang.Nam],'Khanh Nga'!AH$5)</f>
        <v>0</v>
      </c>
      <c r="AI78" s="234">
        <f>SUMIFS([1]!Data_BS[Value],[1]!Data_BS[Index BS],'Khanh Nga'!$B78,[1]!Data_BS[TenCongTyID],'Khanh Nga'!$B$1,[1]!Data_BS[Thang.Nam],'Khanh Nga'!AI$5)</f>
        <v>0</v>
      </c>
      <c r="AJ78" s="234">
        <f>SUMIFS([1]!Data_BS[Value],[1]!Data_BS[Index BS],'Khanh Nga'!$B78,[1]!Data_BS[TenCongTyID],'Khanh Nga'!$B$1,[1]!Data_BS[Thang.Nam],'Khanh Nga'!AJ$5)</f>
        <v>0</v>
      </c>
      <c r="AK78" s="234">
        <f>SUMIFS([1]!Data_BS[Value],[1]!Data_BS[Index BS],'Khanh Nga'!$B78,[1]!Data_BS[TenCongTyID],'Khanh Nga'!$B$1,[1]!Data_BS[Thang.Nam],'Khanh Nga'!AK$5)</f>
        <v>0</v>
      </c>
      <c r="AL78" s="234">
        <f>SUMIFS([1]!Data_BS[Value],[1]!Data_BS[Index BS],'Khanh Nga'!$B78,[1]!Data_BS[TenCongTyID],'Khanh Nga'!$B$1,[1]!Data_BS[Thang.Nam],'Khanh Nga'!AL$5)</f>
        <v>0</v>
      </c>
    </row>
    <row r="79" spans="1:38" ht="15" hidden="1" customHeight="1" outlineLevel="1">
      <c r="A79" s="67" t="s">
        <v>163</v>
      </c>
      <c r="B79" s="63">
        <v>74</v>
      </c>
      <c r="C79" s="229">
        <v>140491499</v>
      </c>
      <c r="D79" s="229">
        <v>124348013</v>
      </c>
      <c r="E79" s="229">
        <v>108204527</v>
      </c>
      <c r="F79" s="229">
        <v>386061041</v>
      </c>
      <c r="G79" s="229">
        <v>96747559</v>
      </c>
      <c r="H79" s="229">
        <v>81229129</v>
      </c>
      <c r="I79" s="229">
        <v>262481810</v>
      </c>
      <c r="J79" s="229">
        <v>151133170</v>
      </c>
      <c r="K79" s="229">
        <v>41026684</v>
      </c>
      <c r="L79" s="229">
        <v>44665383</v>
      </c>
      <c r="M79" s="229">
        <v>42558226</v>
      </c>
      <c r="N79" s="229">
        <v>130542108</v>
      </c>
      <c r="O79" s="229">
        <v>122159323</v>
      </c>
      <c r="P79" s="229">
        <v>113776538</v>
      </c>
      <c r="Q79" s="229">
        <v>105393753</v>
      </c>
      <c r="R79" s="229">
        <v>97010968</v>
      </c>
      <c r="S79" s="229">
        <v>88628183</v>
      </c>
      <c r="T79" s="229">
        <v>80283184</v>
      </c>
      <c r="U79" s="229">
        <v>234111788</v>
      </c>
      <c r="V79" s="229">
        <v>334651872</v>
      </c>
      <c r="W79" s="229">
        <v>395199611</v>
      </c>
      <c r="X79" s="229">
        <v>375686727</v>
      </c>
      <c r="Y79" s="229">
        <v>409832181</v>
      </c>
      <c r="Z79" s="229">
        <v>396258186</v>
      </c>
      <c r="AA79" s="229">
        <f>SUMIFS([1]!Data_BS[Value],[1]!Data_BS[Index BS],'Khanh Nga'!$B79,[1]!Data_BS[TenCongTyID],'Khanh Nga'!$B$1,[1]!Data_BS[Thang.Nam],'Khanh Nga'!AA$5)</f>
        <v>0</v>
      </c>
      <c r="AB79" s="229">
        <f>SUMIFS([1]!Data_BS[Value],[1]!Data_BS[Index BS],'Khanh Nga'!$B79,[1]!Data_BS[TenCongTyID],'Khanh Nga'!$B$1,[1]!Data_BS[Thang.Nam],'Khanh Nga'!AB$5)</f>
        <v>0</v>
      </c>
      <c r="AC79" s="229">
        <f>SUMIFS([1]!Data_BS[Value],[1]!Data_BS[Index BS],'Khanh Nga'!$B79,[1]!Data_BS[TenCongTyID],'Khanh Nga'!$B$1,[1]!Data_BS[Thang.Nam],'Khanh Nga'!AC$5)</f>
        <v>0</v>
      </c>
      <c r="AD79" s="229">
        <f>SUMIFS([1]!Data_BS[Value],[1]!Data_BS[Index BS],'Khanh Nga'!$B79,[1]!Data_BS[TenCongTyID],'Khanh Nga'!$B$1,[1]!Data_BS[Thang.Nam],'Khanh Nga'!AD$5)</f>
        <v>0</v>
      </c>
      <c r="AE79" s="229">
        <f>SUMIFS([1]!Data_BS[Value],[1]!Data_BS[Index BS],'Khanh Nga'!$B79,[1]!Data_BS[TenCongTyID],'Khanh Nga'!$B$1,[1]!Data_BS[Thang.Nam],'Khanh Nga'!AE$5)</f>
        <v>0</v>
      </c>
      <c r="AF79" s="229">
        <f>SUMIFS([1]!Data_BS[Value],[1]!Data_BS[Index BS],'Khanh Nga'!$B79,[1]!Data_BS[TenCongTyID],'Khanh Nga'!$B$1,[1]!Data_BS[Thang.Nam],'Khanh Nga'!AF$5)</f>
        <v>0</v>
      </c>
      <c r="AG79" s="229">
        <f>SUMIFS([1]!Data_BS[Value],[1]!Data_BS[Index BS],'Khanh Nga'!$B79,[1]!Data_BS[TenCongTyID],'Khanh Nga'!$B$1,[1]!Data_BS[Thang.Nam],'Khanh Nga'!AG$5)</f>
        <v>0</v>
      </c>
      <c r="AH79" s="229">
        <f>SUMIFS([1]!Data_BS[Value],[1]!Data_BS[Index BS],'Khanh Nga'!$B79,[1]!Data_BS[TenCongTyID],'Khanh Nga'!$B$1,[1]!Data_BS[Thang.Nam],'Khanh Nga'!AH$5)</f>
        <v>0</v>
      </c>
      <c r="AI79" s="229">
        <f>SUMIFS([1]!Data_BS[Value],[1]!Data_BS[Index BS],'Khanh Nga'!$B79,[1]!Data_BS[TenCongTyID],'Khanh Nga'!$B$1,[1]!Data_BS[Thang.Nam],'Khanh Nga'!AI$5)</f>
        <v>0</v>
      </c>
      <c r="AJ79" s="229">
        <f>SUMIFS([1]!Data_BS[Value],[1]!Data_BS[Index BS],'Khanh Nga'!$B79,[1]!Data_BS[TenCongTyID],'Khanh Nga'!$B$1,[1]!Data_BS[Thang.Nam],'Khanh Nga'!AJ$5)</f>
        <v>0</v>
      </c>
      <c r="AK79" s="229">
        <f>SUMIFS([1]!Data_BS[Value],[1]!Data_BS[Index BS],'Khanh Nga'!$B79,[1]!Data_BS[TenCongTyID],'Khanh Nga'!$B$1,[1]!Data_BS[Thang.Nam],'Khanh Nga'!AK$5)</f>
        <v>0</v>
      </c>
      <c r="AL79" s="229">
        <f>SUMIFS([1]!Data_BS[Value],[1]!Data_BS[Index BS],'Khanh Nga'!$B79,[1]!Data_BS[TenCongTyID],'Khanh Nga'!$B$1,[1]!Data_BS[Thang.Nam],'Khanh Nga'!AL$5)</f>
        <v>0</v>
      </c>
    </row>
    <row r="80" spans="1:38" ht="15" hidden="1" customHeight="1" outlineLevel="1">
      <c r="A80" s="67" t="s">
        <v>164</v>
      </c>
      <c r="B80" s="63">
        <v>75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/>
      <c r="X80" s="229">
        <v>0</v>
      </c>
      <c r="Y80" s="229"/>
      <c r="Z80" s="229">
        <v>0</v>
      </c>
      <c r="AA80" s="229">
        <f>SUMIFS([1]!Data_BS[Value],[1]!Data_BS[Index BS],'Khanh Nga'!$B80,[1]!Data_BS[TenCongTyID],'Khanh Nga'!$B$1,[1]!Data_BS[Thang.Nam],'Khanh Nga'!AA$5)</f>
        <v>0</v>
      </c>
      <c r="AB80" s="229">
        <f>SUMIFS([1]!Data_BS[Value],[1]!Data_BS[Index BS],'Khanh Nga'!$B80,[1]!Data_BS[TenCongTyID],'Khanh Nga'!$B$1,[1]!Data_BS[Thang.Nam],'Khanh Nga'!AB$5)</f>
        <v>0</v>
      </c>
      <c r="AC80" s="229">
        <f>SUMIFS([1]!Data_BS[Value],[1]!Data_BS[Index BS],'Khanh Nga'!$B80,[1]!Data_BS[TenCongTyID],'Khanh Nga'!$B$1,[1]!Data_BS[Thang.Nam],'Khanh Nga'!AC$5)</f>
        <v>0</v>
      </c>
      <c r="AD80" s="229">
        <f>SUMIFS([1]!Data_BS[Value],[1]!Data_BS[Index BS],'Khanh Nga'!$B80,[1]!Data_BS[TenCongTyID],'Khanh Nga'!$B$1,[1]!Data_BS[Thang.Nam],'Khanh Nga'!AD$5)</f>
        <v>0</v>
      </c>
      <c r="AE80" s="229">
        <f>SUMIFS([1]!Data_BS[Value],[1]!Data_BS[Index BS],'Khanh Nga'!$B80,[1]!Data_BS[TenCongTyID],'Khanh Nga'!$B$1,[1]!Data_BS[Thang.Nam],'Khanh Nga'!AE$5)</f>
        <v>0</v>
      </c>
      <c r="AF80" s="229">
        <f>SUMIFS([1]!Data_BS[Value],[1]!Data_BS[Index BS],'Khanh Nga'!$B80,[1]!Data_BS[TenCongTyID],'Khanh Nga'!$B$1,[1]!Data_BS[Thang.Nam],'Khanh Nga'!AF$5)</f>
        <v>0</v>
      </c>
      <c r="AG80" s="229">
        <f>SUMIFS([1]!Data_BS[Value],[1]!Data_BS[Index BS],'Khanh Nga'!$B80,[1]!Data_BS[TenCongTyID],'Khanh Nga'!$B$1,[1]!Data_BS[Thang.Nam],'Khanh Nga'!AG$5)</f>
        <v>0</v>
      </c>
      <c r="AH80" s="229">
        <f>SUMIFS([1]!Data_BS[Value],[1]!Data_BS[Index BS],'Khanh Nga'!$B80,[1]!Data_BS[TenCongTyID],'Khanh Nga'!$B$1,[1]!Data_BS[Thang.Nam],'Khanh Nga'!AH$5)</f>
        <v>0</v>
      </c>
      <c r="AI80" s="229">
        <f>SUMIFS([1]!Data_BS[Value],[1]!Data_BS[Index BS],'Khanh Nga'!$B80,[1]!Data_BS[TenCongTyID],'Khanh Nga'!$B$1,[1]!Data_BS[Thang.Nam],'Khanh Nga'!AI$5)</f>
        <v>0</v>
      </c>
      <c r="AJ80" s="229">
        <f>SUMIFS([1]!Data_BS[Value],[1]!Data_BS[Index BS],'Khanh Nga'!$B80,[1]!Data_BS[TenCongTyID],'Khanh Nga'!$B$1,[1]!Data_BS[Thang.Nam],'Khanh Nga'!AJ$5)</f>
        <v>0</v>
      </c>
      <c r="AK80" s="229">
        <f>SUMIFS([1]!Data_BS[Value],[1]!Data_BS[Index BS],'Khanh Nga'!$B80,[1]!Data_BS[TenCongTyID],'Khanh Nga'!$B$1,[1]!Data_BS[Thang.Nam],'Khanh Nga'!AK$5)</f>
        <v>0</v>
      </c>
      <c r="AL80" s="229">
        <f>SUMIFS([1]!Data_BS[Value],[1]!Data_BS[Index BS],'Khanh Nga'!$B80,[1]!Data_BS[TenCongTyID],'Khanh Nga'!$B$1,[1]!Data_BS[Thang.Nam],'Khanh Nga'!AL$5)</f>
        <v>0</v>
      </c>
    </row>
    <row r="81" spans="1:38" ht="15" hidden="1" customHeight="1" outlineLevel="1">
      <c r="A81" s="67" t="s">
        <v>165</v>
      </c>
      <c r="B81" s="63">
        <v>76</v>
      </c>
      <c r="C81" s="229">
        <v>0</v>
      </c>
      <c r="D81" s="229">
        <v>0</v>
      </c>
      <c r="E81" s="229">
        <v>0</v>
      </c>
      <c r="F81" s="229">
        <v>0</v>
      </c>
      <c r="G81" s="229">
        <v>0</v>
      </c>
      <c r="H81" s="229">
        <v>0</v>
      </c>
      <c r="I81" s="229">
        <v>0</v>
      </c>
      <c r="J81" s="229">
        <v>0</v>
      </c>
      <c r="K81" s="229">
        <v>0</v>
      </c>
      <c r="L81" s="229">
        <v>0</v>
      </c>
      <c r="M81" s="229">
        <v>0</v>
      </c>
      <c r="N81" s="229">
        <v>0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/>
      <c r="X81" s="229">
        <v>0</v>
      </c>
      <c r="Y81" s="229"/>
      <c r="Z81" s="229">
        <v>0</v>
      </c>
      <c r="AA81" s="229">
        <f>SUMIFS([1]!Data_BS[Value],[1]!Data_BS[Index BS],'Khanh Nga'!$B81,[1]!Data_BS[TenCongTyID],'Khanh Nga'!$B$1,[1]!Data_BS[Thang.Nam],'Khanh Nga'!AA$5)</f>
        <v>0</v>
      </c>
      <c r="AB81" s="229">
        <f>SUMIFS([1]!Data_BS[Value],[1]!Data_BS[Index BS],'Khanh Nga'!$B81,[1]!Data_BS[TenCongTyID],'Khanh Nga'!$B$1,[1]!Data_BS[Thang.Nam],'Khanh Nga'!AB$5)</f>
        <v>0</v>
      </c>
      <c r="AC81" s="229">
        <f>SUMIFS([1]!Data_BS[Value],[1]!Data_BS[Index BS],'Khanh Nga'!$B81,[1]!Data_BS[TenCongTyID],'Khanh Nga'!$B$1,[1]!Data_BS[Thang.Nam],'Khanh Nga'!AC$5)</f>
        <v>0</v>
      </c>
      <c r="AD81" s="229">
        <f>SUMIFS([1]!Data_BS[Value],[1]!Data_BS[Index BS],'Khanh Nga'!$B81,[1]!Data_BS[TenCongTyID],'Khanh Nga'!$B$1,[1]!Data_BS[Thang.Nam],'Khanh Nga'!AD$5)</f>
        <v>0</v>
      </c>
      <c r="AE81" s="229">
        <f>SUMIFS([1]!Data_BS[Value],[1]!Data_BS[Index BS],'Khanh Nga'!$B81,[1]!Data_BS[TenCongTyID],'Khanh Nga'!$B$1,[1]!Data_BS[Thang.Nam],'Khanh Nga'!AE$5)</f>
        <v>0</v>
      </c>
      <c r="AF81" s="229">
        <f>SUMIFS([1]!Data_BS[Value],[1]!Data_BS[Index BS],'Khanh Nga'!$B81,[1]!Data_BS[TenCongTyID],'Khanh Nga'!$B$1,[1]!Data_BS[Thang.Nam],'Khanh Nga'!AF$5)</f>
        <v>0</v>
      </c>
      <c r="AG81" s="229">
        <f>SUMIFS([1]!Data_BS[Value],[1]!Data_BS[Index BS],'Khanh Nga'!$B81,[1]!Data_BS[TenCongTyID],'Khanh Nga'!$B$1,[1]!Data_BS[Thang.Nam],'Khanh Nga'!AG$5)</f>
        <v>0</v>
      </c>
      <c r="AH81" s="229">
        <f>SUMIFS([1]!Data_BS[Value],[1]!Data_BS[Index BS],'Khanh Nga'!$B81,[1]!Data_BS[TenCongTyID],'Khanh Nga'!$B$1,[1]!Data_BS[Thang.Nam],'Khanh Nga'!AH$5)</f>
        <v>0</v>
      </c>
      <c r="AI81" s="229">
        <f>SUMIFS([1]!Data_BS[Value],[1]!Data_BS[Index BS],'Khanh Nga'!$B81,[1]!Data_BS[TenCongTyID],'Khanh Nga'!$B$1,[1]!Data_BS[Thang.Nam],'Khanh Nga'!AI$5)</f>
        <v>0</v>
      </c>
      <c r="AJ81" s="229">
        <f>SUMIFS([1]!Data_BS[Value],[1]!Data_BS[Index BS],'Khanh Nga'!$B81,[1]!Data_BS[TenCongTyID],'Khanh Nga'!$B$1,[1]!Data_BS[Thang.Nam],'Khanh Nga'!AJ$5)</f>
        <v>0</v>
      </c>
      <c r="AK81" s="229">
        <f>SUMIFS([1]!Data_BS[Value],[1]!Data_BS[Index BS],'Khanh Nga'!$B81,[1]!Data_BS[TenCongTyID],'Khanh Nga'!$B$1,[1]!Data_BS[Thang.Nam],'Khanh Nga'!AK$5)</f>
        <v>0</v>
      </c>
      <c r="AL81" s="229">
        <f>SUMIFS([1]!Data_BS[Value],[1]!Data_BS[Index BS],'Khanh Nga'!$B81,[1]!Data_BS[TenCongTyID],'Khanh Nga'!$B$1,[1]!Data_BS[Thang.Nam],'Khanh Nga'!AL$5)</f>
        <v>0</v>
      </c>
    </row>
    <row r="82" spans="1:38" ht="15" hidden="1" customHeight="1" outlineLevel="1">
      <c r="A82" s="67" t="s">
        <v>166</v>
      </c>
      <c r="B82" s="63">
        <v>77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/>
      <c r="X82" s="229">
        <v>0</v>
      </c>
      <c r="Y82" s="229"/>
      <c r="Z82" s="229">
        <v>0</v>
      </c>
      <c r="AA82" s="229">
        <f>SUMIFS([1]!Data_BS[Value],[1]!Data_BS[Index BS],'Khanh Nga'!$B82,[1]!Data_BS[TenCongTyID],'Khanh Nga'!$B$1,[1]!Data_BS[Thang.Nam],'Khanh Nga'!AA$5)</f>
        <v>0</v>
      </c>
      <c r="AB82" s="229">
        <f>SUMIFS([1]!Data_BS[Value],[1]!Data_BS[Index BS],'Khanh Nga'!$B82,[1]!Data_BS[TenCongTyID],'Khanh Nga'!$B$1,[1]!Data_BS[Thang.Nam],'Khanh Nga'!AB$5)</f>
        <v>0</v>
      </c>
      <c r="AC82" s="229">
        <f>SUMIFS([1]!Data_BS[Value],[1]!Data_BS[Index BS],'Khanh Nga'!$B82,[1]!Data_BS[TenCongTyID],'Khanh Nga'!$B$1,[1]!Data_BS[Thang.Nam],'Khanh Nga'!AC$5)</f>
        <v>0</v>
      </c>
      <c r="AD82" s="229">
        <f>SUMIFS([1]!Data_BS[Value],[1]!Data_BS[Index BS],'Khanh Nga'!$B82,[1]!Data_BS[TenCongTyID],'Khanh Nga'!$B$1,[1]!Data_BS[Thang.Nam],'Khanh Nga'!AD$5)</f>
        <v>0</v>
      </c>
      <c r="AE82" s="229">
        <f>SUMIFS([1]!Data_BS[Value],[1]!Data_BS[Index BS],'Khanh Nga'!$B82,[1]!Data_BS[TenCongTyID],'Khanh Nga'!$B$1,[1]!Data_BS[Thang.Nam],'Khanh Nga'!AE$5)</f>
        <v>0</v>
      </c>
      <c r="AF82" s="229">
        <f>SUMIFS([1]!Data_BS[Value],[1]!Data_BS[Index BS],'Khanh Nga'!$B82,[1]!Data_BS[TenCongTyID],'Khanh Nga'!$B$1,[1]!Data_BS[Thang.Nam],'Khanh Nga'!AF$5)</f>
        <v>0</v>
      </c>
      <c r="AG82" s="229">
        <f>SUMIFS([1]!Data_BS[Value],[1]!Data_BS[Index BS],'Khanh Nga'!$B82,[1]!Data_BS[TenCongTyID],'Khanh Nga'!$B$1,[1]!Data_BS[Thang.Nam],'Khanh Nga'!AG$5)</f>
        <v>0</v>
      </c>
      <c r="AH82" s="229">
        <f>SUMIFS([1]!Data_BS[Value],[1]!Data_BS[Index BS],'Khanh Nga'!$B82,[1]!Data_BS[TenCongTyID],'Khanh Nga'!$B$1,[1]!Data_BS[Thang.Nam],'Khanh Nga'!AH$5)</f>
        <v>0</v>
      </c>
      <c r="AI82" s="229">
        <f>SUMIFS([1]!Data_BS[Value],[1]!Data_BS[Index BS],'Khanh Nga'!$B82,[1]!Data_BS[TenCongTyID],'Khanh Nga'!$B$1,[1]!Data_BS[Thang.Nam],'Khanh Nga'!AI$5)</f>
        <v>0</v>
      </c>
      <c r="AJ82" s="229">
        <f>SUMIFS([1]!Data_BS[Value],[1]!Data_BS[Index BS],'Khanh Nga'!$B82,[1]!Data_BS[TenCongTyID],'Khanh Nga'!$B$1,[1]!Data_BS[Thang.Nam],'Khanh Nga'!AJ$5)</f>
        <v>0</v>
      </c>
      <c r="AK82" s="229">
        <f>SUMIFS([1]!Data_BS[Value],[1]!Data_BS[Index BS],'Khanh Nga'!$B82,[1]!Data_BS[TenCongTyID],'Khanh Nga'!$B$1,[1]!Data_BS[Thang.Nam],'Khanh Nga'!AK$5)</f>
        <v>0</v>
      </c>
      <c r="AL82" s="229">
        <f>SUMIFS([1]!Data_BS[Value],[1]!Data_BS[Index BS],'Khanh Nga'!$B82,[1]!Data_BS[TenCongTyID],'Khanh Nga'!$B$1,[1]!Data_BS[Thang.Nam],'Khanh Nga'!AL$5)</f>
        <v>0</v>
      </c>
    </row>
    <row r="83" spans="1:38" s="251" customFormat="1" ht="15" hidden="1" customHeight="1" outlineLevel="1">
      <c r="A83" s="80" t="s">
        <v>167</v>
      </c>
      <c r="B83" s="81">
        <v>78</v>
      </c>
      <c r="C83" s="249">
        <v>15507979212</v>
      </c>
      <c r="D83" s="249">
        <v>15417714531</v>
      </c>
      <c r="E83" s="249">
        <v>15345218657.860001</v>
      </c>
      <c r="F83" s="249">
        <v>14887272764.882</v>
      </c>
      <c r="G83" s="249">
        <v>14208989819</v>
      </c>
      <c r="H83" s="249">
        <v>14469402313</v>
      </c>
      <c r="I83" s="249">
        <v>13889448295</v>
      </c>
      <c r="J83" s="249">
        <v>15964623066</v>
      </c>
      <c r="K83" s="249">
        <v>16416433118</v>
      </c>
      <c r="L83" s="249">
        <v>18528574980</v>
      </c>
      <c r="M83" s="249">
        <v>18411366075</v>
      </c>
      <c r="N83" s="250">
        <v>17769431513.482002</v>
      </c>
      <c r="O83" s="250">
        <v>16889928224.999901</v>
      </c>
      <c r="P83" s="250">
        <v>17887328825</v>
      </c>
      <c r="Q83" s="250">
        <v>16933513757.482</v>
      </c>
      <c r="R83" s="250">
        <v>16999255969</v>
      </c>
      <c r="S83" s="250">
        <v>17131684163</v>
      </c>
      <c r="T83" s="250">
        <v>18263438107.481998</v>
      </c>
      <c r="U83" s="250">
        <v>19775807817.481998</v>
      </c>
      <c r="V83" s="250">
        <v>22605079961.481998</v>
      </c>
      <c r="W83" s="250">
        <f>+W38+W6</f>
        <v>20636649601.482002</v>
      </c>
      <c r="X83" s="250">
        <v>20713286536.481998</v>
      </c>
      <c r="Y83" s="250">
        <v>21582121492.482002</v>
      </c>
      <c r="Z83" s="250">
        <v>22374498981</v>
      </c>
      <c r="AA83" s="250">
        <f>SUMIFS([1]!Data_BS[Value],[1]!Data_BS[Index BS],'Khanh Nga'!$B83,[1]!Data_BS[TenCongTyID],'Khanh Nga'!$B$1,[1]!Data_BS[Thang.Nam],'Khanh Nga'!AA$5)</f>
        <v>0</v>
      </c>
      <c r="AB83" s="250">
        <f>SUMIFS([1]!Data_BS[Value],[1]!Data_BS[Index BS],'Khanh Nga'!$B83,[1]!Data_BS[TenCongTyID],'Khanh Nga'!$B$1,[1]!Data_BS[Thang.Nam],'Khanh Nga'!AB$5)</f>
        <v>0</v>
      </c>
      <c r="AC83" s="250">
        <f>SUMIFS([1]!Data_BS[Value],[1]!Data_BS[Index BS],'Khanh Nga'!$B83,[1]!Data_BS[TenCongTyID],'Khanh Nga'!$B$1,[1]!Data_BS[Thang.Nam],'Khanh Nga'!AC$5)</f>
        <v>0</v>
      </c>
      <c r="AD83" s="250">
        <f>SUMIFS([1]!Data_BS[Value],[1]!Data_BS[Index BS],'Khanh Nga'!$B83,[1]!Data_BS[TenCongTyID],'Khanh Nga'!$B$1,[1]!Data_BS[Thang.Nam],'Khanh Nga'!AD$5)</f>
        <v>0</v>
      </c>
      <c r="AE83" s="250">
        <f>SUMIFS([1]!Data_BS[Value],[1]!Data_BS[Index BS],'Khanh Nga'!$B83,[1]!Data_BS[TenCongTyID],'Khanh Nga'!$B$1,[1]!Data_BS[Thang.Nam],'Khanh Nga'!AE$5)</f>
        <v>0</v>
      </c>
      <c r="AF83" s="250">
        <f>SUMIFS([1]!Data_BS[Value],[1]!Data_BS[Index BS],'Khanh Nga'!$B83,[1]!Data_BS[TenCongTyID],'Khanh Nga'!$B$1,[1]!Data_BS[Thang.Nam],'Khanh Nga'!AF$5)</f>
        <v>0</v>
      </c>
      <c r="AG83" s="250">
        <f>SUMIFS([1]!Data_BS[Value],[1]!Data_BS[Index BS],'Khanh Nga'!$B83,[1]!Data_BS[TenCongTyID],'Khanh Nga'!$B$1,[1]!Data_BS[Thang.Nam],'Khanh Nga'!AG$5)</f>
        <v>0</v>
      </c>
      <c r="AH83" s="250">
        <f>SUMIFS([1]!Data_BS[Value],[1]!Data_BS[Index BS],'Khanh Nga'!$B83,[1]!Data_BS[TenCongTyID],'Khanh Nga'!$B$1,[1]!Data_BS[Thang.Nam],'Khanh Nga'!AH$5)</f>
        <v>0</v>
      </c>
      <c r="AI83" s="250">
        <f>SUMIFS([1]!Data_BS[Value],[1]!Data_BS[Index BS],'Khanh Nga'!$B83,[1]!Data_BS[TenCongTyID],'Khanh Nga'!$B$1,[1]!Data_BS[Thang.Nam],'Khanh Nga'!AI$5)</f>
        <v>0</v>
      </c>
      <c r="AJ83" s="250">
        <f>SUMIFS([1]!Data_BS[Value],[1]!Data_BS[Index BS],'Khanh Nga'!$B83,[1]!Data_BS[TenCongTyID],'Khanh Nga'!$B$1,[1]!Data_BS[Thang.Nam],'Khanh Nga'!AJ$5)</f>
        <v>0</v>
      </c>
      <c r="AK83" s="250">
        <f>SUMIFS([1]!Data_BS[Value],[1]!Data_BS[Index BS],'Khanh Nga'!$B83,[1]!Data_BS[TenCongTyID],'Khanh Nga'!$B$1,[1]!Data_BS[Thang.Nam],'Khanh Nga'!AK$5)</f>
        <v>0</v>
      </c>
      <c r="AL83" s="250">
        <f>SUMIFS([1]!Data_BS[Value],[1]!Data_BS[Index BS],'Khanh Nga'!$B83,[1]!Data_BS[TenCongTyID],'Khanh Nga'!$B$1,[1]!Data_BS[Thang.Nam],'Khanh Nga'!AL$5)</f>
        <v>0</v>
      </c>
    </row>
    <row r="84" spans="1:38" ht="15" hidden="1" customHeight="1" outlineLevel="1">
      <c r="A84" s="56" t="s">
        <v>168</v>
      </c>
      <c r="B84" s="71">
        <v>79</v>
      </c>
      <c r="C84" s="240">
        <v>2556434092</v>
      </c>
      <c r="D84" s="240">
        <v>2577854335</v>
      </c>
      <c r="E84" s="240">
        <v>2259710246.8600001</v>
      </c>
      <c r="F84" s="240">
        <v>1897167666.882</v>
      </c>
      <c r="G84" s="240">
        <v>1542734518</v>
      </c>
      <c r="H84" s="240">
        <v>1914630683</v>
      </c>
      <c r="I84" s="240">
        <v>1652974650</v>
      </c>
      <c r="J84" s="240">
        <v>4156203795</v>
      </c>
      <c r="K84" s="240">
        <v>5165309039</v>
      </c>
      <c r="L84" s="240">
        <v>7367909599</v>
      </c>
      <c r="M84" s="240">
        <v>7388025264</v>
      </c>
      <c r="N84" s="241">
        <v>7095909098.4820004</v>
      </c>
      <c r="O84" s="241">
        <v>6926134439</v>
      </c>
      <c r="P84" s="241">
        <v>8589719617</v>
      </c>
      <c r="Q84" s="241">
        <v>7887541516.4820004</v>
      </c>
      <c r="R84" s="241">
        <v>7241996158</v>
      </c>
      <c r="S84" s="241">
        <v>7149695232</v>
      </c>
      <c r="T84" s="241">
        <v>7646262087.4820004</v>
      </c>
      <c r="U84" s="241">
        <v>7836951141.4820995</v>
      </c>
      <c r="V84" s="241">
        <v>9460318517.4820995</v>
      </c>
      <c r="W84" s="241">
        <f>+W85+W101</f>
        <v>7152157174.4820004</v>
      </c>
      <c r="X84" s="241">
        <v>6812390688.4820004</v>
      </c>
      <c r="Y84" s="241">
        <v>7301310031.4820004</v>
      </c>
      <c r="Z84" s="241">
        <v>7495847126</v>
      </c>
      <c r="AA84" s="241">
        <f>SUMIFS([1]!Data_BS[Value],[1]!Data_BS[Index BS],'Khanh Nga'!$B84,[1]!Data_BS[TenCongTyID],'Khanh Nga'!$B$1,[1]!Data_BS[Thang.Nam],'Khanh Nga'!AA$5)</f>
        <v>0</v>
      </c>
      <c r="AB84" s="241">
        <f>SUMIFS([1]!Data_BS[Value],[1]!Data_BS[Index BS],'Khanh Nga'!$B84,[1]!Data_BS[TenCongTyID],'Khanh Nga'!$B$1,[1]!Data_BS[Thang.Nam],'Khanh Nga'!AB$5)</f>
        <v>0</v>
      </c>
      <c r="AC84" s="241">
        <f>SUMIFS([1]!Data_BS[Value],[1]!Data_BS[Index BS],'Khanh Nga'!$B84,[1]!Data_BS[TenCongTyID],'Khanh Nga'!$B$1,[1]!Data_BS[Thang.Nam],'Khanh Nga'!AC$5)</f>
        <v>0</v>
      </c>
      <c r="AD84" s="241">
        <f>SUMIFS([1]!Data_BS[Value],[1]!Data_BS[Index BS],'Khanh Nga'!$B84,[1]!Data_BS[TenCongTyID],'Khanh Nga'!$B$1,[1]!Data_BS[Thang.Nam],'Khanh Nga'!AD$5)</f>
        <v>0</v>
      </c>
      <c r="AE84" s="241">
        <f>SUMIFS([1]!Data_BS[Value],[1]!Data_BS[Index BS],'Khanh Nga'!$B84,[1]!Data_BS[TenCongTyID],'Khanh Nga'!$B$1,[1]!Data_BS[Thang.Nam],'Khanh Nga'!AE$5)</f>
        <v>0</v>
      </c>
      <c r="AF84" s="241">
        <f>SUMIFS([1]!Data_BS[Value],[1]!Data_BS[Index BS],'Khanh Nga'!$B84,[1]!Data_BS[TenCongTyID],'Khanh Nga'!$B$1,[1]!Data_BS[Thang.Nam],'Khanh Nga'!AF$5)</f>
        <v>0</v>
      </c>
      <c r="AG84" s="241">
        <f>SUMIFS([1]!Data_BS[Value],[1]!Data_BS[Index BS],'Khanh Nga'!$B84,[1]!Data_BS[TenCongTyID],'Khanh Nga'!$B$1,[1]!Data_BS[Thang.Nam],'Khanh Nga'!AG$5)</f>
        <v>0</v>
      </c>
      <c r="AH84" s="241">
        <f>SUMIFS([1]!Data_BS[Value],[1]!Data_BS[Index BS],'Khanh Nga'!$B84,[1]!Data_BS[TenCongTyID],'Khanh Nga'!$B$1,[1]!Data_BS[Thang.Nam],'Khanh Nga'!AH$5)</f>
        <v>0</v>
      </c>
      <c r="AI84" s="241">
        <f>SUMIFS([1]!Data_BS[Value],[1]!Data_BS[Index BS],'Khanh Nga'!$B84,[1]!Data_BS[TenCongTyID],'Khanh Nga'!$B$1,[1]!Data_BS[Thang.Nam],'Khanh Nga'!AI$5)</f>
        <v>0</v>
      </c>
      <c r="AJ84" s="241">
        <f>SUMIFS([1]!Data_BS[Value],[1]!Data_BS[Index BS],'Khanh Nga'!$B84,[1]!Data_BS[TenCongTyID],'Khanh Nga'!$B$1,[1]!Data_BS[Thang.Nam],'Khanh Nga'!AJ$5)</f>
        <v>0</v>
      </c>
      <c r="AK84" s="241">
        <f>SUMIFS([1]!Data_BS[Value],[1]!Data_BS[Index BS],'Khanh Nga'!$B84,[1]!Data_BS[TenCongTyID],'Khanh Nga'!$B$1,[1]!Data_BS[Thang.Nam],'Khanh Nga'!AK$5)</f>
        <v>0</v>
      </c>
      <c r="AL84" s="241">
        <f>SUMIFS([1]!Data_BS[Value],[1]!Data_BS[Index BS],'Khanh Nga'!$B84,[1]!Data_BS[TenCongTyID],'Khanh Nga'!$B$1,[1]!Data_BS[Thang.Nam],'Khanh Nga'!AL$5)</f>
        <v>0</v>
      </c>
    </row>
    <row r="85" spans="1:38" ht="15" hidden="1" customHeight="1" outlineLevel="1">
      <c r="A85" s="59" t="s">
        <v>169</v>
      </c>
      <c r="B85" s="65">
        <v>80</v>
      </c>
      <c r="C85" s="233">
        <v>2556434092</v>
      </c>
      <c r="D85" s="233">
        <v>2577854335</v>
      </c>
      <c r="E85" s="233">
        <v>2259710246.8600001</v>
      </c>
      <c r="F85" s="233">
        <v>1897167666.882</v>
      </c>
      <c r="G85" s="233">
        <v>1542734518</v>
      </c>
      <c r="H85" s="233">
        <v>1914630683</v>
      </c>
      <c r="I85" s="233">
        <v>1652974650</v>
      </c>
      <c r="J85" s="233">
        <v>4156203795</v>
      </c>
      <c r="K85" s="233">
        <v>5165309039</v>
      </c>
      <c r="L85" s="233">
        <v>7367909599</v>
      </c>
      <c r="M85" s="233">
        <v>7388025264</v>
      </c>
      <c r="N85" s="234">
        <v>7095909098.4820004</v>
      </c>
      <c r="O85" s="234">
        <v>6926134439</v>
      </c>
      <c r="P85" s="234">
        <v>8589719617</v>
      </c>
      <c r="Q85" s="234">
        <v>7887541516.4820004</v>
      </c>
      <c r="R85" s="234">
        <v>7241996158</v>
      </c>
      <c r="S85" s="234">
        <v>7149695232</v>
      </c>
      <c r="T85" s="234">
        <v>7646262087.4820004</v>
      </c>
      <c r="U85" s="234">
        <v>7836951141.4820995</v>
      </c>
      <c r="V85" s="234">
        <v>9460318517.4820995</v>
      </c>
      <c r="W85" s="234">
        <f>+SUM(W86:W100)</f>
        <v>7152157174.4820004</v>
      </c>
      <c r="X85" s="234">
        <v>6812390688.4820004</v>
      </c>
      <c r="Y85" s="234">
        <v>7301310031.4820004</v>
      </c>
      <c r="Z85" s="234">
        <v>7495847126</v>
      </c>
      <c r="AA85" s="234">
        <f>SUMIFS([1]!Data_BS[Value],[1]!Data_BS[Index BS],'Khanh Nga'!$B85,[1]!Data_BS[TenCongTyID],'Khanh Nga'!$B$1,[1]!Data_BS[Thang.Nam],'Khanh Nga'!AA$5)</f>
        <v>0</v>
      </c>
      <c r="AB85" s="234">
        <f>SUMIFS([1]!Data_BS[Value],[1]!Data_BS[Index BS],'Khanh Nga'!$B85,[1]!Data_BS[TenCongTyID],'Khanh Nga'!$B$1,[1]!Data_BS[Thang.Nam],'Khanh Nga'!AB$5)</f>
        <v>0</v>
      </c>
      <c r="AC85" s="234">
        <f>SUMIFS([1]!Data_BS[Value],[1]!Data_BS[Index BS],'Khanh Nga'!$B85,[1]!Data_BS[TenCongTyID],'Khanh Nga'!$B$1,[1]!Data_BS[Thang.Nam],'Khanh Nga'!AC$5)</f>
        <v>0</v>
      </c>
      <c r="AD85" s="234">
        <f>SUMIFS([1]!Data_BS[Value],[1]!Data_BS[Index BS],'Khanh Nga'!$B85,[1]!Data_BS[TenCongTyID],'Khanh Nga'!$B$1,[1]!Data_BS[Thang.Nam],'Khanh Nga'!AD$5)</f>
        <v>0</v>
      </c>
      <c r="AE85" s="234">
        <f>SUMIFS([1]!Data_BS[Value],[1]!Data_BS[Index BS],'Khanh Nga'!$B85,[1]!Data_BS[TenCongTyID],'Khanh Nga'!$B$1,[1]!Data_BS[Thang.Nam],'Khanh Nga'!AE$5)</f>
        <v>0</v>
      </c>
      <c r="AF85" s="234">
        <f>SUMIFS([1]!Data_BS[Value],[1]!Data_BS[Index BS],'Khanh Nga'!$B85,[1]!Data_BS[TenCongTyID],'Khanh Nga'!$B$1,[1]!Data_BS[Thang.Nam],'Khanh Nga'!AF$5)</f>
        <v>0</v>
      </c>
      <c r="AG85" s="234">
        <f>SUMIFS([1]!Data_BS[Value],[1]!Data_BS[Index BS],'Khanh Nga'!$B85,[1]!Data_BS[TenCongTyID],'Khanh Nga'!$B$1,[1]!Data_BS[Thang.Nam],'Khanh Nga'!AG$5)</f>
        <v>0</v>
      </c>
      <c r="AH85" s="234">
        <f>SUMIFS([1]!Data_BS[Value],[1]!Data_BS[Index BS],'Khanh Nga'!$B85,[1]!Data_BS[TenCongTyID],'Khanh Nga'!$B$1,[1]!Data_BS[Thang.Nam],'Khanh Nga'!AH$5)</f>
        <v>0</v>
      </c>
      <c r="AI85" s="234">
        <f>SUMIFS([1]!Data_BS[Value],[1]!Data_BS[Index BS],'Khanh Nga'!$B85,[1]!Data_BS[TenCongTyID],'Khanh Nga'!$B$1,[1]!Data_BS[Thang.Nam],'Khanh Nga'!AI$5)</f>
        <v>0</v>
      </c>
      <c r="AJ85" s="234">
        <f>SUMIFS([1]!Data_BS[Value],[1]!Data_BS[Index BS],'Khanh Nga'!$B85,[1]!Data_BS[TenCongTyID],'Khanh Nga'!$B$1,[1]!Data_BS[Thang.Nam],'Khanh Nga'!AJ$5)</f>
        <v>0</v>
      </c>
      <c r="AK85" s="234">
        <f>SUMIFS([1]!Data_BS[Value],[1]!Data_BS[Index BS],'Khanh Nga'!$B85,[1]!Data_BS[TenCongTyID],'Khanh Nga'!$B$1,[1]!Data_BS[Thang.Nam],'Khanh Nga'!AK$5)</f>
        <v>0</v>
      </c>
      <c r="AL85" s="234">
        <f>SUMIFS([1]!Data_BS[Value],[1]!Data_BS[Index BS],'Khanh Nga'!$B85,[1]!Data_BS[TenCongTyID],'Khanh Nga'!$B$1,[1]!Data_BS[Thang.Nam],'Khanh Nga'!AL$5)</f>
        <v>0</v>
      </c>
    </row>
    <row r="86" spans="1:38" ht="15" hidden="1" customHeight="1" outlineLevel="1">
      <c r="A86" s="67" t="s">
        <v>170</v>
      </c>
      <c r="B86" s="63">
        <v>81</v>
      </c>
      <c r="C86" s="229">
        <v>1070901562</v>
      </c>
      <c r="D86" s="229">
        <v>861055427</v>
      </c>
      <c r="E86" s="229">
        <v>990894728</v>
      </c>
      <c r="F86" s="229">
        <v>774349943</v>
      </c>
      <c r="G86" s="229">
        <v>315685573</v>
      </c>
      <c r="H86" s="229">
        <v>618910107</v>
      </c>
      <c r="I86" s="229">
        <v>477447541</v>
      </c>
      <c r="J86" s="229">
        <v>506153906</v>
      </c>
      <c r="K86" s="229">
        <v>706853161</v>
      </c>
      <c r="L86" s="229">
        <v>1093861672</v>
      </c>
      <c r="M86" s="229">
        <v>976365294</v>
      </c>
      <c r="N86" s="229">
        <v>769690713</v>
      </c>
      <c r="O86" s="229">
        <v>1328770757</v>
      </c>
      <c r="P86" s="229">
        <v>1782507597</v>
      </c>
      <c r="Q86" s="229">
        <v>1035365592</v>
      </c>
      <c r="R86" s="229">
        <v>764560324</v>
      </c>
      <c r="S86" s="229">
        <v>650480649</v>
      </c>
      <c r="T86" s="229">
        <v>796115187</v>
      </c>
      <c r="U86" s="229">
        <v>563159702</v>
      </c>
      <c r="V86" s="229">
        <v>1070381192</v>
      </c>
      <c r="W86" s="229">
        <v>463035812</v>
      </c>
      <c r="X86" s="229">
        <v>359756979</v>
      </c>
      <c r="Y86" s="229">
        <v>696620900</v>
      </c>
      <c r="Z86" s="229">
        <v>586652262</v>
      </c>
      <c r="AA86" s="229">
        <f>SUMIFS([1]!Data_BS[Value],[1]!Data_BS[Index BS],'Khanh Nga'!$B86,[1]!Data_BS[TenCongTyID],'Khanh Nga'!$B$1,[1]!Data_BS[Thang.Nam],'Khanh Nga'!AA$5)</f>
        <v>0</v>
      </c>
      <c r="AB86" s="229">
        <f>SUMIFS([1]!Data_BS[Value],[1]!Data_BS[Index BS],'Khanh Nga'!$B86,[1]!Data_BS[TenCongTyID],'Khanh Nga'!$B$1,[1]!Data_BS[Thang.Nam],'Khanh Nga'!AB$5)</f>
        <v>0</v>
      </c>
      <c r="AC86" s="229">
        <f>SUMIFS([1]!Data_BS[Value],[1]!Data_BS[Index BS],'Khanh Nga'!$B86,[1]!Data_BS[TenCongTyID],'Khanh Nga'!$B$1,[1]!Data_BS[Thang.Nam],'Khanh Nga'!AC$5)</f>
        <v>0</v>
      </c>
      <c r="AD86" s="229">
        <f>SUMIFS([1]!Data_BS[Value],[1]!Data_BS[Index BS],'Khanh Nga'!$B86,[1]!Data_BS[TenCongTyID],'Khanh Nga'!$B$1,[1]!Data_BS[Thang.Nam],'Khanh Nga'!AD$5)</f>
        <v>0</v>
      </c>
      <c r="AE86" s="229">
        <f>SUMIFS([1]!Data_BS[Value],[1]!Data_BS[Index BS],'Khanh Nga'!$B86,[1]!Data_BS[TenCongTyID],'Khanh Nga'!$B$1,[1]!Data_BS[Thang.Nam],'Khanh Nga'!AE$5)</f>
        <v>0</v>
      </c>
      <c r="AF86" s="229">
        <f>SUMIFS([1]!Data_BS[Value],[1]!Data_BS[Index BS],'Khanh Nga'!$B86,[1]!Data_BS[TenCongTyID],'Khanh Nga'!$B$1,[1]!Data_BS[Thang.Nam],'Khanh Nga'!AF$5)</f>
        <v>0</v>
      </c>
      <c r="AG86" s="229">
        <f>SUMIFS([1]!Data_BS[Value],[1]!Data_BS[Index BS],'Khanh Nga'!$B86,[1]!Data_BS[TenCongTyID],'Khanh Nga'!$B$1,[1]!Data_BS[Thang.Nam],'Khanh Nga'!AG$5)</f>
        <v>0</v>
      </c>
      <c r="AH86" s="229">
        <f>SUMIFS([1]!Data_BS[Value],[1]!Data_BS[Index BS],'Khanh Nga'!$B86,[1]!Data_BS[TenCongTyID],'Khanh Nga'!$B$1,[1]!Data_BS[Thang.Nam],'Khanh Nga'!AH$5)</f>
        <v>0</v>
      </c>
      <c r="AI86" s="229">
        <f>SUMIFS([1]!Data_BS[Value],[1]!Data_BS[Index BS],'Khanh Nga'!$B86,[1]!Data_BS[TenCongTyID],'Khanh Nga'!$B$1,[1]!Data_BS[Thang.Nam],'Khanh Nga'!AI$5)</f>
        <v>0</v>
      </c>
      <c r="AJ86" s="229">
        <f>SUMIFS([1]!Data_BS[Value],[1]!Data_BS[Index BS],'Khanh Nga'!$B86,[1]!Data_BS[TenCongTyID],'Khanh Nga'!$B$1,[1]!Data_BS[Thang.Nam],'Khanh Nga'!AJ$5)</f>
        <v>0</v>
      </c>
      <c r="AK86" s="229">
        <f>SUMIFS([1]!Data_BS[Value],[1]!Data_BS[Index BS],'Khanh Nga'!$B86,[1]!Data_BS[TenCongTyID],'Khanh Nga'!$B$1,[1]!Data_BS[Thang.Nam],'Khanh Nga'!AK$5)</f>
        <v>0</v>
      </c>
      <c r="AL86" s="229">
        <f>SUMIFS([1]!Data_BS[Value],[1]!Data_BS[Index BS],'Khanh Nga'!$B86,[1]!Data_BS[TenCongTyID],'Khanh Nga'!$B$1,[1]!Data_BS[Thang.Nam],'Khanh Nga'!AL$5)</f>
        <v>0</v>
      </c>
    </row>
    <row r="87" spans="1:38" ht="15" hidden="1" customHeight="1" outlineLevel="1">
      <c r="A87" s="67" t="s">
        <v>171</v>
      </c>
      <c r="B87" s="63">
        <v>82</v>
      </c>
      <c r="C87" s="229">
        <v>0</v>
      </c>
      <c r="D87" s="229">
        <v>0</v>
      </c>
      <c r="E87" s="229">
        <v>0</v>
      </c>
      <c r="F87" s="229">
        <v>0</v>
      </c>
      <c r="G87" s="229">
        <v>3931200</v>
      </c>
      <c r="H87" s="229">
        <v>0</v>
      </c>
      <c r="I87" s="229">
        <v>0</v>
      </c>
      <c r="J87" s="229">
        <v>0</v>
      </c>
      <c r="K87" s="229">
        <v>0</v>
      </c>
      <c r="L87" s="229">
        <v>2259000</v>
      </c>
      <c r="M87" s="229">
        <v>0</v>
      </c>
      <c r="N87" s="229">
        <v>0</v>
      </c>
      <c r="O87" s="229">
        <v>3889</v>
      </c>
      <c r="P87" s="229">
        <v>935623988</v>
      </c>
      <c r="Q87" s="229">
        <v>395221564</v>
      </c>
      <c r="R87" s="229">
        <v>561024640</v>
      </c>
      <c r="S87" s="229">
        <v>0</v>
      </c>
      <c r="T87" s="229">
        <v>75706847</v>
      </c>
      <c r="U87" s="229">
        <v>295549202</v>
      </c>
      <c r="V87" s="229">
        <v>1597111967</v>
      </c>
      <c r="W87" s="229">
        <v>0</v>
      </c>
      <c r="X87" s="229">
        <v>2175000</v>
      </c>
      <c r="Y87" s="229">
        <v>2175000</v>
      </c>
      <c r="Z87" s="229">
        <v>0</v>
      </c>
      <c r="AA87" s="229">
        <f>SUMIFS([1]!Data_BS[Value],[1]!Data_BS[Index BS],'Khanh Nga'!$B87,[1]!Data_BS[TenCongTyID],'Khanh Nga'!$B$1,[1]!Data_BS[Thang.Nam],'Khanh Nga'!AA$5)</f>
        <v>0</v>
      </c>
      <c r="AB87" s="229">
        <f>SUMIFS([1]!Data_BS[Value],[1]!Data_BS[Index BS],'Khanh Nga'!$B87,[1]!Data_BS[TenCongTyID],'Khanh Nga'!$B$1,[1]!Data_BS[Thang.Nam],'Khanh Nga'!AB$5)</f>
        <v>0</v>
      </c>
      <c r="AC87" s="229">
        <f>SUMIFS([1]!Data_BS[Value],[1]!Data_BS[Index BS],'Khanh Nga'!$B87,[1]!Data_BS[TenCongTyID],'Khanh Nga'!$B$1,[1]!Data_BS[Thang.Nam],'Khanh Nga'!AC$5)</f>
        <v>0</v>
      </c>
      <c r="AD87" s="229">
        <f>SUMIFS([1]!Data_BS[Value],[1]!Data_BS[Index BS],'Khanh Nga'!$B87,[1]!Data_BS[TenCongTyID],'Khanh Nga'!$B$1,[1]!Data_BS[Thang.Nam],'Khanh Nga'!AD$5)</f>
        <v>0</v>
      </c>
      <c r="AE87" s="229">
        <f>SUMIFS([1]!Data_BS[Value],[1]!Data_BS[Index BS],'Khanh Nga'!$B87,[1]!Data_BS[TenCongTyID],'Khanh Nga'!$B$1,[1]!Data_BS[Thang.Nam],'Khanh Nga'!AE$5)</f>
        <v>0</v>
      </c>
      <c r="AF87" s="229">
        <f>SUMIFS([1]!Data_BS[Value],[1]!Data_BS[Index BS],'Khanh Nga'!$B87,[1]!Data_BS[TenCongTyID],'Khanh Nga'!$B$1,[1]!Data_BS[Thang.Nam],'Khanh Nga'!AF$5)</f>
        <v>0</v>
      </c>
      <c r="AG87" s="229">
        <f>SUMIFS([1]!Data_BS[Value],[1]!Data_BS[Index BS],'Khanh Nga'!$B87,[1]!Data_BS[TenCongTyID],'Khanh Nga'!$B$1,[1]!Data_BS[Thang.Nam],'Khanh Nga'!AG$5)</f>
        <v>0</v>
      </c>
      <c r="AH87" s="229">
        <f>SUMIFS([1]!Data_BS[Value],[1]!Data_BS[Index BS],'Khanh Nga'!$B87,[1]!Data_BS[TenCongTyID],'Khanh Nga'!$B$1,[1]!Data_BS[Thang.Nam],'Khanh Nga'!AH$5)</f>
        <v>0</v>
      </c>
      <c r="AI87" s="229">
        <f>SUMIFS([1]!Data_BS[Value],[1]!Data_BS[Index BS],'Khanh Nga'!$B87,[1]!Data_BS[TenCongTyID],'Khanh Nga'!$B$1,[1]!Data_BS[Thang.Nam],'Khanh Nga'!AI$5)</f>
        <v>0</v>
      </c>
      <c r="AJ87" s="229">
        <f>SUMIFS([1]!Data_BS[Value],[1]!Data_BS[Index BS],'Khanh Nga'!$B87,[1]!Data_BS[TenCongTyID],'Khanh Nga'!$B$1,[1]!Data_BS[Thang.Nam],'Khanh Nga'!AJ$5)</f>
        <v>0</v>
      </c>
      <c r="AK87" s="229">
        <f>SUMIFS([1]!Data_BS[Value],[1]!Data_BS[Index BS],'Khanh Nga'!$B87,[1]!Data_BS[TenCongTyID],'Khanh Nga'!$B$1,[1]!Data_BS[Thang.Nam],'Khanh Nga'!AK$5)</f>
        <v>0</v>
      </c>
      <c r="AL87" s="229">
        <f>SUMIFS([1]!Data_BS[Value],[1]!Data_BS[Index BS],'Khanh Nga'!$B87,[1]!Data_BS[TenCongTyID],'Khanh Nga'!$B$1,[1]!Data_BS[Thang.Nam],'Khanh Nga'!AL$5)</f>
        <v>0</v>
      </c>
    </row>
    <row r="88" spans="1:38" ht="15" hidden="1" customHeight="1" outlineLevel="1">
      <c r="A88" s="67" t="s">
        <v>172</v>
      </c>
      <c r="B88" s="63">
        <v>83</v>
      </c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>
        <v>0</v>
      </c>
      <c r="AA88" s="229">
        <f>SUMIFS([1]!Data_BS[Value],[1]!Data_BS[Index BS],'Khanh Nga'!$B88,[1]!Data_BS[TenCongTyID],'Khanh Nga'!$B$1,[1]!Data_BS[Thang.Nam],'Khanh Nga'!AA$5)</f>
        <v>0</v>
      </c>
      <c r="AB88" s="229">
        <f>SUMIFS([1]!Data_BS[Value],[1]!Data_BS[Index BS],'Khanh Nga'!$B88,[1]!Data_BS[TenCongTyID],'Khanh Nga'!$B$1,[1]!Data_BS[Thang.Nam],'Khanh Nga'!AB$5)</f>
        <v>0</v>
      </c>
      <c r="AC88" s="229">
        <f>SUMIFS([1]!Data_BS[Value],[1]!Data_BS[Index BS],'Khanh Nga'!$B88,[1]!Data_BS[TenCongTyID],'Khanh Nga'!$B$1,[1]!Data_BS[Thang.Nam],'Khanh Nga'!AC$5)</f>
        <v>0</v>
      </c>
      <c r="AD88" s="229">
        <f>SUMIFS([1]!Data_BS[Value],[1]!Data_BS[Index BS],'Khanh Nga'!$B88,[1]!Data_BS[TenCongTyID],'Khanh Nga'!$B$1,[1]!Data_BS[Thang.Nam],'Khanh Nga'!AD$5)</f>
        <v>0</v>
      </c>
      <c r="AE88" s="229">
        <f>SUMIFS([1]!Data_BS[Value],[1]!Data_BS[Index BS],'Khanh Nga'!$B88,[1]!Data_BS[TenCongTyID],'Khanh Nga'!$B$1,[1]!Data_BS[Thang.Nam],'Khanh Nga'!AE$5)</f>
        <v>0</v>
      </c>
      <c r="AF88" s="229">
        <f>SUMIFS([1]!Data_BS[Value],[1]!Data_BS[Index BS],'Khanh Nga'!$B88,[1]!Data_BS[TenCongTyID],'Khanh Nga'!$B$1,[1]!Data_BS[Thang.Nam],'Khanh Nga'!AF$5)</f>
        <v>0</v>
      </c>
      <c r="AG88" s="229">
        <f>SUMIFS([1]!Data_BS[Value],[1]!Data_BS[Index BS],'Khanh Nga'!$B88,[1]!Data_BS[TenCongTyID],'Khanh Nga'!$B$1,[1]!Data_BS[Thang.Nam],'Khanh Nga'!AG$5)</f>
        <v>0</v>
      </c>
      <c r="AH88" s="229">
        <f>SUMIFS([1]!Data_BS[Value],[1]!Data_BS[Index BS],'Khanh Nga'!$B88,[1]!Data_BS[TenCongTyID],'Khanh Nga'!$B$1,[1]!Data_BS[Thang.Nam],'Khanh Nga'!AH$5)</f>
        <v>0</v>
      </c>
      <c r="AI88" s="229">
        <f>SUMIFS([1]!Data_BS[Value],[1]!Data_BS[Index BS],'Khanh Nga'!$B88,[1]!Data_BS[TenCongTyID],'Khanh Nga'!$B$1,[1]!Data_BS[Thang.Nam],'Khanh Nga'!AI$5)</f>
        <v>0</v>
      </c>
      <c r="AJ88" s="229">
        <f>SUMIFS([1]!Data_BS[Value],[1]!Data_BS[Index BS],'Khanh Nga'!$B88,[1]!Data_BS[TenCongTyID],'Khanh Nga'!$B$1,[1]!Data_BS[Thang.Nam],'Khanh Nga'!AJ$5)</f>
        <v>0</v>
      </c>
      <c r="AK88" s="229">
        <f>SUMIFS([1]!Data_BS[Value],[1]!Data_BS[Index BS],'Khanh Nga'!$B88,[1]!Data_BS[TenCongTyID],'Khanh Nga'!$B$1,[1]!Data_BS[Thang.Nam],'Khanh Nga'!AK$5)</f>
        <v>0</v>
      </c>
      <c r="AL88" s="229">
        <f>SUMIFS([1]!Data_BS[Value],[1]!Data_BS[Index BS],'Khanh Nga'!$B88,[1]!Data_BS[TenCongTyID],'Khanh Nga'!$B$1,[1]!Data_BS[Thang.Nam],'Khanh Nga'!AL$5)</f>
        <v>0</v>
      </c>
    </row>
    <row r="89" spans="1:38" ht="15" hidden="1" customHeight="1" outlineLevel="1">
      <c r="A89" s="67" t="s">
        <v>173</v>
      </c>
      <c r="B89" s="63">
        <v>84</v>
      </c>
      <c r="C89" s="229">
        <v>517847086</v>
      </c>
      <c r="D89" s="229">
        <v>993092695</v>
      </c>
      <c r="E89" s="229">
        <v>609933284</v>
      </c>
      <c r="F89" s="229">
        <v>409202850</v>
      </c>
      <c r="G89" s="229">
        <v>578698797</v>
      </c>
      <c r="H89" s="229">
        <v>573375362</v>
      </c>
      <c r="I89" s="229">
        <v>411381783</v>
      </c>
      <c r="J89" s="229">
        <v>422291225</v>
      </c>
      <c r="K89" s="229">
        <v>777645873</v>
      </c>
      <c r="L89" s="229">
        <v>369381092</v>
      </c>
      <c r="M89" s="229">
        <v>492866919</v>
      </c>
      <c r="N89" s="229">
        <v>392383461</v>
      </c>
      <c r="O89" s="229">
        <v>253453023</v>
      </c>
      <c r="P89" s="229">
        <v>300402206</v>
      </c>
      <c r="Q89" s="229">
        <v>622508135</v>
      </c>
      <c r="R89" s="229">
        <v>653997696</v>
      </c>
      <c r="S89" s="229">
        <v>653616684</v>
      </c>
      <c r="T89" s="229">
        <v>683372003</v>
      </c>
      <c r="U89" s="229">
        <v>1021209650</v>
      </c>
      <c r="V89" s="229">
        <v>933182630</v>
      </c>
      <c r="W89" s="229">
        <v>688991869</v>
      </c>
      <c r="X89" s="229">
        <v>594781737</v>
      </c>
      <c r="Y89" s="229">
        <v>512252408</v>
      </c>
      <c r="Z89" s="229">
        <v>696429123</v>
      </c>
      <c r="AA89" s="229">
        <f>SUMIFS([1]!Data_BS[Value],[1]!Data_BS[Index BS],'Khanh Nga'!$B89,[1]!Data_BS[TenCongTyID],'Khanh Nga'!$B$1,[1]!Data_BS[Thang.Nam],'Khanh Nga'!AA$5)</f>
        <v>0</v>
      </c>
      <c r="AB89" s="229">
        <f>SUMIFS([1]!Data_BS[Value],[1]!Data_BS[Index BS],'Khanh Nga'!$B89,[1]!Data_BS[TenCongTyID],'Khanh Nga'!$B$1,[1]!Data_BS[Thang.Nam],'Khanh Nga'!AB$5)</f>
        <v>0</v>
      </c>
      <c r="AC89" s="229">
        <f>SUMIFS([1]!Data_BS[Value],[1]!Data_BS[Index BS],'Khanh Nga'!$B89,[1]!Data_BS[TenCongTyID],'Khanh Nga'!$B$1,[1]!Data_BS[Thang.Nam],'Khanh Nga'!AC$5)</f>
        <v>0</v>
      </c>
      <c r="AD89" s="229">
        <f>SUMIFS([1]!Data_BS[Value],[1]!Data_BS[Index BS],'Khanh Nga'!$B89,[1]!Data_BS[TenCongTyID],'Khanh Nga'!$B$1,[1]!Data_BS[Thang.Nam],'Khanh Nga'!AD$5)</f>
        <v>0</v>
      </c>
      <c r="AE89" s="229">
        <f>SUMIFS([1]!Data_BS[Value],[1]!Data_BS[Index BS],'Khanh Nga'!$B89,[1]!Data_BS[TenCongTyID],'Khanh Nga'!$B$1,[1]!Data_BS[Thang.Nam],'Khanh Nga'!AE$5)</f>
        <v>0</v>
      </c>
      <c r="AF89" s="229">
        <f>SUMIFS([1]!Data_BS[Value],[1]!Data_BS[Index BS],'Khanh Nga'!$B89,[1]!Data_BS[TenCongTyID],'Khanh Nga'!$B$1,[1]!Data_BS[Thang.Nam],'Khanh Nga'!AF$5)</f>
        <v>0</v>
      </c>
      <c r="AG89" s="229">
        <f>SUMIFS([1]!Data_BS[Value],[1]!Data_BS[Index BS],'Khanh Nga'!$B89,[1]!Data_BS[TenCongTyID],'Khanh Nga'!$B$1,[1]!Data_BS[Thang.Nam],'Khanh Nga'!AG$5)</f>
        <v>0</v>
      </c>
      <c r="AH89" s="229">
        <f>SUMIFS([1]!Data_BS[Value],[1]!Data_BS[Index BS],'Khanh Nga'!$B89,[1]!Data_BS[TenCongTyID],'Khanh Nga'!$B$1,[1]!Data_BS[Thang.Nam],'Khanh Nga'!AH$5)</f>
        <v>0</v>
      </c>
      <c r="AI89" s="229">
        <f>SUMIFS([1]!Data_BS[Value],[1]!Data_BS[Index BS],'Khanh Nga'!$B89,[1]!Data_BS[TenCongTyID],'Khanh Nga'!$B$1,[1]!Data_BS[Thang.Nam],'Khanh Nga'!AI$5)</f>
        <v>0</v>
      </c>
      <c r="AJ89" s="229">
        <f>SUMIFS([1]!Data_BS[Value],[1]!Data_BS[Index BS],'Khanh Nga'!$B89,[1]!Data_BS[TenCongTyID],'Khanh Nga'!$B$1,[1]!Data_BS[Thang.Nam],'Khanh Nga'!AJ$5)</f>
        <v>0</v>
      </c>
      <c r="AK89" s="229">
        <f>SUMIFS([1]!Data_BS[Value],[1]!Data_BS[Index BS],'Khanh Nga'!$B89,[1]!Data_BS[TenCongTyID],'Khanh Nga'!$B$1,[1]!Data_BS[Thang.Nam],'Khanh Nga'!AK$5)</f>
        <v>0</v>
      </c>
      <c r="AL89" s="229">
        <f>SUMIFS([1]!Data_BS[Value],[1]!Data_BS[Index BS],'Khanh Nga'!$B89,[1]!Data_BS[TenCongTyID],'Khanh Nga'!$B$1,[1]!Data_BS[Thang.Nam],'Khanh Nga'!AL$5)</f>
        <v>0</v>
      </c>
    </row>
    <row r="90" spans="1:38" ht="15" hidden="1" customHeight="1" outlineLevel="1">
      <c r="A90" s="67" t="s">
        <v>174</v>
      </c>
      <c r="B90" s="63">
        <v>85</v>
      </c>
      <c r="C90" s="229">
        <v>239876792</v>
      </c>
      <c r="D90" s="229">
        <v>355019549</v>
      </c>
      <c r="E90" s="229">
        <v>265367379</v>
      </c>
      <c r="F90" s="229">
        <v>298971060</v>
      </c>
      <c r="G90" s="229">
        <v>253849870</v>
      </c>
      <c r="H90" s="229">
        <v>265416668</v>
      </c>
      <c r="I90" s="229">
        <v>207591009</v>
      </c>
      <c r="J90" s="229">
        <v>0</v>
      </c>
      <c r="K90" s="229">
        <v>250618975</v>
      </c>
      <c r="L90" s="229">
        <v>268572990</v>
      </c>
      <c r="M90" s="229">
        <v>300465610</v>
      </c>
      <c r="N90" s="229">
        <v>245290645</v>
      </c>
      <c r="O90" s="229">
        <v>349374442</v>
      </c>
      <c r="P90" s="229">
        <v>371808098</v>
      </c>
      <c r="Q90" s="229">
        <v>335260391</v>
      </c>
      <c r="R90" s="229">
        <v>12315383</v>
      </c>
      <c r="S90" s="229">
        <v>382071524</v>
      </c>
      <c r="T90" s="229">
        <v>358536919</v>
      </c>
      <c r="U90" s="229">
        <v>378188504</v>
      </c>
      <c r="V90" s="229">
        <v>366269515</v>
      </c>
      <c r="W90" s="229">
        <v>369107766</v>
      </c>
      <c r="X90" s="229">
        <v>365136757</v>
      </c>
      <c r="Y90" s="229">
        <v>366870599</v>
      </c>
      <c r="Z90" s="229">
        <v>425463154</v>
      </c>
      <c r="AA90" s="229">
        <f>SUMIFS([1]!Data_BS[Value],[1]!Data_BS[Index BS],'Khanh Nga'!$B90,[1]!Data_BS[TenCongTyID],'Khanh Nga'!$B$1,[1]!Data_BS[Thang.Nam],'Khanh Nga'!AA$5)</f>
        <v>0</v>
      </c>
      <c r="AB90" s="229">
        <f>SUMIFS([1]!Data_BS[Value],[1]!Data_BS[Index BS],'Khanh Nga'!$B90,[1]!Data_BS[TenCongTyID],'Khanh Nga'!$B$1,[1]!Data_BS[Thang.Nam],'Khanh Nga'!AB$5)</f>
        <v>0</v>
      </c>
      <c r="AC90" s="229">
        <f>SUMIFS([1]!Data_BS[Value],[1]!Data_BS[Index BS],'Khanh Nga'!$B90,[1]!Data_BS[TenCongTyID],'Khanh Nga'!$B$1,[1]!Data_BS[Thang.Nam],'Khanh Nga'!AC$5)</f>
        <v>0</v>
      </c>
      <c r="AD90" s="229">
        <f>SUMIFS([1]!Data_BS[Value],[1]!Data_BS[Index BS],'Khanh Nga'!$B90,[1]!Data_BS[TenCongTyID],'Khanh Nga'!$B$1,[1]!Data_BS[Thang.Nam],'Khanh Nga'!AD$5)</f>
        <v>0</v>
      </c>
      <c r="AE90" s="229">
        <f>SUMIFS([1]!Data_BS[Value],[1]!Data_BS[Index BS],'Khanh Nga'!$B90,[1]!Data_BS[TenCongTyID],'Khanh Nga'!$B$1,[1]!Data_BS[Thang.Nam],'Khanh Nga'!AE$5)</f>
        <v>0</v>
      </c>
      <c r="AF90" s="229">
        <f>SUMIFS([1]!Data_BS[Value],[1]!Data_BS[Index BS],'Khanh Nga'!$B90,[1]!Data_BS[TenCongTyID],'Khanh Nga'!$B$1,[1]!Data_BS[Thang.Nam],'Khanh Nga'!AF$5)</f>
        <v>0</v>
      </c>
      <c r="AG90" s="229">
        <f>SUMIFS([1]!Data_BS[Value],[1]!Data_BS[Index BS],'Khanh Nga'!$B90,[1]!Data_BS[TenCongTyID],'Khanh Nga'!$B$1,[1]!Data_BS[Thang.Nam],'Khanh Nga'!AG$5)</f>
        <v>0</v>
      </c>
      <c r="AH90" s="229">
        <f>SUMIFS([1]!Data_BS[Value],[1]!Data_BS[Index BS],'Khanh Nga'!$B90,[1]!Data_BS[TenCongTyID],'Khanh Nga'!$B$1,[1]!Data_BS[Thang.Nam],'Khanh Nga'!AH$5)</f>
        <v>0</v>
      </c>
      <c r="AI90" s="229">
        <f>SUMIFS([1]!Data_BS[Value],[1]!Data_BS[Index BS],'Khanh Nga'!$B90,[1]!Data_BS[TenCongTyID],'Khanh Nga'!$B$1,[1]!Data_BS[Thang.Nam],'Khanh Nga'!AI$5)</f>
        <v>0</v>
      </c>
      <c r="AJ90" s="229">
        <f>SUMIFS([1]!Data_BS[Value],[1]!Data_BS[Index BS],'Khanh Nga'!$B90,[1]!Data_BS[TenCongTyID],'Khanh Nga'!$B$1,[1]!Data_BS[Thang.Nam],'Khanh Nga'!AJ$5)</f>
        <v>0</v>
      </c>
      <c r="AK90" s="229">
        <f>SUMIFS([1]!Data_BS[Value],[1]!Data_BS[Index BS],'Khanh Nga'!$B90,[1]!Data_BS[TenCongTyID],'Khanh Nga'!$B$1,[1]!Data_BS[Thang.Nam],'Khanh Nga'!AK$5)</f>
        <v>0</v>
      </c>
      <c r="AL90" s="229">
        <f>SUMIFS([1]!Data_BS[Value],[1]!Data_BS[Index BS],'Khanh Nga'!$B90,[1]!Data_BS[TenCongTyID],'Khanh Nga'!$B$1,[1]!Data_BS[Thang.Nam],'Khanh Nga'!AL$5)</f>
        <v>0</v>
      </c>
    </row>
    <row r="91" spans="1:38" ht="15" hidden="1" customHeight="1" outlineLevel="1">
      <c r="A91" s="67" t="s">
        <v>175</v>
      </c>
      <c r="B91" s="63">
        <v>86</v>
      </c>
      <c r="C91" s="229">
        <v>500228054</v>
      </c>
      <c r="D91" s="229">
        <v>141106066</v>
      </c>
      <c r="E91" s="229">
        <v>165934257</v>
      </c>
      <c r="F91" s="229">
        <v>187063215</v>
      </c>
      <c r="G91" s="229">
        <v>162988480</v>
      </c>
      <c r="H91" s="229">
        <v>229347948</v>
      </c>
      <c r="I91" s="229">
        <v>328973719</v>
      </c>
      <c r="J91" s="229">
        <v>803066</v>
      </c>
      <c r="K91" s="229">
        <v>202610432</v>
      </c>
      <c r="L91" s="229">
        <v>406254247</v>
      </c>
      <c r="M91" s="229">
        <v>231101622</v>
      </c>
      <c r="N91" s="229">
        <v>460963681</v>
      </c>
      <c r="O91" s="229">
        <v>-233048270</v>
      </c>
      <c r="P91" s="229">
        <v>-28202870</v>
      </c>
      <c r="Q91" s="229">
        <v>271605236</v>
      </c>
      <c r="R91" s="229">
        <v>16717517</v>
      </c>
      <c r="S91" s="229">
        <v>230145777</v>
      </c>
      <c r="T91" s="229">
        <v>504950533</v>
      </c>
      <c r="U91" s="229">
        <v>351263485</v>
      </c>
      <c r="V91" s="229">
        <v>493373213</v>
      </c>
      <c r="W91" s="229">
        <v>631021727</v>
      </c>
      <c r="X91" s="229">
        <v>490405815</v>
      </c>
      <c r="Y91" s="229">
        <v>628422484</v>
      </c>
      <c r="Z91" s="229">
        <v>787302587</v>
      </c>
      <c r="AA91" s="229">
        <f>SUMIFS([1]!Data_BS[Value],[1]!Data_BS[Index BS],'Khanh Nga'!$B91,[1]!Data_BS[TenCongTyID],'Khanh Nga'!$B$1,[1]!Data_BS[Thang.Nam],'Khanh Nga'!AA$5)</f>
        <v>0</v>
      </c>
      <c r="AB91" s="229">
        <f>SUMIFS([1]!Data_BS[Value],[1]!Data_BS[Index BS],'Khanh Nga'!$B91,[1]!Data_BS[TenCongTyID],'Khanh Nga'!$B$1,[1]!Data_BS[Thang.Nam],'Khanh Nga'!AB$5)</f>
        <v>0</v>
      </c>
      <c r="AC91" s="229">
        <f>SUMIFS([1]!Data_BS[Value],[1]!Data_BS[Index BS],'Khanh Nga'!$B91,[1]!Data_BS[TenCongTyID],'Khanh Nga'!$B$1,[1]!Data_BS[Thang.Nam],'Khanh Nga'!AC$5)</f>
        <v>0</v>
      </c>
      <c r="AD91" s="229">
        <f>SUMIFS([1]!Data_BS[Value],[1]!Data_BS[Index BS],'Khanh Nga'!$B91,[1]!Data_BS[TenCongTyID],'Khanh Nga'!$B$1,[1]!Data_BS[Thang.Nam],'Khanh Nga'!AD$5)</f>
        <v>0</v>
      </c>
      <c r="AE91" s="229">
        <f>SUMIFS([1]!Data_BS[Value],[1]!Data_BS[Index BS],'Khanh Nga'!$B91,[1]!Data_BS[TenCongTyID],'Khanh Nga'!$B$1,[1]!Data_BS[Thang.Nam],'Khanh Nga'!AE$5)</f>
        <v>0</v>
      </c>
      <c r="AF91" s="229">
        <f>SUMIFS([1]!Data_BS[Value],[1]!Data_BS[Index BS],'Khanh Nga'!$B91,[1]!Data_BS[TenCongTyID],'Khanh Nga'!$B$1,[1]!Data_BS[Thang.Nam],'Khanh Nga'!AF$5)</f>
        <v>0</v>
      </c>
      <c r="AG91" s="229">
        <f>SUMIFS([1]!Data_BS[Value],[1]!Data_BS[Index BS],'Khanh Nga'!$B91,[1]!Data_BS[TenCongTyID],'Khanh Nga'!$B$1,[1]!Data_BS[Thang.Nam],'Khanh Nga'!AG$5)</f>
        <v>0</v>
      </c>
      <c r="AH91" s="229">
        <f>SUMIFS([1]!Data_BS[Value],[1]!Data_BS[Index BS],'Khanh Nga'!$B91,[1]!Data_BS[TenCongTyID],'Khanh Nga'!$B$1,[1]!Data_BS[Thang.Nam],'Khanh Nga'!AH$5)</f>
        <v>0</v>
      </c>
      <c r="AI91" s="229">
        <f>SUMIFS([1]!Data_BS[Value],[1]!Data_BS[Index BS],'Khanh Nga'!$B91,[1]!Data_BS[TenCongTyID],'Khanh Nga'!$B$1,[1]!Data_BS[Thang.Nam],'Khanh Nga'!AI$5)</f>
        <v>0</v>
      </c>
      <c r="AJ91" s="229">
        <f>SUMIFS([1]!Data_BS[Value],[1]!Data_BS[Index BS],'Khanh Nga'!$B91,[1]!Data_BS[TenCongTyID],'Khanh Nga'!$B$1,[1]!Data_BS[Thang.Nam],'Khanh Nga'!AJ$5)</f>
        <v>0</v>
      </c>
      <c r="AK91" s="229">
        <f>SUMIFS([1]!Data_BS[Value],[1]!Data_BS[Index BS],'Khanh Nga'!$B91,[1]!Data_BS[TenCongTyID],'Khanh Nga'!$B$1,[1]!Data_BS[Thang.Nam],'Khanh Nga'!AK$5)</f>
        <v>0</v>
      </c>
      <c r="AL91" s="229">
        <f>SUMIFS([1]!Data_BS[Value],[1]!Data_BS[Index BS],'Khanh Nga'!$B91,[1]!Data_BS[TenCongTyID],'Khanh Nga'!$B$1,[1]!Data_BS[Thang.Nam],'Khanh Nga'!AL$5)</f>
        <v>0</v>
      </c>
    </row>
    <row r="92" spans="1:38" ht="15" hidden="1" customHeight="1" outlineLevel="1">
      <c r="A92" s="67" t="s">
        <v>176</v>
      </c>
      <c r="B92" s="63">
        <v>87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/>
      <c r="Z92" s="229">
        <v>0</v>
      </c>
      <c r="AA92" s="229">
        <f>SUMIFS([1]!Data_BS[Value],[1]!Data_BS[Index BS],'Khanh Nga'!$B92,[1]!Data_BS[TenCongTyID],'Khanh Nga'!$B$1,[1]!Data_BS[Thang.Nam],'Khanh Nga'!AA$5)</f>
        <v>0</v>
      </c>
      <c r="AB92" s="229">
        <f>SUMIFS([1]!Data_BS[Value],[1]!Data_BS[Index BS],'Khanh Nga'!$B92,[1]!Data_BS[TenCongTyID],'Khanh Nga'!$B$1,[1]!Data_BS[Thang.Nam],'Khanh Nga'!AB$5)</f>
        <v>0</v>
      </c>
      <c r="AC92" s="229">
        <f>SUMIFS([1]!Data_BS[Value],[1]!Data_BS[Index BS],'Khanh Nga'!$B92,[1]!Data_BS[TenCongTyID],'Khanh Nga'!$B$1,[1]!Data_BS[Thang.Nam],'Khanh Nga'!AC$5)</f>
        <v>0</v>
      </c>
      <c r="AD92" s="229">
        <f>SUMIFS([1]!Data_BS[Value],[1]!Data_BS[Index BS],'Khanh Nga'!$B92,[1]!Data_BS[TenCongTyID],'Khanh Nga'!$B$1,[1]!Data_BS[Thang.Nam],'Khanh Nga'!AD$5)</f>
        <v>0</v>
      </c>
      <c r="AE92" s="229">
        <f>SUMIFS([1]!Data_BS[Value],[1]!Data_BS[Index BS],'Khanh Nga'!$B92,[1]!Data_BS[TenCongTyID],'Khanh Nga'!$B$1,[1]!Data_BS[Thang.Nam],'Khanh Nga'!AE$5)</f>
        <v>0</v>
      </c>
      <c r="AF92" s="229">
        <f>SUMIFS([1]!Data_BS[Value],[1]!Data_BS[Index BS],'Khanh Nga'!$B92,[1]!Data_BS[TenCongTyID],'Khanh Nga'!$B$1,[1]!Data_BS[Thang.Nam],'Khanh Nga'!AF$5)</f>
        <v>0</v>
      </c>
      <c r="AG92" s="229">
        <f>SUMIFS([1]!Data_BS[Value],[1]!Data_BS[Index BS],'Khanh Nga'!$B92,[1]!Data_BS[TenCongTyID],'Khanh Nga'!$B$1,[1]!Data_BS[Thang.Nam],'Khanh Nga'!AG$5)</f>
        <v>0</v>
      </c>
      <c r="AH92" s="229">
        <f>SUMIFS([1]!Data_BS[Value],[1]!Data_BS[Index BS],'Khanh Nga'!$B92,[1]!Data_BS[TenCongTyID],'Khanh Nga'!$B$1,[1]!Data_BS[Thang.Nam],'Khanh Nga'!AH$5)</f>
        <v>0</v>
      </c>
      <c r="AI92" s="229">
        <f>SUMIFS([1]!Data_BS[Value],[1]!Data_BS[Index BS],'Khanh Nga'!$B92,[1]!Data_BS[TenCongTyID],'Khanh Nga'!$B$1,[1]!Data_BS[Thang.Nam],'Khanh Nga'!AI$5)</f>
        <v>0</v>
      </c>
      <c r="AJ92" s="229">
        <f>SUMIFS([1]!Data_BS[Value],[1]!Data_BS[Index BS],'Khanh Nga'!$B92,[1]!Data_BS[TenCongTyID],'Khanh Nga'!$B$1,[1]!Data_BS[Thang.Nam],'Khanh Nga'!AJ$5)</f>
        <v>0</v>
      </c>
      <c r="AK92" s="229">
        <f>SUMIFS([1]!Data_BS[Value],[1]!Data_BS[Index BS],'Khanh Nga'!$B92,[1]!Data_BS[TenCongTyID],'Khanh Nga'!$B$1,[1]!Data_BS[Thang.Nam],'Khanh Nga'!AK$5)</f>
        <v>0</v>
      </c>
      <c r="AL92" s="229">
        <f>SUMIFS([1]!Data_BS[Value],[1]!Data_BS[Index BS],'Khanh Nga'!$B92,[1]!Data_BS[TenCongTyID],'Khanh Nga'!$B$1,[1]!Data_BS[Thang.Nam],'Khanh Nga'!AL$5)</f>
        <v>0</v>
      </c>
    </row>
    <row r="93" spans="1:38" ht="15" hidden="1" customHeight="1" outlineLevel="1">
      <c r="A93" s="67" t="s">
        <v>177</v>
      </c>
      <c r="B93" s="63">
        <v>88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/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/>
      <c r="Z93" s="229">
        <v>0</v>
      </c>
      <c r="AA93" s="229">
        <f>SUMIFS([1]!Data_BS[Value],[1]!Data_BS[Index BS],'Khanh Nga'!$B93,[1]!Data_BS[TenCongTyID],'Khanh Nga'!$B$1,[1]!Data_BS[Thang.Nam],'Khanh Nga'!AA$5)</f>
        <v>0</v>
      </c>
      <c r="AB93" s="229">
        <f>SUMIFS([1]!Data_BS[Value],[1]!Data_BS[Index BS],'Khanh Nga'!$B93,[1]!Data_BS[TenCongTyID],'Khanh Nga'!$B$1,[1]!Data_BS[Thang.Nam],'Khanh Nga'!AB$5)</f>
        <v>0</v>
      </c>
      <c r="AC93" s="229">
        <f>SUMIFS([1]!Data_BS[Value],[1]!Data_BS[Index BS],'Khanh Nga'!$B93,[1]!Data_BS[TenCongTyID],'Khanh Nga'!$B$1,[1]!Data_BS[Thang.Nam],'Khanh Nga'!AC$5)</f>
        <v>0</v>
      </c>
      <c r="AD93" s="229">
        <f>SUMIFS([1]!Data_BS[Value],[1]!Data_BS[Index BS],'Khanh Nga'!$B93,[1]!Data_BS[TenCongTyID],'Khanh Nga'!$B$1,[1]!Data_BS[Thang.Nam],'Khanh Nga'!AD$5)</f>
        <v>0</v>
      </c>
      <c r="AE93" s="229">
        <f>SUMIFS([1]!Data_BS[Value],[1]!Data_BS[Index BS],'Khanh Nga'!$B93,[1]!Data_BS[TenCongTyID],'Khanh Nga'!$B$1,[1]!Data_BS[Thang.Nam],'Khanh Nga'!AE$5)</f>
        <v>0</v>
      </c>
      <c r="AF93" s="229">
        <f>SUMIFS([1]!Data_BS[Value],[1]!Data_BS[Index BS],'Khanh Nga'!$B93,[1]!Data_BS[TenCongTyID],'Khanh Nga'!$B$1,[1]!Data_BS[Thang.Nam],'Khanh Nga'!AF$5)</f>
        <v>0</v>
      </c>
      <c r="AG93" s="229">
        <f>SUMIFS([1]!Data_BS[Value],[1]!Data_BS[Index BS],'Khanh Nga'!$B93,[1]!Data_BS[TenCongTyID],'Khanh Nga'!$B$1,[1]!Data_BS[Thang.Nam],'Khanh Nga'!AG$5)</f>
        <v>0</v>
      </c>
      <c r="AH93" s="229">
        <f>SUMIFS([1]!Data_BS[Value],[1]!Data_BS[Index BS],'Khanh Nga'!$B93,[1]!Data_BS[TenCongTyID],'Khanh Nga'!$B$1,[1]!Data_BS[Thang.Nam],'Khanh Nga'!AH$5)</f>
        <v>0</v>
      </c>
      <c r="AI93" s="229">
        <f>SUMIFS([1]!Data_BS[Value],[1]!Data_BS[Index BS],'Khanh Nga'!$B93,[1]!Data_BS[TenCongTyID],'Khanh Nga'!$B$1,[1]!Data_BS[Thang.Nam],'Khanh Nga'!AI$5)</f>
        <v>0</v>
      </c>
      <c r="AJ93" s="229">
        <f>SUMIFS([1]!Data_BS[Value],[1]!Data_BS[Index BS],'Khanh Nga'!$B93,[1]!Data_BS[TenCongTyID],'Khanh Nga'!$B$1,[1]!Data_BS[Thang.Nam],'Khanh Nga'!AJ$5)</f>
        <v>0</v>
      </c>
      <c r="AK93" s="229">
        <f>SUMIFS([1]!Data_BS[Value],[1]!Data_BS[Index BS],'Khanh Nga'!$B93,[1]!Data_BS[TenCongTyID],'Khanh Nga'!$B$1,[1]!Data_BS[Thang.Nam],'Khanh Nga'!AK$5)</f>
        <v>0</v>
      </c>
      <c r="AL93" s="229">
        <f>SUMIFS([1]!Data_BS[Value],[1]!Data_BS[Index BS],'Khanh Nga'!$B93,[1]!Data_BS[TenCongTyID],'Khanh Nga'!$B$1,[1]!Data_BS[Thang.Nam],'Khanh Nga'!AL$5)</f>
        <v>0</v>
      </c>
    </row>
    <row r="94" spans="1:38" ht="15" hidden="1" customHeight="1" outlineLevel="1">
      <c r="A94" s="67" t="s">
        <v>178</v>
      </c>
      <c r="B94" s="63">
        <v>89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/>
      <c r="Z94" s="229">
        <v>0</v>
      </c>
      <c r="AA94" s="229">
        <f>SUMIFS([1]!Data_BS[Value],[1]!Data_BS[Index BS],'Khanh Nga'!$B94,[1]!Data_BS[TenCongTyID],'Khanh Nga'!$B$1,[1]!Data_BS[Thang.Nam],'Khanh Nga'!AA$5)</f>
        <v>0</v>
      </c>
      <c r="AB94" s="229">
        <f>SUMIFS([1]!Data_BS[Value],[1]!Data_BS[Index BS],'Khanh Nga'!$B94,[1]!Data_BS[TenCongTyID],'Khanh Nga'!$B$1,[1]!Data_BS[Thang.Nam],'Khanh Nga'!AB$5)</f>
        <v>0</v>
      </c>
      <c r="AC94" s="229">
        <f>SUMIFS([1]!Data_BS[Value],[1]!Data_BS[Index BS],'Khanh Nga'!$B94,[1]!Data_BS[TenCongTyID],'Khanh Nga'!$B$1,[1]!Data_BS[Thang.Nam],'Khanh Nga'!AC$5)</f>
        <v>0</v>
      </c>
      <c r="AD94" s="229">
        <f>SUMIFS([1]!Data_BS[Value],[1]!Data_BS[Index BS],'Khanh Nga'!$B94,[1]!Data_BS[TenCongTyID],'Khanh Nga'!$B$1,[1]!Data_BS[Thang.Nam],'Khanh Nga'!AD$5)</f>
        <v>0</v>
      </c>
      <c r="AE94" s="229">
        <f>SUMIFS([1]!Data_BS[Value],[1]!Data_BS[Index BS],'Khanh Nga'!$B94,[1]!Data_BS[TenCongTyID],'Khanh Nga'!$B$1,[1]!Data_BS[Thang.Nam],'Khanh Nga'!AE$5)</f>
        <v>0</v>
      </c>
      <c r="AF94" s="229">
        <f>SUMIFS([1]!Data_BS[Value],[1]!Data_BS[Index BS],'Khanh Nga'!$B94,[1]!Data_BS[TenCongTyID],'Khanh Nga'!$B$1,[1]!Data_BS[Thang.Nam],'Khanh Nga'!AF$5)</f>
        <v>0</v>
      </c>
      <c r="AG94" s="229">
        <f>SUMIFS([1]!Data_BS[Value],[1]!Data_BS[Index BS],'Khanh Nga'!$B94,[1]!Data_BS[TenCongTyID],'Khanh Nga'!$B$1,[1]!Data_BS[Thang.Nam],'Khanh Nga'!AG$5)</f>
        <v>0</v>
      </c>
      <c r="AH94" s="229">
        <f>SUMIFS([1]!Data_BS[Value],[1]!Data_BS[Index BS],'Khanh Nga'!$B94,[1]!Data_BS[TenCongTyID],'Khanh Nga'!$B$1,[1]!Data_BS[Thang.Nam],'Khanh Nga'!AH$5)</f>
        <v>0</v>
      </c>
      <c r="AI94" s="229">
        <f>SUMIFS([1]!Data_BS[Value],[1]!Data_BS[Index BS],'Khanh Nga'!$B94,[1]!Data_BS[TenCongTyID],'Khanh Nga'!$B$1,[1]!Data_BS[Thang.Nam],'Khanh Nga'!AI$5)</f>
        <v>0</v>
      </c>
      <c r="AJ94" s="229">
        <f>SUMIFS([1]!Data_BS[Value],[1]!Data_BS[Index BS],'Khanh Nga'!$B94,[1]!Data_BS[TenCongTyID],'Khanh Nga'!$B$1,[1]!Data_BS[Thang.Nam],'Khanh Nga'!AJ$5)</f>
        <v>0</v>
      </c>
      <c r="AK94" s="229">
        <f>SUMIFS([1]!Data_BS[Value],[1]!Data_BS[Index BS],'Khanh Nga'!$B94,[1]!Data_BS[TenCongTyID],'Khanh Nga'!$B$1,[1]!Data_BS[Thang.Nam],'Khanh Nga'!AK$5)</f>
        <v>0</v>
      </c>
      <c r="AL94" s="229">
        <f>SUMIFS([1]!Data_BS[Value],[1]!Data_BS[Index BS],'Khanh Nga'!$B94,[1]!Data_BS[TenCongTyID],'Khanh Nga'!$B$1,[1]!Data_BS[Thang.Nam],'Khanh Nga'!AL$5)</f>
        <v>0</v>
      </c>
    </row>
    <row r="95" spans="1:38" ht="15" hidden="1" customHeight="1" outlineLevel="1">
      <c r="A95" s="67" t="s">
        <v>179</v>
      </c>
      <c r="B95" s="63">
        <v>90</v>
      </c>
      <c r="C95" s="229">
        <v>227580598</v>
      </c>
      <c r="D95" s="229">
        <v>227580598</v>
      </c>
      <c r="E95" s="229">
        <v>227580598.86000001</v>
      </c>
      <c r="F95" s="229">
        <v>227580598.882</v>
      </c>
      <c r="G95" s="229">
        <v>227580598</v>
      </c>
      <c r="H95" s="229">
        <v>227580598</v>
      </c>
      <c r="I95" s="229">
        <v>227580598</v>
      </c>
      <c r="J95" s="229">
        <v>3227580598</v>
      </c>
      <c r="K95" s="229">
        <v>3227580598</v>
      </c>
      <c r="L95" s="229">
        <v>5227580598</v>
      </c>
      <c r="M95" s="229">
        <v>5387225819</v>
      </c>
      <c r="N95" s="229">
        <v>5227580598.4820004</v>
      </c>
      <c r="O95" s="229">
        <v>5227580598</v>
      </c>
      <c r="P95" s="229">
        <v>5227580598</v>
      </c>
      <c r="Q95" s="229">
        <v>5227580598.4820004</v>
      </c>
      <c r="R95" s="229">
        <v>5233380598</v>
      </c>
      <c r="S95" s="229">
        <v>5233380598</v>
      </c>
      <c r="T95" s="229">
        <v>5227580598.4820004</v>
      </c>
      <c r="U95" s="229">
        <v>5227580598.4820995</v>
      </c>
      <c r="V95" s="229">
        <v>5000000000.4820995</v>
      </c>
      <c r="W95" s="229">
        <v>5000000000.4820004</v>
      </c>
      <c r="X95" s="229">
        <v>5000134400.4820004</v>
      </c>
      <c r="Y95" s="229">
        <v>5094968640.4820004</v>
      </c>
      <c r="Z95" s="229">
        <v>5000000000</v>
      </c>
      <c r="AA95" s="229">
        <f>SUMIFS([1]!Data_BS[Value],[1]!Data_BS[Index BS],'Khanh Nga'!$B95,[1]!Data_BS[TenCongTyID],'Khanh Nga'!$B$1,[1]!Data_BS[Thang.Nam],'Khanh Nga'!AA$5)</f>
        <v>0</v>
      </c>
      <c r="AB95" s="229">
        <f>SUMIFS([1]!Data_BS[Value],[1]!Data_BS[Index BS],'Khanh Nga'!$B95,[1]!Data_BS[TenCongTyID],'Khanh Nga'!$B$1,[1]!Data_BS[Thang.Nam],'Khanh Nga'!AB$5)</f>
        <v>0</v>
      </c>
      <c r="AC95" s="229">
        <f>SUMIFS([1]!Data_BS[Value],[1]!Data_BS[Index BS],'Khanh Nga'!$B95,[1]!Data_BS[TenCongTyID],'Khanh Nga'!$B$1,[1]!Data_BS[Thang.Nam],'Khanh Nga'!AC$5)</f>
        <v>0</v>
      </c>
      <c r="AD95" s="229">
        <f>SUMIFS([1]!Data_BS[Value],[1]!Data_BS[Index BS],'Khanh Nga'!$B95,[1]!Data_BS[TenCongTyID],'Khanh Nga'!$B$1,[1]!Data_BS[Thang.Nam],'Khanh Nga'!AD$5)</f>
        <v>0</v>
      </c>
      <c r="AE95" s="229">
        <f>SUMIFS([1]!Data_BS[Value],[1]!Data_BS[Index BS],'Khanh Nga'!$B95,[1]!Data_BS[TenCongTyID],'Khanh Nga'!$B$1,[1]!Data_BS[Thang.Nam],'Khanh Nga'!AE$5)</f>
        <v>0</v>
      </c>
      <c r="AF95" s="229">
        <f>SUMIFS([1]!Data_BS[Value],[1]!Data_BS[Index BS],'Khanh Nga'!$B95,[1]!Data_BS[TenCongTyID],'Khanh Nga'!$B$1,[1]!Data_BS[Thang.Nam],'Khanh Nga'!AF$5)</f>
        <v>0</v>
      </c>
      <c r="AG95" s="229">
        <f>SUMIFS([1]!Data_BS[Value],[1]!Data_BS[Index BS],'Khanh Nga'!$B95,[1]!Data_BS[TenCongTyID],'Khanh Nga'!$B$1,[1]!Data_BS[Thang.Nam],'Khanh Nga'!AG$5)</f>
        <v>0</v>
      </c>
      <c r="AH95" s="229">
        <f>SUMIFS([1]!Data_BS[Value],[1]!Data_BS[Index BS],'Khanh Nga'!$B95,[1]!Data_BS[TenCongTyID],'Khanh Nga'!$B$1,[1]!Data_BS[Thang.Nam],'Khanh Nga'!AH$5)</f>
        <v>0</v>
      </c>
      <c r="AI95" s="229">
        <f>SUMIFS([1]!Data_BS[Value],[1]!Data_BS[Index BS],'Khanh Nga'!$B95,[1]!Data_BS[TenCongTyID],'Khanh Nga'!$B$1,[1]!Data_BS[Thang.Nam],'Khanh Nga'!AI$5)</f>
        <v>0</v>
      </c>
      <c r="AJ95" s="229">
        <f>SUMIFS([1]!Data_BS[Value],[1]!Data_BS[Index BS],'Khanh Nga'!$B95,[1]!Data_BS[TenCongTyID],'Khanh Nga'!$B$1,[1]!Data_BS[Thang.Nam],'Khanh Nga'!AJ$5)</f>
        <v>0</v>
      </c>
      <c r="AK95" s="229">
        <f>SUMIFS([1]!Data_BS[Value],[1]!Data_BS[Index BS],'Khanh Nga'!$B95,[1]!Data_BS[TenCongTyID],'Khanh Nga'!$B$1,[1]!Data_BS[Thang.Nam],'Khanh Nga'!AK$5)</f>
        <v>0</v>
      </c>
      <c r="AL95" s="229">
        <f>SUMIFS([1]!Data_BS[Value],[1]!Data_BS[Index BS],'Khanh Nga'!$B95,[1]!Data_BS[TenCongTyID],'Khanh Nga'!$B$1,[1]!Data_BS[Thang.Nam],'Khanh Nga'!AL$5)</f>
        <v>0</v>
      </c>
    </row>
    <row r="96" spans="1:38" ht="15" hidden="1" customHeight="1" outlineLevel="1">
      <c r="A96" s="67" t="s">
        <v>180</v>
      </c>
      <c r="B96" s="63">
        <v>91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/>
      <c r="X96" s="229">
        <v>0</v>
      </c>
      <c r="Y96" s="229"/>
      <c r="Z96" s="229">
        <v>0</v>
      </c>
      <c r="AA96" s="229">
        <f>SUMIFS([1]!Data_BS[Value],[1]!Data_BS[Index BS],'Khanh Nga'!$B96,[1]!Data_BS[TenCongTyID],'Khanh Nga'!$B$1,[1]!Data_BS[Thang.Nam],'Khanh Nga'!AA$5)</f>
        <v>0</v>
      </c>
      <c r="AB96" s="229">
        <f>SUMIFS([1]!Data_BS[Value],[1]!Data_BS[Index BS],'Khanh Nga'!$B96,[1]!Data_BS[TenCongTyID],'Khanh Nga'!$B$1,[1]!Data_BS[Thang.Nam],'Khanh Nga'!AB$5)</f>
        <v>0</v>
      </c>
      <c r="AC96" s="229">
        <f>SUMIFS([1]!Data_BS[Value],[1]!Data_BS[Index BS],'Khanh Nga'!$B96,[1]!Data_BS[TenCongTyID],'Khanh Nga'!$B$1,[1]!Data_BS[Thang.Nam],'Khanh Nga'!AC$5)</f>
        <v>0</v>
      </c>
      <c r="AD96" s="229">
        <f>SUMIFS([1]!Data_BS[Value],[1]!Data_BS[Index BS],'Khanh Nga'!$B96,[1]!Data_BS[TenCongTyID],'Khanh Nga'!$B$1,[1]!Data_BS[Thang.Nam],'Khanh Nga'!AD$5)</f>
        <v>0</v>
      </c>
      <c r="AE96" s="229">
        <f>SUMIFS([1]!Data_BS[Value],[1]!Data_BS[Index BS],'Khanh Nga'!$B96,[1]!Data_BS[TenCongTyID],'Khanh Nga'!$B$1,[1]!Data_BS[Thang.Nam],'Khanh Nga'!AE$5)</f>
        <v>0</v>
      </c>
      <c r="AF96" s="229">
        <f>SUMIFS([1]!Data_BS[Value],[1]!Data_BS[Index BS],'Khanh Nga'!$B96,[1]!Data_BS[TenCongTyID],'Khanh Nga'!$B$1,[1]!Data_BS[Thang.Nam],'Khanh Nga'!AF$5)</f>
        <v>0</v>
      </c>
      <c r="AG96" s="229">
        <f>SUMIFS([1]!Data_BS[Value],[1]!Data_BS[Index BS],'Khanh Nga'!$B96,[1]!Data_BS[TenCongTyID],'Khanh Nga'!$B$1,[1]!Data_BS[Thang.Nam],'Khanh Nga'!AG$5)</f>
        <v>0</v>
      </c>
      <c r="AH96" s="229">
        <f>SUMIFS([1]!Data_BS[Value],[1]!Data_BS[Index BS],'Khanh Nga'!$B96,[1]!Data_BS[TenCongTyID],'Khanh Nga'!$B$1,[1]!Data_BS[Thang.Nam],'Khanh Nga'!AH$5)</f>
        <v>0</v>
      </c>
      <c r="AI96" s="229">
        <f>SUMIFS([1]!Data_BS[Value],[1]!Data_BS[Index BS],'Khanh Nga'!$B96,[1]!Data_BS[TenCongTyID],'Khanh Nga'!$B$1,[1]!Data_BS[Thang.Nam],'Khanh Nga'!AI$5)</f>
        <v>0</v>
      </c>
      <c r="AJ96" s="229">
        <f>SUMIFS([1]!Data_BS[Value],[1]!Data_BS[Index BS],'Khanh Nga'!$B96,[1]!Data_BS[TenCongTyID],'Khanh Nga'!$B$1,[1]!Data_BS[Thang.Nam],'Khanh Nga'!AJ$5)</f>
        <v>0</v>
      </c>
      <c r="AK96" s="229">
        <f>SUMIFS([1]!Data_BS[Value],[1]!Data_BS[Index BS],'Khanh Nga'!$B96,[1]!Data_BS[TenCongTyID],'Khanh Nga'!$B$1,[1]!Data_BS[Thang.Nam],'Khanh Nga'!AK$5)</f>
        <v>0</v>
      </c>
      <c r="AL96" s="229">
        <f>SUMIFS([1]!Data_BS[Value],[1]!Data_BS[Index BS],'Khanh Nga'!$B96,[1]!Data_BS[TenCongTyID],'Khanh Nga'!$B$1,[1]!Data_BS[Thang.Nam],'Khanh Nga'!AL$5)</f>
        <v>0</v>
      </c>
    </row>
    <row r="97" spans="1:38" ht="15" hidden="1" customHeight="1" outlineLevel="1">
      <c r="A97" s="67" t="s">
        <v>181</v>
      </c>
      <c r="B97" s="63">
        <v>92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/>
      <c r="X97" s="229">
        <v>0</v>
      </c>
      <c r="Y97" s="229"/>
      <c r="Z97" s="229">
        <v>0</v>
      </c>
      <c r="AA97" s="229">
        <f>SUMIFS([1]!Data_BS[Value],[1]!Data_BS[Index BS],'Khanh Nga'!$B97,[1]!Data_BS[TenCongTyID],'Khanh Nga'!$B$1,[1]!Data_BS[Thang.Nam],'Khanh Nga'!AA$5)</f>
        <v>0</v>
      </c>
      <c r="AB97" s="229">
        <f>SUMIFS([1]!Data_BS[Value],[1]!Data_BS[Index BS],'Khanh Nga'!$B97,[1]!Data_BS[TenCongTyID],'Khanh Nga'!$B$1,[1]!Data_BS[Thang.Nam],'Khanh Nga'!AB$5)</f>
        <v>0</v>
      </c>
      <c r="AC97" s="229">
        <f>SUMIFS([1]!Data_BS[Value],[1]!Data_BS[Index BS],'Khanh Nga'!$B97,[1]!Data_BS[TenCongTyID],'Khanh Nga'!$B$1,[1]!Data_BS[Thang.Nam],'Khanh Nga'!AC$5)</f>
        <v>0</v>
      </c>
      <c r="AD97" s="229">
        <f>SUMIFS([1]!Data_BS[Value],[1]!Data_BS[Index BS],'Khanh Nga'!$B97,[1]!Data_BS[TenCongTyID],'Khanh Nga'!$B$1,[1]!Data_BS[Thang.Nam],'Khanh Nga'!AD$5)</f>
        <v>0</v>
      </c>
      <c r="AE97" s="229">
        <f>SUMIFS([1]!Data_BS[Value],[1]!Data_BS[Index BS],'Khanh Nga'!$B97,[1]!Data_BS[TenCongTyID],'Khanh Nga'!$B$1,[1]!Data_BS[Thang.Nam],'Khanh Nga'!AE$5)</f>
        <v>0</v>
      </c>
      <c r="AF97" s="229">
        <f>SUMIFS([1]!Data_BS[Value],[1]!Data_BS[Index BS],'Khanh Nga'!$B97,[1]!Data_BS[TenCongTyID],'Khanh Nga'!$B$1,[1]!Data_BS[Thang.Nam],'Khanh Nga'!AF$5)</f>
        <v>0</v>
      </c>
      <c r="AG97" s="229">
        <f>SUMIFS([1]!Data_BS[Value],[1]!Data_BS[Index BS],'Khanh Nga'!$B97,[1]!Data_BS[TenCongTyID],'Khanh Nga'!$B$1,[1]!Data_BS[Thang.Nam],'Khanh Nga'!AG$5)</f>
        <v>0</v>
      </c>
      <c r="AH97" s="229">
        <f>SUMIFS([1]!Data_BS[Value],[1]!Data_BS[Index BS],'Khanh Nga'!$B97,[1]!Data_BS[TenCongTyID],'Khanh Nga'!$B$1,[1]!Data_BS[Thang.Nam],'Khanh Nga'!AH$5)</f>
        <v>0</v>
      </c>
      <c r="AI97" s="229">
        <f>SUMIFS([1]!Data_BS[Value],[1]!Data_BS[Index BS],'Khanh Nga'!$B97,[1]!Data_BS[TenCongTyID],'Khanh Nga'!$B$1,[1]!Data_BS[Thang.Nam],'Khanh Nga'!AI$5)</f>
        <v>0</v>
      </c>
      <c r="AJ97" s="229">
        <f>SUMIFS([1]!Data_BS[Value],[1]!Data_BS[Index BS],'Khanh Nga'!$B97,[1]!Data_BS[TenCongTyID],'Khanh Nga'!$B$1,[1]!Data_BS[Thang.Nam],'Khanh Nga'!AJ$5)</f>
        <v>0</v>
      </c>
      <c r="AK97" s="229">
        <f>SUMIFS([1]!Data_BS[Value],[1]!Data_BS[Index BS],'Khanh Nga'!$B97,[1]!Data_BS[TenCongTyID],'Khanh Nga'!$B$1,[1]!Data_BS[Thang.Nam],'Khanh Nga'!AK$5)</f>
        <v>0</v>
      </c>
      <c r="AL97" s="229">
        <f>SUMIFS([1]!Data_BS[Value],[1]!Data_BS[Index BS],'Khanh Nga'!$B97,[1]!Data_BS[TenCongTyID],'Khanh Nga'!$B$1,[1]!Data_BS[Thang.Nam],'Khanh Nga'!AL$5)</f>
        <v>0</v>
      </c>
    </row>
    <row r="98" spans="1:38" ht="15" hidden="1" customHeight="1" outlineLevel="1">
      <c r="A98" s="67" t="s">
        <v>182</v>
      </c>
      <c r="B98" s="63">
        <v>93</v>
      </c>
      <c r="C98" s="229">
        <v>0</v>
      </c>
      <c r="D98" s="229">
        <v>0</v>
      </c>
      <c r="E98" s="229">
        <v>0</v>
      </c>
      <c r="F98" s="229">
        <v>0</v>
      </c>
      <c r="G98" s="229">
        <v>0</v>
      </c>
      <c r="H98" s="229">
        <v>0</v>
      </c>
      <c r="I98" s="229">
        <v>0</v>
      </c>
      <c r="J98" s="229">
        <v>0</v>
      </c>
      <c r="K98" s="229">
        <v>0</v>
      </c>
      <c r="L98" s="229">
        <v>0</v>
      </c>
      <c r="M98" s="229">
        <v>0</v>
      </c>
      <c r="N98" s="229">
        <v>0</v>
      </c>
      <c r="O98" s="229">
        <v>0</v>
      </c>
      <c r="P98" s="229">
        <v>0</v>
      </c>
      <c r="Q98" s="229">
        <v>0</v>
      </c>
      <c r="R98" s="229">
        <v>0</v>
      </c>
      <c r="S98" s="229">
        <v>0</v>
      </c>
      <c r="T98" s="229">
        <v>0</v>
      </c>
      <c r="U98" s="229">
        <v>0</v>
      </c>
      <c r="V98" s="229">
        <v>0</v>
      </c>
      <c r="W98" s="229"/>
      <c r="X98" s="229">
        <v>0</v>
      </c>
      <c r="Y98" s="229"/>
      <c r="Z98" s="229">
        <v>0</v>
      </c>
      <c r="AA98" s="229">
        <f>SUMIFS([1]!Data_BS[Value],[1]!Data_BS[Index BS],'Khanh Nga'!$B98,[1]!Data_BS[TenCongTyID],'Khanh Nga'!$B$1,[1]!Data_BS[Thang.Nam],'Khanh Nga'!AA$5)</f>
        <v>0</v>
      </c>
      <c r="AB98" s="229">
        <f>SUMIFS([1]!Data_BS[Value],[1]!Data_BS[Index BS],'Khanh Nga'!$B98,[1]!Data_BS[TenCongTyID],'Khanh Nga'!$B$1,[1]!Data_BS[Thang.Nam],'Khanh Nga'!AB$5)</f>
        <v>0</v>
      </c>
      <c r="AC98" s="229">
        <f>SUMIFS([1]!Data_BS[Value],[1]!Data_BS[Index BS],'Khanh Nga'!$B98,[1]!Data_BS[TenCongTyID],'Khanh Nga'!$B$1,[1]!Data_BS[Thang.Nam],'Khanh Nga'!AC$5)</f>
        <v>0</v>
      </c>
      <c r="AD98" s="229">
        <f>SUMIFS([1]!Data_BS[Value],[1]!Data_BS[Index BS],'Khanh Nga'!$B98,[1]!Data_BS[TenCongTyID],'Khanh Nga'!$B$1,[1]!Data_BS[Thang.Nam],'Khanh Nga'!AD$5)</f>
        <v>0</v>
      </c>
      <c r="AE98" s="229">
        <f>SUMIFS([1]!Data_BS[Value],[1]!Data_BS[Index BS],'Khanh Nga'!$B98,[1]!Data_BS[TenCongTyID],'Khanh Nga'!$B$1,[1]!Data_BS[Thang.Nam],'Khanh Nga'!AE$5)</f>
        <v>0</v>
      </c>
      <c r="AF98" s="229">
        <f>SUMIFS([1]!Data_BS[Value],[1]!Data_BS[Index BS],'Khanh Nga'!$B98,[1]!Data_BS[TenCongTyID],'Khanh Nga'!$B$1,[1]!Data_BS[Thang.Nam],'Khanh Nga'!AF$5)</f>
        <v>0</v>
      </c>
      <c r="AG98" s="229">
        <f>SUMIFS([1]!Data_BS[Value],[1]!Data_BS[Index BS],'Khanh Nga'!$B98,[1]!Data_BS[TenCongTyID],'Khanh Nga'!$B$1,[1]!Data_BS[Thang.Nam],'Khanh Nga'!AG$5)</f>
        <v>0</v>
      </c>
      <c r="AH98" s="229">
        <f>SUMIFS([1]!Data_BS[Value],[1]!Data_BS[Index BS],'Khanh Nga'!$B98,[1]!Data_BS[TenCongTyID],'Khanh Nga'!$B$1,[1]!Data_BS[Thang.Nam],'Khanh Nga'!AH$5)</f>
        <v>0</v>
      </c>
      <c r="AI98" s="229">
        <f>SUMIFS([1]!Data_BS[Value],[1]!Data_BS[Index BS],'Khanh Nga'!$B98,[1]!Data_BS[TenCongTyID],'Khanh Nga'!$B$1,[1]!Data_BS[Thang.Nam],'Khanh Nga'!AI$5)</f>
        <v>0</v>
      </c>
      <c r="AJ98" s="229">
        <f>SUMIFS([1]!Data_BS[Value],[1]!Data_BS[Index BS],'Khanh Nga'!$B98,[1]!Data_BS[TenCongTyID],'Khanh Nga'!$B$1,[1]!Data_BS[Thang.Nam],'Khanh Nga'!AJ$5)</f>
        <v>0</v>
      </c>
      <c r="AK98" s="229">
        <f>SUMIFS([1]!Data_BS[Value],[1]!Data_BS[Index BS],'Khanh Nga'!$B98,[1]!Data_BS[TenCongTyID],'Khanh Nga'!$B$1,[1]!Data_BS[Thang.Nam],'Khanh Nga'!AK$5)</f>
        <v>0</v>
      </c>
      <c r="AL98" s="229">
        <f>SUMIFS([1]!Data_BS[Value],[1]!Data_BS[Index BS],'Khanh Nga'!$B98,[1]!Data_BS[TenCongTyID],'Khanh Nga'!$B$1,[1]!Data_BS[Thang.Nam],'Khanh Nga'!AL$5)</f>
        <v>0</v>
      </c>
    </row>
    <row r="99" spans="1:38" ht="15" hidden="1" customHeight="1" outlineLevel="1">
      <c r="A99" s="68" t="s">
        <v>183</v>
      </c>
      <c r="B99" s="63">
        <v>94</v>
      </c>
      <c r="C99" s="229">
        <v>0</v>
      </c>
      <c r="D99" s="229">
        <v>0</v>
      </c>
      <c r="E99" s="229">
        <v>0</v>
      </c>
      <c r="F99" s="229">
        <v>0</v>
      </c>
      <c r="G99" s="229">
        <v>0</v>
      </c>
      <c r="H99" s="229">
        <v>0</v>
      </c>
      <c r="I99" s="229">
        <v>0</v>
      </c>
      <c r="J99" s="229">
        <v>0</v>
      </c>
      <c r="K99" s="229">
        <v>0</v>
      </c>
      <c r="L99" s="229">
        <v>0</v>
      </c>
      <c r="M99" s="229">
        <v>0</v>
      </c>
      <c r="N99" s="229">
        <v>0</v>
      </c>
      <c r="O99" s="229">
        <v>0</v>
      </c>
      <c r="P99" s="229">
        <v>0</v>
      </c>
      <c r="Q99" s="229">
        <v>0</v>
      </c>
      <c r="R99" s="229">
        <v>0</v>
      </c>
      <c r="S99" s="229">
        <v>0</v>
      </c>
      <c r="T99" s="229">
        <v>0</v>
      </c>
      <c r="U99" s="229">
        <v>0</v>
      </c>
      <c r="V99" s="229">
        <v>0</v>
      </c>
      <c r="W99" s="229"/>
      <c r="X99" s="229">
        <v>0</v>
      </c>
      <c r="Y99" s="229"/>
      <c r="Z99" s="229">
        <v>0</v>
      </c>
      <c r="AA99" s="229">
        <f>SUMIFS([1]!Data_BS[Value],[1]!Data_BS[Index BS],'Khanh Nga'!$B99,[1]!Data_BS[TenCongTyID],'Khanh Nga'!$B$1,[1]!Data_BS[Thang.Nam],'Khanh Nga'!AA$5)</f>
        <v>0</v>
      </c>
      <c r="AB99" s="229">
        <f>SUMIFS([1]!Data_BS[Value],[1]!Data_BS[Index BS],'Khanh Nga'!$B99,[1]!Data_BS[TenCongTyID],'Khanh Nga'!$B$1,[1]!Data_BS[Thang.Nam],'Khanh Nga'!AB$5)</f>
        <v>0</v>
      </c>
      <c r="AC99" s="229">
        <f>SUMIFS([1]!Data_BS[Value],[1]!Data_BS[Index BS],'Khanh Nga'!$B99,[1]!Data_BS[TenCongTyID],'Khanh Nga'!$B$1,[1]!Data_BS[Thang.Nam],'Khanh Nga'!AC$5)</f>
        <v>0</v>
      </c>
      <c r="AD99" s="229">
        <f>SUMIFS([1]!Data_BS[Value],[1]!Data_BS[Index BS],'Khanh Nga'!$B99,[1]!Data_BS[TenCongTyID],'Khanh Nga'!$B$1,[1]!Data_BS[Thang.Nam],'Khanh Nga'!AD$5)</f>
        <v>0</v>
      </c>
      <c r="AE99" s="229">
        <f>SUMIFS([1]!Data_BS[Value],[1]!Data_BS[Index BS],'Khanh Nga'!$B99,[1]!Data_BS[TenCongTyID],'Khanh Nga'!$B$1,[1]!Data_BS[Thang.Nam],'Khanh Nga'!AE$5)</f>
        <v>0</v>
      </c>
      <c r="AF99" s="229">
        <f>SUMIFS([1]!Data_BS[Value],[1]!Data_BS[Index BS],'Khanh Nga'!$B99,[1]!Data_BS[TenCongTyID],'Khanh Nga'!$B$1,[1]!Data_BS[Thang.Nam],'Khanh Nga'!AF$5)</f>
        <v>0</v>
      </c>
      <c r="AG99" s="229">
        <f>SUMIFS([1]!Data_BS[Value],[1]!Data_BS[Index BS],'Khanh Nga'!$B99,[1]!Data_BS[TenCongTyID],'Khanh Nga'!$B$1,[1]!Data_BS[Thang.Nam],'Khanh Nga'!AG$5)</f>
        <v>0</v>
      </c>
      <c r="AH99" s="229">
        <f>SUMIFS([1]!Data_BS[Value],[1]!Data_BS[Index BS],'Khanh Nga'!$B99,[1]!Data_BS[TenCongTyID],'Khanh Nga'!$B$1,[1]!Data_BS[Thang.Nam],'Khanh Nga'!AH$5)</f>
        <v>0</v>
      </c>
      <c r="AI99" s="229">
        <f>SUMIFS([1]!Data_BS[Value],[1]!Data_BS[Index BS],'Khanh Nga'!$B99,[1]!Data_BS[TenCongTyID],'Khanh Nga'!$B$1,[1]!Data_BS[Thang.Nam],'Khanh Nga'!AI$5)</f>
        <v>0</v>
      </c>
      <c r="AJ99" s="229">
        <f>SUMIFS([1]!Data_BS[Value],[1]!Data_BS[Index BS],'Khanh Nga'!$B99,[1]!Data_BS[TenCongTyID],'Khanh Nga'!$B$1,[1]!Data_BS[Thang.Nam],'Khanh Nga'!AJ$5)</f>
        <v>0</v>
      </c>
      <c r="AK99" s="229">
        <f>SUMIFS([1]!Data_BS[Value],[1]!Data_BS[Index BS],'Khanh Nga'!$B99,[1]!Data_BS[TenCongTyID],'Khanh Nga'!$B$1,[1]!Data_BS[Thang.Nam],'Khanh Nga'!AK$5)</f>
        <v>0</v>
      </c>
      <c r="AL99" s="229">
        <f>SUMIFS([1]!Data_BS[Value],[1]!Data_BS[Index BS],'Khanh Nga'!$B99,[1]!Data_BS[TenCongTyID],'Khanh Nga'!$B$1,[1]!Data_BS[Thang.Nam],'Khanh Nga'!AL$5)</f>
        <v>0</v>
      </c>
    </row>
    <row r="100" spans="1:38" ht="15" hidden="1" customHeight="1" outlineLevel="1">
      <c r="A100" s="68" t="s">
        <v>184</v>
      </c>
      <c r="B100" s="63">
        <v>95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/>
      <c r="X100" s="229">
        <v>0</v>
      </c>
      <c r="Y100" s="229"/>
      <c r="Z100" s="229">
        <v>0</v>
      </c>
      <c r="AA100" s="229">
        <f>SUMIFS([1]!Data_BS[Value],[1]!Data_BS[Index BS],'Khanh Nga'!$B100,[1]!Data_BS[TenCongTyID],'Khanh Nga'!$B$1,[1]!Data_BS[Thang.Nam],'Khanh Nga'!AA$5)</f>
        <v>0</v>
      </c>
      <c r="AB100" s="229">
        <f>SUMIFS([1]!Data_BS[Value],[1]!Data_BS[Index BS],'Khanh Nga'!$B100,[1]!Data_BS[TenCongTyID],'Khanh Nga'!$B$1,[1]!Data_BS[Thang.Nam],'Khanh Nga'!AB$5)</f>
        <v>0</v>
      </c>
      <c r="AC100" s="229">
        <f>SUMIFS([1]!Data_BS[Value],[1]!Data_BS[Index BS],'Khanh Nga'!$B100,[1]!Data_BS[TenCongTyID],'Khanh Nga'!$B$1,[1]!Data_BS[Thang.Nam],'Khanh Nga'!AC$5)</f>
        <v>0</v>
      </c>
      <c r="AD100" s="229">
        <f>SUMIFS([1]!Data_BS[Value],[1]!Data_BS[Index BS],'Khanh Nga'!$B100,[1]!Data_BS[TenCongTyID],'Khanh Nga'!$B$1,[1]!Data_BS[Thang.Nam],'Khanh Nga'!AD$5)</f>
        <v>0</v>
      </c>
      <c r="AE100" s="229">
        <f>SUMIFS([1]!Data_BS[Value],[1]!Data_BS[Index BS],'Khanh Nga'!$B100,[1]!Data_BS[TenCongTyID],'Khanh Nga'!$B$1,[1]!Data_BS[Thang.Nam],'Khanh Nga'!AE$5)</f>
        <v>0</v>
      </c>
      <c r="AF100" s="229">
        <f>SUMIFS([1]!Data_BS[Value],[1]!Data_BS[Index BS],'Khanh Nga'!$B100,[1]!Data_BS[TenCongTyID],'Khanh Nga'!$B$1,[1]!Data_BS[Thang.Nam],'Khanh Nga'!AF$5)</f>
        <v>0</v>
      </c>
      <c r="AG100" s="229">
        <f>SUMIFS([1]!Data_BS[Value],[1]!Data_BS[Index BS],'Khanh Nga'!$B100,[1]!Data_BS[TenCongTyID],'Khanh Nga'!$B$1,[1]!Data_BS[Thang.Nam],'Khanh Nga'!AG$5)</f>
        <v>0</v>
      </c>
      <c r="AH100" s="229">
        <f>SUMIFS([1]!Data_BS[Value],[1]!Data_BS[Index BS],'Khanh Nga'!$B100,[1]!Data_BS[TenCongTyID],'Khanh Nga'!$B$1,[1]!Data_BS[Thang.Nam],'Khanh Nga'!AH$5)</f>
        <v>0</v>
      </c>
      <c r="AI100" s="229">
        <f>SUMIFS([1]!Data_BS[Value],[1]!Data_BS[Index BS],'Khanh Nga'!$B100,[1]!Data_BS[TenCongTyID],'Khanh Nga'!$B$1,[1]!Data_BS[Thang.Nam],'Khanh Nga'!AI$5)</f>
        <v>0</v>
      </c>
      <c r="AJ100" s="229">
        <f>SUMIFS([1]!Data_BS[Value],[1]!Data_BS[Index BS],'Khanh Nga'!$B100,[1]!Data_BS[TenCongTyID],'Khanh Nga'!$B$1,[1]!Data_BS[Thang.Nam],'Khanh Nga'!AJ$5)</f>
        <v>0</v>
      </c>
      <c r="AK100" s="229">
        <f>SUMIFS([1]!Data_BS[Value],[1]!Data_BS[Index BS],'Khanh Nga'!$B100,[1]!Data_BS[TenCongTyID],'Khanh Nga'!$B$1,[1]!Data_BS[Thang.Nam],'Khanh Nga'!AK$5)</f>
        <v>0</v>
      </c>
      <c r="AL100" s="229">
        <f>SUMIFS([1]!Data_BS[Value],[1]!Data_BS[Index BS],'Khanh Nga'!$B100,[1]!Data_BS[TenCongTyID],'Khanh Nga'!$B$1,[1]!Data_BS[Thang.Nam],'Khanh Nga'!AL$5)</f>
        <v>0</v>
      </c>
    </row>
    <row r="101" spans="1:38" ht="15" hidden="1" customHeight="1" outlineLevel="1">
      <c r="A101" s="72" t="s">
        <v>185</v>
      </c>
      <c r="B101" s="65">
        <v>96</v>
      </c>
      <c r="C101" s="233">
        <v>0</v>
      </c>
      <c r="D101" s="233">
        <v>0</v>
      </c>
      <c r="E101" s="233">
        <v>0</v>
      </c>
      <c r="F101" s="233">
        <v>0</v>
      </c>
      <c r="G101" s="233">
        <v>0</v>
      </c>
      <c r="H101" s="233">
        <v>0</v>
      </c>
      <c r="I101" s="233">
        <v>0</v>
      </c>
      <c r="J101" s="233">
        <v>0</v>
      </c>
      <c r="K101" s="233">
        <v>0</v>
      </c>
      <c r="L101" s="233">
        <v>0</v>
      </c>
      <c r="M101" s="233">
        <v>0</v>
      </c>
      <c r="N101" s="234"/>
      <c r="O101" s="234">
        <v>0</v>
      </c>
      <c r="P101" s="234">
        <v>0</v>
      </c>
      <c r="Q101" s="234">
        <v>0</v>
      </c>
      <c r="R101" s="234">
        <v>0</v>
      </c>
      <c r="S101" s="234">
        <v>0</v>
      </c>
      <c r="T101" s="234">
        <v>0</v>
      </c>
      <c r="U101" s="234">
        <v>0</v>
      </c>
      <c r="V101" s="234">
        <v>0</v>
      </c>
      <c r="W101" s="234"/>
      <c r="X101" s="234">
        <v>0</v>
      </c>
      <c r="Y101" s="234"/>
      <c r="Z101" s="234">
        <v>0</v>
      </c>
      <c r="AA101" s="234">
        <f>SUMIFS([1]!Data_BS[Value],[1]!Data_BS[Index BS],'Khanh Nga'!$B101,[1]!Data_BS[TenCongTyID],'Khanh Nga'!$B$1,[1]!Data_BS[Thang.Nam],'Khanh Nga'!AA$5)</f>
        <v>0</v>
      </c>
      <c r="AB101" s="234">
        <f>SUMIFS([1]!Data_BS[Value],[1]!Data_BS[Index BS],'Khanh Nga'!$B101,[1]!Data_BS[TenCongTyID],'Khanh Nga'!$B$1,[1]!Data_BS[Thang.Nam],'Khanh Nga'!AB$5)</f>
        <v>0</v>
      </c>
      <c r="AC101" s="234">
        <f>SUMIFS([1]!Data_BS[Value],[1]!Data_BS[Index BS],'Khanh Nga'!$B101,[1]!Data_BS[TenCongTyID],'Khanh Nga'!$B$1,[1]!Data_BS[Thang.Nam],'Khanh Nga'!AC$5)</f>
        <v>0</v>
      </c>
      <c r="AD101" s="234">
        <f>SUMIFS([1]!Data_BS[Value],[1]!Data_BS[Index BS],'Khanh Nga'!$B101,[1]!Data_BS[TenCongTyID],'Khanh Nga'!$B$1,[1]!Data_BS[Thang.Nam],'Khanh Nga'!AD$5)</f>
        <v>0</v>
      </c>
      <c r="AE101" s="234">
        <f>SUMIFS([1]!Data_BS[Value],[1]!Data_BS[Index BS],'Khanh Nga'!$B101,[1]!Data_BS[TenCongTyID],'Khanh Nga'!$B$1,[1]!Data_BS[Thang.Nam],'Khanh Nga'!AE$5)</f>
        <v>0</v>
      </c>
      <c r="AF101" s="234">
        <f>SUMIFS([1]!Data_BS[Value],[1]!Data_BS[Index BS],'Khanh Nga'!$B101,[1]!Data_BS[TenCongTyID],'Khanh Nga'!$B$1,[1]!Data_BS[Thang.Nam],'Khanh Nga'!AF$5)</f>
        <v>0</v>
      </c>
      <c r="AG101" s="234">
        <f>SUMIFS([1]!Data_BS[Value],[1]!Data_BS[Index BS],'Khanh Nga'!$B101,[1]!Data_BS[TenCongTyID],'Khanh Nga'!$B$1,[1]!Data_BS[Thang.Nam],'Khanh Nga'!AG$5)</f>
        <v>0</v>
      </c>
      <c r="AH101" s="234">
        <f>SUMIFS([1]!Data_BS[Value],[1]!Data_BS[Index BS],'Khanh Nga'!$B101,[1]!Data_BS[TenCongTyID],'Khanh Nga'!$B$1,[1]!Data_BS[Thang.Nam],'Khanh Nga'!AH$5)</f>
        <v>0</v>
      </c>
      <c r="AI101" s="234">
        <f>SUMIFS([1]!Data_BS[Value],[1]!Data_BS[Index BS],'Khanh Nga'!$B101,[1]!Data_BS[TenCongTyID],'Khanh Nga'!$B$1,[1]!Data_BS[Thang.Nam],'Khanh Nga'!AI$5)</f>
        <v>0</v>
      </c>
      <c r="AJ101" s="234">
        <f>SUMIFS([1]!Data_BS[Value],[1]!Data_BS[Index BS],'Khanh Nga'!$B101,[1]!Data_BS[TenCongTyID],'Khanh Nga'!$B$1,[1]!Data_BS[Thang.Nam],'Khanh Nga'!AJ$5)</f>
        <v>0</v>
      </c>
      <c r="AK101" s="234">
        <f>SUMIFS([1]!Data_BS[Value],[1]!Data_BS[Index BS],'Khanh Nga'!$B101,[1]!Data_BS[TenCongTyID],'Khanh Nga'!$B$1,[1]!Data_BS[Thang.Nam],'Khanh Nga'!AK$5)</f>
        <v>0</v>
      </c>
      <c r="AL101" s="234">
        <f>SUMIFS([1]!Data_BS[Value],[1]!Data_BS[Index BS],'Khanh Nga'!$B101,[1]!Data_BS[TenCongTyID],'Khanh Nga'!$B$1,[1]!Data_BS[Thang.Nam],'Khanh Nga'!AL$5)</f>
        <v>0</v>
      </c>
    </row>
    <row r="102" spans="1:38" ht="15" hidden="1" customHeight="1" outlineLevel="1">
      <c r="A102" s="67" t="s">
        <v>186</v>
      </c>
      <c r="B102" s="63">
        <v>97</v>
      </c>
      <c r="C102" s="229">
        <v>0</v>
      </c>
      <c r="D102" s="229">
        <v>0</v>
      </c>
      <c r="E102" s="229">
        <v>0</v>
      </c>
      <c r="F102" s="229">
        <v>0</v>
      </c>
      <c r="G102" s="229">
        <v>0</v>
      </c>
      <c r="H102" s="229">
        <v>0</v>
      </c>
      <c r="I102" s="229">
        <v>0</v>
      </c>
      <c r="J102" s="229">
        <v>0</v>
      </c>
      <c r="K102" s="229">
        <v>0</v>
      </c>
      <c r="L102" s="229">
        <v>0</v>
      </c>
      <c r="M102" s="229">
        <v>0</v>
      </c>
      <c r="N102" s="229"/>
      <c r="O102" s="229">
        <v>0</v>
      </c>
      <c r="P102" s="229">
        <v>0</v>
      </c>
      <c r="Q102" s="229">
        <v>0</v>
      </c>
      <c r="R102" s="229">
        <v>0</v>
      </c>
      <c r="S102" s="229">
        <v>0</v>
      </c>
      <c r="T102" s="229">
        <v>0</v>
      </c>
      <c r="U102" s="229">
        <v>0</v>
      </c>
      <c r="V102" s="229">
        <v>0</v>
      </c>
      <c r="W102" s="229"/>
      <c r="X102" s="229">
        <v>0</v>
      </c>
      <c r="Y102" s="229"/>
      <c r="Z102" s="229">
        <v>0</v>
      </c>
      <c r="AA102" s="229">
        <f>SUMIFS([1]!Data_BS[Value],[1]!Data_BS[Index BS],'Khanh Nga'!$B102,[1]!Data_BS[TenCongTyID],'Khanh Nga'!$B$1,[1]!Data_BS[Thang.Nam],'Khanh Nga'!AA$5)</f>
        <v>0</v>
      </c>
      <c r="AB102" s="229">
        <f>SUMIFS([1]!Data_BS[Value],[1]!Data_BS[Index BS],'Khanh Nga'!$B102,[1]!Data_BS[TenCongTyID],'Khanh Nga'!$B$1,[1]!Data_BS[Thang.Nam],'Khanh Nga'!AB$5)</f>
        <v>0</v>
      </c>
      <c r="AC102" s="229">
        <f>SUMIFS([1]!Data_BS[Value],[1]!Data_BS[Index BS],'Khanh Nga'!$B102,[1]!Data_BS[TenCongTyID],'Khanh Nga'!$B$1,[1]!Data_BS[Thang.Nam],'Khanh Nga'!AC$5)</f>
        <v>0</v>
      </c>
      <c r="AD102" s="229">
        <f>SUMIFS([1]!Data_BS[Value],[1]!Data_BS[Index BS],'Khanh Nga'!$B102,[1]!Data_BS[TenCongTyID],'Khanh Nga'!$B$1,[1]!Data_BS[Thang.Nam],'Khanh Nga'!AD$5)</f>
        <v>0</v>
      </c>
      <c r="AE102" s="229">
        <f>SUMIFS([1]!Data_BS[Value],[1]!Data_BS[Index BS],'Khanh Nga'!$B102,[1]!Data_BS[TenCongTyID],'Khanh Nga'!$B$1,[1]!Data_BS[Thang.Nam],'Khanh Nga'!AE$5)</f>
        <v>0</v>
      </c>
      <c r="AF102" s="229">
        <f>SUMIFS([1]!Data_BS[Value],[1]!Data_BS[Index BS],'Khanh Nga'!$B102,[1]!Data_BS[TenCongTyID],'Khanh Nga'!$B$1,[1]!Data_BS[Thang.Nam],'Khanh Nga'!AF$5)</f>
        <v>0</v>
      </c>
      <c r="AG102" s="229">
        <f>SUMIFS([1]!Data_BS[Value],[1]!Data_BS[Index BS],'Khanh Nga'!$B102,[1]!Data_BS[TenCongTyID],'Khanh Nga'!$B$1,[1]!Data_BS[Thang.Nam],'Khanh Nga'!AG$5)</f>
        <v>0</v>
      </c>
      <c r="AH102" s="229">
        <f>SUMIFS([1]!Data_BS[Value],[1]!Data_BS[Index BS],'Khanh Nga'!$B102,[1]!Data_BS[TenCongTyID],'Khanh Nga'!$B$1,[1]!Data_BS[Thang.Nam],'Khanh Nga'!AH$5)</f>
        <v>0</v>
      </c>
      <c r="AI102" s="229">
        <f>SUMIFS([1]!Data_BS[Value],[1]!Data_BS[Index BS],'Khanh Nga'!$B102,[1]!Data_BS[TenCongTyID],'Khanh Nga'!$B$1,[1]!Data_BS[Thang.Nam],'Khanh Nga'!AI$5)</f>
        <v>0</v>
      </c>
      <c r="AJ102" s="229">
        <f>SUMIFS([1]!Data_BS[Value],[1]!Data_BS[Index BS],'Khanh Nga'!$B102,[1]!Data_BS[TenCongTyID],'Khanh Nga'!$B$1,[1]!Data_BS[Thang.Nam],'Khanh Nga'!AJ$5)</f>
        <v>0</v>
      </c>
      <c r="AK102" s="229">
        <f>SUMIFS([1]!Data_BS[Value],[1]!Data_BS[Index BS],'Khanh Nga'!$B102,[1]!Data_BS[TenCongTyID],'Khanh Nga'!$B$1,[1]!Data_BS[Thang.Nam],'Khanh Nga'!AK$5)</f>
        <v>0</v>
      </c>
      <c r="AL102" s="229">
        <f>SUMIFS([1]!Data_BS[Value],[1]!Data_BS[Index BS],'Khanh Nga'!$B102,[1]!Data_BS[TenCongTyID],'Khanh Nga'!$B$1,[1]!Data_BS[Thang.Nam],'Khanh Nga'!AL$5)</f>
        <v>0</v>
      </c>
    </row>
    <row r="103" spans="1:38" ht="15" hidden="1" customHeight="1" outlineLevel="1">
      <c r="A103" s="67" t="s">
        <v>187</v>
      </c>
      <c r="B103" s="63">
        <v>98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/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/>
      <c r="X103" s="229">
        <v>0</v>
      </c>
      <c r="Y103" s="229"/>
      <c r="Z103" s="229">
        <v>0</v>
      </c>
      <c r="AA103" s="229">
        <f>SUMIFS([1]!Data_BS[Value],[1]!Data_BS[Index BS],'Khanh Nga'!$B103,[1]!Data_BS[TenCongTyID],'Khanh Nga'!$B$1,[1]!Data_BS[Thang.Nam],'Khanh Nga'!AA$5)</f>
        <v>0</v>
      </c>
      <c r="AB103" s="229">
        <f>SUMIFS([1]!Data_BS[Value],[1]!Data_BS[Index BS],'Khanh Nga'!$B103,[1]!Data_BS[TenCongTyID],'Khanh Nga'!$B$1,[1]!Data_BS[Thang.Nam],'Khanh Nga'!AB$5)</f>
        <v>0</v>
      </c>
      <c r="AC103" s="229">
        <f>SUMIFS([1]!Data_BS[Value],[1]!Data_BS[Index BS],'Khanh Nga'!$B103,[1]!Data_BS[TenCongTyID],'Khanh Nga'!$B$1,[1]!Data_BS[Thang.Nam],'Khanh Nga'!AC$5)</f>
        <v>0</v>
      </c>
      <c r="AD103" s="229">
        <f>SUMIFS([1]!Data_BS[Value],[1]!Data_BS[Index BS],'Khanh Nga'!$B103,[1]!Data_BS[TenCongTyID],'Khanh Nga'!$B$1,[1]!Data_BS[Thang.Nam],'Khanh Nga'!AD$5)</f>
        <v>0</v>
      </c>
      <c r="AE103" s="229">
        <f>SUMIFS([1]!Data_BS[Value],[1]!Data_BS[Index BS],'Khanh Nga'!$B103,[1]!Data_BS[TenCongTyID],'Khanh Nga'!$B$1,[1]!Data_BS[Thang.Nam],'Khanh Nga'!AE$5)</f>
        <v>0</v>
      </c>
      <c r="AF103" s="229">
        <f>SUMIFS([1]!Data_BS[Value],[1]!Data_BS[Index BS],'Khanh Nga'!$B103,[1]!Data_BS[TenCongTyID],'Khanh Nga'!$B$1,[1]!Data_BS[Thang.Nam],'Khanh Nga'!AF$5)</f>
        <v>0</v>
      </c>
      <c r="AG103" s="229">
        <f>SUMIFS([1]!Data_BS[Value],[1]!Data_BS[Index BS],'Khanh Nga'!$B103,[1]!Data_BS[TenCongTyID],'Khanh Nga'!$B$1,[1]!Data_BS[Thang.Nam],'Khanh Nga'!AG$5)</f>
        <v>0</v>
      </c>
      <c r="AH103" s="229">
        <f>SUMIFS([1]!Data_BS[Value],[1]!Data_BS[Index BS],'Khanh Nga'!$B103,[1]!Data_BS[TenCongTyID],'Khanh Nga'!$B$1,[1]!Data_BS[Thang.Nam],'Khanh Nga'!AH$5)</f>
        <v>0</v>
      </c>
      <c r="AI103" s="229">
        <f>SUMIFS([1]!Data_BS[Value],[1]!Data_BS[Index BS],'Khanh Nga'!$B103,[1]!Data_BS[TenCongTyID],'Khanh Nga'!$B$1,[1]!Data_BS[Thang.Nam],'Khanh Nga'!AI$5)</f>
        <v>0</v>
      </c>
      <c r="AJ103" s="229">
        <f>SUMIFS([1]!Data_BS[Value],[1]!Data_BS[Index BS],'Khanh Nga'!$B103,[1]!Data_BS[TenCongTyID],'Khanh Nga'!$B$1,[1]!Data_BS[Thang.Nam],'Khanh Nga'!AJ$5)</f>
        <v>0</v>
      </c>
      <c r="AK103" s="229">
        <f>SUMIFS([1]!Data_BS[Value],[1]!Data_BS[Index BS],'Khanh Nga'!$B103,[1]!Data_BS[TenCongTyID],'Khanh Nga'!$B$1,[1]!Data_BS[Thang.Nam],'Khanh Nga'!AK$5)</f>
        <v>0</v>
      </c>
      <c r="AL103" s="229">
        <f>SUMIFS([1]!Data_BS[Value],[1]!Data_BS[Index BS],'Khanh Nga'!$B103,[1]!Data_BS[TenCongTyID],'Khanh Nga'!$B$1,[1]!Data_BS[Thang.Nam],'Khanh Nga'!AL$5)</f>
        <v>0</v>
      </c>
    </row>
    <row r="104" spans="1:38" ht="15" hidden="1" customHeight="1" outlineLevel="1">
      <c r="A104" s="67" t="s">
        <v>188</v>
      </c>
      <c r="B104" s="63">
        <v>99</v>
      </c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>
        <v>0</v>
      </c>
      <c r="AA104" s="229">
        <f>SUMIFS([1]!Data_BS[Value],[1]!Data_BS[Index BS],'Khanh Nga'!$B104,[1]!Data_BS[TenCongTyID],'Khanh Nga'!$B$1,[1]!Data_BS[Thang.Nam],'Khanh Nga'!AA$5)</f>
        <v>0</v>
      </c>
      <c r="AB104" s="229">
        <f>SUMIFS([1]!Data_BS[Value],[1]!Data_BS[Index BS],'Khanh Nga'!$B104,[1]!Data_BS[TenCongTyID],'Khanh Nga'!$B$1,[1]!Data_BS[Thang.Nam],'Khanh Nga'!AB$5)</f>
        <v>0</v>
      </c>
      <c r="AC104" s="229">
        <f>SUMIFS([1]!Data_BS[Value],[1]!Data_BS[Index BS],'Khanh Nga'!$B104,[1]!Data_BS[TenCongTyID],'Khanh Nga'!$B$1,[1]!Data_BS[Thang.Nam],'Khanh Nga'!AC$5)</f>
        <v>0</v>
      </c>
      <c r="AD104" s="229">
        <f>SUMIFS([1]!Data_BS[Value],[1]!Data_BS[Index BS],'Khanh Nga'!$B104,[1]!Data_BS[TenCongTyID],'Khanh Nga'!$B$1,[1]!Data_BS[Thang.Nam],'Khanh Nga'!AD$5)</f>
        <v>0</v>
      </c>
      <c r="AE104" s="229">
        <f>SUMIFS([1]!Data_BS[Value],[1]!Data_BS[Index BS],'Khanh Nga'!$B104,[1]!Data_BS[TenCongTyID],'Khanh Nga'!$B$1,[1]!Data_BS[Thang.Nam],'Khanh Nga'!AE$5)</f>
        <v>0</v>
      </c>
      <c r="AF104" s="229">
        <f>SUMIFS([1]!Data_BS[Value],[1]!Data_BS[Index BS],'Khanh Nga'!$B104,[1]!Data_BS[TenCongTyID],'Khanh Nga'!$B$1,[1]!Data_BS[Thang.Nam],'Khanh Nga'!AF$5)</f>
        <v>0</v>
      </c>
      <c r="AG104" s="229">
        <f>SUMIFS([1]!Data_BS[Value],[1]!Data_BS[Index BS],'Khanh Nga'!$B104,[1]!Data_BS[TenCongTyID],'Khanh Nga'!$B$1,[1]!Data_BS[Thang.Nam],'Khanh Nga'!AG$5)</f>
        <v>0</v>
      </c>
      <c r="AH104" s="229">
        <f>SUMIFS([1]!Data_BS[Value],[1]!Data_BS[Index BS],'Khanh Nga'!$B104,[1]!Data_BS[TenCongTyID],'Khanh Nga'!$B$1,[1]!Data_BS[Thang.Nam],'Khanh Nga'!AH$5)</f>
        <v>0</v>
      </c>
      <c r="AI104" s="229">
        <f>SUMIFS([1]!Data_BS[Value],[1]!Data_BS[Index BS],'Khanh Nga'!$B104,[1]!Data_BS[TenCongTyID],'Khanh Nga'!$B$1,[1]!Data_BS[Thang.Nam],'Khanh Nga'!AI$5)</f>
        <v>0</v>
      </c>
      <c r="AJ104" s="229">
        <f>SUMIFS([1]!Data_BS[Value],[1]!Data_BS[Index BS],'Khanh Nga'!$B104,[1]!Data_BS[TenCongTyID],'Khanh Nga'!$B$1,[1]!Data_BS[Thang.Nam],'Khanh Nga'!AJ$5)</f>
        <v>0</v>
      </c>
      <c r="AK104" s="229">
        <f>SUMIFS([1]!Data_BS[Value],[1]!Data_BS[Index BS],'Khanh Nga'!$B104,[1]!Data_BS[TenCongTyID],'Khanh Nga'!$B$1,[1]!Data_BS[Thang.Nam],'Khanh Nga'!AK$5)</f>
        <v>0</v>
      </c>
      <c r="AL104" s="229">
        <f>SUMIFS([1]!Data_BS[Value],[1]!Data_BS[Index BS],'Khanh Nga'!$B104,[1]!Data_BS[TenCongTyID],'Khanh Nga'!$B$1,[1]!Data_BS[Thang.Nam],'Khanh Nga'!AL$5)</f>
        <v>0</v>
      </c>
    </row>
    <row r="105" spans="1:38" ht="15" hidden="1" customHeight="1" outlineLevel="1">
      <c r="A105" s="67" t="s">
        <v>189</v>
      </c>
      <c r="B105" s="63">
        <v>100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/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/>
      <c r="X105" s="229">
        <v>0</v>
      </c>
      <c r="Y105" s="229"/>
      <c r="Z105" s="229">
        <v>0</v>
      </c>
      <c r="AA105" s="229">
        <f>SUMIFS([1]!Data_BS[Value],[1]!Data_BS[Index BS],'Khanh Nga'!$B105,[1]!Data_BS[TenCongTyID],'Khanh Nga'!$B$1,[1]!Data_BS[Thang.Nam],'Khanh Nga'!AA$5)</f>
        <v>0</v>
      </c>
      <c r="AB105" s="229">
        <f>SUMIFS([1]!Data_BS[Value],[1]!Data_BS[Index BS],'Khanh Nga'!$B105,[1]!Data_BS[TenCongTyID],'Khanh Nga'!$B$1,[1]!Data_BS[Thang.Nam],'Khanh Nga'!AB$5)</f>
        <v>0</v>
      </c>
      <c r="AC105" s="229">
        <f>SUMIFS([1]!Data_BS[Value],[1]!Data_BS[Index BS],'Khanh Nga'!$B105,[1]!Data_BS[TenCongTyID],'Khanh Nga'!$B$1,[1]!Data_BS[Thang.Nam],'Khanh Nga'!AC$5)</f>
        <v>0</v>
      </c>
      <c r="AD105" s="229">
        <f>SUMIFS([1]!Data_BS[Value],[1]!Data_BS[Index BS],'Khanh Nga'!$B105,[1]!Data_BS[TenCongTyID],'Khanh Nga'!$B$1,[1]!Data_BS[Thang.Nam],'Khanh Nga'!AD$5)</f>
        <v>0</v>
      </c>
      <c r="AE105" s="229">
        <f>SUMIFS([1]!Data_BS[Value],[1]!Data_BS[Index BS],'Khanh Nga'!$B105,[1]!Data_BS[TenCongTyID],'Khanh Nga'!$B$1,[1]!Data_BS[Thang.Nam],'Khanh Nga'!AE$5)</f>
        <v>0</v>
      </c>
      <c r="AF105" s="229">
        <f>SUMIFS([1]!Data_BS[Value],[1]!Data_BS[Index BS],'Khanh Nga'!$B105,[1]!Data_BS[TenCongTyID],'Khanh Nga'!$B$1,[1]!Data_BS[Thang.Nam],'Khanh Nga'!AF$5)</f>
        <v>0</v>
      </c>
      <c r="AG105" s="229">
        <f>SUMIFS([1]!Data_BS[Value],[1]!Data_BS[Index BS],'Khanh Nga'!$B105,[1]!Data_BS[TenCongTyID],'Khanh Nga'!$B$1,[1]!Data_BS[Thang.Nam],'Khanh Nga'!AG$5)</f>
        <v>0</v>
      </c>
      <c r="AH105" s="229">
        <f>SUMIFS([1]!Data_BS[Value],[1]!Data_BS[Index BS],'Khanh Nga'!$B105,[1]!Data_BS[TenCongTyID],'Khanh Nga'!$B$1,[1]!Data_BS[Thang.Nam],'Khanh Nga'!AH$5)</f>
        <v>0</v>
      </c>
      <c r="AI105" s="229">
        <f>SUMIFS([1]!Data_BS[Value],[1]!Data_BS[Index BS],'Khanh Nga'!$B105,[1]!Data_BS[TenCongTyID],'Khanh Nga'!$B$1,[1]!Data_BS[Thang.Nam],'Khanh Nga'!AI$5)</f>
        <v>0</v>
      </c>
      <c r="AJ105" s="229">
        <f>SUMIFS([1]!Data_BS[Value],[1]!Data_BS[Index BS],'Khanh Nga'!$B105,[1]!Data_BS[TenCongTyID],'Khanh Nga'!$B$1,[1]!Data_BS[Thang.Nam],'Khanh Nga'!AJ$5)</f>
        <v>0</v>
      </c>
      <c r="AK105" s="229">
        <f>SUMIFS([1]!Data_BS[Value],[1]!Data_BS[Index BS],'Khanh Nga'!$B105,[1]!Data_BS[TenCongTyID],'Khanh Nga'!$B$1,[1]!Data_BS[Thang.Nam],'Khanh Nga'!AK$5)</f>
        <v>0</v>
      </c>
      <c r="AL105" s="229">
        <f>SUMIFS([1]!Data_BS[Value],[1]!Data_BS[Index BS],'Khanh Nga'!$B105,[1]!Data_BS[TenCongTyID],'Khanh Nga'!$B$1,[1]!Data_BS[Thang.Nam],'Khanh Nga'!AL$5)</f>
        <v>0</v>
      </c>
    </row>
    <row r="106" spans="1:38" ht="15" hidden="1" customHeight="1" outlineLevel="1">
      <c r="A106" s="67" t="s">
        <v>190</v>
      </c>
      <c r="B106" s="63">
        <v>101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/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/>
      <c r="X106" s="229">
        <v>0</v>
      </c>
      <c r="Y106" s="229"/>
      <c r="Z106" s="229">
        <v>0</v>
      </c>
      <c r="AA106" s="229">
        <f>SUMIFS([1]!Data_BS[Value],[1]!Data_BS[Index BS],'Khanh Nga'!$B106,[1]!Data_BS[TenCongTyID],'Khanh Nga'!$B$1,[1]!Data_BS[Thang.Nam],'Khanh Nga'!AA$5)</f>
        <v>0</v>
      </c>
      <c r="AB106" s="229">
        <f>SUMIFS([1]!Data_BS[Value],[1]!Data_BS[Index BS],'Khanh Nga'!$B106,[1]!Data_BS[TenCongTyID],'Khanh Nga'!$B$1,[1]!Data_BS[Thang.Nam],'Khanh Nga'!AB$5)</f>
        <v>0</v>
      </c>
      <c r="AC106" s="229">
        <f>SUMIFS([1]!Data_BS[Value],[1]!Data_BS[Index BS],'Khanh Nga'!$B106,[1]!Data_BS[TenCongTyID],'Khanh Nga'!$B$1,[1]!Data_BS[Thang.Nam],'Khanh Nga'!AC$5)</f>
        <v>0</v>
      </c>
      <c r="AD106" s="229">
        <f>SUMIFS([1]!Data_BS[Value],[1]!Data_BS[Index BS],'Khanh Nga'!$B106,[1]!Data_BS[TenCongTyID],'Khanh Nga'!$B$1,[1]!Data_BS[Thang.Nam],'Khanh Nga'!AD$5)</f>
        <v>0</v>
      </c>
      <c r="AE106" s="229">
        <f>SUMIFS([1]!Data_BS[Value],[1]!Data_BS[Index BS],'Khanh Nga'!$B106,[1]!Data_BS[TenCongTyID],'Khanh Nga'!$B$1,[1]!Data_BS[Thang.Nam],'Khanh Nga'!AE$5)</f>
        <v>0</v>
      </c>
      <c r="AF106" s="229">
        <f>SUMIFS([1]!Data_BS[Value],[1]!Data_BS[Index BS],'Khanh Nga'!$B106,[1]!Data_BS[TenCongTyID],'Khanh Nga'!$B$1,[1]!Data_BS[Thang.Nam],'Khanh Nga'!AF$5)</f>
        <v>0</v>
      </c>
      <c r="AG106" s="229">
        <f>SUMIFS([1]!Data_BS[Value],[1]!Data_BS[Index BS],'Khanh Nga'!$B106,[1]!Data_BS[TenCongTyID],'Khanh Nga'!$B$1,[1]!Data_BS[Thang.Nam],'Khanh Nga'!AG$5)</f>
        <v>0</v>
      </c>
      <c r="AH106" s="229">
        <f>SUMIFS([1]!Data_BS[Value],[1]!Data_BS[Index BS],'Khanh Nga'!$B106,[1]!Data_BS[TenCongTyID],'Khanh Nga'!$B$1,[1]!Data_BS[Thang.Nam],'Khanh Nga'!AH$5)</f>
        <v>0</v>
      </c>
      <c r="AI106" s="229">
        <f>SUMIFS([1]!Data_BS[Value],[1]!Data_BS[Index BS],'Khanh Nga'!$B106,[1]!Data_BS[TenCongTyID],'Khanh Nga'!$B$1,[1]!Data_BS[Thang.Nam],'Khanh Nga'!AI$5)</f>
        <v>0</v>
      </c>
      <c r="AJ106" s="229">
        <f>SUMIFS([1]!Data_BS[Value],[1]!Data_BS[Index BS],'Khanh Nga'!$B106,[1]!Data_BS[TenCongTyID],'Khanh Nga'!$B$1,[1]!Data_BS[Thang.Nam],'Khanh Nga'!AJ$5)</f>
        <v>0</v>
      </c>
      <c r="AK106" s="229">
        <f>SUMIFS([1]!Data_BS[Value],[1]!Data_BS[Index BS],'Khanh Nga'!$B106,[1]!Data_BS[TenCongTyID],'Khanh Nga'!$B$1,[1]!Data_BS[Thang.Nam],'Khanh Nga'!AK$5)</f>
        <v>0</v>
      </c>
      <c r="AL106" s="229">
        <f>SUMIFS([1]!Data_BS[Value],[1]!Data_BS[Index BS],'Khanh Nga'!$B106,[1]!Data_BS[TenCongTyID],'Khanh Nga'!$B$1,[1]!Data_BS[Thang.Nam],'Khanh Nga'!AL$5)</f>
        <v>0</v>
      </c>
    </row>
    <row r="107" spans="1:38" ht="15" hidden="1" customHeight="1" outlineLevel="1">
      <c r="A107" s="67" t="s">
        <v>191</v>
      </c>
      <c r="B107" s="63">
        <v>102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/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/>
      <c r="X107" s="229">
        <v>0</v>
      </c>
      <c r="Y107" s="229"/>
      <c r="Z107" s="229">
        <v>0</v>
      </c>
      <c r="AA107" s="229">
        <f>SUMIFS([1]!Data_BS[Value],[1]!Data_BS[Index BS],'Khanh Nga'!$B107,[1]!Data_BS[TenCongTyID],'Khanh Nga'!$B$1,[1]!Data_BS[Thang.Nam],'Khanh Nga'!AA$5)</f>
        <v>0</v>
      </c>
      <c r="AB107" s="229">
        <f>SUMIFS([1]!Data_BS[Value],[1]!Data_BS[Index BS],'Khanh Nga'!$B107,[1]!Data_BS[TenCongTyID],'Khanh Nga'!$B$1,[1]!Data_BS[Thang.Nam],'Khanh Nga'!AB$5)</f>
        <v>0</v>
      </c>
      <c r="AC107" s="229">
        <f>SUMIFS([1]!Data_BS[Value],[1]!Data_BS[Index BS],'Khanh Nga'!$B107,[1]!Data_BS[TenCongTyID],'Khanh Nga'!$B$1,[1]!Data_BS[Thang.Nam],'Khanh Nga'!AC$5)</f>
        <v>0</v>
      </c>
      <c r="AD107" s="229">
        <f>SUMIFS([1]!Data_BS[Value],[1]!Data_BS[Index BS],'Khanh Nga'!$B107,[1]!Data_BS[TenCongTyID],'Khanh Nga'!$B$1,[1]!Data_BS[Thang.Nam],'Khanh Nga'!AD$5)</f>
        <v>0</v>
      </c>
      <c r="AE107" s="229">
        <f>SUMIFS([1]!Data_BS[Value],[1]!Data_BS[Index BS],'Khanh Nga'!$B107,[1]!Data_BS[TenCongTyID],'Khanh Nga'!$B$1,[1]!Data_BS[Thang.Nam],'Khanh Nga'!AE$5)</f>
        <v>0</v>
      </c>
      <c r="AF107" s="229">
        <f>SUMIFS([1]!Data_BS[Value],[1]!Data_BS[Index BS],'Khanh Nga'!$B107,[1]!Data_BS[TenCongTyID],'Khanh Nga'!$B$1,[1]!Data_BS[Thang.Nam],'Khanh Nga'!AF$5)</f>
        <v>0</v>
      </c>
      <c r="AG107" s="229">
        <f>SUMIFS([1]!Data_BS[Value],[1]!Data_BS[Index BS],'Khanh Nga'!$B107,[1]!Data_BS[TenCongTyID],'Khanh Nga'!$B$1,[1]!Data_BS[Thang.Nam],'Khanh Nga'!AG$5)</f>
        <v>0</v>
      </c>
      <c r="AH107" s="229">
        <f>SUMIFS([1]!Data_BS[Value],[1]!Data_BS[Index BS],'Khanh Nga'!$B107,[1]!Data_BS[TenCongTyID],'Khanh Nga'!$B$1,[1]!Data_BS[Thang.Nam],'Khanh Nga'!AH$5)</f>
        <v>0</v>
      </c>
      <c r="AI107" s="229">
        <f>SUMIFS([1]!Data_BS[Value],[1]!Data_BS[Index BS],'Khanh Nga'!$B107,[1]!Data_BS[TenCongTyID],'Khanh Nga'!$B$1,[1]!Data_BS[Thang.Nam],'Khanh Nga'!AI$5)</f>
        <v>0</v>
      </c>
      <c r="AJ107" s="229">
        <f>SUMIFS([1]!Data_BS[Value],[1]!Data_BS[Index BS],'Khanh Nga'!$B107,[1]!Data_BS[TenCongTyID],'Khanh Nga'!$B$1,[1]!Data_BS[Thang.Nam],'Khanh Nga'!AJ$5)</f>
        <v>0</v>
      </c>
      <c r="AK107" s="229">
        <f>SUMIFS([1]!Data_BS[Value],[1]!Data_BS[Index BS],'Khanh Nga'!$B107,[1]!Data_BS[TenCongTyID],'Khanh Nga'!$B$1,[1]!Data_BS[Thang.Nam],'Khanh Nga'!AK$5)</f>
        <v>0</v>
      </c>
      <c r="AL107" s="229">
        <f>SUMIFS([1]!Data_BS[Value],[1]!Data_BS[Index BS],'Khanh Nga'!$B107,[1]!Data_BS[TenCongTyID],'Khanh Nga'!$B$1,[1]!Data_BS[Thang.Nam],'Khanh Nga'!AL$5)</f>
        <v>0</v>
      </c>
    </row>
    <row r="108" spans="1:38" ht="15" hidden="1" customHeight="1" outlineLevel="1">
      <c r="A108" s="67" t="s">
        <v>192</v>
      </c>
      <c r="B108" s="63">
        <v>103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/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/>
      <c r="X108" s="229">
        <v>0</v>
      </c>
      <c r="Y108" s="229"/>
      <c r="Z108" s="229">
        <v>0</v>
      </c>
      <c r="AA108" s="229">
        <f>SUMIFS([1]!Data_BS[Value],[1]!Data_BS[Index BS],'Khanh Nga'!$B108,[1]!Data_BS[TenCongTyID],'Khanh Nga'!$B$1,[1]!Data_BS[Thang.Nam],'Khanh Nga'!AA$5)</f>
        <v>0</v>
      </c>
      <c r="AB108" s="229">
        <f>SUMIFS([1]!Data_BS[Value],[1]!Data_BS[Index BS],'Khanh Nga'!$B108,[1]!Data_BS[TenCongTyID],'Khanh Nga'!$B$1,[1]!Data_BS[Thang.Nam],'Khanh Nga'!AB$5)</f>
        <v>0</v>
      </c>
      <c r="AC108" s="229">
        <f>SUMIFS([1]!Data_BS[Value],[1]!Data_BS[Index BS],'Khanh Nga'!$B108,[1]!Data_BS[TenCongTyID],'Khanh Nga'!$B$1,[1]!Data_BS[Thang.Nam],'Khanh Nga'!AC$5)</f>
        <v>0</v>
      </c>
      <c r="AD108" s="229">
        <f>SUMIFS([1]!Data_BS[Value],[1]!Data_BS[Index BS],'Khanh Nga'!$B108,[1]!Data_BS[TenCongTyID],'Khanh Nga'!$B$1,[1]!Data_BS[Thang.Nam],'Khanh Nga'!AD$5)</f>
        <v>0</v>
      </c>
      <c r="AE108" s="229">
        <f>SUMIFS([1]!Data_BS[Value],[1]!Data_BS[Index BS],'Khanh Nga'!$B108,[1]!Data_BS[TenCongTyID],'Khanh Nga'!$B$1,[1]!Data_BS[Thang.Nam],'Khanh Nga'!AE$5)</f>
        <v>0</v>
      </c>
      <c r="AF108" s="229">
        <f>SUMIFS([1]!Data_BS[Value],[1]!Data_BS[Index BS],'Khanh Nga'!$B108,[1]!Data_BS[TenCongTyID],'Khanh Nga'!$B$1,[1]!Data_BS[Thang.Nam],'Khanh Nga'!AF$5)</f>
        <v>0</v>
      </c>
      <c r="AG108" s="229">
        <f>SUMIFS([1]!Data_BS[Value],[1]!Data_BS[Index BS],'Khanh Nga'!$B108,[1]!Data_BS[TenCongTyID],'Khanh Nga'!$B$1,[1]!Data_BS[Thang.Nam],'Khanh Nga'!AG$5)</f>
        <v>0</v>
      </c>
      <c r="AH108" s="229">
        <f>SUMIFS([1]!Data_BS[Value],[1]!Data_BS[Index BS],'Khanh Nga'!$B108,[1]!Data_BS[TenCongTyID],'Khanh Nga'!$B$1,[1]!Data_BS[Thang.Nam],'Khanh Nga'!AH$5)</f>
        <v>0</v>
      </c>
      <c r="AI108" s="229">
        <f>SUMIFS([1]!Data_BS[Value],[1]!Data_BS[Index BS],'Khanh Nga'!$B108,[1]!Data_BS[TenCongTyID],'Khanh Nga'!$B$1,[1]!Data_BS[Thang.Nam],'Khanh Nga'!AI$5)</f>
        <v>0</v>
      </c>
      <c r="AJ108" s="229">
        <f>SUMIFS([1]!Data_BS[Value],[1]!Data_BS[Index BS],'Khanh Nga'!$B108,[1]!Data_BS[TenCongTyID],'Khanh Nga'!$B$1,[1]!Data_BS[Thang.Nam],'Khanh Nga'!AJ$5)</f>
        <v>0</v>
      </c>
      <c r="AK108" s="229">
        <f>SUMIFS([1]!Data_BS[Value],[1]!Data_BS[Index BS],'Khanh Nga'!$B108,[1]!Data_BS[TenCongTyID],'Khanh Nga'!$B$1,[1]!Data_BS[Thang.Nam],'Khanh Nga'!AK$5)</f>
        <v>0</v>
      </c>
      <c r="AL108" s="229">
        <f>SUMIFS([1]!Data_BS[Value],[1]!Data_BS[Index BS],'Khanh Nga'!$B108,[1]!Data_BS[TenCongTyID],'Khanh Nga'!$B$1,[1]!Data_BS[Thang.Nam],'Khanh Nga'!AL$5)</f>
        <v>0</v>
      </c>
    </row>
    <row r="109" spans="1:38" ht="15" hidden="1" customHeight="1" outlineLevel="1">
      <c r="A109" s="67" t="s">
        <v>193</v>
      </c>
      <c r="B109" s="63">
        <v>104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/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/>
      <c r="X109" s="229">
        <v>0</v>
      </c>
      <c r="Y109" s="229"/>
      <c r="Z109" s="229">
        <v>0</v>
      </c>
      <c r="AA109" s="229">
        <f>SUMIFS([1]!Data_BS[Value],[1]!Data_BS[Index BS],'Khanh Nga'!$B109,[1]!Data_BS[TenCongTyID],'Khanh Nga'!$B$1,[1]!Data_BS[Thang.Nam],'Khanh Nga'!AA$5)</f>
        <v>0</v>
      </c>
      <c r="AB109" s="229">
        <f>SUMIFS([1]!Data_BS[Value],[1]!Data_BS[Index BS],'Khanh Nga'!$B109,[1]!Data_BS[TenCongTyID],'Khanh Nga'!$B$1,[1]!Data_BS[Thang.Nam],'Khanh Nga'!AB$5)</f>
        <v>0</v>
      </c>
      <c r="AC109" s="229">
        <f>SUMIFS([1]!Data_BS[Value],[1]!Data_BS[Index BS],'Khanh Nga'!$B109,[1]!Data_BS[TenCongTyID],'Khanh Nga'!$B$1,[1]!Data_BS[Thang.Nam],'Khanh Nga'!AC$5)</f>
        <v>0</v>
      </c>
      <c r="AD109" s="229">
        <f>SUMIFS([1]!Data_BS[Value],[1]!Data_BS[Index BS],'Khanh Nga'!$B109,[1]!Data_BS[TenCongTyID],'Khanh Nga'!$B$1,[1]!Data_BS[Thang.Nam],'Khanh Nga'!AD$5)</f>
        <v>0</v>
      </c>
      <c r="AE109" s="229">
        <f>SUMIFS([1]!Data_BS[Value],[1]!Data_BS[Index BS],'Khanh Nga'!$B109,[1]!Data_BS[TenCongTyID],'Khanh Nga'!$B$1,[1]!Data_BS[Thang.Nam],'Khanh Nga'!AE$5)</f>
        <v>0</v>
      </c>
      <c r="AF109" s="229">
        <f>SUMIFS([1]!Data_BS[Value],[1]!Data_BS[Index BS],'Khanh Nga'!$B109,[1]!Data_BS[TenCongTyID],'Khanh Nga'!$B$1,[1]!Data_BS[Thang.Nam],'Khanh Nga'!AF$5)</f>
        <v>0</v>
      </c>
      <c r="AG109" s="229">
        <f>SUMIFS([1]!Data_BS[Value],[1]!Data_BS[Index BS],'Khanh Nga'!$B109,[1]!Data_BS[TenCongTyID],'Khanh Nga'!$B$1,[1]!Data_BS[Thang.Nam],'Khanh Nga'!AG$5)</f>
        <v>0</v>
      </c>
      <c r="AH109" s="229">
        <f>SUMIFS([1]!Data_BS[Value],[1]!Data_BS[Index BS],'Khanh Nga'!$B109,[1]!Data_BS[TenCongTyID],'Khanh Nga'!$B$1,[1]!Data_BS[Thang.Nam],'Khanh Nga'!AH$5)</f>
        <v>0</v>
      </c>
      <c r="AI109" s="229">
        <f>SUMIFS([1]!Data_BS[Value],[1]!Data_BS[Index BS],'Khanh Nga'!$B109,[1]!Data_BS[TenCongTyID],'Khanh Nga'!$B$1,[1]!Data_BS[Thang.Nam],'Khanh Nga'!AI$5)</f>
        <v>0</v>
      </c>
      <c r="AJ109" s="229">
        <f>SUMIFS([1]!Data_BS[Value],[1]!Data_BS[Index BS],'Khanh Nga'!$B109,[1]!Data_BS[TenCongTyID],'Khanh Nga'!$B$1,[1]!Data_BS[Thang.Nam],'Khanh Nga'!AJ$5)</f>
        <v>0</v>
      </c>
      <c r="AK109" s="229">
        <f>SUMIFS([1]!Data_BS[Value],[1]!Data_BS[Index BS],'Khanh Nga'!$B109,[1]!Data_BS[TenCongTyID],'Khanh Nga'!$B$1,[1]!Data_BS[Thang.Nam],'Khanh Nga'!AK$5)</f>
        <v>0</v>
      </c>
      <c r="AL109" s="229">
        <f>SUMIFS([1]!Data_BS[Value],[1]!Data_BS[Index BS],'Khanh Nga'!$B109,[1]!Data_BS[TenCongTyID],'Khanh Nga'!$B$1,[1]!Data_BS[Thang.Nam],'Khanh Nga'!AL$5)</f>
        <v>0</v>
      </c>
    </row>
    <row r="110" spans="1:38" ht="15" hidden="1" customHeight="1" outlineLevel="1">
      <c r="A110" s="67" t="s">
        <v>194</v>
      </c>
      <c r="B110" s="63">
        <v>105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/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/>
      <c r="X110" s="229">
        <v>0</v>
      </c>
      <c r="Y110" s="229"/>
      <c r="Z110" s="229">
        <v>0</v>
      </c>
      <c r="AA110" s="229">
        <f>SUMIFS([1]!Data_BS[Value],[1]!Data_BS[Index BS],'Khanh Nga'!$B110,[1]!Data_BS[TenCongTyID],'Khanh Nga'!$B$1,[1]!Data_BS[Thang.Nam],'Khanh Nga'!AA$5)</f>
        <v>0</v>
      </c>
      <c r="AB110" s="229">
        <f>SUMIFS([1]!Data_BS[Value],[1]!Data_BS[Index BS],'Khanh Nga'!$B110,[1]!Data_BS[TenCongTyID],'Khanh Nga'!$B$1,[1]!Data_BS[Thang.Nam],'Khanh Nga'!AB$5)</f>
        <v>0</v>
      </c>
      <c r="AC110" s="229">
        <f>SUMIFS([1]!Data_BS[Value],[1]!Data_BS[Index BS],'Khanh Nga'!$B110,[1]!Data_BS[TenCongTyID],'Khanh Nga'!$B$1,[1]!Data_BS[Thang.Nam],'Khanh Nga'!AC$5)</f>
        <v>0</v>
      </c>
      <c r="AD110" s="229">
        <f>SUMIFS([1]!Data_BS[Value],[1]!Data_BS[Index BS],'Khanh Nga'!$B110,[1]!Data_BS[TenCongTyID],'Khanh Nga'!$B$1,[1]!Data_BS[Thang.Nam],'Khanh Nga'!AD$5)</f>
        <v>0</v>
      </c>
      <c r="AE110" s="229">
        <f>SUMIFS([1]!Data_BS[Value],[1]!Data_BS[Index BS],'Khanh Nga'!$B110,[1]!Data_BS[TenCongTyID],'Khanh Nga'!$B$1,[1]!Data_BS[Thang.Nam],'Khanh Nga'!AE$5)</f>
        <v>0</v>
      </c>
      <c r="AF110" s="229">
        <f>SUMIFS([1]!Data_BS[Value],[1]!Data_BS[Index BS],'Khanh Nga'!$B110,[1]!Data_BS[TenCongTyID],'Khanh Nga'!$B$1,[1]!Data_BS[Thang.Nam],'Khanh Nga'!AF$5)</f>
        <v>0</v>
      </c>
      <c r="AG110" s="229">
        <f>SUMIFS([1]!Data_BS[Value],[1]!Data_BS[Index BS],'Khanh Nga'!$B110,[1]!Data_BS[TenCongTyID],'Khanh Nga'!$B$1,[1]!Data_BS[Thang.Nam],'Khanh Nga'!AG$5)</f>
        <v>0</v>
      </c>
      <c r="AH110" s="229">
        <f>SUMIFS([1]!Data_BS[Value],[1]!Data_BS[Index BS],'Khanh Nga'!$B110,[1]!Data_BS[TenCongTyID],'Khanh Nga'!$B$1,[1]!Data_BS[Thang.Nam],'Khanh Nga'!AH$5)</f>
        <v>0</v>
      </c>
      <c r="AI110" s="229">
        <f>SUMIFS([1]!Data_BS[Value],[1]!Data_BS[Index BS],'Khanh Nga'!$B110,[1]!Data_BS[TenCongTyID],'Khanh Nga'!$B$1,[1]!Data_BS[Thang.Nam],'Khanh Nga'!AI$5)</f>
        <v>0</v>
      </c>
      <c r="AJ110" s="229">
        <f>SUMIFS([1]!Data_BS[Value],[1]!Data_BS[Index BS],'Khanh Nga'!$B110,[1]!Data_BS[TenCongTyID],'Khanh Nga'!$B$1,[1]!Data_BS[Thang.Nam],'Khanh Nga'!AJ$5)</f>
        <v>0</v>
      </c>
      <c r="AK110" s="229">
        <f>SUMIFS([1]!Data_BS[Value],[1]!Data_BS[Index BS],'Khanh Nga'!$B110,[1]!Data_BS[TenCongTyID],'Khanh Nga'!$B$1,[1]!Data_BS[Thang.Nam],'Khanh Nga'!AK$5)</f>
        <v>0</v>
      </c>
      <c r="AL110" s="229">
        <f>SUMIFS([1]!Data_BS[Value],[1]!Data_BS[Index BS],'Khanh Nga'!$B110,[1]!Data_BS[TenCongTyID],'Khanh Nga'!$B$1,[1]!Data_BS[Thang.Nam],'Khanh Nga'!AL$5)</f>
        <v>0</v>
      </c>
    </row>
    <row r="111" spans="1:38" ht="15" hidden="1" customHeight="1" outlineLevel="1">
      <c r="A111" s="67" t="s">
        <v>195</v>
      </c>
      <c r="B111" s="63">
        <v>106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/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/>
      <c r="X111" s="229">
        <v>0</v>
      </c>
      <c r="Y111" s="229"/>
      <c r="Z111" s="229">
        <v>0</v>
      </c>
      <c r="AA111" s="229">
        <f>SUMIFS([1]!Data_BS[Value],[1]!Data_BS[Index BS],'Khanh Nga'!$B111,[1]!Data_BS[TenCongTyID],'Khanh Nga'!$B$1,[1]!Data_BS[Thang.Nam],'Khanh Nga'!AA$5)</f>
        <v>0</v>
      </c>
      <c r="AB111" s="229">
        <f>SUMIFS([1]!Data_BS[Value],[1]!Data_BS[Index BS],'Khanh Nga'!$B111,[1]!Data_BS[TenCongTyID],'Khanh Nga'!$B$1,[1]!Data_BS[Thang.Nam],'Khanh Nga'!AB$5)</f>
        <v>0</v>
      </c>
      <c r="AC111" s="229">
        <f>SUMIFS([1]!Data_BS[Value],[1]!Data_BS[Index BS],'Khanh Nga'!$B111,[1]!Data_BS[TenCongTyID],'Khanh Nga'!$B$1,[1]!Data_BS[Thang.Nam],'Khanh Nga'!AC$5)</f>
        <v>0</v>
      </c>
      <c r="AD111" s="229">
        <f>SUMIFS([1]!Data_BS[Value],[1]!Data_BS[Index BS],'Khanh Nga'!$B111,[1]!Data_BS[TenCongTyID],'Khanh Nga'!$B$1,[1]!Data_BS[Thang.Nam],'Khanh Nga'!AD$5)</f>
        <v>0</v>
      </c>
      <c r="AE111" s="229">
        <f>SUMIFS([1]!Data_BS[Value],[1]!Data_BS[Index BS],'Khanh Nga'!$B111,[1]!Data_BS[TenCongTyID],'Khanh Nga'!$B$1,[1]!Data_BS[Thang.Nam],'Khanh Nga'!AE$5)</f>
        <v>0</v>
      </c>
      <c r="AF111" s="229">
        <f>SUMIFS([1]!Data_BS[Value],[1]!Data_BS[Index BS],'Khanh Nga'!$B111,[1]!Data_BS[TenCongTyID],'Khanh Nga'!$B$1,[1]!Data_BS[Thang.Nam],'Khanh Nga'!AF$5)</f>
        <v>0</v>
      </c>
      <c r="AG111" s="229">
        <f>SUMIFS([1]!Data_BS[Value],[1]!Data_BS[Index BS],'Khanh Nga'!$B111,[1]!Data_BS[TenCongTyID],'Khanh Nga'!$B$1,[1]!Data_BS[Thang.Nam],'Khanh Nga'!AG$5)</f>
        <v>0</v>
      </c>
      <c r="AH111" s="229">
        <f>SUMIFS([1]!Data_BS[Value],[1]!Data_BS[Index BS],'Khanh Nga'!$B111,[1]!Data_BS[TenCongTyID],'Khanh Nga'!$B$1,[1]!Data_BS[Thang.Nam],'Khanh Nga'!AH$5)</f>
        <v>0</v>
      </c>
      <c r="AI111" s="229">
        <f>SUMIFS([1]!Data_BS[Value],[1]!Data_BS[Index BS],'Khanh Nga'!$B111,[1]!Data_BS[TenCongTyID],'Khanh Nga'!$B$1,[1]!Data_BS[Thang.Nam],'Khanh Nga'!AI$5)</f>
        <v>0</v>
      </c>
      <c r="AJ111" s="229">
        <f>SUMIFS([1]!Data_BS[Value],[1]!Data_BS[Index BS],'Khanh Nga'!$B111,[1]!Data_BS[TenCongTyID],'Khanh Nga'!$B$1,[1]!Data_BS[Thang.Nam],'Khanh Nga'!AJ$5)</f>
        <v>0</v>
      </c>
      <c r="AK111" s="229">
        <f>SUMIFS([1]!Data_BS[Value],[1]!Data_BS[Index BS],'Khanh Nga'!$B111,[1]!Data_BS[TenCongTyID],'Khanh Nga'!$B$1,[1]!Data_BS[Thang.Nam],'Khanh Nga'!AK$5)</f>
        <v>0</v>
      </c>
      <c r="AL111" s="229">
        <f>SUMIFS([1]!Data_BS[Value],[1]!Data_BS[Index BS],'Khanh Nga'!$B111,[1]!Data_BS[TenCongTyID],'Khanh Nga'!$B$1,[1]!Data_BS[Thang.Nam],'Khanh Nga'!AL$5)</f>
        <v>0</v>
      </c>
    </row>
    <row r="112" spans="1:38" ht="15" hidden="1" customHeight="1" outlineLevel="1">
      <c r="A112" s="67" t="s">
        <v>196</v>
      </c>
      <c r="B112" s="63">
        <v>107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/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/>
      <c r="X112" s="229">
        <v>0</v>
      </c>
      <c r="Y112" s="229"/>
      <c r="Z112" s="229">
        <v>0</v>
      </c>
      <c r="AA112" s="229">
        <f>SUMIFS([1]!Data_BS[Value],[1]!Data_BS[Index BS],'Khanh Nga'!$B112,[1]!Data_BS[TenCongTyID],'Khanh Nga'!$B$1,[1]!Data_BS[Thang.Nam],'Khanh Nga'!AA$5)</f>
        <v>0</v>
      </c>
      <c r="AB112" s="229">
        <f>SUMIFS([1]!Data_BS[Value],[1]!Data_BS[Index BS],'Khanh Nga'!$B112,[1]!Data_BS[TenCongTyID],'Khanh Nga'!$B$1,[1]!Data_BS[Thang.Nam],'Khanh Nga'!AB$5)</f>
        <v>0</v>
      </c>
      <c r="AC112" s="229">
        <f>SUMIFS([1]!Data_BS[Value],[1]!Data_BS[Index BS],'Khanh Nga'!$B112,[1]!Data_BS[TenCongTyID],'Khanh Nga'!$B$1,[1]!Data_BS[Thang.Nam],'Khanh Nga'!AC$5)</f>
        <v>0</v>
      </c>
      <c r="AD112" s="229">
        <f>SUMIFS([1]!Data_BS[Value],[1]!Data_BS[Index BS],'Khanh Nga'!$B112,[1]!Data_BS[TenCongTyID],'Khanh Nga'!$B$1,[1]!Data_BS[Thang.Nam],'Khanh Nga'!AD$5)</f>
        <v>0</v>
      </c>
      <c r="AE112" s="229">
        <f>SUMIFS([1]!Data_BS[Value],[1]!Data_BS[Index BS],'Khanh Nga'!$B112,[1]!Data_BS[TenCongTyID],'Khanh Nga'!$B$1,[1]!Data_BS[Thang.Nam],'Khanh Nga'!AE$5)</f>
        <v>0</v>
      </c>
      <c r="AF112" s="229">
        <f>SUMIFS([1]!Data_BS[Value],[1]!Data_BS[Index BS],'Khanh Nga'!$B112,[1]!Data_BS[TenCongTyID],'Khanh Nga'!$B$1,[1]!Data_BS[Thang.Nam],'Khanh Nga'!AF$5)</f>
        <v>0</v>
      </c>
      <c r="AG112" s="229">
        <f>SUMIFS([1]!Data_BS[Value],[1]!Data_BS[Index BS],'Khanh Nga'!$B112,[1]!Data_BS[TenCongTyID],'Khanh Nga'!$B$1,[1]!Data_BS[Thang.Nam],'Khanh Nga'!AG$5)</f>
        <v>0</v>
      </c>
      <c r="AH112" s="229">
        <f>SUMIFS([1]!Data_BS[Value],[1]!Data_BS[Index BS],'Khanh Nga'!$B112,[1]!Data_BS[TenCongTyID],'Khanh Nga'!$B$1,[1]!Data_BS[Thang.Nam],'Khanh Nga'!AH$5)</f>
        <v>0</v>
      </c>
      <c r="AI112" s="229">
        <f>SUMIFS([1]!Data_BS[Value],[1]!Data_BS[Index BS],'Khanh Nga'!$B112,[1]!Data_BS[TenCongTyID],'Khanh Nga'!$B$1,[1]!Data_BS[Thang.Nam],'Khanh Nga'!AI$5)</f>
        <v>0</v>
      </c>
      <c r="AJ112" s="229">
        <f>SUMIFS([1]!Data_BS[Value],[1]!Data_BS[Index BS],'Khanh Nga'!$B112,[1]!Data_BS[TenCongTyID],'Khanh Nga'!$B$1,[1]!Data_BS[Thang.Nam],'Khanh Nga'!AJ$5)</f>
        <v>0</v>
      </c>
      <c r="AK112" s="229">
        <f>SUMIFS([1]!Data_BS[Value],[1]!Data_BS[Index BS],'Khanh Nga'!$B112,[1]!Data_BS[TenCongTyID],'Khanh Nga'!$B$1,[1]!Data_BS[Thang.Nam],'Khanh Nga'!AK$5)</f>
        <v>0</v>
      </c>
      <c r="AL112" s="229">
        <f>SUMIFS([1]!Data_BS[Value],[1]!Data_BS[Index BS],'Khanh Nga'!$B112,[1]!Data_BS[TenCongTyID],'Khanh Nga'!$B$1,[1]!Data_BS[Thang.Nam],'Khanh Nga'!AL$5)</f>
        <v>0</v>
      </c>
    </row>
    <row r="113" spans="1:38" ht="15" hidden="1" customHeight="1" outlineLevel="1">
      <c r="A113" s="67" t="s">
        <v>197</v>
      </c>
      <c r="B113" s="63">
        <v>108</v>
      </c>
      <c r="C113" s="229">
        <v>0</v>
      </c>
      <c r="D113" s="229">
        <v>0</v>
      </c>
      <c r="E113" s="229">
        <v>0</v>
      </c>
      <c r="F113" s="229">
        <v>0</v>
      </c>
      <c r="G113" s="229">
        <v>0</v>
      </c>
      <c r="H113" s="229">
        <v>0</v>
      </c>
      <c r="I113" s="229">
        <v>0</v>
      </c>
      <c r="J113" s="229">
        <v>0</v>
      </c>
      <c r="K113" s="229">
        <v>0</v>
      </c>
      <c r="L113" s="229">
        <v>0</v>
      </c>
      <c r="M113" s="229">
        <v>0</v>
      </c>
      <c r="N113" s="229"/>
      <c r="O113" s="229">
        <v>0</v>
      </c>
      <c r="P113" s="229">
        <v>0</v>
      </c>
      <c r="Q113" s="229">
        <v>0</v>
      </c>
      <c r="R113" s="229">
        <v>0</v>
      </c>
      <c r="S113" s="229">
        <v>0</v>
      </c>
      <c r="T113" s="229">
        <v>0</v>
      </c>
      <c r="U113" s="229">
        <v>0</v>
      </c>
      <c r="V113" s="229">
        <v>0</v>
      </c>
      <c r="W113" s="229"/>
      <c r="X113" s="229">
        <v>0</v>
      </c>
      <c r="Y113" s="229"/>
      <c r="Z113" s="229">
        <v>0</v>
      </c>
      <c r="AA113" s="229">
        <f>SUMIFS([1]!Data_BS[Value],[1]!Data_BS[Index BS],'Khanh Nga'!$B113,[1]!Data_BS[TenCongTyID],'Khanh Nga'!$B$1,[1]!Data_BS[Thang.Nam],'Khanh Nga'!AA$5)</f>
        <v>0</v>
      </c>
      <c r="AB113" s="229">
        <f>SUMIFS([1]!Data_BS[Value],[1]!Data_BS[Index BS],'Khanh Nga'!$B113,[1]!Data_BS[TenCongTyID],'Khanh Nga'!$B$1,[1]!Data_BS[Thang.Nam],'Khanh Nga'!AB$5)</f>
        <v>0</v>
      </c>
      <c r="AC113" s="229">
        <f>SUMIFS([1]!Data_BS[Value],[1]!Data_BS[Index BS],'Khanh Nga'!$B113,[1]!Data_BS[TenCongTyID],'Khanh Nga'!$B$1,[1]!Data_BS[Thang.Nam],'Khanh Nga'!AC$5)</f>
        <v>0</v>
      </c>
      <c r="AD113" s="229">
        <f>SUMIFS([1]!Data_BS[Value],[1]!Data_BS[Index BS],'Khanh Nga'!$B113,[1]!Data_BS[TenCongTyID],'Khanh Nga'!$B$1,[1]!Data_BS[Thang.Nam],'Khanh Nga'!AD$5)</f>
        <v>0</v>
      </c>
      <c r="AE113" s="229">
        <f>SUMIFS([1]!Data_BS[Value],[1]!Data_BS[Index BS],'Khanh Nga'!$B113,[1]!Data_BS[TenCongTyID],'Khanh Nga'!$B$1,[1]!Data_BS[Thang.Nam],'Khanh Nga'!AE$5)</f>
        <v>0</v>
      </c>
      <c r="AF113" s="229">
        <f>SUMIFS([1]!Data_BS[Value],[1]!Data_BS[Index BS],'Khanh Nga'!$B113,[1]!Data_BS[TenCongTyID],'Khanh Nga'!$B$1,[1]!Data_BS[Thang.Nam],'Khanh Nga'!AF$5)</f>
        <v>0</v>
      </c>
      <c r="AG113" s="229">
        <f>SUMIFS([1]!Data_BS[Value],[1]!Data_BS[Index BS],'Khanh Nga'!$B113,[1]!Data_BS[TenCongTyID],'Khanh Nga'!$B$1,[1]!Data_BS[Thang.Nam],'Khanh Nga'!AG$5)</f>
        <v>0</v>
      </c>
      <c r="AH113" s="229">
        <f>SUMIFS([1]!Data_BS[Value],[1]!Data_BS[Index BS],'Khanh Nga'!$B113,[1]!Data_BS[TenCongTyID],'Khanh Nga'!$B$1,[1]!Data_BS[Thang.Nam],'Khanh Nga'!AH$5)</f>
        <v>0</v>
      </c>
      <c r="AI113" s="229">
        <f>SUMIFS([1]!Data_BS[Value],[1]!Data_BS[Index BS],'Khanh Nga'!$B113,[1]!Data_BS[TenCongTyID],'Khanh Nga'!$B$1,[1]!Data_BS[Thang.Nam],'Khanh Nga'!AI$5)</f>
        <v>0</v>
      </c>
      <c r="AJ113" s="229">
        <f>SUMIFS([1]!Data_BS[Value],[1]!Data_BS[Index BS],'Khanh Nga'!$B113,[1]!Data_BS[TenCongTyID],'Khanh Nga'!$B$1,[1]!Data_BS[Thang.Nam],'Khanh Nga'!AJ$5)</f>
        <v>0</v>
      </c>
      <c r="AK113" s="229">
        <f>SUMIFS([1]!Data_BS[Value],[1]!Data_BS[Index BS],'Khanh Nga'!$B113,[1]!Data_BS[TenCongTyID],'Khanh Nga'!$B$1,[1]!Data_BS[Thang.Nam],'Khanh Nga'!AK$5)</f>
        <v>0</v>
      </c>
      <c r="AL113" s="229">
        <f>SUMIFS([1]!Data_BS[Value],[1]!Data_BS[Index BS],'Khanh Nga'!$B113,[1]!Data_BS[TenCongTyID],'Khanh Nga'!$B$1,[1]!Data_BS[Thang.Nam],'Khanh Nga'!AL$5)</f>
        <v>0</v>
      </c>
    </row>
    <row r="114" spans="1:38" ht="15" hidden="1" customHeight="1" outlineLevel="1">
      <c r="A114" s="67" t="s">
        <v>198</v>
      </c>
      <c r="B114" s="63">
        <v>109</v>
      </c>
      <c r="C114" s="229">
        <v>0</v>
      </c>
      <c r="D114" s="229">
        <v>0</v>
      </c>
      <c r="E114" s="229">
        <v>0</v>
      </c>
      <c r="F114" s="229">
        <v>0</v>
      </c>
      <c r="G114" s="229">
        <v>0</v>
      </c>
      <c r="H114" s="229">
        <v>0</v>
      </c>
      <c r="I114" s="229">
        <v>0</v>
      </c>
      <c r="J114" s="229">
        <v>0</v>
      </c>
      <c r="K114" s="229">
        <v>0</v>
      </c>
      <c r="L114" s="229">
        <v>0</v>
      </c>
      <c r="M114" s="229">
        <v>0</v>
      </c>
      <c r="N114" s="229"/>
      <c r="O114" s="229">
        <v>0</v>
      </c>
      <c r="P114" s="229">
        <v>0</v>
      </c>
      <c r="Q114" s="229">
        <v>0</v>
      </c>
      <c r="R114" s="229">
        <v>0</v>
      </c>
      <c r="S114" s="229">
        <v>0</v>
      </c>
      <c r="T114" s="229">
        <v>0</v>
      </c>
      <c r="U114" s="229">
        <v>0</v>
      </c>
      <c r="V114" s="229">
        <v>0</v>
      </c>
      <c r="W114" s="229"/>
      <c r="X114" s="229">
        <v>0</v>
      </c>
      <c r="Y114" s="229"/>
      <c r="Z114" s="229">
        <v>0</v>
      </c>
      <c r="AA114" s="229">
        <f>SUMIFS([1]!Data_BS[Value],[1]!Data_BS[Index BS],'Khanh Nga'!$B114,[1]!Data_BS[TenCongTyID],'Khanh Nga'!$B$1,[1]!Data_BS[Thang.Nam],'Khanh Nga'!AA$5)</f>
        <v>0</v>
      </c>
      <c r="AB114" s="229">
        <f>SUMIFS([1]!Data_BS[Value],[1]!Data_BS[Index BS],'Khanh Nga'!$B114,[1]!Data_BS[TenCongTyID],'Khanh Nga'!$B$1,[1]!Data_BS[Thang.Nam],'Khanh Nga'!AB$5)</f>
        <v>0</v>
      </c>
      <c r="AC114" s="229">
        <f>SUMIFS([1]!Data_BS[Value],[1]!Data_BS[Index BS],'Khanh Nga'!$B114,[1]!Data_BS[TenCongTyID],'Khanh Nga'!$B$1,[1]!Data_BS[Thang.Nam],'Khanh Nga'!AC$5)</f>
        <v>0</v>
      </c>
      <c r="AD114" s="229">
        <f>SUMIFS([1]!Data_BS[Value],[1]!Data_BS[Index BS],'Khanh Nga'!$B114,[1]!Data_BS[TenCongTyID],'Khanh Nga'!$B$1,[1]!Data_BS[Thang.Nam],'Khanh Nga'!AD$5)</f>
        <v>0</v>
      </c>
      <c r="AE114" s="229">
        <f>SUMIFS([1]!Data_BS[Value],[1]!Data_BS[Index BS],'Khanh Nga'!$B114,[1]!Data_BS[TenCongTyID],'Khanh Nga'!$B$1,[1]!Data_BS[Thang.Nam],'Khanh Nga'!AE$5)</f>
        <v>0</v>
      </c>
      <c r="AF114" s="229">
        <f>SUMIFS([1]!Data_BS[Value],[1]!Data_BS[Index BS],'Khanh Nga'!$B114,[1]!Data_BS[TenCongTyID],'Khanh Nga'!$B$1,[1]!Data_BS[Thang.Nam],'Khanh Nga'!AF$5)</f>
        <v>0</v>
      </c>
      <c r="AG114" s="229">
        <f>SUMIFS([1]!Data_BS[Value],[1]!Data_BS[Index BS],'Khanh Nga'!$B114,[1]!Data_BS[TenCongTyID],'Khanh Nga'!$B$1,[1]!Data_BS[Thang.Nam],'Khanh Nga'!AG$5)</f>
        <v>0</v>
      </c>
      <c r="AH114" s="229">
        <f>SUMIFS([1]!Data_BS[Value],[1]!Data_BS[Index BS],'Khanh Nga'!$B114,[1]!Data_BS[TenCongTyID],'Khanh Nga'!$B$1,[1]!Data_BS[Thang.Nam],'Khanh Nga'!AH$5)</f>
        <v>0</v>
      </c>
      <c r="AI114" s="229">
        <f>SUMIFS([1]!Data_BS[Value],[1]!Data_BS[Index BS],'Khanh Nga'!$B114,[1]!Data_BS[TenCongTyID],'Khanh Nga'!$B$1,[1]!Data_BS[Thang.Nam],'Khanh Nga'!AI$5)</f>
        <v>0</v>
      </c>
      <c r="AJ114" s="229">
        <f>SUMIFS([1]!Data_BS[Value],[1]!Data_BS[Index BS],'Khanh Nga'!$B114,[1]!Data_BS[TenCongTyID],'Khanh Nga'!$B$1,[1]!Data_BS[Thang.Nam],'Khanh Nga'!AJ$5)</f>
        <v>0</v>
      </c>
      <c r="AK114" s="229">
        <f>SUMIFS([1]!Data_BS[Value],[1]!Data_BS[Index BS],'Khanh Nga'!$B114,[1]!Data_BS[TenCongTyID],'Khanh Nga'!$B$1,[1]!Data_BS[Thang.Nam],'Khanh Nga'!AK$5)</f>
        <v>0</v>
      </c>
      <c r="AL114" s="229">
        <f>SUMIFS([1]!Data_BS[Value],[1]!Data_BS[Index BS],'Khanh Nga'!$B114,[1]!Data_BS[TenCongTyID],'Khanh Nga'!$B$1,[1]!Data_BS[Thang.Nam],'Khanh Nga'!AL$5)</f>
        <v>0</v>
      </c>
    </row>
    <row r="115" spans="1:38" ht="15" hidden="1" customHeight="1" outlineLevel="1">
      <c r="A115" s="67" t="s">
        <v>199</v>
      </c>
      <c r="B115" s="63">
        <v>110</v>
      </c>
      <c r="C115" s="229">
        <v>0</v>
      </c>
      <c r="D115" s="229">
        <v>0</v>
      </c>
      <c r="E115" s="229">
        <v>0</v>
      </c>
      <c r="F115" s="229">
        <v>0</v>
      </c>
      <c r="G115" s="229">
        <v>0</v>
      </c>
      <c r="H115" s="229">
        <v>0</v>
      </c>
      <c r="I115" s="229">
        <v>0</v>
      </c>
      <c r="J115" s="229">
        <v>0</v>
      </c>
      <c r="K115" s="229">
        <v>0</v>
      </c>
      <c r="L115" s="229">
        <v>0</v>
      </c>
      <c r="M115" s="229">
        <v>0</v>
      </c>
      <c r="N115" s="229"/>
      <c r="O115" s="229">
        <v>0</v>
      </c>
      <c r="P115" s="229">
        <v>0</v>
      </c>
      <c r="Q115" s="229">
        <v>0</v>
      </c>
      <c r="R115" s="229">
        <v>0</v>
      </c>
      <c r="S115" s="229">
        <v>0</v>
      </c>
      <c r="T115" s="229">
        <v>0</v>
      </c>
      <c r="U115" s="229">
        <v>0</v>
      </c>
      <c r="V115" s="229">
        <v>0</v>
      </c>
      <c r="W115" s="229"/>
      <c r="X115" s="229">
        <v>0</v>
      </c>
      <c r="Y115" s="229"/>
      <c r="Z115" s="229">
        <v>0</v>
      </c>
      <c r="AA115" s="229">
        <f>SUMIFS([1]!Data_BS[Value],[1]!Data_BS[Index BS],'Khanh Nga'!$B115,[1]!Data_BS[TenCongTyID],'Khanh Nga'!$B$1,[1]!Data_BS[Thang.Nam],'Khanh Nga'!AA$5)</f>
        <v>0</v>
      </c>
      <c r="AB115" s="229">
        <f>SUMIFS([1]!Data_BS[Value],[1]!Data_BS[Index BS],'Khanh Nga'!$B115,[1]!Data_BS[TenCongTyID],'Khanh Nga'!$B$1,[1]!Data_BS[Thang.Nam],'Khanh Nga'!AB$5)</f>
        <v>0</v>
      </c>
      <c r="AC115" s="229">
        <f>SUMIFS([1]!Data_BS[Value],[1]!Data_BS[Index BS],'Khanh Nga'!$B115,[1]!Data_BS[TenCongTyID],'Khanh Nga'!$B$1,[1]!Data_BS[Thang.Nam],'Khanh Nga'!AC$5)</f>
        <v>0</v>
      </c>
      <c r="AD115" s="229">
        <f>SUMIFS([1]!Data_BS[Value],[1]!Data_BS[Index BS],'Khanh Nga'!$B115,[1]!Data_BS[TenCongTyID],'Khanh Nga'!$B$1,[1]!Data_BS[Thang.Nam],'Khanh Nga'!AD$5)</f>
        <v>0</v>
      </c>
      <c r="AE115" s="229">
        <f>SUMIFS([1]!Data_BS[Value],[1]!Data_BS[Index BS],'Khanh Nga'!$B115,[1]!Data_BS[TenCongTyID],'Khanh Nga'!$B$1,[1]!Data_BS[Thang.Nam],'Khanh Nga'!AE$5)</f>
        <v>0</v>
      </c>
      <c r="AF115" s="229">
        <f>SUMIFS([1]!Data_BS[Value],[1]!Data_BS[Index BS],'Khanh Nga'!$B115,[1]!Data_BS[TenCongTyID],'Khanh Nga'!$B$1,[1]!Data_BS[Thang.Nam],'Khanh Nga'!AF$5)</f>
        <v>0</v>
      </c>
      <c r="AG115" s="229">
        <f>SUMIFS([1]!Data_BS[Value],[1]!Data_BS[Index BS],'Khanh Nga'!$B115,[1]!Data_BS[TenCongTyID],'Khanh Nga'!$B$1,[1]!Data_BS[Thang.Nam],'Khanh Nga'!AG$5)</f>
        <v>0</v>
      </c>
      <c r="AH115" s="229">
        <f>SUMIFS([1]!Data_BS[Value],[1]!Data_BS[Index BS],'Khanh Nga'!$B115,[1]!Data_BS[TenCongTyID],'Khanh Nga'!$B$1,[1]!Data_BS[Thang.Nam],'Khanh Nga'!AH$5)</f>
        <v>0</v>
      </c>
      <c r="AI115" s="229">
        <f>SUMIFS([1]!Data_BS[Value],[1]!Data_BS[Index BS],'Khanh Nga'!$B115,[1]!Data_BS[TenCongTyID],'Khanh Nga'!$B$1,[1]!Data_BS[Thang.Nam],'Khanh Nga'!AI$5)</f>
        <v>0</v>
      </c>
      <c r="AJ115" s="229">
        <f>SUMIFS([1]!Data_BS[Value],[1]!Data_BS[Index BS],'Khanh Nga'!$B115,[1]!Data_BS[TenCongTyID],'Khanh Nga'!$B$1,[1]!Data_BS[Thang.Nam],'Khanh Nga'!AJ$5)</f>
        <v>0</v>
      </c>
      <c r="AK115" s="229">
        <f>SUMIFS([1]!Data_BS[Value],[1]!Data_BS[Index BS],'Khanh Nga'!$B115,[1]!Data_BS[TenCongTyID],'Khanh Nga'!$B$1,[1]!Data_BS[Thang.Nam],'Khanh Nga'!AK$5)</f>
        <v>0</v>
      </c>
      <c r="AL115" s="229">
        <f>SUMIFS([1]!Data_BS[Value],[1]!Data_BS[Index BS],'Khanh Nga'!$B115,[1]!Data_BS[TenCongTyID],'Khanh Nga'!$B$1,[1]!Data_BS[Thang.Nam],'Khanh Nga'!AL$5)</f>
        <v>0</v>
      </c>
    </row>
    <row r="116" spans="1:38" ht="15" hidden="1" customHeight="1" outlineLevel="1">
      <c r="A116" s="56" t="s">
        <v>200</v>
      </c>
      <c r="B116" s="71">
        <v>111</v>
      </c>
      <c r="C116" s="240">
        <v>12951545120</v>
      </c>
      <c r="D116" s="240">
        <v>12839860196</v>
      </c>
      <c r="E116" s="240">
        <v>13085508411</v>
      </c>
      <c r="F116" s="240">
        <v>12990105098</v>
      </c>
      <c r="G116" s="240">
        <v>12666255301</v>
      </c>
      <c r="H116" s="240">
        <v>12554771630</v>
      </c>
      <c r="I116" s="240">
        <v>12236473645</v>
      </c>
      <c r="J116" s="240">
        <v>11808419271</v>
      </c>
      <c r="K116" s="240">
        <v>11251124079</v>
      </c>
      <c r="L116" s="240">
        <v>11160665381</v>
      </c>
      <c r="M116" s="240">
        <v>11023340811</v>
      </c>
      <c r="N116" s="241">
        <v>10673522415</v>
      </c>
      <c r="O116" s="241">
        <v>9963793786</v>
      </c>
      <c r="P116" s="241">
        <v>9297609208</v>
      </c>
      <c r="Q116" s="241">
        <v>9045972241</v>
      </c>
      <c r="R116" s="241">
        <v>9757259811</v>
      </c>
      <c r="S116" s="241">
        <v>9981988931</v>
      </c>
      <c r="T116" s="241">
        <v>10617176020</v>
      </c>
      <c r="U116" s="241">
        <v>11938856676</v>
      </c>
      <c r="V116" s="241">
        <v>13144761444</v>
      </c>
      <c r="W116" s="241">
        <v>13484492427</v>
      </c>
      <c r="X116" s="241">
        <v>13900895848</v>
      </c>
      <c r="Y116" s="241">
        <v>14280811461</v>
      </c>
      <c r="Z116" s="241">
        <v>14878651855</v>
      </c>
      <c r="AA116" s="241">
        <f>SUMIFS([1]!Data_BS[Value],[1]!Data_BS[Index BS],'Khanh Nga'!$B116,[1]!Data_BS[TenCongTyID],'Khanh Nga'!$B$1,[1]!Data_BS[Thang.Nam],'Khanh Nga'!AA$5)</f>
        <v>0</v>
      </c>
      <c r="AB116" s="241">
        <f>SUMIFS([1]!Data_BS[Value],[1]!Data_BS[Index BS],'Khanh Nga'!$B116,[1]!Data_BS[TenCongTyID],'Khanh Nga'!$B$1,[1]!Data_BS[Thang.Nam],'Khanh Nga'!AB$5)</f>
        <v>0</v>
      </c>
      <c r="AC116" s="241">
        <f>SUMIFS([1]!Data_BS[Value],[1]!Data_BS[Index BS],'Khanh Nga'!$B116,[1]!Data_BS[TenCongTyID],'Khanh Nga'!$B$1,[1]!Data_BS[Thang.Nam],'Khanh Nga'!AC$5)</f>
        <v>0</v>
      </c>
      <c r="AD116" s="241">
        <f>SUMIFS([1]!Data_BS[Value],[1]!Data_BS[Index BS],'Khanh Nga'!$B116,[1]!Data_BS[TenCongTyID],'Khanh Nga'!$B$1,[1]!Data_BS[Thang.Nam],'Khanh Nga'!AD$5)</f>
        <v>0</v>
      </c>
      <c r="AE116" s="241">
        <f>SUMIFS([1]!Data_BS[Value],[1]!Data_BS[Index BS],'Khanh Nga'!$B116,[1]!Data_BS[TenCongTyID],'Khanh Nga'!$B$1,[1]!Data_BS[Thang.Nam],'Khanh Nga'!AE$5)</f>
        <v>0</v>
      </c>
      <c r="AF116" s="241">
        <f>SUMIFS([1]!Data_BS[Value],[1]!Data_BS[Index BS],'Khanh Nga'!$B116,[1]!Data_BS[TenCongTyID],'Khanh Nga'!$B$1,[1]!Data_BS[Thang.Nam],'Khanh Nga'!AF$5)</f>
        <v>0</v>
      </c>
      <c r="AG116" s="241">
        <f>SUMIFS([1]!Data_BS[Value],[1]!Data_BS[Index BS],'Khanh Nga'!$B116,[1]!Data_BS[TenCongTyID],'Khanh Nga'!$B$1,[1]!Data_BS[Thang.Nam],'Khanh Nga'!AG$5)</f>
        <v>0</v>
      </c>
      <c r="AH116" s="241">
        <f>SUMIFS([1]!Data_BS[Value],[1]!Data_BS[Index BS],'Khanh Nga'!$B116,[1]!Data_BS[TenCongTyID],'Khanh Nga'!$B$1,[1]!Data_BS[Thang.Nam],'Khanh Nga'!AH$5)</f>
        <v>0</v>
      </c>
      <c r="AI116" s="241">
        <f>SUMIFS([1]!Data_BS[Value],[1]!Data_BS[Index BS],'Khanh Nga'!$B116,[1]!Data_BS[TenCongTyID],'Khanh Nga'!$B$1,[1]!Data_BS[Thang.Nam],'Khanh Nga'!AI$5)</f>
        <v>0</v>
      </c>
      <c r="AJ116" s="241">
        <f>SUMIFS([1]!Data_BS[Value],[1]!Data_BS[Index BS],'Khanh Nga'!$B116,[1]!Data_BS[TenCongTyID],'Khanh Nga'!$B$1,[1]!Data_BS[Thang.Nam],'Khanh Nga'!AJ$5)</f>
        <v>0</v>
      </c>
      <c r="AK116" s="241">
        <f>SUMIFS([1]!Data_BS[Value],[1]!Data_BS[Index BS],'Khanh Nga'!$B116,[1]!Data_BS[TenCongTyID],'Khanh Nga'!$B$1,[1]!Data_BS[Thang.Nam],'Khanh Nga'!AK$5)</f>
        <v>0</v>
      </c>
      <c r="AL116" s="241">
        <f>SUMIFS([1]!Data_BS[Value],[1]!Data_BS[Index BS],'Khanh Nga'!$B116,[1]!Data_BS[TenCongTyID],'Khanh Nga'!$B$1,[1]!Data_BS[Thang.Nam],'Khanh Nga'!AL$5)</f>
        <v>0</v>
      </c>
    </row>
    <row r="117" spans="1:38" ht="15" hidden="1" customHeight="1" outlineLevel="1">
      <c r="A117" s="67" t="s">
        <v>201</v>
      </c>
      <c r="B117" s="63">
        <v>112</v>
      </c>
      <c r="C117" s="229">
        <v>15000000000</v>
      </c>
      <c r="D117" s="229">
        <v>15000000000</v>
      </c>
      <c r="E117" s="229">
        <v>15000000000</v>
      </c>
      <c r="F117" s="229">
        <v>15000000000</v>
      </c>
      <c r="G117" s="229">
        <v>15000000000</v>
      </c>
      <c r="H117" s="229">
        <v>15000000000</v>
      </c>
      <c r="I117" s="229">
        <v>15000000000</v>
      </c>
      <c r="J117" s="229">
        <v>15000000000</v>
      </c>
      <c r="K117" s="229">
        <v>15000000000</v>
      </c>
      <c r="L117" s="229">
        <v>15000000000</v>
      </c>
      <c r="M117" s="229">
        <v>15000000000</v>
      </c>
      <c r="N117" s="229">
        <v>15000000000</v>
      </c>
      <c r="O117" s="229">
        <v>15000000000</v>
      </c>
      <c r="P117" s="229">
        <v>15000000000</v>
      </c>
      <c r="Q117" s="229">
        <v>15000000000</v>
      </c>
      <c r="R117" s="229">
        <v>15000000000</v>
      </c>
      <c r="S117" s="229">
        <v>15000000000</v>
      </c>
      <c r="T117" s="229">
        <v>15000000000</v>
      </c>
      <c r="U117" s="229">
        <v>15000000000</v>
      </c>
      <c r="V117" s="229">
        <v>15000000000</v>
      </c>
      <c r="W117" s="229">
        <f>W118+W119</f>
        <v>15000000000</v>
      </c>
      <c r="X117" s="229">
        <v>15000000000</v>
      </c>
      <c r="Y117" s="229">
        <v>15000000000</v>
      </c>
      <c r="Z117" s="229">
        <v>15000000000</v>
      </c>
      <c r="AA117" s="229">
        <f>SUMIFS([1]!Data_BS[Value],[1]!Data_BS[Index BS],'Khanh Nga'!$B117,[1]!Data_BS[TenCongTyID],'Khanh Nga'!$B$1,[1]!Data_BS[Thang.Nam],'Khanh Nga'!AA$5)</f>
        <v>0</v>
      </c>
      <c r="AB117" s="229">
        <f>SUMIFS([1]!Data_BS[Value],[1]!Data_BS[Index BS],'Khanh Nga'!$B117,[1]!Data_BS[TenCongTyID],'Khanh Nga'!$B$1,[1]!Data_BS[Thang.Nam],'Khanh Nga'!AB$5)</f>
        <v>0</v>
      </c>
      <c r="AC117" s="229">
        <f>SUMIFS([1]!Data_BS[Value],[1]!Data_BS[Index BS],'Khanh Nga'!$B117,[1]!Data_BS[TenCongTyID],'Khanh Nga'!$B$1,[1]!Data_BS[Thang.Nam],'Khanh Nga'!AC$5)</f>
        <v>0</v>
      </c>
      <c r="AD117" s="229">
        <f>SUMIFS([1]!Data_BS[Value],[1]!Data_BS[Index BS],'Khanh Nga'!$B117,[1]!Data_BS[TenCongTyID],'Khanh Nga'!$B$1,[1]!Data_BS[Thang.Nam],'Khanh Nga'!AD$5)</f>
        <v>0</v>
      </c>
      <c r="AE117" s="229">
        <f>SUMIFS([1]!Data_BS[Value],[1]!Data_BS[Index BS],'Khanh Nga'!$B117,[1]!Data_BS[TenCongTyID],'Khanh Nga'!$B$1,[1]!Data_BS[Thang.Nam],'Khanh Nga'!AE$5)</f>
        <v>0</v>
      </c>
      <c r="AF117" s="229">
        <f>SUMIFS([1]!Data_BS[Value],[1]!Data_BS[Index BS],'Khanh Nga'!$B117,[1]!Data_BS[TenCongTyID],'Khanh Nga'!$B$1,[1]!Data_BS[Thang.Nam],'Khanh Nga'!AF$5)</f>
        <v>0</v>
      </c>
      <c r="AG117" s="229">
        <f>SUMIFS([1]!Data_BS[Value],[1]!Data_BS[Index BS],'Khanh Nga'!$B117,[1]!Data_BS[TenCongTyID],'Khanh Nga'!$B$1,[1]!Data_BS[Thang.Nam],'Khanh Nga'!AG$5)</f>
        <v>0</v>
      </c>
      <c r="AH117" s="229">
        <f>SUMIFS([1]!Data_BS[Value],[1]!Data_BS[Index BS],'Khanh Nga'!$B117,[1]!Data_BS[TenCongTyID],'Khanh Nga'!$B$1,[1]!Data_BS[Thang.Nam],'Khanh Nga'!AH$5)</f>
        <v>0</v>
      </c>
      <c r="AI117" s="229">
        <f>SUMIFS([1]!Data_BS[Value],[1]!Data_BS[Index BS],'Khanh Nga'!$B117,[1]!Data_BS[TenCongTyID],'Khanh Nga'!$B$1,[1]!Data_BS[Thang.Nam],'Khanh Nga'!AI$5)</f>
        <v>0</v>
      </c>
      <c r="AJ117" s="229">
        <f>SUMIFS([1]!Data_BS[Value],[1]!Data_BS[Index BS],'Khanh Nga'!$B117,[1]!Data_BS[TenCongTyID],'Khanh Nga'!$B$1,[1]!Data_BS[Thang.Nam],'Khanh Nga'!AJ$5)</f>
        <v>0</v>
      </c>
      <c r="AK117" s="229">
        <f>SUMIFS([1]!Data_BS[Value],[1]!Data_BS[Index BS],'Khanh Nga'!$B117,[1]!Data_BS[TenCongTyID],'Khanh Nga'!$B$1,[1]!Data_BS[Thang.Nam],'Khanh Nga'!AK$5)</f>
        <v>0</v>
      </c>
      <c r="AL117" s="229">
        <f>SUMIFS([1]!Data_BS[Value],[1]!Data_BS[Index BS],'Khanh Nga'!$B117,[1]!Data_BS[TenCongTyID],'Khanh Nga'!$B$1,[1]!Data_BS[Thang.Nam],'Khanh Nga'!AL$5)</f>
        <v>0</v>
      </c>
    </row>
    <row r="118" spans="1:38" ht="15" hidden="1" customHeight="1" outlineLevel="1">
      <c r="A118" s="67" t="s">
        <v>202</v>
      </c>
      <c r="B118" s="63">
        <v>113</v>
      </c>
      <c r="C118" s="229">
        <v>15000000000</v>
      </c>
      <c r="D118" s="229">
        <v>15000000000</v>
      </c>
      <c r="E118" s="229">
        <v>15000000000</v>
      </c>
      <c r="F118" s="229">
        <v>15000000000</v>
      </c>
      <c r="G118" s="229">
        <v>15000000000</v>
      </c>
      <c r="H118" s="229">
        <v>15000000000</v>
      </c>
      <c r="I118" s="229">
        <v>15000000000</v>
      </c>
      <c r="J118" s="229">
        <v>15000000000</v>
      </c>
      <c r="K118" s="229">
        <v>15000000000</v>
      </c>
      <c r="L118" s="229">
        <v>15000000000</v>
      </c>
      <c r="M118" s="229">
        <v>15000000000</v>
      </c>
      <c r="N118" s="229">
        <v>15000000000</v>
      </c>
      <c r="O118" s="229">
        <v>15000000000</v>
      </c>
      <c r="P118" s="229">
        <v>15000000000</v>
      </c>
      <c r="Q118" s="229">
        <v>15000000000</v>
      </c>
      <c r="R118" s="229">
        <v>15000000000</v>
      </c>
      <c r="S118" s="229">
        <v>15000000000</v>
      </c>
      <c r="T118" s="229">
        <v>15000000000</v>
      </c>
      <c r="U118" s="229">
        <v>15000000000</v>
      </c>
      <c r="V118" s="229">
        <v>15000000000</v>
      </c>
      <c r="W118" s="229">
        <v>15000000000</v>
      </c>
      <c r="X118" s="229">
        <v>15000000000</v>
      </c>
      <c r="Y118" s="229">
        <v>15000000000</v>
      </c>
      <c r="Z118" s="229">
        <v>15000000000</v>
      </c>
      <c r="AA118" s="229">
        <f>SUMIFS([1]!Data_BS[Value],[1]!Data_BS[Index BS],'Khanh Nga'!$B118,[1]!Data_BS[TenCongTyID],'Khanh Nga'!$B$1,[1]!Data_BS[Thang.Nam],'Khanh Nga'!AA$5)</f>
        <v>0</v>
      </c>
      <c r="AB118" s="229">
        <f>SUMIFS([1]!Data_BS[Value],[1]!Data_BS[Index BS],'Khanh Nga'!$B118,[1]!Data_BS[TenCongTyID],'Khanh Nga'!$B$1,[1]!Data_BS[Thang.Nam],'Khanh Nga'!AB$5)</f>
        <v>0</v>
      </c>
      <c r="AC118" s="229">
        <f>SUMIFS([1]!Data_BS[Value],[1]!Data_BS[Index BS],'Khanh Nga'!$B118,[1]!Data_BS[TenCongTyID],'Khanh Nga'!$B$1,[1]!Data_BS[Thang.Nam],'Khanh Nga'!AC$5)</f>
        <v>0</v>
      </c>
      <c r="AD118" s="229">
        <f>SUMIFS([1]!Data_BS[Value],[1]!Data_BS[Index BS],'Khanh Nga'!$B118,[1]!Data_BS[TenCongTyID],'Khanh Nga'!$B$1,[1]!Data_BS[Thang.Nam],'Khanh Nga'!AD$5)</f>
        <v>0</v>
      </c>
      <c r="AE118" s="229">
        <f>SUMIFS([1]!Data_BS[Value],[1]!Data_BS[Index BS],'Khanh Nga'!$B118,[1]!Data_BS[TenCongTyID],'Khanh Nga'!$B$1,[1]!Data_BS[Thang.Nam],'Khanh Nga'!AE$5)</f>
        <v>0</v>
      </c>
      <c r="AF118" s="229">
        <f>SUMIFS([1]!Data_BS[Value],[1]!Data_BS[Index BS],'Khanh Nga'!$B118,[1]!Data_BS[TenCongTyID],'Khanh Nga'!$B$1,[1]!Data_BS[Thang.Nam],'Khanh Nga'!AF$5)</f>
        <v>0</v>
      </c>
      <c r="AG118" s="229">
        <f>SUMIFS([1]!Data_BS[Value],[1]!Data_BS[Index BS],'Khanh Nga'!$B118,[1]!Data_BS[TenCongTyID],'Khanh Nga'!$B$1,[1]!Data_BS[Thang.Nam],'Khanh Nga'!AG$5)</f>
        <v>0</v>
      </c>
      <c r="AH118" s="229">
        <f>SUMIFS([1]!Data_BS[Value],[1]!Data_BS[Index BS],'Khanh Nga'!$B118,[1]!Data_BS[TenCongTyID],'Khanh Nga'!$B$1,[1]!Data_BS[Thang.Nam],'Khanh Nga'!AH$5)</f>
        <v>0</v>
      </c>
      <c r="AI118" s="229">
        <f>SUMIFS([1]!Data_BS[Value],[1]!Data_BS[Index BS],'Khanh Nga'!$B118,[1]!Data_BS[TenCongTyID],'Khanh Nga'!$B$1,[1]!Data_BS[Thang.Nam],'Khanh Nga'!AI$5)</f>
        <v>0</v>
      </c>
      <c r="AJ118" s="229">
        <f>SUMIFS([1]!Data_BS[Value],[1]!Data_BS[Index BS],'Khanh Nga'!$B118,[1]!Data_BS[TenCongTyID],'Khanh Nga'!$B$1,[1]!Data_BS[Thang.Nam],'Khanh Nga'!AJ$5)</f>
        <v>0</v>
      </c>
      <c r="AK118" s="229">
        <f>SUMIFS([1]!Data_BS[Value],[1]!Data_BS[Index BS],'Khanh Nga'!$B118,[1]!Data_BS[TenCongTyID],'Khanh Nga'!$B$1,[1]!Data_BS[Thang.Nam],'Khanh Nga'!AK$5)</f>
        <v>0</v>
      </c>
      <c r="AL118" s="229">
        <f>SUMIFS([1]!Data_BS[Value],[1]!Data_BS[Index BS],'Khanh Nga'!$B118,[1]!Data_BS[TenCongTyID],'Khanh Nga'!$B$1,[1]!Data_BS[Thang.Nam],'Khanh Nga'!AL$5)</f>
        <v>0</v>
      </c>
    </row>
    <row r="119" spans="1:38" ht="15" hidden="1" customHeight="1" outlineLevel="1">
      <c r="A119" s="67" t="s">
        <v>203</v>
      </c>
      <c r="B119" s="63">
        <v>114</v>
      </c>
      <c r="C119" s="229">
        <v>0</v>
      </c>
      <c r="D119" s="229">
        <v>0</v>
      </c>
      <c r="E119" s="229">
        <v>0</v>
      </c>
      <c r="F119" s="229">
        <v>0</v>
      </c>
      <c r="G119" s="229">
        <v>0</v>
      </c>
      <c r="H119" s="229">
        <v>0</v>
      </c>
      <c r="I119" s="229">
        <v>0</v>
      </c>
      <c r="J119" s="229">
        <v>0</v>
      </c>
      <c r="K119" s="229">
        <v>0</v>
      </c>
      <c r="L119" s="229">
        <v>0</v>
      </c>
      <c r="M119" s="229">
        <v>0</v>
      </c>
      <c r="N119" s="229"/>
      <c r="O119" s="229">
        <v>0</v>
      </c>
      <c r="P119" s="229">
        <v>0</v>
      </c>
      <c r="Q119" s="229">
        <v>0</v>
      </c>
      <c r="R119" s="229">
        <v>0</v>
      </c>
      <c r="S119" s="229">
        <v>0</v>
      </c>
      <c r="T119" s="229">
        <v>0</v>
      </c>
      <c r="U119" s="229">
        <v>0</v>
      </c>
      <c r="V119" s="229">
        <v>0</v>
      </c>
      <c r="W119" s="229"/>
      <c r="X119" s="229">
        <v>0</v>
      </c>
      <c r="Y119" s="229"/>
      <c r="Z119" s="229">
        <v>0</v>
      </c>
      <c r="AA119" s="229">
        <f>SUMIFS([1]!Data_BS[Value],[1]!Data_BS[Index BS],'Khanh Nga'!$B119,[1]!Data_BS[TenCongTyID],'Khanh Nga'!$B$1,[1]!Data_BS[Thang.Nam],'Khanh Nga'!AA$5)</f>
        <v>0</v>
      </c>
      <c r="AB119" s="229">
        <f>SUMIFS([1]!Data_BS[Value],[1]!Data_BS[Index BS],'Khanh Nga'!$B119,[1]!Data_BS[TenCongTyID],'Khanh Nga'!$B$1,[1]!Data_BS[Thang.Nam],'Khanh Nga'!AB$5)</f>
        <v>0</v>
      </c>
      <c r="AC119" s="229">
        <f>SUMIFS([1]!Data_BS[Value],[1]!Data_BS[Index BS],'Khanh Nga'!$B119,[1]!Data_BS[TenCongTyID],'Khanh Nga'!$B$1,[1]!Data_BS[Thang.Nam],'Khanh Nga'!AC$5)</f>
        <v>0</v>
      </c>
      <c r="AD119" s="229">
        <f>SUMIFS([1]!Data_BS[Value],[1]!Data_BS[Index BS],'Khanh Nga'!$B119,[1]!Data_BS[TenCongTyID],'Khanh Nga'!$B$1,[1]!Data_BS[Thang.Nam],'Khanh Nga'!AD$5)</f>
        <v>0</v>
      </c>
      <c r="AE119" s="229">
        <f>SUMIFS([1]!Data_BS[Value],[1]!Data_BS[Index BS],'Khanh Nga'!$B119,[1]!Data_BS[TenCongTyID],'Khanh Nga'!$B$1,[1]!Data_BS[Thang.Nam],'Khanh Nga'!AE$5)</f>
        <v>0</v>
      </c>
      <c r="AF119" s="229">
        <f>SUMIFS([1]!Data_BS[Value],[1]!Data_BS[Index BS],'Khanh Nga'!$B119,[1]!Data_BS[TenCongTyID],'Khanh Nga'!$B$1,[1]!Data_BS[Thang.Nam],'Khanh Nga'!AF$5)</f>
        <v>0</v>
      </c>
      <c r="AG119" s="229">
        <f>SUMIFS([1]!Data_BS[Value],[1]!Data_BS[Index BS],'Khanh Nga'!$B119,[1]!Data_BS[TenCongTyID],'Khanh Nga'!$B$1,[1]!Data_BS[Thang.Nam],'Khanh Nga'!AG$5)</f>
        <v>0</v>
      </c>
      <c r="AH119" s="229">
        <f>SUMIFS([1]!Data_BS[Value],[1]!Data_BS[Index BS],'Khanh Nga'!$B119,[1]!Data_BS[TenCongTyID],'Khanh Nga'!$B$1,[1]!Data_BS[Thang.Nam],'Khanh Nga'!AH$5)</f>
        <v>0</v>
      </c>
      <c r="AI119" s="229">
        <f>SUMIFS([1]!Data_BS[Value],[1]!Data_BS[Index BS],'Khanh Nga'!$B119,[1]!Data_BS[TenCongTyID],'Khanh Nga'!$B$1,[1]!Data_BS[Thang.Nam],'Khanh Nga'!AI$5)</f>
        <v>0</v>
      </c>
      <c r="AJ119" s="229">
        <f>SUMIFS([1]!Data_BS[Value],[1]!Data_BS[Index BS],'Khanh Nga'!$B119,[1]!Data_BS[TenCongTyID],'Khanh Nga'!$B$1,[1]!Data_BS[Thang.Nam],'Khanh Nga'!AJ$5)</f>
        <v>0</v>
      </c>
      <c r="AK119" s="229">
        <f>SUMIFS([1]!Data_BS[Value],[1]!Data_BS[Index BS],'Khanh Nga'!$B119,[1]!Data_BS[TenCongTyID],'Khanh Nga'!$B$1,[1]!Data_BS[Thang.Nam],'Khanh Nga'!AK$5)</f>
        <v>0</v>
      </c>
      <c r="AL119" s="229">
        <f>SUMIFS([1]!Data_BS[Value],[1]!Data_BS[Index BS],'Khanh Nga'!$B119,[1]!Data_BS[TenCongTyID],'Khanh Nga'!$B$1,[1]!Data_BS[Thang.Nam],'Khanh Nga'!AL$5)</f>
        <v>0</v>
      </c>
    </row>
    <row r="120" spans="1:38" ht="15" hidden="1" customHeight="1" outlineLevel="1">
      <c r="A120" s="67" t="s">
        <v>204</v>
      </c>
      <c r="B120" s="63">
        <v>115</v>
      </c>
      <c r="C120" s="229">
        <v>0</v>
      </c>
      <c r="D120" s="229">
        <v>0</v>
      </c>
      <c r="E120" s="229">
        <v>0</v>
      </c>
      <c r="F120" s="229">
        <v>0</v>
      </c>
      <c r="G120" s="229">
        <v>0</v>
      </c>
      <c r="H120" s="229">
        <v>0</v>
      </c>
      <c r="I120" s="229">
        <v>0</v>
      </c>
      <c r="J120" s="229">
        <v>0</v>
      </c>
      <c r="K120" s="229">
        <v>0</v>
      </c>
      <c r="L120" s="229">
        <v>0</v>
      </c>
      <c r="M120" s="229">
        <v>0</v>
      </c>
      <c r="N120" s="229"/>
      <c r="O120" s="229">
        <v>0</v>
      </c>
      <c r="P120" s="229">
        <v>0</v>
      </c>
      <c r="Q120" s="229">
        <v>0</v>
      </c>
      <c r="R120" s="229">
        <v>0</v>
      </c>
      <c r="S120" s="229">
        <v>0</v>
      </c>
      <c r="T120" s="229">
        <v>0</v>
      </c>
      <c r="U120" s="229">
        <v>0</v>
      </c>
      <c r="V120" s="229">
        <v>0</v>
      </c>
      <c r="W120" s="229"/>
      <c r="X120" s="229">
        <v>0</v>
      </c>
      <c r="Y120" s="229"/>
      <c r="Z120" s="229">
        <v>0</v>
      </c>
      <c r="AA120" s="229">
        <f>SUMIFS([1]!Data_BS[Value],[1]!Data_BS[Index BS],'Khanh Nga'!$B120,[1]!Data_BS[TenCongTyID],'Khanh Nga'!$B$1,[1]!Data_BS[Thang.Nam],'Khanh Nga'!AA$5)</f>
        <v>0</v>
      </c>
      <c r="AB120" s="229">
        <f>SUMIFS([1]!Data_BS[Value],[1]!Data_BS[Index BS],'Khanh Nga'!$B120,[1]!Data_BS[TenCongTyID],'Khanh Nga'!$B$1,[1]!Data_BS[Thang.Nam],'Khanh Nga'!AB$5)</f>
        <v>0</v>
      </c>
      <c r="AC120" s="229">
        <f>SUMIFS([1]!Data_BS[Value],[1]!Data_BS[Index BS],'Khanh Nga'!$B120,[1]!Data_BS[TenCongTyID],'Khanh Nga'!$B$1,[1]!Data_BS[Thang.Nam],'Khanh Nga'!AC$5)</f>
        <v>0</v>
      </c>
      <c r="AD120" s="229">
        <f>SUMIFS([1]!Data_BS[Value],[1]!Data_BS[Index BS],'Khanh Nga'!$B120,[1]!Data_BS[TenCongTyID],'Khanh Nga'!$B$1,[1]!Data_BS[Thang.Nam],'Khanh Nga'!AD$5)</f>
        <v>0</v>
      </c>
      <c r="AE120" s="229">
        <f>SUMIFS([1]!Data_BS[Value],[1]!Data_BS[Index BS],'Khanh Nga'!$B120,[1]!Data_BS[TenCongTyID],'Khanh Nga'!$B$1,[1]!Data_BS[Thang.Nam],'Khanh Nga'!AE$5)</f>
        <v>0</v>
      </c>
      <c r="AF120" s="229">
        <f>SUMIFS([1]!Data_BS[Value],[1]!Data_BS[Index BS],'Khanh Nga'!$B120,[1]!Data_BS[TenCongTyID],'Khanh Nga'!$B$1,[1]!Data_BS[Thang.Nam],'Khanh Nga'!AF$5)</f>
        <v>0</v>
      </c>
      <c r="AG120" s="229">
        <f>SUMIFS([1]!Data_BS[Value],[1]!Data_BS[Index BS],'Khanh Nga'!$B120,[1]!Data_BS[TenCongTyID],'Khanh Nga'!$B$1,[1]!Data_BS[Thang.Nam],'Khanh Nga'!AG$5)</f>
        <v>0</v>
      </c>
      <c r="AH120" s="229">
        <f>SUMIFS([1]!Data_BS[Value],[1]!Data_BS[Index BS],'Khanh Nga'!$B120,[1]!Data_BS[TenCongTyID],'Khanh Nga'!$B$1,[1]!Data_BS[Thang.Nam],'Khanh Nga'!AH$5)</f>
        <v>0</v>
      </c>
      <c r="AI120" s="229">
        <f>SUMIFS([1]!Data_BS[Value],[1]!Data_BS[Index BS],'Khanh Nga'!$B120,[1]!Data_BS[TenCongTyID],'Khanh Nga'!$B$1,[1]!Data_BS[Thang.Nam],'Khanh Nga'!AI$5)</f>
        <v>0</v>
      </c>
      <c r="AJ120" s="229">
        <f>SUMIFS([1]!Data_BS[Value],[1]!Data_BS[Index BS],'Khanh Nga'!$B120,[1]!Data_BS[TenCongTyID],'Khanh Nga'!$B$1,[1]!Data_BS[Thang.Nam],'Khanh Nga'!AJ$5)</f>
        <v>0</v>
      </c>
      <c r="AK120" s="229">
        <f>SUMIFS([1]!Data_BS[Value],[1]!Data_BS[Index BS],'Khanh Nga'!$B120,[1]!Data_BS[TenCongTyID],'Khanh Nga'!$B$1,[1]!Data_BS[Thang.Nam],'Khanh Nga'!AK$5)</f>
        <v>0</v>
      </c>
      <c r="AL120" s="229">
        <f>SUMIFS([1]!Data_BS[Value],[1]!Data_BS[Index BS],'Khanh Nga'!$B120,[1]!Data_BS[TenCongTyID],'Khanh Nga'!$B$1,[1]!Data_BS[Thang.Nam],'Khanh Nga'!AL$5)</f>
        <v>0</v>
      </c>
    </row>
    <row r="121" spans="1:38" ht="15" hidden="1" customHeight="1" outlineLevel="1">
      <c r="A121" s="67" t="s">
        <v>205</v>
      </c>
      <c r="B121" s="63">
        <v>116</v>
      </c>
      <c r="C121" s="229">
        <v>0</v>
      </c>
      <c r="D121" s="229">
        <v>0</v>
      </c>
      <c r="E121" s="229">
        <v>0</v>
      </c>
      <c r="F121" s="229">
        <v>0</v>
      </c>
      <c r="G121" s="229">
        <v>0</v>
      </c>
      <c r="H121" s="229">
        <v>0</v>
      </c>
      <c r="I121" s="229">
        <v>0</v>
      </c>
      <c r="J121" s="229">
        <v>0</v>
      </c>
      <c r="K121" s="229">
        <v>0</v>
      </c>
      <c r="L121" s="229">
        <v>0</v>
      </c>
      <c r="M121" s="229">
        <v>0</v>
      </c>
      <c r="N121" s="229"/>
      <c r="O121" s="229">
        <v>0</v>
      </c>
      <c r="P121" s="229">
        <v>0</v>
      </c>
      <c r="Q121" s="229">
        <v>0</v>
      </c>
      <c r="R121" s="229">
        <v>0</v>
      </c>
      <c r="S121" s="229">
        <v>0</v>
      </c>
      <c r="T121" s="229">
        <v>0</v>
      </c>
      <c r="U121" s="229">
        <v>0</v>
      </c>
      <c r="V121" s="229">
        <v>0</v>
      </c>
      <c r="W121" s="229"/>
      <c r="X121" s="229">
        <v>0</v>
      </c>
      <c r="Y121" s="229"/>
      <c r="Z121" s="229">
        <v>0</v>
      </c>
      <c r="AA121" s="229">
        <f>SUMIFS([1]!Data_BS[Value],[1]!Data_BS[Index BS],'Khanh Nga'!$B121,[1]!Data_BS[TenCongTyID],'Khanh Nga'!$B$1,[1]!Data_BS[Thang.Nam],'Khanh Nga'!AA$5)</f>
        <v>0</v>
      </c>
      <c r="AB121" s="229">
        <f>SUMIFS([1]!Data_BS[Value],[1]!Data_BS[Index BS],'Khanh Nga'!$B121,[1]!Data_BS[TenCongTyID],'Khanh Nga'!$B$1,[1]!Data_BS[Thang.Nam],'Khanh Nga'!AB$5)</f>
        <v>0</v>
      </c>
      <c r="AC121" s="229">
        <f>SUMIFS([1]!Data_BS[Value],[1]!Data_BS[Index BS],'Khanh Nga'!$B121,[1]!Data_BS[TenCongTyID],'Khanh Nga'!$B$1,[1]!Data_BS[Thang.Nam],'Khanh Nga'!AC$5)</f>
        <v>0</v>
      </c>
      <c r="AD121" s="229">
        <f>SUMIFS([1]!Data_BS[Value],[1]!Data_BS[Index BS],'Khanh Nga'!$B121,[1]!Data_BS[TenCongTyID],'Khanh Nga'!$B$1,[1]!Data_BS[Thang.Nam],'Khanh Nga'!AD$5)</f>
        <v>0</v>
      </c>
      <c r="AE121" s="229">
        <f>SUMIFS([1]!Data_BS[Value],[1]!Data_BS[Index BS],'Khanh Nga'!$B121,[1]!Data_BS[TenCongTyID],'Khanh Nga'!$B$1,[1]!Data_BS[Thang.Nam],'Khanh Nga'!AE$5)</f>
        <v>0</v>
      </c>
      <c r="AF121" s="229">
        <f>SUMIFS([1]!Data_BS[Value],[1]!Data_BS[Index BS],'Khanh Nga'!$B121,[1]!Data_BS[TenCongTyID],'Khanh Nga'!$B$1,[1]!Data_BS[Thang.Nam],'Khanh Nga'!AF$5)</f>
        <v>0</v>
      </c>
      <c r="AG121" s="229">
        <f>SUMIFS([1]!Data_BS[Value],[1]!Data_BS[Index BS],'Khanh Nga'!$B121,[1]!Data_BS[TenCongTyID],'Khanh Nga'!$B$1,[1]!Data_BS[Thang.Nam],'Khanh Nga'!AG$5)</f>
        <v>0</v>
      </c>
      <c r="AH121" s="229">
        <f>SUMIFS([1]!Data_BS[Value],[1]!Data_BS[Index BS],'Khanh Nga'!$B121,[1]!Data_BS[TenCongTyID],'Khanh Nga'!$B$1,[1]!Data_BS[Thang.Nam],'Khanh Nga'!AH$5)</f>
        <v>0</v>
      </c>
      <c r="AI121" s="229">
        <f>SUMIFS([1]!Data_BS[Value],[1]!Data_BS[Index BS],'Khanh Nga'!$B121,[1]!Data_BS[TenCongTyID],'Khanh Nga'!$B$1,[1]!Data_BS[Thang.Nam],'Khanh Nga'!AI$5)</f>
        <v>0</v>
      </c>
      <c r="AJ121" s="229">
        <f>SUMIFS([1]!Data_BS[Value],[1]!Data_BS[Index BS],'Khanh Nga'!$B121,[1]!Data_BS[TenCongTyID],'Khanh Nga'!$B$1,[1]!Data_BS[Thang.Nam],'Khanh Nga'!AJ$5)</f>
        <v>0</v>
      </c>
      <c r="AK121" s="229">
        <f>SUMIFS([1]!Data_BS[Value],[1]!Data_BS[Index BS],'Khanh Nga'!$B121,[1]!Data_BS[TenCongTyID],'Khanh Nga'!$B$1,[1]!Data_BS[Thang.Nam],'Khanh Nga'!AK$5)</f>
        <v>0</v>
      </c>
      <c r="AL121" s="229">
        <f>SUMIFS([1]!Data_BS[Value],[1]!Data_BS[Index BS],'Khanh Nga'!$B121,[1]!Data_BS[TenCongTyID],'Khanh Nga'!$B$1,[1]!Data_BS[Thang.Nam],'Khanh Nga'!AL$5)</f>
        <v>0</v>
      </c>
    </row>
    <row r="122" spans="1:38" ht="15" hidden="1" customHeight="1" outlineLevel="1">
      <c r="A122" s="67" t="s">
        <v>206</v>
      </c>
      <c r="B122" s="63">
        <v>117</v>
      </c>
      <c r="C122" s="229">
        <v>0</v>
      </c>
      <c r="D122" s="229">
        <v>0</v>
      </c>
      <c r="E122" s="229">
        <v>0</v>
      </c>
      <c r="F122" s="229">
        <v>0</v>
      </c>
      <c r="G122" s="229">
        <v>0</v>
      </c>
      <c r="H122" s="229">
        <v>0</v>
      </c>
      <c r="I122" s="229">
        <v>0</v>
      </c>
      <c r="J122" s="229">
        <v>0</v>
      </c>
      <c r="K122" s="229">
        <v>0</v>
      </c>
      <c r="L122" s="229">
        <v>0</v>
      </c>
      <c r="M122" s="229">
        <v>0</v>
      </c>
      <c r="N122" s="229"/>
      <c r="O122" s="229">
        <v>0</v>
      </c>
      <c r="P122" s="229">
        <v>0</v>
      </c>
      <c r="Q122" s="229">
        <v>0</v>
      </c>
      <c r="R122" s="229">
        <v>0</v>
      </c>
      <c r="S122" s="229">
        <v>0</v>
      </c>
      <c r="T122" s="229">
        <v>0</v>
      </c>
      <c r="U122" s="229">
        <v>0</v>
      </c>
      <c r="V122" s="229">
        <v>0</v>
      </c>
      <c r="W122" s="229"/>
      <c r="X122" s="229">
        <v>0</v>
      </c>
      <c r="Y122" s="229"/>
      <c r="Z122" s="229">
        <v>0</v>
      </c>
      <c r="AA122" s="229">
        <f>SUMIFS([1]!Data_BS[Value],[1]!Data_BS[Index BS],'Khanh Nga'!$B122,[1]!Data_BS[TenCongTyID],'Khanh Nga'!$B$1,[1]!Data_BS[Thang.Nam],'Khanh Nga'!AA$5)</f>
        <v>0</v>
      </c>
      <c r="AB122" s="229">
        <f>SUMIFS([1]!Data_BS[Value],[1]!Data_BS[Index BS],'Khanh Nga'!$B122,[1]!Data_BS[TenCongTyID],'Khanh Nga'!$B$1,[1]!Data_BS[Thang.Nam],'Khanh Nga'!AB$5)</f>
        <v>0</v>
      </c>
      <c r="AC122" s="229">
        <f>SUMIFS([1]!Data_BS[Value],[1]!Data_BS[Index BS],'Khanh Nga'!$B122,[1]!Data_BS[TenCongTyID],'Khanh Nga'!$B$1,[1]!Data_BS[Thang.Nam],'Khanh Nga'!AC$5)</f>
        <v>0</v>
      </c>
      <c r="AD122" s="229">
        <f>SUMIFS([1]!Data_BS[Value],[1]!Data_BS[Index BS],'Khanh Nga'!$B122,[1]!Data_BS[TenCongTyID],'Khanh Nga'!$B$1,[1]!Data_BS[Thang.Nam],'Khanh Nga'!AD$5)</f>
        <v>0</v>
      </c>
      <c r="AE122" s="229">
        <f>SUMIFS([1]!Data_BS[Value],[1]!Data_BS[Index BS],'Khanh Nga'!$B122,[1]!Data_BS[TenCongTyID],'Khanh Nga'!$B$1,[1]!Data_BS[Thang.Nam],'Khanh Nga'!AE$5)</f>
        <v>0</v>
      </c>
      <c r="AF122" s="229">
        <f>SUMIFS([1]!Data_BS[Value],[1]!Data_BS[Index BS],'Khanh Nga'!$B122,[1]!Data_BS[TenCongTyID],'Khanh Nga'!$B$1,[1]!Data_BS[Thang.Nam],'Khanh Nga'!AF$5)</f>
        <v>0</v>
      </c>
      <c r="AG122" s="229">
        <f>SUMIFS([1]!Data_BS[Value],[1]!Data_BS[Index BS],'Khanh Nga'!$B122,[1]!Data_BS[TenCongTyID],'Khanh Nga'!$B$1,[1]!Data_BS[Thang.Nam],'Khanh Nga'!AG$5)</f>
        <v>0</v>
      </c>
      <c r="AH122" s="229">
        <f>SUMIFS([1]!Data_BS[Value],[1]!Data_BS[Index BS],'Khanh Nga'!$B122,[1]!Data_BS[TenCongTyID],'Khanh Nga'!$B$1,[1]!Data_BS[Thang.Nam],'Khanh Nga'!AH$5)</f>
        <v>0</v>
      </c>
      <c r="AI122" s="229">
        <f>SUMIFS([1]!Data_BS[Value],[1]!Data_BS[Index BS],'Khanh Nga'!$B122,[1]!Data_BS[TenCongTyID],'Khanh Nga'!$B$1,[1]!Data_BS[Thang.Nam],'Khanh Nga'!AI$5)</f>
        <v>0</v>
      </c>
      <c r="AJ122" s="229">
        <f>SUMIFS([1]!Data_BS[Value],[1]!Data_BS[Index BS],'Khanh Nga'!$B122,[1]!Data_BS[TenCongTyID],'Khanh Nga'!$B$1,[1]!Data_BS[Thang.Nam],'Khanh Nga'!AJ$5)</f>
        <v>0</v>
      </c>
      <c r="AK122" s="229">
        <f>SUMIFS([1]!Data_BS[Value],[1]!Data_BS[Index BS],'Khanh Nga'!$B122,[1]!Data_BS[TenCongTyID],'Khanh Nga'!$B$1,[1]!Data_BS[Thang.Nam],'Khanh Nga'!AK$5)</f>
        <v>0</v>
      </c>
      <c r="AL122" s="229">
        <f>SUMIFS([1]!Data_BS[Value],[1]!Data_BS[Index BS],'Khanh Nga'!$B122,[1]!Data_BS[TenCongTyID],'Khanh Nga'!$B$1,[1]!Data_BS[Thang.Nam],'Khanh Nga'!AL$5)</f>
        <v>0</v>
      </c>
    </row>
    <row r="123" spans="1:38" ht="15" hidden="1" customHeight="1" outlineLevel="1">
      <c r="A123" s="67" t="s">
        <v>207</v>
      </c>
      <c r="B123" s="63">
        <v>118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/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/>
      <c r="X123" s="229">
        <v>0</v>
      </c>
      <c r="Y123" s="229"/>
      <c r="Z123" s="229">
        <v>0</v>
      </c>
      <c r="AA123" s="229">
        <f>SUMIFS([1]!Data_BS[Value],[1]!Data_BS[Index BS],'Khanh Nga'!$B123,[1]!Data_BS[TenCongTyID],'Khanh Nga'!$B$1,[1]!Data_BS[Thang.Nam],'Khanh Nga'!AA$5)</f>
        <v>0</v>
      </c>
      <c r="AB123" s="229">
        <f>SUMIFS([1]!Data_BS[Value],[1]!Data_BS[Index BS],'Khanh Nga'!$B123,[1]!Data_BS[TenCongTyID],'Khanh Nga'!$B$1,[1]!Data_BS[Thang.Nam],'Khanh Nga'!AB$5)</f>
        <v>0</v>
      </c>
      <c r="AC123" s="229">
        <f>SUMIFS([1]!Data_BS[Value],[1]!Data_BS[Index BS],'Khanh Nga'!$B123,[1]!Data_BS[TenCongTyID],'Khanh Nga'!$B$1,[1]!Data_BS[Thang.Nam],'Khanh Nga'!AC$5)</f>
        <v>0</v>
      </c>
      <c r="AD123" s="229">
        <f>SUMIFS([1]!Data_BS[Value],[1]!Data_BS[Index BS],'Khanh Nga'!$B123,[1]!Data_BS[TenCongTyID],'Khanh Nga'!$B$1,[1]!Data_BS[Thang.Nam],'Khanh Nga'!AD$5)</f>
        <v>0</v>
      </c>
      <c r="AE123" s="229">
        <f>SUMIFS([1]!Data_BS[Value],[1]!Data_BS[Index BS],'Khanh Nga'!$B123,[1]!Data_BS[TenCongTyID],'Khanh Nga'!$B$1,[1]!Data_BS[Thang.Nam],'Khanh Nga'!AE$5)</f>
        <v>0</v>
      </c>
      <c r="AF123" s="229">
        <f>SUMIFS([1]!Data_BS[Value],[1]!Data_BS[Index BS],'Khanh Nga'!$B123,[1]!Data_BS[TenCongTyID],'Khanh Nga'!$B$1,[1]!Data_BS[Thang.Nam],'Khanh Nga'!AF$5)</f>
        <v>0</v>
      </c>
      <c r="AG123" s="229">
        <f>SUMIFS([1]!Data_BS[Value],[1]!Data_BS[Index BS],'Khanh Nga'!$B123,[1]!Data_BS[TenCongTyID],'Khanh Nga'!$B$1,[1]!Data_BS[Thang.Nam],'Khanh Nga'!AG$5)</f>
        <v>0</v>
      </c>
      <c r="AH123" s="229">
        <f>SUMIFS([1]!Data_BS[Value],[1]!Data_BS[Index BS],'Khanh Nga'!$B123,[1]!Data_BS[TenCongTyID],'Khanh Nga'!$B$1,[1]!Data_BS[Thang.Nam],'Khanh Nga'!AH$5)</f>
        <v>0</v>
      </c>
      <c r="AI123" s="229">
        <f>SUMIFS([1]!Data_BS[Value],[1]!Data_BS[Index BS],'Khanh Nga'!$B123,[1]!Data_BS[TenCongTyID],'Khanh Nga'!$B$1,[1]!Data_BS[Thang.Nam],'Khanh Nga'!AI$5)</f>
        <v>0</v>
      </c>
      <c r="AJ123" s="229">
        <f>SUMIFS([1]!Data_BS[Value],[1]!Data_BS[Index BS],'Khanh Nga'!$B123,[1]!Data_BS[TenCongTyID],'Khanh Nga'!$B$1,[1]!Data_BS[Thang.Nam],'Khanh Nga'!AJ$5)</f>
        <v>0</v>
      </c>
      <c r="AK123" s="229">
        <f>SUMIFS([1]!Data_BS[Value],[1]!Data_BS[Index BS],'Khanh Nga'!$B123,[1]!Data_BS[TenCongTyID],'Khanh Nga'!$B$1,[1]!Data_BS[Thang.Nam],'Khanh Nga'!AK$5)</f>
        <v>0</v>
      </c>
      <c r="AL123" s="229">
        <f>SUMIFS([1]!Data_BS[Value],[1]!Data_BS[Index BS],'Khanh Nga'!$B123,[1]!Data_BS[TenCongTyID],'Khanh Nga'!$B$1,[1]!Data_BS[Thang.Nam],'Khanh Nga'!AL$5)</f>
        <v>0</v>
      </c>
    </row>
    <row r="124" spans="1:38" ht="15" hidden="1" customHeight="1" outlineLevel="1">
      <c r="A124" s="67" t="s">
        <v>208</v>
      </c>
      <c r="B124" s="63">
        <v>119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/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/>
      <c r="X124" s="229">
        <v>0</v>
      </c>
      <c r="Y124" s="229"/>
      <c r="Z124" s="229">
        <v>0</v>
      </c>
      <c r="AA124" s="229">
        <f>SUMIFS([1]!Data_BS[Value],[1]!Data_BS[Index BS],'Khanh Nga'!$B124,[1]!Data_BS[TenCongTyID],'Khanh Nga'!$B$1,[1]!Data_BS[Thang.Nam],'Khanh Nga'!AA$5)</f>
        <v>0</v>
      </c>
      <c r="AB124" s="229">
        <f>SUMIFS([1]!Data_BS[Value],[1]!Data_BS[Index BS],'Khanh Nga'!$B124,[1]!Data_BS[TenCongTyID],'Khanh Nga'!$B$1,[1]!Data_BS[Thang.Nam],'Khanh Nga'!AB$5)</f>
        <v>0</v>
      </c>
      <c r="AC124" s="229">
        <f>SUMIFS([1]!Data_BS[Value],[1]!Data_BS[Index BS],'Khanh Nga'!$B124,[1]!Data_BS[TenCongTyID],'Khanh Nga'!$B$1,[1]!Data_BS[Thang.Nam],'Khanh Nga'!AC$5)</f>
        <v>0</v>
      </c>
      <c r="AD124" s="229">
        <f>SUMIFS([1]!Data_BS[Value],[1]!Data_BS[Index BS],'Khanh Nga'!$B124,[1]!Data_BS[TenCongTyID],'Khanh Nga'!$B$1,[1]!Data_BS[Thang.Nam],'Khanh Nga'!AD$5)</f>
        <v>0</v>
      </c>
      <c r="AE124" s="229">
        <f>SUMIFS([1]!Data_BS[Value],[1]!Data_BS[Index BS],'Khanh Nga'!$B124,[1]!Data_BS[TenCongTyID],'Khanh Nga'!$B$1,[1]!Data_BS[Thang.Nam],'Khanh Nga'!AE$5)</f>
        <v>0</v>
      </c>
      <c r="AF124" s="229">
        <f>SUMIFS([1]!Data_BS[Value],[1]!Data_BS[Index BS],'Khanh Nga'!$B124,[1]!Data_BS[TenCongTyID],'Khanh Nga'!$B$1,[1]!Data_BS[Thang.Nam],'Khanh Nga'!AF$5)</f>
        <v>0</v>
      </c>
      <c r="AG124" s="229">
        <f>SUMIFS([1]!Data_BS[Value],[1]!Data_BS[Index BS],'Khanh Nga'!$B124,[1]!Data_BS[TenCongTyID],'Khanh Nga'!$B$1,[1]!Data_BS[Thang.Nam],'Khanh Nga'!AG$5)</f>
        <v>0</v>
      </c>
      <c r="AH124" s="229">
        <f>SUMIFS([1]!Data_BS[Value],[1]!Data_BS[Index BS],'Khanh Nga'!$B124,[1]!Data_BS[TenCongTyID],'Khanh Nga'!$B$1,[1]!Data_BS[Thang.Nam],'Khanh Nga'!AH$5)</f>
        <v>0</v>
      </c>
      <c r="AI124" s="229">
        <f>SUMIFS([1]!Data_BS[Value],[1]!Data_BS[Index BS],'Khanh Nga'!$B124,[1]!Data_BS[TenCongTyID],'Khanh Nga'!$B$1,[1]!Data_BS[Thang.Nam],'Khanh Nga'!AI$5)</f>
        <v>0</v>
      </c>
      <c r="AJ124" s="229">
        <f>SUMIFS([1]!Data_BS[Value],[1]!Data_BS[Index BS],'Khanh Nga'!$B124,[1]!Data_BS[TenCongTyID],'Khanh Nga'!$B$1,[1]!Data_BS[Thang.Nam],'Khanh Nga'!AJ$5)</f>
        <v>0</v>
      </c>
      <c r="AK124" s="229">
        <f>SUMIFS([1]!Data_BS[Value],[1]!Data_BS[Index BS],'Khanh Nga'!$B124,[1]!Data_BS[TenCongTyID],'Khanh Nga'!$B$1,[1]!Data_BS[Thang.Nam],'Khanh Nga'!AK$5)</f>
        <v>0</v>
      </c>
      <c r="AL124" s="229">
        <f>SUMIFS([1]!Data_BS[Value],[1]!Data_BS[Index BS],'Khanh Nga'!$B124,[1]!Data_BS[TenCongTyID],'Khanh Nga'!$B$1,[1]!Data_BS[Thang.Nam],'Khanh Nga'!AL$5)</f>
        <v>0</v>
      </c>
    </row>
    <row r="125" spans="1:38" ht="15" hidden="1" customHeight="1" outlineLevel="1">
      <c r="A125" s="67" t="s">
        <v>209</v>
      </c>
      <c r="B125" s="63">
        <v>120</v>
      </c>
      <c r="C125" s="229">
        <v>0</v>
      </c>
      <c r="D125" s="229">
        <v>0</v>
      </c>
      <c r="E125" s="229">
        <v>0</v>
      </c>
      <c r="F125" s="229">
        <v>0</v>
      </c>
      <c r="G125" s="229">
        <v>0</v>
      </c>
      <c r="H125" s="229">
        <v>0</v>
      </c>
      <c r="I125" s="229">
        <v>0</v>
      </c>
      <c r="J125" s="229">
        <v>0</v>
      </c>
      <c r="K125" s="229">
        <v>0</v>
      </c>
      <c r="L125" s="229">
        <v>0</v>
      </c>
      <c r="M125" s="229">
        <v>0</v>
      </c>
      <c r="N125" s="229"/>
      <c r="O125" s="229">
        <v>0</v>
      </c>
      <c r="P125" s="229">
        <v>0</v>
      </c>
      <c r="Q125" s="229">
        <v>0</v>
      </c>
      <c r="R125" s="229">
        <v>0</v>
      </c>
      <c r="S125" s="229">
        <v>0</v>
      </c>
      <c r="T125" s="229">
        <v>0</v>
      </c>
      <c r="U125" s="229">
        <v>0</v>
      </c>
      <c r="V125" s="229">
        <v>0</v>
      </c>
      <c r="W125" s="229"/>
      <c r="X125" s="229">
        <v>0</v>
      </c>
      <c r="Y125" s="229"/>
      <c r="Z125" s="229">
        <v>0</v>
      </c>
      <c r="AA125" s="229">
        <f>SUMIFS([1]!Data_BS[Value],[1]!Data_BS[Index BS],'Khanh Nga'!$B125,[1]!Data_BS[TenCongTyID],'Khanh Nga'!$B$1,[1]!Data_BS[Thang.Nam],'Khanh Nga'!AA$5)</f>
        <v>0</v>
      </c>
      <c r="AB125" s="229">
        <f>SUMIFS([1]!Data_BS[Value],[1]!Data_BS[Index BS],'Khanh Nga'!$B125,[1]!Data_BS[TenCongTyID],'Khanh Nga'!$B$1,[1]!Data_BS[Thang.Nam],'Khanh Nga'!AB$5)</f>
        <v>0</v>
      </c>
      <c r="AC125" s="229">
        <f>SUMIFS([1]!Data_BS[Value],[1]!Data_BS[Index BS],'Khanh Nga'!$B125,[1]!Data_BS[TenCongTyID],'Khanh Nga'!$B$1,[1]!Data_BS[Thang.Nam],'Khanh Nga'!AC$5)</f>
        <v>0</v>
      </c>
      <c r="AD125" s="229">
        <f>SUMIFS([1]!Data_BS[Value],[1]!Data_BS[Index BS],'Khanh Nga'!$B125,[1]!Data_BS[TenCongTyID],'Khanh Nga'!$B$1,[1]!Data_BS[Thang.Nam],'Khanh Nga'!AD$5)</f>
        <v>0</v>
      </c>
      <c r="AE125" s="229">
        <f>SUMIFS([1]!Data_BS[Value],[1]!Data_BS[Index BS],'Khanh Nga'!$B125,[1]!Data_BS[TenCongTyID],'Khanh Nga'!$B$1,[1]!Data_BS[Thang.Nam],'Khanh Nga'!AE$5)</f>
        <v>0</v>
      </c>
      <c r="AF125" s="229">
        <f>SUMIFS([1]!Data_BS[Value],[1]!Data_BS[Index BS],'Khanh Nga'!$B125,[1]!Data_BS[TenCongTyID],'Khanh Nga'!$B$1,[1]!Data_BS[Thang.Nam],'Khanh Nga'!AF$5)</f>
        <v>0</v>
      </c>
      <c r="AG125" s="229">
        <f>SUMIFS([1]!Data_BS[Value],[1]!Data_BS[Index BS],'Khanh Nga'!$B125,[1]!Data_BS[TenCongTyID],'Khanh Nga'!$B$1,[1]!Data_BS[Thang.Nam],'Khanh Nga'!AG$5)</f>
        <v>0</v>
      </c>
      <c r="AH125" s="229">
        <f>SUMIFS([1]!Data_BS[Value],[1]!Data_BS[Index BS],'Khanh Nga'!$B125,[1]!Data_BS[TenCongTyID],'Khanh Nga'!$B$1,[1]!Data_BS[Thang.Nam],'Khanh Nga'!AH$5)</f>
        <v>0</v>
      </c>
      <c r="AI125" s="229">
        <f>SUMIFS([1]!Data_BS[Value],[1]!Data_BS[Index BS],'Khanh Nga'!$B125,[1]!Data_BS[TenCongTyID],'Khanh Nga'!$B$1,[1]!Data_BS[Thang.Nam],'Khanh Nga'!AI$5)</f>
        <v>0</v>
      </c>
      <c r="AJ125" s="229">
        <f>SUMIFS([1]!Data_BS[Value],[1]!Data_BS[Index BS],'Khanh Nga'!$B125,[1]!Data_BS[TenCongTyID],'Khanh Nga'!$B$1,[1]!Data_BS[Thang.Nam],'Khanh Nga'!AJ$5)</f>
        <v>0</v>
      </c>
      <c r="AK125" s="229">
        <f>SUMIFS([1]!Data_BS[Value],[1]!Data_BS[Index BS],'Khanh Nga'!$B125,[1]!Data_BS[TenCongTyID],'Khanh Nga'!$B$1,[1]!Data_BS[Thang.Nam],'Khanh Nga'!AK$5)</f>
        <v>0</v>
      </c>
      <c r="AL125" s="229">
        <f>SUMIFS([1]!Data_BS[Value],[1]!Data_BS[Index BS],'Khanh Nga'!$B125,[1]!Data_BS[TenCongTyID],'Khanh Nga'!$B$1,[1]!Data_BS[Thang.Nam],'Khanh Nga'!AL$5)</f>
        <v>0</v>
      </c>
    </row>
    <row r="126" spans="1:38" ht="15" hidden="1" customHeight="1" outlineLevel="1">
      <c r="A126" s="67" t="s">
        <v>210</v>
      </c>
      <c r="B126" s="63">
        <v>121</v>
      </c>
      <c r="C126" s="229">
        <v>0</v>
      </c>
      <c r="D126" s="229">
        <v>0</v>
      </c>
      <c r="E126" s="229">
        <v>0</v>
      </c>
      <c r="F126" s="229">
        <v>0</v>
      </c>
      <c r="G126" s="229">
        <v>0</v>
      </c>
      <c r="H126" s="229">
        <v>0</v>
      </c>
      <c r="I126" s="229">
        <v>0</v>
      </c>
      <c r="J126" s="229">
        <v>0</v>
      </c>
      <c r="K126" s="229">
        <v>0</v>
      </c>
      <c r="L126" s="229">
        <v>0</v>
      </c>
      <c r="M126" s="229">
        <v>0</v>
      </c>
      <c r="N126" s="229"/>
      <c r="O126" s="229">
        <v>0</v>
      </c>
      <c r="P126" s="229">
        <v>0</v>
      </c>
      <c r="Q126" s="229">
        <v>0</v>
      </c>
      <c r="R126" s="229">
        <v>0</v>
      </c>
      <c r="S126" s="229">
        <v>0</v>
      </c>
      <c r="T126" s="229">
        <v>0</v>
      </c>
      <c r="U126" s="229">
        <v>0</v>
      </c>
      <c r="V126" s="229">
        <v>0</v>
      </c>
      <c r="W126" s="229"/>
      <c r="X126" s="229">
        <v>0</v>
      </c>
      <c r="Y126" s="229"/>
      <c r="Z126" s="229">
        <v>0</v>
      </c>
      <c r="AA126" s="229">
        <f>SUMIFS([1]!Data_BS[Value],[1]!Data_BS[Index BS],'Khanh Nga'!$B126,[1]!Data_BS[TenCongTyID],'Khanh Nga'!$B$1,[1]!Data_BS[Thang.Nam],'Khanh Nga'!AA$5)</f>
        <v>0</v>
      </c>
      <c r="AB126" s="229">
        <f>SUMIFS([1]!Data_BS[Value],[1]!Data_BS[Index BS],'Khanh Nga'!$B126,[1]!Data_BS[TenCongTyID],'Khanh Nga'!$B$1,[1]!Data_BS[Thang.Nam],'Khanh Nga'!AB$5)</f>
        <v>0</v>
      </c>
      <c r="AC126" s="229">
        <f>SUMIFS([1]!Data_BS[Value],[1]!Data_BS[Index BS],'Khanh Nga'!$B126,[1]!Data_BS[TenCongTyID],'Khanh Nga'!$B$1,[1]!Data_BS[Thang.Nam],'Khanh Nga'!AC$5)</f>
        <v>0</v>
      </c>
      <c r="AD126" s="229">
        <f>SUMIFS([1]!Data_BS[Value],[1]!Data_BS[Index BS],'Khanh Nga'!$B126,[1]!Data_BS[TenCongTyID],'Khanh Nga'!$B$1,[1]!Data_BS[Thang.Nam],'Khanh Nga'!AD$5)</f>
        <v>0</v>
      </c>
      <c r="AE126" s="229">
        <f>SUMIFS([1]!Data_BS[Value],[1]!Data_BS[Index BS],'Khanh Nga'!$B126,[1]!Data_BS[TenCongTyID],'Khanh Nga'!$B$1,[1]!Data_BS[Thang.Nam],'Khanh Nga'!AE$5)</f>
        <v>0</v>
      </c>
      <c r="AF126" s="229">
        <f>SUMIFS([1]!Data_BS[Value],[1]!Data_BS[Index BS],'Khanh Nga'!$B126,[1]!Data_BS[TenCongTyID],'Khanh Nga'!$B$1,[1]!Data_BS[Thang.Nam],'Khanh Nga'!AF$5)</f>
        <v>0</v>
      </c>
      <c r="AG126" s="229">
        <f>SUMIFS([1]!Data_BS[Value],[1]!Data_BS[Index BS],'Khanh Nga'!$B126,[1]!Data_BS[TenCongTyID],'Khanh Nga'!$B$1,[1]!Data_BS[Thang.Nam],'Khanh Nga'!AG$5)</f>
        <v>0</v>
      </c>
      <c r="AH126" s="229">
        <f>SUMIFS([1]!Data_BS[Value],[1]!Data_BS[Index BS],'Khanh Nga'!$B126,[1]!Data_BS[TenCongTyID],'Khanh Nga'!$B$1,[1]!Data_BS[Thang.Nam],'Khanh Nga'!AH$5)</f>
        <v>0</v>
      </c>
      <c r="AI126" s="229">
        <f>SUMIFS([1]!Data_BS[Value],[1]!Data_BS[Index BS],'Khanh Nga'!$B126,[1]!Data_BS[TenCongTyID],'Khanh Nga'!$B$1,[1]!Data_BS[Thang.Nam],'Khanh Nga'!AI$5)</f>
        <v>0</v>
      </c>
      <c r="AJ126" s="229">
        <f>SUMIFS([1]!Data_BS[Value],[1]!Data_BS[Index BS],'Khanh Nga'!$B126,[1]!Data_BS[TenCongTyID],'Khanh Nga'!$B$1,[1]!Data_BS[Thang.Nam],'Khanh Nga'!AJ$5)</f>
        <v>0</v>
      </c>
      <c r="AK126" s="229">
        <f>SUMIFS([1]!Data_BS[Value],[1]!Data_BS[Index BS],'Khanh Nga'!$B126,[1]!Data_BS[TenCongTyID],'Khanh Nga'!$B$1,[1]!Data_BS[Thang.Nam],'Khanh Nga'!AK$5)</f>
        <v>0</v>
      </c>
      <c r="AL126" s="229">
        <f>SUMIFS([1]!Data_BS[Value],[1]!Data_BS[Index BS],'Khanh Nga'!$B126,[1]!Data_BS[TenCongTyID],'Khanh Nga'!$B$1,[1]!Data_BS[Thang.Nam],'Khanh Nga'!AL$5)</f>
        <v>0</v>
      </c>
    </row>
    <row r="127" spans="1:38" ht="15" hidden="1" customHeight="1" outlineLevel="1">
      <c r="A127" s="67" t="s">
        <v>211</v>
      </c>
      <c r="B127" s="63">
        <v>122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/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/>
      <c r="X127" s="229">
        <v>0</v>
      </c>
      <c r="Y127" s="229"/>
      <c r="Z127" s="229">
        <v>0</v>
      </c>
      <c r="AA127" s="229">
        <f>SUMIFS([1]!Data_BS[Value],[1]!Data_BS[Index BS],'Khanh Nga'!$B127,[1]!Data_BS[TenCongTyID],'Khanh Nga'!$B$1,[1]!Data_BS[Thang.Nam],'Khanh Nga'!AA$5)</f>
        <v>0</v>
      </c>
      <c r="AB127" s="229">
        <f>SUMIFS([1]!Data_BS[Value],[1]!Data_BS[Index BS],'Khanh Nga'!$B127,[1]!Data_BS[TenCongTyID],'Khanh Nga'!$B$1,[1]!Data_BS[Thang.Nam],'Khanh Nga'!AB$5)</f>
        <v>0</v>
      </c>
      <c r="AC127" s="229">
        <f>SUMIFS([1]!Data_BS[Value],[1]!Data_BS[Index BS],'Khanh Nga'!$B127,[1]!Data_BS[TenCongTyID],'Khanh Nga'!$B$1,[1]!Data_BS[Thang.Nam],'Khanh Nga'!AC$5)</f>
        <v>0</v>
      </c>
      <c r="AD127" s="229">
        <f>SUMIFS([1]!Data_BS[Value],[1]!Data_BS[Index BS],'Khanh Nga'!$B127,[1]!Data_BS[TenCongTyID],'Khanh Nga'!$B$1,[1]!Data_BS[Thang.Nam],'Khanh Nga'!AD$5)</f>
        <v>0</v>
      </c>
      <c r="AE127" s="229">
        <f>SUMIFS([1]!Data_BS[Value],[1]!Data_BS[Index BS],'Khanh Nga'!$B127,[1]!Data_BS[TenCongTyID],'Khanh Nga'!$B$1,[1]!Data_BS[Thang.Nam],'Khanh Nga'!AE$5)</f>
        <v>0</v>
      </c>
      <c r="AF127" s="229">
        <f>SUMIFS([1]!Data_BS[Value],[1]!Data_BS[Index BS],'Khanh Nga'!$B127,[1]!Data_BS[TenCongTyID],'Khanh Nga'!$B$1,[1]!Data_BS[Thang.Nam],'Khanh Nga'!AF$5)</f>
        <v>0</v>
      </c>
      <c r="AG127" s="229">
        <f>SUMIFS([1]!Data_BS[Value],[1]!Data_BS[Index BS],'Khanh Nga'!$B127,[1]!Data_BS[TenCongTyID],'Khanh Nga'!$B$1,[1]!Data_BS[Thang.Nam],'Khanh Nga'!AG$5)</f>
        <v>0</v>
      </c>
      <c r="AH127" s="229">
        <f>SUMIFS([1]!Data_BS[Value],[1]!Data_BS[Index BS],'Khanh Nga'!$B127,[1]!Data_BS[TenCongTyID],'Khanh Nga'!$B$1,[1]!Data_BS[Thang.Nam],'Khanh Nga'!AH$5)</f>
        <v>0</v>
      </c>
      <c r="AI127" s="229">
        <f>SUMIFS([1]!Data_BS[Value],[1]!Data_BS[Index BS],'Khanh Nga'!$B127,[1]!Data_BS[TenCongTyID],'Khanh Nga'!$B$1,[1]!Data_BS[Thang.Nam],'Khanh Nga'!AI$5)</f>
        <v>0</v>
      </c>
      <c r="AJ127" s="229">
        <f>SUMIFS([1]!Data_BS[Value],[1]!Data_BS[Index BS],'Khanh Nga'!$B127,[1]!Data_BS[TenCongTyID],'Khanh Nga'!$B$1,[1]!Data_BS[Thang.Nam],'Khanh Nga'!AJ$5)</f>
        <v>0</v>
      </c>
      <c r="AK127" s="229">
        <f>SUMIFS([1]!Data_BS[Value],[1]!Data_BS[Index BS],'Khanh Nga'!$B127,[1]!Data_BS[TenCongTyID],'Khanh Nga'!$B$1,[1]!Data_BS[Thang.Nam],'Khanh Nga'!AK$5)</f>
        <v>0</v>
      </c>
      <c r="AL127" s="229">
        <f>SUMIFS([1]!Data_BS[Value],[1]!Data_BS[Index BS],'Khanh Nga'!$B127,[1]!Data_BS[TenCongTyID],'Khanh Nga'!$B$1,[1]!Data_BS[Thang.Nam],'Khanh Nga'!AL$5)</f>
        <v>0</v>
      </c>
    </row>
    <row r="128" spans="1:38" ht="15" hidden="1" customHeight="1" outlineLevel="1">
      <c r="A128" s="86" t="s">
        <v>212</v>
      </c>
      <c r="B128" s="87">
        <v>123</v>
      </c>
      <c r="C128" s="257">
        <v>-2048454880</v>
      </c>
      <c r="D128" s="257">
        <v>-2160139804</v>
      </c>
      <c r="E128" s="257">
        <v>-1914491589</v>
      </c>
      <c r="F128" s="257">
        <v>-2009894902</v>
      </c>
      <c r="G128" s="257">
        <v>-2333744699</v>
      </c>
      <c r="H128" s="257">
        <v>-2445228370</v>
      </c>
      <c r="I128" s="257">
        <v>-2763526355</v>
      </c>
      <c r="J128" s="257">
        <v>-3191580729</v>
      </c>
      <c r="K128" s="257">
        <v>-3748875921</v>
      </c>
      <c r="L128" s="257">
        <v>-3839334619</v>
      </c>
      <c r="M128" s="257">
        <v>-3976659189</v>
      </c>
      <c r="N128" s="257">
        <v>-4326477585</v>
      </c>
      <c r="O128" s="257">
        <v>-5036206214</v>
      </c>
      <c r="P128" s="257">
        <v>-5702390792</v>
      </c>
      <c r="Q128" s="257">
        <v>-5954027759</v>
      </c>
      <c r="R128" s="257">
        <v>-5242740189</v>
      </c>
      <c r="S128" s="257">
        <v>-5018011069</v>
      </c>
      <c r="T128" s="257">
        <v>-4382823980</v>
      </c>
      <c r="U128" s="257">
        <v>-3061143324</v>
      </c>
      <c r="V128" s="257">
        <v>-1855238556</v>
      </c>
      <c r="W128" s="257">
        <f>W129+W130</f>
        <v>-1515507573</v>
      </c>
      <c r="X128" s="257">
        <v>-1099104152</v>
      </c>
      <c r="Y128" s="257">
        <v>-719188539</v>
      </c>
      <c r="Z128" s="257">
        <v>-121348145</v>
      </c>
      <c r="AA128" s="257">
        <f>SUMIFS([1]!Data_BS[Value],[1]!Data_BS[Index BS],'Khanh Nga'!$B128,[1]!Data_BS[TenCongTyID],'Khanh Nga'!$B$1,[1]!Data_BS[Thang.Nam],'Khanh Nga'!AA$5)</f>
        <v>0</v>
      </c>
      <c r="AB128" s="257">
        <f>SUMIFS([1]!Data_BS[Value],[1]!Data_BS[Index BS],'Khanh Nga'!$B128,[1]!Data_BS[TenCongTyID],'Khanh Nga'!$B$1,[1]!Data_BS[Thang.Nam],'Khanh Nga'!AB$5)</f>
        <v>0</v>
      </c>
      <c r="AC128" s="257">
        <f>SUMIFS([1]!Data_BS[Value],[1]!Data_BS[Index BS],'Khanh Nga'!$B128,[1]!Data_BS[TenCongTyID],'Khanh Nga'!$B$1,[1]!Data_BS[Thang.Nam],'Khanh Nga'!AC$5)</f>
        <v>0</v>
      </c>
      <c r="AD128" s="257">
        <f>SUMIFS([1]!Data_BS[Value],[1]!Data_BS[Index BS],'Khanh Nga'!$B128,[1]!Data_BS[TenCongTyID],'Khanh Nga'!$B$1,[1]!Data_BS[Thang.Nam],'Khanh Nga'!AD$5)</f>
        <v>0</v>
      </c>
      <c r="AE128" s="257">
        <f>SUMIFS([1]!Data_BS[Value],[1]!Data_BS[Index BS],'Khanh Nga'!$B128,[1]!Data_BS[TenCongTyID],'Khanh Nga'!$B$1,[1]!Data_BS[Thang.Nam],'Khanh Nga'!AE$5)</f>
        <v>0</v>
      </c>
      <c r="AF128" s="257">
        <f>SUMIFS([1]!Data_BS[Value],[1]!Data_BS[Index BS],'Khanh Nga'!$B128,[1]!Data_BS[TenCongTyID],'Khanh Nga'!$B$1,[1]!Data_BS[Thang.Nam],'Khanh Nga'!AF$5)</f>
        <v>0</v>
      </c>
      <c r="AG128" s="257">
        <f>SUMIFS([1]!Data_BS[Value],[1]!Data_BS[Index BS],'Khanh Nga'!$B128,[1]!Data_BS[TenCongTyID],'Khanh Nga'!$B$1,[1]!Data_BS[Thang.Nam],'Khanh Nga'!AG$5)</f>
        <v>0</v>
      </c>
      <c r="AH128" s="257">
        <f>SUMIFS([1]!Data_BS[Value],[1]!Data_BS[Index BS],'Khanh Nga'!$B128,[1]!Data_BS[TenCongTyID],'Khanh Nga'!$B$1,[1]!Data_BS[Thang.Nam],'Khanh Nga'!AH$5)</f>
        <v>0</v>
      </c>
      <c r="AI128" s="257">
        <f>SUMIFS([1]!Data_BS[Value],[1]!Data_BS[Index BS],'Khanh Nga'!$B128,[1]!Data_BS[TenCongTyID],'Khanh Nga'!$B$1,[1]!Data_BS[Thang.Nam],'Khanh Nga'!AI$5)</f>
        <v>0</v>
      </c>
      <c r="AJ128" s="257">
        <f>SUMIFS([1]!Data_BS[Value],[1]!Data_BS[Index BS],'Khanh Nga'!$B128,[1]!Data_BS[TenCongTyID],'Khanh Nga'!$B$1,[1]!Data_BS[Thang.Nam],'Khanh Nga'!AJ$5)</f>
        <v>0</v>
      </c>
      <c r="AK128" s="257">
        <f>SUMIFS([1]!Data_BS[Value],[1]!Data_BS[Index BS],'Khanh Nga'!$B128,[1]!Data_BS[TenCongTyID],'Khanh Nga'!$B$1,[1]!Data_BS[Thang.Nam],'Khanh Nga'!AK$5)</f>
        <v>0</v>
      </c>
      <c r="AL128" s="257">
        <f>SUMIFS([1]!Data_BS[Value],[1]!Data_BS[Index BS],'Khanh Nga'!$B128,[1]!Data_BS[TenCongTyID],'Khanh Nga'!$B$1,[1]!Data_BS[Thang.Nam],'Khanh Nga'!AL$5)</f>
        <v>0</v>
      </c>
    </row>
    <row r="129" spans="1:52" ht="15" hidden="1" customHeight="1" outlineLevel="1">
      <c r="A129" s="89" t="s">
        <v>213</v>
      </c>
      <c r="B129" s="63">
        <v>124</v>
      </c>
      <c r="C129" s="229">
        <v>0</v>
      </c>
      <c r="D129" s="229">
        <v>0</v>
      </c>
      <c r="E129" s="229">
        <v>0</v>
      </c>
      <c r="F129" s="229">
        <v>0</v>
      </c>
      <c r="G129" s="229">
        <v>0</v>
      </c>
      <c r="H129" s="229">
        <v>0</v>
      </c>
      <c r="I129" s="229">
        <v>0</v>
      </c>
      <c r="J129" s="229">
        <v>0</v>
      </c>
      <c r="K129" s="229">
        <v>0</v>
      </c>
      <c r="L129" s="229">
        <v>0</v>
      </c>
      <c r="M129" s="229">
        <v>0</v>
      </c>
      <c r="N129" s="229">
        <v>0</v>
      </c>
      <c r="O129" s="229">
        <v>0</v>
      </c>
      <c r="P129" s="229">
        <v>0</v>
      </c>
      <c r="Q129" s="229">
        <v>0</v>
      </c>
      <c r="R129" s="229">
        <v>0</v>
      </c>
      <c r="S129" s="229">
        <v>0</v>
      </c>
      <c r="T129" s="229">
        <v>0</v>
      </c>
      <c r="U129" s="229">
        <v>0</v>
      </c>
      <c r="V129" s="229">
        <v>0</v>
      </c>
      <c r="W129" s="229"/>
      <c r="X129" s="229">
        <v>0</v>
      </c>
      <c r="Y129" s="229"/>
      <c r="Z129" s="229">
        <v>0</v>
      </c>
      <c r="AA129" s="229">
        <f>SUMIFS([1]!Data_BS[Value],[1]!Data_BS[Index BS],'Khanh Nga'!$B129,[1]!Data_BS[TenCongTyID],'Khanh Nga'!$B$1,[1]!Data_BS[Thang.Nam],'Khanh Nga'!AA$5)</f>
        <v>0</v>
      </c>
      <c r="AB129" s="229">
        <f>SUMIFS([1]!Data_BS[Value],[1]!Data_BS[Index BS],'Khanh Nga'!$B129,[1]!Data_BS[TenCongTyID],'Khanh Nga'!$B$1,[1]!Data_BS[Thang.Nam],'Khanh Nga'!AB$5)</f>
        <v>0</v>
      </c>
      <c r="AC129" s="229">
        <f>SUMIFS([1]!Data_BS[Value],[1]!Data_BS[Index BS],'Khanh Nga'!$B129,[1]!Data_BS[TenCongTyID],'Khanh Nga'!$B$1,[1]!Data_BS[Thang.Nam],'Khanh Nga'!AC$5)</f>
        <v>0</v>
      </c>
      <c r="AD129" s="229">
        <f>SUMIFS([1]!Data_BS[Value],[1]!Data_BS[Index BS],'Khanh Nga'!$B129,[1]!Data_BS[TenCongTyID],'Khanh Nga'!$B$1,[1]!Data_BS[Thang.Nam],'Khanh Nga'!AD$5)</f>
        <v>0</v>
      </c>
      <c r="AE129" s="229">
        <f>SUMIFS([1]!Data_BS[Value],[1]!Data_BS[Index BS],'Khanh Nga'!$B129,[1]!Data_BS[TenCongTyID],'Khanh Nga'!$B$1,[1]!Data_BS[Thang.Nam],'Khanh Nga'!AE$5)</f>
        <v>0</v>
      </c>
      <c r="AF129" s="229">
        <f>SUMIFS([1]!Data_BS[Value],[1]!Data_BS[Index BS],'Khanh Nga'!$B129,[1]!Data_BS[TenCongTyID],'Khanh Nga'!$B$1,[1]!Data_BS[Thang.Nam],'Khanh Nga'!AF$5)</f>
        <v>0</v>
      </c>
      <c r="AG129" s="229">
        <f>SUMIFS([1]!Data_BS[Value],[1]!Data_BS[Index BS],'Khanh Nga'!$B129,[1]!Data_BS[TenCongTyID],'Khanh Nga'!$B$1,[1]!Data_BS[Thang.Nam],'Khanh Nga'!AG$5)</f>
        <v>0</v>
      </c>
      <c r="AH129" s="229">
        <f>SUMIFS([1]!Data_BS[Value],[1]!Data_BS[Index BS],'Khanh Nga'!$B129,[1]!Data_BS[TenCongTyID],'Khanh Nga'!$B$1,[1]!Data_BS[Thang.Nam],'Khanh Nga'!AH$5)</f>
        <v>0</v>
      </c>
      <c r="AI129" s="229">
        <f>SUMIFS([1]!Data_BS[Value],[1]!Data_BS[Index BS],'Khanh Nga'!$B129,[1]!Data_BS[TenCongTyID],'Khanh Nga'!$B$1,[1]!Data_BS[Thang.Nam],'Khanh Nga'!AI$5)</f>
        <v>0</v>
      </c>
      <c r="AJ129" s="229">
        <f>SUMIFS([1]!Data_BS[Value],[1]!Data_BS[Index BS],'Khanh Nga'!$B129,[1]!Data_BS[TenCongTyID],'Khanh Nga'!$B$1,[1]!Data_BS[Thang.Nam],'Khanh Nga'!AJ$5)</f>
        <v>0</v>
      </c>
      <c r="AK129" s="229">
        <f>SUMIFS([1]!Data_BS[Value],[1]!Data_BS[Index BS],'Khanh Nga'!$B129,[1]!Data_BS[TenCongTyID],'Khanh Nga'!$B$1,[1]!Data_BS[Thang.Nam],'Khanh Nga'!AK$5)</f>
        <v>0</v>
      </c>
      <c r="AL129" s="229">
        <f>SUMIFS([1]!Data_BS[Value],[1]!Data_BS[Index BS],'Khanh Nga'!$B129,[1]!Data_BS[TenCongTyID],'Khanh Nga'!$B$1,[1]!Data_BS[Thang.Nam],'Khanh Nga'!AL$5)</f>
        <v>0</v>
      </c>
    </row>
    <row r="130" spans="1:52" ht="15" hidden="1" customHeight="1" outlineLevel="1">
      <c r="A130" s="89" t="s">
        <v>214</v>
      </c>
      <c r="B130" s="63">
        <v>125</v>
      </c>
      <c r="C130" s="229">
        <v>-2048454880</v>
      </c>
      <c r="D130" s="229">
        <v>-2160139804</v>
      </c>
      <c r="E130" s="229">
        <v>-1914491589</v>
      </c>
      <c r="F130" s="229">
        <v>-2009894902</v>
      </c>
      <c r="G130" s="229">
        <v>-2333744699</v>
      </c>
      <c r="H130" s="229">
        <v>-2445228370</v>
      </c>
      <c r="I130" s="229">
        <v>-2763526355</v>
      </c>
      <c r="J130" s="229">
        <v>-3191580729</v>
      </c>
      <c r="K130" s="229">
        <v>-3748875921</v>
      </c>
      <c r="L130" s="229">
        <v>-3839334619</v>
      </c>
      <c r="M130" s="229">
        <v>-3976659189</v>
      </c>
      <c r="N130" s="229">
        <v>-4326477585</v>
      </c>
      <c r="O130" s="229">
        <v>-5036206214</v>
      </c>
      <c r="P130" s="229">
        <v>-5702390792</v>
      </c>
      <c r="Q130" s="229">
        <v>-5954027759</v>
      </c>
      <c r="R130" s="229">
        <v>-5242740189</v>
      </c>
      <c r="S130" s="229">
        <v>-5018011069</v>
      </c>
      <c r="T130" s="229">
        <v>-4382823980</v>
      </c>
      <c r="U130" s="229">
        <v>-3061143324</v>
      </c>
      <c r="V130" s="229">
        <v>-1855238556</v>
      </c>
      <c r="W130" s="229">
        <v>-1515507573</v>
      </c>
      <c r="X130" s="229">
        <v>-1099104152</v>
      </c>
      <c r="Y130" s="229">
        <v>-719188539</v>
      </c>
      <c r="Z130" s="229">
        <v>-121348145</v>
      </c>
      <c r="AA130" s="229">
        <f>SUMIFS([1]!Data_BS[Value],[1]!Data_BS[Index BS],'Khanh Nga'!$B130,[1]!Data_BS[TenCongTyID],'Khanh Nga'!$B$1,[1]!Data_BS[Thang.Nam],'Khanh Nga'!AA$5)</f>
        <v>0</v>
      </c>
      <c r="AB130" s="229">
        <f>SUMIFS([1]!Data_BS[Value],[1]!Data_BS[Index BS],'Khanh Nga'!$B130,[1]!Data_BS[TenCongTyID],'Khanh Nga'!$B$1,[1]!Data_BS[Thang.Nam],'Khanh Nga'!AB$5)</f>
        <v>0</v>
      </c>
      <c r="AC130" s="229">
        <f>SUMIFS([1]!Data_BS[Value],[1]!Data_BS[Index BS],'Khanh Nga'!$B130,[1]!Data_BS[TenCongTyID],'Khanh Nga'!$B$1,[1]!Data_BS[Thang.Nam],'Khanh Nga'!AC$5)</f>
        <v>0</v>
      </c>
      <c r="AD130" s="229">
        <f>SUMIFS([1]!Data_BS[Value],[1]!Data_BS[Index BS],'Khanh Nga'!$B130,[1]!Data_BS[TenCongTyID],'Khanh Nga'!$B$1,[1]!Data_BS[Thang.Nam],'Khanh Nga'!AD$5)</f>
        <v>0</v>
      </c>
      <c r="AE130" s="229">
        <f>SUMIFS([1]!Data_BS[Value],[1]!Data_BS[Index BS],'Khanh Nga'!$B130,[1]!Data_BS[TenCongTyID],'Khanh Nga'!$B$1,[1]!Data_BS[Thang.Nam],'Khanh Nga'!AE$5)</f>
        <v>0</v>
      </c>
      <c r="AF130" s="229">
        <f>SUMIFS([1]!Data_BS[Value],[1]!Data_BS[Index BS],'Khanh Nga'!$B130,[1]!Data_BS[TenCongTyID],'Khanh Nga'!$B$1,[1]!Data_BS[Thang.Nam],'Khanh Nga'!AF$5)</f>
        <v>0</v>
      </c>
      <c r="AG130" s="229">
        <f>SUMIFS([1]!Data_BS[Value],[1]!Data_BS[Index BS],'Khanh Nga'!$B130,[1]!Data_BS[TenCongTyID],'Khanh Nga'!$B$1,[1]!Data_BS[Thang.Nam],'Khanh Nga'!AG$5)</f>
        <v>0</v>
      </c>
      <c r="AH130" s="229">
        <f>SUMIFS([1]!Data_BS[Value],[1]!Data_BS[Index BS],'Khanh Nga'!$B130,[1]!Data_BS[TenCongTyID],'Khanh Nga'!$B$1,[1]!Data_BS[Thang.Nam],'Khanh Nga'!AH$5)</f>
        <v>0</v>
      </c>
      <c r="AI130" s="229">
        <f>SUMIFS([1]!Data_BS[Value],[1]!Data_BS[Index BS],'Khanh Nga'!$B130,[1]!Data_BS[TenCongTyID],'Khanh Nga'!$B$1,[1]!Data_BS[Thang.Nam],'Khanh Nga'!AI$5)</f>
        <v>0</v>
      </c>
      <c r="AJ130" s="229">
        <f>SUMIFS([1]!Data_BS[Value],[1]!Data_BS[Index BS],'Khanh Nga'!$B130,[1]!Data_BS[TenCongTyID],'Khanh Nga'!$B$1,[1]!Data_BS[Thang.Nam],'Khanh Nga'!AJ$5)</f>
        <v>0</v>
      </c>
      <c r="AK130" s="229">
        <f>SUMIFS([1]!Data_BS[Value],[1]!Data_BS[Index BS],'Khanh Nga'!$B130,[1]!Data_BS[TenCongTyID],'Khanh Nga'!$B$1,[1]!Data_BS[Thang.Nam],'Khanh Nga'!AK$5)</f>
        <v>0</v>
      </c>
      <c r="AL130" s="229">
        <f>SUMIFS([1]!Data_BS[Value],[1]!Data_BS[Index BS],'Khanh Nga'!$B130,[1]!Data_BS[TenCongTyID],'Khanh Nga'!$B$1,[1]!Data_BS[Thang.Nam],'Khanh Nga'!AL$5)</f>
        <v>0</v>
      </c>
    </row>
    <row r="131" spans="1:52" s="264" customFormat="1" ht="15" hidden="1" customHeight="1" outlineLevel="1">
      <c r="A131" s="91" t="s">
        <v>215</v>
      </c>
      <c r="B131" s="92">
        <v>126</v>
      </c>
      <c r="C131" s="260">
        <v>15507979212</v>
      </c>
      <c r="D131" s="260">
        <v>15417714531</v>
      </c>
      <c r="E131" s="260">
        <v>15345218657.860001</v>
      </c>
      <c r="F131" s="260">
        <v>14887272764.882</v>
      </c>
      <c r="G131" s="260">
        <v>14208989819</v>
      </c>
      <c r="H131" s="260">
        <v>14469402313</v>
      </c>
      <c r="I131" s="260">
        <v>13889448295</v>
      </c>
      <c r="J131" s="260">
        <v>15964623066</v>
      </c>
      <c r="K131" s="260">
        <v>16416433118</v>
      </c>
      <c r="L131" s="260">
        <v>18528574980</v>
      </c>
      <c r="M131" s="260">
        <v>18411366075</v>
      </c>
      <c r="N131" s="261">
        <v>17769431513.482002</v>
      </c>
      <c r="O131" s="261">
        <v>16889928225</v>
      </c>
      <c r="P131" s="261">
        <v>17887328825</v>
      </c>
      <c r="Q131" s="261">
        <v>16933513757.482</v>
      </c>
      <c r="R131" s="261">
        <v>16999255969</v>
      </c>
      <c r="S131" s="261">
        <v>17131684163</v>
      </c>
      <c r="T131" s="261">
        <v>18263438107.481998</v>
      </c>
      <c r="U131" s="261">
        <v>19775807817.482101</v>
      </c>
      <c r="V131" s="261">
        <v>22605079961.482101</v>
      </c>
      <c r="W131" s="261">
        <f>+W116+W84</f>
        <v>20636649601.482002</v>
      </c>
      <c r="X131" s="261">
        <v>20713286536.481998</v>
      </c>
      <c r="Y131" s="261">
        <v>21582121492.482002</v>
      </c>
      <c r="Z131" s="261">
        <v>22374498981</v>
      </c>
      <c r="AA131" s="261">
        <f>SUMIFS([1]!Data_BS[Value],[1]!Data_BS[Index BS],'Khanh Nga'!$B131,[1]!Data_BS[TenCongTyID],'Khanh Nga'!$B$1,[1]!Data_BS[Thang.Nam],'Khanh Nga'!AA$5)</f>
        <v>0</v>
      </c>
      <c r="AB131" s="261">
        <f>SUMIFS([1]!Data_BS[Value],[1]!Data_BS[Index BS],'Khanh Nga'!$B131,[1]!Data_BS[TenCongTyID],'Khanh Nga'!$B$1,[1]!Data_BS[Thang.Nam],'Khanh Nga'!AB$5)</f>
        <v>0</v>
      </c>
      <c r="AC131" s="261">
        <f>SUMIFS([1]!Data_BS[Value],[1]!Data_BS[Index BS],'Khanh Nga'!$B131,[1]!Data_BS[TenCongTyID],'Khanh Nga'!$B$1,[1]!Data_BS[Thang.Nam],'Khanh Nga'!AC$5)</f>
        <v>0</v>
      </c>
      <c r="AD131" s="261">
        <f>SUMIFS([1]!Data_BS[Value],[1]!Data_BS[Index BS],'Khanh Nga'!$B131,[1]!Data_BS[TenCongTyID],'Khanh Nga'!$B$1,[1]!Data_BS[Thang.Nam],'Khanh Nga'!AD$5)</f>
        <v>0</v>
      </c>
      <c r="AE131" s="261">
        <f>SUMIFS([1]!Data_BS[Value],[1]!Data_BS[Index BS],'Khanh Nga'!$B131,[1]!Data_BS[TenCongTyID],'Khanh Nga'!$B$1,[1]!Data_BS[Thang.Nam],'Khanh Nga'!AE$5)</f>
        <v>0</v>
      </c>
      <c r="AF131" s="261">
        <f>SUMIFS([1]!Data_BS[Value],[1]!Data_BS[Index BS],'Khanh Nga'!$B131,[1]!Data_BS[TenCongTyID],'Khanh Nga'!$B$1,[1]!Data_BS[Thang.Nam],'Khanh Nga'!AF$5)</f>
        <v>0</v>
      </c>
      <c r="AG131" s="261">
        <f>SUMIFS([1]!Data_BS[Value],[1]!Data_BS[Index BS],'Khanh Nga'!$B131,[1]!Data_BS[TenCongTyID],'Khanh Nga'!$B$1,[1]!Data_BS[Thang.Nam],'Khanh Nga'!AG$5)</f>
        <v>0</v>
      </c>
      <c r="AH131" s="261">
        <f>SUMIFS([1]!Data_BS[Value],[1]!Data_BS[Index BS],'Khanh Nga'!$B131,[1]!Data_BS[TenCongTyID],'Khanh Nga'!$B$1,[1]!Data_BS[Thang.Nam],'Khanh Nga'!AH$5)</f>
        <v>0</v>
      </c>
      <c r="AI131" s="261">
        <f>SUMIFS([1]!Data_BS[Value],[1]!Data_BS[Index BS],'Khanh Nga'!$B131,[1]!Data_BS[TenCongTyID],'Khanh Nga'!$B$1,[1]!Data_BS[Thang.Nam],'Khanh Nga'!AI$5)</f>
        <v>0</v>
      </c>
      <c r="AJ131" s="261">
        <f>SUMIFS([1]!Data_BS[Value],[1]!Data_BS[Index BS],'Khanh Nga'!$B131,[1]!Data_BS[TenCongTyID],'Khanh Nga'!$B$1,[1]!Data_BS[Thang.Nam],'Khanh Nga'!AJ$5)</f>
        <v>0</v>
      </c>
      <c r="AK131" s="261">
        <f>SUMIFS([1]!Data_BS[Value],[1]!Data_BS[Index BS],'Khanh Nga'!$B131,[1]!Data_BS[TenCongTyID],'Khanh Nga'!$B$1,[1]!Data_BS[Thang.Nam],'Khanh Nga'!AK$5)</f>
        <v>0</v>
      </c>
      <c r="AL131" s="261">
        <f>SUMIFS([1]!Data_BS[Value],[1]!Data_BS[Index BS],'Khanh Nga'!$B131,[1]!Data_BS[TenCongTyID],'Khanh Nga'!$B$1,[1]!Data_BS[Thang.Nam],'Khanh Nga'!AL$5)</f>
        <v>0</v>
      </c>
    </row>
    <row r="132" spans="1:52" ht="15" customHeight="1">
      <c r="A132" s="94"/>
      <c r="B132" s="95"/>
      <c r="C132" s="95">
        <f t="shared" ref="C132:Y132" si="2">C131-C83</f>
        <v>0</v>
      </c>
      <c r="D132" s="95">
        <f t="shared" si="2"/>
        <v>0</v>
      </c>
      <c r="E132" s="95">
        <f t="shared" si="2"/>
        <v>0</v>
      </c>
      <c r="F132" s="95">
        <f t="shared" si="2"/>
        <v>0</v>
      </c>
      <c r="G132" s="95">
        <f t="shared" si="2"/>
        <v>0</v>
      </c>
      <c r="H132" s="95">
        <f t="shared" si="2"/>
        <v>0</v>
      </c>
      <c r="I132" s="265">
        <f t="shared" si="2"/>
        <v>0</v>
      </c>
      <c r="J132" s="265">
        <f t="shared" si="2"/>
        <v>0</v>
      </c>
      <c r="K132" s="265">
        <f t="shared" si="2"/>
        <v>0</v>
      </c>
      <c r="L132" s="265">
        <f t="shared" si="2"/>
        <v>0</v>
      </c>
      <c r="M132" s="265">
        <f t="shared" si="2"/>
        <v>0</v>
      </c>
      <c r="N132" s="265">
        <f t="shared" si="2"/>
        <v>0</v>
      </c>
      <c r="O132" s="265">
        <f t="shared" si="2"/>
        <v>9.918212890625E-5</v>
      </c>
      <c r="P132" s="265">
        <f t="shared" si="2"/>
        <v>0</v>
      </c>
      <c r="Q132" s="265">
        <f t="shared" si="2"/>
        <v>0</v>
      </c>
      <c r="R132" s="265">
        <f t="shared" si="2"/>
        <v>0</v>
      </c>
      <c r="S132" s="265">
        <f t="shared" si="2"/>
        <v>0</v>
      </c>
      <c r="T132" s="265">
        <f t="shared" si="2"/>
        <v>0</v>
      </c>
      <c r="U132" s="265">
        <f t="shared" si="2"/>
        <v>1.02996826171875E-4</v>
      </c>
      <c r="V132" s="265">
        <f t="shared" si="2"/>
        <v>1.02996826171875E-4</v>
      </c>
      <c r="W132" s="265">
        <f t="shared" si="2"/>
        <v>0</v>
      </c>
      <c r="X132" s="265">
        <f t="shared" si="2"/>
        <v>0</v>
      </c>
      <c r="Y132" s="265">
        <f t="shared" si="2"/>
        <v>0</v>
      </c>
      <c r="Z132" s="265">
        <v>0</v>
      </c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">
        <v>66</v>
      </c>
      <c r="D133" s="101" t="s">
        <v>67</v>
      </c>
      <c r="E133" s="101" t="s">
        <v>68</v>
      </c>
      <c r="F133" s="101" t="s">
        <v>69</v>
      </c>
      <c r="G133" s="101" t="s">
        <v>70</v>
      </c>
      <c r="H133" s="101" t="s">
        <v>71</v>
      </c>
      <c r="I133" s="101" t="s">
        <v>72</v>
      </c>
      <c r="J133" s="101" t="s">
        <v>73</v>
      </c>
      <c r="K133" s="101" t="s">
        <v>74</v>
      </c>
      <c r="L133" s="101" t="s">
        <v>75</v>
      </c>
      <c r="M133" s="101" t="s">
        <v>76</v>
      </c>
      <c r="N133" s="101" t="s">
        <v>77</v>
      </c>
      <c r="O133" s="101" t="s">
        <v>78</v>
      </c>
      <c r="P133" s="101" t="s">
        <v>79</v>
      </c>
      <c r="Q133" s="101" t="s">
        <v>80</v>
      </c>
      <c r="R133" s="101" t="s">
        <v>81</v>
      </c>
      <c r="S133" s="101" t="s">
        <v>82</v>
      </c>
      <c r="T133" s="101" t="s">
        <v>83</v>
      </c>
      <c r="U133" s="101" t="s">
        <v>84</v>
      </c>
      <c r="V133" s="101" t="s">
        <v>85</v>
      </c>
      <c r="W133" s="101" t="s">
        <v>86</v>
      </c>
      <c r="X133" s="101" t="s">
        <v>87</v>
      </c>
      <c r="Y133" s="101" t="s">
        <v>88</v>
      </c>
      <c r="Z133" s="101" t="s">
        <v>89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212">
        <v>2026</v>
      </c>
    </row>
    <row r="134" spans="1:52" s="107" customFormat="1" ht="15" customHeight="1">
      <c r="A134" s="104" t="s">
        <v>219</v>
      </c>
      <c r="B134" s="105">
        <v>1</v>
      </c>
      <c r="C134" s="106">
        <v>454</v>
      </c>
      <c r="D134" s="268">
        <v>427</v>
      </c>
      <c r="E134" s="268">
        <v>528</v>
      </c>
      <c r="F134" s="268">
        <v>341</v>
      </c>
      <c r="G134" s="268">
        <v>491</v>
      </c>
      <c r="H134" s="268">
        <v>473</v>
      </c>
      <c r="I134" s="268">
        <v>370</v>
      </c>
      <c r="J134" s="268">
        <v>406</v>
      </c>
      <c r="K134" s="268">
        <v>299</v>
      </c>
      <c r="L134" s="268">
        <v>409</v>
      </c>
      <c r="M134" s="269">
        <v>383</v>
      </c>
      <c r="N134" s="270">
        <v>323</v>
      </c>
      <c r="O134" s="270">
        <v>242.078</v>
      </c>
      <c r="P134" s="270">
        <v>310.59300000000002</v>
      </c>
      <c r="Q134" s="270">
        <v>475.98700000000002</v>
      </c>
      <c r="R134" s="270">
        <v>519.9</v>
      </c>
      <c r="S134" s="270">
        <v>484.774</v>
      </c>
      <c r="T134" s="270">
        <v>510.435</v>
      </c>
      <c r="U134" s="270">
        <v>718.97</v>
      </c>
      <c r="V134" s="270">
        <v>711.69899999999996</v>
      </c>
      <c r="W134" s="270">
        <v>591.82399999999996</v>
      </c>
      <c r="X134" s="270">
        <v>543.36400000000003</v>
      </c>
      <c r="Y134" s="270">
        <v>454.67200000000003</v>
      </c>
      <c r="Z134" s="270">
        <v>614</v>
      </c>
      <c r="AA134" s="356">
        <v>533.70000000000005</v>
      </c>
      <c r="AB134" s="356">
        <v>400.27499999999998</v>
      </c>
      <c r="AC134" s="356">
        <v>578.17499999999995</v>
      </c>
      <c r="AD134" s="356">
        <v>622.65</v>
      </c>
      <c r="AE134" s="356">
        <v>622.65</v>
      </c>
      <c r="AF134" s="356">
        <v>622.65</v>
      </c>
      <c r="AG134" s="356">
        <v>622.65</v>
      </c>
      <c r="AH134" s="356">
        <v>622.65</v>
      </c>
      <c r="AI134" s="356">
        <v>622.65</v>
      </c>
      <c r="AJ134" s="356">
        <v>622.65</v>
      </c>
      <c r="AK134" s="356">
        <v>622.65</v>
      </c>
      <c r="AL134" s="356">
        <v>622.65</v>
      </c>
      <c r="AM134" s="268">
        <f t="shared" ref="AM134:AM153" si="3">SUM(AA134:AL134)</f>
        <v>7115.9999999999991</v>
      </c>
    </row>
    <row r="135" spans="1:52" s="107" customFormat="1" ht="15" customHeight="1">
      <c r="A135" s="108" t="s">
        <v>220</v>
      </c>
      <c r="B135" s="109">
        <v>2</v>
      </c>
      <c r="C135" s="274">
        <v>6816503925</v>
      </c>
      <c r="D135" s="274">
        <v>6039598500</v>
      </c>
      <c r="E135" s="274">
        <v>7858071500</v>
      </c>
      <c r="F135" s="274">
        <v>5360336000</v>
      </c>
      <c r="G135" s="274">
        <v>7701926000</v>
      </c>
      <c r="H135" s="274">
        <v>7405493500</v>
      </c>
      <c r="I135" s="274">
        <v>5356795000</v>
      </c>
      <c r="J135" s="274">
        <v>5872209850</v>
      </c>
      <c r="K135" s="274">
        <v>4632824810</v>
      </c>
      <c r="L135" s="274">
        <v>6376620000</v>
      </c>
      <c r="M135" s="274">
        <v>6008306800</v>
      </c>
      <c r="N135" s="274">
        <v>5094418200</v>
      </c>
      <c r="O135" s="274">
        <v>3795897480</v>
      </c>
      <c r="P135" s="274">
        <v>5012982676</v>
      </c>
      <c r="Q135" s="274">
        <v>8087243089</v>
      </c>
      <c r="R135" s="274">
        <v>9694585314</v>
      </c>
      <c r="S135" s="274">
        <v>8388349104</v>
      </c>
      <c r="T135" s="274">
        <v>9515421651</v>
      </c>
      <c r="U135" s="274">
        <v>13592588554</v>
      </c>
      <c r="V135" s="274">
        <v>12421660930</v>
      </c>
      <c r="W135" s="274">
        <v>8808063400</v>
      </c>
      <c r="X135" s="274">
        <v>7719934000</v>
      </c>
      <c r="Y135" s="274">
        <v>6532057500</v>
      </c>
      <c r="Z135" s="274">
        <v>8694231720</v>
      </c>
      <c r="AA135" s="133">
        <f>AA137</f>
        <v>7469550000</v>
      </c>
      <c r="AB135" s="133">
        <f t="shared" ref="AB135:AL135" si="4">AB137</f>
        <v>5602162500</v>
      </c>
      <c r="AC135" s="133">
        <f t="shared" si="4"/>
        <v>8092012500</v>
      </c>
      <c r="AD135" s="133">
        <f t="shared" si="4"/>
        <v>8714475000</v>
      </c>
      <c r="AE135" s="133">
        <f t="shared" si="4"/>
        <v>8714475000</v>
      </c>
      <c r="AF135" s="133">
        <f t="shared" si="4"/>
        <v>8714475000</v>
      </c>
      <c r="AG135" s="133">
        <f t="shared" si="4"/>
        <v>8714475000</v>
      </c>
      <c r="AH135" s="133">
        <f t="shared" si="4"/>
        <v>8714475000</v>
      </c>
      <c r="AI135" s="133">
        <f t="shared" si="4"/>
        <v>8714475000</v>
      </c>
      <c r="AJ135" s="133">
        <f t="shared" si="4"/>
        <v>8714475000</v>
      </c>
      <c r="AK135" s="133">
        <f t="shared" si="4"/>
        <v>8714475000</v>
      </c>
      <c r="AL135" s="133">
        <f t="shared" si="4"/>
        <v>8714475000</v>
      </c>
      <c r="AM135" s="111">
        <f t="shared" si="3"/>
        <v>99594000000</v>
      </c>
    </row>
    <row r="136" spans="1:52" s="107" customFormat="1" ht="15" customHeight="1">
      <c r="A136" s="113" t="s">
        <v>221</v>
      </c>
      <c r="B136" s="114">
        <v>3</v>
      </c>
      <c r="C136" s="277">
        <v>0</v>
      </c>
      <c r="D136" s="277">
        <v>0</v>
      </c>
      <c r="E136" s="277">
        <v>0</v>
      </c>
      <c r="F136" s="278">
        <v>0</v>
      </c>
      <c r="G136" s="278">
        <v>0</v>
      </c>
      <c r="H136" s="278">
        <v>0</v>
      </c>
      <c r="I136" s="278">
        <v>0</v>
      </c>
      <c r="J136" s="278">
        <v>0</v>
      </c>
      <c r="K136" s="278">
        <v>0</v>
      </c>
      <c r="L136" s="278">
        <v>0</v>
      </c>
      <c r="M136" s="278">
        <v>0</v>
      </c>
      <c r="N136" s="279">
        <v>0</v>
      </c>
      <c r="O136" s="279">
        <v>0</v>
      </c>
      <c r="P136" s="279">
        <v>0</v>
      </c>
      <c r="Q136" s="279">
        <v>0</v>
      </c>
      <c r="R136" s="279">
        <v>0</v>
      </c>
      <c r="S136" s="279">
        <v>0</v>
      </c>
      <c r="T136" s="279">
        <v>0</v>
      </c>
      <c r="U136" s="279">
        <v>0</v>
      </c>
      <c r="V136" s="279">
        <v>0</v>
      </c>
      <c r="W136" s="279">
        <v>0</v>
      </c>
      <c r="X136" s="279">
        <v>0</v>
      </c>
      <c r="Y136" s="279"/>
      <c r="Z136" s="279">
        <v>0</v>
      </c>
      <c r="AA136" s="280">
        <v>0</v>
      </c>
      <c r="AB136" s="133">
        <v>0</v>
      </c>
      <c r="AC136" s="133">
        <v>0</v>
      </c>
      <c r="AD136" s="133">
        <v>0</v>
      </c>
      <c r="AE136" s="133">
        <v>0</v>
      </c>
      <c r="AF136" s="133">
        <v>0</v>
      </c>
      <c r="AG136" s="133">
        <v>0</v>
      </c>
      <c r="AH136" s="133">
        <v>0</v>
      </c>
      <c r="AI136" s="133">
        <v>0</v>
      </c>
      <c r="AJ136" s="133">
        <v>0</v>
      </c>
      <c r="AK136" s="133">
        <v>0</v>
      </c>
      <c r="AL136" s="133">
        <v>0</v>
      </c>
      <c r="AM136" s="111">
        <f t="shared" si="3"/>
        <v>0</v>
      </c>
    </row>
    <row r="137" spans="1:52" s="107" customFormat="1" ht="15" customHeight="1">
      <c r="A137" s="108" t="s">
        <v>222</v>
      </c>
      <c r="B137" s="116">
        <v>4</v>
      </c>
      <c r="C137" s="281">
        <v>6816503925</v>
      </c>
      <c r="D137" s="281">
        <v>6039598500</v>
      </c>
      <c r="E137" s="281">
        <v>7858071500</v>
      </c>
      <c r="F137" s="281">
        <v>5360336000</v>
      </c>
      <c r="G137" s="281">
        <v>7701926000</v>
      </c>
      <c r="H137" s="281">
        <v>7405493500</v>
      </c>
      <c r="I137" s="281">
        <v>5356795000</v>
      </c>
      <c r="J137" s="281">
        <v>5872209850</v>
      </c>
      <c r="K137" s="281">
        <v>4632824810</v>
      </c>
      <c r="L137" s="281">
        <v>6376620000</v>
      </c>
      <c r="M137" s="281">
        <v>6008306800</v>
      </c>
      <c r="N137" s="133">
        <v>5094418200</v>
      </c>
      <c r="O137" s="133">
        <v>3795897480</v>
      </c>
      <c r="P137" s="133">
        <v>5012982676</v>
      </c>
      <c r="Q137" s="133">
        <v>8087243089</v>
      </c>
      <c r="R137" s="133">
        <v>9694585314</v>
      </c>
      <c r="S137" s="133">
        <v>8388349104</v>
      </c>
      <c r="T137" s="133">
        <v>9515421651</v>
      </c>
      <c r="U137" s="133">
        <v>13592588554</v>
      </c>
      <c r="V137" s="133">
        <v>12421660930</v>
      </c>
      <c r="W137" s="133">
        <v>8808063400</v>
      </c>
      <c r="X137" s="133">
        <v>7719934000</v>
      </c>
      <c r="Y137" s="133">
        <v>6532057500</v>
      </c>
      <c r="Z137" s="133">
        <v>8694231720</v>
      </c>
      <c r="AA137" s="132">
        <v>7469550000</v>
      </c>
      <c r="AB137" s="133">
        <v>5602162500</v>
      </c>
      <c r="AC137" s="133">
        <v>8092012500</v>
      </c>
      <c r="AD137" s="133">
        <v>8714475000</v>
      </c>
      <c r="AE137" s="133">
        <v>8714475000</v>
      </c>
      <c r="AF137" s="133">
        <v>8714475000</v>
      </c>
      <c r="AG137" s="133">
        <v>8714475000</v>
      </c>
      <c r="AH137" s="133">
        <v>8714475000</v>
      </c>
      <c r="AI137" s="133">
        <v>8714475000</v>
      </c>
      <c r="AJ137" s="133">
        <v>8714475000</v>
      </c>
      <c r="AK137" s="133">
        <v>8714475000</v>
      </c>
      <c r="AL137" s="133">
        <v>8714475000</v>
      </c>
      <c r="AM137" s="111">
        <f t="shared" si="3"/>
        <v>99594000000</v>
      </c>
      <c r="AN137" s="359"/>
    </row>
    <row r="138" spans="1:52" s="107" customFormat="1" ht="15" customHeight="1">
      <c r="A138" s="113" t="s">
        <v>223</v>
      </c>
      <c r="B138" s="118">
        <v>5</v>
      </c>
      <c r="C138" s="282">
        <v>6559783004</v>
      </c>
      <c r="D138" s="277">
        <v>5886345396</v>
      </c>
      <c r="E138" s="277">
        <v>7324351881</v>
      </c>
      <c r="F138" s="283">
        <v>5224998353</v>
      </c>
      <c r="G138" s="283">
        <v>7764479089</v>
      </c>
      <c r="H138" s="283">
        <v>7281939097</v>
      </c>
      <c r="I138" s="283">
        <v>5437205244</v>
      </c>
      <c r="J138" s="283">
        <v>5773497558</v>
      </c>
      <c r="K138" s="283">
        <v>4867603245</v>
      </c>
      <c r="L138" s="283">
        <v>6301887244</v>
      </c>
      <c r="M138" s="284">
        <v>5850497140</v>
      </c>
      <c r="N138" s="283">
        <v>5184095833</v>
      </c>
      <c r="O138" s="283">
        <v>4115294618</v>
      </c>
      <c r="P138" s="283">
        <v>5323842751</v>
      </c>
      <c r="Q138" s="283">
        <v>7964328238</v>
      </c>
      <c r="R138" s="283">
        <v>8541162245</v>
      </c>
      <c r="S138" s="283">
        <v>7739685565</v>
      </c>
      <c r="T138" s="283">
        <v>8523016034</v>
      </c>
      <c r="U138" s="283">
        <v>11750480818</v>
      </c>
      <c r="V138" s="283">
        <v>10965244594</v>
      </c>
      <c r="W138" s="283">
        <v>8023329011</v>
      </c>
      <c r="X138" s="283">
        <v>6836790306</v>
      </c>
      <c r="Y138" s="283">
        <v>5683019867</v>
      </c>
      <c r="Z138" s="283">
        <v>7372961109</v>
      </c>
      <c r="AA138" s="286">
        <v>7190802752.9545536</v>
      </c>
      <c r="AB138" s="283">
        <v>5664772064.6117477</v>
      </c>
      <c r="AC138" s="283">
        <v>7668274849.5021544</v>
      </c>
      <c r="AD138" s="283">
        <v>8227781725.1497555</v>
      </c>
      <c r="AE138" s="283">
        <v>8183995965.3497562</v>
      </c>
      <c r="AF138" s="283">
        <v>8230599968.6164227</v>
      </c>
      <c r="AG138" s="283">
        <v>8242509945.9830894</v>
      </c>
      <c r="AH138" s="283">
        <v>8260042590.5664225</v>
      </c>
      <c r="AI138" s="283">
        <v>8249574716.1830893</v>
      </c>
      <c r="AJ138" s="283">
        <v>8188547606.5164223</v>
      </c>
      <c r="AK138" s="283">
        <v>8207901072.8164225</v>
      </c>
      <c r="AL138" s="283">
        <v>8205260429.1164227</v>
      </c>
      <c r="AM138" s="120">
        <f t="shared" si="3"/>
        <v>94520063687.366257</v>
      </c>
    </row>
    <row r="139" spans="1:52" s="107" customFormat="1" ht="15" customHeight="1">
      <c r="A139" s="108" t="s">
        <v>224</v>
      </c>
      <c r="B139" s="121">
        <v>6</v>
      </c>
      <c r="C139" s="124">
        <v>256720921</v>
      </c>
      <c r="D139" s="124">
        <v>153253104</v>
      </c>
      <c r="E139" s="124">
        <v>533719619</v>
      </c>
      <c r="F139" s="124">
        <v>135337647</v>
      </c>
      <c r="G139" s="124">
        <v>-62553089</v>
      </c>
      <c r="H139" s="124">
        <v>123554403</v>
      </c>
      <c r="I139" s="124">
        <v>-80410244</v>
      </c>
      <c r="J139" s="124">
        <v>98712292</v>
      </c>
      <c r="K139" s="124">
        <v>-234778435</v>
      </c>
      <c r="L139" s="124">
        <v>74732756</v>
      </c>
      <c r="M139" s="124">
        <v>157809660</v>
      </c>
      <c r="N139" s="124">
        <v>-89677633</v>
      </c>
      <c r="O139" s="124">
        <v>-319397138</v>
      </c>
      <c r="P139" s="124">
        <v>-310860075</v>
      </c>
      <c r="Q139" s="124">
        <v>122914851</v>
      </c>
      <c r="R139" s="124">
        <v>1153423069</v>
      </c>
      <c r="S139" s="124">
        <v>648663539</v>
      </c>
      <c r="T139" s="124">
        <v>992405617</v>
      </c>
      <c r="U139" s="124">
        <v>1842107736</v>
      </c>
      <c r="V139" s="124">
        <v>1456416336</v>
      </c>
      <c r="W139" s="124">
        <v>784734389</v>
      </c>
      <c r="X139" s="124">
        <v>883143694</v>
      </c>
      <c r="Y139" s="124">
        <v>849037633</v>
      </c>
      <c r="Z139" s="124">
        <v>1321270611</v>
      </c>
      <c r="AA139" s="123">
        <f>AA137-AA138</f>
        <v>278747247.0454464</v>
      </c>
      <c r="AB139" s="124">
        <f t="shared" ref="AB139:AL139" si="5">AB137-AB138</f>
        <v>-62609564.611747742</v>
      </c>
      <c r="AC139" s="124">
        <f t="shared" si="5"/>
        <v>423737650.49784565</v>
      </c>
      <c r="AD139" s="124">
        <f t="shared" si="5"/>
        <v>486693274.85024452</v>
      </c>
      <c r="AE139" s="124">
        <f t="shared" si="5"/>
        <v>530479034.65024376</v>
      </c>
      <c r="AF139" s="124">
        <f t="shared" si="5"/>
        <v>483875031.38357735</v>
      </c>
      <c r="AG139" s="124">
        <f t="shared" si="5"/>
        <v>471965054.01691055</v>
      </c>
      <c r="AH139" s="124">
        <f t="shared" si="5"/>
        <v>454432409.43357754</v>
      </c>
      <c r="AI139" s="124">
        <f t="shared" si="5"/>
        <v>464900283.81691074</v>
      </c>
      <c r="AJ139" s="124">
        <f t="shared" si="5"/>
        <v>525927393.48357773</v>
      </c>
      <c r="AK139" s="124">
        <f t="shared" si="5"/>
        <v>506573927.18357754</v>
      </c>
      <c r="AL139" s="124">
        <f t="shared" si="5"/>
        <v>509214570.88357735</v>
      </c>
      <c r="AM139" s="125">
        <f t="shared" si="3"/>
        <v>5073936312.6337414</v>
      </c>
    </row>
    <row r="140" spans="1:52" s="107" customFormat="1" ht="15" customHeight="1">
      <c r="A140" s="108" t="s">
        <v>225</v>
      </c>
      <c r="B140" s="121">
        <v>7</v>
      </c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>
        <v>0</v>
      </c>
      <c r="AA140" s="123">
        <v>0</v>
      </c>
      <c r="AB140" s="124">
        <v>0</v>
      </c>
      <c r="AC140" s="124">
        <v>0</v>
      </c>
      <c r="AD140" s="124">
        <v>0</v>
      </c>
      <c r="AE140" s="124">
        <v>0</v>
      </c>
      <c r="AF140" s="124">
        <v>0</v>
      </c>
      <c r="AG140" s="124">
        <v>0</v>
      </c>
      <c r="AH140" s="124">
        <v>0</v>
      </c>
      <c r="AI140" s="124">
        <v>0</v>
      </c>
      <c r="AJ140" s="124">
        <v>0</v>
      </c>
      <c r="AK140" s="124">
        <v>0</v>
      </c>
      <c r="AL140" s="124">
        <v>0</v>
      </c>
      <c r="AM140" s="125">
        <f t="shared" si="3"/>
        <v>0</v>
      </c>
    </row>
    <row r="141" spans="1:52" s="107" customFormat="1" ht="15" customHeight="1">
      <c r="A141" s="113" t="s">
        <v>226</v>
      </c>
      <c r="B141" s="114">
        <v>8</v>
      </c>
      <c r="C141" s="277">
        <v>25689</v>
      </c>
      <c r="D141" s="277">
        <v>15096</v>
      </c>
      <c r="E141" s="277">
        <v>20265</v>
      </c>
      <c r="F141" s="278">
        <v>39658</v>
      </c>
      <c r="G141" s="278">
        <v>32454</v>
      </c>
      <c r="H141" s="278">
        <v>31525</v>
      </c>
      <c r="I141" s="278">
        <v>35902</v>
      </c>
      <c r="J141" s="278">
        <v>42375</v>
      </c>
      <c r="K141" s="278">
        <v>48870</v>
      </c>
      <c r="L141" s="278">
        <v>40410</v>
      </c>
      <c r="M141" s="278">
        <v>56627</v>
      </c>
      <c r="N141" s="279">
        <v>49772</v>
      </c>
      <c r="O141" s="279">
        <v>29372</v>
      </c>
      <c r="P141" s="279">
        <v>5534452</v>
      </c>
      <c r="Q141" s="279">
        <v>11730</v>
      </c>
      <c r="R141" s="279">
        <v>32915</v>
      </c>
      <c r="S141" s="279">
        <v>29738</v>
      </c>
      <c r="T141" s="279">
        <v>31894</v>
      </c>
      <c r="U141" s="279">
        <v>35475</v>
      </c>
      <c r="V141" s="279">
        <v>52005</v>
      </c>
      <c r="W141" s="279">
        <v>67306</v>
      </c>
      <c r="X141" s="279">
        <v>64017</v>
      </c>
      <c r="Y141" s="279">
        <v>74303</v>
      </c>
      <c r="Z141" s="279">
        <v>19794484</v>
      </c>
      <c r="AA141" s="287"/>
      <c r="AB141" s="279"/>
      <c r="AC141" s="279"/>
      <c r="AD141" s="279"/>
      <c r="AE141" s="279"/>
      <c r="AF141" s="279"/>
      <c r="AG141" s="279"/>
      <c r="AH141" s="279"/>
      <c r="AI141" s="279"/>
      <c r="AJ141" s="279"/>
      <c r="AK141" s="279"/>
      <c r="AL141" s="279"/>
      <c r="AM141" s="127">
        <f t="shared" si="3"/>
        <v>0</v>
      </c>
    </row>
    <row r="142" spans="1:52" s="107" customFormat="1" ht="15" customHeight="1">
      <c r="A142" s="108" t="s">
        <v>227</v>
      </c>
      <c r="B142" s="109">
        <v>9</v>
      </c>
      <c r="C142" s="274">
        <v>0</v>
      </c>
      <c r="D142" s="274">
        <v>0</v>
      </c>
      <c r="E142" s="274">
        <v>0</v>
      </c>
      <c r="F142" s="274">
        <v>0</v>
      </c>
      <c r="G142" s="274">
        <v>0</v>
      </c>
      <c r="H142" s="274">
        <v>0</v>
      </c>
      <c r="I142" s="274">
        <v>0</v>
      </c>
      <c r="J142" s="274">
        <v>0</v>
      </c>
      <c r="K142" s="274">
        <v>0</v>
      </c>
      <c r="L142" s="274">
        <v>0</v>
      </c>
      <c r="M142" s="274">
        <v>0</v>
      </c>
      <c r="N142" s="124">
        <v>0</v>
      </c>
      <c r="O142" s="124">
        <v>0</v>
      </c>
      <c r="P142" s="124">
        <v>0</v>
      </c>
      <c r="Q142" s="124">
        <v>0</v>
      </c>
      <c r="R142" s="124">
        <v>0</v>
      </c>
      <c r="S142" s="124">
        <v>0</v>
      </c>
      <c r="T142" s="124">
        <v>0</v>
      </c>
      <c r="U142" s="124">
        <v>0</v>
      </c>
      <c r="V142" s="124">
        <v>0</v>
      </c>
      <c r="W142" s="124">
        <v>0</v>
      </c>
      <c r="X142" s="124">
        <v>0</v>
      </c>
      <c r="Y142" s="124"/>
      <c r="Z142" s="124">
        <v>0</v>
      </c>
      <c r="AA142" s="123">
        <v>0</v>
      </c>
      <c r="AB142" s="124">
        <v>0</v>
      </c>
      <c r="AC142" s="124">
        <v>0</v>
      </c>
      <c r="AD142" s="124">
        <v>0</v>
      </c>
      <c r="AE142" s="124">
        <v>0</v>
      </c>
      <c r="AF142" s="124">
        <v>0</v>
      </c>
      <c r="AG142" s="124">
        <v>0</v>
      </c>
      <c r="AH142" s="124">
        <v>0</v>
      </c>
      <c r="AI142" s="124">
        <v>0</v>
      </c>
      <c r="AJ142" s="124">
        <v>0</v>
      </c>
      <c r="AK142" s="124">
        <v>0</v>
      </c>
      <c r="AL142" s="124">
        <v>0</v>
      </c>
      <c r="AM142" s="125">
        <f t="shared" si="3"/>
        <v>0</v>
      </c>
    </row>
    <row r="143" spans="1:52" s="107" customFormat="1" ht="15" customHeight="1">
      <c r="A143" s="113" t="s">
        <v>228</v>
      </c>
      <c r="B143" s="114">
        <v>10</v>
      </c>
      <c r="C143" s="277">
        <v>0</v>
      </c>
      <c r="D143" s="277">
        <v>0</v>
      </c>
      <c r="E143" s="277">
        <v>0</v>
      </c>
      <c r="F143" s="278">
        <v>0</v>
      </c>
      <c r="G143" s="278">
        <v>0</v>
      </c>
      <c r="H143" s="278">
        <v>0</v>
      </c>
      <c r="I143" s="278">
        <v>0</v>
      </c>
      <c r="J143" s="278">
        <v>0</v>
      </c>
      <c r="K143" s="278">
        <v>0</v>
      </c>
      <c r="L143" s="278">
        <v>0</v>
      </c>
      <c r="M143" s="278">
        <v>0</v>
      </c>
      <c r="N143" s="279">
        <v>0</v>
      </c>
      <c r="O143" s="279">
        <v>0</v>
      </c>
      <c r="P143" s="279">
        <v>0</v>
      </c>
      <c r="Q143" s="279">
        <v>0</v>
      </c>
      <c r="R143" s="279">
        <v>0</v>
      </c>
      <c r="S143" s="279">
        <v>0</v>
      </c>
      <c r="T143" s="279">
        <v>0</v>
      </c>
      <c r="U143" s="279">
        <v>0</v>
      </c>
      <c r="V143" s="279">
        <v>0</v>
      </c>
      <c r="W143" s="279">
        <v>0</v>
      </c>
      <c r="X143" s="279">
        <v>0</v>
      </c>
      <c r="Y143" s="279"/>
      <c r="Z143" s="279">
        <v>0</v>
      </c>
      <c r="AA143" s="287">
        <v>0</v>
      </c>
      <c r="AB143" s="279">
        <v>0</v>
      </c>
      <c r="AC143" s="279">
        <v>0</v>
      </c>
      <c r="AD143" s="279">
        <v>0</v>
      </c>
      <c r="AE143" s="279">
        <v>0</v>
      </c>
      <c r="AF143" s="279">
        <v>0</v>
      </c>
      <c r="AG143" s="279">
        <v>0</v>
      </c>
      <c r="AH143" s="279">
        <v>0</v>
      </c>
      <c r="AI143" s="279">
        <v>0</v>
      </c>
      <c r="AJ143" s="279">
        <v>0</v>
      </c>
      <c r="AK143" s="279">
        <v>0</v>
      </c>
      <c r="AL143" s="279">
        <v>0</v>
      </c>
      <c r="AM143" s="127">
        <f t="shared" si="3"/>
        <v>0</v>
      </c>
    </row>
    <row r="144" spans="1:52" s="107" customFormat="1" ht="15" customHeight="1">
      <c r="A144" s="113" t="s">
        <v>229</v>
      </c>
      <c r="B144" s="114">
        <v>11</v>
      </c>
      <c r="C144" s="277">
        <v>133375123</v>
      </c>
      <c r="D144" s="277">
        <v>153076705</v>
      </c>
      <c r="E144" s="277">
        <v>183500000</v>
      </c>
      <c r="F144" s="278">
        <v>113500000</v>
      </c>
      <c r="G144" s="278">
        <v>148600000</v>
      </c>
      <c r="H144" s="278">
        <v>115000000</v>
      </c>
      <c r="I144" s="278">
        <v>78000000</v>
      </c>
      <c r="J144" s="278">
        <v>88000000</v>
      </c>
      <c r="K144" s="278">
        <v>88400000</v>
      </c>
      <c r="L144" s="278">
        <v>71100000</v>
      </c>
      <c r="M144" s="278">
        <v>64500000</v>
      </c>
      <c r="N144" s="278">
        <v>57000000</v>
      </c>
      <c r="O144" s="278">
        <v>37500000</v>
      </c>
      <c r="P144" s="278">
        <v>70500000</v>
      </c>
      <c r="Q144" s="278">
        <v>103500000</v>
      </c>
      <c r="R144" s="278">
        <v>129000000</v>
      </c>
      <c r="S144" s="278">
        <v>111000000</v>
      </c>
      <c r="T144" s="278">
        <v>116500000</v>
      </c>
      <c r="U144" s="278">
        <v>172500000</v>
      </c>
      <c r="V144" s="278">
        <v>164700000</v>
      </c>
      <c r="W144" s="278">
        <v>127600000</v>
      </c>
      <c r="X144" s="278">
        <v>115500000</v>
      </c>
      <c r="Y144" s="278">
        <v>100000000</v>
      </c>
      <c r="Z144" s="278">
        <v>138000000</v>
      </c>
      <c r="AA144" s="288">
        <v>114364285.71428572</v>
      </c>
      <c r="AB144" s="278">
        <v>85773214.285714284</v>
      </c>
      <c r="AC144" s="278">
        <v>123894642.85714285</v>
      </c>
      <c r="AD144" s="278">
        <v>133425000</v>
      </c>
      <c r="AE144" s="278">
        <v>133425000</v>
      </c>
      <c r="AF144" s="278">
        <v>133425000</v>
      </c>
      <c r="AG144" s="278">
        <v>133425000</v>
      </c>
      <c r="AH144" s="278">
        <v>133425000</v>
      </c>
      <c r="AI144" s="278">
        <v>133425000</v>
      </c>
      <c r="AJ144" s="278">
        <v>133425000</v>
      </c>
      <c r="AK144" s="278">
        <v>133425000</v>
      </c>
      <c r="AL144" s="278">
        <v>133425000</v>
      </c>
      <c r="AM144" s="131">
        <f t="shared" si="3"/>
        <v>1524857142.8571429</v>
      </c>
    </row>
    <row r="145" spans="1:39" s="107" customFormat="1" ht="15" customHeight="1">
      <c r="A145" s="113" t="s">
        <v>230</v>
      </c>
      <c r="B145" s="114">
        <v>12</v>
      </c>
      <c r="C145" s="277">
        <v>108609904</v>
      </c>
      <c r="D145" s="277">
        <v>112973768</v>
      </c>
      <c r="E145" s="277">
        <v>101629977</v>
      </c>
      <c r="F145" s="278">
        <v>115745156</v>
      </c>
      <c r="G145" s="278">
        <v>112729162</v>
      </c>
      <c r="H145" s="278">
        <v>120069599</v>
      </c>
      <c r="I145" s="278">
        <v>160850671</v>
      </c>
      <c r="J145" s="278">
        <v>405694070</v>
      </c>
      <c r="K145" s="278">
        <v>233540627</v>
      </c>
      <c r="L145" s="278">
        <v>92522618</v>
      </c>
      <c r="M145" s="278">
        <v>230673757</v>
      </c>
      <c r="N145" s="278">
        <v>203190535</v>
      </c>
      <c r="O145" s="278">
        <v>352795333</v>
      </c>
      <c r="P145" s="278">
        <v>295358943</v>
      </c>
      <c r="Q145" s="278">
        <v>271063548</v>
      </c>
      <c r="R145" s="278">
        <v>313168414</v>
      </c>
      <c r="S145" s="278">
        <v>312964157</v>
      </c>
      <c r="T145" s="278">
        <v>275253185</v>
      </c>
      <c r="U145" s="278">
        <v>348145066</v>
      </c>
      <c r="V145" s="278">
        <v>329900505</v>
      </c>
      <c r="W145" s="278">
        <v>317487600</v>
      </c>
      <c r="X145" s="278">
        <v>350884750</v>
      </c>
      <c r="Y145" s="278">
        <v>369111823</v>
      </c>
      <c r="Z145" s="278">
        <v>661147544</v>
      </c>
      <c r="AA145" s="288">
        <v>471536610.03414291</v>
      </c>
      <c r="AB145" s="278">
        <v>499621200.03414291</v>
      </c>
      <c r="AC145" s="278">
        <v>438001005.03414291</v>
      </c>
      <c r="AD145" s="278">
        <v>441430006.03414291</v>
      </c>
      <c r="AE145" s="278">
        <v>440990570.03414291</v>
      </c>
      <c r="AF145" s="278">
        <v>437891777.03414291</v>
      </c>
      <c r="AG145" s="278">
        <v>437665344.03414291</v>
      </c>
      <c r="AH145" s="278">
        <v>493579860.03414291</v>
      </c>
      <c r="AI145" s="278">
        <v>435408150.03414291</v>
      </c>
      <c r="AJ145" s="278">
        <v>442013302.03414291</v>
      </c>
      <c r="AK145" s="278">
        <v>434477238.03414291</v>
      </c>
      <c r="AL145" s="278">
        <v>441205120.03414291</v>
      </c>
      <c r="AM145" s="131">
        <f t="shared" si="3"/>
        <v>5413820182.4097137</v>
      </c>
    </row>
    <row r="146" spans="1:39" s="107" customFormat="1" ht="15" customHeight="1">
      <c r="A146" s="108" t="s">
        <v>231</v>
      </c>
      <c r="B146" s="109">
        <v>13</v>
      </c>
      <c r="C146" s="274">
        <v>14761583</v>
      </c>
      <c r="D146" s="274">
        <v>-112782273</v>
      </c>
      <c r="E146" s="274">
        <v>248609907</v>
      </c>
      <c r="F146" s="274">
        <v>-93867851</v>
      </c>
      <c r="G146" s="274">
        <v>-323849797</v>
      </c>
      <c r="H146" s="274">
        <v>-111483671</v>
      </c>
      <c r="I146" s="274">
        <v>-319225013</v>
      </c>
      <c r="J146" s="274">
        <v>-394314403</v>
      </c>
      <c r="K146" s="274">
        <v>-556670192</v>
      </c>
      <c r="L146" s="274">
        <v>-88849452</v>
      </c>
      <c r="M146" s="274">
        <v>-137307470</v>
      </c>
      <c r="N146" s="124">
        <v>-349818396</v>
      </c>
      <c r="O146" s="124">
        <v>-709663099</v>
      </c>
      <c r="P146" s="124">
        <v>-671184566</v>
      </c>
      <c r="Q146" s="124">
        <v>-251636967</v>
      </c>
      <c r="R146" s="124">
        <v>711287570</v>
      </c>
      <c r="S146" s="124">
        <v>224729120</v>
      </c>
      <c r="T146" s="124">
        <v>600684326</v>
      </c>
      <c r="U146" s="124">
        <v>1321498145</v>
      </c>
      <c r="V146" s="124">
        <v>961867836</v>
      </c>
      <c r="W146" s="124">
        <v>339714095</v>
      </c>
      <c r="X146" s="124">
        <v>416822961</v>
      </c>
      <c r="Y146" s="124">
        <v>380000113</v>
      </c>
      <c r="Z146" s="124">
        <v>541917551</v>
      </c>
      <c r="AA146" s="123">
        <f>AA139+AA140+AA141-AA142-AA144-AA145</f>
        <v>-307153648.70298225</v>
      </c>
      <c r="AB146" s="124">
        <f t="shared" ref="AB146:AL146" si="6">AB139+AB140+AB141-AB142-AB144-AB145</f>
        <v>-648003978.93160486</v>
      </c>
      <c r="AC146" s="124">
        <f t="shared" si="6"/>
        <v>-138157997.39344013</v>
      </c>
      <c r="AD146" s="124">
        <f t="shared" si="6"/>
        <v>-88161731.183898389</v>
      </c>
      <c r="AE146" s="124">
        <f t="shared" si="6"/>
        <v>-43936535.383899152</v>
      </c>
      <c r="AF146" s="124">
        <f t="shared" si="6"/>
        <v>-87441745.650565565</v>
      </c>
      <c r="AG146" s="124">
        <f t="shared" si="6"/>
        <v>-99125290.017232358</v>
      </c>
      <c r="AH146" s="124">
        <f t="shared" si="6"/>
        <v>-172572450.60056537</v>
      </c>
      <c r="AI146" s="124">
        <f t="shared" si="6"/>
        <v>-103932866.21723217</v>
      </c>
      <c r="AJ146" s="124">
        <f t="shared" si="6"/>
        <v>-49510908.550565183</v>
      </c>
      <c r="AK146" s="124">
        <f t="shared" si="6"/>
        <v>-61328310.850565374</v>
      </c>
      <c r="AL146" s="124">
        <f t="shared" si="6"/>
        <v>-65415549.150565565</v>
      </c>
      <c r="AM146" s="125">
        <f t="shared" si="3"/>
        <v>-1864741012.6331167</v>
      </c>
    </row>
    <row r="147" spans="1:39" s="107" customFormat="1" ht="15" customHeight="1">
      <c r="A147" s="113" t="s">
        <v>232</v>
      </c>
      <c r="B147" s="114">
        <v>14</v>
      </c>
      <c r="C147" s="277">
        <v>0</v>
      </c>
      <c r="D147" s="277">
        <v>1097349</v>
      </c>
      <c r="E147" s="277">
        <v>0</v>
      </c>
      <c r="F147" s="278">
        <v>0</v>
      </c>
      <c r="G147" s="278">
        <v>0</v>
      </c>
      <c r="H147" s="278">
        <v>0</v>
      </c>
      <c r="I147" s="278">
        <v>927028</v>
      </c>
      <c r="J147" s="278">
        <v>0</v>
      </c>
      <c r="K147" s="278">
        <v>0</v>
      </c>
      <c r="L147" s="278">
        <v>0</v>
      </c>
      <c r="M147" s="278">
        <v>2134400</v>
      </c>
      <c r="N147" s="279">
        <v>0</v>
      </c>
      <c r="O147" s="279">
        <v>21584470</v>
      </c>
      <c r="P147" s="279">
        <v>5000000</v>
      </c>
      <c r="Q147" s="279">
        <v>0</v>
      </c>
      <c r="R147" s="279">
        <v>0</v>
      </c>
      <c r="S147" s="279">
        <v>0</v>
      </c>
      <c r="T147" s="279">
        <v>38848871</v>
      </c>
      <c r="U147" s="279">
        <v>192651</v>
      </c>
      <c r="V147" s="279">
        <v>244036935</v>
      </c>
      <c r="W147" s="279">
        <v>60000</v>
      </c>
      <c r="X147" s="279">
        <v>75000</v>
      </c>
      <c r="Y147" s="279">
        <v>-84500</v>
      </c>
      <c r="Z147" s="279">
        <v>55923818</v>
      </c>
      <c r="AA147" s="287">
        <v>0</v>
      </c>
      <c r="AB147" s="279">
        <v>0</v>
      </c>
      <c r="AC147" s="279">
        <v>0</v>
      </c>
      <c r="AD147" s="279">
        <v>0</v>
      </c>
      <c r="AE147" s="279">
        <v>0</v>
      </c>
      <c r="AF147" s="279">
        <v>0</v>
      </c>
      <c r="AG147" s="279">
        <v>0</v>
      </c>
      <c r="AH147" s="279">
        <v>0</v>
      </c>
      <c r="AI147" s="279">
        <v>0</v>
      </c>
      <c r="AJ147" s="279">
        <v>0</v>
      </c>
      <c r="AK147" s="279">
        <v>0</v>
      </c>
      <c r="AL147" s="279">
        <v>0</v>
      </c>
      <c r="AM147" s="127">
        <f t="shared" si="3"/>
        <v>0</v>
      </c>
    </row>
    <row r="148" spans="1:39" s="107" customFormat="1" ht="15" customHeight="1">
      <c r="A148" s="113" t="s">
        <v>233</v>
      </c>
      <c r="B148" s="114">
        <v>15</v>
      </c>
      <c r="C148" s="277">
        <v>21650000</v>
      </c>
      <c r="D148" s="277">
        <v>0</v>
      </c>
      <c r="E148" s="277">
        <v>2961692</v>
      </c>
      <c r="F148" s="278">
        <v>1535462</v>
      </c>
      <c r="G148" s="278">
        <v>0</v>
      </c>
      <c r="H148" s="278">
        <v>0</v>
      </c>
      <c r="I148" s="278">
        <v>0</v>
      </c>
      <c r="J148" s="278">
        <v>812640</v>
      </c>
      <c r="K148" s="278">
        <v>0</v>
      </c>
      <c r="L148" s="278">
        <v>1609246</v>
      </c>
      <c r="M148" s="278">
        <v>2151500</v>
      </c>
      <c r="N148" s="279">
        <v>0</v>
      </c>
      <c r="O148" s="279">
        <v>21650000</v>
      </c>
      <c r="P148" s="279">
        <v>12</v>
      </c>
      <c r="Q148" s="279">
        <v>0</v>
      </c>
      <c r="R148" s="279">
        <v>0</v>
      </c>
      <c r="S148" s="279">
        <v>0</v>
      </c>
      <c r="T148" s="279">
        <v>4346108</v>
      </c>
      <c r="U148" s="279">
        <v>10140</v>
      </c>
      <c r="V148" s="279">
        <v>3</v>
      </c>
      <c r="W148" s="279">
        <v>43112</v>
      </c>
      <c r="X148" s="279">
        <v>494540</v>
      </c>
      <c r="Y148" s="279"/>
      <c r="Z148" s="279">
        <v>975</v>
      </c>
      <c r="AA148" s="287">
        <v>0</v>
      </c>
      <c r="AB148" s="279">
        <v>0</v>
      </c>
      <c r="AC148" s="279">
        <v>0</v>
      </c>
      <c r="AD148" s="279">
        <v>0</v>
      </c>
      <c r="AE148" s="279">
        <v>0</v>
      </c>
      <c r="AF148" s="279">
        <v>0</v>
      </c>
      <c r="AG148" s="279">
        <v>0</v>
      </c>
      <c r="AH148" s="279">
        <v>0</v>
      </c>
      <c r="AI148" s="279">
        <v>0</v>
      </c>
      <c r="AJ148" s="279">
        <v>0</v>
      </c>
      <c r="AK148" s="279">
        <v>0</v>
      </c>
      <c r="AL148" s="279">
        <v>0</v>
      </c>
      <c r="AM148" s="127">
        <f t="shared" si="3"/>
        <v>0</v>
      </c>
    </row>
    <row r="149" spans="1:39" s="107" customFormat="1" ht="15" customHeight="1">
      <c r="A149" s="108" t="s">
        <v>234</v>
      </c>
      <c r="B149" s="109">
        <v>16</v>
      </c>
      <c r="C149" s="274">
        <v>-21650000</v>
      </c>
      <c r="D149" s="274">
        <v>1097349</v>
      </c>
      <c r="E149" s="274">
        <v>-2961692</v>
      </c>
      <c r="F149" s="274">
        <v>-1535462</v>
      </c>
      <c r="G149" s="274">
        <v>0</v>
      </c>
      <c r="H149" s="274">
        <v>0</v>
      </c>
      <c r="I149" s="274">
        <v>927028</v>
      </c>
      <c r="J149" s="274">
        <v>-812640</v>
      </c>
      <c r="K149" s="274">
        <v>0</v>
      </c>
      <c r="L149" s="274">
        <v>-1609246</v>
      </c>
      <c r="M149" s="274">
        <v>-17100</v>
      </c>
      <c r="N149" s="124">
        <v>0</v>
      </c>
      <c r="O149" s="124">
        <v>-65530</v>
      </c>
      <c r="P149" s="124">
        <v>4999988</v>
      </c>
      <c r="Q149" s="124">
        <v>0</v>
      </c>
      <c r="R149" s="124">
        <v>0</v>
      </c>
      <c r="S149" s="124">
        <v>0</v>
      </c>
      <c r="T149" s="124">
        <v>34502763</v>
      </c>
      <c r="U149" s="124">
        <v>182511</v>
      </c>
      <c r="V149" s="124">
        <v>244036932</v>
      </c>
      <c r="W149" s="124">
        <v>16888</v>
      </c>
      <c r="X149" s="124">
        <v>-419540</v>
      </c>
      <c r="Y149" s="124">
        <v>-84500</v>
      </c>
      <c r="Z149" s="124">
        <v>55922843</v>
      </c>
      <c r="AA149" s="123">
        <f>AA147-AA148</f>
        <v>0</v>
      </c>
      <c r="AB149" s="124">
        <f t="shared" ref="AB149:AL149" si="7">AB147-AB148</f>
        <v>0</v>
      </c>
      <c r="AC149" s="124">
        <f t="shared" si="7"/>
        <v>0</v>
      </c>
      <c r="AD149" s="124">
        <f t="shared" si="7"/>
        <v>0</v>
      </c>
      <c r="AE149" s="124">
        <f t="shared" si="7"/>
        <v>0</v>
      </c>
      <c r="AF149" s="124">
        <f t="shared" si="7"/>
        <v>0</v>
      </c>
      <c r="AG149" s="124">
        <f t="shared" si="7"/>
        <v>0</v>
      </c>
      <c r="AH149" s="124">
        <f t="shared" si="7"/>
        <v>0</v>
      </c>
      <c r="AI149" s="124">
        <f t="shared" si="7"/>
        <v>0</v>
      </c>
      <c r="AJ149" s="124">
        <f t="shared" si="7"/>
        <v>0</v>
      </c>
      <c r="AK149" s="124">
        <f t="shared" si="7"/>
        <v>0</v>
      </c>
      <c r="AL149" s="124">
        <f t="shared" si="7"/>
        <v>0</v>
      </c>
      <c r="AM149" s="125">
        <f t="shared" si="3"/>
        <v>0</v>
      </c>
    </row>
    <row r="150" spans="1:39" s="107" customFormat="1" ht="15" customHeight="1">
      <c r="A150" s="108" t="s">
        <v>235</v>
      </c>
      <c r="B150" s="116">
        <v>17</v>
      </c>
      <c r="C150" s="281">
        <v>-6888417</v>
      </c>
      <c r="D150" s="281">
        <v>-111684924</v>
      </c>
      <c r="E150" s="281">
        <v>245648215</v>
      </c>
      <c r="F150" s="281">
        <v>-95403313</v>
      </c>
      <c r="G150" s="281">
        <v>-323849797</v>
      </c>
      <c r="H150" s="281">
        <v>-111483671</v>
      </c>
      <c r="I150" s="281">
        <v>-318297985</v>
      </c>
      <c r="J150" s="281">
        <v>-395752043</v>
      </c>
      <c r="K150" s="281">
        <v>-556670192</v>
      </c>
      <c r="L150" s="281">
        <v>-90458698</v>
      </c>
      <c r="M150" s="281">
        <v>-137324570</v>
      </c>
      <c r="N150" s="133">
        <v>-349818396</v>
      </c>
      <c r="O150" s="133">
        <v>-709728629</v>
      </c>
      <c r="P150" s="133">
        <v>-666184578</v>
      </c>
      <c r="Q150" s="133">
        <v>-251636967</v>
      </c>
      <c r="R150" s="133">
        <v>711287570</v>
      </c>
      <c r="S150" s="133">
        <v>224729120</v>
      </c>
      <c r="T150" s="133">
        <v>635187089</v>
      </c>
      <c r="U150" s="133">
        <v>1321680656</v>
      </c>
      <c r="V150" s="133">
        <v>1205904768</v>
      </c>
      <c r="W150" s="133">
        <v>339730983</v>
      </c>
      <c r="X150" s="133">
        <v>416403421</v>
      </c>
      <c r="Y150" s="133">
        <v>379915613</v>
      </c>
      <c r="Z150" s="133">
        <v>597840394</v>
      </c>
      <c r="AA150" s="132">
        <f>AA146+AA149</f>
        <v>-307153648.70298225</v>
      </c>
      <c r="AB150" s="133">
        <f t="shared" ref="AB150:AL150" si="8">AB146+AB149</f>
        <v>-648003978.93160486</v>
      </c>
      <c r="AC150" s="133">
        <f t="shared" si="8"/>
        <v>-138157997.39344013</v>
      </c>
      <c r="AD150" s="133">
        <f t="shared" si="8"/>
        <v>-88161731.183898389</v>
      </c>
      <c r="AE150" s="133">
        <f t="shared" si="8"/>
        <v>-43936535.383899152</v>
      </c>
      <c r="AF150" s="133">
        <f t="shared" si="8"/>
        <v>-87441745.650565565</v>
      </c>
      <c r="AG150" s="133">
        <f t="shared" si="8"/>
        <v>-99125290.017232358</v>
      </c>
      <c r="AH150" s="133">
        <f t="shared" si="8"/>
        <v>-172572450.60056537</v>
      </c>
      <c r="AI150" s="133">
        <f t="shared" si="8"/>
        <v>-103932866.21723217</v>
      </c>
      <c r="AJ150" s="133">
        <f t="shared" si="8"/>
        <v>-49510908.550565183</v>
      </c>
      <c r="AK150" s="133">
        <f t="shared" si="8"/>
        <v>-61328310.850565374</v>
      </c>
      <c r="AL150" s="133">
        <f t="shared" si="8"/>
        <v>-65415549.150565565</v>
      </c>
      <c r="AM150" s="111">
        <f t="shared" si="3"/>
        <v>-1864741012.6331167</v>
      </c>
    </row>
    <row r="151" spans="1:39" s="107" customFormat="1" ht="15" customHeight="1">
      <c r="A151" s="134" t="s">
        <v>236</v>
      </c>
      <c r="B151" s="114">
        <v>18</v>
      </c>
      <c r="C151" s="277">
        <v>0</v>
      </c>
      <c r="D151" s="289">
        <v>0</v>
      </c>
      <c r="E151" s="289">
        <v>0</v>
      </c>
      <c r="F151" s="289">
        <v>0</v>
      </c>
      <c r="G151" s="289">
        <v>0</v>
      </c>
      <c r="H151" s="289">
        <v>0</v>
      </c>
      <c r="I151" s="289">
        <v>0</v>
      </c>
      <c r="J151" s="289">
        <v>32927331</v>
      </c>
      <c r="K151" s="289">
        <v>0</v>
      </c>
      <c r="L151" s="289">
        <v>0</v>
      </c>
      <c r="M151" s="289">
        <v>0</v>
      </c>
      <c r="N151" s="290">
        <v>0</v>
      </c>
      <c r="O151" s="290">
        <v>0</v>
      </c>
      <c r="P151" s="290">
        <v>0</v>
      </c>
      <c r="Q151" s="290">
        <v>0</v>
      </c>
      <c r="R151" s="290">
        <v>0</v>
      </c>
      <c r="S151" s="290">
        <v>0</v>
      </c>
      <c r="T151" s="290">
        <v>0</v>
      </c>
      <c r="U151" s="290">
        <v>0</v>
      </c>
      <c r="V151" s="290">
        <v>0</v>
      </c>
      <c r="W151" s="290">
        <v>0</v>
      </c>
      <c r="X151" s="290">
        <v>0</v>
      </c>
      <c r="Y151" s="290"/>
      <c r="Z151" s="290">
        <v>0</v>
      </c>
      <c r="AA151" s="292">
        <v>0</v>
      </c>
      <c r="AB151" s="290">
        <v>0</v>
      </c>
      <c r="AC151" s="290">
        <v>0</v>
      </c>
      <c r="AD151" s="290">
        <v>0</v>
      </c>
      <c r="AE151" s="290">
        <v>0</v>
      </c>
      <c r="AF151" s="290">
        <v>0</v>
      </c>
      <c r="AG151" s="290">
        <v>0</v>
      </c>
      <c r="AH151" s="290">
        <v>0</v>
      </c>
      <c r="AI151" s="290">
        <v>0</v>
      </c>
      <c r="AJ151" s="290">
        <v>0</v>
      </c>
      <c r="AK151" s="290">
        <v>0</v>
      </c>
      <c r="AL151" s="290">
        <v>0</v>
      </c>
      <c r="AM151" s="137">
        <f t="shared" si="3"/>
        <v>0</v>
      </c>
    </row>
    <row r="152" spans="1:39" s="107" customFormat="1" ht="15" customHeight="1">
      <c r="A152" s="113" t="s">
        <v>237</v>
      </c>
      <c r="B152" s="114">
        <v>19</v>
      </c>
      <c r="C152" s="277">
        <v>0</v>
      </c>
      <c r="D152" s="278">
        <v>0</v>
      </c>
      <c r="E152" s="278">
        <v>0</v>
      </c>
      <c r="F152" s="278">
        <v>0</v>
      </c>
      <c r="G152" s="278">
        <v>0</v>
      </c>
      <c r="H152" s="278">
        <v>0</v>
      </c>
      <c r="I152" s="278">
        <v>0</v>
      </c>
      <c r="J152" s="278">
        <v>0</v>
      </c>
      <c r="K152" s="278">
        <v>0</v>
      </c>
      <c r="L152" s="278">
        <v>0</v>
      </c>
      <c r="M152" s="278">
        <v>0</v>
      </c>
      <c r="N152" s="279">
        <v>0</v>
      </c>
      <c r="O152" s="279">
        <v>0</v>
      </c>
      <c r="P152" s="279">
        <v>0</v>
      </c>
      <c r="Q152" s="279">
        <v>0</v>
      </c>
      <c r="R152" s="279">
        <v>0</v>
      </c>
      <c r="S152" s="279">
        <v>0</v>
      </c>
      <c r="T152" s="279">
        <v>0</v>
      </c>
      <c r="U152" s="279">
        <v>0</v>
      </c>
      <c r="V152" s="279">
        <v>0</v>
      </c>
      <c r="W152" s="279">
        <v>0</v>
      </c>
      <c r="X152" s="279">
        <v>0</v>
      </c>
      <c r="Y152" s="279"/>
      <c r="Z152" s="279">
        <v>0</v>
      </c>
      <c r="AA152" s="287">
        <v>0</v>
      </c>
      <c r="AB152" s="279">
        <v>0</v>
      </c>
      <c r="AC152" s="279">
        <v>0</v>
      </c>
      <c r="AD152" s="279">
        <v>0</v>
      </c>
      <c r="AE152" s="279">
        <v>0</v>
      </c>
      <c r="AF152" s="279">
        <v>0</v>
      </c>
      <c r="AG152" s="279">
        <v>0</v>
      </c>
      <c r="AH152" s="279">
        <v>0</v>
      </c>
      <c r="AI152" s="279">
        <v>0</v>
      </c>
      <c r="AJ152" s="279">
        <v>0</v>
      </c>
      <c r="AK152" s="279">
        <v>0</v>
      </c>
      <c r="AL152" s="279">
        <v>0</v>
      </c>
      <c r="AM152" s="127">
        <f t="shared" si="3"/>
        <v>0</v>
      </c>
    </row>
    <row r="153" spans="1:39" s="107" customFormat="1" ht="15" customHeight="1">
      <c r="A153" s="108" t="s">
        <v>238</v>
      </c>
      <c r="B153" s="121">
        <v>20</v>
      </c>
      <c r="C153" s="124">
        <v>-6888417</v>
      </c>
      <c r="D153" s="124">
        <v>-111684924</v>
      </c>
      <c r="E153" s="124">
        <v>245648215</v>
      </c>
      <c r="F153" s="124">
        <v>-95403313</v>
      </c>
      <c r="G153" s="124">
        <v>-323849797</v>
      </c>
      <c r="H153" s="124">
        <v>-111483671</v>
      </c>
      <c r="I153" s="124">
        <v>-318297985</v>
      </c>
      <c r="J153" s="124">
        <v>-428679374</v>
      </c>
      <c r="K153" s="124">
        <v>-556670192</v>
      </c>
      <c r="L153" s="124">
        <v>-90458698</v>
      </c>
      <c r="M153" s="124">
        <v>-137324570</v>
      </c>
      <c r="N153" s="124">
        <v>-349818396</v>
      </c>
      <c r="O153" s="124">
        <v>-709728629</v>
      </c>
      <c r="P153" s="124">
        <v>-666184578</v>
      </c>
      <c r="Q153" s="124">
        <v>-251636967</v>
      </c>
      <c r="R153" s="124">
        <v>711287570</v>
      </c>
      <c r="S153" s="124">
        <v>224729120</v>
      </c>
      <c r="T153" s="124">
        <v>635187089</v>
      </c>
      <c r="U153" s="124">
        <v>1321680656</v>
      </c>
      <c r="V153" s="124">
        <v>1205904768</v>
      </c>
      <c r="W153" s="124">
        <v>339730983</v>
      </c>
      <c r="X153" s="124">
        <v>416403421</v>
      </c>
      <c r="Y153" s="124">
        <v>379915613</v>
      </c>
      <c r="Z153" s="124">
        <v>597840394</v>
      </c>
      <c r="AA153" s="123">
        <f>AA150-AA151-AA152</f>
        <v>-307153648.70298225</v>
      </c>
      <c r="AB153" s="123">
        <f t="shared" ref="AB153:AL153" si="9">AB150-AB151-AB152</f>
        <v>-648003978.93160486</v>
      </c>
      <c r="AC153" s="123">
        <f t="shared" si="9"/>
        <v>-138157997.39344013</v>
      </c>
      <c r="AD153" s="123">
        <f t="shared" si="9"/>
        <v>-88161731.183898389</v>
      </c>
      <c r="AE153" s="123">
        <f t="shared" si="9"/>
        <v>-43936535.383899152</v>
      </c>
      <c r="AF153" s="123">
        <f t="shared" si="9"/>
        <v>-87441745.650565565</v>
      </c>
      <c r="AG153" s="123">
        <f t="shared" si="9"/>
        <v>-99125290.017232358</v>
      </c>
      <c r="AH153" s="123">
        <f t="shared" si="9"/>
        <v>-172572450.60056537</v>
      </c>
      <c r="AI153" s="123">
        <f t="shared" si="9"/>
        <v>-103932866.21723217</v>
      </c>
      <c r="AJ153" s="123">
        <f t="shared" si="9"/>
        <v>-49510908.550565183</v>
      </c>
      <c r="AK153" s="123">
        <f t="shared" si="9"/>
        <v>-61328310.850565374</v>
      </c>
      <c r="AL153" s="123">
        <f t="shared" si="9"/>
        <v>-65415549.150565565</v>
      </c>
      <c r="AM153" s="125">
        <f t="shared" si="3"/>
        <v>-1864741012.6331167</v>
      </c>
    </row>
    <row r="154" spans="1:39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1"/>
      <c r="N154" s="141">
        <f>N150-N157</f>
        <v>0</v>
      </c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2" t="s">
        <v>239</v>
      </c>
      <c r="AA154" s="294">
        <f>AA150-AA151-AA153</f>
        <v>0</v>
      </c>
      <c r="AB154" s="294">
        <f t="shared" ref="AB154:AM154" si="10">AB150-AB151-AB153</f>
        <v>0</v>
      </c>
      <c r="AC154" s="294">
        <f t="shared" si="10"/>
        <v>0</v>
      </c>
      <c r="AD154" s="294">
        <f t="shared" si="10"/>
        <v>0</v>
      </c>
      <c r="AE154" s="294">
        <f t="shared" si="10"/>
        <v>0</v>
      </c>
      <c r="AF154" s="294">
        <f t="shared" si="10"/>
        <v>0</v>
      </c>
      <c r="AG154" s="294">
        <f t="shared" si="10"/>
        <v>0</v>
      </c>
      <c r="AH154" s="294">
        <f t="shared" si="10"/>
        <v>0</v>
      </c>
      <c r="AI154" s="294">
        <f t="shared" si="10"/>
        <v>0</v>
      </c>
      <c r="AJ154" s="294">
        <f t="shared" si="10"/>
        <v>0</v>
      </c>
      <c r="AK154" s="294">
        <f t="shared" si="10"/>
        <v>0</v>
      </c>
      <c r="AL154" s="294">
        <f t="shared" si="10"/>
        <v>0</v>
      </c>
      <c r="AM154" s="294">
        <f t="shared" si="10"/>
        <v>0</v>
      </c>
    </row>
    <row r="155" spans="1:39" ht="15" customHeight="1">
      <c r="A155" s="51" t="s">
        <v>240</v>
      </c>
      <c r="B155" s="144" t="s">
        <v>241</v>
      </c>
      <c r="C155" s="53" t="s">
        <v>66</v>
      </c>
      <c r="D155" s="54" t="s">
        <v>67</v>
      </c>
      <c r="E155" s="54" t="s">
        <v>68</v>
      </c>
      <c r="F155" s="53" t="s">
        <v>69</v>
      </c>
      <c r="G155" s="53" t="s">
        <v>70</v>
      </c>
      <c r="H155" s="53" t="s">
        <v>71</v>
      </c>
      <c r="I155" s="53" t="s">
        <v>72</v>
      </c>
      <c r="J155" s="54" t="s">
        <v>73</v>
      </c>
      <c r="K155" s="54" t="s">
        <v>74</v>
      </c>
      <c r="L155" s="54" t="s">
        <v>75</v>
      </c>
      <c r="M155" s="54" t="s">
        <v>76</v>
      </c>
      <c r="N155" s="53" t="s">
        <v>77</v>
      </c>
      <c r="O155" s="53" t="s">
        <v>78</v>
      </c>
      <c r="P155" s="53" t="s">
        <v>79</v>
      </c>
      <c r="Q155" s="53" t="s">
        <v>80</v>
      </c>
      <c r="R155" s="53" t="s">
        <v>81</v>
      </c>
      <c r="S155" s="53" t="s">
        <v>82</v>
      </c>
      <c r="T155" s="53" t="s">
        <v>83</v>
      </c>
      <c r="U155" s="53" t="s">
        <v>84</v>
      </c>
      <c r="V155" s="53" t="s">
        <v>85</v>
      </c>
      <c r="W155" s="53" t="s">
        <v>86</v>
      </c>
      <c r="X155" s="53" t="s">
        <v>87</v>
      </c>
      <c r="Y155" s="53" t="s">
        <v>88</v>
      </c>
      <c r="Z155" s="53" t="s">
        <v>89</v>
      </c>
      <c r="AA155" s="53" t="s">
        <v>8</v>
      </c>
      <c r="AB155" s="53" t="s">
        <v>9</v>
      </c>
      <c r="AC155" s="53" t="s">
        <v>10</v>
      </c>
      <c r="AD155" s="53" t="s">
        <v>11</v>
      </c>
      <c r="AE155" s="53" t="s">
        <v>12</v>
      </c>
      <c r="AF155" s="53" t="s">
        <v>13</v>
      </c>
      <c r="AG155" s="53" t="s">
        <v>14</v>
      </c>
      <c r="AH155" s="53" t="s">
        <v>15</v>
      </c>
      <c r="AI155" s="53" t="s">
        <v>16</v>
      </c>
      <c r="AJ155" s="53" t="s">
        <v>17</v>
      </c>
      <c r="AK155" s="53" t="s">
        <v>18</v>
      </c>
      <c r="AL155" s="53" t="s">
        <v>19</v>
      </c>
    </row>
    <row r="156" spans="1:39" ht="15" customHeight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</row>
    <row r="157" spans="1:39" ht="15" customHeight="1">
      <c r="A157" s="145" t="s">
        <v>243</v>
      </c>
      <c r="B157" s="146">
        <v>2</v>
      </c>
      <c r="C157" s="295">
        <v>-6888417</v>
      </c>
      <c r="D157" s="295">
        <v>-111684924</v>
      </c>
      <c r="E157" s="295">
        <v>245648215</v>
      </c>
      <c r="F157" s="295">
        <v>-95403313</v>
      </c>
      <c r="G157" s="295">
        <v>-323849797</v>
      </c>
      <c r="H157" s="295">
        <v>-111483671</v>
      </c>
      <c r="I157" s="295">
        <v>-318297985</v>
      </c>
      <c r="J157" s="295">
        <v>-395752043</v>
      </c>
      <c r="K157" s="295">
        <v>-556670192</v>
      </c>
      <c r="L157" s="295">
        <v>-90458698</v>
      </c>
      <c r="M157" s="295">
        <v>-137324570</v>
      </c>
      <c r="N157" s="339">
        <f>N150</f>
        <v>-349818396</v>
      </c>
      <c r="O157" s="339">
        <v>-709728629</v>
      </c>
      <c r="P157" s="339">
        <v>-666184578</v>
      </c>
      <c r="Q157" s="339">
        <v>-251636967</v>
      </c>
      <c r="R157" s="339">
        <v>711287570</v>
      </c>
      <c r="S157" s="339">
        <v>224729120</v>
      </c>
      <c r="T157" s="339">
        <v>635187089</v>
      </c>
      <c r="U157" s="339">
        <v>1321680656</v>
      </c>
      <c r="V157" s="339">
        <v>1205904768</v>
      </c>
      <c r="W157" s="339">
        <f>W150</f>
        <v>339730983</v>
      </c>
      <c r="X157" s="339">
        <v>416403421</v>
      </c>
      <c r="Y157" s="339">
        <v>379915613</v>
      </c>
      <c r="Z157" s="339">
        <v>597840394</v>
      </c>
      <c r="AA157" s="340">
        <f>SUMIFS([1]!Data_CF[Value],[1]!Data_CF[Index CF],'Khanh Nga'!$B157,[1]!Data_CF[TenCongTyID],'Khanh Nga'!$B$1,[1]!Data_CF[Thang.Nam],'Khanh Nga'!AA$155)</f>
        <v>0</v>
      </c>
      <c r="AB157" s="340">
        <f>SUMIFS([1]!Data_CF[Value],[1]!Data_CF[Index CF],'Khanh Nga'!$B157,[1]!Data_CF[TenCongTyID],'Khanh Nga'!$B$1,[1]!Data_CF[Thang.Nam],'Khanh Nga'!AB$155)</f>
        <v>0</v>
      </c>
      <c r="AC157" s="340">
        <f>SUMIFS([1]!Data_CF[Value],[1]!Data_CF[Index CF],'Khanh Nga'!$B157,[1]!Data_CF[TenCongTyID],'Khanh Nga'!$B$1,[1]!Data_CF[Thang.Nam],'Khanh Nga'!AC$155)</f>
        <v>0</v>
      </c>
      <c r="AD157" s="340">
        <f>SUMIFS([1]!Data_CF[Value],[1]!Data_CF[Index CF],'Khanh Nga'!$B157,[1]!Data_CF[TenCongTyID],'Khanh Nga'!$B$1,[1]!Data_CF[Thang.Nam],'Khanh Nga'!AD$155)</f>
        <v>0</v>
      </c>
      <c r="AE157" s="340">
        <f>SUMIFS([1]!Data_CF[Value],[1]!Data_CF[Index CF],'Khanh Nga'!$B157,[1]!Data_CF[TenCongTyID],'Khanh Nga'!$B$1,[1]!Data_CF[Thang.Nam],'Khanh Nga'!AE$155)</f>
        <v>0</v>
      </c>
      <c r="AF157" s="340">
        <f>SUMIFS([1]!Data_CF[Value],[1]!Data_CF[Index CF],'Khanh Nga'!$B157,[1]!Data_CF[TenCongTyID],'Khanh Nga'!$B$1,[1]!Data_CF[Thang.Nam],'Khanh Nga'!AF$155)</f>
        <v>0</v>
      </c>
      <c r="AG157" s="340">
        <f>SUMIFS([1]!Data_CF[Value],[1]!Data_CF[Index CF],'Khanh Nga'!$B157,[1]!Data_CF[TenCongTyID],'Khanh Nga'!$B$1,[1]!Data_CF[Thang.Nam],'Khanh Nga'!AG$155)</f>
        <v>0</v>
      </c>
      <c r="AH157" s="340">
        <f>SUMIFS([1]!Data_CF[Value],[1]!Data_CF[Index CF],'Khanh Nga'!$B157,[1]!Data_CF[TenCongTyID],'Khanh Nga'!$B$1,[1]!Data_CF[Thang.Nam],'Khanh Nga'!AH$155)</f>
        <v>0</v>
      </c>
      <c r="AI157" s="340">
        <f>SUMIFS([1]!Data_CF[Value],[1]!Data_CF[Index CF],'Khanh Nga'!$B157,[1]!Data_CF[TenCongTyID],'Khanh Nga'!$B$1,[1]!Data_CF[Thang.Nam],'Khanh Nga'!AI$155)</f>
        <v>0</v>
      </c>
      <c r="AJ157" s="340">
        <f>SUMIFS([1]!Data_CF[Value],[1]!Data_CF[Index CF],'Khanh Nga'!$B157,[1]!Data_CF[TenCongTyID],'Khanh Nga'!$B$1,[1]!Data_CF[Thang.Nam],'Khanh Nga'!AJ$155)</f>
        <v>0</v>
      </c>
      <c r="AK157" s="340">
        <f>SUMIFS([1]!Data_CF[Value],[1]!Data_CF[Index CF],'Khanh Nga'!$B157,[1]!Data_CF[TenCongTyID],'Khanh Nga'!$B$1,[1]!Data_CF[Thang.Nam],'Khanh Nga'!AK$155)</f>
        <v>0</v>
      </c>
      <c r="AL157" s="340">
        <f>SUMIFS([1]!Data_CF[Value],[1]!Data_CF[Index CF],'Khanh Nga'!$B157,[1]!Data_CF[TenCongTyID],'Khanh Nga'!$B$1,[1]!Data_CF[Thang.Nam],'Khanh Nga'!AL$155)</f>
        <v>0</v>
      </c>
    </row>
    <row r="158" spans="1:39" ht="15" customHeight="1">
      <c r="A158" s="149" t="s">
        <v>244</v>
      </c>
      <c r="B158" s="150">
        <v>3</v>
      </c>
      <c r="C158" s="297"/>
      <c r="D158" s="297"/>
      <c r="E158" s="297"/>
      <c r="F158" s="297"/>
      <c r="G158" s="297"/>
      <c r="H158" s="297"/>
      <c r="I158" s="297"/>
      <c r="J158" s="297"/>
      <c r="K158" s="297"/>
      <c r="L158" s="297"/>
      <c r="M158" s="297"/>
      <c r="N158" s="297"/>
      <c r="O158" s="297"/>
      <c r="P158" s="297"/>
      <c r="Q158" s="297"/>
      <c r="R158" s="297"/>
      <c r="S158" s="297"/>
      <c r="T158" s="297"/>
      <c r="U158" s="297"/>
      <c r="V158" s="297"/>
      <c r="W158" s="297"/>
      <c r="X158" s="297"/>
      <c r="Y158" s="297"/>
      <c r="Z158" s="297">
        <v>0</v>
      </c>
      <c r="AA158" s="298">
        <f>SUMIFS([1]!Data_CF[Value],[1]!Data_CF[Index CF],'Khanh Nga'!$B158,[1]!Data_CF[TenCongTyID],'Khanh Nga'!$B$1,[1]!Data_CF[Thang.Nam],'Khanh Nga'!AA$155)</f>
        <v>0</v>
      </c>
      <c r="AB158" s="298">
        <f>SUMIFS([1]!Data_CF[Value],[1]!Data_CF[Index CF],'Khanh Nga'!$B158,[1]!Data_CF[TenCongTyID],'Khanh Nga'!$B$1,[1]!Data_CF[Thang.Nam],'Khanh Nga'!AB$155)</f>
        <v>0</v>
      </c>
      <c r="AC158" s="298">
        <f>SUMIFS([1]!Data_CF[Value],[1]!Data_CF[Index CF],'Khanh Nga'!$B158,[1]!Data_CF[TenCongTyID],'Khanh Nga'!$B$1,[1]!Data_CF[Thang.Nam],'Khanh Nga'!AC$155)</f>
        <v>0</v>
      </c>
      <c r="AD158" s="298">
        <f>SUMIFS([1]!Data_CF[Value],[1]!Data_CF[Index CF],'Khanh Nga'!$B158,[1]!Data_CF[TenCongTyID],'Khanh Nga'!$B$1,[1]!Data_CF[Thang.Nam],'Khanh Nga'!AD$155)</f>
        <v>0</v>
      </c>
      <c r="AE158" s="298">
        <f>SUMIFS([1]!Data_CF[Value],[1]!Data_CF[Index CF],'Khanh Nga'!$B158,[1]!Data_CF[TenCongTyID],'Khanh Nga'!$B$1,[1]!Data_CF[Thang.Nam],'Khanh Nga'!AE$155)</f>
        <v>0</v>
      </c>
      <c r="AF158" s="298">
        <f>SUMIFS([1]!Data_CF[Value],[1]!Data_CF[Index CF],'Khanh Nga'!$B158,[1]!Data_CF[TenCongTyID],'Khanh Nga'!$B$1,[1]!Data_CF[Thang.Nam],'Khanh Nga'!AF$155)</f>
        <v>0</v>
      </c>
      <c r="AG158" s="298">
        <f>SUMIFS([1]!Data_CF[Value],[1]!Data_CF[Index CF],'Khanh Nga'!$B158,[1]!Data_CF[TenCongTyID],'Khanh Nga'!$B$1,[1]!Data_CF[Thang.Nam],'Khanh Nga'!AG$155)</f>
        <v>0</v>
      </c>
      <c r="AH158" s="298">
        <f>SUMIFS([1]!Data_CF[Value],[1]!Data_CF[Index CF],'Khanh Nga'!$B158,[1]!Data_CF[TenCongTyID],'Khanh Nga'!$B$1,[1]!Data_CF[Thang.Nam],'Khanh Nga'!AH$155)</f>
        <v>0</v>
      </c>
      <c r="AI158" s="298">
        <f>SUMIFS([1]!Data_CF[Value],[1]!Data_CF[Index CF],'Khanh Nga'!$B158,[1]!Data_CF[TenCongTyID],'Khanh Nga'!$B$1,[1]!Data_CF[Thang.Nam],'Khanh Nga'!AI$155)</f>
        <v>0</v>
      </c>
      <c r="AJ158" s="298">
        <f>SUMIFS([1]!Data_CF[Value],[1]!Data_CF[Index CF],'Khanh Nga'!$B158,[1]!Data_CF[TenCongTyID],'Khanh Nga'!$B$1,[1]!Data_CF[Thang.Nam],'Khanh Nga'!AJ$155)</f>
        <v>0</v>
      </c>
      <c r="AK158" s="298">
        <f>SUMIFS([1]!Data_CF[Value],[1]!Data_CF[Index CF],'Khanh Nga'!$B158,[1]!Data_CF[TenCongTyID],'Khanh Nga'!$B$1,[1]!Data_CF[Thang.Nam],'Khanh Nga'!AK$155)</f>
        <v>0</v>
      </c>
      <c r="AL158" s="298">
        <f>SUMIFS([1]!Data_CF[Value],[1]!Data_CF[Index CF],'Khanh Nga'!$B158,[1]!Data_CF[TenCongTyID],'Khanh Nga'!$B$1,[1]!Data_CF[Thang.Nam],'Khanh Nga'!AL$155)</f>
        <v>0</v>
      </c>
    </row>
    <row r="159" spans="1:39" ht="15" customHeight="1">
      <c r="A159" s="153" t="s">
        <v>245</v>
      </c>
      <c r="B159" s="154">
        <v>4</v>
      </c>
      <c r="C159" s="299">
        <v>112003532</v>
      </c>
      <c r="D159" s="299">
        <v>112003532</v>
      </c>
      <c r="E159" s="299">
        <v>112003532</v>
      </c>
      <c r="F159" s="299">
        <v>112003532</v>
      </c>
      <c r="G159" s="299">
        <v>117514284</v>
      </c>
      <c r="H159" s="300">
        <v>113003532</v>
      </c>
      <c r="I159" s="300">
        <v>113003532</v>
      </c>
      <c r="J159" s="300">
        <v>118836865</v>
      </c>
      <c r="K159" s="300">
        <v>118836865</v>
      </c>
      <c r="L159" s="300">
        <v>134265829</v>
      </c>
      <c r="M159" s="300">
        <v>147408361</v>
      </c>
      <c r="N159" s="300">
        <v>131369497</v>
      </c>
      <c r="O159" s="300">
        <v>153545190</v>
      </c>
      <c r="P159" s="300">
        <v>155809922</v>
      </c>
      <c r="Q159" s="300">
        <v>155821589</v>
      </c>
      <c r="R159" s="300">
        <v>182654922</v>
      </c>
      <c r="S159" s="300">
        <v>161644174</v>
      </c>
      <c r="T159" s="300">
        <v>162718967</v>
      </c>
      <c r="U159" s="300">
        <v>178218967</v>
      </c>
      <c r="V159" s="300">
        <v>153885633</v>
      </c>
      <c r="W159" s="300">
        <v>177218967</v>
      </c>
      <c r="X159" s="300">
        <v>177218967</v>
      </c>
      <c r="Y159" s="300">
        <v>175376378</v>
      </c>
      <c r="Z159" s="300">
        <v>175376375</v>
      </c>
      <c r="AA159" s="301">
        <f>SUMIFS([1]!Data_CF[Value],[1]!Data_CF[Index CF],'Khanh Nga'!$B159,[1]!Data_CF[TenCongTyID],'Khanh Nga'!$B$1,[1]!Data_CF[Thang.Nam],'Khanh Nga'!AA$155)</f>
        <v>0</v>
      </c>
      <c r="AB159" s="301">
        <f>SUMIFS([1]!Data_CF[Value],[1]!Data_CF[Index CF],'Khanh Nga'!$B159,[1]!Data_CF[TenCongTyID],'Khanh Nga'!$B$1,[1]!Data_CF[Thang.Nam],'Khanh Nga'!AB$155)</f>
        <v>0</v>
      </c>
      <c r="AC159" s="301">
        <f>SUMIFS([1]!Data_CF[Value],[1]!Data_CF[Index CF],'Khanh Nga'!$B159,[1]!Data_CF[TenCongTyID],'Khanh Nga'!$B$1,[1]!Data_CF[Thang.Nam],'Khanh Nga'!AC$155)</f>
        <v>0</v>
      </c>
      <c r="AD159" s="301">
        <f>SUMIFS([1]!Data_CF[Value],[1]!Data_CF[Index CF],'Khanh Nga'!$B159,[1]!Data_CF[TenCongTyID],'Khanh Nga'!$B$1,[1]!Data_CF[Thang.Nam],'Khanh Nga'!AD$155)</f>
        <v>0</v>
      </c>
      <c r="AE159" s="301">
        <f>SUMIFS([1]!Data_CF[Value],[1]!Data_CF[Index CF],'Khanh Nga'!$B159,[1]!Data_CF[TenCongTyID],'Khanh Nga'!$B$1,[1]!Data_CF[Thang.Nam],'Khanh Nga'!AE$155)</f>
        <v>0</v>
      </c>
      <c r="AF159" s="301">
        <f>SUMIFS([1]!Data_CF[Value],[1]!Data_CF[Index CF],'Khanh Nga'!$B159,[1]!Data_CF[TenCongTyID],'Khanh Nga'!$B$1,[1]!Data_CF[Thang.Nam],'Khanh Nga'!AF$155)</f>
        <v>0</v>
      </c>
      <c r="AG159" s="301">
        <f>SUMIFS([1]!Data_CF[Value],[1]!Data_CF[Index CF],'Khanh Nga'!$B159,[1]!Data_CF[TenCongTyID],'Khanh Nga'!$B$1,[1]!Data_CF[Thang.Nam],'Khanh Nga'!AG$155)</f>
        <v>0</v>
      </c>
      <c r="AH159" s="301">
        <f>SUMIFS([1]!Data_CF[Value],[1]!Data_CF[Index CF],'Khanh Nga'!$B159,[1]!Data_CF[TenCongTyID],'Khanh Nga'!$B$1,[1]!Data_CF[Thang.Nam],'Khanh Nga'!AH$155)</f>
        <v>0</v>
      </c>
      <c r="AI159" s="301">
        <f>SUMIFS([1]!Data_CF[Value],[1]!Data_CF[Index CF],'Khanh Nga'!$B159,[1]!Data_CF[TenCongTyID],'Khanh Nga'!$B$1,[1]!Data_CF[Thang.Nam],'Khanh Nga'!AI$155)</f>
        <v>0</v>
      </c>
      <c r="AJ159" s="301">
        <f>SUMIFS([1]!Data_CF[Value],[1]!Data_CF[Index CF],'Khanh Nga'!$B159,[1]!Data_CF[TenCongTyID],'Khanh Nga'!$B$1,[1]!Data_CF[Thang.Nam],'Khanh Nga'!AJ$155)</f>
        <v>0</v>
      </c>
      <c r="AK159" s="301">
        <f>SUMIFS([1]!Data_CF[Value],[1]!Data_CF[Index CF],'Khanh Nga'!$B159,[1]!Data_CF[TenCongTyID],'Khanh Nga'!$B$1,[1]!Data_CF[Thang.Nam],'Khanh Nga'!AK$155)</f>
        <v>0</v>
      </c>
      <c r="AL159" s="301">
        <f>SUMIFS([1]!Data_CF[Value],[1]!Data_CF[Index CF],'Khanh Nga'!$B159,[1]!Data_CF[TenCongTyID],'Khanh Nga'!$B$1,[1]!Data_CF[Thang.Nam],'Khanh Nga'!AL$155)</f>
        <v>0</v>
      </c>
    </row>
    <row r="160" spans="1:39" ht="15" customHeight="1">
      <c r="A160" s="153" t="s">
        <v>246</v>
      </c>
      <c r="B160" s="154">
        <v>5</v>
      </c>
      <c r="C160" s="299"/>
      <c r="D160" s="299"/>
      <c r="E160" s="299"/>
      <c r="F160" s="299">
        <v>0</v>
      </c>
      <c r="G160" s="299">
        <v>0</v>
      </c>
      <c r="H160" s="299">
        <v>0</v>
      </c>
      <c r="I160" s="299">
        <v>0</v>
      </c>
      <c r="J160" s="299"/>
      <c r="K160" s="299">
        <v>0</v>
      </c>
      <c r="L160" s="299"/>
      <c r="M160" s="299"/>
      <c r="N160" s="302"/>
      <c r="O160" s="302"/>
      <c r="P160" s="302"/>
      <c r="Q160" s="302"/>
      <c r="R160" s="302"/>
      <c r="S160" s="302"/>
      <c r="T160" s="302"/>
      <c r="U160" s="302"/>
      <c r="V160" s="302"/>
      <c r="W160" s="302"/>
      <c r="X160" s="302"/>
      <c r="Y160" s="302"/>
      <c r="Z160" s="302">
        <v>0</v>
      </c>
      <c r="AA160" s="303">
        <f>SUMIFS([1]!Data_CF[Value],[1]!Data_CF[Index CF],'Khanh Nga'!$B160,[1]!Data_CF[TenCongTyID],'Khanh Nga'!$B$1,[1]!Data_CF[Thang.Nam],'Khanh Nga'!AA$155)</f>
        <v>0</v>
      </c>
      <c r="AB160" s="303">
        <f>SUMIFS([1]!Data_CF[Value],[1]!Data_CF[Index CF],'Khanh Nga'!$B160,[1]!Data_CF[TenCongTyID],'Khanh Nga'!$B$1,[1]!Data_CF[Thang.Nam],'Khanh Nga'!AB$155)</f>
        <v>0</v>
      </c>
      <c r="AC160" s="303">
        <f>SUMIFS([1]!Data_CF[Value],[1]!Data_CF[Index CF],'Khanh Nga'!$B160,[1]!Data_CF[TenCongTyID],'Khanh Nga'!$B$1,[1]!Data_CF[Thang.Nam],'Khanh Nga'!AC$155)</f>
        <v>0</v>
      </c>
      <c r="AD160" s="303">
        <f>SUMIFS([1]!Data_CF[Value],[1]!Data_CF[Index CF],'Khanh Nga'!$B160,[1]!Data_CF[TenCongTyID],'Khanh Nga'!$B$1,[1]!Data_CF[Thang.Nam],'Khanh Nga'!AD$155)</f>
        <v>0</v>
      </c>
      <c r="AE160" s="303">
        <f>SUMIFS([1]!Data_CF[Value],[1]!Data_CF[Index CF],'Khanh Nga'!$B160,[1]!Data_CF[TenCongTyID],'Khanh Nga'!$B$1,[1]!Data_CF[Thang.Nam],'Khanh Nga'!AE$155)</f>
        <v>0</v>
      </c>
      <c r="AF160" s="303">
        <f>SUMIFS([1]!Data_CF[Value],[1]!Data_CF[Index CF],'Khanh Nga'!$B160,[1]!Data_CF[TenCongTyID],'Khanh Nga'!$B$1,[1]!Data_CF[Thang.Nam],'Khanh Nga'!AF$155)</f>
        <v>0</v>
      </c>
      <c r="AG160" s="303">
        <f>SUMIFS([1]!Data_CF[Value],[1]!Data_CF[Index CF],'Khanh Nga'!$B160,[1]!Data_CF[TenCongTyID],'Khanh Nga'!$B$1,[1]!Data_CF[Thang.Nam],'Khanh Nga'!AG$155)</f>
        <v>0</v>
      </c>
      <c r="AH160" s="303">
        <f>SUMIFS([1]!Data_CF[Value],[1]!Data_CF[Index CF],'Khanh Nga'!$B160,[1]!Data_CF[TenCongTyID],'Khanh Nga'!$B$1,[1]!Data_CF[Thang.Nam],'Khanh Nga'!AH$155)</f>
        <v>0</v>
      </c>
      <c r="AI160" s="303">
        <f>SUMIFS([1]!Data_CF[Value],[1]!Data_CF[Index CF],'Khanh Nga'!$B160,[1]!Data_CF[TenCongTyID],'Khanh Nga'!$B$1,[1]!Data_CF[Thang.Nam],'Khanh Nga'!AI$155)</f>
        <v>0</v>
      </c>
      <c r="AJ160" s="303">
        <f>SUMIFS([1]!Data_CF[Value],[1]!Data_CF[Index CF],'Khanh Nga'!$B160,[1]!Data_CF[TenCongTyID],'Khanh Nga'!$B$1,[1]!Data_CF[Thang.Nam],'Khanh Nga'!AJ$155)</f>
        <v>0</v>
      </c>
      <c r="AK160" s="303">
        <f>SUMIFS([1]!Data_CF[Value],[1]!Data_CF[Index CF],'Khanh Nga'!$B160,[1]!Data_CF[TenCongTyID],'Khanh Nga'!$B$1,[1]!Data_CF[Thang.Nam],'Khanh Nga'!AK$155)</f>
        <v>0</v>
      </c>
      <c r="AL160" s="303">
        <f>SUMIFS([1]!Data_CF[Value],[1]!Data_CF[Index CF],'Khanh Nga'!$B160,[1]!Data_CF[TenCongTyID],'Khanh Nga'!$B$1,[1]!Data_CF[Thang.Nam],'Khanh Nga'!AL$155)</f>
        <v>0</v>
      </c>
    </row>
    <row r="161" spans="1:38" ht="14">
      <c r="A161" s="153" t="s">
        <v>247</v>
      </c>
      <c r="B161" s="154">
        <v>6</v>
      </c>
      <c r="C161" s="304"/>
      <c r="D161" s="304"/>
      <c r="E161" s="304"/>
      <c r="F161" s="304"/>
      <c r="G161" s="304"/>
      <c r="H161" s="304"/>
      <c r="I161" s="304"/>
      <c r="J161" s="304"/>
      <c r="K161" s="304"/>
      <c r="L161" s="304"/>
      <c r="M161" s="304"/>
      <c r="N161" s="302"/>
      <c r="O161" s="302"/>
      <c r="P161" s="302"/>
      <c r="Q161" s="302"/>
      <c r="R161" s="302"/>
      <c r="S161" s="302"/>
      <c r="T161" s="302"/>
      <c r="U161" s="302"/>
      <c r="V161" s="302"/>
      <c r="W161" s="302"/>
      <c r="X161" s="302"/>
      <c r="Y161" s="302"/>
      <c r="Z161" s="302">
        <v>0</v>
      </c>
      <c r="AA161" s="303">
        <f>SUMIFS([1]!Data_CF[Value],[1]!Data_CF[Index CF],'Khanh Nga'!$B161,[1]!Data_CF[TenCongTyID],'Khanh Nga'!$B$1,[1]!Data_CF[Thang.Nam],'Khanh Nga'!AA$155)</f>
        <v>0</v>
      </c>
      <c r="AB161" s="303">
        <f>SUMIFS([1]!Data_CF[Value],[1]!Data_CF[Index CF],'Khanh Nga'!$B161,[1]!Data_CF[TenCongTyID],'Khanh Nga'!$B$1,[1]!Data_CF[Thang.Nam],'Khanh Nga'!AB$155)</f>
        <v>0</v>
      </c>
      <c r="AC161" s="303">
        <f>SUMIFS([1]!Data_CF[Value],[1]!Data_CF[Index CF],'Khanh Nga'!$B161,[1]!Data_CF[TenCongTyID],'Khanh Nga'!$B$1,[1]!Data_CF[Thang.Nam],'Khanh Nga'!AC$155)</f>
        <v>0</v>
      </c>
      <c r="AD161" s="303">
        <f>SUMIFS([1]!Data_CF[Value],[1]!Data_CF[Index CF],'Khanh Nga'!$B161,[1]!Data_CF[TenCongTyID],'Khanh Nga'!$B$1,[1]!Data_CF[Thang.Nam],'Khanh Nga'!AD$155)</f>
        <v>0</v>
      </c>
      <c r="AE161" s="303">
        <f>SUMIFS([1]!Data_CF[Value],[1]!Data_CF[Index CF],'Khanh Nga'!$B161,[1]!Data_CF[TenCongTyID],'Khanh Nga'!$B$1,[1]!Data_CF[Thang.Nam],'Khanh Nga'!AE$155)</f>
        <v>0</v>
      </c>
      <c r="AF161" s="303">
        <f>SUMIFS([1]!Data_CF[Value],[1]!Data_CF[Index CF],'Khanh Nga'!$B161,[1]!Data_CF[TenCongTyID],'Khanh Nga'!$B$1,[1]!Data_CF[Thang.Nam],'Khanh Nga'!AF$155)</f>
        <v>0</v>
      </c>
      <c r="AG161" s="303">
        <f>SUMIFS([1]!Data_CF[Value],[1]!Data_CF[Index CF],'Khanh Nga'!$B161,[1]!Data_CF[TenCongTyID],'Khanh Nga'!$B$1,[1]!Data_CF[Thang.Nam],'Khanh Nga'!AG$155)</f>
        <v>0</v>
      </c>
      <c r="AH161" s="303">
        <f>SUMIFS([1]!Data_CF[Value],[1]!Data_CF[Index CF],'Khanh Nga'!$B161,[1]!Data_CF[TenCongTyID],'Khanh Nga'!$B$1,[1]!Data_CF[Thang.Nam],'Khanh Nga'!AH$155)</f>
        <v>0</v>
      </c>
      <c r="AI161" s="303">
        <f>SUMIFS([1]!Data_CF[Value],[1]!Data_CF[Index CF],'Khanh Nga'!$B161,[1]!Data_CF[TenCongTyID],'Khanh Nga'!$B$1,[1]!Data_CF[Thang.Nam],'Khanh Nga'!AI$155)</f>
        <v>0</v>
      </c>
      <c r="AJ161" s="303">
        <f>SUMIFS([1]!Data_CF[Value],[1]!Data_CF[Index CF],'Khanh Nga'!$B161,[1]!Data_CF[TenCongTyID],'Khanh Nga'!$B$1,[1]!Data_CF[Thang.Nam],'Khanh Nga'!AJ$155)</f>
        <v>0</v>
      </c>
      <c r="AK161" s="303">
        <f>SUMIFS([1]!Data_CF[Value],[1]!Data_CF[Index CF],'Khanh Nga'!$B161,[1]!Data_CF[TenCongTyID],'Khanh Nga'!$B$1,[1]!Data_CF[Thang.Nam],'Khanh Nga'!AK$155)</f>
        <v>0</v>
      </c>
      <c r="AL161" s="303">
        <f>SUMIFS([1]!Data_CF[Value],[1]!Data_CF[Index CF],'Khanh Nga'!$B161,[1]!Data_CF[TenCongTyID],'Khanh Nga'!$B$1,[1]!Data_CF[Thang.Nam],'Khanh Nga'!AL$155)</f>
        <v>0</v>
      </c>
    </row>
    <row r="162" spans="1:38" ht="15" customHeight="1">
      <c r="A162" s="153" t="s">
        <v>248</v>
      </c>
      <c r="B162" s="154">
        <v>7</v>
      </c>
      <c r="C162" s="299">
        <v>25689</v>
      </c>
      <c r="D162" s="299">
        <v>15096</v>
      </c>
      <c r="E162" s="299">
        <v>20265</v>
      </c>
      <c r="F162" s="299">
        <v>-39658</v>
      </c>
      <c r="G162" s="299">
        <v>-32454</v>
      </c>
      <c r="H162" s="299">
        <v>-31525</v>
      </c>
      <c r="I162" s="300">
        <v>-35902</v>
      </c>
      <c r="J162" s="300">
        <v>-42375</v>
      </c>
      <c r="K162" s="300">
        <v>-48870</v>
      </c>
      <c r="L162" s="299">
        <v>-40410</v>
      </c>
      <c r="M162" s="299">
        <v>-56627</v>
      </c>
      <c r="N162" s="299">
        <v>-438643</v>
      </c>
      <c r="O162" s="299">
        <v>-29372</v>
      </c>
      <c r="P162" s="299">
        <v>-5534452</v>
      </c>
      <c r="Q162" s="299">
        <v>-11730</v>
      </c>
      <c r="R162" s="299">
        <v>-32915</v>
      </c>
      <c r="S162" s="299">
        <v>-29738</v>
      </c>
      <c r="T162" s="299">
        <v>-31894</v>
      </c>
      <c r="U162" s="299">
        <v>-35475</v>
      </c>
      <c r="V162" s="299">
        <v>-52005</v>
      </c>
      <c r="W162" s="299">
        <f>-W141</f>
        <v>-67306</v>
      </c>
      <c r="X162" s="299">
        <v>-64017</v>
      </c>
      <c r="Y162" s="299">
        <v>-74303</v>
      </c>
      <c r="Z162" s="299">
        <v>-19794484</v>
      </c>
      <c r="AA162" s="305">
        <f>SUMIFS([1]!Data_CF[Value],[1]!Data_CF[Index CF],'Khanh Nga'!$B162,[1]!Data_CF[TenCongTyID],'Khanh Nga'!$B$1,[1]!Data_CF[Thang.Nam],'Khanh Nga'!AA$155)</f>
        <v>0</v>
      </c>
      <c r="AB162" s="305">
        <f>SUMIFS([1]!Data_CF[Value],[1]!Data_CF[Index CF],'Khanh Nga'!$B162,[1]!Data_CF[TenCongTyID],'Khanh Nga'!$B$1,[1]!Data_CF[Thang.Nam],'Khanh Nga'!AB$155)</f>
        <v>0</v>
      </c>
      <c r="AC162" s="305">
        <f>SUMIFS([1]!Data_CF[Value],[1]!Data_CF[Index CF],'Khanh Nga'!$B162,[1]!Data_CF[TenCongTyID],'Khanh Nga'!$B$1,[1]!Data_CF[Thang.Nam],'Khanh Nga'!AC$155)</f>
        <v>0</v>
      </c>
      <c r="AD162" s="305">
        <f>SUMIFS([1]!Data_CF[Value],[1]!Data_CF[Index CF],'Khanh Nga'!$B162,[1]!Data_CF[TenCongTyID],'Khanh Nga'!$B$1,[1]!Data_CF[Thang.Nam],'Khanh Nga'!AD$155)</f>
        <v>0</v>
      </c>
      <c r="AE162" s="305">
        <f>SUMIFS([1]!Data_CF[Value],[1]!Data_CF[Index CF],'Khanh Nga'!$B162,[1]!Data_CF[TenCongTyID],'Khanh Nga'!$B$1,[1]!Data_CF[Thang.Nam],'Khanh Nga'!AE$155)</f>
        <v>0</v>
      </c>
      <c r="AF162" s="305">
        <f>SUMIFS([1]!Data_CF[Value],[1]!Data_CF[Index CF],'Khanh Nga'!$B162,[1]!Data_CF[TenCongTyID],'Khanh Nga'!$B$1,[1]!Data_CF[Thang.Nam],'Khanh Nga'!AF$155)</f>
        <v>0</v>
      </c>
      <c r="AG162" s="305">
        <f>SUMIFS([1]!Data_CF[Value],[1]!Data_CF[Index CF],'Khanh Nga'!$B162,[1]!Data_CF[TenCongTyID],'Khanh Nga'!$B$1,[1]!Data_CF[Thang.Nam],'Khanh Nga'!AG$155)</f>
        <v>0</v>
      </c>
      <c r="AH162" s="305">
        <f>SUMIFS([1]!Data_CF[Value],[1]!Data_CF[Index CF],'Khanh Nga'!$B162,[1]!Data_CF[TenCongTyID],'Khanh Nga'!$B$1,[1]!Data_CF[Thang.Nam],'Khanh Nga'!AH$155)</f>
        <v>0</v>
      </c>
      <c r="AI162" s="305">
        <f>SUMIFS([1]!Data_CF[Value],[1]!Data_CF[Index CF],'Khanh Nga'!$B162,[1]!Data_CF[TenCongTyID],'Khanh Nga'!$B$1,[1]!Data_CF[Thang.Nam],'Khanh Nga'!AI$155)</f>
        <v>0</v>
      </c>
      <c r="AJ162" s="305">
        <f>SUMIFS([1]!Data_CF[Value],[1]!Data_CF[Index CF],'Khanh Nga'!$B162,[1]!Data_CF[TenCongTyID],'Khanh Nga'!$B$1,[1]!Data_CF[Thang.Nam],'Khanh Nga'!AJ$155)</f>
        <v>0</v>
      </c>
      <c r="AK162" s="305">
        <f>SUMIFS([1]!Data_CF[Value],[1]!Data_CF[Index CF],'Khanh Nga'!$B162,[1]!Data_CF[TenCongTyID],'Khanh Nga'!$B$1,[1]!Data_CF[Thang.Nam],'Khanh Nga'!AK$155)</f>
        <v>0</v>
      </c>
      <c r="AL162" s="305">
        <f>SUMIFS([1]!Data_CF[Value],[1]!Data_CF[Index CF],'Khanh Nga'!$B162,[1]!Data_CF[TenCongTyID],'Khanh Nga'!$B$1,[1]!Data_CF[Thang.Nam],'Khanh Nga'!AL$155)</f>
        <v>0</v>
      </c>
    </row>
    <row r="163" spans="1:38" ht="15" customHeight="1">
      <c r="A163" s="153" t="s">
        <v>249</v>
      </c>
      <c r="B163" s="154">
        <v>8</v>
      </c>
      <c r="C163" s="304"/>
      <c r="D163" s="304"/>
      <c r="E163" s="306"/>
      <c r="F163" s="304"/>
      <c r="G163" s="304"/>
      <c r="H163" s="304"/>
      <c r="I163" s="304"/>
      <c r="J163" s="304"/>
      <c r="K163" s="304"/>
      <c r="L163" s="304"/>
      <c r="M163" s="304"/>
      <c r="N163" s="304"/>
      <c r="O163" s="304"/>
      <c r="P163" s="304"/>
      <c r="Q163" s="304"/>
      <c r="R163" s="304"/>
      <c r="S163" s="304"/>
      <c r="T163" s="304"/>
      <c r="U163" s="304"/>
      <c r="V163" s="304"/>
      <c r="W163" s="304"/>
      <c r="X163" s="304"/>
      <c r="Y163" s="304"/>
      <c r="Z163" s="304">
        <v>0</v>
      </c>
      <c r="AA163" s="305">
        <f>SUMIFS([1]!Data_CF[Value],[1]!Data_CF[Index CF],'Khanh Nga'!$B163,[1]!Data_CF[TenCongTyID],'Khanh Nga'!$B$1,[1]!Data_CF[Thang.Nam],'Khanh Nga'!AA$155)</f>
        <v>0</v>
      </c>
      <c r="AB163" s="305">
        <f>SUMIFS([1]!Data_CF[Value],[1]!Data_CF[Index CF],'Khanh Nga'!$B163,[1]!Data_CF[TenCongTyID],'Khanh Nga'!$B$1,[1]!Data_CF[Thang.Nam],'Khanh Nga'!AB$155)</f>
        <v>0</v>
      </c>
      <c r="AC163" s="305">
        <f>SUMIFS([1]!Data_CF[Value],[1]!Data_CF[Index CF],'Khanh Nga'!$B163,[1]!Data_CF[TenCongTyID],'Khanh Nga'!$B$1,[1]!Data_CF[Thang.Nam],'Khanh Nga'!AC$155)</f>
        <v>0</v>
      </c>
      <c r="AD163" s="305">
        <f>SUMIFS([1]!Data_CF[Value],[1]!Data_CF[Index CF],'Khanh Nga'!$B163,[1]!Data_CF[TenCongTyID],'Khanh Nga'!$B$1,[1]!Data_CF[Thang.Nam],'Khanh Nga'!AD$155)</f>
        <v>0</v>
      </c>
      <c r="AE163" s="305">
        <f>SUMIFS([1]!Data_CF[Value],[1]!Data_CF[Index CF],'Khanh Nga'!$B163,[1]!Data_CF[TenCongTyID],'Khanh Nga'!$B$1,[1]!Data_CF[Thang.Nam],'Khanh Nga'!AE$155)</f>
        <v>0</v>
      </c>
      <c r="AF163" s="305">
        <f>SUMIFS([1]!Data_CF[Value],[1]!Data_CF[Index CF],'Khanh Nga'!$B163,[1]!Data_CF[TenCongTyID],'Khanh Nga'!$B$1,[1]!Data_CF[Thang.Nam],'Khanh Nga'!AF$155)</f>
        <v>0</v>
      </c>
      <c r="AG163" s="305">
        <f>SUMIFS([1]!Data_CF[Value],[1]!Data_CF[Index CF],'Khanh Nga'!$B163,[1]!Data_CF[TenCongTyID],'Khanh Nga'!$B$1,[1]!Data_CF[Thang.Nam],'Khanh Nga'!AG$155)</f>
        <v>0</v>
      </c>
      <c r="AH163" s="305">
        <f>SUMIFS([1]!Data_CF[Value],[1]!Data_CF[Index CF],'Khanh Nga'!$B163,[1]!Data_CF[TenCongTyID],'Khanh Nga'!$B$1,[1]!Data_CF[Thang.Nam],'Khanh Nga'!AH$155)</f>
        <v>0</v>
      </c>
      <c r="AI163" s="305">
        <f>SUMIFS([1]!Data_CF[Value],[1]!Data_CF[Index CF],'Khanh Nga'!$B163,[1]!Data_CF[TenCongTyID],'Khanh Nga'!$B$1,[1]!Data_CF[Thang.Nam],'Khanh Nga'!AI$155)</f>
        <v>0</v>
      </c>
      <c r="AJ163" s="305">
        <f>SUMIFS([1]!Data_CF[Value],[1]!Data_CF[Index CF],'Khanh Nga'!$B163,[1]!Data_CF[TenCongTyID],'Khanh Nga'!$B$1,[1]!Data_CF[Thang.Nam],'Khanh Nga'!AJ$155)</f>
        <v>0</v>
      </c>
      <c r="AK163" s="305">
        <f>SUMIFS([1]!Data_CF[Value],[1]!Data_CF[Index CF],'Khanh Nga'!$B163,[1]!Data_CF[TenCongTyID],'Khanh Nga'!$B$1,[1]!Data_CF[Thang.Nam],'Khanh Nga'!AK$155)</f>
        <v>0</v>
      </c>
      <c r="AL163" s="305">
        <f>SUMIFS([1]!Data_CF[Value],[1]!Data_CF[Index CF],'Khanh Nga'!$B163,[1]!Data_CF[TenCongTyID],'Khanh Nga'!$B$1,[1]!Data_CF[Thang.Nam],'Khanh Nga'!AL$155)</f>
        <v>0</v>
      </c>
    </row>
    <row r="164" spans="1:38" ht="15" customHeight="1">
      <c r="A164" s="153" t="s">
        <v>250</v>
      </c>
      <c r="B164" s="154">
        <v>9</v>
      </c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>
        <v>0</v>
      </c>
      <c r="AA164" s="303">
        <f>SUMIFS([1]!Data_CF[Value],[1]!Data_CF[Index CF],'Khanh Nga'!$B164,[1]!Data_CF[TenCongTyID],'Khanh Nga'!$B$1,[1]!Data_CF[Thang.Nam],'Khanh Nga'!AA$155)</f>
        <v>0</v>
      </c>
      <c r="AB164" s="303">
        <f>SUMIFS([1]!Data_CF[Value],[1]!Data_CF[Index CF],'Khanh Nga'!$B164,[1]!Data_CF[TenCongTyID],'Khanh Nga'!$B$1,[1]!Data_CF[Thang.Nam],'Khanh Nga'!AB$155)</f>
        <v>0</v>
      </c>
      <c r="AC164" s="303">
        <f>SUMIFS([1]!Data_CF[Value],[1]!Data_CF[Index CF],'Khanh Nga'!$B164,[1]!Data_CF[TenCongTyID],'Khanh Nga'!$B$1,[1]!Data_CF[Thang.Nam],'Khanh Nga'!AC$155)</f>
        <v>0</v>
      </c>
      <c r="AD164" s="303">
        <f>SUMIFS([1]!Data_CF[Value],[1]!Data_CF[Index CF],'Khanh Nga'!$B164,[1]!Data_CF[TenCongTyID],'Khanh Nga'!$B$1,[1]!Data_CF[Thang.Nam],'Khanh Nga'!AD$155)</f>
        <v>0</v>
      </c>
      <c r="AE164" s="303">
        <f>SUMIFS([1]!Data_CF[Value],[1]!Data_CF[Index CF],'Khanh Nga'!$B164,[1]!Data_CF[TenCongTyID],'Khanh Nga'!$B$1,[1]!Data_CF[Thang.Nam],'Khanh Nga'!AE$155)</f>
        <v>0</v>
      </c>
      <c r="AF164" s="303">
        <f>SUMIFS([1]!Data_CF[Value],[1]!Data_CF[Index CF],'Khanh Nga'!$B164,[1]!Data_CF[TenCongTyID],'Khanh Nga'!$B$1,[1]!Data_CF[Thang.Nam],'Khanh Nga'!AF$155)</f>
        <v>0</v>
      </c>
      <c r="AG164" s="303">
        <f>SUMIFS([1]!Data_CF[Value],[1]!Data_CF[Index CF],'Khanh Nga'!$B164,[1]!Data_CF[TenCongTyID],'Khanh Nga'!$B$1,[1]!Data_CF[Thang.Nam],'Khanh Nga'!AG$155)</f>
        <v>0</v>
      </c>
      <c r="AH164" s="303">
        <f>SUMIFS([1]!Data_CF[Value],[1]!Data_CF[Index CF],'Khanh Nga'!$B164,[1]!Data_CF[TenCongTyID],'Khanh Nga'!$B$1,[1]!Data_CF[Thang.Nam],'Khanh Nga'!AH$155)</f>
        <v>0</v>
      </c>
      <c r="AI164" s="303">
        <f>SUMIFS([1]!Data_CF[Value],[1]!Data_CF[Index CF],'Khanh Nga'!$B164,[1]!Data_CF[TenCongTyID],'Khanh Nga'!$B$1,[1]!Data_CF[Thang.Nam],'Khanh Nga'!AI$155)</f>
        <v>0</v>
      </c>
      <c r="AJ164" s="303">
        <f>SUMIFS([1]!Data_CF[Value],[1]!Data_CF[Index CF],'Khanh Nga'!$B164,[1]!Data_CF[TenCongTyID],'Khanh Nga'!$B$1,[1]!Data_CF[Thang.Nam],'Khanh Nga'!AJ$155)</f>
        <v>0</v>
      </c>
      <c r="AK164" s="303">
        <f>SUMIFS([1]!Data_CF[Value],[1]!Data_CF[Index CF],'Khanh Nga'!$B164,[1]!Data_CF[TenCongTyID],'Khanh Nga'!$B$1,[1]!Data_CF[Thang.Nam],'Khanh Nga'!AK$155)</f>
        <v>0</v>
      </c>
      <c r="AL164" s="303">
        <f>SUMIFS([1]!Data_CF[Value],[1]!Data_CF[Index CF],'Khanh Nga'!$B164,[1]!Data_CF[TenCongTyID],'Khanh Nga'!$B$1,[1]!Data_CF[Thang.Nam],'Khanh Nga'!AL$155)</f>
        <v>0</v>
      </c>
    </row>
    <row r="165" spans="1:38" ht="14">
      <c r="A165" s="156" t="s">
        <v>251</v>
      </c>
      <c r="B165" s="157">
        <v>10</v>
      </c>
      <c r="C165" s="308">
        <v>105140804</v>
      </c>
      <c r="D165" s="308">
        <v>333704</v>
      </c>
      <c r="E165" s="308">
        <v>357672012</v>
      </c>
      <c r="F165" s="308">
        <v>16560561</v>
      </c>
      <c r="G165" s="308">
        <v>-206367967</v>
      </c>
      <c r="H165" s="308">
        <v>1488336</v>
      </c>
      <c r="I165" s="308">
        <v>-205330355</v>
      </c>
      <c r="J165" s="308">
        <v>-276957553</v>
      </c>
      <c r="K165" s="308">
        <v>-437882197</v>
      </c>
      <c r="L165" s="308">
        <v>43766721</v>
      </c>
      <c r="M165" s="308">
        <v>10027164</v>
      </c>
      <c r="N165" s="308">
        <f>SUM(N157:N164)</f>
        <v>-218887542</v>
      </c>
      <c r="O165" s="308">
        <v>-556212811</v>
      </c>
      <c r="P165" s="308">
        <v>-515909108</v>
      </c>
      <c r="Q165" s="308">
        <v>-95827108</v>
      </c>
      <c r="R165" s="308">
        <v>893909577</v>
      </c>
      <c r="S165" s="308">
        <v>386343556</v>
      </c>
      <c r="T165" s="308">
        <v>797874162</v>
      </c>
      <c r="U165" s="308">
        <v>1499864148</v>
      </c>
      <c r="V165" s="308">
        <v>1359738396</v>
      </c>
      <c r="W165" s="308">
        <f>+SUM(W157:W164)</f>
        <v>516882644</v>
      </c>
      <c r="X165" s="308">
        <v>593558371</v>
      </c>
      <c r="Y165" s="308">
        <v>555217688</v>
      </c>
      <c r="Z165" s="308">
        <v>753422285</v>
      </c>
      <c r="AA165" s="309">
        <f>SUMIFS([1]!Data_CF[Value],[1]!Data_CF[Index CF],'Khanh Nga'!$B165,[1]!Data_CF[TenCongTyID],'Khanh Nga'!$B$1,[1]!Data_CF[Thang.Nam],'Khanh Nga'!AA$155)</f>
        <v>0</v>
      </c>
      <c r="AB165" s="309">
        <f>SUMIFS([1]!Data_CF[Value],[1]!Data_CF[Index CF],'Khanh Nga'!$B165,[1]!Data_CF[TenCongTyID],'Khanh Nga'!$B$1,[1]!Data_CF[Thang.Nam],'Khanh Nga'!AB$155)</f>
        <v>0</v>
      </c>
      <c r="AC165" s="309">
        <f>SUMIFS([1]!Data_CF[Value],[1]!Data_CF[Index CF],'Khanh Nga'!$B165,[1]!Data_CF[TenCongTyID],'Khanh Nga'!$B$1,[1]!Data_CF[Thang.Nam],'Khanh Nga'!AC$155)</f>
        <v>0</v>
      </c>
      <c r="AD165" s="309">
        <f>SUMIFS([1]!Data_CF[Value],[1]!Data_CF[Index CF],'Khanh Nga'!$B165,[1]!Data_CF[TenCongTyID],'Khanh Nga'!$B$1,[1]!Data_CF[Thang.Nam],'Khanh Nga'!AD$155)</f>
        <v>0</v>
      </c>
      <c r="AE165" s="309">
        <f>SUMIFS([1]!Data_CF[Value],[1]!Data_CF[Index CF],'Khanh Nga'!$B165,[1]!Data_CF[TenCongTyID],'Khanh Nga'!$B$1,[1]!Data_CF[Thang.Nam],'Khanh Nga'!AE$155)</f>
        <v>0</v>
      </c>
      <c r="AF165" s="309">
        <f>SUMIFS([1]!Data_CF[Value],[1]!Data_CF[Index CF],'Khanh Nga'!$B165,[1]!Data_CF[TenCongTyID],'Khanh Nga'!$B$1,[1]!Data_CF[Thang.Nam],'Khanh Nga'!AF$155)</f>
        <v>0</v>
      </c>
      <c r="AG165" s="309">
        <f>SUMIFS([1]!Data_CF[Value],[1]!Data_CF[Index CF],'Khanh Nga'!$B165,[1]!Data_CF[TenCongTyID],'Khanh Nga'!$B$1,[1]!Data_CF[Thang.Nam],'Khanh Nga'!AG$155)</f>
        <v>0</v>
      </c>
      <c r="AH165" s="309">
        <f>SUMIFS([1]!Data_CF[Value],[1]!Data_CF[Index CF],'Khanh Nga'!$B165,[1]!Data_CF[TenCongTyID],'Khanh Nga'!$B$1,[1]!Data_CF[Thang.Nam],'Khanh Nga'!AH$155)</f>
        <v>0</v>
      </c>
      <c r="AI165" s="309">
        <f>SUMIFS([1]!Data_CF[Value],[1]!Data_CF[Index CF],'Khanh Nga'!$B165,[1]!Data_CF[TenCongTyID],'Khanh Nga'!$B$1,[1]!Data_CF[Thang.Nam],'Khanh Nga'!AI$155)</f>
        <v>0</v>
      </c>
      <c r="AJ165" s="309">
        <f>SUMIFS([1]!Data_CF[Value],[1]!Data_CF[Index CF],'Khanh Nga'!$B165,[1]!Data_CF[TenCongTyID],'Khanh Nga'!$B$1,[1]!Data_CF[Thang.Nam],'Khanh Nga'!AJ$155)</f>
        <v>0</v>
      </c>
      <c r="AK165" s="309">
        <f>SUMIFS([1]!Data_CF[Value],[1]!Data_CF[Index CF],'Khanh Nga'!$B165,[1]!Data_CF[TenCongTyID],'Khanh Nga'!$B$1,[1]!Data_CF[Thang.Nam],'Khanh Nga'!AK$155)</f>
        <v>0</v>
      </c>
      <c r="AL165" s="309">
        <f>SUMIFS([1]!Data_CF[Value],[1]!Data_CF[Index CF],'Khanh Nga'!$B165,[1]!Data_CF[TenCongTyID],'Khanh Nga'!$B$1,[1]!Data_CF[Thang.Nam],'Khanh Nga'!AL$155)</f>
        <v>0</v>
      </c>
    </row>
    <row r="166" spans="1:38" ht="15" customHeight="1">
      <c r="A166" s="158" t="s">
        <v>252</v>
      </c>
      <c r="B166" s="159">
        <v>11</v>
      </c>
      <c r="C166" s="299">
        <v>1895816840.8599999</v>
      </c>
      <c r="D166" s="299">
        <v>-1791293940</v>
      </c>
      <c r="E166" s="299">
        <v>1813224420.1400001</v>
      </c>
      <c r="F166" s="299">
        <v>110073800</v>
      </c>
      <c r="G166" s="299">
        <v>-2381399507.7480001</v>
      </c>
      <c r="H166" s="299">
        <v>209353936</v>
      </c>
      <c r="I166" s="299">
        <v>1813826508.23</v>
      </c>
      <c r="J166" s="299">
        <v>-97308159</v>
      </c>
      <c r="K166" s="299">
        <v>-895545760</v>
      </c>
      <c r="L166" s="299">
        <v>625429070</v>
      </c>
      <c r="M166" s="299">
        <v>-793314641</v>
      </c>
      <c r="N166" s="299">
        <v>1085280721.5180001</v>
      </c>
      <c r="O166" s="299">
        <v>93707111.482099995</v>
      </c>
      <c r="P166" s="299">
        <v>2781886.9998999983</v>
      </c>
      <c r="Q166" s="299">
        <v>1195534347.5180001</v>
      </c>
      <c r="R166" s="299">
        <v>-120396700.51800001</v>
      </c>
      <c r="S166" s="299">
        <v>-1364332338</v>
      </c>
      <c r="T166" s="299">
        <v>1419446094.5180001</v>
      </c>
      <c r="U166" s="299">
        <v>-75769434</v>
      </c>
      <c r="V166" s="299">
        <v>168299208</v>
      </c>
      <c r="W166" s="299">
        <v>-514277155</v>
      </c>
      <c r="X166" s="299">
        <v>-944391200</v>
      </c>
      <c r="Y166" s="299">
        <v>-247435085</v>
      </c>
      <c r="Z166" s="299">
        <v>-277478972</v>
      </c>
      <c r="AA166" s="305">
        <f>SUMIFS([1]!Data_CF[Value],[1]!Data_CF[Index CF],'Khanh Nga'!$B166,[1]!Data_CF[TenCongTyID],'Khanh Nga'!$B$1,[1]!Data_CF[Thang.Nam],'Khanh Nga'!AA$155)</f>
        <v>0</v>
      </c>
      <c r="AB166" s="305">
        <f>SUMIFS([1]!Data_CF[Value],[1]!Data_CF[Index CF],'Khanh Nga'!$B166,[1]!Data_CF[TenCongTyID],'Khanh Nga'!$B$1,[1]!Data_CF[Thang.Nam],'Khanh Nga'!AB$155)</f>
        <v>0</v>
      </c>
      <c r="AC166" s="305">
        <f>SUMIFS([1]!Data_CF[Value],[1]!Data_CF[Index CF],'Khanh Nga'!$B166,[1]!Data_CF[TenCongTyID],'Khanh Nga'!$B$1,[1]!Data_CF[Thang.Nam],'Khanh Nga'!AC$155)</f>
        <v>0</v>
      </c>
      <c r="AD166" s="305">
        <f>SUMIFS([1]!Data_CF[Value],[1]!Data_CF[Index CF],'Khanh Nga'!$B166,[1]!Data_CF[TenCongTyID],'Khanh Nga'!$B$1,[1]!Data_CF[Thang.Nam],'Khanh Nga'!AD$155)</f>
        <v>0</v>
      </c>
      <c r="AE166" s="305">
        <f>SUMIFS([1]!Data_CF[Value],[1]!Data_CF[Index CF],'Khanh Nga'!$B166,[1]!Data_CF[TenCongTyID],'Khanh Nga'!$B$1,[1]!Data_CF[Thang.Nam],'Khanh Nga'!AE$155)</f>
        <v>0</v>
      </c>
      <c r="AF166" s="305">
        <f>SUMIFS([1]!Data_CF[Value],[1]!Data_CF[Index CF],'Khanh Nga'!$B166,[1]!Data_CF[TenCongTyID],'Khanh Nga'!$B$1,[1]!Data_CF[Thang.Nam],'Khanh Nga'!AF$155)</f>
        <v>0</v>
      </c>
      <c r="AG166" s="305">
        <f>SUMIFS([1]!Data_CF[Value],[1]!Data_CF[Index CF],'Khanh Nga'!$B166,[1]!Data_CF[TenCongTyID],'Khanh Nga'!$B$1,[1]!Data_CF[Thang.Nam],'Khanh Nga'!AG$155)</f>
        <v>0</v>
      </c>
      <c r="AH166" s="305">
        <f>SUMIFS([1]!Data_CF[Value],[1]!Data_CF[Index CF],'Khanh Nga'!$B166,[1]!Data_CF[TenCongTyID],'Khanh Nga'!$B$1,[1]!Data_CF[Thang.Nam],'Khanh Nga'!AH$155)</f>
        <v>0</v>
      </c>
      <c r="AI166" s="305">
        <f>SUMIFS([1]!Data_CF[Value],[1]!Data_CF[Index CF],'Khanh Nga'!$B166,[1]!Data_CF[TenCongTyID],'Khanh Nga'!$B$1,[1]!Data_CF[Thang.Nam],'Khanh Nga'!AI$155)</f>
        <v>0</v>
      </c>
      <c r="AJ166" s="305">
        <f>SUMIFS([1]!Data_CF[Value],[1]!Data_CF[Index CF],'Khanh Nga'!$B166,[1]!Data_CF[TenCongTyID],'Khanh Nga'!$B$1,[1]!Data_CF[Thang.Nam],'Khanh Nga'!AJ$155)</f>
        <v>0</v>
      </c>
      <c r="AK166" s="305">
        <f>SUMIFS([1]!Data_CF[Value],[1]!Data_CF[Index CF],'Khanh Nga'!$B166,[1]!Data_CF[TenCongTyID],'Khanh Nga'!$B$1,[1]!Data_CF[Thang.Nam],'Khanh Nga'!AK$155)</f>
        <v>0</v>
      </c>
      <c r="AL166" s="305">
        <f>SUMIFS([1]!Data_CF[Value],[1]!Data_CF[Index CF],'Khanh Nga'!$B166,[1]!Data_CF[TenCongTyID],'Khanh Nga'!$B$1,[1]!Data_CF[Thang.Nam],'Khanh Nga'!AL$155)</f>
        <v>0</v>
      </c>
    </row>
    <row r="167" spans="1:38" ht="15" customHeight="1">
      <c r="A167" s="160" t="s">
        <v>253</v>
      </c>
      <c r="B167" s="161">
        <v>12</v>
      </c>
      <c r="C167" s="299">
        <v>-365364141</v>
      </c>
      <c r="D167" s="299">
        <v>486557668</v>
      </c>
      <c r="E167" s="299">
        <v>1141030652.9999995</v>
      </c>
      <c r="F167" s="299">
        <v>134525146.97800016</v>
      </c>
      <c r="G167" s="299">
        <v>1269369692.6299999</v>
      </c>
      <c r="H167" s="299">
        <v>331524506</v>
      </c>
      <c r="I167" s="299">
        <v>265475356.76999998</v>
      </c>
      <c r="J167" s="299">
        <v>217745988</v>
      </c>
      <c r="K167" s="299">
        <v>-1038887134.9999998</v>
      </c>
      <c r="L167" s="299">
        <v>356164513.99999976</v>
      </c>
      <c r="M167" s="299">
        <v>225413763</v>
      </c>
      <c r="N167" s="299">
        <v>-1794922</v>
      </c>
      <c r="O167" s="299">
        <v>-1749047057.9999998</v>
      </c>
      <c r="P167" s="299">
        <v>-2445612225.0000005</v>
      </c>
      <c r="Q167" s="299">
        <v>1566955037.0000005</v>
      </c>
      <c r="R167" s="299">
        <v>351754220</v>
      </c>
      <c r="S167" s="299">
        <v>480844042</v>
      </c>
      <c r="T167" s="299">
        <v>-922522298.00000048</v>
      </c>
      <c r="U167" s="299">
        <v>544143723.00000048</v>
      </c>
      <c r="V167" s="299">
        <v>-128499241</v>
      </c>
      <c r="W167" s="299">
        <v>1874694881.9999998</v>
      </c>
      <c r="X167" s="299">
        <v>725461291</v>
      </c>
      <c r="Y167" s="299">
        <v>-611859991</v>
      </c>
      <c r="Z167" s="299">
        <v>-843875251</v>
      </c>
      <c r="AA167" s="305">
        <f>SUMIFS([1]!Data_CF[Value],[1]!Data_CF[Index CF],'Khanh Nga'!$B167,[1]!Data_CF[TenCongTyID],'Khanh Nga'!$B$1,[1]!Data_CF[Thang.Nam],'Khanh Nga'!AA$155)</f>
        <v>0</v>
      </c>
      <c r="AB167" s="305">
        <f>SUMIFS([1]!Data_CF[Value],[1]!Data_CF[Index CF],'Khanh Nga'!$B167,[1]!Data_CF[TenCongTyID],'Khanh Nga'!$B$1,[1]!Data_CF[Thang.Nam],'Khanh Nga'!AB$155)</f>
        <v>0</v>
      </c>
      <c r="AC167" s="305">
        <f>SUMIFS([1]!Data_CF[Value],[1]!Data_CF[Index CF],'Khanh Nga'!$B167,[1]!Data_CF[TenCongTyID],'Khanh Nga'!$B$1,[1]!Data_CF[Thang.Nam],'Khanh Nga'!AC$155)</f>
        <v>0</v>
      </c>
      <c r="AD167" s="305">
        <f>SUMIFS([1]!Data_CF[Value],[1]!Data_CF[Index CF],'Khanh Nga'!$B167,[1]!Data_CF[TenCongTyID],'Khanh Nga'!$B$1,[1]!Data_CF[Thang.Nam],'Khanh Nga'!AD$155)</f>
        <v>0</v>
      </c>
      <c r="AE167" s="305">
        <f>SUMIFS([1]!Data_CF[Value],[1]!Data_CF[Index CF],'Khanh Nga'!$B167,[1]!Data_CF[TenCongTyID],'Khanh Nga'!$B$1,[1]!Data_CF[Thang.Nam],'Khanh Nga'!AE$155)</f>
        <v>0</v>
      </c>
      <c r="AF167" s="305">
        <f>SUMIFS([1]!Data_CF[Value],[1]!Data_CF[Index CF],'Khanh Nga'!$B167,[1]!Data_CF[TenCongTyID],'Khanh Nga'!$B$1,[1]!Data_CF[Thang.Nam],'Khanh Nga'!AF$155)</f>
        <v>0</v>
      </c>
      <c r="AG167" s="305">
        <f>SUMIFS([1]!Data_CF[Value],[1]!Data_CF[Index CF],'Khanh Nga'!$B167,[1]!Data_CF[TenCongTyID],'Khanh Nga'!$B$1,[1]!Data_CF[Thang.Nam],'Khanh Nga'!AG$155)</f>
        <v>0</v>
      </c>
      <c r="AH167" s="305">
        <f>SUMIFS([1]!Data_CF[Value],[1]!Data_CF[Index CF],'Khanh Nga'!$B167,[1]!Data_CF[TenCongTyID],'Khanh Nga'!$B$1,[1]!Data_CF[Thang.Nam],'Khanh Nga'!AH$155)</f>
        <v>0</v>
      </c>
      <c r="AI167" s="305">
        <f>SUMIFS([1]!Data_CF[Value],[1]!Data_CF[Index CF],'Khanh Nga'!$B167,[1]!Data_CF[TenCongTyID],'Khanh Nga'!$B$1,[1]!Data_CF[Thang.Nam],'Khanh Nga'!AI$155)</f>
        <v>0</v>
      </c>
      <c r="AJ167" s="305">
        <f>SUMIFS([1]!Data_CF[Value],[1]!Data_CF[Index CF],'Khanh Nga'!$B167,[1]!Data_CF[TenCongTyID],'Khanh Nga'!$B$1,[1]!Data_CF[Thang.Nam],'Khanh Nga'!AJ$155)</f>
        <v>0</v>
      </c>
      <c r="AK167" s="305">
        <f>SUMIFS([1]!Data_CF[Value],[1]!Data_CF[Index CF],'Khanh Nga'!$B167,[1]!Data_CF[TenCongTyID],'Khanh Nga'!$B$1,[1]!Data_CF[Thang.Nam],'Khanh Nga'!AK$155)</f>
        <v>0</v>
      </c>
      <c r="AL167" s="305">
        <f>SUMIFS([1]!Data_CF[Value],[1]!Data_CF[Index CF],'Khanh Nga'!$B167,[1]!Data_CF[TenCongTyID],'Khanh Nga'!$B$1,[1]!Data_CF[Thang.Nam],'Khanh Nga'!AL$155)</f>
        <v>0</v>
      </c>
    </row>
    <row r="168" spans="1:38" ht="14">
      <c r="A168" s="158" t="s">
        <v>254</v>
      </c>
      <c r="B168" s="159">
        <v>13</v>
      </c>
      <c r="C168" s="299">
        <v>-1042322581.8600006</v>
      </c>
      <c r="D168" s="299">
        <v>380165439</v>
      </c>
      <c r="E168" s="299">
        <v>-342295487.13999939</v>
      </c>
      <c r="F168" s="299">
        <v>-85234438.978000641</v>
      </c>
      <c r="G168" s="299">
        <v>-330766313.88199997</v>
      </c>
      <c r="H168" s="299">
        <v>306614481</v>
      </c>
      <c r="I168" s="299">
        <v>-499813005</v>
      </c>
      <c r="J168" s="299">
        <v>2215115228</v>
      </c>
      <c r="K168" s="299">
        <v>345442318</v>
      </c>
      <c r="L168" s="299">
        <v>2472137441</v>
      </c>
      <c r="M168" s="299">
        <v>423979753</v>
      </c>
      <c r="N168" s="299">
        <f>1872349435.482-1935092726</f>
        <v>-62743290.517999887</v>
      </c>
      <c r="O168" s="299">
        <v>-30844221.482000351</v>
      </c>
      <c r="P168" s="299">
        <v>1616635995</v>
      </c>
      <c r="Q168" s="299">
        <v>-1024284029.5179996</v>
      </c>
      <c r="R168" s="299">
        <v>-677034919.48200035</v>
      </c>
      <c r="S168" s="299">
        <v>-91919914</v>
      </c>
      <c r="T168" s="299">
        <v>496566855.48200035</v>
      </c>
      <c r="U168" s="299">
        <v>190689054.00009918</v>
      </c>
      <c r="V168" s="299">
        <v>1623367376</v>
      </c>
      <c r="W168" s="299">
        <v>-2308161343.0000992</v>
      </c>
      <c r="X168" s="299">
        <v>-339766486</v>
      </c>
      <c r="Y168" s="299">
        <v>488919343</v>
      </c>
      <c r="Z168" s="299">
        <v>194537095</v>
      </c>
      <c r="AA168" s="305">
        <f>SUMIFS([1]!Data_CF[Value],[1]!Data_CF[Index CF],'Khanh Nga'!$B168,[1]!Data_CF[TenCongTyID],'Khanh Nga'!$B$1,[1]!Data_CF[Thang.Nam],'Khanh Nga'!AA$155)</f>
        <v>0</v>
      </c>
      <c r="AB168" s="305">
        <f>SUMIFS([1]!Data_CF[Value],[1]!Data_CF[Index CF],'Khanh Nga'!$B168,[1]!Data_CF[TenCongTyID],'Khanh Nga'!$B$1,[1]!Data_CF[Thang.Nam],'Khanh Nga'!AB$155)</f>
        <v>0</v>
      </c>
      <c r="AC168" s="305">
        <f>SUMIFS([1]!Data_CF[Value],[1]!Data_CF[Index CF],'Khanh Nga'!$B168,[1]!Data_CF[TenCongTyID],'Khanh Nga'!$B$1,[1]!Data_CF[Thang.Nam],'Khanh Nga'!AC$155)</f>
        <v>0</v>
      </c>
      <c r="AD168" s="305">
        <f>SUMIFS([1]!Data_CF[Value],[1]!Data_CF[Index CF],'Khanh Nga'!$B168,[1]!Data_CF[TenCongTyID],'Khanh Nga'!$B$1,[1]!Data_CF[Thang.Nam],'Khanh Nga'!AD$155)</f>
        <v>0</v>
      </c>
      <c r="AE168" s="305">
        <f>SUMIFS([1]!Data_CF[Value],[1]!Data_CF[Index CF],'Khanh Nga'!$B168,[1]!Data_CF[TenCongTyID],'Khanh Nga'!$B$1,[1]!Data_CF[Thang.Nam],'Khanh Nga'!AE$155)</f>
        <v>0</v>
      </c>
      <c r="AF168" s="305">
        <f>SUMIFS([1]!Data_CF[Value],[1]!Data_CF[Index CF],'Khanh Nga'!$B168,[1]!Data_CF[TenCongTyID],'Khanh Nga'!$B$1,[1]!Data_CF[Thang.Nam],'Khanh Nga'!AF$155)</f>
        <v>0</v>
      </c>
      <c r="AG168" s="305">
        <f>SUMIFS([1]!Data_CF[Value],[1]!Data_CF[Index CF],'Khanh Nga'!$B168,[1]!Data_CF[TenCongTyID],'Khanh Nga'!$B$1,[1]!Data_CF[Thang.Nam],'Khanh Nga'!AG$155)</f>
        <v>0</v>
      </c>
      <c r="AH168" s="305">
        <f>SUMIFS([1]!Data_CF[Value],[1]!Data_CF[Index CF],'Khanh Nga'!$B168,[1]!Data_CF[TenCongTyID],'Khanh Nga'!$B$1,[1]!Data_CF[Thang.Nam],'Khanh Nga'!AH$155)</f>
        <v>0</v>
      </c>
      <c r="AI168" s="305">
        <f>SUMIFS([1]!Data_CF[Value],[1]!Data_CF[Index CF],'Khanh Nga'!$B168,[1]!Data_CF[TenCongTyID],'Khanh Nga'!$B$1,[1]!Data_CF[Thang.Nam],'Khanh Nga'!AI$155)</f>
        <v>0</v>
      </c>
      <c r="AJ168" s="305">
        <f>SUMIFS([1]!Data_CF[Value],[1]!Data_CF[Index CF],'Khanh Nga'!$B168,[1]!Data_CF[TenCongTyID],'Khanh Nga'!$B$1,[1]!Data_CF[Thang.Nam],'Khanh Nga'!AJ$155)</f>
        <v>0</v>
      </c>
      <c r="AK168" s="305">
        <f>SUMIFS([1]!Data_CF[Value],[1]!Data_CF[Index CF],'Khanh Nga'!$B168,[1]!Data_CF[TenCongTyID],'Khanh Nga'!$B$1,[1]!Data_CF[Thang.Nam],'Khanh Nga'!AK$155)</f>
        <v>0</v>
      </c>
      <c r="AL168" s="305">
        <f>SUMIFS([1]!Data_CF[Value],[1]!Data_CF[Index CF],'Khanh Nga'!$B168,[1]!Data_CF[TenCongTyID],'Khanh Nga'!$B$1,[1]!Data_CF[Thang.Nam],'Khanh Nga'!AL$155)</f>
        <v>0</v>
      </c>
    </row>
    <row r="169" spans="1:38" ht="15" customHeight="1">
      <c r="A169" s="158" t="s">
        <v>255</v>
      </c>
      <c r="B169" s="159">
        <v>14</v>
      </c>
      <c r="C169" s="299">
        <v>-151119418</v>
      </c>
      <c r="D169" s="299">
        <v>-240681523</v>
      </c>
      <c r="E169" s="299">
        <v>135849008</v>
      </c>
      <c r="F169" s="299">
        <v>-244107099</v>
      </c>
      <c r="G169" s="299">
        <v>53629615</v>
      </c>
      <c r="H169" s="299">
        <v>201071244</v>
      </c>
      <c r="I169" s="299">
        <v>-55624373</v>
      </c>
      <c r="J169" s="299">
        <v>-577809663</v>
      </c>
      <c r="K169" s="300">
        <v>324737976</v>
      </c>
      <c r="L169" s="299">
        <v>-1181369555</v>
      </c>
      <c r="M169" s="299">
        <v>-134283975</v>
      </c>
      <c r="N169" s="299">
        <v>-1076255114</v>
      </c>
      <c r="O169" s="299">
        <v>-99733827</v>
      </c>
      <c r="P169" s="299">
        <v>145987661</v>
      </c>
      <c r="Q169" s="299">
        <v>347499120</v>
      </c>
      <c r="R169" s="299">
        <v>-24842447</v>
      </c>
      <c r="S169" s="299">
        <v>-131767933</v>
      </c>
      <c r="T169" s="299">
        <v>-1586056</v>
      </c>
      <c r="U169" s="299">
        <v>-33612919</v>
      </c>
      <c r="V169" s="299">
        <v>7038854</v>
      </c>
      <c r="W169" s="299">
        <v>45266705</v>
      </c>
      <c r="X169" s="299">
        <v>58727327</v>
      </c>
      <c r="Y169" s="299">
        <v>-2949748</v>
      </c>
      <c r="Z169" s="299">
        <v>-78188787</v>
      </c>
      <c r="AA169" s="305">
        <f>SUMIFS([1]!Data_CF[Value],[1]!Data_CF[Index CF],'Khanh Nga'!$B169,[1]!Data_CF[TenCongTyID],'Khanh Nga'!$B$1,[1]!Data_CF[Thang.Nam],'Khanh Nga'!AA$155)</f>
        <v>0</v>
      </c>
      <c r="AB169" s="305">
        <f>SUMIFS([1]!Data_CF[Value],[1]!Data_CF[Index CF],'Khanh Nga'!$B169,[1]!Data_CF[TenCongTyID],'Khanh Nga'!$B$1,[1]!Data_CF[Thang.Nam],'Khanh Nga'!AB$155)</f>
        <v>0</v>
      </c>
      <c r="AC169" s="305">
        <f>SUMIFS([1]!Data_CF[Value],[1]!Data_CF[Index CF],'Khanh Nga'!$B169,[1]!Data_CF[TenCongTyID],'Khanh Nga'!$B$1,[1]!Data_CF[Thang.Nam],'Khanh Nga'!AC$155)</f>
        <v>0</v>
      </c>
      <c r="AD169" s="305">
        <f>SUMIFS([1]!Data_CF[Value],[1]!Data_CF[Index CF],'Khanh Nga'!$B169,[1]!Data_CF[TenCongTyID],'Khanh Nga'!$B$1,[1]!Data_CF[Thang.Nam],'Khanh Nga'!AD$155)</f>
        <v>0</v>
      </c>
      <c r="AE169" s="305">
        <f>SUMIFS([1]!Data_CF[Value],[1]!Data_CF[Index CF],'Khanh Nga'!$B169,[1]!Data_CF[TenCongTyID],'Khanh Nga'!$B$1,[1]!Data_CF[Thang.Nam],'Khanh Nga'!AE$155)</f>
        <v>0</v>
      </c>
      <c r="AF169" s="305">
        <f>SUMIFS([1]!Data_CF[Value],[1]!Data_CF[Index CF],'Khanh Nga'!$B169,[1]!Data_CF[TenCongTyID],'Khanh Nga'!$B$1,[1]!Data_CF[Thang.Nam],'Khanh Nga'!AF$155)</f>
        <v>0</v>
      </c>
      <c r="AG169" s="305">
        <f>SUMIFS([1]!Data_CF[Value],[1]!Data_CF[Index CF],'Khanh Nga'!$B169,[1]!Data_CF[TenCongTyID],'Khanh Nga'!$B$1,[1]!Data_CF[Thang.Nam],'Khanh Nga'!AG$155)</f>
        <v>0</v>
      </c>
      <c r="AH169" s="305">
        <f>SUMIFS([1]!Data_CF[Value],[1]!Data_CF[Index CF],'Khanh Nga'!$B169,[1]!Data_CF[TenCongTyID],'Khanh Nga'!$B$1,[1]!Data_CF[Thang.Nam],'Khanh Nga'!AH$155)</f>
        <v>0</v>
      </c>
      <c r="AI169" s="305">
        <f>SUMIFS([1]!Data_CF[Value],[1]!Data_CF[Index CF],'Khanh Nga'!$B169,[1]!Data_CF[TenCongTyID],'Khanh Nga'!$B$1,[1]!Data_CF[Thang.Nam],'Khanh Nga'!AI$155)</f>
        <v>0</v>
      </c>
      <c r="AJ169" s="305">
        <f>SUMIFS([1]!Data_CF[Value],[1]!Data_CF[Index CF],'Khanh Nga'!$B169,[1]!Data_CF[TenCongTyID],'Khanh Nga'!$B$1,[1]!Data_CF[Thang.Nam],'Khanh Nga'!AJ$155)</f>
        <v>0</v>
      </c>
      <c r="AK169" s="305">
        <f>SUMIFS([1]!Data_CF[Value],[1]!Data_CF[Index CF],'Khanh Nga'!$B169,[1]!Data_CF[TenCongTyID],'Khanh Nga'!$B$1,[1]!Data_CF[Thang.Nam],'Khanh Nga'!AK$155)</f>
        <v>0</v>
      </c>
      <c r="AL169" s="305">
        <f>SUMIFS([1]!Data_CF[Value],[1]!Data_CF[Index CF],'Khanh Nga'!$B169,[1]!Data_CF[TenCongTyID],'Khanh Nga'!$B$1,[1]!Data_CF[Thang.Nam],'Khanh Nga'!AL$155)</f>
        <v>0</v>
      </c>
    </row>
    <row r="170" spans="1:38" ht="15" customHeight="1">
      <c r="A170" s="158" t="s">
        <v>256</v>
      </c>
      <c r="B170" s="159">
        <v>15</v>
      </c>
      <c r="C170" s="304"/>
      <c r="D170" s="304"/>
      <c r="E170" s="304"/>
      <c r="F170" s="304"/>
      <c r="G170" s="304"/>
      <c r="H170" s="304"/>
      <c r="I170" s="304"/>
      <c r="J170" s="304"/>
      <c r="K170" s="304"/>
      <c r="L170" s="304"/>
      <c r="M170" s="304"/>
      <c r="N170" s="304"/>
      <c r="O170" s="304"/>
      <c r="P170" s="304"/>
      <c r="Q170" s="304"/>
      <c r="R170" s="304"/>
      <c r="S170" s="304"/>
      <c r="T170" s="304"/>
      <c r="U170" s="304"/>
      <c r="V170" s="304"/>
      <c r="W170" s="304"/>
      <c r="X170" s="304"/>
      <c r="Y170" s="304"/>
      <c r="Z170" s="304">
        <v>0</v>
      </c>
      <c r="AA170" s="305">
        <f>SUMIFS([1]!Data_CF[Value],[1]!Data_CF[Index CF],'Khanh Nga'!$B170,[1]!Data_CF[TenCongTyID],'Khanh Nga'!$B$1,[1]!Data_CF[Thang.Nam],'Khanh Nga'!AA$155)</f>
        <v>0</v>
      </c>
      <c r="AB170" s="305">
        <f>SUMIFS([1]!Data_CF[Value],[1]!Data_CF[Index CF],'Khanh Nga'!$B170,[1]!Data_CF[TenCongTyID],'Khanh Nga'!$B$1,[1]!Data_CF[Thang.Nam],'Khanh Nga'!AB$155)</f>
        <v>0</v>
      </c>
      <c r="AC170" s="305">
        <f>SUMIFS([1]!Data_CF[Value],[1]!Data_CF[Index CF],'Khanh Nga'!$B170,[1]!Data_CF[TenCongTyID],'Khanh Nga'!$B$1,[1]!Data_CF[Thang.Nam],'Khanh Nga'!AC$155)</f>
        <v>0</v>
      </c>
      <c r="AD170" s="305">
        <f>SUMIFS([1]!Data_CF[Value],[1]!Data_CF[Index CF],'Khanh Nga'!$B170,[1]!Data_CF[TenCongTyID],'Khanh Nga'!$B$1,[1]!Data_CF[Thang.Nam],'Khanh Nga'!AD$155)</f>
        <v>0</v>
      </c>
      <c r="AE170" s="305">
        <f>SUMIFS([1]!Data_CF[Value],[1]!Data_CF[Index CF],'Khanh Nga'!$B170,[1]!Data_CF[TenCongTyID],'Khanh Nga'!$B$1,[1]!Data_CF[Thang.Nam],'Khanh Nga'!AE$155)</f>
        <v>0</v>
      </c>
      <c r="AF170" s="305">
        <f>SUMIFS([1]!Data_CF[Value],[1]!Data_CF[Index CF],'Khanh Nga'!$B170,[1]!Data_CF[TenCongTyID],'Khanh Nga'!$B$1,[1]!Data_CF[Thang.Nam],'Khanh Nga'!AF$155)</f>
        <v>0</v>
      </c>
      <c r="AG170" s="305">
        <f>SUMIFS([1]!Data_CF[Value],[1]!Data_CF[Index CF],'Khanh Nga'!$B170,[1]!Data_CF[TenCongTyID],'Khanh Nga'!$B$1,[1]!Data_CF[Thang.Nam],'Khanh Nga'!AG$155)</f>
        <v>0</v>
      </c>
      <c r="AH170" s="305">
        <f>SUMIFS([1]!Data_CF[Value],[1]!Data_CF[Index CF],'Khanh Nga'!$B170,[1]!Data_CF[TenCongTyID],'Khanh Nga'!$B$1,[1]!Data_CF[Thang.Nam],'Khanh Nga'!AH$155)</f>
        <v>0</v>
      </c>
      <c r="AI170" s="305">
        <f>SUMIFS([1]!Data_CF[Value],[1]!Data_CF[Index CF],'Khanh Nga'!$B170,[1]!Data_CF[TenCongTyID],'Khanh Nga'!$B$1,[1]!Data_CF[Thang.Nam],'Khanh Nga'!AI$155)</f>
        <v>0</v>
      </c>
      <c r="AJ170" s="305">
        <f>SUMIFS([1]!Data_CF[Value],[1]!Data_CF[Index CF],'Khanh Nga'!$B170,[1]!Data_CF[TenCongTyID],'Khanh Nga'!$B$1,[1]!Data_CF[Thang.Nam],'Khanh Nga'!AJ$155)</f>
        <v>0</v>
      </c>
      <c r="AK170" s="305">
        <f>SUMIFS([1]!Data_CF[Value],[1]!Data_CF[Index CF],'Khanh Nga'!$B170,[1]!Data_CF[TenCongTyID],'Khanh Nga'!$B$1,[1]!Data_CF[Thang.Nam],'Khanh Nga'!AK$155)</f>
        <v>0</v>
      </c>
      <c r="AL170" s="305">
        <f>SUMIFS([1]!Data_CF[Value],[1]!Data_CF[Index CF],'Khanh Nga'!$B170,[1]!Data_CF[TenCongTyID],'Khanh Nga'!$B$1,[1]!Data_CF[Thang.Nam],'Khanh Nga'!AL$155)</f>
        <v>0</v>
      </c>
    </row>
    <row r="171" spans="1:38" ht="15" customHeight="1">
      <c r="A171" s="158" t="s">
        <v>257</v>
      </c>
      <c r="B171" s="159">
        <v>16</v>
      </c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>
        <v>0</v>
      </c>
      <c r="AA171" s="305">
        <f>SUMIFS([1]!Data_CF[Value],[1]!Data_CF[Index CF],'Khanh Nga'!$B171,[1]!Data_CF[TenCongTyID],'Khanh Nga'!$B$1,[1]!Data_CF[Thang.Nam],'Khanh Nga'!AA$155)</f>
        <v>0</v>
      </c>
      <c r="AB171" s="305">
        <f>SUMIFS([1]!Data_CF[Value],[1]!Data_CF[Index CF],'Khanh Nga'!$B171,[1]!Data_CF[TenCongTyID],'Khanh Nga'!$B$1,[1]!Data_CF[Thang.Nam],'Khanh Nga'!AB$155)</f>
        <v>0</v>
      </c>
      <c r="AC171" s="305">
        <f>SUMIFS([1]!Data_CF[Value],[1]!Data_CF[Index CF],'Khanh Nga'!$B171,[1]!Data_CF[TenCongTyID],'Khanh Nga'!$B$1,[1]!Data_CF[Thang.Nam],'Khanh Nga'!AC$155)</f>
        <v>0</v>
      </c>
      <c r="AD171" s="305">
        <f>SUMIFS([1]!Data_CF[Value],[1]!Data_CF[Index CF],'Khanh Nga'!$B171,[1]!Data_CF[TenCongTyID],'Khanh Nga'!$B$1,[1]!Data_CF[Thang.Nam],'Khanh Nga'!AD$155)</f>
        <v>0</v>
      </c>
      <c r="AE171" s="305">
        <f>SUMIFS([1]!Data_CF[Value],[1]!Data_CF[Index CF],'Khanh Nga'!$B171,[1]!Data_CF[TenCongTyID],'Khanh Nga'!$B$1,[1]!Data_CF[Thang.Nam],'Khanh Nga'!AE$155)</f>
        <v>0</v>
      </c>
      <c r="AF171" s="305">
        <f>SUMIFS([1]!Data_CF[Value],[1]!Data_CF[Index CF],'Khanh Nga'!$B171,[1]!Data_CF[TenCongTyID],'Khanh Nga'!$B$1,[1]!Data_CF[Thang.Nam],'Khanh Nga'!AF$155)</f>
        <v>0</v>
      </c>
      <c r="AG171" s="305">
        <f>SUMIFS([1]!Data_CF[Value],[1]!Data_CF[Index CF],'Khanh Nga'!$B171,[1]!Data_CF[TenCongTyID],'Khanh Nga'!$B$1,[1]!Data_CF[Thang.Nam],'Khanh Nga'!AG$155)</f>
        <v>0</v>
      </c>
      <c r="AH171" s="305">
        <f>SUMIFS([1]!Data_CF[Value],[1]!Data_CF[Index CF],'Khanh Nga'!$B171,[1]!Data_CF[TenCongTyID],'Khanh Nga'!$B$1,[1]!Data_CF[Thang.Nam],'Khanh Nga'!AH$155)</f>
        <v>0</v>
      </c>
      <c r="AI171" s="305">
        <f>SUMIFS([1]!Data_CF[Value],[1]!Data_CF[Index CF],'Khanh Nga'!$B171,[1]!Data_CF[TenCongTyID],'Khanh Nga'!$B$1,[1]!Data_CF[Thang.Nam],'Khanh Nga'!AI$155)</f>
        <v>0</v>
      </c>
      <c r="AJ171" s="305">
        <f>SUMIFS([1]!Data_CF[Value],[1]!Data_CF[Index CF],'Khanh Nga'!$B171,[1]!Data_CF[TenCongTyID],'Khanh Nga'!$B$1,[1]!Data_CF[Thang.Nam],'Khanh Nga'!AJ$155)</f>
        <v>0</v>
      </c>
      <c r="AK171" s="305">
        <f>SUMIFS([1]!Data_CF[Value],[1]!Data_CF[Index CF],'Khanh Nga'!$B171,[1]!Data_CF[TenCongTyID],'Khanh Nga'!$B$1,[1]!Data_CF[Thang.Nam],'Khanh Nga'!AK$155)</f>
        <v>0</v>
      </c>
      <c r="AL171" s="305">
        <f>SUMIFS([1]!Data_CF[Value],[1]!Data_CF[Index CF],'Khanh Nga'!$B171,[1]!Data_CF[TenCongTyID],'Khanh Nga'!$B$1,[1]!Data_CF[Thang.Nam],'Khanh Nga'!AL$155)</f>
        <v>0</v>
      </c>
    </row>
    <row r="172" spans="1:38" ht="15" customHeight="1">
      <c r="A172" s="158" t="s">
        <v>258</v>
      </c>
      <c r="B172" s="159">
        <v>17</v>
      </c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>
        <v>0</v>
      </c>
      <c r="X172" s="299"/>
      <c r="Y172" s="299"/>
      <c r="Z172" s="299">
        <v>0</v>
      </c>
      <c r="AA172" s="305">
        <f>SUMIFS([1]!Data_CF[Value],[1]!Data_CF[Index CF],'Khanh Nga'!$B172,[1]!Data_CF[TenCongTyID],'Khanh Nga'!$B$1,[1]!Data_CF[Thang.Nam],'Khanh Nga'!AA$155)</f>
        <v>0</v>
      </c>
      <c r="AB172" s="305">
        <f>SUMIFS([1]!Data_CF[Value],[1]!Data_CF[Index CF],'Khanh Nga'!$B172,[1]!Data_CF[TenCongTyID],'Khanh Nga'!$B$1,[1]!Data_CF[Thang.Nam],'Khanh Nga'!AB$155)</f>
        <v>0</v>
      </c>
      <c r="AC172" s="305">
        <f>SUMIFS([1]!Data_CF[Value],[1]!Data_CF[Index CF],'Khanh Nga'!$B172,[1]!Data_CF[TenCongTyID],'Khanh Nga'!$B$1,[1]!Data_CF[Thang.Nam],'Khanh Nga'!AC$155)</f>
        <v>0</v>
      </c>
      <c r="AD172" s="305">
        <f>SUMIFS([1]!Data_CF[Value],[1]!Data_CF[Index CF],'Khanh Nga'!$B172,[1]!Data_CF[TenCongTyID],'Khanh Nga'!$B$1,[1]!Data_CF[Thang.Nam],'Khanh Nga'!AD$155)</f>
        <v>0</v>
      </c>
      <c r="AE172" s="305">
        <f>SUMIFS([1]!Data_CF[Value],[1]!Data_CF[Index CF],'Khanh Nga'!$B172,[1]!Data_CF[TenCongTyID],'Khanh Nga'!$B$1,[1]!Data_CF[Thang.Nam],'Khanh Nga'!AE$155)</f>
        <v>0</v>
      </c>
      <c r="AF172" s="305">
        <f>SUMIFS([1]!Data_CF[Value],[1]!Data_CF[Index CF],'Khanh Nga'!$B172,[1]!Data_CF[TenCongTyID],'Khanh Nga'!$B$1,[1]!Data_CF[Thang.Nam],'Khanh Nga'!AF$155)</f>
        <v>0</v>
      </c>
      <c r="AG172" s="305">
        <f>SUMIFS([1]!Data_CF[Value],[1]!Data_CF[Index CF],'Khanh Nga'!$B172,[1]!Data_CF[TenCongTyID],'Khanh Nga'!$B$1,[1]!Data_CF[Thang.Nam],'Khanh Nga'!AG$155)</f>
        <v>0</v>
      </c>
      <c r="AH172" s="305">
        <f>SUMIFS([1]!Data_CF[Value],[1]!Data_CF[Index CF],'Khanh Nga'!$B172,[1]!Data_CF[TenCongTyID],'Khanh Nga'!$B$1,[1]!Data_CF[Thang.Nam],'Khanh Nga'!AH$155)</f>
        <v>0</v>
      </c>
      <c r="AI172" s="305">
        <f>SUMIFS([1]!Data_CF[Value],[1]!Data_CF[Index CF],'Khanh Nga'!$B172,[1]!Data_CF[TenCongTyID],'Khanh Nga'!$B$1,[1]!Data_CF[Thang.Nam],'Khanh Nga'!AI$155)</f>
        <v>0</v>
      </c>
      <c r="AJ172" s="305">
        <f>SUMIFS([1]!Data_CF[Value],[1]!Data_CF[Index CF],'Khanh Nga'!$B172,[1]!Data_CF[TenCongTyID],'Khanh Nga'!$B$1,[1]!Data_CF[Thang.Nam],'Khanh Nga'!AJ$155)</f>
        <v>0</v>
      </c>
      <c r="AK172" s="305">
        <f>SUMIFS([1]!Data_CF[Value],[1]!Data_CF[Index CF],'Khanh Nga'!$B172,[1]!Data_CF[TenCongTyID],'Khanh Nga'!$B$1,[1]!Data_CF[Thang.Nam],'Khanh Nga'!AK$155)</f>
        <v>0</v>
      </c>
      <c r="AL172" s="305">
        <f>SUMIFS([1]!Data_CF[Value],[1]!Data_CF[Index CF],'Khanh Nga'!$B172,[1]!Data_CF[TenCongTyID],'Khanh Nga'!$B$1,[1]!Data_CF[Thang.Nam],'Khanh Nga'!AL$155)</f>
        <v>0</v>
      </c>
    </row>
    <row r="173" spans="1:38" ht="15" customHeight="1">
      <c r="A173" s="158" t="s">
        <v>259</v>
      </c>
      <c r="B173" s="159">
        <v>18</v>
      </c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>
        <v>0</v>
      </c>
      <c r="AA173" s="310">
        <f>SUMIFS([1]!Data_CF[Value],[1]!Data_CF[Index CF],'Khanh Nga'!$B173,[1]!Data_CF[TenCongTyID],'Khanh Nga'!$B$1,[1]!Data_CF[Thang.Nam],'Khanh Nga'!AA$155)</f>
        <v>0</v>
      </c>
      <c r="AB173" s="310">
        <f>SUMIFS([1]!Data_CF[Value],[1]!Data_CF[Index CF],'Khanh Nga'!$B173,[1]!Data_CF[TenCongTyID],'Khanh Nga'!$B$1,[1]!Data_CF[Thang.Nam],'Khanh Nga'!AB$155)</f>
        <v>0</v>
      </c>
      <c r="AC173" s="310">
        <f>SUMIFS([1]!Data_CF[Value],[1]!Data_CF[Index CF],'Khanh Nga'!$B173,[1]!Data_CF[TenCongTyID],'Khanh Nga'!$B$1,[1]!Data_CF[Thang.Nam],'Khanh Nga'!AC$155)</f>
        <v>0</v>
      </c>
      <c r="AD173" s="310">
        <f>SUMIFS([1]!Data_CF[Value],[1]!Data_CF[Index CF],'Khanh Nga'!$B173,[1]!Data_CF[TenCongTyID],'Khanh Nga'!$B$1,[1]!Data_CF[Thang.Nam],'Khanh Nga'!AD$155)</f>
        <v>0</v>
      </c>
      <c r="AE173" s="310">
        <f>SUMIFS([1]!Data_CF[Value],[1]!Data_CF[Index CF],'Khanh Nga'!$B173,[1]!Data_CF[TenCongTyID],'Khanh Nga'!$B$1,[1]!Data_CF[Thang.Nam],'Khanh Nga'!AE$155)</f>
        <v>0</v>
      </c>
      <c r="AF173" s="310">
        <f>SUMIFS([1]!Data_CF[Value],[1]!Data_CF[Index CF],'Khanh Nga'!$B173,[1]!Data_CF[TenCongTyID],'Khanh Nga'!$B$1,[1]!Data_CF[Thang.Nam],'Khanh Nga'!AF$155)</f>
        <v>0</v>
      </c>
      <c r="AG173" s="310">
        <f>SUMIFS([1]!Data_CF[Value],[1]!Data_CF[Index CF],'Khanh Nga'!$B173,[1]!Data_CF[TenCongTyID],'Khanh Nga'!$B$1,[1]!Data_CF[Thang.Nam],'Khanh Nga'!AG$155)</f>
        <v>0</v>
      </c>
      <c r="AH173" s="310">
        <f>SUMIFS([1]!Data_CF[Value],[1]!Data_CF[Index CF],'Khanh Nga'!$B173,[1]!Data_CF[TenCongTyID],'Khanh Nga'!$B$1,[1]!Data_CF[Thang.Nam],'Khanh Nga'!AH$155)</f>
        <v>0</v>
      </c>
      <c r="AI173" s="310">
        <f>SUMIFS([1]!Data_CF[Value],[1]!Data_CF[Index CF],'Khanh Nga'!$B173,[1]!Data_CF[TenCongTyID],'Khanh Nga'!$B$1,[1]!Data_CF[Thang.Nam],'Khanh Nga'!AI$155)</f>
        <v>0</v>
      </c>
      <c r="AJ173" s="310">
        <f>SUMIFS([1]!Data_CF[Value],[1]!Data_CF[Index CF],'Khanh Nga'!$B173,[1]!Data_CF[TenCongTyID],'Khanh Nga'!$B$1,[1]!Data_CF[Thang.Nam],'Khanh Nga'!AJ$155)</f>
        <v>0</v>
      </c>
      <c r="AK173" s="310">
        <f>SUMIFS([1]!Data_CF[Value],[1]!Data_CF[Index CF],'Khanh Nga'!$B173,[1]!Data_CF[TenCongTyID],'Khanh Nga'!$B$1,[1]!Data_CF[Thang.Nam],'Khanh Nga'!AK$155)</f>
        <v>0</v>
      </c>
      <c r="AL173" s="310">
        <f>SUMIFS([1]!Data_CF[Value],[1]!Data_CF[Index CF],'Khanh Nga'!$B173,[1]!Data_CF[TenCongTyID],'Khanh Nga'!$B$1,[1]!Data_CF[Thang.Nam],'Khanh Nga'!AL$155)</f>
        <v>0</v>
      </c>
    </row>
    <row r="174" spans="1:38" ht="15" customHeight="1">
      <c r="A174" s="158" t="s">
        <v>260</v>
      </c>
      <c r="B174" s="159">
        <v>19</v>
      </c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>
        <v>0</v>
      </c>
      <c r="AA174" s="311">
        <f>SUMIFS([1]!Data_CF[Value],[1]!Data_CF[Index CF],'Khanh Nga'!$B174,[1]!Data_CF[TenCongTyID],'Khanh Nga'!$B$1,[1]!Data_CF[Thang.Nam],'Khanh Nga'!AA$155)</f>
        <v>0</v>
      </c>
      <c r="AB174" s="311">
        <f>SUMIFS([1]!Data_CF[Value],[1]!Data_CF[Index CF],'Khanh Nga'!$B174,[1]!Data_CF[TenCongTyID],'Khanh Nga'!$B$1,[1]!Data_CF[Thang.Nam],'Khanh Nga'!AB$155)</f>
        <v>0</v>
      </c>
      <c r="AC174" s="311">
        <f>SUMIFS([1]!Data_CF[Value],[1]!Data_CF[Index CF],'Khanh Nga'!$B174,[1]!Data_CF[TenCongTyID],'Khanh Nga'!$B$1,[1]!Data_CF[Thang.Nam],'Khanh Nga'!AC$155)</f>
        <v>0</v>
      </c>
      <c r="AD174" s="311">
        <f>SUMIFS([1]!Data_CF[Value],[1]!Data_CF[Index CF],'Khanh Nga'!$B174,[1]!Data_CF[TenCongTyID],'Khanh Nga'!$B$1,[1]!Data_CF[Thang.Nam],'Khanh Nga'!AD$155)</f>
        <v>0</v>
      </c>
      <c r="AE174" s="311">
        <f>SUMIFS([1]!Data_CF[Value],[1]!Data_CF[Index CF],'Khanh Nga'!$B174,[1]!Data_CF[TenCongTyID],'Khanh Nga'!$B$1,[1]!Data_CF[Thang.Nam],'Khanh Nga'!AE$155)</f>
        <v>0</v>
      </c>
      <c r="AF174" s="311">
        <f>SUMIFS([1]!Data_CF[Value],[1]!Data_CF[Index CF],'Khanh Nga'!$B174,[1]!Data_CF[TenCongTyID],'Khanh Nga'!$B$1,[1]!Data_CF[Thang.Nam],'Khanh Nga'!AF$155)</f>
        <v>0</v>
      </c>
      <c r="AG174" s="311">
        <f>SUMIFS([1]!Data_CF[Value],[1]!Data_CF[Index CF],'Khanh Nga'!$B174,[1]!Data_CF[TenCongTyID],'Khanh Nga'!$B$1,[1]!Data_CF[Thang.Nam],'Khanh Nga'!AG$155)</f>
        <v>0</v>
      </c>
      <c r="AH174" s="311">
        <f>SUMIFS([1]!Data_CF[Value],[1]!Data_CF[Index CF],'Khanh Nga'!$B174,[1]!Data_CF[TenCongTyID],'Khanh Nga'!$B$1,[1]!Data_CF[Thang.Nam],'Khanh Nga'!AH$155)</f>
        <v>0</v>
      </c>
      <c r="AI174" s="311">
        <f>SUMIFS([1]!Data_CF[Value],[1]!Data_CF[Index CF],'Khanh Nga'!$B174,[1]!Data_CF[TenCongTyID],'Khanh Nga'!$B$1,[1]!Data_CF[Thang.Nam],'Khanh Nga'!AI$155)</f>
        <v>0</v>
      </c>
      <c r="AJ174" s="311">
        <f>SUMIFS([1]!Data_CF[Value],[1]!Data_CF[Index CF],'Khanh Nga'!$B174,[1]!Data_CF[TenCongTyID],'Khanh Nga'!$B$1,[1]!Data_CF[Thang.Nam],'Khanh Nga'!AJ$155)</f>
        <v>0</v>
      </c>
      <c r="AK174" s="311">
        <f>SUMIFS([1]!Data_CF[Value],[1]!Data_CF[Index CF],'Khanh Nga'!$B174,[1]!Data_CF[TenCongTyID],'Khanh Nga'!$B$1,[1]!Data_CF[Thang.Nam],'Khanh Nga'!AK$155)</f>
        <v>0</v>
      </c>
      <c r="AL174" s="311">
        <f>SUMIFS([1]!Data_CF[Value],[1]!Data_CF[Index CF],'Khanh Nga'!$B174,[1]!Data_CF[TenCongTyID],'Khanh Nga'!$B$1,[1]!Data_CF[Thang.Nam],'Khanh Nga'!AL$155)</f>
        <v>0</v>
      </c>
    </row>
    <row r="175" spans="1:38" ht="15" customHeight="1">
      <c r="A175" s="162" t="s">
        <v>261</v>
      </c>
      <c r="B175" s="146">
        <v>20</v>
      </c>
      <c r="C175" s="312">
        <v>442151503.99999928</v>
      </c>
      <c r="D175" s="312">
        <v>-1164918652</v>
      </c>
      <c r="E175" s="312">
        <v>3105480606.0000005</v>
      </c>
      <c r="F175" s="312">
        <v>-68182030.000000477</v>
      </c>
      <c r="G175" s="312">
        <v>-1595534481.0000002</v>
      </c>
      <c r="H175" s="312">
        <v>1050052503</v>
      </c>
      <c r="I175" s="312">
        <v>1318534132</v>
      </c>
      <c r="J175" s="312">
        <v>1480785841</v>
      </c>
      <c r="K175" s="312">
        <v>-1702134798</v>
      </c>
      <c r="L175" s="312">
        <v>2316128191</v>
      </c>
      <c r="M175" s="312">
        <v>-268177936</v>
      </c>
      <c r="N175" s="343">
        <f>SUM(N165:N174)</f>
        <v>-274400146.99999976</v>
      </c>
      <c r="O175" s="343">
        <v>-2342130805.9998999</v>
      </c>
      <c r="P175" s="343">
        <v>-1196115790.0001006</v>
      </c>
      <c r="Q175" s="343">
        <v>1989877367.000001</v>
      </c>
      <c r="R175" s="343">
        <v>423389729.99999952</v>
      </c>
      <c r="S175" s="343">
        <v>-720832587</v>
      </c>
      <c r="T175" s="343">
        <v>1789778758</v>
      </c>
      <c r="U175" s="343">
        <v>2125314572.0000997</v>
      </c>
      <c r="V175" s="343">
        <v>3029944593</v>
      </c>
      <c r="W175" s="343">
        <f>+SUM(W165:W174)</f>
        <v>-385594267.00009942</v>
      </c>
      <c r="X175" s="343">
        <v>93589303</v>
      </c>
      <c r="Y175" s="343">
        <v>181892207</v>
      </c>
      <c r="Z175" s="343">
        <v>-251583630</v>
      </c>
      <c r="AA175" s="344">
        <f>SUMIFS([1]!Data_CF[Value],[1]!Data_CF[Index CF],'Khanh Nga'!$B175,[1]!Data_CF[TenCongTyID],'Khanh Nga'!$B$1,[1]!Data_CF[Thang.Nam],'Khanh Nga'!AA$155)</f>
        <v>0</v>
      </c>
      <c r="AB175" s="344">
        <f>SUMIFS([1]!Data_CF[Value],[1]!Data_CF[Index CF],'Khanh Nga'!$B175,[1]!Data_CF[TenCongTyID],'Khanh Nga'!$B$1,[1]!Data_CF[Thang.Nam],'Khanh Nga'!AB$155)</f>
        <v>0</v>
      </c>
      <c r="AC175" s="344">
        <f>SUMIFS([1]!Data_CF[Value],[1]!Data_CF[Index CF],'Khanh Nga'!$B175,[1]!Data_CF[TenCongTyID],'Khanh Nga'!$B$1,[1]!Data_CF[Thang.Nam],'Khanh Nga'!AC$155)</f>
        <v>0</v>
      </c>
      <c r="AD175" s="344">
        <f>SUMIFS([1]!Data_CF[Value],[1]!Data_CF[Index CF],'Khanh Nga'!$B175,[1]!Data_CF[TenCongTyID],'Khanh Nga'!$B$1,[1]!Data_CF[Thang.Nam],'Khanh Nga'!AD$155)</f>
        <v>0</v>
      </c>
      <c r="AE175" s="344">
        <f>SUMIFS([1]!Data_CF[Value],[1]!Data_CF[Index CF],'Khanh Nga'!$B175,[1]!Data_CF[TenCongTyID],'Khanh Nga'!$B$1,[1]!Data_CF[Thang.Nam],'Khanh Nga'!AE$155)</f>
        <v>0</v>
      </c>
      <c r="AF175" s="344">
        <f>SUMIFS([1]!Data_CF[Value],[1]!Data_CF[Index CF],'Khanh Nga'!$B175,[1]!Data_CF[TenCongTyID],'Khanh Nga'!$B$1,[1]!Data_CF[Thang.Nam],'Khanh Nga'!AF$155)</f>
        <v>0</v>
      </c>
      <c r="AG175" s="344">
        <f>SUMIFS([1]!Data_CF[Value],[1]!Data_CF[Index CF],'Khanh Nga'!$B175,[1]!Data_CF[TenCongTyID],'Khanh Nga'!$B$1,[1]!Data_CF[Thang.Nam],'Khanh Nga'!AG$155)</f>
        <v>0</v>
      </c>
      <c r="AH175" s="344">
        <f>SUMIFS([1]!Data_CF[Value],[1]!Data_CF[Index CF],'Khanh Nga'!$B175,[1]!Data_CF[TenCongTyID],'Khanh Nga'!$B$1,[1]!Data_CF[Thang.Nam],'Khanh Nga'!AH$155)</f>
        <v>0</v>
      </c>
      <c r="AI175" s="344">
        <f>SUMIFS([1]!Data_CF[Value],[1]!Data_CF[Index CF],'Khanh Nga'!$B175,[1]!Data_CF[TenCongTyID],'Khanh Nga'!$B$1,[1]!Data_CF[Thang.Nam],'Khanh Nga'!AI$155)</f>
        <v>0</v>
      </c>
      <c r="AJ175" s="344">
        <f>SUMIFS([1]!Data_CF[Value],[1]!Data_CF[Index CF],'Khanh Nga'!$B175,[1]!Data_CF[TenCongTyID],'Khanh Nga'!$B$1,[1]!Data_CF[Thang.Nam],'Khanh Nga'!AJ$155)</f>
        <v>0</v>
      </c>
      <c r="AK175" s="344">
        <f>SUMIFS([1]!Data_CF[Value],[1]!Data_CF[Index CF],'Khanh Nga'!$B175,[1]!Data_CF[TenCongTyID],'Khanh Nga'!$B$1,[1]!Data_CF[Thang.Nam],'Khanh Nga'!AK$155)</f>
        <v>0</v>
      </c>
      <c r="AL175" s="344">
        <f>SUMIFS([1]!Data_CF[Value],[1]!Data_CF[Index CF],'Khanh Nga'!$B175,[1]!Data_CF[TenCongTyID],'Khanh Nga'!$B$1,[1]!Data_CF[Thang.Nam],'Khanh Nga'!AL$155)</f>
        <v>0</v>
      </c>
    </row>
    <row r="176" spans="1:38" ht="15" customHeight="1">
      <c r="A176" s="145" t="s">
        <v>262</v>
      </c>
      <c r="B176" s="146">
        <v>21</v>
      </c>
      <c r="C176" s="314"/>
      <c r="D176" s="314">
        <v>0</v>
      </c>
      <c r="E176" s="314">
        <v>0</v>
      </c>
      <c r="F176" s="314">
        <v>0</v>
      </c>
      <c r="G176" s="314"/>
      <c r="H176" s="314">
        <v>0</v>
      </c>
      <c r="I176" s="314">
        <v>0</v>
      </c>
      <c r="J176" s="314">
        <v>0</v>
      </c>
      <c r="K176" s="314"/>
      <c r="L176" s="314"/>
      <c r="M176" s="314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>
        <v>64017</v>
      </c>
      <c r="Y176" s="315"/>
      <c r="Z176" s="315">
        <v>0</v>
      </c>
      <c r="AA176" s="316">
        <f>SUMIFS([1]!Data_CF[Value],[1]!Data_CF[Index CF],'Khanh Nga'!$B176,[1]!Data_CF[TenCongTyID],'Khanh Nga'!$B$1,[1]!Data_CF[Thang.Nam],'Khanh Nga'!AA$155)</f>
        <v>0</v>
      </c>
      <c r="AB176" s="316">
        <f>SUMIFS([1]!Data_CF[Value],[1]!Data_CF[Index CF],'Khanh Nga'!$B176,[1]!Data_CF[TenCongTyID],'Khanh Nga'!$B$1,[1]!Data_CF[Thang.Nam],'Khanh Nga'!AB$155)</f>
        <v>0</v>
      </c>
      <c r="AC176" s="316">
        <f>SUMIFS([1]!Data_CF[Value],[1]!Data_CF[Index CF],'Khanh Nga'!$B176,[1]!Data_CF[TenCongTyID],'Khanh Nga'!$B$1,[1]!Data_CF[Thang.Nam],'Khanh Nga'!AC$155)</f>
        <v>0</v>
      </c>
      <c r="AD176" s="316">
        <f>SUMIFS([1]!Data_CF[Value],[1]!Data_CF[Index CF],'Khanh Nga'!$B176,[1]!Data_CF[TenCongTyID],'Khanh Nga'!$B$1,[1]!Data_CF[Thang.Nam],'Khanh Nga'!AD$155)</f>
        <v>0</v>
      </c>
      <c r="AE176" s="316">
        <f>SUMIFS([1]!Data_CF[Value],[1]!Data_CF[Index CF],'Khanh Nga'!$B176,[1]!Data_CF[TenCongTyID],'Khanh Nga'!$B$1,[1]!Data_CF[Thang.Nam],'Khanh Nga'!AE$155)</f>
        <v>0</v>
      </c>
      <c r="AF176" s="316">
        <f>SUMIFS([1]!Data_CF[Value],[1]!Data_CF[Index CF],'Khanh Nga'!$B176,[1]!Data_CF[TenCongTyID],'Khanh Nga'!$B$1,[1]!Data_CF[Thang.Nam],'Khanh Nga'!AF$155)</f>
        <v>0</v>
      </c>
      <c r="AG176" s="316">
        <f>SUMIFS([1]!Data_CF[Value],[1]!Data_CF[Index CF],'Khanh Nga'!$B176,[1]!Data_CF[TenCongTyID],'Khanh Nga'!$B$1,[1]!Data_CF[Thang.Nam],'Khanh Nga'!AG$155)</f>
        <v>0</v>
      </c>
      <c r="AH176" s="316">
        <f>SUMIFS([1]!Data_CF[Value],[1]!Data_CF[Index CF],'Khanh Nga'!$B176,[1]!Data_CF[TenCongTyID],'Khanh Nga'!$B$1,[1]!Data_CF[Thang.Nam],'Khanh Nga'!AH$155)</f>
        <v>0</v>
      </c>
      <c r="AI176" s="316">
        <f>SUMIFS([1]!Data_CF[Value],[1]!Data_CF[Index CF],'Khanh Nga'!$B176,[1]!Data_CF[TenCongTyID],'Khanh Nga'!$B$1,[1]!Data_CF[Thang.Nam],'Khanh Nga'!AI$155)</f>
        <v>0</v>
      </c>
      <c r="AJ176" s="316">
        <f>SUMIFS([1]!Data_CF[Value],[1]!Data_CF[Index CF],'Khanh Nga'!$B176,[1]!Data_CF[TenCongTyID],'Khanh Nga'!$B$1,[1]!Data_CF[Thang.Nam],'Khanh Nga'!AJ$155)</f>
        <v>0</v>
      </c>
      <c r="AK176" s="316">
        <f>SUMIFS([1]!Data_CF[Value],[1]!Data_CF[Index CF],'Khanh Nga'!$B176,[1]!Data_CF[TenCongTyID],'Khanh Nga'!$B$1,[1]!Data_CF[Thang.Nam],'Khanh Nga'!AK$155)</f>
        <v>0</v>
      </c>
      <c r="AL176" s="316">
        <f>SUMIFS([1]!Data_CF[Value],[1]!Data_CF[Index CF],'Khanh Nga'!$B176,[1]!Data_CF[TenCongTyID],'Khanh Nga'!$B$1,[1]!Data_CF[Thang.Nam],'Khanh Nga'!AL$155)</f>
        <v>0</v>
      </c>
    </row>
    <row r="177" spans="1:38" ht="14">
      <c r="A177" s="164" t="s">
        <v>263</v>
      </c>
      <c r="B177" s="165">
        <v>22</v>
      </c>
      <c r="C177" s="299"/>
      <c r="D177" s="299"/>
      <c r="E177" s="299"/>
      <c r="F177" s="299"/>
      <c r="G177" s="299">
        <v>-82000000</v>
      </c>
      <c r="H177" s="299"/>
      <c r="I177" s="299"/>
      <c r="J177" s="299"/>
      <c r="K177" s="299"/>
      <c r="L177" s="299"/>
      <c r="M177" s="299">
        <v>-872317883.99658012</v>
      </c>
      <c r="N177" s="299">
        <v>200943696.00341797</v>
      </c>
      <c r="O177" s="299">
        <v>-578095672</v>
      </c>
      <c r="P177" s="299">
        <v>0</v>
      </c>
      <c r="Q177" s="299">
        <v>0</v>
      </c>
      <c r="R177" s="299">
        <v>-773000000</v>
      </c>
      <c r="S177" s="299">
        <v>77500000</v>
      </c>
      <c r="T177" s="299">
        <v>-509500000</v>
      </c>
      <c r="U177" s="299">
        <v>0</v>
      </c>
      <c r="V177" s="299">
        <v>-244000000</v>
      </c>
      <c r="W177" s="299"/>
      <c r="X177" s="299">
        <v>0</v>
      </c>
      <c r="Y177" s="299">
        <v>0</v>
      </c>
      <c r="Z177" s="299">
        <v>0</v>
      </c>
      <c r="AA177" s="305">
        <f>SUMIFS([1]!Data_CF[Value],[1]!Data_CF[Index CF],'Khanh Nga'!$B177,[1]!Data_CF[TenCongTyID],'Khanh Nga'!$B$1,[1]!Data_CF[Thang.Nam],'Khanh Nga'!AA$155)</f>
        <v>0</v>
      </c>
      <c r="AB177" s="305">
        <f>SUMIFS([1]!Data_CF[Value],[1]!Data_CF[Index CF],'Khanh Nga'!$B177,[1]!Data_CF[TenCongTyID],'Khanh Nga'!$B$1,[1]!Data_CF[Thang.Nam],'Khanh Nga'!AB$155)</f>
        <v>0</v>
      </c>
      <c r="AC177" s="305">
        <f>SUMIFS([1]!Data_CF[Value],[1]!Data_CF[Index CF],'Khanh Nga'!$B177,[1]!Data_CF[TenCongTyID],'Khanh Nga'!$B$1,[1]!Data_CF[Thang.Nam],'Khanh Nga'!AC$155)</f>
        <v>0</v>
      </c>
      <c r="AD177" s="305">
        <f>SUMIFS([1]!Data_CF[Value],[1]!Data_CF[Index CF],'Khanh Nga'!$B177,[1]!Data_CF[TenCongTyID],'Khanh Nga'!$B$1,[1]!Data_CF[Thang.Nam],'Khanh Nga'!AD$155)</f>
        <v>0</v>
      </c>
      <c r="AE177" s="305">
        <f>SUMIFS([1]!Data_CF[Value],[1]!Data_CF[Index CF],'Khanh Nga'!$B177,[1]!Data_CF[TenCongTyID],'Khanh Nga'!$B$1,[1]!Data_CF[Thang.Nam],'Khanh Nga'!AE$155)</f>
        <v>0</v>
      </c>
      <c r="AF177" s="305">
        <f>SUMIFS([1]!Data_CF[Value],[1]!Data_CF[Index CF],'Khanh Nga'!$B177,[1]!Data_CF[TenCongTyID],'Khanh Nga'!$B$1,[1]!Data_CF[Thang.Nam],'Khanh Nga'!AF$155)</f>
        <v>0</v>
      </c>
      <c r="AG177" s="305">
        <f>SUMIFS([1]!Data_CF[Value],[1]!Data_CF[Index CF],'Khanh Nga'!$B177,[1]!Data_CF[TenCongTyID],'Khanh Nga'!$B$1,[1]!Data_CF[Thang.Nam],'Khanh Nga'!AG$155)</f>
        <v>0</v>
      </c>
      <c r="AH177" s="305">
        <f>SUMIFS([1]!Data_CF[Value],[1]!Data_CF[Index CF],'Khanh Nga'!$B177,[1]!Data_CF[TenCongTyID],'Khanh Nga'!$B$1,[1]!Data_CF[Thang.Nam],'Khanh Nga'!AH$155)</f>
        <v>0</v>
      </c>
      <c r="AI177" s="305">
        <f>SUMIFS([1]!Data_CF[Value],[1]!Data_CF[Index CF],'Khanh Nga'!$B177,[1]!Data_CF[TenCongTyID],'Khanh Nga'!$B$1,[1]!Data_CF[Thang.Nam],'Khanh Nga'!AI$155)</f>
        <v>0</v>
      </c>
      <c r="AJ177" s="305">
        <f>SUMIFS([1]!Data_CF[Value],[1]!Data_CF[Index CF],'Khanh Nga'!$B177,[1]!Data_CF[TenCongTyID],'Khanh Nga'!$B$1,[1]!Data_CF[Thang.Nam],'Khanh Nga'!AJ$155)</f>
        <v>0</v>
      </c>
      <c r="AK177" s="305">
        <f>SUMIFS([1]!Data_CF[Value],[1]!Data_CF[Index CF],'Khanh Nga'!$B177,[1]!Data_CF[TenCongTyID],'Khanh Nga'!$B$1,[1]!Data_CF[Thang.Nam],'Khanh Nga'!AK$155)</f>
        <v>0</v>
      </c>
      <c r="AL177" s="305">
        <f>SUMIFS([1]!Data_CF[Value],[1]!Data_CF[Index CF],'Khanh Nga'!$B177,[1]!Data_CF[TenCongTyID],'Khanh Nga'!$B$1,[1]!Data_CF[Thang.Nam],'Khanh Nga'!AL$155)</f>
        <v>0</v>
      </c>
    </row>
    <row r="178" spans="1:38" ht="14">
      <c r="A178" s="164" t="s">
        <v>264</v>
      </c>
      <c r="B178" s="165">
        <v>23</v>
      </c>
      <c r="C178" s="317"/>
      <c r="D178" s="317"/>
      <c r="E178" s="317"/>
      <c r="F178" s="317"/>
      <c r="G178" s="317"/>
      <c r="H178" s="317"/>
      <c r="I178" s="317"/>
      <c r="J178" s="317"/>
      <c r="K178" s="317"/>
      <c r="L178" s="317"/>
      <c r="M178" s="317"/>
      <c r="N178" s="302"/>
      <c r="O178" s="302"/>
      <c r="P178" s="302"/>
      <c r="Q178" s="302"/>
      <c r="R178" s="302"/>
      <c r="S178" s="302"/>
      <c r="T178" s="302"/>
      <c r="U178" s="302">
        <v>0</v>
      </c>
      <c r="V178" s="302">
        <v>0</v>
      </c>
      <c r="W178" s="302"/>
      <c r="X178" s="302">
        <v>0</v>
      </c>
      <c r="Y178" s="302">
        <v>0</v>
      </c>
      <c r="Z178" s="302">
        <v>0</v>
      </c>
      <c r="AA178" s="303">
        <f>SUMIFS([1]!Data_CF[Value],[1]!Data_CF[Index CF],'Khanh Nga'!$B178,[1]!Data_CF[TenCongTyID],'Khanh Nga'!$B$1,[1]!Data_CF[Thang.Nam],'Khanh Nga'!AA$155)</f>
        <v>0</v>
      </c>
      <c r="AB178" s="303">
        <f>SUMIFS([1]!Data_CF[Value],[1]!Data_CF[Index CF],'Khanh Nga'!$B178,[1]!Data_CF[TenCongTyID],'Khanh Nga'!$B$1,[1]!Data_CF[Thang.Nam],'Khanh Nga'!AB$155)</f>
        <v>0</v>
      </c>
      <c r="AC178" s="303">
        <f>SUMIFS([1]!Data_CF[Value],[1]!Data_CF[Index CF],'Khanh Nga'!$B178,[1]!Data_CF[TenCongTyID],'Khanh Nga'!$B$1,[1]!Data_CF[Thang.Nam],'Khanh Nga'!AC$155)</f>
        <v>0</v>
      </c>
      <c r="AD178" s="303">
        <f>SUMIFS([1]!Data_CF[Value],[1]!Data_CF[Index CF],'Khanh Nga'!$B178,[1]!Data_CF[TenCongTyID],'Khanh Nga'!$B$1,[1]!Data_CF[Thang.Nam],'Khanh Nga'!AD$155)</f>
        <v>0</v>
      </c>
      <c r="AE178" s="303">
        <f>SUMIFS([1]!Data_CF[Value],[1]!Data_CF[Index CF],'Khanh Nga'!$B178,[1]!Data_CF[TenCongTyID],'Khanh Nga'!$B$1,[1]!Data_CF[Thang.Nam],'Khanh Nga'!AE$155)</f>
        <v>0</v>
      </c>
      <c r="AF178" s="303">
        <f>SUMIFS([1]!Data_CF[Value],[1]!Data_CF[Index CF],'Khanh Nga'!$B178,[1]!Data_CF[TenCongTyID],'Khanh Nga'!$B$1,[1]!Data_CF[Thang.Nam],'Khanh Nga'!AF$155)</f>
        <v>0</v>
      </c>
      <c r="AG178" s="303">
        <f>SUMIFS([1]!Data_CF[Value],[1]!Data_CF[Index CF],'Khanh Nga'!$B178,[1]!Data_CF[TenCongTyID],'Khanh Nga'!$B$1,[1]!Data_CF[Thang.Nam],'Khanh Nga'!AG$155)</f>
        <v>0</v>
      </c>
      <c r="AH178" s="303">
        <f>SUMIFS([1]!Data_CF[Value],[1]!Data_CF[Index CF],'Khanh Nga'!$B178,[1]!Data_CF[TenCongTyID],'Khanh Nga'!$B$1,[1]!Data_CF[Thang.Nam],'Khanh Nga'!AH$155)</f>
        <v>0</v>
      </c>
      <c r="AI178" s="303">
        <f>SUMIFS([1]!Data_CF[Value],[1]!Data_CF[Index CF],'Khanh Nga'!$B178,[1]!Data_CF[TenCongTyID],'Khanh Nga'!$B$1,[1]!Data_CF[Thang.Nam],'Khanh Nga'!AI$155)</f>
        <v>0</v>
      </c>
      <c r="AJ178" s="303">
        <f>SUMIFS([1]!Data_CF[Value],[1]!Data_CF[Index CF],'Khanh Nga'!$B178,[1]!Data_CF[TenCongTyID],'Khanh Nga'!$B$1,[1]!Data_CF[Thang.Nam],'Khanh Nga'!AJ$155)</f>
        <v>0</v>
      </c>
      <c r="AK178" s="303">
        <f>SUMIFS([1]!Data_CF[Value],[1]!Data_CF[Index CF],'Khanh Nga'!$B178,[1]!Data_CF[TenCongTyID],'Khanh Nga'!$B$1,[1]!Data_CF[Thang.Nam],'Khanh Nga'!AK$155)</f>
        <v>0</v>
      </c>
      <c r="AL178" s="303">
        <f>SUMIFS([1]!Data_CF[Value],[1]!Data_CF[Index CF],'Khanh Nga'!$B178,[1]!Data_CF[TenCongTyID],'Khanh Nga'!$B$1,[1]!Data_CF[Thang.Nam],'Khanh Nga'!AL$155)</f>
        <v>0</v>
      </c>
    </row>
    <row r="179" spans="1:38" ht="14">
      <c r="A179" s="164" t="s">
        <v>265</v>
      </c>
      <c r="B179" s="165">
        <v>24</v>
      </c>
      <c r="C179" s="318"/>
      <c r="D179" s="318"/>
      <c r="E179" s="318"/>
      <c r="F179" s="318"/>
      <c r="G179" s="318"/>
      <c r="H179" s="318"/>
      <c r="I179" s="318"/>
      <c r="J179" s="318"/>
      <c r="K179" s="318"/>
      <c r="L179" s="318"/>
      <c r="M179" s="318"/>
      <c r="N179" s="318"/>
      <c r="O179" s="318">
        <v>-2000000000</v>
      </c>
      <c r="P179" s="318">
        <v>2000000000</v>
      </c>
      <c r="Q179" s="318">
        <v>0</v>
      </c>
      <c r="R179" s="318">
        <v>0</v>
      </c>
      <c r="S179" s="318">
        <v>0</v>
      </c>
      <c r="T179" s="318">
        <v>0</v>
      </c>
      <c r="U179" s="318">
        <v>0</v>
      </c>
      <c r="V179" s="318">
        <v>0</v>
      </c>
      <c r="W179" s="318"/>
      <c r="X179" s="318">
        <v>0</v>
      </c>
      <c r="Y179" s="318">
        <v>0</v>
      </c>
      <c r="Z179" s="318">
        <v>-6000000000</v>
      </c>
      <c r="AA179" s="310">
        <f>SUMIFS([1]!Data_CF[Value],[1]!Data_CF[Index CF],'Khanh Nga'!$B179,[1]!Data_CF[TenCongTyID],'Khanh Nga'!$B$1,[1]!Data_CF[Thang.Nam],'Khanh Nga'!AA$155)</f>
        <v>0</v>
      </c>
      <c r="AB179" s="310">
        <f>SUMIFS([1]!Data_CF[Value],[1]!Data_CF[Index CF],'Khanh Nga'!$B179,[1]!Data_CF[TenCongTyID],'Khanh Nga'!$B$1,[1]!Data_CF[Thang.Nam],'Khanh Nga'!AB$155)</f>
        <v>0</v>
      </c>
      <c r="AC179" s="310">
        <f>SUMIFS([1]!Data_CF[Value],[1]!Data_CF[Index CF],'Khanh Nga'!$B179,[1]!Data_CF[TenCongTyID],'Khanh Nga'!$B$1,[1]!Data_CF[Thang.Nam],'Khanh Nga'!AC$155)</f>
        <v>0</v>
      </c>
      <c r="AD179" s="310">
        <f>SUMIFS([1]!Data_CF[Value],[1]!Data_CF[Index CF],'Khanh Nga'!$B179,[1]!Data_CF[TenCongTyID],'Khanh Nga'!$B$1,[1]!Data_CF[Thang.Nam],'Khanh Nga'!AD$155)</f>
        <v>0</v>
      </c>
      <c r="AE179" s="310">
        <f>SUMIFS([1]!Data_CF[Value],[1]!Data_CF[Index CF],'Khanh Nga'!$B179,[1]!Data_CF[TenCongTyID],'Khanh Nga'!$B$1,[1]!Data_CF[Thang.Nam],'Khanh Nga'!AE$155)</f>
        <v>0</v>
      </c>
      <c r="AF179" s="310">
        <f>SUMIFS([1]!Data_CF[Value],[1]!Data_CF[Index CF],'Khanh Nga'!$B179,[1]!Data_CF[TenCongTyID],'Khanh Nga'!$B$1,[1]!Data_CF[Thang.Nam],'Khanh Nga'!AF$155)</f>
        <v>0</v>
      </c>
      <c r="AG179" s="310">
        <f>SUMIFS([1]!Data_CF[Value],[1]!Data_CF[Index CF],'Khanh Nga'!$B179,[1]!Data_CF[TenCongTyID],'Khanh Nga'!$B$1,[1]!Data_CF[Thang.Nam],'Khanh Nga'!AG$155)</f>
        <v>0</v>
      </c>
      <c r="AH179" s="310">
        <f>SUMIFS([1]!Data_CF[Value],[1]!Data_CF[Index CF],'Khanh Nga'!$B179,[1]!Data_CF[TenCongTyID],'Khanh Nga'!$B$1,[1]!Data_CF[Thang.Nam],'Khanh Nga'!AH$155)</f>
        <v>0</v>
      </c>
      <c r="AI179" s="310">
        <f>SUMIFS([1]!Data_CF[Value],[1]!Data_CF[Index CF],'Khanh Nga'!$B179,[1]!Data_CF[TenCongTyID],'Khanh Nga'!$B$1,[1]!Data_CF[Thang.Nam],'Khanh Nga'!AI$155)</f>
        <v>0</v>
      </c>
      <c r="AJ179" s="310">
        <f>SUMIFS([1]!Data_CF[Value],[1]!Data_CF[Index CF],'Khanh Nga'!$B179,[1]!Data_CF[TenCongTyID],'Khanh Nga'!$B$1,[1]!Data_CF[Thang.Nam],'Khanh Nga'!AJ$155)</f>
        <v>0</v>
      </c>
      <c r="AK179" s="310">
        <f>SUMIFS([1]!Data_CF[Value],[1]!Data_CF[Index CF],'Khanh Nga'!$B179,[1]!Data_CF[TenCongTyID],'Khanh Nga'!$B$1,[1]!Data_CF[Thang.Nam],'Khanh Nga'!AK$155)</f>
        <v>0</v>
      </c>
      <c r="AL179" s="310">
        <f>SUMIFS([1]!Data_CF[Value],[1]!Data_CF[Index CF],'Khanh Nga'!$B179,[1]!Data_CF[TenCongTyID],'Khanh Nga'!$B$1,[1]!Data_CF[Thang.Nam],'Khanh Nga'!AL$155)</f>
        <v>0</v>
      </c>
    </row>
    <row r="180" spans="1:38" ht="14">
      <c r="A180" s="164" t="s">
        <v>266</v>
      </c>
      <c r="B180" s="165">
        <v>25</v>
      </c>
      <c r="C180" s="317"/>
      <c r="D180" s="317"/>
      <c r="E180" s="317"/>
      <c r="F180" s="317"/>
      <c r="G180" s="317"/>
      <c r="H180" s="317"/>
      <c r="I180" s="317"/>
      <c r="J180" s="317"/>
      <c r="K180" s="317"/>
      <c r="L180" s="317"/>
      <c r="M180" s="317"/>
      <c r="N180" s="302"/>
      <c r="O180" s="302"/>
      <c r="P180" s="302"/>
      <c r="Q180" s="302"/>
      <c r="R180" s="302"/>
      <c r="S180" s="302"/>
      <c r="T180" s="302"/>
      <c r="U180" s="302">
        <v>0</v>
      </c>
      <c r="V180" s="302">
        <v>0</v>
      </c>
      <c r="W180" s="302"/>
      <c r="X180" s="302">
        <v>0</v>
      </c>
      <c r="Y180" s="302">
        <v>0</v>
      </c>
      <c r="Z180" s="302">
        <v>0</v>
      </c>
      <c r="AA180" s="303">
        <f>SUMIFS([1]!Data_CF[Value],[1]!Data_CF[Index CF],'Khanh Nga'!$B180,[1]!Data_CF[TenCongTyID],'Khanh Nga'!$B$1,[1]!Data_CF[Thang.Nam],'Khanh Nga'!AA$155)</f>
        <v>0</v>
      </c>
      <c r="AB180" s="303">
        <f>SUMIFS([1]!Data_CF[Value],[1]!Data_CF[Index CF],'Khanh Nga'!$B180,[1]!Data_CF[TenCongTyID],'Khanh Nga'!$B$1,[1]!Data_CF[Thang.Nam],'Khanh Nga'!AB$155)</f>
        <v>0</v>
      </c>
      <c r="AC180" s="303">
        <f>SUMIFS([1]!Data_CF[Value],[1]!Data_CF[Index CF],'Khanh Nga'!$B180,[1]!Data_CF[TenCongTyID],'Khanh Nga'!$B$1,[1]!Data_CF[Thang.Nam],'Khanh Nga'!AC$155)</f>
        <v>0</v>
      </c>
      <c r="AD180" s="303">
        <f>SUMIFS([1]!Data_CF[Value],[1]!Data_CF[Index CF],'Khanh Nga'!$B180,[1]!Data_CF[TenCongTyID],'Khanh Nga'!$B$1,[1]!Data_CF[Thang.Nam],'Khanh Nga'!AD$155)</f>
        <v>0</v>
      </c>
      <c r="AE180" s="303">
        <f>SUMIFS([1]!Data_CF[Value],[1]!Data_CF[Index CF],'Khanh Nga'!$B180,[1]!Data_CF[TenCongTyID],'Khanh Nga'!$B$1,[1]!Data_CF[Thang.Nam],'Khanh Nga'!AE$155)</f>
        <v>0</v>
      </c>
      <c r="AF180" s="303">
        <f>SUMIFS([1]!Data_CF[Value],[1]!Data_CF[Index CF],'Khanh Nga'!$B180,[1]!Data_CF[TenCongTyID],'Khanh Nga'!$B$1,[1]!Data_CF[Thang.Nam],'Khanh Nga'!AF$155)</f>
        <v>0</v>
      </c>
      <c r="AG180" s="303">
        <f>SUMIFS([1]!Data_CF[Value],[1]!Data_CF[Index CF],'Khanh Nga'!$B180,[1]!Data_CF[TenCongTyID],'Khanh Nga'!$B$1,[1]!Data_CF[Thang.Nam],'Khanh Nga'!AG$155)</f>
        <v>0</v>
      </c>
      <c r="AH180" s="303">
        <f>SUMIFS([1]!Data_CF[Value],[1]!Data_CF[Index CF],'Khanh Nga'!$B180,[1]!Data_CF[TenCongTyID],'Khanh Nga'!$B$1,[1]!Data_CF[Thang.Nam],'Khanh Nga'!AH$155)</f>
        <v>0</v>
      </c>
      <c r="AI180" s="303">
        <f>SUMIFS([1]!Data_CF[Value],[1]!Data_CF[Index CF],'Khanh Nga'!$B180,[1]!Data_CF[TenCongTyID],'Khanh Nga'!$B$1,[1]!Data_CF[Thang.Nam],'Khanh Nga'!AI$155)</f>
        <v>0</v>
      </c>
      <c r="AJ180" s="303">
        <f>SUMIFS([1]!Data_CF[Value],[1]!Data_CF[Index CF],'Khanh Nga'!$B180,[1]!Data_CF[TenCongTyID],'Khanh Nga'!$B$1,[1]!Data_CF[Thang.Nam],'Khanh Nga'!AJ$155)</f>
        <v>0</v>
      </c>
      <c r="AK180" s="303">
        <f>SUMIFS([1]!Data_CF[Value],[1]!Data_CF[Index CF],'Khanh Nga'!$B180,[1]!Data_CF[TenCongTyID],'Khanh Nga'!$B$1,[1]!Data_CF[Thang.Nam],'Khanh Nga'!AK$155)</f>
        <v>0</v>
      </c>
      <c r="AL180" s="303">
        <f>SUMIFS([1]!Data_CF[Value],[1]!Data_CF[Index CF],'Khanh Nga'!$B180,[1]!Data_CF[TenCongTyID],'Khanh Nga'!$B$1,[1]!Data_CF[Thang.Nam],'Khanh Nga'!AL$155)</f>
        <v>0</v>
      </c>
    </row>
    <row r="181" spans="1:38" ht="15" customHeight="1">
      <c r="A181" s="164" t="s">
        <v>267</v>
      </c>
      <c r="B181" s="165">
        <v>26</v>
      </c>
      <c r="C181" s="299"/>
      <c r="D181" s="299">
        <v>0</v>
      </c>
      <c r="E181" s="299">
        <v>0</v>
      </c>
      <c r="F181" s="299">
        <v>0</v>
      </c>
      <c r="G181" s="299">
        <v>0</v>
      </c>
      <c r="H181" s="299"/>
      <c r="I181" s="299"/>
      <c r="J181" s="299"/>
      <c r="K181" s="299">
        <v>0</v>
      </c>
      <c r="L181" s="299">
        <v>0</v>
      </c>
      <c r="M181" s="299">
        <v>0</v>
      </c>
      <c r="N181" s="299">
        <v>0</v>
      </c>
      <c r="O181" s="299">
        <v>0</v>
      </c>
      <c r="P181" s="299">
        <v>0</v>
      </c>
      <c r="Q181" s="299"/>
      <c r="R181" s="299"/>
      <c r="S181" s="299"/>
      <c r="T181" s="299"/>
      <c r="U181" s="299">
        <v>0</v>
      </c>
      <c r="V181" s="299">
        <v>0</v>
      </c>
      <c r="W181" s="299">
        <f>-((W72-V72)+(W73-V73)+(W74-V74))-W182</f>
        <v>0</v>
      </c>
      <c r="X181" s="299">
        <v>0</v>
      </c>
      <c r="Y181" s="299">
        <v>0</v>
      </c>
      <c r="Z181" s="299">
        <v>0</v>
      </c>
      <c r="AA181" s="305">
        <f>SUMIFS([1]!Data_CF[Value],[1]!Data_CF[Index CF],'Khanh Nga'!$B181,[1]!Data_CF[TenCongTyID],'Khanh Nga'!$B$1,[1]!Data_CF[Thang.Nam],'Khanh Nga'!AA$155)</f>
        <v>0</v>
      </c>
      <c r="AB181" s="305">
        <f>SUMIFS([1]!Data_CF[Value],[1]!Data_CF[Index CF],'Khanh Nga'!$B181,[1]!Data_CF[TenCongTyID],'Khanh Nga'!$B$1,[1]!Data_CF[Thang.Nam],'Khanh Nga'!AB$155)</f>
        <v>0</v>
      </c>
      <c r="AC181" s="305">
        <f>SUMIFS([1]!Data_CF[Value],[1]!Data_CF[Index CF],'Khanh Nga'!$B181,[1]!Data_CF[TenCongTyID],'Khanh Nga'!$B$1,[1]!Data_CF[Thang.Nam],'Khanh Nga'!AC$155)</f>
        <v>0</v>
      </c>
      <c r="AD181" s="305">
        <f>SUMIFS([1]!Data_CF[Value],[1]!Data_CF[Index CF],'Khanh Nga'!$B181,[1]!Data_CF[TenCongTyID],'Khanh Nga'!$B$1,[1]!Data_CF[Thang.Nam],'Khanh Nga'!AD$155)</f>
        <v>0</v>
      </c>
      <c r="AE181" s="305">
        <f>SUMIFS([1]!Data_CF[Value],[1]!Data_CF[Index CF],'Khanh Nga'!$B181,[1]!Data_CF[TenCongTyID],'Khanh Nga'!$B$1,[1]!Data_CF[Thang.Nam],'Khanh Nga'!AE$155)</f>
        <v>0</v>
      </c>
      <c r="AF181" s="305">
        <f>SUMIFS([1]!Data_CF[Value],[1]!Data_CF[Index CF],'Khanh Nga'!$B181,[1]!Data_CF[TenCongTyID],'Khanh Nga'!$B$1,[1]!Data_CF[Thang.Nam],'Khanh Nga'!AF$155)</f>
        <v>0</v>
      </c>
      <c r="AG181" s="305">
        <f>SUMIFS([1]!Data_CF[Value],[1]!Data_CF[Index CF],'Khanh Nga'!$B181,[1]!Data_CF[TenCongTyID],'Khanh Nga'!$B$1,[1]!Data_CF[Thang.Nam],'Khanh Nga'!AG$155)</f>
        <v>0</v>
      </c>
      <c r="AH181" s="305">
        <f>SUMIFS([1]!Data_CF[Value],[1]!Data_CF[Index CF],'Khanh Nga'!$B181,[1]!Data_CF[TenCongTyID],'Khanh Nga'!$B$1,[1]!Data_CF[Thang.Nam],'Khanh Nga'!AH$155)</f>
        <v>0</v>
      </c>
      <c r="AI181" s="305">
        <f>SUMIFS([1]!Data_CF[Value],[1]!Data_CF[Index CF],'Khanh Nga'!$B181,[1]!Data_CF[TenCongTyID],'Khanh Nga'!$B$1,[1]!Data_CF[Thang.Nam],'Khanh Nga'!AI$155)</f>
        <v>0</v>
      </c>
      <c r="AJ181" s="305">
        <f>SUMIFS([1]!Data_CF[Value],[1]!Data_CF[Index CF],'Khanh Nga'!$B181,[1]!Data_CF[TenCongTyID],'Khanh Nga'!$B$1,[1]!Data_CF[Thang.Nam],'Khanh Nga'!AJ$155)</f>
        <v>0</v>
      </c>
      <c r="AK181" s="305">
        <f>SUMIFS([1]!Data_CF[Value],[1]!Data_CF[Index CF],'Khanh Nga'!$B181,[1]!Data_CF[TenCongTyID],'Khanh Nga'!$B$1,[1]!Data_CF[Thang.Nam],'Khanh Nga'!AK$155)</f>
        <v>0</v>
      </c>
      <c r="AL181" s="305">
        <f>SUMIFS([1]!Data_CF[Value],[1]!Data_CF[Index CF],'Khanh Nga'!$B181,[1]!Data_CF[TenCongTyID],'Khanh Nga'!$B$1,[1]!Data_CF[Thang.Nam],'Khanh Nga'!AL$155)</f>
        <v>0</v>
      </c>
    </row>
    <row r="182" spans="1:38" ht="15" customHeight="1">
      <c r="A182" s="164" t="s">
        <v>268</v>
      </c>
      <c r="B182" s="165">
        <v>27</v>
      </c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02"/>
      <c r="O182" s="302"/>
      <c r="P182" s="302"/>
      <c r="Q182" s="302"/>
      <c r="R182" s="302"/>
      <c r="S182" s="302"/>
      <c r="T182" s="302"/>
      <c r="U182" s="302"/>
      <c r="V182" s="302">
        <v>0</v>
      </c>
      <c r="W182" s="302"/>
      <c r="X182" s="302">
        <v>0</v>
      </c>
      <c r="Y182" s="302">
        <v>0</v>
      </c>
      <c r="Z182" s="302">
        <v>0</v>
      </c>
      <c r="AA182" s="303">
        <f>SUMIFS([1]!Data_CF[Value],[1]!Data_CF[Index CF],'Khanh Nga'!$B182,[1]!Data_CF[TenCongTyID],'Khanh Nga'!$B$1,[1]!Data_CF[Thang.Nam],'Khanh Nga'!AA$155)</f>
        <v>0</v>
      </c>
      <c r="AB182" s="303">
        <f>SUMIFS([1]!Data_CF[Value],[1]!Data_CF[Index CF],'Khanh Nga'!$B182,[1]!Data_CF[TenCongTyID],'Khanh Nga'!$B$1,[1]!Data_CF[Thang.Nam],'Khanh Nga'!AB$155)</f>
        <v>0</v>
      </c>
      <c r="AC182" s="303">
        <f>SUMIFS([1]!Data_CF[Value],[1]!Data_CF[Index CF],'Khanh Nga'!$B182,[1]!Data_CF[TenCongTyID],'Khanh Nga'!$B$1,[1]!Data_CF[Thang.Nam],'Khanh Nga'!AC$155)</f>
        <v>0</v>
      </c>
      <c r="AD182" s="303">
        <f>SUMIFS([1]!Data_CF[Value],[1]!Data_CF[Index CF],'Khanh Nga'!$B182,[1]!Data_CF[TenCongTyID],'Khanh Nga'!$B$1,[1]!Data_CF[Thang.Nam],'Khanh Nga'!AD$155)</f>
        <v>0</v>
      </c>
      <c r="AE182" s="303">
        <f>SUMIFS([1]!Data_CF[Value],[1]!Data_CF[Index CF],'Khanh Nga'!$B182,[1]!Data_CF[TenCongTyID],'Khanh Nga'!$B$1,[1]!Data_CF[Thang.Nam],'Khanh Nga'!AE$155)</f>
        <v>0</v>
      </c>
      <c r="AF182" s="303">
        <f>SUMIFS([1]!Data_CF[Value],[1]!Data_CF[Index CF],'Khanh Nga'!$B182,[1]!Data_CF[TenCongTyID],'Khanh Nga'!$B$1,[1]!Data_CF[Thang.Nam],'Khanh Nga'!AF$155)</f>
        <v>0</v>
      </c>
      <c r="AG182" s="303">
        <f>SUMIFS([1]!Data_CF[Value],[1]!Data_CF[Index CF],'Khanh Nga'!$B182,[1]!Data_CF[TenCongTyID],'Khanh Nga'!$B$1,[1]!Data_CF[Thang.Nam],'Khanh Nga'!AG$155)</f>
        <v>0</v>
      </c>
      <c r="AH182" s="303">
        <f>SUMIFS([1]!Data_CF[Value],[1]!Data_CF[Index CF],'Khanh Nga'!$B182,[1]!Data_CF[TenCongTyID],'Khanh Nga'!$B$1,[1]!Data_CF[Thang.Nam],'Khanh Nga'!AH$155)</f>
        <v>0</v>
      </c>
      <c r="AI182" s="303">
        <f>SUMIFS([1]!Data_CF[Value],[1]!Data_CF[Index CF],'Khanh Nga'!$B182,[1]!Data_CF[TenCongTyID],'Khanh Nga'!$B$1,[1]!Data_CF[Thang.Nam],'Khanh Nga'!AI$155)</f>
        <v>0</v>
      </c>
      <c r="AJ182" s="303">
        <f>SUMIFS([1]!Data_CF[Value],[1]!Data_CF[Index CF],'Khanh Nga'!$B182,[1]!Data_CF[TenCongTyID],'Khanh Nga'!$B$1,[1]!Data_CF[Thang.Nam],'Khanh Nga'!AJ$155)</f>
        <v>0</v>
      </c>
      <c r="AK182" s="303">
        <f>SUMIFS([1]!Data_CF[Value],[1]!Data_CF[Index CF],'Khanh Nga'!$B182,[1]!Data_CF[TenCongTyID],'Khanh Nga'!$B$1,[1]!Data_CF[Thang.Nam],'Khanh Nga'!AK$155)</f>
        <v>0</v>
      </c>
      <c r="AL182" s="303">
        <f>SUMIFS([1]!Data_CF[Value],[1]!Data_CF[Index CF],'Khanh Nga'!$B182,[1]!Data_CF[TenCongTyID],'Khanh Nga'!$B$1,[1]!Data_CF[Thang.Nam],'Khanh Nga'!AL$155)</f>
        <v>0</v>
      </c>
    </row>
    <row r="183" spans="1:38" ht="15" customHeight="1">
      <c r="A183" s="164" t="s">
        <v>269</v>
      </c>
      <c r="B183" s="165">
        <v>28</v>
      </c>
      <c r="C183" s="299">
        <v>25689</v>
      </c>
      <c r="D183" s="299">
        <v>15096</v>
      </c>
      <c r="E183" s="299">
        <v>20265</v>
      </c>
      <c r="F183" s="299">
        <v>39658</v>
      </c>
      <c r="G183" s="299">
        <v>32454</v>
      </c>
      <c r="H183" s="299">
        <v>31525</v>
      </c>
      <c r="I183" s="299">
        <v>35902</v>
      </c>
      <c r="J183" s="299">
        <v>42375</v>
      </c>
      <c r="K183" s="299">
        <v>48870</v>
      </c>
      <c r="L183" s="299">
        <v>40410</v>
      </c>
      <c r="M183" s="299">
        <v>56627</v>
      </c>
      <c r="N183" s="299">
        <v>438643</v>
      </c>
      <c r="O183" s="299">
        <v>29372</v>
      </c>
      <c r="P183" s="299">
        <v>5534452</v>
      </c>
      <c r="Q183" s="299">
        <v>11730</v>
      </c>
      <c r="R183" s="299">
        <v>32915</v>
      </c>
      <c r="S183" s="299">
        <v>29738</v>
      </c>
      <c r="T183" s="299">
        <v>31894</v>
      </c>
      <c r="U183" s="299">
        <v>35475</v>
      </c>
      <c r="V183" s="299">
        <v>52005</v>
      </c>
      <c r="W183" s="299">
        <f>-W162</f>
        <v>67306</v>
      </c>
      <c r="X183" s="299">
        <v>64017</v>
      </c>
      <c r="Y183" s="299">
        <v>74303</v>
      </c>
      <c r="Z183" s="299">
        <v>19794484</v>
      </c>
      <c r="AA183" s="305">
        <f>SUMIFS([1]!Data_CF[Value],[1]!Data_CF[Index CF],'Khanh Nga'!$B183,[1]!Data_CF[TenCongTyID],'Khanh Nga'!$B$1,[1]!Data_CF[Thang.Nam],'Khanh Nga'!AA$155)</f>
        <v>0</v>
      </c>
      <c r="AB183" s="305">
        <f>SUMIFS([1]!Data_CF[Value],[1]!Data_CF[Index CF],'Khanh Nga'!$B183,[1]!Data_CF[TenCongTyID],'Khanh Nga'!$B$1,[1]!Data_CF[Thang.Nam],'Khanh Nga'!AB$155)</f>
        <v>0</v>
      </c>
      <c r="AC183" s="305">
        <f>SUMIFS([1]!Data_CF[Value],[1]!Data_CF[Index CF],'Khanh Nga'!$B183,[1]!Data_CF[TenCongTyID],'Khanh Nga'!$B$1,[1]!Data_CF[Thang.Nam],'Khanh Nga'!AC$155)</f>
        <v>0</v>
      </c>
      <c r="AD183" s="305">
        <f>SUMIFS([1]!Data_CF[Value],[1]!Data_CF[Index CF],'Khanh Nga'!$B183,[1]!Data_CF[TenCongTyID],'Khanh Nga'!$B$1,[1]!Data_CF[Thang.Nam],'Khanh Nga'!AD$155)</f>
        <v>0</v>
      </c>
      <c r="AE183" s="305">
        <f>SUMIFS([1]!Data_CF[Value],[1]!Data_CF[Index CF],'Khanh Nga'!$B183,[1]!Data_CF[TenCongTyID],'Khanh Nga'!$B$1,[1]!Data_CF[Thang.Nam],'Khanh Nga'!AE$155)</f>
        <v>0</v>
      </c>
      <c r="AF183" s="305">
        <f>SUMIFS([1]!Data_CF[Value],[1]!Data_CF[Index CF],'Khanh Nga'!$B183,[1]!Data_CF[TenCongTyID],'Khanh Nga'!$B$1,[1]!Data_CF[Thang.Nam],'Khanh Nga'!AF$155)</f>
        <v>0</v>
      </c>
      <c r="AG183" s="305">
        <f>SUMIFS([1]!Data_CF[Value],[1]!Data_CF[Index CF],'Khanh Nga'!$B183,[1]!Data_CF[TenCongTyID],'Khanh Nga'!$B$1,[1]!Data_CF[Thang.Nam],'Khanh Nga'!AG$155)</f>
        <v>0</v>
      </c>
      <c r="AH183" s="305">
        <f>SUMIFS([1]!Data_CF[Value],[1]!Data_CF[Index CF],'Khanh Nga'!$B183,[1]!Data_CF[TenCongTyID],'Khanh Nga'!$B$1,[1]!Data_CF[Thang.Nam],'Khanh Nga'!AH$155)</f>
        <v>0</v>
      </c>
      <c r="AI183" s="305">
        <f>SUMIFS([1]!Data_CF[Value],[1]!Data_CF[Index CF],'Khanh Nga'!$B183,[1]!Data_CF[TenCongTyID],'Khanh Nga'!$B$1,[1]!Data_CF[Thang.Nam],'Khanh Nga'!AI$155)</f>
        <v>0</v>
      </c>
      <c r="AJ183" s="305">
        <f>SUMIFS([1]!Data_CF[Value],[1]!Data_CF[Index CF],'Khanh Nga'!$B183,[1]!Data_CF[TenCongTyID],'Khanh Nga'!$B$1,[1]!Data_CF[Thang.Nam],'Khanh Nga'!AJ$155)</f>
        <v>0</v>
      </c>
      <c r="AK183" s="305">
        <f>SUMIFS([1]!Data_CF[Value],[1]!Data_CF[Index CF],'Khanh Nga'!$B183,[1]!Data_CF[TenCongTyID],'Khanh Nga'!$B$1,[1]!Data_CF[Thang.Nam],'Khanh Nga'!AK$155)</f>
        <v>0</v>
      </c>
      <c r="AL183" s="305">
        <f>SUMIFS([1]!Data_CF[Value],[1]!Data_CF[Index CF],'Khanh Nga'!$B183,[1]!Data_CF[TenCongTyID],'Khanh Nga'!$B$1,[1]!Data_CF[Thang.Nam],'Khanh Nga'!AL$155)</f>
        <v>0</v>
      </c>
    </row>
    <row r="184" spans="1:38" ht="15" customHeight="1">
      <c r="A184" s="145" t="s">
        <v>270</v>
      </c>
      <c r="B184" s="146">
        <v>29</v>
      </c>
      <c r="C184" s="319">
        <f>SUM(C177:C183)</f>
        <v>25689</v>
      </c>
      <c r="D184" s="319">
        <f t="shared" ref="D184:W184" si="11">SUM(D177:D183)</f>
        <v>15096</v>
      </c>
      <c r="E184" s="319">
        <f t="shared" si="11"/>
        <v>20265</v>
      </c>
      <c r="F184" s="319">
        <f t="shared" si="11"/>
        <v>39658</v>
      </c>
      <c r="G184" s="319">
        <f t="shared" si="11"/>
        <v>-81967546</v>
      </c>
      <c r="H184" s="319">
        <f t="shared" si="11"/>
        <v>31525</v>
      </c>
      <c r="I184" s="319">
        <f t="shared" si="11"/>
        <v>35902</v>
      </c>
      <c r="J184" s="319">
        <f t="shared" si="11"/>
        <v>42375</v>
      </c>
      <c r="K184" s="319">
        <f t="shared" si="11"/>
        <v>48870</v>
      </c>
      <c r="L184" s="319">
        <f t="shared" si="11"/>
        <v>40410</v>
      </c>
      <c r="M184" s="319">
        <f t="shared" si="11"/>
        <v>-872261256.99658012</v>
      </c>
      <c r="N184" s="319">
        <f t="shared" si="11"/>
        <v>201382339.00341797</v>
      </c>
      <c r="O184" s="319">
        <f t="shared" si="11"/>
        <v>-2578066300</v>
      </c>
      <c r="P184" s="319">
        <f t="shared" si="11"/>
        <v>2005534452</v>
      </c>
      <c r="Q184" s="319">
        <f t="shared" si="11"/>
        <v>11730</v>
      </c>
      <c r="R184" s="319">
        <f t="shared" si="11"/>
        <v>-772967085</v>
      </c>
      <c r="S184" s="319">
        <f t="shared" si="11"/>
        <v>77529738</v>
      </c>
      <c r="T184" s="319">
        <f t="shared" si="11"/>
        <v>-509468106</v>
      </c>
      <c r="U184" s="319">
        <f t="shared" si="11"/>
        <v>35475</v>
      </c>
      <c r="V184" s="319">
        <f t="shared" si="11"/>
        <v>-243947995</v>
      </c>
      <c r="W184" s="319">
        <f t="shared" si="11"/>
        <v>67306</v>
      </c>
      <c r="X184" s="319"/>
      <c r="Y184" s="319">
        <v>74303</v>
      </c>
      <c r="Z184" s="319">
        <v>-5980205516</v>
      </c>
      <c r="AA184" s="313">
        <f>SUMIFS([1]!Data_CF[Value],[1]!Data_CF[Index CF],'Khanh Nga'!$B184,[1]!Data_CF[TenCongTyID],'Khanh Nga'!$B$1,[1]!Data_CF[Thang.Nam],'Khanh Nga'!AA$155)</f>
        <v>0</v>
      </c>
      <c r="AB184" s="313">
        <f>SUMIFS([1]!Data_CF[Value],[1]!Data_CF[Index CF],'Khanh Nga'!$B184,[1]!Data_CF[TenCongTyID],'Khanh Nga'!$B$1,[1]!Data_CF[Thang.Nam],'Khanh Nga'!AB$155)</f>
        <v>0</v>
      </c>
      <c r="AC184" s="313">
        <f>SUMIFS([1]!Data_CF[Value],[1]!Data_CF[Index CF],'Khanh Nga'!$B184,[1]!Data_CF[TenCongTyID],'Khanh Nga'!$B$1,[1]!Data_CF[Thang.Nam],'Khanh Nga'!AC$155)</f>
        <v>0</v>
      </c>
      <c r="AD184" s="313">
        <f>SUMIFS([1]!Data_CF[Value],[1]!Data_CF[Index CF],'Khanh Nga'!$B184,[1]!Data_CF[TenCongTyID],'Khanh Nga'!$B$1,[1]!Data_CF[Thang.Nam],'Khanh Nga'!AD$155)</f>
        <v>0</v>
      </c>
      <c r="AE184" s="313">
        <f>SUMIFS([1]!Data_CF[Value],[1]!Data_CF[Index CF],'Khanh Nga'!$B184,[1]!Data_CF[TenCongTyID],'Khanh Nga'!$B$1,[1]!Data_CF[Thang.Nam],'Khanh Nga'!AE$155)</f>
        <v>0</v>
      </c>
      <c r="AF184" s="313">
        <f>SUMIFS([1]!Data_CF[Value],[1]!Data_CF[Index CF],'Khanh Nga'!$B184,[1]!Data_CF[TenCongTyID],'Khanh Nga'!$B$1,[1]!Data_CF[Thang.Nam],'Khanh Nga'!AF$155)</f>
        <v>0</v>
      </c>
      <c r="AG184" s="313">
        <f>SUMIFS([1]!Data_CF[Value],[1]!Data_CF[Index CF],'Khanh Nga'!$B184,[1]!Data_CF[TenCongTyID],'Khanh Nga'!$B$1,[1]!Data_CF[Thang.Nam],'Khanh Nga'!AG$155)</f>
        <v>0</v>
      </c>
      <c r="AH184" s="313">
        <f>SUMIFS([1]!Data_CF[Value],[1]!Data_CF[Index CF],'Khanh Nga'!$B184,[1]!Data_CF[TenCongTyID],'Khanh Nga'!$B$1,[1]!Data_CF[Thang.Nam],'Khanh Nga'!AH$155)</f>
        <v>0</v>
      </c>
      <c r="AI184" s="313">
        <f>SUMIFS([1]!Data_CF[Value],[1]!Data_CF[Index CF],'Khanh Nga'!$B184,[1]!Data_CF[TenCongTyID],'Khanh Nga'!$B$1,[1]!Data_CF[Thang.Nam],'Khanh Nga'!AI$155)</f>
        <v>0</v>
      </c>
      <c r="AJ184" s="313">
        <f>SUMIFS([1]!Data_CF[Value],[1]!Data_CF[Index CF],'Khanh Nga'!$B184,[1]!Data_CF[TenCongTyID],'Khanh Nga'!$B$1,[1]!Data_CF[Thang.Nam],'Khanh Nga'!AJ$155)</f>
        <v>0</v>
      </c>
      <c r="AK184" s="313">
        <f>SUMIFS([1]!Data_CF[Value],[1]!Data_CF[Index CF],'Khanh Nga'!$B184,[1]!Data_CF[TenCongTyID],'Khanh Nga'!$B$1,[1]!Data_CF[Thang.Nam],'Khanh Nga'!AK$155)</f>
        <v>0</v>
      </c>
      <c r="AL184" s="313">
        <f>SUMIFS([1]!Data_CF[Value],[1]!Data_CF[Index CF],'Khanh Nga'!$B184,[1]!Data_CF[TenCongTyID],'Khanh Nga'!$B$1,[1]!Data_CF[Thang.Nam],'Khanh Nga'!AL$155)</f>
        <v>0</v>
      </c>
    </row>
    <row r="185" spans="1:38" ht="15" customHeight="1">
      <c r="A185" s="145" t="s">
        <v>271</v>
      </c>
      <c r="B185" s="146">
        <v>30</v>
      </c>
      <c r="C185" s="314"/>
      <c r="D185" s="314"/>
      <c r="E185" s="314"/>
      <c r="F185" s="314"/>
      <c r="G185" s="314"/>
      <c r="H185" s="314"/>
      <c r="I185" s="314"/>
      <c r="J185" s="314"/>
      <c r="K185" s="314"/>
      <c r="L185" s="314"/>
      <c r="M185" s="314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  <c r="Z185" s="315">
        <v>0</v>
      </c>
      <c r="AA185" s="316">
        <f>SUMIFS([1]!Data_CF[Value],[1]!Data_CF[Index CF],'Khanh Nga'!$B185,[1]!Data_CF[TenCongTyID],'Khanh Nga'!$B$1,[1]!Data_CF[Thang.Nam],'Khanh Nga'!AA$155)</f>
        <v>0</v>
      </c>
      <c r="AB185" s="316">
        <f>SUMIFS([1]!Data_CF[Value],[1]!Data_CF[Index CF],'Khanh Nga'!$B185,[1]!Data_CF[TenCongTyID],'Khanh Nga'!$B$1,[1]!Data_CF[Thang.Nam],'Khanh Nga'!AB$155)</f>
        <v>0</v>
      </c>
      <c r="AC185" s="316">
        <f>SUMIFS([1]!Data_CF[Value],[1]!Data_CF[Index CF],'Khanh Nga'!$B185,[1]!Data_CF[TenCongTyID],'Khanh Nga'!$B$1,[1]!Data_CF[Thang.Nam],'Khanh Nga'!AC$155)</f>
        <v>0</v>
      </c>
      <c r="AD185" s="316">
        <f>SUMIFS([1]!Data_CF[Value],[1]!Data_CF[Index CF],'Khanh Nga'!$B185,[1]!Data_CF[TenCongTyID],'Khanh Nga'!$B$1,[1]!Data_CF[Thang.Nam],'Khanh Nga'!AD$155)</f>
        <v>0</v>
      </c>
      <c r="AE185" s="316">
        <f>SUMIFS([1]!Data_CF[Value],[1]!Data_CF[Index CF],'Khanh Nga'!$B185,[1]!Data_CF[TenCongTyID],'Khanh Nga'!$B$1,[1]!Data_CF[Thang.Nam],'Khanh Nga'!AE$155)</f>
        <v>0</v>
      </c>
      <c r="AF185" s="316">
        <f>SUMIFS([1]!Data_CF[Value],[1]!Data_CF[Index CF],'Khanh Nga'!$B185,[1]!Data_CF[TenCongTyID],'Khanh Nga'!$B$1,[1]!Data_CF[Thang.Nam],'Khanh Nga'!AF$155)</f>
        <v>0</v>
      </c>
      <c r="AG185" s="316">
        <f>SUMIFS([1]!Data_CF[Value],[1]!Data_CF[Index CF],'Khanh Nga'!$B185,[1]!Data_CF[TenCongTyID],'Khanh Nga'!$B$1,[1]!Data_CF[Thang.Nam],'Khanh Nga'!AG$155)</f>
        <v>0</v>
      </c>
      <c r="AH185" s="316">
        <f>SUMIFS([1]!Data_CF[Value],[1]!Data_CF[Index CF],'Khanh Nga'!$B185,[1]!Data_CF[TenCongTyID],'Khanh Nga'!$B$1,[1]!Data_CF[Thang.Nam],'Khanh Nga'!AH$155)</f>
        <v>0</v>
      </c>
      <c r="AI185" s="316">
        <f>SUMIFS([1]!Data_CF[Value],[1]!Data_CF[Index CF],'Khanh Nga'!$B185,[1]!Data_CF[TenCongTyID],'Khanh Nga'!$B$1,[1]!Data_CF[Thang.Nam],'Khanh Nga'!AI$155)</f>
        <v>0</v>
      </c>
      <c r="AJ185" s="316">
        <f>SUMIFS([1]!Data_CF[Value],[1]!Data_CF[Index CF],'Khanh Nga'!$B185,[1]!Data_CF[TenCongTyID],'Khanh Nga'!$B$1,[1]!Data_CF[Thang.Nam],'Khanh Nga'!AJ$155)</f>
        <v>0</v>
      </c>
      <c r="AK185" s="316">
        <f>SUMIFS([1]!Data_CF[Value],[1]!Data_CF[Index CF],'Khanh Nga'!$B185,[1]!Data_CF[TenCongTyID],'Khanh Nga'!$B$1,[1]!Data_CF[Thang.Nam],'Khanh Nga'!AK$155)</f>
        <v>0</v>
      </c>
      <c r="AL185" s="316">
        <f>SUMIFS([1]!Data_CF[Value],[1]!Data_CF[Index CF],'Khanh Nga'!$B185,[1]!Data_CF[TenCongTyID],'Khanh Nga'!$B$1,[1]!Data_CF[Thang.Nam],'Khanh Nga'!AL$155)</f>
        <v>0</v>
      </c>
    </row>
    <row r="186" spans="1:38" ht="14">
      <c r="A186" s="164" t="s">
        <v>272</v>
      </c>
      <c r="B186" s="165">
        <v>31</v>
      </c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2"/>
      <c r="O186" s="302"/>
      <c r="P186" s="302"/>
      <c r="Q186" s="302"/>
      <c r="R186" s="302"/>
      <c r="S186" s="302"/>
      <c r="T186" s="302"/>
      <c r="U186" s="302"/>
      <c r="V186" s="302"/>
      <c r="W186" s="302"/>
      <c r="X186" s="302"/>
      <c r="Y186" s="302"/>
      <c r="Z186" s="302">
        <v>0</v>
      </c>
      <c r="AA186" s="303">
        <f>SUMIFS([1]!Data_CF[Value],[1]!Data_CF[Index CF],'Khanh Nga'!$B186,[1]!Data_CF[TenCongTyID],'Khanh Nga'!$B$1,[1]!Data_CF[Thang.Nam],'Khanh Nga'!AA$155)</f>
        <v>0</v>
      </c>
      <c r="AB186" s="303">
        <f>SUMIFS([1]!Data_CF[Value],[1]!Data_CF[Index CF],'Khanh Nga'!$B186,[1]!Data_CF[TenCongTyID],'Khanh Nga'!$B$1,[1]!Data_CF[Thang.Nam],'Khanh Nga'!AB$155)</f>
        <v>0</v>
      </c>
      <c r="AC186" s="303">
        <f>SUMIFS([1]!Data_CF[Value],[1]!Data_CF[Index CF],'Khanh Nga'!$B186,[1]!Data_CF[TenCongTyID],'Khanh Nga'!$B$1,[1]!Data_CF[Thang.Nam],'Khanh Nga'!AC$155)</f>
        <v>0</v>
      </c>
      <c r="AD186" s="303">
        <f>SUMIFS([1]!Data_CF[Value],[1]!Data_CF[Index CF],'Khanh Nga'!$B186,[1]!Data_CF[TenCongTyID],'Khanh Nga'!$B$1,[1]!Data_CF[Thang.Nam],'Khanh Nga'!AD$155)</f>
        <v>0</v>
      </c>
      <c r="AE186" s="303">
        <f>SUMIFS([1]!Data_CF[Value],[1]!Data_CF[Index CF],'Khanh Nga'!$B186,[1]!Data_CF[TenCongTyID],'Khanh Nga'!$B$1,[1]!Data_CF[Thang.Nam],'Khanh Nga'!AE$155)</f>
        <v>0</v>
      </c>
      <c r="AF186" s="303">
        <f>SUMIFS([1]!Data_CF[Value],[1]!Data_CF[Index CF],'Khanh Nga'!$B186,[1]!Data_CF[TenCongTyID],'Khanh Nga'!$B$1,[1]!Data_CF[Thang.Nam],'Khanh Nga'!AF$155)</f>
        <v>0</v>
      </c>
      <c r="AG186" s="303">
        <f>SUMIFS([1]!Data_CF[Value],[1]!Data_CF[Index CF],'Khanh Nga'!$B186,[1]!Data_CF[TenCongTyID],'Khanh Nga'!$B$1,[1]!Data_CF[Thang.Nam],'Khanh Nga'!AG$155)</f>
        <v>0</v>
      </c>
      <c r="AH186" s="303">
        <f>SUMIFS([1]!Data_CF[Value],[1]!Data_CF[Index CF],'Khanh Nga'!$B186,[1]!Data_CF[TenCongTyID],'Khanh Nga'!$B$1,[1]!Data_CF[Thang.Nam],'Khanh Nga'!AH$155)</f>
        <v>0</v>
      </c>
      <c r="AI186" s="303">
        <f>SUMIFS([1]!Data_CF[Value],[1]!Data_CF[Index CF],'Khanh Nga'!$B186,[1]!Data_CF[TenCongTyID],'Khanh Nga'!$B$1,[1]!Data_CF[Thang.Nam],'Khanh Nga'!AI$155)</f>
        <v>0</v>
      </c>
      <c r="AJ186" s="303">
        <f>SUMIFS([1]!Data_CF[Value],[1]!Data_CF[Index CF],'Khanh Nga'!$B186,[1]!Data_CF[TenCongTyID],'Khanh Nga'!$B$1,[1]!Data_CF[Thang.Nam],'Khanh Nga'!AJ$155)</f>
        <v>0</v>
      </c>
      <c r="AK186" s="303">
        <f>SUMIFS([1]!Data_CF[Value],[1]!Data_CF[Index CF],'Khanh Nga'!$B186,[1]!Data_CF[TenCongTyID],'Khanh Nga'!$B$1,[1]!Data_CF[Thang.Nam],'Khanh Nga'!AK$155)</f>
        <v>0</v>
      </c>
      <c r="AL186" s="303">
        <f>SUMIFS([1]!Data_CF[Value],[1]!Data_CF[Index CF],'Khanh Nga'!$B186,[1]!Data_CF[TenCongTyID],'Khanh Nga'!$B$1,[1]!Data_CF[Thang.Nam],'Khanh Nga'!AL$155)</f>
        <v>0</v>
      </c>
    </row>
    <row r="187" spans="1:38" ht="14">
      <c r="A187" s="164" t="s">
        <v>273</v>
      </c>
      <c r="B187" s="165">
        <v>32</v>
      </c>
      <c r="C187" s="307"/>
      <c r="D187" s="307"/>
      <c r="E187" s="307"/>
      <c r="F187" s="307"/>
      <c r="G187" s="307"/>
      <c r="H187" s="307"/>
      <c r="I187" s="307"/>
      <c r="J187" s="307"/>
      <c r="K187" s="307"/>
      <c r="L187" s="307"/>
      <c r="M187" s="307"/>
      <c r="N187" s="302"/>
      <c r="O187" s="302"/>
      <c r="P187" s="302"/>
      <c r="Q187" s="302"/>
      <c r="R187" s="302"/>
      <c r="S187" s="302"/>
      <c r="T187" s="302"/>
      <c r="U187" s="302"/>
      <c r="V187" s="302"/>
      <c r="W187" s="302"/>
      <c r="X187" s="302"/>
      <c r="Y187" s="302"/>
      <c r="Z187" s="302">
        <v>0</v>
      </c>
      <c r="AA187" s="303">
        <f>SUMIFS([1]!Data_CF[Value],[1]!Data_CF[Index CF],'Khanh Nga'!$B187,[1]!Data_CF[TenCongTyID],'Khanh Nga'!$B$1,[1]!Data_CF[Thang.Nam],'Khanh Nga'!AA$155)</f>
        <v>0</v>
      </c>
      <c r="AB187" s="303">
        <f>SUMIFS([1]!Data_CF[Value],[1]!Data_CF[Index CF],'Khanh Nga'!$B187,[1]!Data_CF[TenCongTyID],'Khanh Nga'!$B$1,[1]!Data_CF[Thang.Nam],'Khanh Nga'!AB$155)</f>
        <v>0</v>
      </c>
      <c r="AC187" s="303">
        <f>SUMIFS([1]!Data_CF[Value],[1]!Data_CF[Index CF],'Khanh Nga'!$B187,[1]!Data_CF[TenCongTyID],'Khanh Nga'!$B$1,[1]!Data_CF[Thang.Nam],'Khanh Nga'!AC$155)</f>
        <v>0</v>
      </c>
      <c r="AD187" s="303">
        <f>SUMIFS([1]!Data_CF[Value],[1]!Data_CF[Index CF],'Khanh Nga'!$B187,[1]!Data_CF[TenCongTyID],'Khanh Nga'!$B$1,[1]!Data_CF[Thang.Nam],'Khanh Nga'!AD$155)</f>
        <v>0</v>
      </c>
      <c r="AE187" s="303">
        <f>SUMIFS([1]!Data_CF[Value],[1]!Data_CF[Index CF],'Khanh Nga'!$B187,[1]!Data_CF[TenCongTyID],'Khanh Nga'!$B$1,[1]!Data_CF[Thang.Nam],'Khanh Nga'!AE$155)</f>
        <v>0</v>
      </c>
      <c r="AF187" s="303">
        <f>SUMIFS([1]!Data_CF[Value],[1]!Data_CF[Index CF],'Khanh Nga'!$B187,[1]!Data_CF[TenCongTyID],'Khanh Nga'!$B$1,[1]!Data_CF[Thang.Nam],'Khanh Nga'!AF$155)</f>
        <v>0</v>
      </c>
      <c r="AG187" s="303">
        <f>SUMIFS([1]!Data_CF[Value],[1]!Data_CF[Index CF],'Khanh Nga'!$B187,[1]!Data_CF[TenCongTyID],'Khanh Nga'!$B$1,[1]!Data_CF[Thang.Nam],'Khanh Nga'!AG$155)</f>
        <v>0</v>
      </c>
      <c r="AH187" s="303">
        <f>SUMIFS([1]!Data_CF[Value],[1]!Data_CF[Index CF],'Khanh Nga'!$B187,[1]!Data_CF[TenCongTyID],'Khanh Nga'!$B$1,[1]!Data_CF[Thang.Nam],'Khanh Nga'!AH$155)</f>
        <v>0</v>
      </c>
      <c r="AI187" s="303">
        <f>SUMIFS([1]!Data_CF[Value],[1]!Data_CF[Index CF],'Khanh Nga'!$B187,[1]!Data_CF[TenCongTyID],'Khanh Nga'!$B$1,[1]!Data_CF[Thang.Nam],'Khanh Nga'!AI$155)</f>
        <v>0</v>
      </c>
      <c r="AJ187" s="303">
        <f>SUMIFS([1]!Data_CF[Value],[1]!Data_CF[Index CF],'Khanh Nga'!$B187,[1]!Data_CF[TenCongTyID],'Khanh Nga'!$B$1,[1]!Data_CF[Thang.Nam],'Khanh Nga'!AJ$155)</f>
        <v>0</v>
      </c>
      <c r="AK187" s="303">
        <f>SUMIFS([1]!Data_CF[Value],[1]!Data_CF[Index CF],'Khanh Nga'!$B187,[1]!Data_CF[TenCongTyID],'Khanh Nga'!$B$1,[1]!Data_CF[Thang.Nam],'Khanh Nga'!AK$155)</f>
        <v>0</v>
      </c>
      <c r="AL187" s="303">
        <f>SUMIFS([1]!Data_CF[Value],[1]!Data_CF[Index CF],'Khanh Nga'!$B187,[1]!Data_CF[TenCongTyID],'Khanh Nga'!$B$1,[1]!Data_CF[Thang.Nam],'Khanh Nga'!AL$155)</f>
        <v>0</v>
      </c>
    </row>
    <row r="188" spans="1:38" ht="15" customHeight="1">
      <c r="A188" s="164" t="s">
        <v>274</v>
      </c>
      <c r="B188" s="165">
        <v>33</v>
      </c>
      <c r="C188" s="299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>
        <v>0</v>
      </c>
      <c r="AA188" s="310">
        <f>SUMIFS([1]!Data_CF[Value],[1]!Data_CF[Index CF],'Khanh Nga'!$B188,[1]!Data_CF[TenCongTyID],'Khanh Nga'!$B$1,[1]!Data_CF[Thang.Nam],'Khanh Nga'!AA$155)</f>
        <v>0</v>
      </c>
      <c r="AB188" s="310">
        <f>SUMIFS([1]!Data_CF[Value],[1]!Data_CF[Index CF],'Khanh Nga'!$B188,[1]!Data_CF[TenCongTyID],'Khanh Nga'!$B$1,[1]!Data_CF[Thang.Nam],'Khanh Nga'!AB$155)</f>
        <v>0</v>
      </c>
      <c r="AC188" s="310">
        <f>SUMIFS([1]!Data_CF[Value],[1]!Data_CF[Index CF],'Khanh Nga'!$B188,[1]!Data_CF[TenCongTyID],'Khanh Nga'!$B$1,[1]!Data_CF[Thang.Nam],'Khanh Nga'!AC$155)</f>
        <v>0</v>
      </c>
      <c r="AD188" s="310">
        <f>SUMIFS([1]!Data_CF[Value],[1]!Data_CF[Index CF],'Khanh Nga'!$B188,[1]!Data_CF[TenCongTyID],'Khanh Nga'!$B$1,[1]!Data_CF[Thang.Nam],'Khanh Nga'!AD$155)</f>
        <v>0</v>
      </c>
      <c r="AE188" s="310">
        <f>SUMIFS([1]!Data_CF[Value],[1]!Data_CF[Index CF],'Khanh Nga'!$B188,[1]!Data_CF[TenCongTyID],'Khanh Nga'!$B$1,[1]!Data_CF[Thang.Nam],'Khanh Nga'!AE$155)</f>
        <v>0</v>
      </c>
      <c r="AF188" s="310">
        <f>SUMIFS([1]!Data_CF[Value],[1]!Data_CF[Index CF],'Khanh Nga'!$B188,[1]!Data_CF[TenCongTyID],'Khanh Nga'!$B$1,[1]!Data_CF[Thang.Nam],'Khanh Nga'!AF$155)</f>
        <v>0</v>
      </c>
      <c r="AG188" s="310">
        <f>SUMIFS([1]!Data_CF[Value],[1]!Data_CF[Index CF],'Khanh Nga'!$B188,[1]!Data_CF[TenCongTyID],'Khanh Nga'!$B$1,[1]!Data_CF[Thang.Nam],'Khanh Nga'!AG$155)</f>
        <v>0</v>
      </c>
      <c r="AH188" s="310">
        <f>SUMIFS([1]!Data_CF[Value],[1]!Data_CF[Index CF],'Khanh Nga'!$B188,[1]!Data_CF[TenCongTyID],'Khanh Nga'!$B$1,[1]!Data_CF[Thang.Nam],'Khanh Nga'!AH$155)</f>
        <v>0</v>
      </c>
      <c r="AI188" s="310">
        <f>SUMIFS([1]!Data_CF[Value],[1]!Data_CF[Index CF],'Khanh Nga'!$B188,[1]!Data_CF[TenCongTyID],'Khanh Nga'!$B$1,[1]!Data_CF[Thang.Nam],'Khanh Nga'!AI$155)</f>
        <v>0</v>
      </c>
      <c r="AJ188" s="310">
        <f>SUMIFS([1]!Data_CF[Value],[1]!Data_CF[Index CF],'Khanh Nga'!$B188,[1]!Data_CF[TenCongTyID],'Khanh Nga'!$B$1,[1]!Data_CF[Thang.Nam],'Khanh Nga'!AJ$155)</f>
        <v>0</v>
      </c>
      <c r="AK188" s="310">
        <f>SUMIFS([1]!Data_CF[Value],[1]!Data_CF[Index CF],'Khanh Nga'!$B188,[1]!Data_CF[TenCongTyID],'Khanh Nga'!$B$1,[1]!Data_CF[Thang.Nam],'Khanh Nga'!AK$155)</f>
        <v>0</v>
      </c>
      <c r="AL188" s="310">
        <f>SUMIFS([1]!Data_CF[Value],[1]!Data_CF[Index CF],'Khanh Nga'!$B188,[1]!Data_CF[TenCongTyID],'Khanh Nga'!$B$1,[1]!Data_CF[Thang.Nam],'Khanh Nga'!AL$155)</f>
        <v>0</v>
      </c>
    </row>
    <row r="189" spans="1:38" ht="15" customHeight="1">
      <c r="A189" s="164" t="s">
        <v>275</v>
      </c>
      <c r="B189" s="165">
        <v>34</v>
      </c>
      <c r="C189" s="299">
        <v>0</v>
      </c>
      <c r="D189" s="299"/>
      <c r="E189" s="299"/>
      <c r="F189" s="299">
        <v>0</v>
      </c>
      <c r="G189" s="299">
        <v>0</v>
      </c>
      <c r="H189" s="299">
        <v>0</v>
      </c>
      <c r="I189" s="299">
        <v>0</v>
      </c>
      <c r="J189" s="299">
        <v>0</v>
      </c>
      <c r="K189" s="299">
        <v>0</v>
      </c>
      <c r="L189" s="299">
        <v>0</v>
      </c>
      <c r="M189" s="299">
        <v>0</v>
      </c>
      <c r="N189" s="299">
        <v>0</v>
      </c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>
        <v>0</v>
      </c>
      <c r="AA189" s="305">
        <f>SUMIFS([1]!Data_CF[Value],[1]!Data_CF[Index CF],'Khanh Nga'!$B189,[1]!Data_CF[TenCongTyID],'Khanh Nga'!$B$1,[1]!Data_CF[Thang.Nam],'Khanh Nga'!AA$155)</f>
        <v>0</v>
      </c>
      <c r="AB189" s="305">
        <f>SUMIFS([1]!Data_CF[Value],[1]!Data_CF[Index CF],'Khanh Nga'!$B189,[1]!Data_CF[TenCongTyID],'Khanh Nga'!$B$1,[1]!Data_CF[Thang.Nam],'Khanh Nga'!AB$155)</f>
        <v>0</v>
      </c>
      <c r="AC189" s="305">
        <f>SUMIFS([1]!Data_CF[Value],[1]!Data_CF[Index CF],'Khanh Nga'!$B189,[1]!Data_CF[TenCongTyID],'Khanh Nga'!$B$1,[1]!Data_CF[Thang.Nam],'Khanh Nga'!AC$155)</f>
        <v>0</v>
      </c>
      <c r="AD189" s="305">
        <f>SUMIFS([1]!Data_CF[Value],[1]!Data_CF[Index CF],'Khanh Nga'!$B189,[1]!Data_CF[TenCongTyID],'Khanh Nga'!$B$1,[1]!Data_CF[Thang.Nam],'Khanh Nga'!AD$155)</f>
        <v>0</v>
      </c>
      <c r="AE189" s="305">
        <f>SUMIFS([1]!Data_CF[Value],[1]!Data_CF[Index CF],'Khanh Nga'!$B189,[1]!Data_CF[TenCongTyID],'Khanh Nga'!$B$1,[1]!Data_CF[Thang.Nam],'Khanh Nga'!AE$155)</f>
        <v>0</v>
      </c>
      <c r="AF189" s="305">
        <f>SUMIFS([1]!Data_CF[Value],[1]!Data_CF[Index CF],'Khanh Nga'!$B189,[1]!Data_CF[TenCongTyID],'Khanh Nga'!$B$1,[1]!Data_CF[Thang.Nam],'Khanh Nga'!AF$155)</f>
        <v>0</v>
      </c>
      <c r="AG189" s="305">
        <f>SUMIFS([1]!Data_CF[Value],[1]!Data_CF[Index CF],'Khanh Nga'!$B189,[1]!Data_CF[TenCongTyID],'Khanh Nga'!$B$1,[1]!Data_CF[Thang.Nam],'Khanh Nga'!AG$155)</f>
        <v>0</v>
      </c>
      <c r="AH189" s="305">
        <f>SUMIFS([1]!Data_CF[Value],[1]!Data_CF[Index CF],'Khanh Nga'!$B189,[1]!Data_CF[TenCongTyID],'Khanh Nga'!$B$1,[1]!Data_CF[Thang.Nam],'Khanh Nga'!AH$155)</f>
        <v>0</v>
      </c>
      <c r="AI189" s="305">
        <f>SUMIFS([1]!Data_CF[Value],[1]!Data_CF[Index CF],'Khanh Nga'!$B189,[1]!Data_CF[TenCongTyID],'Khanh Nga'!$B$1,[1]!Data_CF[Thang.Nam],'Khanh Nga'!AI$155)</f>
        <v>0</v>
      </c>
      <c r="AJ189" s="305">
        <f>SUMIFS([1]!Data_CF[Value],[1]!Data_CF[Index CF],'Khanh Nga'!$B189,[1]!Data_CF[TenCongTyID],'Khanh Nga'!$B$1,[1]!Data_CF[Thang.Nam],'Khanh Nga'!AJ$155)</f>
        <v>0</v>
      </c>
      <c r="AK189" s="305">
        <f>SUMIFS([1]!Data_CF[Value],[1]!Data_CF[Index CF],'Khanh Nga'!$B189,[1]!Data_CF[TenCongTyID],'Khanh Nga'!$B$1,[1]!Data_CF[Thang.Nam],'Khanh Nga'!AK$155)</f>
        <v>0</v>
      </c>
      <c r="AL189" s="305">
        <f>SUMIFS([1]!Data_CF[Value],[1]!Data_CF[Index CF],'Khanh Nga'!$B189,[1]!Data_CF[TenCongTyID],'Khanh Nga'!$B$1,[1]!Data_CF[Thang.Nam],'Khanh Nga'!AL$155)</f>
        <v>0</v>
      </c>
    </row>
    <row r="190" spans="1:38" ht="15" customHeight="1">
      <c r="A190" s="164" t="s">
        <v>276</v>
      </c>
      <c r="B190" s="165">
        <v>35</v>
      </c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>
        <v>0</v>
      </c>
      <c r="AA190" s="305">
        <f>SUMIFS([1]!Data_CF[Value],[1]!Data_CF[Index CF],'Khanh Nga'!$B190,[1]!Data_CF[TenCongTyID],'Khanh Nga'!$B$1,[1]!Data_CF[Thang.Nam],'Khanh Nga'!AA$155)</f>
        <v>0</v>
      </c>
      <c r="AB190" s="305">
        <f>SUMIFS([1]!Data_CF[Value],[1]!Data_CF[Index CF],'Khanh Nga'!$B190,[1]!Data_CF[TenCongTyID],'Khanh Nga'!$B$1,[1]!Data_CF[Thang.Nam],'Khanh Nga'!AB$155)</f>
        <v>0</v>
      </c>
      <c r="AC190" s="305">
        <f>SUMIFS([1]!Data_CF[Value],[1]!Data_CF[Index CF],'Khanh Nga'!$B190,[1]!Data_CF[TenCongTyID],'Khanh Nga'!$B$1,[1]!Data_CF[Thang.Nam],'Khanh Nga'!AC$155)</f>
        <v>0</v>
      </c>
      <c r="AD190" s="305">
        <f>SUMIFS([1]!Data_CF[Value],[1]!Data_CF[Index CF],'Khanh Nga'!$B190,[1]!Data_CF[TenCongTyID],'Khanh Nga'!$B$1,[1]!Data_CF[Thang.Nam],'Khanh Nga'!AD$155)</f>
        <v>0</v>
      </c>
      <c r="AE190" s="305">
        <f>SUMIFS([1]!Data_CF[Value],[1]!Data_CF[Index CF],'Khanh Nga'!$B190,[1]!Data_CF[TenCongTyID],'Khanh Nga'!$B$1,[1]!Data_CF[Thang.Nam],'Khanh Nga'!AE$155)</f>
        <v>0</v>
      </c>
      <c r="AF190" s="305">
        <f>SUMIFS([1]!Data_CF[Value],[1]!Data_CF[Index CF],'Khanh Nga'!$B190,[1]!Data_CF[TenCongTyID],'Khanh Nga'!$B$1,[1]!Data_CF[Thang.Nam],'Khanh Nga'!AF$155)</f>
        <v>0</v>
      </c>
      <c r="AG190" s="305">
        <f>SUMIFS([1]!Data_CF[Value],[1]!Data_CF[Index CF],'Khanh Nga'!$B190,[1]!Data_CF[TenCongTyID],'Khanh Nga'!$B$1,[1]!Data_CF[Thang.Nam],'Khanh Nga'!AG$155)</f>
        <v>0</v>
      </c>
      <c r="AH190" s="305">
        <f>SUMIFS([1]!Data_CF[Value],[1]!Data_CF[Index CF],'Khanh Nga'!$B190,[1]!Data_CF[TenCongTyID],'Khanh Nga'!$B$1,[1]!Data_CF[Thang.Nam],'Khanh Nga'!AH$155)</f>
        <v>0</v>
      </c>
      <c r="AI190" s="305">
        <f>SUMIFS([1]!Data_CF[Value],[1]!Data_CF[Index CF],'Khanh Nga'!$B190,[1]!Data_CF[TenCongTyID],'Khanh Nga'!$B$1,[1]!Data_CF[Thang.Nam],'Khanh Nga'!AI$155)</f>
        <v>0</v>
      </c>
      <c r="AJ190" s="305">
        <f>SUMIFS([1]!Data_CF[Value],[1]!Data_CF[Index CF],'Khanh Nga'!$B190,[1]!Data_CF[TenCongTyID],'Khanh Nga'!$B$1,[1]!Data_CF[Thang.Nam],'Khanh Nga'!AJ$155)</f>
        <v>0</v>
      </c>
      <c r="AK190" s="305">
        <f>SUMIFS([1]!Data_CF[Value],[1]!Data_CF[Index CF],'Khanh Nga'!$B190,[1]!Data_CF[TenCongTyID],'Khanh Nga'!$B$1,[1]!Data_CF[Thang.Nam],'Khanh Nga'!AK$155)</f>
        <v>0</v>
      </c>
      <c r="AL190" s="305">
        <f>SUMIFS([1]!Data_CF[Value],[1]!Data_CF[Index CF],'Khanh Nga'!$B190,[1]!Data_CF[TenCongTyID],'Khanh Nga'!$B$1,[1]!Data_CF[Thang.Nam],'Khanh Nga'!AL$155)</f>
        <v>0</v>
      </c>
    </row>
    <row r="191" spans="1:38" ht="15" customHeight="1">
      <c r="A191" s="164" t="s">
        <v>277</v>
      </c>
      <c r="B191" s="165">
        <v>36</v>
      </c>
      <c r="C191" s="307"/>
      <c r="D191" s="307"/>
      <c r="E191" s="307"/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>
        <v>0</v>
      </c>
      <c r="AA191" s="311">
        <f>SUMIFS([1]!Data_CF[Value],[1]!Data_CF[Index CF],'Khanh Nga'!$B191,[1]!Data_CF[TenCongTyID],'Khanh Nga'!$B$1,[1]!Data_CF[Thang.Nam],'Khanh Nga'!AA$155)</f>
        <v>0</v>
      </c>
      <c r="AB191" s="311">
        <f>SUMIFS([1]!Data_CF[Value],[1]!Data_CF[Index CF],'Khanh Nga'!$B191,[1]!Data_CF[TenCongTyID],'Khanh Nga'!$B$1,[1]!Data_CF[Thang.Nam],'Khanh Nga'!AB$155)</f>
        <v>0</v>
      </c>
      <c r="AC191" s="311">
        <f>SUMIFS([1]!Data_CF[Value],[1]!Data_CF[Index CF],'Khanh Nga'!$B191,[1]!Data_CF[TenCongTyID],'Khanh Nga'!$B$1,[1]!Data_CF[Thang.Nam],'Khanh Nga'!AC$155)</f>
        <v>0</v>
      </c>
      <c r="AD191" s="311">
        <f>SUMIFS([1]!Data_CF[Value],[1]!Data_CF[Index CF],'Khanh Nga'!$B191,[1]!Data_CF[TenCongTyID],'Khanh Nga'!$B$1,[1]!Data_CF[Thang.Nam],'Khanh Nga'!AD$155)</f>
        <v>0</v>
      </c>
      <c r="AE191" s="311">
        <f>SUMIFS([1]!Data_CF[Value],[1]!Data_CF[Index CF],'Khanh Nga'!$B191,[1]!Data_CF[TenCongTyID],'Khanh Nga'!$B$1,[1]!Data_CF[Thang.Nam],'Khanh Nga'!AE$155)</f>
        <v>0</v>
      </c>
      <c r="AF191" s="311">
        <f>SUMIFS([1]!Data_CF[Value],[1]!Data_CF[Index CF],'Khanh Nga'!$B191,[1]!Data_CF[TenCongTyID],'Khanh Nga'!$B$1,[1]!Data_CF[Thang.Nam],'Khanh Nga'!AF$155)</f>
        <v>0</v>
      </c>
      <c r="AG191" s="311">
        <f>SUMIFS([1]!Data_CF[Value],[1]!Data_CF[Index CF],'Khanh Nga'!$B191,[1]!Data_CF[TenCongTyID],'Khanh Nga'!$B$1,[1]!Data_CF[Thang.Nam],'Khanh Nga'!AG$155)</f>
        <v>0</v>
      </c>
      <c r="AH191" s="311">
        <f>SUMIFS([1]!Data_CF[Value],[1]!Data_CF[Index CF],'Khanh Nga'!$B191,[1]!Data_CF[TenCongTyID],'Khanh Nga'!$B$1,[1]!Data_CF[Thang.Nam],'Khanh Nga'!AH$155)</f>
        <v>0</v>
      </c>
      <c r="AI191" s="311">
        <f>SUMIFS([1]!Data_CF[Value],[1]!Data_CF[Index CF],'Khanh Nga'!$B191,[1]!Data_CF[TenCongTyID],'Khanh Nga'!$B$1,[1]!Data_CF[Thang.Nam],'Khanh Nga'!AI$155)</f>
        <v>0</v>
      </c>
      <c r="AJ191" s="311">
        <f>SUMIFS([1]!Data_CF[Value],[1]!Data_CF[Index CF],'Khanh Nga'!$B191,[1]!Data_CF[TenCongTyID],'Khanh Nga'!$B$1,[1]!Data_CF[Thang.Nam],'Khanh Nga'!AJ$155)</f>
        <v>0</v>
      </c>
      <c r="AK191" s="311">
        <f>SUMIFS([1]!Data_CF[Value],[1]!Data_CF[Index CF],'Khanh Nga'!$B191,[1]!Data_CF[TenCongTyID],'Khanh Nga'!$B$1,[1]!Data_CF[Thang.Nam],'Khanh Nga'!AK$155)</f>
        <v>0</v>
      </c>
      <c r="AL191" s="311">
        <f>SUMIFS([1]!Data_CF[Value],[1]!Data_CF[Index CF],'Khanh Nga'!$B191,[1]!Data_CF[TenCongTyID],'Khanh Nga'!$B$1,[1]!Data_CF[Thang.Nam],'Khanh Nga'!AL$155)</f>
        <v>0</v>
      </c>
    </row>
    <row r="192" spans="1:38" ht="15" customHeight="1">
      <c r="A192" s="145" t="s">
        <v>278</v>
      </c>
      <c r="B192" s="146">
        <v>37</v>
      </c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>
        <f>SUM(W186:W191)</f>
        <v>0</v>
      </c>
      <c r="X192" s="319"/>
      <c r="Y192" s="319"/>
      <c r="Z192" s="319">
        <v>0</v>
      </c>
      <c r="AA192" s="313">
        <f>SUMIFS([1]!Data_CF[Value],[1]!Data_CF[Index CF],'Khanh Nga'!$B192,[1]!Data_CF[TenCongTyID],'Khanh Nga'!$B$1,[1]!Data_CF[Thang.Nam],'Khanh Nga'!AA$155)</f>
        <v>0</v>
      </c>
      <c r="AB192" s="313">
        <f>SUMIFS([1]!Data_CF[Value],[1]!Data_CF[Index CF],'Khanh Nga'!$B192,[1]!Data_CF[TenCongTyID],'Khanh Nga'!$B$1,[1]!Data_CF[Thang.Nam],'Khanh Nga'!AB$155)</f>
        <v>0</v>
      </c>
      <c r="AC192" s="313">
        <f>SUMIFS([1]!Data_CF[Value],[1]!Data_CF[Index CF],'Khanh Nga'!$B192,[1]!Data_CF[TenCongTyID],'Khanh Nga'!$B$1,[1]!Data_CF[Thang.Nam],'Khanh Nga'!AC$155)</f>
        <v>0</v>
      </c>
      <c r="AD192" s="313">
        <f>SUMIFS([1]!Data_CF[Value],[1]!Data_CF[Index CF],'Khanh Nga'!$B192,[1]!Data_CF[TenCongTyID],'Khanh Nga'!$B$1,[1]!Data_CF[Thang.Nam],'Khanh Nga'!AD$155)</f>
        <v>0</v>
      </c>
      <c r="AE192" s="313">
        <f>SUMIFS([1]!Data_CF[Value],[1]!Data_CF[Index CF],'Khanh Nga'!$B192,[1]!Data_CF[TenCongTyID],'Khanh Nga'!$B$1,[1]!Data_CF[Thang.Nam],'Khanh Nga'!AE$155)</f>
        <v>0</v>
      </c>
      <c r="AF192" s="313">
        <f>SUMIFS([1]!Data_CF[Value],[1]!Data_CF[Index CF],'Khanh Nga'!$B192,[1]!Data_CF[TenCongTyID],'Khanh Nga'!$B$1,[1]!Data_CF[Thang.Nam],'Khanh Nga'!AF$155)</f>
        <v>0</v>
      </c>
      <c r="AG192" s="313">
        <f>SUMIFS([1]!Data_CF[Value],[1]!Data_CF[Index CF],'Khanh Nga'!$B192,[1]!Data_CF[TenCongTyID],'Khanh Nga'!$B$1,[1]!Data_CF[Thang.Nam],'Khanh Nga'!AG$155)</f>
        <v>0</v>
      </c>
      <c r="AH192" s="313">
        <f>SUMIFS([1]!Data_CF[Value],[1]!Data_CF[Index CF],'Khanh Nga'!$B192,[1]!Data_CF[TenCongTyID],'Khanh Nga'!$B$1,[1]!Data_CF[Thang.Nam],'Khanh Nga'!AH$155)</f>
        <v>0</v>
      </c>
      <c r="AI192" s="313">
        <f>SUMIFS([1]!Data_CF[Value],[1]!Data_CF[Index CF],'Khanh Nga'!$B192,[1]!Data_CF[TenCongTyID],'Khanh Nga'!$B$1,[1]!Data_CF[Thang.Nam],'Khanh Nga'!AI$155)</f>
        <v>0</v>
      </c>
      <c r="AJ192" s="313">
        <f>SUMIFS([1]!Data_CF[Value],[1]!Data_CF[Index CF],'Khanh Nga'!$B192,[1]!Data_CF[TenCongTyID],'Khanh Nga'!$B$1,[1]!Data_CF[Thang.Nam],'Khanh Nga'!AJ$155)</f>
        <v>0</v>
      </c>
      <c r="AK192" s="313">
        <f>SUMIFS([1]!Data_CF[Value],[1]!Data_CF[Index CF],'Khanh Nga'!$B192,[1]!Data_CF[TenCongTyID],'Khanh Nga'!$B$1,[1]!Data_CF[Thang.Nam],'Khanh Nga'!AK$155)</f>
        <v>0</v>
      </c>
      <c r="AL192" s="313">
        <f>SUMIFS([1]!Data_CF[Value],[1]!Data_CF[Index CF],'Khanh Nga'!$B192,[1]!Data_CF[TenCongTyID],'Khanh Nga'!$B$1,[1]!Data_CF[Thang.Nam],'Khanh Nga'!AL$155)</f>
        <v>0</v>
      </c>
    </row>
    <row r="193" spans="1:38" ht="15" customHeight="1">
      <c r="A193" s="167" t="s">
        <v>279</v>
      </c>
      <c r="B193" s="168">
        <v>38</v>
      </c>
      <c r="C193" s="345">
        <f>SUM(C175,C184,C192)</f>
        <v>442177192.99999928</v>
      </c>
      <c r="D193" s="345">
        <f t="shared" ref="D193:W193" si="12">SUM(D175,D184,D192)</f>
        <v>-1164903556</v>
      </c>
      <c r="E193" s="345">
        <f t="shared" si="12"/>
        <v>3105500871.0000005</v>
      </c>
      <c r="F193" s="345">
        <f t="shared" si="12"/>
        <v>-68142372.000000477</v>
      </c>
      <c r="G193" s="345">
        <f t="shared" si="12"/>
        <v>-1677502027.0000002</v>
      </c>
      <c r="H193" s="345">
        <f t="shared" si="12"/>
        <v>1050084028</v>
      </c>
      <c r="I193" s="345">
        <f t="shared" si="12"/>
        <v>1318570034</v>
      </c>
      <c r="J193" s="345">
        <f t="shared" si="12"/>
        <v>1480828216</v>
      </c>
      <c r="K193" s="345">
        <f t="shared" si="12"/>
        <v>-1702085928</v>
      </c>
      <c r="L193" s="345">
        <f t="shared" si="12"/>
        <v>2316168601</v>
      </c>
      <c r="M193" s="345">
        <f t="shared" si="12"/>
        <v>-1140439192.9965801</v>
      </c>
      <c r="N193" s="345">
        <f>SUM(N175,N184,N192)</f>
        <v>-73017807.996581793</v>
      </c>
      <c r="O193" s="345">
        <f t="shared" si="12"/>
        <v>-4920197105.9998999</v>
      </c>
      <c r="P193" s="345">
        <f t="shared" si="12"/>
        <v>809418661.99989939</v>
      </c>
      <c r="Q193" s="345">
        <f t="shared" si="12"/>
        <v>1989889097.000001</v>
      </c>
      <c r="R193" s="345">
        <f t="shared" si="12"/>
        <v>-349577355.00000048</v>
      </c>
      <c r="S193" s="345">
        <f t="shared" si="12"/>
        <v>-643302849</v>
      </c>
      <c r="T193" s="345">
        <f t="shared" si="12"/>
        <v>1280310652</v>
      </c>
      <c r="U193" s="345">
        <f t="shared" si="12"/>
        <v>2125350047.0000997</v>
      </c>
      <c r="V193" s="345">
        <f t="shared" si="12"/>
        <v>2785996598</v>
      </c>
      <c r="W193" s="345">
        <f t="shared" si="12"/>
        <v>-385526961.00009942</v>
      </c>
      <c r="X193" s="345">
        <v>93653320</v>
      </c>
      <c r="Y193" s="345">
        <v>181966510</v>
      </c>
      <c r="Z193" s="345">
        <v>-6231789146</v>
      </c>
      <c r="AA193" s="369">
        <f>SUMIFS([1]!Data_CF[Value],[1]!Data_CF[Index CF],'Khanh Nga'!$B193,[1]!Data_CF[TenCongTyID],'Khanh Nga'!$B$1,[1]!Data_CF[Thang.Nam],'Khanh Nga'!AA$155)</f>
        <v>0</v>
      </c>
      <c r="AB193" s="369">
        <f>SUMIFS([1]!Data_CF[Value],[1]!Data_CF[Index CF],'Khanh Nga'!$B193,[1]!Data_CF[TenCongTyID],'Khanh Nga'!$B$1,[1]!Data_CF[Thang.Nam],'Khanh Nga'!AB$155)</f>
        <v>0</v>
      </c>
      <c r="AC193" s="369">
        <f>SUMIFS([1]!Data_CF[Value],[1]!Data_CF[Index CF],'Khanh Nga'!$B193,[1]!Data_CF[TenCongTyID],'Khanh Nga'!$B$1,[1]!Data_CF[Thang.Nam],'Khanh Nga'!AC$155)</f>
        <v>0</v>
      </c>
      <c r="AD193" s="369">
        <f>SUMIFS([1]!Data_CF[Value],[1]!Data_CF[Index CF],'Khanh Nga'!$B193,[1]!Data_CF[TenCongTyID],'Khanh Nga'!$B$1,[1]!Data_CF[Thang.Nam],'Khanh Nga'!AD$155)</f>
        <v>0</v>
      </c>
      <c r="AE193" s="369">
        <f>SUMIFS([1]!Data_CF[Value],[1]!Data_CF[Index CF],'Khanh Nga'!$B193,[1]!Data_CF[TenCongTyID],'Khanh Nga'!$B$1,[1]!Data_CF[Thang.Nam],'Khanh Nga'!AE$155)</f>
        <v>0</v>
      </c>
      <c r="AF193" s="369">
        <f>SUMIFS([1]!Data_CF[Value],[1]!Data_CF[Index CF],'Khanh Nga'!$B193,[1]!Data_CF[TenCongTyID],'Khanh Nga'!$B$1,[1]!Data_CF[Thang.Nam],'Khanh Nga'!AF$155)</f>
        <v>0</v>
      </c>
      <c r="AG193" s="369">
        <f>SUMIFS([1]!Data_CF[Value],[1]!Data_CF[Index CF],'Khanh Nga'!$B193,[1]!Data_CF[TenCongTyID],'Khanh Nga'!$B$1,[1]!Data_CF[Thang.Nam],'Khanh Nga'!AG$155)</f>
        <v>0</v>
      </c>
      <c r="AH193" s="369">
        <f>SUMIFS([1]!Data_CF[Value],[1]!Data_CF[Index CF],'Khanh Nga'!$B193,[1]!Data_CF[TenCongTyID],'Khanh Nga'!$B$1,[1]!Data_CF[Thang.Nam],'Khanh Nga'!AH$155)</f>
        <v>0</v>
      </c>
      <c r="AI193" s="369">
        <f>SUMIFS([1]!Data_CF[Value],[1]!Data_CF[Index CF],'Khanh Nga'!$B193,[1]!Data_CF[TenCongTyID],'Khanh Nga'!$B$1,[1]!Data_CF[Thang.Nam],'Khanh Nga'!AI$155)</f>
        <v>0</v>
      </c>
      <c r="AJ193" s="369">
        <f>SUMIFS([1]!Data_CF[Value],[1]!Data_CF[Index CF],'Khanh Nga'!$B193,[1]!Data_CF[TenCongTyID],'Khanh Nga'!$B$1,[1]!Data_CF[Thang.Nam],'Khanh Nga'!AJ$155)</f>
        <v>0</v>
      </c>
      <c r="AK193" s="369">
        <f>SUMIFS([1]!Data_CF[Value],[1]!Data_CF[Index CF],'Khanh Nga'!$B193,[1]!Data_CF[TenCongTyID],'Khanh Nga'!$B$1,[1]!Data_CF[Thang.Nam],'Khanh Nga'!AK$155)</f>
        <v>0</v>
      </c>
      <c r="AL193" s="369">
        <f>SUMIFS([1]!Data_CF[Value],[1]!Data_CF[Index CF],'Khanh Nga'!$B193,[1]!Data_CF[TenCongTyID],'Khanh Nga'!$B$1,[1]!Data_CF[Thang.Nam],'Khanh Nga'!AL$155)</f>
        <v>0</v>
      </c>
    </row>
    <row r="194" spans="1:38" ht="15" customHeight="1">
      <c r="A194" s="145" t="s">
        <v>280</v>
      </c>
      <c r="B194" s="146">
        <v>39</v>
      </c>
      <c r="C194" s="319">
        <v>2116625280.9965806</v>
      </c>
      <c r="D194" s="319">
        <v>2558802473.9965801</v>
      </c>
      <c r="E194" s="319">
        <v>1393898917.9965801</v>
      </c>
      <c r="F194" s="319">
        <v>4499399788.9965801</v>
      </c>
      <c r="G194" s="319">
        <v>4431257416.9965801</v>
      </c>
      <c r="H194" s="319">
        <v>2753755389.9965801</v>
      </c>
      <c r="I194" s="319">
        <v>3803839417.9965801</v>
      </c>
      <c r="J194" s="319">
        <v>5122409451.9965801</v>
      </c>
      <c r="K194" s="319">
        <v>6603237667.9965801</v>
      </c>
      <c r="L194" s="319">
        <v>4901151739.9965801</v>
      </c>
      <c r="M194" s="319">
        <v>7217320340.9965801</v>
      </c>
      <c r="N194" s="346">
        <v>6076881147.9965801</v>
      </c>
      <c r="O194" s="346">
        <v>6003863339.996582</v>
      </c>
      <c r="P194" s="346">
        <v>1083666233.9966822</v>
      </c>
      <c r="Q194" s="346">
        <v>1893084895.9965816</v>
      </c>
      <c r="R194" s="346">
        <v>3882973992.9965825</v>
      </c>
      <c r="S194" s="346">
        <v>3533396637.996582</v>
      </c>
      <c r="T194" s="346">
        <v>2890093788.996582</v>
      </c>
      <c r="U194" s="346">
        <v>4170404440.996582</v>
      </c>
      <c r="V194" s="346">
        <v>6295754487.9966812</v>
      </c>
      <c r="W194" s="346">
        <f>V196</f>
        <v>9081751085.9966812</v>
      </c>
      <c r="X194" s="346">
        <v>8696224124.996582</v>
      </c>
      <c r="Y194" s="346">
        <v>8789877444.996582</v>
      </c>
      <c r="Z194" s="346">
        <v>8971843955</v>
      </c>
      <c r="AA194" s="344">
        <f>SUMIFS([1]!Data_CF[Value],[1]!Data_CF[Index CF],'Khanh Nga'!$B194,[1]!Data_CF[TenCongTyID],'Khanh Nga'!$B$1,[1]!Data_CF[Thang.Nam],'Khanh Nga'!AA$155)</f>
        <v>0</v>
      </c>
      <c r="AB194" s="344">
        <f>SUMIFS([1]!Data_CF[Value],[1]!Data_CF[Index CF],'Khanh Nga'!$B194,[1]!Data_CF[TenCongTyID],'Khanh Nga'!$B$1,[1]!Data_CF[Thang.Nam],'Khanh Nga'!AB$155)</f>
        <v>0</v>
      </c>
      <c r="AC194" s="344">
        <f>SUMIFS([1]!Data_CF[Value],[1]!Data_CF[Index CF],'Khanh Nga'!$B194,[1]!Data_CF[TenCongTyID],'Khanh Nga'!$B$1,[1]!Data_CF[Thang.Nam],'Khanh Nga'!AC$155)</f>
        <v>0</v>
      </c>
      <c r="AD194" s="344">
        <f>SUMIFS([1]!Data_CF[Value],[1]!Data_CF[Index CF],'Khanh Nga'!$B194,[1]!Data_CF[TenCongTyID],'Khanh Nga'!$B$1,[1]!Data_CF[Thang.Nam],'Khanh Nga'!AD$155)</f>
        <v>0</v>
      </c>
      <c r="AE194" s="344">
        <f>SUMIFS([1]!Data_CF[Value],[1]!Data_CF[Index CF],'Khanh Nga'!$B194,[1]!Data_CF[TenCongTyID],'Khanh Nga'!$B$1,[1]!Data_CF[Thang.Nam],'Khanh Nga'!AE$155)</f>
        <v>0</v>
      </c>
      <c r="AF194" s="344">
        <f>SUMIFS([1]!Data_CF[Value],[1]!Data_CF[Index CF],'Khanh Nga'!$B194,[1]!Data_CF[TenCongTyID],'Khanh Nga'!$B$1,[1]!Data_CF[Thang.Nam],'Khanh Nga'!AF$155)</f>
        <v>0</v>
      </c>
      <c r="AG194" s="344">
        <f>SUMIFS([1]!Data_CF[Value],[1]!Data_CF[Index CF],'Khanh Nga'!$B194,[1]!Data_CF[TenCongTyID],'Khanh Nga'!$B$1,[1]!Data_CF[Thang.Nam],'Khanh Nga'!AG$155)</f>
        <v>0</v>
      </c>
      <c r="AH194" s="344">
        <f>SUMIFS([1]!Data_CF[Value],[1]!Data_CF[Index CF],'Khanh Nga'!$B194,[1]!Data_CF[TenCongTyID],'Khanh Nga'!$B$1,[1]!Data_CF[Thang.Nam],'Khanh Nga'!AH$155)</f>
        <v>0</v>
      </c>
      <c r="AI194" s="344">
        <f>SUMIFS([1]!Data_CF[Value],[1]!Data_CF[Index CF],'Khanh Nga'!$B194,[1]!Data_CF[TenCongTyID],'Khanh Nga'!$B$1,[1]!Data_CF[Thang.Nam],'Khanh Nga'!AI$155)</f>
        <v>0</v>
      </c>
      <c r="AJ194" s="344">
        <f>SUMIFS([1]!Data_CF[Value],[1]!Data_CF[Index CF],'Khanh Nga'!$B194,[1]!Data_CF[TenCongTyID],'Khanh Nga'!$B$1,[1]!Data_CF[Thang.Nam],'Khanh Nga'!AJ$155)</f>
        <v>0</v>
      </c>
      <c r="AK194" s="344">
        <f>SUMIFS([1]!Data_CF[Value],[1]!Data_CF[Index CF],'Khanh Nga'!$B194,[1]!Data_CF[TenCongTyID],'Khanh Nga'!$B$1,[1]!Data_CF[Thang.Nam],'Khanh Nga'!AK$155)</f>
        <v>0</v>
      </c>
      <c r="AL194" s="344">
        <f>SUMIFS([1]!Data_CF[Value],[1]!Data_CF[Index CF],'Khanh Nga'!$B194,[1]!Data_CF[TenCongTyID],'Khanh Nga'!$B$1,[1]!Data_CF[Thang.Nam],'Khanh Nga'!AL$155)</f>
        <v>0</v>
      </c>
    </row>
    <row r="195" spans="1:38" ht="15" customHeight="1">
      <c r="A195" s="170" t="s">
        <v>281</v>
      </c>
      <c r="B195" s="171">
        <v>40</v>
      </c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>
        <v>0</v>
      </c>
      <c r="AA195" s="325">
        <f>SUMIFS([1]!Data_CF[Value],[1]!Data_CF[Index CF],'Khanh Nga'!$B195,[1]!Data_CF[TenCongTyID],'Khanh Nga'!$B$1,[1]!Data_CF[Thang.Nam],'Khanh Nga'!AA$155)</f>
        <v>0</v>
      </c>
      <c r="AB195" s="325">
        <f>SUMIFS([1]!Data_CF[Value],[1]!Data_CF[Index CF],'Khanh Nga'!$B195,[1]!Data_CF[TenCongTyID],'Khanh Nga'!$B$1,[1]!Data_CF[Thang.Nam],'Khanh Nga'!AB$155)</f>
        <v>0</v>
      </c>
      <c r="AC195" s="325">
        <f>SUMIFS([1]!Data_CF[Value],[1]!Data_CF[Index CF],'Khanh Nga'!$B195,[1]!Data_CF[TenCongTyID],'Khanh Nga'!$B$1,[1]!Data_CF[Thang.Nam],'Khanh Nga'!AC$155)</f>
        <v>0</v>
      </c>
      <c r="AD195" s="325">
        <f>SUMIFS([1]!Data_CF[Value],[1]!Data_CF[Index CF],'Khanh Nga'!$B195,[1]!Data_CF[TenCongTyID],'Khanh Nga'!$B$1,[1]!Data_CF[Thang.Nam],'Khanh Nga'!AD$155)</f>
        <v>0</v>
      </c>
      <c r="AE195" s="325">
        <f>SUMIFS([1]!Data_CF[Value],[1]!Data_CF[Index CF],'Khanh Nga'!$B195,[1]!Data_CF[TenCongTyID],'Khanh Nga'!$B$1,[1]!Data_CF[Thang.Nam],'Khanh Nga'!AE$155)</f>
        <v>0</v>
      </c>
      <c r="AF195" s="325">
        <f>SUMIFS([1]!Data_CF[Value],[1]!Data_CF[Index CF],'Khanh Nga'!$B195,[1]!Data_CF[TenCongTyID],'Khanh Nga'!$B$1,[1]!Data_CF[Thang.Nam],'Khanh Nga'!AF$155)</f>
        <v>0</v>
      </c>
      <c r="AG195" s="325">
        <f>SUMIFS([1]!Data_CF[Value],[1]!Data_CF[Index CF],'Khanh Nga'!$B195,[1]!Data_CF[TenCongTyID],'Khanh Nga'!$B$1,[1]!Data_CF[Thang.Nam],'Khanh Nga'!AG$155)</f>
        <v>0</v>
      </c>
      <c r="AH195" s="325">
        <f>SUMIFS([1]!Data_CF[Value],[1]!Data_CF[Index CF],'Khanh Nga'!$B195,[1]!Data_CF[TenCongTyID],'Khanh Nga'!$B$1,[1]!Data_CF[Thang.Nam],'Khanh Nga'!AH$155)</f>
        <v>0</v>
      </c>
      <c r="AI195" s="325">
        <f>SUMIFS([1]!Data_CF[Value],[1]!Data_CF[Index CF],'Khanh Nga'!$B195,[1]!Data_CF[TenCongTyID],'Khanh Nga'!$B$1,[1]!Data_CF[Thang.Nam],'Khanh Nga'!AI$155)</f>
        <v>0</v>
      </c>
      <c r="AJ195" s="325">
        <f>SUMIFS([1]!Data_CF[Value],[1]!Data_CF[Index CF],'Khanh Nga'!$B195,[1]!Data_CF[TenCongTyID],'Khanh Nga'!$B$1,[1]!Data_CF[Thang.Nam],'Khanh Nga'!AJ$155)</f>
        <v>0</v>
      </c>
      <c r="AK195" s="325">
        <f>SUMIFS([1]!Data_CF[Value],[1]!Data_CF[Index CF],'Khanh Nga'!$B195,[1]!Data_CF[TenCongTyID],'Khanh Nga'!$B$1,[1]!Data_CF[Thang.Nam],'Khanh Nga'!AK$155)</f>
        <v>0</v>
      </c>
      <c r="AL195" s="325">
        <f>SUMIFS([1]!Data_CF[Value],[1]!Data_CF[Index CF],'Khanh Nga'!$B195,[1]!Data_CF[TenCongTyID],'Khanh Nga'!$B$1,[1]!Data_CF[Thang.Nam],'Khanh Nga'!AL$155)</f>
        <v>0</v>
      </c>
    </row>
    <row r="196" spans="1:38" ht="15" customHeight="1">
      <c r="A196" s="145" t="s">
        <v>282</v>
      </c>
      <c r="B196" s="146">
        <v>41</v>
      </c>
      <c r="C196" s="319">
        <f>C193+C194</f>
        <v>2558802473.9965801</v>
      </c>
      <c r="D196" s="319">
        <f t="shared" ref="D196:W196" si="13">D193+D194</f>
        <v>1393898917.9965801</v>
      </c>
      <c r="E196" s="319">
        <f t="shared" si="13"/>
        <v>4499399788.9965801</v>
      </c>
      <c r="F196" s="319">
        <f t="shared" si="13"/>
        <v>4431257416.9965801</v>
      </c>
      <c r="G196" s="319">
        <f t="shared" si="13"/>
        <v>2753755389.9965801</v>
      </c>
      <c r="H196" s="319">
        <f t="shared" si="13"/>
        <v>3803839417.9965801</v>
      </c>
      <c r="I196" s="319">
        <f t="shared" si="13"/>
        <v>5122409451.9965801</v>
      </c>
      <c r="J196" s="319">
        <f t="shared" si="13"/>
        <v>6603237667.9965801</v>
      </c>
      <c r="K196" s="319">
        <f t="shared" si="13"/>
        <v>4901151739.9965801</v>
      </c>
      <c r="L196" s="319">
        <f t="shared" si="13"/>
        <v>7217320340.9965801</v>
      </c>
      <c r="M196" s="319">
        <f t="shared" si="13"/>
        <v>6076881148</v>
      </c>
      <c r="N196" s="319">
        <f t="shared" si="13"/>
        <v>6003863339.9999981</v>
      </c>
      <c r="O196" s="319">
        <f t="shared" si="13"/>
        <v>1083666233.9966822</v>
      </c>
      <c r="P196" s="319">
        <f t="shared" si="13"/>
        <v>1893084895.9965816</v>
      </c>
      <c r="Q196" s="319">
        <f t="shared" si="13"/>
        <v>3882973992.9965825</v>
      </c>
      <c r="R196" s="319">
        <f t="shared" si="13"/>
        <v>3533396637.996582</v>
      </c>
      <c r="S196" s="319">
        <f t="shared" si="13"/>
        <v>2890093788.996582</v>
      </c>
      <c r="T196" s="319">
        <f t="shared" si="13"/>
        <v>4170404440.996582</v>
      </c>
      <c r="U196" s="319">
        <f t="shared" si="13"/>
        <v>6295754487.9966812</v>
      </c>
      <c r="V196" s="319">
        <f t="shared" si="13"/>
        <v>9081751085.9966812</v>
      </c>
      <c r="W196" s="319">
        <f t="shared" si="13"/>
        <v>8696224124.996582</v>
      </c>
      <c r="X196" s="319">
        <v>8789877444.996582</v>
      </c>
      <c r="Y196" s="319">
        <v>8971843954.996582</v>
      </c>
      <c r="Z196" s="319">
        <v>2740054809</v>
      </c>
      <c r="AA196" s="313">
        <f>SUMIFS([1]!Data_CF[Value],[1]!Data_CF[Index CF],'Khanh Nga'!$B196,[1]!Data_CF[TenCongTyID],'Khanh Nga'!$B$1,[1]!Data_CF[Thang.Nam],'Khanh Nga'!AA$155)</f>
        <v>0</v>
      </c>
      <c r="AB196" s="313">
        <f>SUMIFS([1]!Data_CF[Value],[1]!Data_CF[Index CF],'Khanh Nga'!$B196,[1]!Data_CF[TenCongTyID],'Khanh Nga'!$B$1,[1]!Data_CF[Thang.Nam],'Khanh Nga'!AB$155)</f>
        <v>0</v>
      </c>
      <c r="AC196" s="313">
        <f>SUMIFS([1]!Data_CF[Value],[1]!Data_CF[Index CF],'Khanh Nga'!$B196,[1]!Data_CF[TenCongTyID],'Khanh Nga'!$B$1,[1]!Data_CF[Thang.Nam],'Khanh Nga'!AC$155)</f>
        <v>0</v>
      </c>
      <c r="AD196" s="313">
        <f>SUMIFS([1]!Data_CF[Value],[1]!Data_CF[Index CF],'Khanh Nga'!$B196,[1]!Data_CF[TenCongTyID],'Khanh Nga'!$B$1,[1]!Data_CF[Thang.Nam],'Khanh Nga'!AD$155)</f>
        <v>0</v>
      </c>
      <c r="AE196" s="313">
        <f>SUMIFS([1]!Data_CF[Value],[1]!Data_CF[Index CF],'Khanh Nga'!$B196,[1]!Data_CF[TenCongTyID],'Khanh Nga'!$B$1,[1]!Data_CF[Thang.Nam],'Khanh Nga'!AE$155)</f>
        <v>0</v>
      </c>
      <c r="AF196" s="313">
        <f>SUMIFS([1]!Data_CF[Value],[1]!Data_CF[Index CF],'Khanh Nga'!$B196,[1]!Data_CF[TenCongTyID],'Khanh Nga'!$B$1,[1]!Data_CF[Thang.Nam],'Khanh Nga'!AF$155)</f>
        <v>0</v>
      </c>
      <c r="AG196" s="313">
        <f>SUMIFS([1]!Data_CF[Value],[1]!Data_CF[Index CF],'Khanh Nga'!$B196,[1]!Data_CF[TenCongTyID],'Khanh Nga'!$B$1,[1]!Data_CF[Thang.Nam],'Khanh Nga'!AG$155)</f>
        <v>0</v>
      </c>
      <c r="AH196" s="313">
        <f>SUMIFS([1]!Data_CF[Value],[1]!Data_CF[Index CF],'Khanh Nga'!$B196,[1]!Data_CF[TenCongTyID],'Khanh Nga'!$B$1,[1]!Data_CF[Thang.Nam],'Khanh Nga'!AH$155)</f>
        <v>0</v>
      </c>
      <c r="AI196" s="313">
        <f>SUMIFS([1]!Data_CF[Value],[1]!Data_CF[Index CF],'Khanh Nga'!$B196,[1]!Data_CF[TenCongTyID],'Khanh Nga'!$B$1,[1]!Data_CF[Thang.Nam],'Khanh Nga'!AI$155)</f>
        <v>0</v>
      </c>
      <c r="AJ196" s="313">
        <f>SUMIFS([1]!Data_CF[Value],[1]!Data_CF[Index CF],'Khanh Nga'!$B196,[1]!Data_CF[TenCongTyID],'Khanh Nga'!$B$1,[1]!Data_CF[Thang.Nam],'Khanh Nga'!AJ$155)</f>
        <v>0</v>
      </c>
      <c r="AK196" s="313">
        <f>SUMIFS([1]!Data_CF[Value],[1]!Data_CF[Index CF],'Khanh Nga'!$B196,[1]!Data_CF[TenCongTyID],'Khanh Nga'!$B$1,[1]!Data_CF[Thang.Nam],'Khanh Nga'!AK$155)</f>
        <v>0</v>
      </c>
      <c r="AL196" s="313">
        <f>SUMIFS([1]!Data_CF[Value],[1]!Data_CF[Index CF],'Khanh Nga'!$B196,[1]!Data_CF[TenCongTyID],'Khanh Nga'!$B$1,[1]!Data_CF[Thang.Nam],'Khanh Nga'!AL$155)</f>
        <v>0</v>
      </c>
    </row>
    <row r="197" spans="1:38" ht="15" customHeight="1">
      <c r="C197" s="175">
        <f t="shared" ref="C197:Y197" si="14">C7-C196</f>
        <v>3.4198760986328125E-3</v>
      </c>
      <c r="D197" s="175">
        <f t="shared" si="14"/>
        <v>3.4198760986328125E-3</v>
      </c>
      <c r="E197" s="175">
        <f t="shared" si="14"/>
        <v>3.4198760986328125E-3</v>
      </c>
      <c r="F197" s="175">
        <f t="shared" si="14"/>
        <v>3.4198760986328125E-3</v>
      </c>
      <c r="G197" s="175">
        <f t="shared" si="14"/>
        <v>3.4198760986328125E-3</v>
      </c>
      <c r="H197" s="175">
        <f t="shared" si="14"/>
        <v>3.4198760986328125E-3</v>
      </c>
      <c r="I197" s="175">
        <f t="shared" si="14"/>
        <v>3.4198760986328125E-3</v>
      </c>
      <c r="J197" s="175">
        <f t="shared" si="14"/>
        <v>3.4198760986328125E-3</v>
      </c>
      <c r="K197" s="175">
        <f t="shared" si="14"/>
        <v>3.4198760986328125E-3</v>
      </c>
      <c r="L197" s="175">
        <f t="shared" si="14"/>
        <v>3.4198760986328125E-3</v>
      </c>
      <c r="M197" s="175">
        <f t="shared" si="14"/>
        <v>0</v>
      </c>
      <c r="N197" s="175">
        <f t="shared" si="14"/>
        <v>0</v>
      </c>
      <c r="O197" s="175">
        <f t="shared" si="14"/>
        <v>3.3178329467773438E-3</v>
      </c>
      <c r="P197" s="175">
        <f t="shared" si="14"/>
        <v>3.4184455871582031E-3</v>
      </c>
      <c r="Q197" s="175">
        <f t="shared" si="14"/>
        <v>3.4174919128417969E-3</v>
      </c>
      <c r="R197" s="175">
        <f t="shared" si="14"/>
        <v>3.41796875E-3</v>
      </c>
      <c r="S197" s="175">
        <f t="shared" si="14"/>
        <v>3.41796875E-3</v>
      </c>
      <c r="T197" s="175">
        <f t="shared" si="14"/>
        <v>3.41796875E-3</v>
      </c>
      <c r="U197" s="175">
        <f t="shared" si="14"/>
        <v>3.31878662109375E-3</v>
      </c>
      <c r="V197" s="175">
        <f t="shared" si="14"/>
        <v>3.31878662109375E-3</v>
      </c>
      <c r="W197" s="175">
        <f t="shared" si="14"/>
        <v>3.41796875E-3</v>
      </c>
      <c r="X197" s="175">
        <f t="shared" si="14"/>
        <v>3.41796875E-3</v>
      </c>
      <c r="Y197" s="175">
        <f t="shared" si="14"/>
        <v>3.41796875E-3</v>
      </c>
      <c r="Z197" s="175">
        <v>0</v>
      </c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</row>
    <row r="198" spans="1:38" ht="15" customHeight="1">
      <c r="A198" s="176" t="s">
        <v>283</v>
      </c>
      <c r="B198" s="177" t="s">
        <v>284</v>
      </c>
      <c r="C198" s="349" t="s">
        <v>66</v>
      </c>
      <c r="D198" s="349" t="s">
        <v>67</v>
      </c>
      <c r="E198" s="349" t="s">
        <v>68</v>
      </c>
      <c r="F198" s="349" t="s">
        <v>69</v>
      </c>
      <c r="G198" s="349" t="s">
        <v>70</v>
      </c>
      <c r="H198" s="349" t="s">
        <v>71</v>
      </c>
      <c r="I198" s="349" t="s">
        <v>72</v>
      </c>
      <c r="J198" s="349" t="s">
        <v>73</v>
      </c>
      <c r="K198" s="349" t="s">
        <v>74</v>
      </c>
      <c r="L198" s="349" t="s">
        <v>75</v>
      </c>
      <c r="M198" s="349" t="s">
        <v>76</v>
      </c>
      <c r="N198" s="349" t="s">
        <v>77</v>
      </c>
      <c r="O198" s="349" t="s">
        <v>78</v>
      </c>
      <c r="P198" s="349" t="s">
        <v>79</v>
      </c>
      <c r="Q198" s="349" t="s">
        <v>80</v>
      </c>
      <c r="R198" s="349" t="s">
        <v>81</v>
      </c>
      <c r="S198" s="349" t="s">
        <v>82</v>
      </c>
      <c r="T198" s="349" t="s">
        <v>83</v>
      </c>
      <c r="U198" s="349" t="s">
        <v>84</v>
      </c>
      <c r="V198" s="349" t="s">
        <v>85</v>
      </c>
      <c r="W198" s="349" t="s">
        <v>86</v>
      </c>
      <c r="X198" s="349" t="s">
        <v>87</v>
      </c>
      <c r="Y198" s="349" t="s">
        <v>88</v>
      </c>
      <c r="Z198" s="349" t="s">
        <v>89</v>
      </c>
      <c r="AA198" s="349" t="s">
        <v>8</v>
      </c>
      <c r="AB198" s="349" t="s">
        <v>9</v>
      </c>
      <c r="AC198" s="349" t="s">
        <v>10</v>
      </c>
      <c r="AD198" s="349" t="s">
        <v>11</v>
      </c>
      <c r="AE198" s="349" t="s">
        <v>12</v>
      </c>
      <c r="AF198" s="349" t="s">
        <v>13</v>
      </c>
      <c r="AG198" s="349" t="s">
        <v>14</v>
      </c>
      <c r="AH198" s="349" t="s">
        <v>15</v>
      </c>
      <c r="AI198" s="349" t="s">
        <v>16</v>
      </c>
      <c r="AJ198" s="349" t="s">
        <v>17</v>
      </c>
      <c r="AK198" s="349" t="s">
        <v>18</v>
      </c>
      <c r="AL198" s="349" t="s">
        <v>19</v>
      </c>
    </row>
    <row r="199" spans="1:38" ht="15" customHeight="1">
      <c r="A199" s="178" t="s">
        <v>285</v>
      </c>
      <c r="B199" s="179">
        <v>1</v>
      </c>
      <c r="C199" s="180">
        <v>47</v>
      </c>
      <c r="D199" s="180">
        <v>45</v>
      </c>
      <c r="E199" s="180">
        <v>44</v>
      </c>
      <c r="F199" s="180">
        <v>45</v>
      </c>
      <c r="G199" s="180">
        <v>43</v>
      </c>
      <c r="H199" s="180">
        <v>42</v>
      </c>
      <c r="I199" s="180">
        <v>41</v>
      </c>
      <c r="J199" s="180">
        <v>40</v>
      </c>
      <c r="K199" s="180">
        <v>40</v>
      </c>
      <c r="L199" s="180">
        <v>44</v>
      </c>
      <c r="M199" s="180">
        <v>44</v>
      </c>
      <c r="N199" s="180">
        <v>44</v>
      </c>
      <c r="O199" s="180">
        <v>46</v>
      </c>
      <c r="P199" s="180">
        <v>49</v>
      </c>
      <c r="Q199" s="180">
        <v>65</v>
      </c>
      <c r="R199" s="180">
        <v>53</v>
      </c>
      <c r="S199" s="180">
        <v>56</v>
      </c>
      <c r="T199" s="180">
        <v>66</v>
      </c>
      <c r="U199" s="180">
        <v>58</v>
      </c>
      <c r="V199" s="180">
        <v>55</v>
      </c>
      <c r="W199" s="180">
        <v>54</v>
      </c>
      <c r="X199" s="180">
        <v>51</v>
      </c>
      <c r="Y199" s="180">
        <v>52</v>
      </c>
      <c r="Z199" s="180">
        <v>57</v>
      </c>
      <c r="AA199" s="180">
        <f>SUMIFS([1]!Data_PL_Element[Value],[1]!Data_PL_Element[Index PL Element],'Khanh Nga'!$B199,[1]!Data_PL_Element[TenCongTyID],'Khanh Nga'!$B$1,[1]!Data_PL_Element[Thang.Nam],'Khanh Nga'!AA$198)</f>
        <v>0</v>
      </c>
      <c r="AB199" s="180">
        <f>SUMIFS([1]!Data_PL_Element[Value],[1]!Data_PL_Element[Index PL Element],'Khanh Nga'!$B199,[1]!Data_PL_Element[TenCongTyID],'Khanh Nga'!$B$1,[1]!Data_PL_Element[Thang.Nam],'Khanh Nga'!AB$198)</f>
        <v>0</v>
      </c>
      <c r="AC199" s="180">
        <f>SUMIFS([1]!Data_PL_Element[Value],[1]!Data_PL_Element[Index PL Element],'Khanh Nga'!$B199,[1]!Data_PL_Element[TenCongTyID],'Khanh Nga'!$B$1,[1]!Data_PL_Element[Thang.Nam],'Khanh Nga'!AC$198)</f>
        <v>0</v>
      </c>
      <c r="AD199" s="180">
        <f>SUMIFS([1]!Data_PL_Element[Value],[1]!Data_PL_Element[Index PL Element],'Khanh Nga'!$B199,[1]!Data_PL_Element[TenCongTyID],'Khanh Nga'!$B$1,[1]!Data_PL_Element[Thang.Nam],'Khanh Nga'!AD$198)</f>
        <v>0</v>
      </c>
      <c r="AE199" s="180">
        <f>SUMIFS([1]!Data_PL_Element[Value],[1]!Data_PL_Element[Index PL Element],'Khanh Nga'!$B199,[1]!Data_PL_Element[TenCongTyID],'Khanh Nga'!$B$1,[1]!Data_PL_Element[Thang.Nam],'Khanh Nga'!AE$198)</f>
        <v>0</v>
      </c>
      <c r="AF199" s="180">
        <f>SUMIFS([1]!Data_PL_Element[Value],[1]!Data_PL_Element[Index PL Element],'Khanh Nga'!$B199,[1]!Data_PL_Element[TenCongTyID],'Khanh Nga'!$B$1,[1]!Data_PL_Element[Thang.Nam],'Khanh Nga'!AF$198)</f>
        <v>0</v>
      </c>
      <c r="AG199" s="180">
        <f>SUMIFS([1]!Data_PL_Element[Value],[1]!Data_PL_Element[Index PL Element],'Khanh Nga'!$B199,[1]!Data_PL_Element[TenCongTyID],'Khanh Nga'!$B$1,[1]!Data_PL_Element[Thang.Nam],'Khanh Nga'!AG$198)</f>
        <v>0</v>
      </c>
      <c r="AH199" s="180">
        <f>SUMIFS([1]!Data_PL_Element[Value],[1]!Data_PL_Element[Index PL Element],'Khanh Nga'!$B199,[1]!Data_PL_Element[TenCongTyID],'Khanh Nga'!$B$1,[1]!Data_PL_Element[Thang.Nam],'Khanh Nga'!AH$198)</f>
        <v>0</v>
      </c>
      <c r="AI199" s="180">
        <f>SUMIFS([1]!Data_PL_Element[Value],[1]!Data_PL_Element[Index PL Element],'Khanh Nga'!$B199,[1]!Data_PL_Element[TenCongTyID],'Khanh Nga'!$B$1,[1]!Data_PL_Element[Thang.Nam],'Khanh Nga'!AI$198)</f>
        <v>0</v>
      </c>
      <c r="AJ199" s="180">
        <f>SUMIFS([1]!Data_PL_Element[Value],[1]!Data_PL_Element[Index PL Element],'Khanh Nga'!$B199,[1]!Data_PL_Element[TenCongTyID],'Khanh Nga'!$B$1,[1]!Data_PL_Element[Thang.Nam],'Khanh Nga'!AJ$198)</f>
        <v>0</v>
      </c>
      <c r="AK199" s="180">
        <f>SUMIFS([1]!Data_PL_Element[Value],[1]!Data_PL_Element[Index PL Element],'Khanh Nga'!$B199,[1]!Data_PL_Element[TenCongTyID],'Khanh Nga'!$B$1,[1]!Data_PL_Element[Thang.Nam],'Khanh Nga'!AK$198)</f>
        <v>0</v>
      </c>
      <c r="AL199" s="180">
        <f>SUMIFS([1]!Data_PL_Element[Value],[1]!Data_PL_Element[Index PL Element],'Khanh Nga'!$B199,[1]!Data_PL_Element[TenCongTyID],'Khanh Nga'!$B$1,[1]!Data_PL_Element[Thang.Nam],'Khanh Nga'!AL$198)</f>
        <v>0</v>
      </c>
    </row>
    <row r="200" spans="1:38" ht="15" customHeight="1">
      <c r="A200" s="178" t="s">
        <v>286</v>
      </c>
      <c r="B200" s="179">
        <v>2</v>
      </c>
      <c r="C200" s="180">
        <v>43</v>
      </c>
      <c r="D200" s="180">
        <v>41</v>
      </c>
      <c r="E200" s="180">
        <v>40</v>
      </c>
      <c r="F200" s="180">
        <v>41</v>
      </c>
      <c r="G200" s="180">
        <v>39</v>
      </c>
      <c r="H200" s="180">
        <v>38</v>
      </c>
      <c r="I200" s="180">
        <v>37</v>
      </c>
      <c r="J200" s="180">
        <v>36</v>
      </c>
      <c r="K200" s="180">
        <v>36</v>
      </c>
      <c r="L200" s="180">
        <v>40</v>
      </c>
      <c r="M200" s="180">
        <v>40</v>
      </c>
      <c r="N200" s="180">
        <v>40</v>
      </c>
      <c r="O200" s="180">
        <v>40</v>
      </c>
      <c r="P200" s="180">
        <v>43</v>
      </c>
      <c r="Q200" s="180">
        <v>60</v>
      </c>
      <c r="R200" s="180">
        <v>47</v>
      </c>
      <c r="S200" s="180">
        <v>51</v>
      </c>
      <c r="T200" s="180">
        <v>59</v>
      </c>
      <c r="U200" s="180">
        <v>51</v>
      </c>
      <c r="V200" s="180">
        <v>49</v>
      </c>
      <c r="W200" s="180">
        <v>48</v>
      </c>
      <c r="X200" s="180">
        <v>45</v>
      </c>
      <c r="Y200" s="180">
        <v>45</v>
      </c>
      <c r="Z200" s="180">
        <v>49</v>
      </c>
      <c r="AA200" s="180">
        <f>SUMIFS([1]!Data_PL_Element[Value],[1]!Data_PL_Element[Index PL Element],'Khanh Nga'!$B200,[1]!Data_PL_Element[TenCongTyID],'Khanh Nga'!$B$1,[1]!Data_PL_Element[Thang.Nam],'Khanh Nga'!AA$198)</f>
        <v>0</v>
      </c>
      <c r="AB200" s="180">
        <f>SUMIFS([1]!Data_PL_Element[Value],[1]!Data_PL_Element[Index PL Element],'Khanh Nga'!$B200,[1]!Data_PL_Element[TenCongTyID],'Khanh Nga'!$B$1,[1]!Data_PL_Element[Thang.Nam],'Khanh Nga'!AB$198)</f>
        <v>0</v>
      </c>
      <c r="AC200" s="180">
        <f>SUMIFS([1]!Data_PL_Element[Value],[1]!Data_PL_Element[Index PL Element],'Khanh Nga'!$B200,[1]!Data_PL_Element[TenCongTyID],'Khanh Nga'!$B$1,[1]!Data_PL_Element[Thang.Nam],'Khanh Nga'!AC$198)</f>
        <v>0</v>
      </c>
      <c r="AD200" s="180">
        <f>SUMIFS([1]!Data_PL_Element[Value],[1]!Data_PL_Element[Index PL Element],'Khanh Nga'!$B200,[1]!Data_PL_Element[TenCongTyID],'Khanh Nga'!$B$1,[1]!Data_PL_Element[Thang.Nam],'Khanh Nga'!AD$198)</f>
        <v>0</v>
      </c>
      <c r="AE200" s="180">
        <f>SUMIFS([1]!Data_PL_Element[Value],[1]!Data_PL_Element[Index PL Element],'Khanh Nga'!$B200,[1]!Data_PL_Element[TenCongTyID],'Khanh Nga'!$B$1,[1]!Data_PL_Element[Thang.Nam],'Khanh Nga'!AE$198)</f>
        <v>0</v>
      </c>
      <c r="AF200" s="180">
        <f>SUMIFS([1]!Data_PL_Element[Value],[1]!Data_PL_Element[Index PL Element],'Khanh Nga'!$B200,[1]!Data_PL_Element[TenCongTyID],'Khanh Nga'!$B$1,[1]!Data_PL_Element[Thang.Nam],'Khanh Nga'!AF$198)</f>
        <v>0</v>
      </c>
      <c r="AG200" s="180">
        <f>SUMIFS([1]!Data_PL_Element[Value],[1]!Data_PL_Element[Index PL Element],'Khanh Nga'!$B200,[1]!Data_PL_Element[TenCongTyID],'Khanh Nga'!$B$1,[1]!Data_PL_Element[Thang.Nam],'Khanh Nga'!AG$198)</f>
        <v>0</v>
      </c>
      <c r="AH200" s="180">
        <f>SUMIFS([1]!Data_PL_Element[Value],[1]!Data_PL_Element[Index PL Element],'Khanh Nga'!$B200,[1]!Data_PL_Element[TenCongTyID],'Khanh Nga'!$B$1,[1]!Data_PL_Element[Thang.Nam],'Khanh Nga'!AH$198)</f>
        <v>0</v>
      </c>
      <c r="AI200" s="180">
        <f>SUMIFS([1]!Data_PL_Element[Value],[1]!Data_PL_Element[Index PL Element],'Khanh Nga'!$B200,[1]!Data_PL_Element[TenCongTyID],'Khanh Nga'!$B$1,[1]!Data_PL_Element[Thang.Nam],'Khanh Nga'!AI$198)</f>
        <v>0</v>
      </c>
      <c r="AJ200" s="180">
        <f>SUMIFS([1]!Data_PL_Element[Value],[1]!Data_PL_Element[Index PL Element],'Khanh Nga'!$B200,[1]!Data_PL_Element[TenCongTyID],'Khanh Nga'!$B$1,[1]!Data_PL_Element[Thang.Nam],'Khanh Nga'!AJ$198)</f>
        <v>0</v>
      </c>
      <c r="AK200" s="180">
        <f>SUMIFS([1]!Data_PL_Element[Value],[1]!Data_PL_Element[Index PL Element],'Khanh Nga'!$B200,[1]!Data_PL_Element[TenCongTyID],'Khanh Nga'!$B$1,[1]!Data_PL_Element[Thang.Nam],'Khanh Nga'!AK$198)</f>
        <v>0</v>
      </c>
      <c r="AL200" s="180">
        <f>SUMIFS([1]!Data_PL_Element[Value],[1]!Data_PL_Element[Index PL Element],'Khanh Nga'!$B200,[1]!Data_PL_Element[TenCongTyID],'Khanh Nga'!$B$1,[1]!Data_PL_Element[Thang.Nam],'Khanh Nga'!AL$198)</f>
        <v>0</v>
      </c>
    </row>
    <row r="201" spans="1:38" ht="15" customHeight="1">
      <c r="A201" s="178" t="s">
        <v>287</v>
      </c>
      <c r="B201" s="179">
        <v>3</v>
      </c>
      <c r="C201" s="180">
        <v>1222</v>
      </c>
      <c r="D201" s="180">
        <v>945</v>
      </c>
      <c r="E201" s="180">
        <v>1100</v>
      </c>
      <c r="F201" s="180">
        <v>1170</v>
      </c>
      <c r="G201" s="180">
        <v>1032</v>
      </c>
      <c r="H201" s="180">
        <v>1092</v>
      </c>
      <c r="I201" s="180">
        <v>1066</v>
      </c>
      <c r="J201" s="180">
        <v>1040</v>
      </c>
      <c r="K201" s="180">
        <v>1000</v>
      </c>
      <c r="L201" s="180">
        <v>1144</v>
      </c>
      <c r="M201" s="180">
        <v>1144</v>
      </c>
      <c r="N201" s="180">
        <v>1144</v>
      </c>
      <c r="O201" s="180">
        <v>1196</v>
      </c>
      <c r="P201" s="180">
        <v>980</v>
      </c>
      <c r="Q201" s="180">
        <v>1560</v>
      </c>
      <c r="R201" s="180">
        <v>1378</v>
      </c>
      <c r="S201" s="180">
        <v>1288</v>
      </c>
      <c r="T201" s="180">
        <v>1782</v>
      </c>
      <c r="U201" s="180">
        <v>1508</v>
      </c>
      <c r="V201" s="180">
        <v>1430</v>
      </c>
      <c r="W201" s="180">
        <v>1350</v>
      </c>
      <c r="X201" s="180">
        <v>1326</v>
      </c>
      <c r="Y201" s="180">
        <v>1352</v>
      </c>
      <c r="Z201" s="180">
        <v>1482</v>
      </c>
      <c r="AA201" s="180">
        <f>SUMIFS([1]!Data_PL_Element[Value],[1]!Data_PL_Element[Index PL Element],'Khanh Nga'!$B201,[1]!Data_PL_Element[TenCongTyID],'Khanh Nga'!$B$1,[1]!Data_PL_Element[Thang.Nam],'Khanh Nga'!AA$198)</f>
        <v>0</v>
      </c>
      <c r="AB201" s="180">
        <f>SUMIFS([1]!Data_PL_Element[Value],[1]!Data_PL_Element[Index PL Element],'Khanh Nga'!$B201,[1]!Data_PL_Element[TenCongTyID],'Khanh Nga'!$B$1,[1]!Data_PL_Element[Thang.Nam],'Khanh Nga'!AB$198)</f>
        <v>0</v>
      </c>
      <c r="AC201" s="180">
        <f>SUMIFS([1]!Data_PL_Element[Value],[1]!Data_PL_Element[Index PL Element],'Khanh Nga'!$B201,[1]!Data_PL_Element[TenCongTyID],'Khanh Nga'!$B$1,[1]!Data_PL_Element[Thang.Nam],'Khanh Nga'!AC$198)</f>
        <v>0</v>
      </c>
      <c r="AD201" s="180">
        <f>SUMIFS([1]!Data_PL_Element[Value],[1]!Data_PL_Element[Index PL Element],'Khanh Nga'!$B201,[1]!Data_PL_Element[TenCongTyID],'Khanh Nga'!$B$1,[1]!Data_PL_Element[Thang.Nam],'Khanh Nga'!AD$198)</f>
        <v>0</v>
      </c>
      <c r="AE201" s="180">
        <f>SUMIFS([1]!Data_PL_Element[Value],[1]!Data_PL_Element[Index PL Element],'Khanh Nga'!$B201,[1]!Data_PL_Element[TenCongTyID],'Khanh Nga'!$B$1,[1]!Data_PL_Element[Thang.Nam],'Khanh Nga'!AE$198)</f>
        <v>0</v>
      </c>
      <c r="AF201" s="180">
        <f>SUMIFS([1]!Data_PL_Element[Value],[1]!Data_PL_Element[Index PL Element],'Khanh Nga'!$B201,[1]!Data_PL_Element[TenCongTyID],'Khanh Nga'!$B$1,[1]!Data_PL_Element[Thang.Nam],'Khanh Nga'!AF$198)</f>
        <v>0</v>
      </c>
      <c r="AG201" s="180">
        <f>SUMIFS([1]!Data_PL_Element[Value],[1]!Data_PL_Element[Index PL Element],'Khanh Nga'!$B201,[1]!Data_PL_Element[TenCongTyID],'Khanh Nga'!$B$1,[1]!Data_PL_Element[Thang.Nam],'Khanh Nga'!AG$198)</f>
        <v>0</v>
      </c>
      <c r="AH201" s="180">
        <f>SUMIFS([1]!Data_PL_Element[Value],[1]!Data_PL_Element[Index PL Element],'Khanh Nga'!$B201,[1]!Data_PL_Element[TenCongTyID],'Khanh Nga'!$B$1,[1]!Data_PL_Element[Thang.Nam],'Khanh Nga'!AH$198)</f>
        <v>0</v>
      </c>
      <c r="AI201" s="180">
        <f>SUMIFS([1]!Data_PL_Element[Value],[1]!Data_PL_Element[Index PL Element],'Khanh Nga'!$B201,[1]!Data_PL_Element[TenCongTyID],'Khanh Nga'!$B$1,[1]!Data_PL_Element[Thang.Nam],'Khanh Nga'!AI$198)</f>
        <v>0</v>
      </c>
      <c r="AJ201" s="180">
        <f>SUMIFS([1]!Data_PL_Element[Value],[1]!Data_PL_Element[Index PL Element],'Khanh Nga'!$B201,[1]!Data_PL_Element[TenCongTyID],'Khanh Nga'!$B$1,[1]!Data_PL_Element[Thang.Nam],'Khanh Nga'!AJ$198)</f>
        <v>0</v>
      </c>
      <c r="AK201" s="180">
        <f>SUMIFS([1]!Data_PL_Element[Value],[1]!Data_PL_Element[Index PL Element],'Khanh Nga'!$B201,[1]!Data_PL_Element[TenCongTyID],'Khanh Nga'!$B$1,[1]!Data_PL_Element[Thang.Nam],'Khanh Nga'!AK$198)</f>
        <v>0</v>
      </c>
      <c r="AL201" s="180">
        <f>SUMIFS([1]!Data_PL_Element[Value],[1]!Data_PL_Element[Index PL Element],'Khanh Nga'!$B201,[1]!Data_PL_Element[TenCongTyID],'Khanh Nga'!$B$1,[1]!Data_PL_Element[Thang.Nam],'Khanh Nga'!AL$198)</f>
        <v>0</v>
      </c>
    </row>
    <row r="202" spans="1:38" ht="15" customHeight="1">
      <c r="A202" s="178" t="s">
        <v>288</v>
      </c>
      <c r="B202" s="179">
        <v>4</v>
      </c>
      <c r="C202" s="180">
        <v>450.24099999999999</v>
      </c>
      <c r="D202" s="180">
        <v>342.25049999999999</v>
      </c>
      <c r="E202" s="180">
        <v>505.54750000000001</v>
      </c>
      <c r="F202" s="180">
        <v>367.63200000000001</v>
      </c>
      <c r="G202" s="180">
        <v>453.95949999999999</v>
      </c>
      <c r="H202" s="180">
        <v>463.81099999999998</v>
      </c>
      <c r="I202" s="180">
        <v>396.25599999999997</v>
      </c>
      <c r="J202" s="180">
        <v>387.16800000000001</v>
      </c>
      <c r="K202" s="180">
        <v>353.56299999999999</v>
      </c>
      <c r="L202" s="180">
        <v>457.37900000000002</v>
      </c>
      <c r="M202" s="180">
        <v>425.54599999999999</v>
      </c>
      <c r="N202" s="180">
        <v>390.69400000000002</v>
      </c>
      <c r="O202" s="180">
        <v>286.41199999999998</v>
      </c>
      <c r="P202" s="180">
        <v>457.23599999999999</v>
      </c>
      <c r="Q202" s="180">
        <v>683.60759999999993</v>
      </c>
      <c r="R202" s="180">
        <v>588.322</v>
      </c>
      <c r="S202" s="180">
        <v>549.20249999999999</v>
      </c>
      <c r="T202" s="180">
        <v>559.7428000000001</v>
      </c>
      <c r="U202" s="180">
        <v>796.45159999999998</v>
      </c>
      <c r="V202" s="180">
        <v>727.20399999999972</v>
      </c>
      <c r="W202" s="180">
        <v>664.36189999999999</v>
      </c>
      <c r="X202" s="180">
        <v>602.0562000000001</v>
      </c>
      <c r="Y202" s="180">
        <v>546.20870000000002</v>
      </c>
      <c r="Z202" s="180">
        <v>636</v>
      </c>
      <c r="AA202" s="180">
        <f>SUMIFS([1]!Data_PL_Element[Value],[1]!Data_PL_Element[Index PL Element],'Khanh Nga'!$B202,[1]!Data_PL_Element[TenCongTyID],'Khanh Nga'!$B$1,[1]!Data_PL_Element[Thang.Nam],'Khanh Nga'!AA$198)</f>
        <v>0</v>
      </c>
      <c r="AB202" s="180">
        <f>SUMIFS([1]!Data_PL_Element[Value],[1]!Data_PL_Element[Index PL Element],'Khanh Nga'!$B202,[1]!Data_PL_Element[TenCongTyID],'Khanh Nga'!$B$1,[1]!Data_PL_Element[Thang.Nam],'Khanh Nga'!AB$198)</f>
        <v>0</v>
      </c>
      <c r="AC202" s="180">
        <f>SUMIFS([1]!Data_PL_Element[Value],[1]!Data_PL_Element[Index PL Element],'Khanh Nga'!$B202,[1]!Data_PL_Element[TenCongTyID],'Khanh Nga'!$B$1,[1]!Data_PL_Element[Thang.Nam],'Khanh Nga'!AC$198)</f>
        <v>0</v>
      </c>
      <c r="AD202" s="180">
        <f>SUMIFS([1]!Data_PL_Element[Value],[1]!Data_PL_Element[Index PL Element],'Khanh Nga'!$B202,[1]!Data_PL_Element[TenCongTyID],'Khanh Nga'!$B$1,[1]!Data_PL_Element[Thang.Nam],'Khanh Nga'!AD$198)</f>
        <v>0</v>
      </c>
      <c r="AE202" s="180">
        <f>SUMIFS([1]!Data_PL_Element[Value],[1]!Data_PL_Element[Index PL Element],'Khanh Nga'!$B202,[1]!Data_PL_Element[TenCongTyID],'Khanh Nga'!$B$1,[1]!Data_PL_Element[Thang.Nam],'Khanh Nga'!AE$198)</f>
        <v>0</v>
      </c>
      <c r="AF202" s="180">
        <f>SUMIFS([1]!Data_PL_Element[Value],[1]!Data_PL_Element[Index PL Element],'Khanh Nga'!$B202,[1]!Data_PL_Element[TenCongTyID],'Khanh Nga'!$B$1,[1]!Data_PL_Element[Thang.Nam],'Khanh Nga'!AF$198)</f>
        <v>0</v>
      </c>
      <c r="AG202" s="180">
        <f>SUMIFS([1]!Data_PL_Element[Value],[1]!Data_PL_Element[Index PL Element],'Khanh Nga'!$B202,[1]!Data_PL_Element[TenCongTyID],'Khanh Nga'!$B$1,[1]!Data_PL_Element[Thang.Nam],'Khanh Nga'!AG$198)</f>
        <v>0</v>
      </c>
      <c r="AH202" s="180">
        <f>SUMIFS([1]!Data_PL_Element[Value],[1]!Data_PL_Element[Index PL Element],'Khanh Nga'!$B202,[1]!Data_PL_Element[TenCongTyID],'Khanh Nga'!$B$1,[1]!Data_PL_Element[Thang.Nam],'Khanh Nga'!AH$198)</f>
        <v>0</v>
      </c>
      <c r="AI202" s="180">
        <f>SUMIFS([1]!Data_PL_Element[Value],[1]!Data_PL_Element[Index PL Element],'Khanh Nga'!$B202,[1]!Data_PL_Element[TenCongTyID],'Khanh Nga'!$B$1,[1]!Data_PL_Element[Thang.Nam],'Khanh Nga'!AI$198)</f>
        <v>0</v>
      </c>
      <c r="AJ202" s="180">
        <f>SUMIFS([1]!Data_PL_Element[Value],[1]!Data_PL_Element[Index PL Element],'Khanh Nga'!$B202,[1]!Data_PL_Element[TenCongTyID],'Khanh Nga'!$B$1,[1]!Data_PL_Element[Thang.Nam],'Khanh Nga'!AJ$198)</f>
        <v>0</v>
      </c>
      <c r="AK202" s="180">
        <f>SUMIFS([1]!Data_PL_Element[Value],[1]!Data_PL_Element[Index PL Element],'Khanh Nga'!$B202,[1]!Data_PL_Element[TenCongTyID],'Khanh Nga'!$B$1,[1]!Data_PL_Element[Thang.Nam],'Khanh Nga'!AK$198)</f>
        <v>0</v>
      </c>
      <c r="AL202" s="180">
        <f>SUMIFS([1]!Data_PL_Element[Value],[1]!Data_PL_Element[Index PL Element],'Khanh Nga'!$B202,[1]!Data_PL_Element[TenCongTyID],'Khanh Nga'!$B$1,[1]!Data_PL_Element[Thang.Nam],'Khanh Nga'!AL$198)</f>
        <v>0</v>
      </c>
    </row>
    <row r="203" spans="1:38" ht="15" customHeight="1">
      <c r="A203" s="178" t="s">
        <v>289</v>
      </c>
      <c r="B203" s="179">
        <v>5</v>
      </c>
      <c r="C203" s="180">
        <f t="shared" ref="C203:Y205" si="15">C134</f>
        <v>454</v>
      </c>
      <c r="D203" s="180">
        <f t="shared" si="15"/>
        <v>427</v>
      </c>
      <c r="E203" s="180">
        <f t="shared" si="15"/>
        <v>528</v>
      </c>
      <c r="F203" s="180">
        <f t="shared" si="15"/>
        <v>341</v>
      </c>
      <c r="G203" s="180">
        <f t="shared" si="15"/>
        <v>491</v>
      </c>
      <c r="H203" s="180">
        <f t="shared" si="15"/>
        <v>473</v>
      </c>
      <c r="I203" s="180">
        <f t="shared" si="15"/>
        <v>370</v>
      </c>
      <c r="J203" s="180">
        <f t="shared" si="15"/>
        <v>406</v>
      </c>
      <c r="K203" s="180">
        <f t="shared" si="15"/>
        <v>299</v>
      </c>
      <c r="L203" s="180">
        <f t="shared" si="15"/>
        <v>409</v>
      </c>
      <c r="M203" s="180">
        <f t="shared" si="15"/>
        <v>383</v>
      </c>
      <c r="N203" s="180">
        <f t="shared" si="15"/>
        <v>323</v>
      </c>
      <c r="O203" s="180">
        <f t="shared" si="15"/>
        <v>242.078</v>
      </c>
      <c r="P203" s="180">
        <f t="shared" si="15"/>
        <v>310.59300000000002</v>
      </c>
      <c r="Q203" s="180">
        <f t="shared" si="15"/>
        <v>475.98700000000002</v>
      </c>
      <c r="R203" s="180">
        <f t="shared" si="15"/>
        <v>519.9</v>
      </c>
      <c r="S203" s="180">
        <f t="shared" si="15"/>
        <v>484.774</v>
      </c>
      <c r="T203" s="180">
        <f t="shared" si="15"/>
        <v>510.435</v>
      </c>
      <c r="U203" s="180">
        <f t="shared" si="15"/>
        <v>718.97</v>
      </c>
      <c r="V203" s="180">
        <f t="shared" si="15"/>
        <v>711.69899999999996</v>
      </c>
      <c r="W203" s="180">
        <f t="shared" si="15"/>
        <v>591.82399999999996</v>
      </c>
      <c r="X203" s="180">
        <f t="shared" si="15"/>
        <v>543.36400000000003</v>
      </c>
      <c r="Y203" s="180">
        <f t="shared" si="15"/>
        <v>454.67200000000003</v>
      </c>
      <c r="Z203" s="180">
        <v>614</v>
      </c>
      <c r="AA203" s="180">
        <f t="shared" ref="AA203:AL205" si="16">AA134</f>
        <v>533.70000000000005</v>
      </c>
      <c r="AB203" s="180">
        <f t="shared" si="16"/>
        <v>400.27499999999998</v>
      </c>
      <c r="AC203" s="180">
        <f t="shared" si="16"/>
        <v>578.17499999999995</v>
      </c>
      <c r="AD203" s="180">
        <f t="shared" si="16"/>
        <v>622.65</v>
      </c>
      <c r="AE203" s="180">
        <f t="shared" si="16"/>
        <v>622.65</v>
      </c>
      <c r="AF203" s="180">
        <f t="shared" si="16"/>
        <v>622.65</v>
      </c>
      <c r="AG203" s="180">
        <f t="shared" si="16"/>
        <v>622.65</v>
      </c>
      <c r="AH203" s="180">
        <f t="shared" si="16"/>
        <v>622.65</v>
      </c>
      <c r="AI203" s="180">
        <f t="shared" si="16"/>
        <v>622.65</v>
      </c>
      <c r="AJ203" s="180">
        <f t="shared" si="16"/>
        <v>622.65</v>
      </c>
      <c r="AK203" s="180">
        <f t="shared" si="16"/>
        <v>622.65</v>
      </c>
      <c r="AL203" s="180">
        <f t="shared" si="16"/>
        <v>622.65</v>
      </c>
    </row>
    <row r="204" spans="1:38" ht="15" customHeight="1">
      <c r="A204" s="181" t="s">
        <v>290</v>
      </c>
      <c r="B204" s="182">
        <v>6</v>
      </c>
      <c r="C204" s="183">
        <f t="shared" si="15"/>
        <v>6816503925</v>
      </c>
      <c r="D204" s="183">
        <f t="shared" si="15"/>
        <v>6039598500</v>
      </c>
      <c r="E204" s="183">
        <f t="shared" si="15"/>
        <v>7858071500</v>
      </c>
      <c r="F204" s="183">
        <f t="shared" si="15"/>
        <v>5360336000</v>
      </c>
      <c r="G204" s="183">
        <f t="shared" si="15"/>
        <v>7701926000</v>
      </c>
      <c r="H204" s="183">
        <f t="shared" si="15"/>
        <v>7405493500</v>
      </c>
      <c r="I204" s="183">
        <f t="shared" si="15"/>
        <v>5356795000</v>
      </c>
      <c r="J204" s="183">
        <f t="shared" si="15"/>
        <v>5872209850</v>
      </c>
      <c r="K204" s="183">
        <f t="shared" si="15"/>
        <v>4632824810</v>
      </c>
      <c r="L204" s="183">
        <f t="shared" si="15"/>
        <v>6376620000</v>
      </c>
      <c r="M204" s="183">
        <f t="shared" si="15"/>
        <v>6008306800</v>
      </c>
      <c r="N204" s="183">
        <f t="shared" si="15"/>
        <v>5094418200</v>
      </c>
      <c r="O204" s="183">
        <f t="shared" si="15"/>
        <v>3795897480</v>
      </c>
      <c r="P204" s="183">
        <f t="shared" si="15"/>
        <v>5012982676</v>
      </c>
      <c r="Q204" s="183">
        <f t="shared" si="15"/>
        <v>8087243089</v>
      </c>
      <c r="R204" s="183">
        <f t="shared" si="15"/>
        <v>9694585314</v>
      </c>
      <c r="S204" s="183">
        <f t="shared" si="15"/>
        <v>8388349104</v>
      </c>
      <c r="T204" s="183">
        <f t="shared" si="15"/>
        <v>9515421651</v>
      </c>
      <c r="U204" s="183">
        <f t="shared" si="15"/>
        <v>13592588554</v>
      </c>
      <c r="V204" s="183">
        <f t="shared" si="15"/>
        <v>12421660930</v>
      </c>
      <c r="W204" s="183">
        <f t="shared" si="15"/>
        <v>8808063400</v>
      </c>
      <c r="X204" s="183">
        <f t="shared" si="15"/>
        <v>7719934000</v>
      </c>
      <c r="Y204" s="183">
        <f t="shared" si="15"/>
        <v>6532057500</v>
      </c>
      <c r="Z204" s="183">
        <v>8694231720</v>
      </c>
      <c r="AA204" s="183">
        <f t="shared" si="16"/>
        <v>7469550000</v>
      </c>
      <c r="AB204" s="183">
        <f t="shared" si="16"/>
        <v>5602162500</v>
      </c>
      <c r="AC204" s="183">
        <f t="shared" si="16"/>
        <v>8092012500</v>
      </c>
      <c r="AD204" s="183">
        <f t="shared" si="16"/>
        <v>8714475000</v>
      </c>
      <c r="AE204" s="183">
        <f t="shared" si="16"/>
        <v>8714475000</v>
      </c>
      <c r="AF204" s="183">
        <f t="shared" si="16"/>
        <v>8714475000</v>
      </c>
      <c r="AG204" s="183">
        <f t="shared" si="16"/>
        <v>8714475000</v>
      </c>
      <c r="AH204" s="183">
        <f t="shared" si="16"/>
        <v>8714475000</v>
      </c>
      <c r="AI204" s="183">
        <f t="shared" si="16"/>
        <v>8714475000</v>
      </c>
      <c r="AJ204" s="183">
        <f t="shared" si="16"/>
        <v>8714475000</v>
      </c>
      <c r="AK204" s="183">
        <f t="shared" si="16"/>
        <v>8714475000</v>
      </c>
      <c r="AL204" s="183">
        <f t="shared" si="16"/>
        <v>8714475000</v>
      </c>
    </row>
    <row r="205" spans="1:38" ht="15" customHeight="1">
      <c r="A205" s="184" t="s">
        <v>291</v>
      </c>
      <c r="B205" s="185">
        <v>7</v>
      </c>
      <c r="C205" s="186">
        <f t="shared" si="15"/>
        <v>0</v>
      </c>
      <c r="D205" s="186">
        <f t="shared" si="15"/>
        <v>0</v>
      </c>
      <c r="E205" s="186">
        <f t="shared" si="15"/>
        <v>0</v>
      </c>
      <c r="F205" s="186">
        <f t="shared" si="15"/>
        <v>0</v>
      </c>
      <c r="G205" s="186">
        <f t="shared" si="15"/>
        <v>0</v>
      </c>
      <c r="H205" s="186">
        <f t="shared" si="15"/>
        <v>0</v>
      </c>
      <c r="I205" s="186">
        <f t="shared" si="15"/>
        <v>0</v>
      </c>
      <c r="J205" s="186">
        <f t="shared" si="15"/>
        <v>0</v>
      </c>
      <c r="K205" s="186">
        <f t="shared" si="15"/>
        <v>0</v>
      </c>
      <c r="L205" s="186">
        <f t="shared" si="15"/>
        <v>0</v>
      </c>
      <c r="M205" s="186">
        <f t="shared" si="15"/>
        <v>0</v>
      </c>
      <c r="N205" s="186">
        <f t="shared" si="15"/>
        <v>0</v>
      </c>
      <c r="O205" s="186">
        <f t="shared" si="15"/>
        <v>0</v>
      </c>
      <c r="P205" s="186">
        <f t="shared" si="15"/>
        <v>0</v>
      </c>
      <c r="Q205" s="186">
        <f t="shared" si="15"/>
        <v>0</v>
      </c>
      <c r="R205" s="186">
        <f t="shared" si="15"/>
        <v>0</v>
      </c>
      <c r="S205" s="186">
        <f t="shared" si="15"/>
        <v>0</v>
      </c>
      <c r="T205" s="186">
        <f t="shared" si="15"/>
        <v>0</v>
      </c>
      <c r="U205" s="186">
        <f t="shared" si="15"/>
        <v>0</v>
      </c>
      <c r="V205" s="186">
        <f t="shared" si="15"/>
        <v>0</v>
      </c>
      <c r="W205" s="186">
        <f t="shared" si="15"/>
        <v>0</v>
      </c>
      <c r="X205" s="186">
        <f t="shared" si="15"/>
        <v>0</v>
      </c>
      <c r="Y205" s="186">
        <f t="shared" si="15"/>
        <v>0</v>
      </c>
      <c r="Z205" s="186">
        <v>0</v>
      </c>
      <c r="AA205" s="186">
        <f t="shared" si="16"/>
        <v>0</v>
      </c>
      <c r="AB205" s="186">
        <f t="shared" si="16"/>
        <v>0</v>
      </c>
      <c r="AC205" s="186">
        <f t="shared" si="16"/>
        <v>0</v>
      </c>
      <c r="AD205" s="186">
        <f t="shared" si="16"/>
        <v>0</v>
      </c>
      <c r="AE205" s="186">
        <f t="shared" si="16"/>
        <v>0</v>
      </c>
      <c r="AF205" s="186">
        <f t="shared" si="16"/>
        <v>0</v>
      </c>
      <c r="AG205" s="186">
        <f t="shared" si="16"/>
        <v>0</v>
      </c>
      <c r="AH205" s="186">
        <f t="shared" si="16"/>
        <v>0</v>
      </c>
      <c r="AI205" s="186">
        <f t="shared" si="16"/>
        <v>0</v>
      </c>
      <c r="AJ205" s="186">
        <f t="shared" si="16"/>
        <v>0</v>
      </c>
      <c r="AK205" s="186">
        <f t="shared" si="16"/>
        <v>0</v>
      </c>
      <c r="AL205" s="186">
        <f t="shared" si="16"/>
        <v>0</v>
      </c>
    </row>
    <row r="206" spans="1:38" ht="15" customHeight="1">
      <c r="A206" s="184" t="s">
        <v>292</v>
      </c>
      <c r="B206" s="185">
        <v>8</v>
      </c>
      <c r="C206" s="187">
        <f t="shared" ref="C206:AL206" si="17">IFERROR(C205/C204,"")</f>
        <v>0</v>
      </c>
      <c r="D206" s="187">
        <f t="shared" si="17"/>
        <v>0</v>
      </c>
      <c r="E206" s="187">
        <f t="shared" si="17"/>
        <v>0</v>
      </c>
      <c r="F206" s="187">
        <f t="shared" si="17"/>
        <v>0</v>
      </c>
      <c r="G206" s="187">
        <f t="shared" si="17"/>
        <v>0</v>
      </c>
      <c r="H206" s="187">
        <f t="shared" si="17"/>
        <v>0</v>
      </c>
      <c r="I206" s="187">
        <f t="shared" si="17"/>
        <v>0</v>
      </c>
      <c r="J206" s="187">
        <f t="shared" si="17"/>
        <v>0</v>
      </c>
      <c r="K206" s="187">
        <f t="shared" si="17"/>
        <v>0</v>
      </c>
      <c r="L206" s="187">
        <f t="shared" si="17"/>
        <v>0</v>
      </c>
      <c r="M206" s="187">
        <f t="shared" si="17"/>
        <v>0</v>
      </c>
      <c r="N206" s="187">
        <f t="shared" si="17"/>
        <v>0</v>
      </c>
      <c r="O206" s="187">
        <f t="shared" si="17"/>
        <v>0</v>
      </c>
      <c r="P206" s="187">
        <f t="shared" si="17"/>
        <v>0</v>
      </c>
      <c r="Q206" s="187">
        <f t="shared" si="17"/>
        <v>0</v>
      </c>
      <c r="R206" s="187">
        <f t="shared" si="17"/>
        <v>0</v>
      </c>
      <c r="S206" s="187">
        <f t="shared" si="17"/>
        <v>0</v>
      </c>
      <c r="T206" s="187">
        <f t="shared" si="17"/>
        <v>0</v>
      </c>
      <c r="U206" s="187">
        <f t="shared" si="17"/>
        <v>0</v>
      </c>
      <c r="V206" s="187">
        <f t="shared" si="17"/>
        <v>0</v>
      </c>
      <c r="W206" s="187">
        <f t="shared" si="17"/>
        <v>0</v>
      </c>
      <c r="X206" s="187">
        <f t="shared" si="17"/>
        <v>0</v>
      </c>
      <c r="Y206" s="187">
        <f t="shared" si="17"/>
        <v>0</v>
      </c>
      <c r="Z206" s="187">
        <v>0</v>
      </c>
      <c r="AA206" s="187">
        <f t="shared" si="17"/>
        <v>0</v>
      </c>
      <c r="AB206" s="187">
        <f t="shared" si="17"/>
        <v>0</v>
      </c>
      <c r="AC206" s="187">
        <f t="shared" si="17"/>
        <v>0</v>
      </c>
      <c r="AD206" s="187">
        <f t="shared" si="17"/>
        <v>0</v>
      </c>
      <c r="AE206" s="187">
        <f t="shared" si="17"/>
        <v>0</v>
      </c>
      <c r="AF206" s="187">
        <f t="shared" si="17"/>
        <v>0</v>
      </c>
      <c r="AG206" s="187">
        <f t="shared" si="17"/>
        <v>0</v>
      </c>
      <c r="AH206" s="187">
        <f t="shared" si="17"/>
        <v>0</v>
      </c>
      <c r="AI206" s="187">
        <f t="shared" si="17"/>
        <v>0</v>
      </c>
      <c r="AJ206" s="187">
        <f t="shared" si="17"/>
        <v>0</v>
      </c>
      <c r="AK206" s="187">
        <f t="shared" si="17"/>
        <v>0</v>
      </c>
      <c r="AL206" s="187">
        <f t="shared" si="17"/>
        <v>0</v>
      </c>
    </row>
    <row r="207" spans="1:38" ht="15" customHeight="1">
      <c r="A207" s="181" t="s">
        <v>293</v>
      </c>
      <c r="B207" s="182">
        <v>9</v>
      </c>
      <c r="C207" s="188">
        <f t="shared" ref="C207:AL207" si="18">C137</f>
        <v>6816503925</v>
      </c>
      <c r="D207" s="188">
        <f t="shared" si="18"/>
        <v>6039598500</v>
      </c>
      <c r="E207" s="188">
        <f t="shared" si="18"/>
        <v>7858071500</v>
      </c>
      <c r="F207" s="188">
        <f t="shared" si="18"/>
        <v>5360336000</v>
      </c>
      <c r="G207" s="188">
        <f t="shared" si="18"/>
        <v>7701926000</v>
      </c>
      <c r="H207" s="188">
        <f t="shared" si="18"/>
        <v>7405493500</v>
      </c>
      <c r="I207" s="188">
        <f t="shared" si="18"/>
        <v>5356795000</v>
      </c>
      <c r="J207" s="188">
        <f t="shared" si="18"/>
        <v>5872209850</v>
      </c>
      <c r="K207" s="188">
        <f t="shared" si="18"/>
        <v>4632824810</v>
      </c>
      <c r="L207" s="188">
        <f t="shared" si="18"/>
        <v>6376620000</v>
      </c>
      <c r="M207" s="188">
        <f t="shared" si="18"/>
        <v>6008306800</v>
      </c>
      <c r="N207" s="188">
        <f t="shared" si="18"/>
        <v>5094418200</v>
      </c>
      <c r="O207" s="188">
        <f t="shared" si="18"/>
        <v>3795897480</v>
      </c>
      <c r="P207" s="188">
        <f t="shared" si="18"/>
        <v>5012982676</v>
      </c>
      <c r="Q207" s="188">
        <f t="shared" si="18"/>
        <v>8087243089</v>
      </c>
      <c r="R207" s="188">
        <f t="shared" si="18"/>
        <v>9694585314</v>
      </c>
      <c r="S207" s="188">
        <f t="shared" si="18"/>
        <v>8388349104</v>
      </c>
      <c r="T207" s="188">
        <f t="shared" si="18"/>
        <v>9515421651</v>
      </c>
      <c r="U207" s="188">
        <f t="shared" si="18"/>
        <v>13592588554</v>
      </c>
      <c r="V207" s="188">
        <f t="shared" si="18"/>
        <v>12421660930</v>
      </c>
      <c r="W207" s="188">
        <f t="shared" si="18"/>
        <v>8808063400</v>
      </c>
      <c r="X207" s="188">
        <f t="shared" si="18"/>
        <v>7719934000</v>
      </c>
      <c r="Y207" s="188">
        <f t="shared" si="18"/>
        <v>6532057500</v>
      </c>
      <c r="Z207" s="188">
        <v>8694231720</v>
      </c>
      <c r="AA207" s="188">
        <f t="shared" si="18"/>
        <v>7469550000</v>
      </c>
      <c r="AB207" s="188">
        <f t="shared" si="18"/>
        <v>5602162500</v>
      </c>
      <c r="AC207" s="188">
        <f t="shared" si="18"/>
        <v>8092012500</v>
      </c>
      <c r="AD207" s="188">
        <f t="shared" si="18"/>
        <v>8714475000</v>
      </c>
      <c r="AE207" s="188">
        <f t="shared" si="18"/>
        <v>8714475000</v>
      </c>
      <c r="AF207" s="188">
        <f t="shared" si="18"/>
        <v>8714475000</v>
      </c>
      <c r="AG207" s="188">
        <f t="shared" si="18"/>
        <v>8714475000</v>
      </c>
      <c r="AH207" s="188">
        <f t="shared" si="18"/>
        <v>8714475000</v>
      </c>
      <c r="AI207" s="188">
        <f t="shared" si="18"/>
        <v>8714475000</v>
      </c>
      <c r="AJ207" s="188">
        <f t="shared" si="18"/>
        <v>8714475000</v>
      </c>
      <c r="AK207" s="188">
        <f t="shared" si="18"/>
        <v>8714475000</v>
      </c>
      <c r="AL207" s="188">
        <f t="shared" si="18"/>
        <v>8714475000</v>
      </c>
    </row>
    <row r="208" spans="1:38" ht="15" customHeight="1">
      <c r="A208" s="178" t="s">
        <v>294</v>
      </c>
      <c r="B208" s="179">
        <v>10</v>
      </c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>
        <v>0</v>
      </c>
      <c r="AA208" s="189">
        <f>SUMIFS([1]!Data_PL_Element[Value],[1]!Data_PL_Element[Index PL Element],'Khanh Nga'!$B208,[1]!Data_PL_Element[TenCongTyID],'Khanh Nga'!$B$1,[1]!Data_PL_Element[Thang.Nam],'Khanh Nga'!AA$198)</f>
        <v>0</v>
      </c>
      <c r="AB208" s="189">
        <f>SUMIFS([1]!Data_PL_Element[Value],[1]!Data_PL_Element[Index PL Element],'Khanh Nga'!$B208,[1]!Data_PL_Element[TenCongTyID],'Khanh Nga'!$B$1,[1]!Data_PL_Element[Thang.Nam],'Khanh Nga'!AB$198)</f>
        <v>0</v>
      </c>
      <c r="AC208" s="189">
        <f>SUMIFS([1]!Data_PL_Element[Value],[1]!Data_PL_Element[Index PL Element],'Khanh Nga'!$B208,[1]!Data_PL_Element[TenCongTyID],'Khanh Nga'!$B$1,[1]!Data_PL_Element[Thang.Nam],'Khanh Nga'!AC$198)</f>
        <v>0</v>
      </c>
      <c r="AD208" s="189">
        <f>SUMIFS([1]!Data_PL_Element[Value],[1]!Data_PL_Element[Index PL Element],'Khanh Nga'!$B208,[1]!Data_PL_Element[TenCongTyID],'Khanh Nga'!$B$1,[1]!Data_PL_Element[Thang.Nam],'Khanh Nga'!AD$198)</f>
        <v>0</v>
      </c>
      <c r="AE208" s="189">
        <f>SUMIFS([1]!Data_PL_Element[Value],[1]!Data_PL_Element[Index PL Element],'Khanh Nga'!$B208,[1]!Data_PL_Element[TenCongTyID],'Khanh Nga'!$B$1,[1]!Data_PL_Element[Thang.Nam],'Khanh Nga'!AE$198)</f>
        <v>0</v>
      </c>
      <c r="AF208" s="189">
        <f>SUMIFS([1]!Data_PL_Element[Value],[1]!Data_PL_Element[Index PL Element],'Khanh Nga'!$B208,[1]!Data_PL_Element[TenCongTyID],'Khanh Nga'!$B$1,[1]!Data_PL_Element[Thang.Nam],'Khanh Nga'!AF$198)</f>
        <v>0</v>
      </c>
      <c r="AG208" s="189">
        <f>SUMIFS([1]!Data_PL_Element[Value],[1]!Data_PL_Element[Index PL Element],'Khanh Nga'!$B208,[1]!Data_PL_Element[TenCongTyID],'Khanh Nga'!$B$1,[1]!Data_PL_Element[Thang.Nam],'Khanh Nga'!AG$198)</f>
        <v>0</v>
      </c>
      <c r="AH208" s="189">
        <f>SUMIFS([1]!Data_PL_Element[Value],[1]!Data_PL_Element[Index PL Element],'Khanh Nga'!$B208,[1]!Data_PL_Element[TenCongTyID],'Khanh Nga'!$B$1,[1]!Data_PL_Element[Thang.Nam],'Khanh Nga'!AH$198)</f>
        <v>0</v>
      </c>
      <c r="AI208" s="189">
        <f>SUMIFS([1]!Data_PL_Element[Value],[1]!Data_PL_Element[Index PL Element],'Khanh Nga'!$B208,[1]!Data_PL_Element[TenCongTyID],'Khanh Nga'!$B$1,[1]!Data_PL_Element[Thang.Nam],'Khanh Nga'!AI$198)</f>
        <v>0</v>
      </c>
      <c r="AJ208" s="189">
        <f>SUMIFS([1]!Data_PL_Element[Value],[1]!Data_PL_Element[Index PL Element],'Khanh Nga'!$B208,[1]!Data_PL_Element[TenCongTyID],'Khanh Nga'!$B$1,[1]!Data_PL_Element[Thang.Nam],'Khanh Nga'!AJ$198)</f>
        <v>0</v>
      </c>
      <c r="AK208" s="189">
        <f>SUMIFS([1]!Data_PL_Element[Value],[1]!Data_PL_Element[Index PL Element],'Khanh Nga'!$B208,[1]!Data_PL_Element[TenCongTyID],'Khanh Nga'!$B$1,[1]!Data_PL_Element[Thang.Nam],'Khanh Nga'!AK$198)</f>
        <v>0</v>
      </c>
      <c r="AL208" s="189">
        <f>SUMIFS([1]!Data_PL_Element[Value],[1]!Data_PL_Element[Index PL Element],'Khanh Nga'!$B208,[1]!Data_PL_Element[TenCongTyID],'Khanh Nga'!$B$1,[1]!Data_PL_Element[Thang.Nam],'Khanh Nga'!AL$198)</f>
        <v>0</v>
      </c>
    </row>
    <row r="209" spans="1:38" ht="15" customHeight="1">
      <c r="A209" s="178" t="s">
        <v>295</v>
      </c>
      <c r="B209" s="179">
        <v>11</v>
      </c>
      <c r="C209" s="189">
        <v>6816503925</v>
      </c>
      <c r="D209" s="189">
        <v>6039598500</v>
      </c>
      <c r="E209" s="189">
        <v>7858071500</v>
      </c>
      <c r="F209" s="189">
        <v>5360336000</v>
      </c>
      <c r="G209" s="189">
        <v>7701926000</v>
      </c>
      <c r="H209" s="189">
        <v>7405493500</v>
      </c>
      <c r="I209" s="189">
        <v>5356795000</v>
      </c>
      <c r="J209" s="189">
        <v>5872209850</v>
      </c>
      <c r="K209" s="189">
        <v>4632824810</v>
      </c>
      <c r="L209" s="189">
        <v>6376620000</v>
      </c>
      <c r="M209" s="189">
        <v>6008306800</v>
      </c>
      <c r="N209" s="189">
        <v>5094418200</v>
      </c>
      <c r="O209" s="189">
        <v>3795897480</v>
      </c>
      <c r="P209" s="189">
        <v>5012982676</v>
      </c>
      <c r="Q209" s="189">
        <v>8087243089</v>
      </c>
      <c r="R209" s="189">
        <v>9694585314</v>
      </c>
      <c r="S209" s="189">
        <v>8388349104</v>
      </c>
      <c r="T209" s="189">
        <v>9515421651</v>
      </c>
      <c r="U209" s="189">
        <v>13592588554</v>
      </c>
      <c r="V209" s="189">
        <v>12421660930</v>
      </c>
      <c r="W209" s="189">
        <v>8808063400</v>
      </c>
      <c r="X209" s="189">
        <v>7719934000</v>
      </c>
      <c r="Y209" s="189">
        <v>6532057500</v>
      </c>
      <c r="Z209" s="189">
        <v>8694231720</v>
      </c>
      <c r="AA209" s="189">
        <f>SUMIFS([1]!Data_PL_Element[Value],[1]!Data_PL_Element[Index PL Element],'Khanh Nga'!$B209,[1]!Data_PL_Element[TenCongTyID],'Khanh Nga'!$B$1,[1]!Data_PL_Element[Thang.Nam],'Khanh Nga'!AA$198)</f>
        <v>0</v>
      </c>
      <c r="AB209" s="189">
        <f>SUMIFS([1]!Data_PL_Element[Value],[1]!Data_PL_Element[Index PL Element],'Khanh Nga'!$B209,[1]!Data_PL_Element[TenCongTyID],'Khanh Nga'!$B$1,[1]!Data_PL_Element[Thang.Nam],'Khanh Nga'!AB$198)</f>
        <v>0</v>
      </c>
      <c r="AC209" s="189">
        <f>SUMIFS([1]!Data_PL_Element[Value],[1]!Data_PL_Element[Index PL Element],'Khanh Nga'!$B209,[1]!Data_PL_Element[TenCongTyID],'Khanh Nga'!$B$1,[1]!Data_PL_Element[Thang.Nam],'Khanh Nga'!AC$198)</f>
        <v>0</v>
      </c>
      <c r="AD209" s="189">
        <f>SUMIFS([1]!Data_PL_Element[Value],[1]!Data_PL_Element[Index PL Element],'Khanh Nga'!$B209,[1]!Data_PL_Element[TenCongTyID],'Khanh Nga'!$B$1,[1]!Data_PL_Element[Thang.Nam],'Khanh Nga'!AD$198)</f>
        <v>0</v>
      </c>
      <c r="AE209" s="189">
        <f>SUMIFS([1]!Data_PL_Element[Value],[1]!Data_PL_Element[Index PL Element],'Khanh Nga'!$B209,[1]!Data_PL_Element[TenCongTyID],'Khanh Nga'!$B$1,[1]!Data_PL_Element[Thang.Nam],'Khanh Nga'!AE$198)</f>
        <v>0</v>
      </c>
      <c r="AF209" s="189">
        <f>SUMIFS([1]!Data_PL_Element[Value],[1]!Data_PL_Element[Index PL Element],'Khanh Nga'!$B209,[1]!Data_PL_Element[TenCongTyID],'Khanh Nga'!$B$1,[1]!Data_PL_Element[Thang.Nam],'Khanh Nga'!AF$198)</f>
        <v>0</v>
      </c>
      <c r="AG209" s="189">
        <f>SUMIFS([1]!Data_PL_Element[Value],[1]!Data_PL_Element[Index PL Element],'Khanh Nga'!$B209,[1]!Data_PL_Element[TenCongTyID],'Khanh Nga'!$B$1,[1]!Data_PL_Element[Thang.Nam],'Khanh Nga'!AG$198)</f>
        <v>0</v>
      </c>
      <c r="AH209" s="189">
        <f>SUMIFS([1]!Data_PL_Element[Value],[1]!Data_PL_Element[Index PL Element],'Khanh Nga'!$B209,[1]!Data_PL_Element[TenCongTyID],'Khanh Nga'!$B$1,[1]!Data_PL_Element[Thang.Nam],'Khanh Nga'!AH$198)</f>
        <v>0</v>
      </c>
      <c r="AI209" s="189">
        <f>SUMIFS([1]!Data_PL_Element[Value],[1]!Data_PL_Element[Index PL Element],'Khanh Nga'!$B209,[1]!Data_PL_Element[TenCongTyID],'Khanh Nga'!$B$1,[1]!Data_PL_Element[Thang.Nam],'Khanh Nga'!AI$198)</f>
        <v>0</v>
      </c>
      <c r="AJ209" s="189">
        <f>SUMIFS([1]!Data_PL_Element[Value],[1]!Data_PL_Element[Index PL Element],'Khanh Nga'!$B209,[1]!Data_PL_Element[TenCongTyID],'Khanh Nga'!$B$1,[1]!Data_PL_Element[Thang.Nam],'Khanh Nga'!AJ$198)</f>
        <v>0</v>
      </c>
      <c r="AK209" s="189">
        <f>SUMIFS([1]!Data_PL_Element[Value],[1]!Data_PL_Element[Index PL Element],'Khanh Nga'!$B209,[1]!Data_PL_Element[TenCongTyID],'Khanh Nga'!$B$1,[1]!Data_PL_Element[Thang.Nam],'Khanh Nga'!AK$198)</f>
        <v>0</v>
      </c>
      <c r="AL209" s="189">
        <f>SUMIFS([1]!Data_PL_Element[Value],[1]!Data_PL_Element[Index PL Element],'Khanh Nga'!$B209,[1]!Data_PL_Element[TenCongTyID],'Khanh Nga'!$B$1,[1]!Data_PL_Element[Thang.Nam],'Khanh Nga'!AL$198)</f>
        <v>0</v>
      </c>
    </row>
    <row r="210" spans="1:38" ht="15" customHeight="1">
      <c r="A210" s="178" t="s">
        <v>296</v>
      </c>
      <c r="B210" s="179">
        <v>12</v>
      </c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>
        <v>0</v>
      </c>
      <c r="AA210" s="189">
        <f>SUMIFS([1]!Data_PL_Element[Value],[1]!Data_PL_Element[Index PL Element],'Khanh Nga'!$B210,[1]!Data_PL_Element[TenCongTyID],'Khanh Nga'!$B$1,[1]!Data_PL_Element[Thang.Nam],'Khanh Nga'!AA$198)</f>
        <v>0</v>
      </c>
      <c r="AB210" s="189">
        <f>SUMIFS([1]!Data_PL_Element[Value],[1]!Data_PL_Element[Index PL Element],'Khanh Nga'!$B210,[1]!Data_PL_Element[TenCongTyID],'Khanh Nga'!$B$1,[1]!Data_PL_Element[Thang.Nam],'Khanh Nga'!AB$198)</f>
        <v>0</v>
      </c>
      <c r="AC210" s="189">
        <f>SUMIFS([1]!Data_PL_Element[Value],[1]!Data_PL_Element[Index PL Element],'Khanh Nga'!$B210,[1]!Data_PL_Element[TenCongTyID],'Khanh Nga'!$B$1,[1]!Data_PL_Element[Thang.Nam],'Khanh Nga'!AC$198)</f>
        <v>0</v>
      </c>
      <c r="AD210" s="189">
        <f>SUMIFS([1]!Data_PL_Element[Value],[1]!Data_PL_Element[Index PL Element],'Khanh Nga'!$B210,[1]!Data_PL_Element[TenCongTyID],'Khanh Nga'!$B$1,[1]!Data_PL_Element[Thang.Nam],'Khanh Nga'!AD$198)</f>
        <v>0</v>
      </c>
      <c r="AE210" s="189">
        <f>SUMIFS([1]!Data_PL_Element[Value],[1]!Data_PL_Element[Index PL Element],'Khanh Nga'!$B210,[1]!Data_PL_Element[TenCongTyID],'Khanh Nga'!$B$1,[1]!Data_PL_Element[Thang.Nam],'Khanh Nga'!AE$198)</f>
        <v>0</v>
      </c>
      <c r="AF210" s="189">
        <f>SUMIFS([1]!Data_PL_Element[Value],[1]!Data_PL_Element[Index PL Element],'Khanh Nga'!$B210,[1]!Data_PL_Element[TenCongTyID],'Khanh Nga'!$B$1,[1]!Data_PL_Element[Thang.Nam],'Khanh Nga'!AF$198)</f>
        <v>0</v>
      </c>
      <c r="AG210" s="189">
        <f>SUMIFS([1]!Data_PL_Element[Value],[1]!Data_PL_Element[Index PL Element],'Khanh Nga'!$B210,[1]!Data_PL_Element[TenCongTyID],'Khanh Nga'!$B$1,[1]!Data_PL_Element[Thang.Nam],'Khanh Nga'!AG$198)</f>
        <v>0</v>
      </c>
      <c r="AH210" s="189">
        <f>SUMIFS([1]!Data_PL_Element[Value],[1]!Data_PL_Element[Index PL Element],'Khanh Nga'!$B210,[1]!Data_PL_Element[TenCongTyID],'Khanh Nga'!$B$1,[1]!Data_PL_Element[Thang.Nam],'Khanh Nga'!AH$198)</f>
        <v>0</v>
      </c>
      <c r="AI210" s="189">
        <f>SUMIFS([1]!Data_PL_Element[Value],[1]!Data_PL_Element[Index PL Element],'Khanh Nga'!$B210,[1]!Data_PL_Element[TenCongTyID],'Khanh Nga'!$B$1,[1]!Data_PL_Element[Thang.Nam],'Khanh Nga'!AI$198)</f>
        <v>0</v>
      </c>
      <c r="AJ210" s="189">
        <f>SUMIFS([1]!Data_PL_Element[Value],[1]!Data_PL_Element[Index PL Element],'Khanh Nga'!$B210,[1]!Data_PL_Element[TenCongTyID],'Khanh Nga'!$B$1,[1]!Data_PL_Element[Thang.Nam],'Khanh Nga'!AJ$198)</f>
        <v>0</v>
      </c>
      <c r="AK210" s="189">
        <f>SUMIFS([1]!Data_PL_Element[Value],[1]!Data_PL_Element[Index PL Element],'Khanh Nga'!$B210,[1]!Data_PL_Element[TenCongTyID],'Khanh Nga'!$B$1,[1]!Data_PL_Element[Thang.Nam],'Khanh Nga'!AK$198)</f>
        <v>0</v>
      </c>
      <c r="AL210" s="189">
        <f>SUMIFS([1]!Data_PL_Element[Value],[1]!Data_PL_Element[Index PL Element],'Khanh Nga'!$B210,[1]!Data_PL_Element[TenCongTyID],'Khanh Nga'!$B$1,[1]!Data_PL_Element[Thang.Nam],'Khanh Nga'!AL$198)</f>
        <v>0</v>
      </c>
    </row>
    <row r="211" spans="1:38" ht="15" customHeight="1">
      <c r="A211" s="181" t="s">
        <v>297</v>
      </c>
      <c r="B211" s="182">
        <v>13</v>
      </c>
      <c r="C211" s="183">
        <f>C138</f>
        <v>6559783004</v>
      </c>
      <c r="D211" s="183">
        <f t="shared" ref="D211:AL211" si="19">D138</f>
        <v>5886345396</v>
      </c>
      <c r="E211" s="183">
        <f t="shared" si="19"/>
        <v>7324351881</v>
      </c>
      <c r="F211" s="183">
        <f t="shared" si="19"/>
        <v>5224998353</v>
      </c>
      <c r="G211" s="183">
        <f t="shared" si="19"/>
        <v>7764479089</v>
      </c>
      <c r="H211" s="183">
        <f t="shared" si="19"/>
        <v>7281939097</v>
      </c>
      <c r="I211" s="183">
        <f t="shared" si="19"/>
        <v>5437205244</v>
      </c>
      <c r="J211" s="183">
        <f t="shared" si="19"/>
        <v>5773497558</v>
      </c>
      <c r="K211" s="183">
        <f t="shared" si="19"/>
        <v>4867603245</v>
      </c>
      <c r="L211" s="183">
        <f t="shared" si="19"/>
        <v>6301887244</v>
      </c>
      <c r="M211" s="183">
        <f t="shared" si="19"/>
        <v>5850497140</v>
      </c>
      <c r="N211" s="183">
        <f t="shared" si="19"/>
        <v>5184095833</v>
      </c>
      <c r="O211" s="183">
        <f t="shared" si="19"/>
        <v>4115294618</v>
      </c>
      <c r="P211" s="183">
        <f t="shared" si="19"/>
        <v>5323842751</v>
      </c>
      <c r="Q211" s="183">
        <f t="shared" si="19"/>
        <v>7964328238</v>
      </c>
      <c r="R211" s="183">
        <f t="shared" si="19"/>
        <v>8541162245</v>
      </c>
      <c r="S211" s="183">
        <f t="shared" si="19"/>
        <v>7739685565</v>
      </c>
      <c r="T211" s="183">
        <f t="shared" si="19"/>
        <v>8523016034</v>
      </c>
      <c r="U211" s="183">
        <f t="shared" si="19"/>
        <v>11750480818</v>
      </c>
      <c r="V211" s="183">
        <f t="shared" si="19"/>
        <v>10965244594</v>
      </c>
      <c r="W211" s="183">
        <f t="shared" si="19"/>
        <v>8023329011</v>
      </c>
      <c r="X211" s="183">
        <f t="shared" si="19"/>
        <v>6836790306</v>
      </c>
      <c r="Y211" s="183">
        <f t="shared" si="19"/>
        <v>5683019867</v>
      </c>
      <c r="Z211" s="183">
        <v>7372961109</v>
      </c>
      <c r="AA211" s="183">
        <f t="shared" si="19"/>
        <v>7190802752.9545536</v>
      </c>
      <c r="AB211" s="183">
        <f t="shared" si="19"/>
        <v>5664772064.6117477</v>
      </c>
      <c r="AC211" s="183">
        <f t="shared" si="19"/>
        <v>7668274849.5021544</v>
      </c>
      <c r="AD211" s="183">
        <f t="shared" si="19"/>
        <v>8227781725.1497555</v>
      </c>
      <c r="AE211" s="183">
        <f t="shared" si="19"/>
        <v>8183995965.3497562</v>
      </c>
      <c r="AF211" s="183">
        <f t="shared" si="19"/>
        <v>8230599968.6164227</v>
      </c>
      <c r="AG211" s="183">
        <f t="shared" si="19"/>
        <v>8242509945.9830894</v>
      </c>
      <c r="AH211" s="183">
        <f t="shared" si="19"/>
        <v>8260042590.5664225</v>
      </c>
      <c r="AI211" s="183">
        <f t="shared" si="19"/>
        <v>8249574716.1830893</v>
      </c>
      <c r="AJ211" s="183">
        <f t="shared" si="19"/>
        <v>8188547606.5164223</v>
      </c>
      <c r="AK211" s="183">
        <f t="shared" si="19"/>
        <v>8207901072.8164225</v>
      </c>
      <c r="AL211" s="183">
        <f t="shared" si="19"/>
        <v>8205260429.1164227</v>
      </c>
    </row>
    <row r="212" spans="1:38" ht="15" customHeight="1">
      <c r="A212" s="178" t="s">
        <v>298</v>
      </c>
      <c r="B212" s="179">
        <v>14</v>
      </c>
      <c r="C212" s="189">
        <v>5755973393</v>
      </c>
      <c r="D212" s="189">
        <v>5169915730</v>
      </c>
      <c r="E212" s="189">
        <v>6571736365</v>
      </c>
      <c r="F212" s="189">
        <v>4492350209</v>
      </c>
      <c r="G212" s="189">
        <v>7044338777</v>
      </c>
      <c r="H212" s="189">
        <v>6548108407</v>
      </c>
      <c r="I212" s="189">
        <v>4709923925</v>
      </c>
      <c r="J212" s="189">
        <v>5081319702</v>
      </c>
      <c r="K212" s="189">
        <v>3997945258</v>
      </c>
      <c r="L212" s="189">
        <v>5423877645</v>
      </c>
      <c r="M212" s="189">
        <v>5029196187</v>
      </c>
      <c r="N212" s="189">
        <v>4291277198</v>
      </c>
      <c r="O212" s="189">
        <v>3246863941</v>
      </c>
      <c r="P212" s="189">
        <v>4401674885</v>
      </c>
      <c r="Q212" s="189">
        <v>6986365857</v>
      </c>
      <c r="R212" s="189">
        <v>7513957887</v>
      </c>
      <c r="S212" s="189">
        <v>6728171816</v>
      </c>
      <c r="T212" s="189">
        <v>7487959358</v>
      </c>
      <c r="U212" s="189">
        <v>10604107231</v>
      </c>
      <c r="V212" s="189">
        <v>9902902190</v>
      </c>
      <c r="W212" s="189">
        <v>6985023161</v>
      </c>
      <c r="X212" s="189">
        <v>5821329853</v>
      </c>
      <c r="Y212" s="189">
        <v>4764723611</v>
      </c>
      <c r="Z212" s="189">
        <v>6134156746</v>
      </c>
      <c r="AA212" s="189">
        <f>SUMIFS([1]!Data_PL_Element[Value],[1]!Data_PL_Element[Index PL Element],'Khanh Nga'!$B212,[1]!Data_PL_Element[TenCongTyID],'Khanh Nga'!$B$1,[1]!Data_PL_Element[Thang.Nam],'Khanh Nga'!AA$198)</f>
        <v>0</v>
      </c>
      <c r="AB212" s="189">
        <f>SUMIFS([1]!Data_PL_Element[Value],[1]!Data_PL_Element[Index PL Element],'Khanh Nga'!$B212,[1]!Data_PL_Element[TenCongTyID],'Khanh Nga'!$B$1,[1]!Data_PL_Element[Thang.Nam],'Khanh Nga'!AB$198)</f>
        <v>0</v>
      </c>
      <c r="AC212" s="189">
        <f>SUMIFS([1]!Data_PL_Element[Value],[1]!Data_PL_Element[Index PL Element],'Khanh Nga'!$B212,[1]!Data_PL_Element[TenCongTyID],'Khanh Nga'!$B$1,[1]!Data_PL_Element[Thang.Nam],'Khanh Nga'!AC$198)</f>
        <v>0</v>
      </c>
      <c r="AD212" s="189">
        <f>SUMIFS([1]!Data_PL_Element[Value],[1]!Data_PL_Element[Index PL Element],'Khanh Nga'!$B212,[1]!Data_PL_Element[TenCongTyID],'Khanh Nga'!$B$1,[1]!Data_PL_Element[Thang.Nam],'Khanh Nga'!AD$198)</f>
        <v>0</v>
      </c>
      <c r="AE212" s="189">
        <f>SUMIFS([1]!Data_PL_Element[Value],[1]!Data_PL_Element[Index PL Element],'Khanh Nga'!$B212,[1]!Data_PL_Element[TenCongTyID],'Khanh Nga'!$B$1,[1]!Data_PL_Element[Thang.Nam],'Khanh Nga'!AE$198)</f>
        <v>0</v>
      </c>
      <c r="AF212" s="189">
        <f>SUMIFS([1]!Data_PL_Element[Value],[1]!Data_PL_Element[Index PL Element],'Khanh Nga'!$B212,[1]!Data_PL_Element[TenCongTyID],'Khanh Nga'!$B$1,[1]!Data_PL_Element[Thang.Nam],'Khanh Nga'!AF$198)</f>
        <v>0</v>
      </c>
      <c r="AG212" s="189">
        <f>SUMIFS([1]!Data_PL_Element[Value],[1]!Data_PL_Element[Index PL Element],'Khanh Nga'!$B212,[1]!Data_PL_Element[TenCongTyID],'Khanh Nga'!$B$1,[1]!Data_PL_Element[Thang.Nam],'Khanh Nga'!AG$198)</f>
        <v>0</v>
      </c>
      <c r="AH212" s="189">
        <f>SUMIFS([1]!Data_PL_Element[Value],[1]!Data_PL_Element[Index PL Element],'Khanh Nga'!$B212,[1]!Data_PL_Element[TenCongTyID],'Khanh Nga'!$B$1,[1]!Data_PL_Element[Thang.Nam],'Khanh Nga'!AH$198)</f>
        <v>0</v>
      </c>
      <c r="AI212" s="189">
        <f>SUMIFS([1]!Data_PL_Element[Value],[1]!Data_PL_Element[Index PL Element],'Khanh Nga'!$B212,[1]!Data_PL_Element[TenCongTyID],'Khanh Nga'!$B$1,[1]!Data_PL_Element[Thang.Nam],'Khanh Nga'!AI$198)</f>
        <v>0</v>
      </c>
      <c r="AJ212" s="189">
        <f>SUMIFS([1]!Data_PL_Element[Value],[1]!Data_PL_Element[Index PL Element],'Khanh Nga'!$B212,[1]!Data_PL_Element[TenCongTyID],'Khanh Nga'!$B$1,[1]!Data_PL_Element[Thang.Nam],'Khanh Nga'!AJ$198)</f>
        <v>0</v>
      </c>
      <c r="AK212" s="189">
        <f>SUMIFS([1]!Data_PL_Element[Value],[1]!Data_PL_Element[Index PL Element],'Khanh Nga'!$B212,[1]!Data_PL_Element[TenCongTyID],'Khanh Nga'!$B$1,[1]!Data_PL_Element[Thang.Nam],'Khanh Nga'!AK$198)</f>
        <v>0</v>
      </c>
      <c r="AL212" s="189">
        <f>SUMIFS([1]!Data_PL_Element[Value],[1]!Data_PL_Element[Index PL Element],'Khanh Nga'!$B212,[1]!Data_PL_Element[TenCongTyID],'Khanh Nga'!$B$1,[1]!Data_PL_Element[Thang.Nam],'Khanh Nga'!AL$198)</f>
        <v>0</v>
      </c>
    </row>
    <row r="213" spans="1:38" ht="15" customHeight="1">
      <c r="A213" s="178" t="s">
        <v>299</v>
      </c>
      <c r="B213" s="179">
        <v>15</v>
      </c>
      <c r="C213" s="189">
        <v>31205300</v>
      </c>
      <c r="D213" s="189">
        <v>22219000</v>
      </c>
      <c r="E213" s="189">
        <v>31088900</v>
      </c>
      <c r="F213" s="189">
        <v>26746300</v>
      </c>
      <c r="G213" s="189">
        <v>31877600</v>
      </c>
      <c r="H213" s="189">
        <v>34175400</v>
      </c>
      <c r="I213" s="189">
        <v>27729600</v>
      </c>
      <c r="J213" s="189">
        <v>41612376</v>
      </c>
      <c r="K213" s="189">
        <v>32469011</v>
      </c>
      <c r="L213" s="189">
        <v>39339080</v>
      </c>
      <c r="M213" s="189">
        <v>36445498</v>
      </c>
      <c r="N213" s="189">
        <v>22274744</v>
      </c>
      <c r="O213" s="189">
        <v>21783537</v>
      </c>
      <c r="P213" s="189">
        <v>25110006</v>
      </c>
      <c r="Q213" s="189">
        <v>35465899</v>
      </c>
      <c r="R213" s="189">
        <v>38843778</v>
      </c>
      <c r="S213" s="189">
        <v>36435793</v>
      </c>
      <c r="T213" s="189">
        <v>38605384</v>
      </c>
      <c r="U213" s="189">
        <v>55086679</v>
      </c>
      <c r="V213" s="189">
        <v>47559092</v>
      </c>
      <c r="W213" s="189">
        <v>41047405</v>
      </c>
      <c r="X213" s="189">
        <v>38020576</v>
      </c>
      <c r="Y213" s="189">
        <v>34757780</v>
      </c>
      <c r="Z213" s="189">
        <v>39844151</v>
      </c>
      <c r="AA213" s="189">
        <f>SUMIFS([1]!Data_PL_Element[Value],[1]!Data_PL_Element[Index PL Element],'Khanh Nga'!$B213,[1]!Data_PL_Element[TenCongTyID],'Khanh Nga'!$B$1,[1]!Data_PL_Element[Thang.Nam],'Khanh Nga'!AA$198)</f>
        <v>0</v>
      </c>
      <c r="AB213" s="189">
        <f>SUMIFS([1]!Data_PL_Element[Value],[1]!Data_PL_Element[Index PL Element],'Khanh Nga'!$B213,[1]!Data_PL_Element[TenCongTyID],'Khanh Nga'!$B$1,[1]!Data_PL_Element[Thang.Nam],'Khanh Nga'!AB$198)</f>
        <v>0</v>
      </c>
      <c r="AC213" s="189">
        <f>SUMIFS([1]!Data_PL_Element[Value],[1]!Data_PL_Element[Index PL Element],'Khanh Nga'!$B213,[1]!Data_PL_Element[TenCongTyID],'Khanh Nga'!$B$1,[1]!Data_PL_Element[Thang.Nam],'Khanh Nga'!AC$198)</f>
        <v>0</v>
      </c>
      <c r="AD213" s="189">
        <f>SUMIFS([1]!Data_PL_Element[Value],[1]!Data_PL_Element[Index PL Element],'Khanh Nga'!$B213,[1]!Data_PL_Element[TenCongTyID],'Khanh Nga'!$B$1,[1]!Data_PL_Element[Thang.Nam],'Khanh Nga'!AD$198)</f>
        <v>0</v>
      </c>
      <c r="AE213" s="189">
        <f>SUMIFS([1]!Data_PL_Element[Value],[1]!Data_PL_Element[Index PL Element],'Khanh Nga'!$B213,[1]!Data_PL_Element[TenCongTyID],'Khanh Nga'!$B$1,[1]!Data_PL_Element[Thang.Nam],'Khanh Nga'!AE$198)</f>
        <v>0</v>
      </c>
      <c r="AF213" s="189">
        <f>SUMIFS([1]!Data_PL_Element[Value],[1]!Data_PL_Element[Index PL Element],'Khanh Nga'!$B213,[1]!Data_PL_Element[TenCongTyID],'Khanh Nga'!$B$1,[1]!Data_PL_Element[Thang.Nam],'Khanh Nga'!AF$198)</f>
        <v>0</v>
      </c>
      <c r="AG213" s="189">
        <f>SUMIFS([1]!Data_PL_Element[Value],[1]!Data_PL_Element[Index PL Element],'Khanh Nga'!$B213,[1]!Data_PL_Element[TenCongTyID],'Khanh Nga'!$B$1,[1]!Data_PL_Element[Thang.Nam],'Khanh Nga'!AG$198)</f>
        <v>0</v>
      </c>
      <c r="AH213" s="189">
        <f>SUMIFS([1]!Data_PL_Element[Value],[1]!Data_PL_Element[Index PL Element],'Khanh Nga'!$B213,[1]!Data_PL_Element[TenCongTyID],'Khanh Nga'!$B$1,[1]!Data_PL_Element[Thang.Nam],'Khanh Nga'!AH$198)</f>
        <v>0</v>
      </c>
      <c r="AI213" s="189">
        <f>SUMIFS([1]!Data_PL_Element[Value],[1]!Data_PL_Element[Index PL Element],'Khanh Nga'!$B213,[1]!Data_PL_Element[TenCongTyID],'Khanh Nga'!$B$1,[1]!Data_PL_Element[Thang.Nam],'Khanh Nga'!AI$198)</f>
        <v>0</v>
      </c>
      <c r="AJ213" s="189">
        <f>SUMIFS([1]!Data_PL_Element[Value],[1]!Data_PL_Element[Index PL Element],'Khanh Nga'!$B213,[1]!Data_PL_Element[TenCongTyID],'Khanh Nga'!$B$1,[1]!Data_PL_Element[Thang.Nam],'Khanh Nga'!AJ$198)</f>
        <v>0</v>
      </c>
      <c r="AK213" s="189">
        <f>SUMIFS([1]!Data_PL_Element[Value],[1]!Data_PL_Element[Index PL Element],'Khanh Nga'!$B213,[1]!Data_PL_Element[TenCongTyID],'Khanh Nga'!$B$1,[1]!Data_PL_Element[Thang.Nam],'Khanh Nga'!AK$198)</f>
        <v>0</v>
      </c>
      <c r="AL213" s="189">
        <f>SUMIFS([1]!Data_PL_Element[Value],[1]!Data_PL_Element[Index PL Element],'Khanh Nga'!$B213,[1]!Data_PL_Element[TenCongTyID],'Khanh Nga'!$B$1,[1]!Data_PL_Element[Thang.Nam],'Khanh Nga'!AL$198)</f>
        <v>0</v>
      </c>
    </row>
    <row r="214" spans="1:38" ht="15" customHeight="1">
      <c r="A214" s="178" t="s">
        <v>300</v>
      </c>
      <c r="B214" s="179">
        <v>16</v>
      </c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>
        <v>0</v>
      </c>
      <c r="AA214" s="189">
        <f>SUMIFS([1]!Data_PL_Element[Value],[1]!Data_PL_Element[Index PL Element],'Khanh Nga'!$B214,[1]!Data_PL_Element[TenCongTyID],'Khanh Nga'!$B$1,[1]!Data_PL_Element[Thang.Nam],'Khanh Nga'!AA$198)</f>
        <v>0</v>
      </c>
      <c r="AB214" s="189">
        <f>SUMIFS([1]!Data_PL_Element[Value],[1]!Data_PL_Element[Index PL Element],'Khanh Nga'!$B214,[1]!Data_PL_Element[TenCongTyID],'Khanh Nga'!$B$1,[1]!Data_PL_Element[Thang.Nam],'Khanh Nga'!AB$198)</f>
        <v>0</v>
      </c>
      <c r="AC214" s="189">
        <f>SUMIFS([1]!Data_PL_Element[Value],[1]!Data_PL_Element[Index PL Element],'Khanh Nga'!$B214,[1]!Data_PL_Element[TenCongTyID],'Khanh Nga'!$B$1,[1]!Data_PL_Element[Thang.Nam],'Khanh Nga'!AC$198)</f>
        <v>0</v>
      </c>
      <c r="AD214" s="189">
        <f>SUMIFS([1]!Data_PL_Element[Value],[1]!Data_PL_Element[Index PL Element],'Khanh Nga'!$B214,[1]!Data_PL_Element[TenCongTyID],'Khanh Nga'!$B$1,[1]!Data_PL_Element[Thang.Nam],'Khanh Nga'!AD$198)</f>
        <v>0</v>
      </c>
      <c r="AE214" s="189">
        <f>SUMIFS([1]!Data_PL_Element[Value],[1]!Data_PL_Element[Index PL Element],'Khanh Nga'!$B214,[1]!Data_PL_Element[TenCongTyID],'Khanh Nga'!$B$1,[1]!Data_PL_Element[Thang.Nam],'Khanh Nga'!AE$198)</f>
        <v>0</v>
      </c>
      <c r="AF214" s="189">
        <f>SUMIFS([1]!Data_PL_Element[Value],[1]!Data_PL_Element[Index PL Element],'Khanh Nga'!$B214,[1]!Data_PL_Element[TenCongTyID],'Khanh Nga'!$B$1,[1]!Data_PL_Element[Thang.Nam],'Khanh Nga'!AF$198)</f>
        <v>0</v>
      </c>
      <c r="AG214" s="189">
        <f>SUMIFS([1]!Data_PL_Element[Value],[1]!Data_PL_Element[Index PL Element],'Khanh Nga'!$B214,[1]!Data_PL_Element[TenCongTyID],'Khanh Nga'!$B$1,[1]!Data_PL_Element[Thang.Nam],'Khanh Nga'!AG$198)</f>
        <v>0</v>
      </c>
      <c r="AH214" s="189">
        <f>SUMIFS([1]!Data_PL_Element[Value],[1]!Data_PL_Element[Index PL Element],'Khanh Nga'!$B214,[1]!Data_PL_Element[TenCongTyID],'Khanh Nga'!$B$1,[1]!Data_PL_Element[Thang.Nam],'Khanh Nga'!AH$198)</f>
        <v>0</v>
      </c>
      <c r="AI214" s="189">
        <f>SUMIFS([1]!Data_PL_Element[Value],[1]!Data_PL_Element[Index PL Element],'Khanh Nga'!$B214,[1]!Data_PL_Element[TenCongTyID],'Khanh Nga'!$B$1,[1]!Data_PL_Element[Thang.Nam],'Khanh Nga'!AI$198)</f>
        <v>0</v>
      </c>
      <c r="AJ214" s="189">
        <f>SUMIFS([1]!Data_PL_Element[Value],[1]!Data_PL_Element[Index PL Element],'Khanh Nga'!$B214,[1]!Data_PL_Element[TenCongTyID],'Khanh Nga'!$B$1,[1]!Data_PL_Element[Thang.Nam],'Khanh Nga'!AJ$198)</f>
        <v>0</v>
      </c>
      <c r="AK214" s="189">
        <f>SUMIFS([1]!Data_PL_Element[Value],[1]!Data_PL_Element[Index PL Element],'Khanh Nga'!$B214,[1]!Data_PL_Element[TenCongTyID],'Khanh Nga'!$B$1,[1]!Data_PL_Element[Thang.Nam],'Khanh Nga'!AK$198)</f>
        <v>0</v>
      </c>
      <c r="AL214" s="189">
        <f>SUMIFS([1]!Data_PL_Element[Value],[1]!Data_PL_Element[Index PL Element],'Khanh Nga'!$B214,[1]!Data_PL_Element[TenCongTyID],'Khanh Nga'!$B$1,[1]!Data_PL_Element[Thang.Nam],'Khanh Nga'!AL$198)</f>
        <v>0</v>
      </c>
    </row>
    <row r="215" spans="1:38" ht="15" customHeight="1">
      <c r="A215" s="178" t="s">
        <v>301</v>
      </c>
      <c r="B215" s="179">
        <v>17</v>
      </c>
      <c r="C215" s="189">
        <v>374388475</v>
      </c>
      <c r="D215" s="189">
        <v>336032711</v>
      </c>
      <c r="E215" s="189">
        <v>335588965</v>
      </c>
      <c r="F215" s="189">
        <v>340488472</v>
      </c>
      <c r="G215" s="189">
        <v>304749839</v>
      </c>
      <c r="H215" s="189">
        <v>314840387</v>
      </c>
      <c r="I215" s="189">
        <v>253055767</v>
      </c>
      <c r="J215" s="189">
        <v>267262509</v>
      </c>
      <c r="K215" s="189">
        <v>289944618</v>
      </c>
      <c r="L215" s="189">
        <v>301013430</v>
      </c>
      <c r="M215" s="189">
        <v>283200000</v>
      </c>
      <c r="N215" s="189">
        <v>258836540</v>
      </c>
      <c r="O215" s="189">
        <v>313398044</v>
      </c>
      <c r="P215" s="189">
        <v>334053041</v>
      </c>
      <c r="Q215" s="189">
        <v>389512950</v>
      </c>
      <c r="R215" s="189">
        <v>386175704</v>
      </c>
      <c r="S215" s="189">
        <v>315774843</v>
      </c>
      <c r="T215" s="189">
        <v>366425376</v>
      </c>
      <c r="U215" s="189">
        <v>375580418</v>
      </c>
      <c r="V215" s="189">
        <v>365311869</v>
      </c>
      <c r="W215" s="189">
        <v>326101430</v>
      </c>
      <c r="X215" s="189">
        <v>299133133</v>
      </c>
      <c r="Y215" s="189">
        <v>274860695</v>
      </c>
      <c r="Z215" s="189">
        <v>343166255</v>
      </c>
      <c r="AA215" s="189">
        <f>SUMIFS([1]!Data_PL_Element[Value],[1]!Data_PL_Element[Index PL Element],'Khanh Nga'!$B215,[1]!Data_PL_Element[TenCongTyID],'Khanh Nga'!$B$1,[1]!Data_PL_Element[Thang.Nam],'Khanh Nga'!AA$198)</f>
        <v>0</v>
      </c>
      <c r="AB215" s="189">
        <f>SUMIFS([1]!Data_PL_Element[Value],[1]!Data_PL_Element[Index PL Element],'Khanh Nga'!$B215,[1]!Data_PL_Element[TenCongTyID],'Khanh Nga'!$B$1,[1]!Data_PL_Element[Thang.Nam],'Khanh Nga'!AB$198)</f>
        <v>0</v>
      </c>
      <c r="AC215" s="189">
        <f>SUMIFS([1]!Data_PL_Element[Value],[1]!Data_PL_Element[Index PL Element],'Khanh Nga'!$B215,[1]!Data_PL_Element[TenCongTyID],'Khanh Nga'!$B$1,[1]!Data_PL_Element[Thang.Nam],'Khanh Nga'!AC$198)</f>
        <v>0</v>
      </c>
      <c r="AD215" s="189">
        <f>SUMIFS([1]!Data_PL_Element[Value],[1]!Data_PL_Element[Index PL Element],'Khanh Nga'!$B215,[1]!Data_PL_Element[TenCongTyID],'Khanh Nga'!$B$1,[1]!Data_PL_Element[Thang.Nam],'Khanh Nga'!AD$198)</f>
        <v>0</v>
      </c>
      <c r="AE215" s="189">
        <f>SUMIFS([1]!Data_PL_Element[Value],[1]!Data_PL_Element[Index PL Element],'Khanh Nga'!$B215,[1]!Data_PL_Element[TenCongTyID],'Khanh Nga'!$B$1,[1]!Data_PL_Element[Thang.Nam],'Khanh Nga'!AE$198)</f>
        <v>0</v>
      </c>
      <c r="AF215" s="189">
        <f>SUMIFS([1]!Data_PL_Element[Value],[1]!Data_PL_Element[Index PL Element],'Khanh Nga'!$B215,[1]!Data_PL_Element[TenCongTyID],'Khanh Nga'!$B$1,[1]!Data_PL_Element[Thang.Nam],'Khanh Nga'!AF$198)</f>
        <v>0</v>
      </c>
      <c r="AG215" s="189">
        <f>SUMIFS([1]!Data_PL_Element[Value],[1]!Data_PL_Element[Index PL Element],'Khanh Nga'!$B215,[1]!Data_PL_Element[TenCongTyID],'Khanh Nga'!$B$1,[1]!Data_PL_Element[Thang.Nam],'Khanh Nga'!AG$198)</f>
        <v>0</v>
      </c>
      <c r="AH215" s="189">
        <f>SUMIFS([1]!Data_PL_Element[Value],[1]!Data_PL_Element[Index PL Element],'Khanh Nga'!$B215,[1]!Data_PL_Element[TenCongTyID],'Khanh Nga'!$B$1,[1]!Data_PL_Element[Thang.Nam],'Khanh Nga'!AH$198)</f>
        <v>0</v>
      </c>
      <c r="AI215" s="189">
        <f>SUMIFS([1]!Data_PL_Element[Value],[1]!Data_PL_Element[Index PL Element],'Khanh Nga'!$B215,[1]!Data_PL_Element[TenCongTyID],'Khanh Nga'!$B$1,[1]!Data_PL_Element[Thang.Nam],'Khanh Nga'!AI$198)</f>
        <v>0</v>
      </c>
      <c r="AJ215" s="189">
        <f>SUMIFS([1]!Data_PL_Element[Value],[1]!Data_PL_Element[Index PL Element],'Khanh Nga'!$B215,[1]!Data_PL_Element[TenCongTyID],'Khanh Nga'!$B$1,[1]!Data_PL_Element[Thang.Nam],'Khanh Nga'!AJ$198)</f>
        <v>0</v>
      </c>
      <c r="AK215" s="189">
        <f>SUMIFS([1]!Data_PL_Element[Value],[1]!Data_PL_Element[Index PL Element],'Khanh Nga'!$B215,[1]!Data_PL_Element[TenCongTyID],'Khanh Nga'!$B$1,[1]!Data_PL_Element[Thang.Nam],'Khanh Nga'!AK$198)</f>
        <v>0</v>
      </c>
      <c r="AL215" s="189">
        <f>SUMIFS([1]!Data_PL_Element[Value],[1]!Data_PL_Element[Index PL Element],'Khanh Nga'!$B215,[1]!Data_PL_Element[TenCongTyID],'Khanh Nga'!$B$1,[1]!Data_PL_Element[Thang.Nam],'Khanh Nga'!AL$198)</f>
        <v>0</v>
      </c>
    </row>
    <row r="216" spans="1:38" ht="15" customHeight="1">
      <c r="A216" s="178" t="s">
        <v>302</v>
      </c>
      <c r="B216" s="179">
        <v>18</v>
      </c>
      <c r="C216" s="189">
        <v>13473077</v>
      </c>
      <c r="D216" s="189">
        <v>11911538</v>
      </c>
      <c r="E216" s="189">
        <v>13609388</v>
      </c>
      <c r="F216" s="189">
        <v>13246154</v>
      </c>
      <c r="G216" s="189">
        <v>12746154</v>
      </c>
      <c r="H216" s="189">
        <v>12296154</v>
      </c>
      <c r="I216" s="189">
        <v>13000000</v>
      </c>
      <c r="J216" s="189">
        <v>13409620</v>
      </c>
      <c r="K216" s="189">
        <v>15918769</v>
      </c>
      <c r="L216" s="189">
        <v>24024050</v>
      </c>
      <c r="M216" s="189">
        <v>22615385</v>
      </c>
      <c r="N216" s="189">
        <v>23006924</v>
      </c>
      <c r="O216" s="189">
        <v>26318423</v>
      </c>
      <c r="P216" s="189">
        <v>23613486</v>
      </c>
      <c r="Q216" s="189">
        <v>16908804</v>
      </c>
      <c r="R216" s="189">
        <v>56205520</v>
      </c>
      <c r="S216" s="189">
        <v>78766134</v>
      </c>
      <c r="T216" s="189">
        <v>63210856</v>
      </c>
      <c r="U216" s="189">
        <v>65304158</v>
      </c>
      <c r="V216" s="189">
        <v>68385464</v>
      </c>
      <c r="W216" s="189">
        <v>72676235</v>
      </c>
      <c r="X216" s="189">
        <v>68775609</v>
      </c>
      <c r="Y216" s="189">
        <v>68808066</v>
      </c>
      <c r="Z216" s="189">
        <v>69721432</v>
      </c>
      <c r="AA216" s="189">
        <f>SUMIFS([1]!Data_PL_Element[Value],[1]!Data_PL_Element[Index PL Element],'Khanh Nga'!$B216,[1]!Data_PL_Element[TenCongTyID],'Khanh Nga'!$B$1,[1]!Data_PL_Element[Thang.Nam],'Khanh Nga'!AA$198)</f>
        <v>0</v>
      </c>
      <c r="AB216" s="189">
        <f>SUMIFS([1]!Data_PL_Element[Value],[1]!Data_PL_Element[Index PL Element],'Khanh Nga'!$B216,[1]!Data_PL_Element[TenCongTyID],'Khanh Nga'!$B$1,[1]!Data_PL_Element[Thang.Nam],'Khanh Nga'!AB$198)</f>
        <v>0</v>
      </c>
      <c r="AC216" s="189">
        <f>SUMIFS([1]!Data_PL_Element[Value],[1]!Data_PL_Element[Index PL Element],'Khanh Nga'!$B216,[1]!Data_PL_Element[TenCongTyID],'Khanh Nga'!$B$1,[1]!Data_PL_Element[Thang.Nam],'Khanh Nga'!AC$198)</f>
        <v>0</v>
      </c>
      <c r="AD216" s="189">
        <f>SUMIFS([1]!Data_PL_Element[Value],[1]!Data_PL_Element[Index PL Element],'Khanh Nga'!$B216,[1]!Data_PL_Element[TenCongTyID],'Khanh Nga'!$B$1,[1]!Data_PL_Element[Thang.Nam],'Khanh Nga'!AD$198)</f>
        <v>0</v>
      </c>
      <c r="AE216" s="189">
        <f>SUMIFS([1]!Data_PL_Element[Value],[1]!Data_PL_Element[Index PL Element],'Khanh Nga'!$B216,[1]!Data_PL_Element[TenCongTyID],'Khanh Nga'!$B$1,[1]!Data_PL_Element[Thang.Nam],'Khanh Nga'!AE$198)</f>
        <v>0</v>
      </c>
      <c r="AF216" s="189">
        <f>SUMIFS([1]!Data_PL_Element[Value],[1]!Data_PL_Element[Index PL Element],'Khanh Nga'!$B216,[1]!Data_PL_Element[TenCongTyID],'Khanh Nga'!$B$1,[1]!Data_PL_Element[Thang.Nam],'Khanh Nga'!AF$198)</f>
        <v>0</v>
      </c>
      <c r="AG216" s="189">
        <f>SUMIFS([1]!Data_PL_Element[Value],[1]!Data_PL_Element[Index PL Element],'Khanh Nga'!$B216,[1]!Data_PL_Element[TenCongTyID],'Khanh Nga'!$B$1,[1]!Data_PL_Element[Thang.Nam],'Khanh Nga'!AG$198)</f>
        <v>0</v>
      </c>
      <c r="AH216" s="189">
        <f>SUMIFS([1]!Data_PL_Element[Value],[1]!Data_PL_Element[Index PL Element],'Khanh Nga'!$B216,[1]!Data_PL_Element[TenCongTyID],'Khanh Nga'!$B$1,[1]!Data_PL_Element[Thang.Nam],'Khanh Nga'!AH$198)</f>
        <v>0</v>
      </c>
      <c r="AI216" s="189">
        <f>SUMIFS([1]!Data_PL_Element[Value],[1]!Data_PL_Element[Index PL Element],'Khanh Nga'!$B216,[1]!Data_PL_Element[TenCongTyID],'Khanh Nga'!$B$1,[1]!Data_PL_Element[Thang.Nam],'Khanh Nga'!AI$198)</f>
        <v>0</v>
      </c>
      <c r="AJ216" s="189">
        <f>SUMIFS([1]!Data_PL_Element[Value],[1]!Data_PL_Element[Index PL Element],'Khanh Nga'!$B216,[1]!Data_PL_Element[TenCongTyID],'Khanh Nga'!$B$1,[1]!Data_PL_Element[Thang.Nam],'Khanh Nga'!AJ$198)</f>
        <v>0</v>
      </c>
      <c r="AK216" s="189">
        <f>SUMIFS([1]!Data_PL_Element[Value],[1]!Data_PL_Element[Index PL Element],'Khanh Nga'!$B216,[1]!Data_PL_Element[TenCongTyID],'Khanh Nga'!$B$1,[1]!Data_PL_Element[Thang.Nam],'Khanh Nga'!AK$198)</f>
        <v>0</v>
      </c>
      <c r="AL216" s="189">
        <f>SUMIFS([1]!Data_PL_Element[Value],[1]!Data_PL_Element[Index PL Element],'Khanh Nga'!$B216,[1]!Data_PL_Element[TenCongTyID],'Khanh Nga'!$B$1,[1]!Data_PL_Element[Thang.Nam],'Khanh Nga'!AL$198)</f>
        <v>0</v>
      </c>
    </row>
    <row r="217" spans="1:38" ht="15" customHeight="1">
      <c r="A217" s="178" t="s">
        <v>303</v>
      </c>
      <c r="B217" s="179">
        <v>19</v>
      </c>
      <c r="C217" s="189">
        <v>92998593</v>
      </c>
      <c r="D217" s="189">
        <v>86115600</v>
      </c>
      <c r="E217" s="189">
        <v>94018108</v>
      </c>
      <c r="F217" s="189">
        <v>81993109</v>
      </c>
      <c r="G217" s="189">
        <v>88714445</v>
      </c>
      <c r="H217" s="189">
        <v>78595619</v>
      </c>
      <c r="I217" s="189">
        <v>76096522</v>
      </c>
      <c r="J217" s="189">
        <v>78150529</v>
      </c>
      <c r="K217" s="189">
        <v>74987026</v>
      </c>
      <c r="L217" s="189">
        <v>100277416</v>
      </c>
      <c r="M217" s="189">
        <v>88525267</v>
      </c>
      <c r="N217" s="189">
        <v>67766935</v>
      </c>
      <c r="O217" s="189">
        <v>85934357</v>
      </c>
      <c r="P217" s="189">
        <v>92813270</v>
      </c>
      <c r="Q217" s="189">
        <v>91691776</v>
      </c>
      <c r="R217" s="189">
        <v>92345265</v>
      </c>
      <c r="S217" s="189">
        <v>92973478</v>
      </c>
      <c r="T217" s="189">
        <v>98435266</v>
      </c>
      <c r="U217" s="189">
        <v>143860688</v>
      </c>
      <c r="V217" s="189">
        <v>69858085</v>
      </c>
      <c r="W217" s="189">
        <v>90839359</v>
      </c>
      <c r="X217" s="189">
        <v>105448461</v>
      </c>
      <c r="Y217" s="189">
        <v>84725008</v>
      </c>
      <c r="Z217" s="189">
        <v>220379909</v>
      </c>
      <c r="AA217" s="189">
        <f>SUMIFS([1]!Data_PL_Element[Value],[1]!Data_PL_Element[Index PL Element],'Khanh Nga'!$B217,[1]!Data_PL_Element[TenCongTyID],'Khanh Nga'!$B$1,[1]!Data_PL_Element[Thang.Nam],'Khanh Nga'!AA$198)</f>
        <v>0</v>
      </c>
      <c r="AB217" s="189">
        <f>SUMIFS([1]!Data_PL_Element[Value],[1]!Data_PL_Element[Index PL Element],'Khanh Nga'!$B217,[1]!Data_PL_Element[TenCongTyID],'Khanh Nga'!$B$1,[1]!Data_PL_Element[Thang.Nam],'Khanh Nga'!AB$198)</f>
        <v>0</v>
      </c>
      <c r="AC217" s="189">
        <f>SUMIFS([1]!Data_PL_Element[Value],[1]!Data_PL_Element[Index PL Element],'Khanh Nga'!$B217,[1]!Data_PL_Element[TenCongTyID],'Khanh Nga'!$B$1,[1]!Data_PL_Element[Thang.Nam],'Khanh Nga'!AC$198)</f>
        <v>0</v>
      </c>
      <c r="AD217" s="189">
        <f>SUMIFS([1]!Data_PL_Element[Value],[1]!Data_PL_Element[Index PL Element],'Khanh Nga'!$B217,[1]!Data_PL_Element[TenCongTyID],'Khanh Nga'!$B$1,[1]!Data_PL_Element[Thang.Nam],'Khanh Nga'!AD$198)</f>
        <v>0</v>
      </c>
      <c r="AE217" s="189">
        <f>SUMIFS([1]!Data_PL_Element[Value],[1]!Data_PL_Element[Index PL Element],'Khanh Nga'!$B217,[1]!Data_PL_Element[TenCongTyID],'Khanh Nga'!$B$1,[1]!Data_PL_Element[Thang.Nam],'Khanh Nga'!AE$198)</f>
        <v>0</v>
      </c>
      <c r="AF217" s="189">
        <f>SUMIFS([1]!Data_PL_Element[Value],[1]!Data_PL_Element[Index PL Element],'Khanh Nga'!$B217,[1]!Data_PL_Element[TenCongTyID],'Khanh Nga'!$B$1,[1]!Data_PL_Element[Thang.Nam],'Khanh Nga'!AF$198)</f>
        <v>0</v>
      </c>
      <c r="AG217" s="189">
        <f>SUMIFS([1]!Data_PL_Element[Value],[1]!Data_PL_Element[Index PL Element],'Khanh Nga'!$B217,[1]!Data_PL_Element[TenCongTyID],'Khanh Nga'!$B$1,[1]!Data_PL_Element[Thang.Nam],'Khanh Nga'!AG$198)</f>
        <v>0</v>
      </c>
      <c r="AH217" s="189">
        <f>SUMIFS([1]!Data_PL_Element[Value],[1]!Data_PL_Element[Index PL Element],'Khanh Nga'!$B217,[1]!Data_PL_Element[TenCongTyID],'Khanh Nga'!$B$1,[1]!Data_PL_Element[Thang.Nam],'Khanh Nga'!AH$198)</f>
        <v>0</v>
      </c>
      <c r="AI217" s="189">
        <f>SUMIFS([1]!Data_PL_Element[Value],[1]!Data_PL_Element[Index PL Element],'Khanh Nga'!$B217,[1]!Data_PL_Element[TenCongTyID],'Khanh Nga'!$B$1,[1]!Data_PL_Element[Thang.Nam],'Khanh Nga'!AI$198)</f>
        <v>0</v>
      </c>
      <c r="AJ217" s="189">
        <f>SUMIFS([1]!Data_PL_Element[Value],[1]!Data_PL_Element[Index PL Element],'Khanh Nga'!$B217,[1]!Data_PL_Element[TenCongTyID],'Khanh Nga'!$B$1,[1]!Data_PL_Element[Thang.Nam],'Khanh Nga'!AJ$198)</f>
        <v>0</v>
      </c>
      <c r="AK217" s="189">
        <f>SUMIFS([1]!Data_PL_Element[Value],[1]!Data_PL_Element[Index PL Element],'Khanh Nga'!$B217,[1]!Data_PL_Element[TenCongTyID],'Khanh Nga'!$B$1,[1]!Data_PL_Element[Thang.Nam],'Khanh Nga'!AK$198)</f>
        <v>0</v>
      </c>
      <c r="AL217" s="189">
        <f>SUMIFS([1]!Data_PL_Element[Value],[1]!Data_PL_Element[Index PL Element],'Khanh Nga'!$B217,[1]!Data_PL_Element[TenCongTyID],'Khanh Nga'!$B$1,[1]!Data_PL_Element[Thang.Nam],'Khanh Nga'!AL$198)</f>
        <v>0</v>
      </c>
    </row>
    <row r="218" spans="1:38" ht="15" customHeight="1">
      <c r="A218" s="178" t="s">
        <v>304</v>
      </c>
      <c r="B218" s="179">
        <v>20</v>
      </c>
      <c r="C218" s="189">
        <v>39350032</v>
      </c>
      <c r="D218" s="189">
        <v>15303494</v>
      </c>
      <c r="E218" s="189">
        <v>22668077</v>
      </c>
      <c r="F218" s="189">
        <v>28073168</v>
      </c>
      <c r="G218" s="189">
        <v>29923827</v>
      </c>
      <c r="H218" s="189">
        <v>39347157</v>
      </c>
      <c r="I218" s="189">
        <v>30647799</v>
      </c>
      <c r="J218" s="189">
        <v>37426352</v>
      </c>
      <c r="K218" s="189">
        <v>60525578</v>
      </c>
      <c r="L218" s="189">
        <v>55204327</v>
      </c>
      <c r="M218" s="189">
        <v>54082442</v>
      </c>
      <c r="N218" s="189">
        <v>148464797</v>
      </c>
      <c r="O218" s="189">
        <v>95679073</v>
      </c>
      <c r="P218" s="189">
        <v>92910174</v>
      </c>
      <c r="Q218" s="189">
        <v>84300650</v>
      </c>
      <c r="R218" s="189">
        <v>69752706</v>
      </c>
      <c r="S218" s="189">
        <v>108641179</v>
      </c>
      <c r="T218" s="189">
        <v>87526893</v>
      </c>
      <c r="U218" s="189">
        <v>118335745</v>
      </c>
      <c r="V218" s="189">
        <v>112699354</v>
      </c>
      <c r="W218" s="189">
        <v>114465803</v>
      </c>
      <c r="X218" s="189">
        <v>111040070</v>
      </c>
      <c r="Y218" s="189">
        <v>89564557</v>
      </c>
      <c r="Z218" s="189">
        <v>77464169</v>
      </c>
      <c r="AA218" s="189">
        <f>SUMIFS([1]!Data_PL_Element[Value],[1]!Data_PL_Element[Index PL Element],'Khanh Nga'!$B218,[1]!Data_PL_Element[TenCongTyID],'Khanh Nga'!$B$1,[1]!Data_PL_Element[Thang.Nam],'Khanh Nga'!AA$198)</f>
        <v>0</v>
      </c>
      <c r="AB218" s="189">
        <f>SUMIFS([1]!Data_PL_Element[Value],[1]!Data_PL_Element[Index PL Element],'Khanh Nga'!$B218,[1]!Data_PL_Element[TenCongTyID],'Khanh Nga'!$B$1,[1]!Data_PL_Element[Thang.Nam],'Khanh Nga'!AB$198)</f>
        <v>0</v>
      </c>
      <c r="AC218" s="189">
        <f>SUMIFS([1]!Data_PL_Element[Value],[1]!Data_PL_Element[Index PL Element],'Khanh Nga'!$B218,[1]!Data_PL_Element[TenCongTyID],'Khanh Nga'!$B$1,[1]!Data_PL_Element[Thang.Nam],'Khanh Nga'!AC$198)</f>
        <v>0</v>
      </c>
      <c r="AD218" s="189">
        <f>SUMIFS([1]!Data_PL_Element[Value],[1]!Data_PL_Element[Index PL Element],'Khanh Nga'!$B218,[1]!Data_PL_Element[TenCongTyID],'Khanh Nga'!$B$1,[1]!Data_PL_Element[Thang.Nam],'Khanh Nga'!AD$198)</f>
        <v>0</v>
      </c>
      <c r="AE218" s="189">
        <f>SUMIFS([1]!Data_PL_Element[Value],[1]!Data_PL_Element[Index PL Element],'Khanh Nga'!$B218,[1]!Data_PL_Element[TenCongTyID],'Khanh Nga'!$B$1,[1]!Data_PL_Element[Thang.Nam],'Khanh Nga'!AE$198)</f>
        <v>0</v>
      </c>
      <c r="AF218" s="189">
        <f>SUMIFS([1]!Data_PL_Element[Value],[1]!Data_PL_Element[Index PL Element],'Khanh Nga'!$B218,[1]!Data_PL_Element[TenCongTyID],'Khanh Nga'!$B$1,[1]!Data_PL_Element[Thang.Nam],'Khanh Nga'!AF$198)</f>
        <v>0</v>
      </c>
      <c r="AG218" s="189">
        <f>SUMIFS([1]!Data_PL_Element[Value],[1]!Data_PL_Element[Index PL Element],'Khanh Nga'!$B218,[1]!Data_PL_Element[TenCongTyID],'Khanh Nga'!$B$1,[1]!Data_PL_Element[Thang.Nam],'Khanh Nga'!AG$198)</f>
        <v>0</v>
      </c>
      <c r="AH218" s="189">
        <f>SUMIFS([1]!Data_PL_Element[Value],[1]!Data_PL_Element[Index PL Element],'Khanh Nga'!$B218,[1]!Data_PL_Element[TenCongTyID],'Khanh Nga'!$B$1,[1]!Data_PL_Element[Thang.Nam],'Khanh Nga'!AH$198)</f>
        <v>0</v>
      </c>
      <c r="AI218" s="189">
        <f>SUMIFS([1]!Data_PL_Element[Value],[1]!Data_PL_Element[Index PL Element],'Khanh Nga'!$B218,[1]!Data_PL_Element[TenCongTyID],'Khanh Nga'!$B$1,[1]!Data_PL_Element[Thang.Nam],'Khanh Nga'!AI$198)</f>
        <v>0</v>
      </c>
      <c r="AJ218" s="189">
        <f>SUMIFS([1]!Data_PL_Element[Value],[1]!Data_PL_Element[Index PL Element],'Khanh Nga'!$B218,[1]!Data_PL_Element[TenCongTyID],'Khanh Nga'!$B$1,[1]!Data_PL_Element[Thang.Nam],'Khanh Nga'!AJ$198)</f>
        <v>0</v>
      </c>
      <c r="AK218" s="189">
        <f>SUMIFS([1]!Data_PL_Element[Value],[1]!Data_PL_Element[Index PL Element],'Khanh Nga'!$B218,[1]!Data_PL_Element[TenCongTyID],'Khanh Nga'!$B$1,[1]!Data_PL_Element[Thang.Nam],'Khanh Nga'!AK$198)</f>
        <v>0</v>
      </c>
      <c r="AL218" s="189">
        <f>SUMIFS([1]!Data_PL_Element[Value],[1]!Data_PL_Element[Index PL Element],'Khanh Nga'!$B218,[1]!Data_PL_Element[TenCongTyID],'Khanh Nga'!$B$1,[1]!Data_PL_Element[Thang.Nam],'Khanh Nga'!AL$198)</f>
        <v>0</v>
      </c>
    </row>
    <row r="219" spans="1:38" ht="15" customHeight="1">
      <c r="A219" s="190" t="s">
        <v>305</v>
      </c>
      <c r="B219" s="191">
        <v>21</v>
      </c>
      <c r="C219" s="189">
        <v>140390602</v>
      </c>
      <c r="D219" s="189">
        <v>132843791</v>
      </c>
      <c r="E219" s="189">
        <v>143638546</v>
      </c>
      <c r="F219" s="189">
        <v>130097409</v>
      </c>
      <c r="G219" s="189">
        <v>134614163</v>
      </c>
      <c r="H219" s="189">
        <v>135739108</v>
      </c>
      <c r="I219" s="189">
        <v>207914766</v>
      </c>
      <c r="J219" s="189">
        <v>135479605</v>
      </c>
      <c r="K219" s="189">
        <v>276976120</v>
      </c>
      <c r="L219" s="189">
        <v>192359517</v>
      </c>
      <c r="M219" s="189">
        <v>189024000</v>
      </c>
      <c r="N219" s="189">
        <v>228558433</v>
      </c>
      <c r="O219" s="189">
        <v>171772053</v>
      </c>
      <c r="P219" s="189">
        <v>200122699</v>
      </c>
      <c r="Q219" s="189">
        <v>206537112</v>
      </c>
      <c r="R219" s="189">
        <v>203502862</v>
      </c>
      <c r="S219" s="189">
        <v>219554547</v>
      </c>
      <c r="T219" s="189">
        <v>202260042</v>
      </c>
      <c r="U219" s="189">
        <v>209986932</v>
      </c>
      <c r="V219" s="189">
        <v>221309573</v>
      </c>
      <c r="W219" s="189">
        <v>215956651</v>
      </c>
      <c r="X219" s="189">
        <v>215823637</v>
      </c>
      <c r="Y219" s="189">
        <v>190203772</v>
      </c>
      <c r="Z219" s="189">
        <v>312852072</v>
      </c>
      <c r="AA219" s="189">
        <f>SUMIFS([1]!Data_PL_Element[Value],[1]!Data_PL_Element[Index PL Element],'Khanh Nga'!$B219,[1]!Data_PL_Element[TenCongTyID],'Khanh Nga'!$B$1,[1]!Data_PL_Element[Thang.Nam],'Khanh Nga'!AA$198)</f>
        <v>0</v>
      </c>
      <c r="AB219" s="189">
        <f>SUMIFS([1]!Data_PL_Element[Value],[1]!Data_PL_Element[Index PL Element],'Khanh Nga'!$B219,[1]!Data_PL_Element[TenCongTyID],'Khanh Nga'!$B$1,[1]!Data_PL_Element[Thang.Nam],'Khanh Nga'!AB$198)</f>
        <v>0</v>
      </c>
      <c r="AC219" s="189">
        <f>SUMIFS([1]!Data_PL_Element[Value],[1]!Data_PL_Element[Index PL Element],'Khanh Nga'!$B219,[1]!Data_PL_Element[TenCongTyID],'Khanh Nga'!$B$1,[1]!Data_PL_Element[Thang.Nam],'Khanh Nga'!AC$198)</f>
        <v>0</v>
      </c>
      <c r="AD219" s="189">
        <f>SUMIFS([1]!Data_PL_Element[Value],[1]!Data_PL_Element[Index PL Element],'Khanh Nga'!$B219,[1]!Data_PL_Element[TenCongTyID],'Khanh Nga'!$B$1,[1]!Data_PL_Element[Thang.Nam],'Khanh Nga'!AD$198)</f>
        <v>0</v>
      </c>
      <c r="AE219" s="189">
        <f>SUMIFS([1]!Data_PL_Element[Value],[1]!Data_PL_Element[Index PL Element],'Khanh Nga'!$B219,[1]!Data_PL_Element[TenCongTyID],'Khanh Nga'!$B$1,[1]!Data_PL_Element[Thang.Nam],'Khanh Nga'!AE$198)</f>
        <v>0</v>
      </c>
      <c r="AF219" s="189">
        <f>SUMIFS([1]!Data_PL_Element[Value],[1]!Data_PL_Element[Index PL Element],'Khanh Nga'!$B219,[1]!Data_PL_Element[TenCongTyID],'Khanh Nga'!$B$1,[1]!Data_PL_Element[Thang.Nam],'Khanh Nga'!AF$198)</f>
        <v>0</v>
      </c>
      <c r="AG219" s="189">
        <f>SUMIFS([1]!Data_PL_Element[Value],[1]!Data_PL_Element[Index PL Element],'Khanh Nga'!$B219,[1]!Data_PL_Element[TenCongTyID],'Khanh Nga'!$B$1,[1]!Data_PL_Element[Thang.Nam],'Khanh Nga'!AG$198)</f>
        <v>0</v>
      </c>
      <c r="AH219" s="189">
        <f>SUMIFS([1]!Data_PL_Element[Value],[1]!Data_PL_Element[Index PL Element],'Khanh Nga'!$B219,[1]!Data_PL_Element[TenCongTyID],'Khanh Nga'!$B$1,[1]!Data_PL_Element[Thang.Nam],'Khanh Nga'!AH$198)</f>
        <v>0</v>
      </c>
      <c r="AI219" s="189">
        <f>SUMIFS([1]!Data_PL_Element[Value],[1]!Data_PL_Element[Index PL Element],'Khanh Nga'!$B219,[1]!Data_PL_Element[TenCongTyID],'Khanh Nga'!$B$1,[1]!Data_PL_Element[Thang.Nam],'Khanh Nga'!AI$198)</f>
        <v>0</v>
      </c>
      <c r="AJ219" s="189">
        <f>SUMIFS([1]!Data_PL_Element[Value],[1]!Data_PL_Element[Index PL Element],'Khanh Nga'!$B219,[1]!Data_PL_Element[TenCongTyID],'Khanh Nga'!$B$1,[1]!Data_PL_Element[Thang.Nam],'Khanh Nga'!AJ$198)</f>
        <v>0</v>
      </c>
      <c r="AK219" s="189">
        <f>SUMIFS([1]!Data_PL_Element[Value],[1]!Data_PL_Element[Index PL Element],'Khanh Nga'!$B219,[1]!Data_PL_Element[TenCongTyID],'Khanh Nga'!$B$1,[1]!Data_PL_Element[Thang.Nam],'Khanh Nga'!AK$198)</f>
        <v>0</v>
      </c>
      <c r="AL219" s="189">
        <f>SUMIFS([1]!Data_PL_Element[Value],[1]!Data_PL_Element[Index PL Element],'Khanh Nga'!$B219,[1]!Data_PL_Element[TenCongTyID],'Khanh Nga'!$B$1,[1]!Data_PL_Element[Thang.Nam],'Khanh Nga'!AL$198)</f>
        <v>0</v>
      </c>
    </row>
    <row r="220" spans="1:38" ht="15" customHeight="1">
      <c r="A220" s="178" t="s">
        <v>306</v>
      </c>
      <c r="B220" s="179">
        <v>22</v>
      </c>
      <c r="C220" s="189">
        <v>112003532</v>
      </c>
      <c r="D220" s="189">
        <v>112003532</v>
      </c>
      <c r="E220" s="189">
        <v>112003532</v>
      </c>
      <c r="F220" s="189">
        <v>112003532</v>
      </c>
      <c r="G220" s="189">
        <v>117514284</v>
      </c>
      <c r="H220" s="189">
        <v>118836865</v>
      </c>
      <c r="I220" s="189">
        <v>118836865</v>
      </c>
      <c r="J220" s="189">
        <v>118836865</v>
      </c>
      <c r="K220" s="189">
        <v>118836865</v>
      </c>
      <c r="L220" s="189">
        <v>134265829</v>
      </c>
      <c r="M220" s="189">
        <v>147408361</v>
      </c>
      <c r="N220" s="189">
        <v>143910262</v>
      </c>
      <c r="O220" s="189">
        <v>153545190</v>
      </c>
      <c r="P220" s="189">
        <v>153545190</v>
      </c>
      <c r="Q220" s="189">
        <v>153545190</v>
      </c>
      <c r="R220" s="189">
        <v>180378523</v>
      </c>
      <c r="S220" s="189">
        <v>159367775</v>
      </c>
      <c r="T220" s="189">
        <v>178592859</v>
      </c>
      <c r="U220" s="189">
        <v>178218967</v>
      </c>
      <c r="V220" s="189">
        <v>177218967</v>
      </c>
      <c r="W220" s="189">
        <v>177218967</v>
      </c>
      <c r="X220" s="189">
        <v>177218967</v>
      </c>
      <c r="Y220" s="189">
        <v>175376378</v>
      </c>
      <c r="Z220" s="189">
        <v>175376375</v>
      </c>
      <c r="AA220" s="189">
        <f>SUMIFS([1]!Data_PL_Element[Value],[1]!Data_PL_Element[Index PL Element],'Khanh Nga'!$B220,[1]!Data_PL_Element[TenCongTyID],'Khanh Nga'!$B$1,[1]!Data_PL_Element[Thang.Nam],'Khanh Nga'!AA$198)</f>
        <v>0</v>
      </c>
      <c r="AB220" s="189">
        <f>SUMIFS([1]!Data_PL_Element[Value],[1]!Data_PL_Element[Index PL Element],'Khanh Nga'!$B220,[1]!Data_PL_Element[TenCongTyID],'Khanh Nga'!$B$1,[1]!Data_PL_Element[Thang.Nam],'Khanh Nga'!AB$198)</f>
        <v>0</v>
      </c>
      <c r="AC220" s="189">
        <f>SUMIFS([1]!Data_PL_Element[Value],[1]!Data_PL_Element[Index PL Element],'Khanh Nga'!$B220,[1]!Data_PL_Element[TenCongTyID],'Khanh Nga'!$B$1,[1]!Data_PL_Element[Thang.Nam],'Khanh Nga'!AC$198)</f>
        <v>0</v>
      </c>
      <c r="AD220" s="189">
        <f>SUMIFS([1]!Data_PL_Element[Value],[1]!Data_PL_Element[Index PL Element],'Khanh Nga'!$B220,[1]!Data_PL_Element[TenCongTyID],'Khanh Nga'!$B$1,[1]!Data_PL_Element[Thang.Nam],'Khanh Nga'!AD$198)</f>
        <v>0</v>
      </c>
      <c r="AE220" s="189">
        <f>SUMIFS([1]!Data_PL_Element[Value],[1]!Data_PL_Element[Index PL Element],'Khanh Nga'!$B220,[1]!Data_PL_Element[TenCongTyID],'Khanh Nga'!$B$1,[1]!Data_PL_Element[Thang.Nam],'Khanh Nga'!AE$198)</f>
        <v>0</v>
      </c>
      <c r="AF220" s="189">
        <f>SUMIFS([1]!Data_PL_Element[Value],[1]!Data_PL_Element[Index PL Element],'Khanh Nga'!$B220,[1]!Data_PL_Element[TenCongTyID],'Khanh Nga'!$B$1,[1]!Data_PL_Element[Thang.Nam],'Khanh Nga'!AF$198)</f>
        <v>0</v>
      </c>
      <c r="AG220" s="189">
        <f>SUMIFS([1]!Data_PL_Element[Value],[1]!Data_PL_Element[Index PL Element],'Khanh Nga'!$B220,[1]!Data_PL_Element[TenCongTyID],'Khanh Nga'!$B$1,[1]!Data_PL_Element[Thang.Nam],'Khanh Nga'!AG$198)</f>
        <v>0</v>
      </c>
      <c r="AH220" s="189">
        <f>SUMIFS([1]!Data_PL_Element[Value],[1]!Data_PL_Element[Index PL Element],'Khanh Nga'!$B220,[1]!Data_PL_Element[TenCongTyID],'Khanh Nga'!$B$1,[1]!Data_PL_Element[Thang.Nam],'Khanh Nga'!AH$198)</f>
        <v>0</v>
      </c>
      <c r="AI220" s="189">
        <f>SUMIFS([1]!Data_PL_Element[Value],[1]!Data_PL_Element[Index PL Element],'Khanh Nga'!$B220,[1]!Data_PL_Element[TenCongTyID],'Khanh Nga'!$B$1,[1]!Data_PL_Element[Thang.Nam],'Khanh Nga'!AI$198)</f>
        <v>0</v>
      </c>
      <c r="AJ220" s="189">
        <f>SUMIFS([1]!Data_PL_Element[Value],[1]!Data_PL_Element[Index PL Element],'Khanh Nga'!$B220,[1]!Data_PL_Element[TenCongTyID],'Khanh Nga'!$B$1,[1]!Data_PL_Element[Thang.Nam],'Khanh Nga'!AJ$198)</f>
        <v>0</v>
      </c>
      <c r="AK220" s="189">
        <f>SUMIFS([1]!Data_PL_Element[Value],[1]!Data_PL_Element[Index PL Element],'Khanh Nga'!$B220,[1]!Data_PL_Element[TenCongTyID],'Khanh Nga'!$B$1,[1]!Data_PL_Element[Thang.Nam],'Khanh Nga'!AK$198)</f>
        <v>0</v>
      </c>
      <c r="AL220" s="189">
        <f>SUMIFS([1]!Data_PL_Element[Value],[1]!Data_PL_Element[Index PL Element],'Khanh Nga'!$B220,[1]!Data_PL_Element[TenCongTyID],'Khanh Nga'!$B$1,[1]!Data_PL_Element[Thang.Nam],'Khanh Nga'!AL$198)</f>
        <v>0</v>
      </c>
    </row>
    <row r="221" spans="1:38" ht="15" customHeight="1">
      <c r="A221" s="178" t="s">
        <v>307</v>
      </c>
      <c r="B221" s="179">
        <v>23</v>
      </c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>
        <v>0</v>
      </c>
      <c r="AA221" s="189">
        <f>SUMIFS([1]!Data_PL_Element[Value],[1]!Data_PL_Element[Index PL Element],'Khanh Nga'!$B221,[1]!Data_PL_Element[TenCongTyID],'Khanh Nga'!$B$1,[1]!Data_PL_Element[Thang.Nam],'Khanh Nga'!AA$198)</f>
        <v>0</v>
      </c>
      <c r="AB221" s="189">
        <f>SUMIFS([1]!Data_PL_Element[Value],[1]!Data_PL_Element[Index PL Element],'Khanh Nga'!$B221,[1]!Data_PL_Element[TenCongTyID],'Khanh Nga'!$B$1,[1]!Data_PL_Element[Thang.Nam],'Khanh Nga'!AB$198)</f>
        <v>0</v>
      </c>
      <c r="AC221" s="189">
        <f>SUMIFS([1]!Data_PL_Element[Value],[1]!Data_PL_Element[Index PL Element],'Khanh Nga'!$B221,[1]!Data_PL_Element[TenCongTyID],'Khanh Nga'!$B$1,[1]!Data_PL_Element[Thang.Nam],'Khanh Nga'!AC$198)</f>
        <v>0</v>
      </c>
      <c r="AD221" s="189">
        <f>SUMIFS([1]!Data_PL_Element[Value],[1]!Data_PL_Element[Index PL Element],'Khanh Nga'!$B221,[1]!Data_PL_Element[TenCongTyID],'Khanh Nga'!$B$1,[1]!Data_PL_Element[Thang.Nam],'Khanh Nga'!AD$198)</f>
        <v>0</v>
      </c>
      <c r="AE221" s="189">
        <f>SUMIFS([1]!Data_PL_Element[Value],[1]!Data_PL_Element[Index PL Element],'Khanh Nga'!$B221,[1]!Data_PL_Element[TenCongTyID],'Khanh Nga'!$B$1,[1]!Data_PL_Element[Thang.Nam],'Khanh Nga'!AE$198)</f>
        <v>0</v>
      </c>
      <c r="AF221" s="189">
        <f>SUMIFS([1]!Data_PL_Element[Value],[1]!Data_PL_Element[Index PL Element],'Khanh Nga'!$B221,[1]!Data_PL_Element[TenCongTyID],'Khanh Nga'!$B$1,[1]!Data_PL_Element[Thang.Nam],'Khanh Nga'!AF$198)</f>
        <v>0</v>
      </c>
      <c r="AG221" s="189">
        <f>SUMIFS([1]!Data_PL_Element[Value],[1]!Data_PL_Element[Index PL Element],'Khanh Nga'!$B221,[1]!Data_PL_Element[TenCongTyID],'Khanh Nga'!$B$1,[1]!Data_PL_Element[Thang.Nam],'Khanh Nga'!AG$198)</f>
        <v>0</v>
      </c>
      <c r="AH221" s="189">
        <f>SUMIFS([1]!Data_PL_Element[Value],[1]!Data_PL_Element[Index PL Element],'Khanh Nga'!$B221,[1]!Data_PL_Element[TenCongTyID],'Khanh Nga'!$B$1,[1]!Data_PL_Element[Thang.Nam],'Khanh Nga'!AH$198)</f>
        <v>0</v>
      </c>
      <c r="AI221" s="189">
        <f>SUMIFS([1]!Data_PL_Element[Value],[1]!Data_PL_Element[Index PL Element],'Khanh Nga'!$B221,[1]!Data_PL_Element[TenCongTyID],'Khanh Nga'!$B$1,[1]!Data_PL_Element[Thang.Nam],'Khanh Nga'!AI$198)</f>
        <v>0</v>
      </c>
      <c r="AJ221" s="189">
        <f>SUMIFS([1]!Data_PL_Element[Value],[1]!Data_PL_Element[Index PL Element],'Khanh Nga'!$B221,[1]!Data_PL_Element[TenCongTyID],'Khanh Nga'!$B$1,[1]!Data_PL_Element[Thang.Nam],'Khanh Nga'!AJ$198)</f>
        <v>0</v>
      </c>
      <c r="AK221" s="189">
        <f>SUMIFS([1]!Data_PL_Element[Value],[1]!Data_PL_Element[Index PL Element],'Khanh Nga'!$B221,[1]!Data_PL_Element[TenCongTyID],'Khanh Nga'!$B$1,[1]!Data_PL_Element[Thang.Nam],'Khanh Nga'!AK$198)</f>
        <v>0</v>
      </c>
      <c r="AL221" s="189">
        <f>SUMIFS([1]!Data_PL_Element[Value],[1]!Data_PL_Element[Index PL Element],'Khanh Nga'!$B221,[1]!Data_PL_Element[TenCongTyID],'Khanh Nga'!$B$1,[1]!Data_PL_Element[Thang.Nam],'Khanh Nga'!AL$198)</f>
        <v>0</v>
      </c>
    </row>
    <row r="222" spans="1:38" ht="15" customHeight="1">
      <c r="A222" s="178" t="s">
        <v>308</v>
      </c>
      <c r="B222" s="179">
        <v>24</v>
      </c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>
        <v>0</v>
      </c>
      <c r="AA222" s="189">
        <f>SUMIFS([1]!Data_PL_Element[Value],[1]!Data_PL_Element[Index PL Element],'Khanh Nga'!$B222,[1]!Data_PL_Element[TenCongTyID],'Khanh Nga'!$B$1,[1]!Data_PL_Element[Thang.Nam],'Khanh Nga'!AA$198)</f>
        <v>0</v>
      </c>
      <c r="AB222" s="189">
        <f>SUMIFS([1]!Data_PL_Element[Value],[1]!Data_PL_Element[Index PL Element],'Khanh Nga'!$B222,[1]!Data_PL_Element[TenCongTyID],'Khanh Nga'!$B$1,[1]!Data_PL_Element[Thang.Nam],'Khanh Nga'!AB$198)</f>
        <v>0</v>
      </c>
      <c r="AC222" s="189">
        <f>SUMIFS([1]!Data_PL_Element[Value],[1]!Data_PL_Element[Index PL Element],'Khanh Nga'!$B222,[1]!Data_PL_Element[TenCongTyID],'Khanh Nga'!$B$1,[1]!Data_PL_Element[Thang.Nam],'Khanh Nga'!AC$198)</f>
        <v>0</v>
      </c>
      <c r="AD222" s="189">
        <f>SUMIFS([1]!Data_PL_Element[Value],[1]!Data_PL_Element[Index PL Element],'Khanh Nga'!$B222,[1]!Data_PL_Element[TenCongTyID],'Khanh Nga'!$B$1,[1]!Data_PL_Element[Thang.Nam],'Khanh Nga'!AD$198)</f>
        <v>0</v>
      </c>
      <c r="AE222" s="189">
        <f>SUMIFS([1]!Data_PL_Element[Value],[1]!Data_PL_Element[Index PL Element],'Khanh Nga'!$B222,[1]!Data_PL_Element[TenCongTyID],'Khanh Nga'!$B$1,[1]!Data_PL_Element[Thang.Nam],'Khanh Nga'!AE$198)</f>
        <v>0</v>
      </c>
      <c r="AF222" s="189">
        <f>SUMIFS([1]!Data_PL_Element[Value],[1]!Data_PL_Element[Index PL Element],'Khanh Nga'!$B222,[1]!Data_PL_Element[TenCongTyID],'Khanh Nga'!$B$1,[1]!Data_PL_Element[Thang.Nam],'Khanh Nga'!AF$198)</f>
        <v>0</v>
      </c>
      <c r="AG222" s="189">
        <f>SUMIFS([1]!Data_PL_Element[Value],[1]!Data_PL_Element[Index PL Element],'Khanh Nga'!$B222,[1]!Data_PL_Element[TenCongTyID],'Khanh Nga'!$B$1,[1]!Data_PL_Element[Thang.Nam],'Khanh Nga'!AG$198)</f>
        <v>0</v>
      </c>
      <c r="AH222" s="189">
        <f>SUMIFS([1]!Data_PL_Element[Value],[1]!Data_PL_Element[Index PL Element],'Khanh Nga'!$B222,[1]!Data_PL_Element[TenCongTyID],'Khanh Nga'!$B$1,[1]!Data_PL_Element[Thang.Nam],'Khanh Nga'!AH$198)</f>
        <v>0</v>
      </c>
      <c r="AI222" s="189">
        <f>SUMIFS([1]!Data_PL_Element[Value],[1]!Data_PL_Element[Index PL Element],'Khanh Nga'!$B222,[1]!Data_PL_Element[TenCongTyID],'Khanh Nga'!$B$1,[1]!Data_PL_Element[Thang.Nam],'Khanh Nga'!AI$198)</f>
        <v>0</v>
      </c>
      <c r="AJ222" s="189">
        <f>SUMIFS([1]!Data_PL_Element[Value],[1]!Data_PL_Element[Index PL Element],'Khanh Nga'!$B222,[1]!Data_PL_Element[TenCongTyID],'Khanh Nga'!$B$1,[1]!Data_PL_Element[Thang.Nam],'Khanh Nga'!AJ$198)</f>
        <v>0</v>
      </c>
      <c r="AK222" s="189">
        <f>SUMIFS([1]!Data_PL_Element[Value],[1]!Data_PL_Element[Index PL Element],'Khanh Nga'!$B222,[1]!Data_PL_Element[TenCongTyID],'Khanh Nga'!$B$1,[1]!Data_PL_Element[Thang.Nam],'Khanh Nga'!AK$198)</f>
        <v>0</v>
      </c>
      <c r="AL222" s="189">
        <f>SUMIFS([1]!Data_PL_Element[Value],[1]!Data_PL_Element[Index PL Element],'Khanh Nga'!$B222,[1]!Data_PL_Element[TenCongTyID],'Khanh Nga'!$B$1,[1]!Data_PL_Element[Thang.Nam],'Khanh Nga'!AL$198)</f>
        <v>0</v>
      </c>
    </row>
    <row r="223" spans="1:38" ht="15" customHeight="1">
      <c r="A223" s="178" t="s">
        <v>309</v>
      </c>
      <c r="B223" s="179">
        <v>25</v>
      </c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>
        <v>0</v>
      </c>
      <c r="AA223" s="189">
        <f>SUMIFS([1]!Data_PL_Element[Value],[1]!Data_PL_Element[Index PL Element],'Khanh Nga'!$B223,[1]!Data_PL_Element[TenCongTyID],'Khanh Nga'!$B$1,[1]!Data_PL_Element[Thang.Nam],'Khanh Nga'!AA$198)</f>
        <v>0</v>
      </c>
      <c r="AB223" s="189">
        <f>SUMIFS([1]!Data_PL_Element[Value],[1]!Data_PL_Element[Index PL Element],'Khanh Nga'!$B223,[1]!Data_PL_Element[TenCongTyID],'Khanh Nga'!$B$1,[1]!Data_PL_Element[Thang.Nam],'Khanh Nga'!AB$198)</f>
        <v>0</v>
      </c>
      <c r="AC223" s="189">
        <f>SUMIFS([1]!Data_PL_Element[Value],[1]!Data_PL_Element[Index PL Element],'Khanh Nga'!$B223,[1]!Data_PL_Element[TenCongTyID],'Khanh Nga'!$B$1,[1]!Data_PL_Element[Thang.Nam],'Khanh Nga'!AC$198)</f>
        <v>0</v>
      </c>
      <c r="AD223" s="189">
        <f>SUMIFS([1]!Data_PL_Element[Value],[1]!Data_PL_Element[Index PL Element],'Khanh Nga'!$B223,[1]!Data_PL_Element[TenCongTyID],'Khanh Nga'!$B$1,[1]!Data_PL_Element[Thang.Nam],'Khanh Nga'!AD$198)</f>
        <v>0</v>
      </c>
      <c r="AE223" s="189">
        <f>SUMIFS([1]!Data_PL_Element[Value],[1]!Data_PL_Element[Index PL Element],'Khanh Nga'!$B223,[1]!Data_PL_Element[TenCongTyID],'Khanh Nga'!$B$1,[1]!Data_PL_Element[Thang.Nam],'Khanh Nga'!AE$198)</f>
        <v>0</v>
      </c>
      <c r="AF223" s="189">
        <f>SUMIFS([1]!Data_PL_Element[Value],[1]!Data_PL_Element[Index PL Element],'Khanh Nga'!$B223,[1]!Data_PL_Element[TenCongTyID],'Khanh Nga'!$B$1,[1]!Data_PL_Element[Thang.Nam],'Khanh Nga'!AF$198)</f>
        <v>0</v>
      </c>
      <c r="AG223" s="189">
        <f>SUMIFS([1]!Data_PL_Element[Value],[1]!Data_PL_Element[Index PL Element],'Khanh Nga'!$B223,[1]!Data_PL_Element[TenCongTyID],'Khanh Nga'!$B$1,[1]!Data_PL_Element[Thang.Nam],'Khanh Nga'!AG$198)</f>
        <v>0</v>
      </c>
      <c r="AH223" s="189">
        <f>SUMIFS([1]!Data_PL_Element[Value],[1]!Data_PL_Element[Index PL Element],'Khanh Nga'!$B223,[1]!Data_PL_Element[TenCongTyID],'Khanh Nga'!$B$1,[1]!Data_PL_Element[Thang.Nam],'Khanh Nga'!AH$198)</f>
        <v>0</v>
      </c>
      <c r="AI223" s="189">
        <f>SUMIFS([1]!Data_PL_Element[Value],[1]!Data_PL_Element[Index PL Element],'Khanh Nga'!$B223,[1]!Data_PL_Element[TenCongTyID],'Khanh Nga'!$B$1,[1]!Data_PL_Element[Thang.Nam],'Khanh Nga'!AI$198)</f>
        <v>0</v>
      </c>
      <c r="AJ223" s="189">
        <f>SUMIFS([1]!Data_PL_Element[Value],[1]!Data_PL_Element[Index PL Element],'Khanh Nga'!$B223,[1]!Data_PL_Element[TenCongTyID],'Khanh Nga'!$B$1,[1]!Data_PL_Element[Thang.Nam],'Khanh Nga'!AJ$198)</f>
        <v>0</v>
      </c>
      <c r="AK223" s="189">
        <f>SUMIFS([1]!Data_PL_Element[Value],[1]!Data_PL_Element[Index PL Element],'Khanh Nga'!$B223,[1]!Data_PL_Element[TenCongTyID],'Khanh Nga'!$B$1,[1]!Data_PL_Element[Thang.Nam],'Khanh Nga'!AK$198)</f>
        <v>0</v>
      </c>
      <c r="AL223" s="189">
        <f>SUMIFS([1]!Data_PL_Element[Value],[1]!Data_PL_Element[Index PL Element],'Khanh Nga'!$B223,[1]!Data_PL_Element[TenCongTyID],'Khanh Nga'!$B$1,[1]!Data_PL_Element[Thang.Nam],'Khanh Nga'!AL$198)</f>
        <v>0</v>
      </c>
    </row>
    <row r="224" spans="1:38" ht="15" customHeight="1">
      <c r="A224" s="184" t="s">
        <v>310</v>
      </c>
      <c r="B224" s="185">
        <v>26</v>
      </c>
      <c r="C224" s="192">
        <f>IFERROR(C211/C207,"")</f>
        <v>0.96233833005531499</v>
      </c>
      <c r="D224" s="192">
        <f t="shared" ref="D224:AL224" si="20">IFERROR(D211/D207,"")</f>
        <v>0.97462528278990734</v>
      </c>
      <c r="E224" s="192">
        <f t="shared" si="20"/>
        <v>0.93208007600847098</v>
      </c>
      <c r="F224" s="192">
        <f t="shared" si="20"/>
        <v>0.97475202170162467</v>
      </c>
      <c r="G224" s="192">
        <f t="shared" si="20"/>
        <v>1.0081217463008603</v>
      </c>
      <c r="H224" s="192">
        <f t="shared" si="20"/>
        <v>0.98331584478468581</v>
      </c>
      <c r="I224" s="192">
        <f t="shared" si="20"/>
        <v>1.0150108869202574</v>
      </c>
      <c r="J224" s="192">
        <f t="shared" si="20"/>
        <v>0.98318992431784435</v>
      </c>
      <c r="K224" s="192">
        <f t="shared" si="20"/>
        <v>1.0506771666593626</v>
      </c>
      <c r="L224" s="192">
        <f t="shared" si="20"/>
        <v>0.98828019295488834</v>
      </c>
      <c r="M224" s="192">
        <f t="shared" si="20"/>
        <v>0.97373475335846693</v>
      </c>
      <c r="N224" s="192">
        <f t="shared" si="20"/>
        <v>1.0176031157002383</v>
      </c>
      <c r="O224" s="192">
        <f t="shared" si="20"/>
        <v>1.0841427197870475</v>
      </c>
      <c r="P224" s="192">
        <f t="shared" si="20"/>
        <v>1.0620110012524608</v>
      </c>
      <c r="Q224" s="192">
        <f t="shared" si="20"/>
        <v>0.98480139033199277</v>
      </c>
      <c r="R224" s="192">
        <f t="shared" si="20"/>
        <v>0.88102399105876805</v>
      </c>
      <c r="S224" s="192">
        <f t="shared" si="20"/>
        <v>0.92267089376493838</v>
      </c>
      <c r="T224" s="192">
        <f t="shared" si="20"/>
        <v>0.8957055553186436</v>
      </c>
      <c r="U224" s="192">
        <f t="shared" si="20"/>
        <v>0.86447704727603869</v>
      </c>
      <c r="V224" s="192">
        <f t="shared" si="20"/>
        <v>0.88275188445350683</v>
      </c>
      <c r="W224" s="192">
        <f t="shared" si="20"/>
        <v>0.91090727287453443</v>
      </c>
      <c r="X224" s="192">
        <f t="shared" si="20"/>
        <v>0.88560217043306333</v>
      </c>
      <c r="Y224" s="192">
        <f t="shared" si="20"/>
        <v>0.87001987765723132</v>
      </c>
      <c r="Z224" s="192">
        <v>0.84802905494678948</v>
      </c>
      <c r="AA224" s="192">
        <f t="shared" si="20"/>
        <v>0.96268219008568834</v>
      </c>
      <c r="AB224" s="192">
        <f t="shared" si="20"/>
        <v>1.0111759636768387</v>
      </c>
      <c r="AC224" s="192">
        <f t="shared" si="20"/>
        <v>0.94763507217792287</v>
      </c>
      <c r="AD224" s="192">
        <f t="shared" si="20"/>
        <v>0.94415116517630215</v>
      </c>
      <c r="AE224" s="192">
        <f t="shared" si="20"/>
        <v>0.93912667892784774</v>
      </c>
      <c r="AF224" s="192">
        <f t="shared" si="20"/>
        <v>0.94447456313965239</v>
      </c>
      <c r="AG224" s="192">
        <f t="shared" si="20"/>
        <v>0.94584125216758208</v>
      </c>
      <c r="AH224" s="192">
        <f t="shared" si="20"/>
        <v>0.94785315128753278</v>
      </c>
      <c r="AI224" s="192">
        <f t="shared" si="20"/>
        <v>0.94665194589267732</v>
      </c>
      <c r="AJ224" s="192">
        <f t="shared" si="20"/>
        <v>0.93964898706077216</v>
      </c>
      <c r="AK224" s="192">
        <f t="shared" si="20"/>
        <v>0.94186982839659561</v>
      </c>
      <c r="AL224" s="192">
        <f t="shared" si="20"/>
        <v>0.941566810291661</v>
      </c>
    </row>
    <row r="225" spans="1:38" ht="15" customHeight="1">
      <c r="A225" s="181" t="s">
        <v>311</v>
      </c>
      <c r="B225" s="182">
        <v>27</v>
      </c>
      <c r="C225" s="183">
        <f t="shared" ref="C225:AL225" si="21">C139</f>
        <v>256720921</v>
      </c>
      <c r="D225" s="183">
        <f t="shared" si="21"/>
        <v>153253104</v>
      </c>
      <c r="E225" s="183">
        <f t="shared" si="21"/>
        <v>533719619</v>
      </c>
      <c r="F225" s="183">
        <f t="shared" si="21"/>
        <v>135337647</v>
      </c>
      <c r="G225" s="183">
        <f t="shared" si="21"/>
        <v>-62553089</v>
      </c>
      <c r="H225" s="183">
        <f t="shared" si="21"/>
        <v>123554403</v>
      </c>
      <c r="I225" s="183">
        <f t="shared" si="21"/>
        <v>-80410244</v>
      </c>
      <c r="J225" s="183">
        <f t="shared" si="21"/>
        <v>98712292</v>
      </c>
      <c r="K225" s="183">
        <f t="shared" si="21"/>
        <v>-234778435</v>
      </c>
      <c r="L225" s="183">
        <f t="shared" si="21"/>
        <v>74732756</v>
      </c>
      <c r="M225" s="183">
        <f t="shared" si="21"/>
        <v>157809660</v>
      </c>
      <c r="N225" s="183">
        <f t="shared" si="21"/>
        <v>-89677633</v>
      </c>
      <c r="O225" s="183">
        <f t="shared" si="21"/>
        <v>-319397138</v>
      </c>
      <c r="P225" s="183">
        <f t="shared" si="21"/>
        <v>-310860075</v>
      </c>
      <c r="Q225" s="183">
        <f t="shared" si="21"/>
        <v>122914851</v>
      </c>
      <c r="R225" s="183">
        <f t="shared" si="21"/>
        <v>1153423069</v>
      </c>
      <c r="S225" s="183">
        <f t="shared" si="21"/>
        <v>648663539</v>
      </c>
      <c r="T225" s="183">
        <f t="shared" si="21"/>
        <v>992405617</v>
      </c>
      <c r="U225" s="183">
        <f t="shared" si="21"/>
        <v>1842107736</v>
      </c>
      <c r="V225" s="183">
        <f t="shared" si="21"/>
        <v>1456416336</v>
      </c>
      <c r="W225" s="183">
        <f t="shared" si="21"/>
        <v>784734389</v>
      </c>
      <c r="X225" s="183">
        <f t="shared" si="21"/>
        <v>883143694</v>
      </c>
      <c r="Y225" s="183">
        <f t="shared" si="21"/>
        <v>849037633</v>
      </c>
      <c r="Z225" s="183">
        <v>1321270611</v>
      </c>
      <c r="AA225" s="183">
        <f t="shared" si="21"/>
        <v>278747247.0454464</v>
      </c>
      <c r="AB225" s="183">
        <f t="shared" si="21"/>
        <v>-62609564.611747742</v>
      </c>
      <c r="AC225" s="183">
        <f t="shared" si="21"/>
        <v>423737650.49784565</v>
      </c>
      <c r="AD225" s="183">
        <f t="shared" si="21"/>
        <v>486693274.85024452</v>
      </c>
      <c r="AE225" s="183">
        <f t="shared" si="21"/>
        <v>530479034.65024376</v>
      </c>
      <c r="AF225" s="183">
        <f t="shared" si="21"/>
        <v>483875031.38357735</v>
      </c>
      <c r="AG225" s="183">
        <f t="shared" si="21"/>
        <v>471965054.01691055</v>
      </c>
      <c r="AH225" s="183">
        <f t="shared" si="21"/>
        <v>454432409.43357754</v>
      </c>
      <c r="AI225" s="183">
        <f t="shared" si="21"/>
        <v>464900283.81691074</v>
      </c>
      <c r="AJ225" s="183">
        <f t="shared" si="21"/>
        <v>525927393.48357773</v>
      </c>
      <c r="AK225" s="183">
        <f t="shared" si="21"/>
        <v>506573927.18357754</v>
      </c>
      <c r="AL225" s="183">
        <f t="shared" si="21"/>
        <v>509214570.88357735</v>
      </c>
    </row>
    <row r="226" spans="1:38" ht="15" customHeight="1">
      <c r="A226" s="184" t="s">
        <v>312</v>
      </c>
      <c r="B226" s="185">
        <v>28</v>
      </c>
      <c r="C226" s="187">
        <f t="shared" ref="C226:AL226" si="22">IFERROR(C225/C207,"")</f>
        <v>3.7661669944685026E-2</v>
      </c>
      <c r="D226" s="187">
        <f t="shared" si="22"/>
        <v>2.5374717210092691E-2</v>
      </c>
      <c r="E226" s="187">
        <f t="shared" si="22"/>
        <v>6.7919923991528963E-2</v>
      </c>
      <c r="F226" s="187">
        <f t="shared" si="22"/>
        <v>2.5247978298375325E-2</v>
      </c>
      <c r="G226" s="187">
        <f t="shared" si="22"/>
        <v>-8.1217463008603306E-3</v>
      </c>
      <c r="H226" s="187">
        <f t="shared" si="22"/>
        <v>1.6684155215314144E-2</v>
      </c>
      <c r="I226" s="187">
        <f t="shared" si="22"/>
        <v>-1.5010886920257356E-2</v>
      </c>
      <c r="J226" s="187">
        <f t="shared" si="22"/>
        <v>1.6810075682155669E-2</v>
      </c>
      <c r="K226" s="187">
        <f t="shared" si="22"/>
        <v>-5.067716665936263E-2</v>
      </c>
      <c r="L226" s="187">
        <f t="shared" si="22"/>
        <v>1.1719807045111674E-2</v>
      </c>
      <c r="M226" s="187">
        <f t="shared" si="22"/>
        <v>2.626524664153302E-2</v>
      </c>
      <c r="N226" s="187">
        <f t="shared" si="22"/>
        <v>-1.7603115700238352E-2</v>
      </c>
      <c r="O226" s="187">
        <f t="shared" si="22"/>
        <v>-8.4142719787047571E-2</v>
      </c>
      <c r="P226" s="187">
        <f t="shared" si="22"/>
        <v>-6.2011001252460743E-2</v>
      </c>
      <c r="Q226" s="187">
        <f t="shared" si="22"/>
        <v>1.5198609668007223E-2</v>
      </c>
      <c r="R226" s="187">
        <f t="shared" si="22"/>
        <v>0.11897600894123196</v>
      </c>
      <c r="S226" s="187">
        <f t="shared" si="22"/>
        <v>7.7329106235061632E-2</v>
      </c>
      <c r="T226" s="187">
        <f t="shared" si="22"/>
        <v>0.10429444468135635</v>
      </c>
      <c r="U226" s="187">
        <f t="shared" si="22"/>
        <v>0.13552295272396134</v>
      </c>
      <c r="V226" s="187">
        <f t="shared" si="22"/>
        <v>0.11724811554649318</v>
      </c>
      <c r="W226" s="187">
        <f t="shared" si="22"/>
        <v>8.909272712546551E-2</v>
      </c>
      <c r="X226" s="187">
        <f t="shared" si="22"/>
        <v>0.11439782956693671</v>
      </c>
      <c r="Y226" s="187">
        <f t="shared" si="22"/>
        <v>0.12998012234276873</v>
      </c>
      <c r="Z226" s="187">
        <v>0.15197094505321052</v>
      </c>
      <c r="AA226" s="187">
        <f t="shared" si="22"/>
        <v>3.7317809914311627E-2</v>
      </c>
      <c r="AB226" s="187">
        <f t="shared" si="22"/>
        <v>-1.1175963676838674E-2</v>
      </c>
      <c r="AC226" s="187">
        <f t="shared" si="22"/>
        <v>5.2364927822077099E-2</v>
      </c>
      <c r="AD226" s="187">
        <f t="shared" si="22"/>
        <v>5.5848834823697874E-2</v>
      </c>
      <c r="AE226" s="187">
        <f t="shared" si="22"/>
        <v>6.0873321072152223E-2</v>
      </c>
      <c r="AF226" s="187">
        <f t="shared" si="22"/>
        <v>5.5525436860347568E-2</v>
      </c>
      <c r="AG226" s="187">
        <f t="shared" si="22"/>
        <v>5.4158747832417968E-2</v>
      </c>
      <c r="AH226" s="187">
        <f t="shared" si="22"/>
        <v>5.2146848712467192E-2</v>
      </c>
      <c r="AI226" s="187">
        <f t="shared" si="22"/>
        <v>5.3348054107322671E-2</v>
      </c>
      <c r="AJ226" s="187">
        <f t="shared" si="22"/>
        <v>6.0351012939227865E-2</v>
      </c>
      <c r="AK226" s="187">
        <f t="shared" si="22"/>
        <v>5.8130171603404397E-2</v>
      </c>
      <c r="AL226" s="187">
        <f t="shared" si="22"/>
        <v>5.8433189708338981E-2</v>
      </c>
    </row>
    <row r="227" spans="1:38" ht="15" customHeight="1">
      <c r="A227" s="181" t="s">
        <v>313</v>
      </c>
      <c r="B227" s="182">
        <v>29</v>
      </c>
      <c r="C227" s="183">
        <f t="shared" ref="C227:AL227" si="23">C150</f>
        <v>-6888417</v>
      </c>
      <c r="D227" s="183">
        <f t="shared" si="23"/>
        <v>-111684924</v>
      </c>
      <c r="E227" s="183">
        <f t="shared" si="23"/>
        <v>245648215</v>
      </c>
      <c r="F227" s="183">
        <f t="shared" si="23"/>
        <v>-95403313</v>
      </c>
      <c r="G227" s="183">
        <f t="shared" si="23"/>
        <v>-323849797</v>
      </c>
      <c r="H227" s="183">
        <f t="shared" si="23"/>
        <v>-111483671</v>
      </c>
      <c r="I227" s="183">
        <f t="shared" si="23"/>
        <v>-318297985</v>
      </c>
      <c r="J227" s="183">
        <f t="shared" si="23"/>
        <v>-395752043</v>
      </c>
      <c r="K227" s="183">
        <f t="shared" si="23"/>
        <v>-556670192</v>
      </c>
      <c r="L227" s="183">
        <f t="shared" si="23"/>
        <v>-90458698</v>
      </c>
      <c r="M227" s="183">
        <f t="shared" si="23"/>
        <v>-137324570</v>
      </c>
      <c r="N227" s="183">
        <f t="shared" si="23"/>
        <v>-349818396</v>
      </c>
      <c r="O227" s="183">
        <f t="shared" si="23"/>
        <v>-709728629</v>
      </c>
      <c r="P227" s="183">
        <f t="shared" si="23"/>
        <v>-666184578</v>
      </c>
      <c r="Q227" s="183">
        <f t="shared" si="23"/>
        <v>-251636967</v>
      </c>
      <c r="R227" s="183">
        <f t="shared" si="23"/>
        <v>711287570</v>
      </c>
      <c r="S227" s="183">
        <f t="shared" si="23"/>
        <v>224729120</v>
      </c>
      <c r="T227" s="183">
        <f t="shared" si="23"/>
        <v>635187089</v>
      </c>
      <c r="U227" s="183">
        <f t="shared" si="23"/>
        <v>1321680656</v>
      </c>
      <c r="V227" s="183">
        <f t="shared" si="23"/>
        <v>1205904768</v>
      </c>
      <c r="W227" s="183">
        <f t="shared" si="23"/>
        <v>339730983</v>
      </c>
      <c r="X227" s="183">
        <f t="shared" si="23"/>
        <v>416403421</v>
      </c>
      <c r="Y227" s="183">
        <f t="shared" si="23"/>
        <v>379915613</v>
      </c>
      <c r="Z227" s="183">
        <v>597840394</v>
      </c>
      <c r="AA227" s="183">
        <f t="shared" si="23"/>
        <v>-307153648.70298225</v>
      </c>
      <c r="AB227" s="183">
        <f t="shared" si="23"/>
        <v>-648003978.93160486</v>
      </c>
      <c r="AC227" s="183">
        <f t="shared" si="23"/>
        <v>-138157997.39344013</v>
      </c>
      <c r="AD227" s="183">
        <f t="shared" si="23"/>
        <v>-88161731.183898389</v>
      </c>
      <c r="AE227" s="183">
        <f t="shared" si="23"/>
        <v>-43936535.383899152</v>
      </c>
      <c r="AF227" s="183">
        <f t="shared" si="23"/>
        <v>-87441745.650565565</v>
      </c>
      <c r="AG227" s="183">
        <f t="shared" si="23"/>
        <v>-99125290.017232358</v>
      </c>
      <c r="AH227" s="183">
        <f t="shared" si="23"/>
        <v>-172572450.60056537</v>
      </c>
      <c r="AI227" s="183">
        <f t="shared" si="23"/>
        <v>-103932866.21723217</v>
      </c>
      <c r="AJ227" s="183">
        <f t="shared" si="23"/>
        <v>-49510908.550565183</v>
      </c>
      <c r="AK227" s="183">
        <f t="shared" si="23"/>
        <v>-61328310.850565374</v>
      </c>
      <c r="AL227" s="183">
        <f t="shared" si="23"/>
        <v>-65415549.150565565</v>
      </c>
    </row>
    <row r="228" spans="1:38" ht="15" customHeight="1">
      <c r="A228" s="184" t="s">
        <v>314</v>
      </c>
      <c r="B228" s="185">
        <v>30</v>
      </c>
      <c r="C228" s="187">
        <f t="shared" ref="C228:AL228" si="24">IFERROR(C227/C207,"")</f>
        <v>-1.0105498472224529E-3</v>
      </c>
      <c r="D228" s="187">
        <f t="shared" si="24"/>
        <v>-1.8492110692457455E-2</v>
      </c>
      <c r="E228" s="187">
        <f t="shared" si="24"/>
        <v>3.1260623551211009E-2</v>
      </c>
      <c r="F228" s="187">
        <f t="shared" si="24"/>
        <v>-1.7798009863560792E-2</v>
      </c>
      <c r="G228" s="187">
        <f t="shared" si="24"/>
        <v>-4.2047897759599349E-2</v>
      </c>
      <c r="H228" s="187">
        <f t="shared" si="24"/>
        <v>-1.505418524774885E-2</v>
      </c>
      <c r="I228" s="187">
        <f t="shared" si="24"/>
        <v>-5.9419482171709018E-2</v>
      </c>
      <c r="J228" s="187">
        <f t="shared" si="24"/>
        <v>-6.7394056600344421E-2</v>
      </c>
      <c r="K228" s="187">
        <f t="shared" si="24"/>
        <v>-0.12015783346661882</v>
      </c>
      <c r="L228" s="187">
        <f t="shared" si="24"/>
        <v>-1.4185994774661185E-2</v>
      </c>
      <c r="M228" s="187">
        <f t="shared" si="24"/>
        <v>-2.2855785260499681E-2</v>
      </c>
      <c r="N228" s="187">
        <f t="shared" si="24"/>
        <v>-6.8666996360840574E-2</v>
      </c>
      <c r="O228" s="187">
        <f t="shared" si="24"/>
        <v>-0.18697254937454211</v>
      </c>
      <c r="P228" s="187">
        <f t="shared" si="24"/>
        <v>-0.13289185721494801</v>
      </c>
      <c r="Q228" s="187">
        <f t="shared" si="24"/>
        <v>-3.1115296551709724E-2</v>
      </c>
      <c r="R228" s="187">
        <f t="shared" si="24"/>
        <v>7.3369571463033703E-2</v>
      </c>
      <c r="S228" s="187">
        <f t="shared" si="24"/>
        <v>2.6790625570511543E-2</v>
      </c>
      <c r="T228" s="187">
        <f t="shared" si="24"/>
        <v>6.6753435874620071E-2</v>
      </c>
      <c r="U228" s="187">
        <f t="shared" si="24"/>
        <v>9.7235390503382702E-2</v>
      </c>
      <c r="V228" s="187">
        <f t="shared" si="24"/>
        <v>9.7080799000685655E-2</v>
      </c>
      <c r="W228" s="187">
        <f t="shared" si="24"/>
        <v>3.8570451593252612E-2</v>
      </c>
      <c r="X228" s="187">
        <f t="shared" si="24"/>
        <v>5.393872810311591E-2</v>
      </c>
      <c r="Y228" s="187">
        <f t="shared" si="24"/>
        <v>5.8161706782281081E-2</v>
      </c>
      <c r="Z228" s="187">
        <v>6.87628778773796E-2</v>
      </c>
      <c r="AA228" s="187">
        <f t="shared" si="24"/>
        <v>-4.112077015388909E-2</v>
      </c>
      <c r="AB228" s="187">
        <f t="shared" si="24"/>
        <v>-0.11567032890095652</v>
      </c>
      <c r="AC228" s="187">
        <f t="shared" si="24"/>
        <v>-1.7073379136950187E-2</v>
      </c>
      <c r="AD228" s="187">
        <f t="shared" si="24"/>
        <v>-1.0116700223926099E-2</v>
      </c>
      <c r="AE228" s="187">
        <f t="shared" si="24"/>
        <v>-5.0417879888230962E-3</v>
      </c>
      <c r="AF228" s="187">
        <f t="shared" si="24"/>
        <v>-1.0034080727819583E-2</v>
      </c>
      <c r="AG228" s="187">
        <f t="shared" si="24"/>
        <v>-1.1374786205391875E-2</v>
      </c>
      <c r="AH228" s="187">
        <f t="shared" si="24"/>
        <v>-1.9802965824167879E-2</v>
      </c>
      <c r="AI228" s="187">
        <f t="shared" si="24"/>
        <v>-1.1926463294373116E-2</v>
      </c>
      <c r="AJ228" s="187">
        <f t="shared" si="24"/>
        <v>-5.6814562610559083E-3</v>
      </c>
      <c r="AK228" s="187">
        <f t="shared" si="24"/>
        <v>-7.037522151427983E-3</v>
      </c>
      <c r="AL228" s="187">
        <f t="shared" si="24"/>
        <v>-7.5065393096618634E-3</v>
      </c>
    </row>
    <row r="229" spans="1:38" ht="15" customHeight="1">
      <c r="A229" s="181" t="s">
        <v>315</v>
      </c>
      <c r="B229" s="182">
        <v>31</v>
      </c>
      <c r="C229" s="183">
        <f>C150+C143+C159</f>
        <v>105115115</v>
      </c>
      <c r="D229" s="183">
        <f t="shared" ref="D229:AL229" si="25">D150+D143+D159</f>
        <v>318608</v>
      </c>
      <c r="E229" s="183">
        <f t="shared" si="25"/>
        <v>357651747</v>
      </c>
      <c r="F229" s="183">
        <f t="shared" si="25"/>
        <v>16600219</v>
      </c>
      <c r="G229" s="183">
        <f t="shared" si="25"/>
        <v>-206335513</v>
      </c>
      <c r="H229" s="183">
        <f t="shared" si="25"/>
        <v>1519861</v>
      </c>
      <c r="I229" s="183">
        <f t="shared" si="25"/>
        <v>-205294453</v>
      </c>
      <c r="J229" s="183">
        <f t="shared" si="25"/>
        <v>-276915178</v>
      </c>
      <c r="K229" s="183">
        <f t="shared" si="25"/>
        <v>-437833327</v>
      </c>
      <c r="L229" s="183">
        <f t="shared" si="25"/>
        <v>43807131</v>
      </c>
      <c r="M229" s="183">
        <f t="shared" si="25"/>
        <v>10083791</v>
      </c>
      <c r="N229" s="183">
        <f t="shared" si="25"/>
        <v>-218448899</v>
      </c>
      <c r="O229" s="183">
        <f t="shared" si="25"/>
        <v>-556183439</v>
      </c>
      <c r="P229" s="183">
        <f t="shared" si="25"/>
        <v>-510374656</v>
      </c>
      <c r="Q229" s="183">
        <f t="shared" si="25"/>
        <v>-95815378</v>
      </c>
      <c r="R229" s="183">
        <f t="shared" si="25"/>
        <v>893942492</v>
      </c>
      <c r="S229" s="183">
        <f t="shared" si="25"/>
        <v>386373294</v>
      </c>
      <c r="T229" s="183">
        <f t="shared" si="25"/>
        <v>797906056</v>
      </c>
      <c r="U229" s="183">
        <f t="shared" si="25"/>
        <v>1499899623</v>
      </c>
      <c r="V229" s="183">
        <f t="shared" si="25"/>
        <v>1359790401</v>
      </c>
      <c r="W229" s="183">
        <f t="shared" si="25"/>
        <v>516949950</v>
      </c>
      <c r="X229" s="183">
        <f t="shared" si="25"/>
        <v>593622388</v>
      </c>
      <c r="Y229" s="183">
        <f t="shared" si="25"/>
        <v>555291991</v>
      </c>
      <c r="Z229" s="183">
        <v>773216769</v>
      </c>
      <c r="AA229" s="183">
        <f t="shared" si="25"/>
        <v>-307153648.70298225</v>
      </c>
      <c r="AB229" s="183">
        <f t="shared" si="25"/>
        <v>-648003978.93160486</v>
      </c>
      <c r="AC229" s="183">
        <f t="shared" si="25"/>
        <v>-138157997.39344013</v>
      </c>
      <c r="AD229" s="183">
        <f t="shared" si="25"/>
        <v>-88161731.183898389</v>
      </c>
      <c r="AE229" s="183">
        <f t="shared" si="25"/>
        <v>-43936535.383899152</v>
      </c>
      <c r="AF229" s="183">
        <f t="shared" si="25"/>
        <v>-87441745.650565565</v>
      </c>
      <c r="AG229" s="183">
        <f t="shared" si="25"/>
        <v>-99125290.017232358</v>
      </c>
      <c r="AH229" s="183">
        <f t="shared" si="25"/>
        <v>-172572450.60056537</v>
      </c>
      <c r="AI229" s="183">
        <f t="shared" si="25"/>
        <v>-103932866.21723217</v>
      </c>
      <c r="AJ229" s="183">
        <f t="shared" si="25"/>
        <v>-49510908.550565183</v>
      </c>
      <c r="AK229" s="183">
        <f t="shared" si="25"/>
        <v>-61328310.850565374</v>
      </c>
      <c r="AL229" s="183">
        <f t="shared" si="25"/>
        <v>-65415549.150565565</v>
      </c>
    </row>
    <row r="230" spans="1:38" ht="15" customHeight="1">
      <c r="A230" s="184" t="s">
        <v>316</v>
      </c>
      <c r="B230" s="185">
        <v>32</v>
      </c>
      <c r="C230" s="187">
        <f t="shared" ref="C230:AL230" si="26">IFERROR(C229/C207,"")</f>
        <v>1.5420678423507252E-2</v>
      </c>
      <c r="D230" s="187">
        <f t="shared" si="26"/>
        <v>5.2753175562912008E-5</v>
      </c>
      <c r="E230" s="187">
        <f t="shared" si="26"/>
        <v>4.5513933921318993E-2</v>
      </c>
      <c r="F230" s="187">
        <f t="shared" si="26"/>
        <v>3.096861651956146E-3</v>
      </c>
      <c r="G230" s="187">
        <f t="shared" si="26"/>
        <v>-2.6790118861178359E-2</v>
      </c>
      <c r="H230" s="187">
        <f t="shared" si="26"/>
        <v>2.0523426291576652E-4</v>
      </c>
      <c r="I230" s="187">
        <f t="shared" si="26"/>
        <v>-3.8324119739508417E-2</v>
      </c>
      <c r="J230" s="187">
        <f t="shared" si="26"/>
        <v>-4.7156894094988785E-2</v>
      </c>
      <c r="K230" s="187">
        <f t="shared" si="26"/>
        <v>-9.4506773935187929E-2</v>
      </c>
      <c r="L230" s="187">
        <f t="shared" si="26"/>
        <v>6.8699610451932215E-3</v>
      </c>
      <c r="M230" s="187">
        <f t="shared" si="26"/>
        <v>1.6783082714750851E-3</v>
      </c>
      <c r="N230" s="187">
        <f t="shared" si="26"/>
        <v>-4.2880048402779342E-2</v>
      </c>
      <c r="O230" s="187">
        <f t="shared" si="26"/>
        <v>-0.14652224985802303</v>
      </c>
      <c r="P230" s="187">
        <f t="shared" si="26"/>
        <v>-0.10181057645450359</v>
      </c>
      <c r="Q230" s="187">
        <f t="shared" si="26"/>
        <v>-1.1847718307160186E-2</v>
      </c>
      <c r="R230" s="187">
        <f t="shared" si="26"/>
        <v>9.221049307896162E-2</v>
      </c>
      <c r="S230" s="187">
        <f t="shared" si="26"/>
        <v>4.6060707441915739E-2</v>
      </c>
      <c r="T230" s="187">
        <f t="shared" si="26"/>
        <v>8.3853988321804532E-2</v>
      </c>
      <c r="U230" s="187">
        <f t="shared" si="26"/>
        <v>0.11034687153526858</v>
      </c>
      <c r="V230" s="187">
        <f t="shared" si="26"/>
        <v>0.10946928986895153</v>
      </c>
      <c r="W230" s="187">
        <f t="shared" si="26"/>
        <v>5.8690534629893786E-2</v>
      </c>
      <c r="X230" s="187">
        <f t="shared" si="26"/>
        <v>7.6894749100186607E-2</v>
      </c>
      <c r="Y230" s="187">
        <f t="shared" si="26"/>
        <v>8.5010272949985519E-2</v>
      </c>
      <c r="Z230" s="187">
        <v>8.8934456074055507E-2</v>
      </c>
      <c r="AA230" s="187">
        <f t="shared" si="26"/>
        <v>-4.112077015388909E-2</v>
      </c>
      <c r="AB230" s="187">
        <f t="shared" si="26"/>
        <v>-0.11567032890095652</v>
      </c>
      <c r="AC230" s="187">
        <f t="shared" si="26"/>
        <v>-1.7073379136950187E-2</v>
      </c>
      <c r="AD230" s="187">
        <f t="shared" si="26"/>
        <v>-1.0116700223926099E-2</v>
      </c>
      <c r="AE230" s="187">
        <f t="shared" si="26"/>
        <v>-5.0417879888230962E-3</v>
      </c>
      <c r="AF230" s="187">
        <f t="shared" si="26"/>
        <v>-1.0034080727819583E-2</v>
      </c>
      <c r="AG230" s="187">
        <f t="shared" si="26"/>
        <v>-1.1374786205391875E-2</v>
      </c>
      <c r="AH230" s="187">
        <f t="shared" si="26"/>
        <v>-1.9802965824167879E-2</v>
      </c>
      <c r="AI230" s="187">
        <f t="shared" si="26"/>
        <v>-1.1926463294373116E-2</v>
      </c>
      <c r="AJ230" s="187">
        <f t="shared" si="26"/>
        <v>-5.6814562610559083E-3</v>
      </c>
      <c r="AK230" s="187">
        <f t="shared" si="26"/>
        <v>-7.037522151427983E-3</v>
      </c>
      <c r="AL230" s="187">
        <f t="shared" si="26"/>
        <v>-7.5065393096618634E-3</v>
      </c>
    </row>
    <row r="231" spans="1:38" ht="15" customHeight="1">
      <c r="A231" s="181" t="s">
        <v>317</v>
      </c>
      <c r="B231" s="182">
        <v>33</v>
      </c>
      <c r="C231" s="183">
        <f>C151+C152</f>
        <v>0</v>
      </c>
      <c r="D231" s="183">
        <f t="shared" ref="D231:AL231" si="27">D151+D152</f>
        <v>0</v>
      </c>
      <c r="E231" s="183">
        <f t="shared" si="27"/>
        <v>0</v>
      </c>
      <c r="F231" s="183">
        <f t="shared" si="27"/>
        <v>0</v>
      </c>
      <c r="G231" s="183">
        <f t="shared" si="27"/>
        <v>0</v>
      </c>
      <c r="H231" s="183">
        <f t="shared" si="27"/>
        <v>0</v>
      </c>
      <c r="I231" s="183">
        <f t="shared" si="27"/>
        <v>0</v>
      </c>
      <c r="J231" s="183">
        <f t="shared" si="27"/>
        <v>32927331</v>
      </c>
      <c r="K231" s="183">
        <f t="shared" si="27"/>
        <v>0</v>
      </c>
      <c r="L231" s="183">
        <f t="shared" si="27"/>
        <v>0</v>
      </c>
      <c r="M231" s="183">
        <f t="shared" si="27"/>
        <v>0</v>
      </c>
      <c r="N231" s="183">
        <f t="shared" si="27"/>
        <v>0</v>
      </c>
      <c r="O231" s="183">
        <f t="shared" si="27"/>
        <v>0</v>
      </c>
      <c r="P231" s="183">
        <f t="shared" si="27"/>
        <v>0</v>
      </c>
      <c r="Q231" s="183">
        <f t="shared" si="27"/>
        <v>0</v>
      </c>
      <c r="R231" s="183">
        <f t="shared" si="27"/>
        <v>0</v>
      </c>
      <c r="S231" s="183">
        <f t="shared" si="27"/>
        <v>0</v>
      </c>
      <c r="T231" s="183">
        <f t="shared" si="27"/>
        <v>0</v>
      </c>
      <c r="U231" s="183">
        <f t="shared" si="27"/>
        <v>0</v>
      </c>
      <c r="V231" s="183">
        <f t="shared" si="27"/>
        <v>0</v>
      </c>
      <c r="W231" s="183">
        <f t="shared" si="27"/>
        <v>0</v>
      </c>
      <c r="X231" s="183">
        <f t="shared" si="27"/>
        <v>0</v>
      </c>
      <c r="Y231" s="183">
        <f t="shared" si="27"/>
        <v>0</v>
      </c>
      <c r="Z231" s="183">
        <v>0</v>
      </c>
      <c r="AA231" s="183">
        <f t="shared" si="27"/>
        <v>0</v>
      </c>
      <c r="AB231" s="183">
        <f t="shared" si="27"/>
        <v>0</v>
      </c>
      <c r="AC231" s="183">
        <f t="shared" si="27"/>
        <v>0</v>
      </c>
      <c r="AD231" s="183">
        <f t="shared" si="27"/>
        <v>0</v>
      </c>
      <c r="AE231" s="183">
        <f t="shared" si="27"/>
        <v>0</v>
      </c>
      <c r="AF231" s="183">
        <f t="shared" si="27"/>
        <v>0</v>
      </c>
      <c r="AG231" s="183">
        <f t="shared" si="27"/>
        <v>0</v>
      </c>
      <c r="AH231" s="183">
        <f t="shared" si="27"/>
        <v>0</v>
      </c>
      <c r="AI231" s="183">
        <f t="shared" si="27"/>
        <v>0</v>
      </c>
      <c r="AJ231" s="183">
        <f t="shared" si="27"/>
        <v>0</v>
      </c>
      <c r="AK231" s="183">
        <f t="shared" si="27"/>
        <v>0</v>
      </c>
      <c r="AL231" s="183">
        <f t="shared" si="27"/>
        <v>0</v>
      </c>
    </row>
    <row r="232" spans="1:38" ht="15" customHeight="1">
      <c r="A232" s="184" t="s">
        <v>318</v>
      </c>
      <c r="B232" s="185">
        <v>34</v>
      </c>
      <c r="C232" s="187">
        <f>IFERROR(C231/C207,"")</f>
        <v>0</v>
      </c>
      <c r="D232" s="187">
        <f t="shared" ref="D232:AL232" si="28">IFERROR(D231/D207,"")</f>
        <v>0</v>
      </c>
      <c r="E232" s="187">
        <f t="shared" si="28"/>
        <v>0</v>
      </c>
      <c r="F232" s="187">
        <f t="shared" si="28"/>
        <v>0</v>
      </c>
      <c r="G232" s="187">
        <f t="shared" si="28"/>
        <v>0</v>
      </c>
      <c r="H232" s="187">
        <f t="shared" si="28"/>
        <v>0</v>
      </c>
      <c r="I232" s="187">
        <f t="shared" si="28"/>
        <v>0</v>
      </c>
      <c r="J232" s="187">
        <f t="shared" si="28"/>
        <v>5.6073151064245427E-3</v>
      </c>
      <c r="K232" s="187">
        <f t="shared" si="28"/>
        <v>0</v>
      </c>
      <c r="L232" s="187">
        <f t="shared" si="28"/>
        <v>0</v>
      </c>
      <c r="M232" s="187">
        <f t="shared" si="28"/>
        <v>0</v>
      </c>
      <c r="N232" s="187">
        <f t="shared" si="28"/>
        <v>0</v>
      </c>
      <c r="O232" s="187">
        <f t="shared" si="28"/>
        <v>0</v>
      </c>
      <c r="P232" s="187">
        <f t="shared" si="28"/>
        <v>0</v>
      </c>
      <c r="Q232" s="187">
        <f t="shared" si="28"/>
        <v>0</v>
      </c>
      <c r="R232" s="187">
        <f t="shared" si="28"/>
        <v>0</v>
      </c>
      <c r="S232" s="187">
        <f t="shared" si="28"/>
        <v>0</v>
      </c>
      <c r="T232" s="187">
        <f t="shared" si="28"/>
        <v>0</v>
      </c>
      <c r="U232" s="187">
        <f t="shared" si="28"/>
        <v>0</v>
      </c>
      <c r="V232" s="187">
        <f t="shared" si="28"/>
        <v>0</v>
      </c>
      <c r="W232" s="187">
        <f t="shared" si="28"/>
        <v>0</v>
      </c>
      <c r="X232" s="187">
        <f t="shared" si="28"/>
        <v>0</v>
      </c>
      <c r="Y232" s="187">
        <f t="shared" si="28"/>
        <v>0</v>
      </c>
      <c r="Z232" s="187">
        <v>0</v>
      </c>
      <c r="AA232" s="187">
        <f t="shared" si="28"/>
        <v>0</v>
      </c>
      <c r="AB232" s="187">
        <f t="shared" si="28"/>
        <v>0</v>
      </c>
      <c r="AC232" s="187">
        <f t="shared" si="28"/>
        <v>0</v>
      </c>
      <c r="AD232" s="187">
        <f t="shared" si="28"/>
        <v>0</v>
      </c>
      <c r="AE232" s="187">
        <f t="shared" si="28"/>
        <v>0</v>
      </c>
      <c r="AF232" s="187">
        <f t="shared" si="28"/>
        <v>0</v>
      </c>
      <c r="AG232" s="187">
        <f t="shared" si="28"/>
        <v>0</v>
      </c>
      <c r="AH232" s="187">
        <f t="shared" si="28"/>
        <v>0</v>
      </c>
      <c r="AI232" s="187">
        <f t="shared" si="28"/>
        <v>0</v>
      </c>
      <c r="AJ232" s="187">
        <f t="shared" si="28"/>
        <v>0</v>
      </c>
      <c r="AK232" s="187">
        <f t="shared" si="28"/>
        <v>0</v>
      </c>
      <c r="AL232" s="187">
        <f t="shared" si="28"/>
        <v>0</v>
      </c>
    </row>
    <row r="233" spans="1:38" ht="15" customHeight="1">
      <c r="A233" s="181" t="s">
        <v>319</v>
      </c>
      <c r="B233" s="182">
        <v>35</v>
      </c>
      <c r="C233" s="183">
        <f t="shared" ref="C233:AL233" si="29">C153</f>
        <v>-6888417</v>
      </c>
      <c r="D233" s="183">
        <f t="shared" si="29"/>
        <v>-111684924</v>
      </c>
      <c r="E233" s="183">
        <f t="shared" si="29"/>
        <v>245648215</v>
      </c>
      <c r="F233" s="183">
        <f t="shared" si="29"/>
        <v>-95403313</v>
      </c>
      <c r="G233" s="183">
        <f t="shared" si="29"/>
        <v>-323849797</v>
      </c>
      <c r="H233" s="183">
        <f t="shared" si="29"/>
        <v>-111483671</v>
      </c>
      <c r="I233" s="183">
        <f t="shared" si="29"/>
        <v>-318297985</v>
      </c>
      <c r="J233" s="183">
        <f t="shared" si="29"/>
        <v>-428679374</v>
      </c>
      <c r="K233" s="183">
        <f t="shared" si="29"/>
        <v>-556670192</v>
      </c>
      <c r="L233" s="183">
        <f t="shared" si="29"/>
        <v>-90458698</v>
      </c>
      <c r="M233" s="183">
        <f t="shared" si="29"/>
        <v>-137324570</v>
      </c>
      <c r="N233" s="183">
        <f t="shared" si="29"/>
        <v>-349818396</v>
      </c>
      <c r="O233" s="183">
        <f t="shared" si="29"/>
        <v>-709728629</v>
      </c>
      <c r="P233" s="183">
        <f t="shared" si="29"/>
        <v>-666184578</v>
      </c>
      <c r="Q233" s="183">
        <f t="shared" si="29"/>
        <v>-251636967</v>
      </c>
      <c r="R233" s="183">
        <f t="shared" si="29"/>
        <v>711287570</v>
      </c>
      <c r="S233" s="183">
        <f t="shared" si="29"/>
        <v>224729120</v>
      </c>
      <c r="T233" s="183">
        <f t="shared" si="29"/>
        <v>635187089</v>
      </c>
      <c r="U233" s="183">
        <f t="shared" si="29"/>
        <v>1321680656</v>
      </c>
      <c r="V233" s="183">
        <f t="shared" si="29"/>
        <v>1205904768</v>
      </c>
      <c r="W233" s="183">
        <f t="shared" si="29"/>
        <v>339730983</v>
      </c>
      <c r="X233" s="183">
        <f t="shared" si="29"/>
        <v>416403421</v>
      </c>
      <c r="Y233" s="183">
        <f t="shared" si="29"/>
        <v>379915613</v>
      </c>
      <c r="Z233" s="183">
        <v>597840394</v>
      </c>
      <c r="AA233" s="183">
        <f t="shared" si="29"/>
        <v>-307153648.70298225</v>
      </c>
      <c r="AB233" s="183">
        <f t="shared" si="29"/>
        <v>-648003978.93160486</v>
      </c>
      <c r="AC233" s="183">
        <f t="shared" si="29"/>
        <v>-138157997.39344013</v>
      </c>
      <c r="AD233" s="183">
        <f t="shared" si="29"/>
        <v>-88161731.183898389</v>
      </c>
      <c r="AE233" s="183">
        <f t="shared" si="29"/>
        <v>-43936535.383899152</v>
      </c>
      <c r="AF233" s="183">
        <f t="shared" si="29"/>
        <v>-87441745.650565565</v>
      </c>
      <c r="AG233" s="183">
        <f t="shared" si="29"/>
        <v>-99125290.017232358</v>
      </c>
      <c r="AH233" s="183">
        <f t="shared" si="29"/>
        <v>-172572450.60056537</v>
      </c>
      <c r="AI233" s="183">
        <f t="shared" si="29"/>
        <v>-103932866.21723217</v>
      </c>
      <c r="AJ233" s="183">
        <f t="shared" si="29"/>
        <v>-49510908.550565183</v>
      </c>
      <c r="AK233" s="183">
        <f t="shared" si="29"/>
        <v>-61328310.850565374</v>
      </c>
      <c r="AL233" s="183">
        <f t="shared" si="29"/>
        <v>-65415549.150565565</v>
      </c>
    </row>
    <row r="234" spans="1:38" ht="15" customHeight="1">
      <c r="A234" s="184" t="s">
        <v>320</v>
      </c>
      <c r="B234" s="185">
        <v>36</v>
      </c>
      <c r="C234" s="187">
        <f t="shared" ref="C234:AL234" si="30">IFERROR(C233/C207,"")</f>
        <v>-1.0105498472224529E-3</v>
      </c>
      <c r="D234" s="187">
        <f t="shared" si="30"/>
        <v>-1.8492110692457455E-2</v>
      </c>
      <c r="E234" s="187">
        <f t="shared" si="30"/>
        <v>3.1260623551211009E-2</v>
      </c>
      <c r="F234" s="187">
        <f t="shared" si="30"/>
        <v>-1.7798009863560792E-2</v>
      </c>
      <c r="G234" s="187">
        <f t="shared" si="30"/>
        <v>-4.2047897759599349E-2</v>
      </c>
      <c r="H234" s="187">
        <f t="shared" si="30"/>
        <v>-1.505418524774885E-2</v>
      </c>
      <c r="I234" s="187">
        <f t="shared" si="30"/>
        <v>-5.9419482171709018E-2</v>
      </c>
      <c r="J234" s="187">
        <f t="shared" si="30"/>
        <v>-7.3001371706768958E-2</v>
      </c>
      <c r="K234" s="187">
        <f t="shared" si="30"/>
        <v>-0.12015783346661882</v>
      </c>
      <c r="L234" s="187">
        <f t="shared" si="30"/>
        <v>-1.4185994774661185E-2</v>
      </c>
      <c r="M234" s="187">
        <f t="shared" si="30"/>
        <v>-2.2855785260499681E-2</v>
      </c>
      <c r="N234" s="187">
        <f t="shared" si="30"/>
        <v>-6.8666996360840574E-2</v>
      </c>
      <c r="O234" s="187">
        <f t="shared" si="30"/>
        <v>-0.18697254937454211</v>
      </c>
      <c r="P234" s="187">
        <f t="shared" si="30"/>
        <v>-0.13289185721494801</v>
      </c>
      <c r="Q234" s="187">
        <f t="shared" si="30"/>
        <v>-3.1115296551709724E-2</v>
      </c>
      <c r="R234" s="187">
        <f t="shared" si="30"/>
        <v>7.3369571463033703E-2</v>
      </c>
      <c r="S234" s="187">
        <f t="shared" si="30"/>
        <v>2.6790625570511543E-2</v>
      </c>
      <c r="T234" s="187">
        <f t="shared" si="30"/>
        <v>6.6753435874620071E-2</v>
      </c>
      <c r="U234" s="187">
        <f t="shared" si="30"/>
        <v>9.7235390503382702E-2</v>
      </c>
      <c r="V234" s="187">
        <f t="shared" si="30"/>
        <v>9.7080799000685655E-2</v>
      </c>
      <c r="W234" s="187">
        <f t="shared" si="30"/>
        <v>3.8570451593252612E-2</v>
      </c>
      <c r="X234" s="187">
        <f t="shared" si="30"/>
        <v>5.393872810311591E-2</v>
      </c>
      <c r="Y234" s="187">
        <f t="shared" si="30"/>
        <v>5.8161706782281081E-2</v>
      </c>
      <c r="Z234" s="187">
        <v>6.87628778773796E-2</v>
      </c>
      <c r="AA234" s="187">
        <f t="shared" si="30"/>
        <v>-4.112077015388909E-2</v>
      </c>
      <c r="AB234" s="187">
        <f t="shared" si="30"/>
        <v>-0.11567032890095652</v>
      </c>
      <c r="AC234" s="187">
        <f t="shared" si="30"/>
        <v>-1.7073379136950187E-2</v>
      </c>
      <c r="AD234" s="187">
        <f t="shared" si="30"/>
        <v>-1.0116700223926099E-2</v>
      </c>
      <c r="AE234" s="187">
        <f t="shared" si="30"/>
        <v>-5.0417879888230962E-3</v>
      </c>
      <c r="AF234" s="187">
        <f t="shared" si="30"/>
        <v>-1.0034080727819583E-2</v>
      </c>
      <c r="AG234" s="187">
        <f t="shared" si="30"/>
        <v>-1.1374786205391875E-2</v>
      </c>
      <c r="AH234" s="187">
        <f t="shared" si="30"/>
        <v>-1.9802965824167879E-2</v>
      </c>
      <c r="AI234" s="187">
        <f t="shared" si="30"/>
        <v>-1.1926463294373116E-2</v>
      </c>
      <c r="AJ234" s="187">
        <f t="shared" si="30"/>
        <v>-5.6814562610559083E-3</v>
      </c>
      <c r="AK234" s="187">
        <f t="shared" si="30"/>
        <v>-7.037522151427983E-3</v>
      </c>
      <c r="AL234" s="187">
        <f t="shared" si="30"/>
        <v>-7.5065393096618634E-3</v>
      </c>
    </row>
    <row r="235" spans="1:38" ht="15" customHeight="1">
      <c r="A235" s="193" t="s">
        <v>321</v>
      </c>
      <c r="B235" s="146">
        <v>37</v>
      </c>
      <c r="C235" s="183">
        <f t="shared" ref="C235:AL235" si="31">C144</f>
        <v>133375123</v>
      </c>
      <c r="D235" s="183">
        <f t="shared" si="31"/>
        <v>153076705</v>
      </c>
      <c r="E235" s="183">
        <f t="shared" si="31"/>
        <v>183500000</v>
      </c>
      <c r="F235" s="183">
        <f t="shared" si="31"/>
        <v>113500000</v>
      </c>
      <c r="G235" s="183">
        <f t="shared" si="31"/>
        <v>148600000</v>
      </c>
      <c r="H235" s="183">
        <f t="shared" si="31"/>
        <v>115000000</v>
      </c>
      <c r="I235" s="183">
        <f t="shared" si="31"/>
        <v>78000000</v>
      </c>
      <c r="J235" s="183">
        <f t="shared" si="31"/>
        <v>88000000</v>
      </c>
      <c r="K235" s="183">
        <f t="shared" si="31"/>
        <v>88400000</v>
      </c>
      <c r="L235" s="183">
        <f t="shared" si="31"/>
        <v>71100000</v>
      </c>
      <c r="M235" s="183">
        <f t="shared" si="31"/>
        <v>64500000</v>
      </c>
      <c r="N235" s="183">
        <f t="shared" si="31"/>
        <v>57000000</v>
      </c>
      <c r="O235" s="183">
        <f t="shared" si="31"/>
        <v>37500000</v>
      </c>
      <c r="P235" s="183">
        <f t="shared" si="31"/>
        <v>70500000</v>
      </c>
      <c r="Q235" s="183">
        <f t="shared" si="31"/>
        <v>103500000</v>
      </c>
      <c r="R235" s="183">
        <f t="shared" si="31"/>
        <v>129000000</v>
      </c>
      <c r="S235" s="183">
        <f t="shared" si="31"/>
        <v>111000000</v>
      </c>
      <c r="T235" s="183">
        <f t="shared" si="31"/>
        <v>116500000</v>
      </c>
      <c r="U235" s="183">
        <f t="shared" si="31"/>
        <v>172500000</v>
      </c>
      <c r="V235" s="183">
        <f t="shared" si="31"/>
        <v>164700000</v>
      </c>
      <c r="W235" s="183">
        <f t="shared" si="31"/>
        <v>127600000</v>
      </c>
      <c r="X235" s="183">
        <f t="shared" si="31"/>
        <v>115500000</v>
      </c>
      <c r="Y235" s="183">
        <f t="shared" si="31"/>
        <v>100000000</v>
      </c>
      <c r="Z235" s="183">
        <v>138000000</v>
      </c>
      <c r="AA235" s="183">
        <f t="shared" si="31"/>
        <v>114364285.71428572</v>
      </c>
      <c r="AB235" s="183">
        <f t="shared" si="31"/>
        <v>85773214.285714284</v>
      </c>
      <c r="AC235" s="183">
        <f t="shared" si="31"/>
        <v>123894642.85714285</v>
      </c>
      <c r="AD235" s="183">
        <f t="shared" si="31"/>
        <v>133425000</v>
      </c>
      <c r="AE235" s="183">
        <f t="shared" si="31"/>
        <v>133425000</v>
      </c>
      <c r="AF235" s="183">
        <f t="shared" si="31"/>
        <v>133425000</v>
      </c>
      <c r="AG235" s="183">
        <f t="shared" si="31"/>
        <v>133425000</v>
      </c>
      <c r="AH235" s="183">
        <f t="shared" si="31"/>
        <v>133425000</v>
      </c>
      <c r="AI235" s="183">
        <f t="shared" si="31"/>
        <v>133425000</v>
      </c>
      <c r="AJ235" s="183">
        <f t="shared" si="31"/>
        <v>133425000</v>
      </c>
      <c r="AK235" s="183">
        <f t="shared" si="31"/>
        <v>133425000</v>
      </c>
      <c r="AL235" s="183">
        <f t="shared" si="31"/>
        <v>133425000</v>
      </c>
    </row>
    <row r="236" spans="1:38" ht="15" customHeight="1">
      <c r="A236" s="190" t="s">
        <v>322</v>
      </c>
      <c r="B236" s="191">
        <v>38</v>
      </c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>
        <v>0</v>
      </c>
      <c r="AA236" s="189">
        <f>SUMIFS([1]!Data_PL_Element[Value],[1]!Data_PL_Element[Index PL Element],'Khanh Nga'!$B236,[1]!Data_PL_Element[TenCongTyID],'Khanh Nga'!$B$1,[1]!Data_PL_Element[Thang.Nam],'Khanh Nga'!AA$198)</f>
        <v>0</v>
      </c>
      <c r="AB236" s="189">
        <f>SUMIFS([1]!Data_PL_Element[Value],[1]!Data_PL_Element[Index PL Element],'Khanh Nga'!$B236,[1]!Data_PL_Element[TenCongTyID],'Khanh Nga'!$B$1,[1]!Data_PL_Element[Thang.Nam],'Khanh Nga'!AB$198)</f>
        <v>0</v>
      </c>
      <c r="AC236" s="189">
        <f>SUMIFS([1]!Data_PL_Element[Value],[1]!Data_PL_Element[Index PL Element],'Khanh Nga'!$B236,[1]!Data_PL_Element[TenCongTyID],'Khanh Nga'!$B$1,[1]!Data_PL_Element[Thang.Nam],'Khanh Nga'!AC$198)</f>
        <v>0</v>
      </c>
      <c r="AD236" s="189">
        <f>SUMIFS([1]!Data_PL_Element[Value],[1]!Data_PL_Element[Index PL Element],'Khanh Nga'!$B236,[1]!Data_PL_Element[TenCongTyID],'Khanh Nga'!$B$1,[1]!Data_PL_Element[Thang.Nam],'Khanh Nga'!AD$198)</f>
        <v>0</v>
      </c>
      <c r="AE236" s="189">
        <f>SUMIFS([1]!Data_PL_Element[Value],[1]!Data_PL_Element[Index PL Element],'Khanh Nga'!$B236,[1]!Data_PL_Element[TenCongTyID],'Khanh Nga'!$B$1,[1]!Data_PL_Element[Thang.Nam],'Khanh Nga'!AE$198)</f>
        <v>0</v>
      </c>
      <c r="AF236" s="189">
        <f>SUMIFS([1]!Data_PL_Element[Value],[1]!Data_PL_Element[Index PL Element],'Khanh Nga'!$B236,[1]!Data_PL_Element[TenCongTyID],'Khanh Nga'!$B$1,[1]!Data_PL_Element[Thang.Nam],'Khanh Nga'!AF$198)</f>
        <v>0</v>
      </c>
      <c r="AG236" s="189">
        <f>SUMIFS([1]!Data_PL_Element[Value],[1]!Data_PL_Element[Index PL Element],'Khanh Nga'!$B236,[1]!Data_PL_Element[TenCongTyID],'Khanh Nga'!$B$1,[1]!Data_PL_Element[Thang.Nam],'Khanh Nga'!AG$198)</f>
        <v>0</v>
      </c>
      <c r="AH236" s="189">
        <f>SUMIFS([1]!Data_PL_Element[Value],[1]!Data_PL_Element[Index PL Element],'Khanh Nga'!$B236,[1]!Data_PL_Element[TenCongTyID],'Khanh Nga'!$B$1,[1]!Data_PL_Element[Thang.Nam],'Khanh Nga'!AH$198)</f>
        <v>0</v>
      </c>
      <c r="AI236" s="189">
        <f>SUMIFS([1]!Data_PL_Element[Value],[1]!Data_PL_Element[Index PL Element],'Khanh Nga'!$B236,[1]!Data_PL_Element[TenCongTyID],'Khanh Nga'!$B$1,[1]!Data_PL_Element[Thang.Nam],'Khanh Nga'!AI$198)</f>
        <v>0</v>
      </c>
      <c r="AJ236" s="189">
        <f>SUMIFS([1]!Data_PL_Element[Value],[1]!Data_PL_Element[Index PL Element],'Khanh Nga'!$B236,[1]!Data_PL_Element[TenCongTyID],'Khanh Nga'!$B$1,[1]!Data_PL_Element[Thang.Nam],'Khanh Nga'!AJ$198)</f>
        <v>0</v>
      </c>
      <c r="AK236" s="189">
        <f>SUMIFS([1]!Data_PL_Element[Value],[1]!Data_PL_Element[Index PL Element],'Khanh Nga'!$B236,[1]!Data_PL_Element[TenCongTyID],'Khanh Nga'!$B$1,[1]!Data_PL_Element[Thang.Nam],'Khanh Nga'!AK$198)</f>
        <v>0</v>
      </c>
      <c r="AL236" s="189">
        <f>SUMIFS([1]!Data_PL_Element[Value],[1]!Data_PL_Element[Index PL Element],'Khanh Nga'!$B236,[1]!Data_PL_Element[TenCongTyID],'Khanh Nga'!$B$1,[1]!Data_PL_Element[Thang.Nam],'Khanh Nga'!AL$198)</f>
        <v>0</v>
      </c>
    </row>
    <row r="237" spans="1:38" ht="15" customHeight="1">
      <c r="A237" s="190" t="s">
        <v>323</v>
      </c>
      <c r="B237" s="191">
        <v>39</v>
      </c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>
        <v>0</v>
      </c>
      <c r="AA237" s="189">
        <f>SUMIFS([1]!Data_PL_Element[Value],[1]!Data_PL_Element[Index PL Element],'Khanh Nga'!$B237,[1]!Data_PL_Element[TenCongTyID],'Khanh Nga'!$B$1,[1]!Data_PL_Element[Thang.Nam],'Khanh Nga'!AA$198)</f>
        <v>0</v>
      </c>
      <c r="AB237" s="189">
        <f>SUMIFS([1]!Data_PL_Element[Value],[1]!Data_PL_Element[Index PL Element],'Khanh Nga'!$B237,[1]!Data_PL_Element[TenCongTyID],'Khanh Nga'!$B$1,[1]!Data_PL_Element[Thang.Nam],'Khanh Nga'!AB$198)</f>
        <v>0</v>
      </c>
      <c r="AC237" s="189">
        <f>SUMIFS([1]!Data_PL_Element[Value],[1]!Data_PL_Element[Index PL Element],'Khanh Nga'!$B237,[1]!Data_PL_Element[TenCongTyID],'Khanh Nga'!$B$1,[1]!Data_PL_Element[Thang.Nam],'Khanh Nga'!AC$198)</f>
        <v>0</v>
      </c>
      <c r="AD237" s="189">
        <f>SUMIFS([1]!Data_PL_Element[Value],[1]!Data_PL_Element[Index PL Element],'Khanh Nga'!$B237,[1]!Data_PL_Element[TenCongTyID],'Khanh Nga'!$B$1,[1]!Data_PL_Element[Thang.Nam],'Khanh Nga'!AD$198)</f>
        <v>0</v>
      </c>
      <c r="AE237" s="189">
        <f>SUMIFS([1]!Data_PL_Element[Value],[1]!Data_PL_Element[Index PL Element],'Khanh Nga'!$B237,[1]!Data_PL_Element[TenCongTyID],'Khanh Nga'!$B$1,[1]!Data_PL_Element[Thang.Nam],'Khanh Nga'!AE$198)</f>
        <v>0</v>
      </c>
      <c r="AF237" s="189">
        <f>SUMIFS([1]!Data_PL_Element[Value],[1]!Data_PL_Element[Index PL Element],'Khanh Nga'!$B237,[1]!Data_PL_Element[TenCongTyID],'Khanh Nga'!$B$1,[1]!Data_PL_Element[Thang.Nam],'Khanh Nga'!AF$198)</f>
        <v>0</v>
      </c>
      <c r="AG237" s="189">
        <f>SUMIFS([1]!Data_PL_Element[Value],[1]!Data_PL_Element[Index PL Element],'Khanh Nga'!$B237,[1]!Data_PL_Element[TenCongTyID],'Khanh Nga'!$B$1,[1]!Data_PL_Element[Thang.Nam],'Khanh Nga'!AG$198)</f>
        <v>0</v>
      </c>
      <c r="AH237" s="189">
        <f>SUMIFS([1]!Data_PL_Element[Value],[1]!Data_PL_Element[Index PL Element],'Khanh Nga'!$B237,[1]!Data_PL_Element[TenCongTyID],'Khanh Nga'!$B$1,[1]!Data_PL_Element[Thang.Nam],'Khanh Nga'!AH$198)</f>
        <v>0</v>
      </c>
      <c r="AI237" s="189">
        <f>SUMIFS([1]!Data_PL_Element[Value],[1]!Data_PL_Element[Index PL Element],'Khanh Nga'!$B237,[1]!Data_PL_Element[TenCongTyID],'Khanh Nga'!$B$1,[1]!Data_PL_Element[Thang.Nam],'Khanh Nga'!AI$198)</f>
        <v>0</v>
      </c>
      <c r="AJ237" s="189">
        <f>SUMIFS([1]!Data_PL_Element[Value],[1]!Data_PL_Element[Index PL Element],'Khanh Nga'!$B237,[1]!Data_PL_Element[TenCongTyID],'Khanh Nga'!$B$1,[1]!Data_PL_Element[Thang.Nam],'Khanh Nga'!AJ$198)</f>
        <v>0</v>
      </c>
      <c r="AK237" s="189">
        <f>SUMIFS([1]!Data_PL_Element[Value],[1]!Data_PL_Element[Index PL Element],'Khanh Nga'!$B237,[1]!Data_PL_Element[TenCongTyID],'Khanh Nga'!$B$1,[1]!Data_PL_Element[Thang.Nam],'Khanh Nga'!AK$198)</f>
        <v>0</v>
      </c>
      <c r="AL237" s="189">
        <f>SUMIFS([1]!Data_PL_Element[Value],[1]!Data_PL_Element[Index PL Element],'Khanh Nga'!$B237,[1]!Data_PL_Element[TenCongTyID],'Khanh Nga'!$B$1,[1]!Data_PL_Element[Thang.Nam],'Khanh Nga'!AL$198)</f>
        <v>0</v>
      </c>
    </row>
    <row r="238" spans="1:38" ht="15" customHeight="1">
      <c r="A238" s="190" t="s">
        <v>324</v>
      </c>
      <c r="B238" s="191">
        <v>40</v>
      </c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>
        <v>0</v>
      </c>
      <c r="AA238" s="189">
        <f>SUMIFS([1]!Data_PL_Element[Value],[1]!Data_PL_Element[Index PL Element],'Khanh Nga'!$B238,[1]!Data_PL_Element[TenCongTyID],'Khanh Nga'!$B$1,[1]!Data_PL_Element[Thang.Nam],'Khanh Nga'!AA$198)</f>
        <v>0</v>
      </c>
      <c r="AB238" s="189">
        <f>SUMIFS([1]!Data_PL_Element[Value],[1]!Data_PL_Element[Index PL Element],'Khanh Nga'!$B238,[1]!Data_PL_Element[TenCongTyID],'Khanh Nga'!$B$1,[1]!Data_PL_Element[Thang.Nam],'Khanh Nga'!AB$198)</f>
        <v>0</v>
      </c>
      <c r="AC238" s="189">
        <f>SUMIFS([1]!Data_PL_Element[Value],[1]!Data_PL_Element[Index PL Element],'Khanh Nga'!$B238,[1]!Data_PL_Element[TenCongTyID],'Khanh Nga'!$B$1,[1]!Data_PL_Element[Thang.Nam],'Khanh Nga'!AC$198)</f>
        <v>0</v>
      </c>
      <c r="AD238" s="189">
        <f>SUMIFS([1]!Data_PL_Element[Value],[1]!Data_PL_Element[Index PL Element],'Khanh Nga'!$B238,[1]!Data_PL_Element[TenCongTyID],'Khanh Nga'!$B$1,[1]!Data_PL_Element[Thang.Nam],'Khanh Nga'!AD$198)</f>
        <v>0</v>
      </c>
      <c r="AE238" s="189">
        <f>SUMIFS([1]!Data_PL_Element[Value],[1]!Data_PL_Element[Index PL Element],'Khanh Nga'!$B238,[1]!Data_PL_Element[TenCongTyID],'Khanh Nga'!$B$1,[1]!Data_PL_Element[Thang.Nam],'Khanh Nga'!AE$198)</f>
        <v>0</v>
      </c>
      <c r="AF238" s="189">
        <f>SUMIFS([1]!Data_PL_Element[Value],[1]!Data_PL_Element[Index PL Element],'Khanh Nga'!$B238,[1]!Data_PL_Element[TenCongTyID],'Khanh Nga'!$B$1,[1]!Data_PL_Element[Thang.Nam],'Khanh Nga'!AF$198)</f>
        <v>0</v>
      </c>
      <c r="AG238" s="189">
        <f>SUMIFS([1]!Data_PL_Element[Value],[1]!Data_PL_Element[Index PL Element],'Khanh Nga'!$B238,[1]!Data_PL_Element[TenCongTyID],'Khanh Nga'!$B$1,[1]!Data_PL_Element[Thang.Nam],'Khanh Nga'!AG$198)</f>
        <v>0</v>
      </c>
      <c r="AH238" s="189">
        <f>SUMIFS([1]!Data_PL_Element[Value],[1]!Data_PL_Element[Index PL Element],'Khanh Nga'!$B238,[1]!Data_PL_Element[TenCongTyID],'Khanh Nga'!$B$1,[1]!Data_PL_Element[Thang.Nam],'Khanh Nga'!AH$198)</f>
        <v>0</v>
      </c>
      <c r="AI238" s="189">
        <f>SUMIFS([1]!Data_PL_Element[Value],[1]!Data_PL_Element[Index PL Element],'Khanh Nga'!$B238,[1]!Data_PL_Element[TenCongTyID],'Khanh Nga'!$B$1,[1]!Data_PL_Element[Thang.Nam],'Khanh Nga'!AI$198)</f>
        <v>0</v>
      </c>
      <c r="AJ238" s="189">
        <f>SUMIFS([1]!Data_PL_Element[Value],[1]!Data_PL_Element[Index PL Element],'Khanh Nga'!$B238,[1]!Data_PL_Element[TenCongTyID],'Khanh Nga'!$B$1,[1]!Data_PL_Element[Thang.Nam],'Khanh Nga'!AJ$198)</f>
        <v>0</v>
      </c>
      <c r="AK238" s="189">
        <f>SUMIFS([1]!Data_PL_Element[Value],[1]!Data_PL_Element[Index PL Element],'Khanh Nga'!$B238,[1]!Data_PL_Element[TenCongTyID],'Khanh Nga'!$B$1,[1]!Data_PL_Element[Thang.Nam],'Khanh Nga'!AK$198)</f>
        <v>0</v>
      </c>
      <c r="AL238" s="189">
        <f>SUMIFS([1]!Data_PL_Element[Value],[1]!Data_PL_Element[Index PL Element],'Khanh Nga'!$B238,[1]!Data_PL_Element[TenCongTyID],'Khanh Nga'!$B$1,[1]!Data_PL_Element[Thang.Nam],'Khanh Nga'!AL$198)</f>
        <v>0</v>
      </c>
    </row>
    <row r="239" spans="1:38" ht="15" customHeight="1">
      <c r="A239" s="190" t="s">
        <v>325</v>
      </c>
      <c r="B239" s="191">
        <v>41</v>
      </c>
      <c r="C239" s="189">
        <v>133375123</v>
      </c>
      <c r="D239" s="189">
        <v>153076705</v>
      </c>
      <c r="E239" s="189">
        <v>183500000</v>
      </c>
      <c r="F239" s="189">
        <v>113500000</v>
      </c>
      <c r="G239" s="189">
        <v>148600000</v>
      </c>
      <c r="H239" s="189">
        <v>115000000</v>
      </c>
      <c r="I239" s="189">
        <v>78000000</v>
      </c>
      <c r="J239" s="189">
        <v>88000000</v>
      </c>
      <c r="K239" s="189">
        <v>88400000</v>
      </c>
      <c r="L239" s="189">
        <v>71100000</v>
      </c>
      <c r="M239" s="189">
        <v>64500000</v>
      </c>
      <c r="N239" s="189">
        <v>57000000</v>
      </c>
      <c r="O239" s="189">
        <v>37500000</v>
      </c>
      <c r="P239" s="189">
        <v>70500000</v>
      </c>
      <c r="Q239" s="189">
        <v>103500000</v>
      </c>
      <c r="R239" s="189">
        <v>129000000</v>
      </c>
      <c r="S239" s="189">
        <v>111000000</v>
      </c>
      <c r="T239" s="189">
        <v>116500000</v>
      </c>
      <c r="U239" s="189">
        <v>172500000</v>
      </c>
      <c r="V239" s="189">
        <v>164700000</v>
      </c>
      <c r="W239" s="189">
        <v>127600000</v>
      </c>
      <c r="X239" s="189">
        <v>115500000</v>
      </c>
      <c r="Y239" s="189">
        <v>100000000</v>
      </c>
      <c r="Z239" s="189">
        <v>138000000</v>
      </c>
      <c r="AA239" s="189">
        <f>SUMIFS([1]!Data_PL_Element[Value],[1]!Data_PL_Element[Index PL Element],'Khanh Nga'!$B239,[1]!Data_PL_Element[TenCongTyID],'Khanh Nga'!$B$1,[1]!Data_PL_Element[Thang.Nam],'Khanh Nga'!AA$198)</f>
        <v>0</v>
      </c>
      <c r="AB239" s="189">
        <f>SUMIFS([1]!Data_PL_Element[Value],[1]!Data_PL_Element[Index PL Element],'Khanh Nga'!$B239,[1]!Data_PL_Element[TenCongTyID],'Khanh Nga'!$B$1,[1]!Data_PL_Element[Thang.Nam],'Khanh Nga'!AB$198)</f>
        <v>0</v>
      </c>
      <c r="AC239" s="189">
        <f>SUMIFS([1]!Data_PL_Element[Value],[1]!Data_PL_Element[Index PL Element],'Khanh Nga'!$B239,[1]!Data_PL_Element[TenCongTyID],'Khanh Nga'!$B$1,[1]!Data_PL_Element[Thang.Nam],'Khanh Nga'!AC$198)</f>
        <v>0</v>
      </c>
      <c r="AD239" s="189">
        <f>SUMIFS([1]!Data_PL_Element[Value],[1]!Data_PL_Element[Index PL Element],'Khanh Nga'!$B239,[1]!Data_PL_Element[TenCongTyID],'Khanh Nga'!$B$1,[1]!Data_PL_Element[Thang.Nam],'Khanh Nga'!AD$198)</f>
        <v>0</v>
      </c>
      <c r="AE239" s="189">
        <f>SUMIFS([1]!Data_PL_Element[Value],[1]!Data_PL_Element[Index PL Element],'Khanh Nga'!$B239,[1]!Data_PL_Element[TenCongTyID],'Khanh Nga'!$B$1,[1]!Data_PL_Element[Thang.Nam],'Khanh Nga'!AE$198)</f>
        <v>0</v>
      </c>
      <c r="AF239" s="189">
        <f>SUMIFS([1]!Data_PL_Element[Value],[1]!Data_PL_Element[Index PL Element],'Khanh Nga'!$B239,[1]!Data_PL_Element[TenCongTyID],'Khanh Nga'!$B$1,[1]!Data_PL_Element[Thang.Nam],'Khanh Nga'!AF$198)</f>
        <v>0</v>
      </c>
      <c r="AG239" s="189">
        <f>SUMIFS([1]!Data_PL_Element[Value],[1]!Data_PL_Element[Index PL Element],'Khanh Nga'!$B239,[1]!Data_PL_Element[TenCongTyID],'Khanh Nga'!$B$1,[1]!Data_PL_Element[Thang.Nam],'Khanh Nga'!AG$198)</f>
        <v>0</v>
      </c>
      <c r="AH239" s="189">
        <f>SUMIFS([1]!Data_PL_Element[Value],[1]!Data_PL_Element[Index PL Element],'Khanh Nga'!$B239,[1]!Data_PL_Element[TenCongTyID],'Khanh Nga'!$B$1,[1]!Data_PL_Element[Thang.Nam],'Khanh Nga'!AH$198)</f>
        <v>0</v>
      </c>
      <c r="AI239" s="189">
        <f>SUMIFS([1]!Data_PL_Element[Value],[1]!Data_PL_Element[Index PL Element],'Khanh Nga'!$B239,[1]!Data_PL_Element[TenCongTyID],'Khanh Nga'!$B$1,[1]!Data_PL_Element[Thang.Nam],'Khanh Nga'!AI$198)</f>
        <v>0</v>
      </c>
      <c r="AJ239" s="189">
        <f>SUMIFS([1]!Data_PL_Element[Value],[1]!Data_PL_Element[Index PL Element],'Khanh Nga'!$B239,[1]!Data_PL_Element[TenCongTyID],'Khanh Nga'!$B$1,[1]!Data_PL_Element[Thang.Nam],'Khanh Nga'!AJ$198)</f>
        <v>0</v>
      </c>
      <c r="AK239" s="189">
        <f>SUMIFS([1]!Data_PL_Element[Value],[1]!Data_PL_Element[Index PL Element],'Khanh Nga'!$B239,[1]!Data_PL_Element[TenCongTyID],'Khanh Nga'!$B$1,[1]!Data_PL_Element[Thang.Nam],'Khanh Nga'!AK$198)</f>
        <v>0</v>
      </c>
      <c r="AL239" s="189">
        <f>SUMIFS([1]!Data_PL_Element[Value],[1]!Data_PL_Element[Index PL Element],'Khanh Nga'!$B239,[1]!Data_PL_Element[TenCongTyID],'Khanh Nga'!$B$1,[1]!Data_PL_Element[Thang.Nam],'Khanh Nga'!AL$198)</f>
        <v>0</v>
      </c>
    </row>
    <row r="240" spans="1:38" ht="15" customHeight="1">
      <c r="A240" s="190" t="s">
        <v>326</v>
      </c>
      <c r="B240" s="191">
        <v>42</v>
      </c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>
        <v>0</v>
      </c>
      <c r="AA240" s="189">
        <f>SUMIFS([1]!Data_PL_Element[Value],[1]!Data_PL_Element[Index PL Element],'Khanh Nga'!$B240,[1]!Data_PL_Element[TenCongTyID],'Khanh Nga'!$B$1,[1]!Data_PL_Element[Thang.Nam],'Khanh Nga'!AA$198)</f>
        <v>0</v>
      </c>
      <c r="AB240" s="189">
        <f>SUMIFS([1]!Data_PL_Element[Value],[1]!Data_PL_Element[Index PL Element],'Khanh Nga'!$B240,[1]!Data_PL_Element[TenCongTyID],'Khanh Nga'!$B$1,[1]!Data_PL_Element[Thang.Nam],'Khanh Nga'!AB$198)</f>
        <v>0</v>
      </c>
      <c r="AC240" s="189">
        <f>SUMIFS([1]!Data_PL_Element[Value],[1]!Data_PL_Element[Index PL Element],'Khanh Nga'!$B240,[1]!Data_PL_Element[TenCongTyID],'Khanh Nga'!$B$1,[1]!Data_PL_Element[Thang.Nam],'Khanh Nga'!AC$198)</f>
        <v>0</v>
      </c>
      <c r="AD240" s="189">
        <f>SUMIFS([1]!Data_PL_Element[Value],[1]!Data_PL_Element[Index PL Element],'Khanh Nga'!$B240,[1]!Data_PL_Element[TenCongTyID],'Khanh Nga'!$B$1,[1]!Data_PL_Element[Thang.Nam],'Khanh Nga'!AD$198)</f>
        <v>0</v>
      </c>
      <c r="AE240" s="189">
        <f>SUMIFS([1]!Data_PL_Element[Value],[1]!Data_PL_Element[Index PL Element],'Khanh Nga'!$B240,[1]!Data_PL_Element[TenCongTyID],'Khanh Nga'!$B$1,[1]!Data_PL_Element[Thang.Nam],'Khanh Nga'!AE$198)</f>
        <v>0</v>
      </c>
      <c r="AF240" s="189">
        <f>SUMIFS([1]!Data_PL_Element[Value],[1]!Data_PL_Element[Index PL Element],'Khanh Nga'!$B240,[1]!Data_PL_Element[TenCongTyID],'Khanh Nga'!$B$1,[1]!Data_PL_Element[Thang.Nam],'Khanh Nga'!AF$198)</f>
        <v>0</v>
      </c>
      <c r="AG240" s="189">
        <f>SUMIFS([1]!Data_PL_Element[Value],[1]!Data_PL_Element[Index PL Element],'Khanh Nga'!$B240,[1]!Data_PL_Element[TenCongTyID],'Khanh Nga'!$B$1,[1]!Data_PL_Element[Thang.Nam],'Khanh Nga'!AG$198)</f>
        <v>0</v>
      </c>
      <c r="AH240" s="189">
        <f>SUMIFS([1]!Data_PL_Element[Value],[1]!Data_PL_Element[Index PL Element],'Khanh Nga'!$B240,[1]!Data_PL_Element[TenCongTyID],'Khanh Nga'!$B$1,[1]!Data_PL_Element[Thang.Nam],'Khanh Nga'!AH$198)</f>
        <v>0</v>
      </c>
      <c r="AI240" s="189">
        <f>SUMIFS([1]!Data_PL_Element[Value],[1]!Data_PL_Element[Index PL Element],'Khanh Nga'!$B240,[1]!Data_PL_Element[TenCongTyID],'Khanh Nga'!$B$1,[1]!Data_PL_Element[Thang.Nam],'Khanh Nga'!AI$198)</f>
        <v>0</v>
      </c>
      <c r="AJ240" s="189">
        <f>SUMIFS([1]!Data_PL_Element[Value],[1]!Data_PL_Element[Index PL Element],'Khanh Nga'!$B240,[1]!Data_PL_Element[TenCongTyID],'Khanh Nga'!$B$1,[1]!Data_PL_Element[Thang.Nam],'Khanh Nga'!AJ$198)</f>
        <v>0</v>
      </c>
      <c r="AK240" s="189">
        <f>SUMIFS([1]!Data_PL_Element[Value],[1]!Data_PL_Element[Index PL Element],'Khanh Nga'!$B240,[1]!Data_PL_Element[TenCongTyID],'Khanh Nga'!$B$1,[1]!Data_PL_Element[Thang.Nam],'Khanh Nga'!AK$198)</f>
        <v>0</v>
      </c>
      <c r="AL240" s="189">
        <f>SUMIFS([1]!Data_PL_Element[Value],[1]!Data_PL_Element[Index PL Element],'Khanh Nga'!$B240,[1]!Data_PL_Element[TenCongTyID],'Khanh Nga'!$B$1,[1]!Data_PL_Element[Thang.Nam],'Khanh Nga'!AL$198)</f>
        <v>0</v>
      </c>
    </row>
    <row r="241" spans="1:38" ht="15" customHeight="1">
      <c r="A241" s="190" t="s">
        <v>327</v>
      </c>
      <c r="B241" s="191">
        <v>43</v>
      </c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>
        <v>0</v>
      </c>
      <c r="AA241" s="189">
        <f>SUMIFS([1]!Data_PL_Element[Value],[1]!Data_PL_Element[Index PL Element],'Khanh Nga'!$B241,[1]!Data_PL_Element[TenCongTyID],'Khanh Nga'!$B$1,[1]!Data_PL_Element[Thang.Nam],'Khanh Nga'!AA$198)</f>
        <v>0</v>
      </c>
      <c r="AB241" s="189">
        <f>SUMIFS([1]!Data_PL_Element[Value],[1]!Data_PL_Element[Index PL Element],'Khanh Nga'!$B241,[1]!Data_PL_Element[TenCongTyID],'Khanh Nga'!$B$1,[1]!Data_PL_Element[Thang.Nam],'Khanh Nga'!AB$198)</f>
        <v>0</v>
      </c>
      <c r="AC241" s="189">
        <f>SUMIFS([1]!Data_PL_Element[Value],[1]!Data_PL_Element[Index PL Element],'Khanh Nga'!$B241,[1]!Data_PL_Element[TenCongTyID],'Khanh Nga'!$B$1,[1]!Data_PL_Element[Thang.Nam],'Khanh Nga'!AC$198)</f>
        <v>0</v>
      </c>
      <c r="AD241" s="189">
        <f>SUMIFS([1]!Data_PL_Element[Value],[1]!Data_PL_Element[Index PL Element],'Khanh Nga'!$B241,[1]!Data_PL_Element[TenCongTyID],'Khanh Nga'!$B$1,[1]!Data_PL_Element[Thang.Nam],'Khanh Nga'!AD$198)</f>
        <v>0</v>
      </c>
      <c r="AE241" s="189">
        <f>SUMIFS([1]!Data_PL_Element[Value],[1]!Data_PL_Element[Index PL Element],'Khanh Nga'!$B241,[1]!Data_PL_Element[TenCongTyID],'Khanh Nga'!$B$1,[1]!Data_PL_Element[Thang.Nam],'Khanh Nga'!AE$198)</f>
        <v>0</v>
      </c>
      <c r="AF241" s="189">
        <f>SUMIFS([1]!Data_PL_Element[Value],[1]!Data_PL_Element[Index PL Element],'Khanh Nga'!$B241,[1]!Data_PL_Element[TenCongTyID],'Khanh Nga'!$B$1,[1]!Data_PL_Element[Thang.Nam],'Khanh Nga'!AF$198)</f>
        <v>0</v>
      </c>
      <c r="AG241" s="189">
        <f>SUMIFS([1]!Data_PL_Element[Value],[1]!Data_PL_Element[Index PL Element],'Khanh Nga'!$B241,[1]!Data_PL_Element[TenCongTyID],'Khanh Nga'!$B$1,[1]!Data_PL_Element[Thang.Nam],'Khanh Nga'!AG$198)</f>
        <v>0</v>
      </c>
      <c r="AH241" s="189">
        <f>SUMIFS([1]!Data_PL_Element[Value],[1]!Data_PL_Element[Index PL Element],'Khanh Nga'!$B241,[1]!Data_PL_Element[TenCongTyID],'Khanh Nga'!$B$1,[1]!Data_PL_Element[Thang.Nam],'Khanh Nga'!AH$198)</f>
        <v>0</v>
      </c>
      <c r="AI241" s="189">
        <f>SUMIFS([1]!Data_PL_Element[Value],[1]!Data_PL_Element[Index PL Element],'Khanh Nga'!$B241,[1]!Data_PL_Element[TenCongTyID],'Khanh Nga'!$B$1,[1]!Data_PL_Element[Thang.Nam],'Khanh Nga'!AI$198)</f>
        <v>0</v>
      </c>
      <c r="AJ241" s="189">
        <f>SUMIFS([1]!Data_PL_Element[Value],[1]!Data_PL_Element[Index PL Element],'Khanh Nga'!$B241,[1]!Data_PL_Element[TenCongTyID],'Khanh Nga'!$B$1,[1]!Data_PL_Element[Thang.Nam],'Khanh Nga'!AJ$198)</f>
        <v>0</v>
      </c>
      <c r="AK241" s="189">
        <f>SUMIFS([1]!Data_PL_Element[Value],[1]!Data_PL_Element[Index PL Element],'Khanh Nga'!$B241,[1]!Data_PL_Element[TenCongTyID],'Khanh Nga'!$B$1,[1]!Data_PL_Element[Thang.Nam],'Khanh Nga'!AK$198)</f>
        <v>0</v>
      </c>
      <c r="AL241" s="189">
        <f>SUMIFS([1]!Data_PL_Element[Value],[1]!Data_PL_Element[Index PL Element],'Khanh Nga'!$B241,[1]!Data_PL_Element[TenCongTyID],'Khanh Nga'!$B$1,[1]!Data_PL_Element[Thang.Nam],'Khanh Nga'!AL$198)</f>
        <v>0</v>
      </c>
    </row>
    <row r="242" spans="1:38" ht="15" customHeight="1">
      <c r="A242" s="190" t="s">
        <v>328</v>
      </c>
      <c r="B242" s="191">
        <v>44</v>
      </c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>
        <v>0</v>
      </c>
      <c r="AA242" s="189">
        <f>SUMIFS([1]!Data_PL_Element[Value],[1]!Data_PL_Element[Index PL Element],'Khanh Nga'!$B242,[1]!Data_PL_Element[TenCongTyID],'Khanh Nga'!$B$1,[1]!Data_PL_Element[Thang.Nam],'Khanh Nga'!AA$198)</f>
        <v>0</v>
      </c>
      <c r="AB242" s="189">
        <f>SUMIFS([1]!Data_PL_Element[Value],[1]!Data_PL_Element[Index PL Element],'Khanh Nga'!$B242,[1]!Data_PL_Element[TenCongTyID],'Khanh Nga'!$B$1,[1]!Data_PL_Element[Thang.Nam],'Khanh Nga'!AB$198)</f>
        <v>0</v>
      </c>
      <c r="AC242" s="189">
        <f>SUMIFS([1]!Data_PL_Element[Value],[1]!Data_PL_Element[Index PL Element],'Khanh Nga'!$B242,[1]!Data_PL_Element[TenCongTyID],'Khanh Nga'!$B$1,[1]!Data_PL_Element[Thang.Nam],'Khanh Nga'!AC$198)</f>
        <v>0</v>
      </c>
      <c r="AD242" s="189">
        <f>SUMIFS([1]!Data_PL_Element[Value],[1]!Data_PL_Element[Index PL Element],'Khanh Nga'!$B242,[1]!Data_PL_Element[TenCongTyID],'Khanh Nga'!$B$1,[1]!Data_PL_Element[Thang.Nam],'Khanh Nga'!AD$198)</f>
        <v>0</v>
      </c>
      <c r="AE242" s="189">
        <f>SUMIFS([1]!Data_PL_Element[Value],[1]!Data_PL_Element[Index PL Element],'Khanh Nga'!$B242,[1]!Data_PL_Element[TenCongTyID],'Khanh Nga'!$B$1,[1]!Data_PL_Element[Thang.Nam],'Khanh Nga'!AE$198)</f>
        <v>0</v>
      </c>
      <c r="AF242" s="189">
        <f>SUMIFS([1]!Data_PL_Element[Value],[1]!Data_PL_Element[Index PL Element],'Khanh Nga'!$B242,[1]!Data_PL_Element[TenCongTyID],'Khanh Nga'!$B$1,[1]!Data_PL_Element[Thang.Nam],'Khanh Nga'!AF$198)</f>
        <v>0</v>
      </c>
      <c r="AG242" s="189">
        <f>SUMIFS([1]!Data_PL_Element[Value],[1]!Data_PL_Element[Index PL Element],'Khanh Nga'!$B242,[1]!Data_PL_Element[TenCongTyID],'Khanh Nga'!$B$1,[1]!Data_PL_Element[Thang.Nam],'Khanh Nga'!AG$198)</f>
        <v>0</v>
      </c>
      <c r="AH242" s="189">
        <f>SUMIFS([1]!Data_PL_Element[Value],[1]!Data_PL_Element[Index PL Element],'Khanh Nga'!$B242,[1]!Data_PL_Element[TenCongTyID],'Khanh Nga'!$B$1,[1]!Data_PL_Element[Thang.Nam],'Khanh Nga'!AH$198)</f>
        <v>0</v>
      </c>
      <c r="AI242" s="189">
        <f>SUMIFS([1]!Data_PL_Element[Value],[1]!Data_PL_Element[Index PL Element],'Khanh Nga'!$B242,[1]!Data_PL_Element[TenCongTyID],'Khanh Nga'!$B$1,[1]!Data_PL_Element[Thang.Nam],'Khanh Nga'!AI$198)</f>
        <v>0</v>
      </c>
      <c r="AJ242" s="189">
        <f>SUMIFS([1]!Data_PL_Element[Value],[1]!Data_PL_Element[Index PL Element],'Khanh Nga'!$B242,[1]!Data_PL_Element[TenCongTyID],'Khanh Nga'!$B$1,[1]!Data_PL_Element[Thang.Nam],'Khanh Nga'!AJ$198)</f>
        <v>0</v>
      </c>
      <c r="AK242" s="189">
        <f>SUMIFS([1]!Data_PL_Element[Value],[1]!Data_PL_Element[Index PL Element],'Khanh Nga'!$B242,[1]!Data_PL_Element[TenCongTyID],'Khanh Nga'!$B$1,[1]!Data_PL_Element[Thang.Nam],'Khanh Nga'!AK$198)</f>
        <v>0</v>
      </c>
      <c r="AL242" s="189">
        <f>SUMIFS([1]!Data_PL_Element[Value],[1]!Data_PL_Element[Index PL Element],'Khanh Nga'!$B242,[1]!Data_PL_Element[TenCongTyID],'Khanh Nga'!$B$1,[1]!Data_PL_Element[Thang.Nam],'Khanh Nga'!AL$198)</f>
        <v>0</v>
      </c>
    </row>
    <row r="243" spans="1:38" ht="15" customHeight="1">
      <c r="A243" s="194" t="s">
        <v>329</v>
      </c>
      <c r="B243" s="171">
        <v>45</v>
      </c>
      <c r="C243" s="187">
        <f>IFERROR(C235/C207,"")</f>
        <v>1.9566499846180314E-2</v>
      </c>
      <c r="D243" s="187">
        <f t="shared" ref="D243:AL243" si="32">IFERROR(D235/D207,"")</f>
        <v>2.5345510136145638E-2</v>
      </c>
      <c r="E243" s="187">
        <f t="shared" si="32"/>
        <v>2.3351785485789991E-2</v>
      </c>
      <c r="F243" s="187">
        <f t="shared" si="32"/>
        <v>2.1174045806083799E-2</v>
      </c>
      <c r="G243" s="187">
        <f t="shared" si="32"/>
        <v>1.9293875324172163E-2</v>
      </c>
      <c r="H243" s="187">
        <f t="shared" si="32"/>
        <v>1.5529012347387787E-2</v>
      </c>
      <c r="I243" s="187">
        <f t="shared" si="32"/>
        <v>1.4560945490727197E-2</v>
      </c>
      <c r="J243" s="187">
        <f t="shared" si="32"/>
        <v>1.4985840466855931E-2</v>
      </c>
      <c r="K243" s="187">
        <f t="shared" si="32"/>
        <v>1.9081230917514447E-2</v>
      </c>
      <c r="L243" s="187">
        <f t="shared" si="32"/>
        <v>1.1150107737327926E-2</v>
      </c>
      <c r="M243" s="187">
        <f t="shared" si="32"/>
        <v>1.0735137559886256E-2</v>
      </c>
      <c r="N243" s="187">
        <f t="shared" si="32"/>
        <v>1.1188716309155773E-2</v>
      </c>
      <c r="O243" s="187">
        <f t="shared" si="32"/>
        <v>9.8790866185353345E-3</v>
      </c>
      <c r="P243" s="187">
        <f t="shared" si="32"/>
        <v>1.4063483669617214E-2</v>
      </c>
      <c r="Q243" s="187">
        <f t="shared" si="32"/>
        <v>1.2797933592570906E-2</v>
      </c>
      <c r="R243" s="187">
        <f t="shared" si="32"/>
        <v>1.3306396903198164E-2</v>
      </c>
      <c r="S243" s="187">
        <f t="shared" si="32"/>
        <v>1.3232639536553079E-2</v>
      </c>
      <c r="T243" s="187">
        <f t="shared" si="32"/>
        <v>1.2243282985547646E-2</v>
      </c>
      <c r="U243" s="187">
        <f t="shared" si="32"/>
        <v>1.2690739465459436E-2</v>
      </c>
      <c r="V243" s="187">
        <f t="shared" si="32"/>
        <v>1.3259096422623089E-2</v>
      </c>
      <c r="W243" s="187">
        <f t="shared" si="32"/>
        <v>1.4486725878925895E-2</v>
      </c>
      <c r="X243" s="187">
        <f t="shared" si="32"/>
        <v>1.496126780358485E-2</v>
      </c>
      <c r="Y243" s="187">
        <f t="shared" si="32"/>
        <v>1.5309112021748124E-2</v>
      </c>
      <c r="Z243" s="187">
        <v>1.5872592822957336E-2</v>
      </c>
      <c r="AA243" s="187">
        <f t="shared" si="32"/>
        <v>1.5310733004569983E-2</v>
      </c>
      <c r="AB243" s="187">
        <f t="shared" si="32"/>
        <v>1.5310733004569982E-2</v>
      </c>
      <c r="AC243" s="187">
        <f t="shared" si="32"/>
        <v>1.5310733004569982E-2</v>
      </c>
      <c r="AD243" s="187">
        <f t="shared" si="32"/>
        <v>1.5310733004569983E-2</v>
      </c>
      <c r="AE243" s="187">
        <f t="shared" si="32"/>
        <v>1.5310733004569983E-2</v>
      </c>
      <c r="AF243" s="187">
        <f t="shared" si="32"/>
        <v>1.5310733004569983E-2</v>
      </c>
      <c r="AG243" s="187">
        <f t="shared" si="32"/>
        <v>1.5310733004569983E-2</v>
      </c>
      <c r="AH243" s="187">
        <f t="shared" si="32"/>
        <v>1.5310733004569983E-2</v>
      </c>
      <c r="AI243" s="187">
        <f t="shared" si="32"/>
        <v>1.5310733004569983E-2</v>
      </c>
      <c r="AJ243" s="187">
        <f t="shared" si="32"/>
        <v>1.5310733004569983E-2</v>
      </c>
      <c r="AK243" s="187">
        <f t="shared" si="32"/>
        <v>1.5310733004569983E-2</v>
      </c>
      <c r="AL243" s="187">
        <f t="shared" si="32"/>
        <v>1.5310733004569983E-2</v>
      </c>
    </row>
    <row r="244" spans="1:38" ht="15" customHeight="1">
      <c r="A244" s="193" t="s">
        <v>330</v>
      </c>
      <c r="B244" s="146">
        <v>46</v>
      </c>
      <c r="C244" s="183">
        <f t="shared" ref="C244:AL244" si="33">C145</f>
        <v>108609904</v>
      </c>
      <c r="D244" s="183">
        <f t="shared" si="33"/>
        <v>112973768</v>
      </c>
      <c r="E244" s="183">
        <f t="shared" si="33"/>
        <v>101629977</v>
      </c>
      <c r="F244" s="183">
        <f t="shared" si="33"/>
        <v>115745156</v>
      </c>
      <c r="G244" s="183">
        <f t="shared" si="33"/>
        <v>112729162</v>
      </c>
      <c r="H244" s="183">
        <f t="shared" si="33"/>
        <v>120069599</v>
      </c>
      <c r="I244" s="183">
        <f t="shared" si="33"/>
        <v>160850671</v>
      </c>
      <c r="J244" s="183">
        <f t="shared" si="33"/>
        <v>405694070</v>
      </c>
      <c r="K244" s="183">
        <f t="shared" si="33"/>
        <v>233540627</v>
      </c>
      <c r="L244" s="183">
        <f t="shared" si="33"/>
        <v>92522618</v>
      </c>
      <c r="M244" s="183">
        <f t="shared" si="33"/>
        <v>230673757</v>
      </c>
      <c r="N244" s="183">
        <f t="shared" si="33"/>
        <v>203190535</v>
      </c>
      <c r="O244" s="183">
        <f t="shared" si="33"/>
        <v>352795333</v>
      </c>
      <c r="P244" s="183">
        <f t="shared" si="33"/>
        <v>295358943</v>
      </c>
      <c r="Q244" s="183">
        <f t="shared" si="33"/>
        <v>271063548</v>
      </c>
      <c r="R244" s="183">
        <f t="shared" si="33"/>
        <v>313168414</v>
      </c>
      <c r="S244" s="183">
        <f t="shared" si="33"/>
        <v>312964157</v>
      </c>
      <c r="T244" s="183">
        <f t="shared" si="33"/>
        <v>275253185</v>
      </c>
      <c r="U244" s="183">
        <f t="shared" si="33"/>
        <v>348145066</v>
      </c>
      <c r="V244" s="183">
        <f t="shared" si="33"/>
        <v>329900505</v>
      </c>
      <c r="W244" s="183">
        <f t="shared" si="33"/>
        <v>317487600</v>
      </c>
      <c r="X244" s="183">
        <f t="shared" si="33"/>
        <v>350884750</v>
      </c>
      <c r="Y244" s="183">
        <f t="shared" si="33"/>
        <v>369111823</v>
      </c>
      <c r="Z244" s="183">
        <v>661147544</v>
      </c>
      <c r="AA244" s="183">
        <f t="shared" si="33"/>
        <v>471536610.03414291</v>
      </c>
      <c r="AB244" s="183">
        <f t="shared" si="33"/>
        <v>499621200.03414291</v>
      </c>
      <c r="AC244" s="183">
        <f t="shared" si="33"/>
        <v>438001005.03414291</v>
      </c>
      <c r="AD244" s="183">
        <f t="shared" si="33"/>
        <v>441430006.03414291</v>
      </c>
      <c r="AE244" s="183">
        <f t="shared" si="33"/>
        <v>440990570.03414291</v>
      </c>
      <c r="AF244" s="183">
        <f t="shared" si="33"/>
        <v>437891777.03414291</v>
      </c>
      <c r="AG244" s="183">
        <f t="shared" si="33"/>
        <v>437665344.03414291</v>
      </c>
      <c r="AH244" s="183">
        <f t="shared" si="33"/>
        <v>493579860.03414291</v>
      </c>
      <c r="AI244" s="183">
        <f t="shared" si="33"/>
        <v>435408150.03414291</v>
      </c>
      <c r="AJ244" s="183">
        <f t="shared" si="33"/>
        <v>442013302.03414291</v>
      </c>
      <c r="AK244" s="183">
        <f t="shared" si="33"/>
        <v>434477238.03414291</v>
      </c>
      <c r="AL244" s="183">
        <f t="shared" si="33"/>
        <v>441205120.03414291</v>
      </c>
    </row>
    <row r="245" spans="1:38" ht="15" customHeight="1">
      <c r="A245" s="190" t="s">
        <v>331</v>
      </c>
      <c r="B245" s="191">
        <v>47</v>
      </c>
      <c r="C245" s="189">
        <v>61371154</v>
      </c>
      <c r="D245" s="189">
        <v>61925000</v>
      </c>
      <c r="E245" s="189">
        <v>59650000</v>
      </c>
      <c r="F245" s="189">
        <v>77350000</v>
      </c>
      <c r="G245" s="189">
        <v>77400000</v>
      </c>
      <c r="H245" s="189">
        <v>76875000</v>
      </c>
      <c r="I245" s="189">
        <v>74600000</v>
      </c>
      <c r="J245" s="189">
        <v>79676923</v>
      </c>
      <c r="K245" s="189">
        <v>71042308</v>
      </c>
      <c r="L245" s="189">
        <v>55550000</v>
      </c>
      <c r="M245" s="189">
        <v>144220455</v>
      </c>
      <c r="N245" s="189">
        <v>148650000</v>
      </c>
      <c r="O245" s="189">
        <v>190705181</v>
      </c>
      <c r="P245" s="189">
        <v>193716888</v>
      </c>
      <c r="Q245" s="189">
        <v>171808909</v>
      </c>
      <c r="R245" s="189">
        <v>209656919</v>
      </c>
      <c r="S245" s="189">
        <v>190102972</v>
      </c>
      <c r="T245" s="189">
        <v>165743660</v>
      </c>
      <c r="U245" s="189">
        <v>163581380</v>
      </c>
      <c r="V245" s="189">
        <v>177224222</v>
      </c>
      <c r="W245" s="189">
        <v>169296094</v>
      </c>
      <c r="X245" s="189">
        <v>201480122</v>
      </c>
      <c r="Y245" s="189">
        <v>209326014</v>
      </c>
      <c r="Z245" s="189">
        <v>239877299</v>
      </c>
      <c r="AA245" s="189">
        <f>SUMIFS([1]!Data_PL_Element[Value],[1]!Data_PL_Element[Index PL Element],'Khanh Nga'!$B245,[1]!Data_PL_Element[TenCongTyID],'Khanh Nga'!$B$1,[1]!Data_PL_Element[Thang.Nam],'Khanh Nga'!AA$198)</f>
        <v>0</v>
      </c>
      <c r="AB245" s="189">
        <f>SUMIFS([1]!Data_PL_Element[Value],[1]!Data_PL_Element[Index PL Element],'Khanh Nga'!$B245,[1]!Data_PL_Element[TenCongTyID],'Khanh Nga'!$B$1,[1]!Data_PL_Element[Thang.Nam],'Khanh Nga'!AB$198)</f>
        <v>0</v>
      </c>
      <c r="AC245" s="189">
        <f>SUMIFS([1]!Data_PL_Element[Value],[1]!Data_PL_Element[Index PL Element],'Khanh Nga'!$B245,[1]!Data_PL_Element[TenCongTyID],'Khanh Nga'!$B$1,[1]!Data_PL_Element[Thang.Nam],'Khanh Nga'!AC$198)</f>
        <v>0</v>
      </c>
      <c r="AD245" s="189">
        <f>SUMIFS([1]!Data_PL_Element[Value],[1]!Data_PL_Element[Index PL Element],'Khanh Nga'!$B245,[1]!Data_PL_Element[TenCongTyID],'Khanh Nga'!$B$1,[1]!Data_PL_Element[Thang.Nam],'Khanh Nga'!AD$198)</f>
        <v>0</v>
      </c>
      <c r="AE245" s="189">
        <f>SUMIFS([1]!Data_PL_Element[Value],[1]!Data_PL_Element[Index PL Element],'Khanh Nga'!$B245,[1]!Data_PL_Element[TenCongTyID],'Khanh Nga'!$B$1,[1]!Data_PL_Element[Thang.Nam],'Khanh Nga'!AE$198)</f>
        <v>0</v>
      </c>
      <c r="AF245" s="189">
        <f>SUMIFS([1]!Data_PL_Element[Value],[1]!Data_PL_Element[Index PL Element],'Khanh Nga'!$B245,[1]!Data_PL_Element[TenCongTyID],'Khanh Nga'!$B$1,[1]!Data_PL_Element[Thang.Nam],'Khanh Nga'!AF$198)</f>
        <v>0</v>
      </c>
      <c r="AG245" s="189">
        <f>SUMIFS([1]!Data_PL_Element[Value],[1]!Data_PL_Element[Index PL Element],'Khanh Nga'!$B245,[1]!Data_PL_Element[TenCongTyID],'Khanh Nga'!$B$1,[1]!Data_PL_Element[Thang.Nam],'Khanh Nga'!AG$198)</f>
        <v>0</v>
      </c>
      <c r="AH245" s="189">
        <f>SUMIFS([1]!Data_PL_Element[Value],[1]!Data_PL_Element[Index PL Element],'Khanh Nga'!$B245,[1]!Data_PL_Element[TenCongTyID],'Khanh Nga'!$B$1,[1]!Data_PL_Element[Thang.Nam],'Khanh Nga'!AH$198)</f>
        <v>0</v>
      </c>
      <c r="AI245" s="189">
        <f>SUMIFS([1]!Data_PL_Element[Value],[1]!Data_PL_Element[Index PL Element],'Khanh Nga'!$B245,[1]!Data_PL_Element[TenCongTyID],'Khanh Nga'!$B$1,[1]!Data_PL_Element[Thang.Nam],'Khanh Nga'!AI$198)</f>
        <v>0</v>
      </c>
      <c r="AJ245" s="189">
        <f>SUMIFS([1]!Data_PL_Element[Value],[1]!Data_PL_Element[Index PL Element],'Khanh Nga'!$B245,[1]!Data_PL_Element[TenCongTyID],'Khanh Nga'!$B$1,[1]!Data_PL_Element[Thang.Nam],'Khanh Nga'!AJ$198)</f>
        <v>0</v>
      </c>
      <c r="AK245" s="189">
        <f>SUMIFS([1]!Data_PL_Element[Value],[1]!Data_PL_Element[Index PL Element],'Khanh Nga'!$B245,[1]!Data_PL_Element[TenCongTyID],'Khanh Nga'!$B$1,[1]!Data_PL_Element[Thang.Nam],'Khanh Nga'!AK$198)</f>
        <v>0</v>
      </c>
      <c r="AL245" s="189">
        <f>SUMIFS([1]!Data_PL_Element[Value],[1]!Data_PL_Element[Index PL Element],'Khanh Nga'!$B245,[1]!Data_PL_Element[TenCongTyID],'Khanh Nga'!$B$1,[1]!Data_PL_Element[Thang.Nam],'Khanh Nga'!AL$198)</f>
        <v>0</v>
      </c>
    </row>
    <row r="246" spans="1:38" ht="15" customHeight="1">
      <c r="A246" s="190" t="s">
        <v>332</v>
      </c>
      <c r="B246" s="191">
        <v>48</v>
      </c>
      <c r="C246" s="189">
        <v>22751960</v>
      </c>
      <c r="D246" s="189">
        <v>22975960</v>
      </c>
      <c r="E246" s="189">
        <v>22975960</v>
      </c>
      <c r="F246" s="189">
        <v>28120949</v>
      </c>
      <c r="G246" s="189">
        <v>24199620</v>
      </c>
      <c r="H246" s="189">
        <v>28570949</v>
      </c>
      <c r="I246" s="189">
        <v>37830949</v>
      </c>
      <c r="J246" s="189">
        <v>32261942</v>
      </c>
      <c r="K246" s="189">
        <v>26577953</v>
      </c>
      <c r="L246" s="189">
        <v>23403955</v>
      </c>
      <c r="M246" s="189">
        <v>48267490</v>
      </c>
      <c r="N246" s="189">
        <v>108995604</v>
      </c>
      <c r="O246" s="189">
        <v>53432537</v>
      </c>
      <c r="P246" s="189">
        <v>56766127</v>
      </c>
      <c r="Q246" s="189">
        <v>53615143</v>
      </c>
      <c r="R246" s="189">
        <v>56314126</v>
      </c>
      <c r="S246" s="189">
        <v>52461643</v>
      </c>
      <c r="T246" s="189">
        <v>56883433</v>
      </c>
      <c r="U246" s="189">
        <v>59041136</v>
      </c>
      <c r="V246" s="189">
        <v>58234133</v>
      </c>
      <c r="W246" s="189">
        <v>55222804</v>
      </c>
      <c r="X246" s="189">
        <v>61736478</v>
      </c>
      <c r="Y246" s="189">
        <v>79655236</v>
      </c>
      <c r="Z246" s="189">
        <v>292914531</v>
      </c>
      <c r="AA246" s="189">
        <f>SUMIFS([1]!Data_PL_Element[Value],[1]!Data_PL_Element[Index PL Element],'Khanh Nga'!$B246,[1]!Data_PL_Element[TenCongTyID],'Khanh Nga'!$B$1,[1]!Data_PL_Element[Thang.Nam],'Khanh Nga'!AA$198)</f>
        <v>0</v>
      </c>
      <c r="AB246" s="189">
        <f>SUMIFS([1]!Data_PL_Element[Value],[1]!Data_PL_Element[Index PL Element],'Khanh Nga'!$B246,[1]!Data_PL_Element[TenCongTyID],'Khanh Nga'!$B$1,[1]!Data_PL_Element[Thang.Nam],'Khanh Nga'!AB$198)</f>
        <v>0</v>
      </c>
      <c r="AC246" s="189">
        <f>SUMIFS([1]!Data_PL_Element[Value],[1]!Data_PL_Element[Index PL Element],'Khanh Nga'!$B246,[1]!Data_PL_Element[TenCongTyID],'Khanh Nga'!$B$1,[1]!Data_PL_Element[Thang.Nam],'Khanh Nga'!AC$198)</f>
        <v>0</v>
      </c>
      <c r="AD246" s="189">
        <f>SUMIFS([1]!Data_PL_Element[Value],[1]!Data_PL_Element[Index PL Element],'Khanh Nga'!$B246,[1]!Data_PL_Element[TenCongTyID],'Khanh Nga'!$B$1,[1]!Data_PL_Element[Thang.Nam],'Khanh Nga'!AD$198)</f>
        <v>0</v>
      </c>
      <c r="AE246" s="189">
        <f>SUMIFS([1]!Data_PL_Element[Value],[1]!Data_PL_Element[Index PL Element],'Khanh Nga'!$B246,[1]!Data_PL_Element[TenCongTyID],'Khanh Nga'!$B$1,[1]!Data_PL_Element[Thang.Nam],'Khanh Nga'!AE$198)</f>
        <v>0</v>
      </c>
      <c r="AF246" s="189">
        <f>SUMIFS([1]!Data_PL_Element[Value],[1]!Data_PL_Element[Index PL Element],'Khanh Nga'!$B246,[1]!Data_PL_Element[TenCongTyID],'Khanh Nga'!$B$1,[1]!Data_PL_Element[Thang.Nam],'Khanh Nga'!AF$198)</f>
        <v>0</v>
      </c>
      <c r="AG246" s="189">
        <f>SUMIFS([1]!Data_PL_Element[Value],[1]!Data_PL_Element[Index PL Element],'Khanh Nga'!$B246,[1]!Data_PL_Element[TenCongTyID],'Khanh Nga'!$B$1,[1]!Data_PL_Element[Thang.Nam],'Khanh Nga'!AG$198)</f>
        <v>0</v>
      </c>
      <c r="AH246" s="189">
        <f>SUMIFS([1]!Data_PL_Element[Value],[1]!Data_PL_Element[Index PL Element],'Khanh Nga'!$B246,[1]!Data_PL_Element[TenCongTyID],'Khanh Nga'!$B$1,[1]!Data_PL_Element[Thang.Nam],'Khanh Nga'!AH$198)</f>
        <v>0</v>
      </c>
      <c r="AI246" s="189">
        <f>SUMIFS([1]!Data_PL_Element[Value],[1]!Data_PL_Element[Index PL Element],'Khanh Nga'!$B246,[1]!Data_PL_Element[TenCongTyID],'Khanh Nga'!$B$1,[1]!Data_PL_Element[Thang.Nam],'Khanh Nga'!AI$198)</f>
        <v>0</v>
      </c>
      <c r="AJ246" s="189">
        <f>SUMIFS([1]!Data_PL_Element[Value],[1]!Data_PL_Element[Index PL Element],'Khanh Nga'!$B246,[1]!Data_PL_Element[TenCongTyID],'Khanh Nga'!$B$1,[1]!Data_PL_Element[Thang.Nam],'Khanh Nga'!AJ$198)</f>
        <v>0</v>
      </c>
      <c r="AK246" s="189">
        <f>SUMIFS([1]!Data_PL_Element[Value],[1]!Data_PL_Element[Index PL Element],'Khanh Nga'!$B246,[1]!Data_PL_Element[TenCongTyID],'Khanh Nga'!$B$1,[1]!Data_PL_Element[Thang.Nam],'Khanh Nga'!AK$198)</f>
        <v>0</v>
      </c>
      <c r="AL246" s="189">
        <f>SUMIFS([1]!Data_PL_Element[Value],[1]!Data_PL_Element[Index PL Element],'Khanh Nga'!$B246,[1]!Data_PL_Element[TenCongTyID],'Khanh Nga'!$B$1,[1]!Data_PL_Element[Thang.Nam],'Khanh Nga'!AL$198)</f>
        <v>0</v>
      </c>
    </row>
    <row r="247" spans="1:38" ht="15" customHeight="1">
      <c r="A247" s="190" t="s">
        <v>333</v>
      </c>
      <c r="B247" s="191">
        <v>49</v>
      </c>
      <c r="C247" s="189">
        <v>0</v>
      </c>
      <c r="D247" s="189">
        <v>0</v>
      </c>
      <c r="E247" s="189">
        <v>0</v>
      </c>
      <c r="F247" s="189">
        <v>0</v>
      </c>
      <c r="G247" s="189">
        <v>0</v>
      </c>
      <c r="H247" s="189">
        <v>0</v>
      </c>
      <c r="I247" s="189">
        <v>0</v>
      </c>
      <c r="J247" s="189">
        <v>0</v>
      </c>
      <c r="K247" s="189">
        <v>0</v>
      </c>
      <c r="L247" s="189">
        <v>0</v>
      </c>
      <c r="M247" s="189"/>
      <c r="N247" s="189">
        <v>0</v>
      </c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>
        <v>0</v>
      </c>
      <c r="AA247" s="189">
        <f>SUMIFS([1]!Data_PL_Element[Value],[1]!Data_PL_Element[Index PL Element],'Khanh Nga'!$B247,[1]!Data_PL_Element[TenCongTyID],'Khanh Nga'!$B$1,[1]!Data_PL_Element[Thang.Nam],'Khanh Nga'!AA$198)</f>
        <v>0</v>
      </c>
      <c r="AB247" s="189">
        <f>SUMIFS([1]!Data_PL_Element[Value],[1]!Data_PL_Element[Index PL Element],'Khanh Nga'!$B247,[1]!Data_PL_Element[TenCongTyID],'Khanh Nga'!$B$1,[1]!Data_PL_Element[Thang.Nam],'Khanh Nga'!AB$198)</f>
        <v>0</v>
      </c>
      <c r="AC247" s="189">
        <f>SUMIFS([1]!Data_PL_Element[Value],[1]!Data_PL_Element[Index PL Element],'Khanh Nga'!$B247,[1]!Data_PL_Element[TenCongTyID],'Khanh Nga'!$B$1,[1]!Data_PL_Element[Thang.Nam],'Khanh Nga'!AC$198)</f>
        <v>0</v>
      </c>
      <c r="AD247" s="189">
        <f>SUMIFS([1]!Data_PL_Element[Value],[1]!Data_PL_Element[Index PL Element],'Khanh Nga'!$B247,[1]!Data_PL_Element[TenCongTyID],'Khanh Nga'!$B$1,[1]!Data_PL_Element[Thang.Nam],'Khanh Nga'!AD$198)</f>
        <v>0</v>
      </c>
      <c r="AE247" s="189">
        <f>SUMIFS([1]!Data_PL_Element[Value],[1]!Data_PL_Element[Index PL Element],'Khanh Nga'!$B247,[1]!Data_PL_Element[TenCongTyID],'Khanh Nga'!$B$1,[1]!Data_PL_Element[Thang.Nam],'Khanh Nga'!AE$198)</f>
        <v>0</v>
      </c>
      <c r="AF247" s="189">
        <f>SUMIFS([1]!Data_PL_Element[Value],[1]!Data_PL_Element[Index PL Element],'Khanh Nga'!$B247,[1]!Data_PL_Element[TenCongTyID],'Khanh Nga'!$B$1,[1]!Data_PL_Element[Thang.Nam],'Khanh Nga'!AF$198)</f>
        <v>0</v>
      </c>
      <c r="AG247" s="189">
        <f>SUMIFS([1]!Data_PL_Element[Value],[1]!Data_PL_Element[Index PL Element],'Khanh Nga'!$B247,[1]!Data_PL_Element[TenCongTyID],'Khanh Nga'!$B$1,[1]!Data_PL_Element[Thang.Nam],'Khanh Nga'!AG$198)</f>
        <v>0</v>
      </c>
      <c r="AH247" s="189">
        <f>SUMIFS([1]!Data_PL_Element[Value],[1]!Data_PL_Element[Index PL Element],'Khanh Nga'!$B247,[1]!Data_PL_Element[TenCongTyID],'Khanh Nga'!$B$1,[1]!Data_PL_Element[Thang.Nam],'Khanh Nga'!AH$198)</f>
        <v>0</v>
      </c>
      <c r="AI247" s="189">
        <f>SUMIFS([1]!Data_PL_Element[Value],[1]!Data_PL_Element[Index PL Element],'Khanh Nga'!$B247,[1]!Data_PL_Element[TenCongTyID],'Khanh Nga'!$B$1,[1]!Data_PL_Element[Thang.Nam],'Khanh Nga'!AI$198)</f>
        <v>0</v>
      </c>
      <c r="AJ247" s="189">
        <f>SUMIFS([1]!Data_PL_Element[Value],[1]!Data_PL_Element[Index PL Element],'Khanh Nga'!$B247,[1]!Data_PL_Element[TenCongTyID],'Khanh Nga'!$B$1,[1]!Data_PL_Element[Thang.Nam],'Khanh Nga'!AJ$198)</f>
        <v>0</v>
      </c>
      <c r="AK247" s="189">
        <f>SUMIFS([1]!Data_PL_Element[Value],[1]!Data_PL_Element[Index PL Element],'Khanh Nga'!$B247,[1]!Data_PL_Element[TenCongTyID],'Khanh Nga'!$B$1,[1]!Data_PL_Element[Thang.Nam],'Khanh Nga'!AK$198)</f>
        <v>0</v>
      </c>
      <c r="AL247" s="189">
        <f>SUMIFS([1]!Data_PL_Element[Value],[1]!Data_PL_Element[Index PL Element],'Khanh Nga'!$B247,[1]!Data_PL_Element[TenCongTyID],'Khanh Nga'!$B$1,[1]!Data_PL_Element[Thang.Nam],'Khanh Nga'!AL$198)</f>
        <v>0</v>
      </c>
    </row>
    <row r="248" spans="1:38" ht="15" customHeight="1">
      <c r="A248" s="190" t="s">
        <v>334</v>
      </c>
      <c r="B248" s="191">
        <v>50</v>
      </c>
      <c r="C248" s="189">
        <v>24486790</v>
      </c>
      <c r="D248" s="189">
        <v>28072808</v>
      </c>
      <c r="E248" s="189">
        <v>19004017</v>
      </c>
      <c r="F248" s="189">
        <v>10274207</v>
      </c>
      <c r="G248" s="189">
        <v>11129542</v>
      </c>
      <c r="H248" s="189">
        <v>14623650</v>
      </c>
      <c r="I248" s="189">
        <v>48419722</v>
      </c>
      <c r="J248" s="189">
        <v>293755205</v>
      </c>
      <c r="K248" s="189">
        <v>135920366</v>
      </c>
      <c r="L248" s="189">
        <v>45094613</v>
      </c>
      <c r="M248" s="189">
        <v>38185812</v>
      </c>
      <c r="N248" s="189">
        <v>-54455069</v>
      </c>
      <c r="O248" s="189">
        <v>108657615</v>
      </c>
      <c r="P248" s="189">
        <v>44875928</v>
      </c>
      <c r="Q248" s="189">
        <v>45639496</v>
      </c>
      <c r="R248" s="189">
        <v>47197369</v>
      </c>
      <c r="S248" s="189">
        <v>70399542</v>
      </c>
      <c r="T248" s="189">
        <v>52626092</v>
      </c>
      <c r="U248" s="189">
        <v>125522550</v>
      </c>
      <c r="V248" s="189">
        <v>94442150</v>
      </c>
      <c r="W248" s="189">
        <v>92968702</v>
      </c>
      <c r="X248" s="189">
        <v>87668150</v>
      </c>
      <c r="Y248" s="189">
        <v>80130573</v>
      </c>
      <c r="Z248" s="189">
        <v>128355714</v>
      </c>
      <c r="AA248" s="189">
        <f>SUMIFS([1]!Data_PL_Element[Value],[1]!Data_PL_Element[Index PL Element],'Khanh Nga'!$B248,[1]!Data_PL_Element[TenCongTyID],'Khanh Nga'!$B$1,[1]!Data_PL_Element[Thang.Nam],'Khanh Nga'!AA$198)</f>
        <v>0</v>
      </c>
      <c r="AB248" s="189">
        <f>SUMIFS([1]!Data_PL_Element[Value],[1]!Data_PL_Element[Index PL Element],'Khanh Nga'!$B248,[1]!Data_PL_Element[TenCongTyID],'Khanh Nga'!$B$1,[1]!Data_PL_Element[Thang.Nam],'Khanh Nga'!AB$198)</f>
        <v>0</v>
      </c>
      <c r="AC248" s="189">
        <f>SUMIFS([1]!Data_PL_Element[Value],[1]!Data_PL_Element[Index PL Element],'Khanh Nga'!$B248,[1]!Data_PL_Element[TenCongTyID],'Khanh Nga'!$B$1,[1]!Data_PL_Element[Thang.Nam],'Khanh Nga'!AC$198)</f>
        <v>0</v>
      </c>
      <c r="AD248" s="189">
        <f>SUMIFS([1]!Data_PL_Element[Value],[1]!Data_PL_Element[Index PL Element],'Khanh Nga'!$B248,[1]!Data_PL_Element[TenCongTyID],'Khanh Nga'!$B$1,[1]!Data_PL_Element[Thang.Nam],'Khanh Nga'!AD$198)</f>
        <v>0</v>
      </c>
      <c r="AE248" s="189">
        <f>SUMIFS([1]!Data_PL_Element[Value],[1]!Data_PL_Element[Index PL Element],'Khanh Nga'!$B248,[1]!Data_PL_Element[TenCongTyID],'Khanh Nga'!$B$1,[1]!Data_PL_Element[Thang.Nam],'Khanh Nga'!AE$198)</f>
        <v>0</v>
      </c>
      <c r="AF248" s="189">
        <f>SUMIFS([1]!Data_PL_Element[Value],[1]!Data_PL_Element[Index PL Element],'Khanh Nga'!$B248,[1]!Data_PL_Element[TenCongTyID],'Khanh Nga'!$B$1,[1]!Data_PL_Element[Thang.Nam],'Khanh Nga'!AF$198)</f>
        <v>0</v>
      </c>
      <c r="AG248" s="189">
        <f>SUMIFS([1]!Data_PL_Element[Value],[1]!Data_PL_Element[Index PL Element],'Khanh Nga'!$B248,[1]!Data_PL_Element[TenCongTyID],'Khanh Nga'!$B$1,[1]!Data_PL_Element[Thang.Nam],'Khanh Nga'!AG$198)</f>
        <v>0</v>
      </c>
      <c r="AH248" s="189">
        <f>SUMIFS([1]!Data_PL_Element[Value],[1]!Data_PL_Element[Index PL Element],'Khanh Nga'!$B248,[1]!Data_PL_Element[TenCongTyID],'Khanh Nga'!$B$1,[1]!Data_PL_Element[Thang.Nam],'Khanh Nga'!AH$198)</f>
        <v>0</v>
      </c>
      <c r="AI248" s="189">
        <f>SUMIFS([1]!Data_PL_Element[Value],[1]!Data_PL_Element[Index PL Element],'Khanh Nga'!$B248,[1]!Data_PL_Element[TenCongTyID],'Khanh Nga'!$B$1,[1]!Data_PL_Element[Thang.Nam],'Khanh Nga'!AI$198)</f>
        <v>0</v>
      </c>
      <c r="AJ248" s="189">
        <f>SUMIFS([1]!Data_PL_Element[Value],[1]!Data_PL_Element[Index PL Element],'Khanh Nga'!$B248,[1]!Data_PL_Element[TenCongTyID],'Khanh Nga'!$B$1,[1]!Data_PL_Element[Thang.Nam],'Khanh Nga'!AJ$198)</f>
        <v>0</v>
      </c>
      <c r="AK248" s="189">
        <f>SUMIFS([1]!Data_PL_Element[Value],[1]!Data_PL_Element[Index PL Element],'Khanh Nga'!$B248,[1]!Data_PL_Element[TenCongTyID],'Khanh Nga'!$B$1,[1]!Data_PL_Element[Thang.Nam],'Khanh Nga'!AK$198)</f>
        <v>0</v>
      </c>
      <c r="AL248" s="189">
        <f>SUMIFS([1]!Data_PL_Element[Value],[1]!Data_PL_Element[Index PL Element],'Khanh Nga'!$B248,[1]!Data_PL_Element[TenCongTyID],'Khanh Nga'!$B$1,[1]!Data_PL_Element[Thang.Nam],'Khanh Nga'!AL$198)</f>
        <v>0</v>
      </c>
    </row>
    <row r="249" spans="1:38" ht="15" customHeight="1">
      <c r="A249" s="194" t="s">
        <v>335</v>
      </c>
      <c r="B249" s="171">
        <v>51</v>
      </c>
      <c r="C249" s="187">
        <f t="shared" ref="C249:AL249" si="34">IFERROR(C244/C207,"")</f>
        <v>1.5933373646520713E-2</v>
      </c>
      <c r="D249" s="187">
        <f t="shared" si="34"/>
        <v>1.8705509646046836E-2</v>
      </c>
      <c r="E249" s="187">
        <f t="shared" si="34"/>
        <v>1.2933195759290304E-2</v>
      </c>
      <c r="F249" s="187">
        <f t="shared" si="34"/>
        <v>2.1592891938117312E-2</v>
      </c>
      <c r="G249" s="187">
        <f t="shared" si="34"/>
        <v>1.4636489885776623E-2</v>
      </c>
      <c r="H249" s="187">
        <f t="shared" si="34"/>
        <v>1.6213585090581743E-2</v>
      </c>
      <c r="I249" s="187">
        <f t="shared" si="34"/>
        <v>3.0027408366383256E-2</v>
      </c>
      <c r="J249" s="187">
        <f t="shared" si="34"/>
        <v>6.9087120583744124E-2</v>
      </c>
      <c r="K249" s="187">
        <f t="shared" si="34"/>
        <v>5.0409984529503502E-2</v>
      </c>
      <c r="L249" s="187">
        <f t="shared" si="34"/>
        <v>1.4509664681288833E-2</v>
      </c>
      <c r="M249" s="187">
        <f t="shared" si="34"/>
        <v>3.8392473067453879E-2</v>
      </c>
      <c r="N249" s="187">
        <f t="shared" si="34"/>
        <v>3.9884934260010302E-2</v>
      </c>
      <c r="O249" s="187">
        <f t="shared" si="34"/>
        <v>9.2941217421920463E-2</v>
      </c>
      <c r="P249" s="187">
        <f t="shared" si="34"/>
        <v>5.8918803851856758E-2</v>
      </c>
      <c r="Q249" s="187">
        <f t="shared" si="34"/>
        <v>3.3517423059619869E-2</v>
      </c>
      <c r="R249" s="187">
        <f t="shared" si="34"/>
        <v>3.2303435769217681E-2</v>
      </c>
      <c r="S249" s="187">
        <f t="shared" si="34"/>
        <v>3.7309386283263107E-2</v>
      </c>
      <c r="T249" s="187">
        <f t="shared" si="34"/>
        <v>2.8927061258612007E-2</v>
      </c>
      <c r="U249" s="187">
        <f t="shared" si="34"/>
        <v>2.5612859877050319E-2</v>
      </c>
      <c r="V249" s="187">
        <f t="shared" si="34"/>
        <v>2.6558485766041594E-2</v>
      </c>
      <c r="W249" s="187">
        <f t="shared" si="34"/>
        <v>3.6045108394655745E-2</v>
      </c>
      <c r="X249" s="187">
        <f t="shared" si="34"/>
        <v>4.5451781064449512E-2</v>
      </c>
      <c r="Y249" s="187">
        <f t="shared" si="34"/>
        <v>5.6507742468586662E-2</v>
      </c>
      <c r="Z249" s="187">
        <v>7.6044389578335272E-2</v>
      </c>
      <c r="AA249" s="187">
        <f t="shared" si="34"/>
        <v>6.3127847063630727E-2</v>
      </c>
      <c r="AB249" s="187">
        <f t="shared" si="34"/>
        <v>8.9183632219547879E-2</v>
      </c>
      <c r="AC249" s="187">
        <f t="shared" si="34"/>
        <v>5.4127573954457303E-2</v>
      </c>
      <c r="AD249" s="187">
        <f t="shared" si="34"/>
        <v>5.065480204305399E-2</v>
      </c>
      <c r="AE249" s="187">
        <f t="shared" si="34"/>
        <v>5.0604376056405338E-2</v>
      </c>
      <c r="AF249" s="187">
        <f t="shared" si="34"/>
        <v>5.0248784583597168E-2</v>
      </c>
      <c r="AG249" s="187">
        <f t="shared" si="34"/>
        <v>5.022280103323986E-2</v>
      </c>
      <c r="AH249" s="187">
        <f t="shared" si="34"/>
        <v>5.6639081532065087E-2</v>
      </c>
      <c r="AI249" s="187">
        <f t="shared" si="34"/>
        <v>4.9963784397125809E-2</v>
      </c>
      <c r="AJ249" s="187">
        <f t="shared" si="34"/>
        <v>5.0721736195713789E-2</v>
      </c>
      <c r="AK249" s="187">
        <f t="shared" si="34"/>
        <v>4.98569607502624E-2</v>
      </c>
      <c r="AL249" s="187">
        <f t="shared" si="34"/>
        <v>5.0628996013430863E-2</v>
      </c>
    </row>
    <row r="250" spans="1:38" ht="15" customHeight="1">
      <c r="A250" s="193" t="s">
        <v>336</v>
      </c>
      <c r="B250" s="146">
        <v>52</v>
      </c>
      <c r="C250" s="186">
        <f t="shared" ref="C250:Y251" si="35">C142</f>
        <v>0</v>
      </c>
      <c r="D250" s="186">
        <f t="shared" si="35"/>
        <v>0</v>
      </c>
      <c r="E250" s="186">
        <f t="shared" si="35"/>
        <v>0</v>
      </c>
      <c r="F250" s="186">
        <f t="shared" si="35"/>
        <v>0</v>
      </c>
      <c r="G250" s="186">
        <f t="shared" si="35"/>
        <v>0</v>
      </c>
      <c r="H250" s="186">
        <f t="shared" si="35"/>
        <v>0</v>
      </c>
      <c r="I250" s="186">
        <f t="shared" si="35"/>
        <v>0</v>
      </c>
      <c r="J250" s="186">
        <f t="shared" si="35"/>
        <v>0</v>
      </c>
      <c r="K250" s="186">
        <f t="shared" si="35"/>
        <v>0</v>
      </c>
      <c r="L250" s="186">
        <f t="shared" si="35"/>
        <v>0</v>
      </c>
      <c r="M250" s="186">
        <f t="shared" si="35"/>
        <v>0</v>
      </c>
      <c r="N250" s="186">
        <f t="shared" si="35"/>
        <v>0</v>
      </c>
      <c r="O250" s="186">
        <f t="shared" si="35"/>
        <v>0</v>
      </c>
      <c r="P250" s="186">
        <f t="shared" si="35"/>
        <v>0</v>
      </c>
      <c r="Q250" s="186">
        <f t="shared" si="35"/>
        <v>0</v>
      </c>
      <c r="R250" s="186">
        <f t="shared" si="35"/>
        <v>0</v>
      </c>
      <c r="S250" s="186">
        <f t="shared" si="35"/>
        <v>0</v>
      </c>
      <c r="T250" s="186">
        <f t="shared" si="35"/>
        <v>0</v>
      </c>
      <c r="U250" s="186">
        <f t="shared" si="35"/>
        <v>0</v>
      </c>
      <c r="V250" s="186">
        <f t="shared" si="35"/>
        <v>0</v>
      </c>
      <c r="W250" s="186">
        <f t="shared" si="35"/>
        <v>0</v>
      </c>
      <c r="X250" s="186">
        <f t="shared" si="35"/>
        <v>0</v>
      </c>
      <c r="Y250" s="186">
        <f t="shared" si="35"/>
        <v>0</v>
      </c>
      <c r="Z250" s="186">
        <v>0</v>
      </c>
      <c r="AA250" s="186">
        <f t="shared" ref="AA250:AL251" si="36">AA142</f>
        <v>0</v>
      </c>
      <c r="AB250" s="186">
        <f t="shared" si="36"/>
        <v>0</v>
      </c>
      <c r="AC250" s="186">
        <f t="shared" si="36"/>
        <v>0</v>
      </c>
      <c r="AD250" s="186">
        <f t="shared" si="36"/>
        <v>0</v>
      </c>
      <c r="AE250" s="186">
        <f t="shared" si="36"/>
        <v>0</v>
      </c>
      <c r="AF250" s="186">
        <f t="shared" si="36"/>
        <v>0</v>
      </c>
      <c r="AG250" s="186">
        <f t="shared" si="36"/>
        <v>0</v>
      </c>
      <c r="AH250" s="186">
        <f t="shared" si="36"/>
        <v>0</v>
      </c>
      <c r="AI250" s="186">
        <f t="shared" si="36"/>
        <v>0</v>
      </c>
      <c r="AJ250" s="186">
        <f t="shared" si="36"/>
        <v>0</v>
      </c>
      <c r="AK250" s="186">
        <f t="shared" si="36"/>
        <v>0</v>
      </c>
      <c r="AL250" s="186">
        <f t="shared" si="36"/>
        <v>0</v>
      </c>
    </row>
    <row r="251" spans="1:38" ht="15" customHeight="1">
      <c r="A251" s="178" t="s">
        <v>337</v>
      </c>
      <c r="B251" s="179">
        <v>53</v>
      </c>
      <c r="C251" s="189">
        <f t="shared" si="35"/>
        <v>0</v>
      </c>
      <c r="D251" s="189">
        <f t="shared" si="35"/>
        <v>0</v>
      </c>
      <c r="E251" s="189">
        <f t="shared" si="35"/>
        <v>0</v>
      </c>
      <c r="F251" s="189">
        <f t="shared" si="35"/>
        <v>0</v>
      </c>
      <c r="G251" s="189">
        <f t="shared" si="35"/>
        <v>0</v>
      </c>
      <c r="H251" s="189">
        <f t="shared" si="35"/>
        <v>0</v>
      </c>
      <c r="I251" s="189">
        <f t="shared" si="35"/>
        <v>0</v>
      </c>
      <c r="J251" s="189">
        <f t="shared" si="35"/>
        <v>0</v>
      </c>
      <c r="K251" s="189">
        <f t="shared" si="35"/>
        <v>0</v>
      </c>
      <c r="L251" s="189">
        <f t="shared" si="35"/>
        <v>0</v>
      </c>
      <c r="M251" s="189">
        <f t="shared" si="35"/>
        <v>0</v>
      </c>
      <c r="N251" s="189">
        <f t="shared" si="35"/>
        <v>0</v>
      </c>
      <c r="O251" s="189">
        <f t="shared" si="35"/>
        <v>0</v>
      </c>
      <c r="P251" s="189">
        <f t="shared" si="35"/>
        <v>0</v>
      </c>
      <c r="Q251" s="189">
        <f t="shared" si="35"/>
        <v>0</v>
      </c>
      <c r="R251" s="189">
        <f t="shared" si="35"/>
        <v>0</v>
      </c>
      <c r="S251" s="189">
        <f t="shared" si="35"/>
        <v>0</v>
      </c>
      <c r="T251" s="189">
        <f t="shared" si="35"/>
        <v>0</v>
      </c>
      <c r="U251" s="189">
        <f t="shared" si="35"/>
        <v>0</v>
      </c>
      <c r="V251" s="189">
        <f t="shared" si="35"/>
        <v>0</v>
      </c>
      <c r="W251" s="189">
        <f t="shared" si="35"/>
        <v>0</v>
      </c>
      <c r="X251" s="189">
        <f t="shared" si="35"/>
        <v>0</v>
      </c>
      <c r="Y251" s="189">
        <f t="shared" si="35"/>
        <v>0</v>
      </c>
      <c r="Z251" s="189">
        <v>0</v>
      </c>
      <c r="AA251" s="189">
        <f t="shared" si="36"/>
        <v>0</v>
      </c>
      <c r="AB251" s="189">
        <f t="shared" si="36"/>
        <v>0</v>
      </c>
      <c r="AC251" s="189">
        <f t="shared" si="36"/>
        <v>0</v>
      </c>
      <c r="AD251" s="189">
        <f t="shared" si="36"/>
        <v>0</v>
      </c>
      <c r="AE251" s="189">
        <f t="shared" si="36"/>
        <v>0</v>
      </c>
      <c r="AF251" s="189">
        <f t="shared" si="36"/>
        <v>0</v>
      </c>
      <c r="AG251" s="189">
        <f t="shared" si="36"/>
        <v>0</v>
      </c>
      <c r="AH251" s="189">
        <f t="shared" si="36"/>
        <v>0</v>
      </c>
      <c r="AI251" s="189">
        <f t="shared" si="36"/>
        <v>0</v>
      </c>
      <c r="AJ251" s="189">
        <f t="shared" si="36"/>
        <v>0</v>
      </c>
      <c r="AK251" s="189">
        <f t="shared" si="36"/>
        <v>0</v>
      </c>
      <c r="AL251" s="189">
        <f t="shared" si="36"/>
        <v>0</v>
      </c>
    </row>
    <row r="252" spans="1:38" ht="15" customHeight="1">
      <c r="A252" s="194" t="s">
        <v>338</v>
      </c>
      <c r="B252" s="195">
        <v>54</v>
      </c>
      <c r="C252" s="187">
        <f>IFERROR(C251/C207,"")</f>
        <v>0</v>
      </c>
      <c r="D252" s="187">
        <f t="shared" ref="D252:AL252" si="37">IFERROR(D251/D207,"")</f>
        <v>0</v>
      </c>
      <c r="E252" s="187">
        <f t="shared" si="37"/>
        <v>0</v>
      </c>
      <c r="F252" s="187">
        <f t="shared" si="37"/>
        <v>0</v>
      </c>
      <c r="G252" s="187">
        <f t="shared" si="37"/>
        <v>0</v>
      </c>
      <c r="H252" s="187">
        <f t="shared" si="37"/>
        <v>0</v>
      </c>
      <c r="I252" s="187">
        <f t="shared" si="37"/>
        <v>0</v>
      </c>
      <c r="J252" s="187">
        <f t="shared" si="37"/>
        <v>0</v>
      </c>
      <c r="K252" s="187">
        <f t="shared" si="37"/>
        <v>0</v>
      </c>
      <c r="L252" s="187">
        <f t="shared" si="37"/>
        <v>0</v>
      </c>
      <c r="M252" s="187">
        <f t="shared" si="37"/>
        <v>0</v>
      </c>
      <c r="N252" s="187">
        <f t="shared" si="37"/>
        <v>0</v>
      </c>
      <c r="O252" s="187">
        <f t="shared" si="37"/>
        <v>0</v>
      </c>
      <c r="P252" s="187">
        <f t="shared" si="37"/>
        <v>0</v>
      </c>
      <c r="Q252" s="187">
        <f t="shared" si="37"/>
        <v>0</v>
      </c>
      <c r="R252" s="187">
        <f t="shared" si="37"/>
        <v>0</v>
      </c>
      <c r="S252" s="187">
        <f t="shared" si="37"/>
        <v>0</v>
      </c>
      <c r="T252" s="187">
        <f t="shared" si="37"/>
        <v>0</v>
      </c>
      <c r="U252" s="187">
        <f t="shared" si="37"/>
        <v>0</v>
      </c>
      <c r="V252" s="187">
        <f t="shared" si="37"/>
        <v>0</v>
      </c>
      <c r="W252" s="187">
        <f t="shared" si="37"/>
        <v>0</v>
      </c>
      <c r="X252" s="187">
        <f t="shared" si="37"/>
        <v>0</v>
      </c>
      <c r="Y252" s="187">
        <f t="shared" si="37"/>
        <v>0</v>
      </c>
      <c r="Z252" s="187">
        <v>0</v>
      </c>
      <c r="AA252" s="187">
        <f t="shared" si="37"/>
        <v>0</v>
      </c>
      <c r="AB252" s="187">
        <f t="shared" si="37"/>
        <v>0</v>
      </c>
      <c r="AC252" s="187">
        <f t="shared" si="37"/>
        <v>0</v>
      </c>
      <c r="AD252" s="187">
        <f t="shared" si="37"/>
        <v>0</v>
      </c>
      <c r="AE252" s="187">
        <f t="shared" si="37"/>
        <v>0</v>
      </c>
      <c r="AF252" s="187">
        <f t="shared" si="37"/>
        <v>0</v>
      </c>
      <c r="AG252" s="187">
        <f t="shared" si="37"/>
        <v>0</v>
      </c>
      <c r="AH252" s="187">
        <f t="shared" si="37"/>
        <v>0</v>
      </c>
      <c r="AI252" s="187">
        <f t="shared" si="37"/>
        <v>0</v>
      </c>
      <c r="AJ252" s="187">
        <f t="shared" si="37"/>
        <v>0</v>
      </c>
      <c r="AK252" s="187">
        <f t="shared" si="37"/>
        <v>0</v>
      </c>
      <c r="AL252" s="187">
        <f t="shared" si="37"/>
        <v>0</v>
      </c>
    </row>
    <row r="253" spans="1:38" ht="15" customHeight="1">
      <c r="A253" s="350"/>
      <c r="B253" s="351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</row>
    <row r="254" spans="1:38" ht="15" customHeight="1">
      <c r="A254" s="327" t="s">
        <v>339</v>
      </c>
      <c r="B254" s="177" t="s">
        <v>369</v>
      </c>
      <c r="C254" s="353" t="s">
        <v>66</v>
      </c>
      <c r="D254" s="354" t="s">
        <v>67</v>
      </c>
      <c r="E254" s="354" t="s">
        <v>68</v>
      </c>
      <c r="F254" s="354" t="s">
        <v>69</v>
      </c>
      <c r="G254" s="354" t="s">
        <v>70</v>
      </c>
      <c r="H254" s="354" t="s">
        <v>71</v>
      </c>
      <c r="I254" s="353" t="s">
        <v>72</v>
      </c>
      <c r="J254" s="354" t="s">
        <v>73</v>
      </c>
      <c r="K254" s="354" t="s">
        <v>74</v>
      </c>
      <c r="L254" s="354" t="s">
        <v>75</v>
      </c>
      <c r="M254" s="354" t="s">
        <v>76</v>
      </c>
      <c r="N254" s="354" t="s">
        <v>77</v>
      </c>
      <c r="O254" s="354" t="s">
        <v>78</v>
      </c>
      <c r="P254" s="354" t="s">
        <v>79</v>
      </c>
      <c r="Q254" s="354" t="s">
        <v>80</v>
      </c>
      <c r="R254" s="354" t="s">
        <v>81</v>
      </c>
      <c r="S254" s="354" t="s">
        <v>82</v>
      </c>
      <c r="T254" s="354" t="s">
        <v>83</v>
      </c>
      <c r="U254" s="354" t="s">
        <v>84</v>
      </c>
      <c r="V254" s="354" t="s">
        <v>85</v>
      </c>
      <c r="W254" s="354" t="s">
        <v>86</v>
      </c>
      <c r="X254" s="354" t="s">
        <v>87</v>
      </c>
      <c r="Y254" s="354" t="s">
        <v>88</v>
      </c>
      <c r="Z254" s="354" t="s">
        <v>89</v>
      </c>
      <c r="AA254" s="354" t="s">
        <v>8</v>
      </c>
      <c r="AB254" s="354" t="s">
        <v>9</v>
      </c>
      <c r="AC254" s="354" t="s">
        <v>10</v>
      </c>
      <c r="AD254" s="354" t="s">
        <v>11</v>
      </c>
      <c r="AE254" s="354" t="s">
        <v>12</v>
      </c>
      <c r="AF254" s="354" t="s">
        <v>13</v>
      </c>
      <c r="AG254" s="354" t="s">
        <v>14</v>
      </c>
      <c r="AH254" s="354" t="s">
        <v>15</v>
      </c>
      <c r="AI254" s="354" t="s">
        <v>16</v>
      </c>
      <c r="AJ254" s="354" t="s">
        <v>17</v>
      </c>
      <c r="AK254" s="354" t="s">
        <v>18</v>
      </c>
      <c r="AL254" s="354" t="s">
        <v>19</v>
      </c>
    </row>
    <row r="255" spans="1:38" ht="15" customHeight="1">
      <c r="A255" s="196" t="s">
        <v>370</v>
      </c>
      <c r="B255" s="328">
        <v>1</v>
      </c>
      <c r="C255" s="355"/>
      <c r="D255" s="355"/>
      <c r="E255" s="355"/>
      <c r="F255" s="355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>
        <v>0</v>
      </c>
      <c r="AA255" s="199">
        <f>SUMIFS([1]!Data_Loan[Value],[1]!Data_Loan[Index Loan],'Khanh Nga'!$B255,[1]!Data_Loan[TenCongTyID],'Khanh Nga'!$B$1,[1]!Data_Loan[Thang.Nam],'Khanh Nga'!AA$254)</f>
        <v>0</v>
      </c>
      <c r="AB255" s="199">
        <f>SUMIFS([1]!Data_Loan[Value],[1]!Data_Loan[Index Loan],'Khanh Nga'!$B255,[1]!Data_Loan[TenCongTyID],'Khanh Nga'!$B$1,[1]!Data_Loan[Thang.Nam],'Khanh Nga'!AB$254)</f>
        <v>0</v>
      </c>
      <c r="AC255" s="199">
        <f>SUMIFS([1]!Data_Loan[Value],[1]!Data_Loan[Index Loan],'Khanh Nga'!$B255,[1]!Data_Loan[TenCongTyID],'Khanh Nga'!$B$1,[1]!Data_Loan[Thang.Nam],'Khanh Nga'!AC$254)</f>
        <v>0</v>
      </c>
      <c r="AD255" s="199">
        <f>SUMIFS([1]!Data_Loan[Value],[1]!Data_Loan[Index Loan],'Khanh Nga'!$B255,[1]!Data_Loan[TenCongTyID],'Khanh Nga'!$B$1,[1]!Data_Loan[Thang.Nam],'Khanh Nga'!AD$254)</f>
        <v>0</v>
      </c>
      <c r="AE255" s="199">
        <f>SUMIFS([1]!Data_Loan[Value],[1]!Data_Loan[Index Loan],'Khanh Nga'!$B255,[1]!Data_Loan[TenCongTyID],'Khanh Nga'!$B$1,[1]!Data_Loan[Thang.Nam],'Khanh Nga'!AE$254)</f>
        <v>0</v>
      </c>
      <c r="AF255" s="199">
        <f>SUMIFS([1]!Data_Loan[Value],[1]!Data_Loan[Index Loan],'Khanh Nga'!$B255,[1]!Data_Loan[TenCongTyID],'Khanh Nga'!$B$1,[1]!Data_Loan[Thang.Nam],'Khanh Nga'!AF$254)</f>
        <v>0</v>
      </c>
      <c r="AG255" s="199">
        <f>SUMIFS([1]!Data_Loan[Value],[1]!Data_Loan[Index Loan],'Khanh Nga'!$B255,[1]!Data_Loan[TenCongTyID],'Khanh Nga'!$B$1,[1]!Data_Loan[Thang.Nam],'Khanh Nga'!AG$254)</f>
        <v>0</v>
      </c>
      <c r="AH255" s="199">
        <f>SUMIFS([1]!Data_Loan[Value],[1]!Data_Loan[Index Loan],'Khanh Nga'!$B255,[1]!Data_Loan[TenCongTyID],'Khanh Nga'!$B$1,[1]!Data_Loan[Thang.Nam],'Khanh Nga'!AH$254)</f>
        <v>0</v>
      </c>
      <c r="AI255" s="199">
        <f>SUMIFS([1]!Data_Loan[Value],[1]!Data_Loan[Index Loan],'Khanh Nga'!$B255,[1]!Data_Loan[TenCongTyID],'Khanh Nga'!$B$1,[1]!Data_Loan[Thang.Nam],'Khanh Nga'!AI$254)</f>
        <v>0</v>
      </c>
      <c r="AJ255" s="199">
        <f>SUMIFS([1]!Data_Loan[Value],[1]!Data_Loan[Index Loan],'Khanh Nga'!$B255,[1]!Data_Loan[TenCongTyID],'Khanh Nga'!$B$1,[1]!Data_Loan[Thang.Nam],'Khanh Nga'!AJ$254)</f>
        <v>0</v>
      </c>
      <c r="AK255" s="199">
        <f>SUMIFS([1]!Data_Loan[Value],[1]!Data_Loan[Index Loan],'Khanh Nga'!$B255,[1]!Data_Loan[TenCongTyID],'Khanh Nga'!$B$1,[1]!Data_Loan[Thang.Nam],'Khanh Nga'!AK$254)</f>
        <v>0</v>
      </c>
      <c r="AL255" s="199">
        <f>SUMIFS([1]!Data_Loan[Value],[1]!Data_Loan[Index Loan],'Khanh Nga'!$B255,[1]!Data_Loan[TenCongTyID],'Khanh Nga'!$B$1,[1]!Data_Loan[Thang.Nam],'Khanh Nga'!AL$254)</f>
        <v>0</v>
      </c>
    </row>
    <row r="256" spans="1:38" ht="15" customHeight="1">
      <c r="A256" s="200" t="s">
        <v>341</v>
      </c>
      <c r="B256" s="329">
        <v>2</v>
      </c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>
        <v>0</v>
      </c>
      <c r="AA256" s="201">
        <f>SUMIFS([1]!Data_Loan[Value],[1]!Data_Loan[Index Loan],'Khanh Nga'!$B256,[1]!Data_Loan[TenCongTyID],'Khanh Nga'!$B$1,[1]!Data_Loan[Thang.Nam],'Khanh Nga'!AA$254)</f>
        <v>0</v>
      </c>
      <c r="AB256" s="201">
        <f>SUMIFS([1]!Data_Loan[Value],[1]!Data_Loan[Index Loan],'Khanh Nga'!$B256,[1]!Data_Loan[TenCongTyID],'Khanh Nga'!$B$1,[1]!Data_Loan[Thang.Nam],'Khanh Nga'!AB$254)</f>
        <v>0</v>
      </c>
      <c r="AC256" s="201">
        <f>SUMIFS([1]!Data_Loan[Value],[1]!Data_Loan[Index Loan],'Khanh Nga'!$B256,[1]!Data_Loan[TenCongTyID],'Khanh Nga'!$B$1,[1]!Data_Loan[Thang.Nam],'Khanh Nga'!AC$254)</f>
        <v>0</v>
      </c>
      <c r="AD256" s="201">
        <f>SUMIFS([1]!Data_Loan[Value],[1]!Data_Loan[Index Loan],'Khanh Nga'!$B256,[1]!Data_Loan[TenCongTyID],'Khanh Nga'!$B$1,[1]!Data_Loan[Thang.Nam],'Khanh Nga'!AD$254)</f>
        <v>0</v>
      </c>
      <c r="AE256" s="201">
        <f>SUMIFS([1]!Data_Loan[Value],[1]!Data_Loan[Index Loan],'Khanh Nga'!$B256,[1]!Data_Loan[TenCongTyID],'Khanh Nga'!$B$1,[1]!Data_Loan[Thang.Nam],'Khanh Nga'!AE$254)</f>
        <v>0</v>
      </c>
      <c r="AF256" s="201">
        <f>SUMIFS([1]!Data_Loan[Value],[1]!Data_Loan[Index Loan],'Khanh Nga'!$B256,[1]!Data_Loan[TenCongTyID],'Khanh Nga'!$B$1,[1]!Data_Loan[Thang.Nam],'Khanh Nga'!AF$254)</f>
        <v>0</v>
      </c>
      <c r="AG256" s="201">
        <f>SUMIFS([1]!Data_Loan[Value],[1]!Data_Loan[Index Loan],'Khanh Nga'!$B256,[1]!Data_Loan[TenCongTyID],'Khanh Nga'!$B$1,[1]!Data_Loan[Thang.Nam],'Khanh Nga'!AG$254)</f>
        <v>0</v>
      </c>
      <c r="AH256" s="201">
        <f>SUMIFS([1]!Data_Loan[Value],[1]!Data_Loan[Index Loan],'Khanh Nga'!$B256,[1]!Data_Loan[TenCongTyID],'Khanh Nga'!$B$1,[1]!Data_Loan[Thang.Nam],'Khanh Nga'!AH$254)</f>
        <v>0</v>
      </c>
      <c r="AI256" s="201">
        <f>SUMIFS([1]!Data_Loan[Value],[1]!Data_Loan[Index Loan],'Khanh Nga'!$B256,[1]!Data_Loan[TenCongTyID],'Khanh Nga'!$B$1,[1]!Data_Loan[Thang.Nam],'Khanh Nga'!AI$254)</f>
        <v>0</v>
      </c>
      <c r="AJ256" s="201">
        <f>SUMIFS([1]!Data_Loan[Value],[1]!Data_Loan[Index Loan],'Khanh Nga'!$B256,[1]!Data_Loan[TenCongTyID],'Khanh Nga'!$B$1,[1]!Data_Loan[Thang.Nam],'Khanh Nga'!AJ$254)</f>
        <v>0</v>
      </c>
      <c r="AK256" s="201">
        <f>SUMIFS([1]!Data_Loan[Value],[1]!Data_Loan[Index Loan],'Khanh Nga'!$B256,[1]!Data_Loan[TenCongTyID],'Khanh Nga'!$B$1,[1]!Data_Loan[Thang.Nam],'Khanh Nga'!AK$254)</f>
        <v>0</v>
      </c>
      <c r="AL256" s="201">
        <f>SUMIFS([1]!Data_Loan[Value],[1]!Data_Loan[Index Loan],'Khanh Nga'!$B256,[1]!Data_Loan[TenCongTyID],'Khanh Nga'!$B$1,[1]!Data_Loan[Thang.Nam],'Khanh Nga'!AL$254)</f>
        <v>0</v>
      </c>
    </row>
    <row r="257" spans="1:38" ht="15" customHeight="1">
      <c r="A257" s="200" t="s">
        <v>342</v>
      </c>
      <c r="B257" s="329">
        <v>3</v>
      </c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>
        <v>0</v>
      </c>
      <c r="AA257" s="201">
        <f>SUMIFS([1]!Data_Loan[Value],[1]!Data_Loan[Index Loan],'Khanh Nga'!$B257,[1]!Data_Loan[TenCongTyID],'Khanh Nga'!$B$1,[1]!Data_Loan[Thang.Nam],'Khanh Nga'!AA$254)</f>
        <v>0</v>
      </c>
      <c r="AB257" s="201">
        <f>SUMIFS([1]!Data_Loan[Value],[1]!Data_Loan[Index Loan],'Khanh Nga'!$B257,[1]!Data_Loan[TenCongTyID],'Khanh Nga'!$B$1,[1]!Data_Loan[Thang.Nam],'Khanh Nga'!AB$254)</f>
        <v>0</v>
      </c>
      <c r="AC257" s="201">
        <f>SUMIFS([1]!Data_Loan[Value],[1]!Data_Loan[Index Loan],'Khanh Nga'!$B257,[1]!Data_Loan[TenCongTyID],'Khanh Nga'!$B$1,[1]!Data_Loan[Thang.Nam],'Khanh Nga'!AC$254)</f>
        <v>0</v>
      </c>
      <c r="AD257" s="201">
        <f>SUMIFS([1]!Data_Loan[Value],[1]!Data_Loan[Index Loan],'Khanh Nga'!$B257,[1]!Data_Loan[TenCongTyID],'Khanh Nga'!$B$1,[1]!Data_Loan[Thang.Nam],'Khanh Nga'!AD$254)</f>
        <v>0</v>
      </c>
      <c r="AE257" s="201">
        <f>SUMIFS([1]!Data_Loan[Value],[1]!Data_Loan[Index Loan],'Khanh Nga'!$B257,[1]!Data_Loan[TenCongTyID],'Khanh Nga'!$B$1,[1]!Data_Loan[Thang.Nam],'Khanh Nga'!AE$254)</f>
        <v>0</v>
      </c>
      <c r="AF257" s="201">
        <f>SUMIFS([1]!Data_Loan[Value],[1]!Data_Loan[Index Loan],'Khanh Nga'!$B257,[1]!Data_Loan[TenCongTyID],'Khanh Nga'!$B$1,[1]!Data_Loan[Thang.Nam],'Khanh Nga'!AF$254)</f>
        <v>0</v>
      </c>
      <c r="AG257" s="201">
        <f>SUMIFS([1]!Data_Loan[Value],[1]!Data_Loan[Index Loan],'Khanh Nga'!$B257,[1]!Data_Loan[TenCongTyID],'Khanh Nga'!$B$1,[1]!Data_Loan[Thang.Nam],'Khanh Nga'!AG$254)</f>
        <v>0</v>
      </c>
      <c r="AH257" s="201">
        <f>SUMIFS([1]!Data_Loan[Value],[1]!Data_Loan[Index Loan],'Khanh Nga'!$B257,[1]!Data_Loan[TenCongTyID],'Khanh Nga'!$B$1,[1]!Data_Loan[Thang.Nam],'Khanh Nga'!AH$254)</f>
        <v>0</v>
      </c>
      <c r="AI257" s="201">
        <f>SUMIFS([1]!Data_Loan[Value],[1]!Data_Loan[Index Loan],'Khanh Nga'!$B257,[1]!Data_Loan[TenCongTyID],'Khanh Nga'!$B$1,[1]!Data_Loan[Thang.Nam],'Khanh Nga'!AI$254)</f>
        <v>0</v>
      </c>
      <c r="AJ257" s="201">
        <f>SUMIFS([1]!Data_Loan[Value],[1]!Data_Loan[Index Loan],'Khanh Nga'!$B257,[1]!Data_Loan[TenCongTyID],'Khanh Nga'!$B$1,[1]!Data_Loan[Thang.Nam],'Khanh Nga'!AJ$254)</f>
        <v>0</v>
      </c>
      <c r="AK257" s="201">
        <f>SUMIFS([1]!Data_Loan[Value],[1]!Data_Loan[Index Loan],'Khanh Nga'!$B257,[1]!Data_Loan[TenCongTyID],'Khanh Nga'!$B$1,[1]!Data_Loan[Thang.Nam],'Khanh Nga'!AK$254)</f>
        <v>0</v>
      </c>
      <c r="AL257" s="201">
        <f>SUMIFS([1]!Data_Loan[Value],[1]!Data_Loan[Index Loan],'Khanh Nga'!$B257,[1]!Data_Loan[TenCongTyID],'Khanh Nga'!$B$1,[1]!Data_Loan[Thang.Nam],'Khanh Nga'!AL$254)</f>
        <v>0</v>
      </c>
    </row>
    <row r="258" spans="1:38" ht="15" customHeight="1">
      <c r="A258" s="200" t="s">
        <v>343</v>
      </c>
      <c r="B258" s="329">
        <v>4</v>
      </c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>
        <v>0</v>
      </c>
      <c r="AA258" s="201">
        <f>SUMIFS([1]!Data_Loan[Value],[1]!Data_Loan[Index Loan],'Khanh Nga'!$B258,[1]!Data_Loan[TenCongTyID],'Khanh Nga'!$B$1,[1]!Data_Loan[Thang.Nam],'Khanh Nga'!AA$254)</f>
        <v>0</v>
      </c>
      <c r="AB258" s="201">
        <f>SUMIFS([1]!Data_Loan[Value],[1]!Data_Loan[Index Loan],'Khanh Nga'!$B258,[1]!Data_Loan[TenCongTyID],'Khanh Nga'!$B$1,[1]!Data_Loan[Thang.Nam],'Khanh Nga'!AB$254)</f>
        <v>0</v>
      </c>
      <c r="AC258" s="201">
        <f>SUMIFS([1]!Data_Loan[Value],[1]!Data_Loan[Index Loan],'Khanh Nga'!$B258,[1]!Data_Loan[TenCongTyID],'Khanh Nga'!$B$1,[1]!Data_Loan[Thang.Nam],'Khanh Nga'!AC$254)</f>
        <v>0</v>
      </c>
      <c r="AD258" s="201">
        <f>SUMIFS([1]!Data_Loan[Value],[1]!Data_Loan[Index Loan],'Khanh Nga'!$B258,[1]!Data_Loan[TenCongTyID],'Khanh Nga'!$B$1,[1]!Data_Loan[Thang.Nam],'Khanh Nga'!AD$254)</f>
        <v>0</v>
      </c>
      <c r="AE258" s="201">
        <f>SUMIFS([1]!Data_Loan[Value],[1]!Data_Loan[Index Loan],'Khanh Nga'!$B258,[1]!Data_Loan[TenCongTyID],'Khanh Nga'!$B$1,[1]!Data_Loan[Thang.Nam],'Khanh Nga'!AE$254)</f>
        <v>0</v>
      </c>
      <c r="AF258" s="201">
        <f>SUMIFS([1]!Data_Loan[Value],[1]!Data_Loan[Index Loan],'Khanh Nga'!$B258,[1]!Data_Loan[TenCongTyID],'Khanh Nga'!$B$1,[1]!Data_Loan[Thang.Nam],'Khanh Nga'!AF$254)</f>
        <v>0</v>
      </c>
      <c r="AG258" s="201">
        <f>SUMIFS([1]!Data_Loan[Value],[1]!Data_Loan[Index Loan],'Khanh Nga'!$B258,[1]!Data_Loan[TenCongTyID],'Khanh Nga'!$B$1,[1]!Data_Loan[Thang.Nam],'Khanh Nga'!AG$254)</f>
        <v>0</v>
      </c>
      <c r="AH258" s="201">
        <f>SUMIFS([1]!Data_Loan[Value],[1]!Data_Loan[Index Loan],'Khanh Nga'!$B258,[1]!Data_Loan[TenCongTyID],'Khanh Nga'!$B$1,[1]!Data_Loan[Thang.Nam],'Khanh Nga'!AH$254)</f>
        <v>0</v>
      </c>
      <c r="AI258" s="201">
        <f>SUMIFS([1]!Data_Loan[Value],[1]!Data_Loan[Index Loan],'Khanh Nga'!$B258,[1]!Data_Loan[TenCongTyID],'Khanh Nga'!$B$1,[1]!Data_Loan[Thang.Nam],'Khanh Nga'!AI$254)</f>
        <v>0</v>
      </c>
      <c r="AJ258" s="201">
        <f>SUMIFS([1]!Data_Loan[Value],[1]!Data_Loan[Index Loan],'Khanh Nga'!$B258,[1]!Data_Loan[TenCongTyID],'Khanh Nga'!$B$1,[1]!Data_Loan[Thang.Nam],'Khanh Nga'!AJ$254)</f>
        <v>0</v>
      </c>
      <c r="AK258" s="201">
        <f>SUMIFS([1]!Data_Loan[Value],[1]!Data_Loan[Index Loan],'Khanh Nga'!$B258,[1]!Data_Loan[TenCongTyID],'Khanh Nga'!$B$1,[1]!Data_Loan[Thang.Nam],'Khanh Nga'!AK$254)</f>
        <v>0</v>
      </c>
      <c r="AL258" s="201">
        <f>SUMIFS([1]!Data_Loan[Value],[1]!Data_Loan[Index Loan],'Khanh Nga'!$B258,[1]!Data_Loan[TenCongTyID],'Khanh Nga'!$B$1,[1]!Data_Loan[Thang.Nam],'Khanh Nga'!AL$254)</f>
        <v>0</v>
      </c>
    </row>
    <row r="259" spans="1:38" ht="15" customHeight="1">
      <c r="A259" s="200" t="s">
        <v>344</v>
      </c>
      <c r="B259" s="329">
        <v>5</v>
      </c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>
        <v>0</v>
      </c>
      <c r="AA259" s="201">
        <f>SUMIFS([1]!Data_Loan[Value],[1]!Data_Loan[Index Loan],'Khanh Nga'!$B259,[1]!Data_Loan[TenCongTyID],'Khanh Nga'!$B$1,[1]!Data_Loan[Thang.Nam],'Khanh Nga'!AA$254)</f>
        <v>0</v>
      </c>
      <c r="AB259" s="201">
        <f>SUMIFS([1]!Data_Loan[Value],[1]!Data_Loan[Index Loan],'Khanh Nga'!$B259,[1]!Data_Loan[TenCongTyID],'Khanh Nga'!$B$1,[1]!Data_Loan[Thang.Nam],'Khanh Nga'!AB$254)</f>
        <v>0</v>
      </c>
      <c r="AC259" s="201">
        <f>SUMIFS([1]!Data_Loan[Value],[1]!Data_Loan[Index Loan],'Khanh Nga'!$B259,[1]!Data_Loan[TenCongTyID],'Khanh Nga'!$B$1,[1]!Data_Loan[Thang.Nam],'Khanh Nga'!AC$254)</f>
        <v>0</v>
      </c>
      <c r="AD259" s="201">
        <f>SUMIFS([1]!Data_Loan[Value],[1]!Data_Loan[Index Loan],'Khanh Nga'!$B259,[1]!Data_Loan[TenCongTyID],'Khanh Nga'!$B$1,[1]!Data_Loan[Thang.Nam],'Khanh Nga'!AD$254)</f>
        <v>0</v>
      </c>
      <c r="AE259" s="201">
        <f>SUMIFS([1]!Data_Loan[Value],[1]!Data_Loan[Index Loan],'Khanh Nga'!$B259,[1]!Data_Loan[TenCongTyID],'Khanh Nga'!$B$1,[1]!Data_Loan[Thang.Nam],'Khanh Nga'!AE$254)</f>
        <v>0</v>
      </c>
      <c r="AF259" s="201">
        <f>SUMIFS([1]!Data_Loan[Value],[1]!Data_Loan[Index Loan],'Khanh Nga'!$B259,[1]!Data_Loan[TenCongTyID],'Khanh Nga'!$B$1,[1]!Data_Loan[Thang.Nam],'Khanh Nga'!AF$254)</f>
        <v>0</v>
      </c>
      <c r="AG259" s="201">
        <f>SUMIFS([1]!Data_Loan[Value],[1]!Data_Loan[Index Loan],'Khanh Nga'!$B259,[1]!Data_Loan[TenCongTyID],'Khanh Nga'!$B$1,[1]!Data_Loan[Thang.Nam],'Khanh Nga'!AG$254)</f>
        <v>0</v>
      </c>
      <c r="AH259" s="201">
        <f>SUMIFS([1]!Data_Loan[Value],[1]!Data_Loan[Index Loan],'Khanh Nga'!$B259,[1]!Data_Loan[TenCongTyID],'Khanh Nga'!$B$1,[1]!Data_Loan[Thang.Nam],'Khanh Nga'!AH$254)</f>
        <v>0</v>
      </c>
      <c r="AI259" s="201">
        <f>SUMIFS([1]!Data_Loan[Value],[1]!Data_Loan[Index Loan],'Khanh Nga'!$B259,[1]!Data_Loan[TenCongTyID],'Khanh Nga'!$B$1,[1]!Data_Loan[Thang.Nam],'Khanh Nga'!AI$254)</f>
        <v>0</v>
      </c>
      <c r="AJ259" s="201">
        <f>SUMIFS([1]!Data_Loan[Value],[1]!Data_Loan[Index Loan],'Khanh Nga'!$B259,[1]!Data_Loan[TenCongTyID],'Khanh Nga'!$B$1,[1]!Data_Loan[Thang.Nam],'Khanh Nga'!AJ$254)</f>
        <v>0</v>
      </c>
      <c r="AK259" s="201">
        <f>SUMIFS([1]!Data_Loan[Value],[1]!Data_Loan[Index Loan],'Khanh Nga'!$B259,[1]!Data_Loan[TenCongTyID],'Khanh Nga'!$B$1,[1]!Data_Loan[Thang.Nam],'Khanh Nga'!AK$254)</f>
        <v>0</v>
      </c>
      <c r="AL259" s="201">
        <f>SUMIFS([1]!Data_Loan[Value],[1]!Data_Loan[Index Loan],'Khanh Nga'!$B259,[1]!Data_Loan[TenCongTyID],'Khanh Nga'!$B$1,[1]!Data_Loan[Thang.Nam],'Khanh Nga'!AL$254)</f>
        <v>0</v>
      </c>
    </row>
    <row r="260" spans="1:38" ht="15" customHeight="1">
      <c r="A260" s="200" t="s">
        <v>345</v>
      </c>
      <c r="B260" s="329">
        <v>6</v>
      </c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>
        <v>0</v>
      </c>
      <c r="AA260" s="201">
        <f>SUMIFS([1]!Data_Loan[Value],[1]!Data_Loan[Index Loan],'Khanh Nga'!$B260,[1]!Data_Loan[TenCongTyID],'Khanh Nga'!$B$1,[1]!Data_Loan[Thang.Nam],'Khanh Nga'!AA$254)</f>
        <v>0</v>
      </c>
      <c r="AB260" s="201">
        <f>SUMIFS([1]!Data_Loan[Value],[1]!Data_Loan[Index Loan],'Khanh Nga'!$B260,[1]!Data_Loan[TenCongTyID],'Khanh Nga'!$B$1,[1]!Data_Loan[Thang.Nam],'Khanh Nga'!AB$254)</f>
        <v>0</v>
      </c>
      <c r="AC260" s="201">
        <f>SUMIFS([1]!Data_Loan[Value],[1]!Data_Loan[Index Loan],'Khanh Nga'!$B260,[1]!Data_Loan[TenCongTyID],'Khanh Nga'!$B$1,[1]!Data_Loan[Thang.Nam],'Khanh Nga'!AC$254)</f>
        <v>0</v>
      </c>
      <c r="AD260" s="201">
        <f>SUMIFS([1]!Data_Loan[Value],[1]!Data_Loan[Index Loan],'Khanh Nga'!$B260,[1]!Data_Loan[TenCongTyID],'Khanh Nga'!$B$1,[1]!Data_Loan[Thang.Nam],'Khanh Nga'!AD$254)</f>
        <v>0</v>
      </c>
      <c r="AE260" s="201">
        <f>SUMIFS([1]!Data_Loan[Value],[1]!Data_Loan[Index Loan],'Khanh Nga'!$B260,[1]!Data_Loan[TenCongTyID],'Khanh Nga'!$B$1,[1]!Data_Loan[Thang.Nam],'Khanh Nga'!AE$254)</f>
        <v>0</v>
      </c>
      <c r="AF260" s="201">
        <f>SUMIFS([1]!Data_Loan[Value],[1]!Data_Loan[Index Loan],'Khanh Nga'!$B260,[1]!Data_Loan[TenCongTyID],'Khanh Nga'!$B$1,[1]!Data_Loan[Thang.Nam],'Khanh Nga'!AF$254)</f>
        <v>0</v>
      </c>
      <c r="AG260" s="201">
        <f>SUMIFS([1]!Data_Loan[Value],[1]!Data_Loan[Index Loan],'Khanh Nga'!$B260,[1]!Data_Loan[TenCongTyID],'Khanh Nga'!$B$1,[1]!Data_Loan[Thang.Nam],'Khanh Nga'!AG$254)</f>
        <v>0</v>
      </c>
      <c r="AH260" s="201">
        <f>SUMIFS([1]!Data_Loan[Value],[1]!Data_Loan[Index Loan],'Khanh Nga'!$B260,[1]!Data_Loan[TenCongTyID],'Khanh Nga'!$B$1,[1]!Data_Loan[Thang.Nam],'Khanh Nga'!AH$254)</f>
        <v>0</v>
      </c>
      <c r="AI260" s="201">
        <f>SUMIFS([1]!Data_Loan[Value],[1]!Data_Loan[Index Loan],'Khanh Nga'!$B260,[1]!Data_Loan[TenCongTyID],'Khanh Nga'!$B$1,[1]!Data_Loan[Thang.Nam],'Khanh Nga'!AI$254)</f>
        <v>0</v>
      </c>
      <c r="AJ260" s="201">
        <f>SUMIFS([1]!Data_Loan[Value],[1]!Data_Loan[Index Loan],'Khanh Nga'!$B260,[1]!Data_Loan[TenCongTyID],'Khanh Nga'!$B$1,[1]!Data_Loan[Thang.Nam],'Khanh Nga'!AJ$254)</f>
        <v>0</v>
      </c>
      <c r="AK260" s="201">
        <f>SUMIFS([1]!Data_Loan[Value],[1]!Data_Loan[Index Loan],'Khanh Nga'!$B260,[1]!Data_Loan[TenCongTyID],'Khanh Nga'!$B$1,[1]!Data_Loan[Thang.Nam],'Khanh Nga'!AK$254)</f>
        <v>0</v>
      </c>
      <c r="AL260" s="201">
        <f>SUMIFS([1]!Data_Loan[Value],[1]!Data_Loan[Index Loan],'Khanh Nga'!$B260,[1]!Data_Loan[TenCongTyID],'Khanh Nga'!$B$1,[1]!Data_Loan[Thang.Nam],'Khanh Nga'!AL$254)</f>
        <v>0</v>
      </c>
    </row>
    <row r="261" spans="1:38" ht="15" customHeight="1">
      <c r="A261" s="200" t="s">
        <v>346</v>
      </c>
      <c r="B261" s="329">
        <v>7</v>
      </c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>
        <v>0</v>
      </c>
      <c r="AA261" s="201">
        <f>SUMIFS([1]!Data_Loan[Value],[1]!Data_Loan[Index Loan],'Khanh Nga'!$B261,[1]!Data_Loan[TenCongTyID],'Khanh Nga'!$B$1,[1]!Data_Loan[Thang.Nam],'Khanh Nga'!AA$254)</f>
        <v>0</v>
      </c>
      <c r="AB261" s="201">
        <f>SUMIFS([1]!Data_Loan[Value],[1]!Data_Loan[Index Loan],'Khanh Nga'!$B261,[1]!Data_Loan[TenCongTyID],'Khanh Nga'!$B$1,[1]!Data_Loan[Thang.Nam],'Khanh Nga'!AB$254)</f>
        <v>0</v>
      </c>
      <c r="AC261" s="201">
        <f>SUMIFS([1]!Data_Loan[Value],[1]!Data_Loan[Index Loan],'Khanh Nga'!$B261,[1]!Data_Loan[TenCongTyID],'Khanh Nga'!$B$1,[1]!Data_Loan[Thang.Nam],'Khanh Nga'!AC$254)</f>
        <v>0</v>
      </c>
      <c r="AD261" s="201">
        <f>SUMIFS([1]!Data_Loan[Value],[1]!Data_Loan[Index Loan],'Khanh Nga'!$B261,[1]!Data_Loan[TenCongTyID],'Khanh Nga'!$B$1,[1]!Data_Loan[Thang.Nam],'Khanh Nga'!AD$254)</f>
        <v>0</v>
      </c>
      <c r="AE261" s="201">
        <f>SUMIFS([1]!Data_Loan[Value],[1]!Data_Loan[Index Loan],'Khanh Nga'!$B261,[1]!Data_Loan[TenCongTyID],'Khanh Nga'!$B$1,[1]!Data_Loan[Thang.Nam],'Khanh Nga'!AE$254)</f>
        <v>0</v>
      </c>
      <c r="AF261" s="201">
        <f>SUMIFS([1]!Data_Loan[Value],[1]!Data_Loan[Index Loan],'Khanh Nga'!$B261,[1]!Data_Loan[TenCongTyID],'Khanh Nga'!$B$1,[1]!Data_Loan[Thang.Nam],'Khanh Nga'!AF$254)</f>
        <v>0</v>
      </c>
      <c r="AG261" s="201">
        <f>SUMIFS([1]!Data_Loan[Value],[1]!Data_Loan[Index Loan],'Khanh Nga'!$B261,[1]!Data_Loan[TenCongTyID],'Khanh Nga'!$B$1,[1]!Data_Loan[Thang.Nam],'Khanh Nga'!AG$254)</f>
        <v>0</v>
      </c>
      <c r="AH261" s="201">
        <f>SUMIFS([1]!Data_Loan[Value],[1]!Data_Loan[Index Loan],'Khanh Nga'!$B261,[1]!Data_Loan[TenCongTyID],'Khanh Nga'!$B$1,[1]!Data_Loan[Thang.Nam],'Khanh Nga'!AH$254)</f>
        <v>0</v>
      </c>
      <c r="AI261" s="201">
        <f>SUMIFS([1]!Data_Loan[Value],[1]!Data_Loan[Index Loan],'Khanh Nga'!$B261,[1]!Data_Loan[TenCongTyID],'Khanh Nga'!$B$1,[1]!Data_Loan[Thang.Nam],'Khanh Nga'!AI$254)</f>
        <v>0</v>
      </c>
      <c r="AJ261" s="201">
        <f>SUMIFS([1]!Data_Loan[Value],[1]!Data_Loan[Index Loan],'Khanh Nga'!$B261,[1]!Data_Loan[TenCongTyID],'Khanh Nga'!$B$1,[1]!Data_Loan[Thang.Nam],'Khanh Nga'!AJ$254)</f>
        <v>0</v>
      </c>
      <c r="AK261" s="201">
        <f>SUMIFS([1]!Data_Loan[Value],[1]!Data_Loan[Index Loan],'Khanh Nga'!$B261,[1]!Data_Loan[TenCongTyID],'Khanh Nga'!$B$1,[1]!Data_Loan[Thang.Nam],'Khanh Nga'!AK$254)</f>
        <v>0</v>
      </c>
      <c r="AL261" s="201">
        <f>SUMIFS([1]!Data_Loan[Value],[1]!Data_Loan[Index Loan],'Khanh Nga'!$B261,[1]!Data_Loan[TenCongTyID],'Khanh Nga'!$B$1,[1]!Data_Loan[Thang.Nam],'Khanh Nga'!AL$254)</f>
        <v>0</v>
      </c>
    </row>
    <row r="262" spans="1:38" ht="15" customHeight="1">
      <c r="A262" s="200" t="s">
        <v>347</v>
      </c>
      <c r="B262" s="329">
        <v>8</v>
      </c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>
        <v>0</v>
      </c>
      <c r="AA262" s="201">
        <f>SUMIFS([1]!Data_Loan[Value],[1]!Data_Loan[Index Loan],'Khanh Nga'!$B262,[1]!Data_Loan[TenCongTyID],'Khanh Nga'!$B$1,[1]!Data_Loan[Thang.Nam],'Khanh Nga'!AA$254)</f>
        <v>0</v>
      </c>
      <c r="AB262" s="201">
        <f>SUMIFS([1]!Data_Loan[Value],[1]!Data_Loan[Index Loan],'Khanh Nga'!$B262,[1]!Data_Loan[TenCongTyID],'Khanh Nga'!$B$1,[1]!Data_Loan[Thang.Nam],'Khanh Nga'!AB$254)</f>
        <v>0</v>
      </c>
      <c r="AC262" s="201">
        <f>SUMIFS([1]!Data_Loan[Value],[1]!Data_Loan[Index Loan],'Khanh Nga'!$B262,[1]!Data_Loan[TenCongTyID],'Khanh Nga'!$B$1,[1]!Data_Loan[Thang.Nam],'Khanh Nga'!AC$254)</f>
        <v>0</v>
      </c>
      <c r="AD262" s="201">
        <f>SUMIFS([1]!Data_Loan[Value],[1]!Data_Loan[Index Loan],'Khanh Nga'!$B262,[1]!Data_Loan[TenCongTyID],'Khanh Nga'!$B$1,[1]!Data_Loan[Thang.Nam],'Khanh Nga'!AD$254)</f>
        <v>0</v>
      </c>
      <c r="AE262" s="201">
        <f>SUMIFS([1]!Data_Loan[Value],[1]!Data_Loan[Index Loan],'Khanh Nga'!$B262,[1]!Data_Loan[TenCongTyID],'Khanh Nga'!$B$1,[1]!Data_Loan[Thang.Nam],'Khanh Nga'!AE$254)</f>
        <v>0</v>
      </c>
      <c r="AF262" s="201">
        <f>SUMIFS([1]!Data_Loan[Value],[1]!Data_Loan[Index Loan],'Khanh Nga'!$B262,[1]!Data_Loan[TenCongTyID],'Khanh Nga'!$B$1,[1]!Data_Loan[Thang.Nam],'Khanh Nga'!AF$254)</f>
        <v>0</v>
      </c>
      <c r="AG262" s="201">
        <f>SUMIFS([1]!Data_Loan[Value],[1]!Data_Loan[Index Loan],'Khanh Nga'!$B262,[1]!Data_Loan[TenCongTyID],'Khanh Nga'!$B$1,[1]!Data_Loan[Thang.Nam],'Khanh Nga'!AG$254)</f>
        <v>0</v>
      </c>
      <c r="AH262" s="201">
        <f>SUMIFS([1]!Data_Loan[Value],[1]!Data_Loan[Index Loan],'Khanh Nga'!$B262,[1]!Data_Loan[TenCongTyID],'Khanh Nga'!$B$1,[1]!Data_Loan[Thang.Nam],'Khanh Nga'!AH$254)</f>
        <v>0</v>
      </c>
      <c r="AI262" s="201">
        <f>SUMIFS([1]!Data_Loan[Value],[1]!Data_Loan[Index Loan],'Khanh Nga'!$B262,[1]!Data_Loan[TenCongTyID],'Khanh Nga'!$B$1,[1]!Data_Loan[Thang.Nam],'Khanh Nga'!AI$254)</f>
        <v>0</v>
      </c>
      <c r="AJ262" s="201">
        <f>SUMIFS([1]!Data_Loan[Value],[1]!Data_Loan[Index Loan],'Khanh Nga'!$B262,[1]!Data_Loan[TenCongTyID],'Khanh Nga'!$B$1,[1]!Data_Loan[Thang.Nam],'Khanh Nga'!AJ$254)</f>
        <v>0</v>
      </c>
      <c r="AK262" s="201">
        <f>SUMIFS([1]!Data_Loan[Value],[1]!Data_Loan[Index Loan],'Khanh Nga'!$B262,[1]!Data_Loan[TenCongTyID],'Khanh Nga'!$B$1,[1]!Data_Loan[Thang.Nam],'Khanh Nga'!AK$254)</f>
        <v>0</v>
      </c>
      <c r="AL262" s="201">
        <f>SUMIFS([1]!Data_Loan[Value],[1]!Data_Loan[Index Loan],'Khanh Nga'!$B262,[1]!Data_Loan[TenCongTyID],'Khanh Nga'!$B$1,[1]!Data_Loan[Thang.Nam],'Khanh Nga'!AL$254)</f>
        <v>0</v>
      </c>
    </row>
    <row r="263" spans="1:38" ht="15" customHeight="1">
      <c r="A263" s="200"/>
      <c r="B263" s="329">
        <v>9</v>
      </c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>
        <v>0</v>
      </c>
      <c r="AA263" s="201">
        <f>SUMIFS([1]!Data_Loan[Value],[1]!Data_Loan[Index Loan],'Khanh Nga'!$B263,[1]!Data_Loan[TenCongTyID],'Khanh Nga'!$B$1,[1]!Data_Loan[Thang.Nam],'Khanh Nga'!AA$254)</f>
        <v>0</v>
      </c>
      <c r="AB263" s="201">
        <f>SUMIFS([1]!Data_Loan[Value],[1]!Data_Loan[Index Loan],'Khanh Nga'!$B263,[1]!Data_Loan[TenCongTyID],'Khanh Nga'!$B$1,[1]!Data_Loan[Thang.Nam],'Khanh Nga'!AB$254)</f>
        <v>0</v>
      </c>
      <c r="AC263" s="201">
        <f>SUMIFS([1]!Data_Loan[Value],[1]!Data_Loan[Index Loan],'Khanh Nga'!$B263,[1]!Data_Loan[TenCongTyID],'Khanh Nga'!$B$1,[1]!Data_Loan[Thang.Nam],'Khanh Nga'!AC$254)</f>
        <v>0</v>
      </c>
      <c r="AD263" s="201">
        <f>SUMIFS([1]!Data_Loan[Value],[1]!Data_Loan[Index Loan],'Khanh Nga'!$B263,[1]!Data_Loan[TenCongTyID],'Khanh Nga'!$B$1,[1]!Data_Loan[Thang.Nam],'Khanh Nga'!AD$254)</f>
        <v>0</v>
      </c>
      <c r="AE263" s="201">
        <f>SUMIFS([1]!Data_Loan[Value],[1]!Data_Loan[Index Loan],'Khanh Nga'!$B263,[1]!Data_Loan[TenCongTyID],'Khanh Nga'!$B$1,[1]!Data_Loan[Thang.Nam],'Khanh Nga'!AE$254)</f>
        <v>0</v>
      </c>
      <c r="AF263" s="201">
        <f>SUMIFS([1]!Data_Loan[Value],[1]!Data_Loan[Index Loan],'Khanh Nga'!$B263,[1]!Data_Loan[TenCongTyID],'Khanh Nga'!$B$1,[1]!Data_Loan[Thang.Nam],'Khanh Nga'!AF$254)</f>
        <v>0</v>
      </c>
      <c r="AG263" s="201">
        <f>SUMIFS([1]!Data_Loan[Value],[1]!Data_Loan[Index Loan],'Khanh Nga'!$B263,[1]!Data_Loan[TenCongTyID],'Khanh Nga'!$B$1,[1]!Data_Loan[Thang.Nam],'Khanh Nga'!AG$254)</f>
        <v>0</v>
      </c>
      <c r="AH263" s="201">
        <f>SUMIFS([1]!Data_Loan[Value],[1]!Data_Loan[Index Loan],'Khanh Nga'!$B263,[1]!Data_Loan[TenCongTyID],'Khanh Nga'!$B$1,[1]!Data_Loan[Thang.Nam],'Khanh Nga'!AH$254)</f>
        <v>0</v>
      </c>
      <c r="AI263" s="201">
        <f>SUMIFS([1]!Data_Loan[Value],[1]!Data_Loan[Index Loan],'Khanh Nga'!$B263,[1]!Data_Loan[TenCongTyID],'Khanh Nga'!$B$1,[1]!Data_Loan[Thang.Nam],'Khanh Nga'!AI$254)</f>
        <v>0</v>
      </c>
      <c r="AJ263" s="201">
        <f>SUMIFS([1]!Data_Loan[Value],[1]!Data_Loan[Index Loan],'Khanh Nga'!$B263,[1]!Data_Loan[TenCongTyID],'Khanh Nga'!$B$1,[1]!Data_Loan[Thang.Nam],'Khanh Nga'!AJ$254)</f>
        <v>0</v>
      </c>
      <c r="AK263" s="201">
        <f>SUMIFS([1]!Data_Loan[Value],[1]!Data_Loan[Index Loan],'Khanh Nga'!$B263,[1]!Data_Loan[TenCongTyID],'Khanh Nga'!$B$1,[1]!Data_Loan[Thang.Nam],'Khanh Nga'!AK$254)</f>
        <v>0</v>
      </c>
      <c r="AL263" s="201">
        <f>SUMIFS([1]!Data_Loan[Value],[1]!Data_Loan[Index Loan],'Khanh Nga'!$B263,[1]!Data_Loan[TenCongTyID],'Khanh Nga'!$B$1,[1]!Data_Loan[Thang.Nam],'Khanh Nga'!AL$254)</f>
        <v>0</v>
      </c>
    </row>
    <row r="264" spans="1:38" ht="15" customHeight="1">
      <c r="A264" s="196" t="s">
        <v>340</v>
      </c>
      <c r="B264" s="328">
        <v>10</v>
      </c>
      <c r="C264" s="355"/>
      <c r="D264" s="355"/>
      <c r="E264" s="355"/>
      <c r="F264" s="355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>
        <v>0</v>
      </c>
      <c r="AA264" s="199">
        <f>SUMIFS([1]!Data_Loan[Value],[1]!Data_Loan[Index Loan],'Khanh Nga'!$B264,[1]!Data_Loan[TenCongTyID],'Khanh Nga'!$B$1,[1]!Data_Loan[Thang.Nam],'Khanh Nga'!AA$254)</f>
        <v>0</v>
      </c>
      <c r="AB264" s="199">
        <f>SUMIFS([1]!Data_Loan[Value],[1]!Data_Loan[Index Loan],'Khanh Nga'!$B264,[1]!Data_Loan[TenCongTyID],'Khanh Nga'!$B$1,[1]!Data_Loan[Thang.Nam],'Khanh Nga'!AB$254)</f>
        <v>0</v>
      </c>
      <c r="AC264" s="199">
        <f>SUMIFS([1]!Data_Loan[Value],[1]!Data_Loan[Index Loan],'Khanh Nga'!$B264,[1]!Data_Loan[TenCongTyID],'Khanh Nga'!$B$1,[1]!Data_Loan[Thang.Nam],'Khanh Nga'!AC$254)</f>
        <v>0</v>
      </c>
      <c r="AD264" s="199">
        <f>SUMIFS([1]!Data_Loan[Value],[1]!Data_Loan[Index Loan],'Khanh Nga'!$B264,[1]!Data_Loan[TenCongTyID],'Khanh Nga'!$B$1,[1]!Data_Loan[Thang.Nam],'Khanh Nga'!AD$254)</f>
        <v>0</v>
      </c>
      <c r="AE264" s="199">
        <f>SUMIFS([1]!Data_Loan[Value],[1]!Data_Loan[Index Loan],'Khanh Nga'!$B264,[1]!Data_Loan[TenCongTyID],'Khanh Nga'!$B$1,[1]!Data_Loan[Thang.Nam],'Khanh Nga'!AE$254)</f>
        <v>0</v>
      </c>
      <c r="AF264" s="199">
        <f>SUMIFS([1]!Data_Loan[Value],[1]!Data_Loan[Index Loan],'Khanh Nga'!$B264,[1]!Data_Loan[TenCongTyID],'Khanh Nga'!$B$1,[1]!Data_Loan[Thang.Nam],'Khanh Nga'!AF$254)</f>
        <v>0</v>
      </c>
      <c r="AG264" s="199">
        <f>SUMIFS([1]!Data_Loan[Value],[1]!Data_Loan[Index Loan],'Khanh Nga'!$B264,[1]!Data_Loan[TenCongTyID],'Khanh Nga'!$B$1,[1]!Data_Loan[Thang.Nam],'Khanh Nga'!AG$254)</f>
        <v>0</v>
      </c>
      <c r="AH264" s="199">
        <f>SUMIFS([1]!Data_Loan[Value],[1]!Data_Loan[Index Loan],'Khanh Nga'!$B264,[1]!Data_Loan[TenCongTyID],'Khanh Nga'!$B$1,[1]!Data_Loan[Thang.Nam],'Khanh Nga'!AH$254)</f>
        <v>0</v>
      </c>
      <c r="AI264" s="199">
        <f>SUMIFS([1]!Data_Loan[Value],[1]!Data_Loan[Index Loan],'Khanh Nga'!$B264,[1]!Data_Loan[TenCongTyID],'Khanh Nga'!$B$1,[1]!Data_Loan[Thang.Nam],'Khanh Nga'!AI$254)</f>
        <v>0</v>
      </c>
      <c r="AJ264" s="199">
        <f>SUMIFS([1]!Data_Loan[Value],[1]!Data_Loan[Index Loan],'Khanh Nga'!$B264,[1]!Data_Loan[TenCongTyID],'Khanh Nga'!$B$1,[1]!Data_Loan[Thang.Nam],'Khanh Nga'!AJ$254)</f>
        <v>0</v>
      </c>
      <c r="AK264" s="199">
        <f>SUMIFS([1]!Data_Loan[Value],[1]!Data_Loan[Index Loan],'Khanh Nga'!$B264,[1]!Data_Loan[TenCongTyID],'Khanh Nga'!$B$1,[1]!Data_Loan[Thang.Nam],'Khanh Nga'!AK$254)</f>
        <v>0</v>
      </c>
      <c r="AL264" s="199">
        <f>SUMIFS([1]!Data_Loan[Value],[1]!Data_Loan[Index Loan],'Khanh Nga'!$B264,[1]!Data_Loan[TenCongTyID],'Khanh Nga'!$B$1,[1]!Data_Loan[Thang.Nam],'Khanh Nga'!AL$254)</f>
        <v>0</v>
      </c>
    </row>
    <row r="265" spans="1:38" ht="15" customHeight="1">
      <c r="A265" s="200" t="s">
        <v>341</v>
      </c>
      <c r="B265" s="329">
        <v>11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>
        <v>0</v>
      </c>
      <c r="AA265" s="201">
        <f>SUMIFS([1]!Data_Loan[Value],[1]!Data_Loan[Index Loan],'Khanh Nga'!$B265,[1]!Data_Loan[TenCongTyID],'Khanh Nga'!$B$1,[1]!Data_Loan[Thang.Nam],'Khanh Nga'!AA$254)</f>
        <v>0</v>
      </c>
      <c r="AB265" s="201">
        <f>SUMIFS([1]!Data_Loan[Value],[1]!Data_Loan[Index Loan],'Khanh Nga'!$B265,[1]!Data_Loan[TenCongTyID],'Khanh Nga'!$B$1,[1]!Data_Loan[Thang.Nam],'Khanh Nga'!AB$254)</f>
        <v>0</v>
      </c>
      <c r="AC265" s="201">
        <f>SUMIFS([1]!Data_Loan[Value],[1]!Data_Loan[Index Loan],'Khanh Nga'!$B265,[1]!Data_Loan[TenCongTyID],'Khanh Nga'!$B$1,[1]!Data_Loan[Thang.Nam],'Khanh Nga'!AC$254)</f>
        <v>0</v>
      </c>
      <c r="AD265" s="201">
        <f>SUMIFS([1]!Data_Loan[Value],[1]!Data_Loan[Index Loan],'Khanh Nga'!$B265,[1]!Data_Loan[TenCongTyID],'Khanh Nga'!$B$1,[1]!Data_Loan[Thang.Nam],'Khanh Nga'!AD$254)</f>
        <v>0</v>
      </c>
      <c r="AE265" s="201">
        <f>SUMIFS([1]!Data_Loan[Value],[1]!Data_Loan[Index Loan],'Khanh Nga'!$B265,[1]!Data_Loan[TenCongTyID],'Khanh Nga'!$B$1,[1]!Data_Loan[Thang.Nam],'Khanh Nga'!AE$254)</f>
        <v>0</v>
      </c>
      <c r="AF265" s="201">
        <f>SUMIFS([1]!Data_Loan[Value],[1]!Data_Loan[Index Loan],'Khanh Nga'!$B265,[1]!Data_Loan[TenCongTyID],'Khanh Nga'!$B$1,[1]!Data_Loan[Thang.Nam],'Khanh Nga'!AF$254)</f>
        <v>0</v>
      </c>
      <c r="AG265" s="201">
        <f>SUMIFS([1]!Data_Loan[Value],[1]!Data_Loan[Index Loan],'Khanh Nga'!$B265,[1]!Data_Loan[TenCongTyID],'Khanh Nga'!$B$1,[1]!Data_Loan[Thang.Nam],'Khanh Nga'!AG$254)</f>
        <v>0</v>
      </c>
      <c r="AH265" s="201">
        <f>SUMIFS([1]!Data_Loan[Value],[1]!Data_Loan[Index Loan],'Khanh Nga'!$B265,[1]!Data_Loan[TenCongTyID],'Khanh Nga'!$B$1,[1]!Data_Loan[Thang.Nam],'Khanh Nga'!AH$254)</f>
        <v>0</v>
      </c>
      <c r="AI265" s="201">
        <f>SUMIFS([1]!Data_Loan[Value],[1]!Data_Loan[Index Loan],'Khanh Nga'!$B265,[1]!Data_Loan[TenCongTyID],'Khanh Nga'!$B$1,[1]!Data_Loan[Thang.Nam],'Khanh Nga'!AI$254)</f>
        <v>0</v>
      </c>
      <c r="AJ265" s="201">
        <f>SUMIFS([1]!Data_Loan[Value],[1]!Data_Loan[Index Loan],'Khanh Nga'!$B265,[1]!Data_Loan[TenCongTyID],'Khanh Nga'!$B$1,[1]!Data_Loan[Thang.Nam],'Khanh Nga'!AJ$254)</f>
        <v>0</v>
      </c>
      <c r="AK265" s="201">
        <f>SUMIFS([1]!Data_Loan[Value],[1]!Data_Loan[Index Loan],'Khanh Nga'!$B265,[1]!Data_Loan[TenCongTyID],'Khanh Nga'!$B$1,[1]!Data_Loan[Thang.Nam],'Khanh Nga'!AK$254)</f>
        <v>0</v>
      </c>
      <c r="AL265" s="201">
        <f>SUMIFS([1]!Data_Loan[Value],[1]!Data_Loan[Index Loan],'Khanh Nga'!$B265,[1]!Data_Loan[TenCongTyID],'Khanh Nga'!$B$1,[1]!Data_Loan[Thang.Nam],'Khanh Nga'!AL$254)</f>
        <v>0</v>
      </c>
    </row>
    <row r="266" spans="1:38" ht="15" customHeight="1">
      <c r="A266" s="200" t="s">
        <v>342</v>
      </c>
      <c r="B266" s="329">
        <v>12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>
        <v>0</v>
      </c>
      <c r="AA266" s="201">
        <f>SUMIFS([1]!Data_Loan[Value],[1]!Data_Loan[Index Loan],'Khanh Nga'!$B266,[1]!Data_Loan[TenCongTyID],'Khanh Nga'!$B$1,[1]!Data_Loan[Thang.Nam],'Khanh Nga'!AA$254)</f>
        <v>0</v>
      </c>
      <c r="AB266" s="201">
        <f>SUMIFS([1]!Data_Loan[Value],[1]!Data_Loan[Index Loan],'Khanh Nga'!$B266,[1]!Data_Loan[TenCongTyID],'Khanh Nga'!$B$1,[1]!Data_Loan[Thang.Nam],'Khanh Nga'!AB$254)</f>
        <v>0</v>
      </c>
      <c r="AC266" s="201">
        <f>SUMIFS([1]!Data_Loan[Value],[1]!Data_Loan[Index Loan],'Khanh Nga'!$B266,[1]!Data_Loan[TenCongTyID],'Khanh Nga'!$B$1,[1]!Data_Loan[Thang.Nam],'Khanh Nga'!AC$254)</f>
        <v>0</v>
      </c>
      <c r="AD266" s="201">
        <f>SUMIFS([1]!Data_Loan[Value],[1]!Data_Loan[Index Loan],'Khanh Nga'!$B266,[1]!Data_Loan[TenCongTyID],'Khanh Nga'!$B$1,[1]!Data_Loan[Thang.Nam],'Khanh Nga'!AD$254)</f>
        <v>0</v>
      </c>
      <c r="AE266" s="201">
        <f>SUMIFS([1]!Data_Loan[Value],[1]!Data_Loan[Index Loan],'Khanh Nga'!$B266,[1]!Data_Loan[TenCongTyID],'Khanh Nga'!$B$1,[1]!Data_Loan[Thang.Nam],'Khanh Nga'!AE$254)</f>
        <v>0</v>
      </c>
      <c r="AF266" s="201">
        <f>SUMIFS([1]!Data_Loan[Value],[1]!Data_Loan[Index Loan],'Khanh Nga'!$B266,[1]!Data_Loan[TenCongTyID],'Khanh Nga'!$B$1,[1]!Data_Loan[Thang.Nam],'Khanh Nga'!AF$254)</f>
        <v>0</v>
      </c>
      <c r="AG266" s="201">
        <f>SUMIFS([1]!Data_Loan[Value],[1]!Data_Loan[Index Loan],'Khanh Nga'!$B266,[1]!Data_Loan[TenCongTyID],'Khanh Nga'!$B$1,[1]!Data_Loan[Thang.Nam],'Khanh Nga'!AG$254)</f>
        <v>0</v>
      </c>
      <c r="AH266" s="201">
        <f>SUMIFS([1]!Data_Loan[Value],[1]!Data_Loan[Index Loan],'Khanh Nga'!$B266,[1]!Data_Loan[TenCongTyID],'Khanh Nga'!$B$1,[1]!Data_Loan[Thang.Nam],'Khanh Nga'!AH$254)</f>
        <v>0</v>
      </c>
      <c r="AI266" s="201">
        <f>SUMIFS([1]!Data_Loan[Value],[1]!Data_Loan[Index Loan],'Khanh Nga'!$B266,[1]!Data_Loan[TenCongTyID],'Khanh Nga'!$B$1,[1]!Data_Loan[Thang.Nam],'Khanh Nga'!AI$254)</f>
        <v>0</v>
      </c>
      <c r="AJ266" s="201">
        <f>SUMIFS([1]!Data_Loan[Value],[1]!Data_Loan[Index Loan],'Khanh Nga'!$B266,[1]!Data_Loan[TenCongTyID],'Khanh Nga'!$B$1,[1]!Data_Loan[Thang.Nam],'Khanh Nga'!AJ$254)</f>
        <v>0</v>
      </c>
      <c r="AK266" s="201">
        <f>SUMIFS([1]!Data_Loan[Value],[1]!Data_Loan[Index Loan],'Khanh Nga'!$B266,[1]!Data_Loan[TenCongTyID],'Khanh Nga'!$B$1,[1]!Data_Loan[Thang.Nam],'Khanh Nga'!AK$254)</f>
        <v>0</v>
      </c>
      <c r="AL266" s="201">
        <f>SUMIFS([1]!Data_Loan[Value],[1]!Data_Loan[Index Loan],'Khanh Nga'!$B266,[1]!Data_Loan[TenCongTyID],'Khanh Nga'!$B$1,[1]!Data_Loan[Thang.Nam],'Khanh Nga'!AL$254)</f>
        <v>0</v>
      </c>
    </row>
    <row r="267" spans="1:38" ht="15" customHeight="1">
      <c r="A267" s="200" t="s">
        <v>343</v>
      </c>
      <c r="B267" s="329">
        <v>13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>
        <v>0</v>
      </c>
      <c r="AA267" s="201">
        <f>SUMIFS([1]!Data_Loan[Value],[1]!Data_Loan[Index Loan],'Khanh Nga'!$B267,[1]!Data_Loan[TenCongTyID],'Khanh Nga'!$B$1,[1]!Data_Loan[Thang.Nam],'Khanh Nga'!AA$254)</f>
        <v>0</v>
      </c>
      <c r="AB267" s="201">
        <f>SUMIFS([1]!Data_Loan[Value],[1]!Data_Loan[Index Loan],'Khanh Nga'!$B267,[1]!Data_Loan[TenCongTyID],'Khanh Nga'!$B$1,[1]!Data_Loan[Thang.Nam],'Khanh Nga'!AB$254)</f>
        <v>0</v>
      </c>
      <c r="AC267" s="201">
        <f>SUMIFS([1]!Data_Loan[Value],[1]!Data_Loan[Index Loan],'Khanh Nga'!$B267,[1]!Data_Loan[TenCongTyID],'Khanh Nga'!$B$1,[1]!Data_Loan[Thang.Nam],'Khanh Nga'!AC$254)</f>
        <v>0</v>
      </c>
      <c r="AD267" s="201">
        <f>SUMIFS([1]!Data_Loan[Value],[1]!Data_Loan[Index Loan],'Khanh Nga'!$B267,[1]!Data_Loan[TenCongTyID],'Khanh Nga'!$B$1,[1]!Data_Loan[Thang.Nam],'Khanh Nga'!AD$254)</f>
        <v>0</v>
      </c>
      <c r="AE267" s="201">
        <f>SUMIFS([1]!Data_Loan[Value],[1]!Data_Loan[Index Loan],'Khanh Nga'!$B267,[1]!Data_Loan[TenCongTyID],'Khanh Nga'!$B$1,[1]!Data_Loan[Thang.Nam],'Khanh Nga'!AE$254)</f>
        <v>0</v>
      </c>
      <c r="AF267" s="201">
        <f>SUMIFS([1]!Data_Loan[Value],[1]!Data_Loan[Index Loan],'Khanh Nga'!$B267,[1]!Data_Loan[TenCongTyID],'Khanh Nga'!$B$1,[1]!Data_Loan[Thang.Nam],'Khanh Nga'!AF$254)</f>
        <v>0</v>
      </c>
      <c r="AG267" s="201">
        <f>SUMIFS([1]!Data_Loan[Value],[1]!Data_Loan[Index Loan],'Khanh Nga'!$B267,[1]!Data_Loan[TenCongTyID],'Khanh Nga'!$B$1,[1]!Data_Loan[Thang.Nam],'Khanh Nga'!AG$254)</f>
        <v>0</v>
      </c>
      <c r="AH267" s="201">
        <f>SUMIFS([1]!Data_Loan[Value],[1]!Data_Loan[Index Loan],'Khanh Nga'!$B267,[1]!Data_Loan[TenCongTyID],'Khanh Nga'!$B$1,[1]!Data_Loan[Thang.Nam],'Khanh Nga'!AH$254)</f>
        <v>0</v>
      </c>
      <c r="AI267" s="201">
        <f>SUMIFS([1]!Data_Loan[Value],[1]!Data_Loan[Index Loan],'Khanh Nga'!$B267,[1]!Data_Loan[TenCongTyID],'Khanh Nga'!$B$1,[1]!Data_Loan[Thang.Nam],'Khanh Nga'!AI$254)</f>
        <v>0</v>
      </c>
      <c r="AJ267" s="201">
        <f>SUMIFS([1]!Data_Loan[Value],[1]!Data_Loan[Index Loan],'Khanh Nga'!$B267,[1]!Data_Loan[TenCongTyID],'Khanh Nga'!$B$1,[1]!Data_Loan[Thang.Nam],'Khanh Nga'!AJ$254)</f>
        <v>0</v>
      </c>
      <c r="AK267" s="201">
        <f>SUMIFS([1]!Data_Loan[Value],[1]!Data_Loan[Index Loan],'Khanh Nga'!$B267,[1]!Data_Loan[TenCongTyID],'Khanh Nga'!$B$1,[1]!Data_Loan[Thang.Nam],'Khanh Nga'!AK$254)</f>
        <v>0</v>
      </c>
      <c r="AL267" s="201">
        <f>SUMIFS([1]!Data_Loan[Value],[1]!Data_Loan[Index Loan],'Khanh Nga'!$B267,[1]!Data_Loan[TenCongTyID],'Khanh Nga'!$B$1,[1]!Data_Loan[Thang.Nam],'Khanh Nga'!AL$254)</f>
        <v>0</v>
      </c>
    </row>
    <row r="268" spans="1:38" ht="15" customHeight="1">
      <c r="A268" s="200" t="s">
        <v>344</v>
      </c>
      <c r="B268" s="329">
        <v>14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>
        <v>0</v>
      </c>
      <c r="AA268" s="201">
        <f>SUMIFS([1]!Data_Loan[Value],[1]!Data_Loan[Index Loan],'Khanh Nga'!$B268,[1]!Data_Loan[TenCongTyID],'Khanh Nga'!$B$1,[1]!Data_Loan[Thang.Nam],'Khanh Nga'!AA$254)</f>
        <v>0</v>
      </c>
      <c r="AB268" s="201">
        <f>SUMIFS([1]!Data_Loan[Value],[1]!Data_Loan[Index Loan],'Khanh Nga'!$B268,[1]!Data_Loan[TenCongTyID],'Khanh Nga'!$B$1,[1]!Data_Loan[Thang.Nam],'Khanh Nga'!AB$254)</f>
        <v>0</v>
      </c>
      <c r="AC268" s="201">
        <f>SUMIFS([1]!Data_Loan[Value],[1]!Data_Loan[Index Loan],'Khanh Nga'!$B268,[1]!Data_Loan[TenCongTyID],'Khanh Nga'!$B$1,[1]!Data_Loan[Thang.Nam],'Khanh Nga'!AC$254)</f>
        <v>0</v>
      </c>
      <c r="AD268" s="201">
        <f>SUMIFS([1]!Data_Loan[Value],[1]!Data_Loan[Index Loan],'Khanh Nga'!$B268,[1]!Data_Loan[TenCongTyID],'Khanh Nga'!$B$1,[1]!Data_Loan[Thang.Nam],'Khanh Nga'!AD$254)</f>
        <v>0</v>
      </c>
      <c r="AE268" s="201">
        <f>SUMIFS([1]!Data_Loan[Value],[1]!Data_Loan[Index Loan],'Khanh Nga'!$B268,[1]!Data_Loan[TenCongTyID],'Khanh Nga'!$B$1,[1]!Data_Loan[Thang.Nam],'Khanh Nga'!AE$254)</f>
        <v>0</v>
      </c>
      <c r="AF268" s="201">
        <f>SUMIFS([1]!Data_Loan[Value],[1]!Data_Loan[Index Loan],'Khanh Nga'!$B268,[1]!Data_Loan[TenCongTyID],'Khanh Nga'!$B$1,[1]!Data_Loan[Thang.Nam],'Khanh Nga'!AF$254)</f>
        <v>0</v>
      </c>
      <c r="AG268" s="201">
        <f>SUMIFS([1]!Data_Loan[Value],[1]!Data_Loan[Index Loan],'Khanh Nga'!$B268,[1]!Data_Loan[TenCongTyID],'Khanh Nga'!$B$1,[1]!Data_Loan[Thang.Nam],'Khanh Nga'!AG$254)</f>
        <v>0</v>
      </c>
      <c r="AH268" s="201">
        <f>SUMIFS([1]!Data_Loan[Value],[1]!Data_Loan[Index Loan],'Khanh Nga'!$B268,[1]!Data_Loan[TenCongTyID],'Khanh Nga'!$B$1,[1]!Data_Loan[Thang.Nam],'Khanh Nga'!AH$254)</f>
        <v>0</v>
      </c>
      <c r="AI268" s="201">
        <f>SUMIFS([1]!Data_Loan[Value],[1]!Data_Loan[Index Loan],'Khanh Nga'!$B268,[1]!Data_Loan[TenCongTyID],'Khanh Nga'!$B$1,[1]!Data_Loan[Thang.Nam],'Khanh Nga'!AI$254)</f>
        <v>0</v>
      </c>
      <c r="AJ268" s="201">
        <f>SUMIFS([1]!Data_Loan[Value],[1]!Data_Loan[Index Loan],'Khanh Nga'!$B268,[1]!Data_Loan[TenCongTyID],'Khanh Nga'!$B$1,[1]!Data_Loan[Thang.Nam],'Khanh Nga'!AJ$254)</f>
        <v>0</v>
      </c>
      <c r="AK268" s="201">
        <f>SUMIFS([1]!Data_Loan[Value],[1]!Data_Loan[Index Loan],'Khanh Nga'!$B268,[1]!Data_Loan[TenCongTyID],'Khanh Nga'!$B$1,[1]!Data_Loan[Thang.Nam],'Khanh Nga'!AK$254)</f>
        <v>0</v>
      </c>
      <c r="AL268" s="201">
        <f>SUMIFS([1]!Data_Loan[Value],[1]!Data_Loan[Index Loan],'Khanh Nga'!$B268,[1]!Data_Loan[TenCongTyID],'Khanh Nga'!$B$1,[1]!Data_Loan[Thang.Nam],'Khanh Nga'!AL$254)</f>
        <v>0</v>
      </c>
    </row>
    <row r="269" spans="1:38" ht="15" customHeight="1">
      <c r="A269" s="200" t="s">
        <v>345</v>
      </c>
      <c r="B269" s="329">
        <v>15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>
        <v>0</v>
      </c>
      <c r="AA269" s="201">
        <f>SUMIFS([1]!Data_Loan[Value],[1]!Data_Loan[Index Loan],'Khanh Nga'!$B269,[1]!Data_Loan[TenCongTyID],'Khanh Nga'!$B$1,[1]!Data_Loan[Thang.Nam],'Khanh Nga'!AA$254)</f>
        <v>0</v>
      </c>
      <c r="AB269" s="201">
        <f>SUMIFS([1]!Data_Loan[Value],[1]!Data_Loan[Index Loan],'Khanh Nga'!$B269,[1]!Data_Loan[TenCongTyID],'Khanh Nga'!$B$1,[1]!Data_Loan[Thang.Nam],'Khanh Nga'!AB$254)</f>
        <v>0</v>
      </c>
      <c r="AC269" s="201">
        <f>SUMIFS([1]!Data_Loan[Value],[1]!Data_Loan[Index Loan],'Khanh Nga'!$B269,[1]!Data_Loan[TenCongTyID],'Khanh Nga'!$B$1,[1]!Data_Loan[Thang.Nam],'Khanh Nga'!AC$254)</f>
        <v>0</v>
      </c>
      <c r="AD269" s="201">
        <f>SUMIFS([1]!Data_Loan[Value],[1]!Data_Loan[Index Loan],'Khanh Nga'!$B269,[1]!Data_Loan[TenCongTyID],'Khanh Nga'!$B$1,[1]!Data_Loan[Thang.Nam],'Khanh Nga'!AD$254)</f>
        <v>0</v>
      </c>
      <c r="AE269" s="201">
        <f>SUMIFS([1]!Data_Loan[Value],[1]!Data_Loan[Index Loan],'Khanh Nga'!$B269,[1]!Data_Loan[TenCongTyID],'Khanh Nga'!$B$1,[1]!Data_Loan[Thang.Nam],'Khanh Nga'!AE$254)</f>
        <v>0</v>
      </c>
      <c r="AF269" s="201">
        <f>SUMIFS([1]!Data_Loan[Value],[1]!Data_Loan[Index Loan],'Khanh Nga'!$B269,[1]!Data_Loan[TenCongTyID],'Khanh Nga'!$B$1,[1]!Data_Loan[Thang.Nam],'Khanh Nga'!AF$254)</f>
        <v>0</v>
      </c>
      <c r="AG269" s="201">
        <f>SUMIFS([1]!Data_Loan[Value],[1]!Data_Loan[Index Loan],'Khanh Nga'!$B269,[1]!Data_Loan[TenCongTyID],'Khanh Nga'!$B$1,[1]!Data_Loan[Thang.Nam],'Khanh Nga'!AG$254)</f>
        <v>0</v>
      </c>
      <c r="AH269" s="201">
        <f>SUMIFS([1]!Data_Loan[Value],[1]!Data_Loan[Index Loan],'Khanh Nga'!$B269,[1]!Data_Loan[TenCongTyID],'Khanh Nga'!$B$1,[1]!Data_Loan[Thang.Nam],'Khanh Nga'!AH$254)</f>
        <v>0</v>
      </c>
      <c r="AI269" s="201">
        <f>SUMIFS([1]!Data_Loan[Value],[1]!Data_Loan[Index Loan],'Khanh Nga'!$B269,[1]!Data_Loan[TenCongTyID],'Khanh Nga'!$B$1,[1]!Data_Loan[Thang.Nam],'Khanh Nga'!AI$254)</f>
        <v>0</v>
      </c>
      <c r="AJ269" s="201">
        <f>SUMIFS([1]!Data_Loan[Value],[1]!Data_Loan[Index Loan],'Khanh Nga'!$B269,[1]!Data_Loan[TenCongTyID],'Khanh Nga'!$B$1,[1]!Data_Loan[Thang.Nam],'Khanh Nga'!AJ$254)</f>
        <v>0</v>
      </c>
      <c r="AK269" s="201">
        <f>SUMIFS([1]!Data_Loan[Value],[1]!Data_Loan[Index Loan],'Khanh Nga'!$B269,[1]!Data_Loan[TenCongTyID],'Khanh Nga'!$B$1,[1]!Data_Loan[Thang.Nam],'Khanh Nga'!AK$254)</f>
        <v>0</v>
      </c>
      <c r="AL269" s="201">
        <f>SUMIFS([1]!Data_Loan[Value],[1]!Data_Loan[Index Loan],'Khanh Nga'!$B269,[1]!Data_Loan[TenCongTyID],'Khanh Nga'!$B$1,[1]!Data_Loan[Thang.Nam],'Khanh Nga'!AL$254)</f>
        <v>0</v>
      </c>
    </row>
    <row r="270" spans="1:38" ht="15" customHeight="1">
      <c r="A270" s="200" t="s">
        <v>346</v>
      </c>
      <c r="B270" s="329">
        <v>16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>
        <v>0</v>
      </c>
      <c r="AA270" s="201">
        <f>SUMIFS([1]!Data_Loan[Value],[1]!Data_Loan[Index Loan],'Khanh Nga'!$B270,[1]!Data_Loan[TenCongTyID],'Khanh Nga'!$B$1,[1]!Data_Loan[Thang.Nam],'Khanh Nga'!AA$254)</f>
        <v>0</v>
      </c>
      <c r="AB270" s="201">
        <f>SUMIFS([1]!Data_Loan[Value],[1]!Data_Loan[Index Loan],'Khanh Nga'!$B270,[1]!Data_Loan[TenCongTyID],'Khanh Nga'!$B$1,[1]!Data_Loan[Thang.Nam],'Khanh Nga'!AB$254)</f>
        <v>0</v>
      </c>
      <c r="AC270" s="201">
        <f>SUMIFS([1]!Data_Loan[Value],[1]!Data_Loan[Index Loan],'Khanh Nga'!$B270,[1]!Data_Loan[TenCongTyID],'Khanh Nga'!$B$1,[1]!Data_Loan[Thang.Nam],'Khanh Nga'!AC$254)</f>
        <v>0</v>
      </c>
      <c r="AD270" s="201">
        <f>SUMIFS([1]!Data_Loan[Value],[1]!Data_Loan[Index Loan],'Khanh Nga'!$B270,[1]!Data_Loan[TenCongTyID],'Khanh Nga'!$B$1,[1]!Data_Loan[Thang.Nam],'Khanh Nga'!AD$254)</f>
        <v>0</v>
      </c>
      <c r="AE270" s="201">
        <f>SUMIFS([1]!Data_Loan[Value],[1]!Data_Loan[Index Loan],'Khanh Nga'!$B270,[1]!Data_Loan[TenCongTyID],'Khanh Nga'!$B$1,[1]!Data_Loan[Thang.Nam],'Khanh Nga'!AE$254)</f>
        <v>0</v>
      </c>
      <c r="AF270" s="201">
        <f>SUMIFS([1]!Data_Loan[Value],[1]!Data_Loan[Index Loan],'Khanh Nga'!$B270,[1]!Data_Loan[TenCongTyID],'Khanh Nga'!$B$1,[1]!Data_Loan[Thang.Nam],'Khanh Nga'!AF$254)</f>
        <v>0</v>
      </c>
      <c r="AG270" s="201">
        <f>SUMIFS([1]!Data_Loan[Value],[1]!Data_Loan[Index Loan],'Khanh Nga'!$B270,[1]!Data_Loan[TenCongTyID],'Khanh Nga'!$B$1,[1]!Data_Loan[Thang.Nam],'Khanh Nga'!AG$254)</f>
        <v>0</v>
      </c>
      <c r="AH270" s="201">
        <f>SUMIFS([1]!Data_Loan[Value],[1]!Data_Loan[Index Loan],'Khanh Nga'!$B270,[1]!Data_Loan[TenCongTyID],'Khanh Nga'!$B$1,[1]!Data_Loan[Thang.Nam],'Khanh Nga'!AH$254)</f>
        <v>0</v>
      </c>
      <c r="AI270" s="201">
        <f>SUMIFS([1]!Data_Loan[Value],[1]!Data_Loan[Index Loan],'Khanh Nga'!$B270,[1]!Data_Loan[TenCongTyID],'Khanh Nga'!$B$1,[1]!Data_Loan[Thang.Nam],'Khanh Nga'!AI$254)</f>
        <v>0</v>
      </c>
      <c r="AJ270" s="201">
        <f>SUMIFS([1]!Data_Loan[Value],[1]!Data_Loan[Index Loan],'Khanh Nga'!$B270,[1]!Data_Loan[TenCongTyID],'Khanh Nga'!$B$1,[1]!Data_Loan[Thang.Nam],'Khanh Nga'!AJ$254)</f>
        <v>0</v>
      </c>
      <c r="AK270" s="201">
        <f>SUMIFS([1]!Data_Loan[Value],[1]!Data_Loan[Index Loan],'Khanh Nga'!$B270,[1]!Data_Loan[TenCongTyID],'Khanh Nga'!$B$1,[1]!Data_Loan[Thang.Nam],'Khanh Nga'!AK$254)</f>
        <v>0</v>
      </c>
      <c r="AL270" s="201">
        <f>SUMIFS([1]!Data_Loan[Value],[1]!Data_Loan[Index Loan],'Khanh Nga'!$B270,[1]!Data_Loan[TenCongTyID],'Khanh Nga'!$B$1,[1]!Data_Loan[Thang.Nam],'Khanh Nga'!AL$254)</f>
        <v>0</v>
      </c>
    </row>
    <row r="271" spans="1:38" ht="15" customHeight="1">
      <c r="A271" s="200" t="s">
        <v>347</v>
      </c>
      <c r="B271" s="329">
        <v>17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>
        <v>0</v>
      </c>
      <c r="AA271" s="201">
        <f>SUMIFS([1]!Data_Loan[Value],[1]!Data_Loan[Index Loan],'Khanh Nga'!$B271,[1]!Data_Loan[TenCongTyID],'Khanh Nga'!$B$1,[1]!Data_Loan[Thang.Nam],'Khanh Nga'!AA$254)</f>
        <v>0</v>
      </c>
      <c r="AB271" s="201">
        <f>SUMIFS([1]!Data_Loan[Value],[1]!Data_Loan[Index Loan],'Khanh Nga'!$B271,[1]!Data_Loan[TenCongTyID],'Khanh Nga'!$B$1,[1]!Data_Loan[Thang.Nam],'Khanh Nga'!AB$254)</f>
        <v>0</v>
      </c>
      <c r="AC271" s="201">
        <f>SUMIFS([1]!Data_Loan[Value],[1]!Data_Loan[Index Loan],'Khanh Nga'!$B271,[1]!Data_Loan[TenCongTyID],'Khanh Nga'!$B$1,[1]!Data_Loan[Thang.Nam],'Khanh Nga'!AC$254)</f>
        <v>0</v>
      </c>
      <c r="AD271" s="201">
        <f>SUMIFS([1]!Data_Loan[Value],[1]!Data_Loan[Index Loan],'Khanh Nga'!$B271,[1]!Data_Loan[TenCongTyID],'Khanh Nga'!$B$1,[1]!Data_Loan[Thang.Nam],'Khanh Nga'!AD$254)</f>
        <v>0</v>
      </c>
      <c r="AE271" s="201">
        <f>SUMIFS([1]!Data_Loan[Value],[1]!Data_Loan[Index Loan],'Khanh Nga'!$B271,[1]!Data_Loan[TenCongTyID],'Khanh Nga'!$B$1,[1]!Data_Loan[Thang.Nam],'Khanh Nga'!AE$254)</f>
        <v>0</v>
      </c>
      <c r="AF271" s="201">
        <f>SUMIFS([1]!Data_Loan[Value],[1]!Data_Loan[Index Loan],'Khanh Nga'!$B271,[1]!Data_Loan[TenCongTyID],'Khanh Nga'!$B$1,[1]!Data_Loan[Thang.Nam],'Khanh Nga'!AF$254)</f>
        <v>0</v>
      </c>
      <c r="AG271" s="201">
        <f>SUMIFS([1]!Data_Loan[Value],[1]!Data_Loan[Index Loan],'Khanh Nga'!$B271,[1]!Data_Loan[TenCongTyID],'Khanh Nga'!$B$1,[1]!Data_Loan[Thang.Nam],'Khanh Nga'!AG$254)</f>
        <v>0</v>
      </c>
      <c r="AH271" s="201">
        <f>SUMIFS([1]!Data_Loan[Value],[1]!Data_Loan[Index Loan],'Khanh Nga'!$B271,[1]!Data_Loan[TenCongTyID],'Khanh Nga'!$B$1,[1]!Data_Loan[Thang.Nam],'Khanh Nga'!AH$254)</f>
        <v>0</v>
      </c>
      <c r="AI271" s="201">
        <f>SUMIFS([1]!Data_Loan[Value],[1]!Data_Loan[Index Loan],'Khanh Nga'!$B271,[1]!Data_Loan[TenCongTyID],'Khanh Nga'!$B$1,[1]!Data_Loan[Thang.Nam],'Khanh Nga'!AI$254)</f>
        <v>0</v>
      </c>
      <c r="AJ271" s="201">
        <f>SUMIFS([1]!Data_Loan[Value],[1]!Data_Loan[Index Loan],'Khanh Nga'!$B271,[1]!Data_Loan[TenCongTyID],'Khanh Nga'!$B$1,[1]!Data_Loan[Thang.Nam],'Khanh Nga'!AJ$254)</f>
        <v>0</v>
      </c>
      <c r="AK271" s="201">
        <f>SUMIFS([1]!Data_Loan[Value],[1]!Data_Loan[Index Loan],'Khanh Nga'!$B271,[1]!Data_Loan[TenCongTyID],'Khanh Nga'!$B$1,[1]!Data_Loan[Thang.Nam],'Khanh Nga'!AK$254)</f>
        <v>0</v>
      </c>
      <c r="AL271" s="201">
        <f>SUMIFS([1]!Data_Loan[Value],[1]!Data_Loan[Index Loan],'Khanh Nga'!$B271,[1]!Data_Loan[TenCongTyID],'Khanh Nga'!$B$1,[1]!Data_Loan[Thang.Nam],'Khanh Nga'!AL$254)</f>
        <v>0</v>
      </c>
    </row>
    <row r="272" spans="1:38" ht="15" customHeight="1">
      <c r="B272" s="329">
        <v>18</v>
      </c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>
        <v>0</v>
      </c>
      <c r="AA272" s="201">
        <f>SUMIFS([1]!Data_Loan[Value],[1]!Data_Loan[Index Loan],'Khanh Nga'!$B272,[1]!Data_Loan[TenCongTyID],'Khanh Nga'!$B$1,[1]!Data_Loan[Thang.Nam],'Khanh Nga'!AA$254)</f>
        <v>0</v>
      </c>
      <c r="AB272" s="201">
        <f>SUMIFS([1]!Data_Loan[Value],[1]!Data_Loan[Index Loan],'Khanh Nga'!$B272,[1]!Data_Loan[TenCongTyID],'Khanh Nga'!$B$1,[1]!Data_Loan[Thang.Nam],'Khanh Nga'!AB$254)</f>
        <v>0</v>
      </c>
      <c r="AC272" s="201">
        <f>SUMIFS([1]!Data_Loan[Value],[1]!Data_Loan[Index Loan],'Khanh Nga'!$B272,[1]!Data_Loan[TenCongTyID],'Khanh Nga'!$B$1,[1]!Data_Loan[Thang.Nam],'Khanh Nga'!AC$254)</f>
        <v>0</v>
      </c>
      <c r="AD272" s="201">
        <f>SUMIFS([1]!Data_Loan[Value],[1]!Data_Loan[Index Loan],'Khanh Nga'!$B272,[1]!Data_Loan[TenCongTyID],'Khanh Nga'!$B$1,[1]!Data_Loan[Thang.Nam],'Khanh Nga'!AD$254)</f>
        <v>0</v>
      </c>
      <c r="AE272" s="201">
        <f>SUMIFS([1]!Data_Loan[Value],[1]!Data_Loan[Index Loan],'Khanh Nga'!$B272,[1]!Data_Loan[TenCongTyID],'Khanh Nga'!$B$1,[1]!Data_Loan[Thang.Nam],'Khanh Nga'!AE$254)</f>
        <v>0</v>
      </c>
      <c r="AF272" s="201">
        <f>SUMIFS([1]!Data_Loan[Value],[1]!Data_Loan[Index Loan],'Khanh Nga'!$B272,[1]!Data_Loan[TenCongTyID],'Khanh Nga'!$B$1,[1]!Data_Loan[Thang.Nam],'Khanh Nga'!AF$254)</f>
        <v>0</v>
      </c>
      <c r="AG272" s="201">
        <f>SUMIFS([1]!Data_Loan[Value],[1]!Data_Loan[Index Loan],'Khanh Nga'!$B272,[1]!Data_Loan[TenCongTyID],'Khanh Nga'!$B$1,[1]!Data_Loan[Thang.Nam],'Khanh Nga'!AG$254)</f>
        <v>0</v>
      </c>
      <c r="AH272" s="201">
        <f>SUMIFS([1]!Data_Loan[Value],[1]!Data_Loan[Index Loan],'Khanh Nga'!$B272,[1]!Data_Loan[TenCongTyID],'Khanh Nga'!$B$1,[1]!Data_Loan[Thang.Nam],'Khanh Nga'!AH$254)</f>
        <v>0</v>
      </c>
      <c r="AI272" s="201">
        <f>SUMIFS([1]!Data_Loan[Value],[1]!Data_Loan[Index Loan],'Khanh Nga'!$B272,[1]!Data_Loan[TenCongTyID],'Khanh Nga'!$B$1,[1]!Data_Loan[Thang.Nam],'Khanh Nga'!AI$254)</f>
        <v>0</v>
      </c>
      <c r="AJ272" s="201">
        <f>SUMIFS([1]!Data_Loan[Value],[1]!Data_Loan[Index Loan],'Khanh Nga'!$B272,[1]!Data_Loan[TenCongTyID],'Khanh Nga'!$B$1,[1]!Data_Loan[Thang.Nam],'Khanh Nga'!AJ$254)</f>
        <v>0</v>
      </c>
      <c r="AK272" s="201">
        <f>SUMIFS([1]!Data_Loan[Value],[1]!Data_Loan[Index Loan],'Khanh Nga'!$B272,[1]!Data_Loan[TenCongTyID],'Khanh Nga'!$B$1,[1]!Data_Loan[Thang.Nam],'Khanh Nga'!AK$254)</f>
        <v>0</v>
      </c>
      <c r="AL272" s="201">
        <f>SUMIFS([1]!Data_Loan[Value],[1]!Data_Loan[Index Loan],'Khanh Nga'!$B272,[1]!Data_Loan[TenCongTyID],'Khanh Nga'!$B$1,[1]!Data_Loan[Thang.Nam],'Khanh Nga'!AL$254)</f>
        <v>0</v>
      </c>
    </row>
    <row r="273" spans="1:38" ht="15" customHeight="1">
      <c r="A273" s="202" t="s">
        <v>348</v>
      </c>
      <c r="B273" s="330">
        <v>19</v>
      </c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>
        <v>0</v>
      </c>
      <c r="AA273" s="201">
        <f>SUMIFS([1]!Data_Loan[Value],[1]!Data_Loan[Index Loan],'Khanh Nga'!$B273,[1]!Data_Loan[TenCongTyID],'Khanh Nga'!$B$1,[1]!Data_Loan[Thang.Nam],'Khanh Nga'!AA$254)</f>
        <v>0</v>
      </c>
      <c r="AB273" s="201">
        <f>SUMIFS([1]!Data_Loan[Value],[1]!Data_Loan[Index Loan],'Khanh Nga'!$B273,[1]!Data_Loan[TenCongTyID],'Khanh Nga'!$B$1,[1]!Data_Loan[Thang.Nam],'Khanh Nga'!AB$254)</f>
        <v>0</v>
      </c>
      <c r="AC273" s="201">
        <f>SUMIFS([1]!Data_Loan[Value],[1]!Data_Loan[Index Loan],'Khanh Nga'!$B273,[1]!Data_Loan[TenCongTyID],'Khanh Nga'!$B$1,[1]!Data_Loan[Thang.Nam],'Khanh Nga'!AC$254)</f>
        <v>0</v>
      </c>
      <c r="AD273" s="201">
        <f>SUMIFS([1]!Data_Loan[Value],[1]!Data_Loan[Index Loan],'Khanh Nga'!$B273,[1]!Data_Loan[TenCongTyID],'Khanh Nga'!$B$1,[1]!Data_Loan[Thang.Nam],'Khanh Nga'!AD$254)</f>
        <v>0</v>
      </c>
      <c r="AE273" s="201">
        <f>SUMIFS([1]!Data_Loan[Value],[1]!Data_Loan[Index Loan],'Khanh Nga'!$B273,[1]!Data_Loan[TenCongTyID],'Khanh Nga'!$B$1,[1]!Data_Loan[Thang.Nam],'Khanh Nga'!AE$254)</f>
        <v>0</v>
      </c>
      <c r="AF273" s="201">
        <f>SUMIFS([1]!Data_Loan[Value],[1]!Data_Loan[Index Loan],'Khanh Nga'!$B273,[1]!Data_Loan[TenCongTyID],'Khanh Nga'!$B$1,[1]!Data_Loan[Thang.Nam],'Khanh Nga'!AF$254)</f>
        <v>0</v>
      </c>
      <c r="AG273" s="201">
        <f>SUMIFS([1]!Data_Loan[Value],[1]!Data_Loan[Index Loan],'Khanh Nga'!$B273,[1]!Data_Loan[TenCongTyID],'Khanh Nga'!$B$1,[1]!Data_Loan[Thang.Nam],'Khanh Nga'!AG$254)</f>
        <v>0</v>
      </c>
      <c r="AH273" s="201">
        <f>SUMIFS([1]!Data_Loan[Value],[1]!Data_Loan[Index Loan],'Khanh Nga'!$B273,[1]!Data_Loan[TenCongTyID],'Khanh Nga'!$B$1,[1]!Data_Loan[Thang.Nam],'Khanh Nga'!AH$254)</f>
        <v>0</v>
      </c>
      <c r="AI273" s="201">
        <f>SUMIFS([1]!Data_Loan[Value],[1]!Data_Loan[Index Loan],'Khanh Nga'!$B273,[1]!Data_Loan[TenCongTyID],'Khanh Nga'!$B$1,[1]!Data_Loan[Thang.Nam],'Khanh Nga'!AI$254)</f>
        <v>0</v>
      </c>
      <c r="AJ273" s="201">
        <f>SUMIFS([1]!Data_Loan[Value],[1]!Data_Loan[Index Loan],'Khanh Nga'!$B273,[1]!Data_Loan[TenCongTyID],'Khanh Nga'!$B$1,[1]!Data_Loan[Thang.Nam],'Khanh Nga'!AJ$254)</f>
        <v>0</v>
      </c>
      <c r="AK273" s="201">
        <f>SUMIFS([1]!Data_Loan[Value],[1]!Data_Loan[Index Loan],'Khanh Nga'!$B273,[1]!Data_Loan[TenCongTyID],'Khanh Nga'!$B$1,[1]!Data_Loan[Thang.Nam],'Khanh Nga'!AK$254)</f>
        <v>0</v>
      </c>
      <c r="AL273" s="201">
        <f>SUMIFS([1]!Data_Loan[Value],[1]!Data_Loan[Index Loan],'Khanh Nga'!$B273,[1]!Data_Loan[TenCongTyID],'Khanh Nga'!$B$1,[1]!Data_Loan[Thang.Nam],'Khanh Nga'!AL$254)</f>
        <v>0</v>
      </c>
    </row>
    <row r="274" spans="1:38" ht="15" customHeight="1">
      <c r="A274" s="200" t="str">
        <f>A265</f>
        <v>ACB</v>
      </c>
      <c r="B274" s="329">
        <v>20</v>
      </c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>
        <v>0</v>
      </c>
      <c r="AA274" s="201">
        <f>SUMIFS([1]!Data_Loan[Value],[1]!Data_Loan[Index Loan],'Khanh Nga'!$B274,[1]!Data_Loan[TenCongTyID],'Khanh Nga'!$B$1,[1]!Data_Loan[Thang.Nam],'Khanh Nga'!AA$254)</f>
        <v>0</v>
      </c>
      <c r="AB274" s="201">
        <f>SUMIFS([1]!Data_Loan[Value],[1]!Data_Loan[Index Loan],'Khanh Nga'!$B274,[1]!Data_Loan[TenCongTyID],'Khanh Nga'!$B$1,[1]!Data_Loan[Thang.Nam],'Khanh Nga'!AB$254)</f>
        <v>0</v>
      </c>
      <c r="AC274" s="201">
        <f>SUMIFS([1]!Data_Loan[Value],[1]!Data_Loan[Index Loan],'Khanh Nga'!$B274,[1]!Data_Loan[TenCongTyID],'Khanh Nga'!$B$1,[1]!Data_Loan[Thang.Nam],'Khanh Nga'!AC$254)</f>
        <v>0</v>
      </c>
      <c r="AD274" s="201">
        <f>SUMIFS([1]!Data_Loan[Value],[1]!Data_Loan[Index Loan],'Khanh Nga'!$B274,[1]!Data_Loan[TenCongTyID],'Khanh Nga'!$B$1,[1]!Data_Loan[Thang.Nam],'Khanh Nga'!AD$254)</f>
        <v>0</v>
      </c>
      <c r="AE274" s="201">
        <f>SUMIFS([1]!Data_Loan[Value],[1]!Data_Loan[Index Loan],'Khanh Nga'!$B274,[1]!Data_Loan[TenCongTyID],'Khanh Nga'!$B$1,[1]!Data_Loan[Thang.Nam],'Khanh Nga'!AE$254)</f>
        <v>0</v>
      </c>
      <c r="AF274" s="201">
        <f>SUMIFS([1]!Data_Loan[Value],[1]!Data_Loan[Index Loan],'Khanh Nga'!$B274,[1]!Data_Loan[TenCongTyID],'Khanh Nga'!$B$1,[1]!Data_Loan[Thang.Nam],'Khanh Nga'!AF$254)</f>
        <v>0</v>
      </c>
      <c r="AG274" s="201">
        <f>SUMIFS([1]!Data_Loan[Value],[1]!Data_Loan[Index Loan],'Khanh Nga'!$B274,[1]!Data_Loan[TenCongTyID],'Khanh Nga'!$B$1,[1]!Data_Loan[Thang.Nam],'Khanh Nga'!AG$254)</f>
        <v>0</v>
      </c>
      <c r="AH274" s="201">
        <f>SUMIFS([1]!Data_Loan[Value],[1]!Data_Loan[Index Loan],'Khanh Nga'!$B274,[1]!Data_Loan[TenCongTyID],'Khanh Nga'!$B$1,[1]!Data_Loan[Thang.Nam],'Khanh Nga'!AH$254)</f>
        <v>0</v>
      </c>
      <c r="AI274" s="201">
        <f>SUMIFS([1]!Data_Loan[Value],[1]!Data_Loan[Index Loan],'Khanh Nga'!$B274,[1]!Data_Loan[TenCongTyID],'Khanh Nga'!$B$1,[1]!Data_Loan[Thang.Nam],'Khanh Nga'!AI$254)</f>
        <v>0</v>
      </c>
      <c r="AJ274" s="201">
        <f>SUMIFS([1]!Data_Loan[Value],[1]!Data_Loan[Index Loan],'Khanh Nga'!$B274,[1]!Data_Loan[TenCongTyID],'Khanh Nga'!$B$1,[1]!Data_Loan[Thang.Nam],'Khanh Nga'!AJ$254)</f>
        <v>0</v>
      </c>
      <c r="AK274" s="201">
        <f>SUMIFS([1]!Data_Loan[Value],[1]!Data_Loan[Index Loan],'Khanh Nga'!$B274,[1]!Data_Loan[TenCongTyID],'Khanh Nga'!$B$1,[1]!Data_Loan[Thang.Nam],'Khanh Nga'!AK$254)</f>
        <v>0</v>
      </c>
      <c r="AL274" s="201">
        <f>SUMIFS([1]!Data_Loan[Value],[1]!Data_Loan[Index Loan],'Khanh Nga'!$B274,[1]!Data_Loan[TenCongTyID],'Khanh Nga'!$B$1,[1]!Data_Loan[Thang.Nam],'Khanh Nga'!AL$254)</f>
        <v>0</v>
      </c>
    </row>
    <row r="275" spans="1:38" ht="15" customHeight="1">
      <c r="A275" s="200" t="str">
        <f t="shared" ref="A275:A281" si="38">A266</f>
        <v>VietinBank</v>
      </c>
      <c r="B275" s="329">
        <v>21</v>
      </c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>
        <v>0</v>
      </c>
      <c r="AA275" s="201">
        <f>SUMIFS([1]!Data_Loan[Value],[1]!Data_Loan[Index Loan],'Khanh Nga'!$B275,[1]!Data_Loan[TenCongTyID],'Khanh Nga'!$B$1,[1]!Data_Loan[Thang.Nam],'Khanh Nga'!AA$254)</f>
        <v>0</v>
      </c>
      <c r="AB275" s="201">
        <f>SUMIFS([1]!Data_Loan[Value],[1]!Data_Loan[Index Loan],'Khanh Nga'!$B275,[1]!Data_Loan[TenCongTyID],'Khanh Nga'!$B$1,[1]!Data_Loan[Thang.Nam],'Khanh Nga'!AB$254)</f>
        <v>0</v>
      </c>
      <c r="AC275" s="201">
        <f>SUMIFS([1]!Data_Loan[Value],[1]!Data_Loan[Index Loan],'Khanh Nga'!$B275,[1]!Data_Loan[TenCongTyID],'Khanh Nga'!$B$1,[1]!Data_Loan[Thang.Nam],'Khanh Nga'!AC$254)</f>
        <v>0</v>
      </c>
      <c r="AD275" s="201">
        <f>SUMIFS([1]!Data_Loan[Value],[1]!Data_Loan[Index Loan],'Khanh Nga'!$B275,[1]!Data_Loan[TenCongTyID],'Khanh Nga'!$B$1,[1]!Data_Loan[Thang.Nam],'Khanh Nga'!AD$254)</f>
        <v>0</v>
      </c>
      <c r="AE275" s="201">
        <f>SUMIFS([1]!Data_Loan[Value],[1]!Data_Loan[Index Loan],'Khanh Nga'!$B275,[1]!Data_Loan[TenCongTyID],'Khanh Nga'!$B$1,[1]!Data_Loan[Thang.Nam],'Khanh Nga'!AE$254)</f>
        <v>0</v>
      </c>
      <c r="AF275" s="201">
        <f>SUMIFS([1]!Data_Loan[Value],[1]!Data_Loan[Index Loan],'Khanh Nga'!$B275,[1]!Data_Loan[TenCongTyID],'Khanh Nga'!$B$1,[1]!Data_Loan[Thang.Nam],'Khanh Nga'!AF$254)</f>
        <v>0</v>
      </c>
      <c r="AG275" s="201">
        <f>SUMIFS([1]!Data_Loan[Value],[1]!Data_Loan[Index Loan],'Khanh Nga'!$B275,[1]!Data_Loan[TenCongTyID],'Khanh Nga'!$B$1,[1]!Data_Loan[Thang.Nam],'Khanh Nga'!AG$254)</f>
        <v>0</v>
      </c>
      <c r="AH275" s="201">
        <f>SUMIFS([1]!Data_Loan[Value],[1]!Data_Loan[Index Loan],'Khanh Nga'!$B275,[1]!Data_Loan[TenCongTyID],'Khanh Nga'!$B$1,[1]!Data_Loan[Thang.Nam],'Khanh Nga'!AH$254)</f>
        <v>0</v>
      </c>
      <c r="AI275" s="201">
        <f>SUMIFS([1]!Data_Loan[Value],[1]!Data_Loan[Index Loan],'Khanh Nga'!$B275,[1]!Data_Loan[TenCongTyID],'Khanh Nga'!$B$1,[1]!Data_Loan[Thang.Nam],'Khanh Nga'!AI$254)</f>
        <v>0</v>
      </c>
      <c r="AJ275" s="201">
        <f>SUMIFS([1]!Data_Loan[Value],[1]!Data_Loan[Index Loan],'Khanh Nga'!$B275,[1]!Data_Loan[TenCongTyID],'Khanh Nga'!$B$1,[1]!Data_Loan[Thang.Nam],'Khanh Nga'!AJ$254)</f>
        <v>0</v>
      </c>
      <c r="AK275" s="201">
        <f>SUMIFS([1]!Data_Loan[Value],[1]!Data_Loan[Index Loan],'Khanh Nga'!$B275,[1]!Data_Loan[TenCongTyID],'Khanh Nga'!$B$1,[1]!Data_Loan[Thang.Nam],'Khanh Nga'!AK$254)</f>
        <v>0</v>
      </c>
      <c r="AL275" s="201">
        <f>SUMIFS([1]!Data_Loan[Value],[1]!Data_Loan[Index Loan],'Khanh Nga'!$B275,[1]!Data_Loan[TenCongTyID],'Khanh Nga'!$B$1,[1]!Data_Loan[Thang.Nam],'Khanh Nga'!AL$254)</f>
        <v>0</v>
      </c>
    </row>
    <row r="276" spans="1:38" ht="15" customHeight="1">
      <c r="A276" s="200" t="str">
        <f t="shared" si="38"/>
        <v>Vietcombank</v>
      </c>
      <c r="B276" s="329">
        <v>22</v>
      </c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>
        <v>0</v>
      </c>
      <c r="AA276" s="201">
        <f>SUMIFS([1]!Data_Loan[Value],[1]!Data_Loan[Index Loan],'Khanh Nga'!$B276,[1]!Data_Loan[TenCongTyID],'Khanh Nga'!$B$1,[1]!Data_Loan[Thang.Nam],'Khanh Nga'!AA$254)</f>
        <v>0</v>
      </c>
      <c r="AB276" s="201">
        <f>SUMIFS([1]!Data_Loan[Value],[1]!Data_Loan[Index Loan],'Khanh Nga'!$B276,[1]!Data_Loan[TenCongTyID],'Khanh Nga'!$B$1,[1]!Data_Loan[Thang.Nam],'Khanh Nga'!AB$254)</f>
        <v>0</v>
      </c>
      <c r="AC276" s="201">
        <f>SUMIFS([1]!Data_Loan[Value],[1]!Data_Loan[Index Loan],'Khanh Nga'!$B276,[1]!Data_Loan[TenCongTyID],'Khanh Nga'!$B$1,[1]!Data_Loan[Thang.Nam],'Khanh Nga'!AC$254)</f>
        <v>0</v>
      </c>
      <c r="AD276" s="201">
        <f>SUMIFS([1]!Data_Loan[Value],[1]!Data_Loan[Index Loan],'Khanh Nga'!$B276,[1]!Data_Loan[TenCongTyID],'Khanh Nga'!$B$1,[1]!Data_Loan[Thang.Nam],'Khanh Nga'!AD$254)</f>
        <v>0</v>
      </c>
      <c r="AE276" s="201">
        <f>SUMIFS([1]!Data_Loan[Value],[1]!Data_Loan[Index Loan],'Khanh Nga'!$B276,[1]!Data_Loan[TenCongTyID],'Khanh Nga'!$B$1,[1]!Data_Loan[Thang.Nam],'Khanh Nga'!AE$254)</f>
        <v>0</v>
      </c>
      <c r="AF276" s="201">
        <f>SUMIFS([1]!Data_Loan[Value],[1]!Data_Loan[Index Loan],'Khanh Nga'!$B276,[1]!Data_Loan[TenCongTyID],'Khanh Nga'!$B$1,[1]!Data_Loan[Thang.Nam],'Khanh Nga'!AF$254)</f>
        <v>0</v>
      </c>
      <c r="AG276" s="201">
        <f>SUMIFS([1]!Data_Loan[Value],[1]!Data_Loan[Index Loan],'Khanh Nga'!$B276,[1]!Data_Loan[TenCongTyID],'Khanh Nga'!$B$1,[1]!Data_Loan[Thang.Nam],'Khanh Nga'!AG$254)</f>
        <v>0</v>
      </c>
      <c r="AH276" s="201">
        <f>SUMIFS([1]!Data_Loan[Value],[1]!Data_Loan[Index Loan],'Khanh Nga'!$B276,[1]!Data_Loan[TenCongTyID],'Khanh Nga'!$B$1,[1]!Data_Loan[Thang.Nam],'Khanh Nga'!AH$254)</f>
        <v>0</v>
      </c>
      <c r="AI276" s="201">
        <f>SUMIFS([1]!Data_Loan[Value],[1]!Data_Loan[Index Loan],'Khanh Nga'!$B276,[1]!Data_Loan[TenCongTyID],'Khanh Nga'!$B$1,[1]!Data_Loan[Thang.Nam],'Khanh Nga'!AI$254)</f>
        <v>0</v>
      </c>
      <c r="AJ276" s="201">
        <f>SUMIFS([1]!Data_Loan[Value],[1]!Data_Loan[Index Loan],'Khanh Nga'!$B276,[1]!Data_Loan[TenCongTyID],'Khanh Nga'!$B$1,[1]!Data_Loan[Thang.Nam],'Khanh Nga'!AJ$254)</f>
        <v>0</v>
      </c>
      <c r="AK276" s="201">
        <f>SUMIFS([1]!Data_Loan[Value],[1]!Data_Loan[Index Loan],'Khanh Nga'!$B276,[1]!Data_Loan[TenCongTyID],'Khanh Nga'!$B$1,[1]!Data_Loan[Thang.Nam],'Khanh Nga'!AK$254)</f>
        <v>0</v>
      </c>
      <c r="AL276" s="201">
        <f>SUMIFS([1]!Data_Loan[Value],[1]!Data_Loan[Index Loan],'Khanh Nga'!$B276,[1]!Data_Loan[TenCongTyID],'Khanh Nga'!$B$1,[1]!Data_Loan[Thang.Nam],'Khanh Nga'!AL$254)</f>
        <v>0</v>
      </c>
    </row>
    <row r="277" spans="1:38" ht="15" customHeight="1">
      <c r="A277" s="200" t="str">
        <f t="shared" si="38"/>
        <v>BIDV</v>
      </c>
      <c r="B277" s="329">
        <v>23</v>
      </c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>
        <v>0</v>
      </c>
      <c r="AA277" s="201">
        <f>SUMIFS([1]!Data_Loan[Value],[1]!Data_Loan[Index Loan],'Khanh Nga'!$B277,[1]!Data_Loan[TenCongTyID],'Khanh Nga'!$B$1,[1]!Data_Loan[Thang.Nam],'Khanh Nga'!AA$254)</f>
        <v>0</v>
      </c>
      <c r="AB277" s="201">
        <f>SUMIFS([1]!Data_Loan[Value],[1]!Data_Loan[Index Loan],'Khanh Nga'!$B277,[1]!Data_Loan[TenCongTyID],'Khanh Nga'!$B$1,[1]!Data_Loan[Thang.Nam],'Khanh Nga'!AB$254)</f>
        <v>0</v>
      </c>
      <c r="AC277" s="201">
        <f>SUMIFS([1]!Data_Loan[Value],[1]!Data_Loan[Index Loan],'Khanh Nga'!$B277,[1]!Data_Loan[TenCongTyID],'Khanh Nga'!$B$1,[1]!Data_Loan[Thang.Nam],'Khanh Nga'!AC$254)</f>
        <v>0</v>
      </c>
      <c r="AD277" s="201">
        <f>SUMIFS([1]!Data_Loan[Value],[1]!Data_Loan[Index Loan],'Khanh Nga'!$B277,[1]!Data_Loan[TenCongTyID],'Khanh Nga'!$B$1,[1]!Data_Loan[Thang.Nam],'Khanh Nga'!AD$254)</f>
        <v>0</v>
      </c>
      <c r="AE277" s="201">
        <f>SUMIFS([1]!Data_Loan[Value],[1]!Data_Loan[Index Loan],'Khanh Nga'!$B277,[1]!Data_Loan[TenCongTyID],'Khanh Nga'!$B$1,[1]!Data_Loan[Thang.Nam],'Khanh Nga'!AE$254)</f>
        <v>0</v>
      </c>
      <c r="AF277" s="201">
        <f>SUMIFS([1]!Data_Loan[Value],[1]!Data_Loan[Index Loan],'Khanh Nga'!$B277,[1]!Data_Loan[TenCongTyID],'Khanh Nga'!$B$1,[1]!Data_Loan[Thang.Nam],'Khanh Nga'!AF$254)</f>
        <v>0</v>
      </c>
      <c r="AG277" s="201">
        <f>SUMIFS([1]!Data_Loan[Value],[1]!Data_Loan[Index Loan],'Khanh Nga'!$B277,[1]!Data_Loan[TenCongTyID],'Khanh Nga'!$B$1,[1]!Data_Loan[Thang.Nam],'Khanh Nga'!AG$254)</f>
        <v>0</v>
      </c>
      <c r="AH277" s="201">
        <f>SUMIFS([1]!Data_Loan[Value],[1]!Data_Loan[Index Loan],'Khanh Nga'!$B277,[1]!Data_Loan[TenCongTyID],'Khanh Nga'!$B$1,[1]!Data_Loan[Thang.Nam],'Khanh Nga'!AH$254)</f>
        <v>0</v>
      </c>
      <c r="AI277" s="201">
        <f>SUMIFS([1]!Data_Loan[Value],[1]!Data_Loan[Index Loan],'Khanh Nga'!$B277,[1]!Data_Loan[TenCongTyID],'Khanh Nga'!$B$1,[1]!Data_Loan[Thang.Nam],'Khanh Nga'!AI$254)</f>
        <v>0</v>
      </c>
      <c r="AJ277" s="201">
        <f>SUMIFS([1]!Data_Loan[Value],[1]!Data_Loan[Index Loan],'Khanh Nga'!$B277,[1]!Data_Loan[TenCongTyID],'Khanh Nga'!$B$1,[1]!Data_Loan[Thang.Nam],'Khanh Nga'!AJ$254)</f>
        <v>0</v>
      </c>
      <c r="AK277" s="201">
        <f>SUMIFS([1]!Data_Loan[Value],[1]!Data_Loan[Index Loan],'Khanh Nga'!$B277,[1]!Data_Loan[TenCongTyID],'Khanh Nga'!$B$1,[1]!Data_Loan[Thang.Nam],'Khanh Nga'!AK$254)</f>
        <v>0</v>
      </c>
      <c r="AL277" s="201">
        <f>SUMIFS([1]!Data_Loan[Value],[1]!Data_Loan[Index Loan],'Khanh Nga'!$B277,[1]!Data_Loan[TenCongTyID],'Khanh Nga'!$B$1,[1]!Data_Loan[Thang.Nam],'Khanh Nga'!AL$254)</f>
        <v>0</v>
      </c>
    </row>
    <row r="278" spans="1:38" ht="15" customHeight="1">
      <c r="A278" s="200" t="str">
        <f t="shared" si="38"/>
        <v>Standard Chartered</v>
      </c>
      <c r="B278" s="329">
        <v>24</v>
      </c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>
        <v>0</v>
      </c>
      <c r="AA278" s="201">
        <f>SUMIFS([1]!Data_Loan[Value],[1]!Data_Loan[Index Loan],'Khanh Nga'!$B278,[1]!Data_Loan[TenCongTyID],'Khanh Nga'!$B$1,[1]!Data_Loan[Thang.Nam],'Khanh Nga'!AA$254)</f>
        <v>0</v>
      </c>
      <c r="AB278" s="201">
        <f>SUMIFS([1]!Data_Loan[Value],[1]!Data_Loan[Index Loan],'Khanh Nga'!$B278,[1]!Data_Loan[TenCongTyID],'Khanh Nga'!$B$1,[1]!Data_Loan[Thang.Nam],'Khanh Nga'!AB$254)</f>
        <v>0</v>
      </c>
      <c r="AC278" s="201">
        <f>SUMIFS([1]!Data_Loan[Value],[1]!Data_Loan[Index Loan],'Khanh Nga'!$B278,[1]!Data_Loan[TenCongTyID],'Khanh Nga'!$B$1,[1]!Data_Loan[Thang.Nam],'Khanh Nga'!AC$254)</f>
        <v>0</v>
      </c>
      <c r="AD278" s="201">
        <f>SUMIFS([1]!Data_Loan[Value],[1]!Data_Loan[Index Loan],'Khanh Nga'!$B278,[1]!Data_Loan[TenCongTyID],'Khanh Nga'!$B$1,[1]!Data_Loan[Thang.Nam],'Khanh Nga'!AD$254)</f>
        <v>0</v>
      </c>
      <c r="AE278" s="201">
        <f>SUMIFS([1]!Data_Loan[Value],[1]!Data_Loan[Index Loan],'Khanh Nga'!$B278,[1]!Data_Loan[TenCongTyID],'Khanh Nga'!$B$1,[1]!Data_Loan[Thang.Nam],'Khanh Nga'!AE$254)</f>
        <v>0</v>
      </c>
      <c r="AF278" s="201">
        <f>SUMIFS([1]!Data_Loan[Value],[1]!Data_Loan[Index Loan],'Khanh Nga'!$B278,[1]!Data_Loan[TenCongTyID],'Khanh Nga'!$B$1,[1]!Data_Loan[Thang.Nam],'Khanh Nga'!AF$254)</f>
        <v>0</v>
      </c>
      <c r="AG278" s="201">
        <f>SUMIFS([1]!Data_Loan[Value],[1]!Data_Loan[Index Loan],'Khanh Nga'!$B278,[1]!Data_Loan[TenCongTyID],'Khanh Nga'!$B$1,[1]!Data_Loan[Thang.Nam],'Khanh Nga'!AG$254)</f>
        <v>0</v>
      </c>
      <c r="AH278" s="201">
        <f>SUMIFS([1]!Data_Loan[Value],[1]!Data_Loan[Index Loan],'Khanh Nga'!$B278,[1]!Data_Loan[TenCongTyID],'Khanh Nga'!$B$1,[1]!Data_Loan[Thang.Nam],'Khanh Nga'!AH$254)</f>
        <v>0</v>
      </c>
      <c r="AI278" s="201">
        <f>SUMIFS([1]!Data_Loan[Value],[1]!Data_Loan[Index Loan],'Khanh Nga'!$B278,[1]!Data_Loan[TenCongTyID],'Khanh Nga'!$B$1,[1]!Data_Loan[Thang.Nam],'Khanh Nga'!AI$254)</f>
        <v>0</v>
      </c>
      <c r="AJ278" s="201">
        <f>SUMIFS([1]!Data_Loan[Value],[1]!Data_Loan[Index Loan],'Khanh Nga'!$B278,[1]!Data_Loan[TenCongTyID],'Khanh Nga'!$B$1,[1]!Data_Loan[Thang.Nam],'Khanh Nga'!AJ$254)</f>
        <v>0</v>
      </c>
      <c r="AK278" s="201">
        <f>SUMIFS([1]!Data_Loan[Value],[1]!Data_Loan[Index Loan],'Khanh Nga'!$B278,[1]!Data_Loan[TenCongTyID],'Khanh Nga'!$B$1,[1]!Data_Loan[Thang.Nam],'Khanh Nga'!AK$254)</f>
        <v>0</v>
      </c>
      <c r="AL278" s="201">
        <f>SUMIFS([1]!Data_Loan[Value],[1]!Data_Loan[Index Loan],'Khanh Nga'!$B278,[1]!Data_Loan[TenCongTyID],'Khanh Nga'!$B$1,[1]!Data_Loan[Thang.Nam],'Khanh Nga'!AL$254)</f>
        <v>0</v>
      </c>
    </row>
    <row r="279" spans="1:38" ht="15" customHeight="1">
      <c r="A279" s="200" t="str">
        <f t="shared" si="38"/>
        <v>VILC</v>
      </c>
      <c r="B279" s="329">
        <v>25</v>
      </c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>
        <v>0</v>
      </c>
      <c r="AA279" s="201">
        <f>SUMIFS([1]!Data_Loan[Value],[1]!Data_Loan[Index Loan],'Khanh Nga'!$B279,[1]!Data_Loan[TenCongTyID],'Khanh Nga'!$B$1,[1]!Data_Loan[Thang.Nam],'Khanh Nga'!AA$254)</f>
        <v>0</v>
      </c>
      <c r="AB279" s="201">
        <f>SUMIFS([1]!Data_Loan[Value],[1]!Data_Loan[Index Loan],'Khanh Nga'!$B279,[1]!Data_Loan[TenCongTyID],'Khanh Nga'!$B$1,[1]!Data_Loan[Thang.Nam],'Khanh Nga'!AB$254)</f>
        <v>0</v>
      </c>
      <c r="AC279" s="201">
        <f>SUMIFS([1]!Data_Loan[Value],[1]!Data_Loan[Index Loan],'Khanh Nga'!$B279,[1]!Data_Loan[TenCongTyID],'Khanh Nga'!$B$1,[1]!Data_Loan[Thang.Nam],'Khanh Nga'!AC$254)</f>
        <v>0</v>
      </c>
      <c r="AD279" s="201">
        <f>SUMIFS([1]!Data_Loan[Value],[1]!Data_Loan[Index Loan],'Khanh Nga'!$B279,[1]!Data_Loan[TenCongTyID],'Khanh Nga'!$B$1,[1]!Data_Loan[Thang.Nam],'Khanh Nga'!AD$254)</f>
        <v>0</v>
      </c>
      <c r="AE279" s="201">
        <f>SUMIFS([1]!Data_Loan[Value],[1]!Data_Loan[Index Loan],'Khanh Nga'!$B279,[1]!Data_Loan[TenCongTyID],'Khanh Nga'!$B$1,[1]!Data_Loan[Thang.Nam],'Khanh Nga'!AE$254)</f>
        <v>0</v>
      </c>
      <c r="AF279" s="201">
        <f>SUMIFS([1]!Data_Loan[Value],[1]!Data_Loan[Index Loan],'Khanh Nga'!$B279,[1]!Data_Loan[TenCongTyID],'Khanh Nga'!$B$1,[1]!Data_Loan[Thang.Nam],'Khanh Nga'!AF$254)</f>
        <v>0</v>
      </c>
      <c r="AG279" s="201">
        <f>SUMIFS([1]!Data_Loan[Value],[1]!Data_Loan[Index Loan],'Khanh Nga'!$B279,[1]!Data_Loan[TenCongTyID],'Khanh Nga'!$B$1,[1]!Data_Loan[Thang.Nam],'Khanh Nga'!AG$254)</f>
        <v>0</v>
      </c>
      <c r="AH279" s="201">
        <f>SUMIFS([1]!Data_Loan[Value],[1]!Data_Loan[Index Loan],'Khanh Nga'!$B279,[1]!Data_Loan[TenCongTyID],'Khanh Nga'!$B$1,[1]!Data_Loan[Thang.Nam],'Khanh Nga'!AH$254)</f>
        <v>0</v>
      </c>
      <c r="AI279" s="201">
        <f>SUMIFS([1]!Data_Loan[Value],[1]!Data_Loan[Index Loan],'Khanh Nga'!$B279,[1]!Data_Loan[TenCongTyID],'Khanh Nga'!$B$1,[1]!Data_Loan[Thang.Nam],'Khanh Nga'!AI$254)</f>
        <v>0</v>
      </c>
      <c r="AJ279" s="201">
        <f>SUMIFS([1]!Data_Loan[Value],[1]!Data_Loan[Index Loan],'Khanh Nga'!$B279,[1]!Data_Loan[TenCongTyID],'Khanh Nga'!$B$1,[1]!Data_Loan[Thang.Nam],'Khanh Nga'!AJ$254)</f>
        <v>0</v>
      </c>
      <c r="AK279" s="201">
        <f>SUMIFS([1]!Data_Loan[Value],[1]!Data_Loan[Index Loan],'Khanh Nga'!$B279,[1]!Data_Loan[TenCongTyID],'Khanh Nga'!$B$1,[1]!Data_Loan[Thang.Nam],'Khanh Nga'!AK$254)</f>
        <v>0</v>
      </c>
      <c r="AL279" s="201">
        <f>SUMIFS([1]!Data_Loan[Value],[1]!Data_Loan[Index Loan],'Khanh Nga'!$B279,[1]!Data_Loan[TenCongTyID],'Khanh Nga'!$B$1,[1]!Data_Loan[Thang.Nam],'Khanh Nga'!AL$254)</f>
        <v>0</v>
      </c>
    </row>
    <row r="280" spans="1:38" ht="15" customHeight="1">
      <c r="A280" s="200" t="str">
        <f t="shared" si="38"/>
        <v>IVB</v>
      </c>
      <c r="B280" s="329">
        <v>26</v>
      </c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>
        <v>0</v>
      </c>
      <c r="AA280" s="201">
        <f>SUMIFS([1]!Data_Loan[Value],[1]!Data_Loan[Index Loan],'Khanh Nga'!$B280,[1]!Data_Loan[TenCongTyID],'Khanh Nga'!$B$1,[1]!Data_Loan[Thang.Nam],'Khanh Nga'!AA$254)</f>
        <v>0</v>
      </c>
      <c r="AB280" s="201">
        <f>SUMIFS([1]!Data_Loan[Value],[1]!Data_Loan[Index Loan],'Khanh Nga'!$B280,[1]!Data_Loan[TenCongTyID],'Khanh Nga'!$B$1,[1]!Data_Loan[Thang.Nam],'Khanh Nga'!AB$254)</f>
        <v>0</v>
      </c>
      <c r="AC280" s="201">
        <f>SUMIFS([1]!Data_Loan[Value],[1]!Data_Loan[Index Loan],'Khanh Nga'!$B280,[1]!Data_Loan[TenCongTyID],'Khanh Nga'!$B$1,[1]!Data_Loan[Thang.Nam],'Khanh Nga'!AC$254)</f>
        <v>0</v>
      </c>
      <c r="AD280" s="201">
        <f>SUMIFS([1]!Data_Loan[Value],[1]!Data_Loan[Index Loan],'Khanh Nga'!$B280,[1]!Data_Loan[TenCongTyID],'Khanh Nga'!$B$1,[1]!Data_Loan[Thang.Nam],'Khanh Nga'!AD$254)</f>
        <v>0</v>
      </c>
      <c r="AE280" s="201">
        <f>SUMIFS([1]!Data_Loan[Value],[1]!Data_Loan[Index Loan],'Khanh Nga'!$B280,[1]!Data_Loan[TenCongTyID],'Khanh Nga'!$B$1,[1]!Data_Loan[Thang.Nam],'Khanh Nga'!AE$254)</f>
        <v>0</v>
      </c>
      <c r="AF280" s="201">
        <f>SUMIFS([1]!Data_Loan[Value],[1]!Data_Loan[Index Loan],'Khanh Nga'!$B280,[1]!Data_Loan[TenCongTyID],'Khanh Nga'!$B$1,[1]!Data_Loan[Thang.Nam],'Khanh Nga'!AF$254)</f>
        <v>0</v>
      </c>
      <c r="AG280" s="201">
        <f>SUMIFS([1]!Data_Loan[Value],[1]!Data_Loan[Index Loan],'Khanh Nga'!$B280,[1]!Data_Loan[TenCongTyID],'Khanh Nga'!$B$1,[1]!Data_Loan[Thang.Nam],'Khanh Nga'!AG$254)</f>
        <v>0</v>
      </c>
      <c r="AH280" s="201">
        <f>SUMIFS([1]!Data_Loan[Value],[1]!Data_Loan[Index Loan],'Khanh Nga'!$B280,[1]!Data_Loan[TenCongTyID],'Khanh Nga'!$B$1,[1]!Data_Loan[Thang.Nam],'Khanh Nga'!AH$254)</f>
        <v>0</v>
      </c>
      <c r="AI280" s="201">
        <f>SUMIFS([1]!Data_Loan[Value],[1]!Data_Loan[Index Loan],'Khanh Nga'!$B280,[1]!Data_Loan[TenCongTyID],'Khanh Nga'!$B$1,[1]!Data_Loan[Thang.Nam],'Khanh Nga'!AI$254)</f>
        <v>0</v>
      </c>
      <c r="AJ280" s="201">
        <f>SUMIFS([1]!Data_Loan[Value],[1]!Data_Loan[Index Loan],'Khanh Nga'!$B280,[1]!Data_Loan[TenCongTyID],'Khanh Nga'!$B$1,[1]!Data_Loan[Thang.Nam],'Khanh Nga'!AJ$254)</f>
        <v>0</v>
      </c>
      <c r="AK280" s="201">
        <f>SUMIFS([1]!Data_Loan[Value],[1]!Data_Loan[Index Loan],'Khanh Nga'!$B280,[1]!Data_Loan[TenCongTyID],'Khanh Nga'!$B$1,[1]!Data_Loan[Thang.Nam],'Khanh Nga'!AK$254)</f>
        <v>0</v>
      </c>
      <c r="AL280" s="201">
        <f>SUMIFS([1]!Data_Loan[Value],[1]!Data_Loan[Index Loan],'Khanh Nga'!$B280,[1]!Data_Loan[TenCongTyID],'Khanh Nga'!$B$1,[1]!Data_Loan[Thang.Nam],'Khanh Nga'!AL$254)</f>
        <v>0</v>
      </c>
    </row>
    <row r="281" spans="1:38" ht="15" customHeight="1">
      <c r="A281" s="200">
        <f t="shared" si="38"/>
        <v>0</v>
      </c>
      <c r="B281" s="329">
        <v>27</v>
      </c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>
        <v>0</v>
      </c>
      <c r="AA281" s="201">
        <f>SUMIFS([1]!Data_Loan[Value],[1]!Data_Loan[Index Loan],'Khanh Nga'!$B281,[1]!Data_Loan[TenCongTyID],'Khanh Nga'!$B$1,[1]!Data_Loan[Thang.Nam],'Khanh Nga'!AA$254)</f>
        <v>0</v>
      </c>
      <c r="AB281" s="201">
        <f>SUMIFS([1]!Data_Loan[Value],[1]!Data_Loan[Index Loan],'Khanh Nga'!$B281,[1]!Data_Loan[TenCongTyID],'Khanh Nga'!$B$1,[1]!Data_Loan[Thang.Nam],'Khanh Nga'!AB$254)</f>
        <v>0</v>
      </c>
      <c r="AC281" s="201">
        <f>SUMIFS([1]!Data_Loan[Value],[1]!Data_Loan[Index Loan],'Khanh Nga'!$B281,[1]!Data_Loan[TenCongTyID],'Khanh Nga'!$B$1,[1]!Data_Loan[Thang.Nam],'Khanh Nga'!AC$254)</f>
        <v>0</v>
      </c>
      <c r="AD281" s="201">
        <f>SUMIFS([1]!Data_Loan[Value],[1]!Data_Loan[Index Loan],'Khanh Nga'!$B281,[1]!Data_Loan[TenCongTyID],'Khanh Nga'!$B$1,[1]!Data_Loan[Thang.Nam],'Khanh Nga'!AD$254)</f>
        <v>0</v>
      </c>
      <c r="AE281" s="201">
        <f>SUMIFS([1]!Data_Loan[Value],[1]!Data_Loan[Index Loan],'Khanh Nga'!$B281,[1]!Data_Loan[TenCongTyID],'Khanh Nga'!$B$1,[1]!Data_Loan[Thang.Nam],'Khanh Nga'!AE$254)</f>
        <v>0</v>
      </c>
      <c r="AF281" s="201">
        <f>SUMIFS([1]!Data_Loan[Value],[1]!Data_Loan[Index Loan],'Khanh Nga'!$B281,[1]!Data_Loan[TenCongTyID],'Khanh Nga'!$B$1,[1]!Data_Loan[Thang.Nam],'Khanh Nga'!AF$254)</f>
        <v>0</v>
      </c>
      <c r="AG281" s="201">
        <f>SUMIFS([1]!Data_Loan[Value],[1]!Data_Loan[Index Loan],'Khanh Nga'!$B281,[1]!Data_Loan[TenCongTyID],'Khanh Nga'!$B$1,[1]!Data_Loan[Thang.Nam],'Khanh Nga'!AG$254)</f>
        <v>0</v>
      </c>
      <c r="AH281" s="201">
        <f>SUMIFS([1]!Data_Loan[Value],[1]!Data_Loan[Index Loan],'Khanh Nga'!$B281,[1]!Data_Loan[TenCongTyID],'Khanh Nga'!$B$1,[1]!Data_Loan[Thang.Nam],'Khanh Nga'!AH$254)</f>
        <v>0</v>
      </c>
      <c r="AI281" s="201">
        <f>SUMIFS([1]!Data_Loan[Value],[1]!Data_Loan[Index Loan],'Khanh Nga'!$B281,[1]!Data_Loan[TenCongTyID],'Khanh Nga'!$B$1,[1]!Data_Loan[Thang.Nam],'Khanh Nga'!AI$254)</f>
        <v>0</v>
      </c>
      <c r="AJ281" s="201">
        <f>SUMIFS([1]!Data_Loan[Value],[1]!Data_Loan[Index Loan],'Khanh Nga'!$B281,[1]!Data_Loan[TenCongTyID],'Khanh Nga'!$B$1,[1]!Data_Loan[Thang.Nam],'Khanh Nga'!AJ$254)</f>
        <v>0</v>
      </c>
      <c r="AK281" s="201">
        <f>SUMIFS([1]!Data_Loan[Value],[1]!Data_Loan[Index Loan],'Khanh Nga'!$B281,[1]!Data_Loan[TenCongTyID],'Khanh Nga'!$B$1,[1]!Data_Loan[Thang.Nam],'Khanh Nga'!AK$254)</f>
        <v>0</v>
      </c>
      <c r="AL281" s="201">
        <f>SUMIFS([1]!Data_Loan[Value],[1]!Data_Loan[Index Loan],'Khanh Nga'!$B281,[1]!Data_Loan[TenCongTyID],'Khanh Nga'!$B$1,[1]!Data_Loan[Thang.Nam],'Khanh Nga'!AL$254)</f>
        <v>0</v>
      </c>
    </row>
    <row r="282" spans="1:38" ht="15" customHeight="1">
      <c r="A282" s="196" t="s">
        <v>349</v>
      </c>
      <c r="B282" s="328">
        <v>28</v>
      </c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>
        <v>0</v>
      </c>
      <c r="AA282" s="199">
        <f>SUMIFS([1]!Data_Loan[Value],[1]!Data_Loan[Index Loan],'Khanh Nga'!$B282,[1]!Data_Loan[TenCongTyID],'Khanh Nga'!$B$1,[1]!Data_Loan[Thang.Nam],'Khanh Nga'!AA$254)</f>
        <v>0</v>
      </c>
      <c r="AB282" s="199">
        <f>SUMIFS([1]!Data_Loan[Value],[1]!Data_Loan[Index Loan],'Khanh Nga'!$B282,[1]!Data_Loan[TenCongTyID],'Khanh Nga'!$B$1,[1]!Data_Loan[Thang.Nam],'Khanh Nga'!AB$254)</f>
        <v>0</v>
      </c>
      <c r="AC282" s="199">
        <f>SUMIFS([1]!Data_Loan[Value],[1]!Data_Loan[Index Loan],'Khanh Nga'!$B282,[1]!Data_Loan[TenCongTyID],'Khanh Nga'!$B$1,[1]!Data_Loan[Thang.Nam],'Khanh Nga'!AC$254)</f>
        <v>0</v>
      </c>
      <c r="AD282" s="199">
        <f>SUMIFS([1]!Data_Loan[Value],[1]!Data_Loan[Index Loan],'Khanh Nga'!$B282,[1]!Data_Loan[TenCongTyID],'Khanh Nga'!$B$1,[1]!Data_Loan[Thang.Nam],'Khanh Nga'!AD$254)</f>
        <v>0</v>
      </c>
      <c r="AE282" s="199">
        <f>SUMIFS([1]!Data_Loan[Value],[1]!Data_Loan[Index Loan],'Khanh Nga'!$B282,[1]!Data_Loan[TenCongTyID],'Khanh Nga'!$B$1,[1]!Data_Loan[Thang.Nam],'Khanh Nga'!AE$254)</f>
        <v>0</v>
      </c>
      <c r="AF282" s="199">
        <f>SUMIFS([1]!Data_Loan[Value],[1]!Data_Loan[Index Loan],'Khanh Nga'!$B282,[1]!Data_Loan[TenCongTyID],'Khanh Nga'!$B$1,[1]!Data_Loan[Thang.Nam],'Khanh Nga'!AF$254)</f>
        <v>0</v>
      </c>
      <c r="AG282" s="199">
        <f>SUMIFS([1]!Data_Loan[Value],[1]!Data_Loan[Index Loan],'Khanh Nga'!$B282,[1]!Data_Loan[TenCongTyID],'Khanh Nga'!$B$1,[1]!Data_Loan[Thang.Nam],'Khanh Nga'!AG$254)</f>
        <v>0</v>
      </c>
      <c r="AH282" s="199">
        <f>SUMIFS([1]!Data_Loan[Value],[1]!Data_Loan[Index Loan],'Khanh Nga'!$B282,[1]!Data_Loan[TenCongTyID],'Khanh Nga'!$B$1,[1]!Data_Loan[Thang.Nam],'Khanh Nga'!AH$254)</f>
        <v>0</v>
      </c>
      <c r="AI282" s="199">
        <f>SUMIFS([1]!Data_Loan[Value],[1]!Data_Loan[Index Loan],'Khanh Nga'!$B282,[1]!Data_Loan[TenCongTyID],'Khanh Nga'!$B$1,[1]!Data_Loan[Thang.Nam],'Khanh Nga'!AI$254)</f>
        <v>0</v>
      </c>
      <c r="AJ282" s="199">
        <f>SUMIFS([1]!Data_Loan[Value],[1]!Data_Loan[Index Loan],'Khanh Nga'!$B282,[1]!Data_Loan[TenCongTyID],'Khanh Nga'!$B$1,[1]!Data_Loan[Thang.Nam],'Khanh Nga'!AJ$254)</f>
        <v>0</v>
      </c>
      <c r="AK282" s="199">
        <f>SUMIFS([1]!Data_Loan[Value],[1]!Data_Loan[Index Loan],'Khanh Nga'!$B282,[1]!Data_Loan[TenCongTyID],'Khanh Nga'!$B$1,[1]!Data_Loan[Thang.Nam],'Khanh Nga'!AK$254)</f>
        <v>0</v>
      </c>
      <c r="AL282" s="199">
        <f>SUMIFS([1]!Data_Loan[Value],[1]!Data_Loan[Index Loan],'Khanh Nga'!$B282,[1]!Data_Loan[TenCongTyID],'Khanh Nga'!$B$1,[1]!Data_Loan[Thang.Nam],'Khanh Nga'!AL$254)</f>
        <v>0</v>
      </c>
    </row>
    <row r="283" spans="1:38" ht="15" customHeight="1">
      <c r="A283" s="200" t="str">
        <f>A265</f>
        <v>ACB</v>
      </c>
      <c r="B283" s="329">
        <v>29</v>
      </c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>
        <v>0</v>
      </c>
      <c r="AA283" s="201">
        <f>SUMIFS([1]!Data_Loan[Value],[1]!Data_Loan[Index Loan],'Khanh Nga'!$B283,[1]!Data_Loan[TenCongTyID],'Khanh Nga'!$B$1,[1]!Data_Loan[Thang.Nam],'Khanh Nga'!AA$254)</f>
        <v>0</v>
      </c>
      <c r="AB283" s="201">
        <f>SUMIFS([1]!Data_Loan[Value],[1]!Data_Loan[Index Loan],'Khanh Nga'!$B283,[1]!Data_Loan[TenCongTyID],'Khanh Nga'!$B$1,[1]!Data_Loan[Thang.Nam],'Khanh Nga'!AB$254)</f>
        <v>0</v>
      </c>
      <c r="AC283" s="201">
        <f>SUMIFS([1]!Data_Loan[Value],[1]!Data_Loan[Index Loan],'Khanh Nga'!$B283,[1]!Data_Loan[TenCongTyID],'Khanh Nga'!$B$1,[1]!Data_Loan[Thang.Nam],'Khanh Nga'!AC$254)</f>
        <v>0</v>
      </c>
      <c r="AD283" s="201">
        <f>SUMIFS([1]!Data_Loan[Value],[1]!Data_Loan[Index Loan],'Khanh Nga'!$B283,[1]!Data_Loan[TenCongTyID],'Khanh Nga'!$B$1,[1]!Data_Loan[Thang.Nam],'Khanh Nga'!AD$254)</f>
        <v>0</v>
      </c>
      <c r="AE283" s="201">
        <f>SUMIFS([1]!Data_Loan[Value],[1]!Data_Loan[Index Loan],'Khanh Nga'!$B283,[1]!Data_Loan[TenCongTyID],'Khanh Nga'!$B$1,[1]!Data_Loan[Thang.Nam],'Khanh Nga'!AE$254)</f>
        <v>0</v>
      </c>
      <c r="AF283" s="201">
        <f>SUMIFS([1]!Data_Loan[Value],[1]!Data_Loan[Index Loan],'Khanh Nga'!$B283,[1]!Data_Loan[TenCongTyID],'Khanh Nga'!$B$1,[1]!Data_Loan[Thang.Nam],'Khanh Nga'!AF$254)</f>
        <v>0</v>
      </c>
      <c r="AG283" s="201">
        <f>SUMIFS([1]!Data_Loan[Value],[1]!Data_Loan[Index Loan],'Khanh Nga'!$B283,[1]!Data_Loan[TenCongTyID],'Khanh Nga'!$B$1,[1]!Data_Loan[Thang.Nam],'Khanh Nga'!AG$254)</f>
        <v>0</v>
      </c>
      <c r="AH283" s="201">
        <f>SUMIFS([1]!Data_Loan[Value],[1]!Data_Loan[Index Loan],'Khanh Nga'!$B283,[1]!Data_Loan[TenCongTyID],'Khanh Nga'!$B$1,[1]!Data_Loan[Thang.Nam],'Khanh Nga'!AH$254)</f>
        <v>0</v>
      </c>
      <c r="AI283" s="201">
        <f>SUMIFS([1]!Data_Loan[Value],[1]!Data_Loan[Index Loan],'Khanh Nga'!$B283,[1]!Data_Loan[TenCongTyID],'Khanh Nga'!$B$1,[1]!Data_Loan[Thang.Nam],'Khanh Nga'!AI$254)</f>
        <v>0</v>
      </c>
      <c r="AJ283" s="201">
        <f>SUMIFS([1]!Data_Loan[Value],[1]!Data_Loan[Index Loan],'Khanh Nga'!$B283,[1]!Data_Loan[TenCongTyID],'Khanh Nga'!$B$1,[1]!Data_Loan[Thang.Nam],'Khanh Nga'!AJ$254)</f>
        <v>0</v>
      </c>
      <c r="AK283" s="201">
        <f>SUMIFS([1]!Data_Loan[Value],[1]!Data_Loan[Index Loan],'Khanh Nga'!$B283,[1]!Data_Loan[TenCongTyID],'Khanh Nga'!$B$1,[1]!Data_Loan[Thang.Nam],'Khanh Nga'!AK$254)</f>
        <v>0</v>
      </c>
      <c r="AL283" s="201">
        <f>SUMIFS([1]!Data_Loan[Value],[1]!Data_Loan[Index Loan],'Khanh Nga'!$B283,[1]!Data_Loan[TenCongTyID],'Khanh Nga'!$B$1,[1]!Data_Loan[Thang.Nam],'Khanh Nga'!AL$254)</f>
        <v>0</v>
      </c>
    </row>
    <row r="284" spans="1:38" ht="15" customHeight="1">
      <c r="A284" s="200" t="str">
        <f>A266</f>
        <v>VietinBank</v>
      </c>
      <c r="B284" s="329">
        <v>30</v>
      </c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>
        <v>0</v>
      </c>
      <c r="AA284" s="201">
        <f>SUMIFS([1]!Data_Loan[Value],[1]!Data_Loan[Index Loan],'Khanh Nga'!$B284,[1]!Data_Loan[TenCongTyID],'Khanh Nga'!$B$1,[1]!Data_Loan[Thang.Nam],'Khanh Nga'!AA$254)</f>
        <v>0</v>
      </c>
      <c r="AB284" s="201">
        <f>SUMIFS([1]!Data_Loan[Value],[1]!Data_Loan[Index Loan],'Khanh Nga'!$B284,[1]!Data_Loan[TenCongTyID],'Khanh Nga'!$B$1,[1]!Data_Loan[Thang.Nam],'Khanh Nga'!AB$254)</f>
        <v>0</v>
      </c>
      <c r="AC284" s="201">
        <f>SUMIFS([1]!Data_Loan[Value],[1]!Data_Loan[Index Loan],'Khanh Nga'!$B284,[1]!Data_Loan[TenCongTyID],'Khanh Nga'!$B$1,[1]!Data_Loan[Thang.Nam],'Khanh Nga'!AC$254)</f>
        <v>0</v>
      </c>
      <c r="AD284" s="201">
        <f>SUMIFS([1]!Data_Loan[Value],[1]!Data_Loan[Index Loan],'Khanh Nga'!$B284,[1]!Data_Loan[TenCongTyID],'Khanh Nga'!$B$1,[1]!Data_Loan[Thang.Nam],'Khanh Nga'!AD$254)</f>
        <v>0</v>
      </c>
      <c r="AE284" s="201">
        <f>SUMIFS([1]!Data_Loan[Value],[1]!Data_Loan[Index Loan],'Khanh Nga'!$B284,[1]!Data_Loan[TenCongTyID],'Khanh Nga'!$B$1,[1]!Data_Loan[Thang.Nam],'Khanh Nga'!AE$254)</f>
        <v>0</v>
      </c>
      <c r="AF284" s="201">
        <f>SUMIFS([1]!Data_Loan[Value],[1]!Data_Loan[Index Loan],'Khanh Nga'!$B284,[1]!Data_Loan[TenCongTyID],'Khanh Nga'!$B$1,[1]!Data_Loan[Thang.Nam],'Khanh Nga'!AF$254)</f>
        <v>0</v>
      </c>
      <c r="AG284" s="201">
        <f>SUMIFS([1]!Data_Loan[Value],[1]!Data_Loan[Index Loan],'Khanh Nga'!$B284,[1]!Data_Loan[TenCongTyID],'Khanh Nga'!$B$1,[1]!Data_Loan[Thang.Nam],'Khanh Nga'!AG$254)</f>
        <v>0</v>
      </c>
      <c r="AH284" s="201">
        <f>SUMIFS([1]!Data_Loan[Value],[1]!Data_Loan[Index Loan],'Khanh Nga'!$B284,[1]!Data_Loan[TenCongTyID],'Khanh Nga'!$B$1,[1]!Data_Loan[Thang.Nam],'Khanh Nga'!AH$254)</f>
        <v>0</v>
      </c>
      <c r="AI284" s="201">
        <f>SUMIFS([1]!Data_Loan[Value],[1]!Data_Loan[Index Loan],'Khanh Nga'!$B284,[1]!Data_Loan[TenCongTyID],'Khanh Nga'!$B$1,[1]!Data_Loan[Thang.Nam],'Khanh Nga'!AI$254)</f>
        <v>0</v>
      </c>
      <c r="AJ284" s="201">
        <f>SUMIFS([1]!Data_Loan[Value],[1]!Data_Loan[Index Loan],'Khanh Nga'!$B284,[1]!Data_Loan[TenCongTyID],'Khanh Nga'!$B$1,[1]!Data_Loan[Thang.Nam],'Khanh Nga'!AJ$254)</f>
        <v>0</v>
      </c>
      <c r="AK284" s="201">
        <f>SUMIFS([1]!Data_Loan[Value],[1]!Data_Loan[Index Loan],'Khanh Nga'!$B284,[1]!Data_Loan[TenCongTyID],'Khanh Nga'!$B$1,[1]!Data_Loan[Thang.Nam],'Khanh Nga'!AK$254)</f>
        <v>0</v>
      </c>
      <c r="AL284" s="201">
        <f>SUMIFS([1]!Data_Loan[Value],[1]!Data_Loan[Index Loan],'Khanh Nga'!$B284,[1]!Data_Loan[TenCongTyID],'Khanh Nga'!$B$1,[1]!Data_Loan[Thang.Nam],'Khanh Nga'!AL$254)</f>
        <v>0</v>
      </c>
    </row>
    <row r="285" spans="1:38" ht="15" customHeight="1">
      <c r="A285" s="200" t="str">
        <f>A267</f>
        <v>Vietcombank</v>
      </c>
      <c r="B285" s="329">
        <v>31</v>
      </c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>
        <v>0</v>
      </c>
      <c r="AA285" s="201">
        <f>SUMIFS([1]!Data_Loan[Value],[1]!Data_Loan[Index Loan],'Khanh Nga'!$B285,[1]!Data_Loan[TenCongTyID],'Khanh Nga'!$B$1,[1]!Data_Loan[Thang.Nam],'Khanh Nga'!AA$254)</f>
        <v>0</v>
      </c>
      <c r="AB285" s="201">
        <f>SUMIFS([1]!Data_Loan[Value],[1]!Data_Loan[Index Loan],'Khanh Nga'!$B285,[1]!Data_Loan[TenCongTyID],'Khanh Nga'!$B$1,[1]!Data_Loan[Thang.Nam],'Khanh Nga'!AB$254)</f>
        <v>0</v>
      </c>
      <c r="AC285" s="201">
        <f>SUMIFS([1]!Data_Loan[Value],[1]!Data_Loan[Index Loan],'Khanh Nga'!$B285,[1]!Data_Loan[TenCongTyID],'Khanh Nga'!$B$1,[1]!Data_Loan[Thang.Nam],'Khanh Nga'!AC$254)</f>
        <v>0</v>
      </c>
      <c r="AD285" s="201">
        <f>SUMIFS([1]!Data_Loan[Value],[1]!Data_Loan[Index Loan],'Khanh Nga'!$B285,[1]!Data_Loan[TenCongTyID],'Khanh Nga'!$B$1,[1]!Data_Loan[Thang.Nam],'Khanh Nga'!AD$254)</f>
        <v>0</v>
      </c>
      <c r="AE285" s="201">
        <f>SUMIFS([1]!Data_Loan[Value],[1]!Data_Loan[Index Loan],'Khanh Nga'!$B285,[1]!Data_Loan[TenCongTyID],'Khanh Nga'!$B$1,[1]!Data_Loan[Thang.Nam],'Khanh Nga'!AE$254)</f>
        <v>0</v>
      </c>
      <c r="AF285" s="201">
        <f>SUMIFS([1]!Data_Loan[Value],[1]!Data_Loan[Index Loan],'Khanh Nga'!$B285,[1]!Data_Loan[TenCongTyID],'Khanh Nga'!$B$1,[1]!Data_Loan[Thang.Nam],'Khanh Nga'!AF$254)</f>
        <v>0</v>
      </c>
      <c r="AG285" s="201">
        <f>SUMIFS([1]!Data_Loan[Value],[1]!Data_Loan[Index Loan],'Khanh Nga'!$B285,[1]!Data_Loan[TenCongTyID],'Khanh Nga'!$B$1,[1]!Data_Loan[Thang.Nam],'Khanh Nga'!AG$254)</f>
        <v>0</v>
      </c>
      <c r="AH285" s="201">
        <f>SUMIFS([1]!Data_Loan[Value],[1]!Data_Loan[Index Loan],'Khanh Nga'!$B285,[1]!Data_Loan[TenCongTyID],'Khanh Nga'!$B$1,[1]!Data_Loan[Thang.Nam],'Khanh Nga'!AH$254)</f>
        <v>0</v>
      </c>
      <c r="AI285" s="201">
        <f>SUMIFS([1]!Data_Loan[Value],[1]!Data_Loan[Index Loan],'Khanh Nga'!$B285,[1]!Data_Loan[TenCongTyID],'Khanh Nga'!$B$1,[1]!Data_Loan[Thang.Nam],'Khanh Nga'!AI$254)</f>
        <v>0</v>
      </c>
      <c r="AJ285" s="201">
        <f>SUMIFS([1]!Data_Loan[Value],[1]!Data_Loan[Index Loan],'Khanh Nga'!$B285,[1]!Data_Loan[TenCongTyID],'Khanh Nga'!$B$1,[1]!Data_Loan[Thang.Nam],'Khanh Nga'!AJ$254)</f>
        <v>0</v>
      </c>
      <c r="AK285" s="201">
        <f>SUMIFS([1]!Data_Loan[Value],[1]!Data_Loan[Index Loan],'Khanh Nga'!$B285,[1]!Data_Loan[TenCongTyID],'Khanh Nga'!$B$1,[1]!Data_Loan[Thang.Nam],'Khanh Nga'!AK$254)</f>
        <v>0</v>
      </c>
      <c r="AL285" s="201">
        <f>SUMIFS([1]!Data_Loan[Value],[1]!Data_Loan[Index Loan],'Khanh Nga'!$B285,[1]!Data_Loan[TenCongTyID],'Khanh Nga'!$B$1,[1]!Data_Loan[Thang.Nam],'Khanh Nga'!AL$254)</f>
        <v>0</v>
      </c>
    </row>
    <row r="286" spans="1:38" ht="15" customHeight="1">
      <c r="A286" s="200" t="s">
        <v>344</v>
      </c>
      <c r="B286" s="329">
        <v>32</v>
      </c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>
        <v>0</v>
      </c>
      <c r="AA286" s="201">
        <f>SUMIFS([1]!Data_Loan[Value],[1]!Data_Loan[Index Loan],'Khanh Nga'!$B286,[1]!Data_Loan[TenCongTyID],'Khanh Nga'!$B$1,[1]!Data_Loan[Thang.Nam],'Khanh Nga'!AA$254)</f>
        <v>0</v>
      </c>
      <c r="AB286" s="201">
        <f>SUMIFS([1]!Data_Loan[Value],[1]!Data_Loan[Index Loan],'Khanh Nga'!$B286,[1]!Data_Loan[TenCongTyID],'Khanh Nga'!$B$1,[1]!Data_Loan[Thang.Nam],'Khanh Nga'!AB$254)</f>
        <v>0</v>
      </c>
      <c r="AC286" s="201">
        <f>SUMIFS([1]!Data_Loan[Value],[1]!Data_Loan[Index Loan],'Khanh Nga'!$B286,[1]!Data_Loan[TenCongTyID],'Khanh Nga'!$B$1,[1]!Data_Loan[Thang.Nam],'Khanh Nga'!AC$254)</f>
        <v>0</v>
      </c>
      <c r="AD286" s="201">
        <f>SUMIFS([1]!Data_Loan[Value],[1]!Data_Loan[Index Loan],'Khanh Nga'!$B286,[1]!Data_Loan[TenCongTyID],'Khanh Nga'!$B$1,[1]!Data_Loan[Thang.Nam],'Khanh Nga'!AD$254)</f>
        <v>0</v>
      </c>
      <c r="AE286" s="201">
        <f>SUMIFS([1]!Data_Loan[Value],[1]!Data_Loan[Index Loan],'Khanh Nga'!$B286,[1]!Data_Loan[TenCongTyID],'Khanh Nga'!$B$1,[1]!Data_Loan[Thang.Nam],'Khanh Nga'!AE$254)</f>
        <v>0</v>
      </c>
      <c r="AF286" s="201">
        <f>SUMIFS([1]!Data_Loan[Value],[1]!Data_Loan[Index Loan],'Khanh Nga'!$B286,[1]!Data_Loan[TenCongTyID],'Khanh Nga'!$B$1,[1]!Data_Loan[Thang.Nam],'Khanh Nga'!AF$254)</f>
        <v>0</v>
      </c>
      <c r="AG286" s="201">
        <f>SUMIFS([1]!Data_Loan[Value],[1]!Data_Loan[Index Loan],'Khanh Nga'!$B286,[1]!Data_Loan[TenCongTyID],'Khanh Nga'!$B$1,[1]!Data_Loan[Thang.Nam],'Khanh Nga'!AG$254)</f>
        <v>0</v>
      </c>
      <c r="AH286" s="201">
        <f>SUMIFS([1]!Data_Loan[Value],[1]!Data_Loan[Index Loan],'Khanh Nga'!$B286,[1]!Data_Loan[TenCongTyID],'Khanh Nga'!$B$1,[1]!Data_Loan[Thang.Nam],'Khanh Nga'!AH$254)</f>
        <v>0</v>
      </c>
      <c r="AI286" s="201">
        <f>SUMIFS([1]!Data_Loan[Value],[1]!Data_Loan[Index Loan],'Khanh Nga'!$B286,[1]!Data_Loan[TenCongTyID],'Khanh Nga'!$B$1,[1]!Data_Loan[Thang.Nam],'Khanh Nga'!AI$254)</f>
        <v>0</v>
      </c>
      <c r="AJ286" s="201">
        <f>SUMIFS([1]!Data_Loan[Value],[1]!Data_Loan[Index Loan],'Khanh Nga'!$B286,[1]!Data_Loan[TenCongTyID],'Khanh Nga'!$B$1,[1]!Data_Loan[Thang.Nam],'Khanh Nga'!AJ$254)</f>
        <v>0</v>
      </c>
      <c r="AK286" s="201">
        <f>SUMIFS([1]!Data_Loan[Value],[1]!Data_Loan[Index Loan],'Khanh Nga'!$B286,[1]!Data_Loan[TenCongTyID],'Khanh Nga'!$B$1,[1]!Data_Loan[Thang.Nam],'Khanh Nga'!AK$254)</f>
        <v>0</v>
      </c>
      <c r="AL286" s="201">
        <f>SUMIFS([1]!Data_Loan[Value],[1]!Data_Loan[Index Loan],'Khanh Nga'!$B286,[1]!Data_Loan[TenCongTyID],'Khanh Nga'!$B$1,[1]!Data_Loan[Thang.Nam],'Khanh Nga'!AL$254)</f>
        <v>0</v>
      </c>
    </row>
    <row r="287" spans="1:38" ht="15" customHeight="1">
      <c r="A287" s="200" t="str">
        <f>A269</f>
        <v>Standard Chartered</v>
      </c>
      <c r="B287" s="329">
        <v>33</v>
      </c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>
        <v>0</v>
      </c>
      <c r="AA287" s="201">
        <f>SUMIFS([1]!Data_Loan[Value],[1]!Data_Loan[Index Loan],'Khanh Nga'!$B287,[1]!Data_Loan[TenCongTyID],'Khanh Nga'!$B$1,[1]!Data_Loan[Thang.Nam],'Khanh Nga'!AA$254)</f>
        <v>0</v>
      </c>
      <c r="AB287" s="201">
        <f>SUMIFS([1]!Data_Loan[Value],[1]!Data_Loan[Index Loan],'Khanh Nga'!$B287,[1]!Data_Loan[TenCongTyID],'Khanh Nga'!$B$1,[1]!Data_Loan[Thang.Nam],'Khanh Nga'!AB$254)</f>
        <v>0</v>
      </c>
      <c r="AC287" s="201">
        <f>SUMIFS([1]!Data_Loan[Value],[1]!Data_Loan[Index Loan],'Khanh Nga'!$B287,[1]!Data_Loan[TenCongTyID],'Khanh Nga'!$B$1,[1]!Data_Loan[Thang.Nam],'Khanh Nga'!AC$254)</f>
        <v>0</v>
      </c>
      <c r="AD287" s="201">
        <f>SUMIFS([1]!Data_Loan[Value],[1]!Data_Loan[Index Loan],'Khanh Nga'!$B287,[1]!Data_Loan[TenCongTyID],'Khanh Nga'!$B$1,[1]!Data_Loan[Thang.Nam],'Khanh Nga'!AD$254)</f>
        <v>0</v>
      </c>
      <c r="AE287" s="201">
        <f>SUMIFS([1]!Data_Loan[Value],[1]!Data_Loan[Index Loan],'Khanh Nga'!$B287,[1]!Data_Loan[TenCongTyID],'Khanh Nga'!$B$1,[1]!Data_Loan[Thang.Nam],'Khanh Nga'!AE$254)</f>
        <v>0</v>
      </c>
      <c r="AF287" s="201">
        <f>SUMIFS([1]!Data_Loan[Value],[1]!Data_Loan[Index Loan],'Khanh Nga'!$B287,[1]!Data_Loan[TenCongTyID],'Khanh Nga'!$B$1,[1]!Data_Loan[Thang.Nam],'Khanh Nga'!AF$254)</f>
        <v>0</v>
      </c>
      <c r="AG287" s="201">
        <f>SUMIFS([1]!Data_Loan[Value],[1]!Data_Loan[Index Loan],'Khanh Nga'!$B287,[1]!Data_Loan[TenCongTyID],'Khanh Nga'!$B$1,[1]!Data_Loan[Thang.Nam],'Khanh Nga'!AG$254)</f>
        <v>0</v>
      </c>
      <c r="AH287" s="201">
        <f>SUMIFS([1]!Data_Loan[Value],[1]!Data_Loan[Index Loan],'Khanh Nga'!$B287,[1]!Data_Loan[TenCongTyID],'Khanh Nga'!$B$1,[1]!Data_Loan[Thang.Nam],'Khanh Nga'!AH$254)</f>
        <v>0</v>
      </c>
      <c r="AI287" s="201">
        <f>SUMIFS([1]!Data_Loan[Value],[1]!Data_Loan[Index Loan],'Khanh Nga'!$B287,[1]!Data_Loan[TenCongTyID],'Khanh Nga'!$B$1,[1]!Data_Loan[Thang.Nam],'Khanh Nga'!AI$254)</f>
        <v>0</v>
      </c>
      <c r="AJ287" s="201">
        <f>SUMIFS([1]!Data_Loan[Value],[1]!Data_Loan[Index Loan],'Khanh Nga'!$B287,[1]!Data_Loan[TenCongTyID],'Khanh Nga'!$B$1,[1]!Data_Loan[Thang.Nam],'Khanh Nga'!AJ$254)</f>
        <v>0</v>
      </c>
      <c r="AK287" s="201">
        <f>SUMIFS([1]!Data_Loan[Value],[1]!Data_Loan[Index Loan],'Khanh Nga'!$B287,[1]!Data_Loan[TenCongTyID],'Khanh Nga'!$B$1,[1]!Data_Loan[Thang.Nam],'Khanh Nga'!AK$254)</f>
        <v>0</v>
      </c>
      <c r="AL287" s="201">
        <f>SUMIFS([1]!Data_Loan[Value],[1]!Data_Loan[Index Loan],'Khanh Nga'!$B287,[1]!Data_Loan[TenCongTyID],'Khanh Nga'!$B$1,[1]!Data_Loan[Thang.Nam],'Khanh Nga'!AL$254)</f>
        <v>0</v>
      </c>
    </row>
    <row r="288" spans="1:38" ht="15" customHeight="1">
      <c r="A288" s="200" t="s">
        <v>346</v>
      </c>
      <c r="B288" s="329">
        <v>34</v>
      </c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>
        <v>0</v>
      </c>
      <c r="AA288" s="201">
        <f>SUMIFS([1]!Data_Loan[Value],[1]!Data_Loan[Index Loan],'Khanh Nga'!$B288,[1]!Data_Loan[TenCongTyID],'Khanh Nga'!$B$1,[1]!Data_Loan[Thang.Nam],'Khanh Nga'!AA$254)</f>
        <v>0</v>
      </c>
      <c r="AB288" s="201">
        <f>SUMIFS([1]!Data_Loan[Value],[1]!Data_Loan[Index Loan],'Khanh Nga'!$B288,[1]!Data_Loan[TenCongTyID],'Khanh Nga'!$B$1,[1]!Data_Loan[Thang.Nam],'Khanh Nga'!AB$254)</f>
        <v>0</v>
      </c>
      <c r="AC288" s="201">
        <f>SUMIFS([1]!Data_Loan[Value],[1]!Data_Loan[Index Loan],'Khanh Nga'!$B288,[1]!Data_Loan[TenCongTyID],'Khanh Nga'!$B$1,[1]!Data_Loan[Thang.Nam],'Khanh Nga'!AC$254)</f>
        <v>0</v>
      </c>
      <c r="AD288" s="201">
        <f>SUMIFS([1]!Data_Loan[Value],[1]!Data_Loan[Index Loan],'Khanh Nga'!$B288,[1]!Data_Loan[TenCongTyID],'Khanh Nga'!$B$1,[1]!Data_Loan[Thang.Nam],'Khanh Nga'!AD$254)</f>
        <v>0</v>
      </c>
      <c r="AE288" s="201">
        <f>SUMIFS([1]!Data_Loan[Value],[1]!Data_Loan[Index Loan],'Khanh Nga'!$B288,[1]!Data_Loan[TenCongTyID],'Khanh Nga'!$B$1,[1]!Data_Loan[Thang.Nam],'Khanh Nga'!AE$254)</f>
        <v>0</v>
      </c>
      <c r="AF288" s="201">
        <f>SUMIFS([1]!Data_Loan[Value],[1]!Data_Loan[Index Loan],'Khanh Nga'!$B288,[1]!Data_Loan[TenCongTyID],'Khanh Nga'!$B$1,[1]!Data_Loan[Thang.Nam],'Khanh Nga'!AF$254)</f>
        <v>0</v>
      </c>
      <c r="AG288" s="201">
        <f>SUMIFS([1]!Data_Loan[Value],[1]!Data_Loan[Index Loan],'Khanh Nga'!$B288,[1]!Data_Loan[TenCongTyID],'Khanh Nga'!$B$1,[1]!Data_Loan[Thang.Nam],'Khanh Nga'!AG$254)</f>
        <v>0</v>
      </c>
      <c r="AH288" s="201">
        <f>SUMIFS([1]!Data_Loan[Value],[1]!Data_Loan[Index Loan],'Khanh Nga'!$B288,[1]!Data_Loan[TenCongTyID],'Khanh Nga'!$B$1,[1]!Data_Loan[Thang.Nam],'Khanh Nga'!AH$254)</f>
        <v>0</v>
      </c>
      <c r="AI288" s="201">
        <f>SUMIFS([1]!Data_Loan[Value],[1]!Data_Loan[Index Loan],'Khanh Nga'!$B288,[1]!Data_Loan[TenCongTyID],'Khanh Nga'!$B$1,[1]!Data_Loan[Thang.Nam],'Khanh Nga'!AI$254)</f>
        <v>0</v>
      </c>
      <c r="AJ288" s="201">
        <f>SUMIFS([1]!Data_Loan[Value],[1]!Data_Loan[Index Loan],'Khanh Nga'!$B288,[1]!Data_Loan[TenCongTyID],'Khanh Nga'!$B$1,[1]!Data_Loan[Thang.Nam],'Khanh Nga'!AJ$254)</f>
        <v>0</v>
      </c>
      <c r="AK288" s="201">
        <f>SUMIFS([1]!Data_Loan[Value],[1]!Data_Loan[Index Loan],'Khanh Nga'!$B288,[1]!Data_Loan[TenCongTyID],'Khanh Nga'!$B$1,[1]!Data_Loan[Thang.Nam],'Khanh Nga'!AK$254)</f>
        <v>0</v>
      </c>
      <c r="AL288" s="201">
        <f>SUMIFS([1]!Data_Loan[Value],[1]!Data_Loan[Index Loan],'Khanh Nga'!$B288,[1]!Data_Loan[TenCongTyID],'Khanh Nga'!$B$1,[1]!Data_Loan[Thang.Nam],'Khanh Nga'!AL$254)</f>
        <v>0</v>
      </c>
    </row>
    <row r="289" spans="1:38" ht="15" customHeight="1">
      <c r="A289" s="200" t="s">
        <v>347</v>
      </c>
      <c r="B289" s="329">
        <v>35</v>
      </c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>
        <v>0</v>
      </c>
      <c r="AA289" s="201">
        <f>SUMIFS([1]!Data_Loan[Value],[1]!Data_Loan[Index Loan],'Khanh Nga'!$B289,[1]!Data_Loan[TenCongTyID],'Khanh Nga'!$B$1,[1]!Data_Loan[Thang.Nam],'Khanh Nga'!AA$254)</f>
        <v>0</v>
      </c>
      <c r="AB289" s="201">
        <f>SUMIFS([1]!Data_Loan[Value],[1]!Data_Loan[Index Loan],'Khanh Nga'!$B289,[1]!Data_Loan[TenCongTyID],'Khanh Nga'!$B$1,[1]!Data_Loan[Thang.Nam],'Khanh Nga'!AB$254)</f>
        <v>0</v>
      </c>
      <c r="AC289" s="201">
        <f>SUMIFS([1]!Data_Loan[Value],[1]!Data_Loan[Index Loan],'Khanh Nga'!$B289,[1]!Data_Loan[TenCongTyID],'Khanh Nga'!$B$1,[1]!Data_Loan[Thang.Nam],'Khanh Nga'!AC$254)</f>
        <v>0</v>
      </c>
      <c r="AD289" s="201">
        <f>SUMIFS([1]!Data_Loan[Value],[1]!Data_Loan[Index Loan],'Khanh Nga'!$B289,[1]!Data_Loan[TenCongTyID],'Khanh Nga'!$B$1,[1]!Data_Loan[Thang.Nam],'Khanh Nga'!AD$254)</f>
        <v>0</v>
      </c>
      <c r="AE289" s="201">
        <f>SUMIFS([1]!Data_Loan[Value],[1]!Data_Loan[Index Loan],'Khanh Nga'!$B289,[1]!Data_Loan[TenCongTyID],'Khanh Nga'!$B$1,[1]!Data_Loan[Thang.Nam],'Khanh Nga'!AE$254)</f>
        <v>0</v>
      </c>
      <c r="AF289" s="201">
        <f>SUMIFS([1]!Data_Loan[Value],[1]!Data_Loan[Index Loan],'Khanh Nga'!$B289,[1]!Data_Loan[TenCongTyID],'Khanh Nga'!$B$1,[1]!Data_Loan[Thang.Nam],'Khanh Nga'!AF$254)</f>
        <v>0</v>
      </c>
      <c r="AG289" s="201">
        <f>SUMIFS([1]!Data_Loan[Value],[1]!Data_Loan[Index Loan],'Khanh Nga'!$B289,[1]!Data_Loan[TenCongTyID],'Khanh Nga'!$B$1,[1]!Data_Loan[Thang.Nam],'Khanh Nga'!AG$254)</f>
        <v>0</v>
      </c>
      <c r="AH289" s="201">
        <f>SUMIFS([1]!Data_Loan[Value],[1]!Data_Loan[Index Loan],'Khanh Nga'!$B289,[1]!Data_Loan[TenCongTyID],'Khanh Nga'!$B$1,[1]!Data_Loan[Thang.Nam],'Khanh Nga'!AH$254)</f>
        <v>0</v>
      </c>
      <c r="AI289" s="201">
        <f>SUMIFS([1]!Data_Loan[Value],[1]!Data_Loan[Index Loan],'Khanh Nga'!$B289,[1]!Data_Loan[TenCongTyID],'Khanh Nga'!$B$1,[1]!Data_Loan[Thang.Nam],'Khanh Nga'!AI$254)</f>
        <v>0</v>
      </c>
      <c r="AJ289" s="201">
        <f>SUMIFS([1]!Data_Loan[Value],[1]!Data_Loan[Index Loan],'Khanh Nga'!$B289,[1]!Data_Loan[TenCongTyID],'Khanh Nga'!$B$1,[1]!Data_Loan[Thang.Nam],'Khanh Nga'!AJ$254)</f>
        <v>0</v>
      </c>
      <c r="AK289" s="201">
        <f>SUMIFS([1]!Data_Loan[Value],[1]!Data_Loan[Index Loan],'Khanh Nga'!$B289,[1]!Data_Loan[TenCongTyID],'Khanh Nga'!$B$1,[1]!Data_Loan[Thang.Nam],'Khanh Nga'!AK$254)</f>
        <v>0</v>
      </c>
      <c r="AL289" s="201">
        <f>SUMIFS([1]!Data_Loan[Value],[1]!Data_Loan[Index Loan],'Khanh Nga'!$B289,[1]!Data_Loan[TenCongTyID],'Khanh Nga'!$B$1,[1]!Data_Loan[Thang.Nam],'Khanh Nga'!AL$254)</f>
        <v>0</v>
      </c>
    </row>
    <row r="290" spans="1:38" ht="15" customHeight="1">
      <c r="B290" s="329">
        <v>36</v>
      </c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>
        <v>0</v>
      </c>
      <c r="AA290" s="201">
        <f>SUMIFS([1]!Data_Loan[Value],[1]!Data_Loan[Index Loan],'Khanh Nga'!$B290,[1]!Data_Loan[TenCongTyID],'Khanh Nga'!$B$1,[1]!Data_Loan[Thang.Nam],'Khanh Nga'!AA$254)</f>
        <v>0</v>
      </c>
      <c r="AB290" s="201">
        <f>SUMIFS([1]!Data_Loan[Value],[1]!Data_Loan[Index Loan],'Khanh Nga'!$B290,[1]!Data_Loan[TenCongTyID],'Khanh Nga'!$B$1,[1]!Data_Loan[Thang.Nam],'Khanh Nga'!AB$254)</f>
        <v>0</v>
      </c>
      <c r="AC290" s="201">
        <f>SUMIFS([1]!Data_Loan[Value],[1]!Data_Loan[Index Loan],'Khanh Nga'!$B290,[1]!Data_Loan[TenCongTyID],'Khanh Nga'!$B$1,[1]!Data_Loan[Thang.Nam],'Khanh Nga'!AC$254)</f>
        <v>0</v>
      </c>
      <c r="AD290" s="201">
        <f>SUMIFS([1]!Data_Loan[Value],[1]!Data_Loan[Index Loan],'Khanh Nga'!$B290,[1]!Data_Loan[TenCongTyID],'Khanh Nga'!$B$1,[1]!Data_Loan[Thang.Nam],'Khanh Nga'!AD$254)</f>
        <v>0</v>
      </c>
      <c r="AE290" s="201">
        <f>SUMIFS([1]!Data_Loan[Value],[1]!Data_Loan[Index Loan],'Khanh Nga'!$B290,[1]!Data_Loan[TenCongTyID],'Khanh Nga'!$B$1,[1]!Data_Loan[Thang.Nam],'Khanh Nga'!AE$254)</f>
        <v>0</v>
      </c>
      <c r="AF290" s="201">
        <f>SUMIFS([1]!Data_Loan[Value],[1]!Data_Loan[Index Loan],'Khanh Nga'!$B290,[1]!Data_Loan[TenCongTyID],'Khanh Nga'!$B$1,[1]!Data_Loan[Thang.Nam],'Khanh Nga'!AF$254)</f>
        <v>0</v>
      </c>
      <c r="AG290" s="201">
        <f>SUMIFS([1]!Data_Loan[Value],[1]!Data_Loan[Index Loan],'Khanh Nga'!$B290,[1]!Data_Loan[TenCongTyID],'Khanh Nga'!$B$1,[1]!Data_Loan[Thang.Nam],'Khanh Nga'!AG$254)</f>
        <v>0</v>
      </c>
      <c r="AH290" s="201">
        <f>SUMIFS([1]!Data_Loan[Value],[1]!Data_Loan[Index Loan],'Khanh Nga'!$B290,[1]!Data_Loan[TenCongTyID],'Khanh Nga'!$B$1,[1]!Data_Loan[Thang.Nam],'Khanh Nga'!AH$254)</f>
        <v>0</v>
      </c>
      <c r="AI290" s="201">
        <f>SUMIFS([1]!Data_Loan[Value],[1]!Data_Loan[Index Loan],'Khanh Nga'!$B290,[1]!Data_Loan[TenCongTyID],'Khanh Nga'!$B$1,[1]!Data_Loan[Thang.Nam],'Khanh Nga'!AI$254)</f>
        <v>0</v>
      </c>
      <c r="AJ290" s="201">
        <f>SUMIFS([1]!Data_Loan[Value],[1]!Data_Loan[Index Loan],'Khanh Nga'!$B290,[1]!Data_Loan[TenCongTyID],'Khanh Nga'!$B$1,[1]!Data_Loan[Thang.Nam],'Khanh Nga'!AJ$254)</f>
        <v>0</v>
      </c>
      <c r="AK290" s="201">
        <f>SUMIFS([1]!Data_Loan[Value],[1]!Data_Loan[Index Loan],'Khanh Nga'!$B290,[1]!Data_Loan[TenCongTyID],'Khanh Nga'!$B$1,[1]!Data_Loan[Thang.Nam],'Khanh Nga'!AK$254)</f>
        <v>0</v>
      </c>
      <c r="AL290" s="201">
        <f>SUMIFS([1]!Data_Loan[Value],[1]!Data_Loan[Index Loan],'Khanh Nga'!$B290,[1]!Data_Loan[TenCongTyID],'Khanh Nga'!$B$1,[1]!Data_Loan[Thang.Nam],'Khanh Nga'!AL$254)</f>
        <v>0</v>
      </c>
    </row>
    <row r="291" spans="1:38" ht="15" customHeight="1">
      <c r="A291" s="202" t="s">
        <v>350</v>
      </c>
      <c r="B291" s="330">
        <v>37</v>
      </c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>
        <v>0</v>
      </c>
      <c r="AA291" s="201">
        <f>SUMIFS([1]!Data_Loan[Value],[1]!Data_Loan[Index Loan],'Khanh Nga'!$B291,[1]!Data_Loan[TenCongTyID],'Khanh Nga'!$B$1,[1]!Data_Loan[Thang.Nam],'Khanh Nga'!AA$254)</f>
        <v>0</v>
      </c>
      <c r="AB291" s="201">
        <f>SUMIFS([1]!Data_Loan[Value],[1]!Data_Loan[Index Loan],'Khanh Nga'!$B291,[1]!Data_Loan[TenCongTyID],'Khanh Nga'!$B$1,[1]!Data_Loan[Thang.Nam],'Khanh Nga'!AB$254)</f>
        <v>0</v>
      </c>
      <c r="AC291" s="201">
        <f>SUMIFS([1]!Data_Loan[Value],[1]!Data_Loan[Index Loan],'Khanh Nga'!$B291,[1]!Data_Loan[TenCongTyID],'Khanh Nga'!$B$1,[1]!Data_Loan[Thang.Nam],'Khanh Nga'!AC$254)</f>
        <v>0</v>
      </c>
      <c r="AD291" s="201">
        <f>SUMIFS([1]!Data_Loan[Value],[1]!Data_Loan[Index Loan],'Khanh Nga'!$B291,[1]!Data_Loan[TenCongTyID],'Khanh Nga'!$B$1,[1]!Data_Loan[Thang.Nam],'Khanh Nga'!AD$254)</f>
        <v>0</v>
      </c>
      <c r="AE291" s="201">
        <f>SUMIFS([1]!Data_Loan[Value],[1]!Data_Loan[Index Loan],'Khanh Nga'!$B291,[1]!Data_Loan[TenCongTyID],'Khanh Nga'!$B$1,[1]!Data_Loan[Thang.Nam],'Khanh Nga'!AE$254)</f>
        <v>0</v>
      </c>
      <c r="AF291" s="201">
        <f>SUMIFS([1]!Data_Loan[Value],[1]!Data_Loan[Index Loan],'Khanh Nga'!$B291,[1]!Data_Loan[TenCongTyID],'Khanh Nga'!$B$1,[1]!Data_Loan[Thang.Nam],'Khanh Nga'!AF$254)</f>
        <v>0</v>
      </c>
      <c r="AG291" s="201">
        <f>SUMIFS([1]!Data_Loan[Value],[1]!Data_Loan[Index Loan],'Khanh Nga'!$B291,[1]!Data_Loan[TenCongTyID],'Khanh Nga'!$B$1,[1]!Data_Loan[Thang.Nam],'Khanh Nga'!AG$254)</f>
        <v>0</v>
      </c>
      <c r="AH291" s="201">
        <f>SUMIFS([1]!Data_Loan[Value],[1]!Data_Loan[Index Loan],'Khanh Nga'!$B291,[1]!Data_Loan[TenCongTyID],'Khanh Nga'!$B$1,[1]!Data_Loan[Thang.Nam],'Khanh Nga'!AH$254)</f>
        <v>0</v>
      </c>
      <c r="AI291" s="201">
        <f>SUMIFS([1]!Data_Loan[Value],[1]!Data_Loan[Index Loan],'Khanh Nga'!$B291,[1]!Data_Loan[TenCongTyID],'Khanh Nga'!$B$1,[1]!Data_Loan[Thang.Nam],'Khanh Nga'!AI$254)</f>
        <v>0</v>
      </c>
      <c r="AJ291" s="201">
        <f>SUMIFS([1]!Data_Loan[Value],[1]!Data_Loan[Index Loan],'Khanh Nga'!$B291,[1]!Data_Loan[TenCongTyID],'Khanh Nga'!$B$1,[1]!Data_Loan[Thang.Nam],'Khanh Nga'!AJ$254)</f>
        <v>0</v>
      </c>
      <c r="AK291" s="201">
        <f>SUMIFS([1]!Data_Loan[Value],[1]!Data_Loan[Index Loan],'Khanh Nga'!$B291,[1]!Data_Loan[TenCongTyID],'Khanh Nga'!$B$1,[1]!Data_Loan[Thang.Nam],'Khanh Nga'!AK$254)</f>
        <v>0</v>
      </c>
      <c r="AL291" s="201">
        <f>SUMIFS([1]!Data_Loan[Value],[1]!Data_Loan[Index Loan],'Khanh Nga'!$B291,[1]!Data_Loan[TenCongTyID],'Khanh Nga'!$B$1,[1]!Data_Loan[Thang.Nam],'Khanh Nga'!AL$254)</f>
        <v>0</v>
      </c>
    </row>
    <row r="292" spans="1:38" ht="15" customHeight="1">
      <c r="A292" s="200" t="str">
        <f>A283</f>
        <v>ACB</v>
      </c>
      <c r="B292" s="329">
        <v>38</v>
      </c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>
        <v>0</v>
      </c>
      <c r="AA292" s="201">
        <f>SUMIFS([1]!Data_Loan[Value],[1]!Data_Loan[Index Loan],'Khanh Nga'!$B292,[1]!Data_Loan[TenCongTyID],'Khanh Nga'!$B$1,[1]!Data_Loan[Thang.Nam],'Khanh Nga'!AA$254)</f>
        <v>0</v>
      </c>
      <c r="AB292" s="201">
        <f>SUMIFS([1]!Data_Loan[Value],[1]!Data_Loan[Index Loan],'Khanh Nga'!$B292,[1]!Data_Loan[TenCongTyID],'Khanh Nga'!$B$1,[1]!Data_Loan[Thang.Nam],'Khanh Nga'!AB$254)</f>
        <v>0</v>
      </c>
      <c r="AC292" s="201">
        <f>SUMIFS([1]!Data_Loan[Value],[1]!Data_Loan[Index Loan],'Khanh Nga'!$B292,[1]!Data_Loan[TenCongTyID],'Khanh Nga'!$B$1,[1]!Data_Loan[Thang.Nam],'Khanh Nga'!AC$254)</f>
        <v>0</v>
      </c>
      <c r="AD292" s="201">
        <f>SUMIFS([1]!Data_Loan[Value],[1]!Data_Loan[Index Loan],'Khanh Nga'!$B292,[1]!Data_Loan[TenCongTyID],'Khanh Nga'!$B$1,[1]!Data_Loan[Thang.Nam],'Khanh Nga'!AD$254)</f>
        <v>0</v>
      </c>
      <c r="AE292" s="201">
        <f>SUMIFS([1]!Data_Loan[Value],[1]!Data_Loan[Index Loan],'Khanh Nga'!$B292,[1]!Data_Loan[TenCongTyID],'Khanh Nga'!$B$1,[1]!Data_Loan[Thang.Nam],'Khanh Nga'!AE$254)</f>
        <v>0</v>
      </c>
      <c r="AF292" s="201">
        <f>SUMIFS([1]!Data_Loan[Value],[1]!Data_Loan[Index Loan],'Khanh Nga'!$B292,[1]!Data_Loan[TenCongTyID],'Khanh Nga'!$B$1,[1]!Data_Loan[Thang.Nam],'Khanh Nga'!AF$254)</f>
        <v>0</v>
      </c>
      <c r="AG292" s="201">
        <f>SUMIFS([1]!Data_Loan[Value],[1]!Data_Loan[Index Loan],'Khanh Nga'!$B292,[1]!Data_Loan[TenCongTyID],'Khanh Nga'!$B$1,[1]!Data_Loan[Thang.Nam],'Khanh Nga'!AG$254)</f>
        <v>0</v>
      </c>
      <c r="AH292" s="201">
        <f>SUMIFS([1]!Data_Loan[Value],[1]!Data_Loan[Index Loan],'Khanh Nga'!$B292,[1]!Data_Loan[TenCongTyID],'Khanh Nga'!$B$1,[1]!Data_Loan[Thang.Nam],'Khanh Nga'!AH$254)</f>
        <v>0</v>
      </c>
      <c r="AI292" s="201">
        <f>SUMIFS([1]!Data_Loan[Value],[1]!Data_Loan[Index Loan],'Khanh Nga'!$B292,[1]!Data_Loan[TenCongTyID],'Khanh Nga'!$B$1,[1]!Data_Loan[Thang.Nam],'Khanh Nga'!AI$254)</f>
        <v>0</v>
      </c>
      <c r="AJ292" s="201">
        <f>SUMIFS([1]!Data_Loan[Value],[1]!Data_Loan[Index Loan],'Khanh Nga'!$B292,[1]!Data_Loan[TenCongTyID],'Khanh Nga'!$B$1,[1]!Data_Loan[Thang.Nam],'Khanh Nga'!AJ$254)</f>
        <v>0</v>
      </c>
      <c r="AK292" s="201">
        <f>SUMIFS([1]!Data_Loan[Value],[1]!Data_Loan[Index Loan],'Khanh Nga'!$B292,[1]!Data_Loan[TenCongTyID],'Khanh Nga'!$B$1,[1]!Data_Loan[Thang.Nam],'Khanh Nga'!AK$254)</f>
        <v>0</v>
      </c>
      <c r="AL292" s="201">
        <f>SUMIFS([1]!Data_Loan[Value],[1]!Data_Loan[Index Loan],'Khanh Nga'!$B292,[1]!Data_Loan[TenCongTyID],'Khanh Nga'!$B$1,[1]!Data_Loan[Thang.Nam],'Khanh Nga'!AL$254)</f>
        <v>0</v>
      </c>
    </row>
    <row r="293" spans="1:38" ht="15" customHeight="1">
      <c r="A293" s="200" t="str">
        <f t="shared" ref="A293:A299" si="39">A284</f>
        <v>VietinBank</v>
      </c>
      <c r="B293" s="329">
        <v>39</v>
      </c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>
        <v>0</v>
      </c>
      <c r="AA293" s="201">
        <f>SUMIFS([1]!Data_Loan[Value],[1]!Data_Loan[Index Loan],'Khanh Nga'!$B293,[1]!Data_Loan[TenCongTyID],'Khanh Nga'!$B$1,[1]!Data_Loan[Thang.Nam],'Khanh Nga'!AA$254)</f>
        <v>0</v>
      </c>
      <c r="AB293" s="201">
        <f>SUMIFS([1]!Data_Loan[Value],[1]!Data_Loan[Index Loan],'Khanh Nga'!$B293,[1]!Data_Loan[TenCongTyID],'Khanh Nga'!$B$1,[1]!Data_Loan[Thang.Nam],'Khanh Nga'!AB$254)</f>
        <v>0</v>
      </c>
      <c r="AC293" s="201">
        <f>SUMIFS([1]!Data_Loan[Value],[1]!Data_Loan[Index Loan],'Khanh Nga'!$B293,[1]!Data_Loan[TenCongTyID],'Khanh Nga'!$B$1,[1]!Data_Loan[Thang.Nam],'Khanh Nga'!AC$254)</f>
        <v>0</v>
      </c>
      <c r="AD293" s="201">
        <f>SUMIFS([1]!Data_Loan[Value],[1]!Data_Loan[Index Loan],'Khanh Nga'!$B293,[1]!Data_Loan[TenCongTyID],'Khanh Nga'!$B$1,[1]!Data_Loan[Thang.Nam],'Khanh Nga'!AD$254)</f>
        <v>0</v>
      </c>
      <c r="AE293" s="201">
        <f>SUMIFS([1]!Data_Loan[Value],[1]!Data_Loan[Index Loan],'Khanh Nga'!$B293,[1]!Data_Loan[TenCongTyID],'Khanh Nga'!$B$1,[1]!Data_Loan[Thang.Nam],'Khanh Nga'!AE$254)</f>
        <v>0</v>
      </c>
      <c r="AF293" s="201">
        <f>SUMIFS([1]!Data_Loan[Value],[1]!Data_Loan[Index Loan],'Khanh Nga'!$B293,[1]!Data_Loan[TenCongTyID],'Khanh Nga'!$B$1,[1]!Data_Loan[Thang.Nam],'Khanh Nga'!AF$254)</f>
        <v>0</v>
      </c>
      <c r="AG293" s="201">
        <f>SUMIFS([1]!Data_Loan[Value],[1]!Data_Loan[Index Loan],'Khanh Nga'!$B293,[1]!Data_Loan[TenCongTyID],'Khanh Nga'!$B$1,[1]!Data_Loan[Thang.Nam],'Khanh Nga'!AG$254)</f>
        <v>0</v>
      </c>
      <c r="AH293" s="201">
        <f>SUMIFS([1]!Data_Loan[Value],[1]!Data_Loan[Index Loan],'Khanh Nga'!$B293,[1]!Data_Loan[TenCongTyID],'Khanh Nga'!$B$1,[1]!Data_Loan[Thang.Nam],'Khanh Nga'!AH$254)</f>
        <v>0</v>
      </c>
      <c r="AI293" s="201">
        <f>SUMIFS([1]!Data_Loan[Value],[1]!Data_Loan[Index Loan],'Khanh Nga'!$B293,[1]!Data_Loan[TenCongTyID],'Khanh Nga'!$B$1,[1]!Data_Loan[Thang.Nam],'Khanh Nga'!AI$254)</f>
        <v>0</v>
      </c>
      <c r="AJ293" s="201">
        <f>SUMIFS([1]!Data_Loan[Value],[1]!Data_Loan[Index Loan],'Khanh Nga'!$B293,[1]!Data_Loan[TenCongTyID],'Khanh Nga'!$B$1,[1]!Data_Loan[Thang.Nam],'Khanh Nga'!AJ$254)</f>
        <v>0</v>
      </c>
      <c r="AK293" s="201">
        <f>SUMIFS([1]!Data_Loan[Value],[1]!Data_Loan[Index Loan],'Khanh Nga'!$B293,[1]!Data_Loan[TenCongTyID],'Khanh Nga'!$B$1,[1]!Data_Loan[Thang.Nam],'Khanh Nga'!AK$254)</f>
        <v>0</v>
      </c>
      <c r="AL293" s="201">
        <f>SUMIFS([1]!Data_Loan[Value],[1]!Data_Loan[Index Loan],'Khanh Nga'!$B293,[1]!Data_Loan[TenCongTyID],'Khanh Nga'!$B$1,[1]!Data_Loan[Thang.Nam],'Khanh Nga'!AL$254)</f>
        <v>0</v>
      </c>
    </row>
    <row r="294" spans="1:38" ht="15" customHeight="1">
      <c r="A294" s="200" t="str">
        <f t="shared" si="39"/>
        <v>Vietcombank</v>
      </c>
      <c r="B294" s="329">
        <v>40</v>
      </c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>
        <v>0</v>
      </c>
      <c r="AA294" s="201">
        <f>SUMIFS([1]!Data_Loan[Value],[1]!Data_Loan[Index Loan],'Khanh Nga'!$B294,[1]!Data_Loan[TenCongTyID],'Khanh Nga'!$B$1,[1]!Data_Loan[Thang.Nam],'Khanh Nga'!AA$254)</f>
        <v>0</v>
      </c>
      <c r="AB294" s="201">
        <f>SUMIFS([1]!Data_Loan[Value],[1]!Data_Loan[Index Loan],'Khanh Nga'!$B294,[1]!Data_Loan[TenCongTyID],'Khanh Nga'!$B$1,[1]!Data_Loan[Thang.Nam],'Khanh Nga'!AB$254)</f>
        <v>0</v>
      </c>
      <c r="AC294" s="201">
        <f>SUMIFS([1]!Data_Loan[Value],[1]!Data_Loan[Index Loan],'Khanh Nga'!$B294,[1]!Data_Loan[TenCongTyID],'Khanh Nga'!$B$1,[1]!Data_Loan[Thang.Nam],'Khanh Nga'!AC$254)</f>
        <v>0</v>
      </c>
      <c r="AD294" s="201">
        <f>SUMIFS([1]!Data_Loan[Value],[1]!Data_Loan[Index Loan],'Khanh Nga'!$B294,[1]!Data_Loan[TenCongTyID],'Khanh Nga'!$B$1,[1]!Data_Loan[Thang.Nam],'Khanh Nga'!AD$254)</f>
        <v>0</v>
      </c>
      <c r="AE294" s="201">
        <f>SUMIFS([1]!Data_Loan[Value],[1]!Data_Loan[Index Loan],'Khanh Nga'!$B294,[1]!Data_Loan[TenCongTyID],'Khanh Nga'!$B$1,[1]!Data_Loan[Thang.Nam],'Khanh Nga'!AE$254)</f>
        <v>0</v>
      </c>
      <c r="AF294" s="201">
        <f>SUMIFS([1]!Data_Loan[Value],[1]!Data_Loan[Index Loan],'Khanh Nga'!$B294,[1]!Data_Loan[TenCongTyID],'Khanh Nga'!$B$1,[1]!Data_Loan[Thang.Nam],'Khanh Nga'!AF$254)</f>
        <v>0</v>
      </c>
      <c r="AG294" s="201">
        <f>SUMIFS([1]!Data_Loan[Value],[1]!Data_Loan[Index Loan],'Khanh Nga'!$B294,[1]!Data_Loan[TenCongTyID],'Khanh Nga'!$B$1,[1]!Data_Loan[Thang.Nam],'Khanh Nga'!AG$254)</f>
        <v>0</v>
      </c>
      <c r="AH294" s="201">
        <f>SUMIFS([1]!Data_Loan[Value],[1]!Data_Loan[Index Loan],'Khanh Nga'!$B294,[1]!Data_Loan[TenCongTyID],'Khanh Nga'!$B$1,[1]!Data_Loan[Thang.Nam],'Khanh Nga'!AH$254)</f>
        <v>0</v>
      </c>
      <c r="AI294" s="201">
        <f>SUMIFS([1]!Data_Loan[Value],[1]!Data_Loan[Index Loan],'Khanh Nga'!$B294,[1]!Data_Loan[TenCongTyID],'Khanh Nga'!$B$1,[1]!Data_Loan[Thang.Nam],'Khanh Nga'!AI$254)</f>
        <v>0</v>
      </c>
      <c r="AJ294" s="201">
        <f>SUMIFS([1]!Data_Loan[Value],[1]!Data_Loan[Index Loan],'Khanh Nga'!$B294,[1]!Data_Loan[TenCongTyID],'Khanh Nga'!$B$1,[1]!Data_Loan[Thang.Nam],'Khanh Nga'!AJ$254)</f>
        <v>0</v>
      </c>
      <c r="AK294" s="201">
        <f>SUMIFS([1]!Data_Loan[Value],[1]!Data_Loan[Index Loan],'Khanh Nga'!$B294,[1]!Data_Loan[TenCongTyID],'Khanh Nga'!$B$1,[1]!Data_Loan[Thang.Nam],'Khanh Nga'!AK$254)</f>
        <v>0</v>
      </c>
      <c r="AL294" s="201">
        <f>SUMIFS([1]!Data_Loan[Value],[1]!Data_Loan[Index Loan],'Khanh Nga'!$B294,[1]!Data_Loan[TenCongTyID],'Khanh Nga'!$B$1,[1]!Data_Loan[Thang.Nam],'Khanh Nga'!AL$254)</f>
        <v>0</v>
      </c>
    </row>
    <row r="295" spans="1:38" ht="15" customHeight="1">
      <c r="A295" s="200" t="str">
        <f t="shared" si="39"/>
        <v>BIDV</v>
      </c>
      <c r="B295" s="329">
        <v>41</v>
      </c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>
        <v>0</v>
      </c>
      <c r="AA295" s="201">
        <f>SUMIFS([1]!Data_Loan[Value],[1]!Data_Loan[Index Loan],'Khanh Nga'!$B295,[1]!Data_Loan[TenCongTyID],'Khanh Nga'!$B$1,[1]!Data_Loan[Thang.Nam],'Khanh Nga'!AA$254)</f>
        <v>0</v>
      </c>
      <c r="AB295" s="201">
        <f>SUMIFS([1]!Data_Loan[Value],[1]!Data_Loan[Index Loan],'Khanh Nga'!$B295,[1]!Data_Loan[TenCongTyID],'Khanh Nga'!$B$1,[1]!Data_Loan[Thang.Nam],'Khanh Nga'!AB$254)</f>
        <v>0</v>
      </c>
      <c r="AC295" s="201">
        <f>SUMIFS([1]!Data_Loan[Value],[1]!Data_Loan[Index Loan],'Khanh Nga'!$B295,[1]!Data_Loan[TenCongTyID],'Khanh Nga'!$B$1,[1]!Data_Loan[Thang.Nam],'Khanh Nga'!AC$254)</f>
        <v>0</v>
      </c>
      <c r="AD295" s="201">
        <f>SUMIFS([1]!Data_Loan[Value],[1]!Data_Loan[Index Loan],'Khanh Nga'!$B295,[1]!Data_Loan[TenCongTyID],'Khanh Nga'!$B$1,[1]!Data_Loan[Thang.Nam],'Khanh Nga'!AD$254)</f>
        <v>0</v>
      </c>
      <c r="AE295" s="201">
        <f>SUMIFS([1]!Data_Loan[Value],[1]!Data_Loan[Index Loan],'Khanh Nga'!$B295,[1]!Data_Loan[TenCongTyID],'Khanh Nga'!$B$1,[1]!Data_Loan[Thang.Nam],'Khanh Nga'!AE$254)</f>
        <v>0</v>
      </c>
      <c r="AF295" s="201">
        <f>SUMIFS([1]!Data_Loan[Value],[1]!Data_Loan[Index Loan],'Khanh Nga'!$B295,[1]!Data_Loan[TenCongTyID],'Khanh Nga'!$B$1,[1]!Data_Loan[Thang.Nam],'Khanh Nga'!AF$254)</f>
        <v>0</v>
      </c>
      <c r="AG295" s="201">
        <f>SUMIFS([1]!Data_Loan[Value],[1]!Data_Loan[Index Loan],'Khanh Nga'!$B295,[1]!Data_Loan[TenCongTyID],'Khanh Nga'!$B$1,[1]!Data_Loan[Thang.Nam],'Khanh Nga'!AG$254)</f>
        <v>0</v>
      </c>
      <c r="AH295" s="201">
        <f>SUMIFS([1]!Data_Loan[Value],[1]!Data_Loan[Index Loan],'Khanh Nga'!$B295,[1]!Data_Loan[TenCongTyID],'Khanh Nga'!$B$1,[1]!Data_Loan[Thang.Nam],'Khanh Nga'!AH$254)</f>
        <v>0</v>
      </c>
      <c r="AI295" s="201">
        <f>SUMIFS([1]!Data_Loan[Value],[1]!Data_Loan[Index Loan],'Khanh Nga'!$B295,[1]!Data_Loan[TenCongTyID],'Khanh Nga'!$B$1,[1]!Data_Loan[Thang.Nam],'Khanh Nga'!AI$254)</f>
        <v>0</v>
      </c>
      <c r="AJ295" s="201">
        <f>SUMIFS([1]!Data_Loan[Value],[1]!Data_Loan[Index Loan],'Khanh Nga'!$B295,[1]!Data_Loan[TenCongTyID],'Khanh Nga'!$B$1,[1]!Data_Loan[Thang.Nam],'Khanh Nga'!AJ$254)</f>
        <v>0</v>
      </c>
      <c r="AK295" s="201">
        <f>SUMIFS([1]!Data_Loan[Value],[1]!Data_Loan[Index Loan],'Khanh Nga'!$B295,[1]!Data_Loan[TenCongTyID],'Khanh Nga'!$B$1,[1]!Data_Loan[Thang.Nam],'Khanh Nga'!AK$254)</f>
        <v>0</v>
      </c>
      <c r="AL295" s="201">
        <f>SUMIFS([1]!Data_Loan[Value],[1]!Data_Loan[Index Loan],'Khanh Nga'!$B295,[1]!Data_Loan[TenCongTyID],'Khanh Nga'!$B$1,[1]!Data_Loan[Thang.Nam],'Khanh Nga'!AL$254)</f>
        <v>0</v>
      </c>
    </row>
    <row r="296" spans="1:38" ht="15" customHeight="1">
      <c r="A296" s="200" t="str">
        <f t="shared" si="39"/>
        <v>Standard Chartered</v>
      </c>
      <c r="B296" s="329">
        <v>42</v>
      </c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>
        <v>0</v>
      </c>
      <c r="AA296" s="201">
        <f>SUMIFS([1]!Data_Loan[Value],[1]!Data_Loan[Index Loan],'Khanh Nga'!$B296,[1]!Data_Loan[TenCongTyID],'Khanh Nga'!$B$1,[1]!Data_Loan[Thang.Nam],'Khanh Nga'!AA$254)</f>
        <v>0</v>
      </c>
      <c r="AB296" s="201">
        <f>SUMIFS([1]!Data_Loan[Value],[1]!Data_Loan[Index Loan],'Khanh Nga'!$B296,[1]!Data_Loan[TenCongTyID],'Khanh Nga'!$B$1,[1]!Data_Loan[Thang.Nam],'Khanh Nga'!AB$254)</f>
        <v>0</v>
      </c>
      <c r="AC296" s="201">
        <f>SUMIFS([1]!Data_Loan[Value],[1]!Data_Loan[Index Loan],'Khanh Nga'!$B296,[1]!Data_Loan[TenCongTyID],'Khanh Nga'!$B$1,[1]!Data_Loan[Thang.Nam],'Khanh Nga'!AC$254)</f>
        <v>0</v>
      </c>
      <c r="AD296" s="201">
        <f>SUMIFS([1]!Data_Loan[Value],[1]!Data_Loan[Index Loan],'Khanh Nga'!$B296,[1]!Data_Loan[TenCongTyID],'Khanh Nga'!$B$1,[1]!Data_Loan[Thang.Nam],'Khanh Nga'!AD$254)</f>
        <v>0</v>
      </c>
      <c r="AE296" s="201">
        <f>SUMIFS([1]!Data_Loan[Value],[1]!Data_Loan[Index Loan],'Khanh Nga'!$B296,[1]!Data_Loan[TenCongTyID],'Khanh Nga'!$B$1,[1]!Data_Loan[Thang.Nam],'Khanh Nga'!AE$254)</f>
        <v>0</v>
      </c>
      <c r="AF296" s="201">
        <f>SUMIFS([1]!Data_Loan[Value],[1]!Data_Loan[Index Loan],'Khanh Nga'!$B296,[1]!Data_Loan[TenCongTyID],'Khanh Nga'!$B$1,[1]!Data_Loan[Thang.Nam],'Khanh Nga'!AF$254)</f>
        <v>0</v>
      </c>
      <c r="AG296" s="201">
        <f>SUMIFS([1]!Data_Loan[Value],[1]!Data_Loan[Index Loan],'Khanh Nga'!$B296,[1]!Data_Loan[TenCongTyID],'Khanh Nga'!$B$1,[1]!Data_Loan[Thang.Nam],'Khanh Nga'!AG$254)</f>
        <v>0</v>
      </c>
      <c r="AH296" s="201">
        <f>SUMIFS([1]!Data_Loan[Value],[1]!Data_Loan[Index Loan],'Khanh Nga'!$B296,[1]!Data_Loan[TenCongTyID],'Khanh Nga'!$B$1,[1]!Data_Loan[Thang.Nam],'Khanh Nga'!AH$254)</f>
        <v>0</v>
      </c>
      <c r="AI296" s="201">
        <f>SUMIFS([1]!Data_Loan[Value],[1]!Data_Loan[Index Loan],'Khanh Nga'!$B296,[1]!Data_Loan[TenCongTyID],'Khanh Nga'!$B$1,[1]!Data_Loan[Thang.Nam],'Khanh Nga'!AI$254)</f>
        <v>0</v>
      </c>
      <c r="AJ296" s="201">
        <f>SUMIFS([1]!Data_Loan[Value],[1]!Data_Loan[Index Loan],'Khanh Nga'!$B296,[1]!Data_Loan[TenCongTyID],'Khanh Nga'!$B$1,[1]!Data_Loan[Thang.Nam],'Khanh Nga'!AJ$254)</f>
        <v>0</v>
      </c>
      <c r="AK296" s="201">
        <f>SUMIFS([1]!Data_Loan[Value],[1]!Data_Loan[Index Loan],'Khanh Nga'!$B296,[1]!Data_Loan[TenCongTyID],'Khanh Nga'!$B$1,[1]!Data_Loan[Thang.Nam],'Khanh Nga'!AK$254)</f>
        <v>0</v>
      </c>
      <c r="AL296" s="201">
        <f>SUMIFS([1]!Data_Loan[Value],[1]!Data_Loan[Index Loan],'Khanh Nga'!$B296,[1]!Data_Loan[TenCongTyID],'Khanh Nga'!$B$1,[1]!Data_Loan[Thang.Nam],'Khanh Nga'!AL$254)</f>
        <v>0</v>
      </c>
    </row>
    <row r="297" spans="1:38" ht="15" customHeight="1">
      <c r="A297" s="200" t="str">
        <f t="shared" si="39"/>
        <v>VILC</v>
      </c>
      <c r="B297" s="329">
        <v>43</v>
      </c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>
        <v>0</v>
      </c>
      <c r="AA297" s="201">
        <f>SUMIFS([1]!Data_Loan[Value],[1]!Data_Loan[Index Loan],'Khanh Nga'!$B297,[1]!Data_Loan[TenCongTyID],'Khanh Nga'!$B$1,[1]!Data_Loan[Thang.Nam],'Khanh Nga'!AA$254)</f>
        <v>0</v>
      </c>
      <c r="AB297" s="201">
        <f>SUMIFS([1]!Data_Loan[Value],[1]!Data_Loan[Index Loan],'Khanh Nga'!$B297,[1]!Data_Loan[TenCongTyID],'Khanh Nga'!$B$1,[1]!Data_Loan[Thang.Nam],'Khanh Nga'!AB$254)</f>
        <v>0</v>
      </c>
      <c r="AC297" s="201">
        <f>SUMIFS([1]!Data_Loan[Value],[1]!Data_Loan[Index Loan],'Khanh Nga'!$B297,[1]!Data_Loan[TenCongTyID],'Khanh Nga'!$B$1,[1]!Data_Loan[Thang.Nam],'Khanh Nga'!AC$254)</f>
        <v>0</v>
      </c>
      <c r="AD297" s="201">
        <f>SUMIFS([1]!Data_Loan[Value],[1]!Data_Loan[Index Loan],'Khanh Nga'!$B297,[1]!Data_Loan[TenCongTyID],'Khanh Nga'!$B$1,[1]!Data_Loan[Thang.Nam],'Khanh Nga'!AD$254)</f>
        <v>0</v>
      </c>
      <c r="AE297" s="201">
        <f>SUMIFS([1]!Data_Loan[Value],[1]!Data_Loan[Index Loan],'Khanh Nga'!$B297,[1]!Data_Loan[TenCongTyID],'Khanh Nga'!$B$1,[1]!Data_Loan[Thang.Nam],'Khanh Nga'!AE$254)</f>
        <v>0</v>
      </c>
      <c r="AF297" s="201">
        <f>SUMIFS([1]!Data_Loan[Value],[1]!Data_Loan[Index Loan],'Khanh Nga'!$B297,[1]!Data_Loan[TenCongTyID],'Khanh Nga'!$B$1,[1]!Data_Loan[Thang.Nam],'Khanh Nga'!AF$254)</f>
        <v>0</v>
      </c>
      <c r="AG297" s="201">
        <f>SUMIFS([1]!Data_Loan[Value],[1]!Data_Loan[Index Loan],'Khanh Nga'!$B297,[1]!Data_Loan[TenCongTyID],'Khanh Nga'!$B$1,[1]!Data_Loan[Thang.Nam],'Khanh Nga'!AG$254)</f>
        <v>0</v>
      </c>
      <c r="AH297" s="201">
        <f>SUMIFS([1]!Data_Loan[Value],[1]!Data_Loan[Index Loan],'Khanh Nga'!$B297,[1]!Data_Loan[TenCongTyID],'Khanh Nga'!$B$1,[1]!Data_Loan[Thang.Nam],'Khanh Nga'!AH$254)</f>
        <v>0</v>
      </c>
      <c r="AI297" s="201">
        <f>SUMIFS([1]!Data_Loan[Value],[1]!Data_Loan[Index Loan],'Khanh Nga'!$B297,[1]!Data_Loan[TenCongTyID],'Khanh Nga'!$B$1,[1]!Data_Loan[Thang.Nam],'Khanh Nga'!AI$254)</f>
        <v>0</v>
      </c>
      <c r="AJ297" s="201">
        <f>SUMIFS([1]!Data_Loan[Value],[1]!Data_Loan[Index Loan],'Khanh Nga'!$B297,[1]!Data_Loan[TenCongTyID],'Khanh Nga'!$B$1,[1]!Data_Loan[Thang.Nam],'Khanh Nga'!AJ$254)</f>
        <v>0</v>
      </c>
      <c r="AK297" s="201">
        <f>SUMIFS([1]!Data_Loan[Value],[1]!Data_Loan[Index Loan],'Khanh Nga'!$B297,[1]!Data_Loan[TenCongTyID],'Khanh Nga'!$B$1,[1]!Data_Loan[Thang.Nam],'Khanh Nga'!AK$254)</f>
        <v>0</v>
      </c>
      <c r="AL297" s="201">
        <f>SUMIFS([1]!Data_Loan[Value],[1]!Data_Loan[Index Loan],'Khanh Nga'!$B297,[1]!Data_Loan[TenCongTyID],'Khanh Nga'!$B$1,[1]!Data_Loan[Thang.Nam],'Khanh Nga'!AL$254)</f>
        <v>0</v>
      </c>
    </row>
    <row r="298" spans="1:38" ht="15" customHeight="1">
      <c r="A298" s="200" t="str">
        <f t="shared" si="39"/>
        <v>IVB</v>
      </c>
      <c r="B298" s="329">
        <v>44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>
        <v>0</v>
      </c>
      <c r="AA298" s="201">
        <f>SUMIFS([1]!Data_Loan[Value],[1]!Data_Loan[Index Loan],'Khanh Nga'!$B298,[1]!Data_Loan[TenCongTyID],'Khanh Nga'!$B$1,[1]!Data_Loan[Thang.Nam],'Khanh Nga'!AA$254)</f>
        <v>0</v>
      </c>
      <c r="AB298" s="201">
        <f>SUMIFS([1]!Data_Loan[Value],[1]!Data_Loan[Index Loan],'Khanh Nga'!$B298,[1]!Data_Loan[TenCongTyID],'Khanh Nga'!$B$1,[1]!Data_Loan[Thang.Nam],'Khanh Nga'!AB$254)</f>
        <v>0</v>
      </c>
      <c r="AC298" s="201">
        <f>SUMIFS([1]!Data_Loan[Value],[1]!Data_Loan[Index Loan],'Khanh Nga'!$B298,[1]!Data_Loan[TenCongTyID],'Khanh Nga'!$B$1,[1]!Data_Loan[Thang.Nam],'Khanh Nga'!AC$254)</f>
        <v>0</v>
      </c>
      <c r="AD298" s="201">
        <f>SUMIFS([1]!Data_Loan[Value],[1]!Data_Loan[Index Loan],'Khanh Nga'!$B298,[1]!Data_Loan[TenCongTyID],'Khanh Nga'!$B$1,[1]!Data_Loan[Thang.Nam],'Khanh Nga'!AD$254)</f>
        <v>0</v>
      </c>
      <c r="AE298" s="201">
        <f>SUMIFS([1]!Data_Loan[Value],[1]!Data_Loan[Index Loan],'Khanh Nga'!$B298,[1]!Data_Loan[TenCongTyID],'Khanh Nga'!$B$1,[1]!Data_Loan[Thang.Nam],'Khanh Nga'!AE$254)</f>
        <v>0</v>
      </c>
      <c r="AF298" s="201">
        <f>SUMIFS([1]!Data_Loan[Value],[1]!Data_Loan[Index Loan],'Khanh Nga'!$B298,[1]!Data_Loan[TenCongTyID],'Khanh Nga'!$B$1,[1]!Data_Loan[Thang.Nam],'Khanh Nga'!AF$254)</f>
        <v>0</v>
      </c>
      <c r="AG298" s="201">
        <f>SUMIFS([1]!Data_Loan[Value],[1]!Data_Loan[Index Loan],'Khanh Nga'!$B298,[1]!Data_Loan[TenCongTyID],'Khanh Nga'!$B$1,[1]!Data_Loan[Thang.Nam],'Khanh Nga'!AG$254)</f>
        <v>0</v>
      </c>
      <c r="AH298" s="201">
        <f>SUMIFS([1]!Data_Loan[Value],[1]!Data_Loan[Index Loan],'Khanh Nga'!$B298,[1]!Data_Loan[TenCongTyID],'Khanh Nga'!$B$1,[1]!Data_Loan[Thang.Nam],'Khanh Nga'!AH$254)</f>
        <v>0</v>
      </c>
      <c r="AI298" s="201">
        <f>SUMIFS([1]!Data_Loan[Value],[1]!Data_Loan[Index Loan],'Khanh Nga'!$B298,[1]!Data_Loan[TenCongTyID],'Khanh Nga'!$B$1,[1]!Data_Loan[Thang.Nam],'Khanh Nga'!AI$254)</f>
        <v>0</v>
      </c>
      <c r="AJ298" s="201">
        <f>SUMIFS([1]!Data_Loan[Value],[1]!Data_Loan[Index Loan],'Khanh Nga'!$B298,[1]!Data_Loan[TenCongTyID],'Khanh Nga'!$B$1,[1]!Data_Loan[Thang.Nam],'Khanh Nga'!AJ$254)</f>
        <v>0</v>
      </c>
      <c r="AK298" s="201">
        <f>SUMIFS([1]!Data_Loan[Value],[1]!Data_Loan[Index Loan],'Khanh Nga'!$B298,[1]!Data_Loan[TenCongTyID],'Khanh Nga'!$B$1,[1]!Data_Loan[Thang.Nam],'Khanh Nga'!AK$254)</f>
        <v>0</v>
      </c>
      <c r="AL298" s="201">
        <f>SUMIFS([1]!Data_Loan[Value],[1]!Data_Loan[Index Loan],'Khanh Nga'!$B298,[1]!Data_Loan[TenCongTyID],'Khanh Nga'!$B$1,[1]!Data_Loan[Thang.Nam],'Khanh Nga'!AL$254)</f>
        <v>0</v>
      </c>
    </row>
    <row r="299" spans="1:38" ht="15" customHeight="1">
      <c r="A299" s="200">
        <f t="shared" si="39"/>
        <v>0</v>
      </c>
      <c r="B299" s="329">
        <v>45</v>
      </c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>
        <v>0</v>
      </c>
      <c r="AA299" s="201">
        <f>SUMIFS([1]!Data_Loan[Value],[1]!Data_Loan[Index Loan],'Khanh Nga'!$B299,[1]!Data_Loan[TenCongTyID],'Khanh Nga'!$B$1,[1]!Data_Loan[Thang.Nam],'Khanh Nga'!AA$254)</f>
        <v>0</v>
      </c>
      <c r="AB299" s="201">
        <f>SUMIFS([1]!Data_Loan[Value],[1]!Data_Loan[Index Loan],'Khanh Nga'!$B299,[1]!Data_Loan[TenCongTyID],'Khanh Nga'!$B$1,[1]!Data_Loan[Thang.Nam],'Khanh Nga'!AB$254)</f>
        <v>0</v>
      </c>
      <c r="AC299" s="201">
        <f>SUMIFS([1]!Data_Loan[Value],[1]!Data_Loan[Index Loan],'Khanh Nga'!$B299,[1]!Data_Loan[TenCongTyID],'Khanh Nga'!$B$1,[1]!Data_Loan[Thang.Nam],'Khanh Nga'!AC$254)</f>
        <v>0</v>
      </c>
      <c r="AD299" s="201">
        <f>SUMIFS([1]!Data_Loan[Value],[1]!Data_Loan[Index Loan],'Khanh Nga'!$B299,[1]!Data_Loan[TenCongTyID],'Khanh Nga'!$B$1,[1]!Data_Loan[Thang.Nam],'Khanh Nga'!AD$254)</f>
        <v>0</v>
      </c>
      <c r="AE299" s="201">
        <f>SUMIFS([1]!Data_Loan[Value],[1]!Data_Loan[Index Loan],'Khanh Nga'!$B299,[1]!Data_Loan[TenCongTyID],'Khanh Nga'!$B$1,[1]!Data_Loan[Thang.Nam],'Khanh Nga'!AE$254)</f>
        <v>0</v>
      </c>
      <c r="AF299" s="201">
        <f>SUMIFS([1]!Data_Loan[Value],[1]!Data_Loan[Index Loan],'Khanh Nga'!$B299,[1]!Data_Loan[TenCongTyID],'Khanh Nga'!$B$1,[1]!Data_Loan[Thang.Nam],'Khanh Nga'!AF$254)</f>
        <v>0</v>
      </c>
      <c r="AG299" s="201">
        <f>SUMIFS([1]!Data_Loan[Value],[1]!Data_Loan[Index Loan],'Khanh Nga'!$B299,[1]!Data_Loan[TenCongTyID],'Khanh Nga'!$B$1,[1]!Data_Loan[Thang.Nam],'Khanh Nga'!AG$254)</f>
        <v>0</v>
      </c>
      <c r="AH299" s="201">
        <f>SUMIFS([1]!Data_Loan[Value],[1]!Data_Loan[Index Loan],'Khanh Nga'!$B299,[1]!Data_Loan[TenCongTyID],'Khanh Nga'!$B$1,[1]!Data_Loan[Thang.Nam],'Khanh Nga'!AH$254)</f>
        <v>0</v>
      </c>
      <c r="AI299" s="201">
        <f>SUMIFS([1]!Data_Loan[Value],[1]!Data_Loan[Index Loan],'Khanh Nga'!$B299,[1]!Data_Loan[TenCongTyID],'Khanh Nga'!$B$1,[1]!Data_Loan[Thang.Nam],'Khanh Nga'!AI$254)</f>
        <v>0</v>
      </c>
      <c r="AJ299" s="201">
        <f>SUMIFS([1]!Data_Loan[Value],[1]!Data_Loan[Index Loan],'Khanh Nga'!$B299,[1]!Data_Loan[TenCongTyID],'Khanh Nga'!$B$1,[1]!Data_Loan[Thang.Nam],'Khanh Nga'!AJ$254)</f>
        <v>0</v>
      </c>
      <c r="AK299" s="201">
        <f>SUMIFS([1]!Data_Loan[Value],[1]!Data_Loan[Index Loan],'Khanh Nga'!$B299,[1]!Data_Loan[TenCongTyID],'Khanh Nga'!$B$1,[1]!Data_Loan[Thang.Nam],'Khanh Nga'!AK$254)</f>
        <v>0</v>
      </c>
      <c r="AL299" s="201">
        <f>SUMIFS([1]!Data_Loan[Value],[1]!Data_Loan[Index Loan],'Khanh Nga'!$B299,[1]!Data_Loan[TenCongTyID],'Khanh Nga'!$B$1,[1]!Data_Loan[Thang.Nam],'Khanh Nga'!AL$254)</f>
        <v>0</v>
      </c>
    </row>
    <row r="300" spans="1:38" ht="15" customHeight="1" thickBot="1">
      <c r="A300" s="203" t="s">
        <v>371</v>
      </c>
      <c r="B300" s="332">
        <v>46</v>
      </c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>
        <v>0</v>
      </c>
      <c r="AA300" s="205">
        <f>SUMIFS([1]!Data_Loan[Value],[1]!Data_Loan[Index Loan],'Khanh Nga'!$B300,[1]!Data_Loan[TenCongTyID],'Khanh Nga'!$B$1,[1]!Data_Loan[Thang.Nam],'Khanh Nga'!AA$254)</f>
        <v>0</v>
      </c>
      <c r="AB300" s="205">
        <f>SUMIFS([1]!Data_Loan[Value],[1]!Data_Loan[Index Loan],'Khanh Nga'!$B300,[1]!Data_Loan[TenCongTyID],'Khanh Nga'!$B$1,[1]!Data_Loan[Thang.Nam],'Khanh Nga'!AB$254)</f>
        <v>0</v>
      </c>
      <c r="AC300" s="205">
        <f>SUMIFS([1]!Data_Loan[Value],[1]!Data_Loan[Index Loan],'Khanh Nga'!$B300,[1]!Data_Loan[TenCongTyID],'Khanh Nga'!$B$1,[1]!Data_Loan[Thang.Nam],'Khanh Nga'!AC$254)</f>
        <v>0</v>
      </c>
      <c r="AD300" s="205">
        <f>SUMIFS([1]!Data_Loan[Value],[1]!Data_Loan[Index Loan],'Khanh Nga'!$B300,[1]!Data_Loan[TenCongTyID],'Khanh Nga'!$B$1,[1]!Data_Loan[Thang.Nam],'Khanh Nga'!AD$254)</f>
        <v>0</v>
      </c>
      <c r="AE300" s="205">
        <f>SUMIFS([1]!Data_Loan[Value],[1]!Data_Loan[Index Loan],'Khanh Nga'!$B300,[1]!Data_Loan[TenCongTyID],'Khanh Nga'!$B$1,[1]!Data_Loan[Thang.Nam],'Khanh Nga'!AE$254)</f>
        <v>0</v>
      </c>
      <c r="AF300" s="205">
        <f>SUMIFS([1]!Data_Loan[Value],[1]!Data_Loan[Index Loan],'Khanh Nga'!$B300,[1]!Data_Loan[TenCongTyID],'Khanh Nga'!$B$1,[1]!Data_Loan[Thang.Nam],'Khanh Nga'!AF$254)</f>
        <v>0</v>
      </c>
      <c r="AG300" s="205">
        <f>SUMIFS([1]!Data_Loan[Value],[1]!Data_Loan[Index Loan],'Khanh Nga'!$B300,[1]!Data_Loan[TenCongTyID],'Khanh Nga'!$B$1,[1]!Data_Loan[Thang.Nam],'Khanh Nga'!AG$254)</f>
        <v>0</v>
      </c>
      <c r="AH300" s="205">
        <f>SUMIFS([1]!Data_Loan[Value],[1]!Data_Loan[Index Loan],'Khanh Nga'!$B300,[1]!Data_Loan[TenCongTyID],'Khanh Nga'!$B$1,[1]!Data_Loan[Thang.Nam],'Khanh Nga'!AH$254)</f>
        <v>0</v>
      </c>
      <c r="AI300" s="205">
        <f>SUMIFS([1]!Data_Loan[Value],[1]!Data_Loan[Index Loan],'Khanh Nga'!$B300,[1]!Data_Loan[TenCongTyID],'Khanh Nga'!$B$1,[1]!Data_Loan[Thang.Nam],'Khanh Nga'!AI$254)</f>
        <v>0</v>
      </c>
      <c r="AJ300" s="205">
        <f>SUMIFS([1]!Data_Loan[Value],[1]!Data_Loan[Index Loan],'Khanh Nga'!$B300,[1]!Data_Loan[TenCongTyID],'Khanh Nga'!$B$1,[1]!Data_Loan[Thang.Nam],'Khanh Nga'!AJ$254)</f>
        <v>0</v>
      </c>
      <c r="AK300" s="205">
        <f>SUMIFS([1]!Data_Loan[Value],[1]!Data_Loan[Index Loan],'Khanh Nga'!$B300,[1]!Data_Loan[TenCongTyID],'Khanh Nga'!$B$1,[1]!Data_Loan[Thang.Nam],'Khanh Nga'!AK$254)</f>
        <v>0</v>
      </c>
      <c r="AL300" s="205">
        <f>SUMIFS([1]!Data_Loan[Value],[1]!Data_Loan[Index Loan],'Khanh Nga'!$B300,[1]!Data_Loan[TenCongTyID],'Khanh Nga'!$B$1,[1]!Data_Loan[Thang.Nam],'Khanh Nga'!AL$254)</f>
        <v>0</v>
      </c>
    </row>
    <row r="301" spans="1:38" ht="15" customHeight="1" thickTop="1">
      <c r="A301" s="200" t="str">
        <f t="shared" ref="A301:A306" si="40">A283</f>
        <v>ACB</v>
      </c>
      <c r="B301" s="329">
        <v>47</v>
      </c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>
        <v>0</v>
      </c>
      <c r="AA301" s="201">
        <f>SUMIFS([1]!Data_Loan[Value],[1]!Data_Loan[Index Loan],'Khanh Nga'!$B301,[1]!Data_Loan[TenCongTyID],'Khanh Nga'!$B$1,[1]!Data_Loan[Thang.Nam],'Khanh Nga'!AA$254)</f>
        <v>0</v>
      </c>
      <c r="AB301" s="201">
        <f>SUMIFS([1]!Data_Loan[Value],[1]!Data_Loan[Index Loan],'Khanh Nga'!$B301,[1]!Data_Loan[TenCongTyID],'Khanh Nga'!$B$1,[1]!Data_Loan[Thang.Nam],'Khanh Nga'!AB$254)</f>
        <v>0</v>
      </c>
      <c r="AC301" s="201">
        <f>SUMIFS([1]!Data_Loan[Value],[1]!Data_Loan[Index Loan],'Khanh Nga'!$B301,[1]!Data_Loan[TenCongTyID],'Khanh Nga'!$B$1,[1]!Data_Loan[Thang.Nam],'Khanh Nga'!AC$254)</f>
        <v>0</v>
      </c>
      <c r="AD301" s="201">
        <f>SUMIFS([1]!Data_Loan[Value],[1]!Data_Loan[Index Loan],'Khanh Nga'!$B301,[1]!Data_Loan[TenCongTyID],'Khanh Nga'!$B$1,[1]!Data_Loan[Thang.Nam],'Khanh Nga'!AD$254)</f>
        <v>0</v>
      </c>
      <c r="AE301" s="201">
        <f>SUMIFS([1]!Data_Loan[Value],[1]!Data_Loan[Index Loan],'Khanh Nga'!$B301,[1]!Data_Loan[TenCongTyID],'Khanh Nga'!$B$1,[1]!Data_Loan[Thang.Nam],'Khanh Nga'!AE$254)</f>
        <v>0</v>
      </c>
      <c r="AF301" s="201">
        <f>SUMIFS([1]!Data_Loan[Value],[1]!Data_Loan[Index Loan],'Khanh Nga'!$B301,[1]!Data_Loan[TenCongTyID],'Khanh Nga'!$B$1,[1]!Data_Loan[Thang.Nam],'Khanh Nga'!AF$254)</f>
        <v>0</v>
      </c>
      <c r="AG301" s="201">
        <f>SUMIFS([1]!Data_Loan[Value],[1]!Data_Loan[Index Loan],'Khanh Nga'!$B301,[1]!Data_Loan[TenCongTyID],'Khanh Nga'!$B$1,[1]!Data_Loan[Thang.Nam],'Khanh Nga'!AG$254)</f>
        <v>0</v>
      </c>
      <c r="AH301" s="201">
        <f>SUMIFS([1]!Data_Loan[Value],[1]!Data_Loan[Index Loan],'Khanh Nga'!$B301,[1]!Data_Loan[TenCongTyID],'Khanh Nga'!$B$1,[1]!Data_Loan[Thang.Nam],'Khanh Nga'!AH$254)</f>
        <v>0</v>
      </c>
      <c r="AI301" s="201">
        <f>SUMIFS([1]!Data_Loan[Value],[1]!Data_Loan[Index Loan],'Khanh Nga'!$B301,[1]!Data_Loan[TenCongTyID],'Khanh Nga'!$B$1,[1]!Data_Loan[Thang.Nam],'Khanh Nga'!AI$254)</f>
        <v>0</v>
      </c>
      <c r="AJ301" s="201">
        <f>SUMIFS([1]!Data_Loan[Value],[1]!Data_Loan[Index Loan],'Khanh Nga'!$B301,[1]!Data_Loan[TenCongTyID],'Khanh Nga'!$B$1,[1]!Data_Loan[Thang.Nam],'Khanh Nga'!AJ$254)</f>
        <v>0</v>
      </c>
      <c r="AK301" s="201">
        <f>SUMIFS([1]!Data_Loan[Value],[1]!Data_Loan[Index Loan],'Khanh Nga'!$B301,[1]!Data_Loan[TenCongTyID],'Khanh Nga'!$B$1,[1]!Data_Loan[Thang.Nam],'Khanh Nga'!AK$254)</f>
        <v>0</v>
      </c>
      <c r="AL301" s="201">
        <f>SUMIFS([1]!Data_Loan[Value],[1]!Data_Loan[Index Loan],'Khanh Nga'!$B301,[1]!Data_Loan[TenCongTyID],'Khanh Nga'!$B$1,[1]!Data_Loan[Thang.Nam],'Khanh Nga'!AL$254)</f>
        <v>0</v>
      </c>
    </row>
    <row r="302" spans="1:38" ht="15" customHeight="1">
      <c r="A302" s="200" t="str">
        <f t="shared" si="40"/>
        <v>VietinBank</v>
      </c>
      <c r="B302" s="329">
        <v>48</v>
      </c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>
        <v>0</v>
      </c>
      <c r="AA302" s="201">
        <f>SUMIFS([1]!Data_Loan[Value],[1]!Data_Loan[Index Loan],'Khanh Nga'!$B302,[1]!Data_Loan[TenCongTyID],'Khanh Nga'!$B$1,[1]!Data_Loan[Thang.Nam],'Khanh Nga'!AA$254)</f>
        <v>0</v>
      </c>
      <c r="AB302" s="201">
        <f>SUMIFS([1]!Data_Loan[Value],[1]!Data_Loan[Index Loan],'Khanh Nga'!$B302,[1]!Data_Loan[TenCongTyID],'Khanh Nga'!$B$1,[1]!Data_Loan[Thang.Nam],'Khanh Nga'!AB$254)</f>
        <v>0</v>
      </c>
      <c r="AC302" s="201">
        <f>SUMIFS([1]!Data_Loan[Value],[1]!Data_Loan[Index Loan],'Khanh Nga'!$B302,[1]!Data_Loan[TenCongTyID],'Khanh Nga'!$B$1,[1]!Data_Loan[Thang.Nam],'Khanh Nga'!AC$254)</f>
        <v>0</v>
      </c>
      <c r="AD302" s="201">
        <f>SUMIFS([1]!Data_Loan[Value],[1]!Data_Loan[Index Loan],'Khanh Nga'!$B302,[1]!Data_Loan[TenCongTyID],'Khanh Nga'!$B$1,[1]!Data_Loan[Thang.Nam],'Khanh Nga'!AD$254)</f>
        <v>0</v>
      </c>
      <c r="AE302" s="201">
        <f>SUMIFS([1]!Data_Loan[Value],[1]!Data_Loan[Index Loan],'Khanh Nga'!$B302,[1]!Data_Loan[TenCongTyID],'Khanh Nga'!$B$1,[1]!Data_Loan[Thang.Nam],'Khanh Nga'!AE$254)</f>
        <v>0</v>
      </c>
      <c r="AF302" s="201">
        <f>SUMIFS([1]!Data_Loan[Value],[1]!Data_Loan[Index Loan],'Khanh Nga'!$B302,[1]!Data_Loan[TenCongTyID],'Khanh Nga'!$B$1,[1]!Data_Loan[Thang.Nam],'Khanh Nga'!AF$254)</f>
        <v>0</v>
      </c>
      <c r="AG302" s="201">
        <f>SUMIFS([1]!Data_Loan[Value],[1]!Data_Loan[Index Loan],'Khanh Nga'!$B302,[1]!Data_Loan[TenCongTyID],'Khanh Nga'!$B$1,[1]!Data_Loan[Thang.Nam],'Khanh Nga'!AG$254)</f>
        <v>0</v>
      </c>
      <c r="AH302" s="201">
        <f>SUMIFS([1]!Data_Loan[Value],[1]!Data_Loan[Index Loan],'Khanh Nga'!$B302,[1]!Data_Loan[TenCongTyID],'Khanh Nga'!$B$1,[1]!Data_Loan[Thang.Nam],'Khanh Nga'!AH$254)</f>
        <v>0</v>
      </c>
      <c r="AI302" s="201">
        <f>SUMIFS([1]!Data_Loan[Value],[1]!Data_Loan[Index Loan],'Khanh Nga'!$B302,[1]!Data_Loan[TenCongTyID],'Khanh Nga'!$B$1,[1]!Data_Loan[Thang.Nam],'Khanh Nga'!AI$254)</f>
        <v>0</v>
      </c>
      <c r="AJ302" s="201">
        <f>SUMIFS([1]!Data_Loan[Value],[1]!Data_Loan[Index Loan],'Khanh Nga'!$B302,[1]!Data_Loan[TenCongTyID],'Khanh Nga'!$B$1,[1]!Data_Loan[Thang.Nam],'Khanh Nga'!AJ$254)</f>
        <v>0</v>
      </c>
      <c r="AK302" s="201">
        <f>SUMIFS([1]!Data_Loan[Value],[1]!Data_Loan[Index Loan],'Khanh Nga'!$B302,[1]!Data_Loan[TenCongTyID],'Khanh Nga'!$B$1,[1]!Data_Loan[Thang.Nam],'Khanh Nga'!AK$254)</f>
        <v>0</v>
      </c>
      <c r="AL302" s="201">
        <f>SUMIFS([1]!Data_Loan[Value],[1]!Data_Loan[Index Loan],'Khanh Nga'!$B302,[1]!Data_Loan[TenCongTyID],'Khanh Nga'!$B$1,[1]!Data_Loan[Thang.Nam],'Khanh Nga'!AL$254)</f>
        <v>0</v>
      </c>
    </row>
    <row r="303" spans="1:38" ht="15" customHeight="1">
      <c r="A303" s="200" t="str">
        <f t="shared" si="40"/>
        <v>Vietcombank</v>
      </c>
      <c r="B303" s="329">
        <v>49</v>
      </c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>
        <v>0</v>
      </c>
      <c r="AA303" s="201">
        <f>SUMIFS([1]!Data_Loan[Value],[1]!Data_Loan[Index Loan],'Khanh Nga'!$B303,[1]!Data_Loan[TenCongTyID],'Khanh Nga'!$B$1,[1]!Data_Loan[Thang.Nam],'Khanh Nga'!AA$254)</f>
        <v>0</v>
      </c>
      <c r="AB303" s="201">
        <f>SUMIFS([1]!Data_Loan[Value],[1]!Data_Loan[Index Loan],'Khanh Nga'!$B303,[1]!Data_Loan[TenCongTyID],'Khanh Nga'!$B$1,[1]!Data_Loan[Thang.Nam],'Khanh Nga'!AB$254)</f>
        <v>0</v>
      </c>
      <c r="AC303" s="201">
        <f>SUMIFS([1]!Data_Loan[Value],[1]!Data_Loan[Index Loan],'Khanh Nga'!$B303,[1]!Data_Loan[TenCongTyID],'Khanh Nga'!$B$1,[1]!Data_Loan[Thang.Nam],'Khanh Nga'!AC$254)</f>
        <v>0</v>
      </c>
      <c r="AD303" s="201">
        <f>SUMIFS([1]!Data_Loan[Value],[1]!Data_Loan[Index Loan],'Khanh Nga'!$B303,[1]!Data_Loan[TenCongTyID],'Khanh Nga'!$B$1,[1]!Data_Loan[Thang.Nam],'Khanh Nga'!AD$254)</f>
        <v>0</v>
      </c>
      <c r="AE303" s="201">
        <f>SUMIFS([1]!Data_Loan[Value],[1]!Data_Loan[Index Loan],'Khanh Nga'!$B303,[1]!Data_Loan[TenCongTyID],'Khanh Nga'!$B$1,[1]!Data_Loan[Thang.Nam],'Khanh Nga'!AE$254)</f>
        <v>0</v>
      </c>
      <c r="AF303" s="201">
        <f>SUMIFS([1]!Data_Loan[Value],[1]!Data_Loan[Index Loan],'Khanh Nga'!$B303,[1]!Data_Loan[TenCongTyID],'Khanh Nga'!$B$1,[1]!Data_Loan[Thang.Nam],'Khanh Nga'!AF$254)</f>
        <v>0</v>
      </c>
      <c r="AG303" s="201">
        <f>SUMIFS([1]!Data_Loan[Value],[1]!Data_Loan[Index Loan],'Khanh Nga'!$B303,[1]!Data_Loan[TenCongTyID],'Khanh Nga'!$B$1,[1]!Data_Loan[Thang.Nam],'Khanh Nga'!AG$254)</f>
        <v>0</v>
      </c>
      <c r="AH303" s="201">
        <f>SUMIFS([1]!Data_Loan[Value],[1]!Data_Loan[Index Loan],'Khanh Nga'!$B303,[1]!Data_Loan[TenCongTyID],'Khanh Nga'!$B$1,[1]!Data_Loan[Thang.Nam],'Khanh Nga'!AH$254)</f>
        <v>0</v>
      </c>
      <c r="AI303" s="201">
        <f>SUMIFS([1]!Data_Loan[Value],[1]!Data_Loan[Index Loan],'Khanh Nga'!$B303,[1]!Data_Loan[TenCongTyID],'Khanh Nga'!$B$1,[1]!Data_Loan[Thang.Nam],'Khanh Nga'!AI$254)</f>
        <v>0</v>
      </c>
      <c r="AJ303" s="201">
        <f>SUMIFS([1]!Data_Loan[Value],[1]!Data_Loan[Index Loan],'Khanh Nga'!$B303,[1]!Data_Loan[TenCongTyID],'Khanh Nga'!$B$1,[1]!Data_Loan[Thang.Nam],'Khanh Nga'!AJ$254)</f>
        <v>0</v>
      </c>
      <c r="AK303" s="201">
        <f>SUMIFS([1]!Data_Loan[Value],[1]!Data_Loan[Index Loan],'Khanh Nga'!$B303,[1]!Data_Loan[TenCongTyID],'Khanh Nga'!$B$1,[1]!Data_Loan[Thang.Nam],'Khanh Nga'!AK$254)</f>
        <v>0</v>
      </c>
      <c r="AL303" s="201">
        <f>SUMIFS([1]!Data_Loan[Value],[1]!Data_Loan[Index Loan],'Khanh Nga'!$B303,[1]!Data_Loan[TenCongTyID],'Khanh Nga'!$B$1,[1]!Data_Loan[Thang.Nam],'Khanh Nga'!AL$254)</f>
        <v>0</v>
      </c>
    </row>
    <row r="304" spans="1:38" ht="15" customHeight="1">
      <c r="A304" s="200" t="str">
        <f t="shared" si="40"/>
        <v>BIDV</v>
      </c>
      <c r="B304" s="329">
        <v>50</v>
      </c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>
        <v>0</v>
      </c>
      <c r="AA304" s="201">
        <f>SUMIFS([1]!Data_Loan[Value],[1]!Data_Loan[Index Loan],'Khanh Nga'!$B304,[1]!Data_Loan[TenCongTyID],'Khanh Nga'!$B$1,[1]!Data_Loan[Thang.Nam],'Khanh Nga'!AA$254)</f>
        <v>0</v>
      </c>
      <c r="AB304" s="201">
        <f>SUMIFS([1]!Data_Loan[Value],[1]!Data_Loan[Index Loan],'Khanh Nga'!$B304,[1]!Data_Loan[TenCongTyID],'Khanh Nga'!$B$1,[1]!Data_Loan[Thang.Nam],'Khanh Nga'!AB$254)</f>
        <v>0</v>
      </c>
      <c r="AC304" s="201">
        <f>SUMIFS([1]!Data_Loan[Value],[1]!Data_Loan[Index Loan],'Khanh Nga'!$B304,[1]!Data_Loan[TenCongTyID],'Khanh Nga'!$B$1,[1]!Data_Loan[Thang.Nam],'Khanh Nga'!AC$254)</f>
        <v>0</v>
      </c>
      <c r="AD304" s="201">
        <f>SUMIFS([1]!Data_Loan[Value],[1]!Data_Loan[Index Loan],'Khanh Nga'!$B304,[1]!Data_Loan[TenCongTyID],'Khanh Nga'!$B$1,[1]!Data_Loan[Thang.Nam],'Khanh Nga'!AD$254)</f>
        <v>0</v>
      </c>
      <c r="AE304" s="201">
        <f>SUMIFS([1]!Data_Loan[Value],[1]!Data_Loan[Index Loan],'Khanh Nga'!$B304,[1]!Data_Loan[TenCongTyID],'Khanh Nga'!$B$1,[1]!Data_Loan[Thang.Nam],'Khanh Nga'!AE$254)</f>
        <v>0</v>
      </c>
      <c r="AF304" s="201">
        <f>SUMIFS([1]!Data_Loan[Value],[1]!Data_Loan[Index Loan],'Khanh Nga'!$B304,[1]!Data_Loan[TenCongTyID],'Khanh Nga'!$B$1,[1]!Data_Loan[Thang.Nam],'Khanh Nga'!AF$254)</f>
        <v>0</v>
      </c>
      <c r="AG304" s="201">
        <f>SUMIFS([1]!Data_Loan[Value],[1]!Data_Loan[Index Loan],'Khanh Nga'!$B304,[1]!Data_Loan[TenCongTyID],'Khanh Nga'!$B$1,[1]!Data_Loan[Thang.Nam],'Khanh Nga'!AG$254)</f>
        <v>0</v>
      </c>
      <c r="AH304" s="201">
        <f>SUMIFS([1]!Data_Loan[Value],[1]!Data_Loan[Index Loan],'Khanh Nga'!$B304,[1]!Data_Loan[TenCongTyID],'Khanh Nga'!$B$1,[1]!Data_Loan[Thang.Nam],'Khanh Nga'!AH$254)</f>
        <v>0</v>
      </c>
      <c r="AI304" s="201">
        <f>SUMIFS([1]!Data_Loan[Value],[1]!Data_Loan[Index Loan],'Khanh Nga'!$B304,[1]!Data_Loan[TenCongTyID],'Khanh Nga'!$B$1,[1]!Data_Loan[Thang.Nam],'Khanh Nga'!AI$254)</f>
        <v>0</v>
      </c>
      <c r="AJ304" s="201">
        <f>SUMIFS([1]!Data_Loan[Value],[1]!Data_Loan[Index Loan],'Khanh Nga'!$B304,[1]!Data_Loan[TenCongTyID],'Khanh Nga'!$B$1,[1]!Data_Loan[Thang.Nam],'Khanh Nga'!AJ$254)</f>
        <v>0</v>
      </c>
      <c r="AK304" s="201">
        <f>SUMIFS([1]!Data_Loan[Value],[1]!Data_Loan[Index Loan],'Khanh Nga'!$B304,[1]!Data_Loan[TenCongTyID],'Khanh Nga'!$B$1,[1]!Data_Loan[Thang.Nam],'Khanh Nga'!AK$254)</f>
        <v>0</v>
      </c>
      <c r="AL304" s="201">
        <f>SUMIFS([1]!Data_Loan[Value],[1]!Data_Loan[Index Loan],'Khanh Nga'!$B304,[1]!Data_Loan[TenCongTyID],'Khanh Nga'!$B$1,[1]!Data_Loan[Thang.Nam],'Khanh Nga'!AL$254)</f>
        <v>0</v>
      </c>
    </row>
    <row r="305" spans="1:38" ht="15" customHeight="1">
      <c r="A305" s="200" t="str">
        <f t="shared" si="40"/>
        <v>Standard Chartered</v>
      </c>
      <c r="B305" s="329">
        <v>51</v>
      </c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>
        <v>0</v>
      </c>
      <c r="AA305" s="201">
        <f>SUMIFS([1]!Data_Loan[Value],[1]!Data_Loan[Index Loan],'Khanh Nga'!$B305,[1]!Data_Loan[TenCongTyID],'Khanh Nga'!$B$1,[1]!Data_Loan[Thang.Nam],'Khanh Nga'!AA$254)</f>
        <v>0</v>
      </c>
      <c r="AB305" s="201">
        <f>SUMIFS([1]!Data_Loan[Value],[1]!Data_Loan[Index Loan],'Khanh Nga'!$B305,[1]!Data_Loan[TenCongTyID],'Khanh Nga'!$B$1,[1]!Data_Loan[Thang.Nam],'Khanh Nga'!AB$254)</f>
        <v>0</v>
      </c>
      <c r="AC305" s="201">
        <f>SUMIFS([1]!Data_Loan[Value],[1]!Data_Loan[Index Loan],'Khanh Nga'!$B305,[1]!Data_Loan[TenCongTyID],'Khanh Nga'!$B$1,[1]!Data_Loan[Thang.Nam],'Khanh Nga'!AC$254)</f>
        <v>0</v>
      </c>
      <c r="AD305" s="201">
        <f>SUMIFS([1]!Data_Loan[Value],[1]!Data_Loan[Index Loan],'Khanh Nga'!$B305,[1]!Data_Loan[TenCongTyID],'Khanh Nga'!$B$1,[1]!Data_Loan[Thang.Nam],'Khanh Nga'!AD$254)</f>
        <v>0</v>
      </c>
      <c r="AE305" s="201">
        <f>SUMIFS([1]!Data_Loan[Value],[1]!Data_Loan[Index Loan],'Khanh Nga'!$B305,[1]!Data_Loan[TenCongTyID],'Khanh Nga'!$B$1,[1]!Data_Loan[Thang.Nam],'Khanh Nga'!AE$254)</f>
        <v>0</v>
      </c>
      <c r="AF305" s="201">
        <f>SUMIFS([1]!Data_Loan[Value],[1]!Data_Loan[Index Loan],'Khanh Nga'!$B305,[1]!Data_Loan[TenCongTyID],'Khanh Nga'!$B$1,[1]!Data_Loan[Thang.Nam],'Khanh Nga'!AF$254)</f>
        <v>0</v>
      </c>
      <c r="AG305" s="201">
        <f>SUMIFS([1]!Data_Loan[Value],[1]!Data_Loan[Index Loan],'Khanh Nga'!$B305,[1]!Data_Loan[TenCongTyID],'Khanh Nga'!$B$1,[1]!Data_Loan[Thang.Nam],'Khanh Nga'!AG$254)</f>
        <v>0</v>
      </c>
      <c r="AH305" s="201">
        <f>SUMIFS([1]!Data_Loan[Value],[1]!Data_Loan[Index Loan],'Khanh Nga'!$B305,[1]!Data_Loan[TenCongTyID],'Khanh Nga'!$B$1,[1]!Data_Loan[Thang.Nam],'Khanh Nga'!AH$254)</f>
        <v>0</v>
      </c>
      <c r="AI305" s="201">
        <f>SUMIFS([1]!Data_Loan[Value],[1]!Data_Loan[Index Loan],'Khanh Nga'!$B305,[1]!Data_Loan[TenCongTyID],'Khanh Nga'!$B$1,[1]!Data_Loan[Thang.Nam],'Khanh Nga'!AI$254)</f>
        <v>0</v>
      </c>
      <c r="AJ305" s="201">
        <f>SUMIFS([1]!Data_Loan[Value],[1]!Data_Loan[Index Loan],'Khanh Nga'!$B305,[1]!Data_Loan[TenCongTyID],'Khanh Nga'!$B$1,[1]!Data_Loan[Thang.Nam],'Khanh Nga'!AJ$254)</f>
        <v>0</v>
      </c>
      <c r="AK305" s="201">
        <f>SUMIFS([1]!Data_Loan[Value],[1]!Data_Loan[Index Loan],'Khanh Nga'!$B305,[1]!Data_Loan[TenCongTyID],'Khanh Nga'!$B$1,[1]!Data_Loan[Thang.Nam],'Khanh Nga'!AK$254)</f>
        <v>0</v>
      </c>
      <c r="AL305" s="201">
        <f>SUMIFS([1]!Data_Loan[Value],[1]!Data_Loan[Index Loan],'Khanh Nga'!$B305,[1]!Data_Loan[TenCongTyID],'Khanh Nga'!$B$1,[1]!Data_Loan[Thang.Nam],'Khanh Nga'!AL$254)</f>
        <v>0</v>
      </c>
    </row>
    <row r="306" spans="1:38" ht="15" customHeight="1">
      <c r="A306" s="200" t="str">
        <f t="shared" si="40"/>
        <v>VILC</v>
      </c>
      <c r="B306" s="329">
        <v>52</v>
      </c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>
        <v>0</v>
      </c>
      <c r="AA306" s="201">
        <f>SUMIFS([1]!Data_Loan[Value],[1]!Data_Loan[Index Loan],'Khanh Nga'!$B306,[1]!Data_Loan[TenCongTyID],'Khanh Nga'!$B$1,[1]!Data_Loan[Thang.Nam],'Khanh Nga'!AA$254)</f>
        <v>0</v>
      </c>
      <c r="AB306" s="201">
        <f>SUMIFS([1]!Data_Loan[Value],[1]!Data_Loan[Index Loan],'Khanh Nga'!$B306,[1]!Data_Loan[TenCongTyID],'Khanh Nga'!$B$1,[1]!Data_Loan[Thang.Nam],'Khanh Nga'!AB$254)</f>
        <v>0</v>
      </c>
      <c r="AC306" s="201">
        <f>SUMIFS([1]!Data_Loan[Value],[1]!Data_Loan[Index Loan],'Khanh Nga'!$B306,[1]!Data_Loan[TenCongTyID],'Khanh Nga'!$B$1,[1]!Data_Loan[Thang.Nam],'Khanh Nga'!AC$254)</f>
        <v>0</v>
      </c>
      <c r="AD306" s="201">
        <f>SUMIFS([1]!Data_Loan[Value],[1]!Data_Loan[Index Loan],'Khanh Nga'!$B306,[1]!Data_Loan[TenCongTyID],'Khanh Nga'!$B$1,[1]!Data_Loan[Thang.Nam],'Khanh Nga'!AD$254)</f>
        <v>0</v>
      </c>
      <c r="AE306" s="201">
        <f>SUMIFS([1]!Data_Loan[Value],[1]!Data_Loan[Index Loan],'Khanh Nga'!$B306,[1]!Data_Loan[TenCongTyID],'Khanh Nga'!$B$1,[1]!Data_Loan[Thang.Nam],'Khanh Nga'!AE$254)</f>
        <v>0</v>
      </c>
      <c r="AF306" s="201">
        <f>SUMIFS([1]!Data_Loan[Value],[1]!Data_Loan[Index Loan],'Khanh Nga'!$B306,[1]!Data_Loan[TenCongTyID],'Khanh Nga'!$B$1,[1]!Data_Loan[Thang.Nam],'Khanh Nga'!AF$254)</f>
        <v>0</v>
      </c>
      <c r="AG306" s="201">
        <f>SUMIFS([1]!Data_Loan[Value],[1]!Data_Loan[Index Loan],'Khanh Nga'!$B306,[1]!Data_Loan[TenCongTyID],'Khanh Nga'!$B$1,[1]!Data_Loan[Thang.Nam],'Khanh Nga'!AG$254)</f>
        <v>0</v>
      </c>
      <c r="AH306" s="201">
        <f>SUMIFS([1]!Data_Loan[Value],[1]!Data_Loan[Index Loan],'Khanh Nga'!$B306,[1]!Data_Loan[TenCongTyID],'Khanh Nga'!$B$1,[1]!Data_Loan[Thang.Nam],'Khanh Nga'!AH$254)</f>
        <v>0</v>
      </c>
      <c r="AI306" s="201">
        <f>SUMIFS([1]!Data_Loan[Value],[1]!Data_Loan[Index Loan],'Khanh Nga'!$B306,[1]!Data_Loan[TenCongTyID],'Khanh Nga'!$B$1,[1]!Data_Loan[Thang.Nam],'Khanh Nga'!AI$254)</f>
        <v>0</v>
      </c>
      <c r="AJ306" s="201">
        <f>SUMIFS([1]!Data_Loan[Value],[1]!Data_Loan[Index Loan],'Khanh Nga'!$B306,[1]!Data_Loan[TenCongTyID],'Khanh Nga'!$B$1,[1]!Data_Loan[Thang.Nam],'Khanh Nga'!AJ$254)</f>
        <v>0</v>
      </c>
      <c r="AK306" s="201">
        <f>SUMIFS([1]!Data_Loan[Value],[1]!Data_Loan[Index Loan],'Khanh Nga'!$B306,[1]!Data_Loan[TenCongTyID],'Khanh Nga'!$B$1,[1]!Data_Loan[Thang.Nam],'Khanh Nga'!AK$254)</f>
        <v>0</v>
      </c>
      <c r="AL306" s="201">
        <f>SUMIFS([1]!Data_Loan[Value],[1]!Data_Loan[Index Loan],'Khanh Nga'!$B306,[1]!Data_Loan[TenCongTyID],'Khanh Nga'!$B$1,[1]!Data_Loan[Thang.Nam],'Khanh Nga'!AL$254)</f>
        <v>0</v>
      </c>
    </row>
    <row r="307" spans="1:38" ht="15" customHeight="1">
      <c r="A307" s="200" t="s">
        <v>347</v>
      </c>
      <c r="B307" s="329">
        <v>53</v>
      </c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>
        <v>0</v>
      </c>
      <c r="AA307" s="201">
        <f>SUMIFS([1]!Data_Loan[Value],[1]!Data_Loan[Index Loan],'Khanh Nga'!$B307,[1]!Data_Loan[TenCongTyID],'Khanh Nga'!$B$1,[1]!Data_Loan[Thang.Nam],'Khanh Nga'!AA$254)</f>
        <v>0</v>
      </c>
      <c r="AB307" s="201">
        <f>SUMIFS([1]!Data_Loan[Value],[1]!Data_Loan[Index Loan],'Khanh Nga'!$B307,[1]!Data_Loan[TenCongTyID],'Khanh Nga'!$B$1,[1]!Data_Loan[Thang.Nam],'Khanh Nga'!AB$254)</f>
        <v>0</v>
      </c>
      <c r="AC307" s="201">
        <f>SUMIFS([1]!Data_Loan[Value],[1]!Data_Loan[Index Loan],'Khanh Nga'!$B307,[1]!Data_Loan[TenCongTyID],'Khanh Nga'!$B$1,[1]!Data_Loan[Thang.Nam],'Khanh Nga'!AC$254)</f>
        <v>0</v>
      </c>
      <c r="AD307" s="201">
        <f>SUMIFS([1]!Data_Loan[Value],[1]!Data_Loan[Index Loan],'Khanh Nga'!$B307,[1]!Data_Loan[TenCongTyID],'Khanh Nga'!$B$1,[1]!Data_Loan[Thang.Nam],'Khanh Nga'!AD$254)</f>
        <v>0</v>
      </c>
      <c r="AE307" s="201">
        <f>SUMIFS([1]!Data_Loan[Value],[1]!Data_Loan[Index Loan],'Khanh Nga'!$B307,[1]!Data_Loan[TenCongTyID],'Khanh Nga'!$B$1,[1]!Data_Loan[Thang.Nam],'Khanh Nga'!AE$254)</f>
        <v>0</v>
      </c>
      <c r="AF307" s="201">
        <f>SUMIFS([1]!Data_Loan[Value],[1]!Data_Loan[Index Loan],'Khanh Nga'!$B307,[1]!Data_Loan[TenCongTyID],'Khanh Nga'!$B$1,[1]!Data_Loan[Thang.Nam],'Khanh Nga'!AF$254)</f>
        <v>0</v>
      </c>
      <c r="AG307" s="201">
        <f>SUMIFS([1]!Data_Loan[Value],[1]!Data_Loan[Index Loan],'Khanh Nga'!$B307,[1]!Data_Loan[TenCongTyID],'Khanh Nga'!$B$1,[1]!Data_Loan[Thang.Nam],'Khanh Nga'!AG$254)</f>
        <v>0</v>
      </c>
      <c r="AH307" s="201">
        <f>SUMIFS([1]!Data_Loan[Value],[1]!Data_Loan[Index Loan],'Khanh Nga'!$B307,[1]!Data_Loan[TenCongTyID],'Khanh Nga'!$B$1,[1]!Data_Loan[Thang.Nam],'Khanh Nga'!AH$254)</f>
        <v>0</v>
      </c>
      <c r="AI307" s="201">
        <f>SUMIFS([1]!Data_Loan[Value],[1]!Data_Loan[Index Loan],'Khanh Nga'!$B307,[1]!Data_Loan[TenCongTyID],'Khanh Nga'!$B$1,[1]!Data_Loan[Thang.Nam],'Khanh Nga'!AI$254)</f>
        <v>0</v>
      </c>
      <c r="AJ307" s="201">
        <f>SUMIFS([1]!Data_Loan[Value],[1]!Data_Loan[Index Loan],'Khanh Nga'!$B307,[1]!Data_Loan[TenCongTyID],'Khanh Nga'!$B$1,[1]!Data_Loan[Thang.Nam],'Khanh Nga'!AJ$254)</f>
        <v>0</v>
      </c>
      <c r="AK307" s="201">
        <f>SUMIFS([1]!Data_Loan[Value],[1]!Data_Loan[Index Loan],'Khanh Nga'!$B307,[1]!Data_Loan[TenCongTyID],'Khanh Nga'!$B$1,[1]!Data_Loan[Thang.Nam],'Khanh Nga'!AK$254)</f>
        <v>0</v>
      </c>
      <c r="AL307" s="201">
        <f>SUMIFS([1]!Data_Loan[Value],[1]!Data_Loan[Index Loan],'Khanh Nga'!$B307,[1]!Data_Loan[TenCongTyID],'Khanh Nga'!$B$1,[1]!Data_Loan[Thang.Nam],'Khanh Nga'!AL$254)</f>
        <v>0</v>
      </c>
    </row>
    <row r="308" spans="1:38" ht="15" customHeight="1">
      <c r="B308" s="335">
        <v>54</v>
      </c>
      <c r="Z308" s="49">
        <v>0</v>
      </c>
      <c r="AA308" s="49">
        <f>SUMIFS([1]!Data_Loan[Value],[1]!Data_Loan[Index Loan],'Khanh Nga'!$B308,[1]!Data_Loan[TenCongTyID],'Khanh Nga'!$B$1,[1]!Data_Loan[Thang.Nam],'Khanh Nga'!AA$254)</f>
        <v>0</v>
      </c>
      <c r="AB308" s="49">
        <f>SUMIFS([1]!Data_Loan[Value],[1]!Data_Loan[Index Loan],'Khanh Nga'!$B308,[1]!Data_Loan[TenCongTyID],'Khanh Nga'!$B$1,[1]!Data_Loan[Thang.Nam],'Khanh Nga'!AB$254)</f>
        <v>0</v>
      </c>
      <c r="AC308" s="49">
        <f>SUMIFS([1]!Data_Loan[Value],[1]!Data_Loan[Index Loan],'Khanh Nga'!$B308,[1]!Data_Loan[TenCongTyID],'Khanh Nga'!$B$1,[1]!Data_Loan[Thang.Nam],'Khanh Nga'!AC$254)</f>
        <v>0</v>
      </c>
      <c r="AD308" s="49">
        <f>SUMIFS([1]!Data_Loan[Value],[1]!Data_Loan[Index Loan],'Khanh Nga'!$B308,[1]!Data_Loan[TenCongTyID],'Khanh Nga'!$B$1,[1]!Data_Loan[Thang.Nam],'Khanh Nga'!AD$254)</f>
        <v>0</v>
      </c>
      <c r="AE308" s="49">
        <f>SUMIFS([1]!Data_Loan[Value],[1]!Data_Loan[Index Loan],'Khanh Nga'!$B308,[1]!Data_Loan[TenCongTyID],'Khanh Nga'!$B$1,[1]!Data_Loan[Thang.Nam],'Khanh Nga'!AE$254)</f>
        <v>0</v>
      </c>
      <c r="AF308" s="49">
        <f>SUMIFS([1]!Data_Loan[Value],[1]!Data_Loan[Index Loan],'Khanh Nga'!$B308,[1]!Data_Loan[TenCongTyID],'Khanh Nga'!$B$1,[1]!Data_Loan[Thang.Nam],'Khanh Nga'!AF$254)</f>
        <v>0</v>
      </c>
      <c r="AG308" s="49">
        <f>SUMIFS([1]!Data_Loan[Value],[1]!Data_Loan[Index Loan],'Khanh Nga'!$B308,[1]!Data_Loan[TenCongTyID],'Khanh Nga'!$B$1,[1]!Data_Loan[Thang.Nam],'Khanh Nga'!AG$254)</f>
        <v>0</v>
      </c>
      <c r="AH308" s="49">
        <f>SUMIFS([1]!Data_Loan[Value],[1]!Data_Loan[Index Loan],'Khanh Nga'!$B308,[1]!Data_Loan[TenCongTyID],'Khanh Nga'!$B$1,[1]!Data_Loan[Thang.Nam],'Khanh Nga'!AH$254)</f>
        <v>0</v>
      </c>
      <c r="AI308" s="49">
        <f>SUMIFS([1]!Data_Loan[Value],[1]!Data_Loan[Index Loan],'Khanh Nga'!$B308,[1]!Data_Loan[TenCongTyID],'Khanh Nga'!$B$1,[1]!Data_Loan[Thang.Nam],'Khanh Nga'!AI$254)</f>
        <v>0</v>
      </c>
      <c r="AJ308" s="49">
        <f>SUMIFS([1]!Data_Loan[Value],[1]!Data_Loan[Index Loan],'Khanh Nga'!$B308,[1]!Data_Loan[TenCongTyID],'Khanh Nga'!$B$1,[1]!Data_Loan[Thang.Nam],'Khanh Nga'!AJ$254)</f>
        <v>0</v>
      </c>
      <c r="AK308" s="49">
        <f>SUMIFS([1]!Data_Loan[Value],[1]!Data_Loan[Index Loan],'Khanh Nga'!$B308,[1]!Data_Loan[TenCongTyID],'Khanh Nga'!$B$1,[1]!Data_Loan[Thang.Nam],'Khanh Nga'!AK$254)</f>
        <v>0</v>
      </c>
      <c r="AL308" s="49">
        <f>SUMIFS([1]!Data_Loan[Value],[1]!Data_Loan[Index Loan],'Khanh Nga'!$B308,[1]!Data_Loan[TenCongTyID],'Khanh Nga'!$B$1,[1]!Data_Loan[Thang.Nam],'Khanh Nga'!AL$254)</f>
        <v>0</v>
      </c>
    </row>
    <row r="309" spans="1:38" ht="15" customHeight="1" thickBot="1">
      <c r="A309" s="203" t="s">
        <v>372</v>
      </c>
      <c r="B309" s="332">
        <v>55</v>
      </c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>
        <f>SUM(Y310:Y317)</f>
        <v>0</v>
      </c>
      <c r="Z309" s="205">
        <v>0</v>
      </c>
      <c r="AA309" s="205">
        <f>SUMIFS([1]!Data_Loan[Value],[1]!Data_Loan[Index Loan],'Khanh Nga'!$B309,[1]!Data_Loan[TenCongTyID],'Khanh Nga'!$B$1,[1]!Data_Loan[Thang.Nam],'Khanh Nga'!AA$254)</f>
        <v>0</v>
      </c>
      <c r="AB309" s="205">
        <f>SUMIFS([1]!Data_Loan[Value],[1]!Data_Loan[Index Loan],'Khanh Nga'!$B309,[1]!Data_Loan[TenCongTyID],'Khanh Nga'!$B$1,[1]!Data_Loan[Thang.Nam],'Khanh Nga'!AB$254)</f>
        <v>0</v>
      </c>
      <c r="AC309" s="205">
        <f>SUMIFS([1]!Data_Loan[Value],[1]!Data_Loan[Index Loan],'Khanh Nga'!$B309,[1]!Data_Loan[TenCongTyID],'Khanh Nga'!$B$1,[1]!Data_Loan[Thang.Nam],'Khanh Nga'!AC$254)</f>
        <v>0</v>
      </c>
      <c r="AD309" s="205">
        <f>SUMIFS([1]!Data_Loan[Value],[1]!Data_Loan[Index Loan],'Khanh Nga'!$B309,[1]!Data_Loan[TenCongTyID],'Khanh Nga'!$B$1,[1]!Data_Loan[Thang.Nam],'Khanh Nga'!AD$254)</f>
        <v>0</v>
      </c>
      <c r="AE309" s="205">
        <f>SUMIFS([1]!Data_Loan[Value],[1]!Data_Loan[Index Loan],'Khanh Nga'!$B309,[1]!Data_Loan[TenCongTyID],'Khanh Nga'!$B$1,[1]!Data_Loan[Thang.Nam],'Khanh Nga'!AE$254)</f>
        <v>0</v>
      </c>
      <c r="AF309" s="205">
        <f>SUMIFS([1]!Data_Loan[Value],[1]!Data_Loan[Index Loan],'Khanh Nga'!$B309,[1]!Data_Loan[TenCongTyID],'Khanh Nga'!$B$1,[1]!Data_Loan[Thang.Nam],'Khanh Nga'!AF$254)</f>
        <v>0</v>
      </c>
      <c r="AG309" s="205">
        <f>SUMIFS([1]!Data_Loan[Value],[1]!Data_Loan[Index Loan],'Khanh Nga'!$B309,[1]!Data_Loan[TenCongTyID],'Khanh Nga'!$B$1,[1]!Data_Loan[Thang.Nam],'Khanh Nga'!AG$254)</f>
        <v>0</v>
      </c>
      <c r="AH309" s="205">
        <f>SUMIFS([1]!Data_Loan[Value],[1]!Data_Loan[Index Loan],'Khanh Nga'!$B309,[1]!Data_Loan[TenCongTyID],'Khanh Nga'!$B$1,[1]!Data_Loan[Thang.Nam],'Khanh Nga'!AH$254)</f>
        <v>0</v>
      </c>
      <c r="AI309" s="205">
        <f>SUMIFS([1]!Data_Loan[Value],[1]!Data_Loan[Index Loan],'Khanh Nga'!$B309,[1]!Data_Loan[TenCongTyID],'Khanh Nga'!$B$1,[1]!Data_Loan[Thang.Nam],'Khanh Nga'!AI$254)</f>
        <v>0</v>
      </c>
      <c r="AJ309" s="205">
        <f>SUMIFS([1]!Data_Loan[Value],[1]!Data_Loan[Index Loan],'Khanh Nga'!$B309,[1]!Data_Loan[TenCongTyID],'Khanh Nga'!$B$1,[1]!Data_Loan[Thang.Nam],'Khanh Nga'!AJ$254)</f>
        <v>0</v>
      </c>
      <c r="AK309" s="205">
        <f>SUMIFS([1]!Data_Loan[Value],[1]!Data_Loan[Index Loan],'Khanh Nga'!$B309,[1]!Data_Loan[TenCongTyID],'Khanh Nga'!$B$1,[1]!Data_Loan[Thang.Nam],'Khanh Nga'!AK$254)</f>
        <v>0</v>
      </c>
      <c r="AL309" s="205">
        <f>SUMIFS([1]!Data_Loan[Value],[1]!Data_Loan[Index Loan],'Khanh Nga'!$B309,[1]!Data_Loan[TenCongTyID],'Khanh Nga'!$B$1,[1]!Data_Loan[Thang.Nam],'Khanh Nga'!AL$254)</f>
        <v>0</v>
      </c>
    </row>
    <row r="310" spans="1:38" ht="15" customHeight="1" thickTop="1">
      <c r="A310" s="200" t="str">
        <f t="shared" ref="A310:A315" si="41">A292</f>
        <v>ACB</v>
      </c>
      <c r="B310" s="335">
        <v>56</v>
      </c>
      <c r="Z310" s="49">
        <v>0</v>
      </c>
      <c r="AA310" s="49">
        <f>SUMIFS([1]!Data_Loan[Value],[1]!Data_Loan[Index Loan],'Khanh Nga'!$B310,[1]!Data_Loan[TenCongTyID],'Khanh Nga'!$B$1,[1]!Data_Loan[Thang.Nam],'Khanh Nga'!AA$254)</f>
        <v>0</v>
      </c>
      <c r="AB310" s="49">
        <f>SUMIFS([1]!Data_Loan[Value],[1]!Data_Loan[Index Loan],'Khanh Nga'!$B310,[1]!Data_Loan[TenCongTyID],'Khanh Nga'!$B$1,[1]!Data_Loan[Thang.Nam],'Khanh Nga'!AB$254)</f>
        <v>0</v>
      </c>
      <c r="AC310" s="49">
        <f>SUMIFS([1]!Data_Loan[Value],[1]!Data_Loan[Index Loan],'Khanh Nga'!$B310,[1]!Data_Loan[TenCongTyID],'Khanh Nga'!$B$1,[1]!Data_Loan[Thang.Nam],'Khanh Nga'!AC$254)</f>
        <v>0</v>
      </c>
      <c r="AD310" s="49">
        <f>SUMIFS([1]!Data_Loan[Value],[1]!Data_Loan[Index Loan],'Khanh Nga'!$B310,[1]!Data_Loan[TenCongTyID],'Khanh Nga'!$B$1,[1]!Data_Loan[Thang.Nam],'Khanh Nga'!AD$254)</f>
        <v>0</v>
      </c>
      <c r="AE310" s="49">
        <f>SUMIFS([1]!Data_Loan[Value],[1]!Data_Loan[Index Loan],'Khanh Nga'!$B310,[1]!Data_Loan[TenCongTyID],'Khanh Nga'!$B$1,[1]!Data_Loan[Thang.Nam],'Khanh Nga'!AE$254)</f>
        <v>0</v>
      </c>
      <c r="AF310" s="49">
        <f>SUMIFS([1]!Data_Loan[Value],[1]!Data_Loan[Index Loan],'Khanh Nga'!$B310,[1]!Data_Loan[TenCongTyID],'Khanh Nga'!$B$1,[1]!Data_Loan[Thang.Nam],'Khanh Nga'!AF$254)</f>
        <v>0</v>
      </c>
      <c r="AG310" s="49">
        <f>SUMIFS([1]!Data_Loan[Value],[1]!Data_Loan[Index Loan],'Khanh Nga'!$B310,[1]!Data_Loan[TenCongTyID],'Khanh Nga'!$B$1,[1]!Data_Loan[Thang.Nam],'Khanh Nga'!AG$254)</f>
        <v>0</v>
      </c>
      <c r="AH310" s="49">
        <f>SUMIFS([1]!Data_Loan[Value],[1]!Data_Loan[Index Loan],'Khanh Nga'!$B310,[1]!Data_Loan[TenCongTyID],'Khanh Nga'!$B$1,[1]!Data_Loan[Thang.Nam],'Khanh Nga'!AH$254)</f>
        <v>0</v>
      </c>
      <c r="AI310" s="49">
        <f>SUMIFS([1]!Data_Loan[Value],[1]!Data_Loan[Index Loan],'Khanh Nga'!$B310,[1]!Data_Loan[TenCongTyID],'Khanh Nga'!$B$1,[1]!Data_Loan[Thang.Nam],'Khanh Nga'!AI$254)</f>
        <v>0</v>
      </c>
      <c r="AJ310" s="49">
        <f>SUMIFS([1]!Data_Loan[Value],[1]!Data_Loan[Index Loan],'Khanh Nga'!$B310,[1]!Data_Loan[TenCongTyID],'Khanh Nga'!$B$1,[1]!Data_Loan[Thang.Nam],'Khanh Nga'!AJ$254)</f>
        <v>0</v>
      </c>
      <c r="AK310" s="49">
        <f>SUMIFS([1]!Data_Loan[Value],[1]!Data_Loan[Index Loan],'Khanh Nga'!$B310,[1]!Data_Loan[TenCongTyID],'Khanh Nga'!$B$1,[1]!Data_Loan[Thang.Nam],'Khanh Nga'!AK$254)</f>
        <v>0</v>
      </c>
      <c r="AL310" s="49">
        <f>SUMIFS([1]!Data_Loan[Value],[1]!Data_Loan[Index Loan],'Khanh Nga'!$B310,[1]!Data_Loan[TenCongTyID],'Khanh Nga'!$B$1,[1]!Data_Loan[Thang.Nam],'Khanh Nga'!AL$254)</f>
        <v>0</v>
      </c>
    </row>
    <row r="311" spans="1:38" ht="15" customHeight="1">
      <c r="A311" s="200" t="str">
        <f t="shared" si="41"/>
        <v>VietinBank</v>
      </c>
      <c r="B311" s="335">
        <v>57</v>
      </c>
      <c r="Z311" s="49">
        <v>0</v>
      </c>
      <c r="AA311" s="49">
        <f>SUMIFS([1]!Data_Loan[Value],[1]!Data_Loan[Index Loan],'Khanh Nga'!$B311,[1]!Data_Loan[TenCongTyID],'Khanh Nga'!$B$1,[1]!Data_Loan[Thang.Nam],'Khanh Nga'!AA$254)</f>
        <v>0</v>
      </c>
      <c r="AB311" s="49">
        <f>SUMIFS([1]!Data_Loan[Value],[1]!Data_Loan[Index Loan],'Khanh Nga'!$B311,[1]!Data_Loan[TenCongTyID],'Khanh Nga'!$B$1,[1]!Data_Loan[Thang.Nam],'Khanh Nga'!AB$254)</f>
        <v>0</v>
      </c>
      <c r="AC311" s="49">
        <f>SUMIFS([1]!Data_Loan[Value],[1]!Data_Loan[Index Loan],'Khanh Nga'!$B311,[1]!Data_Loan[TenCongTyID],'Khanh Nga'!$B$1,[1]!Data_Loan[Thang.Nam],'Khanh Nga'!AC$254)</f>
        <v>0</v>
      </c>
      <c r="AD311" s="49">
        <f>SUMIFS([1]!Data_Loan[Value],[1]!Data_Loan[Index Loan],'Khanh Nga'!$B311,[1]!Data_Loan[TenCongTyID],'Khanh Nga'!$B$1,[1]!Data_Loan[Thang.Nam],'Khanh Nga'!AD$254)</f>
        <v>0</v>
      </c>
      <c r="AE311" s="49">
        <f>SUMIFS([1]!Data_Loan[Value],[1]!Data_Loan[Index Loan],'Khanh Nga'!$B311,[1]!Data_Loan[TenCongTyID],'Khanh Nga'!$B$1,[1]!Data_Loan[Thang.Nam],'Khanh Nga'!AE$254)</f>
        <v>0</v>
      </c>
      <c r="AF311" s="49">
        <f>SUMIFS([1]!Data_Loan[Value],[1]!Data_Loan[Index Loan],'Khanh Nga'!$B311,[1]!Data_Loan[TenCongTyID],'Khanh Nga'!$B$1,[1]!Data_Loan[Thang.Nam],'Khanh Nga'!AF$254)</f>
        <v>0</v>
      </c>
      <c r="AG311" s="49">
        <f>SUMIFS([1]!Data_Loan[Value],[1]!Data_Loan[Index Loan],'Khanh Nga'!$B311,[1]!Data_Loan[TenCongTyID],'Khanh Nga'!$B$1,[1]!Data_Loan[Thang.Nam],'Khanh Nga'!AG$254)</f>
        <v>0</v>
      </c>
      <c r="AH311" s="49">
        <f>SUMIFS([1]!Data_Loan[Value],[1]!Data_Loan[Index Loan],'Khanh Nga'!$B311,[1]!Data_Loan[TenCongTyID],'Khanh Nga'!$B$1,[1]!Data_Loan[Thang.Nam],'Khanh Nga'!AH$254)</f>
        <v>0</v>
      </c>
      <c r="AI311" s="49">
        <f>SUMIFS([1]!Data_Loan[Value],[1]!Data_Loan[Index Loan],'Khanh Nga'!$B311,[1]!Data_Loan[TenCongTyID],'Khanh Nga'!$B$1,[1]!Data_Loan[Thang.Nam],'Khanh Nga'!AI$254)</f>
        <v>0</v>
      </c>
      <c r="AJ311" s="49">
        <f>SUMIFS([1]!Data_Loan[Value],[1]!Data_Loan[Index Loan],'Khanh Nga'!$B311,[1]!Data_Loan[TenCongTyID],'Khanh Nga'!$B$1,[1]!Data_Loan[Thang.Nam],'Khanh Nga'!AJ$254)</f>
        <v>0</v>
      </c>
      <c r="AK311" s="49">
        <f>SUMIFS([1]!Data_Loan[Value],[1]!Data_Loan[Index Loan],'Khanh Nga'!$B311,[1]!Data_Loan[TenCongTyID],'Khanh Nga'!$B$1,[1]!Data_Loan[Thang.Nam],'Khanh Nga'!AK$254)</f>
        <v>0</v>
      </c>
      <c r="AL311" s="49">
        <f>SUMIFS([1]!Data_Loan[Value],[1]!Data_Loan[Index Loan],'Khanh Nga'!$B311,[1]!Data_Loan[TenCongTyID],'Khanh Nga'!$B$1,[1]!Data_Loan[Thang.Nam],'Khanh Nga'!AL$254)</f>
        <v>0</v>
      </c>
    </row>
    <row r="312" spans="1:38" ht="15" customHeight="1">
      <c r="A312" s="200" t="str">
        <f t="shared" si="41"/>
        <v>Vietcombank</v>
      </c>
      <c r="B312" s="335">
        <v>58</v>
      </c>
      <c r="Z312" s="49">
        <v>0</v>
      </c>
      <c r="AA312" s="49">
        <f>SUMIFS([1]!Data_Loan[Value],[1]!Data_Loan[Index Loan],'Khanh Nga'!$B312,[1]!Data_Loan[TenCongTyID],'Khanh Nga'!$B$1,[1]!Data_Loan[Thang.Nam],'Khanh Nga'!AA$254)</f>
        <v>0</v>
      </c>
      <c r="AB312" s="49">
        <f>SUMIFS([1]!Data_Loan[Value],[1]!Data_Loan[Index Loan],'Khanh Nga'!$B312,[1]!Data_Loan[TenCongTyID],'Khanh Nga'!$B$1,[1]!Data_Loan[Thang.Nam],'Khanh Nga'!AB$254)</f>
        <v>0</v>
      </c>
      <c r="AC312" s="49">
        <f>SUMIFS([1]!Data_Loan[Value],[1]!Data_Loan[Index Loan],'Khanh Nga'!$B312,[1]!Data_Loan[TenCongTyID],'Khanh Nga'!$B$1,[1]!Data_Loan[Thang.Nam],'Khanh Nga'!AC$254)</f>
        <v>0</v>
      </c>
      <c r="AD312" s="49">
        <f>SUMIFS([1]!Data_Loan[Value],[1]!Data_Loan[Index Loan],'Khanh Nga'!$B312,[1]!Data_Loan[TenCongTyID],'Khanh Nga'!$B$1,[1]!Data_Loan[Thang.Nam],'Khanh Nga'!AD$254)</f>
        <v>0</v>
      </c>
      <c r="AE312" s="49">
        <f>SUMIFS([1]!Data_Loan[Value],[1]!Data_Loan[Index Loan],'Khanh Nga'!$B312,[1]!Data_Loan[TenCongTyID],'Khanh Nga'!$B$1,[1]!Data_Loan[Thang.Nam],'Khanh Nga'!AE$254)</f>
        <v>0</v>
      </c>
      <c r="AF312" s="49">
        <f>SUMIFS([1]!Data_Loan[Value],[1]!Data_Loan[Index Loan],'Khanh Nga'!$B312,[1]!Data_Loan[TenCongTyID],'Khanh Nga'!$B$1,[1]!Data_Loan[Thang.Nam],'Khanh Nga'!AF$254)</f>
        <v>0</v>
      </c>
      <c r="AG312" s="49">
        <f>SUMIFS([1]!Data_Loan[Value],[1]!Data_Loan[Index Loan],'Khanh Nga'!$B312,[1]!Data_Loan[TenCongTyID],'Khanh Nga'!$B$1,[1]!Data_Loan[Thang.Nam],'Khanh Nga'!AG$254)</f>
        <v>0</v>
      </c>
      <c r="AH312" s="49">
        <f>SUMIFS([1]!Data_Loan[Value],[1]!Data_Loan[Index Loan],'Khanh Nga'!$B312,[1]!Data_Loan[TenCongTyID],'Khanh Nga'!$B$1,[1]!Data_Loan[Thang.Nam],'Khanh Nga'!AH$254)</f>
        <v>0</v>
      </c>
      <c r="AI312" s="49">
        <f>SUMIFS([1]!Data_Loan[Value],[1]!Data_Loan[Index Loan],'Khanh Nga'!$B312,[1]!Data_Loan[TenCongTyID],'Khanh Nga'!$B$1,[1]!Data_Loan[Thang.Nam],'Khanh Nga'!AI$254)</f>
        <v>0</v>
      </c>
      <c r="AJ312" s="49">
        <f>SUMIFS([1]!Data_Loan[Value],[1]!Data_Loan[Index Loan],'Khanh Nga'!$B312,[1]!Data_Loan[TenCongTyID],'Khanh Nga'!$B$1,[1]!Data_Loan[Thang.Nam],'Khanh Nga'!AJ$254)</f>
        <v>0</v>
      </c>
      <c r="AK312" s="49">
        <f>SUMIFS([1]!Data_Loan[Value],[1]!Data_Loan[Index Loan],'Khanh Nga'!$B312,[1]!Data_Loan[TenCongTyID],'Khanh Nga'!$B$1,[1]!Data_Loan[Thang.Nam],'Khanh Nga'!AK$254)</f>
        <v>0</v>
      </c>
      <c r="AL312" s="49">
        <f>SUMIFS([1]!Data_Loan[Value],[1]!Data_Loan[Index Loan],'Khanh Nga'!$B312,[1]!Data_Loan[TenCongTyID],'Khanh Nga'!$B$1,[1]!Data_Loan[Thang.Nam],'Khanh Nga'!AL$254)</f>
        <v>0</v>
      </c>
    </row>
    <row r="313" spans="1:38" ht="15" customHeight="1">
      <c r="A313" s="200" t="str">
        <f t="shared" si="41"/>
        <v>BIDV</v>
      </c>
      <c r="B313" s="335">
        <v>59</v>
      </c>
      <c r="Z313" s="49">
        <v>0</v>
      </c>
      <c r="AA313" s="49">
        <f>SUMIFS([1]!Data_Loan[Value],[1]!Data_Loan[Index Loan],'Khanh Nga'!$B313,[1]!Data_Loan[TenCongTyID],'Khanh Nga'!$B$1,[1]!Data_Loan[Thang.Nam],'Khanh Nga'!AA$254)</f>
        <v>0</v>
      </c>
      <c r="AB313" s="49">
        <f>SUMIFS([1]!Data_Loan[Value],[1]!Data_Loan[Index Loan],'Khanh Nga'!$B313,[1]!Data_Loan[TenCongTyID],'Khanh Nga'!$B$1,[1]!Data_Loan[Thang.Nam],'Khanh Nga'!AB$254)</f>
        <v>0</v>
      </c>
      <c r="AC313" s="49">
        <f>SUMIFS([1]!Data_Loan[Value],[1]!Data_Loan[Index Loan],'Khanh Nga'!$B313,[1]!Data_Loan[TenCongTyID],'Khanh Nga'!$B$1,[1]!Data_Loan[Thang.Nam],'Khanh Nga'!AC$254)</f>
        <v>0</v>
      </c>
      <c r="AD313" s="49">
        <f>SUMIFS([1]!Data_Loan[Value],[1]!Data_Loan[Index Loan],'Khanh Nga'!$B313,[1]!Data_Loan[TenCongTyID],'Khanh Nga'!$B$1,[1]!Data_Loan[Thang.Nam],'Khanh Nga'!AD$254)</f>
        <v>0</v>
      </c>
      <c r="AE313" s="49">
        <f>SUMIFS([1]!Data_Loan[Value],[1]!Data_Loan[Index Loan],'Khanh Nga'!$B313,[1]!Data_Loan[TenCongTyID],'Khanh Nga'!$B$1,[1]!Data_Loan[Thang.Nam],'Khanh Nga'!AE$254)</f>
        <v>0</v>
      </c>
      <c r="AF313" s="49">
        <f>SUMIFS([1]!Data_Loan[Value],[1]!Data_Loan[Index Loan],'Khanh Nga'!$B313,[1]!Data_Loan[TenCongTyID],'Khanh Nga'!$B$1,[1]!Data_Loan[Thang.Nam],'Khanh Nga'!AF$254)</f>
        <v>0</v>
      </c>
      <c r="AG313" s="49">
        <f>SUMIFS([1]!Data_Loan[Value],[1]!Data_Loan[Index Loan],'Khanh Nga'!$B313,[1]!Data_Loan[TenCongTyID],'Khanh Nga'!$B$1,[1]!Data_Loan[Thang.Nam],'Khanh Nga'!AG$254)</f>
        <v>0</v>
      </c>
      <c r="AH313" s="49">
        <f>SUMIFS([1]!Data_Loan[Value],[1]!Data_Loan[Index Loan],'Khanh Nga'!$B313,[1]!Data_Loan[TenCongTyID],'Khanh Nga'!$B$1,[1]!Data_Loan[Thang.Nam],'Khanh Nga'!AH$254)</f>
        <v>0</v>
      </c>
      <c r="AI313" s="49">
        <f>SUMIFS([1]!Data_Loan[Value],[1]!Data_Loan[Index Loan],'Khanh Nga'!$B313,[1]!Data_Loan[TenCongTyID],'Khanh Nga'!$B$1,[1]!Data_Loan[Thang.Nam],'Khanh Nga'!AI$254)</f>
        <v>0</v>
      </c>
      <c r="AJ313" s="49">
        <f>SUMIFS([1]!Data_Loan[Value],[1]!Data_Loan[Index Loan],'Khanh Nga'!$B313,[1]!Data_Loan[TenCongTyID],'Khanh Nga'!$B$1,[1]!Data_Loan[Thang.Nam],'Khanh Nga'!AJ$254)</f>
        <v>0</v>
      </c>
      <c r="AK313" s="49">
        <f>SUMIFS([1]!Data_Loan[Value],[1]!Data_Loan[Index Loan],'Khanh Nga'!$B313,[1]!Data_Loan[TenCongTyID],'Khanh Nga'!$B$1,[1]!Data_Loan[Thang.Nam],'Khanh Nga'!AK$254)</f>
        <v>0</v>
      </c>
      <c r="AL313" s="49">
        <f>SUMIFS([1]!Data_Loan[Value],[1]!Data_Loan[Index Loan],'Khanh Nga'!$B313,[1]!Data_Loan[TenCongTyID],'Khanh Nga'!$B$1,[1]!Data_Loan[Thang.Nam],'Khanh Nga'!AL$254)</f>
        <v>0</v>
      </c>
    </row>
    <row r="314" spans="1:38" ht="15" customHeight="1">
      <c r="A314" s="200" t="str">
        <f t="shared" si="41"/>
        <v>Standard Chartered</v>
      </c>
      <c r="B314" s="335">
        <v>60</v>
      </c>
      <c r="Z314" s="49">
        <v>0</v>
      </c>
      <c r="AA314" s="49">
        <f>SUMIFS([1]!Data_Loan[Value],[1]!Data_Loan[Index Loan],'Khanh Nga'!$B314,[1]!Data_Loan[TenCongTyID],'Khanh Nga'!$B$1,[1]!Data_Loan[Thang.Nam],'Khanh Nga'!AA$254)</f>
        <v>0</v>
      </c>
      <c r="AB314" s="49">
        <f>SUMIFS([1]!Data_Loan[Value],[1]!Data_Loan[Index Loan],'Khanh Nga'!$B314,[1]!Data_Loan[TenCongTyID],'Khanh Nga'!$B$1,[1]!Data_Loan[Thang.Nam],'Khanh Nga'!AB$254)</f>
        <v>0</v>
      </c>
      <c r="AC314" s="49">
        <f>SUMIFS([1]!Data_Loan[Value],[1]!Data_Loan[Index Loan],'Khanh Nga'!$B314,[1]!Data_Loan[TenCongTyID],'Khanh Nga'!$B$1,[1]!Data_Loan[Thang.Nam],'Khanh Nga'!AC$254)</f>
        <v>0</v>
      </c>
      <c r="AD314" s="49">
        <f>SUMIFS([1]!Data_Loan[Value],[1]!Data_Loan[Index Loan],'Khanh Nga'!$B314,[1]!Data_Loan[TenCongTyID],'Khanh Nga'!$B$1,[1]!Data_Loan[Thang.Nam],'Khanh Nga'!AD$254)</f>
        <v>0</v>
      </c>
      <c r="AE314" s="49">
        <f>SUMIFS([1]!Data_Loan[Value],[1]!Data_Loan[Index Loan],'Khanh Nga'!$B314,[1]!Data_Loan[TenCongTyID],'Khanh Nga'!$B$1,[1]!Data_Loan[Thang.Nam],'Khanh Nga'!AE$254)</f>
        <v>0</v>
      </c>
      <c r="AF314" s="49">
        <f>SUMIFS([1]!Data_Loan[Value],[1]!Data_Loan[Index Loan],'Khanh Nga'!$B314,[1]!Data_Loan[TenCongTyID],'Khanh Nga'!$B$1,[1]!Data_Loan[Thang.Nam],'Khanh Nga'!AF$254)</f>
        <v>0</v>
      </c>
      <c r="AG314" s="49">
        <f>SUMIFS([1]!Data_Loan[Value],[1]!Data_Loan[Index Loan],'Khanh Nga'!$B314,[1]!Data_Loan[TenCongTyID],'Khanh Nga'!$B$1,[1]!Data_Loan[Thang.Nam],'Khanh Nga'!AG$254)</f>
        <v>0</v>
      </c>
      <c r="AH314" s="49">
        <f>SUMIFS([1]!Data_Loan[Value],[1]!Data_Loan[Index Loan],'Khanh Nga'!$B314,[1]!Data_Loan[TenCongTyID],'Khanh Nga'!$B$1,[1]!Data_Loan[Thang.Nam],'Khanh Nga'!AH$254)</f>
        <v>0</v>
      </c>
      <c r="AI314" s="49">
        <f>SUMIFS([1]!Data_Loan[Value],[1]!Data_Loan[Index Loan],'Khanh Nga'!$B314,[1]!Data_Loan[TenCongTyID],'Khanh Nga'!$B$1,[1]!Data_Loan[Thang.Nam],'Khanh Nga'!AI$254)</f>
        <v>0</v>
      </c>
      <c r="AJ314" s="49">
        <f>SUMIFS([1]!Data_Loan[Value],[1]!Data_Loan[Index Loan],'Khanh Nga'!$B314,[1]!Data_Loan[TenCongTyID],'Khanh Nga'!$B$1,[1]!Data_Loan[Thang.Nam],'Khanh Nga'!AJ$254)</f>
        <v>0</v>
      </c>
      <c r="AK314" s="49">
        <f>SUMIFS([1]!Data_Loan[Value],[1]!Data_Loan[Index Loan],'Khanh Nga'!$B314,[1]!Data_Loan[TenCongTyID],'Khanh Nga'!$B$1,[1]!Data_Loan[Thang.Nam],'Khanh Nga'!AK$254)</f>
        <v>0</v>
      </c>
      <c r="AL314" s="49">
        <f>SUMIFS([1]!Data_Loan[Value],[1]!Data_Loan[Index Loan],'Khanh Nga'!$B314,[1]!Data_Loan[TenCongTyID],'Khanh Nga'!$B$1,[1]!Data_Loan[Thang.Nam],'Khanh Nga'!AL$254)</f>
        <v>0</v>
      </c>
    </row>
    <row r="315" spans="1:38" ht="15" customHeight="1">
      <c r="A315" s="200" t="str">
        <f t="shared" si="41"/>
        <v>VILC</v>
      </c>
      <c r="B315" s="335">
        <v>61</v>
      </c>
      <c r="Z315" s="49">
        <v>0</v>
      </c>
      <c r="AA315" s="49">
        <f>SUMIFS([1]!Data_Loan[Value],[1]!Data_Loan[Index Loan],'Khanh Nga'!$B315,[1]!Data_Loan[TenCongTyID],'Khanh Nga'!$B$1,[1]!Data_Loan[Thang.Nam],'Khanh Nga'!AA$254)</f>
        <v>0</v>
      </c>
      <c r="AB315" s="49">
        <f>SUMIFS([1]!Data_Loan[Value],[1]!Data_Loan[Index Loan],'Khanh Nga'!$B315,[1]!Data_Loan[TenCongTyID],'Khanh Nga'!$B$1,[1]!Data_Loan[Thang.Nam],'Khanh Nga'!AB$254)</f>
        <v>0</v>
      </c>
      <c r="AC315" s="49">
        <f>SUMIFS([1]!Data_Loan[Value],[1]!Data_Loan[Index Loan],'Khanh Nga'!$B315,[1]!Data_Loan[TenCongTyID],'Khanh Nga'!$B$1,[1]!Data_Loan[Thang.Nam],'Khanh Nga'!AC$254)</f>
        <v>0</v>
      </c>
      <c r="AD315" s="49">
        <f>SUMIFS([1]!Data_Loan[Value],[1]!Data_Loan[Index Loan],'Khanh Nga'!$B315,[1]!Data_Loan[TenCongTyID],'Khanh Nga'!$B$1,[1]!Data_Loan[Thang.Nam],'Khanh Nga'!AD$254)</f>
        <v>0</v>
      </c>
      <c r="AE315" s="49">
        <f>SUMIFS([1]!Data_Loan[Value],[1]!Data_Loan[Index Loan],'Khanh Nga'!$B315,[1]!Data_Loan[TenCongTyID],'Khanh Nga'!$B$1,[1]!Data_Loan[Thang.Nam],'Khanh Nga'!AE$254)</f>
        <v>0</v>
      </c>
      <c r="AF315" s="49">
        <f>SUMIFS([1]!Data_Loan[Value],[1]!Data_Loan[Index Loan],'Khanh Nga'!$B315,[1]!Data_Loan[TenCongTyID],'Khanh Nga'!$B$1,[1]!Data_Loan[Thang.Nam],'Khanh Nga'!AF$254)</f>
        <v>0</v>
      </c>
      <c r="AG315" s="49">
        <f>SUMIFS([1]!Data_Loan[Value],[1]!Data_Loan[Index Loan],'Khanh Nga'!$B315,[1]!Data_Loan[TenCongTyID],'Khanh Nga'!$B$1,[1]!Data_Loan[Thang.Nam],'Khanh Nga'!AG$254)</f>
        <v>0</v>
      </c>
      <c r="AH315" s="49">
        <f>SUMIFS([1]!Data_Loan[Value],[1]!Data_Loan[Index Loan],'Khanh Nga'!$B315,[1]!Data_Loan[TenCongTyID],'Khanh Nga'!$B$1,[1]!Data_Loan[Thang.Nam],'Khanh Nga'!AH$254)</f>
        <v>0</v>
      </c>
      <c r="AI315" s="49">
        <f>SUMIFS([1]!Data_Loan[Value],[1]!Data_Loan[Index Loan],'Khanh Nga'!$B315,[1]!Data_Loan[TenCongTyID],'Khanh Nga'!$B$1,[1]!Data_Loan[Thang.Nam],'Khanh Nga'!AI$254)</f>
        <v>0</v>
      </c>
      <c r="AJ315" s="49">
        <f>SUMIFS([1]!Data_Loan[Value],[1]!Data_Loan[Index Loan],'Khanh Nga'!$B315,[1]!Data_Loan[TenCongTyID],'Khanh Nga'!$B$1,[1]!Data_Loan[Thang.Nam],'Khanh Nga'!AJ$254)</f>
        <v>0</v>
      </c>
      <c r="AK315" s="49">
        <f>SUMIFS([1]!Data_Loan[Value],[1]!Data_Loan[Index Loan],'Khanh Nga'!$B315,[1]!Data_Loan[TenCongTyID],'Khanh Nga'!$B$1,[1]!Data_Loan[Thang.Nam],'Khanh Nga'!AK$254)</f>
        <v>0</v>
      </c>
      <c r="AL315" s="49">
        <f>SUMIFS([1]!Data_Loan[Value],[1]!Data_Loan[Index Loan],'Khanh Nga'!$B315,[1]!Data_Loan[TenCongTyID],'Khanh Nga'!$B$1,[1]!Data_Loan[Thang.Nam],'Khanh Nga'!AL$254)</f>
        <v>0</v>
      </c>
    </row>
    <row r="316" spans="1:38" ht="15" customHeight="1">
      <c r="A316" s="200" t="s">
        <v>347</v>
      </c>
      <c r="B316" s="335">
        <v>62</v>
      </c>
      <c r="Z316" s="49">
        <v>0</v>
      </c>
      <c r="AA316" s="49">
        <f>SUMIFS([1]!Data_Loan[Value],[1]!Data_Loan[Index Loan],'Khanh Nga'!$B316,[1]!Data_Loan[TenCongTyID],'Khanh Nga'!$B$1,[1]!Data_Loan[Thang.Nam],'Khanh Nga'!AA$254)</f>
        <v>0</v>
      </c>
      <c r="AB316" s="49">
        <f>SUMIFS([1]!Data_Loan[Value],[1]!Data_Loan[Index Loan],'Khanh Nga'!$B316,[1]!Data_Loan[TenCongTyID],'Khanh Nga'!$B$1,[1]!Data_Loan[Thang.Nam],'Khanh Nga'!AB$254)</f>
        <v>0</v>
      </c>
      <c r="AC316" s="49">
        <f>SUMIFS([1]!Data_Loan[Value],[1]!Data_Loan[Index Loan],'Khanh Nga'!$B316,[1]!Data_Loan[TenCongTyID],'Khanh Nga'!$B$1,[1]!Data_Loan[Thang.Nam],'Khanh Nga'!AC$254)</f>
        <v>0</v>
      </c>
      <c r="AD316" s="49">
        <f>SUMIFS([1]!Data_Loan[Value],[1]!Data_Loan[Index Loan],'Khanh Nga'!$B316,[1]!Data_Loan[TenCongTyID],'Khanh Nga'!$B$1,[1]!Data_Loan[Thang.Nam],'Khanh Nga'!AD$254)</f>
        <v>0</v>
      </c>
      <c r="AE316" s="49">
        <f>SUMIFS([1]!Data_Loan[Value],[1]!Data_Loan[Index Loan],'Khanh Nga'!$B316,[1]!Data_Loan[TenCongTyID],'Khanh Nga'!$B$1,[1]!Data_Loan[Thang.Nam],'Khanh Nga'!AE$254)</f>
        <v>0</v>
      </c>
      <c r="AF316" s="49">
        <f>SUMIFS([1]!Data_Loan[Value],[1]!Data_Loan[Index Loan],'Khanh Nga'!$B316,[1]!Data_Loan[TenCongTyID],'Khanh Nga'!$B$1,[1]!Data_Loan[Thang.Nam],'Khanh Nga'!AF$254)</f>
        <v>0</v>
      </c>
      <c r="AG316" s="49">
        <f>SUMIFS([1]!Data_Loan[Value],[1]!Data_Loan[Index Loan],'Khanh Nga'!$B316,[1]!Data_Loan[TenCongTyID],'Khanh Nga'!$B$1,[1]!Data_Loan[Thang.Nam],'Khanh Nga'!AG$254)</f>
        <v>0</v>
      </c>
      <c r="AH316" s="49">
        <f>SUMIFS([1]!Data_Loan[Value],[1]!Data_Loan[Index Loan],'Khanh Nga'!$B316,[1]!Data_Loan[TenCongTyID],'Khanh Nga'!$B$1,[1]!Data_Loan[Thang.Nam],'Khanh Nga'!AH$254)</f>
        <v>0</v>
      </c>
      <c r="AI316" s="49">
        <f>SUMIFS([1]!Data_Loan[Value],[1]!Data_Loan[Index Loan],'Khanh Nga'!$B316,[1]!Data_Loan[TenCongTyID],'Khanh Nga'!$B$1,[1]!Data_Loan[Thang.Nam],'Khanh Nga'!AI$254)</f>
        <v>0</v>
      </c>
      <c r="AJ316" s="49">
        <f>SUMIFS([1]!Data_Loan[Value],[1]!Data_Loan[Index Loan],'Khanh Nga'!$B316,[1]!Data_Loan[TenCongTyID],'Khanh Nga'!$B$1,[1]!Data_Loan[Thang.Nam],'Khanh Nga'!AJ$254)</f>
        <v>0</v>
      </c>
      <c r="AK316" s="49">
        <f>SUMIFS([1]!Data_Loan[Value],[1]!Data_Loan[Index Loan],'Khanh Nga'!$B316,[1]!Data_Loan[TenCongTyID],'Khanh Nga'!$B$1,[1]!Data_Loan[Thang.Nam],'Khanh Nga'!AK$254)</f>
        <v>0</v>
      </c>
      <c r="AL316" s="49">
        <f>SUMIFS([1]!Data_Loan[Value],[1]!Data_Loan[Index Loan],'Khanh Nga'!$B316,[1]!Data_Loan[TenCongTyID],'Khanh Nga'!$B$1,[1]!Data_Loan[Thang.Nam],'Khanh Nga'!AL$254)</f>
        <v>0</v>
      </c>
    </row>
    <row r="317" spans="1:38" ht="15" customHeight="1">
      <c r="B317" s="335">
        <v>63</v>
      </c>
      <c r="Z317" s="49">
        <v>0</v>
      </c>
      <c r="AA317" s="49">
        <f>SUMIFS([1]!Data_Loan[Value],[1]!Data_Loan[Index Loan],'Khanh Nga'!$B317,[1]!Data_Loan[TenCongTyID],'Khanh Nga'!$B$1,[1]!Data_Loan[Thang.Nam],'Khanh Nga'!AA$254)</f>
        <v>0</v>
      </c>
      <c r="AB317" s="49">
        <f>SUMIFS([1]!Data_Loan[Value],[1]!Data_Loan[Index Loan],'Khanh Nga'!$B317,[1]!Data_Loan[TenCongTyID],'Khanh Nga'!$B$1,[1]!Data_Loan[Thang.Nam],'Khanh Nga'!AB$254)</f>
        <v>0</v>
      </c>
      <c r="AC317" s="49">
        <f>SUMIFS([1]!Data_Loan[Value],[1]!Data_Loan[Index Loan],'Khanh Nga'!$B317,[1]!Data_Loan[TenCongTyID],'Khanh Nga'!$B$1,[1]!Data_Loan[Thang.Nam],'Khanh Nga'!AC$254)</f>
        <v>0</v>
      </c>
      <c r="AD317" s="49">
        <f>SUMIFS([1]!Data_Loan[Value],[1]!Data_Loan[Index Loan],'Khanh Nga'!$B317,[1]!Data_Loan[TenCongTyID],'Khanh Nga'!$B$1,[1]!Data_Loan[Thang.Nam],'Khanh Nga'!AD$254)</f>
        <v>0</v>
      </c>
      <c r="AE317" s="49">
        <f>SUMIFS([1]!Data_Loan[Value],[1]!Data_Loan[Index Loan],'Khanh Nga'!$B317,[1]!Data_Loan[TenCongTyID],'Khanh Nga'!$B$1,[1]!Data_Loan[Thang.Nam],'Khanh Nga'!AE$254)</f>
        <v>0</v>
      </c>
      <c r="AF317" s="49">
        <f>SUMIFS([1]!Data_Loan[Value],[1]!Data_Loan[Index Loan],'Khanh Nga'!$B317,[1]!Data_Loan[TenCongTyID],'Khanh Nga'!$B$1,[1]!Data_Loan[Thang.Nam],'Khanh Nga'!AF$254)</f>
        <v>0</v>
      </c>
      <c r="AG317" s="49">
        <f>SUMIFS([1]!Data_Loan[Value],[1]!Data_Loan[Index Loan],'Khanh Nga'!$B317,[1]!Data_Loan[TenCongTyID],'Khanh Nga'!$B$1,[1]!Data_Loan[Thang.Nam],'Khanh Nga'!AG$254)</f>
        <v>0</v>
      </c>
      <c r="AH317" s="49">
        <f>SUMIFS([1]!Data_Loan[Value],[1]!Data_Loan[Index Loan],'Khanh Nga'!$B317,[1]!Data_Loan[TenCongTyID],'Khanh Nga'!$B$1,[1]!Data_Loan[Thang.Nam],'Khanh Nga'!AH$254)</f>
        <v>0</v>
      </c>
      <c r="AI317" s="49">
        <f>SUMIFS([1]!Data_Loan[Value],[1]!Data_Loan[Index Loan],'Khanh Nga'!$B317,[1]!Data_Loan[TenCongTyID],'Khanh Nga'!$B$1,[1]!Data_Loan[Thang.Nam],'Khanh Nga'!AI$254)</f>
        <v>0</v>
      </c>
      <c r="AJ317" s="49">
        <f>SUMIFS([1]!Data_Loan[Value],[1]!Data_Loan[Index Loan],'Khanh Nga'!$B317,[1]!Data_Loan[TenCongTyID],'Khanh Nga'!$B$1,[1]!Data_Loan[Thang.Nam],'Khanh Nga'!AJ$254)</f>
        <v>0</v>
      </c>
      <c r="AK317" s="49">
        <f>SUMIFS([1]!Data_Loan[Value],[1]!Data_Loan[Index Loan],'Khanh Nga'!$B317,[1]!Data_Loan[TenCongTyID],'Khanh Nga'!$B$1,[1]!Data_Loan[Thang.Nam],'Khanh Nga'!AK$254)</f>
        <v>0</v>
      </c>
      <c r="AL317" s="49">
        <f>SUMIFS([1]!Data_Loan[Value],[1]!Data_Loan[Index Loan],'Khanh Nga'!$B317,[1]!Data_Loan[TenCongTyID],'Khanh Nga'!$B$1,[1]!Data_Loan[Thang.Nam],'Khanh Nga'!AL$254)</f>
        <v>0</v>
      </c>
    </row>
    <row r="318" spans="1:38" ht="15" customHeight="1" thickBot="1">
      <c r="A318" s="203" t="s">
        <v>373</v>
      </c>
      <c r="B318" s="332">
        <v>64</v>
      </c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>
        <v>0</v>
      </c>
      <c r="AA318" s="205">
        <f>SUMIFS([1]!Data_Loan[Value],[1]!Data_Loan[Index Loan],'Khanh Nga'!$B318,[1]!Data_Loan[TenCongTyID],'Khanh Nga'!$B$1,[1]!Data_Loan[Thang.Nam],'Khanh Nga'!AA$254)</f>
        <v>0</v>
      </c>
      <c r="AB318" s="205">
        <f>SUMIFS([1]!Data_Loan[Value],[1]!Data_Loan[Index Loan],'Khanh Nga'!$B318,[1]!Data_Loan[TenCongTyID],'Khanh Nga'!$B$1,[1]!Data_Loan[Thang.Nam],'Khanh Nga'!AB$254)</f>
        <v>0</v>
      </c>
      <c r="AC318" s="205">
        <f>SUMIFS([1]!Data_Loan[Value],[1]!Data_Loan[Index Loan],'Khanh Nga'!$B318,[1]!Data_Loan[TenCongTyID],'Khanh Nga'!$B$1,[1]!Data_Loan[Thang.Nam],'Khanh Nga'!AC$254)</f>
        <v>0</v>
      </c>
      <c r="AD318" s="205">
        <f>SUMIFS([1]!Data_Loan[Value],[1]!Data_Loan[Index Loan],'Khanh Nga'!$B318,[1]!Data_Loan[TenCongTyID],'Khanh Nga'!$B$1,[1]!Data_Loan[Thang.Nam],'Khanh Nga'!AD$254)</f>
        <v>0</v>
      </c>
      <c r="AE318" s="205">
        <f>SUMIFS([1]!Data_Loan[Value],[1]!Data_Loan[Index Loan],'Khanh Nga'!$B318,[1]!Data_Loan[TenCongTyID],'Khanh Nga'!$B$1,[1]!Data_Loan[Thang.Nam],'Khanh Nga'!AE$254)</f>
        <v>0</v>
      </c>
      <c r="AF318" s="205">
        <f>SUMIFS([1]!Data_Loan[Value],[1]!Data_Loan[Index Loan],'Khanh Nga'!$B318,[1]!Data_Loan[TenCongTyID],'Khanh Nga'!$B$1,[1]!Data_Loan[Thang.Nam],'Khanh Nga'!AF$254)</f>
        <v>0</v>
      </c>
      <c r="AG318" s="205">
        <f>SUMIFS([1]!Data_Loan[Value],[1]!Data_Loan[Index Loan],'Khanh Nga'!$B318,[1]!Data_Loan[TenCongTyID],'Khanh Nga'!$B$1,[1]!Data_Loan[Thang.Nam],'Khanh Nga'!AG$254)</f>
        <v>0</v>
      </c>
      <c r="AH318" s="205">
        <f>SUMIFS([1]!Data_Loan[Value],[1]!Data_Loan[Index Loan],'Khanh Nga'!$B318,[1]!Data_Loan[TenCongTyID],'Khanh Nga'!$B$1,[1]!Data_Loan[Thang.Nam],'Khanh Nga'!AH$254)</f>
        <v>0</v>
      </c>
      <c r="AI318" s="205">
        <f>SUMIFS([1]!Data_Loan[Value],[1]!Data_Loan[Index Loan],'Khanh Nga'!$B318,[1]!Data_Loan[TenCongTyID],'Khanh Nga'!$B$1,[1]!Data_Loan[Thang.Nam],'Khanh Nga'!AI$254)</f>
        <v>0</v>
      </c>
      <c r="AJ318" s="205">
        <f>SUMIFS([1]!Data_Loan[Value],[1]!Data_Loan[Index Loan],'Khanh Nga'!$B318,[1]!Data_Loan[TenCongTyID],'Khanh Nga'!$B$1,[1]!Data_Loan[Thang.Nam],'Khanh Nga'!AJ$254)</f>
        <v>0</v>
      </c>
      <c r="AK318" s="205">
        <f>SUMIFS([1]!Data_Loan[Value],[1]!Data_Loan[Index Loan],'Khanh Nga'!$B318,[1]!Data_Loan[TenCongTyID],'Khanh Nga'!$B$1,[1]!Data_Loan[Thang.Nam],'Khanh Nga'!AK$254)</f>
        <v>0</v>
      </c>
      <c r="AL318" s="205">
        <f>SUMIFS([1]!Data_Loan[Value],[1]!Data_Loan[Index Loan],'Khanh Nga'!$B318,[1]!Data_Loan[TenCongTyID],'Khanh Nga'!$B$1,[1]!Data_Loan[Thang.Nam],'Khanh Nga'!AL$254)</f>
        <v>0</v>
      </c>
    </row>
    <row r="319" spans="1:38" ht="15" customHeight="1" thickTop="1">
      <c r="A319" s="200" t="str">
        <f t="shared" ref="A319:A324" si="42">A301</f>
        <v>ACB</v>
      </c>
      <c r="B319" s="335">
        <v>65</v>
      </c>
      <c r="Z319" s="49">
        <v>0</v>
      </c>
      <c r="AA319" s="49">
        <f>SUMIFS([1]!Data_Loan[Value],[1]!Data_Loan[Index Loan],'Khanh Nga'!$B319,[1]!Data_Loan[TenCongTyID],'Khanh Nga'!$B$1,[1]!Data_Loan[Thang.Nam],'Khanh Nga'!AA$254)</f>
        <v>0</v>
      </c>
      <c r="AB319" s="49">
        <f>SUMIFS([1]!Data_Loan[Value],[1]!Data_Loan[Index Loan],'Khanh Nga'!$B319,[1]!Data_Loan[TenCongTyID],'Khanh Nga'!$B$1,[1]!Data_Loan[Thang.Nam],'Khanh Nga'!AB$254)</f>
        <v>0</v>
      </c>
      <c r="AC319" s="49">
        <f>SUMIFS([1]!Data_Loan[Value],[1]!Data_Loan[Index Loan],'Khanh Nga'!$B319,[1]!Data_Loan[TenCongTyID],'Khanh Nga'!$B$1,[1]!Data_Loan[Thang.Nam],'Khanh Nga'!AC$254)</f>
        <v>0</v>
      </c>
      <c r="AD319" s="49">
        <f>SUMIFS([1]!Data_Loan[Value],[1]!Data_Loan[Index Loan],'Khanh Nga'!$B319,[1]!Data_Loan[TenCongTyID],'Khanh Nga'!$B$1,[1]!Data_Loan[Thang.Nam],'Khanh Nga'!AD$254)</f>
        <v>0</v>
      </c>
      <c r="AE319" s="49">
        <f>SUMIFS([1]!Data_Loan[Value],[1]!Data_Loan[Index Loan],'Khanh Nga'!$B319,[1]!Data_Loan[TenCongTyID],'Khanh Nga'!$B$1,[1]!Data_Loan[Thang.Nam],'Khanh Nga'!AE$254)</f>
        <v>0</v>
      </c>
      <c r="AF319" s="49">
        <f>SUMIFS([1]!Data_Loan[Value],[1]!Data_Loan[Index Loan],'Khanh Nga'!$B319,[1]!Data_Loan[TenCongTyID],'Khanh Nga'!$B$1,[1]!Data_Loan[Thang.Nam],'Khanh Nga'!AF$254)</f>
        <v>0</v>
      </c>
      <c r="AG319" s="49">
        <f>SUMIFS([1]!Data_Loan[Value],[1]!Data_Loan[Index Loan],'Khanh Nga'!$B319,[1]!Data_Loan[TenCongTyID],'Khanh Nga'!$B$1,[1]!Data_Loan[Thang.Nam],'Khanh Nga'!AG$254)</f>
        <v>0</v>
      </c>
      <c r="AH319" s="49">
        <f>SUMIFS([1]!Data_Loan[Value],[1]!Data_Loan[Index Loan],'Khanh Nga'!$B319,[1]!Data_Loan[TenCongTyID],'Khanh Nga'!$B$1,[1]!Data_Loan[Thang.Nam],'Khanh Nga'!AH$254)</f>
        <v>0</v>
      </c>
      <c r="AI319" s="49">
        <f>SUMIFS([1]!Data_Loan[Value],[1]!Data_Loan[Index Loan],'Khanh Nga'!$B319,[1]!Data_Loan[TenCongTyID],'Khanh Nga'!$B$1,[1]!Data_Loan[Thang.Nam],'Khanh Nga'!AI$254)</f>
        <v>0</v>
      </c>
      <c r="AJ319" s="49">
        <f>SUMIFS([1]!Data_Loan[Value],[1]!Data_Loan[Index Loan],'Khanh Nga'!$B319,[1]!Data_Loan[TenCongTyID],'Khanh Nga'!$B$1,[1]!Data_Loan[Thang.Nam],'Khanh Nga'!AJ$254)</f>
        <v>0</v>
      </c>
      <c r="AK319" s="49">
        <f>SUMIFS([1]!Data_Loan[Value],[1]!Data_Loan[Index Loan],'Khanh Nga'!$B319,[1]!Data_Loan[TenCongTyID],'Khanh Nga'!$B$1,[1]!Data_Loan[Thang.Nam],'Khanh Nga'!AK$254)</f>
        <v>0</v>
      </c>
      <c r="AL319" s="49">
        <f>SUMIFS([1]!Data_Loan[Value],[1]!Data_Loan[Index Loan],'Khanh Nga'!$B319,[1]!Data_Loan[TenCongTyID],'Khanh Nga'!$B$1,[1]!Data_Loan[Thang.Nam],'Khanh Nga'!AL$254)</f>
        <v>0</v>
      </c>
    </row>
    <row r="320" spans="1:38" ht="15" customHeight="1">
      <c r="A320" s="200" t="str">
        <f t="shared" si="42"/>
        <v>VietinBank</v>
      </c>
      <c r="B320" s="335">
        <v>66</v>
      </c>
      <c r="Z320" s="49">
        <v>0</v>
      </c>
      <c r="AA320" s="49">
        <f>SUMIFS([1]!Data_Loan[Value],[1]!Data_Loan[Index Loan],'Khanh Nga'!$B320,[1]!Data_Loan[TenCongTyID],'Khanh Nga'!$B$1,[1]!Data_Loan[Thang.Nam],'Khanh Nga'!AA$254)</f>
        <v>0</v>
      </c>
      <c r="AB320" s="49">
        <f>SUMIFS([1]!Data_Loan[Value],[1]!Data_Loan[Index Loan],'Khanh Nga'!$B320,[1]!Data_Loan[TenCongTyID],'Khanh Nga'!$B$1,[1]!Data_Loan[Thang.Nam],'Khanh Nga'!AB$254)</f>
        <v>0</v>
      </c>
      <c r="AC320" s="49">
        <f>SUMIFS([1]!Data_Loan[Value],[1]!Data_Loan[Index Loan],'Khanh Nga'!$B320,[1]!Data_Loan[TenCongTyID],'Khanh Nga'!$B$1,[1]!Data_Loan[Thang.Nam],'Khanh Nga'!AC$254)</f>
        <v>0</v>
      </c>
      <c r="AD320" s="49">
        <f>SUMIFS([1]!Data_Loan[Value],[1]!Data_Loan[Index Loan],'Khanh Nga'!$B320,[1]!Data_Loan[TenCongTyID],'Khanh Nga'!$B$1,[1]!Data_Loan[Thang.Nam],'Khanh Nga'!AD$254)</f>
        <v>0</v>
      </c>
      <c r="AE320" s="49">
        <f>SUMIFS([1]!Data_Loan[Value],[1]!Data_Loan[Index Loan],'Khanh Nga'!$B320,[1]!Data_Loan[TenCongTyID],'Khanh Nga'!$B$1,[1]!Data_Loan[Thang.Nam],'Khanh Nga'!AE$254)</f>
        <v>0</v>
      </c>
      <c r="AF320" s="49">
        <f>SUMIFS([1]!Data_Loan[Value],[1]!Data_Loan[Index Loan],'Khanh Nga'!$B320,[1]!Data_Loan[TenCongTyID],'Khanh Nga'!$B$1,[1]!Data_Loan[Thang.Nam],'Khanh Nga'!AF$254)</f>
        <v>0</v>
      </c>
      <c r="AG320" s="49">
        <f>SUMIFS([1]!Data_Loan[Value],[1]!Data_Loan[Index Loan],'Khanh Nga'!$B320,[1]!Data_Loan[TenCongTyID],'Khanh Nga'!$B$1,[1]!Data_Loan[Thang.Nam],'Khanh Nga'!AG$254)</f>
        <v>0</v>
      </c>
      <c r="AH320" s="49">
        <f>SUMIFS([1]!Data_Loan[Value],[1]!Data_Loan[Index Loan],'Khanh Nga'!$B320,[1]!Data_Loan[TenCongTyID],'Khanh Nga'!$B$1,[1]!Data_Loan[Thang.Nam],'Khanh Nga'!AH$254)</f>
        <v>0</v>
      </c>
      <c r="AI320" s="49">
        <f>SUMIFS([1]!Data_Loan[Value],[1]!Data_Loan[Index Loan],'Khanh Nga'!$B320,[1]!Data_Loan[TenCongTyID],'Khanh Nga'!$B$1,[1]!Data_Loan[Thang.Nam],'Khanh Nga'!AI$254)</f>
        <v>0</v>
      </c>
      <c r="AJ320" s="49">
        <f>SUMIFS([1]!Data_Loan[Value],[1]!Data_Loan[Index Loan],'Khanh Nga'!$B320,[1]!Data_Loan[TenCongTyID],'Khanh Nga'!$B$1,[1]!Data_Loan[Thang.Nam],'Khanh Nga'!AJ$254)</f>
        <v>0</v>
      </c>
      <c r="AK320" s="49">
        <f>SUMIFS([1]!Data_Loan[Value],[1]!Data_Loan[Index Loan],'Khanh Nga'!$B320,[1]!Data_Loan[TenCongTyID],'Khanh Nga'!$B$1,[1]!Data_Loan[Thang.Nam],'Khanh Nga'!AK$254)</f>
        <v>0</v>
      </c>
      <c r="AL320" s="49">
        <f>SUMIFS([1]!Data_Loan[Value],[1]!Data_Loan[Index Loan],'Khanh Nga'!$B320,[1]!Data_Loan[TenCongTyID],'Khanh Nga'!$B$1,[1]!Data_Loan[Thang.Nam],'Khanh Nga'!AL$254)</f>
        <v>0</v>
      </c>
    </row>
    <row r="321" spans="1:38" ht="15" customHeight="1">
      <c r="A321" s="200" t="str">
        <f t="shared" si="42"/>
        <v>Vietcombank</v>
      </c>
      <c r="B321" s="335">
        <v>67</v>
      </c>
      <c r="Z321" s="49">
        <v>0</v>
      </c>
      <c r="AA321" s="49">
        <f>SUMIFS([1]!Data_Loan[Value],[1]!Data_Loan[Index Loan],'Khanh Nga'!$B321,[1]!Data_Loan[TenCongTyID],'Khanh Nga'!$B$1,[1]!Data_Loan[Thang.Nam],'Khanh Nga'!AA$254)</f>
        <v>0</v>
      </c>
      <c r="AB321" s="49">
        <f>SUMIFS([1]!Data_Loan[Value],[1]!Data_Loan[Index Loan],'Khanh Nga'!$B321,[1]!Data_Loan[TenCongTyID],'Khanh Nga'!$B$1,[1]!Data_Loan[Thang.Nam],'Khanh Nga'!AB$254)</f>
        <v>0</v>
      </c>
      <c r="AC321" s="49">
        <f>SUMIFS([1]!Data_Loan[Value],[1]!Data_Loan[Index Loan],'Khanh Nga'!$B321,[1]!Data_Loan[TenCongTyID],'Khanh Nga'!$B$1,[1]!Data_Loan[Thang.Nam],'Khanh Nga'!AC$254)</f>
        <v>0</v>
      </c>
      <c r="AD321" s="49">
        <f>SUMIFS([1]!Data_Loan[Value],[1]!Data_Loan[Index Loan],'Khanh Nga'!$B321,[1]!Data_Loan[TenCongTyID],'Khanh Nga'!$B$1,[1]!Data_Loan[Thang.Nam],'Khanh Nga'!AD$254)</f>
        <v>0</v>
      </c>
      <c r="AE321" s="49">
        <f>SUMIFS([1]!Data_Loan[Value],[1]!Data_Loan[Index Loan],'Khanh Nga'!$B321,[1]!Data_Loan[TenCongTyID],'Khanh Nga'!$B$1,[1]!Data_Loan[Thang.Nam],'Khanh Nga'!AE$254)</f>
        <v>0</v>
      </c>
      <c r="AF321" s="49">
        <f>SUMIFS([1]!Data_Loan[Value],[1]!Data_Loan[Index Loan],'Khanh Nga'!$B321,[1]!Data_Loan[TenCongTyID],'Khanh Nga'!$B$1,[1]!Data_Loan[Thang.Nam],'Khanh Nga'!AF$254)</f>
        <v>0</v>
      </c>
      <c r="AG321" s="49">
        <f>SUMIFS([1]!Data_Loan[Value],[1]!Data_Loan[Index Loan],'Khanh Nga'!$B321,[1]!Data_Loan[TenCongTyID],'Khanh Nga'!$B$1,[1]!Data_Loan[Thang.Nam],'Khanh Nga'!AG$254)</f>
        <v>0</v>
      </c>
      <c r="AH321" s="49">
        <f>SUMIFS([1]!Data_Loan[Value],[1]!Data_Loan[Index Loan],'Khanh Nga'!$B321,[1]!Data_Loan[TenCongTyID],'Khanh Nga'!$B$1,[1]!Data_Loan[Thang.Nam],'Khanh Nga'!AH$254)</f>
        <v>0</v>
      </c>
      <c r="AI321" s="49">
        <f>SUMIFS([1]!Data_Loan[Value],[1]!Data_Loan[Index Loan],'Khanh Nga'!$B321,[1]!Data_Loan[TenCongTyID],'Khanh Nga'!$B$1,[1]!Data_Loan[Thang.Nam],'Khanh Nga'!AI$254)</f>
        <v>0</v>
      </c>
      <c r="AJ321" s="49">
        <f>SUMIFS([1]!Data_Loan[Value],[1]!Data_Loan[Index Loan],'Khanh Nga'!$B321,[1]!Data_Loan[TenCongTyID],'Khanh Nga'!$B$1,[1]!Data_Loan[Thang.Nam],'Khanh Nga'!AJ$254)</f>
        <v>0</v>
      </c>
      <c r="AK321" s="49">
        <f>SUMIFS([1]!Data_Loan[Value],[1]!Data_Loan[Index Loan],'Khanh Nga'!$B321,[1]!Data_Loan[TenCongTyID],'Khanh Nga'!$B$1,[1]!Data_Loan[Thang.Nam],'Khanh Nga'!AK$254)</f>
        <v>0</v>
      </c>
      <c r="AL321" s="49">
        <f>SUMIFS([1]!Data_Loan[Value],[1]!Data_Loan[Index Loan],'Khanh Nga'!$B321,[1]!Data_Loan[TenCongTyID],'Khanh Nga'!$B$1,[1]!Data_Loan[Thang.Nam],'Khanh Nga'!AL$254)</f>
        <v>0</v>
      </c>
    </row>
    <row r="322" spans="1:38" ht="15" customHeight="1">
      <c r="A322" s="200" t="str">
        <f t="shared" si="42"/>
        <v>BIDV</v>
      </c>
      <c r="B322" s="335">
        <v>68</v>
      </c>
      <c r="Z322" s="49">
        <v>0</v>
      </c>
      <c r="AA322" s="49">
        <f>SUMIFS([1]!Data_Loan[Value],[1]!Data_Loan[Index Loan],'Khanh Nga'!$B322,[1]!Data_Loan[TenCongTyID],'Khanh Nga'!$B$1,[1]!Data_Loan[Thang.Nam],'Khanh Nga'!AA$254)</f>
        <v>0</v>
      </c>
      <c r="AB322" s="49">
        <f>SUMIFS([1]!Data_Loan[Value],[1]!Data_Loan[Index Loan],'Khanh Nga'!$B322,[1]!Data_Loan[TenCongTyID],'Khanh Nga'!$B$1,[1]!Data_Loan[Thang.Nam],'Khanh Nga'!AB$254)</f>
        <v>0</v>
      </c>
      <c r="AC322" s="49">
        <f>SUMIFS([1]!Data_Loan[Value],[1]!Data_Loan[Index Loan],'Khanh Nga'!$B322,[1]!Data_Loan[TenCongTyID],'Khanh Nga'!$B$1,[1]!Data_Loan[Thang.Nam],'Khanh Nga'!AC$254)</f>
        <v>0</v>
      </c>
      <c r="AD322" s="49">
        <f>SUMIFS([1]!Data_Loan[Value],[1]!Data_Loan[Index Loan],'Khanh Nga'!$B322,[1]!Data_Loan[TenCongTyID],'Khanh Nga'!$B$1,[1]!Data_Loan[Thang.Nam],'Khanh Nga'!AD$254)</f>
        <v>0</v>
      </c>
      <c r="AE322" s="49">
        <f>SUMIFS([1]!Data_Loan[Value],[1]!Data_Loan[Index Loan],'Khanh Nga'!$B322,[1]!Data_Loan[TenCongTyID],'Khanh Nga'!$B$1,[1]!Data_Loan[Thang.Nam],'Khanh Nga'!AE$254)</f>
        <v>0</v>
      </c>
      <c r="AF322" s="49">
        <f>SUMIFS([1]!Data_Loan[Value],[1]!Data_Loan[Index Loan],'Khanh Nga'!$B322,[1]!Data_Loan[TenCongTyID],'Khanh Nga'!$B$1,[1]!Data_Loan[Thang.Nam],'Khanh Nga'!AF$254)</f>
        <v>0</v>
      </c>
      <c r="AG322" s="49">
        <f>SUMIFS([1]!Data_Loan[Value],[1]!Data_Loan[Index Loan],'Khanh Nga'!$B322,[1]!Data_Loan[TenCongTyID],'Khanh Nga'!$B$1,[1]!Data_Loan[Thang.Nam],'Khanh Nga'!AG$254)</f>
        <v>0</v>
      </c>
      <c r="AH322" s="49">
        <f>SUMIFS([1]!Data_Loan[Value],[1]!Data_Loan[Index Loan],'Khanh Nga'!$B322,[1]!Data_Loan[TenCongTyID],'Khanh Nga'!$B$1,[1]!Data_Loan[Thang.Nam],'Khanh Nga'!AH$254)</f>
        <v>0</v>
      </c>
      <c r="AI322" s="49">
        <f>SUMIFS([1]!Data_Loan[Value],[1]!Data_Loan[Index Loan],'Khanh Nga'!$B322,[1]!Data_Loan[TenCongTyID],'Khanh Nga'!$B$1,[1]!Data_Loan[Thang.Nam],'Khanh Nga'!AI$254)</f>
        <v>0</v>
      </c>
      <c r="AJ322" s="49">
        <f>SUMIFS([1]!Data_Loan[Value],[1]!Data_Loan[Index Loan],'Khanh Nga'!$B322,[1]!Data_Loan[TenCongTyID],'Khanh Nga'!$B$1,[1]!Data_Loan[Thang.Nam],'Khanh Nga'!AJ$254)</f>
        <v>0</v>
      </c>
      <c r="AK322" s="49">
        <f>SUMIFS([1]!Data_Loan[Value],[1]!Data_Loan[Index Loan],'Khanh Nga'!$B322,[1]!Data_Loan[TenCongTyID],'Khanh Nga'!$B$1,[1]!Data_Loan[Thang.Nam],'Khanh Nga'!AK$254)</f>
        <v>0</v>
      </c>
      <c r="AL322" s="49">
        <f>SUMIFS([1]!Data_Loan[Value],[1]!Data_Loan[Index Loan],'Khanh Nga'!$B322,[1]!Data_Loan[TenCongTyID],'Khanh Nga'!$B$1,[1]!Data_Loan[Thang.Nam],'Khanh Nga'!AL$254)</f>
        <v>0</v>
      </c>
    </row>
    <row r="323" spans="1:38" ht="15" customHeight="1">
      <c r="A323" s="200" t="str">
        <f t="shared" si="42"/>
        <v>Standard Chartered</v>
      </c>
      <c r="B323" s="335">
        <v>69</v>
      </c>
      <c r="Z323" s="49">
        <v>0</v>
      </c>
      <c r="AA323" s="49">
        <f>SUMIFS([1]!Data_Loan[Value],[1]!Data_Loan[Index Loan],'Khanh Nga'!$B323,[1]!Data_Loan[TenCongTyID],'Khanh Nga'!$B$1,[1]!Data_Loan[Thang.Nam],'Khanh Nga'!AA$254)</f>
        <v>0</v>
      </c>
      <c r="AB323" s="49">
        <f>SUMIFS([1]!Data_Loan[Value],[1]!Data_Loan[Index Loan],'Khanh Nga'!$B323,[1]!Data_Loan[TenCongTyID],'Khanh Nga'!$B$1,[1]!Data_Loan[Thang.Nam],'Khanh Nga'!AB$254)</f>
        <v>0</v>
      </c>
      <c r="AC323" s="49">
        <f>SUMIFS([1]!Data_Loan[Value],[1]!Data_Loan[Index Loan],'Khanh Nga'!$B323,[1]!Data_Loan[TenCongTyID],'Khanh Nga'!$B$1,[1]!Data_Loan[Thang.Nam],'Khanh Nga'!AC$254)</f>
        <v>0</v>
      </c>
      <c r="AD323" s="49">
        <f>SUMIFS([1]!Data_Loan[Value],[1]!Data_Loan[Index Loan],'Khanh Nga'!$B323,[1]!Data_Loan[TenCongTyID],'Khanh Nga'!$B$1,[1]!Data_Loan[Thang.Nam],'Khanh Nga'!AD$254)</f>
        <v>0</v>
      </c>
      <c r="AE323" s="49">
        <f>SUMIFS([1]!Data_Loan[Value],[1]!Data_Loan[Index Loan],'Khanh Nga'!$B323,[1]!Data_Loan[TenCongTyID],'Khanh Nga'!$B$1,[1]!Data_Loan[Thang.Nam],'Khanh Nga'!AE$254)</f>
        <v>0</v>
      </c>
      <c r="AF323" s="49">
        <f>SUMIFS([1]!Data_Loan[Value],[1]!Data_Loan[Index Loan],'Khanh Nga'!$B323,[1]!Data_Loan[TenCongTyID],'Khanh Nga'!$B$1,[1]!Data_Loan[Thang.Nam],'Khanh Nga'!AF$254)</f>
        <v>0</v>
      </c>
      <c r="AG323" s="49">
        <f>SUMIFS([1]!Data_Loan[Value],[1]!Data_Loan[Index Loan],'Khanh Nga'!$B323,[1]!Data_Loan[TenCongTyID],'Khanh Nga'!$B$1,[1]!Data_Loan[Thang.Nam],'Khanh Nga'!AG$254)</f>
        <v>0</v>
      </c>
      <c r="AH323" s="49">
        <f>SUMIFS([1]!Data_Loan[Value],[1]!Data_Loan[Index Loan],'Khanh Nga'!$B323,[1]!Data_Loan[TenCongTyID],'Khanh Nga'!$B$1,[1]!Data_Loan[Thang.Nam],'Khanh Nga'!AH$254)</f>
        <v>0</v>
      </c>
      <c r="AI323" s="49">
        <f>SUMIFS([1]!Data_Loan[Value],[1]!Data_Loan[Index Loan],'Khanh Nga'!$B323,[1]!Data_Loan[TenCongTyID],'Khanh Nga'!$B$1,[1]!Data_Loan[Thang.Nam],'Khanh Nga'!AI$254)</f>
        <v>0</v>
      </c>
      <c r="AJ323" s="49">
        <f>SUMIFS([1]!Data_Loan[Value],[1]!Data_Loan[Index Loan],'Khanh Nga'!$B323,[1]!Data_Loan[TenCongTyID],'Khanh Nga'!$B$1,[1]!Data_Loan[Thang.Nam],'Khanh Nga'!AJ$254)</f>
        <v>0</v>
      </c>
      <c r="AK323" s="49">
        <f>SUMIFS([1]!Data_Loan[Value],[1]!Data_Loan[Index Loan],'Khanh Nga'!$B323,[1]!Data_Loan[TenCongTyID],'Khanh Nga'!$B$1,[1]!Data_Loan[Thang.Nam],'Khanh Nga'!AK$254)</f>
        <v>0</v>
      </c>
      <c r="AL323" s="49">
        <f>SUMIFS([1]!Data_Loan[Value],[1]!Data_Loan[Index Loan],'Khanh Nga'!$B323,[1]!Data_Loan[TenCongTyID],'Khanh Nga'!$B$1,[1]!Data_Loan[Thang.Nam],'Khanh Nga'!AL$254)</f>
        <v>0</v>
      </c>
    </row>
    <row r="324" spans="1:38" ht="15" customHeight="1">
      <c r="A324" s="200" t="str">
        <f t="shared" si="42"/>
        <v>VILC</v>
      </c>
      <c r="B324" s="335">
        <v>70</v>
      </c>
      <c r="Z324" s="49">
        <v>0</v>
      </c>
      <c r="AA324" s="49">
        <f>SUMIFS([1]!Data_Loan[Value],[1]!Data_Loan[Index Loan],'Khanh Nga'!$B324,[1]!Data_Loan[TenCongTyID],'Khanh Nga'!$B$1,[1]!Data_Loan[Thang.Nam],'Khanh Nga'!AA$254)</f>
        <v>0</v>
      </c>
      <c r="AB324" s="49">
        <f>SUMIFS([1]!Data_Loan[Value],[1]!Data_Loan[Index Loan],'Khanh Nga'!$B324,[1]!Data_Loan[TenCongTyID],'Khanh Nga'!$B$1,[1]!Data_Loan[Thang.Nam],'Khanh Nga'!AB$254)</f>
        <v>0</v>
      </c>
      <c r="AC324" s="49">
        <f>SUMIFS([1]!Data_Loan[Value],[1]!Data_Loan[Index Loan],'Khanh Nga'!$B324,[1]!Data_Loan[TenCongTyID],'Khanh Nga'!$B$1,[1]!Data_Loan[Thang.Nam],'Khanh Nga'!AC$254)</f>
        <v>0</v>
      </c>
      <c r="AD324" s="49">
        <f>SUMIFS([1]!Data_Loan[Value],[1]!Data_Loan[Index Loan],'Khanh Nga'!$B324,[1]!Data_Loan[TenCongTyID],'Khanh Nga'!$B$1,[1]!Data_Loan[Thang.Nam],'Khanh Nga'!AD$254)</f>
        <v>0</v>
      </c>
      <c r="AE324" s="49">
        <f>SUMIFS([1]!Data_Loan[Value],[1]!Data_Loan[Index Loan],'Khanh Nga'!$B324,[1]!Data_Loan[TenCongTyID],'Khanh Nga'!$B$1,[1]!Data_Loan[Thang.Nam],'Khanh Nga'!AE$254)</f>
        <v>0</v>
      </c>
      <c r="AF324" s="49">
        <f>SUMIFS([1]!Data_Loan[Value],[1]!Data_Loan[Index Loan],'Khanh Nga'!$B324,[1]!Data_Loan[TenCongTyID],'Khanh Nga'!$B$1,[1]!Data_Loan[Thang.Nam],'Khanh Nga'!AF$254)</f>
        <v>0</v>
      </c>
      <c r="AG324" s="49">
        <f>SUMIFS([1]!Data_Loan[Value],[1]!Data_Loan[Index Loan],'Khanh Nga'!$B324,[1]!Data_Loan[TenCongTyID],'Khanh Nga'!$B$1,[1]!Data_Loan[Thang.Nam],'Khanh Nga'!AG$254)</f>
        <v>0</v>
      </c>
      <c r="AH324" s="49">
        <f>SUMIFS([1]!Data_Loan[Value],[1]!Data_Loan[Index Loan],'Khanh Nga'!$B324,[1]!Data_Loan[TenCongTyID],'Khanh Nga'!$B$1,[1]!Data_Loan[Thang.Nam],'Khanh Nga'!AH$254)</f>
        <v>0</v>
      </c>
      <c r="AI324" s="49">
        <f>SUMIFS([1]!Data_Loan[Value],[1]!Data_Loan[Index Loan],'Khanh Nga'!$B324,[1]!Data_Loan[TenCongTyID],'Khanh Nga'!$B$1,[1]!Data_Loan[Thang.Nam],'Khanh Nga'!AI$254)</f>
        <v>0</v>
      </c>
      <c r="AJ324" s="49">
        <f>SUMIFS([1]!Data_Loan[Value],[1]!Data_Loan[Index Loan],'Khanh Nga'!$B324,[1]!Data_Loan[TenCongTyID],'Khanh Nga'!$B$1,[1]!Data_Loan[Thang.Nam],'Khanh Nga'!AJ$254)</f>
        <v>0</v>
      </c>
      <c r="AK324" s="49">
        <f>SUMIFS([1]!Data_Loan[Value],[1]!Data_Loan[Index Loan],'Khanh Nga'!$B324,[1]!Data_Loan[TenCongTyID],'Khanh Nga'!$B$1,[1]!Data_Loan[Thang.Nam],'Khanh Nga'!AK$254)</f>
        <v>0</v>
      </c>
      <c r="AL324" s="49">
        <f>SUMIFS([1]!Data_Loan[Value],[1]!Data_Loan[Index Loan],'Khanh Nga'!$B324,[1]!Data_Loan[TenCongTyID],'Khanh Nga'!$B$1,[1]!Data_Loan[Thang.Nam],'Khanh Nga'!AL$254)</f>
        <v>0</v>
      </c>
    </row>
    <row r="325" spans="1:38" ht="15" customHeight="1">
      <c r="A325" s="200" t="s">
        <v>347</v>
      </c>
      <c r="B325" s="335">
        <v>71</v>
      </c>
      <c r="Z325" s="49">
        <v>0</v>
      </c>
      <c r="AA325" s="49">
        <f>SUMIFS([1]!Data_Loan[Value],[1]!Data_Loan[Index Loan],'Khanh Nga'!$B325,[1]!Data_Loan[TenCongTyID],'Khanh Nga'!$B$1,[1]!Data_Loan[Thang.Nam],'Khanh Nga'!AA$254)</f>
        <v>0</v>
      </c>
      <c r="AB325" s="49">
        <f>SUMIFS([1]!Data_Loan[Value],[1]!Data_Loan[Index Loan],'Khanh Nga'!$B325,[1]!Data_Loan[TenCongTyID],'Khanh Nga'!$B$1,[1]!Data_Loan[Thang.Nam],'Khanh Nga'!AB$254)</f>
        <v>0</v>
      </c>
      <c r="AC325" s="49">
        <f>SUMIFS([1]!Data_Loan[Value],[1]!Data_Loan[Index Loan],'Khanh Nga'!$B325,[1]!Data_Loan[TenCongTyID],'Khanh Nga'!$B$1,[1]!Data_Loan[Thang.Nam],'Khanh Nga'!AC$254)</f>
        <v>0</v>
      </c>
      <c r="AD325" s="49">
        <f>SUMIFS([1]!Data_Loan[Value],[1]!Data_Loan[Index Loan],'Khanh Nga'!$B325,[1]!Data_Loan[TenCongTyID],'Khanh Nga'!$B$1,[1]!Data_Loan[Thang.Nam],'Khanh Nga'!AD$254)</f>
        <v>0</v>
      </c>
      <c r="AE325" s="49">
        <f>SUMIFS([1]!Data_Loan[Value],[1]!Data_Loan[Index Loan],'Khanh Nga'!$B325,[1]!Data_Loan[TenCongTyID],'Khanh Nga'!$B$1,[1]!Data_Loan[Thang.Nam],'Khanh Nga'!AE$254)</f>
        <v>0</v>
      </c>
      <c r="AF325" s="49">
        <f>SUMIFS([1]!Data_Loan[Value],[1]!Data_Loan[Index Loan],'Khanh Nga'!$B325,[1]!Data_Loan[TenCongTyID],'Khanh Nga'!$B$1,[1]!Data_Loan[Thang.Nam],'Khanh Nga'!AF$254)</f>
        <v>0</v>
      </c>
      <c r="AG325" s="49">
        <f>SUMIFS([1]!Data_Loan[Value],[1]!Data_Loan[Index Loan],'Khanh Nga'!$B325,[1]!Data_Loan[TenCongTyID],'Khanh Nga'!$B$1,[1]!Data_Loan[Thang.Nam],'Khanh Nga'!AG$254)</f>
        <v>0</v>
      </c>
      <c r="AH325" s="49">
        <f>SUMIFS([1]!Data_Loan[Value],[1]!Data_Loan[Index Loan],'Khanh Nga'!$B325,[1]!Data_Loan[TenCongTyID],'Khanh Nga'!$B$1,[1]!Data_Loan[Thang.Nam],'Khanh Nga'!AH$254)</f>
        <v>0</v>
      </c>
      <c r="AI325" s="49">
        <f>SUMIFS([1]!Data_Loan[Value],[1]!Data_Loan[Index Loan],'Khanh Nga'!$B325,[1]!Data_Loan[TenCongTyID],'Khanh Nga'!$B$1,[1]!Data_Loan[Thang.Nam],'Khanh Nga'!AI$254)</f>
        <v>0</v>
      </c>
      <c r="AJ325" s="49">
        <f>SUMIFS([1]!Data_Loan[Value],[1]!Data_Loan[Index Loan],'Khanh Nga'!$B325,[1]!Data_Loan[TenCongTyID],'Khanh Nga'!$B$1,[1]!Data_Loan[Thang.Nam],'Khanh Nga'!AJ$254)</f>
        <v>0</v>
      </c>
      <c r="AK325" s="49">
        <f>SUMIFS([1]!Data_Loan[Value],[1]!Data_Loan[Index Loan],'Khanh Nga'!$B325,[1]!Data_Loan[TenCongTyID],'Khanh Nga'!$B$1,[1]!Data_Loan[Thang.Nam],'Khanh Nga'!AK$254)</f>
        <v>0</v>
      </c>
      <c r="AL325" s="49">
        <f>SUMIFS([1]!Data_Loan[Value],[1]!Data_Loan[Index Loan],'Khanh Nga'!$B325,[1]!Data_Loan[TenCongTyID],'Khanh Nga'!$B$1,[1]!Data_Loan[Thang.Nam],'Khanh Nga'!AL$254)</f>
        <v>0</v>
      </c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80B2-CAAD-4048-95AC-D86C4BFFB221}">
  <sheetPr>
    <tabColor rgb="FF00B050"/>
    <outlinePr summaryBelow="0" summaryRight="0"/>
  </sheetPr>
  <dimension ref="A1:AZ325"/>
  <sheetViews>
    <sheetView showGridLines="0" showZeros="0" zoomScale="80" zoomScaleNormal="80" workbookViewId="0">
      <pane xSplit="1" ySplit="5" topLeftCell="T132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A138" sqref="AA138"/>
    </sheetView>
  </sheetViews>
  <sheetFormatPr defaultColWidth="9.26953125" defaultRowHeight="15" customHeight="1" outlineLevelRow="1" outlineLevelCol="1"/>
  <cols>
    <col min="1" max="1" width="49" style="49" customWidth="1"/>
    <col min="2" max="2" width="8.1796875" style="174" hidden="1" customWidth="1" collapsed="1"/>
    <col min="3" max="6" width="19.54296875" style="49" hidden="1" customWidth="1" outlineLevel="1"/>
    <col min="7" max="12" width="16.81640625" style="49" hidden="1" customWidth="1" outlineLevel="1"/>
    <col min="13" max="14" width="18.26953125" style="49" hidden="1" customWidth="1" outlineLevel="1"/>
    <col min="15" max="17" width="19.54296875" style="49" hidden="1" customWidth="1" outlineLevel="1"/>
    <col min="18" max="18" width="18.26953125" style="49" hidden="1" customWidth="1" outlineLevel="1"/>
    <col min="19" max="19" width="16.453125" style="49" hidden="1" customWidth="1" outlineLevel="1"/>
    <col min="20" max="24" width="16.81640625" style="49" hidden="1" customWidth="1" outlineLevel="1"/>
    <col min="25" max="26" width="18.26953125" style="49" hidden="1" customWidth="1" outlineLevel="1"/>
    <col min="27" max="38" width="14.1796875" style="49" bestFit="1" customWidth="1"/>
    <col min="39" max="39" width="16" style="43" bestFit="1" customWidth="1"/>
    <col min="40" max="40" width="12.7265625" style="43" bestFit="1" customWidth="1"/>
    <col min="41" max="43" width="9.26953125" style="43"/>
    <col min="44" max="44" width="7.81640625" style="43" customWidth="1"/>
    <col min="45" max="16384" width="9.26953125" style="43"/>
  </cols>
  <sheetData>
    <row r="1" spans="1:38" ht="19.5" customHeight="1">
      <c r="A1" s="47" t="s">
        <v>377</v>
      </c>
      <c r="B1" s="40">
        <v>9</v>
      </c>
      <c r="C1" s="41">
        <v>2024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1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ht="19.5" hidden="1" customHeight="1">
      <c r="A2" s="44" t="s">
        <v>63</v>
      </c>
      <c r="B2" s="45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1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ht="19.5" hidden="1" customHeight="1">
      <c r="A3" s="47"/>
      <c r="B3" s="45"/>
      <c r="C3" s="48">
        <v>2024</v>
      </c>
      <c r="D3" s="42">
        <f t="shared" ref="D3:N3" si="0">C3</f>
        <v>2024</v>
      </c>
      <c r="E3" s="42">
        <f t="shared" si="0"/>
        <v>2024</v>
      </c>
      <c r="F3" s="42">
        <f t="shared" si="0"/>
        <v>2024</v>
      </c>
      <c r="G3" s="42">
        <f t="shared" si="0"/>
        <v>2024</v>
      </c>
      <c r="H3" s="42">
        <f t="shared" si="0"/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8">
        <v>2025</v>
      </c>
      <c r="P3" s="42">
        <f t="shared" ref="P3:Y3" si="1">O3</f>
        <v>2025</v>
      </c>
      <c r="Q3" s="42">
        <f t="shared" si="1"/>
        <v>2025</v>
      </c>
      <c r="R3" s="42">
        <f t="shared" si="1"/>
        <v>2025</v>
      </c>
      <c r="S3" s="42">
        <f t="shared" si="1"/>
        <v>2025</v>
      </c>
      <c r="T3" s="42">
        <f t="shared" si="1"/>
        <v>2025</v>
      </c>
      <c r="U3" s="42">
        <f t="shared" si="1"/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v>2025</v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</row>
    <row r="4" spans="1:38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</row>
    <row r="5" spans="1:38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3" t="s">
        <v>78</v>
      </c>
      <c r="P5" s="53" t="s">
        <v>79</v>
      </c>
      <c r="Q5" s="53" t="s">
        <v>80</v>
      </c>
      <c r="R5" s="53" t="s">
        <v>81</v>
      </c>
      <c r="S5" s="53" t="s">
        <v>82</v>
      </c>
      <c r="T5" s="53" t="s">
        <v>83</v>
      </c>
      <c r="U5" s="53" t="s">
        <v>84</v>
      </c>
      <c r="V5" s="53" t="s">
        <v>85</v>
      </c>
      <c r="W5" s="53" t="s">
        <v>86</v>
      </c>
      <c r="X5" s="53" t="s">
        <v>87</v>
      </c>
      <c r="Y5" s="53" t="s">
        <v>88</v>
      </c>
      <c r="Z5" s="53" t="s">
        <v>89</v>
      </c>
      <c r="AA5" s="53" t="s">
        <v>8</v>
      </c>
      <c r="AB5" s="53" t="s">
        <v>9</v>
      </c>
      <c r="AC5" s="53" t="s">
        <v>10</v>
      </c>
      <c r="AD5" s="53" t="s">
        <v>11</v>
      </c>
      <c r="AE5" s="53" t="s">
        <v>12</v>
      </c>
      <c r="AF5" s="53" t="s">
        <v>13</v>
      </c>
      <c r="AG5" s="53" t="s">
        <v>14</v>
      </c>
      <c r="AH5" s="53" t="s">
        <v>15</v>
      </c>
      <c r="AI5" s="53" t="s">
        <v>16</v>
      </c>
      <c r="AJ5" s="53" t="s">
        <v>17</v>
      </c>
      <c r="AK5" s="53" t="s">
        <v>18</v>
      </c>
      <c r="AL5" s="53" t="s">
        <v>19</v>
      </c>
    </row>
    <row r="6" spans="1:38" ht="15" hidden="1" customHeight="1" outlineLevel="1">
      <c r="A6" s="56" t="s">
        <v>90</v>
      </c>
      <c r="B6" s="57">
        <v>1</v>
      </c>
      <c r="C6" s="58">
        <f t="shared" ref="C6:I6" si="2">+C7+C10+C17+C25+C32</f>
        <v>0</v>
      </c>
      <c r="D6" s="370">
        <f t="shared" si="2"/>
        <v>0</v>
      </c>
      <c r="E6" s="370">
        <f t="shared" si="2"/>
        <v>0</v>
      </c>
      <c r="F6" s="371">
        <f t="shared" si="2"/>
        <v>0</v>
      </c>
      <c r="G6" s="370">
        <f t="shared" si="2"/>
        <v>0</v>
      </c>
      <c r="H6" s="370">
        <f t="shared" si="2"/>
        <v>0</v>
      </c>
      <c r="I6" s="370">
        <f t="shared" si="2"/>
        <v>0</v>
      </c>
      <c r="J6" s="370">
        <v>30000</v>
      </c>
      <c r="K6" s="370">
        <v>1357273</v>
      </c>
      <c r="L6" s="370">
        <v>62557273</v>
      </c>
      <c r="M6" s="371">
        <v>20123757273</v>
      </c>
      <c r="N6" s="372">
        <v>20100333536</v>
      </c>
      <c r="O6" s="58">
        <v>20080563460</v>
      </c>
      <c r="P6" s="370">
        <v>20185570781</v>
      </c>
      <c r="Q6" s="370">
        <v>20230577394</v>
      </c>
      <c r="R6" s="371">
        <v>20278400910</v>
      </c>
      <c r="S6" s="370">
        <v>20323405862</v>
      </c>
      <c r="T6" s="370">
        <v>21367412569</v>
      </c>
      <c r="U6" s="370">
        <v>21427440870</v>
      </c>
      <c r="V6" s="370">
        <v>21487156194</v>
      </c>
      <c r="W6" s="370">
        <v>21547157746</v>
      </c>
      <c r="X6" s="370">
        <v>21607158691</v>
      </c>
      <c r="Y6" s="371">
        <v>21674217201</v>
      </c>
      <c r="Z6" s="371">
        <v>21734218198</v>
      </c>
      <c r="AA6" s="373">
        <f>SUMIFS([1]!Data_BS[Value],[1]!Data_BS[Index BS],TDP!$B6,[1]!Data_BS[TenCongTyID],TDP!$B$1,[1]!Data_BS[Thang.Nam],TDP!AA$5)</f>
        <v>0</v>
      </c>
      <c r="AB6" s="373">
        <f>SUMIFS([1]!Data_BS[Value],[1]!Data_BS[Index BS],TDP!$B6,[1]!Data_BS[TenCongTyID],TDP!$B$1,[1]!Data_BS[Thang.Nam],TDP!AB$5)</f>
        <v>0</v>
      </c>
      <c r="AC6" s="373">
        <f>SUMIFS([1]!Data_BS[Value],[1]!Data_BS[Index BS],TDP!$B6,[1]!Data_BS[TenCongTyID],TDP!$B$1,[1]!Data_BS[Thang.Nam],TDP!AC$5)</f>
        <v>0</v>
      </c>
      <c r="AD6" s="373">
        <f>SUMIFS([1]!Data_BS[Value],[1]!Data_BS[Index BS],TDP!$B6,[1]!Data_BS[TenCongTyID],TDP!$B$1,[1]!Data_BS[Thang.Nam],TDP!AD$5)</f>
        <v>0</v>
      </c>
      <c r="AE6" s="373">
        <f>SUMIFS([1]!Data_BS[Value],[1]!Data_BS[Index BS],TDP!$B6,[1]!Data_BS[TenCongTyID],TDP!$B$1,[1]!Data_BS[Thang.Nam],TDP!AE$5)</f>
        <v>0</v>
      </c>
      <c r="AF6" s="373">
        <f>SUMIFS([1]!Data_BS[Value],[1]!Data_BS[Index BS],TDP!$B6,[1]!Data_BS[TenCongTyID],TDP!$B$1,[1]!Data_BS[Thang.Nam],TDP!AF$5)</f>
        <v>0</v>
      </c>
      <c r="AG6" s="373">
        <f>SUMIFS([1]!Data_BS[Value],[1]!Data_BS[Index BS],TDP!$B6,[1]!Data_BS[TenCongTyID],TDP!$B$1,[1]!Data_BS[Thang.Nam],TDP!AG$5)</f>
        <v>0</v>
      </c>
      <c r="AH6" s="373">
        <f>SUMIFS([1]!Data_BS[Value],[1]!Data_BS[Index BS],TDP!$B6,[1]!Data_BS[TenCongTyID],TDP!$B$1,[1]!Data_BS[Thang.Nam],TDP!AH$5)</f>
        <v>0</v>
      </c>
      <c r="AI6" s="373">
        <f>SUMIFS([1]!Data_BS[Value],[1]!Data_BS[Index BS],TDP!$B6,[1]!Data_BS[TenCongTyID],TDP!$B$1,[1]!Data_BS[Thang.Nam],TDP!AI$5)</f>
        <v>0</v>
      </c>
      <c r="AJ6" s="373">
        <f>SUMIFS([1]!Data_BS[Value],[1]!Data_BS[Index BS],TDP!$B6,[1]!Data_BS[TenCongTyID],TDP!$B$1,[1]!Data_BS[Thang.Nam],TDP!AJ$5)</f>
        <v>0</v>
      </c>
      <c r="AK6" s="373">
        <f>SUMIFS([1]!Data_BS[Value],[1]!Data_BS[Index BS],TDP!$B6,[1]!Data_BS[TenCongTyID],TDP!$B$1,[1]!Data_BS[Thang.Nam],TDP!AK$5)</f>
        <v>0</v>
      </c>
      <c r="AL6" s="374">
        <f>SUMIFS([1]!Data_BS[Value],[1]!Data_BS[Index BS],TDP!$B6,[1]!Data_BS[TenCongTyID],TDP!$B$1,[1]!Data_BS[Thang.Nam],TDP!AL$5)</f>
        <v>0</v>
      </c>
    </row>
    <row r="7" spans="1:38" ht="15" hidden="1" customHeight="1" outlineLevel="1">
      <c r="A7" s="59" t="s">
        <v>91</v>
      </c>
      <c r="B7" s="60">
        <v>2</v>
      </c>
      <c r="C7" s="61">
        <f t="shared" ref="C7:I7" si="3">+SUM(C8:C9)</f>
        <v>0</v>
      </c>
      <c r="D7" s="173">
        <f t="shared" si="3"/>
        <v>0</v>
      </c>
      <c r="E7" s="173">
        <f t="shared" si="3"/>
        <v>0</v>
      </c>
      <c r="F7" s="375">
        <f t="shared" si="3"/>
        <v>0</v>
      </c>
      <c r="G7" s="173">
        <f t="shared" si="3"/>
        <v>0</v>
      </c>
      <c r="H7" s="173">
        <f t="shared" si="3"/>
        <v>0</v>
      </c>
      <c r="I7" s="173">
        <f t="shared" si="3"/>
        <v>0</v>
      </c>
      <c r="J7" s="173">
        <v>0</v>
      </c>
      <c r="K7" s="173">
        <v>0</v>
      </c>
      <c r="L7" s="173">
        <v>0</v>
      </c>
      <c r="M7" s="375">
        <v>20000000000</v>
      </c>
      <c r="N7" s="376">
        <v>19915376263</v>
      </c>
      <c r="O7" s="61">
        <v>19862006187</v>
      </c>
      <c r="P7" s="173">
        <v>19862013508</v>
      </c>
      <c r="Q7" s="173">
        <v>19862020121</v>
      </c>
      <c r="R7" s="375">
        <v>19816230637</v>
      </c>
      <c r="S7" s="173">
        <v>19816235589</v>
      </c>
      <c r="T7" s="173">
        <v>815242296</v>
      </c>
      <c r="U7" s="173">
        <v>815248997</v>
      </c>
      <c r="V7" s="173">
        <v>814964321</v>
      </c>
      <c r="W7" s="173">
        <v>814965873</v>
      </c>
      <c r="X7" s="173">
        <v>814966818</v>
      </c>
      <c r="Y7" s="375">
        <v>822025328</v>
      </c>
      <c r="Z7" s="375">
        <v>822026325</v>
      </c>
      <c r="AA7" s="377">
        <f>SUMIFS([1]!Data_BS[Value],[1]!Data_BS[Index BS],TDP!$B7,[1]!Data_BS[TenCongTyID],TDP!$B$1,[1]!Data_BS[Thang.Nam],TDP!AA$5)</f>
        <v>0</v>
      </c>
      <c r="AB7" s="377">
        <f>SUMIFS([1]!Data_BS[Value],[1]!Data_BS[Index BS],TDP!$B7,[1]!Data_BS[TenCongTyID],TDP!$B$1,[1]!Data_BS[Thang.Nam],TDP!AB$5)</f>
        <v>0</v>
      </c>
      <c r="AC7" s="377">
        <f>SUMIFS([1]!Data_BS[Value],[1]!Data_BS[Index BS],TDP!$B7,[1]!Data_BS[TenCongTyID],TDP!$B$1,[1]!Data_BS[Thang.Nam],TDP!AC$5)</f>
        <v>0</v>
      </c>
      <c r="AD7" s="377">
        <f>SUMIFS([1]!Data_BS[Value],[1]!Data_BS[Index BS],TDP!$B7,[1]!Data_BS[TenCongTyID],TDP!$B$1,[1]!Data_BS[Thang.Nam],TDP!AD$5)</f>
        <v>0</v>
      </c>
      <c r="AE7" s="377">
        <f>SUMIFS([1]!Data_BS[Value],[1]!Data_BS[Index BS],TDP!$B7,[1]!Data_BS[TenCongTyID],TDP!$B$1,[1]!Data_BS[Thang.Nam],TDP!AE$5)</f>
        <v>0</v>
      </c>
      <c r="AF7" s="377">
        <f>SUMIFS([1]!Data_BS[Value],[1]!Data_BS[Index BS],TDP!$B7,[1]!Data_BS[TenCongTyID],TDP!$B$1,[1]!Data_BS[Thang.Nam],TDP!AF$5)</f>
        <v>0</v>
      </c>
      <c r="AG7" s="377">
        <f>SUMIFS([1]!Data_BS[Value],[1]!Data_BS[Index BS],TDP!$B7,[1]!Data_BS[TenCongTyID],TDP!$B$1,[1]!Data_BS[Thang.Nam],TDP!AG$5)</f>
        <v>0</v>
      </c>
      <c r="AH7" s="377">
        <f>SUMIFS([1]!Data_BS[Value],[1]!Data_BS[Index BS],TDP!$B7,[1]!Data_BS[TenCongTyID],TDP!$B$1,[1]!Data_BS[Thang.Nam],TDP!AH$5)</f>
        <v>0</v>
      </c>
      <c r="AI7" s="377">
        <f>SUMIFS([1]!Data_BS[Value],[1]!Data_BS[Index BS],TDP!$B7,[1]!Data_BS[TenCongTyID],TDP!$B$1,[1]!Data_BS[Thang.Nam],TDP!AI$5)</f>
        <v>0</v>
      </c>
      <c r="AJ7" s="377">
        <f>SUMIFS([1]!Data_BS[Value],[1]!Data_BS[Index BS],TDP!$B7,[1]!Data_BS[TenCongTyID],TDP!$B$1,[1]!Data_BS[Thang.Nam],TDP!AJ$5)</f>
        <v>0</v>
      </c>
      <c r="AK7" s="377">
        <f>SUMIFS([1]!Data_BS[Value],[1]!Data_BS[Index BS],TDP!$B7,[1]!Data_BS[TenCongTyID],TDP!$B$1,[1]!Data_BS[Thang.Nam],TDP!AK$5)</f>
        <v>0</v>
      </c>
      <c r="AL7" s="378">
        <f>SUMIFS([1]!Data_BS[Value],[1]!Data_BS[Index BS],TDP!$B7,[1]!Data_BS[TenCongTyID],TDP!$B$1,[1]!Data_BS[Thang.Nam],TDP!AL$5)</f>
        <v>0</v>
      </c>
    </row>
    <row r="8" spans="1:38" ht="15" hidden="1" customHeight="1" outlineLevel="1">
      <c r="A8" s="62" t="s">
        <v>92</v>
      </c>
      <c r="B8" s="63">
        <v>3</v>
      </c>
      <c r="C8" s="64"/>
      <c r="D8" s="69"/>
      <c r="E8" s="69"/>
      <c r="F8" s="379"/>
      <c r="G8" s="69"/>
      <c r="H8" s="69"/>
      <c r="I8" s="69"/>
      <c r="J8" s="69"/>
      <c r="K8" s="69"/>
      <c r="L8" s="69"/>
      <c r="M8" s="379">
        <v>20000000000</v>
      </c>
      <c r="N8" s="85">
        <v>19915376263</v>
      </c>
      <c r="O8" s="64">
        <v>19862006187</v>
      </c>
      <c r="P8" s="69">
        <v>19862013508</v>
      </c>
      <c r="Q8" s="69">
        <v>19062020121</v>
      </c>
      <c r="R8" s="379">
        <v>19016230637</v>
      </c>
      <c r="S8" s="69">
        <v>19816235589</v>
      </c>
      <c r="T8" s="69">
        <v>815242296</v>
      </c>
      <c r="U8" s="69">
        <v>815248997</v>
      </c>
      <c r="V8" s="69">
        <v>114964321</v>
      </c>
      <c r="W8" s="69">
        <v>114965873</v>
      </c>
      <c r="X8" s="69">
        <v>114966818</v>
      </c>
      <c r="Y8" s="379">
        <v>122025328</v>
      </c>
      <c r="Z8" s="379">
        <v>122026325</v>
      </c>
      <c r="AA8" s="380">
        <f>SUMIFS([1]!Data_BS[Value],[1]!Data_BS[Index BS],TDP!$B8,[1]!Data_BS[TenCongTyID],TDP!$B$1,[1]!Data_BS[Thang.Nam],TDP!AA$5)</f>
        <v>0</v>
      </c>
      <c r="AB8" s="380">
        <f>SUMIFS([1]!Data_BS[Value],[1]!Data_BS[Index BS],TDP!$B8,[1]!Data_BS[TenCongTyID],TDP!$B$1,[1]!Data_BS[Thang.Nam],TDP!AB$5)</f>
        <v>0</v>
      </c>
      <c r="AC8" s="380">
        <f>SUMIFS([1]!Data_BS[Value],[1]!Data_BS[Index BS],TDP!$B8,[1]!Data_BS[TenCongTyID],TDP!$B$1,[1]!Data_BS[Thang.Nam],TDP!AC$5)</f>
        <v>0</v>
      </c>
      <c r="AD8" s="380">
        <f>SUMIFS([1]!Data_BS[Value],[1]!Data_BS[Index BS],TDP!$B8,[1]!Data_BS[TenCongTyID],TDP!$B$1,[1]!Data_BS[Thang.Nam],TDP!AD$5)</f>
        <v>0</v>
      </c>
      <c r="AE8" s="380">
        <f>SUMIFS([1]!Data_BS[Value],[1]!Data_BS[Index BS],TDP!$B8,[1]!Data_BS[TenCongTyID],TDP!$B$1,[1]!Data_BS[Thang.Nam],TDP!AE$5)</f>
        <v>0</v>
      </c>
      <c r="AF8" s="380">
        <f>SUMIFS([1]!Data_BS[Value],[1]!Data_BS[Index BS],TDP!$B8,[1]!Data_BS[TenCongTyID],TDP!$B$1,[1]!Data_BS[Thang.Nam],TDP!AF$5)</f>
        <v>0</v>
      </c>
      <c r="AG8" s="380">
        <f>SUMIFS([1]!Data_BS[Value],[1]!Data_BS[Index BS],TDP!$B8,[1]!Data_BS[TenCongTyID],TDP!$B$1,[1]!Data_BS[Thang.Nam],TDP!AG$5)</f>
        <v>0</v>
      </c>
      <c r="AH8" s="380">
        <f>SUMIFS([1]!Data_BS[Value],[1]!Data_BS[Index BS],TDP!$B8,[1]!Data_BS[TenCongTyID],TDP!$B$1,[1]!Data_BS[Thang.Nam],TDP!AH$5)</f>
        <v>0</v>
      </c>
      <c r="AI8" s="380">
        <f>SUMIFS([1]!Data_BS[Value],[1]!Data_BS[Index BS],TDP!$B8,[1]!Data_BS[TenCongTyID],TDP!$B$1,[1]!Data_BS[Thang.Nam],TDP!AI$5)</f>
        <v>0</v>
      </c>
      <c r="AJ8" s="380">
        <f>SUMIFS([1]!Data_BS[Value],[1]!Data_BS[Index BS],TDP!$B8,[1]!Data_BS[TenCongTyID],TDP!$B$1,[1]!Data_BS[Thang.Nam],TDP!AJ$5)</f>
        <v>0</v>
      </c>
      <c r="AK8" s="380">
        <f>SUMIFS([1]!Data_BS[Value],[1]!Data_BS[Index BS],TDP!$B8,[1]!Data_BS[TenCongTyID],TDP!$B$1,[1]!Data_BS[Thang.Nam],TDP!AK$5)</f>
        <v>0</v>
      </c>
      <c r="AL8" s="381">
        <f>SUMIFS([1]!Data_BS[Value],[1]!Data_BS[Index BS],TDP!$B8,[1]!Data_BS[TenCongTyID],TDP!$B$1,[1]!Data_BS[Thang.Nam],TDP!AL$5)</f>
        <v>0</v>
      </c>
    </row>
    <row r="9" spans="1:38" ht="15" hidden="1" customHeight="1" outlineLevel="1">
      <c r="A9" s="62" t="s">
        <v>93</v>
      </c>
      <c r="B9" s="63">
        <v>4</v>
      </c>
      <c r="C9" s="64"/>
      <c r="D9" s="69"/>
      <c r="E9" s="69"/>
      <c r="F9" s="379"/>
      <c r="G9" s="69"/>
      <c r="H9" s="69">
        <v>0</v>
      </c>
      <c r="I9" s="69"/>
      <c r="J9" s="69"/>
      <c r="K9" s="69"/>
      <c r="L9" s="69"/>
      <c r="M9" s="379"/>
      <c r="N9" s="85"/>
      <c r="O9" s="64"/>
      <c r="P9" s="69"/>
      <c r="Q9" s="69">
        <v>800000000</v>
      </c>
      <c r="R9" s="379">
        <v>800000000</v>
      </c>
      <c r="S9" s="69"/>
      <c r="T9" s="69">
        <v>0</v>
      </c>
      <c r="U9" s="69">
        <v>0</v>
      </c>
      <c r="V9" s="69">
        <v>700000000</v>
      </c>
      <c r="W9" s="69">
        <v>700000000</v>
      </c>
      <c r="X9" s="69">
        <v>700000000</v>
      </c>
      <c r="Y9" s="379">
        <v>700000000</v>
      </c>
      <c r="Z9" s="379">
        <v>700000000</v>
      </c>
      <c r="AA9" s="380">
        <f>SUMIFS([1]!Data_BS[Value],[1]!Data_BS[Index BS],TDP!$B9,[1]!Data_BS[TenCongTyID],TDP!$B$1,[1]!Data_BS[Thang.Nam],TDP!AA$5)</f>
        <v>0</v>
      </c>
      <c r="AB9" s="380">
        <f>SUMIFS([1]!Data_BS[Value],[1]!Data_BS[Index BS],TDP!$B9,[1]!Data_BS[TenCongTyID],TDP!$B$1,[1]!Data_BS[Thang.Nam],TDP!AB$5)</f>
        <v>0</v>
      </c>
      <c r="AC9" s="380">
        <f>SUMIFS([1]!Data_BS[Value],[1]!Data_BS[Index BS],TDP!$B9,[1]!Data_BS[TenCongTyID],TDP!$B$1,[1]!Data_BS[Thang.Nam],TDP!AC$5)</f>
        <v>0</v>
      </c>
      <c r="AD9" s="380">
        <f>SUMIFS([1]!Data_BS[Value],[1]!Data_BS[Index BS],TDP!$B9,[1]!Data_BS[TenCongTyID],TDP!$B$1,[1]!Data_BS[Thang.Nam],TDP!AD$5)</f>
        <v>0</v>
      </c>
      <c r="AE9" s="380">
        <f>SUMIFS([1]!Data_BS[Value],[1]!Data_BS[Index BS],TDP!$B9,[1]!Data_BS[TenCongTyID],TDP!$B$1,[1]!Data_BS[Thang.Nam],TDP!AE$5)</f>
        <v>0</v>
      </c>
      <c r="AF9" s="380">
        <f>SUMIFS([1]!Data_BS[Value],[1]!Data_BS[Index BS],TDP!$B9,[1]!Data_BS[TenCongTyID],TDP!$B$1,[1]!Data_BS[Thang.Nam],TDP!AF$5)</f>
        <v>0</v>
      </c>
      <c r="AG9" s="380">
        <f>SUMIFS([1]!Data_BS[Value],[1]!Data_BS[Index BS],TDP!$B9,[1]!Data_BS[TenCongTyID],TDP!$B$1,[1]!Data_BS[Thang.Nam],TDP!AG$5)</f>
        <v>0</v>
      </c>
      <c r="AH9" s="380">
        <f>SUMIFS([1]!Data_BS[Value],[1]!Data_BS[Index BS],TDP!$B9,[1]!Data_BS[TenCongTyID],TDP!$B$1,[1]!Data_BS[Thang.Nam],TDP!AH$5)</f>
        <v>0</v>
      </c>
      <c r="AI9" s="380">
        <f>SUMIFS([1]!Data_BS[Value],[1]!Data_BS[Index BS],TDP!$B9,[1]!Data_BS[TenCongTyID],TDP!$B$1,[1]!Data_BS[Thang.Nam],TDP!AI$5)</f>
        <v>0</v>
      </c>
      <c r="AJ9" s="380">
        <f>SUMIFS([1]!Data_BS[Value],[1]!Data_BS[Index BS],TDP!$B9,[1]!Data_BS[TenCongTyID],TDP!$B$1,[1]!Data_BS[Thang.Nam],TDP!AJ$5)</f>
        <v>0</v>
      </c>
      <c r="AK9" s="380">
        <f>SUMIFS([1]!Data_BS[Value],[1]!Data_BS[Index BS],TDP!$B9,[1]!Data_BS[TenCongTyID],TDP!$B$1,[1]!Data_BS[Thang.Nam],TDP!AK$5)</f>
        <v>0</v>
      </c>
      <c r="AL9" s="381">
        <f>SUMIFS([1]!Data_BS[Value],[1]!Data_BS[Index BS],TDP!$B9,[1]!Data_BS[TenCongTyID],TDP!$B$1,[1]!Data_BS[Thang.Nam],TDP!AL$5)</f>
        <v>0</v>
      </c>
    </row>
    <row r="10" spans="1:38" ht="15" hidden="1" customHeight="1" outlineLevel="1">
      <c r="A10" s="59" t="s">
        <v>94</v>
      </c>
      <c r="B10" s="65">
        <v>5</v>
      </c>
      <c r="C10" s="61">
        <f>SUM(C11:C13)</f>
        <v>0</v>
      </c>
      <c r="D10" s="173">
        <f>SUM(D11:D13)</f>
        <v>0</v>
      </c>
      <c r="E10" s="173">
        <f>SUM(E11:E13)</f>
        <v>0</v>
      </c>
      <c r="F10" s="375">
        <f>SUM(F11:F13)</f>
        <v>0</v>
      </c>
      <c r="G10" s="173">
        <f>SUM(G11:G13)</f>
        <v>0</v>
      </c>
      <c r="H10" s="173">
        <v>0</v>
      </c>
      <c r="I10" s="173">
        <f>SUM(I11:I13)</f>
        <v>0</v>
      </c>
      <c r="J10" s="173">
        <v>0</v>
      </c>
      <c r="K10" s="173">
        <v>0</v>
      </c>
      <c r="L10" s="173">
        <v>0</v>
      </c>
      <c r="M10" s="173">
        <v>0</v>
      </c>
      <c r="N10" s="61">
        <v>0</v>
      </c>
      <c r="O10" s="61">
        <v>0</v>
      </c>
      <c r="P10" s="173">
        <v>0</v>
      </c>
      <c r="Q10" s="173">
        <v>0</v>
      </c>
      <c r="R10" s="375">
        <v>0</v>
      </c>
      <c r="S10" s="173">
        <v>0</v>
      </c>
      <c r="T10" s="173">
        <v>0</v>
      </c>
      <c r="U10" s="173">
        <v>0</v>
      </c>
      <c r="V10" s="173">
        <v>0</v>
      </c>
      <c r="W10" s="173">
        <v>0</v>
      </c>
      <c r="X10" s="173">
        <v>0</v>
      </c>
      <c r="Y10" s="173">
        <v>0</v>
      </c>
      <c r="Z10" s="173">
        <v>0</v>
      </c>
      <c r="AA10" s="382">
        <f>SUMIFS([1]!Data_BS[Value],[1]!Data_BS[Index BS],TDP!$B10,[1]!Data_BS[TenCongTyID],TDP!$B$1,[1]!Data_BS[Thang.Nam],TDP!AA$5)</f>
        <v>0</v>
      </c>
      <c r="AB10" s="382">
        <f>SUMIFS([1]!Data_BS[Value],[1]!Data_BS[Index BS],TDP!$B10,[1]!Data_BS[TenCongTyID],TDP!$B$1,[1]!Data_BS[Thang.Nam],TDP!AB$5)</f>
        <v>0</v>
      </c>
      <c r="AC10" s="382">
        <f>SUMIFS([1]!Data_BS[Value],[1]!Data_BS[Index BS],TDP!$B10,[1]!Data_BS[TenCongTyID],TDP!$B$1,[1]!Data_BS[Thang.Nam],TDP!AC$5)</f>
        <v>0</v>
      </c>
      <c r="AD10" s="382">
        <f>SUMIFS([1]!Data_BS[Value],[1]!Data_BS[Index BS],TDP!$B10,[1]!Data_BS[TenCongTyID],TDP!$B$1,[1]!Data_BS[Thang.Nam],TDP!AD$5)</f>
        <v>0</v>
      </c>
      <c r="AE10" s="382">
        <f>SUMIFS([1]!Data_BS[Value],[1]!Data_BS[Index BS],TDP!$B10,[1]!Data_BS[TenCongTyID],TDP!$B$1,[1]!Data_BS[Thang.Nam],TDP!AE$5)</f>
        <v>0</v>
      </c>
      <c r="AF10" s="382">
        <f>SUMIFS([1]!Data_BS[Value],[1]!Data_BS[Index BS],TDP!$B10,[1]!Data_BS[TenCongTyID],TDP!$B$1,[1]!Data_BS[Thang.Nam],TDP!AF$5)</f>
        <v>0</v>
      </c>
      <c r="AG10" s="382">
        <f>SUMIFS([1]!Data_BS[Value],[1]!Data_BS[Index BS],TDP!$B10,[1]!Data_BS[TenCongTyID],TDP!$B$1,[1]!Data_BS[Thang.Nam],TDP!AG$5)</f>
        <v>0</v>
      </c>
      <c r="AH10" s="382">
        <f>SUMIFS([1]!Data_BS[Value],[1]!Data_BS[Index BS],TDP!$B10,[1]!Data_BS[TenCongTyID],TDP!$B$1,[1]!Data_BS[Thang.Nam],TDP!AH$5)</f>
        <v>0</v>
      </c>
      <c r="AI10" s="382">
        <f>SUMIFS([1]!Data_BS[Value],[1]!Data_BS[Index BS],TDP!$B10,[1]!Data_BS[TenCongTyID],TDP!$B$1,[1]!Data_BS[Thang.Nam],TDP!AI$5)</f>
        <v>0</v>
      </c>
      <c r="AJ10" s="382">
        <f>SUMIFS([1]!Data_BS[Value],[1]!Data_BS[Index BS],TDP!$B10,[1]!Data_BS[TenCongTyID],TDP!$B$1,[1]!Data_BS[Thang.Nam],TDP!AJ$5)</f>
        <v>0</v>
      </c>
      <c r="AK10" s="382">
        <f>SUMIFS([1]!Data_BS[Value],[1]!Data_BS[Index BS],TDP!$B10,[1]!Data_BS[TenCongTyID],TDP!$B$1,[1]!Data_BS[Thang.Nam],TDP!AK$5)</f>
        <v>0</v>
      </c>
      <c r="AL10" s="383">
        <f>SUMIFS([1]!Data_BS[Value],[1]!Data_BS[Index BS],TDP!$B10,[1]!Data_BS[TenCongTyID],TDP!$B$1,[1]!Data_BS[Thang.Nam],TDP!AL$5)</f>
        <v>0</v>
      </c>
    </row>
    <row r="11" spans="1:38" ht="15" hidden="1" customHeight="1" outlineLevel="1">
      <c r="A11" s="62" t="s">
        <v>95</v>
      </c>
      <c r="B11" s="63">
        <v>6</v>
      </c>
      <c r="C11" s="64"/>
      <c r="D11" s="69"/>
      <c r="E11" s="69"/>
      <c r="F11" s="379"/>
      <c r="G11" s="69"/>
      <c r="H11" s="69">
        <v>0</v>
      </c>
      <c r="I11" s="69"/>
      <c r="J11" s="69"/>
      <c r="K11" s="69"/>
      <c r="L11" s="69"/>
      <c r="M11" s="379"/>
      <c r="N11" s="85"/>
      <c r="O11" s="64"/>
      <c r="P11" s="69"/>
      <c r="Q11" s="69"/>
      <c r="R11" s="379"/>
      <c r="S11" s="69"/>
      <c r="T11" s="69">
        <v>0</v>
      </c>
      <c r="U11" s="69"/>
      <c r="V11" s="69"/>
      <c r="W11" s="69"/>
      <c r="X11" s="69"/>
      <c r="Y11" s="379"/>
      <c r="Z11" s="379">
        <v>0</v>
      </c>
      <c r="AA11" s="380">
        <f>SUMIFS([1]!Data_BS[Value],[1]!Data_BS[Index BS],TDP!$B11,[1]!Data_BS[TenCongTyID],TDP!$B$1,[1]!Data_BS[Thang.Nam],TDP!AA$5)</f>
        <v>0</v>
      </c>
      <c r="AB11" s="380">
        <f>SUMIFS([1]!Data_BS[Value],[1]!Data_BS[Index BS],TDP!$B11,[1]!Data_BS[TenCongTyID],TDP!$B$1,[1]!Data_BS[Thang.Nam],TDP!AB$5)</f>
        <v>0</v>
      </c>
      <c r="AC11" s="380">
        <f>SUMIFS([1]!Data_BS[Value],[1]!Data_BS[Index BS],TDP!$B11,[1]!Data_BS[TenCongTyID],TDP!$B$1,[1]!Data_BS[Thang.Nam],TDP!AC$5)</f>
        <v>0</v>
      </c>
      <c r="AD11" s="380">
        <f>SUMIFS([1]!Data_BS[Value],[1]!Data_BS[Index BS],TDP!$B11,[1]!Data_BS[TenCongTyID],TDP!$B$1,[1]!Data_BS[Thang.Nam],TDP!AD$5)</f>
        <v>0</v>
      </c>
      <c r="AE11" s="380">
        <f>SUMIFS([1]!Data_BS[Value],[1]!Data_BS[Index BS],TDP!$B11,[1]!Data_BS[TenCongTyID],TDP!$B$1,[1]!Data_BS[Thang.Nam],TDP!AE$5)</f>
        <v>0</v>
      </c>
      <c r="AF11" s="380">
        <f>SUMIFS([1]!Data_BS[Value],[1]!Data_BS[Index BS],TDP!$B11,[1]!Data_BS[TenCongTyID],TDP!$B$1,[1]!Data_BS[Thang.Nam],TDP!AF$5)</f>
        <v>0</v>
      </c>
      <c r="AG11" s="380">
        <f>SUMIFS([1]!Data_BS[Value],[1]!Data_BS[Index BS],TDP!$B11,[1]!Data_BS[TenCongTyID],TDP!$B$1,[1]!Data_BS[Thang.Nam],TDP!AG$5)</f>
        <v>0</v>
      </c>
      <c r="AH11" s="380">
        <f>SUMIFS([1]!Data_BS[Value],[1]!Data_BS[Index BS],TDP!$B11,[1]!Data_BS[TenCongTyID],TDP!$B$1,[1]!Data_BS[Thang.Nam],TDP!AH$5)</f>
        <v>0</v>
      </c>
      <c r="AI11" s="380">
        <f>SUMIFS([1]!Data_BS[Value],[1]!Data_BS[Index BS],TDP!$B11,[1]!Data_BS[TenCongTyID],TDP!$B$1,[1]!Data_BS[Thang.Nam],TDP!AI$5)</f>
        <v>0</v>
      </c>
      <c r="AJ11" s="380">
        <f>SUMIFS([1]!Data_BS[Value],[1]!Data_BS[Index BS],TDP!$B11,[1]!Data_BS[TenCongTyID],TDP!$B$1,[1]!Data_BS[Thang.Nam],TDP!AJ$5)</f>
        <v>0</v>
      </c>
      <c r="AK11" s="380">
        <f>SUMIFS([1]!Data_BS[Value],[1]!Data_BS[Index BS],TDP!$B11,[1]!Data_BS[TenCongTyID],TDP!$B$1,[1]!Data_BS[Thang.Nam],TDP!AK$5)</f>
        <v>0</v>
      </c>
      <c r="AL11" s="381">
        <f>SUMIFS([1]!Data_BS[Value],[1]!Data_BS[Index BS],TDP!$B11,[1]!Data_BS[TenCongTyID],TDP!$B$1,[1]!Data_BS[Thang.Nam],TDP!AL$5)</f>
        <v>0</v>
      </c>
    </row>
    <row r="12" spans="1:38" ht="15" hidden="1" customHeight="1" outlineLevel="1">
      <c r="A12" s="62" t="s">
        <v>96</v>
      </c>
      <c r="B12" s="63">
        <v>7</v>
      </c>
      <c r="C12" s="64"/>
      <c r="D12" s="69"/>
      <c r="E12" s="69"/>
      <c r="F12" s="379"/>
      <c r="G12" s="69"/>
      <c r="H12" s="69">
        <v>0</v>
      </c>
      <c r="I12" s="69"/>
      <c r="J12" s="69"/>
      <c r="K12" s="69"/>
      <c r="L12" s="69"/>
      <c r="M12" s="379"/>
      <c r="N12" s="85"/>
      <c r="O12" s="64"/>
      <c r="P12" s="69"/>
      <c r="Q12" s="69"/>
      <c r="R12" s="379"/>
      <c r="S12" s="69"/>
      <c r="T12" s="69">
        <v>0</v>
      </c>
      <c r="U12" s="69"/>
      <c r="V12" s="69"/>
      <c r="W12" s="69"/>
      <c r="X12" s="69"/>
      <c r="Y12" s="379"/>
      <c r="Z12" s="379">
        <v>0</v>
      </c>
      <c r="AA12" s="380">
        <f>SUMIFS([1]!Data_BS[Value],[1]!Data_BS[Index BS],TDP!$B12,[1]!Data_BS[TenCongTyID],TDP!$B$1,[1]!Data_BS[Thang.Nam],TDP!AA$5)</f>
        <v>0</v>
      </c>
      <c r="AB12" s="380">
        <f>SUMIFS([1]!Data_BS[Value],[1]!Data_BS[Index BS],TDP!$B12,[1]!Data_BS[TenCongTyID],TDP!$B$1,[1]!Data_BS[Thang.Nam],TDP!AB$5)</f>
        <v>0</v>
      </c>
      <c r="AC12" s="380">
        <f>SUMIFS([1]!Data_BS[Value],[1]!Data_BS[Index BS],TDP!$B12,[1]!Data_BS[TenCongTyID],TDP!$B$1,[1]!Data_BS[Thang.Nam],TDP!AC$5)</f>
        <v>0</v>
      </c>
      <c r="AD12" s="380">
        <f>SUMIFS([1]!Data_BS[Value],[1]!Data_BS[Index BS],TDP!$B12,[1]!Data_BS[TenCongTyID],TDP!$B$1,[1]!Data_BS[Thang.Nam],TDP!AD$5)</f>
        <v>0</v>
      </c>
      <c r="AE12" s="380">
        <f>SUMIFS([1]!Data_BS[Value],[1]!Data_BS[Index BS],TDP!$B12,[1]!Data_BS[TenCongTyID],TDP!$B$1,[1]!Data_BS[Thang.Nam],TDP!AE$5)</f>
        <v>0</v>
      </c>
      <c r="AF12" s="380">
        <f>SUMIFS([1]!Data_BS[Value],[1]!Data_BS[Index BS],TDP!$B12,[1]!Data_BS[TenCongTyID],TDP!$B$1,[1]!Data_BS[Thang.Nam],TDP!AF$5)</f>
        <v>0</v>
      </c>
      <c r="AG12" s="380">
        <f>SUMIFS([1]!Data_BS[Value],[1]!Data_BS[Index BS],TDP!$B12,[1]!Data_BS[TenCongTyID],TDP!$B$1,[1]!Data_BS[Thang.Nam],TDP!AG$5)</f>
        <v>0</v>
      </c>
      <c r="AH12" s="380">
        <f>SUMIFS([1]!Data_BS[Value],[1]!Data_BS[Index BS],TDP!$B12,[1]!Data_BS[TenCongTyID],TDP!$B$1,[1]!Data_BS[Thang.Nam],TDP!AH$5)</f>
        <v>0</v>
      </c>
      <c r="AI12" s="380">
        <f>SUMIFS([1]!Data_BS[Value],[1]!Data_BS[Index BS],TDP!$B12,[1]!Data_BS[TenCongTyID],TDP!$B$1,[1]!Data_BS[Thang.Nam],TDP!AI$5)</f>
        <v>0</v>
      </c>
      <c r="AJ12" s="380">
        <f>SUMIFS([1]!Data_BS[Value],[1]!Data_BS[Index BS],TDP!$B12,[1]!Data_BS[TenCongTyID],TDP!$B$1,[1]!Data_BS[Thang.Nam],TDP!AJ$5)</f>
        <v>0</v>
      </c>
      <c r="AK12" s="380">
        <f>SUMIFS([1]!Data_BS[Value],[1]!Data_BS[Index BS],TDP!$B12,[1]!Data_BS[TenCongTyID],TDP!$B$1,[1]!Data_BS[Thang.Nam],TDP!AK$5)</f>
        <v>0</v>
      </c>
      <c r="AL12" s="381">
        <f>SUMIFS([1]!Data_BS[Value],[1]!Data_BS[Index BS],TDP!$B12,[1]!Data_BS[TenCongTyID],TDP!$B$1,[1]!Data_BS[Thang.Nam],TDP!AL$5)</f>
        <v>0</v>
      </c>
    </row>
    <row r="13" spans="1:38" ht="15" hidden="1" customHeight="1" outlineLevel="1">
      <c r="A13" s="66" t="s">
        <v>97</v>
      </c>
      <c r="B13" s="63">
        <v>8</v>
      </c>
      <c r="C13" s="64"/>
      <c r="D13" s="69"/>
      <c r="E13" s="69"/>
      <c r="F13" s="379"/>
      <c r="G13" s="69"/>
      <c r="H13" s="69"/>
      <c r="I13" s="69"/>
      <c r="J13" s="69"/>
      <c r="K13" s="69"/>
      <c r="L13" s="69"/>
      <c r="M13" s="379"/>
      <c r="N13" s="85"/>
      <c r="O13" s="64"/>
      <c r="P13" s="69"/>
      <c r="Q13" s="69"/>
      <c r="R13" s="69"/>
      <c r="S13" s="69"/>
      <c r="T13" s="69"/>
      <c r="U13" s="69"/>
      <c r="V13" s="69"/>
      <c r="W13" s="69"/>
      <c r="X13" s="69"/>
      <c r="Y13" s="379"/>
      <c r="Z13" s="379">
        <v>0</v>
      </c>
      <c r="AA13" s="380">
        <f>SUMIFS([1]!Data_BS[Value],[1]!Data_BS[Index BS],TDP!$B13,[1]!Data_BS[TenCongTyID],TDP!$B$1,[1]!Data_BS[Thang.Nam],TDP!AA$5)</f>
        <v>0</v>
      </c>
      <c r="AB13" s="380">
        <f>SUMIFS([1]!Data_BS[Value],[1]!Data_BS[Index BS],TDP!$B13,[1]!Data_BS[TenCongTyID],TDP!$B$1,[1]!Data_BS[Thang.Nam],TDP!AB$5)</f>
        <v>0</v>
      </c>
      <c r="AC13" s="380">
        <f>SUMIFS([1]!Data_BS[Value],[1]!Data_BS[Index BS],TDP!$B13,[1]!Data_BS[TenCongTyID],TDP!$B$1,[1]!Data_BS[Thang.Nam],TDP!AC$5)</f>
        <v>0</v>
      </c>
      <c r="AD13" s="380">
        <f>SUMIFS([1]!Data_BS[Value],[1]!Data_BS[Index BS],TDP!$B13,[1]!Data_BS[TenCongTyID],TDP!$B$1,[1]!Data_BS[Thang.Nam],TDP!AD$5)</f>
        <v>0</v>
      </c>
      <c r="AE13" s="380">
        <f>SUMIFS([1]!Data_BS[Value],[1]!Data_BS[Index BS],TDP!$B13,[1]!Data_BS[TenCongTyID],TDP!$B$1,[1]!Data_BS[Thang.Nam],TDP!AE$5)</f>
        <v>0</v>
      </c>
      <c r="AF13" s="380">
        <f>SUMIFS([1]!Data_BS[Value],[1]!Data_BS[Index BS],TDP!$B13,[1]!Data_BS[TenCongTyID],TDP!$B$1,[1]!Data_BS[Thang.Nam],TDP!AF$5)</f>
        <v>0</v>
      </c>
      <c r="AG13" s="380">
        <f>SUMIFS([1]!Data_BS[Value],[1]!Data_BS[Index BS],TDP!$B13,[1]!Data_BS[TenCongTyID],TDP!$B$1,[1]!Data_BS[Thang.Nam],TDP!AG$5)</f>
        <v>0</v>
      </c>
      <c r="AH13" s="380">
        <f>SUMIFS([1]!Data_BS[Value],[1]!Data_BS[Index BS],TDP!$B13,[1]!Data_BS[TenCongTyID],TDP!$B$1,[1]!Data_BS[Thang.Nam],TDP!AH$5)</f>
        <v>0</v>
      </c>
      <c r="AI13" s="380">
        <f>SUMIFS([1]!Data_BS[Value],[1]!Data_BS[Index BS],TDP!$B13,[1]!Data_BS[TenCongTyID],TDP!$B$1,[1]!Data_BS[Thang.Nam],TDP!AI$5)</f>
        <v>0</v>
      </c>
      <c r="AJ13" s="380">
        <f>SUMIFS([1]!Data_BS[Value],[1]!Data_BS[Index BS],TDP!$B13,[1]!Data_BS[TenCongTyID],TDP!$B$1,[1]!Data_BS[Thang.Nam],TDP!AJ$5)</f>
        <v>0</v>
      </c>
      <c r="AK13" s="380">
        <f>SUMIFS([1]!Data_BS[Value],[1]!Data_BS[Index BS],TDP!$B13,[1]!Data_BS[TenCongTyID],TDP!$B$1,[1]!Data_BS[Thang.Nam],TDP!AK$5)</f>
        <v>0</v>
      </c>
      <c r="AL13" s="381">
        <f>SUMIFS([1]!Data_BS[Value],[1]!Data_BS[Index BS],TDP!$B13,[1]!Data_BS[TenCongTyID],TDP!$B$1,[1]!Data_BS[Thang.Nam],TDP!AL$5)</f>
        <v>0</v>
      </c>
    </row>
    <row r="14" spans="1:38" ht="15" hidden="1" customHeight="1" outlineLevel="1">
      <c r="A14" s="66" t="s">
        <v>98</v>
      </c>
      <c r="B14" s="63">
        <v>9</v>
      </c>
      <c r="C14" s="64"/>
      <c r="D14" s="69"/>
      <c r="E14" s="69"/>
      <c r="F14" s="379"/>
      <c r="G14" s="69"/>
      <c r="H14" s="69"/>
      <c r="I14" s="69"/>
      <c r="J14" s="69"/>
      <c r="K14" s="69"/>
      <c r="L14" s="69"/>
      <c r="M14" s="379"/>
      <c r="N14" s="85"/>
      <c r="O14" s="64"/>
      <c r="P14" s="69"/>
      <c r="Q14" s="69"/>
      <c r="R14" s="69"/>
      <c r="S14" s="69"/>
      <c r="T14" s="69"/>
      <c r="U14" s="69"/>
      <c r="V14" s="69"/>
      <c r="W14" s="69"/>
      <c r="X14" s="69"/>
      <c r="Y14" s="379"/>
      <c r="Z14" s="379">
        <v>0</v>
      </c>
      <c r="AA14" s="380">
        <f>SUMIFS([1]!Data_BS[Value],[1]!Data_BS[Index BS],TDP!$B14,[1]!Data_BS[TenCongTyID],TDP!$B$1,[1]!Data_BS[Thang.Nam],TDP!AA$5)</f>
        <v>0</v>
      </c>
      <c r="AB14" s="380">
        <f>SUMIFS([1]!Data_BS[Value],[1]!Data_BS[Index BS],TDP!$B14,[1]!Data_BS[TenCongTyID],TDP!$B$1,[1]!Data_BS[Thang.Nam],TDP!AB$5)</f>
        <v>0</v>
      </c>
      <c r="AC14" s="380">
        <f>SUMIFS([1]!Data_BS[Value],[1]!Data_BS[Index BS],TDP!$B14,[1]!Data_BS[TenCongTyID],TDP!$B$1,[1]!Data_BS[Thang.Nam],TDP!AC$5)</f>
        <v>0</v>
      </c>
      <c r="AD14" s="380">
        <f>SUMIFS([1]!Data_BS[Value],[1]!Data_BS[Index BS],TDP!$B14,[1]!Data_BS[TenCongTyID],TDP!$B$1,[1]!Data_BS[Thang.Nam],TDP!AD$5)</f>
        <v>0</v>
      </c>
      <c r="AE14" s="380">
        <f>SUMIFS([1]!Data_BS[Value],[1]!Data_BS[Index BS],TDP!$B14,[1]!Data_BS[TenCongTyID],TDP!$B$1,[1]!Data_BS[Thang.Nam],TDP!AE$5)</f>
        <v>0</v>
      </c>
      <c r="AF14" s="380">
        <f>SUMIFS([1]!Data_BS[Value],[1]!Data_BS[Index BS],TDP!$B14,[1]!Data_BS[TenCongTyID],TDP!$B$1,[1]!Data_BS[Thang.Nam],TDP!AF$5)</f>
        <v>0</v>
      </c>
      <c r="AG14" s="380">
        <f>SUMIFS([1]!Data_BS[Value],[1]!Data_BS[Index BS],TDP!$B14,[1]!Data_BS[TenCongTyID],TDP!$B$1,[1]!Data_BS[Thang.Nam],TDP!AG$5)</f>
        <v>0</v>
      </c>
      <c r="AH14" s="380">
        <f>SUMIFS([1]!Data_BS[Value],[1]!Data_BS[Index BS],TDP!$B14,[1]!Data_BS[TenCongTyID],TDP!$B$1,[1]!Data_BS[Thang.Nam],TDP!AH$5)</f>
        <v>0</v>
      </c>
      <c r="AI14" s="380">
        <f>SUMIFS([1]!Data_BS[Value],[1]!Data_BS[Index BS],TDP!$B14,[1]!Data_BS[TenCongTyID],TDP!$B$1,[1]!Data_BS[Thang.Nam],TDP!AI$5)</f>
        <v>0</v>
      </c>
      <c r="AJ14" s="380">
        <f>SUMIFS([1]!Data_BS[Value],[1]!Data_BS[Index BS],TDP!$B14,[1]!Data_BS[TenCongTyID],TDP!$B$1,[1]!Data_BS[Thang.Nam],TDP!AJ$5)</f>
        <v>0</v>
      </c>
      <c r="AK14" s="380">
        <f>SUMIFS([1]!Data_BS[Value],[1]!Data_BS[Index BS],TDP!$B14,[1]!Data_BS[TenCongTyID],TDP!$B$1,[1]!Data_BS[Thang.Nam],TDP!AK$5)</f>
        <v>0</v>
      </c>
      <c r="AL14" s="381">
        <f>SUMIFS([1]!Data_BS[Value],[1]!Data_BS[Index BS],TDP!$B14,[1]!Data_BS[TenCongTyID],TDP!$B$1,[1]!Data_BS[Thang.Nam],TDP!AL$5)</f>
        <v>0</v>
      </c>
    </row>
    <row r="15" spans="1:38" ht="15" hidden="1" customHeight="1" outlineLevel="1">
      <c r="A15" s="66" t="s">
        <v>99</v>
      </c>
      <c r="B15" s="63">
        <v>10</v>
      </c>
      <c r="C15" s="64"/>
      <c r="D15" s="69"/>
      <c r="E15" s="69"/>
      <c r="F15" s="379"/>
      <c r="G15" s="69"/>
      <c r="H15" s="69"/>
      <c r="I15" s="69"/>
      <c r="J15" s="69"/>
      <c r="K15" s="69"/>
      <c r="L15" s="69"/>
      <c r="M15" s="379"/>
      <c r="N15" s="85"/>
      <c r="O15" s="64"/>
      <c r="P15" s="69"/>
      <c r="Q15" s="69"/>
      <c r="R15" s="69"/>
      <c r="S15" s="69"/>
      <c r="T15" s="69"/>
      <c r="U15" s="69"/>
      <c r="V15" s="69"/>
      <c r="W15" s="69"/>
      <c r="X15" s="69"/>
      <c r="Y15" s="379"/>
      <c r="Z15" s="379">
        <v>0</v>
      </c>
      <c r="AA15" s="380">
        <f>SUMIFS([1]!Data_BS[Value],[1]!Data_BS[Index BS],TDP!$B15,[1]!Data_BS[TenCongTyID],TDP!$B$1,[1]!Data_BS[Thang.Nam],TDP!AA$5)</f>
        <v>0</v>
      </c>
      <c r="AB15" s="380">
        <f>SUMIFS([1]!Data_BS[Value],[1]!Data_BS[Index BS],TDP!$B15,[1]!Data_BS[TenCongTyID],TDP!$B$1,[1]!Data_BS[Thang.Nam],TDP!AB$5)</f>
        <v>0</v>
      </c>
      <c r="AC15" s="380">
        <f>SUMIFS([1]!Data_BS[Value],[1]!Data_BS[Index BS],TDP!$B15,[1]!Data_BS[TenCongTyID],TDP!$B$1,[1]!Data_BS[Thang.Nam],TDP!AC$5)</f>
        <v>0</v>
      </c>
      <c r="AD15" s="380">
        <f>SUMIFS([1]!Data_BS[Value],[1]!Data_BS[Index BS],TDP!$B15,[1]!Data_BS[TenCongTyID],TDP!$B$1,[1]!Data_BS[Thang.Nam],TDP!AD$5)</f>
        <v>0</v>
      </c>
      <c r="AE15" s="380">
        <f>SUMIFS([1]!Data_BS[Value],[1]!Data_BS[Index BS],TDP!$B15,[1]!Data_BS[TenCongTyID],TDP!$B$1,[1]!Data_BS[Thang.Nam],TDP!AE$5)</f>
        <v>0</v>
      </c>
      <c r="AF15" s="380">
        <f>SUMIFS([1]!Data_BS[Value],[1]!Data_BS[Index BS],TDP!$B15,[1]!Data_BS[TenCongTyID],TDP!$B$1,[1]!Data_BS[Thang.Nam],TDP!AF$5)</f>
        <v>0</v>
      </c>
      <c r="AG15" s="380">
        <f>SUMIFS([1]!Data_BS[Value],[1]!Data_BS[Index BS],TDP!$B15,[1]!Data_BS[TenCongTyID],TDP!$B$1,[1]!Data_BS[Thang.Nam],TDP!AG$5)</f>
        <v>0</v>
      </c>
      <c r="AH15" s="380">
        <f>SUMIFS([1]!Data_BS[Value],[1]!Data_BS[Index BS],TDP!$B15,[1]!Data_BS[TenCongTyID],TDP!$B$1,[1]!Data_BS[Thang.Nam],TDP!AH$5)</f>
        <v>0</v>
      </c>
      <c r="AI15" s="380">
        <f>SUMIFS([1]!Data_BS[Value],[1]!Data_BS[Index BS],TDP!$B15,[1]!Data_BS[TenCongTyID],TDP!$B$1,[1]!Data_BS[Thang.Nam],TDP!AI$5)</f>
        <v>0</v>
      </c>
      <c r="AJ15" s="380">
        <f>SUMIFS([1]!Data_BS[Value],[1]!Data_BS[Index BS],TDP!$B15,[1]!Data_BS[TenCongTyID],TDP!$B$1,[1]!Data_BS[Thang.Nam],TDP!AJ$5)</f>
        <v>0</v>
      </c>
      <c r="AK15" s="380">
        <f>SUMIFS([1]!Data_BS[Value],[1]!Data_BS[Index BS],TDP!$B15,[1]!Data_BS[TenCongTyID],TDP!$B$1,[1]!Data_BS[Thang.Nam],TDP!AK$5)</f>
        <v>0</v>
      </c>
      <c r="AL15" s="381">
        <f>SUMIFS([1]!Data_BS[Value],[1]!Data_BS[Index BS],TDP!$B15,[1]!Data_BS[TenCongTyID],TDP!$B$1,[1]!Data_BS[Thang.Nam],TDP!AL$5)</f>
        <v>0</v>
      </c>
    </row>
    <row r="16" spans="1:38" ht="15" hidden="1" customHeight="1" outlineLevel="1">
      <c r="A16" s="66" t="s">
        <v>100</v>
      </c>
      <c r="B16" s="63">
        <v>11</v>
      </c>
      <c r="C16" s="64"/>
      <c r="D16" s="69"/>
      <c r="E16" s="69"/>
      <c r="F16" s="379"/>
      <c r="G16" s="69"/>
      <c r="H16" s="69"/>
      <c r="I16" s="69"/>
      <c r="J16" s="69"/>
      <c r="K16" s="69"/>
      <c r="L16" s="69"/>
      <c r="M16" s="379"/>
      <c r="N16" s="85"/>
      <c r="O16" s="64"/>
      <c r="P16" s="69"/>
      <c r="Q16" s="69"/>
      <c r="R16" s="69"/>
      <c r="S16" s="69"/>
      <c r="T16" s="69"/>
      <c r="U16" s="69"/>
      <c r="V16" s="69"/>
      <c r="W16" s="69"/>
      <c r="X16" s="69"/>
      <c r="Y16" s="379"/>
      <c r="Z16" s="379">
        <v>0</v>
      </c>
      <c r="AA16" s="380">
        <f>SUMIFS([1]!Data_BS[Value],[1]!Data_BS[Index BS],TDP!$B16,[1]!Data_BS[TenCongTyID],TDP!$B$1,[1]!Data_BS[Thang.Nam],TDP!AA$5)</f>
        <v>0</v>
      </c>
      <c r="AB16" s="380">
        <f>SUMIFS([1]!Data_BS[Value],[1]!Data_BS[Index BS],TDP!$B16,[1]!Data_BS[TenCongTyID],TDP!$B$1,[1]!Data_BS[Thang.Nam],TDP!AB$5)</f>
        <v>0</v>
      </c>
      <c r="AC16" s="380">
        <f>SUMIFS([1]!Data_BS[Value],[1]!Data_BS[Index BS],TDP!$B16,[1]!Data_BS[TenCongTyID],TDP!$B$1,[1]!Data_BS[Thang.Nam],TDP!AC$5)</f>
        <v>0</v>
      </c>
      <c r="AD16" s="380">
        <f>SUMIFS([1]!Data_BS[Value],[1]!Data_BS[Index BS],TDP!$B16,[1]!Data_BS[TenCongTyID],TDP!$B$1,[1]!Data_BS[Thang.Nam],TDP!AD$5)</f>
        <v>0</v>
      </c>
      <c r="AE16" s="380">
        <f>SUMIFS([1]!Data_BS[Value],[1]!Data_BS[Index BS],TDP!$B16,[1]!Data_BS[TenCongTyID],TDP!$B$1,[1]!Data_BS[Thang.Nam],TDP!AE$5)</f>
        <v>0</v>
      </c>
      <c r="AF16" s="380">
        <f>SUMIFS([1]!Data_BS[Value],[1]!Data_BS[Index BS],TDP!$B16,[1]!Data_BS[TenCongTyID],TDP!$B$1,[1]!Data_BS[Thang.Nam],TDP!AF$5)</f>
        <v>0</v>
      </c>
      <c r="AG16" s="380">
        <f>SUMIFS([1]!Data_BS[Value],[1]!Data_BS[Index BS],TDP!$B16,[1]!Data_BS[TenCongTyID],TDP!$B$1,[1]!Data_BS[Thang.Nam],TDP!AG$5)</f>
        <v>0</v>
      </c>
      <c r="AH16" s="380">
        <f>SUMIFS([1]!Data_BS[Value],[1]!Data_BS[Index BS],TDP!$B16,[1]!Data_BS[TenCongTyID],TDP!$B$1,[1]!Data_BS[Thang.Nam],TDP!AH$5)</f>
        <v>0</v>
      </c>
      <c r="AI16" s="380">
        <f>SUMIFS([1]!Data_BS[Value],[1]!Data_BS[Index BS],TDP!$B16,[1]!Data_BS[TenCongTyID],TDP!$B$1,[1]!Data_BS[Thang.Nam],TDP!AI$5)</f>
        <v>0</v>
      </c>
      <c r="AJ16" s="380">
        <f>SUMIFS([1]!Data_BS[Value],[1]!Data_BS[Index BS],TDP!$B16,[1]!Data_BS[TenCongTyID],TDP!$B$1,[1]!Data_BS[Thang.Nam],TDP!AJ$5)</f>
        <v>0</v>
      </c>
      <c r="AK16" s="380">
        <f>SUMIFS([1]!Data_BS[Value],[1]!Data_BS[Index BS],TDP!$B16,[1]!Data_BS[TenCongTyID],TDP!$B$1,[1]!Data_BS[Thang.Nam],TDP!AK$5)</f>
        <v>0</v>
      </c>
      <c r="AL16" s="381">
        <f>SUMIFS([1]!Data_BS[Value],[1]!Data_BS[Index BS],TDP!$B16,[1]!Data_BS[TenCongTyID],TDP!$B$1,[1]!Data_BS[Thang.Nam],TDP!AL$5)</f>
        <v>0</v>
      </c>
    </row>
    <row r="17" spans="1:38" ht="15" hidden="1" customHeight="1" outlineLevel="1">
      <c r="A17" s="59" t="s">
        <v>101</v>
      </c>
      <c r="B17" s="65">
        <v>12</v>
      </c>
      <c r="C17" s="61">
        <f>+SUM(C18:C24)</f>
        <v>0</v>
      </c>
      <c r="D17" s="173">
        <f>+SUM(D18:D24)</f>
        <v>0</v>
      </c>
      <c r="E17" s="173">
        <f>+SUM(E18:E24)</f>
        <v>0</v>
      </c>
      <c r="F17" s="375">
        <f>+SUM(F18:F24)</f>
        <v>0</v>
      </c>
      <c r="G17" s="173">
        <f>+SUM(G18:G24)</f>
        <v>0</v>
      </c>
      <c r="H17" s="173"/>
      <c r="I17" s="173">
        <f>+SUM(I18:I24)</f>
        <v>0</v>
      </c>
      <c r="J17" s="173">
        <v>0</v>
      </c>
      <c r="K17" s="173">
        <v>0</v>
      </c>
      <c r="L17" s="173">
        <v>0</v>
      </c>
      <c r="M17" s="375">
        <v>0</v>
      </c>
      <c r="N17" s="376">
        <v>0</v>
      </c>
      <c r="O17" s="61">
        <v>32400000</v>
      </c>
      <c r="P17" s="173">
        <v>16200000</v>
      </c>
      <c r="Q17" s="173">
        <v>0</v>
      </c>
      <c r="R17" s="375">
        <v>32400000</v>
      </c>
      <c r="S17" s="173">
        <v>16200000</v>
      </c>
      <c r="T17" s="173">
        <v>20000000000</v>
      </c>
      <c r="U17" s="173">
        <v>20000000000</v>
      </c>
      <c r="V17" s="173">
        <v>20000000000</v>
      </c>
      <c r="W17" s="173">
        <v>20000000000</v>
      </c>
      <c r="X17" s="173">
        <v>20000000000</v>
      </c>
      <c r="Y17" s="375">
        <v>20000000000</v>
      </c>
      <c r="Z17" s="375">
        <v>20000000000</v>
      </c>
      <c r="AA17" s="377">
        <f>SUMIFS([1]!Data_BS[Value],[1]!Data_BS[Index BS],TDP!$B17,[1]!Data_BS[TenCongTyID],TDP!$B$1,[1]!Data_BS[Thang.Nam],TDP!AA$5)</f>
        <v>0</v>
      </c>
      <c r="AB17" s="377">
        <f>SUMIFS([1]!Data_BS[Value],[1]!Data_BS[Index BS],TDP!$B17,[1]!Data_BS[TenCongTyID],TDP!$B$1,[1]!Data_BS[Thang.Nam],TDP!AB$5)</f>
        <v>0</v>
      </c>
      <c r="AC17" s="377">
        <f>SUMIFS([1]!Data_BS[Value],[1]!Data_BS[Index BS],TDP!$B17,[1]!Data_BS[TenCongTyID],TDP!$B$1,[1]!Data_BS[Thang.Nam],TDP!AC$5)</f>
        <v>0</v>
      </c>
      <c r="AD17" s="377">
        <f>SUMIFS([1]!Data_BS[Value],[1]!Data_BS[Index BS],TDP!$B17,[1]!Data_BS[TenCongTyID],TDP!$B$1,[1]!Data_BS[Thang.Nam],TDP!AD$5)</f>
        <v>0</v>
      </c>
      <c r="AE17" s="377">
        <f>SUMIFS([1]!Data_BS[Value],[1]!Data_BS[Index BS],TDP!$B17,[1]!Data_BS[TenCongTyID],TDP!$B$1,[1]!Data_BS[Thang.Nam],TDP!AE$5)</f>
        <v>0</v>
      </c>
      <c r="AF17" s="377">
        <f>SUMIFS([1]!Data_BS[Value],[1]!Data_BS[Index BS],TDP!$B17,[1]!Data_BS[TenCongTyID],TDP!$B$1,[1]!Data_BS[Thang.Nam],TDP!AF$5)</f>
        <v>0</v>
      </c>
      <c r="AG17" s="377">
        <f>SUMIFS([1]!Data_BS[Value],[1]!Data_BS[Index BS],TDP!$B17,[1]!Data_BS[TenCongTyID],TDP!$B$1,[1]!Data_BS[Thang.Nam],TDP!AG$5)</f>
        <v>0</v>
      </c>
      <c r="AH17" s="377">
        <f>SUMIFS([1]!Data_BS[Value],[1]!Data_BS[Index BS],TDP!$B17,[1]!Data_BS[TenCongTyID],TDP!$B$1,[1]!Data_BS[Thang.Nam],TDP!AH$5)</f>
        <v>0</v>
      </c>
      <c r="AI17" s="377">
        <f>SUMIFS([1]!Data_BS[Value],[1]!Data_BS[Index BS],TDP!$B17,[1]!Data_BS[TenCongTyID],TDP!$B$1,[1]!Data_BS[Thang.Nam],TDP!AI$5)</f>
        <v>0</v>
      </c>
      <c r="AJ17" s="377">
        <f>SUMIFS([1]!Data_BS[Value],[1]!Data_BS[Index BS],TDP!$B17,[1]!Data_BS[TenCongTyID],TDP!$B$1,[1]!Data_BS[Thang.Nam],TDP!AJ$5)</f>
        <v>0</v>
      </c>
      <c r="AK17" s="377">
        <f>SUMIFS([1]!Data_BS[Value],[1]!Data_BS[Index BS],TDP!$B17,[1]!Data_BS[TenCongTyID],TDP!$B$1,[1]!Data_BS[Thang.Nam],TDP!AK$5)</f>
        <v>0</v>
      </c>
      <c r="AL17" s="378">
        <f>SUMIFS([1]!Data_BS[Value],[1]!Data_BS[Index BS],TDP!$B17,[1]!Data_BS[TenCongTyID],TDP!$B$1,[1]!Data_BS[Thang.Nam],TDP!AL$5)</f>
        <v>0</v>
      </c>
    </row>
    <row r="18" spans="1:38" ht="15" hidden="1" customHeight="1" outlineLevel="1">
      <c r="A18" s="67" t="s">
        <v>102</v>
      </c>
      <c r="B18" s="63">
        <v>13</v>
      </c>
      <c r="C18" s="64"/>
      <c r="D18" s="69"/>
      <c r="E18" s="69"/>
      <c r="F18" s="379"/>
      <c r="G18" s="69"/>
      <c r="H18" s="69">
        <v>0</v>
      </c>
      <c r="I18" s="69"/>
      <c r="J18" s="69"/>
      <c r="K18" s="69"/>
      <c r="L18" s="69"/>
      <c r="M18" s="379"/>
      <c r="N18" s="85"/>
      <c r="O18" s="64"/>
      <c r="P18" s="69"/>
      <c r="Q18" s="69"/>
      <c r="R18" s="379"/>
      <c r="S18" s="69"/>
      <c r="T18" s="69">
        <v>0</v>
      </c>
      <c r="U18" s="69"/>
      <c r="V18" s="69">
        <v>0</v>
      </c>
      <c r="W18" s="69">
        <v>0</v>
      </c>
      <c r="X18" s="69"/>
      <c r="Y18" s="379"/>
      <c r="Z18" s="379">
        <v>0</v>
      </c>
      <c r="AA18" s="380">
        <f>SUMIFS([1]!Data_BS[Value],[1]!Data_BS[Index BS],TDP!$B18,[1]!Data_BS[TenCongTyID],TDP!$B$1,[1]!Data_BS[Thang.Nam],TDP!AA$5)</f>
        <v>0</v>
      </c>
      <c r="AB18" s="380">
        <f>SUMIFS([1]!Data_BS[Value],[1]!Data_BS[Index BS],TDP!$B18,[1]!Data_BS[TenCongTyID],TDP!$B$1,[1]!Data_BS[Thang.Nam],TDP!AB$5)</f>
        <v>0</v>
      </c>
      <c r="AC18" s="380">
        <f>SUMIFS([1]!Data_BS[Value],[1]!Data_BS[Index BS],TDP!$B18,[1]!Data_BS[TenCongTyID],TDP!$B$1,[1]!Data_BS[Thang.Nam],TDP!AC$5)</f>
        <v>0</v>
      </c>
      <c r="AD18" s="380">
        <f>SUMIFS([1]!Data_BS[Value],[1]!Data_BS[Index BS],TDP!$B18,[1]!Data_BS[TenCongTyID],TDP!$B$1,[1]!Data_BS[Thang.Nam],TDP!AD$5)</f>
        <v>0</v>
      </c>
      <c r="AE18" s="380">
        <f>SUMIFS([1]!Data_BS[Value],[1]!Data_BS[Index BS],TDP!$B18,[1]!Data_BS[TenCongTyID],TDP!$B$1,[1]!Data_BS[Thang.Nam],TDP!AE$5)</f>
        <v>0</v>
      </c>
      <c r="AF18" s="380">
        <f>SUMIFS([1]!Data_BS[Value],[1]!Data_BS[Index BS],TDP!$B18,[1]!Data_BS[TenCongTyID],TDP!$B$1,[1]!Data_BS[Thang.Nam],TDP!AF$5)</f>
        <v>0</v>
      </c>
      <c r="AG18" s="380">
        <f>SUMIFS([1]!Data_BS[Value],[1]!Data_BS[Index BS],TDP!$B18,[1]!Data_BS[TenCongTyID],TDP!$B$1,[1]!Data_BS[Thang.Nam],TDP!AG$5)</f>
        <v>0</v>
      </c>
      <c r="AH18" s="380">
        <f>SUMIFS([1]!Data_BS[Value],[1]!Data_BS[Index BS],TDP!$B18,[1]!Data_BS[TenCongTyID],TDP!$B$1,[1]!Data_BS[Thang.Nam],TDP!AH$5)</f>
        <v>0</v>
      </c>
      <c r="AI18" s="380">
        <f>SUMIFS([1]!Data_BS[Value],[1]!Data_BS[Index BS],TDP!$B18,[1]!Data_BS[TenCongTyID],TDP!$B$1,[1]!Data_BS[Thang.Nam],TDP!AI$5)</f>
        <v>0</v>
      </c>
      <c r="AJ18" s="380">
        <f>SUMIFS([1]!Data_BS[Value],[1]!Data_BS[Index BS],TDP!$B18,[1]!Data_BS[TenCongTyID],TDP!$B$1,[1]!Data_BS[Thang.Nam],TDP!AJ$5)</f>
        <v>0</v>
      </c>
      <c r="AK18" s="380">
        <f>SUMIFS([1]!Data_BS[Value],[1]!Data_BS[Index BS],TDP!$B18,[1]!Data_BS[TenCongTyID],TDP!$B$1,[1]!Data_BS[Thang.Nam],TDP!AK$5)</f>
        <v>0</v>
      </c>
      <c r="AL18" s="381">
        <f>SUMIFS([1]!Data_BS[Value],[1]!Data_BS[Index BS],TDP!$B18,[1]!Data_BS[TenCongTyID],TDP!$B$1,[1]!Data_BS[Thang.Nam],TDP!AL$5)</f>
        <v>0</v>
      </c>
    </row>
    <row r="19" spans="1:38" ht="15" hidden="1" customHeight="1" outlineLevel="1">
      <c r="A19" s="67" t="s">
        <v>103</v>
      </c>
      <c r="B19" s="63">
        <v>14</v>
      </c>
      <c r="C19" s="64"/>
      <c r="D19" s="69"/>
      <c r="E19" s="69"/>
      <c r="F19" s="379"/>
      <c r="G19" s="69"/>
      <c r="H19" s="69">
        <v>0</v>
      </c>
      <c r="I19" s="69"/>
      <c r="J19" s="69"/>
      <c r="K19" s="69"/>
      <c r="L19" s="69"/>
      <c r="M19" s="379"/>
      <c r="N19" s="85"/>
      <c r="O19" s="64">
        <v>32400000</v>
      </c>
      <c r="P19" s="69">
        <v>16200000</v>
      </c>
      <c r="Q19" s="69"/>
      <c r="R19" s="379">
        <v>32400000</v>
      </c>
      <c r="S19" s="69">
        <v>16200000</v>
      </c>
      <c r="T19" s="69">
        <v>0</v>
      </c>
      <c r="U19" s="69"/>
      <c r="V19" s="69"/>
      <c r="W19" s="69">
        <v>0</v>
      </c>
      <c r="X19" s="69"/>
      <c r="Y19" s="379"/>
      <c r="Z19" s="379">
        <v>0</v>
      </c>
      <c r="AA19" s="380">
        <f>SUMIFS([1]!Data_BS[Value],[1]!Data_BS[Index BS],TDP!$B19,[1]!Data_BS[TenCongTyID],TDP!$B$1,[1]!Data_BS[Thang.Nam],TDP!AA$5)</f>
        <v>0</v>
      </c>
      <c r="AB19" s="380">
        <f>SUMIFS([1]!Data_BS[Value],[1]!Data_BS[Index BS],TDP!$B19,[1]!Data_BS[TenCongTyID],TDP!$B$1,[1]!Data_BS[Thang.Nam],TDP!AB$5)</f>
        <v>0</v>
      </c>
      <c r="AC19" s="380">
        <f>SUMIFS([1]!Data_BS[Value],[1]!Data_BS[Index BS],TDP!$B19,[1]!Data_BS[TenCongTyID],TDP!$B$1,[1]!Data_BS[Thang.Nam],TDP!AC$5)</f>
        <v>0</v>
      </c>
      <c r="AD19" s="380">
        <f>SUMIFS([1]!Data_BS[Value],[1]!Data_BS[Index BS],TDP!$B19,[1]!Data_BS[TenCongTyID],TDP!$B$1,[1]!Data_BS[Thang.Nam],TDP!AD$5)</f>
        <v>0</v>
      </c>
      <c r="AE19" s="380">
        <f>SUMIFS([1]!Data_BS[Value],[1]!Data_BS[Index BS],TDP!$B19,[1]!Data_BS[TenCongTyID],TDP!$B$1,[1]!Data_BS[Thang.Nam],TDP!AE$5)</f>
        <v>0</v>
      </c>
      <c r="AF19" s="380">
        <f>SUMIFS([1]!Data_BS[Value],[1]!Data_BS[Index BS],TDP!$B19,[1]!Data_BS[TenCongTyID],TDP!$B$1,[1]!Data_BS[Thang.Nam],TDP!AF$5)</f>
        <v>0</v>
      </c>
      <c r="AG19" s="380">
        <f>SUMIFS([1]!Data_BS[Value],[1]!Data_BS[Index BS],TDP!$B19,[1]!Data_BS[TenCongTyID],TDP!$B$1,[1]!Data_BS[Thang.Nam],TDP!AG$5)</f>
        <v>0</v>
      </c>
      <c r="AH19" s="380">
        <f>SUMIFS([1]!Data_BS[Value],[1]!Data_BS[Index BS],TDP!$B19,[1]!Data_BS[TenCongTyID],TDP!$B$1,[1]!Data_BS[Thang.Nam],TDP!AH$5)</f>
        <v>0</v>
      </c>
      <c r="AI19" s="380">
        <f>SUMIFS([1]!Data_BS[Value],[1]!Data_BS[Index BS],TDP!$B19,[1]!Data_BS[TenCongTyID],TDP!$B$1,[1]!Data_BS[Thang.Nam],TDP!AI$5)</f>
        <v>0</v>
      </c>
      <c r="AJ19" s="380">
        <f>SUMIFS([1]!Data_BS[Value],[1]!Data_BS[Index BS],TDP!$B19,[1]!Data_BS[TenCongTyID],TDP!$B$1,[1]!Data_BS[Thang.Nam],TDP!AJ$5)</f>
        <v>0</v>
      </c>
      <c r="AK19" s="380">
        <f>SUMIFS([1]!Data_BS[Value],[1]!Data_BS[Index BS],TDP!$B19,[1]!Data_BS[TenCongTyID],TDP!$B$1,[1]!Data_BS[Thang.Nam],TDP!AK$5)</f>
        <v>0</v>
      </c>
      <c r="AL19" s="381">
        <f>SUMIFS([1]!Data_BS[Value],[1]!Data_BS[Index BS],TDP!$B19,[1]!Data_BS[TenCongTyID],TDP!$B$1,[1]!Data_BS[Thang.Nam],TDP!AL$5)</f>
        <v>0</v>
      </c>
    </row>
    <row r="20" spans="1:38" ht="15" hidden="1" customHeight="1" outlineLevel="1">
      <c r="A20" s="67" t="s">
        <v>104</v>
      </c>
      <c r="B20" s="63">
        <v>15</v>
      </c>
      <c r="C20" s="64"/>
      <c r="D20" s="69"/>
      <c r="E20" s="69"/>
      <c r="F20" s="379"/>
      <c r="G20" s="69"/>
      <c r="H20" s="69">
        <v>0</v>
      </c>
      <c r="I20" s="69"/>
      <c r="J20" s="69"/>
      <c r="K20" s="69"/>
      <c r="L20" s="69"/>
      <c r="M20" s="379"/>
      <c r="N20" s="85"/>
      <c r="O20" s="64"/>
      <c r="P20" s="69"/>
      <c r="Q20" s="69"/>
      <c r="R20" s="379"/>
      <c r="S20" s="69"/>
      <c r="T20" s="69">
        <v>0</v>
      </c>
      <c r="U20" s="69"/>
      <c r="V20" s="69"/>
      <c r="W20" s="69">
        <v>0</v>
      </c>
      <c r="X20" s="69"/>
      <c r="Y20" s="379"/>
      <c r="Z20" s="379">
        <v>0</v>
      </c>
      <c r="AA20" s="380">
        <f>SUMIFS([1]!Data_BS[Value],[1]!Data_BS[Index BS],TDP!$B20,[1]!Data_BS[TenCongTyID],TDP!$B$1,[1]!Data_BS[Thang.Nam],TDP!AA$5)</f>
        <v>0</v>
      </c>
      <c r="AB20" s="380">
        <f>SUMIFS([1]!Data_BS[Value],[1]!Data_BS[Index BS],TDP!$B20,[1]!Data_BS[TenCongTyID],TDP!$B$1,[1]!Data_BS[Thang.Nam],TDP!AB$5)</f>
        <v>0</v>
      </c>
      <c r="AC20" s="380">
        <f>SUMIFS([1]!Data_BS[Value],[1]!Data_BS[Index BS],TDP!$B20,[1]!Data_BS[TenCongTyID],TDP!$B$1,[1]!Data_BS[Thang.Nam],TDP!AC$5)</f>
        <v>0</v>
      </c>
      <c r="AD20" s="380">
        <f>SUMIFS([1]!Data_BS[Value],[1]!Data_BS[Index BS],TDP!$B20,[1]!Data_BS[TenCongTyID],TDP!$B$1,[1]!Data_BS[Thang.Nam],TDP!AD$5)</f>
        <v>0</v>
      </c>
      <c r="AE20" s="380">
        <f>SUMIFS([1]!Data_BS[Value],[1]!Data_BS[Index BS],TDP!$B20,[1]!Data_BS[TenCongTyID],TDP!$B$1,[1]!Data_BS[Thang.Nam],TDP!AE$5)</f>
        <v>0</v>
      </c>
      <c r="AF20" s="380">
        <f>SUMIFS([1]!Data_BS[Value],[1]!Data_BS[Index BS],TDP!$B20,[1]!Data_BS[TenCongTyID],TDP!$B$1,[1]!Data_BS[Thang.Nam],TDP!AF$5)</f>
        <v>0</v>
      </c>
      <c r="AG20" s="380">
        <f>SUMIFS([1]!Data_BS[Value],[1]!Data_BS[Index BS],TDP!$B20,[1]!Data_BS[TenCongTyID],TDP!$B$1,[1]!Data_BS[Thang.Nam],TDP!AG$5)</f>
        <v>0</v>
      </c>
      <c r="AH20" s="380">
        <f>SUMIFS([1]!Data_BS[Value],[1]!Data_BS[Index BS],TDP!$B20,[1]!Data_BS[TenCongTyID],TDP!$B$1,[1]!Data_BS[Thang.Nam],TDP!AH$5)</f>
        <v>0</v>
      </c>
      <c r="AI20" s="380">
        <f>SUMIFS([1]!Data_BS[Value],[1]!Data_BS[Index BS],TDP!$B20,[1]!Data_BS[TenCongTyID],TDP!$B$1,[1]!Data_BS[Thang.Nam],TDP!AI$5)</f>
        <v>0</v>
      </c>
      <c r="AJ20" s="380">
        <f>SUMIFS([1]!Data_BS[Value],[1]!Data_BS[Index BS],TDP!$B20,[1]!Data_BS[TenCongTyID],TDP!$B$1,[1]!Data_BS[Thang.Nam],TDP!AJ$5)</f>
        <v>0</v>
      </c>
      <c r="AK20" s="380">
        <f>SUMIFS([1]!Data_BS[Value],[1]!Data_BS[Index BS],TDP!$B20,[1]!Data_BS[TenCongTyID],TDP!$B$1,[1]!Data_BS[Thang.Nam],TDP!AK$5)</f>
        <v>0</v>
      </c>
      <c r="AL20" s="381">
        <f>SUMIFS([1]!Data_BS[Value],[1]!Data_BS[Index BS],TDP!$B20,[1]!Data_BS[TenCongTyID],TDP!$B$1,[1]!Data_BS[Thang.Nam],TDP!AL$5)</f>
        <v>0</v>
      </c>
    </row>
    <row r="21" spans="1:38" ht="15" hidden="1" customHeight="1" outlineLevel="1">
      <c r="A21" s="67" t="s">
        <v>105</v>
      </c>
      <c r="B21" s="63">
        <v>16</v>
      </c>
      <c r="C21" s="64"/>
      <c r="D21" s="69"/>
      <c r="E21" s="69"/>
      <c r="F21" s="379"/>
      <c r="G21" s="69"/>
      <c r="H21" s="69">
        <v>0</v>
      </c>
      <c r="I21" s="69"/>
      <c r="J21" s="69"/>
      <c r="K21" s="69"/>
      <c r="L21" s="69"/>
      <c r="M21" s="379"/>
      <c r="N21" s="85"/>
      <c r="O21" s="64"/>
      <c r="P21" s="69"/>
      <c r="Q21" s="69"/>
      <c r="R21" s="379"/>
      <c r="S21" s="69"/>
      <c r="T21" s="69">
        <v>0</v>
      </c>
      <c r="U21" s="69"/>
      <c r="V21" s="69"/>
      <c r="W21" s="69">
        <v>0</v>
      </c>
      <c r="X21" s="69"/>
      <c r="Y21" s="379"/>
      <c r="Z21" s="379">
        <v>0</v>
      </c>
      <c r="AA21" s="380">
        <f>SUMIFS([1]!Data_BS[Value],[1]!Data_BS[Index BS],TDP!$B21,[1]!Data_BS[TenCongTyID],TDP!$B$1,[1]!Data_BS[Thang.Nam],TDP!AA$5)</f>
        <v>0</v>
      </c>
      <c r="AB21" s="380">
        <f>SUMIFS([1]!Data_BS[Value],[1]!Data_BS[Index BS],TDP!$B21,[1]!Data_BS[TenCongTyID],TDP!$B$1,[1]!Data_BS[Thang.Nam],TDP!AB$5)</f>
        <v>0</v>
      </c>
      <c r="AC21" s="380">
        <f>SUMIFS([1]!Data_BS[Value],[1]!Data_BS[Index BS],TDP!$B21,[1]!Data_BS[TenCongTyID],TDP!$B$1,[1]!Data_BS[Thang.Nam],TDP!AC$5)</f>
        <v>0</v>
      </c>
      <c r="AD21" s="380">
        <f>SUMIFS([1]!Data_BS[Value],[1]!Data_BS[Index BS],TDP!$B21,[1]!Data_BS[TenCongTyID],TDP!$B$1,[1]!Data_BS[Thang.Nam],TDP!AD$5)</f>
        <v>0</v>
      </c>
      <c r="AE21" s="380">
        <f>SUMIFS([1]!Data_BS[Value],[1]!Data_BS[Index BS],TDP!$B21,[1]!Data_BS[TenCongTyID],TDP!$B$1,[1]!Data_BS[Thang.Nam],TDP!AE$5)</f>
        <v>0</v>
      </c>
      <c r="AF21" s="380">
        <f>SUMIFS([1]!Data_BS[Value],[1]!Data_BS[Index BS],TDP!$B21,[1]!Data_BS[TenCongTyID],TDP!$B$1,[1]!Data_BS[Thang.Nam],TDP!AF$5)</f>
        <v>0</v>
      </c>
      <c r="AG21" s="380">
        <f>SUMIFS([1]!Data_BS[Value],[1]!Data_BS[Index BS],TDP!$B21,[1]!Data_BS[TenCongTyID],TDP!$B$1,[1]!Data_BS[Thang.Nam],TDP!AG$5)</f>
        <v>0</v>
      </c>
      <c r="AH21" s="380">
        <f>SUMIFS([1]!Data_BS[Value],[1]!Data_BS[Index BS],TDP!$B21,[1]!Data_BS[TenCongTyID],TDP!$B$1,[1]!Data_BS[Thang.Nam],TDP!AH$5)</f>
        <v>0</v>
      </c>
      <c r="AI21" s="380">
        <f>SUMIFS([1]!Data_BS[Value],[1]!Data_BS[Index BS],TDP!$B21,[1]!Data_BS[TenCongTyID],TDP!$B$1,[1]!Data_BS[Thang.Nam],TDP!AI$5)</f>
        <v>0</v>
      </c>
      <c r="AJ21" s="380">
        <f>SUMIFS([1]!Data_BS[Value],[1]!Data_BS[Index BS],TDP!$B21,[1]!Data_BS[TenCongTyID],TDP!$B$1,[1]!Data_BS[Thang.Nam],TDP!AJ$5)</f>
        <v>0</v>
      </c>
      <c r="AK21" s="380">
        <f>SUMIFS([1]!Data_BS[Value],[1]!Data_BS[Index BS],TDP!$B21,[1]!Data_BS[TenCongTyID],TDP!$B$1,[1]!Data_BS[Thang.Nam],TDP!AK$5)</f>
        <v>0</v>
      </c>
      <c r="AL21" s="381">
        <f>SUMIFS([1]!Data_BS[Value],[1]!Data_BS[Index BS],TDP!$B21,[1]!Data_BS[TenCongTyID],TDP!$B$1,[1]!Data_BS[Thang.Nam],TDP!AL$5)</f>
        <v>0</v>
      </c>
    </row>
    <row r="22" spans="1:38" ht="15" hidden="1" customHeight="1" outlineLevel="1">
      <c r="A22" s="67" t="s">
        <v>106</v>
      </c>
      <c r="B22" s="63">
        <v>17</v>
      </c>
      <c r="C22" s="64"/>
      <c r="D22" s="69"/>
      <c r="E22" s="69"/>
      <c r="F22" s="379"/>
      <c r="G22" s="69"/>
      <c r="H22" s="69">
        <v>0</v>
      </c>
      <c r="I22" s="69"/>
      <c r="J22" s="69"/>
      <c r="K22" s="69"/>
      <c r="L22" s="69"/>
      <c r="M22" s="379"/>
      <c r="N22" s="85"/>
      <c r="O22" s="64"/>
      <c r="P22" s="69"/>
      <c r="Q22" s="69"/>
      <c r="R22" s="379"/>
      <c r="S22" s="69"/>
      <c r="T22" s="69">
        <v>20000000000</v>
      </c>
      <c r="U22" s="69">
        <v>20000000000</v>
      </c>
      <c r="V22" s="69">
        <v>20000000000</v>
      </c>
      <c r="W22" s="69">
        <v>20000000000</v>
      </c>
      <c r="X22" s="69">
        <v>20000000000</v>
      </c>
      <c r="Y22" s="379">
        <v>20000000000</v>
      </c>
      <c r="Z22" s="379">
        <v>20000000000</v>
      </c>
      <c r="AA22" s="380">
        <f>SUMIFS([1]!Data_BS[Value],[1]!Data_BS[Index BS],TDP!$B22,[1]!Data_BS[TenCongTyID],TDP!$B$1,[1]!Data_BS[Thang.Nam],TDP!AA$5)</f>
        <v>0</v>
      </c>
      <c r="AB22" s="380">
        <f>SUMIFS([1]!Data_BS[Value],[1]!Data_BS[Index BS],TDP!$B22,[1]!Data_BS[TenCongTyID],TDP!$B$1,[1]!Data_BS[Thang.Nam],TDP!AB$5)</f>
        <v>0</v>
      </c>
      <c r="AC22" s="380">
        <f>SUMIFS([1]!Data_BS[Value],[1]!Data_BS[Index BS],TDP!$B22,[1]!Data_BS[TenCongTyID],TDP!$B$1,[1]!Data_BS[Thang.Nam],TDP!AC$5)</f>
        <v>0</v>
      </c>
      <c r="AD22" s="380">
        <f>SUMIFS([1]!Data_BS[Value],[1]!Data_BS[Index BS],TDP!$B22,[1]!Data_BS[TenCongTyID],TDP!$B$1,[1]!Data_BS[Thang.Nam],TDP!AD$5)</f>
        <v>0</v>
      </c>
      <c r="AE22" s="380">
        <f>SUMIFS([1]!Data_BS[Value],[1]!Data_BS[Index BS],TDP!$B22,[1]!Data_BS[TenCongTyID],TDP!$B$1,[1]!Data_BS[Thang.Nam],TDP!AE$5)</f>
        <v>0</v>
      </c>
      <c r="AF22" s="380">
        <f>SUMIFS([1]!Data_BS[Value],[1]!Data_BS[Index BS],TDP!$B22,[1]!Data_BS[TenCongTyID],TDP!$B$1,[1]!Data_BS[Thang.Nam],TDP!AF$5)</f>
        <v>0</v>
      </c>
      <c r="AG22" s="380">
        <f>SUMIFS([1]!Data_BS[Value],[1]!Data_BS[Index BS],TDP!$B22,[1]!Data_BS[TenCongTyID],TDP!$B$1,[1]!Data_BS[Thang.Nam],TDP!AG$5)</f>
        <v>0</v>
      </c>
      <c r="AH22" s="380">
        <f>SUMIFS([1]!Data_BS[Value],[1]!Data_BS[Index BS],TDP!$B22,[1]!Data_BS[TenCongTyID],TDP!$B$1,[1]!Data_BS[Thang.Nam],TDP!AH$5)</f>
        <v>0</v>
      </c>
      <c r="AI22" s="380">
        <f>SUMIFS([1]!Data_BS[Value],[1]!Data_BS[Index BS],TDP!$B22,[1]!Data_BS[TenCongTyID],TDP!$B$1,[1]!Data_BS[Thang.Nam],TDP!AI$5)</f>
        <v>0</v>
      </c>
      <c r="AJ22" s="380">
        <f>SUMIFS([1]!Data_BS[Value],[1]!Data_BS[Index BS],TDP!$B22,[1]!Data_BS[TenCongTyID],TDP!$B$1,[1]!Data_BS[Thang.Nam],TDP!AJ$5)</f>
        <v>0</v>
      </c>
      <c r="AK22" s="380">
        <f>SUMIFS([1]!Data_BS[Value],[1]!Data_BS[Index BS],TDP!$B22,[1]!Data_BS[TenCongTyID],TDP!$B$1,[1]!Data_BS[Thang.Nam],TDP!AK$5)</f>
        <v>0</v>
      </c>
      <c r="AL22" s="381">
        <f>SUMIFS([1]!Data_BS[Value],[1]!Data_BS[Index BS],TDP!$B22,[1]!Data_BS[TenCongTyID],TDP!$B$1,[1]!Data_BS[Thang.Nam],TDP!AL$5)</f>
        <v>0</v>
      </c>
    </row>
    <row r="23" spans="1:38" ht="15" hidden="1" customHeight="1" outlineLevel="1">
      <c r="A23" s="67" t="s">
        <v>107</v>
      </c>
      <c r="B23" s="63">
        <v>18</v>
      </c>
      <c r="C23" s="64"/>
      <c r="D23" s="69"/>
      <c r="E23" s="69"/>
      <c r="F23" s="379"/>
      <c r="G23" s="69"/>
      <c r="H23" s="69">
        <v>0</v>
      </c>
      <c r="I23" s="69"/>
      <c r="J23" s="69"/>
      <c r="K23" s="69"/>
      <c r="L23" s="69"/>
      <c r="M23" s="379"/>
      <c r="N23" s="85"/>
      <c r="O23" s="64"/>
      <c r="P23" s="69"/>
      <c r="Q23" s="69"/>
      <c r="R23" s="379"/>
      <c r="S23" s="69"/>
      <c r="T23" s="69">
        <v>0</v>
      </c>
      <c r="U23" s="69"/>
      <c r="V23" s="69"/>
      <c r="W23" s="69">
        <v>0</v>
      </c>
      <c r="X23" s="69"/>
      <c r="Y23" s="379"/>
      <c r="Z23" s="379">
        <v>0</v>
      </c>
      <c r="AA23" s="380">
        <f>SUMIFS([1]!Data_BS[Value],[1]!Data_BS[Index BS],TDP!$B23,[1]!Data_BS[TenCongTyID],TDP!$B$1,[1]!Data_BS[Thang.Nam],TDP!AA$5)</f>
        <v>0</v>
      </c>
      <c r="AB23" s="380">
        <f>SUMIFS([1]!Data_BS[Value],[1]!Data_BS[Index BS],TDP!$B23,[1]!Data_BS[TenCongTyID],TDP!$B$1,[1]!Data_BS[Thang.Nam],TDP!AB$5)</f>
        <v>0</v>
      </c>
      <c r="AC23" s="380">
        <f>SUMIFS([1]!Data_BS[Value],[1]!Data_BS[Index BS],TDP!$B23,[1]!Data_BS[TenCongTyID],TDP!$B$1,[1]!Data_BS[Thang.Nam],TDP!AC$5)</f>
        <v>0</v>
      </c>
      <c r="AD23" s="380">
        <f>SUMIFS([1]!Data_BS[Value],[1]!Data_BS[Index BS],TDP!$B23,[1]!Data_BS[TenCongTyID],TDP!$B$1,[1]!Data_BS[Thang.Nam],TDP!AD$5)</f>
        <v>0</v>
      </c>
      <c r="AE23" s="380">
        <f>SUMIFS([1]!Data_BS[Value],[1]!Data_BS[Index BS],TDP!$B23,[1]!Data_BS[TenCongTyID],TDP!$B$1,[1]!Data_BS[Thang.Nam],TDP!AE$5)</f>
        <v>0</v>
      </c>
      <c r="AF23" s="380">
        <f>SUMIFS([1]!Data_BS[Value],[1]!Data_BS[Index BS],TDP!$B23,[1]!Data_BS[TenCongTyID],TDP!$B$1,[1]!Data_BS[Thang.Nam],TDP!AF$5)</f>
        <v>0</v>
      </c>
      <c r="AG23" s="380">
        <f>SUMIFS([1]!Data_BS[Value],[1]!Data_BS[Index BS],TDP!$B23,[1]!Data_BS[TenCongTyID],TDP!$B$1,[1]!Data_BS[Thang.Nam],TDP!AG$5)</f>
        <v>0</v>
      </c>
      <c r="AH23" s="380">
        <f>SUMIFS([1]!Data_BS[Value],[1]!Data_BS[Index BS],TDP!$B23,[1]!Data_BS[TenCongTyID],TDP!$B$1,[1]!Data_BS[Thang.Nam],TDP!AH$5)</f>
        <v>0</v>
      </c>
      <c r="AI23" s="380">
        <f>SUMIFS([1]!Data_BS[Value],[1]!Data_BS[Index BS],TDP!$B23,[1]!Data_BS[TenCongTyID],TDP!$B$1,[1]!Data_BS[Thang.Nam],TDP!AI$5)</f>
        <v>0</v>
      </c>
      <c r="AJ23" s="380">
        <f>SUMIFS([1]!Data_BS[Value],[1]!Data_BS[Index BS],TDP!$B23,[1]!Data_BS[TenCongTyID],TDP!$B$1,[1]!Data_BS[Thang.Nam],TDP!AJ$5)</f>
        <v>0</v>
      </c>
      <c r="AK23" s="380">
        <f>SUMIFS([1]!Data_BS[Value],[1]!Data_BS[Index BS],TDP!$B23,[1]!Data_BS[TenCongTyID],TDP!$B$1,[1]!Data_BS[Thang.Nam],TDP!AK$5)</f>
        <v>0</v>
      </c>
      <c r="AL23" s="381">
        <f>SUMIFS([1]!Data_BS[Value],[1]!Data_BS[Index BS],TDP!$B23,[1]!Data_BS[TenCongTyID],TDP!$B$1,[1]!Data_BS[Thang.Nam],TDP!AL$5)</f>
        <v>0</v>
      </c>
    </row>
    <row r="24" spans="1:38" ht="15" hidden="1" customHeight="1" outlineLevel="1">
      <c r="A24" s="68" t="s">
        <v>108</v>
      </c>
      <c r="B24" s="63">
        <v>19</v>
      </c>
      <c r="C24" s="64"/>
      <c r="D24" s="69"/>
      <c r="E24" s="69"/>
      <c r="F24" s="379"/>
      <c r="G24" s="69"/>
      <c r="H24" s="69">
        <v>0</v>
      </c>
      <c r="I24" s="69"/>
      <c r="J24" s="69"/>
      <c r="K24" s="69"/>
      <c r="L24" s="69"/>
      <c r="M24" s="379"/>
      <c r="N24" s="85"/>
      <c r="O24" s="64"/>
      <c r="P24" s="69"/>
      <c r="Q24" s="69"/>
      <c r="R24" s="379"/>
      <c r="S24" s="69"/>
      <c r="T24" s="69">
        <v>0</v>
      </c>
      <c r="U24" s="69"/>
      <c r="V24" s="69"/>
      <c r="W24" s="69">
        <v>0</v>
      </c>
      <c r="X24" s="69"/>
      <c r="Y24" s="379"/>
      <c r="Z24" s="379">
        <v>0</v>
      </c>
      <c r="AA24" s="380">
        <f>SUMIFS([1]!Data_BS[Value],[1]!Data_BS[Index BS],TDP!$B24,[1]!Data_BS[TenCongTyID],TDP!$B$1,[1]!Data_BS[Thang.Nam],TDP!AA$5)</f>
        <v>0</v>
      </c>
      <c r="AB24" s="380">
        <f>SUMIFS([1]!Data_BS[Value],[1]!Data_BS[Index BS],TDP!$B24,[1]!Data_BS[TenCongTyID],TDP!$B$1,[1]!Data_BS[Thang.Nam],TDP!AB$5)</f>
        <v>0</v>
      </c>
      <c r="AC24" s="380">
        <f>SUMIFS([1]!Data_BS[Value],[1]!Data_BS[Index BS],TDP!$B24,[1]!Data_BS[TenCongTyID],TDP!$B$1,[1]!Data_BS[Thang.Nam],TDP!AC$5)</f>
        <v>0</v>
      </c>
      <c r="AD24" s="380">
        <f>SUMIFS([1]!Data_BS[Value],[1]!Data_BS[Index BS],TDP!$B24,[1]!Data_BS[TenCongTyID],TDP!$B$1,[1]!Data_BS[Thang.Nam],TDP!AD$5)</f>
        <v>0</v>
      </c>
      <c r="AE24" s="380">
        <f>SUMIFS([1]!Data_BS[Value],[1]!Data_BS[Index BS],TDP!$B24,[1]!Data_BS[TenCongTyID],TDP!$B$1,[1]!Data_BS[Thang.Nam],TDP!AE$5)</f>
        <v>0</v>
      </c>
      <c r="AF24" s="380">
        <f>SUMIFS([1]!Data_BS[Value],[1]!Data_BS[Index BS],TDP!$B24,[1]!Data_BS[TenCongTyID],TDP!$B$1,[1]!Data_BS[Thang.Nam],TDP!AF$5)</f>
        <v>0</v>
      </c>
      <c r="AG24" s="380">
        <f>SUMIFS([1]!Data_BS[Value],[1]!Data_BS[Index BS],TDP!$B24,[1]!Data_BS[TenCongTyID],TDP!$B$1,[1]!Data_BS[Thang.Nam],TDP!AG$5)</f>
        <v>0</v>
      </c>
      <c r="AH24" s="380">
        <f>SUMIFS([1]!Data_BS[Value],[1]!Data_BS[Index BS],TDP!$B24,[1]!Data_BS[TenCongTyID],TDP!$B$1,[1]!Data_BS[Thang.Nam],TDP!AH$5)</f>
        <v>0</v>
      </c>
      <c r="AI24" s="380">
        <f>SUMIFS([1]!Data_BS[Value],[1]!Data_BS[Index BS],TDP!$B24,[1]!Data_BS[TenCongTyID],TDP!$B$1,[1]!Data_BS[Thang.Nam],TDP!AI$5)</f>
        <v>0</v>
      </c>
      <c r="AJ24" s="380">
        <f>SUMIFS([1]!Data_BS[Value],[1]!Data_BS[Index BS],TDP!$B24,[1]!Data_BS[TenCongTyID],TDP!$B$1,[1]!Data_BS[Thang.Nam],TDP!AJ$5)</f>
        <v>0</v>
      </c>
      <c r="AK24" s="380">
        <f>SUMIFS([1]!Data_BS[Value],[1]!Data_BS[Index BS],TDP!$B24,[1]!Data_BS[TenCongTyID],TDP!$B$1,[1]!Data_BS[Thang.Nam],TDP!AK$5)</f>
        <v>0</v>
      </c>
      <c r="AL24" s="381">
        <f>SUMIFS([1]!Data_BS[Value],[1]!Data_BS[Index BS],TDP!$B24,[1]!Data_BS[TenCongTyID],TDP!$B$1,[1]!Data_BS[Thang.Nam],TDP!AL$5)</f>
        <v>0</v>
      </c>
    </row>
    <row r="25" spans="1:38" ht="15" hidden="1" customHeight="1" outlineLevel="1">
      <c r="A25" s="59" t="s">
        <v>109</v>
      </c>
      <c r="B25" s="65">
        <v>20</v>
      </c>
      <c r="C25" s="61"/>
      <c r="D25" s="173"/>
      <c r="E25" s="173"/>
      <c r="F25" s="375"/>
      <c r="G25" s="173"/>
      <c r="H25" s="173">
        <v>0</v>
      </c>
      <c r="I25" s="173"/>
      <c r="J25" s="173"/>
      <c r="K25" s="173"/>
      <c r="L25" s="173"/>
      <c r="M25" s="375"/>
      <c r="N25" s="376"/>
      <c r="O25" s="61"/>
      <c r="P25" s="173"/>
      <c r="Q25" s="173"/>
      <c r="R25" s="375"/>
      <c r="S25" s="173"/>
      <c r="T25" s="173">
        <v>0</v>
      </c>
      <c r="U25" s="173"/>
      <c r="V25" s="173"/>
      <c r="W25" s="173"/>
      <c r="X25" s="173"/>
      <c r="Y25" s="375"/>
      <c r="Z25" s="375">
        <v>0</v>
      </c>
      <c r="AA25" s="377">
        <f>SUMIFS([1]!Data_BS[Value],[1]!Data_BS[Index BS],TDP!$B25,[1]!Data_BS[TenCongTyID],TDP!$B$1,[1]!Data_BS[Thang.Nam],TDP!AA$5)</f>
        <v>0</v>
      </c>
      <c r="AB25" s="377">
        <f>SUMIFS([1]!Data_BS[Value],[1]!Data_BS[Index BS],TDP!$B25,[1]!Data_BS[TenCongTyID],TDP!$B$1,[1]!Data_BS[Thang.Nam],TDP!AB$5)</f>
        <v>0</v>
      </c>
      <c r="AC25" s="377">
        <f>SUMIFS([1]!Data_BS[Value],[1]!Data_BS[Index BS],TDP!$B25,[1]!Data_BS[TenCongTyID],TDP!$B$1,[1]!Data_BS[Thang.Nam],TDP!AC$5)</f>
        <v>0</v>
      </c>
      <c r="AD25" s="377">
        <f>SUMIFS([1]!Data_BS[Value],[1]!Data_BS[Index BS],TDP!$B25,[1]!Data_BS[TenCongTyID],TDP!$B$1,[1]!Data_BS[Thang.Nam],TDP!AD$5)</f>
        <v>0</v>
      </c>
      <c r="AE25" s="377">
        <f>SUMIFS([1]!Data_BS[Value],[1]!Data_BS[Index BS],TDP!$B25,[1]!Data_BS[TenCongTyID],TDP!$B$1,[1]!Data_BS[Thang.Nam],TDP!AE$5)</f>
        <v>0</v>
      </c>
      <c r="AF25" s="377">
        <f>SUMIFS([1]!Data_BS[Value],[1]!Data_BS[Index BS],TDP!$B25,[1]!Data_BS[TenCongTyID],TDP!$B$1,[1]!Data_BS[Thang.Nam],TDP!AF$5)</f>
        <v>0</v>
      </c>
      <c r="AG25" s="377">
        <f>SUMIFS([1]!Data_BS[Value],[1]!Data_BS[Index BS],TDP!$B25,[1]!Data_BS[TenCongTyID],TDP!$B$1,[1]!Data_BS[Thang.Nam],TDP!AG$5)</f>
        <v>0</v>
      </c>
      <c r="AH25" s="377">
        <f>SUMIFS([1]!Data_BS[Value],[1]!Data_BS[Index BS],TDP!$B25,[1]!Data_BS[TenCongTyID],TDP!$B$1,[1]!Data_BS[Thang.Nam],TDP!AH$5)</f>
        <v>0</v>
      </c>
      <c r="AI25" s="377">
        <f>SUMIFS([1]!Data_BS[Value],[1]!Data_BS[Index BS],TDP!$B25,[1]!Data_BS[TenCongTyID],TDP!$B$1,[1]!Data_BS[Thang.Nam],TDP!AI$5)</f>
        <v>0</v>
      </c>
      <c r="AJ25" s="377">
        <f>SUMIFS([1]!Data_BS[Value],[1]!Data_BS[Index BS],TDP!$B25,[1]!Data_BS[TenCongTyID],TDP!$B$1,[1]!Data_BS[Thang.Nam],TDP!AJ$5)</f>
        <v>0</v>
      </c>
      <c r="AK25" s="377">
        <f>SUMIFS([1]!Data_BS[Value],[1]!Data_BS[Index BS],TDP!$B25,[1]!Data_BS[TenCongTyID],TDP!$B$1,[1]!Data_BS[Thang.Nam],TDP!AK$5)</f>
        <v>0</v>
      </c>
      <c r="AL25" s="378">
        <f>SUMIFS([1]!Data_BS[Value],[1]!Data_BS[Index BS],TDP!$B25,[1]!Data_BS[TenCongTyID],TDP!$B$1,[1]!Data_BS[Thang.Nam],TDP!AL$5)</f>
        <v>0</v>
      </c>
    </row>
    <row r="26" spans="1:38" ht="15" hidden="1" customHeight="1" outlineLevel="1">
      <c r="A26" s="62" t="s">
        <v>110</v>
      </c>
      <c r="B26" s="63">
        <v>21</v>
      </c>
      <c r="C26" s="64"/>
      <c r="D26" s="69"/>
      <c r="E26" s="69"/>
      <c r="F26" s="379"/>
      <c r="G26" s="69"/>
      <c r="H26" s="69">
        <v>0</v>
      </c>
      <c r="I26" s="69"/>
      <c r="J26" s="69"/>
      <c r="K26" s="69"/>
      <c r="L26" s="69"/>
      <c r="M26" s="379"/>
      <c r="N26" s="85"/>
      <c r="O26" s="64"/>
      <c r="P26" s="69"/>
      <c r="Q26" s="69"/>
      <c r="R26" s="379"/>
      <c r="S26" s="69"/>
      <c r="T26" s="69">
        <v>0</v>
      </c>
      <c r="U26" s="69"/>
      <c r="V26" s="69"/>
      <c r="W26" s="69"/>
      <c r="X26" s="69"/>
      <c r="Y26" s="379"/>
      <c r="Z26" s="379">
        <v>0</v>
      </c>
      <c r="AA26" s="380">
        <f>SUMIFS([1]!Data_BS[Value],[1]!Data_BS[Index BS],TDP!$B26,[1]!Data_BS[TenCongTyID],TDP!$B$1,[1]!Data_BS[Thang.Nam],TDP!AA$5)</f>
        <v>0</v>
      </c>
      <c r="AB26" s="380">
        <f>SUMIFS([1]!Data_BS[Value],[1]!Data_BS[Index BS],TDP!$B26,[1]!Data_BS[TenCongTyID],TDP!$B$1,[1]!Data_BS[Thang.Nam],TDP!AB$5)</f>
        <v>0</v>
      </c>
      <c r="AC26" s="380">
        <f>SUMIFS([1]!Data_BS[Value],[1]!Data_BS[Index BS],TDP!$B26,[1]!Data_BS[TenCongTyID],TDP!$B$1,[1]!Data_BS[Thang.Nam],TDP!AC$5)</f>
        <v>0</v>
      </c>
      <c r="AD26" s="380">
        <f>SUMIFS([1]!Data_BS[Value],[1]!Data_BS[Index BS],TDP!$B26,[1]!Data_BS[TenCongTyID],TDP!$B$1,[1]!Data_BS[Thang.Nam],TDP!AD$5)</f>
        <v>0</v>
      </c>
      <c r="AE26" s="380">
        <f>SUMIFS([1]!Data_BS[Value],[1]!Data_BS[Index BS],TDP!$B26,[1]!Data_BS[TenCongTyID],TDP!$B$1,[1]!Data_BS[Thang.Nam],TDP!AE$5)</f>
        <v>0</v>
      </c>
      <c r="AF26" s="380">
        <f>SUMIFS([1]!Data_BS[Value],[1]!Data_BS[Index BS],TDP!$B26,[1]!Data_BS[TenCongTyID],TDP!$B$1,[1]!Data_BS[Thang.Nam],TDP!AF$5)</f>
        <v>0</v>
      </c>
      <c r="AG26" s="380">
        <f>SUMIFS([1]!Data_BS[Value],[1]!Data_BS[Index BS],TDP!$B26,[1]!Data_BS[TenCongTyID],TDP!$B$1,[1]!Data_BS[Thang.Nam],TDP!AG$5)</f>
        <v>0</v>
      </c>
      <c r="AH26" s="380">
        <f>SUMIFS([1]!Data_BS[Value],[1]!Data_BS[Index BS],TDP!$B26,[1]!Data_BS[TenCongTyID],TDP!$B$1,[1]!Data_BS[Thang.Nam],TDP!AH$5)</f>
        <v>0</v>
      </c>
      <c r="AI26" s="380">
        <f>SUMIFS([1]!Data_BS[Value],[1]!Data_BS[Index BS],TDP!$B26,[1]!Data_BS[TenCongTyID],TDP!$B$1,[1]!Data_BS[Thang.Nam],TDP!AI$5)</f>
        <v>0</v>
      </c>
      <c r="AJ26" s="380">
        <f>SUMIFS([1]!Data_BS[Value],[1]!Data_BS[Index BS],TDP!$B26,[1]!Data_BS[TenCongTyID],TDP!$B$1,[1]!Data_BS[Thang.Nam],TDP!AJ$5)</f>
        <v>0</v>
      </c>
      <c r="AK26" s="380">
        <f>SUMIFS([1]!Data_BS[Value],[1]!Data_BS[Index BS],TDP!$B26,[1]!Data_BS[TenCongTyID],TDP!$B$1,[1]!Data_BS[Thang.Nam],TDP!AK$5)</f>
        <v>0</v>
      </c>
      <c r="AL26" s="381">
        <f>SUMIFS([1]!Data_BS[Value],[1]!Data_BS[Index BS],TDP!$B26,[1]!Data_BS[TenCongTyID],TDP!$B$1,[1]!Data_BS[Thang.Nam],TDP!AL$5)</f>
        <v>0</v>
      </c>
    </row>
    <row r="27" spans="1:38" ht="15" hidden="1" customHeight="1" outlineLevel="1">
      <c r="A27" s="62" t="s">
        <v>111</v>
      </c>
      <c r="B27" s="63">
        <v>22</v>
      </c>
      <c r="C27" s="64"/>
      <c r="D27" s="69"/>
      <c r="E27" s="69"/>
      <c r="F27" s="379"/>
      <c r="G27" s="69"/>
      <c r="H27" s="69">
        <v>0</v>
      </c>
      <c r="I27" s="69"/>
      <c r="J27" s="69"/>
      <c r="K27" s="69"/>
      <c r="L27" s="69"/>
      <c r="M27" s="379"/>
      <c r="N27" s="85"/>
      <c r="O27" s="64"/>
      <c r="P27" s="69"/>
      <c r="Q27" s="69"/>
      <c r="R27" s="379"/>
      <c r="S27" s="69"/>
      <c r="T27" s="69">
        <v>0</v>
      </c>
      <c r="U27" s="69"/>
      <c r="V27" s="69"/>
      <c r="W27" s="69"/>
      <c r="X27" s="69"/>
      <c r="Y27" s="379"/>
      <c r="Z27" s="379">
        <v>0</v>
      </c>
      <c r="AA27" s="380">
        <f>SUMIFS([1]!Data_BS[Value],[1]!Data_BS[Index BS],TDP!$B27,[1]!Data_BS[TenCongTyID],TDP!$B$1,[1]!Data_BS[Thang.Nam],TDP!AA$5)</f>
        <v>0</v>
      </c>
      <c r="AB27" s="380">
        <f>SUMIFS([1]!Data_BS[Value],[1]!Data_BS[Index BS],TDP!$B27,[1]!Data_BS[TenCongTyID],TDP!$B$1,[1]!Data_BS[Thang.Nam],TDP!AB$5)</f>
        <v>0</v>
      </c>
      <c r="AC27" s="380">
        <f>SUMIFS([1]!Data_BS[Value],[1]!Data_BS[Index BS],TDP!$B27,[1]!Data_BS[TenCongTyID],TDP!$B$1,[1]!Data_BS[Thang.Nam],TDP!AC$5)</f>
        <v>0</v>
      </c>
      <c r="AD27" s="380">
        <f>SUMIFS([1]!Data_BS[Value],[1]!Data_BS[Index BS],TDP!$B27,[1]!Data_BS[TenCongTyID],TDP!$B$1,[1]!Data_BS[Thang.Nam],TDP!AD$5)</f>
        <v>0</v>
      </c>
      <c r="AE27" s="380">
        <f>SUMIFS([1]!Data_BS[Value],[1]!Data_BS[Index BS],TDP!$B27,[1]!Data_BS[TenCongTyID],TDP!$B$1,[1]!Data_BS[Thang.Nam],TDP!AE$5)</f>
        <v>0</v>
      </c>
      <c r="AF27" s="380">
        <f>SUMIFS([1]!Data_BS[Value],[1]!Data_BS[Index BS],TDP!$B27,[1]!Data_BS[TenCongTyID],TDP!$B$1,[1]!Data_BS[Thang.Nam],TDP!AF$5)</f>
        <v>0</v>
      </c>
      <c r="AG27" s="380">
        <f>SUMIFS([1]!Data_BS[Value],[1]!Data_BS[Index BS],TDP!$B27,[1]!Data_BS[TenCongTyID],TDP!$B$1,[1]!Data_BS[Thang.Nam],TDP!AG$5)</f>
        <v>0</v>
      </c>
      <c r="AH27" s="380">
        <f>SUMIFS([1]!Data_BS[Value],[1]!Data_BS[Index BS],TDP!$B27,[1]!Data_BS[TenCongTyID],TDP!$B$1,[1]!Data_BS[Thang.Nam],TDP!AH$5)</f>
        <v>0</v>
      </c>
      <c r="AI27" s="380">
        <f>SUMIFS([1]!Data_BS[Value],[1]!Data_BS[Index BS],TDP!$B27,[1]!Data_BS[TenCongTyID],TDP!$B$1,[1]!Data_BS[Thang.Nam],TDP!AI$5)</f>
        <v>0</v>
      </c>
      <c r="AJ27" s="380">
        <f>SUMIFS([1]!Data_BS[Value],[1]!Data_BS[Index BS],TDP!$B27,[1]!Data_BS[TenCongTyID],TDP!$B$1,[1]!Data_BS[Thang.Nam],TDP!AJ$5)</f>
        <v>0</v>
      </c>
      <c r="AK27" s="380">
        <f>SUMIFS([1]!Data_BS[Value],[1]!Data_BS[Index BS],TDP!$B27,[1]!Data_BS[TenCongTyID],TDP!$B$1,[1]!Data_BS[Thang.Nam],TDP!AK$5)</f>
        <v>0</v>
      </c>
      <c r="AL27" s="381">
        <f>SUMIFS([1]!Data_BS[Value],[1]!Data_BS[Index BS],TDP!$B27,[1]!Data_BS[TenCongTyID],TDP!$B$1,[1]!Data_BS[Thang.Nam],TDP!AL$5)</f>
        <v>0</v>
      </c>
    </row>
    <row r="28" spans="1:38" ht="15" hidden="1" customHeight="1" outlineLevel="1">
      <c r="A28" s="59" t="s">
        <v>112</v>
      </c>
      <c r="B28" s="65">
        <v>23</v>
      </c>
      <c r="C28" s="64"/>
      <c r="D28" s="69"/>
      <c r="E28" s="69"/>
      <c r="F28" s="379"/>
      <c r="G28" s="69"/>
      <c r="H28" s="69"/>
      <c r="I28" s="69"/>
      <c r="J28" s="69"/>
      <c r="K28" s="69"/>
      <c r="L28" s="69"/>
      <c r="M28" s="379"/>
      <c r="N28" s="85"/>
      <c r="O28" s="64"/>
      <c r="P28" s="69"/>
      <c r="Q28" s="69"/>
      <c r="R28" s="379"/>
      <c r="S28" s="69"/>
      <c r="T28" s="69"/>
      <c r="U28" s="69"/>
      <c r="V28" s="69"/>
      <c r="W28" s="69"/>
      <c r="X28" s="69"/>
      <c r="Y28" s="379"/>
      <c r="Z28" s="379">
        <v>0</v>
      </c>
      <c r="AA28" s="380">
        <f>SUMIFS([1]!Data_BS[Value],[1]!Data_BS[Index BS],TDP!$B28,[1]!Data_BS[TenCongTyID],TDP!$B$1,[1]!Data_BS[Thang.Nam],TDP!AA$5)</f>
        <v>0</v>
      </c>
      <c r="AB28" s="380">
        <f>SUMIFS([1]!Data_BS[Value],[1]!Data_BS[Index BS],TDP!$B28,[1]!Data_BS[TenCongTyID],TDP!$B$1,[1]!Data_BS[Thang.Nam],TDP!AB$5)</f>
        <v>0</v>
      </c>
      <c r="AC28" s="380">
        <f>SUMIFS([1]!Data_BS[Value],[1]!Data_BS[Index BS],TDP!$B28,[1]!Data_BS[TenCongTyID],TDP!$B$1,[1]!Data_BS[Thang.Nam],TDP!AC$5)</f>
        <v>0</v>
      </c>
      <c r="AD28" s="380">
        <f>SUMIFS([1]!Data_BS[Value],[1]!Data_BS[Index BS],TDP!$B28,[1]!Data_BS[TenCongTyID],TDP!$B$1,[1]!Data_BS[Thang.Nam],TDP!AD$5)</f>
        <v>0</v>
      </c>
      <c r="AE28" s="380">
        <f>SUMIFS([1]!Data_BS[Value],[1]!Data_BS[Index BS],TDP!$B28,[1]!Data_BS[TenCongTyID],TDP!$B$1,[1]!Data_BS[Thang.Nam],TDP!AE$5)</f>
        <v>0</v>
      </c>
      <c r="AF28" s="380">
        <f>SUMIFS([1]!Data_BS[Value],[1]!Data_BS[Index BS],TDP!$B28,[1]!Data_BS[TenCongTyID],TDP!$B$1,[1]!Data_BS[Thang.Nam],TDP!AF$5)</f>
        <v>0</v>
      </c>
      <c r="AG28" s="380">
        <f>SUMIFS([1]!Data_BS[Value],[1]!Data_BS[Index BS],TDP!$B28,[1]!Data_BS[TenCongTyID],TDP!$B$1,[1]!Data_BS[Thang.Nam],TDP!AG$5)</f>
        <v>0</v>
      </c>
      <c r="AH28" s="380">
        <f>SUMIFS([1]!Data_BS[Value],[1]!Data_BS[Index BS],TDP!$B28,[1]!Data_BS[TenCongTyID],TDP!$B$1,[1]!Data_BS[Thang.Nam],TDP!AH$5)</f>
        <v>0</v>
      </c>
      <c r="AI28" s="380">
        <f>SUMIFS([1]!Data_BS[Value],[1]!Data_BS[Index BS],TDP!$B28,[1]!Data_BS[TenCongTyID],TDP!$B$1,[1]!Data_BS[Thang.Nam],TDP!AI$5)</f>
        <v>0</v>
      </c>
      <c r="AJ28" s="380">
        <f>SUMIFS([1]!Data_BS[Value],[1]!Data_BS[Index BS],TDP!$B28,[1]!Data_BS[TenCongTyID],TDP!$B$1,[1]!Data_BS[Thang.Nam],TDP!AJ$5)</f>
        <v>0</v>
      </c>
      <c r="AK28" s="380">
        <f>SUMIFS([1]!Data_BS[Value],[1]!Data_BS[Index BS],TDP!$B28,[1]!Data_BS[TenCongTyID],TDP!$B$1,[1]!Data_BS[Thang.Nam],TDP!AK$5)</f>
        <v>0</v>
      </c>
      <c r="AL28" s="381">
        <f>SUMIFS([1]!Data_BS[Value],[1]!Data_BS[Index BS],TDP!$B28,[1]!Data_BS[TenCongTyID],TDP!$B$1,[1]!Data_BS[Thang.Nam],TDP!AL$5)</f>
        <v>0</v>
      </c>
    </row>
    <row r="29" spans="1:38" ht="15" hidden="1" customHeight="1" outlineLevel="1">
      <c r="A29" s="62" t="s">
        <v>113</v>
      </c>
      <c r="B29" s="63">
        <v>24</v>
      </c>
      <c r="C29" s="64"/>
      <c r="D29" s="69"/>
      <c r="E29" s="69"/>
      <c r="F29" s="379"/>
      <c r="G29" s="69"/>
      <c r="H29" s="69"/>
      <c r="I29" s="69"/>
      <c r="J29" s="69"/>
      <c r="K29" s="69"/>
      <c r="L29" s="69"/>
      <c r="M29" s="379"/>
      <c r="N29" s="85"/>
      <c r="O29" s="64"/>
      <c r="P29" s="69"/>
      <c r="Q29" s="69"/>
      <c r="R29" s="379"/>
      <c r="S29" s="69"/>
      <c r="T29" s="69"/>
      <c r="U29" s="69"/>
      <c r="V29" s="69"/>
      <c r="W29" s="69"/>
      <c r="X29" s="69"/>
      <c r="Y29" s="379"/>
      <c r="Z29" s="379">
        <v>0</v>
      </c>
      <c r="AA29" s="380">
        <f>SUMIFS([1]!Data_BS[Value],[1]!Data_BS[Index BS],TDP!$B29,[1]!Data_BS[TenCongTyID],TDP!$B$1,[1]!Data_BS[Thang.Nam],TDP!AA$5)</f>
        <v>0</v>
      </c>
      <c r="AB29" s="380">
        <f>SUMIFS([1]!Data_BS[Value],[1]!Data_BS[Index BS],TDP!$B29,[1]!Data_BS[TenCongTyID],TDP!$B$1,[1]!Data_BS[Thang.Nam],TDP!AB$5)</f>
        <v>0</v>
      </c>
      <c r="AC29" s="380">
        <f>SUMIFS([1]!Data_BS[Value],[1]!Data_BS[Index BS],TDP!$B29,[1]!Data_BS[TenCongTyID],TDP!$B$1,[1]!Data_BS[Thang.Nam],TDP!AC$5)</f>
        <v>0</v>
      </c>
      <c r="AD29" s="380">
        <f>SUMIFS([1]!Data_BS[Value],[1]!Data_BS[Index BS],TDP!$B29,[1]!Data_BS[TenCongTyID],TDP!$B$1,[1]!Data_BS[Thang.Nam],TDP!AD$5)</f>
        <v>0</v>
      </c>
      <c r="AE29" s="380">
        <f>SUMIFS([1]!Data_BS[Value],[1]!Data_BS[Index BS],TDP!$B29,[1]!Data_BS[TenCongTyID],TDP!$B$1,[1]!Data_BS[Thang.Nam],TDP!AE$5)</f>
        <v>0</v>
      </c>
      <c r="AF29" s="380">
        <f>SUMIFS([1]!Data_BS[Value],[1]!Data_BS[Index BS],TDP!$B29,[1]!Data_BS[TenCongTyID],TDP!$B$1,[1]!Data_BS[Thang.Nam],TDP!AF$5)</f>
        <v>0</v>
      </c>
      <c r="AG29" s="380">
        <f>SUMIFS([1]!Data_BS[Value],[1]!Data_BS[Index BS],TDP!$B29,[1]!Data_BS[TenCongTyID],TDP!$B$1,[1]!Data_BS[Thang.Nam],TDP!AG$5)</f>
        <v>0</v>
      </c>
      <c r="AH29" s="380">
        <f>SUMIFS([1]!Data_BS[Value],[1]!Data_BS[Index BS],TDP!$B29,[1]!Data_BS[TenCongTyID],TDP!$B$1,[1]!Data_BS[Thang.Nam],TDP!AH$5)</f>
        <v>0</v>
      </c>
      <c r="AI29" s="380">
        <f>SUMIFS([1]!Data_BS[Value],[1]!Data_BS[Index BS],TDP!$B29,[1]!Data_BS[TenCongTyID],TDP!$B$1,[1]!Data_BS[Thang.Nam],TDP!AI$5)</f>
        <v>0</v>
      </c>
      <c r="AJ29" s="380">
        <f>SUMIFS([1]!Data_BS[Value],[1]!Data_BS[Index BS],TDP!$B29,[1]!Data_BS[TenCongTyID],TDP!$B$1,[1]!Data_BS[Thang.Nam],TDP!AJ$5)</f>
        <v>0</v>
      </c>
      <c r="AK29" s="380">
        <f>SUMIFS([1]!Data_BS[Value],[1]!Data_BS[Index BS],TDP!$B29,[1]!Data_BS[TenCongTyID],TDP!$B$1,[1]!Data_BS[Thang.Nam],TDP!AK$5)</f>
        <v>0</v>
      </c>
      <c r="AL29" s="381">
        <f>SUMIFS([1]!Data_BS[Value],[1]!Data_BS[Index BS],TDP!$B29,[1]!Data_BS[TenCongTyID],TDP!$B$1,[1]!Data_BS[Thang.Nam],TDP!AL$5)</f>
        <v>0</v>
      </c>
    </row>
    <row r="30" spans="1:38" ht="15" hidden="1" customHeight="1" outlineLevel="1">
      <c r="A30" s="62" t="s">
        <v>114</v>
      </c>
      <c r="B30" s="63">
        <v>25</v>
      </c>
      <c r="C30" s="64"/>
      <c r="D30" s="69"/>
      <c r="E30" s="69"/>
      <c r="F30" s="379"/>
      <c r="G30" s="69"/>
      <c r="H30" s="69"/>
      <c r="I30" s="69"/>
      <c r="J30" s="69"/>
      <c r="K30" s="69"/>
      <c r="L30" s="69"/>
      <c r="M30" s="379"/>
      <c r="N30" s="85"/>
      <c r="O30" s="64"/>
      <c r="P30" s="69"/>
      <c r="Q30" s="69"/>
      <c r="R30" s="379"/>
      <c r="S30" s="69"/>
      <c r="T30" s="69"/>
      <c r="U30" s="69"/>
      <c r="V30" s="69"/>
      <c r="W30" s="69"/>
      <c r="X30" s="69"/>
      <c r="Y30" s="379"/>
      <c r="Z30" s="379">
        <v>0</v>
      </c>
      <c r="AA30" s="380">
        <f>SUMIFS([1]!Data_BS[Value],[1]!Data_BS[Index BS],TDP!$B30,[1]!Data_BS[TenCongTyID],TDP!$B$1,[1]!Data_BS[Thang.Nam],TDP!AA$5)</f>
        <v>0</v>
      </c>
      <c r="AB30" s="380">
        <f>SUMIFS([1]!Data_BS[Value],[1]!Data_BS[Index BS],TDP!$B30,[1]!Data_BS[TenCongTyID],TDP!$B$1,[1]!Data_BS[Thang.Nam],TDP!AB$5)</f>
        <v>0</v>
      </c>
      <c r="AC30" s="380">
        <f>SUMIFS([1]!Data_BS[Value],[1]!Data_BS[Index BS],TDP!$B30,[1]!Data_BS[TenCongTyID],TDP!$B$1,[1]!Data_BS[Thang.Nam],TDP!AC$5)</f>
        <v>0</v>
      </c>
      <c r="AD30" s="380">
        <f>SUMIFS([1]!Data_BS[Value],[1]!Data_BS[Index BS],TDP!$B30,[1]!Data_BS[TenCongTyID],TDP!$B$1,[1]!Data_BS[Thang.Nam],TDP!AD$5)</f>
        <v>0</v>
      </c>
      <c r="AE30" s="380">
        <f>SUMIFS([1]!Data_BS[Value],[1]!Data_BS[Index BS],TDP!$B30,[1]!Data_BS[TenCongTyID],TDP!$B$1,[1]!Data_BS[Thang.Nam],TDP!AE$5)</f>
        <v>0</v>
      </c>
      <c r="AF30" s="380">
        <f>SUMIFS([1]!Data_BS[Value],[1]!Data_BS[Index BS],TDP!$B30,[1]!Data_BS[TenCongTyID],TDP!$B$1,[1]!Data_BS[Thang.Nam],TDP!AF$5)</f>
        <v>0</v>
      </c>
      <c r="AG30" s="380">
        <f>SUMIFS([1]!Data_BS[Value],[1]!Data_BS[Index BS],TDP!$B30,[1]!Data_BS[TenCongTyID],TDP!$B$1,[1]!Data_BS[Thang.Nam],TDP!AG$5)</f>
        <v>0</v>
      </c>
      <c r="AH30" s="380">
        <f>SUMIFS([1]!Data_BS[Value],[1]!Data_BS[Index BS],TDP!$B30,[1]!Data_BS[TenCongTyID],TDP!$B$1,[1]!Data_BS[Thang.Nam],TDP!AH$5)</f>
        <v>0</v>
      </c>
      <c r="AI30" s="380">
        <f>SUMIFS([1]!Data_BS[Value],[1]!Data_BS[Index BS],TDP!$B30,[1]!Data_BS[TenCongTyID],TDP!$B$1,[1]!Data_BS[Thang.Nam],TDP!AI$5)</f>
        <v>0</v>
      </c>
      <c r="AJ30" s="380">
        <f>SUMIFS([1]!Data_BS[Value],[1]!Data_BS[Index BS],TDP!$B30,[1]!Data_BS[TenCongTyID],TDP!$B$1,[1]!Data_BS[Thang.Nam],TDP!AJ$5)</f>
        <v>0</v>
      </c>
      <c r="AK30" s="380">
        <f>SUMIFS([1]!Data_BS[Value],[1]!Data_BS[Index BS],TDP!$B30,[1]!Data_BS[TenCongTyID],TDP!$B$1,[1]!Data_BS[Thang.Nam],TDP!AK$5)</f>
        <v>0</v>
      </c>
      <c r="AL30" s="381">
        <f>SUMIFS([1]!Data_BS[Value],[1]!Data_BS[Index BS],TDP!$B30,[1]!Data_BS[TenCongTyID],TDP!$B$1,[1]!Data_BS[Thang.Nam],TDP!AL$5)</f>
        <v>0</v>
      </c>
    </row>
    <row r="31" spans="1:38" ht="15" hidden="1" customHeight="1" outlineLevel="1">
      <c r="A31" s="62" t="s">
        <v>115</v>
      </c>
      <c r="B31" s="63">
        <v>26</v>
      </c>
      <c r="C31" s="64"/>
      <c r="D31" s="69"/>
      <c r="E31" s="69"/>
      <c r="F31" s="379"/>
      <c r="G31" s="69"/>
      <c r="H31" s="69"/>
      <c r="I31" s="69"/>
      <c r="J31" s="69"/>
      <c r="K31" s="69"/>
      <c r="L31" s="69"/>
      <c r="M31" s="379"/>
      <c r="N31" s="85"/>
      <c r="O31" s="64"/>
      <c r="P31" s="69"/>
      <c r="Q31" s="69"/>
      <c r="R31" s="379"/>
      <c r="S31" s="69"/>
      <c r="T31" s="69"/>
      <c r="U31" s="69"/>
      <c r="V31" s="69"/>
      <c r="W31" s="69"/>
      <c r="X31" s="69"/>
      <c r="Y31" s="379"/>
      <c r="Z31" s="379">
        <v>0</v>
      </c>
      <c r="AA31" s="380">
        <f>SUMIFS([1]!Data_BS[Value],[1]!Data_BS[Index BS],TDP!$B31,[1]!Data_BS[TenCongTyID],TDP!$B$1,[1]!Data_BS[Thang.Nam],TDP!AA$5)</f>
        <v>0</v>
      </c>
      <c r="AB31" s="380">
        <f>SUMIFS([1]!Data_BS[Value],[1]!Data_BS[Index BS],TDP!$B31,[1]!Data_BS[TenCongTyID],TDP!$B$1,[1]!Data_BS[Thang.Nam],TDP!AB$5)</f>
        <v>0</v>
      </c>
      <c r="AC31" s="380">
        <f>SUMIFS([1]!Data_BS[Value],[1]!Data_BS[Index BS],TDP!$B31,[1]!Data_BS[TenCongTyID],TDP!$B$1,[1]!Data_BS[Thang.Nam],TDP!AC$5)</f>
        <v>0</v>
      </c>
      <c r="AD31" s="380">
        <f>SUMIFS([1]!Data_BS[Value],[1]!Data_BS[Index BS],TDP!$B31,[1]!Data_BS[TenCongTyID],TDP!$B$1,[1]!Data_BS[Thang.Nam],TDP!AD$5)</f>
        <v>0</v>
      </c>
      <c r="AE31" s="380">
        <f>SUMIFS([1]!Data_BS[Value],[1]!Data_BS[Index BS],TDP!$B31,[1]!Data_BS[TenCongTyID],TDP!$B$1,[1]!Data_BS[Thang.Nam],TDP!AE$5)</f>
        <v>0</v>
      </c>
      <c r="AF31" s="380">
        <f>SUMIFS([1]!Data_BS[Value],[1]!Data_BS[Index BS],TDP!$B31,[1]!Data_BS[TenCongTyID],TDP!$B$1,[1]!Data_BS[Thang.Nam],TDP!AF$5)</f>
        <v>0</v>
      </c>
      <c r="AG31" s="380">
        <f>SUMIFS([1]!Data_BS[Value],[1]!Data_BS[Index BS],TDP!$B31,[1]!Data_BS[TenCongTyID],TDP!$B$1,[1]!Data_BS[Thang.Nam],TDP!AG$5)</f>
        <v>0</v>
      </c>
      <c r="AH31" s="380">
        <f>SUMIFS([1]!Data_BS[Value],[1]!Data_BS[Index BS],TDP!$B31,[1]!Data_BS[TenCongTyID],TDP!$B$1,[1]!Data_BS[Thang.Nam],TDP!AH$5)</f>
        <v>0</v>
      </c>
      <c r="AI31" s="380">
        <f>SUMIFS([1]!Data_BS[Value],[1]!Data_BS[Index BS],TDP!$B31,[1]!Data_BS[TenCongTyID],TDP!$B$1,[1]!Data_BS[Thang.Nam],TDP!AI$5)</f>
        <v>0</v>
      </c>
      <c r="AJ31" s="380">
        <f>SUMIFS([1]!Data_BS[Value],[1]!Data_BS[Index BS],TDP!$B31,[1]!Data_BS[TenCongTyID],TDP!$B$1,[1]!Data_BS[Thang.Nam],TDP!AJ$5)</f>
        <v>0</v>
      </c>
      <c r="AK31" s="380">
        <f>SUMIFS([1]!Data_BS[Value],[1]!Data_BS[Index BS],TDP!$B31,[1]!Data_BS[TenCongTyID],TDP!$B$1,[1]!Data_BS[Thang.Nam],TDP!AK$5)</f>
        <v>0</v>
      </c>
      <c r="AL31" s="381">
        <f>SUMIFS([1]!Data_BS[Value],[1]!Data_BS[Index BS],TDP!$B31,[1]!Data_BS[TenCongTyID],TDP!$B$1,[1]!Data_BS[Thang.Nam],TDP!AL$5)</f>
        <v>0</v>
      </c>
    </row>
    <row r="32" spans="1:38" ht="15" hidden="1" customHeight="1" outlineLevel="1">
      <c r="A32" s="59" t="s">
        <v>116</v>
      </c>
      <c r="B32" s="65">
        <v>27</v>
      </c>
      <c r="C32" s="61">
        <f>+SUM(C33:C37)</f>
        <v>0</v>
      </c>
      <c r="D32" s="173">
        <f>+SUM(D33:D37)</f>
        <v>0</v>
      </c>
      <c r="E32" s="173">
        <f>+SUM(E33:E37)</f>
        <v>0</v>
      </c>
      <c r="F32" s="375">
        <f>+SUM(F33:F37)</f>
        <v>0</v>
      </c>
      <c r="G32" s="173">
        <f>+SUM(G33:G37)</f>
        <v>0</v>
      </c>
      <c r="H32" s="173"/>
      <c r="I32" s="173">
        <f>+SUM(I33:I37)</f>
        <v>0</v>
      </c>
      <c r="J32" s="173">
        <v>30000</v>
      </c>
      <c r="K32" s="173">
        <v>1357273</v>
      </c>
      <c r="L32" s="173">
        <v>62557273</v>
      </c>
      <c r="M32" s="375">
        <v>123757273</v>
      </c>
      <c r="N32" s="376">
        <v>184957273</v>
      </c>
      <c r="O32" s="61">
        <v>186157273</v>
      </c>
      <c r="P32" s="173">
        <v>307357273</v>
      </c>
      <c r="Q32" s="173">
        <v>368557273</v>
      </c>
      <c r="R32" s="375">
        <v>429770273</v>
      </c>
      <c r="S32" s="173">
        <v>490970273</v>
      </c>
      <c r="T32" s="173">
        <v>552170273</v>
      </c>
      <c r="U32" s="173">
        <v>612191873</v>
      </c>
      <c r="V32" s="173">
        <v>672191873</v>
      </c>
      <c r="W32" s="173">
        <v>732191873</v>
      </c>
      <c r="X32" s="173">
        <v>792191873</v>
      </c>
      <c r="Y32" s="375">
        <v>852191873</v>
      </c>
      <c r="Z32" s="375">
        <v>912191873</v>
      </c>
      <c r="AA32" s="377">
        <f>SUMIFS([1]!Data_BS[Value],[1]!Data_BS[Index BS],TDP!$B32,[1]!Data_BS[TenCongTyID],TDP!$B$1,[1]!Data_BS[Thang.Nam],TDP!AA$5)</f>
        <v>0</v>
      </c>
      <c r="AB32" s="377">
        <f>SUMIFS([1]!Data_BS[Value],[1]!Data_BS[Index BS],TDP!$B32,[1]!Data_BS[TenCongTyID],TDP!$B$1,[1]!Data_BS[Thang.Nam],TDP!AB$5)</f>
        <v>0</v>
      </c>
      <c r="AC32" s="377">
        <f>SUMIFS([1]!Data_BS[Value],[1]!Data_BS[Index BS],TDP!$B32,[1]!Data_BS[TenCongTyID],TDP!$B$1,[1]!Data_BS[Thang.Nam],TDP!AC$5)</f>
        <v>0</v>
      </c>
      <c r="AD32" s="377">
        <f>SUMIFS([1]!Data_BS[Value],[1]!Data_BS[Index BS],TDP!$B32,[1]!Data_BS[TenCongTyID],TDP!$B$1,[1]!Data_BS[Thang.Nam],TDP!AD$5)</f>
        <v>0</v>
      </c>
      <c r="AE32" s="377">
        <f>SUMIFS([1]!Data_BS[Value],[1]!Data_BS[Index BS],TDP!$B32,[1]!Data_BS[TenCongTyID],TDP!$B$1,[1]!Data_BS[Thang.Nam],TDP!AE$5)</f>
        <v>0</v>
      </c>
      <c r="AF32" s="377">
        <f>SUMIFS([1]!Data_BS[Value],[1]!Data_BS[Index BS],TDP!$B32,[1]!Data_BS[TenCongTyID],TDP!$B$1,[1]!Data_BS[Thang.Nam],TDP!AF$5)</f>
        <v>0</v>
      </c>
      <c r="AG32" s="377">
        <f>SUMIFS([1]!Data_BS[Value],[1]!Data_BS[Index BS],TDP!$B32,[1]!Data_BS[TenCongTyID],TDP!$B$1,[1]!Data_BS[Thang.Nam],TDP!AG$5)</f>
        <v>0</v>
      </c>
      <c r="AH32" s="377">
        <f>SUMIFS([1]!Data_BS[Value],[1]!Data_BS[Index BS],TDP!$B32,[1]!Data_BS[TenCongTyID],TDP!$B$1,[1]!Data_BS[Thang.Nam],TDP!AH$5)</f>
        <v>0</v>
      </c>
      <c r="AI32" s="377">
        <f>SUMIFS([1]!Data_BS[Value],[1]!Data_BS[Index BS],TDP!$B32,[1]!Data_BS[TenCongTyID],TDP!$B$1,[1]!Data_BS[Thang.Nam],TDP!AI$5)</f>
        <v>0</v>
      </c>
      <c r="AJ32" s="377">
        <f>SUMIFS([1]!Data_BS[Value],[1]!Data_BS[Index BS],TDP!$B32,[1]!Data_BS[TenCongTyID],TDP!$B$1,[1]!Data_BS[Thang.Nam],TDP!AJ$5)</f>
        <v>0</v>
      </c>
      <c r="AK32" s="377">
        <f>SUMIFS([1]!Data_BS[Value],[1]!Data_BS[Index BS],TDP!$B32,[1]!Data_BS[TenCongTyID],TDP!$B$1,[1]!Data_BS[Thang.Nam],TDP!AK$5)</f>
        <v>0</v>
      </c>
      <c r="AL32" s="378">
        <f>SUMIFS([1]!Data_BS[Value],[1]!Data_BS[Index BS],TDP!$B32,[1]!Data_BS[TenCongTyID],TDP!$B$1,[1]!Data_BS[Thang.Nam],TDP!AL$5)</f>
        <v>0</v>
      </c>
    </row>
    <row r="33" spans="1:38" ht="15" hidden="1" customHeight="1" outlineLevel="1">
      <c r="A33" s="67" t="s">
        <v>117</v>
      </c>
      <c r="B33" s="63">
        <v>28</v>
      </c>
      <c r="C33" s="64"/>
      <c r="D33" s="69"/>
      <c r="E33" s="69"/>
      <c r="F33" s="379"/>
      <c r="G33" s="69"/>
      <c r="H33" s="69">
        <v>0</v>
      </c>
      <c r="I33" s="69"/>
      <c r="J33" s="69"/>
      <c r="K33" s="69"/>
      <c r="L33" s="69"/>
      <c r="M33" s="379"/>
      <c r="N33" s="85"/>
      <c r="O33" s="64"/>
      <c r="P33" s="69"/>
      <c r="Q33" s="69"/>
      <c r="R33" s="379"/>
      <c r="S33" s="69"/>
      <c r="T33" s="69">
        <v>0</v>
      </c>
      <c r="U33" s="69"/>
      <c r="V33" s="69"/>
      <c r="W33" s="69">
        <v>0</v>
      </c>
      <c r="X33" s="69">
        <v>0</v>
      </c>
      <c r="Y33" s="379"/>
      <c r="Z33" s="379">
        <v>0</v>
      </c>
      <c r="AA33" s="380">
        <f>SUMIFS([1]!Data_BS[Value],[1]!Data_BS[Index BS],TDP!$B33,[1]!Data_BS[TenCongTyID],TDP!$B$1,[1]!Data_BS[Thang.Nam],TDP!AA$5)</f>
        <v>0</v>
      </c>
      <c r="AB33" s="380">
        <f>SUMIFS([1]!Data_BS[Value],[1]!Data_BS[Index BS],TDP!$B33,[1]!Data_BS[TenCongTyID],TDP!$B$1,[1]!Data_BS[Thang.Nam],TDP!AB$5)</f>
        <v>0</v>
      </c>
      <c r="AC33" s="380">
        <f>SUMIFS([1]!Data_BS[Value],[1]!Data_BS[Index BS],TDP!$B33,[1]!Data_BS[TenCongTyID],TDP!$B$1,[1]!Data_BS[Thang.Nam],TDP!AC$5)</f>
        <v>0</v>
      </c>
      <c r="AD33" s="380">
        <f>SUMIFS([1]!Data_BS[Value],[1]!Data_BS[Index BS],TDP!$B33,[1]!Data_BS[TenCongTyID],TDP!$B$1,[1]!Data_BS[Thang.Nam],TDP!AD$5)</f>
        <v>0</v>
      </c>
      <c r="AE33" s="380">
        <f>SUMIFS([1]!Data_BS[Value],[1]!Data_BS[Index BS],TDP!$B33,[1]!Data_BS[TenCongTyID],TDP!$B$1,[1]!Data_BS[Thang.Nam],TDP!AE$5)</f>
        <v>0</v>
      </c>
      <c r="AF33" s="380">
        <f>SUMIFS([1]!Data_BS[Value],[1]!Data_BS[Index BS],TDP!$B33,[1]!Data_BS[TenCongTyID],TDP!$B$1,[1]!Data_BS[Thang.Nam],TDP!AF$5)</f>
        <v>0</v>
      </c>
      <c r="AG33" s="380">
        <f>SUMIFS([1]!Data_BS[Value],[1]!Data_BS[Index BS],TDP!$B33,[1]!Data_BS[TenCongTyID],TDP!$B$1,[1]!Data_BS[Thang.Nam],TDP!AG$5)</f>
        <v>0</v>
      </c>
      <c r="AH33" s="380">
        <f>SUMIFS([1]!Data_BS[Value],[1]!Data_BS[Index BS],TDP!$B33,[1]!Data_BS[TenCongTyID],TDP!$B$1,[1]!Data_BS[Thang.Nam],TDP!AH$5)</f>
        <v>0</v>
      </c>
      <c r="AI33" s="380">
        <f>SUMIFS([1]!Data_BS[Value],[1]!Data_BS[Index BS],TDP!$B33,[1]!Data_BS[TenCongTyID],TDP!$B$1,[1]!Data_BS[Thang.Nam],TDP!AI$5)</f>
        <v>0</v>
      </c>
      <c r="AJ33" s="380">
        <f>SUMIFS([1]!Data_BS[Value],[1]!Data_BS[Index BS],TDP!$B33,[1]!Data_BS[TenCongTyID],TDP!$B$1,[1]!Data_BS[Thang.Nam],TDP!AJ$5)</f>
        <v>0</v>
      </c>
      <c r="AK33" s="380">
        <f>SUMIFS([1]!Data_BS[Value],[1]!Data_BS[Index BS],TDP!$B33,[1]!Data_BS[TenCongTyID],TDP!$B$1,[1]!Data_BS[Thang.Nam],TDP!AK$5)</f>
        <v>0</v>
      </c>
      <c r="AL33" s="381">
        <f>SUMIFS([1]!Data_BS[Value],[1]!Data_BS[Index BS],TDP!$B33,[1]!Data_BS[TenCongTyID],TDP!$B$1,[1]!Data_BS[Thang.Nam],TDP!AL$5)</f>
        <v>0</v>
      </c>
    </row>
    <row r="34" spans="1:38" ht="15" hidden="1" customHeight="1" outlineLevel="1">
      <c r="A34" s="67" t="s">
        <v>118</v>
      </c>
      <c r="B34" s="63">
        <v>29</v>
      </c>
      <c r="C34" s="69"/>
      <c r="D34" s="69"/>
      <c r="E34" s="69"/>
      <c r="F34" s="379"/>
      <c r="G34" s="69"/>
      <c r="H34" s="69"/>
      <c r="I34" s="69"/>
      <c r="J34" s="69">
        <v>30000</v>
      </c>
      <c r="K34" s="69">
        <v>1357273</v>
      </c>
      <c r="L34" s="69">
        <v>62557273</v>
      </c>
      <c r="M34" s="69">
        <v>123757273</v>
      </c>
      <c r="N34" s="69">
        <v>184957273</v>
      </c>
      <c r="O34" s="69">
        <v>186157273</v>
      </c>
      <c r="P34" s="69">
        <v>307357273</v>
      </c>
      <c r="Q34" s="69">
        <v>368557273</v>
      </c>
      <c r="R34" s="69">
        <v>429770273</v>
      </c>
      <c r="S34" s="69">
        <v>490970273</v>
      </c>
      <c r="T34" s="69">
        <v>552170273</v>
      </c>
      <c r="U34" s="69">
        <v>612191873</v>
      </c>
      <c r="V34" s="69">
        <v>672191873</v>
      </c>
      <c r="W34" s="69">
        <v>732191873</v>
      </c>
      <c r="X34" s="69">
        <v>792191873</v>
      </c>
      <c r="Y34" s="69">
        <v>852191873</v>
      </c>
      <c r="Z34" s="69">
        <v>912191873</v>
      </c>
      <c r="AA34" s="384">
        <f>SUMIFS([1]!Data_BS[Value],[1]!Data_BS[Index BS],TDP!$B34,[1]!Data_BS[TenCongTyID],TDP!$B$1,[1]!Data_BS[Thang.Nam],TDP!AA$5)</f>
        <v>0</v>
      </c>
      <c r="AB34" s="384">
        <f>SUMIFS([1]!Data_BS[Value],[1]!Data_BS[Index BS],TDP!$B34,[1]!Data_BS[TenCongTyID],TDP!$B$1,[1]!Data_BS[Thang.Nam],TDP!AB$5)</f>
        <v>0</v>
      </c>
      <c r="AC34" s="384">
        <f>SUMIFS([1]!Data_BS[Value],[1]!Data_BS[Index BS],TDP!$B34,[1]!Data_BS[TenCongTyID],TDP!$B$1,[1]!Data_BS[Thang.Nam],TDP!AC$5)</f>
        <v>0</v>
      </c>
      <c r="AD34" s="384">
        <f>SUMIFS([1]!Data_BS[Value],[1]!Data_BS[Index BS],TDP!$B34,[1]!Data_BS[TenCongTyID],TDP!$B$1,[1]!Data_BS[Thang.Nam],TDP!AD$5)</f>
        <v>0</v>
      </c>
      <c r="AE34" s="384">
        <f>SUMIFS([1]!Data_BS[Value],[1]!Data_BS[Index BS],TDP!$B34,[1]!Data_BS[TenCongTyID],TDP!$B$1,[1]!Data_BS[Thang.Nam],TDP!AE$5)</f>
        <v>0</v>
      </c>
      <c r="AF34" s="384">
        <f>SUMIFS([1]!Data_BS[Value],[1]!Data_BS[Index BS],TDP!$B34,[1]!Data_BS[TenCongTyID],TDP!$B$1,[1]!Data_BS[Thang.Nam],TDP!AF$5)</f>
        <v>0</v>
      </c>
      <c r="AG34" s="384">
        <f>SUMIFS([1]!Data_BS[Value],[1]!Data_BS[Index BS],TDP!$B34,[1]!Data_BS[TenCongTyID],TDP!$B$1,[1]!Data_BS[Thang.Nam],TDP!AG$5)</f>
        <v>0</v>
      </c>
      <c r="AH34" s="384">
        <f>SUMIFS([1]!Data_BS[Value],[1]!Data_BS[Index BS],TDP!$B34,[1]!Data_BS[TenCongTyID],TDP!$B$1,[1]!Data_BS[Thang.Nam],TDP!AH$5)</f>
        <v>0</v>
      </c>
      <c r="AI34" s="384">
        <f>SUMIFS([1]!Data_BS[Value],[1]!Data_BS[Index BS],TDP!$B34,[1]!Data_BS[TenCongTyID],TDP!$B$1,[1]!Data_BS[Thang.Nam],TDP!AI$5)</f>
        <v>0</v>
      </c>
      <c r="AJ34" s="384">
        <f>SUMIFS([1]!Data_BS[Value],[1]!Data_BS[Index BS],TDP!$B34,[1]!Data_BS[TenCongTyID],TDP!$B$1,[1]!Data_BS[Thang.Nam],TDP!AJ$5)</f>
        <v>0</v>
      </c>
      <c r="AK34" s="384">
        <f>SUMIFS([1]!Data_BS[Value],[1]!Data_BS[Index BS],TDP!$B34,[1]!Data_BS[TenCongTyID],TDP!$B$1,[1]!Data_BS[Thang.Nam],TDP!AK$5)</f>
        <v>0</v>
      </c>
      <c r="AL34" s="385">
        <f>SUMIFS([1]!Data_BS[Value],[1]!Data_BS[Index BS],TDP!$B34,[1]!Data_BS[TenCongTyID],TDP!$B$1,[1]!Data_BS[Thang.Nam],TDP!AL$5)</f>
        <v>0</v>
      </c>
    </row>
    <row r="35" spans="1:38" ht="15" hidden="1" customHeight="1" outlineLevel="1">
      <c r="A35" s="67" t="s">
        <v>119</v>
      </c>
      <c r="B35" s="63">
        <v>30</v>
      </c>
      <c r="C35" s="64"/>
      <c r="D35" s="69"/>
      <c r="E35" s="69"/>
      <c r="F35" s="379"/>
      <c r="G35" s="69"/>
      <c r="H35" s="69"/>
      <c r="I35" s="69"/>
      <c r="J35" s="69"/>
      <c r="K35" s="69"/>
      <c r="L35" s="69"/>
      <c r="M35" s="379"/>
      <c r="N35" s="85"/>
      <c r="O35" s="64"/>
      <c r="P35" s="69"/>
      <c r="Q35" s="69"/>
      <c r="R35" s="379"/>
      <c r="S35" s="69"/>
      <c r="T35" s="69"/>
      <c r="U35" s="69"/>
      <c r="V35" s="69"/>
      <c r="W35" s="69"/>
      <c r="X35" s="69">
        <v>0</v>
      </c>
      <c r="Y35" s="379"/>
      <c r="Z35" s="379">
        <v>0</v>
      </c>
      <c r="AA35" s="380">
        <f>SUMIFS([1]!Data_BS[Value],[1]!Data_BS[Index BS],TDP!$B35,[1]!Data_BS[TenCongTyID],TDP!$B$1,[1]!Data_BS[Thang.Nam],TDP!AA$5)</f>
        <v>0</v>
      </c>
      <c r="AB35" s="380">
        <f>SUMIFS([1]!Data_BS[Value],[1]!Data_BS[Index BS],TDP!$B35,[1]!Data_BS[TenCongTyID],TDP!$B$1,[1]!Data_BS[Thang.Nam],TDP!AB$5)</f>
        <v>0</v>
      </c>
      <c r="AC35" s="380">
        <f>SUMIFS([1]!Data_BS[Value],[1]!Data_BS[Index BS],TDP!$B35,[1]!Data_BS[TenCongTyID],TDP!$B$1,[1]!Data_BS[Thang.Nam],TDP!AC$5)</f>
        <v>0</v>
      </c>
      <c r="AD35" s="380">
        <f>SUMIFS([1]!Data_BS[Value],[1]!Data_BS[Index BS],TDP!$B35,[1]!Data_BS[TenCongTyID],TDP!$B$1,[1]!Data_BS[Thang.Nam],TDP!AD$5)</f>
        <v>0</v>
      </c>
      <c r="AE35" s="380">
        <f>SUMIFS([1]!Data_BS[Value],[1]!Data_BS[Index BS],TDP!$B35,[1]!Data_BS[TenCongTyID],TDP!$B$1,[1]!Data_BS[Thang.Nam],TDP!AE$5)</f>
        <v>0</v>
      </c>
      <c r="AF35" s="380">
        <f>SUMIFS([1]!Data_BS[Value],[1]!Data_BS[Index BS],TDP!$B35,[1]!Data_BS[TenCongTyID],TDP!$B$1,[1]!Data_BS[Thang.Nam],TDP!AF$5)</f>
        <v>0</v>
      </c>
      <c r="AG35" s="380">
        <f>SUMIFS([1]!Data_BS[Value],[1]!Data_BS[Index BS],TDP!$B35,[1]!Data_BS[TenCongTyID],TDP!$B$1,[1]!Data_BS[Thang.Nam],TDP!AG$5)</f>
        <v>0</v>
      </c>
      <c r="AH35" s="380">
        <f>SUMIFS([1]!Data_BS[Value],[1]!Data_BS[Index BS],TDP!$B35,[1]!Data_BS[TenCongTyID],TDP!$B$1,[1]!Data_BS[Thang.Nam],TDP!AH$5)</f>
        <v>0</v>
      </c>
      <c r="AI35" s="380">
        <f>SUMIFS([1]!Data_BS[Value],[1]!Data_BS[Index BS],TDP!$B35,[1]!Data_BS[TenCongTyID],TDP!$B$1,[1]!Data_BS[Thang.Nam],TDP!AI$5)</f>
        <v>0</v>
      </c>
      <c r="AJ35" s="380">
        <f>SUMIFS([1]!Data_BS[Value],[1]!Data_BS[Index BS],TDP!$B35,[1]!Data_BS[TenCongTyID],TDP!$B$1,[1]!Data_BS[Thang.Nam],TDP!AJ$5)</f>
        <v>0</v>
      </c>
      <c r="AK35" s="380">
        <f>SUMIFS([1]!Data_BS[Value],[1]!Data_BS[Index BS],TDP!$B35,[1]!Data_BS[TenCongTyID],TDP!$B$1,[1]!Data_BS[Thang.Nam],TDP!AK$5)</f>
        <v>0</v>
      </c>
      <c r="AL35" s="381">
        <f>SUMIFS([1]!Data_BS[Value],[1]!Data_BS[Index BS],TDP!$B35,[1]!Data_BS[TenCongTyID],TDP!$B$1,[1]!Data_BS[Thang.Nam],TDP!AL$5)</f>
        <v>0</v>
      </c>
    </row>
    <row r="36" spans="1:38" ht="15" hidden="1" customHeight="1" outlineLevel="1">
      <c r="A36" s="67" t="s">
        <v>120</v>
      </c>
      <c r="B36" s="63">
        <v>31</v>
      </c>
      <c r="C36" s="64"/>
      <c r="D36" s="69"/>
      <c r="E36" s="69"/>
      <c r="F36" s="379"/>
      <c r="G36" s="69"/>
      <c r="H36" s="69">
        <v>0</v>
      </c>
      <c r="I36" s="69"/>
      <c r="J36" s="69"/>
      <c r="K36" s="69"/>
      <c r="L36" s="69"/>
      <c r="M36" s="379"/>
      <c r="N36" s="85"/>
      <c r="O36" s="64"/>
      <c r="P36" s="69"/>
      <c r="Q36" s="69"/>
      <c r="R36" s="379"/>
      <c r="S36" s="69"/>
      <c r="T36" s="69">
        <v>0</v>
      </c>
      <c r="U36" s="69"/>
      <c r="V36" s="69"/>
      <c r="W36" s="69"/>
      <c r="X36" s="69"/>
      <c r="Y36" s="379"/>
      <c r="Z36" s="379">
        <v>0</v>
      </c>
      <c r="AA36" s="380">
        <f>SUMIFS([1]!Data_BS[Value],[1]!Data_BS[Index BS],TDP!$B36,[1]!Data_BS[TenCongTyID],TDP!$B$1,[1]!Data_BS[Thang.Nam],TDP!AA$5)</f>
        <v>0</v>
      </c>
      <c r="AB36" s="380">
        <f>SUMIFS([1]!Data_BS[Value],[1]!Data_BS[Index BS],TDP!$B36,[1]!Data_BS[TenCongTyID],TDP!$B$1,[1]!Data_BS[Thang.Nam],TDP!AB$5)</f>
        <v>0</v>
      </c>
      <c r="AC36" s="380">
        <f>SUMIFS([1]!Data_BS[Value],[1]!Data_BS[Index BS],TDP!$B36,[1]!Data_BS[TenCongTyID],TDP!$B$1,[1]!Data_BS[Thang.Nam],TDP!AC$5)</f>
        <v>0</v>
      </c>
      <c r="AD36" s="380">
        <f>SUMIFS([1]!Data_BS[Value],[1]!Data_BS[Index BS],TDP!$B36,[1]!Data_BS[TenCongTyID],TDP!$B$1,[1]!Data_BS[Thang.Nam],TDP!AD$5)</f>
        <v>0</v>
      </c>
      <c r="AE36" s="380">
        <f>SUMIFS([1]!Data_BS[Value],[1]!Data_BS[Index BS],TDP!$B36,[1]!Data_BS[TenCongTyID],TDP!$B$1,[1]!Data_BS[Thang.Nam],TDP!AE$5)</f>
        <v>0</v>
      </c>
      <c r="AF36" s="380">
        <f>SUMIFS([1]!Data_BS[Value],[1]!Data_BS[Index BS],TDP!$B36,[1]!Data_BS[TenCongTyID],TDP!$B$1,[1]!Data_BS[Thang.Nam],TDP!AF$5)</f>
        <v>0</v>
      </c>
      <c r="AG36" s="380">
        <f>SUMIFS([1]!Data_BS[Value],[1]!Data_BS[Index BS],TDP!$B36,[1]!Data_BS[TenCongTyID],TDP!$B$1,[1]!Data_BS[Thang.Nam],TDP!AG$5)</f>
        <v>0</v>
      </c>
      <c r="AH36" s="380">
        <f>SUMIFS([1]!Data_BS[Value],[1]!Data_BS[Index BS],TDP!$B36,[1]!Data_BS[TenCongTyID],TDP!$B$1,[1]!Data_BS[Thang.Nam],TDP!AH$5)</f>
        <v>0</v>
      </c>
      <c r="AI36" s="380">
        <f>SUMIFS([1]!Data_BS[Value],[1]!Data_BS[Index BS],TDP!$B36,[1]!Data_BS[TenCongTyID],TDP!$B$1,[1]!Data_BS[Thang.Nam],TDP!AI$5)</f>
        <v>0</v>
      </c>
      <c r="AJ36" s="380">
        <f>SUMIFS([1]!Data_BS[Value],[1]!Data_BS[Index BS],TDP!$B36,[1]!Data_BS[TenCongTyID],TDP!$B$1,[1]!Data_BS[Thang.Nam],TDP!AJ$5)</f>
        <v>0</v>
      </c>
      <c r="AK36" s="380">
        <f>SUMIFS([1]!Data_BS[Value],[1]!Data_BS[Index BS],TDP!$B36,[1]!Data_BS[TenCongTyID],TDP!$B$1,[1]!Data_BS[Thang.Nam],TDP!AK$5)</f>
        <v>0</v>
      </c>
      <c r="AL36" s="381">
        <f>SUMIFS([1]!Data_BS[Value],[1]!Data_BS[Index BS],TDP!$B36,[1]!Data_BS[TenCongTyID],TDP!$B$1,[1]!Data_BS[Thang.Nam],TDP!AL$5)</f>
        <v>0</v>
      </c>
    </row>
    <row r="37" spans="1:38" ht="15" hidden="1" customHeight="1" outlineLevel="1">
      <c r="A37" s="67" t="s">
        <v>121</v>
      </c>
      <c r="B37" s="63">
        <v>32</v>
      </c>
      <c r="C37" s="64"/>
      <c r="D37" s="69"/>
      <c r="E37" s="69"/>
      <c r="F37" s="379"/>
      <c r="G37" s="69"/>
      <c r="H37" s="69">
        <v>0</v>
      </c>
      <c r="I37" s="69"/>
      <c r="J37" s="69"/>
      <c r="K37" s="69"/>
      <c r="L37" s="69"/>
      <c r="M37" s="379"/>
      <c r="N37" s="85"/>
      <c r="O37" s="64"/>
      <c r="P37" s="69"/>
      <c r="Q37" s="69"/>
      <c r="R37" s="379"/>
      <c r="S37" s="69"/>
      <c r="T37" s="69">
        <v>0</v>
      </c>
      <c r="U37" s="69"/>
      <c r="V37" s="69"/>
      <c r="W37" s="69"/>
      <c r="X37" s="69"/>
      <c r="Y37" s="379"/>
      <c r="Z37" s="379">
        <v>0</v>
      </c>
      <c r="AA37" s="380">
        <f>SUMIFS([1]!Data_BS[Value],[1]!Data_BS[Index BS],TDP!$B37,[1]!Data_BS[TenCongTyID],TDP!$B$1,[1]!Data_BS[Thang.Nam],TDP!AA$5)</f>
        <v>0</v>
      </c>
      <c r="AB37" s="380">
        <f>SUMIFS([1]!Data_BS[Value],[1]!Data_BS[Index BS],TDP!$B37,[1]!Data_BS[TenCongTyID],TDP!$B$1,[1]!Data_BS[Thang.Nam],TDP!AB$5)</f>
        <v>0</v>
      </c>
      <c r="AC37" s="380">
        <f>SUMIFS([1]!Data_BS[Value],[1]!Data_BS[Index BS],TDP!$B37,[1]!Data_BS[TenCongTyID],TDP!$B$1,[1]!Data_BS[Thang.Nam],TDP!AC$5)</f>
        <v>0</v>
      </c>
      <c r="AD37" s="380">
        <f>SUMIFS([1]!Data_BS[Value],[1]!Data_BS[Index BS],TDP!$B37,[1]!Data_BS[TenCongTyID],TDP!$B$1,[1]!Data_BS[Thang.Nam],TDP!AD$5)</f>
        <v>0</v>
      </c>
      <c r="AE37" s="380">
        <f>SUMIFS([1]!Data_BS[Value],[1]!Data_BS[Index BS],TDP!$B37,[1]!Data_BS[TenCongTyID],TDP!$B$1,[1]!Data_BS[Thang.Nam],TDP!AE$5)</f>
        <v>0</v>
      </c>
      <c r="AF37" s="380">
        <f>SUMIFS([1]!Data_BS[Value],[1]!Data_BS[Index BS],TDP!$B37,[1]!Data_BS[TenCongTyID],TDP!$B$1,[1]!Data_BS[Thang.Nam],TDP!AF$5)</f>
        <v>0</v>
      </c>
      <c r="AG37" s="380">
        <f>SUMIFS([1]!Data_BS[Value],[1]!Data_BS[Index BS],TDP!$B37,[1]!Data_BS[TenCongTyID],TDP!$B$1,[1]!Data_BS[Thang.Nam],TDP!AG$5)</f>
        <v>0</v>
      </c>
      <c r="AH37" s="380">
        <f>SUMIFS([1]!Data_BS[Value],[1]!Data_BS[Index BS],TDP!$B37,[1]!Data_BS[TenCongTyID],TDP!$B$1,[1]!Data_BS[Thang.Nam],TDP!AH$5)</f>
        <v>0</v>
      </c>
      <c r="AI37" s="380">
        <f>SUMIFS([1]!Data_BS[Value],[1]!Data_BS[Index BS],TDP!$B37,[1]!Data_BS[TenCongTyID],TDP!$B$1,[1]!Data_BS[Thang.Nam],TDP!AI$5)</f>
        <v>0</v>
      </c>
      <c r="AJ37" s="380">
        <f>SUMIFS([1]!Data_BS[Value],[1]!Data_BS[Index BS],TDP!$B37,[1]!Data_BS[TenCongTyID],TDP!$B$1,[1]!Data_BS[Thang.Nam],TDP!AJ$5)</f>
        <v>0</v>
      </c>
      <c r="AK37" s="380">
        <f>SUMIFS([1]!Data_BS[Value],[1]!Data_BS[Index BS],TDP!$B37,[1]!Data_BS[TenCongTyID],TDP!$B$1,[1]!Data_BS[Thang.Nam],TDP!AK$5)</f>
        <v>0</v>
      </c>
      <c r="AL37" s="381">
        <f>SUMIFS([1]!Data_BS[Value],[1]!Data_BS[Index BS],TDP!$B37,[1]!Data_BS[TenCongTyID],TDP!$B$1,[1]!Data_BS[Thang.Nam],TDP!AL$5)</f>
        <v>0</v>
      </c>
    </row>
    <row r="38" spans="1:38" ht="14" hidden="1" outlineLevel="1">
      <c r="A38" s="70" t="s">
        <v>122</v>
      </c>
      <c r="B38" s="71">
        <v>33</v>
      </c>
      <c r="C38" s="64">
        <f>+C39+C46+C65+C71+C78+C68</f>
        <v>0</v>
      </c>
      <c r="D38" s="69">
        <f>+D39+D46+D65+D71+D78+D68</f>
        <v>0</v>
      </c>
      <c r="E38" s="69">
        <f>+E39+E46+E65+E71+E78+E68</f>
        <v>0</v>
      </c>
      <c r="F38" s="379">
        <f>+F39+F46+F65+F71+F78+F68</f>
        <v>0</v>
      </c>
      <c r="G38" s="69">
        <f>+G39+G46+G65+G71+G78+G68</f>
        <v>0</v>
      </c>
      <c r="H38" s="69">
        <v>0</v>
      </c>
      <c r="I38" s="69">
        <f>+I39+I46+I65+I71+I78+I68</f>
        <v>0</v>
      </c>
      <c r="J38" s="69">
        <v>0</v>
      </c>
      <c r="K38" s="69">
        <v>1237373</v>
      </c>
      <c r="L38" s="69">
        <v>1202019</v>
      </c>
      <c r="M38" s="379">
        <v>1166665</v>
      </c>
      <c r="N38" s="85">
        <v>20359706</v>
      </c>
      <c r="O38" s="64">
        <v>19774969</v>
      </c>
      <c r="P38" s="69">
        <v>19190232</v>
      </c>
      <c r="Q38" s="69">
        <v>18605495</v>
      </c>
      <c r="R38" s="379">
        <v>18020758</v>
      </c>
      <c r="S38" s="69">
        <v>17436021</v>
      </c>
      <c r="T38" s="69">
        <v>16851284</v>
      </c>
      <c r="U38" s="69">
        <v>16266547</v>
      </c>
      <c r="V38" s="69">
        <v>15681810</v>
      </c>
      <c r="W38" s="69">
        <v>15097073</v>
      </c>
      <c r="X38" s="69">
        <v>14512336</v>
      </c>
      <c r="Y38" s="379">
        <v>13927599</v>
      </c>
      <c r="Z38" s="379">
        <v>13342862</v>
      </c>
      <c r="AA38" s="380">
        <f>SUMIFS([1]!Data_BS[Value],[1]!Data_BS[Index BS],TDP!$B38,[1]!Data_BS[TenCongTyID],TDP!$B$1,[1]!Data_BS[Thang.Nam],TDP!AA$5)</f>
        <v>0</v>
      </c>
      <c r="AB38" s="380">
        <f>SUMIFS([1]!Data_BS[Value],[1]!Data_BS[Index BS],TDP!$B38,[1]!Data_BS[TenCongTyID],TDP!$B$1,[1]!Data_BS[Thang.Nam],TDP!AB$5)</f>
        <v>0</v>
      </c>
      <c r="AC38" s="380">
        <f>SUMIFS([1]!Data_BS[Value],[1]!Data_BS[Index BS],TDP!$B38,[1]!Data_BS[TenCongTyID],TDP!$B$1,[1]!Data_BS[Thang.Nam],TDP!AC$5)</f>
        <v>0</v>
      </c>
      <c r="AD38" s="380">
        <f>SUMIFS([1]!Data_BS[Value],[1]!Data_BS[Index BS],TDP!$B38,[1]!Data_BS[TenCongTyID],TDP!$B$1,[1]!Data_BS[Thang.Nam],TDP!AD$5)</f>
        <v>0</v>
      </c>
      <c r="AE38" s="380">
        <f>SUMIFS([1]!Data_BS[Value],[1]!Data_BS[Index BS],TDP!$B38,[1]!Data_BS[TenCongTyID],TDP!$B$1,[1]!Data_BS[Thang.Nam],TDP!AE$5)</f>
        <v>0</v>
      </c>
      <c r="AF38" s="380">
        <f>SUMIFS([1]!Data_BS[Value],[1]!Data_BS[Index BS],TDP!$B38,[1]!Data_BS[TenCongTyID],TDP!$B$1,[1]!Data_BS[Thang.Nam],TDP!AF$5)</f>
        <v>0</v>
      </c>
      <c r="AG38" s="380">
        <f>SUMIFS([1]!Data_BS[Value],[1]!Data_BS[Index BS],TDP!$B38,[1]!Data_BS[TenCongTyID],TDP!$B$1,[1]!Data_BS[Thang.Nam],TDP!AG$5)</f>
        <v>0</v>
      </c>
      <c r="AH38" s="380">
        <f>SUMIFS([1]!Data_BS[Value],[1]!Data_BS[Index BS],TDP!$B38,[1]!Data_BS[TenCongTyID],TDP!$B$1,[1]!Data_BS[Thang.Nam],TDP!AH$5)</f>
        <v>0</v>
      </c>
      <c r="AI38" s="380">
        <f>SUMIFS([1]!Data_BS[Value],[1]!Data_BS[Index BS],TDP!$B38,[1]!Data_BS[TenCongTyID],TDP!$B$1,[1]!Data_BS[Thang.Nam],TDP!AI$5)</f>
        <v>0</v>
      </c>
      <c r="AJ38" s="380">
        <f>SUMIFS([1]!Data_BS[Value],[1]!Data_BS[Index BS],TDP!$B38,[1]!Data_BS[TenCongTyID],TDP!$B$1,[1]!Data_BS[Thang.Nam],TDP!AJ$5)</f>
        <v>0</v>
      </c>
      <c r="AK38" s="380">
        <f>SUMIFS([1]!Data_BS[Value],[1]!Data_BS[Index BS],TDP!$B38,[1]!Data_BS[TenCongTyID],TDP!$B$1,[1]!Data_BS[Thang.Nam],TDP!AK$5)</f>
        <v>0</v>
      </c>
      <c r="AL38" s="381">
        <f>SUMIFS([1]!Data_BS[Value],[1]!Data_BS[Index BS],TDP!$B38,[1]!Data_BS[TenCongTyID],TDP!$B$1,[1]!Data_BS[Thang.Nam],TDP!AL$5)</f>
        <v>0</v>
      </c>
    </row>
    <row r="39" spans="1:38" ht="15" hidden="1" customHeight="1" outlineLevel="1">
      <c r="A39" s="59" t="s">
        <v>123</v>
      </c>
      <c r="B39" s="65">
        <v>34</v>
      </c>
      <c r="C39" s="61"/>
      <c r="D39" s="173"/>
      <c r="E39" s="173"/>
      <c r="F39" s="375"/>
      <c r="G39" s="173"/>
      <c r="H39" s="173">
        <v>0</v>
      </c>
      <c r="I39" s="173"/>
      <c r="J39" s="173"/>
      <c r="K39" s="173"/>
      <c r="L39" s="173"/>
      <c r="M39" s="375"/>
      <c r="N39" s="376"/>
      <c r="O39" s="61"/>
      <c r="P39" s="173"/>
      <c r="Q39" s="173"/>
      <c r="R39" s="375"/>
      <c r="S39" s="173"/>
      <c r="T39" s="173">
        <v>0</v>
      </c>
      <c r="U39" s="173"/>
      <c r="V39" s="173"/>
      <c r="W39" s="173"/>
      <c r="X39" s="173"/>
      <c r="Y39" s="375"/>
      <c r="Z39" s="375">
        <v>0</v>
      </c>
      <c r="AA39" s="377">
        <f>SUMIFS([1]!Data_BS[Value],[1]!Data_BS[Index BS],TDP!$B39,[1]!Data_BS[TenCongTyID],TDP!$B$1,[1]!Data_BS[Thang.Nam],TDP!AA$5)</f>
        <v>0</v>
      </c>
      <c r="AB39" s="377">
        <f>SUMIFS([1]!Data_BS[Value],[1]!Data_BS[Index BS],TDP!$B39,[1]!Data_BS[TenCongTyID],TDP!$B$1,[1]!Data_BS[Thang.Nam],TDP!AB$5)</f>
        <v>0</v>
      </c>
      <c r="AC39" s="377">
        <f>SUMIFS([1]!Data_BS[Value],[1]!Data_BS[Index BS],TDP!$B39,[1]!Data_BS[TenCongTyID],TDP!$B$1,[1]!Data_BS[Thang.Nam],TDP!AC$5)</f>
        <v>0</v>
      </c>
      <c r="AD39" s="377">
        <f>SUMIFS([1]!Data_BS[Value],[1]!Data_BS[Index BS],TDP!$B39,[1]!Data_BS[TenCongTyID],TDP!$B$1,[1]!Data_BS[Thang.Nam],TDP!AD$5)</f>
        <v>0</v>
      </c>
      <c r="AE39" s="377">
        <f>SUMIFS([1]!Data_BS[Value],[1]!Data_BS[Index BS],TDP!$B39,[1]!Data_BS[TenCongTyID],TDP!$B$1,[1]!Data_BS[Thang.Nam],TDP!AE$5)</f>
        <v>0</v>
      </c>
      <c r="AF39" s="377">
        <f>SUMIFS([1]!Data_BS[Value],[1]!Data_BS[Index BS],TDP!$B39,[1]!Data_BS[TenCongTyID],TDP!$B$1,[1]!Data_BS[Thang.Nam],TDP!AF$5)</f>
        <v>0</v>
      </c>
      <c r="AG39" s="377">
        <f>SUMIFS([1]!Data_BS[Value],[1]!Data_BS[Index BS],TDP!$B39,[1]!Data_BS[TenCongTyID],TDP!$B$1,[1]!Data_BS[Thang.Nam],TDP!AG$5)</f>
        <v>0</v>
      </c>
      <c r="AH39" s="377">
        <f>SUMIFS([1]!Data_BS[Value],[1]!Data_BS[Index BS],TDP!$B39,[1]!Data_BS[TenCongTyID],TDP!$B$1,[1]!Data_BS[Thang.Nam],TDP!AH$5)</f>
        <v>0</v>
      </c>
      <c r="AI39" s="377">
        <f>SUMIFS([1]!Data_BS[Value],[1]!Data_BS[Index BS],TDP!$B39,[1]!Data_BS[TenCongTyID],TDP!$B$1,[1]!Data_BS[Thang.Nam],TDP!AI$5)</f>
        <v>0</v>
      </c>
      <c r="AJ39" s="377">
        <f>SUMIFS([1]!Data_BS[Value],[1]!Data_BS[Index BS],TDP!$B39,[1]!Data_BS[TenCongTyID],TDP!$B$1,[1]!Data_BS[Thang.Nam],TDP!AJ$5)</f>
        <v>0</v>
      </c>
      <c r="AK39" s="377">
        <f>SUMIFS([1]!Data_BS[Value],[1]!Data_BS[Index BS],TDP!$B39,[1]!Data_BS[TenCongTyID],TDP!$B$1,[1]!Data_BS[Thang.Nam],TDP!AK$5)</f>
        <v>0</v>
      </c>
      <c r="AL39" s="378">
        <f>SUMIFS([1]!Data_BS[Value],[1]!Data_BS[Index BS],TDP!$B39,[1]!Data_BS[TenCongTyID],TDP!$B$1,[1]!Data_BS[Thang.Nam],TDP!AL$5)</f>
        <v>0</v>
      </c>
    </row>
    <row r="40" spans="1:38" ht="15" hidden="1" customHeight="1" outlineLevel="1">
      <c r="A40" s="62" t="s">
        <v>124</v>
      </c>
      <c r="B40" s="63">
        <v>35</v>
      </c>
      <c r="C40" s="64"/>
      <c r="D40" s="69"/>
      <c r="E40" s="69"/>
      <c r="F40" s="379"/>
      <c r="G40" s="69"/>
      <c r="H40" s="69">
        <v>0</v>
      </c>
      <c r="I40" s="69"/>
      <c r="J40" s="69"/>
      <c r="K40" s="69"/>
      <c r="L40" s="69"/>
      <c r="M40" s="379"/>
      <c r="N40" s="85"/>
      <c r="O40" s="64"/>
      <c r="P40" s="69"/>
      <c r="Q40" s="69"/>
      <c r="R40" s="379"/>
      <c r="S40" s="69"/>
      <c r="T40" s="69">
        <v>0</v>
      </c>
      <c r="U40" s="69"/>
      <c r="V40" s="69"/>
      <c r="W40" s="69"/>
      <c r="X40" s="69"/>
      <c r="Y40" s="379"/>
      <c r="Z40" s="379">
        <v>0</v>
      </c>
      <c r="AA40" s="380">
        <f>SUMIFS([1]!Data_BS[Value],[1]!Data_BS[Index BS],TDP!$B40,[1]!Data_BS[TenCongTyID],TDP!$B$1,[1]!Data_BS[Thang.Nam],TDP!AA$5)</f>
        <v>0</v>
      </c>
      <c r="AB40" s="380">
        <f>SUMIFS([1]!Data_BS[Value],[1]!Data_BS[Index BS],TDP!$B40,[1]!Data_BS[TenCongTyID],TDP!$B$1,[1]!Data_BS[Thang.Nam],TDP!AB$5)</f>
        <v>0</v>
      </c>
      <c r="AC40" s="380">
        <f>SUMIFS([1]!Data_BS[Value],[1]!Data_BS[Index BS],TDP!$B40,[1]!Data_BS[TenCongTyID],TDP!$B$1,[1]!Data_BS[Thang.Nam],TDP!AC$5)</f>
        <v>0</v>
      </c>
      <c r="AD40" s="380">
        <f>SUMIFS([1]!Data_BS[Value],[1]!Data_BS[Index BS],TDP!$B40,[1]!Data_BS[TenCongTyID],TDP!$B$1,[1]!Data_BS[Thang.Nam],TDP!AD$5)</f>
        <v>0</v>
      </c>
      <c r="AE40" s="380">
        <f>SUMIFS([1]!Data_BS[Value],[1]!Data_BS[Index BS],TDP!$B40,[1]!Data_BS[TenCongTyID],TDP!$B$1,[1]!Data_BS[Thang.Nam],TDP!AE$5)</f>
        <v>0</v>
      </c>
      <c r="AF40" s="380">
        <f>SUMIFS([1]!Data_BS[Value],[1]!Data_BS[Index BS],TDP!$B40,[1]!Data_BS[TenCongTyID],TDP!$B$1,[1]!Data_BS[Thang.Nam],TDP!AF$5)</f>
        <v>0</v>
      </c>
      <c r="AG40" s="380">
        <f>SUMIFS([1]!Data_BS[Value],[1]!Data_BS[Index BS],TDP!$B40,[1]!Data_BS[TenCongTyID],TDP!$B$1,[1]!Data_BS[Thang.Nam],TDP!AG$5)</f>
        <v>0</v>
      </c>
      <c r="AH40" s="380">
        <f>SUMIFS([1]!Data_BS[Value],[1]!Data_BS[Index BS],TDP!$B40,[1]!Data_BS[TenCongTyID],TDP!$B$1,[1]!Data_BS[Thang.Nam],TDP!AH$5)</f>
        <v>0</v>
      </c>
      <c r="AI40" s="380">
        <f>SUMIFS([1]!Data_BS[Value],[1]!Data_BS[Index BS],TDP!$B40,[1]!Data_BS[TenCongTyID],TDP!$B$1,[1]!Data_BS[Thang.Nam],TDP!AI$5)</f>
        <v>0</v>
      </c>
      <c r="AJ40" s="380">
        <f>SUMIFS([1]!Data_BS[Value],[1]!Data_BS[Index BS],TDP!$B40,[1]!Data_BS[TenCongTyID],TDP!$B$1,[1]!Data_BS[Thang.Nam],TDP!AJ$5)</f>
        <v>0</v>
      </c>
      <c r="AK40" s="380">
        <f>SUMIFS([1]!Data_BS[Value],[1]!Data_BS[Index BS],TDP!$B40,[1]!Data_BS[TenCongTyID],TDP!$B$1,[1]!Data_BS[Thang.Nam],TDP!AK$5)</f>
        <v>0</v>
      </c>
      <c r="AL40" s="381">
        <f>SUMIFS([1]!Data_BS[Value],[1]!Data_BS[Index BS],TDP!$B40,[1]!Data_BS[TenCongTyID],TDP!$B$1,[1]!Data_BS[Thang.Nam],TDP!AL$5)</f>
        <v>0</v>
      </c>
    </row>
    <row r="41" spans="1:38" ht="15" hidden="1" customHeight="1" outlineLevel="1">
      <c r="A41" s="62" t="s">
        <v>125</v>
      </c>
      <c r="B41" s="63">
        <v>36</v>
      </c>
      <c r="C41" s="64"/>
      <c r="D41" s="69"/>
      <c r="E41" s="69"/>
      <c r="F41" s="379"/>
      <c r="G41" s="69"/>
      <c r="H41" s="69">
        <v>0</v>
      </c>
      <c r="I41" s="69"/>
      <c r="J41" s="69"/>
      <c r="K41" s="69"/>
      <c r="L41" s="69"/>
      <c r="M41" s="379"/>
      <c r="N41" s="85"/>
      <c r="O41" s="64"/>
      <c r="P41" s="69"/>
      <c r="Q41" s="69"/>
      <c r="R41" s="379"/>
      <c r="S41" s="69"/>
      <c r="T41" s="69">
        <v>0</v>
      </c>
      <c r="U41" s="69"/>
      <c r="V41" s="69"/>
      <c r="W41" s="69"/>
      <c r="X41" s="69"/>
      <c r="Y41" s="379"/>
      <c r="Z41" s="379">
        <v>0</v>
      </c>
      <c r="AA41" s="380">
        <f>SUMIFS([1]!Data_BS[Value],[1]!Data_BS[Index BS],TDP!$B41,[1]!Data_BS[TenCongTyID],TDP!$B$1,[1]!Data_BS[Thang.Nam],TDP!AA$5)</f>
        <v>0</v>
      </c>
      <c r="AB41" s="380">
        <f>SUMIFS([1]!Data_BS[Value],[1]!Data_BS[Index BS],TDP!$B41,[1]!Data_BS[TenCongTyID],TDP!$B$1,[1]!Data_BS[Thang.Nam],TDP!AB$5)</f>
        <v>0</v>
      </c>
      <c r="AC41" s="380">
        <f>SUMIFS([1]!Data_BS[Value],[1]!Data_BS[Index BS],TDP!$B41,[1]!Data_BS[TenCongTyID],TDP!$B$1,[1]!Data_BS[Thang.Nam],TDP!AC$5)</f>
        <v>0</v>
      </c>
      <c r="AD41" s="380">
        <f>SUMIFS([1]!Data_BS[Value],[1]!Data_BS[Index BS],TDP!$B41,[1]!Data_BS[TenCongTyID],TDP!$B$1,[1]!Data_BS[Thang.Nam],TDP!AD$5)</f>
        <v>0</v>
      </c>
      <c r="AE41" s="380">
        <f>SUMIFS([1]!Data_BS[Value],[1]!Data_BS[Index BS],TDP!$B41,[1]!Data_BS[TenCongTyID],TDP!$B$1,[1]!Data_BS[Thang.Nam],TDP!AE$5)</f>
        <v>0</v>
      </c>
      <c r="AF41" s="380">
        <f>SUMIFS([1]!Data_BS[Value],[1]!Data_BS[Index BS],TDP!$B41,[1]!Data_BS[TenCongTyID],TDP!$B$1,[1]!Data_BS[Thang.Nam],TDP!AF$5)</f>
        <v>0</v>
      </c>
      <c r="AG41" s="380">
        <f>SUMIFS([1]!Data_BS[Value],[1]!Data_BS[Index BS],TDP!$B41,[1]!Data_BS[TenCongTyID],TDP!$B$1,[1]!Data_BS[Thang.Nam],TDP!AG$5)</f>
        <v>0</v>
      </c>
      <c r="AH41" s="380">
        <f>SUMIFS([1]!Data_BS[Value],[1]!Data_BS[Index BS],TDP!$B41,[1]!Data_BS[TenCongTyID],TDP!$B$1,[1]!Data_BS[Thang.Nam],TDP!AH$5)</f>
        <v>0</v>
      </c>
      <c r="AI41" s="380">
        <f>SUMIFS([1]!Data_BS[Value],[1]!Data_BS[Index BS],TDP!$B41,[1]!Data_BS[TenCongTyID],TDP!$B$1,[1]!Data_BS[Thang.Nam],TDP!AI$5)</f>
        <v>0</v>
      </c>
      <c r="AJ41" s="380">
        <f>SUMIFS([1]!Data_BS[Value],[1]!Data_BS[Index BS],TDP!$B41,[1]!Data_BS[TenCongTyID],TDP!$B$1,[1]!Data_BS[Thang.Nam],TDP!AJ$5)</f>
        <v>0</v>
      </c>
      <c r="AK41" s="380">
        <f>SUMIFS([1]!Data_BS[Value],[1]!Data_BS[Index BS],TDP!$B41,[1]!Data_BS[TenCongTyID],TDP!$B$1,[1]!Data_BS[Thang.Nam],TDP!AK$5)</f>
        <v>0</v>
      </c>
      <c r="AL41" s="381">
        <f>SUMIFS([1]!Data_BS[Value],[1]!Data_BS[Index BS],TDP!$B41,[1]!Data_BS[TenCongTyID],TDP!$B$1,[1]!Data_BS[Thang.Nam],TDP!AL$5)</f>
        <v>0</v>
      </c>
    </row>
    <row r="42" spans="1:38" ht="15" hidden="1" customHeight="1" outlineLevel="1">
      <c r="A42" s="62" t="s">
        <v>126</v>
      </c>
      <c r="B42" s="63">
        <v>37</v>
      </c>
      <c r="C42" s="64"/>
      <c r="D42" s="69"/>
      <c r="E42" s="69"/>
      <c r="F42" s="379"/>
      <c r="G42" s="69"/>
      <c r="H42" s="69">
        <v>0</v>
      </c>
      <c r="I42" s="69"/>
      <c r="J42" s="69"/>
      <c r="K42" s="69"/>
      <c r="L42" s="69"/>
      <c r="M42" s="379"/>
      <c r="N42" s="85"/>
      <c r="O42" s="64"/>
      <c r="P42" s="69"/>
      <c r="Q42" s="69"/>
      <c r="R42" s="379"/>
      <c r="S42" s="69"/>
      <c r="T42" s="69">
        <v>0</v>
      </c>
      <c r="U42" s="69"/>
      <c r="V42" s="69"/>
      <c r="W42" s="69"/>
      <c r="X42" s="69"/>
      <c r="Y42" s="379"/>
      <c r="Z42" s="379">
        <v>0</v>
      </c>
      <c r="AA42" s="380">
        <f>SUMIFS([1]!Data_BS[Value],[1]!Data_BS[Index BS],TDP!$B42,[1]!Data_BS[TenCongTyID],TDP!$B$1,[1]!Data_BS[Thang.Nam],TDP!AA$5)</f>
        <v>0</v>
      </c>
      <c r="AB42" s="380">
        <f>SUMIFS([1]!Data_BS[Value],[1]!Data_BS[Index BS],TDP!$B42,[1]!Data_BS[TenCongTyID],TDP!$B$1,[1]!Data_BS[Thang.Nam],TDP!AB$5)</f>
        <v>0</v>
      </c>
      <c r="AC42" s="380">
        <f>SUMIFS([1]!Data_BS[Value],[1]!Data_BS[Index BS],TDP!$B42,[1]!Data_BS[TenCongTyID],TDP!$B$1,[1]!Data_BS[Thang.Nam],TDP!AC$5)</f>
        <v>0</v>
      </c>
      <c r="AD42" s="380">
        <f>SUMIFS([1]!Data_BS[Value],[1]!Data_BS[Index BS],TDP!$B42,[1]!Data_BS[TenCongTyID],TDP!$B$1,[1]!Data_BS[Thang.Nam],TDP!AD$5)</f>
        <v>0</v>
      </c>
      <c r="AE42" s="380">
        <f>SUMIFS([1]!Data_BS[Value],[1]!Data_BS[Index BS],TDP!$B42,[1]!Data_BS[TenCongTyID],TDP!$B$1,[1]!Data_BS[Thang.Nam],TDP!AE$5)</f>
        <v>0</v>
      </c>
      <c r="AF42" s="380">
        <f>SUMIFS([1]!Data_BS[Value],[1]!Data_BS[Index BS],TDP!$B42,[1]!Data_BS[TenCongTyID],TDP!$B$1,[1]!Data_BS[Thang.Nam],TDP!AF$5)</f>
        <v>0</v>
      </c>
      <c r="AG42" s="380">
        <f>SUMIFS([1]!Data_BS[Value],[1]!Data_BS[Index BS],TDP!$B42,[1]!Data_BS[TenCongTyID],TDP!$B$1,[1]!Data_BS[Thang.Nam],TDP!AG$5)</f>
        <v>0</v>
      </c>
      <c r="AH42" s="380">
        <f>SUMIFS([1]!Data_BS[Value],[1]!Data_BS[Index BS],TDP!$B42,[1]!Data_BS[TenCongTyID],TDP!$B$1,[1]!Data_BS[Thang.Nam],TDP!AH$5)</f>
        <v>0</v>
      </c>
      <c r="AI42" s="380">
        <f>SUMIFS([1]!Data_BS[Value],[1]!Data_BS[Index BS],TDP!$B42,[1]!Data_BS[TenCongTyID],TDP!$B$1,[1]!Data_BS[Thang.Nam],TDP!AI$5)</f>
        <v>0</v>
      </c>
      <c r="AJ42" s="380">
        <f>SUMIFS([1]!Data_BS[Value],[1]!Data_BS[Index BS],TDP!$B42,[1]!Data_BS[TenCongTyID],TDP!$B$1,[1]!Data_BS[Thang.Nam],TDP!AJ$5)</f>
        <v>0</v>
      </c>
      <c r="AK42" s="380">
        <f>SUMIFS([1]!Data_BS[Value],[1]!Data_BS[Index BS],TDP!$B42,[1]!Data_BS[TenCongTyID],TDP!$B$1,[1]!Data_BS[Thang.Nam],TDP!AK$5)</f>
        <v>0</v>
      </c>
      <c r="AL42" s="381">
        <f>SUMIFS([1]!Data_BS[Value],[1]!Data_BS[Index BS],TDP!$B42,[1]!Data_BS[TenCongTyID],TDP!$B$1,[1]!Data_BS[Thang.Nam],TDP!AL$5)</f>
        <v>0</v>
      </c>
    </row>
    <row r="43" spans="1:38" ht="15" hidden="1" customHeight="1" outlineLevel="1">
      <c r="A43" s="62" t="s">
        <v>127</v>
      </c>
      <c r="B43" s="63">
        <v>38</v>
      </c>
      <c r="C43" s="64"/>
      <c r="D43" s="69"/>
      <c r="E43" s="69"/>
      <c r="F43" s="379"/>
      <c r="G43" s="69"/>
      <c r="H43" s="69">
        <v>0</v>
      </c>
      <c r="I43" s="69"/>
      <c r="J43" s="69"/>
      <c r="K43" s="69"/>
      <c r="L43" s="69"/>
      <c r="M43" s="379"/>
      <c r="N43" s="85"/>
      <c r="O43" s="64"/>
      <c r="P43" s="69"/>
      <c r="Q43" s="69"/>
      <c r="R43" s="379"/>
      <c r="S43" s="69"/>
      <c r="T43" s="69">
        <v>0</v>
      </c>
      <c r="U43" s="69"/>
      <c r="V43" s="69"/>
      <c r="W43" s="69"/>
      <c r="X43" s="69"/>
      <c r="Y43" s="379"/>
      <c r="Z43" s="379">
        <v>0</v>
      </c>
      <c r="AA43" s="380">
        <f>SUMIFS([1]!Data_BS[Value],[1]!Data_BS[Index BS],TDP!$B43,[1]!Data_BS[TenCongTyID],TDP!$B$1,[1]!Data_BS[Thang.Nam],TDP!AA$5)</f>
        <v>0</v>
      </c>
      <c r="AB43" s="380">
        <f>SUMIFS([1]!Data_BS[Value],[1]!Data_BS[Index BS],TDP!$B43,[1]!Data_BS[TenCongTyID],TDP!$B$1,[1]!Data_BS[Thang.Nam],TDP!AB$5)</f>
        <v>0</v>
      </c>
      <c r="AC43" s="380">
        <f>SUMIFS([1]!Data_BS[Value],[1]!Data_BS[Index BS],TDP!$B43,[1]!Data_BS[TenCongTyID],TDP!$B$1,[1]!Data_BS[Thang.Nam],TDP!AC$5)</f>
        <v>0</v>
      </c>
      <c r="AD43" s="380">
        <f>SUMIFS([1]!Data_BS[Value],[1]!Data_BS[Index BS],TDP!$B43,[1]!Data_BS[TenCongTyID],TDP!$B$1,[1]!Data_BS[Thang.Nam],TDP!AD$5)</f>
        <v>0</v>
      </c>
      <c r="AE43" s="380">
        <f>SUMIFS([1]!Data_BS[Value],[1]!Data_BS[Index BS],TDP!$B43,[1]!Data_BS[TenCongTyID],TDP!$B$1,[1]!Data_BS[Thang.Nam],TDP!AE$5)</f>
        <v>0</v>
      </c>
      <c r="AF43" s="380">
        <f>SUMIFS([1]!Data_BS[Value],[1]!Data_BS[Index BS],TDP!$B43,[1]!Data_BS[TenCongTyID],TDP!$B$1,[1]!Data_BS[Thang.Nam],TDP!AF$5)</f>
        <v>0</v>
      </c>
      <c r="AG43" s="380">
        <f>SUMIFS([1]!Data_BS[Value],[1]!Data_BS[Index BS],TDP!$B43,[1]!Data_BS[TenCongTyID],TDP!$B$1,[1]!Data_BS[Thang.Nam],TDP!AG$5)</f>
        <v>0</v>
      </c>
      <c r="AH43" s="380">
        <f>SUMIFS([1]!Data_BS[Value],[1]!Data_BS[Index BS],TDP!$B43,[1]!Data_BS[TenCongTyID],TDP!$B$1,[1]!Data_BS[Thang.Nam],TDP!AH$5)</f>
        <v>0</v>
      </c>
      <c r="AI43" s="380">
        <f>SUMIFS([1]!Data_BS[Value],[1]!Data_BS[Index BS],TDP!$B43,[1]!Data_BS[TenCongTyID],TDP!$B$1,[1]!Data_BS[Thang.Nam],TDP!AI$5)</f>
        <v>0</v>
      </c>
      <c r="AJ43" s="380">
        <f>SUMIFS([1]!Data_BS[Value],[1]!Data_BS[Index BS],TDP!$B43,[1]!Data_BS[TenCongTyID],TDP!$B$1,[1]!Data_BS[Thang.Nam],TDP!AJ$5)</f>
        <v>0</v>
      </c>
      <c r="AK43" s="380">
        <f>SUMIFS([1]!Data_BS[Value],[1]!Data_BS[Index BS],TDP!$B43,[1]!Data_BS[TenCongTyID],TDP!$B$1,[1]!Data_BS[Thang.Nam],TDP!AK$5)</f>
        <v>0</v>
      </c>
      <c r="AL43" s="381">
        <f>SUMIFS([1]!Data_BS[Value],[1]!Data_BS[Index BS],TDP!$B43,[1]!Data_BS[TenCongTyID],TDP!$B$1,[1]!Data_BS[Thang.Nam],TDP!AL$5)</f>
        <v>0</v>
      </c>
    </row>
    <row r="44" spans="1:38" ht="15" hidden="1" customHeight="1" outlineLevel="1">
      <c r="A44" s="62" t="s">
        <v>128</v>
      </c>
      <c r="B44" s="63">
        <v>39</v>
      </c>
      <c r="C44" s="64"/>
      <c r="D44" s="69"/>
      <c r="E44" s="69"/>
      <c r="F44" s="379"/>
      <c r="G44" s="69"/>
      <c r="H44" s="69">
        <v>0</v>
      </c>
      <c r="I44" s="69"/>
      <c r="J44" s="69"/>
      <c r="K44" s="69"/>
      <c r="L44" s="69"/>
      <c r="M44" s="379"/>
      <c r="N44" s="85"/>
      <c r="O44" s="64"/>
      <c r="P44" s="69"/>
      <c r="Q44" s="69"/>
      <c r="R44" s="379"/>
      <c r="S44" s="69"/>
      <c r="T44" s="69">
        <v>0</v>
      </c>
      <c r="U44" s="69"/>
      <c r="V44" s="69"/>
      <c r="W44" s="69"/>
      <c r="X44" s="69"/>
      <c r="Y44" s="379"/>
      <c r="Z44" s="379">
        <v>0</v>
      </c>
      <c r="AA44" s="380">
        <f>SUMIFS([1]!Data_BS[Value],[1]!Data_BS[Index BS],TDP!$B44,[1]!Data_BS[TenCongTyID],TDP!$B$1,[1]!Data_BS[Thang.Nam],TDP!AA$5)</f>
        <v>0</v>
      </c>
      <c r="AB44" s="380">
        <f>SUMIFS([1]!Data_BS[Value],[1]!Data_BS[Index BS],TDP!$B44,[1]!Data_BS[TenCongTyID],TDP!$B$1,[1]!Data_BS[Thang.Nam],TDP!AB$5)</f>
        <v>0</v>
      </c>
      <c r="AC44" s="380">
        <f>SUMIFS([1]!Data_BS[Value],[1]!Data_BS[Index BS],TDP!$B44,[1]!Data_BS[TenCongTyID],TDP!$B$1,[1]!Data_BS[Thang.Nam],TDP!AC$5)</f>
        <v>0</v>
      </c>
      <c r="AD44" s="380">
        <f>SUMIFS([1]!Data_BS[Value],[1]!Data_BS[Index BS],TDP!$B44,[1]!Data_BS[TenCongTyID],TDP!$B$1,[1]!Data_BS[Thang.Nam],TDP!AD$5)</f>
        <v>0</v>
      </c>
      <c r="AE44" s="380">
        <f>SUMIFS([1]!Data_BS[Value],[1]!Data_BS[Index BS],TDP!$B44,[1]!Data_BS[TenCongTyID],TDP!$B$1,[1]!Data_BS[Thang.Nam],TDP!AE$5)</f>
        <v>0</v>
      </c>
      <c r="AF44" s="380">
        <f>SUMIFS([1]!Data_BS[Value],[1]!Data_BS[Index BS],TDP!$B44,[1]!Data_BS[TenCongTyID],TDP!$B$1,[1]!Data_BS[Thang.Nam],TDP!AF$5)</f>
        <v>0</v>
      </c>
      <c r="AG44" s="380">
        <f>SUMIFS([1]!Data_BS[Value],[1]!Data_BS[Index BS],TDP!$B44,[1]!Data_BS[TenCongTyID],TDP!$B$1,[1]!Data_BS[Thang.Nam],TDP!AG$5)</f>
        <v>0</v>
      </c>
      <c r="AH44" s="380">
        <f>SUMIFS([1]!Data_BS[Value],[1]!Data_BS[Index BS],TDP!$B44,[1]!Data_BS[TenCongTyID],TDP!$B$1,[1]!Data_BS[Thang.Nam],TDP!AH$5)</f>
        <v>0</v>
      </c>
      <c r="AI44" s="380">
        <f>SUMIFS([1]!Data_BS[Value],[1]!Data_BS[Index BS],TDP!$B44,[1]!Data_BS[TenCongTyID],TDP!$B$1,[1]!Data_BS[Thang.Nam],TDP!AI$5)</f>
        <v>0</v>
      </c>
      <c r="AJ44" s="380">
        <f>SUMIFS([1]!Data_BS[Value],[1]!Data_BS[Index BS],TDP!$B44,[1]!Data_BS[TenCongTyID],TDP!$B$1,[1]!Data_BS[Thang.Nam],TDP!AJ$5)</f>
        <v>0</v>
      </c>
      <c r="AK44" s="380">
        <f>SUMIFS([1]!Data_BS[Value],[1]!Data_BS[Index BS],TDP!$B44,[1]!Data_BS[TenCongTyID],TDP!$B$1,[1]!Data_BS[Thang.Nam],TDP!AK$5)</f>
        <v>0</v>
      </c>
      <c r="AL44" s="381">
        <f>SUMIFS([1]!Data_BS[Value],[1]!Data_BS[Index BS],TDP!$B44,[1]!Data_BS[TenCongTyID],TDP!$B$1,[1]!Data_BS[Thang.Nam],TDP!AL$5)</f>
        <v>0</v>
      </c>
    </row>
    <row r="45" spans="1:38" ht="15" hidden="1" customHeight="1" outlineLevel="1">
      <c r="A45" s="62" t="s">
        <v>129</v>
      </c>
      <c r="B45" s="63">
        <v>40</v>
      </c>
      <c r="C45" s="64"/>
      <c r="D45" s="69"/>
      <c r="E45" s="69"/>
      <c r="F45" s="379"/>
      <c r="G45" s="69"/>
      <c r="H45" s="69">
        <v>0</v>
      </c>
      <c r="I45" s="69"/>
      <c r="J45" s="69"/>
      <c r="K45" s="69"/>
      <c r="L45" s="69"/>
      <c r="M45" s="379"/>
      <c r="N45" s="85"/>
      <c r="O45" s="64"/>
      <c r="P45" s="69"/>
      <c r="Q45" s="69"/>
      <c r="R45" s="379"/>
      <c r="S45" s="69"/>
      <c r="T45" s="69">
        <v>0</v>
      </c>
      <c r="U45" s="69"/>
      <c r="V45" s="69"/>
      <c r="W45" s="69"/>
      <c r="X45" s="69"/>
      <c r="Y45" s="379"/>
      <c r="Z45" s="379">
        <v>0</v>
      </c>
      <c r="AA45" s="380">
        <f>SUMIFS([1]!Data_BS[Value],[1]!Data_BS[Index BS],TDP!$B45,[1]!Data_BS[TenCongTyID],TDP!$B$1,[1]!Data_BS[Thang.Nam],TDP!AA$5)</f>
        <v>0</v>
      </c>
      <c r="AB45" s="380">
        <f>SUMIFS([1]!Data_BS[Value],[1]!Data_BS[Index BS],TDP!$B45,[1]!Data_BS[TenCongTyID],TDP!$B$1,[1]!Data_BS[Thang.Nam],TDP!AB$5)</f>
        <v>0</v>
      </c>
      <c r="AC45" s="380">
        <f>SUMIFS([1]!Data_BS[Value],[1]!Data_BS[Index BS],TDP!$B45,[1]!Data_BS[TenCongTyID],TDP!$B$1,[1]!Data_BS[Thang.Nam],TDP!AC$5)</f>
        <v>0</v>
      </c>
      <c r="AD45" s="380">
        <f>SUMIFS([1]!Data_BS[Value],[1]!Data_BS[Index BS],TDP!$B45,[1]!Data_BS[TenCongTyID],TDP!$B$1,[1]!Data_BS[Thang.Nam],TDP!AD$5)</f>
        <v>0</v>
      </c>
      <c r="AE45" s="380">
        <f>SUMIFS([1]!Data_BS[Value],[1]!Data_BS[Index BS],TDP!$B45,[1]!Data_BS[TenCongTyID],TDP!$B$1,[1]!Data_BS[Thang.Nam],TDP!AE$5)</f>
        <v>0</v>
      </c>
      <c r="AF45" s="380">
        <f>SUMIFS([1]!Data_BS[Value],[1]!Data_BS[Index BS],TDP!$B45,[1]!Data_BS[TenCongTyID],TDP!$B$1,[1]!Data_BS[Thang.Nam],TDP!AF$5)</f>
        <v>0</v>
      </c>
      <c r="AG45" s="380">
        <f>SUMIFS([1]!Data_BS[Value],[1]!Data_BS[Index BS],TDP!$B45,[1]!Data_BS[TenCongTyID],TDP!$B$1,[1]!Data_BS[Thang.Nam],TDP!AG$5)</f>
        <v>0</v>
      </c>
      <c r="AH45" s="380">
        <f>SUMIFS([1]!Data_BS[Value],[1]!Data_BS[Index BS],TDP!$B45,[1]!Data_BS[TenCongTyID],TDP!$B$1,[1]!Data_BS[Thang.Nam],TDP!AH$5)</f>
        <v>0</v>
      </c>
      <c r="AI45" s="380">
        <f>SUMIFS([1]!Data_BS[Value],[1]!Data_BS[Index BS],TDP!$B45,[1]!Data_BS[TenCongTyID],TDP!$B$1,[1]!Data_BS[Thang.Nam],TDP!AI$5)</f>
        <v>0</v>
      </c>
      <c r="AJ45" s="380">
        <f>SUMIFS([1]!Data_BS[Value],[1]!Data_BS[Index BS],TDP!$B45,[1]!Data_BS[TenCongTyID],TDP!$B$1,[1]!Data_BS[Thang.Nam],TDP!AJ$5)</f>
        <v>0</v>
      </c>
      <c r="AK45" s="380">
        <f>SUMIFS([1]!Data_BS[Value],[1]!Data_BS[Index BS],TDP!$B45,[1]!Data_BS[TenCongTyID],TDP!$B$1,[1]!Data_BS[Thang.Nam],TDP!AK$5)</f>
        <v>0</v>
      </c>
      <c r="AL45" s="381">
        <f>SUMIFS([1]!Data_BS[Value],[1]!Data_BS[Index BS],TDP!$B45,[1]!Data_BS[TenCongTyID],TDP!$B$1,[1]!Data_BS[Thang.Nam],TDP!AL$5)</f>
        <v>0</v>
      </c>
    </row>
    <row r="46" spans="1:38" ht="15" hidden="1" customHeight="1" outlineLevel="1">
      <c r="A46" s="72" t="s">
        <v>130</v>
      </c>
      <c r="B46" s="65">
        <v>41</v>
      </c>
      <c r="C46" s="64">
        <f>+C47+C53+C50</f>
        <v>0</v>
      </c>
      <c r="D46" s="69">
        <f>+D47+D53+D50</f>
        <v>0</v>
      </c>
      <c r="E46" s="69">
        <f>+E47+E53+E50</f>
        <v>0</v>
      </c>
      <c r="F46" s="379">
        <f>+F47+F53+F50</f>
        <v>0</v>
      </c>
      <c r="G46" s="69">
        <f>+G47+G53+G50</f>
        <v>0</v>
      </c>
      <c r="H46" s="69">
        <v>0</v>
      </c>
      <c r="I46" s="69">
        <f>+I47+I53+I50</f>
        <v>0</v>
      </c>
      <c r="J46" s="69">
        <v>0</v>
      </c>
      <c r="K46" s="69">
        <v>0</v>
      </c>
      <c r="L46" s="69">
        <v>0</v>
      </c>
      <c r="M46" s="379">
        <v>0</v>
      </c>
      <c r="N46" s="85">
        <v>0</v>
      </c>
      <c r="O46" s="64">
        <v>0</v>
      </c>
      <c r="P46" s="69">
        <v>0</v>
      </c>
      <c r="Q46" s="69">
        <v>0</v>
      </c>
      <c r="R46" s="379">
        <v>0</v>
      </c>
      <c r="S46" s="69">
        <v>0</v>
      </c>
      <c r="T46" s="69">
        <v>0</v>
      </c>
      <c r="U46" s="69">
        <v>0</v>
      </c>
      <c r="V46" s="69">
        <v>0</v>
      </c>
      <c r="W46" s="69">
        <v>0</v>
      </c>
      <c r="X46" s="69">
        <v>0</v>
      </c>
      <c r="Y46" s="379">
        <v>0</v>
      </c>
      <c r="Z46" s="379">
        <v>0</v>
      </c>
      <c r="AA46" s="380">
        <f>SUMIFS([1]!Data_BS[Value],[1]!Data_BS[Index BS],TDP!$B46,[1]!Data_BS[TenCongTyID],TDP!$B$1,[1]!Data_BS[Thang.Nam],TDP!AA$5)</f>
        <v>0</v>
      </c>
      <c r="AB46" s="380">
        <f>SUMIFS([1]!Data_BS[Value],[1]!Data_BS[Index BS],TDP!$B46,[1]!Data_BS[TenCongTyID],TDP!$B$1,[1]!Data_BS[Thang.Nam],TDP!AB$5)</f>
        <v>0</v>
      </c>
      <c r="AC46" s="380">
        <f>SUMIFS([1]!Data_BS[Value],[1]!Data_BS[Index BS],TDP!$B46,[1]!Data_BS[TenCongTyID],TDP!$B$1,[1]!Data_BS[Thang.Nam],TDP!AC$5)</f>
        <v>0</v>
      </c>
      <c r="AD46" s="380">
        <f>SUMIFS([1]!Data_BS[Value],[1]!Data_BS[Index BS],TDP!$B46,[1]!Data_BS[TenCongTyID],TDP!$B$1,[1]!Data_BS[Thang.Nam],TDP!AD$5)</f>
        <v>0</v>
      </c>
      <c r="AE46" s="380">
        <f>SUMIFS([1]!Data_BS[Value],[1]!Data_BS[Index BS],TDP!$B46,[1]!Data_BS[TenCongTyID],TDP!$B$1,[1]!Data_BS[Thang.Nam],TDP!AE$5)</f>
        <v>0</v>
      </c>
      <c r="AF46" s="380">
        <f>SUMIFS([1]!Data_BS[Value],[1]!Data_BS[Index BS],TDP!$B46,[1]!Data_BS[TenCongTyID],TDP!$B$1,[1]!Data_BS[Thang.Nam],TDP!AF$5)</f>
        <v>0</v>
      </c>
      <c r="AG46" s="380">
        <f>SUMIFS([1]!Data_BS[Value],[1]!Data_BS[Index BS],TDP!$B46,[1]!Data_BS[TenCongTyID],TDP!$B$1,[1]!Data_BS[Thang.Nam],TDP!AG$5)</f>
        <v>0</v>
      </c>
      <c r="AH46" s="380">
        <f>SUMIFS([1]!Data_BS[Value],[1]!Data_BS[Index BS],TDP!$B46,[1]!Data_BS[TenCongTyID],TDP!$B$1,[1]!Data_BS[Thang.Nam],TDP!AH$5)</f>
        <v>0</v>
      </c>
      <c r="AI46" s="380">
        <f>SUMIFS([1]!Data_BS[Value],[1]!Data_BS[Index BS],TDP!$B46,[1]!Data_BS[TenCongTyID],TDP!$B$1,[1]!Data_BS[Thang.Nam],TDP!AI$5)</f>
        <v>0</v>
      </c>
      <c r="AJ46" s="380">
        <f>SUMIFS([1]!Data_BS[Value],[1]!Data_BS[Index BS],TDP!$B46,[1]!Data_BS[TenCongTyID],TDP!$B$1,[1]!Data_BS[Thang.Nam],TDP!AJ$5)</f>
        <v>0</v>
      </c>
      <c r="AK46" s="380">
        <f>SUMIFS([1]!Data_BS[Value],[1]!Data_BS[Index BS],TDP!$B46,[1]!Data_BS[TenCongTyID],TDP!$B$1,[1]!Data_BS[Thang.Nam],TDP!AK$5)</f>
        <v>0</v>
      </c>
      <c r="AL46" s="381">
        <f>SUMIFS([1]!Data_BS[Value],[1]!Data_BS[Index BS],TDP!$B46,[1]!Data_BS[TenCongTyID],TDP!$B$1,[1]!Data_BS[Thang.Nam],TDP!AL$5)</f>
        <v>0</v>
      </c>
    </row>
    <row r="47" spans="1:38" ht="15" hidden="1" customHeight="1" outlineLevel="1">
      <c r="A47" s="72" t="s">
        <v>131</v>
      </c>
      <c r="B47" s="65">
        <v>42</v>
      </c>
      <c r="C47" s="64">
        <f>+SUM(C48:C49)</f>
        <v>0</v>
      </c>
      <c r="D47" s="69">
        <f>+SUM(D48:D49)</f>
        <v>0</v>
      </c>
      <c r="E47" s="69">
        <f>+SUM(E48:E49)</f>
        <v>0</v>
      </c>
      <c r="F47" s="379">
        <f>+SUM(F48:F49)</f>
        <v>0</v>
      </c>
      <c r="G47" s="69">
        <f>+SUM(G48:G49)</f>
        <v>0</v>
      </c>
      <c r="H47" s="69">
        <v>0</v>
      </c>
      <c r="I47" s="69">
        <f>+SUM(I48:I49)</f>
        <v>0</v>
      </c>
      <c r="J47" s="69">
        <v>0</v>
      </c>
      <c r="K47" s="69">
        <v>0</v>
      </c>
      <c r="L47" s="69">
        <v>0</v>
      </c>
      <c r="M47" s="379">
        <v>0</v>
      </c>
      <c r="N47" s="85">
        <v>0</v>
      </c>
      <c r="O47" s="64">
        <v>0</v>
      </c>
      <c r="P47" s="69">
        <v>0</v>
      </c>
      <c r="Q47" s="69">
        <v>0</v>
      </c>
      <c r="R47" s="37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379">
        <v>0</v>
      </c>
      <c r="Z47" s="379">
        <v>0</v>
      </c>
      <c r="AA47" s="380">
        <f>SUMIFS([1]!Data_BS[Value],[1]!Data_BS[Index BS],TDP!$B47,[1]!Data_BS[TenCongTyID],TDP!$B$1,[1]!Data_BS[Thang.Nam],TDP!AA$5)</f>
        <v>0</v>
      </c>
      <c r="AB47" s="380">
        <f>SUMIFS([1]!Data_BS[Value],[1]!Data_BS[Index BS],TDP!$B47,[1]!Data_BS[TenCongTyID],TDP!$B$1,[1]!Data_BS[Thang.Nam],TDP!AB$5)</f>
        <v>0</v>
      </c>
      <c r="AC47" s="380">
        <f>SUMIFS([1]!Data_BS[Value],[1]!Data_BS[Index BS],TDP!$B47,[1]!Data_BS[TenCongTyID],TDP!$B$1,[1]!Data_BS[Thang.Nam],TDP!AC$5)</f>
        <v>0</v>
      </c>
      <c r="AD47" s="380">
        <f>SUMIFS([1]!Data_BS[Value],[1]!Data_BS[Index BS],TDP!$B47,[1]!Data_BS[TenCongTyID],TDP!$B$1,[1]!Data_BS[Thang.Nam],TDP!AD$5)</f>
        <v>0</v>
      </c>
      <c r="AE47" s="380">
        <f>SUMIFS([1]!Data_BS[Value],[1]!Data_BS[Index BS],TDP!$B47,[1]!Data_BS[TenCongTyID],TDP!$B$1,[1]!Data_BS[Thang.Nam],TDP!AE$5)</f>
        <v>0</v>
      </c>
      <c r="AF47" s="380">
        <f>SUMIFS([1]!Data_BS[Value],[1]!Data_BS[Index BS],TDP!$B47,[1]!Data_BS[TenCongTyID],TDP!$B$1,[1]!Data_BS[Thang.Nam],TDP!AF$5)</f>
        <v>0</v>
      </c>
      <c r="AG47" s="380">
        <f>SUMIFS([1]!Data_BS[Value],[1]!Data_BS[Index BS],TDP!$B47,[1]!Data_BS[TenCongTyID],TDP!$B$1,[1]!Data_BS[Thang.Nam],TDP!AG$5)</f>
        <v>0</v>
      </c>
      <c r="AH47" s="380">
        <f>SUMIFS([1]!Data_BS[Value],[1]!Data_BS[Index BS],TDP!$B47,[1]!Data_BS[TenCongTyID],TDP!$B$1,[1]!Data_BS[Thang.Nam],TDP!AH$5)</f>
        <v>0</v>
      </c>
      <c r="AI47" s="380">
        <f>SUMIFS([1]!Data_BS[Value],[1]!Data_BS[Index BS],TDP!$B47,[1]!Data_BS[TenCongTyID],TDP!$B$1,[1]!Data_BS[Thang.Nam],TDP!AI$5)</f>
        <v>0</v>
      </c>
      <c r="AJ47" s="380">
        <f>SUMIFS([1]!Data_BS[Value],[1]!Data_BS[Index BS],TDP!$B47,[1]!Data_BS[TenCongTyID],TDP!$B$1,[1]!Data_BS[Thang.Nam],TDP!AJ$5)</f>
        <v>0</v>
      </c>
      <c r="AK47" s="380">
        <f>SUMIFS([1]!Data_BS[Value],[1]!Data_BS[Index BS],TDP!$B47,[1]!Data_BS[TenCongTyID],TDP!$B$1,[1]!Data_BS[Thang.Nam],TDP!AK$5)</f>
        <v>0</v>
      </c>
      <c r="AL47" s="381">
        <f>SUMIFS([1]!Data_BS[Value],[1]!Data_BS[Index BS],TDP!$B47,[1]!Data_BS[TenCongTyID],TDP!$B$1,[1]!Data_BS[Thang.Nam],TDP!AL$5)</f>
        <v>0</v>
      </c>
    </row>
    <row r="48" spans="1:38" ht="15" hidden="1" customHeight="1" outlineLevel="1">
      <c r="A48" s="73" t="s">
        <v>132</v>
      </c>
      <c r="B48" s="63">
        <v>43</v>
      </c>
      <c r="C48" s="64"/>
      <c r="D48" s="69"/>
      <c r="E48" s="69"/>
      <c r="F48" s="379"/>
      <c r="G48" s="69"/>
      <c r="H48" s="69">
        <v>0</v>
      </c>
      <c r="I48" s="69"/>
      <c r="J48" s="69"/>
      <c r="K48" s="69"/>
      <c r="L48" s="69"/>
      <c r="M48" s="379"/>
      <c r="N48" s="85"/>
      <c r="O48" s="64"/>
      <c r="P48" s="69"/>
      <c r="Q48" s="69"/>
      <c r="R48" s="379"/>
      <c r="S48" s="69"/>
      <c r="T48" s="69">
        <v>0</v>
      </c>
      <c r="U48" s="69"/>
      <c r="V48" s="69"/>
      <c r="W48" s="69"/>
      <c r="X48" s="69"/>
      <c r="Y48" s="379"/>
      <c r="Z48" s="379">
        <v>0</v>
      </c>
      <c r="AA48" s="380">
        <f>SUMIFS([1]!Data_BS[Value],[1]!Data_BS[Index BS],TDP!$B48,[1]!Data_BS[TenCongTyID],TDP!$B$1,[1]!Data_BS[Thang.Nam],TDP!AA$5)</f>
        <v>0</v>
      </c>
      <c r="AB48" s="380">
        <f>SUMIFS([1]!Data_BS[Value],[1]!Data_BS[Index BS],TDP!$B48,[1]!Data_BS[TenCongTyID],TDP!$B$1,[1]!Data_BS[Thang.Nam],TDP!AB$5)</f>
        <v>0</v>
      </c>
      <c r="AC48" s="380">
        <f>SUMIFS([1]!Data_BS[Value],[1]!Data_BS[Index BS],TDP!$B48,[1]!Data_BS[TenCongTyID],TDP!$B$1,[1]!Data_BS[Thang.Nam],TDP!AC$5)</f>
        <v>0</v>
      </c>
      <c r="AD48" s="380">
        <f>SUMIFS([1]!Data_BS[Value],[1]!Data_BS[Index BS],TDP!$B48,[1]!Data_BS[TenCongTyID],TDP!$B$1,[1]!Data_BS[Thang.Nam],TDP!AD$5)</f>
        <v>0</v>
      </c>
      <c r="AE48" s="380">
        <f>SUMIFS([1]!Data_BS[Value],[1]!Data_BS[Index BS],TDP!$B48,[1]!Data_BS[TenCongTyID],TDP!$B$1,[1]!Data_BS[Thang.Nam],TDP!AE$5)</f>
        <v>0</v>
      </c>
      <c r="AF48" s="380">
        <f>SUMIFS([1]!Data_BS[Value],[1]!Data_BS[Index BS],TDP!$B48,[1]!Data_BS[TenCongTyID],TDP!$B$1,[1]!Data_BS[Thang.Nam],TDP!AF$5)</f>
        <v>0</v>
      </c>
      <c r="AG48" s="380">
        <f>SUMIFS([1]!Data_BS[Value],[1]!Data_BS[Index BS],TDP!$B48,[1]!Data_BS[TenCongTyID],TDP!$B$1,[1]!Data_BS[Thang.Nam],TDP!AG$5)</f>
        <v>0</v>
      </c>
      <c r="AH48" s="380">
        <f>SUMIFS([1]!Data_BS[Value],[1]!Data_BS[Index BS],TDP!$B48,[1]!Data_BS[TenCongTyID],TDP!$B$1,[1]!Data_BS[Thang.Nam],TDP!AH$5)</f>
        <v>0</v>
      </c>
      <c r="AI48" s="380">
        <f>SUMIFS([1]!Data_BS[Value],[1]!Data_BS[Index BS],TDP!$B48,[1]!Data_BS[TenCongTyID],TDP!$B$1,[1]!Data_BS[Thang.Nam],TDP!AI$5)</f>
        <v>0</v>
      </c>
      <c r="AJ48" s="380">
        <f>SUMIFS([1]!Data_BS[Value],[1]!Data_BS[Index BS],TDP!$B48,[1]!Data_BS[TenCongTyID],TDP!$B$1,[1]!Data_BS[Thang.Nam],TDP!AJ$5)</f>
        <v>0</v>
      </c>
      <c r="AK48" s="380">
        <f>SUMIFS([1]!Data_BS[Value],[1]!Data_BS[Index BS],TDP!$B48,[1]!Data_BS[TenCongTyID],TDP!$B$1,[1]!Data_BS[Thang.Nam],TDP!AK$5)</f>
        <v>0</v>
      </c>
      <c r="AL48" s="381">
        <f>SUMIFS([1]!Data_BS[Value],[1]!Data_BS[Index BS],TDP!$B48,[1]!Data_BS[TenCongTyID],TDP!$B$1,[1]!Data_BS[Thang.Nam],TDP!AL$5)</f>
        <v>0</v>
      </c>
    </row>
    <row r="49" spans="1:38" ht="15" hidden="1" customHeight="1" outlineLevel="1">
      <c r="A49" s="73" t="s">
        <v>133</v>
      </c>
      <c r="B49" s="63">
        <v>44</v>
      </c>
      <c r="C49" s="64"/>
      <c r="D49" s="69"/>
      <c r="E49" s="69"/>
      <c r="F49" s="379"/>
      <c r="G49" s="69"/>
      <c r="H49" s="69">
        <v>0</v>
      </c>
      <c r="I49" s="69"/>
      <c r="J49" s="69"/>
      <c r="K49" s="69"/>
      <c r="L49" s="69"/>
      <c r="M49" s="379"/>
      <c r="N49" s="85"/>
      <c r="O49" s="64"/>
      <c r="P49" s="69"/>
      <c r="Q49" s="69"/>
      <c r="R49" s="379"/>
      <c r="S49" s="69"/>
      <c r="T49" s="69">
        <v>0</v>
      </c>
      <c r="U49" s="69"/>
      <c r="V49" s="69"/>
      <c r="W49" s="69"/>
      <c r="X49" s="69"/>
      <c r="Y49" s="379"/>
      <c r="Z49" s="379">
        <v>0</v>
      </c>
      <c r="AA49" s="380">
        <f>SUMIFS([1]!Data_BS[Value],[1]!Data_BS[Index BS],TDP!$B49,[1]!Data_BS[TenCongTyID],TDP!$B$1,[1]!Data_BS[Thang.Nam],TDP!AA$5)</f>
        <v>0</v>
      </c>
      <c r="AB49" s="380">
        <f>SUMIFS([1]!Data_BS[Value],[1]!Data_BS[Index BS],TDP!$B49,[1]!Data_BS[TenCongTyID],TDP!$B$1,[1]!Data_BS[Thang.Nam],TDP!AB$5)</f>
        <v>0</v>
      </c>
      <c r="AC49" s="380">
        <f>SUMIFS([1]!Data_BS[Value],[1]!Data_BS[Index BS],TDP!$B49,[1]!Data_BS[TenCongTyID],TDP!$B$1,[1]!Data_BS[Thang.Nam],TDP!AC$5)</f>
        <v>0</v>
      </c>
      <c r="AD49" s="380">
        <f>SUMIFS([1]!Data_BS[Value],[1]!Data_BS[Index BS],TDP!$B49,[1]!Data_BS[TenCongTyID],TDP!$B$1,[1]!Data_BS[Thang.Nam],TDP!AD$5)</f>
        <v>0</v>
      </c>
      <c r="AE49" s="380">
        <f>SUMIFS([1]!Data_BS[Value],[1]!Data_BS[Index BS],TDP!$B49,[1]!Data_BS[TenCongTyID],TDP!$B$1,[1]!Data_BS[Thang.Nam],TDP!AE$5)</f>
        <v>0</v>
      </c>
      <c r="AF49" s="380">
        <f>SUMIFS([1]!Data_BS[Value],[1]!Data_BS[Index BS],TDP!$B49,[1]!Data_BS[TenCongTyID],TDP!$B$1,[1]!Data_BS[Thang.Nam],TDP!AF$5)</f>
        <v>0</v>
      </c>
      <c r="AG49" s="380">
        <f>SUMIFS([1]!Data_BS[Value],[1]!Data_BS[Index BS],TDP!$B49,[1]!Data_BS[TenCongTyID],TDP!$B$1,[1]!Data_BS[Thang.Nam],TDP!AG$5)</f>
        <v>0</v>
      </c>
      <c r="AH49" s="380">
        <f>SUMIFS([1]!Data_BS[Value],[1]!Data_BS[Index BS],TDP!$B49,[1]!Data_BS[TenCongTyID],TDP!$B$1,[1]!Data_BS[Thang.Nam],TDP!AH$5)</f>
        <v>0</v>
      </c>
      <c r="AI49" s="380">
        <f>SUMIFS([1]!Data_BS[Value],[1]!Data_BS[Index BS],TDP!$B49,[1]!Data_BS[TenCongTyID],TDP!$B$1,[1]!Data_BS[Thang.Nam],TDP!AI$5)</f>
        <v>0</v>
      </c>
      <c r="AJ49" s="380">
        <f>SUMIFS([1]!Data_BS[Value],[1]!Data_BS[Index BS],TDP!$B49,[1]!Data_BS[TenCongTyID],TDP!$B$1,[1]!Data_BS[Thang.Nam],TDP!AJ$5)</f>
        <v>0</v>
      </c>
      <c r="AK49" s="380">
        <f>SUMIFS([1]!Data_BS[Value],[1]!Data_BS[Index BS],TDP!$B49,[1]!Data_BS[TenCongTyID],TDP!$B$1,[1]!Data_BS[Thang.Nam],TDP!AK$5)</f>
        <v>0</v>
      </c>
      <c r="AL49" s="381">
        <f>SUMIFS([1]!Data_BS[Value],[1]!Data_BS[Index BS],TDP!$B49,[1]!Data_BS[TenCongTyID],TDP!$B$1,[1]!Data_BS[Thang.Nam],TDP!AL$5)</f>
        <v>0</v>
      </c>
    </row>
    <row r="50" spans="1:38" ht="15" hidden="1" customHeight="1" outlineLevel="1">
      <c r="A50" s="72" t="s">
        <v>134</v>
      </c>
      <c r="B50" s="65">
        <v>45</v>
      </c>
      <c r="C50" s="64"/>
      <c r="D50" s="69"/>
      <c r="E50" s="69"/>
      <c r="F50" s="379"/>
      <c r="G50" s="69"/>
      <c r="H50" s="69">
        <v>0</v>
      </c>
      <c r="I50" s="69"/>
      <c r="J50" s="69"/>
      <c r="K50" s="69"/>
      <c r="L50" s="69"/>
      <c r="M50" s="379"/>
      <c r="N50" s="85"/>
      <c r="O50" s="64"/>
      <c r="P50" s="69"/>
      <c r="Q50" s="69"/>
      <c r="R50" s="379"/>
      <c r="S50" s="69"/>
      <c r="T50" s="69">
        <v>0</v>
      </c>
      <c r="U50" s="69"/>
      <c r="V50" s="69"/>
      <c r="W50" s="69"/>
      <c r="X50" s="69"/>
      <c r="Y50" s="379"/>
      <c r="Z50" s="379">
        <v>0</v>
      </c>
      <c r="AA50" s="380">
        <f>SUMIFS([1]!Data_BS[Value],[1]!Data_BS[Index BS],TDP!$B50,[1]!Data_BS[TenCongTyID],TDP!$B$1,[1]!Data_BS[Thang.Nam],TDP!AA$5)</f>
        <v>0</v>
      </c>
      <c r="AB50" s="380">
        <f>SUMIFS([1]!Data_BS[Value],[1]!Data_BS[Index BS],TDP!$B50,[1]!Data_BS[TenCongTyID],TDP!$B$1,[1]!Data_BS[Thang.Nam],TDP!AB$5)</f>
        <v>0</v>
      </c>
      <c r="AC50" s="380">
        <f>SUMIFS([1]!Data_BS[Value],[1]!Data_BS[Index BS],TDP!$B50,[1]!Data_BS[TenCongTyID],TDP!$B$1,[1]!Data_BS[Thang.Nam],TDP!AC$5)</f>
        <v>0</v>
      </c>
      <c r="AD50" s="380">
        <f>SUMIFS([1]!Data_BS[Value],[1]!Data_BS[Index BS],TDP!$B50,[1]!Data_BS[TenCongTyID],TDP!$B$1,[1]!Data_BS[Thang.Nam],TDP!AD$5)</f>
        <v>0</v>
      </c>
      <c r="AE50" s="380">
        <f>SUMIFS([1]!Data_BS[Value],[1]!Data_BS[Index BS],TDP!$B50,[1]!Data_BS[TenCongTyID],TDP!$B$1,[1]!Data_BS[Thang.Nam],TDP!AE$5)</f>
        <v>0</v>
      </c>
      <c r="AF50" s="380">
        <f>SUMIFS([1]!Data_BS[Value],[1]!Data_BS[Index BS],TDP!$B50,[1]!Data_BS[TenCongTyID],TDP!$B$1,[1]!Data_BS[Thang.Nam],TDP!AF$5)</f>
        <v>0</v>
      </c>
      <c r="AG50" s="380">
        <f>SUMIFS([1]!Data_BS[Value],[1]!Data_BS[Index BS],TDP!$B50,[1]!Data_BS[TenCongTyID],TDP!$B$1,[1]!Data_BS[Thang.Nam],TDP!AG$5)</f>
        <v>0</v>
      </c>
      <c r="AH50" s="380">
        <f>SUMIFS([1]!Data_BS[Value],[1]!Data_BS[Index BS],TDP!$B50,[1]!Data_BS[TenCongTyID],TDP!$B$1,[1]!Data_BS[Thang.Nam],TDP!AH$5)</f>
        <v>0</v>
      </c>
      <c r="AI50" s="380">
        <f>SUMIFS([1]!Data_BS[Value],[1]!Data_BS[Index BS],TDP!$B50,[1]!Data_BS[TenCongTyID],TDP!$B$1,[1]!Data_BS[Thang.Nam],TDP!AI$5)</f>
        <v>0</v>
      </c>
      <c r="AJ50" s="380">
        <f>SUMIFS([1]!Data_BS[Value],[1]!Data_BS[Index BS],TDP!$B50,[1]!Data_BS[TenCongTyID],TDP!$B$1,[1]!Data_BS[Thang.Nam],TDP!AJ$5)</f>
        <v>0</v>
      </c>
      <c r="AK50" s="380">
        <f>SUMIFS([1]!Data_BS[Value],[1]!Data_BS[Index BS],TDP!$B50,[1]!Data_BS[TenCongTyID],TDP!$B$1,[1]!Data_BS[Thang.Nam],TDP!AK$5)</f>
        <v>0</v>
      </c>
      <c r="AL50" s="381">
        <f>SUMIFS([1]!Data_BS[Value],[1]!Data_BS[Index BS],TDP!$B50,[1]!Data_BS[TenCongTyID],TDP!$B$1,[1]!Data_BS[Thang.Nam],TDP!AL$5)</f>
        <v>0</v>
      </c>
    </row>
    <row r="51" spans="1:38" ht="15" hidden="1" customHeight="1" outlineLevel="1">
      <c r="A51" s="73" t="s">
        <v>135</v>
      </c>
      <c r="B51" s="63">
        <v>46</v>
      </c>
      <c r="C51" s="64"/>
      <c r="D51" s="69"/>
      <c r="E51" s="69"/>
      <c r="F51" s="379"/>
      <c r="G51" s="69"/>
      <c r="H51" s="69">
        <v>0</v>
      </c>
      <c r="I51" s="69"/>
      <c r="J51" s="69"/>
      <c r="K51" s="69"/>
      <c r="L51" s="69"/>
      <c r="M51" s="379"/>
      <c r="N51" s="85"/>
      <c r="O51" s="64"/>
      <c r="P51" s="69"/>
      <c r="Q51" s="69"/>
      <c r="R51" s="379"/>
      <c r="S51" s="69"/>
      <c r="T51" s="69">
        <v>0</v>
      </c>
      <c r="U51" s="69"/>
      <c r="V51" s="69"/>
      <c r="W51" s="69"/>
      <c r="X51" s="69"/>
      <c r="Y51" s="379"/>
      <c r="Z51" s="379">
        <v>0</v>
      </c>
      <c r="AA51" s="380">
        <f>SUMIFS([1]!Data_BS[Value],[1]!Data_BS[Index BS],TDP!$B51,[1]!Data_BS[TenCongTyID],TDP!$B$1,[1]!Data_BS[Thang.Nam],TDP!AA$5)</f>
        <v>0</v>
      </c>
      <c r="AB51" s="380">
        <f>SUMIFS([1]!Data_BS[Value],[1]!Data_BS[Index BS],TDP!$B51,[1]!Data_BS[TenCongTyID],TDP!$B$1,[1]!Data_BS[Thang.Nam],TDP!AB$5)</f>
        <v>0</v>
      </c>
      <c r="AC51" s="380">
        <f>SUMIFS([1]!Data_BS[Value],[1]!Data_BS[Index BS],TDP!$B51,[1]!Data_BS[TenCongTyID],TDP!$B$1,[1]!Data_BS[Thang.Nam],TDP!AC$5)</f>
        <v>0</v>
      </c>
      <c r="AD51" s="380">
        <f>SUMIFS([1]!Data_BS[Value],[1]!Data_BS[Index BS],TDP!$B51,[1]!Data_BS[TenCongTyID],TDP!$B$1,[1]!Data_BS[Thang.Nam],TDP!AD$5)</f>
        <v>0</v>
      </c>
      <c r="AE51" s="380">
        <f>SUMIFS([1]!Data_BS[Value],[1]!Data_BS[Index BS],TDP!$B51,[1]!Data_BS[TenCongTyID],TDP!$B$1,[1]!Data_BS[Thang.Nam],TDP!AE$5)</f>
        <v>0</v>
      </c>
      <c r="AF51" s="380">
        <f>SUMIFS([1]!Data_BS[Value],[1]!Data_BS[Index BS],TDP!$B51,[1]!Data_BS[TenCongTyID],TDP!$B$1,[1]!Data_BS[Thang.Nam],TDP!AF$5)</f>
        <v>0</v>
      </c>
      <c r="AG51" s="380">
        <f>SUMIFS([1]!Data_BS[Value],[1]!Data_BS[Index BS],TDP!$B51,[1]!Data_BS[TenCongTyID],TDP!$B$1,[1]!Data_BS[Thang.Nam],TDP!AG$5)</f>
        <v>0</v>
      </c>
      <c r="AH51" s="380">
        <f>SUMIFS([1]!Data_BS[Value],[1]!Data_BS[Index BS],TDP!$B51,[1]!Data_BS[TenCongTyID],TDP!$B$1,[1]!Data_BS[Thang.Nam],TDP!AH$5)</f>
        <v>0</v>
      </c>
      <c r="AI51" s="380">
        <f>SUMIFS([1]!Data_BS[Value],[1]!Data_BS[Index BS],TDP!$B51,[1]!Data_BS[TenCongTyID],TDP!$B$1,[1]!Data_BS[Thang.Nam],TDP!AI$5)</f>
        <v>0</v>
      </c>
      <c r="AJ51" s="380">
        <f>SUMIFS([1]!Data_BS[Value],[1]!Data_BS[Index BS],TDP!$B51,[1]!Data_BS[TenCongTyID],TDP!$B$1,[1]!Data_BS[Thang.Nam],TDP!AJ$5)</f>
        <v>0</v>
      </c>
      <c r="AK51" s="380">
        <f>SUMIFS([1]!Data_BS[Value],[1]!Data_BS[Index BS],TDP!$B51,[1]!Data_BS[TenCongTyID],TDP!$B$1,[1]!Data_BS[Thang.Nam],TDP!AK$5)</f>
        <v>0</v>
      </c>
      <c r="AL51" s="381">
        <f>SUMIFS([1]!Data_BS[Value],[1]!Data_BS[Index BS],TDP!$B51,[1]!Data_BS[TenCongTyID],TDP!$B$1,[1]!Data_BS[Thang.Nam],TDP!AL$5)</f>
        <v>0</v>
      </c>
    </row>
    <row r="52" spans="1:38" ht="15" hidden="1" customHeight="1" outlineLevel="1">
      <c r="A52" s="73" t="s">
        <v>136</v>
      </c>
      <c r="B52" s="63">
        <v>47</v>
      </c>
      <c r="C52" s="64"/>
      <c r="D52" s="69"/>
      <c r="E52" s="69"/>
      <c r="F52" s="379"/>
      <c r="G52" s="69"/>
      <c r="H52" s="69">
        <v>0</v>
      </c>
      <c r="I52" s="69"/>
      <c r="J52" s="69"/>
      <c r="K52" s="69"/>
      <c r="L52" s="69"/>
      <c r="M52" s="379"/>
      <c r="N52" s="85"/>
      <c r="O52" s="64"/>
      <c r="P52" s="69"/>
      <c r="Q52" s="69"/>
      <c r="R52" s="379"/>
      <c r="S52" s="69"/>
      <c r="T52" s="69">
        <v>0</v>
      </c>
      <c r="U52" s="69"/>
      <c r="V52" s="69"/>
      <c r="W52" s="69"/>
      <c r="X52" s="69"/>
      <c r="Y52" s="379"/>
      <c r="Z52" s="379">
        <v>0</v>
      </c>
      <c r="AA52" s="380">
        <f>SUMIFS([1]!Data_BS[Value],[1]!Data_BS[Index BS],TDP!$B52,[1]!Data_BS[TenCongTyID],TDP!$B$1,[1]!Data_BS[Thang.Nam],TDP!AA$5)</f>
        <v>0</v>
      </c>
      <c r="AB52" s="380">
        <f>SUMIFS([1]!Data_BS[Value],[1]!Data_BS[Index BS],TDP!$B52,[1]!Data_BS[TenCongTyID],TDP!$B$1,[1]!Data_BS[Thang.Nam],TDP!AB$5)</f>
        <v>0</v>
      </c>
      <c r="AC52" s="380">
        <f>SUMIFS([1]!Data_BS[Value],[1]!Data_BS[Index BS],TDP!$B52,[1]!Data_BS[TenCongTyID],TDP!$B$1,[1]!Data_BS[Thang.Nam],TDP!AC$5)</f>
        <v>0</v>
      </c>
      <c r="AD52" s="380">
        <f>SUMIFS([1]!Data_BS[Value],[1]!Data_BS[Index BS],TDP!$B52,[1]!Data_BS[TenCongTyID],TDP!$B$1,[1]!Data_BS[Thang.Nam],TDP!AD$5)</f>
        <v>0</v>
      </c>
      <c r="AE52" s="380">
        <f>SUMIFS([1]!Data_BS[Value],[1]!Data_BS[Index BS],TDP!$B52,[1]!Data_BS[TenCongTyID],TDP!$B$1,[1]!Data_BS[Thang.Nam],TDP!AE$5)</f>
        <v>0</v>
      </c>
      <c r="AF52" s="380">
        <f>SUMIFS([1]!Data_BS[Value],[1]!Data_BS[Index BS],TDP!$B52,[1]!Data_BS[TenCongTyID],TDP!$B$1,[1]!Data_BS[Thang.Nam],TDP!AF$5)</f>
        <v>0</v>
      </c>
      <c r="AG52" s="380">
        <f>SUMIFS([1]!Data_BS[Value],[1]!Data_BS[Index BS],TDP!$B52,[1]!Data_BS[TenCongTyID],TDP!$B$1,[1]!Data_BS[Thang.Nam],TDP!AG$5)</f>
        <v>0</v>
      </c>
      <c r="AH52" s="380">
        <f>SUMIFS([1]!Data_BS[Value],[1]!Data_BS[Index BS],TDP!$B52,[1]!Data_BS[TenCongTyID],TDP!$B$1,[1]!Data_BS[Thang.Nam],TDP!AH$5)</f>
        <v>0</v>
      </c>
      <c r="AI52" s="380">
        <f>SUMIFS([1]!Data_BS[Value],[1]!Data_BS[Index BS],TDP!$B52,[1]!Data_BS[TenCongTyID],TDP!$B$1,[1]!Data_BS[Thang.Nam],TDP!AI$5)</f>
        <v>0</v>
      </c>
      <c r="AJ52" s="380">
        <f>SUMIFS([1]!Data_BS[Value],[1]!Data_BS[Index BS],TDP!$B52,[1]!Data_BS[TenCongTyID],TDP!$B$1,[1]!Data_BS[Thang.Nam],TDP!AJ$5)</f>
        <v>0</v>
      </c>
      <c r="AK52" s="380">
        <f>SUMIFS([1]!Data_BS[Value],[1]!Data_BS[Index BS],TDP!$B52,[1]!Data_BS[TenCongTyID],TDP!$B$1,[1]!Data_BS[Thang.Nam],TDP!AK$5)</f>
        <v>0</v>
      </c>
      <c r="AL52" s="381">
        <f>SUMIFS([1]!Data_BS[Value],[1]!Data_BS[Index BS],TDP!$B52,[1]!Data_BS[TenCongTyID],TDP!$B$1,[1]!Data_BS[Thang.Nam],TDP!AL$5)</f>
        <v>0</v>
      </c>
    </row>
    <row r="53" spans="1:38" ht="15" hidden="1" customHeight="1" outlineLevel="1">
      <c r="A53" s="72" t="s">
        <v>137</v>
      </c>
      <c r="B53" s="65">
        <v>48</v>
      </c>
      <c r="C53" s="64">
        <f>+SUM(C54:C55)</f>
        <v>0</v>
      </c>
      <c r="D53" s="69">
        <f>+SUM(D54:D55)</f>
        <v>0</v>
      </c>
      <c r="E53" s="69">
        <f>+SUM(E54:E55)</f>
        <v>0</v>
      </c>
      <c r="F53" s="379">
        <f>+SUM(F54:F55)</f>
        <v>0</v>
      </c>
      <c r="G53" s="69">
        <f>+SUM(G54:G55)</f>
        <v>0</v>
      </c>
      <c r="H53" s="69">
        <v>0</v>
      </c>
      <c r="I53" s="69">
        <f>+SUM(I54:I55)</f>
        <v>0</v>
      </c>
      <c r="J53" s="69">
        <v>0</v>
      </c>
      <c r="K53" s="69">
        <v>0</v>
      </c>
      <c r="L53" s="69">
        <v>0</v>
      </c>
      <c r="M53" s="379">
        <v>0</v>
      </c>
      <c r="N53" s="85">
        <v>0</v>
      </c>
      <c r="O53" s="64">
        <v>0</v>
      </c>
      <c r="P53" s="69">
        <v>0</v>
      </c>
      <c r="Q53" s="69">
        <v>0</v>
      </c>
      <c r="R53" s="37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379">
        <v>0</v>
      </c>
      <c r="Z53" s="379">
        <v>0</v>
      </c>
      <c r="AA53" s="380">
        <f>SUMIFS([1]!Data_BS[Value],[1]!Data_BS[Index BS],TDP!$B53,[1]!Data_BS[TenCongTyID],TDP!$B$1,[1]!Data_BS[Thang.Nam],TDP!AA$5)</f>
        <v>0</v>
      </c>
      <c r="AB53" s="380">
        <f>SUMIFS([1]!Data_BS[Value],[1]!Data_BS[Index BS],TDP!$B53,[1]!Data_BS[TenCongTyID],TDP!$B$1,[1]!Data_BS[Thang.Nam],TDP!AB$5)</f>
        <v>0</v>
      </c>
      <c r="AC53" s="380">
        <f>SUMIFS([1]!Data_BS[Value],[1]!Data_BS[Index BS],TDP!$B53,[1]!Data_BS[TenCongTyID],TDP!$B$1,[1]!Data_BS[Thang.Nam],TDP!AC$5)</f>
        <v>0</v>
      </c>
      <c r="AD53" s="380">
        <f>SUMIFS([1]!Data_BS[Value],[1]!Data_BS[Index BS],TDP!$B53,[1]!Data_BS[TenCongTyID],TDP!$B$1,[1]!Data_BS[Thang.Nam],TDP!AD$5)</f>
        <v>0</v>
      </c>
      <c r="AE53" s="380">
        <f>SUMIFS([1]!Data_BS[Value],[1]!Data_BS[Index BS],TDP!$B53,[1]!Data_BS[TenCongTyID],TDP!$B$1,[1]!Data_BS[Thang.Nam],TDP!AE$5)</f>
        <v>0</v>
      </c>
      <c r="AF53" s="380">
        <f>SUMIFS([1]!Data_BS[Value],[1]!Data_BS[Index BS],TDP!$B53,[1]!Data_BS[TenCongTyID],TDP!$B$1,[1]!Data_BS[Thang.Nam],TDP!AF$5)</f>
        <v>0</v>
      </c>
      <c r="AG53" s="380">
        <f>SUMIFS([1]!Data_BS[Value],[1]!Data_BS[Index BS],TDP!$B53,[1]!Data_BS[TenCongTyID],TDP!$B$1,[1]!Data_BS[Thang.Nam],TDP!AG$5)</f>
        <v>0</v>
      </c>
      <c r="AH53" s="380">
        <f>SUMIFS([1]!Data_BS[Value],[1]!Data_BS[Index BS],TDP!$B53,[1]!Data_BS[TenCongTyID],TDP!$B$1,[1]!Data_BS[Thang.Nam],TDP!AH$5)</f>
        <v>0</v>
      </c>
      <c r="AI53" s="380">
        <f>SUMIFS([1]!Data_BS[Value],[1]!Data_BS[Index BS],TDP!$B53,[1]!Data_BS[TenCongTyID],TDP!$B$1,[1]!Data_BS[Thang.Nam],TDP!AI$5)</f>
        <v>0</v>
      </c>
      <c r="AJ53" s="380">
        <f>SUMIFS([1]!Data_BS[Value],[1]!Data_BS[Index BS],TDP!$B53,[1]!Data_BS[TenCongTyID],TDP!$B$1,[1]!Data_BS[Thang.Nam],TDP!AJ$5)</f>
        <v>0</v>
      </c>
      <c r="AK53" s="380">
        <f>SUMIFS([1]!Data_BS[Value],[1]!Data_BS[Index BS],TDP!$B53,[1]!Data_BS[TenCongTyID],TDP!$B$1,[1]!Data_BS[Thang.Nam],TDP!AK$5)</f>
        <v>0</v>
      </c>
      <c r="AL53" s="381">
        <f>SUMIFS([1]!Data_BS[Value],[1]!Data_BS[Index BS],TDP!$B53,[1]!Data_BS[TenCongTyID],TDP!$B$1,[1]!Data_BS[Thang.Nam],TDP!AL$5)</f>
        <v>0</v>
      </c>
    </row>
    <row r="54" spans="1:38" ht="15" hidden="1" customHeight="1" outlineLevel="1">
      <c r="A54" s="73" t="s">
        <v>138</v>
      </c>
      <c r="B54" s="63">
        <v>49</v>
      </c>
      <c r="C54" s="64"/>
      <c r="D54" s="69"/>
      <c r="E54" s="69"/>
      <c r="F54" s="379"/>
      <c r="G54" s="69"/>
      <c r="H54" s="69">
        <v>0</v>
      </c>
      <c r="I54" s="69"/>
      <c r="J54" s="69"/>
      <c r="K54" s="69"/>
      <c r="L54" s="69"/>
      <c r="M54" s="379"/>
      <c r="N54" s="85"/>
      <c r="O54" s="64"/>
      <c r="P54" s="69"/>
      <c r="Q54" s="69"/>
      <c r="R54" s="379"/>
      <c r="S54" s="69"/>
      <c r="T54" s="69">
        <v>0</v>
      </c>
      <c r="U54" s="69"/>
      <c r="V54" s="69"/>
      <c r="W54" s="69"/>
      <c r="X54" s="69"/>
      <c r="Y54" s="379"/>
      <c r="Z54" s="379">
        <v>0</v>
      </c>
      <c r="AA54" s="380">
        <f>SUMIFS([1]!Data_BS[Value],[1]!Data_BS[Index BS],TDP!$B54,[1]!Data_BS[TenCongTyID],TDP!$B$1,[1]!Data_BS[Thang.Nam],TDP!AA$5)</f>
        <v>0</v>
      </c>
      <c r="AB54" s="380">
        <f>SUMIFS([1]!Data_BS[Value],[1]!Data_BS[Index BS],TDP!$B54,[1]!Data_BS[TenCongTyID],TDP!$B$1,[1]!Data_BS[Thang.Nam],TDP!AB$5)</f>
        <v>0</v>
      </c>
      <c r="AC54" s="380">
        <f>SUMIFS([1]!Data_BS[Value],[1]!Data_BS[Index BS],TDP!$B54,[1]!Data_BS[TenCongTyID],TDP!$B$1,[1]!Data_BS[Thang.Nam],TDP!AC$5)</f>
        <v>0</v>
      </c>
      <c r="AD54" s="380">
        <f>SUMIFS([1]!Data_BS[Value],[1]!Data_BS[Index BS],TDP!$B54,[1]!Data_BS[TenCongTyID],TDP!$B$1,[1]!Data_BS[Thang.Nam],TDP!AD$5)</f>
        <v>0</v>
      </c>
      <c r="AE54" s="380">
        <f>SUMIFS([1]!Data_BS[Value],[1]!Data_BS[Index BS],TDP!$B54,[1]!Data_BS[TenCongTyID],TDP!$B$1,[1]!Data_BS[Thang.Nam],TDP!AE$5)</f>
        <v>0</v>
      </c>
      <c r="AF54" s="380">
        <f>SUMIFS([1]!Data_BS[Value],[1]!Data_BS[Index BS],TDP!$B54,[1]!Data_BS[TenCongTyID],TDP!$B$1,[1]!Data_BS[Thang.Nam],TDP!AF$5)</f>
        <v>0</v>
      </c>
      <c r="AG54" s="380">
        <f>SUMIFS([1]!Data_BS[Value],[1]!Data_BS[Index BS],TDP!$B54,[1]!Data_BS[TenCongTyID],TDP!$B$1,[1]!Data_BS[Thang.Nam],TDP!AG$5)</f>
        <v>0</v>
      </c>
      <c r="AH54" s="380">
        <f>SUMIFS([1]!Data_BS[Value],[1]!Data_BS[Index BS],TDP!$B54,[1]!Data_BS[TenCongTyID],TDP!$B$1,[1]!Data_BS[Thang.Nam],TDP!AH$5)</f>
        <v>0</v>
      </c>
      <c r="AI54" s="380">
        <f>SUMIFS([1]!Data_BS[Value],[1]!Data_BS[Index BS],TDP!$B54,[1]!Data_BS[TenCongTyID],TDP!$B$1,[1]!Data_BS[Thang.Nam],TDP!AI$5)</f>
        <v>0</v>
      </c>
      <c r="AJ54" s="380">
        <f>SUMIFS([1]!Data_BS[Value],[1]!Data_BS[Index BS],TDP!$B54,[1]!Data_BS[TenCongTyID],TDP!$B$1,[1]!Data_BS[Thang.Nam],TDP!AJ$5)</f>
        <v>0</v>
      </c>
      <c r="AK54" s="380">
        <f>SUMIFS([1]!Data_BS[Value],[1]!Data_BS[Index BS],TDP!$B54,[1]!Data_BS[TenCongTyID],TDP!$B$1,[1]!Data_BS[Thang.Nam],TDP!AK$5)</f>
        <v>0</v>
      </c>
      <c r="AL54" s="381">
        <f>SUMIFS([1]!Data_BS[Value],[1]!Data_BS[Index BS],TDP!$B54,[1]!Data_BS[TenCongTyID],TDP!$B$1,[1]!Data_BS[Thang.Nam],TDP!AL$5)</f>
        <v>0</v>
      </c>
    </row>
    <row r="55" spans="1:38" ht="15" hidden="1" customHeight="1" outlineLevel="1">
      <c r="A55" s="73" t="s">
        <v>139</v>
      </c>
      <c r="B55" s="63">
        <v>50</v>
      </c>
      <c r="C55" s="64"/>
      <c r="D55" s="69"/>
      <c r="E55" s="69"/>
      <c r="F55" s="379"/>
      <c r="G55" s="69"/>
      <c r="H55" s="69">
        <v>0</v>
      </c>
      <c r="I55" s="69"/>
      <c r="J55" s="69"/>
      <c r="K55" s="69"/>
      <c r="L55" s="69"/>
      <c r="M55" s="379"/>
      <c r="N55" s="85"/>
      <c r="O55" s="64"/>
      <c r="P55" s="69"/>
      <c r="Q55" s="69"/>
      <c r="R55" s="379"/>
      <c r="S55" s="69"/>
      <c r="T55" s="69">
        <v>0</v>
      </c>
      <c r="U55" s="69"/>
      <c r="V55" s="69"/>
      <c r="W55" s="69"/>
      <c r="X55" s="69"/>
      <c r="Y55" s="379"/>
      <c r="Z55" s="379">
        <v>0</v>
      </c>
      <c r="AA55" s="380">
        <f>SUMIFS([1]!Data_BS[Value],[1]!Data_BS[Index BS],TDP!$B55,[1]!Data_BS[TenCongTyID],TDP!$B$1,[1]!Data_BS[Thang.Nam],TDP!AA$5)</f>
        <v>0</v>
      </c>
      <c r="AB55" s="380">
        <f>SUMIFS([1]!Data_BS[Value],[1]!Data_BS[Index BS],TDP!$B55,[1]!Data_BS[TenCongTyID],TDP!$B$1,[1]!Data_BS[Thang.Nam],TDP!AB$5)</f>
        <v>0</v>
      </c>
      <c r="AC55" s="380">
        <f>SUMIFS([1]!Data_BS[Value],[1]!Data_BS[Index BS],TDP!$B55,[1]!Data_BS[TenCongTyID],TDP!$B$1,[1]!Data_BS[Thang.Nam],TDP!AC$5)</f>
        <v>0</v>
      </c>
      <c r="AD55" s="380">
        <f>SUMIFS([1]!Data_BS[Value],[1]!Data_BS[Index BS],TDP!$B55,[1]!Data_BS[TenCongTyID],TDP!$B$1,[1]!Data_BS[Thang.Nam],TDP!AD$5)</f>
        <v>0</v>
      </c>
      <c r="AE55" s="380">
        <f>SUMIFS([1]!Data_BS[Value],[1]!Data_BS[Index BS],TDP!$B55,[1]!Data_BS[TenCongTyID],TDP!$B$1,[1]!Data_BS[Thang.Nam],TDP!AE$5)</f>
        <v>0</v>
      </c>
      <c r="AF55" s="380">
        <f>SUMIFS([1]!Data_BS[Value],[1]!Data_BS[Index BS],TDP!$B55,[1]!Data_BS[TenCongTyID],TDP!$B$1,[1]!Data_BS[Thang.Nam],TDP!AF$5)</f>
        <v>0</v>
      </c>
      <c r="AG55" s="380">
        <f>SUMIFS([1]!Data_BS[Value],[1]!Data_BS[Index BS],TDP!$B55,[1]!Data_BS[TenCongTyID],TDP!$B$1,[1]!Data_BS[Thang.Nam],TDP!AG$5)</f>
        <v>0</v>
      </c>
      <c r="AH55" s="380">
        <f>SUMIFS([1]!Data_BS[Value],[1]!Data_BS[Index BS],TDP!$B55,[1]!Data_BS[TenCongTyID],TDP!$B$1,[1]!Data_BS[Thang.Nam],TDP!AH$5)</f>
        <v>0</v>
      </c>
      <c r="AI55" s="380">
        <f>SUMIFS([1]!Data_BS[Value],[1]!Data_BS[Index BS],TDP!$B55,[1]!Data_BS[TenCongTyID],TDP!$B$1,[1]!Data_BS[Thang.Nam],TDP!AI$5)</f>
        <v>0</v>
      </c>
      <c r="AJ55" s="380">
        <f>SUMIFS([1]!Data_BS[Value],[1]!Data_BS[Index BS],TDP!$B55,[1]!Data_BS[TenCongTyID],TDP!$B$1,[1]!Data_BS[Thang.Nam],TDP!AJ$5)</f>
        <v>0</v>
      </c>
      <c r="AK55" s="380">
        <f>SUMIFS([1]!Data_BS[Value],[1]!Data_BS[Index BS],TDP!$B55,[1]!Data_BS[TenCongTyID],TDP!$B$1,[1]!Data_BS[Thang.Nam],TDP!AK$5)</f>
        <v>0</v>
      </c>
      <c r="AL55" s="381">
        <f>SUMIFS([1]!Data_BS[Value],[1]!Data_BS[Index BS],TDP!$B55,[1]!Data_BS[TenCongTyID],TDP!$B$1,[1]!Data_BS[Thang.Nam],TDP!AL$5)</f>
        <v>0</v>
      </c>
    </row>
    <row r="56" spans="1:38" ht="15" hidden="1" customHeight="1" outlineLevel="1">
      <c r="A56" s="72" t="s">
        <v>140</v>
      </c>
      <c r="B56" s="65">
        <v>51</v>
      </c>
      <c r="C56" s="64"/>
      <c r="D56" s="69"/>
      <c r="E56" s="69"/>
      <c r="F56" s="379"/>
      <c r="G56" s="69"/>
      <c r="H56" s="69"/>
      <c r="I56" s="69"/>
      <c r="J56" s="69"/>
      <c r="K56" s="69"/>
      <c r="L56" s="69"/>
      <c r="M56" s="379"/>
      <c r="N56" s="85"/>
      <c r="O56" s="64"/>
      <c r="P56" s="69"/>
      <c r="Q56" s="69"/>
      <c r="R56" s="379"/>
      <c r="S56" s="69"/>
      <c r="T56" s="69"/>
      <c r="U56" s="69"/>
      <c r="V56" s="69"/>
      <c r="W56" s="69"/>
      <c r="X56" s="69"/>
      <c r="Y56" s="379"/>
      <c r="Z56" s="379">
        <v>0</v>
      </c>
      <c r="AA56" s="380">
        <f>SUMIFS([1]!Data_BS[Value],[1]!Data_BS[Index BS],TDP!$B56,[1]!Data_BS[TenCongTyID],TDP!$B$1,[1]!Data_BS[Thang.Nam],TDP!AA$5)</f>
        <v>0</v>
      </c>
      <c r="AB56" s="380">
        <f>SUMIFS([1]!Data_BS[Value],[1]!Data_BS[Index BS],TDP!$B56,[1]!Data_BS[TenCongTyID],TDP!$B$1,[1]!Data_BS[Thang.Nam],TDP!AB$5)</f>
        <v>0</v>
      </c>
      <c r="AC56" s="380">
        <f>SUMIFS([1]!Data_BS[Value],[1]!Data_BS[Index BS],TDP!$B56,[1]!Data_BS[TenCongTyID],TDP!$B$1,[1]!Data_BS[Thang.Nam],TDP!AC$5)</f>
        <v>0</v>
      </c>
      <c r="AD56" s="380">
        <f>SUMIFS([1]!Data_BS[Value],[1]!Data_BS[Index BS],TDP!$B56,[1]!Data_BS[TenCongTyID],TDP!$B$1,[1]!Data_BS[Thang.Nam],TDP!AD$5)</f>
        <v>0</v>
      </c>
      <c r="AE56" s="380">
        <f>SUMIFS([1]!Data_BS[Value],[1]!Data_BS[Index BS],TDP!$B56,[1]!Data_BS[TenCongTyID],TDP!$B$1,[1]!Data_BS[Thang.Nam],TDP!AE$5)</f>
        <v>0</v>
      </c>
      <c r="AF56" s="380">
        <f>SUMIFS([1]!Data_BS[Value],[1]!Data_BS[Index BS],TDP!$B56,[1]!Data_BS[TenCongTyID],TDP!$B$1,[1]!Data_BS[Thang.Nam],TDP!AF$5)</f>
        <v>0</v>
      </c>
      <c r="AG56" s="380">
        <f>SUMIFS([1]!Data_BS[Value],[1]!Data_BS[Index BS],TDP!$B56,[1]!Data_BS[TenCongTyID],TDP!$B$1,[1]!Data_BS[Thang.Nam],TDP!AG$5)</f>
        <v>0</v>
      </c>
      <c r="AH56" s="380">
        <f>SUMIFS([1]!Data_BS[Value],[1]!Data_BS[Index BS],TDP!$B56,[1]!Data_BS[TenCongTyID],TDP!$B$1,[1]!Data_BS[Thang.Nam],TDP!AH$5)</f>
        <v>0</v>
      </c>
      <c r="AI56" s="380">
        <f>SUMIFS([1]!Data_BS[Value],[1]!Data_BS[Index BS],TDP!$B56,[1]!Data_BS[TenCongTyID],TDP!$B$1,[1]!Data_BS[Thang.Nam],TDP!AI$5)</f>
        <v>0</v>
      </c>
      <c r="AJ56" s="380">
        <f>SUMIFS([1]!Data_BS[Value],[1]!Data_BS[Index BS],TDP!$B56,[1]!Data_BS[TenCongTyID],TDP!$B$1,[1]!Data_BS[Thang.Nam],TDP!AJ$5)</f>
        <v>0</v>
      </c>
      <c r="AK56" s="380">
        <f>SUMIFS([1]!Data_BS[Value],[1]!Data_BS[Index BS],TDP!$B56,[1]!Data_BS[TenCongTyID],TDP!$B$1,[1]!Data_BS[Thang.Nam],TDP!AK$5)</f>
        <v>0</v>
      </c>
      <c r="AL56" s="381">
        <f>SUMIFS([1]!Data_BS[Value],[1]!Data_BS[Index BS],TDP!$B56,[1]!Data_BS[TenCongTyID],TDP!$B$1,[1]!Data_BS[Thang.Nam],TDP!AL$5)</f>
        <v>0</v>
      </c>
    </row>
    <row r="57" spans="1:38" ht="15" hidden="1" customHeight="1" outlineLevel="1">
      <c r="A57" s="73" t="s">
        <v>141</v>
      </c>
      <c r="B57" s="63">
        <v>52</v>
      </c>
      <c r="C57" s="64"/>
      <c r="D57" s="69"/>
      <c r="E57" s="69"/>
      <c r="F57" s="379"/>
      <c r="G57" s="69"/>
      <c r="H57" s="69"/>
      <c r="I57" s="69"/>
      <c r="J57" s="69"/>
      <c r="K57" s="69"/>
      <c r="L57" s="69"/>
      <c r="M57" s="379"/>
      <c r="N57" s="85"/>
      <c r="O57" s="64"/>
      <c r="P57" s="69"/>
      <c r="Q57" s="69"/>
      <c r="R57" s="379"/>
      <c r="S57" s="69"/>
      <c r="T57" s="69"/>
      <c r="U57" s="69"/>
      <c r="V57" s="69"/>
      <c r="W57" s="69"/>
      <c r="X57" s="69"/>
      <c r="Y57" s="379"/>
      <c r="Z57" s="379">
        <v>0</v>
      </c>
      <c r="AA57" s="380">
        <f>SUMIFS([1]!Data_BS[Value],[1]!Data_BS[Index BS],TDP!$B57,[1]!Data_BS[TenCongTyID],TDP!$B$1,[1]!Data_BS[Thang.Nam],TDP!AA$5)</f>
        <v>0</v>
      </c>
      <c r="AB57" s="380">
        <f>SUMIFS([1]!Data_BS[Value],[1]!Data_BS[Index BS],TDP!$B57,[1]!Data_BS[TenCongTyID],TDP!$B$1,[1]!Data_BS[Thang.Nam],TDP!AB$5)</f>
        <v>0</v>
      </c>
      <c r="AC57" s="380">
        <f>SUMIFS([1]!Data_BS[Value],[1]!Data_BS[Index BS],TDP!$B57,[1]!Data_BS[TenCongTyID],TDP!$B$1,[1]!Data_BS[Thang.Nam],TDP!AC$5)</f>
        <v>0</v>
      </c>
      <c r="AD57" s="380">
        <f>SUMIFS([1]!Data_BS[Value],[1]!Data_BS[Index BS],TDP!$B57,[1]!Data_BS[TenCongTyID],TDP!$B$1,[1]!Data_BS[Thang.Nam],TDP!AD$5)</f>
        <v>0</v>
      </c>
      <c r="AE57" s="380">
        <f>SUMIFS([1]!Data_BS[Value],[1]!Data_BS[Index BS],TDP!$B57,[1]!Data_BS[TenCongTyID],TDP!$B$1,[1]!Data_BS[Thang.Nam],TDP!AE$5)</f>
        <v>0</v>
      </c>
      <c r="AF57" s="380">
        <f>SUMIFS([1]!Data_BS[Value],[1]!Data_BS[Index BS],TDP!$B57,[1]!Data_BS[TenCongTyID],TDP!$B$1,[1]!Data_BS[Thang.Nam],TDP!AF$5)</f>
        <v>0</v>
      </c>
      <c r="AG57" s="380">
        <f>SUMIFS([1]!Data_BS[Value],[1]!Data_BS[Index BS],TDP!$B57,[1]!Data_BS[TenCongTyID],TDP!$B$1,[1]!Data_BS[Thang.Nam],TDP!AG$5)</f>
        <v>0</v>
      </c>
      <c r="AH57" s="380">
        <f>SUMIFS([1]!Data_BS[Value],[1]!Data_BS[Index BS],TDP!$B57,[1]!Data_BS[TenCongTyID],TDP!$B$1,[1]!Data_BS[Thang.Nam],TDP!AH$5)</f>
        <v>0</v>
      </c>
      <c r="AI57" s="380">
        <f>SUMIFS([1]!Data_BS[Value],[1]!Data_BS[Index BS],TDP!$B57,[1]!Data_BS[TenCongTyID],TDP!$B$1,[1]!Data_BS[Thang.Nam],TDP!AI$5)</f>
        <v>0</v>
      </c>
      <c r="AJ57" s="380">
        <f>SUMIFS([1]!Data_BS[Value],[1]!Data_BS[Index BS],TDP!$B57,[1]!Data_BS[TenCongTyID],TDP!$B$1,[1]!Data_BS[Thang.Nam],TDP!AJ$5)</f>
        <v>0</v>
      </c>
      <c r="AK57" s="380">
        <f>SUMIFS([1]!Data_BS[Value],[1]!Data_BS[Index BS],TDP!$B57,[1]!Data_BS[TenCongTyID],TDP!$B$1,[1]!Data_BS[Thang.Nam],TDP!AK$5)</f>
        <v>0</v>
      </c>
      <c r="AL57" s="381">
        <f>SUMIFS([1]!Data_BS[Value],[1]!Data_BS[Index BS],TDP!$B57,[1]!Data_BS[TenCongTyID],TDP!$B$1,[1]!Data_BS[Thang.Nam],TDP!AL$5)</f>
        <v>0</v>
      </c>
    </row>
    <row r="58" spans="1:38" ht="15" hidden="1" customHeight="1" outlineLevel="1">
      <c r="A58" s="73" t="s">
        <v>142</v>
      </c>
      <c r="B58" s="63">
        <v>53</v>
      </c>
      <c r="C58" s="64"/>
      <c r="D58" s="69"/>
      <c r="E58" s="69"/>
      <c r="F58" s="379"/>
      <c r="G58" s="69"/>
      <c r="H58" s="69"/>
      <c r="I58" s="69"/>
      <c r="J58" s="69"/>
      <c r="K58" s="69"/>
      <c r="L58" s="69"/>
      <c r="M58" s="379"/>
      <c r="N58" s="85"/>
      <c r="O58" s="64"/>
      <c r="P58" s="69"/>
      <c r="Q58" s="69"/>
      <c r="R58" s="379"/>
      <c r="S58" s="69"/>
      <c r="T58" s="69"/>
      <c r="U58" s="69"/>
      <c r="V58" s="69"/>
      <c r="W58" s="69"/>
      <c r="X58" s="69"/>
      <c r="Y58" s="379"/>
      <c r="Z58" s="379">
        <v>0</v>
      </c>
      <c r="AA58" s="380">
        <f>SUMIFS([1]!Data_BS[Value],[1]!Data_BS[Index BS],TDP!$B58,[1]!Data_BS[TenCongTyID],TDP!$B$1,[1]!Data_BS[Thang.Nam],TDP!AA$5)</f>
        <v>0</v>
      </c>
      <c r="AB58" s="380">
        <f>SUMIFS([1]!Data_BS[Value],[1]!Data_BS[Index BS],TDP!$B58,[1]!Data_BS[TenCongTyID],TDP!$B$1,[1]!Data_BS[Thang.Nam],TDP!AB$5)</f>
        <v>0</v>
      </c>
      <c r="AC58" s="380">
        <f>SUMIFS([1]!Data_BS[Value],[1]!Data_BS[Index BS],TDP!$B58,[1]!Data_BS[TenCongTyID],TDP!$B$1,[1]!Data_BS[Thang.Nam],TDP!AC$5)</f>
        <v>0</v>
      </c>
      <c r="AD58" s="380">
        <f>SUMIFS([1]!Data_BS[Value],[1]!Data_BS[Index BS],TDP!$B58,[1]!Data_BS[TenCongTyID],TDP!$B$1,[1]!Data_BS[Thang.Nam],TDP!AD$5)</f>
        <v>0</v>
      </c>
      <c r="AE58" s="380">
        <f>SUMIFS([1]!Data_BS[Value],[1]!Data_BS[Index BS],TDP!$B58,[1]!Data_BS[TenCongTyID],TDP!$B$1,[1]!Data_BS[Thang.Nam],TDP!AE$5)</f>
        <v>0</v>
      </c>
      <c r="AF58" s="380">
        <f>SUMIFS([1]!Data_BS[Value],[1]!Data_BS[Index BS],TDP!$B58,[1]!Data_BS[TenCongTyID],TDP!$B$1,[1]!Data_BS[Thang.Nam],TDP!AF$5)</f>
        <v>0</v>
      </c>
      <c r="AG58" s="380">
        <f>SUMIFS([1]!Data_BS[Value],[1]!Data_BS[Index BS],TDP!$B58,[1]!Data_BS[TenCongTyID],TDP!$B$1,[1]!Data_BS[Thang.Nam],TDP!AG$5)</f>
        <v>0</v>
      </c>
      <c r="AH58" s="380">
        <f>SUMIFS([1]!Data_BS[Value],[1]!Data_BS[Index BS],TDP!$B58,[1]!Data_BS[TenCongTyID],TDP!$B$1,[1]!Data_BS[Thang.Nam],TDP!AH$5)</f>
        <v>0</v>
      </c>
      <c r="AI58" s="380">
        <f>SUMIFS([1]!Data_BS[Value],[1]!Data_BS[Index BS],TDP!$B58,[1]!Data_BS[TenCongTyID],TDP!$B$1,[1]!Data_BS[Thang.Nam],TDP!AI$5)</f>
        <v>0</v>
      </c>
      <c r="AJ58" s="380">
        <f>SUMIFS([1]!Data_BS[Value],[1]!Data_BS[Index BS],TDP!$B58,[1]!Data_BS[TenCongTyID],TDP!$B$1,[1]!Data_BS[Thang.Nam],TDP!AJ$5)</f>
        <v>0</v>
      </c>
      <c r="AK58" s="380">
        <f>SUMIFS([1]!Data_BS[Value],[1]!Data_BS[Index BS],TDP!$B58,[1]!Data_BS[TenCongTyID],TDP!$B$1,[1]!Data_BS[Thang.Nam],TDP!AK$5)</f>
        <v>0</v>
      </c>
      <c r="AL58" s="381">
        <f>SUMIFS([1]!Data_BS[Value],[1]!Data_BS[Index BS],TDP!$B58,[1]!Data_BS[TenCongTyID],TDP!$B$1,[1]!Data_BS[Thang.Nam],TDP!AL$5)</f>
        <v>0</v>
      </c>
    </row>
    <row r="59" spans="1:38" ht="15" hidden="1" customHeight="1" outlineLevel="1">
      <c r="A59" s="73" t="s">
        <v>143</v>
      </c>
      <c r="B59" s="63">
        <v>54</v>
      </c>
      <c r="C59" s="64"/>
      <c r="D59" s="69"/>
      <c r="E59" s="69"/>
      <c r="F59" s="379"/>
      <c r="G59" s="69"/>
      <c r="H59" s="69"/>
      <c r="I59" s="69"/>
      <c r="J59" s="69"/>
      <c r="K59" s="69"/>
      <c r="L59" s="69"/>
      <c r="M59" s="379"/>
      <c r="N59" s="85"/>
      <c r="O59" s="64"/>
      <c r="P59" s="69"/>
      <c r="Q59" s="69"/>
      <c r="R59" s="379"/>
      <c r="S59" s="69"/>
      <c r="T59" s="69"/>
      <c r="U59" s="69"/>
      <c r="V59" s="69"/>
      <c r="W59" s="69"/>
      <c r="X59" s="69"/>
      <c r="Y59" s="379"/>
      <c r="Z59" s="379">
        <v>0</v>
      </c>
      <c r="AA59" s="380">
        <f>SUMIFS([1]!Data_BS[Value],[1]!Data_BS[Index BS],TDP!$B59,[1]!Data_BS[TenCongTyID],TDP!$B$1,[1]!Data_BS[Thang.Nam],TDP!AA$5)</f>
        <v>0</v>
      </c>
      <c r="AB59" s="380">
        <f>SUMIFS([1]!Data_BS[Value],[1]!Data_BS[Index BS],TDP!$B59,[1]!Data_BS[TenCongTyID],TDP!$B$1,[1]!Data_BS[Thang.Nam],TDP!AB$5)</f>
        <v>0</v>
      </c>
      <c r="AC59" s="380">
        <f>SUMIFS([1]!Data_BS[Value],[1]!Data_BS[Index BS],TDP!$B59,[1]!Data_BS[TenCongTyID],TDP!$B$1,[1]!Data_BS[Thang.Nam],TDP!AC$5)</f>
        <v>0</v>
      </c>
      <c r="AD59" s="380">
        <f>SUMIFS([1]!Data_BS[Value],[1]!Data_BS[Index BS],TDP!$B59,[1]!Data_BS[TenCongTyID],TDP!$B$1,[1]!Data_BS[Thang.Nam],TDP!AD$5)</f>
        <v>0</v>
      </c>
      <c r="AE59" s="380">
        <f>SUMIFS([1]!Data_BS[Value],[1]!Data_BS[Index BS],TDP!$B59,[1]!Data_BS[TenCongTyID],TDP!$B$1,[1]!Data_BS[Thang.Nam],TDP!AE$5)</f>
        <v>0</v>
      </c>
      <c r="AF59" s="380">
        <f>SUMIFS([1]!Data_BS[Value],[1]!Data_BS[Index BS],TDP!$B59,[1]!Data_BS[TenCongTyID],TDP!$B$1,[1]!Data_BS[Thang.Nam],TDP!AF$5)</f>
        <v>0</v>
      </c>
      <c r="AG59" s="380">
        <f>SUMIFS([1]!Data_BS[Value],[1]!Data_BS[Index BS],TDP!$B59,[1]!Data_BS[TenCongTyID],TDP!$B$1,[1]!Data_BS[Thang.Nam],TDP!AG$5)</f>
        <v>0</v>
      </c>
      <c r="AH59" s="380">
        <f>SUMIFS([1]!Data_BS[Value],[1]!Data_BS[Index BS],TDP!$B59,[1]!Data_BS[TenCongTyID],TDP!$B$1,[1]!Data_BS[Thang.Nam],TDP!AH$5)</f>
        <v>0</v>
      </c>
      <c r="AI59" s="380">
        <f>SUMIFS([1]!Data_BS[Value],[1]!Data_BS[Index BS],TDP!$B59,[1]!Data_BS[TenCongTyID],TDP!$B$1,[1]!Data_BS[Thang.Nam],TDP!AI$5)</f>
        <v>0</v>
      </c>
      <c r="AJ59" s="380">
        <f>SUMIFS([1]!Data_BS[Value],[1]!Data_BS[Index BS],TDP!$B59,[1]!Data_BS[TenCongTyID],TDP!$B$1,[1]!Data_BS[Thang.Nam],TDP!AJ$5)</f>
        <v>0</v>
      </c>
      <c r="AK59" s="380">
        <f>SUMIFS([1]!Data_BS[Value],[1]!Data_BS[Index BS],TDP!$B59,[1]!Data_BS[TenCongTyID],TDP!$B$1,[1]!Data_BS[Thang.Nam],TDP!AK$5)</f>
        <v>0</v>
      </c>
      <c r="AL59" s="381">
        <f>SUMIFS([1]!Data_BS[Value],[1]!Data_BS[Index BS],TDP!$B59,[1]!Data_BS[TenCongTyID],TDP!$B$1,[1]!Data_BS[Thang.Nam],TDP!AL$5)</f>
        <v>0</v>
      </c>
    </row>
    <row r="60" spans="1:38" ht="15" hidden="1" customHeight="1" outlineLevel="1">
      <c r="A60" s="73" t="s">
        <v>144</v>
      </c>
      <c r="B60" s="63">
        <v>55</v>
      </c>
      <c r="C60" s="64"/>
      <c r="D60" s="69"/>
      <c r="E60" s="69"/>
      <c r="F60" s="379"/>
      <c r="G60" s="69"/>
      <c r="H60" s="69"/>
      <c r="I60" s="69"/>
      <c r="J60" s="69"/>
      <c r="K60" s="69"/>
      <c r="L60" s="69"/>
      <c r="M60" s="379"/>
      <c r="N60" s="85"/>
      <c r="O60" s="64"/>
      <c r="P60" s="69"/>
      <c r="Q60" s="69"/>
      <c r="R60" s="379"/>
      <c r="S60" s="69"/>
      <c r="T60" s="69"/>
      <c r="U60" s="69"/>
      <c r="V60" s="69"/>
      <c r="W60" s="69"/>
      <c r="X60" s="69"/>
      <c r="Y60" s="379"/>
      <c r="Z60" s="379">
        <v>0</v>
      </c>
      <c r="AA60" s="380">
        <f>SUMIFS([1]!Data_BS[Value],[1]!Data_BS[Index BS],TDP!$B60,[1]!Data_BS[TenCongTyID],TDP!$B$1,[1]!Data_BS[Thang.Nam],TDP!AA$5)</f>
        <v>0</v>
      </c>
      <c r="AB60" s="380">
        <f>SUMIFS([1]!Data_BS[Value],[1]!Data_BS[Index BS],TDP!$B60,[1]!Data_BS[TenCongTyID],TDP!$B$1,[1]!Data_BS[Thang.Nam],TDP!AB$5)</f>
        <v>0</v>
      </c>
      <c r="AC60" s="380">
        <f>SUMIFS([1]!Data_BS[Value],[1]!Data_BS[Index BS],TDP!$B60,[1]!Data_BS[TenCongTyID],TDP!$B$1,[1]!Data_BS[Thang.Nam],TDP!AC$5)</f>
        <v>0</v>
      </c>
      <c r="AD60" s="380">
        <f>SUMIFS([1]!Data_BS[Value],[1]!Data_BS[Index BS],TDP!$B60,[1]!Data_BS[TenCongTyID],TDP!$B$1,[1]!Data_BS[Thang.Nam],TDP!AD$5)</f>
        <v>0</v>
      </c>
      <c r="AE60" s="380">
        <f>SUMIFS([1]!Data_BS[Value],[1]!Data_BS[Index BS],TDP!$B60,[1]!Data_BS[TenCongTyID],TDP!$B$1,[1]!Data_BS[Thang.Nam],TDP!AE$5)</f>
        <v>0</v>
      </c>
      <c r="AF60" s="380">
        <f>SUMIFS([1]!Data_BS[Value],[1]!Data_BS[Index BS],TDP!$B60,[1]!Data_BS[TenCongTyID],TDP!$B$1,[1]!Data_BS[Thang.Nam],TDP!AF$5)</f>
        <v>0</v>
      </c>
      <c r="AG60" s="380">
        <f>SUMIFS([1]!Data_BS[Value],[1]!Data_BS[Index BS],TDP!$B60,[1]!Data_BS[TenCongTyID],TDP!$B$1,[1]!Data_BS[Thang.Nam],TDP!AG$5)</f>
        <v>0</v>
      </c>
      <c r="AH60" s="380">
        <f>SUMIFS([1]!Data_BS[Value],[1]!Data_BS[Index BS],TDP!$B60,[1]!Data_BS[TenCongTyID],TDP!$B$1,[1]!Data_BS[Thang.Nam],TDP!AH$5)</f>
        <v>0</v>
      </c>
      <c r="AI60" s="380">
        <f>SUMIFS([1]!Data_BS[Value],[1]!Data_BS[Index BS],TDP!$B60,[1]!Data_BS[TenCongTyID],TDP!$B$1,[1]!Data_BS[Thang.Nam],TDP!AI$5)</f>
        <v>0</v>
      </c>
      <c r="AJ60" s="380">
        <f>SUMIFS([1]!Data_BS[Value],[1]!Data_BS[Index BS],TDP!$B60,[1]!Data_BS[TenCongTyID],TDP!$B$1,[1]!Data_BS[Thang.Nam],TDP!AJ$5)</f>
        <v>0</v>
      </c>
      <c r="AK60" s="380">
        <f>SUMIFS([1]!Data_BS[Value],[1]!Data_BS[Index BS],TDP!$B60,[1]!Data_BS[TenCongTyID],TDP!$B$1,[1]!Data_BS[Thang.Nam],TDP!AK$5)</f>
        <v>0</v>
      </c>
      <c r="AL60" s="381">
        <f>SUMIFS([1]!Data_BS[Value],[1]!Data_BS[Index BS],TDP!$B60,[1]!Data_BS[TenCongTyID],TDP!$B$1,[1]!Data_BS[Thang.Nam],TDP!AL$5)</f>
        <v>0</v>
      </c>
    </row>
    <row r="61" spans="1:38" ht="15" hidden="1" customHeight="1" outlineLevel="1">
      <c r="A61" s="73" t="s">
        <v>145</v>
      </c>
      <c r="B61" s="63">
        <v>56</v>
      </c>
      <c r="C61" s="64"/>
      <c r="D61" s="69"/>
      <c r="E61" s="69"/>
      <c r="F61" s="379"/>
      <c r="G61" s="69"/>
      <c r="H61" s="69"/>
      <c r="I61" s="69"/>
      <c r="J61" s="69"/>
      <c r="K61" s="69"/>
      <c r="L61" s="69"/>
      <c r="M61" s="379"/>
      <c r="N61" s="85"/>
      <c r="O61" s="64"/>
      <c r="P61" s="69"/>
      <c r="Q61" s="69"/>
      <c r="R61" s="379"/>
      <c r="S61" s="69"/>
      <c r="T61" s="69"/>
      <c r="U61" s="69"/>
      <c r="V61" s="69"/>
      <c r="W61" s="69"/>
      <c r="X61" s="69"/>
      <c r="Y61" s="379"/>
      <c r="Z61" s="379">
        <v>0</v>
      </c>
      <c r="AA61" s="380">
        <f>SUMIFS([1]!Data_BS[Value],[1]!Data_BS[Index BS],TDP!$B61,[1]!Data_BS[TenCongTyID],TDP!$B$1,[1]!Data_BS[Thang.Nam],TDP!AA$5)</f>
        <v>0</v>
      </c>
      <c r="AB61" s="380">
        <f>SUMIFS([1]!Data_BS[Value],[1]!Data_BS[Index BS],TDP!$B61,[1]!Data_BS[TenCongTyID],TDP!$B$1,[1]!Data_BS[Thang.Nam],TDP!AB$5)</f>
        <v>0</v>
      </c>
      <c r="AC61" s="380">
        <f>SUMIFS([1]!Data_BS[Value],[1]!Data_BS[Index BS],TDP!$B61,[1]!Data_BS[TenCongTyID],TDP!$B$1,[1]!Data_BS[Thang.Nam],TDP!AC$5)</f>
        <v>0</v>
      </c>
      <c r="AD61" s="380">
        <f>SUMIFS([1]!Data_BS[Value],[1]!Data_BS[Index BS],TDP!$B61,[1]!Data_BS[TenCongTyID],TDP!$B$1,[1]!Data_BS[Thang.Nam],TDP!AD$5)</f>
        <v>0</v>
      </c>
      <c r="AE61" s="380">
        <f>SUMIFS([1]!Data_BS[Value],[1]!Data_BS[Index BS],TDP!$B61,[1]!Data_BS[TenCongTyID],TDP!$B$1,[1]!Data_BS[Thang.Nam],TDP!AE$5)</f>
        <v>0</v>
      </c>
      <c r="AF61" s="380">
        <f>SUMIFS([1]!Data_BS[Value],[1]!Data_BS[Index BS],TDP!$B61,[1]!Data_BS[TenCongTyID],TDP!$B$1,[1]!Data_BS[Thang.Nam],TDP!AF$5)</f>
        <v>0</v>
      </c>
      <c r="AG61" s="380">
        <f>SUMIFS([1]!Data_BS[Value],[1]!Data_BS[Index BS],TDP!$B61,[1]!Data_BS[TenCongTyID],TDP!$B$1,[1]!Data_BS[Thang.Nam],TDP!AG$5)</f>
        <v>0</v>
      </c>
      <c r="AH61" s="380">
        <f>SUMIFS([1]!Data_BS[Value],[1]!Data_BS[Index BS],TDP!$B61,[1]!Data_BS[TenCongTyID],TDP!$B$1,[1]!Data_BS[Thang.Nam],TDP!AH$5)</f>
        <v>0</v>
      </c>
      <c r="AI61" s="380">
        <f>SUMIFS([1]!Data_BS[Value],[1]!Data_BS[Index BS],TDP!$B61,[1]!Data_BS[TenCongTyID],TDP!$B$1,[1]!Data_BS[Thang.Nam],TDP!AI$5)</f>
        <v>0</v>
      </c>
      <c r="AJ61" s="380">
        <f>SUMIFS([1]!Data_BS[Value],[1]!Data_BS[Index BS],TDP!$B61,[1]!Data_BS[TenCongTyID],TDP!$B$1,[1]!Data_BS[Thang.Nam],TDP!AJ$5)</f>
        <v>0</v>
      </c>
      <c r="AK61" s="380">
        <f>SUMIFS([1]!Data_BS[Value],[1]!Data_BS[Index BS],TDP!$B61,[1]!Data_BS[TenCongTyID],TDP!$B$1,[1]!Data_BS[Thang.Nam],TDP!AK$5)</f>
        <v>0</v>
      </c>
      <c r="AL61" s="381">
        <f>SUMIFS([1]!Data_BS[Value],[1]!Data_BS[Index BS],TDP!$B61,[1]!Data_BS[TenCongTyID],TDP!$B$1,[1]!Data_BS[Thang.Nam],TDP!AL$5)</f>
        <v>0</v>
      </c>
    </row>
    <row r="62" spans="1:38" ht="15" hidden="1" customHeight="1" outlineLevel="1">
      <c r="A62" s="73" t="s">
        <v>146</v>
      </c>
      <c r="B62" s="63">
        <v>57</v>
      </c>
      <c r="C62" s="64"/>
      <c r="D62" s="69"/>
      <c r="E62" s="69"/>
      <c r="F62" s="379"/>
      <c r="G62" s="69"/>
      <c r="H62" s="69"/>
      <c r="I62" s="69"/>
      <c r="J62" s="69"/>
      <c r="K62" s="69"/>
      <c r="L62" s="69"/>
      <c r="M62" s="379"/>
      <c r="N62" s="85"/>
      <c r="O62" s="64"/>
      <c r="P62" s="69"/>
      <c r="Q62" s="69"/>
      <c r="R62" s="379"/>
      <c r="S62" s="69"/>
      <c r="T62" s="69"/>
      <c r="U62" s="69"/>
      <c r="V62" s="69"/>
      <c r="W62" s="69"/>
      <c r="X62" s="69"/>
      <c r="Y62" s="379"/>
      <c r="Z62" s="379">
        <v>0</v>
      </c>
      <c r="AA62" s="380">
        <f>SUMIFS([1]!Data_BS[Value],[1]!Data_BS[Index BS],TDP!$B62,[1]!Data_BS[TenCongTyID],TDP!$B$1,[1]!Data_BS[Thang.Nam],TDP!AA$5)</f>
        <v>0</v>
      </c>
      <c r="AB62" s="380">
        <f>SUMIFS([1]!Data_BS[Value],[1]!Data_BS[Index BS],TDP!$B62,[1]!Data_BS[TenCongTyID],TDP!$B$1,[1]!Data_BS[Thang.Nam],TDP!AB$5)</f>
        <v>0</v>
      </c>
      <c r="AC62" s="380">
        <f>SUMIFS([1]!Data_BS[Value],[1]!Data_BS[Index BS],TDP!$B62,[1]!Data_BS[TenCongTyID],TDP!$B$1,[1]!Data_BS[Thang.Nam],TDP!AC$5)</f>
        <v>0</v>
      </c>
      <c r="AD62" s="380">
        <f>SUMIFS([1]!Data_BS[Value],[1]!Data_BS[Index BS],TDP!$B62,[1]!Data_BS[TenCongTyID],TDP!$B$1,[1]!Data_BS[Thang.Nam],TDP!AD$5)</f>
        <v>0</v>
      </c>
      <c r="AE62" s="380">
        <f>SUMIFS([1]!Data_BS[Value],[1]!Data_BS[Index BS],TDP!$B62,[1]!Data_BS[TenCongTyID],TDP!$B$1,[1]!Data_BS[Thang.Nam],TDP!AE$5)</f>
        <v>0</v>
      </c>
      <c r="AF62" s="380">
        <f>SUMIFS([1]!Data_BS[Value],[1]!Data_BS[Index BS],TDP!$B62,[1]!Data_BS[TenCongTyID],TDP!$B$1,[1]!Data_BS[Thang.Nam],TDP!AF$5)</f>
        <v>0</v>
      </c>
      <c r="AG62" s="380">
        <f>SUMIFS([1]!Data_BS[Value],[1]!Data_BS[Index BS],TDP!$B62,[1]!Data_BS[TenCongTyID],TDP!$B$1,[1]!Data_BS[Thang.Nam],TDP!AG$5)</f>
        <v>0</v>
      </c>
      <c r="AH62" s="380">
        <f>SUMIFS([1]!Data_BS[Value],[1]!Data_BS[Index BS],TDP!$B62,[1]!Data_BS[TenCongTyID],TDP!$B$1,[1]!Data_BS[Thang.Nam],TDP!AH$5)</f>
        <v>0</v>
      </c>
      <c r="AI62" s="380">
        <f>SUMIFS([1]!Data_BS[Value],[1]!Data_BS[Index BS],TDP!$B62,[1]!Data_BS[TenCongTyID],TDP!$B$1,[1]!Data_BS[Thang.Nam],TDP!AI$5)</f>
        <v>0</v>
      </c>
      <c r="AJ62" s="380">
        <f>SUMIFS([1]!Data_BS[Value],[1]!Data_BS[Index BS],TDP!$B62,[1]!Data_BS[TenCongTyID],TDP!$B$1,[1]!Data_BS[Thang.Nam],TDP!AJ$5)</f>
        <v>0</v>
      </c>
      <c r="AK62" s="380">
        <f>SUMIFS([1]!Data_BS[Value],[1]!Data_BS[Index BS],TDP!$B62,[1]!Data_BS[TenCongTyID],TDP!$B$1,[1]!Data_BS[Thang.Nam],TDP!AK$5)</f>
        <v>0</v>
      </c>
      <c r="AL62" s="381">
        <f>SUMIFS([1]!Data_BS[Value],[1]!Data_BS[Index BS],TDP!$B62,[1]!Data_BS[TenCongTyID],TDP!$B$1,[1]!Data_BS[Thang.Nam],TDP!AL$5)</f>
        <v>0</v>
      </c>
    </row>
    <row r="63" spans="1:38" ht="15" hidden="1" customHeight="1" outlineLevel="1">
      <c r="A63" s="73" t="s">
        <v>147</v>
      </c>
      <c r="B63" s="63">
        <v>58</v>
      </c>
      <c r="C63" s="64"/>
      <c r="D63" s="69"/>
      <c r="E63" s="69"/>
      <c r="F63" s="379"/>
      <c r="G63" s="69"/>
      <c r="H63" s="69"/>
      <c r="I63" s="69"/>
      <c r="J63" s="69"/>
      <c r="K63" s="69"/>
      <c r="L63" s="69"/>
      <c r="M63" s="379"/>
      <c r="N63" s="85"/>
      <c r="O63" s="64"/>
      <c r="P63" s="69"/>
      <c r="Q63" s="69"/>
      <c r="R63" s="379"/>
      <c r="S63" s="69"/>
      <c r="T63" s="69"/>
      <c r="U63" s="69"/>
      <c r="V63" s="69"/>
      <c r="W63" s="69"/>
      <c r="X63" s="69"/>
      <c r="Y63" s="379"/>
      <c r="Z63" s="379">
        <v>0</v>
      </c>
      <c r="AA63" s="380">
        <f>SUMIFS([1]!Data_BS[Value],[1]!Data_BS[Index BS],TDP!$B63,[1]!Data_BS[TenCongTyID],TDP!$B$1,[1]!Data_BS[Thang.Nam],TDP!AA$5)</f>
        <v>0</v>
      </c>
      <c r="AB63" s="380">
        <f>SUMIFS([1]!Data_BS[Value],[1]!Data_BS[Index BS],TDP!$B63,[1]!Data_BS[TenCongTyID],TDP!$B$1,[1]!Data_BS[Thang.Nam],TDP!AB$5)</f>
        <v>0</v>
      </c>
      <c r="AC63" s="380">
        <f>SUMIFS([1]!Data_BS[Value],[1]!Data_BS[Index BS],TDP!$B63,[1]!Data_BS[TenCongTyID],TDP!$B$1,[1]!Data_BS[Thang.Nam],TDP!AC$5)</f>
        <v>0</v>
      </c>
      <c r="AD63" s="380">
        <f>SUMIFS([1]!Data_BS[Value],[1]!Data_BS[Index BS],TDP!$B63,[1]!Data_BS[TenCongTyID],TDP!$B$1,[1]!Data_BS[Thang.Nam],TDP!AD$5)</f>
        <v>0</v>
      </c>
      <c r="AE63" s="380">
        <f>SUMIFS([1]!Data_BS[Value],[1]!Data_BS[Index BS],TDP!$B63,[1]!Data_BS[TenCongTyID],TDP!$B$1,[1]!Data_BS[Thang.Nam],TDP!AE$5)</f>
        <v>0</v>
      </c>
      <c r="AF63" s="380">
        <f>SUMIFS([1]!Data_BS[Value],[1]!Data_BS[Index BS],TDP!$B63,[1]!Data_BS[TenCongTyID],TDP!$B$1,[1]!Data_BS[Thang.Nam],TDP!AF$5)</f>
        <v>0</v>
      </c>
      <c r="AG63" s="380">
        <f>SUMIFS([1]!Data_BS[Value],[1]!Data_BS[Index BS],TDP!$B63,[1]!Data_BS[TenCongTyID],TDP!$B$1,[1]!Data_BS[Thang.Nam],TDP!AG$5)</f>
        <v>0</v>
      </c>
      <c r="AH63" s="380">
        <f>SUMIFS([1]!Data_BS[Value],[1]!Data_BS[Index BS],TDP!$B63,[1]!Data_BS[TenCongTyID],TDP!$B$1,[1]!Data_BS[Thang.Nam],TDP!AH$5)</f>
        <v>0</v>
      </c>
      <c r="AI63" s="380">
        <f>SUMIFS([1]!Data_BS[Value],[1]!Data_BS[Index BS],TDP!$B63,[1]!Data_BS[TenCongTyID],TDP!$B$1,[1]!Data_BS[Thang.Nam],TDP!AI$5)</f>
        <v>0</v>
      </c>
      <c r="AJ63" s="380">
        <f>SUMIFS([1]!Data_BS[Value],[1]!Data_BS[Index BS],TDP!$B63,[1]!Data_BS[TenCongTyID],TDP!$B$1,[1]!Data_BS[Thang.Nam],TDP!AJ$5)</f>
        <v>0</v>
      </c>
      <c r="AK63" s="380">
        <f>SUMIFS([1]!Data_BS[Value],[1]!Data_BS[Index BS],TDP!$B63,[1]!Data_BS[TenCongTyID],TDP!$B$1,[1]!Data_BS[Thang.Nam],TDP!AK$5)</f>
        <v>0</v>
      </c>
      <c r="AL63" s="381">
        <f>SUMIFS([1]!Data_BS[Value],[1]!Data_BS[Index BS],TDP!$B63,[1]!Data_BS[TenCongTyID],TDP!$B$1,[1]!Data_BS[Thang.Nam],TDP!AL$5)</f>
        <v>0</v>
      </c>
    </row>
    <row r="64" spans="1:38" ht="15" hidden="1" customHeight="1" outlineLevel="1">
      <c r="A64" s="73" t="s">
        <v>148</v>
      </c>
      <c r="B64" s="63">
        <v>59</v>
      </c>
      <c r="C64" s="64"/>
      <c r="D64" s="69"/>
      <c r="E64" s="69"/>
      <c r="F64" s="379"/>
      <c r="G64" s="69"/>
      <c r="H64" s="69"/>
      <c r="I64" s="69"/>
      <c r="J64" s="69"/>
      <c r="K64" s="69"/>
      <c r="L64" s="69"/>
      <c r="M64" s="379"/>
      <c r="N64" s="85"/>
      <c r="O64" s="64"/>
      <c r="P64" s="69"/>
      <c r="Q64" s="69"/>
      <c r="R64" s="379"/>
      <c r="S64" s="69"/>
      <c r="T64" s="69"/>
      <c r="U64" s="69"/>
      <c r="V64" s="69"/>
      <c r="W64" s="69"/>
      <c r="X64" s="69"/>
      <c r="Y64" s="379"/>
      <c r="Z64" s="379">
        <v>0</v>
      </c>
      <c r="AA64" s="380">
        <f>SUMIFS([1]!Data_BS[Value],[1]!Data_BS[Index BS],TDP!$B64,[1]!Data_BS[TenCongTyID],TDP!$B$1,[1]!Data_BS[Thang.Nam],TDP!AA$5)</f>
        <v>0</v>
      </c>
      <c r="AB64" s="380">
        <f>SUMIFS([1]!Data_BS[Value],[1]!Data_BS[Index BS],TDP!$B64,[1]!Data_BS[TenCongTyID],TDP!$B$1,[1]!Data_BS[Thang.Nam],TDP!AB$5)</f>
        <v>0</v>
      </c>
      <c r="AC64" s="380">
        <f>SUMIFS([1]!Data_BS[Value],[1]!Data_BS[Index BS],TDP!$B64,[1]!Data_BS[TenCongTyID],TDP!$B$1,[1]!Data_BS[Thang.Nam],TDP!AC$5)</f>
        <v>0</v>
      </c>
      <c r="AD64" s="380">
        <f>SUMIFS([1]!Data_BS[Value],[1]!Data_BS[Index BS],TDP!$B64,[1]!Data_BS[TenCongTyID],TDP!$B$1,[1]!Data_BS[Thang.Nam],TDP!AD$5)</f>
        <v>0</v>
      </c>
      <c r="AE64" s="380">
        <f>SUMIFS([1]!Data_BS[Value],[1]!Data_BS[Index BS],TDP!$B64,[1]!Data_BS[TenCongTyID],TDP!$B$1,[1]!Data_BS[Thang.Nam],TDP!AE$5)</f>
        <v>0</v>
      </c>
      <c r="AF64" s="380">
        <f>SUMIFS([1]!Data_BS[Value],[1]!Data_BS[Index BS],TDP!$B64,[1]!Data_BS[TenCongTyID],TDP!$B$1,[1]!Data_BS[Thang.Nam],TDP!AF$5)</f>
        <v>0</v>
      </c>
      <c r="AG64" s="380">
        <f>SUMIFS([1]!Data_BS[Value],[1]!Data_BS[Index BS],TDP!$B64,[1]!Data_BS[TenCongTyID],TDP!$B$1,[1]!Data_BS[Thang.Nam],TDP!AG$5)</f>
        <v>0</v>
      </c>
      <c r="AH64" s="380">
        <f>SUMIFS([1]!Data_BS[Value],[1]!Data_BS[Index BS],TDP!$B64,[1]!Data_BS[TenCongTyID],TDP!$B$1,[1]!Data_BS[Thang.Nam],TDP!AH$5)</f>
        <v>0</v>
      </c>
      <c r="AI64" s="380">
        <f>SUMIFS([1]!Data_BS[Value],[1]!Data_BS[Index BS],TDP!$B64,[1]!Data_BS[TenCongTyID],TDP!$B$1,[1]!Data_BS[Thang.Nam],TDP!AI$5)</f>
        <v>0</v>
      </c>
      <c r="AJ64" s="380">
        <f>SUMIFS([1]!Data_BS[Value],[1]!Data_BS[Index BS],TDP!$B64,[1]!Data_BS[TenCongTyID],TDP!$B$1,[1]!Data_BS[Thang.Nam],TDP!AJ$5)</f>
        <v>0</v>
      </c>
      <c r="AK64" s="380">
        <f>SUMIFS([1]!Data_BS[Value],[1]!Data_BS[Index BS],TDP!$B64,[1]!Data_BS[TenCongTyID],TDP!$B$1,[1]!Data_BS[Thang.Nam],TDP!AK$5)</f>
        <v>0</v>
      </c>
      <c r="AL64" s="381">
        <f>SUMIFS([1]!Data_BS[Value],[1]!Data_BS[Index BS],TDP!$B64,[1]!Data_BS[TenCongTyID],TDP!$B$1,[1]!Data_BS[Thang.Nam],TDP!AL$5)</f>
        <v>0</v>
      </c>
    </row>
    <row r="65" spans="1:38" ht="15" hidden="1" customHeight="1" outlineLevel="1">
      <c r="A65" s="72" t="s">
        <v>149</v>
      </c>
      <c r="B65" s="65">
        <v>60</v>
      </c>
      <c r="C65" s="64"/>
      <c r="D65" s="69"/>
      <c r="E65" s="69"/>
      <c r="F65" s="379"/>
      <c r="G65" s="69"/>
      <c r="H65" s="69">
        <v>0</v>
      </c>
      <c r="I65" s="69"/>
      <c r="J65" s="69"/>
      <c r="K65" s="69"/>
      <c r="L65" s="69"/>
      <c r="M65" s="379"/>
      <c r="N65" s="85"/>
      <c r="O65" s="64"/>
      <c r="P65" s="69"/>
      <c r="Q65" s="69"/>
      <c r="R65" s="379"/>
      <c r="S65" s="69"/>
      <c r="T65" s="69">
        <v>0</v>
      </c>
      <c r="U65" s="69"/>
      <c r="V65" s="69"/>
      <c r="W65" s="69"/>
      <c r="X65" s="69"/>
      <c r="Y65" s="379"/>
      <c r="Z65" s="379">
        <v>0</v>
      </c>
      <c r="AA65" s="380">
        <f>SUMIFS([1]!Data_BS[Value],[1]!Data_BS[Index BS],TDP!$B65,[1]!Data_BS[TenCongTyID],TDP!$B$1,[1]!Data_BS[Thang.Nam],TDP!AA$5)</f>
        <v>0</v>
      </c>
      <c r="AB65" s="380">
        <f>SUMIFS([1]!Data_BS[Value],[1]!Data_BS[Index BS],TDP!$B65,[1]!Data_BS[TenCongTyID],TDP!$B$1,[1]!Data_BS[Thang.Nam],TDP!AB$5)</f>
        <v>0</v>
      </c>
      <c r="AC65" s="380">
        <f>SUMIFS([1]!Data_BS[Value],[1]!Data_BS[Index BS],TDP!$B65,[1]!Data_BS[TenCongTyID],TDP!$B$1,[1]!Data_BS[Thang.Nam],TDP!AC$5)</f>
        <v>0</v>
      </c>
      <c r="AD65" s="380">
        <f>SUMIFS([1]!Data_BS[Value],[1]!Data_BS[Index BS],TDP!$B65,[1]!Data_BS[TenCongTyID],TDP!$B$1,[1]!Data_BS[Thang.Nam],TDP!AD$5)</f>
        <v>0</v>
      </c>
      <c r="AE65" s="380">
        <f>SUMIFS([1]!Data_BS[Value],[1]!Data_BS[Index BS],TDP!$B65,[1]!Data_BS[TenCongTyID],TDP!$B$1,[1]!Data_BS[Thang.Nam],TDP!AE$5)</f>
        <v>0</v>
      </c>
      <c r="AF65" s="380">
        <f>SUMIFS([1]!Data_BS[Value],[1]!Data_BS[Index BS],TDP!$B65,[1]!Data_BS[TenCongTyID],TDP!$B$1,[1]!Data_BS[Thang.Nam],TDP!AF$5)</f>
        <v>0</v>
      </c>
      <c r="AG65" s="380">
        <f>SUMIFS([1]!Data_BS[Value],[1]!Data_BS[Index BS],TDP!$B65,[1]!Data_BS[TenCongTyID],TDP!$B$1,[1]!Data_BS[Thang.Nam],TDP!AG$5)</f>
        <v>0</v>
      </c>
      <c r="AH65" s="380">
        <f>SUMIFS([1]!Data_BS[Value],[1]!Data_BS[Index BS],TDP!$B65,[1]!Data_BS[TenCongTyID],TDP!$B$1,[1]!Data_BS[Thang.Nam],TDP!AH$5)</f>
        <v>0</v>
      </c>
      <c r="AI65" s="380">
        <f>SUMIFS([1]!Data_BS[Value],[1]!Data_BS[Index BS],TDP!$B65,[1]!Data_BS[TenCongTyID],TDP!$B$1,[1]!Data_BS[Thang.Nam],TDP!AI$5)</f>
        <v>0</v>
      </c>
      <c r="AJ65" s="380">
        <f>SUMIFS([1]!Data_BS[Value],[1]!Data_BS[Index BS],TDP!$B65,[1]!Data_BS[TenCongTyID],TDP!$B$1,[1]!Data_BS[Thang.Nam],TDP!AJ$5)</f>
        <v>0</v>
      </c>
      <c r="AK65" s="380">
        <f>SUMIFS([1]!Data_BS[Value],[1]!Data_BS[Index BS],TDP!$B65,[1]!Data_BS[TenCongTyID],TDP!$B$1,[1]!Data_BS[Thang.Nam],TDP!AK$5)</f>
        <v>0</v>
      </c>
      <c r="AL65" s="381">
        <f>SUMIFS([1]!Data_BS[Value],[1]!Data_BS[Index BS],TDP!$B65,[1]!Data_BS[TenCongTyID],TDP!$B$1,[1]!Data_BS[Thang.Nam],TDP!AL$5)</f>
        <v>0</v>
      </c>
    </row>
    <row r="66" spans="1:38" ht="15" hidden="1" customHeight="1" outlineLevel="1">
      <c r="A66" s="62" t="s">
        <v>150</v>
      </c>
      <c r="B66" s="63">
        <v>61</v>
      </c>
      <c r="C66" s="64"/>
      <c r="D66" s="69"/>
      <c r="E66" s="69"/>
      <c r="F66" s="379"/>
      <c r="G66" s="69"/>
      <c r="H66" s="69">
        <v>0</v>
      </c>
      <c r="I66" s="69"/>
      <c r="J66" s="69"/>
      <c r="K66" s="69"/>
      <c r="L66" s="69"/>
      <c r="M66" s="379"/>
      <c r="N66" s="85"/>
      <c r="O66" s="64"/>
      <c r="P66" s="69"/>
      <c r="Q66" s="69"/>
      <c r="R66" s="379"/>
      <c r="S66" s="69"/>
      <c r="T66" s="69">
        <v>0</v>
      </c>
      <c r="U66" s="69"/>
      <c r="V66" s="69"/>
      <c r="W66" s="69"/>
      <c r="X66" s="69"/>
      <c r="Y66" s="379"/>
      <c r="Z66" s="379">
        <v>0</v>
      </c>
      <c r="AA66" s="380">
        <f>SUMIFS([1]!Data_BS[Value],[1]!Data_BS[Index BS],TDP!$B66,[1]!Data_BS[TenCongTyID],TDP!$B$1,[1]!Data_BS[Thang.Nam],TDP!AA$5)</f>
        <v>0</v>
      </c>
      <c r="AB66" s="380">
        <f>SUMIFS([1]!Data_BS[Value],[1]!Data_BS[Index BS],TDP!$B66,[1]!Data_BS[TenCongTyID],TDP!$B$1,[1]!Data_BS[Thang.Nam],TDP!AB$5)</f>
        <v>0</v>
      </c>
      <c r="AC66" s="380">
        <f>SUMIFS([1]!Data_BS[Value],[1]!Data_BS[Index BS],TDP!$B66,[1]!Data_BS[TenCongTyID],TDP!$B$1,[1]!Data_BS[Thang.Nam],TDP!AC$5)</f>
        <v>0</v>
      </c>
      <c r="AD66" s="380">
        <f>SUMIFS([1]!Data_BS[Value],[1]!Data_BS[Index BS],TDP!$B66,[1]!Data_BS[TenCongTyID],TDP!$B$1,[1]!Data_BS[Thang.Nam],TDP!AD$5)</f>
        <v>0</v>
      </c>
      <c r="AE66" s="380">
        <f>SUMIFS([1]!Data_BS[Value],[1]!Data_BS[Index BS],TDP!$B66,[1]!Data_BS[TenCongTyID],TDP!$B$1,[1]!Data_BS[Thang.Nam],TDP!AE$5)</f>
        <v>0</v>
      </c>
      <c r="AF66" s="380">
        <f>SUMIFS([1]!Data_BS[Value],[1]!Data_BS[Index BS],TDP!$B66,[1]!Data_BS[TenCongTyID],TDP!$B$1,[1]!Data_BS[Thang.Nam],TDP!AF$5)</f>
        <v>0</v>
      </c>
      <c r="AG66" s="380">
        <f>SUMIFS([1]!Data_BS[Value],[1]!Data_BS[Index BS],TDP!$B66,[1]!Data_BS[TenCongTyID],TDP!$B$1,[1]!Data_BS[Thang.Nam],TDP!AG$5)</f>
        <v>0</v>
      </c>
      <c r="AH66" s="380">
        <f>SUMIFS([1]!Data_BS[Value],[1]!Data_BS[Index BS],TDP!$B66,[1]!Data_BS[TenCongTyID],TDP!$B$1,[1]!Data_BS[Thang.Nam],TDP!AH$5)</f>
        <v>0</v>
      </c>
      <c r="AI66" s="380">
        <f>SUMIFS([1]!Data_BS[Value],[1]!Data_BS[Index BS],TDP!$B66,[1]!Data_BS[TenCongTyID],TDP!$B$1,[1]!Data_BS[Thang.Nam],TDP!AI$5)</f>
        <v>0</v>
      </c>
      <c r="AJ66" s="380">
        <f>SUMIFS([1]!Data_BS[Value],[1]!Data_BS[Index BS],TDP!$B66,[1]!Data_BS[TenCongTyID],TDP!$B$1,[1]!Data_BS[Thang.Nam],TDP!AJ$5)</f>
        <v>0</v>
      </c>
      <c r="AK66" s="380">
        <f>SUMIFS([1]!Data_BS[Value],[1]!Data_BS[Index BS],TDP!$B66,[1]!Data_BS[TenCongTyID],TDP!$B$1,[1]!Data_BS[Thang.Nam],TDP!AK$5)</f>
        <v>0</v>
      </c>
      <c r="AL66" s="381">
        <f>SUMIFS([1]!Data_BS[Value],[1]!Data_BS[Index BS],TDP!$B66,[1]!Data_BS[TenCongTyID],TDP!$B$1,[1]!Data_BS[Thang.Nam],TDP!AL$5)</f>
        <v>0</v>
      </c>
    </row>
    <row r="67" spans="1:38" ht="15" hidden="1" customHeight="1" outlineLevel="1">
      <c r="A67" s="62" t="s">
        <v>151</v>
      </c>
      <c r="B67" s="63">
        <v>62</v>
      </c>
      <c r="C67" s="64"/>
      <c r="D67" s="69"/>
      <c r="E67" s="69"/>
      <c r="F67" s="379"/>
      <c r="G67" s="69"/>
      <c r="H67" s="69">
        <v>0</v>
      </c>
      <c r="I67" s="69"/>
      <c r="J67" s="69"/>
      <c r="K67" s="69"/>
      <c r="L67" s="69"/>
      <c r="M67" s="379"/>
      <c r="N67" s="85"/>
      <c r="O67" s="64"/>
      <c r="P67" s="69"/>
      <c r="Q67" s="69"/>
      <c r="R67" s="379"/>
      <c r="S67" s="69"/>
      <c r="T67" s="69">
        <v>0</v>
      </c>
      <c r="U67" s="69"/>
      <c r="V67" s="69"/>
      <c r="W67" s="69"/>
      <c r="X67" s="69"/>
      <c r="Y67" s="379"/>
      <c r="Z67" s="379">
        <v>0</v>
      </c>
      <c r="AA67" s="380">
        <f>SUMIFS([1]!Data_BS[Value],[1]!Data_BS[Index BS],TDP!$B67,[1]!Data_BS[TenCongTyID],TDP!$B$1,[1]!Data_BS[Thang.Nam],TDP!AA$5)</f>
        <v>0</v>
      </c>
      <c r="AB67" s="380">
        <f>SUMIFS([1]!Data_BS[Value],[1]!Data_BS[Index BS],TDP!$B67,[1]!Data_BS[TenCongTyID],TDP!$B$1,[1]!Data_BS[Thang.Nam],TDP!AB$5)</f>
        <v>0</v>
      </c>
      <c r="AC67" s="380">
        <f>SUMIFS([1]!Data_BS[Value],[1]!Data_BS[Index BS],TDP!$B67,[1]!Data_BS[TenCongTyID],TDP!$B$1,[1]!Data_BS[Thang.Nam],TDP!AC$5)</f>
        <v>0</v>
      </c>
      <c r="AD67" s="380">
        <f>SUMIFS([1]!Data_BS[Value],[1]!Data_BS[Index BS],TDP!$B67,[1]!Data_BS[TenCongTyID],TDP!$B$1,[1]!Data_BS[Thang.Nam],TDP!AD$5)</f>
        <v>0</v>
      </c>
      <c r="AE67" s="380">
        <f>SUMIFS([1]!Data_BS[Value],[1]!Data_BS[Index BS],TDP!$B67,[1]!Data_BS[TenCongTyID],TDP!$B$1,[1]!Data_BS[Thang.Nam],TDP!AE$5)</f>
        <v>0</v>
      </c>
      <c r="AF67" s="380">
        <f>SUMIFS([1]!Data_BS[Value],[1]!Data_BS[Index BS],TDP!$B67,[1]!Data_BS[TenCongTyID],TDP!$B$1,[1]!Data_BS[Thang.Nam],TDP!AF$5)</f>
        <v>0</v>
      </c>
      <c r="AG67" s="380">
        <f>SUMIFS([1]!Data_BS[Value],[1]!Data_BS[Index BS],TDP!$B67,[1]!Data_BS[TenCongTyID],TDP!$B$1,[1]!Data_BS[Thang.Nam],TDP!AG$5)</f>
        <v>0</v>
      </c>
      <c r="AH67" s="380">
        <f>SUMIFS([1]!Data_BS[Value],[1]!Data_BS[Index BS],TDP!$B67,[1]!Data_BS[TenCongTyID],TDP!$B$1,[1]!Data_BS[Thang.Nam],TDP!AH$5)</f>
        <v>0</v>
      </c>
      <c r="AI67" s="380">
        <f>SUMIFS([1]!Data_BS[Value],[1]!Data_BS[Index BS],TDP!$B67,[1]!Data_BS[TenCongTyID],TDP!$B$1,[1]!Data_BS[Thang.Nam],TDP!AI$5)</f>
        <v>0</v>
      </c>
      <c r="AJ67" s="380">
        <f>SUMIFS([1]!Data_BS[Value],[1]!Data_BS[Index BS],TDP!$B67,[1]!Data_BS[TenCongTyID],TDP!$B$1,[1]!Data_BS[Thang.Nam],TDP!AJ$5)</f>
        <v>0</v>
      </c>
      <c r="AK67" s="380">
        <f>SUMIFS([1]!Data_BS[Value],[1]!Data_BS[Index BS],TDP!$B67,[1]!Data_BS[TenCongTyID],TDP!$B$1,[1]!Data_BS[Thang.Nam],TDP!AK$5)</f>
        <v>0</v>
      </c>
      <c r="AL67" s="381">
        <f>SUMIFS([1]!Data_BS[Value],[1]!Data_BS[Index BS],TDP!$B67,[1]!Data_BS[TenCongTyID],TDP!$B$1,[1]!Data_BS[Thang.Nam],TDP!AL$5)</f>
        <v>0</v>
      </c>
    </row>
    <row r="68" spans="1:38" ht="15" hidden="1" customHeight="1" outlineLevel="1">
      <c r="A68" s="72" t="s">
        <v>152</v>
      </c>
      <c r="B68" s="65">
        <v>63</v>
      </c>
      <c r="C68" s="64"/>
      <c r="D68" s="69"/>
      <c r="E68" s="69"/>
      <c r="F68" s="379"/>
      <c r="G68" s="69"/>
      <c r="H68" s="69">
        <v>0</v>
      </c>
      <c r="I68" s="69"/>
      <c r="J68" s="69"/>
      <c r="K68" s="69"/>
      <c r="L68" s="69"/>
      <c r="M68" s="379"/>
      <c r="N68" s="85"/>
      <c r="O68" s="64"/>
      <c r="P68" s="69"/>
      <c r="Q68" s="69"/>
      <c r="R68" s="379"/>
      <c r="S68" s="69"/>
      <c r="T68" s="69">
        <v>0</v>
      </c>
      <c r="U68" s="69"/>
      <c r="V68" s="386">
        <v>0</v>
      </c>
      <c r="W68" s="386"/>
      <c r="X68" s="69"/>
      <c r="Y68" s="379"/>
      <c r="Z68" s="379">
        <v>0</v>
      </c>
      <c r="AA68" s="380">
        <f>SUMIFS([1]!Data_BS[Value],[1]!Data_BS[Index BS],TDP!$B68,[1]!Data_BS[TenCongTyID],TDP!$B$1,[1]!Data_BS[Thang.Nam],TDP!AA$5)</f>
        <v>0</v>
      </c>
      <c r="AB68" s="380">
        <f>SUMIFS([1]!Data_BS[Value],[1]!Data_BS[Index BS],TDP!$B68,[1]!Data_BS[TenCongTyID],TDP!$B$1,[1]!Data_BS[Thang.Nam],TDP!AB$5)</f>
        <v>0</v>
      </c>
      <c r="AC68" s="380">
        <f>SUMIFS([1]!Data_BS[Value],[1]!Data_BS[Index BS],TDP!$B68,[1]!Data_BS[TenCongTyID],TDP!$B$1,[1]!Data_BS[Thang.Nam],TDP!AC$5)</f>
        <v>0</v>
      </c>
      <c r="AD68" s="380">
        <f>SUMIFS([1]!Data_BS[Value],[1]!Data_BS[Index BS],TDP!$B68,[1]!Data_BS[TenCongTyID],TDP!$B$1,[1]!Data_BS[Thang.Nam],TDP!AD$5)</f>
        <v>0</v>
      </c>
      <c r="AE68" s="380">
        <f>SUMIFS([1]!Data_BS[Value],[1]!Data_BS[Index BS],TDP!$B68,[1]!Data_BS[TenCongTyID],TDP!$B$1,[1]!Data_BS[Thang.Nam],TDP!AE$5)</f>
        <v>0</v>
      </c>
      <c r="AF68" s="380">
        <f>SUMIFS([1]!Data_BS[Value],[1]!Data_BS[Index BS],TDP!$B68,[1]!Data_BS[TenCongTyID],TDP!$B$1,[1]!Data_BS[Thang.Nam],TDP!AF$5)</f>
        <v>0</v>
      </c>
      <c r="AG68" s="380">
        <f>SUMIFS([1]!Data_BS[Value],[1]!Data_BS[Index BS],TDP!$B68,[1]!Data_BS[TenCongTyID],TDP!$B$1,[1]!Data_BS[Thang.Nam],TDP!AG$5)</f>
        <v>0</v>
      </c>
      <c r="AH68" s="380">
        <f>SUMIFS([1]!Data_BS[Value],[1]!Data_BS[Index BS],TDP!$B68,[1]!Data_BS[TenCongTyID],TDP!$B$1,[1]!Data_BS[Thang.Nam],TDP!AH$5)</f>
        <v>0</v>
      </c>
      <c r="AI68" s="380">
        <f>SUMIFS([1]!Data_BS[Value],[1]!Data_BS[Index BS],TDP!$B68,[1]!Data_BS[TenCongTyID],TDP!$B$1,[1]!Data_BS[Thang.Nam],TDP!AI$5)</f>
        <v>0</v>
      </c>
      <c r="AJ68" s="380">
        <f>SUMIFS([1]!Data_BS[Value],[1]!Data_BS[Index BS],TDP!$B68,[1]!Data_BS[TenCongTyID],TDP!$B$1,[1]!Data_BS[Thang.Nam],TDP!AJ$5)</f>
        <v>0</v>
      </c>
      <c r="AK68" s="380">
        <f>SUMIFS([1]!Data_BS[Value],[1]!Data_BS[Index BS],TDP!$B68,[1]!Data_BS[TenCongTyID],TDP!$B$1,[1]!Data_BS[Thang.Nam],TDP!AK$5)</f>
        <v>0</v>
      </c>
      <c r="AL68" s="381">
        <f>SUMIFS([1]!Data_BS[Value],[1]!Data_BS[Index BS],TDP!$B68,[1]!Data_BS[TenCongTyID],TDP!$B$1,[1]!Data_BS[Thang.Nam],TDP!AL$5)</f>
        <v>0</v>
      </c>
    </row>
    <row r="69" spans="1:38" ht="15" hidden="1" customHeight="1" outlineLevel="1">
      <c r="A69" s="62" t="s">
        <v>153</v>
      </c>
      <c r="B69" s="63">
        <v>64</v>
      </c>
      <c r="C69" s="64"/>
      <c r="D69" s="69"/>
      <c r="E69" s="69"/>
      <c r="F69" s="379"/>
      <c r="G69" s="69"/>
      <c r="H69" s="69">
        <v>0</v>
      </c>
      <c r="I69" s="69"/>
      <c r="J69" s="69"/>
      <c r="K69" s="69"/>
      <c r="L69" s="69"/>
      <c r="M69" s="379"/>
      <c r="N69" s="85"/>
      <c r="O69" s="64"/>
      <c r="P69" s="69"/>
      <c r="Q69" s="69"/>
      <c r="R69" s="379"/>
      <c r="S69" s="69"/>
      <c r="T69" s="69">
        <v>0</v>
      </c>
      <c r="U69" s="69"/>
      <c r="V69" s="69"/>
      <c r="W69" s="69"/>
      <c r="X69" s="69"/>
      <c r="Y69" s="379"/>
      <c r="Z69" s="379">
        <v>0</v>
      </c>
      <c r="AA69" s="380">
        <f>SUMIFS([1]!Data_BS[Value],[1]!Data_BS[Index BS],TDP!$B69,[1]!Data_BS[TenCongTyID],TDP!$B$1,[1]!Data_BS[Thang.Nam],TDP!AA$5)</f>
        <v>0</v>
      </c>
      <c r="AB69" s="380">
        <f>SUMIFS([1]!Data_BS[Value],[1]!Data_BS[Index BS],TDP!$B69,[1]!Data_BS[TenCongTyID],TDP!$B$1,[1]!Data_BS[Thang.Nam],TDP!AB$5)</f>
        <v>0</v>
      </c>
      <c r="AC69" s="380">
        <f>SUMIFS([1]!Data_BS[Value],[1]!Data_BS[Index BS],TDP!$B69,[1]!Data_BS[TenCongTyID],TDP!$B$1,[1]!Data_BS[Thang.Nam],TDP!AC$5)</f>
        <v>0</v>
      </c>
      <c r="AD69" s="380">
        <f>SUMIFS([1]!Data_BS[Value],[1]!Data_BS[Index BS],TDP!$B69,[1]!Data_BS[TenCongTyID],TDP!$B$1,[1]!Data_BS[Thang.Nam],TDP!AD$5)</f>
        <v>0</v>
      </c>
      <c r="AE69" s="380">
        <f>SUMIFS([1]!Data_BS[Value],[1]!Data_BS[Index BS],TDP!$B69,[1]!Data_BS[TenCongTyID],TDP!$B$1,[1]!Data_BS[Thang.Nam],TDP!AE$5)</f>
        <v>0</v>
      </c>
      <c r="AF69" s="380">
        <f>SUMIFS([1]!Data_BS[Value],[1]!Data_BS[Index BS],TDP!$B69,[1]!Data_BS[TenCongTyID],TDP!$B$1,[1]!Data_BS[Thang.Nam],TDP!AF$5)</f>
        <v>0</v>
      </c>
      <c r="AG69" s="380">
        <f>SUMIFS([1]!Data_BS[Value],[1]!Data_BS[Index BS],TDP!$B69,[1]!Data_BS[TenCongTyID],TDP!$B$1,[1]!Data_BS[Thang.Nam],TDP!AG$5)</f>
        <v>0</v>
      </c>
      <c r="AH69" s="380">
        <f>SUMIFS([1]!Data_BS[Value],[1]!Data_BS[Index BS],TDP!$B69,[1]!Data_BS[TenCongTyID],TDP!$B$1,[1]!Data_BS[Thang.Nam],TDP!AH$5)</f>
        <v>0</v>
      </c>
      <c r="AI69" s="380">
        <f>SUMIFS([1]!Data_BS[Value],[1]!Data_BS[Index BS],TDP!$B69,[1]!Data_BS[TenCongTyID],TDP!$B$1,[1]!Data_BS[Thang.Nam],TDP!AI$5)</f>
        <v>0</v>
      </c>
      <c r="AJ69" s="380">
        <f>SUMIFS([1]!Data_BS[Value],[1]!Data_BS[Index BS],TDP!$B69,[1]!Data_BS[TenCongTyID],TDP!$B$1,[1]!Data_BS[Thang.Nam],TDP!AJ$5)</f>
        <v>0</v>
      </c>
      <c r="AK69" s="380">
        <f>SUMIFS([1]!Data_BS[Value],[1]!Data_BS[Index BS],TDP!$B69,[1]!Data_BS[TenCongTyID],TDP!$B$1,[1]!Data_BS[Thang.Nam],TDP!AK$5)</f>
        <v>0</v>
      </c>
      <c r="AL69" s="381">
        <f>SUMIFS([1]!Data_BS[Value],[1]!Data_BS[Index BS],TDP!$B69,[1]!Data_BS[TenCongTyID],TDP!$B$1,[1]!Data_BS[Thang.Nam],TDP!AL$5)</f>
        <v>0</v>
      </c>
    </row>
    <row r="70" spans="1:38" ht="15" hidden="1" customHeight="1" outlineLevel="1">
      <c r="A70" s="62" t="s">
        <v>154</v>
      </c>
      <c r="B70" s="63">
        <v>65</v>
      </c>
      <c r="C70" s="64"/>
      <c r="D70" s="69"/>
      <c r="E70" s="69"/>
      <c r="F70" s="379"/>
      <c r="G70" s="69"/>
      <c r="H70" s="69">
        <v>0</v>
      </c>
      <c r="I70" s="69"/>
      <c r="J70" s="69"/>
      <c r="K70" s="69"/>
      <c r="L70" s="69"/>
      <c r="M70" s="379"/>
      <c r="N70" s="85"/>
      <c r="O70" s="64"/>
      <c r="P70" s="69"/>
      <c r="Q70" s="69"/>
      <c r="R70" s="379"/>
      <c r="S70" s="69"/>
      <c r="T70" s="69">
        <v>0</v>
      </c>
      <c r="U70" s="69"/>
      <c r="V70" s="69"/>
      <c r="W70" s="69"/>
      <c r="X70" s="69"/>
      <c r="Y70" s="379"/>
      <c r="Z70" s="379">
        <v>0</v>
      </c>
      <c r="AA70" s="380">
        <f>SUMIFS([1]!Data_BS[Value],[1]!Data_BS[Index BS],TDP!$B70,[1]!Data_BS[TenCongTyID],TDP!$B$1,[1]!Data_BS[Thang.Nam],TDP!AA$5)</f>
        <v>0</v>
      </c>
      <c r="AB70" s="380">
        <f>SUMIFS([1]!Data_BS[Value],[1]!Data_BS[Index BS],TDP!$B70,[1]!Data_BS[TenCongTyID],TDP!$B$1,[1]!Data_BS[Thang.Nam],TDP!AB$5)</f>
        <v>0</v>
      </c>
      <c r="AC70" s="380">
        <f>SUMIFS([1]!Data_BS[Value],[1]!Data_BS[Index BS],TDP!$B70,[1]!Data_BS[TenCongTyID],TDP!$B$1,[1]!Data_BS[Thang.Nam],TDP!AC$5)</f>
        <v>0</v>
      </c>
      <c r="AD70" s="380">
        <f>SUMIFS([1]!Data_BS[Value],[1]!Data_BS[Index BS],TDP!$B70,[1]!Data_BS[TenCongTyID],TDP!$B$1,[1]!Data_BS[Thang.Nam],TDP!AD$5)</f>
        <v>0</v>
      </c>
      <c r="AE70" s="380">
        <f>SUMIFS([1]!Data_BS[Value],[1]!Data_BS[Index BS],TDP!$B70,[1]!Data_BS[TenCongTyID],TDP!$B$1,[1]!Data_BS[Thang.Nam],TDP!AE$5)</f>
        <v>0</v>
      </c>
      <c r="AF70" s="380">
        <f>SUMIFS([1]!Data_BS[Value],[1]!Data_BS[Index BS],TDP!$B70,[1]!Data_BS[TenCongTyID],TDP!$B$1,[1]!Data_BS[Thang.Nam],TDP!AF$5)</f>
        <v>0</v>
      </c>
      <c r="AG70" s="380">
        <f>SUMIFS([1]!Data_BS[Value],[1]!Data_BS[Index BS],TDP!$B70,[1]!Data_BS[TenCongTyID],TDP!$B$1,[1]!Data_BS[Thang.Nam],TDP!AG$5)</f>
        <v>0</v>
      </c>
      <c r="AH70" s="380">
        <f>SUMIFS([1]!Data_BS[Value],[1]!Data_BS[Index BS],TDP!$B70,[1]!Data_BS[TenCongTyID],TDP!$B$1,[1]!Data_BS[Thang.Nam],TDP!AH$5)</f>
        <v>0</v>
      </c>
      <c r="AI70" s="380">
        <f>SUMIFS([1]!Data_BS[Value],[1]!Data_BS[Index BS],TDP!$B70,[1]!Data_BS[TenCongTyID],TDP!$B$1,[1]!Data_BS[Thang.Nam],TDP!AI$5)</f>
        <v>0</v>
      </c>
      <c r="AJ70" s="380">
        <f>SUMIFS([1]!Data_BS[Value],[1]!Data_BS[Index BS],TDP!$B70,[1]!Data_BS[TenCongTyID],TDP!$B$1,[1]!Data_BS[Thang.Nam],TDP!AJ$5)</f>
        <v>0</v>
      </c>
      <c r="AK70" s="380">
        <f>SUMIFS([1]!Data_BS[Value],[1]!Data_BS[Index BS],TDP!$B70,[1]!Data_BS[TenCongTyID],TDP!$B$1,[1]!Data_BS[Thang.Nam],TDP!AK$5)</f>
        <v>0</v>
      </c>
      <c r="AL70" s="381">
        <f>SUMIFS([1]!Data_BS[Value],[1]!Data_BS[Index BS],TDP!$B70,[1]!Data_BS[TenCongTyID],TDP!$B$1,[1]!Data_BS[Thang.Nam],TDP!AL$5)</f>
        <v>0</v>
      </c>
    </row>
    <row r="71" spans="1:38" ht="15" hidden="1" customHeight="1" outlineLevel="1">
      <c r="A71" s="75" t="s">
        <v>155</v>
      </c>
      <c r="B71" s="65">
        <v>66</v>
      </c>
      <c r="C71" s="64"/>
      <c r="D71" s="69"/>
      <c r="E71" s="69"/>
      <c r="F71" s="379"/>
      <c r="G71" s="69"/>
      <c r="H71" s="69">
        <v>0</v>
      </c>
      <c r="I71" s="69"/>
      <c r="J71" s="69"/>
      <c r="K71" s="69"/>
      <c r="L71" s="69"/>
      <c r="M71" s="379"/>
      <c r="N71" s="85"/>
      <c r="O71" s="64"/>
      <c r="P71" s="69"/>
      <c r="Q71" s="69"/>
      <c r="R71" s="379"/>
      <c r="S71" s="69"/>
      <c r="T71" s="69">
        <v>0</v>
      </c>
      <c r="U71" s="69"/>
      <c r="V71" s="69"/>
      <c r="W71" s="69"/>
      <c r="X71" s="69"/>
      <c r="Y71" s="379"/>
      <c r="Z71" s="379">
        <v>0</v>
      </c>
      <c r="AA71" s="380">
        <f>SUMIFS([1]!Data_BS[Value],[1]!Data_BS[Index BS],TDP!$B71,[1]!Data_BS[TenCongTyID],TDP!$B$1,[1]!Data_BS[Thang.Nam],TDP!AA$5)</f>
        <v>0</v>
      </c>
      <c r="AB71" s="380">
        <f>SUMIFS([1]!Data_BS[Value],[1]!Data_BS[Index BS],TDP!$B71,[1]!Data_BS[TenCongTyID],TDP!$B$1,[1]!Data_BS[Thang.Nam],TDP!AB$5)</f>
        <v>0</v>
      </c>
      <c r="AC71" s="380">
        <f>SUMIFS([1]!Data_BS[Value],[1]!Data_BS[Index BS],TDP!$B71,[1]!Data_BS[TenCongTyID],TDP!$B$1,[1]!Data_BS[Thang.Nam],TDP!AC$5)</f>
        <v>0</v>
      </c>
      <c r="AD71" s="380">
        <f>SUMIFS([1]!Data_BS[Value],[1]!Data_BS[Index BS],TDP!$B71,[1]!Data_BS[TenCongTyID],TDP!$B$1,[1]!Data_BS[Thang.Nam],TDP!AD$5)</f>
        <v>0</v>
      </c>
      <c r="AE71" s="380">
        <f>SUMIFS([1]!Data_BS[Value],[1]!Data_BS[Index BS],TDP!$B71,[1]!Data_BS[TenCongTyID],TDP!$B$1,[1]!Data_BS[Thang.Nam],TDP!AE$5)</f>
        <v>0</v>
      </c>
      <c r="AF71" s="380">
        <f>SUMIFS([1]!Data_BS[Value],[1]!Data_BS[Index BS],TDP!$B71,[1]!Data_BS[TenCongTyID],TDP!$B$1,[1]!Data_BS[Thang.Nam],TDP!AF$5)</f>
        <v>0</v>
      </c>
      <c r="AG71" s="380">
        <f>SUMIFS([1]!Data_BS[Value],[1]!Data_BS[Index BS],TDP!$B71,[1]!Data_BS[TenCongTyID],TDP!$B$1,[1]!Data_BS[Thang.Nam],TDP!AG$5)</f>
        <v>0</v>
      </c>
      <c r="AH71" s="380">
        <f>SUMIFS([1]!Data_BS[Value],[1]!Data_BS[Index BS],TDP!$B71,[1]!Data_BS[TenCongTyID],TDP!$B$1,[1]!Data_BS[Thang.Nam],TDP!AH$5)</f>
        <v>0</v>
      </c>
      <c r="AI71" s="380">
        <f>SUMIFS([1]!Data_BS[Value],[1]!Data_BS[Index BS],TDP!$B71,[1]!Data_BS[TenCongTyID],TDP!$B$1,[1]!Data_BS[Thang.Nam],TDP!AI$5)</f>
        <v>0</v>
      </c>
      <c r="AJ71" s="380">
        <f>SUMIFS([1]!Data_BS[Value],[1]!Data_BS[Index BS],TDP!$B71,[1]!Data_BS[TenCongTyID],TDP!$B$1,[1]!Data_BS[Thang.Nam],TDP!AJ$5)</f>
        <v>0</v>
      </c>
      <c r="AK71" s="380">
        <f>SUMIFS([1]!Data_BS[Value],[1]!Data_BS[Index BS],TDP!$B71,[1]!Data_BS[TenCongTyID],TDP!$B$1,[1]!Data_BS[Thang.Nam],TDP!AK$5)</f>
        <v>0</v>
      </c>
      <c r="AL71" s="381">
        <f>SUMIFS([1]!Data_BS[Value],[1]!Data_BS[Index BS],TDP!$B71,[1]!Data_BS[TenCongTyID],TDP!$B$1,[1]!Data_BS[Thang.Nam],TDP!AL$5)</f>
        <v>0</v>
      </c>
    </row>
    <row r="72" spans="1:38" ht="15" hidden="1" customHeight="1" outlineLevel="1">
      <c r="A72" s="62" t="s">
        <v>156</v>
      </c>
      <c r="B72" s="63">
        <v>67</v>
      </c>
      <c r="C72" s="64"/>
      <c r="D72" s="69"/>
      <c r="E72" s="69"/>
      <c r="F72" s="379"/>
      <c r="G72" s="69"/>
      <c r="H72" s="69">
        <v>0</v>
      </c>
      <c r="I72" s="69"/>
      <c r="J72" s="69"/>
      <c r="K72" s="69"/>
      <c r="L72" s="69"/>
      <c r="M72" s="379"/>
      <c r="N72" s="85"/>
      <c r="O72" s="64"/>
      <c r="P72" s="69"/>
      <c r="Q72" s="69"/>
      <c r="R72" s="379"/>
      <c r="S72" s="69"/>
      <c r="T72" s="69">
        <v>0</v>
      </c>
      <c r="U72" s="69"/>
      <c r="V72" s="69"/>
      <c r="W72" s="69"/>
      <c r="X72" s="69"/>
      <c r="Y72" s="379"/>
      <c r="Z72" s="379">
        <v>0</v>
      </c>
      <c r="AA72" s="380">
        <f>SUMIFS([1]!Data_BS[Value],[1]!Data_BS[Index BS],TDP!$B72,[1]!Data_BS[TenCongTyID],TDP!$B$1,[1]!Data_BS[Thang.Nam],TDP!AA$5)</f>
        <v>0</v>
      </c>
      <c r="AB72" s="380">
        <f>SUMIFS([1]!Data_BS[Value],[1]!Data_BS[Index BS],TDP!$B72,[1]!Data_BS[TenCongTyID],TDP!$B$1,[1]!Data_BS[Thang.Nam],TDP!AB$5)</f>
        <v>0</v>
      </c>
      <c r="AC72" s="380">
        <f>SUMIFS([1]!Data_BS[Value],[1]!Data_BS[Index BS],TDP!$B72,[1]!Data_BS[TenCongTyID],TDP!$B$1,[1]!Data_BS[Thang.Nam],TDP!AC$5)</f>
        <v>0</v>
      </c>
      <c r="AD72" s="380">
        <f>SUMIFS([1]!Data_BS[Value],[1]!Data_BS[Index BS],TDP!$B72,[1]!Data_BS[TenCongTyID],TDP!$B$1,[1]!Data_BS[Thang.Nam],TDP!AD$5)</f>
        <v>0</v>
      </c>
      <c r="AE72" s="380">
        <f>SUMIFS([1]!Data_BS[Value],[1]!Data_BS[Index BS],TDP!$B72,[1]!Data_BS[TenCongTyID],TDP!$B$1,[1]!Data_BS[Thang.Nam],TDP!AE$5)</f>
        <v>0</v>
      </c>
      <c r="AF72" s="380">
        <f>SUMIFS([1]!Data_BS[Value],[1]!Data_BS[Index BS],TDP!$B72,[1]!Data_BS[TenCongTyID],TDP!$B$1,[1]!Data_BS[Thang.Nam],TDP!AF$5)</f>
        <v>0</v>
      </c>
      <c r="AG72" s="380">
        <f>SUMIFS([1]!Data_BS[Value],[1]!Data_BS[Index BS],TDP!$B72,[1]!Data_BS[TenCongTyID],TDP!$B$1,[1]!Data_BS[Thang.Nam],TDP!AG$5)</f>
        <v>0</v>
      </c>
      <c r="AH72" s="380">
        <f>SUMIFS([1]!Data_BS[Value],[1]!Data_BS[Index BS],TDP!$B72,[1]!Data_BS[TenCongTyID],TDP!$B$1,[1]!Data_BS[Thang.Nam],TDP!AH$5)</f>
        <v>0</v>
      </c>
      <c r="AI72" s="380">
        <f>SUMIFS([1]!Data_BS[Value],[1]!Data_BS[Index BS],TDP!$B72,[1]!Data_BS[TenCongTyID],TDP!$B$1,[1]!Data_BS[Thang.Nam],TDP!AI$5)</f>
        <v>0</v>
      </c>
      <c r="AJ72" s="380">
        <f>SUMIFS([1]!Data_BS[Value],[1]!Data_BS[Index BS],TDP!$B72,[1]!Data_BS[TenCongTyID],TDP!$B$1,[1]!Data_BS[Thang.Nam],TDP!AJ$5)</f>
        <v>0</v>
      </c>
      <c r="AK72" s="380">
        <f>SUMIFS([1]!Data_BS[Value],[1]!Data_BS[Index BS],TDP!$B72,[1]!Data_BS[TenCongTyID],TDP!$B$1,[1]!Data_BS[Thang.Nam],TDP!AK$5)</f>
        <v>0</v>
      </c>
      <c r="AL72" s="381">
        <f>SUMIFS([1]!Data_BS[Value],[1]!Data_BS[Index BS],TDP!$B72,[1]!Data_BS[TenCongTyID],TDP!$B$1,[1]!Data_BS[Thang.Nam],TDP!AL$5)</f>
        <v>0</v>
      </c>
    </row>
    <row r="73" spans="1:38" ht="15" hidden="1" customHeight="1" outlineLevel="1">
      <c r="A73" s="62" t="s">
        <v>157</v>
      </c>
      <c r="B73" s="63">
        <v>68</v>
      </c>
      <c r="C73" s="64"/>
      <c r="D73" s="69"/>
      <c r="E73" s="69"/>
      <c r="F73" s="379"/>
      <c r="G73" s="69"/>
      <c r="H73" s="69">
        <v>0</v>
      </c>
      <c r="I73" s="69"/>
      <c r="J73" s="69"/>
      <c r="K73" s="69"/>
      <c r="L73" s="69"/>
      <c r="M73" s="379"/>
      <c r="N73" s="85"/>
      <c r="O73" s="64"/>
      <c r="P73" s="69"/>
      <c r="Q73" s="69"/>
      <c r="R73" s="379"/>
      <c r="S73" s="69"/>
      <c r="T73" s="69">
        <v>0</v>
      </c>
      <c r="U73" s="69"/>
      <c r="V73" s="69"/>
      <c r="W73" s="69"/>
      <c r="X73" s="69"/>
      <c r="Y73" s="379"/>
      <c r="Z73" s="379">
        <v>0</v>
      </c>
      <c r="AA73" s="380">
        <f>SUMIFS([1]!Data_BS[Value],[1]!Data_BS[Index BS],TDP!$B73,[1]!Data_BS[TenCongTyID],TDP!$B$1,[1]!Data_BS[Thang.Nam],TDP!AA$5)</f>
        <v>0</v>
      </c>
      <c r="AB73" s="380">
        <f>SUMIFS([1]!Data_BS[Value],[1]!Data_BS[Index BS],TDP!$B73,[1]!Data_BS[TenCongTyID],TDP!$B$1,[1]!Data_BS[Thang.Nam],TDP!AB$5)</f>
        <v>0</v>
      </c>
      <c r="AC73" s="380">
        <f>SUMIFS([1]!Data_BS[Value],[1]!Data_BS[Index BS],TDP!$B73,[1]!Data_BS[TenCongTyID],TDP!$B$1,[1]!Data_BS[Thang.Nam],TDP!AC$5)</f>
        <v>0</v>
      </c>
      <c r="AD73" s="380">
        <f>SUMIFS([1]!Data_BS[Value],[1]!Data_BS[Index BS],TDP!$B73,[1]!Data_BS[TenCongTyID],TDP!$B$1,[1]!Data_BS[Thang.Nam],TDP!AD$5)</f>
        <v>0</v>
      </c>
      <c r="AE73" s="380">
        <f>SUMIFS([1]!Data_BS[Value],[1]!Data_BS[Index BS],TDP!$B73,[1]!Data_BS[TenCongTyID],TDP!$B$1,[1]!Data_BS[Thang.Nam],TDP!AE$5)</f>
        <v>0</v>
      </c>
      <c r="AF73" s="380">
        <f>SUMIFS([1]!Data_BS[Value],[1]!Data_BS[Index BS],TDP!$B73,[1]!Data_BS[TenCongTyID],TDP!$B$1,[1]!Data_BS[Thang.Nam],TDP!AF$5)</f>
        <v>0</v>
      </c>
      <c r="AG73" s="380">
        <f>SUMIFS([1]!Data_BS[Value],[1]!Data_BS[Index BS],TDP!$B73,[1]!Data_BS[TenCongTyID],TDP!$B$1,[1]!Data_BS[Thang.Nam],TDP!AG$5)</f>
        <v>0</v>
      </c>
      <c r="AH73" s="380">
        <f>SUMIFS([1]!Data_BS[Value],[1]!Data_BS[Index BS],TDP!$B73,[1]!Data_BS[TenCongTyID],TDP!$B$1,[1]!Data_BS[Thang.Nam],TDP!AH$5)</f>
        <v>0</v>
      </c>
      <c r="AI73" s="380">
        <f>SUMIFS([1]!Data_BS[Value],[1]!Data_BS[Index BS],TDP!$B73,[1]!Data_BS[TenCongTyID],TDP!$B$1,[1]!Data_BS[Thang.Nam],TDP!AI$5)</f>
        <v>0</v>
      </c>
      <c r="AJ73" s="380">
        <f>SUMIFS([1]!Data_BS[Value],[1]!Data_BS[Index BS],TDP!$B73,[1]!Data_BS[TenCongTyID],TDP!$B$1,[1]!Data_BS[Thang.Nam],TDP!AJ$5)</f>
        <v>0</v>
      </c>
      <c r="AK73" s="380">
        <f>SUMIFS([1]!Data_BS[Value],[1]!Data_BS[Index BS],TDP!$B73,[1]!Data_BS[TenCongTyID],TDP!$B$1,[1]!Data_BS[Thang.Nam],TDP!AK$5)</f>
        <v>0</v>
      </c>
      <c r="AL73" s="381">
        <f>SUMIFS([1]!Data_BS[Value],[1]!Data_BS[Index BS],TDP!$B73,[1]!Data_BS[TenCongTyID],TDP!$B$1,[1]!Data_BS[Thang.Nam],TDP!AL$5)</f>
        <v>0</v>
      </c>
    </row>
    <row r="74" spans="1:38" ht="15" hidden="1" customHeight="1" outlineLevel="1">
      <c r="A74" s="62" t="s">
        <v>158</v>
      </c>
      <c r="B74" s="63">
        <v>69</v>
      </c>
      <c r="C74" s="64"/>
      <c r="D74" s="69"/>
      <c r="E74" s="69"/>
      <c r="F74" s="379"/>
      <c r="G74" s="69"/>
      <c r="H74" s="69">
        <v>0</v>
      </c>
      <c r="I74" s="69"/>
      <c r="J74" s="69"/>
      <c r="K74" s="69"/>
      <c r="L74" s="69"/>
      <c r="M74" s="379"/>
      <c r="N74" s="85"/>
      <c r="O74" s="64"/>
      <c r="P74" s="69"/>
      <c r="Q74" s="69"/>
      <c r="R74" s="379"/>
      <c r="S74" s="69"/>
      <c r="T74" s="69">
        <v>0</v>
      </c>
      <c r="U74" s="69"/>
      <c r="V74" s="69"/>
      <c r="W74" s="69"/>
      <c r="X74" s="69"/>
      <c r="Y74" s="379"/>
      <c r="Z74" s="379">
        <v>0</v>
      </c>
      <c r="AA74" s="380">
        <f>SUMIFS([1]!Data_BS[Value],[1]!Data_BS[Index BS],TDP!$B74,[1]!Data_BS[TenCongTyID],TDP!$B$1,[1]!Data_BS[Thang.Nam],TDP!AA$5)</f>
        <v>0</v>
      </c>
      <c r="AB74" s="380">
        <f>SUMIFS([1]!Data_BS[Value],[1]!Data_BS[Index BS],TDP!$B74,[1]!Data_BS[TenCongTyID],TDP!$B$1,[1]!Data_BS[Thang.Nam],TDP!AB$5)</f>
        <v>0</v>
      </c>
      <c r="AC74" s="380">
        <f>SUMIFS([1]!Data_BS[Value],[1]!Data_BS[Index BS],TDP!$B74,[1]!Data_BS[TenCongTyID],TDP!$B$1,[1]!Data_BS[Thang.Nam],TDP!AC$5)</f>
        <v>0</v>
      </c>
      <c r="AD74" s="380">
        <f>SUMIFS([1]!Data_BS[Value],[1]!Data_BS[Index BS],TDP!$B74,[1]!Data_BS[TenCongTyID],TDP!$B$1,[1]!Data_BS[Thang.Nam],TDP!AD$5)</f>
        <v>0</v>
      </c>
      <c r="AE74" s="380">
        <f>SUMIFS([1]!Data_BS[Value],[1]!Data_BS[Index BS],TDP!$B74,[1]!Data_BS[TenCongTyID],TDP!$B$1,[1]!Data_BS[Thang.Nam],TDP!AE$5)</f>
        <v>0</v>
      </c>
      <c r="AF74" s="380">
        <f>SUMIFS([1]!Data_BS[Value],[1]!Data_BS[Index BS],TDP!$B74,[1]!Data_BS[TenCongTyID],TDP!$B$1,[1]!Data_BS[Thang.Nam],TDP!AF$5)</f>
        <v>0</v>
      </c>
      <c r="AG74" s="380">
        <f>SUMIFS([1]!Data_BS[Value],[1]!Data_BS[Index BS],TDP!$B74,[1]!Data_BS[TenCongTyID],TDP!$B$1,[1]!Data_BS[Thang.Nam],TDP!AG$5)</f>
        <v>0</v>
      </c>
      <c r="AH74" s="380">
        <f>SUMIFS([1]!Data_BS[Value],[1]!Data_BS[Index BS],TDP!$B74,[1]!Data_BS[TenCongTyID],TDP!$B$1,[1]!Data_BS[Thang.Nam],TDP!AH$5)</f>
        <v>0</v>
      </c>
      <c r="AI74" s="380">
        <f>SUMIFS([1]!Data_BS[Value],[1]!Data_BS[Index BS],TDP!$B74,[1]!Data_BS[TenCongTyID],TDP!$B$1,[1]!Data_BS[Thang.Nam],TDP!AI$5)</f>
        <v>0</v>
      </c>
      <c r="AJ74" s="380">
        <f>SUMIFS([1]!Data_BS[Value],[1]!Data_BS[Index BS],TDP!$B74,[1]!Data_BS[TenCongTyID],TDP!$B$1,[1]!Data_BS[Thang.Nam],TDP!AJ$5)</f>
        <v>0</v>
      </c>
      <c r="AK74" s="380">
        <f>SUMIFS([1]!Data_BS[Value],[1]!Data_BS[Index BS],TDP!$B74,[1]!Data_BS[TenCongTyID],TDP!$B$1,[1]!Data_BS[Thang.Nam],TDP!AK$5)</f>
        <v>0</v>
      </c>
      <c r="AL74" s="381">
        <f>SUMIFS([1]!Data_BS[Value],[1]!Data_BS[Index BS],TDP!$B74,[1]!Data_BS[TenCongTyID],TDP!$B$1,[1]!Data_BS[Thang.Nam],TDP!AL$5)</f>
        <v>0</v>
      </c>
    </row>
    <row r="75" spans="1:38" ht="15" hidden="1" customHeight="1" outlineLevel="1">
      <c r="A75" s="62" t="s">
        <v>159</v>
      </c>
      <c r="B75" s="63">
        <v>70</v>
      </c>
      <c r="C75" s="64"/>
      <c r="D75" s="69"/>
      <c r="E75" s="69"/>
      <c r="F75" s="379"/>
      <c r="G75" s="69"/>
      <c r="H75" s="69">
        <v>0</v>
      </c>
      <c r="I75" s="69"/>
      <c r="J75" s="69"/>
      <c r="K75" s="69"/>
      <c r="L75" s="69"/>
      <c r="M75" s="379"/>
      <c r="N75" s="85"/>
      <c r="O75" s="64"/>
      <c r="P75" s="69"/>
      <c r="Q75" s="69"/>
      <c r="R75" s="379"/>
      <c r="S75" s="69"/>
      <c r="T75" s="69">
        <v>0</v>
      </c>
      <c r="U75" s="69"/>
      <c r="V75" s="69"/>
      <c r="W75" s="69"/>
      <c r="X75" s="69"/>
      <c r="Y75" s="379"/>
      <c r="Z75" s="379">
        <v>0</v>
      </c>
      <c r="AA75" s="380">
        <f>SUMIFS([1]!Data_BS[Value],[1]!Data_BS[Index BS],TDP!$B75,[1]!Data_BS[TenCongTyID],TDP!$B$1,[1]!Data_BS[Thang.Nam],TDP!AA$5)</f>
        <v>0</v>
      </c>
      <c r="AB75" s="380">
        <f>SUMIFS([1]!Data_BS[Value],[1]!Data_BS[Index BS],TDP!$B75,[1]!Data_BS[TenCongTyID],TDP!$B$1,[1]!Data_BS[Thang.Nam],TDP!AB$5)</f>
        <v>0</v>
      </c>
      <c r="AC75" s="380">
        <f>SUMIFS([1]!Data_BS[Value],[1]!Data_BS[Index BS],TDP!$B75,[1]!Data_BS[TenCongTyID],TDP!$B$1,[1]!Data_BS[Thang.Nam],TDP!AC$5)</f>
        <v>0</v>
      </c>
      <c r="AD75" s="380">
        <f>SUMIFS([1]!Data_BS[Value],[1]!Data_BS[Index BS],TDP!$B75,[1]!Data_BS[TenCongTyID],TDP!$B$1,[1]!Data_BS[Thang.Nam],TDP!AD$5)</f>
        <v>0</v>
      </c>
      <c r="AE75" s="380">
        <f>SUMIFS([1]!Data_BS[Value],[1]!Data_BS[Index BS],TDP!$B75,[1]!Data_BS[TenCongTyID],TDP!$B$1,[1]!Data_BS[Thang.Nam],TDP!AE$5)</f>
        <v>0</v>
      </c>
      <c r="AF75" s="380">
        <f>SUMIFS([1]!Data_BS[Value],[1]!Data_BS[Index BS],TDP!$B75,[1]!Data_BS[TenCongTyID],TDP!$B$1,[1]!Data_BS[Thang.Nam],TDP!AF$5)</f>
        <v>0</v>
      </c>
      <c r="AG75" s="380">
        <f>SUMIFS([1]!Data_BS[Value],[1]!Data_BS[Index BS],TDP!$B75,[1]!Data_BS[TenCongTyID],TDP!$B$1,[1]!Data_BS[Thang.Nam],TDP!AG$5)</f>
        <v>0</v>
      </c>
      <c r="AH75" s="380">
        <f>SUMIFS([1]!Data_BS[Value],[1]!Data_BS[Index BS],TDP!$B75,[1]!Data_BS[TenCongTyID],TDP!$B$1,[1]!Data_BS[Thang.Nam],TDP!AH$5)</f>
        <v>0</v>
      </c>
      <c r="AI75" s="380">
        <f>SUMIFS([1]!Data_BS[Value],[1]!Data_BS[Index BS],TDP!$B75,[1]!Data_BS[TenCongTyID],TDP!$B$1,[1]!Data_BS[Thang.Nam],TDP!AI$5)</f>
        <v>0</v>
      </c>
      <c r="AJ75" s="380">
        <f>SUMIFS([1]!Data_BS[Value],[1]!Data_BS[Index BS],TDP!$B75,[1]!Data_BS[TenCongTyID],TDP!$B$1,[1]!Data_BS[Thang.Nam],TDP!AJ$5)</f>
        <v>0</v>
      </c>
      <c r="AK75" s="380">
        <f>SUMIFS([1]!Data_BS[Value],[1]!Data_BS[Index BS],TDP!$B75,[1]!Data_BS[TenCongTyID],TDP!$B$1,[1]!Data_BS[Thang.Nam],TDP!AK$5)</f>
        <v>0</v>
      </c>
      <c r="AL75" s="381">
        <f>SUMIFS([1]!Data_BS[Value],[1]!Data_BS[Index BS],TDP!$B75,[1]!Data_BS[TenCongTyID],TDP!$B$1,[1]!Data_BS[Thang.Nam],TDP!AL$5)</f>
        <v>0</v>
      </c>
    </row>
    <row r="76" spans="1:38" ht="15" hidden="1" customHeight="1" outlineLevel="1">
      <c r="A76" s="66" t="s">
        <v>160</v>
      </c>
      <c r="B76" s="63">
        <v>71</v>
      </c>
      <c r="C76" s="64"/>
      <c r="D76" s="69"/>
      <c r="E76" s="69"/>
      <c r="F76" s="379"/>
      <c r="G76" s="69"/>
      <c r="H76" s="69">
        <v>0</v>
      </c>
      <c r="I76" s="69"/>
      <c r="J76" s="69"/>
      <c r="K76" s="69"/>
      <c r="L76" s="69"/>
      <c r="M76" s="379"/>
      <c r="N76" s="85"/>
      <c r="O76" s="64"/>
      <c r="P76" s="69"/>
      <c r="Q76" s="69"/>
      <c r="R76" s="379"/>
      <c r="S76" s="69"/>
      <c r="T76" s="69">
        <v>0</v>
      </c>
      <c r="U76" s="69"/>
      <c r="V76" s="69"/>
      <c r="W76" s="69"/>
      <c r="X76" s="69"/>
      <c r="Y76" s="379"/>
      <c r="Z76" s="379">
        <v>0</v>
      </c>
      <c r="AA76" s="380">
        <f>SUMIFS([1]!Data_BS[Value],[1]!Data_BS[Index BS],TDP!$B76,[1]!Data_BS[TenCongTyID],TDP!$B$1,[1]!Data_BS[Thang.Nam],TDP!AA$5)</f>
        <v>0</v>
      </c>
      <c r="AB76" s="380">
        <f>SUMIFS([1]!Data_BS[Value],[1]!Data_BS[Index BS],TDP!$B76,[1]!Data_BS[TenCongTyID],TDP!$B$1,[1]!Data_BS[Thang.Nam],TDP!AB$5)</f>
        <v>0</v>
      </c>
      <c r="AC76" s="380">
        <f>SUMIFS([1]!Data_BS[Value],[1]!Data_BS[Index BS],TDP!$B76,[1]!Data_BS[TenCongTyID],TDP!$B$1,[1]!Data_BS[Thang.Nam],TDP!AC$5)</f>
        <v>0</v>
      </c>
      <c r="AD76" s="380">
        <f>SUMIFS([1]!Data_BS[Value],[1]!Data_BS[Index BS],TDP!$B76,[1]!Data_BS[TenCongTyID],TDP!$B$1,[1]!Data_BS[Thang.Nam],TDP!AD$5)</f>
        <v>0</v>
      </c>
      <c r="AE76" s="380">
        <f>SUMIFS([1]!Data_BS[Value],[1]!Data_BS[Index BS],TDP!$B76,[1]!Data_BS[TenCongTyID],TDP!$B$1,[1]!Data_BS[Thang.Nam],TDP!AE$5)</f>
        <v>0</v>
      </c>
      <c r="AF76" s="380">
        <f>SUMIFS([1]!Data_BS[Value],[1]!Data_BS[Index BS],TDP!$B76,[1]!Data_BS[TenCongTyID],TDP!$B$1,[1]!Data_BS[Thang.Nam],TDP!AF$5)</f>
        <v>0</v>
      </c>
      <c r="AG76" s="380">
        <f>SUMIFS([1]!Data_BS[Value],[1]!Data_BS[Index BS],TDP!$B76,[1]!Data_BS[TenCongTyID],TDP!$B$1,[1]!Data_BS[Thang.Nam],TDP!AG$5)</f>
        <v>0</v>
      </c>
      <c r="AH76" s="380">
        <f>SUMIFS([1]!Data_BS[Value],[1]!Data_BS[Index BS],TDP!$B76,[1]!Data_BS[TenCongTyID],TDP!$B$1,[1]!Data_BS[Thang.Nam],TDP!AH$5)</f>
        <v>0</v>
      </c>
      <c r="AI76" s="380">
        <f>SUMIFS([1]!Data_BS[Value],[1]!Data_BS[Index BS],TDP!$B76,[1]!Data_BS[TenCongTyID],TDP!$B$1,[1]!Data_BS[Thang.Nam],TDP!AI$5)</f>
        <v>0</v>
      </c>
      <c r="AJ76" s="380">
        <f>SUMIFS([1]!Data_BS[Value],[1]!Data_BS[Index BS],TDP!$B76,[1]!Data_BS[TenCongTyID],TDP!$B$1,[1]!Data_BS[Thang.Nam],TDP!AJ$5)</f>
        <v>0</v>
      </c>
      <c r="AK76" s="380">
        <f>SUMIFS([1]!Data_BS[Value],[1]!Data_BS[Index BS],TDP!$B76,[1]!Data_BS[TenCongTyID],TDP!$B$1,[1]!Data_BS[Thang.Nam],TDP!AK$5)</f>
        <v>0</v>
      </c>
      <c r="AL76" s="381">
        <f>SUMIFS([1]!Data_BS[Value],[1]!Data_BS[Index BS],TDP!$B76,[1]!Data_BS[TenCongTyID],TDP!$B$1,[1]!Data_BS[Thang.Nam],TDP!AL$5)</f>
        <v>0</v>
      </c>
    </row>
    <row r="77" spans="1:38" ht="15" hidden="1" customHeight="1" outlineLevel="1">
      <c r="A77" s="66" t="s">
        <v>161</v>
      </c>
      <c r="B77" s="63">
        <v>72</v>
      </c>
      <c r="C77" s="64"/>
      <c r="D77" s="69"/>
      <c r="E77" s="69"/>
      <c r="F77" s="379"/>
      <c r="G77" s="69"/>
      <c r="H77" s="69"/>
      <c r="I77" s="69"/>
      <c r="J77" s="69"/>
      <c r="K77" s="69"/>
      <c r="L77" s="69"/>
      <c r="M77" s="379"/>
      <c r="N77" s="85"/>
      <c r="O77" s="64"/>
      <c r="P77" s="69"/>
      <c r="Q77" s="69"/>
      <c r="R77" s="379"/>
      <c r="S77" s="69"/>
      <c r="T77" s="69"/>
      <c r="U77" s="69"/>
      <c r="V77" s="69"/>
      <c r="W77" s="69"/>
      <c r="X77" s="69"/>
      <c r="Y77" s="379"/>
      <c r="Z77" s="379">
        <v>0</v>
      </c>
      <c r="AA77" s="380">
        <f>SUMIFS([1]!Data_BS[Value],[1]!Data_BS[Index BS],TDP!$B77,[1]!Data_BS[TenCongTyID],TDP!$B$1,[1]!Data_BS[Thang.Nam],TDP!AA$5)</f>
        <v>0</v>
      </c>
      <c r="AB77" s="380">
        <f>SUMIFS([1]!Data_BS[Value],[1]!Data_BS[Index BS],TDP!$B77,[1]!Data_BS[TenCongTyID],TDP!$B$1,[1]!Data_BS[Thang.Nam],TDP!AB$5)</f>
        <v>0</v>
      </c>
      <c r="AC77" s="380">
        <f>SUMIFS([1]!Data_BS[Value],[1]!Data_BS[Index BS],TDP!$B77,[1]!Data_BS[TenCongTyID],TDP!$B$1,[1]!Data_BS[Thang.Nam],TDP!AC$5)</f>
        <v>0</v>
      </c>
      <c r="AD77" s="380">
        <f>SUMIFS([1]!Data_BS[Value],[1]!Data_BS[Index BS],TDP!$B77,[1]!Data_BS[TenCongTyID],TDP!$B$1,[1]!Data_BS[Thang.Nam],TDP!AD$5)</f>
        <v>0</v>
      </c>
      <c r="AE77" s="380">
        <f>SUMIFS([1]!Data_BS[Value],[1]!Data_BS[Index BS],TDP!$B77,[1]!Data_BS[TenCongTyID],TDP!$B$1,[1]!Data_BS[Thang.Nam],TDP!AE$5)</f>
        <v>0</v>
      </c>
      <c r="AF77" s="380">
        <f>SUMIFS([1]!Data_BS[Value],[1]!Data_BS[Index BS],TDP!$B77,[1]!Data_BS[TenCongTyID],TDP!$B$1,[1]!Data_BS[Thang.Nam],TDP!AF$5)</f>
        <v>0</v>
      </c>
      <c r="AG77" s="380">
        <f>SUMIFS([1]!Data_BS[Value],[1]!Data_BS[Index BS],TDP!$B77,[1]!Data_BS[TenCongTyID],TDP!$B$1,[1]!Data_BS[Thang.Nam],TDP!AG$5)</f>
        <v>0</v>
      </c>
      <c r="AH77" s="380">
        <f>SUMIFS([1]!Data_BS[Value],[1]!Data_BS[Index BS],TDP!$B77,[1]!Data_BS[TenCongTyID],TDP!$B$1,[1]!Data_BS[Thang.Nam],TDP!AH$5)</f>
        <v>0</v>
      </c>
      <c r="AI77" s="380">
        <f>SUMIFS([1]!Data_BS[Value],[1]!Data_BS[Index BS],TDP!$B77,[1]!Data_BS[TenCongTyID],TDP!$B$1,[1]!Data_BS[Thang.Nam],TDP!AI$5)</f>
        <v>0</v>
      </c>
      <c r="AJ77" s="380">
        <f>SUMIFS([1]!Data_BS[Value],[1]!Data_BS[Index BS],TDP!$B77,[1]!Data_BS[TenCongTyID],TDP!$B$1,[1]!Data_BS[Thang.Nam],TDP!AJ$5)</f>
        <v>0</v>
      </c>
      <c r="AK77" s="380">
        <f>SUMIFS([1]!Data_BS[Value],[1]!Data_BS[Index BS],TDP!$B77,[1]!Data_BS[TenCongTyID],TDP!$B$1,[1]!Data_BS[Thang.Nam],TDP!AK$5)</f>
        <v>0</v>
      </c>
      <c r="AL77" s="381">
        <f>SUMIFS([1]!Data_BS[Value],[1]!Data_BS[Index BS],TDP!$B77,[1]!Data_BS[TenCongTyID],TDP!$B$1,[1]!Data_BS[Thang.Nam],TDP!AL$5)</f>
        <v>0</v>
      </c>
    </row>
    <row r="78" spans="1:38" s="78" customFormat="1" ht="15" hidden="1" customHeight="1" outlineLevel="1">
      <c r="A78" s="76" t="s">
        <v>162</v>
      </c>
      <c r="B78" s="65">
        <v>73</v>
      </c>
      <c r="C78" s="77"/>
      <c r="D78" s="387"/>
      <c r="E78" s="387"/>
      <c r="F78" s="388"/>
      <c r="G78" s="387"/>
      <c r="H78" s="387">
        <v>0</v>
      </c>
      <c r="I78" s="387"/>
      <c r="J78" s="387">
        <v>0</v>
      </c>
      <c r="K78" s="387">
        <v>1237373</v>
      </c>
      <c r="L78" s="387">
        <v>1202019</v>
      </c>
      <c r="M78" s="388">
        <v>1166665</v>
      </c>
      <c r="N78" s="389">
        <v>20359706</v>
      </c>
      <c r="O78" s="77">
        <v>19774969</v>
      </c>
      <c r="P78" s="387">
        <v>19190232</v>
      </c>
      <c r="Q78" s="387">
        <v>18605495</v>
      </c>
      <c r="R78" s="388">
        <v>18020758</v>
      </c>
      <c r="S78" s="387">
        <v>17436021</v>
      </c>
      <c r="T78" s="387">
        <v>16851284</v>
      </c>
      <c r="U78" s="387">
        <v>16266547</v>
      </c>
      <c r="V78" s="387">
        <v>15681810</v>
      </c>
      <c r="W78" s="387">
        <v>15097073</v>
      </c>
      <c r="X78" s="387">
        <v>14512336</v>
      </c>
      <c r="Y78" s="388">
        <v>13927599</v>
      </c>
      <c r="Z78" s="388">
        <v>13342862</v>
      </c>
      <c r="AA78" s="390">
        <f>SUMIFS([1]!Data_BS[Value],[1]!Data_BS[Index BS],TDP!$B78,[1]!Data_BS[TenCongTyID],TDP!$B$1,[1]!Data_BS[Thang.Nam],TDP!AA$5)</f>
        <v>0</v>
      </c>
      <c r="AB78" s="390">
        <f>SUMIFS([1]!Data_BS[Value],[1]!Data_BS[Index BS],TDP!$B78,[1]!Data_BS[TenCongTyID],TDP!$B$1,[1]!Data_BS[Thang.Nam],TDP!AB$5)</f>
        <v>0</v>
      </c>
      <c r="AC78" s="390">
        <f>SUMIFS([1]!Data_BS[Value],[1]!Data_BS[Index BS],TDP!$B78,[1]!Data_BS[TenCongTyID],TDP!$B$1,[1]!Data_BS[Thang.Nam],TDP!AC$5)</f>
        <v>0</v>
      </c>
      <c r="AD78" s="390">
        <f>SUMIFS([1]!Data_BS[Value],[1]!Data_BS[Index BS],TDP!$B78,[1]!Data_BS[TenCongTyID],TDP!$B$1,[1]!Data_BS[Thang.Nam],TDP!AD$5)</f>
        <v>0</v>
      </c>
      <c r="AE78" s="390">
        <f>SUMIFS([1]!Data_BS[Value],[1]!Data_BS[Index BS],TDP!$B78,[1]!Data_BS[TenCongTyID],TDP!$B$1,[1]!Data_BS[Thang.Nam],TDP!AE$5)</f>
        <v>0</v>
      </c>
      <c r="AF78" s="390">
        <f>SUMIFS([1]!Data_BS[Value],[1]!Data_BS[Index BS],TDP!$B78,[1]!Data_BS[TenCongTyID],TDP!$B$1,[1]!Data_BS[Thang.Nam],TDP!AF$5)</f>
        <v>0</v>
      </c>
      <c r="AG78" s="390">
        <f>SUMIFS([1]!Data_BS[Value],[1]!Data_BS[Index BS],TDP!$B78,[1]!Data_BS[TenCongTyID],TDP!$B$1,[1]!Data_BS[Thang.Nam],TDP!AG$5)</f>
        <v>0</v>
      </c>
      <c r="AH78" s="390">
        <f>SUMIFS([1]!Data_BS[Value],[1]!Data_BS[Index BS],TDP!$B78,[1]!Data_BS[TenCongTyID],TDP!$B$1,[1]!Data_BS[Thang.Nam],TDP!AH$5)</f>
        <v>0</v>
      </c>
      <c r="AI78" s="390">
        <f>SUMIFS([1]!Data_BS[Value],[1]!Data_BS[Index BS],TDP!$B78,[1]!Data_BS[TenCongTyID],TDP!$B$1,[1]!Data_BS[Thang.Nam],TDP!AI$5)</f>
        <v>0</v>
      </c>
      <c r="AJ78" s="390">
        <f>SUMIFS([1]!Data_BS[Value],[1]!Data_BS[Index BS],TDP!$B78,[1]!Data_BS[TenCongTyID],TDP!$B$1,[1]!Data_BS[Thang.Nam],TDP!AJ$5)</f>
        <v>0</v>
      </c>
      <c r="AK78" s="390">
        <f>SUMIFS([1]!Data_BS[Value],[1]!Data_BS[Index BS],TDP!$B78,[1]!Data_BS[TenCongTyID],TDP!$B$1,[1]!Data_BS[Thang.Nam],TDP!AK$5)</f>
        <v>0</v>
      </c>
      <c r="AL78" s="391">
        <f>SUMIFS([1]!Data_BS[Value],[1]!Data_BS[Index BS],TDP!$B78,[1]!Data_BS[TenCongTyID],TDP!$B$1,[1]!Data_BS[Thang.Nam],TDP!AL$5)</f>
        <v>0</v>
      </c>
    </row>
    <row r="79" spans="1:38" ht="15" hidden="1" customHeight="1" outlineLevel="1">
      <c r="A79" s="67" t="s">
        <v>163</v>
      </c>
      <c r="B79" s="63">
        <v>74</v>
      </c>
      <c r="C79" s="64"/>
      <c r="D79" s="69"/>
      <c r="E79" s="69"/>
      <c r="F79" s="379"/>
      <c r="G79" s="69"/>
      <c r="H79" s="69">
        <v>0</v>
      </c>
      <c r="I79" s="69"/>
      <c r="J79" s="69"/>
      <c r="K79" s="69">
        <v>1237373</v>
      </c>
      <c r="L79" s="69">
        <v>1202019</v>
      </c>
      <c r="M79" s="379">
        <v>1166665</v>
      </c>
      <c r="N79" s="85">
        <v>20359706</v>
      </c>
      <c r="O79" s="64">
        <v>19774969</v>
      </c>
      <c r="P79" s="69">
        <v>19190232</v>
      </c>
      <c r="Q79" s="69">
        <v>18605495</v>
      </c>
      <c r="R79" s="379">
        <v>18020758</v>
      </c>
      <c r="S79" s="69">
        <v>17436021</v>
      </c>
      <c r="T79" s="69">
        <v>16851284</v>
      </c>
      <c r="U79" s="69">
        <v>16266547</v>
      </c>
      <c r="V79" s="69">
        <v>15681810</v>
      </c>
      <c r="W79" s="69">
        <v>15097073</v>
      </c>
      <c r="X79" s="69">
        <v>14512336</v>
      </c>
      <c r="Y79" s="379">
        <v>13927599</v>
      </c>
      <c r="Z79" s="379">
        <v>13342862</v>
      </c>
      <c r="AA79" s="380">
        <f>SUMIFS([1]!Data_BS[Value],[1]!Data_BS[Index BS],TDP!$B79,[1]!Data_BS[TenCongTyID],TDP!$B$1,[1]!Data_BS[Thang.Nam],TDP!AA$5)</f>
        <v>0</v>
      </c>
      <c r="AB79" s="380">
        <f>SUMIFS([1]!Data_BS[Value],[1]!Data_BS[Index BS],TDP!$B79,[1]!Data_BS[TenCongTyID],TDP!$B$1,[1]!Data_BS[Thang.Nam],TDP!AB$5)</f>
        <v>0</v>
      </c>
      <c r="AC79" s="380">
        <f>SUMIFS([1]!Data_BS[Value],[1]!Data_BS[Index BS],TDP!$B79,[1]!Data_BS[TenCongTyID],TDP!$B$1,[1]!Data_BS[Thang.Nam],TDP!AC$5)</f>
        <v>0</v>
      </c>
      <c r="AD79" s="380">
        <f>SUMIFS([1]!Data_BS[Value],[1]!Data_BS[Index BS],TDP!$B79,[1]!Data_BS[TenCongTyID],TDP!$B$1,[1]!Data_BS[Thang.Nam],TDP!AD$5)</f>
        <v>0</v>
      </c>
      <c r="AE79" s="380">
        <f>SUMIFS([1]!Data_BS[Value],[1]!Data_BS[Index BS],TDP!$B79,[1]!Data_BS[TenCongTyID],TDP!$B$1,[1]!Data_BS[Thang.Nam],TDP!AE$5)</f>
        <v>0</v>
      </c>
      <c r="AF79" s="380">
        <f>SUMIFS([1]!Data_BS[Value],[1]!Data_BS[Index BS],TDP!$B79,[1]!Data_BS[TenCongTyID],TDP!$B$1,[1]!Data_BS[Thang.Nam],TDP!AF$5)</f>
        <v>0</v>
      </c>
      <c r="AG79" s="380">
        <f>SUMIFS([1]!Data_BS[Value],[1]!Data_BS[Index BS],TDP!$B79,[1]!Data_BS[TenCongTyID],TDP!$B$1,[1]!Data_BS[Thang.Nam],TDP!AG$5)</f>
        <v>0</v>
      </c>
      <c r="AH79" s="380">
        <f>SUMIFS([1]!Data_BS[Value],[1]!Data_BS[Index BS],TDP!$B79,[1]!Data_BS[TenCongTyID],TDP!$B$1,[1]!Data_BS[Thang.Nam],TDP!AH$5)</f>
        <v>0</v>
      </c>
      <c r="AI79" s="380">
        <f>SUMIFS([1]!Data_BS[Value],[1]!Data_BS[Index BS],TDP!$B79,[1]!Data_BS[TenCongTyID],TDP!$B$1,[1]!Data_BS[Thang.Nam],TDP!AI$5)</f>
        <v>0</v>
      </c>
      <c r="AJ79" s="380">
        <f>SUMIFS([1]!Data_BS[Value],[1]!Data_BS[Index BS],TDP!$B79,[1]!Data_BS[TenCongTyID],TDP!$B$1,[1]!Data_BS[Thang.Nam],TDP!AJ$5)</f>
        <v>0</v>
      </c>
      <c r="AK79" s="380">
        <f>SUMIFS([1]!Data_BS[Value],[1]!Data_BS[Index BS],TDP!$B79,[1]!Data_BS[TenCongTyID],TDP!$B$1,[1]!Data_BS[Thang.Nam],TDP!AK$5)</f>
        <v>0</v>
      </c>
      <c r="AL79" s="381">
        <f>SUMIFS([1]!Data_BS[Value],[1]!Data_BS[Index BS],TDP!$B79,[1]!Data_BS[TenCongTyID],TDP!$B$1,[1]!Data_BS[Thang.Nam],TDP!AL$5)</f>
        <v>0</v>
      </c>
    </row>
    <row r="80" spans="1:38" ht="15" hidden="1" customHeight="1" outlineLevel="1">
      <c r="A80" s="67" t="s">
        <v>164</v>
      </c>
      <c r="B80" s="63">
        <v>75</v>
      </c>
      <c r="C80" s="64"/>
      <c r="D80" s="69"/>
      <c r="E80" s="69"/>
      <c r="F80" s="379"/>
      <c r="G80" s="69"/>
      <c r="H80" s="69">
        <v>0</v>
      </c>
      <c r="I80" s="69"/>
      <c r="J80" s="69"/>
      <c r="K80" s="69"/>
      <c r="L80" s="69"/>
      <c r="M80" s="379"/>
      <c r="N80" s="85"/>
      <c r="O80" s="64"/>
      <c r="P80" s="69"/>
      <c r="Q80" s="69"/>
      <c r="R80" s="379"/>
      <c r="S80" s="69"/>
      <c r="T80" s="69">
        <v>0</v>
      </c>
      <c r="U80" s="69"/>
      <c r="V80" s="69"/>
      <c r="W80" s="69">
        <v>0</v>
      </c>
      <c r="X80" s="69">
        <v>0</v>
      </c>
      <c r="Y80" s="379"/>
      <c r="Z80" s="379">
        <v>0</v>
      </c>
      <c r="AA80" s="380">
        <f>SUMIFS([1]!Data_BS[Value],[1]!Data_BS[Index BS],TDP!$B80,[1]!Data_BS[TenCongTyID],TDP!$B$1,[1]!Data_BS[Thang.Nam],TDP!AA$5)</f>
        <v>0</v>
      </c>
      <c r="AB80" s="380">
        <f>SUMIFS([1]!Data_BS[Value],[1]!Data_BS[Index BS],TDP!$B80,[1]!Data_BS[TenCongTyID],TDP!$B$1,[1]!Data_BS[Thang.Nam],TDP!AB$5)</f>
        <v>0</v>
      </c>
      <c r="AC80" s="380">
        <f>SUMIFS([1]!Data_BS[Value],[1]!Data_BS[Index BS],TDP!$B80,[1]!Data_BS[TenCongTyID],TDP!$B$1,[1]!Data_BS[Thang.Nam],TDP!AC$5)</f>
        <v>0</v>
      </c>
      <c r="AD80" s="380">
        <f>SUMIFS([1]!Data_BS[Value],[1]!Data_BS[Index BS],TDP!$B80,[1]!Data_BS[TenCongTyID],TDP!$B$1,[1]!Data_BS[Thang.Nam],TDP!AD$5)</f>
        <v>0</v>
      </c>
      <c r="AE80" s="380">
        <f>SUMIFS([1]!Data_BS[Value],[1]!Data_BS[Index BS],TDP!$B80,[1]!Data_BS[TenCongTyID],TDP!$B$1,[1]!Data_BS[Thang.Nam],TDP!AE$5)</f>
        <v>0</v>
      </c>
      <c r="AF80" s="380">
        <f>SUMIFS([1]!Data_BS[Value],[1]!Data_BS[Index BS],TDP!$B80,[1]!Data_BS[TenCongTyID],TDP!$B$1,[1]!Data_BS[Thang.Nam],TDP!AF$5)</f>
        <v>0</v>
      </c>
      <c r="AG80" s="380">
        <f>SUMIFS([1]!Data_BS[Value],[1]!Data_BS[Index BS],TDP!$B80,[1]!Data_BS[TenCongTyID],TDP!$B$1,[1]!Data_BS[Thang.Nam],TDP!AG$5)</f>
        <v>0</v>
      </c>
      <c r="AH80" s="380">
        <f>SUMIFS([1]!Data_BS[Value],[1]!Data_BS[Index BS],TDP!$B80,[1]!Data_BS[TenCongTyID],TDP!$B$1,[1]!Data_BS[Thang.Nam],TDP!AH$5)</f>
        <v>0</v>
      </c>
      <c r="AI80" s="380">
        <f>SUMIFS([1]!Data_BS[Value],[1]!Data_BS[Index BS],TDP!$B80,[1]!Data_BS[TenCongTyID],TDP!$B$1,[1]!Data_BS[Thang.Nam],TDP!AI$5)</f>
        <v>0</v>
      </c>
      <c r="AJ80" s="380">
        <f>SUMIFS([1]!Data_BS[Value],[1]!Data_BS[Index BS],TDP!$B80,[1]!Data_BS[TenCongTyID],TDP!$B$1,[1]!Data_BS[Thang.Nam],TDP!AJ$5)</f>
        <v>0</v>
      </c>
      <c r="AK80" s="380">
        <f>SUMIFS([1]!Data_BS[Value],[1]!Data_BS[Index BS],TDP!$B80,[1]!Data_BS[TenCongTyID],TDP!$B$1,[1]!Data_BS[Thang.Nam],TDP!AK$5)</f>
        <v>0</v>
      </c>
      <c r="AL80" s="381">
        <f>SUMIFS([1]!Data_BS[Value],[1]!Data_BS[Index BS],TDP!$B80,[1]!Data_BS[TenCongTyID],TDP!$B$1,[1]!Data_BS[Thang.Nam],TDP!AL$5)</f>
        <v>0</v>
      </c>
    </row>
    <row r="81" spans="1:38" ht="15" hidden="1" customHeight="1" outlineLevel="1">
      <c r="A81" s="67" t="s">
        <v>165</v>
      </c>
      <c r="B81" s="63">
        <v>76</v>
      </c>
      <c r="C81" s="64"/>
      <c r="D81" s="69"/>
      <c r="E81" s="69"/>
      <c r="F81" s="379"/>
      <c r="G81" s="69"/>
      <c r="H81" s="69">
        <v>0</v>
      </c>
      <c r="I81" s="69"/>
      <c r="J81" s="69"/>
      <c r="K81" s="69"/>
      <c r="L81" s="69"/>
      <c r="M81" s="379"/>
      <c r="N81" s="85"/>
      <c r="O81" s="64"/>
      <c r="P81" s="69"/>
      <c r="Q81" s="69"/>
      <c r="R81" s="379"/>
      <c r="S81" s="69"/>
      <c r="T81" s="69">
        <v>0</v>
      </c>
      <c r="U81" s="69"/>
      <c r="V81" s="69"/>
      <c r="W81" s="69"/>
      <c r="X81" s="69"/>
      <c r="Y81" s="379"/>
      <c r="Z81" s="379">
        <v>0</v>
      </c>
      <c r="AA81" s="380">
        <f>SUMIFS([1]!Data_BS[Value],[1]!Data_BS[Index BS],TDP!$B81,[1]!Data_BS[TenCongTyID],TDP!$B$1,[1]!Data_BS[Thang.Nam],TDP!AA$5)</f>
        <v>0</v>
      </c>
      <c r="AB81" s="380">
        <f>SUMIFS([1]!Data_BS[Value],[1]!Data_BS[Index BS],TDP!$B81,[1]!Data_BS[TenCongTyID],TDP!$B$1,[1]!Data_BS[Thang.Nam],TDP!AB$5)</f>
        <v>0</v>
      </c>
      <c r="AC81" s="380">
        <f>SUMIFS([1]!Data_BS[Value],[1]!Data_BS[Index BS],TDP!$B81,[1]!Data_BS[TenCongTyID],TDP!$B$1,[1]!Data_BS[Thang.Nam],TDP!AC$5)</f>
        <v>0</v>
      </c>
      <c r="AD81" s="380">
        <f>SUMIFS([1]!Data_BS[Value],[1]!Data_BS[Index BS],TDP!$B81,[1]!Data_BS[TenCongTyID],TDP!$B$1,[1]!Data_BS[Thang.Nam],TDP!AD$5)</f>
        <v>0</v>
      </c>
      <c r="AE81" s="380">
        <f>SUMIFS([1]!Data_BS[Value],[1]!Data_BS[Index BS],TDP!$B81,[1]!Data_BS[TenCongTyID],TDP!$B$1,[1]!Data_BS[Thang.Nam],TDP!AE$5)</f>
        <v>0</v>
      </c>
      <c r="AF81" s="380">
        <f>SUMIFS([1]!Data_BS[Value],[1]!Data_BS[Index BS],TDP!$B81,[1]!Data_BS[TenCongTyID],TDP!$B$1,[1]!Data_BS[Thang.Nam],TDP!AF$5)</f>
        <v>0</v>
      </c>
      <c r="AG81" s="380">
        <f>SUMIFS([1]!Data_BS[Value],[1]!Data_BS[Index BS],TDP!$B81,[1]!Data_BS[TenCongTyID],TDP!$B$1,[1]!Data_BS[Thang.Nam],TDP!AG$5)</f>
        <v>0</v>
      </c>
      <c r="AH81" s="380">
        <f>SUMIFS([1]!Data_BS[Value],[1]!Data_BS[Index BS],TDP!$B81,[1]!Data_BS[TenCongTyID],TDP!$B$1,[1]!Data_BS[Thang.Nam],TDP!AH$5)</f>
        <v>0</v>
      </c>
      <c r="AI81" s="380">
        <f>SUMIFS([1]!Data_BS[Value],[1]!Data_BS[Index BS],TDP!$B81,[1]!Data_BS[TenCongTyID],TDP!$B$1,[1]!Data_BS[Thang.Nam],TDP!AI$5)</f>
        <v>0</v>
      </c>
      <c r="AJ81" s="380">
        <f>SUMIFS([1]!Data_BS[Value],[1]!Data_BS[Index BS],TDP!$B81,[1]!Data_BS[TenCongTyID],TDP!$B$1,[1]!Data_BS[Thang.Nam],TDP!AJ$5)</f>
        <v>0</v>
      </c>
      <c r="AK81" s="380">
        <f>SUMIFS([1]!Data_BS[Value],[1]!Data_BS[Index BS],TDP!$B81,[1]!Data_BS[TenCongTyID],TDP!$B$1,[1]!Data_BS[Thang.Nam],TDP!AK$5)</f>
        <v>0</v>
      </c>
      <c r="AL81" s="381">
        <f>SUMIFS([1]!Data_BS[Value],[1]!Data_BS[Index BS],TDP!$B81,[1]!Data_BS[TenCongTyID],TDP!$B$1,[1]!Data_BS[Thang.Nam],TDP!AL$5)</f>
        <v>0</v>
      </c>
    </row>
    <row r="82" spans="1:38" ht="15" hidden="1" customHeight="1" outlineLevel="1">
      <c r="A82" s="67" t="s">
        <v>166</v>
      </c>
      <c r="B82" s="63">
        <v>77</v>
      </c>
      <c r="C82" s="64"/>
      <c r="D82" s="69"/>
      <c r="E82" s="69"/>
      <c r="F82" s="379"/>
      <c r="G82" s="69"/>
      <c r="H82" s="69">
        <v>0</v>
      </c>
      <c r="I82" s="69"/>
      <c r="J82" s="69"/>
      <c r="K82" s="69"/>
      <c r="L82" s="69"/>
      <c r="M82" s="379"/>
      <c r="N82" s="85"/>
      <c r="O82" s="64"/>
      <c r="P82" s="69"/>
      <c r="Q82" s="69"/>
      <c r="R82" s="379"/>
      <c r="S82" s="69"/>
      <c r="T82" s="69">
        <v>0</v>
      </c>
      <c r="U82" s="69"/>
      <c r="V82" s="69"/>
      <c r="W82" s="69"/>
      <c r="X82" s="69"/>
      <c r="Y82" s="379"/>
      <c r="Z82" s="379">
        <v>0</v>
      </c>
      <c r="AA82" s="380">
        <f>SUMIFS([1]!Data_BS[Value],[1]!Data_BS[Index BS],TDP!$B82,[1]!Data_BS[TenCongTyID],TDP!$B$1,[1]!Data_BS[Thang.Nam],TDP!AA$5)</f>
        <v>0</v>
      </c>
      <c r="AB82" s="380">
        <f>SUMIFS([1]!Data_BS[Value],[1]!Data_BS[Index BS],TDP!$B82,[1]!Data_BS[TenCongTyID],TDP!$B$1,[1]!Data_BS[Thang.Nam],TDP!AB$5)</f>
        <v>0</v>
      </c>
      <c r="AC82" s="380">
        <f>SUMIFS([1]!Data_BS[Value],[1]!Data_BS[Index BS],TDP!$B82,[1]!Data_BS[TenCongTyID],TDP!$B$1,[1]!Data_BS[Thang.Nam],TDP!AC$5)</f>
        <v>0</v>
      </c>
      <c r="AD82" s="380">
        <f>SUMIFS([1]!Data_BS[Value],[1]!Data_BS[Index BS],TDP!$B82,[1]!Data_BS[TenCongTyID],TDP!$B$1,[1]!Data_BS[Thang.Nam],TDP!AD$5)</f>
        <v>0</v>
      </c>
      <c r="AE82" s="380">
        <f>SUMIFS([1]!Data_BS[Value],[1]!Data_BS[Index BS],TDP!$B82,[1]!Data_BS[TenCongTyID],TDP!$B$1,[1]!Data_BS[Thang.Nam],TDP!AE$5)</f>
        <v>0</v>
      </c>
      <c r="AF82" s="380">
        <f>SUMIFS([1]!Data_BS[Value],[1]!Data_BS[Index BS],TDP!$B82,[1]!Data_BS[TenCongTyID],TDP!$B$1,[1]!Data_BS[Thang.Nam],TDP!AF$5)</f>
        <v>0</v>
      </c>
      <c r="AG82" s="380">
        <f>SUMIFS([1]!Data_BS[Value],[1]!Data_BS[Index BS],TDP!$B82,[1]!Data_BS[TenCongTyID],TDP!$B$1,[1]!Data_BS[Thang.Nam],TDP!AG$5)</f>
        <v>0</v>
      </c>
      <c r="AH82" s="380">
        <f>SUMIFS([1]!Data_BS[Value],[1]!Data_BS[Index BS],TDP!$B82,[1]!Data_BS[TenCongTyID],TDP!$B$1,[1]!Data_BS[Thang.Nam],TDP!AH$5)</f>
        <v>0</v>
      </c>
      <c r="AI82" s="380">
        <f>SUMIFS([1]!Data_BS[Value],[1]!Data_BS[Index BS],TDP!$B82,[1]!Data_BS[TenCongTyID],TDP!$B$1,[1]!Data_BS[Thang.Nam],TDP!AI$5)</f>
        <v>0</v>
      </c>
      <c r="AJ82" s="380">
        <f>SUMIFS([1]!Data_BS[Value],[1]!Data_BS[Index BS],TDP!$B82,[1]!Data_BS[TenCongTyID],TDP!$B$1,[1]!Data_BS[Thang.Nam],TDP!AJ$5)</f>
        <v>0</v>
      </c>
      <c r="AK82" s="380">
        <f>SUMIFS([1]!Data_BS[Value],[1]!Data_BS[Index BS],TDP!$B82,[1]!Data_BS[TenCongTyID],TDP!$B$1,[1]!Data_BS[Thang.Nam],TDP!AK$5)</f>
        <v>0</v>
      </c>
      <c r="AL82" s="381">
        <f>SUMIFS([1]!Data_BS[Value],[1]!Data_BS[Index BS],TDP!$B82,[1]!Data_BS[TenCongTyID],TDP!$B$1,[1]!Data_BS[Thang.Nam],TDP!AL$5)</f>
        <v>0</v>
      </c>
    </row>
    <row r="83" spans="1:38" s="251" customFormat="1" ht="15" hidden="1" customHeight="1" outlineLevel="1">
      <c r="A83" s="80" t="s">
        <v>167</v>
      </c>
      <c r="B83" s="81">
        <v>78</v>
      </c>
      <c r="C83" s="392">
        <f t="shared" ref="C83:I83" si="4">+C38+C6</f>
        <v>0</v>
      </c>
      <c r="D83" s="393">
        <f t="shared" si="4"/>
        <v>0</v>
      </c>
      <c r="E83" s="393">
        <f t="shared" si="4"/>
        <v>0</v>
      </c>
      <c r="F83" s="394">
        <f t="shared" si="4"/>
        <v>0</v>
      </c>
      <c r="G83" s="393">
        <f t="shared" si="4"/>
        <v>0</v>
      </c>
      <c r="H83" s="393">
        <f t="shared" si="4"/>
        <v>0</v>
      </c>
      <c r="I83" s="393">
        <f t="shared" si="4"/>
        <v>0</v>
      </c>
      <c r="J83" s="393">
        <v>30000</v>
      </c>
      <c r="K83" s="393">
        <v>2594646</v>
      </c>
      <c r="L83" s="393">
        <v>63759292</v>
      </c>
      <c r="M83" s="394">
        <v>20124923938</v>
      </c>
      <c r="N83" s="395">
        <v>20120693242</v>
      </c>
      <c r="O83" s="392">
        <v>20100338429</v>
      </c>
      <c r="P83" s="393">
        <v>20204761013</v>
      </c>
      <c r="Q83" s="393">
        <v>20249182889</v>
      </c>
      <c r="R83" s="394">
        <v>20296421668</v>
      </c>
      <c r="S83" s="393">
        <v>20340841883</v>
      </c>
      <c r="T83" s="393">
        <v>21384263853</v>
      </c>
      <c r="U83" s="393">
        <v>21443707417</v>
      </c>
      <c r="V83" s="393">
        <v>21502838004</v>
      </c>
      <c r="W83" s="393">
        <v>21562254819</v>
      </c>
      <c r="X83" s="393">
        <v>21621671027</v>
      </c>
      <c r="Y83" s="394">
        <v>21688144800</v>
      </c>
      <c r="Z83" s="394">
        <v>21747561060</v>
      </c>
      <c r="AA83" s="396">
        <f>SUMIFS([1]!Data_BS[Value],[1]!Data_BS[Index BS],TDP!$B83,[1]!Data_BS[TenCongTyID],TDP!$B$1,[1]!Data_BS[Thang.Nam],TDP!AA$5)</f>
        <v>0</v>
      </c>
      <c r="AB83" s="396">
        <f>SUMIFS([1]!Data_BS[Value],[1]!Data_BS[Index BS],TDP!$B83,[1]!Data_BS[TenCongTyID],TDP!$B$1,[1]!Data_BS[Thang.Nam],TDP!AB$5)</f>
        <v>0</v>
      </c>
      <c r="AC83" s="396">
        <f>SUMIFS([1]!Data_BS[Value],[1]!Data_BS[Index BS],TDP!$B83,[1]!Data_BS[TenCongTyID],TDP!$B$1,[1]!Data_BS[Thang.Nam],TDP!AC$5)</f>
        <v>0</v>
      </c>
      <c r="AD83" s="396">
        <f>SUMIFS([1]!Data_BS[Value],[1]!Data_BS[Index BS],TDP!$B83,[1]!Data_BS[TenCongTyID],TDP!$B$1,[1]!Data_BS[Thang.Nam],TDP!AD$5)</f>
        <v>0</v>
      </c>
      <c r="AE83" s="396">
        <f>SUMIFS([1]!Data_BS[Value],[1]!Data_BS[Index BS],TDP!$B83,[1]!Data_BS[TenCongTyID],TDP!$B$1,[1]!Data_BS[Thang.Nam],TDP!AE$5)</f>
        <v>0</v>
      </c>
      <c r="AF83" s="396">
        <f>SUMIFS([1]!Data_BS[Value],[1]!Data_BS[Index BS],TDP!$B83,[1]!Data_BS[TenCongTyID],TDP!$B$1,[1]!Data_BS[Thang.Nam],TDP!AF$5)</f>
        <v>0</v>
      </c>
      <c r="AG83" s="396">
        <f>SUMIFS([1]!Data_BS[Value],[1]!Data_BS[Index BS],TDP!$B83,[1]!Data_BS[TenCongTyID],TDP!$B$1,[1]!Data_BS[Thang.Nam],TDP!AG$5)</f>
        <v>0</v>
      </c>
      <c r="AH83" s="396">
        <f>SUMIFS([1]!Data_BS[Value],[1]!Data_BS[Index BS],TDP!$B83,[1]!Data_BS[TenCongTyID],TDP!$B$1,[1]!Data_BS[Thang.Nam],TDP!AH$5)</f>
        <v>0</v>
      </c>
      <c r="AI83" s="396">
        <f>SUMIFS([1]!Data_BS[Value],[1]!Data_BS[Index BS],TDP!$B83,[1]!Data_BS[TenCongTyID],TDP!$B$1,[1]!Data_BS[Thang.Nam],TDP!AI$5)</f>
        <v>0</v>
      </c>
      <c r="AJ83" s="396">
        <f>SUMIFS([1]!Data_BS[Value],[1]!Data_BS[Index BS],TDP!$B83,[1]!Data_BS[TenCongTyID],TDP!$B$1,[1]!Data_BS[Thang.Nam],TDP!AJ$5)</f>
        <v>0</v>
      </c>
      <c r="AK83" s="396">
        <f>SUMIFS([1]!Data_BS[Value],[1]!Data_BS[Index BS],TDP!$B83,[1]!Data_BS[TenCongTyID],TDP!$B$1,[1]!Data_BS[Thang.Nam],TDP!AK$5)</f>
        <v>0</v>
      </c>
      <c r="AL83" s="397">
        <f>SUMIFS([1]!Data_BS[Value],[1]!Data_BS[Index BS],TDP!$B83,[1]!Data_BS[TenCongTyID],TDP!$B$1,[1]!Data_BS[Thang.Nam],TDP!AL$5)</f>
        <v>0</v>
      </c>
    </row>
    <row r="84" spans="1:38" ht="15" hidden="1" customHeight="1" outlineLevel="1">
      <c r="A84" s="56" t="s">
        <v>168</v>
      </c>
      <c r="B84" s="71">
        <v>79</v>
      </c>
      <c r="C84" s="58">
        <f t="shared" ref="C84:I84" si="5">+C85+C101</f>
        <v>0</v>
      </c>
      <c r="D84" s="370">
        <f t="shared" si="5"/>
        <v>0</v>
      </c>
      <c r="E84" s="370">
        <f t="shared" si="5"/>
        <v>0</v>
      </c>
      <c r="F84" s="371">
        <f t="shared" si="5"/>
        <v>0</v>
      </c>
      <c r="G84" s="370">
        <f t="shared" si="5"/>
        <v>0</v>
      </c>
      <c r="H84" s="370">
        <f t="shared" si="5"/>
        <v>0</v>
      </c>
      <c r="I84" s="370">
        <f t="shared" si="5"/>
        <v>0</v>
      </c>
      <c r="J84" s="370">
        <v>430000</v>
      </c>
      <c r="K84" s="370">
        <v>18030000</v>
      </c>
      <c r="L84" s="370">
        <v>694230000</v>
      </c>
      <c r="M84" s="371">
        <v>1370430000</v>
      </c>
      <c r="N84" s="398">
        <v>1981777778</v>
      </c>
      <c r="O84" s="58">
        <v>1980000000</v>
      </c>
      <c r="P84" s="370">
        <v>3300000000</v>
      </c>
      <c r="Q84" s="370">
        <v>3960000000</v>
      </c>
      <c r="R84" s="371">
        <v>4620000000</v>
      </c>
      <c r="S84" s="370">
        <v>5280000000</v>
      </c>
      <c r="T84" s="370">
        <v>6940000000</v>
      </c>
      <c r="U84" s="370">
        <v>7600291600</v>
      </c>
      <c r="V84" s="370">
        <v>8260000000</v>
      </c>
      <c r="W84" s="370">
        <v>8920000000</v>
      </c>
      <c r="X84" s="370">
        <v>9580000000</v>
      </c>
      <c r="Y84" s="371">
        <v>10240000000</v>
      </c>
      <c r="Z84" s="371">
        <v>10900000000</v>
      </c>
      <c r="AA84" s="373">
        <f>SUMIFS([1]!Data_BS[Value],[1]!Data_BS[Index BS],TDP!$B84,[1]!Data_BS[TenCongTyID],TDP!$B$1,[1]!Data_BS[Thang.Nam],TDP!AA$5)</f>
        <v>0</v>
      </c>
      <c r="AB84" s="373">
        <f>SUMIFS([1]!Data_BS[Value],[1]!Data_BS[Index BS],TDP!$B84,[1]!Data_BS[TenCongTyID],TDP!$B$1,[1]!Data_BS[Thang.Nam],TDP!AB$5)</f>
        <v>0</v>
      </c>
      <c r="AC84" s="373">
        <f>SUMIFS([1]!Data_BS[Value],[1]!Data_BS[Index BS],TDP!$B84,[1]!Data_BS[TenCongTyID],TDP!$B$1,[1]!Data_BS[Thang.Nam],TDP!AC$5)</f>
        <v>0</v>
      </c>
      <c r="AD84" s="373">
        <f>SUMIFS([1]!Data_BS[Value],[1]!Data_BS[Index BS],TDP!$B84,[1]!Data_BS[TenCongTyID],TDP!$B$1,[1]!Data_BS[Thang.Nam],TDP!AD$5)</f>
        <v>0</v>
      </c>
      <c r="AE84" s="373">
        <f>SUMIFS([1]!Data_BS[Value],[1]!Data_BS[Index BS],TDP!$B84,[1]!Data_BS[TenCongTyID],TDP!$B$1,[1]!Data_BS[Thang.Nam],TDP!AE$5)</f>
        <v>0</v>
      </c>
      <c r="AF84" s="373">
        <f>SUMIFS([1]!Data_BS[Value],[1]!Data_BS[Index BS],TDP!$B84,[1]!Data_BS[TenCongTyID],TDP!$B$1,[1]!Data_BS[Thang.Nam],TDP!AF$5)</f>
        <v>0</v>
      </c>
      <c r="AG84" s="373">
        <f>SUMIFS([1]!Data_BS[Value],[1]!Data_BS[Index BS],TDP!$B84,[1]!Data_BS[TenCongTyID],TDP!$B$1,[1]!Data_BS[Thang.Nam],TDP!AG$5)</f>
        <v>0</v>
      </c>
      <c r="AH84" s="373">
        <f>SUMIFS([1]!Data_BS[Value],[1]!Data_BS[Index BS],TDP!$B84,[1]!Data_BS[TenCongTyID],TDP!$B$1,[1]!Data_BS[Thang.Nam],TDP!AH$5)</f>
        <v>0</v>
      </c>
      <c r="AI84" s="373">
        <f>SUMIFS([1]!Data_BS[Value],[1]!Data_BS[Index BS],TDP!$B84,[1]!Data_BS[TenCongTyID],TDP!$B$1,[1]!Data_BS[Thang.Nam],TDP!AI$5)</f>
        <v>0</v>
      </c>
      <c r="AJ84" s="373">
        <f>SUMIFS([1]!Data_BS[Value],[1]!Data_BS[Index BS],TDP!$B84,[1]!Data_BS[TenCongTyID],TDP!$B$1,[1]!Data_BS[Thang.Nam],TDP!AJ$5)</f>
        <v>0</v>
      </c>
      <c r="AK84" s="373">
        <f>SUMIFS([1]!Data_BS[Value],[1]!Data_BS[Index BS],TDP!$B84,[1]!Data_BS[TenCongTyID],TDP!$B$1,[1]!Data_BS[Thang.Nam],TDP!AK$5)</f>
        <v>0</v>
      </c>
      <c r="AL84" s="374">
        <f>SUMIFS([1]!Data_BS[Value],[1]!Data_BS[Index BS],TDP!$B84,[1]!Data_BS[TenCongTyID],TDP!$B$1,[1]!Data_BS[Thang.Nam],TDP!AL$5)</f>
        <v>0</v>
      </c>
    </row>
    <row r="85" spans="1:38" ht="15" hidden="1" customHeight="1" outlineLevel="1">
      <c r="A85" s="59" t="s">
        <v>169</v>
      </c>
      <c r="B85" s="65">
        <v>80</v>
      </c>
      <c r="C85" s="61">
        <f t="shared" ref="C85:I85" si="6">+SUM(C87:C100)</f>
        <v>0</v>
      </c>
      <c r="D85" s="173">
        <f t="shared" si="6"/>
        <v>0</v>
      </c>
      <c r="E85" s="173">
        <f t="shared" si="6"/>
        <v>0</v>
      </c>
      <c r="F85" s="375">
        <f t="shared" si="6"/>
        <v>0</v>
      </c>
      <c r="G85" s="173">
        <f t="shared" si="6"/>
        <v>0</v>
      </c>
      <c r="H85" s="173">
        <f t="shared" si="6"/>
        <v>0</v>
      </c>
      <c r="I85" s="173">
        <f t="shared" si="6"/>
        <v>0</v>
      </c>
      <c r="J85" s="173">
        <v>430000</v>
      </c>
      <c r="K85" s="173">
        <v>18030000</v>
      </c>
      <c r="L85" s="173">
        <v>694230000</v>
      </c>
      <c r="M85" s="375">
        <v>1370430000</v>
      </c>
      <c r="N85" s="376">
        <v>1981777778</v>
      </c>
      <c r="O85" s="61">
        <v>1980000000</v>
      </c>
      <c r="P85" s="173">
        <v>3300000000</v>
      </c>
      <c r="Q85" s="173">
        <v>3960000000</v>
      </c>
      <c r="R85" s="375">
        <v>4620000000</v>
      </c>
      <c r="S85" s="173">
        <v>5280000000</v>
      </c>
      <c r="T85" s="173">
        <v>6940000000</v>
      </c>
      <c r="U85" s="173">
        <v>7600291600</v>
      </c>
      <c r="V85" s="173">
        <v>8260000000</v>
      </c>
      <c r="W85" s="173">
        <v>8920000000</v>
      </c>
      <c r="X85" s="173">
        <v>9580000000</v>
      </c>
      <c r="Y85" s="375">
        <v>10240000000</v>
      </c>
      <c r="Z85" s="375">
        <v>10900000000</v>
      </c>
      <c r="AA85" s="377">
        <f>SUMIFS([1]!Data_BS[Value],[1]!Data_BS[Index BS],TDP!$B85,[1]!Data_BS[TenCongTyID],TDP!$B$1,[1]!Data_BS[Thang.Nam],TDP!AA$5)</f>
        <v>0</v>
      </c>
      <c r="AB85" s="377">
        <f>SUMIFS([1]!Data_BS[Value],[1]!Data_BS[Index BS],TDP!$B85,[1]!Data_BS[TenCongTyID],TDP!$B$1,[1]!Data_BS[Thang.Nam],TDP!AB$5)</f>
        <v>0</v>
      </c>
      <c r="AC85" s="377">
        <f>SUMIFS([1]!Data_BS[Value],[1]!Data_BS[Index BS],TDP!$B85,[1]!Data_BS[TenCongTyID],TDP!$B$1,[1]!Data_BS[Thang.Nam],TDP!AC$5)</f>
        <v>0</v>
      </c>
      <c r="AD85" s="377">
        <f>SUMIFS([1]!Data_BS[Value],[1]!Data_BS[Index BS],TDP!$B85,[1]!Data_BS[TenCongTyID],TDP!$B$1,[1]!Data_BS[Thang.Nam],TDP!AD$5)</f>
        <v>0</v>
      </c>
      <c r="AE85" s="377">
        <f>SUMIFS([1]!Data_BS[Value],[1]!Data_BS[Index BS],TDP!$B85,[1]!Data_BS[TenCongTyID],TDP!$B$1,[1]!Data_BS[Thang.Nam],TDP!AE$5)</f>
        <v>0</v>
      </c>
      <c r="AF85" s="377">
        <f>SUMIFS([1]!Data_BS[Value],[1]!Data_BS[Index BS],TDP!$B85,[1]!Data_BS[TenCongTyID],TDP!$B$1,[1]!Data_BS[Thang.Nam],TDP!AF$5)</f>
        <v>0</v>
      </c>
      <c r="AG85" s="377">
        <f>SUMIFS([1]!Data_BS[Value],[1]!Data_BS[Index BS],TDP!$B85,[1]!Data_BS[TenCongTyID],TDP!$B$1,[1]!Data_BS[Thang.Nam],TDP!AG$5)</f>
        <v>0</v>
      </c>
      <c r="AH85" s="377">
        <f>SUMIFS([1]!Data_BS[Value],[1]!Data_BS[Index BS],TDP!$B85,[1]!Data_BS[TenCongTyID],TDP!$B$1,[1]!Data_BS[Thang.Nam],TDP!AH$5)</f>
        <v>0</v>
      </c>
      <c r="AI85" s="377">
        <f>SUMIFS([1]!Data_BS[Value],[1]!Data_BS[Index BS],TDP!$B85,[1]!Data_BS[TenCongTyID],TDP!$B$1,[1]!Data_BS[Thang.Nam],TDP!AI$5)</f>
        <v>0</v>
      </c>
      <c r="AJ85" s="377">
        <f>SUMIFS([1]!Data_BS[Value],[1]!Data_BS[Index BS],TDP!$B85,[1]!Data_BS[TenCongTyID],TDP!$B$1,[1]!Data_BS[Thang.Nam],TDP!AJ$5)</f>
        <v>0</v>
      </c>
      <c r="AK85" s="377">
        <f>SUMIFS([1]!Data_BS[Value],[1]!Data_BS[Index BS],TDP!$B85,[1]!Data_BS[TenCongTyID],TDP!$B$1,[1]!Data_BS[Thang.Nam],TDP!AK$5)</f>
        <v>0</v>
      </c>
      <c r="AL85" s="378">
        <f>SUMIFS([1]!Data_BS[Value],[1]!Data_BS[Index BS],TDP!$B85,[1]!Data_BS[TenCongTyID],TDP!$B$1,[1]!Data_BS[Thang.Nam],TDP!AL$5)</f>
        <v>0</v>
      </c>
    </row>
    <row r="86" spans="1:38" ht="15" hidden="1" customHeight="1" outlineLevel="1">
      <c r="A86" s="67" t="s">
        <v>170</v>
      </c>
      <c r="B86" s="63">
        <v>81</v>
      </c>
      <c r="C86" s="64"/>
      <c r="D86" s="69"/>
      <c r="E86" s="69"/>
      <c r="F86" s="379"/>
      <c r="G86" s="69"/>
      <c r="H86" s="69">
        <v>0</v>
      </c>
      <c r="I86" s="69"/>
      <c r="J86" s="69">
        <v>430000</v>
      </c>
      <c r="K86" s="69">
        <v>18030000</v>
      </c>
      <c r="L86" s="69">
        <v>694230000</v>
      </c>
      <c r="M86" s="379">
        <v>1370430000</v>
      </c>
      <c r="N86" s="85">
        <v>1980000000</v>
      </c>
      <c r="O86" s="64">
        <v>1980000000</v>
      </c>
      <c r="P86" s="69">
        <v>3300000000</v>
      </c>
      <c r="Q86" s="69">
        <v>3960000000</v>
      </c>
      <c r="R86" s="379">
        <v>4620000000</v>
      </c>
      <c r="S86" s="69">
        <v>5280000000</v>
      </c>
      <c r="T86" s="69">
        <v>5940000000</v>
      </c>
      <c r="U86" s="69">
        <v>6600291600</v>
      </c>
      <c r="V86" s="69">
        <v>7260000000</v>
      </c>
      <c r="W86" s="69">
        <v>7920000000</v>
      </c>
      <c r="X86" s="69">
        <v>8580000000</v>
      </c>
      <c r="Y86" s="379">
        <v>9240000000</v>
      </c>
      <c r="Z86" s="379">
        <v>9900000000</v>
      </c>
      <c r="AA86" s="380">
        <f>SUMIFS([1]!Data_BS[Value],[1]!Data_BS[Index BS],TDP!$B86,[1]!Data_BS[TenCongTyID],TDP!$B$1,[1]!Data_BS[Thang.Nam],TDP!AA$5)</f>
        <v>0</v>
      </c>
      <c r="AB86" s="380">
        <f>SUMIFS([1]!Data_BS[Value],[1]!Data_BS[Index BS],TDP!$B86,[1]!Data_BS[TenCongTyID],TDP!$B$1,[1]!Data_BS[Thang.Nam],TDP!AB$5)</f>
        <v>0</v>
      </c>
      <c r="AC86" s="380">
        <f>SUMIFS([1]!Data_BS[Value],[1]!Data_BS[Index BS],TDP!$B86,[1]!Data_BS[TenCongTyID],TDP!$B$1,[1]!Data_BS[Thang.Nam],TDP!AC$5)</f>
        <v>0</v>
      </c>
      <c r="AD86" s="380">
        <f>SUMIFS([1]!Data_BS[Value],[1]!Data_BS[Index BS],TDP!$B86,[1]!Data_BS[TenCongTyID],TDP!$B$1,[1]!Data_BS[Thang.Nam],TDP!AD$5)</f>
        <v>0</v>
      </c>
      <c r="AE86" s="380">
        <f>SUMIFS([1]!Data_BS[Value],[1]!Data_BS[Index BS],TDP!$B86,[1]!Data_BS[TenCongTyID],TDP!$B$1,[1]!Data_BS[Thang.Nam],TDP!AE$5)</f>
        <v>0</v>
      </c>
      <c r="AF86" s="380">
        <f>SUMIFS([1]!Data_BS[Value],[1]!Data_BS[Index BS],TDP!$B86,[1]!Data_BS[TenCongTyID],TDP!$B$1,[1]!Data_BS[Thang.Nam],TDP!AF$5)</f>
        <v>0</v>
      </c>
      <c r="AG86" s="380">
        <f>SUMIFS([1]!Data_BS[Value],[1]!Data_BS[Index BS],TDP!$B86,[1]!Data_BS[TenCongTyID],TDP!$B$1,[1]!Data_BS[Thang.Nam],TDP!AG$5)</f>
        <v>0</v>
      </c>
      <c r="AH86" s="380">
        <f>SUMIFS([1]!Data_BS[Value],[1]!Data_BS[Index BS],TDP!$B86,[1]!Data_BS[TenCongTyID],TDP!$B$1,[1]!Data_BS[Thang.Nam],TDP!AH$5)</f>
        <v>0</v>
      </c>
      <c r="AI86" s="380">
        <f>SUMIFS([1]!Data_BS[Value],[1]!Data_BS[Index BS],TDP!$B86,[1]!Data_BS[TenCongTyID],TDP!$B$1,[1]!Data_BS[Thang.Nam],TDP!AI$5)</f>
        <v>0</v>
      </c>
      <c r="AJ86" s="380">
        <f>SUMIFS([1]!Data_BS[Value],[1]!Data_BS[Index BS],TDP!$B86,[1]!Data_BS[TenCongTyID],TDP!$B$1,[1]!Data_BS[Thang.Nam],TDP!AJ$5)</f>
        <v>0</v>
      </c>
      <c r="AK86" s="380">
        <f>SUMIFS([1]!Data_BS[Value],[1]!Data_BS[Index BS],TDP!$B86,[1]!Data_BS[TenCongTyID],TDP!$B$1,[1]!Data_BS[Thang.Nam],TDP!AK$5)</f>
        <v>0</v>
      </c>
      <c r="AL86" s="381">
        <f>SUMIFS([1]!Data_BS[Value],[1]!Data_BS[Index BS],TDP!$B86,[1]!Data_BS[TenCongTyID],TDP!$B$1,[1]!Data_BS[Thang.Nam],TDP!AL$5)</f>
        <v>0</v>
      </c>
    </row>
    <row r="87" spans="1:38" ht="15" hidden="1" customHeight="1" outlineLevel="1">
      <c r="A87" s="67" t="s">
        <v>171</v>
      </c>
      <c r="B87" s="63">
        <v>82</v>
      </c>
      <c r="C87" s="64"/>
      <c r="D87" s="69"/>
      <c r="E87" s="69"/>
      <c r="F87" s="379"/>
      <c r="G87" s="69"/>
      <c r="H87" s="69">
        <v>0</v>
      </c>
      <c r="I87" s="69"/>
      <c r="J87" s="69"/>
      <c r="K87" s="69"/>
      <c r="L87" s="69"/>
      <c r="M87" s="379"/>
      <c r="N87" s="85"/>
      <c r="O87" s="64"/>
      <c r="P87" s="69"/>
      <c r="Q87" s="69"/>
      <c r="R87" s="379"/>
      <c r="S87" s="69"/>
      <c r="T87" s="69">
        <v>0</v>
      </c>
      <c r="U87" s="69"/>
      <c r="V87" s="69"/>
      <c r="W87" s="69">
        <v>0</v>
      </c>
      <c r="X87" s="69">
        <v>0</v>
      </c>
      <c r="Y87" s="379"/>
      <c r="Z87" s="379">
        <v>0</v>
      </c>
      <c r="AA87" s="380">
        <f>SUMIFS([1]!Data_BS[Value],[1]!Data_BS[Index BS],TDP!$B87,[1]!Data_BS[TenCongTyID],TDP!$B$1,[1]!Data_BS[Thang.Nam],TDP!AA$5)</f>
        <v>0</v>
      </c>
      <c r="AB87" s="380">
        <f>SUMIFS([1]!Data_BS[Value],[1]!Data_BS[Index BS],TDP!$B87,[1]!Data_BS[TenCongTyID],TDP!$B$1,[1]!Data_BS[Thang.Nam],TDP!AB$5)</f>
        <v>0</v>
      </c>
      <c r="AC87" s="380">
        <f>SUMIFS([1]!Data_BS[Value],[1]!Data_BS[Index BS],TDP!$B87,[1]!Data_BS[TenCongTyID],TDP!$B$1,[1]!Data_BS[Thang.Nam],TDP!AC$5)</f>
        <v>0</v>
      </c>
      <c r="AD87" s="380">
        <f>SUMIFS([1]!Data_BS[Value],[1]!Data_BS[Index BS],TDP!$B87,[1]!Data_BS[TenCongTyID],TDP!$B$1,[1]!Data_BS[Thang.Nam],TDP!AD$5)</f>
        <v>0</v>
      </c>
      <c r="AE87" s="380">
        <f>SUMIFS([1]!Data_BS[Value],[1]!Data_BS[Index BS],TDP!$B87,[1]!Data_BS[TenCongTyID],TDP!$B$1,[1]!Data_BS[Thang.Nam],TDP!AE$5)</f>
        <v>0</v>
      </c>
      <c r="AF87" s="380">
        <f>SUMIFS([1]!Data_BS[Value],[1]!Data_BS[Index BS],TDP!$B87,[1]!Data_BS[TenCongTyID],TDP!$B$1,[1]!Data_BS[Thang.Nam],TDP!AF$5)</f>
        <v>0</v>
      </c>
      <c r="AG87" s="380">
        <f>SUMIFS([1]!Data_BS[Value],[1]!Data_BS[Index BS],TDP!$B87,[1]!Data_BS[TenCongTyID],TDP!$B$1,[1]!Data_BS[Thang.Nam],TDP!AG$5)</f>
        <v>0</v>
      </c>
      <c r="AH87" s="380">
        <f>SUMIFS([1]!Data_BS[Value],[1]!Data_BS[Index BS],TDP!$B87,[1]!Data_BS[TenCongTyID],TDP!$B$1,[1]!Data_BS[Thang.Nam],TDP!AH$5)</f>
        <v>0</v>
      </c>
      <c r="AI87" s="380">
        <f>SUMIFS([1]!Data_BS[Value],[1]!Data_BS[Index BS],TDP!$B87,[1]!Data_BS[TenCongTyID],TDP!$B$1,[1]!Data_BS[Thang.Nam],TDP!AI$5)</f>
        <v>0</v>
      </c>
      <c r="AJ87" s="380">
        <f>SUMIFS([1]!Data_BS[Value],[1]!Data_BS[Index BS],TDP!$B87,[1]!Data_BS[TenCongTyID],TDP!$B$1,[1]!Data_BS[Thang.Nam],TDP!AJ$5)</f>
        <v>0</v>
      </c>
      <c r="AK87" s="380">
        <f>SUMIFS([1]!Data_BS[Value],[1]!Data_BS[Index BS],TDP!$B87,[1]!Data_BS[TenCongTyID],TDP!$B$1,[1]!Data_BS[Thang.Nam],TDP!AK$5)</f>
        <v>0</v>
      </c>
      <c r="AL87" s="381">
        <f>SUMIFS([1]!Data_BS[Value],[1]!Data_BS[Index BS],TDP!$B87,[1]!Data_BS[TenCongTyID],TDP!$B$1,[1]!Data_BS[Thang.Nam],TDP!AL$5)</f>
        <v>0</v>
      </c>
    </row>
    <row r="88" spans="1:38" ht="15" hidden="1" customHeight="1" outlineLevel="1">
      <c r="A88" s="67" t="s">
        <v>172</v>
      </c>
      <c r="B88" s="63">
        <v>83</v>
      </c>
      <c r="C88" s="64"/>
      <c r="D88" s="69"/>
      <c r="E88" s="69"/>
      <c r="F88" s="379"/>
      <c r="G88" s="69"/>
      <c r="H88" s="69"/>
      <c r="I88" s="69"/>
      <c r="J88" s="69"/>
      <c r="K88" s="69"/>
      <c r="L88" s="69"/>
      <c r="M88" s="379"/>
      <c r="N88" s="85"/>
      <c r="O88" s="64"/>
      <c r="P88" s="69"/>
      <c r="Q88" s="69"/>
      <c r="R88" s="379"/>
      <c r="S88" s="69"/>
      <c r="T88" s="69"/>
      <c r="U88" s="69"/>
      <c r="V88" s="69"/>
      <c r="W88" s="69"/>
      <c r="X88" s="69"/>
      <c r="Y88" s="379"/>
      <c r="Z88" s="379">
        <v>0</v>
      </c>
      <c r="AA88" s="380">
        <f>SUMIFS([1]!Data_BS[Value],[1]!Data_BS[Index BS],TDP!$B88,[1]!Data_BS[TenCongTyID],TDP!$B$1,[1]!Data_BS[Thang.Nam],TDP!AA$5)</f>
        <v>0</v>
      </c>
      <c r="AB88" s="380">
        <f>SUMIFS([1]!Data_BS[Value],[1]!Data_BS[Index BS],TDP!$B88,[1]!Data_BS[TenCongTyID],TDP!$B$1,[1]!Data_BS[Thang.Nam],TDP!AB$5)</f>
        <v>0</v>
      </c>
      <c r="AC88" s="380">
        <f>SUMIFS([1]!Data_BS[Value],[1]!Data_BS[Index BS],TDP!$B88,[1]!Data_BS[TenCongTyID],TDP!$B$1,[1]!Data_BS[Thang.Nam],TDP!AC$5)</f>
        <v>0</v>
      </c>
      <c r="AD88" s="380">
        <f>SUMIFS([1]!Data_BS[Value],[1]!Data_BS[Index BS],TDP!$B88,[1]!Data_BS[TenCongTyID],TDP!$B$1,[1]!Data_BS[Thang.Nam],TDP!AD$5)</f>
        <v>0</v>
      </c>
      <c r="AE88" s="380">
        <f>SUMIFS([1]!Data_BS[Value],[1]!Data_BS[Index BS],TDP!$B88,[1]!Data_BS[TenCongTyID],TDP!$B$1,[1]!Data_BS[Thang.Nam],TDP!AE$5)</f>
        <v>0</v>
      </c>
      <c r="AF88" s="380">
        <f>SUMIFS([1]!Data_BS[Value],[1]!Data_BS[Index BS],TDP!$B88,[1]!Data_BS[TenCongTyID],TDP!$B$1,[1]!Data_BS[Thang.Nam],TDP!AF$5)</f>
        <v>0</v>
      </c>
      <c r="AG88" s="380">
        <f>SUMIFS([1]!Data_BS[Value],[1]!Data_BS[Index BS],TDP!$B88,[1]!Data_BS[TenCongTyID],TDP!$B$1,[1]!Data_BS[Thang.Nam],TDP!AG$5)</f>
        <v>0</v>
      </c>
      <c r="AH88" s="380">
        <f>SUMIFS([1]!Data_BS[Value],[1]!Data_BS[Index BS],TDP!$B88,[1]!Data_BS[TenCongTyID],TDP!$B$1,[1]!Data_BS[Thang.Nam],TDP!AH$5)</f>
        <v>0</v>
      </c>
      <c r="AI88" s="380">
        <f>SUMIFS([1]!Data_BS[Value],[1]!Data_BS[Index BS],TDP!$B88,[1]!Data_BS[TenCongTyID],TDP!$B$1,[1]!Data_BS[Thang.Nam],TDP!AI$5)</f>
        <v>0</v>
      </c>
      <c r="AJ88" s="380">
        <f>SUMIFS([1]!Data_BS[Value],[1]!Data_BS[Index BS],TDP!$B88,[1]!Data_BS[TenCongTyID],TDP!$B$1,[1]!Data_BS[Thang.Nam],TDP!AJ$5)</f>
        <v>0</v>
      </c>
      <c r="AK88" s="380">
        <f>SUMIFS([1]!Data_BS[Value],[1]!Data_BS[Index BS],TDP!$B88,[1]!Data_BS[TenCongTyID],TDP!$B$1,[1]!Data_BS[Thang.Nam],TDP!AK$5)</f>
        <v>0</v>
      </c>
      <c r="AL88" s="381">
        <f>SUMIFS([1]!Data_BS[Value],[1]!Data_BS[Index BS],TDP!$B88,[1]!Data_BS[TenCongTyID],TDP!$B$1,[1]!Data_BS[Thang.Nam],TDP!AL$5)</f>
        <v>0</v>
      </c>
    </row>
    <row r="89" spans="1:38" ht="15" hidden="1" customHeight="1" outlineLevel="1">
      <c r="A89" s="67" t="s">
        <v>173</v>
      </c>
      <c r="B89" s="63">
        <v>84</v>
      </c>
      <c r="C89" s="64"/>
      <c r="D89" s="69"/>
      <c r="E89" s="69"/>
      <c r="F89" s="379"/>
      <c r="G89" s="69"/>
      <c r="H89" s="69">
        <v>0</v>
      </c>
      <c r="I89" s="69"/>
      <c r="J89" s="69"/>
      <c r="K89" s="69"/>
      <c r="L89" s="69"/>
      <c r="M89" s="379"/>
      <c r="N89" s="85">
        <v>1777778</v>
      </c>
      <c r="O89" s="64"/>
      <c r="P89" s="69"/>
      <c r="Q89" s="69"/>
      <c r="R89" s="379"/>
      <c r="S89" s="69"/>
      <c r="T89" s="69">
        <v>0</v>
      </c>
      <c r="U89" s="69"/>
      <c r="V89" s="69"/>
      <c r="W89" s="69">
        <v>0</v>
      </c>
      <c r="X89" s="69">
        <v>0</v>
      </c>
      <c r="Y89" s="379"/>
      <c r="Z89" s="379">
        <v>0</v>
      </c>
      <c r="AA89" s="380">
        <f>SUMIFS([1]!Data_BS[Value],[1]!Data_BS[Index BS],TDP!$B89,[1]!Data_BS[TenCongTyID],TDP!$B$1,[1]!Data_BS[Thang.Nam],TDP!AA$5)</f>
        <v>0</v>
      </c>
      <c r="AB89" s="380">
        <f>SUMIFS([1]!Data_BS[Value],[1]!Data_BS[Index BS],TDP!$B89,[1]!Data_BS[TenCongTyID],TDP!$B$1,[1]!Data_BS[Thang.Nam],TDP!AB$5)</f>
        <v>0</v>
      </c>
      <c r="AC89" s="380">
        <f>SUMIFS([1]!Data_BS[Value],[1]!Data_BS[Index BS],TDP!$B89,[1]!Data_BS[TenCongTyID],TDP!$B$1,[1]!Data_BS[Thang.Nam],TDP!AC$5)</f>
        <v>0</v>
      </c>
      <c r="AD89" s="380">
        <f>SUMIFS([1]!Data_BS[Value],[1]!Data_BS[Index BS],TDP!$B89,[1]!Data_BS[TenCongTyID],TDP!$B$1,[1]!Data_BS[Thang.Nam],TDP!AD$5)</f>
        <v>0</v>
      </c>
      <c r="AE89" s="380">
        <f>SUMIFS([1]!Data_BS[Value],[1]!Data_BS[Index BS],TDP!$B89,[1]!Data_BS[TenCongTyID],TDP!$B$1,[1]!Data_BS[Thang.Nam],TDP!AE$5)</f>
        <v>0</v>
      </c>
      <c r="AF89" s="380">
        <f>SUMIFS([1]!Data_BS[Value],[1]!Data_BS[Index BS],TDP!$B89,[1]!Data_BS[TenCongTyID],TDP!$B$1,[1]!Data_BS[Thang.Nam],TDP!AF$5)</f>
        <v>0</v>
      </c>
      <c r="AG89" s="380">
        <f>SUMIFS([1]!Data_BS[Value],[1]!Data_BS[Index BS],TDP!$B89,[1]!Data_BS[TenCongTyID],TDP!$B$1,[1]!Data_BS[Thang.Nam],TDP!AG$5)</f>
        <v>0</v>
      </c>
      <c r="AH89" s="380">
        <f>SUMIFS([1]!Data_BS[Value],[1]!Data_BS[Index BS],TDP!$B89,[1]!Data_BS[TenCongTyID],TDP!$B$1,[1]!Data_BS[Thang.Nam],TDP!AH$5)</f>
        <v>0</v>
      </c>
      <c r="AI89" s="380">
        <f>SUMIFS([1]!Data_BS[Value],[1]!Data_BS[Index BS],TDP!$B89,[1]!Data_BS[TenCongTyID],TDP!$B$1,[1]!Data_BS[Thang.Nam],TDP!AI$5)</f>
        <v>0</v>
      </c>
      <c r="AJ89" s="380">
        <f>SUMIFS([1]!Data_BS[Value],[1]!Data_BS[Index BS],TDP!$B89,[1]!Data_BS[TenCongTyID],TDP!$B$1,[1]!Data_BS[Thang.Nam],TDP!AJ$5)</f>
        <v>0</v>
      </c>
      <c r="AK89" s="380">
        <f>SUMIFS([1]!Data_BS[Value],[1]!Data_BS[Index BS],TDP!$B89,[1]!Data_BS[TenCongTyID],TDP!$B$1,[1]!Data_BS[Thang.Nam],TDP!AK$5)</f>
        <v>0</v>
      </c>
      <c r="AL89" s="381">
        <f>SUMIFS([1]!Data_BS[Value],[1]!Data_BS[Index BS],TDP!$B89,[1]!Data_BS[TenCongTyID],TDP!$B$1,[1]!Data_BS[Thang.Nam],TDP!AL$5)</f>
        <v>0</v>
      </c>
    </row>
    <row r="90" spans="1:38" ht="15" hidden="1" customHeight="1" outlineLevel="1">
      <c r="A90" s="67" t="s">
        <v>174</v>
      </c>
      <c r="B90" s="63">
        <v>85</v>
      </c>
      <c r="C90" s="64"/>
      <c r="D90" s="69"/>
      <c r="E90" s="69"/>
      <c r="F90" s="379"/>
      <c r="G90" s="69"/>
      <c r="H90" s="69">
        <v>0</v>
      </c>
      <c r="I90" s="69"/>
      <c r="J90" s="69"/>
      <c r="K90" s="69"/>
      <c r="L90" s="69"/>
      <c r="M90" s="379"/>
      <c r="N90" s="85"/>
      <c r="O90" s="64"/>
      <c r="P90" s="69"/>
      <c r="Q90" s="69"/>
      <c r="R90" s="379"/>
      <c r="S90" s="69"/>
      <c r="T90" s="69">
        <v>0</v>
      </c>
      <c r="U90" s="69"/>
      <c r="V90" s="69"/>
      <c r="W90" s="69">
        <v>0</v>
      </c>
      <c r="X90" s="69">
        <v>0</v>
      </c>
      <c r="Y90" s="379"/>
      <c r="Z90" s="379">
        <v>0</v>
      </c>
      <c r="AA90" s="380">
        <f>SUMIFS([1]!Data_BS[Value],[1]!Data_BS[Index BS],TDP!$B90,[1]!Data_BS[TenCongTyID],TDP!$B$1,[1]!Data_BS[Thang.Nam],TDP!AA$5)</f>
        <v>0</v>
      </c>
      <c r="AB90" s="380">
        <f>SUMIFS([1]!Data_BS[Value],[1]!Data_BS[Index BS],TDP!$B90,[1]!Data_BS[TenCongTyID],TDP!$B$1,[1]!Data_BS[Thang.Nam],TDP!AB$5)</f>
        <v>0</v>
      </c>
      <c r="AC90" s="380">
        <f>SUMIFS([1]!Data_BS[Value],[1]!Data_BS[Index BS],TDP!$B90,[1]!Data_BS[TenCongTyID],TDP!$B$1,[1]!Data_BS[Thang.Nam],TDP!AC$5)</f>
        <v>0</v>
      </c>
      <c r="AD90" s="380">
        <f>SUMIFS([1]!Data_BS[Value],[1]!Data_BS[Index BS],TDP!$B90,[1]!Data_BS[TenCongTyID],TDP!$B$1,[1]!Data_BS[Thang.Nam],TDP!AD$5)</f>
        <v>0</v>
      </c>
      <c r="AE90" s="380">
        <f>SUMIFS([1]!Data_BS[Value],[1]!Data_BS[Index BS],TDP!$B90,[1]!Data_BS[TenCongTyID],TDP!$B$1,[1]!Data_BS[Thang.Nam],TDP!AE$5)</f>
        <v>0</v>
      </c>
      <c r="AF90" s="380">
        <f>SUMIFS([1]!Data_BS[Value],[1]!Data_BS[Index BS],TDP!$B90,[1]!Data_BS[TenCongTyID],TDP!$B$1,[1]!Data_BS[Thang.Nam],TDP!AF$5)</f>
        <v>0</v>
      </c>
      <c r="AG90" s="380">
        <f>SUMIFS([1]!Data_BS[Value],[1]!Data_BS[Index BS],TDP!$B90,[1]!Data_BS[TenCongTyID],TDP!$B$1,[1]!Data_BS[Thang.Nam],TDP!AG$5)</f>
        <v>0</v>
      </c>
      <c r="AH90" s="380">
        <f>SUMIFS([1]!Data_BS[Value],[1]!Data_BS[Index BS],TDP!$B90,[1]!Data_BS[TenCongTyID],TDP!$B$1,[1]!Data_BS[Thang.Nam],TDP!AH$5)</f>
        <v>0</v>
      </c>
      <c r="AI90" s="380">
        <f>SUMIFS([1]!Data_BS[Value],[1]!Data_BS[Index BS],TDP!$B90,[1]!Data_BS[TenCongTyID],TDP!$B$1,[1]!Data_BS[Thang.Nam],TDP!AI$5)</f>
        <v>0</v>
      </c>
      <c r="AJ90" s="380">
        <f>SUMIFS([1]!Data_BS[Value],[1]!Data_BS[Index BS],TDP!$B90,[1]!Data_BS[TenCongTyID],TDP!$B$1,[1]!Data_BS[Thang.Nam],TDP!AJ$5)</f>
        <v>0</v>
      </c>
      <c r="AK90" s="380">
        <f>SUMIFS([1]!Data_BS[Value],[1]!Data_BS[Index BS],TDP!$B90,[1]!Data_BS[TenCongTyID],TDP!$B$1,[1]!Data_BS[Thang.Nam],TDP!AK$5)</f>
        <v>0</v>
      </c>
      <c r="AL90" s="381">
        <f>SUMIFS([1]!Data_BS[Value],[1]!Data_BS[Index BS],TDP!$B90,[1]!Data_BS[TenCongTyID],TDP!$B$1,[1]!Data_BS[Thang.Nam],TDP!AL$5)</f>
        <v>0</v>
      </c>
    </row>
    <row r="91" spans="1:38" ht="15" hidden="1" customHeight="1" outlineLevel="1">
      <c r="A91" s="67" t="s">
        <v>175</v>
      </c>
      <c r="B91" s="63">
        <v>86</v>
      </c>
      <c r="C91" s="64"/>
      <c r="D91" s="69"/>
      <c r="E91" s="69"/>
      <c r="F91" s="379"/>
      <c r="G91" s="69"/>
      <c r="H91" s="69">
        <v>0</v>
      </c>
      <c r="I91" s="69"/>
      <c r="J91" s="69"/>
      <c r="K91" s="69"/>
      <c r="L91" s="69"/>
      <c r="M91" s="379"/>
      <c r="N91" s="85"/>
      <c r="O91" s="64"/>
      <c r="P91" s="69"/>
      <c r="Q91" s="69"/>
      <c r="R91" s="379"/>
      <c r="S91" s="69"/>
      <c r="T91" s="69">
        <v>0</v>
      </c>
      <c r="U91" s="69"/>
      <c r="V91" s="69"/>
      <c r="W91" s="69">
        <v>0</v>
      </c>
      <c r="X91" s="69">
        <v>0</v>
      </c>
      <c r="Y91" s="379"/>
      <c r="Z91" s="379">
        <v>0</v>
      </c>
      <c r="AA91" s="380">
        <f>SUMIFS([1]!Data_BS[Value],[1]!Data_BS[Index BS],TDP!$B91,[1]!Data_BS[TenCongTyID],TDP!$B$1,[1]!Data_BS[Thang.Nam],TDP!AA$5)</f>
        <v>0</v>
      </c>
      <c r="AB91" s="380">
        <f>SUMIFS([1]!Data_BS[Value],[1]!Data_BS[Index BS],TDP!$B91,[1]!Data_BS[TenCongTyID],TDP!$B$1,[1]!Data_BS[Thang.Nam],TDP!AB$5)</f>
        <v>0</v>
      </c>
      <c r="AC91" s="380">
        <f>SUMIFS([1]!Data_BS[Value],[1]!Data_BS[Index BS],TDP!$B91,[1]!Data_BS[TenCongTyID],TDP!$B$1,[1]!Data_BS[Thang.Nam],TDP!AC$5)</f>
        <v>0</v>
      </c>
      <c r="AD91" s="380">
        <f>SUMIFS([1]!Data_BS[Value],[1]!Data_BS[Index BS],TDP!$B91,[1]!Data_BS[TenCongTyID],TDP!$B$1,[1]!Data_BS[Thang.Nam],TDP!AD$5)</f>
        <v>0</v>
      </c>
      <c r="AE91" s="380">
        <f>SUMIFS([1]!Data_BS[Value],[1]!Data_BS[Index BS],TDP!$B91,[1]!Data_BS[TenCongTyID],TDP!$B$1,[1]!Data_BS[Thang.Nam],TDP!AE$5)</f>
        <v>0</v>
      </c>
      <c r="AF91" s="380">
        <f>SUMIFS([1]!Data_BS[Value],[1]!Data_BS[Index BS],TDP!$B91,[1]!Data_BS[TenCongTyID],TDP!$B$1,[1]!Data_BS[Thang.Nam],TDP!AF$5)</f>
        <v>0</v>
      </c>
      <c r="AG91" s="380">
        <f>SUMIFS([1]!Data_BS[Value],[1]!Data_BS[Index BS],TDP!$B91,[1]!Data_BS[TenCongTyID],TDP!$B$1,[1]!Data_BS[Thang.Nam],TDP!AG$5)</f>
        <v>0</v>
      </c>
      <c r="AH91" s="380">
        <f>SUMIFS([1]!Data_BS[Value],[1]!Data_BS[Index BS],TDP!$B91,[1]!Data_BS[TenCongTyID],TDP!$B$1,[1]!Data_BS[Thang.Nam],TDP!AH$5)</f>
        <v>0</v>
      </c>
      <c r="AI91" s="380">
        <f>SUMIFS([1]!Data_BS[Value],[1]!Data_BS[Index BS],TDP!$B91,[1]!Data_BS[TenCongTyID],TDP!$B$1,[1]!Data_BS[Thang.Nam],TDP!AI$5)</f>
        <v>0</v>
      </c>
      <c r="AJ91" s="380">
        <f>SUMIFS([1]!Data_BS[Value],[1]!Data_BS[Index BS],TDP!$B91,[1]!Data_BS[TenCongTyID],TDP!$B$1,[1]!Data_BS[Thang.Nam],TDP!AJ$5)</f>
        <v>0</v>
      </c>
      <c r="AK91" s="380">
        <f>SUMIFS([1]!Data_BS[Value],[1]!Data_BS[Index BS],TDP!$B91,[1]!Data_BS[TenCongTyID],TDP!$B$1,[1]!Data_BS[Thang.Nam],TDP!AK$5)</f>
        <v>0</v>
      </c>
      <c r="AL91" s="381">
        <f>SUMIFS([1]!Data_BS[Value],[1]!Data_BS[Index BS],TDP!$B91,[1]!Data_BS[TenCongTyID],TDP!$B$1,[1]!Data_BS[Thang.Nam],TDP!AL$5)</f>
        <v>0</v>
      </c>
    </row>
    <row r="92" spans="1:38" ht="15" hidden="1" customHeight="1" outlineLevel="1">
      <c r="A92" s="67" t="s">
        <v>176</v>
      </c>
      <c r="B92" s="63">
        <v>87</v>
      </c>
      <c r="C92" s="64"/>
      <c r="D92" s="69"/>
      <c r="E92" s="69"/>
      <c r="F92" s="379"/>
      <c r="G92" s="69"/>
      <c r="H92" s="69">
        <v>0</v>
      </c>
      <c r="I92" s="69"/>
      <c r="J92" s="69"/>
      <c r="K92" s="69"/>
      <c r="L92" s="69"/>
      <c r="M92" s="379"/>
      <c r="N92" s="85"/>
      <c r="O92" s="64"/>
      <c r="P92" s="69"/>
      <c r="Q92" s="69"/>
      <c r="R92" s="379"/>
      <c r="S92" s="69"/>
      <c r="T92" s="69">
        <v>0</v>
      </c>
      <c r="U92" s="69"/>
      <c r="V92" s="69"/>
      <c r="W92" s="69">
        <v>0</v>
      </c>
      <c r="X92" s="69">
        <v>0</v>
      </c>
      <c r="Y92" s="379"/>
      <c r="Z92" s="379">
        <v>0</v>
      </c>
      <c r="AA92" s="380">
        <f>SUMIFS([1]!Data_BS[Value],[1]!Data_BS[Index BS],TDP!$B92,[1]!Data_BS[TenCongTyID],TDP!$B$1,[1]!Data_BS[Thang.Nam],TDP!AA$5)</f>
        <v>0</v>
      </c>
      <c r="AB92" s="380">
        <f>SUMIFS([1]!Data_BS[Value],[1]!Data_BS[Index BS],TDP!$B92,[1]!Data_BS[TenCongTyID],TDP!$B$1,[1]!Data_BS[Thang.Nam],TDP!AB$5)</f>
        <v>0</v>
      </c>
      <c r="AC92" s="380">
        <f>SUMIFS([1]!Data_BS[Value],[1]!Data_BS[Index BS],TDP!$B92,[1]!Data_BS[TenCongTyID],TDP!$B$1,[1]!Data_BS[Thang.Nam],TDP!AC$5)</f>
        <v>0</v>
      </c>
      <c r="AD92" s="380">
        <f>SUMIFS([1]!Data_BS[Value],[1]!Data_BS[Index BS],TDP!$B92,[1]!Data_BS[TenCongTyID],TDP!$B$1,[1]!Data_BS[Thang.Nam],TDP!AD$5)</f>
        <v>0</v>
      </c>
      <c r="AE92" s="380">
        <f>SUMIFS([1]!Data_BS[Value],[1]!Data_BS[Index BS],TDP!$B92,[1]!Data_BS[TenCongTyID],TDP!$B$1,[1]!Data_BS[Thang.Nam],TDP!AE$5)</f>
        <v>0</v>
      </c>
      <c r="AF92" s="380">
        <f>SUMIFS([1]!Data_BS[Value],[1]!Data_BS[Index BS],TDP!$B92,[1]!Data_BS[TenCongTyID],TDP!$B$1,[1]!Data_BS[Thang.Nam],TDP!AF$5)</f>
        <v>0</v>
      </c>
      <c r="AG92" s="380">
        <f>SUMIFS([1]!Data_BS[Value],[1]!Data_BS[Index BS],TDP!$B92,[1]!Data_BS[TenCongTyID],TDP!$B$1,[1]!Data_BS[Thang.Nam],TDP!AG$5)</f>
        <v>0</v>
      </c>
      <c r="AH92" s="380">
        <f>SUMIFS([1]!Data_BS[Value],[1]!Data_BS[Index BS],TDP!$B92,[1]!Data_BS[TenCongTyID],TDP!$B$1,[1]!Data_BS[Thang.Nam],TDP!AH$5)</f>
        <v>0</v>
      </c>
      <c r="AI92" s="380">
        <f>SUMIFS([1]!Data_BS[Value],[1]!Data_BS[Index BS],TDP!$B92,[1]!Data_BS[TenCongTyID],TDP!$B$1,[1]!Data_BS[Thang.Nam],TDP!AI$5)</f>
        <v>0</v>
      </c>
      <c r="AJ92" s="380">
        <f>SUMIFS([1]!Data_BS[Value],[1]!Data_BS[Index BS],TDP!$B92,[1]!Data_BS[TenCongTyID],TDP!$B$1,[1]!Data_BS[Thang.Nam],TDP!AJ$5)</f>
        <v>0</v>
      </c>
      <c r="AK92" s="380">
        <f>SUMIFS([1]!Data_BS[Value],[1]!Data_BS[Index BS],TDP!$B92,[1]!Data_BS[TenCongTyID],TDP!$B$1,[1]!Data_BS[Thang.Nam],TDP!AK$5)</f>
        <v>0</v>
      </c>
      <c r="AL92" s="381">
        <f>SUMIFS([1]!Data_BS[Value],[1]!Data_BS[Index BS],TDP!$B92,[1]!Data_BS[TenCongTyID],TDP!$B$1,[1]!Data_BS[Thang.Nam],TDP!AL$5)</f>
        <v>0</v>
      </c>
    </row>
    <row r="93" spans="1:38" ht="15" hidden="1" customHeight="1" outlineLevel="1">
      <c r="A93" s="67" t="s">
        <v>177</v>
      </c>
      <c r="B93" s="63">
        <v>88</v>
      </c>
      <c r="C93" s="64">
        <v>0</v>
      </c>
      <c r="D93" s="69"/>
      <c r="E93" s="69"/>
      <c r="F93" s="379"/>
      <c r="G93" s="69"/>
      <c r="H93" s="69">
        <v>0</v>
      </c>
      <c r="I93" s="69"/>
      <c r="J93" s="69"/>
      <c r="K93" s="69"/>
      <c r="L93" s="69"/>
      <c r="M93" s="379"/>
      <c r="N93" s="85"/>
      <c r="O93" s="64">
        <v>0</v>
      </c>
      <c r="P93" s="69"/>
      <c r="Q93" s="69"/>
      <c r="R93" s="379"/>
      <c r="S93" s="69"/>
      <c r="T93" s="69">
        <v>0</v>
      </c>
      <c r="U93" s="69"/>
      <c r="V93" s="69"/>
      <c r="W93" s="69">
        <v>0</v>
      </c>
      <c r="X93" s="69">
        <v>0</v>
      </c>
      <c r="Y93" s="379"/>
      <c r="Z93" s="379">
        <v>0</v>
      </c>
      <c r="AA93" s="380">
        <f>SUMIFS([1]!Data_BS[Value],[1]!Data_BS[Index BS],TDP!$B93,[1]!Data_BS[TenCongTyID],TDP!$B$1,[1]!Data_BS[Thang.Nam],TDP!AA$5)</f>
        <v>0</v>
      </c>
      <c r="AB93" s="380">
        <f>SUMIFS([1]!Data_BS[Value],[1]!Data_BS[Index BS],TDP!$B93,[1]!Data_BS[TenCongTyID],TDP!$B$1,[1]!Data_BS[Thang.Nam],TDP!AB$5)</f>
        <v>0</v>
      </c>
      <c r="AC93" s="380">
        <f>SUMIFS([1]!Data_BS[Value],[1]!Data_BS[Index BS],TDP!$B93,[1]!Data_BS[TenCongTyID],TDP!$B$1,[1]!Data_BS[Thang.Nam],TDP!AC$5)</f>
        <v>0</v>
      </c>
      <c r="AD93" s="380">
        <f>SUMIFS([1]!Data_BS[Value],[1]!Data_BS[Index BS],TDP!$B93,[1]!Data_BS[TenCongTyID],TDP!$B$1,[1]!Data_BS[Thang.Nam],TDP!AD$5)</f>
        <v>0</v>
      </c>
      <c r="AE93" s="380">
        <f>SUMIFS([1]!Data_BS[Value],[1]!Data_BS[Index BS],TDP!$B93,[1]!Data_BS[TenCongTyID],TDP!$B$1,[1]!Data_BS[Thang.Nam],TDP!AE$5)</f>
        <v>0</v>
      </c>
      <c r="AF93" s="380">
        <f>SUMIFS([1]!Data_BS[Value],[1]!Data_BS[Index BS],TDP!$B93,[1]!Data_BS[TenCongTyID],TDP!$B$1,[1]!Data_BS[Thang.Nam],TDP!AF$5)</f>
        <v>0</v>
      </c>
      <c r="AG93" s="380">
        <f>SUMIFS([1]!Data_BS[Value],[1]!Data_BS[Index BS],TDP!$B93,[1]!Data_BS[TenCongTyID],TDP!$B$1,[1]!Data_BS[Thang.Nam],TDP!AG$5)</f>
        <v>0</v>
      </c>
      <c r="AH93" s="380">
        <f>SUMIFS([1]!Data_BS[Value],[1]!Data_BS[Index BS],TDP!$B93,[1]!Data_BS[TenCongTyID],TDP!$B$1,[1]!Data_BS[Thang.Nam],TDP!AH$5)</f>
        <v>0</v>
      </c>
      <c r="AI93" s="380">
        <f>SUMIFS([1]!Data_BS[Value],[1]!Data_BS[Index BS],TDP!$B93,[1]!Data_BS[TenCongTyID],TDP!$B$1,[1]!Data_BS[Thang.Nam],TDP!AI$5)</f>
        <v>0</v>
      </c>
      <c r="AJ93" s="380">
        <f>SUMIFS([1]!Data_BS[Value],[1]!Data_BS[Index BS],TDP!$B93,[1]!Data_BS[TenCongTyID],TDP!$B$1,[1]!Data_BS[Thang.Nam],TDP!AJ$5)</f>
        <v>0</v>
      </c>
      <c r="AK93" s="380">
        <f>SUMIFS([1]!Data_BS[Value],[1]!Data_BS[Index BS],TDP!$B93,[1]!Data_BS[TenCongTyID],TDP!$B$1,[1]!Data_BS[Thang.Nam],TDP!AK$5)</f>
        <v>0</v>
      </c>
      <c r="AL93" s="381">
        <f>SUMIFS([1]!Data_BS[Value],[1]!Data_BS[Index BS],TDP!$B93,[1]!Data_BS[TenCongTyID],TDP!$B$1,[1]!Data_BS[Thang.Nam],TDP!AL$5)</f>
        <v>0</v>
      </c>
    </row>
    <row r="94" spans="1:38" ht="15" hidden="1" customHeight="1" outlineLevel="1">
      <c r="A94" s="67" t="s">
        <v>178</v>
      </c>
      <c r="B94" s="63">
        <v>89</v>
      </c>
      <c r="C94" s="64">
        <v>0</v>
      </c>
      <c r="D94" s="69"/>
      <c r="E94" s="69"/>
      <c r="F94" s="379"/>
      <c r="G94" s="69"/>
      <c r="H94" s="69">
        <v>0</v>
      </c>
      <c r="I94" s="69"/>
      <c r="J94" s="69"/>
      <c r="K94" s="69"/>
      <c r="L94" s="69"/>
      <c r="M94" s="379"/>
      <c r="N94" s="85"/>
      <c r="O94" s="64">
        <v>0</v>
      </c>
      <c r="P94" s="69"/>
      <c r="Q94" s="69"/>
      <c r="R94" s="379"/>
      <c r="S94" s="69"/>
      <c r="T94" s="69">
        <v>0</v>
      </c>
      <c r="U94" s="69"/>
      <c r="V94" s="69"/>
      <c r="W94" s="69">
        <v>0</v>
      </c>
      <c r="X94" s="69">
        <v>0</v>
      </c>
      <c r="Y94" s="379"/>
      <c r="Z94" s="379">
        <v>0</v>
      </c>
      <c r="AA94" s="380">
        <f>SUMIFS([1]!Data_BS[Value],[1]!Data_BS[Index BS],TDP!$B94,[1]!Data_BS[TenCongTyID],TDP!$B$1,[1]!Data_BS[Thang.Nam],TDP!AA$5)</f>
        <v>0</v>
      </c>
      <c r="AB94" s="380">
        <f>SUMIFS([1]!Data_BS[Value],[1]!Data_BS[Index BS],TDP!$B94,[1]!Data_BS[TenCongTyID],TDP!$B$1,[1]!Data_BS[Thang.Nam],TDP!AB$5)</f>
        <v>0</v>
      </c>
      <c r="AC94" s="380">
        <f>SUMIFS([1]!Data_BS[Value],[1]!Data_BS[Index BS],TDP!$B94,[1]!Data_BS[TenCongTyID],TDP!$B$1,[1]!Data_BS[Thang.Nam],TDP!AC$5)</f>
        <v>0</v>
      </c>
      <c r="AD94" s="380">
        <f>SUMIFS([1]!Data_BS[Value],[1]!Data_BS[Index BS],TDP!$B94,[1]!Data_BS[TenCongTyID],TDP!$B$1,[1]!Data_BS[Thang.Nam],TDP!AD$5)</f>
        <v>0</v>
      </c>
      <c r="AE94" s="380">
        <f>SUMIFS([1]!Data_BS[Value],[1]!Data_BS[Index BS],TDP!$B94,[1]!Data_BS[TenCongTyID],TDP!$B$1,[1]!Data_BS[Thang.Nam],TDP!AE$5)</f>
        <v>0</v>
      </c>
      <c r="AF94" s="380">
        <f>SUMIFS([1]!Data_BS[Value],[1]!Data_BS[Index BS],TDP!$B94,[1]!Data_BS[TenCongTyID],TDP!$B$1,[1]!Data_BS[Thang.Nam],TDP!AF$5)</f>
        <v>0</v>
      </c>
      <c r="AG94" s="380">
        <f>SUMIFS([1]!Data_BS[Value],[1]!Data_BS[Index BS],TDP!$B94,[1]!Data_BS[TenCongTyID],TDP!$B$1,[1]!Data_BS[Thang.Nam],TDP!AG$5)</f>
        <v>0</v>
      </c>
      <c r="AH94" s="380">
        <f>SUMIFS([1]!Data_BS[Value],[1]!Data_BS[Index BS],TDP!$B94,[1]!Data_BS[TenCongTyID],TDP!$B$1,[1]!Data_BS[Thang.Nam],TDP!AH$5)</f>
        <v>0</v>
      </c>
      <c r="AI94" s="380">
        <f>SUMIFS([1]!Data_BS[Value],[1]!Data_BS[Index BS],TDP!$B94,[1]!Data_BS[TenCongTyID],TDP!$B$1,[1]!Data_BS[Thang.Nam],TDP!AI$5)</f>
        <v>0</v>
      </c>
      <c r="AJ94" s="380">
        <f>SUMIFS([1]!Data_BS[Value],[1]!Data_BS[Index BS],TDP!$B94,[1]!Data_BS[TenCongTyID],TDP!$B$1,[1]!Data_BS[Thang.Nam],TDP!AJ$5)</f>
        <v>0</v>
      </c>
      <c r="AK94" s="380">
        <f>SUMIFS([1]!Data_BS[Value],[1]!Data_BS[Index BS],TDP!$B94,[1]!Data_BS[TenCongTyID],TDP!$B$1,[1]!Data_BS[Thang.Nam],TDP!AK$5)</f>
        <v>0</v>
      </c>
      <c r="AL94" s="381">
        <f>SUMIFS([1]!Data_BS[Value],[1]!Data_BS[Index BS],TDP!$B94,[1]!Data_BS[TenCongTyID],TDP!$B$1,[1]!Data_BS[Thang.Nam],TDP!AL$5)</f>
        <v>0</v>
      </c>
    </row>
    <row r="95" spans="1:38" ht="15" hidden="1" customHeight="1" outlineLevel="1">
      <c r="A95" s="67" t="s">
        <v>179</v>
      </c>
      <c r="B95" s="63">
        <v>90</v>
      </c>
      <c r="C95" s="64"/>
      <c r="D95" s="69"/>
      <c r="E95" s="69"/>
      <c r="F95" s="379"/>
      <c r="G95" s="69"/>
      <c r="H95" s="69"/>
      <c r="I95" s="69"/>
      <c r="J95" s="69"/>
      <c r="K95" s="69"/>
      <c r="L95" s="69"/>
      <c r="M95" s="379"/>
      <c r="N95" s="85"/>
      <c r="O95" s="64"/>
      <c r="P95" s="69"/>
      <c r="Q95" s="69"/>
      <c r="R95" s="69"/>
      <c r="S95" s="69"/>
      <c r="T95" s="69">
        <v>1000000000</v>
      </c>
      <c r="U95" s="69">
        <v>1000000000</v>
      </c>
      <c r="V95" s="69">
        <v>1000000000</v>
      </c>
      <c r="W95" s="69">
        <v>1000000000</v>
      </c>
      <c r="X95" s="69">
        <v>1000000000</v>
      </c>
      <c r="Y95" s="379">
        <v>1000000000</v>
      </c>
      <c r="Z95" s="379">
        <v>1000000000</v>
      </c>
      <c r="AA95" s="380">
        <f>SUMIFS([1]!Data_BS[Value],[1]!Data_BS[Index BS],TDP!$B95,[1]!Data_BS[TenCongTyID],TDP!$B$1,[1]!Data_BS[Thang.Nam],TDP!AA$5)</f>
        <v>0</v>
      </c>
      <c r="AB95" s="380">
        <f>SUMIFS([1]!Data_BS[Value],[1]!Data_BS[Index BS],TDP!$B95,[1]!Data_BS[TenCongTyID],TDP!$B$1,[1]!Data_BS[Thang.Nam],TDP!AB$5)</f>
        <v>0</v>
      </c>
      <c r="AC95" s="380">
        <f>SUMIFS([1]!Data_BS[Value],[1]!Data_BS[Index BS],TDP!$B95,[1]!Data_BS[TenCongTyID],TDP!$B$1,[1]!Data_BS[Thang.Nam],TDP!AC$5)</f>
        <v>0</v>
      </c>
      <c r="AD95" s="380">
        <f>SUMIFS([1]!Data_BS[Value],[1]!Data_BS[Index BS],TDP!$B95,[1]!Data_BS[TenCongTyID],TDP!$B$1,[1]!Data_BS[Thang.Nam],TDP!AD$5)</f>
        <v>0</v>
      </c>
      <c r="AE95" s="380">
        <f>SUMIFS([1]!Data_BS[Value],[1]!Data_BS[Index BS],TDP!$B95,[1]!Data_BS[TenCongTyID],TDP!$B$1,[1]!Data_BS[Thang.Nam],TDP!AE$5)</f>
        <v>0</v>
      </c>
      <c r="AF95" s="380">
        <f>SUMIFS([1]!Data_BS[Value],[1]!Data_BS[Index BS],TDP!$B95,[1]!Data_BS[TenCongTyID],TDP!$B$1,[1]!Data_BS[Thang.Nam],TDP!AF$5)</f>
        <v>0</v>
      </c>
      <c r="AG95" s="380">
        <f>SUMIFS([1]!Data_BS[Value],[1]!Data_BS[Index BS],TDP!$B95,[1]!Data_BS[TenCongTyID],TDP!$B$1,[1]!Data_BS[Thang.Nam],TDP!AG$5)</f>
        <v>0</v>
      </c>
      <c r="AH95" s="380">
        <f>SUMIFS([1]!Data_BS[Value],[1]!Data_BS[Index BS],TDP!$B95,[1]!Data_BS[TenCongTyID],TDP!$B$1,[1]!Data_BS[Thang.Nam],TDP!AH$5)</f>
        <v>0</v>
      </c>
      <c r="AI95" s="380">
        <f>SUMIFS([1]!Data_BS[Value],[1]!Data_BS[Index BS],TDP!$B95,[1]!Data_BS[TenCongTyID],TDP!$B$1,[1]!Data_BS[Thang.Nam],TDP!AI$5)</f>
        <v>0</v>
      </c>
      <c r="AJ95" s="380">
        <f>SUMIFS([1]!Data_BS[Value],[1]!Data_BS[Index BS],TDP!$B95,[1]!Data_BS[TenCongTyID],TDP!$B$1,[1]!Data_BS[Thang.Nam],TDP!AJ$5)</f>
        <v>0</v>
      </c>
      <c r="AK95" s="380">
        <f>SUMIFS([1]!Data_BS[Value],[1]!Data_BS[Index BS],TDP!$B95,[1]!Data_BS[TenCongTyID],TDP!$B$1,[1]!Data_BS[Thang.Nam],TDP!AK$5)</f>
        <v>0</v>
      </c>
      <c r="AL95" s="381">
        <f>SUMIFS([1]!Data_BS[Value],[1]!Data_BS[Index BS],TDP!$B95,[1]!Data_BS[TenCongTyID],TDP!$B$1,[1]!Data_BS[Thang.Nam],TDP!AL$5)</f>
        <v>0</v>
      </c>
    </row>
    <row r="96" spans="1:38" ht="15" hidden="1" customHeight="1" outlineLevel="1">
      <c r="A96" s="67" t="s">
        <v>180</v>
      </c>
      <c r="B96" s="63">
        <v>91</v>
      </c>
      <c r="C96" s="64"/>
      <c r="D96" s="69"/>
      <c r="E96" s="69"/>
      <c r="F96" s="379"/>
      <c r="G96" s="69"/>
      <c r="H96" s="69">
        <v>0</v>
      </c>
      <c r="I96" s="69"/>
      <c r="J96" s="69"/>
      <c r="K96" s="69"/>
      <c r="L96" s="69"/>
      <c r="M96" s="379"/>
      <c r="N96" s="85"/>
      <c r="O96" s="64"/>
      <c r="P96" s="69"/>
      <c r="Q96" s="69"/>
      <c r="R96" s="379"/>
      <c r="S96" s="69"/>
      <c r="T96" s="69">
        <v>0</v>
      </c>
      <c r="U96" s="69"/>
      <c r="V96" s="69"/>
      <c r="W96" s="69">
        <v>0</v>
      </c>
      <c r="X96" s="69"/>
      <c r="Y96" s="379"/>
      <c r="Z96" s="379">
        <v>0</v>
      </c>
      <c r="AA96" s="380">
        <f>SUMIFS([1]!Data_BS[Value],[1]!Data_BS[Index BS],TDP!$B96,[1]!Data_BS[TenCongTyID],TDP!$B$1,[1]!Data_BS[Thang.Nam],TDP!AA$5)</f>
        <v>0</v>
      </c>
      <c r="AB96" s="380">
        <f>SUMIFS([1]!Data_BS[Value],[1]!Data_BS[Index BS],TDP!$B96,[1]!Data_BS[TenCongTyID],TDP!$B$1,[1]!Data_BS[Thang.Nam],TDP!AB$5)</f>
        <v>0</v>
      </c>
      <c r="AC96" s="380">
        <f>SUMIFS([1]!Data_BS[Value],[1]!Data_BS[Index BS],TDP!$B96,[1]!Data_BS[TenCongTyID],TDP!$B$1,[1]!Data_BS[Thang.Nam],TDP!AC$5)</f>
        <v>0</v>
      </c>
      <c r="AD96" s="380">
        <f>SUMIFS([1]!Data_BS[Value],[1]!Data_BS[Index BS],TDP!$B96,[1]!Data_BS[TenCongTyID],TDP!$B$1,[1]!Data_BS[Thang.Nam],TDP!AD$5)</f>
        <v>0</v>
      </c>
      <c r="AE96" s="380">
        <f>SUMIFS([1]!Data_BS[Value],[1]!Data_BS[Index BS],TDP!$B96,[1]!Data_BS[TenCongTyID],TDP!$B$1,[1]!Data_BS[Thang.Nam],TDP!AE$5)</f>
        <v>0</v>
      </c>
      <c r="AF96" s="380">
        <f>SUMIFS([1]!Data_BS[Value],[1]!Data_BS[Index BS],TDP!$B96,[1]!Data_BS[TenCongTyID],TDP!$B$1,[1]!Data_BS[Thang.Nam],TDP!AF$5)</f>
        <v>0</v>
      </c>
      <c r="AG96" s="380">
        <f>SUMIFS([1]!Data_BS[Value],[1]!Data_BS[Index BS],TDP!$B96,[1]!Data_BS[TenCongTyID],TDP!$B$1,[1]!Data_BS[Thang.Nam],TDP!AG$5)</f>
        <v>0</v>
      </c>
      <c r="AH96" s="380">
        <f>SUMIFS([1]!Data_BS[Value],[1]!Data_BS[Index BS],TDP!$B96,[1]!Data_BS[TenCongTyID],TDP!$B$1,[1]!Data_BS[Thang.Nam],TDP!AH$5)</f>
        <v>0</v>
      </c>
      <c r="AI96" s="380">
        <f>SUMIFS([1]!Data_BS[Value],[1]!Data_BS[Index BS],TDP!$B96,[1]!Data_BS[TenCongTyID],TDP!$B$1,[1]!Data_BS[Thang.Nam],TDP!AI$5)</f>
        <v>0</v>
      </c>
      <c r="AJ96" s="380">
        <f>SUMIFS([1]!Data_BS[Value],[1]!Data_BS[Index BS],TDP!$B96,[1]!Data_BS[TenCongTyID],TDP!$B$1,[1]!Data_BS[Thang.Nam],TDP!AJ$5)</f>
        <v>0</v>
      </c>
      <c r="AK96" s="380">
        <f>SUMIFS([1]!Data_BS[Value],[1]!Data_BS[Index BS],TDP!$B96,[1]!Data_BS[TenCongTyID],TDP!$B$1,[1]!Data_BS[Thang.Nam],TDP!AK$5)</f>
        <v>0</v>
      </c>
      <c r="AL96" s="381">
        <f>SUMIFS([1]!Data_BS[Value],[1]!Data_BS[Index BS],TDP!$B96,[1]!Data_BS[TenCongTyID],TDP!$B$1,[1]!Data_BS[Thang.Nam],TDP!AL$5)</f>
        <v>0</v>
      </c>
    </row>
    <row r="97" spans="1:38" ht="15" hidden="1" customHeight="1" outlineLevel="1">
      <c r="A97" s="67" t="s">
        <v>181</v>
      </c>
      <c r="B97" s="63">
        <v>92</v>
      </c>
      <c r="C97" s="64"/>
      <c r="D97" s="69"/>
      <c r="E97" s="69"/>
      <c r="F97" s="379"/>
      <c r="G97" s="69"/>
      <c r="H97" s="69">
        <v>0</v>
      </c>
      <c r="I97" s="69"/>
      <c r="J97" s="69"/>
      <c r="K97" s="69"/>
      <c r="L97" s="69"/>
      <c r="M97" s="379"/>
      <c r="N97" s="85"/>
      <c r="O97" s="64"/>
      <c r="P97" s="69"/>
      <c r="Q97" s="69"/>
      <c r="R97" s="379"/>
      <c r="S97" s="69"/>
      <c r="T97" s="69">
        <v>0</v>
      </c>
      <c r="U97" s="69"/>
      <c r="V97" s="69"/>
      <c r="W97" s="69">
        <v>0</v>
      </c>
      <c r="X97" s="69"/>
      <c r="Y97" s="379"/>
      <c r="Z97" s="379">
        <v>0</v>
      </c>
      <c r="AA97" s="380">
        <f>SUMIFS([1]!Data_BS[Value],[1]!Data_BS[Index BS],TDP!$B97,[1]!Data_BS[TenCongTyID],TDP!$B$1,[1]!Data_BS[Thang.Nam],TDP!AA$5)</f>
        <v>0</v>
      </c>
      <c r="AB97" s="380">
        <f>SUMIFS([1]!Data_BS[Value],[1]!Data_BS[Index BS],TDP!$B97,[1]!Data_BS[TenCongTyID],TDP!$B$1,[1]!Data_BS[Thang.Nam],TDP!AB$5)</f>
        <v>0</v>
      </c>
      <c r="AC97" s="380">
        <f>SUMIFS([1]!Data_BS[Value],[1]!Data_BS[Index BS],TDP!$B97,[1]!Data_BS[TenCongTyID],TDP!$B$1,[1]!Data_BS[Thang.Nam],TDP!AC$5)</f>
        <v>0</v>
      </c>
      <c r="AD97" s="380">
        <f>SUMIFS([1]!Data_BS[Value],[1]!Data_BS[Index BS],TDP!$B97,[1]!Data_BS[TenCongTyID],TDP!$B$1,[1]!Data_BS[Thang.Nam],TDP!AD$5)</f>
        <v>0</v>
      </c>
      <c r="AE97" s="380">
        <f>SUMIFS([1]!Data_BS[Value],[1]!Data_BS[Index BS],TDP!$B97,[1]!Data_BS[TenCongTyID],TDP!$B$1,[1]!Data_BS[Thang.Nam],TDP!AE$5)</f>
        <v>0</v>
      </c>
      <c r="AF97" s="380">
        <f>SUMIFS([1]!Data_BS[Value],[1]!Data_BS[Index BS],TDP!$B97,[1]!Data_BS[TenCongTyID],TDP!$B$1,[1]!Data_BS[Thang.Nam],TDP!AF$5)</f>
        <v>0</v>
      </c>
      <c r="AG97" s="380">
        <f>SUMIFS([1]!Data_BS[Value],[1]!Data_BS[Index BS],TDP!$B97,[1]!Data_BS[TenCongTyID],TDP!$B$1,[1]!Data_BS[Thang.Nam],TDP!AG$5)</f>
        <v>0</v>
      </c>
      <c r="AH97" s="380">
        <f>SUMIFS([1]!Data_BS[Value],[1]!Data_BS[Index BS],TDP!$B97,[1]!Data_BS[TenCongTyID],TDP!$B$1,[1]!Data_BS[Thang.Nam],TDP!AH$5)</f>
        <v>0</v>
      </c>
      <c r="AI97" s="380">
        <f>SUMIFS([1]!Data_BS[Value],[1]!Data_BS[Index BS],TDP!$B97,[1]!Data_BS[TenCongTyID],TDP!$B$1,[1]!Data_BS[Thang.Nam],TDP!AI$5)</f>
        <v>0</v>
      </c>
      <c r="AJ97" s="380">
        <f>SUMIFS([1]!Data_BS[Value],[1]!Data_BS[Index BS],TDP!$B97,[1]!Data_BS[TenCongTyID],TDP!$B$1,[1]!Data_BS[Thang.Nam],TDP!AJ$5)</f>
        <v>0</v>
      </c>
      <c r="AK97" s="380">
        <f>SUMIFS([1]!Data_BS[Value],[1]!Data_BS[Index BS],TDP!$B97,[1]!Data_BS[TenCongTyID],TDP!$B$1,[1]!Data_BS[Thang.Nam],TDP!AK$5)</f>
        <v>0</v>
      </c>
      <c r="AL97" s="381">
        <f>SUMIFS([1]!Data_BS[Value],[1]!Data_BS[Index BS],TDP!$B97,[1]!Data_BS[TenCongTyID],TDP!$B$1,[1]!Data_BS[Thang.Nam],TDP!AL$5)</f>
        <v>0</v>
      </c>
    </row>
    <row r="98" spans="1:38" ht="15" hidden="1" customHeight="1" outlineLevel="1">
      <c r="A98" s="67" t="s">
        <v>182</v>
      </c>
      <c r="B98" s="63">
        <v>93</v>
      </c>
      <c r="C98" s="64"/>
      <c r="D98" s="69"/>
      <c r="E98" s="69"/>
      <c r="F98" s="379"/>
      <c r="G98" s="69"/>
      <c r="H98" s="69">
        <v>0</v>
      </c>
      <c r="I98" s="69"/>
      <c r="J98" s="69"/>
      <c r="K98" s="69"/>
      <c r="L98" s="69"/>
      <c r="M98" s="379"/>
      <c r="N98" s="85"/>
      <c r="O98" s="64"/>
      <c r="P98" s="69"/>
      <c r="Q98" s="69"/>
      <c r="R98" s="379"/>
      <c r="S98" s="69"/>
      <c r="T98" s="69">
        <v>0</v>
      </c>
      <c r="U98" s="69"/>
      <c r="V98" s="69"/>
      <c r="W98" s="69">
        <v>0</v>
      </c>
      <c r="X98" s="69"/>
      <c r="Y98" s="379"/>
      <c r="Z98" s="379">
        <v>0</v>
      </c>
      <c r="AA98" s="380">
        <f>SUMIFS([1]!Data_BS[Value],[1]!Data_BS[Index BS],TDP!$B98,[1]!Data_BS[TenCongTyID],TDP!$B$1,[1]!Data_BS[Thang.Nam],TDP!AA$5)</f>
        <v>0</v>
      </c>
      <c r="AB98" s="380">
        <f>SUMIFS([1]!Data_BS[Value],[1]!Data_BS[Index BS],TDP!$B98,[1]!Data_BS[TenCongTyID],TDP!$B$1,[1]!Data_BS[Thang.Nam],TDP!AB$5)</f>
        <v>0</v>
      </c>
      <c r="AC98" s="380">
        <f>SUMIFS([1]!Data_BS[Value],[1]!Data_BS[Index BS],TDP!$B98,[1]!Data_BS[TenCongTyID],TDP!$B$1,[1]!Data_BS[Thang.Nam],TDP!AC$5)</f>
        <v>0</v>
      </c>
      <c r="AD98" s="380">
        <f>SUMIFS([1]!Data_BS[Value],[1]!Data_BS[Index BS],TDP!$B98,[1]!Data_BS[TenCongTyID],TDP!$B$1,[1]!Data_BS[Thang.Nam],TDP!AD$5)</f>
        <v>0</v>
      </c>
      <c r="AE98" s="380">
        <f>SUMIFS([1]!Data_BS[Value],[1]!Data_BS[Index BS],TDP!$B98,[1]!Data_BS[TenCongTyID],TDP!$B$1,[1]!Data_BS[Thang.Nam],TDP!AE$5)</f>
        <v>0</v>
      </c>
      <c r="AF98" s="380">
        <f>SUMIFS([1]!Data_BS[Value],[1]!Data_BS[Index BS],TDP!$B98,[1]!Data_BS[TenCongTyID],TDP!$B$1,[1]!Data_BS[Thang.Nam],TDP!AF$5)</f>
        <v>0</v>
      </c>
      <c r="AG98" s="380">
        <f>SUMIFS([1]!Data_BS[Value],[1]!Data_BS[Index BS],TDP!$B98,[1]!Data_BS[TenCongTyID],TDP!$B$1,[1]!Data_BS[Thang.Nam],TDP!AG$5)</f>
        <v>0</v>
      </c>
      <c r="AH98" s="380">
        <f>SUMIFS([1]!Data_BS[Value],[1]!Data_BS[Index BS],TDP!$B98,[1]!Data_BS[TenCongTyID],TDP!$B$1,[1]!Data_BS[Thang.Nam],TDP!AH$5)</f>
        <v>0</v>
      </c>
      <c r="AI98" s="380">
        <f>SUMIFS([1]!Data_BS[Value],[1]!Data_BS[Index BS],TDP!$B98,[1]!Data_BS[TenCongTyID],TDP!$B$1,[1]!Data_BS[Thang.Nam],TDP!AI$5)</f>
        <v>0</v>
      </c>
      <c r="AJ98" s="380">
        <f>SUMIFS([1]!Data_BS[Value],[1]!Data_BS[Index BS],TDP!$B98,[1]!Data_BS[TenCongTyID],TDP!$B$1,[1]!Data_BS[Thang.Nam],TDP!AJ$5)</f>
        <v>0</v>
      </c>
      <c r="AK98" s="380">
        <f>SUMIFS([1]!Data_BS[Value],[1]!Data_BS[Index BS],TDP!$B98,[1]!Data_BS[TenCongTyID],TDP!$B$1,[1]!Data_BS[Thang.Nam],TDP!AK$5)</f>
        <v>0</v>
      </c>
      <c r="AL98" s="381">
        <f>SUMIFS([1]!Data_BS[Value],[1]!Data_BS[Index BS],TDP!$B98,[1]!Data_BS[TenCongTyID],TDP!$B$1,[1]!Data_BS[Thang.Nam],TDP!AL$5)</f>
        <v>0</v>
      </c>
    </row>
    <row r="99" spans="1:38" ht="15" hidden="1" customHeight="1" outlineLevel="1">
      <c r="A99" s="68" t="s">
        <v>183</v>
      </c>
      <c r="B99" s="63">
        <v>94</v>
      </c>
      <c r="C99" s="64"/>
      <c r="D99" s="69"/>
      <c r="E99" s="69"/>
      <c r="F99" s="379"/>
      <c r="G99" s="69"/>
      <c r="H99" s="69">
        <v>0</v>
      </c>
      <c r="I99" s="69"/>
      <c r="J99" s="69"/>
      <c r="K99" s="69"/>
      <c r="L99" s="69"/>
      <c r="M99" s="379"/>
      <c r="N99" s="85"/>
      <c r="O99" s="64"/>
      <c r="P99" s="69"/>
      <c r="Q99" s="69"/>
      <c r="R99" s="379"/>
      <c r="S99" s="69"/>
      <c r="T99" s="69">
        <v>0</v>
      </c>
      <c r="U99" s="69"/>
      <c r="V99" s="69"/>
      <c r="W99" s="69">
        <v>0</v>
      </c>
      <c r="X99" s="69"/>
      <c r="Y99" s="379"/>
      <c r="Z99" s="379">
        <v>0</v>
      </c>
      <c r="AA99" s="380">
        <f>SUMIFS([1]!Data_BS[Value],[1]!Data_BS[Index BS],TDP!$B99,[1]!Data_BS[TenCongTyID],TDP!$B$1,[1]!Data_BS[Thang.Nam],TDP!AA$5)</f>
        <v>0</v>
      </c>
      <c r="AB99" s="380">
        <f>SUMIFS([1]!Data_BS[Value],[1]!Data_BS[Index BS],TDP!$B99,[1]!Data_BS[TenCongTyID],TDP!$B$1,[1]!Data_BS[Thang.Nam],TDP!AB$5)</f>
        <v>0</v>
      </c>
      <c r="AC99" s="380">
        <f>SUMIFS([1]!Data_BS[Value],[1]!Data_BS[Index BS],TDP!$B99,[1]!Data_BS[TenCongTyID],TDP!$B$1,[1]!Data_BS[Thang.Nam],TDP!AC$5)</f>
        <v>0</v>
      </c>
      <c r="AD99" s="380">
        <f>SUMIFS([1]!Data_BS[Value],[1]!Data_BS[Index BS],TDP!$B99,[1]!Data_BS[TenCongTyID],TDP!$B$1,[1]!Data_BS[Thang.Nam],TDP!AD$5)</f>
        <v>0</v>
      </c>
      <c r="AE99" s="380">
        <f>SUMIFS([1]!Data_BS[Value],[1]!Data_BS[Index BS],TDP!$B99,[1]!Data_BS[TenCongTyID],TDP!$B$1,[1]!Data_BS[Thang.Nam],TDP!AE$5)</f>
        <v>0</v>
      </c>
      <c r="AF99" s="380">
        <f>SUMIFS([1]!Data_BS[Value],[1]!Data_BS[Index BS],TDP!$B99,[1]!Data_BS[TenCongTyID],TDP!$B$1,[1]!Data_BS[Thang.Nam],TDP!AF$5)</f>
        <v>0</v>
      </c>
      <c r="AG99" s="380">
        <f>SUMIFS([1]!Data_BS[Value],[1]!Data_BS[Index BS],TDP!$B99,[1]!Data_BS[TenCongTyID],TDP!$B$1,[1]!Data_BS[Thang.Nam],TDP!AG$5)</f>
        <v>0</v>
      </c>
      <c r="AH99" s="380">
        <f>SUMIFS([1]!Data_BS[Value],[1]!Data_BS[Index BS],TDP!$B99,[1]!Data_BS[TenCongTyID],TDP!$B$1,[1]!Data_BS[Thang.Nam],TDP!AH$5)</f>
        <v>0</v>
      </c>
      <c r="AI99" s="380">
        <f>SUMIFS([1]!Data_BS[Value],[1]!Data_BS[Index BS],TDP!$B99,[1]!Data_BS[TenCongTyID],TDP!$B$1,[1]!Data_BS[Thang.Nam],TDP!AI$5)</f>
        <v>0</v>
      </c>
      <c r="AJ99" s="380">
        <f>SUMIFS([1]!Data_BS[Value],[1]!Data_BS[Index BS],TDP!$B99,[1]!Data_BS[TenCongTyID],TDP!$B$1,[1]!Data_BS[Thang.Nam],TDP!AJ$5)</f>
        <v>0</v>
      </c>
      <c r="AK99" s="380">
        <f>SUMIFS([1]!Data_BS[Value],[1]!Data_BS[Index BS],TDP!$B99,[1]!Data_BS[TenCongTyID],TDP!$B$1,[1]!Data_BS[Thang.Nam],TDP!AK$5)</f>
        <v>0</v>
      </c>
      <c r="AL99" s="381">
        <f>SUMIFS([1]!Data_BS[Value],[1]!Data_BS[Index BS],TDP!$B99,[1]!Data_BS[TenCongTyID],TDP!$B$1,[1]!Data_BS[Thang.Nam],TDP!AL$5)</f>
        <v>0</v>
      </c>
    </row>
    <row r="100" spans="1:38" ht="15" hidden="1" customHeight="1" outlineLevel="1">
      <c r="A100" s="68" t="s">
        <v>184</v>
      </c>
      <c r="B100" s="63">
        <v>95</v>
      </c>
      <c r="C100" s="64"/>
      <c r="D100" s="69"/>
      <c r="E100" s="69"/>
      <c r="F100" s="379"/>
      <c r="G100" s="69"/>
      <c r="H100" s="69">
        <v>0</v>
      </c>
      <c r="I100" s="69"/>
      <c r="J100" s="69"/>
      <c r="K100" s="69"/>
      <c r="L100" s="69"/>
      <c r="M100" s="379"/>
      <c r="N100" s="85"/>
      <c r="O100" s="64"/>
      <c r="P100" s="69"/>
      <c r="Q100" s="69"/>
      <c r="R100" s="379"/>
      <c r="S100" s="69"/>
      <c r="T100" s="69">
        <v>0</v>
      </c>
      <c r="U100" s="69"/>
      <c r="V100" s="69"/>
      <c r="W100" s="69"/>
      <c r="X100" s="69"/>
      <c r="Y100" s="379"/>
      <c r="Z100" s="379">
        <v>0</v>
      </c>
      <c r="AA100" s="380">
        <f>SUMIFS([1]!Data_BS[Value],[1]!Data_BS[Index BS],TDP!$B100,[1]!Data_BS[TenCongTyID],TDP!$B$1,[1]!Data_BS[Thang.Nam],TDP!AA$5)</f>
        <v>0</v>
      </c>
      <c r="AB100" s="380">
        <f>SUMIFS([1]!Data_BS[Value],[1]!Data_BS[Index BS],TDP!$B100,[1]!Data_BS[TenCongTyID],TDP!$B$1,[1]!Data_BS[Thang.Nam],TDP!AB$5)</f>
        <v>0</v>
      </c>
      <c r="AC100" s="380">
        <f>SUMIFS([1]!Data_BS[Value],[1]!Data_BS[Index BS],TDP!$B100,[1]!Data_BS[TenCongTyID],TDP!$B$1,[1]!Data_BS[Thang.Nam],TDP!AC$5)</f>
        <v>0</v>
      </c>
      <c r="AD100" s="380">
        <f>SUMIFS([1]!Data_BS[Value],[1]!Data_BS[Index BS],TDP!$B100,[1]!Data_BS[TenCongTyID],TDP!$B$1,[1]!Data_BS[Thang.Nam],TDP!AD$5)</f>
        <v>0</v>
      </c>
      <c r="AE100" s="380">
        <f>SUMIFS([1]!Data_BS[Value],[1]!Data_BS[Index BS],TDP!$B100,[1]!Data_BS[TenCongTyID],TDP!$B$1,[1]!Data_BS[Thang.Nam],TDP!AE$5)</f>
        <v>0</v>
      </c>
      <c r="AF100" s="380">
        <f>SUMIFS([1]!Data_BS[Value],[1]!Data_BS[Index BS],TDP!$B100,[1]!Data_BS[TenCongTyID],TDP!$B$1,[1]!Data_BS[Thang.Nam],TDP!AF$5)</f>
        <v>0</v>
      </c>
      <c r="AG100" s="380">
        <f>SUMIFS([1]!Data_BS[Value],[1]!Data_BS[Index BS],TDP!$B100,[1]!Data_BS[TenCongTyID],TDP!$B$1,[1]!Data_BS[Thang.Nam],TDP!AG$5)</f>
        <v>0</v>
      </c>
      <c r="AH100" s="380">
        <f>SUMIFS([1]!Data_BS[Value],[1]!Data_BS[Index BS],TDP!$B100,[1]!Data_BS[TenCongTyID],TDP!$B$1,[1]!Data_BS[Thang.Nam],TDP!AH$5)</f>
        <v>0</v>
      </c>
      <c r="AI100" s="380">
        <f>SUMIFS([1]!Data_BS[Value],[1]!Data_BS[Index BS],TDP!$B100,[1]!Data_BS[TenCongTyID],TDP!$B$1,[1]!Data_BS[Thang.Nam],TDP!AI$5)</f>
        <v>0</v>
      </c>
      <c r="AJ100" s="380">
        <f>SUMIFS([1]!Data_BS[Value],[1]!Data_BS[Index BS],TDP!$B100,[1]!Data_BS[TenCongTyID],TDP!$B$1,[1]!Data_BS[Thang.Nam],TDP!AJ$5)</f>
        <v>0</v>
      </c>
      <c r="AK100" s="380">
        <f>SUMIFS([1]!Data_BS[Value],[1]!Data_BS[Index BS],TDP!$B100,[1]!Data_BS[TenCongTyID],TDP!$B$1,[1]!Data_BS[Thang.Nam],TDP!AK$5)</f>
        <v>0</v>
      </c>
      <c r="AL100" s="381">
        <f>SUMIFS([1]!Data_BS[Value],[1]!Data_BS[Index BS],TDP!$B100,[1]!Data_BS[TenCongTyID],TDP!$B$1,[1]!Data_BS[Thang.Nam],TDP!AL$5)</f>
        <v>0</v>
      </c>
    </row>
    <row r="101" spans="1:38" ht="15" hidden="1" customHeight="1" outlineLevel="1">
      <c r="A101" s="72" t="s">
        <v>185</v>
      </c>
      <c r="B101" s="65">
        <v>96</v>
      </c>
      <c r="C101" s="64"/>
      <c r="D101" s="69"/>
      <c r="E101" s="69"/>
      <c r="F101" s="379"/>
      <c r="G101" s="69"/>
      <c r="H101" s="69">
        <v>0</v>
      </c>
      <c r="I101" s="69"/>
      <c r="J101" s="69"/>
      <c r="K101" s="69"/>
      <c r="L101" s="69"/>
      <c r="M101" s="379"/>
      <c r="N101" s="85"/>
      <c r="O101" s="64"/>
      <c r="P101" s="69"/>
      <c r="Q101" s="69"/>
      <c r="R101" s="379"/>
      <c r="S101" s="69"/>
      <c r="T101" s="69">
        <v>0</v>
      </c>
      <c r="U101" s="69"/>
      <c r="V101" s="69"/>
      <c r="W101" s="69"/>
      <c r="X101" s="69"/>
      <c r="Y101" s="379"/>
      <c r="Z101" s="379">
        <v>0</v>
      </c>
      <c r="AA101" s="380">
        <f>SUMIFS([1]!Data_BS[Value],[1]!Data_BS[Index BS],TDP!$B101,[1]!Data_BS[TenCongTyID],TDP!$B$1,[1]!Data_BS[Thang.Nam],TDP!AA$5)</f>
        <v>0</v>
      </c>
      <c r="AB101" s="380">
        <f>SUMIFS([1]!Data_BS[Value],[1]!Data_BS[Index BS],TDP!$B101,[1]!Data_BS[TenCongTyID],TDP!$B$1,[1]!Data_BS[Thang.Nam],TDP!AB$5)</f>
        <v>0</v>
      </c>
      <c r="AC101" s="380">
        <f>SUMIFS([1]!Data_BS[Value],[1]!Data_BS[Index BS],TDP!$B101,[1]!Data_BS[TenCongTyID],TDP!$B$1,[1]!Data_BS[Thang.Nam],TDP!AC$5)</f>
        <v>0</v>
      </c>
      <c r="AD101" s="380">
        <f>SUMIFS([1]!Data_BS[Value],[1]!Data_BS[Index BS],TDP!$B101,[1]!Data_BS[TenCongTyID],TDP!$B$1,[1]!Data_BS[Thang.Nam],TDP!AD$5)</f>
        <v>0</v>
      </c>
      <c r="AE101" s="380">
        <f>SUMIFS([1]!Data_BS[Value],[1]!Data_BS[Index BS],TDP!$B101,[1]!Data_BS[TenCongTyID],TDP!$B$1,[1]!Data_BS[Thang.Nam],TDP!AE$5)</f>
        <v>0</v>
      </c>
      <c r="AF101" s="380">
        <f>SUMIFS([1]!Data_BS[Value],[1]!Data_BS[Index BS],TDP!$B101,[1]!Data_BS[TenCongTyID],TDP!$B$1,[1]!Data_BS[Thang.Nam],TDP!AF$5)</f>
        <v>0</v>
      </c>
      <c r="AG101" s="380">
        <f>SUMIFS([1]!Data_BS[Value],[1]!Data_BS[Index BS],TDP!$B101,[1]!Data_BS[TenCongTyID],TDP!$B$1,[1]!Data_BS[Thang.Nam],TDP!AG$5)</f>
        <v>0</v>
      </c>
      <c r="AH101" s="380">
        <f>SUMIFS([1]!Data_BS[Value],[1]!Data_BS[Index BS],TDP!$B101,[1]!Data_BS[TenCongTyID],TDP!$B$1,[1]!Data_BS[Thang.Nam],TDP!AH$5)</f>
        <v>0</v>
      </c>
      <c r="AI101" s="380">
        <f>SUMIFS([1]!Data_BS[Value],[1]!Data_BS[Index BS],TDP!$B101,[1]!Data_BS[TenCongTyID],TDP!$B$1,[1]!Data_BS[Thang.Nam],TDP!AI$5)</f>
        <v>0</v>
      </c>
      <c r="AJ101" s="380">
        <f>SUMIFS([1]!Data_BS[Value],[1]!Data_BS[Index BS],TDP!$B101,[1]!Data_BS[TenCongTyID],TDP!$B$1,[1]!Data_BS[Thang.Nam],TDP!AJ$5)</f>
        <v>0</v>
      </c>
      <c r="AK101" s="380">
        <f>SUMIFS([1]!Data_BS[Value],[1]!Data_BS[Index BS],TDP!$B101,[1]!Data_BS[TenCongTyID],TDP!$B$1,[1]!Data_BS[Thang.Nam],TDP!AK$5)</f>
        <v>0</v>
      </c>
      <c r="AL101" s="381">
        <f>SUMIFS([1]!Data_BS[Value],[1]!Data_BS[Index BS],TDP!$B101,[1]!Data_BS[TenCongTyID],TDP!$B$1,[1]!Data_BS[Thang.Nam],TDP!AL$5)</f>
        <v>0</v>
      </c>
    </row>
    <row r="102" spans="1:38" ht="15" hidden="1" customHeight="1" outlineLevel="1">
      <c r="A102" s="67" t="s">
        <v>186</v>
      </c>
      <c r="B102" s="63">
        <v>97</v>
      </c>
      <c r="C102" s="64"/>
      <c r="D102" s="69"/>
      <c r="E102" s="69"/>
      <c r="F102" s="379"/>
      <c r="G102" s="69"/>
      <c r="H102" s="69">
        <v>0</v>
      </c>
      <c r="I102" s="69"/>
      <c r="J102" s="69"/>
      <c r="K102" s="69"/>
      <c r="L102" s="69"/>
      <c r="M102" s="379"/>
      <c r="N102" s="85"/>
      <c r="O102" s="64"/>
      <c r="P102" s="69"/>
      <c r="Q102" s="69"/>
      <c r="R102" s="379"/>
      <c r="S102" s="69"/>
      <c r="T102" s="69">
        <v>0</v>
      </c>
      <c r="U102" s="69"/>
      <c r="V102" s="69"/>
      <c r="W102" s="69"/>
      <c r="X102" s="69"/>
      <c r="Y102" s="379"/>
      <c r="Z102" s="379">
        <v>0</v>
      </c>
      <c r="AA102" s="380">
        <f>SUMIFS([1]!Data_BS[Value],[1]!Data_BS[Index BS],TDP!$B102,[1]!Data_BS[TenCongTyID],TDP!$B$1,[1]!Data_BS[Thang.Nam],TDP!AA$5)</f>
        <v>0</v>
      </c>
      <c r="AB102" s="380">
        <f>SUMIFS([1]!Data_BS[Value],[1]!Data_BS[Index BS],TDP!$B102,[1]!Data_BS[TenCongTyID],TDP!$B$1,[1]!Data_BS[Thang.Nam],TDP!AB$5)</f>
        <v>0</v>
      </c>
      <c r="AC102" s="380">
        <f>SUMIFS([1]!Data_BS[Value],[1]!Data_BS[Index BS],TDP!$B102,[1]!Data_BS[TenCongTyID],TDP!$B$1,[1]!Data_BS[Thang.Nam],TDP!AC$5)</f>
        <v>0</v>
      </c>
      <c r="AD102" s="380">
        <f>SUMIFS([1]!Data_BS[Value],[1]!Data_BS[Index BS],TDP!$B102,[1]!Data_BS[TenCongTyID],TDP!$B$1,[1]!Data_BS[Thang.Nam],TDP!AD$5)</f>
        <v>0</v>
      </c>
      <c r="AE102" s="380">
        <f>SUMIFS([1]!Data_BS[Value],[1]!Data_BS[Index BS],TDP!$B102,[1]!Data_BS[TenCongTyID],TDP!$B$1,[1]!Data_BS[Thang.Nam],TDP!AE$5)</f>
        <v>0</v>
      </c>
      <c r="AF102" s="380">
        <f>SUMIFS([1]!Data_BS[Value],[1]!Data_BS[Index BS],TDP!$B102,[1]!Data_BS[TenCongTyID],TDP!$B$1,[1]!Data_BS[Thang.Nam],TDP!AF$5)</f>
        <v>0</v>
      </c>
      <c r="AG102" s="380">
        <f>SUMIFS([1]!Data_BS[Value],[1]!Data_BS[Index BS],TDP!$B102,[1]!Data_BS[TenCongTyID],TDP!$B$1,[1]!Data_BS[Thang.Nam],TDP!AG$5)</f>
        <v>0</v>
      </c>
      <c r="AH102" s="380">
        <f>SUMIFS([1]!Data_BS[Value],[1]!Data_BS[Index BS],TDP!$B102,[1]!Data_BS[TenCongTyID],TDP!$B$1,[1]!Data_BS[Thang.Nam],TDP!AH$5)</f>
        <v>0</v>
      </c>
      <c r="AI102" s="380">
        <f>SUMIFS([1]!Data_BS[Value],[1]!Data_BS[Index BS],TDP!$B102,[1]!Data_BS[TenCongTyID],TDP!$B$1,[1]!Data_BS[Thang.Nam],TDP!AI$5)</f>
        <v>0</v>
      </c>
      <c r="AJ102" s="380">
        <f>SUMIFS([1]!Data_BS[Value],[1]!Data_BS[Index BS],TDP!$B102,[1]!Data_BS[TenCongTyID],TDP!$B$1,[1]!Data_BS[Thang.Nam],TDP!AJ$5)</f>
        <v>0</v>
      </c>
      <c r="AK102" s="380">
        <f>SUMIFS([1]!Data_BS[Value],[1]!Data_BS[Index BS],TDP!$B102,[1]!Data_BS[TenCongTyID],TDP!$B$1,[1]!Data_BS[Thang.Nam],TDP!AK$5)</f>
        <v>0</v>
      </c>
      <c r="AL102" s="381">
        <f>SUMIFS([1]!Data_BS[Value],[1]!Data_BS[Index BS],TDP!$B102,[1]!Data_BS[TenCongTyID],TDP!$B$1,[1]!Data_BS[Thang.Nam],TDP!AL$5)</f>
        <v>0</v>
      </c>
    </row>
    <row r="103" spans="1:38" ht="15" hidden="1" customHeight="1" outlineLevel="1">
      <c r="A103" s="67" t="s">
        <v>187</v>
      </c>
      <c r="B103" s="63">
        <v>98</v>
      </c>
      <c r="C103" s="64"/>
      <c r="D103" s="69"/>
      <c r="E103" s="69"/>
      <c r="F103" s="379"/>
      <c r="G103" s="69"/>
      <c r="H103" s="69">
        <v>0</v>
      </c>
      <c r="I103" s="69"/>
      <c r="J103" s="69"/>
      <c r="K103" s="69"/>
      <c r="L103" s="69"/>
      <c r="M103" s="379"/>
      <c r="N103" s="85"/>
      <c r="O103" s="64"/>
      <c r="P103" s="69"/>
      <c r="Q103" s="69"/>
      <c r="R103" s="379"/>
      <c r="S103" s="69"/>
      <c r="T103" s="69">
        <v>0</v>
      </c>
      <c r="U103" s="69"/>
      <c r="V103" s="69"/>
      <c r="W103" s="69"/>
      <c r="X103" s="69"/>
      <c r="Y103" s="379"/>
      <c r="Z103" s="379">
        <v>0</v>
      </c>
      <c r="AA103" s="380">
        <f>SUMIFS([1]!Data_BS[Value],[1]!Data_BS[Index BS],TDP!$B103,[1]!Data_BS[TenCongTyID],TDP!$B$1,[1]!Data_BS[Thang.Nam],TDP!AA$5)</f>
        <v>0</v>
      </c>
      <c r="AB103" s="380">
        <f>SUMIFS([1]!Data_BS[Value],[1]!Data_BS[Index BS],TDP!$B103,[1]!Data_BS[TenCongTyID],TDP!$B$1,[1]!Data_BS[Thang.Nam],TDP!AB$5)</f>
        <v>0</v>
      </c>
      <c r="AC103" s="380">
        <f>SUMIFS([1]!Data_BS[Value],[1]!Data_BS[Index BS],TDP!$B103,[1]!Data_BS[TenCongTyID],TDP!$B$1,[1]!Data_BS[Thang.Nam],TDP!AC$5)</f>
        <v>0</v>
      </c>
      <c r="AD103" s="380">
        <f>SUMIFS([1]!Data_BS[Value],[1]!Data_BS[Index BS],TDP!$B103,[1]!Data_BS[TenCongTyID],TDP!$B$1,[1]!Data_BS[Thang.Nam],TDP!AD$5)</f>
        <v>0</v>
      </c>
      <c r="AE103" s="380">
        <f>SUMIFS([1]!Data_BS[Value],[1]!Data_BS[Index BS],TDP!$B103,[1]!Data_BS[TenCongTyID],TDP!$B$1,[1]!Data_BS[Thang.Nam],TDP!AE$5)</f>
        <v>0</v>
      </c>
      <c r="AF103" s="380">
        <f>SUMIFS([1]!Data_BS[Value],[1]!Data_BS[Index BS],TDP!$B103,[1]!Data_BS[TenCongTyID],TDP!$B$1,[1]!Data_BS[Thang.Nam],TDP!AF$5)</f>
        <v>0</v>
      </c>
      <c r="AG103" s="380">
        <f>SUMIFS([1]!Data_BS[Value],[1]!Data_BS[Index BS],TDP!$B103,[1]!Data_BS[TenCongTyID],TDP!$B$1,[1]!Data_BS[Thang.Nam],TDP!AG$5)</f>
        <v>0</v>
      </c>
      <c r="AH103" s="380">
        <f>SUMIFS([1]!Data_BS[Value],[1]!Data_BS[Index BS],TDP!$B103,[1]!Data_BS[TenCongTyID],TDP!$B$1,[1]!Data_BS[Thang.Nam],TDP!AH$5)</f>
        <v>0</v>
      </c>
      <c r="AI103" s="380">
        <f>SUMIFS([1]!Data_BS[Value],[1]!Data_BS[Index BS],TDP!$B103,[1]!Data_BS[TenCongTyID],TDP!$B$1,[1]!Data_BS[Thang.Nam],TDP!AI$5)</f>
        <v>0</v>
      </c>
      <c r="AJ103" s="380">
        <f>SUMIFS([1]!Data_BS[Value],[1]!Data_BS[Index BS],TDP!$B103,[1]!Data_BS[TenCongTyID],TDP!$B$1,[1]!Data_BS[Thang.Nam],TDP!AJ$5)</f>
        <v>0</v>
      </c>
      <c r="AK103" s="380">
        <f>SUMIFS([1]!Data_BS[Value],[1]!Data_BS[Index BS],TDP!$B103,[1]!Data_BS[TenCongTyID],TDP!$B$1,[1]!Data_BS[Thang.Nam],TDP!AK$5)</f>
        <v>0</v>
      </c>
      <c r="AL103" s="381">
        <f>SUMIFS([1]!Data_BS[Value],[1]!Data_BS[Index BS],TDP!$B103,[1]!Data_BS[TenCongTyID],TDP!$B$1,[1]!Data_BS[Thang.Nam],TDP!AL$5)</f>
        <v>0</v>
      </c>
    </row>
    <row r="104" spans="1:38" ht="15" hidden="1" customHeight="1" outlineLevel="1">
      <c r="A104" s="67" t="s">
        <v>188</v>
      </c>
      <c r="B104" s="63">
        <v>99</v>
      </c>
      <c r="C104" s="64"/>
      <c r="D104" s="69"/>
      <c r="E104" s="69"/>
      <c r="F104" s="379"/>
      <c r="G104" s="69"/>
      <c r="H104" s="69"/>
      <c r="I104" s="69"/>
      <c r="J104" s="69"/>
      <c r="K104" s="69"/>
      <c r="L104" s="69"/>
      <c r="M104" s="379"/>
      <c r="N104" s="85"/>
      <c r="O104" s="64"/>
      <c r="P104" s="69"/>
      <c r="Q104" s="69"/>
      <c r="R104" s="379"/>
      <c r="S104" s="69"/>
      <c r="T104" s="69"/>
      <c r="U104" s="69"/>
      <c r="V104" s="69"/>
      <c r="W104" s="69"/>
      <c r="X104" s="69"/>
      <c r="Y104" s="379"/>
      <c r="Z104" s="379">
        <v>0</v>
      </c>
      <c r="AA104" s="380">
        <f>SUMIFS([1]!Data_BS[Value],[1]!Data_BS[Index BS],TDP!$B104,[1]!Data_BS[TenCongTyID],TDP!$B$1,[1]!Data_BS[Thang.Nam],TDP!AA$5)</f>
        <v>0</v>
      </c>
      <c r="AB104" s="380">
        <f>SUMIFS([1]!Data_BS[Value],[1]!Data_BS[Index BS],TDP!$B104,[1]!Data_BS[TenCongTyID],TDP!$B$1,[1]!Data_BS[Thang.Nam],TDP!AB$5)</f>
        <v>0</v>
      </c>
      <c r="AC104" s="380">
        <f>SUMIFS([1]!Data_BS[Value],[1]!Data_BS[Index BS],TDP!$B104,[1]!Data_BS[TenCongTyID],TDP!$B$1,[1]!Data_BS[Thang.Nam],TDP!AC$5)</f>
        <v>0</v>
      </c>
      <c r="AD104" s="380">
        <f>SUMIFS([1]!Data_BS[Value],[1]!Data_BS[Index BS],TDP!$B104,[1]!Data_BS[TenCongTyID],TDP!$B$1,[1]!Data_BS[Thang.Nam],TDP!AD$5)</f>
        <v>0</v>
      </c>
      <c r="AE104" s="380">
        <f>SUMIFS([1]!Data_BS[Value],[1]!Data_BS[Index BS],TDP!$B104,[1]!Data_BS[TenCongTyID],TDP!$B$1,[1]!Data_BS[Thang.Nam],TDP!AE$5)</f>
        <v>0</v>
      </c>
      <c r="AF104" s="380">
        <f>SUMIFS([1]!Data_BS[Value],[1]!Data_BS[Index BS],TDP!$B104,[1]!Data_BS[TenCongTyID],TDP!$B$1,[1]!Data_BS[Thang.Nam],TDP!AF$5)</f>
        <v>0</v>
      </c>
      <c r="AG104" s="380">
        <f>SUMIFS([1]!Data_BS[Value],[1]!Data_BS[Index BS],TDP!$B104,[1]!Data_BS[TenCongTyID],TDP!$B$1,[1]!Data_BS[Thang.Nam],TDP!AG$5)</f>
        <v>0</v>
      </c>
      <c r="AH104" s="380">
        <f>SUMIFS([1]!Data_BS[Value],[1]!Data_BS[Index BS],TDP!$B104,[1]!Data_BS[TenCongTyID],TDP!$B$1,[1]!Data_BS[Thang.Nam],TDP!AH$5)</f>
        <v>0</v>
      </c>
      <c r="AI104" s="380">
        <f>SUMIFS([1]!Data_BS[Value],[1]!Data_BS[Index BS],TDP!$B104,[1]!Data_BS[TenCongTyID],TDP!$B$1,[1]!Data_BS[Thang.Nam],TDP!AI$5)</f>
        <v>0</v>
      </c>
      <c r="AJ104" s="380">
        <f>SUMIFS([1]!Data_BS[Value],[1]!Data_BS[Index BS],TDP!$B104,[1]!Data_BS[TenCongTyID],TDP!$B$1,[1]!Data_BS[Thang.Nam],TDP!AJ$5)</f>
        <v>0</v>
      </c>
      <c r="AK104" s="380">
        <f>SUMIFS([1]!Data_BS[Value],[1]!Data_BS[Index BS],TDP!$B104,[1]!Data_BS[TenCongTyID],TDP!$B$1,[1]!Data_BS[Thang.Nam],TDP!AK$5)</f>
        <v>0</v>
      </c>
      <c r="AL104" s="381">
        <f>SUMIFS([1]!Data_BS[Value],[1]!Data_BS[Index BS],TDP!$B104,[1]!Data_BS[TenCongTyID],TDP!$B$1,[1]!Data_BS[Thang.Nam],TDP!AL$5)</f>
        <v>0</v>
      </c>
    </row>
    <row r="105" spans="1:38" ht="15" hidden="1" customHeight="1" outlineLevel="1">
      <c r="A105" s="67" t="s">
        <v>189</v>
      </c>
      <c r="B105" s="63">
        <v>100</v>
      </c>
      <c r="C105" s="64"/>
      <c r="D105" s="69"/>
      <c r="E105" s="69"/>
      <c r="F105" s="379"/>
      <c r="G105" s="69"/>
      <c r="H105" s="69">
        <v>0</v>
      </c>
      <c r="I105" s="69"/>
      <c r="J105" s="69"/>
      <c r="K105" s="69"/>
      <c r="L105" s="69"/>
      <c r="M105" s="379"/>
      <c r="N105" s="85"/>
      <c r="O105" s="64"/>
      <c r="P105" s="69"/>
      <c r="Q105" s="69"/>
      <c r="R105" s="379"/>
      <c r="S105" s="69"/>
      <c r="T105" s="69">
        <v>0</v>
      </c>
      <c r="U105" s="69"/>
      <c r="V105" s="69"/>
      <c r="W105" s="69"/>
      <c r="X105" s="69"/>
      <c r="Y105" s="379"/>
      <c r="Z105" s="379">
        <v>0</v>
      </c>
      <c r="AA105" s="380">
        <f>SUMIFS([1]!Data_BS[Value],[1]!Data_BS[Index BS],TDP!$B105,[1]!Data_BS[TenCongTyID],TDP!$B$1,[1]!Data_BS[Thang.Nam],TDP!AA$5)</f>
        <v>0</v>
      </c>
      <c r="AB105" s="380">
        <f>SUMIFS([1]!Data_BS[Value],[1]!Data_BS[Index BS],TDP!$B105,[1]!Data_BS[TenCongTyID],TDP!$B$1,[1]!Data_BS[Thang.Nam],TDP!AB$5)</f>
        <v>0</v>
      </c>
      <c r="AC105" s="380">
        <f>SUMIFS([1]!Data_BS[Value],[1]!Data_BS[Index BS],TDP!$B105,[1]!Data_BS[TenCongTyID],TDP!$B$1,[1]!Data_BS[Thang.Nam],TDP!AC$5)</f>
        <v>0</v>
      </c>
      <c r="AD105" s="380">
        <f>SUMIFS([1]!Data_BS[Value],[1]!Data_BS[Index BS],TDP!$B105,[1]!Data_BS[TenCongTyID],TDP!$B$1,[1]!Data_BS[Thang.Nam],TDP!AD$5)</f>
        <v>0</v>
      </c>
      <c r="AE105" s="380">
        <f>SUMIFS([1]!Data_BS[Value],[1]!Data_BS[Index BS],TDP!$B105,[1]!Data_BS[TenCongTyID],TDP!$B$1,[1]!Data_BS[Thang.Nam],TDP!AE$5)</f>
        <v>0</v>
      </c>
      <c r="AF105" s="380">
        <f>SUMIFS([1]!Data_BS[Value],[1]!Data_BS[Index BS],TDP!$B105,[1]!Data_BS[TenCongTyID],TDP!$B$1,[1]!Data_BS[Thang.Nam],TDP!AF$5)</f>
        <v>0</v>
      </c>
      <c r="AG105" s="380">
        <f>SUMIFS([1]!Data_BS[Value],[1]!Data_BS[Index BS],TDP!$B105,[1]!Data_BS[TenCongTyID],TDP!$B$1,[1]!Data_BS[Thang.Nam],TDP!AG$5)</f>
        <v>0</v>
      </c>
      <c r="AH105" s="380">
        <f>SUMIFS([1]!Data_BS[Value],[1]!Data_BS[Index BS],TDP!$B105,[1]!Data_BS[TenCongTyID],TDP!$B$1,[1]!Data_BS[Thang.Nam],TDP!AH$5)</f>
        <v>0</v>
      </c>
      <c r="AI105" s="380">
        <f>SUMIFS([1]!Data_BS[Value],[1]!Data_BS[Index BS],TDP!$B105,[1]!Data_BS[TenCongTyID],TDP!$B$1,[1]!Data_BS[Thang.Nam],TDP!AI$5)</f>
        <v>0</v>
      </c>
      <c r="AJ105" s="380">
        <f>SUMIFS([1]!Data_BS[Value],[1]!Data_BS[Index BS],TDP!$B105,[1]!Data_BS[TenCongTyID],TDP!$B$1,[1]!Data_BS[Thang.Nam],TDP!AJ$5)</f>
        <v>0</v>
      </c>
      <c r="AK105" s="380">
        <f>SUMIFS([1]!Data_BS[Value],[1]!Data_BS[Index BS],TDP!$B105,[1]!Data_BS[TenCongTyID],TDP!$B$1,[1]!Data_BS[Thang.Nam],TDP!AK$5)</f>
        <v>0</v>
      </c>
      <c r="AL105" s="381">
        <f>SUMIFS([1]!Data_BS[Value],[1]!Data_BS[Index BS],TDP!$B105,[1]!Data_BS[TenCongTyID],TDP!$B$1,[1]!Data_BS[Thang.Nam],TDP!AL$5)</f>
        <v>0</v>
      </c>
    </row>
    <row r="106" spans="1:38" ht="15" hidden="1" customHeight="1" outlineLevel="1">
      <c r="A106" s="67" t="s">
        <v>190</v>
      </c>
      <c r="B106" s="63">
        <v>101</v>
      </c>
      <c r="C106" s="64"/>
      <c r="D106" s="69"/>
      <c r="E106" s="69"/>
      <c r="F106" s="379"/>
      <c r="G106" s="69"/>
      <c r="H106" s="69">
        <v>0</v>
      </c>
      <c r="I106" s="69"/>
      <c r="J106" s="69"/>
      <c r="K106" s="69"/>
      <c r="L106" s="69"/>
      <c r="M106" s="379"/>
      <c r="N106" s="85"/>
      <c r="O106" s="64"/>
      <c r="P106" s="69"/>
      <c r="Q106" s="69"/>
      <c r="R106" s="379"/>
      <c r="S106" s="69"/>
      <c r="T106" s="69">
        <v>0</v>
      </c>
      <c r="U106" s="69"/>
      <c r="V106" s="69"/>
      <c r="W106" s="69"/>
      <c r="X106" s="69"/>
      <c r="Y106" s="379"/>
      <c r="Z106" s="379">
        <v>0</v>
      </c>
      <c r="AA106" s="380">
        <f>SUMIFS([1]!Data_BS[Value],[1]!Data_BS[Index BS],TDP!$B106,[1]!Data_BS[TenCongTyID],TDP!$B$1,[1]!Data_BS[Thang.Nam],TDP!AA$5)</f>
        <v>0</v>
      </c>
      <c r="AB106" s="380">
        <f>SUMIFS([1]!Data_BS[Value],[1]!Data_BS[Index BS],TDP!$B106,[1]!Data_BS[TenCongTyID],TDP!$B$1,[1]!Data_BS[Thang.Nam],TDP!AB$5)</f>
        <v>0</v>
      </c>
      <c r="AC106" s="380">
        <f>SUMIFS([1]!Data_BS[Value],[1]!Data_BS[Index BS],TDP!$B106,[1]!Data_BS[TenCongTyID],TDP!$B$1,[1]!Data_BS[Thang.Nam],TDP!AC$5)</f>
        <v>0</v>
      </c>
      <c r="AD106" s="380">
        <f>SUMIFS([1]!Data_BS[Value],[1]!Data_BS[Index BS],TDP!$B106,[1]!Data_BS[TenCongTyID],TDP!$B$1,[1]!Data_BS[Thang.Nam],TDP!AD$5)</f>
        <v>0</v>
      </c>
      <c r="AE106" s="380">
        <f>SUMIFS([1]!Data_BS[Value],[1]!Data_BS[Index BS],TDP!$B106,[1]!Data_BS[TenCongTyID],TDP!$B$1,[1]!Data_BS[Thang.Nam],TDP!AE$5)</f>
        <v>0</v>
      </c>
      <c r="AF106" s="380">
        <f>SUMIFS([1]!Data_BS[Value],[1]!Data_BS[Index BS],TDP!$B106,[1]!Data_BS[TenCongTyID],TDP!$B$1,[1]!Data_BS[Thang.Nam],TDP!AF$5)</f>
        <v>0</v>
      </c>
      <c r="AG106" s="380">
        <f>SUMIFS([1]!Data_BS[Value],[1]!Data_BS[Index BS],TDP!$B106,[1]!Data_BS[TenCongTyID],TDP!$B$1,[1]!Data_BS[Thang.Nam],TDP!AG$5)</f>
        <v>0</v>
      </c>
      <c r="AH106" s="380">
        <f>SUMIFS([1]!Data_BS[Value],[1]!Data_BS[Index BS],TDP!$B106,[1]!Data_BS[TenCongTyID],TDP!$B$1,[1]!Data_BS[Thang.Nam],TDP!AH$5)</f>
        <v>0</v>
      </c>
      <c r="AI106" s="380">
        <f>SUMIFS([1]!Data_BS[Value],[1]!Data_BS[Index BS],TDP!$B106,[1]!Data_BS[TenCongTyID],TDP!$B$1,[1]!Data_BS[Thang.Nam],TDP!AI$5)</f>
        <v>0</v>
      </c>
      <c r="AJ106" s="380">
        <f>SUMIFS([1]!Data_BS[Value],[1]!Data_BS[Index BS],TDP!$B106,[1]!Data_BS[TenCongTyID],TDP!$B$1,[1]!Data_BS[Thang.Nam],TDP!AJ$5)</f>
        <v>0</v>
      </c>
      <c r="AK106" s="380">
        <f>SUMIFS([1]!Data_BS[Value],[1]!Data_BS[Index BS],TDP!$B106,[1]!Data_BS[TenCongTyID],TDP!$B$1,[1]!Data_BS[Thang.Nam],TDP!AK$5)</f>
        <v>0</v>
      </c>
      <c r="AL106" s="381">
        <f>SUMIFS([1]!Data_BS[Value],[1]!Data_BS[Index BS],TDP!$B106,[1]!Data_BS[TenCongTyID],TDP!$B$1,[1]!Data_BS[Thang.Nam],TDP!AL$5)</f>
        <v>0</v>
      </c>
    </row>
    <row r="107" spans="1:38" ht="15" hidden="1" customHeight="1" outlineLevel="1">
      <c r="A107" s="67" t="s">
        <v>191</v>
      </c>
      <c r="B107" s="63">
        <v>102</v>
      </c>
      <c r="C107" s="64"/>
      <c r="D107" s="69"/>
      <c r="E107" s="69"/>
      <c r="F107" s="379"/>
      <c r="G107" s="69"/>
      <c r="H107" s="69">
        <v>0</v>
      </c>
      <c r="I107" s="69"/>
      <c r="J107" s="69"/>
      <c r="K107" s="69"/>
      <c r="L107" s="69"/>
      <c r="M107" s="379"/>
      <c r="N107" s="85"/>
      <c r="O107" s="64"/>
      <c r="P107" s="69"/>
      <c r="Q107" s="69"/>
      <c r="R107" s="379"/>
      <c r="S107" s="69"/>
      <c r="T107" s="69">
        <v>0</v>
      </c>
      <c r="U107" s="69"/>
      <c r="V107" s="69"/>
      <c r="W107" s="69"/>
      <c r="X107" s="69"/>
      <c r="Y107" s="379"/>
      <c r="Z107" s="379">
        <v>0</v>
      </c>
      <c r="AA107" s="380">
        <f>SUMIFS([1]!Data_BS[Value],[1]!Data_BS[Index BS],TDP!$B107,[1]!Data_BS[TenCongTyID],TDP!$B$1,[1]!Data_BS[Thang.Nam],TDP!AA$5)</f>
        <v>0</v>
      </c>
      <c r="AB107" s="380">
        <f>SUMIFS([1]!Data_BS[Value],[1]!Data_BS[Index BS],TDP!$B107,[1]!Data_BS[TenCongTyID],TDP!$B$1,[1]!Data_BS[Thang.Nam],TDP!AB$5)</f>
        <v>0</v>
      </c>
      <c r="AC107" s="380">
        <f>SUMIFS([1]!Data_BS[Value],[1]!Data_BS[Index BS],TDP!$B107,[1]!Data_BS[TenCongTyID],TDP!$B$1,[1]!Data_BS[Thang.Nam],TDP!AC$5)</f>
        <v>0</v>
      </c>
      <c r="AD107" s="380">
        <f>SUMIFS([1]!Data_BS[Value],[1]!Data_BS[Index BS],TDP!$B107,[1]!Data_BS[TenCongTyID],TDP!$B$1,[1]!Data_BS[Thang.Nam],TDP!AD$5)</f>
        <v>0</v>
      </c>
      <c r="AE107" s="380">
        <f>SUMIFS([1]!Data_BS[Value],[1]!Data_BS[Index BS],TDP!$B107,[1]!Data_BS[TenCongTyID],TDP!$B$1,[1]!Data_BS[Thang.Nam],TDP!AE$5)</f>
        <v>0</v>
      </c>
      <c r="AF107" s="380">
        <f>SUMIFS([1]!Data_BS[Value],[1]!Data_BS[Index BS],TDP!$B107,[1]!Data_BS[TenCongTyID],TDP!$B$1,[1]!Data_BS[Thang.Nam],TDP!AF$5)</f>
        <v>0</v>
      </c>
      <c r="AG107" s="380">
        <f>SUMIFS([1]!Data_BS[Value],[1]!Data_BS[Index BS],TDP!$B107,[1]!Data_BS[TenCongTyID],TDP!$B$1,[1]!Data_BS[Thang.Nam],TDP!AG$5)</f>
        <v>0</v>
      </c>
      <c r="AH107" s="380">
        <f>SUMIFS([1]!Data_BS[Value],[1]!Data_BS[Index BS],TDP!$B107,[1]!Data_BS[TenCongTyID],TDP!$B$1,[1]!Data_BS[Thang.Nam],TDP!AH$5)</f>
        <v>0</v>
      </c>
      <c r="AI107" s="380">
        <f>SUMIFS([1]!Data_BS[Value],[1]!Data_BS[Index BS],TDP!$B107,[1]!Data_BS[TenCongTyID],TDP!$B$1,[1]!Data_BS[Thang.Nam],TDP!AI$5)</f>
        <v>0</v>
      </c>
      <c r="AJ107" s="380">
        <f>SUMIFS([1]!Data_BS[Value],[1]!Data_BS[Index BS],TDP!$B107,[1]!Data_BS[TenCongTyID],TDP!$B$1,[1]!Data_BS[Thang.Nam],TDP!AJ$5)</f>
        <v>0</v>
      </c>
      <c r="AK107" s="380">
        <f>SUMIFS([1]!Data_BS[Value],[1]!Data_BS[Index BS],TDP!$B107,[1]!Data_BS[TenCongTyID],TDP!$B$1,[1]!Data_BS[Thang.Nam],TDP!AK$5)</f>
        <v>0</v>
      </c>
      <c r="AL107" s="381">
        <f>SUMIFS([1]!Data_BS[Value],[1]!Data_BS[Index BS],TDP!$B107,[1]!Data_BS[TenCongTyID],TDP!$B$1,[1]!Data_BS[Thang.Nam],TDP!AL$5)</f>
        <v>0</v>
      </c>
    </row>
    <row r="108" spans="1:38" ht="15" hidden="1" customHeight="1" outlineLevel="1">
      <c r="A108" s="67" t="s">
        <v>192</v>
      </c>
      <c r="B108" s="63">
        <v>103</v>
      </c>
      <c r="C108" s="64"/>
      <c r="D108" s="69"/>
      <c r="E108" s="69"/>
      <c r="F108" s="379"/>
      <c r="G108" s="69"/>
      <c r="H108" s="69">
        <v>0</v>
      </c>
      <c r="I108" s="69"/>
      <c r="J108" s="69"/>
      <c r="K108" s="69"/>
      <c r="L108" s="69"/>
      <c r="M108" s="379"/>
      <c r="N108" s="85"/>
      <c r="O108" s="64"/>
      <c r="P108" s="69"/>
      <c r="Q108" s="69"/>
      <c r="R108" s="379"/>
      <c r="S108" s="69"/>
      <c r="T108" s="69">
        <v>0</v>
      </c>
      <c r="U108" s="69"/>
      <c r="V108" s="69"/>
      <c r="W108" s="69"/>
      <c r="X108" s="69"/>
      <c r="Y108" s="379"/>
      <c r="Z108" s="379">
        <v>0</v>
      </c>
      <c r="AA108" s="380">
        <f>SUMIFS([1]!Data_BS[Value],[1]!Data_BS[Index BS],TDP!$B108,[1]!Data_BS[TenCongTyID],TDP!$B$1,[1]!Data_BS[Thang.Nam],TDP!AA$5)</f>
        <v>0</v>
      </c>
      <c r="AB108" s="380">
        <f>SUMIFS([1]!Data_BS[Value],[1]!Data_BS[Index BS],TDP!$B108,[1]!Data_BS[TenCongTyID],TDP!$B$1,[1]!Data_BS[Thang.Nam],TDP!AB$5)</f>
        <v>0</v>
      </c>
      <c r="AC108" s="380">
        <f>SUMIFS([1]!Data_BS[Value],[1]!Data_BS[Index BS],TDP!$B108,[1]!Data_BS[TenCongTyID],TDP!$B$1,[1]!Data_BS[Thang.Nam],TDP!AC$5)</f>
        <v>0</v>
      </c>
      <c r="AD108" s="380">
        <f>SUMIFS([1]!Data_BS[Value],[1]!Data_BS[Index BS],TDP!$B108,[1]!Data_BS[TenCongTyID],TDP!$B$1,[1]!Data_BS[Thang.Nam],TDP!AD$5)</f>
        <v>0</v>
      </c>
      <c r="AE108" s="380">
        <f>SUMIFS([1]!Data_BS[Value],[1]!Data_BS[Index BS],TDP!$B108,[1]!Data_BS[TenCongTyID],TDP!$B$1,[1]!Data_BS[Thang.Nam],TDP!AE$5)</f>
        <v>0</v>
      </c>
      <c r="AF108" s="380">
        <f>SUMIFS([1]!Data_BS[Value],[1]!Data_BS[Index BS],TDP!$B108,[1]!Data_BS[TenCongTyID],TDP!$B$1,[1]!Data_BS[Thang.Nam],TDP!AF$5)</f>
        <v>0</v>
      </c>
      <c r="AG108" s="380">
        <f>SUMIFS([1]!Data_BS[Value],[1]!Data_BS[Index BS],TDP!$B108,[1]!Data_BS[TenCongTyID],TDP!$B$1,[1]!Data_BS[Thang.Nam],TDP!AG$5)</f>
        <v>0</v>
      </c>
      <c r="AH108" s="380">
        <f>SUMIFS([1]!Data_BS[Value],[1]!Data_BS[Index BS],TDP!$B108,[1]!Data_BS[TenCongTyID],TDP!$B$1,[1]!Data_BS[Thang.Nam],TDP!AH$5)</f>
        <v>0</v>
      </c>
      <c r="AI108" s="380">
        <f>SUMIFS([1]!Data_BS[Value],[1]!Data_BS[Index BS],TDP!$B108,[1]!Data_BS[TenCongTyID],TDP!$B$1,[1]!Data_BS[Thang.Nam],TDP!AI$5)</f>
        <v>0</v>
      </c>
      <c r="AJ108" s="380">
        <f>SUMIFS([1]!Data_BS[Value],[1]!Data_BS[Index BS],TDP!$B108,[1]!Data_BS[TenCongTyID],TDP!$B$1,[1]!Data_BS[Thang.Nam],TDP!AJ$5)</f>
        <v>0</v>
      </c>
      <c r="AK108" s="380">
        <f>SUMIFS([1]!Data_BS[Value],[1]!Data_BS[Index BS],TDP!$B108,[1]!Data_BS[TenCongTyID],TDP!$B$1,[1]!Data_BS[Thang.Nam],TDP!AK$5)</f>
        <v>0</v>
      </c>
      <c r="AL108" s="381">
        <f>SUMIFS([1]!Data_BS[Value],[1]!Data_BS[Index BS],TDP!$B108,[1]!Data_BS[TenCongTyID],TDP!$B$1,[1]!Data_BS[Thang.Nam],TDP!AL$5)</f>
        <v>0</v>
      </c>
    </row>
    <row r="109" spans="1:38" ht="15" hidden="1" customHeight="1" outlineLevel="1">
      <c r="A109" s="67" t="s">
        <v>193</v>
      </c>
      <c r="B109" s="63">
        <v>104</v>
      </c>
      <c r="C109" s="64"/>
      <c r="D109" s="69"/>
      <c r="E109" s="69"/>
      <c r="F109" s="379"/>
      <c r="G109" s="69"/>
      <c r="H109" s="69">
        <v>0</v>
      </c>
      <c r="I109" s="69"/>
      <c r="J109" s="69"/>
      <c r="K109" s="69"/>
      <c r="L109" s="69"/>
      <c r="M109" s="379"/>
      <c r="N109" s="85"/>
      <c r="O109" s="64"/>
      <c r="P109" s="69"/>
      <c r="Q109" s="69"/>
      <c r="R109" s="379"/>
      <c r="S109" s="69"/>
      <c r="T109" s="69">
        <v>0</v>
      </c>
      <c r="U109" s="69"/>
      <c r="V109" s="69"/>
      <c r="W109" s="69"/>
      <c r="X109" s="69"/>
      <c r="Y109" s="379"/>
      <c r="Z109" s="379">
        <v>0</v>
      </c>
      <c r="AA109" s="380">
        <f>SUMIFS([1]!Data_BS[Value],[1]!Data_BS[Index BS],TDP!$B109,[1]!Data_BS[TenCongTyID],TDP!$B$1,[1]!Data_BS[Thang.Nam],TDP!AA$5)</f>
        <v>0</v>
      </c>
      <c r="AB109" s="380">
        <f>SUMIFS([1]!Data_BS[Value],[1]!Data_BS[Index BS],TDP!$B109,[1]!Data_BS[TenCongTyID],TDP!$B$1,[1]!Data_BS[Thang.Nam],TDP!AB$5)</f>
        <v>0</v>
      </c>
      <c r="AC109" s="380">
        <f>SUMIFS([1]!Data_BS[Value],[1]!Data_BS[Index BS],TDP!$B109,[1]!Data_BS[TenCongTyID],TDP!$B$1,[1]!Data_BS[Thang.Nam],TDP!AC$5)</f>
        <v>0</v>
      </c>
      <c r="AD109" s="380">
        <f>SUMIFS([1]!Data_BS[Value],[1]!Data_BS[Index BS],TDP!$B109,[1]!Data_BS[TenCongTyID],TDP!$B$1,[1]!Data_BS[Thang.Nam],TDP!AD$5)</f>
        <v>0</v>
      </c>
      <c r="AE109" s="380">
        <f>SUMIFS([1]!Data_BS[Value],[1]!Data_BS[Index BS],TDP!$B109,[1]!Data_BS[TenCongTyID],TDP!$B$1,[1]!Data_BS[Thang.Nam],TDP!AE$5)</f>
        <v>0</v>
      </c>
      <c r="AF109" s="380">
        <f>SUMIFS([1]!Data_BS[Value],[1]!Data_BS[Index BS],TDP!$B109,[1]!Data_BS[TenCongTyID],TDP!$B$1,[1]!Data_BS[Thang.Nam],TDP!AF$5)</f>
        <v>0</v>
      </c>
      <c r="AG109" s="380">
        <f>SUMIFS([1]!Data_BS[Value],[1]!Data_BS[Index BS],TDP!$B109,[1]!Data_BS[TenCongTyID],TDP!$B$1,[1]!Data_BS[Thang.Nam],TDP!AG$5)</f>
        <v>0</v>
      </c>
      <c r="AH109" s="380">
        <f>SUMIFS([1]!Data_BS[Value],[1]!Data_BS[Index BS],TDP!$B109,[1]!Data_BS[TenCongTyID],TDP!$B$1,[1]!Data_BS[Thang.Nam],TDP!AH$5)</f>
        <v>0</v>
      </c>
      <c r="AI109" s="380">
        <f>SUMIFS([1]!Data_BS[Value],[1]!Data_BS[Index BS],TDP!$B109,[1]!Data_BS[TenCongTyID],TDP!$B$1,[1]!Data_BS[Thang.Nam],TDP!AI$5)</f>
        <v>0</v>
      </c>
      <c r="AJ109" s="380">
        <f>SUMIFS([1]!Data_BS[Value],[1]!Data_BS[Index BS],TDP!$B109,[1]!Data_BS[TenCongTyID],TDP!$B$1,[1]!Data_BS[Thang.Nam],TDP!AJ$5)</f>
        <v>0</v>
      </c>
      <c r="AK109" s="380">
        <f>SUMIFS([1]!Data_BS[Value],[1]!Data_BS[Index BS],TDP!$B109,[1]!Data_BS[TenCongTyID],TDP!$B$1,[1]!Data_BS[Thang.Nam],TDP!AK$5)</f>
        <v>0</v>
      </c>
      <c r="AL109" s="381">
        <f>SUMIFS([1]!Data_BS[Value],[1]!Data_BS[Index BS],TDP!$B109,[1]!Data_BS[TenCongTyID],TDP!$B$1,[1]!Data_BS[Thang.Nam],TDP!AL$5)</f>
        <v>0</v>
      </c>
    </row>
    <row r="110" spans="1:38" ht="15" hidden="1" customHeight="1" outlineLevel="1">
      <c r="A110" s="67" t="s">
        <v>194</v>
      </c>
      <c r="B110" s="63">
        <v>105</v>
      </c>
      <c r="C110" s="64"/>
      <c r="D110" s="69"/>
      <c r="E110" s="69"/>
      <c r="F110" s="379"/>
      <c r="G110" s="69"/>
      <c r="H110" s="69">
        <v>0</v>
      </c>
      <c r="I110" s="69"/>
      <c r="J110" s="69"/>
      <c r="K110" s="69"/>
      <c r="L110" s="69"/>
      <c r="M110" s="379"/>
      <c r="N110" s="85"/>
      <c r="O110" s="64"/>
      <c r="P110" s="69"/>
      <c r="Q110" s="69"/>
      <c r="R110" s="379"/>
      <c r="S110" s="69"/>
      <c r="T110" s="69">
        <v>0</v>
      </c>
      <c r="U110" s="69"/>
      <c r="V110" s="69"/>
      <c r="W110" s="69"/>
      <c r="X110" s="69"/>
      <c r="Y110" s="379"/>
      <c r="Z110" s="379">
        <v>0</v>
      </c>
      <c r="AA110" s="380">
        <f>SUMIFS([1]!Data_BS[Value],[1]!Data_BS[Index BS],TDP!$B110,[1]!Data_BS[TenCongTyID],TDP!$B$1,[1]!Data_BS[Thang.Nam],TDP!AA$5)</f>
        <v>0</v>
      </c>
      <c r="AB110" s="380">
        <f>SUMIFS([1]!Data_BS[Value],[1]!Data_BS[Index BS],TDP!$B110,[1]!Data_BS[TenCongTyID],TDP!$B$1,[1]!Data_BS[Thang.Nam],TDP!AB$5)</f>
        <v>0</v>
      </c>
      <c r="AC110" s="380">
        <f>SUMIFS([1]!Data_BS[Value],[1]!Data_BS[Index BS],TDP!$B110,[1]!Data_BS[TenCongTyID],TDP!$B$1,[1]!Data_BS[Thang.Nam],TDP!AC$5)</f>
        <v>0</v>
      </c>
      <c r="AD110" s="380">
        <f>SUMIFS([1]!Data_BS[Value],[1]!Data_BS[Index BS],TDP!$B110,[1]!Data_BS[TenCongTyID],TDP!$B$1,[1]!Data_BS[Thang.Nam],TDP!AD$5)</f>
        <v>0</v>
      </c>
      <c r="AE110" s="380">
        <f>SUMIFS([1]!Data_BS[Value],[1]!Data_BS[Index BS],TDP!$B110,[1]!Data_BS[TenCongTyID],TDP!$B$1,[1]!Data_BS[Thang.Nam],TDP!AE$5)</f>
        <v>0</v>
      </c>
      <c r="AF110" s="380">
        <f>SUMIFS([1]!Data_BS[Value],[1]!Data_BS[Index BS],TDP!$B110,[1]!Data_BS[TenCongTyID],TDP!$B$1,[1]!Data_BS[Thang.Nam],TDP!AF$5)</f>
        <v>0</v>
      </c>
      <c r="AG110" s="380">
        <f>SUMIFS([1]!Data_BS[Value],[1]!Data_BS[Index BS],TDP!$B110,[1]!Data_BS[TenCongTyID],TDP!$B$1,[1]!Data_BS[Thang.Nam],TDP!AG$5)</f>
        <v>0</v>
      </c>
      <c r="AH110" s="380">
        <f>SUMIFS([1]!Data_BS[Value],[1]!Data_BS[Index BS],TDP!$B110,[1]!Data_BS[TenCongTyID],TDP!$B$1,[1]!Data_BS[Thang.Nam],TDP!AH$5)</f>
        <v>0</v>
      </c>
      <c r="AI110" s="380">
        <f>SUMIFS([1]!Data_BS[Value],[1]!Data_BS[Index BS],TDP!$B110,[1]!Data_BS[TenCongTyID],TDP!$B$1,[1]!Data_BS[Thang.Nam],TDP!AI$5)</f>
        <v>0</v>
      </c>
      <c r="AJ110" s="380">
        <f>SUMIFS([1]!Data_BS[Value],[1]!Data_BS[Index BS],TDP!$B110,[1]!Data_BS[TenCongTyID],TDP!$B$1,[1]!Data_BS[Thang.Nam],TDP!AJ$5)</f>
        <v>0</v>
      </c>
      <c r="AK110" s="380">
        <f>SUMIFS([1]!Data_BS[Value],[1]!Data_BS[Index BS],TDP!$B110,[1]!Data_BS[TenCongTyID],TDP!$B$1,[1]!Data_BS[Thang.Nam],TDP!AK$5)</f>
        <v>0</v>
      </c>
      <c r="AL110" s="381">
        <f>SUMIFS([1]!Data_BS[Value],[1]!Data_BS[Index BS],TDP!$B110,[1]!Data_BS[TenCongTyID],TDP!$B$1,[1]!Data_BS[Thang.Nam],TDP!AL$5)</f>
        <v>0</v>
      </c>
    </row>
    <row r="111" spans="1:38" ht="15" hidden="1" customHeight="1" outlineLevel="1">
      <c r="A111" s="67" t="s">
        <v>195</v>
      </c>
      <c r="B111" s="63">
        <v>106</v>
      </c>
      <c r="C111" s="64"/>
      <c r="D111" s="69"/>
      <c r="E111" s="69"/>
      <c r="F111" s="379"/>
      <c r="G111" s="69"/>
      <c r="H111" s="69">
        <v>0</v>
      </c>
      <c r="I111" s="69"/>
      <c r="J111" s="69"/>
      <c r="K111" s="69"/>
      <c r="L111" s="69"/>
      <c r="M111" s="379"/>
      <c r="N111" s="85"/>
      <c r="O111" s="64"/>
      <c r="P111" s="69"/>
      <c r="Q111" s="69"/>
      <c r="R111" s="379"/>
      <c r="S111" s="69"/>
      <c r="T111" s="69">
        <v>0</v>
      </c>
      <c r="U111" s="69"/>
      <c r="V111" s="69"/>
      <c r="W111" s="69"/>
      <c r="X111" s="69"/>
      <c r="Y111" s="379"/>
      <c r="Z111" s="379">
        <v>0</v>
      </c>
      <c r="AA111" s="380">
        <f>SUMIFS([1]!Data_BS[Value],[1]!Data_BS[Index BS],TDP!$B111,[1]!Data_BS[TenCongTyID],TDP!$B$1,[1]!Data_BS[Thang.Nam],TDP!AA$5)</f>
        <v>0</v>
      </c>
      <c r="AB111" s="380">
        <f>SUMIFS([1]!Data_BS[Value],[1]!Data_BS[Index BS],TDP!$B111,[1]!Data_BS[TenCongTyID],TDP!$B$1,[1]!Data_BS[Thang.Nam],TDP!AB$5)</f>
        <v>0</v>
      </c>
      <c r="AC111" s="380">
        <f>SUMIFS([1]!Data_BS[Value],[1]!Data_BS[Index BS],TDP!$B111,[1]!Data_BS[TenCongTyID],TDP!$B$1,[1]!Data_BS[Thang.Nam],TDP!AC$5)</f>
        <v>0</v>
      </c>
      <c r="AD111" s="380">
        <f>SUMIFS([1]!Data_BS[Value],[1]!Data_BS[Index BS],TDP!$B111,[1]!Data_BS[TenCongTyID],TDP!$B$1,[1]!Data_BS[Thang.Nam],TDP!AD$5)</f>
        <v>0</v>
      </c>
      <c r="AE111" s="380">
        <f>SUMIFS([1]!Data_BS[Value],[1]!Data_BS[Index BS],TDP!$B111,[1]!Data_BS[TenCongTyID],TDP!$B$1,[1]!Data_BS[Thang.Nam],TDP!AE$5)</f>
        <v>0</v>
      </c>
      <c r="AF111" s="380">
        <f>SUMIFS([1]!Data_BS[Value],[1]!Data_BS[Index BS],TDP!$B111,[1]!Data_BS[TenCongTyID],TDP!$B$1,[1]!Data_BS[Thang.Nam],TDP!AF$5)</f>
        <v>0</v>
      </c>
      <c r="AG111" s="380">
        <f>SUMIFS([1]!Data_BS[Value],[1]!Data_BS[Index BS],TDP!$B111,[1]!Data_BS[TenCongTyID],TDP!$B$1,[1]!Data_BS[Thang.Nam],TDP!AG$5)</f>
        <v>0</v>
      </c>
      <c r="AH111" s="380">
        <f>SUMIFS([1]!Data_BS[Value],[1]!Data_BS[Index BS],TDP!$B111,[1]!Data_BS[TenCongTyID],TDP!$B$1,[1]!Data_BS[Thang.Nam],TDP!AH$5)</f>
        <v>0</v>
      </c>
      <c r="AI111" s="380">
        <f>SUMIFS([1]!Data_BS[Value],[1]!Data_BS[Index BS],TDP!$B111,[1]!Data_BS[TenCongTyID],TDP!$B$1,[1]!Data_BS[Thang.Nam],TDP!AI$5)</f>
        <v>0</v>
      </c>
      <c r="AJ111" s="380">
        <f>SUMIFS([1]!Data_BS[Value],[1]!Data_BS[Index BS],TDP!$B111,[1]!Data_BS[TenCongTyID],TDP!$B$1,[1]!Data_BS[Thang.Nam],TDP!AJ$5)</f>
        <v>0</v>
      </c>
      <c r="AK111" s="380">
        <f>SUMIFS([1]!Data_BS[Value],[1]!Data_BS[Index BS],TDP!$B111,[1]!Data_BS[TenCongTyID],TDP!$B$1,[1]!Data_BS[Thang.Nam],TDP!AK$5)</f>
        <v>0</v>
      </c>
      <c r="AL111" s="381">
        <f>SUMIFS([1]!Data_BS[Value],[1]!Data_BS[Index BS],TDP!$B111,[1]!Data_BS[TenCongTyID],TDP!$B$1,[1]!Data_BS[Thang.Nam],TDP!AL$5)</f>
        <v>0</v>
      </c>
    </row>
    <row r="112" spans="1:38" ht="15" hidden="1" customHeight="1" outlineLevel="1">
      <c r="A112" s="67" t="s">
        <v>196</v>
      </c>
      <c r="B112" s="63">
        <v>107</v>
      </c>
      <c r="C112" s="64"/>
      <c r="D112" s="69"/>
      <c r="E112" s="69"/>
      <c r="F112" s="379"/>
      <c r="G112" s="69"/>
      <c r="H112" s="69">
        <v>0</v>
      </c>
      <c r="I112" s="69"/>
      <c r="J112" s="69"/>
      <c r="K112" s="69"/>
      <c r="L112" s="69"/>
      <c r="M112" s="379"/>
      <c r="N112" s="85"/>
      <c r="O112" s="64"/>
      <c r="P112" s="69"/>
      <c r="Q112" s="69"/>
      <c r="R112" s="379"/>
      <c r="S112" s="69"/>
      <c r="T112" s="69">
        <v>0</v>
      </c>
      <c r="U112" s="69"/>
      <c r="V112" s="69"/>
      <c r="W112" s="69"/>
      <c r="X112" s="69"/>
      <c r="Y112" s="379"/>
      <c r="Z112" s="379">
        <v>0</v>
      </c>
      <c r="AA112" s="380">
        <f>SUMIFS([1]!Data_BS[Value],[1]!Data_BS[Index BS],TDP!$B112,[1]!Data_BS[TenCongTyID],TDP!$B$1,[1]!Data_BS[Thang.Nam],TDP!AA$5)</f>
        <v>0</v>
      </c>
      <c r="AB112" s="380">
        <f>SUMIFS([1]!Data_BS[Value],[1]!Data_BS[Index BS],TDP!$B112,[1]!Data_BS[TenCongTyID],TDP!$B$1,[1]!Data_BS[Thang.Nam],TDP!AB$5)</f>
        <v>0</v>
      </c>
      <c r="AC112" s="380">
        <f>SUMIFS([1]!Data_BS[Value],[1]!Data_BS[Index BS],TDP!$B112,[1]!Data_BS[TenCongTyID],TDP!$B$1,[1]!Data_BS[Thang.Nam],TDP!AC$5)</f>
        <v>0</v>
      </c>
      <c r="AD112" s="380">
        <f>SUMIFS([1]!Data_BS[Value],[1]!Data_BS[Index BS],TDP!$B112,[1]!Data_BS[TenCongTyID],TDP!$B$1,[1]!Data_BS[Thang.Nam],TDP!AD$5)</f>
        <v>0</v>
      </c>
      <c r="AE112" s="380">
        <f>SUMIFS([1]!Data_BS[Value],[1]!Data_BS[Index BS],TDP!$B112,[1]!Data_BS[TenCongTyID],TDP!$B$1,[1]!Data_BS[Thang.Nam],TDP!AE$5)</f>
        <v>0</v>
      </c>
      <c r="AF112" s="380">
        <f>SUMIFS([1]!Data_BS[Value],[1]!Data_BS[Index BS],TDP!$B112,[1]!Data_BS[TenCongTyID],TDP!$B$1,[1]!Data_BS[Thang.Nam],TDP!AF$5)</f>
        <v>0</v>
      </c>
      <c r="AG112" s="380">
        <f>SUMIFS([1]!Data_BS[Value],[1]!Data_BS[Index BS],TDP!$B112,[1]!Data_BS[TenCongTyID],TDP!$B$1,[1]!Data_BS[Thang.Nam],TDP!AG$5)</f>
        <v>0</v>
      </c>
      <c r="AH112" s="380">
        <f>SUMIFS([1]!Data_BS[Value],[1]!Data_BS[Index BS],TDP!$B112,[1]!Data_BS[TenCongTyID],TDP!$B$1,[1]!Data_BS[Thang.Nam],TDP!AH$5)</f>
        <v>0</v>
      </c>
      <c r="AI112" s="380">
        <f>SUMIFS([1]!Data_BS[Value],[1]!Data_BS[Index BS],TDP!$B112,[1]!Data_BS[TenCongTyID],TDP!$B$1,[1]!Data_BS[Thang.Nam],TDP!AI$5)</f>
        <v>0</v>
      </c>
      <c r="AJ112" s="380">
        <f>SUMIFS([1]!Data_BS[Value],[1]!Data_BS[Index BS],TDP!$B112,[1]!Data_BS[TenCongTyID],TDP!$B$1,[1]!Data_BS[Thang.Nam],TDP!AJ$5)</f>
        <v>0</v>
      </c>
      <c r="AK112" s="380">
        <f>SUMIFS([1]!Data_BS[Value],[1]!Data_BS[Index BS],TDP!$B112,[1]!Data_BS[TenCongTyID],TDP!$B$1,[1]!Data_BS[Thang.Nam],TDP!AK$5)</f>
        <v>0</v>
      </c>
      <c r="AL112" s="381">
        <f>SUMIFS([1]!Data_BS[Value],[1]!Data_BS[Index BS],TDP!$B112,[1]!Data_BS[TenCongTyID],TDP!$B$1,[1]!Data_BS[Thang.Nam],TDP!AL$5)</f>
        <v>0</v>
      </c>
    </row>
    <row r="113" spans="1:38" ht="15" hidden="1" customHeight="1" outlineLevel="1">
      <c r="A113" s="67" t="s">
        <v>197</v>
      </c>
      <c r="B113" s="63">
        <v>108</v>
      </c>
      <c r="C113" s="64"/>
      <c r="D113" s="69"/>
      <c r="E113" s="69"/>
      <c r="F113" s="379"/>
      <c r="G113" s="69"/>
      <c r="H113" s="69">
        <v>0</v>
      </c>
      <c r="I113" s="69"/>
      <c r="J113" s="69"/>
      <c r="K113" s="69"/>
      <c r="L113" s="69"/>
      <c r="M113" s="379"/>
      <c r="N113" s="85"/>
      <c r="O113" s="64"/>
      <c r="P113" s="69"/>
      <c r="Q113" s="69"/>
      <c r="R113" s="379"/>
      <c r="S113" s="69"/>
      <c r="T113" s="69">
        <v>0</v>
      </c>
      <c r="U113" s="69"/>
      <c r="V113" s="69"/>
      <c r="W113" s="69"/>
      <c r="X113" s="69"/>
      <c r="Y113" s="379"/>
      <c r="Z113" s="379">
        <v>0</v>
      </c>
      <c r="AA113" s="380">
        <f>SUMIFS([1]!Data_BS[Value],[1]!Data_BS[Index BS],TDP!$B113,[1]!Data_BS[TenCongTyID],TDP!$B$1,[1]!Data_BS[Thang.Nam],TDP!AA$5)</f>
        <v>0</v>
      </c>
      <c r="AB113" s="380">
        <f>SUMIFS([1]!Data_BS[Value],[1]!Data_BS[Index BS],TDP!$B113,[1]!Data_BS[TenCongTyID],TDP!$B$1,[1]!Data_BS[Thang.Nam],TDP!AB$5)</f>
        <v>0</v>
      </c>
      <c r="AC113" s="380">
        <f>SUMIFS([1]!Data_BS[Value],[1]!Data_BS[Index BS],TDP!$B113,[1]!Data_BS[TenCongTyID],TDP!$B$1,[1]!Data_BS[Thang.Nam],TDP!AC$5)</f>
        <v>0</v>
      </c>
      <c r="AD113" s="380">
        <f>SUMIFS([1]!Data_BS[Value],[1]!Data_BS[Index BS],TDP!$B113,[1]!Data_BS[TenCongTyID],TDP!$B$1,[1]!Data_BS[Thang.Nam],TDP!AD$5)</f>
        <v>0</v>
      </c>
      <c r="AE113" s="380">
        <f>SUMIFS([1]!Data_BS[Value],[1]!Data_BS[Index BS],TDP!$B113,[1]!Data_BS[TenCongTyID],TDP!$B$1,[1]!Data_BS[Thang.Nam],TDP!AE$5)</f>
        <v>0</v>
      </c>
      <c r="AF113" s="380">
        <f>SUMIFS([1]!Data_BS[Value],[1]!Data_BS[Index BS],TDP!$B113,[1]!Data_BS[TenCongTyID],TDP!$B$1,[1]!Data_BS[Thang.Nam],TDP!AF$5)</f>
        <v>0</v>
      </c>
      <c r="AG113" s="380">
        <f>SUMIFS([1]!Data_BS[Value],[1]!Data_BS[Index BS],TDP!$B113,[1]!Data_BS[TenCongTyID],TDP!$B$1,[1]!Data_BS[Thang.Nam],TDP!AG$5)</f>
        <v>0</v>
      </c>
      <c r="AH113" s="380">
        <f>SUMIFS([1]!Data_BS[Value],[1]!Data_BS[Index BS],TDP!$B113,[1]!Data_BS[TenCongTyID],TDP!$B$1,[1]!Data_BS[Thang.Nam],TDP!AH$5)</f>
        <v>0</v>
      </c>
      <c r="AI113" s="380">
        <f>SUMIFS([1]!Data_BS[Value],[1]!Data_BS[Index BS],TDP!$B113,[1]!Data_BS[TenCongTyID],TDP!$B$1,[1]!Data_BS[Thang.Nam],TDP!AI$5)</f>
        <v>0</v>
      </c>
      <c r="AJ113" s="380">
        <f>SUMIFS([1]!Data_BS[Value],[1]!Data_BS[Index BS],TDP!$B113,[1]!Data_BS[TenCongTyID],TDP!$B$1,[1]!Data_BS[Thang.Nam],TDP!AJ$5)</f>
        <v>0</v>
      </c>
      <c r="AK113" s="380">
        <f>SUMIFS([1]!Data_BS[Value],[1]!Data_BS[Index BS],TDP!$B113,[1]!Data_BS[TenCongTyID],TDP!$B$1,[1]!Data_BS[Thang.Nam],TDP!AK$5)</f>
        <v>0</v>
      </c>
      <c r="AL113" s="381">
        <f>SUMIFS([1]!Data_BS[Value],[1]!Data_BS[Index BS],TDP!$B113,[1]!Data_BS[TenCongTyID],TDP!$B$1,[1]!Data_BS[Thang.Nam],TDP!AL$5)</f>
        <v>0</v>
      </c>
    </row>
    <row r="114" spans="1:38" ht="15" hidden="1" customHeight="1" outlineLevel="1">
      <c r="A114" s="67" t="s">
        <v>198</v>
      </c>
      <c r="B114" s="63">
        <v>109</v>
      </c>
      <c r="C114" s="64"/>
      <c r="D114" s="69"/>
      <c r="E114" s="69"/>
      <c r="F114" s="379"/>
      <c r="G114" s="69"/>
      <c r="H114" s="69">
        <v>0</v>
      </c>
      <c r="I114" s="69"/>
      <c r="J114" s="69"/>
      <c r="K114" s="69"/>
      <c r="L114" s="69"/>
      <c r="M114" s="379"/>
      <c r="N114" s="85"/>
      <c r="O114" s="64"/>
      <c r="P114" s="69"/>
      <c r="Q114" s="69"/>
      <c r="R114" s="379"/>
      <c r="S114" s="69"/>
      <c r="T114" s="69">
        <v>0</v>
      </c>
      <c r="U114" s="69"/>
      <c r="V114" s="69"/>
      <c r="W114" s="69"/>
      <c r="X114" s="69"/>
      <c r="Y114" s="379"/>
      <c r="Z114" s="379">
        <v>0</v>
      </c>
      <c r="AA114" s="380">
        <f>SUMIFS([1]!Data_BS[Value],[1]!Data_BS[Index BS],TDP!$B114,[1]!Data_BS[TenCongTyID],TDP!$B$1,[1]!Data_BS[Thang.Nam],TDP!AA$5)</f>
        <v>0</v>
      </c>
      <c r="AB114" s="380">
        <f>SUMIFS([1]!Data_BS[Value],[1]!Data_BS[Index BS],TDP!$B114,[1]!Data_BS[TenCongTyID],TDP!$B$1,[1]!Data_BS[Thang.Nam],TDP!AB$5)</f>
        <v>0</v>
      </c>
      <c r="AC114" s="380">
        <f>SUMIFS([1]!Data_BS[Value],[1]!Data_BS[Index BS],TDP!$B114,[1]!Data_BS[TenCongTyID],TDP!$B$1,[1]!Data_BS[Thang.Nam],TDP!AC$5)</f>
        <v>0</v>
      </c>
      <c r="AD114" s="380">
        <f>SUMIFS([1]!Data_BS[Value],[1]!Data_BS[Index BS],TDP!$B114,[1]!Data_BS[TenCongTyID],TDP!$B$1,[1]!Data_BS[Thang.Nam],TDP!AD$5)</f>
        <v>0</v>
      </c>
      <c r="AE114" s="380">
        <f>SUMIFS([1]!Data_BS[Value],[1]!Data_BS[Index BS],TDP!$B114,[1]!Data_BS[TenCongTyID],TDP!$B$1,[1]!Data_BS[Thang.Nam],TDP!AE$5)</f>
        <v>0</v>
      </c>
      <c r="AF114" s="380">
        <f>SUMIFS([1]!Data_BS[Value],[1]!Data_BS[Index BS],TDP!$B114,[1]!Data_BS[TenCongTyID],TDP!$B$1,[1]!Data_BS[Thang.Nam],TDP!AF$5)</f>
        <v>0</v>
      </c>
      <c r="AG114" s="380">
        <f>SUMIFS([1]!Data_BS[Value],[1]!Data_BS[Index BS],TDP!$B114,[1]!Data_BS[TenCongTyID],TDP!$B$1,[1]!Data_BS[Thang.Nam],TDP!AG$5)</f>
        <v>0</v>
      </c>
      <c r="AH114" s="380">
        <f>SUMIFS([1]!Data_BS[Value],[1]!Data_BS[Index BS],TDP!$B114,[1]!Data_BS[TenCongTyID],TDP!$B$1,[1]!Data_BS[Thang.Nam],TDP!AH$5)</f>
        <v>0</v>
      </c>
      <c r="AI114" s="380">
        <f>SUMIFS([1]!Data_BS[Value],[1]!Data_BS[Index BS],TDP!$B114,[1]!Data_BS[TenCongTyID],TDP!$B$1,[1]!Data_BS[Thang.Nam],TDP!AI$5)</f>
        <v>0</v>
      </c>
      <c r="AJ114" s="380">
        <f>SUMIFS([1]!Data_BS[Value],[1]!Data_BS[Index BS],TDP!$B114,[1]!Data_BS[TenCongTyID],TDP!$B$1,[1]!Data_BS[Thang.Nam],TDP!AJ$5)</f>
        <v>0</v>
      </c>
      <c r="AK114" s="380">
        <f>SUMIFS([1]!Data_BS[Value],[1]!Data_BS[Index BS],TDP!$B114,[1]!Data_BS[TenCongTyID],TDP!$B$1,[1]!Data_BS[Thang.Nam],TDP!AK$5)</f>
        <v>0</v>
      </c>
      <c r="AL114" s="381">
        <f>SUMIFS([1]!Data_BS[Value],[1]!Data_BS[Index BS],TDP!$B114,[1]!Data_BS[TenCongTyID],TDP!$B$1,[1]!Data_BS[Thang.Nam],TDP!AL$5)</f>
        <v>0</v>
      </c>
    </row>
    <row r="115" spans="1:38" ht="15" hidden="1" customHeight="1" outlineLevel="1">
      <c r="A115" s="67" t="s">
        <v>199</v>
      </c>
      <c r="B115" s="63">
        <v>110</v>
      </c>
      <c r="C115" s="64"/>
      <c r="D115" s="69"/>
      <c r="E115" s="69"/>
      <c r="F115" s="379"/>
      <c r="G115" s="69"/>
      <c r="H115" s="69">
        <v>0</v>
      </c>
      <c r="I115" s="69"/>
      <c r="J115" s="69"/>
      <c r="K115" s="69"/>
      <c r="L115" s="69"/>
      <c r="M115" s="379"/>
      <c r="N115" s="85"/>
      <c r="O115" s="64"/>
      <c r="P115" s="69"/>
      <c r="Q115" s="69"/>
      <c r="R115" s="379"/>
      <c r="S115" s="69"/>
      <c r="T115" s="69">
        <v>0</v>
      </c>
      <c r="U115" s="69"/>
      <c r="V115" s="69"/>
      <c r="W115" s="69"/>
      <c r="X115" s="69"/>
      <c r="Y115" s="379"/>
      <c r="Z115" s="379">
        <v>0</v>
      </c>
      <c r="AA115" s="380">
        <f>SUMIFS([1]!Data_BS[Value],[1]!Data_BS[Index BS],TDP!$B115,[1]!Data_BS[TenCongTyID],TDP!$B$1,[1]!Data_BS[Thang.Nam],TDP!AA$5)</f>
        <v>0</v>
      </c>
      <c r="AB115" s="380">
        <f>SUMIFS([1]!Data_BS[Value],[1]!Data_BS[Index BS],TDP!$B115,[1]!Data_BS[TenCongTyID],TDP!$B$1,[1]!Data_BS[Thang.Nam],TDP!AB$5)</f>
        <v>0</v>
      </c>
      <c r="AC115" s="380">
        <f>SUMIFS([1]!Data_BS[Value],[1]!Data_BS[Index BS],TDP!$B115,[1]!Data_BS[TenCongTyID],TDP!$B$1,[1]!Data_BS[Thang.Nam],TDP!AC$5)</f>
        <v>0</v>
      </c>
      <c r="AD115" s="380">
        <f>SUMIFS([1]!Data_BS[Value],[1]!Data_BS[Index BS],TDP!$B115,[1]!Data_BS[TenCongTyID],TDP!$B$1,[1]!Data_BS[Thang.Nam],TDP!AD$5)</f>
        <v>0</v>
      </c>
      <c r="AE115" s="380">
        <f>SUMIFS([1]!Data_BS[Value],[1]!Data_BS[Index BS],TDP!$B115,[1]!Data_BS[TenCongTyID],TDP!$B$1,[1]!Data_BS[Thang.Nam],TDP!AE$5)</f>
        <v>0</v>
      </c>
      <c r="AF115" s="380">
        <f>SUMIFS([1]!Data_BS[Value],[1]!Data_BS[Index BS],TDP!$B115,[1]!Data_BS[TenCongTyID],TDP!$B$1,[1]!Data_BS[Thang.Nam],TDP!AF$5)</f>
        <v>0</v>
      </c>
      <c r="AG115" s="380">
        <f>SUMIFS([1]!Data_BS[Value],[1]!Data_BS[Index BS],TDP!$B115,[1]!Data_BS[TenCongTyID],TDP!$B$1,[1]!Data_BS[Thang.Nam],TDP!AG$5)</f>
        <v>0</v>
      </c>
      <c r="AH115" s="380">
        <f>SUMIFS([1]!Data_BS[Value],[1]!Data_BS[Index BS],TDP!$B115,[1]!Data_BS[TenCongTyID],TDP!$B$1,[1]!Data_BS[Thang.Nam],TDP!AH$5)</f>
        <v>0</v>
      </c>
      <c r="AI115" s="380">
        <f>SUMIFS([1]!Data_BS[Value],[1]!Data_BS[Index BS],TDP!$B115,[1]!Data_BS[TenCongTyID],TDP!$B$1,[1]!Data_BS[Thang.Nam],TDP!AI$5)</f>
        <v>0</v>
      </c>
      <c r="AJ115" s="380">
        <f>SUMIFS([1]!Data_BS[Value],[1]!Data_BS[Index BS],TDP!$B115,[1]!Data_BS[TenCongTyID],TDP!$B$1,[1]!Data_BS[Thang.Nam],TDP!AJ$5)</f>
        <v>0</v>
      </c>
      <c r="AK115" s="380">
        <f>SUMIFS([1]!Data_BS[Value],[1]!Data_BS[Index BS],TDP!$B115,[1]!Data_BS[TenCongTyID],TDP!$B$1,[1]!Data_BS[Thang.Nam],TDP!AK$5)</f>
        <v>0</v>
      </c>
      <c r="AL115" s="381">
        <f>SUMIFS([1]!Data_BS[Value],[1]!Data_BS[Index BS],TDP!$B115,[1]!Data_BS[TenCongTyID],TDP!$B$1,[1]!Data_BS[Thang.Nam],TDP!AL$5)</f>
        <v>0</v>
      </c>
    </row>
    <row r="116" spans="1:38" ht="15" hidden="1" customHeight="1" outlineLevel="1">
      <c r="A116" s="56" t="s">
        <v>200</v>
      </c>
      <c r="B116" s="71">
        <v>111</v>
      </c>
      <c r="C116" s="58">
        <v>0</v>
      </c>
      <c r="D116" s="370">
        <v>0</v>
      </c>
      <c r="E116" s="370">
        <v>0</v>
      </c>
      <c r="F116" s="371">
        <v>0</v>
      </c>
      <c r="G116" s="370">
        <v>0</v>
      </c>
      <c r="H116" s="370">
        <v>0</v>
      </c>
      <c r="I116" s="370">
        <v>0</v>
      </c>
      <c r="J116" s="370">
        <v>-400000</v>
      </c>
      <c r="K116" s="370">
        <v>-15435354</v>
      </c>
      <c r="L116" s="370">
        <v>-630470708</v>
      </c>
      <c r="M116" s="371">
        <v>18754493938</v>
      </c>
      <c r="N116" s="398">
        <v>18138915464</v>
      </c>
      <c r="O116" s="58">
        <v>18120338429</v>
      </c>
      <c r="P116" s="370">
        <v>16904761013</v>
      </c>
      <c r="Q116" s="370">
        <v>16289182889</v>
      </c>
      <c r="R116" s="371">
        <v>15676421668</v>
      </c>
      <c r="S116" s="370">
        <v>15060841883</v>
      </c>
      <c r="T116" s="370">
        <v>14444263853</v>
      </c>
      <c r="U116" s="370">
        <v>13843415817</v>
      </c>
      <c r="V116" s="370">
        <v>13242838004</v>
      </c>
      <c r="W116" s="370">
        <v>12642254819</v>
      </c>
      <c r="X116" s="370">
        <v>12041671027</v>
      </c>
      <c r="Y116" s="371">
        <v>11448144800</v>
      </c>
      <c r="Z116" s="371">
        <v>10847561060</v>
      </c>
      <c r="AA116" s="373">
        <f>SUMIFS([1]!Data_BS[Value],[1]!Data_BS[Index BS],TDP!$B116,[1]!Data_BS[TenCongTyID],TDP!$B$1,[1]!Data_BS[Thang.Nam],TDP!AA$5)</f>
        <v>0</v>
      </c>
      <c r="AB116" s="373">
        <f>SUMIFS([1]!Data_BS[Value],[1]!Data_BS[Index BS],TDP!$B116,[1]!Data_BS[TenCongTyID],TDP!$B$1,[1]!Data_BS[Thang.Nam],TDP!AB$5)</f>
        <v>0</v>
      </c>
      <c r="AC116" s="373">
        <f>SUMIFS([1]!Data_BS[Value],[1]!Data_BS[Index BS],TDP!$B116,[1]!Data_BS[TenCongTyID],TDP!$B$1,[1]!Data_BS[Thang.Nam],TDP!AC$5)</f>
        <v>0</v>
      </c>
      <c r="AD116" s="373">
        <f>SUMIFS([1]!Data_BS[Value],[1]!Data_BS[Index BS],TDP!$B116,[1]!Data_BS[TenCongTyID],TDP!$B$1,[1]!Data_BS[Thang.Nam],TDP!AD$5)</f>
        <v>0</v>
      </c>
      <c r="AE116" s="373">
        <f>SUMIFS([1]!Data_BS[Value],[1]!Data_BS[Index BS],TDP!$B116,[1]!Data_BS[TenCongTyID],TDP!$B$1,[1]!Data_BS[Thang.Nam],TDP!AE$5)</f>
        <v>0</v>
      </c>
      <c r="AF116" s="373">
        <f>SUMIFS([1]!Data_BS[Value],[1]!Data_BS[Index BS],TDP!$B116,[1]!Data_BS[TenCongTyID],TDP!$B$1,[1]!Data_BS[Thang.Nam],TDP!AF$5)</f>
        <v>0</v>
      </c>
      <c r="AG116" s="373">
        <f>SUMIFS([1]!Data_BS[Value],[1]!Data_BS[Index BS],TDP!$B116,[1]!Data_BS[TenCongTyID],TDP!$B$1,[1]!Data_BS[Thang.Nam],TDP!AG$5)</f>
        <v>0</v>
      </c>
      <c r="AH116" s="373">
        <f>SUMIFS([1]!Data_BS[Value],[1]!Data_BS[Index BS],TDP!$B116,[1]!Data_BS[TenCongTyID],TDP!$B$1,[1]!Data_BS[Thang.Nam],TDP!AH$5)</f>
        <v>0</v>
      </c>
      <c r="AI116" s="373">
        <f>SUMIFS([1]!Data_BS[Value],[1]!Data_BS[Index BS],TDP!$B116,[1]!Data_BS[TenCongTyID],TDP!$B$1,[1]!Data_BS[Thang.Nam],TDP!AI$5)</f>
        <v>0</v>
      </c>
      <c r="AJ116" s="373">
        <f>SUMIFS([1]!Data_BS[Value],[1]!Data_BS[Index BS],TDP!$B116,[1]!Data_BS[TenCongTyID],TDP!$B$1,[1]!Data_BS[Thang.Nam],TDP!AJ$5)</f>
        <v>0</v>
      </c>
      <c r="AK116" s="373">
        <f>SUMIFS([1]!Data_BS[Value],[1]!Data_BS[Index BS],TDP!$B116,[1]!Data_BS[TenCongTyID],TDP!$B$1,[1]!Data_BS[Thang.Nam],TDP!AK$5)</f>
        <v>0</v>
      </c>
      <c r="AL116" s="374">
        <f>SUMIFS([1]!Data_BS[Value],[1]!Data_BS[Index BS],TDP!$B116,[1]!Data_BS[TenCongTyID],TDP!$B$1,[1]!Data_BS[Thang.Nam],TDP!AL$5)</f>
        <v>0</v>
      </c>
    </row>
    <row r="117" spans="1:38" ht="15" hidden="1" customHeight="1" outlineLevel="1">
      <c r="A117" s="67" t="s">
        <v>201</v>
      </c>
      <c r="B117" s="63">
        <v>112</v>
      </c>
      <c r="C117" s="64">
        <f t="shared" ref="C117:I117" si="7">C118+C119</f>
        <v>0</v>
      </c>
      <c r="D117" s="69">
        <f t="shared" si="7"/>
        <v>0</v>
      </c>
      <c r="E117" s="69">
        <f t="shared" si="7"/>
        <v>0</v>
      </c>
      <c r="F117" s="69">
        <f t="shared" si="7"/>
        <v>0</v>
      </c>
      <c r="G117" s="69">
        <f t="shared" si="7"/>
        <v>0</v>
      </c>
      <c r="H117" s="69">
        <f t="shared" si="7"/>
        <v>0</v>
      </c>
      <c r="I117" s="69">
        <f t="shared" si="7"/>
        <v>0</v>
      </c>
      <c r="J117" s="69">
        <v>0</v>
      </c>
      <c r="K117" s="69">
        <v>0</v>
      </c>
      <c r="L117" s="69">
        <v>0</v>
      </c>
      <c r="M117" s="69">
        <v>20000000000</v>
      </c>
      <c r="N117" s="69">
        <v>20000000000</v>
      </c>
      <c r="O117" s="64">
        <v>20000000000</v>
      </c>
      <c r="P117" s="69">
        <v>20000000000</v>
      </c>
      <c r="Q117" s="69">
        <v>20000000000</v>
      </c>
      <c r="R117" s="69">
        <v>20000000000</v>
      </c>
      <c r="S117" s="69">
        <v>20000000000</v>
      </c>
      <c r="T117" s="69">
        <v>20000000000</v>
      </c>
      <c r="U117" s="69">
        <v>20000000000</v>
      </c>
      <c r="V117" s="69">
        <v>20000000000</v>
      </c>
      <c r="W117" s="69">
        <v>20000000000</v>
      </c>
      <c r="X117" s="69">
        <v>20000000000</v>
      </c>
      <c r="Y117" s="69">
        <v>20000000000</v>
      </c>
      <c r="Z117" s="69">
        <v>20000000000</v>
      </c>
      <c r="AA117" s="384">
        <f>SUMIFS([1]!Data_BS[Value],[1]!Data_BS[Index BS],TDP!$B117,[1]!Data_BS[TenCongTyID],TDP!$B$1,[1]!Data_BS[Thang.Nam],TDP!AA$5)</f>
        <v>0</v>
      </c>
      <c r="AB117" s="384">
        <f>SUMIFS([1]!Data_BS[Value],[1]!Data_BS[Index BS],TDP!$B117,[1]!Data_BS[TenCongTyID],TDP!$B$1,[1]!Data_BS[Thang.Nam],TDP!AB$5)</f>
        <v>0</v>
      </c>
      <c r="AC117" s="384">
        <f>SUMIFS([1]!Data_BS[Value],[1]!Data_BS[Index BS],TDP!$B117,[1]!Data_BS[TenCongTyID],TDP!$B$1,[1]!Data_BS[Thang.Nam],TDP!AC$5)</f>
        <v>0</v>
      </c>
      <c r="AD117" s="384">
        <f>SUMIFS([1]!Data_BS[Value],[1]!Data_BS[Index BS],TDP!$B117,[1]!Data_BS[TenCongTyID],TDP!$B$1,[1]!Data_BS[Thang.Nam],TDP!AD$5)</f>
        <v>0</v>
      </c>
      <c r="AE117" s="384">
        <f>SUMIFS([1]!Data_BS[Value],[1]!Data_BS[Index BS],TDP!$B117,[1]!Data_BS[TenCongTyID],TDP!$B$1,[1]!Data_BS[Thang.Nam],TDP!AE$5)</f>
        <v>0</v>
      </c>
      <c r="AF117" s="384">
        <f>SUMIFS([1]!Data_BS[Value],[1]!Data_BS[Index BS],TDP!$B117,[1]!Data_BS[TenCongTyID],TDP!$B$1,[1]!Data_BS[Thang.Nam],TDP!AF$5)</f>
        <v>0</v>
      </c>
      <c r="AG117" s="384">
        <f>SUMIFS([1]!Data_BS[Value],[1]!Data_BS[Index BS],TDP!$B117,[1]!Data_BS[TenCongTyID],TDP!$B$1,[1]!Data_BS[Thang.Nam],TDP!AG$5)</f>
        <v>0</v>
      </c>
      <c r="AH117" s="384">
        <f>SUMIFS([1]!Data_BS[Value],[1]!Data_BS[Index BS],TDP!$B117,[1]!Data_BS[TenCongTyID],TDP!$B$1,[1]!Data_BS[Thang.Nam],TDP!AH$5)</f>
        <v>0</v>
      </c>
      <c r="AI117" s="384">
        <f>SUMIFS([1]!Data_BS[Value],[1]!Data_BS[Index BS],TDP!$B117,[1]!Data_BS[TenCongTyID],TDP!$B$1,[1]!Data_BS[Thang.Nam],TDP!AI$5)</f>
        <v>0</v>
      </c>
      <c r="AJ117" s="384">
        <f>SUMIFS([1]!Data_BS[Value],[1]!Data_BS[Index BS],TDP!$B117,[1]!Data_BS[TenCongTyID],TDP!$B$1,[1]!Data_BS[Thang.Nam],TDP!AJ$5)</f>
        <v>0</v>
      </c>
      <c r="AK117" s="384">
        <f>SUMIFS([1]!Data_BS[Value],[1]!Data_BS[Index BS],TDP!$B117,[1]!Data_BS[TenCongTyID],TDP!$B$1,[1]!Data_BS[Thang.Nam],TDP!AK$5)</f>
        <v>0</v>
      </c>
      <c r="AL117" s="385">
        <f>SUMIFS([1]!Data_BS[Value],[1]!Data_BS[Index BS],TDP!$B117,[1]!Data_BS[TenCongTyID],TDP!$B$1,[1]!Data_BS[Thang.Nam],TDP!AL$5)</f>
        <v>0</v>
      </c>
    </row>
    <row r="118" spans="1:38" ht="15" hidden="1" customHeight="1" outlineLevel="1">
      <c r="A118" s="67" t="s">
        <v>202</v>
      </c>
      <c r="B118" s="63">
        <v>113</v>
      </c>
      <c r="C118" s="85"/>
      <c r="D118" s="85"/>
      <c r="E118" s="69"/>
      <c r="F118" s="69"/>
      <c r="G118" s="69"/>
      <c r="H118" s="69"/>
      <c r="I118" s="69"/>
      <c r="J118" s="69"/>
      <c r="K118" s="69"/>
      <c r="L118" s="69"/>
      <c r="M118" s="379">
        <v>20000000000</v>
      </c>
      <c r="N118" s="85">
        <v>20000000000</v>
      </c>
      <c r="O118" s="85">
        <v>20000000000</v>
      </c>
      <c r="P118" s="85">
        <v>20000000000</v>
      </c>
      <c r="Q118" s="69">
        <v>20000000000</v>
      </c>
      <c r="R118" s="69">
        <v>20000000000</v>
      </c>
      <c r="S118" s="69">
        <v>20000000000</v>
      </c>
      <c r="T118" s="69">
        <v>20000000000</v>
      </c>
      <c r="U118" s="69">
        <v>20000000000</v>
      </c>
      <c r="V118" s="69">
        <v>20000000000</v>
      </c>
      <c r="W118" s="69">
        <v>20000000000</v>
      </c>
      <c r="X118" s="69">
        <v>20000000000</v>
      </c>
      <c r="Y118" s="379">
        <v>20000000000</v>
      </c>
      <c r="Z118" s="379">
        <v>20000000000</v>
      </c>
      <c r="AA118" s="380">
        <f>SUMIFS([1]!Data_BS[Value],[1]!Data_BS[Index BS],TDP!$B118,[1]!Data_BS[TenCongTyID],TDP!$B$1,[1]!Data_BS[Thang.Nam],TDP!AA$5)</f>
        <v>0</v>
      </c>
      <c r="AB118" s="380">
        <f>SUMIFS([1]!Data_BS[Value],[1]!Data_BS[Index BS],TDP!$B118,[1]!Data_BS[TenCongTyID],TDP!$B$1,[1]!Data_BS[Thang.Nam],TDP!AB$5)</f>
        <v>0</v>
      </c>
      <c r="AC118" s="380">
        <f>SUMIFS([1]!Data_BS[Value],[1]!Data_BS[Index BS],TDP!$B118,[1]!Data_BS[TenCongTyID],TDP!$B$1,[1]!Data_BS[Thang.Nam],TDP!AC$5)</f>
        <v>0</v>
      </c>
      <c r="AD118" s="380">
        <f>SUMIFS([1]!Data_BS[Value],[1]!Data_BS[Index BS],TDP!$B118,[1]!Data_BS[TenCongTyID],TDP!$B$1,[1]!Data_BS[Thang.Nam],TDP!AD$5)</f>
        <v>0</v>
      </c>
      <c r="AE118" s="380">
        <f>SUMIFS([1]!Data_BS[Value],[1]!Data_BS[Index BS],TDP!$B118,[1]!Data_BS[TenCongTyID],TDP!$B$1,[1]!Data_BS[Thang.Nam],TDP!AE$5)</f>
        <v>0</v>
      </c>
      <c r="AF118" s="380">
        <f>SUMIFS([1]!Data_BS[Value],[1]!Data_BS[Index BS],TDP!$B118,[1]!Data_BS[TenCongTyID],TDP!$B$1,[1]!Data_BS[Thang.Nam],TDP!AF$5)</f>
        <v>0</v>
      </c>
      <c r="AG118" s="380">
        <f>SUMIFS([1]!Data_BS[Value],[1]!Data_BS[Index BS],TDP!$B118,[1]!Data_BS[TenCongTyID],TDP!$B$1,[1]!Data_BS[Thang.Nam],TDP!AG$5)</f>
        <v>0</v>
      </c>
      <c r="AH118" s="380">
        <f>SUMIFS([1]!Data_BS[Value],[1]!Data_BS[Index BS],TDP!$B118,[1]!Data_BS[TenCongTyID],TDP!$B$1,[1]!Data_BS[Thang.Nam],TDP!AH$5)</f>
        <v>0</v>
      </c>
      <c r="AI118" s="380">
        <f>SUMIFS([1]!Data_BS[Value],[1]!Data_BS[Index BS],TDP!$B118,[1]!Data_BS[TenCongTyID],TDP!$B$1,[1]!Data_BS[Thang.Nam],TDP!AI$5)</f>
        <v>0</v>
      </c>
      <c r="AJ118" s="380">
        <f>SUMIFS([1]!Data_BS[Value],[1]!Data_BS[Index BS],TDP!$B118,[1]!Data_BS[TenCongTyID],TDP!$B$1,[1]!Data_BS[Thang.Nam],TDP!AJ$5)</f>
        <v>0</v>
      </c>
      <c r="AK118" s="380">
        <f>SUMIFS([1]!Data_BS[Value],[1]!Data_BS[Index BS],TDP!$B118,[1]!Data_BS[TenCongTyID],TDP!$B$1,[1]!Data_BS[Thang.Nam],TDP!AK$5)</f>
        <v>0</v>
      </c>
      <c r="AL118" s="381">
        <f>SUMIFS([1]!Data_BS[Value],[1]!Data_BS[Index BS],TDP!$B118,[1]!Data_BS[TenCongTyID],TDP!$B$1,[1]!Data_BS[Thang.Nam],TDP!AL$5)</f>
        <v>0</v>
      </c>
    </row>
    <row r="119" spans="1:38" ht="15" hidden="1" customHeight="1" outlineLevel="1">
      <c r="A119" s="67" t="s">
        <v>203</v>
      </c>
      <c r="B119" s="63">
        <v>114</v>
      </c>
      <c r="C119" s="64"/>
      <c r="D119" s="69"/>
      <c r="E119" s="69"/>
      <c r="F119" s="379"/>
      <c r="G119" s="69"/>
      <c r="H119" s="69">
        <v>0</v>
      </c>
      <c r="I119" s="69"/>
      <c r="J119" s="69"/>
      <c r="K119" s="69"/>
      <c r="L119" s="69"/>
      <c r="M119" s="379"/>
      <c r="N119" s="85"/>
      <c r="O119" s="64"/>
      <c r="P119" s="69"/>
      <c r="Q119" s="69"/>
      <c r="R119" s="379"/>
      <c r="S119" s="69"/>
      <c r="T119" s="69">
        <v>0</v>
      </c>
      <c r="U119" s="69"/>
      <c r="V119" s="69"/>
      <c r="W119" s="69"/>
      <c r="X119" s="69"/>
      <c r="Y119" s="379"/>
      <c r="Z119" s="379">
        <v>0</v>
      </c>
      <c r="AA119" s="380">
        <f>SUMIFS([1]!Data_BS[Value],[1]!Data_BS[Index BS],TDP!$B119,[1]!Data_BS[TenCongTyID],TDP!$B$1,[1]!Data_BS[Thang.Nam],TDP!AA$5)</f>
        <v>0</v>
      </c>
      <c r="AB119" s="380">
        <f>SUMIFS([1]!Data_BS[Value],[1]!Data_BS[Index BS],TDP!$B119,[1]!Data_BS[TenCongTyID],TDP!$B$1,[1]!Data_BS[Thang.Nam],TDP!AB$5)</f>
        <v>0</v>
      </c>
      <c r="AC119" s="380">
        <f>SUMIFS([1]!Data_BS[Value],[1]!Data_BS[Index BS],TDP!$B119,[1]!Data_BS[TenCongTyID],TDP!$B$1,[1]!Data_BS[Thang.Nam],TDP!AC$5)</f>
        <v>0</v>
      </c>
      <c r="AD119" s="380">
        <f>SUMIFS([1]!Data_BS[Value],[1]!Data_BS[Index BS],TDP!$B119,[1]!Data_BS[TenCongTyID],TDP!$B$1,[1]!Data_BS[Thang.Nam],TDP!AD$5)</f>
        <v>0</v>
      </c>
      <c r="AE119" s="380">
        <f>SUMIFS([1]!Data_BS[Value],[1]!Data_BS[Index BS],TDP!$B119,[1]!Data_BS[TenCongTyID],TDP!$B$1,[1]!Data_BS[Thang.Nam],TDP!AE$5)</f>
        <v>0</v>
      </c>
      <c r="AF119" s="380">
        <f>SUMIFS([1]!Data_BS[Value],[1]!Data_BS[Index BS],TDP!$B119,[1]!Data_BS[TenCongTyID],TDP!$B$1,[1]!Data_BS[Thang.Nam],TDP!AF$5)</f>
        <v>0</v>
      </c>
      <c r="AG119" s="380">
        <f>SUMIFS([1]!Data_BS[Value],[1]!Data_BS[Index BS],TDP!$B119,[1]!Data_BS[TenCongTyID],TDP!$B$1,[1]!Data_BS[Thang.Nam],TDP!AG$5)</f>
        <v>0</v>
      </c>
      <c r="AH119" s="380">
        <f>SUMIFS([1]!Data_BS[Value],[1]!Data_BS[Index BS],TDP!$B119,[1]!Data_BS[TenCongTyID],TDP!$B$1,[1]!Data_BS[Thang.Nam],TDP!AH$5)</f>
        <v>0</v>
      </c>
      <c r="AI119" s="380">
        <f>SUMIFS([1]!Data_BS[Value],[1]!Data_BS[Index BS],TDP!$B119,[1]!Data_BS[TenCongTyID],TDP!$B$1,[1]!Data_BS[Thang.Nam],TDP!AI$5)</f>
        <v>0</v>
      </c>
      <c r="AJ119" s="380">
        <f>SUMIFS([1]!Data_BS[Value],[1]!Data_BS[Index BS],TDP!$B119,[1]!Data_BS[TenCongTyID],TDP!$B$1,[1]!Data_BS[Thang.Nam],TDP!AJ$5)</f>
        <v>0</v>
      </c>
      <c r="AK119" s="380">
        <f>SUMIFS([1]!Data_BS[Value],[1]!Data_BS[Index BS],TDP!$B119,[1]!Data_BS[TenCongTyID],TDP!$B$1,[1]!Data_BS[Thang.Nam],TDP!AK$5)</f>
        <v>0</v>
      </c>
      <c r="AL119" s="381">
        <f>SUMIFS([1]!Data_BS[Value],[1]!Data_BS[Index BS],TDP!$B119,[1]!Data_BS[TenCongTyID],TDP!$B$1,[1]!Data_BS[Thang.Nam],TDP!AL$5)</f>
        <v>0</v>
      </c>
    </row>
    <row r="120" spans="1:38" ht="15" hidden="1" customHeight="1" outlineLevel="1">
      <c r="A120" s="67" t="s">
        <v>204</v>
      </c>
      <c r="B120" s="63">
        <v>115</v>
      </c>
      <c r="C120" s="64"/>
      <c r="D120" s="69"/>
      <c r="E120" s="69"/>
      <c r="F120" s="379"/>
      <c r="G120" s="69"/>
      <c r="H120" s="69">
        <v>0</v>
      </c>
      <c r="I120" s="69"/>
      <c r="J120" s="69"/>
      <c r="K120" s="69"/>
      <c r="L120" s="69"/>
      <c r="M120" s="379"/>
      <c r="N120" s="85"/>
      <c r="O120" s="64"/>
      <c r="P120" s="69"/>
      <c r="Q120" s="69"/>
      <c r="R120" s="379"/>
      <c r="S120" s="69"/>
      <c r="T120" s="69">
        <v>0</v>
      </c>
      <c r="U120" s="69"/>
      <c r="V120" s="69"/>
      <c r="W120" s="69"/>
      <c r="X120" s="69"/>
      <c r="Y120" s="379"/>
      <c r="Z120" s="379">
        <v>0</v>
      </c>
      <c r="AA120" s="380">
        <f>SUMIFS([1]!Data_BS[Value],[1]!Data_BS[Index BS],TDP!$B120,[1]!Data_BS[TenCongTyID],TDP!$B$1,[1]!Data_BS[Thang.Nam],TDP!AA$5)</f>
        <v>0</v>
      </c>
      <c r="AB120" s="380">
        <f>SUMIFS([1]!Data_BS[Value],[1]!Data_BS[Index BS],TDP!$B120,[1]!Data_BS[TenCongTyID],TDP!$B$1,[1]!Data_BS[Thang.Nam],TDP!AB$5)</f>
        <v>0</v>
      </c>
      <c r="AC120" s="380">
        <f>SUMIFS([1]!Data_BS[Value],[1]!Data_BS[Index BS],TDP!$B120,[1]!Data_BS[TenCongTyID],TDP!$B$1,[1]!Data_BS[Thang.Nam],TDP!AC$5)</f>
        <v>0</v>
      </c>
      <c r="AD120" s="380">
        <f>SUMIFS([1]!Data_BS[Value],[1]!Data_BS[Index BS],TDP!$B120,[1]!Data_BS[TenCongTyID],TDP!$B$1,[1]!Data_BS[Thang.Nam],TDP!AD$5)</f>
        <v>0</v>
      </c>
      <c r="AE120" s="380">
        <f>SUMIFS([1]!Data_BS[Value],[1]!Data_BS[Index BS],TDP!$B120,[1]!Data_BS[TenCongTyID],TDP!$B$1,[1]!Data_BS[Thang.Nam],TDP!AE$5)</f>
        <v>0</v>
      </c>
      <c r="AF120" s="380">
        <f>SUMIFS([1]!Data_BS[Value],[1]!Data_BS[Index BS],TDP!$B120,[1]!Data_BS[TenCongTyID],TDP!$B$1,[1]!Data_BS[Thang.Nam],TDP!AF$5)</f>
        <v>0</v>
      </c>
      <c r="AG120" s="380">
        <f>SUMIFS([1]!Data_BS[Value],[1]!Data_BS[Index BS],TDP!$B120,[1]!Data_BS[TenCongTyID],TDP!$B$1,[1]!Data_BS[Thang.Nam],TDP!AG$5)</f>
        <v>0</v>
      </c>
      <c r="AH120" s="380">
        <f>SUMIFS([1]!Data_BS[Value],[1]!Data_BS[Index BS],TDP!$B120,[1]!Data_BS[TenCongTyID],TDP!$B$1,[1]!Data_BS[Thang.Nam],TDP!AH$5)</f>
        <v>0</v>
      </c>
      <c r="AI120" s="380">
        <f>SUMIFS([1]!Data_BS[Value],[1]!Data_BS[Index BS],TDP!$B120,[1]!Data_BS[TenCongTyID],TDP!$B$1,[1]!Data_BS[Thang.Nam],TDP!AI$5)</f>
        <v>0</v>
      </c>
      <c r="AJ120" s="380">
        <f>SUMIFS([1]!Data_BS[Value],[1]!Data_BS[Index BS],TDP!$B120,[1]!Data_BS[TenCongTyID],TDP!$B$1,[1]!Data_BS[Thang.Nam],TDP!AJ$5)</f>
        <v>0</v>
      </c>
      <c r="AK120" s="380">
        <f>SUMIFS([1]!Data_BS[Value],[1]!Data_BS[Index BS],TDP!$B120,[1]!Data_BS[TenCongTyID],TDP!$B$1,[1]!Data_BS[Thang.Nam],TDP!AK$5)</f>
        <v>0</v>
      </c>
      <c r="AL120" s="381">
        <f>SUMIFS([1]!Data_BS[Value],[1]!Data_BS[Index BS],TDP!$B120,[1]!Data_BS[TenCongTyID],TDP!$B$1,[1]!Data_BS[Thang.Nam],TDP!AL$5)</f>
        <v>0</v>
      </c>
    </row>
    <row r="121" spans="1:38" ht="15" hidden="1" customHeight="1" outlineLevel="1">
      <c r="A121" s="67" t="s">
        <v>205</v>
      </c>
      <c r="B121" s="63">
        <v>116</v>
      </c>
      <c r="C121" s="64"/>
      <c r="D121" s="69"/>
      <c r="E121" s="69"/>
      <c r="F121" s="379"/>
      <c r="G121" s="69"/>
      <c r="H121" s="69">
        <v>0</v>
      </c>
      <c r="I121" s="69"/>
      <c r="J121" s="69"/>
      <c r="K121" s="69"/>
      <c r="L121" s="69"/>
      <c r="M121" s="379"/>
      <c r="N121" s="85"/>
      <c r="O121" s="64"/>
      <c r="P121" s="69"/>
      <c r="Q121" s="69"/>
      <c r="R121" s="379"/>
      <c r="S121" s="69"/>
      <c r="T121" s="69">
        <v>0</v>
      </c>
      <c r="U121" s="69"/>
      <c r="V121" s="69"/>
      <c r="W121" s="69"/>
      <c r="X121" s="69"/>
      <c r="Y121" s="379"/>
      <c r="Z121" s="379">
        <v>0</v>
      </c>
      <c r="AA121" s="380">
        <f>SUMIFS([1]!Data_BS[Value],[1]!Data_BS[Index BS],TDP!$B121,[1]!Data_BS[TenCongTyID],TDP!$B$1,[1]!Data_BS[Thang.Nam],TDP!AA$5)</f>
        <v>0</v>
      </c>
      <c r="AB121" s="380">
        <f>SUMIFS([1]!Data_BS[Value],[1]!Data_BS[Index BS],TDP!$B121,[1]!Data_BS[TenCongTyID],TDP!$B$1,[1]!Data_BS[Thang.Nam],TDP!AB$5)</f>
        <v>0</v>
      </c>
      <c r="AC121" s="380">
        <f>SUMIFS([1]!Data_BS[Value],[1]!Data_BS[Index BS],TDP!$B121,[1]!Data_BS[TenCongTyID],TDP!$B$1,[1]!Data_BS[Thang.Nam],TDP!AC$5)</f>
        <v>0</v>
      </c>
      <c r="AD121" s="380">
        <f>SUMIFS([1]!Data_BS[Value],[1]!Data_BS[Index BS],TDP!$B121,[1]!Data_BS[TenCongTyID],TDP!$B$1,[1]!Data_BS[Thang.Nam],TDP!AD$5)</f>
        <v>0</v>
      </c>
      <c r="AE121" s="380">
        <f>SUMIFS([1]!Data_BS[Value],[1]!Data_BS[Index BS],TDP!$B121,[1]!Data_BS[TenCongTyID],TDP!$B$1,[1]!Data_BS[Thang.Nam],TDP!AE$5)</f>
        <v>0</v>
      </c>
      <c r="AF121" s="380">
        <f>SUMIFS([1]!Data_BS[Value],[1]!Data_BS[Index BS],TDP!$B121,[1]!Data_BS[TenCongTyID],TDP!$B$1,[1]!Data_BS[Thang.Nam],TDP!AF$5)</f>
        <v>0</v>
      </c>
      <c r="AG121" s="380">
        <f>SUMIFS([1]!Data_BS[Value],[1]!Data_BS[Index BS],TDP!$B121,[1]!Data_BS[TenCongTyID],TDP!$B$1,[1]!Data_BS[Thang.Nam],TDP!AG$5)</f>
        <v>0</v>
      </c>
      <c r="AH121" s="380">
        <f>SUMIFS([1]!Data_BS[Value],[1]!Data_BS[Index BS],TDP!$B121,[1]!Data_BS[TenCongTyID],TDP!$B$1,[1]!Data_BS[Thang.Nam],TDP!AH$5)</f>
        <v>0</v>
      </c>
      <c r="AI121" s="380">
        <f>SUMIFS([1]!Data_BS[Value],[1]!Data_BS[Index BS],TDP!$B121,[1]!Data_BS[TenCongTyID],TDP!$B$1,[1]!Data_BS[Thang.Nam],TDP!AI$5)</f>
        <v>0</v>
      </c>
      <c r="AJ121" s="380">
        <f>SUMIFS([1]!Data_BS[Value],[1]!Data_BS[Index BS],TDP!$B121,[1]!Data_BS[TenCongTyID],TDP!$B$1,[1]!Data_BS[Thang.Nam],TDP!AJ$5)</f>
        <v>0</v>
      </c>
      <c r="AK121" s="380">
        <f>SUMIFS([1]!Data_BS[Value],[1]!Data_BS[Index BS],TDP!$B121,[1]!Data_BS[TenCongTyID],TDP!$B$1,[1]!Data_BS[Thang.Nam],TDP!AK$5)</f>
        <v>0</v>
      </c>
      <c r="AL121" s="381">
        <f>SUMIFS([1]!Data_BS[Value],[1]!Data_BS[Index BS],TDP!$B121,[1]!Data_BS[TenCongTyID],TDP!$B$1,[1]!Data_BS[Thang.Nam],TDP!AL$5)</f>
        <v>0</v>
      </c>
    </row>
    <row r="122" spans="1:38" ht="15" hidden="1" customHeight="1" outlineLevel="1">
      <c r="A122" s="67" t="s">
        <v>206</v>
      </c>
      <c r="B122" s="63">
        <v>117</v>
      </c>
      <c r="C122" s="64"/>
      <c r="D122" s="69"/>
      <c r="E122" s="69"/>
      <c r="F122" s="379"/>
      <c r="G122" s="69"/>
      <c r="H122" s="69">
        <v>0</v>
      </c>
      <c r="I122" s="69"/>
      <c r="J122" s="69"/>
      <c r="K122" s="69"/>
      <c r="L122" s="69"/>
      <c r="M122" s="379"/>
      <c r="N122" s="85"/>
      <c r="O122" s="64"/>
      <c r="P122" s="69"/>
      <c r="Q122" s="69"/>
      <c r="R122" s="379"/>
      <c r="S122" s="69"/>
      <c r="T122" s="69">
        <v>0</v>
      </c>
      <c r="U122" s="69"/>
      <c r="V122" s="69"/>
      <c r="W122" s="69"/>
      <c r="X122" s="69"/>
      <c r="Y122" s="379"/>
      <c r="Z122" s="379">
        <v>0</v>
      </c>
      <c r="AA122" s="380">
        <f>SUMIFS([1]!Data_BS[Value],[1]!Data_BS[Index BS],TDP!$B122,[1]!Data_BS[TenCongTyID],TDP!$B$1,[1]!Data_BS[Thang.Nam],TDP!AA$5)</f>
        <v>0</v>
      </c>
      <c r="AB122" s="380">
        <f>SUMIFS([1]!Data_BS[Value],[1]!Data_BS[Index BS],TDP!$B122,[1]!Data_BS[TenCongTyID],TDP!$B$1,[1]!Data_BS[Thang.Nam],TDP!AB$5)</f>
        <v>0</v>
      </c>
      <c r="AC122" s="380">
        <f>SUMIFS([1]!Data_BS[Value],[1]!Data_BS[Index BS],TDP!$B122,[1]!Data_BS[TenCongTyID],TDP!$B$1,[1]!Data_BS[Thang.Nam],TDP!AC$5)</f>
        <v>0</v>
      </c>
      <c r="AD122" s="380">
        <f>SUMIFS([1]!Data_BS[Value],[1]!Data_BS[Index BS],TDP!$B122,[1]!Data_BS[TenCongTyID],TDP!$B$1,[1]!Data_BS[Thang.Nam],TDP!AD$5)</f>
        <v>0</v>
      </c>
      <c r="AE122" s="380">
        <f>SUMIFS([1]!Data_BS[Value],[1]!Data_BS[Index BS],TDP!$B122,[1]!Data_BS[TenCongTyID],TDP!$B$1,[1]!Data_BS[Thang.Nam],TDP!AE$5)</f>
        <v>0</v>
      </c>
      <c r="AF122" s="380">
        <f>SUMIFS([1]!Data_BS[Value],[1]!Data_BS[Index BS],TDP!$B122,[1]!Data_BS[TenCongTyID],TDP!$B$1,[1]!Data_BS[Thang.Nam],TDP!AF$5)</f>
        <v>0</v>
      </c>
      <c r="AG122" s="380">
        <f>SUMIFS([1]!Data_BS[Value],[1]!Data_BS[Index BS],TDP!$B122,[1]!Data_BS[TenCongTyID],TDP!$B$1,[1]!Data_BS[Thang.Nam],TDP!AG$5)</f>
        <v>0</v>
      </c>
      <c r="AH122" s="380">
        <f>SUMIFS([1]!Data_BS[Value],[1]!Data_BS[Index BS],TDP!$B122,[1]!Data_BS[TenCongTyID],TDP!$B$1,[1]!Data_BS[Thang.Nam],TDP!AH$5)</f>
        <v>0</v>
      </c>
      <c r="AI122" s="380">
        <f>SUMIFS([1]!Data_BS[Value],[1]!Data_BS[Index BS],TDP!$B122,[1]!Data_BS[TenCongTyID],TDP!$B$1,[1]!Data_BS[Thang.Nam],TDP!AI$5)</f>
        <v>0</v>
      </c>
      <c r="AJ122" s="380">
        <f>SUMIFS([1]!Data_BS[Value],[1]!Data_BS[Index BS],TDP!$B122,[1]!Data_BS[TenCongTyID],TDP!$B$1,[1]!Data_BS[Thang.Nam],TDP!AJ$5)</f>
        <v>0</v>
      </c>
      <c r="AK122" s="380">
        <f>SUMIFS([1]!Data_BS[Value],[1]!Data_BS[Index BS],TDP!$B122,[1]!Data_BS[TenCongTyID],TDP!$B$1,[1]!Data_BS[Thang.Nam],TDP!AK$5)</f>
        <v>0</v>
      </c>
      <c r="AL122" s="381">
        <f>SUMIFS([1]!Data_BS[Value],[1]!Data_BS[Index BS],TDP!$B122,[1]!Data_BS[TenCongTyID],TDP!$B$1,[1]!Data_BS[Thang.Nam],TDP!AL$5)</f>
        <v>0</v>
      </c>
    </row>
    <row r="123" spans="1:38" ht="15" hidden="1" customHeight="1" outlineLevel="1">
      <c r="A123" s="67" t="s">
        <v>207</v>
      </c>
      <c r="B123" s="63">
        <v>118</v>
      </c>
      <c r="C123" s="64"/>
      <c r="D123" s="69"/>
      <c r="E123" s="69"/>
      <c r="F123" s="379"/>
      <c r="G123" s="69"/>
      <c r="H123" s="69">
        <v>0</v>
      </c>
      <c r="I123" s="69"/>
      <c r="J123" s="69"/>
      <c r="K123" s="69"/>
      <c r="L123" s="69"/>
      <c r="M123" s="379"/>
      <c r="N123" s="85"/>
      <c r="O123" s="64"/>
      <c r="P123" s="69"/>
      <c r="Q123" s="69"/>
      <c r="R123" s="379"/>
      <c r="S123" s="69"/>
      <c r="T123" s="69">
        <v>0</v>
      </c>
      <c r="U123" s="69"/>
      <c r="V123" s="69"/>
      <c r="W123" s="69"/>
      <c r="X123" s="69"/>
      <c r="Y123" s="379"/>
      <c r="Z123" s="379">
        <v>0</v>
      </c>
      <c r="AA123" s="380">
        <f>SUMIFS([1]!Data_BS[Value],[1]!Data_BS[Index BS],TDP!$B123,[1]!Data_BS[TenCongTyID],TDP!$B$1,[1]!Data_BS[Thang.Nam],TDP!AA$5)</f>
        <v>0</v>
      </c>
      <c r="AB123" s="380">
        <f>SUMIFS([1]!Data_BS[Value],[1]!Data_BS[Index BS],TDP!$B123,[1]!Data_BS[TenCongTyID],TDP!$B$1,[1]!Data_BS[Thang.Nam],TDP!AB$5)</f>
        <v>0</v>
      </c>
      <c r="AC123" s="380">
        <f>SUMIFS([1]!Data_BS[Value],[1]!Data_BS[Index BS],TDP!$B123,[1]!Data_BS[TenCongTyID],TDP!$B$1,[1]!Data_BS[Thang.Nam],TDP!AC$5)</f>
        <v>0</v>
      </c>
      <c r="AD123" s="380">
        <f>SUMIFS([1]!Data_BS[Value],[1]!Data_BS[Index BS],TDP!$B123,[1]!Data_BS[TenCongTyID],TDP!$B$1,[1]!Data_BS[Thang.Nam],TDP!AD$5)</f>
        <v>0</v>
      </c>
      <c r="AE123" s="380">
        <f>SUMIFS([1]!Data_BS[Value],[1]!Data_BS[Index BS],TDP!$B123,[1]!Data_BS[TenCongTyID],TDP!$B$1,[1]!Data_BS[Thang.Nam],TDP!AE$5)</f>
        <v>0</v>
      </c>
      <c r="AF123" s="380">
        <f>SUMIFS([1]!Data_BS[Value],[1]!Data_BS[Index BS],TDP!$B123,[1]!Data_BS[TenCongTyID],TDP!$B$1,[1]!Data_BS[Thang.Nam],TDP!AF$5)</f>
        <v>0</v>
      </c>
      <c r="AG123" s="380">
        <f>SUMIFS([1]!Data_BS[Value],[1]!Data_BS[Index BS],TDP!$B123,[1]!Data_BS[TenCongTyID],TDP!$B$1,[1]!Data_BS[Thang.Nam],TDP!AG$5)</f>
        <v>0</v>
      </c>
      <c r="AH123" s="380">
        <f>SUMIFS([1]!Data_BS[Value],[1]!Data_BS[Index BS],TDP!$B123,[1]!Data_BS[TenCongTyID],TDP!$B$1,[1]!Data_BS[Thang.Nam],TDP!AH$5)</f>
        <v>0</v>
      </c>
      <c r="AI123" s="380">
        <f>SUMIFS([1]!Data_BS[Value],[1]!Data_BS[Index BS],TDP!$B123,[1]!Data_BS[TenCongTyID],TDP!$B$1,[1]!Data_BS[Thang.Nam],TDP!AI$5)</f>
        <v>0</v>
      </c>
      <c r="AJ123" s="380">
        <f>SUMIFS([1]!Data_BS[Value],[1]!Data_BS[Index BS],TDP!$B123,[1]!Data_BS[TenCongTyID],TDP!$B$1,[1]!Data_BS[Thang.Nam],TDP!AJ$5)</f>
        <v>0</v>
      </c>
      <c r="AK123" s="380">
        <f>SUMIFS([1]!Data_BS[Value],[1]!Data_BS[Index BS],TDP!$B123,[1]!Data_BS[TenCongTyID],TDP!$B$1,[1]!Data_BS[Thang.Nam],TDP!AK$5)</f>
        <v>0</v>
      </c>
      <c r="AL123" s="381">
        <f>SUMIFS([1]!Data_BS[Value],[1]!Data_BS[Index BS],TDP!$B123,[1]!Data_BS[TenCongTyID],TDP!$B$1,[1]!Data_BS[Thang.Nam],TDP!AL$5)</f>
        <v>0</v>
      </c>
    </row>
    <row r="124" spans="1:38" ht="15" hidden="1" customHeight="1" outlineLevel="1">
      <c r="A124" s="67" t="s">
        <v>208</v>
      </c>
      <c r="B124" s="63">
        <v>119</v>
      </c>
      <c r="C124" s="64"/>
      <c r="D124" s="69"/>
      <c r="E124" s="69"/>
      <c r="F124" s="379"/>
      <c r="G124" s="69"/>
      <c r="H124" s="69">
        <v>0</v>
      </c>
      <c r="I124" s="69"/>
      <c r="J124" s="69"/>
      <c r="K124" s="69"/>
      <c r="L124" s="69"/>
      <c r="M124" s="379"/>
      <c r="N124" s="85"/>
      <c r="O124" s="64"/>
      <c r="P124" s="69"/>
      <c r="Q124" s="69"/>
      <c r="R124" s="379"/>
      <c r="S124" s="69"/>
      <c r="T124" s="69">
        <v>0</v>
      </c>
      <c r="U124" s="69"/>
      <c r="V124" s="69"/>
      <c r="W124" s="69"/>
      <c r="X124" s="69"/>
      <c r="Y124" s="379"/>
      <c r="Z124" s="379">
        <v>0</v>
      </c>
      <c r="AA124" s="380">
        <f>SUMIFS([1]!Data_BS[Value],[1]!Data_BS[Index BS],TDP!$B124,[1]!Data_BS[TenCongTyID],TDP!$B$1,[1]!Data_BS[Thang.Nam],TDP!AA$5)</f>
        <v>0</v>
      </c>
      <c r="AB124" s="380">
        <f>SUMIFS([1]!Data_BS[Value],[1]!Data_BS[Index BS],TDP!$B124,[1]!Data_BS[TenCongTyID],TDP!$B$1,[1]!Data_BS[Thang.Nam],TDP!AB$5)</f>
        <v>0</v>
      </c>
      <c r="AC124" s="380">
        <f>SUMIFS([1]!Data_BS[Value],[1]!Data_BS[Index BS],TDP!$B124,[1]!Data_BS[TenCongTyID],TDP!$B$1,[1]!Data_BS[Thang.Nam],TDP!AC$5)</f>
        <v>0</v>
      </c>
      <c r="AD124" s="380">
        <f>SUMIFS([1]!Data_BS[Value],[1]!Data_BS[Index BS],TDP!$B124,[1]!Data_BS[TenCongTyID],TDP!$B$1,[1]!Data_BS[Thang.Nam],TDP!AD$5)</f>
        <v>0</v>
      </c>
      <c r="AE124" s="380">
        <f>SUMIFS([1]!Data_BS[Value],[1]!Data_BS[Index BS],TDP!$B124,[1]!Data_BS[TenCongTyID],TDP!$B$1,[1]!Data_BS[Thang.Nam],TDP!AE$5)</f>
        <v>0</v>
      </c>
      <c r="AF124" s="380">
        <f>SUMIFS([1]!Data_BS[Value],[1]!Data_BS[Index BS],TDP!$B124,[1]!Data_BS[TenCongTyID],TDP!$B$1,[1]!Data_BS[Thang.Nam],TDP!AF$5)</f>
        <v>0</v>
      </c>
      <c r="AG124" s="380">
        <f>SUMIFS([1]!Data_BS[Value],[1]!Data_BS[Index BS],TDP!$B124,[1]!Data_BS[TenCongTyID],TDP!$B$1,[1]!Data_BS[Thang.Nam],TDP!AG$5)</f>
        <v>0</v>
      </c>
      <c r="AH124" s="380">
        <f>SUMIFS([1]!Data_BS[Value],[1]!Data_BS[Index BS],TDP!$B124,[1]!Data_BS[TenCongTyID],TDP!$B$1,[1]!Data_BS[Thang.Nam],TDP!AH$5)</f>
        <v>0</v>
      </c>
      <c r="AI124" s="380">
        <f>SUMIFS([1]!Data_BS[Value],[1]!Data_BS[Index BS],TDP!$B124,[1]!Data_BS[TenCongTyID],TDP!$B$1,[1]!Data_BS[Thang.Nam],TDP!AI$5)</f>
        <v>0</v>
      </c>
      <c r="AJ124" s="380">
        <f>SUMIFS([1]!Data_BS[Value],[1]!Data_BS[Index BS],TDP!$B124,[1]!Data_BS[TenCongTyID],TDP!$B$1,[1]!Data_BS[Thang.Nam],TDP!AJ$5)</f>
        <v>0</v>
      </c>
      <c r="AK124" s="380">
        <f>SUMIFS([1]!Data_BS[Value],[1]!Data_BS[Index BS],TDP!$B124,[1]!Data_BS[TenCongTyID],TDP!$B$1,[1]!Data_BS[Thang.Nam],TDP!AK$5)</f>
        <v>0</v>
      </c>
      <c r="AL124" s="381">
        <f>SUMIFS([1]!Data_BS[Value],[1]!Data_BS[Index BS],TDP!$B124,[1]!Data_BS[TenCongTyID],TDP!$B$1,[1]!Data_BS[Thang.Nam],TDP!AL$5)</f>
        <v>0</v>
      </c>
    </row>
    <row r="125" spans="1:38" ht="15" hidden="1" customHeight="1" outlineLevel="1">
      <c r="A125" s="67" t="s">
        <v>209</v>
      </c>
      <c r="B125" s="63">
        <v>120</v>
      </c>
      <c r="C125" s="64"/>
      <c r="D125" s="69"/>
      <c r="E125" s="69"/>
      <c r="F125" s="379"/>
      <c r="G125" s="69"/>
      <c r="H125" s="69">
        <v>0</v>
      </c>
      <c r="I125" s="69"/>
      <c r="J125" s="69"/>
      <c r="K125" s="69"/>
      <c r="L125" s="69"/>
      <c r="M125" s="379"/>
      <c r="N125" s="85"/>
      <c r="O125" s="64"/>
      <c r="P125" s="69"/>
      <c r="Q125" s="69"/>
      <c r="R125" s="379"/>
      <c r="S125" s="69"/>
      <c r="T125" s="69">
        <v>0</v>
      </c>
      <c r="U125" s="69"/>
      <c r="V125" s="69"/>
      <c r="W125" s="69"/>
      <c r="X125" s="69"/>
      <c r="Y125" s="379"/>
      <c r="Z125" s="379">
        <v>0</v>
      </c>
      <c r="AA125" s="380">
        <f>SUMIFS([1]!Data_BS[Value],[1]!Data_BS[Index BS],TDP!$B125,[1]!Data_BS[TenCongTyID],TDP!$B$1,[1]!Data_BS[Thang.Nam],TDP!AA$5)</f>
        <v>0</v>
      </c>
      <c r="AB125" s="380">
        <f>SUMIFS([1]!Data_BS[Value],[1]!Data_BS[Index BS],TDP!$B125,[1]!Data_BS[TenCongTyID],TDP!$B$1,[1]!Data_BS[Thang.Nam],TDP!AB$5)</f>
        <v>0</v>
      </c>
      <c r="AC125" s="380">
        <f>SUMIFS([1]!Data_BS[Value],[1]!Data_BS[Index BS],TDP!$B125,[1]!Data_BS[TenCongTyID],TDP!$B$1,[1]!Data_BS[Thang.Nam],TDP!AC$5)</f>
        <v>0</v>
      </c>
      <c r="AD125" s="380">
        <f>SUMIFS([1]!Data_BS[Value],[1]!Data_BS[Index BS],TDP!$B125,[1]!Data_BS[TenCongTyID],TDP!$B$1,[1]!Data_BS[Thang.Nam],TDP!AD$5)</f>
        <v>0</v>
      </c>
      <c r="AE125" s="380">
        <f>SUMIFS([1]!Data_BS[Value],[1]!Data_BS[Index BS],TDP!$B125,[1]!Data_BS[TenCongTyID],TDP!$B$1,[1]!Data_BS[Thang.Nam],TDP!AE$5)</f>
        <v>0</v>
      </c>
      <c r="AF125" s="380">
        <f>SUMIFS([1]!Data_BS[Value],[1]!Data_BS[Index BS],TDP!$B125,[1]!Data_BS[TenCongTyID],TDP!$B$1,[1]!Data_BS[Thang.Nam],TDP!AF$5)</f>
        <v>0</v>
      </c>
      <c r="AG125" s="380">
        <f>SUMIFS([1]!Data_BS[Value],[1]!Data_BS[Index BS],TDP!$B125,[1]!Data_BS[TenCongTyID],TDP!$B$1,[1]!Data_BS[Thang.Nam],TDP!AG$5)</f>
        <v>0</v>
      </c>
      <c r="AH125" s="380">
        <f>SUMIFS([1]!Data_BS[Value],[1]!Data_BS[Index BS],TDP!$B125,[1]!Data_BS[TenCongTyID],TDP!$B$1,[1]!Data_BS[Thang.Nam],TDP!AH$5)</f>
        <v>0</v>
      </c>
      <c r="AI125" s="380">
        <f>SUMIFS([1]!Data_BS[Value],[1]!Data_BS[Index BS],TDP!$B125,[1]!Data_BS[TenCongTyID],TDP!$B$1,[1]!Data_BS[Thang.Nam],TDP!AI$5)</f>
        <v>0</v>
      </c>
      <c r="AJ125" s="380">
        <f>SUMIFS([1]!Data_BS[Value],[1]!Data_BS[Index BS],TDP!$B125,[1]!Data_BS[TenCongTyID],TDP!$B$1,[1]!Data_BS[Thang.Nam],TDP!AJ$5)</f>
        <v>0</v>
      </c>
      <c r="AK125" s="380">
        <f>SUMIFS([1]!Data_BS[Value],[1]!Data_BS[Index BS],TDP!$B125,[1]!Data_BS[TenCongTyID],TDP!$B$1,[1]!Data_BS[Thang.Nam],TDP!AK$5)</f>
        <v>0</v>
      </c>
      <c r="AL125" s="381">
        <f>SUMIFS([1]!Data_BS[Value],[1]!Data_BS[Index BS],TDP!$B125,[1]!Data_BS[TenCongTyID],TDP!$B$1,[1]!Data_BS[Thang.Nam],TDP!AL$5)</f>
        <v>0</v>
      </c>
    </row>
    <row r="126" spans="1:38" ht="15" hidden="1" customHeight="1" outlineLevel="1">
      <c r="A126" s="67" t="s">
        <v>210</v>
      </c>
      <c r="B126" s="63">
        <v>121</v>
      </c>
      <c r="C126" s="64"/>
      <c r="D126" s="69"/>
      <c r="E126" s="69"/>
      <c r="F126" s="379"/>
      <c r="G126" s="69"/>
      <c r="H126" s="69">
        <v>0</v>
      </c>
      <c r="I126" s="69"/>
      <c r="J126" s="69"/>
      <c r="K126" s="69"/>
      <c r="L126" s="69"/>
      <c r="M126" s="379"/>
      <c r="N126" s="85"/>
      <c r="O126" s="64"/>
      <c r="P126" s="69"/>
      <c r="Q126" s="69"/>
      <c r="R126" s="379"/>
      <c r="S126" s="69"/>
      <c r="T126" s="69">
        <v>0</v>
      </c>
      <c r="U126" s="69"/>
      <c r="V126" s="69"/>
      <c r="W126" s="69"/>
      <c r="X126" s="69"/>
      <c r="Y126" s="379"/>
      <c r="Z126" s="379">
        <v>0</v>
      </c>
      <c r="AA126" s="380">
        <f>SUMIFS([1]!Data_BS[Value],[1]!Data_BS[Index BS],TDP!$B126,[1]!Data_BS[TenCongTyID],TDP!$B$1,[1]!Data_BS[Thang.Nam],TDP!AA$5)</f>
        <v>0</v>
      </c>
      <c r="AB126" s="380">
        <f>SUMIFS([1]!Data_BS[Value],[1]!Data_BS[Index BS],TDP!$B126,[1]!Data_BS[TenCongTyID],TDP!$B$1,[1]!Data_BS[Thang.Nam],TDP!AB$5)</f>
        <v>0</v>
      </c>
      <c r="AC126" s="380">
        <f>SUMIFS([1]!Data_BS[Value],[1]!Data_BS[Index BS],TDP!$B126,[1]!Data_BS[TenCongTyID],TDP!$B$1,[1]!Data_BS[Thang.Nam],TDP!AC$5)</f>
        <v>0</v>
      </c>
      <c r="AD126" s="380">
        <f>SUMIFS([1]!Data_BS[Value],[1]!Data_BS[Index BS],TDP!$B126,[1]!Data_BS[TenCongTyID],TDP!$B$1,[1]!Data_BS[Thang.Nam],TDP!AD$5)</f>
        <v>0</v>
      </c>
      <c r="AE126" s="380">
        <f>SUMIFS([1]!Data_BS[Value],[1]!Data_BS[Index BS],TDP!$B126,[1]!Data_BS[TenCongTyID],TDP!$B$1,[1]!Data_BS[Thang.Nam],TDP!AE$5)</f>
        <v>0</v>
      </c>
      <c r="AF126" s="380">
        <f>SUMIFS([1]!Data_BS[Value],[1]!Data_BS[Index BS],TDP!$B126,[1]!Data_BS[TenCongTyID],TDP!$B$1,[1]!Data_BS[Thang.Nam],TDP!AF$5)</f>
        <v>0</v>
      </c>
      <c r="AG126" s="380">
        <f>SUMIFS([1]!Data_BS[Value],[1]!Data_BS[Index BS],TDP!$B126,[1]!Data_BS[TenCongTyID],TDP!$B$1,[1]!Data_BS[Thang.Nam],TDP!AG$5)</f>
        <v>0</v>
      </c>
      <c r="AH126" s="380">
        <f>SUMIFS([1]!Data_BS[Value],[1]!Data_BS[Index BS],TDP!$B126,[1]!Data_BS[TenCongTyID],TDP!$B$1,[1]!Data_BS[Thang.Nam],TDP!AH$5)</f>
        <v>0</v>
      </c>
      <c r="AI126" s="380">
        <f>SUMIFS([1]!Data_BS[Value],[1]!Data_BS[Index BS],TDP!$B126,[1]!Data_BS[TenCongTyID],TDP!$B$1,[1]!Data_BS[Thang.Nam],TDP!AI$5)</f>
        <v>0</v>
      </c>
      <c r="AJ126" s="380">
        <f>SUMIFS([1]!Data_BS[Value],[1]!Data_BS[Index BS],TDP!$B126,[1]!Data_BS[TenCongTyID],TDP!$B$1,[1]!Data_BS[Thang.Nam],TDP!AJ$5)</f>
        <v>0</v>
      </c>
      <c r="AK126" s="380">
        <f>SUMIFS([1]!Data_BS[Value],[1]!Data_BS[Index BS],TDP!$B126,[1]!Data_BS[TenCongTyID],TDP!$B$1,[1]!Data_BS[Thang.Nam],TDP!AK$5)</f>
        <v>0</v>
      </c>
      <c r="AL126" s="381">
        <f>SUMIFS([1]!Data_BS[Value],[1]!Data_BS[Index BS],TDP!$B126,[1]!Data_BS[TenCongTyID],TDP!$B$1,[1]!Data_BS[Thang.Nam],TDP!AL$5)</f>
        <v>0</v>
      </c>
    </row>
    <row r="127" spans="1:38" ht="15" hidden="1" customHeight="1" outlineLevel="1">
      <c r="A127" s="67" t="s">
        <v>211</v>
      </c>
      <c r="B127" s="63">
        <v>122</v>
      </c>
      <c r="C127" s="64"/>
      <c r="D127" s="69"/>
      <c r="E127" s="69"/>
      <c r="F127" s="379"/>
      <c r="G127" s="69"/>
      <c r="H127" s="69">
        <v>0</v>
      </c>
      <c r="I127" s="69"/>
      <c r="J127" s="69"/>
      <c r="K127" s="69"/>
      <c r="L127" s="69"/>
      <c r="M127" s="379"/>
      <c r="N127" s="85"/>
      <c r="O127" s="64"/>
      <c r="P127" s="69"/>
      <c r="Q127" s="69"/>
      <c r="R127" s="379"/>
      <c r="S127" s="69"/>
      <c r="T127" s="69">
        <v>0</v>
      </c>
      <c r="U127" s="69"/>
      <c r="V127" s="69"/>
      <c r="W127" s="69"/>
      <c r="X127" s="69"/>
      <c r="Y127" s="379"/>
      <c r="Z127" s="379">
        <v>0</v>
      </c>
      <c r="AA127" s="380">
        <f>SUMIFS([1]!Data_BS[Value],[1]!Data_BS[Index BS],TDP!$B127,[1]!Data_BS[TenCongTyID],TDP!$B$1,[1]!Data_BS[Thang.Nam],TDP!AA$5)</f>
        <v>0</v>
      </c>
      <c r="AB127" s="380">
        <f>SUMIFS([1]!Data_BS[Value],[1]!Data_BS[Index BS],TDP!$B127,[1]!Data_BS[TenCongTyID],TDP!$B$1,[1]!Data_BS[Thang.Nam],TDP!AB$5)</f>
        <v>0</v>
      </c>
      <c r="AC127" s="380">
        <f>SUMIFS([1]!Data_BS[Value],[1]!Data_BS[Index BS],TDP!$B127,[1]!Data_BS[TenCongTyID],TDP!$B$1,[1]!Data_BS[Thang.Nam],TDP!AC$5)</f>
        <v>0</v>
      </c>
      <c r="AD127" s="380">
        <f>SUMIFS([1]!Data_BS[Value],[1]!Data_BS[Index BS],TDP!$B127,[1]!Data_BS[TenCongTyID],TDP!$B$1,[1]!Data_BS[Thang.Nam],TDP!AD$5)</f>
        <v>0</v>
      </c>
      <c r="AE127" s="380">
        <f>SUMIFS([1]!Data_BS[Value],[1]!Data_BS[Index BS],TDP!$B127,[1]!Data_BS[TenCongTyID],TDP!$B$1,[1]!Data_BS[Thang.Nam],TDP!AE$5)</f>
        <v>0</v>
      </c>
      <c r="AF127" s="380">
        <f>SUMIFS([1]!Data_BS[Value],[1]!Data_BS[Index BS],TDP!$B127,[1]!Data_BS[TenCongTyID],TDP!$B$1,[1]!Data_BS[Thang.Nam],TDP!AF$5)</f>
        <v>0</v>
      </c>
      <c r="AG127" s="380">
        <f>SUMIFS([1]!Data_BS[Value],[1]!Data_BS[Index BS],TDP!$B127,[1]!Data_BS[TenCongTyID],TDP!$B$1,[1]!Data_BS[Thang.Nam],TDP!AG$5)</f>
        <v>0</v>
      </c>
      <c r="AH127" s="380">
        <f>SUMIFS([1]!Data_BS[Value],[1]!Data_BS[Index BS],TDP!$B127,[1]!Data_BS[TenCongTyID],TDP!$B$1,[1]!Data_BS[Thang.Nam],TDP!AH$5)</f>
        <v>0</v>
      </c>
      <c r="AI127" s="380">
        <f>SUMIFS([1]!Data_BS[Value],[1]!Data_BS[Index BS],TDP!$B127,[1]!Data_BS[TenCongTyID],TDP!$B$1,[1]!Data_BS[Thang.Nam],TDP!AI$5)</f>
        <v>0</v>
      </c>
      <c r="AJ127" s="380">
        <f>SUMIFS([1]!Data_BS[Value],[1]!Data_BS[Index BS],TDP!$B127,[1]!Data_BS[TenCongTyID],TDP!$B$1,[1]!Data_BS[Thang.Nam],TDP!AJ$5)</f>
        <v>0</v>
      </c>
      <c r="AK127" s="380">
        <f>SUMIFS([1]!Data_BS[Value],[1]!Data_BS[Index BS],TDP!$B127,[1]!Data_BS[TenCongTyID],TDP!$B$1,[1]!Data_BS[Thang.Nam],TDP!AK$5)</f>
        <v>0</v>
      </c>
      <c r="AL127" s="381">
        <f>SUMIFS([1]!Data_BS[Value],[1]!Data_BS[Index BS],TDP!$B127,[1]!Data_BS[TenCongTyID],TDP!$B$1,[1]!Data_BS[Thang.Nam],TDP!AL$5)</f>
        <v>0</v>
      </c>
    </row>
    <row r="128" spans="1:38" ht="15" hidden="1" customHeight="1" outlineLevel="1">
      <c r="A128" s="86" t="s">
        <v>212</v>
      </c>
      <c r="B128" s="87">
        <v>123</v>
      </c>
      <c r="C128" s="88">
        <f>C129+C130</f>
        <v>0</v>
      </c>
      <c r="D128" s="88">
        <f>D129+D130</f>
        <v>0</v>
      </c>
      <c r="E128" s="88">
        <f>E129+E130</f>
        <v>0</v>
      </c>
      <c r="F128" s="88">
        <f>F129+F130</f>
        <v>0</v>
      </c>
      <c r="G128" s="88">
        <f>G129+G130</f>
        <v>0</v>
      </c>
      <c r="H128" s="88"/>
      <c r="I128" s="88">
        <f>I129+I130</f>
        <v>0</v>
      </c>
      <c r="J128" s="88">
        <v>-400000</v>
      </c>
      <c r="K128" s="88">
        <v>-15435354</v>
      </c>
      <c r="L128" s="88">
        <v>-630470708</v>
      </c>
      <c r="M128" s="88">
        <v>-1245506062</v>
      </c>
      <c r="N128" s="88">
        <v>-1861084536</v>
      </c>
      <c r="O128" s="88">
        <v>-1879661571</v>
      </c>
      <c r="P128" s="88">
        <v>-3095238987</v>
      </c>
      <c r="Q128" s="88">
        <v>-3710817111</v>
      </c>
      <c r="R128" s="88">
        <v>-4323578332</v>
      </c>
      <c r="S128" s="88">
        <v>-4939158117</v>
      </c>
      <c r="T128" s="88">
        <v>-5555736147</v>
      </c>
      <c r="U128" s="88">
        <v>-6156584183</v>
      </c>
      <c r="V128" s="88">
        <v>-6757161996</v>
      </c>
      <c r="W128" s="88">
        <v>-7357745181</v>
      </c>
      <c r="X128" s="88">
        <v>-7958328973</v>
      </c>
      <c r="Y128" s="88">
        <v>-8551855200</v>
      </c>
      <c r="Z128" s="88">
        <v>-9152438940</v>
      </c>
      <c r="AA128" s="399">
        <f>SUMIFS([1]!Data_BS[Value],[1]!Data_BS[Index BS],TDP!$B128,[1]!Data_BS[TenCongTyID],TDP!$B$1,[1]!Data_BS[Thang.Nam],TDP!AA$5)</f>
        <v>0</v>
      </c>
      <c r="AB128" s="399">
        <f>SUMIFS([1]!Data_BS[Value],[1]!Data_BS[Index BS],TDP!$B128,[1]!Data_BS[TenCongTyID],TDP!$B$1,[1]!Data_BS[Thang.Nam],TDP!AB$5)</f>
        <v>0</v>
      </c>
      <c r="AC128" s="399">
        <f>SUMIFS([1]!Data_BS[Value],[1]!Data_BS[Index BS],TDP!$B128,[1]!Data_BS[TenCongTyID],TDP!$B$1,[1]!Data_BS[Thang.Nam],TDP!AC$5)</f>
        <v>0</v>
      </c>
      <c r="AD128" s="399">
        <f>SUMIFS([1]!Data_BS[Value],[1]!Data_BS[Index BS],TDP!$B128,[1]!Data_BS[TenCongTyID],TDP!$B$1,[1]!Data_BS[Thang.Nam],TDP!AD$5)</f>
        <v>0</v>
      </c>
      <c r="AE128" s="399">
        <f>SUMIFS([1]!Data_BS[Value],[1]!Data_BS[Index BS],TDP!$B128,[1]!Data_BS[TenCongTyID],TDP!$B$1,[1]!Data_BS[Thang.Nam],TDP!AE$5)</f>
        <v>0</v>
      </c>
      <c r="AF128" s="399">
        <f>SUMIFS([1]!Data_BS[Value],[1]!Data_BS[Index BS],TDP!$B128,[1]!Data_BS[TenCongTyID],TDP!$B$1,[1]!Data_BS[Thang.Nam],TDP!AF$5)</f>
        <v>0</v>
      </c>
      <c r="AG128" s="399">
        <f>SUMIFS([1]!Data_BS[Value],[1]!Data_BS[Index BS],TDP!$B128,[1]!Data_BS[TenCongTyID],TDP!$B$1,[1]!Data_BS[Thang.Nam],TDP!AG$5)</f>
        <v>0</v>
      </c>
      <c r="AH128" s="399">
        <f>SUMIFS([1]!Data_BS[Value],[1]!Data_BS[Index BS],TDP!$B128,[1]!Data_BS[TenCongTyID],TDP!$B$1,[1]!Data_BS[Thang.Nam],TDP!AH$5)</f>
        <v>0</v>
      </c>
      <c r="AI128" s="399">
        <f>SUMIFS([1]!Data_BS[Value],[1]!Data_BS[Index BS],TDP!$B128,[1]!Data_BS[TenCongTyID],TDP!$B$1,[1]!Data_BS[Thang.Nam],TDP!AI$5)</f>
        <v>0</v>
      </c>
      <c r="AJ128" s="399">
        <f>SUMIFS([1]!Data_BS[Value],[1]!Data_BS[Index BS],TDP!$B128,[1]!Data_BS[TenCongTyID],TDP!$B$1,[1]!Data_BS[Thang.Nam],TDP!AJ$5)</f>
        <v>0</v>
      </c>
      <c r="AK128" s="399">
        <f>SUMIFS([1]!Data_BS[Value],[1]!Data_BS[Index BS],TDP!$B128,[1]!Data_BS[TenCongTyID],TDP!$B$1,[1]!Data_BS[Thang.Nam],TDP!AK$5)</f>
        <v>0</v>
      </c>
      <c r="AL128" s="399">
        <f>SUMIFS([1]!Data_BS[Value],[1]!Data_BS[Index BS],TDP!$B128,[1]!Data_BS[TenCongTyID],TDP!$B$1,[1]!Data_BS[Thang.Nam],TDP!AL$5)</f>
        <v>0</v>
      </c>
    </row>
    <row r="129" spans="1:52" ht="15" hidden="1" customHeight="1" outlineLevel="1">
      <c r="A129" s="89" t="s">
        <v>213</v>
      </c>
      <c r="B129" s="63">
        <v>124</v>
      </c>
      <c r="C129" s="90"/>
      <c r="D129" s="90"/>
      <c r="E129" s="90"/>
      <c r="F129" s="90"/>
      <c r="G129" s="90"/>
      <c r="H129" s="90"/>
      <c r="I129" s="90"/>
      <c r="J129" s="90"/>
      <c r="K129" s="90">
        <v>-400000</v>
      </c>
      <c r="L129" s="90">
        <v>-15435354</v>
      </c>
      <c r="M129" s="90">
        <v>-630470708</v>
      </c>
      <c r="N129" s="90">
        <v>-1245506062</v>
      </c>
      <c r="O129" s="90">
        <v>-1861084536</v>
      </c>
      <c r="P129" s="90">
        <v>-1879661571</v>
      </c>
      <c r="Q129" s="90">
        <v>-3095238987</v>
      </c>
      <c r="R129" s="90">
        <v>-3710817111</v>
      </c>
      <c r="S129" s="90">
        <v>-4323578332</v>
      </c>
      <c r="T129" s="90">
        <v>-4939158117</v>
      </c>
      <c r="U129" s="90">
        <v>-5555736147</v>
      </c>
      <c r="V129" s="90">
        <v>-6156584183</v>
      </c>
      <c r="W129" s="90">
        <v>-6757161996</v>
      </c>
      <c r="X129" s="90">
        <v>-7357745181</v>
      </c>
      <c r="Y129" s="90">
        <v>-7958328973</v>
      </c>
      <c r="Z129" s="90">
        <v>-8551855200</v>
      </c>
      <c r="AA129" s="400">
        <f>SUMIFS([1]!Data_BS[Value],[1]!Data_BS[Index BS],TDP!$B129,[1]!Data_BS[TenCongTyID],TDP!$B$1,[1]!Data_BS[Thang.Nam],TDP!AA$5)</f>
        <v>0</v>
      </c>
      <c r="AB129" s="400">
        <f>SUMIFS([1]!Data_BS[Value],[1]!Data_BS[Index BS],TDP!$B129,[1]!Data_BS[TenCongTyID],TDP!$B$1,[1]!Data_BS[Thang.Nam],TDP!AB$5)</f>
        <v>0</v>
      </c>
      <c r="AC129" s="400">
        <f>SUMIFS([1]!Data_BS[Value],[1]!Data_BS[Index BS],TDP!$B129,[1]!Data_BS[TenCongTyID],TDP!$B$1,[1]!Data_BS[Thang.Nam],TDP!AC$5)</f>
        <v>0</v>
      </c>
      <c r="AD129" s="400">
        <f>SUMIFS([1]!Data_BS[Value],[1]!Data_BS[Index BS],TDP!$B129,[1]!Data_BS[TenCongTyID],TDP!$B$1,[1]!Data_BS[Thang.Nam],TDP!AD$5)</f>
        <v>0</v>
      </c>
      <c r="AE129" s="400">
        <f>SUMIFS([1]!Data_BS[Value],[1]!Data_BS[Index BS],TDP!$B129,[1]!Data_BS[TenCongTyID],TDP!$B$1,[1]!Data_BS[Thang.Nam],TDP!AE$5)</f>
        <v>0</v>
      </c>
      <c r="AF129" s="400">
        <f>SUMIFS([1]!Data_BS[Value],[1]!Data_BS[Index BS],TDP!$B129,[1]!Data_BS[TenCongTyID],TDP!$B$1,[1]!Data_BS[Thang.Nam],TDP!AF$5)</f>
        <v>0</v>
      </c>
      <c r="AG129" s="400">
        <f>SUMIFS([1]!Data_BS[Value],[1]!Data_BS[Index BS],TDP!$B129,[1]!Data_BS[TenCongTyID],TDP!$B$1,[1]!Data_BS[Thang.Nam],TDP!AG$5)</f>
        <v>0</v>
      </c>
      <c r="AH129" s="400">
        <f>SUMIFS([1]!Data_BS[Value],[1]!Data_BS[Index BS],TDP!$B129,[1]!Data_BS[TenCongTyID],TDP!$B$1,[1]!Data_BS[Thang.Nam],TDP!AH$5)</f>
        <v>0</v>
      </c>
      <c r="AI129" s="400">
        <f>SUMIFS([1]!Data_BS[Value],[1]!Data_BS[Index BS],TDP!$B129,[1]!Data_BS[TenCongTyID],TDP!$B$1,[1]!Data_BS[Thang.Nam],TDP!AI$5)</f>
        <v>0</v>
      </c>
      <c r="AJ129" s="400">
        <f>SUMIFS([1]!Data_BS[Value],[1]!Data_BS[Index BS],TDP!$B129,[1]!Data_BS[TenCongTyID],TDP!$B$1,[1]!Data_BS[Thang.Nam],TDP!AJ$5)</f>
        <v>0</v>
      </c>
      <c r="AK129" s="400">
        <f>SUMIFS([1]!Data_BS[Value],[1]!Data_BS[Index BS],TDP!$B129,[1]!Data_BS[TenCongTyID],TDP!$B$1,[1]!Data_BS[Thang.Nam],TDP!AK$5)</f>
        <v>0</v>
      </c>
      <c r="AL129" s="400">
        <f>SUMIFS([1]!Data_BS[Value],[1]!Data_BS[Index BS],TDP!$B129,[1]!Data_BS[TenCongTyID],TDP!$B$1,[1]!Data_BS[Thang.Nam],TDP!AL$5)</f>
        <v>0</v>
      </c>
    </row>
    <row r="130" spans="1:52" ht="15" hidden="1" customHeight="1" outlineLevel="1">
      <c r="A130" s="89" t="s">
        <v>214</v>
      </c>
      <c r="B130" s="63">
        <v>125</v>
      </c>
      <c r="C130" s="90"/>
      <c r="D130" s="401"/>
      <c r="E130" s="401"/>
      <c r="F130" s="402"/>
      <c r="G130" s="401"/>
      <c r="H130" s="401"/>
      <c r="I130" s="401"/>
      <c r="J130" s="401">
        <v>-400000</v>
      </c>
      <c r="K130" s="401">
        <v>-15035354</v>
      </c>
      <c r="L130" s="401">
        <v>-615035354</v>
      </c>
      <c r="M130" s="402">
        <v>-615035354</v>
      </c>
      <c r="N130" s="403">
        <v>-615578474</v>
      </c>
      <c r="O130" s="90">
        <v>-18577035</v>
      </c>
      <c r="P130" s="401">
        <v>-1215577416</v>
      </c>
      <c r="Q130" s="401">
        <v>-615578124</v>
      </c>
      <c r="R130" s="402">
        <v>-612761221</v>
      </c>
      <c r="S130" s="401">
        <v>-615579785</v>
      </c>
      <c r="T130" s="401">
        <v>-616578030</v>
      </c>
      <c r="U130" s="401">
        <v>-600848036</v>
      </c>
      <c r="V130" s="401">
        <v>-600577813</v>
      </c>
      <c r="W130" s="401">
        <v>-600583185</v>
      </c>
      <c r="X130" s="401">
        <v>-600583792</v>
      </c>
      <c r="Y130" s="402">
        <v>-593526227</v>
      </c>
      <c r="Z130" s="402">
        <v>-600583740</v>
      </c>
      <c r="AA130" s="404">
        <f>SUMIFS([1]!Data_BS[Value],[1]!Data_BS[Index BS],TDP!$B130,[1]!Data_BS[TenCongTyID],TDP!$B$1,[1]!Data_BS[Thang.Nam],TDP!AA$5)</f>
        <v>0</v>
      </c>
      <c r="AB130" s="404">
        <f>SUMIFS([1]!Data_BS[Value],[1]!Data_BS[Index BS],TDP!$B130,[1]!Data_BS[TenCongTyID],TDP!$B$1,[1]!Data_BS[Thang.Nam],TDP!AB$5)</f>
        <v>0</v>
      </c>
      <c r="AC130" s="404">
        <f>SUMIFS([1]!Data_BS[Value],[1]!Data_BS[Index BS],TDP!$B130,[1]!Data_BS[TenCongTyID],TDP!$B$1,[1]!Data_BS[Thang.Nam],TDP!AC$5)</f>
        <v>0</v>
      </c>
      <c r="AD130" s="404">
        <f>SUMIFS([1]!Data_BS[Value],[1]!Data_BS[Index BS],TDP!$B130,[1]!Data_BS[TenCongTyID],TDP!$B$1,[1]!Data_BS[Thang.Nam],TDP!AD$5)</f>
        <v>0</v>
      </c>
      <c r="AE130" s="404">
        <f>SUMIFS([1]!Data_BS[Value],[1]!Data_BS[Index BS],TDP!$B130,[1]!Data_BS[TenCongTyID],TDP!$B$1,[1]!Data_BS[Thang.Nam],TDP!AE$5)</f>
        <v>0</v>
      </c>
      <c r="AF130" s="404">
        <f>SUMIFS([1]!Data_BS[Value],[1]!Data_BS[Index BS],TDP!$B130,[1]!Data_BS[TenCongTyID],TDP!$B$1,[1]!Data_BS[Thang.Nam],TDP!AF$5)</f>
        <v>0</v>
      </c>
      <c r="AG130" s="404">
        <f>SUMIFS([1]!Data_BS[Value],[1]!Data_BS[Index BS],TDP!$B130,[1]!Data_BS[TenCongTyID],TDP!$B$1,[1]!Data_BS[Thang.Nam],TDP!AG$5)</f>
        <v>0</v>
      </c>
      <c r="AH130" s="404">
        <f>SUMIFS([1]!Data_BS[Value],[1]!Data_BS[Index BS],TDP!$B130,[1]!Data_BS[TenCongTyID],TDP!$B$1,[1]!Data_BS[Thang.Nam],TDP!AH$5)</f>
        <v>0</v>
      </c>
      <c r="AI130" s="404">
        <f>SUMIFS([1]!Data_BS[Value],[1]!Data_BS[Index BS],TDP!$B130,[1]!Data_BS[TenCongTyID],TDP!$B$1,[1]!Data_BS[Thang.Nam],TDP!AI$5)</f>
        <v>0</v>
      </c>
      <c r="AJ130" s="404">
        <f>SUMIFS([1]!Data_BS[Value],[1]!Data_BS[Index BS],TDP!$B130,[1]!Data_BS[TenCongTyID],TDP!$B$1,[1]!Data_BS[Thang.Nam],TDP!AJ$5)</f>
        <v>0</v>
      </c>
      <c r="AK130" s="404">
        <f>SUMIFS([1]!Data_BS[Value],[1]!Data_BS[Index BS],TDP!$B130,[1]!Data_BS[TenCongTyID],TDP!$B$1,[1]!Data_BS[Thang.Nam],TDP!AK$5)</f>
        <v>0</v>
      </c>
      <c r="AL130" s="405">
        <f>SUMIFS([1]!Data_BS[Value],[1]!Data_BS[Index BS],TDP!$B130,[1]!Data_BS[TenCongTyID],TDP!$B$1,[1]!Data_BS[Thang.Nam],TDP!AL$5)</f>
        <v>0</v>
      </c>
    </row>
    <row r="131" spans="1:52" ht="15" hidden="1" customHeight="1" outlineLevel="1">
      <c r="A131" s="91" t="s">
        <v>215</v>
      </c>
      <c r="B131" s="92">
        <v>126</v>
      </c>
      <c r="C131" s="406">
        <f t="shared" ref="C131:I131" si="8">+C116+C84</f>
        <v>0</v>
      </c>
      <c r="D131" s="407">
        <f t="shared" si="8"/>
        <v>0</v>
      </c>
      <c r="E131" s="407">
        <f t="shared" si="8"/>
        <v>0</v>
      </c>
      <c r="F131" s="408">
        <f t="shared" si="8"/>
        <v>0</v>
      </c>
      <c r="G131" s="407">
        <f t="shared" si="8"/>
        <v>0</v>
      </c>
      <c r="H131" s="407">
        <f t="shared" si="8"/>
        <v>0</v>
      </c>
      <c r="I131" s="407">
        <f t="shared" si="8"/>
        <v>0</v>
      </c>
      <c r="J131" s="407">
        <v>30000</v>
      </c>
      <c r="K131" s="407">
        <v>2594646</v>
      </c>
      <c r="L131" s="407">
        <v>63759292</v>
      </c>
      <c r="M131" s="408">
        <v>20124923938</v>
      </c>
      <c r="N131" s="409">
        <v>20120693242</v>
      </c>
      <c r="O131" s="406">
        <v>20100338429</v>
      </c>
      <c r="P131" s="407">
        <v>20204761013</v>
      </c>
      <c r="Q131" s="407">
        <v>20249182889</v>
      </c>
      <c r="R131" s="408">
        <v>20296421668</v>
      </c>
      <c r="S131" s="407">
        <v>20340841883</v>
      </c>
      <c r="T131" s="407">
        <v>21384263853</v>
      </c>
      <c r="U131" s="407">
        <v>21443707417</v>
      </c>
      <c r="V131" s="407">
        <v>21502838004</v>
      </c>
      <c r="W131" s="407">
        <v>21562254819</v>
      </c>
      <c r="X131" s="407">
        <v>21621671027</v>
      </c>
      <c r="Y131" s="408">
        <v>21688144800</v>
      </c>
      <c r="Z131" s="408">
        <v>21747561060</v>
      </c>
      <c r="AA131" s="410">
        <f>SUMIFS([1]!Data_BS[Value],[1]!Data_BS[Index BS],TDP!$B131,[1]!Data_BS[TenCongTyID],TDP!$B$1,[1]!Data_BS[Thang.Nam],TDP!AA$5)</f>
        <v>0</v>
      </c>
      <c r="AB131" s="410">
        <f>SUMIFS([1]!Data_BS[Value],[1]!Data_BS[Index BS],TDP!$B131,[1]!Data_BS[TenCongTyID],TDP!$B$1,[1]!Data_BS[Thang.Nam],TDP!AB$5)</f>
        <v>0</v>
      </c>
      <c r="AC131" s="410">
        <f>SUMIFS([1]!Data_BS[Value],[1]!Data_BS[Index BS],TDP!$B131,[1]!Data_BS[TenCongTyID],TDP!$B$1,[1]!Data_BS[Thang.Nam],TDP!AC$5)</f>
        <v>0</v>
      </c>
      <c r="AD131" s="410">
        <f>SUMIFS([1]!Data_BS[Value],[1]!Data_BS[Index BS],TDP!$B131,[1]!Data_BS[TenCongTyID],TDP!$B$1,[1]!Data_BS[Thang.Nam],TDP!AD$5)</f>
        <v>0</v>
      </c>
      <c r="AE131" s="410">
        <f>SUMIFS([1]!Data_BS[Value],[1]!Data_BS[Index BS],TDP!$B131,[1]!Data_BS[TenCongTyID],TDP!$B$1,[1]!Data_BS[Thang.Nam],TDP!AE$5)</f>
        <v>0</v>
      </c>
      <c r="AF131" s="410">
        <f>SUMIFS([1]!Data_BS[Value],[1]!Data_BS[Index BS],TDP!$B131,[1]!Data_BS[TenCongTyID],TDP!$B$1,[1]!Data_BS[Thang.Nam],TDP!AF$5)</f>
        <v>0</v>
      </c>
      <c r="AG131" s="410">
        <f>SUMIFS([1]!Data_BS[Value],[1]!Data_BS[Index BS],TDP!$B131,[1]!Data_BS[TenCongTyID],TDP!$B$1,[1]!Data_BS[Thang.Nam],TDP!AG$5)</f>
        <v>0</v>
      </c>
      <c r="AH131" s="410">
        <f>SUMIFS([1]!Data_BS[Value],[1]!Data_BS[Index BS],TDP!$B131,[1]!Data_BS[TenCongTyID],TDP!$B$1,[1]!Data_BS[Thang.Nam],TDP!AH$5)</f>
        <v>0</v>
      </c>
      <c r="AI131" s="410">
        <f>SUMIFS([1]!Data_BS[Value],[1]!Data_BS[Index BS],TDP!$B131,[1]!Data_BS[TenCongTyID],TDP!$B$1,[1]!Data_BS[Thang.Nam],TDP!AI$5)</f>
        <v>0</v>
      </c>
      <c r="AJ131" s="410">
        <f>SUMIFS([1]!Data_BS[Value],[1]!Data_BS[Index BS],TDP!$B131,[1]!Data_BS[TenCongTyID],TDP!$B$1,[1]!Data_BS[Thang.Nam],TDP!AJ$5)</f>
        <v>0</v>
      </c>
      <c r="AK131" s="410">
        <f>SUMIFS([1]!Data_BS[Value],[1]!Data_BS[Index BS],TDP!$B131,[1]!Data_BS[TenCongTyID],TDP!$B$1,[1]!Data_BS[Thang.Nam],TDP!AK$5)</f>
        <v>0</v>
      </c>
      <c r="AL131" s="411">
        <f>SUMIFS([1]!Data_BS[Value],[1]!Data_BS[Index BS],TDP!$B131,[1]!Data_BS[TenCongTyID],TDP!$B$1,[1]!Data_BS[Thang.Nam],TDP!AL$5)</f>
        <v>0</v>
      </c>
    </row>
    <row r="132" spans="1:52" ht="15" customHeight="1">
      <c r="A132" s="94"/>
      <c r="B132" s="95"/>
      <c r="C132" s="95">
        <f t="shared" ref="C132:Y132" si="9">C131-C83</f>
        <v>0</v>
      </c>
      <c r="D132" s="95">
        <f t="shared" si="9"/>
        <v>0</v>
      </c>
      <c r="E132" s="95">
        <f t="shared" si="9"/>
        <v>0</v>
      </c>
      <c r="F132" s="95">
        <f t="shared" si="9"/>
        <v>0</v>
      </c>
      <c r="G132" s="95">
        <f t="shared" si="9"/>
        <v>0</v>
      </c>
      <c r="H132" s="95">
        <f t="shared" si="9"/>
        <v>0</v>
      </c>
      <c r="I132" s="265">
        <f t="shared" si="9"/>
        <v>0</v>
      </c>
      <c r="J132" s="265">
        <f t="shared" si="9"/>
        <v>0</v>
      </c>
      <c r="K132" s="265">
        <f t="shared" si="9"/>
        <v>0</v>
      </c>
      <c r="L132" s="265">
        <f t="shared" si="9"/>
        <v>0</v>
      </c>
      <c r="M132" s="265">
        <f t="shared" si="9"/>
        <v>0</v>
      </c>
      <c r="N132" s="265">
        <f t="shared" si="9"/>
        <v>0</v>
      </c>
      <c r="O132" s="266">
        <f t="shared" si="9"/>
        <v>0</v>
      </c>
      <c r="P132" s="266">
        <f t="shared" si="9"/>
        <v>0</v>
      </c>
      <c r="Q132" s="266">
        <f t="shared" si="9"/>
        <v>0</v>
      </c>
      <c r="R132" s="266">
        <f t="shared" si="9"/>
        <v>0</v>
      </c>
      <c r="S132" s="266">
        <f t="shared" si="9"/>
        <v>0</v>
      </c>
      <c r="T132" s="266">
        <f t="shared" si="9"/>
        <v>0</v>
      </c>
      <c r="U132" s="265">
        <f t="shared" si="9"/>
        <v>0</v>
      </c>
      <c r="V132" s="265">
        <f t="shared" si="9"/>
        <v>0</v>
      </c>
      <c r="W132" s="265">
        <f t="shared" si="9"/>
        <v>0</v>
      </c>
      <c r="X132" s="265">
        <f t="shared" si="9"/>
        <v>0</v>
      </c>
      <c r="Y132" s="265">
        <f t="shared" si="9"/>
        <v>0</v>
      </c>
      <c r="Z132" s="265">
        <v>0</v>
      </c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">
        <v>66</v>
      </c>
      <c r="D133" s="101" t="s">
        <v>67</v>
      </c>
      <c r="E133" s="101" t="s">
        <v>68</v>
      </c>
      <c r="F133" s="101" t="s">
        <v>69</v>
      </c>
      <c r="G133" s="101" t="s">
        <v>70</v>
      </c>
      <c r="H133" s="101" t="s">
        <v>71</v>
      </c>
      <c r="I133" s="101" t="s">
        <v>72</v>
      </c>
      <c r="J133" s="101" t="s">
        <v>73</v>
      </c>
      <c r="K133" s="101" t="s">
        <v>74</v>
      </c>
      <c r="L133" s="101" t="s">
        <v>75</v>
      </c>
      <c r="M133" s="101" t="s">
        <v>76</v>
      </c>
      <c r="N133" s="101" t="s">
        <v>77</v>
      </c>
      <c r="O133" s="101" t="s">
        <v>78</v>
      </c>
      <c r="P133" s="101" t="s">
        <v>79</v>
      </c>
      <c r="Q133" s="101" t="s">
        <v>80</v>
      </c>
      <c r="R133" s="101" t="s">
        <v>81</v>
      </c>
      <c r="S133" s="101" t="s">
        <v>82</v>
      </c>
      <c r="T133" s="101" t="s">
        <v>83</v>
      </c>
      <c r="U133" s="101" t="s">
        <v>84</v>
      </c>
      <c r="V133" s="101" t="s">
        <v>85</v>
      </c>
      <c r="W133" s="101" t="s">
        <v>86</v>
      </c>
      <c r="X133" s="101" t="s">
        <v>87</v>
      </c>
      <c r="Y133" s="101" t="s">
        <v>88</v>
      </c>
      <c r="Z133" s="101" t="s">
        <v>89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212">
        <v>2026</v>
      </c>
    </row>
    <row r="134" spans="1:52" s="107" customFormat="1" ht="15" customHeight="1">
      <c r="A134" s="104" t="s">
        <v>219</v>
      </c>
      <c r="B134" s="105">
        <v>1</v>
      </c>
      <c r="C134" s="412"/>
      <c r="D134" s="412"/>
      <c r="E134" s="412"/>
      <c r="F134" s="412"/>
      <c r="G134" s="412"/>
      <c r="H134" s="412"/>
      <c r="I134" s="412"/>
      <c r="J134" s="412"/>
      <c r="K134" s="412"/>
      <c r="L134" s="412"/>
      <c r="M134" s="413"/>
      <c r="N134" s="413"/>
      <c r="O134" s="412"/>
      <c r="P134" s="412"/>
      <c r="Q134" s="412"/>
      <c r="R134" s="412"/>
      <c r="S134" s="412"/>
      <c r="T134" s="412"/>
      <c r="U134" s="412"/>
      <c r="V134" s="412"/>
      <c r="W134" s="412"/>
      <c r="X134" s="412"/>
      <c r="Y134" s="413"/>
      <c r="Z134" s="413">
        <v>0</v>
      </c>
      <c r="AA134" s="268"/>
      <c r="AB134" s="268"/>
      <c r="AC134" s="268"/>
      <c r="AD134" s="268"/>
      <c r="AE134" s="268"/>
      <c r="AF134" s="268"/>
      <c r="AG134" s="268"/>
      <c r="AH134" s="268"/>
      <c r="AI134" s="268"/>
      <c r="AJ134" s="268"/>
      <c r="AK134" s="268"/>
      <c r="AL134" s="268"/>
      <c r="AM134" s="268"/>
    </row>
    <row r="135" spans="1:52" s="107" customFormat="1" ht="15" customHeight="1">
      <c r="A135" s="108" t="s">
        <v>220</v>
      </c>
      <c r="B135" s="109">
        <v>2</v>
      </c>
      <c r="C135" s="122"/>
      <c r="D135" s="414"/>
      <c r="E135" s="414"/>
      <c r="F135" s="414"/>
      <c r="G135" s="414"/>
      <c r="H135" s="414"/>
      <c r="I135" s="414"/>
      <c r="J135" s="414">
        <v>0</v>
      </c>
      <c r="K135" s="414">
        <v>0</v>
      </c>
      <c r="L135" s="414">
        <v>0</v>
      </c>
      <c r="M135" s="415">
        <v>0</v>
      </c>
      <c r="N135" s="416">
        <v>0</v>
      </c>
      <c r="O135" s="122">
        <v>0</v>
      </c>
      <c r="P135" s="414">
        <v>0</v>
      </c>
      <c r="Q135" s="414">
        <v>0</v>
      </c>
      <c r="R135" s="414">
        <v>0</v>
      </c>
      <c r="S135" s="414">
        <v>0</v>
      </c>
      <c r="T135" s="414">
        <v>0</v>
      </c>
      <c r="U135" s="414">
        <v>0</v>
      </c>
      <c r="V135" s="414"/>
      <c r="W135" s="414">
        <v>0</v>
      </c>
      <c r="X135" s="414"/>
      <c r="Y135" s="415"/>
      <c r="Z135" s="415">
        <v>0</v>
      </c>
      <c r="AA135" s="133">
        <v>0</v>
      </c>
      <c r="AB135" s="133">
        <v>0</v>
      </c>
      <c r="AC135" s="133">
        <v>0</v>
      </c>
      <c r="AD135" s="133">
        <v>0</v>
      </c>
      <c r="AE135" s="133">
        <v>0</v>
      </c>
      <c r="AF135" s="133">
        <v>0</v>
      </c>
      <c r="AG135" s="133">
        <v>0</v>
      </c>
      <c r="AH135" s="133">
        <v>0</v>
      </c>
      <c r="AI135" s="133">
        <v>0</v>
      </c>
      <c r="AJ135" s="133">
        <v>0</v>
      </c>
      <c r="AK135" s="133">
        <v>0</v>
      </c>
      <c r="AL135" s="133">
        <v>0</v>
      </c>
      <c r="AM135" s="111">
        <f t="shared" ref="AM135:AM153" si="10">SUM(AA135:AL135)</f>
        <v>0</v>
      </c>
    </row>
    <row r="136" spans="1:52" s="107" customFormat="1" ht="15" customHeight="1">
      <c r="A136" s="113" t="s">
        <v>221</v>
      </c>
      <c r="B136" s="114">
        <v>3</v>
      </c>
      <c r="C136" s="115"/>
      <c r="D136" s="417"/>
      <c r="E136" s="417"/>
      <c r="F136" s="417"/>
      <c r="G136" s="417"/>
      <c r="H136" s="417"/>
      <c r="I136" s="417"/>
      <c r="J136" s="417">
        <v>0</v>
      </c>
      <c r="K136" s="417">
        <v>0</v>
      </c>
      <c r="L136" s="417">
        <v>0</v>
      </c>
      <c r="M136" s="418">
        <v>0</v>
      </c>
      <c r="N136" s="419">
        <v>0</v>
      </c>
      <c r="O136" s="115">
        <v>0</v>
      </c>
      <c r="P136" s="417">
        <v>0</v>
      </c>
      <c r="Q136" s="417">
        <v>0</v>
      </c>
      <c r="R136" s="417">
        <v>0</v>
      </c>
      <c r="S136" s="417">
        <v>0</v>
      </c>
      <c r="T136" s="417">
        <v>0</v>
      </c>
      <c r="U136" s="417">
        <v>0</v>
      </c>
      <c r="V136" s="417"/>
      <c r="W136" s="417">
        <v>0</v>
      </c>
      <c r="X136" s="417"/>
      <c r="Y136" s="418"/>
      <c r="Z136" s="418">
        <v>0</v>
      </c>
      <c r="AA136" s="280">
        <v>0</v>
      </c>
      <c r="AB136" s="280">
        <v>0</v>
      </c>
      <c r="AC136" s="280">
        <v>0</v>
      </c>
      <c r="AD136" s="280">
        <v>0</v>
      </c>
      <c r="AE136" s="280">
        <v>0</v>
      </c>
      <c r="AF136" s="280">
        <v>0</v>
      </c>
      <c r="AG136" s="280">
        <v>0</v>
      </c>
      <c r="AH136" s="280">
        <v>0</v>
      </c>
      <c r="AI136" s="280">
        <v>0</v>
      </c>
      <c r="AJ136" s="280">
        <v>0</v>
      </c>
      <c r="AK136" s="280">
        <v>0</v>
      </c>
      <c r="AL136" s="280">
        <v>0</v>
      </c>
      <c r="AM136" s="111">
        <f t="shared" si="10"/>
        <v>0</v>
      </c>
    </row>
    <row r="137" spans="1:52" s="107" customFormat="1" ht="15" customHeight="1">
      <c r="A137" s="108" t="s">
        <v>222</v>
      </c>
      <c r="B137" s="116">
        <v>4</v>
      </c>
      <c r="C137" s="122"/>
      <c r="D137" s="414"/>
      <c r="E137" s="414"/>
      <c r="F137" s="414"/>
      <c r="G137" s="414"/>
      <c r="H137" s="414"/>
      <c r="I137" s="414"/>
      <c r="J137" s="414">
        <v>0</v>
      </c>
      <c r="K137" s="414">
        <v>0</v>
      </c>
      <c r="L137" s="414">
        <v>0</v>
      </c>
      <c r="M137" s="415">
        <v>0</v>
      </c>
      <c r="N137" s="416">
        <v>0</v>
      </c>
      <c r="O137" s="122">
        <v>0</v>
      </c>
      <c r="P137" s="414">
        <v>0</v>
      </c>
      <c r="Q137" s="414">
        <v>0</v>
      </c>
      <c r="R137" s="414">
        <v>0</v>
      </c>
      <c r="S137" s="414">
        <v>0</v>
      </c>
      <c r="T137" s="414">
        <v>0</v>
      </c>
      <c r="U137" s="414">
        <v>0</v>
      </c>
      <c r="V137" s="414"/>
      <c r="W137" s="414">
        <v>0</v>
      </c>
      <c r="X137" s="414"/>
      <c r="Y137" s="415"/>
      <c r="Z137" s="415">
        <v>0</v>
      </c>
      <c r="AA137" s="132">
        <v>0</v>
      </c>
      <c r="AB137" s="133">
        <v>0</v>
      </c>
      <c r="AC137" s="133">
        <v>0</v>
      </c>
      <c r="AD137" s="133">
        <v>0</v>
      </c>
      <c r="AE137" s="133">
        <v>0</v>
      </c>
      <c r="AF137" s="133">
        <v>0</v>
      </c>
      <c r="AG137" s="133">
        <v>0</v>
      </c>
      <c r="AH137" s="133">
        <v>0</v>
      </c>
      <c r="AI137" s="133">
        <v>0</v>
      </c>
      <c r="AJ137" s="133">
        <v>0</v>
      </c>
      <c r="AK137" s="133">
        <v>0</v>
      </c>
      <c r="AL137" s="133">
        <v>0</v>
      </c>
      <c r="AM137" s="111">
        <f t="shared" si="10"/>
        <v>0</v>
      </c>
    </row>
    <row r="138" spans="1:52" s="107" customFormat="1" ht="15" customHeight="1">
      <c r="A138" s="113" t="s">
        <v>223</v>
      </c>
      <c r="B138" s="118">
        <v>5</v>
      </c>
      <c r="C138" s="115"/>
      <c r="D138" s="417"/>
      <c r="E138" s="417"/>
      <c r="F138" s="417"/>
      <c r="G138" s="417"/>
      <c r="H138" s="417"/>
      <c r="I138" s="417"/>
      <c r="J138" s="417">
        <v>0</v>
      </c>
      <c r="K138" s="417">
        <v>0</v>
      </c>
      <c r="L138" s="417">
        <v>0</v>
      </c>
      <c r="M138" s="418">
        <v>0</v>
      </c>
      <c r="N138" s="419">
        <v>0</v>
      </c>
      <c r="O138" s="115">
        <v>0</v>
      </c>
      <c r="P138" s="417">
        <v>0</v>
      </c>
      <c r="Q138" s="417">
        <v>0</v>
      </c>
      <c r="R138" s="417">
        <v>0</v>
      </c>
      <c r="S138" s="417">
        <v>0</v>
      </c>
      <c r="T138" s="417">
        <v>0</v>
      </c>
      <c r="U138" s="417">
        <v>0</v>
      </c>
      <c r="V138" s="417"/>
      <c r="W138" s="417">
        <v>0</v>
      </c>
      <c r="X138" s="417"/>
      <c r="Y138" s="418"/>
      <c r="Z138" s="418">
        <v>0</v>
      </c>
      <c r="AA138" s="286"/>
      <c r="AB138" s="283"/>
      <c r="AC138" s="283"/>
      <c r="AD138" s="283"/>
      <c r="AE138" s="283"/>
      <c r="AF138" s="283"/>
      <c r="AG138" s="283"/>
      <c r="AH138" s="283"/>
      <c r="AI138" s="283"/>
      <c r="AJ138" s="283"/>
      <c r="AK138" s="283"/>
      <c r="AL138" s="283"/>
      <c r="AM138" s="120">
        <f t="shared" si="10"/>
        <v>0</v>
      </c>
    </row>
    <row r="139" spans="1:52" s="107" customFormat="1" ht="15" customHeight="1">
      <c r="A139" s="108" t="s">
        <v>224</v>
      </c>
      <c r="B139" s="121">
        <v>6</v>
      </c>
      <c r="C139" s="122"/>
      <c r="D139" s="414"/>
      <c r="E139" s="414"/>
      <c r="F139" s="414"/>
      <c r="G139" s="414"/>
      <c r="H139" s="414"/>
      <c r="I139" s="414"/>
      <c r="J139" s="414">
        <v>0</v>
      </c>
      <c r="K139" s="414">
        <v>0</v>
      </c>
      <c r="L139" s="414">
        <v>0</v>
      </c>
      <c r="M139" s="415">
        <v>0</v>
      </c>
      <c r="N139" s="416">
        <v>0</v>
      </c>
      <c r="O139" s="122">
        <v>0</v>
      </c>
      <c r="P139" s="414">
        <v>0</v>
      </c>
      <c r="Q139" s="414">
        <v>0</v>
      </c>
      <c r="R139" s="414">
        <v>0</v>
      </c>
      <c r="S139" s="414">
        <v>0</v>
      </c>
      <c r="T139" s="414">
        <v>0</v>
      </c>
      <c r="U139" s="414">
        <v>0</v>
      </c>
      <c r="V139" s="414"/>
      <c r="W139" s="414">
        <v>0</v>
      </c>
      <c r="X139" s="414"/>
      <c r="Y139" s="415"/>
      <c r="Z139" s="415">
        <v>0</v>
      </c>
      <c r="AA139" s="123">
        <f>AA137-AA138</f>
        <v>0</v>
      </c>
      <c r="AB139" s="124">
        <f t="shared" ref="AB139:AL139" si="11">AB137-AB138</f>
        <v>0</v>
      </c>
      <c r="AC139" s="124">
        <f t="shared" si="11"/>
        <v>0</v>
      </c>
      <c r="AD139" s="124">
        <f t="shared" si="11"/>
        <v>0</v>
      </c>
      <c r="AE139" s="124">
        <f t="shared" si="11"/>
        <v>0</v>
      </c>
      <c r="AF139" s="124">
        <f t="shared" si="11"/>
        <v>0</v>
      </c>
      <c r="AG139" s="124">
        <f t="shared" si="11"/>
        <v>0</v>
      </c>
      <c r="AH139" s="124">
        <f t="shared" si="11"/>
        <v>0</v>
      </c>
      <c r="AI139" s="124">
        <f t="shared" si="11"/>
        <v>0</v>
      </c>
      <c r="AJ139" s="124">
        <f t="shared" si="11"/>
        <v>0</v>
      </c>
      <c r="AK139" s="124">
        <f t="shared" si="11"/>
        <v>0</v>
      </c>
      <c r="AL139" s="124">
        <f t="shared" si="11"/>
        <v>0</v>
      </c>
      <c r="AM139" s="125">
        <f t="shared" si="10"/>
        <v>0</v>
      </c>
    </row>
    <row r="140" spans="1:52" s="107" customFormat="1" ht="15" customHeight="1">
      <c r="A140" s="108" t="s">
        <v>225</v>
      </c>
      <c r="B140" s="121">
        <v>7</v>
      </c>
      <c r="C140" s="122"/>
      <c r="D140" s="414"/>
      <c r="E140" s="414"/>
      <c r="F140" s="414"/>
      <c r="G140" s="414"/>
      <c r="H140" s="414"/>
      <c r="I140" s="414"/>
      <c r="J140" s="414"/>
      <c r="K140" s="414"/>
      <c r="L140" s="414"/>
      <c r="M140" s="415"/>
      <c r="N140" s="416"/>
      <c r="O140" s="122"/>
      <c r="P140" s="414"/>
      <c r="Q140" s="414"/>
      <c r="R140" s="414"/>
      <c r="S140" s="414"/>
      <c r="T140" s="414"/>
      <c r="U140" s="414"/>
      <c r="V140" s="414"/>
      <c r="W140" s="414"/>
      <c r="X140" s="414"/>
      <c r="Y140" s="415"/>
      <c r="Z140" s="415">
        <v>0</v>
      </c>
      <c r="AA140" s="123">
        <v>0</v>
      </c>
      <c r="AB140" s="124">
        <v>0</v>
      </c>
      <c r="AC140" s="124">
        <v>0</v>
      </c>
      <c r="AD140" s="124">
        <v>0</v>
      </c>
      <c r="AE140" s="124">
        <v>0</v>
      </c>
      <c r="AF140" s="124">
        <v>0</v>
      </c>
      <c r="AG140" s="124">
        <v>0</v>
      </c>
      <c r="AH140" s="124">
        <v>0</v>
      </c>
      <c r="AI140" s="124">
        <v>0</v>
      </c>
      <c r="AJ140" s="124">
        <v>0</v>
      </c>
      <c r="AK140" s="124">
        <v>0</v>
      </c>
      <c r="AL140" s="124">
        <v>0</v>
      </c>
      <c r="AM140" s="125">
        <f t="shared" si="10"/>
        <v>0</v>
      </c>
    </row>
    <row r="141" spans="1:52" s="107" customFormat="1" ht="15" customHeight="1">
      <c r="A141" s="113" t="s">
        <v>226</v>
      </c>
      <c r="B141" s="114">
        <v>8</v>
      </c>
      <c r="C141" s="115"/>
      <c r="D141" s="417"/>
      <c r="E141" s="417"/>
      <c r="F141" s="417"/>
      <c r="G141" s="417"/>
      <c r="H141" s="417"/>
      <c r="I141" s="417"/>
      <c r="J141" s="417">
        <v>0</v>
      </c>
      <c r="K141" s="417">
        <v>0</v>
      </c>
      <c r="L141" s="417">
        <v>0</v>
      </c>
      <c r="M141" s="418">
        <v>0</v>
      </c>
      <c r="N141" s="419">
        <v>6263</v>
      </c>
      <c r="O141" s="115">
        <v>7702</v>
      </c>
      <c r="P141" s="417">
        <v>7321</v>
      </c>
      <c r="Q141" s="417">
        <v>6613</v>
      </c>
      <c r="R141" s="417">
        <v>3453516</v>
      </c>
      <c r="S141" s="417">
        <v>4952</v>
      </c>
      <c r="T141" s="417">
        <v>6707</v>
      </c>
      <c r="U141" s="417">
        <v>6701</v>
      </c>
      <c r="V141" s="417">
        <v>6924</v>
      </c>
      <c r="W141" s="417">
        <v>1552</v>
      </c>
      <c r="X141" s="417">
        <v>945</v>
      </c>
      <c r="Y141" s="418">
        <v>7058510</v>
      </c>
      <c r="Z141" s="418">
        <v>997</v>
      </c>
      <c r="AA141" s="287">
        <v>5548.1111111111113</v>
      </c>
      <c r="AB141" s="279">
        <v>5548.1111111111113</v>
      </c>
      <c r="AC141" s="279">
        <v>5548.1111111111113</v>
      </c>
      <c r="AD141" s="279">
        <v>5548.1111111111113</v>
      </c>
      <c r="AE141" s="279">
        <v>5548.1111111111113</v>
      </c>
      <c r="AF141" s="279">
        <v>5548.1111111111113</v>
      </c>
      <c r="AG141" s="279">
        <v>5548.1111111111113</v>
      </c>
      <c r="AH141" s="279">
        <v>5548.1111111111113</v>
      </c>
      <c r="AI141" s="279">
        <v>5548.1111111111113</v>
      </c>
      <c r="AJ141" s="279">
        <v>5548.1111111111113</v>
      </c>
      <c r="AK141" s="279">
        <v>5548.1111111111113</v>
      </c>
      <c r="AL141" s="279">
        <v>5548.1111111111113</v>
      </c>
      <c r="AM141" s="127">
        <f t="shared" si="10"/>
        <v>66577.333333333328</v>
      </c>
    </row>
    <row r="142" spans="1:52" s="107" customFormat="1" ht="15" customHeight="1">
      <c r="A142" s="108" t="s">
        <v>227</v>
      </c>
      <c r="B142" s="109">
        <v>9</v>
      </c>
      <c r="C142" s="122"/>
      <c r="D142" s="414"/>
      <c r="E142" s="414"/>
      <c r="F142" s="414"/>
      <c r="G142" s="414"/>
      <c r="H142" s="414"/>
      <c r="I142" s="414"/>
      <c r="J142" s="414">
        <v>0</v>
      </c>
      <c r="K142" s="414">
        <v>0</v>
      </c>
      <c r="L142" s="414">
        <v>0</v>
      </c>
      <c r="M142" s="415">
        <v>0</v>
      </c>
      <c r="N142" s="416">
        <v>0</v>
      </c>
      <c r="O142" s="122">
        <v>0</v>
      </c>
      <c r="P142" s="414">
        <v>0</v>
      </c>
      <c r="Q142" s="414">
        <v>0</v>
      </c>
      <c r="R142" s="414">
        <v>0</v>
      </c>
      <c r="S142" s="414">
        <v>0</v>
      </c>
      <c r="T142" s="414">
        <v>0</v>
      </c>
      <c r="U142" s="414">
        <v>0</v>
      </c>
      <c r="V142" s="414"/>
      <c r="W142" s="414">
        <v>0</v>
      </c>
      <c r="X142" s="414">
        <v>0</v>
      </c>
      <c r="Y142" s="415"/>
      <c r="Z142" s="415">
        <v>0</v>
      </c>
      <c r="AA142" s="123">
        <v>0</v>
      </c>
      <c r="AB142" s="124">
        <v>0</v>
      </c>
      <c r="AC142" s="124">
        <v>0</v>
      </c>
      <c r="AD142" s="124">
        <v>0</v>
      </c>
      <c r="AE142" s="124">
        <v>0</v>
      </c>
      <c r="AF142" s="124">
        <v>0</v>
      </c>
      <c r="AG142" s="124">
        <v>0</v>
      </c>
      <c r="AH142" s="124">
        <v>0</v>
      </c>
      <c r="AI142" s="124">
        <v>0</v>
      </c>
      <c r="AJ142" s="124">
        <v>0</v>
      </c>
      <c r="AK142" s="124">
        <v>0</v>
      </c>
      <c r="AL142" s="124">
        <v>0</v>
      </c>
      <c r="AM142" s="125">
        <f t="shared" si="10"/>
        <v>0</v>
      </c>
    </row>
    <row r="143" spans="1:52" s="107" customFormat="1" ht="15" customHeight="1">
      <c r="A143" s="113" t="s">
        <v>228</v>
      </c>
      <c r="B143" s="114">
        <v>10</v>
      </c>
      <c r="C143" s="115"/>
      <c r="D143" s="417"/>
      <c r="E143" s="417"/>
      <c r="F143" s="417"/>
      <c r="G143" s="417"/>
      <c r="H143" s="417"/>
      <c r="I143" s="417"/>
      <c r="J143" s="417">
        <v>0</v>
      </c>
      <c r="K143" s="417">
        <v>0</v>
      </c>
      <c r="L143" s="417">
        <v>0</v>
      </c>
      <c r="M143" s="418">
        <v>0</v>
      </c>
      <c r="N143" s="419">
        <v>0</v>
      </c>
      <c r="O143" s="115">
        <v>0</v>
      </c>
      <c r="P143" s="417">
        <v>0</v>
      </c>
      <c r="Q143" s="417">
        <v>0</v>
      </c>
      <c r="R143" s="417">
        <v>0</v>
      </c>
      <c r="S143" s="417">
        <v>0</v>
      </c>
      <c r="T143" s="417">
        <v>0</v>
      </c>
      <c r="U143" s="417">
        <v>0</v>
      </c>
      <c r="V143" s="417"/>
      <c r="W143" s="417">
        <v>0</v>
      </c>
      <c r="X143" s="417">
        <v>0</v>
      </c>
      <c r="Y143" s="418"/>
      <c r="Z143" s="418">
        <v>0</v>
      </c>
      <c r="AA143" s="287">
        <v>0</v>
      </c>
      <c r="AB143" s="279">
        <v>0</v>
      </c>
      <c r="AC143" s="279">
        <v>0</v>
      </c>
      <c r="AD143" s="279">
        <v>0</v>
      </c>
      <c r="AE143" s="279">
        <v>0</v>
      </c>
      <c r="AF143" s="279">
        <v>0</v>
      </c>
      <c r="AG143" s="279">
        <v>0</v>
      </c>
      <c r="AH143" s="279">
        <v>0</v>
      </c>
      <c r="AI143" s="279">
        <v>0</v>
      </c>
      <c r="AJ143" s="279">
        <v>0</v>
      </c>
      <c r="AK143" s="279">
        <v>0</v>
      </c>
      <c r="AL143" s="279">
        <v>0</v>
      </c>
      <c r="AM143" s="127">
        <f t="shared" si="10"/>
        <v>0</v>
      </c>
    </row>
    <row r="144" spans="1:52" s="107" customFormat="1" ht="15" customHeight="1">
      <c r="A144" s="113" t="s">
        <v>229</v>
      </c>
      <c r="B144" s="114">
        <v>11</v>
      </c>
      <c r="C144" s="115"/>
      <c r="D144" s="417"/>
      <c r="E144" s="417"/>
      <c r="F144" s="417"/>
      <c r="G144" s="417"/>
      <c r="H144" s="417"/>
      <c r="I144" s="417"/>
      <c r="J144" s="417">
        <v>0</v>
      </c>
      <c r="K144" s="417">
        <v>0</v>
      </c>
      <c r="L144" s="417">
        <v>0</v>
      </c>
      <c r="M144" s="418">
        <v>0</v>
      </c>
      <c r="N144" s="419">
        <v>0</v>
      </c>
      <c r="O144" s="115">
        <v>0</v>
      </c>
      <c r="P144" s="417">
        <v>0</v>
      </c>
      <c r="Q144" s="417">
        <v>0</v>
      </c>
      <c r="R144" s="417">
        <v>0</v>
      </c>
      <c r="S144" s="417">
        <v>0</v>
      </c>
      <c r="T144" s="417">
        <v>0</v>
      </c>
      <c r="U144" s="417">
        <v>0</v>
      </c>
      <c r="V144" s="417"/>
      <c r="W144" s="417">
        <v>0</v>
      </c>
      <c r="X144" s="417">
        <v>0</v>
      </c>
      <c r="Y144" s="418"/>
      <c r="Z144" s="418">
        <v>0</v>
      </c>
      <c r="AA144" s="288">
        <v>0</v>
      </c>
      <c r="AB144" s="278">
        <v>0</v>
      </c>
      <c r="AC144" s="278">
        <v>0</v>
      </c>
      <c r="AD144" s="278">
        <v>0</v>
      </c>
      <c r="AE144" s="278">
        <v>0</v>
      </c>
      <c r="AF144" s="278">
        <v>0</v>
      </c>
      <c r="AG144" s="278">
        <v>0</v>
      </c>
      <c r="AH144" s="278">
        <v>0</v>
      </c>
      <c r="AI144" s="278">
        <v>0</v>
      </c>
      <c r="AJ144" s="278">
        <v>0</v>
      </c>
      <c r="AK144" s="278">
        <v>0</v>
      </c>
      <c r="AL144" s="278">
        <v>0</v>
      </c>
      <c r="AM144" s="131">
        <f t="shared" si="10"/>
        <v>0</v>
      </c>
    </row>
    <row r="145" spans="1:40" s="107" customFormat="1" ht="15" customHeight="1">
      <c r="A145" s="113" t="s">
        <v>230</v>
      </c>
      <c r="B145" s="114">
        <v>12</v>
      </c>
      <c r="C145" s="115"/>
      <c r="D145" s="417"/>
      <c r="E145" s="417"/>
      <c r="F145" s="417"/>
      <c r="G145" s="417"/>
      <c r="H145" s="417"/>
      <c r="I145" s="417"/>
      <c r="J145" s="417">
        <v>400000</v>
      </c>
      <c r="K145" s="417">
        <v>15035354</v>
      </c>
      <c r="L145" s="417">
        <v>615035354</v>
      </c>
      <c r="M145" s="418">
        <v>615035354</v>
      </c>
      <c r="N145" s="419">
        <v>615584737</v>
      </c>
      <c r="O145" s="115">
        <v>18584737</v>
      </c>
      <c r="P145" s="417">
        <v>1215584737</v>
      </c>
      <c r="Q145" s="417">
        <v>615584737</v>
      </c>
      <c r="R145" s="417">
        <v>616214737</v>
      </c>
      <c r="S145" s="417">
        <v>615584737</v>
      </c>
      <c r="T145" s="417">
        <v>615584737</v>
      </c>
      <c r="U145" s="417">
        <v>600854737</v>
      </c>
      <c r="V145" s="417">
        <v>600584737</v>
      </c>
      <c r="W145" s="417">
        <v>600584737</v>
      </c>
      <c r="X145" s="417">
        <v>600584737</v>
      </c>
      <c r="Y145" s="418">
        <v>600584737</v>
      </c>
      <c r="Z145" s="418">
        <v>600584737</v>
      </c>
      <c r="AA145" s="288">
        <v>4984737</v>
      </c>
      <c r="AB145" s="278">
        <v>4584737</v>
      </c>
      <c r="AC145" s="278">
        <v>4584737</v>
      </c>
      <c r="AD145" s="278">
        <v>4984737</v>
      </c>
      <c r="AE145" s="278">
        <v>4584737</v>
      </c>
      <c r="AF145" s="278">
        <v>4584737</v>
      </c>
      <c r="AG145" s="278">
        <v>4584737</v>
      </c>
      <c r="AH145" s="278">
        <v>4984737</v>
      </c>
      <c r="AI145" s="278">
        <v>4584737</v>
      </c>
      <c r="AJ145" s="278">
        <v>4584737</v>
      </c>
      <c r="AK145" s="278">
        <v>4984737</v>
      </c>
      <c r="AL145" s="278">
        <v>4584737</v>
      </c>
      <c r="AM145" s="131">
        <f t="shared" si="10"/>
        <v>56616844</v>
      </c>
    </row>
    <row r="146" spans="1:40" s="107" customFormat="1" ht="15" customHeight="1">
      <c r="A146" s="108" t="s">
        <v>231</v>
      </c>
      <c r="B146" s="109">
        <v>13</v>
      </c>
      <c r="C146" s="110">
        <f t="shared" ref="C146:I146" si="12">+C139+C141-C142-C144-C145</f>
        <v>0</v>
      </c>
      <c r="D146" s="420">
        <f t="shared" si="12"/>
        <v>0</v>
      </c>
      <c r="E146" s="420">
        <f t="shared" si="12"/>
        <v>0</v>
      </c>
      <c r="F146" s="420">
        <f t="shared" si="12"/>
        <v>0</v>
      </c>
      <c r="G146" s="420">
        <f t="shared" si="12"/>
        <v>0</v>
      </c>
      <c r="H146" s="420">
        <f t="shared" si="12"/>
        <v>0</v>
      </c>
      <c r="I146" s="420">
        <f t="shared" si="12"/>
        <v>0</v>
      </c>
      <c r="J146" s="420">
        <v>-400000</v>
      </c>
      <c r="K146" s="420">
        <v>-15035354</v>
      </c>
      <c r="L146" s="420">
        <v>-615035354</v>
      </c>
      <c r="M146" s="420">
        <v>-615035354</v>
      </c>
      <c r="N146" s="420">
        <v>-615578474</v>
      </c>
      <c r="O146" s="110">
        <v>-18577035</v>
      </c>
      <c r="P146" s="420">
        <v>-1215577416</v>
      </c>
      <c r="Q146" s="420">
        <v>-615578124</v>
      </c>
      <c r="R146" s="420">
        <v>-612761221</v>
      </c>
      <c r="S146" s="420">
        <v>-615579785</v>
      </c>
      <c r="T146" s="420">
        <v>-615578030</v>
      </c>
      <c r="U146" s="420">
        <v>-600848036</v>
      </c>
      <c r="V146" s="420">
        <v>-600577813</v>
      </c>
      <c r="W146" s="420">
        <v>-600583185</v>
      </c>
      <c r="X146" s="420">
        <v>-600583792</v>
      </c>
      <c r="Y146" s="420">
        <v>-593526227</v>
      </c>
      <c r="Z146" s="420">
        <v>-600583740</v>
      </c>
      <c r="AA146" s="123">
        <f>AA139+AA140+AA141-AA142-AA144-AA145</f>
        <v>-4979188.888888889</v>
      </c>
      <c r="AB146" s="124">
        <f t="shared" ref="AB146:AL146" si="13">AB139+AB140+AB141-AB142-AB144-AB145</f>
        <v>-4579188.888888889</v>
      </c>
      <c r="AC146" s="124">
        <f t="shared" si="13"/>
        <v>-4579188.888888889</v>
      </c>
      <c r="AD146" s="124">
        <f t="shared" si="13"/>
        <v>-4979188.888888889</v>
      </c>
      <c r="AE146" s="124">
        <f t="shared" si="13"/>
        <v>-4579188.888888889</v>
      </c>
      <c r="AF146" s="124">
        <f t="shared" si="13"/>
        <v>-4579188.888888889</v>
      </c>
      <c r="AG146" s="124">
        <f t="shared" si="13"/>
        <v>-4579188.888888889</v>
      </c>
      <c r="AH146" s="124">
        <f t="shared" si="13"/>
        <v>-4979188.888888889</v>
      </c>
      <c r="AI146" s="124">
        <f t="shared" si="13"/>
        <v>-4579188.888888889</v>
      </c>
      <c r="AJ146" s="124">
        <f t="shared" si="13"/>
        <v>-4579188.888888889</v>
      </c>
      <c r="AK146" s="124">
        <f t="shared" si="13"/>
        <v>-4979188.888888889</v>
      </c>
      <c r="AL146" s="124">
        <f t="shared" si="13"/>
        <v>-4579188.888888889</v>
      </c>
      <c r="AM146" s="125">
        <f t="shared" si="10"/>
        <v>-56550266.666666664</v>
      </c>
    </row>
    <row r="147" spans="1:40" s="107" customFormat="1" ht="15" customHeight="1">
      <c r="A147" s="113" t="s">
        <v>232</v>
      </c>
      <c r="B147" s="114">
        <v>14</v>
      </c>
      <c r="C147" s="115"/>
      <c r="D147" s="417"/>
      <c r="E147" s="417"/>
      <c r="F147" s="417"/>
      <c r="G147" s="417"/>
      <c r="H147" s="417"/>
      <c r="I147" s="417"/>
      <c r="J147" s="417">
        <v>0</v>
      </c>
      <c r="K147" s="417">
        <v>0</v>
      </c>
      <c r="L147" s="417">
        <v>0</v>
      </c>
      <c r="M147" s="418">
        <v>0</v>
      </c>
      <c r="N147" s="419">
        <v>0</v>
      </c>
      <c r="O147" s="115">
        <v>0</v>
      </c>
      <c r="P147" s="417">
        <v>0</v>
      </c>
      <c r="Q147" s="417">
        <v>0</v>
      </c>
      <c r="R147" s="417">
        <v>0</v>
      </c>
      <c r="S147" s="417">
        <v>0</v>
      </c>
      <c r="T147" s="417">
        <v>0</v>
      </c>
      <c r="U147" s="417">
        <v>0</v>
      </c>
      <c r="V147" s="417"/>
      <c r="W147" s="417">
        <v>0</v>
      </c>
      <c r="X147" s="417">
        <v>0</v>
      </c>
      <c r="Y147" s="418"/>
      <c r="Z147" s="418">
        <v>0</v>
      </c>
      <c r="AA147" s="287">
        <v>0</v>
      </c>
      <c r="AB147" s="279">
        <v>0</v>
      </c>
      <c r="AC147" s="279">
        <v>0</v>
      </c>
      <c r="AD147" s="279">
        <v>0</v>
      </c>
      <c r="AE147" s="279">
        <v>0</v>
      </c>
      <c r="AF147" s="279">
        <v>0</v>
      </c>
      <c r="AG147" s="279">
        <v>0</v>
      </c>
      <c r="AH147" s="279">
        <v>0</v>
      </c>
      <c r="AI147" s="279">
        <v>0</v>
      </c>
      <c r="AJ147" s="279">
        <v>0</v>
      </c>
      <c r="AK147" s="279">
        <v>0</v>
      </c>
      <c r="AL147" s="279">
        <v>0</v>
      </c>
      <c r="AM147" s="127">
        <f t="shared" si="10"/>
        <v>0</v>
      </c>
    </row>
    <row r="148" spans="1:40" s="107" customFormat="1" ht="15" customHeight="1">
      <c r="A148" s="113" t="s">
        <v>233</v>
      </c>
      <c r="B148" s="114">
        <v>15</v>
      </c>
      <c r="C148" s="115"/>
      <c r="D148" s="417"/>
      <c r="E148" s="417"/>
      <c r="F148" s="417"/>
      <c r="G148" s="417"/>
      <c r="H148" s="417"/>
      <c r="I148" s="417"/>
      <c r="J148" s="417">
        <v>0</v>
      </c>
      <c r="K148" s="417">
        <v>0</v>
      </c>
      <c r="L148" s="417">
        <v>0</v>
      </c>
      <c r="M148" s="418">
        <v>0</v>
      </c>
      <c r="N148" s="419">
        <v>0</v>
      </c>
      <c r="O148" s="115">
        <v>0</v>
      </c>
      <c r="P148" s="417">
        <v>0</v>
      </c>
      <c r="Q148" s="417">
        <v>0</v>
      </c>
      <c r="R148" s="417">
        <v>0</v>
      </c>
      <c r="S148" s="417">
        <v>0</v>
      </c>
      <c r="T148" s="417">
        <v>1000000</v>
      </c>
      <c r="U148" s="417">
        <v>0</v>
      </c>
      <c r="V148" s="417"/>
      <c r="W148" s="417">
        <v>0</v>
      </c>
      <c r="X148" s="417">
        <v>0</v>
      </c>
      <c r="Y148" s="418"/>
      <c r="Z148" s="418">
        <v>0</v>
      </c>
      <c r="AA148" s="287">
        <v>0</v>
      </c>
      <c r="AB148" s="279">
        <v>0</v>
      </c>
      <c r="AC148" s="279">
        <v>0</v>
      </c>
      <c r="AD148" s="279">
        <v>0</v>
      </c>
      <c r="AE148" s="279">
        <v>0</v>
      </c>
      <c r="AF148" s="279">
        <v>0</v>
      </c>
      <c r="AG148" s="279">
        <v>0</v>
      </c>
      <c r="AH148" s="279">
        <v>0</v>
      </c>
      <c r="AI148" s="279">
        <v>0</v>
      </c>
      <c r="AJ148" s="279">
        <v>0</v>
      </c>
      <c r="AK148" s="279">
        <v>0</v>
      </c>
      <c r="AL148" s="279">
        <v>0</v>
      </c>
      <c r="AM148" s="127">
        <f t="shared" si="10"/>
        <v>0</v>
      </c>
    </row>
    <row r="149" spans="1:40" s="107" customFormat="1" ht="15" customHeight="1">
      <c r="A149" s="108" t="s">
        <v>234</v>
      </c>
      <c r="B149" s="109">
        <v>16</v>
      </c>
      <c r="C149" s="122"/>
      <c r="D149" s="414">
        <f t="shared" ref="D149:I149" si="14">D147-D148</f>
        <v>0</v>
      </c>
      <c r="E149" s="414">
        <f t="shared" si="14"/>
        <v>0</v>
      </c>
      <c r="F149" s="414">
        <f t="shared" si="14"/>
        <v>0</v>
      </c>
      <c r="G149" s="414">
        <f t="shared" si="14"/>
        <v>0</v>
      </c>
      <c r="H149" s="414">
        <f t="shared" si="14"/>
        <v>0</v>
      </c>
      <c r="I149" s="414">
        <f t="shared" si="14"/>
        <v>0</v>
      </c>
      <c r="J149" s="414">
        <v>0</v>
      </c>
      <c r="K149" s="414">
        <v>0</v>
      </c>
      <c r="L149" s="414">
        <v>0</v>
      </c>
      <c r="M149" s="415">
        <v>0</v>
      </c>
      <c r="N149" s="416">
        <v>0</v>
      </c>
      <c r="O149" s="122">
        <v>0</v>
      </c>
      <c r="P149" s="414">
        <v>0</v>
      </c>
      <c r="Q149" s="414">
        <v>0</v>
      </c>
      <c r="R149" s="414">
        <v>0</v>
      </c>
      <c r="S149" s="414">
        <v>0</v>
      </c>
      <c r="T149" s="414">
        <v>-1000000</v>
      </c>
      <c r="U149" s="414">
        <v>0</v>
      </c>
      <c r="V149" s="414"/>
      <c r="W149" s="414">
        <v>0</v>
      </c>
      <c r="X149" s="414">
        <v>0</v>
      </c>
      <c r="Y149" s="415"/>
      <c r="Z149" s="415">
        <v>0</v>
      </c>
      <c r="AA149" s="123">
        <f>AA147-AA148</f>
        <v>0</v>
      </c>
      <c r="AB149" s="124">
        <f t="shared" ref="AB149:AL149" si="15">AB147-AB148</f>
        <v>0</v>
      </c>
      <c r="AC149" s="124">
        <f t="shared" si="15"/>
        <v>0</v>
      </c>
      <c r="AD149" s="124">
        <f t="shared" si="15"/>
        <v>0</v>
      </c>
      <c r="AE149" s="124">
        <f t="shared" si="15"/>
        <v>0</v>
      </c>
      <c r="AF149" s="124">
        <f t="shared" si="15"/>
        <v>0</v>
      </c>
      <c r="AG149" s="124">
        <f t="shared" si="15"/>
        <v>0</v>
      </c>
      <c r="AH149" s="124">
        <f t="shared" si="15"/>
        <v>0</v>
      </c>
      <c r="AI149" s="124">
        <f t="shared" si="15"/>
        <v>0</v>
      </c>
      <c r="AJ149" s="124">
        <f t="shared" si="15"/>
        <v>0</v>
      </c>
      <c r="AK149" s="124">
        <f t="shared" si="15"/>
        <v>0</v>
      </c>
      <c r="AL149" s="124">
        <f t="shared" si="15"/>
        <v>0</v>
      </c>
      <c r="AM149" s="125">
        <f t="shared" si="10"/>
        <v>0</v>
      </c>
    </row>
    <row r="150" spans="1:40" s="107" customFormat="1" ht="15" customHeight="1">
      <c r="A150" s="108" t="s">
        <v>235</v>
      </c>
      <c r="B150" s="116">
        <v>17</v>
      </c>
      <c r="C150" s="110">
        <f t="shared" ref="C150:I150" si="16">+C146+C149</f>
        <v>0</v>
      </c>
      <c r="D150" s="420">
        <f t="shared" si="16"/>
        <v>0</v>
      </c>
      <c r="E150" s="420">
        <f t="shared" si="16"/>
        <v>0</v>
      </c>
      <c r="F150" s="420">
        <f t="shared" si="16"/>
        <v>0</v>
      </c>
      <c r="G150" s="420">
        <f t="shared" si="16"/>
        <v>0</v>
      </c>
      <c r="H150" s="420">
        <f t="shared" si="16"/>
        <v>0</v>
      </c>
      <c r="I150" s="420">
        <f t="shared" si="16"/>
        <v>0</v>
      </c>
      <c r="J150" s="420">
        <v>-400000</v>
      </c>
      <c r="K150" s="420">
        <v>-15035354</v>
      </c>
      <c r="L150" s="420">
        <v>-615035354</v>
      </c>
      <c r="M150" s="420">
        <v>-615035354</v>
      </c>
      <c r="N150" s="420">
        <v>-615578474</v>
      </c>
      <c r="O150" s="110">
        <v>-18577035</v>
      </c>
      <c r="P150" s="420">
        <v>-1215577416</v>
      </c>
      <c r="Q150" s="420">
        <v>-615578124</v>
      </c>
      <c r="R150" s="420">
        <v>-612761221</v>
      </c>
      <c r="S150" s="420">
        <v>-615579785</v>
      </c>
      <c r="T150" s="420">
        <v>-616578030</v>
      </c>
      <c r="U150" s="420">
        <v>-600848036</v>
      </c>
      <c r="V150" s="420">
        <v>-600577813</v>
      </c>
      <c r="W150" s="420">
        <v>-600583185</v>
      </c>
      <c r="X150" s="420">
        <v>-600583792</v>
      </c>
      <c r="Y150" s="420">
        <v>-593526227</v>
      </c>
      <c r="Z150" s="420">
        <v>-600583740</v>
      </c>
      <c r="AA150" s="132">
        <v>-4979188.888888889</v>
      </c>
      <c r="AB150" s="133">
        <v>-4579188.888888889</v>
      </c>
      <c r="AC150" s="133">
        <v>-4579188.888888889</v>
      </c>
      <c r="AD150" s="133">
        <v>-4979188.888888889</v>
      </c>
      <c r="AE150" s="133">
        <v>-4579188.888888889</v>
      </c>
      <c r="AF150" s="133">
        <v>-4579188.888888889</v>
      </c>
      <c r="AG150" s="133">
        <v>-4579188.888888889</v>
      </c>
      <c r="AH150" s="133">
        <v>-4979188.888888889</v>
      </c>
      <c r="AI150" s="133">
        <v>-4579188.888888889</v>
      </c>
      <c r="AJ150" s="133">
        <v>-4579188.888888889</v>
      </c>
      <c r="AK150" s="133">
        <v>-4979188.888888889</v>
      </c>
      <c r="AL150" s="133">
        <v>-4579188.888888889</v>
      </c>
      <c r="AM150" s="111">
        <f t="shared" si="10"/>
        <v>-56550266.666666664</v>
      </c>
      <c r="AN150" s="359"/>
    </row>
    <row r="151" spans="1:40" s="107" customFormat="1" ht="15" customHeight="1">
      <c r="A151" s="134" t="s">
        <v>236</v>
      </c>
      <c r="B151" s="114">
        <v>18</v>
      </c>
      <c r="C151" s="135"/>
      <c r="D151" s="417"/>
      <c r="E151" s="417"/>
      <c r="F151" s="417"/>
      <c r="G151" s="417"/>
      <c r="H151" s="417"/>
      <c r="I151" s="417"/>
      <c r="J151" s="417">
        <v>0</v>
      </c>
      <c r="K151" s="417">
        <v>0</v>
      </c>
      <c r="L151" s="417"/>
      <c r="M151" s="418">
        <v>0</v>
      </c>
      <c r="N151" s="419">
        <v>0</v>
      </c>
      <c r="O151" s="135">
        <v>0</v>
      </c>
      <c r="P151" s="417">
        <v>0</v>
      </c>
      <c r="Q151" s="417">
        <v>0</v>
      </c>
      <c r="R151" s="417">
        <v>0</v>
      </c>
      <c r="S151" s="417">
        <v>0</v>
      </c>
      <c r="T151" s="417">
        <v>0</v>
      </c>
      <c r="U151" s="417">
        <v>0</v>
      </c>
      <c r="V151" s="417"/>
      <c r="W151" s="417">
        <v>0</v>
      </c>
      <c r="X151" s="417">
        <v>0</v>
      </c>
      <c r="Y151" s="418"/>
      <c r="Z151" s="418">
        <v>0</v>
      </c>
      <c r="AA151" s="292">
        <v>0</v>
      </c>
      <c r="AB151" s="290">
        <v>0</v>
      </c>
      <c r="AC151" s="290">
        <v>0</v>
      </c>
      <c r="AD151" s="290">
        <v>0</v>
      </c>
      <c r="AE151" s="290">
        <v>0</v>
      </c>
      <c r="AF151" s="290">
        <v>0</v>
      </c>
      <c r="AG151" s="290">
        <v>0</v>
      </c>
      <c r="AH151" s="290">
        <v>0</v>
      </c>
      <c r="AI151" s="290">
        <v>0</v>
      </c>
      <c r="AJ151" s="290">
        <v>0</v>
      </c>
      <c r="AK151" s="290">
        <v>0</v>
      </c>
      <c r="AL151" s="290">
        <v>0</v>
      </c>
      <c r="AM151" s="137">
        <f t="shared" si="10"/>
        <v>0</v>
      </c>
    </row>
    <row r="152" spans="1:40" s="107" customFormat="1" ht="15" customHeight="1">
      <c r="A152" s="113" t="s">
        <v>237</v>
      </c>
      <c r="B152" s="114">
        <v>19</v>
      </c>
      <c r="C152" s="115"/>
      <c r="D152" s="417"/>
      <c r="E152" s="417"/>
      <c r="F152" s="417"/>
      <c r="G152" s="417"/>
      <c r="H152" s="417"/>
      <c r="I152" s="417"/>
      <c r="J152" s="417">
        <v>0</v>
      </c>
      <c r="K152" s="417">
        <v>0</v>
      </c>
      <c r="L152" s="417"/>
      <c r="M152" s="418">
        <v>0</v>
      </c>
      <c r="N152" s="419">
        <v>0</v>
      </c>
      <c r="O152" s="115">
        <v>0</v>
      </c>
      <c r="P152" s="417">
        <v>0</v>
      </c>
      <c r="Q152" s="417">
        <v>0</v>
      </c>
      <c r="R152" s="417">
        <v>0</v>
      </c>
      <c r="S152" s="417">
        <v>0</v>
      </c>
      <c r="T152" s="417">
        <v>0</v>
      </c>
      <c r="U152" s="417">
        <v>0</v>
      </c>
      <c r="V152" s="417"/>
      <c r="W152" s="417">
        <v>0</v>
      </c>
      <c r="X152" s="417">
        <v>0</v>
      </c>
      <c r="Y152" s="418"/>
      <c r="Z152" s="418">
        <v>0</v>
      </c>
      <c r="AA152" s="287">
        <v>0</v>
      </c>
      <c r="AB152" s="279">
        <v>0</v>
      </c>
      <c r="AC152" s="279">
        <v>0</v>
      </c>
      <c r="AD152" s="279">
        <v>0</v>
      </c>
      <c r="AE152" s="279">
        <v>0</v>
      </c>
      <c r="AF152" s="279">
        <v>0</v>
      </c>
      <c r="AG152" s="279">
        <v>0</v>
      </c>
      <c r="AH152" s="279">
        <v>0</v>
      </c>
      <c r="AI152" s="279">
        <v>0</v>
      </c>
      <c r="AJ152" s="279">
        <v>0</v>
      </c>
      <c r="AK152" s="279">
        <v>0</v>
      </c>
      <c r="AL152" s="279">
        <v>0</v>
      </c>
      <c r="AM152" s="127">
        <f t="shared" si="10"/>
        <v>0</v>
      </c>
    </row>
    <row r="153" spans="1:40" s="107" customFormat="1" ht="15" customHeight="1">
      <c r="A153" s="108" t="s">
        <v>238</v>
      </c>
      <c r="B153" s="121">
        <v>20</v>
      </c>
      <c r="C153" s="110">
        <f t="shared" ref="C153:I153" si="17">+C150-C151-C152</f>
        <v>0</v>
      </c>
      <c r="D153" s="420">
        <f t="shared" si="17"/>
        <v>0</v>
      </c>
      <c r="E153" s="420">
        <f t="shared" si="17"/>
        <v>0</v>
      </c>
      <c r="F153" s="420">
        <f t="shared" si="17"/>
        <v>0</v>
      </c>
      <c r="G153" s="420">
        <f t="shared" si="17"/>
        <v>0</v>
      </c>
      <c r="H153" s="420">
        <f t="shared" si="17"/>
        <v>0</v>
      </c>
      <c r="I153" s="420">
        <f t="shared" si="17"/>
        <v>0</v>
      </c>
      <c r="J153" s="420">
        <v>-400000</v>
      </c>
      <c r="K153" s="420">
        <v>-15035354</v>
      </c>
      <c r="L153" s="420">
        <v>-615035354</v>
      </c>
      <c r="M153" s="420">
        <v>-615035354</v>
      </c>
      <c r="N153" s="420">
        <v>-615578474</v>
      </c>
      <c r="O153" s="110">
        <v>-18577035</v>
      </c>
      <c r="P153" s="420">
        <v>-1215577416</v>
      </c>
      <c r="Q153" s="420">
        <v>-615578124</v>
      </c>
      <c r="R153" s="420">
        <v>-612761221</v>
      </c>
      <c r="S153" s="420">
        <v>-615579785</v>
      </c>
      <c r="T153" s="420">
        <v>-616578030</v>
      </c>
      <c r="U153" s="420">
        <v>-600848036</v>
      </c>
      <c r="V153" s="420">
        <v>-600577813</v>
      </c>
      <c r="W153" s="420">
        <v>-600583185</v>
      </c>
      <c r="X153" s="420">
        <v>-600583792</v>
      </c>
      <c r="Y153" s="420">
        <v>-593526227</v>
      </c>
      <c r="Z153" s="420">
        <v>-600583740</v>
      </c>
      <c r="AA153" s="123">
        <v>-4979188.888888889</v>
      </c>
      <c r="AB153" s="124">
        <v>-4579188.888888889</v>
      </c>
      <c r="AC153" s="124">
        <v>-4579188.888888889</v>
      </c>
      <c r="AD153" s="124">
        <v>-4979188.888888889</v>
      </c>
      <c r="AE153" s="124">
        <v>-4579188.888888889</v>
      </c>
      <c r="AF153" s="124">
        <v>-4579188.888888889</v>
      </c>
      <c r="AG153" s="124">
        <v>-4579188.888888889</v>
      </c>
      <c r="AH153" s="124">
        <v>-4979188.888888889</v>
      </c>
      <c r="AI153" s="124">
        <v>-4579188.888888889</v>
      </c>
      <c r="AJ153" s="124">
        <v>-4579188.888888889</v>
      </c>
      <c r="AK153" s="124">
        <v>-4979188.888888889</v>
      </c>
      <c r="AL153" s="124">
        <v>-4579188.888888889</v>
      </c>
      <c r="AM153" s="125">
        <f t="shared" si="10"/>
        <v>-56550266.666666664</v>
      </c>
    </row>
    <row r="154" spans="1:40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1"/>
      <c r="N154" s="141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1"/>
      <c r="Z154" s="142" t="s">
        <v>239</v>
      </c>
      <c r="AA154" s="294">
        <f>AA150-AA151-AA153</f>
        <v>0</v>
      </c>
      <c r="AB154" s="294">
        <f t="shared" ref="AB154:AM154" si="18">AB150-AB151-AB153</f>
        <v>0</v>
      </c>
      <c r="AC154" s="294">
        <f t="shared" si="18"/>
        <v>0</v>
      </c>
      <c r="AD154" s="294">
        <f t="shared" si="18"/>
        <v>0</v>
      </c>
      <c r="AE154" s="294">
        <f t="shared" si="18"/>
        <v>0</v>
      </c>
      <c r="AF154" s="294">
        <f t="shared" si="18"/>
        <v>0</v>
      </c>
      <c r="AG154" s="294">
        <f t="shared" si="18"/>
        <v>0</v>
      </c>
      <c r="AH154" s="294">
        <f t="shared" si="18"/>
        <v>0</v>
      </c>
      <c r="AI154" s="294">
        <f t="shared" si="18"/>
        <v>0</v>
      </c>
      <c r="AJ154" s="294">
        <f t="shared" si="18"/>
        <v>0</v>
      </c>
      <c r="AK154" s="294">
        <f t="shared" si="18"/>
        <v>0</v>
      </c>
      <c r="AL154" s="294">
        <f t="shared" si="18"/>
        <v>0</v>
      </c>
      <c r="AM154" s="294">
        <f t="shared" si="18"/>
        <v>0</v>
      </c>
    </row>
    <row r="155" spans="1:40" ht="15" customHeight="1">
      <c r="A155" s="51" t="s">
        <v>240</v>
      </c>
      <c r="B155" s="144" t="s">
        <v>241</v>
      </c>
      <c r="C155" s="53" t="s">
        <v>66</v>
      </c>
      <c r="D155" s="54" t="s">
        <v>67</v>
      </c>
      <c r="E155" s="54" t="s">
        <v>68</v>
      </c>
      <c r="F155" s="53" t="s">
        <v>69</v>
      </c>
      <c r="G155" s="53" t="s">
        <v>70</v>
      </c>
      <c r="H155" s="53" t="s">
        <v>71</v>
      </c>
      <c r="I155" s="53" t="s">
        <v>72</v>
      </c>
      <c r="J155" s="54" t="s">
        <v>73</v>
      </c>
      <c r="K155" s="54" t="s">
        <v>74</v>
      </c>
      <c r="L155" s="54" t="s">
        <v>75</v>
      </c>
      <c r="M155" s="54" t="s">
        <v>76</v>
      </c>
      <c r="N155" s="53" t="s">
        <v>77</v>
      </c>
      <c r="O155" s="53" t="s">
        <v>78</v>
      </c>
      <c r="P155" s="54" t="s">
        <v>79</v>
      </c>
      <c r="Q155" s="54" t="s">
        <v>80</v>
      </c>
      <c r="R155" s="53" t="s">
        <v>81</v>
      </c>
      <c r="S155" s="53" t="s">
        <v>82</v>
      </c>
      <c r="T155" s="53" t="s">
        <v>83</v>
      </c>
      <c r="U155" s="53" t="s">
        <v>84</v>
      </c>
      <c r="V155" s="54" t="s">
        <v>85</v>
      </c>
      <c r="W155" s="54" t="s">
        <v>86</v>
      </c>
      <c r="X155" s="54" t="s">
        <v>87</v>
      </c>
      <c r="Y155" s="54" t="s">
        <v>88</v>
      </c>
      <c r="Z155" s="54" t="s">
        <v>89</v>
      </c>
      <c r="AA155" s="54" t="s">
        <v>8</v>
      </c>
      <c r="AB155" s="54" t="s">
        <v>9</v>
      </c>
      <c r="AC155" s="54" t="s">
        <v>10</v>
      </c>
      <c r="AD155" s="54" t="s">
        <v>11</v>
      </c>
      <c r="AE155" s="54" t="s">
        <v>12</v>
      </c>
      <c r="AF155" s="54" t="s">
        <v>13</v>
      </c>
      <c r="AG155" s="54" t="s">
        <v>14</v>
      </c>
      <c r="AH155" s="54" t="s">
        <v>15</v>
      </c>
      <c r="AI155" s="54" t="s">
        <v>16</v>
      </c>
      <c r="AJ155" s="54" t="s">
        <v>17</v>
      </c>
      <c r="AK155" s="54" t="s">
        <v>18</v>
      </c>
      <c r="AL155" s="53" t="s">
        <v>19</v>
      </c>
    </row>
    <row r="156" spans="1:40" ht="15" customHeight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8"/>
      <c r="AG156" s="148"/>
      <c r="AH156" s="148"/>
      <c r="AI156" s="148"/>
      <c r="AJ156" s="148"/>
      <c r="AK156" s="148"/>
      <c r="AL156" s="147"/>
    </row>
    <row r="157" spans="1:40" ht="15" customHeight="1">
      <c r="A157" s="145" t="s">
        <v>243</v>
      </c>
      <c r="B157" s="146">
        <v>2</v>
      </c>
      <c r="C157" s="147">
        <f t="shared" ref="C157:Y157" si="19">C150</f>
        <v>0</v>
      </c>
      <c r="D157" s="147">
        <f t="shared" si="19"/>
        <v>0</v>
      </c>
      <c r="E157" s="148">
        <f t="shared" si="19"/>
        <v>0</v>
      </c>
      <c r="F157" s="148">
        <f t="shared" si="19"/>
        <v>0</v>
      </c>
      <c r="G157" s="148">
        <f t="shared" si="19"/>
        <v>0</v>
      </c>
      <c r="H157" s="148">
        <f t="shared" si="19"/>
        <v>0</v>
      </c>
      <c r="I157" s="148">
        <f t="shared" si="19"/>
        <v>0</v>
      </c>
      <c r="J157" s="148">
        <f t="shared" si="19"/>
        <v>-400000</v>
      </c>
      <c r="K157" s="148">
        <f t="shared" si="19"/>
        <v>-15035354</v>
      </c>
      <c r="L157" s="148">
        <f t="shared" si="19"/>
        <v>-615035354</v>
      </c>
      <c r="M157" s="148">
        <f t="shared" si="19"/>
        <v>-615035354</v>
      </c>
      <c r="N157" s="147">
        <f t="shared" si="19"/>
        <v>-615578474</v>
      </c>
      <c r="O157" s="147">
        <f t="shared" si="19"/>
        <v>-18577035</v>
      </c>
      <c r="P157" s="147">
        <f t="shared" si="19"/>
        <v>-1215577416</v>
      </c>
      <c r="Q157" s="148">
        <f t="shared" si="19"/>
        <v>-615578124</v>
      </c>
      <c r="R157" s="148">
        <f t="shared" si="19"/>
        <v>-612761221</v>
      </c>
      <c r="S157" s="148">
        <f t="shared" si="19"/>
        <v>-615579785</v>
      </c>
      <c r="T157" s="148">
        <f t="shared" si="19"/>
        <v>-616578030</v>
      </c>
      <c r="U157" s="148">
        <f t="shared" si="19"/>
        <v>-600848036</v>
      </c>
      <c r="V157" s="148">
        <f t="shared" si="19"/>
        <v>-600577813</v>
      </c>
      <c r="W157" s="148">
        <f t="shared" si="19"/>
        <v>-600583185</v>
      </c>
      <c r="X157" s="148">
        <f t="shared" si="19"/>
        <v>-600583792</v>
      </c>
      <c r="Y157" s="148">
        <f t="shared" si="19"/>
        <v>-593526227</v>
      </c>
      <c r="Z157" s="148">
        <v>-600583740</v>
      </c>
      <c r="AA157" s="421">
        <f>SUMIFS([1]!Data_CF[Value],[1]!Data_CF[Index CF],TDP!$B157,[1]!Data_CF[TenCongTyID],TDP!$B$1,[1]!Data_CF[Thang.Nam],TDP!AA$155)</f>
        <v>0</v>
      </c>
      <c r="AB157" s="421">
        <f>SUMIFS([1]!Data_CF[Value],[1]!Data_CF[Index CF],TDP!$B157,[1]!Data_CF[TenCongTyID],TDP!$B$1,[1]!Data_CF[Thang.Nam],TDP!AB$155)</f>
        <v>0</v>
      </c>
      <c r="AC157" s="421">
        <f>SUMIFS([1]!Data_CF[Value],[1]!Data_CF[Index CF],TDP!$B157,[1]!Data_CF[TenCongTyID],TDP!$B$1,[1]!Data_CF[Thang.Nam],TDP!AC$155)</f>
        <v>0</v>
      </c>
      <c r="AD157" s="421">
        <f>SUMIFS([1]!Data_CF[Value],[1]!Data_CF[Index CF],TDP!$B157,[1]!Data_CF[TenCongTyID],TDP!$B$1,[1]!Data_CF[Thang.Nam],TDP!AD$155)</f>
        <v>0</v>
      </c>
      <c r="AE157" s="421">
        <f>SUMIFS([1]!Data_CF[Value],[1]!Data_CF[Index CF],TDP!$B157,[1]!Data_CF[TenCongTyID],TDP!$B$1,[1]!Data_CF[Thang.Nam],TDP!AE$155)</f>
        <v>0</v>
      </c>
      <c r="AF157" s="421">
        <f>SUMIFS([1]!Data_CF[Value],[1]!Data_CF[Index CF],TDP!$B157,[1]!Data_CF[TenCongTyID],TDP!$B$1,[1]!Data_CF[Thang.Nam],TDP!AF$155)</f>
        <v>0</v>
      </c>
      <c r="AG157" s="421">
        <f>SUMIFS([1]!Data_CF[Value],[1]!Data_CF[Index CF],TDP!$B157,[1]!Data_CF[TenCongTyID],TDP!$B$1,[1]!Data_CF[Thang.Nam],TDP!AG$155)</f>
        <v>0</v>
      </c>
      <c r="AH157" s="421">
        <f>SUMIFS([1]!Data_CF[Value],[1]!Data_CF[Index CF],TDP!$B157,[1]!Data_CF[TenCongTyID],TDP!$B$1,[1]!Data_CF[Thang.Nam],TDP!AH$155)</f>
        <v>0</v>
      </c>
      <c r="AI157" s="421">
        <f>SUMIFS([1]!Data_CF[Value],[1]!Data_CF[Index CF],TDP!$B157,[1]!Data_CF[TenCongTyID],TDP!$B$1,[1]!Data_CF[Thang.Nam],TDP!AI$155)</f>
        <v>0</v>
      </c>
      <c r="AJ157" s="421">
        <f>SUMIFS([1]!Data_CF[Value],[1]!Data_CF[Index CF],TDP!$B157,[1]!Data_CF[TenCongTyID],TDP!$B$1,[1]!Data_CF[Thang.Nam],TDP!AJ$155)</f>
        <v>0</v>
      </c>
      <c r="AK157" s="421">
        <f>SUMIFS([1]!Data_CF[Value],[1]!Data_CF[Index CF],TDP!$B157,[1]!Data_CF[TenCongTyID],TDP!$B$1,[1]!Data_CF[Thang.Nam],TDP!AK$155)</f>
        <v>0</v>
      </c>
      <c r="AL157" s="422">
        <f>SUMIFS([1]!Data_CF[Value],[1]!Data_CF[Index CF],TDP!$B157,[1]!Data_CF[TenCongTyID],TDP!$B$1,[1]!Data_CF[Thang.Nam],TDP!AL$155)</f>
        <v>0</v>
      </c>
    </row>
    <row r="158" spans="1:40" ht="15" customHeight="1">
      <c r="A158" s="149" t="s">
        <v>244</v>
      </c>
      <c r="B158" s="150">
        <v>3</v>
      </c>
      <c r="C158" s="151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1"/>
      <c r="O158" s="151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>
        <v>0</v>
      </c>
      <c r="AA158" s="423">
        <f>SUMIFS([1]!Data_CF[Value],[1]!Data_CF[Index CF],TDP!$B158,[1]!Data_CF[TenCongTyID],TDP!$B$1,[1]!Data_CF[Thang.Nam],TDP!AA$155)</f>
        <v>0</v>
      </c>
      <c r="AB158" s="423">
        <f>SUMIFS([1]!Data_CF[Value],[1]!Data_CF[Index CF],TDP!$B158,[1]!Data_CF[TenCongTyID],TDP!$B$1,[1]!Data_CF[Thang.Nam],TDP!AB$155)</f>
        <v>0</v>
      </c>
      <c r="AC158" s="423">
        <f>SUMIFS([1]!Data_CF[Value],[1]!Data_CF[Index CF],TDP!$B158,[1]!Data_CF[TenCongTyID],TDP!$B$1,[1]!Data_CF[Thang.Nam],TDP!AC$155)</f>
        <v>0</v>
      </c>
      <c r="AD158" s="423">
        <f>SUMIFS([1]!Data_CF[Value],[1]!Data_CF[Index CF],TDP!$B158,[1]!Data_CF[TenCongTyID],TDP!$B$1,[1]!Data_CF[Thang.Nam],TDP!AD$155)</f>
        <v>0</v>
      </c>
      <c r="AE158" s="423">
        <f>SUMIFS([1]!Data_CF[Value],[1]!Data_CF[Index CF],TDP!$B158,[1]!Data_CF[TenCongTyID],TDP!$B$1,[1]!Data_CF[Thang.Nam],TDP!AE$155)</f>
        <v>0</v>
      </c>
      <c r="AF158" s="423">
        <f>SUMIFS([1]!Data_CF[Value],[1]!Data_CF[Index CF],TDP!$B158,[1]!Data_CF[TenCongTyID],TDP!$B$1,[1]!Data_CF[Thang.Nam],TDP!AF$155)</f>
        <v>0</v>
      </c>
      <c r="AG158" s="423">
        <f>SUMIFS([1]!Data_CF[Value],[1]!Data_CF[Index CF],TDP!$B158,[1]!Data_CF[TenCongTyID],TDP!$B$1,[1]!Data_CF[Thang.Nam],TDP!AG$155)</f>
        <v>0</v>
      </c>
      <c r="AH158" s="423">
        <f>SUMIFS([1]!Data_CF[Value],[1]!Data_CF[Index CF],TDP!$B158,[1]!Data_CF[TenCongTyID],TDP!$B$1,[1]!Data_CF[Thang.Nam],TDP!AH$155)</f>
        <v>0</v>
      </c>
      <c r="AI158" s="423">
        <f>SUMIFS([1]!Data_CF[Value],[1]!Data_CF[Index CF],TDP!$B158,[1]!Data_CF[TenCongTyID],TDP!$B$1,[1]!Data_CF[Thang.Nam],TDP!AI$155)</f>
        <v>0</v>
      </c>
      <c r="AJ158" s="423">
        <f>SUMIFS([1]!Data_CF[Value],[1]!Data_CF[Index CF],TDP!$B158,[1]!Data_CF[TenCongTyID],TDP!$B$1,[1]!Data_CF[Thang.Nam],TDP!AJ$155)</f>
        <v>0</v>
      </c>
      <c r="AK158" s="423">
        <f>SUMIFS([1]!Data_CF[Value],[1]!Data_CF[Index CF],TDP!$B158,[1]!Data_CF[TenCongTyID],TDP!$B$1,[1]!Data_CF[Thang.Nam],TDP!AK$155)</f>
        <v>0</v>
      </c>
      <c r="AL158" s="424">
        <f>SUMIFS([1]!Data_CF[Value],[1]!Data_CF[Index CF],TDP!$B158,[1]!Data_CF[TenCongTyID],TDP!$B$1,[1]!Data_CF[Thang.Nam],TDP!AL$155)</f>
        <v>0</v>
      </c>
    </row>
    <row r="159" spans="1:40" ht="15" customHeight="1">
      <c r="A159" s="153" t="s">
        <v>245</v>
      </c>
      <c r="B159" s="154">
        <v>4</v>
      </c>
      <c r="C159" s="64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4"/>
      <c r="O159" s="64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>
        <v>0</v>
      </c>
      <c r="AA159" s="384">
        <f>SUMIFS([1]!Data_CF[Value],[1]!Data_CF[Index CF],TDP!$B159,[1]!Data_CF[TenCongTyID],TDP!$B$1,[1]!Data_CF[Thang.Nam],TDP!AA$155)</f>
        <v>0</v>
      </c>
      <c r="AB159" s="384">
        <f>SUMIFS([1]!Data_CF[Value],[1]!Data_CF[Index CF],TDP!$B159,[1]!Data_CF[TenCongTyID],TDP!$B$1,[1]!Data_CF[Thang.Nam],TDP!AB$155)</f>
        <v>0</v>
      </c>
      <c r="AC159" s="384">
        <f>SUMIFS([1]!Data_CF[Value],[1]!Data_CF[Index CF],TDP!$B159,[1]!Data_CF[TenCongTyID],TDP!$B$1,[1]!Data_CF[Thang.Nam],TDP!AC$155)</f>
        <v>0</v>
      </c>
      <c r="AD159" s="384">
        <f>SUMIFS([1]!Data_CF[Value],[1]!Data_CF[Index CF],TDP!$B159,[1]!Data_CF[TenCongTyID],TDP!$B$1,[1]!Data_CF[Thang.Nam],TDP!AD$155)</f>
        <v>0</v>
      </c>
      <c r="AE159" s="384">
        <f>SUMIFS([1]!Data_CF[Value],[1]!Data_CF[Index CF],TDP!$B159,[1]!Data_CF[TenCongTyID],TDP!$B$1,[1]!Data_CF[Thang.Nam],TDP!AE$155)</f>
        <v>0</v>
      </c>
      <c r="AF159" s="384">
        <f>SUMIFS([1]!Data_CF[Value],[1]!Data_CF[Index CF],TDP!$B159,[1]!Data_CF[TenCongTyID],TDP!$B$1,[1]!Data_CF[Thang.Nam],TDP!AF$155)</f>
        <v>0</v>
      </c>
      <c r="AG159" s="384">
        <f>SUMIFS([1]!Data_CF[Value],[1]!Data_CF[Index CF],TDP!$B159,[1]!Data_CF[TenCongTyID],TDP!$B$1,[1]!Data_CF[Thang.Nam],TDP!AG$155)</f>
        <v>0</v>
      </c>
      <c r="AH159" s="384">
        <f>SUMIFS([1]!Data_CF[Value],[1]!Data_CF[Index CF],TDP!$B159,[1]!Data_CF[TenCongTyID],TDP!$B$1,[1]!Data_CF[Thang.Nam],TDP!AH$155)</f>
        <v>0</v>
      </c>
      <c r="AI159" s="384">
        <f>SUMIFS([1]!Data_CF[Value],[1]!Data_CF[Index CF],TDP!$B159,[1]!Data_CF[TenCongTyID],TDP!$B$1,[1]!Data_CF[Thang.Nam],TDP!AI$155)</f>
        <v>0</v>
      </c>
      <c r="AJ159" s="384">
        <f>SUMIFS([1]!Data_CF[Value],[1]!Data_CF[Index CF],TDP!$B159,[1]!Data_CF[TenCongTyID],TDP!$B$1,[1]!Data_CF[Thang.Nam],TDP!AJ$155)</f>
        <v>0</v>
      </c>
      <c r="AK159" s="384">
        <f>SUMIFS([1]!Data_CF[Value],[1]!Data_CF[Index CF],TDP!$B159,[1]!Data_CF[TenCongTyID],TDP!$B$1,[1]!Data_CF[Thang.Nam],TDP!AK$155)</f>
        <v>0</v>
      </c>
      <c r="AL159" s="385">
        <f>SUMIFS([1]!Data_CF[Value],[1]!Data_CF[Index CF],TDP!$B159,[1]!Data_CF[TenCongTyID],TDP!$B$1,[1]!Data_CF[Thang.Nam],TDP!AL$155)</f>
        <v>0</v>
      </c>
    </row>
    <row r="160" spans="1:40" ht="15" customHeight="1">
      <c r="A160" s="153" t="s">
        <v>246</v>
      </c>
      <c r="B160" s="154">
        <v>5</v>
      </c>
      <c r="C160" s="64"/>
      <c r="D160" s="69"/>
      <c r="E160" s="69">
        <v>0</v>
      </c>
      <c r="F160" s="69"/>
      <c r="G160" s="69"/>
      <c r="H160" s="69"/>
      <c r="I160" s="69"/>
      <c r="J160" s="69"/>
      <c r="K160" s="69"/>
      <c r="L160" s="69"/>
      <c r="M160" s="69"/>
      <c r="N160" s="64"/>
      <c r="O160" s="64"/>
      <c r="P160" s="69"/>
      <c r="Q160" s="69">
        <v>0</v>
      </c>
      <c r="R160" s="69"/>
      <c r="S160" s="69"/>
      <c r="T160" s="69"/>
      <c r="U160" s="69"/>
      <c r="V160" s="69"/>
      <c r="W160" s="69"/>
      <c r="X160" s="69"/>
      <c r="Y160" s="69"/>
      <c r="Z160" s="69">
        <v>0</v>
      </c>
      <c r="AA160" s="384">
        <f>SUMIFS([1]!Data_CF[Value],[1]!Data_CF[Index CF],TDP!$B160,[1]!Data_CF[TenCongTyID],TDP!$B$1,[1]!Data_CF[Thang.Nam],TDP!AA$155)</f>
        <v>0</v>
      </c>
      <c r="AB160" s="384">
        <f>SUMIFS([1]!Data_CF[Value],[1]!Data_CF[Index CF],TDP!$B160,[1]!Data_CF[TenCongTyID],TDP!$B$1,[1]!Data_CF[Thang.Nam],TDP!AB$155)</f>
        <v>0</v>
      </c>
      <c r="AC160" s="384">
        <f>SUMIFS([1]!Data_CF[Value],[1]!Data_CF[Index CF],TDP!$B160,[1]!Data_CF[TenCongTyID],TDP!$B$1,[1]!Data_CF[Thang.Nam],TDP!AC$155)</f>
        <v>0</v>
      </c>
      <c r="AD160" s="384">
        <f>SUMIFS([1]!Data_CF[Value],[1]!Data_CF[Index CF],TDP!$B160,[1]!Data_CF[TenCongTyID],TDP!$B$1,[1]!Data_CF[Thang.Nam],TDP!AD$155)</f>
        <v>0</v>
      </c>
      <c r="AE160" s="384">
        <f>SUMIFS([1]!Data_CF[Value],[1]!Data_CF[Index CF],TDP!$B160,[1]!Data_CF[TenCongTyID],TDP!$B$1,[1]!Data_CF[Thang.Nam],TDP!AE$155)</f>
        <v>0</v>
      </c>
      <c r="AF160" s="384">
        <f>SUMIFS([1]!Data_CF[Value],[1]!Data_CF[Index CF],TDP!$B160,[1]!Data_CF[TenCongTyID],TDP!$B$1,[1]!Data_CF[Thang.Nam],TDP!AF$155)</f>
        <v>0</v>
      </c>
      <c r="AG160" s="384">
        <f>SUMIFS([1]!Data_CF[Value],[1]!Data_CF[Index CF],TDP!$B160,[1]!Data_CF[TenCongTyID],TDP!$B$1,[1]!Data_CF[Thang.Nam],TDP!AG$155)</f>
        <v>0</v>
      </c>
      <c r="AH160" s="384">
        <f>SUMIFS([1]!Data_CF[Value],[1]!Data_CF[Index CF],TDP!$B160,[1]!Data_CF[TenCongTyID],TDP!$B$1,[1]!Data_CF[Thang.Nam],TDP!AH$155)</f>
        <v>0</v>
      </c>
      <c r="AI160" s="384">
        <f>SUMIFS([1]!Data_CF[Value],[1]!Data_CF[Index CF],TDP!$B160,[1]!Data_CF[TenCongTyID],TDP!$B$1,[1]!Data_CF[Thang.Nam],TDP!AI$155)</f>
        <v>0</v>
      </c>
      <c r="AJ160" s="384">
        <f>SUMIFS([1]!Data_CF[Value],[1]!Data_CF[Index CF],TDP!$B160,[1]!Data_CF[TenCongTyID],TDP!$B$1,[1]!Data_CF[Thang.Nam],TDP!AJ$155)</f>
        <v>0</v>
      </c>
      <c r="AK160" s="384">
        <f>SUMIFS([1]!Data_CF[Value],[1]!Data_CF[Index CF],TDP!$B160,[1]!Data_CF[TenCongTyID],TDP!$B$1,[1]!Data_CF[Thang.Nam],TDP!AK$155)</f>
        <v>0</v>
      </c>
      <c r="AL160" s="385">
        <f>SUMIFS([1]!Data_CF[Value],[1]!Data_CF[Index CF],TDP!$B160,[1]!Data_CF[TenCongTyID],TDP!$B$1,[1]!Data_CF[Thang.Nam],TDP!AL$155)</f>
        <v>0</v>
      </c>
    </row>
    <row r="161" spans="1:38" ht="14">
      <c r="A161" s="153" t="s">
        <v>247</v>
      </c>
      <c r="B161" s="154">
        <v>6</v>
      </c>
      <c r="C161" s="64"/>
      <c r="D161" s="69"/>
      <c r="E161" s="69">
        <v>0</v>
      </c>
      <c r="F161" s="69"/>
      <c r="G161" s="69"/>
      <c r="H161" s="69"/>
      <c r="I161" s="69"/>
      <c r="J161" s="69"/>
      <c r="K161" s="69"/>
      <c r="L161" s="69"/>
      <c r="M161" s="69"/>
      <c r="N161" s="64"/>
      <c r="O161" s="64"/>
      <c r="P161" s="69"/>
      <c r="Q161" s="69">
        <v>0</v>
      </c>
      <c r="R161" s="69"/>
      <c r="S161" s="69"/>
      <c r="T161" s="69"/>
      <c r="U161" s="69"/>
      <c r="V161" s="69"/>
      <c r="W161" s="69"/>
      <c r="X161" s="69"/>
      <c r="Y161" s="69"/>
      <c r="Z161" s="69">
        <v>0</v>
      </c>
      <c r="AA161" s="384">
        <f>SUMIFS([1]!Data_CF[Value],[1]!Data_CF[Index CF],TDP!$B161,[1]!Data_CF[TenCongTyID],TDP!$B$1,[1]!Data_CF[Thang.Nam],TDP!AA$155)</f>
        <v>0</v>
      </c>
      <c r="AB161" s="384">
        <f>SUMIFS([1]!Data_CF[Value],[1]!Data_CF[Index CF],TDP!$B161,[1]!Data_CF[TenCongTyID],TDP!$B$1,[1]!Data_CF[Thang.Nam],TDP!AB$155)</f>
        <v>0</v>
      </c>
      <c r="AC161" s="384">
        <f>SUMIFS([1]!Data_CF[Value],[1]!Data_CF[Index CF],TDP!$B161,[1]!Data_CF[TenCongTyID],TDP!$B$1,[1]!Data_CF[Thang.Nam],TDP!AC$155)</f>
        <v>0</v>
      </c>
      <c r="AD161" s="384">
        <f>SUMIFS([1]!Data_CF[Value],[1]!Data_CF[Index CF],TDP!$B161,[1]!Data_CF[TenCongTyID],TDP!$B$1,[1]!Data_CF[Thang.Nam],TDP!AD$155)</f>
        <v>0</v>
      </c>
      <c r="AE161" s="384">
        <f>SUMIFS([1]!Data_CF[Value],[1]!Data_CF[Index CF],TDP!$B161,[1]!Data_CF[TenCongTyID],TDP!$B$1,[1]!Data_CF[Thang.Nam],TDP!AE$155)</f>
        <v>0</v>
      </c>
      <c r="AF161" s="384">
        <f>SUMIFS([1]!Data_CF[Value],[1]!Data_CF[Index CF],TDP!$B161,[1]!Data_CF[TenCongTyID],TDP!$B$1,[1]!Data_CF[Thang.Nam],TDP!AF$155)</f>
        <v>0</v>
      </c>
      <c r="AG161" s="384">
        <f>SUMIFS([1]!Data_CF[Value],[1]!Data_CF[Index CF],TDP!$B161,[1]!Data_CF[TenCongTyID],TDP!$B$1,[1]!Data_CF[Thang.Nam],TDP!AG$155)</f>
        <v>0</v>
      </c>
      <c r="AH161" s="384">
        <f>SUMIFS([1]!Data_CF[Value],[1]!Data_CF[Index CF],TDP!$B161,[1]!Data_CF[TenCongTyID],TDP!$B$1,[1]!Data_CF[Thang.Nam],TDP!AH$155)</f>
        <v>0</v>
      </c>
      <c r="AI161" s="384">
        <f>SUMIFS([1]!Data_CF[Value],[1]!Data_CF[Index CF],TDP!$B161,[1]!Data_CF[TenCongTyID],TDP!$B$1,[1]!Data_CF[Thang.Nam],TDP!AI$155)</f>
        <v>0</v>
      </c>
      <c r="AJ161" s="384">
        <f>SUMIFS([1]!Data_CF[Value],[1]!Data_CF[Index CF],TDP!$B161,[1]!Data_CF[TenCongTyID],TDP!$B$1,[1]!Data_CF[Thang.Nam],TDP!AJ$155)</f>
        <v>0</v>
      </c>
      <c r="AK161" s="384">
        <f>SUMIFS([1]!Data_CF[Value],[1]!Data_CF[Index CF],TDP!$B161,[1]!Data_CF[TenCongTyID],TDP!$B$1,[1]!Data_CF[Thang.Nam],TDP!AK$155)</f>
        <v>0</v>
      </c>
      <c r="AL161" s="385">
        <f>SUMIFS([1]!Data_CF[Value],[1]!Data_CF[Index CF],TDP!$B161,[1]!Data_CF[TenCongTyID],TDP!$B$1,[1]!Data_CF[Thang.Nam],TDP!AL$155)</f>
        <v>0</v>
      </c>
    </row>
    <row r="162" spans="1:38" ht="15" customHeight="1">
      <c r="A162" s="153" t="s">
        <v>248</v>
      </c>
      <c r="B162" s="154">
        <v>7</v>
      </c>
      <c r="C162" s="69">
        <f t="shared" ref="C162:Y162" si="20">-C141</f>
        <v>0</v>
      </c>
      <c r="D162" s="69">
        <f t="shared" si="20"/>
        <v>0</v>
      </c>
      <c r="E162" s="69">
        <f t="shared" si="20"/>
        <v>0</v>
      </c>
      <c r="F162" s="69">
        <f t="shared" si="20"/>
        <v>0</v>
      </c>
      <c r="G162" s="69">
        <f t="shared" si="20"/>
        <v>0</v>
      </c>
      <c r="H162" s="69">
        <f t="shared" si="20"/>
        <v>0</v>
      </c>
      <c r="I162" s="69">
        <f t="shared" si="20"/>
        <v>0</v>
      </c>
      <c r="J162" s="69">
        <f t="shared" si="20"/>
        <v>0</v>
      </c>
      <c r="K162" s="69">
        <f t="shared" si="20"/>
        <v>0</v>
      </c>
      <c r="L162" s="69">
        <f t="shared" si="20"/>
        <v>0</v>
      </c>
      <c r="M162" s="69">
        <f t="shared" si="20"/>
        <v>0</v>
      </c>
      <c r="N162" s="69">
        <f t="shared" si="20"/>
        <v>-6263</v>
      </c>
      <c r="O162" s="69">
        <f t="shared" si="20"/>
        <v>-7702</v>
      </c>
      <c r="P162" s="69">
        <f t="shared" si="20"/>
        <v>-7321</v>
      </c>
      <c r="Q162" s="69">
        <f t="shared" si="20"/>
        <v>-6613</v>
      </c>
      <c r="R162" s="69">
        <f t="shared" si="20"/>
        <v>-3453516</v>
      </c>
      <c r="S162" s="69">
        <f t="shared" si="20"/>
        <v>-4952</v>
      </c>
      <c r="T162" s="69">
        <f t="shared" si="20"/>
        <v>-6707</v>
      </c>
      <c r="U162" s="69">
        <f t="shared" si="20"/>
        <v>-6701</v>
      </c>
      <c r="V162" s="69">
        <f t="shared" si="20"/>
        <v>-6924</v>
      </c>
      <c r="W162" s="69">
        <f t="shared" si="20"/>
        <v>-1552</v>
      </c>
      <c r="X162" s="69">
        <f t="shared" si="20"/>
        <v>-945</v>
      </c>
      <c r="Y162" s="69">
        <f t="shared" si="20"/>
        <v>-7058510</v>
      </c>
      <c r="Z162" s="69">
        <v>-997</v>
      </c>
      <c r="AA162" s="384">
        <f>SUMIFS([1]!Data_CF[Value],[1]!Data_CF[Index CF],TDP!$B162,[1]!Data_CF[TenCongTyID],TDP!$B$1,[1]!Data_CF[Thang.Nam],TDP!AA$155)</f>
        <v>0</v>
      </c>
      <c r="AB162" s="384">
        <f>SUMIFS([1]!Data_CF[Value],[1]!Data_CF[Index CF],TDP!$B162,[1]!Data_CF[TenCongTyID],TDP!$B$1,[1]!Data_CF[Thang.Nam],TDP!AB$155)</f>
        <v>0</v>
      </c>
      <c r="AC162" s="384">
        <f>SUMIFS([1]!Data_CF[Value],[1]!Data_CF[Index CF],TDP!$B162,[1]!Data_CF[TenCongTyID],TDP!$B$1,[1]!Data_CF[Thang.Nam],TDP!AC$155)</f>
        <v>0</v>
      </c>
      <c r="AD162" s="384">
        <f>SUMIFS([1]!Data_CF[Value],[1]!Data_CF[Index CF],TDP!$B162,[1]!Data_CF[TenCongTyID],TDP!$B$1,[1]!Data_CF[Thang.Nam],TDP!AD$155)</f>
        <v>0</v>
      </c>
      <c r="AE162" s="384">
        <f>SUMIFS([1]!Data_CF[Value],[1]!Data_CF[Index CF],TDP!$B162,[1]!Data_CF[TenCongTyID],TDP!$B$1,[1]!Data_CF[Thang.Nam],TDP!AE$155)</f>
        <v>0</v>
      </c>
      <c r="AF162" s="384">
        <f>SUMIFS([1]!Data_CF[Value],[1]!Data_CF[Index CF],TDP!$B162,[1]!Data_CF[TenCongTyID],TDP!$B$1,[1]!Data_CF[Thang.Nam],TDP!AF$155)</f>
        <v>0</v>
      </c>
      <c r="AG162" s="384">
        <f>SUMIFS([1]!Data_CF[Value],[1]!Data_CF[Index CF],TDP!$B162,[1]!Data_CF[TenCongTyID],TDP!$B$1,[1]!Data_CF[Thang.Nam],TDP!AG$155)</f>
        <v>0</v>
      </c>
      <c r="AH162" s="384">
        <f>SUMIFS([1]!Data_CF[Value],[1]!Data_CF[Index CF],TDP!$B162,[1]!Data_CF[TenCongTyID],TDP!$B$1,[1]!Data_CF[Thang.Nam],TDP!AH$155)</f>
        <v>0</v>
      </c>
      <c r="AI162" s="384">
        <f>SUMIFS([1]!Data_CF[Value],[1]!Data_CF[Index CF],TDP!$B162,[1]!Data_CF[TenCongTyID],TDP!$B$1,[1]!Data_CF[Thang.Nam],TDP!AI$155)</f>
        <v>0</v>
      </c>
      <c r="AJ162" s="384">
        <f>SUMIFS([1]!Data_CF[Value],[1]!Data_CF[Index CF],TDP!$B162,[1]!Data_CF[TenCongTyID],TDP!$B$1,[1]!Data_CF[Thang.Nam],TDP!AJ$155)</f>
        <v>0</v>
      </c>
      <c r="AK162" s="384">
        <f>SUMIFS([1]!Data_CF[Value],[1]!Data_CF[Index CF],TDP!$B162,[1]!Data_CF[TenCongTyID],TDP!$B$1,[1]!Data_CF[Thang.Nam],TDP!AK$155)</f>
        <v>0</v>
      </c>
      <c r="AL162" s="385">
        <f>SUMIFS([1]!Data_CF[Value],[1]!Data_CF[Index CF],TDP!$B162,[1]!Data_CF[TenCongTyID],TDP!$B$1,[1]!Data_CF[Thang.Nam],TDP!AL$155)</f>
        <v>0</v>
      </c>
    </row>
    <row r="163" spans="1:38" ht="15" customHeight="1">
      <c r="A163" s="153" t="s">
        <v>249</v>
      </c>
      <c r="B163" s="154">
        <v>8</v>
      </c>
      <c r="C163" s="64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4"/>
      <c r="O163" s="64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>
        <v>0</v>
      </c>
      <c r="AA163" s="384">
        <f>SUMIFS([1]!Data_CF[Value],[1]!Data_CF[Index CF],TDP!$B163,[1]!Data_CF[TenCongTyID],TDP!$B$1,[1]!Data_CF[Thang.Nam],TDP!AA$155)</f>
        <v>0</v>
      </c>
      <c r="AB163" s="384">
        <f>SUMIFS([1]!Data_CF[Value],[1]!Data_CF[Index CF],TDP!$B163,[1]!Data_CF[TenCongTyID],TDP!$B$1,[1]!Data_CF[Thang.Nam],TDP!AB$155)</f>
        <v>0</v>
      </c>
      <c r="AC163" s="384">
        <f>SUMIFS([1]!Data_CF[Value],[1]!Data_CF[Index CF],TDP!$B163,[1]!Data_CF[TenCongTyID],TDP!$B$1,[1]!Data_CF[Thang.Nam],TDP!AC$155)</f>
        <v>0</v>
      </c>
      <c r="AD163" s="384">
        <f>SUMIFS([1]!Data_CF[Value],[1]!Data_CF[Index CF],TDP!$B163,[1]!Data_CF[TenCongTyID],TDP!$B$1,[1]!Data_CF[Thang.Nam],TDP!AD$155)</f>
        <v>0</v>
      </c>
      <c r="AE163" s="384">
        <f>SUMIFS([1]!Data_CF[Value],[1]!Data_CF[Index CF],TDP!$B163,[1]!Data_CF[TenCongTyID],TDP!$B$1,[1]!Data_CF[Thang.Nam],TDP!AE$155)</f>
        <v>0</v>
      </c>
      <c r="AF163" s="384">
        <f>SUMIFS([1]!Data_CF[Value],[1]!Data_CF[Index CF],TDP!$B163,[1]!Data_CF[TenCongTyID],TDP!$B$1,[1]!Data_CF[Thang.Nam],TDP!AF$155)</f>
        <v>0</v>
      </c>
      <c r="AG163" s="384">
        <f>SUMIFS([1]!Data_CF[Value],[1]!Data_CF[Index CF],TDP!$B163,[1]!Data_CF[TenCongTyID],TDP!$B$1,[1]!Data_CF[Thang.Nam],TDP!AG$155)</f>
        <v>0</v>
      </c>
      <c r="AH163" s="384">
        <f>SUMIFS([1]!Data_CF[Value],[1]!Data_CF[Index CF],TDP!$B163,[1]!Data_CF[TenCongTyID],TDP!$B$1,[1]!Data_CF[Thang.Nam],TDP!AH$155)</f>
        <v>0</v>
      </c>
      <c r="AI163" s="384">
        <f>SUMIFS([1]!Data_CF[Value],[1]!Data_CF[Index CF],TDP!$B163,[1]!Data_CF[TenCongTyID],TDP!$B$1,[1]!Data_CF[Thang.Nam],TDP!AI$155)</f>
        <v>0</v>
      </c>
      <c r="AJ163" s="384">
        <f>SUMIFS([1]!Data_CF[Value],[1]!Data_CF[Index CF],TDP!$B163,[1]!Data_CF[TenCongTyID],TDP!$B$1,[1]!Data_CF[Thang.Nam],TDP!AJ$155)</f>
        <v>0</v>
      </c>
      <c r="AK163" s="384">
        <f>SUMIFS([1]!Data_CF[Value],[1]!Data_CF[Index CF],TDP!$B163,[1]!Data_CF[TenCongTyID],TDP!$B$1,[1]!Data_CF[Thang.Nam],TDP!AK$155)</f>
        <v>0</v>
      </c>
      <c r="AL163" s="385">
        <f>SUMIFS([1]!Data_CF[Value],[1]!Data_CF[Index CF],TDP!$B163,[1]!Data_CF[TenCongTyID],TDP!$B$1,[1]!Data_CF[Thang.Nam],TDP!AL$155)</f>
        <v>0</v>
      </c>
    </row>
    <row r="164" spans="1:38" ht="15" customHeight="1">
      <c r="A164" s="153" t="s">
        <v>250</v>
      </c>
      <c r="B164" s="154">
        <v>9</v>
      </c>
      <c r="C164" s="64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4"/>
      <c r="O164" s="64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>
        <v>0</v>
      </c>
      <c r="AA164" s="384">
        <f>SUMIFS([1]!Data_CF[Value],[1]!Data_CF[Index CF],TDP!$B164,[1]!Data_CF[TenCongTyID],TDP!$B$1,[1]!Data_CF[Thang.Nam],TDP!AA$155)</f>
        <v>0</v>
      </c>
      <c r="AB164" s="384">
        <f>SUMIFS([1]!Data_CF[Value],[1]!Data_CF[Index CF],TDP!$B164,[1]!Data_CF[TenCongTyID],TDP!$B$1,[1]!Data_CF[Thang.Nam],TDP!AB$155)</f>
        <v>0</v>
      </c>
      <c r="AC164" s="384">
        <f>SUMIFS([1]!Data_CF[Value],[1]!Data_CF[Index CF],TDP!$B164,[1]!Data_CF[TenCongTyID],TDP!$B$1,[1]!Data_CF[Thang.Nam],TDP!AC$155)</f>
        <v>0</v>
      </c>
      <c r="AD164" s="384">
        <f>SUMIFS([1]!Data_CF[Value],[1]!Data_CF[Index CF],TDP!$B164,[1]!Data_CF[TenCongTyID],TDP!$B$1,[1]!Data_CF[Thang.Nam],TDP!AD$155)</f>
        <v>0</v>
      </c>
      <c r="AE164" s="384">
        <f>SUMIFS([1]!Data_CF[Value],[1]!Data_CF[Index CF],TDP!$B164,[1]!Data_CF[TenCongTyID],TDP!$B$1,[1]!Data_CF[Thang.Nam],TDP!AE$155)</f>
        <v>0</v>
      </c>
      <c r="AF164" s="384">
        <f>SUMIFS([1]!Data_CF[Value],[1]!Data_CF[Index CF],TDP!$B164,[1]!Data_CF[TenCongTyID],TDP!$B$1,[1]!Data_CF[Thang.Nam],TDP!AF$155)</f>
        <v>0</v>
      </c>
      <c r="AG164" s="384">
        <f>SUMIFS([1]!Data_CF[Value],[1]!Data_CF[Index CF],TDP!$B164,[1]!Data_CF[TenCongTyID],TDP!$B$1,[1]!Data_CF[Thang.Nam],TDP!AG$155)</f>
        <v>0</v>
      </c>
      <c r="AH164" s="384">
        <f>SUMIFS([1]!Data_CF[Value],[1]!Data_CF[Index CF],TDP!$B164,[1]!Data_CF[TenCongTyID],TDP!$B$1,[1]!Data_CF[Thang.Nam],TDP!AH$155)</f>
        <v>0</v>
      </c>
      <c r="AI164" s="384">
        <f>SUMIFS([1]!Data_CF[Value],[1]!Data_CF[Index CF],TDP!$B164,[1]!Data_CF[TenCongTyID],TDP!$B$1,[1]!Data_CF[Thang.Nam],TDP!AI$155)</f>
        <v>0</v>
      </c>
      <c r="AJ164" s="384">
        <f>SUMIFS([1]!Data_CF[Value],[1]!Data_CF[Index CF],TDP!$B164,[1]!Data_CF[TenCongTyID],TDP!$B$1,[1]!Data_CF[Thang.Nam],TDP!AJ$155)</f>
        <v>0</v>
      </c>
      <c r="AK164" s="384">
        <f>SUMIFS([1]!Data_CF[Value],[1]!Data_CF[Index CF],TDP!$B164,[1]!Data_CF[TenCongTyID],TDP!$B$1,[1]!Data_CF[Thang.Nam],TDP!AK$155)</f>
        <v>0</v>
      </c>
      <c r="AL164" s="385">
        <f>SUMIFS([1]!Data_CF[Value],[1]!Data_CF[Index CF],TDP!$B164,[1]!Data_CF[TenCongTyID],TDP!$B$1,[1]!Data_CF[Thang.Nam],TDP!AL$155)</f>
        <v>0</v>
      </c>
    </row>
    <row r="165" spans="1:38" ht="14">
      <c r="A165" s="156" t="s">
        <v>251</v>
      </c>
      <c r="B165" s="157">
        <v>10</v>
      </c>
      <c r="C165" s="173">
        <f t="shared" ref="C165:N165" si="21">+SUM(C157:C164)</f>
        <v>0</v>
      </c>
      <c r="D165" s="173">
        <f t="shared" si="21"/>
        <v>0</v>
      </c>
      <c r="E165" s="173">
        <f t="shared" si="21"/>
        <v>0</v>
      </c>
      <c r="F165" s="173">
        <f t="shared" si="21"/>
        <v>0</v>
      </c>
      <c r="G165" s="173">
        <f t="shared" si="21"/>
        <v>0</v>
      </c>
      <c r="H165" s="173">
        <f t="shared" si="21"/>
        <v>0</v>
      </c>
      <c r="I165" s="173">
        <f t="shared" si="21"/>
        <v>0</v>
      </c>
      <c r="J165" s="173">
        <f t="shared" si="21"/>
        <v>-400000</v>
      </c>
      <c r="K165" s="173">
        <f t="shared" si="21"/>
        <v>-15035354</v>
      </c>
      <c r="L165" s="173">
        <f t="shared" si="21"/>
        <v>-615035354</v>
      </c>
      <c r="M165" s="173">
        <f t="shared" si="21"/>
        <v>-615035354</v>
      </c>
      <c r="N165" s="61">
        <f t="shared" si="21"/>
        <v>-615584737</v>
      </c>
      <c r="O165" s="173">
        <f t="shared" ref="O165:V165" si="22">+SUM(O157:O164)</f>
        <v>-18584737</v>
      </c>
      <c r="P165" s="173">
        <f t="shared" si="22"/>
        <v>-1215584737</v>
      </c>
      <c r="Q165" s="173">
        <f t="shared" si="22"/>
        <v>-615584737</v>
      </c>
      <c r="R165" s="173">
        <f t="shared" si="22"/>
        <v>-616214737</v>
      </c>
      <c r="S165" s="173">
        <f t="shared" si="22"/>
        <v>-615584737</v>
      </c>
      <c r="T165" s="173">
        <f t="shared" si="22"/>
        <v>-616584737</v>
      </c>
      <c r="U165" s="173">
        <f t="shared" si="22"/>
        <v>-600854737</v>
      </c>
      <c r="V165" s="173">
        <f t="shared" si="22"/>
        <v>-600584737</v>
      </c>
      <c r="W165" s="173">
        <f>+SUM(W157:W164)</f>
        <v>-600584737</v>
      </c>
      <c r="X165" s="173">
        <f>+SUM(X157:X164)</f>
        <v>-600584737</v>
      </c>
      <c r="Y165" s="173">
        <f t="shared" ref="Y165" si="23">+SUM(Y157:Y164)</f>
        <v>-600584737</v>
      </c>
      <c r="Z165" s="173">
        <v>-600584737</v>
      </c>
      <c r="AA165" s="382">
        <f>SUMIFS([1]!Data_CF[Value],[1]!Data_CF[Index CF],TDP!$B165,[1]!Data_CF[TenCongTyID],TDP!$B$1,[1]!Data_CF[Thang.Nam],TDP!AA$155)</f>
        <v>0</v>
      </c>
      <c r="AB165" s="382">
        <f>SUMIFS([1]!Data_CF[Value],[1]!Data_CF[Index CF],TDP!$B165,[1]!Data_CF[TenCongTyID],TDP!$B$1,[1]!Data_CF[Thang.Nam],TDP!AB$155)</f>
        <v>0</v>
      </c>
      <c r="AC165" s="382">
        <f>SUMIFS([1]!Data_CF[Value],[1]!Data_CF[Index CF],TDP!$B165,[1]!Data_CF[TenCongTyID],TDP!$B$1,[1]!Data_CF[Thang.Nam],TDP!AC$155)</f>
        <v>0</v>
      </c>
      <c r="AD165" s="382">
        <f>SUMIFS([1]!Data_CF[Value],[1]!Data_CF[Index CF],TDP!$B165,[1]!Data_CF[TenCongTyID],TDP!$B$1,[1]!Data_CF[Thang.Nam],TDP!AD$155)</f>
        <v>0</v>
      </c>
      <c r="AE165" s="382">
        <f>SUMIFS([1]!Data_CF[Value],[1]!Data_CF[Index CF],TDP!$B165,[1]!Data_CF[TenCongTyID],TDP!$B$1,[1]!Data_CF[Thang.Nam],TDP!AE$155)</f>
        <v>0</v>
      </c>
      <c r="AF165" s="382">
        <f>SUMIFS([1]!Data_CF[Value],[1]!Data_CF[Index CF],TDP!$B165,[1]!Data_CF[TenCongTyID],TDP!$B$1,[1]!Data_CF[Thang.Nam],TDP!AF$155)</f>
        <v>0</v>
      </c>
      <c r="AG165" s="382">
        <f>SUMIFS([1]!Data_CF[Value],[1]!Data_CF[Index CF],TDP!$B165,[1]!Data_CF[TenCongTyID],TDP!$B$1,[1]!Data_CF[Thang.Nam],TDP!AG$155)</f>
        <v>0</v>
      </c>
      <c r="AH165" s="382">
        <f>SUMIFS([1]!Data_CF[Value],[1]!Data_CF[Index CF],TDP!$B165,[1]!Data_CF[TenCongTyID],TDP!$B$1,[1]!Data_CF[Thang.Nam],TDP!AH$155)</f>
        <v>0</v>
      </c>
      <c r="AI165" s="382">
        <f>SUMIFS([1]!Data_CF[Value],[1]!Data_CF[Index CF],TDP!$B165,[1]!Data_CF[TenCongTyID],TDP!$B$1,[1]!Data_CF[Thang.Nam],TDP!AI$155)</f>
        <v>0</v>
      </c>
      <c r="AJ165" s="382">
        <f>SUMIFS([1]!Data_CF[Value],[1]!Data_CF[Index CF],TDP!$B165,[1]!Data_CF[TenCongTyID],TDP!$B$1,[1]!Data_CF[Thang.Nam],TDP!AJ$155)</f>
        <v>0</v>
      </c>
      <c r="AK165" s="382">
        <f>SUMIFS([1]!Data_CF[Value],[1]!Data_CF[Index CF],TDP!$B165,[1]!Data_CF[TenCongTyID],TDP!$B$1,[1]!Data_CF[Thang.Nam],TDP!AK$155)</f>
        <v>0</v>
      </c>
      <c r="AL165" s="383">
        <f>SUMIFS([1]!Data_CF[Value],[1]!Data_CF[Index CF],TDP!$B165,[1]!Data_CF[TenCongTyID],TDP!$B$1,[1]!Data_CF[Thang.Nam],TDP!AL$155)</f>
        <v>0</v>
      </c>
    </row>
    <row r="166" spans="1:38" ht="15" customHeight="1">
      <c r="A166" s="158" t="s">
        <v>252</v>
      </c>
      <c r="B166" s="159">
        <v>11</v>
      </c>
      <c r="C166" s="69"/>
      <c r="D166" s="69"/>
      <c r="E166" s="69">
        <f>-(E34-D34)</f>
        <v>0</v>
      </c>
      <c r="F166" s="69">
        <f>-(F34-E34)</f>
        <v>0</v>
      </c>
      <c r="G166" s="69">
        <f>-(G34-F34)</f>
        <v>0</v>
      </c>
      <c r="H166" s="69">
        <f>-(H34-G34)</f>
        <v>0</v>
      </c>
      <c r="I166" s="69">
        <f>-(I34-H34)</f>
        <v>0</v>
      </c>
      <c r="J166" s="69"/>
      <c r="K166" s="69"/>
      <c r="L166" s="69"/>
      <c r="M166" s="69">
        <f t="shared" ref="M166:W166" si="24">-(M34-L34)-(M19-L19)-(M22-L22)</f>
        <v>-61200000</v>
      </c>
      <c r="N166" s="69">
        <f t="shared" si="24"/>
        <v>-61200000</v>
      </c>
      <c r="O166" s="69">
        <f t="shared" si="24"/>
        <v>-33600000</v>
      </c>
      <c r="P166" s="69">
        <f t="shared" si="24"/>
        <v>-105000000</v>
      </c>
      <c r="Q166" s="69">
        <f t="shared" si="24"/>
        <v>-45000000</v>
      </c>
      <c r="R166" s="69">
        <f t="shared" si="24"/>
        <v>-93613000</v>
      </c>
      <c r="S166" s="69">
        <f t="shared" si="24"/>
        <v>-45000000</v>
      </c>
      <c r="T166" s="69">
        <f t="shared" si="24"/>
        <v>-20045000000</v>
      </c>
      <c r="U166" s="69">
        <f t="shared" si="24"/>
        <v>-60021600</v>
      </c>
      <c r="V166" s="69">
        <f t="shared" si="24"/>
        <v>-60000000</v>
      </c>
      <c r="W166" s="69">
        <f t="shared" si="24"/>
        <v>-60000000</v>
      </c>
      <c r="X166" s="69">
        <v>-60000000</v>
      </c>
      <c r="Y166" s="69">
        <f>-(Y34-X34)-(Y19-X19)-(Y22-X22)</f>
        <v>-60000000</v>
      </c>
      <c r="Z166" s="69">
        <v>-60000000</v>
      </c>
      <c r="AA166" s="384">
        <f>SUMIFS([1]!Data_CF[Value],[1]!Data_CF[Index CF],TDP!$B166,[1]!Data_CF[TenCongTyID],TDP!$B$1,[1]!Data_CF[Thang.Nam],TDP!AA$155)</f>
        <v>0</v>
      </c>
      <c r="AB166" s="384">
        <f>SUMIFS([1]!Data_CF[Value],[1]!Data_CF[Index CF],TDP!$B166,[1]!Data_CF[TenCongTyID],TDP!$B$1,[1]!Data_CF[Thang.Nam],TDP!AB$155)</f>
        <v>0</v>
      </c>
      <c r="AC166" s="384">
        <f>SUMIFS([1]!Data_CF[Value],[1]!Data_CF[Index CF],TDP!$B166,[1]!Data_CF[TenCongTyID],TDP!$B$1,[1]!Data_CF[Thang.Nam],TDP!AC$155)</f>
        <v>0</v>
      </c>
      <c r="AD166" s="384">
        <f>SUMIFS([1]!Data_CF[Value],[1]!Data_CF[Index CF],TDP!$B166,[1]!Data_CF[TenCongTyID],TDP!$B$1,[1]!Data_CF[Thang.Nam],TDP!AD$155)</f>
        <v>0</v>
      </c>
      <c r="AE166" s="384">
        <f>SUMIFS([1]!Data_CF[Value],[1]!Data_CF[Index CF],TDP!$B166,[1]!Data_CF[TenCongTyID],TDP!$B$1,[1]!Data_CF[Thang.Nam],TDP!AE$155)</f>
        <v>0</v>
      </c>
      <c r="AF166" s="384">
        <f>SUMIFS([1]!Data_CF[Value],[1]!Data_CF[Index CF],TDP!$B166,[1]!Data_CF[TenCongTyID],TDP!$B$1,[1]!Data_CF[Thang.Nam],TDP!AF$155)</f>
        <v>0</v>
      </c>
      <c r="AG166" s="384">
        <f>SUMIFS([1]!Data_CF[Value],[1]!Data_CF[Index CF],TDP!$B166,[1]!Data_CF[TenCongTyID],TDP!$B$1,[1]!Data_CF[Thang.Nam],TDP!AG$155)</f>
        <v>0</v>
      </c>
      <c r="AH166" s="384">
        <f>SUMIFS([1]!Data_CF[Value],[1]!Data_CF[Index CF],TDP!$B166,[1]!Data_CF[TenCongTyID],TDP!$B$1,[1]!Data_CF[Thang.Nam],TDP!AH$155)</f>
        <v>0</v>
      </c>
      <c r="AI166" s="384">
        <f>SUMIFS([1]!Data_CF[Value],[1]!Data_CF[Index CF],TDP!$B166,[1]!Data_CF[TenCongTyID],TDP!$B$1,[1]!Data_CF[Thang.Nam],TDP!AI$155)</f>
        <v>0</v>
      </c>
      <c r="AJ166" s="384">
        <f>SUMIFS([1]!Data_CF[Value],[1]!Data_CF[Index CF],TDP!$B166,[1]!Data_CF[TenCongTyID],TDP!$B$1,[1]!Data_CF[Thang.Nam],TDP!AJ$155)</f>
        <v>0</v>
      </c>
      <c r="AK166" s="384">
        <f>SUMIFS([1]!Data_CF[Value],[1]!Data_CF[Index CF],TDP!$B166,[1]!Data_CF[TenCongTyID],TDP!$B$1,[1]!Data_CF[Thang.Nam],TDP!AK$155)</f>
        <v>0</v>
      </c>
      <c r="AL166" s="385">
        <f>SUMIFS([1]!Data_CF[Value],[1]!Data_CF[Index CF],TDP!$B166,[1]!Data_CF[TenCongTyID],TDP!$B$1,[1]!Data_CF[Thang.Nam],TDP!AL$155)</f>
        <v>0</v>
      </c>
    </row>
    <row r="167" spans="1:38" ht="15" customHeight="1">
      <c r="A167" s="160" t="s">
        <v>253</v>
      </c>
      <c r="B167" s="161">
        <v>12</v>
      </c>
      <c r="C167" s="69"/>
      <c r="D167" s="69">
        <v>0</v>
      </c>
      <c r="E167" s="69">
        <v>0</v>
      </c>
      <c r="F167" s="69">
        <v>0</v>
      </c>
      <c r="G167" s="69">
        <v>0</v>
      </c>
      <c r="H167" s="69">
        <v>0</v>
      </c>
      <c r="I167" s="69">
        <v>0</v>
      </c>
      <c r="J167" s="69">
        <v>0</v>
      </c>
      <c r="K167" s="69">
        <v>0</v>
      </c>
      <c r="L167" s="69">
        <v>0</v>
      </c>
      <c r="M167" s="69">
        <v>0</v>
      </c>
      <c r="N167" s="64">
        <v>0</v>
      </c>
      <c r="O167" s="69"/>
      <c r="P167" s="69">
        <v>0</v>
      </c>
      <c r="Q167" s="69">
        <v>0</v>
      </c>
      <c r="R167" s="69">
        <v>0</v>
      </c>
      <c r="S167" s="69">
        <v>0</v>
      </c>
      <c r="T167" s="69">
        <v>0</v>
      </c>
      <c r="U167" s="69">
        <v>0</v>
      </c>
      <c r="V167" s="69">
        <v>0</v>
      </c>
      <c r="W167" s="69">
        <v>0</v>
      </c>
      <c r="X167" s="69">
        <v>0</v>
      </c>
      <c r="Y167" s="69"/>
      <c r="Z167" s="69">
        <v>0</v>
      </c>
      <c r="AA167" s="384">
        <f>SUMIFS([1]!Data_CF[Value],[1]!Data_CF[Index CF],TDP!$B167,[1]!Data_CF[TenCongTyID],TDP!$B$1,[1]!Data_CF[Thang.Nam],TDP!AA$155)</f>
        <v>0</v>
      </c>
      <c r="AB167" s="384">
        <f>SUMIFS([1]!Data_CF[Value],[1]!Data_CF[Index CF],TDP!$B167,[1]!Data_CF[TenCongTyID],TDP!$B$1,[1]!Data_CF[Thang.Nam],TDP!AB$155)</f>
        <v>0</v>
      </c>
      <c r="AC167" s="384">
        <f>SUMIFS([1]!Data_CF[Value],[1]!Data_CF[Index CF],TDP!$B167,[1]!Data_CF[TenCongTyID],TDP!$B$1,[1]!Data_CF[Thang.Nam],TDP!AC$155)</f>
        <v>0</v>
      </c>
      <c r="AD167" s="384">
        <f>SUMIFS([1]!Data_CF[Value],[1]!Data_CF[Index CF],TDP!$B167,[1]!Data_CF[TenCongTyID],TDP!$B$1,[1]!Data_CF[Thang.Nam],TDP!AD$155)</f>
        <v>0</v>
      </c>
      <c r="AE167" s="384">
        <f>SUMIFS([1]!Data_CF[Value],[1]!Data_CF[Index CF],TDP!$B167,[1]!Data_CF[TenCongTyID],TDP!$B$1,[1]!Data_CF[Thang.Nam],TDP!AE$155)</f>
        <v>0</v>
      </c>
      <c r="AF167" s="384">
        <f>SUMIFS([1]!Data_CF[Value],[1]!Data_CF[Index CF],TDP!$B167,[1]!Data_CF[TenCongTyID],TDP!$B$1,[1]!Data_CF[Thang.Nam],TDP!AF$155)</f>
        <v>0</v>
      </c>
      <c r="AG167" s="384">
        <f>SUMIFS([1]!Data_CF[Value],[1]!Data_CF[Index CF],TDP!$B167,[1]!Data_CF[TenCongTyID],TDP!$B$1,[1]!Data_CF[Thang.Nam],TDP!AG$155)</f>
        <v>0</v>
      </c>
      <c r="AH167" s="384">
        <f>SUMIFS([1]!Data_CF[Value],[1]!Data_CF[Index CF],TDP!$B167,[1]!Data_CF[TenCongTyID],TDP!$B$1,[1]!Data_CF[Thang.Nam],TDP!AH$155)</f>
        <v>0</v>
      </c>
      <c r="AI167" s="384">
        <f>SUMIFS([1]!Data_CF[Value],[1]!Data_CF[Index CF],TDP!$B167,[1]!Data_CF[TenCongTyID],TDP!$B$1,[1]!Data_CF[Thang.Nam],TDP!AI$155)</f>
        <v>0</v>
      </c>
      <c r="AJ167" s="384">
        <f>SUMIFS([1]!Data_CF[Value],[1]!Data_CF[Index CF],TDP!$B167,[1]!Data_CF[TenCongTyID],TDP!$B$1,[1]!Data_CF[Thang.Nam],TDP!AJ$155)</f>
        <v>0</v>
      </c>
      <c r="AK167" s="384">
        <f>SUMIFS([1]!Data_CF[Value],[1]!Data_CF[Index CF],TDP!$B167,[1]!Data_CF[TenCongTyID],TDP!$B$1,[1]!Data_CF[Thang.Nam],TDP!AK$155)</f>
        <v>0</v>
      </c>
      <c r="AL167" s="385">
        <f>SUMIFS([1]!Data_CF[Value],[1]!Data_CF[Index CF],TDP!$B167,[1]!Data_CF[TenCongTyID],TDP!$B$1,[1]!Data_CF[Thang.Nam],TDP!AL$155)</f>
        <v>0</v>
      </c>
    </row>
    <row r="168" spans="1:38" ht="14">
      <c r="A168" s="158" t="s">
        <v>254</v>
      </c>
      <c r="B168" s="159">
        <v>13</v>
      </c>
      <c r="C168" s="69"/>
      <c r="D168" s="69"/>
      <c r="E168" s="69"/>
      <c r="F168" s="69"/>
      <c r="G168" s="69"/>
      <c r="H168" s="69"/>
      <c r="I168" s="69"/>
      <c r="J168" s="69">
        <v>400000</v>
      </c>
      <c r="K168" s="69">
        <f>-K157</f>
        <v>15035354</v>
      </c>
      <c r="L168" s="69">
        <f>-L157</f>
        <v>615035354</v>
      </c>
      <c r="M168" s="69">
        <f t="shared" ref="M168:W168" si="25">(M86-L86+M89-L89+M95-L95)</f>
        <v>676200000</v>
      </c>
      <c r="N168" s="69">
        <f t="shared" si="25"/>
        <v>611347778</v>
      </c>
      <c r="O168" s="69">
        <f t="shared" si="25"/>
        <v>-1777778</v>
      </c>
      <c r="P168" s="69">
        <f t="shared" si="25"/>
        <v>1320000000</v>
      </c>
      <c r="Q168" s="69">
        <f t="shared" si="25"/>
        <v>660000000</v>
      </c>
      <c r="R168" s="69">
        <f t="shared" si="25"/>
        <v>660000000</v>
      </c>
      <c r="S168" s="69">
        <f t="shared" si="25"/>
        <v>660000000</v>
      </c>
      <c r="T168" s="69">
        <f t="shared" si="25"/>
        <v>1660000000</v>
      </c>
      <c r="U168" s="69">
        <f t="shared" si="25"/>
        <v>660291600</v>
      </c>
      <c r="V168" s="69">
        <f t="shared" si="25"/>
        <v>659708400</v>
      </c>
      <c r="W168" s="69">
        <f t="shared" si="25"/>
        <v>660000000</v>
      </c>
      <c r="X168" s="69">
        <v>660000000</v>
      </c>
      <c r="Y168" s="69">
        <f>(Y86-X86+Y89-X89+Y95-X95)</f>
        <v>660000000</v>
      </c>
      <c r="Z168" s="69">
        <v>660000000</v>
      </c>
      <c r="AA168" s="384">
        <f>SUMIFS([1]!Data_CF[Value],[1]!Data_CF[Index CF],TDP!$B168,[1]!Data_CF[TenCongTyID],TDP!$B$1,[1]!Data_CF[Thang.Nam],TDP!AA$155)</f>
        <v>0</v>
      </c>
      <c r="AB168" s="384">
        <f>SUMIFS([1]!Data_CF[Value],[1]!Data_CF[Index CF],TDP!$B168,[1]!Data_CF[TenCongTyID],TDP!$B$1,[1]!Data_CF[Thang.Nam],TDP!AB$155)</f>
        <v>0</v>
      </c>
      <c r="AC168" s="384">
        <f>SUMIFS([1]!Data_CF[Value],[1]!Data_CF[Index CF],TDP!$B168,[1]!Data_CF[TenCongTyID],TDP!$B$1,[1]!Data_CF[Thang.Nam],TDP!AC$155)</f>
        <v>0</v>
      </c>
      <c r="AD168" s="384">
        <f>SUMIFS([1]!Data_CF[Value],[1]!Data_CF[Index CF],TDP!$B168,[1]!Data_CF[TenCongTyID],TDP!$B$1,[1]!Data_CF[Thang.Nam],TDP!AD$155)</f>
        <v>0</v>
      </c>
      <c r="AE168" s="384">
        <f>SUMIFS([1]!Data_CF[Value],[1]!Data_CF[Index CF],TDP!$B168,[1]!Data_CF[TenCongTyID],TDP!$B$1,[1]!Data_CF[Thang.Nam],TDP!AE$155)</f>
        <v>0</v>
      </c>
      <c r="AF168" s="384">
        <f>SUMIFS([1]!Data_CF[Value],[1]!Data_CF[Index CF],TDP!$B168,[1]!Data_CF[TenCongTyID],TDP!$B$1,[1]!Data_CF[Thang.Nam],TDP!AF$155)</f>
        <v>0</v>
      </c>
      <c r="AG168" s="384">
        <f>SUMIFS([1]!Data_CF[Value],[1]!Data_CF[Index CF],TDP!$B168,[1]!Data_CF[TenCongTyID],TDP!$B$1,[1]!Data_CF[Thang.Nam],TDP!AG$155)</f>
        <v>0</v>
      </c>
      <c r="AH168" s="384">
        <f>SUMIFS([1]!Data_CF[Value],[1]!Data_CF[Index CF],TDP!$B168,[1]!Data_CF[TenCongTyID],TDP!$B$1,[1]!Data_CF[Thang.Nam],TDP!AH$155)</f>
        <v>0</v>
      </c>
      <c r="AI168" s="384">
        <f>SUMIFS([1]!Data_CF[Value],[1]!Data_CF[Index CF],TDP!$B168,[1]!Data_CF[TenCongTyID],TDP!$B$1,[1]!Data_CF[Thang.Nam],TDP!AI$155)</f>
        <v>0</v>
      </c>
      <c r="AJ168" s="384">
        <f>SUMIFS([1]!Data_CF[Value],[1]!Data_CF[Index CF],TDP!$B168,[1]!Data_CF[TenCongTyID],TDP!$B$1,[1]!Data_CF[Thang.Nam],TDP!AJ$155)</f>
        <v>0</v>
      </c>
      <c r="AK168" s="384">
        <f>SUMIFS([1]!Data_CF[Value],[1]!Data_CF[Index CF],TDP!$B168,[1]!Data_CF[TenCongTyID],TDP!$B$1,[1]!Data_CF[Thang.Nam],TDP!AK$155)</f>
        <v>0</v>
      </c>
      <c r="AL168" s="385">
        <f>SUMIFS([1]!Data_CF[Value],[1]!Data_CF[Index CF],TDP!$B168,[1]!Data_CF[TenCongTyID],TDP!$B$1,[1]!Data_CF[Thang.Nam],TDP!AL$155)</f>
        <v>0</v>
      </c>
    </row>
    <row r="169" spans="1:38" ht="15" customHeight="1">
      <c r="A169" s="158" t="s">
        <v>255</v>
      </c>
      <c r="B169" s="159">
        <v>14</v>
      </c>
      <c r="C169" s="69">
        <v>0</v>
      </c>
      <c r="D169" s="69"/>
      <c r="E169" s="69">
        <v>0</v>
      </c>
      <c r="F169" s="69">
        <v>0</v>
      </c>
      <c r="G169" s="69"/>
      <c r="H169" s="69">
        <v>0</v>
      </c>
      <c r="I169" s="69">
        <v>0</v>
      </c>
      <c r="J169" s="69">
        <v>0</v>
      </c>
      <c r="K169" s="69">
        <v>0</v>
      </c>
      <c r="L169" s="69">
        <v>0</v>
      </c>
      <c r="M169" s="69">
        <f t="shared" ref="M169:W169" si="26">-(M79-L79)</f>
        <v>35354</v>
      </c>
      <c r="N169" s="69">
        <f t="shared" si="26"/>
        <v>-19193041</v>
      </c>
      <c r="O169" s="69">
        <f t="shared" si="26"/>
        <v>584737</v>
      </c>
      <c r="P169" s="69">
        <f t="shared" si="26"/>
        <v>584737</v>
      </c>
      <c r="Q169" s="69">
        <f t="shared" si="26"/>
        <v>584737</v>
      </c>
      <c r="R169" s="69">
        <f t="shared" si="26"/>
        <v>584737</v>
      </c>
      <c r="S169" s="69">
        <f t="shared" si="26"/>
        <v>584737</v>
      </c>
      <c r="T169" s="69">
        <f t="shared" si="26"/>
        <v>584737</v>
      </c>
      <c r="U169" s="69">
        <f t="shared" si="26"/>
        <v>584737</v>
      </c>
      <c r="V169" s="69">
        <f t="shared" si="26"/>
        <v>584737</v>
      </c>
      <c r="W169" s="69">
        <f t="shared" si="26"/>
        <v>584737</v>
      </c>
      <c r="X169" s="69">
        <v>584737</v>
      </c>
      <c r="Y169" s="69">
        <f>-(Y79-X79)</f>
        <v>584737</v>
      </c>
      <c r="Z169" s="69">
        <v>584737</v>
      </c>
      <c r="AA169" s="384">
        <f>SUMIFS([1]!Data_CF[Value],[1]!Data_CF[Index CF],TDP!$B169,[1]!Data_CF[TenCongTyID],TDP!$B$1,[1]!Data_CF[Thang.Nam],TDP!AA$155)</f>
        <v>0</v>
      </c>
      <c r="AB169" s="384">
        <f>SUMIFS([1]!Data_CF[Value],[1]!Data_CF[Index CF],TDP!$B169,[1]!Data_CF[TenCongTyID],TDP!$B$1,[1]!Data_CF[Thang.Nam],TDP!AB$155)</f>
        <v>0</v>
      </c>
      <c r="AC169" s="384">
        <f>SUMIFS([1]!Data_CF[Value],[1]!Data_CF[Index CF],TDP!$B169,[1]!Data_CF[TenCongTyID],TDP!$B$1,[1]!Data_CF[Thang.Nam],TDP!AC$155)</f>
        <v>0</v>
      </c>
      <c r="AD169" s="384">
        <f>SUMIFS([1]!Data_CF[Value],[1]!Data_CF[Index CF],TDP!$B169,[1]!Data_CF[TenCongTyID],TDP!$B$1,[1]!Data_CF[Thang.Nam],TDP!AD$155)</f>
        <v>0</v>
      </c>
      <c r="AE169" s="384">
        <f>SUMIFS([1]!Data_CF[Value],[1]!Data_CF[Index CF],TDP!$B169,[1]!Data_CF[TenCongTyID],TDP!$B$1,[1]!Data_CF[Thang.Nam],TDP!AE$155)</f>
        <v>0</v>
      </c>
      <c r="AF169" s="384">
        <f>SUMIFS([1]!Data_CF[Value],[1]!Data_CF[Index CF],TDP!$B169,[1]!Data_CF[TenCongTyID],TDP!$B$1,[1]!Data_CF[Thang.Nam],TDP!AF$155)</f>
        <v>0</v>
      </c>
      <c r="AG169" s="384">
        <f>SUMIFS([1]!Data_CF[Value],[1]!Data_CF[Index CF],TDP!$B169,[1]!Data_CF[TenCongTyID],TDP!$B$1,[1]!Data_CF[Thang.Nam],TDP!AG$155)</f>
        <v>0</v>
      </c>
      <c r="AH169" s="384">
        <f>SUMIFS([1]!Data_CF[Value],[1]!Data_CF[Index CF],TDP!$B169,[1]!Data_CF[TenCongTyID],TDP!$B$1,[1]!Data_CF[Thang.Nam],TDP!AH$155)</f>
        <v>0</v>
      </c>
      <c r="AI169" s="384">
        <f>SUMIFS([1]!Data_CF[Value],[1]!Data_CF[Index CF],TDP!$B169,[1]!Data_CF[TenCongTyID],TDP!$B$1,[1]!Data_CF[Thang.Nam],TDP!AI$155)</f>
        <v>0</v>
      </c>
      <c r="AJ169" s="384">
        <f>SUMIFS([1]!Data_CF[Value],[1]!Data_CF[Index CF],TDP!$B169,[1]!Data_CF[TenCongTyID],TDP!$B$1,[1]!Data_CF[Thang.Nam],TDP!AJ$155)</f>
        <v>0</v>
      </c>
      <c r="AK169" s="384">
        <f>SUMIFS([1]!Data_CF[Value],[1]!Data_CF[Index CF],TDP!$B169,[1]!Data_CF[TenCongTyID],TDP!$B$1,[1]!Data_CF[Thang.Nam],TDP!AK$155)</f>
        <v>0</v>
      </c>
      <c r="AL169" s="385">
        <f>SUMIFS([1]!Data_CF[Value],[1]!Data_CF[Index CF],TDP!$B169,[1]!Data_CF[TenCongTyID],TDP!$B$1,[1]!Data_CF[Thang.Nam],TDP!AL$155)</f>
        <v>0</v>
      </c>
    </row>
    <row r="170" spans="1:38" ht="15" customHeight="1">
      <c r="A170" s="158" t="s">
        <v>256</v>
      </c>
      <c r="B170" s="159">
        <v>15</v>
      </c>
      <c r="C170" s="64">
        <v>0</v>
      </c>
      <c r="D170" s="69"/>
      <c r="E170" s="69"/>
      <c r="F170" s="69">
        <v>0</v>
      </c>
      <c r="G170" s="69"/>
      <c r="H170" s="69">
        <v>0</v>
      </c>
      <c r="I170" s="69">
        <v>0</v>
      </c>
      <c r="J170" s="69">
        <v>0</v>
      </c>
      <c r="K170" s="69"/>
      <c r="L170" s="69">
        <v>0</v>
      </c>
      <c r="M170" s="69"/>
      <c r="N170" s="64">
        <v>0</v>
      </c>
      <c r="O170" s="64">
        <v>0</v>
      </c>
      <c r="P170" s="69"/>
      <c r="Q170" s="69"/>
      <c r="R170" s="69">
        <v>0</v>
      </c>
      <c r="S170" s="69"/>
      <c r="T170" s="69">
        <v>0</v>
      </c>
      <c r="U170" s="69">
        <v>0</v>
      </c>
      <c r="V170" s="69">
        <v>0</v>
      </c>
      <c r="W170" s="69"/>
      <c r="X170" s="69">
        <v>0</v>
      </c>
      <c r="Y170" s="69"/>
      <c r="Z170" s="69">
        <v>0</v>
      </c>
      <c r="AA170" s="384">
        <f>SUMIFS([1]!Data_CF[Value],[1]!Data_CF[Index CF],TDP!$B170,[1]!Data_CF[TenCongTyID],TDP!$B$1,[1]!Data_CF[Thang.Nam],TDP!AA$155)</f>
        <v>0</v>
      </c>
      <c r="AB170" s="384">
        <f>SUMIFS([1]!Data_CF[Value],[1]!Data_CF[Index CF],TDP!$B170,[1]!Data_CF[TenCongTyID],TDP!$B$1,[1]!Data_CF[Thang.Nam],TDP!AB$155)</f>
        <v>0</v>
      </c>
      <c r="AC170" s="384">
        <f>SUMIFS([1]!Data_CF[Value],[1]!Data_CF[Index CF],TDP!$B170,[1]!Data_CF[TenCongTyID],TDP!$B$1,[1]!Data_CF[Thang.Nam],TDP!AC$155)</f>
        <v>0</v>
      </c>
      <c r="AD170" s="384">
        <f>SUMIFS([1]!Data_CF[Value],[1]!Data_CF[Index CF],TDP!$B170,[1]!Data_CF[TenCongTyID],TDP!$B$1,[1]!Data_CF[Thang.Nam],TDP!AD$155)</f>
        <v>0</v>
      </c>
      <c r="AE170" s="384">
        <f>SUMIFS([1]!Data_CF[Value],[1]!Data_CF[Index CF],TDP!$B170,[1]!Data_CF[TenCongTyID],TDP!$B$1,[1]!Data_CF[Thang.Nam],TDP!AE$155)</f>
        <v>0</v>
      </c>
      <c r="AF170" s="384">
        <f>SUMIFS([1]!Data_CF[Value],[1]!Data_CF[Index CF],TDP!$B170,[1]!Data_CF[TenCongTyID],TDP!$B$1,[1]!Data_CF[Thang.Nam],TDP!AF$155)</f>
        <v>0</v>
      </c>
      <c r="AG170" s="384">
        <f>SUMIFS([1]!Data_CF[Value],[1]!Data_CF[Index CF],TDP!$B170,[1]!Data_CF[TenCongTyID],TDP!$B$1,[1]!Data_CF[Thang.Nam],TDP!AG$155)</f>
        <v>0</v>
      </c>
      <c r="AH170" s="384">
        <f>SUMIFS([1]!Data_CF[Value],[1]!Data_CF[Index CF],TDP!$B170,[1]!Data_CF[TenCongTyID],TDP!$B$1,[1]!Data_CF[Thang.Nam],TDP!AH$155)</f>
        <v>0</v>
      </c>
      <c r="AI170" s="384">
        <f>SUMIFS([1]!Data_CF[Value],[1]!Data_CF[Index CF],TDP!$B170,[1]!Data_CF[TenCongTyID],TDP!$B$1,[1]!Data_CF[Thang.Nam],TDP!AI$155)</f>
        <v>0</v>
      </c>
      <c r="AJ170" s="384">
        <f>SUMIFS([1]!Data_CF[Value],[1]!Data_CF[Index CF],TDP!$B170,[1]!Data_CF[TenCongTyID],TDP!$B$1,[1]!Data_CF[Thang.Nam],TDP!AJ$155)</f>
        <v>0</v>
      </c>
      <c r="AK170" s="384">
        <f>SUMIFS([1]!Data_CF[Value],[1]!Data_CF[Index CF],TDP!$B170,[1]!Data_CF[TenCongTyID],TDP!$B$1,[1]!Data_CF[Thang.Nam],TDP!AK$155)</f>
        <v>0</v>
      </c>
      <c r="AL170" s="385">
        <f>SUMIFS([1]!Data_CF[Value],[1]!Data_CF[Index CF],TDP!$B170,[1]!Data_CF[TenCongTyID],TDP!$B$1,[1]!Data_CF[Thang.Nam],TDP!AL$155)</f>
        <v>0</v>
      </c>
    </row>
    <row r="171" spans="1:38" ht="15" customHeight="1">
      <c r="A171" s="158" t="s">
        <v>257</v>
      </c>
      <c r="B171" s="159">
        <v>16</v>
      </c>
      <c r="C171" s="64">
        <v>0</v>
      </c>
      <c r="D171" s="69"/>
      <c r="E171" s="69">
        <v>0</v>
      </c>
      <c r="F171" s="69">
        <v>0</v>
      </c>
      <c r="G171" s="69"/>
      <c r="H171" s="69">
        <v>0</v>
      </c>
      <c r="I171" s="69">
        <v>0</v>
      </c>
      <c r="J171" s="69">
        <v>0</v>
      </c>
      <c r="K171" s="69"/>
      <c r="L171" s="69">
        <v>0</v>
      </c>
      <c r="M171" s="69"/>
      <c r="N171" s="64">
        <v>0</v>
      </c>
      <c r="O171" s="64">
        <v>0</v>
      </c>
      <c r="P171" s="69"/>
      <c r="Q171" s="69">
        <v>0</v>
      </c>
      <c r="R171" s="69">
        <v>0</v>
      </c>
      <c r="S171" s="69"/>
      <c r="T171" s="69">
        <v>0</v>
      </c>
      <c r="U171" s="69">
        <v>0</v>
      </c>
      <c r="V171" s="69">
        <v>0</v>
      </c>
      <c r="W171" s="69"/>
      <c r="X171" s="69">
        <v>0</v>
      </c>
      <c r="Y171" s="69"/>
      <c r="Z171" s="69">
        <v>0</v>
      </c>
      <c r="AA171" s="384">
        <f>SUMIFS([1]!Data_CF[Value],[1]!Data_CF[Index CF],TDP!$B171,[1]!Data_CF[TenCongTyID],TDP!$B$1,[1]!Data_CF[Thang.Nam],TDP!AA$155)</f>
        <v>0</v>
      </c>
      <c r="AB171" s="384">
        <f>SUMIFS([1]!Data_CF[Value],[1]!Data_CF[Index CF],TDP!$B171,[1]!Data_CF[TenCongTyID],TDP!$B$1,[1]!Data_CF[Thang.Nam],TDP!AB$155)</f>
        <v>0</v>
      </c>
      <c r="AC171" s="384">
        <f>SUMIFS([1]!Data_CF[Value],[1]!Data_CF[Index CF],TDP!$B171,[1]!Data_CF[TenCongTyID],TDP!$B$1,[1]!Data_CF[Thang.Nam],TDP!AC$155)</f>
        <v>0</v>
      </c>
      <c r="AD171" s="384">
        <f>SUMIFS([1]!Data_CF[Value],[1]!Data_CF[Index CF],TDP!$B171,[1]!Data_CF[TenCongTyID],TDP!$B$1,[1]!Data_CF[Thang.Nam],TDP!AD$155)</f>
        <v>0</v>
      </c>
      <c r="AE171" s="384">
        <f>SUMIFS([1]!Data_CF[Value],[1]!Data_CF[Index CF],TDP!$B171,[1]!Data_CF[TenCongTyID],TDP!$B$1,[1]!Data_CF[Thang.Nam],TDP!AE$155)</f>
        <v>0</v>
      </c>
      <c r="AF171" s="384">
        <f>SUMIFS([1]!Data_CF[Value],[1]!Data_CF[Index CF],TDP!$B171,[1]!Data_CF[TenCongTyID],TDP!$B$1,[1]!Data_CF[Thang.Nam],TDP!AF$155)</f>
        <v>0</v>
      </c>
      <c r="AG171" s="384">
        <f>SUMIFS([1]!Data_CF[Value],[1]!Data_CF[Index CF],TDP!$B171,[1]!Data_CF[TenCongTyID],TDP!$B$1,[1]!Data_CF[Thang.Nam],TDP!AG$155)</f>
        <v>0</v>
      </c>
      <c r="AH171" s="384">
        <f>SUMIFS([1]!Data_CF[Value],[1]!Data_CF[Index CF],TDP!$B171,[1]!Data_CF[TenCongTyID],TDP!$B$1,[1]!Data_CF[Thang.Nam],TDP!AH$155)</f>
        <v>0</v>
      </c>
      <c r="AI171" s="384">
        <f>SUMIFS([1]!Data_CF[Value],[1]!Data_CF[Index CF],TDP!$B171,[1]!Data_CF[TenCongTyID],TDP!$B$1,[1]!Data_CF[Thang.Nam],TDP!AI$155)</f>
        <v>0</v>
      </c>
      <c r="AJ171" s="384">
        <f>SUMIFS([1]!Data_CF[Value],[1]!Data_CF[Index CF],TDP!$B171,[1]!Data_CF[TenCongTyID],TDP!$B$1,[1]!Data_CF[Thang.Nam],TDP!AJ$155)</f>
        <v>0</v>
      </c>
      <c r="AK171" s="384">
        <f>SUMIFS([1]!Data_CF[Value],[1]!Data_CF[Index CF],TDP!$B171,[1]!Data_CF[TenCongTyID],TDP!$B$1,[1]!Data_CF[Thang.Nam],TDP!AK$155)</f>
        <v>0</v>
      </c>
      <c r="AL171" s="385">
        <f>SUMIFS([1]!Data_CF[Value],[1]!Data_CF[Index CF],TDP!$B171,[1]!Data_CF[TenCongTyID],TDP!$B$1,[1]!Data_CF[Thang.Nam],TDP!AL$155)</f>
        <v>0</v>
      </c>
    </row>
    <row r="172" spans="1:38" ht="15" customHeight="1">
      <c r="A172" s="158" t="s">
        <v>258</v>
      </c>
      <c r="B172" s="159">
        <v>17</v>
      </c>
      <c r="C172" s="64">
        <v>0</v>
      </c>
      <c r="D172" s="69"/>
      <c r="E172" s="69">
        <v>0</v>
      </c>
      <c r="F172" s="69">
        <v>0</v>
      </c>
      <c r="G172" s="69"/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4">
        <v>0</v>
      </c>
      <c r="O172" s="64">
        <v>0</v>
      </c>
      <c r="P172" s="69"/>
      <c r="Q172" s="69">
        <v>0</v>
      </c>
      <c r="R172" s="69">
        <v>0</v>
      </c>
      <c r="S172" s="69"/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/>
      <c r="Z172" s="69">
        <v>0</v>
      </c>
      <c r="AA172" s="384">
        <f>SUMIFS([1]!Data_CF[Value],[1]!Data_CF[Index CF],TDP!$B172,[1]!Data_CF[TenCongTyID],TDP!$B$1,[1]!Data_CF[Thang.Nam],TDP!AA$155)</f>
        <v>0</v>
      </c>
      <c r="AB172" s="384">
        <f>SUMIFS([1]!Data_CF[Value],[1]!Data_CF[Index CF],TDP!$B172,[1]!Data_CF[TenCongTyID],TDP!$B$1,[1]!Data_CF[Thang.Nam],TDP!AB$155)</f>
        <v>0</v>
      </c>
      <c r="AC172" s="384">
        <f>SUMIFS([1]!Data_CF[Value],[1]!Data_CF[Index CF],TDP!$B172,[1]!Data_CF[TenCongTyID],TDP!$B$1,[1]!Data_CF[Thang.Nam],TDP!AC$155)</f>
        <v>0</v>
      </c>
      <c r="AD172" s="384">
        <f>SUMIFS([1]!Data_CF[Value],[1]!Data_CF[Index CF],TDP!$B172,[1]!Data_CF[TenCongTyID],TDP!$B$1,[1]!Data_CF[Thang.Nam],TDP!AD$155)</f>
        <v>0</v>
      </c>
      <c r="AE172" s="384">
        <f>SUMIFS([1]!Data_CF[Value],[1]!Data_CF[Index CF],TDP!$B172,[1]!Data_CF[TenCongTyID],TDP!$B$1,[1]!Data_CF[Thang.Nam],TDP!AE$155)</f>
        <v>0</v>
      </c>
      <c r="AF172" s="384">
        <f>SUMIFS([1]!Data_CF[Value],[1]!Data_CF[Index CF],TDP!$B172,[1]!Data_CF[TenCongTyID],TDP!$B$1,[1]!Data_CF[Thang.Nam],TDP!AF$155)</f>
        <v>0</v>
      </c>
      <c r="AG172" s="384">
        <f>SUMIFS([1]!Data_CF[Value],[1]!Data_CF[Index CF],TDP!$B172,[1]!Data_CF[TenCongTyID],TDP!$B$1,[1]!Data_CF[Thang.Nam],TDP!AG$155)</f>
        <v>0</v>
      </c>
      <c r="AH172" s="384">
        <f>SUMIFS([1]!Data_CF[Value],[1]!Data_CF[Index CF],TDP!$B172,[1]!Data_CF[TenCongTyID],TDP!$B$1,[1]!Data_CF[Thang.Nam],TDP!AH$155)</f>
        <v>0</v>
      </c>
      <c r="AI172" s="384">
        <f>SUMIFS([1]!Data_CF[Value],[1]!Data_CF[Index CF],TDP!$B172,[1]!Data_CF[TenCongTyID],TDP!$B$1,[1]!Data_CF[Thang.Nam],TDP!AI$155)</f>
        <v>0</v>
      </c>
      <c r="AJ172" s="384">
        <f>SUMIFS([1]!Data_CF[Value],[1]!Data_CF[Index CF],TDP!$B172,[1]!Data_CF[TenCongTyID],TDP!$B$1,[1]!Data_CF[Thang.Nam],TDP!AJ$155)</f>
        <v>0</v>
      </c>
      <c r="AK172" s="384">
        <f>SUMIFS([1]!Data_CF[Value],[1]!Data_CF[Index CF],TDP!$B172,[1]!Data_CF[TenCongTyID],TDP!$B$1,[1]!Data_CF[Thang.Nam],TDP!AK$155)</f>
        <v>0</v>
      </c>
      <c r="AL172" s="385">
        <f>SUMIFS([1]!Data_CF[Value],[1]!Data_CF[Index CF],TDP!$B172,[1]!Data_CF[TenCongTyID],TDP!$B$1,[1]!Data_CF[Thang.Nam],TDP!AL$155)</f>
        <v>0</v>
      </c>
    </row>
    <row r="173" spans="1:38" ht="15" customHeight="1">
      <c r="A173" s="158" t="s">
        <v>259</v>
      </c>
      <c r="B173" s="159">
        <v>18</v>
      </c>
      <c r="C173" s="64"/>
      <c r="D173" s="69"/>
      <c r="E173" s="69"/>
      <c r="F173" s="69"/>
      <c r="G173" s="69"/>
      <c r="H173" s="69">
        <v>0</v>
      </c>
      <c r="I173" s="69"/>
      <c r="J173" s="69"/>
      <c r="K173" s="69"/>
      <c r="L173" s="69"/>
      <c r="M173" s="69"/>
      <c r="N173" s="64"/>
      <c r="O173" s="64"/>
      <c r="P173" s="69"/>
      <c r="Q173" s="69"/>
      <c r="R173" s="69"/>
      <c r="S173" s="69"/>
      <c r="T173" s="69">
        <v>0</v>
      </c>
      <c r="U173" s="69"/>
      <c r="V173" s="69"/>
      <c r="W173" s="69"/>
      <c r="X173" s="69"/>
      <c r="Y173" s="69"/>
      <c r="Z173" s="69">
        <v>0</v>
      </c>
      <c r="AA173" s="384">
        <f>SUMIFS([1]!Data_CF[Value],[1]!Data_CF[Index CF],TDP!$B173,[1]!Data_CF[TenCongTyID],TDP!$B$1,[1]!Data_CF[Thang.Nam],TDP!AA$155)</f>
        <v>0</v>
      </c>
      <c r="AB173" s="384">
        <f>SUMIFS([1]!Data_CF[Value],[1]!Data_CF[Index CF],TDP!$B173,[1]!Data_CF[TenCongTyID],TDP!$B$1,[1]!Data_CF[Thang.Nam],TDP!AB$155)</f>
        <v>0</v>
      </c>
      <c r="AC173" s="384">
        <f>SUMIFS([1]!Data_CF[Value],[1]!Data_CF[Index CF],TDP!$B173,[1]!Data_CF[TenCongTyID],TDP!$B$1,[1]!Data_CF[Thang.Nam],TDP!AC$155)</f>
        <v>0</v>
      </c>
      <c r="AD173" s="384">
        <f>SUMIFS([1]!Data_CF[Value],[1]!Data_CF[Index CF],TDP!$B173,[1]!Data_CF[TenCongTyID],TDP!$B$1,[1]!Data_CF[Thang.Nam],TDP!AD$155)</f>
        <v>0</v>
      </c>
      <c r="AE173" s="384">
        <f>SUMIFS([1]!Data_CF[Value],[1]!Data_CF[Index CF],TDP!$B173,[1]!Data_CF[TenCongTyID],TDP!$B$1,[1]!Data_CF[Thang.Nam],TDP!AE$155)</f>
        <v>0</v>
      </c>
      <c r="AF173" s="384">
        <f>SUMIFS([1]!Data_CF[Value],[1]!Data_CF[Index CF],TDP!$B173,[1]!Data_CF[TenCongTyID],TDP!$B$1,[1]!Data_CF[Thang.Nam],TDP!AF$155)</f>
        <v>0</v>
      </c>
      <c r="AG173" s="384">
        <f>SUMIFS([1]!Data_CF[Value],[1]!Data_CF[Index CF],TDP!$B173,[1]!Data_CF[TenCongTyID],TDP!$B$1,[1]!Data_CF[Thang.Nam],TDP!AG$155)</f>
        <v>0</v>
      </c>
      <c r="AH173" s="384">
        <f>SUMIFS([1]!Data_CF[Value],[1]!Data_CF[Index CF],TDP!$B173,[1]!Data_CF[TenCongTyID],TDP!$B$1,[1]!Data_CF[Thang.Nam],TDP!AH$155)</f>
        <v>0</v>
      </c>
      <c r="AI173" s="384">
        <f>SUMIFS([1]!Data_CF[Value],[1]!Data_CF[Index CF],TDP!$B173,[1]!Data_CF[TenCongTyID],TDP!$B$1,[1]!Data_CF[Thang.Nam],TDP!AI$155)</f>
        <v>0</v>
      </c>
      <c r="AJ173" s="384">
        <f>SUMIFS([1]!Data_CF[Value],[1]!Data_CF[Index CF],TDP!$B173,[1]!Data_CF[TenCongTyID],TDP!$B$1,[1]!Data_CF[Thang.Nam],TDP!AJ$155)</f>
        <v>0</v>
      </c>
      <c r="AK173" s="384">
        <f>SUMIFS([1]!Data_CF[Value],[1]!Data_CF[Index CF],TDP!$B173,[1]!Data_CF[TenCongTyID],TDP!$B$1,[1]!Data_CF[Thang.Nam],TDP!AK$155)</f>
        <v>0</v>
      </c>
      <c r="AL173" s="385">
        <f>SUMIFS([1]!Data_CF[Value],[1]!Data_CF[Index CF],TDP!$B173,[1]!Data_CF[TenCongTyID],TDP!$B$1,[1]!Data_CF[Thang.Nam],TDP!AL$155)</f>
        <v>0</v>
      </c>
    </row>
    <row r="174" spans="1:38" ht="15" customHeight="1">
      <c r="A174" s="158" t="s">
        <v>260</v>
      </c>
      <c r="B174" s="159">
        <v>19</v>
      </c>
      <c r="C174" s="64"/>
      <c r="D174" s="69"/>
      <c r="E174" s="69"/>
      <c r="F174" s="69"/>
      <c r="G174" s="69"/>
      <c r="H174" s="69">
        <v>0</v>
      </c>
      <c r="I174" s="69">
        <v>0</v>
      </c>
      <c r="J174" s="69">
        <v>0</v>
      </c>
      <c r="K174" s="69"/>
      <c r="L174" s="69">
        <v>0</v>
      </c>
      <c r="M174" s="69"/>
      <c r="N174" s="64"/>
      <c r="O174" s="64"/>
      <c r="P174" s="69"/>
      <c r="Q174" s="69"/>
      <c r="R174" s="69"/>
      <c r="S174" s="69"/>
      <c r="T174" s="69">
        <v>0</v>
      </c>
      <c r="U174" s="69">
        <v>0</v>
      </c>
      <c r="V174" s="69">
        <v>0</v>
      </c>
      <c r="W174" s="69"/>
      <c r="X174" s="69">
        <v>0</v>
      </c>
      <c r="Y174" s="69"/>
      <c r="Z174" s="69">
        <v>0</v>
      </c>
      <c r="AA174" s="384">
        <f>SUMIFS([1]!Data_CF[Value],[1]!Data_CF[Index CF],TDP!$B174,[1]!Data_CF[TenCongTyID],TDP!$B$1,[1]!Data_CF[Thang.Nam],TDP!AA$155)</f>
        <v>0</v>
      </c>
      <c r="AB174" s="384">
        <f>SUMIFS([1]!Data_CF[Value],[1]!Data_CF[Index CF],TDP!$B174,[1]!Data_CF[TenCongTyID],TDP!$B$1,[1]!Data_CF[Thang.Nam],TDP!AB$155)</f>
        <v>0</v>
      </c>
      <c r="AC174" s="384">
        <f>SUMIFS([1]!Data_CF[Value],[1]!Data_CF[Index CF],TDP!$B174,[1]!Data_CF[TenCongTyID],TDP!$B$1,[1]!Data_CF[Thang.Nam],TDP!AC$155)</f>
        <v>0</v>
      </c>
      <c r="AD174" s="384">
        <f>SUMIFS([1]!Data_CF[Value],[1]!Data_CF[Index CF],TDP!$B174,[1]!Data_CF[TenCongTyID],TDP!$B$1,[1]!Data_CF[Thang.Nam],TDP!AD$155)</f>
        <v>0</v>
      </c>
      <c r="AE174" s="384">
        <f>SUMIFS([1]!Data_CF[Value],[1]!Data_CF[Index CF],TDP!$B174,[1]!Data_CF[TenCongTyID],TDP!$B$1,[1]!Data_CF[Thang.Nam],TDP!AE$155)</f>
        <v>0</v>
      </c>
      <c r="AF174" s="384">
        <f>SUMIFS([1]!Data_CF[Value],[1]!Data_CF[Index CF],TDP!$B174,[1]!Data_CF[TenCongTyID],TDP!$B$1,[1]!Data_CF[Thang.Nam],TDP!AF$155)</f>
        <v>0</v>
      </c>
      <c r="AG174" s="384">
        <f>SUMIFS([1]!Data_CF[Value],[1]!Data_CF[Index CF],TDP!$B174,[1]!Data_CF[TenCongTyID],TDP!$B$1,[1]!Data_CF[Thang.Nam],TDP!AG$155)</f>
        <v>0</v>
      </c>
      <c r="AH174" s="384">
        <f>SUMIFS([1]!Data_CF[Value],[1]!Data_CF[Index CF],TDP!$B174,[1]!Data_CF[TenCongTyID],TDP!$B$1,[1]!Data_CF[Thang.Nam],TDP!AH$155)</f>
        <v>0</v>
      </c>
      <c r="AI174" s="384">
        <f>SUMIFS([1]!Data_CF[Value],[1]!Data_CF[Index CF],TDP!$B174,[1]!Data_CF[TenCongTyID],TDP!$B$1,[1]!Data_CF[Thang.Nam],TDP!AI$155)</f>
        <v>0</v>
      </c>
      <c r="AJ174" s="384">
        <f>SUMIFS([1]!Data_CF[Value],[1]!Data_CF[Index CF],TDP!$B174,[1]!Data_CF[TenCongTyID],TDP!$B$1,[1]!Data_CF[Thang.Nam],TDP!AJ$155)</f>
        <v>0</v>
      </c>
      <c r="AK174" s="384">
        <f>SUMIFS([1]!Data_CF[Value],[1]!Data_CF[Index CF],TDP!$B174,[1]!Data_CF[TenCongTyID],TDP!$B$1,[1]!Data_CF[Thang.Nam],TDP!AK$155)</f>
        <v>0</v>
      </c>
      <c r="AL174" s="385">
        <f>SUMIFS([1]!Data_CF[Value],[1]!Data_CF[Index CF],TDP!$B174,[1]!Data_CF[TenCongTyID],TDP!$B$1,[1]!Data_CF[Thang.Nam],TDP!AL$155)</f>
        <v>0</v>
      </c>
    </row>
    <row r="175" spans="1:38" ht="15" customHeight="1">
      <c r="A175" s="162" t="s">
        <v>261</v>
      </c>
      <c r="B175" s="146">
        <v>20</v>
      </c>
      <c r="C175" s="148">
        <f t="shared" ref="C175:I175" si="27">+SUM(C165:C174)</f>
        <v>0</v>
      </c>
      <c r="D175" s="148">
        <f t="shared" si="27"/>
        <v>0</v>
      </c>
      <c r="E175" s="148">
        <f t="shared" si="27"/>
        <v>0</v>
      </c>
      <c r="F175" s="148">
        <f t="shared" si="27"/>
        <v>0</v>
      </c>
      <c r="G175" s="148">
        <f t="shared" si="27"/>
        <v>0</v>
      </c>
      <c r="H175" s="148">
        <f t="shared" si="27"/>
        <v>0</v>
      </c>
      <c r="I175" s="148">
        <f t="shared" si="27"/>
        <v>0</v>
      </c>
      <c r="J175" s="148">
        <f>+SUM(J165:J174)</f>
        <v>0</v>
      </c>
      <c r="K175" s="148">
        <f>+SUM(K165:K174)</f>
        <v>0</v>
      </c>
      <c r="L175" s="148">
        <f>+SUM(L165:L174)</f>
        <v>0</v>
      </c>
      <c r="M175" s="148">
        <f>+SUM(M165:M174)</f>
        <v>0</v>
      </c>
      <c r="N175" s="147">
        <f>+SUM(N165:N174)</f>
        <v>-84630000</v>
      </c>
      <c r="O175" s="148">
        <f t="shared" ref="O175:V175" si="28">+SUM(O165:O174)</f>
        <v>-53377778</v>
      </c>
      <c r="P175" s="148">
        <f t="shared" si="28"/>
        <v>0</v>
      </c>
      <c r="Q175" s="148">
        <f t="shared" si="28"/>
        <v>0</v>
      </c>
      <c r="R175" s="148">
        <f t="shared" si="28"/>
        <v>-49243000</v>
      </c>
      <c r="S175" s="148">
        <f t="shared" si="28"/>
        <v>0</v>
      </c>
      <c r="T175" s="148">
        <f t="shared" si="28"/>
        <v>-19001000000</v>
      </c>
      <c r="U175" s="148">
        <f t="shared" si="28"/>
        <v>0</v>
      </c>
      <c r="V175" s="148">
        <f t="shared" si="28"/>
        <v>-291600</v>
      </c>
      <c r="W175" s="148">
        <f>+SUM(W165:W174)</f>
        <v>0</v>
      </c>
      <c r="X175" s="148">
        <f>+SUM(X165:X174)</f>
        <v>0</v>
      </c>
      <c r="Y175" s="148">
        <f t="shared" ref="Y175" si="29">+SUM(Y165:Y174)</f>
        <v>0</v>
      </c>
      <c r="Z175" s="148">
        <v>0</v>
      </c>
      <c r="AA175" s="421">
        <f>SUMIFS([1]!Data_CF[Value],[1]!Data_CF[Index CF],TDP!$B175,[1]!Data_CF[TenCongTyID],TDP!$B$1,[1]!Data_CF[Thang.Nam],TDP!AA$155)</f>
        <v>0</v>
      </c>
      <c r="AB175" s="421">
        <f>SUMIFS([1]!Data_CF[Value],[1]!Data_CF[Index CF],TDP!$B175,[1]!Data_CF[TenCongTyID],TDP!$B$1,[1]!Data_CF[Thang.Nam],TDP!AB$155)</f>
        <v>0</v>
      </c>
      <c r="AC175" s="421">
        <f>SUMIFS([1]!Data_CF[Value],[1]!Data_CF[Index CF],TDP!$B175,[1]!Data_CF[TenCongTyID],TDP!$B$1,[1]!Data_CF[Thang.Nam],TDP!AC$155)</f>
        <v>0</v>
      </c>
      <c r="AD175" s="421">
        <f>SUMIFS([1]!Data_CF[Value],[1]!Data_CF[Index CF],TDP!$B175,[1]!Data_CF[TenCongTyID],TDP!$B$1,[1]!Data_CF[Thang.Nam],TDP!AD$155)</f>
        <v>0</v>
      </c>
      <c r="AE175" s="421">
        <f>SUMIFS([1]!Data_CF[Value],[1]!Data_CF[Index CF],TDP!$B175,[1]!Data_CF[TenCongTyID],TDP!$B$1,[1]!Data_CF[Thang.Nam],TDP!AE$155)</f>
        <v>0</v>
      </c>
      <c r="AF175" s="421">
        <f>SUMIFS([1]!Data_CF[Value],[1]!Data_CF[Index CF],TDP!$B175,[1]!Data_CF[TenCongTyID],TDP!$B$1,[1]!Data_CF[Thang.Nam],TDP!AF$155)</f>
        <v>0</v>
      </c>
      <c r="AG175" s="421">
        <f>SUMIFS([1]!Data_CF[Value],[1]!Data_CF[Index CF],TDP!$B175,[1]!Data_CF[TenCongTyID],TDP!$B$1,[1]!Data_CF[Thang.Nam],TDP!AG$155)</f>
        <v>0</v>
      </c>
      <c r="AH175" s="421">
        <f>SUMIFS([1]!Data_CF[Value],[1]!Data_CF[Index CF],TDP!$B175,[1]!Data_CF[TenCongTyID],TDP!$B$1,[1]!Data_CF[Thang.Nam],TDP!AH$155)</f>
        <v>0</v>
      </c>
      <c r="AI175" s="421">
        <f>SUMIFS([1]!Data_CF[Value],[1]!Data_CF[Index CF],TDP!$B175,[1]!Data_CF[TenCongTyID],TDP!$B$1,[1]!Data_CF[Thang.Nam],TDP!AI$155)</f>
        <v>0</v>
      </c>
      <c r="AJ175" s="421">
        <f>SUMIFS([1]!Data_CF[Value],[1]!Data_CF[Index CF],TDP!$B175,[1]!Data_CF[TenCongTyID],TDP!$B$1,[1]!Data_CF[Thang.Nam],TDP!AJ$155)</f>
        <v>0</v>
      </c>
      <c r="AK175" s="421">
        <f>SUMIFS([1]!Data_CF[Value],[1]!Data_CF[Index CF],TDP!$B175,[1]!Data_CF[TenCongTyID],TDP!$B$1,[1]!Data_CF[Thang.Nam],TDP!AK$155)</f>
        <v>0</v>
      </c>
      <c r="AL175" s="422">
        <f>SUMIFS([1]!Data_CF[Value],[1]!Data_CF[Index CF],TDP!$B175,[1]!Data_CF[TenCongTyID],TDP!$B$1,[1]!Data_CF[Thang.Nam],TDP!AL$155)</f>
        <v>0</v>
      </c>
    </row>
    <row r="176" spans="1:38" ht="15" customHeight="1">
      <c r="A176" s="145" t="s">
        <v>262</v>
      </c>
      <c r="B176" s="146">
        <v>21</v>
      </c>
      <c r="C176" s="147"/>
      <c r="D176" s="148"/>
      <c r="E176" s="148"/>
      <c r="F176" s="148"/>
      <c r="G176" s="148"/>
      <c r="H176" s="148"/>
      <c r="I176" s="148">
        <v>0</v>
      </c>
      <c r="J176" s="148">
        <v>0</v>
      </c>
      <c r="K176" s="148"/>
      <c r="L176" s="148"/>
      <c r="M176" s="148"/>
      <c r="N176" s="147"/>
      <c r="O176" s="147"/>
      <c r="P176" s="148"/>
      <c r="Q176" s="148"/>
      <c r="R176" s="148"/>
      <c r="S176" s="148"/>
      <c r="T176" s="148"/>
      <c r="U176" s="148">
        <v>0</v>
      </c>
      <c r="V176" s="148">
        <v>0</v>
      </c>
      <c r="W176" s="148"/>
      <c r="X176" s="148"/>
      <c r="Y176" s="148"/>
      <c r="Z176" s="148">
        <v>0</v>
      </c>
      <c r="AA176" s="421">
        <f>SUMIFS([1]!Data_CF[Value],[1]!Data_CF[Index CF],TDP!$B176,[1]!Data_CF[TenCongTyID],TDP!$B$1,[1]!Data_CF[Thang.Nam],TDP!AA$155)</f>
        <v>0</v>
      </c>
      <c r="AB176" s="421">
        <f>SUMIFS([1]!Data_CF[Value],[1]!Data_CF[Index CF],TDP!$B176,[1]!Data_CF[TenCongTyID],TDP!$B$1,[1]!Data_CF[Thang.Nam],TDP!AB$155)</f>
        <v>0</v>
      </c>
      <c r="AC176" s="421">
        <f>SUMIFS([1]!Data_CF[Value],[1]!Data_CF[Index CF],TDP!$B176,[1]!Data_CF[TenCongTyID],TDP!$B$1,[1]!Data_CF[Thang.Nam],TDP!AC$155)</f>
        <v>0</v>
      </c>
      <c r="AD176" s="421">
        <f>SUMIFS([1]!Data_CF[Value],[1]!Data_CF[Index CF],TDP!$B176,[1]!Data_CF[TenCongTyID],TDP!$B$1,[1]!Data_CF[Thang.Nam],TDP!AD$155)</f>
        <v>0</v>
      </c>
      <c r="AE176" s="421">
        <f>SUMIFS([1]!Data_CF[Value],[1]!Data_CF[Index CF],TDP!$B176,[1]!Data_CF[TenCongTyID],TDP!$B$1,[1]!Data_CF[Thang.Nam],TDP!AE$155)</f>
        <v>0</v>
      </c>
      <c r="AF176" s="421">
        <f>SUMIFS([1]!Data_CF[Value],[1]!Data_CF[Index CF],TDP!$B176,[1]!Data_CF[TenCongTyID],TDP!$B$1,[1]!Data_CF[Thang.Nam],TDP!AF$155)</f>
        <v>0</v>
      </c>
      <c r="AG176" s="421">
        <f>SUMIFS([1]!Data_CF[Value],[1]!Data_CF[Index CF],TDP!$B176,[1]!Data_CF[TenCongTyID],TDP!$B$1,[1]!Data_CF[Thang.Nam],TDP!AG$155)</f>
        <v>0</v>
      </c>
      <c r="AH176" s="421">
        <f>SUMIFS([1]!Data_CF[Value],[1]!Data_CF[Index CF],TDP!$B176,[1]!Data_CF[TenCongTyID],TDP!$B$1,[1]!Data_CF[Thang.Nam],TDP!AH$155)</f>
        <v>0</v>
      </c>
      <c r="AI176" s="421">
        <f>SUMIFS([1]!Data_CF[Value],[1]!Data_CF[Index CF],TDP!$B176,[1]!Data_CF[TenCongTyID],TDP!$B$1,[1]!Data_CF[Thang.Nam],TDP!AI$155)</f>
        <v>0</v>
      </c>
      <c r="AJ176" s="421">
        <f>SUMIFS([1]!Data_CF[Value],[1]!Data_CF[Index CF],TDP!$B176,[1]!Data_CF[TenCongTyID],TDP!$B$1,[1]!Data_CF[Thang.Nam],TDP!AJ$155)</f>
        <v>0</v>
      </c>
      <c r="AK176" s="421">
        <f>SUMIFS([1]!Data_CF[Value],[1]!Data_CF[Index CF],TDP!$B176,[1]!Data_CF[TenCongTyID],TDP!$B$1,[1]!Data_CF[Thang.Nam],TDP!AK$155)</f>
        <v>0</v>
      </c>
      <c r="AL176" s="422">
        <f>SUMIFS([1]!Data_CF[Value],[1]!Data_CF[Index CF],TDP!$B176,[1]!Data_CF[TenCongTyID],TDP!$B$1,[1]!Data_CF[Thang.Nam],TDP!AL$155)</f>
        <v>0</v>
      </c>
    </row>
    <row r="177" spans="1:38" ht="14">
      <c r="A177" s="164" t="s">
        <v>263</v>
      </c>
      <c r="B177" s="165">
        <v>22</v>
      </c>
      <c r="C177" s="64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4"/>
      <c r="O177" s="64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>
        <v>0</v>
      </c>
      <c r="AA177" s="384">
        <f>SUMIFS([1]!Data_CF[Value],[1]!Data_CF[Index CF],TDP!$B177,[1]!Data_CF[TenCongTyID],TDP!$B$1,[1]!Data_CF[Thang.Nam],TDP!AA$155)</f>
        <v>0</v>
      </c>
      <c r="AB177" s="384">
        <f>SUMIFS([1]!Data_CF[Value],[1]!Data_CF[Index CF],TDP!$B177,[1]!Data_CF[TenCongTyID],TDP!$B$1,[1]!Data_CF[Thang.Nam],TDP!AB$155)</f>
        <v>0</v>
      </c>
      <c r="AC177" s="384">
        <f>SUMIFS([1]!Data_CF[Value],[1]!Data_CF[Index CF],TDP!$B177,[1]!Data_CF[TenCongTyID],TDP!$B$1,[1]!Data_CF[Thang.Nam],TDP!AC$155)</f>
        <v>0</v>
      </c>
      <c r="AD177" s="384">
        <f>SUMIFS([1]!Data_CF[Value],[1]!Data_CF[Index CF],TDP!$B177,[1]!Data_CF[TenCongTyID],TDP!$B$1,[1]!Data_CF[Thang.Nam],TDP!AD$155)</f>
        <v>0</v>
      </c>
      <c r="AE177" s="384">
        <f>SUMIFS([1]!Data_CF[Value],[1]!Data_CF[Index CF],TDP!$B177,[1]!Data_CF[TenCongTyID],TDP!$B$1,[1]!Data_CF[Thang.Nam],TDP!AE$155)</f>
        <v>0</v>
      </c>
      <c r="AF177" s="384">
        <f>SUMIFS([1]!Data_CF[Value],[1]!Data_CF[Index CF],TDP!$B177,[1]!Data_CF[TenCongTyID],TDP!$B$1,[1]!Data_CF[Thang.Nam],TDP!AF$155)</f>
        <v>0</v>
      </c>
      <c r="AG177" s="384">
        <f>SUMIFS([1]!Data_CF[Value],[1]!Data_CF[Index CF],TDP!$B177,[1]!Data_CF[TenCongTyID],TDP!$B$1,[1]!Data_CF[Thang.Nam],TDP!AG$155)</f>
        <v>0</v>
      </c>
      <c r="AH177" s="384">
        <f>SUMIFS([1]!Data_CF[Value],[1]!Data_CF[Index CF],TDP!$B177,[1]!Data_CF[TenCongTyID],TDP!$B$1,[1]!Data_CF[Thang.Nam],TDP!AH$155)</f>
        <v>0</v>
      </c>
      <c r="AI177" s="384">
        <f>SUMIFS([1]!Data_CF[Value],[1]!Data_CF[Index CF],TDP!$B177,[1]!Data_CF[TenCongTyID],TDP!$B$1,[1]!Data_CF[Thang.Nam],TDP!AI$155)</f>
        <v>0</v>
      </c>
      <c r="AJ177" s="384">
        <f>SUMIFS([1]!Data_CF[Value],[1]!Data_CF[Index CF],TDP!$B177,[1]!Data_CF[TenCongTyID],TDP!$B$1,[1]!Data_CF[Thang.Nam],TDP!AJ$155)</f>
        <v>0</v>
      </c>
      <c r="AK177" s="384">
        <f>SUMIFS([1]!Data_CF[Value],[1]!Data_CF[Index CF],TDP!$B177,[1]!Data_CF[TenCongTyID],TDP!$B$1,[1]!Data_CF[Thang.Nam],TDP!AK$155)</f>
        <v>0</v>
      </c>
      <c r="AL177" s="385">
        <f>SUMIFS([1]!Data_CF[Value],[1]!Data_CF[Index CF],TDP!$B177,[1]!Data_CF[TenCongTyID],TDP!$B$1,[1]!Data_CF[Thang.Nam],TDP!AL$155)</f>
        <v>0</v>
      </c>
    </row>
    <row r="178" spans="1:38" ht="14">
      <c r="A178" s="164" t="s">
        <v>264</v>
      </c>
      <c r="B178" s="165">
        <v>23</v>
      </c>
      <c r="C178" s="64"/>
      <c r="D178" s="69"/>
      <c r="E178" s="69"/>
      <c r="F178" s="69"/>
      <c r="G178" s="69"/>
      <c r="H178" s="69"/>
      <c r="I178" s="69">
        <v>0</v>
      </c>
      <c r="J178" s="69">
        <v>0</v>
      </c>
      <c r="K178" s="69"/>
      <c r="L178" s="69"/>
      <c r="M178" s="69"/>
      <c r="N178" s="64"/>
      <c r="O178" s="64"/>
      <c r="P178" s="69"/>
      <c r="Q178" s="69"/>
      <c r="R178" s="69"/>
      <c r="S178" s="69"/>
      <c r="T178" s="69"/>
      <c r="U178" s="69">
        <v>0</v>
      </c>
      <c r="V178" s="69">
        <v>0</v>
      </c>
      <c r="W178" s="69"/>
      <c r="X178" s="69"/>
      <c r="Y178" s="69"/>
      <c r="Z178" s="69">
        <v>0</v>
      </c>
      <c r="AA178" s="384">
        <f>SUMIFS([1]!Data_CF[Value],[1]!Data_CF[Index CF],TDP!$B178,[1]!Data_CF[TenCongTyID],TDP!$B$1,[1]!Data_CF[Thang.Nam],TDP!AA$155)</f>
        <v>0</v>
      </c>
      <c r="AB178" s="384">
        <f>SUMIFS([1]!Data_CF[Value],[1]!Data_CF[Index CF],TDP!$B178,[1]!Data_CF[TenCongTyID],TDP!$B$1,[1]!Data_CF[Thang.Nam],TDP!AB$155)</f>
        <v>0</v>
      </c>
      <c r="AC178" s="384">
        <f>SUMIFS([1]!Data_CF[Value],[1]!Data_CF[Index CF],TDP!$B178,[1]!Data_CF[TenCongTyID],TDP!$B$1,[1]!Data_CF[Thang.Nam],TDP!AC$155)</f>
        <v>0</v>
      </c>
      <c r="AD178" s="384">
        <f>SUMIFS([1]!Data_CF[Value],[1]!Data_CF[Index CF],TDP!$B178,[1]!Data_CF[TenCongTyID],TDP!$B$1,[1]!Data_CF[Thang.Nam],TDP!AD$155)</f>
        <v>0</v>
      </c>
      <c r="AE178" s="384">
        <f>SUMIFS([1]!Data_CF[Value],[1]!Data_CF[Index CF],TDP!$B178,[1]!Data_CF[TenCongTyID],TDP!$B$1,[1]!Data_CF[Thang.Nam],TDP!AE$155)</f>
        <v>0</v>
      </c>
      <c r="AF178" s="384">
        <f>SUMIFS([1]!Data_CF[Value],[1]!Data_CF[Index CF],TDP!$B178,[1]!Data_CF[TenCongTyID],TDP!$B$1,[1]!Data_CF[Thang.Nam],TDP!AF$155)</f>
        <v>0</v>
      </c>
      <c r="AG178" s="384">
        <f>SUMIFS([1]!Data_CF[Value],[1]!Data_CF[Index CF],TDP!$B178,[1]!Data_CF[TenCongTyID],TDP!$B$1,[1]!Data_CF[Thang.Nam],TDP!AG$155)</f>
        <v>0</v>
      </c>
      <c r="AH178" s="384">
        <f>SUMIFS([1]!Data_CF[Value],[1]!Data_CF[Index CF],TDP!$B178,[1]!Data_CF[TenCongTyID],TDP!$B$1,[1]!Data_CF[Thang.Nam],TDP!AH$155)</f>
        <v>0</v>
      </c>
      <c r="AI178" s="384">
        <f>SUMIFS([1]!Data_CF[Value],[1]!Data_CF[Index CF],TDP!$B178,[1]!Data_CF[TenCongTyID],TDP!$B$1,[1]!Data_CF[Thang.Nam],TDP!AI$155)</f>
        <v>0</v>
      </c>
      <c r="AJ178" s="384">
        <f>SUMIFS([1]!Data_CF[Value],[1]!Data_CF[Index CF],TDP!$B178,[1]!Data_CF[TenCongTyID],TDP!$B$1,[1]!Data_CF[Thang.Nam],TDP!AJ$155)</f>
        <v>0</v>
      </c>
      <c r="AK178" s="384">
        <f>SUMIFS([1]!Data_CF[Value],[1]!Data_CF[Index CF],TDP!$B178,[1]!Data_CF[TenCongTyID],TDP!$B$1,[1]!Data_CF[Thang.Nam],TDP!AK$155)</f>
        <v>0</v>
      </c>
      <c r="AL178" s="385">
        <f>SUMIFS([1]!Data_CF[Value],[1]!Data_CF[Index CF],TDP!$B178,[1]!Data_CF[TenCongTyID],TDP!$B$1,[1]!Data_CF[Thang.Nam],TDP!AL$155)</f>
        <v>0</v>
      </c>
    </row>
    <row r="179" spans="1:38" ht="14">
      <c r="A179" s="164" t="s">
        <v>265</v>
      </c>
      <c r="B179" s="165">
        <v>24</v>
      </c>
      <c r="C179" s="64"/>
      <c r="D179" s="69"/>
      <c r="E179" s="69"/>
      <c r="F179" s="69"/>
      <c r="G179" s="69"/>
      <c r="H179" s="69"/>
      <c r="I179" s="69">
        <v>0</v>
      </c>
      <c r="J179" s="69">
        <v>0</v>
      </c>
      <c r="K179" s="69"/>
      <c r="L179" s="69"/>
      <c r="M179" s="69"/>
      <c r="N179" s="64"/>
      <c r="O179" s="64"/>
      <c r="P179" s="69"/>
      <c r="Q179" s="69"/>
      <c r="R179" s="69"/>
      <c r="S179" s="69"/>
      <c r="T179" s="69"/>
      <c r="U179" s="69">
        <v>0</v>
      </c>
      <c r="V179" s="69">
        <v>0</v>
      </c>
      <c r="W179" s="69"/>
      <c r="X179" s="69"/>
      <c r="Y179" s="69"/>
      <c r="Z179" s="69">
        <v>0</v>
      </c>
      <c r="AA179" s="384">
        <f>SUMIFS([1]!Data_CF[Value],[1]!Data_CF[Index CF],TDP!$B179,[1]!Data_CF[TenCongTyID],TDP!$B$1,[1]!Data_CF[Thang.Nam],TDP!AA$155)</f>
        <v>0</v>
      </c>
      <c r="AB179" s="384">
        <f>SUMIFS([1]!Data_CF[Value],[1]!Data_CF[Index CF],TDP!$B179,[1]!Data_CF[TenCongTyID],TDP!$B$1,[1]!Data_CF[Thang.Nam],TDP!AB$155)</f>
        <v>0</v>
      </c>
      <c r="AC179" s="384">
        <f>SUMIFS([1]!Data_CF[Value],[1]!Data_CF[Index CF],TDP!$B179,[1]!Data_CF[TenCongTyID],TDP!$B$1,[1]!Data_CF[Thang.Nam],TDP!AC$155)</f>
        <v>0</v>
      </c>
      <c r="AD179" s="384">
        <f>SUMIFS([1]!Data_CF[Value],[1]!Data_CF[Index CF],TDP!$B179,[1]!Data_CF[TenCongTyID],TDP!$B$1,[1]!Data_CF[Thang.Nam],TDP!AD$155)</f>
        <v>0</v>
      </c>
      <c r="AE179" s="384">
        <f>SUMIFS([1]!Data_CF[Value],[1]!Data_CF[Index CF],TDP!$B179,[1]!Data_CF[TenCongTyID],TDP!$B$1,[1]!Data_CF[Thang.Nam],TDP!AE$155)</f>
        <v>0</v>
      </c>
      <c r="AF179" s="384">
        <f>SUMIFS([1]!Data_CF[Value],[1]!Data_CF[Index CF],TDP!$B179,[1]!Data_CF[TenCongTyID],TDP!$B$1,[1]!Data_CF[Thang.Nam],TDP!AF$155)</f>
        <v>0</v>
      </c>
      <c r="AG179" s="384">
        <f>SUMIFS([1]!Data_CF[Value],[1]!Data_CF[Index CF],TDP!$B179,[1]!Data_CF[TenCongTyID],TDP!$B$1,[1]!Data_CF[Thang.Nam],TDP!AG$155)</f>
        <v>0</v>
      </c>
      <c r="AH179" s="384">
        <f>SUMIFS([1]!Data_CF[Value],[1]!Data_CF[Index CF],TDP!$B179,[1]!Data_CF[TenCongTyID],TDP!$B$1,[1]!Data_CF[Thang.Nam],TDP!AH$155)</f>
        <v>0</v>
      </c>
      <c r="AI179" s="384">
        <f>SUMIFS([1]!Data_CF[Value],[1]!Data_CF[Index CF],TDP!$B179,[1]!Data_CF[TenCongTyID],TDP!$B$1,[1]!Data_CF[Thang.Nam],TDP!AI$155)</f>
        <v>0</v>
      </c>
      <c r="AJ179" s="384">
        <f>SUMIFS([1]!Data_CF[Value],[1]!Data_CF[Index CF],TDP!$B179,[1]!Data_CF[TenCongTyID],TDP!$B$1,[1]!Data_CF[Thang.Nam],TDP!AJ$155)</f>
        <v>0</v>
      </c>
      <c r="AK179" s="384">
        <f>SUMIFS([1]!Data_CF[Value],[1]!Data_CF[Index CF],TDP!$B179,[1]!Data_CF[TenCongTyID],TDP!$B$1,[1]!Data_CF[Thang.Nam],TDP!AK$155)</f>
        <v>0</v>
      </c>
      <c r="AL179" s="385">
        <f>SUMIFS([1]!Data_CF[Value],[1]!Data_CF[Index CF],TDP!$B179,[1]!Data_CF[TenCongTyID],TDP!$B$1,[1]!Data_CF[Thang.Nam],TDP!AL$155)</f>
        <v>0</v>
      </c>
    </row>
    <row r="180" spans="1:38" ht="14">
      <c r="A180" s="164" t="s">
        <v>266</v>
      </c>
      <c r="B180" s="165">
        <v>25</v>
      </c>
      <c r="C180" s="64"/>
      <c r="D180" s="69"/>
      <c r="E180" s="69"/>
      <c r="F180" s="69"/>
      <c r="G180" s="69"/>
      <c r="H180" s="69"/>
      <c r="I180" s="69">
        <v>0</v>
      </c>
      <c r="J180" s="69">
        <v>0</v>
      </c>
      <c r="K180" s="69"/>
      <c r="L180" s="69"/>
      <c r="M180" s="69"/>
      <c r="N180" s="64"/>
      <c r="O180" s="64"/>
      <c r="P180" s="69"/>
      <c r="Q180" s="69"/>
      <c r="R180" s="69"/>
      <c r="S180" s="69"/>
      <c r="T180" s="69"/>
      <c r="U180" s="69">
        <v>0</v>
      </c>
      <c r="V180" s="69">
        <v>0</v>
      </c>
      <c r="W180" s="69"/>
      <c r="X180" s="69"/>
      <c r="Y180" s="69"/>
      <c r="Z180" s="69">
        <v>0</v>
      </c>
      <c r="AA180" s="384">
        <f>SUMIFS([1]!Data_CF[Value],[1]!Data_CF[Index CF],TDP!$B180,[1]!Data_CF[TenCongTyID],TDP!$B$1,[1]!Data_CF[Thang.Nam],TDP!AA$155)</f>
        <v>0</v>
      </c>
      <c r="AB180" s="384">
        <f>SUMIFS([1]!Data_CF[Value],[1]!Data_CF[Index CF],TDP!$B180,[1]!Data_CF[TenCongTyID],TDP!$B$1,[1]!Data_CF[Thang.Nam],TDP!AB$155)</f>
        <v>0</v>
      </c>
      <c r="AC180" s="384">
        <f>SUMIFS([1]!Data_CF[Value],[1]!Data_CF[Index CF],TDP!$B180,[1]!Data_CF[TenCongTyID],TDP!$B$1,[1]!Data_CF[Thang.Nam],TDP!AC$155)</f>
        <v>0</v>
      </c>
      <c r="AD180" s="384">
        <f>SUMIFS([1]!Data_CF[Value],[1]!Data_CF[Index CF],TDP!$B180,[1]!Data_CF[TenCongTyID],TDP!$B$1,[1]!Data_CF[Thang.Nam],TDP!AD$155)</f>
        <v>0</v>
      </c>
      <c r="AE180" s="384">
        <f>SUMIFS([1]!Data_CF[Value],[1]!Data_CF[Index CF],TDP!$B180,[1]!Data_CF[TenCongTyID],TDP!$B$1,[1]!Data_CF[Thang.Nam],TDP!AE$155)</f>
        <v>0</v>
      </c>
      <c r="AF180" s="384">
        <f>SUMIFS([1]!Data_CF[Value],[1]!Data_CF[Index CF],TDP!$B180,[1]!Data_CF[TenCongTyID],TDP!$B$1,[1]!Data_CF[Thang.Nam],TDP!AF$155)</f>
        <v>0</v>
      </c>
      <c r="AG180" s="384">
        <f>SUMIFS([1]!Data_CF[Value],[1]!Data_CF[Index CF],TDP!$B180,[1]!Data_CF[TenCongTyID],TDP!$B$1,[1]!Data_CF[Thang.Nam],TDP!AG$155)</f>
        <v>0</v>
      </c>
      <c r="AH180" s="384">
        <f>SUMIFS([1]!Data_CF[Value],[1]!Data_CF[Index CF],TDP!$B180,[1]!Data_CF[TenCongTyID],TDP!$B$1,[1]!Data_CF[Thang.Nam],TDP!AH$155)</f>
        <v>0</v>
      </c>
      <c r="AI180" s="384">
        <f>SUMIFS([1]!Data_CF[Value],[1]!Data_CF[Index CF],TDP!$B180,[1]!Data_CF[TenCongTyID],TDP!$B$1,[1]!Data_CF[Thang.Nam],TDP!AI$155)</f>
        <v>0</v>
      </c>
      <c r="AJ180" s="384">
        <f>SUMIFS([1]!Data_CF[Value],[1]!Data_CF[Index CF],TDP!$B180,[1]!Data_CF[TenCongTyID],TDP!$B$1,[1]!Data_CF[Thang.Nam],TDP!AJ$155)</f>
        <v>0</v>
      </c>
      <c r="AK180" s="384">
        <f>SUMIFS([1]!Data_CF[Value],[1]!Data_CF[Index CF],TDP!$B180,[1]!Data_CF[TenCongTyID],TDP!$B$1,[1]!Data_CF[Thang.Nam],TDP!AK$155)</f>
        <v>0</v>
      </c>
      <c r="AL180" s="385">
        <f>SUMIFS([1]!Data_CF[Value],[1]!Data_CF[Index CF],TDP!$B180,[1]!Data_CF[TenCongTyID],TDP!$B$1,[1]!Data_CF[Thang.Nam],TDP!AL$155)</f>
        <v>0</v>
      </c>
    </row>
    <row r="181" spans="1:38" ht="15" customHeight="1">
      <c r="A181" s="164" t="s">
        <v>267</v>
      </c>
      <c r="B181" s="165">
        <v>26</v>
      </c>
      <c r="C181" s="64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4"/>
      <c r="O181" s="64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>
        <v>0</v>
      </c>
      <c r="AA181" s="384">
        <f>SUMIFS([1]!Data_CF[Value],[1]!Data_CF[Index CF],TDP!$B181,[1]!Data_CF[TenCongTyID],TDP!$B$1,[1]!Data_CF[Thang.Nam],TDP!AA$155)</f>
        <v>0</v>
      </c>
      <c r="AB181" s="384">
        <f>SUMIFS([1]!Data_CF[Value],[1]!Data_CF[Index CF],TDP!$B181,[1]!Data_CF[TenCongTyID],TDP!$B$1,[1]!Data_CF[Thang.Nam],TDP!AB$155)</f>
        <v>0</v>
      </c>
      <c r="AC181" s="384">
        <f>SUMIFS([1]!Data_CF[Value],[1]!Data_CF[Index CF],TDP!$B181,[1]!Data_CF[TenCongTyID],TDP!$B$1,[1]!Data_CF[Thang.Nam],TDP!AC$155)</f>
        <v>0</v>
      </c>
      <c r="AD181" s="384">
        <f>SUMIFS([1]!Data_CF[Value],[1]!Data_CF[Index CF],TDP!$B181,[1]!Data_CF[TenCongTyID],TDP!$B$1,[1]!Data_CF[Thang.Nam],TDP!AD$155)</f>
        <v>0</v>
      </c>
      <c r="AE181" s="384">
        <f>SUMIFS([1]!Data_CF[Value],[1]!Data_CF[Index CF],TDP!$B181,[1]!Data_CF[TenCongTyID],TDP!$B$1,[1]!Data_CF[Thang.Nam],TDP!AE$155)</f>
        <v>0</v>
      </c>
      <c r="AF181" s="384">
        <f>SUMIFS([1]!Data_CF[Value],[1]!Data_CF[Index CF],TDP!$B181,[1]!Data_CF[TenCongTyID],TDP!$B$1,[1]!Data_CF[Thang.Nam],TDP!AF$155)</f>
        <v>0</v>
      </c>
      <c r="AG181" s="384">
        <f>SUMIFS([1]!Data_CF[Value],[1]!Data_CF[Index CF],TDP!$B181,[1]!Data_CF[TenCongTyID],TDP!$B$1,[1]!Data_CF[Thang.Nam],TDP!AG$155)</f>
        <v>0</v>
      </c>
      <c r="AH181" s="384">
        <f>SUMIFS([1]!Data_CF[Value],[1]!Data_CF[Index CF],TDP!$B181,[1]!Data_CF[TenCongTyID],TDP!$B$1,[1]!Data_CF[Thang.Nam],TDP!AH$155)</f>
        <v>0</v>
      </c>
      <c r="AI181" s="384">
        <f>SUMIFS([1]!Data_CF[Value],[1]!Data_CF[Index CF],TDP!$B181,[1]!Data_CF[TenCongTyID],TDP!$B$1,[1]!Data_CF[Thang.Nam],TDP!AI$155)</f>
        <v>0</v>
      </c>
      <c r="AJ181" s="384">
        <f>SUMIFS([1]!Data_CF[Value],[1]!Data_CF[Index CF],TDP!$B181,[1]!Data_CF[TenCongTyID],TDP!$B$1,[1]!Data_CF[Thang.Nam],TDP!AJ$155)</f>
        <v>0</v>
      </c>
      <c r="AK181" s="384">
        <f>SUMIFS([1]!Data_CF[Value],[1]!Data_CF[Index CF],TDP!$B181,[1]!Data_CF[TenCongTyID],TDP!$B$1,[1]!Data_CF[Thang.Nam],TDP!AK$155)</f>
        <v>0</v>
      </c>
      <c r="AL181" s="385">
        <f>SUMIFS([1]!Data_CF[Value],[1]!Data_CF[Index CF],TDP!$B181,[1]!Data_CF[TenCongTyID],TDP!$B$1,[1]!Data_CF[Thang.Nam],TDP!AL$155)</f>
        <v>0</v>
      </c>
    </row>
    <row r="182" spans="1:38" ht="15" customHeight="1">
      <c r="A182" s="164" t="s">
        <v>268</v>
      </c>
      <c r="B182" s="165">
        <v>27</v>
      </c>
      <c r="C182" s="64"/>
      <c r="D182" s="69"/>
      <c r="E182" s="69"/>
      <c r="F182" s="69"/>
      <c r="G182" s="69"/>
      <c r="H182" s="69"/>
      <c r="I182" s="69">
        <v>0</v>
      </c>
      <c r="J182" s="69">
        <v>0</v>
      </c>
      <c r="K182" s="69"/>
      <c r="L182" s="69"/>
      <c r="M182" s="69"/>
      <c r="N182" s="64"/>
      <c r="O182" s="64"/>
      <c r="P182" s="69"/>
      <c r="Q182" s="69"/>
      <c r="R182" s="69"/>
      <c r="S182" s="69"/>
      <c r="T182" s="69"/>
      <c r="U182" s="69">
        <v>0</v>
      </c>
      <c r="V182" s="69">
        <v>0</v>
      </c>
      <c r="W182" s="69"/>
      <c r="X182" s="69"/>
      <c r="Y182" s="69"/>
      <c r="Z182" s="69">
        <v>0</v>
      </c>
      <c r="AA182" s="384">
        <f>SUMIFS([1]!Data_CF[Value],[1]!Data_CF[Index CF],TDP!$B182,[1]!Data_CF[TenCongTyID],TDP!$B$1,[1]!Data_CF[Thang.Nam],TDP!AA$155)</f>
        <v>0</v>
      </c>
      <c r="AB182" s="384">
        <f>SUMIFS([1]!Data_CF[Value],[1]!Data_CF[Index CF],TDP!$B182,[1]!Data_CF[TenCongTyID],TDP!$B$1,[1]!Data_CF[Thang.Nam],TDP!AB$155)</f>
        <v>0</v>
      </c>
      <c r="AC182" s="384">
        <f>SUMIFS([1]!Data_CF[Value],[1]!Data_CF[Index CF],TDP!$B182,[1]!Data_CF[TenCongTyID],TDP!$B$1,[1]!Data_CF[Thang.Nam],TDP!AC$155)</f>
        <v>0</v>
      </c>
      <c r="AD182" s="384">
        <f>SUMIFS([1]!Data_CF[Value],[1]!Data_CF[Index CF],TDP!$B182,[1]!Data_CF[TenCongTyID],TDP!$B$1,[1]!Data_CF[Thang.Nam],TDP!AD$155)</f>
        <v>0</v>
      </c>
      <c r="AE182" s="384">
        <f>SUMIFS([1]!Data_CF[Value],[1]!Data_CF[Index CF],TDP!$B182,[1]!Data_CF[TenCongTyID],TDP!$B$1,[1]!Data_CF[Thang.Nam],TDP!AE$155)</f>
        <v>0</v>
      </c>
      <c r="AF182" s="384">
        <f>SUMIFS([1]!Data_CF[Value],[1]!Data_CF[Index CF],TDP!$B182,[1]!Data_CF[TenCongTyID],TDP!$B$1,[1]!Data_CF[Thang.Nam],TDP!AF$155)</f>
        <v>0</v>
      </c>
      <c r="AG182" s="384">
        <f>SUMIFS([1]!Data_CF[Value],[1]!Data_CF[Index CF],TDP!$B182,[1]!Data_CF[TenCongTyID],TDP!$B$1,[1]!Data_CF[Thang.Nam],TDP!AG$155)</f>
        <v>0</v>
      </c>
      <c r="AH182" s="384">
        <f>SUMIFS([1]!Data_CF[Value],[1]!Data_CF[Index CF],TDP!$B182,[1]!Data_CF[TenCongTyID],TDP!$B$1,[1]!Data_CF[Thang.Nam],TDP!AH$155)</f>
        <v>0</v>
      </c>
      <c r="AI182" s="384">
        <f>SUMIFS([1]!Data_CF[Value],[1]!Data_CF[Index CF],TDP!$B182,[1]!Data_CF[TenCongTyID],TDP!$B$1,[1]!Data_CF[Thang.Nam],TDP!AI$155)</f>
        <v>0</v>
      </c>
      <c r="AJ182" s="384">
        <f>SUMIFS([1]!Data_CF[Value],[1]!Data_CF[Index CF],TDP!$B182,[1]!Data_CF[TenCongTyID],TDP!$B$1,[1]!Data_CF[Thang.Nam],TDP!AJ$155)</f>
        <v>0</v>
      </c>
      <c r="AK182" s="384">
        <f>SUMIFS([1]!Data_CF[Value],[1]!Data_CF[Index CF],TDP!$B182,[1]!Data_CF[TenCongTyID],TDP!$B$1,[1]!Data_CF[Thang.Nam],TDP!AK$155)</f>
        <v>0</v>
      </c>
      <c r="AL182" s="385">
        <f>SUMIFS([1]!Data_CF[Value],[1]!Data_CF[Index CF],TDP!$B182,[1]!Data_CF[TenCongTyID],TDP!$B$1,[1]!Data_CF[Thang.Nam],TDP!AL$155)</f>
        <v>0</v>
      </c>
    </row>
    <row r="183" spans="1:38" ht="15" customHeight="1">
      <c r="A183" s="164" t="s">
        <v>269</v>
      </c>
      <c r="B183" s="165">
        <v>28</v>
      </c>
      <c r="C183" s="69">
        <f t="shared" ref="C183:Y183" si="30">-C162</f>
        <v>0</v>
      </c>
      <c r="D183" s="69">
        <f t="shared" si="30"/>
        <v>0</v>
      </c>
      <c r="E183" s="69">
        <f t="shared" si="30"/>
        <v>0</v>
      </c>
      <c r="F183" s="69">
        <f t="shared" si="30"/>
        <v>0</v>
      </c>
      <c r="G183" s="69">
        <f t="shared" si="30"/>
        <v>0</v>
      </c>
      <c r="H183" s="69">
        <f t="shared" si="30"/>
        <v>0</v>
      </c>
      <c r="I183" s="69">
        <f t="shared" si="30"/>
        <v>0</v>
      </c>
      <c r="J183" s="69">
        <f t="shared" si="30"/>
        <v>0</v>
      </c>
      <c r="K183" s="69">
        <f t="shared" si="30"/>
        <v>0</v>
      </c>
      <c r="L183" s="69">
        <f t="shared" si="30"/>
        <v>0</v>
      </c>
      <c r="M183" s="69">
        <f t="shared" si="30"/>
        <v>0</v>
      </c>
      <c r="N183" s="69">
        <f t="shared" si="30"/>
        <v>6263</v>
      </c>
      <c r="O183" s="69">
        <f t="shared" si="30"/>
        <v>7702</v>
      </c>
      <c r="P183" s="69">
        <f t="shared" si="30"/>
        <v>7321</v>
      </c>
      <c r="Q183" s="69">
        <f t="shared" si="30"/>
        <v>6613</v>
      </c>
      <c r="R183" s="69">
        <f t="shared" si="30"/>
        <v>3453516</v>
      </c>
      <c r="S183" s="69">
        <f t="shared" si="30"/>
        <v>4952</v>
      </c>
      <c r="T183" s="69">
        <f t="shared" si="30"/>
        <v>6707</v>
      </c>
      <c r="U183" s="69">
        <f t="shared" si="30"/>
        <v>6701</v>
      </c>
      <c r="V183" s="69">
        <f t="shared" si="30"/>
        <v>6924</v>
      </c>
      <c r="W183" s="69">
        <f t="shared" si="30"/>
        <v>1552</v>
      </c>
      <c r="X183" s="69">
        <f t="shared" si="30"/>
        <v>945</v>
      </c>
      <c r="Y183" s="69">
        <f t="shared" si="30"/>
        <v>7058510</v>
      </c>
      <c r="Z183" s="69">
        <v>997</v>
      </c>
      <c r="AA183" s="384">
        <f>SUMIFS([1]!Data_CF[Value],[1]!Data_CF[Index CF],TDP!$B183,[1]!Data_CF[TenCongTyID],TDP!$B$1,[1]!Data_CF[Thang.Nam],TDP!AA$155)</f>
        <v>0</v>
      </c>
      <c r="AB183" s="384">
        <f>SUMIFS([1]!Data_CF[Value],[1]!Data_CF[Index CF],TDP!$B183,[1]!Data_CF[TenCongTyID],TDP!$B$1,[1]!Data_CF[Thang.Nam],TDP!AB$155)</f>
        <v>0</v>
      </c>
      <c r="AC183" s="384">
        <f>SUMIFS([1]!Data_CF[Value],[1]!Data_CF[Index CF],TDP!$B183,[1]!Data_CF[TenCongTyID],TDP!$B$1,[1]!Data_CF[Thang.Nam],TDP!AC$155)</f>
        <v>0</v>
      </c>
      <c r="AD183" s="384">
        <f>SUMIFS([1]!Data_CF[Value],[1]!Data_CF[Index CF],TDP!$B183,[1]!Data_CF[TenCongTyID],TDP!$B$1,[1]!Data_CF[Thang.Nam],TDP!AD$155)</f>
        <v>0</v>
      </c>
      <c r="AE183" s="384">
        <f>SUMIFS([1]!Data_CF[Value],[1]!Data_CF[Index CF],TDP!$B183,[1]!Data_CF[TenCongTyID],TDP!$B$1,[1]!Data_CF[Thang.Nam],TDP!AE$155)</f>
        <v>0</v>
      </c>
      <c r="AF183" s="384">
        <f>SUMIFS([1]!Data_CF[Value],[1]!Data_CF[Index CF],TDP!$B183,[1]!Data_CF[TenCongTyID],TDP!$B$1,[1]!Data_CF[Thang.Nam],TDP!AF$155)</f>
        <v>0</v>
      </c>
      <c r="AG183" s="384">
        <f>SUMIFS([1]!Data_CF[Value],[1]!Data_CF[Index CF],TDP!$B183,[1]!Data_CF[TenCongTyID],TDP!$B$1,[1]!Data_CF[Thang.Nam],TDP!AG$155)</f>
        <v>0</v>
      </c>
      <c r="AH183" s="384">
        <f>SUMIFS([1]!Data_CF[Value],[1]!Data_CF[Index CF],TDP!$B183,[1]!Data_CF[TenCongTyID],TDP!$B$1,[1]!Data_CF[Thang.Nam],TDP!AH$155)</f>
        <v>0</v>
      </c>
      <c r="AI183" s="384">
        <f>SUMIFS([1]!Data_CF[Value],[1]!Data_CF[Index CF],TDP!$B183,[1]!Data_CF[TenCongTyID],TDP!$B$1,[1]!Data_CF[Thang.Nam],TDP!AI$155)</f>
        <v>0</v>
      </c>
      <c r="AJ183" s="384">
        <f>SUMIFS([1]!Data_CF[Value],[1]!Data_CF[Index CF],TDP!$B183,[1]!Data_CF[TenCongTyID],TDP!$B$1,[1]!Data_CF[Thang.Nam],TDP!AJ$155)</f>
        <v>0</v>
      </c>
      <c r="AK183" s="384">
        <f>SUMIFS([1]!Data_CF[Value],[1]!Data_CF[Index CF],TDP!$B183,[1]!Data_CF[TenCongTyID],TDP!$B$1,[1]!Data_CF[Thang.Nam],TDP!AK$155)</f>
        <v>0</v>
      </c>
      <c r="AL183" s="385">
        <f>SUMIFS([1]!Data_CF[Value],[1]!Data_CF[Index CF],TDP!$B183,[1]!Data_CF[TenCongTyID],TDP!$B$1,[1]!Data_CF[Thang.Nam],TDP!AL$155)</f>
        <v>0</v>
      </c>
    </row>
    <row r="184" spans="1:38" ht="15" customHeight="1">
      <c r="A184" s="145" t="s">
        <v>270</v>
      </c>
      <c r="B184" s="146">
        <v>29</v>
      </c>
      <c r="C184" s="147">
        <f t="shared" ref="C184:Y184" si="31">+SUM(C177:C183)</f>
        <v>0</v>
      </c>
      <c r="D184" s="148">
        <f t="shared" si="31"/>
        <v>0</v>
      </c>
      <c r="E184" s="148">
        <f t="shared" si="31"/>
        <v>0</v>
      </c>
      <c r="F184" s="148">
        <f t="shared" si="31"/>
        <v>0</v>
      </c>
      <c r="G184" s="148">
        <f t="shared" si="31"/>
        <v>0</v>
      </c>
      <c r="H184" s="148">
        <f t="shared" si="31"/>
        <v>0</v>
      </c>
      <c r="I184" s="148">
        <f t="shared" si="31"/>
        <v>0</v>
      </c>
      <c r="J184" s="148">
        <f t="shared" si="31"/>
        <v>0</v>
      </c>
      <c r="K184" s="148">
        <f t="shared" si="31"/>
        <v>0</v>
      </c>
      <c r="L184" s="148">
        <f t="shared" si="31"/>
        <v>0</v>
      </c>
      <c r="M184" s="148">
        <f t="shared" si="31"/>
        <v>0</v>
      </c>
      <c r="N184" s="147">
        <f t="shared" si="31"/>
        <v>6263</v>
      </c>
      <c r="O184" s="147">
        <f t="shared" si="31"/>
        <v>7702</v>
      </c>
      <c r="P184" s="148">
        <f t="shared" si="31"/>
        <v>7321</v>
      </c>
      <c r="Q184" s="148">
        <f t="shared" si="31"/>
        <v>6613</v>
      </c>
      <c r="R184" s="148">
        <f t="shared" si="31"/>
        <v>3453516</v>
      </c>
      <c r="S184" s="148">
        <f t="shared" si="31"/>
        <v>4952</v>
      </c>
      <c r="T184" s="148">
        <f t="shared" si="31"/>
        <v>6707</v>
      </c>
      <c r="U184" s="148">
        <f t="shared" si="31"/>
        <v>6701</v>
      </c>
      <c r="V184" s="148">
        <f t="shared" si="31"/>
        <v>6924</v>
      </c>
      <c r="W184" s="148">
        <f t="shared" si="31"/>
        <v>1552</v>
      </c>
      <c r="X184" s="148">
        <f t="shared" si="31"/>
        <v>945</v>
      </c>
      <c r="Y184" s="148">
        <f t="shared" si="31"/>
        <v>7058510</v>
      </c>
      <c r="Z184" s="148">
        <v>997</v>
      </c>
      <c r="AA184" s="421">
        <f>SUMIFS([1]!Data_CF[Value],[1]!Data_CF[Index CF],TDP!$B184,[1]!Data_CF[TenCongTyID],TDP!$B$1,[1]!Data_CF[Thang.Nam],TDP!AA$155)</f>
        <v>0</v>
      </c>
      <c r="AB184" s="421">
        <f>SUMIFS([1]!Data_CF[Value],[1]!Data_CF[Index CF],TDP!$B184,[1]!Data_CF[TenCongTyID],TDP!$B$1,[1]!Data_CF[Thang.Nam],TDP!AB$155)</f>
        <v>0</v>
      </c>
      <c r="AC184" s="421">
        <f>SUMIFS([1]!Data_CF[Value],[1]!Data_CF[Index CF],TDP!$B184,[1]!Data_CF[TenCongTyID],TDP!$B$1,[1]!Data_CF[Thang.Nam],TDP!AC$155)</f>
        <v>0</v>
      </c>
      <c r="AD184" s="421">
        <f>SUMIFS([1]!Data_CF[Value],[1]!Data_CF[Index CF],TDP!$B184,[1]!Data_CF[TenCongTyID],TDP!$B$1,[1]!Data_CF[Thang.Nam],TDP!AD$155)</f>
        <v>0</v>
      </c>
      <c r="AE184" s="421">
        <f>SUMIFS([1]!Data_CF[Value],[1]!Data_CF[Index CF],TDP!$B184,[1]!Data_CF[TenCongTyID],TDP!$B$1,[1]!Data_CF[Thang.Nam],TDP!AE$155)</f>
        <v>0</v>
      </c>
      <c r="AF184" s="421">
        <f>SUMIFS([1]!Data_CF[Value],[1]!Data_CF[Index CF],TDP!$B184,[1]!Data_CF[TenCongTyID],TDP!$B$1,[1]!Data_CF[Thang.Nam],TDP!AF$155)</f>
        <v>0</v>
      </c>
      <c r="AG184" s="421">
        <f>SUMIFS([1]!Data_CF[Value],[1]!Data_CF[Index CF],TDP!$B184,[1]!Data_CF[TenCongTyID],TDP!$B$1,[1]!Data_CF[Thang.Nam],TDP!AG$155)</f>
        <v>0</v>
      </c>
      <c r="AH184" s="421">
        <f>SUMIFS([1]!Data_CF[Value],[1]!Data_CF[Index CF],TDP!$B184,[1]!Data_CF[TenCongTyID],TDP!$B$1,[1]!Data_CF[Thang.Nam],TDP!AH$155)</f>
        <v>0</v>
      </c>
      <c r="AI184" s="421">
        <f>SUMIFS([1]!Data_CF[Value],[1]!Data_CF[Index CF],TDP!$B184,[1]!Data_CF[TenCongTyID],TDP!$B$1,[1]!Data_CF[Thang.Nam],TDP!AI$155)</f>
        <v>0</v>
      </c>
      <c r="AJ184" s="421">
        <f>SUMIFS([1]!Data_CF[Value],[1]!Data_CF[Index CF],TDP!$B184,[1]!Data_CF[TenCongTyID],TDP!$B$1,[1]!Data_CF[Thang.Nam],TDP!AJ$155)</f>
        <v>0</v>
      </c>
      <c r="AK184" s="421">
        <f>SUMIFS([1]!Data_CF[Value],[1]!Data_CF[Index CF],TDP!$B184,[1]!Data_CF[TenCongTyID],TDP!$B$1,[1]!Data_CF[Thang.Nam],TDP!AK$155)</f>
        <v>0</v>
      </c>
      <c r="AL184" s="422">
        <f>SUMIFS([1]!Data_CF[Value],[1]!Data_CF[Index CF],TDP!$B184,[1]!Data_CF[TenCongTyID],TDP!$B$1,[1]!Data_CF[Thang.Nam],TDP!AL$155)</f>
        <v>0</v>
      </c>
    </row>
    <row r="185" spans="1:38" ht="15" customHeight="1">
      <c r="A185" s="145" t="s">
        <v>271</v>
      </c>
      <c r="B185" s="146">
        <v>30</v>
      </c>
      <c r="C185" s="147"/>
      <c r="D185" s="148"/>
      <c r="E185" s="148"/>
      <c r="F185" s="148"/>
      <c r="G185" s="148"/>
      <c r="H185" s="148"/>
      <c r="I185" s="148">
        <v>0</v>
      </c>
      <c r="J185" s="148">
        <v>0</v>
      </c>
      <c r="K185" s="148"/>
      <c r="L185" s="148"/>
      <c r="M185" s="148"/>
      <c r="N185" s="147"/>
      <c r="O185" s="147"/>
      <c r="P185" s="148"/>
      <c r="Q185" s="148"/>
      <c r="R185" s="148"/>
      <c r="S185" s="148"/>
      <c r="T185" s="148"/>
      <c r="U185" s="148">
        <v>0</v>
      </c>
      <c r="V185" s="148">
        <v>0</v>
      </c>
      <c r="W185" s="148"/>
      <c r="X185" s="148"/>
      <c r="Y185" s="148"/>
      <c r="Z185" s="148">
        <v>0</v>
      </c>
      <c r="AA185" s="421">
        <f>SUMIFS([1]!Data_CF[Value],[1]!Data_CF[Index CF],TDP!$B185,[1]!Data_CF[TenCongTyID],TDP!$B$1,[1]!Data_CF[Thang.Nam],TDP!AA$155)</f>
        <v>0</v>
      </c>
      <c r="AB185" s="421">
        <f>SUMIFS([1]!Data_CF[Value],[1]!Data_CF[Index CF],TDP!$B185,[1]!Data_CF[TenCongTyID],TDP!$B$1,[1]!Data_CF[Thang.Nam],TDP!AB$155)</f>
        <v>0</v>
      </c>
      <c r="AC185" s="421">
        <f>SUMIFS([1]!Data_CF[Value],[1]!Data_CF[Index CF],TDP!$B185,[1]!Data_CF[TenCongTyID],TDP!$B$1,[1]!Data_CF[Thang.Nam],TDP!AC$155)</f>
        <v>0</v>
      </c>
      <c r="AD185" s="421">
        <f>SUMIFS([1]!Data_CF[Value],[1]!Data_CF[Index CF],TDP!$B185,[1]!Data_CF[TenCongTyID],TDP!$B$1,[1]!Data_CF[Thang.Nam],TDP!AD$155)</f>
        <v>0</v>
      </c>
      <c r="AE185" s="421">
        <f>SUMIFS([1]!Data_CF[Value],[1]!Data_CF[Index CF],TDP!$B185,[1]!Data_CF[TenCongTyID],TDP!$B$1,[1]!Data_CF[Thang.Nam],TDP!AE$155)</f>
        <v>0</v>
      </c>
      <c r="AF185" s="421">
        <f>SUMIFS([1]!Data_CF[Value],[1]!Data_CF[Index CF],TDP!$B185,[1]!Data_CF[TenCongTyID],TDP!$B$1,[1]!Data_CF[Thang.Nam],TDP!AF$155)</f>
        <v>0</v>
      </c>
      <c r="AG185" s="421">
        <f>SUMIFS([1]!Data_CF[Value],[1]!Data_CF[Index CF],TDP!$B185,[1]!Data_CF[TenCongTyID],TDP!$B$1,[1]!Data_CF[Thang.Nam],TDP!AG$155)</f>
        <v>0</v>
      </c>
      <c r="AH185" s="421">
        <f>SUMIFS([1]!Data_CF[Value],[1]!Data_CF[Index CF],TDP!$B185,[1]!Data_CF[TenCongTyID],TDP!$B$1,[1]!Data_CF[Thang.Nam],TDP!AH$155)</f>
        <v>0</v>
      </c>
      <c r="AI185" s="421">
        <f>SUMIFS([1]!Data_CF[Value],[1]!Data_CF[Index CF],TDP!$B185,[1]!Data_CF[TenCongTyID],TDP!$B$1,[1]!Data_CF[Thang.Nam],TDP!AI$155)</f>
        <v>0</v>
      </c>
      <c r="AJ185" s="421">
        <f>SUMIFS([1]!Data_CF[Value],[1]!Data_CF[Index CF],TDP!$B185,[1]!Data_CF[TenCongTyID],TDP!$B$1,[1]!Data_CF[Thang.Nam],TDP!AJ$155)</f>
        <v>0</v>
      </c>
      <c r="AK185" s="421">
        <f>SUMIFS([1]!Data_CF[Value],[1]!Data_CF[Index CF],TDP!$B185,[1]!Data_CF[TenCongTyID],TDP!$B$1,[1]!Data_CF[Thang.Nam],TDP!AK$155)</f>
        <v>0</v>
      </c>
      <c r="AL185" s="422">
        <f>SUMIFS([1]!Data_CF[Value],[1]!Data_CF[Index CF],TDP!$B185,[1]!Data_CF[TenCongTyID],TDP!$B$1,[1]!Data_CF[Thang.Nam],TDP!AL$155)</f>
        <v>0</v>
      </c>
    </row>
    <row r="186" spans="1:38" ht="14">
      <c r="A186" s="164" t="s">
        <v>272</v>
      </c>
      <c r="B186" s="165">
        <v>31</v>
      </c>
      <c r="C186" s="64"/>
      <c r="D186" s="69"/>
      <c r="E186" s="69"/>
      <c r="F186" s="69"/>
      <c r="G186" s="69"/>
      <c r="H186" s="69"/>
      <c r="I186" s="69"/>
      <c r="J186" s="69"/>
      <c r="K186" s="69"/>
      <c r="L186" s="69"/>
      <c r="M186" s="69">
        <f t="shared" ref="M186:V186" si="32">M118-L118</f>
        <v>20000000000</v>
      </c>
      <c r="N186" s="69">
        <f t="shared" si="32"/>
        <v>0</v>
      </c>
      <c r="O186" s="69">
        <f t="shared" si="32"/>
        <v>0</v>
      </c>
      <c r="P186" s="69">
        <f t="shared" si="32"/>
        <v>0</v>
      </c>
      <c r="Q186" s="69">
        <f t="shared" si="32"/>
        <v>0</v>
      </c>
      <c r="R186" s="69">
        <f t="shared" si="32"/>
        <v>0</v>
      </c>
      <c r="S186" s="69">
        <f t="shared" si="32"/>
        <v>0</v>
      </c>
      <c r="T186" s="69">
        <f t="shared" si="32"/>
        <v>0</v>
      </c>
      <c r="U186" s="69">
        <f t="shared" si="32"/>
        <v>0</v>
      </c>
      <c r="V186" s="69">
        <f t="shared" si="32"/>
        <v>0</v>
      </c>
      <c r="W186" s="69"/>
      <c r="X186" s="69"/>
      <c r="Y186" s="69"/>
      <c r="Z186" s="69">
        <v>0</v>
      </c>
      <c r="AA186" s="384">
        <f>SUMIFS([1]!Data_CF[Value],[1]!Data_CF[Index CF],TDP!$B186,[1]!Data_CF[TenCongTyID],TDP!$B$1,[1]!Data_CF[Thang.Nam],TDP!AA$155)</f>
        <v>0</v>
      </c>
      <c r="AB186" s="384">
        <f>SUMIFS([1]!Data_CF[Value],[1]!Data_CF[Index CF],TDP!$B186,[1]!Data_CF[TenCongTyID],TDP!$B$1,[1]!Data_CF[Thang.Nam],TDP!AB$155)</f>
        <v>0</v>
      </c>
      <c r="AC186" s="384">
        <f>SUMIFS([1]!Data_CF[Value],[1]!Data_CF[Index CF],TDP!$B186,[1]!Data_CF[TenCongTyID],TDP!$B$1,[1]!Data_CF[Thang.Nam],TDP!AC$155)</f>
        <v>0</v>
      </c>
      <c r="AD186" s="384">
        <f>SUMIFS([1]!Data_CF[Value],[1]!Data_CF[Index CF],TDP!$B186,[1]!Data_CF[TenCongTyID],TDP!$B$1,[1]!Data_CF[Thang.Nam],TDP!AD$155)</f>
        <v>0</v>
      </c>
      <c r="AE186" s="384">
        <f>SUMIFS([1]!Data_CF[Value],[1]!Data_CF[Index CF],TDP!$B186,[1]!Data_CF[TenCongTyID],TDP!$B$1,[1]!Data_CF[Thang.Nam],TDP!AE$155)</f>
        <v>0</v>
      </c>
      <c r="AF186" s="384">
        <f>SUMIFS([1]!Data_CF[Value],[1]!Data_CF[Index CF],TDP!$B186,[1]!Data_CF[TenCongTyID],TDP!$B$1,[1]!Data_CF[Thang.Nam],TDP!AF$155)</f>
        <v>0</v>
      </c>
      <c r="AG186" s="384">
        <f>SUMIFS([1]!Data_CF[Value],[1]!Data_CF[Index CF],TDP!$B186,[1]!Data_CF[TenCongTyID],TDP!$B$1,[1]!Data_CF[Thang.Nam],TDP!AG$155)</f>
        <v>0</v>
      </c>
      <c r="AH186" s="384">
        <f>SUMIFS([1]!Data_CF[Value],[1]!Data_CF[Index CF],TDP!$B186,[1]!Data_CF[TenCongTyID],TDP!$B$1,[1]!Data_CF[Thang.Nam],TDP!AH$155)</f>
        <v>0</v>
      </c>
      <c r="AI186" s="384">
        <f>SUMIFS([1]!Data_CF[Value],[1]!Data_CF[Index CF],TDP!$B186,[1]!Data_CF[TenCongTyID],TDP!$B$1,[1]!Data_CF[Thang.Nam],TDP!AI$155)</f>
        <v>0</v>
      </c>
      <c r="AJ186" s="384">
        <f>SUMIFS([1]!Data_CF[Value],[1]!Data_CF[Index CF],TDP!$B186,[1]!Data_CF[TenCongTyID],TDP!$B$1,[1]!Data_CF[Thang.Nam],TDP!AJ$155)</f>
        <v>0</v>
      </c>
      <c r="AK186" s="384">
        <f>SUMIFS([1]!Data_CF[Value],[1]!Data_CF[Index CF],TDP!$B186,[1]!Data_CF[TenCongTyID],TDP!$B$1,[1]!Data_CF[Thang.Nam],TDP!AK$155)</f>
        <v>0</v>
      </c>
      <c r="AL186" s="385">
        <f>SUMIFS([1]!Data_CF[Value],[1]!Data_CF[Index CF],TDP!$B186,[1]!Data_CF[TenCongTyID],TDP!$B$1,[1]!Data_CF[Thang.Nam],TDP!AL$155)</f>
        <v>0</v>
      </c>
    </row>
    <row r="187" spans="1:38" ht="14">
      <c r="A187" s="164" t="s">
        <v>273</v>
      </c>
      <c r="B187" s="165">
        <v>32</v>
      </c>
      <c r="C187" s="64"/>
      <c r="D187" s="69"/>
      <c r="E187" s="69"/>
      <c r="F187" s="69"/>
      <c r="G187" s="69"/>
      <c r="H187" s="69"/>
      <c r="I187" s="69">
        <v>0</v>
      </c>
      <c r="J187" s="69">
        <v>0</v>
      </c>
      <c r="K187" s="69"/>
      <c r="L187" s="69"/>
      <c r="M187" s="69"/>
      <c r="N187" s="64"/>
      <c r="O187" s="64"/>
      <c r="P187" s="69"/>
      <c r="Q187" s="69"/>
      <c r="R187" s="69"/>
      <c r="S187" s="69"/>
      <c r="T187" s="69"/>
      <c r="U187" s="69">
        <v>0</v>
      </c>
      <c r="V187" s="69">
        <v>0</v>
      </c>
      <c r="W187" s="69"/>
      <c r="X187" s="69"/>
      <c r="Y187" s="69"/>
      <c r="Z187" s="69">
        <v>0</v>
      </c>
      <c r="AA187" s="384">
        <f>SUMIFS([1]!Data_CF[Value],[1]!Data_CF[Index CF],TDP!$B187,[1]!Data_CF[TenCongTyID],TDP!$B$1,[1]!Data_CF[Thang.Nam],TDP!AA$155)</f>
        <v>0</v>
      </c>
      <c r="AB187" s="384">
        <f>SUMIFS([1]!Data_CF[Value],[1]!Data_CF[Index CF],TDP!$B187,[1]!Data_CF[TenCongTyID],TDP!$B$1,[1]!Data_CF[Thang.Nam],TDP!AB$155)</f>
        <v>0</v>
      </c>
      <c r="AC187" s="384">
        <f>SUMIFS([1]!Data_CF[Value],[1]!Data_CF[Index CF],TDP!$B187,[1]!Data_CF[TenCongTyID],TDP!$B$1,[1]!Data_CF[Thang.Nam],TDP!AC$155)</f>
        <v>0</v>
      </c>
      <c r="AD187" s="384">
        <f>SUMIFS([1]!Data_CF[Value],[1]!Data_CF[Index CF],TDP!$B187,[1]!Data_CF[TenCongTyID],TDP!$B$1,[1]!Data_CF[Thang.Nam],TDP!AD$155)</f>
        <v>0</v>
      </c>
      <c r="AE187" s="384">
        <f>SUMIFS([1]!Data_CF[Value],[1]!Data_CF[Index CF],TDP!$B187,[1]!Data_CF[TenCongTyID],TDP!$B$1,[1]!Data_CF[Thang.Nam],TDP!AE$155)</f>
        <v>0</v>
      </c>
      <c r="AF187" s="384">
        <f>SUMIFS([1]!Data_CF[Value],[1]!Data_CF[Index CF],TDP!$B187,[1]!Data_CF[TenCongTyID],TDP!$B$1,[1]!Data_CF[Thang.Nam],TDP!AF$155)</f>
        <v>0</v>
      </c>
      <c r="AG187" s="384">
        <f>SUMIFS([1]!Data_CF[Value],[1]!Data_CF[Index CF],TDP!$B187,[1]!Data_CF[TenCongTyID],TDP!$B$1,[1]!Data_CF[Thang.Nam],TDP!AG$155)</f>
        <v>0</v>
      </c>
      <c r="AH187" s="384">
        <f>SUMIFS([1]!Data_CF[Value],[1]!Data_CF[Index CF],TDP!$B187,[1]!Data_CF[TenCongTyID],TDP!$B$1,[1]!Data_CF[Thang.Nam],TDP!AH$155)</f>
        <v>0</v>
      </c>
      <c r="AI187" s="384">
        <f>SUMIFS([1]!Data_CF[Value],[1]!Data_CF[Index CF],TDP!$B187,[1]!Data_CF[TenCongTyID],TDP!$B$1,[1]!Data_CF[Thang.Nam],TDP!AI$155)</f>
        <v>0</v>
      </c>
      <c r="AJ187" s="384">
        <f>SUMIFS([1]!Data_CF[Value],[1]!Data_CF[Index CF],TDP!$B187,[1]!Data_CF[TenCongTyID],TDP!$B$1,[1]!Data_CF[Thang.Nam],TDP!AJ$155)</f>
        <v>0</v>
      </c>
      <c r="AK187" s="384">
        <f>SUMIFS([1]!Data_CF[Value],[1]!Data_CF[Index CF],TDP!$B187,[1]!Data_CF[TenCongTyID],TDP!$B$1,[1]!Data_CF[Thang.Nam],TDP!AK$155)</f>
        <v>0</v>
      </c>
      <c r="AL187" s="385">
        <f>SUMIFS([1]!Data_CF[Value],[1]!Data_CF[Index CF],TDP!$B187,[1]!Data_CF[TenCongTyID],TDP!$B$1,[1]!Data_CF[Thang.Nam],TDP!AL$155)</f>
        <v>0</v>
      </c>
    </row>
    <row r="188" spans="1:38" ht="15" customHeight="1">
      <c r="A188" s="164" t="s">
        <v>274</v>
      </c>
      <c r="B188" s="165">
        <v>33</v>
      </c>
      <c r="C188" s="64"/>
      <c r="D188" s="69"/>
      <c r="E188" s="69"/>
      <c r="F188" s="69"/>
      <c r="G188" s="69"/>
      <c r="H188" s="69"/>
      <c r="I188" s="69">
        <v>0</v>
      </c>
      <c r="J188" s="69">
        <v>0</v>
      </c>
      <c r="K188" s="69"/>
      <c r="L188" s="69"/>
      <c r="M188" s="69"/>
      <c r="N188" s="64"/>
      <c r="O188" s="64"/>
      <c r="P188" s="69"/>
      <c r="Q188" s="69"/>
      <c r="R188" s="69"/>
      <c r="S188" s="69"/>
      <c r="T188" s="69"/>
      <c r="U188" s="69">
        <v>0</v>
      </c>
      <c r="V188" s="69">
        <v>0</v>
      </c>
      <c r="W188" s="69"/>
      <c r="X188" s="69"/>
      <c r="Y188" s="69"/>
      <c r="Z188" s="69">
        <v>0</v>
      </c>
      <c r="AA188" s="384">
        <f>SUMIFS([1]!Data_CF[Value],[1]!Data_CF[Index CF],TDP!$B188,[1]!Data_CF[TenCongTyID],TDP!$B$1,[1]!Data_CF[Thang.Nam],TDP!AA$155)</f>
        <v>0</v>
      </c>
      <c r="AB188" s="384">
        <f>SUMIFS([1]!Data_CF[Value],[1]!Data_CF[Index CF],TDP!$B188,[1]!Data_CF[TenCongTyID],TDP!$B$1,[1]!Data_CF[Thang.Nam],TDP!AB$155)</f>
        <v>0</v>
      </c>
      <c r="AC188" s="384">
        <f>SUMIFS([1]!Data_CF[Value],[1]!Data_CF[Index CF],TDP!$B188,[1]!Data_CF[TenCongTyID],TDP!$B$1,[1]!Data_CF[Thang.Nam],TDP!AC$155)</f>
        <v>0</v>
      </c>
      <c r="AD188" s="384">
        <f>SUMIFS([1]!Data_CF[Value],[1]!Data_CF[Index CF],TDP!$B188,[1]!Data_CF[TenCongTyID],TDP!$B$1,[1]!Data_CF[Thang.Nam],TDP!AD$155)</f>
        <v>0</v>
      </c>
      <c r="AE188" s="384">
        <f>SUMIFS([1]!Data_CF[Value],[1]!Data_CF[Index CF],TDP!$B188,[1]!Data_CF[TenCongTyID],TDP!$B$1,[1]!Data_CF[Thang.Nam],TDP!AE$155)</f>
        <v>0</v>
      </c>
      <c r="AF188" s="384">
        <f>SUMIFS([1]!Data_CF[Value],[1]!Data_CF[Index CF],TDP!$B188,[1]!Data_CF[TenCongTyID],TDP!$B$1,[1]!Data_CF[Thang.Nam],TDP!AF$155)</f>
        <v>0</v>
      </c>
      <c r="AG188" s="384">
        <f>SUMIFS([1]!Data_CF[Value],[1]!Data_CF[Index CF],TDP!$B188,[1]!Data_CF[TenCongTyID],TDP!$B$1,[1]!Data_CF[Thang.Nam],TDP!AG$155)</f>
        <v>0</v>
      </c>
      <c r="AH188" s="384">
        <f>SUMIFS([1]!Data_CF[Value],[1]!Data_CF[Index CF],TDP!$B188,[1]!Data_CF[TenCongTyID],TDP!$B$1,[1]!Data_CF[Thang.Nam],TDP!AH$155)</f>
        <v>0</v>
      </c>
      <c r="AI188" s="384">
        <f>SUMIFS([1]!Data_CF[Value],[1]!Data_CF[Index CF],TDP!$B188,[1]!Data_CF[TenCongTyID],TDP!$B$1,[1]!Data_CF[Thang.Nam],TDP!AI$155)</f>
        <v>0</v>
      </c>
      <c r="AJ188" s="384">
        <f>SUMIFS([1]!Data_CF[Value],[1]!Data_CF[Index CF],TDP!$B188,[1]!Data_CF[TenCongTyID],TDP!$B$1,[1]!Data_CF[Thang.Nam],TDP!AJ$155)</f>
        <v>0</v>
      </c>
      <c r="AK188" s="384">
        <f>SUMIFS([1]!Data_CF[Value],[1]!Data_CF[Index CF],TDP!$B188,[1]!Data_CF[TenCongTyID],TDP!$B$1,[1]!Data_CF[Thang.Nam],TDP!AK$155)</f>
        <v>0</v>
      </c>
      <c r="AL188" s="385">
        <f>SUMIFS([1]!Data_CF[Value],[1]!Data_CF[Index CF],TDP!$B188,[1]!Data_CF[TenCongTyID],TDP!$B$1,[1]!Data_CF[Thang.Nam],TDP!AL$155)</f>
        <v>0</v>
      </c>
    </row>
    <row r="189" spans="1:38" ht="15" customHeight="1">
      <c r="A189" s="164" t="s">
        <v>275</v>
      </c>
      <c r="B189" s="165">
        <v>34</v>
      </c>
      <c r="C189" s="64"/>
      <c r="D189" s="69"/>
      <c r="E189" s="69"/>
      <c r="F189" s="69"/>
      <c r="G189" s="69"/>
      <c r="H189" s="69"/>
      <c r="I189" s="69">
        <v>0</v>
      </c>
      <c r="J189" s="69">
        <v>0</v>
      </c>
      <c r="K189" s="69"/>
      <c r="L189" s="69"/>
      <c r="M189" s="69"/>
      <c r="N189" s="64"/>
      <c r="O189" s="64"/>
      <c r="P189" s="69"/>
      <c r="Q189" s="69"/>
      <c r="R189" s="69"/>
      <c r="S189" s="69"/>
      <c r="T189" s="69"/>
      <c r="U189" s="69">
        <v>0</v>
      </c>
      <c r="V189" s="69">
        <v>0</v>
      </c>
      <c r="W189" s="69"/>
      <c r="X189" s="69"/>
      <c r="Y189" s="69"/>
      <c r="Z189" s="69">
        <v>0</v>
      </c>
      <c r="AA189" s="384">
        <f>SUMIFS([1]!Data_CF[Value],[1]!Data_CF[Index CF],TDP!$B189,[1]!Data_CF[TenCongTyID],TDP!$B$1,[1]!Data_CF[Thang.Nam],TDP!AA$155)</f>
        <v>0</v>
      </c>
      <c r="AB189" s="384">
        <f>SUMIFS([1]!Data_CF[Value],[1]!Data_CF[Index CF],TDP!$B189,[1]!Data_CF[TenCongTyID],TDP!$B$1,[1]!Data_CF[Thang.Nam],TDP!AB$155)</f>
        <v>0</v>
      </c>
      <c r="AC189" s="384">
        <f>SUMIFS([1]!Data_CF[Value],[1]!Data_CF[Index CF],TDP!$B189,[1]!Data_CF[TenCongTyID],TDP!$B$1,[1]!Data_CF[Thang.Nam],TDP!AC$155)</f>
        <v>0</v>
      </c>
      <c r="AD189" s="384">
        <f>SUMIFS([1]!Data_CF[Value],[1]!Data_CF[Index CF],TDP!$B189,[1]!Data_CF[TenCongTyID],TDP!$B$1,[1]!Data_CF[Thang.Nam],TDP!AD$155)</f>
        <v>0</v>
      </c>
      <c r="AE189" s="384">
        <f>SUMIFS([1]!Data_CF[Value],[1]!Data_CF[Index CF],TDP!$B189,[1]!Data_CF[TenCongTyID],TDP!$B$1,[1]!Data_CF[Thang.Nam],TDP!AE$155)</f>
        <v>0</v>
      </c>
      <c r="AF189" s="384">
        <f>SUMIFS([1]!Data_CF[Value],[1]!Data_CF[Index CF],TDP!$B189,[1]!Data_CF[TenCongTyID],TDP!$B$1,[1]!Data_CF[Thang.Nam],TDP!AF$155)</f>
        <v>0</v>
      </c>
      <c r="AG189" s="384">
        <f>SUMIFS([1]!Data_CF[Value],[1]!Data_CF[Index CF],TDP!$B189,[1]!Data_CF[TenCongTyID],TDP!$B$1,[1]!Data_CF[Thang.Nam],TDP!AG$155)</f>
        <v>0</v>
      </c>
      <c r="AH189" s="384">
        <f>SUMIFS([1]!Data_CF[Value],[1]!Data_CF[Index CF],TDP!$B189,[1]!Data_CF[TenCongTyID],TDP!$B$1,[1]!Data_CF[Thang.Nam],TDP!AH$155)</f>
        <v>0</v>
      </c>
      <c r="AI189" s="384">
        <f>SUMIFS([1]!Data_CF[Value],[1]!Data_CF[Index CF],TDP!$B189,[1]!Data_CF[TenCongTyID],TDP!$B$1,[1]!Data_CF[Thang.Nam],TDP!AI$155)</f>
        <v>0</v>
      </c>
      <c r="AJ189" s="384">
        <f>SUMIFS([1]!Data_CF[Value],[1]!Data_CF[Index CF],TDP!$B189,[1]!Data_CF[TenCongTyID],TDP!$B$1,[1]!Data_CF[Thang.Nam],TDP!AJ$155)</f>
        <v>0</v>
      </c>
      <c r="AK189" s="384">
        <f>SUMIFS([1]!Data_CF[Value],[1]!Data_CF[Index CF],TDP!$B189,[1]!Data_CF[TenCongTyID],TDP!$B$1,[1]!Data_CF[Thang.Nam],TDP!AK$155)</f>
        <v>0</v>
      </c>
      <c r="AL189" s="385">
        <f>SUMIFS([1]!Data_CF[Value],[1]!Data_CF[Index CF],TDP!$B189,[1]!Data_CF[TenCongTyID],TDP!$B$1,[1]!Data_CF[Thang.Nam],TDP!AL$155)</f>
        <v>0</v>
      </c>
    </row>
    <row r="190" spans="1:38" ht="15" customHeight="1">
      <c r="A190" s="164" t="s">
        <v>276</v>
      </c>
      <c r="B190" s="165">
        <v>35</v>
      </c>
      <c r="C190" s="64"/>
      <c r="D190" s="69"/>
      <c r="E190" s="69"/>
      <c r="F190" s="69"/>
      <c r="G190" s="69"/>
      <c r="H190" s="69"/>
      <c r="I190" s="69">
        <v>0</v>
      </c>
      <c r="J190" s="69">
        <v>0</v>
      </c>
      <c r="K190" s="69"/>
      <c r="L190" s="69"/>
      <c r="M190" s="69"/>
      <c r="N190" s="64"/>
      <c r="O190" s="64"/>
      <c r="P190" s="69"/>
      <c r="Q190" s="69"/>
      <c r="R190" s="69"/>
      <c r="S190" s="69"/>
      <c r="T190" s="69"/>
      <c r="U190" s="69">
        <v>0</v>
      </c>
      <c r="V190" s="69">
        <v>0</v>
      </c>
      <c r="W190" s="69"/>
      <c r="X190" s="69"/>
      <c r="Y190" s="69"/>
      <c r="Z190" s="69">
        <v>0</v>
      </c>
      <c r="AA190" s="384">
        <f>SUMIFS([1]!Data_CF[Value],[1]!Data_CF[Index CF],TDP!$B190,[1]!Data_CF[TenCongTyID],TDP!$B$1,[1]!Data_CF[Thang.Nam],TDP!AA$155)</f>
        <v>0</v>
      </c>
      <c r="AB190" s="384">
        <f>SUMIFS([1]!Data_CF[Value],[1]!Data_CF[Index CF],TDP!$B190,[1]!Data_CF[TenCongTyID],TDP!$B$1,[1]!Data_CF[Thang.Nam],TDP!AB$155)</f>
        <v>0</v>
      </c>
      <c r="AC190" s="384">
        <f>SUMIFS([1]!Data_CF[Value],[1]!Data_CF[Index CF],TDP!$B190,[1]!Data_CF[TenCongTyID],TDP!$B$1,[1]!Data_CF[Thang.Nam],TDP!AC$155)</f>
        <v>0</v>
      </c>
      <c r="AD190" s="384">
        <f>SUMIFS([1]!Data_CF[Value],[1]!Data_CF[Index CF],TDP!$B190,[1]!Data_CF[TenCongTyID],TDP!$B$1,[1]!Data_CF[Thang.Nam],TDP!AD$155)</f>
        <v>0</v>
      </c>
      <c r="AE190" s="384">
        <f>SUMIFS([1]!Data_CF[Value],[1]!Data_CF[Index CF],TDP!$B190,[1]!Data_CF[TenCongTyID],TDP!$B$1,[1]!Data_CF[Thang.Nam],TDP!AE$155)</f>
        <v>0</v>
      </c>
      <c r="AF190" s="384">
        <f>SUMIFS([1]!Data_CF[Value],[1]!Data_CF[Index CF],TDP!$B190,[1]!Data_CF[TenCongTyID],TDP!$B$1,[1]!Data_CF[Thang.Nam],TDP!AF$155)</f>
        <v>0</v>
      </c>
      <c r="AG190" s="384">
        <f>SUMIFS([1]!Data_CF[Value],[1]!Data_CF[Index CF],TDP!$B190,[1]!Data_CF[TenCongTyID],TDP!$B$1,[1]!Data_CF[Thang.Nam],TDP!AG$155)</f>
        <v>0</v>
      </c>
      <c r="AH190" s="384">
        <f>SUMIFS([1]!Data_CF[Value],[1]!Data_CF[Index CF],TDP!$B190,[1]!Data_CF[TenCongTyID],TDP!$B$1,[1]!Data_CF[Thang.Nam],TDP!AH$155)</f>
        <v>0</v>
      </c>
      <c r="AI190" s="384">
        <f>SUMIFS([1]!Data_CF[Value],[1]!Data_CF[Index CF],TDP!$B190,[1]!Data_CF[TenCongTyID],TDP!$B$1,[1]!Data_CF[Thang.Nam],TDP!AI$155)</f>
        <v>0</v>
      </c>
      <c r="AJ190" s="384">
        <f>SUMIFS([1]!Data_CF[Value],[1]!Data_CF[Index CF],TDP!$B190,[1]!Data_CF[TenCongTyID],TDP!$B$1,[1]!Data_CF[Thang.Nam],TDP!AJ$155)</f>
        <v>0</v>
      </c>
      <c r="AK190" s="384">
        <f>SUMIFS([1]!Data_CF[Value],[1]!Data_CF[Index CF],TDP!$B190,[1]!Data_CF[TenCongTyID],TDP!$B$1,[1]!Data_CF[Thang.Nam],TDP!AK$155)</f>
        <v>0</v>
      </c>
      <c r="AL190" s="385">
        <f>SUMIFS([1]!Data_CF[Value],[1]!Data_CF[Index CF],TDP!$B190,[1]!Data_CF[TenCongTyID],TDP!$B$1,[1]!Data_CF[Thang.Nam],TDP!AL$155)</f>
        <v>0</v>
      </c>
    </row>
    <row r="191" spans="1:38" ht="15" customHeight="1">
      <c r="A191" s="164" t="s">
        <v>277</v>
      </c>
      <c r="B191" s="165">
        <v>36</v>
      </c>
      <c r="C191" s="64"/>
      <c r="D191" s="69"/>
      <c r="E191" s="69"/>
      <c r="F191" s="69"/>
      <c r="G191" s="69"/>
      <c r="H191" s="69"/>
      <c r="I191" s="69">
        <v>0</v>
      </c>
      <c r="J191" s="69">
        <v>0</v>
      </c>
      <c r="K191" s="69"/>
      <c r="L191" s="69"/>
      <c r="M191" s="69"/>
      <c r="N191" s="64"/>
      <c r="O191" s="64"/>
      <c r="P191" s="69"/>
      <c r="Q191" s="69"/>
      <c r="R191" s="69"/>
      <c r="S191" s="69"/>
      <c r="T191" s="69"/>
      <c r="U191" s="69">
        <v>0</v>
      </c>
      <c r="V191" s="69">
        <v>0</v>
      </c>
      <c r="W191" s="69"/>
      <c r="X191" s="69"/>
      <c r="Y191" s="69"/>
      <c r="Z191" s="69">
        <v>0</v>
      </c>
      <c r="AA191" s="384">
        <f>SUMIFS([1]!Data_CF[Value],[1]!Data_CF[Index CF],TDP!$B191,[1]!Data_CF[TenCongTyID],TDP!$B$1,[1]!Data_CF[Thang.Nam],TDP!AA$155)</f>
        <v>0</v>
      </c>
      <c r="AB191" s="384">
        <f>SUMIFS([1]!Data_CF[Value],[1]!Data_CF[Index CF],TDP!$B191,[1]!Data_CF[TenCongTyID],TDP!$B$1,[1]!Data_CF[Thang.Nam],TDP!AB$155)</f>
        <v>0</v>
      </c>
      <c r="AC191" s="384">
        <f>SUMIFS([1]!Data_CF[Value],[1]!Data_CF[Index CF],TDP!$B191,[1]!Data_CF[TenCongTyID],TDP!$B$1,[1]!Data_CF[Thang.Nam],TDP!AC$155)</f>
        <v>0</v>
      </c>
      <c r="AD191" s="384">
        <f>SUMIFS([1]!Data_CF[Value],[1]!Data_CF[Index CF],TDP!$B191,[1]!Data_CF[TenCongTyID],TDP!$B$1,[1]!Data_CF[Thang.Nam],TDP!AD$155)</f>
        <v>0</v>
      </c>
      <c r="AE191" s="384">
        <f>SUMIFS([1]!Data_CF[Value],[1]!Data_CF[Index CF],TDP!$B191,[1]!Data_CF[TenCongTyID],TDP!$B$1,[1]!Data_CF[Thang.Nam],TDP!AE$155)</f>
        <v>0</v>
      </c>
      <c r="AF191" s="384">
        <f>SUMIFS([1]!Data_CF[Value],[1]!Data_CF[Index CF],TDP!$B191,[1]!Data_CF[TenCongTyID],TDP!$B$1,[1]!Data_CF[Thang.Nam],TDP!AF$155)</f>
        <v>0</v>
      </c>
      <c r="AG191" s="384">
        <f>SUMIFS([1]!Data_CF[Value],[1]!Data_CF[Index CF],TDP!$B191,[1]!Data_CF[TenCongTyID],TDP!$B$1,[1]!Data_CF[Thang.Nam],TDP!AG$155)</f>
        <v>0</v>
      </c>
      <c r="AH191" s="384">
        <f>SUMIFS([1]!Data_CF[Value],[1]!Data_CF[Index CF],TDP!$B191,[1]!Data_CF[TenCongTyID],TDP!$B$1,[1]!Data_CF[Thang.Nam],TDP!AH$155)</f>
        <v>0</v>
      </c>
      <c r="AI191" s="384">
        <f>SUMIFS([1]!Data_CF[Value],[1]!Data_CF[Index CF],TDP!$B191,[1]!Data_CF[TenCongTyID],TDP!$B$1,[1]!Data_CF[Thang.Nam],TDP!AI$155)</f>
        <v>0</v>
      </c>
      <c r="AJ191" s="384">
        <f>SUMIFS([1]!Data_CF[Value],[1]!Data_CF[Index CF],TDP!$B191,[1]!Data_CF[TenCongTyID],TDP!$B$1,[1]!Data_CF[Thang.Nam],TDP!AJ$155)</f>
        <v>0</v>
      </c>
      <c r="AK191" s="384">
        <f>SUMIFS([1]!Data_CF[Value],[1]!Data_CF[Index CF],TDP!$B191,[1]!Data_CF[TenCongTyID],TDP!$B$1,[1]!Data_CF[Thang.Nam],TDP!AK$155)</f>
        <v>0</v>
      </c>
      <c r="AL191" s="385">
        <f>SUMIFS([1]!Data_CF[Value],[1]!Data_CF[Index CF],TDP!$B191,[1]!Data_CF[TenCongTyID],TDP!$B$1,[1]!Data_CF[Thang.Nam],TDP!AL$155)</f>
        <v>0</v>
      </c>
    </row>
    <row r="192" spans="1:38" ht="15" customHeight="1">
      <c r="A192" s="145" t="s">
        <v>278</v>
      </c>
      <c r="B192" s="146">
        <v>37</v>
      </c>
      <c r="C192" s="147">
        <f>SUM(C186:C191)</f>
        <v>0</v>
      </c>
      <c r="D192" s="148">
        <f t="shared" ref="D192:N192" si="33">SUM(D186:D191)</f>
        <v>0</v>
      </c>
      <c r="E192" s="148">
        <f t="shared" si="33"/>
        <v>0</v>
      </c>
      <c r="F192" s="148">
        <f t="shared" si="33"/>
        <v>0</v>
      </c>
      <c r="G192" s="148">
        <f t="shared" si="33"/>
        <v>0</v>
      </c>
      <c r="H192" s="148">
        <f t="shared" si="33"/>
        <v>0</v>
      </c>
      <c r="I192" s="148">
        <f t="shared" si="33"/>
        <v>0</v>
      </c>
      <c r="J192" s="148">
        <f t="shared" si="33"/>
        <v>0</v>
      </c>
      <c r="K192" s="148">
        <f t="shared" si="33"/>
        <v>0</v>
      </c>
      <c r="L192" s="148">
        <f t="shared" si="33"/>
        <v>0</v>
      </c>
      <c r="M192" s="148">
        <f>SUM(M186:M191)</f>
        <v>20000000000</v>
      </c>
      <c r="N192" s="147">
        <f t="shared" si="33"/>
        <v>0</v>
      </c>
      <c r="O192" s="147">
        <f>SUM(O186:O191)</f>
        <v>0</v>
      </c>
      <c r="P192" s="148">
        <f t="shared" ref="P192:V192" si="34">SUM(P186:P191)</f>
        <v>0</v>
      </c>
      <c r="Q192" s="148">
        <f t="shared" si="34"/>
        <v>0</v>
      </c>
      <c r="R192" s="148">
        <f t="shared" si="34"/>
        <v>0</v>
      </c>
      <c r="S192" s="148">
        <f t="shared" si="34"/>
        <v>0</v>
      </c>
      <c r="T192" s="148">
        <f t="shared" si="34"/>
        <v>0</v>
      </c>
      <c r="U192" s="148">
        <f t="shared" si="34"/>
        <v>0</v>
      </c>
      <c r="V192" s="148">
        <f t="shared" si="34"/>
        <v>0</v>
      </c>
      <c r="W192" s="148">
        <f>SUM(W186:W191)</f>
        <v>0</v>
      </c>
      <c r="X192" s="148">
        <f>SUM(X186:X191)</f>
        <v>0</v>
      </c>
      <c r="Y192" s="148"/>
      <c r="Z192" s="148">
        <v>0</v>
      </c>
      <c r="AA192" s="421">
        <f>SUMIFS([1]!Data_CF[Value],[1]!Data_CF[Index CF],TDP!$B192,[1]!Data_CF[TenCongTyID],TDP!$B$1,[1]!Data_CF[Thang.Nam],TDP!AA$155)</f>
        <v>0</v>
      </c>
      <c r="AB192" s="421">
        <f>SUMIFS([1]!Data_CF[Value],[1]!Data_CF[Index CF],TDP!$B192,[1]!Data_CF[TenCongTyID],TDP!$B$1,[1]!Data_CF[Thang.Nam],TDP!AB$155)</f>
        <v>0</v>
      </c>
      <c r="AC192" s="421">
        <f>SUMIFS([1]!Data_CF[Value],[1]!Data_CF[Index CF],TDP!$B192,[1]!Data_CF[TenCongTyID],TDP!$B$1,[1]!Data_CF[Thang.Nam],TDP!AC$155)</f>
        <v>0</v>
      </c>
      <c r="AD192" s="421">
        <f>SUMIFS([1]!Data_CF[Value],[1]!Data_CF[Index CF],TDP!$B192,[1]!Data_CF[TenCongTyID],TDP!$B$1,[1]!Data_CF[Thang.Nam],TDP!AD$155)</f>
        <v>0</v>
      </c>
      <c r="AE192" s="421">
        <f>SUMIFS([1]!Data_CF[Value],[1]!Data_CF[Index CF],TDP!$B192,[1]!Data_CF[TenCongTyID],TDP!$B$1,[1]!Data_CF[Thang.Nam],TDP!AE$155)</f>
        <v>0</v>
      </c>
      <c r="AF192" s="421">
        <f>SUMIFS([1]!Data_CF[Value],[1]!Data_CF[Index CF],TDP!$B192,[1]!Data_CF[TenCongTyID],TDP!$B$1,[1]!Data_CF[Thang.Nam],TDP!AF$155)</f>
        <v>0</v>
      </c>
      <c r="AG192" s="421">
        <f>SUMIFS([1]!Data_CF[Value],[1]!Data_CF[Index CF],TDP!$B192,[1]!Data_CF[TenCongTyID],TDP!$B$1,[1]!Data_CF[Thang.Nam],TDP!AG$155)</f>
        <v>0</v>
      </c>
      <c r="AH192" s="421">
        <f>SUMIFS([1]!Data_CF[Value],[1]!Data_CF[Index CF],TDP!$B192,[1]!Data_CF[TenCongTyID],TDP!$B$1,[1]!Data_CF[Thang.Nam],TDP!AH$155)</f>
        <v>0</v>
      </c>
      <c r="AI192" s="421">
        <f>SUMIFS([1]!Data_CF[Value],[1]!Data_CF[Index CF],TDP!$B192,[1]!Data_CF[TenCongTyID],TDP!$B$1,[1]!Data_CF[Thang.Nam],TDP!AI$155)</f>
        <v>0</v>
      </c>
      <c r="AJ192" s="421">
        <f>SUMIFS([1]!Data_CF[Value],[1]!Data_CF[Index CF],TDP!$B192,[1]!Data_CF[TenCongTyID],TDP!$B$1,[1]!Data_CF[Thang.Nam],TDP!AJ$155)</f>
        <v>0</v>
      </c>
      <c r="AK192" s="421">
        <f>SUMIFS([1]!Data_CF[Value],[1]!Data_CF[Index CF],TDP!$B192,[1]!Data_CF[TenCongTyID],TDP!$B$1,[1]!Data_CF[Thang.Nam],TDP!AK$155)</f>
        <v>0</v>
      </c>
      <c r="AL192" s="422">
        <f>SUMIFS([1]!Data_CF[Value],[1]!Data_CF[Index CF],TDP!$B192,[1]!Data_CF[TenCongTyID],TDP!$B$1,[1]!Data_CF[Thang.Nam],TDP!AL$155)</f>
        <v>0</v>
      </c>
    </row>
    <row r="193" spans="1:38" ht="15" customHeight="1">
      <c r="A193" s="167" t="s">
        <v>279</v>
      </c>
      <c r="B193" s="168">
        <v>38</v>
      </c>
      <c r="C193" s="169">
        <f t="shared" ref="C193:Y193" si="35">+C175+C184+C192</f>
        <v>0</v>
      </c>
      <c r="D193" s="169">
        <f t="shared" si="35"/>
        <v>0</v>
      </c>
      <c r="E193" s="169">
        <f t="shared" si="35"/>
        <v>0</v>
      </c>
      <c r="F193" s="169">
        <f t="shared" si="35"/>
        <v>0</v>
      </c>
      <c r="G193" s="425">
        <f t="shared" si="35"/>
        <v>0</v>
      </c>
      <c r="H193" s="425">
        <f t="shared" si="35"/>
        <v>0</v>
      </c>
      <c r="I193" s="425">
        <f t="shared" si="35"/>
        <v>0</v>
      </c>
      <c r="J193" s="425">
        <f t="shared" si="35"/>
        <v>0</v>
      </c>
      <c r="K193" s="425">
        <f t="shared" si="35"/>
        <v>0</v>
      </c>
      <c r="L193" s="425">
        <f t="shared" si="35"/>
        <v>0</v>
      </c>
      <c r="M193" s="425">
        <f>+M175+M184+M192</f>
        <v>20000000000</v>
      </c>
      <c r="N193" s="169">
        <f t="shared" si="35"/>
        <v>-84623737</v>
      </c>
      <c r="O193" s="169">
        <f t="shared" si="35"/>
        <v>-53370076</v>
      </c>
      <c r="P193" s="169">
        <f t="shared" si="35"/>
        <v>7321</v>
      </c>
      <c r="Q193" s="169">
        <f t="shared" si="35"/>
        <v>6613</v>
      </c>
      <c r="R193" s="169">
        <f t="shared" si="35"/>
        <v>-45789484</v>
      </c>
      <c r="S193" s="425">
        <f t="shared" si="35"/>
        <v>4952</v>
      </c>
      <c r="T193" s="425">
        <f t="shared" si="35"/>
        <v>-19000993293</v>
      </c>
      <c r="U193" s="425">
        <f t="shared" si="35"/>
        <v>6701</v>
      </c>
      <c r="V193" s="425">
        <f t="shared" si="35"/>
        <v>-284676</v>
      </c>
      <c r="W193" s="425">
        <f t="shared" si="35"/>
        <v>1552</v>
      </c>
      <c r="X193" s="425">
        <f t="shared" si="35"/>
        <v>945</v>
      </c>
      <c r="Y193" s="425">
        <f t="shared" si="35"/>
        <v>7058510</v>
      </c>
      <c r="Z193" s="425">
        <v>997</v>
      </c>
      <c r="AA193" s="426">
        <f>SUMIFS([1]!Data_CF[Value],[1]!Data_CF[Index CF],TDP!$B193,[1]!Data_CF[TenCongTyID],TDP!$B$1,[1]!Data_CF[Thang.Nam],TDP!AA$155)</f>
        <v>0</v>
      </c>
      <c r="AB193" s="426">
        <f>SUMIFS([1]!Data_CF[Value],[1]!Data_CF[Index CF],TDP!$B193,[1]!Data_CF[TenCongTyID],TDP!$B$1,[1]!Data_CF[Thang.Nam],TDP!AB$155)</f>
        <v>0</v>
      </c>
      <c r="AC193" s="426">
        <f>SUMIFS([1]!Data_CF[Value],[1]!Data_CF[Index CF],TDP!$B193,[1]!Data_CF[TenCongTyID],TDP!$B$1,[1]!Data_CF[Thang.Nam],TDP!AC$155)</f>
        <v>0</v>
      </c>
      <c r="AD193" s="426">
        <f>SUMIFS([1]!Data_CF[Value],[1]!Data_CF[Index CF],TDP!$B193,[1]!Data_CF[TenCongTyID],TDP!$B$1,[1]!Data_CF[Thang.Nam],TDP!AD$155)</f>
        <v>0</v>
      </c>
      <c r="AE193" s="426">
        <f>SUMIFS([1]!Data_CF[Value],[1]!Data_CF[Index CF],TDP!$B193,[1]!Data_CF[TenCongTyID],TDP!$B$1,[1]!Data_CF[Thang.Nam],TDP!AE$155)</f>
        <v>0</v>
      </c>
      <c r="AF193" s="426">
        <f>SUMIFS([1]!Data_CF[Value],[1]!Data_CF[Index CF],TDP!$B193,[1]!Data_CF[TenCongTyID],TDP!$B$1,[1]!Data_CF[Thang.Nam],TDP!AF$155)</f>
        <v>0</v>
      </c>
      <c r="AG193" s="426">
        <f>SUMIFS([1]!Data_CF[Value],[1]!Data_CF[Index CF],TDP!$B193,[1]!Data_CF[TenCongTyID],TDP!$B$1,[1]!Data_CF[Thang.Nam],TDP!AG$155)</f>
        <v>0</v>
      </c>
      <c r="AH193" s="426">
        <f>SUMIFS([1]!Data_CF[Value],[1]!Data_CF[Index CF],TDP!$B193,[1]!Data_CF[TenCongTyID],TDP!$B$1,[1]!Data_CF[Thang.Nam],TDP!AH$155)</f>
        <v>0</v>
      </c>
      <c r="AI193" s="426">
        <f>SUMIFS([1]!Data_CF[Value],[1]!Data_CF[Index CF],TDP!$B193,[1]!Data_CF[TenCongTyID],TDP!$B$1,[1]!Data_CF[Thang.Nam],TDP!AI$155)</f>
        <v>0</v>
      </c>
      <c r="AJ193" s="426">
        <f>SUMIFS([1]!Data_CF[Value],[1]!Data_CF[Index CF],TDP!$B193,[1]!Data_CF[TenCongTyID],TDP!$B$1,[1]!Data_CF[Thang.Nam],TDP!AJ$155)</f>
        <v>0</v>
      </c>
      <c r="AK193" s="426">
        <f>SUMIFS([1]!Data_CF[Value],[1]!Data_CF[Index CF],TDP!$B193,[1]!Data_CF[TenCongTyID],TDP!$B$1,[1]!Data_CF[Thang.Nam],TDP!AK$155)</f>
        <v>0</v>
      </c>
      <c r="AL193" s="427">
        <f>SUMIFS([1]!Data_CF[Value],[1]!Data_CF[Index CF],TDP!$B193,[1]!Data_CF[TenCongTyID],TDP!$B$1,[1]!Data_CF[Thang.Nam],TDP!AL$155)</f>
        <v>0</v>
      </c>
    </row>
    <row r="194" spans="1:38" ht="15" customHeight="1">
      <c r="A194" s="145" t="s">
        <v>280</v>
      </c>
      <c r="B194" s="146">
        <v>39</v>
      </c>
      <c r="C194" s="147"/>
      <c r="D194" s="147"/>
      <c r="E194" s="147"/>
      <c r="F194" s="148"/>
      <c r="G194" s="148"/>
      <c r="H194" s="148"/>
      <c r="I194" s="148"/>
      <c r="J194" s="148"/>
      <c r="K194" s="148"/>
      <c r="L194" s="148"/>
      <c r="M194" s="148"/>
      <c r="N194" s="147">
        <f>M196</f>
        <v>20000000000</v>
      </c>
      <c r="O194" s="147">
        <v>19915376263</v>
      </c>
      <c r="P194" s="147">
        <f t="shared" ref="P194:X194" si="36">O196</f>
        <v>19862006187</v>
      </c>
      <c r="Q194" s="147">
        <f t="shared" si="36"/>
        <v>19862013508</v>
      </c>
      <c r="R194" s="148">
        <f t="shared" si="36"/>
        <v>19862020121</v>
      </c>
      <c r="S194" s="148">
        <f t="shared" si="36"/>
        <v>19816230637</v>
      </c>
      <c r="T194" s="148">
        <f t="shared" si="36"/>
        <v>19816235589</v>
      </c>
      <c r="U194" s="148">
        <f t="shared" si="36"/>
        <v>815242296</v>
      </c>
      <c r="V194" s="148">
        <f t="shared" si="36"/>
        <v>815248997</v>
      </c>
      <c r="W194" s="148">
        <f t="shared" si="36"/>
        <v>814964321</v>
      </c>
      <c r="X194" s="148">
        <f t="shared" si="36"/>
        <v>814965873</v>
      </c>
      <c r="Y194" s="148">
        <f>X196</f>
        <v>814966818</v>
      </c>
      <c r="Z194" s="148">
        <v>822025328</v>
      </c>
      <c r="AA194" s="421">
        <f>SUMIFS([1]!Data_CF[Value],[1]!Data_CF[Index CF],TDP!$B194,[1]!Data_CF[TenCongTyID],TDP!$B$1,[1]!Data_CF[Thang.Nam],TDP!AA$155)</f>
        <v>0</v>
      </c>
      <c r="AB194" s="421">
        <f>SUMIFS([1]!Data_CF[Value],[1]!Data_CF[Index CF],TDP!$B194,[1]!Data_CF[TenCongTyID],TDP!$B$1,[1]!Data_CF[Thang.Nam],TDP!AB$155)</f>
        <v>0</v>
      </c>
      <c r="AC194" s="421">
        <f>SUMIFS([1]!Data_CF[Value],[1]!Data_CF[Index CF],TDP!$B194,[1]!Data_CF[TenCongTyID],TDP!$B$1,[1]!Data_CF[Thang.Nam],TDP!AC$155)</f>
        <v>0</v>
      </c>
      <c r="AD194" s="421">
        <f>SUMIFS([1]!Data_CF[Value],[1]!Data_CF[Index CF],TDP!$B194,[1]!Data_CF[TenCongTyID],TDP!$B$1,[1]!Data_CF[Thang.Nam],TDP!AD$155)</f>
        <v>0</v>
      </c>
      <c r="AE194" s="421">
        <f>SUMIFS([1]!Data_CF[Value],[1]!Data_CF[Index CF],TDP!$B194,[1]!Data_CF[TenCongTyID],TDP!$B$1,[1]!Data_CF[Thang.Nam],TDP!AE$155)</f>
        <v>0</v>
      </c>
      <c r="AF194" s="421">
        <f>SUMIFS([1]!Data_CF[Value],[1]!Data_CF[Index CF],TDP!$B194,[1]!Data_CF[TenCongTyID],TDP!$B$1,[1]!Data_CF[Thang.Nam],TDP!AF$155)</f>
        <v>0</v>
      </c>
      <c r="AG194" s="421">
        <f>SUMIFS([1]!Data_CF[Value],[1]!Data_CF[Index CF],TDP!$B194,[1]!Data_CF[TenCongTyID],TDP!$B$1,[1]!Data_CF[Thang.Nam],TDP!AG$155)</f>
        <v>0</v>
      </c>
      <c r="AH194" s="421">
        <f>SUMIFS([1]!Data_CF[Value],[1]!Data_CF[Index CF],TDP!$B194,[1]!Data_CF[TenCongTyID],TDP!$B$1,[1]!Data_CF[Thang.Nam],TDP!AH$155)</f>
        <v>0</v>
      </c>
      <c r="AI194" s="421">
        <f>SUMIFS([1]!Data_CF[Value],[1]!Data_CF[Index CF],TDP!$B194,[1]!Data_CF[TenCongTyID],TDP!$B$1,[1]!Data_CF[Thang.Nam],TDP!AI$155)</f>
        <v>0</v>
      </c>
      <c r="AJ194" s="421">
        <f>SUMIFS([1]!Data_CF[Value],[1]!Data_CF[Index CF],TDP!$B194,[1]!Data_CF[TenCongTyID],TDP!$B$1,[1]!Data_CF[Thang.Nam],TDP!AJ$155)</f>
        <v>0</v>
      </c>
      <c r="AK194" s="421">
        <f>SUMIFS([1]!Data_CF[Value],[1]!Data_CF[Index CF],TDP!$B194,[1]!Data_CF[TenCongTyID],TDP!$B$1,[1]!Data_CF[Thang.Nam],TDP!AK$155)</f>
        <v>0</v>
      </c>
      <c r="AL194" s="422">
        <f>SUMIFS([1]!Data_CF[Value],[1]!Data_CF[Index CF],TDP!$B194,[1]!Data_CF[TenCongTyID],TDP!$B$1,[1]!Data_CF[Thang.Nam],TDP!AL$155)</f>
        <v>0</v>
      </c>
    </row>
    <row r="195" spans="1:38" ht="15" customHeight="1">
      <c r="A195" s="170" t="s">
        <v>281</v>
      </c>
      <c r="B195" s="171">
        <v>40</v>
      </c>
      <c r="C195" s="147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7"/>
      <c r="O195" s="147"/>
      <c r="P195" s="148"/>
      <c r="Q195" s="148"/>
      <c r="R195" s="148"/>
      <c r="S195" s="148"/>
      <c r="T195" s="148"/>
      <c r="U195" s="148">
        <v>0</v>
      </c>
      <c r="V195" s="148">
        <v>0</v>
      </c>
      <c r="W195" s="148"/>
      <c r="X195" s="148"/>
      <c r="Y195" s="148"/>
      <c r="Z195" s="148">
        <v>0</v>
      </c>
      <c r="AA195" s="421">
        <f>SUMIFS([1]!Data_CF[Value],[1]!Data_CF[Index CF],TDP!$B195,[1]!Data_CF[TenCongTyID],TDP!$B$1,[1]!Data_CF[Thang.Nam],TDP!AA$155)</f>
        <v>0</v>
      </c>
      <c r="AB195" s="421">
        <f>SUMIFS([1]!Data_CF[Value],[1]!Data_CF[Index CF],TDP!$B195,[1]!Data_CF[TenCongTyID],TDP!$B$1,[1]!Data_CF[Thang.Nam],TDP!AB$155)</f>
        <v>0</v>
      </c>
      <c r="AC195" s="421">
        <f>SUMIFS([1]!Data_CF[Value],[1]!Data_CF[Index CF],TDP!$B195,[1]!Data_CF[TenCongTyID],TDP!$B$1,[1]!Data_CF[Thang.Nam],TDP!AC$155)</f>
        <v>0</v>
      </c>
      <c r="AD195" s="421">
        <f>SUMIFS([1]!Data_CF[Value],[1]!Data_CF[Index CF],TDP!$B195,[1]!Data_CF[TenCongTyID],TDP!$B$1,[1]!Data_CF[Thang.Nam],TDP!AD$155)</f>
        <v>0</v>
      </c>
      <c r="AE195" s="421">
        <f>SUMIFS([1]!Data_CF[Value],[1]!Data_CF[Index CF],TDP!$B195,[1]!Data_CF[TenCongTyID],TDP!$B$1,[1]!Data_CF[Thang.Nam],TDP!AE$155)</f>
        <v>0</v>
      </c>
      <c r="AF195" s="421">
        <f>SUMIFS([1]!Data_CF[Value],[1]!Data_CF[Index CF],TDP!$B195,[1]!Data_CF[TenCongTyID],TDP!$B$1,[1]!Data_CF[Thang.Nam],TDP!AF$155)</f>
        <v>0</v>
      </c>
      <c r="AG195" s="421">
        <f>SUMIFS([1]!Data_CF[Value],[1]!Data_CF[Index CF],TDP!$B195,[1]!Data_CF[TenCongTyID],TDP!$B$1,[1]!Data_CF[Thang.Nam],TDP!AG$155)</f>
        <v>0</v>
      </c>
      <c r="AH195" s="421">
        <f>SUMIFS([1]!Data_CF[Value],[1]!Data_CF[Index CF],TDP!$B195,[1]!Data_CF[TenCongTyID],TDP!$B$1,[1]!Data_CF[Thang.Nam],TDP!AH$155)</f>
        <v>0</v>
      </c>
      <c r="AI195" s="421">
        <f>SUMIFS([1]!Data_CF[Value],[1]!Data_CF[Index CF],TDP!$B195,[1]!Data_CF[TenCongTyID],TDP!$B$1,[1]!Data_CF[Thang.Nam],TDP!AI$155)</f>
        <v>0</v>
      </c>
      <c r="AJ195" s="421">
        <f>SUMIFS([1]!Data_CF[Value],[1]!Data_CF[Index CF],TDP!$B195,[1]!Data_CF[TenCongTyID],TDP!$B$1,[1]!Data_CF[Thang.Nam],TDP!AJ$155)</f>
        <v>0</v>
      </c>
      <c r="AK195" s="421">
        <f>SUMIFS([1]!Data_CF[Value],[1]!Data_CF[Index CF],TDP!$B195,[1]!Data_CF[TenCongTyID],TDP!$B$1,[1]!Data_CF[Thang.Nam],TDP!AK$155)</f>
        <v>0</v>
      </c>
      <c r="AL195" s="422">
        <f>SUMIFS([1]!Data_CF[Value],[1]!Data_CF[Index CF],TDP!$B195,[1]!Data_CF[TenCongTyID],TDP!$B$1,[1]!Data_CF[Thang.Nam],TDP!AL$155)</f>
        <v>0</v>
      </c>
    </row>
    <row r="196" spans="1:38" s="428" customFormat="1" ht="15" customHeight="1">
      <c r="A196" s="145" t="s">
        <v>282</v>
      </c>
      <c r="B196" s="146">
        <v>41</v>
      </c>
      <c r="C196" s="173"/>
      <c r="D196" s="173"/>
      <c r="E196" s="173"/>
      <c r="F196" s="173"/>
      <c r="G196" s="173"/>
      <c r="H196" s="173"/>
      <c r="I196" s="173"/>
      <c r="J196" s="173"/>
      <c r="K196" s="173">
        <f t="shared" ref="K196:Y196" si="37">+K194+K193+K195</f>
        <v>0</v>
      </c>
      <c r="L196" s="173">
        <f t="shared" si="37"/>
        <v>0</v>
      </c>
      <c r="M196" s="173">
        <f t="shared" si="37"/>
        <v>20000000000</v>
      </c>
      <c r="N196" s="61">
        <f t="shared" si="37"/>
        <v>19915376263</v>
      </c>
      <c r="O196" s="173">
        <f t="shared" si="37"/>
        <v>19862006187</v>
      </c>
      <c r="P196" s="173">
        <f t="shared" si="37"/>
        <v>19862013508</v>
      </c>
      <c r="Q196" s="173">
        <f t="shared" si="37"/>
        <v>19862020121</v>
      </c>
      <c r="R196" s="173">
        <f t="shared" si="37"/>
        <v>19816230637</v>
      </c>
      <c r="S196" s="173">
        <f t="shared" si="37"/>
        <v>19816235589</v>
      </c>
      <c r="T196" s="173">
        <f t="shared" si="37"/>
        <v>815242296</v>
      </c>
      <c r="U196" s="173">
        <f t="shared" si="37"/>
        <v>815248997</v>
      </c>
      <c r="V196" s="173">
        <f t="shared" si="37"/>
        <v>814964321</v>
      </c>
      <c r="W196" s="173">
        <f t="shared" si="37"/>
        <v>814965873</v>
      </c>
      <c r="X196" s="173">
        <f t="shared" si="37"/>
        <v>814966818</v>
      </c>
      <c r="Y196" s="173">
        <f t="shared" si="37"/>
        <v>822025328</v>
      </c>
      <c r="Z196" s="173">
        <v>822026325</v>
      </c>
      <c r="AA196" s="382">
        <f>SUMIFS([1]!Data_CF[Value],[1]!Data_CF[Index CF],TDP!$B196,[1]!Data_CF[TenCongTyID],TDP!$B$1,[1]!Data_CF[Thang.Nam],TDP!AA$155)</f>
        <v>0</v>
      </c>
      <c r="AB196" s="382">
        <f>SUMIFS([1]!Data_CF[Value],[1]!Data_CF[Index CF],TDP!$B196,[1]!Data_CF[TenCongTyID],TDP!$B$1,[1]!Data_CF[Thang.Nam],TDP!AB$155)</f>
        <v>0</v>
      </c>
      <c r="AC196" s="382">
        <f>SUMIFS([1]!Data_CF[Value],[1]!Data_CF[Index CF],TDP!$B196,[1]!Data_CF[TenCongTyID],TDP!$B$1,[1]!Data_CF[Thang.Nam],TDP!AC$155)</f>
        <v>0</v>
      </c>
      <c r="AD196" s="382">
        <f>SUMIFS([1]!Data_CF[Value],[1]!Data_CF[Index CF],TDP!$B196,[1]!Data_CF[TenCongTyID],TDP!$B$1,[1]!Data_CF[Thang.Nam],TDP!AD$155)</f>
        <v>0</v>
      </c>
      <c r="AE196" s="382">
        <f>SUMIFS([1]!Data_CF[Value],[1]!Data_CF[Index CF],TDP!$B196,[1]!Data_CF[TenCongTyID],TDP!$B$1,[1]!Data_CF[Thang.Nam],TDP!AE$155)</f>
        <v>0</v>
      </c>
      <c r="AF196" s="382">
        <f>SUMIFS([1]!Data_CF[Value],[1]!Data_CF[Index CF],TDP!$B196,[1]!Data_CF[TenCongTyID],TDP!$B$1,[1]!Data_CF[Thang.Nam],TDP!AF$155)</f>
        <v>0</v>
      </c>
      <c r="AG196" s="382">
        <f>SUMIFS([1]!Data_CF[Value],[1]!Data_CF[Index CF],TDP!$B196,[1]!Data_CF[TenCongTyID],TDP!$B$1,[1]!Data_CF[Thang.Nam],TDP!AG$155)</f>
        <v>0</v>
      </c>
      <c r="AH196" s="382">
        <f>SUMIFS([1]!Data_CF[Value],[1]!Data_CF[Index CF],TDP!$B196,[1]!Data_CF[TenCongTyID],TDP!$B$1,[1]!Data_CF[Thang.Nam],TDP!AH$155)</f>
        <v>0</v>
      </c>
      <c r="AI196" s="382">
        <f>SUMIFS([1]!Data_CF[Value],[1]!Data_CF[Index CF],TDP!$B196,[1]!Data_CF[TenCongTyID],TDP!$B$1,[1]!Data_CF[Thang.Nam],TDP!AI$155)</f>
        <v>0</v>
      </c>
      <c r="AJ196" s="382">
        <f>SUMIFS([1]!Data_CF[Value],[1]!Data_CF[Index CF],TDP!$B196,[1]!Data_CF[TenCongTyID],TDP!$B$1,[1]!Data_CF[Thang.Nam],TDP!AJ$155)</f>
        <v>0</v>
      </c>
      <c r="AK196" s="382">
        <f>SUMIFS([1]!Data_CF[Value],[1]!Data_CF[Index CF],TDP!$B196,[1]!Data_CF[TenCongTyID],TDP!$B$1,[1]!Data_CF[Thang.Nam],TDP!AK$155)</f>
        <v>0</v>
      </c>
      <c r="AL196" s="383">
        <f>SUMIFS([1]!Data_CF[Value],[1]!Data_CF[Index CF],TDP!$B196,[1]!Data_CF[TenCongTyID],TDP!$B$1,[1]!Data_CF[Thang.Nam],TDP!AL$155)</f>
        <v>0</v>
      </c>
    </row>
    <row r="197" spans="1:38" ht="15" customHeight="1">
      <c r="C197" s="175"/>
      <c r="D197" s="175"/>
      <c r="E197" s="175"/>
      <c r="F197" s="175"/>
      <c r="G197" s="429"/>
      <c r="H197" s="429"/>
      <c r="I197" s="429"/>
      <c r="J197" s="429"/>
      <c r="K197" s="429"/>
      <c r="L197" s="175"/>
      <c r="M197" s="175">
        <f t="shared" ref="M197:Y197" si="38">M7-M196</f>
        <v>0</v>
      </c>
      <c r="N197" s="175">
        <f t="shared" si="38"/>
        <v>0</v>
      </c>
      <c r="O197" s="175">
        <f t="shared" si="38"/>
        <v>0</v>
      </c>
      <c r="P197" s="175">
        <f t="shared" si="38"/>
        <v>0</v>
      </c>
      <c r="Q197" s="175">
        <f t="shared" si="38"/>
        <v>0</v>
      </c>
      <c r="R197" s="175">
        <f t="shared" si="38"/>
        <v>0</v>
      </c>
      <c r="S197" s="175">
        <f t="shared" si="38"/>
        <v>0</v>
      </c>
      <c r="T197" s="175">
        <f t="shared" si="38"/>
        <v>0</v>
      </c>
      <c r="U197" s="175">
        <f t="shared" si="38"/>
        <v>0</v>
      </c>
      <c r="V197" s="175">
        <f t="shared" si="38"/>
        <v>0</v>
      </c>
      <c r="W197" s="175">
        <f t="shared" si="38"/>
        <v>0</v>
      </c>
      <c r="X197" s="175">
        <f t="shared" si="38"/>
        <v>0</v>
      </c>
      <c r="Y197" s="175">
        <f t="shared" si="38"/>
        <v>0</v>
      </c>
      <c r="Z197" s="175">
        <v>0</v>
      </c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</row>
    <row r="198" spans="1:38" ht="15" customHeight="1">
      <c r="A198" s="176" t="s">
        <v>283</v>
      </c>
      <c r="B198" s="177" t="s">
        <v>284</v>
      </c>
      <c r="C198" s="349" t="s">
        <v>66</v>
      </c>
      <c r="D198" s="349" t="s">
        <v>67</v>
      </c>
      <c r="E198" s="349" t="s">
        <v>68</v>
      </c>
      <c r="F198" s="349" t="s">
        <v>69</v>
      </c>
      <c r="G198" s="349" t="s">
        <v>70</v>
      </c>
      <c r="H198" s="349" t="s">
        <v>71</v>
      </c>
      <c r="I198" s="349" t="s">
        <v>72</v>
      </c>
      <c r="J198" s="349" t="s">
        <v>73</v>
      </c>
      <c r="K198" s="349" t="s">
        <v>74</v>
      </c>
      <c r="L198" s="349" t="s">
        <v>75</v>
      </c>
      <c r="M198" s="349" t="s">
        <v>76</v>
      </c>
      <c r="N198" s="349" t="s">
        <v>77</v>
      </c>
      <c r="O198" s="349" t="s">
        <v>78</v>
      </c>
      <c r="P198" s="349" t="s">
        <v>79</v>
      </c>
      <c r="Q198" s="349" t="s">
        <v>80</v>
      </c>
      <c r="R198" s="349" t="s">
        <v>81</v>
      </c>
      <c r="S198" s="349" t="s">
        <v>82</v>
      </c>
      <c r="T198" s="349" t="s">
        <v>83</v>
      </c>
      <c r="U198" s="349" t="s">
        <v>84</v>
      </c>
      <c r="V198" s="349" t="s">
        <v>85</v>
      </c>
      <c r="W198" s="349" t="s">
        <v>86</v>
      </c>
      <c r="X198" s="349" t="s">
        <v>87</v>
      </c>
      <c r="Y198" s="349" t="s">
        <v>88</v>
      </c>
      <c r="Z198" s="349" t="s">
        <v>89</v>
      </c>
      <c r="AA198" s="349" t="s">
        <v>8</v>
      </c>
      <c r="AB198" s="349" t="s">
        <v>9</v>
      </c>
      <c r="AC198" s="349" t="s">
        <v>10</v>
      </c>
      <c r="AD198" s="349" t="s">
        <v>11</v>
      </c>
      <c r="AE198" s="349" t="s">
        <v>12</v>
      </c>
      <c r="AF198" s="349" t="s">
        <v>13</v>
      </c>
      <c r="AG198" s="349" t="s">
        <v>14</v>
      </c>
      <c r="AH198" s="349" t="s">
        <v>15</v>
      </c>
      <c r="AI198" s="349" t="s">
        <v>16</v>
      </c>
      <c r="AJ198" s="349" t="s">
        <v>17</v>
      </c>
      <c r="AK198" s="349" t="s">
        <v>18</v>
      </c>
      <c r="AL198" s="349" t="s">
        <v>19</v>
      </c>
    </row>
    <row r="199" spans="1:38" ht="15" customHeight="1">
      <c r="A199" s="178" t="s">
        <v>285</v>
      </c>
      <c r="B199" s="179">
        <v>1</v>
      </c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>
        <v>0</v>
      </c>
      <c r="AA199" s="180">
        <f>SUMIFS([1]!Data_PL_Element[Value],[1]!Data_PL_Element[Index PL Element],TDP!$B199,[1]!Data_PL_Element[TenCongTyID],TDP!$B$1,[1]!Data_PL_Element[Thang.Nam],TDP!AA$198)</f>
        <v>0</v>
      </c>
      <c r="AB199" s="180">
        <f>SUMIFS([1]!Data_PL_Element[Value],[1]!Data_PL_Element[Index PL Element],TDP!$B199,[1]!Data_PL_Element[TenCongTyID],TDP!$B$1,[1]!Data_PL_Element[Thang.Nam],TDP!AB$198)</f>
        <v>0</v>
      </c>
      <c r="AC199" s="180">
        <f>SUMIFS([1]!Data_PL_Element[Value],[1]!Data_PL_Element[Index PL Element],TDP!$B199,[1]!Data_PL_Element[TenCongTyID],TDP!$B$1,[1]!Data_PL_Element[Thang.Nam],TDP!AC$198)</f>
        <v>0</v>
      </c>
      <c r="AD199" s="180">
        <f>SUMIFS([1]!Data_PL_Element[Value],[1]!Data_PL_Element[Index PL Element],TDP!$B199,[1]!Data_PL_Element[TenCongTyID],TDP!$B$1,[1]!Data_PL_Element[Thang.Nam],TDP!AD$198)</f>
        <v>0</v>
      </c>
      <c r="AE199" s="180">
        <f>SUMIFS([1]!Data_PL_Element[Value],[1]!Data_PL_Element[Index PL Element],TDP!$B199,[1]!Data_PL_Element[TenCongTyID],TDP!$B$1,[1]!Data_PL_Element[Thang.Nam],TDP!AE$198)</f>
        <v>0</v>
      </c>
      <c r="AF199" s="180">
        <f>SUMIFS([1]!Data_PL_Element[Value],[1]!Data_PL_Element[Index PL Element],TDP!$B199,[1]!Data_PL_Element[TenCongTyID],TDP!$B$1,[1]!Data_PL_Element[Thang.Nam],TDP!AF$198)</f>
        <v>0</v>
      </c>
      <c r="AG199" s="180">
        <f>SUMIFS([1]!Data_PL_Element[Value],[1]!Data_PL_Element[Index PL Element],TDP!$B199,[1]!Data_PL_Element[TenCongTyID],TDP!$B$1,[1]!Data_PL_Element[Thang.Nam],TDP!AG$198)</f>
        <v>0</v>
      </c>
      <c r="AH199" s="180">
        <f>SUMIFS([1]!Data_PL_Element[Value],[1]!Data_PL_Element[Index PL Element],TDP!$B199,[1]!Data_PL_Element[TenCongTyID],TDP!$B$1,[1]!Data_PL_Element[Thang.Nam],TDP!AH$198)</f>
        <v>0</v>
      </c>
      <c r="AI199" s="180">
        <f>SUMIFS([1]!Data_PL_Element[Value],[1]!Data_PL_Element[Index PL Element],TDP!$B199,[1]!Data_PL_Element[TenCongTyID],TDP!$B$1,[1]!Data_PL_Element[Thang.Nam],TDP!AI$198)</f>
        <v>0</v>
      </c>
      <c r="AJ199" s="180">
        <f>SUMIFS([1]!Data_PL_Element[Value],[1]!Data_PL_Element[Index PL Element],TDP!$B199,[1]!Data_PL_Element[TenCongTyID],TDP!$B$1,[1]!Data_PL_Element[Thang.Nam],TDP!AJ$198)</f>
        <v>0</v>
      </c>
      <c r="AK199" s="180">
        <f>SUMIFS([1]!Data_PL_Element[Value],[1]!Data_PL_Element[Index PL Element],TDP!$B199,[1]!Data_PL_Element[TenCongTyID],TDP!$B$1,[1]!Data_PL_Element[Thang.Nam],TDP!AK$198)</f>
        <v>0</v>
      </c>
      <c r="AL199" s="180">
        <f>SUMIFS([1]!Data_PL_Element[Value],[1]!Data_PL_Element[Index PL Element],TDP!$B199,[1]!Data_PL_Element[TenCongTyID],TDP!$B$1,[1]!Data_PL_Element[Thang.Nam],TDP!AL$198)</f>
        <v>0</v>
      </c>
    </row>
    <row r="200" spans="1:38" ht="15" customHeight="1">
      <c r="A200" s="178" t="s">
        <v>286</v>
      </c>
      <c r="B200" s="179">
        <v>2</v>
      </c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>
        <v>0</v>
      </c>
      <c r="AA200" s="180">
        <f>SUMIFS([1]!Data_PL_Element[Value],[1]!Data_PL_Element[Index PL Element],TDP!$B200,[1]!Data_PL_Element[TenCongTyID],TDP!$B$1,[1]!Data_PL_Element[Thang.Nam],TDP!AA$198)</f>
        <v>0</v>
      </c>
      <c r="AB200" s="180">
        <f>SUMIFS([1]!Data_PL_Element[Value],[1]!Data_PL_Element[Index PL Element],TDP!$B200,[1]!Data_PL_Element[TenCongTyID],TDP!$B$1,[1]!Data_PL_Element[Thang.Nam],TDP!AB$198)</f>
        <v>0</v>
      </c>
      <c r="AC200" s="180">
        <f>SUMIFS([1]!Data_PL_Element[Value],[1]!Data_PL_Element[Index PL Element],TDP!$B200,[1]!Data_PL_Element[TenCongTyID],TDP!$B$1,[1]!Data_PL_Element[Thang.Nam],TDP!AC$198)</f>
        <v>0</v>
      </c>
      <c r="AD200" s="180">
        <f>SUMIFS([1]!Data_PL_Element[Value],[1]!Data_PL_Element[Index PL Element],TDP!$B200,[1]!Data_PL_Element[TenCongTyID],TDP!$B$1,[1]!Data_PL_Element[Thang.Nam],TDP!AD$198)</f>
        <v>0</v>
      </c>
      <c r="AE200" s="180">
        <f>SUMIFS([1]!Data_PL_Element[Value],[1]!Data_PL_Element[Index PL Element],TDP!$B200,[1]!Data_PL_Element[TenCongTyID],TDP!$B$1,[1]!Data_PL_Element[Thang.Nam],TDP!AE$198)</f>
        <v>0</v>
      </c>
      <c r="AF200" s="180">
        <f>SUMIFS([1]!Data_PL_Element[Value],[1]!Data_PL_Element[Index PL Element],TDP!$B200,[1]!Data_PL_Element[TenCongTyID],TDP!$B$1,[1]!Data_PL_Element[Thang.Nam],TDP!AF$198)</f>
        <v>0</v>
      </c>
      <c r="AG200" s="180">
        <f>SUMIFS([1]!Data_PL_Element[Value],[1]!Data_PL_Element[Index PL Element],TDP!$B200,[1]!Data_PL_Element[TenCongTyID],TDP!$B$1,[1]!Data_PL_Element[Thang.Nam],TDP!AG$198)</f>
        <v>0</v>
      </c>
      <c r="AH200" s="180">
        <f>SUMIFS([1]!Data_PL_Element[Value],[1]!Data_PL_Element[Index PL Element],TDP!$B200,[1]!Data_PL_Element[TenCongTyID],TDP!$B$1,[1]!Data_PL_Element[Thang.Nam],TDP!AH$198)</f>
        <v>0</v>
      </c>
      <c r="AI200" s="180">
        <f>SUMIFS([1]!Data_PL_Element[Value],[1]!Data_PL_Element[Index PL Element],TDP!$B200,[1]!Data_PL_Element[TenCongTyID],TDP!$B$1,[1]!Data_PL_Element[Thang.Nam],TDP!AI$198)</f>
        <v>0</v>
      </c>
      <c r="AJ200" s="180">
        <f>SUMIFS([1]!Data_PL_Element[Value],[1]!Data_PL_Element[Index PL Element],TDP!$B200,[1]!Data_PL_Element[TenCongTyID],TDP!$B$1,[1]!Data_PL_Element[Thang.Nam],TDP!AJ$198)</f>
        <v>0</v>
      </c>
      <c r="AK200" s="180">
        <f>SUMIFS([1]!Data_PL_Element[Value],[1]!Data_PL_Element[Index PL Element],TDP!$B200,[1]!Data_PL_Element[TenCongTyID],TDP!$B$1,[1]!Data_PL_Element[Thang.Nam],TDP!AK$198)</f>
        <v>0</v>
      </c>
      <c r="AL200" s="180">
        <f>SUMIFS([1]!Data_PL_Element[Value],[1]!Data_PL_Element[Index PL Element],TDP!$B200,[1]!Data_PL_Element[TenCongTyID],TDP!$B$1,[1]!Data_PL_Element[Thang.Nam],TDP!AL$198)</f>
        <v>0</v>
      </c>
    </row>
    <row r="201" spans="1:38" ht="15" customHeight="1">
      <c r="A201" s="178" t="s">
        <v>287</v>
      </c>
      <c r="B201" s="179">
        <v>3</v>
      </c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>
        <v>0</v>
      </c>
      <c r="AA201" s="180">
        <f>SUMIFS([1]!Data_PL_Element[Value],[1]!Data_PL_Element[Index PL Element],TDP!$B201,[1]!Data_PL_Element[TenCongTyID],TDP!$B$1,[1]!Data_PL_Element[Thang.Nam],TDP!AA$198)</f>
        <v>0</v>
      </c>
      <c r="AB201" s="180">
        <f>SUMIFS([1]!Data_PL_Element[Value],[1]!Data_PL_Element[Index PL Element],TDP!$B201,[1]!Data_PL_Element[TenCongTyID],TDP!$B$1,[1]!Data_PL_Element[Thang.Nam],TDP!AB$198)</f>
        <v>0</v>
      </c>
      <c r="AC201" s="180">
        <f>SUMIFS([1]!Data_PL_Element[Value],[1]!Data_PL_Element[Index PL Element],TDP!$B201,[1]!Data_PL_Element[TenCongTyID],TDP!$B$1,[1]!Data_PL_Element[Thang.Nam],TDP!AC$198)</f>
        <v>0</v>
      </c>
      <c r="AD201" s="180">
        <f>SUMIFS([1]!Data_PL_Element[Value],[1]!Data_PL_Element[Index PL Element],TDP!$B201,[1]!Data_PL_Element[TenCongTyID],TDP!$B$1,[1]!Data_PL_Element[Thang.Nam],TDP!AD$198)</f>
        <v>0</v>
      </c>
      <c r="AE201" s="180">
        <f>SUMIFS([1]!Data_PL_Element[Value],[1]!Data_PL_Element[Index PL Element],TDP!$B201,[1]!Data_PL_Element[TenCongTyID],TDP!$B$1,[1]!Data_PL_Element[Thang.Nam],TDP!AE$198)</f>
        <v>0</v>
      </c>
      <c r="AF201" s="180">
        <f>SUMIFS([1]!Data_PL_Element[Value],[1]!Data_PL_Element[Index PL Element],TDP!$B201,[1]!Data_PL_Element[TenCongTyID],TDP!$B$1,[1]!Data_PL_Element[Thang.Nam],TDP!AF$198)</f>
        <v>0</v>
      </c>
      <c r="AG201" s="180">
        <f>SUMIFS([1]!Data_PL_Element[Value],[1]!Data_PL_Element[Index PL Element],TDP!$B201,[1]!Data_PL_Element[TenCongTyID],TDP!$B$1,[1]!Data_PL_Element[Thang.Nam],TDP!AG$198)</f>
        <v>0</v>
      </c>
      <c r="AH201" s="180">
        <f>SUMIFS([1]!Data_PL_Element[Value],[1]!Data_PL_Element[Index PL Element],TDP!$B201,[1]!Data_PL_Element[TenCongTyID],TDP!$B$1,[1]!Data_PL_Element[Thang.Nam],TDP!AH$198)</f>
        <v>0</v>
      </c>
      <c r="AI201" s="180">
        <f>SUMIFS([1]!Data_PL_Element[Value],[1]!Data_PL_Element[Index PL Element],TDP!$B201,[1]!Data_PL_Element[TenCongTyID],TDP!$B$1,[1]!Data_PL_Element[Thang.Nam],TDP!AI$198)</f>
        <v>0</v>
      </c>
      <c r="AJ201" s="180">
        <f>SUMIFS([1]!Data_PL_Element[Value],[1]!Data_PL_Element[Index PL Element],TDP!$B201,[1]!Data_PL_Element[TenCongTyID],TDP!$B$1,[1]!Data_PL_Element[Thang.Nam],TDP!AJ$198)</f>
        <v>0</v>
      </c>
      <c r="AK201" s="180">
        <f>SUMIFS([1]!Data_PL_Element[Value],[1]!Data_PL_Element[Index PL Element],TDP!$B201,[1]!Data_PL_Element[TenCongTyID],TDP!$B$1,[1]!Data_PL_Element[Thang.Nam],TDP!AK$198)</f>
        <v>0</v>
      </c>
      <c r="AL201" s="180">
        <f>SUMIFS([1]!Data_PL_Element[Value],[1]!Data_PL_Element[Index PL Element],TDP!$B201,[1]!Data_PL_Element[TenCongTyID],TDP!$B$1,[1]!Data_PL_Element[Thang.Nam],TDP!AL$198)</f>
        <v>0</v>
      </c>
    </row>
    <row r="202" spans="1:38" ht="15" customHeight="1">
      <c r="A202" s="178" t="s">
        <v>288</v>
      </c>
      <c r="B202" s="179">
        <v>4</v>
      </c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>
        <v>0</v>
      </c>
      <c r="AA202" s="180">
        <f>SUMIFS([1]!Data_PL_Element[Value],[1]!Data_PL_Element[Index PL Element],TDP!$B202,[1]!Data_PL_Element[TenCongTyID],TDP!$B$1,[1]!Data_PL_Element[Thang.Nam],TDP!AA$198)</f>
        <v>0</v>
      </c>
      <c r="AB202" s="180">
        <f>SUMIFS([1]!Data_PL_Element[Value],[1]!Data_PL_Element[Index PL Element],TDP!$B202,[1]!Data_PL_Element[TenCongTyID],TDP!$B$1,[1]!Data_PL_Element[Thang.Nam],TDP!AB$198)</f>
        <v>0</v>
      </c>
      <c r="AC202" s="180">
        <f>SUMIFS([1]!Data_PL_Element[Value],[1]!Data_PL_Element[Index PL Element],TDP!$B202,[1]!Data_PL_Element[TenCongTyID],TDP!$B$1,[1]!Data_PL_Element[Thang.Nam],TDP!AC$198)</f>
        <v>0</v>
      </c>
      <c r="AD202" s="180">
        <f>SUMIFS([1]!Data_PL_Element[Value],[1]!Data_PL_Element[Index PL Element],TDP!$B202,[1]!Data_PL_Element[TenCongTyID],TDP!$B$1,[1]!Data_PL_Element[Thang.Nam],TDP!AD$198)</f>
        <v>0</v>
      </c>
      <c r="AE202" s="180">
        <f>SUMIFS([1]!Data_PL_Element[Value],[1]!Data_PL_Element[Index PL Element],TDP!$B202,[1]!Data_PL_Element[TenCongTyID],TDP!$B$1,[1]!Data_PL_Element[Thang.Nam],TDP!AE$198)</f>
        <v>0</v>
      </c>
      <c r="AF202" s="180">
        <f>SUMIFS([1]!Data_PL_Element[Value],[1]!Data_PL_Element[Index PL Element],TDP!$B202,[1]!Data_PL_Element[TenCongTyID],TDP!$B$1,[1]!Data_PL_Element[Thang.Nam],TDP!AF$198)</f>
        <v>0</v>
      </c>
      <c r="AG202" s="180">
        <f>SUMIFS([1]!Data_PL_Element[Value],[1]!Data_PL_Element[Index PL Element],TDP!$B202,[1]!Data_PL_Element[TenCongTyID],TDP!$B$1,[1]!Data_PL_Element[Thang.Nam],TDP!AG$198)</f>
        <v>0</v>
      </c>
      <c r="AH202" s="180">
        <f>SUMIFS([1]!Data_PL_Element[Value],[1]!Data_PL_Element[Index PL Element],TDP!$B202,[1]!Data_PL_Element[TenCongTyID],TDP!$B$1,[1]!Data_PL_Element[Thang.Nam],TDP!AH$198)</f>
        <v>0</v>
      </c>
      <c r="AI202" s="180">
        <f>SUMIFS([1]!Data_PL_Element[Value],[1]!Data_PL_Element[Index PL Element],TDP!$B202,[1]!Data_PL_Element[TenCongTyID],TDP!$B$1,[1]!Data_PL_Element[Thang.Nam],TDP!AI$198)</f>
        <v>0</v>
      </c>
      <c r="AJ202" s="180">
        <f>SUMIFS([1]!Data_PL_Element[Value],[1]!Data_PL_Element[Index PL Element],TDP!$B202,[1]!Data_PL_Element[TenCongTyID],TDP!$B$1,[1]!Data_PL_Element[Thang.Nam],TDP!AJ$198)</f>
        <v>0</v>
      </c>
      <c r="AK202" s="180">
        <f>SUMIFS([1]!Data_PL_Element[Value],[1]!Data_PL_Element[Index PL Element],TDP!$B202,[1]!Data_PL_Element[TenCongTyID],TDP!$B$1,[1]!Data_PL_Element[Thang.Nam],TDP!AK$198)</f>
        <v>0</v>
      </c>
      <c r="AL202" s="180">
        <f>SUMIFS([1]!Data_PL_Element[Value],[1]!Data_PL_Element[Index PL Element],TDP!$B202,[1]!Data_PL_Element[TenCongTyID],TDP!$B$1,[1]!Data_PL_Element[Thang.Nam],TDP!AL$198)</f>
        <v>0</v>
      </c>
    </row>
    <row r="203" spans="1:38" ht="15" customHeight="1">
      <c r="A203" s="178" t="s">
        <v>289</v>
      </c>
      <c r="B203" s="179">
        <v>5</v>
      </c>
      <c r="C203" s="180">
        <f t="shared" ref="C203:Y205" si="39">C134</f>
        <v>0</v>
      </c>
      <c r="D203" s="180">
        <f t="shared" si="39"/>
        <v>0</v>
      </c>
      <c r="E203" s="180">
        <f t="shared" si="39"/>
        <v>0</v>
      </c>
      <c r="F203" s="180">
        <f t="shared" si="39"/>
        <v>0</v>
      </c>
      <c r="G203" s="180">
        <f t="shared" si="39"/>
        <v>0</v>
      </c>
      <c r="H203" s="180">
        <f t="shared" si="39"/>
        <v>0</v>
      </c>
      <c r="I203" s="180">
        <f t="shared" si="39"/>
        <v>0</v>
      </c>
      <c r="J203" s="180">
        <f t="shared" si="39"/>
        <v>0</v>
      </c>
      <c r="K203" s="180">
        <f t="shared" si="39"/>
        <v>0</v>
      </c>
      <c r="L203" s="180">
        <f t="shared" si="39"/>
        <v>0</v>
      </c>
      <c r="M203" s="180">
        <f t="shared" si="39"/>
        <v>0</v>
      </c>
      <c r="N203" s="180">
        <f t="shared" si="39"/>
        <v>0</v>
      </c>
      <c r="O203" s="180">
        <f t="shared" si="39"/>
        <v>0</v>
      </c>
      <c r="P203" s="180">
        <f t="shared" si="39"/>
        <v>0</v>
      </c>
      <c r="Q203" s="180">
        <f t="shared" si="39"/>
        <v>0</v>
      </c>
      <c r="R203" s="180">
        <f t="shared" si="39"/>
        <v>0</v>
      </c>
      <c r="S203" s="180">
        <f t="shared" si="39"/>
        <v>0</v>
      </c>
      <c r="T203" s="180">
        <f t="shared" si="39"/>
        <v>0</v>
      </c>
      <c r="U203" s="180">
        <f t="shared" si="39"/>
        <v>0</v>
      </c>
      <c r="V203" s="180">
        <f t="shared" si="39"/>
        <v>0</v>
      </c>
      <c r="W203" s="180">
        <f t="shared" si="39"/>
        <v>0</v>
      </c>
      <c r="X203" s="180">
        <f t="shared" si="39"/>
        <v>0</v>
      </c>
      <c r="Y203" s="180">
        <f t="shared" si="39"/>
        <v>0</v>
      </c>
      <c r="Z203" s="180">
        <v>0</v>
      </c>
      <c r="AA203" s="180">
        <f t="shared" ref="AA203:AL205" si="40">AA134</f>
        <v>0</v>
      </c>
      <c r="AB203" s="180">
        <f t="shared" si="40"/>
        <v>0</v>
      </c>
      <c r="AC203" s="180">
        <f t="shared" si="40"/>
        <v>0</v>
      </c>
      <c r="AD203" s="180">
        <f t="shared" si="40"/>
        <v>0</v>
      </c>
      <c r="AE203" s="180">
        <f t="shared" si="40"/>
        <v>0</v>
      </c>
      <c r="AF203" s="180">
        <f t="shared" si="40"/>
        <v>0</v>
      </c>
      <c r="AG203" s="180">
        <f t="shared" si="40"/>
        <v>0</v>
      </c>
      <c r="AH203" s="180">
        <f t="shared" si="40"/>
        <v>0</v>
      </c>
      <c r="AI203" s="180">
        <f t="shared" si="40"/>
        <v>0</v>
      </c>
      <c r="AJ203" s="180">
        <f t="shared" si="40"/>
        <v>0</v>
      </c>
      <c r="AK203" s="180">
        <f t="shared" si="40"/>
        <v>0</v>
      </c>
      <c r="AL203" s="180">
        <f t="shared" si="40"/>
        <v>0</v>
      </c>
    </row>
    <row r="204" spans="1:38" ht="15" customHeight="1">
      <c r="A204" s="181" t="s">
        <v>290</v>
      </c>
      <c r="B204" s="182">
        <v>6</v>
      </c>
      <c r="C204" s="183">
        <f t="shared" si="39"/>
        <v>0</v>
      </c>
      <c r="D204" s="183">
        <f t="shared" si="39"/>
        <v>0</v>
      </c>
      <c r="E204" s="183">
        <f t="shared" si="39"/>
        <v>0</v>
      </c>
      <c r="F204" s="183">
        <f t="shared" si="39"/>
        <v>0</v>
      </c>
      <c r="G204" s="183">
        <f t="shared" si="39"/>
        <v>0</v>
      </c>
      <c r="H204" s="183">
        <f t="shared" si="39"/>
        <v>0</v>
      </c>
      <c r="I204" s="183">
        <f t="shared" si="39"/>
        <v>0</v>
      </c>
      <c r="J204" s="183">
        <f t="shared" si="39"/>
        <v>0</v>
      </c>
      <c r="K204" s="183">
        <f t="shared" si="39"/>
        <v>0</v>
      </c>
      <c r="L204" s="183">
        <f t="shared" si="39"/>
        <v>0</v>
      </c>
      <c r="M204" s="183">
        <f t="shared" si="39"/>
        <v>0</v>
      </c>
      <c r="N204" s="183">
        <f t="shared" si="39"/>
        <v>0</v>
      </c>
      <c r="O204" s="183">
        <f t="shared" si="39"/>
        <v>0</v>
      </c>
      <c r="P204" s="183">
        <f t="shared" si="39"/>
        <v>0</v>
      </c>
      <c r="Q204" s="183">
        <f t="shared" si="39"/>
        <v>0</v>
      </c>
      <c r="R204" s="183">
        <f t="shared" si="39"/>
        <v>0</v>
      </c>
      <c r="S204" s="183">
        <f t="shared" si="39"/>
        <v>0</v>
      </c>
      <c r="T204" s="183">
        <f t="shared" si="39"/>
        <v>0</v>
      </c>
      <c r="U204" s="183">
        <f t="shared" si="39"/>
        <v>0</v>
      </c>
      <c r="V204" s="183">
        <f t="shared" si="39"/>
        <v>0</v>
      </c>
      <c r="W204" s="183">
        <f t="shared" si="39"/>
        <v>0</v>
      </c>
      <c r="X204" s="183">
        <f t="shared" si="39"/>
        <v>0</v>
      </c>
      <c r="Y204" s="183">
        <f t="shared" si="39"/>
        <v>0</v>
      </c>
      <c r="Z204" s="183">
        <v>0</v>
      </c>
      <c r="AA204" s="183">
        <f t="shared" si="40"/>
        <v>0</v>
      </c>
      <c r="AB204" s="183">
        <f t="shared" si="40"/>
        <v>0</v>
      </c>
      <c r="AC204" s="183">
        <f t="shared" si="40"/>
        <v>0</v>
      </c>
      <c r="AD204" s="183">
        <f t="shared" si="40"/>
        <v>0</v>
      </c>
      <c r="AE204" s="183">
        <f t="shared" si="40"/>
        <v>0</v>
      </c>
      <c r="AF204" s="183">
        <f t="shared" si="40"/>
        <v>0</v>
      </c>
      <c r="AG204" s="183">
        <f t="shared" si="40"/>
        <v>0</v>
      </c>
      <c r="AH204" s="183">
        <f t="shared" si="40"/>
        <v>0</v>
      </c>
      <c r="AI204" s="183">
        <f t="shared" si="40"/>
        <v>0</v>
      </c>
      <c r="AJ204" s="183">
        <f t="shared" si="40"/>
        <v>0</v>
      </c>
      <c r="AK204" s="183">
        <f t="shared" si="40"/>
        <v>0</v>
      </c>
      <c r="AL204" s="183">
        <f t="shared" si="40"/>
        <v>0</v>
      </c>
    </row>
    <row r="205" spans="1:38" ht="15" customHeight="1">
      <c r="A205" s="184" t="s">
        <v>291</v>
      </c>
      <c r="B205" s="185">
        <v>7</v>
      </c>
      <c r="C205" s="186">
        <f t="shared" si="39"/>
        <v>0</v>
      </c>
      <c r="D205" s="186">
        <f t="shared" si="39"/>
        <v>0</v>
      </c>
      <c r="E205" s="186">
        <f t="shared" si="39"/>
        <v>0</v>
      </c>
      <c r="F205" s="186">
        <f t="shared" si="39"/>
        <v>0</v>
      </c>
      <c r="G205" s="186">
        <f t="shared" si="39"/>
        <v>0</v>
      </c>
      <c r="H205" s="186">
        <f t="shared" si="39"/>
        <v>0</v>
      </c>
      <c r="I205" s="186">
        <f t="shared" si="39"/>
        <v>0</v>
      </c>
      <c r="J205" s="186">
        <f t="shared" si="39"/>
        <v>0</v>
      </c>
      <c r="K205" s="186">
        <f t="shared" si="39"/>
        <v>0</v>
      </c>
      <c r="L205" s="186">
        <f t="shared" si="39"/>
        <v>0</v>
      </c>
      <c r="M205" s="186">
        <f t="shared" si="39"/>
        <v>0</v>
      </c>
      <c r="N205" s="186">
        <f t="shared" si="39"/>
        <v>0</v>
      </c>
      <c r="O205" s="186">
        <f t="shared" si="39"/>
        <v>0</v>
      </c>
      <c r="P205" s="186">
        <f t="shared" si="39"/>
        <v>0</v>
      </c>
      <c r="Q205" s="186">
        <f t="shared" si="39"/>
        <v>0</v>
      </c>
      <c r="R205" s="186">
        <f t="shared" si="39"/>
        <v>0</v>
      </c>
      <c r="S205" s="186">
        <f t="shared" si="39"/>
        <v>0</v>
      </c>
      <c r="T205" s="186">
        <f t="shared" si="39"/>
        <v>0</v>
      </c>
      <c r="U205" s="186">
        <f t="shared" si="39"/>
        <v>0</v>
      </c>
      <c r="V205" s="186">
        <f t="shared" si="39"/>
        <v>0</v>
      </c>
      <c r="W205" s="186">
        <f t="shared" si="39"/>
        <v>0</v>
      </c>
      <c r="X205" s="186">
        <f t="shared" si="39"/>
        <v>0</v>
      </c>
      <c r="Y205" s="186">
        <f t="shared" si="39"/>
        <v>0</v>
      </c>
      <c r="Z205" s="186">
        <v>0</v>
      </c>
      <c r="AA205" s="186">
        <f t="shared" si="40"/>
        <v>0</v>
      </c>
      <c r="AB205" s="186">
        <f t="shared" si="40"/>
        <v>0</v>
      </c>
      <c r="AC205" s="186">
        <f t="shared" si="40"/>
        <v>0</v>
      </c>
      <c r="AD205" s="186">
        <f t="shared" si="40"/>
        <v>0</v>
      </c>
      <c r="AE205" s="186">
        <f t="shared" si="40"/>
        <v>0</v>
      </c>
      <c r="AF205" s="186">
        <f t="shared" si="40"/>
        <v>0</v>
      </c>
      <c r="AG205" s="186">
        <f t="shared" si="40"/>
        <v>0</v>
      </c>
      <c r="AH205" s="186">
        <f t="shared" si="40"/>
        <v>0</v>
      </c>
      <c r="AI205" s="186">
        <f t="shared" si="40"/>
        <v>0</v>
      </c>
      <c r="AJ205" s="186">
        <f t="shared" si="40"/>
        <v>0</v>
      </c>
      <c r="AK205" s="186">
        <f t="shared" si="40"/>
        <v>0</v>
      </c>
      <c r="AL205" s="186">
        <f t="shared" si="40"/>
        <v>0</v>
      </c>
    </row>
    <row r="206" spans="1:38" ht="15" customHeight="1">
      <c r="A206" s="184" t="s">
        <v>292</v>
      </c>
      <c r="B206" s="185">
        <v>8</v>
      </c>
      <c r="C206" s="187" t="str">
        <f t="shared" ref="C206:AL206" si="41">IFERROR(C205/C204,"")</f>
        <v/>
      </c>
      <c r="D206" s="187" t="str">
        <f t="shared" si="41"/>
        <v/>
      </c>
      <c r="E206" s="187" t="str">
        <f t="shared" si="41"/>
        <v/>
      </c>
      <c r="F206" s="187" t="str">
        <f t="shared" si="41"/>
        <v/>
      </c>
      <c r="G206" s="187" t="str">
        <f t="shared" si="41"/>
        <v/>
      </c>
      <c r="H206" s="187" t="str">
        <f t="shared" si="41"/>
        <v/>
      </c>
      <c r="I206" s="187" t="str">
        <f t="shared" si="41"/>
        <v/>
      </c>
      <c r="J206" s="187" t="str">
        <f t="shared" si="41"/>
        <v/>
      </c>
      <c r="K206" s="187" t="str">
        <f t="shared" si="41"/>
        <v/>
      </c>
      <c r="L206" s="187" t="str">
        <f t="shared" si="41"/>
        <v/>
      </c>
      <c r="M206" s="187" t="str">
        <f t="shared" si="41"/>
        <v/>
      </c>
      <c r="N206" s="187" t="str">
        <f t="shared" si="41"/>
        <v/>
      </c>
      <c r="O206" s="187" t="str">
        <f t="shared" si="41"/>
        <v/>
      </c>
      <c r="P206" s="187" t="str">
        <f t="shared" si="41"/>
        <v/>
      </c>
      <c r="Q206" s="187" t="str">
        <f t="shared" si="41"/>
        <v/>
      </c>
      <c r="R206" s="187" t="str">
        <f t="shared" si="41"/>
        <v/>
      </c>
      <c r="S206" s="187" t="str">
        <f t="shared" si="41"/>
        <v/>
      </c>
      <c r="T206" s="187" t="str">
        <f t="shared" si="41"/>
        <v/>
      </c>
      <c r="U206" s="187" t="str">
        <f t="shared" si="41"/>
        <v/>
      </c>
      <c r="V206" s="187" t="str">
        <f t="shared" si="41"/>
        <v/>
      </c>
      <c r="W206" s="187" t="str">
        <f t="shared" si="41"/>
        <v/>
      </c>
      <c r="X206" s="187" t="str">
        <f t="shared" si="41"/>
        <v/>
      </c>
      <c r="Y206" s="187" t="str">
        <f t="shared" si="41"/>
        <v/>
      </c>
      <c r="Z206" s="187" t="s">
        <v>378</v>
      </c>
      <c r="AA206" s="187" t="str">
        <f t="shared" si="41"/>
        <v/>
      </c>
      <c r="AB206" s="187" t="str">
        <f t="shared" si="41"/>
        <v/>
      </c>
      <c r="AC206" s="187" t="str">
        <f t="shared" si="41"/>
        <v/>
      </c>
      <c r="AD206" s="187" t="str">
        <f t="shared" si="41"/>
        <v/>
      </c>
      <c r="AE206" s="187" t="str">
        <f t="shared" si="41"/>
        <v/>
      </c>
      <c r="AF206" s="187" t="str">
        <f t="shared" si="41"/>
        <v/>
      </c>
      <c r="AG206" s="187" t="str">
        <f t="shared" si="41"/>
        <v/>
      </c>
      <c r="AH206" s="187" t="str">
        <f t="shared" si="41"/>
        <v/>
      </c>
      <c r="AI206" s="187" t="str">
        <f t="shared" si="41"/>
        <v/>
      </c>
      <c r="AJ206" s="187" t="str">
        <f t="shared" si="41"/>
        <v/>
      </c>
      <c r="AK206" s="187" t="str">
        <f t="shared" si="41"/>
        <v/>
      </c>
      <c r="AL206" s="187" t="str">
        <f t="shared" si="41"/>
        <v/>
      </c>
    </row>
    <row r="207" spans="1:38" ht="15" customHeight="1">
      <c r="A207" s="181" t="s">
        <v>293</v>
      </c>
      <c r="B207" s="182">
        <v>9</v>
      </c>
      <c r="C207" s="188">
        <f t="shared" ref="C207:Y207" si="42">C137</f>
        <v>0</v>
      </c>
      <c r="D207" s="188">
        <f t="shared" si="42"/>
        <v>0</v>
      </c>
      <c r="E207" s="188">
        <f t="shared" si="42"/>
        <v>0</v>
      </c>
      <c r="F207" s="188">
        <f t="shared" si="42"/>
        <v>0</v>
      </c>
      <c r="G207" s="188">
        <f t="shared" si="42"/>
        <v>0</v>
      </c>
      <c r="H207" s="188">
        <f t="shared" si="42"/>
        <v>0</v>
      </c>
      <c r="I207" s="188">
        <f t="shared" si="42"/>
        <v>0</v>
      </c>
      <c r="J207" s="188">
        <f t="shared" si="42"/>
        <v>0</v>
      </c>
      <c r="K207" s="188">
        <f t="shared" si="42"/>
        <v>0</v>
      </c>
      <c r="L207" s="188">
        <f t="shared" si="42"/>
        <v>0</v>
      </c>
      <c r="M207" s="188">
        <f t="shared" si="42"/>
        <v>0</v>
      </c>
      <c r="N207" s="188">
        <f t="shared" si="42"/>
        <v>0</v>
      </c>
      <c r="O207" s="188">
        <f t="shared" si="42"/>
        <v>0</v>
      </c>
      <c r="P207" s="188">
        <f t="shared" si="42"/>
        <v>0</v>
      </c>
      <c r="Q207" s="188">
        <f t="shared" si="42"/>
        <v>0</v>
      </c>
      <c r="R207" s="188">
        <f t="shared" si="42"/>
        <v>0</v>
      </c>
      <c r="S207" s="188">
        <f t="shared" si="42"/>
        <v>0</v>
      </c>
      <c r="T207" s="188">
        <f t="shared" si="42"/>
        <v>0</v>
      </c>
      <c r="U207" s="188">
        <f t="shared" si="42"/>
        <v>0</v>
      </c>
      <c r="V207" s="188">
        <f t="shared" si="42"/>
        <v>0</v>
      </c>
      <c r="W207" s="188">
        <f t="shared" si="42"/>
        <v>0</v>
      </c>
      <c r="X207" s="188">
        <f t="shared" si="42"/>
        <v>0</v>
      </c>
      <c r="Y207" s="188">
        <f t="shared" si="42"/>
        <v>0</v>
      </c>
      <c r="Z207" s="188">
        <v>0</v>
      </c>
      <c r="AA207" s="188">
        <f t="shared" ref="AA207:AL207" si="43">AA137</f>
        <v>0</v>
      </c>
      <c r="AB207" s="188">
        <f t="shared" si="43"/>
        <v>0</v>
      </c>
      <c r="AC207" s="188">
        <f t="shared" si="43"/>
        <v>0</v>
      </c>
      <c r="AD207" s="188">
        <f t="shared" si="43"/>
        <v>0</v>
      </c>
      <c r="AE207" s="188">
        <f t="shared" si="43"/>
        <v>0</v>
      </c>
      <c r="AF207" s="188">
        <f t="shared" si="43"/>
        <v>0</v>
      </c>
      <c r="AG207" s="188">
        <f t="shared" si="43"/>
        <v>0</v>
      </c>
      <c r="AH207" s="188">
        <f t="shared" si="43"/>
        <v>0</v>
      </c>
      <c r="AI207" s="188">
        <f t="shared" si="43"/>
        <v>0</v>
      </c>
      <c r="AJ207" s="188">
        <f t="shared" si="43"/>
        <v>0</v>
      </c>
      <c r="AK207" s="188">
        <f t="shared" si="43"/>
        <v>0</v>
      </c>
      <c r="AL207" s="188">
        <f t="shared" si="43"/>
        <v>0</v>
      </c>
    </row>
    <row r="208" spans="1:38" ht="15" customHeight="1">
      <c r="A208" s="178" t="s">
        <v>294</v>
      </c>
      <c r="B208" s="179">
        <v>10</v>
      </c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>
        <v>0</v>
      </c>
      <c r="AA208" s="189">
        <f>SUMIFS([1]!Data_PL_Element[Value],[1]!Data_PL_Element[Index PL Element],TDP!$B208,[1]!Data_PL_Element[TenCongTyID],TDP!$B$1,[1]!Data_PL_Element[Thang.Nam],TDP!AA$198)</f>
        <v>0</v>
      </c>
      <c r="AB208" s="189">
        <f>SUMIFS([1]!Data_PL_Element[Value],[1]!Data_PL_Element[Index PL Element],TDP!$B208,[1]!Data_PL_Element[TenCongTyID],TDP!$B$1,[1]!Data_PL_Element[Thang.Nam],TDP!AB$198)</f>
        <v>0</v>
      </c>
      <c r="AC208" s="189">
        <f>SUMIFS([1]!Data_PL_Element[Value],[1]!Data_PL_Element[Index PL Element],TDP!$B208,[1]!Data_PL_Element[TenCongTyID],TDP!$B$1,[1]!Data_PL_Element[Thang.Nam],TDP!AC$198)</f>
        <v>0</v>
      </c>
      <c r="AD208" s="189">
        <f>SUMIFS([1]!Data_PL_Element[Value],[1]!Data_PL_Element[Index PL Element],TDP!$B208,[1]!Data_PL_Element[TenCongTyID],TDP!$B$1,[1]!Data_PL_Element[Thang.Nam],TDP!AD$198)</f>
        <v>0</v>
      </c>
      <c r="AE208" s="189">
        <f>SUMIFS([1]!Data_PL_Element[Value],[1]!Data_PL_Element[Index PL Element],TDP!$B208,[1]!Data_PL_Element[TenCongTyID],TDP!$B$1,[1]!Data_PL_Element[Thang.Nam],TDP!AE$198)</f>
        <v>0</v>
      </c>
      <c r="AF208" s="189">
        <f>SUMIFS([1]!Data_PL_Element[Value],[1]!Data_PL_Element[Index PL Element],TDP!$B208,[1]!Data_PL_Element[TenCongTyID],TDP!$B$1,[1]!Data_PL_Element[Thang.Nam],TDP!AF$198)</f>
        <v>0</v>
      </c>
      <c r="AG208" s="189">
        <f>SUMIFS([1]!Data_PL_Element[Value],[1]!Data_PL_Element[Index PL Element],TDP!$B208,[1]!Data_PL_Element[TenCongTyID],TDP!$B$1,[1]!Data_PL_Element[Thang.Nam],TDP!AG$198)</f>
        <v>0</v>
      </c>
      <c r="AH208" s="189">
        <f>SUMIFS([1]!Data_PL_Element[Value],[1]!Data_PL_Element[Index PL Element],TDP!$B208,[1]!Data_PL_Element[TenCongTyID],TDP!$B$1,[1]!Data_PL_Element[Thang.Nam],TDP!AH$198)</f>
        <v>0</v>
      </c>
      <c r="AI208" s="189">
        <f>SUMIFS([1]!Data_PL_Element[Value],[1]!Data_PL_Element[Index PL Element],TDP!$B208,[1]!Data_PL_Element[TenCongTyID],TDP!$B$1,[1]!Data_PL_Element[Thang.Nam],TDP!AI$198)</f>
        <v>0</v>
      </c>
      <c r="AJ208" s="189">
        <f>SUMIFS([1]!Data_PL_Element[Value],[1]!Data_PL_Element[Index PL Element],TDP!$B208,[1]!Data_PL_Element[TenCongTyID],TDP!$B$1,[1]!Data_PL_Element[Thang.Nam],TDP!AJ$198)</f>
        <v>0</v>
      </c>
      <c r="AK208" s="189">
        <f>SUMIFS([1]!Data_PL_Element[Value],[1]!Data_PL_Element[Index PL Element],TDP!$B208,[1]!Data_PL_Element[TenCongTyID],TDP!$B$1,[1]!Data_PL_Element[Thang.Nam],TDP!AK$198)</f>
        <v>0</v>
      </c>
      <c r="AL208" s="189">
        <f>SUMIFS([1]!Data_PL_Element[Value],[1]!Data_PL_Element[Index PL Element],TDP!$B208,[1]!Data_PL_Element[TenCongTyID],TDP!$B$1,[1]!Data_PL_Element[Thang.Nam],TDP!AL$198)</f>
        <v>0</v>
      </c>
    </row>
    <row r="209" spans="1:38" ht="15" customHeight="1">
      <c r="A209" s="178" t="s">
        <v>295</v>
      </c>
      <c r="B209" s="179">
        <v>11</v>
      </c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>
        <v>0</v>
      </c>
      <c r="AA209" s="189">
        <f>SUMIFS([1]!Data_PL_Element[Value],[1]!Data_PL_Element[Index PL Element],TDP!$B209,[1]!Data_PL_Element[TenCongTyID],TDP!$B$1,[1]!Data_PL_Element[Thang.Nam],TDP!AA$198)</f>
        <v>0</v>
      </c>
      <c r="AB209" s="189">
        <f>SUMIFS([1]!Data_PL_Element[Value],[1]!Data_PL_Element[Index PL Element],TDP!$B209,[1]!Data_PL_Element[TenCongTyID],TDP!$B$1,[1]!Data_PL_Element[Thang.Nam],TDP!AB$198)</f>
        <v>0</v>
      </c>
      <c r="AC209" s="189">
        <f>SUMIFS([1]!Data_PL_Element[Value],[1]!Data_PL_Element[Index PL Element],TDP!$B209,[1]!Data_PL_Element[TenCongTyID],TDP!$B$1,[1]!Data_PL_Element[Thang.Nam],TDP!AC$198)</f>
        <v>0</v>
      </c>
      <c r="AD209" s="189">
        <f>SUMIFS([1]!Data_PL_Element[Value],[1]!Data_PL_Element[Index PL Element],TDP!$B209,[1]!Data_PL_Element[TenCongTyID],TDP!$B$1,[1]!Data_PL_Element[Thang.Nam],TDP!AD$198)</f>
        <v>0</v>
      </c>
      <c r="AE209" s="189">
        <f>SUMIFS([1]!Data_PL_Element[Value],[1]!Data_PL_Element[Index PL Element],TDP!$B209,[1]!Data_PL_Element[TenCongTyID],TDP!$B$1,[1]!Data_PL_Element[Thang.Nam],TDP!AE$198)</f>
        <v>0</v>
      </c>
      <c r="AF209" s="189">
        <f>SUMIFS([1]!Data_PL_Element[Value],[1]!Data_PL_Element[Index PL Element],TDP!$B209,[1]!Data_PL_Element[TenCongTyID],TDP!$B$1,[1]!Data_PL_Element[Thang.Nam],TDP!AF$198)</f>
        <v>0</v>
      </c>
      <c r="AG209" s="189">
        <f>SUMIFS([1]!Data_PL_Element[Value],[1]!Data_PL_Element[Index PL Element],TDP!$B209,[1]!Data_PL_Element[TenCongTyID],TDP!$B$1,[1]!Data_PL_Element[Thang.Nam],TDP!AG$198)</f>
        <v>0</v>
      </c>
      <c r="AH209" s="189">
        <f>SUMIFS([1]!Data_PL_Element[Value],[1]!Data_PL_Element[Index PL Element],TDP!$B209,[1]!Data_PL_Element[TenCongTyID],TDP!$B$1,[1]!Data_PL_Element[Thang.Nam],TDP!AH$198)</f>
        <v>0</v>
      </c>
      <c r="AI209" s="189">
        <f>SUMIFS([1]!Data_PL_Element[Value],[1]!Data_PL_Element[Index PL Element],TDP!$B209,[1]!Data_PL_Element[TenCongTyID],TDP!$B$1,[1]!Data_PL_Element[Thang.Nam],TDP!AI$198)</f>
        <v>0</v>
      </c>
      <c r="AJ209" s="189">
        <f>SUMIFS([1]!Data_PL_Element[Value],[1]!Data_PL_Element[Index PL Element],TDP!$B209,[1]!Data_PL_Element[TenCongTyID],TDP!$B$1,[1]!Data_PL_Element[Thang.Nam],TDP!AJ$198)</f>
        <v>0</v>
      </c>
      <c r="AK209" s="189">
        <f>SUMIFS([1]!Data_PL_Element[Value],[1]!Data_PL_Element[Index PL Element],TDP!$B209,[1]!Data_PL_Element[TenCongTyID],TDP!$B$1,[1]!Data_PL_Element[Thang.Nam],TDP!AK$198)</f>
        <v>0</v>
      </c>
      <c r="AL209" s="189">
        <f>SUMIFS([1]!Data_PL_Element[Value],[1]!Data_PL_Element[Index PL Element],TDP!$B209,[1]!Data_PL_Element[TenCongTyID],TDP!$B$1,[1]!Data_PL_Element[Thang.Nam],TDP!AL$198)</f>
        <v>0</v>
      </c>
    </row>
    <row r="210" spans="1:38" ht="15" customHeight="1">
      <c r="A210" s="178" t="s">
        <v>296</v>
      </c>
      <c r="B210" s="179">
        <v>12</v>
      </c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>
        <v>0</v>
      </c>
      <c r="AA210" s="189">
        <f>SUMIFS([1]!Data_PL_Element[Value],[1]!Data_PL_Element[Index PL Element],TDP!$B210,[1]!Data_PL_Element[TenCongTyID],TDP!$B$1,[1]!Data_PL_Element[Thang.Nam],TDP!AA$198)</f>
        <v>0</v>
      </c>
      <c r="AB210" s="189">
        <f>SUMIFS([1]!Data_PL_Element[Value],[1]!Data_PL_Element[Index PL Element],TDP!$B210,[1]!Data_PL_Element[TenCongTyID],TDP!$B$1,[1]!Data_PL_Element[Thang.Nam],TDP!AB$198)</f>
        <v>0</v>
      </c>
      <c r="AC210" s="189">
        <f>SUMIFS([1]!Data_PL_Element[Value],[1]!Data_PL_Element[Index PL Element],TDP!$B210,[1]!Data_PL_Element[TenCongTyID],TDP!$B$1,[1]!Data_PL_Element[Thang.Nam],TDP!AC$198)</f>
        <v>0</v>
      </c>
      <c r="AD210" s="189">
        <f>SUMIFS([1]!Data_PL_Element[Value],[1]!Data_PL_Element[Index PL Element],TDP!$B210,[1]!Data_PL_Element[TenCongTyID],TDP!$B$1,[1]!Data_PL_Element[Thang.Nam],TDP!AD$198)</f>
        <v>0</v>
      </c>
      <c r="AE210" s="189">
        <f>SUMIFS([1]!Data_PL_Element[Value],[1]!Data_PL_Element[Index PL Element],TDP!$B210,[1]!Data_PL_Element[TenCongTyID],TDP!$B$1,[1]!Data_PL_Element[Thang.Nam],TDP!AE$198)</f>
        <v>0</v>
      </c>
      <c r="AF210" s="189">
        <f>SUMIFS([1]!Data_PL_Element[Value],[1]!Data_PL_Element[Index PL Element],TDP!$B210,[1]!Data_PL_Element[TenCongTyID],TDP!$B$1,[1]!Data_PL_Element[Thang.Nam],TDP!AF$198)</f>
        <v>0</v>
      </c>
      <c r="AG210" s="189">
        <f>SUMIFS([1]!Data_PL_Element[Value],[1]!Data_PL_Element[Index PL Element],TDP!$B210,[1]!Data_PL_Element[TenCongTyID],TDP!$B$1,[1]!Data_PL_Element[Thang.Nam],TDP!AG$198)</f>
        <v>0</v>
      </c>
      <c r="AH210" s="189">
        <f>SUMIFS([1]!Data_PL_Element[Value],[1]!Data_PL_Element[Index PL Element],TDP!$B210,[1]!Data_PL_Element[TenCongTyID],TDP!$B$1,[1]!Data_PL_Element[Thang.Nam],TDP!AH$198)</f>
        <v>0</v>
      </c>
      <c r="AI210" s="189">
        <f>SUMIFS([1]!Data_PL_Element[Value],[1]!Data_PL_Element[Index PL Element],TDP!$B210,[1]!Data_PL_Element[TenCongTyID],TDP!$B$1,[1]!Data_PL_Element[Thang.Nam],TDP!AI$198)</f>
        <v>0</v>
      </c>
      <c r="AJ210" s="189">
        <f>SUMIFS([1]!Data_PL_Element[Value],[1]!Data_PL_Element[Index PL Element],TDP!$B210,[1]!Data_PL_Element[TenCongTyID],TDP!$B$1,[1]!Data_PL_Element[Thang.Nam],TDP!AJ$198)</f>
        <v>0</v>
      </c>
      <c r="AK210" s="189">
        <f>SUMIFS([1]!Data_PL_Element[Value],[1]!Data_PL_Element[Index PL Element],TDP!$B210,[1]!Data_PL_Element[TenCongTyID],TDP!$B$1,[1]!Data_PL_Element[Thang.Nam],TDP!AK$198)</f>
        <v>0</v>
      </c>
      <c r="AL210" s="189">
        <f>SUMIFS([1]!Data_PL_Element[Value],[1]!Data_PL_Element[Index PL Element],TDP!$B210,[1]!Data_PL_Element[TenCongTyID],TDP!$B$1,[1]!Data_PL_Element[Thang.Nam],TDP!AL$198)</f>
        <v>0</v>
      </c>
    </row>
    <row r="211" spans="1:38" ht="15" customHeight="1">
      <c r="A211" s="181" t="s">
        <v>297</v>
      </c>
      <c r="B211" s="182">
        <v>13</v>
      </c>
      <c r="C211" s="183">
        <f t="shared" ref="C211:Y211" si="44">C138</f>
        <v>0</v>
      </c>
      <c r="D211" s="183">
        <f t="shared" si="44"/>
        <v>0</v>
      </c>
      <c r="E211" s="183">
        <f t="shared" si="44"/>
        <v>0</v>
      </c>
      <c r="F211" s="183">
        <f t="shared" si="44"/>
        <v>0</v>
      </c>
      <c r="G211" s="183">
        <f t="shared" si="44"/>
        <v>0</v>
      </c>
      <c r="H211" s="183">
        <f t="shared" si="44"/>
        <v>0</v>
      </c>
      <c r="I211" s="183">
        <f t="shared" si="44"/>
        <v>0</v>
      </c>
      <c r="J211" s="183">
        <f t="shared" si="44"/>
        <v>0</v>
      </c>
      <c r="K211" s="183">
        <f t="shared" si="44"/>
        <v>0</v>
      </c>
      <c r="L211" s="183">
        <f t="shared" si="44"/>
        <v>0</v>
      </c>
      <c r="M211" s="183">
        <f t="shared" si="44"/>
        <v>0</v>
      </c>
      <c r="N211" s="183">
        <f t="shared" si="44"/>
        <v>0</v>
      </c>
      <c r="O211" s="183">
        <f t="shared" si="44"/>
        <v>0</v>
      </c>
      <c r="P211" s="183">
        <f t="shared" si="44"/>
        <v>0</v>
      </c>
      <c r="Q211" s="183">
        <f t="shared" si="44"/>
        <v>0</v>
      </c>
      <c r="R211" s="183">
        <f t="shared" si="44"/>
        <v>0</v>
      </c>
      <c r="S211" s="183">
        <f t="shared" si="44"/>
        <v>0</v>
      </c>
      <c r="T211" s="183">
        <f t="shared" si="44"/>
        <v>0</v>
      </c>
      <c r="U211" s="183">
        <f t="shared" si="44"/>
        <v>0</v>
      </c>
      <c r="V211" s="183">
        <f t="shared" si="44"/>
        <v>0</v>
      </c>
      <c r="W211" s="183">
        <f t="shared" si="44"/>
        <v>0</v>
      </c>
      <c r="X211" s="183">
        <f t="shared" si="44"/>
        <v>0</v>
      </c>
      <c r="Y211" s="183">
        <f t="shared" si="44"/>
        <v>0</v>
      </c>
      <c r="Z211" s="183">
        <v>0</v>
      </c>
      <c r="AA211" s="183">
        <f t="shared" ref="AA211:AL211" si="45">AA138</f>
        <v>0</v>
      </c>
      <c r="AB211" s="183">
        <f t="shared" si="45"/>
        <v>0</v>
      </c>
      <c r="AC211" s="183">
        <f t="shared" si="45"/>
        <v>0</v>
      </c>
      <c r="AD211" s="183">
        <f t="shared" si="45"/>
        <v>0</v>
      </c>
      <c r="AE211" s="183">
        <f t="shared" si="45"/>
        <v>0</v>
      </c>
      <c r="AF211" s="183">
        <f t="shared" si="45"/>
        <v>0</v>
      </c>
      <c r="AG211" s="183">
        <f t="shared" si="45"/>
        <v>0</v>
      </c>
      <c r="AH211" s="183">
        <f t="shared" si="45"/>
        <v>0</v>
      </c>
      <c r="AI211" s="183">
        <f t="shared" si="45"/>
        <v>0</v>
      </c>
      <c r="AJ211" s="183">
        <f t="shared" si="45"/>
        <v>0</v>
      </c>
      <c r="AK211" s="183">
        <f t="shared" si="45"/>
        <v>0</v>
      </c>
      <c r="AL211" s="183">
        <f t="shared" si="45"/>
        <v>0</v>
      </c>
    </row>
    <row r="212" spans="1:38" ht="15" customHeight="1">
      <c r="A212" s="178" t="s">
        <v>298</v>
      </c>
      <c r="B212" s="179">
        <v>14</v>
      </c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>
        <v>0</v>
      </c>
      <c r="AA212" s="189">
        <f>SUMIFS([1]!Data_PL_Element[Value],[1]!Data_PL_Element[Index PL Element],TDP!$B212,[1]!Data_PL_Element[TenCongTyID],TDP!$B$1,[1]!Data_PL_Element[Thang.Nam],TDP!AA$198)</f>
        <v>0</v>
      </c>
      <c r="AB212" s="189">
        <f>SUMIFS([1]!Data_PL_Element[Value],[1]!Data_PL_Element[Index PL Element],TDP!$B212,[1]!Data_PL_Element[TenCongTyID],TDP!$B$1,[1]!Data_PL_Element[Thang.Nam],TDP!AB$198)</f>
        <v>0</v>
      </c>
      <c r="AC212" s="189">
        <f>SUMIFS([1]!Data_PL_Element[Value],[1]!Data_PL_Element[Index PL Element],TDP!$B212,[1]!Data_PL_Element[TenCongTyID],TDP!$B$1,[1]!Data_PL_Element[Thang.Nam],TDP!AC$198)</f>
        <v>0</v>
      </c>
      <c r="AD212" s="189">
        <f>SUMIFS([1]!Data_PL_Element[Value],[1]!Data_PL_Element[Index PL Element],TDP!$B212,[1]!Data_PL_Element[TenCongTyID],TDP!$B$1,[1]!Data_PL_Element[Thang.Nam],TDP!AD$198)</f>
        <v>0</v>
      </c>
      <c r="AE212" s="189">
        <f>SUMIFS([1]!Data_PL_Element[Value],[1]!Data_PL_Element[Index PL Element],TDP!$B212,[1]!Data_PL_Element[TenCongTyID],TDP!$B$1,[1]!Data_PL_Element[Thang.Nam],TDP!AE$198)</f>
        <v>0</v>
      </c>
      <c r="AF212" s="189">
        <f>SUMIFS([1]!Data_PL_Element[Value],[1]!Data_PL_Element[Index PL Element],TDP!$B212,[1]!Data_PL_Element[TenCongTyID],TDP!$B$1,[1]!Data_PL_Element[Thang.Nam],TDP!AF$198)</f>
        <v>0</v>
      </c>
      <c r="AG212" s="189">
        <f>SUMIFS([1]!Data_PL_Element[Value],[1]!Data_PL_Element[Index PL Element],TDP!$B212,[1]!Data_PL_Element[TenCongTyID],TDP!$B$1,[1]!Data_PL_Element[Thang.Nam],TDP!AG$198)</f>
        <v>0</v>
      </c>
      <c r="AH212" s="189">
        <f>SUMIFS([1]!Data_PL_Element[Value],[1]!Data_PL_Element[Index PL Element],TDP!$B212,[1]!Data_PL_Element[TenCongTyID],TDP!$B$1,[1]!Data_PL_Element[Thang.Nam],TDP!AH$198)</f>
        <v>0</v>
      </c>
      <c r="AI212" s="189">
        <f>SUMIFS([1]!Data_PL_Element[Value],[1]!Data_PL_Element[Index PL Element],TDP!$B212,[1]!Data_PL_Element[TenCongTyID],TDP!$B$1,[1]!Data_PL_Element[Thang.Nam],TDP!AI$198)</f>
        <v>0</v>
      </c>
      <c r="AJ212" s="189">
        <f>SUMIFS([1]!Data_PL_Element[Value],[1]!Data_PL_Element[Index PL Element],TDP!$B212,[1]!Data_PL_Element[TenCongTyID],TDP!$B$1,[1]!Data_PL_Element[Thang.Nam],TDP!AJ$198)</f>
        <v>0</v>
      </c>
      <c r="AK212" s="189">
        <f>SUMIFS([1]!Data_PL_Element[Value],[1]!Data_PL_Element[Index PL Element],TDP!$B212,[1]!Data_PL_Element[TenCongTyID],TDP!$B$1,[1]!Data_PL_Element[Thang.Nam],TDP!AK$198)</f>
        <v>0</v>
      </c>
      <c r="AL212" s="189">
        <f>SUMIFS([1]!Data_PL_Element[Value],[1]!Data_PL_Element[Index PL Element],TDP!$B212,[1]!Data_PL_Element[TenCongTyID],TDP!$B$1,[1]!Data_PL_Element[Thang.Nam],TDP!AL$198)</f>
        <v>0</v>
      </c>
    </row>
    <row r="213" spans="1:38" ht="15" customHeight="1">
      <c r="A213" s="178" t="s">
        <v>299</v>
      </c>
      <c r="B213" s="179">
        <v>15</v>
      </c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>
        <v>0</v>
      </c>
      <c r="AA213" s="189">
        <f>SUMIFS([1]!Data_PL_Element[Value],[1]!Data_PL_Element[Index PL Element],TDP!$B213,[1]!Data_PL_Element[TenCongTyID],TDP!$B$1,[1]!Data_PL_Element[Thang.Nam],TDP!AA$198)</f>
        <v>0</v>
      </c>
      <c r="AB213" s="189">
        <f>SUMIFS([1]!Data_PL_Element[Value],[1]!Data_PL_Element[Index PL Element],TDP!$B213,[1]!Data_PL_Element[TenCongTyID],TDP!$B$1,[1]!Data_PL_Element[Thang.Nam],TDP!AB$198)</f>
        <v>0</v>
      </c>
      <c r="AC213" s="189">
        <f>SUMIFS([1]!Data_PL_Element[Value],[1]!Data_PL_Element[Index PL Element],TDP!$B213,[1]!Data_PL_Element[TenCongTyID],TDP!$B$1,[1]!Data_PL_Element[Thang.Nam],TDP!AC$198)</f>
        <v>0</v>
      </c>
      <c r="AD213" s="189">
        <f>SUMIFS([1]!Data_PL_Element[Value],[1]!Data_PL_Element[Index PL Element],TDP!$B213,[1]!Data_PL_Element[TenCongTyID],TDP!$B$1,[1]!Data_PL_Element[Thang.Nam],TDP!AD$198)</f>
        <v>0</v>
      </c>
      <c r="AE213" s="189">
        <f>SUMIFS([1]!Data_PL_Element[Value],[1]!Data_PL_Element[Index PL Element],TDP!$B213,[1]!Data_PL_Element[TenCongTyID],TDP!$B$1,[1]!Data_PL_Element[Thang.Nam],TDP!AE$198)</f>
        <v>0</v>
      </c>
      <c r="AF213" s="189">
        <f>SUMIFS([1]!Data_PL_Element[Value],[1]!Data_PL_Element[Index PL Element],TDP!$B213,[1]!Data_PL_Element[TenCongTyID],TDP!$B$1,[1]!Data_PL_Element[Thang.Nam],TDP!AF$198)</f>
        <v>0</v>
      </c>
      <c r="AG213" s="189">
        <f>SUMIFS([1]!Data_PL_Element[Value],[1]!Data_PL_Element[Index PL Element],TDP!$B213,[1]!Data_PL_Element[TenCongTyID],TDP!$B$1,[1]!Data_PL_Element[Thang.Nam],TDP!AG$198)</f>
        <v>0</v>
      </c>
      <c r="AH213" s="189">
        <f>SUMIFS([1]!Data_PL_Element[Value],[1]!Data_PL_Element[Index PL Element],TDP!$B213,[1]!Data_PL_Element[TenCongTyID],TDP!$B$1,[1]!Data_PL_Element[Thang.Nam],TDP!AH$198)</f>
        <v>0</v>
      </c>
      <c r="AI213" s="189">
        <f>SUMIFS([1]!Data_PL_Element[Value],[1]!Data_PL_Element[Index PL Element],TDP!$B213,[1]!Data_PL_Element[TenCongTyID],TDP!$B$1,[1]!Data_PL_Element[Thang.Nam],TDP!AI$198)</f>
        <v>0</v>
      </c>
      <c r="AJ213" s="189">
        <f>SUMIFS([1]!Data_PL_Element[Value],[1]!Data_PL_Element[Index PL Element],TDP!$B213,[1]!Data_PL_Element[TenCongTyID],TDP!$B$1,[1]!Data_PL_Element[Thang.Nam],TDP!AJ$198)</f>
        <v>0</v>
      </c>
      <c r="AK213" s="189">
        <f>SUMIFS([1]!Data_PL_Element[Value],[1]!Data_PL_Element[Index PL Element],TDP!$B213,[1]!Data_PL_Element[TenCongTyID],TDP!$B$1,[1]!Data_PL_Element[Thang.Nam],TDP!AK$198)</f>
        <v>0</v>
      </c>
      <c r="AL213" s="189">
        <f>SUMIFS([1]!Data_PL_Element[Value],[1]!Data_PL_Element[Index PL Element],TDP!$B213,[1]!Data_PL_Element[TenCongTyID],TDP!$B$1,[1]!Data_PL_Element[Thang.Nam],TDP!AL$198)</f>
        <v>0</v>
      </c>
    </row>
    <row r="214" spans="1:38" ht="15" customHeight="1">
      <c r="A214" s="178" t="s">
        <v>300</v>
      </c>
      <c r="B214" s="179">
        <v>16</v>
      </c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>
        <v>0</v>
      </c>
      <c r="AA214" s="189">
        <f>SUMIFS([1]!Data_PL_Element[Value],[1]!Data_PL_Element[Index PL Element],TDP!$B214,[1]!Data_PL_Element[TenCongTyID],TDP!$B$1,[1]!Data_PL_Element[Thang.Nam],TDP!AA$198)</f>
        <v>0</v>
      </c>
      <c r="AB214" s="189">
        <f>SUMIFS([1]!Data_PL_Element[Value],[1]!Data_PL_Element[Index PL Element],TDP!$B214,[1]!Data_PL_Element[TenCongTyID],TDP!$B$1,[1]!Data_PL_Element[Thang.Nam],TDP!AB$198)</f>
        <v>0</v>
      </c>
      <c r="AC214" s="189">
        <f>SUMIFS([1]!Data_PL_Element[Value],[1]!Data_PL_Element[Index PL Element],TDP!$B214,[1]!Data_PL_Element[TenCongTyID],TDP!$B$1,[1]!Data_PL_Element[Thang.Nam],TDP!AC$198)</f>
        <v>0</v>
      </c>
      <c r="AD214" s="189">
        <f>SUMIFS([1]!Data_PL_Element[Value],[1]!Data_PL_Element[Index PL Element],TDP!$B214,[1]!Data_PL_Element[TenCongTyID],TDP!$B$1,[1]!Data_PL_Element[Thang.Nam],TDP!AD$198)</f>
        <v>0</v>
      </c>
      <c r="AE214" s="189">
        <f>SUMIFS([1]!Data_PL_Element[Value],[1]!Data_PL_Element[Index PL Element],TDP!$B214,[1]!Data_PL_Element[TenCongTyID],TDP!$B$1,[1]!Data_PL_Element[Thang.Nam],TDP!AE$198)</f>
        <v>0</v>
      </c>
      <c r="AF214" s="189">
        <f>SUMIFS([1]!Data_PL_Element[Value],[1]!Data_PL_Element[Index PL Element],TDP!$B214,[1]!Data_PL_Element[TenCongTyID],TDP!$B$1,[1]!Data_PL_Element[Thang.Nam],TDP!AF$198)</f>
        <v>0</v>
      </c>
      <c r="AG214" s="189">
        <f>SUMIFS([1]!Data_PL_Element[Value],[1]!Data_PL_Element[Index PL Element],TDP!$B214,[1]!Data_PL_Element[TenCongTyID],TDP!$B$1,[1]!Data_PL_Element[Thang.Nam],TDP!AG$198)</f>
        <v>0</v>
      </c>
      <c r="AH214" s="189">
        <f>SUMIFS([1]!Data_PL_Element[Value],[1]!Data_PL_Element[Index PL Element],TDP!$B214,[1]!Data_PL_Element[TenCongTyID],TDP!$B$1,[1]!Data_PL_Element[Thang.Nam],TDP!AH$198)</f>
        <v>0</v>
      </c>
      <c r="AI214" s="189">
        <f>SUMIFS([1]!Data_PL_Element[Value],[1]!Data_PL_Element[Index PL Element],TDP!$B214,[1]!Data_PL_Element[TenCongTyID],TDP!$B$1,[1]!Data_PL_Element[Thang.Nam],TDP!AI$198)</f>
        <v>0</v>
      </c>
      <c r="AJ214" s="189">
        <f>SUMIFS([1]!Data_PL_Element[Value],[1]!Data_PL_Element[Index PL Element],TDP!$B214,[1]!Data_PL_Element[TenCongTyID],TDP!$B$1,[1]!Data_PL_Element[Thang.Nam],TDP!AJ$198)</f>
        <v>0</v>
      </c>
      <c r="AK214" s="189">
        <f>SUMIFS([1]!Data_PL_Element[Value],[1]!Data_PL_Element[Index PL Element],TDP!$B214,[1]!Data_PL_Element[TenCongTyID],TDP!$B$1,[1]!Data_PL_Element[Thang.Nam],TDP!AK$198)</f>
        <v>0</v>
      </c>
      <c r="AL214" s="189">
        <f>SUMIFS([1]!Data_PL_Element[Value],[1]!Data_PL_Element[Index PL Element],TDP!$B214,[1]!Data_PL_Element[TenCongTyID],TDP!$B$1,[1]!Data_PL_Element[Thang.Nam],TDP!AL$198)</f>
        <v>0</v>
      </c>
    </row>
    <row r="215" spans="1:38" ht="15" customHeight="1">
      <c r="A215" s="178" t="s">
        <v>301</v>
      </c>
      <c r="B215" s="179">
        <v>17</v>
      </c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>
        <v>0</v>
      </c>
      <c r="AA215" s="189">
        <f>SUMIFS([1]!Data_PL_Element[Value],[1]!Data_PL_Element[Index PL Element],TDP!$B215,[1]!Data_PL_Element[TenCongTyID],TDP!$B$1,[1]!Data_PL_Element[Thang.Nam],TDP!AA$198)</f>
        <v>0</v>
      </c>
      <c r="AB215" s="189">
        <f>SUMIFS([1]!Data_PL_Element[Value],[1]!Data_PL_Element[Index PL Element],TDP!$B215,[1]!Data_PL_Element[TenCongTyID],TDP!$B$1,[1]!Data_PL_Element[Thang.Nam],TDP!AB$198)</f>
        <v>0</v>
      </c>
      <c r="AC215" s="189">
        <f>SUMIFS([1]!Data_PL_Element[Value],[1]!Data_PL_Element[Index PL Element],TDP!$B215,[1]!Data_PL_Element[TenCongTyID],TDP!$B$1,[1]!Data_PL_Element[Thang.Nam],TDP!AC$198)</f>
        <v>0</v>
      </c>
      <c r="AD215" s="189">
        <f>SUMIFS([1]!Data_PL_Element[Value],[1]!Data_PL_Element[Index PL Element],TDP!$B215,[1]!Data_PL_Element[TenCongTyID],TDP!$B$1,[1]!Data_PL_Element[Thang.Nam],TDP!AD$198)</f>
        <v>0</v>
      </c>
      <c r="AE215" s="189">
        <f>SUMIFS([1]!Data_PL_Element[Value],[1]!Data_PL_Element[Index PL Element],TDP!$B215,[1]!Data_PL_Element[TenCongTyID],TDP!$B$1,[1]!Data_PL_Element[Thang.Nam],TDP!AE$198)</f>
        <v>0</v>
      </c>
      <c r="AF215" s="189">
        <f>SUMIFS([1]!Data_PL_Element[Value],[1]!Data_PL_Element[Index PL Element],TDP!$B215,[1]!Data_PL_Element[TenCongTyID],TDP!$B$1,[1]!Data_PL_Element[Thang.Nam],TDP!AF$198)</f>
        <v>0</v>
      </c>
      <c r="AG215" s="189">
        <f>SUMIFS([1]!Data_PL_Element[Value],[1]!Data_PL_Element[Index PL Element],TDP!$B215,[1]!Data_PL_Element[TenCongTyID],TDP!$B$1,[1]!Data_PL_Element[Thang.Nam],TDP!AG$198)</f>
        <v>0</v>
      </c>
      <c r="AH215" s="189">
        <f>SUMIFS([1]!Data_PL_Element[Value],[1]!Data_PL_Element[Index PL Element],TDP!$B215,[1]!Data_PL_Element[TenCongTyID],TDP!$B$1,[1]!Data_PL_Element[Thang.Nam],TDP!AH$198)</f>
        <v>0</v>
      </c>
      <c r="AI215" s="189">
        <f>SUMIFS([1]!Data_PL_Element[Value],[1]!Data_PL_Element[Index PL Element],TDP!$B215,[1]!Data_PL_Element[TenCongTyID],TDP!$B$1,[1]!Data_PL_Element[Thang.Nam],TDP!AI$198)</f>
        <v>0</v>
      </c>
      <c r="AJ215" s="189">
        <f>SUMIFS([1]!Data_PL_Element[Value],[1]!Data_PL_Element[Index PL Element],TDP!$B215,[1]!Data_PL_Element[TenCongTyID],TDP!$B$1,[1]!Data_PL_Element[Thang.Nam],TDP!AJ$198)</f>
        <v>0</v>
      </c>
      <c r="AK215" s="189">
        <f>SUMIFS([1]!Data_PL_Element[Value],[1]!Data_PL_Element[Index PL Element],TDP!$B215,[1]!Data_PL_Element[TenCongTyID],TDP!$B$1,[1]!Data_PL_Element[Thang.Nam],TDP!AK$198)</f>
        <v>0</v>
      </c>
      <c r="AL215" s="189">
        <f>SUMIFS([1]!Data_PL_Element[Value],[1]!Data_PL_Element[Index PL Element],TDP!$B215,[1]!Data_PL_Element[TenCongTyID],TDP!$B$1,[1]!Data_PL_Element[Thang.Nam],TDP!AL$198)</f>
        <v>0</v>
      </c>
    </row>
    <row r="216" spans="1:38" ht="15" customHeight="1">
      <c r="A216" s="178" t="s">
        <v>302</v>
      </c>
      <c r="B216" s="179">
        <v>18</v>
      </c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>
        <v>0</v>
      </c>
      <c r="AA216" s="189">
        <f>SUMIFS([1]!Data_PL_Element[Value],[1]!Data_PL_Element[Index PL Element],TDP!$B216,[1]!Data_PL_Element[TenCongTyID],TDP!$B$1,[1]!Data_PL_Element[Thang.Nam],TDP!AA$198)</f>
        <v>0</v>
      </c>
      <c r="AB216" s="189">
        <f>SUMIFS([1]!Data_PL_Element[Value],[1]!Data_PL_Element[Index PL Element],TDP!$B216,[1]!Data_PL_Element[TenCongTyID],TDP!$B$1,[1]!Data_PL_Element[Thang.Nam],TDP!AB$198)</f>
        <v>0</v>
      </c>
      <c r="AC216" s="189">
        <f>SUMIFS([1]!Data_PL_Element[Value],[1]!Data_PL_Element[Index PL Element],TDP!$B216,[1]!Data_PL_Element[TenCongTyID],TDP!$B$1,[1]!Data_PL_Element[Thang.Nam],TDP!AC$198)</f>
        <v>0</v>
      </c>
      <c r="AD216" s="189">
        <f>SUMIFS([1]!Data_PL_Element[Value],[1]!Data_PL_Element[Index PL Element],TDP!$B216,[1]!Data_PL_Element[TenCongTyID],TDP!$B$1,[1]!Data_PL_Element[Thang.Nam],TDP!AD$198)</f>
        <v>0</v>
      </c>
      <c r="AE216" s="189">
        <f>SUMIFS([1]!Data_PL_Element[Value],[1]!Data_PL_Element[Index PL Element],TDP!$B216,[1]!Data_PL_Element[TenCongTyID],TDP!$B$1,[1]!Data_PL_Element[Thang.Nam],TDP!AE$198)</f>
        <v>0</v>
      </c>
      <c r="AF216" s="189">
        <f>SUMIFS([1]!Data_PL_Element[Value],[1]!Data_PL_Element[Index PL Element],TDP!$B216,[1]!Data_PL_Element[TenCongTyID],TDP!$B$1,[1]!Data_PL_Element[Thang.Nam],TDP!AF$198)</f>
        <v>0</v>
      </c>
      <c r="AG216" s="189">
        <f>SUMIFS([1]!Data_PL_Element[Value],[1]!Data_PL_Element[Index PL Element],TDP!$B216,[1]!Data_PL_Element[TenCongTyID],TDP!$B$1,[1]!Data_PL_Element[Thang.Nam],TDP!AG$198)</f>
        <v>0</v>
      </c>
      <c r="AH216" s="189">
        <f>SUMIFS([1]!Data_PL_Element[Value],[1]!Data_PL_Element[Index PL Element],TDP!$B216,[1]!Data_PL_Element[TenCongTyID],TDP!$B$1,[1]!Data_PL_Element[Thang.Nam],TDP!AH$198)</f>
        <v>0</v>
      </c>
      <c r="AI216" s="189">
        <f>SUMIFS([1]!Data_PL_Element[Value],[1]!Data_PL_Element[Index PL Element],TDP!$B216,[1]!Data_PL_Element[TenCongTyID],TDP!$B$1,[1]!Data_PL_Element[Thang.Nam],TDP!AI$198)</f>
        <v>0</v>
      </c>
      <c r="AJ216" s="189">
        <f>SUMIFS([1]!Data_PL_Element[Value],[1]!Data_PL_Element[Index PL Element],TDP!$B216,[1]!Data_PL_Element[TenCongTyID],TDP!$B$1,[1]!Data_PL_Element[Thang.Nam],TDP!AJ$198)</f>
        <v>0</v>
      </c>
      <c r="AK216" s="189">
        <f>SUMIFS([1]!Data_PL_Element[Value],[1]!Data_PL_Element[Index PL Element],TDP!$B216,[1]!Data_PL_Element[TenCongTyID],TDP!$B$1,[1]!Data_PL_Element[Thang.Nam],TDP!AK$198)</f>
        <v>0</v>
      </c>
      <c r="AL216" s="189">
        <f>SUMIFS([1]!Data_PL_Element[Value],[1]!Data_PL_Element[Index PL Element],TDP!$B216,[1]!Data_PL_Element[TenCongTyID],TDP!$B$1,[1]!Data_PL_Element[Thang.Nam],TDP!AL$198)</f>
        <v>0</v>
      </c>
    </row>
    <row r="217" spans="1:38" ht="15" customHeight="1">
      <c r="A217" s="178" t="s">
        <v>303</v>
      </c>
      <c r="B217" s="179">
        <v>19</v>
      </c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>
        <v>0</v>
      </c>
      <c r="AA217" s="189">
        <f>SUMIFS([1]!Data_PL_Element[Value],[1]!Data_PL_Element[Index PL Element],TDP!$B217,[1]!Data_PL_Element[TenCongTyID],TDP!$B$1,[1]!Data_PL_Element[Thang.Nam],TDP!AA$198)</f>
        <v>0</v>
      </c>
      <c r="AB217" s="189">
        <f>SUMIFS([1]!Data_PL_Element[Value],[1]!Data_PL_Element[Index PL Element],TDP!$B217,[1]!Data_PL_Element[TenCongTyID],TDP!$B$1,[1]!Data_PL_Element[Thang.Nam],TDP!AB$198)</f>
        <v>0</v>
      </c>
      <c r="AC217" s="189">
        <f>SUMIFS([1]!Data_PL_Element[Value],[1]!Data_PL_Element[Index PL Element],TDP!$B217,[1]!Data_PL_Element[TenCongTyID],TDP!$B$1,[1]!Data_PL_Element[Thang.Nam],TDP!AC$198)</f>
        <v>0</v>
      </c>
      <c r="AD217" s="189">
        <f>SUMIFS([1]!Data_PL_Element[Value],[1]!Data_PL_Element[Index PL Element],TDP!$B217,[1]!Data_PL_Element[TenCongTyID],TDP!$B$1,[1]!Data_PL_Element[Thang.Nam],TDP!AD$198)</f>
        <v>0</v>
      </c>
      <c r="AE217" s="189">
        <f>SUMIFS([1]!Data_PL_Element[Value],[1]!Data_PL_Element[Index PL Element],TDP!$B217,[1]!Data_PL_Element[TenCongTyID],TDP!$B$1,[1]!Data_PL_Element[Thang.Nam],TDP!AE$198)</f>
        <v>0</v>
      </c>
      <c r="AF217" s="189">
        <f>SUMIFS([1]!Data_PL_Element[Value],[1]!Data_PL_Element[Index PL Element],TDP!$B217,[1]!Data_PL_Element[TenCongTyID],TDP!$B$1,[1]!Data_PL_Element[Thang.Nam],TDP!AF$198)</f>
        <v>0</v>
      </c>
      <c r="AG217" s="189">
        <f>SUMIFS([1]!Data_PL_Element[Value],[1]!Data_PL_Element[Index PL Element],TDP!$B217,[1]!Data_PL_Element[TenCongTyID],TDP!$B$1,[1]!Data_PL_Element[Thang.Nam],TDP!AG$198)</f>
        <v>0</v>
      </c>
      <c r="AH217" s="189">
        <f>SUMIFS([1]!Data_PL_Element[Value],[1]!Data_PL_Element[Index PL Element],TDP!$B217,[1]!Data_PL_Element[TenCongTyID],TDP!$B$1,[1]!Data_PL_Element[Thang.Nam],TDP!AH$198)</f>
        <v>0</v>
      </c>
      <c r="AI217" s="189">
        <f>SUMIFS([1]!Data_PL_Element[Value],[1]!Data_PL_Element[Index PL Element],TDP!$B217,[1]!Data_PL_Element[TenCongTyID],TDP!$B$1,[1]!Data_PL_Element[Thang.Nam],TDP!AI$198)</f>
        <v>0</v>
      </c>
      <c r="AJ217" s="189">
        <f>SUMIFS([1]!Data_PL_Element[Value],[1]!Data_PL_Element[Index PL Element],TDP!$B217,[1]!Data_PL_Element[TenCongTyID],TDP!$B$1,[1]!Data_PL_Element[Thang.Nam],TDP!AJ$198)</f>
        <v>0</v>
      </c>
      <c r="AK217" s="189">
        <f>SUMIFS([1]!Data_PL_Element[Value],[1]!Data_PL_Element[Index PL Element],TDP!$B217,[1]!Data_PL_Element[TenCongTyID],TDP!$B$1,[1]!Data_PL_Element[Thang.Nam],TDP!AK$198)</f>
        <v>0</v>
      </c>
      <c r="AL217" s="189">
        <f>SUMIFS([1]!Data_PL_Element[Value],[1]!Data_PL_Element[Index PL Element],TDP!$B217,[1]!Data_PL_Element[TenCongTyID],TDP!$B$1,[1]!Data_PL_Element[Thang.Nam],TDP!AL$198)</f>
        <v>0</v>
      </c>
    </row>
    <row r="218" spans="1:38" ht="15" customHeight="1">
      <c r="A218" s="178" t="s">
        <v>304</v>
      </c>
      <c r="B218" s="179">
        <v>20</v>
      </c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>
        <v>0</v>
      </c>
      <c r="AA218" s="189">
        <f>SUMIFS([1]!Data_PL_Element[Value],[1]!Data_PL_Element[Index PL Element],TDP!$B218,[1]!Data_PL_Element[TenCongTyID],TDP!$B$1,[1]!Data_PL_Element[Thang.Nam],TDP!AA$198)</f>
        <v>0</v>
      </c>
      <c r="AB218" s="189">
        <f>SUMIFS([1]!Data_PL_Element[Value],[1]!Data_PL_Element[Index PL Element],TDP!$B218,[1]!Data_PL_Element[TenCongTyID],TDP!$B$1,[1]!Data_PL_Element[Thang.Nam],TDP!AB$198)</f>
        <v>0</v>
      </c>
      <c r="AC218" s="189">
        <f>SUMIFS([1]!Data_PL_Element[Value],[1]!Data_PL_Element[Index PL Element],TDP!$B218,[1]!Data_PL_Element[TenCongTyID],TDP!$B$1,[1]!Data_PL_Element[Thang.Nam],TDP!AC$198)</f>
        <v>0</v>
      </c>
      <c r="AD218" s="189">
        <f>SUMIFS([1]!Data_PL_Element[Value],[1]!Data_PL_Element[Index PL Element],TDP!$B218,[1]!Data_PL_Element[TenCongTyID],TDP!$B$1,[1]!Data_PL_Element[Thang.Nam],TDP!AD$198)</f>
        <v>0</v>
      </c>
      <c r="AE218" s="189">
        <f>SUMIFS([1]!Data_PL_Element[Value],[1]!Data_PL_Element[Index PL Element],TDP!$B218,[1]!Data_PL_Element[TenCongTyID],TDP!$B$1,[1]!Data_PL_Element[Thang.Nam],TDP!AE$198)</f>
        <v>0</v>
      </c>
      <c r="AF218" s="189">
        <f>SUMIFS([1]!Data_PL_Element[Value],[1]!Data_PL_Element[Index PL Element],TDP!$B218,[1]!Data_PL_Element[TenCongTyID],TDP!$B$1,[1]!Data_PL_Element[Thang.Nam],TDP!AF$198)</f>
        <v>0</v>
      </c>
      <c r="AG218" s="189">
        <f>SUMIFS([1]!Data_PL_Element[Value],[1]!Data_PL_Element[Index PL Element],TDP!$B218,[1]!Data_PL_Element[TenCongTyID],TDP!$B$1,[1]!Data_PL_Element[Thang.Nam],TDP!AG$198)</f>
        <v>0</v>
      </c>
      <c r="AH218" s="189">
        <f>SUMIFS([1]!Data_PL_Element[Value],[1]!Data_PL_Element[Index PL Element],TDP!$B218,[1]!Data_PL_Element[TenCongTyID],TDP!$B$1,[1]!Data_PL_Element[Thang.Nam],TDP!AH$198)</f>
        <v>0</v>
      </c>
      <c r="AI218" s="189">
        <f>SUMIFS([1]!Data_PL_Element[Value],[1]!Data_PL_Element[Index PL Element],TDP!$B218,[1]!Data_PL_Element[TenCongTyID],TDP!$B$1,[1]!Data_PL_Element[Thang.Nam],TDP!AI$198)</f>
        <v>0</v>
      </c>
      <c r="AJ218" s="189">
        <f>SUMIFS([1]!Data_PL_Element[Value],[1]!Data_PL_Element[Index PL Element],TDP!$B218,[1]!Data_PL_Element[TenCongTyID],TDP!$B$1,[1]!Data_PL_Element[Thang.Nam],TDP!AJ$198)</f>
        <v>0</v>
      </c>
      <c r="AK218" s="189">
        <f>SUMIFS([1]!Data_PL_Element[Value],[1]!Data_PL_Element[Index PL Element],TDP!$B218,[1]!Data_PL_Element[TenCongTyID],TDP!$B$1,[1]!Data_PL_Element[Thang.Nam],TDP!AK$198)</f>
        <v>0</v>
      </c>
      <c r="AL218" s="189">
        <f>SUMIFS([1]!Data_PL_Element[Value],[1]!Data_PL_Element[Index PL Element],TDP!$B218,[1]!Data_PL_Element[TenCongTyID],TDP!$B$1,[1]!Data_PL_Element[Thang.Nam],TDP!AL$198)</f>
        <v>0</v>
      </c>
    </row>
    <row r="219" spans="1:38" ht="15" customHeight="1">
      <c r="A219" s="190" t="s">
        <v>305</v>
      </c>
      <c r="B219" s="191">
        <v>21</v>
      </c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>
        <v>0</v>
      </c>
      <c r="AA219" s="189">
        <f>SUMIFS([1]!Data_PL_Element[Value],[1]!Data_PL_Element[Index PL Element],TDP!$B219,[1]!Data_PL_Element[TenCongTyID],TDP!$B$1,[1]!Data_PL_Element[Thang.Nam],TDP!AA$198)</f>
        <v>0</v>
      </c>
      <c r="AB219" s="189">
        <f>SUMIFS([1]!Data_PL_Element[Value],[1]!Data_PL_Element[Index PL Element],TDP!$B219,[1]!Data_PL_Element[TenCongTyID],TDP!$B$1,[1]!Data_PL_Element[Thang.Nam],TDP!AB$198)</f>
        <v>0</v>
      </c>
      <c r="AC219" s="189">
        <f>SUMIFS([1]!Data_PL_Element[Value],[1]!Data_PL_Element[Index PL Element],TDP!$B219,[1]!Data_PL_Element[TenCongTyID],TDP!$B$1,[1]!Data_PL_Element[Thang.Nam],TDP!AC$198)</f>
        <v>0</v>
      </c>
      <c r="AD219" s="189">
        <f>SUMIFS([1]!Data_PL_Element[Value],[1]!Data_PL_Element[Index PL Element],TDP!$B219,[1]!Data_PL_Element[TenCongTyID],TDP!$B$1,[1]!Data_PL_Element[Thang.Nam],TDP!AD$198)</f>
        <v>0</v>
      </c>
      <c r="AE219" s="189">
        <f>SUMIFS([1]!Data_PL_Element[Value],[1]!Data_PL_Element[Index PL Element],TDP!$B219,[1]!Data_PL_Element[TenCongTyID],TDP!$B$1,[1]!Data_PL_Element[Thang.Nam],TDP!AE$198)</f>
        <v>0</v>
      </c>
      <c r="AF219" s="189">
        <f>SUMIFS([1]!Data_PL_Element[Value],[1]!Data_PL_Element[Index PL Element],TDP!$B219,[1]!Data_PL_Element[TenCongTyID],TDP!$B$1,[1]!Data_PL_Element[Thang.Nam],TDP!AF$198)</f>
        <v>0</v>
      </c>
      <c r="AG219" s="189">
        <f>SUMIFS([1]!Data_PL_Element[Value],[1]!Data_PL_Element[Index PL Element],TDP!$B219,[1]!Data_PL_Element[TenCongTyID],TDP!$B$1,[1]!Data_PL_Element[Thang.Nam],TDP!AG$198)</f>
        <v>0</v>
      </c>
      <c r="AH219" s="189">
        <f>SUMIFS([1]!Data_PL_Element[Value],[1]!Data_PL_Element[Index PL Element],TDP!$B219,[1]!Data_PL_Element[TenCongTyID],TDP!$B$1,[1]!Data_PL_Element[Thang.Nam],TDP!AH$198)</f>
        <v>0</v>
      </c>
      <c r="AI219" s="189">
        <f>SUMIFS([1]!Data_PL_Element[Value],[1]!Data_PL_Element[Index PL Element],TDP!$B219,[1]!Data_PL_Element[TenCongTyID],TDP!$B$1,[1]!Data_PL_Element[Thang.Nam],TDP!AI$198)</f>
        <v>0</v>
      </c>
      <c r="AJ219" s="189">
        <f>SUMIFS([1]!Data_PL_Element[Value],[1]!Data_PL_Element[Index PL Element],TDP!$B219,[1]!Data_PL_Element[TenCongTyID],TDP!$B$1,[1]!Data_PL_Element[Thang.Nam],TDP!AJ$198)</f>
        <v>0</v>
      </c>
      <c r="AK219" s="189">
        <f>SUMIFS([1]!Data_PL_Element[Value],[1]!Data_PL_Element[Index PL Element],TDP!$B219,[1]!Data_PL_Element[TenCongTyID],TDP!$B$1,[1]!Data_PL_Element[Thang.Nam],TDP!AK$198)</f>
        <v>0</v>
      </c>
      <c r="AL219" s="189">
        <f>SUMIFS([1]!Data_PL_Element[Value],[1]!Data_PL_Element[Index PL Element],TDP!$B219,[1]!Data_PL_Element[TenCongTyID],TDP!$B$1,[1]!Data_PL_Element[Thang.Nam],TDP!AL$198)</f>
        <v>0</v>
      </c>
    </row>
    <row r="220" spans="1:38" ht="15" customHeight="1">
      <c r="A220" s="178" t="s">
        <v>306</v>
      </c>
      <c r="B220" s="179">
        <v>22</v>
      </c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>
        <v>0</v>
      </c>
      <c r="AA220" s="189">
        <f>SUMIFS([1]!Data_PL_Element[Value],[1]!Data_PL_Element[Index PL Element],TDP!$B220,[1]!Data_PL_Element[TenCongTyID],TDP!$B$1,[1]!Data_PL_Element[Thang.Nam],TDP!AA$198)</f>
        <v>0</v>
      </c>
      <c r="AB220" s="189">
        <f>SUMIFS([1]!Data_PL_Element[Value],[1]!Data_PL_Element[Index PL Element],TDP!$B220,[1]!Data_PL_Element[TenCongTyID],TDP!$B$1,[1]!Data_PL_Element[Thang.Nam],TDP!AB$198)</f>
        <v>0</v>
      </c>
      <c r="AC220" s="189">
        <f>SUMIFS([1]!Data_PL_Element[Value],[1]!Data_PL_Element[Index PL Element],TDP!$B220,[1]!Data_PL_Element[TenCongTyID],TDP!$B$1,[1]!Data_PL_Element[Thang.Nam],TDP!AC$198)</f>
        <v>0</v>
      </c>
      <c r="AD220" s="189">
        <f>SUMIFS([1]!Data_PL_Element[Value],[1]!Data_PL_Element[Index PL Element],TDP!$B220,[1]!Data_PL_Element[TenCongTyID],TDP!$B$1,[1]!Data_PL_Element[Thang.Nam],TDP!AD$198)</f>
        <v>0</v>
      </c>
      <c r="AE220" s="189">
        <f>SUMIFS([1]!Data_PL_Element[Value],[1]!Data_PL_Element[Index PL Element],TDP!$B220,[1]!Data_PL_Element[TenCongTyID],TDP!$B$1,[1]!Data_PL_Element[Thang.Nam],TDP!AE$198)</f>
        <v>0</v>
      </c>
      <c r="AF220" s="189">
        <f>SUMIFS([1]!Data_PL_Element[Value],[1]!Data_PL_Element[Index PL Element],TDP!$B220,[1]!Data_PL_Element[TenCongTyID],TDP!$B$1,[1]!Data_PL_Element[Thang.Nam],TDP!AF$198)</f>
        <v>0</v>
      </c>
      <c r="AG220" s="189">
        <f>SUMIFS([1]!Data_PL_Element[Value],[1]!Data_PL_Element[Index PL Element],TDP!$B220,[1]!Data_PL_Element[TenCongTyID],TDP!$B$1,[1]!Data_PL_Element[Thang.Nam],TDP!AG$198)</f>
        <v>0</v>
      </c>
      <c r="AH220" s="189">
        <f>SUMIFS([1]!Data_PL_Element[Value],[1]!Data_PL_Element[Index PL Element],TDP!$B220,[1]!Data_PL_Element[TenCongTyID],TDP!$B$1,[1]!Data_PL_Element[Thang.Nam],TDP!AH$198)</f>
        <v>0</v>
      </c>
      <c r="AI220" s="189">
        <f>SUMIFS([1]!Data_PL_Element[Value],[1]!Data_PL_Element[Index PL Element],TDP!$B220,[1]!Data_PL_Element[TenCongTyID],TDP!$B$1,[1]!Data_PL_Element[Thang.Nam],TDP!AI$198)</f>
        <v>0</v>
      </c>
      <c r="AJ220" s="189">
        <f>SUMIFS([1]!Data_PL_Element[Value],[1]!Data_PL_Element[Index PL Element],TDP!$B220,[1]!Data_PL_Element[TenCongTyID],TDP!$B$1,[1]!Data_PL_Element[Thang.Nam],TDP!AJ$198)</f>
        <v>0</v>
      </c>
      <c r="AK220" s="189">
        <f>SUMIFS([1]!Data_PL_Element[Value],[1]!Data_PL_Element[Index PL Element],TDP!$B220,[1]!Data_PL_Element[TenCongTyID],TDP!$B$1,[1]!Data_PL_Element[Thang.Nam],TDP!AK$198)</f>
        <v>0</v>
      </c>
      <c r="AL220" s="189">
        <f>SUMIFS([1]!Data_PL_Element[Value],[1]!Data_PL_Element[Index PL Element],TDP!$B220,[1]!Data_PL_Element[TenCongTyID],TDP!$B$1,[1]!Data_PL_Element[Thang.Nam],TDP!AL$198)</f>
        <v>0</v>
      </c>
    </row>
    <row r="221" spans="1:38" ht="15" customHeight="1">
      <c r="A221" s="178" t="s">
        <v>307</v>
      </c>
      <c r="B221" s="179">
        <v>23</v>
      </c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>
        <v>0</v>
      </c>
      <c r="AA221" s="189">
        <f>SUMIFS([1]!Data_PL_Element[Value],[1]!Data_PL_Element[Index PL Element],TDP!$B221,[1]!Data_PL_Element[TenCongTyID],TDP!$B$1,[1]!Data_PL_Element[Thang.Nam],TDP!AA$198)</f>
        <v>0</v>
      </c>
      <c r="AB221" s="189">
        <f>SUMIFS([1]!Data_PL_Element[Value],[1]!Data_PL_Element[Index PL Element],TDP!$B221,[1]!Data_PL_Element[TenCongTyID],TDP!$B$1,[1]!Data_PL_Element[Thang.Nam],TDP!AB$198)</f>
        <v>0</v>
      </c>
      <c r="AC221" s="189">
        <f>SUMIFS([1]!Data_PL_Element[Value],[1]!Data_PL_Element[Index PL Element],TDP!$B221,[1]!Data_PL_Element[TenCongTyID],TDP!$B$1,[1]!Data_PL_Element[Thang.Nam],TDP!AC$198)</f>
        <v>0</v>
      </c>
      <c r="AD221" s="189">
        <f>SUMIFS([1]!Data_PL_Element[Value],[1]!Data_PL_Element[Index PL Element],TDP!$B221,[1]!Data_PL_Element[TenCongTyID],TDP!$B$1,[1]!Data_PL_Element[Thang.Nam],TDP!AD$198)</f>
        <v>0</v>
      </c>
      <c r="AE221" s="189">
        <f>SUMIFS([1]!Data_PL_Element[Value],[1]!Data_PL_Element[Index PL Element],TDP!$B221,[1]!Data_PL_Element[TenCongTyID],TDP!$B$1,[1]!Data_PL_Element[Thang.Nam],TDP!AE$198)</f>
        <v>0</v>
      </c>
      <c r="AF221" s="189">
        <f>SUMIFS([1]!Data_PL_Element[Value],[1]!Data_PL_Element[Index PL Element],TDP!$B221,[1]!Data_PL_Element[TenCongTyID],TDP!$B$1,[1]!Data_PL_Element[Thang.Nam],TDP!AF$198)</f>
        <v>0</v>
      </c>
      <c r="AG221" s="189">
        <f>SUMIFS([1]!Data_PL_Element[Value],[1]!Data_PL_Element[Index PL Element],TDP!$B221,[1]!Data_PL_Element[TenCongTyID],TDP!$B$1,[1]!Data_PL_Element[Thang.Nam],TDP!AG$198)</f>
        <v>0</v>
      </c>
      <c r="AH221" s="189">
        <f>SUMIFS([1]!Data_PL_Element[Value],[1]!Data_PL_Element[Index PL Element],TDP!$B221,[1]!Data_PL_Element[TenCongTyID],TDP!$B$1,[1]!Data_PL_Element[Thang.Nam],TDP!AH$198)</f>
        <v>0</v>
      </c>
      <c r="AI221" s="189">
        <f>SUMIFS([1]!Data_PL_Element[Value],[1]!Data_PL_Element[Index PL Element],TDP!$B221,[1]!Data_PL_Element[TenCongTyID],TDP!$B$1,[1]!Data_PL_Element[Thang.Nam],TDP!AI$198)</f>
        <v>0</v>
      </c>
      <c r="AJ221" s="189">
        <f>SUMIFS([1]!Data_PL_Element[Value],[1]!Data_PL_Element[Index PL Element],TDP!$B221,[1]!Data_PL_Element[TenCongTyID],TDP!$B$1,[1]!Data_PL_Element[Thang.Nam],TDP!AJ$198)</f>
        <v>0</v>
      </c>
      <c r="AK221" s="189">
        <f>SUMIFS([1]!Data_PL_Element[Value],[1]!Data_PL_Element[Index PL Element],TDP!$B221,[1]!Data_PL_Element[TenCongTyID],TDP!$B$1,[1]!Data_PL_Element[Thang.Nam],TDP!AK$198)</f>
        <v>0</v>
      </c>
      <c r="AL221" s="189">
        <f>SUMIFS([1]!Data_PL_Element[Value],[1]!Data_PL_Element[Index PL Element],TDP!$B221,[1]!Data_PL_Element[TenCongTyID],TDP!$B$1,[1]!Data_PL_Element[Thang.Nam],TDP!AL$198)</f>
        <v>0</v>
      </c>
    </row>
    <row r="222" spans="1:38" ht="15" customHeight="1">
      <c r="A222" s="178" t="s">
        <v>308</v>
      </c>
      <c r="B222" s="179">
        <v>24</v>
      </c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>
        <v>0</v>
      </c>
      <c r="AA222" s="189">
        <f>SUMIFS([1]!Data_PL_Element[Value],[1]!Data_PL_Element[Index PL Element],TDP!$B222,[1]!Data_PL_Element[TenCongTyID],TDP!$B$1,[1]!Data_PL_Element[Thang.Nam],TDP!AA$198)</f>
        <v>0</v>
      </c>
      <c r="AB222" s="189">
        <f>SUMIFS([1]!Data_PL_Element[Value],[1]!Data_PL_Element[Index PL Element],TDP!$B222,[1]!Data_PL_Element[TenCongTyID],TDP!$B$1,[1]!Data_PL_Element[Thang.Nam],TDP!AB$198)</f>
        <v>0</v>
      </c>
      <c r="AC222" s="189">
        <f>SUMIFS([1]!Data_PL_Element[Value],[1]!Data_PL_Element[Index PL Element],TDP!$B222,[1]!Data_PL_Element[TenCongTyID],TDP!$B$1,[1]!Data_PL_Element[Thang.Nam],TDP!AC$198)</f>
        <v>0</v>
      </c>
      <c r="AD222" s="189">
        <f>SUMIFS([1]!Data_PL_Element[Value],[1]!Data_PL_Element[Index PL Element],TDP!$B222,[1]!Data_PL_Element[TenCongTyID],TDP!$B$1,[1]!Data_PL_Element[Thang.Nam],TDP!AD$198)</f>
        <v>0</v>
      </c>
      <c r="AE222" s="189">
        <f>SUMIFS([1]!Data_PL_Element[Value],[1]!Data_PL_Element[Index PL Element],TDP!$B222,[1]!Data_PL_Element[TenCongTyID],TDP!$B$1,[1]!Data_PL_Element[Thang.Nam],TDP!AE$198)</f>
        <v>0</v>
      </c>
      <c r="AF222" s="189">
        <f>SUMIFS([1]!Data_PL_Element[Value],[1]!Data_PL_Element[Index PL Element],TDP!$B222,[1]!Data_PL_Element[TenCongTyID],TDP!$B$1,[1]!Data_PL_Element[Thang.Nam],TDP!AF$198)</f>
        <v>0</v>
      </c>
      <c r="AG222" s="189">
        <f>SUMIFS([1]!Data_PL_Element[Value],[1]!Data_PL_Element[Index PL Element],TDP!$B222,[1]!Data_PL_Element[TenCongTyID],TDP!$B$1,[1]!Data_PL_Element[Thang.Nam],TDP!AG$198)</f>
        <v>0</v>
      </c>
      <c r="AH222" s="189">
        <f>SUMIFS([1]!Data_PL_Element[Value],[1]!Data_PL_Element[Index PL Element],TDP!$B222,[1]!Data_PL_Element[TenCongTyID],TDP!$B$1,[1]!Data_PL_Element[Thang.Nam],TDP!AH$198)</f>
        <v>0</v>
      </c>
      <c r="AI222" s="189">
        <f>SUMIFS([1]!Data_PL_Element[Value],[1]!Data_PL_Element[Index PL Element],TDP!$B222,[1]!Data_PL_Element[TenCongTyID],TDP!$B$1,[1]!Data_PL_Element[Thang.Nam],TDP!AI$198)</f>
        <v>0</v>
      </c>
      <c r="AJ222" s="189">
        <f>SUMIFS([1]!Data_PL_Element[Value],[1]!Data_PL_Element[Index PL Element],TDP!$B222,[1]!Data_PL_Element[TenCongTyID],TDP!$B$1,[1]!Data_PL_Element[Thang.Nam],TDP!AJ$198)</f>
        <v>0</v>
      </c>
      <c r="AK222" s="189">
        <f>SUMIFS([1]!Data_PL_Element[Value],[1]!Data_PL_Element[Index PL Element],TDP!$B222,[1]!Data_PL_Element[TenCongTyID],TDP!$B$1,[1]!Data_PL_Element[Thang.Nam],TDP!AK$198)</f>
        <v>0</v>
      </c>
      <c r="AL222" s="189">
        <f>SUMIFS([1]!Data_PL_Element[Value],[1]!Data_PL_Element[Index PL Element],TDP!$B222,[1]!Data_PL_Element[TenCongTyID],TDP!$B$1,[1]!Data_PL_Element[Thang.Nam],TDP!AL$198)</f>
        <v>0</v>
      </c>
    </row>
    <row r="223" spans="1:38" ht="15" customHeight="1">
      <c r="A223" s="178" t="s">
        <v>309</v>
      </c>
      <c r="B223" s="179">
        <v>25</v>
      </c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>
        <v>0</v>
      </c>
      <c r="AA223" s="189">
        <f>SUMIFS([1]!Data_PL_Element[Value],[1]!Data_PL_Element[Index PL Element],TDP!$B223,[1]!Data_PL_Element[TenCongTyID],TDP!$B$1,[1]!Data_PL_Element[Thang.Nam],TDP!AA$198)</f>
        <v>0</v>
      </c>
      <c r="AB223" s="189">
        <f>SUMIFS([1]!Data_PL_Element[Value],[1]!Data_PL_Element[Index PL Element],TDP!$B223,[1]!Data_PL_Element[TenCongTyID],TDP!$B$1,[1]!Data_PL_Element[Thang.Nam],TDP!AB$198)</f>
        <v>0</v>
      </c>
      <c r="AC223" s="189">
        <f>SUMIFS([1]!Data_PL_Element[Value],[1]!Data_PL_Element[Index PL Element],TDP!$B223,[1]!Data_PL_Element[TenCongTyID],TDP!$B$1,[1]!Data_PL_Element[Thang.Nam],TDP!AC$198)</f>
        <v>0</v>
      </c>
      <c r="AD223" s="189">
        <f>SUMIFS([1]!Data_PL_Element[Value],[1]!Data_PL_Element[Index PL Element],TDP!$B223,[1]!Data_PL_Element[TenCongTyID],TDP!$B$1,[1]!Data_PL_Element[Thang.Nam],TDP!AD$198)</f>
        <v>0</v>
      </c>
      <c r="AE223" s="189">
        <f>SUMIFS([1]!Data_PL_Element[Value],[1]!Data_PL_Element[Index PL Element],TDP!$B223,[1]!Data_PL_Element[TenCongTyID],TDP!$B$1,[1]!Data_PL_Element[Thang.Nam],TDP!AE$198)</f>
        <v>0</v>
      </c>
      <c r="AF223" s="189">
        <f>SUMIFS([1]!Data_PL_Element[Value],[1]!Data_PL_Element[Index PL Element],TDP!$B223,[1]!Data_PL_Element[TenCongTyID],TDP!$B$1,[1]!Data_PL_Element[Thang.Nam],TDP!AF$198)</f>
        <v>0</v>
      </c>
      <c r="AG223" s="189">
        <f>SUMIFS([1]!Data_PL_Element[Value],[1]!Data_PL_Element[Index PL Element],TDP!$B223,[1]!Data_PL_Element[TenCongTyID],TDP!$B$1,[1]!Data_PL_Element[Thang.Nam],TDP!AG$198)</f>
        <v>0</v>
      </c>
      <c r="AH223" s="189">
        <f>SUMIFS([1]!Data_PL_Element[Value],[1]!Data_PL_Element[Index PL Element],TDP!$B223,[1]!Data_PL_Element[TenCongTyID],TDP!$B$1,[1]!Data_PL_Element[Thang.Nam],TDP!AH$198)</f>
        <v>0</v>
      </c>
      <c r="AI223" s="189">
        <f>SUMIFS([1]!Data_PL_Element[Value],[1]!Data_PL_Element[Index PL Element],TDP!$B223,[1]!Data_PL_Element[TenCongTyID],TDP!$B$1,[1]!Data_PL_Element[Thang.Nam],TDP!AI$198)</f>
        <v>0</v>
      </c>
      <c r="AJ223" s="189">
        <f>SUMIFS([1]!Data_PL_Element[Value],[1]!Data_PL_Element[Index PL Element],TDP!$B223,[1]!Data_PL_Element[TenCongTyID],TDP!$B$1,[1]!Data_PL_Element[Thang.Nam],TDP!AJ$198)</f>
        <v>0</v>
      </c>
      <c r="AK223" s="189">
        <f>SUMIFS([1]!Data_PL_Element[Value],[1]!Data_PL_Element[Index PL Element],TDP!$B223,[1]!Data_PL_Element[TenCongTyID],TDP!$B$1,[1]!Data_PL_Element[Thang.Nam],TDP!AK$198)</f>
        <v>0</v>
      </c>
      <c r="AL223" s="189">
        <f>SUMIFS([1]!Data_PL_Element[Value],[1]!Data_PL_Element[Index PL Element],TDP!$B223,[1]!Data_PL_Element[TenCongTyID],TDP!$B$1,[1]!Data_PL_Element[Thang.Nam],TDP!AL$198)</f>
        <v>0</v>
      </c>
    </row>
    <row r="224" spans="1:38" ht="15" customHeight="1">
      <c r="A224" s="184" t="s">
        <v>310</v>
      </c>
      <c r="B224" s="185">
        <v>26</v>
      </c>
      <c r="C224" s="192" t="str">
        <f>IFERROR(C211/C207,"")</f>
        <v/>
      </c>
      <c r="D224" s="192" t="str">
        <f t="shared" ref="D224:AL224" si="46">IFERROR(D211/D207,"")</f>
        <v/>
      </c>
      <c r="E224" s="192" t="str">
        <f t="shared" si="46"/>
        <v/>
      </c>
      <c r="F224" s="192" t="str">
        <f t="shared" si="46"/>
        <v/>
      </c>
      <c r="G224" s="192" t="str">
        <f t="shared" si="46"/>
        <v/>
      </c>
      <c r="H224" s="192" t="str">
        <f t="shared" si="46"/>
        <v/>
      </c>
      <c r="I224" s="192" t="str">
        <f t="shared" si="46"/>
        <v/>
      </c>
      <c r="J224" s="192" t="str">
        <f t="shared" si="46"/>
        <v/>
      </c>
      <c r="K224" s="192" t="str">
        <f t="shared" si="46"/>
        <v/>
      </c>
      <c r="L224" s="192" t="str">
        <f t="shared" si="46"/>
        <v/>
      </c>
      <c r="M224" s="192" t="str">
        <f t="shared" si="46"/>
        <v/>
      </c>
      <c r="N224" s="192" t="str">
        <f t="shared" si="46"/>
        <v/>
      </c>
      <c r="O224" s="192" t="str">
        <f t="shared" si="46"/>
        <v/>
      </c>
      <c r="P224" s="192" t="str">
        <f t="shared" si="46"/>
        <v/>
      </c>
      <c r="Q224" s="192" t="str">
        <f t="shared" si="46"/>
        <v/>
      </c>
      <c r="R224" s="192" t="str">
        <f t="shared" si="46"/>
        <v/>
      </c>
      <c r="S224" s="192" t="str">
        <f t="shared" si="46"/>
        <v/>
      </c>
      <c r="T224" s="192" t="str">
        <f t="shared" si="46"/>
        <v/>
      </c>
      <c r="U224" s="192" t="str">
        <f t="shared" si="46"/>
        <v/>
      </c>
      <c r="V224" s="192" t="str">
        <f t="shared" si="46"/>
        <v/>
      </c>
      <c r="W224" s="192" t="str">
        <f t="shared" si="46"/>
        <v/>
      </c>
      <c r="X224" s="192" t="str">
        <f t="shared" si="46"/>
        <v/>
      </c>
      <c r="Y224" s="192" t="str">
        <f t="shared" si="46"/>
        <v/>
      </c>
      <c r="Z224" s="192" t="s">
        <v>378</v>
      </c>
      <c r="AA224" s="192" t="str">
        <f t="shared" si="46"/>
        <v/>
      </c>
      <c r="AB224" s="192" t="str">
        <f t="shared" si="46"/>
        <v/>
      </c>
      <c r="AC224" s="192" t="str">
        <f t="shared" si="46"/>
        <v/>
      </c>
      <c r="AD224" s="192" t="str">
        <f t="shared" si="46"/>
        <v/>
      </c>
      <c r="AE224" s="192" t="str">
        <f t="shared" si="46"/>
        <v/>
      </c>
      <c r="AF224" s="192" t="str">
        <f t="shared" si="46"/>
        <v/>
      </c>
      <c r="AG224" s="192" t="str">
        <f t="shared" si="46"/>
        <v/>
      </c>
      <c r="AH224" s="192" t="str">
        <f t="shared" si="46"/>
        <v/>
      </c>
      <c r="AI224" s="192" t="str">
        <f t="shared" si="46"/>
        <v/>
      </c>
      <c r="AJ224" s="192" t="str">
        <f t="shared" si="46"/>
        <v/>
      </c>
      <c r="AK224" s="192" t="str">
        <f t="shared" si="46"/>
        <v/>
      </c>
      <c r="AL224" s="192" t="str">
        <f t="shared" si="46"/>
        <v/>
      </c>
    </row>
    <row r="225" spans="1:38" ht="15" customHeight="1">
      <c r="A225" s="181" t="s">
        <v>311</v>
      </c>
      <c r="B225" s="182">
        <v>27</v>
      </c>
      <c r="C225" s="183">
        <f t="shared" ref="C225:Y225" si="47">C139</f>
        <v>0</v>
      </c>
      <c r="D225" s="183">
        <f t="shared" si="47"/>
        <v>0</v>
      </c>
      <c r="E225" s="183">
        <f t="shared" si="47"/>
        <v>0</v>
      </c>
      <c r="F225" s="183">
        <f t="shared" si="47"/>
        <v>0</v>
      </c>
      <c r="G225" s="183">
        <f t="shared" si="47"/>
        <v>0</v>
      </c>
      <c r="H225" s="183">
        <f t="shared" si="47"/>
        <v>0</v>
      </c>
      <c r="I225" s="183">
        <f t="shared" si="47"/>
        <v>0</v>
      </c>
      <c r="J225" s="183">
        <f t="shared" si="47"/>
        <v>0</v>
      </c>
      <c r="K225" s="183">
        <f t="shared" si="47"/>
        <v>0</v>
      </c>
      <c r="L225" s="183">
        <f t="shared" si="47"/>
        <v>0</v>
      </c>
      <c r="M225" s="183">
        <f t="shared" si="47"/>
        <v>0</v>
      </c>
      <c r="N225" s="183">
        <f t="shared" si="47"/>
        <v>0</v>
      </c>
      <c r="O225" s="183">
        <f t="shared" si="47"/>
        <v>0</v>
      </c>
      <c r="P225" s="183">
        <f t="shared" si="47"/>
        <v>0</v>
      </c>
      <c r="Q225" s="183">
        <f t="shared" si="47"/>
        <v>0</v>
      </c>
      <c r="R225" s="183">
        <f t="shared" si="47"/>
        <v>0</v>
      </c>
      <c r="S225" s="183">
        <f t="shared" si="47"/>
        <v>0</v>
      </c>
      <c r="T225" s="183">
        <f t="shared" si="47"/>
        <v>0</v>
      </c>
      <c r="U225" s="183">
        <f t="shared" si="47"/>
        <v>0</v>
      </c>
      <c r="V225" s="183">
        <f t="shared" si="47"/>
        <v>0</v>
      </c>
      <c r="W225" s="183">
        <f t="shared" si="47"/>
        <v>0</v>
      </c>
      <c r="X225" s="183">
        <f t="shared" si="47"/>
        <v>0</v>
      </c>
      <c r="Y225" s="183">
        <f t="shared" si="47"/>
        <v>0</v>
      </c>
      <c r="Z225" s="183">
        <v>0</v>
      </c>
      <c r="AA225" s="183">
        <f t="shared" ref="AA225:AL225" si="48">AA139</f>
        <v>0</v>
      </c>
      <c r="AB225" s="183">
        <f t="shared" si="48"/>
        <v>0</v>
      </c>
      <c r="AC225" s="183">
        <f t="shared" si="48"/>
        <v>0</v>
      </c>
      <c r="AD225" s="183">
        <f t="shared" si="48"/>
        <v>0</v>
      </c>
      <c r="AE225" s="183">
        <f t="shared" si="48"/>
        <v>0</v>
      </c>
      <c r="AF225" s="183">
        <f t="shared" si="48"/>
        <v>0</v>
      </c>
      <c r="AG225" s="183">
        <f t="shared" si="48"/>
        <v>0</v>
      </c>
      <c r="AH225" s="183">
        <f t="shared" si="48"/>
        <v>0</v>
      </c>
      <c r="AI225" s="183">
        <f t="shared" si="48"/>
        <v>0</v>
      </c>
      <c r="AJ225" s="183">
        <f t="shared" si="48"/>
        <v>0</v>
      </c>
      <c r="AK225" s="183">
        <f t="shared" si="48"/>
        <v>0</v>
      </c>
      <c r="AL225" s="183">
        <f t="shared" si="48"/>
        <v>0</v>
      </c>
    </row>
    <row r="226" spans="1:38" ht="15" customHeight="1">
      <c r="A226" s="184" t="s">
        <v>312</v>
      </c>
      <c r="B226" s="185">
        <v>28</v>
      </c>
      <c r="C226" s="187" t="str">
        <f t="shared" ref="C226:AL226" si="49">IFERROR(C225/C207,"")</f>
        <v/>
      </c>
      <c r="D226" s="187" t="str">
        <f t="shared" si="49"/>
        <v/>
      </c>
      <c r="E226" s="187" t="str">
        <f t="shared" si="49"/>
        <v/>
      </c>
      <c r="F226" s="187" t="str">
        <f t="shared" si="49"/>
        <v/>
      </c>
      <c r="G226" s="187" t="str">
        <f t="shared" si="49"/>
        <v/>
      </c>
      <c r="H226" s="187" t="str">
        <f t="shared" si="49"/>
        <v/>
      </c>
      <c r="I226" s="187" t="str">
        <f t="shared" si="49"/>
        <v/>
      </c>
      <c r="J226" s="187" t="str">
        <f t="shared" si="49"/>
        <v/>
      </c>
      <c r="K226" s="187" t="str">
        <f t="shared" si="49"/>
        <v/>
      </c>
      <c r="L226" s="187" t="str">
        <f t="shared" si="49"/>
        <v/>
      </c>
      <c r="M226" s="187" t="str">
        <f t="shared" si="49"/>
        <v/>
      </c>
      <c r="N226" s="187" t="str">
        <f t="shared" si="49"/>
        <v/>
      </c>
      <c r="O226" s="187" t="str">
        <f t="shared" si="49"/>
        <v/>
      </c>
      <c r="P226" s="187" t="str">
        <f t="shared" si="49"/>
        <v/>
      </c>
      <c r="Q226" s="187" t="str">
        <f t="shared" si="49"/>
        <v/>
      </c>
      <c r="R226" s="187" t="str">
        <f t="shared" si="49"/>
        <v/>
      </c>
      <c r="S226" s="187" t="str">
        <f t="shared" si="49"/>
        <v/>
      </c>
      <c r="T226" s="187" t="str">
        <f t="shared" si="49"/>
        <v/>
      </c>
      <c r="U226" s="187" t="str">
        <f t="shared" si="49"/>
        <v/>
      </c>
      <c r="V226" s="187" t="str">
        <f t="shared" si="49"/>
        <v/>
      </c>
      <c r="W226" s="187" t="str">
        <f t="shared" si="49"/>
        <v/>
      </c>
      <c r="X226" s="187" t="str">
        <f t="shared" si="49"/>
        <v/>
      </c>
      <c r="Y226" s="187" t="str">
        <f t="shared" si="49"/>
        <v/>
      </c>
      <c r="Z226" s="187" t="s">
        <v>378</v>
      </c>
      <c r="AA226" s="187" t="str">
        <f t="shared" si="49"/>
        <v/>
      </c>
      <c r="AB226" s="187" t="str">
        <f t="shared" si="49"/>
        <v/>
      </c>
      <c r="AC226" s="187" t="str">
        <f t="shared" si="49"/>
        <v/>
      </c>
      <c r="AD226" s="187" t="str">
        <f t="shared" si="49"/>
        <v/>
      </c>
      <c r="AE226" s="187" t="str">
        <f t="shared" si="49"/>
        <v/>
      </c>
      <c r="AF226" s="187" t="str">
        <f t="shared" si="49"/>
        <v/>
      </c>
      <c r="AG226" s="187" t="str">
        <f t="shared" si="49"/>
        <v/>
      </c>
      <c r="AH226" s="187" t="str">
        <f t="shared" si="49"/>
        <v/>
      </c>
      <c r="AI226" s="187" t="str">
        <f t="shared" si="49"/>
        <v/>
      </c>
      <c r="AJ226" s="187" t="str">
        <f t="shared" si="49"/>
        <v/>
      </c>
      <c r="AK226" s="187" t="str">
        <f t="shared" si="49"/>
        <v/>
      </c>
      <c r="AL226" s="187" t="str">
        <f t="shared" si="49"/>
        <v/>
      </c>
    </row>
    <row r="227" spans="1:38" ht="15" customHeight="1">
      <c r="A227" s="181" t="s">
        <v>313</v>
      </c>
      <c r="B227" s="182">
        <v>29</v>
      </c>
      <c r="C227" s="183">
        <f t="shared" ref="C227:Y227" si="50">C150</f>
        <v>0</v>
      </c>
      <c r="D227" s="183">
        <f t="shared" si="50"/>
        <v>0</v>
      </c>
      <c r="E227" s="183">
        <f t="shared" si="50"/>
        <v>0</v>
      </c>
      <c r="F227" s="183">
        <f t="shared" si="50"/>
        <v>0</v>
      </c>
      <c r="G227" s="183">
        <f t="shared" si="50"/>
        <v>0</v>
      </c>
      <c r="H227" s="183">
        <f t="shared" si="50"/>
        <v>0</v>
      </c>
      <c r="I227" s="183">
        <f t="shared" si="50"/>
        <v>0</v>
      </c>
      <c r="J227" s="183">
        <f t="shared" si="50"/>
        <v>-400000</v>
      </c>
      <c r="K227" s="183">
        <f t="shared" si="50"/>
        <v>-15035354</v>
      </c>
      <c r="L227" s="183">
        <f t="shared" si="50"/>
        <v>-615035354</v>
      </c>
      <c r="M227" s="183">
        <f t="shared" si="50"/>
        <v>-615035354</v>
      </c>
      <c r="N227" s="183">
        <f t="shared" si="50"/>
        <v>-615578474</v>
      </c>
      <c r="O227" s="183">
        <f t="shared" si="50"/>
        <v>-18577035</v>
      </c>
      <c r="P227" s="183">
        <f t="shared" si="50"/>
        <v>-1215577416</v>
      </c>
      <c r="Q227" s="183">
        <f t="shared" si="50"/>
        <v>-615578124</v>
      </c>
      <c r="R227" s="183">
        <f t="shared" si="50"/>
        <v>-612761221</v>
      </c>
      <c r="S227" s="183">
        <f t="shared" si="50"/>
        <v>-615579785</v>
      </c>
      <c r="T227" s="183">
        <f t="shared" si="50"/>
        <v>-616578030</v>
      </c>
      <c r="U227" s="183">
        <f t="shared" si="50"/>
        <v>-600848036</v>
      </c>
      <c r="V227" s="183">
        <f t="shared" si="50"/>
        <v>-600577813</v>
      </c>
      <c r="W227" s="183">
        <f t="shared" si="50"/>
        <v>-600583185</v>
      </c>
      <c r="X227" s="183">
        <f t="shared" si="50"/>
        <v>-600583792</v>
      </c>
      <c r="Y227" s="183">
        <f t="shared" si="50"/>
        <v>-593526227</v>
      </c>
      <c r="Z227" s="183">
        <v>-600583740</v>
      </c>
      <c r="AA227" s="183">
        <f t="shared" ref="AA227:AL227" si="51">AA150</f>
        <v>-4979188.888888889</v>
      </c>
      <c r="AB227" s="183">
        <f t="shared" si="51"/>
        <v>-4579188.888888889</v>
      </c>
      <c r="AC227" s="183">
        <f t="shared" si="51"/>
        <v>-4579188.888888889</v>
      </c>
      <c r="AD227" s="183">
        <f t="shared" si="51"/>
        <v>-4979188.888888889</v>
      </c>
      <c r="AE227" s="183">
        <f t="shared" si="51"/>
        <v>-4579188.888888889</v>
      </c>
      <c r="AF227" s="183">
        <f t="shared" si="51"/>
        <v>-4579188.888888889</v>
      </c>
      <c r="AG227" s="183">
        <f t="shared" si="51"/>
        <v>-4579188.888888889</v>
      </c>
      <c r="AH227" s="183">
        <f t="shared" si="51"/>
        <v>-4979188.888888889</v>
      </c>
      <c r="AI227" s="183">
        <f t="shared" si="51"/>
        <v>-4579188.888888889</v>
      </c>
      <c r="AJ227" s="183">
        <f t="shared" si="51"/>
        <v>-4579188.888888889</v>
      </c>
      <c r="AK227" s="183">
        <f t="shared" si="51"/>
        <v>-4979188.888888889</v>
      </c>
      <c r="AL227" s="183">
        <f t="shared" si="51"/>
        <v>-4579188.888888889</v>
      </c>
    </row>
    <row r="228" spans="1:38" ht="15" customHeight="1">
      <c r="A228" s="184" t="s">
        <v>314</v>
      </c>
      <c r="B228" s="185">
        <v>30</v>
      </c>
      <c r="C228" s="187" t="str">
        <f t="shared" ref="C228:AL228" si="52">IFERROR(C227/C207,"")</f>
        <v/>
      </c>
      <c r="D228" s="187" t="str">
        <f t="shared" si="52"/>
        <v/>
      </c>
      <c r="E228" s="187" t="str">
        <f t="shared" si="52"/>
        <v/>
      </c>
      <c r="F228" s="187" t="str">
        <f t="shared" si="52"/>
        <v/>
      </c>
      <c r="G228" s="187" t="str">
        <f t="shared" si="52"/>
        <v/>
      </c>
      <c r="H228" s="187" t="str">
        <f t="shared" si="52"/>
        <v/>
      </c>
      <c r="I228" s="187" t="str">
        <f t="shared" si="52"/>
        <v/>
      </c>
      <c r="J228" s="187" t="str">
        <f t="shared" si="52"/>
        <v/>
      </c>
      <c r="K228" s="187" t="str">
        <f t="shared" si="52"/>
        <v/>
      </c>
      <c r="L228" s="187" t="str">
        <f t="shared" si="52"/>
        <v/>
      </c>
      <c r="M228" s="187" t="str">
        <f t="shared" si="52"/>
        <v/>
      </c>
      <c r="N228" s="187" t="str">
        <f t="shared" si="52"/>
        <v/>
      </c>
      <c r="O228" s="187" t="str">
        <f t="shared" si="52"/>
        <v/>
      </c>
      <c r="P228" s="187" t="str">
        <f t="shared" si="52"/>
        <v/>
      </c>
      <c r="Q228" s="187" t="str">
        <f t="shared" si="52"/>
        <v/>
      </c>
      <c r="R228" s="187" t="str">
        <f t="shared" si="52"/>
        <v/>
      </c>
      <c r="S228" s="187" t="str">
        <f t="shared" si="52"/>
        <v/>
      </c>
      <c r="T228" s="187" t="str">
        <f t="shared" si="52"/>
        <v/>
      </c>
      <c r="U228" s="187" t="str">
        <f t="shared" si="52"/>
        <v/>
      </c>
      <c r="V228" s="187" t="str">
        <f t="shared" si="52"/>
        <v/>
      </c>
      <c r="W228" s="187" t="str">
        <f t="shared" si="52"/>
        <v/>
      </c>
      <c r="X228" s="187" t="str">
        <f t="shared" si="52"/>
        <v/>
      </c>
      <c r="Y228" s="187" t="str">
        <f t="shared" si="52"/>
        <v/>
      </c>
      <c r="Z228" s="187" t="s">
        <v>378</v>
      </c>
      <c r="AA228" s="187" t="str">
        <f t="shared" si="52"/>
        <v/>
      </c>
      <c r="AB228" s="187" t="str">
        <f t="shared" si="52"/>
        <v/>
      </c>
      <c r="AC228" s="187" t="str">
        <f t="shared" si="52"/>
        <v/>
      </c>
      <c r="AD228" s="187" t="str">
        <f t="shared" si="52"/>
        <v/>
      </c>
      <c r="AE228" s="187" t="str">
        <f t="shared" si="52"/>
        <v/>
      </c>
      <c r="AF228" s="187" t="str">
        <f t="shared" si="52"/>
        <v/>
      </c>
      <c r="AG228" s="187" t="str">
        <f t="shared" si="52"/>
        <v/>
      </c>
      <c r="AH228" s="187" t="str">
        <f t="shared" si="52"/>
        <v/>
      </c>
      <c r="AI228" s="187" t="str">
        <f t="shared" si="52"/>
        <v/>
      </c>
      <c r="AJ228" s="187" t="str">
        <f t="shared" si="52"/>
        <v/>
      </c>
      <c r="AK228" s="187" t="str">
        <f t="shared" si="52"/>
        <v/>
      </c>
      <c r="AL228" s="187" t="str">
        <f t="shared" si="52"/>
        <v/>
      </c>
    </row>
    <row r="229" spans="1:38" ht="15" customHeight="1">
      <c r="A229" s="181" t="s">
        <v>315</v>
      </c>
      <c r="B229" s="182">
        <v>31</v>
      </c>
      <c r="C229" s="183">
        <f t="shared" ref="C229:Y229" si="53">C150+C143+C159</f>
        <v>0</v>
      </c>
      <c r="D229" s="183">
        <f t="shared" si="53"/>
        <v>0</v>
      </c>
      <c r="E229" s="183">
        <f t="shared" si="53"/>
        <v>0</v>
      </c>
      <c r="F229" s="183">
        <f t="shared" si="53"/>
        <v>0</v>
      </c>
      <c r="G229" s="183">
        <f t="shared" si="53"/>
        <v>0</v>
      </c>
      <c r="H229" s="183">
        <f t="shared" si="53"/>
        <v>0</v>
      </c>
      <c r="I229" s="183">
        <f t="shared" si="53"/>
        <v>0</v>
      </c>
      <c r="J229" s="183">
        <f t="shared" si="53"/>
        <v>-400000</v>
      </c>
      <c r="K229" s="183">
        <f t="shared" si="53"/>
        <v>-15035354</v>
      </c>
      <c r="L229" s="183">
        <f t="shared" si="53"/>
        <v>-615035354</v>
      </c>
      <c r="M229" s="183">
        <f t="shared" si="53"/>
        <v>-615035354</v>
      </c>
      <c r="N229" s="183">
        <f t="shared" si="53"/>
        <v>-615578474</v>
      </c>
      <c r="O229" s="183">
        <f t="shared" si="53"/>
        <v>-18577035</v>
      </c>
      <c r="P229" s="183">
        <f t="shared" si="53"/>
        <v>-1215577416</v>
      </c>
      <c r="Q229" s="183">
        <f t="shared" si="53"/>
        <v>-615578124</v>
      </c>
      <c r="R229" s="183">
        <f t="shared" si="53"/>
        <v>-612761221</v>
      </c>
      <c r="S229" s="183">
        <f t="shared" si="53"/>
        <v>-615579785</v>
      </c>
      <c r="T229" s="183">
        <f t="shared" si="53"/>
        <v>-616578030</v>
      </c>
      <c r="U229" s="183">
        <f t="shared" si="53"/>
        <v>-600848036</v>
      </c>
      <c r="V229" s="183">
        <f t="shared" si="53"/>
        <v>-600577813</v>
      </c>
      <c r="W229" s="183">
        <f t="shared" si="53"/>
        <v>-600583185</v>
      </c>
      <c r="X229" s="183">
        <f t="shared" si="53"/>
        <v>-600583792</v>
      </c>
      <c r="Y229" s="183">
        <f t="shared" si="53"/>
        <v>-593526227</v>
      </c>
      <c r="Z229" s="183">
        <v>-600583740</v>
      </c>
      <c r="AA229" s="183">
        <f t="shared" ref="AA229:AL229" si="54">AA150+AA143+AA159</f>
        <v>-4979188.888888889</v>
      </c>
      <c r="AB229" s="183">
        <f t="shared" si="54"/>
        <v>-4579188.888888889</v>
      </c>
      <c r="AC229" s="183">
        <f t="shared" si="54"/>
        <v>-4579188.888888889</v>
      </c>
      <c r="AD229" s="183">
        <f t="shared" si="54"/>
        <v>-4979188.888888889</v>
      </c>
      <c r="AE229" s="183">
        <f t="shared" si="54"/>
        <v>-4579188.888888889</v>
      </c>
      <c r="AF229" s="183">
        <f t="shared" si="54"/>
        <v>-4579188.888888889</v>
      </c>
      <c r="AG229" s="183">
        <f t="shared" si="54"/>
        <v>-4579188.888888889</v>
      </c>
      <c r="AH229" s="183">
        <f t="shared" si="54"/>
        <v>-4979188.888888889</v>
      </c>
      <c r="AI229" s="183">
        <f t="shared" si="54"/>
        <v>-4579188.888888889</v>
      </c>
      <c r="AJ229" s="183">
        <f t="shared" si="54"/>
        <v>-4579188.888888889</v>
      </c>
      <c r="AK229" s="183">
        <f t="shared" si="54"/>
        <v>-4979188.888888889</v>
      </c>
      <c r="AL229" s="183">
        <f t="shared" si="54"/>
        <v>-4579188.888888889</v>
      </c>
    </row>
    <row r="230" spans="1:38" ht="15" customHeight="1">
      <c r="A230" s="184" t="s">
        <v>316</v>
      </c>
      <c r="B230" s="185">
        <v>32</v>
      </c>
      <c r="C230" s="187" t="str">
        <f t="shared" ref="C230:AL230" si="55">IFERROR(C229/C207,"")</f>
        <v/>
      </c>
      <c r="D230" s="187" t="str">
        <f t="shared" si="55"/>
        <v/>
      </c>
      <c r="E230" s="187" t="str">
        <f t="shared" si="55"/>
        <v/>
      </c>
      <c r="F230" s="187" t="str">
        <f t="shared" si="55"/>
        <v/>
      </c>
      <c r="G230" s="187" t="str">
        <f t="shared" si="55"/>
        <v/>
      </c>
      <c r="H230" s="187" t="str">
        <f t="shared" si="55"/>
        <v/>
      </c>
      <c r="I230" s="187" t="str">
        <f t="shared" si="55"/>
        <v/>
      </c>
      <c r="J230" s="187" t="str">
        <f t="shared" si="55"/>
        <v/>
      </c>
      <c r="K230" s="187" t="str">
        <f t="shared" si="55"/>
        <v/>
      </c>
      <c r="L230" s="187" t="str">
        <f t="shared" si="55"/>
        <v/>
      </c>
      <c r="M230" s="187" t="str">
        <f t="shared" si="55"/>
        <v/>
      </c>
      <c r="N230" s="187" t="str">
        <f t="shared" si="55"/>
        <v/>
      </c>
      <c r="O230" s="187" t="str">
        <f t="shared" si="55"/>
        <v/>
      </c>
      <c r="P230" s="187" t="str">
        <f t="shared" si="55"/>
        <v/>
      </c>
      <c r="Q230" s="187" t="str">
        <f t="shared" si="55"/>
        <v/>
      </c>
      <c r="R230" s="187" t="str">
        <f t="shared" si="55"/>
        <v/>
      </c>
      <c r="S230" s="187" t="str">
        <f t="shared" si="55"/>
        <v/>
      </c>
      <c r="T230" s="187" t="str">
        <f t="shared" si="55"/>
        <v/>
      </c>
      <c r="U230" s="187" t="str">
        <f t="shared" si="55"/>
        <v/>
      </c>
      <c r="V230" s="187" t="str">
        <f t="shared" si="55"/>
        <v/>
      </c>
      <c r="W230" s="187" t="str">
        <f t="shared" si="55"/>
        <v/>
      </c>
      <c r="X230" s="187" t="str">
        <f t="shared" si="55"/>
        <v/>
      </c>
      <c r="Y230" s="187" t="str">
        <f t="shared" si="55"/>
        <v/>
      </c>
      <c r="Z230" s="187" t="s">
        <v>378</v>
      </c>
      <c r="AA230" s="187" t="str">
        <f t="shared" si="55"/>
        <v/>
      </c>
      <c r="AB230" s="187" t="str">
        <f t="shared" si="55"/>
        <v/>
      </c>
      <c r="AC230" s="187" t="str">
        <f t="shared" si="55"/>
        <v/>
      </c>
      <c r="AD230" s="187" t="str">
        <f t="shared" si="55"/>
        <v/>
      </c>
      <c r="AE230" s="187" t="str">
        <f t="shared" si="55"/>
        <v/>
      </c>
      <c r="AF230" s="187" t="str">
        <f t="shared" si="55"/>
        <v/>
      </c>
      <c r="AG230" s="187" t="str">
        <f t="shared" si="55"/>
        <v/>
      </c>
      <c r="AH230" s="187" t="str">
        <f t="shared" si="55"/>
        <v/>
      </c>
      <c r="AI230" s="187" t="str">
        <f t="shared" si="55"/>
        <v/>
      </c>
      <c r="AJ230" s="187" t="str">
        <f t="shared" si="55"/>
        <v/>
      </c>
      <c r="AK230" s="187" t="str">
        <f t="shared" si="55"/>
        <v/>
      </c>
      <c r="AL230" s="187" t="str">
        <f t="shared" si="55"/>
        <v/>
      </c>
    </row>
    <row r="231" spans="1:38" ht="15" customHeight="1">
      <c r="A231" s="181" t="s">
        <v>317</v>
      </c>
      <c r="B231" s="182">
        <v>33</v>
      </c>
      <c r="C231" s="183">
        <f t="shared" ref="C231:Y231" si="56">C151+C152</f>
        <v>0</v>
      </c>
      <c r="D231" s="183">
        <f t="shared" si="56"/>
        <v>0</v>
      </c>
      <c r="E231" s="183">
        <f t="shared" si="56"/>
        <v>0</v>
      </c>
      <c r="F231" s="183">
        <f t="shared" si="56"/>
        <v>0</v>
      </c>
      <c r="G231" s="183">
        <f t="shared" si="56"/>
        <v>0</v>
      </c>
      <c r="H231" s="183">
        <f t="shared" si="56"/>
        <v>0</v>
      </c>
      <c r="I231" s="183">
        <f t="shared" si="56"/>
        <v>0</v>
      </c>
      <c r="J231" s="183">
        <f t="shared" si="56"/>
        <v>0</v>
      </c>
      <c r="K231" s="183">
        <f t="shared" si="56"/>
        <v>0</v>
      </c>
      <c r="L231" s="183">
        <f t="shared" si="56"/>
        <v>0</v>
      </c>
      <c r="M231" s="183">
        <f t="shared" si="56"/>
        <v>0</v>
      </c>
      <c r="N231" s="183">
        <f t="shared" si="56"/>
        <v>0</v>
      </c>
      <c r="O231" s="183">
        <f t="shared" si="56"/>
        <v>0</v>
      </c>
      <c r="P231" s="183">
        <f t="shared" si="56"/>
        <v>0</v>
      </c>
      <c r="Q231" s="183">
        <f t="shared" si="56"/>
        <v>0</v>
      </c>
      <c r="R231" s="183">
        <f t="shared" si="56"/>
        <v>0</v>
      </c>
      <c r="S231" s="183">
        <f t="shared" si="56"/>
        <v>0</v>
      </c>
      <c r="T231" s="183">
        <f t="shared" si="56"/>
        <v>0</v>
      </c>
      <c r="U231" s="183">
        <f t="shared" si="56"/>
        <v>0</v>
      </c>
      <c r="V231" s="183">
        <f t="shared" si="56"/>
        <v>0</v>
      </c>
      <c r="W231" s="183">
        <f t="shared" si="56"/>
        <v>0</v>
      </c>
      <c r="X231" s="183">
        <f t="shared" si="56"/>
        <v>0</v>
      </c>
      <c r="Y231" s="183">
        <f t="shared" si="56"/>
        <v>0</v>
      </c>
      <c r="Z231" s="183">
        <v>0</v>
      </c>
      <c r="AA231" s="183">
        <f t="shared" ref="AA231:AL231" si="57">AA151+AA152</f>
        <v>0</v>
      </c>
      <c r="AB231" s="183">
        <f t="shared" si="57"/>
        <v>0</v>
      </c>
      <c r="AC231" s="183">
        <f t="shared" si="57"/>
        <v>0</v>
      </c>
      <c r="AD231" s="183">
        <f t="shared" si="57"/>
        <v>0</v>
      </c>
      <c r="AE231" s="183">
        <f t="shared" si="57"/>
        <v>0</v>
      </c>
      <c r="AF231" s="183">
        <f t="shared" si="57"/>
        <v>0</v>
      </c>
      <c r="AG231" s="183">
        <f t="shared" si="57"/>
        <v>0</v>
      </c>
      <c r="AH231" s="183">
        <f t="shared" si="57"/>
        <v>0</v>
      </c>
      <c r="AI231" s="183">
        <f t="shared" si="57"/>
        <v>0</v>
      </c>
      <c r="AJ231" s="183">
        <f t="shared" si="57"/>
        <v>0</v>
      </c>
      <c r="AK231" s="183">
        <f t="shared" si="57"/>
        <v>0</v>
      </c>
      <c r="AL231" s="183">
        <f t="shared" si="57"/>
        <v>0</v>
      </c>
    </row>
    <row r="232" spans="1:38" ht="15" customHeight="1">
      <c r="A232" s="184" t="s">
        <v>318</v>
      </c>
      <c r="B232" s="185">
        <v>34</v>
      </c>
      <c r="C232" s="187" t="str">
        <f>IFERROR(C231/C207,"")</f>
        <v/>
      </c>
      <c r="D232" s="187" t="str">
        <f t="shared" ref="D232:AL232" si="58">IFERROR(D231/D207,"")</f>
        <v/>
      </c>
      <c r="E232" s="187" t="str">
        <f t="shared" si="58"/>
        <v/>
      </c>
      <c r="F232" s="187" t="str">
        <f t="shared" si="58"/>
        <v/>
      </c>
      <c r="G232" s="187" t="str">
        <f t="shared" si="58"/>
        <v/>
      </c>
      <c r="H232" s="187" t="str">
        <f t="shared" si="58"/>
        <v/>
      </c>
      <c r="I232" s="187" t="str">
        <f t="shared" si="58"/>
        <v/>
      </c>
      <c r="J232" s="187" t="str">
        <f t="shared" si="58"/>
        <v/>
      </c>
      <c r="K232" s="187" t="str">
        <f t="shared" si="58"/>
        <v/>
      </c>
      <c r="L232" s="187" t="str">
        <f t="shared" si="58"/>
        <v/>
      </c>
      <c r="M232" s="187" t="str">
        <f t="shared" si="58"/>
        <v/>
      </c>
      <c r="N232" s="187" t="str">
        <f t="shared" si="58"/>
        <v/>
      </c>
      <c r="O232" s="187" t="str">
        <f t="shared" si="58"/>
        <v/>
      </c>
      <c r="P232" s="187" t="str">
        <f t="shared" si="58"/>
        <v/>
      </c>
      <c r="Q232" s="187" t="str">
        <f t="shared" si="58"/>
        <v/>
      </c>
      <c r="R232" s="187" t="str">
        <f t="shared" si="58"/>
        <v/>
      </c>
      <c r="S232" s="187" t="str">
        <f t="shared" si="58"/>
        <v/>
      </c>
      <c r="T232" s="187" t="str">
        <f t="shared" si="58"/>
        <v/>
      </c>
      <c r="U232" s="187" t="str">
        <f t="shared" si="58"/>
        <v/>
      </c>
      <c r="V232" s="187" t="str">
        <f t="shared" si="58"/>
        <v/>
      </c>
      <c r="W232" s="187" t="str">
        <f t="shared" si="58"/>
        <v/>
      </c>
      <c r="X232" s="187" t="str">
        <f t="shared" si="58"/>
        <v/>
      </c>
      <c r="Y232" s="187" t="str">
        <f t="shared" si="58"/>
        <v/>
      </c>
      <c r="Z232" s="187" t="s">
        <v>378</v>
      </c>
      <c r="AA232" s="187" t="str">
        <f t="shared" si="58"/>
        <v/>
      </c>
      <c r="AB232" s="187" t="str">
        <f t="shared" si="58"/>
        <v/>
      </c>
      <c r="AC232" s="187" t="str">
        <f t="shared" si="58"/>
        <v/>
      </c>
      <c r="AD232" s="187" t="str">
        <f t="shared" si="58"/>
        <v/>
      </c>
      <c r="AE232" s="187" t="str">
        <f t="shared" si="58"/>
        <v/>
      </c>
      <c r="AF232" s="187" t="str">
        <f t="shared" si="58"/>
        <v/>
      </c>
      <c r="AG232" s="187" t="str">
        <f t="shared" si="58"/>
        <v/>
      </c>
      <c r="AH232" s="187" t="str">
        <f t="shared" si="58"/>
        <v/>
      </c>
      <c r="AI232" s="187" t="str">
        <f t="shared" si="58"/>
        <v/>
      </c>
      <c r="AJ232" s="187" t="str">
        <f t="shared" si="58"/>
        <v/>
      </c>
      <c r="AK232" s="187" t="str">
        <f t="shared" si="58"/>
        <v/>
      </c>
      <c r="AL232" s="187" t="str">
        <f t="shared" si="58"/>
        <v/>
      </c>
    </row>
    <row r="233" spans="1:38" ht="15" customHeight="1">
      <c r="A233" s="181" t="s">
        <v>319</v>
      </c>
      <c r="B233" s="182">
        <v>35</v>
      </c>
      <c r="C233" s="183">
        <f t="shared" ref="C233:Y233" si="59">C153</f>
        <v>0</v>
      </c>
      <c r="D233" s="183">
        <f t="shared" si="59"/>
        <v>0</v>
      </c>
      <c r="E233" s="183">
        <f t="shared" si="59"/>
        <v>0</v>
      </c>
      <c r="F233" s="183">
        <f t="shared" si="59"/>
        <v>0</v>
      </c>
      <c r="G233" s="183">
        <f t="shared" si="59"/>
        <v>0</v>
      </c>
      <c r="H233" s="183">
        <f t="shared" si="59"/>
        <v>0</v>
      </c>
      <c r="I233" s="183">
        <f t="shared" si="59"/>
        <v>0</v>
      </c>
      <c r="J233" s="183">
        <f t="shared" si="59"/>
        <v>-400000</v>
      </c>
      <c r="K233" s="183">
        <f t="shared" si="59"/>
        <v>-15035354</v>
      </c>
      <c r="L233" s="183">
        <f t="shared" si="59"/>
        <v>-615035354</v>
      </c>
      <c r="M233" s="183">
        <f t="shared" si="59"/>
        <v>-615035354</v>
      </c>
      <c r="N233" s="183">
        <f t="shared" si="59"/>
        <v>-615578474</v>
      </c>
      <c r="O233" s="183">
        <f t="shared" si="59"/>
        <v>-18577035</v>
      </c>
      <c r="P233" s="183">
        <f t="shared" si="59"/>
        <v>-1215577416</v>
      </c>
      <c r="Q233" s="183">
        <f t="shared" si="59"/>
        <v>-615578124</v>
      </c>
      <c r="R233" s="183">
        <f t="shared" si="59"/>
        <v>-612761221</v>
      </c>
      <c r="S233" s="183">
        <f t="shared" si="59"/>
        <v>-615579785</v>
      </c>
      <c r="T233" s="183">
        <f t="shared" si="59"/>
        <v>-616578030</v>
      </c>
      <c r="U233" s="183">
        <f t="shared" si="59"/>
        <v>-600848036</v>
      </c>
      <c r="V233" s="183">
        <f t="shared" si="59"/>
        <v>-600577813</v>
      </c>
      <c r="W233" s="183">
        <f t="shared" si="59"/>
        <v>-600583185</v>
      </c>
      <c r="X233" s="183">
        <f t="shared" si="59"/>
        <v>-600583792</v>
      </c>
      <c r="Y233" s="183">
        <f t="shared" si="59"/>
        <v>-593526227</v>
      </c>
      <c r="Z233" s="183">
        <v>-600583740</v>
      </c>
      <c r="AA233" s="183">
        <f t="shared" ref="AA233:AL233" si="60">AA153</f>
        <v>-4979188.888888889</v>
      </c>
      <c r="AB233" s="183">
        <f t="shared" si="60"/>
        <v>-4579188.888888889</v>
      </c>
      <c r="AC233" s="183">
        <f t="shared" si="60"/>
        <v>-4579188.888888889</v>
      </c>
      <c r="AD233" s="183">
        <f t="shared" si="60"/>
        <v>-4979188.888888889</v>
      </c>
      <c r="AE233" s="183">
        <f t="shared" si="60"/>
        <v>-4579188.888888889</v>
      </c>
      <c r="AF233" s="183">
        <f t="shared" si="60"/>
        <v>-4579188.888888889</v>
      </c>
      <c r="AG233" s="183">
        <f t="shared" si="60"/>
        <v>-4579188.888888889</v>
      </c>
      <c r="AH233" s="183">
        <f t="shared" si="60"/>
        <v>-4979188.888888889</v>
      </c>
      <c r="AI233" s="183">
        <f t="shared" si="60"/>
        <v>-4579188.888888889</v>
      </c>
      <c r="AJ233" s="183">
        <f t="shared" si="60"/>
        <v>-4579188.888888889</v>
      </c>
      <c r="AK233" s="183">
        <f t="shared" si="60"/>
        <v>-4979188.888888889</v>
      </c>
      <c r="AL233" s="183">
        <f t="shared" si="60"/>
        <v>-4579188.888888889</v>
      </c>
    </row>
    <row r="234" spans="1:38" ht="15" customHeight="1">
      <c r="A234" s="184" t="s">
        <v>320</v>
      </c>
      <c r="B234" s="185">
        <v>36</v>
      </c>
      <c r="C234" s="187" t="str">
        <f t="shared" ref="C234:AL234" si="61">IFERROR(C233/C207,"")</f>
        <v/>
      </c>
      <c r="D234" s="187" t="str">
        <f t="shared" si="61"/>
        <v/>
      </c>
      <c r="E234" s="187" t="str">
        <f t="shared" si="61"/>
        <v/>
      </c>
      <c r="F234" s="187" t="str">
        <f t="shared" si="61"/>
        <v/>
      </c>
      <c r="G234" s="187" t="str">
        <f t="shared" si="61"/>
        <v/>
      </c>
      <c r="H234" s="187" t="str">
        <f t="shared" si="61"/>
        <v/>
      </c>
      <c r="I234" s="187" t="str">
        <f t="shared" si="61"/>
        <v/>
      </c>
      <c r="J234" s="187" t="str">
        <f t="shared" si="61"/>
        <v/>
      </c>
      <c r="K234" s="187" t="str">
        <f t="shared" si="61"/>
        <v/>
      </c>
      <c r="L234" s="187" t="str">
        <f t="shared" si="61"/>
        <v/>
      </c>
      <c r="M234" s="187" t="str">
        <f t="shared" si="61"/>
        <v/>
      </c>
      <c r="N234" s="187" t="str">
        <f t="shared" si="61"/>
        <v/>
      </c>
      <c r="O234" s="187" t="str">
        <f t="shared" si="61"/>
        <v/>
      </c>
      <c r="P234" s="187" t="str">
        <f t="shared" si="61"/>
        <v/>
      </c>
      <c r="Q234" s="187" t="str">
        <f t="shared" si="61"/>
        <v/>
      </c>
      <c r="R234" s="187" t="str">
        <f t="shared" si="61"/>
        <v/>
      </c>
      <c r="S234" s="187" t="str">
        <f t="shared" si="61"/>
        <v/>
      </c>
      <c r="T234" s="187" t="str">
        <f t="shared" si="61"/>
        <v/>
      </c>
      <c r="U234" s="187" t="str">
        <f t="shared" si="61"/>
        <v/>
      </c>
      <c r="V234" s="187" t="str">
        <f t="shared" si="61"/>
        <v/>
      </c>
      <c r="W234" s="187" t="str">
        <f t="shared" si="61"/>
        <v/>
      </c>
      <c r="X234" s="187" t="str">
        <f t="shared" si="61"/>
        <v/>
      </c>
      <c r="Y234" s="187" t="str">
        <f t="shared" si="61"/>
        <v/>
      </c>
      <c r="Z234" s="187" t="s">
        <v>378</v>
      </c>
      <c r="AA234" s="187" t="str">
        <f t="shared" si="61"/>
        <v/>
      </c>
      <c r="AB234" s="187" t="str">
        <f t="shared" si="61"/>
        <v/>
      </c>
      <c r="AC234" s="187" t="str">
        <f t="shared" si="61"/>
        <v/>
      </c>
      <c r="AD234" s="187" t="str">
        <f t="shared" si="61"/>
        <v/>
      </c>
      <c r="AE234" s="187" t="str">
        <f t="shared" si="61"/>
        <v/>
      </c>
      <c r="AF234" s="187" t="str">
        <f t="shared" si="61"/>
        <v/>
      </c>
      <c r="AG234" s="187" t="str">
        <f t="shared" si="61"/>
        <v/>
      </c>
      <c r="AH234" s="187" t="str">
        <f t="shared" si="61"/>
        <v/>
      </c>
      <c r="AI234" s="187" t="str">
        <f t="shared" si="61"/>
        <v/>
      </c>
      <c r="AJ234" s="187" t="str">
        <f t="shared" si="61"/>
        <v/>
      </c>
      <c r="AK234" s="187" t="str">
        <f t="shared" si="61"/>
        <v/>
      </c>
      <c r="AL234" s="187" t="str">
        <f t="shared" si="61"/>
        <v/>
      </c>
    </row>
    <row r="235" spans="1:38" ht="15" customHeight="1">
      <c r="A235" s="193" t="s">
        <v>321</v>
      </c>
      <c r="B235" s="146">
        <v>37</v>
      </c>
      <c r="C235" s="183">
        <f t="shared" ref="C235:Y235" si="62">C144</f>
        <v>0</v>
      </c>
      <c r="D235" s="183">
        <f t="shared" si="62"/>
        <v>0</v>
      </c>
      <c r="E235" s="183">
        <f t="shared" si="62"/>
        <v>0</v>
      </c>
      <c r="F235" s="183">
        <f t="shared" si="62"/>
        <v>0</v>
      </c>
      <c r="G235" s="183">
        <f t="shared" si="62"/>
        <v>0</v>
      </c>
      <c r="H235" s="183">
        <f t="shared" si="62"/>
        <v>0</v>
      </c>
      <c r="I235" s="183">
        <f t="shared" si="62"/>
        <v>0</v>
      </c>
      <c r="J235" s="183">
        <f t="shared" si="62"/>
        <v>0</v>
      </c>
      <c r="K235" s="183">
        <f t="shared" si="62"/>
        <v>0</v>
      </c>
      <c r="L235" s="183">
        <f t="shared" si="62"/>
        <v>0</v>
      </c>
      <c r="M235" s="183">
        <f t="shared" si="62"/>
        <v>0</v>
      </c>
      <c r="N235" s="183">
        <f t="shared" si="62"/>
        <v>0</v>
      </c>
      <c r="O235" s="183">
        <f t="shared" si="62"/>
        <v>0</v>
      </c>
      <c r="P235" s="183">
        <f t="shared" si="62"/>
        <v>0</v>
      </c>
      <c r="Q235" s="183">
        <f t="shared" si="62"/>
        <v>0</v>
      </c>
      <c r="R235" s="183">
        <f t="shared" si="62"/>
        <v>0</v>
      </c>
      <c r="S235" s="183">
        <f t="shared" si="62"/>
        <v>0</v>
      </c>
      <c r="T235" s="183">
        <f t="shared" si="62"/>
        <v>0</v>
      </c>
      <c r="U235" s="183">
        <f t="shared" si="62"/>
        <v>0</v>
      </c>
      <c r="V235" s="183">
        <f t="shared" si="62"/>
        <v>0</v>
      </c>
      <c r="W235" s="183">
        <f t="shared" si="62"/>
        <v>0</v>
      </c>
      <c r="X235" s="183">
        <f t="shared" si="62"/>
        <v>0</v>
      </c>
      <c r="Y235" s="183">
        <f t="shared" si="62"/>
        <v>0</v>
      </c>
      <c r="Z235" s="183">
        <v>0</v>
      </c>
      <c r="AA235" s="183">
        <f t="shared" ref="AA235:AL235" si="63">AA144</f>
        <v>0</v>
      </c>
      <c r="AB235" s="183">
        <f t="shared" si="63"/>
        <v>0</v>
      </c>
      <c r="AC235" s="183">
        <f t="shared" si="63"/>
        <v>0</v>
      </c>
      <c r="AD235" s="183">
        <f t="shared" si="63"/>
        <v>0</v>
      </c>
      <c r="AE235" s="183">
        <f t="shared" si="63"/>
        <v>0</v>
      </c>
      <c r="AF235" s="183">
        <f t="shared" si="63"/>
        <v>0</v>
      </c>
      <c r="AG235" s="183">
        <f t="shared" si="63"/>
        <v>0</v>
      </c>
      <c r="AH235" s="183">
        <f t="shared" si="63"/>
        <v>0</v>
      </c>
      <c r="AI235" s="183">
        <f t="shared" si="63"/>
        <v>0</v>
      </c>
      <c r="AJ235" s="183">
        <f t="shared" si="63"/>
        <v>0</v>
      </c>
      <c r="AK235" s="183">
        <f t="shared" si="63"/>
        <v>0</v>
      </c>
      <c r="AL235" s="183">
        <f t="shared" si="63"/>
        <v>0</v>
      </c>
    </row>
    <row r="236" spans="1:38" ht="15" customHeight="1">
      <c r="A236" s="190" t="s">
        <v>322</v>
      </c>
      <c r="B236" s="191">
        <v>38</v>
      </c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>
        <v>0</v>
      </c>
      <c r="AA236" s="189">
        <f>SUMIFS([1]!Data_PL_Element[Value],[1]!Data_PL_Element[Index PL Element],TDP!$B236,[1]!Data_PL_Element[TenCongTyID],TDP!$B$1,[1]!Data_PL_Element[Thang.Nam],TDP!AA$198)</f>
        <v>0</v>
      </c>
      <c r="AB236" s="189">
        <f>SUMIFS([1]!Data_PL_Element[Value],[1]!Data_PL_Element[Index PL Element],TDP!$B236,[1]!Data_PL_Element[TenCongTyID],TDP!$B$1,[1]!Data_PL_Element[Thang.Nam],TDP!AB$198)</f>
        <v>0</v>
      </c>
      <c r="AC236" s="189">
        <f>SUMIFS([1]!Data_PL_Element[Value],[1]!Data_PL_Element[Index PL Element],TDP!$B236,[1]!Data_PL_Element[TenCongTyID],TDP!$B$1,[1]!Data_PL_Element[Thang.Nam],TDP!AC$198)</f>
        <v>0</v>
      </c>
      <c r="AD236" s="189">
        <f>SUMIFS([1]!Data_PL_Element[Value],[1]!Data_PL_Element[Index PL Element],TDP!$B236,[1]!Data_PL_Element[TenCongTyID],TDP!$B$1,[1]!Data_PL_Element[Thang.Nam],TDP!AD$198)</f>
        <v>0</v>
      </c>
      <c r="AE236" s="189">
        <f>SUMIFS([1]!Data_PL_Element[Value],[1]!Data_PL_Element[Index PL Element],TDP!$B236,[1]!Data_PL_Element[TenCongTyID],TDP!$B$1,[1]!Data_PL_Element[Thang.Nam],TDP!AE$198)</f>
        <v>0</v>
      </c>
      <c r="AF236" s="189">
        <f>SUMIFS([1]!Data_PL_Element[Value],[1]!Data_PL_Element[Index PL Element],TDP!$B236,[1]!Data_PL_Element[TenCongTyID],TDP!$B$1,[1]!Data_PL_Element[Thang.Nam],TDP!AF$198)</f>
        <v>0</v>
      </c>
      <c r="AG236" s="189">
        <f>SUMIFS([1]!Data_PL_Element[Value],[1]!Data_PL_Element[Index PL Element],TDP!$B236,[1]!Data_PL_Element[TenCongTyID],TDP!$B$1,[1]!Data_PL_Element[Thang.Nam],TDP!AG$198)</f>
        <v>0</v>
      </c>
      <c r="AH236" s="189">
        <f>SUMIFS([1]!Data_PL_Element[Value],[1]!Data_PL_Element[Index PL Element],TDP!$B236,[1]!Data_PL_Element[TenCongTyID],TDP!$B$1,[1]!Data_PL_Element[Thang.Nam],TDP!AH$198)</f>
        <v>0</v>
      </c>
      <c r="AI236" s="189">
        <f>SUMIFS([1]!Data_PL_Element[Value],[1]!Data_PL_Element[Index PL Element],TDP!$B236,[1]!Data_PL_Element[TenCongTyID],TDP!$B$1,[1]!Data_PL_Element[Thang.Nam],TDP!AI$198)</f>
        <v>0</v>
      </c>
      <c r="AJ236" s="189">
        <f>SUMIFS([1]!Data_PL_Element[Value],[1]!Data_PL_Element[Index PL Element],TDP!$B236,[1]!Data_PL_Element[TenCongTyID],TDP!$B$1,[1]!Data_PL_Element[Thang.Nam],TDP!AJ$198)</f>
        <v>0</v>
      </c>
      <c r="AK236" s="189">
        <f>SUMIFS([1]!Data_PL_Element[Value],[1]!Data_PL_Element[Index PL Element],TDP!$B236,[1]!Data_PL_Element[TenCongTyID],TDP!$B$1,[1]!Data_PL_Element[Thang.Nam],TDP!AK$198)</f>
        <v>0</v>
      </c>
      <c r="AL236" s="189">
        <f>SUMIFS([1]!Data_PL_Element[Value],[1]!Data_PL_Element[Index PL Element],TDP!$B236,[1]!Data_PL_Element[TenCongTyID],TDP!$B$1,[1]!Data_PL_Element[Thang.Nam],TDP!AL$198)</f>
        <v>0</v>
      </c>
    </row>
    <row r="237" spans="1:38" ht="15" customHeight="1">
      <c r="A237" s="190" t="s">
        <v>323</v>
      </c>
      <c r="B237" s="191">
        <v>39</v>
      </c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>
        <v>0</v>
      </c>
      <c r="AA237" s="189">
        <f>SUMIFS([1]!Data_PL_Element[Value],[1]!Data_PL_Element[Index PL Element],TDP!$B237,[1]!Data_PL_Element[TenCongTyID],TDP!$B$1,[1]!Data_PL_Element[Thang.Nam],TDP!AA$198)</f>
        <v>0</v>
      </c>
      <c r="AB237" s="189">
        <f>SUMIFS([1]!Data_PL_Element[Value],[1]!Data_PL_Element[Index PL Element],TDP!$B237,[1]!Data_PL_Element[TenCongTyID],TDP!$B$1,[1]!Data_PL_Element[Thang.Nam],TDP!AB$198)</f>
        <v>0</v>
      </c>
      <c r="AC237" s="189">
        <f>SUMIFS([1]!Data_PL_Element[Value],[1]!Data_PL_Element[Index PL Element],TDP!$B237,[1]!Data_PL_Element[TenCongTyID],TDP!$B$1,[1]!Data_PL_Element[Thang.Nam],TDP!AC$198)</f>
        <v>0</v>
      </c>
      <c r="AD237" s="189">
        <f>SUMIFS([1]!Data_PL_Element[Value],[1]!Data_PL_Element[Index PL Element],TDP!$B237,[1]!Data_PL_Element[TenCongTyID],TDP!$B$1,[1]!Data_PL_Element[Thang.Nam],TDP!AD$198)</f>
        <v>0</v>
      </c>
      <c r="AE237" s="189">
        <f>SUMIFS([1]!Data_PL_Element[Value],[1]!Data_PL_Element[Index PL Element],TDP!$B237,[1]!Data_PL_Element[TenCongTyID],TDP!$B$1,[1]!Data_PL_Element[Thang.Nam],TDP!AE$198)</f>
        <v>0</v>
      </c>
      <c r="AF237" s="189">
        <f>SUMIFS([1]!Data_PL_Element[Value],[1]!Data_PL_Element[Index PL Element],TDP!$B237,[1]!Data_PL_Element[TenCongTyID],TDP!$B$1,[1]!Data_PL_Element[Thang.Nam],TDP!AF$198)</f>
        <v>0</v>
      </c>
      <c r="AG237" s="189">
        <f>SUMIFS([1]!Data_PL_Element[Value],[1]!Data_PL_Element[Index PL Element],TDP!$B237,[1]!Data_PL_Element[TenCongTyID],TDP!$B$1,[1]!Data_PL_Element[Thang.Nam],TDP!AG$198)</f>
        <v>0</v>
      </c>
      <c r="AH237" s="189">
        <f>SUMIFS([1]!Data_PL_Element[Value],[1]!Data_PL_Element[Index PL Element],TDP!$B237,[1]!Data_PL_Element[TenCongTyID],TDP!$B$1,[1]!Data_PL_Element[Thang.Nam],TDP!AH$198)</f>
        <v>0</v>
      </c>
      <c r="AI237" s="189">
        <f>SUMIFS([1]!Data_PL_Element[Value],[1]!Data_PL_Element[Index PL Element],TDP!$B237,[1]!Data_PL_Element[TenCongTyID],TDP!$B$1,[1]!Data_PL_Element[Thang.Nam],TDP!AI$198)</f>
        <v>0</v>
      </c>
      <c r="AJ237" s="189">
        <f>SUMIFS([1]!Data_PL_Element[Value],[1]!Data_PL_Element[Index PL Element],TDP!$B237,[1]!Data_PL_Element[TenCongTyID],TDP!$B$1,[1]!Data_PL_Element[Thang.Nam],TDP!AJ$198)</f>
        <v>0</v>
      </c>
      <c r="AK237" s="189">
        <f>SUMIFS([1]!Data_PL_Element[Value],[1]!Data_PL_Element[Index PL Element],TDP!$B237,[1]!Data_PL_Element[TenCongTyID],TDP!$B$1,[1]!Data_PL_Element[Thang.Nam],TDP!AK$198)</f>
        <v>0</v>
      </c>
      <c r="AL237" s="189">
        <f>SUMIFS([1]!Data_PL_Element[Value],[1]!Data_PL_Element[Index PL Element],TDP!$B237,[1]!Data_PL_Element[TenCongTyID],TDP!$B$1,[1]!Data_PL_Element[Thang.Nam],TDP!AL$198)</f>
        <v>0</v>
      </c>
    </row>
    <row r="238" spans="1:38" ht="15" customHeight="1">
      <c r="A238" s="190" t="s">
        <v>324</v>
      </c>
      <c r="B238" s="191">
        <v>40</v>
      </c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>
        <v>0</v>
      </c>
      <c r="AA238" s="189">
        <f>SUMIFS([1]!Data_PL_Element[Value],[1]!Data_PL_Element[Index PL Element],TDP!$B238,[1]!Data_PL_Element[TenCongTyID],TDP!$B$1,[1]!Data_PL_Element[Thang.Nam],TDP!AA$198)</f>
        <v>0</v>
      </c>
      <c r="AB238" s="189">
        <f>SUMIFS([1]!Data_PL_Element[Value],[1]!Data_PL_Element[Index PL Element],TDP!$B238,[1]!Data_PL_Element[TenCongTyID],TDP!$B$1,[1]!Data_PL_Element[Thang.Nam],TDP!AB$198)</f>
        <v>0</v>
      </c>
      <c r="AC238" s="189">
        <f>SUMIFS([1]!Data_PL_Element[Value],[1]!Data_PL_Element[Index PL Element],TDP!$B238,[1]!Data_PL_Element[TenCongTyID],TDP!$B$1,[1]!Data_PL_Element[Thang.Nam],TDP!AC$198)</f>
        <v>0</v>
      </c>
      <c r="AD238" s="189">
        <f>SUMIFS([1]!Data_PL_Element[Value],[1]!Data_PL_Element[Index PL Element],TDP!$B238,[1]!Data_PL_Element[TenCongTyID],TDP!$B$1,[1]!Data_PL_Element[Thang.Nam],TDP!AD$198)</f>
        <v>0</v>
      </c>
      <c r="AE238" s="189">
        <f>SUMIFS([1]!Data_PL_Element[Value],[1]!Data_PL_Element[Index PL Element],TDP!$B238,[1]!Data_PL_Element[TenCongTyID],TDP!$B$1,[1]!Data_PL_Element[Thang.Nam],TDP!AE$198)</f>
        <v>0</v>
      </c>
      <c r="AF238" s="189">
        <f>SUMIFS([1]!Data_PL_Element[Value],[1]!Data_PL_Element[Index PL Element],TDP!$B238,[1]!Data_PL_Element[TenCongTyID],TDP!$B$1,[1]!Data_PL_Element[Thang.Nam],TDP!AF$198)</f>
        <v>0</v>
      </c>
      <c r="AG238" s="189">
        <f>SUMIFS([1]!Data_PL_Element[Value],[1]!Data_PL_Element[Index PL Element],TDP!$B238,[1]!Data_PL_Element[TenCongTyID],TDP!$B$1,[1]!Data_PL_Element[Thang.Nam],TDP!AG$198)</f>
        <v>0</v>
      </c>
      <c r="AH238" s="189">
        <f>SUMIFS([1]!Data_PL_Element[Value],[1]!Data_PL_Element[Index PL Element],TDP!$B238,[1]!Data_PL_Element[TenCongTyID],TDP!$B$1,[1]!Data_PL_Element[Thang.Nam],TDP!AH$198)</f>
        <v>0</v>
      </c>
      <c r="AI238" s="189">
        <f>SUMIFS([1]!Data_PL_Element[Value],[1]!Data_PL_Element[Index PL Element],TDP!$B238,[1]!Data_PL_Element[TenCongTyID],TDP!$B$1,[1]!Data_PL_Element[Thang.Nam],TDP!AI$198)</f>
        <v>0</v>
      </c>
      <c r="AJ238" s="189">
        <f>SUMIFS([1]!Data_PL_Element[Value],[1]!Data_PL_Element[Index PL Element],TDP!$B238,[1]!Data_PL_Element[TenCongTyID],TDP!$B$1,[1]!Data_PL_Element[Thang.Nam],TDP!AJ$198)</f>
        <v>0</v>
      </c>
      <c r="AK238" s="189">
        <f>SUMIFS([1]!Data_PL_Element[Value],[1]!Data_PL_Element[Index PL Element],TDP!$B238,[1]!Data_PL_Element[TenCongTyID],TDP!$B$1,[1]!Data_PL_Element[Thang.Nam],TDP!AK$198)</f>
        <v>0</v>
      </c>
      <c r="AL238" s="189">
        <f>SUMIFS([1]!Data_PL_Element[Value],[1]!Data_PL_Element[Index PL Element],TDP!$B238,[1]!Data_PL_Element[TenCongTyID],TDP!$B$1,[1]!Data_PL_Element[Thang.Nam],TDP!AL$198)</f>
        <v>0</v>
      </c>
    </row>
    <row r="239" spans="1:38" ht="15" customHeight="1">
      <c r="A239" s="190" t="s">
        <v>325</v>
      </c>
      <c r="B239" s="191">
        <v>41</v>
      </c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>
        <v>0</v>
      </c>
      <c r="AA239" s="189">
        <f>SUMIFS([1]!Data_PL_Element[Value],[1]!Data_PL_Element[Index PL Element],TDP!$B239,[1]!Data_PL_Element[TenCongTyID],TDP!$B$1,[1]!Data_PL_Element[Thang.Nam],TDP!AA$198)</f>
        <v>0</v>
      </c>
      <c r="AB239" s="189">
        <f>SUMIFS([1]!Data_PL_Element[Value],[1]!Data_PL_Element[Index PL Element],TDP!$B239,[1]!Data_PL_Element[TenCongTyID],TDP!$B$1,[1]!Data_PL_Element[Thang.Nam],TDP!AB$198)</f>
        <v>0</v>
      </c>
      <c r="AC239" s="189">
        <f>SUMIFS([1]!Data_PL_Element[Value],[1]!Data_PL_Element[Index PL Element],TDP!$B239,[1]!Data_PL_Element[TenCongTyID],TDP!$B$1,[1]!Data_PL_Element[Thang.Nam],TDP!AC$198)</f>
        <v>0</v>
      </c>
      <c r="AD239" s="189">
        <f>SUMIFS([1]!Data_PL_Element[Value],[1]!Data_PL_Element[Index PL Element],TDP!$B239,[1]!Data_PL_Element[TenCongTyID],TDP!$B$1,[1]!Data_PL_Element[Thang.Nam],TDP!AD$198)</f>
        <v>0</v>
      </c>
      <c r="AE239" s="189">
        <f>SUMIFS([1]!Data_PL_Element[Value],[1]!Data_PL_Element[Index PL Element],TDP!$B239,[1]!Data_PL_Element[TenCongTyID],TDP!$B$1,[1]!Data_PL_Element[Thang.Nam],TDP!AE$198)</f>
        <v>0</v>
      </c>
      <c r="AF239" s="189">
        <f>SUMIFS([1]!Data_PL_Element[Value],[1]!Data_PL_Element[Index PL Element],TDP!$B239,[1]!Data_PL_Element[TenCongTyID],TDP!$B$1,[1]!Data_PL_Element[Thang.Nam],TDP!AF$198)</f>
        <v>0</v>
      </c>
      <c r="AG239" s="189">
        <f>SUMIFS([1]!Data_PL_Element[Value],[1]!Data_PL_Element[Index PL Element],TDP!$B239,[1]!Data_PL_Element[TenCongTyID],TDP!$B$1,[1]!Data_PL_Element[Thang.Nam],TDP!AG$198)</f>
        <v>0</v>
      </c>
      <c r="AH239" s="189">
        <f>SUMIFS([1]!Data_PL_Element[Value],[1]!Data_PL_Element[Index PL Element],TDP!$B239,[1]!Data_PL_Element[TenCongTyID],TDP!$B$1,[1]!Data_PL_Element[Thang.Nam],TDP!AH$198)</f>
        <v>0</v>
      </c>
      <c r="AI239" s="189">
        <f>SUMIFS([1]!Data_PL_Element[Value],[1]!Data_PL_Element[Index PL Element],TDP!$B239,[1]!Data_PL_Element[TenCongTyID],TDP!$B$1,[1]!Data_PL_Element[Thang.Nam],TDP!AI$198)</f>
        <v>0</v>
      </c>
      <c r="AJ239" s="189">
        <f>SUMIFS([1]!Data_PL_Element[Value],[1]!Data_PL_Element[Index PL Element],TDP!$B239,[1]!Data_PL_Element[TenCongTyID],TDP!$B$1,[1]!Data_PL_Element[Thang.Nam],TDP!AJ$198)</f>
        <v>0</v>
      </c>
      <c r="AK239" s="189">
        <f>SUMIFS([1]!Data_PL_Element[Value],[1]!Data_PL_Element[Index PL Element],TDP!$B239,[1]!Data_PL_Element[TenCongTyID],TDP!$B$1,[1]!Data_PL_Element[Thang.Nam],TDP!AK$198)</f>
        <v>0</v>
      </c>
      <c r="AL239" s="189">
        <f>SUMIFS([1]!Data_PL_Element[Value],[1]!Data_PL_Element[Index PL Element],TDP!$B239,[1]!Data_PL_Element[TenCongTyID],TDP!$B$1,[1]!Data_PL_Element[Thang.Nam],TDP!AL$198)</f>
        <v>0</v>
      </c>
    </row>
    <row r="240" spans="1:38" ht="15" customHeight="1">
      <c r="A240" s="190" t="s">
        <v>326</v>
      </c>
      <c r="B240" s="191">
        <v>42</v>
      </c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>
        <v>0</v>
      </c>
      <c r="AA240" s="189">
        <f>SUMIFS([1]!Data_PL_Element[Value],[1]!Data_PL_Element[Index PL Element],TDP!$B240,[1]!Data_PL_Element[TenCongTyID],TDP!$B$1,[1]!Data_PL_Element[Thang.Nam],TDP!AA$198)</f>
        <v>0</v>
      </c>
      <c r="AB240" s="189">
        <f>SUMIFS([1]!Data_PL_Element[Value],[1]!Data_PL_Element[Index PL Element],TDP!$B240,[1]!Data_PL_Element[TenCongTyID],TDP!$B$1,[1]!Data_PL_Element[Thang.Nam],TDP!AB$198)</f>
        <v>0</v>
      </c>
      <c r="AC240" s="189">
        <f>SUMIFS([1]!Data_PL_Element[Value],[1]!Data_PL_Element[Index PL Element],TDP!$B240,[1]!Data_PL_Element[TenCongTyID],TDP!$B$1,[1]!Data_PL_Element[Thang.Nam],TDP!AC$198)</f>
        <v>0</v>
      </c>
      <c r="AD240" s="189">
        <f>SUMIFS([1]!Data_PL_Element[Value],[1]!Data_PL_Element[Index PL Element],TDP!$B240,[1]!Data_PL_Element[TenCongTyID],TDP!$B$1,[1]!Data_PL_Element[Thang.Nam],TDP!AD$198)</f>
        <v>0</v>
      </c>
      <c r="AE240" s="189">
        <f>SUMIFS([1]!Data_PL_Element[Value],[1]!Data_PL_Element[Index PL Element],TDP!$B240,[1]!Data_PL_Element[TenCongTyID],TDP!$B$1,[1]!Data_PL_Element[Thang.Nam],TDP!AE$198)</f>
        <v>0</v>
      </c>
      <c r="AF240" s="189">
        <f>SUMIFS([1]!Data_PL_Element[Value],[1]!Data_PL_Element[Index PL Element],TDP!$B240,[1]!Data_PL_Element[TenCongTyID],TDP!$B$1,[1]!Data_PL_Element[Thang.Nam],TDP!AF$198)</f>
        <v>0</v>
      </c>
      <c r="AG240" s="189">
        <f>SUMIFS([1]!Data_PL_Element[Value],[1]!Data_PL_Element[Index PL Element],TDP!$B240,[1]!Data_PL_Element[TenCongTyID],TDP!$B$1,[1]!Data_PL_Element[Thang.Nam],TDP!AG$198)</f>
        <v>0</v>
      </c>
      <c r="AH240" s="189">
        <f>SUMIFS([1]!Data_PL_Element[Value],[1]!Data_PL_Element[Index PL Element],TDP!$B240,[1]!Data_PL_Element[TenCongTyID],TDP!$B$1,[1]!Data_PL_Element[Thang.Nam],TDP!AH$198)</f>
        <v>0</v>
      </c>
      <c r="AI240" s="189">
        <f>SUMIFS([1]!Data_PL_Element[Value],[1]!Data_PL_Element[Index PL Element],TDP!$B240,[1]!Data_PL_Element[TenCongTyID],TDP!$B$1,[1]!Data_PL_Element[Thang.Nam],TDP!AI$198)</f>
        <v>0</v>
      </c>
      <c r="AJ240" s="189">
        <f>SUMIFS([1]!Data_PL_Element[Value],[1]!Data_PL_Element[Index PL Element],TDP!$B240,[1]!Data_PL_Element[TenCongTyID],TDP!$B$1,[1]!Data_PL_Element[Thang.Nam],TDP!AJ$198)</f>
        <v>0</v>
      </c>
      <c r="AK240" s="189">
        <f>SUMIFS([1]!Data_PL_Element[Value],[1]!Data_PL_Element[Index PL Element],TDP!$B240,[1]!Data_PL_Element[TenCongTyID],TDP!$B$1,[1]!Data_PL_Element[Thang.Nam],TDP!AK$198)</f>
        <v>0</v>
      </c>
      <c r="AL240" s="189">
        <f>SUMIFS([1]!Data_PL_Element[Value],[1]!Data_PL_Element[Index PL Element],TDP!$B240,[1]!Data_PL_Element[TenCongTyID],TDP!$B$1,[1]!Data_PL_Element[Thang.Nam],TDP!AL$198)</f>
        <v>0</v>
      </c>
    </row>
    <row r="241" spans="1:38" ht="15" customHeight="1">
      <c r="A241" s="190" t="s">
        <v>327</v>
      </c>
      <c r="B241" s="191">
        <v>43</v>
      </c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>
        <v>0</v>
      </c>
      <c r="AA241" s="189">
        <f>SUMIFS([1]!Data_PL_Element[Value],[1]!Data_PL_Element[Index PL Element],TDP!$B241,[1]!Data_PL_Element[TenCongTyID],TDP!$B$1,[1]!Data_PL_Element[Thang.Nam],TDP!AA$198)</f>
        <v>0</v>
      </c>
      <c r="AB241" s="189">
        <f>SUMIFS([1]!Data_PL_Element[Value],[1]!Data_PL_Element[Index PL Element],TDP!$B241,[1]!Data_PL_Element[TenCongTyID],TDP!$B$1,[1]!Data_PL_Element[Thang.Nam],TDP!AB$198)</f>
        <v>0</v>
      </c>
      <c r="AC241" s="189">
        <f>SUMIFS([1]!Data_PL_Element[Value],[1]!Data_PL_Element[Index PL Element],TDP!$B241,[1]!Data_PL_Element[TenCongTyID],TDP!$B$1,[1]!Data_PL_Element[Thang.Nam],TDP!AC$198)</f>
        <v>0</v>
      </c>
      <c r="AD241" s="189">
        <f>SUMIFS([1]!Data_PL_Element[Value],[1]!Data_PL_Element[Index PL Element],TDP!$B241,[1]!Data_PL_Element[TenCongTyID],TDP!$B$1,[1]!Data_PL_Element[Thang.Nam],TDP!AD$198)</f>
        <v>0</v>
      </c>
      <c r="AE241" s="189">
        <f>SUMIFS([1]!Data_PL_Element[Value],[1]!Data_PL_Element[Index PL Element],TDP!$B241,[1]!Data_PL_Element[TenCongTyID],TDP!$B$1,[1]!Data_PL_Element[Thang.Nam],TDP!AE$198)</f>
        <v>0</v>
      </c>
      <c r="AF241" s="189">
        <f>SUMIFS([1]!Data_PL_Element[Value],[1]!Data_PL_Element[Index PL Element],TDP!$B241,[1]!Data_PL_Element[TenCongTyID],TDP!$B$1,[1]!Data_PL_Element[Thang.Nam],TDP!AF$198)</f>
        <v>0</v>
      </c>
      <c r="AG241" s="189">
        <f>SUMIFS([1]!Data_PL_Element[Value],[1]!Data_PL_Element[Index PL Element],TDP!$B241,[1]!Data_PL_Element[TenCongTyID],TDP!$B$1,[1]!Data_PL_Element[Thang.Nam],TDP!AG$198)</f>
        <v>0</v>
      </c>
      <c r="AH241" s="189">
        <f>SUMIFS([1]!Data_PL_Element[Value],[1]!Data_PL_Element[Index PL Element],TDP!$B241,[1]!Data_PL_Element[TenCongTyID],TDP!$B$1,[1]!Data_PL_Element[Thang.Nam],TDP!AH$198)</f>
        <v>0</v>
      </c>
      <c r="AI241" s="189">
        <f>SUMIFS([1]!Data_PL_Element[Value],[1]!Data_PL_Element[Index PL Element],TDP!$B241,[1]!Data_PL_Element[TenCongTyID],TDP!$B$1,[1]!Data_PL_Element[Thang.Nam],TDP!AI$198)</f>
        <v>0</v>
      </c>
      <c r="AJ241" s="189">
        <f>SUMIFS([1]!Data_PL_Element[Value],[1]!Data_PL_Element[Index PL Element],TDP!$B241,[1]!Data_PL_Element[TenCongTyID],TDP!$B$1,[1]!Data_PL_Element[Thang.Nam],TDP!AJ$198)</f>
        <v>0</v>
      </c>
      <c r="AK241" s="189">
        <f>SUMIFS([1]!Data_PL_Element[Value],[1]!Data_PL_Element[Index PL Element],TDP!$B241,[1]!Data_PL_Element[TenCongTyID],TDP!$B$1,[1]!Data_PL_Element[Thang.Nam],TDP!AK$198)</f>
        <v>0</v>
      </c>
      <c r="AL241" s="189">
        <f>SUMIFS([1]!Data_PL_Element[Value],[1]!Data_PL_Element[Index PL Element],TDP!$B241,[1]!Data_PL_Element[TenCongTyID],TDP!$B$1,[1]!Data_PL_Element[Thang.Nam],TDP!AL$198)</f>
        <v>0</v>
      </c>
    </row>
    <row r="242" spans="1:38" ht="15" customHeight="1">
      <c r="A242" s="190" t="s">
        <v>328</v>
      </c>
      <c r="B242" s="191">
        <v>44</v>
      </c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>
        <v>0</v>
      </c>
      <c r="AA242" s="189">
        <f>SUMIFS([1]!Data_PL_Element[Value],[1]!Data_PL_Element[Index PL Element],TDP!$B242,[1]!Data_PL_Element[TenCongTyID],TDP!$B$1,[1]!Data_PL_Element[Thang.Nam],TDP!AA$198)</f>
        <v>0</v>
      </c>
      <c r="AB242" s="189">
        <f>SUMIFS([1]!Data_PL_Element[Value],[1]!Data_PL_Element[Index PL Element],TDP!$B242,[1]!Data_PL_Element[TenCongTyID],TDP!$B$1,[1]!Data_PL_Element[Thang.Nam],TDP!AB$198)</f>
        <v>0</v>
      </c>
      <c r="AC242" s="189">
        <f>SUMIFS([1]!Data_PL_Element[Value],[1]!Data_PL_Element[Index PL Element],TDP!$B242,[1]!Data_PL_Element[TenCongTyID],TDP!$B$1,[1]!Data_PL_Element[Thang.Nam],TDP!AC$198)</f>
        <v>0</v>
      </c>
      <c r="AD242" s="189">
        <f>SUMIFS([1]!Data_PL_Element[Value],[1]!Data_PL_Element[Index PL Element],TDP!$B242,[1]!Data_PL_Element[TenCongTyID],TDP!$B$1,[1]!Data_PL_Element[Thang.Nam],TDP!AD$198)</f>
        <v>0</v>
      </c>
      <c r="AE242" s="189">
        <f>SUMIFS([1]!Data_PL_Element[Value],[1]!Data_PL_Element[Index PL Element],TDP!$B242,[1]!Data_PL_Element[TenCongTyID],TDP!$B$1,[1]!Data_PL_Element[Thang.Nam],TDP!AE$198)</f>
        <v>0</v>
      </c>
      <c r="AF242" s="189">
        <f>SUMIFS([1]!Data_PL_Element[Value],[1]!Data_PL_Element[Index PL Element],TDP!$B242,[1]!Data_PL_Element[TenCongTyID],TDP!$B$1,[1]!Data_PL_Element[Thang.Nam],TDP!AF$198)</f>
        <v>0</v>
      </c>
      <c r="AG242" s="189">
        <f>SUMIFS([1]!Data_PL_Element[Value],[1]!Data_PL_Element[Index PL Element],TDP!$B242,[1]!Data_PL_Element[TenCongTyID],TDP!$B$1,[1]!Data_PL_Element[Thang.Nam],TDP!AG$198)</f>
        <v>0</v>
      </c>
      <c r="AH242" s="189">
        <f>SUMIFS([1]!Data_PL_Element[Value],[1]!Data_PL_Element[Index PL Element],TDP!$B242,[1]!Data_PL_Element[TenCongTyID],TDP!$B$1,[1]!Data_PL_Element[Thang.Nam],TDP!AH$198)</f>
        <v>0</v>
      </c>
      <c r="AI242" s="189">
        <f>SUMIFS([1]!Data_PL_Element[Value],[1]!Data_PL_Element[Index PL Element],TDP!$B242,[1]!Data_PL_Element[TenCongTyID],TDP!$B$1,[1]!Data_PL_Element[Thang.Nam],TDP!AI$198)</f>
        <v>0</v>
      </c>
      <c r="AJ242" s="189">
        <f>SUMIFS([1]!Data_PL_Element[Value],[1]!Data_PL_Element[Index PL Element],TDP!$B242,[1]!Data_PL_Element[TenCongTyID],TDP!$B$1,[1]!Data_PL_Element[Thang.Nam],TDP!AJ$198)</f>
        <v>0</v>
      </c>
      <c r="AK242" s="189">
        <f>SUMIFS([1]!Data_PL_Element[Value],[1]!Data_PL_Element[Index PL Element],TDP!$B242,[1]!Data_PL_Element[TenCongTyID],TDP!$B$1,[1]!Data_PL_Element[Thang.Nam],TDP!AK$198)</f>
        <v>0</v>
      </c>
      <c r="AL242" s="189">
        <f>SUMIFS([1]!Data_PL_Element[Value],[1]!Data_PL_Element[Index PL Element],TDP!$B242,[1]!Data_PL_Element[TenCongTyID],TDP!$B$1,[1]!Data_PL_Element[Thang.Nam],TDP!AL$198)</f>
        <v>0</v>
      </c>
    </row>
    <row r="243" spans="1:38" ht="15" customHeight="1">
      <c r="A243" s="194" t="s">
        <v>329</v>
      </c>
      <c r="B243" s="171">
        <v>45</v>
      </c>
      <c r="C243" s="187" t="str">
        <f>IFERROR(C235/C207,"")</f>
        <v/>
      </c>
      <c r="D243" s="187" t="str">
        <f t="shared" ref="D243:AL243" si="64">IFERROR(D235/D207,"")</f>
        <v/>
      </c>
      <c r="E243" s="187" t="str">
        <f t="shared" si="64"/>
        <v/>
      </c>
      <c r="F243" s="187" t="str">
        <f t="shared" si="64"/>
        <v/>
      </c>
      <c r="G243" s="187" t="str">
        <f t="shared" si="64"/>
        <v/>
      </c>
      <c r="H243" s="187" t="str">
        <f t="shared" si="64"/>
        <v/>
      </c>
      <c r="I243" s="187" t="str">
        <f t="shared" si="64"/>
        <v/>
      </c>
      <c r="J243" s="187" t="str">
        <f t="shared" si="64"/>
        <v/>
      </c>
      <c r="K243" s="187" t="str">
        <f t="shared" si="64"/>
        <v/>
      </c>
      <c r="L243" s="187" t="str">
        <f t="shared" si="64"/>
        <v/>
      </c>
      <c r="M243" s="187" t="str">
        <f t="shared" si="64"/>
        <v/>
      </c>
      <c r="N243" s="187" t="str">
        <f t="shared" si="64"/>
        <v/>
      </c>
      <c r="O243" s="187" t="str">
        <f t="shared" si="64"/>
        <v/>
      </c>
      <c r="P243" s="187" t="str">
        <f t="shared" si="64"/>
        <v/>
      </c>
      <c r="Q243" s="187" t="str">
        <f t="shared" si="64"/>
        <v/>
      </c>
      <c r="R243" s="187" t="str">
        <f t="shared" si="64"/>
        <v/>
      </c>
      <c r="S243" s="187" t="str">
        <f t="shared" si="64"/>
        <v/>
      </c>
      <c r="T243" s="187" t="str">
        <f t="shared" si="64"/>
        <v/>
      </c>
      <c r="U243" s="187" t="str">
        <f t="shared" si="64"/>
        <v/>
      </c>
      <c r="V243" s="187" t="str">
        <f t="shared" si="64"/>
        <v/>
      </c>
      <c r="W243" s="187" t="str">
        <f t="shared" si="64"/>
        <v/>
      </c>
      <c r="X243" s="187" t="str">
        <f t="shared" si="64"/>
        <v/>
      </c>
      <c r="Y243" s="187" t="str">
        <f t="shared" si="64"/>
        <v/>
      </c>
      <c r="Z243" s="187" t="s">
        <v>378</v>
      </c>
      <c r="AA243" s="187" t="str">
        <f t="shared" si="64"/>
        <v/>
      </c>
      <c r="AB243" s="187" t="str">
        <f t="shared" si="64"/>
        <v/>
      </c>
      <c r="AC243" s="187" t="str">
        <f t="shared" si="64"/>
        <v/>
      </c>
      <c r="AD243" s="187" t="str">
        <f t="shared" si="64"/>
        <v/>
      </c>
      <c r="AE243" s="187" t="str">
        <f t="shared" si="64"/>
        <v/>
      </c>
      <c r="AF243" s="187" t="str">
        <f t="shared" si="64"/>
        <v/>
      </c>
      <c r="AG243" s="187" t="str">
        <f t="shared" si="64"/>
        <v/>
      </c>
      <c r="AH243" s="187" t="str">
        <f t="shared" si="64"/>
        <v/>
      </c>
      <c r="AI243" s="187" t="str">
        <f t="shared" si="64"/>
        <v/>
      </c>
      <c r="AJ243" s="187" t="str">
        <f t="shared" si="64"/>
        <v/>
      </c>
      <c r="AK243" s="187" t="str">
        <f t="shared" si="64"/>
        <v/>
      </c>
      <c r="AL243" s="187" t="str">
        <f t="shared" si="64"/>
        <v/>
      </c>
    </row>
    <row r="244" spans="1:38" ht="15" customHeight="1">
      <c r="A244" s="193" t="s">
        <v>330</v>
      </c>
      <c r="B244" s="146">
        <v>46</v>
      </c>
      <c r="C244" s="183">
        <f t="shared" ref="C244:Y244" si="65">C145</f>
        <v>0</v>
      </c>
      <c r="D244" s="183">
        <f t="shared" si="65"/>
        <v>0</v>
      </c>
      <c r="E244" s="183">
        <f t="shared" si="65"/>
        <v>0</v>
      </c>
      <c r="F244" s="183">
        <f t="shared" si="65"/>
        <v>0</v>
      </c>
      <c r="G244" s="183">
        <f t="shared" si="65"/>
        <v>0</v>
      </c>
      <c r="H244" s="183">
        <f t="shared" si="65"/>
        <v>0</v>
      </c>
      <c r="I244" s="183">
        <f t="shared" si="65"/>
        <v>0</v>
      </c>
      <c r="J244" s="183">
        <f t="shared" si="65"/>
        <v>400000</v>
      </c>
      <c r="K244" s="183">
        <f t="shared" si="65"/>
        <v>15035354</v>
      </c>
      <c r="L244" s="183">
        <f t="shared" si="65"/>
        <v>615035354</v>
      </c>
      <c r="M244" s="183">
        <f t="shared" si="65"/>
        <v>615035354</v>
      </c>
      <c r="N244" s="183">
        <f t="shared" si="65"/>
        <v>615584737</v>
      </c>
      <c r="O244" s="183">
        <f t="shared" si="65"/>
        <v>18584737</v>
      </c>
      <c r="P244" s="183">
        <f t="shared" si="65"/>
        <v>1215584737</v>
      </c>
      <c r="Q244" s="183">
        <f t="shared" si="65"/>
        <v>615584737</v>
      </c>
      <c r="R244" s="183">
        <f t="shared" si="65"/>
        <v>616214737</v>
      </c>
      <c r="S244" s="183">
        <f t="shared" si="65"/>
        <v>615584737</v>
      </c>
      <c r="T244" s="183">
        <f t="shared" si="65"/>
        <v>615584737</v>
      </c>
      <c r="U244" s="183">
        <f t="shared" si="65"/>
        <v>600854737</v>
      </c>
      <c r="V244" s="183">
        <f t="shared" si="65"/>
        <v>600584737</v>
      </c>
      <c r="W244" s="183">
        <f t="shared" si="65"/>
        <v>600584737</v>
      </c>
      <c r="X244" s="183">
        <f t="shared" si="65"/>
        <v>600584737</v>
      </c>
      <c r="Y244" s="183">
        <f t="shared" si="65"/>
        <v>600584737</v>
      </c>
      <c r="Z244" s="183">
        <v>600584737</v>
      </c>
      <c r="AA244" s="183">
        <f t="shared" ref="AA244:AL244" si="66">AA145</f>
        <v>4984737</v>
      </c>
      <c r="AB244" s="183">
        <f t="shared" si="66"/>
        <v>4584737</v>
      </c>
      <c r="AC244" s="183">
        <f t="shared" si="66"/>
        <v>4584737</v>
      </c>
      <c r="AD244" s="183">
        <f t="shared" si="66"/>
        <v>4984737</v>
      </c>
      <c r="AE244" s="183">
        <f t="shared" si="66"/>
        <v>4584737</v>
      </c>
      <c r="AF244" s="183">
        <f t="shared" si="66"/>
        <v>4584737</v>
      </c>
      <c r="AG244" s="183">
        <f t="shared" si="66"/>
        <v>4584737</v>
      </c>
      <c r="AH244" s="183">
        <f t="shared" si="66"/>
        <v>4984737</v>
      </c>
      <c r="AI244" s="183">
        <f t="shared" si="66"/>
        <v>4584737</v>
      </c>
      <c r="AJ244" s="183">
        <f t="shared" si="66"/>
        <v>4584737</v>
      </c>
      <c r="AK244" s="183">
        <f t="shared" si="66"/>
        <v>4984737</v>
      </c>
      <c r="AL244" s="183">
        <f t="shared" si="66"/>
        <v>4584737</v>
      </c>
    </row>
    <row r="245" spans="1:38" ht="15" customHeight="1">
      <c r="A245" s="190" t="s">
        <v>331</v>
      </c>
      <c r="B245" s="191">
        <v>47</v>
      </c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>
        <v>0</v>
      </c>
      <c r="AA245" s="189">
        <f>SUMIFS([1]!Data_PL_Element[Value],[1]!Data_PL_Element[Index PL Element],TDP!$B245,[1]!Data_PL_Element[TenCongTyID],TDP!$B$1,[1]!Data_PL_Element[Thang.Nam],TDP!AA$198)</f>
        <v>0</v>
      </c>
      <c r="AB245" s="189">
        <f>SUMIFS([1]!Data_PL_Element[Value],[1]!Data_PL_Element[Index PL Element],TDP!$B245,[1]!Data_PL_Element[TenCongTyID],TDP!$B$1,[1]!Data_PL_Element[Thang.Nam],TDP!AB$198)</f>
        <v>0</v>
      </c>
      <c r="AC245" s="189">
        <f>SUMIFS([1]!Data_PL_Element[Value],[1]!Data_PL_Element[Index PL Element],TDP!$B245,[1]!Data_PL_Element[TenCongTyID],TDP!$B$1,[1]!Data_PL_Element[Thang.Nam],TDP!AC$198)</f>
        <v>0</v>
      </c>
      <c r="AD245" s="189">
        <f>SUMIFS([1]!Data_PL_Element[Value],[1]!Data_PL_Element[Index PL Element],TDP!$B245,[1]!Data_PL_Element[TenCongTyID],TDP!$B$1,[1]!Data_PL_Element[Thang.Nam],TDP!AD$198)</f>
        <v>0</v>
      </c>
      <c r="AE245" s="189">
        <f>SUMIFS([1]!Data_PL_Element[Value],[1]!Data_PL_Element[Index PL Element],TDP!$B245,[1]!Data_PL_Element[TenCongTyID],TDP!$B$1,[1]!Data_PL_Element[Thang.Nam],TDP!AE$198)</f>
        <v>0</v>
      </c>
      <c r="AF245" s="189">
        <f>SUMIFS([1]!Data_PL_Element[Value],[1]!Data_PL_Element[Index PL Element],TDP!$B245,[1]!Data_PL_Element[TenCongTyID],TDP!$B$1,[1]!Data_PL_Element[Thang.Nam],TDP!AF$198)</f>
        <v>0</v>
      </c>
      <c r="AG245" s="189">
        <f>SUMIFS([1]!Data_PL_Element[Value],[1]!Data_PL_Element[Index PL Element],TDP!$B245,[1]!Data_PL_Element[TenCongTyID],TDP!$B$1,[1]!Data_PL_Element[Thang.Nam],TDP!AG$198)</f>
        <v>0</v>
      </c>
      <c r="AH245" s="189">
        <f>SUMIFS([1]!Data_PL_Element[Value],[1]!Data_PL_Element[Index PL Element],TDP!$B245,[1]!Data_PL_Element[TenCongTyID],TDP!$B$1,[1]!Data_PL_Element[Thang.Nam],TDP!AH$198)</f>
        <v>0</v>
      </c>
      <c r="AI245" s="189">
        <f>SUMIFS([1]!Data_PL_Element[Value],[1]!Data_PL_Element[Index PL Element],TDP!$B245,[1]!Data_PL_Element[TenCongTyID],TDP!$B$1,[1]!Data_PL_Element[Thang.Nam],TDP!AI$198)</f>
        <v>0</v>
      </c>
      <c r="AJ245" s="189">
        <f>SUMIFS([1]!Data_PL_Element[Value],[1]!Data_PL_Element[Index PL Element],TDP!$B245,[1]!Data_PL_Element[TenCongTyID],TDP!$B$1,[1]!Data_PL_Element[Thang.Nam],TDP!AJ$198)</f>
        <v>0</v>
      </c>
      <c r="AK245" s="189">
        <f>SUMIFS([1]!Data_PL_Element[Value],[1]!Data_PL_Element[Index PL Element],TDP!$B245,[1]!Data_PL_Element[TenCongTyID],TDP!$B$1,[1]!Data_PL_Element[Thang.Nam],TDP!AK$198)</f>
        <v>0</v>
      </c>
      <c r="AL245" s="189">
        <f>SUMIFS([1]!Data_PL_Element[Value],[1]!Data_PL_Element[Index PL Element],TDP!$B245,[1]!Data_PL_Element[TenCongTyID],TDP!$B$1,[1]!Data_PL_Element[Thang.Nam],TDP!AL$198)</f>
        <v>0</v>
      </c>
    </row>
    <row r="246" spans="1:38" ht="15" customHeight="1">
      <c r="A246" s="190" t="s">
        <v>332</v>
      </c>
      <c r="B246" s="191">
        <v>48</v>
      </c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>
        <v>0</v>
      </c>
      <c r="AA246" s="189">
        <f>SUMIFS([1]!Data_PL_Element[Value],[1]!Data_PL_Element[Index PL Element],TDP!$B246,[1]!Data_PL_Element[TenCongTyID],TDP!$B$1,[1]!Data_PL_Element[Thang.Nam],TDP!AA$198)</f>
        <v>0</v>
      </c>
      <c r="AB246" s="189">
        <f>SUMIFS([1]!Data_PL_Element[Value],[1]!Data_PL_Element[Index PL Element],TDP!$B246,[1]!Data_PL_Element[TenCongTyID],TDP!$B$1,[1]!Data_PL_Element[Thang.Nam],TDP!AB$198)</f>
        <v>0</v>
      </c>
      <c r="AC246" s="189">
        <f>SUMIFS([1]!Data_PL_Element[Value],[1]!Data_PL_Element[Index PL Element],TDP!$B246,[1]!Data_PL_Element[TenCongTyID],TDP!$B$1,[1]!Data_PL_Element[Thang.Nam],TDP!AC$198)</f>
        <v>0</v>
      </c>
      <c r="AD246" s="189">
        <f>SUMIFS([1]!Data_PL_Element[Value],[1]!Data_PL_Element[Index PL Element],TDP!$B246,[1]!Data_PL_Element[TenCongTyID],TDP!$B$1,[1]!Data_PL_Element[Thang.Nam],TDP!AD$198)</f>
        <v>0</v>
      </c>
      <c r="AE246" s="189">
        <f>SUMIFS([1]!Data_PL_Element[Value],[1]!Data_PL_Element[Index PL Element],TDP!$B246,[1]!Data_PL_Element[TenCongTyID],TDP!$B$1,[1]!Data_PL_Element[Thang.Nam],TDP!AE$198)</f>
        <v>0</v>
      </c>
      <c r="AF246" s="189">
        <f>SUMIFS([1]!Data_PL_Element[Value],[1]!Data_PL_Element[Index PL Element],TDP!$B246,[1]!Data_PL_Element[TenCongTyID],TDP!$B$1,[1]!Data_PL_Element[Thang.Nam],TDP!AF$198)</f>
        <v>0</v>
      </c>
      <c r="AG246" s="189">
        <f>SUMIFS([1]!Data_PL_Element[Value],[1]!Data_PL_Element[Index PL Element],TDP!$B246,[1]!Data_PL_Element[TenCongTyID],TDP!$B$1,[1]!Data_PL_Element[Thang.Nam],TDP!AG$198)</f>
        <v>0</v>
      </c>
      <c r="AH246" s="189">
        <f>SUMIFS([1]!Data_PL_Element[Value],[1]!Data_PL_Element[Index PL Element],TDP!$B246,[1]!Data_PL_Element[TenCongTyID],TDP!$B$1,[1]!Data_PL_Element[Thang.Nam],TDP!AH$198)</f>
        <v>0</v>
      </c>
      <c r="AI246" s="189">
        <f>SUMIFS([1]!Data_PL_Element[Value],[1]!Data_PL_Element[Index PL Element],TDP!$B246,[1]!Data_PL_Element[TenCongTyID],TDP!$B$1,[1]!Data_PL_Element[Thang.Nam],TDP!AI$198)</f>
        <v>0</v>
      </c>
      <c r="AJ246" s="189">
        <f>SUMIFS([1]!Data_PL_Element[Value],[1]!Data_PL_Element[Index PL Element],TDP!$B246,[1]!Data_PL_Element[TenCongTyID],TDP!$B$1,[1]!Data_PL_Element[Thang.Nam],TDP!AJ$198)</f>
        <v>0</v>
      </c>
      <c r="AK246" s="189">
        <f>SUMIFS([1]!Data_PL_Element[Value],[1]!Data_PL_Element[Index PL Element],TDP!$B246,[1]!Data_PL_Element[TenCongTyID],TDP!$B$1,[1]!Data_PL_Element[Thang.Nam],TDP!AK$198)</f>
        <v>0</v>
      </c>
      <c r="AL246" s="189">
        <f>SUMIFS([1]!Data_PL_Element[Value],[1]!Data_PL_Element[Index PL Element],TDP!$B246,[1]!Data_PL_Element[TenCongTyID],TDP!$B$1,[1]!Data_PL_Element[Thang.Nam],TDP!AL$198)</f>
        <v>0</v>
      </c>
    </row>
    <row r="247" spans="1:38" ht="15" customHeight="1">
      <c r="A247" s="190" t="s">
        <v>333</v>
      </c>
      <c r="B247" s="191">
        <v>49</v>
      </c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>
        <v>0</v>
      </c>
      <c r="AA247" s="189">
        <f>SUMIFS([1]!Data_PL_Element[Value],[1]!Data_PL_Element[Index PL Element],TDP!$B247,[1]!Data_PL_Element[TenCongTyID],TDP!$B$1,[1]!Data_PL_Element[Thang.Nam],TDP!AA$198)</f>
        <v>0</v>
      </c>
      <c r="AB247" s="189">
        <f>SUMIFS([1]!Data_PL_Element[Value],[1]!Data_PL_Element[Index PL Element],TDP!$B247,[1]!Data_PL_Element[TenCongTyID],TDP!$B$1,[1]!Data_PL_Element[Thang.Nam],TDP!AB$198)</f>
        <v>0</v>
      </c>
      <c r="AC247" s="189">
        <f>SUMIFS([1]!Data_PL_Element[Value],[1]!Data_PL_Element[Index PL Element],TDP!$B247,[1]!Data_PL_Element[TenCongTyID],TDP!$B$1,[1]!Data_PL_Element[Thang.Nam],TDP!AC$198)</f>
        <v>0</v>
      </c>
      <c r="AD247" s="189">
        <f>SUMIFS([1]!Data_PL_Element[Value],[1]!Data_PL_Element[Index PL Element],TDP!$B247,[1]!Data_PL_Element[TenCongTyID],TDP!$B$1,[1]!Data_PL_Element[Thang.Nam],TDP!AD$198)</f>
        <v>0</v>
      </c>
      <c r="AE247" s="189">
        <f>SUMIFS([1]!Data_PL_Element[Value],[1]!Data_PL_Element[Index PL Element],TDP!$B247,[1]!Data_PL_Element[TenCongTyID],TDP!$B$1,[1]!Data_PL_Element[Thang.Nam],TDP!AE$198)</f>
        <v>0</v>
      </c>
      <c r="AF247" s="189">
        <f>SUMIFS([1]!Data_PL_Element[Value],[1]!Data_PL_Element[Index PL Element],TDP!$B247,[1]!Data_PL_Element[TenCongTyID],TDP!$B$1,[1]!Data_PL_Element[Thang.Nam],TDP!AF$198)</f>
        <v>0</v>
      </c>
      <c r="AG247" s="189">
        <f>SUMIFS([1]!Data_PL_Element[Value],[1]!Data_PL_Element[Index PL Element],TDP!$B247,[1]!Data_PL_Element[TenCongTyID],TDP!$B$1,[1]!Data_PL_Element[Thang.Nam],TDP!AG$198)</f>
        <v>0</v>
      </c>
      <c r="AH247" s="189">
        <f>SUMIFS([1]!Data_PL_Element[Value],[1]!Data_PL_Element[Index PL Element],TDP!$B247,[1]!Data_PL_Element[TenCongTyID],TDP!$B$1,[1]!Data_PL_Element[Thang.Nam],TDP!AH$198)</f>
        <v>0</v>
      </c>
      <c r="AI247" s="189">
        <f>SUMIFS([1]!Data_PL_Element[Value],[1]!Data_PL_Element[Index PL Element],TDP!$B247,[1]!Data_PL_Element[TenCongTyID],TDP!$B$1,[1]!Data_PL_Element[Thang.Nam],TDP!AI$198)</f>
        <v>0</v>
      </c>
      <c r="AJ247" s="189">
        <f>SUMIFS([1]!Data_PL_Element[Value],[1]!Data_PL_Element[Index PL Element],TDP!$B247,[1]!Data_PL_Element[TenCongTyID],TDP!$B$1,[1]!Data_PL_Element[Thang.Nam],TDP!AJ$198)</f>
        <v>0</v>
      </c>
      <c r="AK247" s="189">
        <f>SUMIFS([1]!Data_PL_Element[Value],[1]!Data_PL_Element[Index PL Element],TDP!$B247,[1]!Data_PL_Element[TenCongTyID],TDP!$B$1,[1]!Data_PL_Element[Thang.Nam],TDP!AK$198)</f>
        <v>0</v>
      </c>
      <c r="AL247" s="189">
        <f>SUMIFS([1]!Data_PL_Element[Value],[1]!Data_PL_Element[Index PL Element],TDP!$B247,[1]!Data_PL_Element[TenCongTyID],TDP!$B$1,[1]!Data_PL_Element[Thang.Nam],TDP!AL$198)</f>
        <v>0</v>
      </c>
    </row>
    <row r="248" spans="1:38" ht="15" customHeight="1">
      <c r="A248" s="190" t="s">
        <v>334</v>
      </c>
      <c r="B248" s="191">
        <v>50</v>
      </c>
      <c r="C248" s="189">
        <f t="shared" ref="C248:Y248" si="67">C244-C245-C246-C247</f>
        <v>0</v>
      </c>
      <c r="D248" s="189">
        <f t="shared" si="67"/>
        <v>0</v>
      </c>
      <c r="E248" s="189">
        <f t="shared" si="67"/>
        <v>0</v>
      </c>
      <c r="F248" s="189">
        <f t="shared" si="67"/>
        <v>0</v>
      </c>
      <c r="G248" s="189">
        <f t="shared" si="67"/>
        <v>0</v>
      </c>
      <c r="H248" s="189">
        <f t="shared" si="67"/>
        <v>0</v>
      </c>
      <c r="I248" s="189">
        <f t="shared" si="67"/>
        <v>0</v>
      </c>
      <c r="J248" s="189">
        <f t="shared" si="67"/>
        <v>400000</v>
      </c>
      <c r="K248" s="189">
        <f t="shared" si="67"/>
        <v>15035354</v>
      </c>
      <c r="L248" s="189">
        <f t="shared" si="67"/>
        <v>615035354</v>
      </c>
      <c r="M248" s="189">
        <f t="shared" si="67"/>
        <v>615035354</v>
      </c>
      <c r="N248" s="189">
        <f t="shared" si="67"/>
        <v>615584737</v>
      </c>
      <c r="O248" s="189">
        <f t="shared" si="67"/>
        <v>18584737</v>
      </c>
      <c r="P248" s="189">
        <f t="shared" si="67"/>
        <v>1215584737</v>
      </c>
      <c r="Q248" s="189">
        <f t="shared" si="67"/>
        <v>615584737</v>
      </c>
      <c r="R248" s="189">
        <f t="shared" si="67"/>
        <v>616214737</v>
      </c>
      <c r="S248" s="189">
        <f t="shared" si="67"/>
        <v>615584737</v>
      </c>
      <c r="T248" s="189">
        <f t="shared" si="67"/>
        <v>615584737</v>
      </c>
      <c r="U248" s="189">
        <f t="shared" si="67"/>
        <v>600854737</v>
      </c>
      <c r="V248" s="189">
        <f t="shared" si="67"/>
        <v>600584737</v>
      </c>
      <c r="W248" s="189">
        <f t="shared" si="67"/>
        <v>600584737</v>
      </c>
      <c r="X248" s="189">
        <f t="shared" si="67"/>
        <v>600584737</v>
      </c>
      <c r="Y248" s="189">
        <f t="shared" si="67"/>
        <v>600584737</v>
      </c>
      <c r="Z248" s="189">
        <v>600584737</v>
      </c>
      <c r="AA248" s="189">
        <f>SUMIFS([1]!Data_PL_Element[Value],[1]!Data_PL_Element[Index PL Element],TDP!$B248,[1]!Data_PL_Element[TenCongTyID],TDP!$B$1,[1]!Data_PL_Element[Thang.Nam],TDP!AA$198)</f>
        <v>0</v>
      </c>
      <c r="AB248" s="189">
        <f>SUMIFS([1]!Data_PL_Element[Value],[1]!Data_PL_Element[Index PL Element],TDP!$B248,[1]!Data_PL_Element[TenCongTyID],TDP!$B$1,[1]!Data_PL_Element[Thang.Nam],TDP!AB$198)</f>
        <v>0</v>
      </c>
      <c r="AC248" s="189">
        <f>SUMIFS([1]!Data_PL_Element[Value],[1]!Data_PL_Element[Index PL Element],TDP!$B248,[1]!Data_PL_Element[TenCongTyID],TDP!$B$1,[1]!Data_PL_Element[Thang.Nam],TDP!AC$198)</f>
        <v>0</v>
      </c>
      <c r="AD248" s="189">
        <f>SUMIFS([1]!Data_PL_Element[Value],[1]!Data_PL_Element[Index PL Element],TDP!$B248,[1]!Data_PL_Element[TenCongTyID],TDP!$B$1,[1]!Data_PL_Element[Thang.Nam],TDP!AD$198)</f>
        <v>0</v>
      </c>
      <c r="AE248" s="189">
        <f>SUMIFS([1]!Data_PL_Element[Value],[1]!Data_PL_Element[Index PL Element],TDP!$B248,[1]!Data_PL_Element[TenCongTyID],TDP!$B$1,[1]!Data_PL_Element[Thang.Nam],TDP!AE$198)</f>
        <v>0</v>
      </c>
      <c r="AF248" s="189">
        <f>SUMIFS([1]!Data_PL_Element[Value],[1]!Data_PL_Element[Index PL Element],TDP!$B248,[1]!Data_PL_Element[TenCongTyID],TDP!$B$1,[1]!Data_PL_Element[Thang.Nam],TDP!AF$198)</f>
        <v>0</v>
      </c>
      <c r="AG248" s="189">
        <f>SUMIFS([1]!Data_PL_Element[Value],[1]!Data_PL_Element[Index PL Element],TDP!$B248,[1]!Data_PL_Element[TenCongTyID],TDP!$B$1,[1]!Data_PL_Element[Thang.Nam],TDP!AG$198)</f>
        <v>0</v>
      </c>
      <c r="AH248" s="189">
        <f>SUMIFS([1]!Data_PL_Element[Value],[1]!Data_PL_Element[Index PL Element],TDP!$B248,[1]!Data_PL_Element[TenCongTyID],TDP!$B$1,[1]!Data_PL_Element[Thang.Nam],TDP!AH$198)</f>
        <v>0</v>
      </c>
      <c r="AI248" s="189">
        <f>SUMIFS([1]!Data_PL_Element[Value],[1]!Data_PL_Element[Index PL Element],TDP!$B248,[1]!Data_PL_Element[TenCongTyID],TDP!$B$1,[1]!Data_PL_Element[Thang.Nam],TDP!AI$198)</f>
        <v>0</v>
      </c>
      <c r="AJ248" s="189">
        <f>SUMIFS([1]!Data_PL_Element[Value],[1]!Data_PL_Element[Index PL Element],TDP!$B248,[1]!Data_PL_Element[TenCongTyID],TDP!$B$1,[1]!Data_PL_Element[Thang.Nam],TDP!AJ$198)</f>
        <v>0</v>
      </c>
      <c r="AK248" s="189">
        <f>SUMIFS([1]!Data_PL_Element[Value],[1]!Data_PL_Element[Index PL Element],TDP!$B248,[1]!Data_PL_Element[TenCongTyID],TDP!$B$1,[1]!Data_PL_Element[Thang.Nam],TDP!AK$198)</f>
        <v>0</v>
      </c>
      <c r="AL248" s="189">
        <f>SUMIFS([1]!Data_PL_Element[Value],[1]!Data_PL_Element[Index PL Element],TDP!$B248,[1]!Data_PL_Element[TenCongTyID],TDP!$B$1,[1]!Data_PL_Element[Thang.Nam],TDP!AL$198)</f>
        <v>0</v>
      </c>
    </row>
    <row r="249" spans="1:38" ht="15" customHeight="1">
      <c r="A249" s="194" t="s">
        <v>335</v>
      </c>
      <c r="B249" s="171">
        <v>51</v>
      </c>
      <c r="C249" s="187" t="str">
        <f t="shared" ref="C249:AL249" si="68">IFERROR(C244/C207,"")</f>
        <v/>
      </c>
      <c r="D249" s="187" t="str">
        <f t="shared" si="68"/>
        <v/>
      </c>
      <c r="E249" s="187" t="str">
        <f t="shared" si="68"/>
        <v/>
      </c>
      <c r="F249" s="187" t="str">
        <f t="shared" si="68"/>
        <v/>
      </c>
      <c r="G249" s="187" t="str">
        <f t="shared" si="68"/>
        <v/>
      </c>
      <c r="H249" s="187" t="str">
        <f t="shared" si="68"/>
        <v/>
      </c>
      <c r="I249" s="187" t="str">
        <f t="shared" si="68"/>
        <v/>
      </c>
      <c r="J249" s="187" t="str">
        <f t="shared" si="68"/>
        <v/>
      </c>
      <c r="K249" s="187" t="str">
        <f t="shared" si="68"/>
        <v/>
      </c>
      <c r="L249" s="187" t="str">
        <f t="shared" si="68"/>
        <v/>
      </c>
      <c r="M249" s="187" t="str">
        <f t="shared" si="68"/>
        <v/>
      </c>
      <c r="N249" s="187" t="str">
        <f t="shared" si="68"/>
        <v/>
      </c>
      <c r="O249" s="187" t="str">
        <f t="shared" si="68"/>
        <v/>
      </c>
      <c r="P249" s="187" t="str">
        <f t="shared" si="68"/>
        <v/>
      </c>
      <c r="Q249" s="187" t="str">
        <f t="shared" si="68"/>
        <v/>
      </c>
      <c r="R249" s="187" t="str">
        <f t="shared" si="68"/>
        <v/>
      </c>
      <c r="S249" s="187" t="str">
        <f t="shared" si="68"/>
        <v/>
      </c>
      <c r="T249" s="187" t="str">
        <f t="shared" si="68"/>
        <v/>
      </c>
      <c r="U249" s="187" t="str">
        <f t="shared" si="68"/>
        <v/>
      </c>
      <c r="V249" s="187" t="str">
        <f t="shared" si="68"/>
        <v/>
      </c>
      <c r="W249" s="187" t="str">
        <f t="shared" si="68"/>
        <v/>
      </c>
      <c r="X249" s="187" t="str">
        <f t="shared" si="68"/>
        <v/>
      </c>
      <c r="Y249" s="187" t="str">
        <f t="shared" si="68"/>
        <v/>
      </c>
      <c r="Z249" s="187" t="s">
        <v>378</v>
      </c>
      <c r="AA249" s="187" t="str">
        <f t="shared" si="68"/>
        <v/>
      </c>
      <c r="AB249" s="187" t="str">
        <f t="shared" si="68"/>
        <v/>
      </c>
      <c r="AC249" s="187" t="str">
        <f t="shared" si="68"/>
        <v/>
      </c>
      <c r="AD249" s="187" t="str">
        <f t="shared" si="68"/>
        <v/>
      </c>
      <c r="AE249" s="187" t="str">
        <f t="shared" si="68"/>
        <v/>
      </c>
      <c r="AF249" s="187" t="str">
        <f t="shared" si="68"/>
        <v/>
      </c>
      <c r="AG249" s="187" t="str">
        <f t="shared" si="68"/>
        <v/>
      </c>
      <c r="AH249" s="187" t="str">
        <f t="shared" si="68"/>
        <v/>
      </c>
      <c r="AI249" s="187" t="str">
        <f t="shared" si="68"/>
        <v/>
      </c>
      <c r="AJ249" s="187" t="str">
        <f t="shared" si="68"/>
        <v/>
      </c>
      <c r="AK249" s="187" t="str">
        <f t="shared" si="68"/>
        <v/>
      </c>
      <c r="AL249" s="187" t="str">
        <f t="shared" si="68"/>
        <v/>
      </c>
    </row>
    <row r="250" spans="1:38" ht="15" customHeight="1">
      <c r="A250" s="193" t="s">
        <v>336</v>
      </c>
      <c r="B250" s="146">
        <v>52</v>
      </c>
      <c r="C250" s="186">
        <f t="shared" ref="C250:Y251" si="69">C142</f>
        <v>0</v>
      </c>
      <c r="D250" s="186">
        <f t="shared" si="69"/>
        <v>0</v>
      </c>
      <c r="E250" s="186">
        <f t="shared" si="69"/>
        <v>0</v>
      </c>
      <c r="F250" s="186">
        <f t="shared" si="69"/>
        <v>0</v>
      </c>
      <c r="G250" s="186">
        <f t="shared" si="69"/>
        <v>0</v>
      </c>
      <c r="H250" s="186">
        <f t="shared" si="69"/>
        <v>0</v>
      </c>
      <c r="I250" s="186">
        <f t="shared" si="69"/>
        <v>0</v>
      </c>
      <c r="J250" s="186">
        <f t="shared" si="69"/>
        <v>0</v>
      </c>
      <c r="K250" s="186">
        <f t="shared" si="69"/>
        <v>0</v>
      </c>
      <c r="L250" s="186">
        <f t="shared" si="69"/>
        <v>0</v>
      </c>
      <c r="M250" s="186">
        <f t="shared" si="69"/>
        <v>0</v>
      </c>
      <c r="N250" s="186">
        <f t="shared" si="69"/>
        <v>0</v>
      </c>
      <c r="O250" s="186">
        <f t="shared" si="69"/>
        <v>0</v>
      </c>
      <c r="P250" s="186">
        <f t="shared" si="69"/>
        <v>0</v>
      </c>
      <c r="Q250" s="186">
        <f t="shared" si="69"/>
        <v>0</v>
      </c>
      <c r="R250" s="186">
        <f t="shared" si="69"/>
        <v>0</v>
      </c>
      <c r="S250" s="186">
        <f t="shared" si="69"/>
        <v>0</v>
      </c>
      <c r="T250" s="186">
        <f t="shared" si="69"/>
        <v>0</v>
      </c>
      <c r="U250" s="186">
        <f t="shared" si="69"/>
        <v>0</v>
      </c>
      <c r="V250" s="186">
        <f t="shared" si="69"/>
        <v>0</v>
      </c>
      <c r="W250" s="186">
        <f t="shared" si="69"/>
        <v>0</v>
      </c>
      <c r="X250" s="186">
        <f t="shared" si="69"/>
        <v>0</v>
      </c>
      <c r="Y250" s="186">
        <f t="shared" si="69"/>
        <v>0</v>
      </c>
      <c r="Z250" s="186">
        <v>0</v>
      </c>
      <c r="AA250" s="186">
        <f t="shared" ref="AA250:AL251" si="70">AA142</f>
        <v>0</v>
      </c>
      <c r="AB250" s="186">
        <f t="shared" si="70"/>
        <v>0</v>
      </c>
      <c r="AC250" s="186">
        <f t="shared" si="70"/>
        <v>0</v>
      </c>
      <c r="AD250" s="186">
        <f t="shared" si="70"/>
        <v>0</v>
      </c>
      <c r="AE250" s="186">
        <f t="shared" si="70"/>
        <v>0</v>
      </c>
      <c r="AF250" s="186">
        <f t="shared" si="70"/>
        <v>0</v>
      </c>
      <c r="AG250" s="186">
        <f t="shared" si="70"/>
        <v>0</v>
      </c>
      <c r="AH250" s="186">
        <f t="shared" si="70"/>
        <v>0</v>
      </c>
      <c r="AI250" s="186">
        <f t="shared" si="70"/>
        <v>0</v>
      </c>
      <c r="AJ250" s="186">
        <f t="shared" si="70"/>
        <v>0</v>
      </c>
      <c r="AK250" s="186">
        <f t="shared" si="70"/>
        <v>0</v>
      </c>
      <c r="AL250" s="186">
        <f t="shared" si="70"/>
        <v>0</v>
      </c>
    </row>
    <row r="251" spans="1:38" ht="15" customHeight="1">
      <c r="A251" s="178" t="s">
        <v>337</v>
      </c>
      <c r="B251" s="179">
        <v>53</v>
      </c>
      <c r="C251" s="189">
        <f t="shared" si="69"/>
        <v>0</v>
      </c>
      <c r="D251" s="189">
        <f t="shared" si="69"/>
        <v>0</v>
      </c>
      <c r="E251" s="189">
        <f t="shared" si="69"/>
        <v>0</v>
      </c>
      <c r="F251" s="189">
        <f t="shared" si="69"/>
        <v>0</v>
      </c>
      <c r="G251" s="189">
        <f t="shared" si="69"/>
        <v>0</v>
      </c>
      <c r="H251" s="189">
        <f t="shared" si="69"/>
        <v>0</v>
      </c>
      <c r="I251" s="189">
        <f t="shared" si="69"/>
        <v>0</v>
      </c>
      <c r="J251" s="189">
        <f t="shared" si="69"/>
        <v>0</v>
      </c>
      <c r="K251" s="189">
        <f t="shared" si="69"/>
        <v>0</v>
      </c>
      <c r="L251" s="189">
        <f t="shared" si="69"/>
        <v>0</v>
      </c>
      <c r="M251" s="189">
        <f t="shared" si="69"/>
        <v>0</v>
      </c>
      <c r="N251" s="189">
        <f t="shared" si="69"/>
        <v>0</v>
      </c>
      <c r="O251" s="189">
        <f t="shared" si="69"/>
        <v>0</v>
      </c>
      <c r="P251" s="189">
        <f t="shared" si="69"/>
        <v>0</v>
      </c>
      <c r="Q251" s="189">
        <f t="shared" si="69"/>
        <v>0</v>
      </c>
      <c r="R251" s="189">
        <f t="shared" si="69"/>
        <v>0</v>
      </c>
      <c r="S251" s="189">
        <f t="shared" si="69"/>
        <v>0</v>
      </c>
      <c r="T251" s="189">
        <f t="shared" si="69"/>
        <v>0</v>
      </c>
      <c r="U251" s="189">
        <f t="shared" si="69"/>
        <v>0</v>
      </c>
      <c r="V251" s="189">
        <f t="shared" si="69"/>
        <v>0</v>
      </c>
      <c r="W251" s="189">
        <f t="shared" si="69"/>
        <v>0</v>
      </c>
      <c r="X251" s="189">
        <f t="shared" si="69"/>
        <v>0</v>
      </c>
      <c r="Y251" s="189">
        <f t="shared" si="69"/>
        <v>0</v>
      </c>
      <c r="Z251" s="189">
        <v>0</v>
      </c>
      <c r="AA251" s="189">
        <f t="shared" si="70"/>
        <v>0</v>
      </c>
      <c r="AB251" s="189">
        <f t="shared" si="70"/>
        <v>0</v>
      </c>
      <c r="AC251" s="189">
        <f t="shared" si="70"/>
        <v>0</v>
      </c>
      <c r="AD251" s="189">
        <f t="shared" si="70"/>
        <v>0</v>
      </c>
      <c r="AE251" s="189">
        <f t="shared" si="70"/>
        <v>0</v>
      </c>
      <c r="AF251" s="189">
        <f t="shared" si="70"/>
        <v>0</v>
      </c>
      <c r="AG251" s="189">
        <f t="shared" si="70"/>
        <v>0</v>
      </c>
      <c r="AH251" s="189">
        <f t="shared" si="70"/>
        <v>0</v>
      </c>
      <c r="AI251" s="189">
        <f t="shared" si="70"/>
        <v>0</v>
      </c>
      <c r="AJ251" s="189">
        <f t="shared" si="70"/>
        <v>0</v>
      </c>
      <c r="AK251" s="189">
        <f t="shared" si="70"/>
        <v>0</v>
      </c>
      <c r="AL251" s="189">
        <f t="shared" si="70"/>
        <v>0</v>
      </c>
    </row>
    <row r="252" spans="1:38" ht="15" customHeight="1">
      <c r="A252" s="194" t="s">
        <v>338</v>
      </c>
      <c r="B252" s="195">
        <v>54</v>
      </c>
      <c r="C252" s="187" t="str">
        <f>IFERROR(C251/C207,"")</f>
        <v/>
      </c>
      <c r="D252" s="187" t="str">
        <f t="shared" ref="D252:AL252" si="71">IFERROR(D251/D207,"")</f>
        <v/>
      </c>
      <c r="E252" s="187" t="str">
        <f t="shared" si="71"/>
        <v/>
      </c>
      <c r="F252" s="187" t="str">
        <f t="shared" si="71"/>
        <v/>
      </c>
      <c r="G252" s="187" t="str">
        <f t="shared" si="71"/>
        <v/>
      </c>
      <c r="H252" s="187" t="str">
        <f t="shared" si="71"/>
        <v/>
      </c>
      <c r="I252" s="187" t="str">
        <f t="shared" si="71"/>
        <v/>
      </c>
      <c r="J252" s="187" t="str">
        <f t="shared" si="71"/>
        <v/>
      </c>
      <c r="K252" s="187" t="str">
        <f t="shared" si="71"/>
        <v/>
      </c>
      <c r="L252" s="187" t="str">
        <f t="shared" si="71"/>
        <v/>
      </c>
      <c r="M252" s="187" t="str">
        <f t="shared" si="71"/>
        <v/>
      </c>
      <c r="N252" s="187" t="str">
        <f t="shared" si="71"/>
        <v/>
      </c>
      <c r="O252" s="187" t="str">
        <f t="shared" si="71"/>
        <v/>
      </c>
      <c r="P252" s="187" t="str">
        <f t="shared" si="71"/>
        <v/>
      </c>
      <c r="Q252" s="187" t="str">
        <f t="shared" si="71"/>
        <v/>
      </c>
      <c r="R252" s="187" t="str">
        <f t="shared" si="71"/>
        <v/>
      </c>
      <c r="S252" s="187" t="str">
        <f t="shared" si="71"/>
        <v/>
      </c>
      <c r="T252" s="187" t="str">
        <f t="shared" si="71"/>
        <v/>
      </c>
      <c r="U252" s="187" t="str">
        <f t="shared" si="71"/>
        <v/>
      </c>
      <c r="V252" s="187" t="str">
        <f t="shared" si="71"/>
        <v/>
      </c>
      <c r="W252" s="187" t="str">
        <f t="shared" si="71"/>
        <v/>
      </c>
      <c r="X252" s="187" t="str">
        <f t="shared" si="71"/>
        <v/>
      </c>
      <c r="Y252" s="187" t="str">
        <f t="shared" si="71"/>
        <v/>
      </c>
      <c r="Z252" s="187" t="s">
        <v>378</v>
      </c>
      <c r="AA252" s="187" t="str">
        <f t="shared" si="71"/>
        <v/>
      </c>
      <c r="AB252" s="187" t="str">
        <f t="shared" si="71"/>
        <v/>
      </c>
      <c r="AC252" s="187" t="str">
        <f t="shared" si="71"/>
        <v/>
      </c>
      <c r="AD252" s="187" t="str">
        <f t="shared" si="71"/>
        <v/>
      </c>
      <c r="AE252" s="187" t="str">
        <f t="shared" si="71"/>
        <v/>
      </c>
      <c r="AF252" s="187" t="str">
        <f t="shared" si="71"/>
        <v/>
      </c>
      <c r="AG252" s="187" t="str">
        <f t="shared" si="71"/>
        <v/>
      </c>
      <c r="AH252" s="187" t="str">
        <f t="shared" si="71"/>
        <v/>
      </c>
      <c r="AI252" s="187" t="str">
        <f t="shared" si="71"/>
        <v/>
      </c>
      <c r="AJ252" s="187" t="str">
        <f t="shared" si="71"/>
        <v/>
      </c>
      <c r="AK252" s="187" t="str">
        <f t="shared" si="71"/>
        <v/>
      </c>
      <c r="AL252" s="187" t="str">
        <f t="shared" si="71"/>
        <v/>
      </c>
    </row>
    <row r="253" spans="1:38" ht="15" customHeight="1">
      <c r="A253" s="350"/>
      <c r="B253" s="351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430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</row>
    <row r="254" spans="1:38" ht="15" customHeight="1">
      <c r="A254" s="327" t="s">
        <v>339</v>
      </c>
      <c r="B254" s="177" t="s">
        <v>369</v>
      </c>
      <c r="C254" s="353" t="s">
        <v>66</v>
      </c>
      <c r="D254" s="354" t="s">
        <v>67</v>
      </c>
      <c r="E254" s="354" t="s">
        <v>68</v>
      </c>
      <c r="F254" s="354" t="s">
        <v>69</v>
      </c>
      <c r="G254" s="354" t="s">
        <v>70</v>
      </c>
      <c r="H254" s="354" t="s">
        <v>71</v>
      </c>
      <c r="I254" s="353" t="s">
        <v>72</v>
      </c>
      <c r="J254" s="354" t="s">
        <v>73</v>
      </c>
      <c r="K254" s="354" t="s">
        <v>74</v>
      </c>
      <c r="L254" s="354" t="s">
        <v>75</v>
      </c>
      <c r="M254" s="354" t="s">
        <v>76</v>
      </c>
      <c r="N254" s="354" t="s">
        <v>77</v>
      </c>
      <c r="O254" s="354" t="s">
        <v>78</v>
      </c>
      <c r="P254" s="354" t="s">
        <v>79</v>
      </c>
      <c r="Q254" s="354" t="s">
        <v>80</v>
      </c>
      <c r="R254" s="354" t="s">
        <v>81</v>
      </c>
      <c r="S254" s="354" t="s">
        <v>82</v>
      </c>
      <c r="T254" s="354" t="s">
        <v>83</v>
      </c>
      <c r="U254" s="354" t="s">
        <v>84</v>
      </c>
      <c r="V254" s="354" t="s">
        <v>85</v>
      </c>
      <c r="W254" s="354" t="s">
        <v>86</v>
      </c>
      <c r="X254" s="354" t="s">
        <v>87</v>
      </c>
      <c r="Y254" s="354" t="s">
        <v>88</v>
      </c>
      <c r="Z254" s="354" t="s">
        <v>89</v>
      </c>
      <c r="AA254" s="354" t="s">
        <v>8</v>
      </c>
      <c r="AB254" s="354" t="s">
        <v>9</v>
      </c>
      <c r="AC254" s="354" t="s">
        <v>10</v>
      </c>
      <c r="AD254" s="354" t="s">
        <v>11</v>
      </c>
      <c r="AE254" s="354" t="s">
        <v>12</v>
      </c>
      <c r="AF254" s="354" t="s">
        <v>13</v>
      </c>
      <c r="AG254" s="354" t="s">
        <v>14</v>
      </c>
      <c r="AH254" s="354" t="s">
        <v>15</v>
      </c>
      <c r="AI254" s="354" t="s">
        <v>16</v>
      </c>
      <c r="AJ254" s="354" t="s">
        <v>17</v>
      </c>
      <c r="AK254" s="354" t="s">
        <v>18</v>
      </c>
      <c r="AL254" s="354" t="s">
        <v>19</v>
      </c>
    </row>
    <row r="255" spans="1:38" ht="15" customHeight="1">
      <c r="A255" s="196" t="s">
        <v>370</v>
      </c>
      <c r="B255" s="328">
        <v>1</v>
      </c>
      <c r="C255" s="355"/>
      <c r="D255" s="355"/>
      <c r="E255" s="355"/>
      <c r="F255" s="355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>
        <v>0</v>
      </c>
      <c r="AA255" s="199">
        <f>SUMIFS([1]!Data_Loan[Value],[1]!Data_Loan[Index Loan],TDP!$B255,[1]!Data_Loan[TenCongTyID],TDP!$B$1,[1]!Data_Loan[Thang.Nam],TDP!AA$254)</f>
        <v>0</v>
      </c>
      <c r="AB255" s="199">
        <f>SUMIFS([1]!Data_Loan[Value],[1]!Data_Loan[Index Loan],TDP!$B255,[1]!Data_Loan[TenCongTyID],TDP!$B$1,[1]!Data_Loan[Thang.Nam],TDP!AB$254)</f>
        <v>0</v>
      </c>
      <c r="AC255" s="199">
        <f>SUMIFS([1]!Data_Loan[Value],[1]!Data_Loan[Index Loan],TDP!$B255,[1]!Data_Loan[TenCongTyID],TDP!$B$1,[1]!Data_Loan[Thang.Nam],TDP!AC$254)</f>
        <v>0</v>
      </c>
      <c r="AD255" s="199">
        <f>SUMIFS([1]!Data_Loan[Value],[1]!Data_Loan[Index Loan],TDP!$B255,[1]!Data_Loan[TenCongTyID],TDP!$B$1,[1]!Data_Loan[Thang.Nam],TDP!AD$254)</f>
        <v>0</v>
      </c>
      <c r="AE255" s="199">
        <f>SUMIFS([1]!Data_Loan[Value],[1]!Data_Loan[Index Loan],TDP!$B255,[1]!Data_Loan[TenCongTyID],TDP!$B$1,[1]!Data_Loan[Thang.Nam],TDP!AE$254)</f>
        <v>0</v>
      </c>
      <c r="AF255" s="199">
        <f>SUMIFS([1]!Data_Loan[Value],[1]!Data_Loan[Index Loan],TDP!$B255,[1]!Data_Loan[TenCongTyID],TDP!$B$1,[1]!Data_Loan[Thang.Nam],TDP!AF$254)</f>
        <v>0</v>
      </c>
      <c r="AG255" s="199">
        <f>SUMIFS([1]!Data_Loan[Value],[1]!Data_Loan[Index Loan],TDP!$B255,[1]!Data_Loan[TenCongTyID],TDP!$B$1,[1]!Data_Loan[Thang.Nam],TDP!AG$254)</f>
        <v>0</v>
      </c>
      <c r="AH255" s="199">
        <f>SUMIFS([1]!Data_Loan[Value],[1]!Data_Loan[Index Loan],TDP!$B255,[1]!Data_Loan[TenCongTyID],TDP!$B$1,[1]!Data_Loan[Thang.Nam],TDP!AH$254)</f>
        <v>0</v>
      </c>
      <c r="AI255" s="199">
        <f>SUMIFS([1]!Data_Loan[Value],[1]!Data_Loan[Index Loan],TDP!$B255,[1]!Data_Loan[TenCongTyID],TDP!$B$1,[1]!Data_Loan[Thang.Nam],TDP!AI$254)</f>
        <v>0</v>
      </c>
      <c r="AJ255" s="199">
        <f>SUMIFS([1]!Data_Loan[Value],[1]!Data_Loan[Index Loan],TDP!$B255,[1]!Data_Loan[TenCongTyID],TDP!$B$1,[1]!Data_Loan[Thang.Nam],TDP!AJ$254)</f>
        <v>0</v>
      </c>
      <c r="AK255" s="199">
        <f>SUMIFS([1]!Data_Loan[Value],[1]!Data_Loan[Index Loan],TDP!$B255,[1]!Data_Loan[TenCongTyID],TDP!$B$1,[1]!Data_Loan[Thang.Nam],TDP!AK$254)</f>
        <v>0</v>
      </c>
      <c r="AL255" s="199">
        <f>SUMIFS([1]!Data_Loan[Value],[1]!Data_Loan[Index Loan],TDP!$B255,[1]!Data_Loan[TenCongTyID],TDP!$B$1,[1]!Data_Loan[Thang.Nam],TDP!AL$254)</f>
        <v>0</v>
      </c>
    </row>
    <row r="256" spans="1:38" ht="15" customHeight="1">
      <c r="A256" s="200" t="s">
        <v>341</v>
      </c>
      <c r="B256" s="329">
        <v>2</v>
      </c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>
        <v>0</v>
      </c>
      <c r="AA256" s="201">
        <f>SUMIFS([1]!Data_Loan[Value],[1]!Data_Loan[Index Loan],TDP!$B256,[1]!Data_Loan[TenCongTyID],TDP!$B$1,[1]!Data_Loan[Thang.Nam],TDP!AA$254)</f>
        <v>0</v>
      </c>
      <c r="AB256" s="201">
        <f>SUMIFS([1]!Data_Loan[Value],[1]!Data_Loan[Index Loan],TDP!$B256,[1]!Data_Loan[TenCongTyID],TDP!$B$1,[1]!Data_Loan[Thang.Nam],TDP!AB$254)</f>
        <v>0</v>
      </c>
      <c r="AC256" s="201">
        <f>SUMIFS([1]!Data_Loan[Value],[1]!Data_Loan[Index Loan],TDP!$B256,[1]!Data_Loan[TenCongTyID],TDP!$B$1,[1]!Data_Loan[Thang.Nam],TDP!AC$254)</f>
        <v>0</v>
      </c>
      <c r="AD256" s="201">
        <f>SUMIFS([1]!Data_Loan[Value],[1]!Data_Loan[Index Loan],TDP!$B256,[1]!Data_Loan[TenCongTyID],TDP!$B$1,[1]!Data_Loan[Thang.Nam],TDP!AD$254)</f>
        <v>0</v>
      </c>
      <c r="AE256" s="201">
        <f>SUMIFS([1]!Data_Loan[Value],[1]!Data_Loan[Index Loan],TDP!$B256,[1]!Data_Loan[TenCongTyID],TDP!$B$1,[1]!Data_Loan[Thang.Nam],TDP!AE$254)</f>
        <v>0</v>
      </c>
      <c r="AF256" s="201">
        <f>SUMIFS([1]!Data_Loan[Value],[1]!Data_Loan[Index Loan],TDP!$B256,[1]!Data_Loan[TenCongTyID],TDP!$B$1,[1]!Data_Loan[Thang.Nam],TDP!AF$254)</f>
        <v>0</v>
      </c>
      <c r="AG256" s="201">
        <f>SUMIFS([1]!Data_Loan[Value],[1]!Data_Loan[Index Loan],TDP!$B256,[1]!Data_Loan[TenCongTyID],TDP!$B$1,[1]!Data_Loan[Thang.Nam],TDP!AG$254)</f>
        <v>0</v>
      </c>
      <c r="AH256" s="201">
        <f>SUMIFS([1]!Data_Loan[Value],[1]!Data_Loan[Index Loan],TDP!$B256,[1]!Data_Loan[TenCongTyID],TDP!$B$1,[1]!Data_Loan[Thang.Nam],TDP!AH$254)</f>
        <v>0</v>
      </c>
      <c r="AI256" s="201">
        <f>SUMIFS([1]!Data_Loan[Value],[1]!Data_Loan[Index Loan],TDP!$B256,[1]!Data_Loan[TenCongTyID],TDP!$B$1,[1]!Data_Loan[Thang.Nam],TDP!AI$254)</f>
        <v>0</v>
      </c>
      <c r="AJ256" s="201">
        <f>SUMIFS([1]!Data_Loan[Value],[1]!Data_Loan[Index Loan],TDP!$B256,[1]!Data_Loan[TenCongTyID],TDP!$B$1,[1]!Data_Loan[Thang.Nam],TDP!AJ$254)</f>
        <v>0</v>
      </c>
      <c r="AK256" s="201">
        <f>SUMIFS([1]!Data_Loan[Value],[1]!Data_Loan[Index Loan],TDP!$B256,[1]!Data_Loan[TenCongTyID],TDP!$B$1,[1]!Data_Loan[Thang.Nam],TDP!AK$254)</f>
        <v>0</v>
      </c>
      <c r="AL256" s="201">
        <f>SUMIFS([1]!Data_Loan[Value],[1]!Data_Loan[Index Loan],TDP!$B256,[1]!Data_Loan[TenCongTyID],TDP!$B$1,[1]!Data_Loan[Thang.Nam],TDP!AL$254)</f>
        <v>0</v>
      </c>
    </row>
    <row r="257" spans="1:38" ht="15" customHeight="1">
      <c r="A257" s="200" t="s">
        <v>342</v>
      </c>
      <c r="B257" s="329">
        <v>3</v>
      </c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>
        <v>0</v>
      </c>
      <c r="AA257" s="201">
        <f>SUMIFS([1]!Data_Loan[Value],[1]!Data_Loan[Index Loan],TDP!$B257,[1]!Data_Loan[TenCongTyID],TDP!$B$1,[1]!Data_Loan[Thang.Nam],TDP!AA$254)</f>
        <v>0</v>
      </c>
      <c r="AB257" s="201">
        <f>SUMIFS([1]!Data_Loan[Value],[1]!Data_Loan[Index Loan],TDP!$B257,[1]!Data_Loan[TenCongTyID],TDP!$B$1,[1]!Data_Loan[Thang.Nam],TDP!AB$254)</f>
        <v>0</v>
      </c>
      <c r="AC257" s="201">
        <f>SUMIFS([1]!Data_Loan[Value],[1]!Data_Loan[Index Loan],TDP!$B257,[1]!Data_Loan[TenCongTyID],TDP!$B$1,[1]!Data_Loan[Thang.Nam],TDP!AC$254)</f>
        <v>0</v>
      </c>
      <c r="AD257" s="201">
        <f>SUMIFS([1]!Data_Loan[Value],[1]!Data_Loan[Index Loan],TDP!$B257,[1]!Data_Loan[TenCongTyID],TDP!$B$1,[1]!Data_Loan[Thang.Nam],TDP!AD$254)</f>
        <v>0</v>
      </c>
      <c r="AE257" s="201">
        <f>SUMIFS([1]!Data_Loan[Value],[1]!Data_Loan[Index Loan],TDP!$B257,[1]!Data_Loan[TenCongTyID],TDP!$B$1,[1]!Data_Loan[Thang.Nam],TDP!AE$254)</f>
        <v>0</v>
      </c>
      <c r="AF257" s="201">
        <f>SUMIFS([1]!Data_Loan[Value],[1]!Data_Loan[Index Loan],TDP!$B257,[1]!Data_Loan[TenCongTyID],TDP!$B$1,[1]!Data_Loan[Thang.Nam],TDP!AF$254)</f>
        <v>0</v>
      </c>
      <c r="AG257" s="201">
        <f>SUMIFS([1]!Data_Loan[Value],[1]!Data_Loan[Index Loan],TDP!$B257,[1]!Data_Loan[TenCongTyID],TDP!$B$1,[1]!Data_Loan[Thang.Nam],TDP!AG$254)</f>
        <v>0</v>
      </c>
      <c r="AH257" s="201">
        <f>SUMIFS([1]!Data_Loan[Value],[1]!Data_Loan[Index Loan],TDP!$B257,[1]!Data_Loan[TenCongTyID],TDP!$B$1,[1]!Data_Loan[Thang.Nam],TDP!AH$254)</f>
        <v>0</v>
      </c>
      <c r="AI257" s="201">
        <f>SUMIFS([1]!Data_Loan[Value],[1]!Data_Loan[Index Loan],TDP!$B257,[1]!Data_Loan[TenCongTyID],TDP!$B$1,[1]!Data_Loan[Thang.Nam],TDP!AI$254)</f>
        <v>0</v>
      </c>
      <c r="AJ257" s="201">
        <f>SUMIFS([1]!Data_Loan[Value],[1]!Data_Loan[Index Loan],TDP!$B257,[1]!Data_Loan[TenCongTyID],TDP!$B$1,[1]!Data_Loan[Thang.Nam],TDP!AJ$254)</f>
        <v>0</v>
      </c>
      <c r="AK257" s="201">
        <f>SUMIFS([1]!Data_Loan[Value],[1]!Data_Loan[Index Loan],TDP!$B257,[1]!Data_Loan[TenCongTyID],TDP!$B$1,[1]!Data_Loan[Thang.Nam],TDP!AK$254)</f>
        <v>0</v>
      </c>
      <c r="AL257" s="201">
        <f>SUMIFS([1]!Data_Loan[Value],[1]!Data_Loan[Index Loan],TDP!$B257,[1]!Data_Loan[TenCongTyID],TDP!$B$1,[1]!Data_Loan[Thang.Nam],TDP!AL$254)</f>
        <v>0</v>
      </c>
    </row>
    <row r="258" spans="1:38" ht="15" customHeight="1">
      <c r="A258" s="200" t="s">
        <v>343</v>
      </c>
      <c r="B258" s="329">
        <v>4</v>
      </c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>
        <v>0</v>
      </c>
      <c r="AA258" s="201">
        <f>SUMIFS([1]!Data_Loan[Value],[1]!Data_Loan[Index Loan],TDP!$B258,[1]!Data_Loan[TenCongTyID],TDP!$B$1,[1]!Data_Loan[Thang.Nam],TDP!AA$254)</f>
        <v>0</v>
      </c>
      <c r="AB258" s="201">
        <f>SUMIFS([1]!Data_Loan[Value],[1]!Data_Loan[Index Loan],TDP!$B258,[1]!Data_Loan[TenCongTyID],TDP!$B$1,[1]!Data_Loan[Thang.Nam],TDP!AB$254)</f>
        <v>0</v>
      </c>
      <c r="AC258" s="201">
        <f>SUMIFS([1]!Data_Loan[Value],[1]!Data_Loan[Index Loan],TDP!$B258,[1]!Data_Loan[TenCongTyID],TDP!$B$1,[1]!Data_Loan[Thang.Nam],TDP!AC$254)</f>
        <v>0</v>
      </c>
      <c r="AD258" s="201">
        <f>SUMIFS([1]!Data_Loan[Value],[1]!Data_Loan[Index Loan],TDP!$B258,[1]!Data_Loan[TenCongTyID],TDP!$B$1,[1]!Data_Loan[Thang.Nam],TDP!AD$254)</f>
        <v>0</v>
      </c>
      <c r="AE258" s="201">
        <f>SUMIFS([1]!Data_Loan[Value],[1]!Data_Loan[Index Loan],TDP!$B258,[1]!Data_Loan[TenCongTyID],TDP!$B$1,[1]!Data_Loan[Thang.Nam],TDP!AE$254)</f>
        <v>0</v>
      </c>
      <c r="AF258" s="201">
        <f>SUMIFS([1]!Data_Loan[Value],[1]!Data_Loan[Index Loan],TDP!$B258,[1]!Data_Loan[TenCongTyID],TDP!$B$1,[1]!Data_Loan[Thang.Nam],TDP!AF$254)</f>
        <v>0</v>
      </c>
      <c r="AG258" s="201">
        <f>SUMIFS([1]!Data_Loan[Value],[1]!Data_Loan[Index Loan],TDP!$B258,[1]!Data_Loan[TenCongTyID],TDP!$B$1,[1]!Data_Loan[Thang.Nam],TDP!AG$254)</f>
        <v>0</v>
      </c>
      <c r="AH258" s="201">
        <f>SUMIFS([1]!Data_Loan[Value],[1]!Data_Loan[Index Loan],TDP!$B258,[1]!Data_Loan[TenCongTyID],TDP!$B$1,[1]!Data_Loan[Thang.Nam],TDP!AH$254)</f>
        <v>0</v>
      </c>
      <c r="AI258" s="201">
        <f>SUMIFS([1]!Data_Loan[Value],[1]!Data_Loan[Index Loan],TDP!$B258,[1]!Data_Loan[TenCongTyID],TDP!$B$1,[1]!Data_Loan[Thang.Nam],TDP!AI$254)</f>
        <v>0</v>
      </c>
      <c r="AJ258" s="201">
        <f>SUMIFS([1]!Data_Loan[Value],[1]!Data_Loan[Index Loan],TDP!$B258,[1]!Data_Loan[TenCongTyID],TDP!$B$1,[1]!Data_Loan[Thang.Nam],TDP!AJ$254)</f>
        <v>0</v>
      </c>
      <c r="AK258" s="201">
        <f>SUMIFS([1]!Data_Loan[Value],[1]!Data_Loan[Index Loan],TDP!$B258,[1]!Data_Loan[TenCongTyID],TDP!$B$1,[1]!Data_Loan[Thang.Nam],TDP!AK$254)</f>
        <v>0</v>
      </c>
      <c r="AL258" s="201">
        <f>SUMIFS([1]!Data_Loan[Value],[1]!Data_Loan[Index Loan],TDP!$B258,[1]!Data_Loan[TenCongTyID],TDP!$B$1,[1]!Data_Loan[Thang.Nam],TDP!AL$254)</f>
        <v>0</v>
      </c>
    </row>
    <row r="259" spans="1:38" ht="15" customHeight="1">
      <c r="A259" s="200" t="s">
        <v>344</v>
      </c>
      <c r="B259" s="329">
        <v>5</v>
      </c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>
        <v>0</v>
      </c>
      <c r="AA259" s="201">
        <f>SUMIFS([1]!Data_Loan[Value],[1]!Data_Loan[Index Loan],TDP!$B259,[1]!Data_Loan[TenCongTyID],TDP!$B$1,[1]!Data_Loan[Thang.Nam],TDP!AA$254)</f>
        <v>0</v>
      </c>
      <c r="AB259" s="201">
        <f>SUMIFS([1]!Data_Loan[Value],[1]!Data_Loan[Index Loan],TDP!$B259,[1]!Data_Loan[TenCongTyID],TDP!$B$1,[1]!Data_Loan[Thang.Nam],TDP!AB$254)</f>
        <v>0</v>
      </c>
      <c r="AC259" s="201">
        <f>SUMIFS([1]!Data_Loan[Value],[1]!Data_Loan[Index Loan],TDP!$B259,[1]!Data_Loan[TenCongTyID],TDP!$B$1,[1]!Data_Loan[Thang.Nam],TDP!AC$254)</f>
        <v>0</v>
      </c>
      <c r="AD259" s="201">
        <f>SUMIFS([1]!Data_Loan[Value],[1]!Data_Loan[Index Loan],TDP!$B259,[1]!Data_Loan[TenCongTyID],TDP!$B$1,[1]!Data_Loan[Thang.Nam],TDP!AD$254)</f>
        <v>0</v>
      </c>
      <c r="AE259" s="201">
        <f>SUMIFS([1]!Data_Loan[Value],[1]!Data_Loan[Index Loan],TDP!$B259,[1]!Data_Loan[TenCongTyID],TDP!$B$1,[1]!Data_Loan[Thang.Nam],TDP!AE$254)</f>
        <v>0</v>
      </c>
      <c r="AF259" s="201">
        <f>SUMIFS([1]!Data_Loan[Value],[1]!Data_Loan[Index Loan],TDP!$B259,[1]!Data_Loan[TenCongTyID],TDP!$B$1,[1]!Data_Loan[Thang.Nam],TDP!AF$254)</f>
        <v>0</v>
      </c>
      <c r="AG259" s="201">
        <f>SUMIFS([1]!Data_Loan[Value],[1]!Data_Loan[Index Loan],TDP!$B259,[1]!Data_Loan[TenCongTyID],TDP!$B$1,[1]!Data_Loan[Thang.Nam],TDP!AG$254)</f>
        <v>0</v>
      </c>
      <c r="AH259" s="201">
        <f>SUMIFS([1]!Data_Loan[Value],[1]!Data_Loan[Index Loan],TDP!$B259,[1]!Data_Loan[TenCongTyID],TDP!$B$1,[1]!Data_Loan[Thang.Nam],TDP!AH$254)</f>
        <v>0</v>
      </c>
      <c r="AI259" s="201">
        <f>SUMIFS([1]!Data_Loan[Value],[1]!Data_Loan[Index Loan],TDP!$B259,[1]!Data_Loan[TenCongTyID],TDP!$B$1,[1]!Data_Loan[Thang.Nam],TDP!AI$254)</f>
        <v>0</v>
      </c>
      <c r="AJ259" s="201">
        <f>SUMIFS([1]!Data_Loan[Value],[1]!Data_Loan[Index Loan],TDP!$B259,[1]!Data_Loan[TenCongTyID],TDP!$B$1,[1]!Data_Loan[Thang.Nam],TDP!AJ$254)</f>
        <v>0</v>
      </c>
      <c r="AK259" s="201">
        <f>SUMIFS([1]!Data_Loan[Value],[1]!Data_Loan[Index Loan],TDP!$B259,[1]!Data_Loan[TenCongTyID],TDP!$B$1,[1]!Data_Loan[Thang.Nam],TDP!AK$254)</f>
        <v>0</v>
      </c>
      <c r="AL259" s="201">
        <f>SUMIFS([1]!Data_Loan[Value],[1]!Data_Loan[Index Loan],TDP!$B259,[1]!Data_Loan[TenCongTyID],TDP!$B$1,[1]!Data_Loan[Thang.Nam],TDP!AL$254)</f>
        <v>0</v>
      </c>
    </row>
    <row r="260" spans="1:38" ht="15" customHeight="1">
      <c r="A260" s="200" t="s">
        <v>345</v>
      </c>
      <c r="B260" s="329">
        <v>6</v>
      </c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>
        <v>0</v>
      </c>
      <c r="AA260" s="201">
        <f>SUMIFS([1]!Data_Loan[Value],[1]!Data_Loan[Index Loan],TDP!$B260,[1]!Data_Loan[TenCongTyID],TDP!$B$1,[1]!Data_Loan[Thang.Nam],TDP!AA$254)</f>
        <v>0</v>
      </c>
      <c r="AB260" s="201">
        <f>SUMIFS([1]!Data_Loan[Value],[1]!Data_Loan[Index Loan],TDP!$B260,[1]!Data_Loan[TenCongTyID],TDP!$B$1,[1]!Data_Loan[Thang.Nam],TDP!AB$254)</f>
        <v>0</v>
      </c>
      <c r="AC260" s="201">
        <f>SUMIFS([1]!Data_Loan[Value],[1]!Data_Loan[Index Loan],TDP!$B260,[1]!Data_Loan[TenCongTyID],TDP!$B$1,[1]!Data_Loan[Thang.Nam],TDP!AC$254)</f>
        <v>0</v>
      </c>
      <c r="AD260" s="201">
        <f>SUMIFS([1]!Data_Loan[Value],[1]!Data_Loan[Index Loan],TDP!$B260,[1]!Data_Loan[TenCongTyID],TDP!$B$1,[1]!Data_Loan[Thang.Nam],TDP!AD$254)</f>
        <v>0</v>
      </c>
      <c r="AE260" s="201">
        <f>SUMIFS([1]!Data_Loan[Value],[1]!Data_Loan[Index Loan],TDP!$B260,[1]!Data_Loan[TenCongTyID],TDP!$B$1,[1]!Data_Loan[Thang.Nam],TDP!AE$254)</f>
        <v>0</v>
      </c>
      <c r="AF260" s="201">
        <f>SUMIFS([1]!Data_Loan[Value],[1]!Data_Loan[Index Loan],TDP!$B260,[1]!Data_Loan[TenCongTyID],TDP!$B$1,[1]!Data_Loan[Thang.Nam],TDP!AF$254)</f>
        <v>0</v>
      </c>
      <c r="AG260" s="201">
        <f>SUMIFS([1]!Data_Loan[Value],[1]!Data_Loan[Index Loan],TDP!$B260,[1]!Data_Loan[TenCongTyID],TDP!$B$1,[1]!Data_Loan[Thang.Nam],TDP!AG$254)</f>
        <v>0</v>
      </c>
      <c r="AH260" s="201">
        <f>SUMIFS([1]!Data_Loan[Value],[1]!Data_Loan[Index Loan],TDP!$B260,[1]!Data_Loan[TenCongTyID],TDP!$B$1,[1]!Data_Loan[Thang.Nam],TDP!AH$254)</f>
        <v>0</v>
      </c>
      <c r="AI260" s="201">
        <f>SUMIFS([1]!Data_Loan[Value],[1]!Data_Loan[Index Loan],TDP!$B260,[1]!Data_Loan[TenCongTyID],TDP!$B$1,[1]!Data_Loan[Thang.Nam],TDP!AI$254)</f>
        <v>0</v>
      </c>
      <c r="AJ260" s="201">
        <f>SUMIFS([1]!Data_Loan[Value],[1]!Data_Loan[Index Loan],TDP!$B260,[1]!Data_Loan[TenCongTyID],TDP!$B$1,[1]!Data_Loan[Thang.Nam],TDP!AJ$254)</f>
        <v>0</v>
      </c>
      <c r="AK260" s="201">
        <f>SUMIFS([1]!Data_Loan[Value],[1]!Data_Loan[Index Loan],TDP!$B260,[1]!Data_Loan[TenCongTyID],TDP!$B$1,[1]!Data_Loan[Thang.Nam],TDP!AK$254)</f>
        <v>0</v>
      </c>
      <c r="AL260" s="201">
        <f>SUMIFS([1]!Data_Loan[Value],[1]!Data_Loan[Index Loan],TDP!$B260,[1]!Data_Loan[TenCongTyID],TDP!$B$1,[1]!Data_Loan[Thang.Nam],TDP!AL$254)</f>
        <v>0</v>
      </c>
    </row>
    <row r="261" spans="1:38" ht="15" customHeight="1">
      <c r="A261" s="200" t="s">
        <v>346</v>
      </c>
      <c r="B261" s="329">
        <v>7</v>
      </c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>
        <v>0</v>
      </c>
      <c r="AA261" s="201">
        <f>SUMIFS([1]!Data_Loan[Value],[1]!Data_Loan[Index Loan],TDP!$B261,[1]!Data_Loan[TenCongTyID],TDP!$B$1,[1]!Data_Loan[Thang.Nam],TDP!AA$254)</f>
        <v>0</v>
      </c>
      <c r="AB261" s="201">
        <f>SUMIFS([1]!Data_Loan[Value],[1]!Data_Loan[Index Loan],TDP!$B261,[1]!Data_Loan[TenCongTyID],TDP!$B$1,[1]!Data_Loan[Thang.Nam],TDP!AB$254)</f>
        <v>0</v>
      </c>
      <c r="AC261" s="201">
        <f>SUMIFS([1]!Data_Loan[Value],[1]!Data_Loan[Index Loan],TDP!$B261,[1]!Data_Loan[TenCongTyID],TDP!$B$1,[1]!Data_Loan[Thang.Nam],TDP!AC$254)</f>
        <v>0</v>
      </c>
      <c r="AD261" s="201">
        <f>SUMIFS([1]!Data_Loan[Value],[1]!Data_Loan[Index Loan],TDP!$B261,[1]!Data_Loan[TenCongTyID],TDP!$B$1,[1]!Data_Loan[Thang.Nam],TDP!AD$254)</f>
        <v>0</v>
      </c>
      <c r="AE261" s="201">
        <f>SUMIFS([1]!Data_Loan[Value],[1]!Data_Loan[Index Loan],TDP!$B261,[1]!Data_Loan[TenCongTyID],TDP!$B$1,[1]!Data_Loan[Thang.Nam],TDP!AE$254)</f>
        <v>0</v>
      </c>
      <c r="AF261" s="201">
        <f>SUMIFS([1]!Data_Loan[Value],[1]!Data_Loan[Index Loan],TDP!$B261,[1]!Data_Loan[TenCongTyID],TDP!$B$1,[1]!Data_Loan[Thang.Nam],TDP!AF$254)</f>
        <v>0</v>
      </c>
      <c r="AG261" s="201">
        <f>SUMIFS([1]!Data_Loan[Value],[1]!Data_Loan[Index Loan],TDP!$B261,[1]!Data_Loan[TenCongTyID],TDP!$B$1,[1]!Data_Loan[Thang.Nam],TDP!AG$254)</f>
        <v>0</v>
      </c>
      <c r="AH261" s="201">
        <f>SUMIFS([1]!Data_Loan[Value],[1]!Data_Loan[Index Loan],TDP!$B261,[1]!Data_Loan[TenCongTyID],TDP!$B$1,[1]!Data_Loan[Thang.Nam],TDP!AH$254)</f>
        <v>0</v>
      </c>
      <c r="AI261" s="201">
        <f>SUMIFS([1]!Data_Loan[Value],[1]!Data_Loan[Index Loan],TDP!$B261,[1]!Data_Loan[TenCongTyID],TDP!$B$1,[1]!Data_Loan[Thang.Nam],TDP!AI$254)</f>
        <v>0</v>
      </c>
      <c r="AJ261" s="201">
        <f>SUMIFS([1]!Data_Loan[Value],[1]!Data_Loan[Index Loan],TDP!$B261,[1]!Data_Loan[TenCongTyID],TDP!$B$1,[1]!Data_Loan[Thang.Nam],TDP!AJ$254)</f>
        <v>0</v>
      </c>
      <c r="AK261" s="201">
        <f>SUMIFS([1]!Data_Loan[Value],[1]!Data_Loan[Index Loan],TDP!$B261,[1]!Data_Loan[TenCongTyID],TDP!$B$1,[1]!Data_Loan[Thang.Nam],TDP!AK$254)</f>
        <v>0</v>
      </c>
      <c r="AL261" s="201">
        <f>SUMIFS([1]!Data_Loan[Value],[1]!Data_Loan[Index Loan],TDP!$B261,[1]!Data_Loan[TenCongTyID],TDP!$B$1,[1]!Data_Loan[Thang.Nam],TDP!AL$254)</f>
        <v>0</v>
      </c>
    </row>
    <row r="262" spans="1:38" ht="15" customHeight="1">
      <c r="A262" s="200" t="s">
        <v>347</v>
      </c>
      <c r="B262" s="329">
        <v>8</v>
      </c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>
        <v>0</v>
      </c>
      <c r="AA262" s="201">
        <f>SUMIFS([1]!Data_Loan[Value],[1]!Data_Loan[Index Loan],TDP!$B262,[1]!Data_Loan[TenCongTyID],TDP!$B$1,[1]!Data_Loan[Thang.Nam],TDP!AA$254)</f>
        <v>0</v>
      </c>
      <c r="AB262" s="201">
        <f>SUMIFS([1]!Data_Loan[Value],[1]!Data_Loan[Index Loan],TDP!$B262,[1]!Data_Loan[TenCongTyID],TDP!$B$1,[1]!Data_Loan[Thang.Nam],TDP!AB$254)</f>
        <v>0</v>
      </c>
      <c r="AC262" s="201">
        <f>SUMIFS([1]!Data_Loan[Value],[1]!Data_Loan[Index Loan],TDP!$B262,[1]!Data_Loan[TenCongTyID],TDP!$B$1,[1]!Data_Loan[Thang.Nam],TDP!AC$254)</f>
        <v>0</v>
      </c>
      <c r="AD262" s="201">
        <f>SUMIFS([1]!Data_Loan[Value],[1]!Data_Loan[Index Loan],TDP!$B262,[1]!Data_Loan[TenCongTyID],TDP!$B$1,[1]!Data_Loan[Thang.Nam],TDP!AD$254)</f>
        <v>0</v>
      </c>
      <c r="AE262" s="201">
        <f>SUMIFS([1]!Data_Loan[Value],[1]!Data_Loan[Index Loan],TDP!$B262,[1]!Data_Loan[TenCongTyID],TDP!$B$1,[1]!Data_Loan[Thang.Nam],TDP!AE$254)</f>
        <v>0</v>
      </c>
      <c r="AF262" s="201">
        <f>SUMIFS([1]!Data_Loan[Value],[1]!Data_Loan[Index Loan],TDP!$B262,[1]!Data_Loan[TenCongTyID],TDP!$B$1,[1]!Data_Loan[Thang.Nam],TDP!AF$254)</f>
        <v>0</v>
      </c>
      <c r="AG262" s="201">
        <f>SUMIFS([1]!Data_Loan[Value],[1]!Data_Loan[Index Loan],TDP!$B262,[1]!Data_Loan[TenCongTyID],TDP!$B$1,[1]!Data_Loan[Thang.Nam],TDP!AG$254)</f>
        <v>0</v>
      </c>
      <c r="AH262" s="201">
        <f>SUMIFS([1]!Data_Loan[Value],[1]!Data_Loan[Index Loan],TDP!$B262,[1]!Data_Loan[TenCongTyID],TDP!$B$1,[1]!Data_Loan[Thang.Nam],TDP!AH$254)</f>
        <v>0</v>
      </c>
      <c r="AI262" s="201">
        <f>SUMIFS([1]!Data_Loan[Value],[1]!Data_Loan[Index Loan],TDP!$B262,[1]!Data_Loan[TenCongTyID],TDP!$B$1,[1]!Data_Loan[Thang.Nam],TDP!AI$254)</f>
        <v>0</v>
      </c>
      <c r="AJ262" s="201">
        <f>SUMIFS([1]!Data_Loan[Value],[1]!Data_Loan[Index Loan],TDP!$B262,[1]!Data_Loan[TenCongTyID],TDP!$B$1,[1]!Data_Loan[Thang.Nam],TDP!AJ$254)</f>
        <v>0</v>
      </c>
      <c r="AK262" s="201">
        <f>SUMIFS([1]!Data_Loan[Value],[1]!Data_Loan[Index Loan],TDP!$B262,[1]!Data_Loan[TenCongTyID],TDP!$B$1,[1]!Data_Loan[Thang.Nam],TDP!AK$254)</f>
        <v>0</v>
      </c>
      <c r="AL262" s="201">
        <f>SUMIFS([1]!Data_Loan[Value],[1]!Data_Loan[Index Loan],TDP!$B262,[1]!Data_Loan[TenCongTyID],TDP!$B$1,[1]!Data_Loan[Thang.Nam],TDP!AL$254)</f>
        <v>0</v>
      </c>
    </row>
    <row r="263" spans="1:38" ht="15" customHeight="1">
      <c r="A263" s="200"/>
      <c r="B263" s="329">
        <v>9</v>
      </c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>
        <v>0</v>
      </c>
      <c r="AA263" s="201">
        <f>SUMIFS([1]!Data_Loan[Value],[1]!Data_Loan[Index Loan],TDP!$B263,[1]!Data_Loan[TenCongTyID],TDP!$B$1,[1]!Data_Loan[Thang.Nam],TDP!AA$254)</f>
        <v>0</v>
      </c>
      <c r="AB263" s="201">
        <f>SUMIFS([1]!Data_Loan[Value],[1]!Data_Loan[Index Loan],TDP!$B263,[1]!Data_Loan[TenCongTyID],TDP!$B$1,[1]!Data_Loan[Thang.Nam],TDP!AB$254)</f>
        <v>0</v>
      </c>
      <c r="AC263" s="201">
        <f>SUMIFS([1]!Data_Loan[Value],[1]!Data_Loan[Index Loan],TDP!$B263,[1]!Data_Loan[TenCongTyID],TDP!$B$1,[1]!Data_Loan[Thang.Nam],TDP!AC$254)</f>
        <v>0</v>
      </c>
      <c r="AD263" s="201">
        <f>SUMIFS([1]!Data_Loan[Value],[1]!Data_Loan[Index Loan],TDP!$B263,[1]!Data_Loan[TenCongTyID],TDP!$B$1,[1]!Data_Loan[Thang.Nam],TDP!AD$254)</f>
        <v>0</v>
      </c>
      <c r="AE263" s="201">
        <f>SUMIFS([1]!Data_Loan[Value],[1]!Data_Loan[Index Loan],TDP!$B263,[1]!Data_Loan[TenCongTyID],TDP!$B$1,[1]!Data_Loan[Thang.Nam],TDP!AE$254)</f>
        <v>0</v>
      </c>
      <c r="AF263" s="201">
        <f>SUMIFS([1]!Data_Loan[Value],[1]!Data_Loan[Index Loan],TDP!$B263,[1]!Data_Loan[TenCongTyID],TDP!$B$1,[1]!Data_Loan[Thang.Nam],TDP!AF$254)</f>
        <v>0</v>
      </c>
      <c r="AG263" s="201">
        <f>SUMIFS([1]!Data_Loan[Value],[1]!Data_Loan[Index Loan],TDP!$B263,[1]!Data_Loan[TenCongTyID],TDP!$B$1,[1]!Data_Loan[Thang.Nam],TDP!AG$254)</f>
        <v>0</v>
      </c>
      <c r="AH263" s="201">
        <f>SUMIFS([1]!Data_Loan[Value],[1]!Data_Loan[Index Loan],TDP!$B263,[1]!Data_Loan[TenCongTyID],TDP!$B$1,[1]!Data_Loan[Thang.Nam],TDP!AH$254)</f>
        <v>0</v>
      </c>
      <c r="AI263" s="201">
        <f>SUMIFS([1]!Data_Loan[Value],[1]!Data_Loan[Index Loan],TDP!$B263,[1]!Data_Loan[TenCongTyID],TDP!$B$1,[1]!Data_Loan[Thang.Nam],TDP!AI$254)</f>
        <v>0</v>
      </c>
      <c r="AJ263" s="201">
        <f>SUMIFS([1]!Data_Loan[Value],[1]!Data_Loan[Index Loan],TDP!$B263,[1]!Data_Loan[TenCongTyID],TDP!$B$1,[1]!Data_Loan[Thang.Nam],TDP!AJ$254)</f>
        <v>0</v>
      </c>
      <c r="AK263" s="201">
        <f>SUMIFS([1]!Data_Loan[Value],[1]!Data_Loan[Index Loan],TDP!$B263,[1]!Data_Loan[TenCongTyID],TDP!$B$1,[1]!Data_Loan[Thang.Nam],TDP!AK$254)</f>
        <v>0</v>
      </c>
      <c r="AL263" s="201">
        <f>SUMIFS([1]!Data_Loan[Value],[1]!Data_Loan[Index Loan],TDP!$B263,[1]!Data_Loan[TenCongTyID],TDP!$B$1,[1]!Data_Loan[Thang.Nam],TDP!AL$254)</f>
        <v>0</v>
      </c>
    </row>
    <row r="264" spans="1:38" ht="15" customHeight="1">
      <c r="A264" s="196" t="s">
        <v>340</v>
      </c>
      <c r="B264" s="328">
        <v>10</v>
      </c>
      <c r="C264" s="355"/>
      <c r="D264" s="355"/>
      <c r="E264" s="355"/>
      <c r="F264" s="355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>
        <v>0</v>
      </c>
      <c r="AA264" s="199">
        <f>SUMIFS([1]!Data_Loan[Value],[1]!Data_Loan[Index Loan],TDP!$B264,[1]!Data_Loan[TenCongTyID],TDP!$B$1,[1]!Data_Loan[Thang.Nam],TDP!AA$254)</f>
        <v>0</v>
      </c>
      <c r="AB264" s="199">
        <f>SUMIFS([1]!Data_Loan[Value],[1]!Data_Loan[Index Loan],TDP!$B264,[1]!Data_Loan[TenCongTyID],TDP!$B$1,[1]!Data_Loan[Thang.Nam],TDP!AB$254)</f>
        <v>0</v>
      </c>
      <c r="AC264" s="199">
        <f>SUMIFS([1]!Data_Loan[Value],[1]!Data_Loan[Index Loan],TDP!$B264,[1]!Data_Loan[TenCongTyID],TDP!$B$1,[1]!Data_Loan[Thang.Nam],TDP!AC$254)</f>
        <v>0</v>
      </c>
      <c r="AD264" s="199">
        <f>SUMIFS([1]!Data_Loan[Value],[1]!Data_Loan[Index Loan],TDP!$B264,[1]!Data_Loan[TenCongTyID],TDP!$B$1,[1]!Data_Loan[Thang.Nam],TDP!AD$254)</f>
        <v>0</v>
      </c>
      <c r="AE264" s="199">
        <f>SUMIFS([1]!Data_Loan[Value],[1]!Data_Loan[Index Loan],TDP!$B264,[1]!Data_Loan[TenCongTyID],TDP!$B$1,[1]!Data_Loan[Thang.Nam],TDP!AE$254)</f>
        <v>0</v>
      </c>
      <c r="AF264" s="199">
        <f>SUMIFS([1]!Data_Loan[Value],[1]!Data_Loan[Index Loan],TDP!$B264,[1]!Data_Loan[TenCongTyID],TDP!$B$1,[1]!Data_Loan[Thang.Nam],TDP!AF$254)</f>
        <v>0</v>
      </c>
      <c r="AG264" s="199">
        <f>SUMIFS([1]!Data_Loan[Value],[1]!Data_Loan[Index Loan],TDP!$B264,[1]!Data_Loan[TenCongTyID],TDP!$B$1,[1]!Data_Loan[Thang.Nam],TDP!AG$254)</f>
        <v>0</v>
      </c>
      <c r="AH264" s="199">
        <f>SUMIFS([1]!Data_Loan[Value],[1]!Data_Loan[Index Loan],TDP!$B264,[1]!Data_Loan[TenCongTyID],TDP!$B$1,[1]!Data_Loan[Thang.Nam],TDP!AH$254)</f>
        <v>0</v>
      </c>
      <c r="AI264" s="199">
        <f>SUMIFS([1]!Data_Loan[Value],[1]!Data_Loan[Index Loan],TDP!$B264,[1]!Data_Loan[TenCongTyID],TDP!$B$1,[1]!Data_Loan[Thang.Nam],TDP!AI$254)</f>
        <v>0</v>
      </c>
      <c r="AJ264" s="199">
        <f>SUMIFS([1]!Data_Loan[Value],[1]!Data_Loan[Index Loan],TDP!$B264,[1]!Data_Loan[TenCongTyID],TDP!$B$1,[1]!Data_Loan[Thang.Nam],TDP!AJ$254)</f>
        <v>0</v>
      </c>
      <c r="AK264" s="199">
        <f>SUMIFS([1]!Data_Loan[Value],[1]!Data_Loan[Index Loan],TDP!$B264,[1]!Data_Loan[TenCongTyID],TDP!$B$1,[1]!Data_Loan[Thang.Nam],TDP!AK$254)</f>
        <v>0</v>
      </c>
      <c r="AL264" s="199">
        <f>SUMIFS([1]!Data_Loan[Value],[1]!Data_Loan[Index Loan],TDP!$B264,[1]!Data_Loan[TenCongTyID],TDP!$B$1,[1]!Data_Loan[Thang.Nam],TDP!AL$254)</f>
        <v>0</v>
      </c>
    </row>
    <row r="265" spans="1:38" ht="15" customHeight="1">
      <c r="A265" s="200" t="s">
        <v>341</v>
      </c>
      <c r="B265" s="329">
        <v>11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>
        <v>0</v>
      </c>
      <c r="AA265" s="201">
        <f>SUMIFS([1]!Data_Loan[Value],[1]!Data_Loan[Index Loan],TDP!$B265,[1]!Data_Loan[TenCongTyID],TDP!$B$1,[1]!Data_Loan[Thang.Nam],TDP!AA$254)</f>
        <v>0</v>
      </c>
      <c r="AB265" s="201">
        <f>SUMIFS([1]!Data_Loan[Value],[1]!Data_Loan[Index Loan],TDP!$B265,[1]!Data_Loan[TenCongTyID],TDP!$B$1,[1]!Data_Loan[Thang.Nam],TDP!AB$254)</f>
        <v>0</v>
      </c>
      <c r="AC265" s="201">
        <f>SUMIFS([1]!Data_Loan[Value],[1]!Data_Loan[Index Loan],TDP!$B265,[1]!Data_Loan[TenCongTyID],TDP!$B$1,[1]!Data_Loan[Thang.Nam],TDP!AC$254)</f>
        <v>0</v>
      </c>
      <c r="AD265" s="201">
        <f>SUMIFS([1]!Data_Loan[Value],[1]!Data_Loan[Index Loan],TDP!$B265,[1]!Data_Loan[TenCongTyID],TDP!$B$1,[1]!Data_Loan[Thang.Nam],TDP!AD$254)</f>
        <v>0</v>
      </c>
      <c r="AE265" s="201">
        <f>SUMIFS([1]!Data_Loan[Value],[1]!Data_Loan[Index Loan],TDP!$B265,[1]!Data_Loan[TenCongTyID],TDP!$B$1,[1]!Data_Loan[Thang.Nam],TDP!AE$254)</f>
        <v>0</v>
      </c>
      <c r="AF265" s="201">
        <f>SUMIFS([1]!Data_Loan[Value],[1]!Data_Loan[Index Loan],TDP!$B265,[1]!Data_Loan[TenCongTyID],TDP!$B$1,[1]!Data_Loan[Thang.Nam],TDP!AF$254)</f>
        <v>0</v>
      </c>
      <c r="AG265" s="201">
        <f>SUMIFS([1]!Data_Loan[Value],[1]!Data_Loan[Index Loan],TDP!$B265,[1]!Data_Loan[TenCongTyID],TDP!$B$1,[1]!Data_Loan[Thang.Nam],TDP!AG$254)</f>
        <v>0</v>
      </c>
      <c r="AH265" s="201">
        <f>SUMIFS([1]!Data_Loan[Value],[1]!Data_Loan[Index Loan],TDP!$B265,[1]!Data_Loan[TenCongTyID],TDP!$B$1,[1]!Data_Loan[Thang.Nam],TDP!AH$254)</f>
        <v>0</v>
      </c>
      <c r="AI265" s="201">
        <f>SUMIFS([1]!Data_Loan[Value],[1]!Data_Loan[Index Loan],TDP!$B265,[1]!Data_Loan[TenCongTyID],TDP!$B$1,[1]!Data_Loan[Thang.Nam],TDP!AI$254)</f>
        <v>0</v>
      </c>
      <c r="AJ265" s="201">
        <f>SUMIFS([1]!Data_Loan[Value],[1]!Data_Loan[Index Loan],TDP!$B265,[1]!Data_Loan[TenCongTyID],TDP!$B$1,[1]!Data_Loan[Thang.Nam],TDP!AJ$254)</f>
        <v>0</v>
      </c>
      <c r="AK265" s="201">
        <f>SUMIFS([1]!Data_Loan[Value],[1]!Data_Loan[Index Loan],TDP!$B265,[1]!Data_Loan[TenCongTyID],TDP!$B$1,[1]!Data_Loan[Thang.Nam],TDP!AK$254)</f>
        <v>0</v>
      </c>
      <c r="AL265" s="201">
        <f>SUMIFS([1]!Data_Loan[Value],[1]!Data_Loan[Index Loan],TDP!$B265,[1]!Data_Loan[TenCongTyID],TDP!$B$1,[1]!Data_Loan[Thang.Nam],TDP!AL$254)</f>
        <v>0</v>
      </c>
    </row>
    <row r="266" spans="1:38" ht="15" customHeight="1">
      <c r="A266" s="200" t="s">
        <v>342</v>
      </c>
      <c r="B266" s="329">
        <v>12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>
        <v>0</v>
      </c>
      <c r="AA266" s="201">
        <f>SUMIFS([1]!Data_Loan[Value],[1]!Data_Loan[Index Loan],TDP!$B266,[1]!Data_Loan[TenCongTyID],TDP!$B$1,[1]!Data_Loan[Thang.Nam],TDP!AA$254)</f>
        <v>0</v>
      </c>
      <c r="AB266" s="201">
        <f>SUMIFS([1]!Data_Loan[Value],[1]!Data_Loan[Index Loan],TDP!$B266,[1]!Data_Loan[TenCongTyID],TDP!$B$1,[1]!Data_Loan[Thang.Nam],TDP!AB$254)</f>
        <v>0</v>
      </c>
      <c r="AC266" s="201">
        <f>SUMIFS([1]!Data_Loan[Value],[1]!Data_Loan[Index Loan],TDP!$B266,[1]!Data_Loan[TenCongTyID],TDP!$B$1,[1]!Data_Loan[Thang.Nam],TDP!AC$254)</f>
        <v>0</v>
      </c>
      <c r="AD266" s="201">
        <f>SUMIFS([1]!Data_Loan[Value],[1]!Data_Loan[Index Loan],TDP!$B266,[1]!Data_Loan[TenCongTyID],TDP!$B$1,[1]!Data_Loan[Thang.Nam],TDP!AD$254)</f>
        <v>0</v>
      </c>
      <c r="AE266" s="201">
        <f>SUMIFS([1]!Data_Loan[Value],[1]!Data_Loan[Index Loan],TDP!$B266,[1]!Data_Loan[TenCongTyID],TDP!$B$1,[1]!Data_Loan[Thang.Nam],TDP!AE$254)</f>
        <v>0</v>
      </c>
      <c r="AF266" s="201">
        <f>SUMIFS([1]!Data_Loan[Value],[1]!Data_Loan[Index Loan],TDP!$B266,[1]!Data_Loan[TenCongTyID],TDP!$B$1,[1]!Data_Loan[Thang.Nam],TDP!AF$254)</f>
        <v>0</v>
      </c>
      <c r="AG266" s="201">
        <f>SUMIFS([1]!Data_Loan[Value],[1]!Data_Loan[Index Loan],TDP!$B266,[1]!Data_Loan[TenCongTyID],TDP!$B$1,[1]!Data_Loan[Thang.Nam],TDP!AG$254)</f>
        <v>0</v>
      </c>
      <c r="AH266" s="201">
        <f>SUMIFS([1]!Data_Loan[Value],[1]!Data_Loan[Index Loan],TDP!$B266,[1]!Data_Loan[TenCongTyID],TDP!$B$1,[1]!Data_Loan[Thang.Nam],TDP!AH$254)</f>
        <v>0</v>
      </c>
      <c r="AI266" s="201">
        <f>SUMIFS([1]!Data_Loan[Value],[1]!Data_Loan[Index Loan],TDP!$B266,[1]!Data_Loan[TenCongTyID],TDP!$B$1,[1]!Data_Loan[Thang.Nam],TDP!AI$254)</f>
        <v>0</v>
      </c>
      <c r="AJ266" s="201">
        <f>SUMIFS([1]!Data_Loan[Value],[1]!Data_Loan[Index Loan],TDP!$B266,[1]!Data_Loan[TenCongTyID],TDP!$B$1,[1]!Data_Loan[Thang.Nam],TDP!AJ$254)</f>
        <v>0</v>
      </c>
      <c r="AK266" s="201">
        <f>SUMIFS([1]!Data_Loan[Value],[1]!Data_Loan[Index Loan],TDP!$B266,[1]!Data_Loan[TenCongTyID],TDP!$B$1,[1]!Data_Loan[Thang.Nam],TDP!AK$254)</f>
        <v>0</v>
      </c>
      <c r="AL266" s="201">
        <f>SUMIFS([1]!Data_Loan[Value],[1]!Data_Loan[Index Loan],TDP!$B266,[1]!Data_Loan[TenCongTyID],TDP!$B$1,[1]!Data_Loan[Thang.Nam],TDP!AL$254)</f>
        <v>0</v>
      </c>
    </row>
    <row r="267" spans="1:38" ht="15" customHeight="1">
      <c r="A267" s="200" t="s">
        <v>343</v>
      </c>
      <c r="B267" s="329">
        <v>13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>
        <v>0</v>
      </c>
      <c r="AA267" s="201">
        <f>SUMIFS([1]!Data_Loan[Value],[1]!Data_Loan[Index Loan],TDP!$B267,[1]!Data_Loan[TenCongTyID],TDP!$B$1,[1]!Data_Loan[Thang.Nam],TDP!AA$254)</f>
        <v>0</v>
      </c>
      <c r="AB267" s="201">
        <f>SUMIFS([1]!Data_Loan[Value],[1]!Data_Loan[Index Loan],TDP!$B267,[1]!Data_Loan[TenCongTyID],TDP!$B$1,[1]!Data_Loan[Thang.Nam],TDP!AB$254)</f>
        <v>0</v>
      </c>
      <c r="AC267" s="201">
        <f>SUMIFS([1]!Data_Loan[Value],[1]!Data_Loan[Index Loan],TDP!$B267,[1]!Data_Loan[TenCongTyID],TDP!$B$1,[1]!Data_Loan[Thang.Nam],TDP!AC$254)</f>
        <v>0</v>
      </c>
      <c r="AD267" s="201">
        <f>SUMIFS([1]!Data_Loan[Value],[1]!Data_Loan[Index Loan],TDP!$B267,[1]!Data_Loan[TenCongTyID],TDP!$B$1,[1]!Data_Loan[Thang.Nam],TDP!AD$254)</f>
        <v>0</v>
      </c>
      <c r="AE267" s="201">
        <f>SUMIFS([1]!Data_Loan[Value],[1]!Data_Loan[Index Loan],TDP!$B267,[1]!Data_Loan[TenCongTyID],TDP!$B$1,[1]!Data_Loan[Thang.Nam],TDP!AE$254)</f>
        <v>0</v>
      </c>
      <c r="AF267" s="201">
        <f>SUMIFS([1]!Data_Loan[Value],[1]!Data_Loan[Index Loan],TDP!$B267,[1]!Data_Loan[TenCongTyID],TDP!$B$1,[1]!Data_Loan[Thang.Nam],TDP!AF$254)</f>
        <v>0</v>
      </c>
      <c r="AG267" s="201">
        <f>SUMIFS([1]!Data_Loan[Value],[1]!Data_Loan[Index Loan],TDP!$B267,[1]!Data_Loan[TenCongTyID],TDP!$B$1,[1]!Data_Loan[Thang.Nam],TDP!AG$254)</f>
        <v>0</v>
      </c>
      <c r="AH267" s="201">
        <f>SUMIFS([1]!Data_Loan[Value],[1]!Data_Loan[Index Loan],TDP!$B267,[1]!Data_Loan[TenCongTyID],TDP!$B$1,[1]!Data_Loan[Thang.Nam],TDP!AH$254)</f>
        <v>0</v>
      </c>
      <c r="AI267" s="201">
        <f>SUMIFS([1]!Data_Loan[Value],[1]!Data_Loan[Index Loan],TDP!$B267,[1]!Data_Loan[TenCongTyID],TDP!$B$1,[1]!Data_Loan[Thang.Nam],TDP!AI$254)</f>
        <v>0</v>
      </c>
      <c r="AJ267" s="201">
        <f>SUMIFS([1]!Data_Loan[Value],[1]!Data_Loan[Index Loan],TDP!$B267,[1]!Data_Loan[TenCongTyID],TDP!$B$1,[1]!Data_Loan[Thang.Nam],TDP!AJ$254)</f>
        <v>0</v>
      </c>
      <c r="AK267" s="201">
        <f>SUMIFS([1]!Data_Loan[Value],[1]!Data_Loan[Index Loan],TDP!$B267,[1]!Data_Loan[TenCongTyID],TDP!$B$1,[1]!Data_Loan[Thang.Nam],TDP!AK$254)</f>
        <v>0</v>
      </c>
      <c r="AL267" s="201">
        <f>SUMIFS([1]!Data_Loan[Value],[1]!Data_Loan[Index Loan],TDP!$B267,[1]!Data_Loan[TenCongTyID],TDP!$B$1,[1]!Data_Loan[Thang.Nam],TDP!AL$254)</f>
        <v>0</v>
      </c>
    </row>
    <row r="268" spans="1:38" ht="15" customHeight="1">
      <c r="A268" s="200" t="s">
        <v>344</v>
      </c>
      <c r="B268" s="329">
        <v>14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>
        <v>0</v>
      </c>
      <c r="AA268" s="201">
        <f>SUMIFS([1]!Data_Loan[Value],[1]!Data_Loan[Index Loan],TDP!$B268,[1]!Data_Loan[TenCongTyID],TDP!$B$1,[1]!Data_Loan[Thang.Nam],TDP!AA$254)</f>
        <v>0</v>
      </c>
      <c r="AB268" s="201">
        <f>SUMIFS([1]!Data_Loan[Value],[1]!Data_Loan[Index Loan],TDP!$B268,[1]!Data_Loan[TenCongTyID],TDP!$B$1,[1]!Data_Loan[Thang.Nam],TDP!AB$254)</f>
        <v>0</v>
      </c>
      <c r="AC268" s="201">
        <f>SUMIFS([1]!Data_Loan[Value],[1]!Data_Loan[Index Loan],TDP!$B268,[1]!Data_Loan[TenCongTyID],TDP!$B$1,[1]!Data_Loan[Thang.Nam],TDP!AC$254)</f>
        <v>0</v>
      </c>
      <c r="AD268" s="201">
        <f>SUMIFS([1]!Data_Loan[Value],[1]!Data_Loan[Index Loan],TDP!$B268,[1]!Data_Loan[TenCongTyID],TDP!$B$1,[1]!Data_Loan[Thang.Nam],TDP!AD$254)</f>
        <v>0</v>
      </c>
      <c r="AE268" s="201">
        <f>SUMIFS([1]!Data_Loan[Value],[1]!Data_Loan[Index Loan],TDP!$B268,[1]!Data_Loan[TenCongTyID],TDP!$B$1,[1]!Data_Loan[Thang.Nam],TDP!AE$254)</f>
        <v>0</v>
      </c>
      <c r="AF268" s="201">
        <f>SUMIFS([1]!Data_Loan[Value],[1]!Data_Loan[Index Loan],TDP!$B268,[1]!Data_Loan[TenCongTyID],TDP!$B$1,[1]!Data_Loan[Thang.Nam],TDP!AF$254)</f>
        <v>0</v>
      </c>
      <c r="AG268" s="201">
        <f>SUMIFS([1]!Data_Loan[Value],[1]!Data_Loan[Index Loan],TDP!$B268,[1]!Data_Loan[TenCongTyID],TDP!$B$1,[1]!Data_Loan[Thang.Nam],TDP!AG$254)</f>
        <v>0</v>
      </c>
      <c r="AH268" s="201">
        <f>SUMIFS([1]!Data_Loan[Value],[1]!Data_Loan[Index Loan],TDP!$B268,[1]!Data_Loan[TenCongTyID],TDP!$B$1,[1]!Data_Loan[Thang.Nam],TDP!AH$254)</f>
        <v>0</v>
      </c>
      <c r="AI268" s="201">
        <f>SUMIFS([1]!Data_Loan[Value],[1]!Data_Loan[Index Loan],TDP!$B268,[1]!Data_Loan[TenCongTyID],TDP!$B$1,[1]!Data_Loan[Thang.Nam],TDP!AI$254)</f>
        <v>0</v>
      </c>
      <c r="AJ268" s="201">
        <f>SUMIFS([1]!Data_Loan[Value],[1]!Data_Loan[Index Loan],TDP!$B268,[1]!Data_Loan[TenCongTyID],TDP!$B$1,[1]!Data_Loan[Thang.Nam],TDP!AJ$254)</f>
        <v>0</v>
      </c>
      <c r="AK268" s="201">
        <f>SUMIFS([1]!Data_Loan[Value],[1]!Data_Loan[Index Loan],TDP!$B268,[1]!Data_Loan[TenCongTyID],TDP!$B$1,[1]!Data_Loan[Thang.Nam],TDP!AK$254)</f>
        <v>0</v>
      </c>
      <c r="AL268" s="201">
        <f>SUMIFS([1]!Data_Loan[Value],[1]!Data_Loan[Index Loan],TDP!$B268,[1]!Data_Loan[TenCongTyID],TDP!$B$1,[1]!Data_Loan[Thang.Nam],TDP!AL$254)</f>
        <v>0</v>
      </c>
    </row>
    <row r="269" spans="1:38" ht="15" customHeight="1">
      <c r="A269" s="200" t="s">
        <v>345</v>
      </c>
      <c r="B269" s="329">
        <v>15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>
        <v>0</v>
      </c>
      <c r="AA269" s="201">
        <f>SUMIFS([1]!Data_Loan[Value],[1]!Data_Loan[Index Loan],TDP!$B269,[1]!Data_Loan[TenCongTyID],TDP!$B$1,[1]!Data_Loan[Thang.Nam],TDP!AA$254)</f>
        <v>0</v>
      </c>
      <c r="AB269" s="201">
        <f>SUMIFS([1]!Data_Loan[Value],[1]!Data_Loan[Index Loan],TDP!$B269,[1]!Data_Loan[TenCongTyID],TDP!$B$1,[1]!Data_Loan[Thang.Nam],TDP!AB$254)</f>
        <v>0</v>
      </c>
      <c r="AC269" s="201">
        <f>SUMIFS([1]!Data_Loan[Value],[1]!Data_Loan[Index Loan],TDP!$B269,[1]!Data_Loan[TenCongTyID],TDP!$B$1,[1]!Data_Loan[Thang.Nam],TDP!AC$254)</f>
        <v>0</v>
      </c>
      <c r="AD269" s="201">
        <f>SUMIFS([1]!Data_Loan[Value],[1]!Data_Loan[Index Loan],TDP!$B269,[1]!Data_Loan[TenCongTyID],TDP!$B$1,[1]!Data_Loan[Thang.Nam],TDP!AD$254)</f>
        <v>0</v>
      </c>
      <c r="AE269" s="201">
        <f>SUMIFS([1]!Data_Loan[Value],[1]!Data_Loan[Index Loan],TDP!$B269,[1]!Data_Loan[TenCongTyID],TDP!$B$1,[1]!Data_Loan[Thang.Nam],TDP!AE$254)</f>
        <v>0</v>
      </c>
      <c r="AF269" s="201">
        <f>SUMIFS([1]!Data_Loan[Value],[1]!Data_Loan[Index Loan],TDP!$B269,[1]!Data_Loan[TenCongTyID],TDP!$B$1,[1]!Data_Loan[Thang.Nam],TDP!AF$254)</f>
        <v>0</v>
      </c>
      <c r="AG269" s="201">
        <f>SUMIFS([1]!Data_Loan[Value],[1]!Data_Loan[Index Loan],TDP!$B269,[1]!Data_Loan[TenCongTyID],TDP!$B$1,[1]!Data_Loan[Thang.Nam],TDP!AG$254)</f>
        <v>0</v>
      </c>
      <c r="AH269" s="201">
        <f>SUMIFS([1]!Data_Loan[Value],[1]!Data_Loan[Index Loan],TDP!$B269,[1]!Data_Loan[TenCongTyID],TDP!$B$1,[1]!Data_Loan[Thang.Nam],TDP!AH$254)</f>
        <v>0</v>
      </c>
      <c r="AI269" s="201">
        <f>SUMIFS([1]!Data_Loan[Value],[1]!Data_Loan[Index Loan],TDP!$B269,[1]!Data_Loan[TenCongTyID],TDP!$B$1,[1]!Data_Loan[Thang.Nam],TDP!AI$254)</f>
        <v>0</v>
      </c>
      <c r="AJ269" s="201">
        <f>SUMIFS([1]!Data_Loan[Value],[1]!Data_Loan[Index Loan],TDP!$B269,[1]!Data_Loan[TenCongTyID],TDP!$B$1,[1]!Data_Loan[Thang.Nam],TDP!AJ$254)</f>
        <v>0</v>
      </c>
      <c r="AK269" s="201">
        <f>SUMIFS([1]!Data_Loan[Value],[1]!Data_Loan[Index Loan],TDP!$B269,[1]!Data_Loan[TenCongTyID],TDP!$B$1,[1]!Data_Loan[Thang.Nam],TDP!AK$254)</f>
        <v>0</v>
      </c>
      <c r="AL269" s="201">
        <f>SUMIFS([1]!Data_Loan[Value],[1]!Data_Loan[Index Loan],TDP!$B269,[1]!Data_Loan[TenCongTyID],TDP!$B$1,[1]!Data_Loan[Thang.Nam],TDP!AL$254)</f>
        <v>0</v>
      </c>
    </row>
    <row r="270" spans="1:38" ht="15" customHeight="1">
      <c r="A270" s="200" t="s">
        <v>346</v>
      </c>
      <c r="B270" s="329">
        <v>16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>
        <v>0</v>
      </c>
      <c r="AA270" s="201">
        <f>SUMIFS([1]!Data_Loan[Value],[1]!Data_Loan[Index Loan],TDP!$B270,[1]!Data_Loan[TenCongTyID],TDP!$B$1,[1]!Data_Loan[Thang.Nam],TDP!AA$254)</f>
        <v>0</v>
      </c>
      <c r="AB270" s="201">
        <f>SUMIFS([1]!Data_Loan[Value],[1]!Data_Loan[Index Loan],TDP!$B270,[1]!Data_Loan[TenCongTyID],TDP!$B$1,[1]!Data_Loan[Thang.Nam],TDP!AB$254)</f>
        <v>0</v>
      </c>
      <c r="AC270" s="201">
        <f>SUMIFS([1]!Data_Loan[Value],[1]!Data_Loan[Index Loan],TDP!$B270,[1]!Data_Loan[TenCongTyID],TDP!$B$1,[1]!Data_Loan[Thang.Nam],TDP!AC$254)</f>
        <v>0</v>
      </c>
      <c r="AD270" s="201">
        <f>SUMIFS([1]!Data_Loan[Value],[1]!Data_Loan[Index Loan],TDP!$B270,[1]!Data_Loan[TenCongTyID],TDP!$B$1,[1]!Data_Loan[Thang.Nam],TDP!AD$254)</f>
        <v>0</v>
      </c>
      <c r="AE270" s="201">
        <f>SUMIFS([1]!Data_Loan[Value],[1]!Data_Loan[Index Loan],TDP!$B270,[1]!Data_Loan[TenCongTyID],TDP!$B$1,[1]!Data_Loan[Thang.Nam],TDP!AE$254)</f>
        <v>0</v>
      </c>
      <c r="AF270" s="201">
        <f>SUMIFS([1]!Data_Loan[Value],[1]!Data_Loan[Index Loan],TDP!$B270,[1]!Data_Loan[TenCongTyID],TDP!$B$1,[1]!Data_Loan[Thang.Nam],TDP!AF$254)</f>
        <v>0</v>
      </c>
      <c r="AG270" s="201">
        <f>SUMIFS([1]!Data_Loan[Value],[1]!Data_Loan[Index Loan],TDP!$B270,[1]!Data_Loan[TenCongTyID],TDP!$B$1,[1]!Data_Loan[Thang.Nam],TDP!AG$254)</f>
        <v>0</v>
      </c>
      <c r="AH270" s="201">
        <f>SUMIFS([1]!Data_Loan[Value],[1]!Data_Loan[Index Loan],TDP!$B270,[1]!Data_Loan[TenCongTyID],TDP!$B$1,[1]!Data_Loan[Thang.Nam],TDP!AH$254)</f>
        <v>0</v>
      </c>
      <c r="AI270" s="201">
        <f>SUMIFS([1]!Data_Loan[Value],[1]!Data_Loan[Index Loan],TDP!$B270,[1]!Data_Loan[TenCongTyID],TDP!$B$1,[1]!Data_Loan[Thang.Nam],TDP!AI$254)</f>
        <v>0</v>
      </c>
      <c r="AJ270" s="201">
        <f>SUMIFS([1]!Data_Loan[Value],[1]!Data_Loan[Index Loan],TDP!$B270,[1]!Data_Loan[TenCongTyID],TDP!$B$1,[1]!Data_Loan[Thang.Nam],TDP!AJ$254)</f>
        <v>0</v>
      </c>
      <c r="AK270" s="201">
        <f>SUMIFS([1]!Data_Loan[Value],[1]!Data_Loan[Index Loan],TDP!$B270,[1]!Data_Loan[TenCongTyID],TDP!$B$1,[1]!Data_Loan[Thang.Nam],TDP!AK$254)</f>
        <v>0</v>
      </c>
      <c r="AL270" s="201">
        <f>SUMIFS([1]!Data_Loan[Value],[1]!Data_Loan[Index Loan],TDP!$B270,[1]!Data_Loan[TenCongTyID],TDP!$B$1,[1]!Data_Loan[Thang.Nam],TDP!AL$254)</f>
        <v>0</v>
      </c>
    </row>
    <row r="271" spans="1:38" ht="15" customHeight="1">
      <c r="A271" s="200" t="s">
        <v>347</v>
      </c>
      <c r="B271" s="329">
        <v>17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>
        <v>0</v>
      </c>
      <c r="AA271" s="201">
        <f>SUMIFS([1]!Data_Loan[Value],[1]!Data_Loan[Index Loan],TDP!$B271,[1]!Data_Loan[TenCongTyID],TDP!$B$1,[1]!Data_Loan[Thang.Nam],TDP!AA$254)</f>
        <v>0</v>
      </c>
      <c r="AB271" s="201">
        <f>SUMIFS([1]!Data_Loan[Value],[1]!Data_Loan[Index Loan],TDP!$B271,[1]!Data_Loan[TenCongTyID],TDP!$B$1,[1]!Data_Loan[Thang.Nam],TDP!AB$254)</f>
        <v>0</v>
      </c>
      <c r="AC271" s="201">
        <f>SUMIFS([1]!Data_Loan[Value],[1]!Data_Loan[Index Loan],TDP!$B271,[1]!Data_Loan[TenCongTyID],TDP!$B$1,[1]!Data_Loan[Thang.Nam],TDP!AC$254)</f>
        <v>0</v>
      </c>
      <c r="AD271" s="201">
        <f>SUMIFS([1]!Data_Loan[Value],[1]!Data_Loan[Index Loan],TDP!$B271,[1]!Data_Loan[TenCongTyID],TDP!$B$1,[1]!Data_Loan[Thang.Nam],TDP!AD$254)</f>
        <v>0</v>
      </c>
      <c r="AE271" s="201">
        <f>SUMIFS([1]!Data_Loan[Value],[1]!Data_Loan[Index Loan],TDP!$B271,[1]!Data_Loan[TenCongTyID],TDP!$B$1,[1]!Data_Loan[Thang.Nam],TDP!AE$254)</f>
        <v>0</v>
      </c>
      <c r="AF271" s="201">
        <f>SUMIFS([1]!Data_Loan[Value],[1]!Data_Loan[Index Loan],TDP!$B271,[1]!Data_Loan[TenCongTyID],TDP!$B$1,[1]!Data_Loan[Thang.Nam],TDP!AF$254)</f>
        <v>0</v>
      </c>
      <c r="AG271" s="201">
        <f>SUMIFS([1]!Data_Loan[Value],[1]!Data_Loan[Index Loan],TDP!$B271,[1]!Data_Loan[TenCongTyID],TDP!$B$1,[1]!Data_Loan[Thang.Nam],TDP!AG$254)</f>
        <v>0</v>
      </c>
      <c r="AH271" s="201">
        <f>SUMIFS([1]!Data_Loan[Value],[1]!Data_Loan[Index Loan],TDP!$B271,[1]!Data_Loan[TenCongTyID],TDP!$B$1,[1]!Data_Loan[Thang.Nam],TDP!AH$254)</f>
        <v>0</v>
      </c>
      <c r="AI271" s="201">
        <f>SUMIFS([1]!Data_Loan[Value],[1]!Data_Loan[Index Loan],TDP!$B271,[1]!Data_Loan[TenCongTyID],TDP!$B$1,[1]!Data_Loan[Thang.Nam],TDP!AI$254)</f>
        <v>0</v>
      </c>
      <c r="AJ271" s="201">
        <f>SUMIFS([1]!Data_Loan[Value],[1]!Data_Loan[Index Loan],TDP!$B271,[1]!Data_Loan[TenCongTyID],TDP!$B$1,[1]!Data_Loan[Thang.Nam],TDP!AJ$254)</f>
        <v>0</v>
      </c>
      <c r="AK271" s="201">
        <f>SUMIFS([1]!Data_Loan[Value],[1]!Data_Loan[Index Loan],TDP!$B271,[1]!Data_Loan[TenCongTyID],TDP!$B$1,[1]!Data_Loan[Thang.Nam],TDP!AK$254)</f>
        <v>0</v>
      </c>
      <c r="AL271" s="201">
        <f>SUMIFS([1]!Data_Loan[Value],[1]!Data_Loan[Index Loan],TDP!$B271,[1]!Data_Loan[TenCongTyID],TDP!$B$1,[1]!Data_Loan[Thang.Nam],TDP!AL$254)</f>
        <v>0</v>
      </c>
    </row>
    <row r="272" spans="1:38" ht="15" customHeight="1">
      <c r="B272" s="329">
        <v>18</v>
      </c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>
        <v>0</v>
      </c>
      <c r="AA272" s="201">
        <f>SUMIFS([1]!Data_Loan[Value],[1]!Data_Loan[Index Loan],TDP!$B272,[1]!Data_Loan[TenCongTyID],TDP!$B$1,[1]!Data_Loan[Thang.Nam],TDP!AA$254)</f>
        <v>0</v>
      </c>
      <c r="AB272" s="201">
        <f>SUMIFS([1]!Data_Loan[Value],[1]!Data_Loan[Index Loan],TDP!$B272,[1]!Data_Loan[TenCongTyID],TDP!$B$1,[1]!Data_Loan[Thang.Nam],TDP!AB$254)</f>
        <v>0</v>
      </c>
      <c r="AC272" s="201">
        <f>SUMIFS([1]!Data_Loan[Value],[1]!Data_Loan[Index Loan],TDP!$B272,[1]!Data_Loan[TenCongTyID],TDP!$B$1,[1]!Data_Loan[Thang.Nam],TDP!AC$254)</f>
        <v>0</v>
      </c>
      <c r="AD272" s="201">
        <f>SUMIFS([1]!Data_Loan[Value],[1]!Data_Loan[Index Loan],TDP!$B272,[1]!Data_Loan[TenCongTyID],TDP!$B$1,[1]!Data_Loan[Thang.Nam],TDP!AD$254)</f>
        <v>0</v>
      </c>
      <c r="AE272" s="201">
        <f>SUMIFS([1]!Data_Loan[Value],[1]!Data_Loan[Index Loan],TDP!$B272,[1]!Data_Loan[TenCongTyID],TDP!$B$1,[1]!Data_Loan[Thang.Nam],TDP!AE$254)</f>
        <v>0</v>
      </c>
      <c r="AF272" s="201">
        <f>SUMIFS([1]!Data_Loan[Value],[1]!Data_Loan[Index Loan],TDP!$B272,[1]!Data_Loan[TenCongTyID],TDP!$B$1,[1]!Data_Loan[Thang.Nam],TDP!AF$254)</f>
        <v>0</v>
      </c>
      <c r="AG272" s="201">
        <f>SUMIFS([1]!Data_Loan[Value],[1]!Data_Loan[Index Loan],TDP!$B272,[1]!Data_Loan[TenCongTyID],TDP!$B$1,[1]!Data_Loan[Thang.Nam],TDP!AG$254)</f>
        <v>0</v>
      </c>
      <c r="AH272" s="201">
        <f>SUMIFS([1]!Data_Loan[Value],[1]!Data_Loan[Index Loan],TDP!$B272,[1]!Data_Loan[TenCongTyID],TDP!$B$1,[1]!Data_Loan[Thang.Nam],TDP!AH$254)</f>
        <v>0</v>
      </c>
      <c r="AI272" s="201">
        <f>SUMIFS([1]!Data_Loan[Value],[1]!Data_Loan[Index Loan],TDP!$B272,[1]!Data_Loan[TenCongTyID],TDP!$B$1,[1]!Data_Loan[Thang.Nam],TDP!AI$254)</f>
        <v>0</v>
      </c>
      <c r="AJ272" s="201">
        <f>SUMIFS([1]!Data_Loan[Value],[1]!Data_Loan[Index Loan],TDP!$B272,[1]!Data_Loan[TenCongTyID],TDP!$B$1,[1]!Data_Loan[Thang.Nam],TDP!AJ$254)</f>
        <v>0</v>
      </c>
      <c r="AK272" s="201">
        <f>SUMIFS([1]!Data_Loan[Value],[1]!Data_Loan[Index Loan],TDP!$B272,[1]!Data_Loan[TenCongTyID],TDP!$B$1,[1]!Data_Loan[Thang.Nam],TDP!AK$254)</f>
        <v>0</v>
      </c>
      <c r="AL272" s="201">
        <f>SUMIFS([1]!Data_Loan[Value],[1]!Data_Loan[Index Loan],TDP!$B272,[1]!Data_Loan[TenCongTyID],TDP!$B$1,[1]!Data_Loan[Thang.Nam],TDP!AL$254)</f>
        <v>0</v>
      </c>
    </row>
    <row r="273" spans="1:38" ht="15" customHeight="1">
      <c r="A273" s="202" t="s">
        <v>348</v>
      </c>
      <c r="B273" s="330">
        <v>19</v>
      </c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>
        <v>0</v>
      </c>
      <c r="AA273" s="201">
        <f>SUMIFS([1]!Data_Loan[Value],[1]!Data_Loan[Index Loan],TDP!$B273,[1]!Data_Loan[TenCongTyID],TDP!$B$1,[1]!Data_Loan[Thang.Nam],TDP!AA$254)</f>
        <v>0</v>
      </c>
      <c r="AB273" s="201">
        <f>SUMIFS([1]!Data_Loan[Value],[1]!Data_Loan[Index Loan],TDP!$B273,[1]!Data_Loan[TenCongTyID],TDP!$B$1,[1]!Data_Loan[Thang.Nam],TDP!AB$254)</f>
        <v>0</v>
      </c>
      <c r="AC273" s="201">
        <f>SUMIFS([1]!Data_Loan[Value],[1]!Data_Loan[Index Loan],TDP!$B273,[1]!Data_Loan[TenCongTyID],TDP!$B$1,[1]!Data_Loan[Thang.Nam],TDP!AC$254)</f>
        <v>0</v>
      </c>
      <c r="AD273" s="201">
        <f>SUMIFS([1]!Data_Loan[Value],[1]!Data_Loan[Index Loan],TDP!$B273,[1]!Data_Loan[TenCongTyID],TDP!$B$1,[1]!Data_Loan[Thang.Nam],TDP!AD$254)</f>
        <v>0</v>
      </c>
      <c r="AE273" s="201">
        <f>SUMIFS([1]!Data_Loan[Value],[1]!Data_Loan[Index Loan],TDP!$B273,[1]!Data_Loan[TenCongTyID],TDP!$B$1,[1]!Data_Loan[Thang.Nam],TDP!AE$254)</f>
        <v>0</v>
      </c>
      <c r="AF273" s="201">
        <f>SUMIFS([1]!Data_Loan[Value],[1]!Data_Loan[Index Loan],TDP!$B273,[1]!Data_Loan[TenCongTyID],TDP!$B$1,[1]!Data_Loan[Thang.Nam],TDP!AF$254)</f>
        <v>0</v>
      </c>
      <c r="AG273" s="201">
        <f>SUMIFS([1]!Data_Loan[Value],[1]!Data_Loan[Index Loan],TDP!$B273,[1]!Data_Loan[TenCongTyID],TDP!$B$1,[1]!Data_Loan[Thang.Nam],TDP!AG$254)</f>
        <v>0</v>
      </c>
      <c r="AH273" s="201">
        <f>SUMIFS([1]!Data_Loan[Value],[1]!Data_Loan[Index Loan],TDP!$B273,[1]!Data_Loan[TenCongTyID],TDP!$B$1,[1]!Data_Loan[Thang.Nam],TDP!AH$254)</f>
        <v>0</v>
      </c>
      <c r="AI273" s="201">
        <f>SUMIFS([1]!Data_Loan[Value],[1]!Data_Loan[Index Loan],TDP!$B273,[1]!Data_Loan[TenCongTyID],TDP!$B$1,[1]!Data_Loan[Thang.Nam],TDP!AI$254)</f>
        <v>0</v>
      </c>
      <c r="AJ273" s="201">
        <f>SUMIFS([1]!Data_Loan[Value],[1]!Data_Loan[Index Loan],TDP!$B273,[1]!Data_Loan[TenCongTyID],TDP!$B$1,[1]!Data_Loan[Thang.Nam],TDP!AJ$254)</f>
        <v>0</v>
      </c>
      <c r="AK273" s="201">
        <f>SUMIFS([1]!Data_Loan[Value],[1]!Data_Loan[Index Loan],TDP!$B273,[1]!Data_Loan[TenCongTyID],TDP!$B$1,[1]!Data_Loan[Thang.Nam],TDP!AK$254)</f>
        <v>0</v>
      </c>
      <c r="AL273" s="201">
        <f>SUMIFS([1]!Data_Loan[Value],[1]!Data_Loan[Index Loan],TDP!$B273,[1]!Data_Loan[TenCongTyID],TDP!$B$1,[1]!Data_Loan[Thang.Nam],TDP!AL$254)</f>
        <v>0</v>
      </c>
    </row>
    <row r="274" spans="1:38" ht="15" customHeight="1">
      <c r="A274" s="200" t="str">
        <f>A265</f>
        <v>ACB</v>
      </c>
      <c r="B274" s="329">
        <v>20</v>
      </c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>
        <v>0</v>
      </c>
      <c r="AA274" s="201">
        <f>SUMIFS([1]!Data_Loan[Value],[1]!Data_Loan[Index Loan],TDP!$B274,[1]!Data_Loan[TenCongTyID],TDP!$B$1,[1]!Data_Loan[Thang.Nam],TDP!AA$254)</f>
        <v>0</v>
      </c>
      <c r="AB274" s="201">
        <f>SUMIFS([1]!Data_Loan[Value],[1]!Data_Loan[Index Loan],TDP!$B274,[1]!Data_Loan[TenCongTyID],TDP!$B$1,[1]!Data_Loan[Thang.Nam],TDP!AB$254)</f>
        <v>0</v>
      </c>
      <c r="AC274" s="201">
        <f>SUMIFS([1]!Data_Loan[Value],[1]!Data_Loan[Index Loan],TDP!$B274,[1]!Data_Loan[TenCongTyID],TDP!$B$1,[1]!Data_Loan[Thang.Nam],TDP!AC$254)</f>
        <v>0</v>
      </c>
      <c r="AD274" s="201">
        <f>SUMIFS([1]!Data_Loan[Value],[1]!Data_Loan[Index Loan],TDP!$B274,[1]!Data_Loan[TenCongTyID],TDP!$B$1,[1]!Data_Loan[Thang.Nam],TDP!AD$254)</f>
        <v>0</v>
      </c>
      <c r="AE274" s="201">
        <f>SUMIFS([1]!Data_Loan[Value],[1]!Data_Loan[Index Loan],TDP!$B274,[1]!Data_Loan[TenCongTyID],TDP!$B$1,[1]!Data_Loan[Thang.Nam],TDP!AE$254)</f>
        <v>0</v>
      </c>
      <c r="AF274" s="201">
        <f>SUMIFS([1]!Data_Loan[Value],[1]!Data_Loan[Index Loan],TDP!$B274,[1]!Data_Loan[TenCongTyID],TDP!$B$1,[1]!Data_Loan[Thang.Nam],TDP!AF$254)</f>
        <v>0</v>
      </c>
      <c r="AG274" s="201">
        <f>SUMIFS([1]!Data_Loan[Value],[1]!Data_Loan[Index Loan],TDP!$B274,[1]!Data_Loan[TenCongTyID],TDP!$B$1,[1]!Data_Loan[Thang.Nam],TDP!AG$254)</f>
        <v>0</v>
      </c>
      <c r="AH274" s="201">
        <f>SUMIFS([1]!Data_Loan[Value],[1]!Data_Loan[Index Loan],TDP!$B274,[1]!Data_Loan[TenCongTyID],TDP!$B$1,[1]!Data_Loan[Thang.Nam],TDP!AH$254)</f>
        <v>0</v>
      </c>
      <c r="AI274" s="201">
        <f>SUMIFS([1]!Data_Loan[Value],[1]!Data_Loan[Index Loan],TDP!$B274,[1]!Data_Loan[TenCongTyID],TDP!$B$1,[1]!Data_Loan[Thang.Nam],TDP!AI$254)</f>
        <v>0</v>
      </c>
      <c r="AJ274" s="201">
        <f>SUMIFS([1]!Data_Loan[Value],[1]!Data_Loan[Index Loan],TDP!$B274,[1]!Data_Loan[TenCongTyID],TDP!$B$1,[1]!Data_Loan[Thang.Nam],TDP!AJ$254)</f>
        <v>0</v>
      </c>
      <c r="AK274" s="201">
        <f>SUMIFS([1]!Data_Loan[Value],[1]!Data_Loan[Index Loan],TDP!$B274,[1]!Data_Loan[TenCongTyID],TDP!$B$1,[1]!Data_Loan[Thang.Nam],TDP!AK$254)</f>
        <v>0</v>
      </c>
      <c r="AL274" s="201">
        <f>SUMIFS([1]!Data_Loan[Value],[1]!Data_Loan[Index Loan],TDP!$B274,[1]!Data_Loan[TenCongTyID],TDP!$B$1,[1]!Data_Loan[Thang.Nam],TDP!AL$254)</f>
        <v>0</v>
      </c>
    </row>
    <row r="275" spans="1:38" ht="15" customHeight="1">
      <c r="A275" s="200" t="str">
        <f t="shared" ref="A275:A281" si="72">A266</f>
        <v>VietinBank</v>
      </c>
      <c r="B275" s="329">
        <v>21</v>
      </c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>
        <v>0</v>
      </c>
      <c r="AA275" s="201">
        <f>SUMIFS([1]!Data_Loan[Value],[1]!Data_Loan[Index Loan],TDP!$B275,[1]!Data_Loan[TenCongTyID],TDP!$B$1,[1]!Data_Loan[Thang.Nam],TDP!AA$254)</f>
        <v>0</v>
      </c>
      <c r="AB275" s="201">
        <f>SUMIFS([1]!Data_Loan[Value],[1]!Data_Loan[Index Loan],TDP!$B275,[1]!Data_Loan[TenCongTyID],TDP!$B$1,[1]!Data_Loan[Thang.Nam],TDP!AB$254)</f>
        <v>0</v>
      </c>
      <c r="AC275" s="201">
        <f>SUMIFS([1]!Data_Loan[Value],[1]!Data_Loan[Index Loan],TDP!$B275,[1]!Data_Loan[TenCongTyID],TDP!$B$1,[1]!Data_Loan[Thang.Nam],TDP!AC$254)</f>
        <v>0</v>
      </c>
      <c r="AD275" s="201">
        <f>SUMIFS([1]!Data_Loan[Value],[1]!Data_Loan[Index Loan],TDP!$B275,[1]!Data_Loan[TenCongTyID],TDP!$B$1,[1]!Data_Loan[Thang.Nam],TDP!AD$254)</f>
        <v>0</v>
      </c>
      <c r="AE275" s="201">
        <f>SUMIFS([1]!Data_Loan[Value],[1]!Data_Loan[Index Loan],TDP!$B275,[1]!Data_Loan[TenCongTyID],TDP!$B$1,[1]!Data_Loan[Thang.Nam],TDP!AE$254)</f>
        <v>0</v>
      </c>
      <c r="AF275" s="201">
        <f>SUMIFS([1]!Data_Loan[Value],[1]!Data_Loan[Index Loan],TDP!$B275,[1]!Data_Loan[TenCongTyID],TDP!$B$1,[1]!Data_Loan[Thang.Nam],TDP!AF$254)</f>
        <v>0</v>
      </c>
      <c r="AG275" s="201">
        <f>SUMIFS([1]!Data_Loan[Value],[1]!Data_Loan[Index Loan],TDP!$B275,[1]!Data_Loan[TenCongTyID],TDP!$B$1,[1]!Data_Loan[Thang.Nam],TDP!AG$254)</f>
        <v>0</v>
      </c>
      <c r="AH275" s="201">
        <f>SUMIFS([1]!Data_Loan[Value],[1]!Data_Loan[Index Loan],TDP!$B275,[1]!Data_Loan[TenCongTyID],TDP!$B$1,[1]!Data_Loan[Thang.Nam],TDP!AH$254)</f>
        <v>0</v>
      </c>
      <c r="AI275" s="201">
        <f>SUMIFS([1]!Data_Loan[Value],[1]!Data_Loan[Index Loan],TDP!$B275,[1]!Data_Loan[TenCongTyID],TDP!$B$1,[1]!Data_Loan[Thang.Nam],TDP!AI$254)</f>
        <v>0</v>
      </c>
      <c r="AJ275" s="201">
        <f>SUMIFS([1]!Data_Loan[Value],[1]!Data_Loan[Index Loan],TDP!$B275,[1]!Data_Loan[TenCongTyID],TDP!$B$1,[1]!Data_Loan[Thang.Nam],TDP!AJ$254)</f>
        <v>0</v>
      </c>
      <c r="AK275" s="201">
        <f>SUMIFS([1]!Data_Loan[Value],[1]!Data_Loan[Index Loan],TDP!$B275,[1]!Data_Loan[TenCongTyID],TDP!$B$1,[1]!Data_Loan[Thang.Nam],TDP!AK$254)</f>
        <v>0</v>
      </c>
      <c r="AL275" s="201">
        <f>SUMIFS([1]!Data_Loan[Value],[1]!Data_Loan[Index Loan],TDP!$B275,[1]!Data_Loan[TenCongTyID],TDP!$B$1,[1]!Data_Loan[Thang.Nam],TDP!AL$254)</f>
        <v>0</v>
      </c>
    </row>
    <row r="276" spans="1:38" ht="15" customHeight="1">
      <c r="A276" s="200" t="str">
        <f t="shared" si="72"/>
        <v>Vietcombank</v>
      </c>
      <c r="B276" s="329">
        <v>22</v>
      </c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>
        <v>0</v>
      </c>
      <c r="AA276" s="201">
        <f>SUMIFS([1]!Data_Loan[Value],[1]!Data_Loan[Index Loan],TDP!$B276,[1]!Data_Loan[TenCongTyID],TDP!$B$1,[1]!Data_Loan[Thang.Nam],TDP!AA$254)</f>
        <v>0</v>
      </c>
      <c r="AB276" s="201">
        <f>SUMIFS([1]!Data_Loan[Value],[1]!Data_Loan[Index Loan],TDP!$B276,[1]!Data_Loan[TenCongTyID],TDP!$B$1,[1]!Data_Loan[Thang.Nam],TDP!AB$254)</f>
        <v>0</v>
      </c>
      <c r="AC276" s="201">
        <f>SUMIFS([1]!Data_Loan[Value],[1]!Data_Loan[Index Loan],TDP!$B276,[1]!Data_Loan[TenCongTyID],TDP!$B$1,[1]!Data_Loan[Thang.Nam],TDP!AC$254)</f>
        <v>0</v>
      </c>
      <c r="AD276" s="201">
        <f>SUMIFS([1]!Data_Loan[Value],[1]!Data_Loan[Index Loan],TDP!$B276,[1]!Data_Loan[TenCongTyID],TDP!$B$1,[1]!Data_Loan[Thang.Nam],TDP!AD$254)</f>
        <v>0</v>
      </c>
      <c r="AE276" s="201">
        <f>SUMIFS([1]!Data_Loan[Value],[1]!Data_Loan[Index Loan],TDP!$B276,[1]!Data_Loan[TenCongTyID],TDP!$B$1,[1]!Data_Loan[Thang.Nam],TDP!AE$254)</f>
        <v>0</v>
      </c>
      <c r="AF276" s="201">
        <f>SUMIFS([1]!Data_Loan[Value],[1]!Data_Loan[Index Loan],TDP!$B276,[1]!Data_Loan[TenCongTyID],TDP!$B$1,[1]!Data_Loan[Thang.Nam],TDP!AF$254)</f>
        <v>0</v>
      </c>
      <c r="AG276" s="201">
        <f>SUMIFS([1]!Data_Loan[Value],[1]!Data_Loan[Index Loan],TDP!$B276,[1]!Data_Loan[TenCongTyID],TDP!$B$1,[1]!Data_Loan[Thang.Nam],TDP!AG$254)</f>
        <v>0</v>
      </c>
      <c r="AH276" s="201">
        <f>SUMIFS([1]!Data_Loan[Value],[1]!Data_Loan[Index Loan],TDP!$B276,[1]!Data_Loan[TenCongTyID],TDP!$B$1,[1]!Data_Loan[Thang.Nam],TDP!AH$254)</f>
        <v>0</v>
      </c>
      <c r="AI276" s="201">
        <f>SUMIFS([1]!Data_Loan[Value],[1]!Data_Loan[Index Loan],TDP!$B276,[1]!Data_Loan[TenCongTyID],TDP!$B$1,[1]!Data_Loan[Thang.Nam],TDP!AI$254)</f>
        <v>0</v>
      </c>
      <c r="AJ276" s="201">
        <f>SUMIFS([1]!Data_Loan[Value],[1]!Data_Loan[Index Loan],TDP!$B276,[1]!Data_Loan[TenCongTyID],TDP!$B$1,[1]!Data_Loan[Thang.Nam],TDP!AJ$254)</f>
        <v>0</v>
      </c>
      <c r="AK276" s="201">
        <f>SUMIFS([1]!Data_Loan[Value],[1]!Data_Loan[Index Loan],TDP!$B276,[1]!Data_Loan[TenCongTyID],TDP!$B$1,[1]!Data_Loan[Thang.Nam],TDP!AK$254)</f>
        <v>0</v>
      </c>
      <c r="AL276" s="201">
        <f>SUMIFS([1]!Data_Loan[Value],[1]!Data_Loan[Index Loan],TDP!$B276,[1]!Data_Loan[TenCongTyID],TDP!$B$1,[1]!Data_Loan[Thang.Nam],TDP!AL$254)</f>
        <v>0</v>
      </c>
    </row>
    <row r="277" spans="1:38" ht="15" customHeight="1">
      <c r="A277" s="200" t="str">
        <f t="shared" si="72"/>
        <v>BIDV</v>
      </c>
      <c r="B277" s="329">
        <v>23</v>
      </c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>
        <v>0</v>
      </c>
      <c r="AA277" s="201">
        <f>SUMIFS([1]!Data_Loan[Value],[1]!Data_Loan[Index Loan],TDP!$B277,[1]!Data_Loan[TenCongTyID],TDP!$B$1,[1]!Data_Loan[Thang.Nam],TDP!AA$254)</f>
        <v>0</v>
      </c>
      <c r="AB277" s="201">
        <f>SUMIFS([1]!Data_Loan[Value],[1]!Data_Loan[Index Loan],TDP!$B277,[1]!Data_Loan[TenCongTyID],TDP!$B$1,[1]!Data_Loan[Thang.Nam],TDP!AB$254)</f>
        <v>0</v>
      </c>
      <c r="AC277" s="201">
        <f>SUMIFS([1]!Data_Loan[Value],[1]!Data_Loan[Index Loan],TDP!$B277,[1]!Data_Loan[TenCongTyID],TDP!$B$1,[1]!Data_Loan[Thang.Nam],TDP!AC$254)</f>
        <v>0</v>
      </c>
      <c r="AD277" s="201">
        <f>SUMIFS([1]!Data_Loan[Value],[1]!Data_Loan[Index Loan],TDP!$B277,[1]!Data_Loan[TenCongTyID],TDP!$B$1,[1]!Data_Loan[Thang.Nam],TDP!AD$254)</f>
        <v>0</v>
      </c>
      <c r="AE277" s="201">
        <f>SUMIFS([1]!Data_Loan[Value],[1]!Data_Loan[Index Loan],TDP!$B277,[1]!Data_Loan[TenCongTyID],TDP!$B$1,[1]!Data_Loan[Thang.Nam],TDP!AE$254)</f>
        <v>0</v>
      </c>
      <c r="AF277" s="201">
        <f>SUMIFS([1]!Data_Loan[Value],[1]!Data_Loan[Index Loan],TDP!$B277,[1]!Data_Loan[TenCongTyID],TDP!$B$1,[1]!Data_Loan[Thang.Nam],TDP!AF$254)</f>
        <v>0</v>
      </c>
      <c r="AG277" s="201">
        <f>SUMIFS([1]!Data_Loan[Value],[1]!Data_Loan[Index Loan],TDP!$B277,[1]!Data_Loan[TenCongTyID],TDP!$B$1,[1]!Data_Loan[Thang.Nam],TDP!AG$254)</f>
        <v>0</v>
      </c>
      <c r="AH277" s="201">
        <f>SUMIFS([1]!Data_Loan[Value],[1]!Data_Loan[Index Loan],TDP!$B277,[1]!Data_Loan[TenCongTyID],TDP!$B$1,[1]!Data_Loan[Thang.Nam],TDP!AH$254)</f>
        <v>0</v>
      </c>
      <c r="AI277" s="201">
        <f>SUMIFS([1]!Data_Loan[Value],[1]!Data_Loan[Index Loan],TDP!$B277,[1]!Data_Loan[TenCongTyID],TDP!$B$1,[1]!Data_Loan[Thang.Nam],TDP!AI$254)</f>
        <v>0</v>
      </c>
      <c r="AJ277" s="201">
        <f>SUMIFS([1]!Data_Loan[Value],[1]!Data_Loan[Index Loan],TDP!$B277,[1]!Data_Loan[TenCongTyID],TDP!$B$1,[1]!Data_Loan[Thang.Nam],TDP!AJ$254)</f>
        <v>0</v>
      </c>
      <c r="AK277" s="201">
        <f>SUMIFS([1]!Data_Loan[Value],[1]!Data_Loan[Index Loan],TDP!$B277,[1]!Data_Loan[TenCongTyID],TDP!$B$1,[1]!Data_Loan[Thang.Nam],TDP!AK$254)</f>
        <v>0</v>
      </c>
      <c r="AL277" s="201">
        <f>SUMIFS([1]!Data_Loan[Value],[1]!Data_Loan[Index Loan],TDP!$B277,[1]!Data_Loan[TenCongTyID],TDP!$B$1,[1]!Data_Loan[Thang.Nam],TDP!AL$254)</f>
        <v>0</v>
      </c>
    </row>
    <row r="278" spans="1:38" ht="15" customHeight="1">
      <c r="A278" s="200" t="str">
        <f t="shared" si="72"/>
        <v>Standard Chartered</v>
      </c>
      <c r="B278" s="329">
        <v>24</v>
      </c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>
        <v>0</v>
      </c>
      <c r="AA278" s="201">
        <f>SUMIFS([1]!Data_Loan[Value],[1]!Data_Loan[Index Loan],TDP!$B278,[1]!Data_Loan[TenCongTyID],TDP!$B$1,[1]!Data_Loan[Thang.Nam],TDP!AA$254)</f>
        <v>0</v>
      </c>
      <c r="AB278" s="201">
        <f>SUMIFS([1]!Data_Loan[Value],[1]!Data_Loan[Index Loan],TDP!$B278,[1]!Data_Loan[TenCongTyID],TDP!$B$1,[1]!Data_Loan[Thang.Nam],TDP!AB$254)</f>
        <v>0</v>
      </c>
      <c r="AC278" s="201">
        <f>SUMIFS([1]!Data_Loan[Value],[1]!Data_Loan[Index Loan],TDP!$B278,[1]!Data_Loan[TenCongTyID],TDP!$B$1,[1]!Data_Loan[Thang.Nam],TDP!AC$254)</f>
        <v>0</v>
      </c>
      <c r="AD278" s="201">
        <f>SUMIFS([1]!Data_Loan[Value],[1]!Data_Loan[Index Loan],TDP!$B278,[1]!Data_Loan[TenCongTyID],TDP!$B$1,[1]!Data_Loan[Thang.Nam],TDP!AD$254)</f>
        <v>0</v>
      </c>
      <c r="AE278" s="201">
        <f>SUMIFS([1]!Data_Loan[Value],[1]!Data_Loan[Index Loan],TDP!$B278,[1]!Data_Loan[TenCongTyID],TDP!$B$1,[1]!Data_Loan[Thang.Nam],TDP!AE$254)</f>
        <v>0</v>
      </c>
      <c r="AF278" s="201">
        <f>SUMIFS([1]!Data_Loan[Value],[1]!Data_Loan[Index Loan],TDP!$B278,[1]!Data_Loan[TenCongTyID],TDP!$B$1,[1]!Data_Loan[Thang.Nam],TDP!AF$254)</f>
        <v>0</v>
      </c>
      <c r="AG278" s="201">
        <f>SUMIFS([1]!Data_Loan[Value],[1]!Data_Loan[Index Loan],TDP!$B278,[1]!Data_Loan[TenCongTyID],TDP!$B$1,[1]!Data_Loan[Thang.Nam],TDP!AG$254)</f>
        <v>0</v>
      </c>
      <c r="AH278" s="201">
        <f>SUMIFS([1]!Data_Loan[Value],[1]!Data_Loan[Index Loan],TDP!$B278,[1]!Data_Loan[TenCongTyID],TDP!$B$1,[1]!Data_Loan[Thang.Nam],TDP!AH$254)</f>
        <v>0</v>
      </c>
      <c r="AI278" s="201">
        <f>SUMIFS([1]!Data_Loan[Value],[1]!Data_Loan[Index Loan],TDP!$B278,[1]!Data_Loan[TenCongTyID],TDP!$B$1,[1]!Data_Loan[Thang.Nam],TDP!AI$254)</f>
        <v>0</v>
      </c>
      <c r="AJ278" s="201">
        <f>SUMIFS([1]!Data_Loan[Value],[1]!Data_Loan[Index Loan],TDP!$B278,[1]!Data_Loan[TenCongTyID],TDP!$B$1,[1]!Data_Loan[Thang.Nam],TDP!AJ$254)</f>
        <v>0</v>
      </c>
      <c r="AK278" s="201">
        <f>SUMIFS([1]!Data_Loan[Value],[1]!Data_Loan[Index Loan],TDP!$B278,[1]!Data_Loan[TenCongTyID],TDP!$B$1,[1]!Data_Loan[Thang.Nam],TDP!AK$254)</f>
        <v>0</v>
      </c>
      <c r="AL278" s="201">
        <f>SUMIFS([1]!Data_Loan[Value],[1]!Data_Loan[Index Loan],TDP!$B278,[1]!Data_Loan[TenCongTyID],TDP!$B$1,[1]!Data_Loan[Thang.Nam],TDP!AL$254)</f>
        <v>0</v>
      </c>
    </row>
    <row r="279" spans="1:38" ht="15" customHeight="1">
      <c r="A279" s="200" t="str">
        <f t="shared" si="72"/>
        <v>VILC</v>
      </c>
      <c r="B279" s="329">
        <v>25</v>
      </c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>
        <v>0</v>
      </c>
      <c r="AA279" s="201">
        <f>SUMIFS([1]!Data_Loan[Value],[1]!Data_Loan[Index Loan],TDP!$B279,[1]!Data_Loan[TenCongTyID],TDP!$B$1,[1]!Data_Loan[Thang.Nam],TDP!AA$254)</f>
        <v>0</v>
      </c>
      <c r="AB279" s="201">
        <f>SUMIFS([1]!Data_Loan[Value],[1]!Data_Loan[Index Loan],TDP!$B279,[1]!Data_Loan[TenCongTyID],TDP!$B$1,[1]!Data_Loan[Thang.Nam],TDP!AB$254)</f>
        <v>0</v>
      </c>
      <c r="AC279" s="201">
        <f>SUMIFS([1]!Data_Loan[Value],[1]!Data_Loan[Index Loan],TDP!$B279,[1]!Data_Loan[TenCongTyID],TDP!$B$1,[1]!Data_Loan[Thang.Nam],TDP!AC$254)</f>
        <v>0</v>
      </c>
      <c r="AD279" s="201">
        <f>SUMIFS([1]!Data_Loan[Value],[1]!Data_Loan[Index Loan],TDP!$B279,[1]!Data_Loan[TenCongTyID],TDP!$B$1,[1]!Data_Loan[Thang.Nam],TDP!AD$254)</f>
        <v>0</v>
      </c>
      <c r="AE279" s="201">
        <f>SUMIFS([1]!Data_Loan[Value],[1]!Data_Loan[Index Loan],TDP!$B279,[1]!Data_Loan[TenCongTyID],TDP!$B$1,[1]!Data_Loan[Thang.Nam],TDP!AE$254)</f>
        <v>0</v>
      </c>
      <c r="AF279" s="201">
        <f>SUMIFS([1]!Data_Loan[Value],[1]!Data_Loan[Index Loan],TDP!$B279,[1]!Data_Loan[TenCongTyID],TDP!$B$1,[1]!Data_Loan[Thang.Nam],TDP!AF$254)</f>
        <v>0</v>
      </c>
      <c r="AG279" s="201">
        <f>SUMIFS([1]!Data_Loan[Value],[1]!Data_Loan[Index Loan],TDP!$B279,[1]!Data_Loan[TenCongTyID],TDP!$B$1,[1]!Data_Loan[Thang.Nam],TDP!AG$254)</f>
        <v>0</v>
      </c>
      <c r="AH279" s="201">
        <f>SUMIFS([1]!Data_Loan[Value],[1]!Data_Loan[Index Loan],TDP!$B279,[1]!Data_Loan[TenCongTyID],TDP!$B$1,[1]!Data_Loan[Thang.Nam],TDP!AH$254)</f>
        <v>0</v>
      </c>
      <c r="AI279" s="201">
        <f>SUMIFS([1]!Data_Loan[Value],[1]!Data_Loan[Index Loan],TDP!$B279,[1]!Data_Loan[TenCongTyID],TDP!$B$1,[1]!Data_Loan[Thang.Nam],TDP!AI$254)</f>
        <v>0</v>
      </c>
      <c r="AJ279" s="201">
        <f>SUMIFS([1]!Data_Loan[Value],[1]!Data_Loan[Index Loan],TDP!$B279,[1]!Data_Loan[TenCongTyID],TDP!$B$1,[1]!Data_Loan[Thang.Nam],TDP!AJ$254)</f>
        <v>0</v>
      </c>
      <c r="AK279" s="201">
        <f>SUMIFS([1]!Data_Loan[Value],[1]!Data_Loan[Index Loan],TDP!$B279,[1]!Data_Loan[TenCongTyID],TDP!$B$1,[1]!Data_Loan[Thang.Nam],TDP!AK$254)</f>
        <v>0</v>
      </c>
      <c r="AL279" s="201">
        <f>SUMIFS([1]!Data_Loan[Value],[1]!Data_Loan[Index Loan],TDP!$B279,[1]!Data_Loan[TenCongTyID],TDP!$B$1,[1]!Data_Loan[Thang.Nam],TDP!AL$254)</f>
        <v>0</v>
      </c>
    </row>
    <row r="280" spans="1:38" ht="15" customHeight="1">
      <c r="A280" s="200" t="str">
        <f t="shared" si="72"/>
        <v>IVB</v>
      </c>
      <c r="B280" s="329">
        <v>26</v>
      </c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>
        <v>0</v>
      </c>
      <c r="AA280" s="201">
        <f>SUMIFS([1]!Data_Loan[Value],[1]!Data_Loan[Index Loan],TDP!$B280,[1]!Data_Loan[TenCongTyID],TDP!$B$1,[1]!Data_Loan[Thang.Nam],TDP!AA$254)</f>
        <v>0</v>
      </c>
      <c r="AB280" s="201">
        <f>SUMIFS([1]!Data_Loan[Value],[1]!Data_Loan[Index Loan],TDP!$B280,[1]!Data_Loan[TenCongTyID],TDP!$B$1,[1]!Data_Loan[Thang.Nam],TDP!AB$254)</f>
        <v>0</v>
      </c>
      <c r="AC280" s="201">
        <f>SUMIFS([1]!Data_Loan[Value],[1]!Data_Loan[Index Loan],TDP!$B280,[1]!Data_Loan[TenCongTyID],TDP!$B$1,[1]!Data_Loan[Thang.Nam],TDP!AC$254)</f>
        <v>0</v>
      </c>
      <c r="AD280" s="201">
        <f>SUMIFS([1]!Data_Loan[Value],[1]!Data_Loan[Index Loan],TDP!$B280,[1]!Data_Loan[TenCongTyID],TDP!$B$1,[1]!Data_Loan[Thang.Nam],TDP!AD$254)</f>
        <v>0</v>
      </c>
      <c r="AE280" s="201">
        <f>SUMIFS([1]!Data_Loan[Value],[1]!Data_Loan[Index Loan],TDP!$B280,[1]!Data_Loan[TenCongTyID],TDP!$B$1,[1]!Data_Loan[Thang.Nam],TDP!AE$254)</f>
        <v>0</v>
      </c>
      <c r="AF280" s="201">
        <f>SUMIFS([1]!Data_Loan[Value],[1]!Data_Loan[Index Loan],TDP!$B280,[1]!Data_Loan[TenCongTyID],TDP!$B$1,[1]!Data_Loan[Thang.Nam],TDP!AF$254)</f>
        <v>0</v>
      </c>
      <c r="AG280" s="201">
        <f>SUMIFS([1]!Data_Loan[Value],[1]!Data_Loan[Index Loan],TDP!$B280,[1]!Data_Loan[TenCongTyID],TDP!$B$1,[1]!Data_Loan[Thang.Nam],TDP!AG$254)</f>
        <v>0</v>
      </c>
      <c r="AH280" s="201">
        <f>SUMIFS([1]!Data_Loan[Value],[1]!Data_Loan[Index Loan],TDP!$B280,[1]!Data_Loan[TenCongTyID],TDP!$B$1,[1]!Data_Loan[Thang.Nam],TDP!AH$254)</f>
        <v>0</v>
      </c>
      <c r="AI280" s="201">
        <f>SUMIFS([1]!Data_Loan[Value],[1]!Data_Loan[Index Loan],TDP!$B280,[1]!Data_Loan[TenCongTyID],TDP!$B$1,[1]!Data_Loan[Thang.Nam],TDP!AI$254)</f>
        <v>0</v>
      </c>
      <c r="AJ280" s="201">
        <f>SUMIFS([1]!Data_Loan[Value],[1]!Data_Loan[Index Loan],TDP!$B280,[1]!Data_Loan[TenCongTyID],TDP!$B$1,[1]!Data_Loan[Thang.Nam],TDP!AJ$254)</f>
        <v>0</v>
      </c>
      <c r="AK280" s="201">
        <f>SUMIFS([1]!Data_Loan[Value],[1]!Data_Loan[Index Loan],TDP!$B280,[1]!Data_Loan[TenCongTyID],TDP!$B$1,[1]!Data_Loan[Thang.Nam],TDP!AK$254)</f>
        <v>0</v>
      </c>
      <c r="AL280" s="201">
        <f>SUMIFS([1]!Data_Loan[Value],[1]!Data_Loan[Index Loan],TDP!$B280,[1]!Data_Loan[TenCongTyID],TDP!$B$1,[1]!Data_Loan[Thang.Nam],TDP!AL$254)</f>
        <v>0</v>
      </c>
    </row>
    <row r="281" spans="1:38" ht="15" customHeight="1">
      <c r="A281" s="200">
        <f t="shared" si="72"/>
        <v>0</v>
      </c>
      <c r="B281" s="329">
        <v>27</v>
      </c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>
        <v>0</v>
      </c>
      <c r="AA281" s="201">
        <f>SUMIFS([1]!Data_Loan[Value],[1]!Data_Loan[Index Loan],TDP!$B281,[1]!Data_Loan[TenCongTyID],TDP!$B$1,[1]!Data_Loan[Thang.Nam],TDP!AA$254)</f>
        <v>0</v>
      </c>
      <c r="AB281" s="201">
        <f>SUMIFS([1]!Data_Loan[Value],[1]!Data_Loan[Index Loan],TDP!$B281,[1]!Data_Loan[TenCongTyID],TDP!$B$1,[1]!Data_Loan[Thang.Nam],TDP!AB$254)</f>
        <v>0</v>
      </c>
      <c r="AC281" s="201">
        <f>SUMIFS([1]!Data_Loan[Value],[1]!Data_Loan[Index Loan],TDP!$B281,[1]!Data_Loan[TenCongTyID],TDP!$B$1,[1]!Data_Loan[Thang.Nam],TDP!AC$254)</f>
        <v>0</v>
      </c>
      <c r="AD281" s="201">
        <f>SUMIFS([1]!Data_Loan[Value],[1]!Data_Loan[Index Loan],TDP!$B281,[1]!Data_Loan[TenCongTyID],TDP!$B$1,[1]!Data_Loan[Thang.Nam],TDP!AD$254)</f>
        <v>0</v>
      </c>
      <c r="AE281" s="201">
        <f>SUMIFS([1]!Data_Loan[Value],[1]!Data_Loan[Index Loan],TDP!$B281,[1]!Data_Loan[TenCongTyID],TDP!$B$1,[1]!Data_Loan[Thang.Nam],TDP!AE$254)</f>
        <v>0</v>
      </c>
      <c r="AF281" s="201">
        <f>SUMIFS([1]!Data_Loan[Value],[1]!Data_Loan[Index Loan],TDP!$B281,[1]!Data_Loan[TenCongTyID],TDP!$B$1,[1]!Data_Loan[Thang.Nam],TDP!AF$254)</f>
        <v>0</v>
      </c>
      <c r="AG281" s="201">
        <f>SUMIFS([1]!Data_Loan[Value],[1]!Data_Loan[Index Loan],TDP!$B281,[1]!Data_Loan[TenCongTyID],TDP!$B$1,[1]!Data_Loan[Thang.Nam],TDP!AG$254)</f>
        <v>0</v>
      </c>
      <c r="AH281" s="201">
        <f>SUMIFS([1]!Data_Loan[Value],[1]!Data_Loan[Index Loan],TDP!$B281,[1]!Data_Loan[TenCongTyID],TDP!$B$1,[1]!Data_Loan[Thang.Nam],TDP!AH$254)</f>
        <v>0</v>
      </c>
      <c r="AI281" s="201">
        <f>SUMIFS([1]!Data_Loan[Value],[1]!Data_Loan[Index Loan],TDP!$B281,[1]!Data_Loan[TenCongTyID],TDP!$B$1,[1]!Data_Loan[Thang.Nam],TDP!AI$254)</f>
        <v>0</v>
      </c>
      <c r="AJ281" s="201">
        <f>SUMIFS([1]!Data_Loan[Value],[1]!Data_Loan[Index Loan],TDP!$B281,[1]!Data_Loan[TenCongTyID],TDP!$B$1,[1]!Data_Loan[Thang.Nam],TDP!AJ$254)</f>
        <v>0</v>
      </c>
      <c r="AK281" s="201">
        <f>SUMIFS([1]!Data_Loan[Value],[1]!Data_Loan[Index Loan],TDP!$B281,[1]!Data_Loan[TenCongTyID],TDP!$B$1,[1]!Data_Loan[Thang.Nam],TDP!AK$254)</f>
        <v>0</v>
      </c>
      <c r="AL281" s="201">
        <f>SUMIFS([1]!Data_Loan[Value],[1]!Data_Loan[Index Loan],TDP!$B281,[1]!Data_Loan[TenCongTyID],TDP!$B$1,[1]!Data_Loan[Thang.Nam],TDP!AL$254)</f>
        <v>0</v>
      </c>
    </row>
    <row r="282" spans="1:38" ht="15" customHeight="1">
      <c r="A282" s="196" t="s">
        <v>349</v>
      </c>
      <c r="B282" s="328">
        <v>28</v>
      </c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>
        <v>0</v>
      </c>
      <c r="AA282" s="199">
        <f>SUMIFS([1]!Data_Loan[Value],[1]!Data_Loan[Index Loan],TDP!$B282,[1]!Data_Loan[TenCongTyID],TDP!$B$1,[1]!Data_Loan[Thang.Nam],TDP!AA$254)</f>
        <v>0</v>
      </c>
      <c r="AB282" s="199">
        <f>SUMIFS([1]!Data_Loan[Value],[1]!Data_Loan[Index Loan],TDP!$B282,[1]!Data_Loan[TenCongTyID],TDP!$B$1,[1]!Data_Loan[Thang.Nam],TDP!AB$254)</f>
        <v>0</v>
      </c>
      <c r="AC282" s="199">
        <f>SUMIFS([1]!Data_Loan[Value],[1]!Data_Loan[Index Loan],TDP!$B282,[1]!Data_Loan[TenCongTyID],TDP!$B$1,[1]!Data_Loan[Thang.Nam],TDP!AC$254)</f>
        <v>0</v>
      </c>
      <c r="AD282" s="199">
        <f>SUMIFS([1]!Data_Loan[Value],[1]!Data_Loan[Index Loan],TDP!$B282,[1]!Data_Loan[TenCongTyID],TDP!$B$1,[1]!Data_Loan[Thang.Nam],TDP!AD$254)</f>
        <v>0</v>
      </c>
      <c r="AE282" s="199">
        <f>SUMIFS([1]!Data_Loan[Value],[1]!Data_Loan[Index Loan],TDP!$B282,[1]!Data_Loan[TenCongTyID],TDP!$B$1,[1]!Data_Loan[Thang.Nam],TDP!AE$254)</f>
        <v>0</v>
      </c>
      <c r="AF282" s="199">
        <f>SUMIFS([1]!Data_Loan[Value],[1]!Data_Loan[Index Loan],TDP!$B282,[1]!Data_Loan[TenCongTyID],TDP!$B$1,[1]!Data_Loan[Thang.Nam],TDP!AF$254)</f>
        <v>0</v>
      </c>
      <c r="AG282" s="199">
        <f>SUMIFS([1]!Data_Loan[Value],[1]!Data_Loan[Index Loan],TDP!$B282,[1]!Data_Loan[TenCongTyID],TDP!$B$1,[1]!Data_Loan[Thang.Nam],TDP!AG$254)</f>
        <v>0</v>
      </c>
      <c r="AH282" s="199">
        <f>SUMIFS([1]!Data_Loan[Value],[1]!Data_Loan[Index Loan],TDP!$B282,[1]!Data_Loan[TenCongTyID],TDP!$B$1,[1]!Data_Loan[Thang.Nam],TDP!AH$254)</f>
        <v>0</v>
      </c>
      <c r="AI282" s="199">
        <f>SUMIFS([1]!Data_Loan[Value],[1]!Data_Loan[Index Loan],TDP!$B282,[1]!Data_Loan[TenCongTyID],TDP!$B$1,[1]!Data_Loan[Thang.Nam],TDP!AI$254)</f>
        <v>0</v>
      </c>
      <c r="AJ282" s="199">
        <f>SUMIFS([1]!Data_Loan[Value],[1]!Data_Loan[Index Loan],TDP!$B282,[1]!Data_Loan[TenCongTyID],TDP!$B$1,[1]!Data_Loan[Thang.Nam],TDP!AJ$254)</f>
        <v>0</v>
      </c>
      <c r="AK282" s="199">
        <f>SUMIFS([1]!Data_Loan[Value],[1]!Data_Loan[Index Loan],TDP!$B282,[1]!Data_Loan[TenCongTyID],TDP!$B$1,[1]!Data_Loan[Thang.Nam],TDP!AK$254)</f>
        <v>0</v>
      </c>
      <c r="AL282" s="199">
        <f>SUMIFS([1]!Data_Loan[Value],[1]!Data_Loan[Index Loan],TDP!$B282,[1]!Data_Loan[TenCongTyID],TDP!$B$1,[1]!Data_Loan[Thang.Nam],TDP!AL$254)</f>
        <v>0</v>
      </c>
    </row>
    <row r="283" spans="1:38" ht="15" customHeight="1">
      <c r="A283" s="200" t="str">
        <f>A265</f>
        <v>ACB</v>
      </c>
      <c r="B283" s="329">
        <v>29</v>
      </c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>
        <v>0</v>
      </c>
      <c r="AA283" s="201">
        <f>SUMIFS([1]!Data_Loan[Value],[1]!Data_Loan[Index Loan],TDP!$B283,[1]!Data_Loan[TenCongTyID],TDP!$B$1,[1]!Data_Loan[Thang.Nam],TDP!AA$254)</f>
        <v>0</v>
      </c>
      <c r="AB283" s="201">
        <f>SUMIFS([1]!Data_Loan[Value],[1]!Data_Loan[Index Loan],TDP!$B283,[1]!Data_Loan[TenCongTyID],TDP!$B$1,[1]!Data_Loan[Thang.Nam],TDP!AB$254)</f>
        <v>0</v>
      </c>
      <c r="AC283" s="201">
        <f>SUMIFS([1]!Data_Loan[Value],[1]!Data_Loan[Index Loan],TDP!$B283,[1]!Data_Loan[TenCongTyID],TDP!$B$1,[1]!Data_Loan[Thang.Nam],TDP!AC$254)</f>
        <v>0</v>
      </c>
      <c r="AD283" s="201">
        <f>SUMIFS([1]!Data_Loan[Value],[1]!Data_Loan[Index Loan],TDP!$B283,[1]!Data_Loan[TenCongTyID],TDP!$B$1,[1]!Data_Loan[Thang.Nam],TDP!AD$254)</f>
        <v>0</v>
      </c>
      <c r="AE283" s="201">
        <f>SUMIFS([1]!Data_Loan[Value],[1]!Data_Loan[Index Loan],TDP!$B283,[1]!Data_Loan[TenCongTyID],TDP!$B$1,[1]!Data_Loan[Thang.Nam],TDP!AE$254)</f>
        <v>0</v>
      </c>
      <c r="AF283" s="201">
        <f>SUMIFS([1]!Data_Loan[Value],[1]!Data_Loan[Index Loan],TDP!$B283,[1]!Data_Loan[TenCongTyID],TDP!$B$1,[1]!Data_Loan[Thang.Nam],TDP!AF$254)</f>
        <v>0</v>
      </c>
      <c r="AG283" s="201">
        <f>SUMIFS([1]!Data_Loan[Value],[1]!Data_Loan[Index Loan],TDP!$B283,[1]!Data_Loan[TenCongTyID],TDP!$B$1,[1]!Data_Loan[Thang.Nam],TDP!AG$254)</f>
        <v>0</v>
      </c>
      <c r="AH283" s="201">
        <f>SUMIFS([1]!Data_Loan[Value],[1]!Data_Loan[Index Loan],TDP!$B283,[1]!Data_Loan[TenCongTyID],TDP!$B$1,[1]!Data_Loan[Thang.Nam],TDP!AH$254)</f>
        <v>0</v>
      </c>
      <c r="AI283" s="201">
        <f>SUMIFS([1]!Data_Loan[Value],[1]!Data_Loan[Index Loan],TDP!$B283,[1]!Data_Loan[TenCongTyID],TDP!$B$1,[1]!Data_Loan[Thang.Nam],TDP!AI$254)</f>
        <v>0</v>
      </c>
      <c r="AJ283" s="201">
        <f>SUMIFS([1]!Data_Loan[Value],[1]!Data_Loan[Index Loan],TDP!$B283,[1]!Data_Loan[TenCongTyID],TDP!$B$1,[1]!Data_Loan[Thang.Nam],TDP!AJ$254)</f>
        <v>0</v>
      </c>
      <c r="AK283" s="201">
        <f>SUMIFS([1]!Data_Loan[Value],[1]!Data_Loan[Index Loan],TDP!$B283,[1]!Data_Loan[TenCongTyID],TDP!$B$1,[1]!Data_Loan[Thang.Nam],TDP!AK$254)</f>
        <v>0</v>
      </c>
      <c r="AL283" s="201">
        <f>SUMIFS([1]!Data_Loan[Value],[1]!Data_Loan[Index Loan],TDP!$B283,[1]!Data_Loan[TenCongTyID],TDP!$B$1,[1]!Data_Loan[Thang.Nam],TDP!AL$254)</f>
        <v>0</v>
      </c>
    </row>
    <row r="284" spans="1:38" ht="15" customHeight="1">
      <c r="A284" s="200" t="str">
        <f>A266</f>
        <v>VietinBank</v>
      </c>
      <c r="B284" s="329">
        <v>30</v>
      </c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>
        <v>0</v>
      </c>
      <c r="AA284" s="201">
        <f>SUMIFS([1]!Data_Loan[Value],[1]!Data_Loan[Index Loan],TDP!$B284,[1]!Data_Loan[TenCongTyID],TDP!$B$1,[1]!Data_Loan[Thang.Nam],TDP!AA$254)</f>
        <v>0</v>
      </c>
      <c r="AB284" s="201">
        <f>SUMIFS([1]!Data_Loan[Value],[1]!Data_Loan[Index Loan],TDP!$B284,[1]!Data_Loan[TenCongTyID],TDP!$B$1,[1]!Data_Loan[Thang.Nam],TDP!AB$254)</f>
        <v>0</v>
      </c>
      <c r="AC284" s="201">
        <f>SUMIFS([1]!Data_Loan[Value],[1]!Data_Loan[Index Loan],TDP!$B284,[1]!Data_Loan[TenCongTyID],TDP!$B$1,[1]!Data_Loan[Thang.Nam],TDP!AC$254)</f>
        <v>0</v>
      </c>
      <c r="AD284" s="201">
        <f>SUMIFS([1]!Data_Loan[Value],[1]!Data_Loan[Index Loan],TDP!$B284,[1]!Data_Loan[TenCongTyID],TDP!$B$1,[1]!Data_Loan[Thang.Nam],TDP!AD$254)</f>
        <v>0</v>
      </c>
      <c r="AE284" s="201">
        <f>SUMIFS([1]!Data_Loan[Value],[1]!Data_Loan[Index Loan],TDP!$B284,[1]!Data_Loan[TenCongTyID],TDP!$B$1,[1]!Data_Loan[Thang.Nam],TDP!AE$254)</f>
        <v>0</v>
      </c>
      <c r="AF284" s="201">
        <f>SUMIFS([1]!Data_Loan[Value],[1]!Data_Loan[Index Loan],TDP!$B284,[1]!Data_Loan[TenCongTyID],TDP!$B$1,[1]!Data_Loan[Thang.Nam],TDP!AF$254)</f>
        <v>0</v>
      </c>
      <c r="AG284" s="201">
        <f>SUMIFS([1]!Data_Loan[Value],[1]!Data_Loan[Index Loan],TDP!$B284,[1]!Data_Loan[TenCongTyID],TDP!$B$1,[1]!Data_Loan[Thang.Nam],TDP!AG$254)</f>
        <v>0</v>
      </c>
      <c r="AH284" s="201">
        <f>SUMIFS([1]!Data_Loan[Value],[1]!Data_Loan[Index Loan],TDP!$B284,[1]!Data_Loan[TenCongTyID],TDP!$B$1,[1]!Data_Loan[Thang.Nam],TDP!AH$254)</f>
        <v>0</v>
      </c>
      <c r="AI284" s="201">
        <f>SUMIFS([1]!Data_Loan[Value],[1]!Data_Loan[Index Loan],TDP!$B284,[1]!Data_Loan[TenCongTyID],TDP!$B$1,[1]!Data_Loan[Thang.Nam],TDP!AI$254)</f>
        <v>0</v>
      </c>
      <c r="AJ284" s="201">
        <f>SUMIFS([1]!Data_Loan[Value],[1]!Data_Loan[Index Loan],TDP!$B284,[1]!Data_Loan[TenCongTyID],TDP!$B$1,[1]!Data_Loan[Thang.Nam],TDP!AJ$254)</f>
        <v>0</v>
      </c>
      <c r="AK284" s="201">
        <f>SUMIFS([1]!Data_Loan[Value],[1]!Data_Loan[Index Loan],TDP!$B284,[1]!Data_Loan[TenCongTyID],TDP!$B$1,[1]!Data_Loan[Thang.Nam],TDP!AK$254)</f>
        <v>0</v>
      </c>
      <c r="AL284" s="201">
        <f>SUMIFS([1]!Data_Loan[Value],[1]!Data_Loan[Index Loan],TDP!$B284,[1]!Data_Loan[TenCongTyID],TDP!$B$1,[1]!Data_Loan[Thang.Nam],TDP!AL$254)</f>
        <v>0</v>
      </c>
    </row>
    <row r="285" spans="1:38" ht="15" customHeight="1">
      <c r="A285" s="200" t="str">
        <f>A267</f>
        <v>Vietcombank</v>
      </c>
      <c r="B285" s="329">
        <v>31</v>
      </c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>
        <v>0</v>
      </c>
      <c r="AA285" s="201">
        <f>SUMIFS([1]!Data_Loan[Value],[1]!Data_Loan[Index Loan],TDP!$B285,[1]!Data_Loan[TenCongTyID],TDP!$B$1,[1]!Data_Loan[Thang.Nam],TDP!AA$254)</f>
        <v>0</v>
      </c>
      <c r="AB285" s="201">
        <f>SUMIFS([1]!Data_Loan[Value],[1]!Data_Loan[Index Loan],TDP!$B285,[1]!Data_Loan[TenCongTyID],TDP!$B$1,[1]!Data_Loan[Thang.Nam],TDP!AB$254)</f>
        <v>0</v>
      </c>
      <c r="AC285" s="201">
        <f>SUMIFS([1]!Data_Loan[Value],[1]!Data_Loan[Index Loan],TDP!$B285,[1]!Data_Loan[TenCongTyID],TDP!$B$1,[1]!Data_Loan[Thang.Nam],TDP!AC$254)</f>
        <v>0</v>
      </c>
      <c r="AD285" s="201">
        <f>SUMIFS([1]!Data_Loan[Value],[1]!Data_Loan[Index Loan],TDP!$B285,[1]!Data_Loan[TenCongTyID],TDP!$B$1,[1]!Data_Loan[Thang.Nam],TDP!AD$254)</f>
        <v>0</v>
      </c>
      <c r="AE285" s="201">
        <f>SUMIFS([1]!Data_Loan[Value],[1]!Data_Loan[Index Loan],TDP!$B285,[1]!Data_Loan[TenCongTyID],TDP!$B$1,[1]!Data_Loan[Thang.Nam],TDP!AE$254)</f>
        <v>0</v>
      </c>
      <c r="AF285" s="201">
        <f>SUMIFS([1]!Data_Loan[Value],[1]!Data_Loan[Index Loan],TDP!$B285,[1]!Data_Loan[TenCongTyID],TDP!$B$1,[1]!Data_Loan[Thang.Nam],TDP!AF$254)</f>
        <v>0</v>
      </c>
      <c r="AG285" s="201">
        <f>SUMIFS([1]!Data_Loan[Value],[1]!Data_Loan[Index Loan],TDP!$B285,[1]!Data_Loan[TenCongTyID],TDP!$B$1,[1]!Data_Loan[Thang.Nam],TDP!AG$254)</f>
        <v>0</v>
      </c>
      <c r="AH285" s="201">
        <f>SUMIFS([1]!Data_Loan[Value],[1]!Data_Loan[Index Loan],TDP!$B285,[1]!Data_Loan[TenCongTyID],TDP!$B$1,[1]!Data_Loan[Thang.Nam],TDP!AH$254)</f>
        <v>0</v>
      </c>
      <c r="AI285" s="201">
        <f>SUMIFS([1]!Data_Loan[Value],[1]!Data_Loan[Index Loan],TDP!$B285,[1]!Data_Loan[TenCongTyID],TDP!$B$1,[1]!Data_Loan[Thang.Nam],TDP!AI$254)</f>
        <v>0</v>
      </c>
      <c r="AJ285" s="201">
        <f>SUMIFS([1]!Data_Loan[Value],[1]!Data_Loan[Index Loan],TDP!$B285,[1]!Data_Loan[TenCongTyID],TDP!$B$1,[1]!Data_Loan[Thang.Nam],TDP!AJ$254)</f>
        <v>0</v>
      </c>
      <c r="AK285" s="201">
        <f>SUMIFS([1]!Data_Loan[Value],[1]!Data_Loan[Index Loan],TDP!$B285,[1]!Data_Loan[TenCongTyID],TDP!$B$1,[1]!Data_Loan[Thang.Nam],TDP!AK$254)</f>
        <v>0</v>
      </c>
      <c r="AL285" s="201">
        <f>SUMIFS([1]!Data_Loan[Value],[1]!Data_Loan[Index Loan],TDP!$B285,[1]!Data_Loan[TenCongTyID],TDP!$B$1,[1]!Data_Loan[Thang.Nam],TDP!AL$254)</f>
        <v>0</v>
      </c>
    </row>
    <row r="286" spans="1:38" ht="15" customHeight="1">
      <c r="A286" s="200" t="s">
        <v>344</v>
      </c>
      <c r="B286" s="329">
        <v>32</v>
      </c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>
        <v>0</v>
      </c>
      <c r="AA286" s="201">
        <f>SUMIFS([1]!Data_Loan[Value],[1]!Data_Loan[Index Loan],TDP!$B286,[1]!Data_Loan[TenCongTyID],TDP!$B$1,[1]!Data_Loan[Thang.Nam],TDP!AA$254)</f>
        <v>0</v>
      </c>
      <c r="AB286" s="201">
        <f>SUMIFS([1]!Data_Loan[Value],[1]!Data_Loan[Index Loan],TDP!$B286,[1]!Data_Loan[TenCongTyID],TDP!$B$1,[1]!Data_Loan[Thang.Nam],TDP!AB$254)</f>
        <v>0</v>
      </c>
      <c r="AC286" s="201">
        <f>SUMIFS([1]!Data_Loan[Value],[1]!Data_Loan[Index Loan],TDP!$B286,[1]!Data_Loan[TenCongTyID],TDP!$B$1,[1]!Data_Loan[Thang.Nam],TDP!AC$254)</f>
        <v>0</v>
      </c>
      <c r="AD286" s="201">
        <f>SUMIFS([1]!Data_Loan[Value],[1]!Data_Loan[Index Loan],TDP!$B286,[1]!Data_Loan[TenCongTyID],TDP!$B$1,[1]!Data_Loan[Thang.Nam],TDP!AD$254)</f>
        <v>0</v>
      </c>
      <c r="AE286" s="201">
        <f>SUMIFS([1]!Data_Loan[Value],[1]!Data_Loan[Index Loan],TDP!$B286,[1]!Data_Loan[TenCongTyID],TDP!$B$1,[1]!Data_Loan[Thang.Nam],TDP!AE$254)</f>
        <v>0</v>
      </c>
      <c r="AF286" s="201">
        <f>SUMIFS([1]!Data_Loan[Value],[1]!Data_Loan[Index Loan],TDP!$B286,[1]!Data_Loan[TenCongTyID],TDP!$B$1,[1]!Data_Loan[Thang.Nam],TDP!AF$254)</f>
        <v>0</v>
      </c>
      <c r="AG286" s="201">
        <f>SUMIFS([1]!Data_Loan[Value],[1]!Data_Loan[Index Loan],TDP!$B286,[1]!Data_Loan[TenCongTyID],TDP!$B$1,[1]!Data_Loan[Thang.Nam],TDP!AG$254)</f>
        <v>0</v>
      </c>
      <c r="AH286" s="201">
        <f>SUMIFS([1]!Data_Loan[Value],[1]!Data_Loan[Index Loan],TDP!$B286,[1]!Data_Loan[TenCongTyID],TDP!$B$1,[1]!Data_Loan[Thang.Nam],TDP!AH$254)</f>
        <v>0</v>
      </c>
      <c r="AI286" s="201">
        <f>SUMIFS([1]!Data_Loan[Value],[1]!Data_Loan[Index Loan],TDP!$B286,[1]!Data_Loan[TenCongTyID],TDP!$B$1,[1]!Data_Loan[Thang.Nam],TDP!AI$254)</f>
        <v>0</v>
      </c>
      <c r="AJ286" s="201">
        <f>SUMIFS([1]!Data_Loan[Value],[1]!Data_Loan[Index Loan],TDP!$B286,[1]!Data_Loan[TenCongTyID],TDP!$B$1,[1]!Data_Loan[Thang.Nam],TDP!AJ$254)</f>
        <v>0</v>
      </c>
      <c r="AK286" s="201">
        <f>SUMIFS([1]!Data_Loan[Value],[1]!Data_Loan[Index Loan],TDP!$B286,[1]!Data_Loan[TenCongTyID],TDP!$B$1,[1]!Data_Loan[Thang.Nam],TDP!AK$254)</f>
        <v>0</v>
      </c>
      <c r="AL286" s="201">
        <f>SUMIFS([1]!Data_Loan[Value],[1]!Data_Loan[Index Loan],TDP!$B286,[1]!Data_Loan[TenCongTyID],TDP!$B$1,[1]!Data_Loan[Thang.Nam],TDP!AL$254)</f>
        <v>0</v>
      </c>
    </row>
    <row r="287" spans="1:38" ht="15" customHeight="1">
      <c r="A287" s="200" t="str">
        <f>A269</f>
        <v>Standard Chartered</v>
      </c>
      <c r="B287" s="329">
        <v>33</v>
      </c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>
        <v>0</v>
      </c>
      <c r="AA287" s="201">
        <f>SUMIFS([1]!Data_Loan[Value],[1]!Data_Loan[Index Loan],TDP!$B287,[1]!Data_Loan[TenCongTyID],TDP!$B$1,[1]!Data_Loan[Thang.Nam],TDP!AA$254)</f>
        <v>0</v>
      </c>
      <c r="AB287" s="201">
        <f>SUMIFS([1]!Data_Loan[Value],[1]!Data_Loan[Index Loan],TDP!$B287,[1]!Data_Loan[TenCongTyID],TDP!$B$1,[1]!Data_Loan[Thang.Nam],TDP!AB$254)</f>
        <v>0</v>
      </c>
      <c r="AC287" s="201">
        <f>SUMIFS([1]!Data_Loan[Value],[1]!Data_Loan[Index Loan],TDP!$B287,[1]!Data_Loan[TenCongTyID],TDP!$B$1,[1]!Data_Loan[Thang.Nam],TDP!AC$254)</f>
        <v>0</v>
      </c>
      <c r="AD287" s="201">
        <f>SUMIFS([1]!Data_Loan[Value],[1]!Data_Loan[Index Loan],TDP!$B287,[1]!Data_Loan[TenCongTyID],TDP!$B$1,[1]!Data_Loan[Thang.Nam],TDP!AD$254)</f>
        <v>0</v>
      </c>
      <c r="AE287" s="201">
        <f>SUMIFS([1]!Data_Loan[Value],[1]!Data_Loan[Index Loan],TDP!$B287,[1]!Data_Loan[TenCongTyID],TDP!$B$1,[1]!Data_Loan[Thang.Nam],TDP!AE$254)</f>
        <v>0</v>
      </c>
      <c r="AF287" s="201">
        <f>SUMIFS([1]!Data_Loan[Value],[1]!Data_Loan[Index Loan],TDP!$B287,[1]!Data_Loan[TenCongTyID],TDP!$B$1,[1]!Data_Loan[Thang.Nam],TDP!AF$254)</f>
        <v>0</v>
      </c>
      <c r="AG287" s="201">
        <f>SUMIFS([1]!Data_Loan[Value],[1]!Data_Loan[Index Loan],TDP!$B287,[1]!Data_Loan[TenCongTyID],TDP!$B$1,[1]!Data_Loan[Thang.Nam],TDP!AG$254)</f>
        <v>0</v>
      </c>
      <c r="AH287" s="201">
        <f>SUMIFS([1]!Data_Loan[Value],[1]!Data_Loan[Index Loan],TDP!$B287,[1]!Data_Loan[TenCongTyID],TDP!$B$1,[1]!Data_Loan[Thang.Nam],TDP!AH$254)</f>
        <v>0</v>
      </c>
      <c r="AI287" s="201">
        <f>SUMIFS([1]!Data_Loan[Value],[1]!Data_Loan[Index Loan],TDP!$B287,[1]!Data_Loan[TenCongTyID],TDP!$B$1,[1]!Data_Loan[Thang.Nam],TDP!AI$254)</f>
        <v>0</v>
      </c>
      <c r="AJ287" s="201">
        <f>SUMIFS([1]!Data_Loan[Value],[1]!Data_Loan[Index Loan],TDP!$B287,[1]!Data_Loan[TenCongTyID],TDP!$B$1,[1]!Data_Loan[Thang.Nam],TDP!AJ$254)</f>
        <v>0</v>
      </c>
      <c r="AK287" s="201">
        <f>SUMIFS([1]!Data_Loan[Value],[1]!Data_Loan[Index Loan],TDP!$B287,[1]!Data_Loan[TenCongTyID],TDP!$B$1,[1]!Data_Loan[Thang.Nam],TDP!AK$254)</f>
        <v>0</v>
      </c>
      <c r="AL287" s="201">
        <f>SUMIFS([1]!Data_Loan[Value],[1]!Data_Loan[Index Loan],TDP!$B287,[1]!Data_Loan[TenCongTyID],TDP!$B$1,[1]!Data_Loan[Thang.Nam],TDP!AL$254)</f>
        <v>0</v>
      </c>
    </row>
    <row r="288" spans="1:38" ht="15" customHeight="1">
      <c r="A288" s="200" t="s">
        <v>346</v>
      </c>
      <c r="B288" s="329">
        <v>34</v>
      </c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>
        <v>0</v>
      </c>
      <c r="AA288" s="201">
        <f>SUMIFS([1]!Data_Loan[Value],[1]!Data_Loan[Index Loan],TDP!$B288,[1]!Data_Loan[TenCongTyID],TDP!$B$1,[1]!Data_Loan[Thang.Nam],TDP!AA$254)</f>
        <v>0</v>
      </c>
      <c r="AB288" s="201">
        <f>SUMIFS([1]!Data_Loan[Value],[1]!Data_Loan[Index Loan],TDP!$B288,[1]!Data_Loan[TenCongTyID],TDP!$B$1,[1]!Data_Loan[Thang.Nam],TDP!AB$254)</f>
        <v>0</v>
      </c>
      <c r="AC288" s="201">
        <f>SUMIFS([1]!Data_Loan[Value],[1]!Data_Loan[Index Loan],TDP!$B288,[1]!Data_Loan[TenCongTyID],TDP!$B$1,[1]!Data_Loan[Thang.Nam],TDP!AC$254)</f>
        <v>0</v>
      </c>
      <c r="AD288" s="201">
        <f>SUMIFS([1]!Data_Loan[Value],[1]!Data_Loan[Index Loan],TDP!$B288,[1]!Data_Loan[TenCongTyID],TDP!$B$1,[1]!Data_Loan[Thang.Nam],TDP!AD$254)</f>
        <v>0</v>
      </c>
      <c r="AE288" s="201">
        <f>SUMIFS([1]!Data_Loan[Value],[1]!Data_Loan[Index Loan],TDP!$B288,[1]!Data_Loan[TenCongTyID],TDP!$B$1,[1]!Data_Loan[Thang.Nam],TDP!AE$254)</f>
        <v>0</v>
      </c>
      <c r="AF288" s="201">
        <f>SUMIFS([1]!Data_Loan[Value],[1]!Data_Loan[Index Loan],TDP!$B288,[1]!Data_Loan[TenCongTyID],TDP!$B$1,[1]!Data_Loan[Thang.Nam],TDP!AF$254)</f>
        <v>0</v>
      </c>
      <c r="AG288" s="201">
        <f>SUMIFS([1]!Data_Loan[Value],[1]!Data_Loan[Index Loan],TDP!$B288,[1]!Data_Loan[TenCongTyID],TDP!$B$1,[1]!Data_Loan[Thang.Nam],TDP!AG$254)</f>
        <v>0</v>
      </c>
      <c r="AH288" s="201">
        <f>SUMIFS([1]!Data_Loan[Value],[1]!Data_Loan[Index Loan],TDP!$B288,[1]!Data_Loan[TenCongTyID],TDP!$B$1,[1]!Data_Loan[Thang.Nam],TDP!AH$254)</f>
        <v>0</v>
      </c>
      <c r="AI288" s="201">
        <f>SUMIFS([1]!Data_Loan[Value],[1]!Data_Loan[Index Loan],TDP!$B288,[1]!Data_Loan[TenCongTyID],TDP!$B$1,[1]!Data_Loan[Thang.Nam],TDP!AI$254)</f>
        <v>0</v>
      </c>
      <c r="AJ288" s="201">
        <f>SUMIFS([1]!Data_Loan[Value],[1]!Data_Loan[Index Loan],TDP!$B288,[1]!Data_Loan[TenCongTyID],TDP!$B$1,[1]!Data_Loan[Thang.Nam],TDP!AJ$254)</f>
        <v>0</v>
      </c>
      <c r="AK288" s="201">
        <f>SUMIFS([1]!Data_Loan[Value],[1]!Data_Loan[Index Loan],TDP!$B288,[1]!Data_Loan[TenCongTyID],TDP!$B$1,[1]!Data_Loan[Thang.Nam],TDP!AK$254)</f>
        <v>0</v>
      </c>
      <c r="AL288" s="201">
        <f>SUMIFS([1]!Data_Loan[Value],[1]!Data_Loan[Index Loan],TDP!$B288,[1]!Data_Loan[TenCongTyID],TDP!$B$1,[1]!Data_Loan[Thang.Nam],TDP!AL$254)</f>
        <v>0</v>
      </c>
    </row>
    <row r="289" spans="1:38" ht="15" customHeight="1">
      <c r="A289" s="200" t="s">
        <v>347</v>
      </c>
      <c r="B289" s="329">
        <v>35</v>
      </c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>
        <v>0</v>
      </c>
      <c r="AA289" s="201">
        <f>SUMIFS([1]!Data_Loan[Value],[1]!Data_Loan[Index Loan],TDP!$B289,[1]!Data_Loan[TenCongTyID],TDP!$B$1,[1]!Data_Loan[Thang.Nam],TDP!AA$254)</f>
        <v>0</v>
      </c>
      <c r="AB289" s="201">
        <f>SUMIFS([1]!Data_Loan[Value],[1]!Data_Loan[Index Loan],TDP!$B289,[1]!Data_Loan[TenCongTyID],TDP!$B$1,[1]!Data_Loan[Thang.Nam],TDP!AB$254)</f>
        <v>0</v>
      </c>
      <c r="AC289" s="201">
        <f>SUMIFS([1]!Data_Loan[Value],[1]!Data_Loan[Index Loan],TDP!$B289,[1]!Data_Loan[TenCongTyID],TDP!$B$1,[1]!Data_Loan[Thang.Nam],TDP!AC$254)</f>
        <v>0</v>
      </c>
      <c r="AD289" s="201">
        <f>SUMIFS([1]!Data_Loan[Value],[1]!Data_Loan[Index Loan],TDP!$B289,[1]!Data_Loan[TenCongTyID],TDP!$B$1,[1]!Data_Loan[Thang.Nam],TDP!AD$254)</f>
        <v>0</v>
      </c>
      <c r="AE289" s="201">
        <f>SUMIFS([1]!Data_Loan[Value],[1]!Data_Loan[Index Loan],TDP!$B289,[1]!Data_Loan[TenCongTyID],TDP!$B$1,[1]!Data_Loan[Thang.Nam],TDP!AE$254)</f>
        <v>0</v>
      </c>
      <c r="AF289" s="201">
        <f>SUMIFS([1]!Data_Loan[Value],[1]!Data_Loan[Index Loan],TDP!$B289,[1]!Data_Loan[TenCongTyID],TDP!$B$1,[1]!Data_Loan[Thang.Nam],TDP!AF$254)</f>
        <v>0</v>
      </c>
      <c r="AG289" s="201">
        <f>SUMIFS([1]!Data_Loan[Value],[1]!Data_Loan[Index Loan],TDP!$B289,[1]!Data_Loan[TenCongTyID],TDP!$B$1,[1]!Data_Loan[Thang.Nam],TDP!AG$254)</f>
        <v>0</v>
      </c>
      <c r="AH289" s="201">
        <f>SUMIFS([1]!Data_Loan[Value],[1]!Data_Loan[Index Loan],TDP!$B289,[1]!Data_Loan[TenCongTyID],TDP!$B$1,[1]!Data_Loan[Thang.Nam],TDP!AH$254)</f>
        <v>0</v>
      </c>
      <c r="AI289" s="201">
        <f>SUMIFS([1]!Data_Loan[Value],[1]!Data_Loan[Index Loan],TDP!$B289,[1]!Data_Loan[TenCongTyID],TDP!$B$1,[1]!Data_Loan[Thang.Nam],TDP!AI$254)</f>
        <v>0</v>
      </c>
      <c r="AJ289" s="201">
        <f>SUMIFS([1]!Data_Loan[Value],[1]!Data_Loan[Index Loan],TDP!$B289,[1]!Data_Loan[TenCongTyID],TDP!$B$1,[1]!Data_Loan[Thang.Nam],TDP!AJ$254)</f>
        <v>0</v>
      </c>
      <c r="AK289" s="201">
        <f>SUMIFS([1]!Data_Loan[Value],[1]!Data_Loan[Index Loan],TDP!$B289,[1]!Data_Loan[TenCongTyID],TDP!$B$1,[1]!Data_Loan[Thang.Nam],TDP!AK$254)</f>
        <v>0</v>
      </c>
      <c r="AL289" s="201">
        <f>SUMIFS([1]!Data_Loan[Value],[1]!Data_Loan[Index Loan],TDP!$B289,[1]!Data_Loan[TenCongTyID],TDP!$B$1,[1]!Data_Loan[Thang.Nam],TDP!AL$254)</f>
        <v>0</v>
      </c>
    </row>
    <row r="290" spans="1:38" ht="15" customHeight="1">
      <c r="B290" s="329">
        <v>36</v>
      </c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>
        <v>0</v>
      </c>
      <c r="AA290" s="201">
        <f>SUMIFS([1]!Data_Loan[Value],[1]!Data_Loan[Index Loan],TDP!$B290,[1]!Data_Loan[TenCongTyID],TDP!$B$1,[1]!Data_Loan[Thang.Nam],TDP!AA$254)</f>
        <v>0</v>
      </c>
      <c r="AB290" s="201">
        <f>SUMIFS([1]!Data_Loan[Value],[1]!Data_Loan[Index Loan],TDP!$B290,[1]!Data_Loan[TenCongTyID],TDP!$B$1,[1]!Data_Loan[Thang.Nam],TDP!AB$254)</f>
        <v>0</v>
      </c>
      <c r="AC290" s="201">
        <f>SUMIFS([1]!Data_Loan[Value],[1]!Data_Loan[Index Loan],TDP!$B290,[1]!Data_Loan[TenCongTyID],TDP!$B$1,[1]!Data_Loan[Thang.Nam],TDP!AC$254)</f>
        <v>0</v>
      </c>
      <c r="AD290" s="201">
        <f>SUMIFS([1]!Data_Loan[Value],[1]!Data_Loan[Index Loan],TDP!$B290,[1]!Data_Loan[TenCongTyID],TDP!$B$1,[1]!Data_Loan[Thang.Nam],TDP!AD$254)</f>
        <v>0</v>
      </c>
      <c r="AE290" s="201">
        <f>SUMIFS([1]!Data_Loan[Value],[1]!Data_Loan[Index Loan],TDP!$B290,[1]!Data_Loan[TenCongTyID],TDP!$B$1,[1]!Data_Loan[Thang.Nam],TDP!AE$254)</f>
        <v>0</v>
      </c>
      <c r="AF290" s="201">
        <f>SUMIFS([1]!Data_Loan[Value],[1]!Data_Loan[Index Loan],TDP!$B290,[1]!Data_Loan[TenCongTyID],TDP!$B$1,[1]!Data_Loan[Thang.Nam],TDP!AF$254)</f>
        <v>0</v>
      </c>
      <c r="AG290" s="201">
        <f>SUMIFS([1]!Data_Loan[Value],[1]!Data_Loan[Index Loan],TDP!$B290,[1]!Data_Loan[TenCongTyID],TDP!$B$1,[1]!Data_Loan[Thang.Nam],TDP!AG$254)</f>
        <v>0</v>
      </c>
      <c r="AH290" s="201">
        <f>SUMIFS([1]!Data_Loan[Value],[1]!Data_Loan[Index Loan],TDP!$B290,[1]!Data_Loan[TenCongTyID],TDP!$B$1,[1]!Data_Loan[Thang.Nam],TDP!AH$254)</f>
        <v>0</v>
      </c>
      <c r="AI290" s="201">
        <f>SUMIFS([1]!Data_Loan[Value],[1]!Data_Loan[Index Loan],TDP!$B290,[1]!Data_Loan[TenCongTyID],TDP!$B$1,[1]!Data_Loan[Thang.Nam],TDP!AI$254)</f>
        <v>0</v>
      </c>
      <c r="AJ290" s="201">
        <f>SUMIFS([1]!Data_Loan[Value],[1]!Data_Loan[Index Loan],TDP!$B290,[1]!Data_Loan[TenCongTyID],TDP!$B$1,[1]!Data_Loan[Thang.Nam],TDP!AJ$254)</f>
        <v>0</v>
      </c>
      <c r="AK290" s="201">
        <f>SUMIFS([1]!Data_Loan[Value],[1]!Data_Loan[Index Loan],TDP!$B290,[1]!Data_Loan[TenCongTyID],TDP!$B$1,[1]!Data_Loan[Thang.Nam],TDP!AK$254)</f>
        <v>0</v>
      </c>
      <c r="AL290" s="201">
        <f>SUMIFS([1]!Data_Loan[Value],[1]!Data_Loan[Index Loan],TDP!$B290,[1]!Data_Loan[TenCongTyID],TDP!$B$1,[1]!Data_Loan[Thang.Nam],TDP!AL$254)</f>
        <v>0</v>
      </c>
    </row>
    <row r="291" spans="1:38" ht="15" customHeight="1">
      <c r="A291" s="202" t="s">
        <v>350</v>
      </c>
      <c r="B291" s="330">
        <v>37</v>
      </c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>
        <v>0</v>
      </c>
      <c r="AA291" s="201">
        <f>SUMIFS([1]!Data_Loan[Value],[1]!Data_Loan[Index Loan],TDP!$B291,[1]!Data_Loan[TenCongTyID],TDP!$B$1,[1]!Data_Loan[Thang.Nam],TDP!AA$254)</f>
        <v>0</v>
      </c>
      <c r="AB291" s="201">
        <f>SUMIFS([1]!Data_Loan[Value],[1]!Data_Loan[Index Loan],TDP!$B291,[1]!Data_Loan[TenCongTyID],TDP!$B$1,[1]!Data_Loan[Thang.Nam],TDP!AB$254)</f>
        <v>0</v>
      </c>
      <c r="AC291" s="201">
        <f>SUMIFS([1]!Data_Loan[Value],[1]!Data_Loan[Index Loan],TDP!$B291,[1]!Data_Loan[TenCongTyID],TDP!$B$1,[1]!Data_Loan[Thang.Nam],TDP!AC$254)</f>
        <v>0</v>
      </c>
      <c r="AD291" s="201">
        <f>SUMIFS([1]!Data_Loan[Value],[1]!Data_Loan[Index Loan],TDP!$B291,[1]!Data_Loan[TenCongTyID],TDP!$B$1,[1]!Data_Loan[Thang.Nam],TDP!AD$254)</f>
        <v>0</v>
      </c>
      <c r="AE291" s="201">
        <f>SUMIFS([1]!Data_Loan[Value],[1]!Data_Loan[Index Loan],TDP!$B291,[1]!Data_Loan[TenCongTyID],TDP!$B$1,[1]!Data_Loan[Thang.Nam],TDP!AE$254)</f>
        <v>0</v>
      </c>
      <c r="AF291" s="201">
        <f>SUMIFS([1]!Data_Loan[Value],[1]!Data_Loan[Index Loan],TDP!$B291,[1]!Data_Loan[TenCongTyID],TDP!$B$1,[1]!Data_Loan[Thang.Nam],TDP!AF$254)</f>
        <v>0</v>
      </c>
      <c r="AG291" s="201">
        <f>SUMIFS([1]!Data_Loan[Value],[1]!Data_Loan[Index Loan],TDP!$B291,[1]!Data_Loan[TenCongTyID],TDP!$B$1,[1]!Data_Loan[Thang.Nam],TDP!AG$254)</f>
        <v>0</v>
      </c>
      <c r="AH291" s="201">
        <f>SUMIFS([1]!Data_Loan[Value],[1]!Data_Loan[Index Loan],TDP!$B291,[1]!Data_Loan[TenCongTyID],TDP!$B$1,[1]!Data_Loan[Thang.Nam],TDP!AH$254)</f>
        <v>0</v>
      </c>
      <c r="AI291" s="201">
        <f>SUMIFS([1]!Data_Loan[Value],[1]!Data_Loan[Index Loan],TDP!$B291,[1]!Data_Loan[TenCongTyID],TDP!$B$1,[1]!Data_Loan[Thang.Nam],TDP!AI$254)</f>
        <v>0</v>
      </c>
      <c r="AJ291" s="201">
        <f>SUMIFS([1]!Data_Loan[Value],[1]!Data_Loan[Index Loan],TDP!$B291,[1]!Data_Loan[TenCongTyID],TDP!$B$1,[1]!Data_Loan[Thang.Nam],TDP!AJ$254)</f>
        <v>0</v>
      </c>
      <c r="AK291" s="201">
        <f>SUMIFS([1]!Data_Loan[Value],[1]!Data_Loan[Index Loan],TDP!$B291,[1]!Data_Loan[TenCongTyID],TDP!$B$1,[1]!Data_Loan[Thang.Nam],TDP!AK$254)</f>
        <v>0</v>
      </c>
      <c r="AL291" s="201">
        <f>SUMIFS([1]!Data_Loan[Value],[1]!Data_Loan[Index Loan],TDP!$B291,[1]!Data_Loan[TenCongTyID],TDP!$B$1,[1]!Data_Loan[Thang.Nam],TDP!AL$254)</f>
        <v>0</v>
      </c>
    </row>
    <row r="292" spans="1:38" ht="15" customHeight="1">
      <c r="A292" s="200" t="str">
        <f>A283</f>
        <v>ACB</v>
      </c>
      <c r="B292" s="329">
        <v>38</v>
      </c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>
        <v>0</v>
      </c>
      <c r="AA292" s="201">
        <f>SUMIFS([1]!Data_Loan[Value],[1]!Data_Loan[Index Loan],TDP!$B292,[1]!Data_Loan[TenCongTyID],TDP!$B$1,[1]!Data_Loan[Thang.Nam],TDP!AA$254)</f>
        <v>0</v>
      </c>
      <c r="AB292" s="201">
        <f>SUMIFS([1]!Data_Loan[Value],[1]!Data_Loan[Index Loan],TDP!$B292,[1]!Data_Loan[TenCongTyID],TDP!$B$1,[1]!Data_Loan[Thang.Nam],TDP!AB$254)</f>
        <v>0</v>
      </c>
      <c r="AC292" s="201">
        <f>SUMIFS([1]!Data_Loan[Value],[1]!Data_Loan[Index Loan],TDP!$B292,[1]!Data_Loan[TenCongTyID],TDP!$B$1,[1]!Data_Loan[Thang.Nam],TDP!AC$254)</f>
        <v>0</v>
      </c>
      <c r="AD292" s="201">
        <f>SUMIFS([1]!Data_Loan[Value],[1]!Data_Loan[Index Loan],TDP!$B292,[1]!Data_Loan[TenCongTyID],TDP!$B$1,[1]!Data_Loan[Thang.Nam],TDP!AD$254)</f>
        <v>0</v>
      </c>
      <c r="AE292" s="201">
        <f>SUMIFS([1]!Data_Loan[Value],[1]!Data_Loan[Index Loan],TDP!$B292,[1]!Data_Loan[TenCongTyID],TDP!$B$1,[1]!Data_Loan[Thang.Nam],TDP!AE$254)</f>
        <v>0</v>
      </c>
      <c r="AF292" s="201">
        <f>SUMIFS([1]!Data_Loan[Value],[1]!Data_Loan[Index Loan],TDP!$B292,[1]!Data_Loan[TenCongTyID],TDP!$B$1,[1]!Data_Loan[Thang.Nam],TDP!AF$254)</f>
        <v>0</v>
      </c>
      <c r="AG292" s="201">
        <f>SUMIFS([1]!Data_Loan[Value],[1]!Data_Loan[Index Loan],TDP!$B292,[1]!Data_Loan[TenCongTyID],TDP!$B$1,[1]!Data_Loan[Thang.Nam],TDP!AG$254)</f>
        <v>0</v>
      </c>
      <c r="AH292" s="201">
        <f>SUMIFS([1]!Data_Loan[Value],[1]!Data_Loan[Index Loan],TDP!$B292,[1]!Data_Loan[TenCongTyID],TDP!$B$1,[1]!Data_Loan[Thang.Nam],TDP!AH$254)</f>
        <v>0</v>
      </c>
      <c r="AI292" s="201">
        <f>SUMIFS([1]!Data_Loan[Value],[1]!Data_Loan[Index Loan],TDP!$B292,[1]!Data_Loan[TenCongTyID],TDP!$B$1,[1]!Data_Loan[Thang.Nam],TDP!AI$254)</f>
        <v>0</v>
      </c>
      <c r="AJ292" s="201">
        <f>SUMIFS([1]!Data_Loan[Value],[1]!Data_Loan[Index Loan],TDP!$B292,[1]!Data_Loan[TenCongTyID],TDP!$B$1,[1]!Data_Loan[Thang.Nam],TDP!AJ$254)</f>
        <v>0</v>
      </c>
      <c r="AK292" s="201">
        <f>SUMIFS([1]!Data_Loan[Value],[1]!Data_Loan[Index Loan],TDP!$B292,[1]!Data_Loan[TenCongTyID],TDP!$B$1,[1]!Data_Loan[Thang.Nam],TDP!AK$254)</f>
        <v>0</v>
      </c>
      <c r="AL292" s="201">
        <f>SUMIFS([1]!Data_Loan[Value],[1]!Data_Loan[Index Loan],TDP!$B292,[1]!Data_Loan[TenCongTyID],TDP!$B$1,[1]!Data_Loan[Thang.Nam],TDP!AL$254)</f>
        <v>0</v>
      </c>
    </row>
    <row r="293" spans="1:38" ht="15" customHeight="1">
      <c r="A293" s="200" t="str">
        <f t="shared" ref="A293:A299" si="73">A284</f>
        <v>VietinBank</v>
      </c>
      <c r="B293" s="329">
        <v>39</v>
      </c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>
        <v>0</v>
      </c>
      <c r="AA293" s="201">
        <f>SUMIFS([1]!Data_Loan[Value],[1]!Data_Loan[Index Loan],TDP!$B293,[1]!Data_Loan[TenCongTyID],TDP!$B$1,[1]!Data_Loan[Thang.Nam],TDP!AA$254)</f>
        <v>0</v>
      </c>
      <c r="AB293" s="201">
        <f>SUMIFS([1]!Data_Loan[Value],[1]!Data_Loan[Index Loan],TDP!$B293,[1]!Data_Loan[TenCongTyID],TDP!$B$1,[1]!Data_Loan[Thang.Nam],TDP!AB$254)</f>
        <v>0</v>
      </c>
      <c r="AC293" s="201">
        <f>SUMIFS([1]!Data_Loan[Value],[1]!Data_Loan[Index Loan],TDP!$B293,[1]!Data_Loan[TenCongTyID],TDP!$B$1,[1]!Data_Loan[Thang.Nam],TDP!AC$254)</f>
        <v>0</v>
      </c>
      <c r="AD293" s="201">
        <f>SUMIFS([1]!Data_Loan[Value],[1]!Data_Loan[Index Loan],TDP!$B293,[1]!Data_Loan[TenCongTyID],TDP!$B$1,[1]!Data_Loan[Thang.Nam],TDP!AD$254)</f>
        <v>0</v>
      </c>
      <c r="AE293" s="201">
        <f>SUMIFS([1]!Data_Loan[Value],[1]!Data_Loan[Index Loan],TDP!$B293,[1]!Data_Loan[TenCongTyID],TDP!$B$1,[1]!Data_Loan[Thang.Nam],TDP!AE$254)</f>
        <v>0</v>
      </c>
      <c r="AF293" s="201">
        <f>SUMIFS([1]!Data_Loan[Value],[1]!Data_Loan[Index Loan],TDP!$B293,[1]!Data_Loan[TenCongTyID],TDP!$B$1,[1]!Data_Loan[Thang.Nam],TDP!AF$254)</f>
        <v>0</v>
      </c>
      <c r="AG293" s="201">
        <f>SUMIFS([1]!Data_Loan[Value],[1]!Data_Loan[Index Loan],TDP!$B293,[1]!Data_Loan[TenCongTyID],TDP!$B$1,[1]!Data_Loan[Thang.Nam],TDP!AG$254)</f>
        <v>0</v>
      </c>
      <c r="AH293" s="201">
        <f>SUMIFS([1]!Data_Loan[Value],[1]!Data_Loan[Index Loan],TDP!$B293,[1]!Data_Loan[TenCongTyID],TDP!$B$1,[1]!Data_Loan[Thang.Nam],TDP!AH$254)</f>
        <v>0</v>
      </c>
      <c r="AI293" s="201">
        <f>SUMIFS([1]!Data_Loan[Value],[1]!Data_Loan[Index Loan],TDP!$B293,[1]!Data_Loan[TenCongTyID],TDP!$B$1,[1]!Data_Loan[Thang.Nam],TDP!AI$254)</f>
        <v>0</v>
      </c>
      <c r="AJ293" s="201">
        <f>SUMIFS([1]!Data_Loan[Value],[1]!Data_Loan[Index Loan],TDP!$B293,[1]!Data_Loan[TenCongTyID],TDP!$B$1,[1]!Data_Loan[Thang.Nam],TDP!AJ$254)</f>
        <v>0</v>
      </c>
      <c r="AK293" s="201">
        <f>SUMIFS([1]!Data_Loan[Value],[1]!Data_Loan[Index Loan],TDP!$B293,[1]!Data_Loan[TenCongTyID],TDP!$B$1,[1]!Data_Loan[Thang.Nam],TDP!AK$254)</f>
        <v>0</v>
      </c>
      <c r="AL293" s="201">
        <f>SUMIFS([1]!Data_Loan[Value],[1]!Data_Loan[Index Loan],TDP!$B293,[1]!Data_Loan[TenCongTyID],TDP!$B$1,[1]!Data_Loan[Thang.Nam],TDP!AL$254)</f>
        <v>0</v>
      </c>
    </row>
    <row r="294" spans="1:38" ht="15" customHeight="1">
      <c r="A294" s="200" t="str">
        <f t="shared" si="73"/>
        <v>Vietcombank</v>
      </c>
      <c r="B294" s="329">
        <v>40</v>
      </c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>
        <v>0</v>
      </c>
      <c r="AA294" s="201">
        <f>SUMIFS([1]!Data_Loan[Value],[1]!Data_Loan[Index Loan],TDP!$B294,[1]!Data_Loan[TenCongTyID],TDP!$B$1,[1]!Data_Loan[Thang.Nam],TDP!AA$254)</f>
        <v>0</v>
      </c>
      <c r="AB294" s="201">
        <f>SUMIFS([1]!Data_Loan[Value],[1]!Data_Loan[Index Loan],TDP!$B294,[1]!Data_Loan[TenCongTyID],TDP!$B$1,[1]!Data_Loan[Thang.Nam],TDP!AB$254)</f>
        <v>0</v>
      </c>
      <c r="AC294" s="201">
        <f>SUMIFS([1]!Data_Loan[Value],[1]!Data_Loan[Index Loan],TDP!$B294,[1]!Data_Loan[TenCongTyID],TDP!$B$1,[1]!Data_Loan[Thang.Nam],TDP!AC$254)</f>
        <v>0</v>
      </c>
      <c r="AD294" s="201">
        <f>SUMIFS([1]!Data_Loan[Value],[1]!Data_Loan[Index Loan],TDP!$B294,[1]!Data_Loan[TenCongTyID],TDP!$B$1,[1]!Data_Loan[Thang.Nam],TDP!AD$254)</f>
        <v>0</v>
      </c>
      <c r="AE294" s="201">
        <f>SUMIFS([1]!Data_Loan[Value],[1]!Data_Loan[Index Loan],TDP!$B294,[1]!Data_Loan[TenCongTyID],TDP!$B$1,[1]!Data_Loan[Thang.Nam],TDP!AE$254)</f>
        <v>0</v>
      </c>
      <c r="AF294" s="201">
        <f>SUMIFS([1]!Data_Loan[Value],[1]!Data_Loan[Index Loan],TDP!$B294,[1]!Data_Loan[TenCongTyID],TDP!$B$1,[1]!Data_Loan[Thang.Nam],TDP!AF$254)</f>
        <v>0</v>
      </c>
      <c r="AG294" s="201">
        <f>SUMIFS([1]!Data_Loan[Value],[1]!Data_Loan[Index Loan],TDP!$B294,[1]!Data_Loan[TenCongTyID],TDP!$B$1,[1]!Data_Loan[Thang.Nam],TDP!AG$254)</f>
        <v>0</v>
      </c>
      <c r="AH294" s="201">
        <f>SUMIFS([1]!Data_Loan[Value],[1]!Data_Loan[Index Loan],TDP!$B294,[1]!Data_Loan[TenCongTyID],TDP!$B$1,[1]!Data_Loan[Thang.Nam],TDP!AH$254)</f>
        <v>0</v>
      </c>
      <c r="AI294" s="201">
        <f>SUMIFS([1]!Data_Loan[Value],[1]!Data_Loan[Index Loan],TDP!$B294,[1]!Data_Loan[TenCongTyID],TDP!$B$1,[1]!Data_Loan[Thang.Nam],TDP!AI$254)</f>
        <v>0</v>
      </c>
      <c r="AJ294" s="201">
        <f>SUMIFS([1]!Data_Loan[Value],[1]!Data_Loan[Index Loan],TDP!$B294,[1]!Data_Loan[TenCongTyID],TDP!$B$1,[1]!Data_Loan[Thang.Nam],TDP!AJ$254)</f>
        <v>0</v>
      </c>
      <c r="AK294" s="201">
        <f>SUMIFS([1]!Data_Loan[Value],[1]!Data_Loan[Index Loan],TDP!$B294,[1]!Data_Loan[TenCongTyID],TDP!$B$1,[1]!Data_Loan[Thang.Nam],TDP!AK$254)</f>
        <v>0</v>
      </c>
      <c r="AL294" s="201">
        <f>SUMIFS([1]!Data_Loan[Value],[1]!Data_Loan[Index Loan],TDP!$B294,[1]!Data_Loan[TenCongTyID],TDP!$B$1,[1]!Data_Loan[Thang.Nam],TDP!AL$254)</f>
        <v>0</v>
      </c>
    </row>
    <row r="295" spans="1:38" ht="15" customHeight="1">
      <c r="A295" s="200" t="str">
        <f t="shared" si="73"/>
        <v>BIDV</v>
      </c>
      <c r="B295" s="329">
        <v>41</v>
      </c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>
        <v>0</v>
      </c>
      <c r="AA295" s="201">
        <f>SUMIFS([1]!Data_Loan[Value],[1]!Data_Loan[Index Loan],TDP!$B295,[1]!Data_Loan[TenCongTyID],TDP!$B$1,[1]!Data_Loan[Thang.Nam],TDP!AA$254)</f>
        <v>0</v>
      </c>
      <c r="AB295" s="201">
        <f>SUMIFS([1]!Data_Loan[Value],[1]!Data_Loan[Index Loan],TDP!$B295,[1]!Data_Loan[TenCongTyID],TDP!$B$1,[1]!Data_Loan[Thang.Nam],TDP!AB$254)</f>
        <v>0</v>
      </c>
      <c r="AC295" s="201">
        <f>SUMIFS([1]!Data_Loan[Value],[1]!Data_Loan[Index Loan],TDP!$B295,[1]!Data_Loan[TenCongTyID],TDP!$B$1,[1]!Data_Loan[Thang.Nam],TDP!AC$254)</f>
        <v>0</v>
      </c>
      <c r="AD295" s="201">
        <f>SUMIFS([1]!Data_Loan[Value],[1]!Data_Loan[Index Loan],TDP!$B295,[1]!Data_Loan[TenCongTyID],TDP!$B$1,[1]!Data_Loan[Thang.Nam],TDP!AD$254)</f>
        <v>0</v>
      </c>
      <c r="AE295" s="201">
        <f>SUMIFS([1]!Data_Loan[Value],[1]!Data_Loan[Index Loan],TDP!$B295,[1]!Data_Loan[TenCongTyID],TDP!$B$1,[1]!Data_Loan[Thang.Nam],TDP!AE$254)</f>
        <v>0</v>
      </c>
      <c r="AF295" s="201">
        <f>SUMIFS([1]!Data_Loan[Value],[1]!Data_Loan[Index Loan],TDP!$B295,[1]!Data_Loan[TenCongTyID],TDP!$B$1,[1]!Data_Loan[Thang.Nam],TDP!AF$254)</f>
        <v>0</v>
      </c>
      <c r="AG295" s="201">
        <f>SUMIFS([1]!Data_Loan[Value],[1]!Data_Loan[Index Loan],TDP!$B295,[1]!Data_Loan[TenCongTyID],TDP!$B$1,[1]!Data_Loan[Thang.Nam],TDP!AG$254)</f>
        <v>0</v>
      </c>
      <c r="AH295" s="201">
        <f>SUMIFS([1]!Data_Loan[Value],[1]!Data_Loan[Index Loan],TDP!$B295,[1]!Data_Loan[TenCongTyID],TDP!$B$1,[1]!Data_Loan[Thang.Nam],TDP!AH$254)</f>
        <v>0</v>
      </c>
      <c r="AI295" s="201">
        <f>SUMIFS([1]!Data_Loan[Value],[1]!Data_Loan[Index Loan],TDP!$B295,[1]!Data_Loan[TenCongTyID],TDP!$B$1,[1]!Data_Loan[Thang.Nam],TDP!AI$254)</f>
        <v>0</v>
      </c>
      <c r="AJ295" s="201">
        <f>SUMIFS([1]!Data_Loan[Value],[1]!Data_Loan[Index Loan],TDP!$B295,[1]!Data_Loan[TenCongTyID],TDP!$B$1,[1]!Data_Loan[Thang.Nam],TDP!AJ$254)</f>
        <v>0</v>
      </c>
      <c r="AK295" s="201">
        <f>SUMIFS([1]!Data_Loan[Value],[1]!Data_Loan[Index Loan],TDP!$B295,[1]!Data_Loan[TenCongTyID],TDP!$B$1,[1]!Data_Loan[Thang.Nam],TDP!AK$254)</f>
        <v>0</v>
      </c>
      <c r="AL295" s="201">
        <f>SUMIFS([1]!Data_Loan[Value],[1]!Data_Loan[Index Loan],TDP!$B295,[1]!Data_Loan[TenCongTyID],TDP!$B$1,[1]!Data_Loan[Thang.Nam],TDP!AL$254)</f>
        <v>0</v>
      </c>
    </row>
    <row r="296" spans="1:38" ht="15" customHeight="1">
      <c r="A296" s="200" t="str">
        <f t="shared" si="73"/>
        <v>Standard Chartered</v>
      </c>
      <c r="B296" s="329">
        <v>42</v>
      </c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>
        <v>0</v>
      </c>
      <c r="AA296" s="201">
        <f>SUMIFS([1]!Data_Loan[Value],[1]!Data_Loan[Index Loan],TDP!$B296,[1]!Data_Loan[TenCongTyID],TDP!$B$1,[1]!Data_Loan[Thang.Nam],TDP!AA$254)</f>
        <v>0</v>
      </c>
      <c r="AB296" s="201">
        <f>SUMIFS([1]!Data_Loan[Value],[1]!Data_Loan[Index Loan],TDP!$B296,[1]!Data_Loan[TenCongTyID],TDP!$B$1,[1]!Data_Loan[Thang.Nam],TDP!AB$254)</f>
        <v>0</v>
      </c>
      <c r="AC296" s="201">
        <f>SUMIFS([1]!Data_Loan[Value],[1]!Data_Loan[Index Loan],TDP!$B296,[1]!Data_Loan[TenCongTyID],TDP!$B$1,[1]!Data_Loan[Thang.Nam],TDP!AC$254)</f>
        <v>0</v>
      </c>
      <c r="AD296" s="201">
        <f>SUMIFS([1]!Data_Loan[Value],[1]!Data_Loan[Index Loan],TDP!$B296,[1]!Data_Loan[TenCongTyID],TDP!$B$1,[1]!Data_Loan[Thang.Nam],TDP!AD$254)</f>
        <v>0</v>
      </c>
      <c r="AE296" s="201">
        <f>SUMIFS([1]!Data_Loan[Value],[1]!Data_Loan[Index Loan],TDP!$B296,[1]!Data_Loan[TenCongTyID],TDP!$B$1,[1]!Data_Loan[Thang.Nam],TDP!AE$254)</f>
        <v>0</v>
      </c>
      <c r="AF296" s="201">
        <f>SUMIFS([1]!Data_Loan[Value],[1]!Data_Loan[Index Loan],TDP!$B296,[1]!Data_Loan[TenCongTyID],TDP!$B$1,[1]!Data_Loan[Thang.Nam],TDP!AF$254)</f>
        <v>0</v>
      </c>
      <c r="AG296" s="201">
        <f>SUMIFS([1]!Data_Loan[Value],[1]!Data_Loan[Index Loan],TDP!$B296,[1]!Data_Loan[TenCongTyID],TDP!$B$1,[1]!Data_Loan[Thang.Nam],TDP!AG$254)</f>
        <v>0</v>
      </c>
      <c r="AH296" s="201">
        <f>SUMIFS([1]!Data_Loan[Value],[1]!Data_Loan[Index Loan],TDP!$B296,[1]!Data_Loan[TenCongTyID],TDP!$B$1,[1]!Data_Loan[Thang.Nam],TDP!AH$254)</f>
        <v>0</v>
      </c>
      <c r="AI296" s="201">
        <f>SUMIFS([1]!Data_Loan[Value],[1]!Data_Loan[Index Loan],TDP!$B296,[1]!Data_Loan[TenCongTyID],TDP!$B$1,[1]!Data_Loan[Thang.Nam],TDP!AI$254)</f>
        <v>0</v>
      </c>
      <c r="AJ296" s="201">
        <f>SUMIFS([1]!Data_Loan[Value],[1]!Data_Loan[Index Loan],TDP!$B296,[1]!Data_Loan[TenCongTyID],TDP!$B$1,[1]!Data_Loan[Thang.Nam],TDP!AJ$254)</f>
        <v>0</v>
      </c>
      <c r="AK296" s="201">
        <f>SUMIFS([1]!Data_Loan[Value],[1]!Data_Loan[Index Loan],TDP!$B296,[1]!Data_Loan[TenCongTyID],TDP!$B$1,[1]!Data_Loan[Thang.Nam],TDP!AK$254)</f>
        <v>0</v>
      </c>
      <c r="AL296" s="201">
        <f>SUMIFS([1]!Data_Loan[Value],[1]!Data_Loan[Index Loan],TDP!$B296,[1]!Data_Loan[TenCongTyID],TDP!$B$1,[1]!Data_Loan[Thang.Nam],TDP!AL$254)</f>
        <v>0</v>
      </c>
    </row>
    <row r="297" spans="1:38" ht="15" customHeight="1">
      <c r="A297" s="200" t="str">
        <f t="shared" si="73"/>
        <v>VILC</v>
      </c>
      <c r="B297" s="329">
        <v>43</v>
      </c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>
        <v>0</v>
      </c>
      <c r="AA297" s="201">
        <f>SUMIFS([1]!Data_Loan[Value],[1]!Data_Loan[Index Loan],TDP!$B297,[1]!Data_Loan[TenCongTyID],TDP!$B$1,[1]!Data_Loan[Thang.Nam],TDP!AA$254)</f>
        <v>0</v>
      </c>
      <c r="AB297" s="201">
        <f>SUMIFS([1]!Data_Loan[Value],[1]!Data_Loan[Index Loan],TDP!$B297,[1]!Data_Loan[TenCongTyID],TDP!$B$1,[1]!Data_Loan[Thang.Nam],TDP!AB$254)</f>
        <v>0</v>
      </c>
      <c r="AC297" s="201">
        <f>SUMIFS([1]!Data_Loan[Value],[1]!Data_Loan[Index Loan],TDP!$B297,[1]!Data_Loan[TenCongTyID],TDP!$B$1,[1]!Data_Loan[Thang.Nam],TDP!AC$254)</f>
        <v>0</v>
      </c>
      <c r="AD297" s="201">
        <f>SUMIFS([1]!Data_Loan[Value],[1]!Data_Loan[Index Loan],TDP!$B297,[1]!Data_Loan[TenCongTyID],TDP!$B$1,[1]!Data_Loan[Thang.Nam],TDP!AD$254)</f>
        <v>0</v>
      </c>
      <c r="AE297" s="201">
        <f>SUMIFS([1]!Data_Loan[Value],[1]!Data_Loan[Index Loan],TDP!$B297,[1]!Data_Loan[TenCongTyID],TDP!$B$1,[1]!Data_Loan[Thang.Nam],TDP!AE$254)</f>
        <v>0</v>
      </c>
      <c r="AF297" s="201">
        <f>SUMIFS([1]!Data_Loan[Value],[1]!Data_Loan[Index Loan],TDP!$B297,[1]!Data_Loan[TenCongTyID],TDP!$B$1,[1]!Data_Loan[Thang.Nam],TDP!AF$254)</f>
        <v>0</v>
      </c>
      <c r="AG297" s="201">
        <f>SUMIFS([1]!Data_Loan[Value],[1]!Data_Loan[Index Loan],TDP!$B297,[1]!Data_Loan[TenCongTyID],TDP!$B$1,[1]!Data_Loan[Thang.Nam],TDP!AG$254)</f>
        <v>0</v>
      </c>
      <c r="AH297" s="201">
        <f>SUMIFS([1]!Data_Loan[Value],[1]!Data_Loan[Index Loan],TDP!$B297,[1]!Data_Loan[TenCongTyID],TDP!$B$1,[1]!Data_Loan[Thang.Nam],TDP!AH$254)</f>
        <v>0</v>
      </c>
      <c r="AI297" s="201">
        <f>SUMIFS([1]!Data_Loan[Value],[1]!Data_Loan[Index Loan],TDP!$B297,[1]!Data_Loan[TenCongTyID],TDP!$B$1,[1]!Data_Loan[Thang.Nam],TDP!AI$254)</f>
        <v>0</v>
      </c>
      <c r="AJ297" s="201">
        <f>SUMIFS([1]!Data_Loan[Value],[1]!Data_Loan[Index Loan],TDP!$B297,[1]!Data_Loan[TenCongTyID],TDP!$B$1,[1]!Data_Loan[Thang.Nam],TDP!AJ$254)</f>
        <v>0</v>
      </c>
      <c r="AK297" s="201">
        <f>SUMIFS([1]!Data_Loan[Value],[1]!Data_Loan[Index Loan],TDP!$B297,[1]!Data_Loan[TenCongTyID],TDP!$B$1,[1]!Data_Loan[Thang.Nam],TDP!AK$254)</f>
        <v>0</v>
      </c>
      <c r="AL297" s="201">
        <f>SUMIFS([1]!Data_Loan[Value],[1]!Data_Loan[Index Loan],TDP!$B297,[1]!Data_Loan[TenCongTyID],TDP!$B$1,[1]!Data_Loan[Thang.Nam],TDP!AL$254)</f>
        <v>0</v>
      </c>
    </row>
    <row r="298" spans="1:38" ht="15" customHeight="1">
      <c r="A298" s="200" t="str">
        <f t="shared" si="73"/>
        <v>IVB</v>
      </c>
      <c r="B298" s="329">
        <v>44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>
        <v>0</v>
      </c>
      <c r="AA298" s="201">
        <f>SUMIFS([1]!Data_Loan[Value],[1]!Data_Loan[Index Loan],TDP!$B298,[1]!Data_Loan[TenCongTyID],TDP!$B$1,[1]!Data_Loan[Thang.Nam],TDP!AA$254)</f>
        <v>0</v>
      </c>
      <c r="AB298" s="201">
        <f>SUMIFS([1]!Data_Loan[Value],[1]!Data_Loan[Index Loan],TDP!$B298,[1]!Data_Loan[TenCongTyID],TDP!$B$1,[1]!Data_Loan[Thang.Nam],TDP!AB$254)</f>
        <v>0</v>
      </c>
      <c r="AC298" s="201">
        <f>SUMIFS([1]!Data_Loan[Value],[1]!Data_Loan[Index Loan],TDP!$B298,[1]!Data_Loan[TenCongTyID],TDP!$B$1,[1]!Data_Loan[Thang.Nam],TDP!AC$254)</f>
        <v>0</v>
      </c>
      <c r="AD298" s="201">
        <f>SUMIFS([1]!Data_Loan[Value],[1]!Data_Loan[Index Loan],TDP!$B298,[1]!Data_Loan[TenCongTyID],TDP!$B$1,[1]!Data_Loan[Thang.Nam],TDP!AD$254)</f>
        <v>0</v>
      </c>
      <c r="AE298" s="201">
        <f>SUMIFS([1]!Data_Loan[Value],[1]!Data_Loan[Index Loan],TDP!$B298,[1]!Data_Loan[TenCongTyID],TDP!$B$1,[1]!Data_Loan[Thang.Nam],TDP!AE$254)</f>
        <v>0</v>
      </c>
      <c r="AF298" s="201">
        <f>SUMIFS([1]!Data_Loan[Value],[1]!Data_Loan[Index Loan],TDP!$B298,[1]!Data_Loan[TenCongTyID],TDP!$B$1,[1]!Data_Loan[Thang.Nam],TDP!AF$254)</f>
        <v>0</v>
      </c>
      <c r="AG298" s="201">
        <f>SUMIFS([1]!Data_Loan[Value],[1]!Data_Loan[Index Loan],TDP!$B298,[1]!Data_Loan[TenCongTyID],TDP!$B$1,[1]!Data_Loan[Thang.Nam],TDP!AG$254)</f>
        <v>0</v>
      </c>
      <c r="AH298" s="201">
        <f>SUMIFS([1]!Data_Loan[Value],[1]!Data_Loan[Index Loan],TDP!$B298,[1]!Data_Loan[TenCongTyID],TDP!$B$1,[1]!Data_Loan[Thang.Nam],TDP!AH$254)</f>
        <v>0</v>
      </c>
      <c r="AI298" s="201">
        <f>SUMIFS([1]!Data_Loan[Value],[1]!Data_Loan[Index Loan],TDP!$B298,[1]!Data_Loan[TenCongTyID],TDP!$B$1,[1]!Data_Loan[Thang.Nam],TDP!AI$254)</f>
        <v>0</v>
      </c>
      <c r="AJ298" s="201">
        <f>SUMIFS([1]!Data_Loan[Value],[1]!Data_Loan[Index Loan],TDP!$B298,[1]!Data_Loan[TenCongTyID],TDP!$B$1,[1]!Data_Loan[Thang.Nam],TDP!AJ$254)</f>
        <v>0</v>
      </c>
      <c r="AK298" s="201">
        <f>SUMIFS([1]!Data_Loan[Value],[1]!Data_Loan[Index Loan],TDP!$B298,[1]!Data_Loan[TenCongTyID],TDP!$B$1,[1]!Data_Loan[Thang.Nam],TDP!AK$254)</f>
        <v>0</v>
      </c>
      <c r="AL298" s="201">
        <f>SUMIFS([1]!Data_Loan[Value],[1]!Data_Loan[Index Loan],TDP!$B298,[1]!Data_Loan[TenCongTyID],TDP!$B$1,[1]!Data_Loan[Thang.Nam],TDP!AL$254)</f>
        <v>0</v>
      </c>
    </row>
    <row r="299" spans="1:38" ht="15" customHeight="1">
      <c r="A299" s="200">
        <f t="shared" si="73"/>
        <v>0</v>
      </c>
      <c r="B299" s="329">
        <v>45</v>
      </c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>
        <v>0</v>
      </c>
      <c r="AA299" s="201">
        <f>SUMIFS([1]!Data_Loan[Value],[1]!Data_Loan[Index Loan],TDP!$B299,[1]!Data_Loan[TenCongTyID],TDP!$B$1,[1]!Data_Loan[Thang.Nam],TDP!AA$254)</f>
        <v>0</v>
      </c>
      <c r="AB299" s="201">
        <f>SUMIFS([1]!Data_Loan[Value],[1]!Data_Loan[Index Loan],TDP!$B299,[1]!Data_Loan[TenCongTyID],TDP!$B$1,[1]!Data_Loan[Thang.Nam],TDP!AB$254)</f>
        <v>0</v>
      </c>
      <c r="AC299" s="201">
        <f>SUMIFS([1]!Data_Loan[Value],[1]!Data_Loan[Index Loan],TDP!$B299,[1]!Data_Loan[TenCongTyID],TDP!$B$1,[1]!Data_Loan[Thang.Nam],TDP!AC$254)</f>
        <v>0</v>
      </c>
      <c r="AD299" s="201">
        <f>SUMIFS([1]!Data_Loan[Value],[1]!Data_Loan[Index Loan],TDP!$B299,[1]!Data_Loan[TenCongTyID],TDP!$B$1,[1]!Data_Loan[Thang.Nam],TDP!AD$254)</f>
        <v>0</v>
      </c>
      <c r="AE299" s="201">
        <f>SUMIFS([1]!Data_Loan[Value],[1]!Data_Loan[Index Loan],TDP!$B299,[1]!Data_Loan[TenCongTyID],TDP!$B$1,[1]!Data_Loan[Thang.Nam],TDP!AE$254)</f>
        <v>0</v>
      </c>
      <c r="AF299" s="201">
        <f>SUMIFS([1]!Data_Loan[Value],[1]!Data_Loan[Index Loan],TDP!$B299,[1]!Data_Loan[TenCongTyID],TDP!$B$1,[1]!Data_Loan[Thang.Nam],TDP!AF$254)</f>
        <v>0</v>
      </c>
      <c r="AG299" s="201">
        <f>SUMIFS([1]!Data_Loan[Value],[1]!Data_Loan[Index Loan],TDP!$B299,[1]!Data_Loan[TenCongTyID],TDP!$B$1,[1]!Data_Loan[Thang.Nam],TDP!AG$254)</f>
        <v>0</v>
      </c>
      <c r="AH299" s="201">
        <f>SUMIFS([1]!Data_Loan[Value],[1]!Data_Loan[Index Loan],TDP!$B299,[1]!Data_Loan[TenCongTyID],TDP!$B$1,[1]!Data_Loan[Thang.Nam],TDP!AH$254)</f>
        <v>0</v>
      </c>
      <c r="AI299" s="201">
        <f>SUMIFS([1]!Data_Loan[Value],[1]!Data_Loan[Index Loan],TDP!$B299,[1]!Data_Loan[TenCongTyID],TDP!$B$1,[1]!Data_Loan[Thang.Nam],TDP!AI$254)</f>
        <v>0</v>
      </c>
      <c r="AJ299" s="201">
        <f>SUMIFS([1]!Data_Loan[Value],[1]!Data_Loan[Index Loan],TDP!$B299,[1]!Data_Loan[TenCongTyID],TDP!$B$1,[1]!Data_Loan[Thang.Nam],TDP!AJ$254)</f>
        <v>0</v>
      </c>
      <c r="AK299" s="201">
        <f>SUMIFS([1]!Data_Loan[Value],[1]!Data_Loan[Index Loan],TDP!$B299,[1]!Data_Loan[TenCongTyID],TDP!$B$1,[1]!Data_Loan[Thang.Nam],TDP!AK$254)</f>
        <v>0</v>
      </c>
      <c r="AL299" s="201">
        <f>SUMIFS([1]!Data_Loan[Value],[1]!Data_Loan[Index Loan],TDP!$B299,[1]!Data_Loan[TenCongTyID],TDP!$B$1,[1]!Data_Loan[Thang.Nam],TDP!AL$254)</f>
        <v>0</v>
      </c>
    </row>
    <row r="300" spans="1:38" ht="15" customHeight="1" thickBot="1">
      <c r="A300" s="203" t="s">
        <v>371</v>
      </c>
      <c r="B300" s="332">
        <v>46</v>
      </c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>
        <v>0</v>
      </c>
      <c r="AA300" s="205">
        <f>SUMIFS([1]!Data_Loan[Value],[1]!Data_Loan[Index Loan],TDP!$B300,[1]!Data_Loan[TenCongTyID],TDP!$B$1,[1]!Data_Loan[Thang.Nam],TDP!AA$254)</f>
        <v>0</v>
      </c>
      <c r="AB300" s="205">
        <f>SUMIFS([1]!Data_Loan[Value],[1]!Data_Loan[Index Loan],TDP!$B300,[1]!Data_Loan[TenCongTyID],TDP!$B$1,[1]!Data_Loan[Thang.Nam],TDP!AB$254)</f>
        <v>0</v>
      </c>
      <c r="AC300" s="205">
        <f>SUMIFS([1]!Data_Loan[Value],[1]!Data_Loan[Index Loan],TDP!$B300,[1]!Data_Loan[TenCongTyID],TDP!$B$1,[1]!Data_Loan[Thang.Nam],TDP!AC$254)</f>
        <v>0</v>
      </c>
      <c r="AD300" s="205">
        <f>SUMIFS([1]!Data_Loan[Value],[1]!Data_Loan[Index Loan],TDP!$B300,[1]!Data_Loan[TenCongTyID],TDP!$B$1,[1]!Data_Loan[Thang.Nam],TDP!AD$254)</f>
        <v>0</v>
      </c>
      <c r="AE300" s="205">
        <f>SUMIFS([1]!Data_Loan[Value],[1]!Data_Loan[Index Loan],TDP!$B300,[1]!Data_Loan[TenCongTyID],TDP!$B$1,[1]!Data_Loan[Thang.Nam],TDP!AE$254)</f>
        <v>0</v>
      </c>
      <c r="AF300" s="205">
        <f>SUMIFS([1]!Data_Loan[Value],[1]!Data_Loan[Index Loan],TDP!$B300,[1]!Data_Loan[TenCongTyID],TDP!$B$1,[1]!Data_Loan[Thang.Nam],TDP!AF$254)</f>
        <v>0</v>
      </c>
      <c r="AG300" s="205">
        <f>SUMIFS([1]!Data_Loan[Value],[1]!Data_Loan[Index Loan],TDP!$B300,[1]!Data_Loan[TenCongTyID],TDP!$B$1,[1]!Data_Loan[Thang.Nam],TDP!AG$254)</f>
        <v>0</v>
      </c>
      <c r="AH300" s="205">
        <f>SUMIFS([1]!Data_Loan[Value],[1]!Data_Loan[Index Loan],TDP!$B300,[1]!Data_Loan[TenCongTyID],TDP!$B$1,[1]!Data_Loan[Thang.Nam],TDP!AH$254)</f>
        <v>0</v>
      </c>
      <c r="AI300" s="205">
        <f>SUMIFS([1]!Data_Loan[Value],[1]!Data_Loan[Index Loan],TDP!$B300,[1]!Data_Loan[TenCongTyID],TDP!$B$1,[1]!Data_Loan[Thang.Nam],TDP!AI$254)</f>
        <v>0</v>
      </c>
      <c r="AJ300" s="205">
        <f>SUMIFS([1]!Data_Loan[Value],[1]!Data_Loan[Index Loan],TDP!$B300,[1]!Data_Loan[TenCongTyID],TDP!$B$1,[1]!Data_Loan[Thang.Nam],TDP!AJ$254)</f>
        <v>0</v>
      </c>
      <c r="AK300" s="205">
        <f>SUMIFS([1]!Data_Loan[Value],[1]!Data_Loan[Index Loan],TDP!$B300,[1]!Data_Loan[TenCongTyID],TDP!$B$1,[1]!Data_Loan[Thang.Nam],TDP!AK$254)</f>
        <v>0</v>
      </c>
      <c r="AL300" s="205">
        <f>SUMIFS([1]!Data_Loan[Value],[1]!Data_Loan[Index Loan],TDP!$B300,[1]!Data_Loan[TenCongTyID],TDP!$B$1,[1]!Data_Loan[Thang.Nam],TDP!AL$254)</f>
        <v>0</v>
      </c>
    </row>
    <row r="301" spans="1:38" ht="15" customHeight="1" thickTop="1">
      <c r="A301" s="200" t="str">
        <f t="shared" ref="A301:A306" si="74">A283</f>
        <v>ACB</v>
      </c>
      <c r="B301" s="329">
        <v>47</v>
      </c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>
        <v>0</v>
      </c>
      <c r="AA301" s="201">
        <f>SUMIFS([1]!Data_Loan[Value],[1]!Data_Loan[Index Loan],TDP!$B301,[1]!Data_Loan[TenCongTyID],TDP!$B$1,[1]!Data_Loan[Thang.Nam],TDP!AA$254)</f>
        <v>0</v>
      </c>
      <c r="AB301" s="201">
        <f>SUMIFS([1]!Data_Loan[Value],[1]!Data_Loan[Index Loan],TDP!$B301,[1]!Data_Loan[TenCongTyID],TDP!$B$1,[1]!Data_Loan[Thang.Nam],TDP!AB$254)</f>
        <v>0</v>
      </c>
      <c r="AC301" s="201">
        <f>SUMIFS([1]!Data_Loan[Value],[1]!Data_Loan[Index Loan],TDP!$B301,[1]!Data_Loan[TenCongTyID],TDP!$B$1,[1]!Data_Loan[Thang.Nam],TDP!AC$254)</f>
        <v>0</v>
      </c>
      <c r="AD301" s="201">
        <f>SUMIFS([1]!Data_Loan[Value],[1]!Data_Loan[Index Loan],TDP!$B301,[1]!Data_Loan[TenCongTyID],TDP!$B$1,[1]!Data_Loan[Thang.Nam],TDP!AD$254)</f>
        <v>0</v>
      </c>
      <c r="AE301" s="201">
        <f>SUMIFS([1]!Data_Loan[Value],[1]!Data_Loan[Index Loan],TDP!$B301,[1]!Data_Loan[TenCongTyID],TDP!$B$1,[1]!Data_Loan[Thang.Nam],TDP!AE$254)</f>
        <v>0</v>
      </c>
      <c r="AF301" s="201">
        <f>SUMIFS([1]!Data_Loan[Value],[1]!Data_Loan[Index Loan],TDP!$B301,[1]!Data_Loan[TenCongTyID],TDP!$B$1,[1]!Data_Loan[Thang.Nam],TDP!AF$254)</f>
        <v>0</v>
      </c>
      <c r="AG301" s="201">
        <f>SUMIFS([1]!Data_Loan[Value],[1]!Data_Loan[Index Loan],TDP!$B301,[1]!Data_Loan[TenCongTyID],TDP!$B$1,[1]!Data_Loan[Thang.Nam],TDP!AG$254)</f>
        <v>0</v>
      </c>
      <c r="AH301" s="201">
        <f>SUMIFS([1]!Data_Loan[Value],[1]!Data_Loan[Index Loan],TDP!$B301,[1]!Data_Loan[TenCongTyID],TDP!$B$1,[1]!Data_Loan[Thang.Nam],TDP!AH$254)</f>
        <v>0</v>
      </c>
      <c r="AI301" s="201">
        <f>SUMIFS([1]!Data_Loan[Value],[1]!Data_Loan[Index Loan],TDP!$B301,[1]!Data_Loan[TenCongTyID],TDP!$B$1,[1]!Data_Loan[Thang.Nam],TDP!AI$254)</f>
        <v>0</v>
      </c>
      <c r="AJ301" s="201">
        <f>SUMIFS([1]!Data_Loan[Value],[1]!Data_Loan[Index Loan],TDP!$B301,[1]!Data_Loan[TenCongTyID],TDP!$B$1,[1]!Data_Loan[Thang.Nam],TDP!AJ$254)</f>
        <v>0</v>
      </c>
      <c r="AK301" s="201">
        <f>SUMIFS([1]!Data_Loan[Value],[1]!Data_Loan[Index Loan],TDP!$B301,[1]!Data_Loan[TenCongTyID],TDP!$B$1,[1]!Data_Loan[Thang.Nam],TDP!AK$254)</f>
        <v>0</v>
      </c>
      <c r="AL301" s="201">
        <f>SUMIFS([1]!Data_Loan[Value],[1]!Data_Loan[Index Loan],TDP!$B301,[1]!Data_Loan[TenCongTyID],TDP!$B$1,[1]!Data_Loan[Thang.Nam],TDP!AL$254)</f>
        <v>0</v>
      </c>
    </row>
    <row r="302" spans="1:38" ht="15" customHeight="1">
      <c r="A302" s="200" t="str">
        <f t="shared" si="74"/>
        <v>VietinBank</v>
      </c>
      <c r="B302" s="329">
        <v>48</v>
      </c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>
        <v>0</v>
      </c>
      <c r="AA302" s="201">
        <f>SUMIFS([1]!Data_Loan[Value],[1]!Data_Loan[Index Loan],TDP!$B302,[1]!Data_Loan[TenCongTyID],TDP!$B$1,[1]!Data_Loan[Thang.Nam],TDP!AA$254)</f>
        <v>0</v>
      </c>
      <c r="AB302" s="201">
        <f>SUMIFS([1]!Data_Loan[Value],[1]!Data_Loan[Index Loan],TDP!$B302,[1]!Data_Loan[TenCongTyID],TDP!$B$1,[1]!Data_Loan[Thang.Nam],TDP!AB$254)</f>
        <v>0</v>
      </c>
      <c r="AC302" s="201">
        <f>SUMIFS([1]!Data_Loan[Value],[1]!Data_Loan[Index Loan],TDP!$B302,[1]!Data_Loan[TenCongTyID],TDP!$B$1,[1]!Data_Loan[Thang.Nam],TDP!AC$254)</f>
        <v>0</v>
      </c>
      <c r="AD302" s="201">
        <f>SUMIFS([1]!Data_Loan[Value],[1]!Data_Loan[Index Loan],TDP!$B302,[1]!Data_Loan[TenCongTyID],TDP!$B$1,[1]!Data_Loan[Thang.Nam],TDP!AD$254)</f>
        <v>0</v>
      </c>
      <c r="AE302" s="201">
        <f>SUMIFS([1]!Data_Loan[Value],[1]!Data_Loan[Index Loan],TDP!$B302,[1]!Data_Loan[TenCongTyID],TDP!$B$1,[1]!Data_Loan[Thang.Nam],TDP!AE$254)</f>
        <v>0</v>
      </c>
      <c r="AF302" s="201">
        <f>SUMIFS([1]!Data_Loan[Value],[1]!Data_Loan[Index Loan],TDP!$B302,[1]!Data_Loan[TenCongTyID],TDP!$B$1,[1]!Data_Loan[Thang.Nam],TDP!AF$254)</f>
        <v>0</v>
      </c>
      <c r="AG302" s="201">
        <f>SUMIFS([1]!Data_Loan[Value],[1]!Data_Loan[Index Loan],TDP!$B302,[1]!Data_Loan[TenCongTyID],TDP!$B$1,[1]!Data_Loan[Thang.Nam],TDP!AG$254)</f>
        <v>0</v>
      </c>
      <c r="AH302" s="201">
        <f>SUMIFS([1]!Data_Loan[Value],[1]!Data_Loan[Index Loan],TDP!$B302,[1]!Data_Loan[TenCongTyID],TDP!$B$1,[1]!Data_Loan[Thang.Nam],TDP!AH$254)</f>
        <v>0</v>
      </c>
      <c r="AI302" s="201">
        <f>SUMIFS([1]!Data_Loan[Value],[1]!Data_Loan[Index Loan],TDP!$B302,[1]!Data_Loan[TenCongTyID],TDP!$B$1,[1]!Data_Loan[Thang.Nam],TDP!AI$254)</f>
        <v>0</v>
      </c>
      <c r="AJ302" s="201">
        <f>SUMIFS([1]!Data_Loan[Value],[1]!Data_Loan[Index Loan],TDP!$B302,[1]!Data_Loan[TenCongTyID],TDP!$B$1,[1]!Data_Loan[Thang.Nam],TDP!AJ$254)</f>
        <v>0</v>
      </c>
      <c r="AK302" s="201">
        <f>SUMIFS([1]!Data_Loan[Value],[1]!Data_Loan[Index Loan],TDP!$B302,[1]!Data_Loan[TenCongTyID],TDP!$B$1,[1]!Data_Loan[Thang.Nam],TDP!AK$254)</f>
        <v>0</v>
      </c>
      <c r="AL302" s="201">
        <f>SUMIFS([1]!Data_Loan[Value],[1]!Data_Loan[Index Loan],TDP!$B302,[1]!Data_Loan[TenCongTyID],TDP!$B$1,[1]!Data_Loan[Thang.Nam],TDP!AL$254)</f>
        <v>0</v>
      </c>
    </row>
    <row r="303" spans="1:38" ht="15" customHeight="1">
      <c r="A303" s="200" t="str">
        <f t="shared" si="74"/>
        <v>Vietcombank</v>
      </c>
      <c r="B303" s="329">
        <v>49</v>
      </c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>
        <v>0</v>
      </c>
      <c r="AA303" s="201">
        <f>SUMIFS([1]!Data_Loan[Value],[1]!Data_Loan[Index Loan],TDP!$B303,[1]!Data_Loan[TenCongTyID],TDP!$B$1,[1]!Data_Loan[Thang.Nam],TDP!AA$254)</f>
        <v>0</v>
      </c>
      <c r="AB303" s="201">
        <f>SUMIFS([1]!Data_Loan[Value],[1]!Data_Loan[Index Loan],TDP!$B303,[1]!Data_Loan[TenCongTyID],TDP!$B$1,[1]!Data_Loan[Thang.Nam],TDP!AB$254)</f>
        <v>0</v>
      </c>
      <c r="AC303" s="201">
        <f>SUMIFS([1]!Data_Loan[Value],[1]!Data_Loan[Index Loan],TDP!$B303,[1]!Data_Loan[TenCongTyID],TDP!$B$1,[1]!Data_Loan[Thang.Nam],TDP!AC$254)</f>
        <v>0</v>
      </c>
      <c r="AD303" s="201">
        <f>SUMIFS([1]!Data_Loan[Value],[1]!Data_Loan[Index Loan],TDP!$B303,[1]!Data_Loan[TenCongTyID],TDP!$B$1,[1]!Data_Loan[Thang.Nam],TDP!AD$254)</f>
        <v>0</v>
      </c>
      <c r="AE303" s="201">
        <f>SUMIFS([1]!Data_Loan[Value],[1]!Data_Loan[Index Loan],TDP!$B303,[1]!Data_Loan[TenCongTyID],TDP!$B$1,[1]!Data_Loan[Thang.Nam],TDP!AE$254)</f>
        <v>0</v>
      </c>
      <c r="AF303" s="201">
        <f>SUMIFS([1]!Data_Loan[Value],[1]!Data_Loan[Index Loan],TDP!$B303,[1]!Data_Loan[TenCongTyID],TDP!$B$1,[1]!Data_Loan[Thang.Nam],TDP!AF$254)</f>
        <v>0</v>
      </c>
      <c r="AG303" s="201">
        <f>SUMIFS([1]!Data_Loan[Value],[1]!Data_Loan[Index Loan],TDP!$B303,[1]!Data_Loan[TenCongTyID],TDP!$B$1,[1]!Data_Loan[Thang.Nam],TDP!AG$254)</f>
        <v>0</v>
      </c>
      <c r="AH303" s="201">
        <f>SUMIFS([1]!Data_Loan[Value],[1]!Data_Loan[Index Loan],TDP!$B303,[1]!Data_Loan[TenCongTyID],TDP!$B$1,[1]!Data_Loan[Thang.Nam],TDP!AH$254)</f>
        <v>0</v>
      </c>
      <c r="AI303" s="201">
        <f>SUMIFS([1]!Data_Loan[Value],[1]!Data_Loan[Index Loan],TDP!$B303,[1]!Data_Loan[TenCongTyID],TDP!$B$1,[1]!Data_Loan[Thang.Nam],TDP!AI$254)</f>
        <v>0</v>
      </c>
      <c r="AJ303" s="201">
        <f>SUMIFS([1]!Data_Loan[Value],[1]!Data_Loan[Index Loan],TDP!$B303,[1]!Data_Loan[TenCongTyID],TDP!$B$1,[1]!Data_Loan[Thang.Nam],TDP!AJ$254)</f>
        <v>0</v>
      </c>
      <c r="AK303" s="201">
        <f>SUMIFS([1]!Data_Loan[Value],[1]!Data_Loan[Index Loan],TDP!$B303,[1]!Data_Loan[TenCongTyID],TDP!$B$1,[1]!Data_Loan[Thang.Nam],TDP!AK$254)</f>
        <v>0</v>
      </c>
      <c r="AL303" s="201">
        <f>SUMIFS([1]!Data_Loan[Value],[1]!Data_Loan[Index Loan],TDP!$B303,[1]!Data_Loan[TenCongTyID],TDP!$B$1,[1]!Data_Loan[Thang.Nam],TDP!AL$254)</f>
        <v>0</v>
      </c>
    </row>
    <row r="304" spans="1:38" ht="15" customHeight="1">
      <c r="A304" s="200" t="str">
        <f t="shared" si="74"/>
        <v>BIDV</v>
      </c>
      <c r="B304" s="329">
        <v>50</v>
      </c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>
        <v>0</v>
      </c>
      <c r="AA304" s="201">
        <f>SUMIFS([1]!Data_Loan[Value],[1]!Data_Loan[Index Loan],TDP!$B304,[1]!Data_Loan[TenCongTyID],TDP!$B$1,[1]!Data_Loan[Thang.Nam],TDP!AA$254)</f>
        <v>0</v>
      </c>
      <c r="AB304" s="201">
        <f>SUMIFS([1]!Data_Loan[Value],[1]!Data_Loan[Index Loan],TDP!$B304,[1]!Data_Loan[TenCongTyID],TDP!$B$1,[1]!Data_Loan[Thang.Nam],TDP!AB$254)</f>
        <v>0</v>
      </c>
      <c r="AC304" s="201">
        <f>SUMIFS([1]!Data_Loan[Value],[1]!Data_Loan[Index Loan],TDP!$B304,[1]!Data_Loan[TenCongTyID],TDP!$B$1,[1]!Data_Loan[Thang.Nam],TDP!AC$254)</f>
        <v>0</v>
      </c>
      <c r="AD304" s="201">
        <f>SUMIFS([1]!Data_Loan[Value],[1]!Data_Loan[Index Loan],TDP!$B304,[1]!Data_Loan[TenCongTyID],TDP!$B$1,[1]!Data_Loan[Thang.Nam],TDP!AD$254)</f>
        <v>0</v>
      </c>
      <c r="AE304" s="201">
        <f>SUMIFS([1]!Data_Loan[Value],[1]!Data_Loan[Index Loan],TDP!$B304,[1]!Data_Loan[TenCongTyID],TDP!$B$1,[1]!Data_Loan[Thang.Nam],TDP!AE$254)</f>
        <v>0</v>
      </c>
      <c r="AF304" s="201">
        <f>SUMIFS([1]!Data_Loan[Value],[1]!Data_Loan[Index Loan],TDP!$B304,[1]!Data_Loan[TenCongTyID],TDP!$B$1,[1]!Data_Loan[Thang.Nam],TDP!AF$254)</f>
        <v>0</v>
      </c>
      <c r="AG304" s="201">
        <f>SUMIFS([1]!Data_Loan[Value],[1]!Data_Loan[Index Loan],TDP!$B304,[1]!Data_Loan[TenCongTyID],TDP!$B$1,[1]!Data_Loan[Thang.Nam],TDP!AG$254)</f>
        <v>0</v>
      </c>
      <c r="AH304" s="201">
        <f>SUMIFS([1]!Data_Loan[Value],[1]!Data_Loan[Index Loan],TDP!$B304,[1]!Data_Loan[TenCongTyID],TDP!$B$1,[1]!Data_Loan[Thang.Nam],TDP!AH$254)</f>
        <v>0</v>
      </c>
      <c r="AI304" s="201">
        <f>SUMIFS([1]!Data_Loan[Value],[1]!Data_Loan[Index Loan],TDP!$B304,[1]!Data_Loan[TenCongTyID],TDP!$B$1,[1]!Data_Loan[Thang.Nam],TDP!AI$254)</f>
        <v>0</v>
      </c>
      <c r="AJ304" s="201">
        <f>SUMIFS([1]!Data_Loan[Value],[1]!Data_Loan[Index Loan],TDP!$B304,[1]!Data_Loan[TenCongTyID],TDP!$B$1,[1]!Data_Loan[Thang.Nam],TDP!AJ$254)</f>
        <v>0</v>
      </c>
      <c r="AK304" s="201">
        <f>SUMIFS([1]!Data_Loan[Value],[1]!Data_Loan[Index Loan],TDP!$B304,[1]!Data_Loan[TenCongTyID],TDP!$B$1,[1]!Data_Loan[Thang.Nam],TDP!AK$254)</f>
        <v>0</v>
      </c>
      <c r="AL304" s="201">
        <f>SUMIFS([1]!Data_Loan[Value],[1]!Data_Loan[Index Loan],TDP!$B304,[1]!Data_Loan[TenCongTyID],TDP!$B$1,[1]!Data_Loan[Thang.Nam],TDP!AL$254)</f>
        <v>0</v>
      </c>
    </row>
    <row r="305" spans="1:38" ht="15" customHeight="1">
      <c r="A305" s="200" t="str">
        <f t="shared" si="74"/>
        <v>Standard Chartered</v>
      </c>
      <c r="B305" s="329">
        <v>51</v>
      </c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>
        <v>0</v>
      </c>
      <c r="AA305" s="201">
        <f>SUMIFS([1]!Data_Loan[Value],[1]!Data_Loan[Index Loan],TDP!$B305,[1]!Data_Loan[TenCongTyID],TDP!$B$1,[1]!Data_Loan[Thang.Nam],TDP!AA$254)</f>
        <v>0</v>
      </c>
      <c r="AB305" s="201">
        <f>SUMIFS([1]!Data_Loan[Value],[1]!Data_Loan[Index Loan],TDP!$B305,[1]!Data_Loan[TenCongTyID],TDP!$B$1,[1]!Data_Loan[Thang.Nam],TDP!AB$254)</f>
        <v>0</v>
      </c>
      <c r="AC305" s="201">
        <f>SUMIFS([1]!Data_Loan[Value],[1]!Data_Loan[Index Loan],TDP!$B305,[1]!Data_Loan[TenCongTyID],TDP!$B$1,[1]!Data_Loan[Thang.Nam],TDP!AC$254)</f>
        <v>0</v>
      </c>
      <c r="AD305" s="201">
        <f>SUMIFS([1]!Data_Loan[Value],[1]!Data_Loan[Index Loan],TDP!$B305,[1]!Data_Loan[TenCongTyID],TDP!$B$1,[1]!Data_Loan[Thang.Nam],TDP!AD$254)</f>
        <v>0</v>
      </c>
      <c r="AE305" s="201">
        <f>SUMIFS([1]!Data_Loan[Value],[1]!Data_Loan[Index Loan],TDP!$B305,[1]!Data_Loan[TenCongTyID],TDP!$B$1,[1]!Data_Loan[Thang.Nam],TDP!AE$254)</f>
        <v>0</v>
      </c>
      <c r="AF305" s="201">
        <f>SUMIFS([1]!Data_Loan[Value],[1]!Data_Loan[Index Loan],TDP!$B305,[1]!Data_Loan[TenCongTyID],TDP!$B$1,[1]!Data_Loan[Thang.Nam],TDP!AF$254)</f>
        <v>0</v>
      </c>
      <c r="AG305" s="201">
        <f>SUMIFS([1]!Data_Loan[Value],[1]!Data_Loan[Index Loan],TDP!$B305,[1]!Data_Loan[TenCongTyID],TDP!$B$1,[1]!Data_Loan[Thang.Nam],TDP!AG$254)</f>
        <v>0</v>
      </c>
      <c r="AH305" s="201">
        <f>SUMIFS([1]!Data_Loan[Value],[1]!Data_Loan[Index Loan],TDP!$B305,[1]!Data_Loan[TenCongTyID],TDP!$B$1,[1]!Data_Loan[Thang.Nam],TDP!AH$254)</f>
        <v>0</v>
      </c>
      <c r="AI305" s="201">
        <f>SUMIFS([1]!Data_Loan[Value],[1]!Data_Loan[Index Loan],TDP!$B305,[1]!Data_Loan[TenCongTyID],TDP!$B$1,[1]!Data_Loan[Thang.Nam],TDP!AI$254)</f>
        <v>0</v>
      </c>
      <c r="AJ305" s="201">
        <f>SUMIFS([1]!Data_Loan[Value],[1]!Data_Loan[Index Loan],TDP!$B305,[1]!Data_Loan[TenCongTyID],TDP!$B$1,[1]!Data_Loan[Thang.Nam],TDP!AJ$254)</f>
        <v>0</v>
      </c>
      <c r="AK305" s="201">
        <f>SUMIFS([1]!Data_Loan[Value],[1]!Data_Loan[Index Loan],TDP!$B305,[1]!Data_Loan[TenCongTyID],TDP!$B$1,[1]!Data_Loan[Thang.Nam],TDP!AK$254)</f>
        <v>0</v>
      </c>
      <c r="AL305" s="201">
        <f>SUMIFS([1]!Data_Loan[Value],[1]!Data_Loan[Index Loan],TDP!$B305,[1]!Data_Loan[TenCongTyID],TDP!$B$1,[1]!Data_Loan[Thang.Nam],TDP!AL$254)</f>
        <v>0</v>
      </c>
    </row>
    <row r="306" spans="1:38" ht="15" customHeight="1">
      <c r="A306" s="200" t="str">
        <f t="shared" si="74"/>
        <v>VILC</v>
      </c>
      <c r="B306" s="329">
        <v>52</v>
      </c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>
        <v>0</v>
      </c>
      <c r="AA306" s="201">
        <f>SUMIFS([1]!Data_Loan[Value],[1]!Data_Loan[Index Loan],TDP!$B306,[1]!Data_Loan[TenCongTyID],TDP!$B$1,[1]!Data_Loan[Thang.Nam],TDP!AA$254)</f>
        <v>0</v>
      </c>
      <c r="AB306" s="201">
        <f>SUMIFS([1]!Data_Loan[Value],[1]!Data_Loan[Index Loan],TDP!$B306,[1]!Data_Loan[TenCongTyID],TDP!$B$1,[1]!Data_Loan[Thang.Nam],TDP!AB$254)</f>
        <v>0</v>
      </c>
      <c r="AC306" s="201">
        <f>SUMIFS([1]!Data_Loan[Value],[1]!Data_Loan[Index Loan],TDP!$B306,[1]!Data_Loan[TenCongTyID],TDP!$B$1,[1]!Data_Loan[Thang.Nam],TDP!AC$254)</f>
        <v>0</v>
      </c>
      <c r="AD306" s="201">
        <f>SUMIFS([1]!Data_Loan[Value],[1]!Data_Loan[Index Loan],TDP!$B306,[1]!Data_Loan[TenCongTyID],TDP!$B$1,[1]!Data_Loan[Thang.Nam],TDP!AD$254)</f>
        <v>0</v>
      </c>
      <c r="AE306" s="201">
        <f>SUMIFS([1]!Data_Loan[Value],[1]!Data_Loan[Index Loan],TDP!$B306,[1]!Data_Loan[TenCongTyID],TDP!$B$1,[1]!Data_Loan[Thang.Nam],TDP!AE$254)</f>
        <v>0</v>
      </c>
      <c r="AF306" s="201">
        <f>SUMIFS([1]!Data_Loan[Value],[1]!Data_Loan[Index Loan],TDP!$B306,[1]!Data_Loan[TenCongTyID],TDP!$B$1,[1]!Data_Loan[Thang.Nam],TDP!AF$254)</f>
        <v>0</v>
      </c>
      <c r="AG306" s="201">
        <f>SUMIFS([1]!Data_Loan[Value],[1]!Data_Loan[Index Loan],TDP!$B306,[1]!Data_Loan[TenCongTyID],TDP!$B$1,[1]!Data_Loan[Thang.Nam],TDP!AG$254)</f>
        <v>0</v>
      </c>
      <c r="AH306" s="201">
        <f>SUMIFS([1]!Data_Loan[Value],[1]!Data_Loan[Index Loan],TDP!$B306,[1]!Data_Loan[TenCongTyID],TDP!$B$1,[1]!Data_Loan[Thang.Nam],TDP!AH$254)</f>
        <v>0</v>
      </c>
      <c r="AI306" s="201">
        <f>SUMIFS([1]!Data_Loan[Value],[1]!Data_Loan[Index Loan],TDP!$B306,[1]!Data_Loan[TenCongTyID],TDP!$B$1,[1]!Data_Loan[Thang.Nam],TDP!AI$254)</f>
        <v>0</v>
      </c>
      <c r="AJ306" s="201">
        <f>SUMIFS([1]!Data_Loan[Value],[1]!Data_Loan[Index Loan],TDP!$B306,[1]!Data_Loan[TenCongTyID],TDP!$B$1,[1]!Data_Loan[Thang.Nam],TDP!AJ$254)</f>
        <v>0</v>
      </c>
      <c r="AK306" s="201">
        <f>SUMIFS([1]!Data_Loan[Value],[1]!Data_Loan[Index Loan],TDP!$B306,[1]!Data_Loan[TenCongTyID],TDP!$B$1,[1]!Data_Loan[Thang.Nam],TDP!AK$254)</f>
        <v>0</v>
      </c>
      <c r="AL306" s="201">
        <f>SUMIFS([1]!Data_Loan[Value],[1]!Data_Loan[Index Loan],TDP!$B306,[1]!Data_Loan[TenCongTyID],TDP!$B$1,[1]!Data_Loan[Thang.Nam],TDP!AL$254)</f>
        <v>0</v>
      </c>
    </row>
    <row r="307" spans="1:38" ht="15" customHeight="1">
      <c r="A307" s="200" t="s">
        <v>347</v>
      </c>
      <c r="B307" s="329">
        <v>53</v>
      </c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>
        <v>0</v>
      </c>
      <c r="AA307" s="201">
        <f>SUMIFS([1]!Data_Loan[Value],[1]!Data_Loan[Index Loan],TDP!$B307,[1]!Data_Loan[TenCongTyID],TDP!$B$1,[1]!Data_Loan[Thang.Nam],TDP!AA$254)</f>
        <v>0</v>
      </c>
      <c r="AB307" s="201">
        <f>SUMIFS([1]!Data_Loan[Value],[1]!Data_Loan[Index Loan],TDP!$B307,[1]!Data_Loan[TenCongTyID],TDP!$B$1,[1]!Data_Loan[Thang.Nam],TDP!AB$254)</f>
        <v>0</v>
      </c>
      <c r="AC307" s="201">
        <f>SUMIFS([1]!Data_Loan[Value],[1]!Data_Loan[Index Loan],TDP!$B307,[1]!Data_Loan[TenCongTyID],TDP!$B$1,[1]!Data_Loan[Thang.Nam],TDP!AC$254)</f>
        <v>0</v>
      </c>
      <c r="AD307" s="201">
        <f>SUMIFS([1]!Data_Loan[Value],[1]!Data_Loan[Index Loan],TDP!$B307,[1]!Data_Loan[TenCongTyID],TDP!$B$1,[1]!Data_Loan[Thang.Nam],TDP!AD$254)</f>
        <v>0</v>
      </c>
      <c r="AE307" s="201">
        <f>SUMIFS([1]!Data_Loan[Value],[1]!Data_Loan[Index Loan],TDP!$B307,[1]!Data_Loan[TenCongTyID],TDP!$B$1,[1]!Data_Loan[Thang.Nam],TDP!AE$254)</f>
        <v>0</v>
      </c>
      <c r="AF307" s="201">
        <f>SUMIFS([1]!Data_Loan[Value],[1]!Data_Loan[Index Loan],TDP!$B307,[1]!Data_Loan[TenCongTyID],TDP!$B$1,[1]!Data_Loan[Thang.Nam],TDP!AF$254)</f>
        <v>0</v>
      </c>
      <c r="AG307" s="201">
        <f>SUMIFS([1]!Data_Loan[Value],[1]!Data_Loan[Index Loan],TDP!$B307,[1]!Data_Loan[TenCongTyID],TDP!$B$1,[1]!Data_Loan[Thang.Nam],TDP!AG$254)</f>
        <v>0</v>
      </c>
      <c r="AH307" s="201">
        <f>SUMIFS([1]!Data_Loan[Value],[1]!Data_Loan[Index Loan],TDP!$B307,[1]!Data_Loan[TenCongTyID],TDP!$B$1,[1]!Data_Loan[Thang.Nam],TDP!AH$254)</f>
        <v>0</v>
      </c>
      <c r="AI307" s="201">
        <f>SUMIFS([1]!Data_Loan[Value],[1]!Data_Loan[Index Loan],TDP!$B307,[1]!Data_Loan[TenCongTyID],TDP!$B$1,[1]!Data_Loan[Thang.Nam],TDP!AI$254)</f>
        <v>0</v>
      </c>
      <c r="AJ307" s="201">
        <f>SUMIFS([1]!Data_Loan[Value],[1]!Data_Loan[Index Loan],TDP!$B307,[1]!Data_Loan[TenCongTyID],TDP!$B$1,[1]!Data_Loan[Thang.Nam],TDP!AJ$254)</f>
        <v>0</v>
      </c>
      <c r="AK307" s="201">
        <f>SUMIFS([1]!Data_Loan[Value],[1]!Data_Loan[Index Loan],TDP!$B307,[1]!Data_Loan[TenCongTyID],TDP!$B$1,[1]!Data_Loan[Thang.Nam],TDP!AK$254)</f>
        <v>0</v>
      </c>
      <c r="AL307" s="201">
        <f>SUMIFS([1]!Data_Loan[Value],[1]!Data_Loan[Index Loan],TDP!$B307,[1]!Data_Loan[TenCongTyID],TDP!$B$1,[1]!Data_Loan[Thang.Nam],TDP!AL$254)</f>
        <v>0</v>
      </c>
    </row>
    <row r="308" spans="1:38" ht="15" customHeight="1">
      <c r="B308" s="335">
        <v>54</v>
      </c>
      <c r="Z308" s="49">
        <v>0</v>
      </c>
      <c r="AA308" s="49">
        <f>SUMIFS([1]!Data_Loan[Value],[1]!Data_Loan[Index Loan],TDP!$B308,[1]!Data_Loan[TenCongTyID],TDP!$B$1,[1]!Data_Loan[Thang.Nam],TDP!AA$254)</f>
        <v>0</v>
      </c>
      <c r="AB308" s="49">
        <f>SUMIFS([1]!Data_Loan[Value],[1]!Data_Loan[Index Loan],TDP!$B308,[1]!Data_Loan[TenCongTyID],TDP!$B$1,[1]!Data_Loan[Thang.Nam],TDP!AB$254)</f>
        <v>0</v>
      </c>
      <c r="AC308" s="49">
        <f>SUMIFS([1]!Data_Loan[Value],[1]!Data_Loan[Index Loan],TDP!$B308,[1]!Data_Loan[TenCongTyID],TDP!$B$1,[1]!Data_Loan[Thang.Nam],TDP!AC$254)</f>
        <v>0</v>
      </c>
      <c r="AD308" s="49">
        <f>SUMIFS([1]!Data_Loan[Value],[1]!Data_Loan[Index Loan],TDP!$B308,[1]!Data_Loan[TenCongTyID],TDP!$B$1,[1]!Data_Loan[Thang.Nam],TDP!AD$254)</f>
        <v>0</v>
      </c>
      <c r="AE308" s="49">
        <f>SUMIFS([1]!Data_Loan[Value],[1]!Data_Loan[Index Loan],TDP!$B308,[1]!Data_Loan[TenCongTyID],TDP!$B$1,[1]!Data_Loan[Thang.Nam],TDP!AE$254)</f>
        <v>0</v>
      </c>
      <c r="AF308" s="49">
        <f>SUMIFS([1]!Data_Loan[Value],[1]!Data_Loan[Index Loan],TDP!$B308,[1]!Data_Loan[TenCongTyID],TDP!$B$1,[1]!Data_Loan[Thang.Nam],TDP!AF$254)</f>
        <v>0</v>
      </c>
      <c r="AG308" s="49">
        <f>SUMIFS([1]!Data_Loan[Value],[1]!Data_Loan[Index Loan],TDP!$B308,[1]!Data_Loan[TenCongTyID],TDP!$B$1,[1]!Data_Loan[Thang.Nam],TDP!AG$254)</f>
        <v>0</v>
      </c>
      <c r="AH308" s="49">
        <f>SUMIFS([1]!Data_Loan[Value],[1]!Data_Loan[Index Loan],TDP!$B308,[1]!Data_Loan[TenCongTyID],TDP!$B$1,[1]!Data_Loan[Thang.Nam],TDP!AH$254)</f>
        <v>0</v>
      </c>
      <c r="AI308" s="49">
        <f>SUMIFS([1]!Data_Loan[Value],[1]!Data_Loan[Index Loan],TDP!$B308,[1]!Data_Loan[TenCongTyID],TDP!$B$1,[1]!Data_Loan[Thang.Nam],TDP!AI$254)</f>
        <v>0</v>
      </c>
      <c r="AJ308" s="49">
        <f>SUMIFS([1]!Data_Loan[Value],[1]!Data_Loan[Index Loan],TDP!$B308,[1]!Data_Loan[TenCongTyID],TDP!$B$1,[1]!Data_Loan[Thang.Nam],TDP!AJ$254)</f>
        <v>0</v>
      </c>
      <c r="AK308" s="49">
        <f>SUMIFS([1]!Data_Loan[Value],[1]!Data_Loan[Index Loan],TDP!$B308,[1]!Data_Loan[TenCongTyID],TDP!$B$1,[1]!Data_Loan[Thang.Nam],TDP!AK$254)</f>
        <v>0</v>
      </c>
      <c r="AL308" s="49">
        <f>SUMIFS([1]!Data_Loan[Value],[1]!Data_Loan[Index Loan],TDP!$B308,[1]!Data_Loan[TenCongTyID],TDP!$B$1,[1]!Data_Loan[Thang.Nam],TDP!AL$254)</f>
        <v>0</v>
      </c>
    </row>
    <row r="309" spans="1:38" ht="15" customHeight="1" thickBot="1">
      <c r="A309" s="203" t="s">
        <v>372</v>
      </c>
      <c r="B309" s="332">
        <v>55</v>
      </c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>
        <f>SUM(Y310:Y317)</f>
        <v>0</v>
      </c>
      <c r="Z309" s="205">
        <v>0</v>
      </c>
      <c r="AA309" s="205">
        <f>SUMIFS([1]!Data_Loan[Value],[1]!Data_Loan[Index Loan],TDP!$B309,[1]!Data_Loan[TenCongTyID],TDP!$B$1,[1]!Data_Loan[Thang.Nam],TDP!AA$254)</f>
        <v>0</v>
      </c>
      <c r="AB309" s="205">
        <f>SUMIFS([1]!Data_Loan[Value],[1]!Data_Loan[Index Loan],TDP!$B309,[1]!Data_Loan[TenCongTyID],TDP!$B$1,[1]!Data_Loan[Thang.Nam],TDP!AB$254)</f>
        <v>0</v>
      </c>
      <c r="AC309" s="205">
        <f>SUMIFS([1]!Data_Loan[Value],[1]!Data_Loan[Index Loan],TDP!$B309,[1]!Data_Loan[TenCongTyID],TDP!$B$1,[1]!Data_Loan[Thang.Nam],TDP!AC$254)</f>
        <v>0</v>
      </c>
      <c r="AD309" s="205">
        <f>SUMIFS([1]!Data_Loan[Value],[1]!Data_Loan[Index Loan],TDP!$B309,[1]!Data_Loan[TenCongTyID],TDP!$B$1,[1]!Data_Loan[Thang.Nam],TDP!AD$254)</f>
        <v>0</v>
      </c>
      <c r="AE309" s="205">
        <f>SUMIFS([1]!Data_Loan[Value],[1]!Data_Loan[Index Loan],TDP!$B309,[1]!Data_Loan[TenCongTyID],TDP!$B$1,[1]!Data_Loan[Thang.Nam],TDP!AE$254)</f>
        <v>0</v>
      </c>
      <c r="AF309" s="205">
        <f>SUMIFS([1]!Data_Loan[Value],[1]!Data_Loan[Index Loan],TDP!$B309,[1]!Data_Loan[TenCongTyID],TDP!$B$1,[1]!Data_Loan[Thang.Nam],TDP!AF$254)</f>
        <v>0</v>
      </c>
      <c r="AG309" s="205">
        <f>SUMIFS([1]!Data_Loan[Value],[1]!Data_Loan[Index Loan],TDP!$B309,[1]!Data_Loan[TenCongTyID],TDP!$B$1,[1]!Data_Loan[Thang.Nam],TDP!AG$254)</f>
        <v>0</v>
      </c>
      <c r="AH309" s="205">
        <f>SUMIFS([1]!Data_Loan[Value],[1]!Data_Loan[Index Loan],TDP!$B309,[1]!Data_Loan[TenCongTyID],TDP!$B$1,[1]!Data_Loan[Thang.Nam],TDP!AH$254)</f>
        <v>0</v>
      </c>
      <c r="AI309" s="205">
        <f>SUMIFS([1]!Data_Loan[Value],[1]!Data_Loan[Index Loan],TDP!$B309,[1]!Data_Loan[TenCongTyID],TDP!$B$1,[1]!Data_Loan[Thang.Nam],TDP!AI$254)</f>
        <v>0</v>
      </c>
      <c r="AJ309" s="205">
        <f>SUMIFS([1]!Data_Loan[Value],[1]!Data_Loan[Index Loan],TDP!$B309,[1]!Data_Loan[TenCongTyID],TDP!$B$1,[1]!Data_Loan[Thang.Nam],TDP!AJ$254)</f>
        <v>0</v>
      </c>
      <c r="AK309" s="205">
        <f>SUMIFS([1]!Data_Loan[Value],[1]!Data_Loan[Index Loan],TDP!$B309,[1]!Data_Loan[TenCongTyID],TDP!$B$1,[1]!Data_Loan[Thang.Nam],TDP!AK$254)</f>
        <v>0</v>
      </c>
      <c r="AL309" s="205">
        <f>SUMIFS([1]!Data_Loan[Value],[1]!Data_Loan[Index Loan],TDP!$B309,[1]!Data_Loan[TenCongTyID],TDP!$B$1,[1]!Data_Loan[Thang.Nam],TDP!AL$254)</f>
        <v>0</v>
      </c>
    </row>
    <row r="310" spans="1:38" ht="15" customHeight="1" thickTop="1">
      <c r="A310" s="200" t="str">
        <f t="shared" ref="A310:A315" si="75">A292</f>
        <v>ACB</v>
      </c>
      <c r="B310" s="335">
        <v>56</v>
      </c>
      <c r="Y310" s="201"/>
      <c r="Z310" s="201">
        <v>0</v>
      </c>
      <c r="AA310" s="201">
        <f>SUMIFS([1]!Data_Loan[Value],[1]!Data_Loan[Index Loan],TDP!$B310,[1]!Data_Loan[TenCongTyID],TDP!$B$1,[1]!Data_Loan[Thang.Nam],TDP!AA$254)</f>
        <v>0</v>
      </c>
      <c r="AB310" s="201">
        <f>SUMIFS([1]!Data_Loan[Value],[1]!Data_Loan[Index Loan],TDP!$B310,[1]!Data_Loan[TenCongTyID],TDP!$B$1,[1]!Data_Loan[Thang.Nam],TDP!AB$254)</f>
        <v>0</v>
      </c>
      <c r="AC310" s="201">
        <f>SUMIFS([1]!Data_Loan[Value],[1]!Data_Loan[Index Loan],TDP!$B310,[1]!Data_Loan[TenCongTyID],TDP!$B$1,[1]!Data_Loan[Thang.Nam],TDP!AC$254)</f>
        <v>0</v>
      </c>
      <c r="AD310" s="201">
        <f>SUMIFS([1]!Data_Loan[Value],[1]!Data_Loan[Index Loan],TDP!$B310,[1]!Data_Loan[TenCongTyID],TDP!$B$1,[1]!Data_Loan[Thang.Nam],TDP!AD$254)</f>
        <v>0</v>
      </c>
      <c r="AE310" s="201">
        <f>SUMIFS([1]!Data_Loan[Value],[1]!Data_Loan[Index Loan],TDP!$B310,[1]!Data_Loan[TenCongTyID],TDP!$B$1,[1]!Data_Loan[Thang.Nam],TDP!AE$254)</f>
        <v>0</v>
      </c>
      <c r="AF310" s="201">
        <f>SUMIFS([1]!Data_Loan[Value],[1]!Data_Loan[Index Loan],TDP!$B310,[1]!Data_Loan[TenCongTyID],TDP!$B$1,[1]!Data_Loan[Thang.Nam],TDP!AF$254)</f>
        <v>0</v>
      </c>
      <c r="AG310" s="201">
        <f>SUMIFS([1]!Data_Loan[Value],[1]!Data_Loan[Index Loan],TDP!$B310,[1]!Data_Loan[TenCongTyID],TDP!$B$1,[1]!Data_Loan[Thang.Nam],TDP!AG$254)</f>
        <v>0</v>
      </c>
      <c r="AH310" s="201">
        <f>SUMIFS([1]!Data_Loan[Value],[1]!Data_Loan[Index Loan],TDP!$B310,[1]!Data_Loan[TenCongTyID],TDP!$B$1,[1]!Data_Loan[Thang.Nam],TDP!AH$254)</f>
        <v>0</v>
      </c>
      <c r="AI310" s="201">
        <f>SUMIFS([1]!Data_Loan[Value],[1]!Data_Loan[Index Loan],TDP!$B310,[1]!Data_Loan[TenCongTyID],TDP!$B$1,[1]!Data_Loan[Thang.Nam],TDP!AI$254)</f>
        <v>0</v>
      </c>
      <c r="AJ310" s="201">
        <f>SUMIFS([1]!Data_Loan[Value],[1]!Data_Loan[Index Loan],TDP!$B310,[1]!Data_Loan[TenCongTyID],TDP!$B$1,[1]!Data_Loan[Thang.Nam],TDP!AJ$254)</f>
        <v>0</v>
      </c>
      <c r="AK310" s="201">
        <f>SUMIFS([1]!Data_Loan[Value],[1]!Data_Loan[Index Loan],TDP!$B310,[1]!Data_Loan[TenCongTyID],TDP!$B$1,[1]!Data_Loan[Thang.Nam],TDP!AK$254)</f>
        <v>0</v>
      </c>
      <c r="AL310" s="201">
        <f>SUMIFS([1]!Data_Loan[Value],[1]!Data_Loan[Index Loan],TDP!$B310,[1]!Data_Loan[TenCongTyID],TDP!$B$1,[1]!Data_Loan[Thang.Nam],TDP!AL$254)</f>
        <v>0</v>
      </c>
    </row>
    <row r="311" spans="1:38" ht="15" customHeight="1">
      <c r="A311" s="200" t="str">
        <f t="shared" si="75"/>
        <v>VietinBank</v>
      </c>
      <c r="B311" s="335">
        <v>57</v>
      </c>
      <c r="Y311" s="201"/>
      <c r="Z311" s="201">
        <v>0</v>
      </c>
      <c r="AA311" s="201">
        <f>SUMIFS([1]!Data_Loan[Value],[1]!Data_Loan[Index Loan],TDP!$B311,[1]!Data_Loan[TenCongTyID],TDP!$B$1,[1]!Data_Loan[Thang.Nam],TDP!AA$254)</f>
        <v>0</v>
      </c>
      <c r="AB311" s="201">
        <f>SUMIFS([1]!Data_Loan[Value],[1]!Data_Loan[Index Loan],TDP!$B311,[1]!Data_Loan[TenCongTyID],TDP!$B$1,[1]!Data_Loan[Thang.Nam],TDP!AB$254)</f>
        <v>0</v>
      </c>
      <c r="AC311" s="201">
        <f>SUMIFS([1]!Data_Loan[Value],[1]!Data_Loan[Index Loan],TDP!$B311,[1]!Data_Loan[TenCongTyID],TDP!$B$1,[1]!Data_Loan[Thang.Nam],TDP!AC$254)</f>
        <v>0</v>
      </c>
      <c r="AD311" s="201">
        <f>SUMIFS([1]!Data_Loan[Value],[1]!Data_Loan[Index Loan],TDP!$B311,[1]!Data_Loan[TenCongTyID],TDP!$B$1,[1]!Data_Loan[Thang.Nam],TDP!AD$254)</f>
        <v>0</v>
      </c>
      <c r="AE311" s="201">
        <f>SUMIFS([1]!Data_Loan[Value],[1]!Data_Loan[Index Loan],TDP!$B311,[1]!Data_Loan[TenCongTyID],TDP!$B$1,[1]!Data_Loan[Thang.Nam],TDP!AE$254)</f>
        <v>0</v>
      </c>
      <c r="AF311" s="201">
        <f>SUMIFS([1]!Data_Loan[Value],[1]!Data_Loan[Index Loan],TDP!$B311,[1]!Data_Loan[TenCongTyID],TDP!$B$1,[1]!Data_Loan[Thang.Nam],TDP!AF$254)</f>
        <v>0</v>
      </c>
      <c r="AG311" s="201">
        <f>SUMIFS([1]!Data_Loan[Value],[1]!Data_Loan[Index Loan],TDP!$B311,[1]!Data_Loan[TenCongTyID],TDP!$B$1,[1]!Data_Loan[Thang.Nam],TDP!AG$254)</f>
        <v>0</v>
      </c>
      <c r="AH311" s="201">
        <f>SUMIFS([1]!Data_Loan[Value],[1]!Data_Loan[Index Loan],TDP!$B311,[1]!Data_Loan[TenCongTyID],TDP!$B$1,[1]!Data_Loan[Thang.Nam],TDP!AH$254)</f>
        <v>0</v>
      </c>
      <c r="AI311" s="201">
        <f>SUMIFS([1]!Data_Loan[Value],[1]!Data_Loan[Index Loan],TDP!$B311,[1]!Data_Loan[TenCongTyID],TDP!$B$1,[1]!Data_Loan[Thang.Nam],TDP!AI$254)</f>
        <v>0</v>
      </c>
      <c r="AJ311" s="201">
        <f>SUMIFS([1]!Data_Loan[Value],[1]!Data_Loan[Index Loan],TDP!$B311,[1]!Data_Loan[TenCongTyID],TDP!$B$1,[1]!Data_Loan[Thang.Nam],TDP!AJ$254)</f>
        <v>0</v>
      </c>
      <c r="AK311" s="201">
        <f>SUMIFS([1]!Data_Loan[Value],[1]!Data_Loan[Index Loan],TDP!$B311,[1]!Data_Loan[TenCongTyID],TDP!$B$1,[1]!Data_Loan[Thang.Nam],TDP!AK$254)</f>
        <v>0</v>
      </c>
      <c r="AL311" s="201">
        <f>SUMIFS([1]!Data_Loan[Value],[1]!Data_Loan[Index Loan],TDP!$B311,[1]!Data_Loan[TenCongTyID],TDP!$B$1,[1]!Data_Loan[Thang.Nam],TDP!AL$254)</f>
        <v>0</v>
      </c>
    </row>
    <row r="312" spans="1:38" ht="15" customHeight="1">
      <c r="A312" s="200" t="str">
        <f t="shared" si="75"/>
        <v>Vietcombank</v>
      </c>
      <c r="B312" s="335">
        <v>58</v>
      </c>
      <c r="Y312" s="201"/>
      <c r="Z312" s="201">
        <v>0</v>
      </c>
      <c r="AA312" s="201">
        <f>SUMIFS([1]!Data_Loan[Value],[1]!Data_Loan[Index Loan],TDP!$B312,[1]!Data_Loan[TenCongTyID],TDP!$B$1,[1]!Data_Loan[Thang.Nam],TDP!AA$254)</f>
        <v>0</v>
      </c>
      <c r="AB312" s="201">
        <f>SUMIFS([1]!Data_Loan[Value],[1]!Data_Loan[Index Loan],TDP!$B312,[1]!Data_Loan[TenCongTyID],TDP!$B$1,[1]!Data_Loan[Thang.Nam],TDP!AB$254)</f>
        <v>0</v>
      </c>
      <c r="AC312" s="201">
        <f>SUMIFS([1]!Data_Loan[Value],[1]!Data_Loan[Index Loan],TDP!$B312,[1]!Data_Loan[TenCongTyID],TDP!$B$1,[1]!Data_Loan[Thang.Nam],TDP!AC$254)</f>
        <v>0</v>
      </c>
      <c r="AD312" s="201">
        <f>SUMIFS([1]!Data_Loan[Value],[1]!Data_Loan[Index Loan],TDP!$B312,[1]!Data_Loan[TenCongTyID],TDP!$B$1,[1]!Data_Loan[Thang.Nam],TDP!AD$254)</f>
        <v>0</v>
      </c>
      <c r="AE312" s="201">
        <f>SUMIFS([1]!Data_Loan[Value],[1]!Data_Loan[Index Loan],TDP!$B312,[1]!Data_Loan[TenCongTyID],TDP!$B$1,[1]!Data_Loan[Thang.Nam],TDP!AE$254)</f>
        <v>0</v>
      </c>
      <c r="AF312" s="201">
        <f>SUMIFS([1]!Data_Loan[Value],[1]!Data_Loan[Index Loan],TDP!$B312,[1]!Data_Loan[TenCongTyID],TDP!$B$1,[1]!Data_Loan[Thang.Nam],TDP!AF$254)</f>
        <v>0</v>
      </c>
      <c r="AG312" s="201">
        <f>SUMIFS([1]!Data_Loan[Value],[1]!Data_Loan[Index Loan],TDP!$B312,[1]!Data_Loan[TenCongTyID],TDP!$B$1,[1]!Data_Loan[Thang.Nam],TDP!AG$254)</f>
        <v>0</v>
      </c>
      <c r="AH312" s="201">
        <f>SUMIFS([1]!Data_Loan[Value],[1]!Data_Loan[Index Loan],TDP!$B312,[1]!Data_Loan[TenCongTyID],TDP!$B$1,[1]!Data_Loan[Thang.Nam],TDP!AH$254)</f>
        <v>0</v>
      </c>
      <c r="AI312" s="201">
        <f>SUMIFS([1]!Data_Loan[Value],[1]!Data_Loan[Index Loan],TDP!$B312,[1]!Data_Loan[TenCongTyID],TDP!$B$1,[1]!Data_Loan[Thang.Nam],TDP!AI$254)</f>
        <v>0</v>
      </c>
      <c r="AJ312" s="201">
        <f>SUMIFS([1]!Data_Loan[Value],[1]!Data_Loan[Index Loan],TDP!$B312,[1]!Data_Loan[TenCongTyID],TDP!$B$1,[1]!Data_Loan[Thang.Nam],TDP!AJ$254)</f>
        <v>0</v>
      </c>
      <c r="AK312" s="201">
        <f>SUMIFS([1]!Data_Loan[Value],[1]!Data_Loan[Index Loan],TDP!$B312,[1]!Data_Loan[TenCongTyID],TDP!$B$1,[1]!Data_Loan[Thang.Nam],TDP!AK$254)</f>
        <v>0</v>
      </c>
      <c r="AL312" s="201">
        <f>SUMIFS([1]!Data_Loan[Value],[1]!Data_Loan[Index Loan],TDP!$B312,[1]!Data_Loan[TenCongTyID],TDP!$B$1,[1]!Data_Loan[Thang.Nam],TDP!AL$254)</f>
        <v>0</v>
      </c>
    </row>
    <row r="313" spans="1:38" ht="15" customHeight="1">
      <c r="A313" s="200" t="str">
        <f t="shared" si="75"/>
        <v>BIDV</v>
      </c>
      <c r="B313" s="335">
        <v>59</v>
      </c>
      <c r="Y313" s="201"/>
      <c r="Z313" s="201">
        <v>0</v>
      </c>
      <c r="AA313" s="201">
        <f>SUMIFS([1]!Data_Loan[Value],[1]!Data_Loan[Index Loan],TDP!$B313,[1]!Data_Loan[TenCongTyID],TDP!$B$1,[1]!Data_Loan[Thang.Nam],TDP!AA$254)</f>
        <v>0</v>
      </c>
      <c r="AB313" s="201">
        <f>SUMIFS([1]!Data_Loan[Value],[1]!Data_Loan[Index Loan],TDP!$B313,[1]!Data_Loan[TenCongTyID],TDP!$B$1,[1]!Data_Loan[Thang.Nam],TDP!AB$254)</f>
        <v>0</v>
      </c>
      <c r="AC313" s="201">
        <f>SUMIFS([1]!Data_Loan[Value],[1]!Data_Loan[Index Loan],TDP!$B313,[1]!Data_Loan[TenCongTyID],TDP!$B$1,[1]!Data_Loan[Thang.Nam],TDP!AC$254)</f>
        <v>0</v>
      </c>
      <c r="AD313" s="201">
        <f>SUMIFS([1]!Data_Loan[Value],[1]!Data_Loan[Index Loan],TDP!$B313,[1]!Data_Loan[TenCongTyID],TDP!$B$1,[1]!Data_Loan[Thang.Nam],TDP!AD$254)</f>
        <v>0</v>
      </c>
      <c r="AE313" s="201">
        <f>SUMIFS([1]!Data_Loan[Value],[1]!Data_Loan[Index Loan],TDP!$B313,[1]!Data_Loan[TenCongTyID],TDP!$B$1,[1]!Data_Loan[Thang.Nam],TDP!AE$254)</f>
        <v>0</v>
      </c>
      <c r="AF313" s="201">
        <f>SUMIFS([1]!Data_Loan[Value],[1]!Data_Loan[Index Loan],TDP!$B313,[1]!Data_Loan[TenCongTyID],TDP!$B$1,[1]!Data_Loan[Thang.Nam],TDP!AF$254)</f>
        <v>0</v>
      </c>
      <c r="AG313" s="201">
        <f>SUMIFS([1]!Data_Loan[Value],[1]!Data_Loan[Index Loan],TDP!$B313,[1]!Data_Loan[TenCongTyID],TDP!$B$1,[1]!Data_Loan[Thang.Nam],TDP!AG$254)</f>
        <v>0</v>
      </c>
      <c r="AH313" s="201">
        <f>SUMIFS([1]!Data_Loan[Value],[1]!Data_Loan[Index Loan],TDP!$B313,[1]!Data_Loan[TenCongTyID],TDP!$B$1,[1]!Data_Loan[Thang.Nam],TDP!AH$254)</f>
        <v>0</v>
      </c>
      <c r="AI313" s="201">
        <f>SUMIFS([1]!Data_Loan[Value],[1]!Data_Loan[Index Loan],TDP!$B313,[1]!Data_Loan[TenCongTyID],TDP!$B$1,[1]!Data_Loan[Thang.Nam],TDP!AI$254)</f>
        <v>0</v>
      </c>
      <c r="AJ313" s="201">
        <f>SUMIFS([1]!Data_Loan[Value],[1]!Data_Loan[Index Loan],TDP!$B313,[1]!Data_Loan[TenCongTyID],TDP!$B$1,[1]!Data_Loan[Thang.Nam],TDP!AJ$254)</f>
        <v>0</v>
      </c>
      <c r="AK313" s="201">
        <f>SUMIFS([1]!Data_Loan[Value],[1]!Data_Loan[Index Loan],TDP!$B313,[1]!Data_Loan[TenCongTyID],TDP!$B$1,[1]!Data_Loan[Thang.Nam],TDP!AK$254)</f>
        <v>0</v>
      </c>
      <c r="AL313" s="201">
        <f>SUMIFS([1]!Data_Loan[Value],[1]!Data_Loan[Index Loan],TDP!$B313,[1]!Data_Loan[TenCongTyID],TDP!$B$1,[1]!Data_Loan[Thang.Nam],TDP!AL$254)</f>
        <v>0</v>
      </c>
    </row>
    <row r="314" spans="1:38" ht="15" customHeight="1">
      <c r="A314" s="200" t="str">
        <f t="shared" si="75"/>
        <v>Standard Chartered</v>
      </c>
      <c r="B314" s="335">
        <v>60</v>
      </c>
      <c r="Y314" s="201"/>
      <c r="Z314" s="201">
        <v>0</v>
      </c>
      <c r="AA314" s="201">
        <f>SUMIFS([1]!Data_Loan[Value],[1]!Data_Loan[Index Loan],TDP!$B314,[1]!Data_Loan[TenCongTyID],TDP!$B$1,[1]!Data_Loan[Thang.Nam],TDP!AA$254)</f>
        <v>0</v>
      </c>
      <c r="AB314" s="201">
        <f>SUMIFS([1]!Data_Loan[Value],[1]!Data_Loan[Index Loan],TDP!$B314,[1]!Data_Loan[TenCongTyID],TDP!$B$1,[1]!Data_Loan[Thang.Nam],TDP!AB$254)</f>
        <v>0</v>
      </c>
      <c r="AC314" s="201">
        <f>SUMIFS([1]!Data_Loan[Value],[1]!Data_Loan[Index Loan],TDP!$B314,[1]!Data_Loan[TenCongTyID],TDP!$B$1,[1]!Data_Loan[Thang.Nam],TDP!AC$254)</f>
        <v>0</v>
      </c>
      <c r="AD314" s="201">
        <f>SUMIFS([1]!Data_Loan[Value],[1]!Data_Loan[Index Loan],TDP!$B314,[1]!Data_Loan[TenCongTyID],TDP!$B$1,[1]!Data_Loan[Thang.Nam],TDP!AD$254)</f>
        <v>0</v>
      </c>
      <c r="AE314" s="201">
        <f>SUMIFS([1]!Data_Loan[Value],[1]!Data_Loan[Index Loan],TDP!$B314,[1]!Data_Loan[TenCongTyID],TDP!$B$1,[1]!Data_Loan[Thang.Nam],TDP!AE$254)</f>
        <v>0</v>
      </c>
      <c r="AF314" s="201">
        <f>SUMIFS([1]!Data_Loan[Value],[1]!Data_Loan[Index Loan],TDP!$B314,[1]!Data_Loan[TenCongTyID],TDP!$B$1,[1]!Data_Loan[Thang.Nam],TDP!AF$254)</f>
        <v>0</v>
      </c>
      <c r="AG314" s="201">
        <f>SUMIFS([1]!Data_Loan[Value],[1]!Data_Loan[Index Loan],TDP!$B314,[1]!Data_Loan[TenCongTyID],TDP!$B$1,[1]!Data_Loan[Thang.Nam],TDP!AG$254)</f>
        <v>0</v>
      </c>
      <c r="AH314" s="201">
        <f>SUMIFS([1]!Data_Loan[Value],[1]!Data_Loan[Index Loan],TDP!$B314,[1]!Data_Loan[TenCongTyID],TDP!$B$1,[1]!Data_Loan[Thang.Nam],TDP!AH$254)</f>
        <v>0</v>
      </c>
      <c r="AI314" s="201">
        <f>SUMIFS([1]!Data_Loan[Value],[1]!Data_Loan[Index Loan],TDP!$B314,[1]!Data_Loan[TenCongTyID],TDP!$B$1,[1]!Data_Loan[Thang.Nam],TDP!AI$254)</f>
        <v>0</v>
      </c>
      <c r="AJ314" s="201">
        <f>SUMIFS([1]!Data_Loan[Value],[1]!Data_Loan[Index Loan],TDP!$B314,[1]!Data_Loan[TenCongTyID],TDP!$B$1,[1]!Data_Loan[Thang.Nam],TDP!AJ$254)</f>
        <v>0</v>
      </c>
      <c r="AK314" s="201">
        <f>SUMIFS([1]!Data_Loan[Value],[1]!Data_Loan[Index Loan],TDP!$B314,[1]!Data_Loan[TenCongTyID],TDP!$B$1,[1]!Data_Loan[Thang.Nam],TDP!AK$254)</f>
        <v>0</v>
      </c>
      <c r="AL314" s="201">
        <f>SUMIFS([1]!Data_Loan[Value],[1]!Data_Loan[Index Loan],TDP!$B314,[1]!Data_Loan[TenCongTyID],TDP!$B$1,[1]!Data_Loan[Thang.Nam],TDP!AL$254)</f>
        <v>0</v>
      </c>
    </row>
    <row r="315" spans="1:38" ht="15" customHeight="1">
      <c r="A315" s="200" t="str">
        <f t="shared" si="75"/>
        <v>VILC</v>
      </c>
      <c r="B315" s="335">
        <v>61</v>
      </c>
      <c r="Y315" s="201"/>
      <c r="Z315" s="201">
        <v>0</v>
      </c>
      <c r="AA315" s="201">
        <f>SUMIFS([1]!Data_Loan[Value],[1]!Data_Loan[Index Loan],TDP!$B315,[1]!Data_Loan[TenCongTyID],TDP!$B$1,[1]!Data_Loan[Thang.Nam],TDP!AA$254)</f>
        <v>0</v>
      </c>
      <c r="AB315" s="201">
        <f>SUMIFS([1]!Data_Loan[Value],[1]!Data_Loan[Index Loan],TDP!$B315,[1]!Data_Loan[TenCongTyID],TDP!$B$1,[1]!Data_Loan[Thang.Nam],TDP!AB$254)</f>
        <v>0</v>
      </c>
      <c r="AC315" s="201">
        <f>SUMIFS([1]!Data_Loan[Value],[1]!Data_Loan[Index Loan],TDP!$B315,[1]!Data_Loan[TenCongTyID],TDP!$B$1,[1]!Data_Loan[Thang.Nam],TDP!AC$254)</f>
        <v>0</v>
      </c>
      <c r="AD315" s="201">
        <f>SUMIFS([1]!Data_Loan[Value],[1]!Data_Loan[Index Loan],TDP!$B315,[1]!Data_Loan[TenCongTyID],TDP!$B$1,[1]!Data_Loan[Thang.Nam],TDP!AD$254)</f>
        <v>0</v>
      </c>
      <c r="AE315" s="201">
        <f>SUMIFS([1]!Data_Loan[Value],[1]!Data_Loan[Index Loan],TDP!$B315,[1]!Data_Loan[TenCongTyID],TDP!$B$1,[1]!Data_Loan[Thang.Nam],TDP!AE$254)</f>
        <v>0</v>
      </c>
      <c r="AF315" s="201">
        <f>SUMIFS([1]!Data_Loan[Value],[1]!Data_Loan[Index Loan],TDP!$B315,[1]!Data_Loan[TenCongTyID],TDP!$B$1,[1]!Data_Loan[Thang.Nam],TDP!AF$254)</f>
        <v>0</v>
      </c>
      <c r="AG315" s="201">
        <f>SUMIFS([1]!Data_Loan[Value],[1]!Data_Loan[Index Loan],TDP!$B315,[1]!Data_Loan[TenCongTyID],TDP!$B$1,[1]!Data_Loan[Thang.Nam],TDP!AG$254)</f>
        <v>0</v>
      </c>
      <c r="AH315" s="201">
        <f>SUMIFS([1]!Data_Loan[Value],[1]!Data_Loan[Index Loan],TDP!$B315,[1]!Data_Loan[TenCongTyID],TDP!$B$1,[1]!Data_Loan[Thang.Nam],TDP!AH$254)</f>
        <v>0</v>
      </c>
      <c r="AI315" s="201">
        <f>SUMIFS([1]!Data_Loan[Value],[1]!Data_Loan[Index Loan],TDP!$B315,[1]!Data_Loan[TenCongTyID],TDP!$B$1,[1]!Data_Loan[Thang.Nam],TDP!AI$254)</f>
        <v>0</v>
      </c>
      <c r="AJ315" s="201">
        <f>SUMIFS([1]!Data_Loan[Value],[1]!Data_Loan[Index Loan],TDP!$B315,[1]!Data_Loan[TenCongTyID],TDP!$B$1,[1]!Data_Loan[Thang.Nam],TDP!AJ$254)</f>
        <v>0</v>
      </c>
      <c r="AK315" s="201">
        <f>SUMIFS([1]!Data_Loan[Value],[1]!Data_Loan[Index Loan],TDP!$B315,[1]!Data_Loan[TenCongTyID],TDP!$B$1,[1]!Data_Loan[Thang.Nam],TDP!AK$254)</f>
        <v>0</v>
      </c>
      <c r="AL315" s="201">
        <f>SUMIFS([1]!Data_Loan[Value],[1]!Data_Loan[Index Loan],TDP!$B315,[1]!Data_Loan[TenCongTyID],TDP!$B$1,[1]!Data_Loan[Thang.Nam],TDP!AL$254)</f>
        <v>0</v>
      </c>
    </row>
    <row r="316" spans="1:38" ht="15" customHeight="1">
      <c r="A316" s="200" t="s">
        <v>347</v>
      </c>
      <c r="B316" s="335">
        <v>62</v>
      </c>
      <c r="Y316" s="201"/>
      <c r="Z316" s="201">
        <v>0</v>
      </c>
      <c r="AA316" s="201">
        <f>SUMIFS([1]!Data_Loan[Value],[1]!Data_Loan[Index Loan],TDP!$B316,[1]!Data_Loan[TenCongTyID],TDP!$B$1,[1]!Data_Loan[Thang.Nam],TDP!AA$254)</f>
        <v>0</v>
      </c>
      <c r="AB316" s="201">
        <f>SUMIFS([1]!Data_Loan[Value],[1]!Data_Loan[Index Loan],TDP!$B316,[1]!Data_Loan[TenCongTyID],TDP!$B$1,[1]!Data_Loan[Thang.Nam],TDP!AB$254)</f>
        <v>0</v>
      </c>
      <c r="AC316" s="201">
        <f>SUMIFS([1]!Data_Loan[Value],[1]!Data_Loan[Index Loan],TDP!$B316,[1]!Data_Loan[TenCongTyID],TDP!$B$1,[1]!Data_Loan[Thang.Nam],TDP!AC$254)</f>
        <v>0</v>
      </c>
      <c r="AD316" s="201">
        <f>SUMIFS([1]!Data_Loan[Value],[1]!Data_Loan[Index Loan],TDP!$B316,[1]!Data_Loan[TenCongTyID],TDP!$B$1,[1]!Data_Loan[Thang.Nam],TDP!AD$254)</f>
        <v>0</v>
      </c>
      <c r="AE316" s="201">
        <f>SUMIFS([1]!Data_Loan[Value],[1]!Data_Loan[Index Loan],TDP!$B316,[1]!Data_Loan[TenCongTyID],TDP!$B$1,[1]!Data_Loan[Thang.Nam],TDP!AE$254)</f>
        <v>0</v>
      </c>
      <c r="AF316" s="201">
        <f>SUMIFS([1]!Data_Loan[Value],[1]!Data_Loan[Index Loan],TDP!$B316,[1]!Data_Loan[TenCongTyID],TDP!$B$1,[1]!Data_Loan[Thang.Nam],TDP!AF$254)</f>
        <v>0</v>
      </c>
      <c r="AG316" s="201">
        <f>SUMIFS([1]!Data_Loan[Value],[1]!Data_Loan[Index Loan],TDP!$B316,[1]!Data_Loan[TenCongTyID],TDP!$B$1,[1]!Data_Loan[Thang.Nam],TDP!AG$254)</f>
        <v>0</v>
      </c>
      <c r="AH316" s="201">
        <f>SUMIFS([1]!Data_Loan[Value],[1]!Data_Loan[Index Loan],TDP!$B316,[1]!Data_Loan[TenCongTyID],TDP!$B$1,[1]!Data_Loan[Thang.Nam],TDP!AH$254)</f>
        <v>0</v>
      </c>
      <c r="AI316" s="201">
        <f>SUMIFS([1]!Data_Loan[Value],[1]!Data_Loan[Index Loan],TDP!$B316,[1]!Data_Loan[TenCongTyID],TDP!$B$1,[1]!Data_Loan[Thang.Nam],TDP!AI$254)</f>
        <v>0</v>
      </c>
      <c r="AJ316" s="201">
        <f>SUMIFS([1]!Data_Loan[Value],[1]!Data_Loan[Index Loan],TDP!$B316,[1]!Data_Loan[TenCongTyID],TDP!$B$1,[1]!Data_Loan[Thang.Nam],TDP!AJ$254)</f>
        <v>0</v>
      </c>
      <c r="AK316" s="201">
        <f>SUMIFS([1]!Data_Loan[Value],[1]!Data_Loan[Index Loan],TDP!$B316,[1]!Data_Loan[TenCongTyID],TDP!$B$1,[1]!Data_Loan[Thang.Nam],TDP!AK$254)</f>
        <v>0</v>
      </c>
      <c r="AL316" s="201">
        <f>SUMIFS([1]!Data_Loan[Value],[1]!Data_Loan[Index Loan],TDP!$B316,[1]!Data_Loan[TenCongTyID],TDP!$B$1,[1]!Data_Loan[Thang.Nam],TDP!AL$254)</f>
        <v>0</v>
      </c>
    </row>
    <row r="317" spans="1:38" ht="15" customHeight="1">
      <c r="B317" s="335">
        <v>63</v>
      </c>
      <c r="Y317" s="201"/>
      <c r="Z317" s="201">
        <v>0</v>
      </c>
      <c r="AA317" s="201">
        <f>SUMIFS([1]!Data_Loan[Value],[1]!Data_Loan[Index Loan],TDP!$B317,[1]!Data_Loan[TenCongTyID],TDP!$B$1,[1]!Data_Loan[Thang.Nam],TDP!AA$254)</f>
        <v>0</v>
      </c>
      <c r="AB317" s="201">
        <f>SUMIFS([1]!Data_Loan[Value],[1]!Data_Loan[Index Loan],TDP!$B317,[1]!Data_Loan[TenCongTyID],TDP!$B$1,[1]!Data_Loan[Thang.Nam],TDP!AB$254)</f>
        <v>0</v>
      </c>
      <c r="AC317" s="201">
        <f>SUMIFS([1]!Data_Loan[Value],[1]!Data_Loan[Index Loan],TDP!$B317,[1]!Data_Loan[TenCongTyID],TDP!$B$1,[1]!Data_Loan[Thang.Nam],TDP!AC$254)</f>
        <v>0</v>
      </c>
      <c r="AD317" s="201">
        <f>SUMIFS([1]!Data_Loan[Value],[1]!Data_Loan[Index Loan],TDP!$B317,[1]!Data_Loan[TenCongTyID],TDP!$B$1,[1]!Data_Loan[Thang.Nam],TDP!AD$254)</f>
        <v>0</v>
      </c>
      <c r="AE317" s="201">
        <f>SUMIFS([1]!Data_Loan[Value],[1]!Data_Loan[Index Loan],TDP!$B317,[1]!Data_Loan[TenCongTyID],TDP!$B$1,[1]!Data_Loan[Thang.Nam],TDP!AE$254)</f>
        <v>0</v>
      </c>
      <c r="AF317" s="201">
        <f>SUMIFS([1]!Data_Loan[Value],[1]!Data_Loan[Index Loan],TDP!$B317,[1]!Data_Loan[TenCongTyID],TDP!$B$1,[1]!Data_Loan[Thang.Nam],TDP!AF$254)</f>
        <v>0</v>
      </c>
      <c r="AG317" s="201">
        <f>SUMIFS([1]!Data_Loan[Value],[1]!Data_Loan[Index Loan],TDP!$B317,[1]!Data_Loan[TenCongTyID],TDP!$B$1,[1]!Data_Loan[Thang.Nam],TDP!AG$254)</f>
        <v>0</v>
      </c>
      <c r="AH317" s="201">
        <f>SUMIFS([1]!Data_Loan[Value],[1]!Data_Loan[Index Loan],TDP!$B317,[1]!Data_Loan[TenCongTyID],TDP!$B$1,[1]!Data_Loan[Thang.Nam],TDP!AH$254)</f>
        <v>0</v>
      </c>
      <c r="AI317" s="201">
        <f>SUMIFS([1]!Data_Loan[Value],[1]!Data_Loan[Index Loan],TDP!$B317,[1]!Data_Loan[TenCongTyID],TDP!$B$1,[1]!Data_Loan[Thang.Nam],TDP!AI$254)</f>
        <v>0</v>
      </c>
      <c r="AJ317" s="201">
        <f>SUMIFS([1]!Data_Loan[Value],[1]!Data_Loan[Index Loan],TDP!$B317,[1]!Data_Loan[TenCongTyID],TDP!$B$1,[1]!Data_Loan[Thang.Nam],TDP!AJ$254)</f>
        <v>0</v>
      </c>
      <c r="AK317" s="201">
        <f>SUMIFS([1]!Data_Loan[Value],[1]!Data_Loan[Index Loan],TDP!$B317,[1]!Data_Loan[TenCongTyID],TDP!$B$1,[1]!Data_Loan[Thang.Nam],TDP!AK$254)</f>
        <v>0</v>
      </c>
      <c r="AL317" s="201">
        <f>SUMIFS([1]!Data_Loan[Value],[1]!Data_Loan[Index Loan],TDP!$B317,[1]!Data_Loan[TenCongTyID],TDP!$B$1,[1]!Data_Loan[Thang.Nam],TDP!AL$254)</f>
        <v>0</v>
      </c>
    </row>
    <row r="318" spans="1:38" ht="15" customHeight="1" thickBot="1">
      <c r="A318" s="203" t="s">
        <v>373</v>
      </c>
      <c r="B318" s="332">
        <v>64</v>
      </c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>
        <v>0</v>
      </c>
      <c r="AA318" s="205">
        <f>SUMIFS([1]!Data_Loan[Value],[1]!Data_Loan[Index Loan],TDP!$B318,[1]!Data_Loan[TenCongTyID],TDP!$B$1,[1]!Data_Loan[Thang.Nam],TDP!AA$254)</f>
        <v>0</v>
      </c>
      <c r="AB318" s="205">
        <f>SUMIFS([1]!Data_Loan[Value],[1]!Data_Loan[Index Loan],TDP!$B318,[1]!Data_Loan[TenCongTyID],TDP!$B$1,[1]!Data_Loan[Thang.Nam],TDP!AB$254)</f>
        <v>0</v>
      </c>
      <c r="AC318" s="205">
        <f>SUMIFS([1]!Data_Loan[Value],[1]!Data_Loan[Index Loan],TDP!$B318,[1]!Data_Loan[TenCongTyID],TDP!$B$1,[1]!Data_Loan[Thang.Nam],TDP!AC$254)</f>
        <v>0</v>
      </c>
      <c r="AD318" s="205">
        <f>SUMIFS([1]!Data_Loan[Value],[1]!Data_Loan[Index Loan],TDP!$B318,[1]!Data_Loan[TenCongTyID],TDP!$B$1,[1]!Data_Loan[Thang.Nam],TDP!AD$254)</f>
        <v>0</v>
      </c>
      <c r="AE318" s="205">
        <f>SUMIFS([1]!Data_Loan[Value],[1]!Data_Loan[Index Loan],TDP!$B318,[1]!Data_Loan[TenCongTyID],TDP!$B$1,[1]!Data_Loan[Thang.Nam],TDP!AE$254)</f>
        <v>0</v>
      </c>
      <c r="AF318" s="205">
        <f>SUMIFS([1]!Data_Loan[Value],[1]!Data_Loan[Index Loan],TDP!$B318,[1]!Data_Loan[TenCongTyID],TDP!$B$1,[1]!Data_Loan[Thang.Nam],TDP!AF$254)</f>
        <v>0</v>
      </c>
      <c r="AG318" s="205">
        <f>SUMIFS([1]!Data_Loan[Value],[1]!Data_Loan[Index Loan],TDP!$B318,[1]!Data_Loan[TenCongTyID],TDP!$B$1,[1]!Data_Loan[Thang.Nam],TDP!AG$254)</f>
        <v>0</v>
      </c>
      <c r="AH318" s="205">
        <f>SUMIFS([1]!Data_Loan[Value],[1]!Data_Loan[Index Loan],TDP!$B318,[1]!Data_Loan[TenCongTyID],TDP!$B$1,[1]!Data_Loan[Thang.Nam],TDP!AH$254)</f>
        <v>0</v>
      </c>
      <c r="AI318" s="205">
        <f>SUMIFS([1]!Data_Loan[Value],[1]!Data_Loan[Index Loan],TDP!$B318,[1]!Data_Loan[TenCongTyID],TDP!$B$1,[1]!Data_Loan[Thang.Nam],TDP!AI$254)</f>
        <v>0</v>
      </c>
      <c r="AJ318" s="205">
        <f>SUMIFS([1]!Data_Loan[Value],[1]!Data_Loan[Index Loan],TDP!$B318,[1]!Data_Loan[TenCongTyID],TDP!$B$1,[1]!Data_Loan[Thang.Nam],TDP!AJ$254)</f>
        <v>0</v>
      </c>
      <c r="AK318" s="205">
        <f>SUMIFS([1]!Data_Loan[Value],[1]!Data_Loan[Index Loan],TDP!$B318,[1]!Data_Loan[TenCongTyID],TDP!$B$1,[1]!Data_Loan[Thang.Nam],TDP!AK$254)</f>
        <v>0</v>
      </c>
      <c r="AL318" s="205">
        <f>SUMIFS([1]!Data_Loan[Value],[1]!Data_Loan[Index Loan],TDP!$B318,[1]!Data_Loan[TenCongTyID],TDP!$B$1,[1]!Data_Loan[Thang.Nam],TDP!AL$254)</f>
        <v>0</v>
      </c>
    </row>
    <row r="319" spans="1:38" ht="15" customHeight="1" thickTop="1">
      <c r="A319" s="200" t="str">
        <f t="shared" ref="A319:A324" si="76">A301</f>
        <v>ACB</v>
      </c>
      <c r="B319" s="335">
        <v>65</v>
      </c>
      <c r="Z319" s="49">
        <v>0</v>
      </c>
      <c r="AA319" s="49">
        <f>SUMIFS([1]!Data_Loan[Value],[1]!Data_Loan[Index Loan],TDP!$B319,[1]!Data_Loan[TenCongTyID],TDP!$B$1,[1]!Data_Loan[Thang.Nam],TDP!AA$254)</f>
        <v>0</v>
      </c>
      <c r="AB319" s="49">
        <f>SUMIFS([1]!Data_Loan[Value],[1]!Data_Loan[Index Loan],TDP!$B319,[1]!Data_Loan[TenCongTyID],TDP!$B$1,[1]!Data_Loan[Thang.Nam],TDP!AB$254)</f>
        <v>0</v>
      </c>
      <c r="AC319" s="49">
        <f>SUMIFS([1]!Data_Loan[Value],[1]!Data_Loan[Index Loan],TDP!$B319,[1]!Data_Loan[TenCongTyID],TDP!$B$1,[1]!Data_Loan[Thang.Nam],TDP!AC$254)</f>
        <v>0</v>
      </c>
      <c r="AD319" s="49">
        <f>SUMIFS([1]!Data_Loan[Value],[1]!Data_Loan[Index Loan],TDP!$B319,[1]!Data_Loan[TenCongTyID],TDP!$B$1,[1]!Data_Loan[Thang.Nam],TDP!AD$254)</f>
        <v>0</v>
      </c>
      <c r="AE319" s="49">
        <f>SUMIFS([1]!Data_Loan[Value],[1]!Data_Loan[Index Loan],TDP!$B319,[1]!Data_Loan[TenCongTyID],TDP!$B$1,[1]!Data_Loan[Thang.Nam],TDP!AE$254)</f>
        <v>0</v>
      </c>
      <c r="AF319" s="49">
        <f>SUMIFS([1]!Data_Loan[Value],[1]!Data_Loan[Index Loan],TDP!$B319,[1]!Data_Loan[TenCongTyID],TDP!$B$1,[1]!Data_Loan[Thang.Nam],TDP!AF$254)</f>
        <v>0</v>
      </c>
      <c r="AG319" s="49">
        <f>SUMIFS([1]!Data_Loan[Value],[1]!Data_Loan[Index Loan],TDP!$B319,[1]!Data_Loan[TenCongTyID],TDP!$B$1,[1]!Data_Loan[Thang.Nam],TDP!AG$254)</f>
        <v>0</v>
      </c>
      <c r="AH319" s="49">
        <f>SUMIFS([1]!Data_Loan[Value],[1]!Data_Loan[Index Loan],TDP!$B319,[1]!Data_Loan[TenCongTyID],TDP!$B$1,[1]!Data_Loan[Thang.Nam],TDP!AH$254)</f>
        <v>0</v>
      </c>
      <c r="AI319" s="49">
        <f>SUMIFS([1]!Data_Loan[Value],[1]!Data_Loan[Index Loan],TDP!$B319,[1]!Data_Loan[TenCongTyID],TDP!$B$1,[1]!Data_Loan[Thang.Nam],TDP!AI$254)</f>
        <v>0</v>
      </c>
      <c r="AJ319" s="49">
        <f>SUMIFS([1]!Data_Loan[Value],[1]!Data_Loan[Index Loan],TDP!$B319,[1]!Data_Loan[TenCongTyID],TDP!$B$1,[1]!Data_Loan[Thang.Nam],TDP!AJ$254)</f>
        <v>0</v>
      </c>
      <c r="AK319" s="49">
        <f>SUMIFS([1]!Data_Loan[Value],[1]!Data_Loan[Index Loan],TDP!$B319,[1]!Data_Loan[TenCongTyID],TDP!$B$1,[1]!Data_Loan[Thang.Nam],TDP!AK$254)</f>
        <v>0</v>
      </c>
      <c r="AL319" s="49">
        <f>SUMIFS([1]!Data_Loan[Value],[1]!Data_Loan[Index Loan],TDP!$B319,[1]!Data_Loan[TenCongTyID],TDP!$B$1,[1]!Data_Loan[Thang.Nam],TDP!AL$254)</f>
        <v>0</v>
      </c>
    </row>
    <row r="320" spans="1:38" ht="15" customHeight="1">
      <c r="A320" s="200" t="str">
        <f t="shared" si="76"/>
        <v>VietinBank</v>
      </c>
      <c r="B320" s="335">
        <v>66</v>
      </c>
      <c r="Z320" s="49">
        <v>0</v>
      </c>
      <c r="AA320" s="49">
        <f>SUMIFS([1]!Data_Loan[Value],[1]!Data_Loan[Index Loan],TDP!$B320,[1]!Data_Loan[TenCongTyID],TDP!$B$1,[1]!Data_Loan[Thang.Nam],TDP!AA$254)</f>
        <v>0</v>
      </c>
      <c r="AB320" s="49">
        <f>SUMIFS([1]!Data_Loan[Value],[1]!Data_Loan[Index Loan],TDP!$B320,[1]!Data_Loan[TenCongTyID],TDP!$B$1,[1]!Data_Loan[Thang.Nam],TDP!AB$254)</f>
        <v>0</v>
      </c>
      <c r="AC320" s="49">
        <f>SUMIFS([1]!Data_Loan[Value],[1]!Data_Loan[Index Loan],TDP!$B320,[1]!Data_Loan[TenCongTyID],TDP!$B$1,[1]!Data_Loan[Thang.Nam],TDP!AC$254)</f>
        <v>0</v>
      </c>
      <c r="AD320" s="49">
        <f>SUMIFS([1]!Data_Loan[Value],[1]!Data_Loan[Index Loan],TDP!$B320,[1]!Data_Loan[TenCongTyID],TDP!$B$1,[1]!Data_Loan[Thang.Nam],TDP!AD$254)</f>
        <v>0</v>
      </c>
      <c r="AE320" s="49">
        <f>SUMIFS([1]!Data_Loan[Value],[1]!Data_Loan[Index Loan],TDP!$B320,[1]!Data_Loan[TenCongTyID],TDP!$B$1,[1]!Data_Loan[Thang.Nam],TDP!AE$254)</f>
        <v>0</v>
      </c>
      <c r="AF320" s="49">
        <f>SUMIFS([1]!Data_Loan[Value],[1]!Data_Loan[Index Loan],TDP!$B320,[1]!Data_Loan[TenCongTyID],TDP!$B$1,[1]!Data_Loan[Thang.Nam],TDP!AF$254)</f>
        <v>0</v>
      </c>
      <c r="AG320" s="49">
        <f>SUMIFS([1]!Data_Loan[Value],[1]!Data_Loan[Index Loan],TDP!$B320,[1]!Data_Loan[TenCongTyID],TDP!$B$1,[1]!Data_Loan[Thang.Nam],TDP!AG$254)</f>
        <v>0</v>
      </c>
      <c r="AH320" s="49">
        <f>SUMIFS([1]!Data_Loan[Value],[1]!Data_Loan[Index Loan],TDP!$B320,[1]!Data_Loan[TenCongTyID],TDP!$B$1,[1]!Data_Loan[Thang.Nam],TDP!AH$254)</f>
        <v>0</v>
      </c>
      <c r="AI320" s="49">
        <f>SUMIFS([1]!Data_Loan[Value],[1]!Data_Loan[Index Loan],TDP!$B320,[1]!Data_Loan[TenCongTyID],TDP!$B$1,[1]!Data_Loan[Thang.Nam],TDP!AI$254)</f>
        <v>0</v>
      </c>
      <c r="AJ320" s="49">
        <f>SUMIFS([1]!Data_Loan[Value],[1]!Data_Loan[Index Loan],TDP!$B320,[1]!Data_Loan[TenCongTyID],TDP!$B$1,[1]!Data_Loan[Thang.Nam],TDP!AJ$254)</f>
        <v>0</v>
      </c>
      <c r="AK320" s="49">
        <f>SUMIFS([1]!Data_Loan[Value],[1]!Data_Loan[Index Loan],TDP!$B320,[1]!Data_Loan[TenCongTyID],TDP!$B$1,[1]!Data_Loan[Thang.Nam],TDP!AK$254)</f>
        <v>0</v>
      </c>
      <c r="AL320" s="49">
        <f>SUMIFS([1]!Data_Loan[Value],[1]!Data_Loan[Index Loan],TDP!$B320,[1]!Data_Loan[TenCongTyID],TDP!$B$1,[1]!Data_Loan[Thang.Nam],TDP!AL$254)</f>
        <v>0</v>
      </c>
    </row>
    <row r="321" spans="1:38" ht="15" customHeight="1">
      <c r="A321" s="200" t="str">
        <f t="shared" si="76"/>
        <v>Vietcombank</v>
      </c>
      <c r="B321" s="335">
        <v>67</v>
      </c>
      <c r="Z321" s="49">
        <v>0</v>
      </c>
      <c r="AA321" s="49">
        <f>SUMIFS([1]!Data_Loan[Value],[1]!Data_Loan[Index Loan],TDP!$B321,[1]!Data_Loan[TenCongTyID],TDP!$B$1,[1]!Data_Loan[Thang.Nam],TDP!AA$254)</f>
        <v>0</v>
      </c>
      <c r="AB321" s="49">
        <f>SUMIFS([1]!Data_Loan[Value],[1]!Data_Loan[Index Loan],TDP!$B321,[1]!Data_Loan[TenCongTyID],TDP!$B$1,[1]!Data_Loan[Thang.Nam],TDP!AB$254)</f>
        <v>0</v>
      </c>
      <c r="AC321" s="49">
        <f>SUMIFS([1]!Data_Loan[Value],[1]!Data_Loan[Index Loan],TDP!$B321,[1]!Data_Loan[TenCongTyID],TDP!$B$1,[1]!Data_Loan[Thang.Nam],TDP!AC$254)</f>
        <v>0</v>
      </c>
      <c r="AD321" s="49">
        <f>SUMIFS([1]!Data_Loan[Value],[1]!Data_Loan[Index Loan],TDP!$B321,[1]!Data_Loan[TenCongTyID],TDP!$B$1,[1]!Data_Loan[Thang.Nam],TDP!AD$254)</f>
        <v>0</v>
      </c>
      <c r="AE321" s="49">
        <f>SUMIFS([1]!Data_Loan[Value],[1]!Data_Loan[Index Loan],TDP!$B321,[1]!Data_Loan[TenCongTyID],TDP!$B$1,[1]!Data_Loan[Thang.Nam],TDP!AE$254)</f>
        <v>0</v>
      </c>
      <c r="AF321" s="49">
        <f>SUMIFS([1]!Data_Loan[Value],[1]!Data_Loan[Index Loan],TDP!$B321,[1]!Data_Loan[TenCongTyID],TDP!$B$1,[1]!Data_Loan[Thang.Nam],TDP!AF$254)</f>
        <v>0</v>
      </c>
      <c r="AG321" s="49">
        <f>SUMIFS([1]!Data_Loan[Value],[1]!Data_Loan[Index Loan],TDP!$B321,[1]!Data_Loan[TenCongTyID],TDP!$B$1,[1]!Data_Loan[Thang.Nam],TDP!AG$254)</f>
        <v>0</v>
      </c>
      <c r="AH321" s="49">
        <f>SUMIFS([1]!Data_Loan[Value],[1]!Data_Loan[Index Loan],TDP!$B321,[1]!Data_Loan[TenCongTyID],TDP!$B$1,[1]!Data_Loan[Thang.Nam],TDP!AH$254)</f>
        <v>0</v>
      </c>
      <c r="AI321" s="49">
        <f>SUMIFS([1]!Data_Loan[Value],[1]!Data_Loan[Index Loan],TDP!$B321,[1]!Data_Loan[TenCongTyID],TDP!$B$1,[1]!Data_Loan[Thang.Nam],TDP!AI$254)</f>
        <v>0</v>
      </c>
      <c r="AJ321" s="49">
        <f>SUMIFS([1]!Data_Loan[Value],[1]!Data_Loan[Index Loan],TDP!$B321,[1]!Data_Loan[TenCongTyID],TDP!$B$1,[1]!Data_Loan[Thang.Nam],TDP!AJ$254)</f>
        <v>0</v>
      </c>
      <c r="AK321" s="49">
        <f>SUMIFS([1]!Data_Loan[Value],[1]!Data_Loan[Index Loan],TDP!$B321,[1]!Data_Loan[TenCongTyID],TDP!$B$1,[1]!Data_Loan[Thang.Nam],TDP!AK$254)</f>
        <v>0</v>
      </c>
      <c r="AL321" s="49">
        <f>SUMIFS([1]!Data_Loan[Value],[1]!Data_Loan[Index Loan],TDP!$B321,[1]!Data_Loan[TenCongTyID],TDP!$B$1,[1]!Data_Loan[Thang.Nam],TDP!AL$254)</f>
        <v>0</v>
      </c>
    </row>
    <row r="322" spans="1:38" ht="15" customHeight="1">
      <c r="A322" s="200" t="str">
        <f t="shared" si="76"/>
        <v>BIDV</v>
      </c>
      <c r="B322" s="335">
        <v>68</v>
      </c>
      <c r="Z322" s="49">
        <v>0</v>
      </c>
      <c r="AA322" s="49">
        <f>SUMIFS([1]!Data_Loan[Value],[1]!Data_Loan[Index Loan],TDP!$B322,[1]!Data_Loan[TenCongTyID],TDP!$B$1,[1]!Data_Loan[Thang.Nam],TDP!AA$254)</f>
        <v>0</v>
      </c>
      <c r="AB322" s="49">
        <f>SUMIFS([1]!Data_Loan[Value],[1]!Data_Loan[Index Loan],TDP!$B322,[1]!Data_Loan[TenCongTyID],TDP!$B$1,[1]!Data_Loan[Thang.Nam],TDP!AB$254)</f>
        <v>0</v>
      </c>
      <c r="AC322" s="49">
        <f>SUMIFS([1]!Data_Loan[Value],[1]!Data_Loan[Index Loan],TDP!$B322,[1]!Data_Loan[TenCongTyID],TDP!$B$1,[1]!Data_Loan[Thang.Nam],TDP!AC$254)</f>
        <v>0</v>
      </c>
      <c r="AD322" s="49">
        <f>SUMIFS([1]!Data_Loan[Value],[1]!Data_Loan[Index Loan],TDP!$B322,[1]!Data_Loan[TenCongTyID],TDP!$B$1,[1]!Data_Loan[Thang.Nam],TDP!AD$254)</f>
        <v>0</v>
      </c>
      <c r="AE322" s="49">
        <f>SUMIFS([1]!Data_Loan[Value],[1]!Data_Loan[Index Loan],TDP!$B322,[1]!Data_Loan[TenCongTyID],TDP!$B$1,[1]!Data_Loan[Thang.Nam],TDP!AE$254)</f>
        <v>0</v>
      </c>
      <c r="AF322" s="49">
        <f>SUMIFS([1]!Data_Loan[Value],[1]!Data_Loan[Index Loan],TDP!$B322,[1]!Data_Loan[TenCongTyID],TDP!$B$1,[1]!Data_Loan[Thang.Nam],TDP!AF$254)</f>
        <v>0</v>
      </c>
      <c r="AG322" s="49">
        <f>SUMIFS([1]!Data_Loan[Value],[1]!Data_Loan[Index Loan],TDP!$B322,[1]!Data_Loan[TenCongTyID],TDP!$B$1,[1]!Data_Loan[Thang.Nam],TDP!AG$254)</f>
        <v>0</v>
      </c>
      <c r="AH322" s="49">
        <f>SUMIFS([1]!Data_Loan[Value],[1]!Data_Loan[Index Loan],TDP!$B322,[1]!Data_Loan[TenCongTyID],TDP!$B$1,[1]!Data_Loan[Thang.Nam],TDP!AH$254)</f>
        <v>0</v>
      </c>
      <c r="AI322" s="49">
        <f>SUMIFS([1]!Data_Loan[Value],[1]!Data_Loan[Index Loan],TDP!$B322,[1]!Data_Loan[TenCongTyID],TDP!$B$1,[1]!Data_Loan[Thang.Nam],TDP!AI$254)</f>
        <v>0</v>
      </c>
      <c r="AJ322" s="49">
        <f>SUMIFS([1]!Data_Loan[Value],[1]!Data_Loan[Index Loan],TDP!$B322,[1]!Data_Loan[TenCongTyID],TDP!$B$1,[1]!Data_Loan[Thang.Nam],TDP!AJ$254)</f>
        <v>0</v>
      </c>
      <c r="AK322" s="49">
        <f>SUMIFS([1]!Data_Loan[Value],[1]!Data_Loan[Index Loan],TDP!$B322,[1]!Data_Loan[TenCongTyID],TDP!$B$1,[1]!Data_Loan[Thang.Nam],TDP!AK$254)</f>
        <v>0</v>
      </c>
      <c r="AL322" s="49">
        <f>SUMIFS([1]!Data_Loan[Value],[1]!Data_Loan[Index Loan],TDP!$B322,[1]!Data_Loan[TenCongTyID],TDP!$B$1,[1]!Data_Loan[Thang.Nam],TDP!AL$254)</f>
        <v>0</v>
      </c>
    </row>
    <row r="323" spans="1:38" ht="15" customHeight="1">
      <c r="A323" s="200" t="str">
        <f t="shared" si="76"/>
        <v>Standard Chartered</v>
      </c>
      <c r="B323" s="335">
        <v>69</v>
      </c>
      <c r="Z323" s="49">
        <v>0</v>
      </c>
      <c r="AA323" s="49">
        <f>SUMIFS([1]!Data_Loan[Value],[1]!Data_Loan[Index Loan],TDP!$B323,[1]!Data_Loan[TenCongTyID],TDP!$B$1,[1]!Data_Loan[Thang.Nam],TDP!AA$254)</f>
        <v>0</v>
      </c>
      <c r="AB323" s="49">
        <f>SUMIFS([1]!Data_Loan[Value],[1]!Data_Loan[Index Loan],TDP!$B323,[1]!Data_Loan[TenCongTyID],TDP!$B$1,[1]!Data_Loan[Thang.Nam],TDP!AB$254)</f>
        <v>0</v>
      </c>
      <c r="AC323" s="49">
        <f>SUMIFS([1]!Data_Loan[Value],[1]!Data_Loan[Index Loan],TDP!$B323,[1]!Data_Loan[TenCongTyID],TDP!$B$1,[1]!Data_Loan[Thang.Nam],TDP!AC$254)</f>
        <v>0</v>
      </c>
      <c r="AD323" s="49">
        <f>SUMIFS([1]!Data_Loan[Value],[1]!Data_Loan[Index Loan],TDP!$B323,[1]!Data_Loan[TenCongTyID],TDP!$B$1,[1]!Data_Loan[Thang.Nam],TDP!AD$254)</f>
        <v>0</v>
      </c>
      <c r="AE323" s="49">
        <f>SUMIFS([1]!Data_Loan[Value],[1]!Data_Loan[Index Loan],TDP!$B323,[1]!Data_Loan[TenCongTyID],TDP!$B$1,[1]!Data_Loan[Thang.Nam],TDP!AE$254)</f>
        <v>0</v>
      </c>
      <c r="AF323" s="49">
        <f>SUMIFS([1]!Data_Loan[Value],[1]!Data_Loan[Index Loan],TDP!$B323,[1]!Data_Loan[TenCongTyID],TDP!$B$1,[1]!Data_Loan[Thang.Nam],TDP!AF$254)</f>
        <v>0</v>
      </c>
      <c r="AG323" s="49">
        <f>SUMIFS([1]!Data_Loan[Value],[1]!Data_Loan[Index Loan],TDP!$B323,[1]!Data_Loan[TenCongTyID],TDP!$B$1,[1]!Data_Loan[Thang.Nam],TDP!AG$254)</f>
        <v>0</v>
      </c>
      <c r="AH323" s="49">
        <f>SUMIFS([1]!Data_Loan[Value],[1]!Data_Loan[Index Loan],TDP!$B323,[1]!Data_Loan[TenCongTyID],TDP!$B$1,[1]!Data_Loan[Thang.Nam],TDP!AH$254)</f>
        <v>0</v>
      </c>
      <c r="AI323" s="49">
        <f>SUMIFS([1]!Data_Loan[Value],[1]!Data_Loan[Index Loan],TDP!$B323,[1]!Data_Loan[TenCongTyID],TDP!$B$1,[1]!Data_Loan[Thang.Nam],TDP!AI$254)</f>
        <v>0</v>
      </c>
      <c r="AJ323" s="49">
        <f>SUMIFS([1]!Data_Loan[Value],[1]!Data_Loan[Index Loan],TDP!$B323,[1]!Data_Loan[TenCongTyID],TDP!$B$1,[1]!Data_Loan[Thang.Nam],TDP!AJ$254)</f>
        <v>0</v>
      </c>
      <c r="AK323" s="49">
        <f>SUMIFS([1]!Data_Loan[Value],[1]!Data_Loan[Index Loan],TDP!$B323,[1]!Data_Loan[TenCongTyID],TDP!$B$1,[1]!Data_Loan[Thang.Nam],TDP!AK$254)</f>
        <v>0</v>
      </c>
      <c r="AL323" s="49">
        <f>SUMIFS([1]!Data_Loan[Value],[1]!Data_Loan[Index Loan],TDP!$B323,[1]!Data_Loan[TenCongTyID],TDP!$B$1,[1]!Data_Loan[Thang.Nam],TDP!AL$254)</f>
        <v>0</v>
      </c>
    </row>
    <row r="324" spans="1:38" ht="15" customHeight="1">
      <c r="A324" s="200" t="str">
        <f t="shared" si="76"/>
        <v>VILC</v>
      </c>
      <c r="B324" s="335">
        <v>70</v>
      </c>
      <c r="Z324" s="49">
        <v>0</v>
      </c>
      <c r="AA324" s="49">
        <f>SUMIFS([1]!Data_Loan[Value],[1]!Data_Loan[Index Loan],TDP!$B324,[1]!Data_Loan[TenCongTyID],TDP!$B$1,[1]!Data_Loan[Thang.Nam],TDP!AA$254)</f>
        <v>0</v>
      </c>
      <c r="AB324" s="49">
        <f>SUMIFS([1]!Data_Loan[Value],[1]!Data_Loan[Index Loan],TDP!$B324,[1]!Data_Loan[TenCongTyID],TDP!$B$1,[1]!Data_Loan[Thang.Nam],TDP!AB$254)</f>
        <v>0</v>
      </c>
      <c r="AC324" s="49">
        <f>SUMIFS([1]!Data_Loan[Value],[1]!Data_Loan[Index Loan],TDP!$B324,[1]!Data_Loan[TenCongTyID],TDP!$B$1,[1]!Data_Loan[Thang.Nam],TDP!AC$254)</f>
        <v>0</v>
      </c>
      <c r="AD324" s="49">
        <f>SUMIFS([1]!Data_Loan[Value],[1]!Data_Loan[Index Loan],TDP!$B324,[1]!Data_Loan[TenCongTyID],TDP!$B$1,[1]!Data_Loan[Thang.Nam],TDP!AD$254)</f>
        <v>0</v>
      </c>
      <c r="AE324" s="49">
        <f>SUMIFS([1]!Data_Loan[Value],[1]!Data_Loan[Index Loan],TDP!$B324,[1]!Data_Loan[TenCongTyID],TDP!$B$1,[1]!Data_Loan[Thang.Nam],TDP!AE$254)</f>
        <v>0</v>
      </c>
      <c r="AF324" s="49">
        <f>SUMIFS([1]!Data_Loan[Value],[1]!Data_Loan[Index Loan],TDP!$B324,[1]!Data_Loan[TenCongTyID],TDP!$B$1,[1]!Data_Loan[Thang.Nam],TDP!AF$254)</f>
        <v>0</v>
      </c>
      <c r="AG324" s="49">
        <f>SUMIFS([1]!Data_Loan[Value],[1]!Data_Loan[Index Loan],TDP!$B324,[1]!Data_Loan[TenCongTyID],TDP!$B$1,[1]!Data_Loan[Thang.Nam],TDP!AG$254)</f>
        <v>0</v>
      </c>
      <c r="AH324" s="49">
        <f>SUMIFS([1]!Data_Loan[Value],[1]!Data_Loan[Index Loan],TDP!$B324,[1]!Data_Loan[TenCongTyID],TDP!$B$1,[1]!Data_Loan[Thang.Nam],TDP!AH$254)</f>
        <v>0</v>
      </c>
      <c r="AI324" s="49">
        <f>SUMIFS([1]!Data_Loan[Value],[1]!Data_Loan[Index Loan],TDP!$B324,[1]!Data_Loan[TenCongTyID],TDP!$B$1,[1]!Data_Loan[Thang.Nam],TDP!AI$254)</f>
        <v>0</v>
      </c>
      <c r="AJ324" s="49">
        <f>SUMIFS([1]!Data_Loan[Value],[1]!Data_Loan[Index Loan],TDP!$B324,[1]!Data_Loan[TenCongTyID],TDP!$B$1,[1]!Data_Loan[Thang.Nam],TDP!AJ$254)</f>
        <v>0</v>
      </c>
      <c r="AK324" s="49">
        <f>SUMIFS([1]!Data_Loan[Value],[1]!Data_Loan[Index Loan],TDP!$B324,[1]!Data_Loan[TenCongTyID],TDP!$B$1,[1]!Data_Loan[Thang.Nam],TDP!AK$254)</f>
        <v>0</v>
      </c>
      <c r="AL324" s="49">
        <f>SUMIFS([1]!Data_Loan[Value],[1]!Data_Loan[Index Loan],TDP!$B324,[1]!Data_Loan[TenCongTyID],TDP!$B$1,[1]!Data_Loan[Thang.Nam],TDP!AL$254)</f>
        <v>0</v>
      </c>
    </row>
    <row r="325" spans="1:38" ht="15" customHeight="1">
      <c r="A325" s="200" t="s">
        <v>347</v>
      </c>
      <c r="B325" s="335">
        <v>71</v>
      </c>
      <c r="Z325" s="49">
        <v>0</v>
      </c>
      <c r="AA325" s="49">
        <f>SUMIFS([1]!Data_Loan[Value],[1]!Data_Loan[Index Loan],TDP!$B325,[1]!Data_Loan[TenCongTyID],TDP!$B$1,[1]!Data_Loan[Thang.Nam],TDP!AA$254)</f>
        <v>0</v>
      </c>
      <c r="AB325" s="49">
        <f>SUMIFS([1]!Data_Loan[Value],[1]!Data_Loan[Index Loan],TDP!$B325,[1]!Data_Loan[TenCongTyID],TDP!$B$1,[1]!Data_Loan[Thang.Nam],TDP!AB$254)</f>
        <v>0</v>
      </c>
      <c r="AC325" s="49">
        <f>SUMIFS([1]!Data_Loan[Value],[1]!Data_Loan[Index Loan],TDP!$B325,[1]!Data_Loan[TenCongTyID],TDP!$B$1,[1]!Data_Loan[Thang.Nam],TDP!AC$254)</f>
        <v>0</v>
      </c>
      <c r="AD325" s="49">
        <f>SUMIFS([1]!Data_Loan[Value],[1]!Data_Loan[Index Loan],TDP!$B325,[1]!Data_Loan[TenCongTyID],TDP!$B$1,[1]!Data_Loan[Thang.Nam],TDP!AD$254)</f>
        <v>0</v>
      </c>
      <c r="AE325" s="49">
        <f>SUMIFS([1]!Data_Loan[Value],[1]!Data_Loan[Index Loan],TDP!$B325,[1]!Data_Loan[TenCongTyID],TDP!$B$1,[1]!Data_Loan[Thang.Nam],TDP!AE$254)</f>
        <v>0</v>
      </c>
      <c r="AF325" s="49">
        <f>SUMIFS([1]!Data_Loan[Value],[1]!Data_Loan[Index Loan],TDP!$B325,[1]!Data_Loan[TenCongTyID],TDP!$B$1,[1]!Data_Loan[Thang.Nam],TDP!AF$254)</f>
        <v>0</v>
      </c>
      <c r="AG325" s="49">
        <f>SUMIFS([1]!Data_Loan[Value],[1]!Data_Loan[Index Loan],TDP!$B325,[1]!Data_Loan[TenCongTyID],TDP!$B$1,[1]!Data_Loan[Thang.Nam],TDP!AG$254)</f>
        <v>0</v>
      </c>
      <c r="AH325" s="49">
        <f>SUMIFS([1]!Data_Loan[Value],[1]!Data_Loan[Index Loan],TDP!$B325,[1]!Data_Loan[TenCongTyID],TDP!$B$1,[1]!Data_Loan[Thang.Nam],TDP!AH$254)</f>
        <v>0</v>
      </c>
      <c r="AI325" s="49">
        <f>SUMIFS([1]!Data_Loan[Value],[1]!Data_Loan[Index Loan],TDP!$B325,[1]!Data_Loan[TenCongTyID],TDP!$B$1,[1]!Data_Loan[Thang.Nam],TDP!AI$254)</f>
        <v>0</v>
      </c>
      <c r="AJ325" s="49">
        <f>SUMIFS([1]!Data_Loan[Value],[1]!Data_Loan[Index Loan],TDP!$B325,[1]!Data_Loan[TenCongTyID],TDP!$B$1,[1]!Data_Loan[Thang.Nam],TDP!AJ$254)</f>
        <v>0</v>
      </c>
      <c r="AK325" s="49">
        <f>SUMIFS([1]!Data_Loan[Value],[1]!Data_Loan[Index Loan],TDP!$B325,[1]!Data_Loan[TenCongTyID],TDP!$B$1,[1]!Data_Loan[Thang.Nam],TDP!AK$254)</f>
        <v>0</v>
      </c>
      <c r="AL325" s="49">
        <f>SUMIFS([1]!Data_Loan[Value],[1]!Data_Loan[Index Loan],TDP!$B325,[1]!Data_Loan[TenCongTyID],TDP!$B$1,[1]!Data_Loan[Thang.Nam],TDP!AL$254)</f>
        <v>0</v>
      </c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75DD-21A9-452F-8715-EFD41A5B4166}">
  <sheetPr>
    <tabColor rgb="FF00B050"/>
    <outlinePr summaryBelow="0" summaryRight="0"/>
  </sheetPr>
  <dimension ref="A1:AZ325"/>
  <sheetViews>
    <sheetView showGridLines="0" showZeros="0" zoomScale="80" zoomScaleNormal="80" workbookViewId="0">
      <pane xSplit="1" ySplit="5" topLeftCell="V132" activePane="bottomRight" state="frozenSplit"/>
      <selection activeCell="AA138" sqref="AA138"/>
      <selection pane="topRight" activeCell="AA138" sqref="AA138"/>
      <selection pane="bottomLeft" activeCell="AA138" sqref="AA138"/>
      <selection pane="bottomRight" activeCell="AT134" sqref="AT134"/>
    </sheetView>
  </sheetViews>
  <sheetFormatPr defaultColWidth="9.26953125" defaultRowHeight="15" customHeight="1" outlineLevelRow="1" outlineLevelCol="1"/>
  <cols>
    <col min="1" max="1" width="49" style="49" customWidth="1"/>
    <col min="2" max="2" width="8.1796875" style="174" hidden="1" customWidth="1" collapsed="1"/>
    <col min="3" max="6" width="19.54296875" style="49" hidden="1" customWidth="1" outlineLevel="1"/>
    <col min="7" max="12" width="16.81640625" style="49" hidden="1" customWidth="1" outlineLevel="1"/>
    <col min="13" max="14" width="18.26953125" style="49" hidden="1" customWidth="1" outlineLevel="1"/>
    <col min="15" max="17" width="19.54296875" style="49" hidden="1" customWidth="1" outlineLevel="1"/>
    <col min="18" max="18" width="18.26953125" style="49" hidden="1" customWidth="1" outlineLevel="1"/>
    <col min="19" max="19" width="16.453125" style="49" hidden="1" customWidth="1" outlineLevel="1"/>
    <col min="20" max="24" width="16.81640625" style="49" hidden="1" customWidth="1" outlineLevel="1"/>
    <col min="25" max="26" width="18.26953125" style="49" hidden="1" customWidth="1" outlineLevel="1"/>
    <col min="27" max="38" width="9.54296875" style="49" bestFit="1" customWidth="1"/>
    <col min="39" max="39" width="6.1796875" style="43" bestFit="1" customWidth="1"/>
    <col min="40" max="43" width="9.26953125" style="43"/>
    <col min="44" max="44" width="7.81640625" style="43" customWidth="1"/>
    <col min="45" max="16384" width="9.26953125" style="43"/>
  </cols>
  <sheetData>
    <row r="1" spans="1:38" ht="19.5" customHeight="1">
      <c r="A1" s="47" t="s">
        <v>379</v>
      </c>
      <c r="B1" s="40">
        <v>23</v>
      </c>
      <c r="C1" s="41">
        <v>2024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1">
        <v>2025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ht="19.5" hidden="1" customHeight="1">
      <c r="A2" s="44" t="s">
        <v>63</v>
      </c>
      <c r="B2" s="45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1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</row>
    <row r="3" spans="1:38" ht="19.5" hidden="1" customHeight="1">
      <c r="A3" s="47"/>
      <c r="B3" s="45"/>
      <c r="C3" s="48">
        <v>2024</v>
      </c>
      <c r="D3" s="42">
        <f>C3</f>
        <v>2024</v>
      </c>
      <c r="E3" s="42">
        <f>D3</f>
        <v>2024</v>
      </c>
      <c r="F3" s="42">
        <f t="shared" ref="F3:N3" si="0">E3</f>
        <v>2024</v>
      </c>
      <c r="G3" s="42">
        <f t="shared" si="0"/>
        <v>2024</v>
      </c>
      <c r="H3" s="42">
        <f>G3</f>
        <v>2024</v>
      </c>
      <c r="I3" s="42">
        <f t="shared" si="0"/>
        <v>2024</v>
      </c>
      <c r="J3" s="42">
        <f t="shared" si="0"/>
        <v>2024</v>
      </c>
      <c r="K3" s="42">
        <f t="shared" si="0"/>
        <v>2024</v>
      </c>
      <c r="L3" s="42">
        <f t="shared" si="0"/>
        <v>2024</v>
      </c>
      <c r="M3" s="42">
        <f t="shared" si="0"/>
        <v>2024</v>
      </c>
      <c r="N3" s="42">
        <f t="shared" si="0"/>
        <v>2024</v>
      </c>
      <c r="O3" s="48">
        <v>2025</v>
      </c>
      <c r="P3" s="42">
        <f>O3</f>
        <v>2025</v>
      </c>
      <c r="Q3" s="42">
        <f>P3</f>
        <v>2025</v>
      </c>
      <c r="R3" s="42">
        <f>Q3</f>
        <v>2025</v>
      </c>
      <c r="S3" s="42">
        <f>R3</f>
        <v>2025</v>
      </c>
      <c r="T3" s="42">
        <f>S3</f>
        <v>2025</v>
      </c>
      <c r="U3" s="42">
        <f t="shared" ref="U3:Y3" si="1">T3</f>
        <v>2025</v>
      </c>
      <c r="V3" s="42">
        <f t="shared" si="1"/>
        <v>2025</v>
      </c>
      <c r="W3" s="42">
        <f t="shared" si="1"/>
        <v>2025</v>
      </c>
      <c r="X3" s="42">
        <f t="shared" si="1"/>
        <v>2025</v>
      </c>
      <c r="Y3" s="42">
        <f t="shared" si="1"/>
        <v>2025</v>
      </c>
      <c r="Z3" s="42">
        <v>2025</v>
      </c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</row>
    <row r="4" spans="1:38" ht="16.5" hidden="1" customHeight="1">
      <c r="B4" s="50"/>
      <c r="C4" s="44">
        <v>1</v>
      </c>
      <c r="D4" s="44">
        <v>2</v>
      </c>
      <c r="E4" s="44">
        <v>3</v>
      </c>
      <c r="F4" s="44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</v>
      </c>
      <c r="P4" s="44">
        <v>2</v>
      </c>
      <c r="Q4" s="44">
        <v>3</v>
      </c>
      <c r="R4" s="44">
        <v>4</v>
      </c>
      <c r="S4" s="44">
        <v>5</v>
      </c>
      <c r="T4" s="44">
        <v>6</v>
      </c>
      <c r="U4" s="44">
        <v>7</v>
      </c>
      <c r="V4" s="44">
        <v>8</v>
      </c>
      <c r="W4" s="44">
        <v>9</v>
      </c>
      <c r="X4" s="44">
        <v>10</v>
      </c>
      <c r="Y4" s="44">
        <v>11</v>
      </c>
      <c r="Z4" s="44">
        <v>12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</row>
    <row r="5" spans="1:38" ht="26" collapsed="1">
      <c r="A5" s="51" t="s">
        <v>64</v>
      </c>
      <c r="B5" s="52" t="s">
        <v>65</v>
      </c>
      <c r="C5" s="53" t="s">
        <v>66</v>
      </c>
      <c r="D5" s="54" t="s">
        <v>67</v>
      </c>
      <c r="E5" s="53" t="s">
        <v>68</v>
      </c>
      <c r="F5" s="53" t="s">
        <v>69</v>
      </c>
      <c r="G5" s="53" t="s">
        <v>70</v>
      </c>
      <c r="H5" s="53" t="s">
        <v>71</v>
      </c>
      <c r="I5" s="53" t="s">
        <v>72</v>
      </c>
      <c r="J5" s="54" t="s">
        <v>73</v>
      </c>
      <c r="K5" s="55" t="s">
        <v>74</v>
      </c>
      <c r="L5" s="55" t="s">
        <v>75</v>
      </c>
      <c r="M5" s="55" t="s">
        <v>76</v>
      </c>
      <c r="N5" s="55" t="s">
        <v>77</v>
      </c>
      <c r="O5" s="53" t="s">
        <v>78</v>
      </c>
      <c r="P5" s="53" t="s">
        <v>79</v>
      </c>
      <c r="Q5" s="53" t="s">
        <v>80</v>
      </c>
      <c r="R5" s="53" t="s">
        <v>81</v>
      </c>
      <c r="S5" s="53" t="s">
        <v>82</v>
      </c>
      <c r="T5" s="53" t="s">
        <v>83</v>
      </c>
      <c r="U5" s="53" t="s">
        <v>84</v>
      </c>
      <c r="V5" s="53" t="s">
        <v>85</v>
      </c>
      <c r="W5" s="53" t="s">
        <v>86</v>
      </c>
      <c r="X5" s="53" t="s">
        <v>87</v>
      </c>
      <c r="Y5" s="53" t="s">
        <v>88</v>
      </c>
      <c r="Z5" s="53" t="s">
        <v>89</v>
      </c>
      <c r="AA5" s="53" t="s">
        <v>8</v>
      </c>
      <c r="AB5" s="53" t="s">
        <v>9</v>
      </c>
      <c r="AC5" s="53" t="s">
        <v>10</v>
      </c>
      <c r="AD5" s="53" t="s">
        <v>11</v>
      </c>
      <c r="AE5" s="53" t="s">
        <v>12</v>
      </c>
      <c r="AF5" s="53" t="s">
        <v>13</v>
      </c>
      <c r="AG5" s="53" t="s">
        <v>14</v>
      </c>
      <c r="AH5" s="53" t="s">
        <v>15</v>
      </c>
      <c r="AI5" s="53" t="s">
        <v>16</v>
      </c>
      <c r="AJ5" s="53" t="s">
        <v>17</v>
      </c>
      <c r="AK5" s="53" t="s">
        <v>18</v>
      </c>
      <c r="AL5" s="53" t="s">
        <v>19</v>
      </c>
    </row>
    <row r="6" spans="1:38" ht="15" hidden="1" customHeight="1" outlineLevel="1">
      <c r="A6" s="56" t="s">
        <v>90</v>
      </c>
      <c r="B6" s="57">
        <v>1</v>
      </c>
      <c r="C6" s="58">
        <f t="shared" ref="C6:I6" si="2">+C7+C10+C17+C25+C32</f>
        <v>0</v>
      </c>
      <c r="D6" s="370">
        <f t="shared" si="2"/>
        <v>0</v>
      </c>
      <c r="E6" s="370">
        <f t="shared" si="2"/>
        <v>0</v>
      </c>
      <c r="F6" s="371">
        <f t="shared" si="2"/>
        <v>0</v>
      </c>
      <c r="G6" s="370">
        <f t="shared" si="2"/>
        <v>0</v>
      </c>
      <c r="H6" s="370">
        <f t="shared" si="2"/>
        <v>0</v>
      </c>
      <c r="I6" s="370">
        <f t="shared" si="2"/>
        <v>0</v>
      </c>
      <c r="J6" s="370"/>
      <c r="K6" s="370"/>
      <c r="L6" s="370"/>
      <c r="M6" s="371"/>
      <c r="N6" s="372"/>
      <c r="O6" s="58"/>
      <c r="P6" s="370"/>
      <c r="Q6" s="370"/>
      <c r="R6" s="371"/>
      <c r="S6" s="370"/>
      <c r="T6" s="370"/>
      <c r="U6" s="370"/>
      <c r="V6" s="370"/>
      <c r="W6" s="370"/>
      <c r="X6" s="370">
        <f>+X7+X10+X17+X25+X32</f>
        <v>0</v>
      </c>
      <c r="Y6" s="371">
        <v>410553788</v>
      </c>
      <c r="Z6" s="431">
        <v>5910557105</v>
      </c>
      <c r="AA6" s="431">
        <f>SUMIFS([1]!Data_BS[Value],[1]!Data_BS[Index BS],DTRVL!$B6,[1]!Data_BS[TenCongTyID],DTRVL!$B$1,[1]!Data_BS[Thang.Nam],DTRVL!AA$5)</f>
        <v>0</v>
      </c>
      <c r="AB6" s="431">
        <f>SUMIFS([1]!Data_BS[Value],[1]!Data_BS[Index BS],DTRVL!$B6,[1]!Data_BS[TenCongTyID],DTRVL!$B$1,[1]!Data_BS[Thang.Nam],DTRVL!AB$5)</f>
        <v>0</v>
      </c>
      <c r="AC6" s="431">
        <f>SUMIFS([1]!Data_BS[Value],[1]!Data_BS[Index BS],DTRVL!$B6,[1]!Data_BS[TenCongTyID],DTRVL!$B$1,[1]!Data_BS[Thang.Nam],DTRVL!AC$5)</f>
        <v>0</v>
      </c>
      <c r="AD6" s="431">
        <f>SUMIFS([1]!Data_BS[Value],[1]!Data_BS[Index BS],DTRVL!$B6,[1]!Data_BS[TenCongTyID],DTRVL!$B$1,[1]!Data_BS[Thang.Nam],DTRVL!AD$5)</f>
        <v>0</v>
      </c>
      <c r="AE6" s="431">
        <f>SUMIFS([1]!Data_BS[Value],[1]!Data_BS[Index BS],DTRVL!$B6,[1]!Data_BS[TenCongTyID],DTRVL!$B$1,[1]!Data_BS[Thang.Nam],DTRVL!AE$5)</f>
        <v>0</v>
      </c>
      <c r="AF6" s="431">
        <f>SUMIFS([1]!Data_BS[Value],[1]!Data_BS[Index BS],DTRVL!$B6,[1]!Data_BS[TenCongTyID],DTRVL!$B$1,[1]!Data_BS[Thang.Nam],DTRVL!AF$5)</f>
        <v>0</v>
      </c>
      <c r="AG6" s="431">
        <f>SUMIFS([1]!Data_BS[Value],[1]!Data_BS[Index BS],DTRVL!$B6,[1]!Data_BS[TenCongTyID],DTRVL!$B$1,[1]!Data_BS[Thang.Nam],DTRVL!AG$5)</f>
        <v>0</v>
      </c>
      <c r="AH6" s="431">
        <f>SUMIFS([1]!Data_BS[Value],[1]!Data_BS[Index BS],DTRVL!$B6,[1]!Data_BS[TenCongTyID],DTRVL!$B$1,[1]!Data_BS[Thang.Nam],DTRVL!AH$5)</f>
        <v>0</v>
      </c>
      <c r="AI6" s="431">
        <f>SUMIFS([1]!Data_BS[Value],[1]!Data_BS[Index BS],DTRVL!$B6,[1]!Data_BS[TenCongTyID],DTRVL!$B$1,[1]!Data_BS[Thang.Nam],DTRVL!AI$5)</f>
        <v>0</v>
      </c>
      <c r="AJ6" s="431">
        <f>SUMIFS([1]!Data_BS[Value],[1]!Data_BS[Index BS],DTRVL!$B6,[1]!Data_BS[TenCongTyID],DTRVL!$B$1,[1]!Data_BS[Thang.Nam],DTRVL!AJ$5)</f>
        <v>0</v>
      </c>
      <c r="AK6" s="431">
        <f>SUMIFS([1]!Data_BS[Value],[1]!Data_BS[Index BS],DTRVL!$B6,[1]!Data_BS[TenCongTyID],DTRVL!$B$1,[1]!Data_BS[Thang.Nam],DTRVL!AK$5)</f>
        <v>0</v>
      </c>
      <c r="AL6" s="431">
        <f>SUMIFS([1]!Data_BS[Value],[1]!Data_BS[Index BS],DTRVL!$B6,[1]!Data_BS[TenCongTyID],DTRVL!$B$1,[1]!Data_BS[Thang.Nam],DTRVL!AL$5)</f>
        <v>0</v>
      </c>
    </row>
    <row r="7" spans="1:38" ht="15" hidden="1" customHeight="1" outlineLevel="1">
      <c r="A7" s="59" t="s">
        <v>91</v>
      </c>
      <c r="B7" s="60">
        <v>2</v>
      </c>
      <c r="C7" s="61">
        <f t="shared" ref="C7:I7" si="3">+SUM(C8:C9)</f>
        <v>0</v>
      </c>
      <c r="D7" s="173">
        <f t="shared" si="3"/>
        <v>0</v>
      </c>
      <c r="E7" s="173">
        <f t="shared" si="3"/>
        <v>0</v>
      </c>
      <c r="F7" s="375">
        <f t="shared" si="3"/>
        <v>0</v>
      </c>
      <c r="G7" s="173">
        <f t="shared" si="3"/>
        <v>0</v>
      </c>
      <c r="H7" s="173">
        <f t="shared" si="3"/>
        <v>0</v>
      </c>
      <c r="I7" s="173">
        <f t="shared" si="3"/>
        <v>0</v>
      </c>
      <c r="J7" s="173"/>
      <c r="K7" s="173"/>
      <c r="L7" s="173"/>
      <c r="M7" s="375"/>
      <c r="N7" s="376"/>
      <c r="O7" s="61"/>
      <c r="P7" s="173"/>
      <c r="Q7" s="173"/>
      <c r="R7" s="375"/>
      <c r="S7" s="173"/>
      <c r="T7" s="173"/>
      <c r="U7" s="173"/>
      <c r="V7" s="173"/>
      <c r="W7" s="173"/>
      <c r="X7" s="173">
        <f>+SUM(X8:X9)</f>
        <v>0</v>
      </c>
      <c r="Y7" s="375">
        <v>403525189</v>
      </c>
      <c r="Z7" s="378">
        <v>5903528506</v>
      </c>
      <c r="AA7" s="378">
        <f>SUMIFS([1]!Data_BS[Value],[1]!Data_BS[Index BS],DTRVL!$B7,[1]!Data_BS[TenCongTyID],DTRVL!$B$1,[1]!Data_BS[Thang.Nam],DTRVL!AA$5)</f>
        <v>0</v>
      </c>
      <c r="AB7" s="378">
        <f>SUMIFS([1]!Data_BS[Value],[1]!Data_BS[Index BS],DTRVL!$B7,[1]!Data_BS[TenCongTyID],DTRVL!$B$1,[1]!Data_BS[Thang.Nam],DTRVL!AB$5)</f>
        <v>0</v>
      </c>
      <c r="AC7" s="378">
        <f>SUMIFS([1]!Data_BS[Value],[1]!Data_BS[Index BS],DTRVL!$B7,[1]!Data_BS[TenCongTyID],DTRVL!$B$1,[1]!Data_BS[Thang.Nam],DTRVL!AC$5)</f>
        <v>0</v>
      </c>
      <c r="AD7" s="378">
        <f>SUMIFS([1]!Data_BS[Value],[1]!Data_BS[Index BS],DTRVL!$B7,[1]!Data_BS[TenCongTyID],DTRVL!$B$1,[1]!Data_BS[Thang.Nam],DTRVL!AD$5)</f>
        <v>0</v>
      </c>
      <c r="AE7" s="378">
        <f>SUMIFS([1]!Data_BS[Value],[1]!Data_BS[Index BS],DTRVL!$B7,[1]!Data_BS[TenCongTyID],DTRVL!$B$1,[1]!Data_BS[Thang.Nam],DTRVL!AE$5)</f>
        <v>0</v>
      </c>
      <c r="AF7" s="378">
        <f>SUMIFS([1]!Data_BS[Value],[1]!Data_BS[Index BS],DTRVL!$B7,[1]!Data_BS[TenCongTyID],DTRVL!$B$1,[1]!Data_BS[Thang.Nam],DTRVL!AF$5)</f>
        <v>0</v>
      </c>
      <c r="AG7" s="378">
        <f>SUMIFS([1]!Data_BS[Value],[1]!Data_BS[Index BS],DTRVL!$B7,[1]!Data_BS[TenCongTyID],DTRVL!$B$1,[1]!Data_BS[Thang.Nam],DTRVL!AG$5)</f>
        <v>0</v>
      </c>
      <c r="AH7" s="378">
        <f>SUMIFS([1]!Data_BS[Value],[1]!Data_BS[Index BS],DTRVL!$B7,[1]!Data_BS[TenCongTyID],DTRVL!$B$1,[1]!Data_BS[Thang.Nam],DTRVL!AH$5)</f>
        <v>0</v>
      </c>
      <c r="AI7" s="378">
        <f>SUMIFS([1]!Data_BS[Value],[1]!Data_BS[Index BS],DTRVL!$B7,[1]!Data_BS[TenCongTyID],DTRVL!$B$1,[1]!Data_BS[Thang.Nam],DTRVL!AI$5)</f>
        <v>0</v>
      </c>
      <c r="AJ7" s="378">
        <f>SUMIFS([1]!Data_BS[Value],[1]!Data_BS[Index BS],DTRVL!$B7,[1]!Data_BS[TenCongTyID],DTRVL!$B$1,[1]!Data_BS[Thang.Nam],DTRVL!AJ$5)</f>
        <v>0</v>
      </c>
      <c r="AK7" s="378">
        <f>SUMIFS([1]!Data_BS[Value],[1]!Data_BS[Index BS],DTRVL!$B7,[1]!Data_BS[TenCongTyID],DTRVL!$B$1,[1]!Data_BS[Thang.Nam],DTRVL!AK$5)</f>
        <v>0</v>
      </c>
      <c r="AL7" s="378">
        <f>SUMIFS([1]!Data_BS[Value],[1]!Data_BS[Index BS],DTRVL!$B7,[1]!Data_BS[TenCongTyID],DTRVL!$B$1,[1]!Data_BS[Thang.Nam],DTRVL!AL$5)</f>
        <v>0</v>
      </c>
    </row>
    <row r="8" spans="1:38" ht="15" hidden="1" customHeight="1" outlineLevel="1">
      <c r="A8" s="62" t="s">
        <v>92</v>
      </c>
      <c r="B8" s="63">
        <v>3</v>
      </c>
      <c r="C8" s="64"/>
      <c r="D8" s="69"/>
      <c r="E8" s="69"/>
      <c r="F8" s="379"/>
      <c r="G8" s="69"/>
      <c r="H8" s="69"/>
      <c r="I8" s="69"/>
      <c r="J8" s="69"/>
      <c r="K8" s="69"/>
      <c r="L8" s="69"/>
      <c r="M8" s="379"/>
      <c r="N8" s="85"/>
      <c r="O8" s="64"/>
      <c r="P8" s="69"/>
      <c r="Q8" s="69"/>
      <c r="R8" s="379"/>
      <c r="S8" s="69"/>
      <c r="T8" s="69"/>
      <c r="U8" s="69"/>
      <c r="V8" s="69"/>
      <c r="W8" s="69"/>
      <c r="X8" s="69"/>
      <c r="Y8" s="379">
        <v>403525189</v>
      </c>
      <c r="Z8" s="381">
        <v>5903528506</v>
      </c>
      <c r="AA8" s="381">
        <f>SUMIFS([1]!Data_BS[Value],[1]!Data_BS[Index BS],DTRVL!$B8,[1]!Data_BS[TenCongTyID],DTRVL!$B$1,[1]!Data_BS[Thang.Nam],DTRVL!AA$5)</f>
        <v>0</v>
      </c>
      <c r="AB8" s="381">
        <f>SUMIFS([1]!Data_BS[Value],[1]!Data_BS[Index BS],DTRVL!$B8,[1]!Data_BS[TenCongTyID],DTRVL!$B$1,[1]!Data_BS[Thang.Nam],DTRVL!AB$5)</f>
        <v>0</v>
      </c>
      <c r="AC8" s="381">
        <f>SUMIFS([1]!Data_BS[Value],[1]!Data_BS[Index BS],DTRVL!$B8,[1]!Data_BS[TenCongTyID],DTRVL!$B$1,[1]!Data_BS[Thang.Nam],DTRVL!AC$5)</f>
        <v>0</v>
      </c>
      <c r="AD8" s="381">
        <f>SUMIFS([1]!Data_BS[Value],[1]!Data_BS[Index BS],DTRVL!$B8,[1]!Data_BS[TenCongTyID],DTRVL!$B$1,[1]!Data_BS[Thang.Nam],DTRVL!AD$5)</f>
        <v>0</v>
      </c>
      <c r="AE8" s="381">
        <f>SUMIFS([1]!Data_BS[Value],[1]!Data_BS[Index BS],DTRVL!$B8,[1]!Data_BS[TenCongTyID],DTRVL!$B$1,[1]!Data_BS[Thang.Nam],DTRVL!AE$5)</f>
        <v>0</v>
      </c>
      <c r="AF8" s="381">
        <f>SUMIFS([1]!Data_BS[Value],[1]!Data_BS[Index BS],DTRVL!$B8,[1]!Data_BS[TenCongTyID],DTRVL!$B$1,[1]!Data_BS[Thang.Nam],DTRVL!AF$5)</f>
        <v>0</v>
      </c>
      <c r="AG8" s="381">
        <f>SUMIFS([1]!Data_BS[Value],[1]!Data_BS[Index BS],DTRVL!$B8,[1]!Data_BS[TenCongTyID],DTRVL!$B$1,[1]!Data_BS[Thang.Nam],DTRVL!AG$5)</f>
        <v>0</v>
      </c>
      <c r="AH8" s="381">
        <f>SUMIFS([1]!Data_BS[Value],[1]!Data_BS[Index BS],DTRVL!$B8,[1]!Data_BS[TenCongTyID],DTRVL!$B$1,[1]!Data_BS[Thang.Nam],DTRVL!AH$5)</f>
        <v>0</v>
      </c>
      <c r="AI8" s="381">
        <f>SUMIFS([1]!Data_BS[Value],[1]!Data_BS[Index BS],DTRVL!$B8,[1]!Data_BS[TenCongTyID],DTRVL!$B$1,[1]!Data_BS[Thang.Nam],DTRVL!AI$5)</f>
        <v>0</v>
      </c>
      <c r="AJ8" s="381">
        <f>SUMIFS([1]!Data_BS[Value],[1]!Data_BS[Index BS],DTRVL!$B8,[1]!Data_BS[TenCongTyID],DTRVL!$B$1,[1]!Data_BS[Thang.Nam],DTRVL!AJ$5)</f>
        <v>0</v>
      </c>
      <c r="AK8" s="381">
        <f>SUMIFS([1]!Data_BS[Value],[1]!Data_BS[Index BS],DTRVL!$B8,[1]!Data_BS[TenCongTyID],DTRVL!$B$1,[1]!Data_BS[Thang.Nam],DTRVL!AK$5)</f>
        <v>0</v>
      </c>
      <c r="AL8" s="381">
        <f>SUMIFS([1]!Data_BS[Value],[1]!Data_BS[Index BS],DTRVL!$B8,[1]!Data_BS[TenCongTyID],DTRVL!$B$1,[1]!Data_BS[Thang.Nam],DTRVL!AL$5)</f>
        <v>0</v>
      </c>
    </row>
    <row r="9" spans="1:38" ht="15" hidden="1" customHeight="1" outlineLevel="1">
      <c r="A9" s="62" t="s">
        <v>93</v>
      </c>
      <c r="B9" s="63">
        <v>4</v>
      </c>
      <c r="C9" s="64"/>
      <c r="D9" s="69"/>
      <c r="E9" s="69"/>
      <c r="F9" s="379"/>
      <c r="G9" s="69"/>
      <c r="H9" s="69">
        <v>0</v>
      </c>
      <c r="I9" s="69"/>
      <c r="J9" s="69"/>
      <c r="K9" s="69"/>
      <c r="L9" s="69"/>
      <c r="M9" s="379"/>
      <c r="N9" s="85"/>
      <c r="O9" s="64"/>
      <c r="P9" s="69"/>
      <c r="Q9" s="69"/>
      <c r="R9" s="379"/>
      <c r="S9" s="69"/>
      <c r="T9" s="69"/>
      <c r="U9" s="69"/>
      <c r="V9" s="69"/>
      <c r="W9" s="69"/>
      <c r="X9" s="69"/>
      <c r="Y9" s="379"/>
      <c r="Z9" s="381">
        <v>0</v>
      </c>
      <c r="AA9" s="381">
        <f>SUMIFS([1]!Data_BS[Value],[1]!Data_BS[Index BS],DTRVL!$B9,[1]!Data_BS[TenCongTyID],DTRVL!$B$1,[1]!Data_BS[Thang.Nam],DTRVL!AA$5)</f>
        <v>0</v>
      </c>
      <c r="AB9" s="381">
        <f>SUMIFS([1]!Data_BS[Value],[1]!Data_BS[Index BS],DTRVL!$B9,[1]!Data_BS[TenCongTyID],DTRVL!$B$1,[1]!Data_BS[Thang.Nam],DTRVL!AB$5)</f>
        <v>0</v>
      </c>
      <c r="AC9" s="381">
        <f>SUMIFS([1]!Data_BS[Value],[1]!Data_BS[Index BS],DTRVL!$B9,[1]!Data_BS[TenCongTyID],DTRVL!$B$1,[1]!Data_BS[Thang.Nam],DTRVL!AC$5)</f>
        <v>0</v>
      </c>
      <c r="AD9" s="381">
        <f>SUMIFS([1]!Data_BS[Value],[1]!Data_BS[Index BS],DTRVL!$B9,[1]!Data_BS[TenCongTyID],DTRVL!$B$1,[1]!Data_BS[Thang.Nam],DTRVL!AD$5)</f>
        <v>0</v>
      </c>
      <c r="AE9" s="381">
        <f>SUMIFS([1]!Data_BS[Value],[1]!Data_BS[Index BS],DTRVL!$B9,[1]!Data_BS[TenCongTyID],DTRVL!$B$1,[1]!Data_BS[Thang.Nam],DTRVL!AE$5)</f>
        <v>0</v>
      </c>
      <c r="AF9" s="381">
        <f>SUMIFS([1]!Data_BS[Value],[1]!Data_BS[Index BS],DTRVL!$B9,[1]!Data_BS[TenCongTyID],DTRVL!$B$1,[1]!Data_BS[Thang.Nam],DTRVL!AF$5)</f>
        <v>0</v>
      </c>
      <c r="AG9" s="381">
        <f>SUMIFS([1]!Data_BS[Value],[1]!Data_BS[Index BS],DTRVL!$B9,[1]!Data_BS[TenCongTyID],DTRVL!$B$1,[1]!Data_BS[Thang.Nam],DTRVL!AG$5)</f>
        <v>0</v>
      </c>
      <c r="AH9" s="381">
        <f>SUMIFS([1]!Data_BS[Value],[1]!Data_BS[Index BS],DTRVL!$B9,[1]!Data_BS[TenCongTyID],DTRVL!$B$1,[1]!Data_BS[Thang.Nam],DTRVL!AH$5)</f>
        <v>0</v>
      </c>
      <c r="AI9" s="381">
        <f>SUMIFS([1]!Data_BS[Value],[1]!Data_BS[Index BS],DTRVL!$B9,[1]!Data_BS[TenCongTyID],DTRVL!$B$1,[1]!Data_BS[Thang.Nam],DTRVL!AI$5)</f>
        <v>0</v>
      </c>
      <c r="AJ9" s="381">
        <f>SUMIFS([1]!Data_BS[Value],[1]!Data_BS[Index BS],DTRVL!$B9,[1]!Data_BS[TenCongTyID],DTRVL!$B$1,[1]!Data_BS[Thang.Nam],DTRVL!AJ$5)</f>
        <v>0</v>
      </c>
      <c r="AK9" s="381">
        <f>SUMIFS([1]!Data_BS[Value],[1]!Data_BS[Index BS],DTRVL!$B9,[1]!Data_BS[TenCongTyID],DTRVL!$B$1,[1]!Data_BS[Thang.Nam],DTRVL!AK$5)</f>
        <v>0</v>
      </c>
      <c r="AL9" s="381">
        <f>SUMIFS([1]!Data_BS[Value],[1]!Data_BS[Index BS],DTRVL!$B9,[1]!Data_BS[TenCongTyID],DTRVL!$B$1,[1]!Data_BS[Thang.Nam],DTRVL!AL$5)</f>
        <v>0</v>
      </c>
    </row>
    <row r="10" spans="1:38" ht="15" hidden="1" customHeight="1" outlineLevel="1">
      <c r="A10" s="59" t="s">
        <v>94</v>
      </c>
      <c r="B10" s="65">
        <v>5</v>
      </c>
      <c r="C10" s="61">
        <f>SUM(C11:C13)</f>
        <v>0</v>
      </c>
      <c r="D10" s="173">
        <f>SUM(D11:D13)</f>
        <v>0</v>
      </c>
      <c r="E10" s="173">
        <f>SUM(E11:E13)</f>
        <v>0</v>
      </c>
      <c r="F10" s="375">
        <f>SUM(F11:F13)</f>
        <v>0</v>
      </c>
      <c r="G10" s="173">
        <f>SUM(G11:G13)</f>
        <v>0</v>
      </c>
      <c r="H10" s="173">
        <v>0</v>
      </c>
      <c r="I10" s="173">
        <f>SUM(I11:I13)</f>
        <v>0</v>
      </c>
      <c r="J10" s="173"/>
      <c r="K10" s="173"/>
      <c r="L10" s="173"/>
      <c r="M10" s="173"/>
      <c r="N10" s="61"/>
      <c r="O10" s="61"/>
      <c r="P10" s="173"/>
      <c r="Q10" s="173"/>
      <c r="R10" s="375"/>
      <c r="S10" s="173"/>
      <c r="T10" s="173"/>
      <c r="U10" s="173"/>
      <c r="V10" s="173"/>
      <c r="W10" s="173"/>
      <c r="X10" s="173">
        <f>SUM(X11:X13)</f>
        <v>0</v>
      </c>
      <c r="Y10" s="173">
        <v>0</v>
      </c>
      <c r="Z10" s="383">
        <v>0</v>
      </c>
      <c r="AA10" s="383">
        <f>SUMIFS([1]!Data_BS[Value],[1]!Data_BS[Index BS],DTRVL!$B10,[1]!Data_BS[TenCongTyID],DTRVL!$B$1,[1]!Data_BS[Thang.Nam],DTRVL!AA$5)</f>
        <v>0</v>
      </c>
      <c r="AB10" s="383">
        <f>SUMIFS([1]!Data_BS[Value],[1]!Data_BS[Index BS],DTRVL!$B10,[1]!Data_BS[TenCongTyID],DTRVL!$B$1,[1]!Data_BS[Thang.Nam],DTRVL!AB$5)</f>
        <v>0</v>
      </c>
      <c r="AC10" s="383">
        <f>SUMIFS([1]!Data_BS[Value],[1]!Data_BS[Index BS],DTRVL!$B10,[1]!Data_BS[TenCongTyID],DTRVL!$B$1,[1]!Data_BS[Thang.Nam],DTRVL!AC$5)</f>
        <v>0</v>
      </c>
      <c r="AD10" s="383">
        <f>SUMIFS([1]!Data_BS[Value],[1]!Data_BS[Index BS],DTRVL!$B10,[1]!Data_BS[TenCongTyID],DTRVL!$B$1,[1]!Data_BS[Thang.Nam],DTRVL!AD$5)</f>
        <v>0</v>
      </c>
      <c r="AE10" s="383">
        <f>SUMIFS([1]!Data_BS[Value],[1]!Data_BS[Index BS],DTRVL!$B10,[1]!Data_BS[TenCongTyID],DTRVL!$B$1,[1]!Data_BS[Thang.Nam],DTRVL!AE$5)</f>
        <v>0</v>
      </c>
      <c r="AF10" s="383">
        <f>SUMIFS([1]!Data_BS[Value],[1]!Data_BS[Index BS],DTRVL!$B10,[1]!Data_BS[TenCongTyID],DTRVL!$B$1,[1]!Data_BS[Thang.Nam],DTRVL!AF$5)</f>
        <v>0</v>
      </c>
      <c r="AG10" s="383">
        <f>SUMIFS([1]!Data_BS[Value],[1]!Data_BS[Index BS],DTRVL!$B10,[1]!Data_BS[TenCongTyID],DTRVL!$B$1,[1]!Data_BS[Thang.Nam],DTRVL!AG$5)</f>
        <v>0</v>
      </c>
      <c r="AH10" s="383">
        <f>SUMIFS([1]!Data_BS[Value],[1]!Data_BS[Index BS],DTRVL!$B10,[1]!Data_BS[TenCongTyID],DTRVL!$B$1,[1]!Data_BS[Thang.Nam],DTRVL!AH$5)</f>
        <v>0</v>
      </c>
      <c r="AI10" s="383">
        <f>SUMIFS([1]!Data_BS[Value],[1]!Data_BS[Index BS],DTRVL!$B10,[1]!Data_BS[TenCongTyID],DTRVL!$B$1,[1]!Data_BS[Thang.Nam],DTRVL!AI$5)</f>
        <v>0</v>
      </c>
      <c r="AJ10" s="383">
        <f>SUMIFS([1]!Data_BS[Value],[1]!Data_BS[Index BS],DTRVL!$B10,[1]!Data_BS[TenCongTyID],DTRVL!$B$1,[1]!Data_BS[Thang.Nam],DTRVL!AJ$5)</f>
        <v>0</v>
      </c>
      <c r="AK10" s="383">
        <f>SUMIFS([1]!Data_BS[Value],[1]!Data_BS[Index BS],DTRVL!$B10,[1]!Data_BS[TenCongTyID],DTRVL!$B$1,[1]!Data_BS[Thang.Nam],DTRVL!AK$5)</f>
        <v>0</v>
      </c>
      <c r="AL10" s="383">
        <f>SUMIFS([1]!Data_BS[Value],[1]!Data_BS[Index BS],DTRVL!$B10,[1]!Data_BS[TenCongTyID],DTRVL!$B$1,[1]!Data_BS[Thang.Nam],DTRVL!AL$5)</f>
        <v>0</v>
      </c>
    </row>
    <row r="11" spans="1:38" ht="15" hidden="1" customHeight="1" outlineLevel="1">
      <c r="A11" s="62" t="s">
        <v>95</v>
      </c>
      <c r="B11" s="63">
        <v>6</v>
      </c>
      <c r="C11" s="64"/>
      <c r="D11" s="69"/>
      <c r="E11" s="69"/>
      <c r="F11" s="379"/>
      <c r="G11" s="69"/>
      <c r="H11" s="69">
        <v>0</v>
      </c>
      <c r="I11" s="69"/>
      <c r="J11" s="69"/>
      <c r="K11" s="69"/>
      <c r="L11" s="69"/>
      <c r="M11" s="379"/>
      <c r="N11" s="85"/>
      <c r="O11" s="64"/>
      <c r="P11" s="69"/>
      <c r="Q11" s="69"/>
      <c r="R11" s="379"/>
      <c r="S11" s="69"/>
      <c r="T11" s="69"/>
      <c r="U11" s="69"/>
      <c r="V11" s="69"/>
      <c r="W11" s="69"/>
      <c r="X11" s="69"/>
      <c r="Y11" s="379"/>
      <c r="Z11" s="381">
        <v>0</v>
      </c>
      <c r="AA11" s="381">
        <f>SUMIFS([1]!Data_BS[Value],[1]!Data_BS[Index BS],DTRVL!$B11,[1]!Data_BS[TenCongTyID],DTRVL!$B$1,[1]!Data_BS[Thang.Nam],DTRVL!AA$5)</f>
        <v>0</v>
      </c>
      <c r="AB11" s="381">
        <f>SUMIFS([1]!Data_BS[Value],[1]!Data_BS[Index BS],DTRVL!$B11,[1]!Data_BS[TenCongTyID],DTRVL!$B$1,[1]!Data_BS[Thang.Nam],DTRVL!AB$5)</f>
        <v>0</v>
      </c>
      <c r="AC11" s="381">
        <f>SUMIFS([1]!Data_BS[Value],[1]!Data_BS[Index BS],DTRVL!$B11,[1]!Data_BS[TenCongTyID],DTRVL!$B$1,[1]!Data_BS[Thang.Nam],DTRVL!AC$5)</f>
        <v>0</v>
      </c>
      <c r="AD11" s="381">
        <f>SUMIFS([1]!Data_BS[Value],[1]!Data_BS[Index BS],DTRVL!$B11,[1]!Data_BS[TenCongTyID],DTRVL!$B$1,[1]!Data_BS[Thang.Nam],DTRVL!AD$5)</f>
        <v>0</v>
      </c>
      <c r="AE11" s="381">
        <f>SUMIFS([1]!Data_BS[Value],[1]!Data_BS[Index BS],DTRVL!$B11,[1]!Data_BS[TenCongTyID],DTRVL!$B$1,[1]!Data_BS[Thang.Nam],DTRVL!AE$5)</f>
        <v>0</v>
      </c>
      <c r="AF11" s="381">
        <f>SUMIFS([1]!Data_BS[Value],[1]!Data_BS[Index BS],DTRVL!$B11,[1]!Data_BS[TenCongTyID],DTRVL!$B$1,[1]!Data_BS[Thang.Nam],DTRVL!AF$5)</f>
        <v>0</v>
      </c>
      <c r="AG11" s="381">
        <f>SUMIFS([1]!Data_BS[Value],[1]!Data_BS[Index BS],DTRVL!$B11,[1]!Data_BS[TenCongTyID],DTRVL!$B$1,[1]!Data_BS[Thang.Nam],DTRVL!AG$5)</f>
        <v>0</v>
      </c>
      <c r="AH11" s="381">
        <f>SUMIFS([1]!Data_BS[Value],[1]!Data_BS[Index BS],DTRVL!$B11,[1]!Data_BS[TenCongTyID],DTRVL!$B$1,[1]!Data_BS[Thang.Nam],DTRVL!AH$5)</f>
        <v>0</v>
      </c>
      <c r="AI11" s="381">
        <f>SUMIFS([1]!Data_BS[Value],[1]!Data_BS[Index BS],DTRVL!$B11,[1]!Data_BS[TenCongTyID],DTRVL!$B$1,[1]!Data_BS[Thang.Nam],DTRVL!AI$5)</f>
        <v>0</v>
      </c>
      <c r="AJ11" s="381">
        <f>SUMIFS([1]!Data_BS[Value],[1]!Data_BS[Index BS],DTRVL!$B11,[1]!Data_BS[TenCongTyID],DTRVL!$B$1,[1]!Data_BS[Thang.Nam],DTRVL!AJ$5)</f>
        <v>0</v>
      </c>
      <c r="AK11" s="381">
        <f>SUMIFS([1]!Data_BS[Value],[1]!Data_BS[Index BS],DTRVL!$B11,[1]!Data_BS[TenCongTyID],DTRVL!$B$1,[1]!Data_BS[Thang.Nam],DTRVL!AK$5)</f>
        <v>0</v>
      </c>
      <c r="AL11" s="381">
        <f>SUMIFS([1]!Data_BS[Value],[1]!Data_BS[Index BS],DTRVL!$B11,[1]!Data_BS[TenCongTyID],DTRVL!$B$1,[1]!Data_BS[Thang.Nam],DTRVL!AL$5)</f>
        <v>0</v>
      </c>
    </row>
    <row r="12" spans="1:38" ht="15" hidden="1" customHeight="1" outlineLevel="1">
      <c r="A12" s="62" t="s">
        <v>96</v>
      </c>
      <c r="B12" s="63">
        <v>7</v>
      </c>
      <c r="C12" s="64"/>
      <c r="D12" s="69"/>
      <c r="E12" s="69"/>
      <c r="F12" s="379"/>
      <c r="G12" s="69"/>
      <c r="H12" s="69">
        <v>0</v>
      </c>
      <c r="I12" s="69"/>
      <c r="J12" s="69"/>
      <c r="K12" s="69"/>
      <c r="L12" s="69"/>
      <c r="M12" s="379"/>
      <c r="N12" s="85"/>
      <c r="O12" s="64"/>
      <c r="P12" s="69"/>
      <c r="Q12" s="69"/>
      <c r="R12" s="379"/>
      <c r="S12" s="69"/>
      <c r="T12" s="69"/>
      <c r="U12" s="69"/>
      <c r="V12" s="69"/>
      <c r="W12" s="69"/>
      <c r="X12" s="69"/>
      <c r="Y12" s="379"/>
      <c r="Z12" s="381">
        <v>0</v>
      </c>
      <c r="AA12" s="381">
        <f>SUMIFS([1]!Data_BS[Value],[1]!Data_BS[Index BS],DTRVL!$B12,[1]!Data_BS[TenCongTyID],DTRVL!$B$1,[1]!Data_BS[Thang.Nam],DTRVL!AA$5)</f>
        <v>0</v>
      </c>
      <c r="AB12" s="381">
        <f>SUMIFS([1]!Data_BS[Value],[1]!Data_BS[Index BS],DTRVL!$B12,[1]!Data_BS[TenCongTyID],DTRVL!$B$1,[1]!Data_BS[Thang.Nam],DTRVL!AB$5)</f>
        <v>0</v>
      </c>
      <c r="AC12" s="381">
        <f>SUMIFS([1]!Data_BS[Value],[1]!Data_BS[Index BS],DTRVL!$B12,[1]!Data_BS[TenCongTyID],DTRVL!$B$1,[1]!Data_BS[Thang.Nam],DTRVL!AC$5)</f>
        <v>0</v>
      </c>
      <c r="AD12" s="381">
        <f>SUMIFS([1]!Data_BS[Value],[1]!Data_BS[Index BS],DTRVL!$B12,[1]!Data_BS[TenCongTyID],DTRVL!$B$1,[1]!Data_BS[Thang.Nam],DTRVL!AD$5)</f>
        <v>0</v>
      </c>
      <c r="AE12" s="381">
        <f>SUMIFS([1]!Data_BS[Value],[1]!Data_BS[Index BS],DTRVL!$B12,[1]!Data_BS[TenCongTyID],DTRVL!$B$1,[1]!Data_BS[Thang.Nam],DTRVL!AE$5)</f>
        <v>0</v>
      </c>
      <c r="AF12" s="381">
        <f>SUMIFS([1]!Data_BS[Value],[1]!Data_BS[Index BS],DTRVL!$B12,[1]!Data_BS[TenCongTyID],DTRVL!$B$1,[1]!Data_BS[Thang.Nam],DTRVL!AF$5)</f>
        <v>0</v>
      </c>
      <c r="AG12" s="381">
        <f>SUMIFS([1]!Data_BS[Value],[1]!Data_BS[Index BS],DTRVL!$B12,[1]!Data_BS[TenCongTyID],DTRVL!$B$1,[1]!Data_BS[Thang.Nam],DTRVL!AG$5)</f>
        <v>0</v>
      </c>
      <c r="AH12" s="381">
        <f>SUMIFS([1]!Data_BS[Value],[1]!Data_BS[Index BS],DTRVL!$B12,[1]!Data_BS[TenCongTyID],DTRVL!$B$1,[1]!Data_BS[Thang.Nam],DTRVL!AH$5)</f>
        <v>0</v>
      </c>
      <c r="AI12" s="381">
        <f>SUMIFS([1]!Data_BS[Value],[1]!Data_BS[Index BS],DTRVL!$B12,[1]!Data_BS[TenCongTyID],DTRVL!$B$1,[1]!Data_BS[Thang.Nam],DTRVL!AI$5)</f>
        <v>0</v>
      </c>
      <c r="AJ12" s="381">
        <f>SUMIFS([1]!Data_BS[Value],[1]!Data_BS[Index BS],DTRVL!$B12,[1]!Data_BS[TenCongTyID],DTRVL!$B$1,[1]!Data_BS[Thang.Nam],DTRVL!AJ$5)</f>
        <v>0</v>
      </c>
      <c r="AK12" s="381">
        <f>SUMIFS([1]!Data_BS[Value],[1]!Data_BS[Index BS],DTRVL!$B12,[1]!Data_BS[TenCongTyID],DTRVL!$B$1,[1]!Data_BS[Thang.Nam],DTRVL!AK$5)</f>
        <v>0</v>
      </c>
      <c r="AL12" s="381">
        <f>SUMIFS([1]!Data_BS[Value],[1]!Data_BS[Index BS],DTRVL!$B12,[1]!Data_BS[TenCongTyID],DTRVL!$B$1,[1]!Data_BS[Thang.Nam],DTRVL!AL$5)</f>
        <v>0</v>
      </c>
    </row>
    <row r="13" spans="1:38" ht="15" hidden="1" customHeight="1" outlineLevel="1">
      <c r="A13" s="66" t="s">
        <v>97</v>
      </c>
      <c r="B13" s="63">
        <v>8</v>
      </c>
      <c r="C13" s="64"/>
      <c r="D13" s="69"/>
      <c r="E13" s="69"/>
      <c r="F13" s="379"/>
      <c r="G13" s="69"/>
      <c r="H13" s="69"/>
      <c r="I13" s="69"/>
      <c r="J13" s="69"/>
      <c r="K13" s="69"/>
      <c r="L13" s="69"/>
      <c r="M13" s="379"/>
      <c r="N13" s="85"/>
      <c r="O13" s="64"/>
      <c r="P13" s="69"/>
      <c r="Q13" s="69"/>
      <c r="R13" s="69"/>
      <c r="S13" s="69"/>
      <c r="T13" s="69"/>
      <c r="U13" s="69"/>
      <c r="V13" s="69"/>
      <c r="W13" s="69"/>
      <c r="X13" s="69"/>
      <c r="Y13" s="379"/>
      <c r="Z13" s="381">
        <v>0</v>
      </c>
      <c r="AA13" s="381">
        <f>SUMIFS([1]!Data_BS[Value],[1]!Data_BS[Index BS],DTRVL!$B13,[1]!Data_BS[TenCongTyID],DTRVL!$B$1,[1]!Data_BS[Thang.Nam],DTRVL!AA$5)</f>
        <v>0</v>
      </c>
      <c r="AB13" s="381">
        <f>SUMIFS([1]!Data_BS[Value],[1]!Data_BS[Index BS],DTRVL!$B13,[1]!Data_BS[TenCongTyID],DTRVL!$B$1,[1]!Data_BS[Thang.Nam],DTRVL!AB$5)</f>
        <v>0</v>
      </c>
      <c r="AC13" s="381">
        <f>SUMIFS([1]!Data_BS[Value],[1]!Data_BS[Index BS],DTRVL!$B13,[1]!Data_BS[TenCongTyID],DTRVL!$B$1,[1]!Data_BS[Thang.Nam],DTRVL!AC$5)</f>
        <v>0</v>
      </c>
      <c r="AD13" s="381">
        <f>SUMIFS([1]!Data_BS[Value],[1]!Data_BS[Index BS],DTRVL!$B13,[1]!Data_BS[TenCongTyID],DTRVL!$B$1,[1]!Data_BS[Thang.Nam],DTRVL!AD$5)</f>
        <v>0</v>
      </c>
      <c r="AE13" s="381">
        <f>SUMIFS([1]!Data_BS[Value],[1]!Data_BS[Index BS],DTRVL!$B13,[1]!Data_BS[TenCongTyID],DTRVL!$B$1,[1]!Data_BS[Thang.Nam],DTRVL!AE$5)</f>
        <v>0</v>
      </c>
      <c r="AF13" s="381">
        <f>SUMIFS([1]!Data_BS[Value],[1]!Data_BS[Index BS],DTRVL!$B13,[1]!Data_BS[TenCongTyID],DTRVL!$B$1,[1]!Data_BS[Thang.Nam],DTRVL!AF$5)</f>
        <v>0</v>
      </c>
      <c r="AG13" s="381">
        <f>SUMIFS([1]!Data_BS[Value],[1]!Data_BS[Index BS],DTRVL!$B13,[1]!Data_BS[TenCongTyID],DTRVL!$B$1,[1]!Data_BS[Thang.Nam],DTRVL!AG$5)</f>
        <v>0</v>
      </c>
      <c r="AH13" s="381">
        <f>SUMIFS([1]!Data_BS[Value],[1]!Data_BS[Index BS],DTRVL!$B13,[1]!Data_BS[TenCongTyID],DTRVL!$B$1,[1]!Data_BS[Thang.Nam],DTRVL!AH$5)</f>
        <v>0</v>
      </c>
      <c r="AI13" s="381">
        <f>SUMIFS([1]!Data_BS[Value],[1]!Data_BS[Index BS],DTRVL!$B13,[1]!Data_BS[TenCongTyID],DTRVL!$B$1,[1]!Data_BS[Thang.Nam],DTRVL!AI$5)</f>
        <v>0</v>
      </c>
      <c r="AJ13" s="381">
        <f>SUMIFS([1]!Data_BS[Value],[1]!Data_BS[Index BS],DTRVL!$B13,[1]!Data_BS[TenCongTyID],DTRVL!$B$1,[1]!Data_BS[Thang.Nam],DTRVL!AJ$5)</f>
        <v>0</v>
      </c>
      <c r="AK13" s="381">
        <f>SUMIFS([1]!Data_BS[Value],[1]!Data_BS[Index BS],DTRVL!$B13,[1]!Data_BS[TenCongTyID],DTRVL!$B$1,[1]!Data_BS[Thang.Nam],DTRVL!AK$5)</f>
        <v>0</v>
      </c>
      <c r="AL13" s="381">
        <f>SUMIFS([1]!Data_BS[Value],[1]!Data_BS[Index BS],DTRVL!$B13,[1]!Data_BS[TenCongTyID],DTRVL!$B$1,[1]!Data_BS[Thang.Nam],DTRVL!AL$5)</f>
        <v>0</v>
      </c>
    </row>
    <row r="14" spans="1:38" ht="15" hidden="1" customHeight="1" outlineLevel="1">
      <c r="A14" s="66" t="s">
        <v>98</v>
      </c>
      <c r="B14" s="63">
        <v>9</v>
      </c>
      <c r="C14" s="64"/>
      <c r="D14" s="69"/>
      <c r="E14" s="69"/>
      <c r="F14" s="379"/>
      <c r="G14" s="69"/>
      <c r="H14" s="69"/>
      <c r="I14" s="69"/>
      <c r="J14" s="69"/>
      <c r="K14" s="69"/>
      <c r="L14" s="69"/>
      <c r="M14" s="379"/>
      <c r="N14" s="85"/>
      <c r="O14" s="64"/>
      <c r="P14" s="69"/>
      <c r="Q14" s="69"/>
      <c r="R14" s="69"/>
      <c r="S14" s="69"/>
      <c r="T14" s="69"/>
      <c r="U14" s="69"/>
      <c r="V14" s="69"/>
      <c r="W14" s="69"/>
      <c r="X14" s="69"/>
      <c r="Y14" s="379"/>
      <c r="Z14" s="381">
        <v>0</v>
      </c>
      <c r="AA14" s="381">
        <f>SUMIFS([1]!Data_BS[Value],[1]!Data_BS[Index BS],DTRVL!$B14,[1]!Data_BS[TenCongTyID],DTRVL!$B$1,[1]!Data_BS[Thang.Nam],DTRVL!AA$5)</f>
        <v>0</v>
      </c>
      <c r="AB14" s="381">
        <f>SUMIFS([1]!Data_BS[Value],[1]!Data_BS[Index BS],DTRVL!$B14,[1]!Data_BS[TenCongTyID],DTRVL!$B$1,[1]!Data_BS[Thang.Nam],DTRVL!AB$5)</f>
        <v>0</v>
      </c>
      <c r="AC14" s="381">
        <f>SUMIFS([1]!Data_BS[Value],[1]!Data_BS[Index BS],DTRVL!$B14,[1]!Data_BS[TenCongTyID],DTRVL!$B$1,[1]!Data_BS[Thang.Nam],DTRVL!AC$5)</f>
        <v>0</v>
      </c>
      <c r="AD14" s="381">
        <f>SUMIFS([1]!Data_BS[Value],[1]!Data_BS[Index BS],DTRVL!$B14,[1]!Data_BS[TenCongTyID],DTRVL!$B$1,[1]!Data_BS[Thang.Nam],DTRVL!AD$5)</f>
        <v>0</v>
      </c>
      <c r="AE14" s="381">
        <f>SUMIFS([1]!Data_BS[Value],[1]!Data_BS[Index BS],DTRVL!$B14,[1]!Data_BS[TenCongTyID],DTRVL!$B$1,[1]!Data_BS[Thang.Nam],DTRVL!AE$5)</f>
        <v>0</v>
      </c>
      <c r="AF14" s="381">
        <f>SUMIFS([1]!Data_BS[Value],[1]!Data_BS[Index BS],DTRVL!$B14,[1]!Data_BS[TenCongTyID],DTRVL!$B$1,[1]!Data_BS[Thang.Nam],DTRVL!AF$5)</f>
        <v>0</v>
      </c>
      <c r="AG14" s="381">
        <f>SUMIFS([1]!Data_BS[Value],[1]!Data_BS[Index BS],DTRVL!$B14,[1]!Data_BS[TenCongTyID],DTRVL!$B$1,[1]!Data_BS[Thang.Nam],DTRVL!AG$5)</f>
        <v>0</v>
      </c>
      <c r="AH14" s="381">
        <f>SUMIFS([1]!Data_BS[Value],[1]!Data_BS[Index BS],DTRVL!$B14,[1]!Data_BS[TenCongTyID],DTRVL!$B$1,[1]!Data_BS[Thang.Nam],DTRVL!AH$5)</f>
        <v>0</v>
      </c>
      <c r="AI14" s="381">
        <f>SUMIFS([1]!Data_BS[Value],[1]!Data_BS[Index BS],DTRVL!$B14,[1]!Data_BS[TenCongTyID],DTRVL!$B$1,[1]!Data_BS[Thang.Nam],DTRVL!AI$5)</f>
        <v>0</v>
      </c>
      <c r="AJ14" s="381">
        <f>SUMIFS([1]!Data_BS[Value],[1]!Data_BS[Index BS],DTRVL!$B14,[1]!Data_BS[TenCongTyID],DTRVL!$B$1,[1]!Data_BS[Thang.Nam],DTRVL!AJ$5)</f>
        <v>0</v>
      </c>
      <c r="AK14" s="381">
        <f>SUMIFS([1]!Data_BS[Value],[1]!Data_BS[Index BS],DTRVL!$B14,[1]!Data_BS[TenCongTyID],DTRVL!$B$1,[1]!Data_BS[Thang.Nam],DTRVL!AK$5)</f>
        <v>0</v>
      </c>
      <c r="AL14" s="381">
        <f>SUMIFS([1]!Data_BS[Value],[1]!Data_BS[Index BS],DTRVL!$B14,[1]!Data_BS[TenCongTyID],DTRVL!$B$1,[1]!Data_BS[Thang.Nam],DTRVL!AL$5)</f>
        <v>0</v>
      </c>
    </row>
    <row r="15" spans="1:38" ht="15" hidden="1" customHeight="1" outlineLevel="1">
      <c r="A15" s="66" t="s">
        <v>99</v>
      </c>
      <c r="B15" s="63">
        <v>10</v>
      </c>
      <c r="C15" s="64"/>
      <c r="D15" s="69"/>
      <c r="E15" s="69"/>
      <c r="F15" s="379"/>
      <c r="G15" s="69"/>
      <c r="H15" s="69"/>
      <c r="I15" s="69"/>
      <c r="J15" s="69"/>
      <c r="K15" s="69"/>
      <c r="L15" s="69"/>
      <c r="M15" s="379"/>
      <c r="N15" s="85"/>
      <c r="O15" s="64"/>
      <c r="P15" s="69"/>
      <c r="Q15" s="69"/>
      <c r="R15" s="69"/>
      <c r="S15" s="69"/>
      <c r="T15" s="69"/>
      <c r="U15" s="69"/>
      <c r="V15" s="69"/>
      <c r="W15" s="69"/>
      <c r="X15" s="69"/>
      <c r="Y15" s="379"/>
      <c r="Z15" s="381">
        <v>0</v>
      </c>
      <c r="AA15" s="381">
        <f>SUMIFS([1]!Data_BS[Value],[1]!Data_BS[Index BS],DTRVL!$B15,[1]!Data_BS[TenCongTyID],DTRVL!$B$1,[1]!Data_BS[Thang.Nam],DTRVL!AA$5)</f>
        <v>0</v>
      </c>
      <c r="AB15" s="381">
        <f>SUMIFS([1]!Data_BS[Value],[1]!Data_BS[Index BS],DTRVL!$B15,[1]!Data_BS[TenCongTyID],DTRVL!$B$1,[1]!Data_BS[Thang.Nam],DTRVL!AB$5)</f>
        <v>0</v>
      </c>
      <c r="AC15" s="381">
        <f>SUMIFS([1]!Data_BS[Value],[1]!Data_BS[Index BS],DTRVL!$B15,[1]!Data_BS[TenCongTyID],DTRVL!$B$1,[1]!Data_BS[Thang.Nam],DTRVL!AC$5)</f>
        <v>0</v>
      </c>
      <c r="AD15" s="381">
        <f>SUMIFS([1]!Data_BS[Value],[1]!Data_BS[Index BS],DTRVL!$B15,[1]!Data_BS[TenCongTyID],DTRVL!$B$1,[1]!Data_BS[Thang.Nam],DTRVL!AD$5)</f>
        <v>0</v>
      </c>
      <c r="AE15" s="381">
        <f>SUMIFS([1]!Data_BS[Value],[1]!Data_BS[Index BS],DTRVL!$B15,[1]!Data_BS[TenCongTyID],DTRVL!$B$1,[1]!Data_BS[Thang.Nam],DTRVL!AE$5)</f>
        <v>0</v>
      </c>
      <c r="AF15" s="381">
        <f>SUMIFS([1]!Data_BS[Value],[1]!Data_BS[Index BS],DTRVL!$B15,[1]!Data_BS[TenCongTyID],DTRVL!$B$1,[1]!Data_BS[Thang.Nam],DTRVL!AF$5)</f>
        <v>0</v>
      </c>
      <c r="AG15" s="381">
        <f>SUMIFS([1]!Data_BS[Value],[1]!Data_BS[Index BS],DTRVL!$B15,[1]!Data_BS[TenCongTyID],DTRVL!$B$1,[1]!Data_BS[Thang.Nam],DTRVL!AG$5)</f>
        <v>0</v>
      </c>
      <c r="AH15" s="381">
        <f>SUMIFS([1]!Data_BS[Value],[1]!Data_BS[Index BS],DTRVL!$B15,[1]!Data_BS[TenCongTyID],DTRVL!$B$1,[1]!Data_BS[Thang.Nam],DTRVL!AH$5)</f>
        <v>0</v>
      </c>
      <c r="AI15" s="381">
        <f>SUMIFS([1]!Data_BS[Value],[1]!Data_BS[Index BS],DTRVL!$B15,[1]!Data_BS[TenCongTyID],DTRVL!$B$1,[1]!Data_BS[Thang.Nam],DTRVL!AI$5)</f>
        <v>0</v>
      </c>
      <c r="AJ15" s="381">
        <f>SUMIFS([1]!Data_BS[Value],[1]!Data_BS[Index BS],DTRVL!$B15,[1]!Data_BS[TenCongTyID],DTRVL!$B$1,[1]!Data_BS[Thang.Nam],DTRVL!AJ$5)</f>
        <v>0</v>
      </c>
      <c r="AK15" s="381">
        <f>SUMIFS([1]!Data_BS[Value],[1]!Data_BS[Index BS],DTRVL!$B15,[1]!Data_BS[TenCongTyID],DTRVL!$B$1,[1]!Data_BS[Thang.Nam],DTRVL!AK$5)</f>
        <v>0</v>
      </c>
      <c r="AL15" s="381">
        <f>SUMIFS([1]!Data_BS[Value],[1]!Data_BS[Index BS],DTRVL!$B15,[1]!Data_BS[TenCongTyID],DTRVL!$B$1,[1]!Data_BS[Thang.Nam],DTRVL!AL$5)</f>
        <v>0</v>
      </c>
    </row>
    <row r="16" spans="1:38" ht="15" hidden="1" customHeight="1" outlineLevel="1">
      <c r="A16" s="66" t="s">
        <v>100</v>
      </c>
      <c r="B16" s="63">
        <v>11</v>
      </c>
      <c r="C16" s="64"/>
      <c r="D16" s="69"/>
      <c r="E16" s="69"/>
      <c r="F16" s="379"/>
      <c r="G16" s="69"/>
      <c r="H16" s="69"/>
      <c r="I16" s="69"/>
      <c r="J16" s="69"/>
      <c r="K16" s="69"/>
      <c r="L16" s="69"/>
      <c r="M16" s="379"/>
      <c r="N16" s="85"/>
      <c r="O16" s="64"/>
      <c r="P16" s="69"/>
      <c r="Q16" s="69"/>
      <c r="R16" s="69"/>
      <c r="S16" s="69"/>
      <c r="T16" s="69"/>
      <c r="U16" s="69"/>
      <c r="V16" s="69"/>
      <c r="W16" s="69"/>
      <c r="X16" s="69"/>
      <c r="Y16" s="379"/>
      <c r="Z16" s="381">
        <v>0</v>
      </c>
      <c r="AA16" s="381">
        <f>SUMIFS([1]!Data_BS[Value],[1]!Data_BS[Index BS],DTRVL!$B16,[1]!Data_BS[TenCongTyID],DTRVL!$B$1,[1]!Data_BS[Thang.Nam],DTRVL!AA$5)</f>
        <v>0</v>
      </c>
      <c r="AB16" s="381">
        <f>SUMIFS([1]!Data_BS[Value],[1]!Data_BS[Index BS],DTRVL!$B16,[1]!Data_BS[TenCongTyID],DTRVL!$B$1,[1]!Data_BS[Thang.Nam],DTRVL!AB$5)</f>
        <v>0</v>
      </c>
      <c r="AC16" s="381">
        <f>SUMIFS([1]!Data_BS[Value],[1]!Data_BS[Index BS],DTRVL!$B16,[1]!Data_BS[TenCongTyID],DTRVL!$B$1,[1]!Data_BS[Thang.Nam],DTRVL!AC$5)</f>
        <v>0</v>
      </c>
      <c r="AD16" s="381">
        <f>SUMIFS([1]!Data_BS[Value],[1]!Data_BS[Index BS],DTRVL!$B16,[1]!Data_BS[TenCongTyID],DTRVL!$B$1,[1]!Data_BS[Thang.Nam],DTRVL!AD$5)</f>
        <v>0</v>
      </c>
      <c r="AE16" s="381">
        <f>SUMIFS([1]!Data_BS[Value],[1]!Data_BS[Index BS],DTRVL!$B16,[1]!Data_BS[TenCongTyID],DTRVL!$B$1,[1]!Data_BS[Thang.Nam],DTRVL!AE$5)</f>
        <v>0</v>
      </c>
      <c r="AF16" s="381">
        <f>SUMIFS([1]!Data_BS[Value],[1]!Data_BS[Index BS],DTRVL!$B16,[1]!Data_BS[TenCongTyID],DTRVL!$B$1,[1]!Data_BS[Thang.Nam],DTRVL!AF$5)</f>
        <v>0</v>
      </c>
      <c r="AG16" s="381">
        <f>SUMIFS([1]!Data_BS[Value],[1]!Data_BS[Index BS],DTRVL!$B16,[1]!Data_BS[TenCongTyID],DTRVL!$B$1,[1]!Data_BS[Thang.Nam],DTRVL!AG$5)</f>
        <v>0</v>
      </c>
      <c r="AH16" s="381">
        <f>SUMIFS([1]!Data_BS[Value],[1]!Data_BS[Index BS],DTRVL!$B16,[1]!Data_BS[TenCongTyID],DTRVL!$B$1,[1]!Data_BS[Thang.Nam],DTRVL!AH$5)</f>
        <v>0</v>
      </c>
      <c r="AI16" s="381">
        <f>SUMIFS([1]!Data_BS[Value],[1]!Data_BS[Index BS],DTRVL!$B16,[1]!Data_BS[TenCongTyID],DTRVL!$B$1,[1]!Data_BS[Thang.Nam],DTRVL!AI$5)</f>
        <v>0</v>
      </c>
      <c r="AJ16" s="381">
        <f>SUMIFS([1]!Data_BS[Value],[1]!Data_BS[Index BS],DTRVL!$B16,[1]!Data_BS[TenCongTyID],DTRVL!$B$1,[1]!Data_BS[Thang.Nam],DTRVL!AJ$5)</f>
        <v>0</v>
      </c>
      <c r="AK16" s="381">
        <f>SUMIFS([1]!Data_BS[Value],[1]!Data_BS[Index BS],DTRVL!$B16,[1]!Data_BS[TenCongTyID],DTRVL!$B$1,[1]!Data_BS[Thang.Nam],DTRVL!AK$5)</f>
        <v>0</v>
      </c>
      <c r="AL16" s="381">
        <f>SUMIFS([1]!Data_BS[Value],[1]!Data_BS[Index BS],DTRVL!$B16,[1]!Data_BS[TenCongTyID],DTRVL!$B$1,[1]!Data_BS[Thang.Nam],DTRVL!AL$5)</f>
        <v>0</v>
      </c>
    </row>
    <row r="17" spans="1:38" ht="15" hidden="1" customHeight="1" outlineLevel="1">
      <c r="A17" s="59" t="s">
        <v>101</v>
      </c>
      <c r="B17" s="65">
        <v>12</v>
      </c>
      <c r="C17" s="61">
        <f>+SUM(C18:C24)</f>
        <v>0</v>
      </c>
      <c r="D17" s="173">
        <f>+SUM(D18:D24)</f>
        <v>0</v>
      </c>
      <c r="E17" s="173">
        <f>+SUM(E18:E24)</f>
        <v>0</v>
      </c>
      <c r="F17" s="375">
        <f>+SUM(F18:F24)</f>
        <v>0</v>
      </c>
      <c r="G17" s="173">
        <f>+SUM(G18:G24)</f>
        <v>0</v>
      </c>
      <c r="H17" s="173"/>
      <c r="I17" s="173">
        <f>+SUM(I18:I24)</f>
        <v>0</v>
      </c>
      <c r="J17" s="173"/>
      <c r="K17" s="173"/>
      <c r="L17" s="173"/>
      <c r="M17" s="375"/>
      <c r="N17" s="376"/>
      <c r="O17" s="61"/>
      <c r="P17" s="173"/>
      <c r="Q17" s="173"/>
      <c r="R17" s="375"/>
      <c r="S17" s="173"/>
      <c r="T17" s="173"/>
      <c r="U17" s="173"/>
      <c r="V17" s="173"/>
      <c r="W17" s="173"/>
      <c r="X17" s="173">
        <f>+SUM(X18:X24)</f>
        <v>0</v>
      </c>
      <c r="Y17" s="375">
        <v>0</v>
      </c>
      <c r="Z17" s="378">
        <v>0</v>
      </c>
      <c r="AA17" s="378">
        <f>SUMIFS([1]!Data_BS[Value],[1]!Data_BS[Index BS],DTRVL!$B17,[1]!Data_BS[TenCongTyID],DTRVL!$B$1,[1]!Data_BS[Thang.Nam],DTRVL!AA$5)</f>
        <v>0</v>
      </c>
      <c r="AB17" s="378">
        <f>SUMIFS([1]!Data_BS[Value],[1]!Data_BS[Index BS],DTRVL!$B17,[1]!Data_BS[TenCongTyID],DTRVL!$B$1,[1]!Data_BS[Thang.Nam],DTRVL!AB$5)</f>
        <v>0</v>
      </c>
      <c r="AC17" s="378">
        <f>SUMIFS([1]!Data_BS[Value],[1]!Data_BS[Index BS],DTRVL!$B17,[1]!Data_BS[TenCongTyID],DTRVL!$B$1,[1]!Data_BS[Thang.Nam],DTRVL!AC$5)</f>
        <v>0</v>
      </c>
      <c r="AD17" s="378">
        <f>SUMIFS([1]!Data_BS[Value],[1]!Data_BS[Index BS],DTRVL!$B17,[1]!Data_BS[TenCongTyID],DTRVL!$B$1,[1]!Data_BS[Thang.Nam],DTRVL!AD$5)</f>
        <v>0</v>
      </c>
      <c r="AE17" s="378">
        <f>SUMIFS([1]!Data_BS[Value],[1]!Data_BS[Index BS],DTRVL!$B17,[1]!Data_BS[TenCongTyID],DTRVL!$B$1,[1]!Data_BS[Thang.Nam],DTRVL!AE$5)</f>
        <v>0</v>
      </c>
      <c r="AF17" s="378">
        <f>SUMIFS([1]!Data_BS[Value],[1]!Data_BS[Index BS],DTRVL!$B17,[1]!Data_BS[TenCongTyID],DTRVL!$B$1,[1]!Data_BS[Thang.Nam],DTRVL!AF$5)</f>
        <v>0</v>
      </c>
      <c r="AG17" s="378">
        <f>SUMIFS([1]!Data_BS[Value],[1]!Data_BS[Index BS],DTRVL!$B17,[1]!Data_BS[TenCongTyID],DTRVL!$B$1,[1]!Data_BS[Thang.Nam],DTRVL!AG$5)</f>
        <v>0</v>
      </c>
      <c r="AH17" s="378">
        <f>SUMIFS([1]!Data_BS[Value],[1]!Data_BS[Index BS],DTRVL!$B17,[1]!Data_BS[TenCongTyID],DTRVL!$B$1,[1]!Data_BS[Thang.Nam],DTRVL!AH$5)</f>
        <v>0</v>
      </c>
      <c r="AI17" s="378">
        <f>SUMIFS([1]!Data_BS[Value],[1]!Data_BS[Index BS],DTRVL!$B17,[1]!Data_BS[TenCongTyID],DTRVL!$B$1,[1]!Data_BS[Thang.Nam],DTRVL!AI$5)</f>
        <v>0</v>
      </c>
      <c r="AJ17" s="378">
        <f>SUMIFS([1]!Data_BS[Value],[1]!Data_BS[Index BS],DTRVL!$B17,[1]!Data_BS[TenCongTyID],DTRVL!$B$1,[1]!Data_BS[Thang.Nam],DTRVL!AJ$5)</f>
        <v>0</v>
      </c>
      <c r="AK17" s="378">
        <f>SUMIFS([1]!Data_BS[Value],[1]!Data_BS[Index BS],DTRVL!$B17,[1]!Data_BS[TenCongTyID],DTRVL!$B$1,[1]!Data_BS[Thang.Nam],DTRVL!AK$5)</f>
        <v>0</v>
      </c>
      <c r="AL17" s="378">
        <f>SUMIFS([1]!Data_BS[Value],[1]!Data_BS[Index BS],DTRVL!$B17,[1]!Data_BS[TenCongTyID],DTRVL!$B$1,[1]!Data_BS[Thang.Nam],DTRVL!AL$5)</f>
        <v>0</v>
      </c>
    </row>
    <row r="18" spans="1:38" ht="15" hidden="1" customHeight="1" outlineLevel="1">
      <c r="A18" s="67" t="s">
        <v>102</v>
      </c>
      <c r="B18" s="63">
        <v>13</v>
      </c>
      <c r="C18" s="64"/>
      <c r="D18" s="69"/>
      <c r="E18" s="69"/>
      <c r="F18" s="379"/>
      <c r="G18" s="69"/>
      <c r="H18" s="69">
        <v>0</v>
      </c>
      <c r="I18" s="69"/>
      <c r="J18" s="69"/>
      <c r="K18" s="69"/>
      <c r="L18" s="69"/>
      <c r="M18" s="379"/>
      <c r="N18" s="85"/>
      <c r="O18" s="64"/>
      <c r="P18" s="69"/>
      <c r="Q18" s="69"/>
      <c r="R18" s="379"/>
      <c r="S18" s="69"/>
      <c r="T18" s="69"/>
      <c r="U18" s="69"/>
      <c r="V18" s="69"/>
      <c r="W18" s="69"/>
      <c r="X18" s="69"/>
      <c r="Y18" s="379"/>
      <c r="Z18" s="381">
        <v>0</v>
      </c>
      <c r="AA18" s="381">
        <f>SUMIFS([1]!Data_BS[Value],[1]!Data_BS[Index BS],DTRVL!$B18,[1]!Data_BS[TenCongTyID],DTRVL!$B$1,[1]!Data_BS[Thang.Nam],DTRVL!AA$5)</f>
        <v>0</v>
      </c>
      <c r="AB18" s="381">
        <f>SUMIFS([1]!Data_BS[Value],[1]!Data_BS[Index BS],DTRVL!$B18,[1]!Data_BS[TenCongTyID],DTRVL!$B$1,[1]!Data_BS[Thang.Nam],DTRVL!AB$5)</f>
        <v>0</v>
      </c>
      <c r="AC18" s="381">
        <f>SUMIFS([1]!Data_BS[Value],[1]!Data_BS[Index BS],DTRVL!$B18,[1]!Data_BS[TenCongTyID],DTRVL!$B$1,[1]!Data_BS[Thang.Nam],DTRVL!AC$5)</f>
        <v>0</v>
      </c>
      <c r="AD18" s="381">
        <f>SUMIFS([1]!Data_BS[Value],[1]!Data_BS[Index BS],DTRVL!$B18,[1]!Data_BS[TenCongTyID],DTRVL!$B$1,[1]!Data_BS[Thang.Nam],DTRVL!AD$5)</f>
        <v>0</v>
      </c>
      <c r="AE18" s="381">
        <f>SUMIFS([1]!Data_BS[Value],[1]!Data_BS[Index BS],DTRVL!$B18,[1]!Data_BS[TenCongTyID],DTRVL!$B$1,[1]!Data_BS[Thang.Nam],DTRVL!AE$5)</f>
        <v>0</v>
      </c>
      <c r="AF18" s="381">
        <f>SUMIFS([1]!Data_BS[Value],[1]!Data_BS[Index BS],DTRVL!$B18,[1]!Data_BS[TenCongTyID],DTRVL!$B$1,[1]!Data_BS[Thang.Nam],DTRVL!AF$5)</f>
        <v>0</v>
      </c>
      <c r="AG18" s="381">
        <f>SUMIFS([1]!Data_BS[Value],[1]!Data_BS[Index BS],DTRVL!$B18,[1]!Data_BS[TenCongTyID],DTRVL!$B$1,[1]!Data_BS[Thang.Nam],DTRVL!AG$5)</f>
        <v>0</v>
      </c>
      <c r="AH18" s="381">
        <f>SUMIFS([1]!Data_BS[Value],[1]!Data_BS[Index BS],DTRVL!$B18,[1]!Data_BS[TenCongTyID],DTRVL!$B$1,[1]!Data_BS[Thang.Nam],DTRVL!AH$5)</f>
        <v>0</v>
      </c>
      <c r="AI18" s="381">
        <f>SUMIFS([1]!Data_BS[Value],[1]!Data_BS[Index BS],DTRVL!$B18,[1]!Data_BS[TenCongTyID],DTRVL!$B$1,[1]!Data_BS[Thang.Nam],DTRVL!AI$5)</f>
        <v>0</v>
      </c>
      <c r="AJ18" s="381">
        <f>SUMIFS([1]!Data_BS[Value],[1]!Data_BS[Index BS],DTRVL!$B18,[1]!Data_BS[TenCongTyID],DTRVL!$B$1,[1]!Data_BS[Thang.Nam],DTRVL!AJ$5)</f>
        <v>0</v>
      </c>
      <c r="AK18" s="381">
        <f>SUMIFS([1]!Data_BS[Value],[1]!Data_BS[Index BS],DTRVL!$B18,[1]!Data_BS[TenCongTyID],DTRVL!$B$1,[1]!Data_BS[Thang.Nam],DTRVL!AK$5)</f>
        <v>0</v>
      </c>
      <c r="AL18" s="381">
        <f>SUMIFS([1]!Data_BS[Value],[1]!Data_BS[Index BS],DTRVL!$B18,[1]!Data_BS[TenCongTyID],DTRVL!$B$1,[1]!Data_BS[Thang.Nam],DTRVL!AL$5)</f>
        <v>0</v>
      </c>
    </row>
    <row r="19" spans="1:38" ht="15" hidden="1" customHeight="1" outlineLevel="1">
      <c r="A19" s="67" t="s">
        <v>103</v>
      </c>
      <c r="B19" s="63">
        <v>14</v>
      </c>
      <c r="C19" s="64"/>
      <c r="D19" s="69"/>
      <c r="E19" s="69"/>
      <c r="F19" s="379"/>
      <c r="G19" s="69"/>
      <c r="H19" s="69">
        <v>0</v>
      </c>
      <c r="I19" s="69"/>
      <c r="J19" s="69"/>
      <c r="K19" s="69"/>
      <c r="L19" s="69"/>
      <c r="M19" s="379"/>
      <c r="N19" s="85"/>
      <c r="O19" s="64"/>
      <c r="P19" s="69"/>
      <c r="Q19" s="69"/>
      <c r="R19" s="379"/>
      <c r="S19" s="69"/>
      <c r="T19" s="69"/>
      <c r="U19" s="69"/>
      <c r="V19" s="69"/>
      <c r="W19" s="69"/>
      <c r="X19" s="69"/>
      <c r="Y19" s="379"/>
      <c r="Z19" s="381">
        <v>0</v>
      </c>
      <c r="AA19" s="381">
        <f>SUMIFS([1]!Data_BS[Value],[1]!Data_BS[Index BS],DTRVL!$B19,[1]!Data_BS[TenCongTyID],DTRVL!$B$1,[1]!Data_BS[Thang.Nam],DTRVL!AA$5)</f>
        <v>0</v>
      </c>
      <c r="AB19" s="381">
        <f>SUMIFS([1]!Data_BS[Value],[1]!Data_BS[Index BS],DTRVL!$B19,[1]!Data_BS[TenCongTyID],DTRVL!$B$1,[1]!Data_BS[Thang.Nam],DTRVL!AB$5)</f>
        <v>0</v>
      </c>
      <c r="AC19" s="381">
        <f>SUMIFS([1]!Data_BS[Value],[1]!Data_BS[Index BS],DTRVL!$B19,[1]!Data_BS[TenCongTyID],DTRVL!$B$1,[1]!Data_BS[Thang.Nam],DTRVL!AC$5)</f>
        <v>0</v>
      </c>
      <c r="AD19" s="381">
        <f>SUMIFS([1]!Data_BS[Value],[1]!Data_BS[Index BS],DTRVL!$B19,[1]!Data_BS[TenCongTyID],DTRVL!$B$1,[1]!Data_BS[Thang.Nam],DTRVL!AD$5)</f>
        <v>0</v>
      </c>
      <c r="AE19" s="381">
        <f>SUMIFS([1]!Data_BS[Value],[1]!Data_BS[Index BS],DTRVL!$B19,[1]!Data_BS[TenCongTyID],DTRVL!$B$1,[1]!Data_BS[Thang.Nam],DTRVL!AE$5)</f>
        <v>0</v>
      </c>
      <c r="AF19" s="381">
        <f>SUMIFS([1]!Data_BS[Value],[1]!Data_BS[Index BS],DTRVL!$B19,[1]!Data_BS[TenCongTyID],DTRVL!$B$1,[1]!Data_BS[Thang.Nam],DTRVL!AF$5)</f>
        <v>0</v>
      </c>
      <c r="AG19" s="381">
        <f>SUMIFS([1]!Data_BS[Value],[1]!Data_BS[Index BS],DTRVL!$B19,[1]!Data_BS[TenCongTyID],DTRVL!$B$1,[1]!Data_BS[Thang.Nam],DTRVL!AG$5)</f>
        <v>0</v>
      </c>
      <c r="AH19" s="381">
        <f>SUMIFS([1]!Data_BS[Value],[1]!Data_BS[Index BS],DTRVL!$B19,[1]!Data_BS[TenCongTyID],DTRVL!$B$1,[1]!Data_BS[Thang.Nam],DTRVL!AH$5)</f>
        <v>0</v>
      </c>
      <c r="AI19" s="381">
        <f>SUMIFS([1]!Data_BS[Value],[1]!Data_BS[Index BS],DTRVL!$B19,[1]!Data_BS[TenCongTyID],DTRVL!$B$1,[1]!Data_BS[Thang.Nam],DTRVL!AI$5)</f>
        <v>0</v>
      </c>
      <c r="AJ19" s="381">
        <f>SUMIFS([1]!Data_BS[Value],[1]!Data_BS[Index BS],DTRVL!$B19,[1]!Data_BS[TenCongTyID],DTRVL!$B$1,[1]!Data_BS[Thang.Nam],DTRVL!AJ$5)</f>
        <v>0</v>
      </c>
      <c r="AK19" s="381">
        <f>SUMIFS([1]!Data_BS[Value],[1]!Data_BS[Index BS],DTRVL!$B19,[1]!Data_BS[TenCongTyID],DTRVL!$B$1,[1]!Data_BS[Thang.Nam],DTRVL!AK$5)</f>
        <v>0</v>
      </c>
      <c r="AL19" s="381">
        <f>SUMIFS([1]!Data_BS[Value],[1]!Data_BS[Index BS],DTRVL!$B19,[1]!Data_BS[TenCongTyID],DTRVL!$B$1,[1]!Data_BS[Thang.Nam],DTRVL!AL$5)</f>
        <v>0</v>
      </c>
    </row>
    <row r="20" spans="1:38" ht="15" hidden="1" customHeight="1" outlineLevel="1">
      <c r="A20" s="67" t="s">
        <v>104</v>
      </c>
      <c r="B20" s="63">
        <v>15</v>
      </c>
      <c r="C20" s="64"/>
      <c r="D20" s="69"/>
      <c r="E20" s="69"/>
      <c r="F20" s="379"/>
      <c r="G20" s="69"/>
      <c r="H20" s="69">
        <v>0</v>
      </c>
      <c r="I20" s="69"/>
      <c r="J20" s="69"/>
      <c r="K20" s="69"/>
      <c r="L20" s="69"/>
      <c r="M20" s="379"/>
      <c r="N20" s="85"/>
      <c r="O20" s="64"/>
      <c r="P20" s="69"/>
      <c r="Q20" s="69"/>
      <c r="R20" s="379"/>
      <c r="S20" s="69"/>
      <c r="T20" s="69"/>
      <c r="U20" s="69"/>
      <c r="V20" s="69"/>
      <c r="W20" s="69"/>
      <c r="X20" s="69"/>
      <c r="Y20" s="379"/>
      <c r="Z20" s="381">
        <v>0</v>
      </c>
      <c r="AA20" s="381">
        <f>SUMIFS([1]!Data_BS[Value],[1]!Data_BS[Index BS],DTRVL!$B20,[1]!Data_BS[TenCongTyID],DTRVL!$B$1,[1]!Data_BS[Thang.Nam],DTRVL!AA$5)</f>
        <v>0</v>
      </c>
      <c r="AB20" s="381">
        <f>SUMIFS([1]!Data_BS[Value],[1]!Data_BS[Index BS],DTRVL!$B20,[1]!Data_BS[TenCongTyID],DTRVL!$B$1,[1]!Data_BS[Thang.Nam],DTRVL!AB$5)</f>
        <v>0</v>
      </c>
      <c r="AC20" s="381">
        <f>SUMIFS([1]!Data_BS[Value],[1]!Data_BS[Index BS],DTRVL!$B20,[1]!Data_BS[TenCongTyID],DTRVL!$B$1,[1]!Data_BS[Thang.Nam],DTRVL!AC$5)</f>
        <v>0</v>
      </c>
      <c r="AD20" s="381">
        <f>SUMIFS([1]!Data_BS[Value],[1]!Data_BS[Index BS],DTRVL!$B20,[1]!Data_BS[TenCongTyID],DTRVL!$B$1,[1]!Data_BS[Thang.Nam],DTRVL!AD$5)</f>
        <v>0</v>
      </c>
      <c r="AE20" s="381">
        <f>SUMIFS([1]!Data_BS[Value],[1]!Data_BS[Index BS],DTRVL!$B20,[1]!Data_BS[TenCongTyID],DTRVL!$B$1,[1]!Data_BS[Thang.Nam],DTRVL!AE$5)</f>
        <v>0</v>
      </c>
      <c r="AF20" s="381">
        <f>SUMIFS([1]!Data_BS[Value],[1]!Data_BS[Index BS],DTRVL!$B20,[1]!Data_BS[TenCongTyID],DTRVL!$B$1,[1]!Data_BS[Thang.Nam],DTRVL!AF$5)</f>
        <v>0</v>
      </c>
      <c r="AG20" s="381">
        <f>SUMIFS([1]!Data_BS[Value],[1]!Data_BS[Index BS],DTRVL!$B20,[1]!Data_BS[TenCongTyID],DTRVL!$B$1,[1]!Data_BS[Thang.Nam],DTRVL!AG$5)</f>
        <v>0</v>
      </c>
      <c r="AH20" s="381">
        <f>SUMIFS([1]!Data_BS[Value],[1]!Data_BS[Index BS],DTRVL!$B20,[1]!Data_BS[TenCongTyID],DTRVL!$B$1,[1]!Data_BS[Thang.Nam],DTRVL!AH$5)</f>
        <v>0</v>
      </c>
      <c r="AI20" s="381">
        <f>SUMIFS([1]!Data_BS[Value],[1]!Data_BS[Index BS],DTRVL!$B20,[1]!Data_BS[TenCongTyID],DTRVL!$B$1,[1]!Data_BS[Thang.Nam],DTRVL!AI$5)</f>
        <v>0</v>
      </c>
      <c r="AJ20" s="381">
        <f>SUMIFS([1]!Data_BS[Value],[1]!Data_BS[Index BS],DTRVL!$B20,[1]!Data_BS[TenCongTyID],DTRVL!$B$1,[1]!Data_BS[Thang.Nam],DTRVL!AJ$5)</f>
        <v>0</v>
      </c>
      <c r="AK20" s="381">
        <f>SUMIFS([1]!Data_BS[Value],[1]!Data_BS[Index BS],DTRVL!$B20,[1]!Data_BS[TenCongTyID],DTRVL!$B$1,[1]!Data_BS[Thang.Nam],DTRVL!AK$5)</f>
        <v>0</v>
      </c>
      <c r="AL20" s="381">
        <f>SUMIFS([1]!Data_BS[Value],[1]!Data_BS[Index BS],DTRVL!$B20,[1]!Data_BS[TenCongTyID],DTRVL!$B$1,[1]!Data_BS[Thang.Nam],DTRVL!AL$5)</f>
        <v>0</v>
      </c>
    </row>
    <row r="21" spans="1:38" ht="15" hidden="1" customHeight="1" outlineLevel="1">
      <c r="A21" s="67" t="s">
        <v>105</v>
      </c>
      <c r="B21" s="63">
        <v>16</v>
      </c>
      <c r="C21" s="64"/>
      <c r="D21" s="69"/>
      <c r="E21" s="69"/>
      <c r="F21" s="379"/>
      <c r="G21" s="69"/>
      <c r="H21" s="69">
        <v>0</v>
      </c>
      <c r="I21" s="69"/>
      <c r="J21" s="69"/>
      <c r="K21" s="69"/>
      <c r="L21" s="69"/>
      <c r="M21" s="379"/>
      <c r="N21" s="85"/>
      <c r="O21" s="64"/>
      <c r="P21" s="69"/>
      <c r="Q21" s="69"/>
      <c r="R21" s="379"/>
      <c r="S21" s="69"/>
      <c r="T21" s="69"/>
      <c r="U21" s="69"/>
      <c r="V21" s="69"/>
      <c r="W21" s="69"/>
      <c r="X21" s="69"/>
      <c r="Y21" s="379"/>
      <c r="Z21" s="381">
        <v>0</v>
      </c>
      <c r="AA21" s="381">
        <f>SUMIFS([1]!Data_BS[Value],[1]!Data_BS[Index BS],DTRVL!$B21,[1]!Data_BS[TenCongTyID],DTRVL!$B$1,[1]!Data_BS[Thang.Nam],DTRVL!AA$5)</f>
        <v>0</v>
      </c>
      <c r="AB21" s="381">
        <f>SUMIFS([1]!Data_BS[Value],[1]!Data_BS[Index BS],DTRVL!$B21,[1]!Data_BS[TenCongTyID],DTRVL!$B$1,[1]!Data_BS[Thang.Nam],DTRVL!AB$5)</f>
        <v>0</v>
      </c>
      <c r="AC21" s="381">
        <f>SUMIFS([1]!Data_BS[Value],[1]!Data_BS[Index BS],DTRVL!$B21,[1]!Data_BS[TenCongTyID],DTRVL!$B$1,[1]!Data_BS[Thang.Nam],DTRVL!AC$5)</f>
        <v>0</v>
      </c>
      <c r="AD21" s="381">
        <f>SUMIFS([1]!Data_BS[Value],[1]!Data_BS[Index BS],DTRVL!$B21,[1]!Data_BS[TenCongTyID],DTRVL!$B$1,[1]!Data_BS[Thang.Nam],DTRVL!AD$5)</f>
        <v>0</v>
      </c>
      <c r="AE21" s="381">
        <f>SUMIFS([1]!Data_BS[Value],[1]!Data_BS[Index BS],DTRVL!$B21,[1]!Data_BS[TenCongTyID],DTRVL!$B$1,[1]!Data_BS[Thang.Nam],DTRVL!AE$5)</f>
        <v>0</v>
      </c>
      <c r="AF21" s="381">
        <f>SUMIFS([1]!Data_BS[Value],[1]!Data_BS[Index BS],DTRVL!$B21,[1]!Data_BS[TenCongTyID],DTRVL!$B$1,[1]!Data_BS[Thang.Nam],DTRVL!AF$5)</f>
        <v>0</v>
      </c>
      <c r="AG21" s="381">
        <f>SUMIFS([1]!Data_BS[Value],[1]!Data_BS[Index BS],DTRVL!$B21,[1]!Data_BS[TenCongTyID],DTRVL!$B$1,[1]!Data_BS[Thang.Nam],DTRVL!AG$5)</f>
        <v>0</v>
      </c>
      <c r="AH21" s="381">
        <f>SUMIFS([1]!Data_BS[Value],[1]!Data_BS[Index BS],DTRVL!$B21,[1]!Data_BS[TenCongTyID],DTRVL!$B$1,[1]!Data_BS[Thang.Nam],DTRVL!AH$5)</f>
        <v>0</v>
      </c>
      <c r="AI21" s="381">
        <f>SUMIFS([1]!Data_BS[Value],[1]!Data_BS[Index BS],DTRVL!$B21,[1]!Data_BS[TenCongTyID],DTRVL!$B$1,[1]!Data_BS[Thang.Nam],DTRVL!AI$5)</f>
        <v>0</v>
      </c>
      <c r="AJ21" s="381">
        <f>SUMIFS([1]!Data_BS[Value],[1]!Data_BS[Index BS],DTRVL!$B21,[1]!Data_BS[TenCongTyID],DTRVL!$B$1,[1]!Data_BS[Thang.Nam],DTRVL!AJ$5)</f>
        <v>0</v>
      </c>
      <c r="AK21" s="381">
        <f>SUMIFS([1]!Data_BS[Value],[1]!Data_BS[Index BS],DTRVL!$B21,[1]!Data_BS[TenCongTyID],DTRVL!$B$1,[1]!Data_BS[Thang.Nam],DTRVL!AK$5)</f>
        <v>0</v>
      </c>
      <c r="AL21" s="381">
        <f>SUMIFS([1]!Data_BS[Value],[1]!Data_BS[Index BS],DTRVL!$B21,[1]!Data_BS[TenCongTyID],DTRVL!$B$1,[1]!Data_BS[Thang.Nam],DTRVL!AL$5)</f>
        <v>0</v>
      </c>
    </row>
    <row r="22" spans="1:38" ht="15" hidden="1" customHeight="1" outlineLevel="1">
      <c r="A22" s="67" t="s">
        <v>106</v>
      </c>
      <c r="B22" s="63">
        <v>17</v>
      </c>
      <c r="C22" s="64"/>
      <c r="D22" s="69"/>
      <c r="E22" s="69"/>
      <c r="F22" s="379"/>
      <c r="G22" s="69"/>
      <c r="H22" s="69">
        <v>0</v>
      </c>
      <c r="I22" s="69"/>
      <c r="J22" s="69"/>
      <c r="K22" s="69"/>
      <c r="L22" s="69"/>
      <c r="M22" s="379"/>
      <c r="N22" s="85"/>
      <c r="O22" s="64"/>
      <c r="P22" s="69"/>
      <c r="Q22" s="69"/>
      <c r="R22" s="379"/>
      <c r="S22" s="69"/>
      <c r="T22" s="69"/>
      <c r="U22" s="69"/>
      <c r="V22" s="69"/>
      <c r="W22" s="69"/>
      <c r="X22" s="69"/>
      <c r="Y22" s="379"/>
      <c r="Z22" s="381">
        <v>0</v>
      </c>
      <c r="AA22" s="381">
        <f>SUMIFS([1]!Data_BS[Value],[1]!Data_BS[Index BS],DTRVL!$B22,[1]!Data_BS[TenCongTyID],DTRVL!$B$1,[1]!Data_BS[Thang.Nam],DTRVL!AA$5)</f>
        <v>0</v>
      </c>
      <c r="AB22" s="381">
        <f>SUMIFS([1]!Data_BS[Value],[1]!Data_BS[Index BS],DTRVL!$B22,[1]!Data_BS[TenCongTyID],DTRVL!$B$1,[1]!Data_BS[Thang.Nam],DTRVL!AB$5)</f>
        <v>0</v>
      </c>
      <c r="AC22" s="381">
        <f>SUMIFS([1]!Data_BS[Value],[1]!Data_BS[Index BS],DTRVL!$B22,[1]!Data_BS[TenCongTyID],DTRVL!$B$1,[1]!Data_BS[Thang.Nam],DTRVL!AC$5)</f>
        <v>0</v>
      </c>
      <c r="AD22" s="381">
        <f>SUMIFS([1]!Data_BS[Value],[1]!Data_BS[Index BS],DTRVL!$B22,[1]!Data_BS[TenCongTyID],DTRVL!$B$1,[1]!Data_BS[Thang.Nam],DTRVL!AD$5)</f>
        <v>0</v>
      </c>
      <c r="AE22" s="381">
        <f>SUMIFS([1]!Data_BS[Value],[1]!Data_BS[Index BS],DTRVL!$B22,[1]!Data_BS[TenCongTyID],DTRVL!$B$1,[1]!Data_BS[Thang.Nam],DTRVL!AE$5)</f>
        <v>0</v>
      </c>
      <c r="AF22" s="381">
        <f>SUMIFS([1]!Data_BS[Value],[1]!Data_BS[Index BS],DTRVL!$B22,[1]!Data_BS[TenCongTyID],DTRVL!$B$1,[1]!Data_BS[Thang.Nam],DTRVL!AF$5)</f>
        <v>0</v>
      </c>
      <c r="AG22" s="381">
        <f>SUMIFS([1]!Data_BS[Value],[1]!Data_BS[Index BS],DTRVL!$B22,[1]!Data_BS[TenCongTyID],DTRVL!$B$1,[1]!Data_BS[Thang.Nam],DTRVL!AG$5)</f>
        <v>0</v>
      </c>
      <c r="AH22" s="381">
        <f>SUMIFS([1]!Data_BS[Value],[1]!Data_BS[Index BS],DTRVL!$B22,[1]!Data_BS[TenCongTyID],DTRVL!$B$1,[1]!Data_BS[Thang.Nam],DTRVL!AH$5)</f>
        <v>0</v>
      </c>
      <c r="AI22" s="381">
        <f>SUMIFS([1]!Data_BS[Value],[1]!Data_BS[Index BS],DTRVL!$B22,[1]!Data_BS[TenCongTyID],DTRVL!$B$1,[1]!Data_BS[Thang.Nam],DTRVL!AI$5)</f>
        <v>0</v>
      </c>
      <c r="AJ22" s="381">
        <f>SUMIFS([1]!Data_BS[Value],[1]!Data_BS[Index BS],DTRVL!$B22,[1]!Data_BS[TenCongTyID],DTRVL!$B$1,[1]!Data_BS[Thang.Nam],DTRVL!AJ$5)</f>
        <v>0</v>
      </c>
      <c r="AK22" s="381">
        <f>SUMIFS([1]!Data_BS[Value],[1]!Data_BS[Index BS],DTRVL!$B22,[1]!Data_BS[TenCongTyID],DTRVL!$B$1,[1]!Data_BS[Thang.Nam],DTRVL!AK$5)</f>
        <v>0</v>
      </c>
      <c r="AL22" s="381">
        <f>SUMIFS([1]!Data_BS[Value],[1]!Data_BS[Index BS],DTRVL!$B22,[1]!Data_BS[TenCongTyID],DTRVL!$B$1,[1]!Data_BS[Thang.Nam],DTRVL!AL$5)</f>
        <v>0</v>
      </c>
    </row>
    <row r="23" spans="1:38" ht="15" hidden="1" customHeight="1" outlineLevel="1">
      <c r="A23" s="67" t="s">
        <v>107</v>
      </c>
      <c r="B23" s="63">
        <v>18</v>
      </c>
      <c r="C23" s="64"/>
      <c r="D23" s="69"/>
      <c r="E23" s="69"/>
      <c r="F23" s="379"/>
      <c r="G23" s="69"/>
      <c r="H23" s="69">
        <v>0</v>
      </c>
      <c r="I23" s="69"/>
      <c r="J23" s="69"/>
      <c r="K23" s="69"/>
      <c r="L23" s="69"/>
      <c r="M23" s="379"/>
      <c r="N23" s="85"/>
      <c r="O23" s="64"/>
      <c r="P23" s="69"/>
      <c r="Q23" s="69"/>
      <c r="R23" s="379"/>
      <c r="S23" s="69"/>
      <c r="T23" s="69"/>
      <c r="U23" s="69"/>
      <c r="V23" s="69"/>
      <c r="W23" s="69"/>
      <c r="X23" s="69"/>
      <c r="Y23" s="379"/>
      <c r="Z23" s="381">
        <v>0</v>
      </c>
      <c r="AA23" s="381">
        <f>SUMIFS([1]!Data_BS[Value],[1]!Data_BS[Index BS],DTRVL!$B23,[1]!Data_BS[TenCongTyID],DTRVL!$B$1,[1]!Data_BS[Thang.Nam],DTRVL!AA$5)</f>
        <v>0</v>
      </c>
      <c r="AB23" s="381">
        <f>SUMIFS([1]!Data_BS[Value],[1]!Data_BS[Index BS],DTRVL!$B23,[1]!Data_BS[TenCongTyID],DTRVL!$B$1,[1]!Data_BS[Thang.Nam],DTRVL!AB$5)</f>
        <v>0</v>
      </c>
      <c r="AC23" s="381">
        <f>SUMIFS([1]!Data_BS[Value],[1]!Data_BS[Index BS],DTRVL!$B23,[1]!Data_BS[TenCongTyID],DTRVL!$B$1,[1]!Data_BS[Thang.Nam],DTRVL!AC$5)</f>
        <v>0</v>
      </c>
      <c r="AD23" s="381">
        <f>SUMIFS([1]!Data_BS[Value],[1]!Data_BS[Index BS],DTRVL!$B23,[1]!Data_BS[TenCongTyID],DTRVL!$B$1,[1]!Data_BS[Thang.Nam],DTRVL!AD$5)</f>
        <v>0</v>
      </c>
      <c r="AE23" s="381">
        <f>SUMIFS([1]!Data_BS[Value],[1]!Data_BS[Index BS],DTRVL!$B23,[1]!Data_BS[TenCongTyID],DTRVL!$B$1,[1]!Data_BS[Thang.Nam],DTRVL!AE$5)</f>
        <v>0</v>
      </c>
      <c r="AF23" s="381">
        <f>SUMIFS([1]!Data_BS[Value],[1]!Data_BS[Index BS],DTRVL!$B23,[1]!Data_BS[TenCongTyID],DTRVL!$B$1,[1]!Data_BS[Thang.Nam],DTRVL!AF$5)</f>
        <v>0</v>
      </c>
      <c r="AG23" s="381">
        <f>SUMIFS([1]!Data_BS[Value],[1]!Data_BS[Index BS],DTRVL!$B23,[1]!Data_BS[TenCongTyID],DTRVL!$B$1,[1]!Data_BS[Thang.Nam],DTRVL!AG$5)</f>
        <v>0</v>
      </c>
      <c r="AH23" s="381">
        <f>SUMIFS([1]!Data_BS[Value],[1]!Data_BS[Index BS],DTRVL!$B23,[1]!Data_BS[TenCongTyID],DTRVL!$B$1,[1]!Data_BS[Thang.Nam],DTRVL!AH$5)</f>
        <v>0</v>
      </c>
      <c r="AI23" s="381">
        <f>SUMIFS([1]!Data_BS[Value],[1]!Data_BS[Index BS],DTRVL!$B23,[1]!Data_BS[TenCongTyID],DTRVL!$B$1,[1]!Data_BS[Thang.Nam],DTRVL!AI$5)</f>
        <v>0</v>
      </c>
      <c r="AJ23" s="381">
        <f>SUMIFS([1]!Data_BS[Value],[1]!Data_BS[Index BS],DTRVL!$B23,[1]!Data_BS[TenCongTyID],DTRVL!$B$1,[1]!Data_BS[Thang.Nam],DTRVL!AJ$5)</f>
        <v>0</v>
      </c>
      <c r="AK23" s="381">
        <f>SUMIFS([1]!Data_BS[Value],[1]!Data_BS[Index BS],DTRVL!$B23,[1]!Data_BS[TenCongTyID],DTRVL!$B$1,[1]!Data_BS[Thang.Nam],DTRVL!AK$5)</f>
        <v>0</v>
      </c>
      <c r="AL23" s="381">
        <f>SUMIFS([1]!Data_BS[Value],[1]!Data_BS[Index BS],DTRVL!$B23,[1]!Data_BS[TenCongTyID],DTRVL!$B$1,[1]!Data_BS[Thang.Nam],DTRVL!AL$5)</f>
        <v>0</v>
      </c>
    </row>
    <row r="24" spans="1:38" ht="15" hidden="1" customHeight="1" outlineLevel="1">
      <c r="A24" s="68" t="s">
        <v>108</v>
      </c>
      <c r="B24" s="63">
        <v>19</v>
      </c>
      <c r="C24" s="64"/>
      <c r="D24" s="69"/>
      <c r="E24" s="69"/>
      <c r="F24" s="379"/>
      <c r="G24" s="69"/>
      <c r="H24" s="69">
        <v>0</v>
      </c>
      <c r="I24" s="69"/>
      <c r="J24" s="69"/>
      <c r="K24" s="69"/>
      <c r="L24" s="69"/>
      <c r="M24" s="379"/>
      <c r="N24" s="85"/>
      <c r="O24" s="64"/>
      <c r="P24" s="69"/>
      <c r="Q24" s="69"/>
      <c r="R24" s="379"/>
      <c r="S24" s="69"/>
      <c r="T24" s="69"/>
      <c r="U24" s="69"/>
      <c r="V24" s="69"/>
      <c r="W24" s="69"/>
      <c r="X24" s="69"/>
      <c r="Y24" s="379"/>
      <c r="Z24" s="381">
        <v>0</v>
      </c>
      <c r="AA24" s="381">
        <f>SUMIFS([1]!Data_BS[Value],[1]!Data_BS[Index BS],DTRVL!$B24,[1]!Data_BS[TenCongTyID],DTRVL!$B$1,[1]!Data_BS[Thang.Nam],DTRVL!AA$5)</f>
        <v>0</v>
      </c>
      <c r="AB24" s="381">
        <f>SUMIFS([1]!Data_BS[Value],[1]!Data_BS[Index BS],DTRVL!$B24,[1]!Data_BS[TenCongTyID],DTRVL!$B$1,[1]!Data_BS[Thang.Nam],DTRVL!AB$5)</f>
        <v>0</v>
      </c>
      <c r="AC24" s="381">
        <f>SUMIFS([1]!Data_BS[Value],[1]!Data_BS[Index BS],DTRVL!$B24,[1]!Data_BS[TenCongTyID],DTRVL!$B$1,[1]!Data_BS[Thang.Nam],DTRVL!AC$5)</f>
        <v>0</v>
      </c>
      <c r="AD24" s="381">
        <f>SUMIFS([1]!Data_BS[Value],[1]!Data_BS[Index BS],DTRVL!$B24,[1]!Data_BS[TenCongTyID],DTRVL!$B$1,[1]!Data_BS[Thang.Nam],DTRVL!AD$5)</f>
        <v>0</v>
      </c>
      <c r="AE24" s="381">
        <f>SUMIFS([1]!Data_BS[Value],[1]!Data_BS[Index BS],DTRVL!$B24,[1]!Data_BS[TenCongTyID],DTRVL!$B$1,[1]!Data_BS[Thang.Nam],DTRVL!AE$5)</f>
        <v>0</v>
      </c>
      <c r="AF24" s="381">
        <f>SUMIFS([1]!Data_BS[Value],[1]!Data_BS[Index BS],DTRVL!$B24,[1]!Data_BS[TenCongTyID],DTRVL!$B$1,[1]!Data_BS[Thang.Nam],DTRVL!AF$5)</f>
        <v>0</v>
      </c>
      <c r="AG24" s="381">
        <f>SUMIFS([1]!Data_BS[Value],[1]!Data_BS[Index BS],DTRVL!$B24,[1]!Data_BS[TenCongTyID],DTRVL!$B$1,[1]!Data_BS[Thang.Nam],DTRVL!AG$5)</f>
        <v>0</v>
      </c>
      <c r="AH24" s="381">
        <f>SUMIFS([1]!Data_BS[Value],[1]!Data_BS[Index BS],DTRVL!$B24,[1]!Data_BS[TenCongTyID],DTRVL!$B$1,[1]!Data_BS[Thang.Nam],DTRVL!AH$5)</f>
        <v>0</v>
      </c>
      <c r="AI24" s="381">
        <f>SUMIFS([1]!Data_BS[Value],[1]!Data_BS[Index BS],DTRVL!$B24,[1]!Data_BS[TenCongTyID],DTRVL!$B$1,[1]!Data_BS[Thang.Nam],DTRVL!AI$5)</f>
        <v>0</v>
      </c>
      <c r="AJ24" s="381">
        <f>SUMIFS([1]!Data_BS[Value],[1]!Data_BS[Index BS],DTRVL!$B24,[1]!Data_BS[TenCongTyID],DTRVL!$B$1,[1]!Data_BS[Thang.Nam],DTRVL!AJ$5)</f>
        <v>0</v>
      </c>
      <c r="AK24" s="381">
        <f>SUMIFS([1]!Data_BS[Value],[1]!Data_BS[Index BS],DTRVL!$B24,[1]!Data_BS[TenCongTyID],DTRVL!$B$1,[1]!Data_BS[Thang.Nam],DTRVL!AK$5)</f>
        <v>0</v>
      </c>
      <c r="AL24" s="381">
        <f>SUMIFS([1]!Data_BS[Value],[1]!Data_BS[Index BS],DTRVL!$B24,[1]!Data_BS[TenCongTyID],DTRVL!$B$1,[1]!Data_BS[Thang.Nam],DTRVL!AL$5)</f>
        <v>0</v>
      </c>
    </row>
    <row r="25" spans="1:38" ht="15" hidden="1" customHeight="1" outlineLevel="1">
      <c r="A25" s="59" t="s">
        <v>109</v>
      </c>
      <c r="B25" s="65">
        <v>20</v>
      </c>
      <c r="C25" s="61"/>
      <c r="D25" s="173"/>
      <c r="E25" s="173"/>
      <c r="F25" s="375"/>
      <c r="G25" s="173"/>
      <c r="H25" s="173">
        <v>0</v>
      </c>
      <c r="I25" s="173"/>
      <c r="J25" s="173"/>
      <c r="K25" s="173"/>
      <c r="L25" s="173"/>
      <c r="M25" s="375"/>
      <c r="N25" s="376"/>
      <c r="O25" s="61"/>
      <c r="P25" s="173"/>
      <c r="Q25" s="173"/>
      <c r="R25" s="375"/>
      <c r="S25" s="173"/>
      <c r="T25" s="173"/>
      <c r="U25" s="173"/>
      <c r="V25" s="173"/>
      <c r="W25" s="173"/>
      <c r="X25" s="173"/>
      <c r="Y25" s="375">
        <v>0</v>
      </c>
      <c r="Z25" s="378">
        <v>0</v>
      </c>
      <c r="AA25" s="378">
        <f>SUMIFS([1]!Data_BS[Value],[1]!Data_BS[Index BS],DTRVL!$B25,[1]!Data_BS[TenCongTyID],DTRVL!$B$1,[1]!Data_BS[Thang.Nam],DTRVL!AA$5)</f>
        <v>0</v>
      </c>
      <c r="AB25" s="378">
        <f>SUMIFS([1]!Data_BS[Value],[1]!Data_BS[Index BS],DTRVL!$B25,[1]!Data_BS[TenCongTyID],DTRVL!$B$1,[1]!Data_BS[Thang.Nam],DTRVL!AB$5)</f>
        <v>0</v>
      </c>
      <c r="AC25" s="378">
        <f>SUMIFS([1]!Data_BS[Value],[1]!Data_BS[Index BS],DTRVL!$B25,[1]!Data_BS[TenCongTyID],DTRVL!$B$1,[1]!Data_BS[Thang.Nam],DTRVL!AC$5)</f>
        <v>0</v>
      </c>
      <c r="AD25" s="378">
        <f>SUMIFS([1]!Data_BS[Value],[1]!Data_BS[Index BS],DTRVL!$B25,[1]!Data_BS[TenCongTyID],DTRVL!$B$1,[1]!Data_BS[Thang.Nam],DTRVL!AD$5)</f>
        <v>0</v>
      </c>
      <c r="AE25" s="378">
        <f>SUMIFS([1]!Data_BS[Value],[1]!Data_BS[Index BS],DTRVL!$B25,[1]!Data_BS[TenCongTyID],DTRVL!$B$1,[1]!Data_BS[Thang.Nam],DTRVL!AE$5)</f>
        <v>0</v>
      </c>
      <c r="AF25" s="378">
        <f>SUMIFS([1]!Data_BS[Value],[1]!Data_BS[Index BS],DTRVL!$B25,[1]!Data_BS[TenCongTyID],DTRVL!$B$1,[1]!Data_BS[Thang.Nam],DTRVL!AF$5)</f>
        <v>0</v>
      </c>
      <c r="AG25" s="378">
        <f>SUMIFS([1]!Data_BS[Value],[1]!Data_BS[Index BS],DTRVL!$B25,[1]!Data_BS[TenCongTyID],DTRVL!$B$1,[1]!Data_BS[Thang.Nam],DTRVL!AG$5)</f>
        <v>0</v>
      </c>
      <c r="AH25" s="378">
        <f>SUMIFS([1]!Data_BS[Value],[1]!Data_BS[Index BS],DTRVL!$B25,[1]!Data_BS[TenCongTyID],DTRVL!$B$1,[1]!Data_BS[Thang.Nam],DTRVL!AH$5)</f>
        <v>0</v>
      </c>
      <c r="AI25" s="378">
        <f>SUMIFS([1]!Data_BS[Value],[1]!Data_BS[Index BS],DTRVL!$B25,[1]!Data_BS[TenCongTyID],DTRVL!$B$1,[1]!Data_BS[Thang.Nam],DTRVL!AI$5)</f>
        <v>0</v>
      </c>
      <c r="AJ25" s="378">
        <f>SUMIFS([1]!Data_BS[Value],[1]!Data_BS[Index BS],DTRVL!$B25,[1]!Data_BS[TenCongTyID],DTRVL!$B$1,[1]!Data_BS[Thang.Nam],DTRVL!AJ$5)</f>
        <v>0</v>
      </c>
      <c r="AK25" s="378">
        <f>SUMIFS([1]!Data_BS[Value],[1]!Data_BS[Index BS],DTRVL!$B25,[1]!Data_BS[TenCongTyID],DTRVL!$B$1,[1]!Data_BS[Thang.Nam],DTRVL!AK$5)</f>
        <v>0</v>
      </c>
      <c r="AL25" s="378">
        <f>SUMIFS([1]!Data_BS[Value],[1]!Data_BS[Index BS],DTRVL!$B25,[1]!Data_BS[TenCongTyID],DTRVL!$B$1,[1]!Data_BS[Thang.Nam],DTRVL!AL$5)</f>
        <v>0</v>
      </c>
    </row>
    <row r="26" spans="1:38" ht="15" hidden="1" customHeight="1" outlineLevel="1">
      <c r="A26" s="62" t="s">
        <v>110</v>
      </c>
      <c r="B26" s="63">
        <v>21</v>
      </c>
      <c r="C26" s="64"/>
      <c r="D26" s="69"/>
      <c r="E26" s="69"/>
      <c r="F26" s="379"/>
      <c r="G26" s="69"/>
      <c r="H26" s="69">
        <v>0</v>
      </c>
      <c r="I26" s="69"/>
      <c r="J26" s="69"/>
      <c r="K26" s="69"/>
      <c r="L26" s="69"/>
      <c r="M26" s="379"/>
      <c r="N26" s="85"/>
      <c r="O26" s="64"/>
      <c r="P26" s="69"/>
      <c r="Q26" s="69"/>
      <c r="R26" s="379"/>
      <c r="S26" s="69"/>
      <c r="T26" s="69"/>
      <c r="U26" s="69"/>
      <c r="V26" s="69"/>
      <c r="W26" s="69"/>
      <c r="X26" s="69"/>
      <c r="Y26" s="379"/>
      <c r="Z26" s="381">
        <v>0</v>
      </c>
      <c r="AA26" s="381">
        <f>SUMIFS([1]!Data_BS[Value],[1]!Data_BS[Index BS],DTRVL!$B26,[1]!Data_BS[TenCongTyID],DTRVL!$B$1,[1]!Data_BS[Thang.Nam],DTRVL!AA$5)</f>
        <v>0</v>
      </c>
      <c r="AB26" s="381">
        <f>SUMIFS([1]!Data_BS[Value],[1]!Data_BS[Index BS],DTRVL!$B26,[1]!Data_BS[TenCongTyID],DTRVL!$B$1,[1]!Data_BS[Thang.Nam],DTRVL!AB$5)</f>
        <v>0</v>
      </c>
      <c r="AC26" s="381">
        <f>SUMIFS([1]!Data_BS[Value],[1]!Data_BS[Index BS],DTRVL!$B26,[1]!Data_BS[TenCongTyID],DTRVL!$B$1,[1]!Data_BS[Thang.Nam],DTRVL!AC$5)</f>
        <v>0</v>
      </c>
      <c r="AD26" s="381">
        <f>SUMIFS([1]!Data_BS[Value],[1]!Data_BS[Index BS],DTRVL!$B26,[1]!Data_BS[TenCongTyID],DTRVL!$B$1,[1]!Data_BS[Thang.Nam],DTRVL!AD$5)</f>
        <v>0</v>
      </c>
      <c r="AE26" s="381">
        <f>SUMIFS([1]!Data_BS[Value],[1]!Data_BS[Index BS],DTRVL!$B26,[1]!Data_BS[TenCongTyID],DTRVL!$B$1,[1]!Data_BS[Thang.Nam],DTRVL!AE$5)</f>
        <v>0</v>
      </c>
      <c r="AF26" s="381">
        <f>SUMIFS([1]!Data_BS[Value],[1]!Data_BS[Index BS],DTRVL!$B26,[1]!Data_BS[TenCongTyID],DTRVL!$B$1,[1]!Data_BS[Thang.Nam],DTRVL!AF$5)</f>
        <v>0</v>
      </c>
      <c r="AG26" s="381">
        <f>SUMIFS([1]!Data_BS[Value],[1]!Data_BS[Index BS],DTRVL!$B26,[1]!Data_BS[TenCongTyID],DTRVL!$B$1,[1]!Data_BS[Thang.Nam],DTRVL!AG$5)</f>
        <v>0</v>
      </c>
      <c r="AH26" s="381">
        <f>SUMIFS([1]!Data_BS[Value],[1]!Data_BS[Index BS],DTRVL!$B26,[1]!Data_BS[TenCongTyID],DTRVL!$B$1,[1]!Data_BS[Thang.Nam],DTRVL!AH$5)</f>
        <v>0</v>
      </c>
      <c r="AI26" s="381">
        <f>SUMIFS([1]!Data_BS[Value],[1]!Data_BS[Index BS],DTRVL!$B26,[1]!Data_BS[TenCongTyID],DTRVL!$B$1,[1]!Data_BS[Thang.Nam],DTRVL!AI$5)</f>
        <v>0</v>
      </c>
      <c r="AJ26" s="381">
        <f>SUMIFS([1]!Data_BS[Value],[1]!Data_BS[Index BS],DTRVL!$B26,[1]!Data_BS[TenCongTyID],DTRVL!$B$1,[1]!Data_BS[Thang.Nam],DTRVL!AJ$5)</f>
        <v>0</v>
      </c>
      <c r="AK26" s="381">
        <f>SUMIFS([1]!Data_BS[Value],[1]!Data_BS[Index BS],DTRVL!$B26,[1]!Data_BS[TenCongTyID],DTRVL!$B$1,[1]!Data_BS[Thang.Nam],DTRVL!AK$5)</f>
        <v>0</v>
      </c>
      <c r="AL26" s="381">
        <f>SUMIFS([1]!Data_BS[Value],[1]!Data_BS[Index BS],DTRVL!$B26,[1]!Data_BS[TenCongTyID],DTRVL!$B$1,[1]!Data_BS[Thang.Nam],DTRVL!AL$5)</f>
        <v>0</v>
      </c>
    </row>
    <row r="27" spans="1:38" ht="15" hidden="1" customHeight="1" outlineLevel="1">
      <c r="A27" s="62" t="s">
        <v>111</v>
      </c>
      <c r="B27" s="63">
        <v>22</v>
      </c>
      <c r="C27" s="64"/>
      <c r="D27" s="69"/>
      <c r="E27" s="69"/>
      <c r="F27" s="379"/>
      <c r="G27" s="69"/>
      <c r="H27" s="69">
        <v>0</v>
      </c>
      <c r="I27" s="69"/>
      <c r="J27" s="69"/>
      <c r="K27" s="69"/>
      <c r="L27" s="69"/>
      <c r="M27" s="379"/>
      <c r="N27" s="85"/>
      <c r="O27" s="64"/>
      <c r="P27" s="69"/>
      <c r="Q27" s="69"/>
      <c r="R27" s="379"/>
      <c r="S27" s="69"/>
      <c r="T27" s="69"/>
      <c r="U27" s="69"/>
      <c r="V27" s="69"/>
      <c r="W27" s="69"/>
      <c r="X27" s="69"/>
      <c r="Y27" s="379"/>
      <c r="Z27" s="381">
        <v>0</v>
      </c>
      <c r="AA27" s="381">
        <f>SUMIFS([1]!Data_BS[Value],[1]!Data_BS[Index BS],DTRVL!$B27,[1]!Data_BS[TenCongTyID],DTRVL!$B$1,[1]!Data_BS[Thang.Nam],DTRVL!AA$5)</f>
        <v>0</v>
      </c>
      <c r="AB27" s="381">
        <f>SUMIFS([1]!Data_BS[Value],[1]!Data_BS[Index BS],DTRVL!$B27,[1]!Data_BS[TenCongTyID],DTRVL!$B$1,[1]!Data_BS[Thang.Nam],DTRVL!AB$5)</f>
        <v>0</v>
      </c>
      <c r="AC27" s="381">
        <f>SUMIFS([1]!Data_BS[Value],[1]!Data_BS[Index BS],DTRVL!$B27,[1]!Data_BS[TenCongTyID],DTRVL!$B$1,[1]!Data_BS[Thang.Nam],DTRVL!AC$5)</f>
        <v>0</v>
      </c>
      <c r="AD27" s="381">
        <f>SUMIFS([1]!Data_BS[Value],[1]!Data_BS[Index BS],DTRVL!$B27,[1]!Data_BS[TenCongTyID],DTRVL!$B$1,[1]!Data_BS[Thang.Nam],DTRVL!AD$5)</f>
        <v>0</v>
      </c>
      <c r="AE27" s="381">
        <f>SUMIFS([1]!Data_BS[Value],[1]!Data_BS[Index BS],DTRVL!$B27,[1]!Data_BS[TenCongTyID],DTRVL!$B$1,[1]!Data_BS[Thang.Nam],DTRVL!AE$5)</f>
        <v>0</v>
      </c>
      <c r="AF27" s="381">
        <f>SUMIFS([1]!Data_BS[Value],[1]!Data_BS[Index BS],DTRVL!$B27,[1]!Data_BS[TenCongTyID],DTRVL!$B$1,[1]!Data_BS[Thang.Nam],DTRVL!AF$5)</f>
        <v>0</v>
      </c>
      <c r="AG27" s="381">
        <f>SUMIFS([1]!Data_BS[Value],[1]!Data_BS[Index BS],DTRVL!$B27,[1]!Data_BS[TenCongTyID],DTRVL!$B$1,[1]!Data_BS[Thang.Nam],DTRVL!AG$5)</f>
        <v>0</v>
      </c>
      <c r="AH27" s="381">
        <f>SUMIFS([1]!Data_BS[Value],[1]!Data_BS[Index BS],DTRVL!$B27,[1]!Data_BS[TenCongTyID],DTRVL!$B$1,[1]!Data_BS[Thang.Nam],DTRVL!AH$5)</f>
        <v>0</v>
      </c>
      <c r="AI27" s="381">
        <f>SUMIFS([1]!Data_BS[Value],[1]!Data_BS[Index BS],DTRVL!$B27,[1]!Data_BS[TenCongTyID],DTRVL!$B$1,[1]!Data_BS[Thang.Nam],DTRVL!AI$5)</f>
        <v>0</v>
      </c>
      <c r="AJ27" s="381">
        <f>SUMIFS([1]!Data_BS[Value],[1]!Data_BS[Index BS],DTRVL!$B27,[1]!Data_BS[TenCongTyID],DTRVL!$B$1,[1]!Data_BS[Thang.Nam],DTRVL!AJ$5)</f>
        <v>0</v>
      </c>
      <c r="AK27" s="381">
        <f>SUMIFS([1]!Data_BS[Value],[1]!Data_BS[Index BS],DTRVL!$B27,[1]!Data_BS[TenCongTyID],DTRVL!$B$1,[1]!Data_BS[Thang.Nam],DTRVL!AK$5)</f>
        <v>0</v>
      </c>
      <c r="AL27" s="381">
        <f>SUMIFS([1]!Data_BS[Value],[1]!Data_BS[Index BS],DTRVL!$B27,[1]!Data_BS[TenCongTyID],DTRVL!$B$1,[1]!Data_BS[Thang.Nam],DTRVL!AL$5)</f>
        <v>0</v>
      </c>
    </row>
    <row r="28" spans="1:38" ht="15" hidden="1" customHeight="1" outlineLevel="1">
      <c r="A28" s="59" t="s">
        <v>112</v>
      </c>
      <c r="B28" s="65">
        <v>23</v>
      </c>
      <c r="C28" s="64"/>
      <c r="D28" s="69"/>
      <c r="E28" s="69"/>
      <c r="F28" s="379"/>
      <c r="G28" s="69"/>
      <c r="H28" s="69"/>
      <c r="I28" s="69"/>
      <c r="J28" s="69"/>
      <c r="K28" s="69"/>
      <c r="L28" s="69"/>
      <c r="M28" s="379"/>
      <c r="N28" s="85"/>
      <c r="O28" s="64"/>
      <c r="P28" s="69"/>
      <c r="Q28" s="69"/>
      <c r="R28" s="379"/>
      <c r="S28" s="69"/>
      <c r="T28" s="69"/>
      <c r="U28" s="69"/>
      <c r="V28" s="69"/>
      <c r="W28" s="69"/>
      <c r="X28" s="69"/>
      <c r="Y28" s="379"/>
      <c r="Z28" s="381">
        <v>0</v>
      </c>
      <c r="AA28" s="381">
        <f>SUMIFS([1]!Data_BS[Value],[1]!Data_BS[Index BS],DTRVL!$B28,[1]!Data_BS[TenCongTyID],DTRVL!$B$1,[1]!Data_BS[Thang.Nam],DTRVL!AA$5)</f>
        <v>0</v>
      </c>
      <c r="AB28" s="381">
        <f>SUMIFS([1]!Data_BS[Value],[1]!Data_BS[Index BS],DTRVL!$B28,[1]!Data_BS[TenCongTyID],DTRVL!$B$1,[1]!Data_BS[Thang.Nam],DTRVL!AB$5)</f>
        <v>0</v>
      </c>
      <c r="AC28" s="381">
        <f>SUMIFS([1]!Data_BS[Value],[1]!Data_BS[Index BS],DTRVL!$B28,[1]!Data_BS[TenCongTyID],DTRVL!$B$1,[1]!Data_BS[Thang.Nam],DTRVL!AC$5)</f>
        <v>0</v>
      </c>
      <c r="AD28" s="381">
        <f>SUMIFS([1]!Data_BS[Value],[1]!Data_BS[Index BS],DTRVL!$B28,[1]!Data_BS[TenCongTyID],DTRVL!$B$1,[1]!Data_BS[Thang.Nam],DTRVL!AD$5)</f>
        <v>0</v>
      </c>
      <c r="AE28" s="381">
        <f>SUMIFS([1]!Data_BS[Value],[1]!Data_BS[Index BS],DTRVL!$B28,[1]!Data_BS[TenCongTyID],DTRVL!$B$1,[1]!Data_BS[Thang.Nam],DTRVL!AE$5)</f>
        <v>0</v>
      </c>
      <c r="AF28" s="381">
        <f>SUMIFS([1]!Data_BS[Value],[1]!Data_BS[Index BS],DTRVL!$B28,[1]!Data_BS[TenCongTyID],DTRVL!$B$1,[1]!Data_BS[Thang.Nam],DTRVL!AF$5)</f>
        <v>0</v>
      </c>
      <c r="AG28" s="381">
        <f>SUMIFS([1]!Data_BS[Value],[1]!Data_BS[Index BS],DTRVL!$B28,[1]!Data_BS[TenCongTyID],DTRVL!$B$1,[1]!Data_BS[Thang.Nam],DTRVL!AG$5)</f>
        <v>0</v>
      </c>
      <c r="AH28" s="381">
        <f>SUMIFS([1]!Data_BS[Value],[1]!Data_BS[Index BS],DTRVL!$B28,[1]!Data_BS[TenCongTyID],DTRVL!$B$1,[1]!Data_BS[Thang.Nam],DTRVL!AH$5)</f>
        <v>0</v>
      </c>
      <c r="AI28" s="381">
        <f>SUMIFS([1]!Data_BS[Value],[1]!Data_BS[Index BS],DTRVL!$B28,[1]!Data_BS[TenCongTyID],DTRVL!$B$1,[1]!Data_BS[Thang.Nam],DTRVL!AI$5)</f>
        <v>0</v>
      </c>
      <c r="AJ28" s="381">
        <f>SUMIFS([1]!Data_BS[Value],[1]!Data_BS[Index BS],DTRVL!$B28,[1]!Data_BS[TenCongTyID],DTRVL!$B$1,[1]!Data_BS[Thang.Nam],DTRVL!AJ$5)</f>
        <v>0</v>
      </c>
      <c r="AK28" s="381">
        <f>SUMIFS([1]!Data_BS[Value],[1]!Data_BS[Index BS],DTRVL!$B28,[1]!Data_BS[TenCongTyID],DTRVL!$B$1,[1]!Data_BS[Thang.Nam],DTRVL!AK$5)</f>
        <v>0</v>
      </c>
      <c r="AL28" s="381">
        <f>SUMIFS([1]!Data_BS[Value],[1]!Data_BS[Index BS],DTRVL!$B28,[1]!Data_BS[TenCongTyID],DTRVL!$B$1,[1]!Data_BS[Thang.Nam],DTRVL!AL$5)</f>
        <v>0</v>
      </c>
    </row>
    <row r="29" spans="1:38" ht="15" hidden="1" customHeight="1" outlineLevel="1">
      <c r="A29" s="62" t="s">
        <v>113</v>
      </c>
      <c r="B29" s="63">
        <v>24</v>
      </c>
      <c r="C29" s="64"/>
      <c r="D29" s="69"/>
      <c r="E29" s="69"/>
      <c r="F29" s="379"/>
      <c r="G29" s="69"/>
      <c r="H29" s="69"/>
      <c r="I29" s="69"/>
      <c r="J29" s="69"/>
      <c r="K29" s="69"/>
      <c r="L29" s="69"/>
      <c r="M29" s="379"/>
      <c r="N29" s="85"/>
      <c r="O29" s="64"/>
      <c r="P29" s="69"/>
      <c r="Q29" s="69"/>
      <c r="R29" s="379"/>
      <c r="S29" s="69"/>
      <c r="T29" s="69"/>
      <c r="U29" s="69"/>
      <c r="V29" s="69"/>
      <c r="W29" s="69"/>
      <c r="X29" s="69"/>
      <c r="Y29" s="379"/>
      <c r="Z29" s="381">
        <v>0</v>
      </c>
      <c r="AA29" s="381">
        <f>SUMIFS([1]!Data_BS[Value],[1]!Data_BS[Index BS],DTRVL!$B29,[1]!Data_BS[TenCongTyID],DTRVL!$B$1,[1]!Data_BS[Thang.Nam],DTRVL!AA$5)</f>
        <v>0</v>
      </c>
      <c r="AB29" s="381">
        <f>SUMIFS([1]!Data_BS[Value],[1]!Data_BS[Index BS],DTRVL!$B29,[1]!Data_BS[TenCongTyID],DTRVL!$B$1,[1]!Data_BS[Thang.Nam],DTRVL!AB$5)</f>
        <v>0</v>
      </c>
      <c r="AC29" s="381">
        <f>SUMIFS([1]!Data_BS[Value],[1]!Data_BS[Index BS],DTRVL!$B29,[1]!Data_BS[TenCongTyID],DTRVL!$B$1,[1]!Data_BS[Thang.Nam],DTRVL!AC$5)</f>
        <v>0</v>
      </c>
      <c r="AD29" s="381">
        <f>SUMIFS([1]!Data_BS[Value],[1]!Data_BS[Index BS],DTRVL!$B29,[1]!Data_BS[TenCongTyID],DTRVL!$B$1,[1]!Data_BS[Thang.Nam],DTRVL!AD$5)</f>
        <v>0</v>
      </c>
      <c r="AE29" s="381">
        <f>SUMIFS([1]!Data_BS[Value],[1]!Data_BS[Index BS],DTRVL!$B29,[1]!Data_BS[TenCongTyID],DTRVL!$B$1,[1]!Data_BS[Thang.Nam],DTRVL!AE$5)</f>
        <v>0</v>
      </c>
      <c r="AF29" s="381">
        <f>SUMIFS([1]!Data_BS[Value],[1]!Data_BS[Index BS],DTRVL!$B29,[1]!Data_BS[TenCongTyID],DTRVL!$B$1,[1]!Data_BS[Thang.Nam],DTRVL!AF$5)</f>
        <v>0</v>
      </c>
      <c r="AG29" s="381">
        <f>SUMIFS([1]!Data_BS[Value],[1]!Data_BS[Index BS],DTRVL!$B29,[1]!Data_BS[TenCongTyID],DTRVL!$B$1,[1]!Data_BS[Thang.Nam],DTRVL!AG$5)</f>
        <v>0</v>
      </c>
      <c r="AH29" s="381">
        <f>SUMIFS([1]!Data_BS[Value],[1]!Data_BS[Index BS],DTRVL!$B29,[1]!Data_BS[TenCongTyID],DTRVL!$B$1,[1]!Data_BS[Thang.Nam],DTRVL!AH$5)</f>
        <v>0</v>
      </c>
      <c r="AI29" s="381">
        <f>SUMIFS([1]!Data_BS[Value],[1]!Data_BS[Index BS],DTRVL!$B29,[1]!Data_BS[TenCongTyID],DTRVL!$B$1,[1]!Data_BS[Thang.Nam],DTRVL!AI$5)</f>
        <v>0</v>
      </c>
      <c r="AJ29" s="381">
        <f>SUMIFS([1]!Data_BS[Value],[1]!Data_BS[Index BS],DTRVL!$B29,[1]!Data_BS[TenCongTyID],DTRVL!$B$1,[1]!Data_BS[Thang.Nam],DTRVL!AJ$5)</f>
        <v>0</v>
      </c>
      <c r="AK29" s="381">
        <f>SUMIFS([1]!Data_BS[Value],[1]!Data_BS[Index BS],DTRVL!$B29,[1]!Data_BS[TenCongTyID],DTRVL!$B$1,[1]!Data_BS[Thang.Nam],DTRVL!AK$5)</f>
        <v>0</v>
      </c>
      <c r="AL29" s="381">
        <f>SUMIFS([1]!Data_BS[Value],[1]!Data_BS[Index BS],DTRVL!$B29,[1]!Data_BS[TenCongTyID],DTRVL!$B$1,[1]!Data_BS[Thang.Nam],DTRVL!AL$5)</f>
        <v>0</v>
      </c>
    </row>
    <row r="30" spans="1:38" ht="15" hidden="1" customHeight="1" outlineLevel="1">
      <c r="A30" s="62" t="s">
        <v>114</v>
      </c>
      <c r="B30" s="63">
        <v>25</v>
      </c>
      <c r="C30" s="64"/>
      <c r="D30" s="69"/>
      <c r="E30" s="69"/>
      <c r="F30" s="379"/>
      <c r="G30" s="69"/>
      <c r="H30" s="69"/>
      <c r="I30" s="69"/>
      <c r="J30" s="69"/>
      <c r="K30" s="69"/>
      <c r="L30" s="69"/>
      <c r="M30" s="379"/>
      <c r="N30" s="85"/>
      <c r="O30" s="64"/>
      <c r="P30" s="69"/>
      <c r="Q30" s="69"/>
      <c r="R30" s="379"/>
      <c r="S30" s="69"/>
      <c r="T30" s="69"/>
      <c r="U30" s="69"/>
      <c r="V30" s="69"/>
      <c r="W30" s="69"/>
      <c r="X30" s="69"/>
      <c r="Y30" s="379"/>
      <c r="Z30" s="381">
        <v>0</v>
      </c>
      <c r="AA30" s="381">
        <f>SUMIFS([1]!Data_BS[Value],[1]!Data_BS[Index BS],DTRVL!$B30,[1]!Data_BS[TenCongTyID],DTRVL!$B$1,[1]!Data_BS[Thang.Nam],DTRVL!AA$5)</f>
        <v>0</v>
      </c>
      <c r="AB30" s="381">
        <f>SUMIFS([1]!Data_BS[Value],[1]!Data_BS[Index BS],DTRVL!$B30,[1]!Data_BS[TenCongTyID],DTRVL!$B$1,[1]!Data_BS[Thang.Nam],DTRVL!AB$5)</f>
        <v>0</v>
      </c>
      <c r="AC30" s="381">
        <f>SUMIFS([1]!Data_BS[Value],[1]!Data_BS[Index BS],DTRVL!$B30,[1]!Data_BS[TenCongTyID],DTRVL!$B$1,[1]!Data_BS[Thang.Nam],DTRVL!AC$5)</f>
        <v>0</v>
      </c>
      <c r="AD30" s="381">
        <f>SUMIFS([1]!Data_BS[Value],[1]!Data_BS[Index BS],DTRVL!$B30,[1]!Data_BS[TenCongTyID],DTRVL!$B$1,[1]!Data_BS[Thang.Nam],DTRVL!AD$5)</f>
        <v>0</v>
      </c>
      <c r="AE30" s="381">
        <f>SUMIFS([1]!Data_BS[Value],[1]!Data_BS[Index BS],DTRVL!$B30,[1]!Data_BS[TenCongTyID],DTRVL!$B$1,[1]!Data_BS[Thang.Nam],DTRVL!AE$5)</f>
        <v>0</v>
      </c>
      <c r="AF30" s="381">
        <f>SUMIFS([1]!Data_BS[Value],[1]!Data_BS[Index BS],DTRVL!$B30,[1]!Data_BS[TenCongTyID],DTRVL!$B$1,[1]!Data_BS[Thang.Nam],DTRVL!AF$5)</f>
        <v>0</v>
      </c>
      <c r="AG30" s="381">
        <f>SUMIFS([1]!Data_BS[Value],[1]!Data_BS[Index BS],DTRVL!$B30,[1]!Data_BS[TenCongTyID],DTRVL!$B$1,[1]!Data_BS[Thang.Nam],DTRVL!AG$5)</f>
        <v>0</v>
      </c>
      <c r="AH30" s="381">
        <f>SUMIFS([1]!Data_BS[Value],[1]!Data_BS[Index BS],DTRVL!$B30,[1]!Data_BS[TenCongTyID],DTRVL!$B$1,[1]!Data_BS[Thang.Nam],DTRVL!AH$5)</f>
        <v>0</v>
      </c>
      <c r="AI30" s="381">
        <f>SUMIFS([1]!Data_BS[Value],[1]!Data_BS[Index BS],DTRVL!$B30,[1]!Data_BS[TenCongTyID],DTRVL!$B$1,[1]!Data_BS[Thang.Nam],DTRVL!AI$5)</f>
        <v>0</v>
      </c>
      <c r="AJ30" s="381">
        <f>SUMIFS([1]!Data_BS[Value],[1]!Data_BS[Index BS],DTRVL!$B30,[1]!Data_BS[TenCongTyID],DTRVL!$B$1,[1]!Data_BS[Thang.Nam],DTRVL!AJ$5)</f>
        <v>0</v>
      </c>
      <c r="AK30" s="381">
        <f>SUMIFS([1]!Data_BS[Value],[1]!Data_BS[Index BS],DTRVL!$B30,[1]!Data_BS[TenCongTyID],DTRVL!$B$1,[1]!Data_BS[Thang.Nam],DTRVL!AK$5)</f>
        <v>0</v>
      </c>
      <c r="AL30" s="381">
        <f>SUMIFS([1]!Data_BS[Value],[1]!Data_BS[Index BS],DTRVL!$B30,[1]!Data_BS[TenCongTyID],DTRVL!$B$1,[1]!Data_BS[Thang.Nam],DTRVL!AL$5)</f>
        <v>0</v>
      </c>
    </row>
    <row r="31" spans="1:38" ht="15" hidden="1" customHeight="1" outlineLevel="1">
      <c r="A31" s="62" t="s">
        <v>115</v>
      </c>
      <c r="B31" s="63">
        <v>26</v>
      </c>
      <c r="C31" s="64"/>
      <c r="D31" s="69"/>
      <c r="E31" s="69"/>
      <c r="F31" s="379"/>
      <c r="G31" s="69"/>
      <c r="H31" s="69"/>
      <c r="I31" s="69"/>
      <c r="J31" s="69"/>
      <c r="K31" s="69"/>
      <c r="L31" s="69"/>
      <c r="M31" s="379"/>
      <c r="N31" s="85"/>
      <c r="O31" s="64"/>
      <c r="P31" s="69"/>
      <c r="Q31" s="69"/>
      <c r="R31" s="379"/>
      <c r="S31" s="69"/>
      <c r="T31" s="69"/>
      <c r="U31" s="69"/>
      <c r="V31" s="69"/>
      <c r="W31" s="69"/>
      <c r="X31" s="69"/>
      <c r="Y31" s="379"/>
      <c r="Z31" s="381">
        <v>0</v>
      </c>
      <c r="AA31" s="381">
        <f>SUMIFS([1]!Data_BS[Value],[1]!Data_BS[Index BS],DTRVL!$B31,[1]!Data_BS[TenCongTyID],DTRVL!$B$1,[1]!Data_BS[Thang.Nam],DTRVL!AA$5)</f>
        <v>0</v>
      </c>
      <c r="AB31" s="381">
        <f>SUMIFS([1]!Data_BS[Value],[1]!Data_BS[Index BS],DTRVL!$B31,[1]!Data_BS[TenCongTyID],DTRVL!$B$1,[1]!Data_BS[Thang.Nam],DTRVL!AB$5)</f>
        <v>0</v>
      </c>
      <c r="AC31" s="381">
        <f>SUMIFS([1]!Data_BS[Value],[1]!Data_BS[Index BS],DTRVL!$B31,[1]!Data_BS[TenCongTyID],DTRVL!$B$1,[1]!Data_BS[Thang.Nam],DTRVL!AC$5)</f>
        <v>0</v>
      </c>
      <c r="AD31" s="381">
        <f>SUMIFS([1]!Data_BS[Value],[1]!Data_BS[Index BS],DTRVL!$B31,[1]!Data_BS[TenCongTyID],DTRVL!$B$1,[1]!Data_BS[Thang.Nam],DTRVL!AD$5)</f>
        <v>0</v>
      </c>
      <c r="AE31" s="381">
        <f>SUMIFS([1]!Data_BS[Value],[1]!Data_BS[Index BS],DTRVL!$B31,[1]!Data_BS[TenCongTyID],DTRVL!$B$1,[1]!Data_BS[Thang.Nam],DTRVL!AE$5)</f>
        <v>0</v>
      </c>
      <c r="AF31" s="381">
        <f>SUMIFS([1]!Data_BS[Value],[1]!Data_BS[Index BS],DTRVL!$B31,[1]!Data_BS[TenCongTyID],DTRVL!$B$1,[1]!Data_BS[Thang.Nam],DTRVL!AF$5)</f>
        <v>0</v>
      </c>
      <c r="AG31" s="381">
        <f>SUMIFS([1]!Data_BS[Value],[1]!Data_BS[Index BS],DTRVL!$B31,[1]!Data_BS[TenCongTyID],DTRVL!$B$1,[1]!Data_BS[Thang.Nam],DTRVL!AG$5)</f>
        <v>0</v>
      </c>
      <c r="AH31" s="381">
        <f>SUMIFS([1]!Data_BS[Value],[1]!Data_BS[Index BS],DTRVL!$B31,[1]!Data_BS[TenCongTyID],DTRVL!$B$1,[1]!Data_BS[Thang.Nam],DTRVL!AH$5)</f>
        <v>0</v>
      </c>
      <c r="AI31" s="381">
        <f>SUMIFS([1]!Data_BS[Value],[1]!Data_BS[Index BS],DTRVL!$B31,[1]!Data_BS[TenCongTyID],DTRVL!$B$1,[1]!Data_BS[Thang.Nam],DTRVL!AI$5)</f>
        <v>0</v>
      </c>
      <c r="AJ31" s="381">
        <f>SUMIFS([1]!Data_BS[Value],[1]!Data_BS[Index BS],DTRVL!$B31,[1]!Data_BS[TenCongTyID],DTRVL!$B$1,[1]!Data_BS[Thang.Nam],DTRVL!AJ$5)</f>
        <v>0</v>
      </c>
      <c r="AK31" s="381">
        <f>SUMIFS([1]!Data_BS[Value],[1]!Data_BS[Index BS],DTRVL!$B31,[1]!Data_BS[TenCongTyID],DTRVL!$B$1,[1]!Data_BS[Thang.Nam],DTRVL!AK$5)</f>
        <v>0</v>
      </c>
      <c r="AL31" s="381">
        <f>SUMIFS([1]!Data_BS[Value],[1]!Data_BS[Index BS],DTRVL!$B31,[1]!Data_BS[TenCongTyID],DTRVL!$B$1,[1]!Data_BS[Thang.Nam],DTRVL!AL$5)</f>
        <v>0</v>
      </c>
    </row>
    <row r="32" spans="1:38" ht="15" hidden="1" customHeight="1" outlineLevel="1">
      <c r="A32" s="59" t="s">
        <v>116</v>
      </c>
      <c r="B32" s="65">
        <v>27</v>
      </c>
      <c r="C32" s="61">
        <f>+SUM(C33:C37)</f>
        <v>0</v>
      </c>
      <c r="D32" s="173">
        <f>+SUM(D33:D37)</f>
        <v>0</v>
      </c>
      <c r="E32" s="173">
        <f>+SUM(E33:E37)</f>
        <v>0</v>
      </c>
      <c r="F32" s="375">
        <f>+SUM(F33:F37)</f>
        <v>0</v>
      </c>
      <c r="G32" s="173">
        <f>+SUM(G33:G37)</f>
        <v>0</v>
      </c>
      <c r="H32" s="173"/>
      <c r="I32" s="173">
        <f>+SUM(I33:I37)</f>
        <v>0</v>
      </c>
      <c r="J32" s="173"/>
      <c r="K32" s="173"/>
      <c r="L32" s="173"/>
      <c r="M32" s="375"/>
      <c r="N32" s="376"/>
      <c r="O32" s="61"/>
      <c r="P32" s="173"/>
      <c r="Q32" s="173"/>
      <c r="R32" s="375"/>
      <c r="S32" s="173"/>
      <c r="T32" s="173"/>
      <c r="U32" s="173"/>
      <c r="V32" s="173"/>
      <c r="W32" s="173"/>
      <c r="X32" s="173">
        <f>+SUM(X33:X37)</f>
        <v>0</v>
      </c>
      <c r="Y32" s="375">
        <v>7028599</v>
      </c>
      <c r="Z32" s="378">
        <v>7028599</v>
      </c>
      <c r="AA32" s="378">
        <f>SUMIFS([1]!Data_BS[Value],[1]!Data_BS[Index BS],DTRVL!$B32,[1]!Data_BS[TenCongTyID],DTRVL!$B$1,[1]!Data_BS[Thang.Nam],DTRVL!AA$5)</f>
        <v>0</v>
      </c>
      <c r="AB32" s="378">
        <f>SUMIFS([1]!Data_BS[Value],[1]!Data_BS[Index BS],DTRVL!$B32,[1]!Data_BS[TenCongTyID],DTRVL!$B$1,[1]!Data_BS[Thang.Nam],DTRVL!AB$5)</f>
        <v>0</v>
      </c>
      <c r="AC32" s="378">
        <f>SUMIFS([1]!Data_BS[Value],[1]!Data_BS[Index BS],DTRVL!$B32,[1]!Data_BS[TenCongTyID],DTRVL!$B$1,[1]!Data_BS[Thang.Nam],DTRVL!AC$5)</f>
        <v>0</v>
      </c>
      <c r="AD32" s="378">
        <f>SUMIFS([1]!Data_BS[Value],[1]!Data_BS[Index BS],DTRVL!$B32,[1]!Data_BS[TenCongTyID],DTRVL!$B$1,[1]!Data_BS[Thang.Nam],DTRVL!AD$5)</f>
        <v>0</v>
      </c>
      <c r="AE32" s="378">
        <f>SUMIFS([1]!Data_BS[Value],[1]!Data_BS[Index BS],DTRVL!$B32,[1]!Data_BS[TenCongTyID],DTRVL!$B$1,[1]!Data_BS[Thang.Nam],DTRVL!AE$5)</f>
        <v>0</v>
      </c>
      <c r="AF32" s="378">
        <f>SUMIFS([1]!Data_BS[Value],[1]!Data_BS[Index BS],DTRVL!$B32,[1]!Data_BS[TenCongTyID],DTRVL!$B$1,[1]!Data_BS[Thang.Nam],DTRVL!AF$5)</f>
        <v>0</v>
      </c>
      <c r="AG32" s="378">
        <f>SUMIFS([1]!Data_BS[Value],[1]!Data_BS[Index BS],DTRVL!$B32,[1]!Data_BS[TenCongTyID],DTRVL!$B$1,[1]!Data_BS[Thang.Nam],DTRVL!AG$5)</f>
        <v>0</v>
      </c>
      <c r="AH32" s="378">
        <f>SUMIFS([1]!Data_BS[Value],[1]!Data_BS[Index BS],DTRVL!$B32,[1]!Data_BS[TenCongTyID],DTRVL!$B$1,[1]!Data_BS[Thang.Nam],DTRVL!AH$5)</f>
        <v>0</v>
      </c>
      <c r="AI32" s="378">
        <f>SUMIFS([1]!Data_BS[Value],[1]!Data_BS[Index BS],DTRVL!$B32,[1]!Data_BS[TenCongTyID],DTRVL!$B$1,[1]!Data_BS[Thang.Nam],DTRVL!AI$5)</f>
        <v>0</v>
      </c>
      <c r="AJ32" s="378">
        <f>SUMIFS([1]!Data_BS[Value],[1]!Data_BS[Index BS],DTRVL!$B32,[1]!Data_BS[TenCongTyID],DTRVL!$B$1,[1]!Data_BS[Thang.Nam],DTRVL!AJ$5)</f>
        <v>0</v>
      </c>
      <c r="AK32" s="378">
        <f>SUMIFS([1]!Data_BS[Value],[1]!Data_BS[Index BS],DTRVL!$B32,[1]!Data_BS[TenCongTyID],DTRVL!$B$1,[1]!Data_BS[Thang.Nam],DTRVL!AK$5)</f>
        <v>0</v>
      </c>
      <c r="AL32" s="378">
        <f>SUMIFS([1]!Data_BS[Value],[1]!Data_BS[Index BS],DTRVL!$B32,[1]!Data_BS[TenCongTyID],DTRVL!$B$1,[1]!Data_BS[Thang.Nam],DTRVL!AL$5)</f>
        <v>0</v>
      </c>
    </row>
    <row r="33" spans="1:38" ht="15" hidden="1" customHeight="1" outlineLevel="1">
      <c r="A33" s="67" t="s">
        <v>117</v>
      </c>
      <c r="B33" s="63">
        <v>28</v>
      </c>
      <c r="C33" s="64"/>
      <c r="D33" s="69"/>
      <c r="E33" s="69"/>
      <c r="F33" s="379"/>
      <c r="G33" s="69"/>
      <c r="H33" s="69">
        <v>0</v>
      </c>
      <c r="I33" s="69"/>
      <c r="J33" s="69"/>
      <c r="K33" s="69"/>
      <c r="L33" s="69"/>
      <c r="M33" s="379"/>
      <c r="N33" s="85"/>
      <c r="O33" s="64"/>
      <c r="P33" s="69"/>
      <c r="Q33" s="69"/>
      <c r="R33" s="379"/>
      <c r="S33" s="69"/>
      <c r="T33" s="69"/>
      <c r="U33" s="69"/>
      <c r="V33" s="69"/>
      <c r="W33" s="69"/>
      <c r="X33" s="69"/>
      <c r="Y33" s="379"/>
      <c r="Z33" s="381">
        <v>0</v>
      </c>
      <c r="AA33" s="381">
        <f>SUMIFS([1]!Data_BS[Value],[1]!Data_BS[Index BS],DTRVL!$B33,[1]!Data_BS[TenCongTyID],DTRVL!$B$1,[1]!Data_BS[Thang.Nam],DTRVL!AA$5)</f>
        <v>0</v>
      </c>
      <c r="AB33" s="381">
        <f>SUMIFS([1]!Data_BS[Value],[1]!Data_BS[Index BS],DTRVL!$B33,[1]!Data_BS[TenCongTyID],DTRVL!$B$1,[1]!Data_BS[Thang.Nam],DTRVL!AB$5)</f>
        <v>0</v>
      </c>
      <c r="AC33" s="381">
        <f>SUMIFS([1]!Data_BS[Value],[1]!Data_BS[Index BS],DTRVL!$B33,[1]!Data_BS[TenCongTyID],DTRVL!$B$1,[1]!Data_BS[Thang.Nam],DTRVL!AC$5)</f>
        <v>0</v>
      </c>
      <c r="AD33" s="381">
        <f>SUMIFS([1]!Data_BS[Value],[1]!Data_BS[Index BS],DTRVL!$B33,[1]!Data_BS[TenCongTyID],DTRVL!$B$1,[1]!Data_BS[Thang.Nam],DTRVL!AD$5)</f>
        <v>0</v>
      </c>
      <c r="AE33" s="381">
        <f>SUMIFS([1]!Data_BS[Value],[1]!Data_BS[Index BS],DTRVL!$B33,[1]!Data_BS[TenCongTyID],DTRVL!$B$1,[1]!Data_BS[Thang.Nam],DTRVL!AE$5)</f>
        <v>0</v>
      </c>
      <c r="AF33" s="381">
        <f>SUMIFS([1]!Data_BS[Value],[1]!Data_BS[Index BS],DTRVL!$B33,[1]!Data_BS[TenCongTyID],DTRVL!$B$1,[1]!Data_BS[Thang.Nam],DTRVL!AF$5)</f>
        <v>0</v>
      </c>
      <c r="AG33" s="381">
        <f>SUMIFS([1]!Data_BS[Value],[1]!Data_BS[Index BS],DTRVL!$B33,[1]!Data_BS[TenCongTyID],DTRVL!$B$1,[1]!Data_BS[Thang.Nam],DTRVL!AG$5)</f>
        <v>0</v>
      </c>
      <c r="AH33" s="381">
        <f>SUMIFS([1]!Data_BS[Value],[1]!Data_BS[Index BS],DTRVL!$B33,[1]!Data_BS[TenCongTyID],DTRVL!$B$1,[1]!Data_BS[Thang.Nam],DTRVL!AH$5)</f>
        <v>0</v>
      </c>
      <c r="AI33" s="381">
        <f>SUMIFS([1]!Data_BS[Value],[1]!Data_BS[Index BS],DTRVL!$B33,[1]!Data_BS[TenCongTyID],DTRVL!$B$1,[1]!Data_BS[Thang.Nam],DTRVL!AI$5)</f>
        <v>0</v>
      </c>
      <c r="AJ33" s="381">
        <f>SUMIFS([1]!Data_BS[Value],[1]!Data_BS[Index BS],DTRVL!$B33,[1]!Data_BS[TenCongTyID],DTRVL!$B$1,[1]!Data_BS[Thang.Nam],DTRVL!AJ$5)</f>
        <v>0</v>
      </c>
      <c r="AK33" s="381">
        <f>SUMIFS([1]!Data_BS[Value],[1]!Data_BS[Index BS],DTRVL!$B33,[1]!Data_BS[TenCongTyID],DTRVL!$B$1,[1]!Data_BS[Thang.Nam],DTRVL!AK$5)</f>
        <v>0</v>
      </c>
      <c r="AL33" s="381">
        <f>SUMIFS([1]!Data_BS[Value],[1]!Data_BS[Index BS],DTRVL!$B33,[1]!Data_BS[TenCongTyID],DTRVL!$B$1,[1]!Data_BS[Thang.Nam],DTRVL!AL$5)</f>
        <v>0</v>
      </c>
    </row>
    <row r="34" spans="1:38" ht="15" hidden="1" customHeight="1" outlineLevel="1">
      <c r="A34" s="67" t="s">
        <v>118</v>
      </c>
      <c r="B34" s="63">
        <v>29</v>
      </c>
      <c r="C34" s="69"/>
      <c r="D34" s="69"/>
      <c r="E34" s="69"/>
      <c r="F34" s="37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>
        <v>7028599</v>
      </c>
      <c r="Z34" s="385">
        <v>7028599</v>
      </c>
      <c r="AA34" s="385">
        <f>SUMIFS([1]!Data_BS[Value],[1]!Data_BS[Index BS],DTRVL!$B34,[1]!Data_BS[TenCongTyID],DTRVL!$B$1,[1]!Data_BS[Thang.Nam],DTRVL!AA$5)</f>
        <v>0</v>
      </c>
      <c r="AB34" s="385">
        <f>SUMIFS([1]!Data_BS[Value],[1]!Data_BS[Index BS],DTRVL!$B34,[1]!Data_BS[TenCongTyID],DTRVL!$B$1,[1]!Data_BS[Thang.Nam],DTRVL!AB$5)</f>
        <v>0</v>
      </c>
      <c r="AC34" s="385">
        <f>SUMIFS([1]!Data_BS[Value],[1]!Data_BS[Index BS],DTRVL!$B34,[1]!Data_BS[TenCongTyID],DTRVL!$B$1,[1]!Data_BS[Thang.Nam],DTRVL!AC$5)</f>
        <v>0</v>
      </c>
      <c r="AD34" s="385">
        <f>SUMIFS([1]!Data_BS[Value],[1]!Data_BS[Index BS],DTRVL!$B34,[1]!Data_BS[TenCongTyID],DTRVL!$B$1,[1]!Data_BS[Thang.Nam],DTRVL!AD$5)</f>
        <v>0</v>
      </c>
      <c r="AE34" s="385">
        <f>SUMIFS([1]!Data_BS[Value],[1]!Data_BS[Index BS],DTRVL!$B34,[1]!Data_BS[TenCongTyID],DTRVL!$B$1,[1]!Data_BS[Thang.Nam],DTRVL!AE$5)</f>
        <v>0</v>
      </c>
      <c r="AF34" s="385">
        <f>SUMIFS([1]!Data_BS[Value],[1]!Data_BS[Index BS],DTRVL!$B34,[1]!Data_BS[TenCongTyID],DTRVL!$B$1,[1]!Data_BS[Thang.Nam],DTRVL!AF$5)</f>
        <v>0</v>
      </c>
      <c r="AG34" s="385">
        <f>SUMIFS([1]!Data_BS[Value],[1]!Data_BS[Index BS],DTRVL!$B34,[1]!Data_BS[TenCongTyID],DTRVL!$B$1,[1]!Data_BS[Thang.Nam],DTRVL!AG$5)</f>
        <v>0</v>
      </c>
      <c r="AH34" s="385">
        <f>SUMIFS([1]!Data_BS[Value],[1]!Data_BS[Index BS],DTRVL!$B34,[1]!Data_BS[TenCongTyID],DTRVL!$B$1,[1]!Data_BS[Thang.Nam],DTRVL!AH$5)</f>
        <v>0</v>
      </c>
      <c r="AI34" s="385">
        <f>SUMIFS([1]!Data_BS[Value],[1]!Data_BS[Index BS],DTRVL!$B34,[1]!Data_BS[TenCongTyID],DTRVL!$B$1,[1]!Data_BS[Thang.Nam],DTRVL!AI$5)</f>
        <v>0</v>
      </c>
      <c r="AJ34" s="385">
        <f>SUMIFS([1]!Data_BS[Value],[1]!Data_BS[Index BS],DTRVL!$B34,[1]!Data_BS[TenCongTyID],DTRVL!$B$1,[1]!Data_BS[Thang.Nam],DTRVL!AJ$5)</f>
        <v>0</v>
      </c>
      <c r="AK34" s="385">
        <f>SUMIFS([1]!Data_BS[Value],[1]!Data_BS[Index BS],DTRVL!$B34,[1]!Data_BS[TenCongTyID],DTRVL!$B$1,[1]!Data_BS[Thang.Nam],DTRVL!AK$5)</f>
        <v>0</v>
      </c>
      <c r="AL34" s="385">
        <f>SUMIFS([1]!Data_BS[Value],[1]!Data_BS[Index BS],DTRVL!$B34,[1]!Data_BS[TenCongTyID],DTRVL!$B$1,[1]!Data_BS[Thang.Nam],DTRVL!AL$5)</f>
        <v>0</v>
      </c>
    </row>
    <row r="35" spans="1:38" ht="15" hidden="1" customHeight="1" outlineLevel="1">
      <c r="A35" s="67" t="s">
        <v>119</v>
      </c>
      <c r="B35" s="63">
        <v>30</v>
      </c>
      <c r="C35" s="64"/>
      <c r="D35" s="69"/>
      <c r="E35" s="69"/>
      <c r="F35" s="379"/>
      <c r="G35" s="69"/>
      <c r="H35" s="69"/>
      <c r="I35" s="69"/>
      <c r="J35" s="69"/>
      <c r="K35" s="69"/>
      <c r="L35" s="69"/>
      <c r="M35" s="379"/>
      <c r="N35" s="85"/>
      <c r="O35" s="64"/>
      <c r="P35" s="69"/>
      <c r="Q35" s="69"/>
      <c r="R35" s="379"/>
      <c r="S35" s="69"/>
      <c r="T35" s="69"/>
      <c r="U35" s="69"/>
      <c r="V35" s="69"/>
      <c r="W35" s="69"/>
      <c r="X35" s="69"/>
      <c r="Y35" s="379"/>
      <c r="Z35" s="381">
        <v>0</v>
      </c>
      <c r="AA35" s="381">
        <f>SUMIFS([1]!Data_BS[Value],[1]!Data_BS[Index BS],DTRVL!$B35,[1]!Data_BS[TenCongTyID],DTRVL!$B$1,[1]!Data_BS[Thang.Nam],DTRVL!AA$5)</f>
        <v>0</v>
      </c>
      <c r="AB35" s="381">
        <f>SUMIFS([1]!Data_BS[Value],[1]!Data_BS[Index BS],DTRVL!$B35,[1]!Data_BS[TenCongTyID],DTRVL!$B$1,[1]!Data_BS[Thang.Nam],DTRVL!AB$5)</f>
        <v>0</v>
      </c>
      <c r="AC35" s="381">
        <f>SUMIFS([1]!Data_BS[Value],[1]!Data_BS[Index BS],DTRVL!$B35,[1]!Data_BS[TenCongTyID],DTRVL!$B$1,[1]!Data_BS[Thang.Nam],DTRVL!AC$5)</f>
        <v>0</v>
      </c>
      <c r="AD35" s="381">
        <f>SUMIFS([1]!Data_BS[Value],[1]!Data_BS[Index BS],DTRVL!$B35,[1]!Data_BS[TenCongTyID],DTRVL!$B$1,[1]!Data_BS[Thang.Nam],DTRVL!AD$5)</f>
        <v>0</v>
      </c>
      <c r="AE35" s="381">
        <f>SUMIFS([1]!Data_BS[Value],[1]!Data_BS[Index BS],DTRVL!$B35,[1]!Data_BS[TenCongTyID],DTRVL!$B$1,[1]!Data_BS[Thang.Nam],DTRVL!AE$5)</f>
        <v>0</v>
      </c>
      <c r="AF35" s="381">
        <f>SUMIFS([1]!Data_BS[Value],[1]!Data_BS[Index BS],DTRVL!$B35,[1]!Data_BS[TenCongTyID],DTRVL!$B$1,[1]!Data_BS[Thang.Nam],DTRVL!AF$5)</f>
        <v>0</v>
      </c>
      <c r="AG35" s="381">
        <f>SUMIFS([1]!Data_BS[Value],[1]!Data_BS[Index BS],DTRVL!$B35,[1]!Data_BS[TenCongTyID],DTRVL!$B$1,[1]!Data_BS[Thang.Nam],DTRVL!AG$5)</f>
        <v>0</v>
      </c>
      <c r="AH35" s="381">
        <f>SUMIFS([1]!Data_BS[Value],[1]!Data_BS[Index BS],DTRVL!$B35,[1]!Data_BS[TenCongTyID],DTRVL!$B$1,[1]!Data_BS[Thang.Nam],DTRVL!AH$5)</f>
        <v>0</v>
      </c>
      <c r="AI35" s="381">
        <f>SUMIFS([1]!Data_BS[Value],[1]!Data_BS[Index BS],DTRVL!$B35,[1]!Data_BS[TenCongTyID],DTRVL!$B$1,[1]!Data_BS[Thang.Nam],DTRVL!AI$5)</f>
        <v>0</v>
      </c>
      <c r="AJ35" s="381">
        <f>SUMIFS([1]!Data_BS[Value],[1]!Data_BS[Index BS],DTRVL!$B35,[1]!Data_BS[TenCongTyID],DTRVL!$B$1,[1]!Data_BS[Thang.Nam],DTRVL!AJ$5)</f>
        <v>0</v>
      </c>
      <c r="AK35" s="381">
        <f>SUMIFS([1]!Data_BS[Value],[1]!Data_BS[Index BS],DTRVL!$B35,[1]!Data_BS[TenCongTyID],DTRVL!$B$1,[1]!Data_BS[Thang.Nam],DTRVL!AK$5)</f>
        <v>0</v>
      </c>
      <c r="AL35" s="381">
        <f>SUMIFS([1]!Data_BS[Value],[1]!Data_BS[Index BS],DTRVL!$B35,[1]!Data_BS[TenCongTyID],DTRVL!$B$1,[1]!Data_BS[Thang.Nam],DTRVL!AL$5)</f>
        <v>0</v>
      </c>
    </row>
    <row r="36" spans="1:38" ht="15" hidden="1" customHeight="1" outlineLevel="1">
      <c r="A36" s="67" t="s">
        <v>120</v>
      </c>
      <c r="B36" s="63">
        <v>31</v>
      </c>
      <c r="C36" s="64"/>
      <c r="D36" s="69"/>
      <c r="E36" s="69"/>
      <c r="F36" s="379"/>
      <c r="G36" s="69"/>
      <c r="H36" s="69">
        <v>0</v>
      </c>
      <c r="I36" s="69"/>
      <c r="J36" s="69"/>
      <c r="K36" s="69"/>
      <c r="L36" s="69"/>
      <c r="M36" s="379"/>
      <c r="N36" s="85"/>
      <c r="O36" s="64"/>
      <c r="P36" s="69"/>
      <c r="Q36" s="69"/>
      <c r="R36" s="379"/>
      <c r="S36" s="69"/>
      <c r="T36" s="69"/>
      <c r="U36" s="69"/>
      <c r="V36" s="69"/>
      <c r="W36" s="69"/>
      <c r="X36" s="69"/>
      <c r="Y36" s="379"/>
      <c r="Z36" s="381">
        <v>0</v>
      </c>
      <c r="AA36" s="381">
        <f>SUMIFS([1]!Data_BS[Value],[1]!Data_BS[Index BS],DTRVL!$B36,[1]!Data_BS[TenCongTyID],DTRVL!$B$1,[1]!Data_BS[Thang.Nam],DTRVL!AA$5)</f>
        <v>0</v>
      </c>
      <c r="AB36" s="381">
        <f>SUMIFS([1]!Data_BS[Value],[1]!Data_BS[Index BS],DTRVL!$B36,[1]!Data_BS[TenCongTyID],DTRVL!$B$1,[1]!Data_BS[Thang.Nam],DTRVL!AB$5)</f>
        <v>0</v>
      </c>
      <c r="AC36" s="381">
        <f>SUMIFS([1]!Data_BS[Value],[1]!Data_BS[Index BS],DTRVL!$B36,[1]!Data_BS[TenCongTyID],DTRVL!$B$1,[1]!Data_BS[Thang.Nam],DTRVL!AC$5)</f>
        <v>0</v>
      </c>
      <c r="AD36" s="381">
        <f>SUMIFS([1]!Data_BS[Value],[1]!Data_BS[Index BS],DTRVL!$B36,[1]!Data_BS[TenCongTyID],DTRVL!$B$1,[1]!Data_BS[Thang.Nam],DTRVL!AD$5)</f>
        <v>0</v>
      </c>
      <c r="AE36" s="381">
        <f>SUMIFS([1]!Data_BS[Value],[1]!Data_BS[Index BS],DTRVL!$B36,[1]!Data_BS[TenCongTyID],DTRVL!$B$1,[1]!Data_BS[Thang.Nam],DTRVL!AE$5)</f>
        <v>0</v>
      </c>
      <c r="AF36" s="381">
        <f>SUMIFS([1]!Data_BS[Value],[1]!Data_BS[Index BS],DTRVL!$B36,[1]!Data_BS[TenCongTyID],DTRVL!$B$1,[1]!Data_BS[Thang.Nam],DTRVL!AF$5)</f>
        <v>0</v>
      </c>
      <c r="AG36" s="381">
        <f>SUMIFS([1]!Data_BS[Value],[1]!Data_BS[Index BS],DTRVL!$B36,[1]!Data_BS[TenCongTyID],DTRVL!$B$1,[1]!Data_BS[Thang.Nam],DTRVL!AG$5)</f>
        <v>0</v>
      </c>
      <c r="AH36" s="381">
        <f>SUMIFS([1]!Data_BS[Value],[1]!Data_BS[Index BS],DTRVL!$B36,[1]!Data_BS[TenCongTyID],DTRVL!$B$1,[1]!Data_BS[Thang.Nam],DTRVL!AH$5)</f>
        <v>0</v>
      </c>
      <c r="AI36" s="381">
        <f>SUMIFS([1]!Data_BS[Value],[1]!Data_BS[Index BS],DTRVL!$B36,[1]!Data_BS[TenCongTyID],DTRVL!$B$1,[1]!Data_BS[Thang.Nam],DTRVL!AI$5)</f>
        <v>0</v>
      </c>
      <c r="AJ36" s="381">
        <f>SUMIFS([1]!Data_BS[Value],[1]!Data_BS[Index BS],DTRVL!$B36,[1]!Data_BS[TenCongTyID],DTRVL!$B$1,[1]!Data_BS[Thang.Nam],DTRVL!AJ$5)</f>
        <v>0</v>
      </c>
      <c r="AK36" s="381">
        <f>SUMIFS([1]!Data_BS[Value],[1]!Data_BS[Index BS],DTRVL!$B36,[1]!Data_BS[TenCongTyID],DTRVL!$B$1,[1]!Data_BS[Thang.Nam],DTRVL!AK$5)</f>
        <v>0</v>
      </c>
      <c r="AL36" s="381">
        <f>SUMIFS([1]!Data_BS[Value],[1]!Data_BS[Index BS],DTRVL!$B36,[1]!Data_BS[TenCongTyID],DTRVL!$B$1,[1]!Data_BS[Thang.Nam],DTRVL!AL$5)</f>
        <v>0</v>
      </c>
    </row>
    <row r="37" spans="1:38" ht="15" hidden="1" customHeight="1" outlineLevel="1">
      <c r="A37" s="67" t="s">
        <v>121</v>
      </c>
      <c r="B37" s="63">
        <v>32</v>
      </c>
      <c r="C37" s="64"/>
      <c r="D37" s="69"/>
      <c r="E37" s="69"/>
      <c r="F37" s="379"/>
      <c r="G37" s="69"/>
      <c r="H37" s="69">
        <v>0</v>
      </c>
      <c r="I37" s="69"/>
      <c r="J37" s="69"/>
      <c r="K37" s="69"/>
      <c r="L37" s="69"/>
      <c r="M37" s="379"/>
      <c r="N37" s="85"/>
      <c r="O37" s="64"/>
      <c r="P37" s="69"/>
      <c r="Q37" s="69"/>
      <c r="R37" s="379"/>
      <c r="S37" s="69"/>
      <c r="T37" s="69"/>
      <c r="U37" s="69"/>
      <c r="V37" s="69"/>
      <c r="W37" s="69"/>
      <c r="X37" s="69"/>
      <c r="Y37" s="379"/>
      <c r="Z37" s="381">
        <v>0</v>
      </c>
      <c r="AA37" s="381">
        <f>SUMIFS([1]!Data_BS[Value],[1]!Data_BS[Index BS],DTRVL!$B37,[1]!Data_BS[TenCongTyID],DTRVL!$B$1,[1]!Data_BS[Thang.Nam],DTRVL!AA$5)</f>
        <v>0</v>
      </c>
      <c r="AB37" s="381">
        <f>SUMIFS([1]!Data_BS[Value],[1]!Data_BS[Index BS],DTRVL!$B37,[1]!Data_BS[TenCongTyID],DTRVL!$B$1,[1]!Data_BS[Thang.Nam],DTRVL!AB$5)</f>
        <v>0</v>
      </c>
      <c r="AC37" s="381">
        <f>SUMIFS([1]!Data_BS[Value],[1]!Data_BS[Index BS],DTRVL!$B37,[1]!Data_BS[TenCongTyID],DTRVL!$B$1,[1]!Data_BS[Thang.Nam],DTRVL!AC$5)</f>
        <v>0</v>
      </c>
      <c r="AD37" s="381">
        <f>SUMIFS([1]!Data_BS[Value],[1]!Data_BS[Index BS],DTRVL!$B37,[1]!Data_BS[TenCongTyID],DTRVL!$B$1,[1]!Data_BS[Thang.Nam],DTRVL!AD$5)</f>
        <v>0</v>
      </c>
      <c r="AE37" s="381">
        <f>SUMIFS([1]!Data_BS[Value],[1]!Data_BS[Index BS],DTRVL!$B37,[1]!Data_BS[TenCongTyID],DTRVL!$B$1,[1]!Data_BS[Thang.Nam],DTRVL!AE$5)</f>
        <v>0</v>
      </c>
      <c r="AF37" s="381">
        <f>SUMIFS([1]!Data_BS[Value],[1]!Data_BS[Index BS],DTRVL!$B37,[1]!Data_BS[TenCongTyID],DTRVL!$B$1,[1]!Data_BS[Thang.Nam],DTRVL!AF$5)</f>
        <v>0</v>
      </c>
      <c r="AG37" s="381">
        <f>SUMIFS([1]!Data_BS[Value],[1]!Data_BS[Index BS],DTRVL!$B37,[1]!Data_BS[TenCongTyID],DTRVL!$B$1,[1]!Data_BS[Thang.Nam],DTRVL!AG$5)</f>
        <v>0</v>
      </c>
      <c r="AH37" s="381">
        <f>SUMIFS([1]!Data_BS[Value],[1]!Data_BS[Index BS],DTRVL!$B37,[1]!Data_BS[TenCongTyID],DTRVL!$B$1,[1]!Data_BS[Thang.Nam],DTRVL!AH$5)</f>
        <v>0</v>
      </c>
      <c r="AI37" s="381">
        <f>SUMIFS([1]!Data_BS[Value],[1]!Data_BS[Index BS],DTRVL!$B37,[1]!Data_BS[TenCongTyID],DTRVL!$B$1,[1]!Data_BS[Thang.Nam],DTRVL!AI$5)</f>
        <v>0</v>
      </c>
      <c r="AJ37" s="381">
        <f>SUMIFS([1]!Data_BS[Value],[1]!Data_BS[Index BS],DTRVL!$B37,[1]!Data_BS[TenCongTyID],DTRVL!$B$1,[1]!Data_BS[Thang.Nam],DTRVL!AJ$5)</f>
        <v>0</v>
      </c>
      <c r="AK37" s="381">
        <f>SUMIFS([1]!Data_BS[Value],[1]!Data_BS[Index BS],DTRVL!$B37,[1]!Data_BS[TenCongTyID],DTRVL!$B$1,[1]!Data_BS[Thang.Nam],DTRVL!AK$5)</f>
        <v>0</v>
      </c>
      <c r="AL37" s="381">
        <f>SUMIFS([1]!Data_BS[Value],[1]!Data_BS[Index BS],DTRVL!$B37,[1]!Data_BS[TenCongTyID],DTRVL!$B$1,[1]!Data_BS[Thang.Nam],DTRVL!AL$5)</f>
        <v>0</v>
      </c>
    </row>
    <row r="38" spans="1:38" ht="14" hidden="1" outlineLevel="1">
      <c r="A38" s="70" t="s">
        <v>122</v>
      </c>
      <c r="B38" s="71">
        <v>33</v>
      </c>
      <c r="C38" s="64">
        <f>+C39+C46+C65+C71+C78+C68</f>
        <v>0</v>
      </c>
      <c r="D38" s="69">
        <f>+D39+D46+D65+D71+D78+D68</f>
        <v>0</v>
      </c>
      <c r="E38" s="69">
        <f>+E39+E46+E65+E71+E78+E68</f>
        <v>0</v>
      </c>
      <c r="F38" s="379">
        <f>+F39+F46+F65+F71+F78+F68</f>
        <v>0</v>
      </c>
      <c r="G38" s="69">
        <f>+G39+G46+G65+G71+G78+G68</f>
        <v>0</v>
      </c>
      <c r="H38" s="69">
        <v>0</v>
      </c>
      <c r="I38" s="69">
        <f>+I39+I46+I65+I71+I78+I68</f>
        <v>0</v>
      </c>
      <c r="J38" s="69"/>
      <c r="K38" s="69"/>
      <c r="L38" s="69"/>
      <c r="M38" s="379"/>
      <c r="N38" s="85"/>
      <c r="O38" s="64"/>
      <c r="P38" s="69"/>
      <c r="Q38" s="69"/>
      <c r="R38" s="379"/>
      <c r="S38" s="69"/>
      <c r="T38" s="69"/>
      <c r="U38" s="69"/>
      <c r="V38" s="69"/>
      <c r="W38" s="69"/>
      <c r="X38" s="69">
        <f>+X39+X46+X65+X71+X78+X68</f>
        <v>0</v>
      </c>
      <c r="Y38" s="379">
        <v>87557481</v>
      </c>
      <c r="Z38" s="381">
        <v>87557481</v>
      </c>
      <c r="AA38" s="381">
        <f>SUMIFS([1]!Data_BS[Value],[1]!Data_BS[Index BS],DTRVL!$B38,[1]!Data_BS[TenCongTyID],DTRVL!$B$1,[1]!Data_BS[Thang.Nam],DTRVL!AA$5)</f>
        <v>0</v>
      </c>
      <c r="AB38" s="381">
        <f>SUMIFS([1]!Data_BS[Value],[1]!Data_BS[Index BS],DTRVL!$B38,[1]!Data_BS[TenCongTyID],DTRVL!$B$1,[1]!Data_BS[Thang.Nam],DTRVL!AB$5)</f>
        <v>0</v>
      </c>
      <c r="AC38" s="381">
        <f>SUMIFS([1]!Data_BS[Value],[1]!Data_BS[Index BS],DTRVL!$B38,[1]!Data_BS[TenCongTyID],DTRVL!$B$1,[1]!Data_BS[Thang.Nam],DTRVL!AC$5)</f>
        <v>0</v>
      </c>
      <c r="AD38" s="381">
        <f>SUMIFS([1]!Data_BS[Value],[1]!Data_BS[Index BS],DTRVL!$B38,[1]!Data_BS[TenCongTyID],DTRVL!$B$1,[1]!Data_BS[Thang.Nam],DTRVL!AD$5)</f>
        <v>0</v>
      </c>
      <c r="AE38" s="381">
        <f>SUMIFS([1]!Data_BS[Value],[1]!Data_BS[Index BS],DTRVL!$B38,[1]!Data_BS[TenCongTyID],DTRVL!$B$1,[1]!Data_BS[Thang.Nam],DTRVL!AE$5)</f>
        <v>0</v>
      </c>
      <c r="AF38" s="381">
        <f>SUMIFS([1]!Data_BS[Value],[1]!Data_BS[Index BS],DTRVL!$B38,[1]!Data_BS[TenCongTyID],DTRVL!$B$1,[1]!Data_BS[Thang.Nam],DTRVL!AF$5)</f>
        <v>0</v>
      </c>
      <c r="AG38" s="381">
        <f>SUMIFS([1]!Data_BS[Value],[1]!Data_BS[Index BS],DTRVL!$B38,[1]!Data_BS[TenCongTyID],DTRVL!$B$1,[1]!Data_BS[Thang.Nam],DTRVL!AG$5)</f>
        <v>0</v>
      </c>
      <c r="AH38" s="381">
        <f>SUMIFS([1]!Data_BS[Value],[1]!Data_BS[Index BS],DTRVL!$B38,[1]!Data_BS[TenCongTyID],DTRVL!$B$1,[1]!Data_BS[Thang.Nam],DTRVL!AH$5)</f>
        <v>0</v>
      </c>
      <c r="AI38" s="381">
        <f>SUMIFS([1]!Data_BS[Value],[1]!Data_BS[Index BS],DTRVL!$B38,[1]!Data_BS[TenCongTyID],DTRVL!$B$1,[1]!Data_BS[Thang.Nam],DTRVL!AI$5)</f>
        <v>0</v>
      </c>
      <c r="AJ38" s="381">
        <f>SUMIFS([1]!Data_BS[Value],[1]!Data_BS[Index BS],DTRVL!$B38,[1]!Data_BS[TenCongTyID],DTRVL!$B$1,[1]!Data_BS[Thang.Nam],DTRVL!AJ$5)</f>
        <v>0</v>
      </c>
      <c r="AK38" s="381">
        <f>SUMIFS([1]!Data_BS[Value],[1]!Data_BS[Index BS],DTRVL!$B38,[1]!Data_BS[TenCongTyID],DTRVL!$B$1,[1]!Data_BS[Thang.Nam],DTRVL!AK$5)</f>
        <v>0</v>
      </c>
      <c r="AL38" s="381">
        <f>SUMIFS([1]!Data_BS[Value],[1]!Data_BS[Index BS],DTRVL!$B38,[1]!Data_BS[TenCongTyID],DTRVL!$B$1,[1]!Data_BS[Thang.Nam],DTRVL!AL$5)</f>
        <v>0</v>
      </c>
    </row>
    <row r="39" spans="1:38" ht="15" hidden="1" customHeight="1" outlineLevel="1">
      <c r="A39" s="59" t="s">
        <v>123</v>
      </c>
      <c r="B39" s="65">
        <v>34</v>
      </c>
      <c r="C39" s="61"/>
      <c r="D39" s="173"/>
      <c r="E39" s="173"/>
      <c r="F39" s="375"/>
      <c r="G39" s="173"/>
      <c r="H39" s="173">
        <v>0</v>
      </c>
      <c r="I39" s="173"/>
      <c r="J39" s="173"/>
      <c r="K39" s="173"/>
      <c r="L39" s="173"/>
      <c r="M39" s="375"/>
      <c r="N39" s="376"/>
      <c r="O39" s="61"/>
      <c r="P39" s="173"/>
      <c r="Q39" s="173"/>
      <c r="R39" s="375"/>
      <c r="S39" s="173"/>
      <c r="T39" s="173"/>
      <c r="U39" s="173"/>
      <c r="V39" s="173"/>
      <c r="W39" s="173"/>
      <c r="X39" s="173"/>
      <c r="Y39" s="375">
        <v>0</v>
      </c>
      <c r="Z39" s="378">
        <v>0</v>
      </c>
      <c r="AA39" s="378">
        <f>SUMIFS([1]!Data_BS[Value],[1]!Data_BS[Index BS],DTRVL!$B39,[1]!Data_BS[TenCongTyID],DTRVL!$B$1,[1]!Data_BS[Thang.Nam],DTRVL!AA$5)</f>
        <v>0</v>
      </c>
      <c r="AB39" s="378">
        <f>SUMIFS([1]!Data_BS[Value],[1]!Data_BS[Index BS],DTRVL!$B39,[1]!Data_BS[TenCongTyID],DTRVL!$B$1,[1]!Data_BS[Thang.Nam],DTRVL!AB$5)</f>
        <v>0</v>
      </c>
      <c r="AC39" s="378">
        <f>SUMIFS([1]!Data_BS[Value],[1]!Data_BS[Index BS],DTRVL!$B39,[1]!Data_BS[TenCongTyID],DTRVL!$B$1,[1]!Data_BS[Thang.Nam],DTRVL!AC$5)</f>
        <v>0</v>
      </c>
      <c r="AD39" s="378">
        <f>SUMIFS([1]!Data_BS[Value],[1]!Data_BS[Index BS],DTRVL!$B39,[1]!Data_BS[TenCongTyID],DTRVL!$B$1,[1]!Data_BS[Thang.Nam],DTRVL!AD$5)</f>
        <v>0</v>
      </c>
      <c r="AE39" s="378">
        <f>SUMIFS([1]!Data_BS[Value],[1]!Data_BS[Index BS],DTRVL!$B39,[1]!Data_BS[TenCongTyID],DTRVL!$B$1,[1]!Data_BS[Thang.Nam],DTRVL!AE$5)</f>
        <v>0</v>
      </c>
      <c r="AF39" s="378">
        <f>SUMIFS([1]!Data_BS[Value],[1]!Data_BS[Index BS],DTRVL!$B39,[1]!Data_BS[TenCongTyID],DTRVL!$B$1,[1]!Data_BS[Thang.Nam],DTRVL!AF$5)</f>
        <v>0</v>
      </c>
      <c r="AG39" s="378">
        <f>SUMIFS([1]!Data_BS[Value],[1]!Data_BS[Index BS],DTRVL!$B39,[1]!Data_BS[TenCongTyID],DTRVL!$B$1,[1]!Data_BS[Thang.Nam],DTRVL!AG$5)</f>
        <v>0</v>
      </c>
      <c r="AH39" s="378">
        <f>SUMIFS([1]!Data_BS[Value],[1]!Data_BS[Index BS],DTRVL!$B39,[1]!Data_BS[TenCongTyID],DTRVL!$B$1,[1]!Data_BS[Thang.Nam],DTRVL!AH$5)</f>
        <v>0</v>
      </c>
      <c r="AI39" s="378">
        <f>SUMIFS([1]!Data_BS[Value],[1]!Data_BS[Index BS],DTRVL!$B39,[1]!Data_BS[TenCongTyID],DTRVL!$B$1,[1]!Data_BS[Thang.Nam],DTRVL!AI$5)</f>
        <v>0</v>
      </c>
      <c r="AJ39" s="378">
        <f>SUMIFS([1]!Data_BS[Value],[1]!Data_BS[Index BS],DTRVL!$B39,[1]!Data_BS[TenCongTyID],DTRVL!$B$1,[1]!Data_BS[Thang.Nam],DTRVL!AJ$5)</f>
        <v>0</v>
      </c>
      <c r="AK39" s="378">
        <f>SUMIFS([1]!Data_BS[Value],[1]!Data_BS[Index BS],DTRVL!$B39,[1]!Data_BS[TenCongTyID],DTRVL!$B$1,[1]!Data_BS[Thang.Nam],DTRVL!AK$5)</f>
        <v>0</v>
      </c>
      <c r="AL39" s="378">
        <f>SUMIFS([1]!Data_BS[Value],[1]!Data_BS[Index BS],DTRVL!$B39,[1]!Data_BS[TenCongTyID],DTRVL!$B$1,[1]!Data_BS[Thang.Nam],DTRVL!AL$5)</f>
        <v>0</v>
      </c>
    </row>
    <row r="40" spans="1:38" ht="15" hidden="1" customHeight="1" outlineLevel="1">
      <c r="A40" s="62" t="s">
        <v>124</v>
      </c>
      <c r="B40" s="63">
        <v>35</v>
      </c>
      <c r="C40" s="64"/>
      <c r="D40" s="69"/>
      <c r="E40" s="69"/>
      <c r="F40" s="379"/>
      <c r="G40" s="69"/>
      <c r="H40" s="69">
        <v>0</v>
      </c>
      <c r="I40" s="69"/>
      <c r="J40" s="69"/>
      <c r="K40" s="69"/>
      <c r="L40" s="69"/>
      <c r="M40" s="379"/>
      <c r="N40" s="85"/>
      <c r="O40" s="64"/>
      <c r="P40" s="69"/>
      <c r="Q40" s="69"/>
      <c r="R40" s="379"/>
      <c r="S40" s="69"/>
      <c r="T40" s="69"/>
      <c r="U40" s="69"/>
      <c r="V40" s="69"/>
      <c r="W40" s="69"/>
      <c r="X40" s="69"/>
      <c r="Y40" s="379"/>
      <c r="Z40" s="381">
        <v>0</v>
      </c>
      <c r="AA40" s="381">
        <f>SUMIFS([1]!Data_BS[Value],[1]!Data_BS[Index BS],DTRVL!$B40,[1]!Data_BS[TenCongTyID],DTRVL!$B$1,[1]!Data_BS[Thang.Nam],DTRVL!AA$5)</f>
        <v>0</v>
      </c>
      <c r="AB40" s="381">
        <f>SUMIFS([1]!Data_BS[Value],[1]!Data_BS[Index BS],DTRVL!$B40,[1]!Data_BS[TenCongTyID],DTRVL!$B$1,[1]!Data_BS[Thang.Nam],DTRVL!AB$5)</f>
        <v>0</v>
      </c>
      <c r="AC40" s="381">
        <f>SUMIFS([1]!Data_BS[Value],[1]!Data_BS[Index BS],DTRVL!$B40,[1]!Data_BS[TenCongTyID],DTRVL!$B$1,[1]!Data_BS[Thang.Nam],DTRVL!AC$5)</f>
        <v>0</v>
      </c>
      <c r="AD40" s="381">
        <f>SUMIFS([1]!Data_BS[Value],[1]!Data_BS[Index BS],DTRVL!$B40,[1]!Data_BS[TenCongTyID],DTRVL!$B$1,[1]!Data_BS[Thang.Nam],DTRVL!AD$5)</f>
        <v>0</v>
      </c>
      <c r="AE40" s="381">
        <f>SUMIFS([1]!Data_BS[Value],[1]!Data_BS[Index BS],DTRVL!$B40,[1]!Data_BS[TenCongTyID],DTRVL!$B$1,[1]!Data_BS[Thang.Nam],DTRVL!AE$5)</f>
        <v>0</v>
      </c>
      <c r="AF40" s="381">
        <f>SUMIFS([1]!Data_BS[Value],[1]!Data_BS[Index BS],DTRVL!$B40,[1]!Data_BS[TenCongTyID],DTRVL!$B$1,[1]!Data_BS[Thang.Nam],DTRVL!AF$5)</f>
        <v>0</v>
      </c>
      <c r="AG40" s="381">
        <f>SUMIFS([1]!Data_BS[Value],[1]!Data_BS[Index BS],DTRVL!$B40,[1]!Data_BS[TenCongTyID],DTRVL!$B$1,[1]!Data_BS[Thang.Nam],DTRVL!AG$5)</f>
        <v>0</v>
      </c>
      <c r="AH40" s="381">
        <f>SUMIFS([1]!Data_BS[Value],[1]!Data_BS[Index BS],DTRVL!$B40,[1]!Data_BS[TenCongTyID],DTRVL!$B$1,[1]!Data_BS[Thang.Nam],DTRVL!AH$5)</f>
        <v>0</v>
      </c>
      <c r="AI40" s="381">
        <f>SUMIFS([1]!Data_BS[Value],[1]!Data_BS[Index BS],DTRVL!$B40,[1]!Data_BS[TenCongTyID],DTRVL!$B$1,[1]!Data_BS[Thang.Nam],DTRVL!AI$5)</f>
        <v>0</v>
      </c>
      <c r="AJ40" s="381">
        <f>SUMIFS([1]!Data_BS[Value],[1]!Data_BS[Index BS],DTRVL!$B40,[1]!Data_BS[TenCongTyID],DTRVL!$B$1,[1]!Data_BS[Thang.Nam],DTRVL!AJ$5)</f>
        <v>0</v>
      </c>
      <c r="AK40" s="381">
        <f>SUMIFS([1]!Data_BS[Value],[1]!Data_BS[Index BS],DTRVL!$B40,[1]!Data_BS[TenCongTyID],DTRVL!$B$1,[1]!Data_BS[Thang.Nam],DTRVL!AK$5)</f>
        <v>0</v>
      </c>
      <c r="AL40" s="381">
        <f>SUMIFS([1]!Data_BS[Value],[1]!Data_BS[Index BS],DTRVL!$B40,[1]!Data_BS[TenCongTyID],DTRVL!$B$1,[1]!Data_BS[Thang.Nam],DTRVL!AL$5)</f>
        <v>0</v>
      </c>
    </row>
    <row r="41" spans="1:38" ht="15" hidden="1" customHeight="1" outlineLevel="1">
      <c r="A41" s="62" t="s">
        <v>125</v>
      </c>
      <c r="B41" s="63">
        <v>36</v>
      </c>
      <c r="C41" s="64"/>
      <c r="D41" s="69"/>
      <c r="E41" s="69"/>
      <c r="F41" s="379"/>
      <c r="G41" s="69"/>
      <c r="H41" s="69">
        <v>0</v>
      </c>
      <c r="I41" s="69"/>
      <c r="J41" s="69"/>
      <c r="K41" s="69"/>
      <c r="L41" s="69"/>
      <c r="M41" s="379"/>
      <c r="N41" s="85"/>
      <c r="O41" s="64"/>
      <c r="P41" s="69"/>
      <c r="Q41" s="69"/>
      <c r="R41" s="379"/>
      <c r="S41" s="69"/>
      <c r="T41" s="69"/>
      <c r="U41" s="69"/>
      <c r="V41" s="69"/>
      <c r="W41" s="69"/>
      <c r="X41" s="69"/>
      <c r="Y41" s="379"/>
      <c r="Z41" s="381">
        <v>0</v>
      </c>
      <c r="AA41" s="381">
        <f>SUMIFS([1]!Data_BS[Value],[1]!Data_BS[Index BS],DTRVL!$B41,[1]!Data_BS[TenCongTyID],DTRVL!$B$1,[1]!Data_BS[Thang.Nam],DTRVL!AA$5)</f>
        <v>0</v>
      </c>
      <c r="AB41" s="381">
        <f>SUMIFS([1]!Data_BS[Value],[1]!Data_BS[Index BS],DTRVL!$B41,[1]!Data_BS[TenCongTyID],DTRVL!$B$1,[1]!Data_BS[Thang.Nam],DTRVL!AB$5)</f>
        <v>0</v>
      </c>
      <c r="AC41" s="381">
        <f>SUMIFS([1]!Data_BS[Value],[1]!Data_BS[Index BS],DTRVL!$B41,[1]!Data_BS[TenCongTyID],DTRVL!$B$1,[1]!Data_BS[Thang.Nam],DTRVL!AC$5)</f>
        <v>0</v>
      </c>
      <c r="AD41" s="381">
        <f>SUMIFS([1]!Data_BS[Value],[1]!Data_BS[Index BS],DTRVL!$B41,[1]!Data_BS[TenCongTyID],DTRVL!$B$1,[1]!Data_BS[Thang.Nam],DTRVL!AD$5)</f>
        <v>0</v>
      </c>
      <c r="AE41" s="381">
        <f>SUMIFS([1]!Data_BS[Value],[1]!Data_BS[Index BS],DTRVL!$B41,[1]!Data_BS[TenCongTyID],DTRVL!$B$1,[1]!Data_BS[Thang.Nam],DTRVL!AE$5)</f>
        <v>0</v>
      </c>
      <c r="AF41" s="381">
        <f>SUMIFS([1]!Data_BS[Value],[1]!Data_BS[Index BS],DTRVL!$B41,[1]!Data_BS[TenCongTyID],DTRVL!$B$1,[1]!Data_BS[Thang.Nam],DTRVL!AF$5)</f>
        <v>0</v>
      </c>
      <c r="AG41" s="381">
        <f>SUMIFS([1]!Data_BS[Value],[1]!Data_BS[Index BS],DTRVL!$B41,[1]!Data_BS[TenCongTyID],DTRVL!$B$1,[1]!Data_BS[Thang.Nam],DTRVL!AG$5)</f>
        <v>0</v>
      </c>
      <c r="AH41" s="381">
        <f>SUMIFS([1]!Data_BS[Value],[1]!Data_BS[Index BS],DTRVL!$B41,[1]!Data_BS[TenCongTyID],DTRVL!$B$1,[1]!Data_BS[Thang.Nam],DTRVL!AH$5)</f>
        <v>0</v>
      </c>
      <c r="AI41" s="381">
        <f>SUMIFS([1]!Data_BS[Value],[1]!Data_BS[Index BS],DTRVL!$B41,[1]!Data_BS[TenCongTyID],DTRVL!$B$1,[1]!Data_BS[Thang.Nam],DTRVL!AI$5)</f>
        <v>0</v>
      </c>
      <c r="AJ41" s="381">
        <f>SUMIFS([1]!Data_BS[Value],[1]!Data_BS[Index BS],DTRVL!$B41,[1]!Data_BS[TenCongTyID],DTRVL!$B$1,[1]!Data_BS[Thang.Nam],DTRVL!AJ$5)</f>
        <v>0</v>
      </c>
      <c r="AK41" s="381">
        <f>SUMIFS([1]!Data_BS[Value],[1]!Data_BS[Index BS],DTRVL!$B41,[1]!Data_BS[TenCongTyID],DTRVL!$B$1,[1]!Data_BS[Thang.Nam],DTRVL!AK$5)</f>
        <v>0</v>
      </c>
      <c r="AL41" s="381">
        <f>SUMIFS([1]!Data_BS[Value],[1]!Data_BS[Index BS],DTRVL!$B41,[1]!Data_BS[TenCongTyID],DTRVL!$B$1,[1]!Data_BS[Thang.Nam],DTRVL!AL$5)</f>
        <v>0</v>
      </c>
    </row>
    <row r="42" spans="1:38" ht="15" hidden="1" customHeight="1" outlineLevel="1">
      <c r="A42" s="62" t="s">
        <v>126</v>
      </c>
      <c r="B42" s="63">
        <v>37</v>
      </c>
      <c r="C42" s="64"/>
      <c r="D42" s="69"/>
      <c r="E42" s="69"/>
      <c r="F42" s="379"/>
      <c r="G42" s="69"/>
      <c r="H42" s="69">
        <v>0</v>
      </c>
      <c r="I42" s="69"/>
      <c r="J42" s="69"/>
      <c r="K42" s="69"/>
      <c r="L42" s="69"/>
      <c r="M42" s="379"/>
      <c r="N42" s="85"/>
      <c r="O42" s="64"/>
      <c r="P42" s="69"/>
      <c r="Q42" s="69"/>
      <c r="R42" s="379"/>
      <c r="S42" s="69"/>
      <c r="T42" s="69"/>
      <c r="U42" s="69"/>
      <c r="V42" s="69"/>
      <c r="W42" s="69"/>
      <c r="X42" s="69"/>
      <c r="Y42" s="379"/>
      <c r="Z42" s="381">
        <v>0</v>
      </c>
      <c r="AA42" s="381">
        <f>SUMIFS([1]!Data_BS[Value],[1]!Data_BS[Index BS],DTRVL!$B42,[1]!Data_BS[TenCongTyID],DTRVL!$B$1,[1]!Data_BS[Thang.Nam],DTRVL!AA$5)</f>
        <v>0</v>
      </c>
      <c r="AB42" s="381">
        <f>SUMIFS([1]!Data_BS[Value],[1]!Data_BS[Index BS],DTRVL!$B42,[1]!Data_BS[TenCongTyID],DTRVL!$B$1,[1]!Data_BS[Thang.Nam],DTRVL!AB$5)</f>
        <v>0</v>
      </c>
      <c r="AC42" s="381">
        <f>SUMIFS([1]!Data_BS[Value],[1]!Data_BS[Index BS],DTRVL!$B42,[1]!Data_BS[TenCongTyID],DTRVL!$B$1,[1]!Data_BS[Thang.Nam],DTRVL!AC$5)</f>
        <v>0</v>
      </c>
      <c r="AD42" s="381">
        <f>SUMIFS([1]!Data_BS[Value],[1]!Data_BS[Index BS],DTRVL!$B42,[1]!Data_BS[TenCongTyID],DTRVL!$B$1,[1]!Data_BS[Thang.Nam],DTRVL!AD$5)</f>
        <v>0</v>
      </c>
      <c r="AE42" s="381">
        <f>SUMIFS([1]!Data_BS[Value],[1]!Data_BS[Index BS],DTRVL!$B42,[1]!Data_BS[TenCongTyID],DTRVL!$B$1,[1]!Data_BS[Thang.Nam],DTRVL!AE$5)</f>
        <v>0</v>
      </c>
      <c r="AF42" s="381">
        <f>SUMIFS([1]!Data_BS[Value],[1]!Data_BS[Index BS],DTRVL!$B42,[1]!Data_BS[TenCongTyID],DTRVL!$B$1,[1]!Data_BS[Thang.Nam],DTRVL!AF$5)</f>
        <v>0</v>
      </c>
      <c r="AG42" s="381">
        <f>SUMIFS([1]!Data_BS[Value],[1]!Data_BS[Index BS],DTRVL!$B42,[1]!Data_BS[TenCongTyID],DTRVL!$B$1,[1]!Data_BS[Thang.Nam],DTRVL!AG$5)</f>
        <v>0</v>
      </c>
      <c r="AH42" s="381">
        <f>SUMIFS([1]!Data_BS[Value],[1]!Data_BS[Index BS],DTRVL!$B42,[1]!Data_BS[TenCongTyID],DTRVL!$B$1,[1]!Data_BS[Thang.Nam],DTRVL!AH$5)</f>
        <v>0</v>
      </c>
      <c r="AI42" s="381">
        <f>SUMIFS([1]!Data_BS[Value],[1]!Data_BS[Index BS],DTRVL!$B42,[1]!Data_BS[TenCongTyID],DTRVL!$B$1,[1]!Data_BS[Thang.Nam],DTRVL!AI$5)</f>
        <v>0</v>
      </c>
      <c r="AJ42" s="381">
        <f>SUMIFS([1]!Data_BS[Value],[1]!Data_BS[Index BS],DTRVL!$B42,[1]!Data_BS[TenCongTyID],DTRVL!$B$1,[1]!Data_BS[Thang.Nam],DTRVL!AJ$5)</f>
        <v>0</v>
      </c>
      <c r="AK42" s="381">
        <f>SUMIFS([1]!Data_BS[Value],[1]!Data_BS[Index BS],DTRVL!$B42,[1]!Data_BS[TenCongTyID],DTRVL!$B$1,[1]!Data_BS[Thang.Nam],DTRVL!AK$5)</f>
        <v>0</v>
      </c>
      <c r="AL42" s="381">
        <f>SUMIFS([1]!Data_BS[Value],[1]!Data_BS[Index BS],DTRVL!$B42,[1]!Data_BS[TenCongTyID],DTRVL!$B$1,[1]!Data_BS[Thang.Nam],DTRVL!AL$5)</f>
        <v>0</v>
      </c>
    </row>
    <row r="43" spans="1:38" ht="15" hidden="1" customHeight="1" outlineLevel="1">
      <c r="A43" s="62" t="s">
        <v>127</v>
      </c>
      <c r="B43" s="63">
        <v>38</v>
      </c>
      <c r="C43" s="64"/>
      <c r="D43" s="69"/>
      <c r="E43" s="69"/>
      <c r="F43" s="379"/>
      <c r="G43" s="69"/>
      <c r="H43" s="69">
        <v>0</v>
      </c>
      <c r="I43" s="69"/>
      <c r="J43" s="69"/>
      <c r="K43" s="69"/>
      <c r="L43" s="69"/>
      <c r="M43" s="379"/>
      <c r="N43" s="85"/>
      <c r="O43" s="64"/>
      <c r="P43" s="69"/>
      <c r="Q43" s="69"/>
      <c r="R43" s="379"/>
      <c r="S43" s="69"/>
      <c r="T43" s="69"/>
      <c r="U43" s="69"/>
      <c r="V43" s="69"/>
      <c r="W43" s="69"/>
      <c r="X43" s="69"/>
      <c r="Y43" s="379"/>
      <c r="Z43" s="381">
        <v>0</v>
      </c>
      <c r="AA43" s="381">
        <f>SUMIFS([1]!Data_BS[Value],[1]!Data_BS[Index BS],DTRVL!$B43,[1]!Data_BS[TenCongTyID],DTRVL!$B$1,[1]!Data_BS[Thang.Nam],DTRVL!AA$5)</f>
        <v>0</v>
      </c>
      <c r="AB43" s="381">
        <f>SUMIFS([1]!Data_BS[Value],[1]!Data_BS[Index BS],DTRVL!$B43,[1]!Data_BS[TenCongTyID],DTRVL!$B$1,[1]!Data_BS[Thang.Nam],DTRVL!AB$5)</f>
        <v>0</v>
      </c>
      <c r="AC43" s="381">
        <f>SUMIFS([1]!Data_BS[Value],[1]!Data_BS[Index BS],DTRVL!$B43,[1]!Data_BS[TenCongTyID],DTRVL!$B$1,[1]!Data_BS[Thang.Nam],DTRVL!AC$5)</f>
        <v>0</v>
      </c>
      <c r="AD43" s="381">
        <f>SUMIFS([1]!Data_BS[Value],[1]!Data_BS[Index BS],DTRVL!$B43,[1]!Data_BS[TenCongTyID],DTRVL!$B$1,[1]!Data_BS[Thang.Nam],DTRVL!AD$5)</f>
        <v>0</v>
      </c>
      <c r="AE43" s="381">
        <f>SUMIFS([1]!Data_BS[Value],[1]!Data_BS[Index BS],DTRVL!$B43,[1]!Data_BS[TenCongTyID],DTRVL!$B$1,[1]!Data_BS[Thang.Nam],DTRVL!AE$5)</f>
        <v>0</v>
      </c>
      <c r="AF43" s="381">
        <f>SUMIFS([1]!Data_BS[Value],[1]!Data_BS[Index BS],DTRVL!$B43,[1]!Data_BS[TenCongTyID],DTRVL!$B$1,[1]!Data_BS[Thang.Nam],DTRVL!AF$5)</f>
        <v>0</v>
      </c>
      <c r="AG43" s="381">
        <f>SUMIFS([1]!Data_BS[Value],[1]!Data_BS[Index BS],DTRVL!$B43,[1]!Data_BS[TenCongTyID],DTRVL!$B$1,[1]!Data_BS[Thang.Nam],DTRVL!AG$5)</f>
        <v>0</v>
      </c>
      <c r="AH43" s="381">
        <f>SUMIFS([1]!Data_BS[Value],[1]!Data_BS[Index BS],DTRVL!$B43,[1]!Data_BS[TenCongTyID],DTRVL!$B$1,[1]!Data_BS[Thang.Nam],DTRVL!AH$5)</f>
        <v>0</v>
      </c>
      <c r="AI43" s="381">
        <f>SUMIFS([1]!Data_BS[Value],[1]!Data_BS[Index BS],DTRVL!$B43,[1]!Data_BS[TenCongTyID],DTRVL!$B$1,[1]!Data_BS[Thang.Nam],DTRVL!AI$5)</f>
        <v>0</v>
      </c>
      <c r="AJ43" s="381">
        <f>SUMIFS([1]!Data_BS[Value],[1]!Data_BS[Index BS],DTRVL!$B43,[1]!Data_BS[TenCongTyID],DTRVL!$B$1,[1]!Data_BS[Thang.Nam],DTRVL!AJ$5)</f>
        <v>0</v>
      </c>
      <c r="AK43" s="381">
        <f>SUMIFS([1]!Data_BS[Value],[1]!Data_BS[Index BS],DTRVL!$B43,[1]!Data_BS[TenCongTyID],DTRVL!$B$1,[1]!Data_BS[Thang.Nam],DTRVL!AK$5)</f>
        <v>0</v>
      </c>
      <c r="AL43" s="381">
        <f>SUMIFS([1]!Data_BS[Value],[1]!Data_BS[Index BS],DTRVL!$B43,[1]!Data_BS[TenCongTyID],DTRVL!$B$1,[1]!Data_BS[Thang.Nam],DTRVL!AL$5)</f>
        <v>0</v>
      </c>
    </row>
    <row r="44" spans="1:38" ht="15" hidden="1" customHeight="1" outlineLevel="1">
      <c r="A44" s="62" t="s">
        <v>128</v>
      </c>
      <c r="B44" s="63">
        <v>39</v>
      </c>
      <c r="C44" s="64"/>
      <c r="D44" s="69"/>
      <c r="E44" s="69"/>
      <c r="F44" s="379"/>
      <c r="G44" s="69"/>
      <c r="H44" s="69">
        <v>0</v>
      </c>
      <c r="I44" s="69"/>
      <c r="J44" s="69"/>
      <c r="K44" s="69"/>
      <c r="L44" s="69"/>
      <c r="M44" s="379"/>
      <c r="N44" s="85"/>
      <c r="O44" s="64"/>
      <c r="P44" s="69"/>
      <c r="Q44" s="69"/>
      <c r="R44" s="379"/>
      <c r="S44" s="69"/>
      <c r="T44" s="69"/>
      <c r="U44" s="69"/>
      <c r="V44" s="69"/>
      <c r="W44" s="69"/>
      <c r="X44" s="69"/>
      <c r="Y44" s="379"/>
      <c r="Z44" s="381">
        <v>0</v>
      </c>
      <c r="AA44" s="381">
        <f>SUMIFS([1]!Data_BS[Value],[1]!Data_BS[Index BS],DTRVL!$B44,[1]!Data_BS[TenCongTyID],DTRVL!$B$1,[1]!Data_BS[Thang.Nam],DTRVL!AA$5)</f>
        <v>0</v>
      </c>
      <c r="AB44" s="381">
        <f>SUMIFS([1]!Data_BS[Value],[1]!Data_BS[Index BS],DTRVL!$B44,[1]!Data_BS[TenCongTyID],DTRVL!$B$1,[1]!Data_BS[Thang.Nam],DTRVL!AB$5)</f>
        <v>0</v>
      </c>
      <c r="AC44" s="381">
        <f>SUMIFS([1]!Data_BS[Value],[1]!Data_BS[Index BS],DTRVL!$B44,[1]!Data_BS[TenCongTyID],DTRVL!$B$1,[1]!Data_BS[Thang.Nam],DTRVL!AC$5)</f>
        <v>0</v>
      </c>
      <c r="AD44" s="381">
        <f>SUMIFS([1]!Data_BS[Value],[1]!Data_BS[Index BS],DTRVL!$B44,[1]!Data_BS[TenCongTyID],DTRVL!$B$1,[1]!Data_BS[Thang.Nam],DTRVL!AD$5)</f>
        <v>0</v>
      </c>
      <c r="AE44" s="381">
        <f>SUMIFS([1]!Data_BS[Value],[1]!Data_BS[Index BS],DTRVL!$B44,[1]!Data_BS[TenCongTyID],DTRVL!$B$1,[1]!Data_BS[Thang.Nam],DTRVL!AE$5)</f>
        <v>0</v>
      </c>
      <c r="AF44" s="381">
        <f>SUMIFS([1]!Data_BS[Value],[1]!Data_BS[Index BS],DTRVL!$B44,[1]!Data_BS[TenCongTyID],DTRVL!$B$1,[1]!Data_BS[Thang.Nam],DTRVL!AF$5)</f>
        <v>0</v>
      </c>
      <c r="AG44" s="381">
        <f>SUMIFS([1]!Data_BS[Value],[1]!Data_BS[Index BS],DTRVL!$B44,[1]!Data_BS[TenCongTyID],DTRVL!$B$1,[1]!Data_BS[Thang.Nam],DTRVL!AG$5)</f>
        <v>0</v>
      </c>
      <c r="AH44" s="381">
        <f>SUMIFS([1]!Data_BS[Value],[1]!Data_BS[Index BS],DTRVL!$B44,[1]!Data_BS[TenCongTyID],DTRVL!$B$1,[1]!Data_BS[Thang.Nam],DTRVL!AH$5)</f>
        <v>0</v>
      </c>
      <c r="AI44" s="381">
        <f>SUMIFS([1]!Data_BS[Value],[1]!Data_BS[Index BS],DTRVL!$B44,[1]!Data_BS[TenCongTyID],DTRVL!$B$1,[1]!Data_BS[Thang.Nam],DTRVL!AI$5)</f>
        <v>0</v>
      </c>
      <c r="AJ44" s="381">
        <f>SUMIFS([1]!Data_BS[Value],[1]!Data_BS[Index BS],DTRVL!$B44,[1]!Data_BS[TenCongTyID],DTRVL!$B$1,[1]!Data_BS[Thang.Nam],DTRVL!AJ$5)</f>
        <v>0</v>
      </c>
      <c r="AK44" s="381">
        <f>SUMIFS([1]!Data_BS[Value],[1]!Data_BS[Index BS],DTRVL!$B44,[1]!Data_BS[TenCongTyID],DTRVL!$B$1,[1]!Data_BS[Thang.Nam],DTRVL!AK$5)</f>
        <v>0</v>
      </c>
      <c r="AL44" s="381">
        <f>SUMIFS([1]!Data_BS[Value],[1]!Data_BS[Index BS],DTRVL!$B44,[1]!Data_BS[TenCongTyID],DTRVL!$B$1,[1]!Data_BS[Thang.Nam],DTRVL!AL$5)</f>
        <v>0</v>
      </c>
    </row>
    <row r="45" spans="1:38" ht="15" hidden="1" customHeight="1" outlineLevel="1">
      <c r="A45" s="62" t="s">
        <v>129</v>
      </c>
      <c r="B45" s="63">
        <v>40</v>
      </c>
      <c r="C45" s="64"/>
      <c r="D45" s="69"/>
      <c r="E45" s="69"/>
      <c r="F45" s="379"/>
      <c r="G45" s="69"/>
      <c r="H45" s="69">
        <v>0</v>
      </c>
      <c r="I45" s="69"/>
      <c r="J45" s="69"/>
      <c r="K45" s="69"/>
      <c r="L45" s="69"/>
      <c r="M45" s="379"/>
      <c r="N45" s="85"/>
      <c r="O45" s="64"/>
      <c r="P45" s="69"/>
      <c r="Q45" s="69"/>
      <c r="R45" s="379"/>
      <c r="S45" s="69"/>
      <c r="T45" s="69"/>
      <c r="U45" s="69"/>
      <c r="V45" s="69"/>
      <c r="W45" s="69"/>
      <c r="X45" s="69"/>
      <c r="Y45" s="379"/>
      <c r="Z45" s="381">
        <v>0</v>
      </c>
      <c r="AA45" s="381">
        <f>SUMIFS([1]!Data_BS[Value],[1]!Data_BS[Index BS],DTRVL!$B45,[1]!Data_BS[TenCongTyID],DTRVL!$B$1,[1]!Data_BS[Thang.Nam],DTRVL!AA$5)</f>
        <v>0</v>
      </c>
      <c r="AB45" s="381">
        <f>SUMIFS([1]!Data_BS[Value],[1]!Data_BS[Index BS],DTRVL!$B45,[1]!Data_BS[TenCongTyID],DTRVL!$B$1,[1]!Data_BS[Thang.Nam],DTRVL!AB$5)</f>
        <v>0</v>
      </c>
      <c r="AC45" s="381">
        <f>SUMIFS([1]!Data_BS[Value],[1]!Data_BS[Index BS],DTRVL!$B45,[1]!Data_BS[TenCongTyID],DTRVL!$B$1,[1]!Data_BS[Thang.Nam],DTRVL!AC$5)</f>
        <v>0</v>
      </c>
      <c r="AD45" s="381">
        <f>SUMIFS([1]!Data_BS[Value],[1]!Data_BS[Index BS],DTRVL!$B45,[1]!Data_BS[TenCongTyID],DTRVL!$B$1,[1]!Data_BS[Thang.Nam],DTRVL!AD$5)</f>
        <v>0</v>
      </c>
      <c r="AE45" s="381">
        <f>SUMIFS([1]!Data_BS[Value],[1]!Data_BS[Index BS],DTRVL!$B45,[1]!Data_BS[TenCongTyID],DTRVL!$B$1,[1]!Data_BS[Thang.Nam],DTRVL!AE$5)</f>
        <v>0</v>
      </c>
      <c r="AF45" s="381">
        <f>SUMIFS([1]!Data_BS[Value],[1]!Data_BS[Index BS],DTRVL!$B45,[1]!Data_BS[TenCongTyID],DTRVL!$B$1,[1]!Data_BS[Thang.Nam],DTRVL!AF$5)</f>
        <v>0</v>
      </c>
      <c r="AG45" s="381">
        <f>SUMIFS([1]!Data_BS[Value],[1]!Data_BS[Index BS],DTRVL!$B45,[1]!Data_BS[TenCongTyID],DTRVL!$B$1,[1]!Data_BS[Thang.Nam],DTRVL!AG$5)</f>
        <v>0</v>
      </c>
      <c r="AH45" s="381">
        <f>SUMIFS([1]!Data_BS[Value],[1]!Data_BS[Index BS],DTRVL!$B45,[1]!Data_BS[TenCongTyID],DTRVL!$B$1,[1]!Data_BS[Thang.Nam],DTRVL!AH$5)</f>
        <v>0</v>
      </c>
      <c r="AI45" s="381">
        <f>SUMIFS([1]!Data_BS[Value],[1]!Data_BS[Index BS],DTRVL!$B45,[1]!Data_BS[TenCongTyID],DTRVL!$B$1,[1]!Data_BS[Thang.Nam],DTRVL!AI$5)</f>
        <v>0</v>
      </c>
      <c r="AJ45" s="381">
        <f>SUMIFS([1]!Data_BS[Value],[1]!Data_BS[Index BS],DTRVL!$B45,[1]!Data_BS[TenCongTyID],DTRVL!$B$1,[1]!Data_BS[Thang.Nam],DTRVL!AJ$5)</f>
        <v>0</v>
      </c>
      <c r="AK45" s="381">
        <f>SUMIFS([1]!Data_BS[Value],[1]!Data_BS[Index BS],DTRVL!$B45,[1]!Data_BS[TenCongTyID],DTRVL!$B$1,[1]!Data_BS[Thang.Nam],DTRVL!AK$5)</f>
        <v>0</v>
      </c>
      <c r="AL45" s="381">
        <f>SUMIFS([1]!Data_BS[Value],[1]!Data_BS[Index BS],DTRVL!$B45,[1]!Data_BS[TenCongTyID],DTRVL!$B$1,[1]!Data_BS[Thang.Nam],DTRVL!AL$5)</f>
        <v>0</v>
      </c>
    </row>
    <row r="46" spans="1:38" ht="15" hidden="1" customHeight="1" outlineLevel="1">
      <c r="A46" s="72" t="s">
        <v>130</v>
      </c>
      <c r="B46" s="65">
        <v>41</v>
      </c>
      <c r="C46" s="64">
        <f t="shared" ref="C46:I46" si="4">+C47+C53+C50</f>
        <v>0</v>
      </c>
      <c r="D46" s="69">
        <f t="shared" si="4"/>
        <v>0</v>
      </c>
      <c r="E46" s="69">
        <f t="shared" si="4"/>
        <v>0</v>
      </c>
      <c r="F46" s="379">
        <f t="shared" si="4"/>
        <v>0</v>
      </c>
      <c r="G46" s="69">
        <f t="shared" si="4"/>
        <v>0</v>
      </c>
      <c r="H46" s="69">
        <v>0</v>
      </c>
      <c r="I46" s="69">
        <f t="shared" si="4"/>
        <v>0</v>
      </c>
      <c r="J46" s="69"/>
      <c r="K46" s="69"/>
      <c r="L46" s="69"/>
      <c r="M46" s="379"/>
      <c r="N46" s="85"/>
      <c r="O46" s="64"/>
      <c r="P46" s="69"/>
      <c r="Q46" s="69"/>
      <c r="R46" s="379"/>
      <c r="S46" s="69"/>
      <c r="T46" s="69"/>
      <c r="U46" s="69"/>
      <c r="V46" s="69"/>
      <c r="W46" s="69"/>
      <c r="X46" s="69">
        <f>+X47+X53+X50</f>
        <v>0</v>
      </c>
      <c r="Y46" s="379">
        <v>0</v>
      </c>
      <c r="Z46" s="381">
        <v>0</v>
      </c>
      <c r="AA46" s="381">
        <f>SUMIFS([1]!Data_BS[Value],[1]!Data_BS[Index BS],DTRVL!$B46,[1]!Data_BS[TenCongTyID],DTRVL!$B$1,[1]!Data_BS[Thang.Nam],DTRVL!AA$5)</f>
        <v>0</v>
      </c>
      <c r="AB46" s="381">
        <f>SUMIFS([1]!Data_BS[Value],[1]!Data_BS[Index BS],DTRVL!$B46,[1]!Data_BS[TenCongTyID],DTRVL!$B$1,[1]!Data_BS[Thang.Nam],DTRVL!AB$5)</f>
        <v>0</v>
      </c>
      <c r="AC46" s="381">
        <f>SUMIFS([1]!Data_BS[Value],[1]!Data_BS[Index BS],DTRVL!$B46,[1]!Data_BS[TenCongTyID],DTRVL!$B$1,[1]!Data_BS[Thang.Nam],DTRVL!AC$5)</f>
        <v>0</v>
      </c>
      <c r="AD46" s="381">
        <f>SUMIFS([1]!Data_BS[Value],[1]!Data_BS[Index BS],DTRVL!$B46,[1]!Data_BS[TenCongTyID],DTRVL!$B$1,[1]!Data_BS[Thang.Nam],DTRVL!AD$5)</f>
        <v>0</v>
      </c>
      <c r="AE46" s="381">
        <f>SUMIFS([1]!Data_BS[Value],[1]!Data_BS[Index BS],DTRVL!$B46,[1]!Data_BS[TenCongTyID],DTRVL!$B$1,[1]!Data_BS[Thang.Nam],DTRVL!AE$5)</f>
        <v>0</v>
      </c>
      <c r="AF46" s="381">
        <f>SUMIFS([1]!Data_BS[Value],[1]!Data_BS[Index BS],DTRVL!$B46,[1]!Data_BS[TenCongTyID],DTRVL!$B$1,[1]!Data_BS[Thang.Nam],DTRVL!AF$5)</f>
        <v>0</v>
      </c>
      <c r="AG46" s="381">
        <f>SUMIFS([1]!Data_BS[Value],[1]!Data_BS[Index BS],DTRVL!$B46,[1]!Data_BS[TenCongTyID],DTRVL!$B$1,[1]!Data_BS[Thang.Nam],DTRVL!AG$5)</f>
        <v>0</v>
      </c>
      <c r="AH46" s="381">
        <f>SUMIFS([1]!Data_BS[Value],[1]!Data_BS[Index BS],DTRVL!$B46,[1]!Data_BS[TenCongTyID],DTRVL!$B$1,[1]!Data_BS[Thang.Nam],DTRVL!AH$5)</f>
        <v>0</v>
      </c>
      <c r="AI46" s="381">
        <f>SUMIFS([1]!Data_BS[Value],[1]!Data_BS[Index BS],DTRVL!$B46,[1]!Data_BS[TenCongTyID],DTRVL!$B$1,[1]!Data_BS[Thang.Nam],DTRVL!AI$5)</f>
        <v>0</v>
      </c>
      <c r="AJ46" s="381">
        <f>SUMIFS([1]!Data_BS[Value],[1]!Data_BS[Index BS],DTRVL!$B46,[1]!Data_BS[TenCongTyID],DTRVL!$B$1,[1]!Data_BS[Thang.Nam],DTRVL!AJ$5)</f>
        <v>0</v>
      </c>
      <c r="AK46" s="381">
        <f>SUMIFS([1]!Data_BS[Value],[1]!Data_BS[Index BS],DTRVL!$B46,[1]!Data_BS[TenCongTyID],DTRVL!$B$1,[1]!Data_BS[Thang.Nam],DTRVL!AK$5)</f>
        <v>0</v>
      </c>
      <c r="AL46" s="381">
        <f>SUMIFS([1]!Data_BS[Value],[1]!Data_BS[Index BS],DTRVL!$B46,[1]!Data_BS[TenCongTyID],DTRVL!$B$1,[1]!Data_BS[Thang.Nam],DTRVL!AL$5)</f>
        <v>0</v>
      </c>
    </row>
    <row r="47" spans="1:38" ht="15" hidden="1" customHeight="1" outlineLevel="1">
      <c r="A47" s="72" t="s">
        <v>131</v>
      </c>
      <c r="B47" s="65">
        <v>42</v>
      </c>
      <c r="C47" s="64">
        <f t="shared" ref="C47:I47" si="5">+SUM(C48:C49)</f>
        <v>0</v>
      </c>
      <c r="D47" s="69">
        <f t="shared" si="5"/>
        <v>0</v>
      </c>
      <c r="E47" s="69">
        <f t="shared" si="5"/>
        <v>0</v>
      </c>
      <c r="F47" s="379">
        <f t="shared" si="5"/>
        <v>0</v>
      </c>
      <c r="G47" s="69">
        <f t="shared" si="5"/>
        <v>0</v>
      </c>
      <c r="H47" s="69">
        <v>0</v>
      </c>
      <c r="I47" s="69">
        <f t="shared" si="5"/>
        <v>0</v>
      </c>
      <c r="J47" s="69"/>
      <c r="K47" s="69"/>
      <c r="L47" s="69"/>
      <c r="M47" s="379"/>
      <c r="N47" s="85"/>
      <c r="O47" s="64"/>
      <c r="P47" s="69"/>
      <c r="Q47" s="69"/>
      <c r="R47" s="379"/>
      <c r="S47" s="69"/>
      <c r="T47" s="69"/>
      <c r="U47" s="69"/>
      <c r="V47" s="69"/>
      <c r="W47" s="69"/>
      <c r="X47" s="69">
        <f>+SUM(X48:X49)</f>
        <v>0</v>
      </c>
      <c r="Y47" s="379">
        <v>0</v>
      </c>
      <c r="Z47" s="381">
        <v>0</v>
      </c>
      <c r="AA47" s="381">
        <f>SUMIFS([1]!Data_BS[Value],[1]!Data_BS[Index BS],DTRVL!$B47,[1]!Data_BS[TenCongTyID],DTRVL!$B$1,[1]!Data_BS[Thang.Nam],DTRVL!AA$5)</f>
        <v>0</v>
      </c>
      <c r="AB47" s="381">
        <f>SUMIFS([1]!Data_BS[Value],[1]!Data_BS[Index BS],DTRVL!$B47,[1]!Data_BS[TenCongTyID],DTRVL!$B$1,[1]!Data_BS[Thang.Nam],DTRVL!AB$5)</f>
        <v>0</v>
      </c>
      <c r="AC47" s="381">
        <f>SUMIFS([1]!Data_BS[Value],[1]!Data_BS[Index BS],DTRVL!$B47,[1]!Data_BS[TenCongTyID],DTRVL!$B$1,[1]!Data_BS[Thang.Nam],DTRVL!AC$5)</f>
        <v>0</v>
      </c>
      <c r="AD47" s="381">
        <f>SUMIFS([1]!Data_BS[Value],[1]!Data_BS[Index BS],DTRVL!$B47,[1]!Data_BS[TenCongTyID],DTRVL!$B$1,[1]!Data_BS[Thang.Nam],DTRVL!AD$5)</f>
        <v>0</v>
      </c>
      <c r="AE47" s="381">
        <f>SUMIFS([1]!Data_BS[Value],[1]!Data_BS[Index BS],DTRVL!$B47,[1]!Data_BS[TenCongTyID],DTRVL!$B$1,[1]!Data_BS[Thang.Nam],DTRVL!AE$5)</f>
        <v>0</v>
      </c>
      <c r="AF47" s="381">
        <f>SUMIFS([1]!Data_BS[Value],[1]!Data_BS[Index BS],DTRVL!$B47,[1]!Data_BS[TenCongTyID],DTRVL!$B$1,[1]!Data_BS[Thang.Nam],DTRVL!AF$5)</f>
        <v>0</v>
      </c>
      <c r="AG47" s="381">
        <f>SUMIFS([1]!Data_BS[Value],[1]!Data_BS[Index BS],DTRVL!$B47,[1]!Data_BS[TenCongTyID],DTRVL!$B$1,[1]!Data_BS[Thang.Nam],DTRVL!AG$5)</f>
        <v>0</v>
      </c>
      <c r="AH47" s="381">
        <f>SUMIFS([1]!Data_BS[Value],[1]!Data_BS[Index BS],DTRVL!$B47,[1]!Data_BS[TenCongTyID],DTRVL!$B$1,[1]!Data_BS[Thang.Nam],DTRVL!AH$5)</f>
        <v>0</v>
      </c>
      <c r="AI47" s="381">
        <f>SUMIFS([1]!Data_BS[Value],[1]!Data_BS[Index BS],DTRVL!$B47,[1]!Data_BS[TenCongTyID],DTRVL!$B$1,[1]!Data_BS[Thang.Nam],DTRVL!AI$5)</f>
        <v>0</v>
      </c>
      <c r="AJ47" s="381">
        <f>SUMIFS([1]!Data_BS[Value],[1]!Data_BS[Index BS],DTRVL!$B47,[1]!Data_BS[TenCongTyID],DTRVL!$B$1,[1]!Data_BS[Thang.Nam],DTRVL!AJ$5)</f>
        <v>0</v>
      </c>
      <c r="AK47" s="381">
        <f>SUMIFS([1]!Data_BS[Value],[1]!Data_BS[Index BS],DTRVL!$B47,[1]!Data_BS[TenCongTyID],DTRVL!$B$1,[1]!Data_BS[Thang.Nam],DTRVL!AK$5)</f>
        <v>0</v>
      </c>
      <c r="AL47" s="381">
        <f>SUMIFS([1]!Data_BS[Value],[1]!Data_BS[Index BS],DTRVL!$B47,[1]!Data_BS[TenCongTyID],DTRVL!$B$1,[1]!Data_BS[Thang.Nam],DTRVL!AL$5)</f>
        <v>0</v>
      </c>
    </row>
    <row r="48" spans="1:38" ht="15" hidden="1" customHeight="1" outlineLevel="1">
      <c r="A48" s="73" t="s">
        <v>132</v>
      </c>
      <c r="B48" s="63">
        <v>43</v>
      </c>
      <c r="C48" s="64"/>
      <c r="D48" s="69"/>
      <c r="E48" s="69"/>
      <c r="F48" s="379"/>
      <c r="G48" s="69"/>
      <c r="H48" s="69">
        <v>0</v>
      </c>
      <c r="I48" s="69"/>
      <c r="J48" s="69"/>
      <c r="K48" s="69"/>
      <c r="L48" s="69"/>
      <c r="M48" s="379"/>
      <c r="N48" s="85"/>
      <c r="O48" s="64"/>
      <c r="P48" s="69"/>
      <c r="Q48" s="69"/>
      <c r="R48" s="379"/>
      <c r="S48" s="69"/>
      <c r="T48" s="69"/>
      <c r="U48" s="69"/>
      <c r="V48" s="69"/>
      <c r="W48" s="69"/>
      <c r="X48" s="69"/>
      <c r="Y48" s="379"/>
      <c r="Z48" s="381">
        <v>0</v>
      </c>
      <c r="AA48" s="381">
        <f>SUMIFS([1]!Data_BS[Value],[1]!Data_BS[Index BS],DTRVL!$B48,[1]!Data_BS[TenCongTyID],DTRVL!$B$1,[1]!Data_BS[Thang.Nam],DTRVL!AA$5)</f>
        <v>0</v>
      </c>
      <c r="AB48" s="381">
        <f>SUMIFS([1]!Data_BS[Value],[1]!Data_BS[Index BS],DTRVL!$B48,[1]!Data_BS[TenCongTyID],DTRVL!$B$1,[1]!Data_BS[Thang.Nam],DTRVL!AB$5)</f>
        <v>0</v>
      </c>
      <c r="AC48" s="381">
        <f>SUMIFS([1]!Data_BS[Value],[1]!Data_BS[Index BS],DTRVL!$B48,[1]!Data_BS[TenCongTyID],DTRVL!$B$1,[1]!Data_BS[Thang.Nam],DTRVL!AC$5)</f>
        <v>0</v>
      </c>
      <c r="AD48" s="381">
        <f>SUMIFS([1]!Data_BS[Value],[1]!Data_BS[Index BS],DTRVL!$B48,[1]!Data_BS[TenCongTyID],DTRVL!$B$1,[1]!Data_BS[Thang.Nam],DTRVL!AD$5)</f>
        <v>0</v>
      </c>
      <c r="AE48" s="381">
        <f>SUMIFS([1]!Data_BS[Value],[1]!Data_BS[Index BS],DTRVL!$B48,[1]!Data_BS[TenCongTyID],DTRVL!$B$1,[1]!Data_BS[Thang.Nam],DTRVL!AE$5)</f>
        <v>0</v>
      </c>
      <c r="AF48" s="381">
        <f>SUMIFS([1]!Data_BS[Value],[1]!Data_BS[Index BS],DTRVL!$B48,[1]!Data_BS[TenCongTyID],DTRVL!$B$1,[1]!Data_BS[Thang.Nam],DTRVL!AF$5)</f>
        <v>0</v>
      </c>
      <c r="AG48" s="381">
        <f>SUMIFS([1]!Data_BS[Value],[1]!Data_BS[Index BS],DTRVL!$B48,[1]!Data_BS[TenCongTyID],DTRVL!$B$1,[1]!Data_BS[Thang.Nam],DTRVL!AG$5)</f>
        <v>0</v>
      </c>
      <c r="AH48" s="381">
        <f>SUMIFS([1]!Data_BS[Value],[1]!Data_BS[Index BS],DTRVL!$B48,[1]!Data_BS[TenCongTyID],DTRVL!$B$1,[1]!Data_BS[Thang.Nam],DTRVL!AH$5)</f>
        <v>0</v>
      </c>
      <c r="AI48" s="381">
        <f>SUMIFS([1]!Data_BS[Value],[1]!Data_BS[Index BS],DTRVL!$B48,[1]!Data_BS[TenCongTyID],DTRVL!$B$1,[1]!Data_BS[Thang.Nam],DTRVL!AI$5)</f>
        <v>0</v>
      </c>
      <c r="AJ48" s="381">
        <f>SUMIFS([1]!Data_BS[Value],[1]!Data_BS[Index BS],DTRVL!$B48,[1]!Data_BS[TenCongTyID],DTRVL!$B$1,[1]!Data_BS[Thang.Nam],DTRVL!AJ$5)</f>
        <v>0</v>
      </c>
      <c r="AK48" s="381">
        <f>SUMIFS([1]!Data_BS[Value],[1]!Data_BS[Index BS],DTRVL!$B48,[1]!Data_BS[TenCongTyID],DTRVL!$B$1,[1]!Data_BS[Thang.Nam],DTRVL!AK$5)</f>
        <v>0</v>
      </c>
      <c r="AL48" s="381">
        <f>SUMIFS([1]!Data_BS[Value],[1]!Data_BS[Index BS],DTRVL!$B48,[1]!Data_BS[TenCongTyID],DTRVL!$B$1,[1]!Data_BS[Thang.Nam],DTRVL!AL$5)</f>
        <v>0</v>
      </c>
    </row>
    <row r="49" spans="1:38" ht="15" hidden="1" customHeight="1" outlineLevel="1">
      <c r="A49" s="73" t="s">
        <v>133</v>
      </c>
      <c r="B49" s="63">
        <v>44</v>
      </c>
      <c r="C49" s="64"/>
      <c r="D49" s="69"/>
      <c r="E49" s="69"/>
      <c r="F49" s="379"/>
      <c r="G49" s="69"/>
      <c r="H49" s="69">
        <v>0</v>
      </c>
      <c r="I49" s="69"/>
      <c r="J49" s="69"/>
      <c r="K49" s="69"/>
      <c r="L49" s="69"/>
      <c r="M49" s="379"/>
      <c r="N49" s="85"/>
      <c r="O49" s="64"/>
      <c r="P49" s="69"/>
      <c r="Q49" s="69"/>
      <c r="R49" s="379"/>
      <c r="S49" s="69"/>
      <c r="T49" s="69"/>
      <c r="U49" s="69"/>
      <c r="V49" s="69"/>
      <c r="W49" s="69"/>
      <c r="X49" s="69"/>
      <c r="Y49" s="379"/>
      <c r="Z49" s="381">
        <v>0</v>
      </c>
      <c r="AA49" s="381">
        <f>SUMIFS([1]!Data_BS[Value],[1]!Data_BS[Index BS],DTRVL!$B49,[1]!Data_BS[TenCongTyID],DTRVL!$B$1,[1]!Data_BS[Thang.Nam],DTRVL!AA$5)</f>
        <v>0</v>
      </c>
      <c r="AB49" s="381">
        <f>SUMIFS([1]!Data_BS[Value],[1]!Data_BS[Index BS],DTRVL!$B49,[1]!Data_BS[TenCongTyID],DTRVL!$B$1,[1]!Data_BS[Thang.Nam],DTRVL!AB$5)</f>
        <v>0</v>
      </c>
      <c r="AC49" s="381">
        <f>SUMIFS([1]!Data_BS[Value],[1]!Data_BS[Index BS],DTRVL!$B49,[1]!Data_BS[TenCongTyID],DTRVL!$B$1,[1]!Data_BS[Thang.Nam],DTRVL!AC$5)</f>
        <v>0</v>
      </c>
      <c r="AD49" s="381">
        <f>SUMIFS([1]!Data_BS[Value],[1]!Data_BS[Index BS],DTRVL!$B49,[1]!Data_BS[TenCongTyID],DTRVL!$B$1,[1]!Data_BS[Thang.Nam],DTRVL!AD$5)</f>
        <v>0</v>
      </c>
      <c r="AE49" s="381">
        <f>SUMIFS([1]!Data_BS[Value],[1]!Data_BS[Index BS],DTRVL!$B49,[1]!Data_BS[TenCongTyID],DTRVL!$B$1,[1]!Data_BS[Thang.Nam],DTRVL!AE$5)</f>
        <v>0</v>
      </c>
      <c r="AF49" s="381">
        <f>SUMIFS([1]!Data_BS[Value],[1]!Data_BS[Index BS],DTRVL!$B49,[1]!Data_BS[TenCongTyID],DTRVL!$B$1,[1]!Data_BS[Thang.Nam],DTRVL!AF$5)</f>
        <v>0</v>
      </c>
      <c r="AG49" s="381">
        <f>SUMIFS([1]!Data_BS[Value],[1]!Data_BS[Index BS],DTRVL!$B49,[1]!Data_BS[TenCongTyID],DTRVL!$B$1,[1]!Data_BS[Thang.Nam],DTRVL!AG$5)</f>
        <v>0</v>
      </c>
      <c r="AH49" s="381">
        <f>SUMIFS([1]!Data_BS[Value],[1]!Data_BS[Index BS],DTRVL!$B49,[1]!Data_BS[TenCongTyID],DTRVL!$B$1,[1]!Data_BS[Thang.Nam],DTRVL!AH$5)</f>
        <v>0</v>
      </c>
      <c r="AI49" s="381">
        <f>SUMIFS([1]!Data_BS[Value],[1]!Data_BS[Index BS],DTRVL!$B49,[1]!Data_BS[TenCongTyID],DTRVL!$B$1,[1]!Data_BS[Thang.Nam],DTRVL!AI$5)</f>
        <v>0</v>
      </c>
      <c r="AJ49" s="381">
        <f>SUMIFS([1]!Data_BS[Value],[1]!Data_BS[Index BS],DTRVL!$B49,[1]!Data_BS[TenCongTyID],DTRVL!$B$1,[1]!Data_BS[Thang.Nam],DTRVL!AJ$5)</f>
        <v>0</v>
      </c>
      <c r="AK49" s="381">
        <f>SUMIFS([1]!Data_BS[Value],[1]!Data_BS[Index BS],DTRVL!$B49,[1]!Data_BS[TenCongTyID],DTRVL!$B$1,[1]!Data_BS[Thang.Nam],DTRVL!AK$5)</f>
        <v>0</v>
      </c>
      <c r="AL49" s="381">
        <f>SUMIFS([1]!Data_BS[Value],[1]!Data_BS[Index BS],DTRVL!$B49,[1]!Data_BS[TenCongTyID],DTRVL!$B$1,[1]!Data_BS[Thang.Nam],DTRVL!AL$5)</f>
        <v>0</v>
      </c>
    </row>
    <row r="50" spans="1:38" ht="15" hidden="1" customHeight="1" outlineLevel="1">
      <c r="A50" s="72" t="s">
        <v>134</v>
      </c>
      <c r="B50" s="65">
        <v>45</v>
      </c>
      <c r="C50" s="64"/>
      <c r="D50" s="69"/>
      <c r="E50" s="69"/>
      <c r="F50" s="379"/>
      <c r="G50" s="69"/>
      <c r="H50" s="69">
        <v>0</v>
      </c>
      <c r="I50" s="69"/>
      <c r="J50" s="69"/>
      <c r="K50" s="69"/>
      <c r="L50" s="69"/>
      <c r="M50" s="379"/>
      <c r="N50" s="85"/>
      <c r="O50" s="64"/>
      <c r="P50" s="69"/>
      <c r="Q50" s="69"/>
      <c r="R50" s="379"/>
      <c r="S50" s="69"/>
      <c r="T50" s="69"/>
      <c r="U50" s="69"/>
      <c r="V50" s="69"/>
      <c r="W50" s="69"/>
      <c r="X50" s="69"/>
      <c r="Y50" s="379">
        <v>0</v>
      </c>
      <c r="Z50" s="381">
        <v>0</v>
      </c>
      <c r="AA50" s="381">
        <f>SUMIFS([1]!Data_BS[Value],[1]!Data_BS[Index BS],DTRVL!$B50,[1]!Data_BS[TenCongTyID],DTRVL!$B$1,[1]!Data_BS[Thang.Nam],DTRVL!AA$5)</f>
        <v>0</v>
      </c>
      <c r="AB50" s="381">
        <f>SUMIFS([1]!Data_BS[Value],[1]!Data_BS[Index BS],DTRVL!$B50,[1]!Data_BS[TenCongTyID],DTRVL!$B$1,[1]!Data_BS[Thang.Nam],DTRVL!AB$5)</f>
        <v>0</v>
      </c>
      <c r="AC50" s="381">
        <f>SUMIFS([1]!Data_BS[Value],[1]!Data_BS[Index BS],DTRVL!$B50,[1]!Data_BS[TenCongTyID],DTRVL!$B$1,[1]!Data_BS[Thang.Nam],DTRVL!AC$5)</f>
        <v>0</v>
      </c>
      <c r="AD50" s="381">
        <f>SUMIFS([1]!Data_BS[Value],[1]!Data_BS[Index BS],DTRVL!$B50,[1]!Data_BS[TenCongTyID],DTRVL!$B$1,[1]!Data_BS[Thang.Nam],DTRVL!AD$5)</f>
        <v>0</v>
      </c>
      <c r="AE50" s="381">
        <f>SUMIFS([1]!Data_BS[Value],[1]!Data_BS[Index BS],DTRVL!$B50,[1]!Data_BS[TenCongTyID],DTRVL!$B$1,[1]!Data_BS[Thang.Nam],DTRVL!AE$5)</f>
        <v>0</v>
      </c>
      <c r="AF50" s="381">
        <f>SUMIFS([1]!Data_BS[Value],[1]!Data_BS[Index BS],DTRVL!$B50,[1]!Data_BS[TenCongTyID],DTRVL!$B$1,[1]!Data_BS[Thang.Nam],DTRVL!AF$5)</f>
        <v>0</v>
      </c>
      <c r="AG50" s="381">
        <f>SUMIFS([1]!Data_BS[Value],[1]!Data_BS[Index BS],DTRVL!$B50,[1]!Data_BS[TenCongTyID],DTRVL!$B$1,[1]!Data_BS[Thang.Nam],DTRVL!AG$5)</f>
        <v>0</v>
      </c>
      <c r="AH50" s="381">
        <f>SUMIFS([1]!Data_BS[Value],[1]!Data_BS[Index BS],DTRVL!$B50,[1]!Data_BS[TenCongTyID],DTRVL!$B$1,[1]!Data_BS[Thang.Nam],DTRVL!AH$5)</f>
        <v>0</v>
      </c>
      <c r="AI50" s="381">
        <f>SUMIFS([1]!Data_BS[Value],[1]!Data_BS[Index BS],DTRVL!$B50,[1]!Data_BS[TenCongTyID],DTRVL!$B$1,[1]!Data_BS[Thang.Nam],DTRVL!AI$5)</f>
        <v>0</v>
      </c>
      <c r="AJ50" s="381">
        <f>SUMIFS([1]!Data_BS[Value],[1]!Data_BS[Index BS],DTRVL!$B50,[1]!Data_BS[TenCongTyID],DTRVL!$B$1,[1]!Data_BS[Thang.Nam],DTRVL!AJ$5)</f>
        <v>0</v>
      </c>
      <c r="AK50" s="381">
        <f>SUMIFS([1]!Data_BS[Value],[1]!Data_BS[Index BS],DTRVL!$B50,[1]!Data_BS[TenCongTyID],DTRVL!$B$1,[1]!Data_BS[Thang.Nam],DTRVL!AK$5)</f>
        <v>0</v>
      </c>
      <c r="AL50" s="381">
        <f>SUMIFS([1]!Data_BS[Value],[1]!Data_BS[Index BS],DTRVL!$B50,[1]!Data_BS[TenCongTyID],DTRVL!$B$1,[1]!Data_BS[Thang.Nam],DTRVL!AL$5)</f>
        <v>0</v>
      </c>
    </row>
    <row r="51" spans="1:38" ht="15" hidden="1" customHeight="1" outlineLevel="1">
      <c r="A51" s="73" t="s">
        <v>135</v>
      </c>
      <c r="B51" s="63">
        <v>46</v>
      </c>
      <c r="C51" s="64"/>
      <c r="D51" s="69"/>
      <c r="E51" s="69"/>
      <c r="F51" s="379"/>
      <c r="G51" s="69"/>
      <c r="H51" s="69">
        <v>0</v>
      </c>
      <c r="I51" s="69"/>
      <c r="J51" s="69"/>
      <c r="K51" s="69"/>
      <c r="L51" s="69"/>
      <c r="M51" s="379"/>
      <c r="N51" s="85"/>
      <c r="O51" s="64"/>
      <c r="P51" s="69"/>
      <c r="Q51" s="69"/>
      <c r="R51" s="379"/>
      <c r="S51" s="69"/>
      <c r="T51" s="69"/>
      <c r="U51" s="69"/>
      <c r="V51" s="69"/>
      <c r="W51" s="69"/>
      <c r="X51" s="69"/>
      <c r="Y51" s="379"/>
      <c r="Z51" s="381">
        <v>0</v>
      </c>
      <c r="AA51" s="381">
        <f>SUMIFS([1]!Data_BS[Value],[1]!Data_BS[Index BS],DTRVL!$B51,[1]!Data_BS[TenCongTyID],DTRVL!$B$1,[1]!Data_BS[Thang.Nam],DTRVL!AA$5)</f>
        <v>0</v>
      </c>
      <c r="AB51" s="381">
        <f>SUMIFS([1]!Data_BS[Value],[1]!Data_BS[Index BS],DTRVL!$B51,[1]!Data_BS[TenCongTyID],DTRVL!$B$1,[1]!Data_BS[Thang.Nam],DTRVL!AB$5)</f>
        <v>0</v>
      </c>
      <c r="AC51" s="381">
        <f>SUMIFS([1]!Data_BS[Value],[1]!Data_BS[Index BS],DTRVL!$B51,[1]!Data_BS[TenCongTyID],DTRVL!$B$1,[1]!Data_BS[Thang.Nam],DTRVL!AC$5)</f>
        <v>0</v>
      </c>
      <c r="AD51" s="381">
        <f>SUMIFS([1]!Data_BS[Value],[1]!Data_BS[Index BS],DTRVL!$B51,[1]!Data_BS[TenCongTyID],DTRVL!$B$1,[1]!Data_BS[Thang.Nam],DTRVL!AD$5)</f>
        <v>0</v>
      </c>
      <c r="AE51" s="381">
        <f>SUMIFS([1]!Data_BS[Value],[1]!Data_BS[Index BS],DTRVL!$B51,[1]!Data_BS[TenCongTyID],DTRVL!$B$1,[1]!Data_BS[Thang.Nam],DTRVL!AE$5)</f>
        <v>0</v>
      </c>
      <c r="AF51" s="381">
        <f>SUMIFS([1]!Data_BS[Value],[1]!Data_BS[Index BS],DTRVL!$B51,[1]!Data_BS[TenCongTyID],DTRVL!$B$1,[1]!Data_BS[Thang.Nam],DTRVL!AF$5)</f>
        <v>0</v>
      </c>
      <c r="AG51" s="381">
        <f>SUMIFS([1]!Data_BS[Value],[1]!Data_BS[Index BS],DTRVL!$B51,[1]!Data_BS[TenCongTyID],DTRVL!$B$1,[1]!Data_BS[Thang.Nam],DTRVL!AG$5)</f>
        <v>0</v>
      </c>
      <c r="AH51" s="381">
        <f>SUMIFS([1]!Data_BS[Value],[1]!Data_BS[Index BS],DTRVL!$B51,[1]!Data_BS[TenCongTyID],DTRVL!$B$1,[1]!Data_BS[Thang.Nam],DTRVL!AH$5)</f>
        <v>0</v>
      </c>
      <c r="AI51" s="381">
        <f>SUMIFS([1]!Data_BS[Value],[1]!Data_BS[Index BS],DTRVL!$B51,[1]!Data_BS[TenCongTyID],DTRVL!$B$1,[1]!Data_BS[Thang.Nam],DTRVL!AI$5)</f>
        <v>0</v>
      </c>
      <c r="AJ51" s="381">
        <f>SUMIFS([1]!Data_BS[Value],[1]!Data_BS[Index BS],DTRVL!$B51,[1]!Data_BS[TenCongTyID],DTRVL!$B$1,[1]!Data_BS[Thang.Nam],DTRVL!AJ$5)</f>
        <v>0</v>
      </c>
      <c r="AK51" s="381">
        <f>SUMIFS([1]!Data_BS[Value],[1]!Data_BS[Index BS],DTRVL!$B51,[1]!Data_BS[TenCongTyID],DTRVL!$B$1,[1]!Data_BS[Thang.Nam],DTRVL!AK$5)</f>
        <v>0</v>
      </c>
      <c r="AL51" s="381">
        <f>SUMIFS([1]!Data_BS[Value],[1]!Data_BS[Index BS],DTRVL!$B51,[1]!Data_BS[TenCongTyID],DTRVL!$B$1,[1]!Data_BS[Thang.Nam],DTRVL!AL$5)</f>
        <v>0</v>
      </c>
    </row>
    <row r="52" spans="1:38" ht="15" hidden="1" customHeight="1" outlineLevel="1">
      <c r="A52" s="73" t="s">
        <v>136</v>
      </c>
      <c r="B52" s="63">
        <v>47</v>
      </c>
      <c r="C52" s="64"/>
      <c r="D52" s="69"/>
      <c r="E52" s="69"/>
      <c r="F52" s="379"/>
      <c r="G52" s="69"/>
      <c r="H52" s="69">
        <v>0</v>
      </c>
      <c r="I52" s="69"/>
      <c r="J52" s="69"/>
      <c r="K52" s="69"/>
      <c r="L52" s="69"/>
      <c r="M52" s="379"/>
      <c r="N52" s="85"/>
      <c r="O52" s="64"/>
      <c r="P52" s="69"/>
      <c r="Q52" s="69"/>
      <c r="R52" s="379"/>
      <c r="S52" s="69"/>
      <c r="T52" s="69"/>
      <c r="U52" s="69"/>
      <c r="V52" s="69"/>
      <c r="W52" s="69"/>
      <c r="X52" s="69"/>
      <c r="Y52" s="379"/>
      <c r="Z52" s="381">
        <v>0</v>
      </c>
      <c r="AA52" s="381">
        <f>SUMIFS([1]!Data_BS[Value],[1]!Data_BS[Index BS],DTRVL!$B52,[1]!Data_BS[TenCongTyID],DTRVL!$B$1,[1]!Data_BS[Thang.Nam],DTRVL!AA$5)</f>
        <v>0</v>
      </c>
      <c r="AB52" s="381">
        <f>SUMIFS([1]!Data_BS[Value],[1]!Data_BS[Index BS],DTRVL!$B52,[1]!Data_BS[TenCongTyID],DTRVL!$B$1,[1]!Data_BS[Thang.Nam],DTRVL!AB$5)</f>
        <v>0</v>
      </c>
      <c r="AC52" s="381">
        <f>SUMIFS([1]!Data_BS[Value],[1]!Data_BS[Index BS],DTRVL!$B52,[1]!Data_BS[TenCongTyID],DTRVL!$B$1,[1]!Data_BS[Thang.Nam],DTRVL!AC$5)</f>
        <v>0</v>
      </c>
      <c r="AD52" s="381">
        <f>SUMIFS([1]!Data_BS[Value],[1]!Data_BS[Index BS],DTRVL!$B52,[1]!Data_BS[TenCongTyID],DTRVL!$B$1,[1]!Data_BS[Thang.Nam],DTRVL!AD$5)</f>
        <v>0</v>
      </c>
      <c r="AE52" s="381">
        <f>SUMIFS([1]!Data_BS[Value],[1]!Data_BS[Index BS],DTRVL!$B52,[1]!Data_BS[TenCongTyID],DTRVL!$B$1,[1]!Data_BS[Thang.Nam],DTRVL!AE$5)</f>
        <v>0</v>
      </c>
      <c r="AF52" s="381">
        <f>SUMIFS([1]!Data_BS[Value],[1]!Data_BS[Index BS],DTRVL!$B52,[1]!Data_BS[TenCongTyID],DTRVL!$B$1,[1]!Data_BS[Thang.Nam],DTRVL!AF$5)</f>
        <v>0</v>
      </c>
      <c r="AG52" s="381">
        <f>SUMIFS([1]!Data_BS[Value],[1]!Data_BS[Index BS],DTRVL!$B52,[1]!Data_BS[TenCongTyID],DTRVL!$B$1,[1]!Data_BS[Thang.Nam],DTRVL!AG$5)</f>
        <v>0</v>
      </c>
      <c r="AH52" s="381">
        <f>SUMIFS([1]!Data_BS[Value],[1]!Data_BS[Index BS],DTRVL!$B52,[1]!Data_BS[TenCongTyID],DTRVL!$B$1,[1]!Data_BS[Thang.Nam],DTRVL!AH$5)</f>
        <v>0</v>
      </c>
      <c r="AI52" s="381">
        <f>SUMIFS([1]!Data_BS[Value],[1]!Data_BS[Index BS],DTRVL!$B52,[1]!Data_BS[TenCongTyID],DTRVL!$B$1,[1]!Data_BS[Thang.Nam],DTRVL!AI$5)</f>
        <v>0</v>
      </c>
      <c r="AJ52" s="381">
        <f>SUMIFS([1]!Data_BS[Value],[1]!Data_BS[Index BS],DTRVL!$B52,[1]!Data_BS[TenCongTyID],DTRVL!$B$1,[1]!Data_BS[Thang.Nam],DTRVL!AJ$5)</f>
        <v>0</v>
      </c>
      <c r="AK52" s="381">
        <f>SUMIFS([1]!Data_BS[Value],[1]!Data_BS[Index BS],DTRVL!$B52,[1]!Data_BS[TenCongTyID],DTRVL!$B$1,[1]!Data_BS[Thang.Nam],DTRVL!AK$5)</f>
        <v>0</v>
      </c>
      <c r="AL52" s="381">
        <f>SUMIFS([1]!Data_BS[Value],[1]!Data_BS[Index BS],DTRVL!$B52,[1]!Data_BS[TenCongTyID],DTRVL!$B$1,[1]!Data_BS[Thang.Nam],DTRVL!AL$5)</f>
        <v>0</v>
      </c>
    </row>
    <row r="53" spans="1:38" ht="15" hidden="1" customHeight="1" outlineLevel="1">
      <c r="A53" s="72" t="s">
        <v>137</v>
      </c>
      <c r="B53" s="65">
        <v>48</v>
      </c>
      <c r="C53" s="64">
        <f t="shared" ref="C53:I53" si="6">+SUM(C54:C55)</f>
        <v>0</v>
      </c>
      <c r="D53" s="69">
        <f t="shared" si="6"/>
        <v>0</v>
      </c>
      <c r="E53" s="69">
        <f t="shared" si="6"/>
        <v>0</v>
      </c>
      <c r="F53" s="379">
        <f t="shared" si="6"/>
        <v>0</v>
      </c>
      <c r="G53" s="69">
        <f t="shared" si="6"/>
        <v>0</v>
      </c>
      <c r="H53" s="69">
        <v>0</v>
      </c>
      <c r="I53" s="69">
        <f t="shared" si="6"/>
        <v>0</v>
      </c>
      <c r="J53" s="69"/>
      <c r="K53" s="69"/>
      <c r="L53" s="69"/>
      <c r="M53" s="379"/>
      <c r="N53" s="85"/>
      <c r="O53" s="64"/>
      <c r="P53" s="69"/>
      <c r="Q53" s="69"/>
      <c r="R53" s="379"/>
      <c r="S53" s="69"/>
      <c r="T53" s="69"/>
      <c r="U53" s="69"/>
      <c r="V53" s="69"/>
      <c r="W53" s="69"/>
      <c r="X53" s="69">
        <f>+SUM(X54:X55)</f>
        <v>0</v>
      </c>
      <c r="Y53" s="379">
        <v>0</v>
      </c>
      <c r="Z53" s="381">
        <v>0</v>
      </c>
      <c r="AA53" s="381">
        <f>SUMIFS([1]!Data_BS[Value],[1]!Data_BS[Index BS],DTRVL!$B53,[1]!Data_BS[TenCongTyID],DTRVL!$B$1,[1]!Data_BS[Thang.Nam],DTRVL!AA$5)</f>
        <v>0</v>
      </c>
      <c r="AB53" s="381">
        <f>SUMIFS([1]!Data_BS[Value],[1]!Data_BS[Index BS],DTRVL!$B53,[1]!Data_BS[TenCongTyID],DTRVL!$B$1,[1]!Data_BS[Thang.Nam],DTRVL!AB$5)</f>
        <v>0</v>
      </c>
      <c r="AC53" s="381">
        <f>SUMIFS([1]!Data_BS[Value],[1]!Data_BS[Index BS],DTRVL!$B53,[1]!Data_BS[TenCongTyID],DTRVL!$B$1,[1]!Data_BS[Thang.Nam],DTRVL!AC$5)</f>
        <v>0</v>
      </c>
      <c r="AD53" s="381">
        <f>SUMIFS([1]!Data_BS[Value],[1]!Data_BS[Index BS],DTRVL!$B53,[1]!Data_BS[TenCongTyID],DTRVL!$B$1,[1]!Data_BS[Thang.Nam],DTRVL!AD$5)</f>
        <v>0</v>
      </c>
      <c r="AE53" s="381">
        <f>SUMIFS([1]!Data_BS[Value],[1]!Data_BS[Index BS],DTRVL!$B53,[1]!Data_BS[TenCongTyID],DTRVL!$B$1,[1]!Data_BS[Thang.Nam],DTRVL!AE$5)</f>
        <v>0</v>
      </c>
      <c r="AF53" s="381">
        <f>SUMIFS([1]!Data_BS[Value],[1]!Data_BS[Index BS],DTRVL!$B53,[1]!Data_BS[TenCongTyID],DTRVL!$B$1,[1]!Data_BS[Thang.Nam],DTRVL!AF$5)</f>
        <v>0</v>
      </c>
      <c r="AG53" s="381">
        <f>SUMIFS([1]!Data_BS[Value],[1]!Data_BS[Index BS],DTRVL!$B53,[1]!Data_BS[TenCongTyID],DTRVL!$B$1,[1]!Data_BS[Thang.Nam],DTRVL!AG$5)</f>
        <v>0</v>
      </c>
      <c r="AH53" s="381">
        <f>SUMIFS([1]!Data_BS[Value],[1]!Data_BS[Index BS],DTRVL!$B53,[1]!Data_BS[TenCongTyID],DTRVL!$B$1,[1]!Data_BS[Thang.Nam],DTRVL!AH$5)</f>
        <v>0</v>
      </c>
      <c r="AI53" s="381">
        <f>SUMIFS([1]!Data_BS[Value],[1]!Data_BS[Index BS],DTRVL!$B53,[1]!Data_BS[TenCongTyID],DTRVL!$B$1,[1]!Data_BS[Thang.Nam],DTRVL!AI$5)</f>
        <v>0</v>
      </c>
      <c r="AJ53" s="381">
        <f>SUMIFS([1]!Data_BS[Value],[1]!Data_BS[Index BS],DTRVL!$B53,[1]!Data_BS[TenCongTyID],DTRVL!$B$1,[1]!Data_BS[Thang.Nam],DTRVL!AJ$5)</f>
        <v>0</v>
      </c>
      <c r="AK53" s="381">
        <f>SUMIFS([1]!Data_BS[Value],[1]!Data_BS[Index BS],DTRVL!$B53,[1]!Data_BS[TenCongTyID],DTRVL!$B$1,[1]!Data_BS[Thang.Nam],DTRVL!AK$5)</f>
        <v>0</v>
      </c>
      <c r="AL53" s="381">
        <f>SUMIFS([1]!Data_BS[Value],[1]!Data_BS[Index BS],DTRVL!$B53,[1]!Data_BS[TenCongTyID],DTRVL!$B$1,[1]!Data_BS[Thang.Nam],DTRVL!AL$5)</f>
        <v>0</v>
      </c>
    </row>
    <row r="54" spans="1:38" ht="15" hidden="1" customHeight="1" outlineLevel="1">
      <c r="A54" s="73" t="s">
        <v>138</v>
      </c>
      <c r="B54" s="63">
        <v>49</v>
      </c>
      <c r="C54" s="64"/>
      <c r="D54" s="69"/>
      <c r="E54" s="69"/>
      <c r="F54" s="379"/>
      <c r="G54" s="69"/>
      <c r="H54" s="69">
        <v>0</v>
      </c>
      <c r="I54" s="69"/>
      <c r="J54" s="69"/>
      <c r="K54" s="69"/>
      <c r="L54" s="69"/>
      <c r="M54" s="379"/>
      <c r="N54" s="85"/>
      <c r="O54" s="64"/>
      <c r="P54" s="69"/>
      <c r="Q54" s="69"/>
      <c r="R54" s="379"/>
      <c r="S54" s="69"/>
      <c r="T54" s="69"/>
      <c r="U54" s="69"/>
      <c r="V54" s="69"/>
      <c r="W54" s="69"/>
      <c r="X54" s="69"/>
      <c r="Y54" s="379"/>
      <c r="Z54" s="381">
        <v>0</v>
      </c>
      <c r="AA54" s="381">
        <f>SUMIFS([1]!Data_BS[Value],[1]!Data_BS[Index BS],DTRVL!$B54,[1]!Data_BS[TenCongTyID],DTRVL!$B$1,[1]!Data_BS[Thang.Nam],DTRVL!AA$5)</f>
        <v>0</v>
      </c>
      <c r="AB54" s="381">
        <f>SUMIFS([1]!Data_BS[Value],[1]!Data_BS[Index BS],DTRVL!$B54,[1]!Data_BS[TenCongTyID],DTRVL!$B$1,[1]!Data_BS[Thang.Nam],DTRVL!AB$5)</f>
        <v>0</v>
      </c>
      <c r="AC54" s="381">
        <f>SUMIFS([1]!Data_BS[Value],[1]!Data_BS[Index BS],DTRVL!$B54,[1]!Data_BS[TenCongTyID],DTRVL!$B$1,[1]!Data_BS[Thang.Nam],DTRVL!AC$5)</f>
        <v>0</v>
      </c>
      <c r="AD54" s="381">
        <f>SUMIFS([1]!Data_BS[Value],[1]!Data_BS[Index BS],DTRVL!$B54,[1]!Data_BS[TenCongTyID],DTRVL!$B$1,[1]!Data_BS[Thang.Nam],DTRVL!AD$5)</f>
        <v>0</v>
      </c>
      <c r="AE54" s="381">
        <f>SUMIFS([1]!Data_BS[Value],[1]!Data_BS[Index BS],DTRVL!$B54,[1]!Data_BS[TenCongTyID],DTRVL!$B$1,[1]!Data_BS[Thang.Nam],DTRVL!AE$5)</f>
        <v>0</v>
      </c>
      <c r="AF54" s="381">
        <f>SUMIFS([1]!Data_BS[Value],[1]!Data_BS[Index BS],DTRVL!$B54,[1]!Data_BS[TenCongTyID],DTRVL!$B$1,[1]!Data_BS[Thang.Nam],DTRVL!AF$5)</f>
        <v>0</v>
      </c>
      <c r="AG54" s="381">
        <f>SUMIFS([1]!Data_BS[Value],[1]!Data_BS[Index BS],DTRVL!$B54,[1]!Data_BS[TenCongTyID],DTRVL!$B$1,[1]!Data_BS[Thang.Nam],DTRVL!AG$5)</f>
        <v>0</v>
      </c>
      <c r="AH54" s="381">
        <f>SUMIFS([1]!Data_BS[Value],[1]!Data_BS[Index BS],DTRVL!$B54,[1]!Data_BS[TenCongTyID],DTRVL!$B$1,[1]!Data_BS[Thang.Nam],DTRVL!AH$5)</f>
        <v>0</v>
      </c>
      <c r="AI54" s="381">
        <f>SUMIFS([1]!Data_BS[Value],[1]!Data_BS[Index BS],DTRVL!$B54,[1]!Data_BS[TenCongTyID],DTRVL!$B$1,[1]!Data_BS[Thang.Nam],DTRVL!AI$5)</f>
        <v>0</v>
      </c>
      <c r="AJ54" s="381">
        <f>SUMIFS([1]!Data_BS[Value],[1]!Data_BS[Index BS],DTRVL!$B54,[1]!Data_BS[TenCongTyID],DTRVL!$B$1,[1]!Data_BS[Thang.Nam],DTRVL!AJ$5)</f>
        <v>0</v>
      </c>
      <c r="AK54" s="381">
        <f>SUMIFS([1]!Data_BS[Value],[1]!Data_BS[Index BS],DTRVL!$B54,[1]!Data_BS[TenCongTyID],DTRVL!$B$1,[1]!Data_BS[Thang.Nam],DTRVL!AK$5)</f>
        <v>0</v>
      </c>
      <c r="AL54" s="381">
        <f>SUMIFS([1]!Data_BS[Value],[1]!Data_BS[Index BS],DTRVL!$B54,[1]!Data_BS[TenCongTyID],DTRVL!$B$1,[1]!Data_BS[Thang.Nam],DTRVL!AL$5)</f>
        <v>0</v>
      </c>
    </row>
    <row r="55" spans="1:38" ht="15" hidden="1" customHeight="1" outlineLevel="1">
      <c r="A55" s="73" t="s">
        <v>139</v>
      </c>
      <c r="B55" s="63">
        <v>50</v>
      </c>
      <c r="C55" s="64"/>
      <c r="D55" s="69"/>
      <c r="E55" s="69"/>
      <c r="F55" s="379"/>
      <c r="G55" s="69"/>
      <c r="H55" s="69">
        <v>0</v>
      </c>
      <c r="I55" s="69"/>
      <c r="J55" s="69"/>
      <c r="K55" s="69"/>
      <c r="L55" s="69"/>
      <c r="M55" s="379"/>
      <c r="N55" s="85"/>
      <c r="O55" s="64"/>
      <c r="P55" s="69"/>
      <c r="Q55" s="69"/>
      <c r="R55" s="379"/>
      <c r="S55" s="69"/>
      <c r="T55" s="69"/>
      <c r="U55" s="69"/>
      <c r="V55" s="69"/>
      <c r="W55" s="69"/>
      <c r="X55" s="69"/>
      <c r="Y55" s="379"/>
      <c r="Z55" s="381">
        <v>0</v>
      </c>
      <c r="AA55" s="381">
        <f>SUMIFS([1]!Data_BS[Value],[1]!Data_BS[Index BS],DTRVL!$B55,[1]!Data_BS[TenCongTyID],DTRVL!$B$1,[1]!Data_BS[Thang.Nam],DTRVL!AA$5)</f>
        <v>0</v>
      </c>
      <c r="AB55" s="381">
        <f>SUMIFS([1]!Data_BS[Value],[1]!Data_BS[Index BS],DTRVL!$B55,[1]!Data_BS[TenCongTyID],DTRVL!$B$1,[1]!Data_BS[Thang.Nam],DTRVL!AB$5)</f>
        <v>0</v>
      </c>
      <c r="AC55" s="381">
        <f>SUMIFS([1]!Data_BS[Value],[1]!Data_BS[Index BS],DTRVL!$B55,[1]!Data_BS[TenCongTyID],DTRVL!$B$1,[1]!Data_BS[Thang.Nam],DTRVL!AC$5)</f>
        <v>0</v>
      </c>
      <c r="AD55" s="381">
        <f>SUMIFS([1]!Data_BS[Value],[1]!Data_BS[Index BS],DTRVL!$B55,[1]!Data_BS[TenCongTyID],DTRVL!$B$1,[1]!Data_BS[Thang.Nam],DTRVL!AD$5)</f>
        <v>0</v>
      </c>
      <c r="AE55" s="381">
        <f>SUMIFS([1]!Data_BS[Value],[1]!Data_BS[Index BS],DTRVL!$B55,[1]!Data_BS[TenCongTyID],DTRVL!$B$1,[1]!Data_BS[Thang.Nam],DTRVL!AE$5)</f>
        <v>0</v>
      </c>
      <c r="AF55" s="381">
        <f>SUMIFS([1]!Data_BS[Value],[1]!Data_BS[Index BS],DTRVL!$B55,[1]!Data_BS[TenCongTyID],DTRVL!$B$1,[1]!Data_BS[Thang.Nam],DTRVL!AF$5)</f>
        <v>0</v>
      </c>
      <c r="AG55" s="381">
        <f>SUMIFS([1]!Data_BS[Value],[1]!Data_BS[Index BS],DTRVL!$B55,[1]!Data_BS[TenCongTyID],DTRVL!$B$1,[1]!Data_BS[Thang.Nam],DTRVL!AG$5)</f>
        <v>0</v>
      </c>
      <c r="AH55" s="381">
        <f>SUMIFS([1]!Data_BS[Value],[1]!Data_BS[Index BS],DTRVL!$B55,[1]!Data_BS[TenCongTyID],DTRVL!$B$1,[1]!Data_BS[Thang.Nam],DTRVL!AH$5)</f>
        <v>0</v>
      </c>
      <c r="AI55" s="381">
        <f>SUMIFS([1]!Data_BS[Value],[1]!Data_BS[Index BS],DTRVL!$B55,[1]!Data_BS[TenCongTyID],DTRVL!$B$1,[1]!Data_BS[Thang.Nam],DTRVL!AI$5)</f>
        <v>0</v>
      </c>
      <c r="AJ55" s="381">
        <f>SUMIFS([1]!Data_BS[Value],[1]!Data_BS[Index BS],DTRVL!$B55,[1]!Data_BS[TenCongTyID],DTRVL!$B$1,[1]!Data_BS[Thang.Nam],DTRVL!AJ$5)</f>
        <v>0</v>
      </c>
      <c r="AK55" s="381">
        <f>SUMIFS([1]!Data_BS[Value],[1]!Data_BS[Index BS],DTRVL!$B55,[1]!Data_BS[TenCongTyID],DTRVL!$B$1,[1]!Data_BS[Thang.Nam],DTRVL!AK$5)</f>
        <v>0</v>
      </c>
      <c r="AL55" s="381">
        <f>SUMIFS([1]!Data_BS[Value],[1]!Data_BS[Index BS],DTRVL!$B55,[1]!Data_BS[TenCongTyID],DTRVL!$B$1,[1]!Data_BS[Thang.Nam],DTRVL!AL$5)</f>
        <v>0</v>
      </c>
    </row>
    <row r="56" spans="1:38" ht="15" hidden="1" customHeight="1" outlineLevel="1">
      <c r="A56" s="72" t="s">
        <v>140</v>
      </c>
      <c r="B56" s="65">
        <v>51</v>
      </c>
      <c r="C56" s="64"/>
      <c r="D56" s="69"/>
      <c r="E56" s="69"/>
      <c r="F56" s="379"/>
      <c r="G56" s="69"/>
      <c r="H56" s="69"/>
      <c r="I56" s="69"/>
      <c r="J56" s="69"/>
      <c r="K56" s="69"/>
      <c r="L56" s="69"/>
      <c r="M56" s="379"/>
      <c r="N56" s="85"/>
      <c r="O56" s="64"/>
      <c r="P56" s="69"/>
      <c r="Q56" s="69"/>
      <c r="R56" s="379"/>
      <c r="S56" s="69"/>
      <c r="T56" s="69"/>
      <c r="U56" s="69"/>
      <c r="V56" s="69"/>
      <c r="W56" s="69"/>
      <c r="X56" s="69"/>
      <c r="Y56" s="379"/>
      <c r="Z56" s="381">
        <v>0</v>
      </c>
      <c r="AA56" s="381">
        <f>SUMIFS([1]!Data_BS[Value],[1]!Data_BS[Index BS],DTRVL!$B56,[1]!Data_BS[TenCongTyID],DTRVL!$B$1,[1]!Data_BS[Thang.Nam],DTRVL!AA$5)</f>
        <v>0</v>
      </c>
      <c r="AB56" s="381">
        <f>SUMIFS([1]!Data_BS[Value],[1]!Data_BS[Index BS],DTRVL!$B56,[1]!Data_BS[TenCongTyID],DTRVL!$B$1,[1]!Data_BS[Thang.Nam],DTRVL!AB$5)</f>
        <v>0</v>
      </c>
      <c r="AC56" s="381">
        <f>SUMIFS([1]!Data_BS[Value],[1]!Data_BS[Index BS],DTRVL!$B56,[1]!Data_BS[TenCongTyID],DTRVL!$B$1,[1]!Data_BS[Thang.Nam],DTRVL!AC$5)</f>
        <v>0</v>
      </c>
      <c r="AD56" s="381">
        <f>SUMIFS([1]!Data_BS[Value],[1]!Data_BS[Index BS],DTRVL!$B56,[1]!Data_BS[TenCongTyID],DTRVL!$B$1,[1]!Data_BS[Thang.Nam],DTRVL!AD$5)</f>
        <v>0</v>
      </c>
      <c r="AE56" s="381">
        <f>SUMIFS([1]!Data_BS[Value],[1]!Data_BS[Index BS],DTRVL!$B56,[1]!Data_BS[TenCongTyID],DTRVL!$B$1,[1]!Data_BS[Thang.Nam],DTRVL!AE$5)</f>
        <v>0</v>
      </c>
      <c r="AF56" s="381">
        <f>SUMIFS([1]!Data_BS[Value],[1]!Data_BS[Index BS],DTRVL!$B56,[1]!Data_BS[TenCongTyID],DTRVL!$B$1,[1]!Data_BS[Thang.Nam],DTRVL!AF$5)</f>
        <v>0</v>
      </c>
      <c r="AG56" s="381">
        <f>SUMIFS([1]!Data_BS[Value],[1]!Data_BS[Index BS],DTRVL!$B56,[1]!Data_BS[TenCongTyID],DTRVL!$B$1,[1]!Data_BS[Thang.Nam],DTRVL!AG$5)</f>
        <v>0</v>
      </c>
      <c r="AH56" s="381">
        <f>SUMIFS([1]!Data_BS[Value],[1]!Data_BS[Index BS],DTRVL!$B56,[1]!Data_BS[TenCongTyID],DTRVL!$B$1,[1]!Data_BS[Thang.Nam],DTRVL!AH$5)</f>
        <v>0</v>
      </c>
      <c r="AI56" s="381">
        <f>SUMIFS([1]!Data_BS[Value],[1]!Data_BS[Index BS],DTRVL!$B56,[1]!Data_BS[TenCongTyID],DTRVL!$B$1,[1]!Data_BS[Thang.Nam],DTRVL!AI$5)</f>
        <v>0</v>
      </c>
      <c r="AJ56" s="381">
        <f>SUMIFS([1]!Data_BS[Value],[1]!Data_BS[Index BS],DTRVL!$B56,[1]!Data_BS[TenCongTyID],DTRVL!$B$1,[1]!Data_BS[Thang.Nam],DTRVL!AJ$5)</f>
        <v>0</v>
      </c>
      <c r="AK56" s="381">
        <f>SUMIFS([1]!Data_BS[Value],[1]!Data_BS[Index BS],DTRVL!$B56,[1]!Data_BS[TenCongTyID],DTRVL!$B$1,[1]!Data_BS[Thang.Nam],DTRVL!AK$5)</f>
        <v>0</v>
      </c>
      <c r="AL56" s="381">
        <f>SUMIFS([1]!Data_BS[Value],[1]!Data_BS[Index BS],DTRVL!$B56,[1]!Data_BS[TenCongTyID],DTRVL!$B$1,[1]!Data_BS[Thang.Nam],DTRVL!AL$5)</f>
        <v>0</v>
      </c>
    </row>
    <row r="57" spans="1:38" ht="15" hidden="1" customHeight="1" outlineLevel="1">
      <c r="A57" s="73" t="s">
        <v>141</v>
      </c>
      <c r="B57" s="63">
        <v>52</v>
      </c>
      <c r="C57" s="64"/>
      <c r="D57" s="69"/>
      <c r="E57" s="69"/>
      <c r="F57" s="379"/>
      <c r="G57" s="69"/>
      <c r="H57" s="69"/>
      <c r="I57" s="69"/>
      <c r="J57" s="69"/>
      <c r="K57" s="69"/>
      <c r="L57" s="69"/>
      <c r="M57" s="379"/>
      <c r="N57" s="85"/>
      <c r="O57" s="64"/>
      <c r="P57" s="69"/>
      <c r="Q57" s="69"/>
      <c r="R57" s="379"/>
      <c r="S57" s="69"/>
      <c r="T57" s="69"/>
      <c r="U57" s="69"/>
      <c r="V57" s="69"/>
      <c r="W57" s="69"/>
      <c r="X57" s="69"/>
      <c r="Y57" s="379"/>
      <c r="Z57" s="381">
        <v>0</v>
      </c>
      <c r="AA57" s="381">
        <f>SUMIFS([1]!Data_BS[Value],[1]!Data_BS[Index BS],DTRVL!$B57,[1]!Data_BS[TenCongTyID],DTRVL!$B$1,[1]!Data_BS[Thang.Nam],DTRVL!AA$5)</f>
        <v>0</v>
      </c>
      <c r="AB57" s="381">
        <f>SUMIFS([1]!Data_BS[Value],[1]!Data_BS[Index BS],DTRVL!$B57,[1]!Data_BS[TenCongTyID],DTRVL!$B$1,[1]!Data_BS[Thang.Nam],DTRVL!AB$5)</f>
        <v>0</v>
      </c>
      <c r="AC57" s="381">
        <f>SUMIFS([1]!Data_BS[Value],[1]!Data_BS[Index BS],DTRVL!$B57,[1]!Data_BS[TenCongTyID],DTRVL!$B$1,[1]!Data_BS[Thang.Nam],DTRVL!AC$5)</f>
        <v>0</v>
      </c>
      <c r="AD57" s="381">
        <f>SUMIFS([1]!Data_BS[Value],[1]!Data_BS[Index BS],DTRVL!$B57,[1]!Data_BS[TenCongTyID],DTRVL!$B$1,[1]!Data_BS[Thang.Nam],DTRVL!AD$5)</f>
        <v>0</v>
      </c>
      <c r="AE57" s="381">
        <f>SUMIFS([1]!Data_BS[Value],[1]!Data_BS[Index BS],DTRVL!$B57,[1]!Data_BS[TenCongTyID],DTRVL!$B$1,[1]!Data_BS[Thang.Nam],DTRVL!AE$5)</f>
        <v>0</v>
      </c>
      <c r="AF57" s="381">
        <f>SUMIFS([1]!Data_BS[Value],[1]!Data_BS[Index BS],DTRVL!$B57,[1]!Data_BS[TenCongTyID],DTRVL!$B$1,[1]!Data_BS[Thang.Nam],DTRVL!AF$5)</f>
        <v>0</v>
      </c>
      <c r="AG57" s="381">
        <f>SUMIFS([1]!Data_BS[Value],[1]!Data_BS[Index BS],DTRVL!$B57,[1]!Data_BS[TenCongTyID],DTRVL!$B$1,[1]!Data_BS[Thang.Nam],DTRVL!AG$5)</f>
        <v>0</v>
      </c>
      <c r="AH57" s="381">
        <f>SUMIFS([1]!Data_BS[Value],[1]!Data_BS[Index BS],DTRVL!$B57,[1]!Data_BS[TenCongTyID],DTRVL!$B$1,[1]!Data_BS[Thang.Nam],DTRVL!AH$5)</f>
        <v>0</v>
      </c>
      <c r="AI57" s="381">
        <f>SUMIFS([1]!Data_BS[Value],[1]!Data_BS[Index BS],DTRVL!$B57,[1]!Data_BS[TenCongTyID],DTRVL!$B$1,[1]!Data_BS[Thang.Nam],DTRVL!AI$5)</f>
        <v>0</v>
      </c>
      <c r="AJ57" s="381">
        <f>SUMIFS([1]!Data_BS[Value],[1]!Data_BS[Index BS],DTRVL!$B57,[1]!Data_BS[TenCongTyID],DTRVL!$B$1,[1]!Data_BS[Thang.Nam],DTRVL!AJ$5)</f>
        <v>0</v>
      </c>
      <c r="AK57" s="381">
        <f>SUMIFS([1]!Data_BS[Value],[1]!Data_BS[Index BS],DTRVL!$B57,[1]!Data_BS[TenCongTyID],DTRVL!$B$1,[1]!Data_BS[Thang.Nam],DTRVL!AK$5)</f>
        <v>0</v>
      </c>
      <c r="AL57" s="381">
        <f>SUMIFS([1]!Data_BS[Value],[1]!Data_BS[Index BS],DTRVL!$B57,[1]!Data_BS[TenCongTyID],DTRVL!$B$1,[1]!Data_BS[Thang.Nam],DTRVL!AL$5)</f>
        <v>0</v>
      </c>
    </row>
    <row r="58" spans="1:38" ht="15" hidden="1" customHeight="1" outlineLevel="1">
      <c r="A58" s="73" t="s">
        <v>142</v>
      </c>
      <c r="B58" s="63">
        <v>53</v>
      </c>
      <c r="C58" s="64"/>
      <c r="D58" s="69"/>
      <c r="E58" s="69"/>
      <c r="F58" s="379"/>
      <c r="G58" s="69"/>
      <c r="H58" s="69"/>
      <c r="I58" s="69"/>
      <c r="J58" s="69"/>
      <c r="K58" s="69"/>
      <c r="L58" s="69"/>
      <c r="M58" s="379"/>
      <c r="N58" s="85"/>
      <c r="O58" s="64"/>
      <c r="P58" s="69"/>
      <c r="Q58" s="69"/>
      <c r="R58" s="379"/>
      <c r="S58" s="69"/>
      <c r="T58" s="69"/>
      <c r="U58" s="69"/>
      <c r="V58" s="69"/>
      <c r="W58" s="69"/>
      <c r="X58" s="69"/>
      <c r="Y58" s="379"/>
      <c r="Z58" s="381">
        <v>0</v>
      </c>
      <c r="AA58" s="381">
        <f>SUMIFS([1]!Data_BS[Value],[1]!Data_BS[Index BS],DTRVL!$B58,[1]!Data_BS[TenCongTyID],DTRVL!$B$1,[1]!Data_BS[Thang.Nam],DTRVL!AA$5)</f>
        <v>0</v>
      </c>
      <c r="AB58" s="381">
        <f>SUMIFS([1]!Data_BS[Value],[1]!Data_BS[Index BS],DTRVL!$B58,[1]!Data_BS[TenCongTyID],DTRVL!$B$1,[1]!Data_BS[Thang.Nam],DTRVL!AB$5)</f>
        <v>0</v>
      </c>
      <c r="AC58" s="381">
        <f>SUMIFS([1]!Data_BS[Value],[1]!Data_BS[Index BS],DTRVL!$B58,[1]!Data_BS[TenCongTyID],DTRVL!$B$1,[1]!Data_BS[Thang.Nam],DTRVL!AC$5)</f>
        <v>0</v>
      </c>
      <c r="AD58" s="381">
        <f>SUMIFS([1]!Data_BS[Value],[1]!Data_BS[Index BS],DTRVL!$B58,[1]!Data_BS[TenCongTyID],DTRVL!$B$1,[1]!Data_BS[Thang.Nam],DTRVL!AD$5)</f>
        <v>0</v>
      </c>
      <c r="AE58" s="381">
        <f>SUMIFS([1]!Data_BS[Value],[1]!Data_BS[Index BS],DTRVL!$B58,[1]!Data_BS[TenCongTyID],DTRVL!$B$1,[1]!Data_BS[Thang.Nam],DTRVL!AE$5)</f>
        <v>0</v>
      </c>
      <c r="AF58" s="381">
        <f>SUMIFS([1]!Data_BS[Value],[1]!Data_BS[Index BS],DTRVL!$B58,[1]!Data_BS[TenCongTyID],DTRVL!$B$1,[1]!Data_BS[Thang.Nam],DTRVL!AF$5)</f>
        <v>0</v>
      </c>
      <c r="AG58" s="381">
        <f>SUMIFS([1]!Data_BS[Value],[1]!Data_BS[Index BS],DTRVL!$B58,[1]!Data_BS[TenCongTyID],DTRVL!$B$1,[1]!Data_BS[Thang.Nam],DTRVL!AG$5)</f>
        <v>0</v>
      </c>
      <c r="AH58" s="381">
        <f>SUMIFS([1]!Data_BS[Value],[1]!Data_BS[Index BS],DTRVL!$B58,[1]!Data_BS[TenCongTyID],DTRVL!$B$1,[1]!Data_BS[Thang.Nam],DTRVL!AH$5)</f>
        <v>0</v>
      </c>
      <c r="AI58" s="381">
        <f>SUMIFS([1]!Data_BS[Value],[1]!Data_BS[Index BS],DTRVL!$B58,[1]!Data_BS[TenCongTyID],DTRVL!$B$1,[1]!Data_BS[Thang.Nam],DTRVL!AI$5)</f>
        <v>0</v>
      </c>
      <c r="AJ58" s="381">
        <f>SUMIFS([1]!Data_BS[Value],[1]!Data_BS[Index BS],DTRVL!$B58,[1]!Data_BS[TenCongTyID],DTRVL!$B$1,[1]!Data_BS[Thang.Nam],DTRVL!AJ$5)</f>
        <v>0</v>
      </c>
      <c r="AK58" s="381">
        <f>SUMIFS([1]!Data_BS[Value],[1]!Data_BS[Index BS],DTRVL!$B58,[1]!Data_BS[TenCongTyID],DTRVL!$B$1,[1]!Data_BS[Thang.Nam],DTRVL!AK$5)</f>
        <v>0</v>
      </c>
      <c r="AL58" s="381">
        <f>SUMIFS([1]!Data_BS[Value],[1]!Data_BS[Index BS],DTRVL!$B58,[1]!Data_BS[TenCongTyID],DTRVL!$B$1,[1]!Data_BS[Thang.Nam],DTRVL!AL$5)</f>
        <v>0</v>
      </c>
    </row>
    <row r="59" spans="1:38" ht="15" hidden="1" customHeight="1" outlineLevel="1">
      <c r="A59" s="73" t="s">
        <v>143</v>
      </c>
      <c r="B59" s="63">
        <v>54</v>
      </c>
      <c r="C59" s="64"/>
      <c r="D59" s="69"/>
      <c r="E59" s="69"/>
      <c r="F59" s="379"/>
      <c r="G59" s="69"/>
      <c r="H59" s="69"/>
      <c r="I59" s="69"/>
      <c r="J59" s="69"/>
      <c r="K59" s="69"/>
      <c r="L59" s="69"/>
      <c r="M59" s="379"/>
      <c r="N59" s="85"/>
      <c r="O59" s="64"/>
      <c r="P59" s="69"/>
      <c r="Q59" s="69"/>
      <c r="R59" s="379"/>
      <c r="S59" s="69"/>
      <c r="T59" s="69"/>
      <c r="U59" s="69"/>
      <c r="V59" s="69"/>
      <c r="W59" s="69"/>
      <c r="X59" s="69"/>
      <c r="Y59" s="379"/>
      <c r="Z59" s="381">
        <v>0</v>
      </c>
      <c r="AA59" s="381">
        <f>SUMIFS([1]!Data_BS[Value],[1]!Data_BS[Index BS],DTRVL!$B59,[1]!Data_BS[TenCongTyID],DTRVL!$B$1,[1]!Data_BS[Thang.Nam],DTRVL!AA$5)</f>
        <v>0</v>
      </c>
      <c r="AB59" s="381">
        <f>SUMIFS([1]!Data_BS[Value],[1]!Data_BS[Index BS],DTRVL!$B59,[1]!Data_BS[TenCongTyID],DTRVL!$B$1,[1]!Data_BS[Thang.Nam],DTRVL!AB$5)</f>
        <v>0</v>
      </c>
      <c r="AC59" s="381">
        <f>SUMIFS([1]!Data_BS[Value],[1]!Data_BS[Index BS],DTRVL!$B59,[1]!Data_BS[TenCongTyID],DTRVL!$B$1,[1]!Data_BS[Thang.Nam],DTRVL!AC$5)</f>
        <v>0</v>
      </c>
      <c r="AD59" s="381">
        <f>SUMIFS([1]!Data_BS[Value],[1]!Data_BS[Index BS],DTRVL!$B59,[1]!Data_BS[TenCongTyID],DTRVL!$B$1,[1]!Data_BS[Thang.Nam],DTRVL!AD$5)</f>
        <v>0</v>
      </c>
      <c r="AE59" s="381">
        <f>SUMIFS([1]!Data_BS[Value],[1]!Data_BS[Index BS],DTRVL!$B59,[1]!Data_BS[TenCongTyID],DTRVL!$B$1,[1]!Data_BS[Thang.Nam],DTRVL!AE$5)</f>
        <v>0</v>
      </c>
      <c r="AF59" s="381">
        <f>SUMIFS([1]!Data_BS[Value],[1]!Data_BS[Index BS],DTRVL!$B59,[1]!Data_BS[TenCongTyID],DTRVL!$B$1,[1]!Data_BS[Thang.Nam],DTRVL!AF$5)</f>
        <v>0</v>
      </c>
      <c r="AG59" s="381">
        <f>SUMIFS([1]!Data_BS[Value],[1]!Data_BS[Index BS],DTRVL!$B59,[1]!Data_BS[TenCongTyID],DTRVL!$B$1,[1]!Data_BS[Thang.Nam],DTRVL!AG$5)</f>
        <v>0</v>
      </c>
      <c r="AH59" s="381">
        <f>SUMIFS([1]!Data_BS[Value],[1]!Data_BS[Index BS],DTRVL!$B59,[1]!Data_BS[TenCongTyID],DTRVL!$B$1,[1]!Data_BS[Thang.Nam],DTRVL!AH$5)</f>
        <v>0</v>
      </c>
      <c r="AI59" s="381">
        <f>SUMIFS([1]!Data_BS[Value],[1]!Data_BS[Index BS],DTRVL!$B59,[1]!Data_BS[TenCongTyID],DTRVL!$B$1,[1]!Data_BS[Thang.Nam],DTRVL!AI$5)</f>
        <v>0</v>
      </c>
      <c r="AJ59" s="381">
        <f>SUMIFS([1]!Data_BS[Value],[1]!Data_BS[Index BS],DTRVL!$B59,[1]!Data_BS[TenCongTyID],DTRVL!$B$1,[1]!Data_BS[Thang.Nam],DTRVL!AJ$5)</f>
        <v>0</v>
      </c>
      <c r="AK59" s="381">
        <f>SUMIFS([1]!Data_BS[Value],[1]!Data_BS[Index BS],DTRVL!$B59,[1]!Data_BS[TenCongTyID],DTRVL!$B$1,[1]!Data_BS[Thang.Nam],DTRVL!AK$5)</f>
        <v>0</v>
      </c>
      <c r="AL59" s="381">
        <f>SUMIFS([1]!Data_BS[Value],[1]!Data_BS[Index BS],DTRVL!$B59,[1]!Data_BS[TenCongTyID],DTRVL!$B$1,[1]!Data_BS[Thang.Nam],DTRVL!AL$5)</f>
        <v>0</v>
      </c>
    </row>
    <row r="60" spans="1:38" ht="15" hidden="1" customHeight="1" outlineLevel="1">
      <c r="A60" s="73" t="s">
        <v>144</v>
      </c>
      <c r="B60" s="63">
        <v>55</v>
      </c>
      <c r="C60" s="64"/>
      <c r="D60" s="69"/>
      <c r="E60" s="69"/>
      <c r="F60" s="379"/>
      <c r="G60" s="69"/>
      <c r="H60" s="69"/>
      <c r="I60" s="69"/>
      <c r="J60" s="69"/>
      <c r="K60" s="69"/>
      <c r="L60" s="69"/>
      <c r="M60" s="379"/>
      <c r="N60" s="85"/>
      <c r="O60" s="64"/>
      <c r="P60" s="69"/>
      <c r="Q60" s="69"/>
      <c r="R60" s="379"/>
      <c r="S60" s="69"/>
      <c r="T60" s="69"/>
      <c r="U60" s="69"/>
      <c r="V60" s="69"/>
      <c r="W60" s="69"/>
      <c r="X60" s="69"/>
      <c r="Y60" s="379"/>
      <c r="Z60" s="381">
        <v>0</v>
      </c>
      <c r="AA60" s="381">
        <f>SUMIFS([1]!Data_BS[Value],[1]!Data_BS[Index BS],DTRVL!$B60,[1]!Data_BS[TenCongTyID],DTRVL!$B$1,[1]!Data_BS[Thang.Nam],DTRVL!AA$5)</f>
        <v>0</v>
      </c>
      <c r="AB60" s="381">
        <f>SUMIFS([1]!Data_BS[Value],[1]!Data_BS[Index BS],DTRVL!$B60,[1]!Data_BS[TenCongTyID],DTRVL!$B$1,[1]!Data_BS[Thang.Nam],DTRVL!AB$5)</f>
        <v>0</v>
      </c>
      <c r="AC60" s="381">
        <f>SUMIFS([1]!Data_BS[Value],[1]!Data_BS[Index BS],DTRVL!$B60,[1]!Data_BS[TenCongTyID],DTRVL!$B$1,[1]!Data_BS[Thang.Nam],DTRVL!AC$5)</f>
        <v>0</v>
      </c>
      <c r="AD60" s="381">
        <f>SUMIFS([1]!Data_BS[Value],[1]!Data_BS[Index BS],DTRVL!$B60,[1]!Data_BS[TenCongTyID],DTRVL!$B$1,[1]!Data_BS[Thang.Nam],DTRVL!AD$5)</f>
        <v>0</v>
      </c>
      <c r="AE60" s="381">
        <f>SUMIFS([1]!Data_BS[Value],[1]!Data_BS[Index BS],DTRVL!$B60,[1]!Data_BS[TenCongTyID],DTRVL!$B$1,[1]!Data_BS[Thang.Nam],DTRVL!AE$5)</f>
        <v>0</v>
      </c>
      <c r="AF60" s="381">
        <f>SUMIFS([1]!Data_BS[Value],[1]!Data_BS[Index BS],DTRVL!$B60,[1]!Data_BS[TenCongTyID],DTRVL!$B$1,[1]!Data_BS[Thang.Nam],DTRVL!AF$5)</f>
        <v>0</v>
      </c>
      <c r="AG60" s="381">
        <f>SUMIFS([1]!Data_BS[Value],[1]!Data_BS[Index BS],DTRVL!$B60,[1]!Data_BS[TenCongTyID],DTRVL!$B$1,[1]!Data_BS[Thang.Nam],DTRVL!AG$5)</f>
        <v>0</v>
      </c>
      <c r="AH60" s="381">
        <f>SUMIFS([1]!Data_BS[Value],[1]!Data_BS[Index BS],DTRVL!$B60,[1]!Data_BS[TenCongTyID],DTRVL!$B$1,[1]!Data_BS[Thang.Nam],DTRVL!AH$5)</f>
        <v>0</v>
      </c>
      <c r="AI60" s="381">
        <f>SUMIFS([1]!Data_BS[Value],[1]!Data_BS[Index BS],DTRVL!$B60,[1]!Data_BS[TenCongTyID],DTRVL!$B$1,[1]!Data_BS[Thang.Nam],DTRVL!AI$5)</f>
        <v>0</v>
      </c>
      <c r="AJ60" s="381">
        <f>SUMIFS([1]!Data_BS[Value],[1]!Data_BS[Index BS],DTRVL!$B60,[1]!Data_BS[TenCongTyID],DTRVL!$B$1,[1]!Data_BS[Thang.Nam],DTRVL!AJ$5)</f>
        <v>0</v>
      </c>
      <c r="AK60" s="381">
        <f>SUMIFS([1]!Data_BS[Value],[1]!Data_BS[Index BS],DTRVL!$B60,[1]!Data_BS[TenCongTyID],DTRVL!$B$1,[1]!Data_BS[Thang.Nam],DTRVL!AK$5)</f>
        <v>0</v>
      </c>
      <c r="AL60" s="381">
        <f>SUMIFS([1]!Data_BS[Value],[1]!Data_BS[Index BS],DTRVL!$B60,[1]!Data_BS[TenCongTyID],DTRVL!$B$1,[1]!Data_BS[Thang.Nam],DTRVL!AL$5)</f>
        <v>0</v>
      </c>
    </row>
    <row r="61" spans="1:38" ht="15" hidden="1" customHeight="1" outlineLevel="1">
      <c r="A61" s="73" t="s">
        <v>145</v>
      </c>
      <c r="B61" s="63">
        <v>56</v>
      </c>
      <c r="C61" s="64"/>
      <c r="D61" s="69"/>
      <c r="E61" s="69"/>
      <c r="F61" s="379"/>
      <c r="G61" s="69"/>
      <c r="H61" s="69"/>
      <c r="I61" s="69"/>
      <c r="J61" s="69"/>
      <c r="K61" s="69"/>
      <c r="L61" s="69"/>
      <c r="M61" s="379"/>
      <c r="N61" s="85"/>
      <c r="O61" s="64"/>
      <c r="P61" s="69"/>
      <c r="Q61" s="69"/>
      <c r="R61" s="379"/>
      <c r="S61" s="69"/>
      <c r="T61" s="69"/>
      <c r="U61" s="69"/>
      <c r="V61" s="69"/>
      <c r="W61" s="69"/>
      <c r="X61" s="69"/>
      <c r="Y61" s="379"/>
      <c r="Z61" s="381">
        <v>0</v>
      </c>
      <c r="AA61" s="381">
        <f>SUMIFS([1]!Data_BS[Value],[1]!Data_BS[Index BS],DTRVL!$B61,[1]!Data_BS[TenCongTyID],DTRVL!$B$1,[1]!Data_BS[Thang.Nam],DTRVL!AA$5)</f>
        <v>0</v>
      </c>
      <c r="AB61" s="381">
        <f>SUMIFS([1]!Data_BS[Value],[1]!Data_BS[Index BS],DTRVL!$B61,[1]!Data_BS[TenCongTyID],DTRVL!$B$1,[1]!Data_BS[Thang.Nam],DTRVL!AB$5)</f>
        <v>0</v>
      </c>
      <c r="AC61" s="381">
        <f>SUMIFS([1]!Data_BS[Value],[1]!Data_BS[Index BS],DTRVL!$B61,[1]!Data_BS[TenCongTyID],DTRVL!$B$1,[1]!Data_BS[Thang.Nam],DTRVL!AC$5)</f>
        <v>0</v>
      </c>
      <c r="AD61" s="381">
        <f>SUMIFS([1]!Data_BS[Value],[1]!Data_BS[Index BS],DTRVL!$B61,[1]!Data_BS[TenCongTyID],DTRVL!$B$1,[1]!Data_BS[Thang.Nam],DTRVL!AD$5)</f>
        <v>0</v>
      </c>
      <c r="AE61" s="381">
        <f>SUMIFS([1]!Data_BS[Value],[1]!Data_BS[Index BS],DTRVL!$B61,[1]!Data_BS[TenCongTyID],DTRVL!$B$1,[1]!Data_BS[Thang.Nam],DTRVL!AE$5)</f>
        <v>0</v>
      </c>
      <c r="AF61" s="381">
        <f>SUMIFS([1]!Data_BS[Value],[1]!Data_BS[Index BS],DTRVL!$B61,[1]!Data_BS[TenCongTyID],DTRVL!$B$1,[1]!Data_BS[Thang.Nam],DTRVL!AF$5)</f>
        <v>0</v>
      </c>
      <c r="AG61" s="381">
        <f>SUMIFS([1]!Data_BS[Value],[1]!Data_BS[Index BS],DTRVL!$B61,[1]!Data_BS[TenCongTyID],DTRVL!$B$1,[1]!Data_BS[Thang.Nam],DTRVL!AG$5)</f>
        <v>0</v>
      </c>
      <c r="AH61" s="381">
        <f>SUMIFS([1]!Data_BS[Value],[1]!Data_BS[Index BS],DTRVL!$B61,[1]!Data_BS[TenCongTyID],DTRVL!$B$1,[1]!Data_BS[Thang.Nam],DTRVL!AH$5)</f>
        <v>0</v>
      </c>
      <c r="AI61" s="381">
        <f>SUMIFS([1]!Data_BS[Value],[1]!Data_BS[Index BS],DTRVL!$B61,[1]!Data_BS[TenCongTyID],DTRVL!$B$1,[1]!Data_BS[Thang.Nam],DTRVL!AI$5)</f>
        <v>0</v>
      </c>
      <c r="AJ61" s="381">
        <f>SUMIFS([1]!Data_BS[Value],[1]!Data_BS[Index BS],DTRVL!$B61,[1]!Data_BS[TenCongTyID],DTRVL!$B$1,[1]!Data_BS[Thang.Nam],DTRVL!AJ$5)</f>
        <v>0</v>
      </c>
      <c r="AK61" s="381">
        <f>SUMIFS([1]!Data_BS[Value],[1]!Data_BS[Index BS],DTRVL!$B61,[1]!Data_BS[TenCongTyID],DTRVL!$B$1,[1]!Data_BS[Thang.Nam],DTRVL!AK$5)</f>
        <v>0</v>
      </c>
      <c r="AL61" s="381">
        <f>SUMIFS([1]!Data_BS[Value],[1]!Data_BS[Index BS],DTRVL!$B61,[1]!Data_BS[TenCongTyID],DTRVL!$B$1,[1]!Data_BS[Thang.Nam],DTRVL!AL$5)</f>
        <v>0</v>
      </c>
    </row>
    <row r="62" spans="1:38" ht="15" hidden="1" customHeight="1" outlineLevel="1">
      <c r="A62" s="73" t="s">
        <v>146</v>
      </c>
      <c r="B62" s="63">
        <v>57</v>
      </c>
      <c r="C62" s="64"/>
      <c r="D62" s="69"/>
      <c r="E62" s="69"/>
      <c r="F62" s="379"/>
      <c r="G62" s="69"/>
      <c r="H62" s="69"/>
      <c r="I62" s="69"/>
      <c r="J62" s="69"/>
      <c r="K62" s="69"/>
      <c r="L62" s="69"/>
      <c r="M62" s="379"/>
      <c r="N62" s="85"/>
      <c r="O62" s="64"/>
      <c r="P62" s="69"/>
      <c r="Q62" s="69"/>
      <c r="R62" s="379"/>
      <c r="S62" s="69"/>
      <c r="T62" s="69"/>
      <c r="U62" s="69"/>
      <c r="V62" s="69"/>
      <c r="W62" s="69"/>
      <c r="X62" s="69"/>
      <c r="Y62" s="379"/>
      <c r="Z62" s="381">
        <v>0</v>
      </c>
      <c r="AA62" s="381">
        <f>SUMIFS([1]!Data_BS[Value],[1]!Data_BS[Index BS],DTRVL!$B62,[1]!Data_BS[TenCongTyID],DTRVL!$B$1,[1]!Data_BS[Thang.Nam],DTRVL!AA$5)</f>
        <v>0</v>
      </c>
      <c r="AB62" s="381">
        <f>SUMIFS([1]!Data_BS[Value],[1]!Data_BS[Index BS],DTRVL!$B62,[1]!Data_BS[TenCongTyID],DTRVL!$B$1,[1]!Data_BS[Thang.Nam],DTRVL!AB$5)</f>
        <v>0</v>
      </c>
      <c r="AC62" s="381">
        <f>SUMIFS([1]!Data_BS[Value],[1]!Data_BS[Index BS],DTRVL!$B62,[1]!Data_BS[TenCongTyID],DTRVL!$B$1,[1]!Data_BS[Thang.Nam],DTRVL!AC$5)</f>
        <v>0</v>
      </c>
      <c r="AD62" s="381">
        <f>SUMIFS([1]!Data_BS[Value],[1]!Data_BS[Index BS],DTRVL!$B62,[1]!Data_BS[TenCongTyID],DTRVL!$B$1,[1]!Data_BS[Thang.Nam],DTRVL!AD$5)</f>
        <v>0</v>
      </c>
      <c r="AE62" s="381">
        <f>SUMIFS([1]!Data_BS[Value],[1]!Data_BS[Index BS],DTRVL!$B62,[1]!Data_BS[TenCongTyID],DTRVL!$B$1,[1]!Data_BS[Thang.Nam],DTRVL!AE$5)</f>
        <v>0</v>
      </c>
      <c r="AF62" s="381">
        <f>SUMIFS([1]!Data_BS[Value],[1]!Data_BS[Index BS],DTRVL!$B62,[1]!Data_BS[TenCongTyID],DTRVL!$B$1,[1]!Data_BS[Thang.Nam],DTRVL!AF$5)</f>
        <v>0</v>
      </c>
      <c r="AG62" s="381">
        <f>SUMIFS([1]!Data_BS[Value],[1]!Data_BS[Index BS],DTRVL!$B62,[1]!Data_BS[TenCongTyID],DTRVL!$B$1,[1]!Data_BS[Thang.Nam],DTRVL!AG$5)</f>
        <v>0</v>
      </c>
      <c r="AH62" s="381">
        <f>SUMIFS([1]!Data_BS[Value],[1]!Data_BS[Index BS],DTRVL!$B62,[1]!Data_BS[TenCongTyID],DTRVL!$B$1,[1]!Data_BS[Thang.Nam],DTRVL!AH$5)</f>
        <v>0</v>
      </c>
      <c r="AI62" s="381">
        <f>SUMIFS([1]!Data_BS[Value],[1]!Data_BS[Index BS],DTRVL!$B62,[1]!Data_BS[TenCongTyID],DTRVL!$B$1,[1]!Data_BS[Thang.Nam],DTRVL!AI$5)</f>
        <v>0</v>
      </c>
      <c r="AJ62" s="381">
        <f>SUMIFS([1]!Data_BS[Value],[1]!Data_BS[Index BS],DTRVL!$B62,[1]!Data_BS[TenCongTyID],DTRVL!$B$1,[1]!Data_BS[Thang.Nam],DTRVL!AJ$5)</f>
        <v>0</v>
      </c>
      <c r="AK62" s="381">
        <f>SUMIFS([1]!Data_BS[Value],[1]!Data_BS[Index BS],DTRVL!$B62,[1]!Data_BS[TenCongTyID],DTRVL!$B$1,[1]!Data_BS[Thang.Nam],DTRVL!AK$5)</f>
        <v>0</v>
      </c>
      <c r="AL62" s="381">
        <f>SUMIFS([1]!Data_BS[Value],[1]!Data_BS[Index BS],DTRVL!$B62,[1]!Data_BS[TenCongTyID],DTRVL!$B$1,[1]!Data_BS[Thang.Nam],DTRVL!AL$5)</f>
        <v>0</v>
      </c>
    </row>
    <row r="63" spans="1:38" ht="15" hidden="1" customHeight="1" outlineLevel="1">
      <c r="A63" s="73" t="s">
        <v>147</v>
      </c>
      <c r="B63" s="63">
        <v>58</v>
      </c>
      <c r="C63" s="64"/>
      <c r="D63" s="69"/>
      <c r="E63" s="69"/>
      <c r="F63" s="379"/>
      <c r="G63" s="69"/>
      <c r="H63" s="69"/>
      <c r="I63" s="69"/>
      <c r="J63" s="69"/>
      <c r="K63" s="69"/>
      <c r="L63" s="69"/>
      <c r="M63" s="379"/>
      <c r="N63" s="85"/>
      <c r="O63" s="64"/>
      <c r="P63" s="69"/>
      <c r="Q63" s="69"/>
      <c r="R63" s="379"/>
      <c r="S63" s="69"/>
      <c r="T63" s="69"/>
      <c r="U63" s="69"/>
      <c r="V63" s="69"/>
      <c r="W63" s="69"/>
      <c r="X63" s="69"/>
      <c r="Y63" s="379"/>
      <c r="Z63" s="381">
        <v>0</v>
      </c>
      <c r="AA63" s="381">
        <f>SUMIFS([1]!Data_BS[Value],[1]!Data_BS[Index BS],DTRVL!$B63,[1]!Data_BS[TenCongTyID],DTRVL!$B$1,[1]!Data_BS[Thang.Nam],DTRVL!AA$5)</f>
        <v>0</v>
      </c>
      <c r="AB63" s="381">
        <f>SUMIFS([1]!Data_BS[Value],[1]!Data_BS[Index BS],DTRVL!$B63,[1]!Data_BS[TenCongTyID],DTRVL!$B$1,[1]!Data_BS[Thang.Nam],DTRVL!AB$5)</f>
        <v>0</v>
      </c>
      <c r="AC63" s="381">
        <f>SUMIFS([1]!Data_BS[Value],[1]!Data_BS[Index BS],DTRVL!$B63,[1]!Data_BS[TenCongTyID],DTRVL!$B$1,[1]!Data_BS[Thang.Nam],DTRVL!AC$5)</f>
        <v>0</v>
      </c>
      <c r="AD63" s="381">
        <f>SUMIFS([1]!Data_BS[Value],[1]!Data_BS[Index BS],DTRVL!$B63,[1]!Data_BS[TenCongTyID],DTRVL!$B$1,[1]!Data_BS[Thang.Nam],DTRVL!AD$5)</f>
        <v>0</v>
      </c>
      <c r="AE63" s="381">
        <f>SUMIFS([1]!Data_BS[Value],[1]!Data_BS[Index BS],DTRVL!$B63,[1]!Data_BS[TenCongTyID],DTRVL!$B$1,[1]!Data_BS[Thang.Nam],DTRVL!AE$5)</f>
        <v>0</v>
      </c>
      <c r="AF63" s="381">
        <f>SUMIFS([1]!Data_BS[Value],[1]!Data_BS[Index BS],DTRVL!$B63,[1]!Data_BS[TenCongTyID],DTRVL!$B$1,[1]!Data_BS[Thang.Nam],DTRVL!AF$5)</f>
        <v>0</v>
      </c>
      <c r="AG63" s="381">
        <f>SUMIFS([1]!Data_BS[Value],[1]!Data_BS[Index BS],DTRVL!$B63,[1]!Data_BS[TenCongTyID],DTRVL!$B$1,[1]!Data_BS[Thang.Nam],DTRVL!AG$5)</f>
        <v>0</v>
      </c>
      <c r="AH63" s="381">
        <f>SUMIFS([1]!Data_BS[Value],[1]!Data_BS[Index BS],DTRVL!$B63,[1]!Data_BS[TenCongTyID],DTRVL!$B$1,[1]!Data_BS[Thang.Nam],DTRVL!AH$5)</f>
        <v>0</v>
      </c>
      <c r="AI63" s="381">
        <f>SUMIFS([1]!Data_BS[Value],[1]!Data_BS[Index BS],DTRVL!$B63,[1]!Data_BS[TenCongTyID],DTRVL!$B$1,[1]!Data_BS[Thang.Nam],DTRVL!AI$5)</f>
        <v>0</v>
      </c>
      <c r="AJ63" s="381">
        <f>SUMIFS([1]!Data_BS[Value],[1]!Data_BS[Index BS],DTRVL!$B63,[1]!Data_BS[TenCongTyID],DTRVL!$B$1,[1]!Data_BS[Thang.Nam],DTRVL!AJ$5)</f>
        <v>0</v>
      </c>
      <c r="AK63" s="381">
        <f>SUMIFS([1]!Data_BS[Value],[1]!Data_BS[Index BS],DTRVL!$B63,[1]!Data_BS[TenCongTyID],DTRVL!$B$1,[1]!Data_BS[Thang.Nam],DTRVL!AK$5)</f>
        <v>0</v>
      </c>
      <c r="AL63" s="381">
        <f>SUMIFS([1]!Data_BS[Value],[1]!Data_BS[Index BS],DTRVL!$B63,[1]!Data_BS[TenCongTyID],DTRVL!$B$1,[1]!Data_BS[Thang.Nam],DTRVL!AL$5)</f>
        <v>0</v>
      </c>
    </row>
    <row r="64" spans="1:38" ht="15" hidden="1" customHeight="1" outlineLevel="1">
      <c r="A64" s="73" t="s">
        <v>148</v>
      </c>
      <c r="B64" s="63">
        <v>59</v>
      </c>
      <c r="C64" s="64"/>
      <c r="D64" s="69"/>
      <c r="E64" s="69"/>
      <c r="F64" s="379"/>
      <c r="G64" s="69"/>
      <c r="H64" s="69"/>
      <c r="I64" s="69"/>
      <c r="J64" s="69"/>
      <c r="K64" s="69"/>
      <c r="L64" s="69"/>
      <c r="M64" s="379"/>
      <c r="N64" s="85"/>
      <c r="O64" s="64"/>
      <c r="P64" s="69"/>
      <c r="Q64" s="69"/>
      <c r="R64" s="379"/>
      <c r="S64" s="69"/>
      <c r="T64" s="69"/>
      <c r="U64" s="69"/>
      <c r="V64" s="69"/>
      <c r="W64" s="69"/>
      <c r="X64" s="69"/>
      <c r="Y64" s="379"/>
      <c r="Z64" s="381">
        <v>0</v>
      </c>
      <c r="AA64" s="381">
        <f>SUMIFS([1]!Data_BS[Value],[1]!Data_BS[Index BS],DTRVL!$B64,[1]!Data_BS[TenCongTyID],DTRVL!$B$1,[1]!Data_BS[Thang.Nam],DTRVL!AA$5)</f>
        <v>0</v>
      </c>
      <c r="AB64" s="381">
        <f>SUMIFS([1]!Data_BS[Value],[1]!Data_BS[Index BS],DTRVL!$B64,[1]!Data_BS[TenCongTyID],DTRVL!$B$1,[1]!Data_BS[Thang.Nam],DTRVL!AB$5)</f>
        <v>0</v>
      </c>
      <c r="AC64" s="381">
        <f>SUMIFS([1]!Data_BS[Value],[1]!Data_BS[Index BS],DTRVL!$B64,[1]!Data_BS[TenCongTyID],DTRVL!$B$1,[1]!Data_BS[Thang.Nam],DTRVL!AC$5)</f>
        <v>0</v>
      </c>
      <c r="AD64" s="381">
        <f>SUMIFS([1]!Data_BS[Value],[1]!Data_BS[Index BS],DTRVL!$B64,[1]!Data_BS[TenCongTyID],DTRVL!$B$1,[1]!Data_BS[Thang.Nam],DTRVL!AD$5)</f>
        <v>0</v>
      </c>
      <c r="AE64" s="381">
        <f>SUMIFS([1]!Data_BS[Value],[1]!Data_BS[Index BS],DTRVL!$B64,[1]!Data_BS[TenCongTyID],DTRVL!$B$1,[1]!Data_BS[Thang.Nam],DTRVL!AE$5)</f>
        <v>0</v>
      </c>
      <c r="AF64" s="381">
        <f>SUMIFS([1]!Data_BS[Value],[1]!Data_BS[Index BS],DTRVL!$B64,[1]!Data_BS[TenCongTyID],DTRVL!$B$1,[1]!Data_BS[Thang.Nam],DTRVL!AF$5)</f>
        <v>0</v>
      </c>
      <c r="AG64" s="381">
        <f>SUMIFS([1]!Data_BS[Value],[1]!Data_BS[Index BS],DTRVL!$B64,[1]!Data_BS[TenCongTyID],DTRVL!$B$1,[1]!Data_BS[Thang.Nam],DTRVL!AG$5)</f>
        <v>0</v>
      </c>
      <c r="AH64" s="381">
        <f>SUMIFS([1]!Data_BS[Value],[1]!Data_BS[Index BS],DTRVL!$B64,[1]!Data_BS[TenCongTyID],DTRVL!$B$1,[1]!Data_BS[Thang.Nam],DTRVL!AH$5)</f>
        <v>0</v>
      </c>
      <c r="AI64" s="381">
        <f>SUMIFS([1]!Data_BS[Value],[1]!Data_BS[Index BS],DTRVL!$B64,[1]!Data_BS[TenCongTyID],DTRVL!$B$1,[1]!Data_BS[Thang.Nam],DTRVL!AI$5)</f>
        <v>0</v>
      </c>
      <c r="AJ64" s="381">
        <f>SUMIFS([1]!Data_BS[Value],[1]!Data_BS[Index BS],DTRVL!$B64,[1]!Data_BS[TenCongTyID],DTRVL!$B$1,[1]!Data_BS[Thang.Nam],DTRVL!AJ$5)</f>
        <v>0</v>
      </c>
      <c r="AK64" s="381">
        <f>SUMIFS([1]!Data_BS[Value],[1]!Data_BS[Index BS],DTRVL!$B64,[1]!Data_BS[TenCongTyID],DTRVL!$B$1,[1]!Data_BS[Thang.Nam],DTRVL!AK$5)</f>
        <v>0</v>
      </c>
      <c r="AL64" s="381">
        <f>SUMIFS([1]!Data_BS[Value],[1]!Data_BS[Index BS],DTRVL!$B64,[1]!Data_BS[TenCongTyID],DTRVL!$B$1,[1]!Data_BS[Thang.Nam],DTRVL!AL$5)</f>
        <v>0</v>
      </c>
    </row>
    <row r="65" spans="1:38" ht="15" hidden="1" customHeight="1" outlineLevel="1">
      <c r="A65" s="72" t="s">
        <v>149</v>
      </c>
      <c r="B65" s="65">
        <v>60</v>
      </c>
      <c r="C65" s="64"/>
      <c r="D65" s="69"/>
      <c r="E65" s="69"/>
      <c r="F65" s="379"/>
      <c r="G65" s="69"/>
      <c r="H65" s="69">
        <v>0</v>
      </c>
      <c r="I65" s="69"/>
      <c r="J65" s="69"/>
      <c r="K65" s="69"/>
      <c r="L65" s="69"/>
      <c r="M65" s="379"/>
      <c r="N65" s="85"/>
      <c r="O65" s="64"/>
      <c r="P65" s="69"/>
      <c r="Q65" s="69"/>
      <c r="R65" s="379"/>
      <c r="S65" s="69"/>
      <c r="T65" s="69"/>
      <c r="U65" s="69"/>
      <c r="V65" s="69"/>
      <c r="W65" s="69"/>
      <c r="X65" s="69"/>
      <c r="Y65" s="379">
        <v>0</v>
      </c>
      <c r="Z65" s="381">
        <v>0</v>
      </c>
      <c r="AA65" s="381">
        <f>SUMIFS([1]!Data_BS[Value],[1]!Data_BS[Index BS],DTRVL!$B65,[1]!Data_BS[TenCongTyID],DTRVL!$B$1,[1]!Data_BS[Thang.Nam],DTRVL!AA$5)</f>
        <v>0</v>
      </c>
      <c r="AB65" s="381">
        <f>SUMIFS([1]!Data_BS[Value],[1]!Data_BS[Index BS],DTRVL!$B65,[1]!Data_BS[TenCongTyID],DTRVL!$B$1,[1]!Data_BS[Thang.Nam],DTRVL!AB$5)</f>
        <v>0</v>
      </c>
      <c r="AC65" s="381">
        <f>SUMIFS([1]!Data_BS[Value],[1]!Data_BS[Index BS],DTRVL!$B65,[1]!Data_BS[TenCongTyID],DTRVL!$B$1,[1]!Data_BS[Thang.Nam],DTRVL!AC$5)</f>
        <v>0</v>
      </c>
      <c r="AD65" s="381">
        <f>SUMIFS([1]!Data_BS[Value],[1]!Data_BS[Index BS],DTRVL!$B65,[1]!Data_BS[TenCongTyID],DTRVL!$B$1,[1]!Data_BS[Thang.Nam],DTRVL!AD$5)</f>
        <v>0</v>
      </c>
      <c r="AE65" s="381">
        <f>SUMIFS([1]!Data_BS[Value],[1]!Data_BS[Index BS],DTRVL!$B65,[1]!Data_BS[TenCongTyID],DTRVL!$B$1,[1]!Data_BS[Thang.Nam],DTRVL!AE$5)</f>
        <v>0</v>
      </c>
      <c r="AF65" s="381">
        <f>SUMIFS([1]!Data_BS[Value],[1]!Data_BS[Index BS],DTRVL!$B65,[1]!Data_BS[TenCongTyID],DTRVL!$B$1,[1]!Data_BS[Thang.Nam],DTRVL!AF$5)</f>
        <v>0</v>
      </c>
      <c r="AG65" s="381">
        <f>SUMIFS([1]!Data_BS[Value],[1]!Data_BS[Index BS],DTRVL!$B65,[1]!Data_BS[TenCongTyID],DTRVL!$B$1,[1]!Data_BS[Thang.Nam],DTRVL!AG$5)</f>
        <v>0</v>
      </c>
      <c r="AH65" s="381">
        <f>SUMIFS([1]!Data_BS[Value],[1]!Data_BS[Index BS],DTRVL!$B65,[1]!Data_BS[TenCongTyID],DTRVL!$B$1,[1]!Data_BS[Thang.Nam],DTRVL!AH$5)</f>
        <v>0</v>
      </c>
      <c r="AI65" s="381">
        <f>SUMIFS([1]!Data_BS[Value],[1]!Data_BS[Index BS],DTRVL!$B65,[1]!Data_BS[TenCongTyID],DTRVL!$B$1,[1]!Data_BS[Thang.Nam],DTRVL!AI$5)</f>
        <v>0</v>
      </c>
      <c r="AJ65" s="381">
        <f>SUMIFS([1]!Data_BS[Value],[1]!Data_BS[Index BS],DTRVL!$B65,[1]!Data_BS[TenCongTyID],DTRVL!$B$1,[1]!Data_BS[Thang.Nam],DTRVL!AJ$5)</f>
        <v>0</v>
      </c>
      <c r="AK65" s="381">
        <f>SUMIFS([1]!Data_BS[Value],[1]!Data_BS[Index BS],DTRVL!$B65,[1]!Data_BS[TenCongTyID],DTRVL!$B$1,[1]!Data_BS[Thang.Nam],DTRVL!AK$5)</f>
        <v>0</v>
      </c>
      <c r="AL65" s="381">
        <f>SUMIFS([1]!Data_BS[Value],[1]!Data_BS[Index BS],DTRVL!$B65,[1]!Data_BS[TenCongTyID],DTRVL!$B$1,[1]!Data_BS[Thang.Nam],DTRVL!AL$5)</f>
        <v>0</v>
      </c>
    </row>
    <row r="66" spans="1:38" ht="15" hidden="1" customHeight="1" outlineLevel="1">
      <c r="A66" s="62" t="s">
        <v>150</v>
      </c>
      <c r="B66" s="63">
        <v>61</v>
      </c>
      <c r="C66" s="64"/>
      <c r="D66" s="69"/>
      <c r="E66" s="69"/>
      <c r="F66" s="379"/>
      <c r="G66" s="69"/>
      <c r="H66" s="69">
        <v>0</v>
      </c>
      <c r="I66" s="69"/>
      <c r="J66" s="69"/>
      <c r="K66" s="69"/>
      <c r="L66" s="69"/>
      <c r="M66" s="379"/>
      <c r="N66" s="85"/>
      <c r="O66" s="64"/>
      <c r="P66" s="69"/>
      <c r="Q66" s="69"/>
      <c r="R66" s="379"/>
      <c r="S66" s="69"/>
      <c r="T66" s="69"/>
      <c r="U66" s="69"/>
      <c r="V66" s="69"/>
      <c r="W66" s="69"/>
      <c r="X66" s="69"/>
      <c r="Y66" s="379"/>
      <c r="Z66" s="381">
        <v>0</v>
      </c>
      <c r="AA66" s="381">
        <f>SUMIFS([1]!Data_BS[Value],[1]!Data_BS[Index BS],DTRVL!$B66,[1]!Data_BS[TenCongTyID],DTRVL!$B$1,[1]!Data_BS[Thang.Nam],DTRVL!AA$5)</f>
        <v>0</v>
      </c>
      <c r="AB66" s="381">
        <f>SUMIFS([1]!Data_BS[Value],[1]!Data_BS[Index BS],DTRVL!$B66,[1]!Data_BS[TenCongTyID],DTRVL!$B$1,[1]!Data_BS[Thang.Nam],DTRVL!AB$5)</f>
        <v>0</v>
      </c>
      <c r="AC66" s="381">
        <f>SUMIFS([1]!Data_BS[Value],[1]!Data_BS[Index BS],DTRVL!$B66,[1]!Data_BS[TenCongTyID],DTRVL!$B$1,[1]!Data_BS[Thang.Nam],DTRVL!AC$5)</f>
        <v>0</v>
      </c>
      <c r="AD66" s="381">
        <f>SUMIFS([1]!Data_BS[Value],[1]!Data_BS[Index BS],DTRVL!$B66,[1]!Data_BS[TenCongTyID],DTRVL!$B$1,[1]!Data_BS[Thang.Nam],DTRVL!AD$5)</f>
        <v>0</v>
      </c>
      <c r="AE66" s="381">
        <f>SUMIFS([1]!Data_BS[Value],[1]!Data_BS[Index BS],DTRVL!$B66,[1]!Data_BS[TenCongTyID],DTRVL!$B$1,[1]!Data_BS[Thang.Nam],DTRVL!AE$5)</f>
        <v>0</v>
      </c>
      <c r="AF66" s="381">
        <f>SUMIFS([1]!Data_BS[Value],[1]!Data_BS[Index BS],DTRVL!$B66,[1]!Data_BS[TenCongTyID],DTRVL!$B$1,[1]!Data_BS[Thang.Nam],DTRVL!AF$5)</f>
        <v>0</v>
      </c>
      <c r="AG66" s="381">
        <f>SUMIFS([1]!Data_BS[Value],[1]!Data_BS[Index BS],DTRVL!$B66,[1]!Data_BS[TenCongTyID],DTRVL!$B$1,[1]!Data_BS[Thang.Nam],DTRVL!AG$5)</f>
        <v>0</v>
      </c>
      <c r="AH66" s="381">
        <f>SUMIFS([1]!Data_BS[Value],[1]!Data_BS[Index BS],DTRVL!$B66,[1]!Data_BS[TenCongTyID],DTRVL!$B$1,[1]!Data_BS[Thang.Nam],DTRVL!AH$5)</f>
        <v>0</v>
      </c>
      <c r="AI66" s="381">
        <f>SUMIFS([1]!Data_BS[Value],[1]!Data_BS[Index BS],DTRVL!$B66,[1]!Data_BS[TenCongTyID],DTRVL!$B$1,[1]!Data_BS[Thang.Nam],DTRVL!AI$5)</f>
        <v>0</v>
      </c>
      <c r="AJ66" s="381">
        <f>SUMIFS([1]!Data_BS[Value],[1]!Data_BS[Index BS],DTRVL!$B66,[1]!Data_BS[TenCongTyID],DTRVL!$B$1,[1]!Data_BS[Thang.Nam],DTRVL!AJ$5)</f>
        <v>0</v>
      </c>
      <c r="AK66" s="381">
        <f>SUMIFS([1]!Data_BS[Value],[1]!Data_BS[Index BS],DTRVL!$B66,[1]!Data_BS[TenCongTyID],DTRVL!$B$1,[1]!Data_BS[Thang.Nam],DTRVL!AK$5)</f>
        <v>0</v>
      </c>
      <c r="AL66" s="381">
        <f>SUMIFS([1]!Data_BS[Value],[1]!Data_BS[Index BS],DTRVL!$B66,[1]!Data_BS[TenCongTyID],DTRVL!$B$1,[1]!Data_BS[Thang.Nam],DTRVL!AL$5)</f>
        <v>0</v>
      </c>
    </row>
    <row r="67" spans="1:38" ht="15" hidden="1" customHeight="1" outlineLevel="1">
      <c r="A67" s="62" t="s">
        <v>151</v>
      </c>
      <c r="B67" s="63">
        <v>62</v>
      </c>
      <c r="C67" s="64"/>
      <c r="D67" s="69"/>
      <c r="E67" s="69"/>
      <c r="F67" s="379"/>
      <c r="G67" s="69"/>
      <c r="H67" s="69">
        <v>0</v>
      </c>
      <c r="I67" s="69"/>
      <c r="J67" s="69"/>
      <c r="K67" s="69"/>
      <c r="L67" s="69"/>
      <c r="M67" s="379"/>
      <c r="N67" s="85"/>
      <c r="O67" s="64"/>
      <c r="P67" s="69"/>
      <c r="Q67" s="69"/>
      <c r="R67" s="379"/>
      <c r="S67" s="69"/>
      <c r="T67" s="69"/>
      <c r="U67" s="69"/>
      <c r="V67" s="69"/>
      <c r="W67" s="69"/>
      <c r="X67" s="69"/>
      <c r="Y67" s="379"/>
      <c r="Z67" s="381">
        <v>0</v>
      </c>
      <c r="AA67" s="381">
        <f>SUMIFS([1]!Data_BS[Value],[1]!Data_BS[Index BS],DTRVL!$B67,[1]!Data_BS[TenCongTyID],DTRVL!$B$1,[1]!Data_BS[Thang.Nam],DTRVL!AA$5)</f>
        <v>0</v>
      </c>
      <c r="AB67" s="381">
        <f>SUMIFS([1]!Data_BS[Value],[1]!Data_BS[Index BS],DTRVL!$B67,[1]!Data_BS[TenCongTyID],DTRVL!$B$1,[1]!Data_BS[Thang.Nam],DTRVL!AB$5)</f>
        <v>0</v>
      </c>
      <c r="AC67" s="381">
        <f>SUMIFS([1]!Data_BS[Value],[1]!Data_BS[Index BS],DTRVL!$B67,[1]!Data_BS[TenCongTyID],DTRVL!$B$1,[1]!Data_BS[Thang.Nam],DTRVL!AC$5)</f>
        <v>0</v>
      </c>
      <c r="AD67" s="381">
        <f>SUMIFS([1]!Data_BS[Value],[1]!Data_BS[Index BS],DTRVL!$B67,[1]!Data_BS[TenCongTyID],DTRVL!$B$1,[1]!Data_BS[Thang.Nam],DTRVL!AD$5)</f>
        <v>0</v>
      </c>
      <c r="AE67" s="381">
        <f>SUMIFS([1]!Data_BS[Value],[1]!Data_BS[Index BS],DTRVL!$B67,[1]!Data_BS[TenCongTyID],DTRVL!$B$1,[1]!Data_BS[Thang.Nam],DTRVL!AE$5)</f>
        <v>0</v>
      </c>
      <c r="AF67" s="381">
        <f>SUMIFS([1]!Data_BS[Value],[1]!Data_BS[Index BS],DTRVL!$B67,[1]!Data_BS[TenCongTyID],DTRVL!$B$1,[1]!Data_BS[Thang.Nam],DTRVL!AF$5)</f>
        <v>0</v>
      </c>
      <c r="AG67" s="381">
        <f>SUMIFS([1]!Data_BS[Value],[1]!Data_BS[Index BS],DTRVL!$B67,[1]!Data_BS[TenCongTyID],DTRVL!$B$1,[1]!Data_BS[Thang.Nam],DTRVL!AG$5)</f>
        <v>0</v>
      </c>
      <c r="AH67" s="381">
        <f>SUMIFS([1]!Data_BS[Value],[1]!Data_BS[Index BS],DTRVL!$B67,[1]!Data_BS[TenCongTyID],DTRVL!$B$1,[1]!Data_BS[Thang.Nam],DTRVL!AH$5)</f>
        <v>0</v>
      </c>
      <c r="AI67" s="381">
        <f>SUMIFS([1]!Data_BS[Value],[1]!Data_BS[Index BS],DTRVL!$B67,[1]!Data_BS[TenCongTyID],DTRVL!$B$1,[1]!Data_BS[Thang.Nam],DTRVL!AI$5)</f>
        <v>0</v>
      </c>
      <c r="AJ67" s="381">
        <f>SUMIFS([1]!Data_BS[Value],[1]!Data_BS[Index BS],DTRVL!$B67,[1]!Data_BS[TenCongTyID],DTRVL!$B$1,[1]!Data_BS[Thang.Nam],DTRVL!AJ$5)</f>
        <v>0</v>
      </c>
      <c r="AK67" s="381">
        <f>SUMIFS([1]!Data_BS[Value],[1]!Data_BS[Index BS],DTRVL!$B67,[1]!Data_BS[TenCongTyID],DTRVL!$B$1,[1]!Data_BS[Thang.Nam],DTRVL!AK$5)</f>
        <v>0</v>
      </c>
      <c r="AL67" s="381">
        <f>SUMIFS([1]!Data_BS[Value],[1]!Data_BS[Index BS],DTRVL!$B67,[1]!Data_BS[TenCongTyID],DTRVL!$B$1,[1]!Data_BS[Thang.Nam],DTRVL!AL$5)</f>
        <v>0</v>
      </c>
    </row>
    <row r="68" spans="1:38" ht="15" hidden="1" customHeight="1" outlineLevel="1">
      <c r="A68" s="72" t="s">
        <v>152</v>
      </c>
      <c r="B68" s="65">
        <v>63</v>
      </c>
      <c r="C68" s="64"/>
      <c r="D68" s="69"/>
      <c r="E68" s="69"/>
      <c r="F68" s="379"/>
      <c r="G68" s="69"/>
      <c r="H68" s="69">
        <v>0</v>
      </c>
      <c r="I68" s="69"/>
      <c r="J68" s="69"/>
      <c r="K68" s="69"/>
      <c r="L68" s="69"/>
      <c r="M68" s="379"/>
      <c r="N68" s="85"/>
      <c r="O68" s="64"/>
      <c r="P68" s="69"/>
      <c r="Q68" s="69"/>
      <c r="R68" s="379"/>
      <c r="S68" s="69"/>
      <c r="T68" s="69"/>
      <c r="U68" s="69"/>
      <c r="V68" s="386"/>
      <c r="W68" s="386"/>
      <c r="X68" s="69"/>
      <c r="Y68" s="379">
        <v>87557481</v>
      </c>
      <c r="Z68" s="381">
        <v>87557481</v>
      </c>
      <c r="AA68" s="381">
        <f>SUMIFS([1]!Data_BS[Value],[1]!Data_BS[Index BS],DTRVL!$B68,[1]!Data_BS[TenCongTyID],DTRVL!$B$1,[1]!Data_BS[Thang.Nam],DTRVL!AA$5)</f>
        <v>0</v>
      </c>
      <c r="AB68" s="381">
        <f>SUMIFS([1]!Data_BS[Value],[1]!Data_BS[Index BS],DTRVL!$B68,[1]!Data_BS[TenCongTyID],DTRVL!$B$1,[1]!Data_BS[Thang.Nam],DTRVL!AB$5)</f>
        <v>0</v>
      </c>
      <c r="AC68" s="381">
        <f>SUMIFS([1]!Data_BS[Value],[1]!Data_BS[Index BS],DTRVL!$B68,[1]!Data_BS[TenCongTyID],DTRVL!$B$1,[1]!Data_BS[Thang.Nam],DTRVL!AC$5)</f>
        <v>0</v>
      </c>
      <c r="AD68" s="381">
        <f>SUMIFS([1]!Data_BS[Value],[1]!Data_BS[Index BS],DTRVL!$B68,[1]!Data_BS[TenCongTyID],DTRVL!$B$1,[1]!Data_BS[Thang.Nam],DTRVL!AD$5)</f>
        <v>0</v>
      </c>
      <c r="AE68" s="381">
        <f>SUMIFS([1]!Data_BS[Value],[1]!Data_BS[Index BS],DTRVL!$B68,[1]!Data_BS[TenCongTyID],DTRVL!$B$1,[1]!Data_BS[Thang.Nam],DTRVL!AE$5)</f>
        <v>0</v>
      </c>
      <c r="AF68" s="381">
        <f>SUMIFS([1]!Data_BS[Value],[1]!Data_BS[Index BS],DTRVL!$B68,[1]!Data_BS[TenCongTyID],DTRVL!$B$1,[1]!Data_BS[Thang.Nam],DTRVL!AF$5)</f>
        <v>0</v>
      </c>
      <c r="AG68" s="381">
        <f>SUMIFS([1]!Data_BS[Value],[1]!Data_BS[Index BS],DTRVL!$B68,[1]!Data_BS[TenCongTyID],DTRVL!$B$1,[1]!Data_BS[Thang.Nam],DTRVL!AG$5)</f>
        <v>0</v>
      </c>
      <c r="AH68" s="381">
        <f>SUMIFS([1]!Data_BS[Value],[1]!Data_BS[Index BS],DTRVL!$B68,[1]!Data_BS[TenCongTyID],DTRVL!$B$1,[1]!Data_BS[Thang.Nam],DTRVL!AH$5)</f>
        <v>0</v>
      </c>
      <c r="AI68" s="381">
        <f>SUMIFS([1]!Data_BS[Value],[1]!Data_BS[Index BS],DTRVL!$B68,[1]!Data_BS[TenCongTyID],DTRVL!$B$1,[1]!Data_BS[Thang.Nam],DTRVL!AI$5)</f>
        <v>0</v>
      </c>
      <c r="AJ68" s="381">
        <f>SUMIFS([1]!Data_BS[Value],[1]!Data_BS[Index BS],DTRVL!$B68,[1]!Data_BS[TenCongTyID],DTRVL!$B$1,[1]!Data_BS[Thang.Nam],DTRVL!AJ$5)</f>
        <v>0</v>
      </c>
      <c r="AK68" s="381">
        <f>SUMIFS([1]!Data_BS[Value],[1]!Data_BS[Index BS],DTRVL!$B68,[1]!Data_BS[TenCongTyID],DTRVL!$B$1,[1]!Data_BS[Thang.Nam],DTRVL!AK$5)</f>
        <v>0</v>
      </c>
      <c r="AL68" s="381">
        <f>SUMIFS([1]!Data_BS[Value],[1]!Data_BS[Index BS],DTRVL!$B68,[1]!Data_BS[TenCongTyID],DTRVL!$B$1,[1]!Data_BS[Thang.Nam],DTRVL!AL$5)</f>
        <v>0</v>
      </c>
    </row>
    <row r="69" spans="1:38" ht="15" hidden="1" customHeight="1" outlineLevel="1">
      <c r="A69" s="62" t="s">
        <v>153</v>
      </c>
      <c r="B69" s="63">
        <v>64</v>
      </c>
      <c r="C69" s="64"/>
      <c r="D69" s="69"/>
      <c r="E69" s="69"/>
      <c r="F69" s="379"/>
      <c r="G69" s="69"/>
      <c r="H69" s="69">
        <v>0</v>
      </c>
      <c r="I69" s="69"/>
      <c r="J69" s="69"/>
      <c r="K69" s="69"/>
      <c r="L69" s="69"/>
      <c r="M69" s="379"/>
      <c r="N69" s="85"/>
      <c r="O69" s="64"/>
      <c r="P69" s="69"/>
      <c r="Q69" s="69"/>
      <c r="R69" s="379"/>
      <c r="S69" s="69"/>
      <c r="T69" s="69"/>
      <c r="U69" s="69"/>
      <c r="V69" s="69"/>
      <c r="W69" s="69"/>
      <c r="X69" s="69"/>
      <c r="Y69" s="379">
        <v>10176000</v>
      </c>
      <c r="Z69" s="381">
        <v>10176000</v>
      </c>
      <c r="AA69" s="381">
        <f>SUMIFS([1]!Data_BS[Value],[1]!Data_BS[Index BS],DTRVL!$B69,[1]!Data_BS[TenCongTyID],DTRVL!$B$1,[1]!Data_BS[Thang.Nam],DTRVL!AA$5)</f>
        <v>0</v>
      </c>
      <c r="AB69" s="381">
        <f>SUMIFS([1]!Data_BS[Value],[1]!Data_BS[Index BS],DTRVL!$B69,[1]!Data_BS[TenCongTyID],DTRVL!$B$1,[1]!Data_BS[Thang.Nam],DTRVL!AB$5)</f>
        <v>0</v>
      </c>
      <c r="AC69" s="381">
        <f>SUMIFS([1]!Data_BS[Value],[1]!Data_BS[Index BS],DTRVL!$B69,[1]!Data_BS[TenCongTyID],DTRVL!$B$1,[1]!Data_BS[Thang.Nam],DTRVL!AC$5)</f>
        <v>0</v>
      </c>
      <c r="AD69" s="381">
        <f>SUMIFS([1]!Data_BS[Value],[1]!Data_BS[Index BS],DTRVL!$B69,[1]!Data_BS[TenCongTyID],DTRVL!$B$1,[1]!Data_BS[Thang.Nam],DTRVL!AD$5)</f>
        <v>0</v>
      </c>
      <c r="AE69" s="381">
        <f>SUMIFS([1]!Data_BS[Value],[1]!Data_BS[Index BS],DTRVL!$B69,[1]!Data_BS[TenCongTyID],DTRVL!$B$1,[1]!Data_BS[Thang.Nam],DTRVL!AE$5)</f>
        <v>0</v>
      </c>
      <c r="AF69" s="381">
        <f>SUMIFS([1]!Data_BS[Value],[1]!Data_BS[Index BS],DTRVL!$B69,[1]!Data_BS[TenCongTyID],DTRVL!$B$1,[1]!Data_BS[Thang.Nam],DTRVL!AF$5)</f>
        <v>0</v>
      </c>
      <c r="AG69" s="381">
        <f>SUMIFS([1]!Data_BS[Value],[1]!Data_BS[Index BS],DTRVL!$B69,[1]!Data_BS[TenCongTyID],DTRVL!$B$1,[1]!Data_BS[Thang.Nam],DTRVL!AG$5)</f>
        <v>0</v>
      </c>
      <c r="AH69" s="381">
        <f>SUMIFS([1]!Data_BS[Value],[1]!Data_BS[Index BS],DTRVL!$B69,[1]!Data_BS[TenCongTyID],DTRVL!$B$1,[1]!Data_BS[Thang.Nam],DTRVL!AH$5)</f>
        <v>0</v>
      </c>
      <c r="AI69" s="381">
        <f>SUMIFS([1]!Data_BS[Value],[1]!Data_BS[Index BS],DTRVL!$B69,[1]!Data_BS[TenCongTyID],DTRVL!$B$1,[1]!Data_BS[Thang.Nam],DTRVL!AI$5)</f>
        <v>0</v>
      </c>
      <c r="AJ69" s="381">
        <f>SUMIFS([1]!Data_BS[Value],[1]!Data_BS[Index BS],DTRVL!$B69,[1]!Data_BS[TenCongTyID],DTRVL!$B$1,[1]!Data_BS[Thang.Nam],DTRVL!AJ$5)</f>
        <v>0</v>
      </c>
      <c r="AK69" s="381">
        <f>SUMIFS([1]!Data_BS[Value],[1]!Data_BS[Index BS],DTRVL!$B69,[1]!Data_BS[TenCongTyID],DTRVL!$B$1,[1]!Data_BS[Thang.Nam],DTRVL!AK$5)</f>
        <v>0</v>
      </c>
      <c r="AL69" s="381">
        <f>SUMIFS([1]!Data_BS[Value],[1]!Data_BS[Index BS],DTRVL!$B69,[1]!Data_BS[TenCongTyID],DTRVL!$B$1,[1]!Data_BS[Thang.Nam],DTRVL!AL$5)</f>
        <v>0</v>
      </c>
    </row>
    <row r="70" spans="1:38" ht="15" hidden="1" customHeight="1" outlineLevel="1">
      <c r="A70" s="62" t="s">
        <v>154</v>
      </c>
      <c r="B70" s="63">
        <v>65</v>
      </c>
      <c r="C70" s="64"/>
      <c r="D70" s="69"/>
      <c r="E70" s="69"/>
      <c r="F70" s="379"/>
      <c r="G70" s="69"/>
      <c r="H70" s="69">
        <v>0</v>
      </c>
      <c r="I70" s="69"/>
      <c r="J70" s="69"/>
      <c r="K70" s="69"/>
      <c r="L70" s="69"/>
      <c r="M70" s="379"/>
      <c r="N70" s="85"/>
      <c r="O70" s="64"/>
      <c r="P70" s="69"/>
      <c r="Q70" s="69"/>
      <c r="R70" s="379"/>
      <c r="S70" s="69"/>
      <c r="T70" s="69"/>
      <c r="U70" s="69"/>
      <c r="V70" s="69"/>
      <c r="W70" s="69"/>
      <c r="X70" s="69"/>
      <c r="Y70" s="379">
        <v>77381481</v>
      </c>
      <c r="Z70" s="381">
        <v>77381481</v>
      </c>
      <c r="AA70" s="381">
        <f>SUMIFS([1]!Data_BS[Value],[1]!Data_BS[Index BS],DTRVL!$B70,[1]!Data_BS[TenCongTyID],DTRVL!$B$1,[1]!Data_BS[Thang.Nam],DTRVL!AA$5)</f>
        <v>0</v>
      </c>
      <c r="AB70" s="381">
        <f>SUMIFS([1]!Data_BS[Value],[1]!Data_BS[Index BS],DTRVL!$B70,[1]!Data_BS[TenCongTyID],DTRVL!$B$1,[1]!Data_BS[Thang.Nam],DTRVL!AB$5)</f>
        <v>0</v>
      </c>
      <c r="AC70" s="381">
        <f>SUMIFS([1]!Data_BS[Value],[1]!Data_BS[Index BS],DTRVL!$B70,[1]!Data_BS[TenCongTyID],DTRVL!$B$1,[1]!Data_BS[Thang.Nam],DTRVL!AC$5)</f>
        <v>0</v>
      </c>
      <c r="AD70" s="381">
        <f>SUMIFS([1]!Data_BS[Value],[1]!Data_BS[Index BS],DTRVL!$B70,[1]!Data_BS[TenCongTyID],DTRVL!$B$1,[1]!Data_BS[Thang.Nam],DTRVL!AD$5)</f>
        <v>0</v>
      </c>
      <c r="AE70" s="381">
        <f>SUMIFS([1]!Data_BS[Value],[1]!Data_BS[Index BS],DTRVL!$B70,[1]!Data_BS[TenCongTyID],DTRVL!$B$1,[1]!Data_BS[Thang.Nam],DTRVL!AE$5)</f>
        <v>0</v>
      </c>
      <c r="AF70" s="381">
        <f>SUMIFS([1]!Data_BS[Value],[1]!Data_BS[Index BS],DTRVL!$B70,[1]!Data_BS[TenCongTyID],DTRVL!$B$1,[1]!Data_BS[Thang.Nam],DTRVL!AF$5)</f>
        <v>0</v>
      </c>
      <c r="AG70" s="381">
        <f>SUMIFS([1]!Data_BS[Value],[1]!Data_BS[Index BS],DTRVL!$B70,[1]!Data_BS[TenCongTyID],DTRVL!$B$1,[1]!Data_BS[Thang.Nam],DTRVL!AG$5)</f>
        <v>0</v>
      </c>
      <c r="AH70" s="381">
        <f>SUMIFS([1]!Data_BS[Value],[1]!Data_BS[Index BS],DTRVL!$B70,[1]!Data_BS[TenCongTyID],DTRVL!$B$1,[1]!Data_BS[Thang.Nam],DTRVL!AH$5)</f>
        <v>0</v>
      </c>
      <c r="AI70" s="381">
        <f>SUMIFS([1]!Data_BS[Value],[1]!Data_BS[Index BS],DTRVL!$B70,[1]!Data_BS[TenCongTyID],DTRVL!$B$1,[1]!Data_BS[Thang.Nam],DTRVL!AI$5)</f>
        <v>0</v>
      </c>
      <c r="AJ70" s="381">
        <f>SUMIFS([1]!Data_BS[Value],[1]!Data_BS[Index BS],DTRVL!$B70,[1]!Data_BS[TenCongTyID],DTRVL!$B$1,[1]!Data_BS[Thang.Nam],DTRVL!AJ$5)</f>
        <v>0</v>
      </c>
      <c r="AK70" s="381">
        <f>SUMIFS([1]!Data_BS[Value],[1]!Data_BS[Index BS],DTRVL!$B70,[1]!Data_BS[TenCongTyID],DTRVL!$B$1,[1]!Data_BS[Thang.Nam],DTRVL!AK$5)</f>
        <v>0</v>
      </c>
      <c r="AL70" s="381">
        <f>SUMIFS([1]!Data_BS[Value],[1]!Data_BS[Index BS],DTRVL!$B70,[1]!Data_BS[TenCongTyID],DTRVL!$B$1,[1]!Data_BS[Thang.Nam],DTRVL!AL$5)</f>
        <v>0</v>
      </c>
    </row>
    <row r="71" spans="1:38" ht="15" hidden="1" customHeight="1" outlineLevel="1">
      <c r="A71" s="75" t="s">
        <v>155</v>
      </c>
      <c r="B71" s="65">
        <v>66</v>
      </c>
      <c r="C71" s="64"/>
      <c r="D71" s="69"/>
      <c r="E71" s="69"/>
      <c r="F71" s="379"/>
      <c r="G71" s="69"/>
      <c r="H71" s="69">
        <v>0</v>
      </c>
      <c r="I71" s="69"/>
      <c r="J71" s="69"/>
      <c r="K71" s="69"/>
      <c r="L71" s="69"/>
      <c r="M71" s="379"/>
      <c r="N71" s="85"/>
      <c r="O71" s="64"/>
      <c r="P71" s="69"/>
      <c r="Q71" s="69"/>
      <c r="R71" s="379"/>
      <c r="S71" s="69"/>
      <c r="T71" s="69"/>
      <c r="U71" s="69"/>
      <c r="V71" s="69"/>
      <c r="W71" s="69"/>
      <c r="X71" s="69"/>
      <c r="Y71" s="379">
        <v>0</v>
      </c>
      <c r="Z71" s="381">
        <v>0</v>
      </c>
      <c r="AA71" s="381">
        <f>SUMIFS([1]!Data_BS[Value],[1]!Data_BS[Index BS],DTRVL!$B71,[1]!Data_BS[TenCongTyID],DTRVL!$B$1,[1]!Data_BS[Thang.Nam],DTRVL!AA$5)</f>
        <v>0</v>
      </c>
      <c r="AB71" s="381">
        <f>SUMIFS([1]!Data_BS[Value],[1]!Data_BS[Index BS],DTRVL!$B71,[1]!Data_BS[TenCongTyID],DTRVL!$B$1,[1]!Data_BS[Thang.Nam],DTRVL!AB$5)</f>
        <v>0</v>
      </c>
      <c r="AC71" s="381">
        <f>SUMIFS([1]!Data_BS[Value],[1]!Data_BS[Index BS],DTRVL!$B71,[1]!Data_BS[TenCongTyID],DTRVL!$B$1,[1]!Data_BS[Thang.Nam],DTRVL!AC$5)</f>
        <v>0</v>
      </c>
      <c r="AD71" s="381">
        <f>SUMIFS([1]!Data_BS[Value],[1]!Data_BS[Index BS],DTRVL!$B71,[1]!Data_BS[TenCongTyID],DTRVL!$B$1,[1]!Data_BS[Thang.Nam],DTRVL!AD$5)</f>
        <v>0</v>
      </c>
      <c r="AE71" s="381">
        <f>SUMIFS([1]!Data_BS[Value],[1]!Data_BS[Index BS],DTRVL!$B71,[1]!Data_BS[TenCongTyID],DTRVL!$B$1,[1]!Data_BS[Thang.Nam],DTRVL!AE$5)</f>
        <v>0</v>
      </c>
      <c r="AF71" s="381">
        <f>SUMIFS([1]!Data_BS[Value],[1]!Data_BS[Index BS],DTRVL!$B71,[1]!Data_BS[TenCongTyID],DTRVL!$B$1,[1]!Data_BS[Thang.Nam],DTRVL!AF$5)</f>
        <v>0</v>
      </c>
      <c r="AG71" s="381">
        <f>SUMIFS([1]!Data_BS[Value],[1]!Data_BS[Index BS],DTRVL!$B71,[1]!Data_BS[TenCongTyID],DTRVL!$B$1,[1]!Data_BS[Thang.Nam],DTRVL!AG$5)</f>
        <v>0</v>
      </c>
      <c r="AH71" s="381">
        <f>SUMIFS([1]!Data_BS[Value],[1]!Data_BS[Index BS],DTRVL!$B71,[1]!Data_BS[TenCongTyID],DTRVL!$B$1,[1]!Data_BS[Thang.Nam],DTRVL!AH$5)</f>
        <v>0</v>
      </c>
      <c r="AI71" s="381">
        <f>SUMIFS([1]!Data_BS[Value],[1]!Data_BS[Index BS],DTRVL!$B71,[1]!Data_BS[TenCongTyID],DTRVL!$B$1,[1]!Data_BS[Thang.Nam],DTRVL!AI$5)</f>
        <v>0</v>
      </c>
      <c r="AJ71" s="381">
        <f>SUMIFS([1]!Data_BS[Value],[1]!Data_BS[Index BS],DTRVL!$B71,[1]!Data_BS[TenCongTyID],DTRVL!$B$1,[1]!Data_BS[Thang.Nam],DTRVL!AJ$5)</f>
        <v>0</v>
      </c>
      <c r="AK71" s="381">
        <f>SUMIFS([1]!Data_BS[Value],[1]!Data_BS[Index BS],DTRVL!$B71,[1]!Data_BS[TenCongTyID],DTRVL!$B$1,[1]!Data_BS[Thang.Nam],DTRVL!AK$5)</f>
        <v>0</v>
      </c>
      <c r="AL71" s="381">
        <f>SUMIFS([1]!Data_BS[Value],[1]!Data_BS[Index BS],DTRVL!$B71,[1]!Data_BS[TenCongTyID],DTRVL!$B$1,[1]!Data_BS[Thang.Nam],DTRVL!AL$5)</f>
        <v>0</v>
      </c>
    </row>
    <row r="72" spans="1:38" ht="15" hidden="1" customHeight="1" outlineLevel="1">
      <c r="A72" s="62" t="s">
        <v>156</v>
      </c>
      <c r="B72" s="63">
        <v>67</v>
      </c>
      <c r="C72" s="64"/>
      <c r="D72" s="69"/>
      <c r="E72" s="69"/>
      <c r="F72" s="379"/>
      <c r="G72" s="69"/>
      <c r="H72" s="69">
        <v>0</v>
      </c>
      <c r="I72" s="69"/>
      <c r="J72" s="69"/>
      <c r="K72" s="69"/>
      <c r="L72" s="69"/>
      <c r="M72" s="379"/>
      <c r="N72" s="85"/>
      <c r="O72" s="64"/>
      <c r="P72" s="69"/>
      <c r="Q72" s="69"/>
      <c r="R72" s="379"/>
      <c r="S72" s="69"/>
      <c r="T72" s="69"/>
      <c r="U72" s="69"/>
      <c r="V72" s="69"/>
      <c r="W72" s="69"/>
      <c r="X72" s="69"/>
      <c r="Y72" s="379"/>
      <c r="Z72" s="381">
        <v>0</v>
      </c>
      <c r="AA72" s="381">
        <f>SUMIFS([1]!Data_BS[Value],[1]!Data_BS[Index BS],DTRVL!$B72,[1]!Data_BS[TenCongTyID],DTRVL!$B$1,[1]!Data_BS[Thang.Nam],DTRVL!AA$5)</f>
        <v>0</v>
      </c>
      <c r="AB72" s="381">
        <f>SUMIFS([1]!Data_BS[Value],[1]!Data_BS[Index BS],DTRVL!$B72,[1]!Data_BS[TenCongTyID],DTRVL!$B$1,[1]!Data_BS[Thang.Nam],DTRVL!AB$5)</f>
        <v>0</v>
      </c>
      <c r="AC72" s="381">
        <f>SUMIFS([1]!Data_BS[Value],[1]!Data_BS[Index BS],DTRVL!$B72,[1]!Data_BS[TenCongTyID],DTRVL!$B$1,[1]!Data_BS[Thang.Nam],DTRVL!AC$5)</f>
        <v>0</v>
      </c>
      <c r="AD72" s="381">
        <f>SUMIFS([1]!Data_BS[Value],[1]!Data_BS[Index BS],DTRVL!$B72,[1]!Data_BS[TenCongTyID],DTRVL!$B$1,[1]!Data_BS[Thang.Nam],DTRVL!AD$5)</f>
        <v>0</v>
      </c>
      <c r="AE72" s="381">
        <f>SUMIFS([1]!Data_BS[Value],[1]!Data_BS[Index BS],DTRVL!$B72,[1]!Data_BS[TenCongTyID],DTRVL!$B$1,[1]!Data_BS[Thang.Nam],DTRVL!AE$5)</f>
        <v>0</v>
      </c>
      <c r="AF72" s="381">
        <f>SUMIFS([1]!Data_BS[Value],[1]!Data_BS[Index BS],DTRVL!$B72,[1]!Data_BS[TenCongTyID],DTRVL!$B$1,[1]!Data_BS[Thang.Nam],DTRVL!AF$5)</f>
        <v>0</v>
      </c>
      <c r="AG72" s="381">
        <f>SUMIFS([1]!Data_BS[Value],[1]!Data_BS[Index BS],DTRVL!$B72,[1]!Data_BS[TenCongTyID],DTRVL!$B$1,[1]!Data_BS[Thang.Nam],DTRVL!AG$5)</f>
        <v>0</v>
      </c>
      <c r="AH72" s="381">
        <f>SUMIFS([1]!Data_BS[Value],[1]!Data_BS[Index BS],DTRVL!$B72,[1]!Data_BS[TenCongTyID],DTRVL!$B$1,[1]!Data_BS[Thang.Nam],DTRVL!AH$5)</f>
        <v>0</v>
      </c>
      <c r="AI72" s="381">
        <f>SUMIFS([1]!Data_BS[Value],[1]!Data_BS[Index BS],DTRVL!$B72,[1]!Data_BS[TenCongTyID],DTRVL!$B$1,[1]!Data_BS[Thang.Nam],DTRVL!AI$5)</f>
        <v>0</v>
      </c>
      <c r="AJ72" s="381">
        <f>SUMIFS([1]!Data_BS[Value],[1]!Data_BS[Index BS],DTRVL!$B72,[1]!Data_BS[TenCongTyID],DTRVL!$B$1,[1]!Data_BS[Thang.Nam],DTRVL!AJ$5)</f>
        <v>0</v>
      </c>
      <c r="AK72" s="381">
        <f>SUMIFS([1]!Data_BS[Value],[1]!Data_BS[Index BS],DTRVL!$B72,[1]!Data_BS[TenCongTyID],DTRVL!$B$1,[1]!Data_BS[Thang.Nam],DTRVL!AK$5)</f>
        <v>0</v>
      </c>
      <c r="AL72" s="381">
        <f>SUMIFS([1]!Data_BS[Value],[1]!Data_BS[Index BS],DTRVL!$B72,[1]!Data_BS[TenCongTyID],DTRVL!$B$1,[1]!Data_BS[Thang.Nam],DTRVL!AL$5)</f>
        <v>0</v>
      </c>
    </row>
    <row r="73" spans="1:38" ht="15" hidden="1" customHeight="1" outlineLevel="1">
      <c r="A73" s="62" t="s">
        <v>157</v>
      </c>
      <c r="B73" s="63">
        <v>68</v>
      </c>
      <c r="C73" s="64"/>
      <c r="D73" s="69"/>
      <c r="E73" s="69"/>
      <c r="F73" s="379"/>
      <c r="G73" s="69"/>
      <c r="H73" s="69">
        <v>0</v>
      </c>
      <c r="I73" s="69"/>
      <c r="J73" s="69"/>
      <c r="K73" s="69"/>
      <c r="L73" s="69"/>
      <c r="M73" s="379"/>
      <c r="N73" s="85"/>
      <c r="O73" s="64"/>
      <c r="P73" s="69"/>
      <c r="Q73" s="69"/>
      <c r="R73" s="379"/>
      <c r="S73" s="69"/>
      <c r="T73" s="69"/>
      <c r="U73" s="69"/>
      <c r="V73" s="69"/>
      <c r="W73" s="69"/>
      <c r="X73" s="69"/>
      <c r="Y73" s="379"/>
      <c r="Z73" s="381">
        <v>0</v>
      </c>
      <c r="AA73" s="381">
        <f>SUMIFS([1]!Data_BS[Value],[1]!Data_BS[Index BS],DTRVL!$B73,[1]!Data_BS[TenCongTyID],DTRVL!$B$1,[1]!Data_BS[Thang.Nam],DTRVL!AA$5)</f>
        <v>0</v>
      </c>
      <c r="AB73" s="381">
        <f>SUMIFS([1]!Data_BS[Value],[1]!Data_BS[Index BS],DTRVL!$B73,[1]!Data_BS[TenCongTyID],DTRVL!$B$1,[1]!Data_BS[Thang.Nam],DTRVL!AB$5)</f>
        <v>0</v>
      </c>
      <c r="AC73" s="381">
        <f>SUMIFS([1]!Data_BS[Value],[1]!Data_BS[Index BS],DTRVL!$B73,[1]!Data_BS[TenCongTyID],DTRVL!$B$1,[1]!Data_BS[Thang.Nam],DTRVL!AC$5)</f>
        <v>0</v>
      </c>
      <c r="AD73" s="381">
        <f>SUMIFS([1]!Data_BS[Value],[1]!Data_BS[Index BS],DTRVL!$B73,[1]!Data_BS[TenCongTyID],DTRVL!$B$1,[1]!Data_BS[Thang.Nam],DTRVL!AD$5)</f>
        <v>0</v>
      </c>
      <c r="AE73" s="381">
        <f>SUMIFS([1]!Data_BS[Value],[1]!Data_BS[Index BS],DTRVL!$B73,[1]!Data_BS[TenCongTyID],DTRVL!$B$1,[1]!Data_BS[Thang.Nam],DTRVL!AE$5)</f>
        <v>0</v>
      </c>
      <c r="AF73" s="381">
        <f>SUMIFS([1]!Data_BS[Value],[1]!Data_BS[Index BS],DTRVL!$B73,[1]!Data_BS[TenCongTyID],DTRVL!$B$1,[1]!Data_BS[Thang.Nam],DTRVL!AF$5)</f>
        <v>0</v>
      </c>
      <c r="AG73" s="381">
        <f>SUMIFS([1]!Data_BS[Value],[1]!Data_BS[Index BS],DTRVL!$B73,[1]!Data_BS[TenCongTyID],DTRVL!$B$1,[1]!Data_BS[Thang.Nam],DTRVL!AG$5)</f>
        <v>0</v>
      </c>
      <c r="AH73" s="381">
        <f>SUMIFS([1]!Data_BS[Value],[1]!Data_BS[Index BS],DTRVL!$B73,[1]!Data_BS[TenCongTyID],DTRVL!$B$1,[1]!Data_BS[Thang.Nam],DTRVL!AH$5)</f>
        <v>0</v>
      </c>
      <c r="AI73" s="381">
        <f>SUMIFS([1]!Data_BS[Value],[1]!Data_BS[Index BS],DTRVL!$B73,[1]!Data_BS[TenCongTyID],DTRVL!$B$1,[1]!Data_BS[Thang.Nam],DTRVL!AI$5)</f>
        <v>0</v>
      </c>
      <c r="AJ73" s="381">
        <f>SUMIFS([1]!Data_BS[Value],[1]!Data_BS[Index BS],DTRVL!$B73,[1]!Data_BS[TenCongTyID],DTRVL!$B$1,[1]!Data_BS[Thang.Nam],DTRVL!AJ$5)</f>
        <v>0</v>
      </c>
      <c r="AK73" s="381">
        <f>SUMIFS([1]!Data_BS[Value],[1]!Data_BS[Index BS],DTRVL!$B73,[1]!Data_BS[TenCongTyID],DTRVL!$B$1,[1]!Data_BS[Thang.Nam],DTRVL!AK$5)</f>
        <v>0</v>
      </c>
      <c r="AL73" s="381">
        <f>SUMIFS([1]!Data_BS[Value],[1]!Data_BS[Index BS],DTRVL!$B73,[1]!Data_BS[TenCongTyID],DTRVL!$B$1,[1]!Data_BS[Thang.Nam],DTRVL!AL$5)</f>
        <v>0</v>
      </c>
    </row>
    <row r="74" spans="1:38" ht="15" hidden="1" customHeight="1" outlineLevel="1">
      <c r="A74" s="62" t="s">
        <v>158</v>
      </c>
      <c r="B74" s="63">
        <v>69</v>
      </c>
      <c r="C74" s="64"/>
      <c r="D74" s="69"/>
      <c r="E74" s="69"/>
      <c r="F74" s="379"/>
      <c r="G74" s="69"/>
      <c r="H74" s="69">
        <v>0</v>
      </c>
      <c r="I74" s="69"/>
      <c r="J74" s="69"/>
      <c r="K74" s="69"/>
      <c r="L74" s="69"/>
      <c r="M74" s="379"/>
      <c r="N74" s="85"/>
      <c r="O74" s="64"/>
      <c r="P74" s="69"/>
      <c r="Q74" s="69"/>
      <c r="R74" s="379"/>
      <c r="S74" s="69"/>
      <c r="T74" s="69"/>
      <c r="U74" s="69"/>
      <c r="V74" s="69"/>
      <c r="W74" s="69"/>
      <c r="X74" s="69"/>
      <c r="Y74" s="379"/>
      <c r="Z74" s="381">
        <v>0</v>
      </c>
      <c r="AA74" s="381">
        <f>SUMIFS([1]!Data_BS[Value],[1]!Data_BS[Index BS],DTRVL!$B74,[1]!Data_BS[TenCongTyID],DTRVL!$B$1,[1]!Data_BS[Thang.Nam],DTRVL!AA$5)</f>
        <v>0</v>
      </c>
      <c r="AB74" s="381">
        <f>SUMIFS([1]!Data_BS[Value],[1]!Data_BS[Index BS],DTRVL!$B74,[1]!Data_BS[TenCongTyID],DTRVL!$B$1,[1]!Data_BS[Thang.Nam],DTRVL!AB$5)</f>
        <v>0</v>
      </c>
      <c r="AC74" s="381">
        <f>SUMIFS([1]!Data_BS[Value],[1]!Data_BS[Index BS],DTRVL!$B74,[1]!Data_BS[TenCongTyID],DTRVL!$B$1,[1]!Data_BS[Thang.Nam],DTRVL!AC$5)</f>
        <v>0</v>
      </c>
      <c r="AD74" s="381">
        <f>SUMIFS([1]!Data_BS[Value],[1]!Data_BS[Index BS],DTRVL!$B74,[1]!Data_BS[TenCongTyID],DTRVL!$B$1,[1]!Data_BS[Thang.Nam],DTRVL!AD$5)</f>
        <v>0</v>
      </c>
      <c r="AE74" s="381">
        <f>SUMIFS([1]!Data_BS[Value],[1]!Data_BS[Index BS],DTRVL!$B74,[1]!Data_BS[TenCongTyID],DTRVL!$B$1,[1]!Data_BS[Thang.Nam],DTRVL!AE$5)</f>
        <v>0</v>
      </c>
      <c r="AF74" s="381">
        <f>SUMIFS([1]!Data_BS[Value],[1]!Data_BS[Index BS],DTRVL!$B74,[1]!Data_BS[TenCongTyID],DTRVL!$B$1,[1]!Data_BS[Thang.Nam],DTRVL!AF$5)</f>
        <v>0</v>
      </c>
      <c r="AG74" s="381">
        <f>SUMIFS([1]!Data_BS[Value],[1]!Data_BS[Index BS],DTRVL!$B74,[1]!Data_BS[TenCongTyID],DTRVL!$B$1,[1]!Data_BS[Thang.Nam],DTRVL!AG$5)</f>
        <v>0</v>
      </c>
      <c r="AH74" s="381">
        <f>SUMIFS([1]!Data_BS[Value],[1]!Data_BS[Index BS],DTRVL!$B74,[1]!Data_BS[TenCongTyID],DTRVL!$B$1,[1]!Data_BS[Thang.Nam],DTRVL!AH$5)</f>
        <v>0</v>
      </c>
      <c r="AI74" s="381">
        <f>SUMIFS([1]!Data_BS[Value],[1]!Data_BS[Index BS],DTRVL!$B74,[1]!Data_BS[TenCongTyID],DTRVL!$B$1,[1]!Data_BS[Thang.Nam],DTRVL!AI$5)</f>
        <v>0</v>
      </c>
      <c r="AJ74" s="381">
        <f>SUMIFS([1]!Data_BS[Value],[1]!Data_BS[Index BS],DTRVL!$B74,[1]!Data_BS[TenCongTyID],DTRVL!$B$1,[1]!Data_BS[Thang.Nam],DTRVL!AJ$5)</f>
        <v>0</v>
      </c>
      <c r="AK74" s="381">
        <f>SUMIFS([1]!Data_BS[Value],[1]!Data_BS[Index BS],DTRVL!$B74,[1]!Data_BS[TenCongTyID],DTRVL!$B$1,[1]!Data_BS[Thang.Nam],DTRVL!AK$5)</f>
        <v>0</v>
      </c>
      <c r="AL74" s="381">
        <f>SUMIFS([1]!Data_BS[Value],[1]!Data_BS[Index BS],DTRVL!$B74,[1]!Data_BS[TenCongTyID],DTRVL!$B$1,[1]!Data_BS[Thang.Nam],DTRVL!AL$5)</f>
        <v>0</v>
      </c>
    </row>
    <row r="75" spans="1:38" ht="15" hidden="1" customHeight="1" outlineLevel="1">
      <c r="A75" s="62" t="s">
        <v>159</v>
      </c>
      <c r="B75" s="63">
        <v>70</v>
      </c>
      <c r="C75" s="64"/>
      <c r="D75" s="69"/>
      <c r="E75" s="69"/>
      <c r="F75" s="379"/>
      <c r="G75" s="69"/>
      <c r="H75" s="69">
        <v>0</v>
      </c>
      <c r="I75" s="69"/>
      <c r="J75" s="69"/>
      <c r="K75" s="69"/>
      <c r="L75" s="69"/>
      <c r="M75" s="379"/>
      <c r="N75" s="85"/>
      <c r="O75" s="64"/>
      <c r="P75" s="69"/>
      <c r="Q75" s="69"/>
      <c r="R75" s="379"/>
      <c r="S75" s="69"/>
      <c r="T75" s="69"/>
      <c r="U75" s="69"/>
      <c r="V75" s="69"/>
      <c r="W75" s="69"/>
      <c r="X75" s="69"/>
      <c r="Y75" s="379"/>
      <c r="Z75" s="381">
        <v>0</v>
      </c>
      <c r="AA75" s="381">
        <f>SUMIFS([1]!Data_BS[Value],[1]!Data_BS[Index BS],DTRVL!$B75,[1]!Data_BS[TenCongTyID],DTRVL!$B$1,[1]!Data_BS[Thang.Nam],DTRVL!AA$5)</f>
        <v>0</v>
      </c>
      <c r="AB75" s="381">
        <f>SUMIFS([1]!Data_BS[Value],[1]!Data_BS[Index BS],DTRVL!$B75,[1]!Data_BS[TenCongTyID],DTRVL!$B$1,[1]!Data_BS[Thang.Nam],DTRVL!AB$5)</f>
        <v>0</v>
      </c>
      <c r="AC75" s="381">
        <f>SUMIFS([1]!Data_BS[Value],[1]!Data_BS[Index BS],DTRVL!$B75,[1]!Data_BS[TenCongTyID],DTRVL!$B$1,[1]!Data_BS[Thang.Nam],DTRVL!AC$5)</f>
        <v>0</v>
      </c>
      <c r="AD75" s="381">
        <f>SUMIFS([1]!Data_BS[Value],[1]!Data_BS[Index BS],DTRVL!$B75,[1]!Data_BS[TenCongTyID],DTRVL!$B$1,[1]!Data_BS[Thang.Nam],DTRVL!AD$5)</f>
        <v>0</v>
      </c>
      <c r="AE75" s="381">
        <f>SUMIFS([1]!Data_BS[Value],[1]!Data_BS[Index BS],DTRVL!$B75,[1]!Data_BS[TenCongTyID],DTRVL!$B$1,[1]!Data_BS[Thang.Nam],DTRVL!AE$5)</f>
        <v>0</v>
      </c>
      <c r="AF75" s="381">
        <f>SUMIFS([1]!Data_BS[Value],[1]!Data_BS[Index BS],DTRVL!$B75,[1]!Data_BS[TenCongTyID],DTRVL!$B$1,[1]!Data_BS[Thang.Nam],DTRVL!AF$5)</f>
        <v>0</v>
      </c>
      <c r="AG75" s="381">
        <f>SUMIFS([1]!Data_BS[Value],[1]!Data_BS[Index BS],DTRVL!$B75,[1]!Data_BS[TenCongTyID],DTRVL!$B$1,[1]!Data_BS[Thang.Nam],DTRVL!AG$5)</f>
        <v>0</v>
      </c>
      <c r="AH75" s="381">
        <f>SUMIFS([1]!Data_BS[Value],[1]!Data_BS[Index BS],DTRVL!$B75,[1]!Data_BS[TenCongTyID],DTRVL!$B$1,[1]!Data_BS[Thang.Nam],DTRVL!AH$5)</f>
        <v>0</v>
      </c>
      <c r="AI75" s="381">
        <f>SUMIFS([1]!Data_BS[Value],[1]!Data_BS[Index BS],DTRVL!$B75,[1]!Data_BS[TenCongTyID],DTRVL!$B$1,[1]!Data_BS[Thang.Nam],DTRVL!AI$5)</f>
        <v>0</v>
      </c>
      <c r="AJ75" s="381">
        <f>SUMIFS([1]!Data_BS[Value],[1]!Data_BS[Index BS],DTRVL!$B75,[1]!Data_BS[TenCongTyID],DTRVL!$B$1,[1]!Data_BS[Thang.Nam],DTRVL!AJ$5)</f>
        <v>0</v>
      </c>
      <c r="AK75" s="381">
        <f>SUMIFS([1]!Data_BS[Value],[1]!Data_BS[Index BS],DTRVL!$B75,[1]!Data_BS[TenCongTyID],DTRVL!$B$1,[1]!Data_BS[Thang.Nam],DTRVL!AK$5)</f>
        <v>0</v>
      </c>
      <c r="AL75" s="381">
        <f>SUMIFS([1]!Data_BS[Value],[1]!Data_BS[Index BS],DTRVL!$B75,[1]!Data_BS[TenCongTyID],DTRVL!$B$1,[1]!Data_BS[Thang.Nam],DTRVL!AL$5)</f>
        <v>0</v>
      </c>
    </row>
    <row r="76" spans="1:38" ht="15" hidden="1" customHeight="1" outlineLevel="1">
      <c r="A76" s="66" t="s">
        <v>160</v>
      </c>
      <c r="B76" s="63">
        <v>71</v>
      </c>
      <c r="C76" s="64"/>
      <c r="D76" s="69"/>
      <c r="E76" s="69"/>
      <c r="F76" s="379"/>
      <c r="G76" s="69"/>
      <c r="H76" s="69">
        <v>0</v>
      </c>
      <c r="I76" s="69"/>
      <c r="J76" s="69"/>
      <c r="K76" s="69"/>
      <c r="L76" s="69"/>
      <c r="M76" s="379"/>
      <c r="N76" s="85"/>
      <c r="O76" s="64"/>
      <c r="P76" s="69"/>
      <c r="Q76" s="69"/>
      <c r="R76" s="379"/>
      <c r="S76" s="69"/>
      <c r="T76" s="69"/>
      <c r="U76" s="69"/>
      <c r="V76" s="69"/>
      <c r="W76" s="69"/>
      <c r="X76" s="69"/>
      <c r="Y76" s="379"/>
      <c r="Z76" s="381">
        <v>0</v>
      </c>
      <c r="AA76" s="381">
        <f>SUMIFS([1]!Data_BS[Value],[1]!Data_BS[Index BS],DTRVL!$B76,[1]!Data_BS[TenCongTyID],DTRVL!$B$1,[1]!Data_BS[Thang.Nam],DTRVL!AA$5)</f>
        <v>0</v>
      </c>
      <c r="AB76" s="381">
        <f>SUMIFS([1]!Data_BS[Value],[1]!Data_BS[Index BS],DTRVL!$B76,[1]!Data_BS[TenCongTyID],DTRVL!$B$1,[1]!Data_BS[Thang.Nam],DTRVL!AB$5)</f>
        <v>0</v>
      </c>
      <c r="AC76" s="381">
        <f>SUMIFS([1]!Data_BS[Value],[1]!Data_BS[Index BS],DTRVL!$B76,[1]!Data_BS[TenCongTyID],DTRVL!$B$1,[1]!Data_BS[Thang.Nam],DTRVL!AC$5)</f>
        <v>0</v>
      </c>
      <c r="AD76" s="381">
        <f>SUMIFS([1]!Data_BS[Value],[1]!Data_BS[Index BS],DTRVL!$B76,[1]!Data_BS[TenCongTyID],DTRVL!$B$1,[1]!Data_BS[Thang.Nam],DTRVL!AD$5)</f>
        <v>0</v>
      </c>
      <c r="AE76" s="381">
        <f>SUMIFS([1]!Data_BS[Value],[1]!Data_BS[Index BS],DTRVL!$B76,[1]!Data_BS[TenCongTyID],DTRVL!$B$1,[1]!Data_BS[Thang.Nam],DTRVL!AE$5)</f>
        <v>0</v>
      </c>
      <c r="AF76" s="381">
        <f>SUMIFS([1]!Data_BS[Value],[1]!Data_BS[Index BS],DTRVL!$B76,[1]!Data_BS[TenCongTyID],DTRVL!$B$1,[1]!Data_BS[Thang.Nam],DTRVL!AF$5)</f>
        <v>0</v>
      </c>
      <c r="AG76" s="381">
        <f>SUMIFS([1]!Data_BS[Value],[1]!Data_BS[Index BS],DTRVL!$B76,[1]!Data_BS[TenCongTyID],DTRVL!$B$1,[1]!Data_BS[Thang.Nam],DTRVL!AG$5)</f>
        <v>0</v>
      </c>
      <c r="AH76" s="381">
        <f>SUMIFS([1]!Data_BS[Value],[1]!Data_BS[Index BS],DTRVL!$B76,[1]!Data_BS[TenCongTyID],DTRVL!$B$1,[1]!Data_BS[Thang.Nam],DTRVL!AH$5)</f>
        <v>0</v>
      </c>
      <c r="AI76" s="381">
        <f>SUMIFS([1]!Data_BS[Value],[1]!Data_BS[Index BS],DTRVL!$B76,[1]!Data_BS[TenCongTyID],DTRVL!$B$1,[1]!Data_BS[Thang.Nam],DTRVL!AI$5)</f>
        <v>0</v>
      </c>
      <c r="AJ76" s="381">
        <f>SUMIFS([1]!Data_BS[Value],[1]!Data_BS[Index BS],DTRVL!$B76,[1]!Data_BS[TenCongTyID],DTRVL!$B$1,[1]!Data_BS[Thang.Nam],DTRVL!AJ$5)</f>
        <v>0</v>
      </c>
      <c r="AK76" s="381">
        <f>SUMIFS([1]!Data_BS[Value],[1]!Data_BS[Index BS],DTRVL!$B76,[1]!Data_BS[TenCongTyID],DTRVL!$B$1,[1]!Data_BS[Thang.Nam],DTRVL!AK$5)</f>
        <v>0</v>
      </c>
      <c r="AL76" s="381">
        <f>SUMIFS([1]!Data_BS[Value],[1]!Data_BS[Index BS],DTRVL!$B76,[1]!Data_BS[TenCongTyID],DTRVL!$B$1,[1]!Data_BS[Thang.Nam],DTRVL!AL$5)</f>
        <v>0</v>
      </c>
    </row>
    <row r="77" spans="1:38" ht="15" hidden="1" customHeight="1" outlineLevel="1">
      <c r="A77" s="66" t="s">
        <v>161</v>
      </c>
      <c r="B77" s="63">
        <v>72</v>
      </c>
      <c r="C77" s="64"/>
      <c r="D77" s="69"/>
      <c r="E77" s="69"/>
      <c r="F77" s="379"/>
      <c r="G77" s="69"/>
      <c r="H77" s="69"/>
      <c r="I77" s="69"/>
      <c r="J77" s="69"/>
      <c r="K77" s="69"/>
      <c r="L77" s="69"/>
      <c r="M77" s="379"/>
      <c r="N77" s="85"/>
      <c r="O77" s="64"/>
      <c r="P77" s="69"/>
      <c r="Q77" s="69"/>
      <c r="R77" s="379"/>
      <c r="S77" s="69"/>
      <c r="T77" s="69"/>
      <c r="U77" s="69"/>
      <c r="V77" s="69"/>
      <c r="W77" s="69"/>
      <c r="X77" s="69"/>
      <c r="Y77" s="379"/>
      <c r="Z77" s="381">
        <v>0</v>
      </c>
      <c r="AA77" s="381">
        <f>SUMIFS([1]!Data_BS[Value],[1]!Data_BS[Index BS],DTRVL!$B77,[1]!Data_BS[TenCongTyID],DTRVL!$B$1,[1]!Data_BS[Thang.Nam],DTRVL!AA$5)</f>
        <v>0</v>
      </c>
      <c r="AB77" s="381">
        <f>SUMIFS([1]!Data_BS[Value],[1]!Data_BS[Index BS],DTRVL!$B77,[1]!Data_BS[TenCongTyID],DTRVL!$B$1,[1]!Data_BS[Thang.Nam],DTRVL!AB$5)</f>
        <v>0</v>
      </c>
      <c r="AC77" s="381">
        <f>SUMIFS([1]!Data_BS[Value],[1]!Data_BS[Index BS],DTRVL!$B77,[1]!Data_BS[TenCongTyID],DTRVL!$B$1,[1]!Data_BS[Thang.Nam],DTRVL!AC$5)</f>
        <v>0</v>
      </c>
      <c r="AD77" s="381">
        <f>SUMIFS([1]!Data_BS[Value],[1]!Data_BS[Index BS],DTRVL!$B77,[1]!Data_BS[TenCongTyID],DTRVL!$B$1,[1]!Data_BS[Thang.Nam],DTRVL!AD$5)</f>
        <v>0</v>
      </c>
      <c r="AE77" s="381">
        <f>SUMIFS([1]!Data_BS[Value],[1]!Data_BS[Index BS],DTRVL!$B77,[1]!Data_BS[TenCongTyID],DTRVL!$B$1,[1]!Data_BS[Thang.Nam],DTRVL!AE$5)</f>
        <v>0</v>
      </c>
      <c r="AF77" s="381">
        <f>SUMIFS([1]!Data_BS[Value],[1]!Data_BS[Index BS],DTRVL!$B77,[1]!Data_BS[TenCongTyID],DTRVL!$B$1,[1]!Data_BS[Thang.Nam],DTRVL!AF$5)</f>
        <v>0</v>
      </c>
      <c r="AG77" s="381">
        <f>SUMIFS([1]!Data_BS[Value],[1]!Data_BS[Index BS],DTRVL!$B77,[1]!Data_BS[TenCongTyID],DTRVL!$B$1,[1]!Data_BS[Thang.Nam],DTRVL!AG$5)</f>
        <v>0</v>
      </c>
      <c r="AH77" s="381">
        <f>SUMIFS([1]!Data_BS[Value],[1]!Data_BS[Index BS],DTRVL!$B77,[1]!Data_BS[TenCongTyID],DTRVL!$B$1,[1]!Data_BS[Thang.Nam],DTRVL!AH$5)</f>
        <v>0</v>
      </c>
      <c r="AI77" s="381">
        <f>SUMIFS([1]!Data_BS[Value],[1]!Data_BS[Index BS],DTRVL!$B77,[1]!Data_BS[TenCongTyID],DTRVL!$B$1,[1]!Data_BS[Thang.Nam],DTRVL!AI$5)</f>
        <v>0</v>
      </c>
      <c r="AJ77" s="381">
        <f>SUMIFS([1]!Data_BS[Value],[1]!Data_BS[Index BS],DTRVL!$B77,[1]!Data_BS[TenCongTyID],DTRVL!$B$1,[1]!Data_BS[Thang.Nam],DTRVL!AJ$5)</f>
        <v>0</v>
      </c>
      <c r="AK77" s="381">
        <f>SUMIFS([1]!Data_BS[Value],[1]!Data_BS[Index BS],DTRVL!$B77,[1]!Data_BS[TenCongTyID],DTRVL!$B$1,[1]!Data_BS[Thang.Nam],DTRVL!AK$5)</f>
        <v>0</v>
      </c>
      <c r="AL77" s="381">
        <f>SUMIFS([1]!Data_BS[Value],[1]!Data_BS[Index BS],DTRVL!$B77,[1]!Data_BS[TenCongTyID],DTRVL!$B$1,[1]!Data_BS[Thang.Nam],DTRVL!AL$5)</f>
        <v>0</v>
      </c>
    </row>
    <row r="78" spans="1:38" s="78" customFormat="1" ht="15" hidden="1" customHeight="1" outlineLevel="1">
      <c r="A78" s="76" t="s">
        <v>162</v>
      </c>
      <c r="B78" s="65">
        <v>73</v>
      </c>
      <c r="C78" s="77"/>
      <c r="D78" s="387"/>
      <c r="E78" s="387"/>
      <c r="F78" s="388"/>
      <c r="G78" s="387"/>
      <c r="H78" s="387">
        <v>0</v>
      </c>
      <c r="I78" s="387"/>
      <c r="J78" s="387"/>
      <c r="K78" s="387"/>
      <c r="L78" s="387"/>
      <c r="M78" s="388"/>
      <c r="N78" s="389"/>
      <c r="O78" s="77"/>
      <c r="P78" s="387"/>
      <c r="Q78" s="387"/>
      <c r="R78" s="388"/>
      <c r="S78" s="387"/>
      <c r="T78" s="387"/>
      <c r="U78" s="387"/>
      <c r="V78" s="387"/>
      <c r="W78" s="387"/>
      <c r="X78" s="387"/>
      <c r="Y78" s="388">
        <v>0</v>
      </c>
      <c r="Z78" s="391">
        <v>0</v>
      </c>
      <c r="AA78" s="391">
        <f>SUMIFS([1]!Data_BS[Value],[1]!Data_BS[Index BS],DTRVL!$B78,[1]!Data_BS[TenCongTyID],DTRVL!$B$1,[1]!Data_BS[Thang.Nam],DTRVL!AA$5)</f>
        <v>0</v>
      </c>
      <c r="AB78" s="391">
        <f>SUMIFS([1]!Data_BS[Value],[1]!Data_BS[Index BS],DTRVL!$B78,[1]!Data_BS[TenCongTyID],DTRVL!$B$1,[1]!Data_BS[Thang.Nam],DTRVL!AB$5)</f>
        <v>0</v>
      </c>
      <c r="AC78" s="391">
        <f>SUMIFS([1]!Data_BS[Value],[1]!Data_BS[Index BS],DTRVL!$B78,[1]!Data_BS[TenCongTyID],DTRVL!$B$1,[1]!Data_BS[Thang.Nam],DTRVL!AC$5)</f>
        <v>0</v>
      </c>
      <c r="AD78" s="391">
        <f>SUMIFS([1]!Data_BS[Value],[1]!Data_BS[Index BS],DTRVL!$B78,[1]!Data_BS[TenCongTyID],DTRVL!$B$1,[1]!Data_BS[Thang.Nam],DTRVL!AD$5)</f>
        <v>0</v>
      </c>
      <c r="AE78" s="391">
        <f>SUMIFS([1]!Data_BS[Value],[1]!Data_BS[Index BS],DTRVL!$B78,[1]!Data_BS[TenCongTyID],DTRVL!$B$1,[1]!Data_BS[Thang.Nam],DTRVL!AE$5)</f>
        <v>0</v>
      </c>
      <c r="AF78" s="391">
        <f>SUMIFS([1]!Data_BS[Value],[1]!Data_BS[Index BS],DTRVL!$B78,[1]!Data_BS[TenCongTyID],DTRVL!$B$1,[1]!Data_BS[Thang.Nam],DTRVL!AF$5)</f>
        <v>0</v>
      </c>
      <c r="AG78" s="391">
        <f>SUMIFS([1]!Data_BS[Value],[1]!Data_BS[Index BS],DTRVL!$B78,[1]!Data_BS[TenCongTyID],DTRVL!$B$1,[1]!Data_BS[Thang.Nam],DTRVL!AG$5)</f>
        <v>0</v>
      </c>
      <c r="AH78" s="391">
        <f>SUMIFS([1]!Data_BS[Value],[1]!Data_BS[Index BS],DTRVL!$B78,[1]!Data_BS[TenCongTyID],DTRVL!$B$1,[1]!Data_BS[Thang.Nam],DTRVL!AH$5)</f>
        <v>0</v>
      </c>
      <c r="AI78" s="391">
        <f>SUMIFS([1]!Data_BS[Value],[1]!Data_BS[Index BS],DTRVL!$B78,[1]!Data_BS[TenCongTyID],DTRVL!$B$1,[1]!Data_BS[Thang.Nam],DTRVL!AI$5)</f>
        <v>0</v>
      </c>
      <c r="AJ78" s="391">
        <f>SUMIFS([1]!Data_BS[Value],[1]!Data_BS[Index BS],DTRVL!$B78,[1]!Data_BS[TenCongTyID],DTRVL!$B$1,[1]!Data_BS[Thang.Nam],DTRVL!AJ$5)</f>
        <v>0</v>
      </c>
      <c r="AK78" s="391">
        <f>SUMIFS([1]!Data_BS[Value],[1]!Data_BS[Index BS],DTRVL!$B78,[1]!Data_BS[TenCongTyID],DTRVL!$B$1,[1]!Data_BS[Thang.Nam],DTRVL!AK$5)</f>
        <v>0</v>
      </c>
      <c r="AL78" s="391">
        <f>SUMIFS([1]!Data_BS[Value],[1]!Data_BS[Index BS],DTRVL!$B78,[1]!Data_BS[TenCongTyID],DTRVL!$B$1,[1]!Data_BS[Thang.Nam],DTRVL!AL$5)</f>
        <v>0</v>
      </c>
    </row>
    <row r="79" spans="1:38" ht="15" hidden="1" customHeight="1" outlineLevel="1">
      <c r="A79" s="67" t="s">
        <v>163</v>
      </c>
      <c r="B79" s="63">
        <v>74</v>
      </c>
      <c r="C79" s="64"/>
      <c r="D79" s="69"/>
      <c r="E79" s="69"/>
      <c r="F79" s="379"/>
      <c r="G79" s="69"/>
      <c r="H79" s="69">
        <v>0</v>
      </c>
      <c r="I79" s="69"/>
      <c r="J79" s="69"/>
      <c r="K79" s="69"/>
      <c r="L79" s="69"/>
      <c r="M79" s="379"/>
      <c r="N79" s="85"/>
      <c r="O79" s="64"/>
      <c r="P79" s="69"/>
      <c r="Q79" s="69"/>
      <c r="R79" s="379"/>
      <c r="S79" s="69"/>
      <c r="T79" s="69"/>
      <c r="U79" s="69"/>
      <c r="V79" s="69"/>
      <c r="W79" s="69"/>
      <c r="X79" s="69"/>
      <c r="Y79" s="379"/>
      <c r="Z79" s="381">
        <v>0</v>
      </c>
      <c r="AA79" s="381">
        <f>SUMIFS([1]!Data_BS[Value],[1]!Data_BS[Index BS],DTRVL!$B79,[1]!Data_BS[TenCongTyID],DTRVL!$B$1,[1]!Data_BS[Thang.Nam],DTRVL!AA$5)</f>
        <v>0</v>
      </c>
      <c r="AB79" s="381">
        <f>SUMIFS([1]!Data_BS[Value],[1]!Data_BS[Index BS],DTRVL!$B79,[1]!Data_BS[TenCongTyID],DTRVL!$B$1,[1]!Data_BS[Thang.Nam],DTRVL!AB$5)</f>
        <v>0</v>
      </c>
      <c r="AC79" s="381">
        <f>SUMIFS([1]!Data_BS[Value],[1]!Data_BS[Index BS],DTRVL!$B79,[1]!Data_BS[TenCongTyID],DTRVL!$B$1,[1]!Data_BS[Thang.Nam],DTRVL!AC$5)</f>
        <v>0</v>
      </c>
      <c r="AD79" s="381">
        <f>SUMIFS([1]!Data_BS[Value],[1]!Data_BS[Index BS],DTRVL!$B79,[1]!Data_BS[TenCongTyID],DTRVL!$B$1,[1]!Data_BS[Thang.Nam],DTRVL!AD$5)</f>
        <v>0</v>
      </c>
      <c r="AE79" s="381">
        <f>SUMIFS([1]!Data_BS[Value],[1]!Data_BS[Index BS],DTRVL!$B79,[1]!Data_BS[TenCongTyID],DTRVL!$B$1,[1]!Data_BS[Thang.Nam],DTRVL!AE$5)</f>
        <v>0</v>
      </c>
      <c r="AF79" s="381">
        <f>SUMIFS([1]!Data_BS[Value],[1]!Data_BS[Index BS],DTRVL!$B79,[1]!Data_BS[TenCongTyID],DTRVL!$B$1,[1]!Data_BS[Thang.Nam],DTRVL!AF$5)</f>
        <v>0</v>
      </c>
      <c r="AG79" s="381">
        <f>SUMIFS([1]!Data_BS[Value],[1]!Data_BS[Index BS],DTRVL!$B79,[1]!Data_BS[TenCongTyID],DTRVL!$B$1,[1]!Data_BS[Thang.Nam],DTRVL!AG$5)</f>
        <v>0</v>
      </c>
      <c r="AH79" s="381">
        <f>SUMIFS([1]!Data_BS[Value],[1]!Data_BS[Index BS],DTRVL!$B79,[1]!Data_BS[TenCongTyID],DTRVL!$B$1,[1]!Data_BS[Thang.Nam],DTRVL!AH$5)</f>
        <v>0</v>
      </c>
      <c r="AI79" s="381">
        <f>SUMIFS([1]!Data_BS[Value],[1]!Data_BS[Index BS],DTRVL!$B79,[1]!Data_BS[TenCongTyID],DTRVL!$B$1,[1]!Data_BS[Thang.Nam],DTRVL!AI$5)</f>
        <v>0</v>
      </c>
      <c r="AJ79" s="381">
        <f>SUMIFS([1]!Data_BS[Value],[1]!Data_BS[Index BS],DTRVL!$B79,[1]!Data_BS[TenCongTyID],DTRVL!$B$1,[1]!Data_BS[Thang.Nam],DTRVL!AJ$5)</f>
        <v>0</v>
      </c>
      <c r="AK79" s="381">
        <f>SUMIFS([1]!Data_BS[Value],[1]!Data_BS[Index BS],DTRVL!$B79,[1]!Data_BS[TenCongTyID],DTRVL!$B$1,[1]!Data_BS[Thang.Nam],DTRVL!AK$5)</f>
        <v>0</v>
      </c>
      <c r="AL79" s="381">
        <f>SUMIFS([1]!Data_BS[Value],[1]!Data_BS[Index BS],DTRVL!$B79,[1]!Data_BS[TenCongTyID],DTRVL!$B$1,[1]!Data_BS[Thang.Nam],DTRVL!AL$5)</f>
        <v>0</v>
      </c>
    </row>
    <row r="80" spans="1:38" ht="15" hidden="1" customHeight="1" outlineLevel="1">
      <c r="A80" s="67" t="s">
        <v>164</v>
      </c>
      <c r="B80" s="63">
        <v>75</v>
      </c>
      <c r="C80" s="64"/>
      <c r="D80" s="69"/>
      <c r="E80" s="69"/>
      <c r="F80" s="379"/>
      <c r="G80" s="69"/>
      <c r="H80" s="69">
        <v>0</v>
      </c>
      <c r="I80" s="69"/>
      <c r="J80" s="69"/>
      <c r="K80" s="69"/>
      <c r="L80" s="69"/>
      <c r="M80" s="379"/>
      <c r="N80" s="85"/>
      <c r="O80" s="64"/>
      <c r="P80" s="69"/>
      <c r="Q80" s="69"/>
      <c r="R80" s="379"/>
      <c r="S80" s="69"/>
      <c r="T80" s="69"/>
      <c r="U80" s="69"/>
      <c r="V80" s="69"/>
      <c r="W80" s="69"/>
      <c r="X80" s="69"/>
      <c r="Y80" s="379"/>
      <c r="Z80" s="381">
        <v>0</v>
      </c>
      <c r="AA80" s="381">
        <f>SUMIFS([1]!Data_BS[Value],[1]!Data_BS[Index BS],DTRVL!$B80,[1]!Data_BS[TenCongTyID],DTRVL!$B$1,[1]!Data_BS[Thang.Nam],DTRVL!AA$5)</f>
        <v>0</v>
      </c>
      <c r="AB80" s="381">
        <f>SUMIFS([1]!Data_BS[Value],[1]!Data_BS[Index BS],DTRVL!$B80,[1]!Data_BS[TenCongTyID],DTRVL!$B$1,[1]!Data_BS[Thang.Nam],DTRVL!AB$5)</f>
        <v>0</v>
      </c>
      <c r="AC80" s="381">
        <f>SUMIFS([1]!Data_BS[Value],[1]!Data_BS[Index BS],DTRVL!$B80,[1]!Data_BS[TenCongTyID],DTRVL!$B$1,[1]!Data_BS[Thang.Nam],DTRVL!AC$5)</f>
        <v>0</v>
      </c>
      <c r="AD80" s="381">
        <f>SUMIFS([1]!Data_BS[Value],[1]!Data_BS[Index BS],DTRVL!$B80,[1]!Data_BS[TenCongTyID],DTRVL!$B$1,[1]!Data_BS[Thang.Nam],DTRVL!AD$5)</f>
        <v>0</v>
      </c>
      <c r="AE80" s="381">
        <f>SUMIFS([1]!Data_BS[Value],[1]!Data_BS[Index BS],DTRVL!$B80,[1]!Data_BS[TenCongTyID],DTRVL!$B$1,[1]!Data_BS[Thang.Nam],DTRVL!AE$5)</f>
        <v>0</v>
      </c>
      <c r="AF80" s="381">
        <f>SUMIFS([1]!Data_BS[Value],[1]!Data_BS[Index BS],DTRVL!$B80,[1]!Data_BS[TenCongTyID],DTRVL!$B$1,[1]!Data_BS[Thang.Nam],DTRVL!AF$5)</f>
        <v>0</v>
      </c>
      <c r="AG80" s="381">
        <f>SUMIFS([1]!Data_BS[Value],[1]!Data_BS[Index BS],DTRVL!$B80,[1]!Data_BS[TenCongTyID],DTRVL!$B$1,[1]!Data_BS[Thang.Nam],DTRVL!AG$5)</f>
        <v>0</v>
      </c>
      <c r="AH80" s="381">
        <f>SUMIFS([1]!Data_BS[Value],[1]!Data_BS[Index BS],DTRVL!$B80,[1]!Data_BS[TenCongTyID],DTRVL!$B$1,[1]!Data_BS[Thang.Nam],DTRVL!AH$5)</f>
        <v>0</v>
      </c>
      <c r="AI80" s="381">
        <f>SUMIFS([1]!Data_BS[Value],[1]!Data_BS[Index BS],DTRVL!$B80,[1]!Data_BS[TenCongTyID],DTRVL!$B$1,[1]!Data_BS[Thang.Nam],DTRVL!AI$5)</f>
        <v>0</v>
      </c>
      <c r="AJ80" s="381">
        <f>SUMIFS([1]!Data_BS[Value],[1]!Data_BS[Index BS],DTRVL!$B80,[1]!Data_BS[TenCongTyID],DTRVL!$B$1,[1]!Data_BS[Thang.Nam],DTRVL!AJ$5)</f>
        <v>0</v>
      </c>
      <c r="AK80" s="381">
        <f>SUMIFS([1]!Data_BS[Value],[1]!Data_BS[Index BS],DTRVL!$B80,[1]!Data_BS[TenCongTyID],DTRVL!$B$1,[1]!Data_BS[Thang.Nam],DTRVL!AK$5)</f>
        <v>0</v>
      </c>
      <c r="AL80" s="381">
        <f>SUMIFS([1]!Data_BS[Value],[1]!Data_BS[Index BS],DTRVL!$B80,[1]!Data_BS[TenCongTyID],DTRVL!$B$1,[1]!Data_BS[Thang.Nam],DTRVL!AL$5)</f>
        <v>0</v>
      </c>
    </row>
    <row r="81" spans="1:38" ht="15" hidden="1" customHeight="1" outlineLevel="1">
      <c r="A81" s="67" t="s">
        <v>165</v>
      </c>
      <c r="B81" s="63">
        <v>76</v>
      </c>
      <c r="C81" s="64"/>
      <c r="D81" s="69"/>
      <c r="E81" s="69"/>
      <c r="F81" s="379"/>
      <c r="G81" s="69"/>
      <c r="H81" s="69">
        <v>0</v>
      </c>
      <c r="I81" s="69"/>
      <c r="J81" s="69"/>
      <c r="K81" s="69"/>
      <c r="L81" s="69"/>
      <c r="M81" s="379"/>
      <c r="N81" s="85"/>
      <c r="O81" s="64"/>
      <c r="P81" s="69"/>
      <c r="Q81" s="69"/>
      <c r="R81" s="379"/>
      <c r="S81" s="69"/>
      <c r="T81" s="69"/>
      <c r="U81" s="69"/>
      <c r="V81" s="69"/>
      <c r="W81" s="69"/>
      <c r="X81" s="69"/>
      <c r="Y81" s="379"/>
      <c r="Z81" s="381">
        <v>0</v>
      </c>
      <c r="AA81" s="381">
        <f>SUMIFS([1]!Data_BS[Value],[1]!Data_BS[Index BS],DTRVL!$B81,[1]!Data_BS[TenCongTyID],DTRVL!$B$1,[1]!Data_BS[Thang.Nam],DTRVL!AA$5)</f>
        <v>0</v>
      </c>
      <c r="AB81" s="381">
        <f>SUMIFS([1]!Data_BS[Value],[1]!Data_BS[Index BS],DTRVL!$B81,[1]!Data_BS[TenCongTyID],DTRVL!$B$1,[1]!Data_BS[Thang.Nam],DTRVL!AB$5)</f>
        <v>0</v>
      </c>
      <c r="AC81" s="381">
        <f>SUMIFS([1]!Data_BS[Value],[1]!Data_BS[Index BS],DTRVL!$B81,[1]!Data_BS[TenCongTyID],DTRVL!$B$1,[1]!Data_BS[Thang.Nam],DTRVL!AC$5)</f>
        <v>0</v>
      </c>
      <c r="AD81" s="381">
        <f>SUMIFS([1]!Data_BS[Value],[1]!Data_BS[Index BS],DTRVL!$B81,[1]!Data_BS[TenCongTyID],DTRVL!$B$1,[1]!Data_BS[Thang.Nam],DTRVL!AD$5)</f>
        <v>0</v>
      </c>
      <c r="AE81" s="381">
        <f>SUMIFS([1]!Data_BS[Value],[1]!Data_BS[Index BS],DTRVL!$B81,[1]!Data_BS[TenCongTyID],DTRVL!$B$1,[1]!Data_BS[Thang.Nam],DTRVL!AE$5)</f>
        <v>0</v>
      </c>
      <c r="AF81" s="381">
        <f>SUMIFS([1]!Data_BS[Value],[1]!Data_BS[Index BS],DTRVL!$B81,[1]!Data_BS[TenCongTyID],DTRVL!$B$1,[1]!Data_BS[Thang.Nam],DTRVL!AF$5)</f>
        <v>0</v>
      </c>
      <c r="AG81" s="381">
        <f>SUMIFS([1]!Data_BS[Value],[1]!Data_BS[Index BS],DTRVL!$B81,[1]!Data_BS[TenCongTyID],DTRVL!$B$1,[1]!Data_BS[Thang.Nam],DTRVL!AG$5)</f>
        <v>0</v>
      </c>
      <c r="AH81" s="381">
        <f>SUMIFS([1]!Data_BS[Value],[1]!Data_BS[Index BS],DTRVL!$B81,[1]!Data_BS[TenCongTyID],DTRVL!$B$1,[1]!Data_BS[Thang.Nam],DTRVL!AH$5)</f>
        <v>0</v>
      </c>
      <c r="AI81" s="381">
        <f>SUMIFS([1]!Data_BS[Value],[1]!Data_BS[Index BS],DTRVL!$B81,[1]!Data_BS[TenCongTyID],DTRVL!$B$1,[1]!Data_BS[Thang.Nam],DTRVL!AI$5)</f>
        <v>0</v>
      </c>
      <c r="AJ81" s="381">
        <f>SUMIFS([1]!Data_BS[Value],[1]!Data_BS[Index BS],DTRVL!$B81,[1]!Data_BS[TenCongTyID],DTRVL!$B$1,[1]!Data_BS[Thang.Nam],DTRVL!AJ$5)</f>
        <v>0</v>
      </c>
      <c r="AK81" s="381">
        <f>SUMIFS([1]!Data_BS[Value],[1]!Data_BS[Index BS],DTRVL!$B81,[1]!Data_BS[TenCongTyID],DTRVL!$B$1,[1]!Data_BS[Thang.Nam],DTRVL!AK$5)</f>
        <v>0</v>
      </c>
      <c r="AL81" s="381">
        <f>SUMIFS([1]!Data_BS[Value],[1]!Data_BS[Index BS],DTRVL!$B81,[1]!Data_BS[TenCongTyID],DTRVL!$B$1,[1]!Data_BS[Thang.Nam],DTRVL!AL$5)</f>
        <v>0</v>
      </c>
    </row>
    <row r="82" spans="1:38" ht="15" hidden="1" customHeight="1" outlineLevel="1">
      <c r="A82" s="67" t="s">
        <v>166</v>
      </c>
      <c r="B82" s="63">
        <v>77</v>
      </c>
      <c r="C82" s="64"/>
      <c r="D82" s="69"/>
      <c r="E82" s="69"/>
      <c r="F82" s="379"/>
      <c r="G82" s="69"/>
      <c r="H82" s="69">
        <v>0</v>
      </c>
      <c r="I82" s="69"/>
      <c r="J82" s="69"/>
      <c r="K82" s="69"/>
      <c r="L82" s="69"/>
      <c r="M82" s="379"/>
      <c r="N82" s="85"/>
      <c r="O82" s="64"/>
      <c r="P82" s="69"/>
      <c r="Q82" s="69"/>
      <c r="R82" s="379"/>
      <c r="S82" s="69"/>
      <c r="T82" s="69"/>
      <c r="U82" s="69"/>
      <c r="V82" s="69"/>
      <c r="W82" s="69"/>
      <c r="X82" s="69"/>
      <c r="Y82" s="379"/>
      <c r="Z82" s="381">
        <v>0</v>
      </c>
      <c r="AA82" s="381">
        <f>SUMIFS([1]!Data_BS[Value],[1]!Data_BS[Index BS],DTRVL!$B82,[1]!Data_BS[TenCongTyID],DTRVL!$B$1,[1]!Data_BS[Thang.Nam],DTRVL!AA$5)</f>
        <v>0</v>
      </c>
      <c r="AB82" s="381">
        <f>SUMIFS([1]!Data_BS[Value],[1]!Data_BS[Index BS],DTRVL!$B82,[1]!Data_BS[TenCongTyID],DTRVL!$B$1,[1]!Data_BS[Thang.Nam],DTRVL!AB$5)</f>
        <v>0</v>
      </c>
      <c r="AC82" s="381">
        <f>SUMIFS([1]!Data_BS[Value],[1]!Data_BS[Index BS],DTRVL!$B82,[1]!Data_BS[TenCongTyID],DTRVL!$B$1,[1]!Data_BS[Thang.Nam],DTRVL!AC$5)</f>
        <v>0</v>
      </c>
      <c r="AD82" s="381">
        <f>SUMIFS([1]!Data_BS[Value],[1]!Data_BS[Index BS],DTRVL!$B82,[1]!Data_BS[TenCongTyID],DTRVL!$B$1,[1]!Data_BS[Thang.Nam],DTRVL!AD$5)</f>
        <v>0</v>
      </c>
      <c r="AE82" s="381">
        <f>SUMIFS([1]!Data_BS[Value],[1]!Data_BS[Index BS],DTRVL!$B82,[1]!Data_BS[TenCongTyID],DTRVL!$B$1,[1]!Data_BS[Thang.Nam],DTRVL!AE$5)</f>
        <v>0</v>
      </c>
      <c r="AF82" s="381">
        <f>SUMIFS([1]!Data_BS[Value],[1]!Data_BS[Index BS],DTRVL!$B82,[1]!Data_BS[TenCongTyID],DTRVL!$B$1,[1]!Data_BS[Thang.Nam],DTRVL!AF$5)</f>
        <v>0</v>
      </c>
      <c r="AG82" s="381">
        <f>SUMIFS([1]!Data_BS[Value],[1]!Data_BS[Index BS],DTRVL!$B82,[1]!Data_BS[TenCongTyID],DTRVL!$B$1,[1]!Data_BS[Thang.Nam],DTRVL!AG$5)</f>
        <v>0</v>
      </c>
      <c r="AH82" s="381">
        <f>SUMIFS([1]!Data_BS[Value],[1]!Data_BS[Index BS],DTRVL!$B82,[1]!Data_BS[TenCongTyID],DTRVL!$B$1,[1]!Data_BS[Thang.Nam],DTRVL!AH$5)</f>
        <v>0</v>
      </c>
      <c r="AI82" s="381">
        <f>SUMIFS([1]!Data_BS[Value],[1]!Data_BS[Index BS],DTRVL!$B82,[1]!Data_BS[TenCongTyID],DTRVL!$B$1,[1]!Data_BS[Thang.Nam],DTRVL!AI$5)</f>
        <v>0</v>
      </c>
      <c r="AJ82" s="381">
        <f>SUMIFS([1]!Data_BS[Value],[1]!Data_BS[Index BS],DTRVL!$B82,[1]!Data_BS[TenCongTyID],DTRVL!$B$1,[1]!Data_BS[Thang.Nam],DTRVL!AJ$5)</f>
        <v>0</v>
      </c>
      <c r="AK82" s="381">
        <f>SUMIFS([1]!Data_BS[Value],[1]!Data_BS[Index BS],DTRVL!$B82,[1]!Data_BS[TenCongTyID],DTRVL!$B$1,[1]!Data_BS[Thang.Nam],DTRVL!AK$5)</f>
        <v>0</v>
      </c>
      <c r="AL82" s="381">
        <f>SUMIFS([1]!Data_BS[Value],[1]!Data_BS[Index BS],DTRVL!$B82,[1]!Data_BS[TenCongTyID],DTRVL!$B$1,[1]!Data_BS[Thang.Nam],DTRVL!AL$5)</f>
        <v>0</v>
      </c>
    </row>
    <row r="83" spans="1:38" s="251" customFormat="1" ht="15" hidden="1" customHeight="1" outlineLevel="1">
      <c r="A83" s="80" t="s">
        <v>167</v>
      </c>
      <c r="B83" s="81">
        <v>78</v>
      </c>
      <c r="C83" s="392">
        <f t="shared" ref="C83:I83" si="7">+C38+C6</f>
        <v>0</v>
      </c>
      <c r="D83" s="393">
        <f t="shared" si="7"/>
        <v>0</v>
      </c>
      <c r="E83" s="393">
        <f t="shared" si="7"/>
        <v>0</v>
      </c>
      <c r="F83" s="394">
        <f t="shared" si="7"/>
        <v>0</v>
      </c>
      <c r="G83" s="393">
        <f t="shared" si="7"/>
        <v>0</v>
      </c>
      <c r="H83" s="393">
        <f t="shared" si="7"/>
        <v>0</v>
      </c>
      <c r="I83" s="393">
        <f t="shared" si="7"/>
        <v>0</v>
      </c>
      <c r="J83" s="393"/>
      <c r="K83" s="393"/>
      <c r="L83" s="393"/>
      <c r="M83" s="394"/>
      <c r="N83" s="395"/>
      <c r="O83" s="392"/>
      <c r="P83" s="393"/>
      <c r="Q83" s="393"/>
      <c r="R83" s="394"/>
      <c r="S83" s="393"/>
      <c r="T83" s="393"/>
      <c r="U83" s="393"/>
      <c r="V83" s="393"/>
      <c r="W83" s="393"/>
      <c r="X83" s="393">
        <f>+X38+X6</f>
        <v>0</v>
      </c>
      <c r="Y83" s="394">
        <v>498111269</v>
      </c>
      <c r="Z83" s="432">
        <v>5998114586</v>
      </c>
      <c r="AA83" s="432">
        <f>SUMIFS([1]!Data_BS[Value],[1]!Data_BS[Index BS],DTRVL!$B83,[1]!Data_BS[TenCongTyID],DTRVL!$B$1,[1]!Data_BS[Thang.Nam],DTRVL!AA$5)</f>
        <v>0</v>
      </c>
      <c r="AB83" s="432">
        <f>SUMIFS([1]!Data_BS[Value],[1]!Data_BS[Index BS],DTRVL!$B83,[1]!Data_BS[TenCongTyID],DTRVL!$B$1,[1]!Data_BS[Thang.Nam],DTRVL!AB$5)</f>
        <v>0</v>
      </c>
      <c r="AC83" s="432">
        <f>SUMIFS([1]!Data_BS[Value],[1]!Data_BS[Index BS],DTRVL!$B83,[1]!Data_BS[TenCongTyID],DTRVL!$B$1,[1]!Data_BS[Thang.Nam],DTRVL!AC$5)</f>
        <v>0</v>
      </c>
      <c r="AD83" s="432">
        <f>SUMIFS([1]!Data_BS[Value],[1]!Data_BS[Index BS],DTRVL!$B83,[1]!Data_BS[TenCongTyID],DTRVL!$B$1,[1]!Data_BS[Thang.Nam],DTRVL!AD$5)</f>
        <v>0</v>
      </c>
      <c r="AE83" s="432">
        <f>SUMIFS([1]!Data_BS[Value],[1]!Data_BS[Index BS],DTRVL!$B83,[1]!Data_BS[TenCongTyID],DTRVL!$B$1,[1]!Data_BS[Thang.Nam],DTRVL!AE$5)</f>
        <v>0</v>
      </c>
      <c r="AF83" s="432">
        <f>SUMIFS([1]!Data_BS[Value],[1]!Data_BS[Index BS],DTRVL!$B83,[1]!Data_BS[TenCongTyID],DTRVL!$B$1,[1]!Data_BS[Thang.Nam],DTRVL!AF$5)</f>
        <v>0</v>
      </c>
      <c r="AG83" s="432">
        <f>SUMIFS([1]!Data_BS[Value],[1]!Data_BS[Index BS],DTRVL!$B83,[1]!Data_BS[TenCongTyID],DTRVL!$B$1,[1]!Data_BS[Thang.Nam],DTRVL!AG$5)</f>
        <v>0</v>
      </c>
      <c r="AH83" s="432">
        <f>SUMIFS([1]!Data_BS[Value],[1]!Data_BS[Index BS],DTRVL!$B83,[1]!Data_BS[TenCongTyID],DTRVL!$B$1,[1]!Data_BS[Thang.Nam],DTRVL!AH$5)</f>
        <v>0</v>
      </c>
      <c r="AI83" s="432">
        <f>SUMIFS([1]!Data_BS[Value],[1]!Data_BS[Index BS],DTRVL!$B83,[1]!Data_BS[TenCongTyID],DTRVL!$B$1,[1]!Data_BS[Thang.Nam],DTRVL!AI$5)</f>
        <v>0</v>
      </c>
      <c r="AJ83" s="432">
        <f>SUMIFS([1]!Data_BS[Value],[1]!Data_BS[Index BS],DTRVL!$B83,[1]!Data_BS[TenCongTyID],DTRVL!$B$1,[1]!Data_BS[Thang.Nam],DTRVL!AJ$5)</f>
        <v>0</v>
      </c>
      <c r="AK83" s="432">
        <f>SUMIFS([1]!Data_BS[Value],[1]!Data_BS[Index BS],DTRVL!$B83,[1]!Data_BS[TenCongTyID],DTRVL!$B$1,[1]!Data_BS[Thang.Nam],DTRVL!AK$5)</f>
        <v>0</v>
      </c>
      <c r="AL83" s="432">
        <f>SUMIFS([1]!Data_BS[Value],[1]!Data_BS[Index BS],DTRVL!$B83,[1]!Data_BS[TenCongTyID],DTRVL!$B$1,[1]!Data_BS[Thang.Nam],DTRVL!AL$5)</f>
        <v>0</v>
      </c>
    </row>
    <row r="84" spans="1:38" ht="15" hidden="1" customHeight="1" outlineLevel="1">
      <c r="A84" s="56" t="s">
        <v>168</v>
      </c>
      <c r="B84" s="71">
        <v>79</v>
      </c>
      <c r="C84" s="58">
        <f t="shared" ref="C84:I84" si="8">+C85+C101</f>
        <v>0</v>
      </c>
      <c r="D84" s="370">
        <f t="shared" si="8"/>
        <v>0</v>
      </c>
      <c r="E84" s="370">
        <f t="shared" si="8"/>
        <v>0</v>
      </c>
      <c r="F84" s="371">
        <f t="shared" si="8"/>
        <v>0</v>
      </c>
      <c r="G84" s="370">
        <f t="shared" si="8"/>
        <v>0</v>
      </c>
      <c r="H84" s="370">
        <f t="shared" si="8"/>
        <v>0</v>
      </c>
      <c r="I84" s="370">
        <f t="shared" si="8"/>
        <v>0</v>
      </c>
      <c r="J84" s="370"/>
      <c r="K84" s="370"/>
      <c r="L84" s="370"/>
      <c r="M84" s="371"/>
      <c r="N84" s="398"/>
      <c r="O84" s="58"/>
      <c r="P84" s="370"/>
      <c r="Q84" s="370"/>
      <c r="R84" s="371"/>
      <c r="S84" s="370"/>
      <c r="T84" s="370"/>
      <c r="U84" s="370"/>
      <c r="V84" s="370"/>
      <c r="W84" s="370"/>
      <c r="X84" s="370">
        <f>+X85+X101</f>
        <v>0</v>
      </c>
      <c r="Y84" s="371">
        <v>0</v>
      </c>
      <c r="Z84" s="374">
        <v>0</v>
      </c>
      <c r="AA84" s="374">
        <f>SUMIFS([1]!Data_BS[Value],[1]!Data_BS[Index BS],DTRVL!$B84,[1]!Data_BS[TenCongTyID],DTRVL!$B$1,[1]!Data_BS[Thang.Nam],DTRVL!AA$5)</f>
        <v>0</v>
      </c>
      <c r="AB84" s="374">
        <f>SUMIFS([1]!Data_BS[Value],[1]!Data_BS[Index BS],DTRVL!$B84,[1]!Data_BS[TenCongTyID],DTRVL!$B$1,[1]!Data_BS[Thang.Nam],DTRVL!AB$5)</f>
        <v>0</v>
      </c>
      <c r="AC84" s="374">
        <f>SUMIFS([1]!Data_BS[Value],[1]!Data_BS[Index BS],DTRVL!$B84,[1]!Data_BS[TenCongTyID],DTRVL!$B$1,[1]!Data_BS[Thang.Nam],DTRVL!AC$5)</f>
        <v>0</v>
      </c>
      <c r="AD84" s="374">
        <f>SUMIFS([1]!Data_BS[Value],[1]!Data_BS[Index BS],DTRVL!$B84,[1]!Data_BS[TenCongTyID],DTRVL!$B$1,[1]!Data_BS[Thang.Nam],DTRVL!AD$5)</f>
        <v>0</v>
      </c>
      <c r="AE84" s="374">
        <f>SUMIFS([1]!Data_BS[Value],[1]!Data_BS[Index BS],DTRVL!$B84,[1]!Data_BS[TenCongTyID],DTRVL!$B$1,[1]!Data_BS[Thang.Nam],DTRVL!AE$5)</f>
        <v>0</v>
      </c>
      <c r="AF84" s="374">
        <f>SUMIFS([1]!Data_BS[Value],[1]!Data_BS[Index BS],DTRVL!$B84,[1]!Data_BS[TenCongTyID],DTRVL!$B$1,[1]!Data_BS[Thang.Nam],DTRVL!AF$5)</f>
        <v>0</v>
      </c>
      <c r="AG84" s="374">
        <f>SUMIFS([1]!Data_BS[Value],[1]!Data_BS[Index BS],DTRVL!$B84,[1]!Data_BS[TenCongTyID],DTRVL!$B$1,[1]!Data_BS[Thang.Nam],DTRVL!AG$5)</f>
        <v>0</v>
      </c>
      <c r="AH84" s="374">
        <f>SUMIFS([1]!Data_BS[Value],[1]!Data_BS[Index BS],DTRVL!$B84,[1]!Data_BS[TenCongTyID],DTRVL!$B$1,[1]!Data_BS[Thang.Nam],DTRVL!AH$5)</f>
        <v>0</v>
      </c>
      <c r="AI84" s="374">
        <f>SUMIFS([1]!Data_BS[Value],[1]!Data_BS[Index BS],DTRVL!$B84,[1]!Data_BS[TenCongTyID],DTRVL!$B$1,[1]!Data_BS[Thang.Nam],DTRVL!AI$5)</f>
        <v>0</v>
      </c>
      <c r="AJ84" s="374">
        <f>SUMIFS([1]!Data_BS[Value],[1]!Data_BS[Index BS],DTRVL!$B84,[1]!Data_BS[TenCongTyID],DTRVL!$B$1,[1]!Data_BS[Thang.Nam],DTRVL!AJ$5)</f>
        <v>0</v>
      </c>
      <c r="AK84" s="374">
        <f>SUMIFS([1]!Data_BS[Value],[1]!Data_BS[Index BS],DTRVL!$B84,[1]!Data_BS[TenCongTyID],DTRVL!$B$1,[1]!Data_BS[Thang.Nam],DTRVL!AK$5)</f>
        <v>0</v>
      </c>
      <c r="AL84" s="374">
        <f>SUMIFS([1]!Data_BS[Value],[1]!Data_BS[Index BS],DTRVL!$B84,[1]!Data_BS[TenCongTyID],DTRVL!$B$1,[1]!Data_BS[Thang.Nam],DTRVL!AL$5)</f>
        <v>0</v>
      </c>
    </row>
    <row r="85" spans="1:38" ht="15" hidden="1" customHeight="1" outlineLevel="1">
      <c r="A85" s="59" t="s">
        <v>169</v>
      </c>
      <c r="B85" s="65">
        <v>80</v>
      </c>
      <c r="C85" s="61">
        <f t="shared" ref="C85:I85" si="9">+SUM(C87:C100)</f>
        <v>0</v>
      </c>
      <c r="D85" s="173">
        <f t="shared" si="9"/>
        <v>0</v>
      </c>
      <c r="E85" s="173">
        <f t="shared" si="9"/>
        <v>0</v>
      </c>
      <c r="F85" s="375">
        <f t="shared" si="9"/>
        <v>0</v>
      </c>
      <c r="G85" s="173">
        <f t="shared" si="9"/>
        <v>0</v>
      </c>
      <c r="H85" s="173">
        <f t="shared" si="9"/>
        <v>0</v>
      </c>
      <c r="I85" s="173">
        <f t="shared" si="9"/>
        <v>0</v>
      </c>
      <c r="J85" s="173"/>
      <c r="K85" s="173"/>
      <c r="L85" s="173"/>
      <c r="M85" s="375"/>
      <c r="N85" s="376"/>
      <c r="O85" s="61"/>
      <c r="P85" s="173"/>
      <c r="Q85" s="173"/>
      <c r="R85" s="375"/>
      <c r="S85" s="173"/>
      <c r="T85" s="173"/>
      <c r="U85" s="173"/>
      <c r="V85" s="173"/>
      <c r="W85" s="173"/>
      <c r="X85" s="173">
        <f>+SUM(X87:X100)</f>
        <v>0</v>
      </c>
      <c r="Y85" s="375">
        <v>0</v>
      </c>
      <c r="Z85" s="378">
        <v>0</v>
      </c>
      <c r="AA85" s="378">
        <f>SUMIFS([1]!Data_BS[Value],[1]!Data_BS[Index BS],DTRVL!$B85,[1]!Data_BS[TenCongTyID],DTRVL!$B$1,[1]!Data_BS[Thang.Nam],DTRVL!AA$5)</f>
        <v>0</v>
      </c>
      <c r="AB85" s="378">
        <f>SUMIFS([1]!Data_BS[Value],[1]!Data_BS[Index BS],DTRVL!$B85,[1]!Data_BS[TenCongTyID],DTRVL!$B$1,[1]!Data_BS[Thang.Nam],DTRVL!AB$5)</f>
        <v>0</v>
      </c>
      <c r="AC85" s="378">
        <f>SUMIFS([1]!Data_BS[Value],[1]!Data_BS[Index BS],DTRVL!$B85,[1]!Data_BS[TenCongTyID],DTRVL!$B$1,[1]!Data_BS[Thang.Nam],DTRVL!AC$5)</f>
        <v>0</v>
      </c>
      <c r="AD85" s="378">
        <f>SUMIFS([1]!Data_BS[Value],[1]!Data_BS[Index BS],DTRVL!$B85,[1]!Data_BS[TenCongTyID],DTRVL!$B$1,[1]!Data_BS[Thang.Nam],DTRVL!AD$5)</f>
        <v>0</v>
      </c>
      <c r="AE85" s="378">
        <f>SUMIFS([1]!Data_BS[Value],[1]!Data_BS[Index BS],DTRVL!$B85,[1]!Data_BS[TenCongTyID],DTRVL!$B$1,[1]!Data_BS[Thang.Nam],DTRVL!AE$5)</f>
        <v>0</v>
      </c>
      <c r="AF85" s="378">
        <f>SUMIFS([1]!Data_BS[Value],[1]!Data_BS[Index BS],DTRVL!$B85,[1]!Data_BS[TenCongTyID],DTRVL!$B$1,[1]!Data_BS[Thang.Nam],DTRVL!AF$5)</f>
        <v>0</v>
      </c>
      <c r="AG85" s="378">
        <f>SUMIFS([1]!Data_BS[Value],[1]!Data_BS[Index BS],DTRVL!$B85,[1]!Data_BS[TenCongTyID],DTRVL!$B$1,[1]!Data_BS[Thang.Nam],DTRVL!AG$5)</f>
        <v>0</v>
      </c>
      <c r="AH85" s="378">
        <f>SUMIFS([1]!Data_BS[Value],[1]!Data_BS[Index BS],DTRVL!$B85,[1]!Data_BS[TenCongTyID],DTRVL!$B$1,[1]!Data_BS[Thang.Nam],DTRVL!AH$5)</f>
        <v>0</v>
      </c>
      <c r="AI85" s="378">
        <f>SUMIFS([1]!Data_BS[Value],[1]!Data_BS[Index BS],DTRVL!$B85,[1]!Data_BS[TenCongTyID],DTRVL!$B$1,[1]!Data_BS[Thang.Nam],DTRVL!AI$5)</f>
        <v>0</v>
      </c>
      <c r="AJ85" s="378">
        <f>SUMIFS([1]!Data_BS[Value],[1]!Data_BS[Index BS],DTRVL!$B85,[1]!Data_BS[TenCongTyID],DTRVL!$B$1,[1]!Data_BS[Thang.Nam],DTRVL!AJ$5)</f>
        <v>0</v>
      </c>
      <c r="AK85" s="378">
        <f>SUMIFS([1]!Data_BS[Value],[1]!Data_BS[Index BS],DTRVL!$B85,[1]!Data_BS[TenCongTyID],DTRVL!$B$1,[1]!Data_BS[Thang.Nam],DTRVL!AK$5)</f>
        <v>0</v>
      </c>
      <c r="AL85" s="378">
        <f>SUMIFS([1]!Data_BS[Value],[1]!Data_BS[Index BS],DTRVL!$B85,[1]!Data_BS[TenCongTyID],DTRVL!$B$1,[1]!Data_BS[Thang.Nam],DTRVL!AL$5)</f>
        <v>0</v>
      </c>
    </row>
    <row r="86" spans="1:38" ht="15" hidden="1" customHeight="1" outlineLevel="1">
      <c r="A86" s="67" t="s">
        <v>170</v>
      </c>
      <c r="B86" s="63">
        <v>81</v>
      </c>
      <c r="C86" s="64"/>
      <c r="D86" s="69"/>
      <c r="E86" s="69"/>
      <c r="F86" s="379"/>
      <c r="G86" s="69"/>
      <c r="H86" s="69">
        <v>0</v>
      </c>
      <c r="I86" s="69"/>
      <c r="J86" s="69"/>
      <c r="K86" s="69"/>
      <c r="L86" s="69"/>
      <c r="M86" s="379"/>
      <c r="N86" s="85"/>
      <c r="O86" s="64"/>
      <c r="P86" s="69"/>
      <c r="Q86" s="69"/>
      <c r="R86" s="379"/>
      <c r="S86" s="69"/>
      <c r="T86" s="69"/>
      <c r="U86" s="69"/>
      <c r="V86" s="69"/>
      <c r="W86" s="69"/>
      <c r="X86" s="69"/>
      <c r="Y86" s="379"/>
      <c r="Z86" s="381">
        <v>0</v>
      </c>
      <c r="AA86" s="381">
        <f>SUMIFS([1]!Data_BS[Value],[1]!Data_BS[Index BS],DTRVL!$B86,[1]!Data_BS[TenCongTyID],DTRVL!$B$1,[1]!Data_BS[Thang.Nam],DTRVL!AA$5)</f>
        <v>0</v>
      </c>
      <c r="AB86" s="381">
        <f>SUMIFS([1]!Data_BS[Value],[1]!Data_BS[Index BS],DTRVL!$B86,[1]!Data_BS[TenCongTyID],DTRVL!$B$1,[1]!Data_BS[Thang.Nam],DTRVL!AB$5)</f>
        <v>0</v>
      </c>
      <c r="AC86" s="381">
        <f>SUMIFS([1]!Data_BS[Value],[1]!Data_BS[Index BS],DTRVL!$B86,[1]!Data_BS[TenCongTyID],DTRVL!$B$1,[1]!Data_BS[Thang.Nam],DTRVL!AC$5)</f>
        <v>0</v>
      </c>
      <c r="AD86" s="381">
        <f>SUMIFS([1]!Data_BS[Value],[1]!Data_BS[Index BS],DTRVL!$B86,[1]!Data_BS[TenCongTyID],DTRVL!$B$1,[1]!Data_BS[Thang.Nam],DTRVL!AD$5)</f>
        <v>0</v>
      </c>
      <c r="AE86" s="381">
        <f>SUMIFS([1]!Data_BS[Value],[1]!Data_BS[Index BS],DTRVL!$B86,[1]!Data_BS[TenCongTyID],DTRVL!$B$1,[1]!Data_BS[Thang.Nam],DTRVL!AE$5)</f>
        <v>0</v>
      </c>
      <c r="AF86" s="381">
        <f>SUMIFS([1]!Data_BS[Value],[1]!Data_BS[Index BS],DTRVL!$B86,[1]!Data_BS[TenCongTyID],DTRVL!$B$1,[1]!Data_BS[Thang.Nam],DTRVL!AF$5)</f>
        <v>0</v>
      </c>
      <c r="AG86" s="381">
        <f>SUMIFS([1]!Data_BS[Value],[1]!Data_BS[Index BS],DTRVL!$B86,[1]!Data_BS[TenCongTyID],DTRVL!$B$1,[1]!Data_BS[Thang.Nam],DTRVL!AG$5)</f>
        <v>0</v>
      </c>
      <c r="AH86" s="381">
        <f>SUMIFS([1]!Data_BS[Value],[1]!Data_BS[Index BS],DTRVL!$B86,[1]!Data_BS[TenCongTyID],DTRVL!$B$1,[1]!Data_BS[Thang.Nam],DTRVL!AH$5)</f>
        <v>0</v>
      </c>
      <c r="AI86" s="381">
        <f>SUMIFS([1]!Data_BS[Value],[1]!Data_BS[Index BS],DTRVL!$B86,[1]!Data_BS[TenCongTyID],DTRVL!$B$1,[1]!Data_BS[Thang.Nam],DTRVL!AI$5)</f>
        <v>0</v>
      </c>
      <c r="AJ86" s="381">
        <f>SUMIFS([1]!Data_BS[Value],[1]!Data_BS[Index BS],DTRVL!$B86,[1]!Data_BS[TenCongTyID],DTRVL!$B$1,[1]!Data_BS[Thang.Nam],DTRVL!AJ$5)</f>
        <v>0</v>
      </c>
      <c r="AK86" s="381">
        <f>SUMIFS([1]!Data_BS[Value],[1]!Data_BS[Index BS],DTRVL!$B86,[1]!Data_BS[TenCongTyID],DTRVL!$B$1,[1]!Data_BS[Thang.Nam],DTRVL!AK$5)</f>
        <v>0</v>
      </c>
      <c r="AL86" s="381">
        <f>SUMIFS([1]!Data_BS[Value],[1]!Data_BS[Index BS],DTRVL!$B86,[1]!Data_BS[TenCongTyID],DTRVL!$B$1,[1]!Data_BS[Thang.Nam],DTRVL!AL$5)</f>
        <v>0</v>
      </c>
    </row>
    <row r="87" spans="1:38" ht="15" hidden="1" customHeight="1" outlineLevel="1">
      <c r="A87" s="67" t="s">
        <v>171</v>
      </c>
      <c r="B87" s="63">
        <v>82</v>
      </c>
      <c r="C87" s="64"/>
      <c r="D87" s="69"/>
      <c r="E87" s="69"/>
      <c r="F87" s="379"/>
      <c r="G87" s="69"/>
      <c r="H87" s="69">
        <v>0</v>
      </c>
      <c r="I87" s="69"/>
      <c r="J87" s="69"/>
      <c r="K87" s="69"/>
      <c r="L87" s="69"/>
      <c r="M87" s="379"/>
      <c r="N87" s="85"/>
      <c r="O87" s="64"/>
      <c r="P87" s="69"/>
      <c r="Q87" s="69"/>
      <c r="R87" s="379"/>
      <c r="S87" s="69"/>
      <c r="T87" s="69"/>
      <c r="U87" s="69"/>
      <c r="V87" s="69"/>
      <c r="W87" s="69"/>
      <c r="X87" s="69"/>
      <c r="Y87" s="379"/>
      <c r="Z87" s="381">
        <v>0</v>
      </c>
      <c r="AA87" s="381">
        <f>SUMIFS([1]!Data_BS[Value],[1]!Data_BS[Index BS],DTRVL!$B87,[1]!Data_BS[TenCongTyID],DTRVL!$B$1,[1]!Data_BS[Thang.Nam],DTRVL!AA$5)</f>
        <v>0</v>
      </c>
      <c r="AB87" s="381">
        <f>SUMIFS([1]!Data_BS[Value],[1]!Data_BS[Index BS],DTRVL!$B87,[1]!Data_BS[TenCongTyID],DTRVL!$B$1,[1]!Data_BS[Thang.Nam],DTRVL!AB$5)</f>
        <v>0</v>
      </c>
      <c r="AC87" s="381">
        <f>SUMIFS([1]!Data_BS[Value],[1]!Data_BS[Index BS],DTRVL!$B87,[1]!Data_BS[TenCongTyID],DTRVL!$B$1,[1]!Data_BS[Thang.Nam],DTRVL!AC$5)</f>
        <v>0</v>
      </c>
      <c r="AD87" s="381">
        <f>SUMIFS([1]!Data_BS[Value],[1]!Data_BS[Index BS],DTRVL!$B87,[1]!Data_BS[TenCongTyID],DTRVL!$B$1,[1]!Data_BS[Thang.Nam],DTRVL!AD$5)</f>
        <v>0</v>
      </c>
      <c r="AE87" s="381">
        <f>SUMIFS([1]!Data_BS[Value],[1]!Data_BS[Index BS],DTRVL!$B87,[1]!Data_BS[TenCongTyID],DTRVL!$B$1,[1]!Data_BS[Thang.Nam],DTRVL!AE$5)</f>
        <v>0</v>
      </c>
      <c r="AF87" s="381">
        <f>SUMIFS([1]!Data_BS[Value],[1]!Data_BS[Index BS],DTRVL!$B87,[1]!Data_BS[TenCongTyID],DTRVL!$B$1,[1]!Data_BS[Thang.Nam],DTRVL!AF$5)</f>
        <v>0</v>
      </c>
      <c r="AG87" s="381">
        <f>SUMIFS([1]!Data_BS[Value],[1]!Data_BS[Index BS],DTRVL!$B87,[1]!Data_BS[TenCongTyID],DTRVL!$B$1,[1]!Data_BS[Thang.Nam],DTRVL!AG$5)</f>
        <v>0</v>
      </c>
      <c r="AH87" s="381">
        <f>SUMIFS([1]!Data_BS[Value],[1]!Data_BS[Index BS],DTRVL!$B87,[1]!Data_BS[TenCongTyID],DTRVL!$B$1,[1]!Data_BS[Thang.Nam],DTRVL!AH$5)</f>
        <v>0</v>
      </c>
      <c r="AI87" s="381">
        <f>SUMIFS([1]!Data_BS[Value],[1]!Data_BS[Index BS],DTRVL!$B87,[1]!Data_BS[TenCongTyID],DTRVL!$B$1,[1]!Data_BS[Thang.Nam],DTRVL!AI$5)</f>
        <v>0</v>
      </c>
      <c r="AJ87" s="381">
        <f>SUMIFS([1]!Data_BS[Value],[1]!Data_BS[Index BS],DTRVL!$B87,[1]!Data_BS[TenCongTyID],DTRVL!$B$1,[1]!Data_BS[Thang.Nam],DTRVL!AJ$5)</f>
        <v>0</v>
      </c>
      <c r="AK87" s="381">
        <f>SUMIFS([1]!Data_BS[Value],[1]!Data_BS[Index BS],DTRVL!$B87,[1]!Data_BS[TenCongTyID],DTRVL!$B$1,[1]!Data_BS[Thang.Nam],DTRVL!AK$5)</f>
        <v>0</v>
      </c>
      <c r="AL87" s="381">
        <f>SUMIFS([1]!Data_BS[Value],[1]!Data_BS[Index BS],DTRVL!$B87,[1]!Data_BS[TenCongTyID],DTRVL!$B$1,[1]!Data_BS[Thang.Nam],DTRVL!AL$5)</f>
        <v>0</v>
      </c>
    </row>
    <row r="88" spans="1:38" ht="15" hidden="1" customHeight="1" outlineLevel="1">
      <c r="A88" s="67" t="s">
        <v>172</v>
      </c>
      <c r="B88" s="63">
        <v>83</v>
      </c>
      <c r="C88" s="64"/>
      <c r="D88" s="69"/>
      <c r="E88" s="69"/>
      <c r="F88" s="379"/>
      <c r="G88" s="69"/>
      <c r="H88" s="69"/>
      <c r="I88" s="69"/>
      <c r="J88" s="69"/>
      <c r="K88" s="69"/>
      <c r="L88" s="69"/>
      <c r="M88" s="379"/>
      <c r="N88" s="85"/>
      <c r="O88" s="64"/>
      <c r="P88" s="69"/>
      <c r="Q88" s="69"/>
      <c r="R88" s="379"/>
      <c r="S88" s="69"/>
      <c r="T88" s="69"/>
      <c r="U88" s="69"/>
      <c r="V88" s="69"/>
      <c r="W88" s="69"/>
      <c r="X88" s="69"/>
      <c r="Y88" s="379"/>
      <c r="Z88" s="381">
        <v>0</v>
      </c>
      <c r="AA88" s="381">
        <f>SUMIFS([1]!Data_BS[Value],[1]!Data_BS[Index BS],DTRVL!$B88,[1]!Data_BS[TenCongTyID],DTRVL!$B$1,[1]!Data_BS[Thang.Nam],DTRVL!AA$5)</f>
        <v>0</v>
      </c>
      <c r="AB88" s="381">
        <f>SUMIFS([1]!Data_BS[Value],[1]!Data_BS[Index BS],DTRVL!$B88,[1]!Data_BS[TenCongTyID],DTRVL!$B$1,[1]!Data_BS[Thang.Nam],DTRVL!AB$5)</f>
        <v>0</v>
      </c>
      <c r="AC88" s="381">
        <f>SUMIFS([1]!Data_BS[Value],[1]!Data_BS[Index BS],DTRVL!$B88,[1]!Data_BS[TenCongTyID],DTRVL!$B$1,[1]!Data_BS[Thang.Nam],DTRVL!AC$5)</f>
        <v>0</v>
      </c>
      <c r="AD88" s="381">
        <f>SUMIFS([1]!Data_BS[Value],[1]!Data_BS[Index BS],DTRVL!$B88,[1]!Data_BS[TenCongTyID],DTRVL!$B$1,[1]!Data_BS[Thang.Nam],DTRVL!AD$5)</f>
        <v>0</v>
      </c>
      <c r="AE88" s="381">
        <f>SUMIFS([1]!Data_BS[Value],[1]!Data_BS[Index BS],DTRVL!$B88,[1]!Data_BS[TenCongTyID],DTRVL!$B$1,[1]!Data_BS[Thang.Nam],DTRVL!AE$5)</f>
        <v>0</v>
      </c>
      <c r="AF88" s="381">
        <f>SUMIFS([1]!Data_BS[Value],[1]!Data_BS[Index BS],DTRVL!$B88,[1]!Data_BS[TenCongTyID],DTRVL!$B$1,[1]!Data_BS[Thang.Nam],DTRVL!AF$5)</f>
        <v>0</v>
      </c>
      <c r="AG88" s="381">
        <f>SUMIFS([1]!Data_BS[Value],[1]!Data_BS[Index BS],DTRVL!$B88,[1]!Data_BS[TenCongTyID],DTRVL!$B$1,[1]!Data_BS[Thang.Nam],DTRVL!AG$5)</f>
        <v>0</v>
      </c>
      <c r="AH88" s="381">
        <f>SUMIFS([1]!Data_BS[Value],[1]!Data_BS[Index BS],DTRVL!$B88,[1]!Data_BS[TenCongTyID],DTRVL!$B$1,[1]!Data_BS[Thang.Nam],DTRVL!AH$5)</f>
        <v>0</v>
      </c>
      <c r="AI88" s="381">
        <f>SUMIFS([1]!Data_BS[Value],[1]!Data_BS[Index BS],DTRVL!$B88,[1]!Data_BS[TenCongTyID],DTRVL!$B$1,[1]!Data_BS[Thang.Nam],DTRVL!AI$5)</f>
        <v>0</v>
      </c>
      <c r="AJ88" s="381">
        <f>SUMIFS([1]!Data_BS[Value],[1]!Data_BS[Index BS],DTRVL!$B88,[1]!Data_BS[TenCongTyID],DTRVL!$B$1,[1]!Data_BS[Thang.Nam],DTRVL!AJ$5)</f>
        <v>0</v>
      </c>
      <c r="AK88" s="381">
        <f>SUMIFS([1]!Data_BS[Value],[1]!Data_BS[Index BS],DTRVL!$B88,[1]!Data_BS[TenCongTyID],DTRVL!$B$1,[1]!Data_BS[Thang.Nam],DTRVL!AK$5)</f>
        <v>0</v>
      </c>
      <c r="AL88" s="381">
        <f>SUMIFS([1]!Data_BS[Value],[1]!Data_BS[Index BS],DTRVL!$B88,[1]!Data_BS[TenCongTyID],DTRVL!$B$1,[1]!Data_BS[Thang.Nam],DTRVL!AL$5)</f>
        <v>0</v>
      </c>
    </row>
    <row r="89" spans="1:38" ht="15" hidden="1" customHeight="1" outlineLevel="1">
      <c r="A89" s="67" t="s">
        <v>173</v>
      </c>
      <c r="B89" s="63">
        <v>84</v>
      </c>
      <c r="C89" s="64"/>
      <c r="D89" s="69"/>
      <c r="E89" s="69"/>
      <c r="F89" s="379"/>
      <c r="G89" s="69"/>
      <c r="H89" s="69">
        <v>0</v>
      </c>
      <c r="I89" s="69"/>
      <c r="J89" s="69"/>
      <c r="K89" s="69"/>
      <c r="L89" s="69"/>
      <c r="M89" s="379"/>
      <c r="N89" s="85"/>
      <c r="O89" s="64"/>
      <c r="P89" s="69"/>
      <c r="Q89" s="69"/>
      <c r="R89" s="379"/>
      <c r="S89" s="69"/>
      <c r="T89" s="69"/>
      <c r="U89" s="69"/>
      <c r="V89" s="69"/>
      <c r="W89" s="69"/>
      <c r="X89" s="69"/>
      <c r="Y89" s="379"/>
      <c r="Z89" s="381">
        <v>0</v>
      </c>
      <c r="AA89" s="381">
        <f>SUMIFS([1]!Data_BS[Value],[1]!Data_BS[Index BS],DTRVL!$B89,[1]!Data_BS[TenCongTyID],DTRVL!$B$1,[1]!Data_BS[Thang.Nam],DTRVL!AA$5)</f>
        <v>0</v>
      </c>
      <c r="AB89" s="381">
        <f>SUMIFS([1]!Data_BS[Value],[1]!Data_BS[Index BS],DTRVL!$B89,[1]!Data_BS[TenCongTyID],DTRVL!$B$1,[1]!Data_BS[Thang.Nam],DTRVL!AB$5)</f>
        <v>0</v>
      </c>
      <c r="AC89" s="381">
        <f>SUMIFS([1]!Data_BS[Value],[1]!Data_BS[Index BS],DTRVL!$B89,[1]!Data_BS[TenCongTyID],DTRVL!$B$1,[1]!Data_BS[Thang.Nam],DTRVL!AC$5)</f>
        <v>0</v>
      </c>
      <c r="AD89" s="381">
        <f>SUMIFS([1]!Data_BS[Value],[1]!Data_BS[Index BS],DTRVL!$B89,[1]!Data_BS[TenCongTyID],DTRVL!$B$1,[1]!Data_BS[Thang.Nam],DTRVL!AD$5)</f>
        <v>0</v>
      </c>
      <c r="AE89" s="381">
        <f>SUMIFS([1]!Data_BS[Value],[1]!Data_BS[Index BS],DTRVL!$B89,[1]!Data_BS[TenCongTyID],DTRVL!$B$1,[1]!Data_BS[Thang.Nam],DTRVL!AE$5)</f>
        <v>0</v>
      </c>
      <c r="AF89" s="381">
        <f>SUMIFS([1]!Data_BS[Value],[1]!Data_BS[Index BS],DTRVL!$B89,[1]!Data_BS[TenCongTyID],DTRVL!$B$1,[1]!Data_BS[Thang.Nam],DTRVL!AF$5)</f>
        <v>0</v>
      </c>
      <c r="AG89" s="381">
        <f>SUMIFS([1]!Data_BS[Value],[1]!Data_BS[Index BS],DTRVL!$B89,[1]!Data_BS[TenCongTyID],DTRVL!$B$1,[1]!Data_BS[Thang.Nam],DTRVL!AG$5)</f>
        <v>0</v>
      </c>
      <c r="AH89" s="381">
        <f>SUMIFS([1]!Data_BS[Value],[1]!Data_BS[Index BS],DTRVL!$B89,[1]!Data_BS[TenCongTyID],DTRVL!$B$1,[1]!Data_BS[Thang.Nam],DTRVL!AH$5)</f>
        <v>0</v>
      </c>
      <c r="AI89" s="381">
        <f>SUMIFS([1]!Data_BS[Value],[1]!Data_BS[Index BS],DTRVL!$B89,[1]!Data_BS[TenCongTyID],DTRVL!$B$1,[1]!Data_BS[Thang.Nam],DTRVL!AI$5)</f>
        <v>0</v>
      </c>
      <c r="AJ89" s="381">
        <f>SUMIFS([1]!Data_BS[Value],[1]!Data_BS[Index BS],DTRVL!$B89,[1]!Data_BS[TenCongTyID],DTRVL!$B$1,[1]!Data_BS[Thang.Nam],DTRVL!AJ$5)</f>
        <v>0</v>
      </c>
      <c r="AK89" s="381">
        <f>SUMIFS([1]!Data_BS[Value],[1]!Data_BS[Index BS],DTRVL!$B89,[1]!Data_BS[TenCongTyID],DTRVL!$B$1,[1]!Data_BS[Thang.Nam],DTRVL!AK$5)</f>
        <v>0</v>
      </c>
      <c r="AL89" s="381">
        <f>SUMIFS([1]!Data_BS[Value],[1]!Data_BS[Index BS],DTRVL!$B89,[1]!Data_BS[TenCongTyID],DTRVL!$B$1,[1]!Data_BS[Thang.Nam],DTRVL!AL$5)</f>
        <v>0</v>
      </c>
    </row>
    <row r="90" spans="1:38" ht="15" hidden="1" customHeight="1" outlineLevel="1">
      <c r="A90" s="67" t="s">
        <v>174</v>
      </c>
      <c r="B90" s="63">
        <v>85</v>
      </c>
      <c r="C90" s="64"/>
      <c r="D90" s="69"/>
      <c r="E90" s="69"/>
      <c r="F90" s="379"/>
      <c r="G90" s="69"/>
      <c r="H90" s="69">
        <v>0</v>
      </c>
      <c r="I90" s="69"/>
      <c r="J90" s="69"/>
      <c r="K90" s="69"/>
      <c r="L90" s="69"/>
      <c r="M90" s="379"/>
      <c r="N90" s="85"/>
      <c r="O90" s="64"/>
      <c r="P90" s="69"/>
      <c r="Q90" s="69"/>
      <c r="R90" s="379"/>
      <c r="S90" s="69"/>
      <c r="T90" s="69"/>
      <c r="U90" s="69"/>
      <c r="V90" s="69"/>
      <c r="W90" s="69"/>
      <c r="X90" s="69"/>
      <c r="Y90" s="379"/>
      <c r="Z90" s="381">
        <v>0</v>
      </c>
      <c r="AA90" s="381">
        <f>SUMIFS([1]!Data_BS[Value],[1]!Data_BS[Index BS],DTRVL!$B90,[1]!Data_BS[TenCongTyID],DTRVL!$B$1,[1]!Data_BS[Thang.Nam],DTRVL!AA$5)</f>
        <v>0</v>
      </c>
      <c r="AB90" s="381">
        <f>SUMIFS([1]!Data_BS[Value],[1]!Data_BS[Index BS],DTRVL!$B90,[1]!Data_BS[TenCongTyID],DTRVL!$B$1,[1]!Data_BS[Thang.Nam],DTRVL!AB$5)</f>
        <v>0</v>
      </c>
      <c r="AC90" s="381">
        <f>SUMIFS([1]!Data_BS[Value],[1]!Data_BS[Index BS],DTRVL!$B90,[1]!Data_BS[TenCongTyID],DTRVL!$B$1,[1]!Data_BS[Thang.Nam],DTRVL!AC$5)</f>
        <v>0</v>
      </c>
      <c r="AD90" s="381">
        <f>SUMIFS([1]!Data_BS[Value],[1]!Data_BS[Index BS],DTRVL!$B90,[1]!Data_BS[TenCongTyID],DTRVL!$B$1,[1]!Data_BS[Thang.Nam],DTRVL!AD$5)</f>
        <v>0</v>
      </c>
      <c r="AE90" s="381">
        <f>SUMIFS([1]!Data_BS[Value],[1]!Data_BS[Index BS],DTRVL!$B90,[1]!Data_BS[TenCongTyID],DTRVL!$B$1,[1]!Data_BS[Thang.Nam],DTRVL!AE$5)</f>
        <v>0</v>
      </c>
      <c r="AF90" s="381">
        <f>SUMIFS([1]!Data_BS[Value],[1]!Data_BS[Index BS],DTRVL!$B90,[1]!Data_BS[TenCongTyID],DTRVL!$B$1,[1]!Data_BS[Thang.Nam],DTRVL!AF$5)</f>
        <v>0</v>
      </c>
      <c r="AG90" s="381">
        <f>SUMIFS([1]!Data_BS[Value],[1]!Data_BS[Index BS],DTRVL!$B90,[1]!Data_BS[TenCongTyID],DTRVL!$B$1,[1]!Data_BS[Thang.Nam],DTRVL!AG$5)</f>
        <v>0</v>
      </c>
      <c r="AH90" s="381">
        <f>SUMIFS([1]!Data_BS[Value],[1]!Data_BS[Index BS],DTRVL!$B90,[1]!Data_BS[TenCongTyID],DTRVL!$B$1,[1]!Data_BS[Thang.Nam],DTRVL!AH$5)</f>
        <v>0</v>
      </c>
      <c r="AI90" s="381">
        <f>SUMIFS([1]!Data_BS[Value],[1]!Data_BS[Index BS],DTRVL!$B90,[1]!Data_BS[TenCongTyID],DTRVL!$B$1,[1]!Data_BS[Thang.Nam],DTRVL!AI$5)</f>
        <v>0</v>
      </c>
      <c r="AJ90" s="381">
        <f>SUMIFS([1]!Data_BS[Value],[1]!Data_BS[Index BS],DTRVL!$B90,[1]!Data_BS[TenCongTyID],DTRVL!$B$1,[1]!Data_BS[Thang.Nam],DTRVL!AJ$5)</f>
        <v>0</v>
      </c>
      <c r="AK90" s="381">
        <f>SUMIFS([1]!Data_BS[Value],[1]!Data_BS[Index BS],DTRVL!$B90,[1]!Data_BS[TenCongTyID],DTRVL!$B$1,[1]!Data_BS[Thang.Nam],DTRVL!AK$5)</f>
        <v>0</v>
      </c>
      <c r="AL90" s="381">
        <f>SUMIFS([1]!Data_BS[Value],[1]!Data_BS[Index BS],DTRVL!$B90,[1]!Data_BS[TenCongTyID],DTRVL!$B$1,[1]!Data_BS[Thang.Nam],DTRVL!AL$5)</f>
        <v>0</v>
      </c>
    </row>
    <row r="91" spans="1:38" ht="15" hidden="1" customHeight="1" outlineLevel="1">
      <c r="A91" s="67" t="s">
        <v>175</v>
      </c>
      <c r="B91" s="63">
        <v>86</v>
      </c>
      <c r="C91" s="64"/>
      <c r="D91" s="69"/>
      <c r="E91" s="69"/>
      <c r="F91" s="379"/>
      <c r="G91" s="69"/>
      <c r="H91" s="69">
        <v>0</v>
      </c>
      <c r="I91" s="69"/>
      <c r="J91" s="69"/>
      <c r="K91" s="69"/>
      <c r="L91" s="69"/>
      <c r="M91" s="379"/>
      <c r="N91" s="85"/>
      <c r="O91" s="64"/>
      <c r="P91" s="69"/>
      <c r="Q91" s="69"/>
      <c r="R91" s="379"/>
      <c r="S91" s="69"/>
      <c r="T91" s="69"/>
      <c r="U91" s="69"/>
      <c r="V91" s="69"/>
      <c r="W91" s="69"/>
      <c r="X91" s="69"/>
      <c r="Y91" s="379"/>
      <c r="Z91" s="381">
        <v>0</v>
      </c>
      <c r="AA91" s="381">
        <f>SUMIFS([1]!Data_BS[Value],[1]!Data_BS[Index BS],DTRVL!$B91,[1]!Data_BS[TenCongTyID],DTRVL!$B$1,[1]!Data_BS[Thang.Nam],DTRVL!AA$5)</f>
        <v>0</v>
      </c>
      <c r="AB91" s="381">
        <f>SUMIFS([1]!Data_BS[Value],[1]!Data_BS[Index BS],DTRVL!$B91,[1]!Data_BS[TenCongTyID],DTRVL!$B$1,[1]!Data_BS[Thang.Nam],DTRVL!AB$5)</f>
        <v>0</v>
      </c>
      <c r="AC91" s="381">
        <f>SUMIFS([1]!Data_BS[Value],[1]!Data_BS[Index BS],DTRVL!$B91,[1]!Data_BS[TenCongTyID],DTRVL!$B$1,[1]!Data_BS[Thang.Nam],DTRVL!AC$5)</f>
        <v>0</v>
      </c>
      <c r="AD91" s="381">
        <f>SUMIFS([1]!Data_BS[Value],[1]!Data_BS[Index BS],DTRVL!$B91,[1]!Data_BS[TenCongTyID],DTRVL!$B$1,[1]!Data_BS[Thang.Nam],DTRVL!AD$5)</f>
        <v>0</v>
      </c>
      <c r="AE91" s="381">
        <f>SUMIFS([1]!Data_BS[Value],[1]!Data_BS[Index BS],DTRVL!$B91,[1]!Data_BS[TenCongTyID],DTRVL!$B$1,[1]!Data_BS[Thang.Nam],DTRVL!AE$5)</f>
        <v>0</v>
      </c>
      <c r="AF91" s="381">
        <f>SUMIFS([1]!Data_BS[Value],[1]!Data_BS[Index BS],DTRVL!$B91,[1]!Data_BS[TenCongTyID],DTRVL!$B$1,[1]!Data_BS[Thang.Nam],DTRVL!AF$5)</f>
        <v>0</v>
      </c>
      <c r="AG91" s="381">
        <f>SUMIFS([1]!Data_BS[Value],[1]!Data_BS[Index BS],DTRVL!$B91,[1]!Data_BS[TenCongTyID],DTRVL!$B$1,[1]!Data_BS[Thang.Nam],DTRVL!AG$5)</f>
        <v>0</v>
      </c>
      <c r="AH91" s="381">
        <f>SUMIFS([1]!Data_BS[Value],[1]!Data_BS[Index BS],DTRVL!$B91,[1]!Data_BS[TenCongTyID],DTRVL!$B$1,[1]!Data_BS[Thang.Nam],DTRVL!AH$5)</f>
        <v>0</v>
      </c>
      <c r="AI91" s="381">
        <f>SUMIFS([1]!Data_BS[Value],[1]!Data_BS[Index BS],DTRVL!$B91,[1]!Data_BS[TenCongTyID],DTRVL!$B$1,[1]!Data_BS[Thang.Nam],DTRVL!AI$5)</f>
        <v>0</v>
      </c>
      <c r="AJ91" s="381">
        <f>SUMIFS([1]!Data_BS[Value],[1]!Data_BS[Index BS],DTRVL!$B91,[1]!Data_BS[TenCongTyID],DTRVL!$B$1,[1]!Data_BS[Thang.Nam],DTRVL!AJ$5)</f>
        <v>0</v>
      </c>
      <c r="AK91" s="381">
        <f>SUMIFS([1]!Data_BS[Value],[1]!Data_BS[Index BS],DTRVL!$B91,[1]!Data_BS[TenCongTyID],DTRVL!$B$1,[1]!Data_BS[Thang.Nam],DTRVL!AK$5)</f>
        <v>0</v>
      </c>
      <c r="AL91" s="381">
        <f>SUMIFS([1]!Data_BS[Value],[1]!Data_BS[Index BS],DTRVL!$B91,[1]!Data_BS[TenCongTyID],DTRVL!$B$1,[1]!Data_BS[Thang.Nam],DTRVL!AL$5)</f>
        <v>0</v>
      </c>
    </row>
    <row r="92" spans="1:38" ht="15" hidden="1" customHeight="1" outlineLevel="1">
      <c r="A92" s="67" t="s">
        <v>176</v>
      </c>
      <c r="B92" s="63">
        <v>87</v>
      </c>
      <c r="C92" s="64"/>
      <c r="D92" s="69"/>
      <c r="E92" s="69"/>
      <c r="F92" s="379"/>
      <c r="G92" s="69"/>
      <c r="H92" s="69">
        <v>0</v>
      </c>
      <c r="I92" s="69"/>
      <c r="J92" s="69"/>
      <c r="K92" s="69"/>
      <c r="L92" s="69"/>
      <c r="M92" s="379"/>
      <c r="N92" s="85"/>
      <c r="O92" s="64"/>
      <c r="P92" s="69"/>
      <c r="Q92" s="69"/>
      <c r="R92" s="379"/>
      <c r="S92" s="69"/>
      <c r="T92" s="69"/>
      <c r="U92" s="69"/>
      <c r="V92" s="69"/>
      <c r="W92" s="69"/>
      <c r="X92" s="69"/>
      <c r="Y92" s="379"/>
      <c r="Z92" s="381">
        <v>0</v>
      </c>
      <c r="AA92" s="381">
        <f>SUMIFS([1]!Data_BS[Value],[1]!Data_BS[Index BS],DTRVL!$B92,[1]!Data_BS[TenCongTyID],DTRVL!$B$1,[1]!Data_BS[Thang.Nam],DTRVL!AA$5)</f>
        <v>0</v>
      </c>
      <c r="AB92" s="381">
        <f>SUMIFS([1]!Data_BS[Value],[1]!Data_BS[Index BS],DTRVL!$B92,[1]!Data_BS[TenCongTyID],DTRVL!$B$1,[1]!Data_BS[Thang.Nam],DTRVL!AB$5)</f>
        <v>0</v>
      </c>
      <c r="AC92" s="381">
        <f>SUMIFS([1]!Data_BS[Value],[1]!Data_BS[Index BS],DTRVL!$B92,[1]!Data_BS[TenCongTyID],DTRVL!$B$1,[1]!Data_BS[Thang.Nam],DTRVL!AC$5)</f>
        <v>0</v>
      </c>
      <c r="AD92" s="381">
        <f>SUMIFS([1]!Data_BS[Value],[1]!Data_BS[Index BS],DTRVL!$B92,[1]!Data_BS[TenCongTyID],DTRVL!$B$1,[1]!Data_BS[Thang.Nam],DTRVL!AD$5)</f>
        <v>0</v>
      </c>
      <c r="AE92" s="381">
        <f>SUMIFS([1]!Data_BS[Value],[1]!Data_BS[Index BS],DTRVL!$B92,[1]!Data_BS[TenCongTyID],DTRVL!$B$1,[1]!Data_BS[Thang.Nam],DTRVL!AE$5)</f>
        <v>0</v>
      </c>
      <c r="AF92" s="381">
        <f>SUMIFS([1]!Data_BS[Value],[1]!Data_BS[Index BS],DTRVL!$B92,[1]!Data_BS[TenCongTyID],DTRVL!$B$1,[1]!Data_BS[Thang.Nam],DTRVL!AF$5)</f>
        <v>0</v>
      </c>
      <c r="AG92" s="381">
        <f>SUMIFS([1]!Data_BS[Value],[1]!Data_BS[Index BS],DTRVL!$B92,[1]!Data_BS[TenCongTyID],DTRVL!$B$1,[1]!Data_BS[Thang.Nam],DTRVL!AG$5)</f>
        <v>0</v>
      </c>
      <c r="AH92" s="381">
        <f>SUMIFS([1]!Data_BS[Value],[1]!Data_BS[Index BS],DTRVL!$B92,[1]!Data_BS[TenCongTyID],DTRVL!$B$1,[1]!Data_BS[Thang.Nam],DTRVL!AH$5)</f>
        <v>0</v>
      </c>
      <c r="AI92" s="381">
        <f>SUMIFS([1]!Data_BS[Value],[1]!Data_BS[Index BS],DTRVL!$B92,[1]!Data_BS[TenCongTyID],DTRVL!$B$1,[1]!Data_BS[Thang.Nam],DTRVL!AI$5)</f>
        <v>0</v>
      </c>
      <c r="AJ92" s="381">
        <f>SUMIFS([1]!Data_BS[Value],[1]!Data_BS[Index BS],DTRVL!$B92,[1]!Data_BS[TenCongTyID],DTRVL!$B$1,[1]!Data_BS[Thang.Nam],DTRVL!AJ$5)</f>
        <v>0</v>
      </c>
      <c r="AK92" s="381">
        <f>SUMIFS([1]!Data_BS[Value],[1]!Data_BS[Index BS],DTRVL!$B92,[1]!Data_BS[TenCongTyID],DTRVL!$B$1,[1]!Data_BS[Thang.Nam],DTRVL!AK$5)</f>
        <v>0</v>
      </c>
      <c r="AL92" s="381">
        <f>SUMIFS([1]!Data_BS[Value],[1]!Data_BS[Index BS],DTRVL!$B92,[1]!Data_BS[TenCongTyID],DTRVL!$B$1,[1]!Data_BS[Thang.Nam],DTRVL!AL$5)</f>
        <v>0</v>
      </c>
    </row>
    <row r="93" spans="1:38" ht="15" hidden="1" customHeight="1" outlineLevel="1">
      <c r="A93" s="67" t="s">
        <v>177</v>
      </c>
      <c r="B93" s="63">
        <v>88</v>
      </c>
      <c r="C93" s="64">
        <v>0</v>
      </c>
      <c r="D93" s="69"/>
      <c r="E93" s="69"/>
      <c r="F93" s="379"/>
      <c r="G93" s="69"/>
      <c r="H93" s="69">
        <v>0</v>
      </c>
      <c r="I93" s="69"/>
      <c r="J93" s="69"/>
      <c r="K93" s="69"/>
      <c r="L93" s="69"/>
      <c r="M93" s="379"/>
      <c r="N93" s="85"/>
      <c r="O93" s="64"/>
      <c r="P93" s="69"/>
      <c r="Q93" s="69"/>
      <c r="R93" s="379"/>
      <c r="S93" s="69"/>
      <c r="T93" s="69"/>
      <c r="U93" s="69"/>
      <c r="V93" s="69"/>
      <c r="W93" s="69"/>
      <c r="X93" s="69"/>
      <c r="Y93" s="379"/>
      <c r="Z93" s="381">
        <v>0</v>
      </c>
      <c r="AA93" s="381">
        <f>SUMIFS([1]!Data_BS[Value],[1]!Data_BS[Index BS],DTRVL!$B93,[1]!Data_BS[TenCongTyID],DTRVL!$B$1,[1]!Data_BS[Thang.Nam],DTRVL!AA$5)</f>
        <v>0</v>
      </c>
      <c r="AB93" s="381">
        <f>SUMIFS([1]!Data_BS[Value],[1]!Data_BS[Index BS],DTRVL!$B93,[1]!Data_BS[TenCongTyID],DTRVL!$B$1,[1]!Data_BS[Thang.Nam],DTRVL!AB$5)</f>
        <v>0</v>
      </c>
      <c r="AC93" s="381">
        <f>SUMIFS([1]!Data_BS[Value],[1]!Data_BS[Index BS],DTRVL!$B93,[1]!Data_BS[TenCongTyID],DTRVL!$B$1,[1]!Data_BS[Thang.Nam],DTRVL!AC$5)</f>
        <v>0</v>
      </c>
      <c r="AD93" s="381">
        <f>SUMIFS([1]!Data_BS[Value],[1]!Data_BS[Index BS],DTRVL!$B93,[1]!Data_BS[TenCongTyID],DTRVL!$B$1,[1]!Data_BS[Thang.Nam],DTRVL!AD$5)</f>
        <v>0</v>
      </c>
      <c r="AE93" s="381">
        <f>SUMIFS([1]!Data_BS[Value],[1]!Data_BS[Index BS],DTRVL!$B93,[1]!Data_BS[TenCongTyID],DTRVL!$B$1,[1]!Data_BS[Thang.Nam],DTRVL!AE$5)</f>
        <v>0</v>
      </c>
      <c r="AF93" s="381">
        <f>SUMIFS([1]!Data_BS[Value],[1]!Data_BS[Index BS],DTRVL!$B93,[1]!Data_BS[TenCongTyID],DTRVL!$B$1,[1]!Data_BS[Thang.Nam],DTRVL!AF$5)</f>
        <v>0</v>
      </c>
      <c r="AG93" s="381">
        <f>SUMIFS([1]!Data_BS[Value],[1]!Data_BS[Index BS],DTRVL!$B93,[1]!Data_BS[TenCongTyID],DTRVL!$B$1,[1]!Data_BS[Thang.Nam],DTRVL!AG$5)</f>
        <v>0</v>
      </c>
      <c r="AH93" s="381">
        <f>SUMIFS([1]!Data_BS[Value],[1]!Data_BS[Index BS],DTRVL!$B93,[1]!Data_BS[TenCongTyID],DTRVL!$B$1,[1]!Data_BS[Thang.Nam],DTRVL!AH$5)</f>
        <v>0</v>
      </c>
      <c r="AI93" s="381">
        <f>SUMIFS([1]!Data_BS[Value],[1]!Data_BS[Index BS],DTRVL!$B93,[1]!Data_BS[TenCongTyID],DTRVL!$B$1,[1]!Data_BS[Thang.Nam],DTRVL!AI$5)</f>
        <v>0</v>
      </c>
      <c r="AJ93" s="381">
        <f>SUMIFS([1]!Data_BS[Value],[1]!Data_BS[Index BS],DTRVL!$B93,[1]!Data_BS[TenCongTyID],DTRVL!$B$1,[1]!Data_BS[Thang.Nam],DTRVL!AJ$5)</f>
        <v>0</v>
      </c>
      <c r="AK93" s="381">
        <f>SUMIFS([1]!Data_BS[Value],[1]!Data_BS[Index BS],DTRVL!$B93,[1]!Data_BS[TenCongTyID],DTRVL!$B$1,[1]!Data_BS[Thang.Nam],DTRVL!AK$5)</f>
        <v>0</v>
      </c>
      <c r="AL93" s="381">
        <f>SUMIFS([1]!Data_BS[Value],[1]!Data_BS[Index BS],DTRVL!$B93,[1]!Data_BS[TenCongTyID],DTRVL!$B$1,[1]!Data_BS[Thang.Nam],DTRVL!AL$5)</f>
        <v>0</v>
      </c>
    </row>
    <row r="94" spans="1:38" ht="15" hidden="1" customHeight="1" outlineLevel="1">
      <c r="A94" s="67" t="s">
        <v>178</v>
      </c>
      <c r="B94" s="63">
        <v>89</v>
      </c>
      <c r="C94" s="64">
        <v>0</v>
      </c>
      <c r="D94" s="69"/>
      <c r="E94" s="69"/>
      <c r="F94" s="379"/>
      <c r="G94" s="69"/>
      <c r="H94" s="69">
        <v>0</v>
      </c>
      <c r="I94" s="69"/>
      <c r="J94" s="69"/>
      <c r="K94" s="69"/>
      <c r="L94" s="69"/>
      <c r="M94" s="379"/>
      <c r="N94" s="85"/>
      <c r="O94" s="64"/>
      <c r="P94" s="69"/>
      <c r="Q94" s="69"/>
      <c r="R94" s="379"/>
      <c r="S94" s="69"/>
      <c r="T94" s="69"/>
      <c r="U94" s="69"/>
      <c r="V94" s="69"/>
      <c r="W94" s="69"/>
      <c r="X94" s="69"/>
      <c r="Y94" s="379"/>
      <c r="Z94" s="381">
        <v>0</v>
      </c>
      <c r="AA94" s="381">
        <f>SUMIFS([1]!Data_BS[Value],[1]!Data_BS[Index BS],DTRVL!$B94,[1]!Data_BS[TenCongTyID],DTRVL!$B$1,[1]!Data_BS[Thang.Nam],DTRVL!AA$5)</f>
        <v>0</v>
      </c>
      <c r="AB94" s="381">
        <f>SUMIFS([1]!Data_BS[Value],[1]!Data_BS[Index BS],DTRVL!$B94,[1]!Data_BS[TenCongTyID],DTRVL!$B$1,[1]!Data_BS[Thang.Nam],DTRVL!AB$5)</f>
        <v>0</v>
      </c>
      <c r="AC94" s="381">
        <f>SUMIFS([1]!Data_BS[Value],[1]!Data_BS[Index BS],DTRVL!$B94,[1]!Data_BS[TenCongTyID],DTRVL!$B$1,[1]!Data_BS[Thang.Nam],DTRVL!AC$5)</f>
        <v>0</v>
      </c>
      <c r="AD94" s="381">
        <f>SUMIFS([1]!Data_BS[Value],[1]!Data_BS[Index BS],DTRVL!$B94,[1]!Data_BS[TenCongTyID],DTRVL!$B$1,[1]!Data_BS[Thang.Nam],DTRVL!AD$5)</f>
        <v>0</v>
      </c>
      <c r="AE94" s="381">
        <f>SUMIFS([1]!Data_BS[Value],[1]!Data_BS[Index BS],DTRVL!$B94,[1]!Data_BS[TenCongTyID],DTRVL!$B$1,[1]!Data_BS[Thang.Nam],DTRVL!AE$5)</f>
        <v>0</v>
      </c>
      <c r="AF94" s="381">
        <f>SUMIFS([1]!Data_BS[Value],[1]!Data_BS[Index BS],DTRVL!$B94,[1]!Data_BS[TenCongTyID],DTRVL!$B$1,[1]!Data_BS[Thang.Nam],DTRVL!AF$5)</f>
        <v>0</v>
      </c>
      <c r="AG94" s="381">
        <f>SUMIFS([1]!Data_BS[Value],[1]!Data_BS[Index BS],DTRVL!$B94,[1]!Data_BS[TenCongTyID],DTRVL!$B$1,[1]!Data_BS[Thang.Nam],DTRVL!AG$5)</f>
        <v>0</v>
      </c>
      <c r="AH94" s="381">
        <f>SUMIFS([1]!Data_BS[Value],[1]!Data_BS[Index BS],DTRVL!$B94,[1]!Data_BS[TenCongTyID],DTRVL!$B$1,[1]!Data_BS[Thang.Nam],DTRVL!AH$5)</f>
        <v>0</v>
      </c>
      <c r="AI94" s="381">
        <f>SUMIFS([1]!Data_BS[Value],[1]!Data_BS[Index BS],DTRVL!$B94,[1]!Data_BS[TenCongTyID],DTRVL!$B$1,[1]!Data_BS[Thang.Nam],DTRVL!AI$5)</f>
        <v>0</v>
      </c>
      <c r="AJ94" s="381">
        <f>SUMIFS([1]!Data_BS[Value],[1]!Data_BS[Index BS],DTRVL!$B94,[1]!Data_BS[TenCongTyID],DTRVL!$B$1,[1]!Data_BS[Thang.Nam],DTRVL!AJ$5)</f>
        <v>0</v>
      </c>
      <c r="AK94" s="381">
        <f>SUMIFS([1]!Data_BS[Value],[1]!Data_BS[Index BS],DTRVL!$B94,[1]!Data_BS[TenCongTyID],DTRVL!$B$1,[1]!Data_BS[Thang.Nam],DTRVL!AK$5)</f>
        <v>0</v>
      </c>
      <c r="AL94" s="381">
        <f>SUMIFS([1]!Data_BS[Value],[1]!Data_BS[Index BS],DTRVL!$B94,[1]!Data_BS[TenCongTyID],DTRVL!$B$1,[1]!Data_BS[Thang.Nam],DTRVL!AL$5)</f>
        <v>0</v>
      </c>
    </row>
    <row r="95" spans="1:38" ht="15" hidden="1" customHeight="1" outlineLevel="1">
      <c r="A95" s="67" t="s">
        <v>179</v>
      </c>
      <c r="B95" s="63">
        <v>90</v>
      </c>
      <c r="C95" s="64"/>
      <c r="D95" s="69"/>
      <c r="E95" s="69"/>
      <c r="F95" s="379"/>
      <c r="G95" s="69"/>
      <c r="H95" s="69"/>
      <c r="I95" s="69"/>
      <c r="J95" s="69"/>
      <c r="K95" s="69"/>
      <c r="L95" s="69"/>
      <c r="M95" s="379"/>
      <c r="N95" s="85"/>
      <c r="O95" s="64"/>
      <c r="P95" s="69"/>
      <c r="Q95" s="69"/>
      <c r="R95" s="69"/>
      <c r="S95" s="69"/>
      <c r="T95" s="69"/>
      <c r="U95" s="69"/>
      <c r="V95" s="69"/>
      <c r="W95" s="69"/>
      <c r="X95" s="69"/>
      <c r="Y95" s="379"/>
      <c r="Z95" s="381">
        <v>0</v>
      </c>
      <c r="AA95" s="381">
        <f>SUMIFS([1]!Data_BS[Value],[1]!Data_BS[Index BS],DTRVL!$B95,[1]!Data_BS[TenCongTyID],DTRVL!$B$1,[1]!Data_BS[Thang.Nam],DTRVL!AA$5)</f>
        <v>0</v>
      </c>
      <c r="AB95" s="381">
        <f>SUMIFS([1]!Data_BS[Value],[1]!Data_BS[Index BS],DTRVL!$B95,[1]!Data_BS[TenCongTyID],DTRVL!$B$1,[1]!Data_BS[Thang.Nam],DTRVL!AB$5)</f>
        <v>0</v>
      </c>
      <c r="AC95" s="381">
        <f>SUMIFS([1]!Data_BS[Value],[1]!Data_BS[Index BS],DTRVL!$B95,[1]!Data_BS[TenCongTyID],DTRVL!$B$1,[1]!Data_BS[Thang.Nam],DTRVL!AC$5)</f>
        <v>0</v>
      </c>
      <c r="AD95" s="381">
        <f>SUMIFS([1]!Data_BS[Value],[1]!Data_BS[Index BS],DTRVL!$B95,[1]!Data_BS[TenCongTyID],DTRVL!$B$1,[1]!Data_BS[Thang.Nam],DTRVL!AD$5)</f>
        <v>0</v>
      </c>
      <c r="AE95" s="381">
        <f>SUMIFS([1]!Data_BS[Value],[1]!Data_BS[Index BS],DTRVL!$B95,[1]!Data_BS[TenCongTyID],DTRVL!$B$1,[1]!Data_BS[Thang.Nam],DTRVL!AE$5)</f>
        <v>0</v>
      </c>
      <c r="AF95" s="381">
        <f>SUMIFS([1]!Data_BS[Value],[1]!Data_BS[Index BS],DTRVL!$B95,[1]!Data_BS[TenCongTyID],DTRVL!$B$1,[1]!Data_BS[Thang.Nam],DTRVL!AF$5)</f>
        <v>0</v>
      </c>
      <c r="AG95" s="381">
        <f>SUMIFS([1]!Data_BS[Value],[1]!Data_BS[Index BS],DTRVL!$B95,[1]!Data_BS[TenCongTyID],DTRVL!$B$1,[1]!Data_BS[Thang.Nam],DTRVL!AG$5)</f>
        <v>0</v>
      </c>
      <c r="AH95" s="381">
        <f>SUMIFS([1]!Data_BS[Value],[1]!Data_BS[Index BS],DTRVL!$B95,[1]!Data_BS[TenCongTyID],DTRVL!$B$1,[1]!Data_BS[Thang.Nam],DTRVL!AH$5)</f>
        <v>0</v>
      </c>
      <c r="AI95" s="381">
        <f>SUMIFS([1]!Data_BS[Value],[1]!Data_BS[Index BS],DTRVL!$B95,[1]!Data_BS[TenCongTyID],DTRVL!$B$1,[1]!Data_BS[Thang.Nam],DTRVL!AI$5)</f>
        <v>0</v>
      </c>
      <c r="AJ95" s="381">
        <f>SUMIFS([1]!Data_BS[Value],[1]!Data_BS[Index BS],DTRVL!$B95,[1]!Data_BS[TenCongTyID],DTRVL!$B$1,[1]!Data_BS[Thang.Nam],DTRVL!AJ$5)</f>
        <v>0</v>
      </c>
      <c r="AK95" s="381">
        <f>SUMIFS([1]!Data_BS[Value],[1]!Data_BS[Index BS],DTRVL!$B95,[1]!Data_BS[TenCongTyID],DTRVL!$B$1,[1]!Data_BS[Thang.Nam],DTRVL!AK$5)</f>
        <v>0</v>
      </c>
      <c r="AL95" s="381">
        <f>SUMIFS([1]!Data_BS[Value],[1]!Data_BS[Index BS],DTRVL!$B95,[1]!Data_BS[TenCongTyID],DTRVL!$B$1,[1]!Data_BS[Thang.Nam],DTRVL!AL$5)</f>
        <v>0</v>
      </c>
    </row>
    <row r="96" spans="1:38" ht="15" hidden="1" customHeight="1" outlineLevel="1">
      <c r="A96" s="67" t="s">
        <v>180</v>
      </c>
      <c r="B96" s="63">
        <v>91</v>
      </c>
      <c r="C96" s="64"/>
      <c r="D96" s="69"/>
      <c r="E96" s="69"/>
      <c r="F96" s="379"/>
      <c r="G96" s="69"/>
      <c r="H96" s="69">
        <v>0</v>
      </c>
      <c r="I96" s="69"/>
      <c r="J96" s="69"/>
      <c r="K96" s="69"/>
      <c r="L96" s="69"/>
      <c r="M96" s="379"/>
      <c r="N96" s="85"/>
      <c r="O96" s="64"/>
      <c r="P96" s="69"/>
      <c r="Q96" s="69"/>
      <c r="R96" s="379"/>
      <c r="S96" s="69"/>
      <c r="T96" s="69"/>
      <c r="U96" s="69"/>
      <c r="V96" s="69"/>
      <c r="W96" s="69"/>
      <c r="X96" s="69"/>
      <c r="Y96" s="379"/>
      <c r="Z96" s="381">
        <v>0</v>
      </c>
      <c r="AA96" s="381">
        <f>SUMIFS([1]!Data_BS[Value],[1]!Data_BS[Index BS],DTRVL!$B96,[1]!Data_BS[TenCongTyID],DTRVL!$B$1,[1]!Data_BS[Thang.Nam],DTRVL!AA$5)</f>
        <v>0</v>
      </c>
      <c r="AB96" s="381">
        <f>SUMIFS([1]!Data_BS[Value],[1]!Data_BS[Index BS],DTRVL!$B96,[1]!Data_BS[TenCongTyID],DTRVL!$B$1,[1]!Data_BS[Thang.Nam],DTRVL!AB$5)</f>
        <v>0</v>
      </c>
      <c r="AC96" s="381">
        <f>SUMIFS([1]!Data_BS[Value],[1]!Data_BS[Index BS],DTRVL!$B96,[1]!Data_BS[TenCongTyID],DTRVL!$B$1,[1]!Data_BS[Thang.Nam],DTRVL!AC$5)</f>
        <v>0</v>
      </c>
      <c r="AD96" s="381">
        <f>SUMIFS([1]!Data_BS[Value],[1]!Data_BS[Index BS],DTRVL!$B96,[1]!Data_BS[TenCongTyID],DTRVL!$B$1,[1]!Data_BS[Thang.Nam],DTRVL!AD$5)</f>
        <v>0</v>
      </c>
      <c r="AE96" s="381">
        <f>SUMIFS([1]!Data_BS[Value],[1]!Data_BS[Index BS],DTRVL!$B96,[1]!Data_BS[TenCongTyID],DTRVL!$B$1,[1]!Data_BS[Thang.Nam],DTRVL!AE$5)</f>
        <v>0</v>
      </c>
      <c r="AF96" s="381">
        <f>SUMIFS([1]!Data_BS[Value],[1]!Data_BS[Index BS],DTRVL!$B96,[1]!Data_BS[TenCongTyID],DTRVL!$B$1,[1]!Data_BS[Thang.Nam],DTRVL!AF$5)</f>
        <v>0</v>
      </c>
      <c r="AG96" s="381">
        <f>SUMIFS([1]!Data_BS[Value],[1]!Data_BS[Index BS],DTRVL!$B96,[1]!Data_BS[TenCongTyID],DTRVL!$B$1,[1]!Data_BS[Thang.Nam],DTRVL!AG$5)</f>
        <v>0</v>
      </c>
      <c r="AH96" s="381">
        <f>SUMIFS([1]!Data_BS[Value],[1]!Data_BS[Index BS],DTRVL!$B96,[1]!Data_BS[TenCongTyID],DTRVL!$B$1,[1]!Data_BS[Thang.Nam],DTRVL!AH$5)</f>
        <v>0</v>
      </c>
      <c r="AI96" s="381">
        <f>SUMIFS([1]!Data_BS[Value],[1]!Data_BS[Index BS],DTRVL!$B96,[1]!Data_BS[TenCongTyID],DTRVL!$B$1,[1]!Data_BS[Thang.Nam],DTRVL!AI$5)</f>
        <v>0</v>
      </c>
      <c r="AJ96" s="381">
        <f>SUMIFS([1]!Data_BS[Value],[1]!Data_BS[Index BS],DTRVL!$B96,[1]!Data_BS[TenCongTyID],DTRVL!$B$1,[1]!Data_BS[Thang.Nam],DTRVL!AJ$5)</f>
        <v>0</v>
      </c>
      <c r="AK96" s="381">
        <f>SUMIFS([1]!Data_BS[Value],[1]!Data_BS[Index BS],DTRVL!$B96,[1]!Data_BS[TenCongTyID],DTRVL!$B$1,[1]!Data_BS[Thang.Nam],DTRVL!AK$5)</f>
        <v>0</v>
      </c>
      <c r="AL96" s="381">
        <f>SUMIFS([1]!Data_BS[Value],[1]!Data_BS[Index BS],DTRVL!$B96,[1]!Data_BS[TenCongTyID],DTRVL!$B$1,[1]!Data_BS[Thang.Nam],DTRVL!AL$5)</f>
        <v>0</v>
      </c>
    </row>
    <row r="97" spans="1:38" ht="15" hidden="1" customHeight="1" outlineLevel="1">
      <c r="A97" s="67" t="s">
        <v>181</v>
      </c>
      <c r="B97" s="63">
        <v>92</v>
      </c>
      <c r="C97" s="64"/>
      <c r="D97" s="69"/>
      <c r="E97" s="69"/>
      <c r="F97" s="379"/>
      <c r="G97" s="69"/>
      <c r="H97" s="69">
        <v>0</v>
      </c>
      <c r="I97" s="69"/>
      <c r="J97" s="69"/>
      <c r="K97" s="69"/>
      <c r="L97" s="69"/>
      <c r="M97" s="379"/>
      <c r="N97" s="85"/>
      <c r="O97" s="64"/>
      <c r="P97" s="69"/>
      <c r="Q97" s="69"/>
      <c r="R97" s="379"/>
      <c r="S97" s="69"/>
      <c r="T97" s="69"/>
      <c r="U97" s="69"/>
      <c r="V97" s="69"/>
      <c r="W97" s="69"/>
      <c r="X97" s="69"/>
      <c r="Y97" s="379"/>
      <c r="Z97" s="381">
        <v>0</v>
      </c>
      <c r="AA97" s="381">
        <f>SUMIFS([1]!Data_BS[Value],[1]!Data_BS[Index BS],DTRVL!$B97,[1]!Data_BS[TenCongTyID],DTRVL!$B$1,[1]!Data_BS[Thang.Nam],DTRVL!AA$5)</f>
        <v>0</v>
      </c>
      <c r="AB97" s="381">
        <f>SUMIFS([1]!Data_BS[Value],[1]!Data_BS[Index BS],DTRVL!$B97,[1]!Data_BS[TenCongTyID],DTRVL!$B$1,[1]!Data_BS[Thang.Nam],DTRVL!AB$5)</f>
        <v>0</v>
      </c>
      <c r="AC97" s="381">
        <f>SUMIFS([1]!Data_BS[Value],[1]!Data_BS[Index BS],DTRVL!$B97,[1]!Data_BS[TenCongTyID],DTRVL!$B$1,[1]!Data_BS[Thang.Nam],DTRVL!AC$5)</f>
        <v>0</v>
      </c>
      <c r="AD97" s="381">
        <f>SUMIFS([1]!Data_BS[Value],[1]!Data_BS[Index BS],DTRVL!$B97,[1]!Data_BS[TenCongTyID],DTRVL!$B$1,[1]!Data_BS[Thang.Nam],DTRVL!AD$5)</f>
        <v>0</v>
      </c>
      <c r="AE97" s="381">
        <f>SUMIFS([1]!Data_BS[Value],[1]!Data_BS[Index BS],DTRVL!$B97,[1]!Data_BS[TenCongTyID],DTRVL!$B$1,[1]!Data_BS[Thang.Nam],DTRVL!AE$5)</f>
        <v>0</v>
      </c>
      <c r="AF97" s="381">
        <f>SUMIFS([1]!Data_BS[Value],[1]!Data_BS[Index BS],DTRVL!$B97,[1]!Data_BS[TenCongTyID],DTRVL!$B$1,[1]!Data_BS[Thang.Nam],DTRVL!AF$5)</f>
        <v>0</v>
      </c>
      <c r="AG97" s="381">
        <f>SUMIFS([1]!Data_BS[Value],[1]!Data_BS[Index BS],DTRVL!$B97,[1]!Data_BS[TenCongTyID],DTRVL!$B$1,[1]!Data_BS[Thang.Nam],DTRVL!AG$5)</f>
        <v>0</v>
      </c>
      <c r="AH97" s="381">
        <f>SUMIFS([1]!Data_BS[Value],[1]!Data_BS[Index BS],DTRVL!$B97,[1]!Data_BS[TenCongTyID],DTRVL!$B$1,[1]!Data_BS[Thang.Nam],DTRVL!AH$5)</f>
        <v>0</v>
      </c>
      <c r="AI97" s="381">
        <f>SUMIFS([1]!Data_BS[Value],[1]!Data_BS[Index BS],DTRVL!$B97,[1]!Data_BS[TenCongTyID],DTRVL!$B$1,[1]!Data_BS[Thang.Nam],DTRVL!AI$5)</f>
        <v>0</v>
      </c>
      <c r="AJ97" s="381">
        <f>SUMIFS([1]!Data_BS[Value],[1]!Data_BS[Index BS],DTRVL!$B97,[1]!Data_BS[TenCongTyID],DTRVL!$B$1,[1]!Data_BS[Thang.Nam],DTRVL!AJ$5)</f>
        <v>0</v>
      </c>
      <c r="AK97" s="381">
        <f>SUMIFS([1]!Data_BS[Value],[1]!Data_BS[Index BS],DTRVL!$B97,[1]!Data_BS[TenCongTyID],DTRVL!$B$1,[1]!Data_BS[Thang.Nam],DTRVL!AK$5)</f>
        <v>0</v>
      </c>
      <c r="AL97" s="381">
        <f>SUMIFS([1]!Data_BS[Value],[1]!Data_BS[Index BS],DTRVL!$B97,[1]!Data_BS[TenCongTyID],DTRVL!$B$1,[1]!Data_BS[Thang.Nam],DTRVL!AL$5)</f>
        <v>0</v>
      </c>
    </row>
    <row r="98" spans="1:38" ht="15" hidden="1" customHeight="1" outlineLevel="1">
      <c r="A98" s="67" t="s">
        <v>182</v>
      </c>
      <c r="B98" s="63">
        <v>93</v>
      </c>
      <c r="C98" s="64"/>
      <c r="D98" s="69"/>
      <c r="E98" s="69"/>
      <c r="F98" s="379"/>
      <c r="G98" s="69"/>
      <c r="H98" s="69">
        <v>0</v>
      </c>
      <c r="I98" s="69"/>
      <c r="J98" s="69"/>
      <c r="K98" s="69"/>
      <c r="L98" s="69"/>
      <c r="M98" s="379"/>
      <c r="N98" s="85"/>
      <c r="O98" s="64"/>
      <c r="P98" s="69"/>
      <c r="Q98" s="69"/>
      <c r="R98" s="379"/>
      <c r="S98" s="69"/>
      <c r="T98" s="69"/>
      <c r="U98" s="69"/>
      <c r="V98" s="69"/>
      <c r="W98" s="69"/>
      <c r="X98" s="69"/>
      <c r="Y98" s="379"/>
      <c r="Z98" s="381">
        <v>0</v>
      </c>
      <c r="AA98" s="381">
        <f>SUMIFS([1]!Data_BS[Value],[1]!Data_BS[Index BS],DTRVL!$B98,[1]!Data_BS[TenCongTyID],DTRVL!$B$1,[1]!Data_BS[Thang.Nam],DTRVL!AA$5)</f>
        <v>0</v>
      </c>
      <c r="AB98" s="381">
        <f>SUMIFS([1]!Data_BS[Value],[1]!Data_BS[Index BS],DTRVL!$B98,[1]!Data_BS[TenCongTyID],DTRVL!$B$1,[1]!Data_BS[Thang.Nam],DTRVL!AB$5)</f>
        <v>0</v>
      </c>
      <c r="AC98" s="381">
        <f>SUMIFS([1]!Data_BS[Value],[1]!Data_BS[Index BS],DTRVL!$B98,[1]!Data_BS[TenCongTyID],DTRVL!$B$1,[1]!Data_BS[Thang.Nam],DTRVL!AC$5)</f>
        <v>0</v>
      </c>
      <c r="AD98" s="381">
        <f>SUMIFS([1]!Data_BS[Value],[1]!Data_BS[Index BS],DTRVL!$B98,[1]!Data_BS[TenCongTyID],DTRVL!$B$1,[1]!Data_BS[Thang.Nam],DTRVL!AD$5)</f>
        <v>0</v>
      </c>
      <c r="AE98" s="381">
        <f>SUMIFS([1]!Data_BS[Value],[1]!Data_BS[Index BS],DTRVL!$B98,[1]!Data_BS[TenCongTyID],DTRVL!$B$1,[1]!Data_BS[Thang.Nam],DTRVL!AE$5)</f>
        <v>0</v>
      </c>
      <c r="AF98" s="381">
        <f>SUMIFS([1]!Data_BS[Value],[1]!Data_BS[Index BS],DTRVL!$B98,[1]!Data_BS[TenCongTyID],DTRVL!$B$1,[1]!Data_BS[Thang.Nam],DTRVL!AF$5)</f>
        <v>0</v>
      </c>
      <c r="AG98" s="381">
        <f>SUMIFS([1]!Data_BS[Value],[1]!Data_BS[Index BS],DTRVL!$B98,[1]!Data_BS[TenCongTyID],DTRVL!$B$1,[1]!Data_BS[Thang.Nam],DTRVL!AG$5)</f>
        <v>0</v>
      </c>
      <c r="AH98" s="381">
        <f>SUMIFS([1]!Data_BS[Value],[1]!Data_BS[Index BS],DTRVL!$B98,[1]!Data_BS[TenCongTyID],DTRVL!$B$1,[1]!Data_BS[Thang.Nam],DTRVL!AH$5)</f>
        <v>0</v>
      </c>
      <c r="AI98" s="381">
        <f>SUMIFS([1]!Data_BS[Value],[1]!Data_BS[Index BS],DTRVL!$B98,[1]!Data_BS[TenCongTyID],DTRVL!$B$1,[1]!Data_BS[Thang.Nam],DTRVL!AI$5)</f>
        <v>0</v>
      </c>
      <c r="AJ98" s="381">
        <f>SUMIFS([1]!Data_BS[Value],[1]!Data_BS[Index BS],DTRVL!$B98,[1]!Data_BS[TenCongTyID],DTRVL!$B$1,[1]!Data_BS[Thang.Nam],DTRVL!AJ$5)</f>
        <v>0</v>
      </c>
      <c r="AK98" s="381">
        <f>SUMIFS([1]!Data_BS[Value],[1]!Data_BS[Index BS],DTRVL!$B98,[1]!Data_BS[TenCongTyID],DTRVL!$B$1,[1]!Data_BS[Thang.Nam],DTRVL!AK$5)</f>
        <v>0</v>
      </c>
      <c r="AL98" s="381">
        <f>SUMIFS([1]!Data_BS[Value],[1]!Data_BS[Index BS],DTRVL!$B98,[1]!Data_BS[TenCongTyID],DTRVL!$B$1,[1]!Data_BS[Thang.Nam],DTRVL!AL$5)</f>
        <v>0</v>
      </c>
    </row>
    <row r="99" spans="1:38" ht="15" hidden="1" customHeight="1" outlineLevel="1">
      <c r="A99" s="68" t="s">
        <v>183</v>
      </c>
      <c r="B99" s="63">
        <v>94</v>
      </c>
      <c r="C99" s="64"/>
      <c r="D99" s="69"/>
      <c r="E99" s="69"/>
      <c r="F99" s="379"/>
      <c r="G99" s="69"/>
      <c r="H99" s="69">
        <v>0</v>
      </c>
      <c r="I99" s="69"/>
      <c r="J99" s="69"/>
      <c r="K99" s="69"/>
      <c r="L99" s="69"/>
      <c r="M99" s="379"/>
      <c r="N99" s="85"/>
      <c r="O99" s="64"/>
      <c r="P99" s="69"/>
      <c r="Q99" s="69"/>
      <c r="R99" s="379"/>
      <c r="S99" s="69"/>
      <c r="T99" s="69"/>
      <c r="U99" s="69"/>
      <c r="V99" s="69"/>
      <c r="W99" s="69"/>
      <c r="X99" s="69"/>
      <c r="Y99" s="379"/>
      <c r="Z99" s="381">
        <v>0</v>
      </c>
      <c r="AA99" s="381">
        <f>SUMIFS([1]!Data_BS[Value],[1]!Data_BS[Index BS],DTRVL!$B99,[1]!Data_BS[TenCongTyID],DTRVL!$B$1,[1]!Data_BS[Thang.Nam],DTRVL!AA$5)</f>
        <v>0</v>
      </c>
      <c r="AB99" s="381">
        <f>SUMIFS([1]!Data_BS[Value],[1]!Data_BS[Index BS],DTRVL!$B99,[1]!Data_BS[TenCongTyID],DTRVL!$B$1,[1]!Data_BS[Thang.Nam],DTRVL!AB$5)</f>
        <v>0</v>
      </c>
      <c r="AC99" s="381">
        <f>SUMIFS([1]!Data_BS[Value],[1]!Data_BS[Index BS],DTRVL!$B99,[1]!Data_BS[TenCongTyID],DTRVL!$B$1,[1]!Data_BS[Thang.Nam],DTRVL!AC$5)</f>
        <v>0</v>
      </c>
      <c r="AD99" s="381">
        <f>SUMIFS([1]!Data_BS[Value],[1]!Data_BS[Index BS],DTRVL!$B99,[1]!Data_BS[TenCongTyID],DTRVL!$B$1,[1]!Data_BS[Thang.Nam],DTRVL!AD$5)</f>
        <v>0</v>
      </c>
      <c r="AE99" s="381">
        <f>SUMIFS([1]!Data_BS[Value],[1]!Data_BS[Index BS],DTRVL!$B99,[1]!Data_BS[TenCongTyID],DTRVL!$B$1,[1]!Data_BS[Thang.Nam],DTRVL!AE$5)</f>
        <v>0</v>
      </c>
      <c r="AF99" s="381">
        <f>SUMIFS([1]!Data_BS[Value],[1]!Data_BS[Index BS],DTRVL!$B99,[1]!Data_BS[TenCongTyID],DTRVL!$B$1,[1]!Data_BS[Thang.Nam],DTRVL!AF$5)</f>
        <v>0</v>
      </c>
      <c r="AG99" s="381">
        <f>SUMIFS([1]!Data_BS[Value],[1]!Data_BS[Index BS],DTRVL!$B99,[1]!Data_BS[TenCongTyID],DTRVL!$B$1,[1]!Data_BS[Thang.Nam],DTRVL!AG$5)</f>
        <v>0</v>
      </c>
      <c r="AH99" s="381">
        <f>SUMIFS([1]!Data_BS[Value],[1]!Data_BS[Index BS],DTRVL!$B99,[1]!Data_BS[TenCongTyID],DTRVL!$B$1,[1]!Data_BS[Thang.Nam],DTRVL!AH$5)</f>
        <v>0</v>
      </c>
      <c r="AI99" s="381">
        <f>SUMIFS([1]!Data_BS[Value],[1]!Data_BS[Index BS],DTRVL!$B99,[1]!Data_BS[TenCongTyID],DTRVL!$B$1,[1]!Data_BS[Thang.Nam],DTRVL!AI$5)</f>
        <v>0</v>
      </c>
      <c r="AJ99" s="381">
        <f>SUMIFS([1]!Data_BS[Value],[1]!Data_BS[Index BS],DTRVL!$B99,[1]!Data_BS[TenCongTyID],DTRVL!$B$1,[1]!Data_BS[Thang.Nam],DTRVL!AJ$5)</f>
        <v>0</v>
      </c>
      <c r="AK99" s="381">
        <f>SUMIFS([1]!Data_BS[Value],[1]!Data_BS[Index BS],DTRVL!$B99,[1]!Data_BS[TenCongTyID],DTRVL!$B$1,[1]!Data_BS[Thang.Nam],DTRVL!AK$5)</f>
        <v>0</v>
      </c>
      <c r="AL99" s="381">
        <f>SUMIFS([1]!Data_BS[Value],[1]!Data_BS[Index BS],DTRVL!$B99,[1]!Data_BS[TenCongTyID],DTRVL!$B$1,[1]!Data_BS[Thang.Nam],DTRVL!AL$5)</f>
        <v>0</v>
      </c>
    </row>
    <row r="100" spans="1:38" ht="15" hidden="1" customHeight="1" outlineLevel="1">
      <c r="A100" s="68" t="s">
        <v>184</v>
      </c>
      <c r="B100" s="63">
        <v>95</v>
      </c>
      <c r="C100" s="64"/>
      <c r="D100" s="69"/>
      <c r="E100" s="69"/>
      <c r="F100" s="379"/>
      <c r="G100" s="69"/>
      <c r="H100" s="69">
        <v>0</v>
      </c>
      <c r="I100" s="69"/>
      <c r="J100" s="69"/>
      <c r="K100" s="69"/>
      <c r="L100" s="69"/>
      <c r="M100" s="379"/>
      <c r="N100" s="85"/>
      <c r="O100" s="64"/>
      <c r="P100" s="69"/>
      <c r="Q100" s="69"/>
      <c r="R100" s="379"/>
      <c r="S100" s="69"/>
      <c r="T100" s="69"/>
      <c r="U100" s="69"/>
      <c r="V100" s="69"/>
      <c r="W100" s="69"/>
      <c r="X100" s="69"/>
      <c r="Y100" s="379"/>
      <c r="Z100" s="381">
        <v>0</v>
      </c>
      <c r="AA100" s="381">
        <f>SUMIFS([1]!Data_BS[Value],[1]!Data_BS[Index BS],DTRVL!$B100,[1]!Data_BS[TenCongTyID],DTRVL!$B$1,[1]!Data_BS[Thang.Nam],DTRVL!AA$5)</f>
        <v>0</v>
      </c>
      <c r="AB100" s="381">
        <f>SUMIFS([1]!Data_BS[Value],[1]!Data_BS[Index BS],DTRVL!$B100,[1]!Data_BS[TenCongTyID],DTRVL!$B$1,[1]!Data_BS[Thang.Nam],DTRVL!AB$5)</f>
        <v>0</v>
      </c>
      <c r="AC100" s="381">
        <f>SUMIFS([1]!Data_BS[Value],[1]!Data_BS[Index BS],DTRVL!$B100,[1]!Data_BS[TenCongTyID],DTRVL!$B$1,[1]!Data_BS[Thang.Nam],DTRVL!AC$5)</f>
        <v>0</v>
      </c>
      <c r="AD100" s="381">
        <f>SUMIFS([1]!Data_BS[Value],[1]!Data_BS[Index BS],DTRVL!$B100,[1]!Data_BS[TenCongTyID],DTRVL!$B$1,[1]!Data_BS[Thang.Nam],DTRVL!AD$5)</f>
        <v>0</v>
      </c>
      <c r="AE100" s="381">
        <f>SUMIFS([1]!Data_BS[Value],[1]!Data_BS[Index BS],DTRVL!$B100,[1]!Data_BS[TenCongTyID],DTRVL!$B$1,[1]!Data_BS[Thang.Nam],DTRVL!AE$5)</f>
        <v>0</v>
      </c>
      <c r="AF100" s="381">
        <f>SUMIFS([1]!Data_BS[Value],[1]!Data_BS[Index BS],DTRVL!$B100,[1]!Data_BS[TenCongTyID],DTRVL!$B$1,[1]!Data_BS[Thang.Nam],DTRVL!AF$5)</f>
        <v>0</v>
      </c>
      <c r="AG100" s="381">
        <f>SUMIFS([1]!Data_BS[Value],[1]!Data_BS[Index BS],DTRVL!$B100,[1]!Data_BS[TenCongTyID],DTRVL!$B$1,[1]!Data_BS[Thang.Nam],DTRVL!AG$5)</f>
        <v>0</v>
      </c>
      <c r="AH100" s="381">
        <f>SUMIFS([1]!Data_BS[Value],[1]!Data_BS[Index BS],DTRVL!$B100,[1]!Data_BS[TenCongTyID],DTRVL!$B$1,[1]!Data_BS[Thang.Nam],DTRVL!AH$5)</f>
        <v>0</v>
      </c>
      <c r="AI100" s="381">
        <f>SUMIFS([1]!Data_BS[Value],[1]!Data_BS[Index BS],DTRVL!$B100,[1]!Data_BS[TenCongTyID],DTRVL!$B$1,[1]!Data_BS[Thang.Nam],DTRVL!AI$5)</f>
        <v>0</v>
      </c>
      <c r="AJ100" s="381">
        <f>SUMIFS([1]!Data_BS[Value],[1]!Data_BS[Index BS],DTRVL!$B100,[1]!Data_BS[TenCongTyID],DTRVL!$B$1,[1]!Data_BS[Thang.Nam],DTRVL!AJ$5)</f>
        <v>0</v>
      </c>
      <c r="AK100" s="381">
        <f>SUMIFS([1]!Data_BS[Value],[1]!Data_BS[Index BS],DTRVL!$B100,[1]!Data_BS[TenCongTyID],DTRVL!$B$1,[1]!Data_BS[Thang.Nam],DTRVL!AK$5)</f>
        <v>0</v>
      </c>
      <c r="AL100" s="381">
        <f>SUMIFS([1]!Data_BS[Value],[1]!Data_BS[Index BS],DTRVL!$B100,[1]!Data_BS[TenCongTyID],DTRVL!$B$1,[1]!Data_BS[Thang.Nam],DTRVL!AL$5)</f>
        <v>0</v>
      </c>
    </row>
    <row r="101" spans="1:38" ht="15" hidden="1" customHeight="1" outlineLevel="1">
      <c r="A101" s="72" t="s">
        <v>185</v>
      </c>
      <c r="B101" s="65">
        <v>96</v>
      </c>
      <c r="C101" s="64"/>
      <c r="D101" s="69"/>
      <c r="E101" s="69"/>
      <c r="F101" s="379"/>
      <c r="G101" s="69"/>
      <c r="H101" s="69">
        <v>0</v>
      </c>
      <c r="I101" s="69"/>
      <c r="J101" s="69"/>
      <c r="K101" s="69"/>
      <c r="L101" s="69"/>
      <c r="M101" s="379"/>
      <c r="N101" s="85"/>
      <c r="O101" s="64"/>
      <c r="P101" s="69"/>
      <c r="Q101" s="69"/>
      <c r="R101" s="379"/>
      <c r="S101" s="69"/>
      <c r="T101" s="69"/>
      <c r="U101" s="69"/>
      <c r="V101" s="69"/>
      <c r="W101" s="69"/>
      <c r="X101" s="69"/>
      <c r="Y101" s="379"/>
      <c r="Z101" s="381">
        <v>0</v>
      </c>
      <c r="AA101" s="381">
        <f>SUMIFS([1]!Data_BS[Value],[1]!Data_BS[Index BS],DTRVL!$B101,[1]!Data_BS[TenCongTyID],DTRVL!$B$1,[1]!Data_BS[Thang.Nam],DTRVL!AA$5)</f>
        <v>0</v>
      </c>
      <c r="AB101" s="381">
        <f>SUMIFS([1]!Data_BS[Value],[1]!Data_BS[Index BS],DTRVL!$B101,[1]!Data_BS[TenCongTyID],DTRVL!$B$1,[1]!Data_BS[Thang.Nam],DTRVL!AB$5)</f>
        <v>0</v>
      </c>
      <c r="AC101" s="381">
        <f>SUMIFS([1]!Data_BS[Value],[1]!Data_BS[Index BS],DTRVL!$B101,[1]!Data_BS[TenCongTyID],DTRVL!$B$1,[1]!Data_BS[Thang.Nam],DTRVL!AC$5)</f>
        <v>0</v>
      </c>
      <c r="AD101" s="381">
        <f>SUMIFS([1]!Data_BS[Value],[1]!Data_BS[Index BS],DTRVL!$B101,[1]!Data_BS[TenCongTyID],DTRVL!$B$1,[1]!Data_BS[Thang.Nam],DTRVL!AD$5)</f>
        <v>0</v>
      </c>
      <c r="AE101" s="381">
        <f>SUMIFS([1]!Data_BS[Value],[1]!Data_BS[Index BS],DTRVL!$B101,[1]!Data_BS[TenCongTyID],DTRVL!$B$1,[1]!Data_BS[Thang.Nam],DTRVL!AE$5)</f>
        <v>0</v>
      </c>
      <c r="AF101" s="381">
        <f>SUMIFS([1]!Data_BS[Value],[1]!Data_BS[Index BS],DTRVL!$B101,[1]!Data_BS[TenCongTyID],DTRVL!$B$1,[1]!Data_BS[Thang.Nam],DTRVL!AF$5)</f>
        <v>0</v>
      </c>
      <c r="AG101" s="381">
        <f>SUMIFS([1]!Data_BS[Value],[1]!Data_BS[Index BS],DTRVL!$B101,[1]!Data_BS[TenCongTyID],DTRVL!$B$1,[1]!Data_BS[Thang.Nam],DTRVL!AG$5)</f>
        <v>0</v>
      </c>
      <c r="AH101" s="381">
        <f>SUMIFS([1]!Data_BS[Value],[1]!Data_BS[Index BS],DTRVL!$B101,[1]!Data_BS[TenCongTyID],DTRVL!$B$1,[1]!Data_BS[Thang.Nam],DTRVL!AH$5)</f>
        <v>0</v>
      </c>
      <c r="AI101" s="381">
        <f>SUMIFS([1]!Data_BS[Value],[1]!Data_BS[Index BS],DTRVL!$B101,[1]!Data_BS[TenCongTyID],DTRVL!$B$1,[1]!Data_BS[Thang.Nam],DTRVL!AI$5)</f>
        <v>0</v>
      </c>
      <c r="AJ101" s="381">
        <f>SUMIFS([1]!Data_BS[Value],[1]!Data_BS[Index BS],DTRVL!$B101,[1]!Data_BS[TenCongTyID],DTRVL!$B$1,[1]!Data_BS[Thang.Nam],DTRVL!AJ$5)</f>
        <v>0</v>
      </c>
      <c r="AK101" s="381">
        <f>SUMIFS([1]!Data_BS[Value],[1]!Data_BS[Index BS],DTRVL!$B101,[1]!Data_BS[TenCongTyID],DTRVL!$B$1,[1]!Data_BS[Thang.Nam],DTRVL!AK$5)</f>
        <v>0</v>
      </c>
      <c r="AL101" s="381">
        <f>SUMIFS([1]!Data_BS[Value],[1]!Data_BS[Index BS],DTRVL!$B101,[1]!Data_BS[TenCongTyID],DTRVL!$B$1,[1]!Data_BS[Thang.Nam],DTRVL!AL$5)</f>
        <v>0</v>
      </c>
    </row>
    <row r="102" spans="1:38" ht="15" hidden="1" customHeight="1" outlineLevel="1">
      <c r="A102" s="67" t="s">
        <v>186</v>
      </c>
      <c r="B102" s="63">
        <v>97</v>
      </c>
      <c r="C102" s="64"/>
      <c r="D102" s="69"/>
      <c r="E102" s="69"/>
      <c r="F102" s="379"/>
      <c r="G102" s="69"/>
      <c r="H102" s="69">
        <v>0</v>
      </c>
      <c r="I102" s="69"/>
      <c r="J102" s="69"/>
      <c r="K102" s="69"/>
      <c r="L102" s="69"/>
      <c r="M102" s="379"/>
      <c r="N102" s="85"/>
      <c r="O102" s="64"/>
      <c r="P102" s="69"/>
      <c r="Q102" s="69"/>
      <c r="R102" s="379"/>
      <c r="S102" s="69"/>
      <c r="T102" s="69"/>
      <c r="U102" s="69"/>
      <c r="V102" s="69"/>
      <c r="W102" s="69"/>
      <c r="X102" s="69"/>
      <c r="Y102" s="379"/>
      <c r="Z102" s="381">
        <v>0</v>
      </c>
      <c r="AA102" s="381">
        <f>SUMIFS([1]!Data_BS[Value],[1]!Data_BS[Index BS],DTRVL!$B102,[1]!Data_BS[TenCongTyID],DTRVL!$B$1,[1]!Data_BS[Thang.Nam],DTRVL!AA$5)</f>
        <v>0</v>
      </c>
      <c r="AB102" s="381">
        <f>SUMIFS([1]!Data_BS[Value],[1]!Data_BS[Index BS],DTRVL!$B102,[1]!Data_BS[TenCongTyID],DTRVL!$B$1,[1]!Data_BS[Thang.Nam],DTRVL!AB$5)</f>
        <v>0</v>
      </c>
      <c r="AC102" s="381">
        <f>SUMIFS([1]!Data_BS[Value],[1]!Data_BS[Index BS],DTRVL!$B102,[1]!Data_BS[TenCongTyID],DTRVL!$B$1,[1]!Data_BS[Thang.Nam],DTRVL!AC$5)</f>
        <v>0</v>
      </c>
      <c r="AD102" s="381">
        <f>SUMIFS([1]!Data_BS[Value],[1]!Data_BS[Index BS],DTRVL!$B102,[1]!Data_BS[TenCongTyID],DTRVL!$B$1,[1]!Data_BS[Thang.Nam],DTRVL!AD$5)</f>
        <v>0</v>
      </c>
      <c r="AE102" s="381">
        <f>SUMIFS([1]!Data_BS[Value],[1]!Data_BS[Index BS],DTRVL!$B102,[1]!Data_BS[TenCongTyID],DTRVL!$B$1,[1]!Data_BS[Thang.Nam],DTRVL!AE$5)</f>
        <v>0</v>
      </c>
      <c r="AF102" s="381">
        <f>SUMIFS([1]!Data_BS[Value],[1]!Data_BS[Index BS],DTRVL!$B102,[1]!Data_BS[TenCongTyID],DTRVL!$B$1,[1]!Data_BS[Thang.Nam],DTRVL!AF$5)</f>
        <v>0</v>
      </c>
      <c r="AG102" s="381">
        <f>SUMIFS([1]!Data_BS[Value],[1]!Data_BS[Index BS],DTRVL!$B102,[1]!Data_BS[TenCongTyID],DTRVL!$B$1,[1]!Data_BS[Thang.Nam],DTRVL!AG$5)</f>
        <v>0</v>
      </c>
      <c r="AH102" s="381">
        <f>SUMIFS([1]!Data_BS[Value],[1]!Data_BS[Index BS],DTRVL!$B102,[1]!Data_BS[TenCongTyID],DTRVL!$B$1,[1]!Data_BS[Thang.Nam],DTRVL!AH$5)</f>
        <v>0</v>
      </c>
      <c r="AI102" s="381">
        <f>SUMIFS([1]!Data_BS[Value],[1]!Data_BS[Index BS],DTRVL!$B102,[1]!Data_BS[TenCongTyID],DTRVL!$B$1,[1]!Data_BS[Thang.Nam],DTRVL!AI$5)</f>
        <v>0</v>
      </c>
      <c r="AJ102" s="381">
        <f>SUMIFS([1]!Data_BS[Value],[1]!Data_BS[Index BS],DTRVL!$B102,[1]!Data_BS[TenCongTyID],DTRVL!$B$1,[1]!Data_BS[Thang.Nam],DTRVL!AJ$5)</f>
        <v>0</v>
      </c>
      <c r="AK102" s="381">
        <f>SUMIFS([1]!Data_BS[Value],[1]!Data_BS[Index BS],DTRVL!$B102,[1]!Data_BS[TenCongTyID],DTRVL!$B$1,[1]!Data_BS[Thang.Nam],DTRVL!AK$5)</f>
        <v>0</v>
      </c>
      <c r="AL102" s="381">
        <f>SUMIFS([1]!Data_BS[Value],[1]!Data_BS[Index BS],DTRVL!$B102,[1]!Data_BS[TenCongTyID],DTRVL!$B$1,[1]!Data_BS[Thang.Nam],DTRVL!AL$5)</f>
        <v>0</v>
      </c>
    </row>
    <row r="103" spans="1:38" ht="15" hidden="1" customHeight="1" outlineLevel="1">
      <c r="A103" s="67" t="s">
        <v>187</v>
      </c>
      <c r="B103" s="63">
        <v>98</v>
      </c>
      <c r="C103" s="64"/>
      <c r="D103" s="69"/>
      <c r="E103" s="69"/>
      <c r="F103" s="379"/>
      <c r="G103" s="69"/>
      <c r="H103" s="69">
        <v>0</v>
      </c>
      <c r="I103" s="69"/>
      <c r="J103" s="69"/>
      <c r="K103" s="69"/>
      <c r="L103" s="69"/>
      <c r="M103" s="379"/>
      <c r="N103" s="85"/>
      <c r="O103" s="64"/>
      <c r="P103" s="69"/>
      <c r="Q103" s="69"/>
      <c r="R103" s="379"/>
      <c r="S103" s="69"/>
      <c r="T103" s="69"/>
      <c r="U103" s="69"/>
      <c r="V103" s="69"/>
      <c r="W103" s="69"/>
      <c r="X103" s="69"/>
      <c r="Y103" s="379"/>
      <c r="Z103" s="381">
        <v>0</v>
      </c>
      <c r="AA103" s="381">
        <f>SUMIFS([1]!Data_BS[Value],[1]!Data_BS[Index BS],DTRVL!$B103,[1]!Data_BS[TenCongTyID],DTRVL!$B$1,[1]!Data_BS[Thang.Nam],DTRVL!AA$5)</f>
        <v>0</v>
      </c>
      <c r="AB103" s="381">
        <f>SUMIFS([1]!Data_BS[Value],[1]!Data_BS[Index BS],DTRVL!$B103,[1]!Data_BS[TenCongTyID],DTRVL!$B$1,[1]!Data_BS[Thang.Nam],DTRVL!AB$5)</f>
        <v>0</v>
      </c>
      <c r="AC103" s="381">
        <f>SUMIFS([1]!Data_BS[Value],[1]!Data_BS[Index BS],DTRVL!$B103,[1]!Data_BS[TenCongTyID],DTRVL!$B$1,[1]!Data_BS[Thang.Nam],DTRVL!AC$5)</f>
        <v>0</v>
      </c>
      <c r="AD103" s="381">
        <f>SUMIFS([1]!Data_BS[Value],[1]!Data_BS[Index BS],DTRVL!$B103,[1]!Data_BS[TenCongTyID],DTRVL!$B$1,[1]!Data_BS[Thang.Nam],DTRVL!AD$5)</f>
        <v>0</v>
      </c>
      <c r="AE103" s="381">
        <f>SUMIFS([1]!Data_BS[Value],[1]!Data_BS[Index BS],DTRVL!$B103,[1]!Data_BS[TenCongTyID],DTRVL!$B$1,[1]!Data_BS[Thang.Nam],DTRVL!AE$5)</f>
        <v>0</v>
      </c>
      <c r="AF103" s="381">
        <f>SUMIFS([1]!Data_BS[Value],[1]!Data_BS[Index BS],DTRVL!$B103,[1]!Data_BS[TenCongTyID],DTRVL!$B$1,[1]!Data_BS[Thang.Nam],DTRVL!AF$5)</f>
        <v>0</v>
      </c>
      <c r="AG103" s="381">
        <f>SUMIFS([1]!Data_BS[Value],[1]!Data_BS[Index BS],DTRVL!$B103,[1]!Data_BS[TenCongTyID],DTRVL!$B$1,[1]!Data_BS[Thang.Nam],DTRVL!AG$5)</f>
        <v>0</v>
      </c>
      <c r="AH103" s="381">
        <f>SUMIFS([1]!Data_BS[Value],[1]!Data_BS[Index BS],DTRVL!$B103,[1]!Data_BS[TenCongTyID],DTRVL!$B$1,[1]!Data_BS[Thang.Nam],DTRVL!AH$5)</f>
        <v>0</v>
      </c>
      <c r="AI103" s="381">
        <f>SUMIFS([1]!Data_BS[Value],[1]!Data_BS[Index BS],DTRVL!$B103,[1]!Data_BS[TenCongTyID],DTRVL!$B$1,[1]!Data_BS[Thang.Nam],DTRVL!AI$5)</f>
        <v>0</v>
      </c>
      <c r="AJ103" s="381">
        <f>SUMIFS([1]!Data_BS[Value],[1]!Data_BS[Index BS],DTRVL!$B103,[1]!Data_BS[TenCongTyID],DTRVL!$B$1,[1]!Data_BS[Thang.Nam],DTRVL!AJ$5)</f>
        <v>0</v>
      </c>
      <c r="AK103" s="381">
        <f>SUMIFS([1]!Data_BS[Value],[1]!Data_BS[Index BS],DTRVL!$B103,[1]!Data_BS[TenCongTyID],DTRVL!$B$1,[1]!Data_BS[Thang.Nam],DTRVL!AK$5)</f>
        <v>0</v>
      </c>
      <c r="AL103" s="381">
        <f>SUMIFS([1]!Data_BS[Value],[1]!Data_BS[Index BS],DTRVL!$B103,[1]!Data_BS[TenCongTyID],DTRVL!$B$1,[1]!Data_BS[Thang.Nam],DTRVL!AL$5)</f>
        <v>0</v>
      </c>
    </row>
    <row r="104" spans="1:38" ht="15" hidden="1" customHeight="1" outlineLevel="1">
      <c r="A104" s="67" t="s">
        <v>188</v>
      </c>
      <c r="B104" s="63">
        <v>99</v>
      </c>
      <c r="C104" s="64"/>
      <c r="D104" s="69"/>
      <c r="E104" s="69"/>
      <c r="F104" s="379"/>
      <c r="G104" s="69"/>
      <c r="H104" s="69"/>
      <c r="I104" s="69"/>
      <c r="J104" s="69"/>
      <c r="K104" s="69"/>
      <c r="L104" s="69"/>
      <c r="M104" s="379"/>
      <c r="N104" s="85"/>
      <c r="O104" s="64"/>
      <c r="P104" s="69"/>
      <c r="Q104" s="69"/>
      <c r="R104" s="379"/>
      <c r="S104" s="69"/>
      <c r="T104" s="69"/>
      <c r="U104" s="69"/>
      <c r="V104" s="69"/>
      <c r="W104" s="69"/>
      <c r="X104" s="69"/>
      <c r="Y104" s="379"/>
      <c r="Z104" s="381">
        <v>0</v>
      </c>
      <c r="AA104" s="381">
        <f>SUMIFS([1]!Data_BS[Value],[1]!Data_BS[Index BS],DTRVL!$B104,[1]!Data_BS[TenCongTyID],DTRVL!$B$1,[1]!Data_BS[Thang.Nam],DTRVL!AA$5)</f>
        <v>0</v>
      </c>
      <c r="AB104" s="381">
        <f>SUMIFS([1]!Data_BS[Value],[1]!Data_BS[Index BS],DTRVL!$B104,[1]!Data_BS[TenCongTyID],DTRVL!$B$1,[1]!Data_BS[Thang.Nam],DTRVL!AB$5)</f>
        <v>0</v>
      </c>
      <c r="AC104" s="381">
        <f>SUMIFS([1]!Data_BS[Value],[1]!Data_BS[Index BS],DTRVL!$B104,[1]!Data_BS[TenCongTyID],DTRVL!$B$1,[1]!Data_BS[Thang.Nam],DTRVL!AC$5)</f>
        <v>0</v>
      </c>
      <c r="AD104" s="381">
        <f>SUMIFS([1]!Data_BS[Value],[1]!Data_BS[Index BS],DTRVL!$B104,[1]!Data_BS[TenCongTyID],DTRVL!$B$1,[1]!Data_BS[Thang.Nam],DTRVL!AD$5)</f>
        <v>0</v>
      </c>
      <c r="AE104" s="381">
        <f>SUMIFS([1]!Data_BS[Value],[1]!Data_BS[Index BS],DTRVL!$B104,[1]!Data_BS[TenCongTyID],DTRVL!$B$1,[1]!Data_BS[Thang.Nam],DTRVL!AE$5)</f>
        <v>0</v>
      </c>
      <c r="AF104" s="381">
        <f>SUMIFS([1]!Data_BS[Value],[1]!Data_BS[Index BS],DTRVL!$B104,[1]!Data_BS[TenCongTyID],DTRVL!$B$1,[1]!Data_BS[Thang.Nam],DTRVL!AF$5)</f>
        <v>0</v>
      </c>
      <c r="AG104" s="381">
        <f>SUMIFS([1]!Data_BS[Value],[1]!Data_BS[Index BS],DTRVL!$B104,[1]!Data_BS[TenCongTyID],DTRVL!$B$1,[1]!Data_BS[Thang.Nam],DTRVL!AG$5)</f>
        <v>0</v>
      </c>
      <c r="AH104" s="381">
        <f>SUMIFS([1]!Data_BS[Value],[1]!Data_BS[Index BS],DTRVL!$B104,[1]!Data_BS[TenCongTyID],DTRVL!$B$1,[1]!Data_BS[Thang.Nam],DTRVL!AH$5)</f>
        <v>0</v>
      </c>
      <c r="AI104" s="381">
        <f>SUMIFS([1]!Data_BS[Value],[1]!Data_BS[Index BS],DTRVL!$B104,[1]!Data_BS[TenCongTyID],DTRVL!$B$1,[1]!Data_BS[Thang.Nam],DTRVL!AI$5)</f>
        <v>0</v>
      </c>
      <c r="AJ104" s="381">
        <f>SUMIFS([1]!Data_BS[Value],[1]!Data_BS[Index BS],DTRVL!$B104,[1]!Data_BS[TenCongTyID],DTRVL!$B$1,[1]!Data_BS[Thang.Nam],DTRVL!AJ$5)</f>
        <v>0</v>
      </c>
      <c r="AK104" s="381">
        <f>SUMIFS([1]!Data_BS[Value],[1]!Data_BS[Index BS],DTRVL!$B104,[1]!Data_BS[TenCongTyID],DTRVL!$B$1,[1]!Data_BS[Thang.Nam],DTRVL!AK$5)</f>
        <v>0</v>
      </c>
      <c r="AL104" s="381">
        <f>SUMIFS([1]!Data_BS[Value],[1]!Data_BS[Index BS],DTRVL!$B104,[1]!Data_BS[TenCongTyID],DTRVL!$B$1,[1]!Data_BS[Thang.Nam],DTRVL!AL$5)</f>
        <v>0</v>
      </c>
    </row>
    <row r="105" spans="1:38" ht="15" hidden="1" customHeight="1" outlineLevel="1">
      <c r="A105" s="67" t="s">
        <v>189</v>
      </c>
      <c r="B105" s="63">
        <v>100</v>
      </c>
      <c r="C105" s="64"/>
      <c r="D105" s="69"/>
      <c r="E105" s="69"/>
      <c r="F105" s="379"/>
      <c r="G105" s="69"/>
      <c r="H105" s="69">
        <v>0</v>
      </c>
      <c r="I105" s="69"/>
      <c r="J105" s="69"/>
      <c r="K105" s="69"/>
      <c r="L105" s="69"/>
      <c r="M105" s="379"/>
      <c r="N105" s="85"/>
      <c r="O105" s="64"/>
      <c r="P105" s="69"/>
      <c r="Q105" s="69"/>
      <c r="R105" s="379"/>
      <c r="S105" s="69"/>
      <c r="T105" s="69"/>
      <c r="U105" s="69"/>
      <c r="V105" s="69"/>
      <c r="W105" s="69"/>
      <c r="X105" s="69"/>
      <c r="Y105" s="379"/>
      <c r="Z105" s="381">
        <v>0</v>
      </c>
      <c r="AA105" s="381">
        <f>SUMIFS([1]!Data_BS[Value],[1]!Data_BS[Index BS],DTRVL!$B105,[1]!Data_BS[TenCongTyID],DTRVL!$B$1,[1]!Data_BS[Thang.Nam],DTRVL!AA$5)</f>
        <v>0</v>
      </c>
      <c r="AB105" s="381">
        <f>SUMIFS([1]!Data_BS[Value],[1]!Data_BS[Index BS],DTRVL!$B105,[1]!Data_BS[TenCongTyID],DTRVL!$B$1,[1]!Data_BS[Thang.Nam],DTRVL!AB$5)</f>
        <v>0</v>
      </c>
      <c r="AC105" s="381">
        <f>SUMIFS([1]!Data_BS[Value],[1]!Data_BS[Index BS],DTRVL!$B105,[1]!Data_BS[TenCongTyID],DTRVL!$B$1,[1]!Data_BS[Thang.Nam],DTRVL!AC$5)</f>
        <v>0</v>
      </c>
      <c r="AD105" s="381">
        <f>SUMIFS([1]!Data_BS[Value],[1]!Data_BS[Index BS],DTRVL!$B105,[1]!Data_BS[TenCongTyID],DTRVL!$B$1,[1]!Data_BS[Thang.Nam],DTRVL!AD$5)</f>
        <v>0</v>
      </c>
      <c r="AE105" s="381">
        <f>SUMIFS([1]!Data_BS[Value],[1]!Data_BS[Index BS],DTRVL!$B105,[1]!Data_BS[TenCongTyID],DTRVL!$B$1,[1]!Data_BS[Thang.Nam],DTRVL!AE$5)</f>
        <v>0</v>
      </c>
      <c r="AF105" s="381">
        <f>SUMIFS([1]!Data_BS[Value],[1]!Data_BS[Index BS],DTRVL!$B105,[1]!Data_BS[TenCongTyID],DTRVL!$B$1,[1]!Data_BS[Thang.Nam],DTRVL!AF$5)</f>
        <v>0</v>
      </c>
      <c r="AG105" s="381">
        <f>SUMIFS([1]!Data_BS[Value],[1]!Data_BS[Index BS],DTRVL!$B105,[1]!Data_BS[TenCongTyID],DTRVL!$B$1,[1]!Data_BS[Thang.Nam],DTRVL!AG$5)</f>
        <v>0</v>
      </c>
      <c r="AH105" s="381">
        <f>SUMIFS([1]!Data_BS[Value],[1]!Data_BS[Index BS],DTRVL!$B105,[1]!Data_BS[TenCongTyID],DTRVL!$B$1,[1]!Data_BS[Thang.Nam],DTRVL!AH$5)</f>
        <v>0</v>
      </c>
      <c r="AI105" s="381">
        <f>SUMIFS([1]!Data_BS[Value],[1]!Data_BS[Index BS],DTRVL!$B105,[1]!Data_BS[TenCongTyID],DTRVL!$B$1,[1]!Data_BS[Thang.Nam],DTRVL!AI$5)</f>
        <v>0</v>
      </c>
      <c r="AJ105" s="381">
        <f>SUMIFS([1]!Data_BS[Value],[1]!Data_BS[Index BS],DTRVL!$B105,[1]!Data_BS[TenCongTyID],DTRVL!$B$1,[1]!Data_BS[Thang.Nam],DTRVL!AJ$5)</f>
        <v>0</v>
      </c>
      <c r="AK105" s="381">
        <f>SUMIFS([1]!Data_BS[Value],[1]!Data_BS[Index BS],DTRVL!$B105,[1]!Data_BS[TenCongTyID],DTRVL!$B$1,[1]!Data_BS[Thang.Nam],DTRVL!AK$5)</f>
        <v>0</v>
      </c>
      <c r="AL105" s="381">
        <f>SUMIFS([1]!Data_BS[Value],[1]!Data_BS[Index BS],DTRVL!$B105,[1]!Data_BS[TenCongTyID],DTRVL!$B$1,[1]!Data_BS[Thang.Nam],DTRVL!AL$5)</f>
        <v>0</v>
      </c>
    </row>
    <row r="106" spans="1:38" ht="15" hidden="1" customHeight="1" outlineLevel="1">
      <c r="A106" s="67" t="s">
        <v>190</v>
      </c>
      <c r="B106" s="63">
        <v>101</v>
      </c>
      <c r="C106" s="64"/>
      <c r="D106" s="69"/>
      <c r="E106" s="69"/>
      <c r="F106" s="379"/>
      <c r="G106" s="69"/>
      <c r="H106" s="69">
        <v>0</v>
      </c>
      <c r="I106" s="69"/>
      <c r="J106" s="69"/>
      <c r="K106" s="69"/>
      <c r="L106" s="69"/>
      <c r="M106" s="379"/>
      <c r="N106" s="85"/>
      <c r="O106" s="64"/>
      <c r="P106" s="69"/>
      <c r="Q106" s="69"/>
      <c r="R106" s="379"/>
      <c r="S106" s="69"/>
      <c r="T106" s="69"/>
      <c r="U106" s="69"/>
      <c r="V106" s="69"/>
      <c r="W106" s="69"/>
      <c r="X106" s="69"/>
      <c r="Y106" s="379"/>
      <c r="Z106" s="381">
        <v>0</v>
      </c>
      <c r="AA106" s="381">
        <f>SUMIFS([1]!Data_BS[Value],[1]!Data_BS[Index BS],DTRVL!$B106,[1]!Data_BS[TenCongTyID],DTRVL!$B$1,[1]!Data_BS[Thang.Nam],DTRVL!AA$5)</f>
        <v>0</v>
      </c>
      <c r="AB106" s="381">
        <f>SUMIFS([1]!Data_BS[Value],[1]!Data_BS[Index BS],DTRVL!$B106,[1]!Data_BS[TenCongTyID],DTRVL!$B$1,[1]!Data_BS[Thang.Nam],DTRVL!AB$5)</f>
        <v>0</v>
      </c>
      <c r="AC106" s="381">
        <f>SUMIFS([1]!Data_BS[Value],[1]!Data_BS[Index BS],DTRVL!$B106,[1]!Data_BS[TenCongTyID],DTRVL!$B$1,[1]!Data_BS[Thang.Nam],DTRVL!AC$5)</f>
        <v>0</v>
      </c>
      <c r="AD106" s="381">
        <f>SUMIFS([1]!Data_BS[Value],[1]!Data_BS[Index BS],DTRVL!$B106,[1]!Data_BS[TenCongTyID],DTRVL!$B$1,[1]!Data_BS[Thang.Nam],DTRVL!AD$5)</f>
        <v>0</v>
      </c>
      <c r="AE106" s="381">
        <f>SUMIFS([1]!Data_BS[Value],[1]!Data_BS[Index BS],DTRVL!$B106,[1]!Data_BS[TenCongTyID],DTRVL!$B$1,[1]!Data_BS[Thang.Nam],DTRVL!AE$5)</f>
        <v>0</v>
      </c>
      <c r="AF106" s="381">
        <f>SUMIFS([1]!Data_BS[Value],[1]!Data_BS[Index BS],DTRVL!$B106,[1]!Data_BS[TenCongTyID],DTRVL!$B$1,[1]!Data_BS[Thang.Nam],DTRVL!AF$5)</f>
        <v>0</v>
      </c>
      <c r="AG106" s="381">
        <f>SUMIFS([1]!Data_BS[Value],[1]!Data_BS[Index BS],DTRVL!$B106,[1]!Data_BS[TenCongTyID],DTRVL!$B$1,[1]!Data_BS[Thang.Nam],DTRVL!AG$5)</f>
        <v>0</v>
      </c>
      <c r="AH106" s="381">
        <f>SUMIFS([1]!Data_BS[Value],[1]!Data_BS[Index BS],DTRVL!$B106,[1]!Data_BS[TenCongTyID],DTRVL!$B$1,[1]!Data_BS[Thang.Nam],DTRVL!AH$5)</f>
        <v>0</v>
      </c>
      <c r="AI106" s="381">
        <f>SUMIFS([1]!Data_BS[Value],[1]!Data_BS[Index BS],DTRVL!$B106,[1]!Data_BS[TenCongTyID],DTRVL!$B$1,[1]!Data_BS[Thang.Nam],DTRVL!AI$5)</f>
        <v>0</v>
      </c>
      <c r="AJ106" s="381">
        <f>SUMIFS([1]!Data_BS[Value],[1]!Data_BS[Index BS],DTRVL!$B106,[1]!Data_BS[TenCongTyID],DTRVL!$B$1,[1]!Data_BS[Thang.Nam],DTRVL!AJ$5)</f>
        <v>0</v>
      </c>
      <c r="AK106" s="381">
        <f>SUMIFS([1]!Data_BS[Value],[1]!Data_BS[Index BS],DTRVL!$B106,[1]!Data_BS[TenCongTyID],DTRVL!$B$1,[1]!Data_BS[Thang.Nam],DTRVL!AK$5)</f>
        <v>0</v>
      </c>
      <c r="AL106" s="381">
        <f>SUMIFS([1]!Data_BS[Value],[1]!Data_BS[Index BS],DTRVL!$B106,[1]!Data_BS[TenCongTyID],DTRVL!$B$1,[1]!Data_BS[Thang.Nam],DTRVL!AL$5)</f>
        <v>0</v>
      </c>
    </row>
    <row r="107" spans="1:38" ht="15" hidden="1" customHeight="1" outlineLevel="1">
      <c r="A107" s="67" t="s">
        <v>191</v>
      </c>
      <c r="B107" s="63">
        <v>102</v>
      </c>
      <c r="C107" s="64"/>
      <c r="D107" s="69"/>
      <c r="E107" s="69"/>
      <c r="F107" s="379"/>
      <c r="G107" s="69"/>
      <c r="H107" s="69">
        <v>0</v>
      </c>
      <c r="I107" s="69"/>
      <c r="J107" s="69"/>
      <c r="K107" s="69"/>
      <c r="L107" s="69"/>
      <c r="M107" s="379"/>
      <c r="N107" s="85"/>
      <c r="O107" s="64"/>
      <c r="P107" s="69"/>
      <c r="Q107" s="69"/>
      <c r="R107" s="379"/>
      <c r="S107" s="69"/>
      <c r="T107" s="69"/>
      <c r="U107" s="69"/>
      <c r="V107" s="69"/>
      <c r="W107" s="69"/>
      <c r="X107" s="69"/>
      <c r="Y107" s="379"/>
      <c r="Z107" s="381">
        <v>0</v>
      </c>
      <c r="AA107" s="381">
        <f>SUMIFS([1]!Data_BS[Value],[1]!Data_BS[Index BS],DTRVL!$B107,[1]!Data_BS[TenCongTyID],DTRVL!$B$1,[1]!Data_BS[Thang.Nam],DTRVL!AA$5)</f>
        <v>0</v>
      </c>
      <c r="AB107" s="381">
        <f>SUMIFS([1]!Data_BS[Value],[1]!Data_BS[Index BS],DTRVL!$B107,[1]!Data_BS[TenCongTyID],DTRVL!$B$1,[1]!Data_BS[Thang.Nam],DTRVL!AB$5)</f>
        <v>0</v>
      </c>
      <c r="AC107" s="381">
        <f>SUMIFS([1]!Data_BS[Value],[1]!Data_BS[Index BS],DTRVL!$B107,[1]!Data_BS[TenCongTyID],DTRVL!$B$1,[1]!Data_BS[Thang.Nam],DTRVL!AC$5)</f>
        <v>0</v>
      </c>
      <c r="AD107" s="381">
        <f>SUMIFS([1]!Data_BS[Value],[1]!Data_BS[Index BS],DTRVL!$B107,[1]!Data_BS[TenCongTyID],DTRVL!$B$1,[1]!Data_BS[Thang.Nam],DTRVL!AD$5)</f>
        <v>0</v>
      </c>
      <c r="AE107" s="381">
        <f>SUMIFS([1]!Data_BS[Value],[1]!Data_BS[Index BS],DTRVL!$B107,[1]!Data_BS[TenCongTyID],DTRVL!$B$1,[1]!Data_BS[Thang.Nam],DTRVL!AE$5)</f>
        <v>0</v>
      </c>
      <c r="AF107" s="381">
        <f>SUMIFS([1]!Data_BS[Value],[1]!Data_BS[Index BS],DTRVL!$B107,[1]!Data_BS[TenCongTyID],DTRVL!$B$1,[1]!Data_BS[Thang.Nam],DTRVL!AF$5)</f>
        <v>0</v>
      </c>
      <c r="AG107" s="381">
        <f>SUMIFS([1]!Data_BS[Value],[1]!Data_BS[Index BS],DTRVL!$B107,[1]!Data_BS[TenCongTyID],DTRVL!$B$1,[1]!Data_BS[Thang.Nam],DTRVL!AG$5)</f>
        <v>0</v>
      </c>
      <c r="AH107" s="381">
        <f>SUMIFS([1]!Data_BS[Value],[1]!Data_BS[Index BS],DTRVL!$B107,[1]!Data_BS[TenCongTyID],DTRVL!$B$1,[1]!Data_BS[Thang.Nam],DTRVL!AH$5)</f>
        <v>0</v>
      </c>
      <c r="AI107" s="381">
        <f>SUMIFS([1]!Data_BS[Value],[1]!Data_BS[Index BS],DTRVL!$B107,[1]!Data_BS[TenCongTyID],DTRVL!$B$1,[1]!Data_BS[Thang.Nam],DTRVL!AI$5)</f>
        <v>0</v>
      </c>
      <c r="AJ107" s="381">
        <f>SUMIFS([1]!Data_BS[Value],[1]!Data_BS[Index BS],DTRVL!$B107,[1]!Data_BS[TenCongTyID],DTRVL!$B$1,[1]!Data_BS[Thang.Nam],DTRVL!AJ$5)</f>
        <v>0</v>
      </c>
      <c r="AK107" s="381">
        <f>SUMIFS([1]!Data_BS[Value],[1]!Data_BS[Index BS],DTRVL!$B107,[1]!Data_BS[TenCongTyID],DTRVL!$B$1,[1]!Data_BS[Thang.Nam],DTRVL!AK$5)</f>
        <v>0</v>
      </c>
      <c r="AL107" s="381">
        <f>SUMIFS([1]!Data_BS[Value],[1]!Data_BS[Index BS],DTRVL!$B107,[1]!Data_BS[TenCongTyID],DTRVL!$B$1,[1]!Data_BS[Thang.Nam],DTRVL!AL$5)</f>
        <v>0</v>
      </c>
    </row>
    <row r="108" spans="1:38" ht="15" hidden="1" customHeight="1" outlineLevel="1">
      <c r="A108" s="67" t="s">
        <v>192</v>
      </c>
      <c r="B108" s="63">
        <v>103</v>
      </c>
      <c r="C108" s="64"/>
      <c r="D108" s="69"/>
      <c r="E108" s="69"/>
      <c r="F108" s="379"/>
      <c r="G108" s="69"/>
      <c r="H108" s="69">
        <v>0</v>
      </c>
      <c r="I108" s="69"/>
      <c r="J108" s="69"/>
      <c r="K108" s="69"/>
      <c r="L108" s="69"/>
      <c r="M108" s="379"/>
      <c r="N108" s="85"/>
      <c r="O108" s="64"/>
      <c r="P108" s="69"/>
      <c r="Q108" s="69"/>
      <c r="R108" s="379"/>
      <c r="S108" s="69"/>
      <c r="T108" s="69"/>
      <c r="U108" s="69"/>
      <c r="V108" s="69"/>
      <c r="W108" s="69"/>
      <c r="X108" s="69"/>
      <c r="Y108" s="379"/>
      <c r="Z108" s="381">
        <v>0</v>
      </c>
      <c r="AA108" s="381">
        <f>SUMIFS([1]!Data_BS[Value],[1]!Data_BS[Index BS],DTRVL!$B108,[1]!Data_BS[TenCongTyID],DTRVL!$B$1,[1]!Data_BS[Thang.Nam],DTRVL!AA$5)</f>
        <v>0</v>
      </c>
      <c r="AB108" s="381">
        <f>SUMIFS([1]!Data_BS[Value],[1]!Data_BS[Index BS],DTRVL!$B108,[1]!Data_BS[TenCongTyID],DTRVL!$B$1,[1]!Data_BS[Thang.Nam],DTRVL!AB$5)</f>
        <v>0</v>
      </c>
      <c r="AC108" s="381">
        <f>SUMIFS([1]!Data_BS[Value],[1]!Data_BS[Index BS],DTRVL!$B108,[1]!Data_BS[TenCongTyID],DTRVL!$B$1,[1]!Data_BS[Thang.Nam],DTRVL!AC$5)</f>
        <v>0</v>
      </c>
      <c r="AD108" s="381">
        <f>SUMIFS([1]!Data_BS[Value],[1]!Data_BS[Index BS],DTRVL!$B108,[1]!Data_BS[TenCongTyID],DTRVL!$B$1,[1]!Data_BS[Thang.Nam],DTRVL!AD$5)</f>
        <v>0</v>
      </c>
      <c r="AE108" s="381">
        <f>SUMIFS([1]!Data_BS[Value],[1]!Data_BS[Index BS],DTRVL!$B108,[1]!Data_BS[TenCongTyID],DTRVL!$B$1,[1]!Data_BS[Thang.Nam],DTRVL!AE$5)</f>
        <v>0</v>
      </c>
      <c r="AF108" s="381">
        <f>SUMIFS([1]!Data_BS[Value],[1]!Data_BS[Index BS],DTRVL!$B108,[1]!Data_BS[TenCongTyID],DTRVL!$B$1,[1]!Data_BS[Thang.Nam],DTRVL!AF$5)</f>
        <v>0</v>
      </c>
      <c r="AG108" s="381">
        <f>SUMIFS([1]!Data_BS[Value],[1]!Data_BS[Index BS],DTRVL!$B108,[1]!Data_BS[TenCongTyID],DTRVL!$B$1,[1]!Data_BS[Thang.Nam],DTRVL!AG$5)</f>
        <v>0</v>
      </c>
      <c r="AH108" s="381">
        <f>SUMIFS([1]!Data_BS[Value],[1]!Data_BS[Index BS],DTRVL!$B108,[1]!Data_BS[TenCongTyID],DTRVL!$B$1,[1]!Data_BS[Thang.Nam],DTRVL!AH$5)</f>
        <v>0</v>
      </c>
      <c r="AI108" s="381">
        <f>SUMIFS([1]!Data_BS[Value],[1]!Data_BS[Index BS],DTRVL!$B108,[1]!Data_BS[TenCongTyID],DTRVL!$B$1,[1]!Data_BS[Thang.Nam],DTRVL!AI$5)</f>
        <v>0</v>
      </c>
      <c r="AJ108" s="381">
        <f>SUMIFS([1]!Data_BS[Value],[1]!Data_BS[Index BS],DTRVL!$B108,[1]!Data_BS[TenCongTyID],DTRVL!$B$1,[1]!Data_BS[Thang.Nam],DTRVL!AJ$5)</f>
        <v>0</v>
      </c>
      <c r="AK108" s="381">
        <f>SUMIFS([1]!Data_BS[Value],[1]!Data_BS[Index BS],DTRVL!$B108,[1]!Data_BS[TenCongTyID],DTRVL!$B$1,[1]!Data_BS[Thang.Nam],DTRVL!AK$5)</f>
        <v>0</v>
      </c>
      <c r="AL108" s="381">
        <f>SUMIFS([1]!Data_BS[Value],[1]!Data_BS[Index BS],DTRVL!$B108,[1]!Data_BS[TenCongTyID],DTRVL!$B$1,[1]!Data_BS[Thang.Nam],DTRVL!AL$5)</f>
        <v>0</v>
      </c>
    </row>
    <row r="109" spans="1:38" ht="15" hidden="1" customHeight="1" outlineLevel="1">
      <c r="A109" s="67" t="s">
        <v>193</v>
      </c>
      <c r="B109" s="63">
        <v>104</v>
      </c>
      <c r="C109" s="64"/>
      <c r="D109" s="69"/>
      <c r="E109" s="69"/>
      <c r="F109" s="379"/>
      <c r="G109" s="69"/>
      <c r="H109" s="69">
        <v>0</v>
      </c>
      <c r="I109" s="69"/>
      <c r="J109" s="69"/>
      <c r="K109" s="69"/>
      <c r="L109" s="69"/>
      <c r="M109" s="379"/>
      <c r="N109" s="85"/>
      <c r="O109" s="64"/>
      <c r="P109" s="69"/>
      <c r="Q109" s="69"/>
      <c r="R109" s="379"/>
      <c r="S109" s="69"/>
      <c r="T109" s="69"/>
      <c r="U109" s="69"/>
      <c r="V109" s="69"/>
      <c r="W109" s="69"/>
      <c r="X109" s="69"/>
      <c r="Y109" s="379"/>
      <c r="Z109" s="381">
        <v>0</v>
      </c>
      <c r="AA109" s="381">
        <f>SUMIFS([1]!Data_BS[Value],[1]!Data_BS[Index BS],DTRVL!$B109,[1]!Data_BS[TenCongTyID],DTRVL!$B$1,[1]!Data_BS[Thang.Nam],DTRVL!AA$5)</f>
        <v>0</v>
      </c>
      <c r="AB109" s="381">
        <f>SUMIFS([1]!Data_BS[Value],[1]!Data_BS[Index BS],DTRVL!$B109,[1]!Data_BS[TenCongTyID],DTRVL!$B$1,[1]!Data_BS[Thang.Nam],DTRVL!AB$5)</f>
        <v>0</v>
      </c>
      <c r="AC109" s="381">
        <f>SUMIFS([1]!Data_BS[Value],[1]!Data_BS[Index BS],DTRVL!$B109,[1]!Data_BS[TenCongTyID],DTRVL!$B$1,[1]!Data_BS[Thang.Nam],DTRVL!AC$5)</f>
        <v>0</v>
      </c>
      <c r="AD109" s="381">
        <f>SUMIFS([1]!Data_BS[Value],[1]!Data_BS[Index BS],DTRVL!$B109,[1]!Data_BS[TenCongTyID],DTRVL!$B$1,[1]!Data_BS[Thang.Nam],DTRVL!AD$5)</f>
        <v>0</v>
      </c>
      <c r="AE109" s="381">
        <f>SUMIFS([1]!Data_BS[Value],[1]!Data_BS[Index BS],DTRVL!$B109,[1]!Data_BS[TenCongTyID],DTRVL!$B$1,[1]!Data_BS[Thang.Nam],DTRVL!AE$5)</f>
        <v>0</v>
      </c>
      <c r="AF109" s="381">
        <f>SUMIFS([1]!Data_BS[Value],[1]!Data_BS[Index BS],DTRVL!$B109,[1]!Data_BS[TenCongTyID],DTRVL!$B$1,[1]!Data_BS[Thang.Nam],DTRVL!AF$5)</f>
        <v>0</v>
      </c>
      <c r="AG109" s="381">
        <f>SUMIFS([1]!Data_BS[Value],[1]!Data_BS[Index BS],DTRVL!$B109,[1]!Data_BS[TenCongTyID],DTRVL!$B$1,[1]!Data_BS[Thang.Nam],DTRVL!AG$5)</f>
        <v>0</v>
      </c>
      <c r="AH109" s="381">
        <f>SUMIFS([1]!Data_BS[Value],[1]!Data_BS[Index BS],DTRVL!$B109,[1]!Data_BS[TenCongTyID],DTRVL!$B$1,[1]!Data_BS[Thang.Nam],DTRVL!AH$5)</f>
        <v>0</v>
      </c>
      <c r="AI109" s="381">
        <f>SUMIFS([1]!Data_BS[Value],[1]!Data_BS[Index BS],DTRVL!$B109,[1]!Data_BS[TenCongTyID],DTRVL!$B$1,[1]!Data_BS[Thang.Nam],DTRVL!AI$5)</f>
        <v>0</v>
      </c>
      <c r="AJ109" s="381">
        <f>SUMIFS([1]!Data_BS[Value],[1]!Data_BS[Index BS],DTRVL!$B109,[1]!Data_BS[TenCongTyID],DTRVL!$B$1,[1]!Data_BS[Thang.Nam],DTRVL!AJ$5)</f>
        <v>0</v>
      </c>
      <c r="AK109" s="381">
        <f>SUMIFS([1]!Data_BS[Value],[1]!Data_BS[Index BS],DTRVL!$B109,[1]!Data_BS[TenCongTyID],DTRVL!$B$1,[1]!Data_BS[Thang.Nam],DTRVL!AK$5)</f>
        <v>0</v>
      </c>
      <c r="AL109" s="381">
        <f>SUMIFS([1]!Data_BS[Value],[1]!Data_BS[Index BS],DTRVL!$B109,[1]!Data_BS[TenCongTyID],DTRVL!$B$1,[1]!Data_BS[Thang.Nam],DTRVL!AL$5)</f>
        <v>0</v>
      </c>
    </row>
    <row r="110" spans="1:38" ht="15" hidden="1" customHeight="1" outlineLevel="1">
      <c r="A110" s="67" t="s">
        <v>194</v>
      </c>
      <c r="B110" s="63">
        <v>105</v>
      </c>
      <c r="C110" s="64"/>
      <c r="D110" s="69"/>
      <c r="E110" s="69"/>
      <c r="F110" s="379"/>
      <c r="G110" s="69"/>
      <c r="H110" s="69">
        <v>0</v>
      </c>
      <c r="I110" s="69"/>
      <c r="J110" s="69"/>
      <c r="K110" s="69"/>
      <c r="L110" s="69"/>
      <c r="M110" s="379"/>
      <c r="N110" s="85"/>
      <c r="O110" s="64"/>
      <c r="P110" s="69"/>
      <c r="Q110" s="69"/>
      <c r="R110" s="379"/>
      <c r="S110" s="69"/>
      <c r="T110" s="69"/>
      <c r="U110" s="69"/>
      <c r="V110" s="69"/>
      <c r="W110" s="69"/>
      <c r="X110" s="69"/>
      <c r="Y110" s="379"/>
      <c r="Z110" s="381">
        <v>0</v>
      </c>
      <c r="AA110" s="381">
        <f>SUMIFS([1]!Data_BS[Value],[1]!Data_BS[Index BS],DTRVL!$B110,[1]!Data_BS[TenCongTyID],DTRVL!$B$1,[1]!Data_BS[Thang.Nam],DTRVL!AA$5)</f>
        <v>0</v>
      </c>
      <c r="AB110" s="381">
        <f>SUMIFS([1]!Data_BS[Value],[1]!Data_BS[Index BS],DTRVL!$B110,[1]!Data_BS[TenCongTyID],DTRVL!$B$1,[1]!Data_BS[Thang.Nam],DTRVL!AB$5)</f>
        <v>0</v>
      </c>
      <c r="AC110" s="381">
        <f>SUMIFS([1]!Data_BS[Value],[1]!Data_BS[Index BS],DTRVL!$B110,[1]!Data_BS[TenCongTyID],DTRVL!$B$1,[1]!Data_BS[Thang.Nam],DTRVL!AC$5)</f>
        <v>0</v>
      </c>
      <c r="AD110" s="381">
        <f>SUMIFS([1]!Data_BS[Value],[1]!Data_BS[Index BS],DTRVL!$B110,[1]!Data_BS[TenCongTyID],DTRVL!$B$1,[1]!Data_BS[Thang.Nam],DTRVL!AD$5)</f>
        <v>0</v>
      </c>
      <c r="AE110" s="381">
        <f>SUMIFS([1]!Data_BS[Value],[1]!Data_BS[Index BS],DTRVL!$B110,[1]!Data_BS[TenCongTyID],DTRVL!$B$1,[1]!Data_BS[Thang.Nam],DTRVL!AE$5)</f>
        <v>0</v>
      </c>
      <c r="AF110" s="381">
        <f>SUMIFS([1]!Data_BS[Value],[1]!Data_BS[Index BS],DTRVL!$B110,[1]!Data_BS[TenCongTyID],DTRVL!$B$1,[1]!Data_BS[Thang.Nam],DTRVL!AF$5)</f>
        <v>0</v>
      </c>
      <c r="AG110" s="381">
        <f>SUMIFS([1]!Data_BS[Value],[1]!Data_BS[Index BS],DTRVL!$B110,[1]!Data_BS[TenCongTyID],DTRVL!$B$1,[1]!Data_BS[Thang.Nam],DTRVL!AG$5)</f>
        <v>0</v>
      </c>
      <c r="AH110" s="381">
        <f>SUMIFS([1]!Data_BS[Value],[1]!Data_BS[Index BS],DTRVL!$B110,[1]!Data_BS[TenCongTyID],DTRVL!$B$1,[1]!Data_BS[Thang.Nam],DTRVL!AH$5)</f>
        <v>0</v>
      </c>
      <c r="AI110" s="381">
        <f>SUMIFS([1]!Data_BS[Value],[1]!Data_BS[Index BS],DTRVL!$B110,[1]!Data_BS[TenCongTyID],DTRVL!$B$1,[1]!Data_BS[Thang.Nam],DTRVL!AI$5)</f>
        <v>0</v>
      </c>
      <c r="AJ110" s="381">
        <f>SUMIFS([1]!Data_BS[Value],[1]!Data_BS[Index BS],DTRVL!$B110,[1]!Data_BS[TenCongTyID],DTRVL!$B$1,[1]!Data_BS[Thang.Nam],DTRVL!AJ$5)</f>
        <v>0</v>
      </c>
      <c r="AK110" s="381">
        <f>SUMIFS([1]!Data_BS[Value],[1]!Data_BS[Index BS],DTRVL!$B110,[1]!Data_BS[TenCongTyID],DTRVL!$B$1,[1]!Data_BS[Thang.Nam],DTRVL!AK$5)</f>
        <v>0</v>
      </c>
      <c r="AL110" s="381">
        <f>SUMIFS([1]!Data_BS[Value],[1]!Data_BS[Index BS],DTRVL!$B110,[1]!Data_BS[TenCongTyID],DTRVL!$B$1,[1]!Data_BS[Thang.Nam],DTRVL!AL$5)</f>
        <v>0</v>
      </c>
    </row>
    <row r="111" spans="1:38" ht="15" hidden="1" customHeight="1" outlineLevel="1">
      <c r="A111" s="67" t="s">
        <v>195</v>
      </c>
      <c r="B111" s="63">
        <v>106</v>
      </c>
      <c r="C111" s="64"/>
      <c r="D111" s="69"/>
      <c r="E111" s="69"/>
      <c r="F111" s="379"/>
      <c r="G111" s="69"/>
      <c r="H111" s="69">
        <v>0</v>
      </c>
      <c r="I111" s="69"/>
      <c r="J111" s="69"/>
      <c r="K111" s="69"/>
      <c r="L111" s="69"/>
      <c r="M111" s="379"/>
      <c r="N111" s="85"/>
      <c r="O111" s="64"/>
      <c r="P111" s="69"/>
      <c r="Q111" s="69"/>
      <c r="R111" s="379"/>
      <c r="S111" s="69"/>
      <c r="T111" s="69"/>
      <c r="U111" s="69"/>
      <c r="V111" s="69"/>
      <c r="W111" s="69"/>
      <c r="X111" s="69"/>
      <c r="Y111" s="379"/>
      <c r="Z111" s="381">
        <v>0</v>
      </c>
      <c r="AA111" s="381">
        <f>SUMIFS([1]!Data_BS[Value],[1]!Data_BS[Index BS],DTRVL!$B111,[1]!Data_BS[TenCongTyID],DTRVL!$B$1,[1]!Data_BS[Thang.Nam],DTRVL!AA$5)</f>
        <v>0</v>
      </c>
      <c r="AB111" s="381">
        <f>SUMIFS([1]!Data_BS[Value],[1]!Data_BS[Index BS],DTRVL!$B111,[1]!Data_BS[TenCongTyID],DTRVL!$B$1,[1]!Data_BS[Thang.Nam],DTRVL!AB$5)</f>
        <v>0</v>
      </c>
      <c r="AC111" s="381">
        <f>SUMIFS([1]!Data_BS[Value],[1]!Data_BS[Index BS],DTRVL!$B111,[1]!Data_BS[TenCongTyID],DTRVL!$B$1,[1]!Data_BS[Thang.Nam],DTRVL!AC$5)</f>
        <v>0</v>
      </c>
      <c r="AD111" s="381">
        <f>SUMIFS([1]!Data_BS[Value],[1]!Data_BS[Index BS],DTRVL!$B111,[1]!Data_BS[TenCongTyID],DTRVL!$B$1,[1]!Data_BS[Thang.Nam],DTRVL!AD$5)</f>
        <v>0</v>
      </c>
      <c r="AE111" s="381">
        <f>SUMIFS([1]!Data_BS[Value],[1]!Data_BS[Index BS],DTRVL!$B111,[1]!Data_BS[TenCongTyID],DTRVL!$B$1,[1]!Data_BS[Thang.Nam],DTRVL!AE$5)</f>
        <v>0</v>
      </c>
      <c r="AF111" s="381">
        <f>SUMIFS([1]!Data_BS[Value],[1]!Data_BS[Index BS],DTRVL!$B111,[1]!Data_BS[TenCongTyID],DTRVL!$B$1,[1]!Data_BS[Thang.Nam],DTRVL!AF$5)</f>
        <v>0</v>
      </c>
      <c r="AG111" s="381">
        <f>SUMIFS([1]!Data_BS[Value],[1]!Data_BS[Index BS],DTRVL!$B111,[1]!Data_BS[TenCongTyID],DTRVL!$B$1,[1]!Data_BS[Thang.Nam],DTRVL!AG$5)</f>
        <v>0</v>
      </c>
      <c r="AH111" s="381">
        <f>SUMIFS([1]!Data_BS[Value],[1]!Data_BS[Index BS],DTRVL!$B111,[1]!Data_BS[TenCongTyID],DTRVL!$B$1,[1]!Data_BS[Thang.Nam],DTRVL!AH$5)</f>
        <v>0</v>
      </c>
      <c r="AI111" s="381">
        <f>SUMIFS([1]!Data_BS[Value],[1]!Data_BS[Index BS],DTRVL!$B111,[1]!Data_BS[TenCongTyID],DTRVL!$B$1,[1]!Data_BS[Thang.Nam],DTRVL!AI$5)</f>
        <v>0</v>
      </c>
      <c r="AJ111" s="381">
        <f>SUMIFS([1]!Data_BS[Value],[1]!Data_BS[Index BS],DTRVL!$B111,[1]!Data_BS[TenCongTyID],DTRVL!$B$1,[1]!Data_BS[Thang.Nam],DTRVL!AJ$5)</f>
        <v>0</v>
      </c>
      <c r="AK111" s="381">
        <f>SUMIFS([1]!Data_BS[Value],[1]!Data_BS[Index BS],DTRVL!$B111,[1]!Data_BS[TenCongTyID],DTRVL!$B$1,[1]!Data_BS[Thang.Nam],DTRVL!AK$5)</f>
        <v>0</v>
      </c>
      <c r="AL111" s="381">
        <f>SUMIFS([1]!Data_BS[Value],[1]!Data_BS[Index BS],DTRVL!$B111,[1]!Data_BS[TenCongTyID],DTRVL!$B$1,[1]!Data_BS[Thang.Nam],DTRVL!AL$5)</f>
        <v>0</v>
      </c>
    </row>
    <row r="112" spans="1:38" ht="15" hidden="1" customHeight="1" outlineLevel="1">
      <c r="A112" s="67" t="s">
        <v>196</v>
      </c>
      <c r="B112" s="63">
        <v>107</v>
      </c>
      <c r="C112" s="64"/>
      <c r="D112" s="69"/>
      <c r="E112" s="69"/>
      <c r="F112" s="379"/>
      <c r="G112" s="69"/>
      <c r="H112" s="69">
        <v>0</v>
      </c>
      <c r="I112" s="69"/>
      <c r="J112" s="69"/>
      <c r="K112" s="69"/>
      <c r="L112" s="69"/>
      <c r="M112" s="379"/>
      <c r="N112" s="85"/>
      <c r="O112" s="64"/>
      <c r="P112" s="69"/>
      <c r="Q112" s="69"/>
      <c r="R112" s="379"/>
      <c r="S112" s="69"/>
      <c r="T112" s="69"/>
      <c r="U112" s="69"/>
      <c r="V112" s="69"/>
      <c r="W112" s="69"/>
      <c r="X112" s="69"/>
      <c r="Y112" s="379"/>
      <c r="Z112" s="381">
        <v>0</v>
      </c>
      <c r="AA112" s="381">
        <f>SUMIFS([1]!Data_BS[Value],[1]!Data_BS[Index BS],DTRVL!$B112,[1]!Data_BS[TenCongTyID],DTRVL!$B$1,[1]!Data_BS[Thang.Nam],DTRVL!AA$5)</f>
        <v>0</v>
      </c>
      <c r="AB112" s="381">
        <f>SUMIFS([1]!Data_BS[Value],[1]!Data_BS[Index BS],DTRVL!$B112,[1]!Data_BS[TenCongTyID],DTRVL!$B$1,[1]!Data_BS[Thang.Nam],DTRVL!AB$5)</f>
        <v>0</v>
      </c>
      <c r="AC112" s="381">
        <f>SUMIFS([1]!Data_BS[Value],[1]!Data_BS[Index BS],DTRVL!$B112,[1]!Data_BS[TenCongTyID],DTRVL!$B$1,[1]!Data_BS[Thang.Nam],DTRVL!AC$5)</f>
        <v>0</v>
      </c>
      <c r="AD112" s="381">
        <f>SUMIFS([1]!Data_BS[Value],[1]!Data_BS[Index BS],DTRVL!$B112,[1]!Data_BS[TenCongTyID],DTRVL!$B$1,[1]!Data_BS[Thang.Nam],DTRVL!AD$5)</f>
        <v>0</v>
      </c>
      <c r="AE112" s="381">
        <f>SUMIFS([1]!Data_BS[Value],[1]!Data_BS[Index BS],DTRVL!$B112,[1]!Data_BS[TenCongTyID],DTRVL!$B$1,[1]!Data_BS[Thang.Nam],DTRVL!AE$5)</f>
        <v>0</v>
      </c>
      <c r="AF112" s="381">
        <f>SUMIFS([1]!Data_BS[Value],[1]!Data_BS[Index BS],DTRVL!$B112,[1]!Data_BS[TenCongTyID],DTRVL!$B$1,[1]!Data_BS[Thang.Nam],DTRVL!AF$5)</f>
        <v>0</v>
      </c>
      <c r="AG112" s="381">
        <f>SUMIFS([1]!Data_BS[Value],[1]!Data_BS[Index BS],DTRVL!$B112,[1]!Data_BS[TenCongTyID],DTRVL!$B$1,[1]!Data_BS[Thang.Nam],DTRVL!AG$5)</f>
        <v>0</v>
      </c>
      <c r="AH112" s="381">
        <f>SUMIFS([1]!Data_BS[Value],[1]!Data_BS[Index BS],DTRVL!$B112,[1]!Data_BS[TenCongTyID],DTRVL!$B$1,[1]!Data_BS[Thang.Nam],DTRVL!AH$5)</f>
        <v>0</v>
      </c>
      <c r="AI112" s="381">
        <f>SUMIFS([1]!Data_BS[Value],[1]!Data_BS[Index BS],DTRVL!$B112,[1]!Data_BS[TenCongTyID],DTRVL!$B$1,[1]!Data_BS[Thang.Nam],DTRVL!AI$5)</f>
        <v>0</v>
      </c>
      <c r="AJ112" s="381">
        <f>SUMIFS([1]!Data_BS[Value],[1]!Data_BS[Index BS],DTRVL!$B112,[1]!Data_BS[TenCongTyID],DTRVL!$B$1,[1]!Data_BS[Thang.Nam],DTRVL!AJ$5)</f>
        <v>0</v>
      </c>
      <c r="AK112" s="381">
        <f>SUMIFS([1]!Data_BS[Value],[1]!Data_BS[Index BS],DTRVL!$B112,[1]!Data_BS[TenCongTyID],DTRVL!$B$1,[1]!Data_BS[Thang.Nam],DTRVL!AK$5)</f>
        <v>0</v>
      </c>
      <c r="AL112" s="381">
        <f>SUMIFS([1]!Data_BS[Value],[1]!Data_BS[Index BS],DTRVL!$B112,[1]!Data_BS[TenCongTyID],DTRVL!$B$1,[1]!Data_BS[Thang.Nam],DTRVL!AL$5)</f>
        <v>0</v>
      </c>
    </row>
    <row r="113" spans="1:38" ht="15" hidden="1" customHeight="1" outlineLevel="1">
      <c r="A113" s="67" t="s">
        <v>197</v>
      </c>
      <c r="B113" s="63">
        <v>108</v>
      </c>
      <c r="C113" s="64"/>
      <c r="D113" s="69"/>
      <c r="E113" s="69"/>
      <c r="F113" s="379"/>
      <c r="G113" s="69"/>
      <c r="H113" s="69">
        <v>0</v>
      </c>
      <c r="I113" s="69"/>
      <c r="J113" s="69"/>
      <c r="K113" s="69"/>
      <c r="L113" s="69"/>
      <c r="M113" s="379"/>
      <c r="N113" s="85"/>
      <c r="O113" s="64"/>
      <c r="P113" s="69"/>
      <c r="Q113" s="69"/>
      <c r="R113" s="379"/>
      <c r="S113" s="69"/>
      <c r="T113" s="69"/>
      <c r="U113" s="69"/>
      <c r="V113" s="69"/>
      <c r="W113" s="69"/>
      <c r="X113" s="69"/>
      <c r="Y113" s="379"/>
      <c r="Z113" s="381">
        <v>0</v>
      </c>
      <c r="AA113" s="381">
        <f>SUMIFS([1]!Data_BS[Value],[1]!Data_BS[Index BS],DTRVL!$B113,[1]!Data_BS[TenCongTyID],DTRVL!$B$1,[1]!Data_BS[Thang.Nam],DTRVL!AA$5)</f>
        <v>0</v>
      </c>
      <c r="AB113" s="381">
        <f>SUMIFS([1]!Data_BS[Value],[1]!Data_BS[Index BS],DTRVL!$B113,[1]!Data_BS[TenCongTyID],DTRVL!$B$1,[1]!Data_BS[Thang.Nam],DTRVL!AB$5)</f>
        <v>0</v>
      </c>
      <c r="AC113" s="381">
        <f>SUMIFS([1]!Data_BS[Value],[1]!Data_BS[Index BS],DTRVL!$B113,[1]!Data_BS[TenCongTyID],DTRVL!$B$1,[1]!Data_BS[Thang.Nam],DTRVL!AC$5)</f>
        <v>0</v>
      </c>
      <c r="AD113" s="381">
        <f>SUMIFS([1]!Data_BS[Value],[1]!Data_BS[Index BS],DTRVL!$B113,[1]!Data_BS[TenCongTyID],DTRVL!$B$1,[1]!Data_BS[Thang.Nam],DTRVL!AD$5)</f>
        <v>0</v>
      </c>
      <c r="AE113" s="381">
        <f>SUMIFS([1]!Data_BS[Value],[1]!Data_BS[Index BS],DTRVL!$B113,[1]!Data_BS[TenCongTyID],DTRVL!$B$1,[1]!Data_BS[Thang.Nam],DTRVL!AE$5)</f>
        <v>0</v>
      </c>
      <c r="AF113" s="381">
        <f>SUMIFS([1]!Data_BS[Value],[1]!Data_BS[Index BS],DTRVL!$B113,[1]!Data_BS[TenCongTyID],DTRVL!$B$1,[1]!Data_BS[Thang.Nam],DTRVL!AF$5)</f>
        <v>0</v>
      </c>
      <c r="AG113" s="381">
        <f>SUMIFS([1]!Data_BS[Value],[1]!Data_BS[Index BS],DTRVL!$B113,[1]!Data_BS[TenCongTyID],DTRVL!$B$1,[1]!Data_BS[Thang.Nam],DTRVL!AG$5)</f>
        <v>0</v>
      </c>
      <c r="AH113" s="381">
        <f>SUMIFS([1]!Data_BS[Value],[1]!Data_BS[Index BS],DTRVL!$B113,[1]!Data_BS[TenCongTyID],DTRVL!$B$1,[1]!Data_BS[Thang.Nam],DTRVL!AH$5)</f>
        <v>0</v>
      </c>
      <c r="AI113" s="381">
        <f>SUMIFS([1]!Data_BS[Value],[1]!Data_BS[Index BS],DTRVL!$B113,[1]!Data_BS[TenCongTyID],DTRVL!$B$1,[1]!Data_BS[Thang.Nam],DTRVL!AI$5)</f>
        <v>0</v>
      </c>
      <c r="AJ113" s="381">
        <f>SUMIFS([1]!Data_BS[Value],[1]!Data_BS[Index BS],DTRVL!$B113,[1]!Data_BS[TenCongTyID],DTRVL!$B$1,[1]!Data_BS[Thang.Nam],DTRVL!AJ$5)</f>
        <v>0</v>
      </c>
      <c r="AK113" s="381">
        <f>SUMIFS([1]!Data_BS[Value],[1]!Data_BS[Index BS],DTRVL!$B113,[1]!Data_BS[TenCongTyID],DTRVL!$B$1,[1]!Data_BS[Thang.Nam],DTRVL!AK$5)</f>
        <v>0</v>
      </c>
      <c r="AL113" s="381">
        <f>SUMIFS([1]!Data_BS[Value],[1]!Data_BS[Index BS],DTRVL!$B113,[1]!Data_BS[TenCongTyID],DTRVL!$B$1,[1]!Data_BS[Thang.Nam],DTRVL!AL$5)</f>
        <v>0</v>
      </c>
    </row>
    <row r="114" spans="1:38" ht="15" hidden="1" customHeight="1" outlineLevel="1">
      <c r="A114" s="67" t="s">
        <v>198</v>
      </c>
      <c r="B114" s="63">
        <v>109</v>
      </c>
      <c r="C114" s="64"/>
      <c r="D114" s="69"/>
      <c r="E114" s="69"/>
      <c r="F114" s="379"/>
      <c r="G114" s="69"/>
      <c r="H114" s="69">
        <v>0</v>
      </c>
      <c r="I114" s="69"/>
      <c r="J114" s="69"/>
      <c r="K114" s="69"/>
      <c r="L114" s="69"/>
      <c r="M114" s="379"/>
      <c r="N114" s="85"/>
      <c r="O114" s="64"/>
      <c r="P114" s="69"/>
      <c r="Q114" s="69"/>
      <c r="R114" s="379"/>
      <c r="S114" s="69"/>
      <c r="T114" s="69"/>
      <c r="U114" s="69"/>
      <c r="V114" s="69"/>
      <c r="W114" s="69"/>
      <c r="X114" s="69"/>
      <c r="Y114" s="379"/>
      <c r="Z114" s="381">
        <v>0</v>
      </c>
      <c r="AA114" s="381">
        <f>SUMIFS([1]!Data_BS[Value],[1]!Data_BS[Index BS],DTRVL!$B114,[1]!Data_BS[TenCongTyID],DTRVL!$B$1,[1]!Data_BS[Thang.Nam],DTRVL!AA$5)</f>
        <v>0</v>
      </c>
      <c r="AB114" s="381">
        <f>SUMIFS([1]!Data_BS[Value],[1]!Data_BS[Index BS],DTRVL!$B114,[1]!Data_BS[TenCongTyID],DTRVL!$B$1,[1]!Data_BS[Thang.Nam],DTRVL!AB$5)</f>
        <v>0</v>
      </c>
      <c r="AC114" s="381">
        <f>SUMIFS([1]!Data_BS[Value],[1]!Data_BS[Index BS],DTRVL!$B114,[1]!Data_BS[TenCongTyID],DTRVL!$B$1,[1]!Data_BS[Thang.Nam],DTRVL!AC$5)</f>
        <v>0</v>
      </c>
      <c r="AD114" s="381">
        <f>SUMIFS([1]!Data_BS[Value],[1]!Data_BS[Index BS],DTRVL!$B114,[1]!Data_BS[TenCongTyID],DTRVL!$B$1,[1]!Data_BS[Thang.Nam],DTRVL!AD$5)</f>
        <v>0</v>
      </c>
      <c r="AE114" s="381">
        <f>SUMIFS([1]!Data_BS[Value],[1]!Data_BS[Index BS],DTRVL!$B114,[1]!Data_BS[TenCongTyID],DTRVL!$B$1,[1]!Data_BS[Thang.Nam],DTRVL!AE$5)</f>
        <v>0</v>
      </c>
      <c r="AF114" s="381">
        <f>SUMIFS([1]!Data_BS[Value],[1]!Data_BS[Index BS],DTRVL!$B114,[1]!Data_BS[TenCongTyID],DTRVL!$B$1,[1]!Data_BS[Thang.Nam],DTRVL!AF$5)</f>
        <v>0</v>
      </c>
      <c r="AG114" s="381">
        <f>SUMIFS([1]!Data_BS[Value],[1]!Data_BS[Index BS],DTRVL!$B114,[1]!Data_BS[TenCongTyID],DTRVL!$B$1,[1]!Data_BS[Thang.Nam],DTRVL!AG$5)</f>
        <v>0</v>
      </c>
      <c r="AH114" s="381">
        <f>SUMIFS([1]!Data_BS[Value],[1]!Data_BS[Index BS],DTRVL!$B114,[1]!Data_BS[TenCongTyID],DTRVL!$B$1,[1]!Data_BS[Thang.Nam],DTRVL!AH$5)</f>
        <v>0</v>
      </c>
      <c r="AI114" s="381">
        <f>SUMIFS([1]!Data_BS[Value],[1]!Data_BS[Index BS],DTRVL!$B114,[1]!Data_BS[TenCongTyID],DTRVL!$B$1,[1]!Data_BS[Thang.Nam],DTRVL!AI$5)</f>
        <v>0</v>
      </c>
      <c r="AJ114" s="381">
        <f>SUMIFS([1]!Data_BS[Value],[1]!Data_BS[Index BS],DTRVL!$B114,[1]!Data_BS[TenCongTyID],DTRVL!$B$1,[1]!Data_BS[Thang.Nam],DTRVL!AJ$5)</f>
        <v>0</v>
      </c>
      <c r="AK114" s="381">
        <f>SUMIFS([1]!Data_BS[Value],[1]!Data_BS[Index BS],DTRVL!$B114,[1]!Data_BS[TenCongTyID],DTRVL!$B$1,[1]!Data_BS[Thang.Nam],DTRVL!AK$5)</f>
        <v>0</v>
      </c>
      <c r="AL114" s="381">
        <f>SUMIFS([1]!Data_BS[Value],[1]!Data_BS[Index BS],DTRVL!$B114,[1]!Data_BS[TenCongTyID],DTRVL!$B$1,[1]!Data_BS[Thang.Nam],DTRVL!AL$5)</f>
        <v>0</v>
      </c>
    </row>
    <row r="115" spans="1:38" ht="15" hidden="1" customHeight="1" outlineLevel="1">
      <c r="A115" s="67" t="s">
        <v>199</v>
      </c>
      <c r="B115" s="63">
        <v>110</v>
      </c>
      <c r="C115" s="64"/>
      <c r="D115" s="69"/>
      <c r="E115" s="69"/>
      <c r="F115" s="379"/>
      <c r="G115" s="69"/>
      <c r="H115" s="69">
        <v>0</v>
      </c>
      <c r="I115" s="69"/>
      <c r="J115" s="69"/>
      <c r="K115" s="69"/>
      <c r="L115" s="69"/>
      <c r="M115" s="379"/>
      <c r="N115" s="85"/>
      <c r="O115" s="64"/>
      <c r="P115" s="69"/>
      <c r="Q115" s="69"/>
      <c r="R115" s="379"/>
      <c r="S115" s="69"/>
      <c r="T115" s="69"/>
      <c r="U115" s="69"/>
      <c r="V115" s="69"/>
      <c r="W115" s="69"/>
      <c r="X115" s="69"/>
      <c r="Y115" s="379"/>
      <c r="Z115" s="381">
        <v>0</v>
      </c>
      <c r="AA115" s="381">
        <f>SUMIFS([1]!Data_BS[Value],[1]!Data_BS[Index BS],DTRVL!$B115,[1]!Data_BS[TenCongTyID],DTRVL!$B$1,[1]!Data_BS[Thang.Nam],DTRVL!AA$5)</f>
        <v>0</v>
      </c>
      <c r="AB115" s="381">
        <f>SUMIFS([1]!Data_BS[Value],[1]!Data_BS[Index BS],DTRVL!$B115,[1]!Data_BS[TenCongTyID],DTRVL!$B$1,[1]!Data_BS[Thang.Nam],DTRVL!AB$5)</f>
        <v>0</v>
      </c>
      <c r="AC115" s="381">
        <f>SUMIFS([1]!Data_BS[Value],[1]!Data_BS[Index BS],DTRVL!$B115,[1]!Data_BS[TenCongTyID],DTRVL!$B$1,[1]!Data_BS[Thang.Nam],DTRVL!AC$5)</f>
        <v>0</v>
      </c>
      <c r="AD115" s="381">
        <f>SUMIFS([1]!Data_BS[Value],[1]!Data_BS[Index BS],DTRVL!$B115,[1]!Data_BS[TenCongTyID],DTRVL!$B$1,[1]!Data_BS[Thang.Nam],DTRVL!AD$5)</f>
        <v>0</v>
      </c>
      <c r="AE115" s="381">
        <f>SUMIFS([1]!Data_BS[Value],[1]!Data_BS[Index BS],DTRVL!$B115,[1]!Data_BS[TenCongTyID],DTRVL!$B$1,[1]!Data_BS[Thang.Nam],DTRVL!AE$5)</f>
        <v>0</v>
      </c>
      <c r="AF115" s="381">
        <f>SUMIFS([1]!Data_BS[Value],[1]!Data_BS[Index BS],DTRVL!$B115,[1]!Data_BS[TenCongTyID],DTRVL!$B$1,[1]!Data_BS[Thang.Nam],DTRVL!AF$5)</f>
        <v>0</v>
      </c>
      <c r="AG115" s="381">
        <f>SUMIFS([1]!Data_BS[Value],[1]!Data_BS[Index BS],DTRVL!$B115,[1]!Data_BS[TenCongTyID],DTRVL!$B$1,[1]!Data_BS[Thang.Nam],DTRVL!AG$5)</f>
        <v>0</v>
      </c>
      <c r="AH115" s="381">
        <f>SUMIFS([1]!Data_BS[Value],[1]!Data_BS[Index BS],DTRVL!$B115,[1]!Data_BS[TenCongTyID],DTRVL!$B$1,[1]!Data_BS[Thang.Nam],DTRVL!AH$5)</f>
        <v>0</v>
      </c>
      <c r="AI115" s="381">
        <f>SUMIFS([1]!Data_BS[Value],[1]!Data_BS[Index BS],DTRVL!$B115,[1]!Data_BS[TenCongTyID],DTRVL!$B$1,[1]!Data_BS[Thang.Nam],DTRVL!AI$5)</f>
        <v>0</v>
      </c>
      <c r="AJ115" s="381">
        <f>SUMIFS([1]!Data_BS[Value],[1]!Data_BS[Index BS],DTRVL!$B115,[1]!Data_BS[TenCongTyID],DTRVL!$B$1,[1]!Data_BS[Thang.Nam],DTRVL!AJ$5)</f>
        <v>0</v>
      </c>
      <c r="AK115" s="381">
        <f>SUMIFS([1]!Data_BS[Value],[1]!Data_BS[Index BS],DTRVL!$B115,[1]!Data_BS[TenCongTyID],DTRVL!$B$1,[1]!Data_BS[Thang.Nam],DTRVL!AK$5)</f>
        <v>0</v>
      </c>
      <c r="AL115" s="381">
        <f>SUMIFS([1]!Data_BS[Value],[1]!Data_BS[Index BS],DTRVL!$B115,[1]!Data_BS[TenCongTyID],DTRVL!$B$1,[1]!Data_BS[Thang.Nam],DTRVL!AL$5)</f>
        <v>0</v>
      </c>
    </row>
    <row r="116" spans="1:38" ht="15" hidden="1" customHeight="1" outlineLevel="1">
      <c r="A116" s="56" t="s">
        <v>200</v>
      </c>
      <c r="B116" s="71">
        <v>111</v>
      </c>
      <c r="C116" s="58">
        <v>0</v>
      </c>
      <c r="D116" s="58">
        <v>0</v>
      </c>
      <c r="E116" s="58">
        <v>0</v>
      </c>
      <c r="F116" s="58">
        <v>0</v>
      </c>
      <c r="G116" s="58">
        <v>0</v>
      </c>
      <c r="H116" s="58">
        <v>0</v>
      </c>
      <c r="I116" s="58">
        <v>0</v>
      </c>
      <c r="J116" s="370"/>
      <c r="K116" s="370"/>
      <c r="L116" s="370"/>
      <c r="M116" s="371"/>
      <c r="N116" s="398"/>
      <c r="O116" s="58"/>
      <c r="P116" s="370"/>
      <c r="Q116" s="370"/>
      <c r="R116" s="371"/>
      <c r="S116" s="370"/>
      <c r="T116" s="370"/>
      <c r="U116" s="370"/>
      <c r="V116" s="370"/>
      <c r="W116" s="370"/>
      <c r="X116" s="370"/>
      <c r="Y116" s="371">
        <v>498111269</v>
      </c>
      <c r="Z116" s="374">
        <v>5998114586</v>
      </c>
      <c r="AA116" s="374">
        <f>SUMIFS([1]!Data_BS[Value],[1]!Data_BS[Index BS],DTRVL!$B116,[1]!Data_BS[TenCongTyID],DTRVL!$B$1,[1]!Data_BS[Thang.Nam],DTRVL!AA$5)</f>
        <v>0</v>
      </c>
      <c r="AB116" s="374">
        <f>SUMIFS([1]!Data_BS[Value],[1]!Data_BS[Index BS],DTRVL!$B116,[1]!Data_BS[TenCongTyID],DTRVL!$B$1,[1]!Data_BS[Thang.Nam],DTRVL!AB$5)</f>
        <v>0</v>
      </c>
      <c r="AC116" s="374">
        <f>SUMIFS([1]!Data_BS[Value],[1]!Data_BS[Index BS],DTRVL!$B116,[1]!Data_BS[TenCongTyID],DTRVL!$B$1,[1]!Data_BS[Thang.Nam],DTRVL!AC$5)</f>
        <v>0</v>
      </c>
      <c r="AD116" s="374">
        <f>SUMIFS([1]!Data_BS[Value],[1]!Data_BS[Index BS],DTRVL!$B116,[1]!Data_BS[TenCongTyID],DTRVL!$B$1,[1]!Data_BS[Thang.Nam],DTRVL!AD$5)</f>
        <v>0</v>
      </c>
      <c r="AE116" s="374">
        <f>SUMIFS([1]!Data_BS[Value],[1]!Data_BS[Index BS],DTRVL!$B116,[1]!Data_BS[TenCongTyID],DTRVL!$B$1,[1]!Data_BS[Thang.Nam],DTRVL!AE$5)</f>
        <v>0</v>
      </c>
      <c r="AF116" s="374">
        <f>SUMIFS([1]!Data_BS[Value],[1]!Data_BS[Index BS],DTRVL!$B116,[1]!Data_BS[TenCongTyID],DTRVL!$B$1,[1]!Data_BS[Thang.Nam],DTRVL!AF$5)</f>
        <v>0</v>
      </c>
      <c r="AG116" s="374">
        <f>SUMIFS([1]!Data_BS[Value],[1]!Data_BS[Index BS],DTRVL!$B116,[1]!Data_BS[TenCongTyID],DTRVL!$B$1,[1]!Data_BS[Thang.Nam],DTRVL!AG$5)</f>
        <v>0</v>
      </c>
      <c r="AH116" s="374">
        <f>SUMIFS([1]!Data_BS[Value],[1]!Data_BS[Index BS],DTRVL!$B116,[1]!Data_BS[TenCongTyID],DTRVL!$B$1,[1]!Data_BS[Thang.Nam],DTRVL!AH$5)</f>
        <v>0</v>
      </c>
      <c r="AI116" s="374">
        <f>SUMIFS([1]!Data_BS[Value],[1]!Data_BS[Index BS],DTRVL!$B116,[1]!Data_BS[TenCongTyID],DTRVL!$B$1,[1]!Data_BS[Thang.Nam],DTRVL!AI$5)</f>
        <v>0</v>
      </c>
      <c r="AJ116" s="374">
        <f>SUMIFS([1]!Data_BS[Value],[1]!Data_BS[Index BS],DTRVL!$B116,[1]!Data_BS[TenCongTyID],DTRVL!$B$1,[1]!Data_BS[Thang.Nam],DTRVL!AJ$5)</f>
        <v>0</v>
      </c>
      <c r="AK116" s="374">
        <f>SUMIFS([1]!Data_BS[Value],[1]!Data_BS[Index BS],DTRVL!$B116,[1]!Data_BS[TenCongTyID],DTRVL!$B$1,[1]!Data_BS[Thang.Nam],DTRVL!AK$5)</f>
        <v>0</v>
      </c>
      <c r="AL116" s="374">
        <f>SUMIFS([1]!Data_BS[Value],[1]!Data_BS[Index BS],DTRVL!$B116,[1]!Data_BS[TenCongTyID],DTRVL!$B$1,[1]!Data_BS[Thang.Nam],DTRVL!AL$5)</f>
        <v>0</v>
      </c>
    </row>
    <row r="117" spans="1:38" ht="15" hidden="1" customHeight="1" outlineLevel="1">
      <c r="A117" s="67" t="s">
        <v>201</v>
      </c>
      <c r="B117" s="63">
        <v>112</v>
      </c>
      <c r="C117" s="64">
        <f>C118+C119</f>
        <v>0</v>
      </c>
      <c r="D117" s="69">
        <f t="shared" ref="D117:I117" si="10">D118+D119</f>
        <v>0</v>
      </c>
      <c r="E117" s="69">
        <f t="shared" si="10"/>
        <v>0</v>
      </c>
      <c r="F117" s="69">
        <f t="shared" si="10"/>
        <v>0</v>
      </c>
      <c r="G117" s="69">
        <f t="shared" si="10"/>
        <v>0</v>
      </c>
      <c r="H117" s="69">
        <f t="shared" si="10"/>
        <v>0</v>
      </c>
      <c r="I117" s="69">
        <f t="shared" si="10"/>
        <v>0</v>
      </c>
      <c r="J117" s="69"/>
      <c r="K117" s="69"/>
      <c r="L117" s="69"/>
      <c r="M117" s="69"/>
      <c r="N117" s="69"/>
      <c r="O117" s="64"/>
      <c r="P117" s="69"/>
      <c r="Q117" s="69"/>
      <c r="R117" s="69"/>
      <c r="S117" s="69"/>
      <c r="T117" s="69"/>
      <c r="U117" s="69"/>
      <c r="V117" s="69"/>
      <c r="W117" s="69"/>
      <c r="X117" s="69">
        <f>X118+X119</f>
        <v>0</v>
      </c>
      <c r="Y117" s="69">
        <v>500000000</v>
      </c>
      <c r="Z117" s="385">
        <v>6000000000</v>
      </c>
      <c r="AA117" s="385">
        <f>SUMIFS([1]!Data_BS[Value],[1]!Data_BS[Index BS],DTRVL!$B117,[1]!Data_BS[TenCongTyID],DTRVL!$B$1,[1]!Data_BS[Thang.Nam],DTRVL!AA$5)</f>
        <v>0</v>
      </c>
      <c r="AB117" s="385">
        <f>SUMIFS([1]!Data_BS[Value],[1]!Data_BS[Index BS],DTRVL!$B117,[1]!Data_BS[TenCongTyID],DTRVL!$B$1,[1]!Data_BS[Thang.Nam],DTRVL!AB$5)</f>
        <v>0</v>
      </c>
      <c r="AC117" s="385">
        <f>SUMIFS([1]!Data_BS[Value],[1]!Data_BS[Index BS],DTRVL!$B117,[1]!Data_BS[TenCongTyID],DTRVL!$B$1,[1]!Data_BS[Thang.Nam],DTRVL!AC$5)</f>
        <v>0</v>
      </c>
      <c r="AD117" s="385">
        <f>SUMIFS([1]!Data_BS[Value],[1]!Data_BS[Index BS],DTRVL!$B117,[1]!Data_BS[TenCongTyID],DTRVL!$B$1,[1]!Data_BS[Thang.Nam],DTRVL!AD$5)</f>
        <v>0</v>
      </c>
      <c r="AE117" s="385">
        <f>SUMIFS([1]!Data_BS[Value],[1]!Data_BS[Index BS],DTRVL!$B117,[1]!Data_BS[TenCongTyID],DTRVL!$B$1,[1]!Data_BS[Thang.Nam],DTRVL!AE$5)</f>
        <v>0</v>
      </c>
      <c r="AF117" s="385">
        <f>SUMIFS([1]!Data_BS[Value],[1]!Data_BS[Index BS],DTRVL!$B117,[1]!Data_BS[TenCongTyID],DTRVL!$B$1,[1]!Data_BS[Thang.Nam],DTRVL!AF$5)</f>
        <v>0</v>
      </c>
      <c r="AG117" s="385">
        <f>SUMIFS([1]!Data_BS[Value],[1]!Data_BS[Index BS],DTRVL!$B117,[1]!Data_BS[TenCongTyID],DTRVL!$B$1,[1]!Data_BS[Thang.Nam],DTRVL!AG$5)</f>
        <v>0</v>
      </c>
      <c r="AH117" s="385">
        <f>SUMIFS([1]!Data_BS[Value],[1]!Data_BS[Index BS],DTRVL!$B117,[1]!Data_BS[TenCongTyID],DTRVL!$B$1,[1]!Data_BS[Thang.Nam],DTRVL!AH$5)</f>
        <v>0</v>
      </c>
      <c r="AI117" s="385">
        <f>SUMIFS([1]!Data_BS[Value],[1]!Data_BS[Index BS],DTRVL!$B117,[1]!Data_BS[TenCongTyID],DTRVL!$B$1,[1]!Data_BS[Thang.Nam],DTRVL!AI$5)</f>
        <v>0</v>
      </c>
      <c r="AJ117" s="385">
        <f>SUMIFS([1]!Data_BS[Value],[1]!Data_BS[Index BS],DTRVL!$B117,[1]!Data_BS[TenCongTyID],DTRVL!$B$1,[1]!Data_BS[Thang.Nam],DTRVL!AJ$5)</f>
        <v>0</v>
      </c>
      <c r="AK117" s="385">
        <f>SUMIFS([1]!Data_BS[Value],[1]!Data_BS[Index BS],DTRVL!$B117,[1]!Data_BS[TenCongTyID],DTRVL!$B$1,[1]!Data_BS[Thang.Nam],DTRVL!AK$5)</f>
        <v>0</v>
      </c>
      <c r="AL117" s="385">
        <f>SUMIFS([1]!Data_BS[Value],[1]!Data_BS[Index BS],DTRVL!$B117,[1]!Data_BS[TenCongTyID],DTRVL!$B$1,[1]!Data_BS[Thang.Nam],DTRVL!AL$5)</f>
        <v>0</v>
      </c>
    </row>
    <row r="118" spans="1:38" ht="15" hidden="1" customHeight="1" outlineLevel="1">
      <c r="A118" s="67" t="s">
        <v>202</v>
      </c>
      <c r="B118" s="63">
        <v>113</v>
      </c>
      <c r="C118" s="85"/>
      <c r="D118" s="85"/>
      <c r="E118" s="69"/>
      <c r="F118" s="69"/>
      <c r="G118" s="69"/>
      <c r="H118" s="69"/>
      <c r="I118" s="69"/>
      <c r="J118" s="69"/>
      <c r="K118" s="69"/>
      <c r="L118" s="69"/>
      <c r="M118" s="379"/>
      <c r="N118" s="85"/>
      <c r="O118" s="85"/>
      <c r="P118" s="85"/>
      <c r="Q118" s="69"/>
      <c r="R118" s="69"/>
      <c r="S118" s="69"/>
      <c r="T118" s="69"/>
      <c r="U118" s="69"/>
      <c r="V118" s="69"/>
      <c r="W118" s="69"/>
      <c r="X118" s="69"/>
      <c r="Y118" s="379">
        <v>500000000</v>
      </c>
      <c r="Z118" s="381">
        <v>6000000000</v>
      </c>
      <c r="AA118" s="381">
        <f>SUMIFS([1]!Data_BS[Value],[1]!Data_BS[Index BS],DTRVL!$B118,[1]!Data_BS[TenCongTyID],DTRVL!$B$1,[1]!Data_BS[Thang.Nam],DTRVL!AA$5)</f>
        <v>0</v>
      </c>
      <c r="AB118" s="381">
        <f>SUMIFS([1]!Data_BS[Value],[1]!Data_BS[Index BS],DTRVL!$B118,[1]!Data_BS[TenCongTyID],DTRVL!$B$1,[1]!Data_BS[Thang.Nam],DTRVL!AB$5)</f>
        <v>0</v>
      </c>
      <c r="AC118" s="381">
        <f>SUMIFS([1]!Data_BS[Value],[1]!Data_BS[Index BS],DTRVL!$B118,[1]!Data_BS[TenCongTyID],DTRVL!$B$1,[1]!Data_BS[Thang.Nam],DTRVL!AC$5)</f>
        <v>0</v>
      </c>
      <c r="AD118" s="381">
        <f>SUMIFS([1]!Data_BS[Value],[1]!Data_BS[Index BS],DTRVL!$B118,[1]!Data_BS[TenCongTyID],DTRVL!$B$1,[1]!Data_BS[Thang.Nam],DTRVL!AD$5)</f>
        <v>0</v>
      </c>
      <c r="AE118" s="381">
        <f>SUMIFS([1]!Data_BS[Value],[1]!Data_BS[Index BS],DTRVL!$B118,[1]!Data_BS[TenCongTyID],DTRVL!$B$1,[1]!Data_BS[Thang.Nam],DTRVL!AE$5)</f>
        <v>0</v>
      </c>
      <c r="AF118" s="381">
        <f>SUMIFS([1]!Data_BS[Value],[1]!Data_BS[Index BS],DTRVL!$B118,[1]!Data_BS[TenCongTyID],DTRVL!$B$1,[1]!Data_BS[Thang.Nam],DTRVL!AF$5)</f>
        <v>0</v>
      </c>
      <c r="AG118" s="381">
        <f>SUMIFS([1]!Data_BS[Value],[1]!Data_BS[Index BS],DTRVL!$B118,[1]!Data_BS[TenCongTyID],DTRVL!$B$1,[1]!Data_BS[Thang.Nam],DTRVL!AG$5)</f>
        <v>0</v>
      </c>
      <c r="AH118" s="381">
        <f>SUMIFS([1]!Data_BS[Value],[1]!Data_BS[Index BS],DTRVL!$B118,[1]!Data_BS[TenCongTyID],DTRVL!$B$1,[1]!Data_BS[Thang.Nam],DTRVL!AH$5)</f>
        <v>0</v>
      </c>
      <c r="AI118" s="381">
        <f>SUMIFS([1]!Data_BS[Value],[1]!Data_BS[Index BS],DTRVL!$B118,[1]!Data_BS[TenCongTyID],DTRVL!$B$1,[1]!Data_BS[Thang.Nam],DTRVL!AI$5)</f>
        <v>0</v>
      </c>
      <c r="AJ118" s="381">
        <f>SUMIFS([1]!Data_BS[Value],[1]!Data_BS[Index BS],DTRVL!$B118,[1]!Data_BS[TenCongTyID],DTRVL!$B$1,[1]!Data_BS[Thang.Nam],DTRVL!AJ$5)</f>
        <v>0</v>
      </c>
      <c r="AK118" s="381">
        <f>SUMIFS([1]!Data_BS[Value],[1]!Data_BS[Index BS],DTRVL!$B118,[1]!Data_BS[TenCongTyID],DTRVL!$B$1,[1]!Data_BS[Thang.Nam],DTRVL!AK$5)</f>
        <v>0</v>
      </c>
      <c r="AL118" s="381">
        <f>SUMIFS([1]!Data_BS[Value],[1]!Data_BS[Index BS],DTRVL!$B118,[1]!Data_BS[TenCongTyID],DTRVL!$B$1,[1]!Data_BS[Thang.Nam],DTRVL!AL$5)</f>
        <v>0</v>
      </c>
    </row>
    <row r="119" spans="1:38" ht="15" hidden="1" customHeight="1" outlineLevel="1">
      <c r="A119" s="67" t="s">
        <v>203</v>
      </c>
      <c r="B119" s="63">
        <v>114</v>
      </c>
      <c r="C119" s="64"/>
      <c r="D119" s="69"/>
      <c r="E119" s="69"/>
      <c r="F119" s="379"/>
      <c r="G119" s="69"/>
      <c r="H119" s="69">
        <v>0</v>
      </c>
      <c r="I119" s="69"/>
      <c r="J119" s="69"/>
      <c r="K119" s="69"/>
      <c r="L119" s="69"/>
      <c r="M119" s="379"/>
      <c r="N119" s="85"/>
      <c r="O119" s="64"/>
      <c r="P119" s="69"/>
      <c r="Q119" s="69"/>
      <c r="R119" s="379"/>
      <c r="S119" s="69"/>
      <c r="T119" s="69"/>
      <c r="U119" s="69"/>
      <c r="V119" s="69"/>
      <c r="W119" s="69"/>
      <c r="X119" s="69"/>
      <c r="Y119" s="379"/>
      <c r="Z119" s="381">
        <v>0</v>
      </c>
      <c r="AA119" s="381">
        <f>SUMIFS([1]!Data_BS[Value],[1]!Data_BS[Index BS],DTRVL!$B119,[1]!Data_BS[TenCongTyID],DTRVL!$B$1,[1]!Data_BS[Thang.Nam],DTRVL!AA$5)</f>
        <v>0</v>
      </c>
      <c r="AB119" s="381">
        <f>SUMIFS([1]!Data_BS[Value],[1]!Data_BS[Index BS],DTRVL!$B119,[1]!Data_BS[TenCongTyID],DTRVL!$B$1,[1]!Data_BS[Thang.Nam],DTRVL!AB$5)</f>
        <v>0</v>
      </c>
      <c r="AC119" s="381">
        <f>SUMIFS([1]!Data_BS[Value],[1]!Data_BS[Index BS],DTRVL!$B119,[1]!Data_BS[TenCongTyID],DTRVL!$B$1,[1]!Data_BS[Thang.Nam],DTRVL!AC$5)</f>
        <v>0</v>
      </c>
      <c r="AD119" s="381">
        <f>SUMIFS([1]!Data_BS[Value],[1]!Data_BS[Index BS],DTRVL!$B119,[1]!Data_BS[TenCongTyID],DTRVL!$B$1,[1]!Data_BS[Thang.Nam],DTRVL!AD$5)</f>
        <v>0</v>
      </c>
      <c r="AE119" s="381">
        <f>SUMIFS([1]!Data_BS[Value],[1]!Data_BS[Index BS],DTRVL!$B119,[1]!Data_BS[TenCongTyID],DTRVL!$B$1,[1]!Data_BS[Thang.Nam],DTRVL!AE$5)</f>
        <v>0</v>
      </c>
      <c r="AF119" s="381">
        <f>SUMIFS([1]!Data_BS[Value],[1]!Data_BS[Index BS],DTRVL!$B119,[1]!Data_BS[TenCongTyID],DTRVL!$B$1,[1]!Data_BS[Thang.Nam],DTRVL!AF$5)</f>
        <v>0</v>
      </c>
      <c r="AG119" s="381">
        <f>SUMIFS([1]!Data_BS[Value],[1]!Data_BS[Index BS],DTRVL!$B119,[1]!Data_BS[TenCongTyID],DTRVL!$B$1,[1]!Data_BS[Thang.Nam],DTRVL!AG$5)</f>
        <v>0</v>
      </c>
      <c r="AH119" s="381">
        <f>SUMIFS([1]!Data_BS[Value],[1]!Data_BS[Index BS],DTRVL!$B119,[1]!Data_BS[TenCongTyID],DTRVL!$B$1,[1]!Data_BS[Thang.Nam],DTRVL!AH$5)</f>
        <v>0</v>
      </c>
      <c r="AI119" s="381">
        <f>SUMIFS([1]!Data_BS[Value],[1]!Data_BS[Index BS],DTRVL!$B119,[1]!Data_BS[TenCongTyID],DTRVL!$B$1,[1]!Data_BS[Thang.Nam],DTRVL!AI$5)</f>
        <v>0</v>
      </c>
      <c r="AJ119" s="381">
        <f>SUMIFS([1]!Data_BS[Value],[1]!Data_BS[Index BS],DTRVL!$B119,[1]!Data_BS[TenCongTyID],DTRVL!$B$1,[1]!Data_BS[Thang.Nam],DTRVL!AJ$5)</f>
        <v>0</v>
      </c>
      <c r="AK119" s="381">
        <f>SUMIFS([1]!Data_BS[Value],[1]!Data_BS[Index BS],DTRVL!$B119,[1]!Data_BS[TenCongTyID],DTRVL!$B$1,[1]!Data_BS[Thang.Nam],DTRVL!AK$5)</f>
        <v>0</v>
      </c>
      <c r="AL119" s="381">
        <f>SUMIFS([1]!Data_BS[Value],[1]!Data_BS[Index BS],DTRVL!$B119,[1]!Data_BS[TenCongTyID],DTRVL!$B$1,[1]!Data_BS[Thang.Nam],DTRVL!AL$5)</f>
        <v>0</v>
      </c>
    </row>
    <row r="120" spans="1:38" ht="15" hidden="1" customHeight="1" outlineLevel="1">
      <c r="A120" s="67" t="s">
        <v>204</v>
      </c>
      <c r="B120" s="63">
        <v>115</v>
      </c>
      <c r="C120" s="64"/>
      <c r="D120" s="69"/>
      <c r="E120" s="69"/>
      <c r="F120" s="379"/>
      <c r="G120" s="69"/>
      <c r="H120" s="69">
        <v>0</v>
      </c>
      <c r="I120" s="69"/>
      <c r="J120" s="69"/>
      <c r="K120" s="69"/>
      <c r="L120" s="69"/>
      <c r="M120" s="379"/>
      <c r="N120" s="85"/>
      <c r="O120" s="64"/>
      <c r="P120" s="69"/>
      <c r="Q120" s="69"/>
      <c r="R120" s="379"/>
      <c r="S120" s="69"/>
      <c r="T120" s="69"/>
      <c r="U120" s="69"/>
      <c r="V120" s="69"/>
      <c r="W120" s="69"/>
      <c r="X120" s="69"/>
      <c r="Y120" s="379"/>
      <c r="Z120" s="381">
        <v>0</v>
      </c>
      <c r="AA120" s="381">
        <f>SUMIFS([1]!Data_BS[Value],[1]!Data_BS[Index BS],DTRVL!$B120,[1]!Data_BS[TenCongTyID],DTRVL!$B$1,[1]!Data_BS[Thang.Nam],DTRVL!AA$5)</f>
        <v>0</v>
      </c>
      <c r="AB120" s="381">
        <f>SUMIFS([1]!Data_BS[Value],[1]!Data_BS[Index BS],DTRVL!$B120,[1]!Data_BS[TenCongTyID],DTRVL!$B$1,[1]!Data_BS[Thang.Nam],DTRVL!AB$5)</f>
        <v>0</v>
      </c>
      <c r="AC120" s="381">
        <f>SUMIFS([1]!Data_BS[Value],[1]!Data_BS[Index BS],DTRVL!$B120,[1]!Data_BS[TenCongTyID],DTRVL!$B$1,[1]!Data_BS[Thang.Nam],DTRVL!AC$5)</f>
        <v>0</v>
      </c>
      <c r="AD120" s="381">
        <f>SUMIFS([1]!Data_BS[Value],[1]!Data_BS[Index BS],DTRVL!$B120,[1]!Data_BS[TenCongTyID],DTRVL!$B$1,[1]!Data_BS[Thang.Nam],DTRVL!AD$5)</f>
        <v>0</v>
      </c>
      <c r="AE120" s="381">
        <f>SUMIFS([1]!Data_BS[Value],[1]!Data_BS[Index BS],DTRVL!$B120,[1]!Data_BS[TenCongTyID],DTRVL!$B$1,[1]!Data_BS[Thang.Nam],DTRVL!AE$5)</f>
        <v>0</v>
      </c>
      <c r="AF120" s="381">
        <f>SUMIFS([1]!Data_BS[Value],[1]!Data_BS[Index BS],DTRVL!$B120,[1]!Data_BS[TenCongTyID],DTRVL!$B$1,[1]!Data_BS[Thang.Nam],DTRVL!AF$5)</f>
        <v>0</v>
      </c>
      <c r="AG120" s="381">
        <f>SUMIFS([1]!Data_BS[Value],[1]!Data_BS[Index BS],DTRVL!$B120,[1]!Data_BS[TenCongTyID],DTRVL!$B$1,[1]!Data_BS[Thang.Nam],DTRVL!AG$5)</f>
        <v>0</v>
      </c>
      <c r="AH120" s="381">
        <f>SUMIFS([1]!Data_BS[Value],[1]!Data_BS[Index BS],DTRVL!$B120,[1]!Data_BS[TenCongTyID],DTRVL!$B$1,[1]!Data_BS[Thang.Nam],DTRVL!AH$5)</f>
        <v>0</v>
      </c>
      <c r="AI120" s="381">
        <f>SUMIFS([1]!Data_BS[Value],[1]!Data_BS[Index BS],DTRVL!$B120,[1]!Data_BS[TenCongTyID],DTRVL!$B$1,[1]!Data_BS[Thang.Nam],DTRVL!AI$5)</f>
        <v>0</v>
      </c>
      <c r="AJ120" s="381">
        <f>SUMIFS([1]!Data_BS[Value],[1]!Data_BS[Index BS],DTRVL!$B120,[1]!Data_BS[TenCongTyID],DTRVL!$B$1,[1]!Data_BS[Thang.Nam],DTRVL!AJ$5)</f>
        <v>0</v>
      </c>
      <c r="AK120" s="381">
        <f>SUMIFS([1]!Data_BS[Value],[1]!Data_BS[Index BS],DTRVL!$B120,[1]!Data_BS[TenCongTyID],DTRVL!$B$1,[1]!Data_BS[Thang.Nam],DTRVL!AK$5)</f>
        <v>0</v>
      </c>
      <c r="AL120" s="381">
        <f>SUMIFS([1]!Data_BS[Value],[1]!Data_BS[Index BS],DTRVL!$B120,[1]!Data_BS[TenCongTyID],DTRVL!$B$1,[1]!Data_BS[Thang.Nam],DTRVL!AL$5)</f>
        <v>0</v>
      </c>
    </row>
    <row r="121" spans="1:38" ht="15" hidden="1" customHeight="1" outlineLevel="1">
      <c r="A121" s="67" t="s">
        <v>205</v>
      </c>
      <c r="B121" s="63">
        <v>116</v>
      </c>
      <c r="C121" s="64"/>
      <c r="D121" s="69"/>
      <c r="E121" s="69"/>
      <c r="F121" s="379"/>
      <c r="G121" s="69"/>
      <c r="H121" s="69">
        <v>0</v>
      </c>
      <c r="I121" s="69"/>
      <c r="J121" s="69"/>
      <c r="K121" s="69"/>
      <c r="L121" s="69"/>
      <c r="M121" s="379"/>
      <c r="N121" s="85"/>
      <c r="O121" s="64"/>
      <c r="P121" s="69"/>
      <c r="Q121" s="69"/>
      <c r="R121" s="379"/>
      <c r="S121" s="69"/>
      <c r="T121" s="69"/>
      <c r="U121" s="69"/>
      <c r="V121" s="69"/>
      <c r="W121" s="69"/>
      <c r="X121" s="69"/>
      <c r="Y121" s="379"/>
      <c r="Z121" s="381">
        <v>0</v>
      </c>
      <c r="AA121" s="381">
        <f>SUMIFS([1]!Data_BS[Value],[1]!Data_BS[Index BS],DTRVL!$B121,[1]!Data_BS[TenCongTyID],DTRVL!$B$1,[1]!Data_BS[Thang.Nam],DTRVL!AA$5)</f>
        <v>0</v>
      </c>
      <c r="AB121" s="381">
        <f>SUMIFS([1]!Data_BS[Value],[1]!Data_BS[Index BS],DTRVL!$B121,[1]!Data_BS[TenCongTyID],DTRVL!$B$1,[1]!Data_BS[Thang.Nam],DTRVL!AB$5)</f>
        <v>0</v>
      </c>
      <c r="AC121" s="381">
        <f>SUMIFS([1]!Data_BS[Value],[1]!Data_BS[Index BS],DTRVL!$B121,[1]!Data_BS[TenCongTyID],DTRVL!$B$1,[1]!Data_BS[Thang.Nam],DTRVL!AC$5)</f>
        <v>0</v>
      </c>
      <c r="AD121" s="381">
        <f>SUMIFS([1]!Data_BS[Value],[1]!Data_BS[Index BS],DTRVL!$B121,[1]!Data_BS[TenCongTyID],DTRVL!$B$1,[1]!Data_BS[Thang.Nam],DTRVL!AD$5)</f>
        <v>0</v>
      </c>
      <c r="AE121" s="381">
        <f>SUMIFS([1]!Data_BS[Value],[1]!Data_BS[Index BS],DTRVL!$B121,[1]!Data_BS[TenCongTyID],DTRVL!$B$1,[1]!Data_BS[Thang.Nam],DTRVL!AE$5)</f>
        <v>0</v>
      </c>
      <c r="AF121" s="381">
        <f>SUMIFS([1]!Data_BS[Value],[1]!Data_BS[Index BS],DTRVL!$B121,[1]!Data_BS[TenCongTyID],DTRVL!$B$1,[1]!Data_BS[Thang.Nam],DTRVL!AF$5)</f>
        <v>0</v>
      </c>
      <c r="AG121" s="381">
        <f>SUMIFS([1]!Data_BS[Value],[1]!Data_BS[Index BS],DTRVL!$B121,[1]!Data_BS[TenCongTyID],DTRVL!$B$1,[1]!Data_BS[Thang.Nam],DTRVL!AG$5)</f>
        <v>0</v>
      </c>
      <c r="AH121" s="381">
        <f>SUMIFS([1]!Data_BS[Value],[1]!Data_BS[Index BS],DTRVL!$B121,[1]!Data_BS[TenCongTyID],DTRVL!$B$1,[1]!Data_BS[Thang.Nam],DTRVL!AH$5)</f>
        <v>0</v>
      </c>
      <c r="AI121" s="381">
        <f>SUMIFS([1]!Data_BS[Value],[1]!Data_BS[Index BS],DTRVL!$B121,[1]!Data_BS[TenCongTyID],DTRVL!$B$1,[1]!Data_BS[Thang.Nam],DTRVL!AI$5)</f>
        <v>0</v>
      </c>
      <c r="AJ121" s="381">
        <f>SUMIFS([1]!Data_BS[Value],[1]!Data_BS[Index BS],DTRVL!$B121,[1]!Data_BS[TenCongTyID],DTRVL!$B$1,[1]!Data_BS[Thang.Nam],DTRVL!AJ$5)</f>
        <v>0</v>
      </c>
      <c r="AK121" s="381">
        <f>SUMIFS([1]!Data_BS[Value],[1]!Data_BS[Index BS],DTRVL!$B121,[1]!Data_BS[TenCongTyID],DTRVL!$B$1,[1]!Data_BS[Thang.Nam],DTRVL!AK$5)</f>
        <v>0</v>
      </c>
      <c r="AL121" s="381">
        <f>SUMIFS([1]!Data_BS[Value],[1]!Data_BS[Index BS],DTRVL!$B121,[1]!Data_BS[TenCongTyID],DTRVL!$B$1,[1]!Data_BS[Thang.Nam],DTRVL!AL$5)</f>
        <v>0</v>
      </c>
    </row>
    <row r="122" spans="1:38" ht="15" hidden="1" customHeight="1" outlineLevel="1">
      <c r="A122" s="67" t="s">
        <v>206</v>
      </c>
      <c r="B122" s="63">
        <v>117</v>
      </c>
      <c r="C122" s="64"/>
      <c r="D122" s="69"/>
      <c r="E122" s="69"/>
      <c r="F122" s="379"/>
      <c r="G122" s="69"/>
      <c r="H122" s="69">
        <v>0</v>
      </c>
      <c r="I122" s="69"/>
      <c r="J122" s="69"/>
      <c r="K122" s="69"/>
      <c r="L122" s="69"/>
      <c r="M122" s="379"/>
      <c r="N122" s="85"/>
      <c r="O122" s="64"/>
      <c r="P122" s="69"/>
      <c r="Q122" s="69"/>
      <c r="R122" s="379"/>
      <c r="S122" s="69"/>
      <c r="T122" s="69"/>
      <c r="U122" s="69"/>
      <c r="V122" s="69"/>
      <c r="W122" s="69"/>
      <c r="X122" s="69"/>
      <c r="Y122" s="379"/>
      <c r="Z122" s="381">
        <v>0</v>
      </c>
      <c r="AA122" s="381">
        <f>SUMIFS([1]!Data_BS[Value],[1]!Data_BS[Index BS],DTRVL!$B122,[1]!Data_BS[TenCongTyID],DTRVL!$B$1,[1]!Data_BS[Thang.Nam],DTRVL!AA$5)</f>
        <v>0</v>
      </c>
      <c r="AB122" s="381">
        <f>SUMIFS([1]!Data_BS[Value],[1]!Data_BS[Index BS],DTRVL!$B122,[1]!Data_BS[TenCongTyID],DTRVL!$B$1,[1]!Data_BS[Thang.Nam],DTRVL!AB$5)</f>
        <v>0</v>
      </c>
      <c r="AC122" s="381">
        <f>SUMIFS([1]!Data_BS[Value],[1]!Data_BS[Index BS],DTRVL!$B122,[1]!Data_BS[TenCongTyID],DTRVL!$B$1,[1]!Data_BS[Thang.Nam],DTRVL!AC$5)</f>
        <v>0</v>
      </c>
      <c r="AD122" s="381">
        <f>SUMIFS([1]!Data_BS[Value],[1]!Data_BS[Index BS],DTRVL!$B122,[1]!Data_BS[TenCongTyID],DTRVL!$B$1,[1]!Data_BS[Thang.Nam],DTRVL!AD$5)</f>
        <v>0</v>
      </c>
      <c r="AE122" s="381">
        <f>SUMIFS([1]!Data_BS[Value],[1]!Data_BS[Index BS],DTRVL!$B122,[1]!Data_BS[TenCongTyID],DTRVL!$B$1,[1]!Data_BS[Thang.Nam],DTRVL!AE$5)</f>
        <v>0</v>
      </c>
      <c r="AF122" s="381">
        <f>SUMIFS([1]!Data_BS[Value],[1]!Data_BS[Index BS],DTRVL!$B122,[1]!Data_BS[TenCongTyID],DTRVL!$B$1,[1]!Data_BS[Thang.Nam],DTRVL!AF$5)</f>
        <v>0</v>
      </c>
      <c r="AG122" s="381">
        <f>SUMIFS([1]!Data_BS[Value],[1]!Data_BS[Index BS],DTRVL!$B122,[1]!Data_BS[TenCongTyID],DTRVL!$B$1,[1]!Data_BS[Thang.Nam],DTRVL!AG$5)</f>
        <v>0</v>
      </c>
      <c r="AH122" s="381">
        <f>SUMIFS([1]!Data_BS[Value],[1]!Data_BS[Index BS],DTRVL!$B122,[1]!Data_BS[TenCongTyID],DTRVL!$B$1,[1]!Data_BS[Thang.Nam],DTRVL!AH$5)</f>
        <v>0</v>
      </c>
      <c r="AI122" s="381">
        <f>SUMIFS([1]!Data_BS[Value],[1]!Data_BS[Index BS],DTRVL!$B122,[1]!Data_BS[TenCongTyID],DTRVL!$B$1,[1]!Data_BS[Thang.Nam],DTRVL!AI$5)</f>
        <v>0</v>
      </c>
      <c r="AJ122" s="381">
        <f>SUMIFS([1]!Data_BS[Value],[1]!Data_BS[Index BS],DTRVL!$B122,[1]!Data_BS[TenCongTyID],DTRVL!$B$1,[1]!Data_BS[Thang.Nam],DTRVL!AJ$5)</f>
        <v>0</v>
      </c>
      <c r="AK122" s="381">
        <f>SUMIFS([1]!Data_BS[Value],[1]!Data_BS[Index BS],DTRVL!$B122,[1]!Data_BS[TenCongTyID],DTRVL!$B$1,[1]!Data_BS[Thang.Nam],DTRVL!AK$5)</f>
        <v>0</v>
      </c>
      <c r="AL122" s="381">
        <f>SUMIFS([1]!Data_BS[Value],[1]!Data_BS[Index BS],DTRVL!$B122,[1]!Data_BS[TenCongTyID],DTRVL!$B$1,[1]!Data_BS[Thang.Nam],DTRVL!AL$5)</f>
        <v>0</v>
      </c>
    </row>
    <row r="123" spans="1:38" ht="15" hidden="1" customHeight="1" outlineLevel="1">
      <c r="A123" s="67" t="s">
        <v>207</v>
      </c>
      <c r="B123" s="63">
        <v>118</v>
      </c>
      <c r="C123" s="64"/>
      <c r="D123" s="69"/>
      <c r="E123" s="69"/>
      <c r="F123" s="379"/>
      <c r="G123" s="69"/>
      <c r="H123" s="69">
        <v>0</v>
      </c>
      <c r="I123" s="69"/>
      <c r="J123" s="69"/>
      <c r="K123" s="69"/>
      <c r="L123" s="69"/>
      <c r="M123" s="379"/>
      <c r="N123" s="85"/>
      <c r="O123" s="64"/>
      <c r="P123" s="69"/>
      <c r="Q123" s="69"/>
      <c r="R123" s="379"/>
      <c r="S123" s="69"/>
      <c r="T123" s="69"/>
      <c r="U123" s="69"/>
      <c r="V123" s="69"/>
      <c r="W123" s="69"/>
      <c r="X123" s="69"/>
      <c r="Y123" s="379"/>
      <c r="Z123" s="381">
        <v>0</v>
      </c>
      <c r="AA123" s="381">
        <f>SUMIFS([1]!Data_BS[Value],[1]!Data_BS[Index BS],DTRVL!$B123,[1]!Data_BS[TenCongTyID],DTRVL!$B$1,[1]!Data_BS[Thang.Nam],DTRVL!AA$5)</f>
        <v>0</v>
      </c>
      <c r="AB123" s="381">
        <f>SUMIFS([1]!Data_BS[Value],[1]!Data_BS[Index BS],DTRVL!$B123,[1]!Data_BS[TenCongTyID],DTRVL!$B$1,[1]!Data_BS[Thang.Nam],DTRVL!AB$5)</f>
        <v>0</v>
      </c>
      <c r="AC123" s="381">
        <f>SUMIFS([1]!Data_BS[Value],[1]!Data_BS[Index BS],DTRVL!$B123,[1]!Data_BS[TenCongTyID],DTRVL!$B$1,[1]!Data_BS[Thang.Nam],DTRVL!AC$5)</f>
        <v>0</v>
      </c>
      <c r="AD123" s="381">
        <f>SUMIFS([1]!Data_BS[Value],[1]!Data_BS[Index BS],DTRVL!$B123,[1]!Data_BS[TenCongTyID],DTRVL!$B$1,[1]!Data_BS[Thang.Nam],DTRVL!AD$5)</f>
        <v>0</v>
      </c>
      <c r="AE123" s="381">
        <f>SUMIFS([1]!Data_BS[Value],[1]!Data_BS[Index BS],DTRVL!$B123,[1]!Data_BS[TenCongTyID],DTRVL!$B$1,[1]!Data_BS[Thang.Nam],DTRVL!AE$5)</f>
        <v>0</v>
      </c>
      <c r="AF123" s="381">
        <f>SUMIFS([1]!Data_BS[Value],[1]!Data_BS[Index BS],DTRVL!$B123,[1]!Data_BS[TenCongTyID],DTRVL!$B$1,[1]!Data_BS[Thang.Nam],DTRVL!AF$5)</f>
        <v>0</v>
      </c>
      <c r="AG123" s="381">
        <f>SUMIFS([1]!Data_BS[Value],[1]!Data_BS[Index BS],DTRVL!$B123,[1]!Data_BS[TenCongTyID],DTRVL!$B$1,[1]!Data_BS[Thang.Nam],DTRVL!AG$5)</f>
        <v>0</v>
      </c>
      <c r="AH123" s="381">
        <f>SUMIFS([1]!Data_BS[Value],[1]!Data_BS[Index BS],DTRVL!$B123,[1]!Data_BS[TenCongTyID],DTRVL!$B$1,[1]!Data_BS[Thang.Nam],DTRVL!AH$5)</f>
        <v>0</v>
      </c>
      <c r="AI123" s="381">
        <f>SUMIFS([1]!Data_BS[Value],[1]!Data_BS[Index BS],DTRVL!$B123,[1]!Data_BS[TenCongTyID],DTRVL!$B$1,[1]!Data_BS[Thang.Nam],DTRVL!AI$5)</f>
        <v>0</v>
      </c>
      <c r="AJ123" s="381">
        <f>SUMIFS([1]!Data_BS[Value],[1]!Data_BS[Index BS],DTRVL!$B123,[1]!Data_BS[TenCongTyID],DTRVL!$B$1,[1]!Data_BS[Thang.Nam],DTRVL!AJ$5)</f>
        <v>0</v>
      </c>
      <c r="AK123" s="381">
        <f>SUMIFS([1]!Data_BS[Value],[1]!Data_BS[Index BS],DTRVL!$B123,[1]!Data_BS[TenCongTyID],DTRVL!$B$1,[1]!Data_BS[Thang.Nam],DTRVL!AK$5)</f>
        <v>0</v>
      </c>
      <c r="AL123" s="381">
        <f>SUMIFS([1]!Data_BS[Value],[1]!Data_BS[Index BS],DTRVL!$B123,[1]!Data_BS[TenCongTyID],DTRVL!$B$1,[1]!Data_BS[Thang.Nam],DTRVL!AL$5)</f>
        <v>0</v>
      </c>
    </row>
    <row r="124" spans="1:38" ht="15" hidden="1" customHeight="1" outlineLevel="1">
      <c r="A124" s="67" t="s">
        <v>208</v>
      </c>
      <c r="B124" s="63">
        <v>119</v>
      </c>
      <c r="C124" s="64"/>
      <c r="D124" s="69"/>
      <c r="E124" s="69"/>
      <c r="F124" s="379"/>
      <c r="G124" s="69"/>
      <c r="H124" s="69">
        <v>0</v>
      </c>
      <c r="I124" s="69"/>
      <c r="J124" s="69"/>
      <c r="K124" s="69"/>
      <c r="L124" s="69"/>
      <c r="M124" s="379"/>
      <c r="N124" s="85"/>
      <c r="O124" s="64"/>
      <c r="P124" s="69"/>
      <c r="Q124" s="69"/>
      <c r="R124" s="379"/>
      <c r="S124" s="69"/>
      <c r="T124" s="69"/>
      <c r="U124" s="69"/>
      <c r="V124" s="69"/>
      <c r="W124" s="69"/>
      <c r="X124" s="69"/>
      <c r="Y124" s="379"/>
      <c r="Z124" s="381">
        <v>0</v>
      </c>
      <c r="AA124" s="381">
        <f>SUMIFS([1]!Data_BS[Value],[1]!Data_BS[Index BS],DTRVL!$B124,[1]!Data_BS[TenCongTyID],DTRVL!$B$1,[1]!Data_BS[Thang.Nam],DTRVL!AA$5)</f>
        <v>0</v>
      </c>
      <c r="AB124" s="381">
        <f>SUMIFS([1]!Data_BS[Value],[1]!Data_BS[Index BS],DTRVL!$B124,[1]!Data_BS[TenCongTyID],DTRVL!$B$1,[1]!Data_BS[Thang.Nam],DTRVL!AB$5)</f>
        <v>0</v>
      </c>
      <c r="AC124" s="381">
        <f>SUMIFS([1]!Data_BS[Value],[1]!Data_BS[Index BS],DTRVL!$B124,[1]!Data_BS[TenCongTyID],DTRVL!$B$1,[1]!Data_BS[Thang.Nam],DTRVL!AC$5)</f>
        <v>0</v>
      </c>
      <c r="AD124" s="381">
        <f>SUMIFS([1]!Data_BS[Value],[1]!Data_BS[Index BS],DTRVL!$B124,[1]!Data_BS[TenCongTyID],DTRVL!$B$1,[1]!Data_BS[Thang.Nam],DTRVL!AD$5)</f>
        <v>0</v>
      </c>
      <c r="AE124" s="381">
        <f>SUMIFS([1]!Data_BS[Value],[1]!Data_BS[Index BS],DTRVL!$B124,[1]!Data_BS[TenCongTyID],DTRVL!$B$1,[1]!Data_BS[Thang.Nam],DTRVL!AE$5)</f>
        <v>0</v>
      </c>
      <c r="AF124" s="381">
        <f>SUMIFS([1]!Data_BS[Value],[1]!Data_BS[Index BS],DTRVL!$B124,[1]!Data_BS[TenCongTyID],DTRVL!$B$1,[1]!Data_BS[Thang.Nam],DTRVL!AF$5)</f>
        <v>0</v>
      </c>
      <c r="AG124" s="381">
        <f>SUMIFS([1]!Data_BS[Value],[1]!Data_BS[Index BS],DTRVL!$B124,[1]!Data_BS[TenCongTyID],DTRVL!$B$1,[1]!Data_BS[Thang.Nam],DTRVL!AG$5)</f>
        <v>0</v>
      </c>
      <c r="AH124" s="381">
        <f>SUMIFS([1]!Data_BS[Value],[1]!Data_BS[Index BS],DTRVL!$B124,[1]!Data_BS[TenCongTyID],DTRVL!$B$1,[1]!Data_BS[Thang.Nam],DTRVL!AH$5)</f>
        <v>0</v>
      </c>
      <c r="AI124" s="381">
        <f>SUMIFS([1]!Data_BS[Value],[1]!Data_BS[Index BS],DTRVL!$B124,[1]!Data_BS[TenCongTyID],DTRVL!$B$1,[1]!Data_BS[Thang.Nam],DTRVL!AI$5)</f>
        <v>0</v>
      </c>
      <c r="AJ124" s="381">
        <f>SUMIFS([1]!Data_BS[Value],[1]!Data_BS[Index BS],DTRVL!$B124,[1]!Data_BS[TenCongTyID],DTRVL!$B$1,[1]!Data_BS[Thang.Nam],DTRVL!AJ$5)</f>
        <v>0</v>
      </c>
      <c r="AK124" s="381">
        <f>SUMIFS([1]!Data_BS[Value],[1]!Data_BS[Index BS],DTRVL!$B124,[1]!Data_BS[TenCongTyID],DTRVL!$B$1,[1]!Data_BS[Thang.Nam],DTRVL!AK$5)</f>
        <v>0</v>
      </c>
      <c r="AL124" s="381">
        <f>SUMIFS([1]!Data_BS[Value],[1]!Data_BS[Index BS],DTRVL!$B124,[1]!Data_BS[TenCongTyID],DTRVL!$B$1,[1]!Data_BS[Thang.Nam],DTRVL!AL$5)</f>
        <v>0</v>
      </c>
    </row>
    <row r="125" spans="1:38" ht="15" hidden="1" customHeight="1" outlineLevel="1">
      <c r="A125" s="67" t="s">
        <v>209</v>
      </c>
      <c r="B125" s="63">
        <v>120</v>
      </c>
      <c r="C125" s="64"/>
      <c r="D125" s="69"/>
      <c r="E125" s="69"/>
      <c r="F125" s="379"/>
      <c r="G125" s="69"/>
      <c r="H125" s="69">
        <v>0</v>
      </c>
      <c r="I125" s="69"/>
      <c r="J125" s="69"/>
      <c r="K125" s="69"/>
      <c r="L125" s="69"/>
      <c r="M125" s="379"/>
      <c r="N125" s="85"/>
      <c r="O125" s="64"/>
      <c r="P125" s="69"/>
      <c r="Q125" s="69"/>
      <c r="R125" s="379"/>
      <c r="S125" s="69"/>
      <c r="T125" s="69"/>
      <c r="U125" s="69"/>
      <c r="V125" s="69"/>
      <c r="W125" s="69"/>
      <c r="X125" s="69"/>
      <c r="Y125" s="379"/>
      <c r="Z125" s="381">
        <v>0</v>
      </c>
      <c r="AA125" s="381">
        <f>SUMIFS([1]!Data_BS[Value],[1]!Data_BS[Index BS],DTRVL!$B125,[1]!Data_BS[TenCongTyID],DTRVL!$B$1,[1]!Data_BS[Thang.Nam],DTRVL!AA$5)</f>
        <v>0</v>
      </c>
      <c r="AB125" s="381">
        <f>SUMIFS([1]!Data_BS[Value],[1]!Data_BS[Index BS],DTRVL!$B125,[1]!Data_BS[TenCongTyID],DTRVL!$B$1,[1]!Data_BS[Thang.Nam],DTRVL!AB$5)</f>
        <v>0</v>
      </c>
      <c r="AC125" s="381">
        <f>SUMIFS([1]!Data_BS[Value],[1]!Data_BS[Index BS],DTRVL!$B125,[1]!Data_BS[TenCongTyID],DTRVL!$B$1,[1]!Data_BS[Thang.Nam],DTRVL!AC$5)</f>
        <v>0</v>
      </c>
      <c r="AD125" s="381">
        <f>SUMIFS([1]!Data_BS[Value],[1]!Data_BS[Index BS],DTRVL!$B125,[1]!Data_BS[TenCongTyID],DTRVL!$B$1,[1]!Data_BS[Thang.Nam],DTRVL!AD$5)</f>
        <v>0</v>
      </c>
      <c r="AE125" s="381">
        <f>SUMIFS([1]!Data_BS[Value],[1]!Data_BS[Index BS],DTRVL!$B125,[1]!Data_BS[TenCongTyID],DTRVL!$B$1,[1]!Data_BS[Thang.Nam],DTRVL!AE$5)</f>
        <v>0</v>
      </c>
      <c r="AF125" s="381">
        <f>SUMIFS([1]!Data_BS[Value],[1]!Data_BS[Index BS],DTRVL!$B125,[1]!Data_BS[TenCongTyID],DTRVL!$B$1,[1]!Data_BS[Thang.Nam],DTRVL!AF$5)</f>
        <v>0</v>
      </c>
      <c r="AG125" s="381">
        <f>SUMIFS([1]!Data_BS[Value],[1]!Data_BS[Index BS],DTRVL!$B125,[1]!Data_BS[TenCongTyID],DTRVL!$B$1,[1]!Data_BS[Thang.Nam],DTRVL!AG$5)</f>
        <v>0</v>
      </c>
      <c r="AH125" s="381">
        <f>SUMIFS([1]!Data_BS[Value],[1]!Data_BS[Index BS],DTRVL!$B125,[1]!Data_BS[TenCongTyID],DTRVL!$B$1,[1]!Data_BS[Thang.Nam],DTRVL!AH$5)</f>
        <v>0</v>
      </c>
      <c r="AI125" s="381">
        <f>SUMIFS([1]!Data_BS[Value],[1]!Data_BS[Index BS],DTRVL!$B125,[1]!Data_BS[TenCongTyID],DTRVL!$B$1,[1]!Data_BS[Thang.Nam],DTRVL!AI$5)</f>
        <v>0</v>
      </c>
      <c r="AJ125" s="381">
        <f>SUMIFS([1]!Data_BS[Value],[1]!Data_BS[Index BS],DTRVL!$B125,[1]!Data_BS[TenCongTyID],DTRVL!$B$1,[1]!Data_BS[Thang.Nam],DTRVL!AJ$5)</f>
        <v>0</v>
      </c>
      <c r="AK125" s="381">
        <f>SUMIFS([1]!Data_BS[Value],[1]!Data_BS[Index BS],DTRVL!$B125,[1]!Data_BS[TenCongTyID],DTRVL!$B$1,[1]!Data_BS[Thang.Nam],DTRVL!AK$5)</f>
        <v>0</v>
      </c>
      <c r="AL125" s="381">
        <f>SUMIFS([1]!Data_BS[Value],[1]!Data_BS[Index BS],DTRVL!$B125,[1]!Data_BS[TenCongTyID],DTRVL!$B$1,[1]!Data_BS[Thang.Nam],DTRVL!AL$5)</f>
        <v>0</v>
      </c>
    </row>
    <row r="126" spans="1:38" ht="15" hidden="1" customHeight="1" outlineLevel="1">
      <c r="A126" s="67" t="s">
        <v>210</v>
      </c>
      <c r="B126" s="63">
        <v>121</v>
      </c>
      <c r="C126" s="64"/>
      <c r="D126" s="69"/>
      <c r="E126" s="69"/>
      <c r="F126" s="379"/>
      <c r="G126" s="69"/>
      <c r="H126" s="69">
        <v>0</v>
      </c>
      <c r="I126" s="69"/>
      <c r="J126" s="69"/>
      <c r="K126" s="69"/>
      <c r="L126" s="69"/>
      <c r="M126" s="379"/>
      <c r="N126" s="85"/>
      <c r="O126" s="64"/>
      <c r="P126" s="69"/>
      <c r="Q126" s="69"/>
      <c r="R126" s="379"/>
      <c r="S126" s="69"/>
      <c r="T126" s="69"/>
      <c r="U126" s="69"/>
      <c r="V126" s="69"/>
      <c r="W126" s="69"/>
      <c r="X126" s="69"/>
      <c r="Y126" s="379"/>
      <c r="Z126" s="381">
        <v>0</v>
      </c>
      <c r="AA126" s="381">
        <f>SUMIFS([1]!Data_BS[Value],[1]!Data_BS[Index BS],DTRVL!$B126,[1]!Data_BS[TenCongTyID],DTRVL!$B$1,[1]!Data_BS[Thang.Nam],DTRVL!AA$5)</f>
        <v>0</v>
      </c>
      <c r="AB126" s="381">
        <f>SUMIFS([1]!Data_BS[Value],[1]!Data_BS[Index BS],DTRVL!$B126,[1]!Data_BS[TenCongTyID],DTRVL!$B$1,[1]!Data_BS[Thang.Nam],DTRVL!AB$5)</f>
        <v>0</v>
      </c>
      <c r="AC126" s="381">
        <f>SUMIFS([1]!Data_BS[Value],[1]!Data_BS[Index BS],DTRVL!$B126,[1]!Data_BS[TenCongTyID],DTRVL!$B$1,[1]!Data_BS[Thang.Nam],DTRVL!AC$5)</f>
        <v>0</v>
      </c>
      <c r="AD126" s="381">
        <f>SUMIFS([1]!Data_BS[Value],[1]!Data_BS[Index BS],DTRVL!$B126,[1]!Data_BS[TenCongTyID],DTRVL!$B$1,[1]!Data_BS[Thang.Nam],DTRVL!AD$5)</f>
        <v>0</v>
      </c>
      <c r="AE126" s="381">
        <f>SUMIFS([1]!Data_BS[Value],[1]!Data_BS[Index BS],DTRVL!$B126,[1]!Data_BS[TenCongTyID],DTRVL!$B$1,[1]!Data_BS[Thang.Nam],DTRVL!AE$5)</f>
        <v>0</v>
      </c>
      <c r="AF126" s="381">
        <f>SUMIFS([1]!Data_BS[Value],[1]!Data_BS[Index BS],DTRVL!$B126,[1]!Data_BS[TenCongTyID],DTRVL!$B$1,[1]!Data_BS[Thang.Nam],DTRVL!AF$5)</f>
        <v>0</v>
      </c>
      <c r="AG126" s="381">
        <f>SUMIFS([1]!Data_BS[Value],[1]!Data_BS[Index BS],DTRVL!$B126,[1]!Data_BS[TenCongTyID],DTRVL!$B$1,[1]!Data_BS[Thang.Nam],DTRVL!AG$5)</f>
        <v>0</v>
      </c>
      <c r="AH126" s="381">
        <f>SUMIFS([1]!Data_BS[Value],[1]!Data_BS[Index BS],DTRVL!$B126,[1]!Data_BS[TenCongTyID],DTRVL!$B$1,[1]!Data_BS[Thang.Nam],DTRVL!AH$5)</f>
        <v>0</v>
      </c>
      <c r="AI126" s="381">
        <f>SUMIFS([1]!Data_BS[Value],[1]!Data_BS[Index BS],DTRVL!$B126,[1]!Data_BS[TenCongTyID],DTRVL!$B$1,[1]!Data_BS[Thang.Nam],DTRVL!AI$5)</f>
        <v>0</v>
      </c>
      <c r="AJ126" s="381">
        <f>SUMIFS([1]!Data_BS[Value],[1]!Data_BS[Index BS],DTRVL!$B126,[1]!Data_BS[TenCongTyID],DTRVL!$B$1,[1]!Data_BS[Thang.Nam],DTRVL!AJ$5)</f>
        <v>0</v>
      </c>
      <c r="AK126" s="381">
        <f>SUMIFS([1]!Data_BS[Value],[1]!Data_BS[Index BS],DTRVL!$B126,[1]!Data_BS[TenCongTyID],DTRVL!$B$1,[1]!Data_BS[Thang.Nam],DTRVL!AK$5)</f>
        <v>0</v>
      </c>
      <c r="AL126" s="381">
        <f>SUMIFS([1]!Data_BS[Value],[1]!Data_BS[Index BS],DTRVL!$B126,[1]!Data_BS[TenCongTyID],DTRVL!$B$1,[1]!Data_BS[Thang.Nam],DTRVL!AL$5)</f>
        <v>0</v>
      </c>
    </row>
    <row r="127" spans="1:38" ht="15" hidden="1" customHeight="1" outlineLevel="1">
      <c r="A127" s="67" t="s">
        <v>211</v>
      </c>
      <c r="B127" s="63">
        <v>122</v>
      </c>
      <c r="C127" s="64"/>
      <c r="D127" s="69"/>
      <c r="E127" s="69"/>
      <c r="F127" s="379"/>
      <c r="G127" s="69"/>
      <c r="H127" s="69">
        <v>0</v>
      </c>
      <c r="I127" s="69"/>
      <c r="J127" s="69"/>
      <c r="K127" s="69"/>
      <c r="L127" s="69"/>
      <c r="M127" s="379"/>
      <c r="N127" s="85"/>
      <c r="O127" s="64"/>
      <c r="P127" s="69"/>
      <c r="Q127" s="69"/>
      <c r="R127" s="379"/>
      <c r="S127" s="69"/>
      <c r="T127" s="69"/>
      <c r="U127" s="69"/>
      <c r="V127" s="69"/>
      <c r="W127" s="69"/>
      <c r="X127" s="69"/>
      <c r="Y127" s="379"/>
      <c r="Z127" s="381">
        <v>0</v>
      </c>
      <c r="AA127" s="381">
        <f>SUMIFS([1]!Data_BS[Value],[1]!Data_BS[Index BS],DTRVL!$B127,[1]!Data_BS[TenCongTyID],DTRVL!$B$1,[1]!Data_BS[Thang.Nam],DTRVL!AA$5)</f>
        <v>0</v>
      </c>
      <c r="AB127" s="381">
        <f>SUMIFS([1]!Data_BS[Value],[1]!Data_BS[Index BS],DTRVL!$B127,[1]!Data_BS[TenCongTyID],DTRVL!$B$1,[1]!Data_BS[Thang.Nam],DTRVL!AB$5)</f>
        <v>0</v>
      </c>
      <c r="AC127" s="381">
        <f>SUMIFS([1]!Data_BS[Value],[1]!Data_BS[Index BS],DTRVL!$B127,[1]!Data_BS[TenCongTyID],DTRVL!$B$1,[1]!Data_BS[Thang.Nam],DTRVL!AC$5)</f>
        <v>0</v>
      </c>
      <c r="AD127" s="381">
        <f>SUMIFS([1]!Data_BS[Value],[1]!Data_BS[Index BS],DTRVL!$B127,[1]!Data_BS[TenCongTyID],DTRVL!$B$1,[1]!Data_BS[Thang.Nam],DTRVL!AD$5)</f>
        <v>0</v>
      </c>
      <c r="AE127" s="381">
        <f>SUMIFS([1]!Data_BS[Value],[1]!Data_BS[Index BS],DTRVL!$B127,[1]!Data_BS[TenCongTyID],DTRVL!$B$1,[1]!Data_BS[Thang.Nam],DTRVL!AE$5)</f>
        <v>0</v>
      </c>
      <c r="AF127" s="381">
        <f>SUMIFS([1]!Data_BS[Value],[1]!Data_BS[Index BS],DTRVL!$B127,[1]!Data_BS[TenCongTyID],DTRVL!$B$1,[1]!Data_BS[Thang.Nam],DTRVL!AF$5)</f>
        <v>0</v>
      </c>
      <c r="AG127" s="381">
        <f>SUMIFS([1]!Data_BS[Value],[1]!Data_BS[Index BS],DTRVL!$B127,[1]!Data_BS[TenCongTyID],DTRVL!$B$1,[1]!Data_BS[Thang.Nam],DTRVL!AG$5)</f>
        <v>0</v>
      </c>
      <c r="AH127" s="381">
        <f>SUMIFS([1]!Data_BS[Value],[1]!Data_BS[Index BS],DTRVL!$B127,[1]!Data_BS[TenCongTyID],DTRVL!$B$1,[1]!Data_BS[Thang.Nam],DTRVL!AH$5)</f>
        <v>0</v>
      </c>
      <c r="AI127" s="381">
        <f>SUMIFS([1]!Data_BS[Value],[1]!Data_BS[Index BS],DTRVL!$B127,[1]!Data_BS[TenCongTyID],DTRVL!$B$1,[1]!Data_BS[Thang.Nam],DTRVL!AI$5)</f>
        <v>0</v>
      </c>
      <c r="AJ127" s="381">
        <f>SUMIFS([1]!Data_BS[Value],[1]!Data_BS[Index BS],DTRVL!$B127,[1]!Data_BS[TenCongTyID],DTRVL!$B$1,[1]!Data_BS[Thang.Nam],DTRVL!AJ$5)</f>
        <v>0</v>
      </c>
      <c r="AK127" s="381">
        <f>SUMIFS([1]!Data_BS[Value],[1]!Data_BS[Index BS],DTRVL!$B127,[1]!Data_BS[TenCongTyID],DTRVL!$B$1,[1]!Data_BS[Thang.Nam],DTRVL!AK$5)</f>
        <v>0</v>
      </c>
      <c r="AL127" s="381">
        <f>SUMIFS([1]!Data_BS[Value],[1]!Data_BS[Index BS],DTRVL!$B127,[1]!Data_BS[TenCongTyID],DTRVL!$B$1,[1]!Data_BS[Thang.Nam],DTRVL!AL$5)</f>
        <v>0</v>
      </c>
    </row>
    <row r="128" spans="1:38" ht="15" hidden="1" customHeight="1" outlineLevel="1">
      <c r="A128" s="86" t="s">
        <v>212</v>
      </c>
      <c r="B128" s="87">
        <v>123</v>
      </c>
      <c r="C128" s="88">
        <f>C129+C130</f>
        <v>0</v>
      </c>
      <c r="D128" s="88">
        <f>D129+D130</f>
        <v>0</v>
      </c>
      <c r="E128" s="88">
        <f>E129+E130</f>
        <v>0</v>
      </c>
      <c r="F128" s="88">
        <f>F129+F130</f>
        <v>0</v>
      </c>
      <c r="G128" s="88">
        <f>G129+G130</f>
        <v>0</v>
      </c>
      <c r="H128" s="88"/>
      <c r="I128" s="88">
        <f>I129+I130</f>
        <v>0</v>
      </c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>
        <f>X129+X130</f>
        <v>0</v>
      </c>
      <c r="Y128" s="88">
        <v>-1888731</v>
      </c>
      <c r="Z128" s="399">
        <v>-1885414</v>
      </c>
      <c r="AA128" s="399">
        <f>SUMIFS([1]!Data_BS[Value],[1]!Data_BS[Index BS],DTRVL!$B128,[1]!Data_BS[TenCongTyID],DTRVL!$B$1,[1]!Data_BS[Thang.Nam],DTRVL!AA$5)</f>
        <v>0</v>
      </c>
      <c r="AB128" s="399">
        <f>SUMIFS([1]!Data_BS[Value],[1]!Data_BS[Index BS],DTRVL!$B128,[1]!Data_BS[TenCongTyID],DTRVL!$B$1,[1]!Data_BS[Thang.Nam],DTRVL!AB$5)</f>
        <v>0</v>
      </c>
      <c r="AC128" s="399">
        <f>SUMIFS([1]!Data_BS[Value],[1]!Data_BS[Index BS],DTRVL!$B128,[1]!Data_BS[TenCongTyID],DTRVL!$B$1,[1]!Data_BS[Thang.Nam],DTRVL!AC$5)</f>
        <v>0</v>
      </c>
      <c r="AD128" s="399">
        <f>SUMIFS([1]!Data_BS[Value],[1]!Data_BS[Index BS],DTRVL!$B128,[1]!Data_BS[TenCongTyID],DTRVL!$B$1,[1]!Data_BS[Thang.Nam],DTRVL!AD$5)</f>
        <v>0</v>
      </c>
      <c r="AE128" s="399">
        <f>SUMIFS([1]!Data_BS[Value],[1]!Data_BS[Index BS],DTRVL!$B128,[1]!Data_BS[TenCongTyID],DTRVL!$B$1,[1]!Data_BS[Thang.Nam],DTRVL!AE$5)</f>
        <v>0</v>
      </c>
      <c r="AF128" s="399">
        <f>SUMIFS([1]!Data_BS[Value],[1]!Data_BS[Index BS],DTRVL!$B128,[1]!Data_BS[TenCongTyID],DTRVL!$B$1,[1]!Data_BS[Thang.Nam],DTRVL!AF$5)</f>
        <v>0</v>
      </c>
      <c r="AG128" s="399">
        <f>SUMIFS([1]!Data_BS[Value],[1]!Data_BS[Index BS],DTRVL!$B128,[1]!Data_BS[TenCongTyID],DTRVL!$B$1,[1]!Data_BS[Thang.Nam],DTRVL!AG$5)</f>
        <v>0</v>
      </c>
      <c r="AH128" s="399">
        <f>SUMIFS([1]!Data_BS[Value],[1]!Data_BS[Index BS],DTRVL!$B128,[1]!Data_BS[TenCongTyID],DTRVL!$B$1,[1]!Data_BS[Thang.Nam],DTRVL!AH$5)</f>
        <v>0</v>
      </c>
      <c r="AI128" s="399">
        <f>SUMIFS([1]!Data_BS[Value],[1]!Data_BS[Index BS],DTRVL!$B128,[1]!Data_BS[TenCongTyID],DTRVL!$B$1,[1]!Data_BS[Thang.Nam],DTRVL!AI$5)</f>
        <v>0</v>
      </c>
      <c r="AJ128" s="399">
        <f>SUMIFS([1]!Data_BS[Value],[1]!Data_BS[Index BS],DTRVL!$B128,[1]!Data_BS[TenCongTyID],DTRVL!$B$1,[1]!Data_BS[Thang.Nam],DTRVL!AJ$5)</f>
        <v>0</v>
      </c>
      <c r="AK128" s="399">
        <f>SUMIFS([1]!Data_BS[Value],[1]!Data_BS[Index BS],DTRVL!$B128,[1]!Data_BS[TenCongTyID],DTRVL!$B$1,[1]!Data_BS[Thang.Nam],DTRVL!AK$5)</f>
        <v>0</v>
      </c>
      <c r="AL128" s="399">
        <f>SUMIFS([1]!Data_BS[Value],[1]!Data_BS[Index BS],DTRVL!$B128,[1]!Data_BS[TenCongTyID],DTRVL!$B$1,[1]!Data_BS[Thang.Nam],DTRVL!AL$5)</f>
        <v>0</v>
      </c>
    </row>
    <row r="129" spans="1:52" ht="15" hidden="1" customHeight="1" outlineLevel="1">
      <c r="A129" s="89" t="s">
        <v>213</v>
      </c>
      <c r="B129" s="63">
        <v>124</v>
      </c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400">
        <v>0</v>
      </c>
      <c r="AA129" s="400">
        <f>SUMIFS([1]!Data_BS[Value],[1]!Data_BS[Index BS],DTRVL!$B129,[1]!Data_BS[TenCongTyID],DTRVL!$B$1,[1]!Data_BS[Thang.Nam],DTRVL!AA$5)</f>
        <v>0</v>
      </c>
      <c r="AB129" s="400">
        <f>SUMIFS([1]!Data_BS[Value],[1]!Data_BS[Index BS],DTRVL!$B129,[1]!Data_BS[TenCongTyID],DTRVL!$B$1,[1]!Data_BS[Thang.Nam],DTRVL!AB$5)</f>
        <v>0</v>
      </c>
      <c r="AC129" s="400">
        <f>SUMIFS([1]!Data_BS[Value],[1]!Data_BS[Index BS],DTRVL!$B129,[1]!Data_BS[TenCongTyID],DTRVL!$B$1,[1]!Data_BS[Thang.Nam],DTRVL!AC$5)</f>
        <v>0</v>
      </c>
      <c r="AD129" s="400">
        <f>SUMIFS([1]!Data_BS[Value],[1]!Data_BS[Index BS],DTRVL!$B129,[1]!Data_BS[TenCongTyID],DTRVL!$B$1,[1]!Data_BS[Thang.Nam],DTRVL!AD$5)</f>
        <v>0</v>
      </c>
      <c r="AE129" s="400">
        <f>SUMIFS([1]!Data_BS[Value],[1]!Data_BS[Index BS],DTRVL!$B129,[1]!Data_BS[TenCongTyID],DTRVL!$B$1,[1]!Data_BS[Thang.Nam],DTRVL!AE$5)</f>
        <v>0</v>
      </c>
      <c r="AF129" s="400">
        <f>SUMIFS([1]!Data_BS[Value],[1]!Data_BS[Index BS],DTRVL!$B129,[1]!Data_BS[TenCongTyID],DTRVL!$B$1,[1]!Data_BS[Thang.Nam],DTRVL!AF$5)</f>
        <v>0</v>
      </c>
      <c r="AG129" s="400">
        <f>SUMIFS([1]!Data_BS[Value],[1]!Data_BS[Index BS],DTRVL!$B129,[1]!Data_BS[TenCongTyID],DTRVL!$B$1,[1]!Data_BS[Thang.Nam],DTRVL!AG$5)</f>
        <v>0</v>
      </c>
      <c r="AH129" s="400">
        <f>SUMIFS([1]!Data_BS[Value],[1]!Data_BS[Index BS],DTRVL!$B129,[1]!Data_BS[TenCongTyID],DTRVL!$B$1,[1]!Data_BS[Thang.Nam],DTRVL!AH$5)</f>
        <v>0</v>
      </c>
      <c r="AI129" s="400">
        <f>SUMIFS([1]!Data_BS[Value],[1]!Data_BS[Index BS],DTRVL!$B129,[1]!Data_BS[TenCongTyID],DTRVL!$B$1,[1]!Data_BS[Thang.Nam],DTRVL!AI$5)</f>
        <v>0</v>
      </c>
      <c r="AJ129" s="400">
        <f>SUMIFS([1]!Data_BS[Value],[1]!Data_BS[Index BS],DTRVL!$B129,[1]!Data_BS[TenCongTyID],DTRVL!$B$1,[1]!Data_BS[Thang.Nam],DTRVL!AJ$5)</f>
        <v>0</v>
      </c>
      <c r="AK129" s="400">
        <f>SUMIFS([1]!Data_BS[Value],[1]!Data_BS[Index BS],DTRVL!$B129,[1]!Data_BS[TenCongTyID],DTRVL!$B$1,[1]!Data_BS[Thang.Nam],DTRVL!AK$5)</f>
        <v>0</v>
      </c>
      <c r="AL129" s="400">
        <f>SUMIFS([1]!Data_BS[Value],[1]!Data_BS[Index BS],DTRVL!$B129,[1]!Data_BS[TenCongTyID],DTRVL!$B$1,[1]!Data_BS[Thang.Nam],DTRVL!AL$5)</f>
        <v>0</v>
      </c>
    </row>
    <row r="130" spans="1:52" ht="15" hidden="1" customHeight="1" outlineLevel="1">
      <c r="A130" s="89" t="s">
        <v>214</v>
      </c>
      <c r="B130" s="63">
        <v>125</v>
      </c>
      <c r="C130" s="90"/>
      <c r="D130" s="401"/>
      <c r="E130" s="401"/>
      <c r="F130" s="402"/>
      <c r="G130" s="401"/>
      <c r="H130" s="401"/>
      <c r="I130" s="401"/>
      <c r="J130" s="401"/>
      <c r="K130" s="401"/>
      <c r="L130" s="401"/>
      <c r="M130" s="402"/>
      <c r="N130" s="403"/>
      <c r="O130" s="90"/>
      <c r="P130" s="401"/>
      <c r="Q130" s="401"/>
      <c r="R130" s="402"/>
      <c r="S130" s="401"/>
      <c r="T130" s="401"/>
      <c r="U130" s="401"/>
      <c r="V130" s="401"/>
      <c r="W130" s="401"/>
      <c r="X130" s="401"/>
      <c r="Y130" s="402">
        <v>-1888731</v>
      </c>
      <c r="Z130" s="405">
        <v>-1885414</v>
      </c>
      <c r="AA130" s="405">
        <f>SUMIFS([1]!Data_BS[Value],[1]!Data_BS[Index BS],DTRVL!$B130,[1]!Data_BS[TenCongTyID],DTRVL!$B$1,[1]!Data_BS[Thang.Nam],DTRVL!AA$5)</f>
        <v>0</v>
      </c>
      <c r="AB130" s="405">
        <f>SUMIFS([1]!Data_BS[Value],[1]!Data_BS[Index BS],DTRVL!$B130,[1]!Data_BS[TenCongTyID],DTRVL!$B$1,[1]!Data_BS[Thang.Nam],DTRVL!AB$5)</f>
        <v>0</v>
      </c>
      <c r="AC130" s="405">
        <f>SUMIFS([1]!Data_BS[Value],[1]!Data_BS[Index BS],DTRVL!$B130,[1]!Data_BS[TenCongTyID],DTRVL!$B$1,[1]!Data_BS[Thang.Nam],DTRVL!AC$5)</f>
        <v>0</v>
      </c>
      <c r="AD130" s="405">
        <f>SUMIFS([1]!Data_BS[Value],[1]!Data_BS[Index BS],DTRVL!$B130,[1]!Data_BS[TenCongTyID],DTRVL!$B$1,[1]!Data_BS[Thang.Nam],DTRVL!AD$5)</f>
        <v>0</v>
      </c>
      <c r="AE130" s="405">
        <f>SUMIFS([1]!Data_BS[Value],[1]!Data_BS[Index BS],DTRVL!$B130,[1]!Data_BS[TenCongTyID],DTRVL!$B$1,[1]!Data_BS[Thang.Nam],DTRVL!AE$5)</f>
        <v>0</v>
      </c>
      <c r="AF130" s="405">
        <f>SUMIFS([1]!Data_BS[Value],[1]!Data_BS[Index BS],DTRVL!$B130,[1]!Data_BS[TenCongTyID],DTRVL!$B$1,[1]!Data_BS[Thang.Nam],DTRVL!AF$5)</f>
        <v>0</v>
      </c>
      <c r="AG130" s="405">
        <f>SUMIFS([1]!Data_BS[Value],[1]!Data_BS[Index BS],DTRVL!$B130,[1]!Data_BS[TenCongTyID],DTRVL!$B$1,[1]!Data_BS[Thang.Nam],DTRVL!AG$5)</f>
        <v>0</v>
      </c>
      <c r="AH130" s="405">
        <f>SUMIFS([1]!Data_BS[Value],[1]!Data_BS[Index BS],DTRVL!$B130,[1]!Data_BS[TenCongTyID],DTRVL!$B$1,[1]!Data_BS[Thang.Nam],DTRVL!AH$5)</f>
        <v>0</v>
      </c>
      <c r="AI130" s="405">
        <f>SUMIFS([1]!Data_BS[Value],[1]!Data_BS[Index BS],DTRVL!$B130,[1]!Data_BS[TenCongTyID],DTRVL!$B$1,[1]!Data_BS[Thang.Nam],DTRVL!AI$5)</f>
        <v>0</v>
      </c>
      <c r="AJ130" s="405">
        <f>SUMIFS([1]!Data_BS[Value],[1]!Data_BS[Index BS],DTRVL!$B130,[1]!Data_BS[TenCongTyID],DTRVL!$B$1,[1]!Data_BS[Thang.Nam],DTRVL!AJ$5)</f>
        <v>0</v>
      </c>
      <c r="AK130" s="405">
        <f>SUMIFS([1]!Data_BS[Value],[1]!Data_BS[Index BS],DTRVL!$B130,[1]!Data_BS[TenCongTyID],DTRVL!$B$1,[1]!Data_BS[Thang.Nam],DTRVL!AK$5)</f>
        <v>0</v>
      </c>
      <c r="AL130" s="405">
        <f>SUMIFS([1]!Data_BS[Value],[1]!Data_BS[Index BS],DTRVL!$B130,[1]!Data_BS[TenCongTyID],DTRVL!$B$1,[1]!Data_BS[Thang.Nam],DTRVL!AL$5)</f>
        <v>0</v>
      </c>
    </row>
    <row r="131" spans="1:52" ht="15" hidden="1" customHeight="1" outlineLevel="1">
      <c r="A131" s="91" t="s">
        <v>215</v>
      </c>
      <c r="B131" s="92">
        <v>126</v>
      </c>
      <c r="C131" s="406">
        <f t="shared" ref="C131:I131" si="11">+C116+C84</f>
        <v>0</v>
      </c>
      <c r="D131" s="407">
        <f t="shared" si="11"/>
        <v>0</v>
      </c>
      <c r="E131" s="407">
        <f t="shared" si="11"/>
        <v>0</v>
      </c>
      <c r="F131" s="408">
        <f t="shared" si="11"/>
        <v>0</v>
      </c>
      <c r="G131" s="407">
        <f t="shared" si="11"/>
        <v>0</v>
      </c>
      <c r="H131" s="407">
        <f t="shared" si="11"/>
        <v>0</v>
      </c>
      <c r="I131" s="407">
        <f t="shared" si="11"/>
        <v>0</v>
      </c>
      <c r="J131" s="407"/>
      <c r="K131" s="407"/>
      <c r="L131" s="407"/>
      <c r="M131" s="408"/>
      <c r="N131" s="409"/>
      <c r="O131" s="406"/>
      <c r="P131" s="407"/>
      <c r="Q131" s="407"/>
      <c r="R131" s="408"/>
      <c r="S131" s="407"/>
      <c r="T131" s="407"/>
      <c r="U131" s="407"/>
      <c r="V131" s="407"/>
      <c r="W131" s="407"/>
      <c r="X131" s="407">
        <f>+X116+X84</f>
        <v>0</v>
      </c>
      <c r="Y131" s="408">
        <v>498111269</v>
      </c>
      <c r="Z131" s="433">
        <v>5998114586</v>
      </c>
      <c r="AA131" s="433">
        <f>SUMIFS([1]!Data_BS[Value],[1]!Data_BS[Index BS],DTRVL!$B131,[1]!Data_BS[TenCongTyID],DTRVL!$B$1,[1]!Data_BS[Thang.Nam],DTRVL!AA$5)</f>
        <v>0</v>
      </c>
      <c r="AB131" s="433">
        <f>SUMIFS([1]!Data_BS[Value],[1]!Data_BS[Index BS],DTRVL!$B131,[1]!Data_BS[TenCongTyID],DTRVL!$B$1,[1]!Data_BS[Thang.Nam],DTRVL!AB$5)</f>
        <v>0</v>
      </c>
      <c r="AC131" s="433">
        <f>SUMIFS([1]!Data_BS[Value],[1]!Data_BS[Index BS],DTRVL!$B131,[1]!Data_BS[TenCongTyID],DTRVL!$B$1,[1]!Data_BS[Thang.Nam],DTRVL!AC$5)</f>
        <v>0</v>
      </c>
      <c r="AD131" s="433">
        <f>SUMIFS([1]!Data_BS[Value],[1]!Data_BS[Index BS],DTRVL!$B131,[1]!Data_BS[TenCongTyID],DTRVL!$B$1,[1]!Data_BS[Thang.Nam],DTRVL!AD$5)</f>
        <v>0</v>
      </c>
      <c r="AE131" s="433">
        <f>SUMIFS([1]!Data_BS[Value],[1]!Data_BS[Index BS],DTRVL!$B131,[1]!Data_BS[TenCongTyID],DTRVL!$B$1,[1]!Data_BS[Thang.Nam],DTRVL!AE$5)</f>
        <v>0</v>
      </c>
      <c r="AF131" s="433">
        <f>SUMIFS([1]!Data_BS[Value],[1]!Data_BS[Index BS],DTRVL!$B131,[1]!Data_BS[TenCongTyID],DTRVL!$B$1,[1]!Data_BS[Thang.Nam],DTRVL!AF$5)</f>
        <v>0</v>
      </c>
      <c r="AG131" s="433">
        <f>SUMIFS([1]!Data_BS[Value],[1]!Data_BS[Index BS],DTRVL!$B131,[1]!Data_BS[TenCongTyID],DTRVL!$B$1,[1]!Data_BS[Thang.Nam],DTRVL!AG$5)</f>
        <v>0</v>
      </c>
      <c r="AH131" s="433">
        <f>SUMIFS([1]!Data_BS[Value],[1]!Data_BS[Index BS],DTRVL!$B131,[1]!Data_BS[TenCongTyID],DTRVL!$B$1,[1]!Data_BS[Thang.Nam],DTRVL!AH$5)</f>
        <v>0</v>
      </c>
      <c r="AI131" s="433">
        <f>SUMIFS([1]!Data_BS[Value],[1]!Data_BS[Index BS],DTRVL!$B131,[1]!Data_BS[TenCongTyID],DTRVL!$B$1,[1]!Data_BS[Thang.Nam],DTRVL!AI$5)</f>
        <v>0</v>
      </c>
      <c r="AJ131" s="433">
        <f>SUMIFS([1]!Data_BS[Value],[1]!Data_BS[Index BS],DTRVL!$B131,[1]!Data_BS[TenCongTyID],DTRVL!$B$1,[1]!Data_BS[Thang.Nam],DTRVL!AJ$5)</f>
        <v>0</v>
      </c>
      <c r="AK131" s="433">
        <f>SUMIFS([1]!Data_BS[Value],[1]!Data_BS[Index BS],DTRVL!$B131,[1]!Data_BS[TenCongTyID],DTRVL!$B$1,[1]!Data_BS[Thang.Nam],DTRVL!AK$5)</f>
        <v>0</v>
      </c>
      <c r="AL131" s="433">
        <f>SUMIFS([1]!Data_BS[Value],[1]!Data_BS[Index BS],DTRVL!$B131,[1]!Data_BS[TenCongTyID],DTRVL!$B$1,[1]!Data_BS[Thang.Nam],DTRVL!AL$5)</f>
        <v>0</v>
      </c>
    </row>
    <row r="132" spans="1:52" ht="15" customHeight="1">
      <c r="A132" s="94"/>
      <c r="B132" s="95"/>
      <c r="C132" s="95">
        <f t="shared" ref="C132:Y132" si="12">C131-C83</f>
        <v>0</v>
      </c>
      <c r="D132" s="95">
        <f t="shared" si="12"/>
        <v>0</v>
      </c>
      <c r="E132" s="95">
        <f t="shared" si="12"/>
        <v>0</v>
      </c>
      <c r="F132" s="95">
        <f t="shared" si="12"/>
        <v>0</v>
      </c>
      <c r="G132" s="95">
        <f t="shared" si="12"/>
        <v>0</v>
      </c>
      <c r="H132" s="95">
        <f t="shared" si="12"/>
        <v>0</v>
      </c>
      <c r="I132" s="265">
        <f t="shared" si="12"/>
        <v>0</v>
      </c>
      <c r="J132" s="265">
        <f t="shared" si="12"/>
        <v>0</v>
      </c>
      <c r="K132" s="265">
        <f t="shared" si="12"/>
        <v>0</v>
      </c>
      <c r="L132" s="265">
        <f t="shared" si="12"/>
        <v>0</v>
      </c>
      <c r="M132" s="265">
        <f t="shared" si="12"/>
        <v>0</v>
      </c>
      <c r="N132" s="265">
        <f t="shared" si="12"/>
        <v>0</v>
      </c>
      <c r="O132" s="266">
        <f t="shared" si="12"/>
        <v>0</v>
      </c>
      <c r="P132" s="266">
        <f t="shared" si="12"/>
        <v>0</v>
      </c>
      <c r="Q132" s="266">
        <f t="shared" si="12"/>
        <v>0</v>
      </c>
      <c r="R132" s="266">
        <f t="shared" si="12"/>
        <v>0</v>
      </c>
      <c r="S132" s="266">
        <f t="shared" si="12"/>
        <v>0</v>
      </c>
      <c r="T132" s="266">
        <f t="shared" si="12"/>
        <v>0</v>
      </c>
      <c r="U132" s="265">
        <f t="shared" si="12"/>
        <v>0</v>
      </c>
      <c r="V132" s="265">
        <f t="shared" si="12"/>
        <v>0</v>
      </c>
      <c r="W132" s="265">
        <f t="shared" si="12"/>
        <v>0</v>
      </c>
      <c r="X132" s="265">
        <f t="shared" si="12"/>
        <v>0</v>
      </c>
      <c r="Y132" s="265">
        <f t="shared" si="12"/>
        <v>0</v>
      </c>
      <c r="Z132" s="265">
        <v>0</v>
      </c>
      <c r="AA132" s="267"/>
      <c r="AB132" s="267"/>
      <c r="AC132" s="267"/>
      <c r="AD132" s="267"/>
      <c r="AE132" s="267"/>
      <c r="AF132" s="267"/>
      <c r="AG132" s="267"/>
      <c r="AH132" s="267"/>
      <c r="AI132" s="267"/>
      <c r="AJ132" s="267"/>
      <c r="AK132" s="267"/>
      <c r="AL132" s="267"/>
      <c r="AM132" s="97"/>
      <c r="AN132" s="97"/>
      <c r="AO132" s="97"/>
      <c r="AQ132" s="97"/>
      <c r="AR132" s="97"/>
      <c r="AS132" s="97"/>
      <c r="AT132" s="97"/>
      <c r="AU132" s="97"/>
      <c r="AV132" s="97"/>
      <c r="AW132" s="97"/>
      <c r="AX132" s="97"/>
      <c r="AY132" s="97"/>
      <c r="AZ132" s="97"/>
    </row>
    <row r="133" spans="1:52" ht="32.5" customHeight="1">
      <c r="A133" s="99" t="s">
        <v>216</v>
      </c>
      <c r="B133" s="100" t="s">
        <v>217</v>
      </c>
      <c r="C133" s="101" t="s">
        <v>66</v>
      </c>
      <c r="D133" s="101" t="s">
        <v>67</v>
      </c>
      <c r="E133" s="101" t="s">
        <v>68</v>
      </c>
      <c r="F133" s="101" t="s">
        <v>69</v>
      </c>
      <c r="G133" s="101" t="s">
        <v>70</v>
      </c>
      <c r="H133" s="101" t="s">
        <v>71</v>
      </c>
      <c r="I133" s="101" t="s">
        <v>72</v>
      </c>
      <c r="J133" s="101" t="s">
        <v>73</v>
      </c>
      <c r="K133" s="101" t="s">
        <v>74</v>
      </c>
      <c r="L133" s="101" t="s">
        <v>75</v>
      </c>
      <c r="M133" s="101" t="s">
        <v>76</v>
      </c>
      <c r="N133" s="101" t="s">
        <v>77</v>
      </c>
      <c r="O133" s="101" t="s">
        <v>78</v>
      </c>
      <c r="P133" s="101" t="s">
        <v>79</v>
      </c>
      <c r="Q133" s="101" t="s">
        <v>80</v>
      </c>
      <c r="R133" s="101" t="s">
        <v>81</v>
      </c>
      <c r="S133" s="101" t="s">
        <v>82</v>
      </c>
      <c r="T133" s="101" t="s">
        <v>83</v>
      </c>
      <c r="U133" s="101" t="s">
        <v>84</v>
      </c>
      <c r="V133" s="101" t="s">
        <v>85</v>
      </c>
      <c r="W133" s="101" t="s">
        <v>86</v>
      </c>
      <c r="X133" s="101" t="s">
        <v>87</v>
      </c>
      <c r="Y133" s="101" t="s">
        <v>88</v>
      </c>
      <c r="Z133" s="434" t="s">
        <v>89</v>
      </c>
      <c r="AA133" s="102" t="s">
        <v>8</v>
      </c>
      <c r="AB133" s="102" t="s">
        <v>9</v>
      </c>
      <c r="AC133" s="102" t="s">
        <v>10</v>
      </c>
      <c r="AD133" s="102" t="s">
        <v>11</v>
      </c>
      <c r="AE133" s="102" t="s">
        <v>12</v>
      </c>
      <c r="AF133" s="102" t="s">
        <v>13</v>
      </c>
      <c r="AG133" s="102" t="s">
        <v>14</v>
      </c>
      <c r="AH133" s="102" t="s">
        <v>15</v>
      </c>
      <c r="AI133" s="102" t="s">
        <v>16</v>
      </c>
      <c r="AJ133" s="102" t="s">
        <v>17</v>
      </c>
      <c r="AK133" s="102" t="s">
        <v>18</v>
      </c>
      <c r="AL133" s="102" t="s">
        <v>19</v>
      </c>
      <c r="AM133" s="212">
        <v>2026</v>
      </c>
    </row>
    <row r="134" spans="1:52" s="107" customFormat="1" ht="15" customHeight="1">
      <c r="A134" s="104" t="s">
        <v>219</v>
      </c>
      <c r="B134" s="105">
        <v>1</v>
      </c>
      <c r="C134" s="106"/>
      <c r="D134" s="268"/>
      <c r="E134" s="268"/>
      <c r="F134" s="268"/>
      <c r="G134" s="268"/>
      <c r="H134" s="268"/>
      <c r="I134" s="268"/>
      <c r="J134" s="268"/>
      <c r="K134" s="268"/>
      <c r="L134" s="268"/>
      <c r="M134" s="269"/>
      <c r="N134" s="270"/>
      <c r="O134" s="106"/>
      <c r="P134" s="268"/>
      <c r="Q134" s="268"/>
      <c r="R134" s="268"/>
      <c r="S134" s="268"/>
      <c r="T134" s="268"/>
      <c r="U134" s="268"/>
      <c r="V134" s="268"/>
      <c r="W134" s="268"/>
      <c r="X134" s="268"/>
      <c r="Y134" s="269"/>
      <c r="Z134" s="435">
        <v>0</v>
      </c>
      <c r="AA134" s="268"/>
      <c r="AB134" s="268"/>
      <c r="AC134" s="268"/>
      <c r="AD134" s="268"/>
      <c r="AE134" s="268"/>
      <c r="AF134" s="268"/>
      <c r="AG134" s="268"/>
      <c r="AH134" s="268"/>
      <c r="AI134" s="268"/>
      <c r="AJ134" s="268"/>
      <c r="AK134" s="268"/>
      <c r="AL134" s="268"/>
      <c r="AM134" s="268"/>
    </row>
    <row r="135" spans="1:52" s="107" customFormat="1" ht="15" customHeight="1">
      <c r="A135" s="108" t="s">
        <v>220</v>
      </c>
      <c r="B135" s="109">
        <v>2</v>
      </c>
      <c r="C135" s="122"/>
      <c r="D135" s="414"/>
      <c r="E135" s="414"/>
      <c r="F135" s="414"/>
      <c r="G135" s="414"/>
      <c r="H135" s="414"/>
      <c r="I135" s="414"/>
      <c r="J135" s="414"/>
      <c r="K135" s="414"/>
      <c r="L135" s="414"/>
      <c r="M135" s="415"/>
      <c r="N135" s="416"/>
      <c r="O135" s="122"/>
      <c r="P135" s="414">
        <v>0</v>
      </c>
      <c r="Q135" s="414">
        <v>0</v>
      </c>
      <c r="R135" s="414">
        <v>0</v>
      </c>
      <c r="S135" s="414">
        <v>0</v>
      </c>
      <c r="T135" s="414">
        <v>0</v>
      </c>
      <c r="U135" s="414">
        <v>0</v>
      </c>
      <c r="V135" s="414"/>
      <c r="W135" s="414">
        <v>0</v>
      </c>
      <c r="X135" s="414"/>
      <c r="Y135" s="415"/>
      <c r="Z135" s="436">
        <v>0</v>
      </c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11">
        <f t="shared" ref="AM135:AM152" si="13">SUM(AA135:AL135)</f>
        <v>0</v>
      </c>
    </row>
    <row r="136" spans="1:52" s="107" customFormat="1" ht="15" customHeight="1">
      <c r="A136" s="113" t="s">
        <v>221</v>
      </c>
      <c r="B136" s="114">
        <v>3</v>
      </c>
      <c r="C136" s="115"/>
      <c r="D136" s="417"/>
      <c r="E136" s="417"/>
      <c r="F136" s="417"/>
      <c r="G136" s="417"/>
      <c r="H136" s="417"/>
      <c r="I136" s="417"/>
      <c r="J136" s="417"/>
      <c r="K136" s="417"/>
      <c r="L136" s="417"/>
      <c r="M136" s="418"/>
      <c r="N136" s="419"/>
      <c r="O136" s="115"/>
      <c r="P136" s="417">
        <v>0</v>
      </c>
      <c r="Q136" s="417">
        <v>0</v>
      </c>
      <c r="R136" s="417">
        <v>0</v>
      </c>
      <c r="S136" s="417">
        <v>0</v>
      </c>
      <c r="T136" s="417">
        <v>0</v>
      </c>
      <c r="U136" s="417">
        <v>0</v>
      </c>
      <c r="V136" s="417"/>
      <c r="W136" s="417">
        <v>0</v>
      </c>
      <c r="X136" s="417"/>
      <c r="Y136" s="418"/>
      <c r="Z136" s="437">
        <v>0</v>
      </c>
      <c r="AA136" s="280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11">
        <f t="shared" si="13"/>
        <v>0</v>
      </c>
    </row>
    <row r="137" spans="1:52" s="107" customFormat="1" ht="15" customHeight="1">
      <c r="A137" s="108" t="s">
        <v>222</v>
      </c>
      <c r="B137" s="116">
        <v>4</v>
      </c>
      <c r="C137" s="122"/>
      <c r="D137" s="414"/>
      <c r="E137" s="414"/>
      <c r="F137" s="414"/>
      <c r="G137" s="414"/>
      <c r="H137" s="414"/>
      <c r="I137" s="414"/>
      <c r="J137" s="414"/>
      <c r="K137" s="414"/>
      <c r="L137" s="414"/>
      <c r="M137" s="415"/>
      <c r="N137" s="416"/>
      <c r="O137" s="122"/>
      <c r="P137" s="414">
        <v>0</v>
      </c>
      <c r="Q137" s="414">
        <v>0</v>
      </c>
      <c r="R137" s="414">
        <v>0</v>
      </c>
      <c r="S137" s="414">
        <v>0</v>
      </c>
      <c r="T137" s="414">
        <v>0</v>
      </c>
      <c r="U137" s="414">
        <v>0</v>
      </c>
      <c r="V137" s="414"/>
      <c r="W137" s="414">
        <v>0</v>
      </c>
      <c r="X137" s="414"/>
      <c r="Y137" s="415"/>
      <c r="Z137" s="436">
        <v>0</v>
      </c>
      <c r="AA137" s="132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11">
        <f t="shared" si="13"/>
        <v>0</v>
      </c>
    </row>
    <row r="138" spans="1:52" s="107" customFormat="1" ht="15" customHeight="1">
      <c r="A138" s="113" t="s">
        <v>223</v>
      </c>
      <c r="B138" s="118">
        <v>5</v>
      </c>
      <c r="C138" s="115"/>
      <c r="D138" s="417"/>
      <c r="E138" s="417"/>
      <c r="F138" s="417"/>
      <c r="G138" s="417"/>
      <c r="H138" s="417"/>
      <c r="I138" s="417"/>
      <c r="J138" s="417"/>
      <c r="K138" s="417"/>
      <c r="L138" s="417"/>
      <c r="M138" s="418"/>
      <c r="N138" s="419"/>
      <c r="O138" s="115"/>
      <c r="P138" s="417">
        <v>0</v>
      </c>
      <c r="Q138" s="417">
        <v>0</v>
      </c>
      <c r="R138" s="417">
        <v>0</v>
      </c>
      <c r="S138" s="417">
        <v>0</v>
      </c>
      <c r="T138" s="417">
        <v>0</v>
      </c>
      <c r="U138" s="417">
        <v>0</v>
      </c>
      <c r="V138" s="417"/>
      <c r="W138" s="417">
        <v>0</v>
      </c>
      <c r="X138" s="417"/>
      <c r="Y138" s="418"/>
      <c r="Z138" s="437">
        <v>0</v>
      </c>
      <c r="AA138" s="286"/>
      <c r="AB138" s="283"/>
      <c r="AC138" s="283"/>
      <c r="AD138" s="283"/>
      <c r="AE138" s="283"/>
      <c r="AF138" s="283"/>
      <c r="AG138" s="283"/>
      <c r="AH138" s="283"/>
      <c r="AI138" s="283"/>
      <c r="AJ138" s="283"/>
      <c r="AK138" s="283"/>
      <c r="AL138" s="283"/>
      <c r="AM138" s="120">
        <f t="shared" si="13"/>
        <v>0</v>
      </c>
    </row>
    <row r="139" spans="1:52" s="107" customFormat="1" ht="15" customHeight="1">
      <c r="A139" s="108" t="s">
        <v>224</v>
      </c>
      <c r="B139" s="121">
        <v>6</v>
      </c>
      <c r="C139" s="122"/>
      <c r="D139" s="414"/>
      <c r="E139" s="414"/>
      <c r="F139" s="414"/>
      <c r="G139" s="414"/>
      <c r="H139" s="414"/>
      <c r="I139" s="414"/>
      <c r="J139" s="414"/>
      <c r="K139" s="414"/>
      <c r="L139" s="414"/>
      <c r="M139" s="415"/>
      <c r="N139" s="416"/>
      <c r="O139" s="122"/>
      <c r="P139" s="414">
        <v>0</v>
      </c>
      <c r="Q139" s="414">
        <v>0</v>
      </c>
      <c r="R139" s="414">
        <v>0</v>
      </c>
      <c r="S139" s="414">
        <v>0</v>
      </c>
      <c r="T139" s="414">
        <v>0</v>
      </c>
      <c r="U139" s="414">
        <v>0</v>
      </c>
      <c r="V139" s="414"/>
      <c r="W139" s="414">
        <v>0</v>
      </c>
      <c r="X139" s="414"/>
      <c r="Y139" s="415"/>
      <c r="Z139" s="436">
        <v>0</v>
      </c>
      <c r="AA139" s="123">
        <f>AA137-AA138</f>
        <v>0</v>
      </c>
      <c r="AB139" s="124">
        <f t="shared" ref="AB139:AL139" si="14">AB137-AB138</f>
        <v>0</v>
      </c>
      <c r="AC139" s="124">
        <f t="shared" si="14"/>
        <v>0</v>
      </c>
      <c r="AD139" s="124">
        <f t="shared" si="14"/>
        <v>0</v>
      </c>
      <c r="AE139" s="124">
        <f t="shared" si="14"/>
        <v>0</v>
      </c>
      <c r="AF139" s="124">
        <f t="shared" si="14"/>
        <v>0</v>
      </c>
      <c r="AG139" s="124">
        <f t="shared" si="14"/>
        <v>0</v>
      </c>
      <c r="AH139" s="124">
        <f t="shared" si="14"/>
        <v>0</v>
      </c>
      <c r="AI139" s="124">
        <f t="shared" si="14"/>
        <v>0</v>
      </c>
      <c r="AJ139" s="124">
        <f t="shared" si="14"/>
        <v>0</v>
      </c>
      <c r="AK139" s="124">
        <f t="shared" si="14"/>
        <v>0</v>
      </c>
      <c r="AL139" s="124">
        <f t="shared" si="14"/>
        <v>0</v>
      </c>
      <c r="AM139" s="125">
        <f t="shared" si="13"/>
        <v>0</v>
      </c>
    </row>
    <row r="140" spans="1:52" s="107" customFormat="1" ht="15" customHeight="1">
      <c r="A140" s="108" t="s">
        <v>225</v>
      </c>
      <c r="B140" s="121">
        <v>7</v>
      </c>
      <c r="C140" s="122"/>
      <c r="D140" s="414"/>
      <c r="E140" s="414"/>
      <c r="F140" s="414"/>
      <c r="G140" s="414"/>
      <c r="H140" s="414"/>
      <c r="I140" s="414"/>
      <c r="J140" s="414"/>
      <c r="K140" s="414"/>
      <c r="L140" s="414"/>
      <c r="M140" s="415"/>
      <c r="N140" s="416"/>
      <c r="O140" s="122"/>
      <c r="P140" s="414"/>
      <c r="Q140" s="414"/>
      <c r="R140" s="414"/>
      <c r="S140" s="414"/>
      <c r="T140" s="414"/>
      <c r="U140" s="414"/>
      <c r="V140" s="414"/>
      <c r="W140" s="414"/>
      <c r="X140" s="414"/>
      <c r="Y140" s="415"/>
      <c r="Z140" s="436">
        <v>0</v>
      </c>
      <c r="AA140" s="123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5">
        <f t="shared" si="13"/>
        <v>0</v>
      </c>
    </row>
    <row r="141" spans="1:52" s="107" customFormat="1" ht="15" customHeight="1">
      <c r="A141" s="113" t="s">
        <v>226</v>
      </c>
      <c r="B141" s="114">
        <v>8</v>
      </c>
      <c r="C141" s="115"/>
      <c r="D141" s="417"/>
      <c r="E141" s="417"/>
      <c r="F141" s="417"/>
      <c r="G141" s="417"/>
      <c r="H141" s="417"/>
      <c r="I141" s="417"/>
      <c r="J141" s="417"/>
      <c r="K141" s="417"/>
      <c r="L141" s="417"/>
      <c r="M141" s="418"/>
      <c r="N141" s="419"/>
      <c r="O141" s="115"/>
      <c r="P141" s="417"/>
      <c r="Q141" s="417"/>
      <c r="R141" s="417"/>
      <c r="S141" s="417"/>
      <c r="T141" s="417"/>
      <c r="U141" s="417"/>
      <c r="V141" s="417"/>
      <c r="W141" s="417"/>
      <c r="X141" s="417"/>
      <c r="Y141" s="418">
        <v>1669</v>
      </c>
      <c r="Z141" s="437">
        <v>3317</v>
      </c>
      <c r="AA141" s="287"/>
      <c r="AB141" s="279"/>
      <c r="AC141" s="279"/>
      <c r="AD141" s="279"/>
      <c r="AE141" s="279"/>
      <c r="AF141" s="279"/>
      <c r="AG141" s="279"/>
      <c r="AH141" s="279"/>
      <c r="AI141" s="279"/>
      <c r="AJ141" s="279"/>
      <c r="AK141" s="279"/>
      <c r="AL141" s="279"/>
      <c r="AM141" s="127">
        <f t="shared" si="13"/>
        <v>0</v>
      </c>
    </row>
    <row r="142" spans="1:52" s="107" customFormat="1" ht="15" customHeight="1">
      <c r="A142" s="108" t="s">
        <v>227</v>
      </c>
      <c r="B142" s="109">
        <v>9</v>
      </c>
      <c r="C142" s="122"/>
      <c r="D142" s="414"/>
      <c r="E142" s="414"/>
      <c r="F142" s="414"/>
      <c r="G142" s="414"/>
      <c r="H142" s="414"/>
      <c r="I142" s="414"/>
      <c r="J142" s="414"/>
      <c r="K142" s="414"/>
      <c r="L142" s="414"/>
      <c r="M142" s="415"/>
      <c r="N142" s="416"/>
      <c r="O142" s="122"/>
      <c r="P142" s="414"/>
      <c r="Q142" s="414"/>
      <c r="R142" s="414"/>
      <c r="S142" s="414"/>
      <c r="T142" s="414"/>
      <c r="U142" s="414"/>
      <c r="V142" s="414"/>
      <c r="W142" s="414"/>
      <c r="X142" s="414"/>
      <c r="Y142" s="415"/>
      <c r="Z142" s="436">
        <v>0</v>
      </c>
      <c r="AA142" s="123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5">
        <f t="shared" si="13"/>
        <v>0</v>
      </c>
    </row>
    <row r="143" spans="1:52" s="107" customFormat="1" ht="15" customHeight="1">
      <c r="A143" s="113" t="s">
        <v>228</v>
      </c>
      <c r="B143" s="114">
        <v>10</v>
      </c>
      <c r="C143" s="115"/>
      <c r="D143" s="417"/>
      <c r="E143" s="417"/>
      <c r="F143" s="417"/>
      <c r="G143" s="417"/>
      <c r="H143" s="417"/>
      <c r="I143" s="417"/>
      <c r="J143" s="417"/>
      <c r="K143" s="417"/>
      <c r="L143" s="417"/>
      <c r="M143" s="418"/>
      <c r="N143" s="419"/>
      <c r="O143" s="115"/>
      <c r="P143" s="417"/>
      <c r="Q143" s="417"/>
      <c r="R143" s="417"/>
      <c r="S143" s="417"/>
      <c r="T143" s="417"/>
      <c r="U143" s="417"/>
      <c r="V143" s="417"/>
      <c r="W143" s="417"/>
      <c r="X143" s="417"/>
      <c r="Y143" s="418"/>
      <c r="Z143" s="437">
        <v>0</v>
      </c>
      <c r="AA143" s="287"/>
      <c r="AB143" s="279"/>
      <c r="AC143" s="279"/>
      <c r="AD143" s="279"/>
      <c r="AE143" s="279"/>
      <c r="AF143" s="279"/>
      <c r="AG143" s="279"/>
      <c r="AH143" s="279"/>
      <c r="AI143" s="279"/>
      <c r="AJ143" s="279"/>
      <c r="AK143" s="279"/>
      <c r="AL143" s="279"/>
      <c r="AM143" s="127">
        <f t="shared" si="13"/>
        <v>0</v>
      </c>
    </row>
    <row r="144" spans="1:52" s="107" customFormat="1" ht="15" customHeight="1">
      <c r="A144" s="113" t="s">
        <v>229</v>
      </c>
      <c r="B144" s="114">
        <v>11</v>
      </c>
      <c r="C144" s="115"/>
      <c r="D144" s="417"/>
      <c r="E144" s="417"/>
      <c r="F144" s="417"/>
      <c r="G144" s="417"/>
      <c r="H144" s="417"/>
      <c r="I144" s="417"/>
      <c r="J144" s="417"/>
      <c r="K144" s="417"/>
      <c r="L144" s="417"/>
      <c r="M144" s="418"/>
      <c r="N144" s="419"/>
      <c r="O144" s="115"/>
      <c r="P144" s="417"/>
      <c r="Q144" s="417"/>
      <c r="R144" s="417"/>
      <c r="S144" s="417"/>
      <c r="T144" s="417"/>
      <c r="U144" s="417"/>
      <c r="V144" s="417"/>
      <c r="W144" s="417"/>
      <c r="X144" s="417"/>
      <c r="Y144" s="418"/>
      <c r="Z144" s="437">
        <v>0</v>
      </c>
      <c r="AA144" s="288"/>
      <c r="AB144" s="278"/>
      <c r="AC144" s="278"/>
      <c r="AD144" s="278"/>
      <c r="AE144" s="278"/>
      <c r="AF144" s="278"/>
      <c r="AG144" s="278"/>
      <c r="AH144" s="278"/>
      <c r="AI144" s="278"/>
      <c r="AJ144" s="278"/>
      <c r="AK144" s="278"/>
      <c r="AL144" s="278"/>
      <c r="AM144" s="131">
        <f t="shared" si="13"/>
        <v>0</v>
      </c>
    </row>
    <row r="145" spans="1:39" s="107" customFormat="1" ht="15" customHeight="1">
      <c r="A145" s="113" t="s">
        <v>230</v>
      </c>
      <c r="B145" s="114">
        <v>12</v>
      </c>
      <c r="C145" s="115"/>
      <c r="D145" s="417"/>
      <c r="E145" s="417"/>
      <c r="F145" s="417"/>
      <c r="G145" s="417"/>
      <c r="H145" s="417"/>
      <c r="I145" s="417"/>
      <c r="J145" s="417"/>
      <c r="K145" s="417"/>
      <c r="L145" s="417"/>
      <c r="M145" s="418"/>
      <c r="N145" s="419"/>
      <c r="O145" s="115"/>
      <c r="P145" s="417"/>
      <c r="Q145" s="417"/>
      <c r="R145" s="417"/>
      <c r="S145" s="417"/>
      <c r="T145" s="417"/>
      <c r="U145" s="417"/>
      <c r="V145" s="417"/>
      <c r="W145" s="417"/>
      <c r="X145" s="417"/>
      <c r="Y145" s="418">
        <v>1890400</v>
      </c>
      <c r="Z145" s="437">
        <v>0</v>
      </c>
      <c r="AA145" s="288"/>
      <c r="AB145" s="278"/>
      <c r="AC145" s="278"/>
      <c r="AD145" s="278"/>
      <c r="AE145" s="278"/>
      <c r="AF145" s="278"/>
      <c r="AG145" s="278"/>
      <c r="AH145" s="278"/>
      <c r="AI145" s="278"/>
      <c r="AJ145" s="278"/>
      <c r="AK145" s="278"/>
      <c r="AL145" s="278"/>
      <c r="AM145" s="131">
        <f t="shared" si="13"/>
        <v>0</v>
      </c>
    </row>
    <row r="146" spans="1:39" s="107" customFormat="1" ht="15" customHeight="1">
      <c r="A146" s="108" t="s">
        <v>231</v>
      </c>
      <c r="B146" s="109">
        <v>13</v>
      </c>
      <c r="C146" s="110">
        <f t="shared" ref="C146:D146" si="15">+C139+C141-C142-C144-C145</f>
        <v>0</v>
      </c>
      <c r="D146" s="420">
        <f t="shared" si="15"/>
        <v>0</v>
      </c>
      <c r="E146" s="420"/>
      <c r="F146" s="420"/>
      <c r="G146" s="420"/>
      <c r="H146" s="420"/>
      <c r="I146" s="420"/>
      <c r="J146" s="420"/>
      <c r="K146" s="420"/>
      <c r="L146" s="420"/>
      <c r="M146" s="420"/>
      <c r="N146" s="420"/>
      <c r="O146" s="110"/>
      <c r="P146" s="420"/>
      <c r="Q146" s="420"/>
      <c r="R146" s="420"/>
      <c r="S146" s="420"/>
      <c r="T146" s="420"/>
      <c r="U146" s="420"/>
      <c r="V146" s="420"/>
      <c r="W146" s="420"/>
      <c r="X146" s="420">
        <f>+X139+X141-X142-X144-X145</f>
        <v>0</v>
      </c>
      <c r="Y146" s="420">
        <v>-1888731</v>
      </c>
      <c r="Z146" s="438">
        <v>3317</v>
      </c>
      <c r="AA146" s="123">
        <f>AA139+AA140+AA141-AA142-AA144-AA145</f>
        <v>0</v>
      </c>
      <c r="AB146" s="124">
        <f t="shared" ref="AB146:AL146" si="16">AB139+AB140+AB141-AB142-AB144-AB145</f>
        <v>0</v>
      </c>
      <c r="AC146" s="124">
        <f t="shared" si="16"/>
        <v>0</v>
      </c>
      <c r="AD146" s="124">
        <f t="shared" si="16"/>
        <v>0</v>
      </c>
      <c r="AE146" s="124">
        <f t="shared" si="16"/>
        <v>0</v>
      </c>
      <c r="AF146" s="124">
        <f t="shared" si="16"/>
        <v>0</v>
      </c>
      <c r="AG146" s="124">
        <f t="shared" si="16"/>
        <v>0</v>
      </c>
      <c r="AH146" s="124">
        <f t="shared" si="16"/>
        <v>0</v>
      </c>
      <c r="AI146" s="124">
        <f t="shared" si="16"/>
        <v>0</v>
      </c>
      <c r="AJ146" s="124">
        <f t="shared" si="16"/>
        <v>0</v>
      </c>
      <c r="AK146" s="124">
        <f t="shared" si="16"/>
        <v>0</v>
      </c>
      <c r="AL146" s="124">
        <f t="shared" si="16"/>
        <v>0</v>
      </c>
      <c r="AM146" s="125">
        <f t="shared" si="13"/>
        <v>0</v>
      </c>
    </row>
    <row r="147" spans="1:39" s="107" customFormat="1" ht="15" customHeight="1">
      <c r="A147" s="113" t="s">
        <v>232</v>
      </c>
      <c r="B147" s="114">
        <v>14</v>
      </c>
      <c r="C147" s="115"/>
      <c r="D147" s="417"/>
      <c r="E147" s="417"/>
      <c r="F147" s="417"/>
      <c r="G147" s="417"/>
      <c r="H147" s="417"/>
      <c r="I147" s="417"/>
      <c r="J147" s="417"/>
      <c r="K147" s="417"/>
      <c r="L147" s="417"/>
      <c r="M147" s="418"/>
      <c r="N147" s="419"/>
      <c r="O147" s="115"/>
      <c r="P147" s="417"/>
      <c r="Q147" s="417"/>
      <c r="R147" s="417"/>
      <c r="S147" s="417"/>
      <c r="T147" s="417"/>
      <c r="U147" s="417"/>
      <c r="V147" s="417"/>
      <c r="W147" s="417"/>
      <c r="X147" s="417"/>
      <c r="Y147" s="418">
        <v>0</v>
      </c>
      <c r="Z147" s="437">
        <v>0</v>
      </c>
      <c r="AA147" s="287"/>
      <c r="AB147" s="279"/>
      <c r="AC147" s="279"/>
      <c r="AD147" s="279"/>
      <c r="AE147" s="279"/>
      <c r="AF147" s="279"/>
      <c r="AG147" s="279"/>
      <c r="AH147" s="279"/>
      <c r="AI147" s="279"/>
      <c r="AJ147" s="279"/>
      <c r="AK147" s="279"/>
      <c r="AL147" s="279"/>
      <c r="AM147" s="127">
        <f t="shared" si="13"/>
        <v>0</v>
      </c>
    </row>
    <row r="148" spans="1:39" s="107" customFormat="1" ht="15" customHeight="1">
      <c r="A148" s="113" t="s">
        <v>233</v>
      </c>
      <c r="B148" s="114">
        <v>15</v>
      </c>
      <c r="C148" s="115"/>
      <c r="D148" s="417"/>
      <c r="E148" s="417"/>
      <c r="F148" s="417"/>
      <c r="G148" s="417"/>
      <c r="H148" s="417"/>
      <c r="I148" s="417"/>
      <c r="J148" s="417"/>
      <c r="K148" s="417"/>
      <c r="L148" s="417"/>
      <c r="M148" s="418"/>
      <c r="N148" s="419"/>
      <c r="O148" s="115"/>
      <c r="P148" s="417"/>
      <c r="Q148" s="417"/>
      <c r="R148" s="417"/>
      <c r="S148" s="417"/>
      <c r="T148" s="417"/>
      <c r="U148" s="417"/>
      <c r="V148" s="417"/>
      <c r="W148" s="417"/>
      <c r="X148" s="417"/>
      <c r="Y148" s="418"/>
      <c r="Z148" s="437">
        <v>0</v>
      </c>
      <c r="AA148" s="287"/>
      <c r="AB148" s="279"/>
      <c r="AC148" s="279"/>
      <c r="AD148" s="279"/>
      <c r="AE148" s="279"/>
      <c r="AF148" s="279"/>
      <c r="AG148" s="279"/>
      <c r="AH148" s="279"/>
      <c r="AI148" s="279"/>
      <c r="AJ148" s="279"/>
      <c r="AK148" s="279"/>
      <c r="AL148" s="279"/>
      <c r="AM148" s="127">
        <f t="shared" si="13"/>
        <v>0</v>
      </c>
    </row>
    <row r="149" spans="1:39" s="107" customFormat="1" ht="15" customHeight="1">
      <c r="A149" s="108" t="s">
        <v>234</v>
      </c>
      <c r="B149" s="109">
        <v>16</v>
      </c>
      <c r="C149" s="122"/>
      <c r="D149" s="414">
        <f t="shared" ref="D149" si="17">D147-D148</f>
        <v>0</v>
      </c>
      <c r="E149" s="414"/>
      <c r="F149" s="414"/>
      <c r="G149" s="414"/>
      <c r="H149" s="414"/>
      <c r="I149" s="414"/>
      <c r="J149" s="414"/>
      <c r="K149" s="414"/>
      <c r="L149" s="414"/>
      <c r="M149" s="415"/>
      <c r="N149" s="416"/>
      <c r="O149" s="122"/>
      <c r="P149" s="414"/>
      <c r="Q149" s="414"/>
      <c r="R149" s="414"/>
      <c r="S149" s="414"/>
      <c r="T149" s="414"/>
      <c r="U149" s="414"/>
      <c r="V149" s="414"/>
      <c r="W149" s="414"/>
      <c r="X149" s="414"/>
      <c r="Y149" s="415">
        <v>0</v>
      </c>
      <c r="Z149" s="436">
        <v>0</v>
      </c>
      <c r="AA149" s="123">
        <f>AA147-AA148</f>
        <v>0</v>
      </c>
      <c r="AB149" s="124">
        <f t="shared" ref="AB149:AL149" si="18">AB147-AB148</f>
        <v>0</v>
      </c>
      <c r="AC149" s="124">
        <f t="shared" si="18"/>
        <v>0</v>
      </c>
      <c r="AD149" s="124">
        <f t="shared" si="18"/>
        <v>0</v>
      </c>
      <c r="AE149" s="124">
        <f t="shared" si="18"/>
        <v>0</v>
      </c>
      <c r="AF149" s="124">
        <f t="shared" si="18"/>
        <v>0</v>
      </c>
      <c r="AG149" s="124">
        <f t="shared" si="18"/>
        <v>0</v>
      </c>
      <c r="AH149" s="124">
        <f t="shared" si="18"/>
        <v>0</v>
      </c>
      <c r="AI149" s="124">
        <f t="shared" si="18"/>
        <v>0</v>
      </c>
      <c r="AJ149" s="124">
        <f t="shared" si="18"/>
        <v>0</v>
      </c>
      <c r="AK149" s="124">
        <f t="shared" si="18"/>
        <v>0</v>
      </c>
      <c r="AL149" s="124">
        <f t="shared" si="18"/>
        <v>0</v>
      </c>
      <c r="AM149" s="125">
        <f t="shared" si="13"/>
        <v>0</v>
      </c>
    </row>
    <row r="150" spans="1:39" s="107" customFormat="1" ht="15" customHeight="1">
      <c r="A150" s="108" t="s">
        <v>235</v>
      </c>
      <c r="B150" s="116">
        <v>17</v>
      </c>
      <c r="C150" s="110">
        <f t="shared" ref="C150:D150" si="19">+C146+C149</f>
        <v>0</v>
      </c>
      <c r="D150" s="420">
        <f t="shared" si="19"/>
        <v>0</v>
      </c>
      <c r="E150" s="420"/>
      <c r="F150" s="420"/>
      <c r="G150" s="420"/>
      <c r="H150" s="420"/>
      <c r="I150" s="420"/>
      <c r="J150" s="420"/>
      <c r="K150" s="420"/>
      <c r="L150" s="420"/>
      <c r="M150" s="420"/>
      <c r="N150" s="420"/>
      <c r="O150" s="110"/>
      <c r="P150" s="420"/>
      <c r="Q150" s="420"/>
      <c r="R150" s="420"/>
      <c r="S150" s="420"/>
      <c r="T150" s="420"/>
      <c r="U150" s="420"/>
      <c r="V150" s="420"/>
      <c r="W150" s="420"/>
      <c r="X150" s="420">
        <f>+X146+X149</f>
        <v>0</v>
      </c>
      <c r="Y150" s="420">
        <v>-1888731</v>
      </c>
      <c r="Z150" s="438">
        <v>3317</v>
      </c>
      <c r="AA150" s="132">
        <f>AA146+AA149</f>
        <v>0</v>
      </c>
      <c r="AB150" s="133">
        <f t="shared" ref="AB150:AL150" si="20">AB146+AB149</f>
        <v>0</v>
      </c>
      <c r="AC150" s="133">
        <f t="shared" si="20"/>
        <v>0</v>
      </c>
      <c r="AD150" s="133">
        <f t="shared" si="20"/>
        <v>0</v>
      </c>
      <c r="AE150" s="133">
        <f t="shared" si="20"/>
        <v>0</v>
      </c>
      <c r="AF150" s="133">
        <f t="shared" si="20"/>
        <v>0</v>
      </c>
      <c r="AG150" s="133">
        <f t="shared" si="20"/>
        <v>0</v>
      </c>
      <c r="AH150" s="133">
        <f t="shared" si="20"/>
        <v>0</v>
      </c>
      <c r="AI150" s="133">
        <f t="shared" si="20"/>
        <v>0</v>
      </c>
      <c r="AJ150" s="133">
        <f t="shared" si="20"/>
        <v>0</v>
      </c>
      <c r="AK150" s="133">
        <f t="shared" si="20"/>
        <v>0</v>
      </c>
      <c r="AL150" s="133">
        <f t="shared" si="20"/>
        <v>0</v>
      </c>
      <c r="AM150" s="111">
        <f t="shared" si="13"/>
        <v>0</v>
      </c>
    </row>
    <row r="151" spans="1:39" s="107" customFormat="1" ht="15" customHeight="1">
      <c r="A151" s="134" t="s">
        <v>236</v>
      </c>
      <c r="B151" s="114">
        <v>18</v>
      </c>
      <c r="C151" s="135"/>
      <c r="D151" s="417"/>
      <c r="E151" s="417"/>
      <c r="F151" s="417"/>
      <c r="G151" s="417"/>
      <c r="H151" s="417"/>
      <c r="I151" s="417"/>
      <c r="J151" s="417"/>
      <c r="K151" s="417"/>
      <c r="L151" s="417"/>
      <c r="M151" s="418"/>
      <c r="N151" s="419"/>
      <c r="O151" s="135"/>
      <c r="P151" s="417"/>
      <c r="Q151" s="417"/>
      <c r="R151" s="417"/>
      <c r="S151" s="417"/>
      <c r="T151" s="417"/>
      <c r="U151" s="417"/>
      <c r="V151" s="417"/>
      <c r="W151" s="417"/>
      <c r="X151" s="417"/>
      <c r="Y151" s="418"/>
      <c r="Z151" s="437">
        <v>0</v>
      </c>
      <c r="AA151" s="292"/>
      <c r="AB151" s="290"/>
      <c r="AC151" s="290"/>
      <c r="AD151" s="290"/>
      <c r="AE151" s="290"/>
      <c r="AF151" s="290"/>
      <c r="AG151" s="290"/>
      <c r="AH151" s="290"/>
      <c r="AI151" s="290"/>
      <c r="AJ151" s="290"/>
      <c r="AK151" s="290"/>
      <c r="AL151" s="290"/>
      <c r="AM151" s="137">
        <f t="shared" si="13"/>
        <v>0</v>
      </c>
    </row>
    <row r="152" spans="1:39" s="107" customFormat="1" ht="15" customHeight="1">
      <c r="A152" s="113" t="s">
        <v>237</v>
      </c>
      <c r="B152" s="114">
        <v>19</v>
      </c>
      <c r="C152" s="115"/>
      <c r="D152" s="417"/>
      <c r="E152" s="417"/>
      <c r="F152" s="417"/>
      <c r="G152" s="417"/>
      <c r="H152" s="417"/>
      <c r="I152" s="417"/>
      <c r="J152" s="417"/>
      <c r="K152" s="417"/>
      <c r="L152" s="417"/>
      <c r="M152" s="418"/>
      <c r="N152" s="419"/>
      <c r="O152" s="115"/>
      <c r="P152" s="417"/>
      <c r="Q152" s="417"/>
      <c r="R152" s="417"/>
      <c r="S152" s="417"/>
      <c r="T152" s="417"/>
      <c r="U152" s="417"/>
      <c r="V152" s="417"/>
      <c r="W152" s="417"/>
      <c r="X152" s="417"/>
      <c r="Y152" s="418"/>
      <c r="Z152" s="437">
        <v>0</v>
      </c>
      <c r="AA152" s="287"/>
      <c r="AB152" s="279"/>
      <c r="AC152" s="279"/>
      <c r="AD152" s="279"/>
      <c r="AE152" s="279"/>
      <c r="AF152" s="279"/>
      <c r="AG152" s="279"/>
      <c r="AH152" s="279"/>
      <c r="AI152" s="279"/>
      <c r="AJ152" s="279"/>
      <c r="AK152" s="279"/>
      <c r="AL152" s="279"/>
      <c r="AM152" s="127">
        <f t="shared" si="13"/>
        <v>0</v>
      </c>
    </row>
    <row r="153" spans="1:39" s="107" customFormat="1" ht="15" customHeight="1">
      <c r="A153" s="108" t="s">
        <v>238</v>
      </c>
      <c r="B153" s="121">
        <v>20</v>
      </c>
      <c r="C153" s="110">
        <f t="shared" ref="C153:D153" si="21">+C150-C151-C152</f>
        <v>0</v>
      </c>
      <c r="D153" s="420">
        <f t="shared" si="21"/>
        <v>0</v>
      </c>
      <c r="E153" s="420"/>
      <c r="F153" s="420"/>
      <c r="G153" s="420"/>
      <c r="H153" s="420"/>
      <c r="I153" s="420"/>
      <c r="J153" s="420"/>
      <c r="K153" s="420"/>
      <c r="L153" s="420"/>
      <c r="M153" s="420"/>
      <c r="N153" s="420"/>
      <c r="O153" s="110"/>
      <c r="P153" s="420"/>
      <c r="Q153" s="420"/>
      <c r="R153" s="420"/>
      <c r="S153" s="420"/>
      <c r="T153" s="420"/>
      <c r="U153" s="420"/>
      <c r="V153" s="420"/>
      <c r="W153" s="420"/>
      <c r="X153" s="420">
        <f>+X150-X151-X152</f>
        <v>0</v>
      </c>
      <c r="Y153" s="420">
        <v>-1888731</v>
      </c>
      <c r="Z153" s="438">
        <v>3317</v>
      </c>
      <c r="AA153" s="123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5">
        <f>SUM(AA153:AL153)</f>
        <v>0</v>
      </c>
    </row>
    <row r="154" spans="1:39" ht="15" customHeight="1">
      <c r="A154" s="138"/>
      <c r="B154" s="139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1"/>
      <c r="N154" s="141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1"/>
      <c r="Z154" s="142" t="s">
        <v>239</v>
      </c>
      <c r="AA154" s="294">
        <f>AA150-AA151-AA153</f>
        <v>0</v>
      </c>
      <c r="AB154" s="294">
        <f t="shared" ref="AB154:AM154" si="22">AB150-AB151-AB153</f>
        <v>0</v>
      </c>
      <c r="AC154" s="294">
        <f t="shared" si="22"/>
        <v>0</v>
      </c>
      <c r="AD154" s="294">
        <f t="shared" si="22"/>
        <v>0</v>
      </c>
      <c r="AE154" s="294">
        <f t="shared" si="22"/>
        <v>0</v>
      </c>
      <c r="AF154" s="294">
        <f t="shared" si="22"/>
        <v>0</v>
      </c>
      <c r="AG154" s="294">
        <f t="shared" si="22"/>
        <v>0</v>
      </c>
      <c r="AH154" s="294">
        <f t="shared" si="22"/>
        <v>0</v>
      </c>
      <c r="AI154" s="294">
        <f t="shared" si="22"/>
        <v>0</v>
      </c>
      <c r="AJ154" s="294">
        <f t="shared" si="22"/>
        <v>0</v>
      </c>
      <c r="AK154" s="294">
        <f t="shared" si="22"/>
        <v>0</v>
      </c>
      <c r="AL154" s="294">
        <f t="shared" si="22"/>
        <v>0</v>
      </c>
      <c r="AM154" s="294">
        <f t="shared" si="22"/>
        <v>0</v>
      </c>
    </row>
    <row r="155" spans="1:39" ht="15" customHeight="1">
      <c r="A155" s="51" t="s">
        <v>240</v>
      </c>
      <c r="B155" s="144" t="s">
        <v>241</v>
      </c>
      <c r="C155" s="53" t="s">
        <v>66</v>
      </c>
      <c r="D155" s="54" t="s">
        <v>67</v>
      </c>
      <c r="E155" s="54" t="s">
        <v>68</v>
      </c>
      <c r="F155" s="53" t="s">
        <v>69</v>
      </c>
      <c r="G155" s="53" t="s">
        <v>70</v>
      </c>
      <c r="H155" s="53" t="s">
        <v>71</v>
      </c>
      <c r="I155" s="53" t="s">
        <v>72</v>
      </c>
      <c r="J155" s="54" t="s">
        <v>73</v>
      </c>
      <c r="K155" s="54" t="s">
        <v>74</v>
      </c>
      <c r="L155" s="54" t="s">
        <v>75</v>
      </c>
      <c r="M155" s="54" t="s">
        <v>76</v>
      </c>
      <c r="N155" s="53" t="s">
        <v>77</v>
      </c>
      <c r="O155" s="53" t="s">
        <v>78</v>
      </c>
      <c r="P155" s="54" t="s">
        <v>79</v>
      </c>
      <c r="Q155" s="54" t="s">
        <v>80</v>
      </c>
      <c r="R155" s="53" t="s">
        <v>81</v>
      </c>
      <c r="S155" s="53" t="s">
        <v>82</v>
      </c>
      <c r="T155" s="53" t="s">
        <v>83</v>
      </c>
      <c r="U155" s="53" t="s">
        <v>84</v>
      </c>
      <c r="V155" s="54" t="s">
        <v>85</v>
      </c>
      <c r="W155" s="54" t="s">
        <v>86</v>
      </c>
      <c r="X155" s="54" t="s">
        <v>87</v>
      </c>
      <c r="Y155" s="54" t="s">
        <v>88</v>
      </c>
      <c r="Z155" s="53" t="s">
        <v>89</v>
      </c>
      <c r="AA155" s="53" t="s">
        <v>8</v>
      </c>
      <c r="AB155" s="53" t="s">
        <v>9</v>
      </c>
      <c r="AC155" s="53" t="s">
        <v>10</v>
      </c>
      <c r="AD155" s="53" t="s">
        <v>11</v>
      </c>
      <c r="AE155" s="53" t="s">
        <v>12</v>
      </c>
      <c r="AF155" s="53" t="s">
        <v>13</v>
      </c>
      <c r="AG155" s="53" t="s">
        <v>14</v>
      </c>
      <c r="AH155" s="53" t="s">
        <v>15</v>
      </c>
      <c r="AI155" s="53" t="s">
        <v>16</v>
      </c>
      <c r="AJ155" s="53" t="s">
        <v>17</v>
      </c>
      <c r="AK155" s="53" t="s">
        <v>18</v>
      </c>
      <c r="AL155" s="53" t="s">
        <v>19</v>
      </c>
    </row>
    <row r="156" spans="1:39" ht="15" customHeight="1">
      <c r="A156" s="145" t="s">
        <v>242</v>
      </c>
      <c r="B156" s="146">
        <v>1</v>
      </c>
      <c r="C156" s="1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7"/>
      <c r="O156" s="147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</row>
    <row r="157" spans="1:39" ht="15" customHeight="1">
      <c r="A157" s="145" t="s">
        <v>243</v>
      </c>
      <c r="B157" s="146">
        <v>2</v>
      </c>
      <c r="C157" s="147">
        <f t="shared" ref="C157:D157" si="23">C150</f>
        <v>0</v>
      </c>
      <c r="D157" s="147">
        <f t="shared" si="23"/>
        <v>0</v>
      </c>
      <c r="E157" s="148"/>
      <c r="F157" s="148"/>
      <c r="G157" s="148"/>
      <c r="H157" s="148"/>
      <c r="I157" s="148"/>
      <c r="J157" s="148"/>
      <c r="K157" s="148"/>
      <c r="L157" s="148"/>
      <c r="M157" s="148"/>
      <c r="N157" s="147"/>
      <c r="O157" s="147"/>
      <c r="P157" s="147"/>
      <c r="Q157" s="148"/>
      <c r="R157" s="148"/>
      <c r="S157" s="148"/>
      <c r="T157" s="148"/>
      <c r="U157" s="148"/>
      <c r="V157" s="148"/>
      <c r="W157" s="148"/>
      <c r="X157" s="148">
        <f>X150</f>
        <v>0</v>
      </c>
      <c r="Y157" s="148">
        <f>Y150</f>
        <v>-1888731</v>
      </c>
      <c r="Z157" s="422">
        <v>3317</v>
      </c>
      <c r="AA157" s="422">
        <f>SUMIFS([1]!Data_CF[Value],[1]!Data_CF[Index CF],DTRVL!$B157,[1]!Data_CF[TenCongTyID],DTRVL!$B$1,[1]!Data_CF[Thang.Nam],DTRVL!AA$155)</f>
        <v>0</v>
      </c>
      <c r="AB157" s="422">
        <f>SUMIFS([1]!Data_CF[Value],[1]!Data_CF[Index CF],DTRVL!$B157,[1]!Data_CF[TenCongTyID],DTRVL!$B$1,[1]!Data_CF[Thang.Nam],DTRVL!AB$155)</f>
        <v>0</v>
      </c>
      <c r="AC157" s="422">
        <f>SUMIFS([1]!Data_CF[Value],[1]!Data_CF[Index CF],DTRVL!$B157,[1]!Data_CF[TenCongTyID],DTRVL!$B$1,[1]!Data_CF[Thang.Nam],DTRVL!AC$155)</f>
        <v>0</v>
      </c>
      <c r="AD157" s="422">
        <f>SUMIFS([1]!Data_CF[Value],[1]!Data_CF[Index CF],DTRVL!$B157,[1]!Data_CF[TenCongTyID],DTRVL!$B$1,[1]!Data_CF[Thang.Nam],DTRVL!AD$155)</f>
        <v>0</v>
      </c>
      <c r="AE157" s="422">
        <f>SUMIFS([1]!Data_CF[Value],[1]!Data_CF[Index CF],DTRVL!$B157,[1]!Data_CF[TenCongTyID],DTRVL!$B$1,[1]!Data_CF[Thang.Nam],DTRVL!AE$155)</f>
        <v>0</v>
      </c>
      <c r="AF157" s="422">
        <f>SUMIFS([1]!Data_CF[Value],[1]!Data_CF[Index CF],DTRVL!$B157,[1]!Data_CF[TenCongTyID],DTRVL!$B$1,[1]!Data_CF[Thang.Nam],DTRVL!AF$155)</f>
        <v>0</v>
      </c>
      <c r="AG157" s="422">
        <f>SUMIFS([1]!Data_CF[Value],[1]!Data_CF[Index CF],DTRVL!$B157,[1]!Data_CF[TenCongTyID],DTRVL!$B$1,[1]!Data_CF[Thang.Nam],DTRVL!AG$155)</f>
        <v>0</v>
      </c>
      <c r="AH157" s="422">
        <f>SUMIFS([1]!Data_CF[Value],[1]!Data_CF[Index CF],DTRVL!$B157,[1]!Data_CF[TenCongTyID],DTRVL!$B$1,[1]!Data_CF[Thang.Nam],DTRVL!AH$155)</f>
        <v>0</v>
      </c>
      <c r="AI157" s="422">
        <f>SUMIFS([1]!Data_CF[Value],[1]!Data_CF[Index CF],DTRVL!$B157,[1]!Data_CF[TenCongTyID],DTRVL!$B$1,[1]!Data_CF[Thang.Nam],DTRVL!AI$155)</f>
        <v>0</v>
      </c>
      <c r="AJ157" s="422">
        <f>SUMIFS([1]!Data_CF[Value],[1]!Data_CF[Index CF],DTRVL!$B157,[1]!Data_CF[TenCongTyID],DTRVL!$B$1,[1]!Data_CF[Thang.Nam],DTRVL!AJ$155)</f>
        <v>0</v>
      </c>
      <c r="AK157" s="422">
        <f>SUMIFS([1]!Data_CF[Value],[1]!Data_CF[Index CF],DTRVL!$B157,[1]!Data_CF[TenCongTyID],DTRVL!$B$1,[1]!Data_CF[Thang.Nam],DTRVL!AK$155)</f>
        <v>0</v>
      </c>
      <c r="AL157" s="422">
        <f>SUMIFS([1]!Data_CF[Value],[1]!Data_CF[Index CF],DTRVL!$B157,[1]!Data_CF[TenCongTyID],DTRVL!$B$1,[1]!Data_CF[Thang.Nam],DTRVL!AL$155)</f>
        <v>0</v>
      </c>
    </row>
    <row r="158" spans="1:39" ht="15" customHeight="1">
      <c r="A158" s="149" t="s">
        <v>244</v>
      </c>
      <c r="B158" s="150">
        <v>3</v>
      </c>
      <c r="C158" s="151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1"/>
      <c r="O158" s="151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424">
        <v>0</v>
      </c>
      <c r="AA158" s="424">
        <f>SUMIFS([1]!Data_CF[Value],[1]!Data_CF[Index CF],DTRVL!$B158,[1]!Data_CF[TenCongTyID],DTRVL!$B$1,[1]!Data_CF[Thang.Nam],DTRVL!AA$155)</f>
        <v>0</v>
      </c>
      <c r="AB158" s="424">
        <f>SUMIFS([1]!Data_CF[Value],[1]!Data_CF[Index CF],DTRVL!$B158,[1]!Data_CF[TenCongTyID],DTRVL!$B$1,[1]!Data_CF[Thang.Nam],DTRVL!AB$155)</f>
        <v>0</v>
      </c>
      <c r="AC158" s="424">
        <f>SUMIFS([1]!Data_CF[Value],[1]!Data_CF[Index CF],DTRVL!$B158,[1]!Data_CF[TenCongTyID],DTRVL!$B$1,[1]!Data_CF[Thang.Nam],DTRVL!AC$155)</f>
        <v>0</v>
      </c>
      <c r="AD158" s="424">
        <f>SUMIFS([1]!Data_CF[Value],[1]!Data_CF[Index CF],DTRVL!$B158,[1]!Data_CF[TenCongTyID],DTRVL!$B$1,[1]!Data_CF[Thang.Nam],DTRVL!AD$155)</f>
        <v>0</v>
      </c>
      <c r="AE158" s="424">
        <f>SUMIFS([1]!Data_CF[Value],[1]!Data_CF[Index CF],DTRVL!$B158,[1]!Data_CF[TenCongTyID],DTRVL!$B$1,[1]!Data_CF[Thang.Nam],DTRVL!AE$155)</f>
        <v>0</v>
      </c>
      <c r="AF158" s="424">
        <f>SUMIFS([1]!Data_CF[Value],[1]!Data_CF[Index CF],DTRVL!$B158,[1]!Data_CF[TenCongTyID],DTRVL!$B$1,[1]!Data_CF[Thang.Nam],DTRVL!AF$155)</f>
        <v>0</v>
      </c>
      <c r="AG158" s="424">
        <f>SUMIFS([1]!Data_CF[Value],[1]!Data_CF[Index CF],DTRVL!$B158,[1]!Data_CF[TenCongTyID],DTRVL!$B$1,[1]!Data_CF[Thang.Nam],DTRVL!AG$155)</f>
        <v>0</v>
      </c>
      <c r="AH158" s="424">
        <f>SUMIFS([1]!Data_CF[Value],[1]!Data_CF[Index CF],DTRVL!$B158,[1]!Data_CF[TenCongTyID],DTRVL!$B$1,[1]!Data_CF[Thang.Nam],DTRVL!AH$155)</f>
        <v>0</v>
      </c>
      <c r="AI158" s="424">
        <f>SUMIFS([1]!Data_CF[Value],[1]!Data_CF[Index CF],DTRVL!$B158,[1]!Data_CF[TenCongTyID],DTRVL!$B$1,[1]!Data_CF[Thang.Nam],DTRVL!AI$155)</f>
        <v>0</v>
      </c>
      <c r="AJ158" s="424">
        <f>SUMIFS([1]!Data_CF[Value],[1]!Data_CF[Index CF],DTRVL!$B158,[1]!Data_CF[TenCongTyID],DTRVL!$B$1,[1]!Data_CF[Thang.Nam],DTRVL!AJ$155)</f>
        <v>0</v>
      </c>
      <c r="AK158" s="424">
        <f>SUMIFS([1]!Data_CF[Value],[1]!Data_CF[Index CF],DTRVL!$B158,[1]!Data_CF[TenCongTyID],DTRVL!$B$1,[1]!Data_CF[Thang.Nam],DTRVL!AK$155)</f>
        <v>0</v>
      </c>
      <c r="AL158" s="424">
        <f>SUMIFS([1]!Data_CF[Value],[1]!Data_CF[Index CF],DTRVL!$B158,[1]!Data_CF[TenCongTyID],DTRVL!$B$1,[1]!Data_CF[Thang.Nam],DTRVL!AL$155)</f>
        <v>0</v>
      </c>
    </row>
    <row r="159" spans="1:39" ht="15" customHeight="1">
      <c r="A159" s="153" t="s">
        <v>245</v>
      </c>
      <c r="B159" s="154">
        <v>4</v>
      </c>
      <c r="C159" s="64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4"/>
      <c r="O159" s="64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385">
        <v>0</v>
      </c>
      <c r="AA159" s="385">
        <f>SUMIFS([1]!Data_CF[Value],[1]!Data_CF[Index CF],DTRVL!$B159,[1]!Data_CF[TenCongTyID],DTRVL!$B$1,[1]!Data_CF[Thang.Nam],DTRVL!AA$155)</f>
        <v>0</v>
      </c>
      <c r="AB159" s="385">
        <f>SUMIFS([1]!Data_CF[Value],[1]!Data_CF[Index CF],DTRVL!$B159,[1]!Data_CF[TenCongTyID],DTRVL!$B$1,[1]!Data_CF[Thang.Nam],DTRVL!AB$155)</f>
        <v>0</v>
      </c>
      <c r="AC159" s="385">
        <f>SUMIFS([1]!Data_CF[Value],[1]!Data_CF[Index CF],DTRVL!$B159,[1]!Data_CF[TenCongTyID],DTRVL!$B$1,[1]!Data_CF[Thang.Nam],DTRVL!AC$155)</f>
        <v>0</v>
      </c>
      <c r="AD159" s="385">
        <f>SUMIFS([1]!Data_CF[Value],[1]!Data_CF[Index CF],DTRVL!$B159,[1]!Data_CF[TenCongTyID],DTRVL!$B$1,[1]!Data_CF[Thang.Nam],DTRVL!AD$155)</f>
        <v>0</v>
      </c>
      <c r="AE159" s="385">
        <f>SUMIFS([1]!Data_CF[Value],[1]!Data_CF[Index CF],DTRVL!$B159,[1]!Data_CF[TenCongTyID],DTRVL!$B$1,[1]!Data_CF[Thang.Nam],DTRVL!AE$155)</f>
        <v>0</v>
      </c>
      <c r="AF159" s="385">
        <f>SUMIFS([1]!Data_CF[Value],[1]!Data_CF[Index CF],DTRVL!$B159,[1]!Data_CF[TenCongTyID],DTRVL!$B$1,[1]!Data_CF[Thang.Nam],DTRVL!AF$155)</f>
        <v>0</v>
      </c>
      <c r="AG159" s="385">
        <f>SUMIFS([1]!Data_CF[Value],[1]!Data_CF[Index CF],DTRVL!$B159,[1]!Data_CF[TenCongTyID],DTRVL!$B$1,[1]!Data_CF[Thang.Nam],DTRVL!AG$155)</f>
        <v>0</v>
      </c>
      <c r="AH159" s="385">
        <f>SUMIFS([1]!Data_CF[Value],[1]!Data_CF[Index CF],DTRVL!$B159,[1]!Data_CF[TenCongTyID],DTRVL!$B$1,[1]!Data_CF[Thang.Nam],DTRVL!AH$155)</f>
        <v>0</v>
      </c>
      <c r="AI159" s="385">
        <f>SUMIFS([1]!Data_CF[Value],[1]!Data_CF[Index CF],DTRVL!$B159,[1]!Data_CF[TenCongTyID],DTRVL!$B$1,[1]!Data_CF[Thang.Nam],DTRVL!AI$155)</f>
        <v>0</v>
      </c>
      <c r="AJ159" s="385">
        <f>SUMIFS([1]!Data_CF[Value],[1]!Data_CF[Index CF],DTRVL!$B159,[1]!Data_CF[TenCongTyID],DTRVL!$B$1,[1]!Data_CF[Thang.Nam],DTRVL!AJ$155)</f>
        <v>0</v>
      </c>
      <c r="AK159" s="385">
        <f>SUMIFS([1]!Data_CF[Value],[1]!Data_CF[Index CF],DTRVL!$B159,[1]!Data_CF[TenCongTyID],DTRVL!$B$1,[1]!Data_CF[Thang.Nam],DTRVL!AK$155)</f>
        <v>0</v>
      </c>
      <c r="AL159" s="385">
        <f>SUMIFS([1]!Data_CF[Value],[1]!Data_CF[Index CF],DTRVL!$B159,[1]!Data_CF[TenCongTyID],DTRVL!$B$1,[1]!Data_CF[Thang.Nam],DTRVL!AL$155)</f>
        <v>0</v>
      </c>
    </row>
    <row r="160" spans="1:39" ht="15" customHeight="1">
      <c r="A160" s="153" t="s">
        <v>246</v>
      </c>
      <c r="B160" s="154">
        <v>5</v>
      </c>
      <c r="C160" s="64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4"/>
      <c r="O160" s="64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385">
        <v>0</v>
      </c>
      <c r="AA160" s="385">
        <f>SUMIFS([1]!Data_CF[Value],[1]!Data_CF[Index CF],DTRVL!$B160,[1]!Data_CF[TenCongTyID],DTRVL!$B$1,[1]!Data_CF[Thang.Nam],DTRVL!AA$155)</f>
        <v>0</v>
      </c>
      <c r="AB160" s="385">
        <f>SUMIFS([1]!Data_CF[Value],[1]!Data_CF[Index CF],DTRVL!$B160,[1]!Data_CF[TenCongTyID],DTRVL!$B$1,[1]!Data_CF[Thang.Nam],DTRVL!AB$155)</f>
        <v>0</v>
      </c>
      <c r="AC160" s="385">
        <f>SUMIFS([1]!Data_CF[Value],[1]!Data_CF[Index CF],DTRVL!$B160,[1]!Data_CF[TenCongTyID],DTRVL!$B$1,[1]!Data_CF[Thang.Nam],DTRVL!AC$155)</f>
        <v>0</v>
      </c>
      <c r="AD160" s="385">
        <f>SUMIFS([1]!Data_CF[Value],[1]!Data_CF[Index CF],DTRVL!$B160,[1]!Data_CF[TenCongTyID],DTRVL!$B$1,[1]!Data_CF[Thang.Nam],DTRVL!AD$155)</f>
        <v>0</v>
      </c>
      <c r="AE160" s="385">
        <f>SUMIFS([1]!Data_CF[Value],[1]!Data_CF[Index CF],DTRVL!$B160,[1]!Data_CF[TenCongTyID],DTRVL!$B$1,[1]!Data_CF[Thang.Nam],DTRVL!AE$155)</f>
        <v>0</v>
      </c>
      <c r="AF160" s="385">
        <f>SUMIFS([1]!Data_CF[Value],[1]!Data_CF[Index CF],DTRVL!$B160,[1]!Data_CF[TenCongTyID],DTRVL!$B$1,[1]!Data_CF[Thang.Nam],DTRVL!AF$155)</f>
        <v>0</v>
      </c>
      <c r="AG160" s="385">
        <f>SUMIFS([1]!Data_CF[Value],[1]!Data_CF[Index CF],DTRVL!$B160,[1]!Data_CF[TenCongTyID],DTRVL!$B$1,[1]!Data_CF[Thang.Nam],DTRVL!AG$155)</f>
        <v>0</v>
      </c>
      <c r="AH160" s="385">
        <f>SUMIFS([1]!Data_CF[Value],[1]!Data_CF[Index CF],DTRVL!$B160,[1]!Data_CF[TenCongTyID],DTRVL!$B$1,[1]!Data_CF[Thang.Nam],DTRVL!AH$155)</f>
        <v>0</v>
      </c>
      <c r="AI160" s="385">
        <f>SUMIFS([1]!Data_CF[Value],[1]!Data_CF[Index CF],DTRVL!$B160,[1]!Data_CF[TenCongTyID],DTRVL!$B$1,[1]!Data_CF[Thang.Nam],DTRVL!AI$155)</f>
        <v>0</v>
      </c>
      <c r="AJ160" s="385">
        <f>SUMIFS([1]!Data_CF[Value],[1]!Data_CF[Index CF],DTRVL!$B160,[1]!Data_CF[TenCongTyID],DTRVL!$B$1,[1]!Data_CF[Thang.Nam],DTRVL!AJ$155)</f>
        <v>0</v>
      </c>
      <c r="AK160" s="385">
        <f>SUMIFS([1]!Data_CF[Value],[1]!Data_CF[Index CF],DTRVL!$B160,[1]!Data_CF[TenCongTyID],DTRVL!$B$1,[1]!Data_CF[Thang.Nam],DTRVL!AK$155)</f>
        <v>0</v>
      </c>
      <c r="AL160" s="385">
        <f>SUMIFS([1]!Data_CF[Value],[1]!Data_CF[Index CF],DTRVL!$B160,[1]!Data_CF[TenCongTyID],DTRVL!$B$1,[1]!Data_CF[Thang.Nam],DTRVL!AL$155)</f>
        <v>0</v>
      </c>
    </row>
    <row r="161" spans="1:38" ht="14">
      <c r="A161" s="153" t="s">
        <v>247</v>
      </c>
      <c r="B161" s="154">
        <v>6</v>
      </c>
      <c r="C161" s="64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4"/>
      <c r="O161" s="64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385">
        <v>0</v>
      </c>
      <c r="AA161" s="385">
        <f>SUMIFS([1]!Data_CF[Value],[1]!Data_CF[Index CF],DTRVL!$B161,[1]!Data_CF[TenCongTyID],DTRVL!$B$1,[1]!Data_CF[Thang.Nam],DTRVL!AA$155)</f>
        <v>0</v>
      </c>
      <c r="AB161" s="385">
        <f>SUMIFS([1]!Data_CF[Value],[1]!Data_CF[Index CF],DTRVL!$B161,[1]!Data_CF[TenCongTyID],DTRVL!$B$1,[1]!Data_CF[Thang.Nam],DTRVL!AB$155)</f>
        <v>0</v>
      </c>
      <c r="AC161" s="385">
        <f>SUMIFS([1]!Data_CF[Value],[1]!Data_CF[Index CF],DTRVL!$B161,[1]!Data_CF[TenCongTyID],DTRVL!$B$1,[1]!Data_CF[Thang.Nam],DTRVL!AC$155)</f>
        <v>0</v>
      </c>
      <c r="AD161" s="385">
        <f>SUMIFS([1]!Data_CF[Value],[1]!Data_CF[Index CF],DTRVL!$B161,[1]!Data_CF[TenCongTyID],DTRVL!$B$1,[1]!Data_CF[Thang.Nam],DTRVL!AD$155)</f>
        <v>0</v>
      </c>
      <c r="AE161" s="385">
        <f>SUMIFS([1]!Data_CF[Value],[1]!Data_CF[Index CF],DTRVL!$B161,[1]!Data_CF[TenCongTyID],DTRVL!$B$1,[1]!Data_CF[Thang.Nam],DTRVL!AE$155)</f>
        <v>0</v>
      </c>
      <c r="AF161" s="385">
        <f>SUMIFS([1]!Data_CF[Value],[1]!Data_CF[Index CF],DTRVL!$B161,[1]!Data_CF[TenCongTyID],DTRVL!$B$1,[1]!Data_CF[Thang.Nam],DTRVL!AF$155)</f>
        <v>0</v>
      </c>
      <c r="AG161" s="385">
        <f>SUMIFS([1]!Data_CF[Value],[1]!Data_CF[Index CF],DTRVL!$B161,[1]!Data_CF[TenCongTyID],DTRVL!$B$1,[1]!Data_CF[Thang.Nam],DTRVL!AG$155)</f>
        <v>0</v>
      </c>
      <c r="AH161" s="385">
        <f>SUMIFS([1]!Data_CF[Value],[1]!Data_CF[Index CF],DTRVL!$B161,[1]!Data_CF[TenCongTyID],DTRVL!$B$1,[1]!Data_CF[Thang.Nam],DTRVL!AH$155)</f>
        <v>0</v>
      </c>
      <c r="AI161" s="385">
        <f>SUMIFS([1]!Data_CF[Value],[1]!Data_CF[Index CF],DTRVL!$B161,[1]!Data_CF[TenCongTyID],DTRVL!$B$1,[1]!Data_CF[Thang.Nam],DTRVL!AI$155)</f>
        <v>0</v>
      </c>
      <c r="AJ161" s="385">
        <f>SUMIFS([1]!Data_CF[Value],[1]!Data_CF[Index CF],DTRVL!$B161,[1]!Data_CF[TenCongTyID],DTRVL!$B$1,[1]!Data_CF[Thang.Nam],DTRVL!AJ$155)</f>
        <v>0</v>
      </c>
      <c r="AK161" s="385">
        <f>SUMIFS([1]!Data_CF[Value],[1]!Data_CF[Index CF],DTRVL!$B161,[1]!Data_CF[TenCongTyID],DTRVL!$B$1,[1]!Data_CF[Thang.Nam],DTRVL!AK$155)</f>
        <v>0</v>
      </c>
      <c r="AL161" s="385">
        <f>SUMIFS([1]!Data_CF[Value],[1]!Data_CF[Index CF],DTRVL!$B161,[1]!Data_CF[TenCongTyID],DTRVL!$B$1,[1]!Data_CF[Thang.Nam],DTRVL!AL$155)</f>
        <v>0</v>
      </c>
    </row>
    <row r="162" spans="1:38" ht="15" customHeight="1">
      <c r="A162" s="153" t="s">
        <v>248</v>
      </c>
      <c r="B162" s="154">
        <v>7</v>
      </c>
      <c r="C162" s="69">
        <f t="shared" ref="C162:X162" si="24">-C141</f>
        <v>0</v>
      </c>
      <c r="D162" s="69">
        <f t="shared" si="24"/>
        <v>0</v>
      </c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>
        <f t="shared" si="24"/>
        <v>0</v>
      </c>
      <c r="Y162" s="69">
        <v>-1669</v>
      </c>
      <c r="Z162" s="385">
        <v>-3317</v>
      </c>
      <c r="AA162" s="385">
        <f>SUMIFS([1]!Data_CF[Value],[1]!Data_CF[Index CF],DTRVL!$B162,[1]!Data_CF[TenCongTyID],DTRVL!$B$1,[1]!Data_CF[Thang.Nam],DTRVL!AA$155)</f>
        <v>0</v>
      </c>
      <c r="AB162" s="385">
        <f>SUMIFS([1]!Data_CF[Value],[1]!Data_CF[Index CF],DTRVL!$B162,[1]!Data_CF[TenCongTyID],DTRVL!$B$1,[1]!Data_CF[Thang.Nam],DTRVL!AB$155)</f>
        <v>0</v>
      </c>
      <c r="AC162" s="385">
        <f>SUMIFS([1]!Data_CF[Value],[1]!Data_CF[Index CF],DTRVL!$B162,[1]!Data_CF[TenCongTyID],DTRVL!$B$1,[1]!Data_CF[Thang.Nam],DTRVL!AC$155)</f>
        <v>0</v>
      </c>
      <c r="AD162" s="385">
        <f>SUMIFS([1]!Data_CF[Value],[1]!Data_CF[Index CF],DTRVL!$B162,[1]!Data_CF[TenCongTyID],DTRVL!$B$1,[1]!Data_CF[Thang.Nam],DTRVL!AD$155)</f>
        <v>0</v>
      </c>
      <c r="AE162" s="385">
        <f>SUMIFS([1]!Data_CF[Value],[1]!Data_CF[Index CF],DTRVL!$B162,[1]!Data_CF[TenCongTyID],DTRVL!$B$1,[1]!Data_CF[Thang.Nam],DTRVL!AE$155)</f>
        <v>0</v>
      </c>
      <c r="AF162" s="385">
        <f>SUMIFS([1]!Data_CF[Value],[1]!Data_CF[Index CF],DTRVL!$B162,[1]!Data_CF[TenCongTyID],DTRVL!$B$1,[1]!Data_CF[Thang.Nam],DTRVL!AF$155)</f>
        <v>0</v>
      </c>
      <c r="AG162" s="385">
        <f>SUMIFS([1]!Data_CF[Value],[1]!Data_CF[Index CF],DTRVL!$B162,[1]!Data_CF[TenCongTyID],DTRVL!$B$1,[1]!Data_CF[Thang.Nam],DTRVL!AG$155)</f>
        <v>0</v>
      </c>
      <c r="AH162" s="385">
        <f>SUMIFS([1]!Data_CF[Value],[1]!Data_CF[Index CF],DTRVL!$B162,[1]!Data_CF[TenCongTyID],DTRVL!$B$1,[1]!Data_CF[Thang.Nam],DTRVL!AH$155)</f>
        <v>0</v>
      </c>
      <c r="AI162" s="385">
        <f>SUMIFS([1]!Data_CF[Value],[1]!Data_CF[Index CF],DTRVL!$B162,[1]!Data_CF[TenCongTyID],DTRVL!$B$1,[1]!Data_CF[Thang.Nam],DTRVL!AI$155)</f>
        <v>0</v>
      </c>
      <c r="AJ162" s="385">
        <f>SUMIFS([1]!Data_CF[Value],[1]!Data_CF[Index CF],DTRVL!$B162,[1]!Data_CF[TenCongTyID],DTRVL!$B$1,[1]!Data_CF[Thang.Nam],DTRVL!AJ$155)</f>
        <v>0</v>
      </c>
      <c r="AK162" s="385">
        <f>SUMIFS([1]!Data_CF[Value],[1]!Data_CF[Index CF],DTRVL!$B162,[1]!Data_CF[TenCongTyID],DTRVL!$B$1,[1]!Data_CF[Thang.Nam],DTRVL!AK$155)</f>
        <v>0</v>
      </c>
      <c r="AL162" s="385">
        <f>SUMIFS([1]!Data_CF[Value],[1]!Data_CF[Index CF],DTRVL!$B162,[1]!Data_CF[TenCongTyID],DTRVL!$B$1,[1]!Data_CF[Thang.Nam],DTRVL!AL$155)</f>
        <v>0</v>
      </c>
    </row>
    <row r="163" spans="1:38" ht="15" customHeight="1">
      <c r="A163" s="153" t="s">
        <v>249</v>
      </c>
      <c r="B163" s="154">
        <v>8</v>
      </c>
      <c r="C163" s="64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4"/>
      <c r="O163" s="64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385">
        <v>0</v>
      </c>
      <c r="AA163" s="385">
        <f>SUMIFS([1]!Data_CF[Value],[1]!Data_CF[Index CF],DTRVL!$B163,[1]!Data_CF[TenCongTyID],DTRVL!$B$1,[1]!Data_CF[Thang.Nam],DTRVL!AA$155)</f>
        <v>0</v>
      </c>
      <c r="AB163" s="385">
        <f>SUMIFS([1]!Data_CF[Value],[1]!Data_CF[Index CF],DTRVL!$B163,[1]!Data_CF[TenCongTyID],DTRVL!$B$1,[1]!Data_CF[Thang.Nam],DTRVL!AB$155)</f>
        <v>0</v>
      </c>
      <c r="AC163" s="385">
        <f>SUMIFS([1]!Data_CF[Value],[1]!Data_CF[Index CF],DTRVL!$B163,[1]!Data_CF[TenCongTyID],DTRVL!$B$1,[1]!Data_CF[Thang.Nam],DTRVL!AC$155)</f>
        <v>0</v>
      </c>
      <c r="AD163" s="385">
        <f>SUMIFS([1]!Data_CF[Value],[1]!Data_CF[Index CF],DTRVL!$B163,[1]!Data_CF[TenCongTyID],DTRVL!$B$1,[1]!Data_CF[Thang.Nam],DTRVL!AD$155)</f>
        <v>0</v>
      </c>
      <c r="AE163" s="385">
        <f>SUMIFS([1]!Data_CF[Value],[1]!Data_CF[Index CF],DTRVL!$B163,[1]!Data_CF[TenCongTyID],DTRVL!$B$1,[1]!Data_CF[Thang.Nam],DTRVL!AE$155)</f>
        <v>0</v>
      </c>
      <c r="AF163" s="385">
        <f>SUMIFS([1]!Data_CF[Value],[1]!Data_CF[Index CF],DTRVL!$B163,[1]!Data_CF[TenCongTyID],DTRVL!$B$1,[1]!Data_CF[Thang.Nam],DTRVL!AF$155)</f>
        <v>0</v>
      </c>
      <c r="AG163" s="385">
        <f>SUMIFS([1]!Data_CF[Value],[1]!Data_CF[Index CF],DTRVL!$B163,[1]!Data_CF[TenCongTyID],DTRVL!$B$1,[1]!Data_CF[Thang.Nam],DTRVL!AG$155)</f>
        <v>0</v>
      </c>
      <c r="AH163" s="385">
        <f>SUMIFS([1]!Data_CF[Value],[1]!Data_CF[Index CF],DTRVL!$B163,[1]!Data_CF[TenCongTyID],DTRVL!$B$1,[1]!Data_CF[Thang.Nam],DTRVL!AH$155)</f>
        <v>0</v>
      </c>
      <c r="AI163" s="385">
        <f>SUMIFS([1]!Data_CF[Value],[1]!Data_CF[Index CF],DTRVL!$B163,[1]!Data_CF[TenCongTyID],DTRVL!$B$1,[1]!Data_CF[Thang.Nam],DTRVL!AI$155)</f>
        <v>0</v>
      </c>
      <c r="AJ163" s="385">
        <f>SUMIFS([1]!Data_CF[Value],[1]!Data_CF[Index CF],DTRVL!$B163,[1]!Data_CF[TenCongTyID],DTRVL!$B$1,[1]!Data_CF[Thang.Nam],DTRVL!AJ$155)</f>
        <v>0</v>
      </c>
      <c r="AK163" s="385">
        <f>SUMIFS([1]!Data_CF[Value],[1]!Data_CF[Index CF],DTRVL!$B163,[1]!Data_CF[TenCongTyID],DTRVL!$B$1,[1]!Data_CF[Thang.Nam],DTRVL!AK$155)</f>
        <v>0</v>
      </c>
      <c r="AL163" s="385">
        <f>SUMIFS([1]!Data_CF[Value],[1]!Data_CF[Index CF],DTRVL!$B163,[1]!Data_CF[TenCongTyID],DTRVL!$B$1,[1]!Data_CF[Thang.Nam],DTRVL!AL$155)</f>
        <v>0</v>
      </c>
    </row>
    <row r="164" spans="1:38" ht="15" customHeight="1">
      <c r="A164" s="153" t="s">
        <v>250</v>
      </c>
      <c r="B164" s="154">
        <v>9</v>
      </c>
      <c r="C164" s="64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4"/>
      <c r="O164" s="64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385">
        <v>0</v>
      </c>
      <c r="AA164" s="385">
        <f>SUMIFS([1]!Data_CF[Value],[1]!Data_CF[Index CF],DTRVL!$B164,[1]!Data_CF[TenCongTyID],DTRVL!$B$1,[1]!Data_CF[Thang.Nam],DTRVL!AA$155)</f>
        <v>0</v>
      </c>
      <c r="AB164" s="385">
        <f>SUMIFS([1]!Data_CF[Value],[1]!Data_CF[Index CF],DTRVL!$B164,[1]!Data_CF[TenCongTyID],DTRVL!$B$1,[1]!Data_CF[Thang.Nam],DTRVL!AB$155)</f>
        <v>0</v>
      </c>
      <c r="AC164" s="385">
        <f>SUMIFS([1]!Data_CF[Value],[1]!Data_CF[Index CF],DTRVL!$B164,[1]!Data_CF[TenCongTyID],DTRVL!$B$1,[1]!Data_CF[Thang.Nam],DTRVL!AC$155)</f>
        <v>0</v>
      </c>
      <c r="AD164" s="385">
        <f>SUMIFS([1]!Data_CF[Value],[1]!Data_CF[Index CF],DTRVL!$B164,[1]!Data_CF[TenCongTyID],DTRVL!$B$1,[1]!Data_CF[Thang.Nam],DTRVL!AD$155)</f>
        <v>0</v>
      </c>
      <c r="AE164" s="385">
        <f>SUMIFS([1]!Data_CF[Value],[1]!Data_CF[Index CF],DTRVL!$B164,[1]!Data_CF[TenCongTyID],DTRVL!$B$1,[1]!Data_CF[Thang.Nam],DTRVL!AE$155)</f>
        <v>0</v>
      </c>
      <c r="AF164" s="385">
        <f>SUMIFS([1]!Data_CF[Value],[1]!Data_CF[Index CF],DTRVL!$B164,[1]!Data_CF[TenCongTyID],DTRVL!$B$1,[1]!Data_CF[Thang.Nam],DTRVL!AF$155)</f>
        <v>0</v>
      </c>
      <c r="AG164" s="385">
        <f>SUMIFS([1]!Data_CF[Value],[1]!Data_CF[Index CF],DTRVL!$B164,[1]!Data_CF[TenCongTyID],DTRVL!$B$1,[1]!Data_CF[Thang.Nam],DTRVL!AG$155)</f>
        <v>0</v>
      </c>
      <c r="AH164" s="385">
        <f>SUMIFS([1]!Data_CF[Value],[1]!Data_CF[Index CF],DTRVL!$B164,[1]!Data_CF[TenCongTyID],DTRVL!$B$1,[1]!Data_CF[Thang.Nam],DTRVL!AH$155)</f>
        <v>0</v>
      </c>
      <c r="AI164" s="385">
        <f>SUMIFS([1]!Data_CF[Value],[1]!Data_CF[Index CF],DTRVL!$B164,[1]!Data_CF[TenCongTyID],DTRVL!$B$1,[1]!Data_CF[Thang.Nam],DTRVL!AI$155)</f>
        <v>0</v>
      </c>
      <c r="AJ164" s="385">
        <f>SUMIFS([1]!Data_CF[Value],[1]!Data_CF[Index CF],DTRVL!$B164,[1]!Data_CF[TenCongTyID],DTRVL!$B$1,[1]!Data_CF[Thang.Nam],DTRVL!AJ$155)</f>
        <v>0</v>
      </c>
      <c r="AK164" s="385">
        <f>SUMIFS([1]!Data_CF[Value],[1]!Data_CF[Index CF],DTRVL!$B164,[1]!Data_CF[TenCongTyID],DTRVL!$B$1,[1]!Data_CF[Thang.Nam],DTRVL!AK$155)</f>
        <v>0</v>
      </c>
      <c r="AL164" s="385">
        <f>SUMIFS([1]!Data_CF[Value],[1]!Data_CF[Index CF],DTRVL!$B164,[1]!Data_CF[TenCongTyID],DTRVL!$B$1,[1]!Data_CF[Thang.Nam],DTRVL!AL$155)</f>
        <v>0</v>
      </c>
    </row>
    <row r="165" spans="1:38" ht="14">
      <c r="A165" s="156" t="s">
        <v>251</v>
      </c>
      <c r="B165" s="157">
        <v>10</v>
      </c>
      <c r="C165" s="173">
        <f t="shared" ref="C165:D165" si="25">+SUM(C157:C164)</f>
        <v>0</v>
      </c>
      <c r="D165" s="173">
        <f t="shared" si="25"/>
        <v>0</v>
      </c>
      <c r="E165" s="173"/>
      <c r="F165" s="173"/>
      <c r="G165" s="173"/>
      <c r="H165" s="173"/>
      <c r="I165" s="173"/>
      <c r="J165" s="173"/>
      <c r="K165" s="173"/>
      <c r="L165" s="173"/>
      <c r="M165" s="173"/>
      <c r="N165" s="61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>
        <f>+SUM(X157:X164)</f>
        <v>0</v>
      </c>
      <c r="Y165" s="173">
        <f t="shared" ref="Y165" si="26">+SUM(Y157:Y164)</f>
        <v>-1890400</v>
      </c>
      <c r="Z165" s="383">
        <v>0</v>
      </c>
      <c r="AA165" s="383">
        <f>SUMIFS([1]!Data_CF[Value],[1]!Data_CF[Index CF],DTRVL!$B165,[1]!Data_CF[TenCongTyID],DTRVL!$B$1,[1]!Data_CF[Thang.Nam],DTRVL!AA$155)</f>
        <v>0</v>
      </c>
      <c r="AB165" s="383">
        <f>SUMIFS([1]!Data_CF[Value],[1]!Data_CF[Index CF],DTRVL!$B165,[1]!Data_CF[TenCongTyID],DTRVL!$B$1,[1]!Data_CF[Thang.Nam],DTRVL!AB$155)</f>
        <v>0</v>
      </c>
      <c r="AC165" s="383">
        <f>SUMIFS([1]!Data_CF[Value],[1]!Data_CF[Index CF],DTRVL!$B165,[1]!Data_CF[TenCongTyID],DTRVL!$B$1,[1]!Data_CF[Thang.Nam],DTRVL!AC$155)</f>
        <v>0</v>
      </c>
      <c r="AD165" s="383">
        <f>SUMIFS([1]!Data_CF[Value],[1]!Data_CF[Index CF],DTRVL!$B165,[1]!Data_CF[TenCongTyID],DTRVL!$B$1,[1]!Data_CF[Thang.Nam],DTRVL!AD$155)</f>
        <v>0</v>
      </c>
      <c r="AE165" s="383">
        <f>SUMIFS([1]!Data_CF[Value],[1]!Data_CF[Index CF],DTRVL!$B165,[1]!Data_CF[TenCongTyID],DTRVL!$B$1,[1]!Data_CF[Thang.Nam],DTRVL!AE$155)</f>
        <v>0</v>
      </c>
      <c r="AF165" s="383">
        <f>SUMIFS([1]!Data_CF[Value],[1]!Data_CF[Index CF],DTRVL!$B165,[1]!Data_CF[TenCongTyID],DTRVL!$B$1,[1]!Data_CF[Thang.Nam],DTRVL!AF$155)</f>
        <v>0</v>
      </c>
      <c r="AG165" s="383">
        <f>SUMIFS([1]!Data_CF[Value],[1]!Data_CF[Index CF],DTRVL!$B165,[1]!Data_CF[TenCongTyID],DTRVL!$B$1,[1]!Data_CF[Thang.Nam],DTRVL!AG$155)</f>
        <v>0</v>
      </c>
      <c r="AH165" s="383">
        <f>SUMIFS([1]!Data_CF[Value],[1]!Data_CF[Index CF],DTRVL!$B165,[1]!Data_CF[TenCongTyID],DTRVL!$B$1,[1]!Data_CF[Thang.Nam],DTRVL!AH$155)</f>
        <v>0</v>
      </c>
      <c r="AI165" s="383">
        <f>SUMIFS([1]!Data_CF[Value],[1]!Data_CF[Index CF],DTRVL!$B165,[1]!Data_CF[TenCongTyID],DTRVL!$B$1,[1]!Data_CF[Thang.Nam],DTRVL!AI$155)</f>
        <v>0</v>
      </c>
      <c r="AJ165" s="383">
        <f>SUMIFS([1]!Data_CF[Value],[1]!Data_CF[Index CF],DTRVL!$B165,[1]!Data_CF[TenCongTyID],DTRVL!$B$1,[1]!Data_CF[Thang.Nam],DTRVL!AJ$155)</f>
        <v>0</v>
      </c>
      <c r="AK165" s="383">
        <f>SUMIFS([1]!Data_CF[Value],[1]!Data_CF[Index CF],DTRVL!$B165,[1]!Data_CF[TenCongTyID],DTRVL!$B$1,[1]!Data_CF[Thang.Nam],DTRVL!AK$155)</f>
        <v>0</v>
      </c>
      <c r="AL165" s="383">
        <f>SUMIFS([1]!Data_CF[Value],[1]!Data_CF[Index CF],DTRVL!$B165,[1]!Data_CF[TenCongTyID],DTRVL!$B$1,[1]!Data_CF[Thang.Nam],DTRVL!AL$155)</f>
        <v>0</v>
      </c>
    </row>
    <row r="166" spans="1:38" ht="15" customHeight="1">
      <c r="A166" s="158" t="s">
        <v>252</v>
      </c>
      <c r="B166" s="159">
        <v>11</v>
      </c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>
        <v>-7028599</v>
      </c>
      <c r="Z166" s="385">
        <v>0</v>
      </c>
      <c r="AA166" s="385">
        <f>SUMIFS([1]!Data_CF[Value],[1]!Data_CF[Index CF],DTRVL!$B166,[1]!Data_CF[TenCongTyID],DTRVL!$B$1,[1]!Data_CF[Thang.Nam],DTRVL!AA$155)</f>
        <v>0</v>
      </c>
      <c r="AB166" s="385">
        <f>SUMIFS([1]!Data_CF[Value],[1]!Data_CF[Index CF],DTRVL!$B166,[1]!Data_CF[TenCongTyID],DTRVL!$B$1,[1]!Data_CF[Thang.Nam],DTRVL!AB$155)</f>
        <v>0</v>
      </c>
      <c r="AC166" s="385">
        <f>SUMIFS([1]!Data_CF[Value],[1]!Data_CF[Index CF],DTRVL!$B166,[1]!Data_CF[TenCongTyID],DTRVL!$B$1,[1]!Data_CF[Thang.Nam],DTRVL!AC$155)</f>
        <v>0</v>
      </c>
      <c r="AD166" s="385">
        <f>SUMIFS([1]!Data_CF[Value],[1]!Data_CF[Index CF],DTRVL!$B166,[1]!Data_CF[TenCongTyID],DTRVL!$B$1,[1]!Data_CF[Thang.Nam],DTRVL!AD$155)</f>
        <v>0</v>
      </c>
      <c r="AE166" s="385">
        <f>SUMIFS([1]!Data_CF[Value],[1]!Data_CF[Index CF],DTRVL!$B166,[1]!Data_CF[TenCongTyID],DTRVL!$B$1,[1]!Data_CF[Thang.Nam],DTRVL!AE$155)</f>
        <v>0</v>
      </c>
      <c r="AF166" s="385">
        <f>SUMIFS([1]!Data_CF[Value],[1]!Data_CF[Index CF],DTRVL!$B166,[1]!Data_CF[TenCongTyID],DTRVL!$B$1,[1]!Data_CF[Thang.Nam],DTRVL!AF$155)</f>
        <v>0</v>
      </c>
      <c r="AG166" s="385">
        <f>SUMIFS([1]!Data_CF[Value],[1]!Data_CF[Index CF],DTRVL!$B166,[1]!Data_CF[TenCongTyID],DTRVL!$B$1,[1]!Data_CF[Thang.Nam],DTRVL!AG$155)</f>
        <v>0</v>
      </c>
      <c r="AH166" s="385">
        <f>SUMIFS([1]!Data_CF[Value],[1]!Data_CF[Index CF],DTRVL!$B166,[1]!Data_CF[TenCongTyID],DTRVL!$B$1,[1]!Data_CF[Thang.Nam],DTRVL!AH$155)</f>
        <v>0</v>
      </c>
      <c r="AI166" s="385">
        <f>SUMIFS([1]!Data_CF[Value],[1]!Data_CF[Index CF],DTRVL!$B166,[1]!Data_CF[TenCongTyID],DTRVL!$B$1,[1]!Data_CF[Thang.Nam],DTRVL!AI$155)</f>
        <v>0</v>
      </c>
      <c r="AJ166" s="385">
        <f>SUMIFS([1]!Data_CF[Value],[1]!Data_CF[Index CF],DTRVL!$B166,[1]!Data_CF[TenCongTyID],DTRVL!$B$1,[1]!Data_CF[Thang.Nam],DTRVL!AJ$155)</f>
        <v>0</v>
      </c>
      <c r="AK166" s="385">
        <f>SUMIFS([1]!Data_CF[Value],[1]!Data_CF[Index CF],DTRVL!$B166,[1]!Data_CF[TenCongTyID],DTRVL!$B$1,[1]!Data_CF[Thang.Nam],DTRVL!AK$155)</f>
        <v>0</v>
      </c>
      <c r="AL166" s="385">
        <f>SUMIFS([1]!Data_CF[Value],[1]!Data_CF[Index CF],DTRVL!$B166,[1]!Data_CF[TenCongTyID],DTRVL!$B$1,[1]!Data_CF[Thang.Nam],DTRVL!AL$155)</f>
        <v>0</v>
      </c>
    </row>
    <row r="167" spans="1:38" ht="15" customHeight="1">
      <c r="A167" s="160" t="s">
        <v>253</v>
      </c>
      <c r="B167" s="161">
        <v>12</v>
      </c>
      <c r="C167" s="69"/>
      <c r="D167" s="69">
        <v>0</v>
      </c>
      <c r="E167" s="69"/>
      <c r="F167" s="69"/>
      <c r="G167" s="69"/>
      <c r="H167" s="69"/>
      <c r="I167" s="69"/>
      <c r="J167" s="69"/>
      <c r="K167" s="69"/>
      <c r="L167" s="69"/>
      <c r="M167" s="69"/>
      <c r="N167" s="64"/>
      <c r="O167" s="69"/>
      <c r="P167" s="69"/>
      <c r="Q167" s="69"/>
      <c r="R167" s="69"/>
      <c r="S167" s="69"/>
      <c r="T167" s="69"/>
      <c r="U167" s="69"/>
      <c r="V167" s="69"/>
      <c r="W167" s="69"/>
      <c r="X167" s="69">
        <v>0</v>
      </c>
      <c r="Y167" s="69"/>
      <c r="Z167" s="385">
        <v>0</v>
      </c>
      <c r="AA167" s="385">
        <f>SUMIFS([1]!Data_CF[Value],[1]!Data_CF[Index CF],DTRVL!$B167,[1]!Data_CF[TenCongTyID],DTRVL!$B$1,[1]!Data_CF[Thang.Nam],DTRVL!AA$155)</f>
        <v>0</v>
      </c>
      <c r="AB167" s="385">
        <f>SUMIFS([1]!Data_CF[Value],[1]!Data_CF[Index CF],DTRVL!$B167,[1]!Data_CF[TenCongTyID],DTRVL!$B$1,[1]!Data_CF[Thang.Nam],DTRVL!AB$155)</f>
        <v>0</v>
      </c>
      <c r="AC167" s="385">
        <f>SUMIFS([1]!Data_CF[Value],[1]!Data_CF[Index CF],DTRVL!$B167,[1]!Data_CF[TenCongTyID],DTRVL!$B$1,[1]!Data_CF[Thang.Nam],DTRVL!AC$155)</f>
        <v>0</v>
      </c>
      <c r="AD167" s="385">
        <f>SUMIFS([1]!Data_CF[Value],[1]!Data_CF[Index CF],DTRVL!$B167,[1]!Data_CF[TenCongTyID],DTRVL!$B$1,[1]!Data_CF[Thang.Nam],DTRVL!AD$155)</f>
        <v>0</v>
      </c>
      <c r="AE167" s="385">
        <f>SUMIFS([1]!Data_CF[Value],[1]!Data_CF[Index CF],DTRVL!$B167,[1]!Data_CF[TenCongTyID],DTRVL!$B$1,[1]!Data_CF[Thang.Nam],DTRVL!AE$155)</f>
        <v>0</v>
      </c>
      <c r="AF167" s="385">
        <f>SUMIFS([1]!Data_CF[Value],[1]!Data_CF[Index CF],DTRVL!$B167,[1]!Data_CF[TenCongTyID],DTRVL!$B$1,[1]!Data_CF[Thang.Nam],DTRVL!AF$155)</f>
        <v>0</v>
      </c>
      <c r="AG167" s="385">
        <f>SUMIFS([1]!Data_CF[Value],[1]!Data_CF[Index CF],DTRVL!$B167,[1]!Data_CF[TenCongTyID],DTRVL!$B$1,[1]!Data_CF[Thang.Nam],DTRVL!AG$155)</f>
        <v>0</v>
      </c>
      <c r="AH167" s="385">
        <f>SUMIFS([1]!Data_CF[Value],[1]!Data_CF[Index CF],DTRVL!$B167,[1]!Data_CF[TenCongTyID],DTRVL!$B$1,[1]!Data_CF[Thang.Nam],DTRVL!AH$155)</f>
        <v>0</v>
      </c>
      <c r="AI167" s="385">
        <f>SUMIFS([1]!Data_CF[Value],[1]!Data_CF[Index CF],DTRVL!$B167,[1]!Data_CF[TenCongTyID],DTRVL!$B$1,[1]!Data_CF[Thang.Nam],DTRVL!AI$155)</f>
        <v>0</v>
      </c>
      <c r="AJ167" s="385">
        <f>SUMIFS([1]!Data_CF[Value],[1]!Data_CF[Index CF],DTRVL!$B167,[1]!Data_CF[TenCongTyID],DTRVL!$B$1,[1]!Data_CF[Thang.Nam],DTRVL!AJ$155)</f>
        <v>0</v>
      </c>
      <c r="AK167" s="385">
        <f>SUMIFS([1]!Data_CF[Value],[1]!Data_CF[Index CF],DTRVL!$B167,[1]!Data_CF[TenCongTyID],DTRVL!$B$1,[1]!Data_CF[Thang.Nam],DTRVL!AK$155)</f>
        <v>0</v>
      </c>
      <c r="AL167" s="385">
        <f>SUMIFS([1]!Data_CF[Value],[1]!Data_CF[Index CF],DTRVL!$B167,[1]!Data_CF[TenCongTyID],DTRVL!$B$1,[1]!Data_CF[Thang.Nam],DTRVL!AL$155)</f>
        <v>0</v>
      </c>
    </row>
    <row r="168" spans="1:38" ht="14">
      <c r="A168" s="158" t="s">
        <v>254</v>
      </c>
      <c r="B168" s="159">
        <v>13</v>
      </c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385">
        <v>0</v>
      </c>
      <c r="AA168" s="385">
        <f>SUMIFS([1]!Data_CF[Value],[1]!Data_CF[Index CF],DTRVL!$B168,[1]!Data_CF[TenCongTyID],DTRVL!$B$1,[1]!Data_CF[Thang.Nam],DTRVL!AA$155)</f>
        <v>0</v>
      </c>
      <c r="AB168" s="385">
        <f>SUMIFS([1]!Data_CF[Value],[1]!Data_CF[Index CF],DTRVL!$B168,[1]!Data_CF[TenCongTyID],DTRVL!$B$1,[1]!Data_CF[Thang.Nam],DTRVL!AB$155)</f>
        <v>0</v>
      </c>
      <c r="AC168" s="385">
        <f>SUMIFS([1]!Data_CF[Value],[1]!Data_CF[Index CF],DTRVL!$B168,[1]!Data_CF[TenCongTyID],DTRVL!$B$1,[1]!Data_CF[Thang.Nam],DTRVL!AC$155)</f>
        <v>0</v>
      </c>
      <c r="AD168" s="385">
        <f>SUMIFS([1]!Data_CF[Value],[1]!Data_CF[Index CF],DTRVL!$B168,[1]!Data_CF[TenCongTyID],DTRVL!$B$1,[1]!Data_CF[Thang.Nam],DTRVL!AD$155)</f>
        <v>0</v>
      </c>
      <c r="AE168" s="385">
        <f>SUMIFS([1]!Data_CF[Value],[1]!Data_CF[Index CF],DTRVL!$B168,[1]!Data_CF[TenCongTyID],DTRVL!$B$1,[1]!Data_CF[Thang.Nam],DTRVL!AE$155)</f>
        <v>0</v>
      </c>
      <c r="AF168" s="385">
        <f>SUMIFS([1]!Data_CF[Value],[1]!Data_CF[Index CF],DTRVL!$B168,[1]!Data_CF[TenCongTyID],DTRVL!$B$1,[1]!Data_CF[Thang.Nam],DTRVL!AF$155)</f>
        <v>0</v>
      </c>
      <c r="AG168" s="385">
        <f>SUMIFS([1]!Data_CF[Value],[1]!Data_CF[Index CF],DTRVL!$B168,[1]!Data_CF[TenCongTyID],DTRVL!$B$1,[1]!Data_CF[Thang.Nam],DTRVL!AG$155)</f>
        <v>0</v>
      </c>
      <c r="AH168" s="385">
        <f>SUMIFS([1]!Data_CF[Value],[1]!Data_CF[Index CF],DTRVL!$B168,[1]!Data_CF[TenCongTyID],DTRVL!$B$1,[1]!Data_CF[Thang.Nam],DTRVL!AH$155)</f>
        <v>0</v>
      </c>
      <c r="AI168" s="385">
        <f>SUMIFS([1]!Data_CF[Value],[1]!Data_CF[Index CF],DTRVL!$B168,[1]!Data_CF[TenCongTyID],DTRVL!$B$1,[1]!Data_CF[Thang.Nam],DTRVL!AI$155)</f>
        <v>0</v>
      </c>
      <c r="AJ168" s="385">
        <f>SUMIFS([1]!Data_CF[Value],[1]!Data_CF[Index CF],DTRVL!$B168,[1]!Data_CF[TenCongTyID],DTRVL!$B$1,[1]!Data_CF[Thang.Nam],DTRVL!AJ$155)</f>
        <v>0</v>
      </c>
      <c r="AK168" s="385">
        <f>SUMIFS([1]!Data_CF[Value],[1]!Data_CF[Index CF],DTRVL!$B168,[1]!Data_CF[TenCongTyID],DTRVL!$B$1,[1]!Data_CF[Thang.Nam],DTRVL!AK$155)</f>
        <v>0</v>
      </c>
      <c r="AL168" s="385">
        <f>SUMIFS([1]!Data_CF[Value],[1]!Data_CF[Index CF],DTRVL!$B168,[1]!Data_CF[TenCongTyID],DTRVL!$B$1,[1]!Data_CF[Thang.Nam],DTRVL!AL$155)</f>
        <v>0</v>
      </c>
    </row>
    <row r="169" spans="1:38" ht="15" customHeight="1">
      <c r="A169" s="158" t="s">
        <v>255</v>
      </c>
      <c r="B169" s="159">
        <v>14</v>
      </c>
      <c r="C169" s="69">
        <v>0</v>
      </c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>
        <v>0</v>
      </c>
      <c r="Y169" s="69"/>
      <c r="Z169" s="385">
        <v>0</v>
      </c>
      <c r="AA169" s="385">
        <f>SUMIFS([1]!Data_CF[Value],[1]!Data_CF[Index CF],DTRVL!$B169,[1]!Data_CF[TenCongTyID],DTRVL!$B$1,[1]!Data_CF[Thang.Nam],DTRVL!AA$155)</f>
        <v>0</v>
      </c>
      <c r="AB169" s="385">
        <f>SUMIFS([1]!Data_CF[Value],[1]!Data_CF[Index CF],DTRVL!$B169,[1]!Data_CF[TenCongTyID],DTRVL!$B$1,[1]!Data_CF[Thang.Nam],DTRVL!AB$155)</f>
        <v>0</v>
      </c>
      <c r="AC169" s="385">
        <f>SUMIFS([1]!Data_CF[Value],[1]!Data_CF[Index CF],DTRVL!$B169,[1]!Data_CF[TenCongTyID],DTRVL!$B$1,[1]!Data_CF[Thang.Nam],DTRVL!AC$155)</f>
        <v>0</v>
      </c>
      <c r="AD169" s="385">
        <f>SUMIFS([1]!Data_CF[Value],[1]!Data_CF[Index CF],DTRVL!$B169,[1]!Data_CF[TenCongTyID],DTRVL!$B$1,[1]!Data_CF[Thang.Nam],DTRVL!AD$155)</f>
        <v>0</v>
      </c>
      <c r="AE169" s="385">
        <f>SUMIFS([1]!Data_CF[Value],[1]!Data_CF[Index CF],DTRVL!$B169,[1]!Data_CF[TenCongTyID],DTRVL!$B$1,[1]!Data_CF[Thang.Nam],DTRVL!AE$155)</f>
        <v>0</v>
      </c>
      <c r="AF169" s="385">
        <f>SUMIFS([1]!Data_CF[Value],[1]!Data_CF[Index CF],DTRVL!$B169,[1]!Data_CF[TenCongTyID],DTRVL!$B$1,[1]!Data_CF[Thang.Nam],DTRVL!AF$155)</f>
        <v>0</v>
      </c>
      <c r="AG169" s="385">
        <f>SUMIFS([1]!Data_CF[Value],[1]!Data_CF[Index CF],DTRVL!$B169,[1]!Data_CF[TenCongTyID],DTRVL!$B$1,[1]!Data_CF[Thang.Nam],DTRVL!AG$155)</f>
        <v>0</v>
      </c>
      <c r="AH169" s="385">
        <f>SUMIFS([1]!Data_CF[Value],[1]!Data_CF[Index CF],DTRVL!$B169,[1]!Data_CF[TenCongTyID],DTRVL!$B$1,[1]!Data_CF[Thang.Nam],DTRVL!AH$155)</f>
        <v>0</v>
      </c>
      <c r="AI169" s="385">
        <f>SUMIFS([1]!Data_CF[Value],[1]!Data_CF[Index CF],DTRVL!$B169,[1]!Data_CF[TenCongTyID],DTRVL!$B$1,[1]!Data_CF[Thang.Nam],DTRVL!AI$155)</f>
        <v>0</v>
      </c>
      <c r="AJ169" s="385">
        <f>SUMIFS([1]!Data_CF[Value],[1]!Data_CF[Index CF],DTRVL!$B169,[1]!Data_CF[TenCongTyID],DTRVL!$B$1,[1]!Data_CF[Thang.Nam],DTRVL!AJ$155)</f>
        <v>0</v>
      </c>
      <c r="AK169" s="385">
        <f>SUMIFS([1]!Data_CF[Value],[1]!Data_CF[Index CF],DTRVL!$B169,[1]!Data_CF[TenCongTyID],DTRVL!$B$1,[1]!Data_CF[Thang.Nam],DTRVL!AK$155)</f>
        <v>0</v>
      </c>
      <c r="AL169" s="385">
        <f>SUMIFS([1]!Data_CF[Value],[1]!Data_CF[Index CF],DTRVL!$B169,[1]!Data_CF[TenCongTyID],DTRVL!$B$1,[1]!Data_CF[Thang.Nam],DTRVL!AL$155)</f>
        <v>0</v>
      </c>
    </row>
    <row r="170" spans="1:38" ht="15" customHeight="1">
      <c r="A170" s="158" t="s">
        <v>256</v>
      </c>
      <c r="B170" s="159">
        <v>15</v>
      </c>
      <c r="C170" s="64">
        <v>0</v>
      </c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4"/>
      <c r="O170" s="64"/>
      <c r="P170" s="69"/>
      <c r="Q170" s="69"/>
      <c r="R170" s="69"/>
      <c r="S170" s="69"/>
      <c r="T170" s="69"/>
      <c r="U170" s="69"/>
      <c r="V170" s="69"/>
      <c r="W170" s="69"/>
      <c r="X170" s="69">
        <v>0</v>
      </c>
      <c r="Y170" s="69"/>
      <c r="Z170" s="385">
        <v>0</v>
      </c>
      <c r="AA170" s="385">
        <f>SUMIFS([1]!Data_CF[Value],[1]!Data_CF[Index CF],DTRVL!$B170,[1]!Data_CF[TenCongTyID],DTRVL!$B$1,[1]!Data_CF[Thang.Nam],DTRVL!AA$155)</f>
        <v>0</v>
      </c>
      <c r="AB170" s="385">
        <f>SUMIFS([1]!Data_CF[Value],[1]!Data_CF[Index CF],DTRVL!$B170,[1]!Data_CF[TenCongTyID],DTRVL!$B$1,[1]!Data_CF[Thang.Nam],DTRVL!AB$155)</f>
        <v>0</v>
      </c>
      <c r="AC170" s="385">
        <f>SUMIFS([1]!Data_CF[Value],[1]!Data_CF[Index CF],DTRVL!$B170,[1]!Data_CF[TenCongTyID],DTRVL!$B$1,[1]!Data_CF[Thang.Nam],DTRVL!AC$155)</f>
        <v>0</v>
      </c>
      <c r="AD170" s="385">
        <f>SUMIFS([1]!Data_CF[Value],[1]!Data_CF[Index CF],DTRVL!$B170,[1]!Data_CF[TenCongTyID],DTRVL!$B$1,[1]!Data_CF[Thang.Nam],DTRVL!AD$155)</f>
        <v>0</v>
      </c>
      <c r="AE170" s="385">
        <f>SUMIFS([1]!Data_CF[Value],[1]!Data_CF[Index CF],DTRVL!$B170,[1]!Data_CF[TenCongTyID],DTRVL!$B$1,[1]!Data_CF[Thang.Nam],DTRVL!AE$155)</f>
        <v>0</v>
      </c>
      <c r="AF170" s="385">
        <f>SUMIFS([1]!Data_CF[Value],[1]!Data_CF[Index CF],DTRVL!$B170,[1]!Data_CF[TenCongTyID],DTRVL!$B$1,[1]!Data_CF[Thang.Nam],DTRVL!AF$155)</f>
        <v>0</v>
      </c>
      <c r="AG170" s="385">
        <f>SUMIFS([1]!Data_CF[Value],[1]!Data_CF[Index CF],DTRVL!$B170,[1]!Data_CF[TenCongTyID],DTRVL!$B$1,[1]!Data_CF[Thang.Nam],DTRVL!AG$155)</f>
        <v>0</v>
      </c>
      <c r="AH170" s="385">
        <f>SUMIFS([1]!Data_CF[Value],[1]!Data_CF[Index CF],DTRVL!$B170,[1]!Data_CF[TenCongTyID],DTRVL!$B$1,[1]!Data_CF[Thang.Nam],DTRVL!AH$155)</f>
        <v>0</v>
      </c>
      <c r="AI170" s="385">
        <f>SUMIFS([1]!Data_CF[Value],[1]!Data_CF[Index CF],DTRVL!$B170,[1]!Data_CF[TenCongTyID],DTRVL!$B$1,[1]!Data_CF[Thang.Nam],DTRVL!AI$155)</f>
        <v>0</v>
      </c>
      <c r="AJ170" s="385">
        <f>SUMIFS([1]!Data_CF[Value],[1]!Data_CF[Index CF],DTRVL!$B170,[1]!Data_CF[TenCongTyID],DTRVL!$B$1,[1]!Data_CF[Thang.Nam],DTRVL!AJ$155)</f>
        <v>0</v>
      </c>
      <c r="AK170" s="385">
        <f>SUMIFS([1]!Data_CF[Value],[1]!Data_CF[Index CF],DTRVL!$B170,[1]!Data_CF[TenCongTyID],DTRVL!$B$1,[1]!Data_CF[Thang.Nam],DTRVL!AK$155)</f>
        <v>0</v>
      </c>
      <c r="AL170" s="385">
        <f>SUMIFS([1]!Data_CF[Value],[1]!Data_CF[Index CF],DTRVL!$B170,[1]!Data_CF[TenCongTyID],DTRVL!$B$1,[1]!Data_CF[Thang.Nam],DTRVL!AL$155)</f>
        <v>0</v>
      </c>
    </row>
    <row r="171" spans="1:38" ht="15" customHeight="1">
      <c r="A171" s="158" t="s">
        <v>257</v>
      </c>
      <c r="B171" s="159">
        <v>16</v>
      </c>
      <c r="C171" s="64">
        <v>0</v>
      </c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4"/>
      <c r="O171" s="64"/>
      <c r="P171" s="69"/>
      <c r="Q171" s="69"/>
      <c r="R171" s="69"/>
      <c r="S171" s="69"/>
      <c r="T171" s="69"/>
      <c r="U171" s="69"/>
      <c r="V171" s="69"/>
      <c r="W171" s="69"/>
      <c r="X171" s="69">
        <v>0</v>
      </c>
      <c r="Y171" s="69"/>
      <c r="Z171" s="385">
        <v>0</v>
      </c>
      <c r="AA171" s="385">
        <f>SUMIFS([1]!Data_CF[Value],[1]!Data_CF[Index CF],DTRVL!$B171,[1]!Data_CF[TenCongTyID],DTRVL!$B$1,[1]!Data_CF[Thang.Nam],DTRVL!AA$155)</f>
        <v>0</v>
      </c>
      <c r="AB171" s="385">
        <f>SUMIFS([1]!Data_CF[Value],[1]!Data_CF[Index CF],DTRVL!$B171,[1]!Data_CF[TenCongTyID],DTRVL!$B$1,[1]!Data_CF[Thang.Nam],DTRVL!AB$155)</f>
        <v>0</v>
      </c>
      <c r="AC171" s="385">
        <f>SUMIFS([1]!Data_CF[Value],[1]!Data_CF[Index CF],DTRVL!$B171,[1]!Data_CF[TenCongTyID],DTRVL!$B$1,[1]!Data_CF[Thang.Nam],DTRVL!AC$155)</f>
        <v>0</v>
      </c>
      <c r="AD171" s="385">
        <f>SUMIFS([1]!Data_CF[Value],[1]!Data_CF[Index CF],DTRVL!$B171,[1]!Data_CF[TenCongTyID],DTRVL!$B$1,[1]!Data_CF[Thang.Nam],DTRVL!AD$155)</f>
        <v>0</v>
      </c>
      <c r="AE171" s="385">
        <f>SUMIFS([1]!Data_CF[Value],[1]!Data_CF[Index CF],DTRVL!$B171,[1]!Data_CF[TenCongTyID],DTRVL!$B$1,[1]!Data_CF[Thang.Nam],DTRVL!AE$155)</f>
        <v>0</v>
      </c>
      <c r="AF171" s="385">
        <f>SUMIFS([1]!Data_CF[Value],[1]!Data_CF[Index CF],DTRVL!$B171,[1]!Data_CF[TenCongTyID],DTRVL!$B$1,[1]!Data_CF[Thang.Nam],DTRVL!AF$155)</f>
        <v>0</v>
      </c>
      <c r="AG171" s="385">
        <f>SUMIFS([1]!Data_CF[Value],[1]!Data_CF[Index CF],DTRVL!$B171,[1]!Data_CF[TenCongTyID],DTRVL!$B$1,[1]!Data_CF[Thang.Nam],DTRVL!AG$155)</f>
        <v>0</v>
      </c>
      <c r="AH171" s="385">
        <f>SUMIFS([1]!Data_CF[Value],[1]!Data_CF[Index CF],DTRVL!$B171,[1]!Data_CF[TenCongTyID],DTRVL!$B$1,[1]!Data_CF[Thang.Nam],DTRVL!AH$155)</f>
        <v>0</v>
      </c>
      <c r="AI171" s="385">
        <f>SUMIFS([1]!Data_CF[Value],[1]!Data_CF[Index CF],DTRVL!$B171,[1]!Data_CF[TenCongTyID],DTRVL!$B$1,[1]!Data_CF[Thang.Nam],DTRVL!AI$155)</f>
        <v>0</v>
      </c>
      <c r="AJ171" s="385">
        <f>SUMIFS([1]!Data_CF[Value],[1]!Data_CF[Index CF],DTRVL!$B171,[1]!Data_CF[TenCongTyID],DTRVL!$B$1,[1]!Data_CF[Thang.Nam],DTRVL!AJ$155)</f>
        <v>0</v>
      </c>
      <c r="AK171" s="385">
        <f>SUMIFS([1]!Data_CF[Value],[1]!Data_CF[Index CF],DTRVL!$B171,[1]!Data_CF[TenCongTyID],DTRVL!$B$1,[1]!Data_CF[Thang.Nam],DTRVL!AK$155)</f>
        <v>0</v>
      </c>
      <c r="AL171" s="385">
        <f>SUMIFS([1]!Data_CF[Value],[1]!Data_CF[Index CF],DTRVL!$B171,[1]!Data_CF[TenCongTyID],DTRVL!$B$1,[1]!Data_CF[Thang.Nam],DTRVL!AL$155)</f>
        <v>0</v>
      </c>
    </row>
    <row r="172" spans="1:38" ht="15" customHeight="1">
      <c r="A172" s="158" t="s">
        <v>258</v>
      </c>
      <c r="B172" s="159">
        <v>17</v>
      </c>
      <c r="C172" s="64">
        <v>0</v>
      </c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4"/>
      <c r="O172" s="64"/>
      <c r="P172" s="69"/>
      <c r="Q172" s="69"/>
      <c r="R172" s="69"/>
      <c r="S172" s="69"/>
      <c r="T172" s="69"/>
      <c r="U172" s="69"/>
      <c r="V172" s="69"/>
      <c r="W172" s="69"/>
      <c r="X172" s="69">
        <v>0</v>
      </c>
      <c r="Y172" s="69"/>
      <c r="Z172" s="385">
        <v>0</v>
      </c>
      <c r="AA172" s="385">
        <f>SUMIFS([1]!Data_CF[Value],[1]!Data_CF[Index CF],DTRVL!$B172,[1]!Data_CF[TenCongTyID],DTRVL!$B$1,[1]!Data_CF[Thang.Nam],DTRVL!AA$155)</f>
        <v>0</v>
      </c>
      <c r="AB172" s="385">
        <f>SUMIFS([1]!Data_CF[Value],[1]!Data_CF[Index CF],DTRVL!$B172,[1]!Data_CF[TenCongTyID],DTRVL!$B$1,[1]!Data_CF[Thang.Nam],DTRVL!AB$155)</f>
        <v>0</v>
      </c>
      <c r="AC172" s="385">
        <f>SUMIFS([1]!Data_CF[Value],[1]!Data_CF[Index CF],DTRVL!$B172,[1]!Data_CF[TenCongTyID],DTRVL!$B$1,[1]!Data_CF[Thang.Nam],DTRVL!AC$155)</f>
        <v>0</v>
      </c>
      <c r="AD172" s="385">
        <f>SUMIFS([1]!Data_CF[Value],[1]!Data_CF[Index CF],DTRVL!$B172,[1]!Data_CF[TenCongTyID],DTRVL!$B$1,[1]!Data_CF[Thang.Nam],DTRVL!AD$155)</f>
        <v>0</v>
      </c>
      <c r="AE172" s="385">
        <f>SUMIFS([1]!Data_CF[Value],[1]!Data_CF[Index CF],DTRVL!$B172,[1]!Data_CF[TenCongTyID],DTRVL!$B$1,[1]!Data_CF[Thang.Nam],DTRVL!AE$155)</f>
        <v>0</v>
      </c>
      <c r="AF172" s="385">
        <f>SUMIFS([1]!Data_CF[Value],[1]!Data_CF[Index CF],DTRVL!$B172,[1]!Data_CF[TenCongTyID],DTRVL!$B$1,[1]!Data_CF[Thang.Nam],DTRVL!AF$155)</f>
        <v>0</v>
      </c>
      <c r="AG172" s="385">
        <f>SUMIFS([1]!Data_CF[Value],[1]!Data_CF[Index CF],DTRVL!$B172,[1]!Data_CF[TenCongTyID],DTRVL!$B$1,[1]!Data_CF[Thang.Nam],DTRVL!AG$155)</f>
        <v>0</v>
      </c>
      <c r="AH172" s="385">
        <f>SUMIFS([1]!Data_CF[Value],[1]!Data_CF[Index CF],DTRVL!$B172,[1]!Data_CF[TenCongTyID],DTRVL!$B$1,[1]!Data_CF[Thang.Nam],DTRVL!AH$155)</f>
        <v>0</v>
      </c>
      <c r="AI172" s="385">
        <f>SUMIFS([1]!Data_CF[Value],[1]!Data_CF[Index CF],DTRVL!$B172,[1]!Data_CF[TenCongTyID],DTRVL!$B$1,[1]!Data_CF[Thang.Nam],DTRVL!AI$155)</f>
        <v>0</v>
      </c>
      <c r="AJ172" s="385">
        <f>SUMIFS([1]!Data_CF[Value],[1]!Data_CF[Index CF],DTRVL!$B172,[1]!Data_CF[TenCongTyID],DTRVL!$B$1,[1]!Data_CF[Thang.Nam],DTRVL!AJ$155)</f>
        <v>0</v>
      </c>
      <c r="AK172" s="385">
        <f>SUMIFS([1]!Data_CF[Value],[1]!Data_CF[Index CF],DTRVL!$B172,[1]!Data_CF[TenCongTyID],DTRVL!$B$1,[1]!Data_CF[Thang.Nam],DTRVL!AK$155)</f>
        <v>0</v>
      </c>
      <c r="AL172" s="385">
        <f>SUMIFS([1]!Data_CF[Value],[1]!Data_CF[Index CF],DTRVL!$B172,[1]!Data_CF[TenCongTyID],DTRVL!$B$1,[1]!Data_CF[Thang.Nam],DTRVL!AL$155)</f>
        <v>0</v>
      </c>
    </row>
    <row r="173" spans="1:38" ht="15" customHeight="1">
      <c r="A173" s="158" t="s">
        <v>259</v>
      </c>
      <c r="B173" s="159">
        <v>18</v>
      </c>
      <c r="C173" s="64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4"/>
      <c r="O173" s="64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385">
        <v>0</v>
      </c>
      <c r="AA173" s="385">
        <f>SUMIFS([1]!Data_CF[Value],[1]!Data_CF[Index CF],DTRVL!$B173,[1]!Data_CF[TenCongTyID],DTRVL!$B$1,[1]!Data_CF[Thang.Nam],DTRVL!AA$155)</f>
        <v>0</v>
      </c>
      <c r="AB173" s="385">
        <f>SUMIFS([1]!Data_CF[Value],[1]!Data_CF[Index CF],DTRVL!$B173,[1]!Data_CF[TenCongTyID],DTRVL!$B$1,[1]!Data_CF[Thang.Nam],DTRVL!AB$155)</f>
        <v>0</v>
      </c>
      <c r="AC173" s="385">
        <f>SUMIFS([1]!Data_CF[Value],[1]!Data_CF[Index CF],DTRVL!$B173,[1]!Data_CF[TenCongTyID],DTRVL!$B$1,[1]!Data_CF[Thang.Nam],DTRVL!AC$155)</f>
        <v>0</v>
      </c>
      <c r="AD173" s="385">
        <f>SUMIFS([1]!Data_CF[Value],[1]!Data_CF[Index CF],DTRVL!$B173,[1]!Data_CF[TenCongTyID],DTRVL!$B$1,[1]!Data_CF[Thang.Nam],DTRVL!AD$155)</f>
        <v>0</v>
      </c>
      <c r="AE173" s="385">
        <f>SUMIFS([1]!Data_CF[Value],[1]!Data_CF[Index CF],DTRVL!$B173,[1]!Data_CF[TenCongTyID],DTRVL!$B$1,[1]!Data_CF[Thang.Nam],DTRVL!AE$155)</f>
        <v>0</v>
      </c>
      <c r="AF173" s="385">
        <f>SUMIFS([1]!Data_CF[Value],[1]!Data_CF[Index CF],DTRVL!$B173,[1]!Data_CF[TenCongTyID],DTRVL!$B$1,[1]!Data_CF[Thang.Nam],DTRVL!AF$155)</f>
        <v>0</v>
      </c>
      <c r="AG173" s="385">
        <f>SUMIFS([1]!Data_CF[Value],[1]!Data_CF[Index CF],DTRVL!$B173,[1]!Data_CF[TenCongTyID],DTRVL!$B$1,[1]!Data_CF[Thang.Nam],DTRVL!AG$155)</f>
        <v>0</v>
      </c>
      <c r="AH173" s="385">
        <f>SUMIFS([1]!Data_CF[Value],[1]!Data_CF[Index CF],DTRVL!$B173,[1]!Data_CF[TenCongTyID],DTRVL!$B$1,[1]!Data_CF[Thang.Nam],DTRVL!AH$155)</f>
        <v>0</v>
      </c>
      <c r="AI173" s="385">
        <f>SUMIFS([1]!Data_CF[Value],[1]!Data_CF[Index CF],DTRVL!$B173,[1]!Data_CF[TenCongTyID],DTRVL!$B$1,[1]!Data_CF[Thang.Nam],DTRVL!AI$155)</f>
        <v>0</v>
      </c>
      <c r="AJ173" s="385">
        <f>SUMIFS([1]!Data_CF[Value],[1]!Data_CF[Index CF],DTRVL!$B173,[1]!Data_CF[TenCongTyID],DTRVL!$B$1,[1]!Data_CF[Thang.Nam],DTRVL!AJ$155)</f>
        <v>0</v>
      </c>
      <c r="AK173" s="385">
        <f>SUMIFS([1]!Data_CF[Value],[1]!Data_CF[Index CF],DTRVL!$B173,[1]!Data_CF[TenCongTyID],DTRVL!$B$1,[1]!Data_CF[Thang.Nam],DTRVL!AK$155)</f>
        <v>0</v>
      </c>
      <c r="AL173" s="385">
        <f>SUMIFS([1]!Data_CF[Value],[1]!Data_CF[Index CF],DTRVL!$B173,[1]!Data_CF[TenCongTyID],DTRVL!$B$1,[1]!Data_CF[Thang.Nam],DTRVL!AL$155)</f>
        <v>0</v>
      </c>
    </row>
    <row r="174" spans="1:38" ht="15" customHeight="1">
      <c r="A174" s="158" t="s">
        <v>260</v>
      </c>
      <c r="B174" s="159">
        <v>19</v>
      </c>
      <c r="C174" s="64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4"/>
      <c r="O174" s="64"/>
      <c r="P174" s="69"/>
      <c r="Q174" s="69"/>
      <c r="R174" s="69"/>
      <c r="S174" s="69"/>
      <c r="T174" s="69"/>
      <c r="U174" s="69"/>
      <c r="V174" s="69"/>
      <c r="W174" s="69"/>
      <c r="X174" s="69">
        <v>0</v>
      </c>
      <c r="Y174" s="69"/>
      <c r="Z174" s="385">
        <v>0</v>
      </c>
      <c r="AA174" s="385">
        <f>SUMIFS([1]!Data_CF[Value],[1]!Data_CF[Index CF],DTRVL!$B174,[1]!Data_CF[TenCongTyID],DTRVL!$B$1,[1]!Data_CF[Thang.Nam],DTRVL!AA$155)</f>
        <v>0</v>
      </c>
      <c r="AB174" s="385">
        <f>SUMIFS([1]!Data_CF[Value],[1]!Data_CF[Index CF],DTRVL!$B174,[1]!Data_CF[TenCongTyID],DTRVL!$B$1,[1]!Data_CF[Thang.Nam],DTRVL!AB$155)</f>
        <v>0</v>
      </c>
      <c r="AC174" s="385">
        <f>SUMIFS([1]!Data_CF[Value],[1]!Data_CF[Index CF],DTRVL!$B174,[1]!Data_CF[TenCongTyID],DTRVL!$B$1,[1]!Data_CF[Thang.Nam],DTRVL!AC$155)</f>
        <v>0</v>
      </c>
      <c r="AD174" s="385">
        <f>SUMIFS([1]!Data_CF[Value],[1]!Data_CF[Index CF],DTRVL!$B174,[1]!Data_CF[TenCongTyID],DTRVL!$B$1,[1]!Data_CF[Thang.Nam],DTRVL!AD$155)</f>
        <v>0</v>
      </c>
      <c r="AE174" s="385">
        <f>SUMIFS([1]!Data_CF[Value],[1]!Data_CF[Index CF],DTRVL!$B174,[1]!Data_CF[TenCongTyID],DTRVL!$B$1,[1]!Data_CF[Thang.Nam],DTRVL!AE$155)</f>
        <v>0</v>
      </c>
      <c r="AF174" s="385">
        <f>SUMIFS([1]!Data_CF[Value],[1]!Data_CF[Index CF],DTRVL!$B174,[1]!Data_CF[TenCongTyID],DTRVL!$B$1,[1]!Data_CF[Thang.Nam],DTRVL!AF$155)</f>
        <v>0</v>
      </c>
      <c r="AG174" s="385">
        <f>SUMIFS([1]!Data_CF[Value],[1]!Data_CF[Index CF],DTRVL!$B174,[1]!Data_CF[TenCongTyID],DTRVL!$B$1,[1]!Data_CF[Thang.Nam],DTRVL!AG$155)</f>
        <v>0</v>
      </c>
      <c r="AH174" s="385">
        <f>SUMIFS([1]!Data_CF[Value],[1]!Data_CF[Index CF],DTRVL!$B174,[1]!Data_CF[TenCongTyID],DTRVL!$B$1,[1]!Data_CF[Thang.Nam],DTRVL!AH$155)</f>
        <v>0</v>
      </c>
      <c r="AI174" s="385">
        <f>SUMIFS([1]!Data_CF[Value],[1]!Data_CF[Index CF],DTRVL!$B174,[1]!Data_CF[TenCongTyID],DTRVL!$B$1,[1]!Data_CF[Thang.Nam],DTRVL!AI$155)</f>
        <v>0</v>
      </c>
      <c r="AJ174" s="385">
        <f>SUMIFS([1]!Data_CF[Value],[1]!Data_CF[Index CF],DTRVL!$B174,[1]!Data_CF[TenCongTyID],DTRVL!$B$1,[1]!Data_CF[Thang.Nam],DTRVL!AJ$155)</f>
        <v>0</v>
      </c>
      <c r="AK174" s="385">
        <f>SUMIFS([1]!Data_CF[Value],[1]!Data_CF[Index CF],DTRVL!$B174,[1]!Data_CF[TenCongTyID],DTRVL!$B$1,[1]!Data_CF[Thang.Nam],DTRVL!AK$155)</f>
        <v>0</v>
      </c>
      <c r="AL174" s="385">
        <f>SUMIFS([1]!Data_CF[Value],[1]!Data_CF[Index CF],DTRVL!$B174,[1]!Data_CF[TenCongTyID],DTRVL!$B$1,[1]!Data_CF[Thang.Nam],DTRVL!AL$155)</f>
        <v>0</v>
      </c>
    </row>
    <row r="175" spans="1:38" ht="15" customHeight="1">
      <c r="A175" s="162" t="s">
        <v>261</v>
      </c>
      <c r="B175" s="146">
        <v>20</v>
      </c>
      <c r="C175" s="148">
        <f t="shared" ref="C175:D175" si="27">+SUM(C165:C174)</f>
        <v>0</v>
      </c>
      <c r="D175" s="148">
        <f t="shared" si="27"/>
        <v>0</v>
      </c>
      <c r="E175" s="148"/>
      <c r="F175" s="148"/>
      <c r="G175" s="148"/>
      <c r="H175" s="148"/>
      <c r="I175" s="148"/>
      <c r="J175" s="148"/>
      <c r="K175" s="148"/>
      <c r="L175" s="148"/>
      <c r="M175" s="148"/>
      <c r="N175" s="147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>
        <f>+SUM(X165:X174)</f>
        <v>0</v>
      </c>
      <c r="Y175" s="148">
        <f t="shared" ref="Y175" si="28">+SUM(Y165:Y174)</f>
        <v>-8918999</v>
      </c>
      <c r="Z175" s="422">
        <v>0</v>
      </c>
      <c r="AA175" s="422">
        <f>SUMIFS([1]!Data_CF[Value],[1]!Data_CF[Index CF],DTRVL!$B175,[1]!Data_CF[TenCongTyID],DTRVL!$B$1,[1]!Data_CF[Thang.Nam],DTRVL!AA$155)</f>
        <v>0</v>
      </c>
      <c r="AB175" s="422">
        <f>SUMIFS([1]!Data_CF[Value],[1]!Data_CF[Index CF],DTRVL!$B175,[1]!Data_CF[TenCongTyID],DTRVL!$B$1,[1]!Data_CF[Thang.Nam],DTRVL!AB$155)</f>
        <v>0</v>
      </c>
      <c r="AC175" s="422">
        <f>SUMIFS([1]!Data_CF[Value],[1]!Data_CF[Index CF],DTRVL!$B175,[1]!Data_CF[TenCongTyID],DTRVL!$B$1,[1]!Data_CF[Thang.Nam],DTRVL!AC$155)</f>
        <v>0</v>
      </c>
      <c r="AD175" s="422">
        <f>SUMIFS([1]!Data_CF[Value],[1]!Data_CF[Index CF],DTRVL!$B175,[1]!Data_CF[TenCongTyID],DTRVL!$B$1,[1]!Data_CF[Thang.Nam],DTRVL!AD$155)</f>
        <v>0</v>
      </c>
      <c r="AE175" s="422">
        <f>SUMIFS([1]!Data_CF[Value],[1]!Data_CF[Index CF],DTRVL!$B175,[1]!Data_CF[TenCongTyID],DTRVL!$B$1,[1]!Data_CF[Thang.Nam],DTRVL!AE$155)</f>
        <v>0</v>
      </c>
      <c r="AF175" s="422">
        <f>SUMIFS([1]!Data_CF[Value],[1]!Data_CF[Index CF],DTRVL!$B175,[1]!Data_CF[TenCongTyID],DTRVL!$B$1,[1]!Data_CF[Thang.Nam],DTRVL!AF$155)</f>
        <v>0</v>
      </c>
      <c r="AG175" s="422">
        <f>SUMIFS([1]!Data_CF[Value],[1]!Data_CF[Index CF],DTRVL!$B175,[1]!Data_CF[TenCongTyID],DTRVL!$B$1,[1]!Data_CF[Thang.Nam],DTRVL!AG$155)</f>
        <v>0</v>
      </c>
      <c r="AH175" s="422">
        <f>SUMIFS([1]!Data_CF[Value],[1]!Data_CF[Index CF],DTRVL!$B175,[1]!Data_CF[TenCongTyID],DTRVL!$B$1,[1]!Data_CF[Thang.Nam],DTRVL!AH$155)</f>
        <v>0</v>
      </c>
      <c r="AI175" s="422">
        <f>SUMIFS([1]!Data_CF[Value],[1]!Data_CF[Index CF],DTRVL!$B175,[1]!Data_CF[TenCongTyID],DTRVL!$B$1,[1]!Data_CF[Thang.Nam],DTRVL!AI$155)</f>
        <v>0</v>
      </c>
      <c r="AJ175" s="422">
        <f>SUMIFS([1]!Data_CF[Value],[1]!Data_CF[Index CF],DTRVL!$B175,[1]!Data_CF[TenCongTyID],DTRVL!$B$1,[1]!Data_CF[Thang.Nam],DTRVL!AJ$155)</f>
        <v>0</v>
      </c>
      <c r="AK175" s="422">
        <f>SUMIFS([1]!Data_CF[Value],[1]!Data_CF[Index CF],DTRVL!$B175,[1]!Data_CF[TenCongTyID],DTRVL!$B$1,[1]!Data_CF[Thang.Nam],DTRVL!AK$155)</f>
        <v>0</v>
      </c>
      <c r="AL175" s="422">
        <f>SUMIFS([1]!Data_CF[Value],[1]!Data_CF[Index CF],DTRVL!$B175,[1]!Data_CF[TenCongTyID],DTRVL!$B$1,[1]!Data_CF[Thang.Nam],DTRVL!AL$155)</f>
        <v>0</v>
      </c>
    </row>
    <row r="176" spans="1:38" ht="15" customHeight="1">
      <c r="A176" s="145" t="s">
        <v>262</v>
      </c>
      <c r="B176" s="146">
        <v>21</v>
      </c>
      <c r="C176" s="147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7"/>
      <c r="O176" s="147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422">
        <v>0</v>
      </c>
      <c r="AA176" s="422">
        <f>SUMIFS([1]!Data_CF[Value],[1]!Data_CF[Index CF],DTRVL!$B176,[1]!Data_CF[TenCongTyID],DTRVL!$B$1,[1]!Data_CF[Thang.Nam],DTRVL!AA$155)</f>
        <v>0</v>
      </c>
      <c r="AB176" s="422">
        <f>SUMIFS([1]!Data_CF[Value],[1]!Data_CF[Index CF],DTRVL!$B176,[1]!Data_CF[TenCongTyID],DTRVL!$B$1,[1]!Data_CF[Thang.Nam],DTRVL!AB$155)</f>
        <v>0</v>
      </c>
      <c r="AC176" s="422">
        <f>SUMIFS([1]!Data_CF[Value],[1]!Data_CF[Index CF],DTRVL!$B176,[1]!Data_CF[TenCongTyID],DTRVL!$B$1,[1]!Data_CF[Thang.Nam],DTRVL!AC$155)</f>
        <v>0</v>
      </c>
      <c r="AD176" s="422">
        <f>SUMIFS([1]!Data_CF[Value],[1]!Data_CF[Index CF],DTRVL!$B176,[1]!Data_CF[TenCongTyID],DTRVL!$B$1,[1]!Data_CF[Thang.Nam],DTRVL!AD$155)</f>
        <v>0</v>
      </c>
      <c r="AE176" s="422">
        <f>SUMIFS([1]!Data_CF[Value],[1]!Data_CF[Index CF],DTRVL!$B176,[1]!Data_CF[TenCongTyID],DTRVL!$B$1,[1]!Data_CF[Thang.Nam],DTRVL!AE$155)</f>
        <v>0</v>
      </c>
      <c r="AF176" s="422">
        <f>SUMIFS([1]!Data_CF[Value],[1]!Data_CF[Index CF],DTRVL!$B176,[1]!Data_CF[TenCongTyID],DTRVL!$B$1,[1]!Data_CF[Thang.Nam],DTRVL!AF$155)</f>
        <v>0</v>
      </c>
      <c r="AG176" s="422">
        <f>SUMIFS([1]!Data_CF[Value],[1]!Data_CF[Index CF],DTRVL!$B176,[1]!Data_CF[TenCongTyID],DTRVL!$B$1,[1]!Data_CF[Thang.Nam],DTRVL!AG$155)</f>
        <v>0</v>
      </c>
      <c r="AH176" s="422">
        <f>SUMIFS([1]!Data_CF[Value],[1]!Data_CF[Index CF],DTRVL!$B176,[1]!Data_CF[TenCongTyID],DTRVL!$B$1,[1]!Data_CF[Thang.Nam],DTRVL!AH$155)</f>
        <v>0</v>
      </c>
      <c r="AI176" s="422">
        <f>SUMIFS([1]!Data_CF[Value],[1]!Data_CF[Index CF],DTRVL!$B176,[1]!Data_CF[TenCongTyID],DTRVL!$B$1,[1]!Data_CF[Thang.Nam],DTRVL!AI$155)</f>
        <v>0</v>
      </c>
      <c r="AJ176" s="422">
        <f>SUMIFS([1]!Data_CF[Value],[1]!Data_CF[Index CF],DTRVL!$B176,[1]!Data_CF[TenCongTyID],DTRVL!$B$1,[1]!Data_CF[Thang.Nam],DTRVL!AJ$155)</f>
        <v>0</v>
      </c>
      <c r="AK176" s="422">
        <f>SUMIFS([1]!Data_CF[Value],[1]!Data_CF[Index CF],DTRVL!$B176,[1]!Data_CF[TenCongTyID],DTRVL!$B$1,[1]!Data_CF[Thang.Nam],DTRVL!AK$155)</f>
        <v>0</v>
      </c>
      <c r="AL176" s="422">
        <f>SUMIFS([1]!Data_CF[Value],[1]!Data_CF[Index CF],DTRVL!$B176,[1]!Data_CF[TenCongTyID],DTRVL!$B$1,[1]!Data_CF[Thang.Nam],DTRVL!AL$155)</f>
        <v>0</v>
      </c>
    </row>
    <row r="177" spans="1:38" ht="14">
      <c r="A177" s="164" t="s">
        <v>263</v>
      </c>
      <c r="B177" s="165">
        <v>22</v>
      </c>
      <c r="C177" s="64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4"/>
      <c r="O177" s="64"/>
      <c r="P177" s="69"/>
      <c r="Q177" s="69"/>
      <c r="R177" s="69"/>
      <c r="S177" s="69"/>
      <c r="T177" s="69"/>
      <c r="U177" s="69"/>
      <c r="V177" s="69"/>
      <c r="W177" s="69"/>
      <c r="X177" s="69"/>
      <c r="Y177" s="69">
        <v>-87557481</v>
      </c>
      <c r="Z177" s="385">
        <v>0</v>
      </c>
      <c r="AA177" s="385">
        <f>SUMIFS([1]!Data_CF[Value],[1]!Data_CF[Index CF],DTRVL!$B177,[1]!Data_CF[TenCongTyID],DTRVL!$B$1,[1]!Data_CF[Thang.Nam],DTRVL!AA$155)</f>
        <v>0</v>
      </c>
      <c r="AB177" s="385">
        <f>SUMIFS([1]!Data_CF[Value],[1]!Data_CF[Index CF],DTRVL!$B177,[1]!Data_CF[TenCongTyID],DTRVL!$B$1,[1]!Data_CF[Thang.Nam],DTRVL!AB$155)</f>
        <v>0</v>
      </c>
      <c r="AC177" s="385">
        <f>SUMIFS([1]!Data_CF[Value],[1]!Data_CF[Index CF],DTRVL!$B177,[1]!Data_CF[TenCongTyID],DTRVL!$B$1,[1]!Data_CF[Thang.Nam],DTRVL!AC$155)</f>
        <v>0</v>
      </c>
      <c r="AD177" s="385">
        <f>SUMIFS([1]!Data_CF[Value],[1]!Data_CF[Index CF],DTRVL!$B177,[1]!Data_CF[TenCongTyID],DTRVL!$B$1,[1]!Data_CF[Thang.Nam],DTRVL!AD$155)</f>
        <v>0</v>
      </c>
      <c r="AE177" s="385">
        <f>SUMIFS([1]!Data_CF[Value],[1]!Data_CF[Index CF],DTRVL!$B177,[1]!Data_CF[TenCongTyID],DTRVL!$B$1,[1]!Data_CF[Thang.Nam],DTRVL!AE$155)</f>
        <v>0</v>
      </c>
      <c r="AF177" s="385">
        <f>SUMIFS([1]!Data_CF[Value],[1]!Data_CF[Index CF],DTRVL!$B177,[1]!Data_CF[TenCongTyID],DTRVL!$B$1,[1]!Data_CF[Thang.Nam],DTRVL!AF$155)</f>
        <v>0</v>
      </c>
      <c r="AG177" s="385">
        <f>SUMIFS([1]!Data_CF[Value],[1]!Data_CF[Index CF],DTRVL!$B177,[1]!Data_CF[TenCongTyID],DTRVL!$B$1,[1]!Data_CF[Thang.Nam],DTRVL!AG$155)</f>
        <v>0</v>
      </c>
      <c r="AH177" s="385">
        <f>SUMIFS([1]!Data_CF[Value],[1]!Data_CF[Index CF],DTRVL!$B177,[1]!Data_CF[TenCongTyID],DTRVL!$B$1,[1]!Data_CF[Thang.Nam],DTRVL!AH$155)</f>
        <v>0</v>
      </c>
      <c r="AI177" s="385">
        <f>SUMIFS([1]!Data_CF[Value],[1]!Data_CF[Index CF],DTRVL!$B177,[1]!Data_CF[TenCongTyID],DTRVL!$B$1,[1]!Data_CF[Thang.Nam],DTRVL!AI$155)</f>
        <v>0</v>
      </c>
      <c r="AJ177" s="385">
        <f>SUMIFS([1]!Data_CF[Value],[1]!Data_CF[Index CF],DTRVL!$B177,[1]!Data_CF[TenCongTyID],DTRVL!$B$1,[1]!Data_CF[Thang.Nam],DTRVL!AJ$155)</f>
        <v>0</v>
      </c>
      <c r="AK177" s="385">
        <f>SUMIFS([1]!Data_CF[Value],[1]!Data_CF[Index CF],DTRVL!$B177,[1]!Data_CF[TenCongTyID],DTRVL!$B$1,[1]!Data_CF[Thang.Nam],DTRVL!AK$155)</f>
        <v>0</v>
      </c>
      <c r="AL177" s="385">
        <f>SUMIFS([1]!Data_CF[Value],[1]!Data_CF[Index CF],DTRVL!$B177,[1]!Data_CF[TenCongTyID],DTRVL!$B$1,[1]!Data_CF[Thang.Nam],DTRVL!AL$155)</f>
        <v>0</v>
      </c>
    </row>
    <row r="178" spans="1:38" ht="14">
      <c r="A178" s="164" t="s">
        <v>264</v>
      </c>
      <c r="B178" s="165">
        <v>23</v>
      </c>
      <c r="C178" s="64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4"/>
      <c r="O178" s="64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385">
        <v>0</v>
      </c>
      <c r="AA178" s="385">
        <f>SUMIFS([1]!Data_CF[Value],[1]!Data_CF[Index CF],DTRVL!$B178,[1]!Data_CF[TenCongTyID],DTRVL!$B$1,[1]!Data_CF[Thang.Nam],DTRVL!AA$155)</f>
        <v>0</v>
      </c>
      <c r="AB178" s="385">
        <f>SUMIFS([1]!Data_CF[Value],[1]!Data_CF[Index CF],DTRVL!$B178,[1]!Data_CF[TenCongTyID],DTRVL!$B$1,[1]!Data_CF[Thang.Nam],DTRVL!AB$155)</f>
        <v>0</v>
      </c>
      <c r="AC178" s="385">
        <f>SUMIFS([1]!Data_CF[Value],[1]!Data_CF[Index CF],DTRVL!$B178,[1]!Data_CF[TenCongTyID],DTRVL!$B$1,[1]!Data_CF[Thang.Nam],DTRVL!AC$155)</f>
        <v>0</v>
      </c>
      <c r="AD178" s="385">
        <f>SUMIFS([1]!Data_CF[Value],[1]!Data_CF[Index CF],DTRVL!$B178,[1]!Data_CF[TenCongTyID],DTRVL!$B$1,[1]!Data_CF[Thang.Nam],DTRVL!AD$155)</f>
        <v>0</v>
      </c>
      <c r="AE178" s="385">
        <f>SUMIFS([1]!Data_CF[Value],[1]!Data_CF[Index CF],DTRVL!$B178,[1]!Data_CF[TenCongTyID],DTRVL!$B$1,[1]!Data_CF[Thang.Nam],DTRVL!AE$155)</f>
        <v>0</v>
      </c>
      <c r="AF178" s="385">
        <f>SUMIFS([1]!Data_CF[Value],[1]!Data_CF[Index CF],DTRVL!$B178,[1]!Data_CF[TenCongTyID],DTRVL!$B$1,[1]!Data_CF[Thang.Nam],DTRVL!AF$155)</f>
        <v>0</v>
      </c>
      <c r="AG178" s="385">
        <f>SUMIFS([1]!Data_CF[Value],[1]!Data_CF[Index CF],DTRVL!$B178,[1]!Data_CF[TenCongTyID],DTRVL!$B$1,[1]!Data_CF[Thang.Nam],DTRVL!AG$155)</f>
        <v>0</v>
      </c>
      <c r="AH178" s="385">
        <f>SUMIFS([1]!Data_CF[Value],[1]!Data_CF[Index CF],DTRVL!$B178,[1]!Data_CF[TenCongTyID],DTRVL!$B$1,[1]!Data_CF[Thang.Nam],DTRVL!AH$155)</f>
        <v>0</v>
      </c>
      <c r="AI178" s="385">
        <f>SUMIFS([1]!Data_CF[Value],[1]!Data_CF[Index CF],DTRVL!$B178,[1]!Data_CF[TenCongTyID],DTRVL!$B$1,[1]!Data_CF[Thang.Nam],DTRVL!AI$155)</f>
        <v>0</v>
      </c>
      <c r="AJ178" s="385">
        <f>SUMIFS([1]!Data_CF[Value],[1]!Data_CF[Index CF],DTRVL!$B178,[1]!Data_CF[TenCongTyID],DTRVL!$B$1,[1]!Data_CF[Thang.Nam],DTRVL!AJ$155)</f>
        <v>0</v>
      </c>
      <c r="AK178" s="385">
        <f>SUMIFS([1]!Data_CF[Value],[1]!Data_CF[Index CF],DTRVL!$B178,[1]!Data_CF[TenCongTyID],DTRVL!$B$1,[1]!Data_CF[Thang.Nam],DTRVL!AK$155)</f>
        <v>0</v>
      </c>
      <c r="AL178" s="385">
        <f>SUMIFS([1]!Data_CF[Value],[1]!Data_CF[Index CF],DTRVL!$B178,[1]!Data_CF[TenCongTyID],DTRVL!$B$1,[1]!Data_CF[Thang.Nam],DTRVL!AL$155)</f>
        <v>0</v>
      </c>
    </row>
    <row r="179" spans="1:38" ht="14">
      <c r="A179" s="164" t="s">
        <v>265</v>
      </c>
      <c r="B179" s="165">
        <v>24</v>
      </c>
      <c r="C179" s="64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4"/>
      <c r="O179" s="64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385">
        <v>0</v>
      </c>
      <c r="AA179" s="385">
        <f>SUMIFS([1]!Data_CF[Value],[1]!Data_CF[Index CF],DTRVL!$B179,[1]!Data_CF[TenCongTyID],DTRVL!$B$1,[1]!Data_CF[Thang.Nam],DTRVL!AA$155)</f>
        <v>0</v>
      </c>
      <c r="AB179" s="385">
        <f>SUMIFS([1]!Data_CF[Value],[1]!Data_CF[Index CF],DTRVL!$B179,[1]!Data_CF[TenCongTyID],DTRVL!$B$1,[1]!Data_CF[Thang.Nam],DTRVL!AB$155)</f>
        <v>0</v>
      </c>
      <c r="AC179" s="385">
        <f>SUMIFS([1]!Data_CF[Value],[1]!Data_CF[Index CF],DTRVL!$B179,[1]!Data_CF[TenCongTyID],DTRVL!$B$1,[1]!Data_CF[Thang.Nam],DTRVL!AC$155)</f>
        <v>0</v>
      </c>
      <c r="AD179" s="385">
        <f>SUMIFS([1]!Data_CF[Value],[1]!Data_CF[Index CF],DTRVL!$B179,[1]!Data_CF[TenCongTyID],DTRVL!$B$1,[1]!Data_CF[Thang.Nam],DTRVL!AD$155)</f>
        <v>0</v>
      </c>
      <c r="AE179" s="385">
        <f>SUMIFS([1]!Data_CF[Value],[1]!Data_CF[Index CF],DTRVL!$B179,[1]!Data_CF[TenCongTyID],DTRVL!$B$1,[1]!Data_CF[Thang.Nam],DTRVL!AE$155)</f>
        <v>0</v>
      </c>
      <c r="AF179" s="385">
        <f>SUMIFS([1]!Data_CF[Value],[1]!Data_CF[Index CF],DTRVL!$B179,[1]!Data_CF[TenCongTyID],DTRVL!$B$1,[1]!Data_CF[Thang.Nam],DTRVL!AF$155)</f>
        <v>0</v>
      </c>
      <c r="AG179" s="385">
        <f>SUMIFS([1]!Data_CF[Value],[1]!Data_CF[Index CF],DTRVL!$B179,[1]!Data_CF[TenCongTyID],DTRVL!$B$1,[1]!Data_CF[Thang.Nam],DTRVL!AG$155)</f>
        <v>0</v>
      </c>
      <c r="AH179" s="385">
        <f>SUMIFS([1]!Data_CF[Value],[1]!Data_CF[Index CF],DTRVL!$B179,[1]!Data_CF[TenCongTyID],DTRVL!$B$1,[1]!Data_CF[Thang.Nam],DTRVL!AH$155)</f>
        <v>0</v>
      </c>
      <c r="AI179" s="385">
        <f>SUMIFS([1]!Data_CF[Value],[1]!Data_CF[Index CF],DTRVL!$B179,[1]!Data_CF[TenCongTyID],DTRVL!$B$1,[1]!Data_CF[Thang.Nam],DTRVL!AI$155)</f>
        <v>0</v>
      </c>
      <c r="AJ179" s="385">
        <f>SUMIFS([1]!Data_CF[Value],[1]!Data_CF[Index CF],DTRVL!$B179,[1]!Data_CF[TenCongTyID],DTRVL!$B$1,[1]!Data_CF[Thang.Nam],DTRVL!AJ$155)</f>
        <v>0</v>
      </c>
      <c r="AK179" s="385">
        <f>SUMIFS([1]!Data_CF[Value],[1]!Data_CF[Index CF],DTRVL!$B179,[1]!Data_CF[TenCongTyID],DTRVL!$B$1,[1]!Data_CF[Thang.Nam],DTRVL!AK$155)</f>
        <v>0</v>
      </c>
      <c r="AL179" s="385">
        <f>SUMIFS([1]!Data_CF[Value],[1]!Data_CF[Index CF],DTRVL!$B179,[1]!Data_CF[TenCongTyID],DTRVL!$B$1,[1]!Data_CF[Thang.Nam],DTRVL!AL$155)</f>
        <v>0</v>
      </c>
    </row>
    <row r="180" spans="1:38" ht="14">
      <c r="A180" s="164" t="s">
        <v>266</v>
      </c>
      <c r="B180" s="165">
        <v>25</v>
      </c>
      <c r="C180" s="64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4"/>
      <c r="O180" s="64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385">
        <v>0</v>
      </c>
      <c r="AA180" s="385">
        <f>SUMIFS([1]!Data_CF[Value],[1]!Data_CF[Index CF],DTRVL!$B180,[1]!Data_CF[TenCongTyID],DTRVL!$B$1,[1]!Data_CF[Thang.Nam],DTRVL!AA$155)</f>
        <v>0</v>
      </c>
      <c r="AB180" s="385">
        <f>SUMIFS([1]!Data_CF[Value],[1]!Data_CF[Index CF],DTRVL!$B180,[1]!Data_CF[TenCongTyID],DTRVL!$B$1,[1]!Data_CF[Thang.Nam],DTRVL!AB$155)</f>
        <v>0</v>
      </c>
      <c r="AC180" s="385">
        <f>SUMIFS([1]!Data_CF[Value],[1]!Data_CF[Index CF],DTRVL!$B180,[1]!Data_CF[TenCongTyID],DTRVL!$B$1,[1]!Data_CF[Thang.Nam],DTRVL!AC$155)</f>
        <v>0</v>
      </c>
      <c r="AD180" s="385">
        <f>SUMIFS([1]!Data_CF[Value],[1]!Data_CF[Index CF],DTRVL!$B180,[1]!Data_CF[TenCongTyID],DTRVL!$B$1,[1]!Data_CF[Thang.Nam],DTRVL!AD$155)</f>
        <v>0</v>
      </c>
      <c r="AE180" s="385">
        <f>SUMIFS([1]!Data_CF[Value],[1]!Data_CF[Index CF],DTRVL!$B180,[1]!Data_CF[TenCongTyID],DTRVL!$B$1,[1]!Data_CF[Thang.Nam],DTRVL!AE$155)</f>
        <v>0</v>
      </c>
      <c r="AF180" s="385">
        <f>SUMIFS([1]!Data_CF[Value],[1]!Data_CF[Index CF],DTRVL!$B180,[1]!Data_CF[TenCongTyID],DTRVL!$B$1,[1]!Data_CF[Thang.Nam],DTRVL!AF$155)</f>
        <v>0</v>
      </c>
      <c r="AG180" s="385">
        <f>SUMIFS([1]!Data_CF[Value],[1]!Data_CF[Index CF],DTRVL!$B180,[1]!Data_CF[TenCongTyID],DTRVL!$B$1,[1]!Data_CF[Thang.Nam],DTRVL!AG$155)</f>
        <v>0</v>
      </c>
      <c r="AH180" s="385">
        <f>SUMIFS([1]!Data_CF[Value],[1]!Data_CF[Index CF],DTRVL!$B180,[1]!Data_CF[TenCongTyID],DTRVL!$B$1,[1]!Data_CF[Thang.Nam],DTRVL!AH$155)</f>
        <v>0</v>
      </c>
      <c r="AI180" s="385">
        <f>SUMIFS([1]!Data_CF[Value],[1]!Data_CF[Index CF],DTRVL!$B180,[1]!Data_CF[TenCongTyID],DTRVL!$B$1,[1]!Data_CF[Thang.Nam],DTRVL!AI$155)</f>
        <v>0</v>
      </c>
      <c r="AJ180" s="385">
        <f>SUMIFS([1]!Data_CF[Value],[1]!Data_CF[Index CF],DTRVL!$B180,[1]!Data_CF[TenCongTyID],DTRVL!$B$1,[1]!Data_CF[Thang.Nam],DTRVL!AJ$155)</f>
        <v>0</v>
      </c>
      <c r="AK180" s="385">
        <f>SUMIFS([1]!Data_CF[Value],[1]!Data_CF[Index CF],DTRVL!$B180,[1]!Data_CF[TenCongTyID],DTRVL!$B$1,[1]!Data_CF[Thang.Nam],DTRVL!AK$155)</f>
        <v>0</v>
      </c>
      <c r="AL180" s="385">
        <f>SUMIFS([1]!Data_CF[Value],[1]!Data_CF[Index CF],DTRVL!$B180,[1]!Data_CF[TenCongTyID],DTRVL!$B$1,[1]!Data_CF[Thang.Nam],DTRVL!AL$155)</f>
        <v>0</v>
      </c>
    </row>
    <row r="181" spans="1:38" ht="15" customHeight="1">
      <c r="A181" s="164" t="s">
        <v>267</v>
      </c>
      <c r="B181" s="165">
        <v>26</v>
      </c>
      <c r="C181" s="64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4"/>
      <c r="O181" s="64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385">
        <v>0</v>
      </c>
      <c r="AA181" s="385">
        <f>SUMIFS([1]!Data_CF[Value],[1]!Data_CF[Index CF],DTRVL!$B181,[1]!Data_CF[TenCongTyID],DTRVL!$B$1,[1]!Data_CF[Thang.Nam],DTRVL!AA$155)</f>
        <v>0</v>
      </c>
      <c r="AB181" s="385">
        <f>SUMIFS([1]!Data_CF[Value],[1]!Data_CF[Index CF],DTRVL!$B181,[1]!Data_CF[TenCongTyID],DTRVL!$B$1,[1]!Data_CF[Thang.Nam],DTRVL!AB$155)</f>
        <v>0</v>
      </c>
      <c r="AC181" s="385">
        <f>SUMIFS([1]!Data_CF[Value],[1]!Data_CF[Index CF],DTRVL!$B181,[1]!Data_CF[TenCongTyID],DTRVL!$B$1,[1]!Data_CF[Thang.Nam],DTRVL!AC$155)</f>
        <v>0</v>
      </c>
      <c r="AD181" s="385">
        <f>SUMIFS([1]!Data_CF[Value],[1]!Data_CF[Index CF],DTRVL!$B181,[1]!Data_CF[TenCongTyID],DTRVL!$B$1,[1]!Data_CF[Thang.Nam],DTRVL!AD$155)</f>
        <v>0</v>
      </c>
      <c r="AE181" s="385">
        <f>SUMIFS([1]!Data_CF[Value],[1]!Data_CF[Index CF],DTRVL!$B181,[1]!Data_CF[TenCongTyID],DTRVL!$B$1,[1]!Data_CF[Thang.Nam],DTRVL!AE$155)</f>
        <v>0</v>
      </c>
      <c r="AF181" s="385">
        <f>SUMIFS([1]!Data_CF[Value],[1]!Data_CF[Index CF],DTRVL!$B181,[1]!Data_CF[TenCongTyID],DTRVL!$B$1,[1]!Data_CF[Thang.Nam],DTRVL!AF$155)</f>
        <v>0</v>
      </c>
      <c r="AG181" s="385">
        <f>SUMIFS([1]!Data_CF[Value],[1]!Data_CF[Index CF],DTRVL!$B181,[1]!Data_CF[TenCongTyID],DTRVL!$B$1,[1]!Data_CF[Thang.Nam],DTRVL!AG$155)</f>
        <v>0</v>
      </c>
      <c r="AH181" s="385">
        <f>SUMIFS([1]!Data_CF[Value],[1]!Data_CF[Index CF],DTRVL!$B181,[1]!Data_CF[TenCongTyID],DTRVL!$B$1,[1]!Data_CF[Thang.Nam],DTRVL!AH$155)</f>
        <v>0</v>
      </c>
      <c r="AI181" s="385">
        <f>SUMIFS([1]!Data_CF[Value],[1]!Data_CF[Index CF],DTRVL!$B181,[1]!Data_CF[TenCongTyID],DTRVL!$B$1,[1]!Data_CF[Thang.Nam],DTRVL!AI$155)</f>
        <v>0</v>
      </c>
      <c r="AJ181" s="385">
        <f>SUMIFS([1]!Data_CF[Value],[1]!Data_CF[Index CF],DTRVL!$B181,[1]!Data_CF[TenCongTyID],DTRVL!$B$1,[1]!Data_CF[Thang.Nam],DTRVL!AJ$155)</f>
        <v>0</v>
      </c>
      <c r="AK181" s="385">
        <f>SUMIFS([1]!Data_CF[Value],[1]!Data_CF[Index CF],DTRVL!$B181,[1]!Data_CF[TenCongTyID],DTRVL!$B$1,[1]!Data_CF[Thang.Nam],DTRVL!AK$155)</f>
        <v>0</v>
      </c>
      <c r="AL181" s="385">
        <f>SUMIFS([1]!Data_CF[Value],[1]!Data_CF[Index CF],DTRVL!$B181,[1]!Data_CF[TenCongTyID],DTRVL!$B$1,[1]!Data_CF[Thang.Nam],DTRVL!AL$155)</f>
        <v>0</v>
      </c>
    </row>
    <row r="182" spans="1:38" ht="15" customHeight="1">
      <c r="A182" s="164" t="s">
        <v>268</v>
      </c>
      <c r="B182" s="165">
        <v>27</v>
      </c>
      <c r="C182" s="64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4"/>
      <c r="O182" s="64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385">
        <v>0</v>
      </c>
      <c r="AA182" s="385">
        <f>SUMIFS([1]!Data_CF[Value],[1]!Data_CF[Index CF],DTRVL!$B182,[1]!Data_CF[TenCongTyID],DTRVL!$B$1,[1]!Data_CF[Thang.Nam],DTRVL!AA$155)</f>
        <v>0</v>
      </c>
      <c r="AB182" s="385">
        <f>SUMIFS([1]!Data_CF[Value],[1]!Data_CF[Index CF],DTRVL!$B182,[1]!Data_CF[TenCongTyID],DTRVL!$B$1,[1]!Data_CF[Thang.Nam],DTRVL!AB$155)</f>
        <v>0</v>
      </c>
      <c r="AC182" s="385">
        <f>SUMIFS([1]!Data_CF[Value],[1]!Data_CF[Index CF],DTRVL!$B182,[1]!Data_CF[TenCongTyID],DTRVL!$B$1,[1]!Data_CF[Thang.Nam],DTRVL!AC$155)</f>
        <v>0</v>
      </c>
      <c r="AD182" s="385">
        <f>SUMIFS([1]!Data_CF[Value],[1]!Data_CF[Index CF],DTRVL!$B182,[1]!Data_CF[TenCongTyID],DTRVL!$B$1,[1]!Data_CF[Thang.Nam],DTRVL!AD$155)</f>
        <v>0</v>
      </c>
      <c r="AE182" s="385">
        <f>SUMIFS([1]!Data_CF[Value],[1]!Data_CF[Index CF],DTRVL!$B182,[1]!Data_CF[TenCongTyID],DTRVL!$B$1,[1]!Data_CF[Thang.Nam],DTRVL!AE$155)</f>
        <v>0</v>
      </c>
      <c r="AF182" s="385">
        <f>SUMIFS([1]!Data_CF[Value],[1]!Data_CF[Index CF],DTRVL!$B182,[1]!Data_CF[TenCongTyID],DTRVL!$B$1,[1]!Data_CF[Thang.Nam],DTRVL!AF$155)</f>
        <v>0</v>
      </c>
      <c r="AG182" s="385">
        <f>SUMIFS([1]!Data_CF[Value],[1]!Data_CF[Index CF],DTRVL!$B182,[1]!Data_CF[TenCongTyID],DTRVL!$B$1,[1]!Data_CF[Thang.Nam],DTRVL!AG$155)</f>
        <v>0</v>
      </c>
      <c r="AH182" s="385">
        <f>SUMIFS([1]!Data_CF[Value],[1]!Data_CF[Index CF],DTRVL!$B182,[1]!Data_CF[TenCongTyID],DTRVL!$B$1,[1]!Data_CF[Thang.Nam],DTRVL!AH$155)</f>
        <v>0</v>
      </c>
      <c r="AI182" s="385">
        <f>SUMIFS([1]!Data_CF[Value],[1]!Data_CF[Index CF],DTRVL!$B182,[1]!Data_CF[TenCongTyID],DTRVL!$B$1,[1]!Data_CF[Thang.Nam],DTRVL!AI$155)</f>
        <v>0</v>
      </c>
      <c r="AJ182" s="385">
        <f>SUMIFS([1]!Data_CF[Value],[1]!Data_CF[Index CF],DTRVL!$B182,[1]!Data_CF[TenCongTyID],DTRVL!$B$1,[1]!Data_CF[Thang.Nam],DTRVL!AJ$155)</f>
        <v>0</v>
      </c>
      <c r="AK182" s="385">
        <f>SUMIFS([1]!Data_CF[Value],[1]!Data_CF[Index CF],DTRVL!$B182,[1]!Data_CF[TenCongTyID],DTRVL!$B$1,[1]!Data_CF[Thang.Nam],DTRVL!AK$155)</f>
        <v>0</v>
      </c>
      <c r="AL182" s="385">
        <f>SUMIFS([1]!Data_CF[Value],[1]!Data_CF[Index CF],DTRVL!$B182,[1]!Data_CF[TenCongTyID],DTRVL!$B$1,[1]!Data_CF[Thang.Nam],DTRVL!AL$155)</f>
        <v>0</v>
      </c>
    </row>
    <row r="183" spans="1:38" ht="15" customHeight="1">
      <c r="A183" s="164" t="s">
        <v>269</v>
      </c>
      <c r="B183" s="165">
        <v>28</v>
      </c>
      <c r="C183" s="69">
        <f t="shared" ref="C183:X183" si="29">-C162</f>
        <v>0</v>
      </c>
      <c r="D183" s="69">
        <f t="shared" si="29"/>
        <v>0</v>
      </c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>
        <f t="shared" si="29"/>
        <v>0</v>
      </c>
      <c r="Y183" s="69">
        <v>1669</v>
      </c>
      <c r="Z183" s="385">
        <v>3317</v>
      </c>
      <c r="AA183" s="385">
        <f>SUMIFS([1]!Data_CF[Value],[1]!Data_CF[Index CF],DTRVL!$B183,[1]!Data_CF[TenCongTyID],DTRVL!$B$1,[1]!Data_CF[Thang.Nam],DTRVL!AA$155)</f>
        <v>0</v>
      </c>
      <c r="AB183" s="385">
        <f>SUMIFS([1]!Data_CF[Value],[1]!Data_CF[Index CF],DTRVL!$B183,[1]!Data_CF[TenCongTyID],DTRVL!$B$1,[1]!Data_CF[Thang.Nam],DTRVL!AB$155)</f>
        <v>0</v>
      </c>
      <c r="AC183" s="385">
        <f>SUMIFS([1]!Data_CF[Value],[1]!Data_CF[Index CF],DTRVL!$B183,[1]!Data_CF[TenCongTyID],DTRVL!$B$1,[1]!Data_CF[Thang.Nam],DTRVL!AC$155)</f>
        <v>0</v>
      </c>
      <c r="AD183" s="385">
        <f>SUMIFS([1]!Data_CF[Value],[1]!Data_CF[Index CF],DTRVL!$B183,[1]!Data_CF[TenCongTyID],DTRVL!$B$1,[1]!Data_CF[Thang.Nam],DTRVL!AD$155)</f>
        <v>0</v>
      </c>
      <c r="AE183" s="385">
        <f>SUMIFS([1]!Data_CF[Value],[1]!Data_CF[Index CF],DTRVL!$B183,[1]!Data_CF[TenCongTyID],DTRVL!$B$1,[1]!Data_CF[Thang.Nam],DTRVL!AE$155)</f>
        <v>0</v>
      </c>
      <c r="AF183" s="385">
        <f>SUMIFS([1]!Data_CF[Value],[1]!Data_CF[Index CF],DTRVL!$B183,[1]!Data_CF[TenCongTyID],DTRVL!$B$1,[1]!Data_CF[Thang.Nam],DTRVL!AF$155)</f>
        <v>0</v>
      </c>
      <c r="AG183" s="385">
        <f>SUMIFS([1]!Data_CF[Value],[1]!Data_CF[Index CF],DTRVL!$B183,[1]!Data_CF[TenCongTyID],DTRVL!$B$1,[1]!Data_CF[Thang.Nam],DTRVL!AG$155)</f>
        <v>0</v>
      </c>
      <c r="AH183" s="385">
        <f>SUMIFS([1]!Data_CF[Value],[1]!Data_CF[Index CF],DTRVL!$B183,[1]!Data_CF[TenCongTyID],DTRVL!$B$1,[1]!Data_CF[Thang.Nam],DTRVL!AH$155)</f>
        <v>0</v>
      </c>
      <c r="AI183" s="385">
        <f>SUMIFS([1]!Data_CF[Value],[1]!Data_CF[Index CF],DTRVL!$B183,[1]!Data_CF[TenCongTyID],DTRVL!$B$1,[1]!Data_CF[Thang.Nam],DTRVL!AI$155)</f>
        <v>0</v>
      </c>
      <c r="AJ183" s="385">
        <f>SUMIFS([1]!Data_CF[Value],[1]!Data_CF[Index CF],DTRVL!$B183,[1]!Data_CF[TenCongTyID],DTRVL!$B$1,[1]!Data_CF[Thang.Nam],DTRVL!AJ$155)</f>
        <v>0</v>
      </c>
      <c r="AK183" s="385">
        <f>SUMIFS([1]!Data_CF[Value],[1]!Data_CF[Index CF],DTRVL!$B183,[1]!Data_CF[TenCongTyID],DTRVL!$B$1,[1]!Data_CF[Thang.Nam],DTRVL!AK$155)</f>
        <v>0</v>
      </c>
      <c r="AL183" s="385">
        <f>SUMIFS([1]!Data_CF[Value],[1]!Data_CF[Index CF],DTRVL!$B183,[1]!Data_CF[TenCongTyID],DTRVL!$B$1,[1]!Data_CF[Thang.Nam],DTRVL!AL$155)</f>
        <v>0</v>
      </c>
    </row>
    <row r="184" spans="1:38" ht="15" customHeight="1">
      <c r="A184" s="145" t="s">
        <v>270</v>
      </c>
      <c r="B184" s="146">
        <v>29</v>
      </c>
      <c r="C184" s="147">
        <f t="shared" ref="C184:Y184" si="30">+SUM(C177:C183)</f>
        <v>0</v>
      </c>
      <c r="D184" s="148">
        <f t="shared" si="30"/>
        <v>0</v>
      </c>
      <c r="E184" s="148"/>
      <c r="F184" s="148"/>
      <c r="G184" s="148"/>
      <c r="H184" s="148"/>
      <c r="I184" s="148"/>
      <c r="J184" s="148"/>
      <c r="K184" s="148"/>
      <c r="L184" s="148"/>
      <c r="M184" s="148"/>
      <c r="N184" s="147"/>
      <c r="O184" s="147"/>
      <c r="P184" s="148"/>
      <c r="Q184" s="148"/>
      <c r="R184" s="148"/>
      <c r="S184" s="148"/>
      <c r="T184" s="148"/>
      <c r="U184" s="148"/>
      <c r="V184" s="148"/>
      <c r="W184" s="148"/>
      <c r="X184" s="148">
        <f t="shared" si="30"/>
        <v>0</v>
      </c>
      <c r="Y184" s="148">
        <f t="shared" si="30"/>
        <v>-87555812</v>
      </c>
      <c r="Z184" s="422">
        <v>3317</v>
      </c>
      <c r="AA184" s="422">
        <f>SUMIFS([1]!Data_CF[Value],[1]!Data_CF[Index CF],DTRVL!$B184,[1]!Data_CF[TenCongTyID],DTRVL!$B$1,[1]!Data_CF[Thang.Nam],DTRVL!AA$155)</f>
        <v>0</v>
      </c>
      <c r="AB184" s="422">
        <f>SUMIFS([1]!Data_CF[Value],[1]!Data_CF[Index CF],DTRVL!$B184,[1]!Data_CF[TenCongTyID],DTRVL!$B$1,[1]!Data_CF[Thang.Nam],DTRVL!AB$155)</f>
        <v>0</v>
      </c>
      <c r="AC184" s="422">
        <f>SUMIFS([1]!Data_CF[Value],[1]!Data_CF[Index CF],DTRVL!$B184,[1]!Data_CF[TenCongTyID],DTRVL!$B$1,[1]!Data_CF[Thang.Nam],DTRVL!AC$155)</f>
        <v>0</v>
      </c>
      <c r="AD184" s="422">
        <f>SUMIFS([1]!Data_CF[Value],[1]!Data_CF[Index CF],DTRVL!$B184,[1]!Data_CF[TenCongTyID],DTRVL!$B$1,[1]!Data_CF[Thang.Nam],DTRVL!AD$155)</f>
        <v>0</v>
      </c>
      <c r="AE184" s="422">
        <f>SUMIFS([1]!Data_CF[Value],[1]!Data_CF[Index CF],DTRVL!$B184,[1]!Data_CF[TenCongTyID],DTRVL!$B$1,[1]!Data_CF[Thang.Nam],DTRVL!AE$155)</f>
        <v>0</v>
      </c>
      <c r="AF184" s="422">
        <f>SUMIFS([1]!Data_CF[Value],[1]!Data_CF[Index CF],DTRVL!$B184,[1]!Data_CF[TenCongTyID],DTRVL!$B$1,[1]!Data_CF[Thang.Nam],DTRVL!AF$155)</f>
        <v>0</v>
      </c>
      <c r="AG184" s="422">
        <f>SUMIFS([1]!Data_CF[Value],[1]!Data_CF[Index CF],DTRVL!$B184,[1]!Data_CF[TenCongTyID],DTRVL!$B$1,[1]!Data_CF[Thang.Nam],DTRVL!AG$155)</f>
        <v>0</v>
      </c>
      <c r="AH184" s="422">
        <f>SUMIFS([1]!Data_CF[Value],[1]!Data_CF[Index CF],DTRVL!$B184,[1]!Data_CF[TenCongTyID],DTRVL!$B$1,[1]!Data_CF[Thang.Nam],DTRVL!AH$155)</f>
        <v>0</v>
      </c>
      <c r="AI184" s="422">
        <f>SUMIFS([1]!Data_CF[Value],[1]!Data_CF[Index CF],DTRVL!$B184,[1]!Data_CF[TenCongTyID],DTRVL!$B$1,[1]!Data_CF[Thang.Nam],DTRVL!AI$155)</f>
        <v>0</v>
      </c>
      <c r="AJ184" s="422">
        <f>SUMIFS([1]!Data_CF[Value],[1]!Data_CF[Index CF],DTRVL!$B184,[1]!Data_CF[TenCongTyID],DTRVL!$B$1,[1]!Data_CF[Thang.Nam],DTRVL!AJ$155)</f>
        <v>0</v>
      </c>
      <c r="AK184" s="422">
        <f>SUMIFS([1]!Data_CF[Value],[1]!Data_CF[Index CF],DTRVL!$B184,[1]!Data_CF[TenCongTyID],DTRVL!$B$1,[1]!Data_CF[Thang.Nam],DTRVL!AK$155)</f>
        <v>0</v>
      </c>
      <c r="AL184" s="422">
        <f>SUMIFS([1]!Data_CF[Value],[1]!Data_CF[Index CF],DTRVL!$B184,[1]!Data_CF[TenCongTyID],DTRVL!$B$1,[1]!Data_CF[Thang.Nam],DTRVL!AL$155)</f>
        <v>0</v>
      </c>
    </row>
    <row r="185" spans="1:38" ht="15" customHeight="1">
      <c r="A185" s="145" t="s">
        <v>271</v>
      </c>
      <c r="B185" s="146">
        <v>30</v>
      </c>
      <c r="C185" s="147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7"/>
      <c r="O185" s="147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422">
        <v>0</v>
      </c>
      <c r="AA185" s="422">
        <f>SUMIFS([1]!Data_CF[Value],[1]!Data_CF[Index CF],DTRVL!$B185,[1]!Data_CF[TenCongTyID],DTRVL!$B$1,[1]!Data_CF[Thang.Nam],DTRVL!AA$155)</f>
        <v>0</v>
      </c>
      <c r="AB185" s="422">
        <f>SUMIFS([1]!Data_CF[Value],[1]!Data_CF[Index CF],DTRVL!$B185,[1]!Data_CF[TenCongTyID],DTRVL!$B$1,[1]!Data_CF[Thang.Nam],DTRVL!AB$155)</f>
        <v>0</v>
      </c>
      <c r="AC185" s="422">
        <f>SUMIFS([1]!Data_CF[Value],[1]!Data_CF[Index CF],DTRVL!$B185,[1]!Data_CF[TenCongTyID],DTRVL!$B$1,[1]!Data_CF[Thang.Nam],DTRVL!AC$155)</f>
        <v>0</v>
      </c>
      <c r="AD185" s="422">
        <f>SUMIFS([1]!Data_CF[Value],[1]!Data_CF[Index CF],DTRVL!$B185,[1]!Data_CF[TenCongTyID],DTRVL!$B$1,[1]!Data_CF[Thang.Nam],DTRVL!AD$155)</f>
        <v>0</v>
      </c>
      <c r="AE185" s="422">
        <f>SUMIFS([1]!Data_CF[Value],[1]!Data_CF[Index CF],DTRVL!$B185,[1]!Data_CF[TenCongTyID],DTRVL!$B$1,[1]!Data_CF[Thang.Nam],DTRVL!AE$155)</f>
        <v>0</v>
      </c>
      <c r="AF185" s="422">
        <f>SUMIFS([1]!Data_CF[Value],[1]!Data_CF[Index CF],DTRVL!$B185,[1]!Data_CF[TenCongTyID],DTRVL!$B$1,[1]!Data_CF[Thang.Nam],DTRVL!AF$155)</f>
        <v>0</v>
      </c>
      <c r="AG185" s="422">
        <f>SUMIFS([1]!Data_CF[Value],[1]!Data_CF[Index CF],DTRVL!$B185,[1]!Data_CF[TenCongTyID],DTRVL!$B$1,[1]!Data_CF[Thang.Nam],DTRVL!AG$155)</f>
        <v>0</v>
      </c>
      <c r="AH185" s="422">
        <f>SUMIFS([1]!Data_CF[Value],[1]!Data_CF[Index CF],DTRVL!$B185,[1]!Data_CF[TenCongTyID],DTRVL!$B$1,[1]!Data_CF[Thang.Nam],DTRVL!AH$155)</f>
        <v>0</v>
      </c>
      <c r="AI185" s="422">
        <f>SUMIFS([1]!Data_CF[Value],[1]!Data_CF[Index CF],DTRVL!$B185,[1]!Data_CF[TenCongTyID],DTRVL!$B$1,[1]!Data_CF[Thang.Nam],DTRVL!AI$155)</f>
        <v>0</v>
      </c>
      <c r="AJ185" s="422">
        <f>SUMIFS([1]!Data_CF[Value],[1]!Data_CF[Index CF],DTRVL!$B185,[1]!Data_CF[TenCongTyID],DTRVL!$B$1,[1]!Data_CF[Thang.Nam],DTRVL!AJ$155)</f>
        <v>0</v>
      </c>
      <c r="AK185" s="422">
        <f>SUMIFS([1]!Data_CF[Value],[1]!Data_CF[Index CF],DTRVL!$B185,[1]!Data_CF[TenCongTyID],DTRVL!$B$1,[1]!Data_CF[Thang.Nam],DTRVL!AK$155)</f>
        <v>0</v>
      </c>
      <c r="AL185" s="422">
        <f>SUMIFS([1]!Data_CF[Value],[1]!Data_CF[Index CF],DTRVL!$B185,[1]!Data_CF[TenCongTyID],DTRVL!$B$1,[1]!Data_CF[Thang.Nam],DTRVL!AL$155)</f>
        <v>0</v>
      </c>
    </row>
    <row r="186" spans="1:38" ht="14">
      <c r="A186" s="164" t="s">
        <v>272</v>
      </c>
      <c r="B186" s="165">
        <v>31</v>
      </c>
      <c r="C186" s="64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>
        <v>500000000</v>
      </c>
      <c r="Z186" s="385">
        <v>5500000000</v>
      </c>
      <c r="AA186" s="385">
        <f>SUMIFS([1]!Data_CF[Value],[1]!Data_CF[Index CF],DTRVL!$B186,[1]!Data_CF[TenCongTyID],DTRVL!$B$1,[1]!Data_CF[Thang.Nam],DTRVL!AA$155)</f>
        <v>0</v>
      </c>
      <c r="AB186" s="385">
        <f>SUMIFS([1]!Data_CF[Value],[1]!Data_CF[Index CF],DTRVL!$B186,[1]!Data_CF[TenCongTyID],DTRVL!$B$1,[1]!Data_CF[Thang.Nam],DTRVL!AB$155)</f>
        <v>0</v>
      </c>
      <c r="AC186" s="385">
        <f>SUMIFS([1]!Data_CF[Value],[1]!Data_CF[Index CF],DTRVL!$B186,[1]!Data_CF[TenCongTyID],DTRVL!$B$1,[1]!Data_CF[Thang.Nam],DTRVL!AC$155)</f>
        <v>0</v>
      </c>
      <c r="AD186" s="385">
        <f>SUMIFS([1]!Data_CF[Value],[1]!Data_CF[Index CF],DTRVL!$B186,[1]!Data_CF[TenCongTyID],DTRVL!$B$1,[1]!Data_CF[Thang.Nam],DTRVL!AD$155)</f>
        <v>0</v>
      </c>
      <c r="AE186" s="385">
        <f>SUMIFS([1]!Data_CF[Value],[1]!Data_CF[Index CF],DTRVL!$B186,[1]!Data_CF[TenCongTyID],DTRVL!$B$1,[1]!Data_CF[Thang.Nam],DTRVL!AE$155)</f>
        <v>0</v>
      </c>
      <c r="AF186" s="385">
        <f>SUMIFS([1]!Data_CF[Value],[1]!Data_CF[Index CF],DTRVL!$B186,[1]!Data_CF[TenCongTyID],DTRVL!$B$1,[1]!Data_CF[Thang.Nam],DTRVL!AF$155)</f>
        <v>0</v>
      </c>
      <c r="AG186" s="385">
        <f>SUMIFS([1]!Data_CF[Value],[1]!Data_CF[Index CF],DTRVL!$B186,[1]!Data_CF[TenCongTyID],DTRVL!$B$1,[1]!Data_CF[Thang.Nam],DTRVL!AG$155)</f>
        <v>0</v>
      </c>
      <c r="AH186" s="385">
        <f>SUMIFS([1]!Data_CF[Value],[1]!Data_CF[Index CF],DTRVL!$B186,[1]!Data_CF[TenCongTyID],DTRVL!$B$1,[1]!Data_CF[Thang.Nam],DTRVL!AH$155)</f>
        <v>0</v>
      </c>
      <c r="AI186" s="385">
        <f>SUMIFS([1]!Data_CF[Value],[1]!Data_CF[Index CF],DTRVL!$B186,[1]!Data_CF[TenCongTyID],DTRVL!$B$1,[1]!Data_CF[Thang.Nam],DTRVL!AI$155)</f>
        <v>0</v>
      </c>
      <c r="AJ186" s="385">
        <f>SUMIFS([1]!Data_CF[Value],[1]!Data_CF[Index CF],DTRVL!$B186,[1]!Data_CF[TenCongTyID],DTRVL!$B$1,[1]!Data_CF[Thang.Nam],DTRVL!AJ$155)</f>
        <v>0</v>
      </c>
      <c r="AK186" s="385">
        <f>SUMIFS([1]!Data_CF[Value],[1]!Data_CF[Index CF],DTRVL!$B186,[1]!Data_CF[TenCongTyID],DTRVL!$B$1,[1]!Data_CF[Thang.Nam],DTRVL!AK$155)</f>
        <v>0</v>
      </c>
      <c r="AL186" s="385">
        <f>SUMIFS([1]!Data_CF[Value],[1]!Data_CF[Index CF],DTRVL!$B186,[1]!Data_CF[TenCongTyID],DTRVL!$B$1,[1]!Data_CF[Thang.Nam],DTRVL!AL$155)</f>
        <v>0</v>
      </c>
    </row>
    <row r="187" spans="1:38" ht="14">
      <c r="A187" s="164" t="s">
        <v>273</v>
      </c>
      <c r="B187" s="165">
        <v>32</v>
      </c>
      <c r="C187" s="64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4"/>
      <c r="O187" s="64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385">
        <v>0</v>
      </c>
      <c r="AA187" s="385">
        <f>SUMIFS([1]!Data_CF[Value],[1]!Data_CF[Index CF],DTRVL!$B187,[1]!Data_CF[TenCongTyID],DTRVL!$B$1,[1]!Data_CF[Thang.Nam],DTRVL!AA$155)</f>
        <v>0</v>
      </c>
      <c r="AB187" s="385">
        <f>SUMIFS([1]!Data_CF[Value],[1]!Data_CF[Index CF],DTRVL!$B187,[1]!Data_CF[TenCongTyID],DTRVL!$B$1,[1]!Data_CF[Thang.Nam],DTRVL!AB$155)</f>
        <v>0</v>
      </c>
      <c r="AC187" s="385">
        <f>SUMIFS([1]!Data_CF[Value],[1]!Data_CF[Index CF],DTRVL!$B187,[1]!Data_CF[TenCongTyID],DTRVL!$B$1,[1]!Data_CF[Thang.Nam],DTRVL!AC$155)</f>
        <v>0</v>
      </c>
      <c r="AD187" s="385">
        <f>SUMIFS([1]!Data_CF[Value],[1]!Data_CF[Index CF],DTRVL!$B187,[1]!Data_CF[TenCongTyID],DTRVL!$B$1,[1]!Data_CF[Thang.Nam],DTRVL!AD$155)</f>
        <v>0</v>
      </c>
      <c r="AE187" s="385">
        <f>SUMIFS([1]!Data_CF[Value],[1]!Data_CF[Index CF],DTRVL!$B187,[1]!Data_CF[TenCongTyID],DTRVL!$B$1,[1]!Data_CF[Thang.Nam],DTRVL!AE$155)</f>
        <v>0</v>
      </c>
      <c r="AF187" s="385">
        <f>SUMIFS([1]!Data_CF[Value],[1]!Data_CF[Index CF],DTRVL!$B187,[1]!Data_CF[TenCongTyID],DTRVL!$B$1,[1]!Data_CF[Thang.Nam],DTRVL!AF$155)</f>
        <v>0</v>
      </c>
      <c r="AG187" s="385">
        <f>SUMIFS([1]!Data_CF[Value],[1]!Data_CF[Index CF],DTRVL!$B187,[1]!Data_CF[TenCongTyID],DTRVL!$B$1,[1]!Data_CF[Thang.Nam],DTRVL!AG$155)</f>
        <v>0</v>
      </c>
      <c r="AH187" s="385">
        <f>SUMIFS([1]!Data_CF[Value],[1]!Data_CF[Index CF],DTRVL!$B187,[1]!Data_CF[TenCongTyID],DTRVL!$B$1,[1]!Data_CF[Thang.Nam],DTRVL!AH$155)</f>
        <v>0</v>
      </c>
      <c r="AI187" s="385">
        <f>SUMIFS([1]!Data_CF[Value],[1]!Data_CF[Index CF],DTRVL!$B187,[1]!Data_CF[TenCongTyID],DTRVL!$B$1,[1]!Data_CF[Thang.Nam],DTRVL!AI$155)</f>
        <v>0</v>
      </c>
      <c r="AJ187" s="385">
        <f>SUMIFS([1]!Data_CF[Value],[1]!Data_CF[Index CF],DTRVL!$B187,[1]!Data_CF[TenCongTyID],DTRVL!$B$1,[1]!Data_CF[Thang.Nam],DTRVL!AJ$155)</f>
        <v>0</v>
      </c>
      <c r="AK187" s="385">
        <f>SUMIFS([1]!Data_CF[Value],[1]!Data_CF[Index CF],DTRVL!$B187,[1]!Data_CF[TenCongTyID],DTRVL!$B$1,[1]!Data_CF[Thang.Nam],DTRVL!AK$155)</f>
        <v>0</v>
      </c>
      <c r="AL187" s="385">
        <f>SUMIFS([1]!Data_CF[Value],[1]!Data_CF[Index CF],DTRVL!$B187,[1]!Data_CF[TenCongTyID],DTRVL!$B$1,[1]!Data_CF[Thang.Nam],DTRVL!AL$155)</f>
        <v>0</v>
      </c>
    </row>
    <row r="188" spans="1:38" ht="15" customHeight="1">
      <c r="A188" s="164" t="s">
        <v>274</v>
      </c>
      <c r="B188" s="165">
        <v>33</v>
      </c>
      <c r="C188" s="64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4"/>
      <c r="O188" s="64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385">
        <v>0</v>
      </c>
      <c r="AA188" s="385">
        <f>SUMIFS([1]!Data_CF[Value],[1]!Data_CF[Index CF],DTRVL!$B188,[1]!Data_CF[TenCongTyID],DTRVL!$B$1,[1]!Data_CF[Thang.Nam],DTRVL!AA$155)</f>
        <v>0</v>
      </c>
      <c r="AB188" s="385">
        <f>SUMIFS([1]!Data_CF[Value],[1]!Data_CF[Index CF],DTRVL!$B188,[1]!Data_CF[TenCongTyID],DTRVL!$B$1,[1]!Data_CF[Thang.Nam],DTRVL!AB$155)</f>
        <v>0</v>
      </c>
      <c r="AC188" s="385">
        <f>SUMIFS([1]!Data_CF[Value],[1]!Data_CF[Index CF],DTRVL!$B188,[1]!Data_CF[TenCongTyID],DTRVL!$B$1,[1]!Data_CF[Thang.Nam],DTRVL!AC$155)</f>
        <v>0</v>
      </c>
      <c r="AD188" s="385">
        <f>SUMIFS([1]!Data_CF[Value],[1]!Data_CF[Index CF],DTRVL!$B188,[1]!Data_CF[TenCongTyID],DTRVL!$B$1,[1]!Data_CF[Thang.Nam],DTRVL!AD$155)</f>
        <v>0</v>
      </c>
      <c r="AE188" s="385">
        <f>SUMIFS([1]!Data_CF[Value],[1]!Data_CF[Index CF],DTRVL!$B188,[1]!Data_CF[TenCongTyID],DTRVL!$B$1,[1]!Data_CF[Thang.Nam],DTRVL!AE$155)</f>
        <v>0</v>
      </c>
      <c r="AF188" s="385">
        <f>SUMIFS([1]!Data_CF[Value],[1]!Data_CF[Index CF],DTRVL!$B188,[1]!Data_CF[TenCongTyID],DTRVL!$B$1,[1]!Data_CF[Thang.Nam],DTRVL!AF$155)</f>
        <v>0</v>
      </c>
      <c r="AG188" s="385">
        <f>SUMIFS([1]!Data_CF[Value],[1]!Data_CF[Index CF],DTRVL!$B188,[1]!Data_CF[TenCongTyID],DTRVL!$B$1,[1]!Data_CF[Thang.Nam],DTRVL!AG$155)</f>
        <v>0</v>
      </c>
      <c r="AH188" s="385">
        <f>SUMIFS([1]!Data_CF[Value],[1]!Data_CF[Index CF],DTRVL!$B188,[1]!Data_CF[TenCongTyID],DTRVL!$B$1,[1]!Data_CF[Thang.Nam],DTRVL!AH$155)</f>
        <v>0</v>
      </c>
      <c r="AI188" s="385">
        <f>SUMIFS([1]!Data_CF[Value],[1]!Data_CF[Index CF],DTRVL!$B188,[1]!Data_CF[TenCongTyID],DTRVL!$B$1,[1]!Data_CF[Thang.Nam],DTRVL!AI$155)</f>
        <v>0</v>
      </c>
      <c r="AJ188" s="385">
        <f>SUMIFS([1]!Data_CF[Value],[1]!Data_CF[Index CF],DTRVL!$B188,[1]!Data_CF[TenCongTyID],DTRVL!$B$1,[1]!Data_CF[Thang.Nam],DTRVL!AJ$155)</f>
        <v>0</v>
      </c>
      <c r="AK188" s="385">
        <f>SUMIFS([1]!Data_CF[Value],[1]!Data_CF[Index CF],DTRVL!$B188,[1]!Data_CF[TenCongTyID],DTRVL!$B$1,[1]!Data_CF[Thang.Nam],DTRVL!AK$155)</f>
        <v>0</v>
      </c>
      <c r="AL188" s="385">
        <f>SUMIFS([1]!Data_CF[Value],[1]!Data_CF[Index CF],DTRVL!$B188,[1]!Data_CF[TenCongTyID],DTRVL!$B$1,[1]!Data_CF[Thang.Nam],DTRVL!AL$155)</f>
        <v>0</v>
      </c>
    </row>
    <row r="189" spans="1:38" ht="15" customHeight="1">
      <c r="A189" s="164" t="s">
        <v>275</v>
      </c>
      <c r="B189" s="165">
        <v>34</v>
      </c>
      <c r="C189" s="64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4"/>
      <c r="O189" s="64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385">
        <v>0</v>
      </c>
      <c r="AA189" s="385">
        <f>SUMIFS([1]!Data_CF[Value],[1]!Data_CF[Index CF],DTRVL!$B189,[1]!Data_CF[TenCongTyID],DTRVL!$B$1,[1]!Data_CF[Thang.Nam],DTRVL!AA$155)</f>
        <v>0</v>
      </c>
      <c r="AB189" s="385">
        <f>SUMIFS([1]!Data_CF[Value],[1]!Data_CF[Index CF],DTRVL!$B189,[1]!Data_CF[TenCongTyID],DTRVL!$B$1,[1]!Data_CF[Thang.Nam],DTRVL!AB$155)</f>
        <v>0</v>
      </c>
      <c r="AC189" s="385">
        <f>SUMIFS([1]!Data_CF[Value],[1]!Data_CF[Index CF],DTRVL!$B189,[1]!Data_CF[TenCongTyID],DTRVL!$B$1,[1]!Data_CF[Thang.Nam],DTRVL!AC$155)</f>
        <v>0</v>
      </c>
      <c r="AD189" s="385">
        <f>SUMIFS([1]!Data_CF[Value],[1]!Data_CF[Index CF],DTRVL!$B189,[1]!Data_CF[TenCongTyID],DTRVL!$B$1,[1]!Data_CF[Thang.Nam],DTRVL!AD$155)</f>
        <v>0</v>
      </c>
      <c r="AE189" s="385">
        <f>SUMIFS([1]!Data_CF[Value],[1]!Data_CF[Index CF],DTRVL!$B189,[1]!Data_CF[TenCongTyID],DTRVL!$B$1,[1]!Data_CF[Thang.Nam],DTRVL!AE$155)</f>
        <v>0</v>
      </c>
      <c r="AF189" s="385">
        <f>SUMIFS([1]!Data_CF[Value],[1]!Data_CF[Index CF],DTRVL!$B189,[1]!Data_CF[TenCongTyID],DTRVL!$B$1,[1]!Data_CF[Thang.Nam],DTRVL!AF$155)</f>
        <v>0</v>
      </c>
      <c r="AG189" s="385">
        <f>SUMIFS([1]!Data_CF[Value],[1]!Data_CF[Index CF],DTRVL!$B189,[1]!Data_CF[TenCongTyID],DTRVL!$B$1,[1]!Data_CF[Thang.Nam],DTRVL!AG$155)</f>
        <v>0</v>
      </c>
      <c r="AH189" s="385">
        <f>SUMIFS([1]!Data_CF[Value],[1]!Data_CF[Index CF],DTRVL!$B189,[1]!Data_CF[TenCongTyID],DTRVL!$B$1,[1]!Data_CF[Thang.Nam],DTRVL!AH$155)</f>
        <v>0</v>
      </c>
      <c r="AI189" s="385">
        <f>SUMIFS([1]!Data_CF[Value],[1]!Data_CF[Index CF],DTRVL!$B189,[1]!Data_CF[TenCongTyID],DTRVL!$B$1,[1]!Data_CF[Thang.Nam],DTRVL!AI$155)</f>
        <v>0</v>
      </c>
      <c r="AJ189" s="385">
        <f>SUMIFS([1]!Data_CF[Value],[1]!Data_CF[Index CF],DTRVL!$B189,[1]!Data_CF[TenCongTyID],DTRVL!$B$1,[1]!Data_CF[Thang.Nam],DTRVL!AJ$155)</f>
        <v>0</v>
      </c>
      <c r="AK189" s="385">
        <f>SUMIFS([1]!Data_CF[Value],[1]!Data_CF[Index CF],DTRVL!$B189,[1]!Data_CF[TenCongTyID],DTRVL!$B$1,[1]!Data_CF[Thang.Nam],DTRVL!AK$155)</f>
        <v>0</v>
      </c>
      <c r="AL189" s="385">
        <f>SUMIFS([1]!Data_CF[Value],[1]!Data_CF[Index CF],DTRVL!$B189,[1]!Data_CF[TenCongTyID],DTRVL!$B$1,[1]!Data_CF[Thang.Nam],DTRVL!AL$155)</f>
        <v>0</v>
      </c>
    </row>
    <row r="190" spans="1:38" ht="15" customHeight="1">
      <c r="A190" s="164" t="s">
        <v>276</v>
      </c>
      <c r="B190" s="165">
        <v>35</v>
      </c>
      <c r="C190" s="64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4"/>
      <c r="O190" s="64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385">
        <v>0</v>
      </c>
      <c r="AA190" s="385">
        <f>SUMIFS([1]!Data_CF[Value],[1]!Data_CF[Index CF],DTRVL!$B190,[1]!Data_CF[TenCongTyID],DTRVL!$B$1,[1]!Data_CF[Thang.Nam],DTRVL!AA$155)</f>
        <v>0</v>
      </c>
      <c r="AB190" s="385">
        <f>SUMIFS([1]!Data_CF[Value],[1]!Data_CF[Index CF],DTRVL!$B190,[1]!Data_CF[TenCongTyID],DTRVL!$B$1,[1]!Data_CF[Thang.Nam],DTRVL!AB$155)</f>
        <v>0</v>
      </c>
      <c r="AC190" s="385">
        <f>SUMIFS([1]!Data_CF[Value],[1]!Data_CF[Index CF],DTRVL!$B190,[1]!Data_CF[TenCongTyID],DTRVL!$B$1,[1]!Data_CF[Thang.Nam],DTRVL!AC$155)</f>
        <v>0</v>
      </c>
      <c r="AD190" s="385">
        <f>SUMIFS([1]!Data_CF[Value],[1]!Data_CF[Index CF],DTRVL!$B190,[1]!Data_CF[TenCongTyID],DTRVL!$B$1,[1]!Data_CF[Thang.Nam],DTRVL!AD$155)</f>
        <v>0</v>
      </c>
      <c r="AE190" s="385">
        <f>SUMIFS([1]!Data_CF[Value],[1]!Data_CF[Index CF],DTRVL!$B190,[1]!Data_CF[TenCongTyID],DTRVL!$B$1,[1]!Data_CF[Thang.Nam],DTRVL!AE$155)</f>
        <v>0</v>
      </c>
      <c r="AF190" s="385">
        <f>SUMIFS([1]!Data_CF[Value],[1]!Data_CF[Index CF],DTRVL!$B190,[1]!Data_CF[TenCongTyID],DTRVL!$B$1,[1]!Data_CF[Thang.Nam],DTRVL!AF$155)</f>
        <v>0</v>
      </c>
      <c r="AG190" s="385">
        <f>SUMIFS([1]!Data_CF[Value],[1]!Data_CF[Index CF],DTRVL!$B190,[1]!Data_CF[TenCongTyID],DTRVL!$B$1,[1]!Data_CF[Thang.Nam],DTRVL!AG$155)</f>
        <v>0</v>
      </c>
      <c r="AH190" s="385">
        <f>SUMIFS([1]!Data_CF[Value],[1]!Data_CF[Index CF],DTRVL!$B190,[1]!Data_CF[TenCongTyID],DTRVL!$B$1,[1]!Data_CF[Thang.Nam],DTRVL!AH$155)</f>
        <v>0</v>
      </c>
      <c r="AI190" s="385">
        <f>SUMIFS([1]!Data_CF[Value],[1]!Data_CF[Index CF],DTRVL!$B190,[1]!Data_CF[TenCongTyID],DTRVL!$B$1,[1]!Data_CF[Thang.Nam],DTRVL!AI$155)</f>
        <v>0</v>
      </c>
      <c r="AJ190" s="385">
        <f>SUMIFS([1]!Data_CF[Value],[1]!Data_CF[Index CF],DTRVL!$B190,[1]!Data_CF[TenCongTyID],DTRVL!$B$1,[1]!Data_CF[Thang.Nam],DTRVL!AJ$155)</f>
        <v>0</v>
      </c>
      <c r="AK190" s="385">
        <f>SUMIFS([1]!Data_CF[Value],[1]!Data_CF[Index CF],DTRVL!$B190,[1]!Data_CF[TenCongTyID],DTRVL!$B$1,[1]!Data_CF[Thang.Nam],DTRVL!AK$155)</f>
        <v>0</v>
      </c>
      <c r="AL190" s="385">
        <f>SUMIFS([1]!Data_CF[Value],[1]!Data_CF[Index CF],DTRVL!$B190,[1]!Data_CF[TenCongTyID],DTRVL!$B$1,[1]!Data_CF[Thang.Nam],DTRVL!AL$155)</f>
        <v>0</v>
      </c>
    </row>
    <row r="191" spans="1:38" ht="15" customHeight="1">
      <c r="A191" s="164" t="s">
        <v>277</v>
      </c>
      <c r="B191" s="165">
        <v>36</v>
      </c>
      <c r="C191" s="64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4"/>
      <c r="O191" s="64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385">
        <v>0</v>
      </c>
      <c r="AA191" s="385">
        <f>SUMIFS([1]!Data_CF[Value],[1]!Data_CF[Index CF],DTRVL!$B191,[1]!Data_CF[TenCongTyID],DTRVL!$B$1,[1]!Data_CF[Thang.Nam],DTRVL!AA$155)</f>
        <v>0</v>
      </c>
      <c r="AB191" s="385">
        <f>SUMIFS([1]!Data_CF[Value],[1]!Data_CF[Index CF],DTRVL!$B191,[1]!Data_CF[TenCongTyID],DTRVL!$B$1,[1]!Data_CF[Thang.Nam],DTRVL!AB$155)</f>
        <v>0</v>
      </c>
      <c r="AC191" s="385">
        <f>SUMIFS([1]!Data_CF[Value],[1]!Data_CF[Index CF],DTRVL!$B191,[1]!Data_CF[TenCongTyID],DTRVL!$B$1,[1]!Data_CF[Thang.Nam],DTRVL!AC$155)</f>
        <v>0</v>
      </c>
      <c r="AD191" s="385">
        <f>SUMIFS([1]!Data_CF[Value],[1]!Data_CF[Index CF],DTRVL!$B191,[1]!Data_CF[TenCongTyID],DTRVL!$B$1,[1]!Data_CF[Thang.Nam],DTRVL!AD$155)</f>
        <v>0</v>
      </c>
      <c r="AE191" s="385">
        <f>SUMIFS([1]!Data_CF[Value],[1]!Data_CF[Index CF],DTRVL!$B191,[1]!Data_CF[TenCongTyID],DTRVL!$B$1,[1]!Data_CF[Thang.Nam],DTRVL!AE$155)</f>
        <v>0</v>
      </c>
      <c r="AF191" s="385">
        <f>SUMIFS([1]!Data_CF[Value],[1]!Data_CF[Index CF],DTRVL!$B191,[1]!Data_CF[TenCongTyID],DTRVL!$B$1,[1]!Data_CF[Thang.Nam],DTRVL!AF$155)</f>
        <v>0</v>
      </c>
      <c r="AG191" s="385">
        <f>SUMIFS([1]!Data_CF[Value],[1]!Data_CF[Index CF],DTRVL!$B191,[1]!Data_CF[TenCongTyID],DTRVL!$B$1,[1]!Data_CF[Thang.Nam],DTRVL!AG$155)</f>
        <v>0</v>
      </c>
      <c r="AH191" s="385">
        <f>SUMIFS([1]!Data_CF[Value],[1]!Data_CF[Index CF],DTRVL!$B191,[1]!Data_CF[TenCongTyID],DTRVL!$B$1,[1]!Data_CF[Thang.Nam],DTRVL!AH$155)</f>
        <v>0</v>
      </c>
      <c r="AI191" s="385">
        <f>SUMIFS([1]!Data_CF[Value],[1]!Data_CF[Index CF],DTRVL!$B191,[1]!Data_CF[TenCongTyID],DTRVL!$B$1,[1]!Data_CF[Thang.Nam],DTRVL!AI$155)</f>
        <v>0</v>
      </c>
      <c r="AJ191" s="385">
        <f>SUMIFS([1]!Data_CF[Value],[1]!Data_CF[Index CF],DTRVL!$B191,[1]!Data_CF[TenCongTyID],DTRVL!$B$1,[1]!Data_CF[Thang.Nam],DTRVL!AJ$155)</f>
        <v>0</v>
      </c>
      <c r="AK191" s="385">
        <f>SUMIFS([1]!Data_CF[Value],[1]!Data_CF[Index CF],DTRVL!$B191,[1]!Data_CF[TenCongTyID],DTRVL!$B$1,[1]!Data_CF[Thang.Nam],DTRVL!AK$155)</f>
        <v>0</v>
      </c>
      <c r="AL191" s="385">
        <f>SUMIFS([1]!Data_CF[Value],[1]!Data_CF[Index CF],DTRVL!$B191,[1]!Data_CF[TenCongTyID],DTRVL!$B$1,[1]!Data_CF[Thang.Nam],DTRVL!AL$155)</f>
        <v>0</v>
      </c>
    </row>
    <row r="192" spans="1:38" ht="15" customHeight="1">
      <c r="A192" s="145" t="s">
        <v>278</v>
      </c>
      <c r="B192" s="146">
        <v>37</v>
      </c>
      <c r="C192" s="147">
        <f>SUM(C186:C191)</f>
        <v>0</v>
      </c>
      <c r="D192" s="148">
        <f t="shared" ref="D192" si="31">SUM(D186:D191)</f>
        <v>0</v>
      </c>
      <c r="E192" s="148"/>
      <c r="F192" s="148"/>
      <c r="G192" s="148"/>
      <c r="H192" s="148"/>
      <c r="I192" s="148"/>
      <c r="J192" s="148"/>
      <c r="K192" s="148"/>
      <c r="L192" s="148"/>
      <c r="M192" s="148"/>
      <c r="N192" s="147"/>
      <c r="O192" s="147"/>
      <c r="P192" s="148"/>
      <c r="Q192" s="148"/>
      <c r="R192" s="148"/>
      <c r="S192" s="148"/>
      <c r="T192" s="148"/>
      <c r="U192" s="148"/>
      <c r="V192" s="148"/>
      <c r="W192" s="148"/>
      <c r="X192" s="148">
        <f>SUM(X186:X191)</f>
        <v>0</v>
      </c>
      <c r="Y192" s="148">
        <f t="shared" ref="Y192" si="32">+SUM(Y186:Y191)</f>
        <v>500000000</v>
      </c>
      <c r="Z192" s="422">
        <v>5500000000</v>
      </c>
      <c r="AA192" s="422">
        <f>SUMIFS([1]!Data_CF[Value],[1]!Data_CF[Index CF],DTRVL!$B192,[1]!Data_CF[TenCongTyID],DTRVL!$B$1,[1]!Data_CF[Thang.Nam],DTRVL!AA$155)</f>
        <v>0</v>
      </c>
      <c r="AB192" s="422">
        <f>SUMIFS([1]!Data_CF[Value],[1]!Data_CF[Index CF],DTRVL!$B192,[1]!Data_CF[TenCongTyID],DTRVL!$B$1,[1]!Data_CF[Thang.Nam],DTRVL!AB$155)</f>
        <v>0</v>
      </c>
      <c r="AC192" s="422">
        <f>SUMIFS([1]!Data_CF[Value],[1]!Data_CF[Index CF],DTRVL!$B192,[1]!Data_CF[TenCongTyID],DTRVL!$B$1,[1]!Data_CF[Thang.Nam],DTRVL!AC$155)</f>
        <v>0</v>
      </c>
      <c r="AD192" s="422">
        <f>SUMIFS([1]!Data_CF[Value],[1]!Data_CF[Index CF],DTRVL!$B192,[1]!Data_CF[TenCongTyID],DTRVL!$B$1,[1]!Data_CF[Thang.Nam],DTRVL!AD$155)</f>
        <v>0</v>
      </c>
      <c r="AE192" s="422">
        <f>SUMIFS([1]!Data_CF[Value],[1]!Data_CF[Index CF],DTRVL!$B192,[1]!Data_CF[TenCongTyID],DTRVL!$B$1,[1]!Data_CF[Thang.Nam],DTRVL!AE$155)</f>
        <v>0</v>
      </c>
      <c r="AF192" s="422">
        <f>SUMIFS([1]!Data_CF[Value],[1]!Data_CF[Index CF],DTRVL!$B192,[1]!Data_CF[TenCongTyID],DTRVL!$B$1,[1]!Data_CF[Thang.Nam],DTRVL!AF$155)</f>
        <v>0</v>
      </c>
      <c r="AG192" s="422">
        <f>SUMIFS([1]!Data_CF[Value],[1]!Data_CF[Index CF],DTRVL!$B192,[1]!Data_CF[TenCongTyID],DTRVL!$B$1,[1]!Data_CF[Thang.Nam],DTRVL!AG$155)</f>
        <v>0</v>
      </c>
      <c r="AH192" s="422">
        <f>SUMIFS([1]!Data_CF[Value],[1]!Data_CF[Index CF],DTRVL!$B192,[1]!Data_CF[TenCongTyID],DTRVL!$B$1,[1]!Data_CF[Thang.Nam],DTRVL!AH$155)</f>
        <v>0</v>
      </c>
      <c r="AI192" s="422">
        <f>SUMIFS([1]!Data_CF[Value],[1]!Data_CF[Index CF],DTRVL!$B192,[1]!Data_CF[TenCongTyID],DTRVL!$B$1,[1]!Data_CF[Thang.Nam],DTRVL!AI$155)</f>
        <v>0</v>
      </c>
      <c r="AJ192" s="422">
        <f>SUMIFS([1]!Data_CF[Value],[1]!Data_CF[Index CF],DTRVL!$B192,[1]!Data_CF[TenCongTyID],DTRVL!$B$1,[1]!Data_CF[Thang.Nam],DTRVL!AJ$155)</f>
        <v>0</v>
      </c>
      <c r="AK192" s="422">
        <f>SUMIFS([1]!Data_CF[Value],[1]!Data_CF[Index CF],DTRVL!$B192,[1]!Data_CF[TenCongTyID],DTRVL!$B$1,[1]!Data_CF[Thang.Nam],DTRVL!AK$155)</f>
        <v>0</v>
      </c>
      <c r="AL192" s="422">
        <f>SUMIFS([1]!Data_CF[Value],[1]!Data_CF[Index CF],DTRVL!$B192,[1]!Data_CF[TenCongTyID],DTRVL!$B$1,[1]!Data_CF[Thang.Nam],DTRVL!AL$155)</f>
        <v>0</v>
      </c>
    </row>
    <row r="193" spans="1:38" ht="15" customHeight="1">
      <c r="A193" s="167" t="s">
        <v>279</v>
      </c>
      <c r="B193" s="168">
        <v>38</v>
      </c>
      <c r="C193" s="169">
        <f t="shared" ref="C193:Y193" si="33">+C175+C184+C192</f>
        <v>0</v>
      </c>
      <c r="D193" s="169">
        <f t="shared" si="33"/>
        <v>0</v>
      </c>
      <c r="E193" s="169"/>
      <c r="F193" s="169"/>
      <c r="G193" s="425"/>
      <c r="H193" s="425"/>
      <c r="I193" s="425"/>
      <c r="J193" s="425"/>
      <c r="K193" s="425"/>
      <c r="L193" s="425"/>
      <c r="M193" s="425"/>
      <c r="N193" s="169"/>
      <c r="O193" s="169"/>
      <c r="P193" s="169">
        <f t="shared" si="33"/>
        <v>0</v>
      </c>
      <c r="Q193" s="169">
        <f t="shared" si="33"/>
        <v>0</v>
      </c>
      <c r="R193" s="169">
        <f t="shared" si="33"/>
        <v>0</v>
      </c>
      <c r="S193" s="425">
        <f t="shared" si="33"/>
        <v>0</v>
      </c>
      <c r="T193" s="425">
        <f t="shared" si="33"/>
        <v>0</v>
      </c>
      <c r="U193" s="425">
        <f t="shared" si="33"/>
        <v>0</v>
      </c>
      <c r="V193" s="425">
        <f t="shared" si="33"/>
        <v>0</v>
      </c>
      <c r="W193" s="425">
        <f t="shared" si="33"/>
        <v>0</v>
      </c>
      <c r="X193" s="425">
        <f t="shared" si="33"/>
        <v>0</v>
      </c>
      <c r="Y193" s="425">
        <f t="shared" si="33"/>
        <v>403525189</v>
      </c>
      <c r="Z193" s="427">
        <v>5500003317</v>
      </c>
      <c r="AA193" s="427">
        <f>SUMIFS([1]!Data_CF[Value],[1]!Data_CF[Index CF],DTRVL!$B193,[1]!Data_CF[TenCongTyID],DTRVL!$B$1,[1]!Data_CF[Thang.Nam],DTRVL!AA$155)</f>
        <v>0</v>
      </c>
      <c r="AB193" s="427">
        <f>SUMIFS([1]!Data_CF[Value],[1]!Data_CF[Index CF],DTRVL!$B193,[1]!Data_CF[TenCongTyID],DTRVL!$B$1,[1]!Data_CF[Thang.Nam],DTRVL!AB$155)</f>
        <v>0</v>
      </c>
      <c r="AC193" s="427">
        <f>SUMIFS([1]!Data_CF[Value],[1]!Data_CF[Index CF],DTRVL!$B193,[1]!Data_CF[TenCongTyID],DTRVL!$B$1,[1]!Data_CF[Thang.Nam],DTRVL!AC$155)</f>
        <v>0</v>
      </c>
      <c r="AD193" s="427">
        <f>SUMIFS([1]!Data_CF[Value],[1]!Data_CF[Index CF],DTRVL!$B193,[1]!Data_CF[TenCongTyID],DTRVL!$B$1,[1]!Data_CF[Thang.Nam],DTRVL!AD$155)</f>
        <v>0</v>
      </c>
      <c r="AE193" s="427">
        <f>SUMIFS([1]!Data_CF[Value],[1]!Data_CF[Index CF],DTRVL!$B193,[1]!Data_CF[TenCongTyID],DTRVL!$B$1,[1]!Data_CF[Thang.Nam],DTRVL!AE$155)</f>
        <v>0</v>
      </c>
      <c r="AF193" s="427">
        <f>SUMIFS([1]!Data_CF[Value],[1]!Data_CF[Index CF],DTRVL!$B193,[1]!Data_CF[TenCongTyID],DTRVL!$B$1,[1]!Data_CF[Thang.Nam],DTRVL!AF$155)</f>
        <v>0</v>
      </c>
      <c r="AG193" s="427">
        <f>SUMIFS([1]!Data_CF[Value],[1]!Data_CF[Index CF],DTRVL!$B193,[1]!Data_CF[TenCongTyID],DTRVL!$B$1,[1]!Data_CF[Thang.Nam],DTRVL!AG$155)</f>
        <v>0</v>
      </c>
      <c r="AH193" s="427">
        <f>SUMIFS([1]!Data_CF[Value],[1]!Data_CF[Index CF],DTRVL!$B193,[1]!Data_CF[TenCongTyID],DTRVL!$B$1,[1]!Data_CF[Thang.Nam],DTRVL!AH$155)</f>
        <v>0</v>
      </c>
      <c r="AI193" s="427">
        <f>SUMIFS([1]!Data_CF[Value],[1]!Data_CF[Index CF],DTRVL!$B193,[1]!Data_CF[TenCongTyID],DTRVL!$B$1,[1]!Data_CF[Thang.Nam],DTRVL!AI$155)</f>
        <v>0</v>
      </c>
      <c r="AJ193" s="427">
        <f>SUMIFS([1]!Data_CF[Value],[1]!Data_CF[Index CF],DTRVL!$B193,[1]!Data_CF[TenCongTyID],DTRVL!$B$1,[1]!Data_CF[Thang.Nam],DTRVL!AJ$155)</f>
        <v>0</v>
      </c>
      <c r="AK193" s="427">
        <f>SUMIFS([1]!Data_CF[Value],[1]!Data_CF[Index CF],DTRVL!$B193,[1]!Data_CF[TenCongTyID],DTRVL!$B$1,[1]!Data_CF[Thang.Nam],DTRVL!AK$155)</f>
        <v>0</v>
      </c>
      <c r="AL193" s="427">
        <f>SUMIFS([1]!Data_CF[Value],[1]!Data_CF[Index CF],DTRVL!$B193,[1]!Data_CF[TenCongTyID],DTRVL!$B$1,[1]!Data_CF[Thang.Nam],DTRVL!AL$155)</f>
        <v>0</v>
      </c>
    </row>
    <row r="194" spans="1:38" ht="15" customHeight="1">
      <c r="A194" s="145" t="s">
        <v>280</v>
      </c>
      <c r="B194" s="146">
        <v>39</v>
      </c>
      <c r="C194" s="147"/>
      <c r="D194" s="147"/>
      <c r="E194" s="147"/>
      <c r="F194" s="148"/>
      <c r="G194" s="148"/>
      <c r="H194" s="148"/>
      <c r="I194" s="148"/>
      <c r="J194" s="148"/>
      <c r="K194" s="148"/>
      <c r="L194" s="148"/>
      <c r="M194" s="148"/>
      <c r="N194" s="147"/>
      <c r="O194" s="147"/>
      <c r="P194" s="147">
        <f t="shared" ref="P194:X194" si="34">O196</f>
        <v>0</v>
      </c>
      <c r="Q194" s="147">
        <f t="shared" si="34"/>
        <v>0</v>
      </c>
      <c r="R194" s="148">
        <f t="shared" si="34"/>
        <v>0</v>
      </c>
      <c r="S194" s="148">
        <f t="shared" si="34"/>
        <v>0</v>
      </c>
      <c r="T194" s="148">
        <f t="shared" si="34"/>
        <v>0</v>
      </c>
      <c r="U194" s="148">
        <f t="shared" si="34"/>
        <v>0</v>
      </c>
      <c r="V194" s="148">
        <f t="shared" si="34"/>
        <v>0</v>
      </c>
      <c r="W194" s="148">
        <f t="shared" si="34"/>
        <v>0</v>
      </c>
      <c r="X194" s="148">
        <f t="shared" si="34"/>
        <v>0</v>
      </c>
      <c r="Y194" s="148"/>
      <c r="Z194" s="422">
        <v>403525189</v>
      </c>
      <c r="AA194" s="422">
        <f>SUMIFS([1]!Data_CF[Value],[1]!Data_CF[Index CF],DTRVL!$B194,[1]!Data_CF[TenCongTyID],DTRVL!$B$1,[1]!Data_CF[Thang.Nam],DTRVL!AA$155)</f>
        <v>0</v>
      </c>
      <c r="AB194" s="422">
        <f>SUMIFS([1]!Data_CF[Value],[1]!Data_CF[Index CF],DTRVL!$B194,[1]!Data_CF[TenCongTyID],DTRVL!$B$1,[1]!Data_CF[Thang.Nam],DTRVL!AB$155)</f>
        <v>0</v>
      </c>
      <c r="AC194" s="422">
        <f>SUMIFS([1]!Data_CF[Value],[1]!Data_CF[Index CF],DTRVL!$B194,[1]!Data_CF[TenCongTyID],DTRVL!$B$1,[1]!Data_CF[Thang.Nam],DTRVL!AC$155)</f>
        <v>0</v>
      </c>
      <c r="AD194" s="422">
        <f>SUMIFS([1]!Data_CF[Value],[1]!Data_CF[Index CF],DTRVL!$B194,[1]!Data_CF[TenCongTyID],DTRVL!$B$1,[1]!Data_CF[Thang.Nam],DTRVL!AD$155)</f>
        <v>0</v>
      </c>
      <c r="AE194" s="422">
        <f>SUMIFS([1]!Data_CF[Value],[1]!Data_CF[Index CF],DTRVL!$B194,[1]!Data_CF[TenCongTyID],DTRVL!$B$1,[1]!Data_CF[Thang.Nam],DTRVL!AE$155)</f>
        <v>0</v>
      </c>
      <c r="AF194" s="422">
        <f>SUMIFS([1]!Data_CF[Value],[1]!Data_CF[Index CF],DTRVL!$B194,[1]!Data_CF[TenCongTyID],DTRVL!$B$1,[1]!Data_CF[Thang.Nam],DTRVL!AF$155)</f>
        <v>0</v>
      </c>
      <c r="AG194" s="422">
        <f>SUMIFS([1]!Data_CF[Value],[1]!Data_CF[Index CF],DTRVL!$B194,[1]!Data_CF[TenCongTyID],DTRVL!$B$1,[1]!Data_CF[Thang.Nam],DTRVL!AG$155)</f>
        <v>0</v>
      </c>
      <c r="AH194" s="422">
        <f>SUMIFS([1]!Data_CF[Value],[1]!Data_CF[Index CF],DTRVL!$B194,[1]!Data_CF[TenCongTyID],DTRVL!$B$1,[1]!Data_CF[Thang.Nam],DTRVL!AH$155)</f>
        <v>0</v>
      </c>
      <c r="AI194" s="422">
        <f>SUMIFS([1]!Data_CF[Value],[1]!Data_CF[Index CF],DTRVL!$B194,[1]!Data_CF[TenCongTyID],DTRVL!$B$1,[1]!Data_CF[Thang.Nam],DTRVL!AI$155)</f>
        <v>0</v>
      </c>
      <c r="AJ194" s="422">
        <f>SUMIFS([1]!Data_CF[Value],[1]!Data_CF[Index CF],DTRVL!$B194,[1]!Data_CF[TenCongTyID],DTRVL!$B$1,[1]!Data_CF[Thang.Nam],DTRVL!AJ$155)</f>
        <v>0</v>
      </c>
      <c r="AK194" s="422">
        <f>SUMIFS([1]!Data_CF[Value],[1]!Data_CF[Index CF],DTRVL!$B194,[1]!Data_CF[TenCongTyID],DTRVL!$B$1,[1]!Data_CF[Thang.Nam],DTRVL!AK$155)</f>
        <v>0</v>
      </c>
      <c r="AL194" s="422">
        <f>SUMIFS([1]!Data_CF[Value],[1]!Data_CF[Index CF],DTRVL!$B194,[1]!Data_CF[TenCongTyID],DTRVL!$B$1,[1]!Data_CF[Thang.Nam],DTRVL!AL$155)</f>
        <v>0</v>
      </c>
    </row>
    <row r="195" spans="1:38" ht="15" customHeight="1">
      <c r="A195" s="170" t="s">
        <v>281</v>
      </c>
      <c r="B195" s="171">
        <v>40</v>
      </c>
      <c r="C195" s="147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7"/>
      <c r="O195" s="147"/>
      <c r="P195" s="148"/>
      <c r="Q195" s="148"/>
      <c r="R195" s="148"/>
      <c r="S195" s="148"/>
      <c r="T195" s="148"/>
      <c r="U195" s="148">
        <v>0</v>
      </c>
      <c r="V195" s="148">
        <v>0</v>
      </c>
      <c r="W195" s="148"/>
      <c r="X195" s="148"/>
      <c r="Y195" s="148"/>
      <c r="Z195" s="422">
        <v>0</v>
      </c>
      <c r="AA195" s="422">
        <f>SUMIFS([1]!Data_CF[Value],[1]!Data_CF[Index CF],DTRVL!$B195,[1]!Data_CF[TenCongTyID],DTRVL!$B$1,[1]!Data_CF[Thang.Nam],DTRVL!AA$155)</f>
        <v>0</v>
      </c>
      <c r="AB195" s="422">
        <f>SUMIFS([1]!Data_CF[Value],[1]!Data_CF[Index CF],DTRVL!$B195,[1]!Data_CF[TenCongTyID],DTRVL!$B$1,[1]!Data_CF[Thang.Nam],DTRVL!AB$155)</f>
        <v>0</v>
      </c>
      <c r="AC195" s="422">
        <f>SUMIFS([1]!Data_CF[Value],[1]!Data_CF[Index CF],DTRVL!$B195,[1]!Data_CF[TenCongTyID],DTRVL!$B$1,[1]!Data_CF[Thang.Nam],DTRVL!AC$155)</f>
        <v>0</v>
      </c>
      <c r="AD195" s="422">
        <f>SUMIFS([1]!Data_CF[Value],[1]!Data_CF[Index CF],DTRVL!$B195,[1]!Data_CF[TenCongTyID],DTRVL!$B$1,[1]!Data_CF[Thang.Nam],DTRVL!AD$155)</f>
        <v>0</v>
      </c>
      <c r="AE195" s="422">
        <f>SUMIFS([1]!Data_CF[Value],[1]!Data_CF[Index CF],DTRVL!$B195,[1]!Data_CF[TenCongTyID],DTRVL!$B$1,[1]!Data_CF[Thang.Nam],DTRVL!AE$155)</f>
        <v>0</v>
      </c>
      <c r="AF195" s="422">
        <f>SUMIFS([1]!Data_CF[Value],[1]!Data_CF[Index CF],DTRVL!$B195,[1]!Data_CF[TenCongTyID],DTRVL!$B$1,[1]!Data_CF[Thang.Nam],DTRVL!AF$155)</f>
        <v>0</v>
      </c>
      <c r="AG195" s="422">
        <f>SUMIFS([1]!Data_CF[Value],[1]!Data_CF[Index CF],DTRVL!$B195,[1]!Data_CF[TenCongTyID],DTRVL!$B$1,[1]!Data_CF[Thang.Nam],DTRVL!AG$155)</f>
        <v>0</v>
      </c>
      <c r="AH195" s="422">
        <f>SUMIFS([1]!Data_CF[Value],[1]!Data_CF[Index CF],DTRVL!$B195,[1]!Data_CF[TenCongTyID],DTRVL!$B$1,[1]!Data_CF[Thang.Nam],DTRVL!AH$155)</f>
        <v>0</v>
      </c>
      <c r="AI195" s="422">
        <f>SUMIFS([1]!Data_CF[Value],[1]!Data_CF[Index CF],DTRVL!$B195,[1]!Data_CF[TenCongTyID],DTRVL!$B$1,[1]!Data_CF[Thang.Nam],DTRVL!AI$155)</f>
        <v>0</v>
      </c>
      <c r="AJ195" s="422">
        <f>SUMIFS([1]!Data_CF[Value],[1]!Data_CF[Index CF],DTRVL!$B195,[1]!Data_CF[TenCongTyID],DTRVL!$B$1,[1]!Data_CF[Thang.Nam],DTRVL!AJ$155)</f>
        <v>0</v>
      </c>
      <c r="AK195" s="422">
        <f>SUMIFS([1]!Data_CF[Value],[1]!Data_CF[Index CF],DTRVL!$B195,[1]!Data_CF[TenCongTyID],DTRVL!$B$1,[1]!Data_CF[Thang.Nam],DTRVL!AK$155)</f>
        <v>0</v>
      </c>
      <c r="AL195" s="422">
        <f>SUMIFS([1]!Data_CF[Value],[1]!Data_CF[Index CF],DTRVL!$B195,[1]!Data_CF[TenCongTyID],DTRVL!$B$1,[1]!Data_CF[Thang.Nam],DTRVL!AL$155)</f>
        <v>0</v>
      </c>
    </row>
    <row r="196" spans="1:38" s="428" customFormat="1" ht="15" customHeight="1">
      <c r="A196" s="145" t="s">
        <v>282</v>
      </c>
      <c r="B196" s="146">
        <v>41</v>
      </c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61"/>
      <c r="O196" s="173"/>
      <c r="P196" s="173">
        <f t="shared" ref="P196:Y196" si="35">+P194+P193+P195</f>
        <v>0</v>
      </c>
      <c r="Q196" s="173">
        <f t="shared" si="35"/>
        <v>0</v>
      </c>
      <c r="R196" s="173">
        <f t="shared" si="35"/>
        <v>0</v>
      </c>
      <c r="S196" s="173">
        <f t="shared" si="35"/>
        <v>0</v>
      </c>
      <c r="T196" s="173">
        <f t="shared" si="35"/>
        <v>0</v>
      </c>
      <c r="U196" s="173">
        <f t="shared" si="35"/>
        <v>0</v>
      </c>
      <c r="V196" s="173">
        <f t="shared" si="35"/>
        <v>0</v>
      </c>
      <c r="W196" s="173">
        <f t="shared" si="35"/>
        <v>0</v>
      </c>
      <c r="X196" s="173">
        <f t="shared" si="35"/>
        <v>0</v>
      </c>
      <c r="Y196" s="173">
        <f t="shared" si="35"/>
        <v>403525189</v>
      </c>
      <c r="Z196" s="383">
        <v>5903528506</v>
      </c>
      <c r="AA196" s="383">
        <f>SUMIFS([1]!Data_CF[Value],[1]!Data_CF[Index CF],DTRVL!$B196,[1]!Data_CF[TenCongTyID],DTRVL!$B$1,[1]!Data_CF[Thang.Nam],DTRVL!AA$155)</f>
        <v>0</v>
      </c>
      <c r="AB196" s="383">
        <f>SUMIFS([1]!Data_CF[Value],[1]!Data_CF[Index CF],DTRVL!$B196,[1]!Data_CF[TenCongTyID],DTRVL!$B$1,[1]!Data_CF[Thang.Nam],DTRVL!AB$155)</f>
        <v>0</v>
      </c>
      <c r="AC196" s="383">
        <f>SUMIFS([1]!Data_CF[Value],[1]!Data_CF[Index CF],DTRVL!$B196,[1]!Data_CF[TenCongTyID],DTRVL!$B$1,[1]!Data_CF[Thang.Nam],DTRVL!AC$155)</f>
        <v>0</v>
      </c>
      <c r="AD196" s="383">
        <f>SUMIFS([1]!Data_CF[Value],[1]!Data_CF[Index CF],DTRVL!$B196,[1]!Data_CF[TenCongTyID],DTRVL!$B$1,[1]!Data_CF[Thang.Nam],DTRVL!AD$155)</f>
        <v>0</v>
      </c>
      <c r="AE196" s="383">
        <f>SUMIFS([1]!Data_CF[Value],[1]!Data_CF[Index CF],DTRVL!$B196,[1]!Data_CF[TenCongTyID],DTRVL!$B$1,[1]!Data_CF[Thang.Nam],DTRVL!AE$155)</f>
        <v>0</v>
      </c>
      <c r="AF196" s="383">
        <f>SUMIFS([1]!Data_CF[Value],[1]!Data_CF[Index CF],DTRVL!$B196,[1]!Data_CF[TenCongTyID],DTRVL!$B$1,[1]!Data_CF[Thang.Nam],DTRVL!AF$155)</f>
        <v>0</v>
      </c>
      <c r="AG196" s="383">
        <f>SUMIFS([1]!Data_CF[Value],[1]!Data_CF[Index CF],DTRVL!$B196,[1]!Data_CF[TenCongTyID],DTRVL!$B$1,[1]!Data_CF[Thang.Nam],DTRVL!AG$155)</f>
        <v>0</v>
      </c>
      <c r="AH196" s="383">
        <f>SUMIFS([1]!Data_CF[Value],[1]!Data_CF[Index CF],DTRVL!$B196,[1]!Data_CF[TenCongTyID],DTRVL!$B$1,[1]!Data_CF[Thang.Nam],DTRVL!AH$155)</f>
        <v>0</v>
      </c>
      <c r="AI196" s="383">
        <f>SUMIFS([1]!Data_CF[Value],[1]!Data_CF[Index CF],DTRVL!$B196,[1]!Data_CF[TenCongTyID],DTRVL!$B$1,[1]!Data_CF[Thang.Nam],DTRVL!AI$155)</f>
        <v>0</v>
      </c>
      <c r="AJ196" s="383">
        <f>SUMIFS([1]!Data_CF[Value],[1]!Data_CF[Index CF],DTRVL!$B196,[1]!Data_CF[TenCongTyID],DTRVL!$B$1,[1]!Data_CF[Thang.Nam],DTRVL!AJ$155)</f>
        <v>0</v>
      </c>
      <c r="AK196" s="383">
        <f>SUMIFS([1]!Data_CF[Value],[1]!Data_CF[Index CF],DTRVL!$B196,[1]!Data_CF[TenCongTyID],DTRVL!$B$1,[1]!Data_CF[Thang.Nam],DTRVL!AK$155)</f>
        <v>0</v>
      </c>
      <c r="AL196" s="383">
        <f>SUMIFS([1]!Data_CF[Value],[1]!Data_CF[Index CF],DTRVL!$B196,[1]!Data_CF[TenCongTyID],DTRVL!$B$1,[1]!Data_CF[Thang.Nam],DTRVL!AL$155)</f>
        <v>0</v>
      </c>
    </row>
    <row r="197" spans="1:38" ht="15" customHeight="1">
      <c r="C197" s="175"/>
      <c r="D197" s="175"/>
      <c r="E197" s="175"/>
      <c r="F197" s="175"/>
      <c r="G197" s="429"/>
      <c r="H197" s="429"/>
      <c r="I197" s="429"/>
      <c r="J197" s="429"/>
      <c r="K197" s="429"/>
      <c r="L197" s="175"/>
      <c r="M197" s="175"/>
      <c r="N197" s="175"/>
      <c r="O197" s="175"/>
      <c r="P197" s="175">
        <f t="shared" ref="P197:Y197" si="36">P7-P196</f>
        <v>0</v>
      </c>
      <c r="Q197" s="175">
        <f t="shared" si="36"/>
        <v>0</v>
      </c>
      <c r="R197" s="175">
        <f t="shared" si="36"/>
        <v>0</v>
      </c>
      <c r="S197" s="175">
        <f t="shared" si="36"/>
        <v>0</v>
      </c>
      <c r="T197" s="175">
        <f t="shared" si="36"/>
        <v>0</v>
      </c>
      <c r="U197" s="175">
        <f t="shared" si="36"/>
        <v>0</v>
      </c>
      <c r="V197" s="175">
        <f t="shared" si="36"/>
        <v>0</v>
      </c>
      <c r="W197" s="175">
        <f t="shared" si="36"/>
        <v>0</v>
      </c>
      <c r="X197" s="175">
        <f t="shared" si="36"/>
        <v>0</v>
      </c>
      <c r="Y197" s="175">
        <f t="shared" si="36"/>
        <v>0</v>
      </c>
      <c r="Z197" s="175">
        <v>0</v>
      </c>
      <c r="AA197" s="175"/>
      <c r="AB197" s="175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</row>
    <row r="198" spans="1:38" ht="15" customHeight="1">
      <c r="A198" s="176" t="s">
        <v>283</v>
      </c>
      <c r="B198" s="177" t="s">
        <v>284</v>
      </c>
      <c r="C198" s="349" t="s">
        <v>66</v>
      </c>
      <c r="D198" s="349" t="s">
        <v>67</v>
      </c>
      <c r="E198" s="349" t="s">
        <v>68</v>
      </c>
      <c r="F198" s="349" t="s">
        <v>69</v>
      </c>
      <c r="G198" s="349" t="s">
        <v>70</v>
      </c>
      <c r="H198" s="349" t="s">
        <v>71</v>
      </c>
      <c r="I198" s="349" t="s">
        <v>72</v>
      </c>
      <c r="J198" s="349" t="s">
        <v>73</v>
      </c>
      <c r="K198" s="349" t="s">
        <v>74</v>
      </c>
      <c r="L198" s="349" t="s">
        <v>75</v>
      </c>
      <c r="M198" s="349" t="s">
        <v>76</v>
      </c>
      <c r="N198" s="349" t="s">
        <v>77</v>
      </c>
      <c r="O198" s="349" t="s">
        <v>78</v>
      </c>
      <c r="P198" s="349" t="s">
        <v>79</v>
      </c>
      <c r="Q198" s="349" t="s">
        <v>80</v>
      </c>
      <c r="R198" s="349" t="s">
        <v>81</v>
      </c>
      <c r="S198" s="349" t="s">
        <v>82</v>
      </c>
      <c r="T198" s="349" t="s">
        <v>83</v>
      </c>
      <c r="U198" s="349" t="s">
        <v>84</v>
      </c>
      <c r="V198" s="349" t="s">
        <v>85</v>
      </c>
      <c r="W198" s="349" t="s">
        <v>86</v>
      </c>
      <c r="X198" s="349" t="s">
        <v>87</v>
      </c>
      <c r="Y198" s="349" t="s">
        <v>88</v>
      </c>
      <c r="Z198" s="439" t="s">
        <v>89</v>
      </c>
      <c r="AA198" s="439" t="s">
        <v>8</v>
      </c>
      <c r="AB198" s="439" t="s">
        <v>9</v>
      </c>
      <c r="AC198" s="439" t="s">
        <v>10</v>
      </c>
      <c r="AD198" s="439" t="s">
        <v>11</v>
      </c>
      <c r="AE198" s="439" t="s">
        <v>12</v>
      </c>
      <c r="AF198" s="439" t="s">
        <v>13</v>
      </c>
      <c r="AG198" s="439" t="s">
        <v>14</v>
      </c>
      <c r="AH198" s="439" t="s">
        <v>15</v>
      </c>
      <c r="AI198" s="439" t="s">
        <v>16</v>
      </c>
      <c r="AJ198" s="439" t="s">
        <v>17</v>
      </c>
      <c r="AK198" s="439" t="s">
        <v>18</v>
      </c>
      <c r="AL198" s="439" t="s">
        <v>19</v>
      </c>
    </row>
    <row r="199" spans="1:38" ht="15" customHeight="1">
      <c r="A199" s="178" t="s">
        <v>285</v>
      </c>
      <c r="B199" s="179">
        <v>1</v>
      </c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>
        <v>0</v>
      </c>
      <c r="AA199" s="180">
        <f>SUMIFS([1]!Data_PL_Element[Value],[1]!Data_PL_Element[Index PL Element],DTRVL!$B199,[1]!Data_PL_Element[TenCongTyID],DTRVL!$B$1,[1]!Data_PL_Element[Thang.Nam],DTRVL!AA$198)</f>
        <v>0</v>
      </c>
      <c r="AB199" s="180">
        <f>SUMIFS([1]!Data_PL_Element[Value],[1]!Data_PL_Element[Index PL Element],DTRVL!$B199,[1]!Data_PL_Element[TenCongTyID],DTRVL!$B$1,[1]!Data_PL_Element[Thang.Nam],DTRVL!AB$198)</f>
        <v>0</v>
      </c>
      <c r="AC199" s="180">
        <f>SUMIFS([1]!Data_PL_Element[Value],[1]!Data_PL_Element[Index PL Element],DTRVL!$B199,[1]!Data_PL_Element[TenCongTyID],DTRVL!$B$1,[1]!Data_PL_Element[Thang.Nam],DTRVL!AC$198)</f>
        <v>0</v>
      </c>
      <c r="AD199" s="180">
        <f>SUMIFS([1]!Data_PL_Element[Value],[1]!Data_PL_Element[Index PL Element],DTRVL!$B199,[1]!Data_PL_Element[TenCongTyID],DTRVL!$B$1,[1]!Data_PL_Element[Thang.Nam],DTRVL!AD$198)</f>
        <v>0</v>
      </c>
      <c r="AE199" s="180">
        <f>SUMIFS([1]!Data_PL_Element[Value],[1]!Data_PL_Element[Index PL Element],DTRVL!$B199,[1]!Data_PL_Element[TenCongTyID],DTRVL!$B$1,[1]!Data_PL_Element[Thang.Nam],DTRVL!AE$198)</f>
        <v>0</v>
      </c>
      <c r="AF199" s="180">
        <f>SUMIFS([1]!Data_PL_Element[Value],[1]!Data_PL_Element[Index PL Element],DTRVL!$B199,[1]!Data_PL_Element[TenCongTyID],DTRVL!$B$1,[1]!Data_PL_Element[Thang.Nam],DTRVL!AF$198)</f>
        <v>0</v>
      </c>
      <c r="AG199" s="180">
        <f>SUMIFS([1]!Data_PL_Element[Value],[1]!Data_PL_Element[Index PL Element],DTRVL!$B199,[1]!Data_PL_Element[TenCongTyID],DTRVL!$B$1,[1]!Data_PL_Element[Thang.Nam],DTRVL!AG$198)</f>
        <v>0</v>
      </c>
      <c r="AH199" s="180">
        <f>SUMIFS([1]!Data_PL_Element[Value],[1]!Data_PL_Element[Index PL Element],DTRVL!$B199,[1]!Data_PL_Element[TenCongTyID],DTRVL!$B$1,[1]!Data_PL_Element[Thang.Nam],DTRVL!AH$198)</f>
        <v>0</v>
      </c>
      <c r="AI199" s="180">
        <f>SUMIFS([1]!Data_PL_Element[Value],[1]!Data_PL_Element[Index PL Element],DTRVL!$B199,[1]!Data_PL_Element[TenCongTyID],DTRVL!$B$1,[1]!Data_PL_Element[Thang.Nam],DTRVL!AI$198)</f>
        <v>0</v>
      </c>
      <c r="AJ199" s="180">
        <f>SUMIFS([1]!Data_PL_Element[Value],[1]!Data_PL_Element[Index PL Element],DTRVL!$B199,[1]!Data_PL_Element[TenCongTyID],DTRVL!$B$1,[1]!Data_PL_Element[Thang.Nam],DTRVL!AJ$198)</f>
        <v>0</v>
      </c>
      <c r="AK199" s="180">
        <f>SUMIFS([1]!Data_PL_Element[Value],[1]!Data_PL_Element[Index PL Element],DTRVL!$B199,[1]!Data_PL_Element[TenCongTyID],DTRVL!$B$1,[1]!Data_PL_Element[Thang.Nam],DTRVL!AK$198)</f>
        <v>0</v>
      </c>
      <c r="AL199" s="180">
        <f>SUMIFS([1]!Data_PL_Element[Value],[1]!Data_PL_Element[Index PL Element],DTRVL!$B199,[1]!Data_PL_Element[TenCongTyID],DTRVL!$B$1,[1]!Data_PL_Element[Thang.Nam],DTRVL!AL$198)</f>
        <v>0</v>
      </c>
    </row>
    <row r="200" spans="1:38" ht="15" customHeight="1">
      <c r="A200" s="178" t="s">
        <v>286</v>
      </c>
      <c r="B200" s="179">
        <v>2</v>
      </c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>
        <v>0</v>
      </c>
      <c r="AA200" s="180">
        <f>SUMIFS([1]!Data_PL_Element[Value],[1]!Data_PL_Element[Index PL Element],DTRVL!$B200,[1]!Data_PL_Element[TenCongTyID],DTRVL!$B$1,[1]!Data_PL_Element[Thang.Nam],DTRVL!AA$198)</f>
        <v>0</v>
      </c>
      <c r="AB200" s="180">
        <f>SUMIFS([1]!Data_PL_Element[Value],[1]!Data_PL_Element[Index PL Element],DTRVL!$B200,[1]!Data_PL_Element[TenCongTyID],DTRVL!$B$1,[1]!Data_PL_Element[Thang.Nam],DTRVL!AB$198)</f>
        <v>0</v>
      </c>
      <c r="AC200" s="180">
        <f>SUMIFS([1]!Data_PL_Element[Value],[1]!Data_PL_Element[Index PL Element],DTRVL!$B200,[1]!Data_PL_Element[TenCongTyID],DTRVL!$B$1,[1]!Data_PL_Element[Thang.Nam],DTRVL!AC$198)</f>
        <v>0</v>
      </c>
      <c r="AD200" s="180">
        <f>SUMIFS([1]!Data_PL_Element[Value],[1]!Data_PL_Element[Index PL Element],DTRVL!$B200,[1]!Data_PL_Element[TenCongTyID],DTRVL!$B$1,[1]!Data_PL_Element[Thang.Nam],DTRVL!AD$198)</f>
        <v>0</v>
      </c>
      <c r="AE200" s="180">
        <f>SUMIFS([1]!Data_PL_Element[Value],[1]!Data_PL_Element[Index PL Element],DTRVL!$B200,[1]!Data_PL_Element[TenCongTyID],DTRVL!$B$1,[1]!Data_PL_Element[Thang.Nam],DTRVL!AE$198)</f>
        <v>0</v>
      </c>
      <c r="AF200" s="180">
        <f>SUMIFS([1]!Data_PL_Element[Value],[1]!Data_PL_Element[Index PL Element],DTRVL!$B200,[1]!Data_PL_Element[TenCongTyID],DTRVL!$B$1,[1]!Data_PL_Element[Thang.Nam],DTRVL!AF$198)</f>
        <v>0</v>
      </c>
      <c r="AG200" s="180">
        <f>SUMIFS([1]!Data_PL_Element[Value],[1]!Data_PL_Element[Index PL Element],DTRVL!$B200,[1]!Data_PL_Element[TenCongTyID],DTRVL!$B$1,[1]!Data_PL_Element[Thang.Nam],DTRVL!AG$198)</f>
        <v>0</v>
      </c>
      <c r="AH200" s="180">
        <f>SUMIFS([1]!Data_PL_Element[Value],[1]!Data_PL_Element[Index PL Element],DTRVL!$B200,[1]!Data_PL_Element[TenCongTyID],DTRVL!$B$1,[1]!Data_PL_Element[Thang.Nam],DTRVL!AH$198)</f>
        <v>0</v>
      </c>
      <c r="AI200" s="180">
        <f>SUMIFS([1]!Data_PL_Element[Value],[1]!Data_PL_Element[Index PL Element],DTRVL!$B200,[1]!Data_PL_Element[TenCongTyID],DTRVL!$B$1,[1]!Data_PL_Element[Thang.Nam],DTRVL!AI$198)</f>
        <v>0</v>
      </c>
      <c r="AJ200" s="180">
        <f>SUMIFS([1]!Data_PL_Element[Value],[1]!Data_PL_Element[Index PL Element],DTRVL!$B200,[1]!Data_PL_Element[TenCongTyID],DTRVL!$B$1,[1]!Data_PL_Element[Thang.Nam],DTRVL!AJ$198)</f>
        <v>0</v>
      </c>
      <c r="AK200" s="180">
        <f>SUMIFS([1]!Data_PL_Element[Value],[1]!Data_PL_Element[Index PL Element],DTRVL!$B200,[1]!Data_PL_Element[TenCongTyID],DTRVL!$B$1,[1]!Data_PL_Element[Thang.Nam],DTRVL!AK$198)</f>
        <v>0</v>
      </c>
      <c r="AL200" s="180">
        <f>SUMIFS([1]!Data_PL_Element[Value],[1]!Data_PL_Element[Index PL Element],DTRVL!$B200,[1]!Data_PL_Element[TenCongTyID],DTRVL!$B$1,[1]!Data_PL_Element[Thang.Nam],DTRVL!AL$198)</f>
        <v>0</v>
      </c>
    </row>
    <row r="201" spans="1:38" ht="15" customHeight="1">
      <c r="A201" s="178" t="s">
        <v>287</v>
      </c>
      <c r="B201" s="179">
        <v>3</v>
      </c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>
        <v>0</v>
      </c>
      <c r="AA201" s="180">
        <f>SUMIFS([1]!Data_PL_Element[Value],[1]!Data_PL_Element[Index PL Element],DTRVL!$B201,[1]!Data_PL_Element[TenCongTyID],DTRVL!$B$1,[1]!Data_PL_Element[Thang.Nam],DTRVL!AA$198)</f>
        <v>0</v>
      </c>
      <c r="AB201" s="180">
        <f>SUMIFS([1]!Data_PL_Element[Value],[1]!Data_PL_Element[Index PL Element],DTRVL!$B201,[1]!Data_PL_Element[TenCongTyID],DTRVL!$B$1,[1]!Data_PL_Element[Thang.Nam],DTRVL!AB$198)</f>
        <v>0</v>
      </c>
      <c r="AC201" s="180">
        <f>SUMIFS([1]!Data_PL_Element[Value],[1]!Data_PL_Element[Index PL Element],DTRVL!$B201,[1]!Data_PL_Element[TenCongTyID],DTRVL!$B$1,[1]!Data_PL_Element[Thang.Nam],DTRVL!AC$198)</f>
        <v>0</v>
      </c>
      <c r="AD201" s="180">
        <f>SUMIFS([1]!Data_PL_Element[Value],[1]!Data_PL_Element[Index PL Element],DTRVL!$B201,[1]!Data_PL_Element[TenCongTyID],DTRVL!$B$1,[1]!Data_PL_Element[Thang.Nam],DTRVL!AD$198)</f>
        <v>0</v>
      </c>
      <c r="AE201" s="180">
        <f>SUMIFS([1]!Data_PL_Element[Value],[1]!Data_PL_Element[Index PL Element],DTRVL!$B201,[1]!Data_PL_Element[TenCongTyID],DTRVL!$B$1,[1]!Data_PL_Element[Thang.Nam],DTRVL!AE$198)</f>
        <v>0</v>
      </c>
      <c r="AF201" s="180">
        <f>SUMIFS([1]!Data_PL_Element[Value],[1]!Data_PL_Element[Index PL Element],DTRVL!$B201,[1]!Data_PL_Element[TenCongTyID],DTRVL!$B$1,[1]!Data_PL_Element[Thang.Nam],DTRVL!AF$198)</f>
        <v>0</v>
      </c>
      <c r="AG201" s="180">
        <f>SUMIFS([1]!Data_PL_Element[Value],[1]!Data_PL_Element[Index PL Element],DTRVL!$B201,[1]!Data_PL_Element[TenCongTyID],DTRVL!$B$1,[1]!Data_PL_Element[Thang.Nam],DTRVL!AG$198)</f>
        <v>0</v>
      </c>
      <c r="AH201" s="180">
        <f>SUMIFS([1]!Data_PL_Element[Value],[1]!Data_PL_Element[Index PL Element],DTRVL!$B201,[1]!Data_PL_Element[TenCongTyID],DTRVL!$B$1,[1]!Data_PL_Element[Thang.Nam],DTRVL!AH$198)</f>
        <v>0</v>
      </c>
      <c r="AI201" s="180">
        <f>SUMIFS([1]!Data_PL_Element[Value],[1]!Data_PL_Element[Index PL Element],DTRVL!$B201,[1]!Data_PL_Element[TenCongTyID],DTRVL!$B$1,[1]!Data_PL_Element[Thang.Nam],DTRVL!AI$198)</f>
        <v>0</v>
      </c>
      <c r="AJ201" s="180">
        <f>SUMIFS([1]!Data_PL_Element[Value],[1]!Data_PL_Element[Index PL Element],DTRVL!$B201,[1]!Data_PL_Element[TenCongTyID],DTRVL!$B$1,[1]!Data_PL_Element[Thang.Nam],DTRVL!AJ$198)</f>
        <v>0</v>
      </c>
      <c r="AK201" s="180">
        <f>SUMIFS([1]!Data_PL_Element[Value],[1]!Data_PL_Element[Index PL Element],DTRVL!$B201,[1]!Data_PL_Element[TenCongTyID],DTRVL!$B$1,[1]!Data_PL_Element[Thang.Nam],DTRVL!AK$198)</f>
        <v>0</v>
      </c>
      <c r="AL201" s="180">
        <f>SUMIFS([1]!Data_PL_Element[Value],[1]!Data_PL_Element[Index PL Element],DTRVL!$B201,[1]!Data_PL_Element[TenCongTyID],DTRVL!$B$1,[1]!Data_PL_Element[Thang.Nam],DTRVL!AL$198)</f>
        <v>0</v>
      </c>
    </row>
    <row r="202" spans="1:38" ht="15" customHeight="1">
      <c r="A202" s="178" t="s">
        <v>288</v>
      </c>
      <c r="B202" s="179">
        <v>4</v>
      </c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>
        <v>0</v>
      </c>
      <c r="AA202" s="180">
        <f>SUMIFS([1]!Data_PL_Element[Value],[1]!Data_PL_Element[Index PL Element],DTRVL!$B202,[1]!Data_PL_Element[TenCongTyID],DTRVL!$B$1,[1]!Data_PL_Element[Thang.Nam],DTRVL!AA$198)</f>
        <v>0</v>
      </c>
      <c r="AB202" s="180">
        <f>SUMIFS([1]!Data_PL_Element[Value],[1]!Data_PL_Element[Index PL Element],DTRVL!$B202,[1]!Data_PL_Element[TenCongTyID],DTRVL!$B$1,[1]!Data_PL_Element[Thang.Nam],DTRVL!AB$198)</f>
        <v>0</v>
      </c>
      <c r="AC202" s="180">
        <f>SUMIFS([1]!Data_PL_Element[Value],[1]!Data_PL_Element[Index PL Element],DTRVL!$B202,[1]!Data_PL_Element[TenCongTyID],DTRVL!$B$1,[1]!Data_PL_Element[Thang.Nam],DTRVL!AC$198)</f>
        <v>0</v>
      </c>
      <c r="AD202" s="180">
        <f>SUMIFS([1]!Data_PL_Element[Value],[1]!Data_PL_Element[Index PL Element],DTRVL!$B202,[1]!Data_PL_Element[TenCongTyID],DTRVL!$B$1,[1]!Data_PL_Element[Thang.Nam],DTRVL!AD$198)</f>
        <v>0</v>
      </c>
      <c r="AE202" s="180">
        <f>SUMIFS([1]!Data_PL_Element[Value],[1]!Data_PL_Element[Index PL Element],DTRVL!$B202,[1]!Data_PL_Element[TenCongTyID],DTRVL!$B$1,[1]!Data_PL_Element[Thang.Nam],DTRVL!AE$198)</f>
        <v>0</v>
      </c>
      <c r="AF202" s="180">
        <f>SUMIFS([1]!Data_PL_Element[Value],[1]!Data_PL_Element[Index PL Element],DTRVL!$B202,[1]!Data_PL_Element[TenCongTyID],DTRVL!$B$1,[1]!Data_PL_Element[Thang.Nam],DTRVL!AF$198)</f>
        <v>0</v>
      </c>
      <c r="AG202" s="180">
        <f>SUMIFS([1]!Data_PL_Element[Value],[1]!Data_PL_Element[Index PL Element],DTRVL!$B202,[1]!Data_PL_Element[TenCongTyID],DTRVL!$B$1,[1]!Data_PL_Element[Thang.Nam],DTRVL!AG$198)</f>
        <v>0</v>
      </c>
      <c r="AH202" s="180">
        <f>SUMIFS([1]!Data_PL_Element[Value],[1]!Data_PL_Element[Index PL Element],DTRVL!$B202,[1]!Data_PL_Element[TenCongTyID],DTRVL!$B$1,[1]!Data_PL_Element[Thang.Nam],DTRVL!AH$198)</f>
        <v>0</v>
      </c>
      <c r="AI202" s="180">
        <f>SUMIFS([1]!Data_PL_Element[Value],[1]!Data_PL_Element[Index PL Element],DTRVL!$B202,[1]!Data_PL_Element[TenCongTyID],DTRVL!$B$1,[1]!Data_PL_Element[Thang.Nam],DTRVL!AI$198)</f>
        <v>0</v>
      </c>
      <c r="AJ202" s="180">
        <f>SUMIFS([1]!Data_PL_Element[Value],[1]!Data_PL_Element[Index PL Element],DTRVL!$B202,[1]!Data_PL_Element[TenCongTyID],DTRVL!$B$1,[1]!Data_PL_Element[Thang.Nam],DTRVL!AJ$198)</f>
        <v>0</v>
      </c>
      <c r="AK202" s="180">
        <f>SUMIFS([1]!Data_PL_Element[Value],[1]!Data_PL_Element[Index PL Element],DTRVL!$B202,[1]!Data_PL_Element[TenCongTyID],DTRVL!$B$1,[1]!Data_PL_Element[Thang.Nam],DTRVL!AK$198)</f>
        <v>0</v>
      </c>
      <c r="AL202" s="180">
        <f>SUMIFS([1]!Data_PL_Element[Value],[1]!Data_PL_Element[Index PL Element],DTRVL!$B202,[1]!Data_PL_Element[TenCongTyID],DTRVL!$B$1,[1]!Data_PL_Element[Thang.Nam],DTRVL!AL$198)</f>
        <v>0</v>
      </c>
    </row>
    <row r="203" spans="1:38" ht="15" customHeight="1">
      <c r="A203" s="178" t="s">
        <v>289</v>
      </c>
      <c r="B203" s="179">
        <v>5</v>
      </c>
      <c r="C203" s="180">
        <f t="shared" ref="C203:Y205" si="37">C134</f>
        <v>0</v>
      </c>
      <c r="D203" s="180">
        <f t="shared" si="37"/>
        <v>0</v>
      </c>
      <c r="E203" s="180">
        <f t="shared" si="37"/>
        <v>0</v>
      </c>
      <c r="F203" s="180">
        <f t="shared" si="37"/>
        <v>0</v>
      </c>
      <c r="G203" s="180">
        <f t="shared" si="37"/>
        <v>0</v>
      </c>
      <c r="H203" s="180">
        <f t="shared" si="37"/>
        <v>0</v>
      </c>
      <c r="I203" s="180">
        <f t="shared" si="37"/>
        <v>0</v>
      </c>
      <c r="J203" s="180">
        <f t="shared" si="37"/>
        <v>0</v>
      </c>
      <c r="K203" s="180">
        <f t="shared" si="37"/>
        <v>0</v>
      </c>
      <c r="L203" s="180">
        <f t="shared" si="37"/>
        <v>0</v>
      </c>
      <c r="M203" s="180">
        <f t="shared" si="37"/>
        <v>0</v>
      </c>
      <c r="N203" s="180">
        <f t="shared" si="37"/>
        <v>0</v>
      </c>
      <c r="O203" s="180">
        <f t="shared" si="37"/>
        <v>0</v>
      </c>
      <c r="P203" s="180">
        <f t="shared" si="37"/>
        <v>0</v>
      </c>
      <c r="Q203" s="180">
        <f t="shared" si="37"/>
        <v>0</v>
      </c>
      <c r="R203" s="180">
        <f t="shared" si="37"/>
        <v>0</v>
      </c>
      <c r="S203" s="180">
        <f t="shared" si="37"/>
        <v>0</v>
      </c>
      <c r="T203" s="180">
        <f t="shared" si="37"/>
        <v>0</v>
      </c>
      <c r="U203" s="180">
        <f t="shared" si="37"/>
        <v>0</v>
      </c>
      <c r="V203" s="180">
        <f t="shared" si="37"/>
        <v>0</v>
      </c>
      <c r="W203" s="180">
        <f t="shared" si="37"/>
        <v>0</v>
      </c>
      <c r="X203" s="180">
        <f t="shared" si="37"/>
        <v>0</v>
      </c>
      <c r="Y203" s="180">
        <f t="shared" si="37"/>
        <v>0</v>
      </c>
      <c r="Z203" s="180">
        <v>0</v>
      </c>
      <c r="AA203" s="180">
        <f t="shared" ref="AA203:AL205" si="38">AA134</f>
        <v>0</v>
      </c>
      <c r="AB203" s="180">
        <f t="shared" si="38"/>
        <v>0</v>
      </c>
      <c r="AC203" s="180">
        <f t="shared" si="38"/>
        <v>0</v>
      </c>
      <c r="AD203" s="180">
        <f t="shared" si="38"/>
        <v>0</v>
      </c>
      <c r="AE203" s="180">
        <f t="shared" si="38"/>
        <v>0</v>
      </c>
      <c r="AF203" s="180">
        <f t="shared" si="38"/>
        <v>0</v>
      </c>
      <c r="AG203" s="180">
        <f t="shared" si="38"/>
        <v>0</v>
      </c>
      <c r="AH203" s="180">
        <f t="shared" si="38"/>
        <v>0</v>
      </c>
      <c r="AI203" s="180">
        <f t="shared" si="38"/>
        <v>0</v>
      </c>
      <c r="AJ203" s="180">
        <f t="shared" si="38"/>
        <v>0</v>
      </c>
      <c r="AK203" s="180">
        <f t="shared" si="38"/>
        <v>0</v>
      </c>
      <c r="AL203" s="180">
        <f t="shared" si="38"/>
        <v>0</v>
      </c>
    </row>
    <row r="204" spans="1:38" ht="15" customHeight="1">
      <c r="A204" s="181" t="s">
        <v>290</v>
      </c>
      <c r="B204" s="182">
        <v>6</v>
      </c>
      <c r="C204" s="183">
        <f t="shared" si="37"/>
        <v>0</v>
      </c>
      <c r="D204" s="183">
        <f t="shared" si="37"/>
        <v>0</v>
      </c>
      <c r="E204" s="183">
        <f t="shared" si="37"/>
        <v>0</v>
      </c>
      <c r="F204" s="183">
        <f t="shared" si="37"/>
        <v>0</v>
      </c>
      <c r="G204" s="183">
        <f t="shared" si="37"/>
        <v>0</v>
      </c>
      <c r="H204" s="183">
        <f t="shared" si="37"/>
        <v>0</v>
      </c>
      <c r="I204" s="183">
        <f t="shared" si="37"/>
        <v>0</v>
      </c>
      <c r="J204" s="183">
        <f t="shared" si="37"/>
        <v>0</v>
      </c>
      <c r="K204" s="183">
        <f t="shared" si="37"/>
        <v>0</v>
      </c>
      <c r="L204" s="183">
        <f t="shared" si="37"/>
        <v>0</v>
      </c>
      <c r="M204" s="183">
        <f t="shared" si="37"/>
        <v>0</v>
      </c>
      <c r="N204" s="183">
        <f t="shared" si="37"/>
        <v>0</v>
      </c>
      <c r="O204" s="183">
        <f t="shared" si="37"/>
        <v>0</v>
      </c>
      <c r="P204" s="183">
        <f t="shared" si="37"/>
        <v>0</v>
      </c>
      <c r="Q204" s="183">
        <f t="shared" si="37"/>
        <v>0</v>
      </c>
      <c r="R204" s="183">
        <f t="shared" si="37"/>
        <v>0</v>
      </c>
      <c r="S204" s="183">
        <f t="shared" si="37"/>
        <v>0</v>
      </c>
      <c r="T204" s="183">
        <f t="shared" si="37"/>
        <v>0</v>
      </c>
      <c r="U204" s="183">
        <f t="shared" si="37"/>
        <v>0</v>
      </c>
      <c r="V204" s="183">
        <f t="shared" si="37"/>
        <v>0</v>
      </c>
      <c r="W204" s="183">
        <f t="shared" si="37"/>
        <v>0</v>
      </c>
      <c r="X204" s="183">
        <f t="shared" si="37"/>
        <v>0</v>
      </c>
      <c r="Y204" s="183">
        <f t="shared" si="37"/>
        <v>0</v>
      </c>
      <c r="Z204" s="183">
        <v>0</v>
      </c>
      <c r="AA204" s="183">
        <f t="shared" si="38"/>
        <v>0</v>
      </c>
      <c r="AB204" s="183">
        <f t="shared" si="38"/>
        <v>0</v>
      </c>
      <c r="AC204" s="183">
        <f t="shared" si="38"/>
        <v>0</v>
      </c>
      <c r="AD204" s="183">
        <f t="shared" si="38"/>
        <v>0</v>
      </c>
      <c r="AE204" s="183">
        <f t="shared" si="38"/>
        <v>0</v>
      </c>
      <c r="AF204" s="183">
        <f t="shared" si="38"/>
        <v>0</v>
      </c>
      <c r="AG204" s="183">
        <f t="shared" si="38"/>
        <v>0</v>
      </c>
      <c r="AH204" s="183">
        <f t="shared" si="38"/>
        <v>0</v>
      </c>
      <c r="AI204" s="183">
        <f t="shared" si="38"/>
        <v>0</v>
      </c>
      <c r="AJ204" s="183">
        <f t="shared" si="38"/>
        <v>0</v>
      </c>
      <c r="AK204" s="183">
        <f t="shared" si="38"/>
        <v>0</v>
      </c>
      <c r="AL204" s="183">
        <f t="shared" si="38"/>
        <v>0</v>
      </c>
    </row>
    <row r="205" spans="1:38" ht="15" customHeight="1">
      <c r="A205" s="184" t="s">
        <v>291</v>
      </c>
      <c r="B205" s="185">
        <v>7</v>
      </c>
      <c r="C205" s="186">
        <f t="shared" si="37"/>
        <v>0</v>
      </c>
      <c r="D205" s="186">
        <f t="shared" si="37"/>
        <v>0</v>
      </c>
      <c r="E205" s="186">
        <f t="shared" si="37"/>
        <v>0</v>
      </c>
      <c r="F205" s="186">
        <f t="shared" si="37"/>
        <v>0</v>
      </c>
      <c r="G205" s="186">
        <f t="shared" si="37"/>
        <v>0</v>
      </c>
      <c r="H205" s="186">
        <f t="shared" si="37"/>
        <v>0</v>
      </c>
      <c r="I205" s="186">
        <f t="shared" si="37"/>
        <v>0</v>
      </c>
      <c r="J205" s="186">
        <f t="shared" si="37"/>
        <v>0</v>
      </c>
      <c r="K205" s="186">
        <f t="shared" si="37"/>
        <v>0</v>
      </c>
      <c r="L205" s="186">
        <f t="shared" si="37"/>
        <v>0</v>
      </c>
      <c r="M205" s="186">
        <f t="shared" si="37"/>
        <v>0</v>
      </c>
      <c r="N205" s="186">
        <f t="shared" si="37"/>
        <v>0</v>
      </c>
      <c r="O205" s="186">
        <f t="shared" si="37"/>
        <v>0</v>
      </c>
      <c r="P205" s="186">
        <f t="shared" si="37"/>
        <v>0</v>
      </c>
      <c r="Q205" s="186">
        <f t="shared" si="37"/>
        <v>0</v>
      </c>
      <c r="R205" s="186">
        <f t="shared" si="37"/>
        <v>0</v>
      </c>
      <c r="S205" s="186">
        <f t="shared" si="37"/>
        <v>0</v>
      </c>
      <c r="T205" s="186">
        <f t="shared" si="37"/>
        <v>0</v>
      </c>
      <c r="U205" s="186">
        <f t="shared" si="37"/>
        <v>0</v>
      </c>
      <c r="V205" s="186">
        <f t="shared" si="37"/>
        <v>0</v>
      </c>
      <c r="W205" s="186">
        <f t="shared" si="37"/>
        <v>0</v>
      </c>
      <c r="X205" s="186">
        <f t="shared" si="37"/>
        <v>0</v>
      </c>
      <c r="Y205" s="186">
        <f t="shared" si="37"/>
        <v>0</v>
      </c>
      <c r="Z205" s="186">
        <v>0</v>
      </c>
      <c r="AA205" s="186">
        <f t="shared" si="38"/>
        <v>0</v>
      </c>
      <c r="AB205" s="186">
        <f t="shared" si="38"/>
        <v>0</v>
      </c>
      <c r="AC205" s="186">
        <f t="shared" si="38"/>
        <v>0</v>
      </c>
      <c r="AD205" s="186">
        <f t="shared" si="38"/>
        <v>0</v>
      </c>
      <c r="AE205" s="186">
        <f t="shared" si="38"/>
        <v>0</v>
      </c>
      <c r="AF205" s="186">
        <f t="shared" si="38"/>
        <v>0</v>
      </c>
      <c r="AG205" s="186">
        <f t="shared" si="38"/>
        <v>0</v>
      </c>
      <c r="AH205" s="186">
        <f t="shared" si="38"/>
        <v>0</v>
      </c>
      <c r="AI205" s="186">
        <f t="shared" si="38"/>
        <v>0</v>
      </c>
      <c r="AJ205" s="186">
        <f t="shared" si="38"/>
        <v>0</v>
      </c>
      <c r="AK205" s="186">
        <f t="shared" si="38"/>
        <v>0</v>
      </c>
      <c r="AL205" s="186">
        <f t="shared" si="38"/>
        <v>0</v>
      </c>
    </row>
    <row r="206" spans="1:38" ht="15" customHeight="1">
      <c r="A206" s="184" t="s">
        <v>292</v>
      </c>
      <c r="B206" s="185">
        <v>8</v>
      </c>
      <c r="C206" s="187" t="str">
        <f t="shared" ref="C206:AL206" si="39">IFERROR(C205/C204,"")</f>
        <v/>
      </c>
      <c r="D206" s="187" t="str">
        <f t="shared" si="39"/>
        <v/>
      </c>
      <c r="E206" s="187" t="str">
        <f t="shared" si="39"/>
        <v/>
      </c>
      <c r="F206" s="187" t="str">
        <f t="shared" si="39"/>
        <v/>
      </c>
      <c r="G206" s="187" t="str">
        <f t="shared" si="39"/>
        <v/>
      </c>
      <c r="H206" s="187" t="str">
        <f t="shared" si="39"/>
        <v/>
      </c>
      <c r="I206" s="187" t="str">
        <f t="shared" si="39"/>
        <v/>
      </c>
      <c r="J206" s="187" t="str">
        <f t="shared" si="39"/>
        <v/>
      </c>
      <c r="K206" s="187" t="str">
        <f t="shared" si="39"/>
        <v/>
      </c>
      <c r="L206" s="187" t="str">
        <f t="shared" si="39"/>
        <v/>
      </c>
      <c r="M206" s="187" t="str">
        <f t="shared" si="39"/>
        <v/>
      </c>
      <c r="N206" s="187" t="str">
        <f t="shared" si="39"/>
        <v/>
      </c>
      <c r="O206" s="187" t="str">
        <f t="shared" si="39"/>
        <v/>
      </c>
      <c r="P206" s="187" t="str">
        <f t="shared" si="39"/>
        <v/>
      </c>
      <c r="Q206" s="187" t="str">
        <f t="shared" si="39"/>
        <v/>
      </c>
      <c r="R206" s="187" t="str">
        <f t="shared" si="39"/>
        <v/>
      </c>
      <c r="S206" s="187" t="str">
        <f t="shared" si="39"/>
        <v/>
      </c>
      <c r="T206" s="187" t="str">
        <f t="shared" si="39"/>
        <v/>
      </c>
      <c r="U206" s="187" t="str">
        <f t="shared" si="39"/>
        <v/>
      </c>
      <c r="V206" s="187" t="str">
        <f t="shared" si="39"/>
        <v/>
      </c>
      <c r="W206" s="187" t="str">
        <f t="shared" si="39"/>
        <v/>
      </c>
      <c r="X206" s="187" t="str">
        <f t="shared" si="39"/>
        <v/>
      </c>
      <c r="Y206" s="187" t="str">
        <f t="shared" si="39"/>
        <v/>
      </c>
      <c r="Z206" s="187" t="s">
        <v>378</v>
      </c>
      <c r="AA206" s="187" t="str">
        <f t="shared" si="39"/>
        <v/>
      </c>
      <c r="AB206" s="187" t="str">
        <f t="shared" si="39"/>
        <v/>
      </c>
      <c r="AC206" s="187" t="str">
        <f t="shared" si="39"/>
        <v/>
      </c>
      <c r="AD206" s="187" t="str">
        <f t="shared" si="39"/>
        <v/>
      </c>
      <c r="AE206" s="187" t="str">
        <f t="shared" si="39"/>
        <v/>
      </c>
      <c r="AF206" s="187" t="str">
        <f t="shared" si="39"/>
        <v/>
      </c>
      <c r="AG206" s="187" t="str">
        <f t="shared" si="39"/>
        <v/>
      </c>
      <c r="AH206" s="187" t="str">
        <f t="shared" si="39"/>
        <v/>
      </c>
      <c r="AI206" s="187" t="str">
        <f t="shared" si="39"/>
        <v/>
      </c>
      <c r="AJ206" s="187" t="str">
        <f t="shared" si="39"/>
        <v/>
      </c>
      <c r="AK206" s="187" t="str">
        <f t="shared" si="39"/>
        <v/>
      </c>
      <c r="AL206" s="187" t="str">
        <f t="shared" si="39"/>
        <v/>
      </c>
    </row>
    <row r="207" spans="1:38" ht="15" customHeight="1">
      <c r="A207" s="181" t="s">
        <v>293</v>
      </c>
      <c r="B207" s="182">
        <v>9</v>
      </c>
      <c r="C207" s="188">
        <f t="shared" ref="C207:AL207" si="40">C137</f>
        <v>0</v>
      </c>
      <c r="D207" s="188">
        <f t="shared" si="40"/>
        <v>0</v>
      </c>
      <c r="E207" s="188">
        <f t="shared" si="40"/>
        <v>0</v>
      </c>
      <c r="F207" s="188">
        <f t="shared" si="40"/>
        <v>0</v>
      </c>
      <c r="G207" s="188">
        <f t="shared" si="40"/>
        <v>0</v>
      </c>
      <c r="H207" s="188">
        <f t="shared" si="40"/>
        <v>0</v>
      </c>
      <c r="I207" s="188">
        <f t="shared" si="40"/>
        <v>0</v>
      </c>
      <c r="J207" s="188">
        <f t="shared" si="40"/>
        <v>0</v>
      </c>
      <c r="K207" s="188">
        <f t="shared" si="40"/>
        <v>0</v>
      </c>
      <c r="L207" s="188">
        <f t="shared" si="40"/>
        <v>0</v>
      </c>
      <c r="M207" s="188">
        <f t="shared" si="40"/>
        <v>0</v>
      </c>
      <c r="N207" s="188">
        <f t="shared" si="40"/>
        <v>0</v>
      </c>
      <c r="O207" s="188">
        <f t="shared" si="40"/>
        <v>0</v>
      </c>
      <c r="P207" s="188">
        <f t="shared" si="40"/>
        <v>0</v>
      </c>
      <c r="Q207" s="188">
        <f t="shared" si="40"/>
        <v>0</v>
      </c>
      <c r="R207" s="188">
        <f t="shared" si="40"/>
        <v>0</v>
      </c>
      <c r="S207" s="188">
        <f t="shared" si="40"/>
        <v>0</v>
      </c>
      <c r="T207" s="188">
        <f t="shared" si="40"/>
        <v>0</v>
      </c>
      <c r="U207" s="188">
        <f t="shared" si="40"/>
        <v>0</v>
      </c>
      <c r="V207" s="188">
        <f t="shared" si="40"/>
        <v>0</v>
      </c>
      <c r="W207" s="188">
        <f t="shared" si="40"/>
        <v>0</v>
      </c>
      <c r="X207" s="188">
        <f t="shared" si="40"/>
        <v>0</v>
      </c>
      <c r="Y207" s="188">
        <f t="shared" si="40"/>
        <v>0</v>
      </c>
      <c r="Z207" s="188">
        <v>0</v>
      </c>
      <c r="AA207" s="188">
        <f t="shared" si="40"/>
        <v>0</v>
      </c>
      <c r="AB207" s="188">
        <f t="shared" si="40"/>
        <v>0</v>
      </c>
      <c r="AC207" s="188">
        <f t="shared" si="40"/>
        <v>0</v>
      </c>
      <c r="AD207" s="188">
        <f t="shared" si="40"/>
        <v>0</v>
      </c>
      <c r="AE207" s="188">
        <f t="shared" si="40"/>
        <v>0</v>
      </c>
      <c r="AF207" s="188">
        <f t="shared" si="40"/>
        <v>0</v>
      </c>
      <c r="AG207" s="188">
        <f t="shared" si="40"/>
        <v>0</v>
      </c>
      <c r="AH207" s="188">
        <f t="shared" si="40"/>
        <v>0</v>
      </c>
      <c r="AI207" s="188">
        <f t="shared" si="40"/>
        <v>0</v>
      </c>
      <c r="AJ207" s="188">
        <f t="shared" si="40"/>
        <v>0</v>
      </c>
      <c r="AK207" s="188">
        <f t="shared" si="40"/>
        <v>0</v>
      </c>
      <c r="AL207" s="188">
        <f t="shared" si="40"/>
        <v>0</v>
      </c>
    </row>
    <row r="208" spans="1:38" ht="15" customHeight="1">
      <c r="A208" s="178" t="s">
        <v>294</v>
      </c>
      <c r="B208" s="179">
        <v>10</v>
      </c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>
        <v>0</v>
      </c>
      <c r="AA208" s="189">
        <f>SUMIFS([1]!Data_PL_Element[Value],[1]!Data_PL_Element[Index PL Element],DTRVL!$B208,[1]!Data_PL_Element[TenCongTyID],DTRVL!$B$1,[1]!Data_PL_Element[Thang.Nam],DTRVL!AA$198)</f>
        <v>0</v>
      </c>
      <c r="AB208" s="189">
        <f>SUMIFS([1]!Data_PL_Element[Value],[1]!Data_PL_Element[Index PL Element],DTRVL!$B208,[1]!Data_PL_Element[TenCongTyID],DTRVL!$B$1,[1]!Data_PL_Element[Thang.Nam],DTRVL!AB$198)</f>
        <v>0</v>
      </c>
      <c r="AC208" s="189">
        <f>SUMIFS([1]!Data_PL_Element[Value],[1]!Data_PL_Element[Index PL Element],DTRVL!$B208,[1]!Data_PL_Element[TenCongTyID],DTRVL!$B$1,[1]!Data_PL_Element[Thang.Nam],DTRVL!AC$198)</f>
        <v>0</v>
      </c>
      <c r="AD208" s="189">
        <f>SUMIFS([1]!Data_PL_Element[Value],[1]!Data_PL_Element[Index PL Element],DTRVL!$B208,[1]!Data_PL_Element[TenCongTyID],DTRVL!$B$1,[1]!Data_PL_Element[Thang.Nam],DTRVL!AD$198)</f>
        <v>0</v>
      </c>
      <c r="AE208" s="189">
        <f>SUMIFS([1]!Data_PL_Element[Value],[1]!Data_PL_Element[Index PL Element],DTRVL!$B208,[1]!Data_PL_Element[TenCongTyID],DTRVL!$B$1,[1]!Data_PL_Element[Thang.Nam],DTRVL!AE$198)</f>
        <v>0</v>
      </c>
      <c r="AF208" s="189">
        <f>SUMIFS([1]!Data_PL_Element[Value],[1]!Data_PL_Element[Index PL Element],DTRVL!$B208,[1]!Data_PL_Element[TenCongTyID],DTRVL!$B$1,[1]!Data_PL_Element[Thang.Nam],DTRVL!AF$198)</f>
        <v>0</v>
      </c>
      <c r="AG208" s="189">
        <f>SUMIFS([1]!Data_PL_Element[Value],[1]!Data_PL_Element[Index PL Element],DTRVL!$B208,[1]!Data_PL_Element[TenCongTyID],DTRVL!$B$1,[1]!Data_PL_Element[Thang.Nam],DTRVL!AG$198)</f>
        <v>0</v>
      </c>
      <c r="AH208" s="189">
        <f>SUMIFS([1]!Data_PL_Element[Value],[1]!Data_PL_Element[Index PL Element],DTRVL!$B208,[1]!Data_PL_Element[TenCongTyID],DTRVL!$B$1,[1]!Data_PL_Element[Thang.Nam],DTRVL!AH$198)</f>
        <v>0</v>
      </c>
      <c r="AI208" s="189">
        <f>SUMIFS([1]!Data_PL_Element[Value],[1]!Data_PL_Element[Index PL Element],DTRVL!$B208,[1]!Data_PL_Element[TenCongTyID],DTRVL!$B$1,[1]!Data_PL_Element[Thang.Nam],DTRVL!AI$198)</f>
        <v>0</v>
      </c>
      <c r="AJ208" s="189">
        <f>SUMIFS([1]!Data_PL_Element[Value],[1]!Data_PL_Element[Index PL Element],DTRVL!$B208,[1]!Data_PL_Element[TenCongTyID],DTRVL!$B$1,[1]!Data_PL_Element[Thang.Nam],DTRVL!AJ$198)</f>
        <v>0</v>
      </c>
      <c r="AK208" s="189">
        <f>SUMIFS([1]!Data_PL_Element[Value],[1]!Data_PL_Element[Index PL Element],DTRVL!$B208,[1]!Data_PL_Element[TenCongTyID],DTRVL!$B$1,[1]!Data_PL_Element[Thang.Nam],DTRVL!AK$198)</f>
        <v>0</v>
      </c>
      <c r="AL208" s="189">
        <f>SUMIFS([1]!Data_PL_Element[Value],[1]!Data_PL_Element[Index PL Element],DTRVL!$B208,[1]!Data_PL_Element[TenCongTyID],DTRVL!$B$1,[1]!Data_PL_Element[Thang.Nam],DTRVL!AL$198)</f>
        <v>0</v>
      </c>
    </row>
    <row r="209" spans="1:38" ht="15" customHeight="1">
      <c r="A209" s="178" t="s">
        <v>295</v>
      </c>
      <c r="B209" s="179">
        <v>11</v>
      </c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>
        <v>0</v>
      </c>
      <c r="AA209" s="189">
        <f>SUMIFS([1]!Data_PL_Element[Value],[1]!Data_PL_Element[Index PL Element],DTRVL!$B209,[1]!Data_PL_Element[TenCongTyID],DTRVL!$B$1,[1]!Data_PL_Element[Thang.Nam],DTRVL!AA$198)</f>
        <v>0</v>
      </c>
      <c r="AB209" s="189">
        <f>SUMIFS([1]!Data_PL_Element[Value],[1]!Data_PL_Element[Index PL Element],DTRVL!$B209,[1]!Data_PL_Element[TenCongTyID],DTRVL!$B$1,[1]!Data_PL_Element[Thang.Nam],DTRVL!AB$198)</f>
        <v>0</v>
      </c>
      <c r="AC209" s="189">
        <f>SUMIFS([1]!Data_PL_Element[Value],[1]!Data_PL_Element[Index PL Element],DTRVL!$B209,[1]!Data_PL_Element[TenCongTyID],DTRVL!$B$1,[1]!Data_PL_Element[Thang.Nam],DTRVL!AC$198)</f>
        <v>0</v>
      </c>
      <c r="AD209" s="189">
        <f>SUMIFS([1]!Data_PL_Element[Value],[1]!Data_PL_Element[Index PL Element],DTRVL!$B209,[1]!Data_PL_Element[TenCongTyID],DTRVL!$B$1,[1]!Data_PL_Element[Thang.Nam],DTRVL!AD$198)</f>
        <v>0</v>
      </c>
      <c r="AE209" s="189">
        <f>SUMIFS([1]!Data_PL_Element[Value],[1]!Data_PL_Element[Index PL Element],DTRVL!$B209,[1]!Data_PL_Element[TenCongTyID],DTRVL!$B$1,[1]!Data_PL_Element[Thang.Nam],DTRVL!AE$198)</f>
        <v>0</v>
      </c>
      <c r="AF209" s="189">
        <f>SUMIFS([1]!Data_PL_Element[Value],[1]!Data_PL_Element[Index PL Element],DTRVL!$B209,[1]!Data_PL_Element[TenCongTyID],DTRVL!$B$1,[1]!Data_PL_Element[Thang.Nam],DTRVL!AF$198)</f>
        <v>0</v>
      </c>
      <c r="AG209" s="189">
        <f>SUMIFS([1]!Data_PL_Element[Value],[1]!Data_PL_Element[Index PL Element],DTRVL!$B209,[1]!Data_PL_Element[TenCongTyID],DTRVL!$B$1,[1]!Data_PL_Element[Thang.Nam],DTRVL!AG$198)</f>
        <v>0</v>
      </c>
      <c r="AH209" s="189">
        <f>SUMIFS([1]!Data_PL_Element[Value],[1]!Data_PL_Element[Index PL Element],DTRVL!$B209,[1]!Data_PL_Element[TenCongTyID],DTRVL!$B$1,[1]!Data_PL_Element[Thang.Nam],DTRVL!AH$198)</f>
        <v>0</v>
      </c>
      <c r="AI209" s="189">
        <f>SUMIFS([1]!Data_PL_Element[Value],[1]!Data_PL_Element[Index PL Element],DTRVL!$B209,[1]!Data_PL_Element[TenCongTyID],DTRVL!$B$1,[1]!Data_PL_Element[Thang.Nam],DTRVL!AI$198)</f>
        <v>0</v>
      </c>
      <c r="AJ209" s="189">
        <f>SUMIFS([1]!Data_PL_Element[Value],[1]!Data_PL_Element[Index PL Element],DTRVL!$B209,[1]!Data_PL_Element[TenCongTyID],DTRVL!$B$1,[1]!Data_PL_Element[Thang.Nam],DTRVL!AJ$198)</f>
        <v>0</v>
      </c>
      <c r="AK209" s="189">
        <f>SUMIFS([1]!Data_PL_Element[Value],[1]!Data_PL_Element[Index PL Element],DTRVL!$B209,[1]!Data_PL_Element[TenCongTyID],DTRVL!$B$1,[1]!Data_PL_Element[Thang.Nam],DTRVL!AK$198)</f>
        <v>0</v>
      </c>
      <c r="AL209" s="189">
        <f>SUMIFS([1]!Data_PL_Element[Value],[1]!Data_PL_Element[Index PL Element],DTRVL!$B209,[1]!Data_PL_Element[TenCongTyID],DTRVL!$B$1,[1]!Data_PL_Element[Thang.Nam],DTRVL!AL$198)</f>
        <v>0</v>
      </c>
    </row>
    <row r="210" spans="1:38" ht="15" customHeight="1">
      <c r="A210" s="178" t="s">
        <v>296</v>
      </c>
      <c r="B210" s="179">
        <v>12</v>
      </c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>
        <v>0</v>
      </c>
      <c r="AA210" s="189">
        <f>SUMIFS([1]!Data_PL_Element[Value],[1]!Data_PL_Element[Index PL Element],DTRVL!$B210,[1]!Data_PL_Element[TenCongTyID],DTRVL!$B$1,[1]!Data_PL_Element[Thang.Nam],DTRVL!AA$198)</f>
        <v>0</v>
      </c>
      <c r="AB210" s="189">
        <f>SUMIFS([1]!Data_PL_Element[Value],[1]!Data_PL_Element[Index PL Element],DTRVL!$B210,[1]!Data_PL_Element[TenCongTyID],DTRVL!$B$1,[1]!Data_PL_Element[Thang.Nam],DTRVL!AB$198)</f>
        <v>0</v>
      </c>
      <c r="AC210" s="189">
        <f>SUMIFS([1]!Data_PL_Element[Value],[1]!Data_PL_Element[Index PL Element],DTRVL!$B210,[1]!Data_PL_Element[TenCongTyID],DTRVL!$B$1,[1]!Data_PL_Element[Thang.Nam],DTRVL!AC$198)</f>
        <v>0</v>
      </c>
      <c r="AD210" s="189">
        <f>SUMIFS([1]!Data_PL_Element[Value],[1]!Data_PL_Element[Index PL Element],DTRVL!$B210,[1]!Data_PL_Element[TenCongTyID],DTRVL!$B$1,[1]!Data_PL_Element[Thang.Nam],DTRVL!AD$198)</f>
        <v>0</v>
      </c>
      <c r="AE210" s="189">
        <f>SUMIFS([1]!Data_PL_Element[Value],[1]!Data_PL_Element[Index PL Element],DTRVL!$B210,[1]!Data_PL_Element[TenCongTyID],DTRVL!$B$1,[1]!Data_PL_Element[Thang.Nam],DTRVL!AE$198)</f>
        <v>0</v>
      </c>
      <c r="AF210" s="189">
        <f>SUMIFS([1]!Data_PL_Element[Value],[1]!Data_PL_Element[Index PL Element],DTRVL!$B210,[1]!Data_PL_Element[TenCongTyID],DTRVL!$B$1,[1]!Data_PL_Element[Thang.Nam],DTRVL!AF$198)</f>
        <v>0</v>
      </c>
      <c r="AG210" s="189">
        <f>SUMIFS([1]!Data_PL_Element[Value],[1]!Data_PL_Element[Index PL Element],DTRVL!$B210,[1]!Data_PL_Element[TenCongTyID],DTRVL!$B$1,[1]!Data_PL_Element[Thang.Nam],DTRVL!AG$198)</f>
        <v>0</v>
      </c>
      <c r="AH210" s="189">
        <f>SUMIFS([1]!Data_PL_Element[Value],[1]!Data_PL_Element[Index PL Element],DTRVL!$B210,[1]!Data_PL_Element[TenCongTyID],DTRVL!$B$1,[1]!Data_PL_Element[Thang.Nam],DTRVL!AH$198)</f>
        <v>0</v>
      </c>
      <c r="AI210" s="189">
        <f>SUMIFS([1]!Data_PL_Element[Value],[1]!Data_PL_Element[Index PL Element],DTRVL!$B210,[1]!Data_PL_Element[TenCongTyID],DTRVL!$B$1,[1]!Data_PL_Element[Thang.Nam],DTRVL!AI$198)</f>
        <v>0</v>
      </c>
      <c r="AJ210" s="189">
        <f>SUMIFS([1]!Data_PL_Element[Value],[1]!Data_PL_Element[Index PL Element],DTRVL!$B210,[1]!Data_PL_Element[TenCongTyID],DTRVL!$B$1,[1]!Data_PL_Element[Thang.Nam],DTRVL!AJ$198)</f>
        <v>0</v>
      </c>
      <c r="AK210" s="189">
        <f>SUMIFS([1]!Data_PL_Element[Value],[1]!Data_PL_Element[Index PL Element],DTRVL!$B210,[1]!Data_PL_Element[TenCongTyID],DTRVL!$B$1,[1]!Data_PL_Element[Thang.Nam],DTRVL!AK$198)</f>
        <v>0</v>
      </c>
      <c r="AL210" s="189">
        <f>SUMIFS([1]!Data_PL_Element[Value],[1]!Data_PL_Element[Index PL Element],DTRVL!$B210,[1]!Data_PL_Element[TenCongTyID],DTRVL!$B$1,[1]!Data_PL_Element[Thang.Nam],DTRVL!AL$198)</f>
        <v>0</v>
      </c>
    </row>
    <row r="211" spans="1:38" ht="15" customHeight="1">
      <c r="A211" s="181" t="s">
        <v>297</v>
      </c>
      <c r="B211" s="182">
        <v>13</v>
      </c>
      <c r="C211" s="183">
        <f>C138</f>
        <v>0</v>
      </c>
      <c r="D211" s="183">
        <f t="shared" ref="D211:AL211" si="41">D138</f>
        <v>0</v>
      </c>
      <c r="E211" s="183">
        <f t="shared" si="41"/>
        <v>0</v>
      </c>
      <c r="F211" s="183">
        <f t="shared" si="41"/>
        <v>0</v>
      </c>
      <c r="G211" s="183">
        <f t="shared" si="41"/>
        <v>0</v>
      </c>
      <c r="H211" s="183">
        <f t="shared" si="41"/>
        <v>0</v>
      </c>
      <c r="I211" s="183">
        <f t="shared" si="41"/>
        <v>0</v>
      </c>
      <c r="J211" s="183">
        <f t="shared" si="41"/>
        <v>0</v>
      </c>
      <c r="K211" s="183">
        <f t="shared" si="41"/>
        <v>0</v>
      </c>
      <c r="L211" s="183">
        <f t="shared" si="41"/>
        <v>0</v>
      </c>
      <c r="M211" s="183">
        <f t="shared" si="41"/>
        <v>0</v>
      </c>
      <c r="N211" s="183">
        <f t="shared" si="41"/>
        <v>0</v>
      </c>
      <c r="O211" s="183">
        <f t="shared" si="41"/>
        <v>0</v>
      </c>
      <c r="P211" s="183">
        <f t="shared" si="41"/>
        <v>0</v>
      </c>
      <c r="Q211" s="183">
        <f t="shared" si="41"/>
        <v>0</v>
      </c>
      <c r="R211" s="183">
        <f t="shared" si="41"/>
        <v>0</v>
      </c>
      <c r="S211" s="183">
        <f t="shared" si="41"/>
        <v>0</v>
      </c>
      <c r="T211" s="183">
        <f t="shared" si="41"/>
        <v>0</v>
      </c>
      <c r="U211" s="183">
        <f t="shared" si="41"/>
        <v>0</v>
      </c>
      <c r="V211" s="183">
        <f t="shared" si="41"/>
        <v>0</v>
      </c>
      <c r="W211" s="183">
        <f t="shared" si="41"/>
        <v>0</v>
      </c>
      <c r="X211" s="183">
        <f t="shared" si="41"/>
        <v>0</v>
      </c>
      <c r="Y211" s="183">
        <f t="shared" si="41"/>
        <v>0</v>
      </c>
      <c r="Z211" s="183">
        <v>0</v>
      </c>
      <c r="AA211" s="183">
        <f t="shared" si="41"/>
        <v>0</v>
      </c>
      <c r="AB211" s="183">
        <f t="shared" si="41"/>
        <v>0</v>
      </c>
      <c r="AC211" s="183">
        <f t="shared" si="41"/>
        <v>0</v>
      </c>
      <c r="AD211" s="183">
        <f t="shared" si="41"/>
        <v>0</v>
      </c>
      <c r="AE211" s="183">
        <f t="shared" si="41"/>
        <v>0</v>
      </c>
      <c r="AF211" s="183">
        <f t="shared" si="41"/>
        <v>0</v>
      </c>
      <c r="AG211" s="183">
        <f t="shared" si="41"/>
        <v>0</v>
      </c>
      <c r="AH211" s="183">
        <f t="shared" si="41"/>
        <v>0</v>
      </c>
      <c r="AI211" s="183">
        <f t="shared" si="41"/>
        <v>0</v>
      </c>
      <c r="AJ211" s="183">
        <f t="shared" si="41"/>
        <v>0</v>
      </c>
      <c r="AK211" s="183">
        <f t="shared" si="41"/>
        <v>0</v>
      </c>
      <c r="AL211" s="183">
        <f t="shared" si="41"/>
        <v>0</v>
      </c>
    </row>
    <row r="212" spans="1:38" ht="15" customHeight="1">
      <c r="A212" s="178" t="s">
        <v>298</v>
      </c>
      <c r="B212" s="179">
        <v>14</v>
      </c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>
        <v>0</v>
      </c>
      <c r="AA212" s="189">
        <f>SUMIFS([1]!Data_PL_Element[Value],[1]!Data_PL_Element[Index PL Element],DTRVL!$B212,[1]!Data_PL_Element[TenCongTyID],DTRVL!$B$1,[1]!Data_PL_Element[Thang.Nam],DTRVL!AA$198)</f>
        <v>0</v>
      </c>
      <c r="AB212" s="189">
        <f>SUMIFS([1]!Data_PL_Element[Value],[1]!Data_PL_Element[Index PL Element],DTRVL!$B212,[1]!Data_PL_Element[TenCongTyID],DTRVL!$B$1,[1]!Data_PL_Element[Thang.Nam],DTRVL!AB$198)</f>
        <v>0</v>
      </c>
      <c r="AC212" s="189">
        <f>SUMIFS([1]!Data_PL_Element[Value],[1]!Data_PL_Element[Index PL Element],DTRVL!$B212,[1]!Data_PL_Element[TenCongTyID],DTRVL!$B$1,[1]!Data_PL_Element[Thang.Nam],DTRVL!AC$198)</f>
        <v>0</v>
      </c>
      <c r="AD212" s="189">
        <f>SUMIFS([1]!Data_PL_Element[Value],[1]!Data_PL_Element[Index PL Element],DTRVL!$B212,[1]!Data_PL_Element[TenCongTyID],DTRVL!$B$1,[1]!Data_PL_Element[Thang.Nam],DTRVL!AD$198)</f>
        <v>0</v>
      </c>
      <c r="AE212" s="189">
        <f>SUMIFS([1]!Data_PL_Element[Value],[1]!Data_PL_Element[Index PL Element],DTRVL!$B212,[1]!Data_PL_Element[TenCongTyID],DTRVL!$B$1,[1]!Data_PL_Element[Thang.Nam],DTRVL!AE$198)</f>
        <v>0</v>
      </c>
      <c r="AF212" s="189">
        <f>SUMIFS([1]!Data_PL_Element[Value],[1]!Data_PL_Element[Index PL Element],DTRVL!$B212,[1]!Data_PL_Element[TenCongTyID],DTRVL!$B$1,[1]!Data_PL_Element[Thang.Nam],DTRVL!AF$198)</f>
        <v>0</v>
      </c>
      <c r="AG212" s="189">
        <f>SUMIFS([1]!Data_PL_Element[Value],[1]!Data_PL_Element[Index PL Element],DTRVL!$B212,[1]!Data_PL_Element[TenCongTyID],DTRVL!$B$1,[1]!Data_PL_Element[Thang.Nam],DTRVL!AG$198)</f>
        <v>0</v>
      </c>
      <c r="AH212" s="189">
        <f>SUMIFS([1]!Data_PL_Element[Value],[1]!Data_PL_Element[Index PL Element],DTRVL!$B212,[1]!Data_PL_Element[TenCongTyID],DTRVL!$B$1,[1]!Data_PL_Element[Thang.Nam],DTRVL!AH$198)</f>
        <v>0</v>
      </c>
      <c r="AI212" s="189">
        <f>SUMIFS([1]!Data_PL_Element[Value],[1]!Data_PL_Element[Index PL Element],DTRVL!$B212,[1]!Data_PL_Element[TenCongTyID],DTRVL!$B$1,[1]!Data_PL_Element[Thang.Nam],DTRVL!AI$198)</f>
        <v>0</v>
      </c>
      <c r="AJ212" s="189">
        <f>SUMIFS([1]!Data_PL_Element[Value],[1]!Data_PL_Element[Index PL Element],DTRVL!$B212,[1]!Data_PL_Element[TenCongTyID],DTRVL!$B$1,[1]!Data_PL_Element[Thang.Nam],DTRVL!AJ$198)</f>
        <v>0</v>
      </c>
      <c r="AK212" s="189">
        <f>SUMIFS([1]!Data_PL_Element[Value],[1]!Data_PL_Element[Index PL Element],DTRVL!$B212,[1]!Data_PL_Element[TenCongTyID],DTRVL!$B$1,[1]!Data_PL_Element[Thang.Nam],DTRVL!AK$198)</f>
        <v>0</v>
      </c>
      <c r="AL212" s="189">
        <f>SUMIFS([1]!Data_PL_Element[Value],[1]!Data_PL_Element[Index PL Element],DTRVL!$B212,[1]!Data_PL_Element[TenCongTyID],DTRVL!$B$1,[1]!Data_PL_Element[Thang.Nam],DTRVL!AL$198)</f>
        <v>0</v>
      </c>
    </row>
    <row r="213" spans="1:38" ht="15" customHeight="1">
      <c r="A213" s="178" t="s">
        <v>299</v>
      </c>
      <c r="B213" s="179">
        <v>15</v>
      </c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>
        <v>0</v>
      </c>
      <c r="AA213" s="189">
        <f>SUMIFS([1]!Data_PL_Element[Value],[1]!Data_PL_Element[Index PL Element],DTRVL!$B213,[1]!Data_PL_Element[TenCongTyID],DTRVL!$B$1,[1]!Data_PL_Element[Thang.Nam],DTRVL!AA$198)</f>
        <v>0</v>
      </c>
      <c r="AB213" s="189">
        <f>SUMIFS([1]!Data_PL_Element[Value],[1]!Data_PL_Element[Index PL Element],DTRVL!$B213,[1]!Data_PL_Element[TenCongTyID],DTRVL!$B$1,[1]!Data_PL_Element[Thang.Nam],DTRVL!AB$198)</f>
        <v>0</v>
      </c>
      <c r="AC213" s="189">
        <f>SUMIFS([1]!Data_PL_Element[Value],[1]!Data_PL_Element[Index PL Element],DTRVL!$B213,[1]!Data_PL_Element[TenCongTyID],DTRVL!$B$1,[1]!Data_PL_Element[Thang.Nam],DTRVL!AC$198)</f>
        <v>0</v>
      </c>
      <c r="AD213" s="189">
        <f>SUMIFS([1]!Data_PL_Element[Value],[1]!Data_PL_Element[Index PL Element],DTRVL!$B213,[1]!Data_PL_Element[TenCongTyID],DTRVL!$B$1,[1]!Data_PL_Element[Thang.Nam],DTRVL!AD$198)</f>
        <v>0</v>
      </c>
      <c r="AE213" s="189">
        <f>SUMIFS([1]!Data_PL_Element[Value],[1]!Data_PL_Element[Index PL Element],DTRVL!$B213,[1]!Data_PL_Element[TenCongTyID],DTRVL!$B$1,[1]!Data_PL_Element[Thang.Nam],DTRVL!AE$198)</f>
        <v>0</v>
      </c>
      <c r="AF213" s="189">
        <f>SUMIFS([1]!Data_PL_Element[Value],[1]!Data_PL_Element[Index PL Element],DTRVL!$B213,[1]!Data_PL_Element[TenCongTyID],DTRVL!$B$1,[1]!Data_PL_Element[Thang.Nam],DTRVL!AF$198)</f>
        <v>0</v>
      </c>
      <c r="AG213" s="189">
        <f>SUMIFS([1]!Data_PL_Element[Value],[1]!Data_PL_Element[Index PL Element],DTRVL!$B213,[1]!Data_PL_Element[TenCongTyID],DTRVL!$B$1,[1]!Data_PL_Element[Thang.Nam],DTRVL!AG$198)</f>
        <v>0</v>
      </c>
      <c r="AH213" s="189">
        <f>SUMIFS([1]!Data_PL_Element[Value],[1]!Data_PL_Element[Index PL Element],DTRVL!$B213,[1]!Data_PL_Element[TenCongTyID],DTRVL!$B$1,[1]!Data_PL_Element[Thang.Nam],DTRVL!AH$198)</f>
        <v>0</v>
      </c>
      <c r="AI213" s="189">
        <f>SUMIFS([1]!Data_PL_Element[Value],[1]!Data_PL_Element[Index PL Element],DTRVL!$B213,[1]!Data_PL_Element[TenCongTyID],DTRVL!$B$1,[1]!Data_PL_Element[Thang.Nam],DTRVL!AI$198)</f>
        <v>0</v>
      </c>
      <c r="AJ213" s="189">
        <f>SUMIFS([1]!Data_PL_Element[Value],[1]!Data_PL_Element[Index PL Element],DTRVL!$B213,[1]!Data_PL_Element[TenCongTyID],DTRVL!$B$1,[1]!Data_PL_Element[Thang.Nam],DTRVL!AJ$198)</f>
        <v>0</v>
      </c>
      <c r="AK213" s="189">
        <f>SUMIFS([1]!Data_PL_Element[Value],[1]!Data_PL_Element[Index PL Element],DTRVL!$B213,[1]!Data_PL_Element[TenCongTyID],DTRVL!$B$1,[1]!Data_PL_Element[Thang.Nam],DTRVL!AK$198)</f>
        <v>0</v>
      </c>
      <c r="AL213" s="189">
        <f>SUMIFS([1]!Data_PL_Element[Value],[1]!Data_PL_Element[Index PL Element],DTRVL!$B213,[1]!Data_PL_Element[TenCongTyID],DTRVL!$B$1,[1]!Data_PL_Element[Thang.Nam],DTRVL!AL$198)</f>
        <v>0</v>
      </c>
    </row>
    <row r="214" spans="1:38" ht="15" customHeight="1">
      <c r="A214" s="178" t="s">
        <v>300</v>
      </c>
      <c r="B214" s="179">
        <v>16</v>
      </c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>
        <v>0</v>
      </c>
      <c r="AA214" s="189">
        <f>SUMIFS([1]!Data_PL_Element[Value],[1]!Data_PL_Element[Index PL Element],DTRVL!$B214,[1]!Data_PL_Element[TenCongTyID],DTRVL!$B$1,[1]!Data_PL_Element[Thang.Nam],DTRVL!AA$198)</f>
        <v>0</v>
      </c>
      <c r="AB214" s="189">
        <f>SUMIFS([1]!Data_PL_Element[Value],[1]!Data_PL_Element[Index PL Element],DTRVL!$B214,[1]!Data_PL_Element[TenCongTyID],DTRVL!$B$1,[1]!Data_PL_Element[Thang.Nam],DTRVL!AB$198)</f>
        <v>0</v>
      </c>
      <c r="AC214" s="189">
        <f>SUMIFS([1]!Data_PL_Element[Value],[1]!Data_PL_Element[Index PL Element],DTRVL!$B214,[1]!Data_PL_Element[TenCongTyID],DTRVL!$B$1,[1]!Data_PL_Element[Thang.Nam],DTRVL!AC$198)</f>
        <v>0</v>
      </c>
      <c r="AD214" s="189">
        <f>SUMIFS([1]!Data_PL_Element[Value],[1]!Data_PL_Element[Index PL Element],DTRVL!$B214,[1]!Data_PL_Element[TenCongTyID],DTRVL!$B$1,[1]!Data_PL_Element[Thang.Nam],DTRVL!AD$198)</f>
        <v>0</v>
      </c>
      <c r="AE214" s="189">
        <f>SUMIFS([1]!Data_PL_Element[Value],[1]!Data_PL_Element[Index PL Element],DTRVL!$B214,[1]!Data_PL_Element[TenCongTyID],DTRVL!$B$1,[1]!Data_PL_Element[Thang.Nam],DTRVL!AE$198)</f>
        <v>0</v>
      </c>
      <c r="AF214" s="189">
        <f>SUMIFS([1]!Data_PL_Element[Value],[1]!Data_PL_Element[Index PL Element],DTRVL!$B214,[1]!Data_PL_Element[TenCongTyID],DTRVL!$B$1,[1]!Data_PL_Element[Thang.Nam],DTRVL!AF$198)</f>
        <v>0</v>
      </c>
      <c r="AG214" s="189">
        <f>SUMIFS([1]!Data_PL_Element[Value],[1]!Data_PL_Element[Index PL Element],DTRVL!$B214,[1]!Data_PL_Element[TenCongTyID],DTRVL!$B$1,[1]!Data_PL_Element[Thang.Nam],DTRVL!AG$198)</f>
        <v>0</v>
      </c>
      <c r="AH214" s="189">
        <f>SUMIFS([1]!Data_PL_Element[Value],[1]!Data_PL_Element[Index PL Element],DTRVL!$B214,[1]!Data_PL_Element[TenCongTyID],DTRVL!$B$1,[1]!Data_PL_Element[Thang.Nam],DTRVL!AH$198)</f>
        <v>0</v>
      </c>
      <c r="AI214" s="189">
        <f>SUMIFS([1]!Data_PL_Element[Value],[1]!Data_PL_Element[Index PL Element],DTRVL!$B214,[1]!Data_PL_Element[TenCongTyID],DTRVL!$B$1,[1]!Data_PL_Element[Thang.Nam],DTRVL!AI$198)</f>
        <v>0</v>
      </c>
      <c r="AJ214" s="189">
        <f>SUMIFS([1]!Data_PL_Element[Value],[1]!Data_PL_Element[Index PL Element],DTRVL!$B214,[1]!Data_PL_Element[TenCongTyID],DTRVL!$B$1,[1]!Data_PL_Element[Thang.Nam],DTRVL!AJ$198)</f>
        <v>0</v>
      </c>
      <c r="AK214" s="189">
        <f>SUMIFS([1]!Data_PL_Element[Value],[1]!Data_PL_Element[Index PL Element],DTRVL!$B214,[1]!Data_PL_Element[TenCongTyID],DTRVL!$B$1,[1]!Data_PL_Element[Thang.Nam],DTRVL!AK$198)</f>
        <v>0</v>
      </c>
      <c r="AL214" s="189">
        <f>SUMIFS([1]!Data_PL_Element[Value],[1]!Data_PL_Element[Index PL Element],DTRVL!$B214,[1]!Data_PL_Element[TenCongTyID],DTRVL!$B$1,[1]!Data_PL_Element[Thang.Nam],DTRVL!AL$198)</f>
        <v>0</v>
      </c>
    </row>
    <row r="215" spans="1:38" ht="15" customHeight="1">
      <c r="A215" s="178" t="s">
        <v>301</v>
      </c>
      <c r="B215" s="179">
        <v>17</v>
      </c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>
        <v>0</v>
      </c>
      <c r="AA215" s="189">
        <f>SUMIFS([1]!Data_PL_Element[Value],[1]!Data_PL_Element[Index PL Element],DTRVL!$B215,[1]!Data_PL_Element[TenCongTyID],DTRVL!$B$1,[1]!Data_PL_Element[Thang.Nam],DTRVL!AA$198)</f>
        <v>0</v>
      </c>
      <c r="AB215" s="189">
        <f>SUMIFS([1]!Data_PL_Element[Value],[1]!Data_PL_Element[Index PL Element],DTRVL!$B215,[1]!Data_PL_Element[TenCongTyID],DTRVL!$B$1,[1]!Data_PL_Element[Thang.Nam],DTRVL!AB$198)</f>
        <v>0</v>
      </c>
      <c r="AC215" s="189">
        <f>SUMIFS([1]!Data_PL_Element[Value],[1]!Data_PL_Element[Index PL Element],DTRVL!$B215,[1]!Data_PL_Element[TenCongTyID],DTRVL!$B$1,[1]!Data_PL_Element[Thang.Nam],DTRVL!AC$198)</f>
        <v>0</v>
      </c>
      <c r="AD215" s="189">
        <f>SUMIFS([1]!Data_PL_Element[Value],[1]!Data_PL_Element[Index PL Element],DTRVL!$B215,[1]!Data_PL_Element[TenCongTyID],DTRVL!$B$1,[1]!Data_PL_Element[Thang.Nam],DTRVL!AD$198)</f>
        <v>0</v>
      </c>
      <c r="AE215" s="189">
        <f>SUMIFS([1]!Data_PL_Element[Value],[1]!Data_PL_Element[Index PL Element],DTRVL!$B215,[1]!Data_PL_Element[TenCongTyID],DTRVL!$B$1,[1]!Data_PL_Element[Thang.Nam],DTRVL!AE$198)</f>
        <v>0</v>
      </c>
      <c r="AF215" s="189">
        <f>SUMIFS([1]!Data_PL_Element[Value],[1]!Data_PL_Element[Index PL Element],DTRVL!$B215,[1]!Data_PL_Element[TenCongTyID],DTRVL!$B$1,[1]!Data_PL_Element[Thang.Nam],DTRVL!AF$198)</f>
        <v>0</v>
      </c>
      <c r="AG215" s="189">
        <f>SUMIFS([1]!Data_PL_Element[Value],[1]!Data_PL_Element[Index PL Element],DTRVL!$B215,[1]!Data_PL_Element[TenCongTyID],DTRVL!$B$1,[1]!Data_PL_Element[Thang.Nam],DTRVL!AG$198)</f>
        <v>0</v>
      </c>
      <c r="AH215" s="189">
        <f>SUMIFS([1]!Data_PL_Element[Value],[1]!Data_PL_Element[Index PL Element],DTRVL!$B215,[1]!Data_PL_Element[TenCongTyID],DTRVL!$B$1,[1]!Data_PL_Element[Thang.Nam],DTRVL!AH$198)</f>
        <v>0</v>
      </c>
      <c r="AI215" s="189">
        <f>SUMIFS([1]!Data_PL_Element[Value],[1]!Data_PL_Element[Index PL Element],DTRVL!$B215,[1]!Data_PL_Element[TenCongTyID],DTRVL!$B$1,[1]!Data_PL_Element[Thang.Nam],DTRVL!AI$198)</f>
        <v>0</v>
      </c>
      <c r="AJ215" s="189">
        <f>SUMIFS([1]!Data_PL_Element[Value],[1]!Data_PL_Element[Index PL Element],DTRVL!$B215,[1]!Data_PL_Element[TenCongTyID],DTRVL!$B$1,[1]!Data_PL_Element[Thang.Nam],DTRVL!AJ$198)</f>
        <v>0</v>
      </c>
      <c r="AK215" s="189">
        <f>SUMIFS([1]!Data_PL_Element[Value],[1]!Data_PL_Element[Index PL Element],DTRVL!$B215,[1]!Data_PL_Element[TenCongTyID],DTRVL!$B$1,[1]!Data_PL_Element[Thang.Nam],DTRVL!AK$198)</f>
        <v>0</v>
      </c>
      <c r="AL215" s="189">
        <f>SUMIFS([1]!Data_PL_Element[Value],[1]!Data_PL_Element[Index PL Element],DTRVL!$B215,[1]!Data_PL_Element[TenCongTyID],DTRVL!$B$1,[1]!Data_PL_Element[Thang.Nam],DTRVL!AL$198)</f>
        <v>0</v>
      </c>
    </row>
    <row r="216" spans="1:38" ht="15" customHeight="1">
      <c r="A216" s="178" t="s">
        <v>302</v>
      </c>
      <c r="B216" s="179">
        <v>18</v>
      </c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>
        <v>0</v>
      </c>
      <c r="AA216" s="189">
        <f>SUMIFS([1]!Data_PL_Element[Value],[1]!Data_PL_Element[Index PL Element],DTRVL!$B216,[1]!Data_PL_Element[TenCongTyID],DTRVL!$B$1,[1]!Data_PL_Element[Thang.Nam],DTRVL!AA$198)</f>
        <v>0</v>
      </c>
      <c r="AB216" s="189">
        <f>SUMIFS([1]!Data_PL_Element[Value],[1]!Data_PL_Element[Index PL Element],DTRVL!$B216,[1]!Data_PL_Element[TenCongTyID],DTRVL!$B$1,[1]!Data_PL_Element[Thang.Nam],DTRVL!AB$198)</f>
        <v>0</v>
      </c>
      <c r="AC216" s="189">
        <f>SUMIFS([1]!Data_PL_Element[Value],[1]!Data_PL_Element[Index PL Element],DTRVL!$B216,[1]!Data_PL_Element[TenCongTyID],DTRVL!$B$1,[1]!Data_PL_Element[Thang.Nam],DTRVL!AC$198)</f>
        <v>0</v>
      </c>
      <c r="AD216" s="189">
        <f>SUMIFS([1]!Data_PL_Element[Value],[1]!Data_PL_Element[Index PL Element],DTRVL!$B216,[1]!Data_PL_Element[TenCongTyID],DTRVL!$B$1,[1]!Data_PL_Element[Thang.Nam],DTRVL!AD$198)</f>
        <v>0</v>
      </c>
      <c r="AE216" s="189">
        <f>SUMIFS([1]!Data_PL_Element[Value],[1]!Data_PL_Element[Index PL Element],DTRVL!$B216,[1]!Data_PL_Element[TenCongTyID],DTRVL!$B$1,[1]!Data_PL_Element[Thang.Nam],DTRVL!AE$198)</f>
        <v>0</v>
      </c>
      <c r="AF216" s="189">
        <f>SUMIFS([1]!Data_PL_Element[Value],[1]!Data_PL_Element[Index PL Element],DTRVL!$B216,[1]!Data_PL_Element[TenCongTyID],DTRVL!$B$1,[1]!Data_PL_Element[Thang.Nam],DTRVL!AF$198)</f>
        <v>0</v>
      </c>
      <c r="AG216" s="189">
        <f>SUMIFS([1]!Data_PL_Element[Value],[1]!Data_PL_Element[Index PL Element],DTRVL!$B216,[1]!Data_PL_Element[TenCongTyID],DTRVL!$B$1,[1]!Data_PL_Element[Thang.Nam],DTRVL!AG$198)</f>
        <v>0</v>
      </c>
      <c r="AH216" s="189">
        <f>SUMIFS([1]!Data_PL_Element[Value],[1]!Data_PL_Element[Index PL Element],DTRVL!$B216,[1]!Data_PL_Element[TenCongTyID],DTRVL!$B$1,[1]!Data_PL_Element[Thang.Nam],DTRVL!AH$198)</f>
        <v>0</v>
      </c>
      <c r="AI216" s="189">
        <f>SUMIFS([1]!Data_PL_Element[Value],[1]!Data_PL_Element[Index PL Element],DTRVL!$B216,[1]!Data_PL_Element[TenCongTyID],DTRVL!$B$1,[1]!Data_PL_Element[Thang.Nam],DTRVL!AI$198)</f>
        <v>0</v>
      </c>
      <c r="AJ216" s="189">
        <f>SUMIFS([1]!Data_PL_Element[Value],[1]!Data_PL_Element[Index PL Element],DTRVL!$B216,[1]!Data_PL_Element[TenCongTyID],DTRVL!$B$1,[1]!Data_PL_Element[Thang.Nam],DTRVL!AJ$198)</f>
        <v>0</v>
      </c>
      <c r="AK216" s="189">
        <f>SUMIFS([1]!Data_PL_Element[Value],[1]!Data_PL_Element[Index PL Element],DTRVL!$B216,[1]!Data_PL_Element[TenCongTyID],DTRVL!$B$1,[1]!Data_PL_Element[Thang.Nam],DTRVL!AK$198)</f>
        <v>0</v>
      </c>
      <c r="AL216" s="189">
        <f>SUMIFS([1]!Data_PL_Element[Value],[1]!Data_PL_Element[Index PL Element],DTRVL!$B216,[1]!Data_PL_Element[TenCongTyID],DTRVL!$B$1,[1]!Data_PL_Element[Thang.Nam],DTRVL!AL$198)</f>
        <v>0</v>
      </c>
    </row>
    <row r="217" spans="1:38" ht="15" customHeight="1">
      <c r="A217" s="178" t="s">
        <v>303</v>
      </c>
      <c r="B217" s="179">
        <v>19</v>
      </c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>
        <v>0</v>
      </c>
      <c r="AA217" s="189">
        <f>SUMIFS([1]!Data_PL_Element[Value],[1]!Data_PL_Element[Index PL Element],DTRVL!$B217,[1]!Data_PL_Element[TenCongTyID],DTRVL!$B$1,[1]!Data_PL_Element[Thang.Nam],DTRVL!AA$198)</f>
        <v>0</v>
      </c>
      <c r="AB217" s="189">
        <f>SUMIFS([1]!Data_PL_Element[Value],[1]!Data_PL_Element[Index PL Element],DTRVL!$B217,[1]!Data_PL_Element[TenCongTyID],DTRVL!$B$1,[1]!Data_PL_Element[Thang.Nam],DTRVL!AB$198)</f>
        <v>0</v>
      </c>
      <c r="AC217" s="189">
        <f>SUMIFS([1]!Data_PL_Element[Value],[1]!Data_PL_Element[Index PL Element],DTRVL!$B217,[1]!Data_PL_Element[TenCongTyID],DTRVL!$B$1,[1]!Data_PL_Element[Thang.Nam],DTRVL!AC$198)</f>
        <v>0</v>
      </c>
      <c r="AD217" s="189">
        <f>SUMIFS([1]!Data_PL_Element[Value],[1]!Data_PL_Element[Index PL Element],DTRVL!$B217,[1]!Data_PL_Element[TenCongTyID],DTRVL!$B$1,[1]!Data_PL_Element[Thang.Nam],DTRVL!AD$198)</f>
        <v>0</v>
      </c>
      <c r="AE217" s="189">
        <f>SUMIFS([1]!Data_PL_Element[Value],[1]!Data_PL_Element[Index PL Element],DTRVL!$B217,[1]!Data_PL_Element[TenCongTyID],DTRVL!$B$1,[1]!Data_PL_Element[Thang.Nam],DTRVL!AE$198)</f>
        <v>0</v>
      </c>
      <c r="AF217" s="189">
        <f>SUMIFS([1]!Data_PL_Element[Value],[1]!Data_PL_Element[Index PL Element],DTRVL!$B217,[1]!Data_PL_Element[TenCongTyID],DTRVL!$B$1,[1]!Data_PL_Element[Thang.Nam],DTRVL!AF$198)</f>
        <v>0</v>
      </c>
      <c r="AG217" s="189">
        <f>SUMIFS([1]!Data_PL_Element[Value],[1]!Data_PL_Element[Index PL Element],DTRVL!$B217,[1]!Data_PL_Element[TenCongTyID],DTRVL!$B$1,[1]!Data_PL_Element[Thang.Nam],DTRVL!AG$198)</f>
        <v>0</v>
      </c>
      <c r="AH217" s="189">
        <f>SUMIFS([1]!Data_PL_Element[Value],[1]!Data_PL_Element[Index PL Element],DTRVL!$B217,[1]!Data_PL_Element[TenCongTyID],DTRVL!$B$1,[1]!Data_PL_Element[Thang.Nam],DTRVL!AH$198)</f>
        <v>0</v>
      </c>
      <c r="AI217" s="189">
        <f>SUMIFS([1]!Data_PL_Element[Value],[1]!Data_PL_Element[Index PL Element],DTRVL!$B217,[1]!Data_PL_Element[TenCongTyID],DTRVL!$B$1,[1]!Data_PL_Element[Thang.Nam],DTRVL!AI$198)</f>
        <v>0</v>
      </c>
      <c r="AJ217" s="189">
        <f>SUMIFS([1]!Data_PL_Element[Value],[1]!Data_PL_Element[Index PL Element],DTRVL!$B217,[1]!Data_PL_Element[TenCongTyID],DTRVL!$B$1,[1]!Data_PL_Element[Thang.Nam],DTRVL!AJ$198)</f>
        <v>0</v>
      </c>
      <c r="AK217" s="189">
        <f>SUMIFS([1]!Data_PL_Element[Value],[1]!Data_PL_Element[Index PL Element],DTRVL!$B217,[1]!Data_PL_Element[TenCongTyID],DTRVL!$B$1,[1]!Data_PL_Element[Thang.Nam],DTRVL!AK$198)</f>
        <v>0</v>
      </c>
      <c r="AL217" s="189">
        <f>SUMIFS([1]!Data_PL_Element[Value],[1]!Data_PL_Element[Index PL Element],DTRVL!$B217,[1]!Data_PL_Element[TenCongTyID],DTRVL!$B$1,[1]!Data_PL_Element[Thang.Nam],DTRVL!AL$198)</f>
        <v>0</v>
      </c>
    </row>
    <row r="218" spans="1:38" ht="15" customHeight="1">
      <c r="A218" s="178" t="s">
        <v>304</v>
      </c>
      <c r="B218" s="179">
        <v>20</v>
      </c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>
        <v>0</v>
      </c>
      <c r="AA218" s="189">
        <f>SUMIFS([1]!Data_PL_Element[Value],[1]!Data_PL_Element[Index PL Element],DTRVL!$B218,[1]!Data_PL_Element[TenCongTyID],DTRVL!$B$1,[1]!Data_PL_Element[Thang.Nam],DTRVL!AA$198)</f>
        <v>0</v>
      </c>
      <c r="AB218" s="189">
        <f>SUMIFS([1]!Data_PL_Element[Value],[1]!Data_PL_Element[Index PL Element],DTRVL!$B218,[1]!Data_PL_Element[TenCongTyID],DTRVL!$B$1,[1]!Data_PL_Element[Thang.Nam],DTRVL!AB$198)</f>
        <v>0</v>
      </c>
      <c r="AC218" s="189">
        <f>SUMIFS([1]!Data_PL_Element[Value],[1]!Data_PL_Element[Index PL Element],DTRVL!$B218,[1]!Data_PL_Element[TenCongTyID],DTRVL!$B$1,[1]!Data_PL_Element[Thang.Nam],DTRVL!AC$198)</f>
        <v>0</v>
      </c>
      <c r="AD218" s="189">
        <f>SUMIFS([1]!Data_PL_Element[Value],[1]!Data_PL_Element[Index PL Element],DTRVL!$B218,[1]!Data_PL_Element[TenCongTyID],DTRVL!$B$1,[1]!Data_PL_Element[Thang.Nam],DTRVL!AD$198)</f>
        <v>0</v>
      </c>
      <c r="AE218" s="189">
        <f>SUMIFS([1]!Data_PL_Element[Value],[1]!Data_PL_Element[Index PL Element],DTRVL!$B218,[1]!Data_PL_Element[TenCongTyID],DTRVL!$B$1,[1]!Data_PL_Element[Thang.Nam],DTRVL!AE$198)</f>
        <v>0</v>
      </c>
      <c r="AF218" s="189">
        <f>SUMIFS([1]!Data_PL_Element[Value],[1]!Data_PL_Element[Index PL Element],DTRVL!$B218,[1]!Data_PL_Element[TenCongTyID],DTRVL!$B$1,[1]!Data_PL_Element[Thang.Nam],DTRVL!AF$198)</f>
        <v>0</v>
      </c>
      <c r="AG218" s="189">
        <f>SUMIFS([1]!Data_PL_Element[Value],[1]!Data_PL_Element[Index PL Element],DTRVL!$B218,[1]!Data_PL_Element[TenCongTyID],DTRVL!$B$1,[1]!Data_PL_Element[Thang.Nam],DTRVL!AG$198)</f>
        <v>0</v>
      </c>
      <c r="AH218" s="189">
        <f>SUMIFS([1]!Data_PL_Element[Value],[1]!Data_PL_Element[Index PL Element],DTRVL!$B218,[1]!Data_PL_Element[TenCongTyID],DTRVL!$B$1,[1]!Data_PL_Element[Thang.Nam],DTRVL!AH$198)</f>
        <v>0</v>
      </c>
      <c r="AI218" s="189">
        <f>SUMIFS([1]!Data_PL_Element[Value],[1]!Data_PL_Element[Index PL Element],DTRVL!$B218,[1]!Data_PL_Element[TenCongTyID],DTRVL!$B$1,[1]!Data_PL_Element[Thang.Nam],DTRVL!AI$198)</f>
        <v>0</v>
      </c>
      <c r="AJ218" s="189">
        <f>SUMIFS([1]!Data_PL_Element[Value],[1]!Data_PL_Element[Index PL Element],DTRVL!$B218,[1]!Data_PL_Element[TenCongTyID],DTRVL!$B$1,[1]!Data_PL_Element[Thang.Nam],DTRVL!AJ$198)</f>
        <v>0</v>
      </c>
      <c r="AK218" s="189">
        <f>SUMIFS([1]!Data_PL_Element[Value],[1]!Data_PL_Element[Index PL Element],DTRVL!$B218,[1]!Data_PL_Element[TenCongTyID],DTRVL!$B$1,[1]!Data_PL_Element[Thang.Nam],DTRVL!AK$198)</f>
        <v>0</v>
      </c>
      <c r="AL218" s="189">
        <f>SUMIFS([1]!Data_PL_Element[Value],[1]!Data_PL_Element[Index PL Element],DTRVL!$B218,[1]!Data_PL_Element[TenCongTyID],DTRVL!$B$1,[1]!Data_PL_Element[Thang.Nam],DTRVL!AL$198)</f>
        <v>0</v>
      </c>
    </row>
    <row r="219" spans="1:38" ht="15" customHeight="1">
      <c r="A219" s="190" t="s">
        <v>305</v>
      </c>
      <c r="B219" s="191">
        <v>21</v>
      </c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>
        <v>0</v>
      </c>
      <c r="AA219" s="189">
        <f>SUMIFS([1]!Data_PL_Element[Value],[1]!Data_PL_Element[Index PL Element],DTRVL!$B219,[1]!Data_PL_Element[TenCongTyID],DTRVL!$B$1,[1]!Data_PL_Element[Thang.Nam],DTRVL!AA$198)</f>
        <v>0</v>
      </c>
      <c r="AB219" s="189">
        <f>SUMIFS([1]!Data_PL_Element[Value],[1]!Data_PL_Element[Index PL Element],DTRVL!$B219,[1]!Data_PL_Element[TenCongTyID],DTRVL!$B$1,[1]!Data_PL_Element[Thang.Nam],DTRVL!AB$198)</f>
        <v>0</v>
      </c>
      <c r="AC219" s="189">
        <f>SUMIFS([1]!Data_PL_Element[Value],[1]!Data_PL_Element[Index PL Element],DTRVL!$B219,[1]!Data_PL_Element[TenCongTyID],DTRVL!$B$1,[1]!Data_PL_Element[Thang.Nam],DTRVL!AC$198)</f>
        <v>0</v>
      </c>
      <c r="AD219" s="189">
        <f>SUMIFS([1]!Data_PL_Element[Value],[1]!Data_PL_Element[Index PL Element],DTRVL!$B219,[1]!Data_PL_Element[TenCongTyID],DTRVL!$B$1,[1]!Data_PL_Element[Thang.Nam],DTRVL!AD$198)</f>
        <v>0</v>
      </c>
      <c r="AE219" s="189">
        <f>SUMIFS([1]!Data_PL_Element[Value],[1]!Data_PL_Element[Index PL Element],DTRVL!$B219,[1]!Data_PL_Element[TenCongTyID],DTRVL!$B$1,[1]!Data_PL_Element[Thang.Nam],DTRVL!AE$198)</f>
        <v>0</v>
      </c>
      <c r="AF219" s="189">
        <f>SUMIFS([1]!Data_PL_Element[Value],[1]!Data_PL_Element[Index PL Element],DTRVL!$B219,[1]!Data_PL_Element[TenCongTyID],DTRVL!$B$1,[1]!Data_PL_Element[Thang.Nam],DTRVL!AF$198)</f>
        <v>0</v>
      </c>
      <c r="AG219" s="189">
        <f>SUMIFS([1]!Data_PL_Element[Value],[1]!Data_PL_Element[Index PL Element],DTRVL!$B219,[1]!Data_PL_Element[TenCongTyID],DTRVL!$B$1,[1]!Data_PL_Element[Thang.Nam],DTRVL!AG$198)</f>
        <v>0</v>
      </c>
      <c r="AH219" s="189">
        <f>SUMIFS([1]!Data_PL_Element[Value],[1]!Data_PL_Element[Index PL Element],DTRVL!$B219,[1]!Data_PL_Element[TenCongTyID],DTRVL!$B$1,[1]!Data_PL_Element[Thang.Nam],DTRVL!AH$198)</f>
        <v>0</v>
      </c>
      <c r="AI219" s="189">
        <f>SUMIFS([1]!Data_PL_Element[Value],[1]!Data_PL_Element[Index PL Element],DTRVL!$B219,[1]!Data_PL_Element[TenCongTyID],DTRVL!$B$1,[1]!Data_PL_Element[Thang.Nam],DTRVL!AI$198)</f>
        <v>0</v>
      </c>
      <c r="AJ219" s="189">
        <f>SUMIFS([1]!Data_PL_Element[Value],[1]!Data_PL_Element[Index PL Element],DTRVL!$B219,[1]!Data_PL_Element[TenCongTyID],DTRVL!$B$1,[1]!Data_PL_Element[Thang.Nam],DTRVL!AJ$198)</f>
        <v>0</v>
      </c>
      <c r="AK219" s="189">
        <f>SUMIFS([1]!Data_PL_Element[Value],[1]!Data_PL_Element[Index PL Element],DTRVL!$B219,[1]!Data_PL_Element[TenCongTyID],DTRVL!$B$1,[1]!Data_PL_Element[Thang.Nam],DTRVL!AK$198)</f>
        <v>0</v>
      </c>
      <c r="AL219" s="189">
        <f>SUMIFS([1]!Data_PL_Element[Value],[1]!Data_PL_Element[Index PL Element],DTRVL!$B219,[1]!Data_PL_Element[TenCongTyID],DTRVL!$B$1,[1]!Data_PL_Element[Thang.Nam],DTRVL!AL$198)</f>
        <v>0</v>
      </c>
    </row>
    <row r="220" spans="1:38" ht="15" customHeight="1">
      <c r="A220" s="178" t="s">
        <v>306</v>
      </c>
      <c r="B220" s="179">
        <v>22</v>
      </c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>
        <v>0</v>
      </c>
      <c r="AA220" s="189">
        <f>SUMIFS([1]!Data_PL_Element[Value],[1]!Data_PL_Element[Index PL Element],DTRVL!$B220,[1]!Data_PL_Element[TenCongTyID],DTRVL!$B$1,[1]!Data_PL_Element[Thang.Nam],DTRVL!AA$198)</f>
        <v>0</v>
      </c>
      <c r="AB220" s="189">
        <f>SUMIFS([1]!Data_PL_Element[Value],[1]!Data_PL_Element[Index PL Element],DTRVL!$B220,[1]!Data_PL_Element[TenCongTyID],DTRVL!$B$1,[1]!Data_PL_Element[Thang.Nam],DTRVL!AB$198)</f>
        <v>0</v>
      </c>
      <c r="AC220" s="189">
        <f>SUMIFS([1]!Data_PL_Element[Value],[1]!Data_PL_Element[Index PL Element],DTRVL!$B220,[1]!Data_PL_Element[TenCongTyID],DTRVL!$B$1,[1]!Data_PL_Element[Thang.Nam],DTRVL!AC$198)</f>
        <v>0</v>
      </c>
      <c r="AD220" s="189">
        <f>SUMIFS([1]!Data_PL_Element[Value],[1]!Data_PL_Element[Index PL Element],DTRVL!$B220,[1]!Data_PL_Element[TenCongTyID],DTRVL!$B$1,[1]!Data_PL_Element[Thang.Nam],DTRVL!AD$198)</f>
        <v>0</v>
      </c>
      <c r="AE220" s="189">
        <f>SUMIFS([1]!Data_PL_Element[Value],[1]!Data_PL_Element[Index PL Element],DTRVL!$B220,[1]!Data_PL_Element[TenCongTyID],DTRVL!$B$1,[1]!Data_PL_Element[Thang.Nam],DTRVL!AE$198)</f>
        <v>0</v>
      </c>
      <c r="AF220" s="189">
        <f>SUMIFS([1]!Data_PL_Element[Value],[1]!Data_PL_Element[Index PL Element],DTRVL!$B220,[1]!Data_PL_Element[TenCongTyID],DTRVL!$B$1,[1]!Data_PL_Element[Thang.Nam],DTRVL!AF$198)</f>
        <v>0</v>
      </c>
      <c r="AG220" s="189">
        <f>SUMIFS([1]!Data_PL_Element[Value],[1]!Data_PL_Element[Index PL Element],DTRVL!$B220,[1]!Data_PL_Element[TenCongTyID],DTRVL!$B$1,[1]!Data_PL_Element[Thang.Nam],DTRVL!AG$198)</f>
        <v>0</v>
      </c>
      <c r="AH220" s="189">
        <f>SUMIFS([1]!Data_PL_Element[Value],[1]!Data_PL_Element[Index PL Element],DTRVL!$B220,[1]!Data_PL_Element[TenCongTyID],DTRVL!$B$1,[1]!Data_PL_Element[Thang.Nam],DTRVL!AH$198)</f>
        <v>0</v>
      </c>
      <c r="AI220" s="189">
        <f>SUMIFS([1]!Data_PL_Element[Value],[1]!Data_PL_Element[Index PL Element],DTRVL!$B220,[1]!Data_PL_Element[TenCongTyID],DTRVL!$B$1,[1]!Data_PL_Element[Thang.Nam],DTRVL!AI$198)</f>
        <v>0</v>
      </c>
      <c r="AJ220" s="189">
        <f>SUMIFS([1]!Data_PL_Element[Value],[1]!Data_PL_Element[Index PL Element],DTRVL!$B220,[1]!Data_PL_Element[TenCongTyID],DTRVL!$B$1,[1]!Data_PL_Element[Thang.Nam],DTRVL!AJ$198)</f>
        <v>0</v>
      </c>
      <c r="AK220" s="189">
        <f>SUMIFS([1]!Data_PL_Element[Value],[1]!Data_PL_Element[Index PL Element],DTRVL!$B220,[1]!Data_PL_Element[TenCongTyID],DTRVL!$B$1,[1]!Data_PL_Element[Thang.Nam],DTRVL!AK$198)</f>
        <v>0</v>
      </c>
      <c r="AL220" s="189">
        <f>SUMIFS([1]!Data_PL_Element[Value],[1]!Data_PL_Element[Index PL Element],DTRVL!$B220,[1]!Data_PL_Element[TenCongTyID],DTRVL!$B$1,[1]!Data_PL_Element[Thang.Nam],DTRVL!AL$198)</f>
        <v>0</v>
      </c>
    </row>
    <row r="221" spans="1:38" ht="15" customHeight="1">
      <c r="A221" s="178" t="s">
        <v>307</v>
      </c>
      <c r="B221" s="179">
        <v>23</v>
      </c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>
        <v>0</v>
      </c>
      <c r="AA221" s="189">
        <f>SUMIFS([1]!Data_PL_Element[Value],[1]!Data_PL_Element[Index PL Element],DTRVL!$B221,[1]!Data_PL_Element[TenCongTyID],DTRVL!$B$1,[1]!Data_PL_Element[Thang.Nam],DTRVL!AA$198)</f>
        <v>0</v>
      </c>
      <c r="AB221" s="189">
        <f>SUMIFS([1]!Data_PL_Element[Value],[1]!Data_PL_Element[Index PL Element],DTRVL!$B221,[1]!Data_PL_Element[TenCongTyID],DTRVL!$B$1,[1]!Data_PL_Element[Thang.Nam],DTRVL!AB$198)</f>
        <v>0</v>
      </c>
      <c r="AC221" s="189">
        <f>SUMIFS([1]!Data_PL_Element[Value],[1]!Data_PL_Element[Index PL Element],DTRVL!$B221,[1]!Data_PL_Element[TenCongTyID],DTRVL!$B$1,[1]!Data_PL_Element[Thang.Nam],DTRVL!AC$198)</f>
        <v>0</v>
      </c>
      <c r="AD221" s="189">
        <f>SUMIFS([1]!Data_PL_Element[Value],[1]!Data_PL_Element[Index PL Element],DTRVL!$B221,[1]!Data_PL_Element[TenCongTyID],DTRVL!$B$1,[1]!Data_PL_Element[Thang.Nam],DTRVL!AD$198)</f>
        <v>0</v>
      </c>
      <c r="AE221" s="189">
        <f>SUMIFS([1]!Data_PL_Element[Value],[1]!Data_PL_Element[Index PL Element],DTRVL!$B221,[1]!Data_PL_Element[TenCongTyID],DTRVL!$B$1,[1]!Data_PL_Element[Thang.Nam],DTRVL!AE$198)</f>
        <v>0</v>
      </c>
      <c r="AF221" s="189">
        <f>SUMIFS([1]!Data_PL_Element[Value],[1]!Data_PL_Element[Index PL Element],DTRVL!$B221,[1]!Data_PL_Element[TenCongTyID],DTRVL!$B$1,[1]!Data_PL_Element[Thang.Nam],DTRVL!AF$198)</f>
        <v>0</v>
      </c>
      <c r="AG221" s="189">
        <f>SUMIFS([1]!Data_PL_Element[Value],[1]!Data_PL_Element[Index PL Element],DTRVL!$B221,[1]!Data_PL_Element[TenCongTyID],DTRVL!$B$1,[1]!Data_PL_Element[Thang.Nam],DTRVL!AG$198)</f>
        <v>0</v>
      </c>
      <c r="AH221" s="189">
        <f>SUMIFS([1]!Data_PL_Element[Value],[1]!Data_PL_Element[Index PL Element],DTRVL!$B221,[1]!Data_PL_Element[TenCongTyID],DTRVL!$B$1,[1]!Data_PL_Element[Thang.Nam],DTRVL!AH$198)</f>
        <v>0</v>
      </c>
      <c r="AI221" s="189">
        <f>SUMIFS([1]!Data_PL_Element[Value],[1]!Data_PL_Element[Index PL Element],DTRVL!$B221,[1]!Data_PL_Element[TenCongTyID],DTRVL!$B$1,[1]!Data_PL_Element[Thang.Nam],DTRVL!AI$198)</f>
        <v>0</v>
      </c>
      <c r="AJ221" s="189">
        <f>SUMIFS([1]!Data_PL_Element[Value],[1]!Data_PL_Element[Index PL Element],DTRVL!$B221,[1]!Data_PL_Element[TenCongTyID],DTRVL!$B$1,[1]!Data_PL_Element[Thang.Nam],DTRVL!AJ$198)</f>
        <v>0</v>
      </c>
      <c r="AK221" s="189">
        <f>SUMIFS([1]!Data_PL_Element[Value],[1]!Data_PL_Element[Index PL Element],DTRVL!$B221,[1]!Data_PL_Element[TenCongTyID],DTRVL!$B$1,[1]!Data_PL_Element[Thang.Nam],DTRVL!AK$198)</f>
        <v>0</v>
      </c>
      <c r="AL221" s="189">
        <f>SUMIFS([1]!Data_PL_Element[Value],[1]!Data_PL_Element[Index PL Element],DTRVL!$B221,[1]!Data_PL_Element[TenCongTyID],DTRVL!$B$1,[1]!Data_PL_Element[Thang.Nam],DTRVL!AL$198)</f>
        <v>0</v>
      </c>
    </row>
    <row r="222" spans="1:38" ht="15" customHeight="1">
      <c r="A222" s="178" t="s">
        <v>308</v>
      </c>
      <c r="B222" s="179">
        <v>24</v>
      </c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>
        <v>0</v>
      </c>
      <c r="AA222" s="189">
        <f>SUMIFS([1]!Data_PL_Element[Value],[1]!Data_PL_Element[Index PL Element],DTRVL!$B222,[1]!Data_PL_Element[TenCongTyID],DTRVL!$B$1,[1]!Data_PL_Element[Thang.Nam],DTRVL!AA$198)</f>
        <v>0</v>
      </c>
      <c r="AB222" s="189">
        <f>SUMIFS([1]!Data_PL_Element[Value],[1]!Data_PL_Element[Index PL Element],DTRVL!$B222,[1]!Data_PL_Element[TenCongTyID],DTRVL!$B$1,[1]!Data_PL_Element[Thang.Nam],DTRVL!AB$198)</f>
        <v>0</v>
      </c>
      <c r="AC222" s="189">
        <f>SUMIFS([1]!Data_PL_Element[Value],[1]!Data_PL_Element[Index PL Element],DTRVL!$B222,[1]!Data_PL_Element[TenCongTyID],DTRVL!$B$1,[1]!Data_PL_Element[Thang.Nam],DTRVL!AC$198)</f>
        <v>0</v>
      </c>
      <c r="AD222" s="189">
        <f>SUMIFS([1]!Data_PL_Element[Value],[1]!Data_PL_Element[Index PL Element],DTRVL!$B222,[1]!Data_PL_Element[TenCongTyID],DTRVL!$B$1,[1]!Data_PL_Element[Thang.Nam],DTRVL!AD$198)</f>
        <v>0</v>
      </c>
      <c r="AE222" s="189">
        <f>SUMIFS([1]!Data_PL_Element[Value],[1]!Data_PL_Element[Index PL Element],DTRVL!$B222,[1]!Data_PL_Element[TenCongTyID],DTRVL!$B$1,[1]!Data_PL_Element[Thang.Nam],DTRVL!AE$198)</f>
        <v>0</v>
      </c>
      <c r="AF222" s="189">
        <f>SUMIFS([1]!Data_PL_Element[Value],[1]!Data_PL_Element[Index PL Element],DTRVL!$B222,[1]!Data_PL_Element[TenCongTyID],DTRVL!$B$1,[1]!Data_PL_Element[Thang.Nam],DTRVL!AF$198)</f>
        <v>0</v>
      </c>
      <c r="AG222" s="189">
        <f>SUMIFS([1]!Data_PL_Element[Value],[1]!Data_PL_Element[Index PL Element],DTRVL!$B222,[1]!Data_PL_Element[TenCongTyID],DTRVL!$B$1,[1]!Data_PL_Element[Thang.Nam],DTRVL!AG$198)</f>
        <v>0</v>
      </c>
      <c r="AH222" s="189">
        <f>SUMIFS([1]!Data_PL_Element[Value],[1]!Data_PL_Element[Index PL Element],DTRVL!$B222,[1]!Data_PL_Element[TenCongTyID],DTRVL!$B$1,[1]!Data_PL_Element[Thang.Nam],DTRVL!AH$198)</f>
        <v>0</v>
      </c>
      <c r="AI222" s="189">
        <f>SUMIFS([1]!Data_PL_Element[Value],[1]!Data_PL_Element[Index PL Element],DTRVL!$B222,[1]!Data_PL_Element[TenCongTyID],DTRVL!$B$1,[1]!Data_PL_Element[Thang.Nam],DTRVL!AI$198)</f>
        <v>0</v>
      </c>
      <c r="AJ222" s="189">
        <f>SUMIFS([1]!Data_PL_Element[Value],[1]!Data_PL_Element[Index PL Element],DTRVL!$B222,[1]!Data_PL_Element[TenCongTyID],DTRVL!$B$1,[1]!Data_PL_Element[Thang.Nam],DTRVL!AJ$198)</f>
        <v>0</v>
      </c>
      <c r="AK222" s="189">
        <f>SUMIFS([1]!Data_PL_Element[Value],[1]!Data_PL_Element[Index PL Element],DTRVL!$B222,[1]!Data_PL_Element[TenCongTyID],DTRVL!$B$1,[1]!Data_PL_Element[Thang.Nam],DTRVL!AK$198)</f>
        <v>0</v>
      </c>
      <c r="AL222" s="189">
        <f>SUMIFS([1]!Data_PL_Element[Value],[1]!Data_PL_Element[Index PL Element],DTRVL!$B222,[1]!Data_PL_Element[TenCongTyID],DTRVL!$B$1,[1]!Data_PL_Element[Thang.Nam],DTRVL!AL$198)</f>
        <v>0</v>
      </c>
    </row>
    <row r="223" spans="1:38" ht="15" customHeight="1">
      <c r="A223" s="178" t="s">
        <v>309</v>
      </c>
      <c r="B223" s="179">
        <v>25</v>
      </c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>
        <v>0</v>
      </c>
      <c r="AA223" s="189">
        <f>SUMIFS([1]!Data_PL_Element[Value],[1]!Data_PL_Element[Index PL Element],DTRVL!$B223,[1]!Data_PL_Element[TenCongTyID],DTRVL!$B$1,[1]!Data_PL_Element[Thang.Nam],DTRVL!AA$198)</f>
        <v>0</v>
      </c>
      <c r="AB223" s="189">
        <f>SUMIFS([1]!Data_PL_Element[Value],[1]!Data_PL_Element[Index PL Element],DTRVL!$B223,[1]!Data_PL_Element[TenCongTyID],DTRVL!$B$1,[1]!Data_PL_Element[Thang.Nam],DTRVL!AB$198)</f>
        <v>0</v>
      </c>
      <c r="AC223" s="189">
        <f>SUMIFS([1]!Data_PL_Element[Value],[1]!Data_PL_Element[Index PL Element],DTRVL!$B223,[1]!Data_PL_Element[TenCongTyID],DTRVL!$B$1,[1]!Data_PL_Element[Thang.Nam],DTRVL!AC$198)</f>
        <v>0</v>
      </c>
      <c r="AD223" s="189">
        <f>SUMIFS([1]!Data_PL_Element[Value],[1]!Data_PL_Element[Index PL Element],DTRVL!$B223,[1]!Data_PL_Element[TenCongTyID],DTRVL!$B$1,[1]!Data_PL_Element[Thang.Nam],DTRVL!AD$198)</f>
        <v>0</v>
      </c>
      <c r="AE223" s="189">
        <f>SUMIFS([1]!Data_PL_Element[Value],[1]!Data_PL_Element[Index PL Element],DTRVL!$B223,[1]!Data_PL_Element[TenCongTyID],DTRVL!$B$1,[1]!Data_PL_Element[Thang.Nam],DTRVL!AE$198)</f>
        <v>0</v>
      </c>
      <c r="AF223" s="189">
        <f>SUMIFS([1]!Data_PL_Element[Value],[1]!Data_PL_Element[Index PL Element],DTRVL!$B223,[1]!Data_PL_Element[TenCongTyID],DTRVL!$B$1,[1]!Data_PL_Element[Thang.Nam],DTRVL!AF$198)</f>
        <v>0</v>
      </c>
      <c r="AG223" s="189">
        <f>SUMIFS([1]!Data_PL_Element[Value],[1]!Data_PL_Element[Index PL Element],DTRVL!$B223,[1]!Data_PL_Element[TenCongTyID],DTRVL!$B$1,[1]!Data_PL_Element[Thang.Nam],DTRVL!AG$198)</f>
        <v>0</v>
      </c>
      <c r="AH223" s="189">
        <f>SUMIFS([1]!Data_PL_Element[Value],[1]!Data_PL_Element[Index PL Element],DTRVL!$B223,[1]!Data_PL_Element[TenCongTyID],DTRVL!$B$1,[1]!Data_PL_Element[Thang.Nam],DTRVL!AH$198)</f>
        <v>0</v>
      </c>
      <c r="AI223" s="189">
        <f>SUMIFS([1]!Data_PL_Element[Value],[1]!Data_PL_Element[Index PL Element],DTRVL!$B223,[1]!Data_PL_Element[TenCongTyID],DTRVL!$B$1,[1]!Data_PL_Element[Thang.Nam],DTRVL!AI$198)</f>
        <v>0</v>
      </c>
      <c r="AJ223" s="189">
        <f>SUMIFS([1]!Data_PL_Element[Value],[1]!Data_PL_Element[Index PL Element],DTRVL!$B223,[1]!Data_PL_Element[TenCongTyID],DTRVL!$B$1,[1]!Data_PL_Element[Thang.Nam],DTRVL!AJ$198)</f>
        <v>0</v>
      </c>
      <c r="AK223" s="189">
        <f>SUMIFS([1]!Data_PL_Element[Value],[1]!Data_PL_Element[Index PL Element],DTRVL!$B223,[1]!Data_PL_Element[TenCongTyID],DTRVL!$B$1,[1]!Data_PL_Element[Thang.Nam],DTRVL!AK$198)</f>
        <v>0</v>
      </c>
      <c r="AL223" s="189">
        <f>SUMIFS([1]!Data_PL_Element[Value],[1]!Data_PL_Element[Index PL Element],DTRVL!$B223,[1]!Data_PL_Element[TenCongTyID],DTRVL!$B$1,[1]!Data_PL_Element[Thang.Nam],DTRVL!AL$198)</f>
        <v>0</v>
      </c>
    </row>
    <row r="224" spans="1:38" ht="15" customHeight="1">
      <c r="A224" s="184" t="s">
        <v>310</v>
      </c>
      <c r="B224" s="185">
        <v>26</v>
      </c>
      <c r="C224" s="192" t="str">
        <f>IFERROR(C211/C207,"")</f>
        <v/>
      </c>
      <c r="D224" s="192" t="str">
        <f t="shared" ref="D224:AL224" si="42">IFERROR(D211/D207,"")</f>
        <v/>
      </c>
      <c r="E224" s="192" t="str">
        <f t="shared" si="42"/>
        <v/>
      </c>
      <c r="F224" s="192" t="str">
        <f t="shared" si="42"/>
        <v/>
      </c>
      <c r="G224" s="192" t="str">
        <f t="shared" si="42"/>
        <v/>
      </c>
      <c r="H224" s="192" t="str">
        <f t="shared" si="42"/>
        <v/>
      </c>
      <c r="I224" s="192" t="str">
        <f t="shared" si="42"/>
        <v/>
      </c>
      <c r="J224" s="192" t="str">
        <f t="shared" si="42"/>
        <v/>
      </c>
      <c r="K224" s="192" t="str">
        <f t="shared" si="42"/>
        <v/>
      </c>
      <c r="L224" s="192" t="str">
        <f t="shared" si="42"/>
        <v/>
      </c>
      <c r="M224" s="192" t="str">
        <f t="shared" si="42"/>
        <v/>
      </c>
      <c r="N224" s="192" t="str">
        <f t="shared" si="42"/>
        <v/>
      </c>
      <c r="O224" s="192" t="str">
        <f t="shared" si="42"/>
        <v/>
      </c>
      <c r="P224" s="192" t="str">
        <f t="shared" si="42"/>
        <v/>
      </c>
      <c r="Q224" s="192" t="str">
        <f t="shared" si="42"/>
        <v/>
      </c>
      <c r="R224" s="192" t="str">
        <f t="shared" si="42"/>
        <v/>
      </c>
      <c r="S224" s="192" t="str">
        <f t="shared" si="42"/>
        <v/>
      </c>
      <c r="T224" s="192" t="str">
        <f t="shared" si="42"/>
        <v/>
      </c>
      <c r="U224" s="192" t="str">
        <f t="shared" si="42"/>
        <v/>
      </c>
      <c r="V224" s="192" t="str">
        <f t="shared" si="42"/>
        <v/>
      </c>
      <c r="W224" s="192" t="str">
        <f t="shared" si="42"/>
        <v/>
      </c>
      <c r="X224" s="192" t="str">
        <f t="shared" si="42"/>
        <v/>
      </c>
      <c r="Y224" s="192" t="str">
        <f t="shared" si="42"/>
        <v/>
      </c>
      <c r="Z224" s="192" t="s">
        <v>378</v>
      </c>
      <c r="AA224" s="192" t="str">
        <f t="shared" si="42"/>
        <v/>
      </c>
      <c r="AB224" s="192" t="str">
        <f t="shared" si="42"/>
        <v/>
      </c>
      <c r="AC224" s="192" t="str">
        <f t="shared" si="42"/>
        <v/>
      </c>
      <c r="AD224" s="192" t="str">
        <f t="shared" si="42"/>
        <v/>
      </c>
      <c r="AE224" s="192" t="str">
        <f t="shared" si="42"/>
        <v/>
      </c>
      <c r="AF224" s="192" t="str">
        <f t="shared" si="42"/>
        <v/>
      </c>
      <c r="AG224" s="192" t="str">
        <f t="shared" si="42"/>
        <v/>
      </c>
      <c r="AH224" s="192" t="str">
        <f t="shared" si="42"/>
        <v/>
      </c>
      <c r="AI224" s="192" t="str">
        <f t="shared" si="42"/>
        <v/>
      </c>
      <c r="AJ224" s="192" t="str">
        <f t="shared" si="42"/>
        <v/>
      </c>
      <c r="AK224" s="192" t="str">
        <f t="shared" si="42"/>
        <v/>
      </c>
      <c r="AL224" s="192" t="str">
        <f t="shared" si="42"/>
        <v/>
      </c>
    </row>
    <row r="225" spans="1:38" ht="15" customHeight="1">
      <c r="A225" s="181" t="s">
        <v>311</v>
      </c>
      <c r="B225" s="182">
        <v>27</v>
      </c>
      <c r="C225" s="183">
        <f t="shared" ref="C225:AL225" si="43">C139</f>
        <v>0</v>
      </c>
      <c r="D225" s="183">
        <f t="shared" si="43"/>
        <v>0</v>
      </c>
      <c r="E225" s="183">
        <f t="shared" si="43"/>
        <v>0</v>
      </c>
      <c r="F225" s="183">
        <f t="shared" si="43"/>
        <v>0</v>
      </c>
      <c r="G225" s="183">
        <f t="shared" si="43"/>
        <v>0</v>
      </c>
      <c r="H225" s="183">
        <f t="shared" si="43"/>
        <v>0</v>
      </c>
      <c r="I225" s="183">
        <f t="shared" si="43"/>
        <v>0</v>
      </c>
      <c r="J225" s="183">
        <f t="shared" si="43"/>
        <v>0</v>
      </c>
      <c r="K225" s="183">
        <f t="shared" si="43"/>
        <v>0</v>
      </c>
      <c r="L225" s="183">
        <f t="shared" si="43"/>
        <v>0</v>
      </c>
      <c r="M225" s="183">
        <f t="shared" si="43"/>
        <v>0</v>
      </c>
      <c r="N225" s="183">
        <f t="shared" si="43"/>
        <v>0</v>
      </c>
      <c r="O225" s="183">
        <f t="shared" si="43"/>
        <v>0</v>
      </c>
      <c r="P225" s="183">
        <f t="shared" si="43"/>
        <v>0</v>
      </c>
      <c r="Q225" s="183">
        <f t="shared" si="43"/>
        <v>0</v>
      </c>
      <c r="R225" s="183">
        <f t="shared" si="43"/>
        <v>0</v>
      </c>
      <c r="S225" s="183">
        <f t="shared" si="43"/>
        <v>0</v>
      </c>
      <c r="T225" s="183">
        <f t="shared" si="43"/>
        <v>0</v>
      </c>
      <c r="U225" s="183">
        <f t="shared" si="43"/>
        <v>0</v>
      </c>
      <c r="V225" s="183">
        <f t="shared" si="43"/>
        <v>0</v>
      </c>
      <c r="W225" s="183">
        <f t="shared" si="43"/>
        <v>0</v>
      </c>
      <c r="X225" s="183">
        <f t="shared" si="43"/>
        <v>0</v>
      </c>
      <c r="Y225" s="183">
        <f t="shared" si="43"/>
        <v>0</v>
      </c>
      <c r="Z225" s="183">
        <v>0</v>
      </c>
      <c r="AA225" s="183">
        <f t="shared" si="43"/>
        <v>0</v>
      </c>
      <c r="AB225" s="183">
        <f t="shared" si="43"/>
        <v>0</v>
      </c>
      <c r="AC225" s="183">
        <f t="shared" si="43"/>
        <v>0</v>
      </c>
      <c r="AD225" s="183">
        <f t="shared" si="43"/>
        <v>0</v>
      </c>
      <c r="AE225" s="183">
        <f t="shared" si="43"/>
        <v>0</v>
      </c>
      <c r="AF225" s="183">
        <f t="shared" si="43"/>
        <v>0</v>
      </c>
      <c r="AG225" s="183">
        <f t="shared" si="43"/>
        <v>0</v>
      </c>
      <c r="AH225" s="183">
        <f t="shared" si="43"/>
        <v>0</v>
      </c>
      <c r="AI225" s="183">
        <f t="shared" si="43"/>
        <v>0</v>
      </c>
      <c r="AJ225" s="183">
        <f t="shared" si="43"/>
        <v>0</v>
      </c>
      <c r="AK225" s="183">
        <f t="shared" si="43"/>
        <v>0</v>
      </c>
      <c r="AL225" s="183">
        <f t="shared" si="43"/>
        <v>0</v>
      </c>
    </row>
    <row r="226" spans="1:38" ht="15" customHeight="1">
      <c r="A226" s="184" t="s">
        <v>312</v>
      </c>
      <c r="B226" s="185">
        <v>28</v>
      </c>
      <c r="C226" s="187" t="str">
        <f t="shared" ref="C226:AL226" si="44">IFERROR(C225/C207,"")</f>
        <v/>
      </c>
      <c r="D226" s="187" t="str">
        <f t="shared" si="44"/>
        <v/>
      </c>
      <c r="E226" s="187" t="str">
        <f t="shared" si="44"/>
        <v/>
      </c>
      <c r="F226" s="187" t="str">
        <f t="shared" si="44"/>
        <v/>
      </c>
      <c r="G226" s="187" t="str">
        <f t="shared" si="44"/>
        <v/>
      </c>
      <c r="H226" s="187" t="str">
        <f t="shared" si="44"/>
        <v/>
      </c>
      <c r="I226" s="187" t="str">
        <f t="shared" si="44"/>
        <v/>
      </c>
      <c r="J226" s="187" t="str">
        <f t="shared" si="44"/>
        <v/>
      </c>
      <c r="K226" s="187" t="str">
        <f t="shared" si="44"/>
        <v/>
      </c>
      <c r="L226" s="187" t="str">
        <f t="shared" si="44"/>
        <v/>
      </c>
      <c r="M226" s="187" t="str">
        <f t="shared" si="44"/>
        <v/>
      </c>
      <c r="N226" s="187" t="str">
        <f t="shared" si="44"/>
        <v/>
      </c>
      <c r="O226" s="187" t="str">
        <f t="shared" si="44"/>
        <v/>
      </c>
      <c r="P226" s="187" t="str">
        <f t="shared" si="44"/>
        <v/>
      </c>
      <c r="Q226" s="187" t="str">
        <f t="shared" si="44"/>
        <v/>
      </c>
      <c r="R226" s="187" t="str">
        <f t="shared" si="44"/>
        <v/>
      </c>
      <c r="S226" s="187" t="str">
        <f t="shared" si="44"/>
        <v/>
      </c>
      <c r="T226" s="187" t="str">
        <f t="shared" si="44"/>
        <v/>
      </c>
      <c r="U226" s="187" t="str">
        <f t="shared" si="44"/>
        <v/>
      </c>
      <c r="V226" s="187" t="str">
        <f t="shared" si="44"/>
        <v/>
      </c>
      <c r="W226" s="187" t="str">
        <f t="shared" si="44"/>
        <v/>
      </c>
      <c r="X226" s="187" t="str">
        <f t="shared" si="44"/>
        <v/>
      </c>
      <c r="Y226" s="187" t="str">
        <f t="shared" si="44"/>
        <v/>
      </c>
      <c r="Z226" s="187" t="s">
        <v>378</v>
      </c>
      <c r="AA226" s="187" t="str">
        <f t="shared" si="44"/>
        <v/>
      </c>
      <c r="AB226" s="187" t="str">
        <f t="shared" si="44"/>
        <v/>
      </c>
      <c r="AC226" s="187" t="str">
        <f t="shared" si="44"/>
        <v/>
      </c>
      <c r="AD226" s="187" t="str">
        <f t="shared" si="44"/>
        <v/>
      </c>
      <c r="AE226" s="187" t="str">
        <f t="shared" si="44"/>
        <v/>
      </c>
      <c r="AF226" s="187" t="str">
        <f t="shared" si="44"/>
        <v/>
      </c>
      <c r="AG226" s="187" t="str">
        <f t="shared" si="44"/>
        <v/>
      </c>
      <c r="AH226" s="187" t="str">
        <f t="shared" si="44"/>
        <v/>
      </c>
      <c r="AI226" s="187" t="str">
        <f t="shared" si="44"/>
        <v/>
      </c>
      <c r="AJ226" s="187" t="str">
        <f t="shared" si="44"/>
        <v/>
      </c>
      <c r="AK226" s="187" t="str">
        <f t="shared" si="44"/>
        <v/>
      </c>
      <c r="AL226" s="187" t="str">
        <f t="shared" si="44"/>
        <v/>
      </c>
    </row>
    <row r="227" spans="1:38" ht="15" customHeight="1">
      <c r="A227" s="181" t="s">
        <v>313</v>
      </c>
      <c r="B227" s="182">
        <v>29</v>
      </c>
      <c r="C227" s="183">
        <f t="shared" ref="C227:AL227" si="45">C150</f>
        <v>0</v>
      </c>
      <c r="D227" s="183">
        <f t="shared" si="45"/>
        <v>0</v>
      </c>
      <c r="E227" s="183">
        <f t="shared" si="45"/>
        <v>0</v>
      </c>
      <c r="F227" s="183">
        <f t="shared" si="45"/>
        <v>0</v>
      </c>
      <c r="G227" s="183">
        <f t="shared" si="45"/>
        <v>0</v>
      </c>
      <c r="H227" s="183">
        <f t="shared" si="45"/>
        <v>0</v>
      </c>
      <c r="I227" s="183">
        <f t="shared" si="45"/>
        <v>0</v>
      </c>
      <c r="J227" s="183">
        <f t="shared" si="45"/>
        <v>0</v>
      </c>
      <c r="K227" s="183">
        <f t="shared" si="45"/>
        <v>0</v>
      </c>
      <c r="L227" s="183">
        <f t="shared" si="45"/>
        <v>0</v>
      </c>
      <c r="M227" s="183">
        <f t="shared" si="45"/>
        <v>0</v>
      </c>
      <c r="N227" s="183">
        <f t="shared" si="45"/>
        <v>0</v>
      </c>
      <c r="O227" s="183">
        <f t="shared" si="45"/>
        <v>0</v>
      </c>
      <c r="P227" s="183">
        <f t="shared" si="45"/>
        <v>0</v>
      </c>
      <c r="Q227" s="183">
        <f t="shared" si="45"/>
        <v>0</v>
      </c>
      <c r="R227" s="183">
        <f t="shared" si="45"/>
        <v>0</v>
      </c>
      <c r="S227" s="183">
        <f t="shared" si="45"/>
        <v>0</v>
      </c>
      <c r="T227" s="183">
        <f t="shared" si="45"/>
        <v>0</v>
      </c>
      <c r="U227" s="183">
        <f t="shared" si="45"/>
        <v>0</v>
      </c>
      <c r="V227" s="183">
        <f t="shared" si="45"/>
        <v>0</v>
      </c>
      <c r="W227" s="183">
        <f t="shared" si="45"/>
        <v>0</v>
      </c>
      <c r="X227" s="183">
        <f t="shared" si="45"/>
        <v>0</v>
      </c>
      <c r="Y227" s="183">
        <f t="shared" si="45"/>
        <v>-1888731</v>
      </c>
      <c r="Z227" s="183">
        <v>3317</v>
      </c>
      <c r="AA227" s="183">
        <f t="shared" si="45"/>
        <v>0</v>
      </c>
      <c r="AB227" s="183">
        <f t="shared" si="45"/>
        <v>0</v>
      </c>
      <c r="AC227" s="183">
        <f t="shared" si="45"/>
        <v>0</v>
      </c>
      <c r="AD227" s="183">
        <f t="shared" si="45"/>
        <v>0</v>
      </c>
      <c r="AE227" s="183">
        <f t="shared" si="45"/>
        <v>0</v>
      </c>
      <c r="AF227" s="183">
        <f t="shared" si="45"/>
        <v>0</v>
      </c>
      <c r="AG227" s="183">
        <f t="shared" si="45"/>
        <v>0</v>
      </c>
      <c r="AH227" s="183">
        <f t="shared" si="45"/>
        <v>0</v>
      </c>
      <c r="AI227" s="183">
        <f t="shared" si="45"/>
        <v>0</v>
      </c>
      <c r="AJ227" s="183">
        <f t="shared" si="45"/>
        <v>0</v>
      </c>
      <c r="AK227" s="183">
        <f t="shared" si="45"/>
        <v>0</v>
      </c>
      <c r="AL227" s="183">
        <f t="shared" si="45"/>
        <v>0</v>
      </c>
    </row>
    <row r="228" spans="1:38" ht="15" customHeight="1">
      <c r="A228" s="184" t="s">
        <v>314</v>
      </c>
      <c r="B228" s="185">
        <v>30</v>
      </c>
      <c r="C228" s="187" t="str">
        <f t="shared" ref="C228:AL228" si="46">IFERROR(C227/C207,"")</f>
        <v/>
      </c>
      <c r="D228" s="187" t="str">
        <f t="shared" si="46"/>
        <v/>
      </c>
      <c r="E228" s="187" t="str">
        <f t="shared" si="46"/>
        <v/>
      </c>
      <c r="F228" s="187" t="str">
        <f t="shared" si="46"/>
        <v/>
      </c>
      <c r="G228" s="187" t="str">
        <f t="shared" si="46"/>
        <v/>
      </c>
      <c r="H228" s="187" t="str">
        <f t="shared" si="46"/>
        <v/>
      </c>
      <c r="I228" s="187" t="str">
        <f t="shared" si="46"/>
        <v/>
      </c>
      <c r="J228" s="187" t="str">
        <f t="shared" si="46"/>
        <v/>
      </c>
      <c r="K228" s="187" t="str">
        <f t="shared" si="46"/>
        <v/>
      </c>
      <c r="L228" s="187" t="str">
        <f t="shared" si="46"/>
        <v/>
      </c>
      <c r="M228" s="187" t="str">
        <f t="shared" si="46"/>
        <v/>
      </c>
      <c r="N228" s="187" t="str">
        <f t="shared" si="46"/>
        <v/>
      </c>
      <c r="O228" s="187" t="str">
        <f t="shared" si="46"/>
        <v/>
      </c>
      <c r="P228" s="187" t="str">
        <f t="shared" si="46"/>
        <v/>
      </c>
      <c r="Q228" s="187" t="str">
        <f t="shared" si="46"/>
        <v/>
      </c>
      <c r="R228" s="187" t="str">
        <f t="shared" si="46"/>
        <v/>
      </c>
      <c r="S228" s="187" t="str">
        <f t="shared" si="46"/>
        <v/>
      </c>
      <c r="T228" s="187" t="str">
        <f t="shared" si="46"/>
        <v/>
      </c>
      <c r="U228" s="187" t="str">
        <f t="shared" si="46"/>
        <v/>
      </c>
      <c r="V228" s="187" t="str">
        <f t="shared" si="46"/>
        <v/>
      </c>
      <c r="W228" s="187" t="str">
        <f t="shared" si="46"/>
        <v/>
      </c>
      <c r="X228" s="187" t="str">
        <f t="shared" si="46"/>
        <v/>
      </c>
      <c r="Y228" s="187" t="str">
        <f t="shared" si="46"/>
        <v/>
      </c>
      <c r="Z228" s="187" t="s">
        <v>378</v>
      </c>
      <c r="AA228" s="187" t="str">
        <f t="shared" si="46"/>
        <v/>
      </c>
      <c r="AB228" s="187" t="str">
        <f t="shared" si="46"/>
        <v/>
      </c>
      <c r="AC228" s="187" t="str">
        <f t="shared" si="46"/>
        <v/>
      </c>
      <c r="AD228" s="187" t="str">
        <f t="shared" si="46"/>
        <v/>
      </c>
      <c r="AE228" s="187" t="str">
        <f t="shared" si="46"/>
        <v/>
      </c>
      <c r="AF228" s="187" t="str">
        <f t="shared" si="46"/>
        <v/>
      </c>
      <c r="AG228" s="187" t="str">
        <f t="shared" si="46"/>
        <v/>
      </c>
      <c r="AH228" s="187" t="str">
        <f t="shared" si="46"/>
        <v/>
      </c>
      <c r="AI228" s="187" t="str">
        <f t="shared" si="46"/>
        <v/>
      </c>
      <c r="AJ228" s="187" t="str">
        <f t="shared" si="46"/>
        <v/>
      </c>
      <c r="AK228" s="187" t="str">
        <f t="shared" si="46"/>
        <v/>
      </c>
      <c r="AL228" s="187" t="str">
        <f t="shared" si="46"/>
        <v/>
      </c>
    </row>
    <row r="229" spans="1:38" ht="15" customHeight="1">
      <c r="A229" s="181" t="s">
        <v>315</v>
      </c>
      <c r="B229" s="182">
        <v>31</v>
      </c>
      <c r="C229" s="183">
        <f>C150+C143+C159</f>
        <v>0</v>
      </c>
      <c r="D229" s="183">
        <f t="shared" ref="D229:AL229" si="47">D150+D143+D159</f>
        <v>0</v>
      </c>
      <c r="E229" s="183">
        <f t="shared" si="47"/>
        <v>0</v>
      </c>
      <c r="F229" s="183">
        <f t="shared" si="47"/>
        <v>0</v>
      </c>
      <c r="G229" s="183">
        <f t="shared" si="47"/>
        <v>0</v>
      </c>
      <c r="H229" s="183">
        <f t="shared" si="47"/>
        <v>0</v>
      </c>
      <c r="I229" s="183">
        <f t="shared" si="47"/>
        <v>0</v>
      </c>
      <c r="J229" s="183">
        <f t="shared" si="47"/>
        <v>0</v>
      </c>
      <c r="K229" s="183">
        <f t="shared" si="47"/>
        <v>0</v>
      </c>
      <c r="L229" s="183">
        <f t="shared" si="47"/>
        <v>0</v>
      </c>
      <c r="M229" s="183">
        <f t="shared" si="47"/>
        <v>0</v>
      </c>
      <c r="N229" s="183">
        <f t="shared" si="47"/>
        <v>0</v>
      </c>
      <c r="O229" s="183">
        <f t="shared" si="47"/>
        <v>0</v>
      </c>
      <c r="P229" s="183">
        <f t="shared" si="47"/>
        <v>0</v>
      </c>
      <c r="Q229" s="183">
        <f t="shared" si="47"/>
        <v>0</v>
      </c>
      <c r="R229" s="183">
        <f t="shared" si="47"/>
        <v>0</v>
      </c>
      <c r="S229" s="183">
        <f t="shared" si="47"/>
        <v>0</v>
      </c>
      <c r="T229" s="183">
        <f t="shared" si="47"/>
        <v>0</v>
      </c>
      <c r="U229" s="183">
        <f t="shared" si="47"/>
        <v>0</v>
      </c>
      <c r="V229" s="183">
        <f t="shared" si="47"/>
        <v>0</v>
      </c>
      <c r="W229" s="183">
        <f t="shared" si="47"/>
        <v>0</v>
      </c>
      <c r="X229" s="183">
        <f t="shared" si="47"/>
        <v>0</v>
      </c>
      <c r="Y229" s="183">
        <f t="shared" si="47"/>
        <v>-1888731</v>
      </c>
      <c r="Z229" s="183">
        <v>3317</v>
      </c>
      <c r="AA229" s="183">
        <f t="shared" si="47"/>
        <v>0</v>
      </c>
      <c r="AB229" s="183">
        <f t="shared" si="47"/>
        <v>0</v>
      </c>
      <c r="AC229" s="183">
        <f t="shared" si="47"/>
        <v>0</v>
      </c>
      <c r="AD229" s="183">
        <f t="shared" si="47"/>
        <v>0</v>
      </c>
      <c r="AE229" s="183">
        <f t="shared" si="47"/>
        <v>0</v>
      </c>
      <c r="AF229" s="183">
        <f t="shared" si="47"/>
        <v>0</v>
      </c>
      <c r="AG229" s="183">
        <f t="shared" si="47"/>
        <v>0</v>
      </c>
      <c r="AH229" s="183">
        <f t="shared" si="47"/>
        <v>0</v>
      </c>
      <c r="AI229" s="183">
        <f t="shared" si="47"/>
        <v>0</v>
      </c>
      <c r="AJ229" s="183">
        <f t="shared" si="47"/>
        <v>0</v>
      </c>
      <c r="AK229" s="183">
        <f t="shared" si="47"/>
        <v>0</v>
      </c>
      <c r="AL229" s="183">
        <f t="shared" si="47"/>
        <v>0</v>
      </c>
    </row>
    <row r="230" spans="1:38" ht="15" customHeight="1">
      <c r="A230" s="184" t="s">
        <v>316</v>
      </c>
      <c r="B230" s="185">
        <v>32</v>
      </c>
      <c r="C230" s="187" t="str">
        <f t="shared" ref="C230:AL230" si="48">IFERROR(C229/C207,"")</f>
        <v/>
      </c>
      <c r="D230" s="187" t="str">
        <f t="shared" si="48"/>
        <v/>
      </c>
      <c r="E230" s="187" t="str">
        <f t="shared" si="48"/>
        <v/>
      </c>
      <c r="F230" s="187" t="str">
        <f t="shared" si="48"/>
        <v/>
      </c>
      <c r="G230" s="187" t="str">
        <f t="shared" si="48"/>
        <v/>
      </c>
      <c r="H230" s="187" t="str">
        <f t="shared" si="48"/>
        <v/>
      </c>
      <c r="I230" s="187" t="str">
        <f t="shared" si="48"/>
        <v/>
      </c>
      <c r="J230" s="187" t="str">
        <f t="shared" si="48"/>
        <v/>
      </c>
      <c r="K230" s="187" t="str">
        <f t="shared" si="48"/>
        <v/>
      </c>
      <c r="L230" s="187" t="str">
        <f t="shared" si="48"/>
        <v/>
      </c>
      <c r="M230" s="187" t="str">
        <f t="shared" si="48"/>
        <v/>
      </c>
      <c r="N230" s="187" t="str">
        <f t="shared" si="48"/>
        <v/>
      </c>
      <c r="O230" s="187" t="str">
        <f t="shared" si="48"/>
        <v/>
      </c>
      <c r="P230" s="187" t="str">
        <f t="shared" si="48"/>
        <v/>
      </c>
      <c r="Q230" s="187" t="str">
        <f t="shared" si="48"/>
        <v/>
      </c>
      <c r="R230" s="187" t="str">
        <f t="shared" si="48"/>
        <v/>
      </c>
      <c r="S230" s="187" t="str">
        <f t="shared" si="48"/>
        <v/>
      </c>
      <c r="T230" s="187" t="str">
        <f t="shared" si="48"/>
        <v/>
      </c>
      <c r="U230" s="187" t="str">
        <f t="shared" si="48"/>
        <v/>
      </c>
      <c r="V230" s="187" t="str">
        <f t="shared" si="48"/>
        <v/>
      </c>
      <c r="W230" s="187" t="str">
        <f t="shared" si="48"/>
        <v/>
      </c>
      <c r="X230" s="187" t="str">
        <f t="shared" si="48"/>
        <v/>
      </c>
      <c r="Y230" s="187" t="str">
        <f t="shared" si="48"/>
        <v/>
      </c>
      <c r="Z230" s="187" t="s">
        <v>378</v>
      </c>
      <c r="AA230" s="187" t="str">
        <f t="shared" si="48"/>
        <v/>
      </c>
      <c r="AB230" s="187" t="str">
        <f t="shared" si="48"/>
        <v/>
      </c>
      <c r="AC230" s="187" t="str">
        <f t="shared" si="48"/>
        <v/>
      </c>
      <c r="AD230" s="187" t="str">
        <f t="shared" si="48"/>
        <v/>
      </c>
      <c r="AE230" s="187" t="str">
        <f t="shared" si="48"/>
        <v/>
      </c>
      <c r="AF230" s="187" t="str">
        <f t="shared" si="48"/>
        <v/>
      </c>
      <c r="AG230" s="187" t="str">
        <f t="shared" si="48"/>
        <v/>
      </c>
      <c r="AH230" s="187" t="str">
        <f t="shared" si="48"/>
        <v/>
      </c>
      <c r="AI230" s="187" t="str">
        <f t="shared" si="48"/>
        <v/>
      </c>
      <c r="AJ230" s="187" t="str">
        <f t="shared" si="48"/>
        <v/>
      </c>
      <c r="AK230" s="187" t="str">
        <f t="shared" si="48"/>
        <v/>
      </c>
      <c r="AL230" s="187" t="str">
        <f t="shared" si="48"/>
        <v/>
      </c>
    </row>
    <row r="231" spans="1:38" ht="15" customHeight="1">
      <c r="A231" s="181" t="s">
        <v>317</v>
      </c>
      <c r="B231" s="182">
        <v>33</v>
      </c>
      <c r="C231" s="183">
        <f>C151+C152</f>
        <v>0</v>
      </c>
      <c r="D231" s="183">
        <f t="shared" ref="D231:AL231" si="49">D151+D152</f>
        <v>0</v>
      </c>
      <c r="E231" s="183">
        <f t="shared" si="49"/>
        <v>0</v>
      </c>
      <c r="F231" s="183">
        <f t="shared" si="49"/>
        <v>0</v>
      </c>
      <c r="G231" s="183">
        <f t="shared" si="49"/>
        <v>0</v>
      </c>
      <c r="H231" s="183">
        <f t="shared" si="49"/>
        <v>0</v>
      </c>
      <c r="I231" s="183">
        <f t="shared" si="49"/>
        <v>0</v>
      </c>
      <c r="J231" s="183">
        <f t="shared" si="49"/>
        <v>0</v>
      </c>
      <c r="K231" s="183">
        <f t="shared" si="49"/>
        <v>0</v>
      </c>
      <c r="L231" s="183">
        <f t="shared" si="49"/>
        <v>0</v>
      </c>
      <c r="M231" s="183">
        <f t="shared" si="49"/>
        <v>0</v>
      </c>
      <c r="N231" s="183">
        <f t="shared" si="49"/>
        <v>0</v>
      </c>
      <c r="O231" s="183">
        <f t="shared" si="49"/>
        <v>0</v>
      </c>
      <c r="P231" s="183">
        <f t="shared" si="49"/>
        <v>0</v>
      </c>
      <c r="Q231" s="183">
        <f t="shared" si="49"/>
        <v>0</v>
      </c>
      <c r="R231" s="183">
        <f t="shared" si="49"/>
        <v>0</v>
      </c>
      <c r="S231" s="183">
        <f t="shared" si="49"/>
        <v>0</v>
      </c>
      <c r="T231" s="183">
        <f t="shared" si="49"/>
        <v>0</v>
      </c>
      <c r="U231" s="183">
        <f t="shared" si="49"/>
        <v>0</v>
      </c>
      <c r="V231" s="183">
        <f t="shared" si="49"/>
        <v>0</v>
      </c>
      <c r="W231" s="183">
        <f t="shared" si="49"/>
        <v>0</v>
      </c>
      <c r="X231" s="183">
        <f t="shared" si="49"/>
        <v>0</v>
      </c>
      <c r="Y231" s="183">
        <f t="shared" si="49"/>
        <v>0</v>
      </c>
      <c r="Z231" s="183">
        <v>0</v>
      </c>
      <c r="AA231" s="183">
        <f t="shared" si="49"/>
        <v>0</v>
      </c>
      <c r="AB231" s="183">
        <f t="shared" si="49"/>
        <v>0</v>
      </c>
      <c r="AC231" s="183">
        <f t="shared" si="49"/>
        <v>0</v>
      </c>
      <c r="AD231" s="183">
        <f t="shared" si="49"/>
        <v>0</v>
      </c>
      <c r="AE231" s="183">
        <f t="shared" si="49"/>
        <v>0</v>
      </c>
      <c r="AF231" s="183">
        <f t="shared" si="49"/>
        <v>0</v>
      </c>
      <c r="AG231" s="183">
        <f t="shared" si="49"/>
        <v>0</v>
      </c>
      <c r="AH231" s="183">
        <f t="shared" si="49"/>
        <v>0</v>
      </c>
      <c r="AI231" s="183">
        <f t="shared" si="49"/>
        <v>0</v>
      </c>
      <c r="AJ231" s="183">
        <f t="shared" si="49"/>
        <v>0</v>
      </c>
      <c r="AK231" s="183">
        <f t="shared" si="49"/>
        <v>0</v>
      </c>
      <c r="AL231" s="183">
        <f t="shared" si="49"/>
        <v>0</v>
      </c>
    </row>
    <row r="232" spans="1:38" ht="15" customHeight="1">
      <c r="A232" s="184" t="s">
        <v>318</v>
      </c>
      <c r="B232" s="185">
        <v>34</v>
      </c>
      <c r="C232" s="187" t="str">
        <f>IFERROR(C231/C207,"")</f>
        <v/>
      </c>
      <c r="D232" s="187" t="str">
        <f t="shared" ref="D232:AL232" si="50">IFERROR(D231/D207,"")</f>
        <v/>
      </c>
      <c r="E232" s="187" t="str">
        <f t="shared" si="50"/>
        <v/>
      </c>
      <c r="F232" s="187" t="str">
        <f t="shared" si="50"/>
        <v/>
      </c>
      <c r="G232" s="187" t="str">
        <f t="shared" si="50"/>
        <v/>
      </c>
      <c r="H232" s="187" t="str">
        <f t="shared" si="50"/>
        <v/>
      </c>
      <c r="I232" s="187" t="str">
        <f t="shared" si="50"/>
        <v/>
      </c>
      <c r="J232" s="187" t="str">
        <f t="shared" si="50"/>
        <v/>
      </c>
      <c r="K232" s="187" t="str">
        <f t="shared" si="50"/>
        <v/>
      </c>
      <c r="L232" s="187" t="str">
        <f t="shared" si="50"/>
        <v/>
      </c>
      <c r="M232" s="187" t="str">
        <f t="shared" si="50"/>
        <v/>
      </c>
      <c r="N232" s="187" t="str">
        <f t="shared" si="50"/>
        <v/>
      </c>
      <c r="O232" s="187" t="str">
        <f t="shared" si="50"/>
        <v/>
      </c>
      <c r="P232" s="187" t="str">
        <f t="shared" si="50"/>
        <v/>
      </c>
      <c r="Q232" s="187" t="str">
        <f t="shared" si="50"/>
        <v/>
      </c>
      <c r="R232" s="187" t="str">
        <f t="shared" si="50"/>
        <v/>
      </c>
      <c r="S232" s="187" t="str">
        <f t="shared" si="50"/>
        <v/>
      </c>
      <c r="T232" s="187" t="str">
        <f t="shared" si="50"/>
        <v/>
      </c>
      <c r="U232" s="187" t="str">
        <f t="shared" si="50"/>
        <v/>
      </c>
      <c r="V232" s="187" t="str">
        <f t="shared" si="50"/>
        <v/>
      </c>
      <c r="W232" s="187" t="str">
        <f t="shared" si="50"/>
        <v/>
      </c>
      <c r="X232" s="187" t="str">
        <f t="shared" si="50"/>
        <v/>
      </c>
      <c r="Y232" s="187" t="str">
        <f t="shared" si="50"/>
        <v/>
      </c>
      <c r="Z232" s="187" t="s">
        <v>378</v>
      </c>
      <c r="AA232" s="187" t="str">
        <f t="shared" si="50"/>
        <v/>
      </c>
      <c r="AB232" s="187" t="str">
        <f t="shared" si="50"/>
        <v/>
      </c>
      <c r="AC232" s="187" t="str">
        <f t="shared" si="50"/>
        <v/>
      </c>
      <c r="AD232" s="187" t="str">
        <f t="shared" si="50"/>
        <v/>
      </c>
      <c r="AE232" s="187" t="str">
        <f t="shared" si="50"/>
        <v/>
      </c>
      <c r="AF232" s="187" t="str">
        <f t="shared" si="50"/>
        <v/>
      </c>
      <c r="AG232" s="187" t="str">
        <f t="shared" si="50"/>
        <v/>
      </c>
      <c r="AH232" s="187" t="str">
        <f t="shared" si="50"/>
        <v/>
      </c>
      <c r="AI232" s="187" t="str">
        <f t="shared" si="50"/>
        <v/>
      </c>
      <c r="AJ232" s="187" t="str">
        <f t="shared" si="50"/>
        <v/>
      </c>
      <c r="AK232" s="187" t="str">
        <f t="shared" si="50"/>
        <v/>
      </c>
      <c r="AL232" s="187" t="str">
        <f t="shared" si="50"/>
        <v/>
      </c>
    </row>
    <row r="233" spans="1:38" ht="15" customHeight="1">
      <c r="A233" s="181" t="s">
        <v>319</v>
      </c>
      <c r="B233" s="182">
        <v>35</v>
      </c>
      <c r="C233" s="183">
        <f t="shared" ref="C233:AL233" si="51">C153</f>
        <v>0</v>
      </c>
      <c r="D233" s="183">
        <f t="shared" si="51"/>
        <v>0</v>
      </c>
      <c r="E233" s="183">
        <f t="shared" si="51"/>
        <v>0</v>
      </c>
      <c r="F233" s="183">
        <f t="shared" si="51"/>
        <v>0</v>
      </c>
      <c r="G233" s="183">
        <f t="shared" si="51"/>
        <v>0</v>
      </c>
      <c r="H233" s="183">
        <f t="shared" si="51"/>
        <v>0</v>
      </c>
      <c r="I233" s="183">
        <f t="shared" si="51"/>
        <v>0</v>
      </c>
      <c r="J233" s="183">
        <f t="shared" si="51"/>
        <v>0</v>
      </c>
      <c r="K233" s="183">
        <f t="shared" si="51"/>
        <v>0</v>
      </c>
      <c r="L233" s="183">
        <f t="shared" si="51"/>
        <v>0</v>
      </c>
      <c r="M233" s="183">
        <f t="shared" si="51"/>
        <v>0</v>
      </c>
      <c r="N233" s="183">
        <f t="shared" si="51"/>
        <v>0</v>
      </c>
      <c r="O233" s="183">
        <f t="shared" si="51"/>
        <v>0</v>
      </c>
      <c r="P233" s="183">
        <f t="shared" si="51"/>
        <v>0</v>
      </c>
      <c r="Q233" s="183">
        <f t="shared" si="51"/>
        <v>0</v>
      </c>
      <c r="R233" s="183">
        <f t="shared" si="51"/>
        <v>0</v>
      </c>
      <c r="S233" s="183">
        <f t="shared" si="51"/>
        <v>0</v>
      </c>
      <c r="T233" s="183">
        <f t="shared" si="51"/>
        <v>0</v>
      </c>
      <c r="U233" s="183">
        <f t="shared" si="51"/>
        <v>0</v>
      </c>
      <c r="V233" s="183">
        <f t="shared" si="51"/>
        <v>0</v>
      </c>
      <c r="W233" s="183">
        <f t="shared" si="51"/>
        <v>0</v>
      </c>
      <c r="X233" s="183">
        <f t="shared" si="51"/>
        <v>0</v>
      </c>
      <c r="Y233" s="183">
        <f t="shared" si="51"/>
        <v>-1888731</v>
      </c>
      <c r="Z233" s="183">
        <v>3317</v>
      </c>
      <c r="AA233" s="183">
        <f>AA153</f>
        <v>0</v>
      </c>
      <c r="AB233" s="183">
        <f t="shared" si="51"/>
        <v>0</v>
      </c>
      <c r="AC233" s="183">
        <f t="shared" si="51"/>
        <v>0</v>
      </c>
      <c r="AD233" s="183">
        <f t="shared" si="51"/>
        <v>0</v>
      </c>
      <c r="AE233" s="183">
        <f t="shared" si="51"/>
        <v>0</v>
      </c>
      <c r="AF233" s="183">
        <f t="shared" si="51"/>
        <v>0</v>
      </c>
      <c r="AG233" s="183">
        <f t="shared" si="51"/>
        <v>0</v>
      </c>
      <c r="AH233" s="183">
        <f t="shared" si="51"/>
        <v>0</v>
      </c>
      <c r="AI233" s="183">
        <f t="shared" si="51"/>
        <v>0</v>
      </c>
      <c r="AJ233" s="183">
        <f t="shared" si="51"/>
        <v>0</v>
      </c>
      <c r="AK233" s="183">
        <f t="shared" si="51"/>
        <v>0</v>
      </c>
      <c r="AL233" s="183">
        <f t="shared" si="51"/>
        <v>0</v>
      </c>
    </row>
    <row r="234" spans="1:38" ht="15" customHeight="1">
      <c r="A234" s="184" t="s">
        <v>320</v>
      </c>
      <c r="B234" s="185">
        <v>36</v>
      </c>
      <c r="C234" s="187" t="str">
        <f t="shared" ref="C234:AL234" si="52">IFERROR(C233/C207,"")</f>
        <v/>
      </c>
      <c r="D234" s="187" t="str">
        <f t="shared" si="52"/>
        <v/>
      </c>
      <c r="E234" s="187" t="str">
        <f t="shared" si="52"/>
        <v/>
      </c>
      <c r="F234" s="187" t="str">
        <f t="shared" si="52"/>
        <v/>
      </c>
      <c r="G234" s="187" t="str">
        <f t="shared" si="52"/>
        <v/>
      </c>
      <c r="H234" s="187" t="str">
        <f t="shared" si="52"/>
        <v/>
      </c>
      <c r="I234" s="187" t="str">
        <f t="shared" si="52"/>
        <v/>
      </c>
      <c r="J234" s="187" t="str">
        <f t="shared" si="52"/>
        <v/>
      </c>
      <c r="K234" s="187" t="str">
        <f t="shared" si="52"/>
        <v/>
      </c>
      <c r="L234" s="187" t="str">
        <f t="shared" si="52"/>
        <v/>
      </c>
      <c r="M234" s="187" t="str">
        <f t="shared" si="52"/>
        <v/>
      </c>
      <c r="N234" s="187" t="str">
        <f t="shared" si="52"/>
        <v/>
      </c>
      <c r="O234" s="187" t="str">
        <f t="shared" si="52"/>
        <v/>
      </c>
      <c r="P234" s="187" t="str">
        <f t="shared" si="52"/>
        <v/>
      </c>
      <c r="Q234" s="187" t="str">
        <f t="shared" si="52"/>
        <v/>
      </c>
      <c r="R234" s="187" t="str">
        <f t="shared" si="52"/>
        <v/>
      </c>
      <c r="S234" s="187" t="str">
        <f t="shared" si="52"/>
        <v/>
      </c>
      <c r="T234" s="187" t="str">
        <f t="shared" si="52"/>
        <v/>
      </c>
      <c r="U234" s="187" t="str">
        <f t="shared" si="52"/>
        <v/>
      </c>
      <c r="V234" s="187" t="str">
        <f t="shared" si="52"/>
        <v/>
      </c>
      <c r="W234" s="187" t="str">
        <f t="shared" si="52"/>
        <v/>
      </c>
      <c r="X234" s="187" t="str">
        <f t="shared" si="52"/>
        <v/>
      </c>
      <c r="Y234" s="187" t="str">
        <f t="shared" si="52"/>
        <v/>
      </c>
      <c r="Z234" s="187" t="s">
        <v>378</v>
      </c>
      <c r="AA234" s="187" t="str">
        <f t="shared" si="52"/>
        <v/>
      </c>
      <c r="AB234" s="187" t="str">
        <f t="shared" si="52"/>
        <v/>
      </c>
      <c r="AC234" s="187" t="str">
        <f t="shared" si="52"/>
        <v/>
      </c>
      <c r="AD234" s="187" t="str">
        <f t="shared" si="52"/>
        <v/>
      </c>
      <c r="AE234" s="187" t="str">
        <f t="shared" si="52"/>
        <v/>
      </c>
      <c r="AF234" s="187" t="str">
        <f t="shared" si="52"/>
        <v/>
      </c>
      <c r="AG234" s="187" t="str">
        <f t="shared" si="52"/>
        <v/>
      </c>
      <c r="AH234" s="187" t="str">
        <f t="shared" si="52"/>
        <v/>
      </c>
      <c r="AI234" s="187" t="str">
        <f t="shared" si="52"/>
        <v/>
      </c>
      <c r="AJ234" s="187" t="str">
        <f t="shared" si="52"/>
        <v/>
      </c>
      <c r="AK234" s="187" t="str">
        <f t="shared" si="52"/>
        <v/>
      </c>
      <c r="AL234" s="187" t="str">
        <f t="shared" si="52"/>
        <v/>
      </c>
    </row>
    <row r="235" spans="1:38" ht="15" customHeight="1">
      <c r="A235" s="193" t="s">
        <v>321</v>
      </c>
      <c r="B235" s="146">
        <v>37</v>
      </c>
      <c r="C235" s="183">
        <f t="shared" ref="C235:AL235" si="53">C144</f>
        <v>0</v>
      </c>
      <c r="D235" s="183">
        <f t="shared" si="53"/>
        <v>0</v>
      </c>
      <c r="E235" s="183">
        <f t="shared" si="53"/>
        <v>0</v>
      </c>
      <c r="F235" s="183">
        <f t="shared" si="53"/>
        <v>0</v>
      </c>
      <c r="G235" s="183">
        <f t="shared" si="53"/>
        <v>0</v>
      </c>
      <c r="H235" s="183">
        <f t="shared" si="53"/>
        <v>0</v>
      </c>
      <c r="I235" s="183">
        <f t="shared" si="53"/>
        <v>0</v>
      </c>
      <c r="J235" s="183">
        <f t="shared" si="53"/>
        <v>0</v>
      </c>
      <c r="K235" s="183">
        <f t="shared" si="53"/>
        <v>0</v>
      </c>
      <c r="L235" s="183">
        <f t="shared" si="53"/>
        <v>0</v>
      </c>
      <c r="M235" s="183">
        <f t="shared" si="53"/>
        <v>0</v>
      </c>
      <c r="N235" s="183">
        <f t="shared" si="53"/>
        <v>0</v>
      </c>
      <c r="O235" s="183">
        <f t="shared" si="53"/>
        <v>0</v>
      </c>
      <c r="P235" s="183">
        <f t="shared" si="53"/>
        <v>0</v>
      </c>
      <c r="Q235" s="183">
        <f t="shared" si="53"/>
        <v>0</v>
      </c>
      <c r="R235" s="183">
        <f t="shared" si="53"/>
        <v>0</v>
      </c>
      <c r="S235" s="183">
        <f t="shared" si="53"/>
        <v>0</v>
      </c>
      <c r="T235" s="183">
        <f t="shared" si="53"/>
        <v>0</v>
      </c>
      <c r="U235" s="183">
        <f t="shared" si="53"/>
        <v>0</v>
      </c>
      <c r="V235" s="183">
        <f t="shared" si="53"/>
        <v>0</v>
      </c>
      <c r="W235" s="183">
        <f t="shared" si="53"/>
        <v>0</v>
      </c>
      <c r="X235" s="183">
        <f t="shared" si="53"/>
        <v>0</v>
      </c>
      <c r="Y235" s="183">
        <f t="shared" si="53"/>
        <v>0</v>
      </c>
      <c r="Z235" s="183">
        <v>0</v>
      </c>
      <c r="AA235" s="183">
        <f t="shared" si="53"/>
        <v>0</v>
      </c>
      <c r="AB235" s="183">
        <f t="shared" si="53"/>
        <v>0</v>
      </c>
      <c r="AC235" s="183">
        <f t="shared" si="53"/>
        <v>0</v>
      </c>
      <c r="AD235" s="183">
        <f t="shared" si="53"/>
        <v>0</v>
      </c>
      <c r="AE235" s="183">
        <f t="shared" si="53"/>
        <v>0</v>
      </c>
      <c r="AF235" s="183">
        <f t="shared" si="53"/>
        <v>0</v>
      </c>
      <c r="AG235" s="183">
        <f t="shared" si="53"/>
        <v>0</v>
      </c>
      <c r="AH235" s="183">
        <f t="shared" si="53"/>
        <v>0</v>
      </c>
      <c r="AI235" s="183">
        <f t="shared" si="53"/>
        <v>0</v>
      </c>
      <c r="AJ235" s="183">
        <f t="shared" si="53"/>
        <v>0</v>
      </c>
      <c r="AK235" s="183">
        <f t="shared" si="53"/>
        <v>0</v>
      </c>
      <c r="AL235" s="183">
        <f t="shared" si="53"/>
        <v>0</v>
      </c>
    </row>
    <row r="236" spans="1:38" ht="15" customHeight="1">
      <c r="A236" s="190" t="s">
        <v>322</v>
      </c>
      <c r="B236" s="191">
        <v>38</v>
      </c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>
        <v>0</v>
      </c>
      <c r="AA236" s="189">
        <f>SUMIFS([1]!Data_PL_Element[Value],[1]!Data_PL_Element[Index PL Element],DTRVL!$B236,[1]!Data_PL_Element[TenCongTyID],DTRVL!$B$1,[1]!Data_PL_Element[Thang.Nam],DTRVL!AA$198)</f>
        <v>0</v>
      </c>
      <c r="AB236" s="189">
        <f>SUMIFS([1]!Data_PL_Element[Value],[1]!Data_PL_Element[Index PL Element],DTRVL!$B236,[1]!Data_PL_Element[TenCongTyID],DTRVL!$B$1,[1]!Data_PL_Element[Thang.Nam],DTRVL!AB$198)</f>
        <v>0</v>
      </c>
      <c r="AC236" s="189">
        <f>SUMIFS([1]!Data_PL_Element[Value],[1]!Data_PL_Element[Index PL Element],DTRVL!$B236,[1]!Data_PL_Element[TenCongTyID],DTRVL!$B$1,[1]!Data_PL_Element[Thang.Nam],DTRVL!AC$198)</f>
        <v>0</v>
      </c>
      <c r="AD236" s="189">
        <f>SUMIFS([1]!Data_PL_Element[Value],[1]!Data_PL_Element[Index PL Element],DTRVL!$B236,[1]!Data_PL_Element[TenCongTyID],DTRVL!$B$1,[1]!Data_PL_Element[Thang.Nam],DTRVL!AD$198)</f>
        <v>0</v>
      </c>
      <c r="AE236" s="189">
        <f>SUMIFS([1]!Data_PL_Element[Value],[1]!Data_PL_Element[Index PL Element],DTRVL!$B236,[1]!Data_PL_Element[TenCongTyID],DTRVL!$B$1,[1]!Data_PL_Element[Thang.Nam],DTRVL!AE$198)</f>
        <v>0</v>
      </c>
      <c r="AF236" s="189">
        <f>SUMIFS([1]!Data_PL_Element[Value],[1]!Data_PL_Element[Index PL Element],DTRVL!$B236,[1]!Data_PL_Element[TenCongTyID],DTRVL!$B$1,[1]!Data_PL_Element[Thang.Nam],DTRVL!AF$198)</f>
        <v>0</v>
      </c>
      <c r="AG236" s="189">
        <f>SUMIFS([1]!Data_PL_Element[Value],[1]!Data_PL_Element[Index PL Element],DTRVL!$B236,[1]!Data_PL_Element[TenCongTyID],DTRVL!$B$1,[1]!Data_PL_Element[Thang.Nam],DTRVL!AG$198)</f>
        <v>0</v>
      </c>
      <c r="AH236" s="189">
        <f>SUMIFS([1]!Data_PL_Element[Value],[1]!Data_PL_Element[Index PL Element],DTRVL!$B236,[1]!Data_PL_Element[TenCongTyID],DTRVL!$B$1,[1]!Data_PL_Element[Thang.Nam],DTRVL!AH$198)</f>
        <v>0</v>
      </c>
      <c r="AI236" s="189">
        <f>SUMIFS([1]!Data_PL_Element[Value],[1]!Data_PL_Element[Index PL Element],DTRVL!$B236,[1]!Data_PL_Element[TenCongTyID],DTRVL!$B$1,[1]!Data_PL_Element[Thang.Nam],DTRVL!AI$198)</f>
        <v>0</v>
      </c>
      <c r="AJ236" s="189">
        <f>SUMIFS([1]!Data_PL_Element[Value],[1]!Data_PL_Element[Index PL Element],DTRVL!$B236,[1]!Data_PL_Element[TenCongTyID],DTRVL!$B$1,[1]!Data_PL_Element[Thang.Nam],DTRVL!AJ$198)</f>
        <v>0</v>
      </c>
      <c r="AK236" s="189">
        <f>SUMIFS([1]!Data_PL_Element[Value],[1]!Data_PL_Element[Index PL Element],DTRVL!$B236,[1]!Data_PL_Element[TenCongTyID],DTRVL!$B$1,[1]!Data_PL_Element[Thang.Nam],DTRVL!AK$198)</f>
        <v>0</v>
      </c>
      <c r="AL236" s="189">
        <f>SUMIFS([1]!Data_PL_Element[Value],[1]!Data_PL_Element[Index PL Element],DTRVL!$B236,[1]!Data_PL_Element[TenCongTyID],DTRVL!$B$1,[1]!Data_PL_Element[Thang.Nam],DTRVL!AL$198)</f>
        <v>0</v>
      </c>
    </row>
    <row r="237" spans="1:38" ht="15" customHeight="1">
      <c r="A237" s="190" t="s">
        <v>323</v>
      </c>
      <c r="B237" s="191">
        <v>39</v>
      </c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>
        <v>0</v>
      </c>
      <c r="AA237" s="189">
        <f>SUMIFS([1]!Data_PL_Element[Value],[1]!Data_PL_Element[Index PL Element],DTRVL!$B237,[1]!Data_PL_Element[TenCongTyID],DTRVL!$B$1,[1]!Data_PL_Element[Thang.Nam],DTRVL!AA$198)</f>
        <v>0</v>
      </c>
      <c r="AB237" s="189">
        <f>SUMIFS([1]!Data_PL_Element[Value],[1]!Data_PL_Element[Index PL Element],DTRVL!$B237,[1]!Data_PL_Element[TenCongTyID],DTRVL!$B$1,[1]!Data_PL_Element[Thang.Nam],DTRVL!AB$198)</f>
        <v>0</v>
      </c>
      <c r="AC237" s="189">
        <f>SUMIFS([1]!Data_PL_Element[Value],[1]!Data_PL_Element[Index PL Element],DTRVL!$B237,[1]!Data_PL_Element[TenCongTyID],DTRVL!$B$1,[1]!Data_PL_Element[Thang.Nam],DTRVL!AC$198)</f>
        <v>0</v>
      </c>
      <c r="AD237" s="189">
        <f>SUMIFS([1]!Data_PL_Element[Value],[1]!Data_PL_Element[Index PL Element],DTRVL!$B237,[1]!Data_PL_Element[TenCongTyID],DTRVL!$B$1,[1]!Data_PL_Element[Thang.Nam],DTRVL!AD$198)</f>
        <v>0</v>
      </c>
      <c r="AE237" s="189">
        <f>SUMIFS([1]!Data_PL_Element[Value],[1]!Data_PL_Element[Index PL Element],DTRVL!$B237,[1]!Data_PL_Element[TenCongTyID],DTRVL!$B$1,[1]!Data_PL_Element[Thang.Nam],DTRVL!AE$198)</f>
        <v>0</v>
      </c>
      <c r="AF237" s="189">
        <f>SUMIFS([1]!Data_PL_Element[Value],[1]!Data_PL_Element[Index PL Element],DTRVL!$B237,[1]!Data_PL_Element[TenCongTyID],DTRVL!$B$1,[1]!Data_PL_Element[Thang.Nam],DTRVL!AF$198)</f>
        <v>0</v>
      </c>
      <c r="AG237" s="189">
        <f>SUMIFS([1]!Data_PL_Element[Value],[1]!Data_PL_Element[Index PL Element],DTRVL!$B237,[1]!Data_PL_Element[TenCongTyID],DTRVL!$B$1,[1]!Data_PL_Element[Thang.Nam],DTRVL!AG$198)</f>
        <v>0</v>
      </c>
      <c r="AH237" s="189">
        <f>SUMIFS([1]!Data_PL_Element[Value],[1]!Data_PL_Element[Index PL Element],DTRVL!$B237,[1]!Data_PL_Element[TenCongTyID],DTRVL!$B$1,[1]!Data_PL_Element[Thang.Nam],DTRVL!AH$198)</f>
        <v>0</v>
      </c>
      <c r="AI237" s="189">
        <f>SUMIFS([1]!Data_PL_Element[Value],[1]!Data_PL_Element[Index PL Element],DTRVL!$B237,[1]!Data_PL_Element[TenCongTyID],DTRVL!$B$1,[1]!Data_PL_Element[Thang.Nam],DTRVL!AI$198)</f>
        <v>0</v>
      </c>
      <c r="AJ237" s="189">
        <f>SUMIFS([1]!Data_PL_Element[Value],[1]!Data_PL_Element[Index PL Element],DTRVL!$B237,[1]!Data_PL_Element[TenCongTyID],DTRVL!$B$1,[1]!Data_PL_Element[Thang.Nam],DTRVL!AJ$198)</f>
        <v>0</v>
      </c>
      <c r="AK237" s="189">
        <f>SUMIFS([1]!Data_PL_Element[Value],[1]!Data_PL_Element[Index PL Element],DTRVL!$B237,[1]!Data_PL_Element[TenCongTyID],DTRVL!$B$1,[1]!Data_PL_Element[Thang.Nam],DTRVL!AK$198)</f>
        <v>0</v>
      </c>
      <c r="AL237" s="189">
        <f>SUMIFS([1]!Data_PL_Element[Value],[1]!Data_PL_Element[Index PL Element],DTRVL!$B237,[1]!Data_PL_Element[TenCongTyID],DTRVL!$B$1,[1]!Data_PL_Element[Thang.Nam],DTRVL!AL$198)</f>
        <v>0</v>
      </c>
    </row>
    <row r="238" spans="1:38" ht="15" customHeight="1">
      <c r="A238" s="190" t="s">
        <v>324</v>
      </c>
      <c r="B238" s="191">
        <v>40</v>
      </c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>
        <v>0</v>
      </c>
      <c r="AA238" s="189">
        <f>SUMIFS([1]!Data_PL_Element[Value],[1]!Data_PL_Element[Index PL Element],DTRVL!$B238,[1]!Data_PL_Element[TenCongTyID],DTRVL!$B$1,[1]!Data_PL_Element[Thang.Nam],DTRVL!AA$198)</f>
        <v>0</v>
      </c>
      <c r="AB238" s="189">
        <f>SUMIFS([1]!Data_PL_Element[Value],[1]!Data_PL_Element[Index PL Element],DTRVL!$B238,[1]!Data_PL_Element[TenCongTyID],DTRVL!$B$1,[1]!Data_PL_Element[Thang.Nam],DTRVL!AB$198)</f>
        <v>0</v>
      </c>
      <c r="AC238" s="189">
        <f>SUMIFS([1]!Data_PL_Element[Value],[1]!Data_PL_Element[Index PL Element],DTRVL!$B238,[1]!Data_PL_Element[TenCongTyID],DTRVL!$B$1,[1]!Data_PL_Element[Thang.Nam],DTRVL!AC$198)</f>
        <v>0</v>
      </c>
      <c r="AD238" s="189">
        <f>SUMIFS([1]!Data_PL_Element[Value],[1]!Data_PL_Element[Index PL Element],DTRVL!$B238,[1]!Data_PL_Element[TenCongTyID],DTRVL!$B$1,[1]!Data_PL_Element[Thang.Nam],DTRVL!AD$198)</f>
        <v>0</v>
      </c>
      <c r="AE238" s="189">
        <f>SUMIFS([1]!Data_PL_Element[Value],[1]!Data_PL_Element[Index PL Element],DTRVL!$B238,[1]!Data_PL_Element[TenCongTyID],DTRVL!$B$1,[1]!Data_PL_Element[Thang.Nam],DTRVL!AE$198)</f>
        <v>0</v>
      </c>
      <c r="AF238" s="189">
        <f>SUMIFS([1]!Data_PL_Element[Value],[1]!Data_PL_Element[Index PL Element],DTRVL!$B238,[1]!Data_PL_Element[TenCongTyID],DTRVL!$B$1,[1]!Data_PL_Element[Thang.Nam],DTRVL!AF$198)</f>
        <v>0</v>
      </c>
      <c r="AG238" s="189">
        <f>SUMIFS([1]!Data_PL_Element[Value],[1]!Data_PL_Element[Index PL Element],DTRVL!$B238,[1]!Data_PL_Element[TenCongTyID],DTRVL!$B$1,[1]!Data_PL_Element[Thang.Nam],DTRVL!AG$198)</f>
        <v>0</v>
      </c>
      <c r="AH238" s="189">
        <f>SUMIFS([1]!Data_PL_Element[Value],[1]!Data_PL_Element[Index PL Element],DTRVL!$B238,[1]!Data_PL_Element[TenCongTyID],DTRVL!$B$1,[1]!Data_PL_Element[Thang.Nam],DTRVL!AH$198)</f>
        <v>0</v>
      </c>
      <c r="AI238" s="189">
        <f>SUMIFS([1]!Data_PL_Element[Value],[1]!Data_PL_Element[Index PL Element],DTRVL!$B238,[1]!Data_PL_Element[TenCongTyID],DTRVL!$B$1,[1]!Data_PL_Element[Thang.Nam],DTRVL!AI$198)</f>
        <v>0</v>
      </c>
      <c r="AJ238" s="189">
        <f>SUMIFS([1]!Data_PL_Element[Value],[1]!Data_PL_Element[Index PL Element],DTRVL!$B238,[1]!Data_PL_Element[TenCongTyID],DTRVL!$B$1,[1]!Data_PL_Element[Thang.Nam],DTRVL!AJ$198)</f>
        <v>0</v>
      </c>
      <c r="AK238" s="189">
        <f>SUMIFS([1]!Data_PL_Element[Value],[1]!Data_PL_Element[Index PL Element],DTRVL!$B238,[1]!Data_PL_Element[TenCongTyID],DTRVL!$B$1,[1]!Data_PL_Element[Thang.Nam],DTRVL!AK$198)</f>
        <v>0</v>
      </c>
      <c r="AL238" s="189">
        <f>SUMIFS([1]!Data_PL_Element[Value],[1]!Data_PL_Element[Index PL Element],DTRVL!$B238,[1]!Data_PL_Element[TenCongTyID],DTRVL!$B$1,[1]!Data_PL_Element[Thang.Nam],DTRVL!AL$198)</f>
        <v>0</v>
      </c>
    </row>
    <row r="239" spans="1:38" ht="15" customHeight="1">
      <c r="A239" s="190" t="s">
        <v>325</v>
      </c>
      <c r="B239" s="191">
        <v>41</v>
      </c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>
        <v>0</v>
      </c>
      <c r="AA239" s="189">
        <f>SUMIFS([1]!Data_PL_Element[Value],[1]!Data_PL_Element[Index PL Element],DTRVL!$B239,[1]!Data_PL_Element[TenCongTyID],DTRVL!$B$1,[1]!Data_PL_Element[Thang.Nam],DTRVL!AA$198)</f>
        <v>0</v>
      </c>
      <c r="AB239" s="189">
        <f>SUMIFS([1]!Data_PL_Element[Value],[1]!Data_PL_Element[Index PL Element],DTRVL!$B239,[1]!Data_PL_Element[TenCongTyID],DTRVL!$B$1,[1]!Data_PL_Element[Thang.Nam],DTRVL!AB$198)</f>
        <v>0</v>
      </c>
      <c r="AC239" s="189">
        <f>SUMIFS([1]!Data_PL_Element[Value],[1]!Data_PL_Element[Index PL Element],DTRVL!$B239,[1]!Data_PL_Element[TenCongTyID],DTRVL!$B$1,[1]!Data_PL_Element[Thang.Nam],DTRVL!AC$198)</f>
        <v>0</v>
      </c>
      <c r="AD239" s="189">
        <f>SUMIFS([1]!Data_PL_Element[Value],[1]!Data_PL_Element[Index PL Element],DTRVL!$B239,[1]!Data_PL_Element[TenCongTyID],DTRVL!$B$1,[1]!Data_PL_Element[Thang.Nam],DTRVL!AD$198)</f>
        <v>0</v>
      </c>
      <c r="AE239" s="189">
        <f>SUMIFS([1]!Data_PL_Element[Value],[1]!Data_PL_Element[Index PL Element],DTRVL!$B239,[1]!Data_PL_Element[TenCongTyID],DTRVL!$B$1,[1]!Data_PL_Element[Thang.Nam],DTRVL!AE$198)</f>
        <v>0</v>
      </c>
      <c r="AF239" s="189">
        <f>SUMIFS([1]!Data_PL_Element[Value],[1]!Data_PL_Element[Index PL Element],DTRVL!$B239,[1]!Data_PL_Element[TenCongTyID],DTRVL!$B$1,[1]!Data_PL_Element[Thang.Nam],DTRVL!AF$198)</f>
        <v>0</v>
      </c>
      <c r="AG239" s="189">
        <f>SUMIFS([1]!Data_PL_Element[Value],[1]!Data_PL_Element[Index PL Element],DTRVL!$B239,[1]!Data_PL_Element[TenCongTyID],DTRVL!$B$1,[1]!Data_PL_Element[Thang.Nam],DTRVL!AG$198)</f>
        <v>0</v>
      </c>
      <c r="AH239" s="189">
        <f>SUMIFS([1]!Data_PL_Element[Value],[1]!Data_PL_Element[Index PL Element],DTRVL!$B239,[1]!Data_PL_Element[TenCongTyID],DTRVL!$B$1,[1]!Data_PL_Element[Thang.Nam],DTRVL!AH$198)</f>
        <v>0</v>
      </c>
      <c r="AI239" s="189">
        <f>SUMIFS([1]!Data_PL_Element[Value],[1]!Data_PL_Element[Index PL Element],DTRVL!$B239,[1]!Data_PL_Element[TenCongTyID],DTRVL!$B$1,[1]!Data_PL_Element[Thang.Nam],DTRVL!AI$198)</f>
        <v>0</v>
      </c>
      <c r="AJ239" s="189">
        <f>SUMIFS([1]!Data_PL_Element[Value],[1]!Data_PL_Element[Index PL Element],DTRVL!$B239,[1]!Data_PL_Element[TenCongTyID],DTRVL!$B$1,[1]!Data_PL_Element[Thang.Nam],DTRVL!AJ$198)</f>
        <v>0</v>
      </c>
      <c r="AK239" s="189">
        <f>SUMIFS([1]!Data_PL_Element[Value],[1]!Data_PL_Element[Index PL Element],DTRVL!$B239,[1]!Data_PL_Element[TenCongTyID],DTRVL!$B$1,[1]!Data_PL_Element[Thang.Nam],DTRVL!AK$198)</f>
        <v>0</v>
      </c>
      <c r="AL239" s="189">
        <f>SUMIFS([1]!Data_PL_Element[Value],[1]!Data_PL_Element[Index PL Element],DTRVL!$B239,[1]!Data_PL_Element[TenCongTyID],DTRVL!$B$1,[1]!Data_PL_Element[Thang.Nam],DTRVL!AL$198)</f>
        <v>0</v>
      </c>
    </row>
    <row r="240" spans="1:38" ht="15" customHeight="1">
      <c r="A240" s="190" t="s">
        <v>326</v>
      </c>
      <c r="B240" s="191">
        <v>42</v>
      </c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>
        <v>0</v>
      </c>
      <c r="AA240" s="189">
        <f>SUMIFS([1]!Data_PL_Element[Value],[1]!Data_PL_Element[Index PL Element],DTRVL!$B240,[1]!Data_PL_Element[TenCongTyID],DTRVL!$B$1,[1]!Data_PL_Element[Thang.Nam],DTRVL!AA$198)</f>
        <v>0</v>
      </c>
      <c r="AB240" s="189">
        <f>SUMIFS([1]!Data_PL_Element[Value],[1]!Data_PL_Element[Index PL Element],DTRVL!$B240,[1]!Data_PL_Element[TenCongTyID],DTRVL!$B$1,[1]!Data_PL_Element[Thang.Nam],DTRVL!AB$198)</f>
        <v>0</v>
      </c>
      <c r="AC240" s="189">
        <f>SUMIFS([1]!Data_PL_Element[Value],[1]!Data_PL_Element[Index PL Element],DTRVL!$B240,[1]!Data_PL_Element[TenCongTyID],DTRVL!$B$1,[1]!Data_PL_Element[Thang.Nam],DTRVL!AC$198)</f>
        <v>0</v>
      </c>
      <c r="AD240" s="189">
        <f>SUMIFS([1]!Data_PL_Element[Value],[1]!Data_PL_Element[Index PL Element],DTRVL!$B240,[1]!Data_PL_Element[TenCongTyID],DTRVL!$B$1,[1]!Data_PL_Element[Thang.Nam],DTRVL!AD$198)</f>
        <v>0</v>
      </c>
      <c r="AE240" s="189">
        <f>SUMIFS([1]!Data_PL_Element[Value],[1]!Data_PL_Element[Index PL Element],DTRVL!$B240,[1]!Data_PL_Element[TenCongTyID],DTRVL!$B$1,[1]!Data_PL_Element[Thang.Nam],DTRVL!AE$198)</f>
        <v>0</v>
      </c>
      <c r="AF240" s="189">
        <f>SUMIFS([1]!Data_PL_Element[Value],[1]!Data_PL_Element[Index PL Element],DTRVL!$B240,[1]!Data_PL_Element[TenCongTyID],DTRVL!$B$1,[1]!Data_PL_Element[Thang.Nam],DTRVL!AF$198)</f>
        <v>0</v>
      </c>
      <c r="AG240" s="189">
        <f>SUMIFS([1]!Data_PL_Element[Value],[1]!Data_PL_Element[Index PL Element],DTRVL!$B240,[1]!Data_PL_Element[TenCongTyID],DTRVL!$B$1,[1]!Data_PL_Element[Thang.Nam],DTRVL!AG$198)</f>
        <v>0</v>
      </c>
      <c r="AH240" s="189">
        <f>SUMIFS([1]!Data_PL_Element[Value],[1]!Data_PL_Element[Index PL Element],DTRVL!$B240,[1]!Data_PL_Element[TenCongTyID],DTRVL!$B$1,[1]!Data_PL_Element[Thang.Nam],DTRVL!AH$198)</f>
        <v>0</v>
      </c>
      <c r="AI240" s="189">
        <f>SUMIFS([1]!Data_PL_Element[Value],[1]!Data_PL_Element[Index PL Element],DTRVL!$B240,[1]!Data_PL_Element[TenCongTyID],DTRVL!$B$1,[1]!Data_PL_Element[Thang.Nam],DTRVL!AI$198)</f>
        <v>0</v>
      </c>
      <c r="AJ240" s="189">
        <f>SUMIFS([1]!Data_PL_Element[Value],[1]!Data_PL_Element[Index PL Element],DTRVL!$B240,[1]!Data_PL_Element[TenCongTyID],DTRVL!$B$1,[1]!Data_PL_Element[Thang.Nam],DTRVL!AJ$198)</f>
        <v>0</v>
      </c>
      <c r="AK240" s="189">
        <f>SUMIFS([1]!Data_PL_Element[Value],[1]!Data_PL_Element[Index PL Element],DTRVL!$B240,[1]!Data_PL_Element[TenCongTyID],DTRVL!$B$1,[1]!Data_PL_Element[Thang.Nam],DTRVL!AK$198)</f>
        <v>0</v>
      </c>
      <c r="AL240" s="189">
        <f>SUMIFS([1]!Data_PL_Element[Value],[1]!Data_PL_Element[Index PL Element],DTRVL!$B240,[1]!Data_PL_Element[TenCongTyID],DTRVL!$B$1,[1]!Data_PL_Element[Thang.Nam],DTRVL!AL$198)</f>
        <v>0</v>
      </c>
    </row>
    <row r="241" spans="1:38" ht="15" customHeight="1">
      <c r="A241" s="190" t="s">
        <v>327</v>
      </c>
      <c r="B241" s="191">
        <v>43</v>
      </c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>
        <v>0</v>
      </c>
      <c r="AA241" s="189">
        <f>SUMIFS([1]!Data_PL_Element[Value],[1]!Data_PL_Element[Index PL Element],DTRVL!$B241,[1]!Data_PL_Element[TenCongTyID],DTRVL!$B$1,[1]!Data_PL_Element[Thang.Nam],DTRVL!AA$198)</f>
        <v>0</v>
      </c>
      <c r="AB241" s="189">
        <f>SUMIFS([1]!Data_PL_Element[Value],[1]!Data_PL_Element[Index PL Element],DTRVL!$B241,[1]!Data_PL_Element[TenCongTyID],DTRVL!$B$1,[1]!Data_PL_Element[Thang.Nam],DTRVL!AB$198)</f>
        <v>0</v>
      </c>
      <c r="AC241" s="189">
        <f>SUMIFS([1]!Data_PL_Element[Value],[1]!Data_PL_Element[Index PL Element],DTRVL!$B241,[1]!Data_PL_Element[TenCongTyID],DTRVL!$B$1,[1]!Data_PL_Element[Thang.Nam],DTRVL!AC$198)</f>
        <v>0</v>
      </c>
      <c r="AD241" s="189">
        <f>SUMIFS([1]!Data_PL_Element[Value],[1]!Data_PL_Element[Index PL Element],DTRVL!$B241,[1]!Data_PL_Element[TenCongTyID],DTRVL!$B$1,[1]!Data_PL_Element[Thang.Nam],DTRVL!AD$198)</f>
        <v>0</v>
      </c>
      <c r="AE241" s="189">
        <f>SUMIFS([1]!Data_PL_Element[Value],[1]!Data_PL_Element[Index PL Element],DTRVL!$B241,[1]!Data_PL_Element[TenCongTyID],DTRVL!$B$1,[1]!Data_PL_Element[Thang.Nam],DTRVL!AE$198)</f>
        <v>0</v>
      </c>
      <c r="AF241" s="189">
        <f>SUMIFS([1]!Data_PL_Element[Value],[1]!Data_PL_Element[Index PL Element],DTRVL!$B241,[1]!Data_PL_Element[TenCongTyID],DTRVL!$B$1,[1]!Data_PL_Element[Thang.Nam],DTRVL!AF$198)</f>
        <v>0</v>
      </c>
      <c r="AG241" s="189">
        <f>SUMIFS([1]!Data_PL_Element[Value],[1]!Data_PL_Element[Index PL Element],DTRVL!$B241,[1]!Data_PL_Element[TenCongTyID],DTRVL!$B$1,[1]!Data_PL_Element[Thang.Nam],DTRVL!AG$198)</f>
        <v>0</v>
      </c>
      <c r="AH241" s="189">
        <f>SUMIFS([1]!Data_PL_Element[Value],[1]!Data_PL_Element[Index PL Element],DTRVL!$B241,[1]!Data_PL_Element[TenCongTyID],DTRVL!$B$1,[1]!Data_PL_Element[Thang.Nam],DTRVL!AH$198)</f>
        <v>0</v>
      </c>
      <c r="AI241" s="189">
        <f>SUMIFS([1]!Data_PL_Element[Value],[1]!Data_PL_Element[Index PL Element],DTRVL!$B241,[1]!Data_PL_Element[TenCongTyID],DTRVL!$B$1,[1]!Data_PL_Element[Thang.Nam],DTRVL!AI$198)</f>
        <v>0</v>
      </c>
      <c r="AJ241" s="189">
        <f>SUMIFS([1]!Data_PL_Element[Value],[1]!Data_PL_Element[Index PL Element],DTRVL!$B241,[1]!Data_PL_Element[TenCongTyID],DTRVL!$B$1,[1]!Data_PL_Element[Thang.Nam],DTRVL!AJ$198)</f>
        <v>0</v>
      </c>
      <c r="AK241" s="189">
        <f>SUMIFS([1]!Data_PL_Element[Value],[1]!Data_PL_Element[Index PL Element],DTRVL!$B241,[1]!Data_PL_Element[TenCongTyID],DTRVL!$B$1,[1]!Data_PL_Element[Thang.Nam],DTRVL!AK$198)</f>
        <v>0</v>
      </c>
      <c r="AL241" s="189">
        <f>SUMIFS([1]!Data_PL_Element[Value],[1]!Data_PL_Element[Index PL Element],DTRVL!$B241,[1]!Data_PL_Element[TenCongTyID],DTRVL!$B$1,[1]!Data_PL_Element[Thang.Nam],DTRVL!AL$198)</f>
        <v>0</v>
      </c>
    </row>
    <row r="242" spans="1:38" ht="15" customHeight="1">
      <c r="A242" s="190" t="s">
        <v>328</v>
      </c>
      <c r="B242" s="191">
        <v>44</v>
      </c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>
        <v>0</v>
      </c>
      <c r="AA242" s="189">
        <f>SUMIFS([1]!Data_PL_Element[Value],[1]!Data_PL_Element[Index PL Element],DTRVL!$B242,[1]!Data_PL_Element[TenCongTyID],DTRVL!$B$1,[1]!Data_PL_Element[Thang.Nam],DTRVL!AA$198)</f>
        <v>0</v>
      </c>
      <c r="AB242" s="189">
        <f>SUMIFS([1]!Data_PL_Element[Value],[1]!Data_PL_Element[Index PL Element],DTRVL!$B242,[1]!Data_PL_Element[TenCongTyID],DTRVL!$B$1,[1]!Data_PL_Element[Thang.Nam],DTRVL!AB$198)</f>
        <v>0</v>
      </c>
      <c r="AC242" s="189">
        <f>SUMIFS([1]!Data_PL_Element[Value],[1]!Data_PL_Element[Index PL Element],DTRVL!$B242,[1]!Data_PL_Element[TenCongTyID],DTRVL!$B$1,[1]!Data_PL_Element[Thang.Nam],DTRVL!AC$198)</f>
        <v>0</v>
      </c>
      <c r="AD242" s="189">
        <f>SUMIFS([1]!Data_PL_Element[Value],[1]!Data_PL_Element[Index PL Element],DTRVL!$B242,[1]!Data_PL_Element[TenCongTyID],DTRVL!$B$1,[1]!Data_PL_Element[Thang.Nam],DTRVL!AD$198)</f>
        <v>0</v>
      </c>
      <c r="AE242" s="189">
        <f>SUMIFS([1]!Data_PL_Element[Value],[1]!Data_PL_Element[Index PL Element],DTRVL!$B242,[1]!Data_PL_Element[TenCongTyID],DTRVL!$B$1,[1]!Data_PL_Element[Thang.Nam],DTRVL!AE$198)</f>
        <v>0</v>
      </c>
      <c r="AF242" s="189">
        <f>SUMIFS([1]!Data_PL_Element[Value],[1]!Data_PL_Element[Index PL Element],DTRVL!$B242,[1]!Data_PL_Element[TenCongTyID],DTRVL!$B$1,[1]!Data_PL_Element[Thang.Nam],DTRVL!AF$198)</f>
        <v>0</v>
      </c>
      <c r="AG242" s="189">
        <f>SUMIFS([1]!Data_PL_Element[Value],[1]!Data_PL_Element[Index PL Element],DTRVL!$B242,[1]!Data_PL_Element[TenCongTyID],DTRVL!$B$1,[1]!Data_PL_Element[Thang.Nam],DTRVL!AG$198)</f>
        <v>0</v>
      </c>
      <c r="AH242" s="189">
        <f>SUMIFS([1]!Data_PL_Element[Value],[1]!Data_PL_Element[Index PL Element],DTRVL!$B242,[1]!Data_PL_Element[TenCongTyID],DTRVL!$B$1,[1]!Data_PL_Element[Thang.Nam],DTRVL!AH$198)</f>
        <v>0</v>
      </c>
      <c r="AI242" s="189">
        <f>SUMIFS([1]!Data_PL_Element[Value],[1]!Data_PL_Element[Index PL Element],DTRVL!$B242,[1]!Data_PL_Element[TenCongTyID],DTRVL!$B$1,[1]!Data_PL_Element[Thang.Nam],DTRVL!AI$198)</f>
        <v>0</v>
      </c>
      <c r="AJ242" s="189">
        <f>SUMIFS([1]!Data_PL_Element[Value],[1]!Data_PL_Element[Index PL Element],DTRVL!$B242,[1]!Data_PL_Element[TenCongTyID],DTRVL!$B$1,[1]!Data_PL_Element[Thang.Nam],DTRVL!AJ$198)</f>
        <v>0</v>
      </c>
      <c r="AK242" s="189">
        <f>SUMIFS([1]!Data_PL_Element[Value],[1]!Data_PL_Element[Index PL Element],DTRVL!$B242,[1]!Data_PL_Element[TenCongTyID],DTRVL!$B$1,[1]!Data_PL_Element[Thang.Nam],DTRVL!AK$198)</f>
        <v>0</v>
      </c>
      <c r="AL242" s="189">
        <f>SUMIFS([1]!Data_PL_Element[Value],[1]!Data_PL_Element[Index PL Element],DTRVL!$B242,[1]!Data_PL_Element[TenCongTyID],DTRVL!$B$1,[1]!Data_PL_Element[Thang.Nam],DTRVL!AL$198)</f>
        <v>0</v>
      </c>
    </row>
    <row r="243" spans="1:38" ht="15" customHeight="1">
      <c r="A243" s="194" t="s">
        <v>329</v>
      </c>
      <c r="B243" s="171">
        <v>45</v>
      </c>
      <c r="C243" s="187" t="str">
        <f>IFERROR(C235/C207,"")</f>
        <v/>
      </c>
      <c r="D243" s="187" t="str">
        <f t="shared" ref="D243:AL243" si="54">IFERROR(D235/D207,"")</f>
        <v/>
      </c>
      <c r="E243" s="187" t="str">
        <f t="shared" si="54"/>
        <v/>
      </c>
      <c r="F243" s="187" t="str">
        <f t="shared" si="54"/>
        <v/>
      </c>
      <c r="G243" s="187" t="str">
        <f t="shared" si="54"/>
        <v/>
      </c>
      <c r="H243" s="187" t="str">
        <f t="shared" si="54"/>
        <v/>
      </c>
      <c r="I243" s="187" t="str">
        <f t="shared" si="54"/>
        <v/>
      </c>
      <c r="J243" s="187" t="str">
        <f t="shared" si="54"/>
        <v/>
      </c>
      <c r="K243" s="187" t="str">
        <f t="shared" si="54"/>
        <v/>
      </c>
      <c r="L243" s="187" t="str">
        <f t="shared" si="54"/>
        <v/>
      </c>
      <c r="M243" s="187" t="str">
        <f t="shared" si="54"/>
        <v/>
      </c>
      <c r="N243" s="187" t="str">
        <f t="shared" si="54"/>
        <v/>
      </c>
      <c r="O243" s="187" t="str">
        <f t="shared" si="54"/>
        <v/>
      </c>
      <c r="P243" s="187" t="str">
        <f t="shared" si="54"/>
        <v/>
      </c>
      <c r="Q243" s="187" t="str">
        <f t="shared" si="54"/>
        <v/>
      </c>
      <c r="R243" s="187" t="str">
        <f t="shared" si="54"/>
        <v/>
      </c>
      <c r="S243" s="187" t="str">
        <f t="shared" si="54"/>
        <v/>
      </c>
      <c r="T243" s="187" t="str">
        <f t="shared" si="54"/>
        <v/>
      </c>
      <c r="U243" s="187" t="str">
        <f t="shared" si="54"/>
        <v/>
      </c>
      <c r="V243" s="187" t="str">
        <f t="shared" si="54"/>
        <v/>
      </c>
      <c r="W243" s="187" t="str">
        <f t="shared" si="54"/>
        <v/>
      </c>
      <c r="X243" s="187" t="str">
        <f t="shared" si="54"/>
        <v/>
      </c>
      <c r="Y243" s="187" t="str">
        <f t="shared" si="54"/>
        <v/>
      </c>
      <c r="Z243" s="187" t="s">
        <v>378</v>
      </c>
      <c r="AA243" s="187" t="str">
        <f t="shared" si="54"/>
        <v/>
      </c>
      <c r="AB243" s="187" t="str">
        <f t="shared" si="54"/>
        <v/>
      </c>
      <c r="AC243" s="187" t="str">
        <f t="shared" si="54"/>
        <v/>
      </c>
      <c r="AD243" s="187" t="str">
        <f t="shared" si="54"/>
        <v/>
      </c>
      <c r="AE243" s="187" t="str">
        <f t="shared" si="54"/>
        <v/>
      </c>
      <c r="AF243" s="187" t="str">
        <f t="shared" si="54"/>
        <v/>
      </c>
      <c r="AG243" s="187" t="str">
        <f t="shared" si="54"/>
        <v/>
      </c>
      <c r="AH243" s="187" t="str">
        <f t="shared" si="54"/>
        <v/>
      </c>
      <c r="AI243" s="187" t="str">
        <f t="shared" si="54"/>
        <v/>
      </c>
      <c r="AJ243" s="187" t="str">
        <f t="shared" si="54"/>
        <v/>
      </c>
      <c r="AK243" s="187" t="str">
        <f t="shared" si="54"/>
        <v/>
      </c>
      <c r="AL243" s="187" t="str">
        <f t="shared" si="54"/>
        <v/>
      </c>
    </row>
    <row r="244" spans="1:38" ht="15" customHeight="1">
      <c r="A244" s="193" t="s">
        <v>330</v>
      </c>
      <c r="B244" s="146">
        <v>46</v>
      </c>
      <c r="C244" s="183">
        <f t="shared" ref="C244:AL244" si="55">C145</f>
        <v>0</v>
      </c>
      <c r="D244" s="183">
        <f t="shared" si="55"/>
        <v>0</v>
      </c>
      <c r="E244" s="183">
        <f t="shared" si="55"/>
        <v>0</v>
      </c>
      <c r="F244" s="183">
        <f t="shared" si="55"/>
        <v>0</v>
      </c>
      <c r="G244" s="183">
        <f t="shared" si="55"/>
        <v>0</v>
      </c>
      <c r="H244" s="183">
        <f t="shared" si="55"/>
        <v>0</v>
      </c>
      <c r="I244" s="183">
        <f t="shared" si="55"/>
        <v>0</v>
      </c>
      <c r="J244" s="183">
        <f t="shared" si="55"/>
        <v>0</v>
      </c>
      <c r="K244" s="183">
        <f t="shared" si="55"/>
        <v>0</v>
      </c>
      <c r="L244" s="183">
        <f t="shared" si="55"/>
        <v>0</v>
      </c>
      <c r="M244" s="183">
        <f t="shared" si="55"/>
        <v>0</v>
      </c>
      <c r="N244" s="183">
        <f t="shared" si="55"/>
        <v>0</v>
      </c>
      <c r="O244" s="183">
        <f t="shared" si="55"/>
        <v>0</v>
      </c>
      <c r="P244" s="183">
        <f t="shared" si="55"/>
        <v>0</v>
      </c>
      <c r="Q244" s="183">
        <f t="shared" si="55"/>
        <v>0</v>
      </c>
      <c r="R244" s="183">
        <f t="shared" si="55"/>
        <v>0</v>
      </c>
      <c r="S244" s="183">
        <f t="shared" si="55"/>
        <v>0</v>
      </c>
      <c r="T244" s="183">
        <f t="shared" si="55"/>
        <v>0</v>
      </c>
      <c r="U244" s="183">
        <f t="shared" si="55"/>
        <v>0</v>
      </c>
      <c r="V244" s="183">
        <f t="shared" si="55"/>
        <v>0</v>
      </c>
      <c r="W244" s="183">
        <f t="shared" si="55"/>
        <v>0</v>
      </c>
      <c r="X244" s="183">
        <f t="shared" si="55"/>
        <v>0</v>
      </c>
      <c r="Y244" s="183">
        <f t="shared" si="55"/>
        <v>1890400</v>
      </c>
      <c r="Z244" s="183">
        <v>0</v>
      </c>
      <c r="AA244" s="183">
        <f t="shared" si="55"/>
        <v>0</v>
      </c>
      <c r="AB244" s="183">
        <f t="shared" si="55"/>
        <v>0</v>
      </c>
      <c r="AC244" s="183">
        <f t="shared" si="55"/>
        <v>0</v>
      </c>
      <c r="AD244" s="183">
        <f t="shared" si="55"/>
        <v>0</v>
      </c>
      <c r="AE244" s="183">
        <f t="shared" si="55"/>
        <v>0</v>
      </c>
      <c r="AF244" s="183">
        <f t="shared" si="55"/>
        <v>0</v>
      </c>
      <c r="AG244" s="183">
        <f t="shared" si="55"/>
        <v>0</v>
      </c>
      <c r="AH244" s="183">
        <f t="shared" si="55"/>
        <v>0</v>
      </c>
      <c r="AI244" s="183">
        <f t="shared" si="55"/>
        <v>0</v>
      </c>
      <c r="AJ244" s="183">
        <f t="shared" si="55"/>
        <v>0</v>
      </c>
      <c r="AK244" s="183">
        <f t="shared" si="55"/>
        <v>0</v>
      </c>
      <c r="AL244" s="183">
        <f t="shared" si="55"/>
        <v>0</v>
      </c>
    </row>
    <row r="245" spans="1:38" ht="15" customHeight="1">
      <c r="A245" s="190" t="s">
        <v>331</v>
      </c>
      <c r="B245" s="191">
        <v>47</v>
      </c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>
        <v>0</v>
      </c>
      <c r="AA245" s="189">
        <f>SUMIFS([1]!Data_PL_Element[Value],[1]!Data_PL_Element[Index PL Element],DTRVL!$B245,[1]!Data_PL_Element[TenCongTyID],DTRVL!$B$1,[1]!Data_PL_Element[Thang.Nam],DTRVL!AA$198)</f>
        <v>0</v>
      </c>
      <c r="AB245" s="189">
        <f>SUMIFS([1]!Data_PL_Element[Value],[1]!Data_PL_Element[Index PL Element],DTRVL!$B245,[1]!Data_PL_Element[TenCongTyID],DTRVL!$B$1,[1]!Data_PL_Element[Thang.Nam],DTRVL!AB$198)</f>
        <v>0</v>
      </c>
      <c r="AC245" s="189">
        <f>SUMIFS([1]!Data_PL_Element[Value],[1]!Data_PL_Element[Index PL Element],DTRVL!$B245,[1]!Data_PL_Element[TenCongTyID],DTRVL!$B$1,[1]!Data_PL_Element[Thang.Nam],DTRVL!AC$198)</f>
        <v>0</v>
      </c>
      <c r="AD245" s="189">
        <f>SUMIFS([1]!Data_PL_Element[Value],[1]!Data_PL_Element[Index PL Element],DTRVL!$B245,[1]!Data_PL_Element[TenCongTyID],DTRVL!$B$1,[1]!Data_PL_Element[Thang.Nam],DTRVL!AD$198)</f>
        <v>0</v>
      </c>
      <c r="AE245" s="189">
        <f>SUMIFS([1]!Data_PL_Element[Value],[1]!Data_PL_Element[Index PL Element],DTRVL!$B245,[1]!Data_PL_Element[TenCongTyID],DTRVL!$B$1,[1]!Data_PL_Element[Thang.Nam],DTRVL!AE$198)</f>
        <v>0</v>
      </c>
      <c r="AF245" s="189">
        <f>SUMIFS([1]!Data_PL_Element[Value],[1]!Data_PL_Element[Index PL Element],DTRVL!$B245,[1]!Data_PL_Element[TenCongTyID],DTRVL!$B$1,[1]!Data_PL_Element[Thang.Nam],DTRVL!AF$198)</f>
        <v>0</v>
      </c>
      <c r="AG245" s="189">
        <f>SUMIFS([1]!Data_PL_Element[Value],[1]!Data_PL_Element[Index PL Element],DTRVL!$B245,[1]!Data_PL_Element[TenCongTyID],DTRVL!$B$1,[1]!Data_PL_Element[Thang.Nam],DTRVL!AG$198)</f>
        <v>0</v>
      </c>
      <c r="AH245" s="189">
        <f>SUMIFS([1]!Data_PL_Element[Value],[1]!Data_PL_Element[Index PL Element],DTRVL!$B245,[1]!Data_PL_Element[TenCongTyID],DTRVL!$B$1,[1]!Data_PL_Element[Thang.Nam],DTRVL!AH$198)</f>
        <v>0</v>
      </c>
      <c r="AI245" s="189">
        <f>SUMIFS([1]!Data_PL_Element[Value],[1]!Data_PL_Element[Index PL Element],DTRVL!$B245,[1]!Data_PL_Element[TenCongTyID],DTRVL!$B$1,[1]!Data_PL_Element[Thang.Nam],DTRVL!AI$198)</f>
        <v>0</v>
      </c>
      <c r="AJ245" s="189">
        <f>SUMIFS([1]!Data_PL_Element[Value],[1]!Data_PL_Element[Index PL Element],DTRVL!$B245,[1]!Data_PL_Element[TenCongTyID],DTRVL!$B$1,[1]!Data_PL_Element[Thang.Nam],DTRVL!AJ$198)</f>
        <v>0</v>
      </c>
      <c r="AK245" s="189">
        <f>SUMIFS([1]!Data_PL_Element[Value],[1]!Data_PL_Element[Index PL Element],DTRVL!$B245,[1]!Data_PL_Element[TenCongTyID],DTRVL!$B$1,[1]!Data_PL_Element[Thang.Nam],DTRVL!AK$198)</f>
        <v>0</v>
      </c>
      <c r="AL245" s="189">
        <f>SUMIFS([1]!Data_PL_Element[Value],[1]!Data_PL_Element[Index PL Element],DTRVL!$B245,[1]!Data_PL_Element[TenCongTyID],DTRVL!$B$1,[1]!Data_PL_Element[Thang.Nam],DTRVL!AL$198)</f>
        <v>0</v>
      </c>
    </row>
    <row r="246" spans="1:38" ht="15" customHeight="1">
      <c r="A246" s="190" t="s">
        <v>332</v>
      </c>
      <c r="B246" s="191">
        <v>48</v>
      </c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>
        <v>0</v>
      </c>
      <c r="AA246" s="189">
        <f>SUMIFS([1]!Data_PL_Element[Value],[1]!Data_PL_Element[Index PL Element],DTRVL!$B246,[1]!Data_PL_Element[TenCongTyID],DTRVL!$B$1,[1]!Data_PL_Element[Thang.Nam],DTRVL!AA$198)</f>
        <v>0</v>
      </c>
      <c r="AB246" s="189">
        <f>SUMIFS([1]!Data_PL_Element[Value],[1]!Data_PL_Element[Index PL Element],DTRVL!$B246,[1]!Data_PL_Element[TenCongTyID],DTRVL!$B$1,[1]!Data_PL_Element[Thang.Nam],DTRVL!AB$198)</f>
        <v>0</v>
      </c>
      <c r="AC246" s="189">
        <f>SUMIFS([1]!Data_PL_Element[Value],[1]!Data_PL_Element[Index PL Element],DTRVL!$B246,[1]!Data_PL_Element[TenCongTyID],DTRVL!$B$1,[1]!Data_PL_Element[Thang.Nam],DTRVL!AC$198)</f>
        <v>0</v>
      </c>
      <c r="AD246" s="189">
        <f>SUMIFS([1]!Data_PL_Element[Value],[1]!Data_PL_Element[Index PL Element],DTRVL!$B246,[1]!Data_PL_Element[TenCongTyID],DTRVL!$B$1,[1]!Data_PL_Element[Thang.Nam],DTRVL!AD$198)</f>
        <v>0</v>
      </c>
      <c r="AE246" s="189">
        <f>SUMIFS([1]!Data_PL_Element[Value],[1]!Data_PL_Element[Index PL Element],DTRVL!$B246,[1]!Data_PL_Element[TenCongTyID],DTRVL!$B$1,[1]!Data_PL_Element[Thang.Nam],DTRVL!AE$198)</f>
        <v>0</v>
      </c>
      <c r="AF246" s="189">
        <f>SUMIFS([1]!Data_PL_Element[Value],[1]!Data_PL_Element[Index PL Element],DTRVL!$B246,[1]!Data_PL_Element[TenCongTyID],DTRVL!$B$1,[1]!Data_PL_Element[Thang.Nam],DTRVL!AF$198)</f>
        <v>0</v>
      </c>
      <c r="AG246" s="189">
        <f>SUMIFS([1]!Data_PL_Element[Value],[1]!Data_PL_Element[Index PL Element],DTRVL!$B246,[1]!Data_PL_Element[TenCongTyID],DTRVL!$B$1,[1]!Data_PL_Element[Thang.Nam],DTRVL!AG$198)</f>
        <v>0</v>
      </c>
      <c r="AH246" s="189">
        <f>SUMIFS([1]!Data_PL_Element[Value],[1]!Data_PL_Element[Index PL Element],DTRVL!$B246,[1]!Data_PL_Element[TenCongTyID],DTRVL!$B$1,[1]!Data_PL_Element[Thang.Nam],DTRVL!AH$198)</f>
        <v>0</v>
      </c>
      <c r="AI246" s="189">
        <f>SUMIFS([1]!Data_PL_Element[Value],[1]!Data_PL_Element[Index PL Element],DTRVL!$B246,[1]!Data_PL_Element[TenCongTyID],DTRVL!$B$1,[1]!Data_PL_Element[Thang.Nam],DTRVL!AI$198)</f>
        <v>0</v>
      </c>
      <c r="AJ246" s="189">
        <f>SUMIFS([1]!Data_PL_Element[Value],[1]!Data_PL_Element[Index PL Element],DTRVL!$B246,[1]!Data_PL_Element[TenCongTyID],DTRVL!$B$1,[1]!Data_PL_Element[Thang.Nam],DTRVL!AJ$198)</f>
        <v>0</v>
      </c>
      <c r="AK246" s="189">
        <f>SUMIFS([1]!Data_PL_Element[Value],[1]!Data_PL_Element[Index PL Element],DTRVL!$B246,[1]!Data_PL_Element[TenCongTyID],DTRVL!$B$1,[1]!Data_PL_Element[Thang.Nam],DTRVL!AK$198)</f>
        <v>0</v>
      </c>
      <c r="AL246" s="189">
        <f>SUMIFS([1]!Data_PL_Element[Value],[1]!Data_PL_Element[Index PL Element],DTRVL!$B246,[1]!Data_PL_Element[TenCongTyID],DTRVL!$B$1,[1]!Data_PL_Element[Thang.Nam],DTRVL!AL$198)</f>
        <v>0</v>
      </c>
    </row>
    <row r="247" spans="1:38" ht="15" customHeight="1">
      <c r="A247" s="190" t="s">
        <v>333</v>
      </c>
      <c r="B247" s="191">
        <v>49</v>
      </c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>
        <v>0</v>
      </c>
      <c r="AA247" s="189">
        <f>SUMIFS([1]!Data_PL_Element[Value],[1]!Data_PL_Element[Index PL Element],DTRVL!$B247,[1]!Data_PL_Element[TenCongTyID],DTRVL!$B$1,[1]!Data_PL_Element[Thang.Nam],DTRVL!AA$198)</f>
        <v>0</v>
      </c>
      <c r="AB247" s="189">
        <f>SUMIFS([1]!Data_PL_Element[Value],[1]!Data_PL_Element[Index PL Element],DTRVL!$B247,[1]!Data_PL_Element[TenCongTyID],DTRVL!$B$1,[1]!Data_PL_Element[Thang.Nam],DTRVL!AB$198)</f>
        <v>0</v>
      </c>
      <c r="AC247" s="189">
        <f>SUMIFS([1]!Data_PL_Element[Value],[1]!Data_PL_Element[Index PL Element],DTRVL!$B247,[1]!Data_PL_Element[TenCongTyID],DTRVL!$B$1,[1]!Data_PL_Element[Thang.Nam],DTRVL!AC$198)</f>
        <v>0</v>
      </c>
      <c r="AD247" s="189">
        <f>SUMIFS([1]!Data_PL_Element[Value],[1]!Data_PL_Element[Index PL Element],DTRVL!$B247,[1]!Data_PL_Element[TenCongTyID],DTRVL!$B$1,[1]!Data_PL_Element[Thang.Nam],DTRVL!AD$198)</f>
        <v>0</v>
      </c>
      <c r="AE247" s="189">
        <f>SUMIFS([1]!Data_PL_Element[Value],[1]!Data_PL_Element[Index PL Element],DTRVL!$B247,[1]!Data_PL_Element[TenCongTyID],DTRVL!$B$1,[1]!Data_PL_Element[Thang.Nam],DTRVL!AE$198)</f>
        <v>0</v>
      </c>
      <c r="AF247" s="189">
        <f>SUMIFS([1]!Data_PL_Element[Value],[1]!Data_PL_Element[Index PL Element],DTRVL!$B247,[1]!Data_PL_Element[TenCongTyID],DTRVL!$B$1,[1]!Data_PL_Element[Thang.Nam],DTRVL!AF$198)</f>
        <v>0</v>
      </c>
      <c r="AG247" s="189">
        <f>SUMIFS([1]!Data_PL_Element[Value],[1]!Data_PL_Element[Index PL Element],DTRVL!$B247,[1]!Data_PL_Element[TenCongTyID],DTRVL!$B$1,[1]!Data_PL_Element[Thang.Nam],DTRVL!AG$198)</f>
        <v>0</v>
      </c>
      <c r="AH247" s="189">
        <f>SUMIFS([1]!Data_PL_Element[Value],[1]!Data_PL_Element[Index PL Element],DTRVL!$B247,[1]!Data_PL_Element[TenCongTyID],DTRVL!$B$1,[1]!Data_PL_Element[Thang.Nam],DTRVL!AH$198)</f>
        <v>0</v>
      </c>
      <c r="AI247" s="189">
        <f>SUMIFS([1]!Data_PL_Element[Value],[1]!Data_PL_Element[Index PL Element],DTRVL!$B247,[1]!Data_PL_Element[TenCongTyID],DTRVL!$B$1,[1]!Data_PL_Element[Thang.Nam],DTRVL!AI$198)</f>
        <v>0</v>
      </c>
      <c r="AJ247" s="189">
        <f>SUMIFS([1]!Data_PL_Element[Value],[1]!Data_PL_Element[Index PL Element],DTRVL!$B247,[1]!Data_PL_Element[TenCongTyID],DTRVL!$B$1,[1]!Data_PL_Element[Thang.Nam],DTRVL!AJ$198)</f>
        <v>0</v>
      </c>
      <c r="AK247" s="189">
        <f>SUMIFS([1]!Data_PL_Element[Value],[1]!Data_PL_Element[Index PL Element],DTRVL!$B247,[1]!Data_PL_Element[TenCongTyID],DTRVL!$B$1,[1]!Data_PL_Element[Thang.Nam],DTRVL!AK$198)</f>
        <v>0</v>
      </c>
      <c r="AL247" s="189">
        <f>SUMIFS([1]!Data_PL_Element[Value],[1]!Data_PL_Element[Index PL Element],DTRVL!$B247,[1]!Data_PL_Element[TenCongTyID],DTRVL!$B$1,[1]!Data_PL_Element[Thang.Nam],DTRVL!AL$198)</f>
        <v>0</v>
      </c>
    </row>
    <row r="248" spans="1:38" ht="15" customHeight="1">
      <c r="A248" s="190" t="s">
        <v>334</v>
      </c>
      <c r="B248" s="191">
        <v>50</v>
      </c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>
        <v>1890400</v>
      </c>
      <c r="Z248" s="189">
        <v>0</v>
      </c>
      <c r="AA248" s="189">
        <f>SUMIFS([1]!Data_PL_Element[Value],[1]!Data_PL_Element[Index PL Element],DTRVL!$B248,[1]!Data_PL_Element[TenCongTyID],DTRVL!$B$1,[1]!Data_PL_Element[Thang.Nam],DTRVL!AA$198)</f>
        <v>0</v>
      </c>
      <c r="AB248" s="189">
        <f>SUMIFS([1]!Data_PL_Element[Value],[1]!Data_PL_Element[Index PL Element],DTRVL!$B248,[1]!Data_PL_Element[TenCongTyID],DTRVL!$B$1,[1]!Data_PL_Element[Thang.Nam],DTRVL!AB$198)</f>
        <v>0</v>
      </c>
      <c r="AC248" s="189">
        <f>SUMIFS([1]!Data_PL_Element[Value],[1]!Data_PL_Element[Index PL Element],DTRVL!$B248,[1]!Data_PL_Element[TenCongTyID],DTRVL!$B$1,[1]!Data_PL_Element[Thang.Nam],DTRVL!AC$198)</f>
        <v>0</v>
      </c>
      <c r="AD248" s="189">
        <f>SUMIFS([1]!Data_PL_Element[Value],[1]!Data_PL_Element[Index PL Element],DTRVL!$B248,[1]!Data_PL_Element[TenCongTyID],DTRVL!$B$1,[1]!Data_PL_Element[Thang.Nam],DTRVL!AD$198)</f>
        <v>0</v>
      </c>
      <c r="AE248" s="189">
        <f>SUMIFS([1]!Data_PL_Element[Value],[1]!Data_PL_Element[Index PL Element],DTRVL!$B248,[1]!Data_PL_Element[TenCongTyID],DTRVL!$B$1,[1]!Data_PL_Element[Thang.Nam],DTRVL!AE$198)</f>
        <v>0</v>
      </c>
      <c r="AF248" s="189">
        <f>SUMIFS([1]!Data_PL_Element[Value],[1]!Data_PL_Element[Index PL Element],DTRVL!$B248,[1]!Data_PL_Element[TenCongTyID],DTRVL!$B$1,[1]!Data_PL_Element[Thang.Nam],DTRVL!AF$198)</f>
        <v>0</v>
      </c>
      <c r="AG248" s="189">
        <f>SUMIFS([1]!Data_PL_Element[Value],[1]!Data_PL_Element[Index PL Element],DTRVL!$B248,[1]!Data_PL_Element[TenCongTyID],DTRVL!$B$1,[1]!Data_PL_Element[Thang.Nam],DTRVL!AG$198)</f>
        <v>0</v>
      </c>
      <c r="AH248" s="189">
        <f>SUMIFS([1]!Data_PL_Element[Value],[1]!Data_PL_Element[Index PL Element],DTRVL!$B248,[1]!Data_PL_Element[TenCongTyID],DTRVL!$B$1,[1]!Data_PL_Element[Thang.Nam],DTRVL!AH$198)</f>
        <v>0</v>
      </c>
      <c r="AI248" s="189">
        <f>SUMIFS([1]!Data_PL_Element[Value],[1]!Data_PL_Element[Index PL Element],DTRVL!$B248,[1]!Data_PL_Element[TenCongTyID],DTRVL!$B$1,[1]!Data_PL_Element[Thang.Nam],DTRVL!AI$198)</f>
        <v>0</v>
      </c>
      <c r="AJ248" s="189">
        <f>SUMIFS([1]!Data_PL_Element[Value],[1]!Data_PL_Element[Index PL Element],DTRVL!$B248,[1]!Data_PL_Element[TenCongTyID],DTRVL!$B$1,[1]!Data_PL_Element[Thang.Nam],DTRVL!AJ$198)</f>
        <v>0</v>
      </c>
      <c r="AK248" s="189">
        <f>SUMIFS([1]!Data_PL_Element[Value],[1]!Data_PL_Element[Index PL Element],DTRVL!$B248,[1]!Data_PL_Element[TenCongTyID],DTRVL!$B$1,[1]!Data_PL_Element[Thang.Nam],DTRVL!AK$198)</f>
        <v>0</v>
      </c>
      <c r="AL248" s="189">
        <f>SUMIFS([1]!Data_PL_Element[Value],[1]!Data_PL_Element[Index PL Element],DTRVL!$B248,[1]!Data_PL_Element[TenCongTyID],DTRVL!$B$1,[1]!Data_PL_Element[Thang.Nam],DTRVL!AL$198)</f>
        <v>0</v>
      </c>
    </row>
    <row r="249" spans="1:38" ht="15" customHeight="1">
      <c r="A249" s="194" t="s">
        <v>335</v>
      </c>
      <c r="B249" s="171">
        <v>51</v>
      </c>
      <c r="C249" s="187" t="str">
        <f t="shared" ref="C249:AL249" si="56">IFERROR(C244/C207,"")</f>
        <v/>
      </c>
      <c r="D249" s="187" t="str">
        <f t="shared" si="56"/>
        <v/>
      </c>
      <c r="E249" s="187" t="str">
        <f t="shared" si="56"/>
        <v/>
      </c>
      <c r="F249" s="187" t="str">
        <f t="shared" si="56"/>
        <v/>
      </c>
      <c r="G249" s="187" t="str">
        <f t="shared" si="56"/>
        <v/>
      </c>
      <c r="H249" s="187" t="str">
        <f t="shared" si="56"/>
        <v/>
      </c>
      <c r="I249" s="187" t="str">
        <f t="shared" si="56"/>
        <v/>
      </c>
      <c r="J249" s="187" t="str">
        <f t="shared" si="56"/>
        <v/>
      </c>
      <c r="K249" s="187" t="str">
        <f t="shared" si="56"/>
        <v/>
      </c>
      <c r="L249" s="187" t="str">
        <f t="shared" si="56"/>
        <v/>
      </c>
      <c r="M249" s="187" t="str">
        <f t="shared" si="56"/>
        <v/>
      </c>
      <c r="N249" s="187" t="str">
        <f t="shared" si="56"/>
        <v/>
      </c>
      <c r="O249" s="187" t="str">
        <f t="shared" si="56"/>
        <v/>
      </c>
      <c r="P249" s="187" t="str">
        <f t="shared" si="56"/>
        <v/>
      </c>
      <c r="Q249" s="187" t="str">
        <f t="shared" si="56"/>
        <v/>
      </c>
      <c r="R249" s="187" t="str">
        <f t="shared" si="56"/>
        <v/>
      </c>
      <c r="S249" s="187" t="str">
        <f t="shared" si="56"/>
        <v/>
      </c>
      <c r="T249" s="187" t="str">
        <f t="shared" si="56"/>
        <v/>
      </c>
      <c r="U249" s="187" t="str">
        <f t="shared" si="56"/>
        <v/>
      </c>
      <c r="V249" s="187" t="str">
        <f t="shared" si="56"/>
        <v/>
      </c>
      <c r="W249" s="187" t="str">
        <f t="shared" si="56"/>
        <v/>
      </c>
      <c r="X249" s="187" t="str">
        <f t="shared" si="56"/>
        <v/>
      </c>
      <c r="Y249" s="187" t="str">
        <f t="shared" si="56"/>
        <v/>
      </c>
      <c r="Z249" s="187" t="s">
        <v>378</v>
      </c>
      <c r="AA249" s="187" t="str">
        <f t="shared" si="56"/>
        <v/>
      </c>
      <c r="AB249" s="187" t="str">
        <f t="shared" si="56"/>
        <v/>
      </c>
      <c r="AC249" s="187" t="str">
        <f t="shared" si="56"/>
        <v/>
      </c>
      <c r="AD249" s="187" t="str">
        <f t="shared" si="56"/>
        <v/>
      </c>
      <c r="AE249" s="187" t="str">
        <f t="shared" si="56"/>
        <v/>
      </c>
      <c r="AF249" s="187" t="str">
        <f t="shared" si="56"/>
        <v/>
      </c>
      <c r="AG249" s="187" t="str">
        <f t="shared" si="56"/>
        <v/>
      </c>
      <c r="AH249" s="187" t="str">
        <f t="shared" si="56"/>
        <v/>
      </c>
      <c r="AI249" s="187" t="str">
        <f t="shared" si="56"/>
        <v/>
      </c>
      <c r="AJ249" s="187" t="str">
        <f t="shared" si="56"/>
        <v/>
      </c>
      <c r="AK249" s="187" t="str">
        <f t="shared" si="56"/>
        <v/>
      </c>
      <c r="AL249" s="187" t="str">
        <f t="shared" si="56"/>
        <v/>
      </c>
    </row>
    <row r="250" spans="1:38" ht="15" customHeight="1">
      <c r="A250" s="193" t="s">
        <v>336</v>
      </c>
      <c r="B250" s="146">
        <v>52</v>
      </c>
      <c r="C250" s="186">
        <f t="shared" ref="C250:Y251" si="57">C142</f>
        <v>0</v>
      </c>
      <c r="D250" s="186">
        <f t="shared" si="57"/>
        <v>0</v>
      </c>
      <c r="E250" s="186">
        <f t="shared" si="57"/>
        <v>0</v>
      </c>
      <c r="F250" s="186">
        <f t="shared" si="57"/>
        <v>0</v>
      </c>
      <c r="G250" s="186">
        <f t="shared" si="57"/>
        <v>0</v>
      </c>
      <c r="H250" s="186">
        <f t="shared" si="57"/>
        <v>0</v>
      </c>
      <c r="I250" s="186">
        <f t="shared" si="57"/>
        <v>0</v>
      </c>
      <c r="J250" s="186">
        <f t="shared" si="57"/>
        <v>0</v>
      </c>
      <c r="K250" s="186">
        <f t="shared" si="57"/>
        <v>0</v>
      </c>
      <c r="L250" s="186">
        <f t="shared" si="57"/>
        <v>0</v>
      </c>
      <c r="M250" s="186">
        <f t="shared" si="57"/>
        <v>0</v>
      </c>
      <c r="N250" s="186">
        <f t="shared" si="57"/>
        <v>0</v>
      </c>
      <c r="O250" s="186">
        <f t="shared" si="57"/>
        <v>0</v>
      </c>
      <c r="P250" s="186">
        <f t="shared" si="57"/>
        <v>0</v>
      </c>
      <c r="Q250" s="186">
        <f t="shared" si="57"/>
        <v>0</v>
      </c>
      <c r="R250" s="186">
        <f t="shared" si="57"/>
        <v>0</v>
      </c>
      <c r="S250" s="186">
        <f t="shared" si="57"/>
        <v>0</v>
      </c>
      <c r="T250" s="186">
        <f t="shared" si="57"/>
        <v>0</v>
      </c>
      <c r="U250" s="186">
        <f t="shared" si="57"/>
        <v>0</v>
      </c>
      <c r="V250" s="186">
        <f t="shared" si="57"/>
        <v>0</v>
      </c>
      <c r="W250" s="186">
        <f t="shared" si="57"/>
        <v>0</v>
      </c>
      <c r="X250" s="186">
        <f t="shared" si="57"/>
        <v>0</v>
      </c>
      <c r="Y250" s="186">
        <f t="shared" si="57"/>
        <v>0</v>
      </c>
      <c r="Z250" s="186">
        <v>0</v>
      </c>
      <c r="AA250" s="186">
        <f t="shared" ref="AA250:AL251" si="58">AA142</f>
        <v>0</v>
      </c>
      <c r="AB250" s="186">
        <f t="shared" si="58"/>
        <v>0</v>
      </c>
      <c r="AC250" s="186">
        <f t="shared" si="58"/>
        <v>0</v>
      </c>
      <c r="AD250" s="186">
        <f t="shared" si="58"/>
        <v>0</v>
      </c>
      <c r="AE250" s="186">
        <f t="shared" si="58"/>
        <v>0</v>
      </c>
      <c r="AF250" s="186">
        <f t="shared" si="58"/>
        <v>0</v>
      </c>
      <c r="AG250" s="186">
        <f t="shared" si="58"/>
        <v>0</v>
      </c>
      <c r="AH250" s="186">
        <f t="shared" si="58"/>
        <v>0</v>
      </c>
      <c r="AI250" s="186">
        <f t="shared" si="58"/>
        <v>0</v>
      </c>
      <c r="AJ250" s="186">
        <f t="shared" si="58"/>
        <v>0</v>
      </c>
      <c r="AK250" s="186">
        <f t="shared" si="58"/>
        <v>0</v>
      </c>
      <c r="AL250" s="186">
        <f t="shared" si="58"/>
        <v>0</v>
      </c>
    </row>
    <row r="251" spans="1:38" ht="15" customHeight="1">
      <c r="A251" s="178" t="s">
        <v>337</v>
      </c>
      <c r="B251" s="179">
        <v>53</v>
      </c>
      <c r="C251" s="189">
        <f t="shared" si="57"/>
        <v>0</v>
      </c>
      <c r="D251" s="189">
        <f t="shared" si="57"/>
        <v>0</v>
      </c>
      <c r="E251" s="189">
        <f t="shared" si="57"/>
        <v>0</v>
      </c>
      <c r="F251" s="189">
        <f t="shared" si="57"/>
        <v>0</v>
      </c>
      <c r="G251" s="189">
        <f t="shared" si="57"/>
        <v>0</v>
      </c>
      <c r="H251" s="189">
        <f t="shared" si="57"/>
        <v>0</v>
      </c>
      <c r="I251" s="189">
        <f t="shared" si="57"/>
        <v>0</v>
      </c>
      <c r="J251" s="189">
        <f t="shared" si="57"/>
        <v>0</v>
      </c>
      <c r="K251" s="189">
        <f t="shared" si="57"/>
        <v>0</v>
      </c>
      <c r="L251" s="189">
        <f t="shared" si="57"/>
        <v>0</v>
      </c>
      <c r="M251" s="189">
        <f t="shared" si="57"/>
        <v>0</v>
      </c>
      <c r="N251" s="189">
        <f t="shared" si="57"/>
        <v>0</v>
      </c>
      <c r="O251" s="189">
        <f t="shared" si="57"/>
        <v>0</v>
      </c>
      <c r="P251" s="189">
        <f t="shared" si="57"/>
        <v>0</v>
      </c>
      <c r="Q251" s="189">
        <f t="shared" si="57"/>
        <v>0</v>
      </c>
      <c r="R251" s="189">
        <f t="shared" si="57"/>
        <v>0</v>
      </c>
      <c r="S251" s="189">
        <f t="shared" si="57"/>
        <v>0</v>
      </c>
      <c r="T251" s="189">
        <f t="shared" si="57"/>
        <v>0</v>
      </c>
      <c r="U251" s="189">
        <f t="shared" si="57"/>
        <v>0</v>
      </c>
      <c r="V251" s="189">
        <f t="shared" si="57"/>
        <v>0</v>
      </c>
      <c r="W251" s="189">
        <f t="shared" si="57"/>
        <v>0</v>
      </c>
      <c r="X251" s="189">
        <f t="shared" si="57"/>
        <v>0</v>
      </c>
      <c r="Y251" s="189">
        <f t="shared" si="57"/>
        <v>0</v>
      </c>
      <c r="Z251" s="189">
        <v>0</v>
      </c>
      <c r="AA251" s="189">
        <f t="shared" si="58"/>
        <v>0</v>
      </c>
      <c r="AB251" s="189">
        <f t="shared" si="58"/>
        <v>0</v>
      </c>
      <c r="AC251" s="189">
        <f t="shared" si="58"/>
        <v>0</v>
      </c>
      <c r="AD251" s="189">
        <f t="shared" si="58"/>
        <v>0</v>
      </c>
      <c r="AE251" s="189">
        <f t="shared" si="58"/>
        <v>0</v>
      </c>
      <c r="AF251" s="189">
        <f t="shared" si="58"/>
        <v>0</v>
      </c>
      <c r="AG251" s="189">
        <f t="shared" si="58"/>
        <v>0</v>
      </c>
      <c r="AH251" s="189">
        <f t="shared" si="58"/>
        <v>0</v>
      </c>
      <c r="AI251" s="189">
        <f t="shared" si="58"/>
        <v>0</v>
      </c>
      <c r="AJ251" s="189">
        <f t="shared" si="58"/>
        <v>0</v>
      </c>
      <c r="AK251" s="189">
        <f t="shared" si="58"/>
        <v>0</v>
      </c>
      <c r="AL251" s="189">
        <f t="shared" si="58"/>
        <v>0</v>
      </c>
    </row>
    <row r="252" spans="1:38" ht="15" customHeight="1">
      <c r="A252" s="194" t="s">
        <v>338</v>
      </c>
      <c r="B252" s="195">
        <v>54</v>
      </c>
      <c r="C252" s="187" t="str">
        <f>IFERROR(C251/C207,"")</f>
        <v/>
      </c>
      <c r="D252" s="187" t="str">
        <f t="shared" ref="D252:AL252" si="59">IFERROR(D251/D207,"")</f>
        <v/>
      </c>
      <c r="E252" s="187" t="str">
        <f t="shared" si="59"/>
        <v/>
      </c>
      <c r="F252" s="187" t="str">
        <f t="shared" si="59"/>
        <v/>
      </c>
      <c r="G252" s="187" t="str">
        <f t="shared" si="59"/>
        <v/>
      </c>
      <c r="H252" s="187" t="str">
        <f t="shared" si="59"/>
        <v/>
      </c>
      <c r="I252" s="187" t="str">
        <f t="shared" si="59"/>
        <v/>
      </c>
      <c r="J252" s="187" t="str">
        <f t="shared" si="59"/>
        <v/>
      </c>
      <c r="K252" s="187" t="str">
        <f t="shared" si="59"/>
        <v/>
      </c>
      <c r="L252" s="187" t="str">
        <f t="shared" si="59"/>
        <v/>
      </c>
      <c r="M252" s="187" t="str">
        <f t="shared" si="59"/>
        <v/>
      </c>
      <c r="N252" s="187" t="str">
        <f t="shared" si="59"/>
        <v/>
      </c>
      <c r="O252" s="187" t="str">
        <f t="shared" si="59"/>
        <v/>
      </c>
      <c r="P252" s="187" t="str">
        <f t="shared" si="59"/>
        <v/>
      </c>
      <c r="Q252" s="187" t="str">
        <f t="shared" si="59"/>
        <v/>
      </c>
      <c r="R252" s="187" t="str">
        <f t="shared" si="59"/>
        <v/>
      </c>
      <c r="S252" s="187" t="str">
        <f t="shared" si="59"/>
        <v/>
      </c>
      <c r="T252" s="187" t="str">
        <f t="shared" si="59"/>
        <v/>
      </c>
      <c r="U252" s="187" t="str">
        <f t="shared" si="59"/>
        <v/>
      </c>
      <c r="V252" s="187" t="str">
        <f t="shared" si="59"/>
        <v/>
      </c>
      <c r="W252" s="187" t="str">
        <f t="shared" si="59"/>
        <v/>
      </c>
      <c r="X252" s="187" t="str">
        <f t="shared" si="59"/>
        <v/>
      </c>
      <c r="Y252" s="187" t="str">
        <f t="shared" si="59"/>
        <v/>
      </c>
      <c r="Z252" s="187" t="s">
        <v>378</v>
      </c>
      <c r="AA252" s="187" t="str">
        <f t="shared" si="59"/>
        <v/>
      </c>
      <c r="AB252" s="187" t="str">
        <f t="shared" si="59"/>
        <v/>
      </c>
      <c r="AC252" s="187" t="str">
        <f t="shared" si="59"/>
        <v/>
      </c>
      <c r="AD252" s="187" t="str">
        <f t="shared" si="59"/>
        <v/>
      </c>
      <c r="AE252" s="187" t="str">
        <f t="shared" si="59"/>
        <v/>
      </c>
      <c r="AF252" s="187" t="str">
        <f t="shared" si="59"/>
        <v/>
      </c>
      <c r="AG252" s="187" t="str">
        <f t="shared" si="59"/>
        <v/>
      </c>
      <c r="AH252" s="187" t="str">
        <f t="shared" si="59"/>
        <v/>
      </c>
      <c r="AI252" s="187" t="str">
        <f t="shared" si="59"/>
        <v/>
      </c>
      <c r="AJ252" s="187" t="str">
        <f t="shared" si="59"/>
        <v/>
      </c>
      <c r="AK252" s="187" t="str">
        <f t="shared" si="59"/>
        <v/>
      </c>
      <c r="AL252" s="187" t="str">
        <f t="shared" si="59"/>
        <v/>
      </c>
    </row>
    <row r="253" spans="1:38" ht="15" customHeight="1">
      <c r="A253" s="350"/>
      <c r="B253" s="351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430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</row>
    <row r="254" spans="1:38" ht="15" customHeight="1">
      <c r="A254" s="327" t="s">
        <v>339</v>
      </c>
      <c r="B254" s="177" t="s">
        <v>369</v>
      </c>
      <c r="C254" s="353" t="s">
        <v>66</v>
      </c>
      <c r="D254" s="354" t="s">
        <v>67</v>
      </c>
      <c r="E254" s="354" t="s">
        <v>68</v>
      </c>
      <c r="F254" s="354" t="s">
        <v>69</v>
      </c>
      <c r="G254" s="354" t="s">
        <v>70</v>
      </c>
      <c r="H254" s="354" t="s">
        <v>71</v>
      </c>
      <c r="I254" s="353" t="s">
        <v>72</v>
      </c>
      <c r="J254" s="354" t="s">
        <v>73</v>
      </c>
      <c r="K254" s="354" t="s">
        <v>74</v>
      </c>
      <c r="L254" s="354" t="s">
        <v>75</v>
      </c>
      <c r="M254" s="354" t="s">
        <v>76</v>
      </c>
      <c r="N254" s="354" t="s">
        <v>77</v>
      </c>
      <c r="O254" s="354" t="s">
        <v>78</v>
      </c>
      <c r="P254" s="354" t="s">
        <v>79</v>
      </c>
      <c r="Q254" s="354" t="s">
        <v>80</v>
      </c>
      <c r="R254" s="354" t="s">
        <v>81</v>
      </c>
      <c r="S254" s="354" t="s">
        <v>82</v>
      </c>
      <c r="T254" s="354" t="s">
        <v>83</v>
      </c>
      <c r="U254" s="354" t="s">
        <v>84</v>
      </c>
      <c r="V254" s="354" t="s">
        <v>85</v>
      </c>
      <c r="W254" s="354" t="s">
        <v>86</v>
      </c>
      <c r="X254" s="354" t="s">
        <v>87</v>
      </c>
      <c r="Y254" s="354" t="s">
        <v>88</v>
      </c>
      <c r="Z254" s="354" t="s">
        <v>89</v>
      </c>
      <c r="AA254" s="354" t="s">
        <v>8</v>
      </c>
      <c r="AB254" s="354" t="s">
        <v>9</v>
      </c>
      <c r="AC254" s="354" t="s">
        <v>10</v>
      </c>
      <c r="AD254" s="354" t="s">
        <v>11</v>
      </c>
      <c r="AE254" s="354" t="s">
        <v>12</v>
      </c>
      <c r="AF254" s="354" t="s">
        <v>13</v>
      </c>
      <c r="AG254" s="354" t="s">
        <v>14</v>
      </c>
      <c r="AH254" s="354" t="s">
        <v>15</v>
      </c>
      <c r="AI254" s="354" t="s">
        <v>16</v>
      </c>
      <c r="AJ254" s="354" t="s">
        <v>17</v>
      </c>
      <c r="AK254" s="354" t="s">
        <v>18</v>
      </c>
      <c r="AL254" s="354" t="s">
        <v>19</v>
      </c>
    </row>
    <row r="255" spans="1:38" ht="15" customHeight="1">
      <c r="A255" s="196" t="s">
        <v>370</v>
      </c>
      <c r="B255" s="328">
        <v>1</v>
      </c>
      <c r="C255" s="355"/>
      <c r="D255" s="355"/>
      <c r="E255" s="355"/>
      <c r="F255" s="355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>
        <v>0</v>
      </c>
      <c r="AA255" s="199">
        <f>SUMIFS([1]!Data_Loan[Value],[1]!Data_Loan[Index Loan],DTRVL!$B255,[1]!Data_Loan[TenCongTyID],DTRVL!$B$1,[1]!Data_Loan[Thang.Nam],DTRVL!AA$254)</f>
        <v>0</v>
      </c>
      <c r="AB255" s="199">
        <f>SUMIFS([1]!Data_Loan[Value],[1]!Data_Loan[Index Loan],DTRVL!$B255,[1]!Data_Loan[TenCongTyID],DTRVL!$B$1,[1]!Data_Loan[Thang.Nam],DTRVL!AB$254)</f>
        <v>0</v>
      </c>
      <c r="AC255" s="199">
        <f>SUMIFS([1]!Data_Loan[Value],[1]!Data_Loan[Index Loan],DTRVL!$B255,[1]!Data_Loan[TenCongTyID],DTRVL!$B$1,[1]!Data_Loan[Thang.Nam],DTRVL!AC$254)</f>
        <v>0</v>
      </c>
      <c r="AD255" s="199">
        <f>SUMIFS([1]!Data_Loan[Value],[1]!Data_Loan[Index Loan],DTRVL!$B255,[1]!Data_Loan[TenCongTyID],DTRVL!$B$1,[1]!Data_Loan[Thang.Nam],DTRVL!AD$254)</f>
        <v>0</v>
      </c>
      <c r="AE255" s="199">
        <f>SUMIFS([1]!Data_Loan[Value],[1]!Data_Loan[Index Loan],DTRVL!$B255,[1]!Data_Loan[TenCongTyID],DTRVL!$B$1,[1]!Data_Loan[Thang.Nam],DTRVL!AE$254)</f>
        <v>0</v>
      </c>
      <c r="AF255" s="199">
        <f>SUMIFS([1]!Data_Loan[Value],[1]!Data_Loan[Index Loan],DTRVL!$B255,[1]!Data_Loan[TenCongTyID],DTRVL!$B$1,[1]!Data_Loan[Thang.Nam],DTRVL!AF$254)</f>
        <v>0</v>
      </c>
      <c r="AG255" s="199">
        <f>SUMIFS([1]!Data_Loan[Value],[1]!Data_Loan[Index Loan],DTRVL!$B255,[1]!Data_Loan[TenCongTyID],DTRVL!$B$1,[1]!Data_Loan[Thang.Nam],DTRVL!AG$254)</f>
        <v>0</v>
      </c>
      <c r="AH255" s="199">
        <f>SUMIFS([1]!Data_Loan[Value],[1]!Data_Loan[Index Loan],DTRVL!$B255,[1]!Data_Loan[TenCongTyID],DTRVL!$B$1,[1]!Data_Loan[Thang.Nam],DTRVL!AH$254)</f>
        <v>0</v>
      </c>
      <c r="AI255" s="199">
        <f>SUMIFS([1]!Data_Loan[Value],[1]!Data_Loan[Index Loan],DTRVL!$B255,[1]!Data_Loan[TenCongTyID],DTRVL!$B$1,[1]!Data_Loan[Thang.Nam],DTRVL!AI$254)</f>
        <v>0</v>
      </c>
      <c r="AJ255" s="199">
        <f>SUMIFS([1]!Data_Loan[Value],[1]!Data_Loan[Index Loan],DTRVL!$B255,[1]!Data_Loan[TenCongTyID],DTRVL!$B$1,[1]!Data_Loan[Thang.Nam],DTRVL!AJ$254)</f>
        <v>0</v>
      </c>
      <c r="AK255" s="199">
        <f>SUMIFS([1]!Data_Loan[Value],[1]!Data_Loan[Index Loan],DTRVL!$B255,[1]!Data_Loan[TenCongTyID],DTRVL!$B$1,[1]!Data_Loan[Thang.Nam],DTRVL!AK$254)</f>
        <v>0</v>
      </c>
      <c r="AL255" s="199">
        <f>SUMIFS([1]!Data_Loan[Value],[1]!Data_Loan[Index Loan],DTRVL!$B255,[1]!Data_Loan[TenCongTyID],DTRVL!$B$1,[1]!Data_Loan[Thang.Nam],DTRVL!AL$254)</f>
        <v>0</v>
      </c>
    </row>
    <row r="256" spans="1:38" ht="15" customHeight="1">
      <c r="A256" s="200" t="s">
        <v>341</v>
      </c>
      <c r="B256" s="329">
        <v>2</v>
      </c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352">
        <v>0</v>
      </c>
      <c r="AA256" s="352">
        <f>SUMIFS([1]!Data_Loan[Value],[1]!Data_Loan[Index Loan],DTRVL!$B256,[1]!Data_Loan[TenCongTyID],DTRVL!$B$1,[1]!Data_Loan[Thang.Nam],DTRVL!AA$254)</f>
        <v>0</v>
      </c>
      <c r="AB256" s="352">
        <f>SUMIFS([1]!Data_Loan[Value],[1]!Data_Loan[Index Loan],DTRVL!$B256,[1]!Data_Loan[TenCongTyID],DTRVL!$B$1,[1]!Data_Loan[Thang.Nam],DTRVL!AB$254)</f>
        <v>0</v>
      </c>
      <c r="AC256" s="352">
        <f>SUMIFS([1]!Data_Loan[Value],[1]!Data_Loan[Index Loan],DTRVL!$B256,[1]!Data_Loan[TenCongTyID],DTRVL!$B$1,[1]!Data_Loan[Thang.Nam],DTRVL!AC$254)</f>
        <v>0</v>
      </c>
      <c r="AD256" s="352">
        <f>SUMIFS([1]!Data_Loan[Value],[1]!Data_Loan[Index Loan],DTRVL!$B256,[1]!Data_Loan[TenCongTyID],DTRVL!$B$1,[1]!Data_Loan[Thang.Nam],DTRVL!AD$254)</f>
        <v>0</v>
      </c>
      <c r="AE256" s="352">
        <f>SUMIFS([1]!Data_Loan[Value],[1]!Data_Loan[Index Loan],DTRVL!$B256,[1]!Data_Loan[TenCongTyID],DTRVL!$B$1,[1]!Data_Loan[Thang.Nam],DTRVL!AE$254)</f>
        <v>0</v>
      </c>
      <c r="AF256" s="352">
        <f>SUMIFS([1]!Data_Loan[Value],[1]!Data_Loan[Index Loan],DTRVL!$B256,[1]!Data_Loan[TenCongTyID],DTRVL!$B$1,[1]!Data_Loan[Thang.Nam],DTRVL!AF$254)</f>
        <v>0</v>
      </c>
      <c r="AG256" s="352">
        <f>SUMIFS([1]!Data_Loan[Value],[1]!Data_Loan[Index Loan],DTRVL!$B256,[1]!Data_Loan[TenCongTyID],DTRVL!$B$1,[1]!Data_Loan[Thang.Nam],DTRVL!AG$254)</f>
        <v>0</v>
      </c>
      <c r="AH256" s="352">
        <f>SUMIFS([1]!Data_Loan[Value],[1]!Data_Loan[Index Loan],DTRVL!$B256,[1]!Data_Loan[TenCongTyID],DTRVL!$B$1,[1]!Data_Loan[Thang.Nam],DTRVL!AH$254)</f>
        <v>0</v>
      </c>
      <c r="AI256" s="352">
        <f>SUMIFS([1]!Data_Loan[Value],[1]!Data_Loan[Index Loan],DTRVL!$B256,[1]!Data_Loan[TenCongTyID],DTRVL!$B$1,[1]!Data_Loan[Thang.Nam],DTRVL!AI$254)</f>
        <v>0</v>
      </c>
      <c r="AJ256" s="352">
        <f>SUMIFS([1]!Data_Loan[Value],[1]!Data_Loan[Index Loan],DTRVL!$B256,[1]!Data_Loan[TenCongTyID],DTRVL!$B$1,[1]!Data_Loan[Thang.Nam],DTRVL!AJ$254)</f>
        <v>0</v>
      </c>
      <c r="AK256" s="352">
        <f>SUMIFS([1]!Data_Loan[Value],[1]!Data_Loan[Index Loan],DTRVL!$B256,[1]!Data_Loan[TenCongTyID],DTRVL!$B$1,[1]!Data_Loan[Thang.Nam],DTRVL!AK$254)</f>
        <v>0</v>
      </c>
      <c r="AL256" s="352">
        <f>SUMIFS([1]!Data_Loan[Value],[1]!Data_Loan[Index Loan],DTRVL!$B256,[1]!Data_Loan[TenCongTyID],DTRVL!$B$1,[1]!Data_Loan[Thang.Nam],DTRVL!AL$254)</f>
        <v>0</v>
      </c>
    </row>
    <row r="257" spans="1:38" ht="15" customHeight="1">
      <c r="A257" s="200" t="s">
        <v>342</v>
      </c>
      <c r="B257" s="329">
        <v>3</v>
      </c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352">
        <v>0</v>
      </c>
      <c r="AA257" s="352">
        <f>SUMIFS([1]!Data_Loan[Value],[1]!Data_Loan[Index Loan],DTRVL!$B257,[1]!Data_Loan[TenCongTyID],DTRVL!$B$1,[1]!Data_Loan[Thang.Nam],DTRVL!AA$254)</f>
        <v>0</v>
      </c>
      <c r="AB257" s="352">
        <f>SUMIFS([1]!Data_Loan[Value],[1]!Data_Loan[Index Loan],DTRVL!$B257,[1]!Data_Loan[TenCongTyID],DTRVL!$B$1,[1]!Data_Loan[Thang.Nam],DTRVL!AB$254)</f>
        <v>0</v>
      </c>
      <c r="AC257" s="352">
        <f>SUMIFS([1]!Data_Loan[Value],[1]!Data_Loan[Index Loan],DTRVL!$B257,[1]!Data_Loan[TenCongTyID],DTRVL!$B$1,[1]!Data_Loan[Thang.Nam],DTRVL!AC$254)</f>
        <v>0</v>
      </c>
      <c r="AD257" s="352">
        <f>SUMIFS([1]!Data_Loan[Value],[1]!Data_Loan[Index Loan],DTRVL!$B257,[1]!Data_Loan[TenCongTyID],DTRVL!$B$1,[1]!Data_Loan[Thang.Nam],DTRVL!AD$254)</f>
        <v>0</v>
      </c>
      <c r="AE257" s="352">
        <f>SUMIFS([1]!Data_Loan[Value],[1]!Data_Loan[Index Loan],DTRVL!$B257,[1]!Data_Loan[TenCongTyID],DTRVL!$B$1,[1]!Data_Loan[Thang.Nam],DTRVL!AE$254)</f>
        <v>0</v>
      </c>
      <c r="AF257" s="352">
        <f>SUMIFS([1]!Data_Loan[Value],[1]!Data_Loan[Index Loan],DTRVL!$B257,[1]!Data_Loan[TenCongTyID],DTRVL!$B$1,[1]!Data_Loan[Thang.Nam],DTRVL!AF$254)</f>
        <v>0</v>
      </c>
      <c r="AG257" s="352">
        <f>SUMIFS([1]!Data_Loan[Value],[1]!Data_Loan[Index Loan],DTRVL!$B257,[1]!Data_Loan[TenCongTyID],DTRVL!$B$1,[1]!Data_Loan[Thang.Nam],DTRVL!AG$254)</f>
        <v>0</v>
      </c>
      <c r="AH257" s="352">
        <f>SUMIFS([1]!Data_Loan[Value],[1]!Data_Loan[Index Loan],DTRVL!$B257,[1]!Data_Loan[TenCongTyID],DTRVL!$B$1,[1]!Data_Loan[Thang.Nam],DTRVL!AH$254)</f>
        <v>0</v>
      </c>
      <c r="AI257" s="352">
        <f>SUMIFS([1]!Data_Loan[Value],[1]!Data_Loan[Index Loan],DTRVL!$B257,[1]!Data_Loan[TenCongTyID],DTRVL!$B$1,[1]!Data_Loan[Thang.Nam],DTRVL!AI$254)</f>
        <v>0</v>
      </c>
      <c r="AJ257" s="352">
        <f>SUMIFS([1]!Data_Loan[Value],[1]!Data_Loan[Index Loan],DTRVL!$B257,[1]!Data_Loan[TenCongTyID],DTRVL!$B$1,[1]!Data_Loan[Thang.Nam],DTRVL!AJ$254)</f>
        <v>0</v>
      </c>
      <c r="AK257" s="352">
        <f>SUMIFS([1]!Data_Loan[Value],[1]!Data_Loan[Index Loan],DTRVL!$B257,[1]!Data_Loan[TenCongTyID],DTRVL!$B$1,[1]!Data_Loan[Thang.Nam],DTRVL!AK$254)</f>
        <v>0</v>
      </c>
      <c r="AL257" s="352">
        <f>SUMIFS([1]!Data_Loan[Value],[1]!Data_Loan[Index Loan],DTRVL!$B257,[1]!Data_Loan[TenCongTyID],DTRVL!$B$1,[1]!Data_Loan[Thang.Nam],DTRVL!AL$254)</f>
        <v>0</v>
      </c>
    </row>
    <row r="258" spans="1:38" ht="15" customHeight="1">
      <c r="A258" s="200" t="s">
        <v>343</v>
      </c>
      <c r="B258" s="329">
        <v>4</v>
      </c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352">
        <v>0</v>
      </c>
      <c r="AA258" s="352">
        <f>SUMIFS([1]!Data_Loan[Value],[1]!Data_Loan[Index Loan],DTRVL!$B258,[1]!Data_Loan[TenCongTyID],DTRVL!$B$1,[1]!Data_Loan[Thang.Nam],DTRVL!AA$254)</f>
        <v>0</v>
      </c>
      <c r="AB258" s="352">
        <f>SUMIFS([1]!Data_Loan[Value],[1]!Data_Loan[Index Loan],DTRVL!$B258,[1]!Data_Loan[TenCongTyID],DTRVL!$B$1,[1]!Data_Loan[Thang.Nam],DTRVL!AB$254)</f>
        <v>0</v>
      </c>
      <c r="AC258" s="352">
        <f>SUMIFS([1]!Data_Loan[Value],[1]!Data_Loan[Index Loan],DTRVL!$B258,[1]!Data_Loan[TenCongTyID],DTRVL!$B$1,[1]!Data_Loan[Thang.Nam],DTRVL!AC$254)</f>
        <v>0</v>
      </c>
      <c r="AD258" s="352">
        <f>SUMIFS([1]!Data_Loan[Value],[1]!Data_Loan[Index Loan],DTRVL!$B258,[1]!Data_Loan[TenCongTyID],DTRVL!$B$1,[1]!Data_Loan[Thang.Nam],DTRVL!AD$254)</f>
        <v>0</v>
      </c>
      <c r="AE258" s="352">
        <f>SUMIFS([1]!Data_Loan[Value],[1]!Data_Loan[Index Loan],DTRVL!$B258,[1]!Data_Loan[TenCongTyID],DTRVL!$B$1,[1]!Data_Loan[Thang.Nam],DTRVL!AE$254)</f>
        <v>0</v>
      </c>
      <c r="AF258" s="352">
        <f>SUMIFS([1]!Data_Loan[Value],[1]!Data_Loan[Index Loan],DTRVL!$B258,[1]!Data_Loan[TenCongTyID],DTRVL!$B$1,[1]!Data_Loan[Thang.Nam],DTRVL!AF$254)</f>
        <v>0</v>
      </c>
      <c r="AG258" s="352">
        <f>SUMIFS([1]!Data_Loan[Value],[1]!Data_Loan[Index Loan],DTRVL!$B258,[1]!Data_Loan[TenCongTyID],DTRVL!$B$1,[1]!Data_Loan[Thang.Nam],DTRVL!AG$254)</f>
        <v>0</v>
      </c>
      <c r="AH258" s="352">
        <f>SUMIFS([1]!Data_Loan[Value],[1]!Data_Loan[Index Loan],DTRVL!$B258,[1]!Data_Loan[TenCongTyID],DTRVL!$B$1,[1]!Data_Loan[Thang.Nam],DTRVL!AH$254)</f>
        <v>0</v>
      </c>
      <c r="AI258" s="352">
        <f>SUMIFS([1]!Data_Loan[Value],[1]!Data_Loan[Index Loan],DTRVL!$B258,[1]!Data_Loan[TenCongTyID],DTRVL!$B$1,[1]!Data_Loan[Thang.Nam],DTRVL!AI$254)</f>
        <v>0</v>
      </c>
      <c r="AJ258" s="352">
        <f>SUMIFS([1]!Data_Loan[Value],[1]!Data_Loan[Index Loan],DTRVL!$B258,[1]!Data_Loan[TenCongTyID],DTRVL!$B$1,[1]!Data_Loan[Thang.Nam],DTRVL!AJ$254)</f>
        <v>0</v>
      </c>
      <c r="AK258" s="352">
        <f>SUMIFS([1]!Data_Loan[Value],[1]!Data_Loan[Index Loan],DTRVL!$B258,[1]!Data_Loan[TenCongTyID],DTRVL!$B$1,[1]!Data_Loan[Thang.Nam],DTRVL!AK$254)</f>
        <v>0</v>
      </c>
      <c r="AL258" s="352">
        <f>SUMIFS([1]!Data_Loan[Value],[1]!Data_Loan[Index Loan],DTRVL!$B258,[1]!Data_Loan[TenCongTyID],DTRVL!$B$1,[1]!Data_Loan[Thang.Nam],DTRVL!AL$254)</f>
        <v>0</v>
      </c>
    </row>
    <row r="259" spans="1:38" ht="15" customHeight="1">
      <c r="A259" s="200" t="s">
        <v>344</v>
      </c>
      <c r="B259" s="329">
        <v>5</v>
      </c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352">
        <v>0</v>
      </c>
      <c r="AA259" s="352">
        <f>SUMIFS([1]!Data_Loan[Value],[1]!Data_Loan[Index Loan],DTRVL!$B259,[1]!Data_Loan[TenCongTyID],DTRVL!$B$1,[1]!Data_Loan[Thang.Nam],DTRVL!AA$254)</f>
        <v>0</v>
      </c>
      <c r="AB259" s="352">
        <f>SUMIFS([1]!Data_Loan[Value],[1]!Data_Loan[Index Loan],DTRVL!$B259,[1]!Data_Loan[TenCongTyID],DTRVL!$B$1,[1]!Data_Loan[Thang.Nam],DTRVL!AB$254)</f>
        <v>0</v>
      </c>
      <c r="AC259" s="352">
        <f>SUMIFS([1]!Data_Loan[Value],[1]!Data_Loan[Index Loan],DTRVL!$B259,[1]!Data_Loan[TenCongTyID],DTRVL!$B$1,[1]!Data_Loan[Thang.Nam],DTRVL!AC$254)</f>
        <v>0</v>
      </c>
      <c r="AD259" s="352">
        <f>SUMIFS([1]!Data_Loan[Value],[1]!Data_Loan[Index Loan],DTRVL!$B259,[1]!Data_Loan[TenCongTyID],DTRVL!$B$1,[1]!Data_Loan[Thang.Nam],DTRVL!AD$254)</f>
        <v>0</v>
      </c>
      <c r="AE259" s="352">
        <f>SUMIFS([1]!Data_Loan[Value],[1]!Data_Loan[Index Loan],DTRVL!$B259,[1]!Data_Loan[TenCongTyID],DTRVL!$B$1,[1]!Data_Loan[Thang.Nam],DTRVL!AE$254)</f>
        <v>0</v>
      </c>
      <c r="AF259" s="352">
        <f>SUMIFS([1]!Data_Loan[Value],[1]!Data_Loan[Index Loan],DTRVL!$B259,[1]!Data_Loan[TenCongTyID],DTRVL!$B$1,[1]!Data_Loan[Thang.Nam],DTRVL!AF$254)</f>
        <v>0</v>
      </c>
      <c r="AG259" s="352">
        <f>SUMIFS([1]!Data_Loan[Value],[1]!Data_Loan[Index Loan],DTRVL!$B259,[1]!Data_Loan[TenCongTyID],DTRVL!$B$1,[1]!Data_Loan[Thang.Nam],DTRVL!AG$254)</f>
        <v>0</v>
      </c>
      <c r="AH259" s="352">
        <f>SUMIFS([1]!Data_Loan[Value],[1]!Data_Loan[Index Loan],DTRVL!$B259,[1]!Data_Loan[TenCongTyID],DTRVL!$B$1,[1]!Data_Loan[Thang.Nam],DTRVL!AH$254)</f>
        <v>0</v>
      </c>
      <c r="AI259" s="352">
        <f>SUMIFS([1]!Data_Loan[Value],[1]!Data_Loan[Index Loan],DTRVL!$B259,[1]!Data_Loan[TenCongTyID],DTRVL!$B$1,[1]!Data_Loan[Thang.Nam],DTRVL!AI$254)</f>
        <v>0</v>
      </c>
      <c r="AJ259" s="352">
        <f>SUMIFS([1]!Data_Loan[Value],[1]!Data_Loan[Index Loan],DTRVL!$B259,[1]!Data_Loan[TenCongTyID],DTRVL!$B$1,[1]!Data_Loan[Thang.Nam],DTRVL!AJ$254)</f>
        <v>0</v>
      </c>
      <c r="AK259" s="352">
        <f>SUMIFS([1]!Data_Loan[Value],[1]!Data_Loan[Index Loan],DTRVL!$B259,[1]!Data_Loan[TenCongTyID],DTRVL!$B$1,[1]!Data_Loan[Thang.Nam],DTRVL!AK$254)</f>
        <v>0</v>
      </c>
      <c r="AL259" s="352">
        <f>SUMIFS([1]!Data_Loan[Value],[1]!Data_Loan[Index Loan],DTRVL!$B259,[1]!Data_Loan[TenCongTyID],DTRVL!$B$1,[1]!Data_Loan[Thang.Nam],DTRVL!AL$254)</f>
        <v>0</v>
      </c>
    </row>
    <row r="260" spans="1:38" ht="15" customHeight="1">
      <c r="A260" s="200" t="s">
        <v>345</v>
      </c>
      <c r="B260" s="329">
        <v>6</v>
      </c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352">
        <v>0</v>
      </c>
      <c r="AA260" s="352">
        <f>SUMIFS([1]!Data_Loan[Value],[1]!Data_Loan[Index Loan],DTRVL!$B260,[1]!Data_Loan[TenCongTyID],DTRVL!$B$1,[1]!Data_Loan[Thang.Nam],DTRVL!AA$254)</f>
        <v>0</v>
      </c>
      <c r="AB260" s="352">
        <f>SUMIFS([1]!Data_Loan[Value],[1]!Data_Loan[Index Loan],DTRVL!$B260,[1]!Data_Loan[TenCongTyID],DTRVL!$B$1,[1]!Data_Loan[Thang.Nam],DTRVL!AB$254)</f>
        <v>0</v>
      </c>
      <c r="AC260" s="352">
        <f>SUMIFS([1]!Data_Loan[Value],[1]!Data_Loan[Index Loan],DTRVL!$B260,[1]!Data_Loan[TenCongTyID],DTRVL!$B$1,[1]!Data_Loan[Thang.Nam],DTRVL!AC$254)</f>
        <v>0</v>
      </c>
      <c r="AD260" s="352">
        <f>SUMIFS([1]!Data_Loan[Value],[1]!Data_Loan[Index Loan],DTRVL!$B260,[1]!Data_Loan[TenCongTyID],DTRVL!$B$1,[1]!Data_Loan[Thang.Nam],DTRVL!AD$254)</f>
        <v>0</v>
      </c>
      <c r="AE260" s="352">
        <f>SUMIFS([1]!Data_Loan[Value],[1]!Data_Loan[Index Loan],DTRVL!$B260,[1]!Data_Loan[TenCongTyID],DTRVL!$B$1,[1]!Data_Loan[Thang.Nam],DTRVL!AE$254)</f>
        <v>0</v>
      </c>
      <c r="AF260" s="352">
        <f>SUMIFS([1]!Data_Loan[Value],[1]!Data_Loan[Index Loan],DTRVL!$B260,[1]!Data_Loan[TenCongTyID],DTRVL!$B$1,[1]!Data_Loan[Thang.Nam],DTRVL!AF$254)</f>
        <v>0</v>
      </c>
      <c r="AG260" s="352">
        <f>SUMIFS([1]!Data_Loan[Value],[1]!Data_Loan[Index Loan],DTRVL!$B260,[1]!Data_Loan[TenCongTyID],DTRVL!$B$1,[1]!Data_Loan[Thang.Nam],DTRVL!AG$254)</f>
        <v>0</v>
      </c>
      <c r="AH260" s="352">
        <f>SUMIFS([1]!Data_Loan[Value],[1]!Data_Loan[Index Loan],DTRVL!$B260,[1]!Data_Loan[TenCongTyID],DTRVL!$B$1,[1]!Data_Loan[Thang.Nam],DTRVL!AH$254)</f>
        <v>0</v>
      </c>
      <c r="AI260" s="352">
        <f>SUMIFS([1]!Data_Loan[Value],[1]!Data_Loan[Index Loan],DTRVL!$B260,[1]!Data_Loan[TenCongTyID],DTRVL!$B$1,[1]!Data_Loan[Thang.Nam],DTRVL!AI$254)</f>
        <v>0</v>
      </c>
      <c r="AJ260" s="352">
        <f>SUMIFS([1]!Data_Loan[Value],[1]!Data_Loan[Index Loan],DTRVL!$B260,[1]!Data_Loan[TenCongTyID],DTRVL!$B$1,[1]!Data_Loan[Thang.Nam],DTRVL!AJ$254)</f>
        <v>0</v>
      </c>
      <c r="AK260" s="352">
        <f>SUMIFS([1]!Data_Loan[Value],[1]!Data_Loan[Index Loan],DTRVL!$B260,[1]!Data_Loan[TenCongTyID],DTRVL!$B$1,[1]!Data_Loan[Thang.Nam],DTRVL!AK$254)</f>
        <v>0</v>
      </c>
      <c r="AL260" s="352">
        <f>SUMIFS([1]!Data_Loan[Value],[1]!Data_Loan[Index Loan],DTRVL!$B260,[1]!Data_Loan[TenCongTyID],DTRVL!$B$1,[1]!Data_Loan[Thang.Nam],DTRVL!AL$254)</f>
        <v>0</v>
      </c>
    </row>
    <row r="261" spans="1:38" ht="15" customHeight="1">
      <c r="A261" s="200" t="s">
        <v>346</v>
      </c>
      <c r="B261" s="329">
        <v>7</v>
      </c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352">
        <v>0</v>
      </c>
      <c r="AA261" s="352">
        <f>SUMIFS([1]!Data_Loan[Value],[1]!Data_Loan[Index Loan],DTRVL!$B261,[1]!Data_Loan[TenCongTyID],DTRVL!$B$1,[1]!Data_Loan[Thang.Nam],DTRVL!AA$254)</f>
        <v>0</v>
      </c>
      <c r="AB261" s="352">
        <f>SUMIFS([1]!Data_Loan[Value],[1]!Data_Loan[Index Loan],DTRVL!$B261,[1]!Data_Loan[TenCongTyID],DTRVL!$B$1,[1]!Data_Loan[Thang.Nam],DTRVL!AB$254)</f>
        <v>0</v>
      </c>
      <c r="AC261" s="352">
        <f>SUMIFS([1]!Data_Loan[Value],[1]!Data_Loan[Index Loan],DTRVL!$B261,[1]!Data_Loan[TenCongTyID],DTRVL!$B$1,[1]!Data_Loan[Thang.Nam],DTRVL!AC$254)</f>
        <v>0</v>
      </c>
      <c r="AD261" s="352">
        <f>SUMIFS([1]!Data_Loan[Value],[1]!Data_Loan[Index Loan],DTRVL!$B261,[1]!Data_Loan[TenCongTyID],DTRVL!$B$1,[1]!Data_Loan[Thang.Nam],DTRVL!AD$254)</f>
        <v>0</v>
      </c>
      <c r="AE261" s="352">
        <f>SUMIFS([1]!Data_Loan[Value],[1]!Data_Loan[Index Loan],DTRVL!$B261,[1]!Data_Loan[TenCongTyID],DTRVL!$B$1,[1]!Data_Loan[Thang.Nam],DTRVL!AE$254)</f>
        <v>0</v>
      </c>
      <c r="AF261" s="352">
        <f>SUMIFS([1]!Data_Loan[Value],[1]!Data_Loan[Index Loan],DTRVL!$B261,[1]!Data_Loan[TenCongTyID],DTRVL!$B$1,[1]!Data_Loan[Thang.Nam],DTRVL!AF$254)</f>
        <v>0</v>
      </c>
      <c r="AG261" s="352">
        <f>SUMIFS([1]!Data_Loan[Value],[1]!Data_Loan[Index Loan],DTRVL!$B261,[1]!Data_Loan[TenCongTyID],DTRVL!$B$1,[1]!Data_Loan[Thang.Nam],DTRVL!AG$254)</f>
        <v>0</v>
      </c>
      <c r="AH261" s="352">
        <f>SUMIFS([1]!Data_Loan[Value],[1]!Data_Loan[Index Loan],DTRVL!$B261,[1]!Data_Loan[TenCongTyID],DTRVL!$B$1,[1]!Data_Loan[Thang.Nam],DTRVL!AH$254)</f>
        <v>0</v>
      </c>
      <c r="AI261" s="352">
        <f>SUMIFS([1]!Data_Loan[Value],[1]!Data_Loan[Index Loan],DTRVL!$B261,[1]!Data_Loan[TenCongTyID],DTRVL!$B$1,[1]!Data_Loan[Thang.Nam],DTRVL!AI$254)</f>
        <v>0</v>
      </c>
      <c r="AJ261" s="352">
        <f>SUMIFS([1]!Data_Loan[Value],[1]!Data_Loan[Index Loan],DTRVL!$B261,[1]!Data_Loan[TenCongTyID],DTRVL!$B$1,[1]!Data_Loan[Thang.Nam],DTRVL!AJ$254)</f>
        <v>0</v>
      </c>
      <c r="AK261" s="352">
        <f>SUMIFS([1]!Data_Loan[Value],[1]!Data_Loan[Index Loan],DTRVL!$B261,[1]!Data_Loan[TenCongTyID],DTRVL!$B$1,[1]!Data_Loan[Thang.Nam],DTRVL!AK$254)</f>
        <v>0</v>
      </c>
      <c r="AL261" s="352">
        <f>SUMIFS([1]!Data_Loan[Value],[1]!Data_Loan[Index Loan],DTRVL!$B261,[1]!Data_Loan[TenCongTyID],DTRVL!$B$1,[1]!Data_Loan[Thang.Nam],DTRVL!AL$254)</f>
        <v>0</v>
      </c>
    </row>
    <row r="262" spans="1:38" ht="15" customHeight="1">
      <c r="A262" s="200" t="s">
        <v>347</v>
      </c>
      <c r="B262" s="329">
        <v>8</v>
      </c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352">
        <v>0</v>
      </c>
      <c r="AA262" s="352">
        <f>SUMIFS([1]!Data_Loan[Value],[1]!Data_Loan[Index Loan],DTRVL!$B262,[1]!Data_Loan[TenCongTyID],DTRVL!$B$1,[1]!Data_Loan[Thang.Nam],DTRVL!AA$254)</f>
        <v>0</v>
      </c>
      <c r="AB262" s="352">
        <f>SUMIFS([1]!Data_Loan[Value],[1]!Data_Loan[Index Loan],DTRVL!$B262,[1]!Data_Loan[TenCongTyID],DTRVL!$B$1,[1]!Data_Loan[Thang.Nam],DTRVL!AB$254)</f>
        <v>0</v>
      </c>
      <c r="AC262" s="352">
        <f>SUMIFS([1]!Data_Loan[Value],[1]!Data_Loan[Index Loan],DTRVL!$B262,[1]!Data_Loan[TenCongTyID],DTRVL!$B$1,[1]!Data_Loan[Thang.Nam],DTRVL!AC$254)</f>
        <v>0</v>
      </c>
      <c r="AD262" s="352">
        <f>SUMIFS([1]!Data_Loan[Value],[1]!Data_Loan[Index Loan],DTRVL!$B262,[1]!Data_Loan[TenCongTyID],DTRVL!$B$1,[1]!Data_Loan[Thang.Nam],DTRVL!AD$254)</f>
        <v>0</v>
      </c>
      <c r="AE262" s="352">
        <f>SUMIFS([1]!Data_Loan[Value],[1]!Data_Loan[Index Loan],DTRVL!$B262,[1]!Data_Loan[TenCongTyID],DTRVL!$B$1,[1]!Data_Loan[Thang.Nam],DTRVL!AE$254)</f>
        <v>0</v>
      </c>
      <c r="AF262" s="352">
        <f>SUMIFS([1]!Data_Loan[Value],[1]!Data_Loan[Index Loan],DTRVL!$B262,[1]!Data_Loan[TenCongTyID],DTRVL!$B$1,[1]!Data_Loan[Thang.Nam],DTRVL!AF$254)</f>
        <v>0</v>
      </c>
      <c r="AG262" s="352">
        <f>SUMIFS([1]!Data_Loan[Value],[1]!Data_Loan[Index Loan],DTRVL!$B262,[1]!Data_Loan[TenCongTyID],DTRVL!$B$1,[1]!Data_Loan[Thang.Nam],DTRVL!AG$254)</f>
        <v>0</v>
      </c>
      <c r="AH262" s="352">
        <f>SUMIFS([1]!Data_Loan[Value],[1]!Data_Loan[Index Loan],DTRVL!$B262,[1]!Data_Loan[TenCongTyID],DTRVL!$B$1,[1]!Data_Loan[Thang.Nam],DTRVL!AH$254)</f>
        <v>0</v>
      </c>
      <c r="AI262" s="352">
        <f>SUMIFS([1]!Data_Loan[Value],[1]!Data_Loan[Index Loan],DTRVL!$B262,[1]!Data_Loan[TenCongTyID],DTRVL!$B$1,[1]!Data_Loan[Thang.Nam],DTRVL!AI$254)</f>
        <v>0</v>
      </c>
      <c r="AJ262" s="352">
        <f>SUMIFS([1]!Data_Loan[Value],[1]!Data_Loan[Index Loan],DTRVL!$B262,[1]!Data_Loan[TenCongTyID],DTRVL!$B$1,[1]!Data_Loan[Thang.Nam],DTRVL!AJ$254)</f>
        <v>0</v>
      </c>
      <c r="AK262" s="352">
        <f>SUMIFS([1]!Data_Loan[Value],[1]!Data_Loan[Index Loan],DTRVL!$B262,[1]!Data_Loan[TenCongTyID],DTRVL!$B$1,[1]!Data_Loan[Thang.Nam],DTRVL!AK$254)</f>
        <v>0</v>
      </c>
      <c r="AL262" s="352">
        <f>SUMIFS([1]!Data_Loan[Value],[1]!Data_Loan[Index Loan],DTRVL!$B262,[1]!Data_Loan[TenCongTyID],DTRVL!$B$1,[1]!Data_Loan[Thang.Nam],DTRVL!AL$254)</f>
        <v>0</v>
      </c>
    </row>
    <row r="263" spans="1:38" ht="15" customHeight="1">
      <c r="A263" s="200"/>
      <c r="B263" s="329">
        <v>9</v>
      </c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352">
        <v>0</v>
      </c>
      <c r="AA263" s="352">
        <f>SUMIFS([1]!Data_Loan[Value],[1]!Data_Loan[Index Loan],DTRVL!$B263,[1]!Data_Loan[TenCongTyID],DTRVL!$B$1,[1]!Data_Loan[Thang.Nam],DTRVL!AA$254)</f>
        <v>0</v>
      </c>
      <c r="AB263" s="352">
        <f>SUMIFS([1]!Data_Loan[Value],[1]!Data_Loan[Index Loan],DTRVL!$B263,[1]!Data_Loan[TenCongTyID],DTRVL!$B$1,[1]!Data_Loan[Thang.Nam],DTRVL!AB$254)</f>
        <v>0</v>
      </c>
      <c r="AC263" s="352">
        <f>SUMIFS([1]!Data_Loan[Value],[1]!Data_Loan[Index Loan],DTRVL!$B263,[1]!Data_Loan[TenCongTyID],DTRVL!$B$1,[1]!Data_Loan[Thang.Nam],DTRVL!AC$254)</f>
        <v>0</v>
      </c>
      <c r="AD263" s="352">
        <f>SUMIFS([1]!Data_Loan[Value],[1]!Data_Loan[Index Loan],DTRVL!$B263,[1]!Data_Loan[TenCongTyID],DTRVL!$B$1,[1]!Data_Loan[Thang.Nam],DTRVL!AD$254)</f>
        <v>0</v>
      </c>
      <c r="AE263" s="352">
        <f>SUMIFS([1]!Data_Loan[Value],[1]!Data_Loan[Index Loan],DTRVL!$B263,[1]!Data_Loan[TenCongTyID],DTRVL!$B$1,[1]!Data_Loan[Thang.Nam],DTRVL!AE$254)</f>
        <v>0</v>
      </c>
      <c r="AF263" s="352">
        <f>SUMIFS([1]!Data_Loan[Value],[1]!Data_Loan[Index Loan],DTRVL!$B263,[1]!Data_Loan[TenCongTyID],DTRVL!$B$1,[1]!Data_Loan[Thang.Nam],DTRVL!AF$254)</f>
        <v>0</v>
      </c>
      <c r="AG263" s="352">
        <f>SUMIFS([1]!Data_Loan[Value],[1]!Data_Loan[Index Loan],DTRVL!$B263,[1]!Data_Loan[TenCongTyID],DTRVL!$B$1,[1]!Data_Loan[Thang.Nam],DTRVL!AG$254)</f>
        <v>0</v>
      </c>
      <c r="AH263" s="352">
        <f>SUMIFS([1]!Data_Loan[Value],[1]!Data_Loan[Index Loan],DTRVL!$B263,[1]!Data_Loan[TenCongTyID],DTRVL!$B$1,[1]!Data_Loan[Thang.Nam],DTRVL!AH$254)</f>
        <v>0</v>
      </c>
      <c r="AI263" s="352">
        <f>SUMIFS([1]!Data_Loan[Value],[1]!Data_Loan[Index Loan],DTRVL!$B263,[1]!Data_Loan[TenCongTyID],DTRVL!$B$1,[1]!Data_Loan[Thang.Nam],DTRVL!AI$254)</f>
        <v>0</v>
      </c>
      <c r="AJ263" s="352">
        <f>SUMIFS([1]!Data_Loan[Value],[1]!Data_Loan[Index Loan],DTRVL!$B263,[1]!Data_Loan[TenCongTyID],DTRVL!$B$1,[1]!Data_Loan[Thang.Nam],DTRVL!AJ$254)</f>
        <v>0</v>
      </c>
      <c r="AK263" s="352">
        <f>SUMIFS([1]!Data_Loan[Value],[1]!Data_Loan[Index Loan],DTRVL!$B263,[1]!Data_Loan[TenCongTyID],DTRVL!$B$1,[1]!Data_Loan[Thang.Nam],DTRVL!AK$254)</f>
        <v>0</v>
      </c>
      <c r="AL263" s="352">
        <f>SUMIFS([1]!Data_Loan[Value],[1]!Data_Loan[Index Loan],DTRVL!$B263,[1]!Data_Loan[TenCongTyID],DTRVL!$B$1,[1]!Data_Loan[Thang.Nam],DTRVL!AL$254)</f>
        <v>0</v>
      </c>
    </row>
    <row r="264" spans="1:38" ht="15" customHeight="1">
      <c r="A264" s="196" t="s">
        <v>340</v>
      </c>
      <c r="B264" s="328">
        <v>10</v>
      </c>
      <c r="C264" s="355"/>
      <c r="D264" s="355"/>
      <c r="E264" s="355"/>
      <c r="F264" s="355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>
        <v>0</v>
      </c>
      <c r="AA264" s="199">
        <f>SUMIFS([1]!Data_Loan[Value],[1]!Data_Loan[Index Loan],DTRVL!$B264,[1]!Data_Loan[TenCongTyID],DTRVL!$B$1,[1]!Data_Loan[Thang.Nam],DTRVL!AA$254)</f>
        <v>0</v>
      </c>
      <c r="AB264" s="199">
        <f>SUMIFS([1]!Data_Loan[Value],[1]!Data_Loan[Index Loan],DTRVL!$B264,[1]!Data_Loan[TenCongTyID],DTRVL!$B$1,[1]!Data_Loan[Thang.Nam],DTRVL!AB$254)</f>
        <v>0</v>
      </c>
      <c r="AC264" s="199">
        <f>SUMIFS([1]!Data_Loan[Value],[1]!Data_Loan[Index Loan],DTRVL!$B264,[1]!Data_Loan[TenCongTyID],DTRVL!$B$1,[1]!Data_Loan[Thang.Nam],DTRVL!AC$254)</f>
        <v>0</v>
      </c>
      <c r="AD264" s="199">
        <f>SUMIFS([1]!Data_Loan[Value],[1]!Data_Loan[Index Loan],DTRVL!$B264,[1]!Data_Loan[TenCongTyID],DTRVL!$B$1,[1]!Data_Loan[Thang.Nam],DTRVL!AD$254)</f>
        <v>0</v>
      </c>
      <c r="AE264" s="199">
        <f>SUMIFS([1]!Data_Loan[Value],[1]!Data_Loan[Index Loan],DTRVL!$B264,[1]!Data_Loan[TenCongTyID],DTRVL!$B$1,[1]!Data_Loan[Thang.Nam],DTRVL!AE$254)</f>
        <v>0</v>
      </c>
      <c r="AF264" s="199">
        <f>SUMIFS([1]!Data_Loan[Value],[1]!Data_Loan[Index Loan],DTRVL!$B264,[1]!Data_Loan[TenCongTyID],DTRVL!$B$1,[1]!Data_Loan[Thang.Nam],DTRVL!AF$254)</f>
        <v>0</v>
      </c>
      <c r="AG264" s="199">
        <f>SUMIFS([1]!Data_Loan[Value],[1]!Data_Loan[Index Loan],DTRVL!$B264,[1]!Data_Loan[TenCongTyID],DTRVL!$B$1,[1]!Data_Loan[Thang.Nam],DTRVL!AG$254)</f>
        <v>0</v>
      </c>
      <c r="AH264" s="199">
        <f>SUMIFS([1]!Data_Loan[Value],[1]!Data_Loan[Index Loan],DTRVL!$B264,[1]!Data_Loan[TenCongTyID],DTRVL!$B$1,[1]!Data_Loan[Thang.Nam],DTRVL!AH$254)</f>
        <v>0</v>
      </c>
      <c r="AI264" s="199">
        <f>SUMIFS([1]!Data_Loan[Value],[1]!Data_Loan[Index Loan],DTRVL!$B264,[1]!Data_Loan[TenCongTyID],DTRVL!$B$1,[1]!Data_Loan[Thang.Nam],DTRVL!AI$254)</f>
        <v>0</v>
      </c>
      <c r="AJ264" s="199">
        <f>SUMIFS([1]!Data_Loan[Value],[1]!Data_Loan[Index Loan],DTRVL!$B264,[1]!Data_Loan[TenCongTyID],DTRVL!$B$1,[1]!Data_Loan[Thang.Nam],DTRVL!AJ$254)</f>
        <v>0</v>
      </c>
      <c r="AK264" s="199">
        <f>SUMIFS([1]!Data_Loan[Value],[1]!Data_Loan[Index Loan],DTRVL!$B264,[1]!Data_Loan[TenCongTyID],DTRVL!$B$1,[1]!Data_Loan[Thang.Nam],DTRVL!AK$254)</f>
        <v>0</v>
      </c>
      <c r="AL264" s="199">
        <f>SUMIFS([1]!Data_Loan[Value],[1]!Data_Loan[Index Loan],DTRVL!$B264,[1]!Data_Loan[TenCongTyID],DTRVL!$B$1,[1]!Data_Loan[Thang.Nam],DTRVL!AL$254)</f>
        <v>0</v>
      </c>
    </row>
    <row r="265" spans="1:38" ht="15" customHeight="1">
      <c r="A265" s="200" t="s">
        <v>341</v>
      </c>
      <c r="B265" s="329">
        <v>11</v>
      </c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352">
        <v>0</v>
      </c>
      <c r="AA265" s="352">
        <f>SUMIFS([1]!Data_Loan[Value],[1]!Data_Loan[Index Loan],DTRVL!$B265,[1]!Data_Loan[TenCongTyID],DTRVL!$B$1,[1]!Data_Loan[Thang.Nam],DTRVL!AA$254)</f>
        <v>0</v>
      </c>
      <c r="AB265" s="352">
        <f>SUMIFS([1]!Data_Loan[Value],[1]!Data_Loan[Index Loan],DTRVL!$B265,[1]!Data_Loan[TenCongTyID],DTRVL!$B$1,[1]!Data_Loan[Thang.Nam],DTRVL!AB$254)</f>
        <v>0</v>
      </c>
      <c r="AC265" s="352">
        <f>SUMIFS([1]!Data_Loan[Value],[1]!Data_Loan[Index Loan],DTRVL!$B265,[1]!Data_Loan[TenCongTyID],DTRVL!$B$1,[1]!Data_Loan[Thang.Nam],DTRVL!AC$254)</f>
        <v>0</v>
      </c>
      <c r="AD265" s="352">
        <f>SUMIFS([1]!Data_Loan[Value],[1]!Data_Loan[Index Loan],DTRVL!$B265,[1]!Data_Loan[TenCongTyID],DTRVL!$B$1,[1]!Data_Loan[Thang.Nam],DTRVL!AD$254)</f>
        <v>0</v>
      </c>
      <c r="AE265" s="352">
        <f>SUMIFS([1]!Data_Loan[Value],[1]!Data_Loan[Index Loan],DTRVL!$B265,[1]!Data_Loan[TenCongTyID],DTRVL!$B$1,[1]!Data_Loan[Thang.Nam],DTRVL!AE$254)</f>
        <v>0</v>
      </c>
      <c r="AF265" s="352">
        <f>SUMIFS([1]!Data_Loan[Value],[1]!Data_Loan[Index Loan],DTRVL!$B265,[1]!Data_Loan[TenCongTyID],DTRVL!$B$1,[1]!Data_Loan[Thang.Nam],DTRVL!AF$254)</f>
        <v>0</v>
      </c>
      <c r="AG265" s="352">
        <f>SUMIFS([1]!Data_Loan[Value],[1]!Data_Loan[Index Loan],DTRVL!$B265,[1]!Data_Loan[TenCongTyID],DTRVL!$B$1,[1]!Data_Loan[Thang.Nam],DTRVL!AG$254)</f>
        <v>0</v>
      </c>
      <c r="AH265" s="352">
        <f>SUMIFS([1]!Data_Loan[Value],[1]!Data_Loan[Index Loan],DTRVL!$B265,[1]!Data_Loan[TenCongTyID],DTRVL!$B$1,[1]!Data_Loan[Thang.Nam],DTRVL!AH$254)</f>
        <v>0</v>
      </c>
      <c r="AI265" s="352">
        <f>SUMIFS([1]!Data_Loan[Value],[1]!Data_Loan[Index Loan],DTRVL!$B265,[1]!Data_Loan[TenCongTyID],DTRVL!$B$1,[1]!Data_Loan[Thang.Nam],DTRVL!AI$254)</f>
        <v>0</v>
      </c>
      <c r="AJ265" s="352">
        <f>SUMIFS([1]!Data_Loan[Value],[1]!Data_Loan[Index Loan],DTRVL!$B265,[1]!Data_Loan[TenCongTyID],DTRVL!$B$1,[1]!Data_Loan[Thang.Nam],DTRVL!AJ$254)</f>
        <v>0</v>
      </c>
      <c r="AK265" s="352">
        <f>SUMIFS([1]!Data_Loan[Value],[1]!Data_Loan[Index Loan],DTRVL!$B265,[1]!Data_Loan[TenCongTyID],DTRVL!$B$1,[1]!Data_Loan[Thang.Nam],DTRVL!AK$254)</f>
        <v>0</v>
      </c>
      <c r="AL265" s="352">
        <f>SUMIFS([1]!Data_Loan[Value],[1]!Data_Loan[Index Loan],DTRVL!$B265,[1]!Data_Loan[TenCongTyID],DTRVL!$B$1,[1]!Data_Loan[Thang.Nam],DTRVL!AL$254)</f>
        <v>0</v>
      </c>
    </row>
    <row r="266" spans="1:38" ht="15" customHeight="1">
      <c r="A266" s="200" t="s">
        <v>342</v>
      </c>
      <c r="B266" s="329">
        <v>12</v>
      </c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352">
        <v>0</v>
      </c>
      <c r="AA266" s="352">
        <f>SUMIFS([1]!Data_Loan[Value],[1]!Data_Loan[Index Loan],DTRVL!$B266,[1]!Data_Loan[TenCongTyID],DTRVL!$B$1,[1]!Data_Loan[Thang.Nam],DTRVL!AA$254)</f>
        <v>0</v>
      </c>
      <c r="AB266" s="352">
        <f>SUMIFS([1]!Data_Loan[Value],[1]!Data_Loan[Index Loan],DTRVL!$B266,[1]!Data_Loan[TenCongTyID],DTRVL!$B$1,[1]!Data_Loan[Thang.Nam],DTRVL!AB$254)</f>
        <v>0</v>
      </c>
      <c r="AC266" s="352">
        <f>SUMIFS([1]!Data_Loan[Value],[1]!Data_Loan[Index Loan],DTRVL!$B266,[1]!Data_Loan[TenCongTyID],DTRVL!$B$1,[1]!Data_Loan[Thang.Nam],DTRVL!AC$254)</f>
        <v>0</v>
      </c>
      <c r="AD266" s="352">
        <f>SUMIFS([1]!Data_Loan[Value],[1]!Data_Loan[Index Loan],DTRVL!$B266,[1]!Data_Loan[TenCongTyID],DTRVL!$B$1,[1]!Data_Loan[Thang.Nam],DTRVL!AD$254)</f>
        <v>0</v>
      </c>
      <c r="AE266" s="352">
        <f>SUMIFS([1]!Data_Loan[Value],[1]!Data_Loan[Index Loan],DTRVL!$B266,[1]!Data_Loan[TenCongTyID],DTRVL!$B$1,[1]!Data_Loan[Thang.Nam],DTRVL!AE$254)</f>
        <v>0</v>
      </c>
      <c r="AF266" s="352">
        <f>SUMIFS([1]!Data_Loan[Value],[1]!Data_Loan[Index Loan],DTRVL!$B266,[1]!Data_Loan[TenCongTyID],DTRVL!$B$1,[1]!Data_Loan[Thang.Nam],DTRVL!AF$254)</f>
        <v>0</v>
      </c>
      <c r="AG266" s="352">
        <f>SUMIFS([1]!Data_Loan[Value],[1]!Data_Loan[Index Loan],DTRVL!$B266,[1]!Data_Loan[TenCongTyID],DTRVL!$B$1,[1]!Data_Loan[Thang.Nam],DTRVL!AG$254)</f>
        <v>0</v>
      </c>
      <c r="AH266" s="352">
        <f>SUMIFS([1]!Data_Loan[Value],[1]!Data_Loan[Index Loan],DTRVL!$B266,[1]!Data_Loan[TenCongTyID],DTRVL!$B$1,[1]!Data_Loan[Thang.Nam],DTRVL!AH$254)</f>
        <v>0</v>
      </c>
      <c r="AI266" s="352">
        <f>SUMIFS([1]!Data_Loan[Value],[1]!Data_Loan[Index Loan],DTRVL!$B266,[1]!Data_Loan[TenCongTyID],DTRVL!$B$1,[1]!Data_Loan[Thang.Nam],DTRVL!AI$254)</f>
        <v>0</v>
      </c>
      <c r="AJ266" s="352">
        <f>SUMIFS([1]!Data_Loan[Value],[1]!Data_Loan[Index Loan],DTRVL!$B266,[1]!Data_Loan[TenCongTyID],DTRVL!$B$1,[1]!Data_Loan[Thang.Nam],DTRVL!AJ$254)</f>
        <v>0</v>
      </c>
      <c r="AK266" s="352">
        <f>SUMIFS([1]!Data_Loan[Value],[1]!Data_Loan[Index Loan],DTRVL!$B266,[1]!Data_Loan[TenCongTyID],DTRVL!$B$1,[1]!Data_Loan[Thang.Nam],DTRVL!AK$254)</f>
        <v>0</v>
      </c>
      <c r="AL266" s="352">
        <f>SUMIFS([1]!Data_Loan[Value],[1]!Data_Loan[Index Loan],DTRVL!$B266,[1]!Data_Loan[TenCongTyID],DTRVL!$B$1,[1]!Data_Loan[Thang.Nam],DTRVL!AL$254)</f>
        <v>0</v>
      </c>
    </row>
    <row r="267" spans="1:38" ht="15" customHeight="1">
      <c r="A267" s="200" t="s">
        <v>343</v>
      </c>
      <c r="B267" s="329">
        <v>13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352">
        <v>0</v>
      </c>
      <c r="AA267" s="352">
        <f>SUMIFS([1]!Data_Loan[Value],[1]!Data_Loan[Index Loan],DTRVL!$B267,[1]!Data_Loan[TenCongTyID],DTRVL!$B$1,[1]!Data_Loan[Thang.Nam],DTRVL!AA$254)</f>
        <v>0</v>
      </c>
      <c r="AB267" s="352">
        <f>SUMIFS([1]!Data_Loan[Value],[1]!Data_Loan[Index Loan],DTRVL!$B267,[1]!Data_Loan[TenCongTyID],DTRVL!$B$1,[1]!Data_Loan[Thang.Nam],DTRVL!AB$254)</f>
        <v>0</v>
      </c>
      <c r="AC267" s="352">
        <f>SUMIFS([1]!Data_Loan[Value],[1]!Data_Loan[Index Loan],DTRVL!$B267,[1]!Data_Loan[TenCongTyID],DTRVL!$B$1,[1]!Data_Loan[Thang.Nam],DTRVL!AC$254)</f>
        <v>0</v>
      </c>
      <c r="AD267" s="352">
        <f>SUMIFS([1]!Data_Loan[Value],[1]!Data_Loan[Index Loan],DTRVL!$B267,[1]!Data_Loan[TenCongTyID],DTRVL!$B$1,[1]!Data_Loan[Thang.Nam],DTRVL!AD$254)</f>
        <v>0</v>
      </c>
      <c r="AE267" s="352">
        <f>SUMIFS([1]!Data_Loan[Value],[1]!Data_Loan[Index Loan],DTRVL!$B267,[1]!Data_Loan[TenCongTyID],DTRVL!$B$1,[1]!Data_Loan[Thang.Nam],DTRVL!AE$254)</f>
        <v>0</v>
      </c>
      <c r="AF267" s="352">
        <f>SUMIFS([1]!Data_Loan[Value],[1]!Data_Loan[Index Loan],DTRVL!$B267,[1]!Data_Loan[TenCongTyID],DTRVL!$B$1,[1]!Data_Loan[Thang.Nam],DTRVL!AF$254)</f>
        <v>0</v>
      </c>
      <c r="AG267" s="352">
        <f>SUMIFS([1]!Data_Loan[Value],[1]!Data_Loan[Index Loan],DTRVL!$B267,[1]!Data_Loan[TenCongTyID],DTRVL!$B$1,[1]!Data_Loan[Thang.Nam],DTRVL!AG$254)</f>
        <v>0</v>
      </c>
      <c r="AH267" s="352">
        <f>SUMIFS([1]!Data_Loan[Value],[1]!Data_Loan[Index Loan],DTRVL!$B267,[1]!Data_Loan[TenCongTyID],DTRVL!$B$1,[1]!Data_Loan[Thang.Nam],DTRVL!AH$254)</f>
        <v>0</v>
      </c>
      <c r="AI267" s="352">
        <f>SUMIFS([1]!Data_Loan[Value],[1]!Data_Loan[Index Loan],DTRVL!$B267,[1]!Data_Loan[TenCongTyID],DTRVL!$B$1,[1]!Data_Loan[Thang.Nam],DTRVL!AI$254)</f>
        <v>0</v>
      </c>
      <c r="AJ267" s="352">
        <f>SUMIFS([1]!Data_Loan[Value],[1]!Data_Loan[Index Loan],DTRVL!$B267,[1]!Data_Loan[TenCongTyID],DTRVL!$B$1,[1]!Data_Loan[Thang.Nam],DTRVL!AJ$254)</f>
        <v>0</v>
      </c>
      <c r="AK267" s="352">
        <f>SUMIFS([1]!Data_Loan[Value],[1]!Data_Loan[Index Loan],DTRVL!$B267,[1]!Data_Loan[TenCongTyID],DTRVL!$B$1,[1]!Data_Loan[Thang.Nam],DTRVL!AK$254)</f>
        <v>0</v>
      </c>
      <c r="AL267" s="352">
        <f>SUMIFS([1]!Data_Loan[Value],[1]!Data_Loan[Index Loan],DTRVL!$B267,[1]!Data_Loan[TenCongTyID],DTRVL!$B$1,[1]!Data_Loan[Thang.Nam],DTRVL!AL$254)</f>
        <v>0</v>
      </c>
    </row>
    <row r="268" spans="1:38" ht="15" customHeight="1">
      <c r="A268" s="200" t="s">
        <v>344</v>
      </c>
      <c r="B268" s="329">
        <v>14</v>
      </c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352">
        <v>0</v>
      </c>
      <c r="AA268" s="352">
        <f>SUMIFS([1]!Data_Loan[Value],[1]!Data_Loan[Index Loan],DTRVL!$B268,[1]!Data_Loan[TenCongTyID],DTRVL!$B$1,[1]!Data_Loan[Thang.Nam],DTRVL!AA$254)</f>
        <v>0</v>
      </c>
      <c r="AB268" s="352">
        <f>SUMIFS([1]!Data_Loan[Value],[1]!Data_Loan[Index Loan],DTRVL!$B268,[1]!Data_Loan[TenCongTyID],DTRVL!$B$1,[1]!Data_Loan[Thang.Nam],DTRVL!AB$254)</f>
        <v>0</v>
      </c>
      <c r="AC268" s="352">
        <f>SUMIFS([1]!Data_Loan[Value],[1]!Data_Loan[Index Loan],DTRVL!$B268,[1]!Data_Loan[TenCongTyID],DTRVL!$B$1,[1]!Data_Loan[Thang.Nam],DTRVL!AC$254)</f>
        <v>0</v>
      </c>
      <c r="AD268" s="352">
        <f>SUMIFS([1]!Data_Loan[Value],[1]!Data_Loan[Index Loan],DTRVL!$B268,[1]!Data_Loan[TenCongTyID],DTRVL!$B$1,[1]!Data_Loan[Thang.Nam],DTRVL!AD$254)</f>
        <v>0</v>
      </c>
      <c r="AE268" s="352">
        <f>SUMIFS([1]!Data_Loan[Value],[1]!Data_Loan[Index Loan],DTRVL!$B268,[1]!Data_Loan[TenCongTyID],DTRVL!$B$1,[1]!Data_Loan[Thang.Nam],DTRVL!AE$254)</f>
        <v>0</v>
      </c>
      <c r="AF268" s="352">
        <f>SUMIFS([1]!Data_Loan[Value],[1]!Data_Loan[Index Loan],DTRVL!$B268,[1]!Data_Loan[TenCongTyID],DTRVL!$B$1,[1]!Data_Loan[Thang.Nam],DTRVL!AF$254)</f>
        <v>0</v>
      </c>
      <c r="AG268" s="352">
        <f>SUMIFS([1]!Data_Loan[Value],[1]!Data_Loan[Index Loan],DTRVL!$B268,[1]!Data_Loan[TenCongTyID],DTRVL!$B$1,[1]!Data_Loan[Thang.Nam],DTRVL!AG$254)</f>
        <v>0</v>
      </c>
      <c r="AH268" s="352">
        <f>SUMIFS([1]!Data_Loan[Value],[1]!Data_Loan[Index Loan],DTRVL!$B268,[1]!Data_Loan[TenCongTyID],DTRVL!$B$1,[1]!Data_Loan[Thang.Nam],DTRVL!AH$254)</f>
        <v>0</v>
      </c>
      <c r="AI268" s="352">
        <f>SUMIFS([1]!Data_Loan[Value],[1]!Data_Loan[Index Loan],DTRVL!$B268,[1]!Data_Loan[TenCongTyID],DTRVL!$B$1,[1]!Data_Loan[Thang.Nam],DTRVL!AI$254)</f>
        <v>0</v>
      </c>
      <c r="AJ268" s="352">
        <f>SUMIFS([1]!Data_Loan[Value],[1]!Data_Loan[Index Loan],DTRVL!$B268,[1]!Data_Loan[TenCongTyID],DTRVL!$B$1,[1]!Data_Loan[Thang.Nam],DTRVL!AJ$254)</f>
        <v>0</v>
      </c>
      <c r="AK268" s="352">
        <f>SUMIFS([1]!Data_Loan[Value],[1]!Data_Loan[Index Loan],DTRVL!$B268,[1]!Data_Loan[TenCongTyID],DTRVL!$B$1,[1]!Data_Loan[Thang.Nam],DTRVL!AK$254)</f>
        <v>0</v>
      </c>
      <c r="AL268" s="352">
        <f>SUMIFS([1]!Data_Loan[Value],[1]!Data_Loan[Index Loan],DTRVL!$B268,[1]!Data_Loan[TenCongTyID],DTRVL!$B$1,[1]!Data_Loan[Thang.Nam],DTRVL!AL$254)</f>
        <v>0</v>
      </c>
    </row>
    <row r="269" spans="1:38" ht="15" customHeight="1">
      <c r="A269" s="200" t="s">
        <v>345</v>
      </c>
      <c r="B269" s="329">
        <v>15</v>
      </c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352">
        <v>0</v>
      </c>
      <c r="AA269" s="352">
        <f>SUMIFS([1]!Data_Loan[Value],[1]!Data_Loan[Index Loan],DTRVL!$B269,[1]!Data_Loan[TenCongTyID],DTRVL!$B$1,[1]!Data_Loan[Thang.Nam],DTRVL!AA$254)</f>
        <v>0</v>
      </c>
      <c r="AB269" s="352">
        <f>SUMIFS([1]!Data_Loan[Value],[1]!Data_Loan[Index Loan],DTRVL!$B269,[1]!Data_Loan[TenCongTyID],DTRVL!$B$1,[1]!Data_Loan[Thang.Nam],DTRVL!AB$254)</f>
        <v>0</v>
      </c>
      <c r="AC269" s="352">
        <f>SUMIFS([1]!Data_Loan[Value],[1]!Data_Loan[Index Loan],DTRVL!$B269,[1]!Data_Loan[TenCongTyID],DTRVL!$B$1,[1]!Data_Loan[Thang.Nam],DTRVL!AC$254)</f>
        <v>0</v>
      </c>
      <c r="AD269" s="352">
        <f>SUMIFS([1]!Data_Loan[Value],[1]!Data_Loan[Index Loan],DTRVL!$B269,[1]!Data_Loan[TenCongTyID],DTRVL!$B$1,[1]!Data_Loan[Thang.Nam],DTRVL!AD$254)</f>
        <v>0</v>
      </c>
      <c r="AE269" s="352">
        <f>SUMIFS([1]!Data_Loan[Value],[1]!Data_Loan[Index Loan],DTRVL!$B269,[1]!Data_Loan[TenCongTyID],DTRVL!$B$1,[1]!Data_Loan[Thang.Nam],DTRVL!AE$254)</f>
        <v>0</v>
      </c>
      <c r="AF269" s="352">
        <f>SUMIFS([1]!Data_Loan[Value],[1]!Data_Loan[Index Loan],DTRVL!$B269,[1]!Data_Loan[TenCongTyID],DTRVL!$B$1,[1]!Data_Loan[Thang.Nam],DTRVL!AF$254)</f>
        <v>0</v>
      </c>
      <c r="AG269" s="352">
        <f>SUMIFS([1]!Data_Loan[Value],[1]!Data_Loan[Index Loan],DTRVL!$B269,[1]!Data_Loan[TenCongTyID],DTRVL!$B$1,[1]!Data_Loan[Thang.Nam],DTRVL!AG$254)</f>
        <v>0</v>
      </c>
      <c r="AH269" s="352">
        <f>SUMIFS([1]!Data_Loan[Value],[1]!Data_Loan[Index Loan],DTRVL!$B269,[1]!Data_Loan[TenCongTyID],DTRVL!$B$1,[1]!Data_Loan[Thang.Nam],DTRVL!AH$254)</f>
        <v>0</v>
      </c>
      <c r="AI269" s="352">
        <f>SUMIFS([1]!Data_Loan[Value],[1]!Data_Loan[Index Loan],DTRVL!$B269,[1]!Data_Loan[TenCongTyID],DTRVL!$B$1,[1]!Data_Loan[Thang.Nam],DTRVL!AI$254)</f>
        <v>0</v>
      </c>
      <c r="AJ269" s="352">
        <f>SUMIFS([1]!Data_Loan[Value],[1]!Data_Loan[Index Loan],DTRVL!$B269,[1]!Data_Loan[TenCongTyID],DTRVL!$B$1,[1]!Data_Loan[Thang.Nam],DTRVL!AJ$254)</f>
        <v>0</v>
      </c>
      <c r="AK269" s="352">
        <f>SUMIFS([1]!Data_Loan[Value],[1]!Data_Loan[Index Loan],DTRVL!$B269,[1]!Data_Loan[TenCongTyID],DTRVL!$B$1,[1]!Data_Loan[Thang.Nam],DTRVL!AK$254)</f>
        <v>0</v>
      </c>
      <c r="AL269" s="352">
        <f>SUMIFS([1]!Data_Loan[Value],[1]!Data_Loan[Index Loan],DTRVL!$B269,[1]!Data_Loan[TenCongTyID],DTRVL!$B$1,[1]!Data_Loan[Thang.Nam],DTRVL!AL$254)</f>
        <v>0</v>
      </c>
    </row>
    <row r="270" spans="1:38" ht="15" customHeight="1">
      <c r="A270" s="200" t="s">
        <v>346</v>
      </c>
      <c r="B270" s="329">
        <v>16</v>
      </c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352">
        <v>0</v>
      </c>
      <c r="AA270" s="352">
        <f>SUMIFS([1]!Data_Loan[Value],[1]!Data_Loan[Index Loan],DTRVL!$B270,[1]!Data_Loan[TenCongTyID],DTRVL!$B$1,[1]!Data_Loan[Thang.Nam],DTRVL!AA$254)</f>
        <v>0</v>
      </c>
      <c r="AB270" s="352">
        <f>SUMIFS([1]!Data_Loan[Value],[1]!Data_Loan[Index Loan],DTRVL!$B270,[1]!Data_Loan[TenCongTyID],DTRVL!$B$1,[1]!Data_Loan[Thang.Nam],DTRVL!AB$254)</f>
        <v>0</v>
      </c>
      <c r="AC270" s="352">
        <f>SUMIFS([1]!Data_Loan[Value],[1]!Data_Loan[Index Loan],DTRVL!$B270,[1]!Data_Loan[TenCongTyID],DTRVL!$B$1,[1]!Data_Loan[Thang.Nam],DTRVL!AC$254)</f>
        <v>0</v>
      </c>
      <c r="AD270" s="352">
        <f>SUMIFS([1]!Data_Loan[Value],[1]!Data_Loan[Index Loan],DTRVL!$B270,[1]!Data_Loan[TenCongTyID],DTRVL!$B$1,[1]!Data_Loan[Thang.Nam],DTRVL!AD$254)</f>
        <v>0</v>
      </c>
      <c r="AE270" s="352">
        <f>SUMIFS([1]!Data_Loan[Value],[1]!Data_Loan[Index Loan],DTRVL!$B270,[1]!Data_Loan[TenCongTyID],DTRVL!$B$1,[1]!Data_Loan[Thang.Nam],DTRVL!AE$254)</f>
        <v>0</v>
      </c>
      <c r="AF270" s="352">
        <f>SUMIFS([1]!Data_Loan[Value],[1]!Data_Loan[Index Loan],DTRVL!$B270,[1]!Data_Loan[TenCongTyID],DTRVL!$B$1,[1]!Data_Loan[Thang.Nam],DTRVL!AF$254)</f>
        <v>0</v>
      </c>
      <c r="AG270" s="352">
        <f>SUMIFS([1]!Data_Loan[Value],[1]!Data_Loan[Index Loan],DTRVL!$B270,[1]!Data_Loan[TenCongTyID],DTRVL!$B$1,[1]!Data_Loan[Thang.Nam],DTRVL!AG$254)</f>
        <v>0</v>
      </c>
      <c r="AH270" s="352">
        <f>SUMIFS([1]!Data_Loan[Value],[1]!Data_Loan[Index Loan],DTRVL!$B270,[1]!Data_Loan[TenCongTyID],DTRVL!$B$1,[1]!Data_Loan[Thang.Nam],DTRVL!AH$254)</f>
        <v>0</v>
      </c>
      <c r="AI270" s="352">
        <f>SUMIFS([1]!Data_Loan[Value],[1]!Data_Loan[Index Loan],DTRVL!$B270,[1]!Data_Loan[TenCongTyID],DTRVL!$B$1,[1]!Data_Loan[Thang.Nam],DTRVL!AI$254)</f>
        <v>0</v>
      </c>
      <c r="AJ270" s="352">
        <f>SUMIFS([1]!Data_Loan[Value],[1]!Data_Loan[Index Loan],DTRVL!$B270,[1]!Data_Loan[TenCongTyID],DTRVL!$B$1,[1]!Data_Loan[Thang.Nam],DTRVL!AJ$254)</f>
        <v>0</v>
      </c>
      <c r="AK270" s="352">
        <f>SUMIFS([1]!Data_Loan[Value],[1]!Data_Loan[Index Loan],DTRVL!$B270,[1]!Data_Loan[TenCongTyID],DTRVL!$B$1,[1]!Data_Loan[Thang.Nam],DTRVL!AK$254)</f>
        <v>0</v>
      </c>
      <c r="AL270" s="352">
        <f>SUMIFS([1]!Data_Loan[Value],[1]!Data_Loan[Index Loan],DTRVL!$B270,[1]!Data_Loan[TenCongTyID],DTRVL!$B$1,[1]!Data_Loan[Thang.Nam],DTRVL!AL$254)</f>
        <v>0</v>
      </c>
    </row>
    <row r="271" spans="1:38" ht="15" customHeight="1">
      <c r="A271" s="200" t="s">
        <v>347</v>
      </c>
      <c r="B271" s="329">
        <v>17</v>
      </c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352">
        <v>0</v>
      </c>
      <c r="AA271" s="352">
        <f>SUMIFS([1]!Data_Loan[Value],[1]!Data_Loan[Index Loan],DTRVL!$B271,[1]!Data_Loan[TenCongTyID],DTRVL!$B$1,[1]!Data_Loan[Thang.Nam],DTRVL!AA$254)</f>
        <v>0</v>
      </c>
      <c r="AB271" s="352">
        <f>SUMIFS([1]!Data_Loan[Value],[1]!Data_Loan[Index Loan],DTRVL!$B271,[1]!Data_Loan[TenCongTyID],DTRVL!$B$1,[1]!Data_Loan[Thang.Nam],DTRVL!AB$254)</f>
        <v>0</v>
      </c>
      <c r="AC271" s="352">
        <f>SUMIFS([1]!Data_Loan[Value],[1]!Data_Loan[Index Loan],DTRVL!$B271,[1]!Data_Loan[TenCongTyID],DTRVL!$B$1,[1]!Data_Loan[Thang.Nam],DTRVL!AC$254)</f>
        <v>0</v>
      </c>
      <c r="AD271" s="352">
        <f>SUMIFS([1]!Data_Loan[Value],[1]!Data_Loan[Index Loan],DTRVL!$B271,[1]!Data_Loan[TenCongTyID],DTRVL!$B$1,[1]!Data_Loan[Thang.Nam],DTRVL!AD$254)</f>
        <v>0</v>
      </c>
      <c r="AE271" s="352">
        <f>SUMIFS([1]!Data_Loan[Value],[1]!Data_Loan[Index Loan],DTRVL!$B271,[1]!Data_Loan[TenCongTyID],DTRVL!$B$1,[1]!Data_Loan[Thang.Nam],DTRVL!AE$254)</f>
        <v>0</v>
      </c>
      <c r="AF271" s="352">
        <f>SUMIFS([1]!Data_Loan[Value],[1]!Data_Loan[Index Loan],DTRVL!$B271,[1]!Data_Loan[TenCongTyID],DTRVL!$B$1,[1]!Data_Loan[Thang.Nam],DTRVL!AF$254)</f>
        <v>0</v>
      </c>
      <c r="AG271" s="352">
        <f>SUMIFS([1]!Data_Loan[Value],[1]!Data_Loan[Index Loan],DTRVL!$B271,[1]!Data_Loan[TenCongTyID],DTRVL!$B$1,[1]!Data_Loan[Thang.Nam],DTRVL!AG$254)</f>
        <v>0</v>
      </c>
      <c r="AH271" s="352">
        <f>SUMIFS([1]!Data_Loan[Value],[1]!Data_Loan[Index Loan],DTRVL!$B271,[1]!Data_Loan[TenCongTyID],DTRVL!$B$1,[1]!Data_Loan[Thang.Nam],DTRVL!AH$254)</f>
        <v>0</v>
      </c>
      <c r="AI271" s="352">
        <f>SUMIFS([1]!Data_Loan[Value],[1]!Data_Loan[Index Loan],DTRVL!$B271,[1]!Data_Loan[TenCongTyID],DTRVL!$B$1,[1]!Data_Loan[Thang.Nam],DTRVL!AI$254)</f>
        <v>0</v>
      </c>
      <c r="AJ271" s="352">
        <f>SUMIFS([1]!Data_Loan[Value],[1]!Data_Loan[Index Loan],DTRVL!$B271,[1]!Data_Loan[TenCongTyID],DTRVL!$B$1,[1]!Data_Loan[Thang.Nam],DTRVL!AJ$254)</f>
        <v>0</v>
      </c>
      <c r="AK271" s="352">
        <f>SUMIFS([1]!Data_Loan[Value],[1]!Data_Loan[Index Loan],DTRVL!$B271,[1]!Data_Loan[TenCongTyID],DTRVL!$B$1,[1]!Data_Loan[Thang.Nam],DTRVL!AK$254)</f>
        <v>0</v>
      </c>
      <c r="AL271" s="352">
        <f>SUMIFS([1]!Data_Loan[Value],[1]!Data_Loan[Index Loan],DTRVL!$B271,[1]!Data_Loan[TenCongTyID],DTRVL!$B$1,[1]!Data_Loan[Thang.Nam],DTRVL!AL$254)</f>
        <v>0</v>
      </c>
    </row>
    <row r="272" spans="1:38" ht="15" customHeight="1">
      <c r="B272" s="329">
        <v>18</v>
      </c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352">
        <v>0</v>
      </c>
      <c r="AA272" s="352">
        <f>SUMIFS([1]!Data_Loan[Value],[1]!Data_Loan[Index Loan],DTRVL!$B272,[1]!Data_Loan[TenCongTyID],DTRVL!$B$1,[1]!Data_Loan[Thang.Nam],DTRVL!AA$254)</f>
        <v>0</v>
      </c>
      <c r="AB272" s="352">
        <f>SUMIFS([1]!Data_Loan[Value],[1]!Data_Loan[Index Loan],DTRVL!$B272,[1]!Data_Loan[TenCongTyID],DTRVL!$B$1,[1]!Data_Loan[Thang.Nam],DTRVL!AB$254)</f>
        <v>0</v>
      </c>
      <c r="AC272" s="352">
        <f>SUMIFS([1]!Data_Loan[Value],[1]!Data_Loan[Index Loan],DTRVL!$B272,[1]!Data_Loan[TenCongTyID],DTRVL!$B$1,[1]!Data_Loan[Thang.Nam],DTRVL!AC$254)</f>
        <v>0</v>
      </c>
      <c r="AD272" s="352">
        <f>SUMIFS([1]!Data_Loan[Value],[1]!Data_Loan[Index Loan],DTRVL!$B272,[1]!Data_Loan[TenCongTyID],DTRVL!$B$1,[1]!Data_Loan[Thang.Nam],DTRVL!AD$254)</f>
        <v>0</v>
      </c>
      <c r="AE272" s="352">
        <f>SUMIFS([1]!Data_Loan[Value],[1]!Data_Loan[Index Loan],DTRVL!$B272,[1]!Data_Loan[TenCongTyID],DTRVL!$B$1,[1]!Data_Loan[Thang.Nam],DTRVL!AE$254)</f>
        <v>0</v>
      </c>
      <c r="AF272" s="352">
        <f>SUMIFS([1]!Data_Loan[Value],[1]!Data_Loan[Index Loan],DTRVL!$B272,[1]!Data_Loan[TenCongTyID],DTRVL!$B$1,[1]!Data_Loan[Thang.Nam],DTRVL!AF$254)</f>
        <v>0</v>
      </c>
      <c r="AG272" s="352">
        <f>SUMIFS([1]!Data_Loan[Value],[1]!Data_Loan[Index Loan],DTRVL!$B272,[1]!Data_Loan[TenCongTyID],DTRVL!$B$1,[1]!Data_Loan[Thang.Nam],DTRVL!AG$254)</f>
        <v>0</v>
      </c>
      <c r="AH272" s="352">
        <f>SUMIFS([1]!Data_Loan[Value],[1]!Data_Loan[Index Loan],DTRVL!$B272,[1]!Data_Loan[TenCongTyID],DTRVL!$B$1,[1]!Data_Loan[Thang.Nam],DTRVL!AH$254)</f>
        <v>0</v>
      </c>
      <c r="AI272" s="352">
        <f>SUMIFS([1]!Data_Loan[Value],[1]!Data_Loan[Index Loan],DTRVL!$B272,[1]!Data_Loan[TenCongTyID],DTRVL!$B$1,[1]!Data_Loan[Thang.Nam],DTRVL!AI$254)</f>
        <v>0</v>
      </c>
      <c r="AJ272" s="352">
        <f>SUMIFS([1]!Data_Loan[Value],[1]!Data_Loan[Index Loan],DTRVL!$B272,[1]!Data_Loan[TenCongTyID],DTRVL!$B$1,[1]!Data_Loan[Thang.Nam],DTRVL!AJ$254)</f>
        <v>0</v>
      </c>
      <c r="AK272" s="352">
        <f>SUMIFS([1]!Data_Loan[Value],[1]!Data_Loan[Index Loan],DTRVL!$B272,[1]!Data_Loan[TenCongTyID],DTRVL!$B$1,[1]!Data_Loan[Thang.Nam],DTRVL!AK$254)</f>
        <v>0</v>
      </c>
      <c r="AL272" s="352">
        <f>SUMIFS([1]!Data_Loan[Value],[1]!Data_Loan[Index Loan],DTRVL!$B272,[1]!Data_Loan[TenCongTyID],DTRVL!$B$1,[1]!Data_Loan[Thang.Nam],DTRVL!AL$254)</f>
        <v>0</v>
      </c>
    </row>
    <row r="273" spans="1:38" ht="15" customHeight="1">
      <c r="A273" s="202" t="s">
        <v>348</v>
      </c>
      <c r="B273" s="330">
        <v>19</v>
      </c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352">
        <v>0</v>
      </c>
      <c r="AA273" s="352">
        <f>SUMIFS([1]!Data_Loan[Value],[1]!Data_Loan[Index Loan],DTRVL!$B273,[1]!Data_Loan[TenCongTyID],DTRVL!$B$1,[1]!Data_Loan[Thang.Nam],DTRVL!AA$254)</f>
        <v>0</v>
      </c>
      <c r="AB273" s="352">
        <f>SUMIFS([1]!Data_Loan[Value],[1]!Data_Loan[Index Loan],DTRVL!$B273,[1]!Data_Loan[TenCongTyID],DTRVL!$B$1,[1]!Data_Loan[Thang.Nam],DTRVL!AB$254)</f>
        <v>0</v>
      </c>
      <c r="AC273" s="352">
        <f>SUMIFS([1]!Data_Loan[Value],[1]!Data_Loan[Index Loan],DTRVL!$B273,[1]!Data_Loan[TenCongTyID],DTRVL!$B$1,[1]!Data_Loan[Thang.Nam],DTRVL!AC$254)</f>
        <v>0</v>
      </c>
      <c r="AD273" s="352">
        <f>SUMIFS([1]!Data_Loan[Value],[1]!Data_Loan[Index Loan],DTRVL!$B273,[1]!Data_Loan[TenCongTyID],DTRVL!$B$1,[1]!Data_Loan[Thang.Nam],DTRVL!AD$254)</f>
        <v>0</v>
      </c>
      <c r="AE273" s="352">
        <f>SUMIFS([1]!Data_Loan[Value],[1]!Data_Loan[Index Loan],DTRVL!$B273,[1]!Data_Loan[TenCongTyID],DTRVL!$B$1,[1]!Data_Loan[Thang.Nam],DTRVL!AE$254)</f>
        <v>0</v>
      </c>
      <c r="AF273" s="352">
        <f>SUMIFS([1]!Data_Loan[Value],[1]!Data_Loan[Index Loan],DTRVL!$B273,[1]!Data_Loan[TenCongTyID],DTRVL!$B$1,[1]!Data_Loan[Thang.Nam],DTRVL!AF$254)</f>
        <v>0</v>
      </c>
      <c r="AG273" s="352">
        <f>SUMIFS([1]!Data_Loan[Value],[1]!Data_Loan[Index Loan],DTRVL!$B273,[1]!Data_Loan[TenCongTyID],DTRVL!$B$1,[1]!Data_Loan[Thang.Nam],DTRVL!AG$254)</f>
        <v>0</v>
      </c>
      <c r="AH273" s="352">
        <f>SUMIFS([1]!Data_Loan[Value],[1]!Data_Loan[Index Loan],DTRVL!$B273,[1]!Data_Loan[TenCongTyID],DTRVL!$B$1,[1]!Data_Loan[Thang.Nam],DTRVL!AH$254)</f>
        <v>0</v>
      </c>
      <c r="AI273" s="352">
        <f>SUMIFS([1]!Data_Loan[Value],[1]!Data_Loan[Index Loan],DTRVL!$B273,[1]!Data_Loan[TenCongTyID],DTRVL!$B$1,[1]!Data_Loan[Thang.Nam],DTRVL!AI$254)</f>
        <v>0</v>
      </c>
      <c r="AJ273" s="352">
        <f>SUMIFS([1]!Data_Loan[Value],[1]!Data_Loan[Index Loan],DTRVL!$B273,[1]!Data_Loan[TenCongTyID],DTRVL!$B$1,[1]!Data_Loan[Thang.Nam],DTRVL!AJ$254)</f>
        <v>0</v>
      </c>
      <c r="AK273" s="352">
        <f>SUMIFS([1]!Data_Loan[Value],[1]!Data_Loan[Index Loan],DTRVL!$B273,[1]!Data_Loan[TenCongTyID],DTRVL!$B$1,[1]!Data_Loan[Thang.Nam],DTRVL!AK$254)</f>
        <v>0</v>
      </c>
      <c r="AL273" s="352">
        <f>SUMIFS([1]!Data_Loan[Value],[1]!Data_Loan[Index Loan],DTRVL!$B273,[1]!Data_Loan[TenCongTyID],DTRVL!$B$1,[1]!Data_Loan[Thang.Nam],DTRVL!AL$254)</f>
        <v>0</v>
      </c>
    </row>
    <row r="274" spans="1:38" ht="15" customHeight="1">
      <c r="A274" s="200" t="str">
        <f>A265</f>
        <v>ACB</v>
      </c>
      <c r="B274" s="329">
        <v>20</v>
      </c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352">
        <v>0</v>
      </c>
      <c r="AA274" s="352">
        <f>SUMIFS([1]!Data_Loan[Value],[1]!Data_Loan[Index Loan],DTRVL!$B274,[1]!Data_Loan[TenCongTyID],DTRVL!$B$1,[1]!Data_Loan[Thang.Nam],DTRVL!AA$254)</f>
        <v>0</v>
      </c>
      <c r="AB274" s="352">
        <f>SUMIFS([1]!Data_Loan[Value],[1]!Data_Loan[Index Loan],DTRVL!$B274,[1]!Data_Loan[TenCongTyID],DTRVL!$B$1,[1]!Data_Loan[Thang.Nam],DTRVL!AB$254)</f>
        <v>0</v>
      </c>
      <c r="AC274" s="352">
        <f>SUMIFS([1]!Data_Loan[Value],[1]!Data_Loan[Index Loan],DTRVL!$B274,[1]!Data_Loan[TenCongTyID],DTRVL!$B$1,[1]!Data_Loan[Thang.Nam],DTRVL!AC$254)</f>
        <v>0</v>
      </c>
      <c r="AD274" s="352">
        <f>SUMIFS([1]!Data_Loan[Value],[1]!Data_Loan[Index Loan],DTRVL!$B274,[1]!Data_Loan[TenCongTyID],DTRVL!$B$1,[1]!Data_Loan[Thang.Nam],DTRVL!AD$254)</f>
        <v>0</v>
      </c>
      <c r="AE274" s="352">
        <f>SUMIFS([1]!Data_Loan[Value],[1]!Data_Loan[Index Loan],DTRVL!$B274,[1]!Data_Loan[TenCongTyID],DTRVL!$B$1,[1]!Data_Loan[Thang.Nam],DTRVL!AE$254)</f>
        <v>0</v>
      </c>
      <c r="AF274" s="352">
        <f>SUMIFS([1]!Data_Loan[Value],[1]!Data_Loan[Index Loan],DTRVL!$B274,[1]!Data_Loan[TenCongTyID],DTRVL!$B$1,[1]!Data_Loan[Thang.Nam],DTRVL!AF$254)</f>
        <v>0</v>
      </c>
      <c r="AG274" s="352">
        <f>SUMIFS([1]!Data_Loan[Value],[1]!Data_Loan[Index Loan],DTRVL!$B274,[1]!Data_Loan[TenCongTyID],DTRVL!$B$1,[1]!Data_Loan[Thang.Nam],DTRVL!AG$254)</f>
        <v>0</v>
      </c>
      <c r="AH274" s="352">
        <f>SUMIFS([1]!Data_Loan[Value],[1]!Data_Loan[Index Loan],DTRVL!$B274,[1]!Data_Loan[TenCongTyID],DTRVL!$B$1,[1]!Data_Loan[Thang.Nam],DTRVL!AH$254)</f>
        <v>0</v>
      </c>
      <c r="AI274" s="352">
        <f>SUMIFS([1]!Data_Loan[Value],[1]!Data_Loan[Index Loan],DTRVL!$B274,[1]!Data_Loan[TenCongTyID],DTRVL!$B$1,[1]!Data_Loan[Thang.Nam],DTRVL!AI$254)</f>
        <v>0</v>
      </c>
      <c r="AJ274" s="352">
        <f>SUMIFS([1]!Data_Loan[Value],[1]!Data_Loan[Index Loan],DTRVL!$B274,[1]!Data_Loan[TenCongTyID],DTRVL!$B$1,[1]!Data_Loan[Thang.Nam],DTRVL!AJ$254)</f>
        <v>0</v>
      </c>
      <c r="AK274" s="352">
        <f>SUMIFS([1]!Data_Loan[Value],[1]!Data_Loan[Index Loan],DTRVL!$B274,[1]!Data_Loan[TenCongTyID],DTRVL!$B$1,[1]!Data_Loan[Thang.Nam],DTRVL!AK$254)</f>
        <v>0</v>
      </c>
      <c r="AL274" s="352">
        <f>SUMIFS([1]!Data_Loan[Value],[1]!Data_Loan[Index Loan],DTRVL!$B274,[1]!Data_Loan[TenCongTyID],DTRVL!$B$1,[1]!Data_Loan[Thang.Nam],DTRVL!AL$254)</f>
        <v>0</v>
      </c>
    </row>
    <row r="275" spans="1:38" ht="15" customHeight="1">
      <c r="A275" s="200" t="str">
        <f t="shared" ref="A275:A281" si="60">A266</f>
        <v>VietinBank</v>
      </c>
      <c r="B275" s="329">
        <v>21</v>
      </c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352">
        <v>0</v>
      </c>
      <c r="AA275" s="352">
        <f>SUMIFS([1]!Data_Loan[Value],[1]!Data_Loan[Index Loan],DTRVL!$B275,[1]!Data_Loan[TenCongTyID],DTRVL!$B$1,[1]!Data_Loan[Thang.Nam],DTRVL!AA$254)</f>
        <v>0</v>
      </c>
      <c r="AB275" s="352">
        <f>SUMIFS([1]!Data_Loan[Value],[1]!Data_Loan[Index Loan],DTRVL!$B275,[1]!Data_Loan[TenCongTyID],DTRVL!$B$1,[1]!Data_Loan[Thang.Nam],DTRVL!AB$254)</f>
        <v>0</v>
      </c>
      <c r="AC275" s="352">
        <f>SUMIFS([1]!Data_Loan[Value],[1]!Data_Loan[Index Loan],DTRVL!$B275,[1]!Data_Loan[TenCongTyID],DTRVL!$B$1,[1]!Data_Loan[Thang.Nam],DTRVL!AC$254)</f>
        <v>0</v>
      </c>
      <c r="AD275" s="352">
        <f>SUMIFS([1]!Data_Loan[Value],[1]!Data_Loan[Index Loan],DTRVL!$B275,[1]!Data_Loan[TenCongTyID],DTRVL!$B$1,[1]!Data_Loan[Thang.Nam],DTRVL!AD$254)</f>
        <v>0</v>
      </c>
      <c r="AE275" s="352">
        <f>SUMIFS([1]!Data_Loan[Value],[1]!Data_Loan[Index Loan],DTRVL!$B275,[1]!Data_Loan[TenCongTyID],DTRVL!$B$1,[1]!Data_Loan[Thang.Nam],DTRVL!AE$254)</f>
        <v>0</v>
      </c>
      <c r="AF275" s="352">
        <f>SUMIFS([1]!Data_Loan[Value],[1]!Data_Loan[Index Loan],DTRVL!$B275,[1]!Data_Loan[TenCongTyID],DTRVL!$B$1,[1]!Data_Loan[Thang.Nam],DTRVL!AF$254)</f>
        <v>0</v>
      </c>
      <c r="AG275" s="352">
        <f>SUMIFS([1]!Data_Loan[Value],[1]!Data_Loan[Index Loan],DTRVL!$B275,[1]!Data_Loan[TenCongTyID],DTRVL!$B$1,[1]!Data_Loan[Thang.Nam],DTRVL!AG$254)</f>
        <v>0</v>
      </c>
      <c r="AH275" s="352">
        <f>SUMIFS([1]!Data_Loan[Value],[1]!Data_Loan[Index Loan],DTRVL!$B275,[1]!Data_Loan[TenCongTyID],DTRVL!$B$1,[1]!Data_Loan[Thang.Nam],DTRVL!AH$254)</f>
        <v>0</v>
      </c>
      <c r="AI275" s="352">
        <f>SUMIFS([1]!Data_Loan[Value],[1]!Data_Loan[Index Loan],DTRVL!$B275,[1]!Data_Loan[TenCongTyID],DTRVL!$B$1,[1]!Data_Loan[Thang.Nam],DTRVL!AI$254)</f>
        <v>0</v>
      </c>
      <c r="AJ275" s="352">
        <f>SUMIFS([1]!Data_Loan[Value],[1]!Data_Loan[Index Loan],DTRVL!$B275,[1]!Data_Loan[TenCongTyID],DTRVL!$B$1,[1]!Data_Loan[Thang.Nam],DTRVL!AJ$254)</f>
        <v>0</v>
      </c>
      <c r="AK275" s="352">
        <f>SUMIFS([1]!Data_Loan[Value],[1]!Data_Loan[Index Loan],DTRVL!$B275,[1]!Data_Loan[TenCongTyID],DTRVL!$B$1,[1]!Data_Loan[Thang.Nam],DTRVL!AK$254)</f>
        <v>0</v>
      </c>
      <c r="AL275" s="352">
        <f>SUMIFS([1]!Data_Loan[Value],[1]!Data_Loan[Index Loan],DTRVL!$B275,[1]!Data_Loan[TenCongTyID],DTRVL!$B$1,[1]!Data_Loan[Thang.Nam],DTRVL!AL$254)</f>
        <v>0</v>
      </c>
    </row>
    <row r="276" spans="1:38" ht="15" customHeight="1">
      <c r="A276" s="200" t="str">
        <f t="shared" si="60"/>
        <v>Vietcombank</v>
      </c>
      <c r="B276" s="329">
        <v>22</v>
      </c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352">
        <v>0</v>
      </c>
      <c r="AA276" s="352">
        <f>SUMIFS([1]!Data_Loan[Value],[1]!Data_Loan[Index Loan],DTRVL!$B276,[1]!Data_Loan[TenCongTyID],DTRVL!$B$1,[1]!Data_Loan[Thang.Nam],DTRVL!AA$254)</f>
        <v>0</v>
      </c>
      <c r="AB276" s="352">
        <f>SUMIFS([1]!Data_Loan[Value],[1]!Data_Loan[Index Loan],DTRVL!$B276,[1]!Data_Loan[TenCongTyID],DTRVL!$B$1,[1]!Data_Loan[Thang.Nam],DTRVL!AB$254)</f>
        <v>0</v>
      </c>
      <c r="AC276" s="352">
        <f>SUMIFS([1]!Data_Loan[Value],[1]!Data_Loan[Index Loan],DTRVL!$B276,[1]!Data_Loan[TenCongTyID],DTRVL!$B$1,[1]!Data_Loan[Thang.Nam],DTRVL!AC$254)</f>
        <v>0</v>
      </c>
      <c r="AD276" s="352">
        <f>SUMIFS([1]!Data_Loan[Value],[1]!Data_Loan[Index Loan],DTRVL!$B276,[1]!Data_Loan[TenCongTyID],DTRVL!$B$1,[1]!Data_Loan[Thang.Nam],DTRVL!AD$254)</f>
        <v>0</v>
      </c>
      <c r="AE276" s="352">
        <f>SUMIFS([1]!Data_Loan[Value],[1]!Data_Loan[Index Loan],DTRVL!$B276,[1]!Data_Loan[TenCongTyID],DTRVL!$B$1,[1]!Data_Loan[Thang.Nam],DTRVL!AE$254)</f>
        <v>0</v>
      </c>
      <c r="AF276" s="352">
        <f>SUMIFS([1]!Data_Loan[Value],[1]!Data_Loan[Index Loan],DTRVL!$B276,[1]!Data_Loan[TenCongTyID],DTRVL!$B$1,[1]!Data_Loan[Thang.Nam],DTRVL!AF$254)</f>
        <v>0</v>
      </c>
      <c r="AG276" s="352">
        <f>SUMIFS([1]!Data_Loan[Value],[1]!Data_Loan[Index Loan],DTRVL!$B276,[1]!Data_Loan[TenCongTyID],DTRVL!$B$1,[1]!Data_Loan[Thang.Nam],DTRVL!AG$254)</f>
        <v>0</v>
      </c>
      <c r="AH276" s="352">
        <f>SUMIFS([1]!Data_Loan[Value],[1]!Data_Loan[Index Loan],DTRVL!$B276,[1]!Data_Loan[TenCongTyID],DTRVL!$B$1,[1]!Data_Loan[Thang.Nam],DTRVL!AH$254)</f>
        <v>0</v>
      </c>
      <c r="AI276" s="352">
        <f>SUMIFS([1]!Data_Loan[Value],[1]!Data_Loan[Index Loan],DTRVL!$B276,[1]!Data_Loan[TenCongTyID],DTRVL!$B$1,[1]!Data_Loan[Thang.Nam],DTRVL!AI$254)</f>
        <v>0</v>
      </c>
      <c r="AJ276" s="352">
        <f>SUMIFS([1]!Data_Loan[Value],[1]!Data_Loan[Index Loan],DTRVL!$B276,[1]!Data_Loan[TenCongTyID],DTRVL!$B$1,[1]!Data_Loan[Thang.Nam],DTRVL!AJ$254)</f>
        <v>0</v>
      </c>
      <c r="AK276" s="352">
        <f>SUMIFS([1]!Data_Loan[Value],[1]!Data_Loan[Index Loan],DTRVL!$B276,[1]!Data_Loan[TenCongTyID],DTRVL!$B$1,[1]!Data_Loan[Thang.Nam],DTRVL!AK$254)</f>
        <v>0</v>
      </c>
      <c r="AL276" s="352">
        <f>SUMIFS([1]!Data_Loan[Value],[1]!Data_Loan[Index Loan],DTRVL!$B276,[1]!Data_Loan[TenCongTyID],DTRVL!$B$1,[1]!Data_Loan[Thang.Nam],DTRVL!AL$254)</f>
        <v>0</v>
      </c>
    </row>
    <row r="277" spans="1:38" ht="15" customHeight="1">
      <c r="A277" s="200" t="str">
        <f t="shared" si="60"/>
        <v>BIDV</v>
      </c>
      <c r="B277" s="329">
        <v>23</v>
      </c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352">
        <v>0</v>
      </c>
      <c r="AA277" s="352">
        <f>SUMIFS([1]!Data_Loan[Value],[1]!Data_Loan[Index Loan],DTRVL!$B277,[1]!Data_Loan[TenCongTyID],DTRVL!$B$1,[1]!Data_Loan[Thang.Nam],DTRVL!AA$254)</f>
        <v>0</v>
      </c>
      <c r="AB277" s="352">
        <f>SUMIFS([1]!Data_Loan[Value],[1]!Data_Loan[Index Loan],DTRVL!$B277,[1]!Data_Loan[TenCongTyID],DTRVL!$B$1,[1]!Data_Loan[Thang.Nam],DTRVL!AB$254)</f>
        <v>0</v>
      </c>
      <c r="AC277" s="352">
        <f>SUMIFS([1]!Data_Loan[Value],[1]!Data_Loan[Index Loan],DTRVL!$B277,[1]!Data_Loan[TenCongTyID],DTRVL!$B$1,[1]!Data_Loan[Thang.Nam],DTRVL!AC$254)</f>
        <v>0</v>
      </c>
      <c r="AD277" s="352">
        <f>SUMIFS([1]!Data_Loan[Value],[1]!Data_Loan[Index Loan],DTRVL!$B277,[1]!Data_Loan[TenCongTyID],DTRVL!$B$1,[1]!Data_Loan[Thang.Nam],DTRVL!AD$254)</f>
        <v>0</v>
      </c>
      <c r="AE277" s="352">
        <f>SUMIFS([1]!Data_Loan[Value],[1]!Data_Loan[Index Loan],DTRVL!$B277,[1]!Data_Loan[TenCongTyID],DTRVL!$B$1,[1]!Data_Loan[Thang.Nam],DTRVL!AE$254)</f>
        <v>0</v>
      </c>
      <c r="AF277" s="352">
        <f>SUMIFS([1]!Data_Loan[Value],[1]!Data_Loan[Index Loan],DTRVL!$B277,[1]!Data_Loan[TenCongTyID],DTRVL!$B$1,[1]!Data_Loan[Thang.Nam],DTRVL!AF$254)</f>
        <v>0</v>
      </c>
      <c r="AG277" s="352">
        <f>SUMIFS([1]!Data_Loan[Value],[1]!Data_Loan[Index Loan],DTRVL!$B277,[1]!Data_Loan[TenCongTyID],DTRVL!$B$1,[1]!Data_Loan[Thang.Nam],DTRVL!AG$254)</f>
        <v>0</v>
      </c>
      <c r="AH277" s="352">
        <f>SUMIFS([1]!Data_Loan[Value],[1]!Data_Loan[Index Loan],DTRVL!$B277,[1]!Data_Loan[TenCongTyID],DTRVL!$B$1,[1]!Data_Loan[Thang.Nam],DTRVL!AH$254)</f>
        <v>0</v>
      </c>
      <c r="AI277" s="352">
        <f>SUMIFS([1]!Data_Loan[Value],[1]!Data_Loan[Index Loan],DTRVL!$B277,[1]!Data_Loan[TenCongTyID],DTRVL!$B$1,[1]!Data_Loan[Thang.Nam],DTRVL!AI$254)</f>
        <v>0</v>
      </c>
      <c r="AJ277" s="352">
        <f>SUMIFS([1]!Data_Loan[Value],[1]!Data_Loan[Index Loan],DTRVL!$B277,[1]!Data_Loan[TenCongTyID],DTRVL!$B$1,[1]!Data_Loan[Thang.Nam],DTRVL!AJ$254)</f>
        <v>0</v>
      </c>
      <c r="AK277" s="352">
        <f>SUMIFS([1]!Data_Loan[Value],[1]!Data_Loan[Index Loan],DTRVL!$B277,[1]!Data_Loan[TenCongTyID],DTRVL!$B$1,[1]!Data_Loan[Thang.Nam],DTRVL!AK$254)</f>
        <v>0</v>
      </c>
      <c r="AL277" s="352">
        <f>SUMIFS([1]!Data_Loan[Value],[1]!Data_Loan[Index Loan],DTRVL!$B277,[1]!Data_Loan[TenCongTyID],DTRVL!$B$1,[1]!Data_Loan[Thang.Nam],DTRVL!AL$254)</f>
        <v>0</v>
      </c>
    </row>
    <row r="278" spans="1:38" ht="15" customHeight="1">
      <c r="A278" s="200" t="str">
        <f t="shared" si="60"/>
        <v>Standard Chartered</v>
      </c>
      <c r="B278" s="329">
        <v>24</v>
      </c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352">
        <v>0</v>
      </c>
      <c r="AA278" s="352">
        <f>SUMIFS([1]!Data_Loan[Value],[1]!Data_Loan[Index Loan],DTRVL!$B278,[1]!Data_Loan[TenCongTyID],DTRVL!$B$1,[1]!Data_Loan[Thang.Nam],DTRVL!AA$254)</f>
        <v>0</v>
      </c>
      <c r="AB278" s="352">
        <f>SUMIFS([1]!Data_Loan[Value],[1]!Data_Loan[Index Loan],DTRVL!$B278,[1]!Data_Loan[TenCongTyID],DTRVL!$B$1,[1]!Data_Loan[Thang.Nam],DTRVL!AB$254)</f>
        <v>0</v>
      </c>
      <c r="AC278" s="352">
        <f>SUMIFS([1]!Data_Loan[Value],[1]!Data_Loan[Index Loan],DTRVL!$B278,[1]!Data_Loan[TenCongTyID],DTRVL!$B$1,[1]!Data_Loan[Thang.Nam],DTRVL!AC$254)</f>
        <v>0</v>
      </c>
      <c r="AD278" s="352">
        <f>SUMIFS([1]!Data_Loan[Value],[1]!Data_Loan[Index Loan],DTRVL!$B278,[1]!Data_Loan[TenCongTyID],DTRVL!$B$1,[1]!Data_Loan[Thang.Nam],DTRVL!AD$254)</f>
        <v>0</v>
      </c>
      <c r="AE278" s="352">
        <f>SUMIFS([1]!Data_Loan[Value],[1]!Data_Loan[Index Loan],DTRVL!$B278,[1]!Data_Loan[TenCongTyID],DTRVL!$B$1,[1]!Data_Loan[Thang.Nam],DTRVL!AE$254)</f>
        <v>0</v>
      </c>
      <c r="AF278" s="352">
        <f>SUMIFS([1]!Data_Loan[Value],[1]!Data_Loan[Index Loan],DTRVL!$B278,[1]!Data_Loan[TenCongTyID],DTRVL!$B$1,[1]!Data_Loan[Thang.Nam],DTRVL!AF$254)</f>
        <v>0</v>
      </c>
      <c r="AG278" s="352">
        <f>SUMIFS([1]!Data_Loan[Value],[1]!Data_Loan[Index Loan],DTRVL!$B278,[1]!Data_Loan[TenCongTyID],DTRVL!$B$1,[1]!Data_Loan[Thang.Nam],DTRVL!AG$254)</f>
        <v>0</v>
      </c>
      <c r="AH278" s="352">
        <f>SUMIFS([1]!Data_Loan[Value],[1]!Data_Loan[Index Loan],DTRVL!$B278,[1]!Data_Loan[TenCongTyID],DTRVL!$B$1,[1]!Data_Loan[Thang.Nam],DTRVL!AH$254)</f>
        <v>0</v>
      </c>
      <c r="AI278" s="352">
        <f>SUMIFS([1]!Data_Loan[Value],[1]!Data_Loan[Index Loan],DTRVL!$B278,[1]!Data_Loan[TenCongTyID],DTRVL!$B$1,[1]!Data_Loan[Thang.Nam],DTRVL!AI$254)</f>
        <v>0</v>
      </c>
      <c r="AJ278" s="352">
        <f>SUMIFS([1]!Data_Loan[Value],[1]!Data_Loan[Index Loan],DTRVL!$B278,[1]!Data_Loan[TenCongTyID],DTRVL!$B$1,[1]!Data_Loan[Thang.Nam],DTRVL!AJ$254)</f>
        <v>0</v>
      </c>
      <c r="AK278" s="352">
        <f>SUMIFS([1]!Data_Loan[Value],[1]!Data_Loan[Index Loan],DTRVL!$B278,[1]!Data_Loan[TenCongTyID],DTRVL!$B$1,[1]!Data_Loan[Thang.Nam],DTRVL!AK$254)</f>
        <v>0</v>
      </c>
      <c r="AL278" s="352">
        <f>SUMIFS([1]!Data_Loan[Value],[1]!Data_Loan[Index Loan],DTRVL!$B278,[1]!Data_Loan[TenCongTyID],DTRVL!$B$1,[1]!Data_Loan[Thang.Nam],DTRVL!AL$254)</f>
        <v>0</v>
      </c>
    </row>
    <row r="279" spans="1:38" ht="15" customHeight="1">
      <c r="A279" s="200" t="str">
        <f t="shared" si="60"/>
        <v>VILC</v>
      </c>
      <c r="B279" s="329">
        <v>25</v>
      </c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352">
        <v>0</v>
      </c>
      <c r="AA279" s="352">
        <f>SUMIFS([1]!Data_Loan[Value],[1]!Data_Loan[Index Loan],DTRVL!$B279,[1]!Data_Loan[TenCongTyID],DTRVL!$B$1,[1]!Data_Loan[Thang.Nam],DTRVL!AA$254)</f>
        <v>0</v>
      </c>
      <c r="AB279" s="352">
        <f>SUMIFS([1]!Data_Loan[Value],[1]!Data_Loan[Index Loan],DTRVL!$B279,[1]!Data_Loan[TenCongTyID],DTRVL!$B$1,[1]!Data_Loan[Thang.Nam],DTRVL!AB$254)</f>
        <v>0</v>
      </c>
      <c r="AC279" s="352">
        <f>SUMIFS([1]!Data_Loan[Value],[1]!Data_Loan[Index Loan],DTRVL!$B279,[1]!Data_Loan[TenCongTyID],DTRVL!$B$1,[1]!Data_Loan[Thang.Nam],DTRVL!AC$254)</f>
        <v>0</v>
      </c>
      <c r="AD279" s="352">
        <f>SUMIFS([1]!Data_Loan[Value],[1]!Data_Loan[Index Loan],DTRVL!$B279,[1]!Data_Loan[TenCongTyID],DTRVL!$B$1,[1]!Data_Loan[Thang.Nam],DTRVL!AD$254)</f>
        <v>0</v>
      </c>
      <c r="AE279" s="352">
        <f>SUMIFS([1]!Data_Loan[Value],[1]!Data_Loan[Index Loan],DTRVL!$B279,[1]!Data_Loan[TenCongTyID],DTRVL!$B$1,[1]!Data_Loan[Thang.Nam],DTRVL!AE$254)</f>
        <v>0</v>
      </c>
      <c r="AF279" s="352">
        <f>SUMIFS([1]!Data_Loan[Value],[1]!Data_Loan[Index Loan],DTRVL!$B279,[1]!Data_Loan[TenCongTyID],DTRVL!$B$1,[1]!Data_Loan[Thang.Nam],DTRVL!AF$254)</f>
        <v>0</v>
      </c>
      <c r="AG279" s="352">
        <f>SUMIFS([1]!Data_Loan[Value],[1]!Data_Loan[Index Loan],DTRVL!$B279,[1]!Data_Loan[TenCongTyID],DTRVL!$B$1,[1]!Data_Loan[Thang.Nam],DTRVL!AG$254)</f>
        <v>0</v>
      </c>
      <c r="AH279" s="352">
        <f>SUMIFS([1]!Data_Loan[Value],[1]!Data_Loan[Index Loan],DTRVL!$B279,[1]!Data_Loan[TenCongTyID],DTRVL!$B$1,[1]!Data_Loan[Thang.Nam],DTRVL!AH$254)</f>
        <v>0</v>
      </c>
      <c r="AI279" s="352">
        <f>SUMIFS([1]!Data_Loan[Value],[1]!Data_Loan[Index Loan],DTRVL!$B279,[1]!Data_Loan[TenCongTyID],DTRVL!$B$1,[1]!Data_Loan[Thang.Nam],DTRVL!AI$254)</f>
        <v>0</v>
      </c>
      <c r="AJ279" s="352">
        <f>SUMIFS([1]!Data_Loan[Value],[1]!Data_Loan[Index Loan],DTRVL!$B279,[1]!Data_Loan[TenCongTyID],DTRVL!$B$1,[1]!Data_Loan[Thang.Nam],DTRVL!AJ$254)</f>
        <v>0</v>
      </c>
      <c r="AK279" s="352">
        <f>SUMIFS([1]!Data_Loan[Value],[1]!Data_Loan[Index Loan],DTRVL!$B279,[1]!Data_Loan[TenCongTyID],DTRVL!$B$1,[1]!Data_Loan[Thang.Nam],DTRVL!AK$254)</f>
        <v>0</v>
      </c>
      <c r="AL279" s="352">
        <f>SUMIFS([1]!Data_Loan[Value],[1]!Data_Loan[Index Loan],DTRVL!$B279,[1]!Data_Loan[TenCongTyID],DTRVL!$B$1,[1]!Data_Loan[Thang.Nam],DTRVL!AL$254)</f>
        <v>0</v>
      </c>
    </row>
    <row r="280" spans="1:38" ht="15" customHeight="1">
      <c r="A280" s="200" t="str">
        <f t="shared" si="60"/>
        <v>IVB</v>
      </c>
      <c r="B280" s="329">
        <v>26</v>
      </c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352">
        <v>0</v>
      </c>
      <c r="AA280" s="352">
        <f>SUMIFS([1]!Data_Loan[Value],[1]!Data_Loan[Index Loan],DTRVL!$B280,[1]!Data_Loan[TenCongTyID],DTRVL!$B$1,[1]!Data_Loan[Thang.Nam],DTRVL!AA$254)</f>
        <v>0</v>
      </c>
      <c r="AB280" s="352">
        <f>SUMIFS([1]!Data_Loan[Value],[1]!Data_Loan[Index Loan],DTRVL!$B280,[1]!Data_Loan[TenCongTyID],DTRVL!$B$1,[1]!Data_Loan[Thang.Nam],DTRVL!AB$254)</f>
        <v>0</v>
      </c>
      <c r="AC280" s="352">
        <f>SUMIFS([1]!Data_Loan[Value],[1]!Data_Loan[Index Loan],DTRVL!$B280,[1]!Data_Loan[TenCongTyID],DTRVL!$B$1,[1]!Data_Loan[Thang.Nam],DTRVL!AC$254)</f>
        <v>0</v>
      </c>
      <c r="AD280" s="352">
        <f>SUMIFS([1]!Data_Loan[Value],[1]!Data_Loan[Index Loan],DTRVL!$B280,[1]!Data_Loan[TenCongTyID],DTRVL!$B$1,[1]!Data_Loan[Thang.Nam],DTRVL!AD$254)</f>
        <v>0</v>
      </c>
      <c r="AE280" s="352">
        <f>SUMIFS([1]!Data_Loan[Value],[1]!Data_Loan[Index Loan],DTRVL!$B280,[1]!Data_Loan[TenCongTyID],DTRVL!$B$1,[1]!Data_Loan[Thang.Nam],DTRVL!AE$254)</f>
        <v>0</v>
      </c>
      <c r="AF280" s="352">
        <f>SUMIFS([1]!Data_Loan[Value],[1]!Data_Loan[Index Loan],DTRVL!$B280,[1]!Data_Loan[TenCongTyID],DTRVL!$B$1,[1]!Data_Loan[Thang.Nam],DTRVL!AF$254)</f>
        <v>0</v>
      </c>
      <c r="AG280" s="352">
        <f>SUMIFS([1]!Data_Loan[Value],[1]!Data_Loan[Index Loan],DTRVL!$B280,[1]!Data_Loan[TenCongTyID],DTRVL!$B$1,[1]!Data_Loan[Thang.Nam],DTRVL!AG$254)</f>
        <v>0</v>
      </c>
      <c r="AH280" s="352">
        <f>SUMIFS([1]!Data_Loan[Value],[1]!Data_Loan[Index Loan],DTRVL!$B280,[1]!Data_Loan[TenCongTyID],DTRVL!$B$1,[1]!Data_Loan[Thang.Nam],DTRVL!AH$254)</f>
        <v>0</v>
      </c>
      <c r="AI280" s="352">
        <f>SUMIFS([1]!Data_Loan[Value],[1]!Data_Loan[Index Loan],DTRVL!$B280,[1]!Data_Loan[TenCongTyID],DTRVL!$B$1,[1]!Data_Loan[Thang.Nam],DTRVL!AI$254)</f>
        <v>0</v>
      </c>
      <c r="AJ280" s="352">
        <f>SUMIFS([1]!Data_Loan[Value],[1]!Data_Loan[Index Loan],DTRVL!$B280,[1]!Data_Loan[TenCongTyID],DTRVL!$B$1,[1]!Data_Loan[Thang.Nam],DTRVL!AJ$254)</f>
        <v>0</v>
      </c>
      <c r="AK280" s="352">
        <f>SUMIFS([1]!Data_Loan[Value],[1]!Data_Loan[Index Loan],DTRVL!$B280,[1]!Data_Loan[TenCongTyID],DTRVL!$B$1,[1]!Data_Loan[Thang.Nam],DTRVL!AK$254)</f>
        <v>0</v>
      </c>
      <c r="AL280" s="352">
        <f>SUMIFS([1]!Data_Loan[Value],[1]!Data_Loan[Index Loan],DTRVL!$B280,[1]!Data_Loan[TenCongTyID],DTRVL!$B$1,[1]!Data_Loan[Thang.Nam],DTRVL!AL$254)</f>
        <v>0</v>
      </c>
    </row>
    <row r="281" spans="1:38" ht="15" customHeight="1">
      <c r="A281" s="200">
        <f t="shared" si="60"/>
        <v>0</v>
      </c>
      <c r="B281" s="329">
        <v>27</v>
      </c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352">
        <v>0</v>
      </c>
      <c r="AA281" s="352">
        <f>SUMIFS([1]!Data_Loan[Value],[1]!Data_Loan[Index Loan],DTRVL!$B281,[1]!Data_Loan[TenCongTyID],DTRVL!$B$1,[1]!Data_Loan[Thang.Nam],DTRVL!AA$254)</f>
        <v>0</v>
      </c>
      <c r="AB281" s="352">
        <f>SUMIFS([1]!Data_Loan[Value],[1]!Data_Loan[Index Loan],DTRVL!$B281,[1]!Data_Loan[TenCongTyID],DTRVL!$B$1,[1]!Data_Loan[Thang.Nam],DTRVL!AB$254)</f>
        <v>0</v>
      </c>
      <c r="AC281" s="352">
        <f>SUMIFS([1]!Data_Loan[Value],[1]!Data_Loan[Index Loan],DTRVL!$B281,[1]!Data_Loan[TenCongTyID],DTRVL!$B$1,[1]!Data_Loan[Thang.Nam],DTRVL!AC$254)</f>
        <v>0</v>
      </c>
      <c r="AD281" s="352">
        <f>SUMIFS([1]!Data_Loan[Value],[1]!Data_Loan[Index Loan],DTRVL!$B281,[1]!Data_Loan[TenCongTyID],DTRVL!$B$1,[1]!Data_Loan[Thang.Nam],DTRVL!AD$254)</f>
        <v>0</v>
      </c>
      <c r="AE281" s="352">
        <f>SUMIFS([1]!Data_Loan[Value],[1]!Data_Loan[Index Loan],DTRVL!$B281,[1]!Data_Loan[TenCongTyID],DTRVL!$B$1,[1]!Data_Loan[Thang.Nam],DTRVL!AE$254)</f>
        <v>0</v>
      </c>
      <c r="AF281" s="352">
        <f>SUMIFS([1]!Data_Loan[Value],[1]!Data_Loan[Index Loan],DTRVL!$B281,[1]!Data_Loan[TenCongTyID],DTRVL!$B$1,[1]!Data_Loan[Thang.Nam],DTRVL!AF$254)</f>
        <v>0</v>
      </c>
      <c r="AG281" s="352">
        <f>SUMIFS([1]!Data_Loan[Value],[1]!Data_Loan[Index Loan],DTRVL!$B281,[1]!Data_Loan[TenCongTyID],DTRVL!$B$1,[1]!Data_Loan[Thang.Nam],DTRVL!AG$254)</f>
        <v>0</v>
      </c>
      <c r="AH281" s="352">
        <f>SUMIFS([1]!Data_Loan[Value],[1]!Data_Loan[Index Loan],DTRVL!$B281,[1]!Data_Loan[TenCongTyID],DTRVL!$B$1,[1]!Data_Loan[Thang.Nam],DTRVL!AH$254)</f>
        <v>0</v>
      </c>
      <c r="AI281" s="352">
        <f>SUMIFS([1]!Data_Loan[Value],[1]!Data_Loan[Index Loan],DTRVL!$B281,[1]!Data_Loan[TenCongTyID],DTRVL!$B$1,[1]!Data_Loan[Thang.Nam],DTRVL!AI$254)</f>
        <v>0</v>
      </c>
      <c r="AJ281" s="352">
        <f>SUMIFS([1]!Data_Loan[Value],[1]!Data_Loan[Index Loan],DTRVL!$B281,[1]!Data_Loan[TenCongTyID],DTRVL!$B$1,[1]!Data_Loan[Thang.Nam],DTRVL!AJ$254)</f>
        <v>0</v>
      </c>
      <c r="AK281" s="352">
        <f>SUMIFS([1]!Data_Loan[Value],[1]!Data_Loan[Index Loan],DTRVL!$B281,[1]!Data_Loan[TenCongTyID],DTRVL!$B$1,[1]!Data_Loan[Thang.Nam],DTRVL!AK$254)</f>
        <v>0</v>
      </c>
      <c r="AL281" s="352">
        <f>SUMIFS([1]!Data_Loan[Value],[1]!Data_Loan[Index Loan],DTRVL!$B281,[1]!Data_Loan[TenCongTyID],DTRVL!$B$1,[1]!Data_Loan[Thang.Nam],DTRVL!AL$254)</f>
        <v>0</v>
      </c>
    </row>
    <row r="282" spans="1:38" ht="15" customHeight="1">
      <c r="A282" s="196" t="s">
        <v>349</v>
      </c>
      <c r="B282" s="328">
        <v>28</v>
      </c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>
        <v>0</v>
      </c>
      <c r="AA282" s="199">
        <f>SUMIFS([1]!Data_Loan[Value],[1]!Data_Loan[Index Loan],DTRVL!$B282,[1]!Data_Loan[TenCongTyID],DTRVL!$B$1,[1]!Data_Loan[Thang.Nam],DTRVL!AA$254)</f>
        <v>0</v>
      </c>
      <c r="AB282" s="199">
        <f>SUMIFS([1]!Data_Loan[Value],[1]!Data_Loan[Index Loan],DTRVL!$B282,[1]!Data_Loan[TenCongTyID],DTRVL!$B$1,[1]!Data_Loan[Thang.Nam],DTRVL!AB$254)</f>
        <v>0</v>
      </c>
      <c r="AC282" s="199">
        <f>SUMIFS([1]!Data_Loan[Value],[1]!Data_Loan[Index Loan],DTRVL!$B282,[1]!Data_Loan[TenCongTyID],DTRVL!$B$1,[1]!Data_Loan[Thang.Nam],DTRVL!AC$254)</f>
        <v>0</v>
      </c>
      <c r="AD282" s="199">
        <f>SUMIFS([1]!Data_Loan[Value],[1]!Data_Loan[Index Loan],DTRVL!$B282,[1]!Data_Loan[TenCongTyID],DTRVL!$B$1,[1]!Data_Loan[Thang.Nam],DTRVL!AD$254)</f>
        <v>0</v>
      </c>
      <c r="AE282" s="199">
        <f>SUMIFS([1]!Data_Loan[Value],[1]!Data_Loan[Index Loan],DTRVL!$B282,[1]!Data_Loan[TenCongTyID],DTRVL!$B$1,[1]!Data_Loan[Thang.Nam],DTRVL!AE$254)</f>
        <v>0</v>
      </c>
      <c r="AF282" s="199">
        <f>SUMIFS([1]!Data_Loan[Value],[1]!Data_Loan[Index Loan],DTRVL!$B282,[1]!Data_Loan[TenCongTyID],DTRVL!$B$1,[1]!Data_Loan[Thang.Nam],DTRVL!AF$254)</f>
        <v>0</v>
      </c>
      <c r="AG282" s="199">
        <f>SUMIFS([1]!Data_Loan[Value],[1]!Data_Loan[Index Loan],DTRVL!$B282,[1]!Data_Loan[TenCongTyID],DTRVL!$B$1,[1]!Data_Loan[Thang.Nam],DTRVL!AG$254)</f>
        <v>0</v>
      </c>
      <c r="AH282" s="199">
        <f>SUMIFS([1]!Data_Loan[Value],[1]!Data_Loan[Index Loan],DTRVL!$B282,[1]!Data_Loan[TenCongTyID],DTRVL!$B$1,[1]!Data_Loan[Thang.Nam],DTRVL!AH$254)</f>
        <v>0</v>
      </c>
      <c r="AI282" s="199">
        <f>SUMIFS([1]!Data_Loan[Value],[1]!Data_Loan[Index Loan],DTRVL!$B282,[1]!Data_Loan[TenCongTyID],DTRVL!$B$1,[1]!Data_Loan[Thang.Nam],DTRVL!AI$254)</f>
        <v>0</v>
      </c>
      <c r="AJ282" s="199">
        <f>SUMIFS([1]!Data_Loan[Value],[1]!Data_Loan[Index Loan],DTRVL!$B282,[1]!Data_Loan[TenCongTyID],DTRVL!$B$1,[1]!Data_Loan[Thang.Nam],DTRVL!AJ$254)</f>
        <v>0</v>
      </c>
      <c r="AK282" s="199">
        <f>SUMIFS([1]!Data_Loan[Value],[1]!Data_Loan[Index Loan],DTRVL!$B282,[1]!Data_Loan[TenCongTyID],DTRVL!$B$1,[1]!Data_Loan[Thang.Nam],DTRVL!AK$254)</f>
        <v>0</v>
      </c>
      <c r="AL282" s="199">
        <f>SUMIFS([1]!Data_Loan[Value],[1]!Data_Loan[Index Loan],DTRVL!$B282,[1]!Data_Loan[TenCongTyID],DTRVL!$B$1,[1]!Data_Loan[Thang.Nam],DTRVL!AL$254)</f>
        <v>0</v>
      </c>
    </row>
    <row r="283" spans="1:38" ht="15" customHeight="1">
      <c r="A283" s="200" t="str">
        <f>A265</f>
        <v>ACB</v>
      </c>
      <c r="B283" s="329">
        <v>29</v>
      </c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352">
        <v>0</v>
      </c>
      <c r="AA283" s="352">
        <f>SUMIFS([1]!Data_Loan[Value],[1]!Data_Loan[Index Loan],DTRVL!$B283,[1]!Data_Loan[TenCongTyID],DTRVL!$B$1,[1]!Data_Loan[Thang.Nam],DTRVL!AA$254)</f>
        <v>0</v>
      </c>
      <c r="AB283" s="352">
        <f>SUMIFS([1]!Data_Loan[Value],[1]!Data_Loan[Index Loan],DTRVL!$B283,[1]!Data_Loan[TenCongTyID],DTRVL!$B$1,[1]!Data_Loan[Thang.Nam],DTRVL!AB$254)</f>
        <v>0</v>
      </c>
      <c r="AC283" s="352">
        <f>SUMIFS([1]!Data_Loan[Value],[1]!Data_Loan[Index Loan],DTRVL!$B283,[1]!Data_Loan[TenCongTyID],DTRVL!$B$1,[1]!Data_Loan[Thang.Nam],DTRVL!AC$254)</f>
        <v>0</v>
      </c>
      <c r="AD283" s="352">
        <f>SUMIFS([1]!Data_Loan[Value],[1]!Data_Loan[Index Loan],DTRVL!$B283,[1]!Data_Loan[TenCongTyID],DTRVL!$B$1,[1]!Data_Loan[Thang.Nam],DTRVL!AD$254)</f>
        <v>0</v>
      </c>
      <c r="AE283" s="352">
        <f>SUMIFS([1]!Data_Loan[Value],[1]!Data_Loan[Index Loan],DTRVL!$B283,[1]!Data_Loan[TenCongTyID],DTRVL!$B$1,[1]!Data_Loan[Thang.Nam],DTRVL!AE$254)</f>
        <v>0</v>
      </c>
      <c r="AF283" s="352">
        <f>SUMIFS([1]!Data_Loan[Value],[1]!Data_Loan[Index Loan],DTRVL!$B283,[1]!Data_Loan[TenCongTyID],DTRVL!$B$1,[1]!Data_Loan[Thang.Nam],DTRVL!AF$254)</f>
        <v>0</v>
      </c>
      <c r="AG283" s="352">
        <f>SUMIFS([1]!Data_Loan[Value],[1]!Data_Loan[Index Loan],DTRVL!$B283,[1]!Data_Loan[TenCongTyID],DTRVL!$B$1,[1]!Data_Loan[Thang.Nam],DTRVL!AG$254)</f>
        <v>0</v>
      </c>
      <c r="AH283" s="352">
        <f>SUMIFS([1]!Data_Loan[Value],[1]!Data_Loan[Index Loan],DTRVL!$B283,[1]!Data_Loan[TenCongTyID],DTRVL!$B$1,[1]!Data_Loan[Thang.Nam],DTRVL!AH$254)</f>
        <v>0</v>
      </c>
      <c r="AI283" s="352">
        <f>SUMIFS([1]!Data_Loan[Value],[1]!Data_Loan[Index Loan],DTRVL!$B283,[1]!Data_Loan[TenCongTyID],DTRVL!$B$1,[1]!Data_Loan[Thang.Nam],DTRVL!AI$254)</f>
        <v>0</v>
      </c>
      <c r="AJ283" s="352">
        <f>SUMIFS([1]!Data_Loan[Value],[1]!Data_Loan[Index Loan],DTRVL!$B283,[1]!Data_Loan[TenCongTyID],DTRVL!$B$1,[1]!Data_Loan[Thang.Nam],DTRVL!AJ$254)</f>
        <v>0</v>
      </c>
      <c r="AK283" s="352">
        <f>SUMIFS([1]!Data_Loan[Value],[1]!Data_Loan[Index Loan],DTRVL!$B283,[1]!Data_Loan[TenCongTyID],DTRVL!$B$1,[1]!Data_Loan[Thang.Nam],DTRVL!AK$254)</f>
        <v>0</v>
      </c>
      <c r="AL283" s="352">
        <f>SUMIFS([1]!Data_Loan[Value],[1]!Data_Loan[Index Loan],DTRVL!$B283,[1]!Data_Loan[TenCongTyID],DTRVL!$B$1,[1]!Data_Loan[Thang.Nam],DTRVL!AL$254)</f>
        <v>0</v>
      </c>
    </row>
    <row r="284" spans="1:38" ht="15" customHeight="1">
      <c r="A284" s="200" t="str">
        <f>A266</f>
        <v>VietinBank</v>
      </c>
      <c r="B284" s="329">
        <v>30</v>
      </c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352">
        <v>0</v>
      </c>
      <c r="AA284" s="352">
        <f>SUMIFS([1]!Data_Loan[Value],[1]!Data_Loan[Index Loan],DTRVL!$B284,[1]!Data_Loan[TenCongTyID],DTRVL!$B$1,[1]!Data_Loan[Thang.Nam],DTRVL!AA$254)</f>
        <v>0</v>
      </c>
      <c r="AB284" s="352">
        <f>SUMIFS([1]!Data_Loan[Value],[1]!Data_Loan[Index Loan],DTRVL!$B284,[1]!Data_Loan[TenCongTyID],DTRVL!$B$1,[1]!Data_Loan[Thang.Nam],DTRVL!AB$254)</f>
        <v>0</v>
      </c>
      <c r="AC284" s="352">
        <f>SUMIFS([1]!Data_Loan[Value],[1]!Data_Loan[Index Loan],DTRVL!$B284,[1]!Data_Loan[TenCongTyID],DTRVL!$B$1,[1]!Data_Loan[Thang.Nam],DTRVL!AC$254)</f>
        <v>0</v>
      </c>
      <c r="AD284" s="352">
        <f>SUMIFS([1]!Data_Loan[Value],[1]!Data_Loan[Index Loan],DTRVL!$B284,[1]!Data_Loan[TenCongTyID],DTRVL!$B$1,[1]!Data_Loan[Thang.Nam],DTRVL!AD$254)</f>
        <v>0</v>
      </c>
      <c r="AE284" s="352">
        <f>SUMIFS([1]!Data_Loan[Value],[1]!Data_Loan[Index Loan],DTRVL!$B284,[1]!Data_Loan[TenCongTyID],DTRVL!$B$1,[1]!Data_Loan[Thang.Nam],DTRVL!AE$254)</f>
        <v>0</v>
      </c>
      <c r="AF284" s="352">
        <f>SUMIFS([1]!Data_Loan[Value],[1]!Data_Loan[Index Loan],DTRVL!$B284,[1]!Data_Loan[TenCongTyID],DTRVL!$B$1,[1]!Data_Loan[Thang.Nam],DTRVL!AF$254)</f>
        <v>0</v>
      </c>
      <c r="AG284" s="352">
        <f>SUMIFS([1]!Data_Loan[Value],[1]!Data_Loan[Index Loan],DTRVL!$B284,[1]!Data_Loan[TenCongTyID],DTRVL!$B$1,[1]!Data_Loan[Thang.Nam],DTRVL!AG$254)</f>
        <v>0</v>
      </c>
      <c r="AH284" s="352">
        <f>SUMIFS([1]!Data_Loan[Value],[1]!Data_Loan[Index Loan],DTRVL!$B284,[1]!Data_Loan[TenCongTyID],DTRVL!$B$1,[1]!Data_Loan[Thang.Nam],DTRVL!AH$254)</f>
        <v>0</v>
      </c>
      <c r="AI284" s="352">
        <f>SUMIFS([1]!Data_Loan[Value],[1]!Data_Loan[Index Loan],DTRVL!$B284,[1]!Data_Loan[TenCongTyID],DTRVL!$B$1,[1]!Data_Loan[Thang.Nam],DTRVL!AI$254)</f>
        <v>0</v>
      </c>
      <c r="AJ284" s="352">
        <f>SUMIFS([1]!Data_Loan[Value],[1]!Data_Loan[Index Loan],DTRVL!$B284,[1]!Data_Loan[TenCongTyID],DTRVL!$B$1,[1]!Data_Loan[Thang.Nam],DTRVL!AJ$254)</f>
        <v>0</v>
      </c>
      <c r="AK284" s="352">
        <f>SUMIFS([1]!Data_Loan[Value],[1]!Data_Loan[Index Loan],DTRVL!$B284,[1]!Data_Loan[TenCongTyID],DTRVL!$B$1,[1]!Data_Loan[Thang.Nam],DTRVL!AK$254)</f>
        <v>0</v>
      </c>
      <c r="AL284" s="352">
        <f>SUMIFS([1]!Data_Loan[Value],[1]!Data_Loan[Index Loan],DTRVL!$B284,[1]!Data_Loan[TenCongTyID],DTRVL!$B$1,[1]!Data_Loan[Thang.Nam],DTRVL!AL$254)</f>
        <v>0</v>
      </c>
    </row>
    <row r="285" spans="1:38" ht="15" customHeight="1">
      <c r="A285" s="200" t="str">
        <f>A267</f>
        <v>Vietcombank</v>
      </c>
      <c r="B285" s="329">
        <v>31</v>
      </c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352">
        <v>0</v>
      </c>
      <c r="AA285" s="352">
        <f>SUMIFS([1]!Data_Loan[Value],[1]!Data_Loan[Index Loan],DTRVL!$B285,[1]!Data_Loan[TenCongTyID],DTRVL!$B$1,[1]!Data_Loan[Thang.Nam],DTRVL!AA$254)</f>
        <v>0</v>
      </c>
      <c r="AB285" s="352">
        <f>SUMIFS([1]!Data_Loan[Value],[1]!Data_Loan[Index Loan],DTRVL!$B285,[1]!Data_Loan[TenCongTyID],DTRVL!$B$1,[1]!Data_Loan[Thang.Nam],DTRVL!AB$254)</f>
        <v>0</v>
      </c>
      <c r="AC285" s="352">
        <f>SUMIFS([1]!Data_Loan[Value],[1]!Data_Loan[Index Loan],DTRVL!$B285,[1]!Data_Loan[TenCongTyID],DTRVL!$B$1,[1]!Data_Loan[Thang.Nam],DTRVL!AC$254)</f>
        <v>0</v>
      </c>
      <c r="AD285" s="352">
        <f>SUMIFS([1]!Data_Loan[Value],[1]!Data_Loan[Index Loan],DTRVL!$B285,[1]!Data_Loan[TenCongTyID],DTRVL!$B$1,[1]!Data_Loan[Thang.Nam],DTRVL!AD$254)</f>
        <v>0</v>
      </c>
      <c r="AE285" s="352">
        <f>SUMIFS([1]!Data_Loan[Value],[1]!Data_Loan[Index Loan],DTRVL!$B285,[1]!Data_Loan[TenCongTyID],DTRVL!$B$1,[1]!Data_Loan[Thang.Nam],DTRVL!AE$254)</f>
        <v>0</v>
      </c>
      <c r="AF285" s="352">
        <f>SUMIFS([1]!Data_Loan[Value],[1]!Data_Loan[Index Loan],DTRVL!$B285,[1]!Data_Loan[TenCongTyID],DTRVL!$B$1,[1]!Data_Loan[Thang.Nam],DTRVL!AF$254)</f>
        <v>0</v>
      </c>
      <c r="AG285" s="352">
        <f>SUMIFS([1]!Data_Loan[Value],[1]!Data_Loan[Index Loan],DTRVL!$B285,[1]!Data_Loan[TenCongTyID],DTRVL!$B$1,[1]!Data_Loan[Thang.Nam],DTRVL!AG$254)</f>
        <v>0</v>
      </c>
      <c r="AH285" s="352">
        <f>SUMIFS([1]!Data_Loan[Value],[1]!Data_Loan[Index Loan],DTRVL!$B285,[1]!Data_Loan[TenCongTyID],DTRVL!$B$1,[1]!Data_Loan[Thang.Nam],DTRVL!AH$254)</f>
        <v>0</v>
      </c>
      <c r="AI285" s="352">
        <f>SUMIFS([1]!Data_Loan[Value],[1]!Data_Loan[Index Loan],DTRVL!$B285,[1]!Data_Loan[TenCongTyID],DTRVL!$B$1,[1]!Data_Loan[Thang.Nam],DTRVL!AI$254)</f>
        <v>0</v>
      </c>
      <c r="AJ285" s="352">
        <f>SUMIFS([1]!Data_Loan[Value],[1]!Data_Loan[Index Loan],DTRVL!$B285,[1]!Data_Loan[TenCongTyID],DTRVL!$B$1,[1]!Data_Loan[Thang.Nam],DTRVL!AJ$254)</f>
        <v>0</v>
      </c>
      <c r="AK285" s="352">
        <f>SUMIFS([1]!Data_Loan[Value],[1]!Data_Loan[Index Loan],DTRVL!$B285,[1]!Data_Loan[TenCongTyID],DTRVL!$B$1,[1]!Data_Loan[Thang.Nam],DTRVL!AK$254)</f>
        <v>0</v>
      </c>
      <c r="AL285" s="352">
        <f>SUMIFS([1]!Data_Loan[Value],[1]!Data_Loan[Index Loan],DTRVL!$B285,[1]!Data_Loan[TenCongTyID],DTRVL!$B$1,[1]!Data_Loan[Thang.Nam],DTRVL!AL$254)</f>
        <v>0</v>
      </c>
    </row>
    <row r="286" spans="1:38" ht="15" customHeight="1">
      <c r="A286" s="200" t="s">
        <v>344</v>
      </c>
      <c r="B286" s="329">
        <v>32</v>
      </c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352">
        <v>0</v>
      </c>
      <c r="AA286" s="352">
        <f>SUMIFS([1]!Data_Loan[Value],[1]!Data_Loan[Index Loan],DTRVL!$B286,[1]!Data_Loan[TenCongTyID],DTRVL!$B$1,[1]!Data_Loan[Thang.Nam],DTRVL!AA$254)</f>
        <v>0</v>
      </c>
      <c r="AB286" s="352">
        <f>SUMIFS([1]!Data_Loan[Value],[1]!Data_Loan[Index Loan],DTRVL!$B286,[1]!Data_Loan[TenCongTyID],DTRVL!$B$1,[1]!Data_Loan[Thang.Nam],DTRVL!AB$254)</f>
        <v>0</v>
      </c>
      <c r="AC286" s="352">
        <f>SUMIFS([1]!Data_Loan[Value],[1]!Data_Loan[Index Loan],DTRVL!$B286,[1]!Data_Loan[TenCongTyID],DTRVL!$B$1,[1]!Data_Loan[Thang.Nam],DTRVL!AC$254)</f>
        <v>0</v>
      </c>
      <c r="AD286" s="352">
        <f>SUMIFS([1]!Data_Loan[Value],[1]!Data_Loan[Index Loan],DTRVL!$B286,[1]!Data_Loan[TenCongTyID],DTRVL!$B$1,[1]!Data_Loan[Thang.Nam],DTRVL!AD$254)</f>
        <v>0</v>
      </c>
      <c r="AE286" s="352">
        <f>SUMIFS([1]!Data_Loan[Value],[1]!Data_Loan[Index Loan],DTRVL!$B286,[1]!Data_Loan[TenCongTyID],DTRVL!$B$1,[1]!Data_Loan[Thang.Nam],DTRVL!AE$254)</f>
        <v>0</v>
      </c>
      <c r="AF286" s="352">
        <f>SUMIFS([1]!Data_Loan[Value],[1]!Data_Loan[Index Loan],DTRVL!$B286,[1]!Data_Loan[TenCongTyID],DTRVL!$B$1,[1]!Data_Loan[Thang.Nam],DTRVL!AF$254)</f>
        <v>0</v>
      </c>
      <c r="AG286" s="352">
        <f>SUMIFS([1]!Data_Loan[Value],[1]!Data_Loan[Index Loan],DTRVL!$B286,[1]!Data_Loan[TenCongTyID],DTRVL!$B$1,[1]!Data_Loan[Thang.Nam],DTRVL!AG$254)</f>
        <v>0</v>
      </c>
      <c r="AH286" s="352">
        <f>SUMIFS([1]!Data_Loan[Value],[1]!Data_Loan[Index Loan],DTRVL!$B286,[1]!Data_Loan[TenCongTyID],DTRVL!$B$1,[1]!Data_Loan[Thang.Nam],DTRVL!AH$254)</f>
        <v>0</v>
      </c>
      <c r="AI286" s="352">
        <f>SUMIFS([1]!Data_Loan[Value],[1]!Data_Loan[Index Loan],DTRVL!$B286,[1]!Data_Loan[TenCongTyID],DTRVL!$B$1,[1]!Data_Loan[Thang.Nam],DTRVL!AI$254)</f>
        <v>0</v>
      </c>
      <c r="AJ286" s="352">
        <f>SUMIFS([1]!Data_Loan[Value],[1]!Data_Loan[Index Loan],DTRVL!$B286,[1]!Data_Loan[TenCongTyID],DTRVL!$B$1,[1]!Data_Loan[Thang.Nam],DTRVL!AJ$254)</f>
        <v>0</v>
      </c>
      <c r="AK286" s="352">
        <f>SUMIFS([1]!Data_Loan[Value],[1]!Data_Loan[Index Loan],DTRVL!$B286,[1]!Data_Loan[TenCongTyID],DTRVL!$B$1,[1]!Data_Loan[Thang.Nam],DTRVL!AK$254)</f>
        <v>0</v>
      </c>
      <c r="AL286" s="352">
        <f>SUMIFS([1]!Data_Loan[Value],[1]!Data_Loan[Index Loan],DTRVL!$B286,[1]!Data_Loan[TenCongTyID],DTRVL!$B$1,[1]!Data_Loan[Thang.Nam],DTRVL!AL$254)</f>
        <v>0</v>
      </c>
    </row>
    <row r="287" spans="1:38" ht="15" customHeight="1">
      <c r="A287" s="200" t="str">
        <f>A269</f>
        <v>Standard Chartered</v>
      </c>
      <c r="B287" s="329">
        <v>33</v>
      </c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352">
        <v>0</v>
      </c>
      <c r="AA287" s="352">
        <f>SUMIFS([1]!Data_Loan[Value],[1]!Data_Loan[Index Loan],DTRVL!$B287,[1]!Data_Loan[TenCongTyID],DTRVL!$B$1,[1]!Data_Loan[Thang.Nam],DTRVL!AA$254)</f>
        <v>0</v>
      </c>
      <c r="AB287" s="352">
        <f>SUMIFS([1]!Data_Loan[Value],[1]!Data_Loan[Index Loan],DTRVL!$B287,[1]!Data_Loan[TenCongTyID],DTRVL!$B$1,[1]!Data_Loan[Thang.Nam],DTRVL!AB$254)</f>
        <v>0</v>
      </c>
      <c r="AC287" s="352">
        <f>SUMIFS([1]!Data_Loan[Value],[1]!Data_Loan[Index Loan],DTRVL!$B287,[1]!Data_Loan[TenCongTyID],DTRVL!$B$1,[1]!Data_Loan[Thang.Nam],DTRVL!AC$254)</f>
        <v>0</v>
      </c>
      <c r="AD287" s="352">
        <f>SUMIFS([1]!Data_Loan[Value],[1]!Data_Loan[Index Loan],DTRVL!$B287,[1]!Data_Loan[TenCongTyID],DTRVL!$B$1,[1]!Data_Loan[Thang.Nam],DTRVL!AD$254)</f>
        <v>0</v>
      </c>
      <c r="AE287" s="352">
        <f>SUMIFS([1]!Data_Loan[Value],[1]!Data_Loan[Index Loan],DTRVL!$B287,[1]!Data_Loan[TenCongTyID],DTRVL!$B$1,[1]!Data_Loan[Thang.Nam],DTRVL!AE$254)</f>
        <v>0</v>
      </c>
      <c r="AF287" s="352">
        <f>SUMIFS([1]!Data_Loan[Value],[1]!Data_Loan[Index Loan],DTRVL!$B287,[1]!Data_Loan[TenCongTyID],DTRVL!$B$1,[1]!Data_Loan[Thang.Nam],DTRVL!AF$254)</f>
        <v>0</v>
      </c>
      <c r="AG287" s="352">
        <f>SUMIFS([1]!Data_Loan[Value],[1]!Data_Loan[Index Loan],DTRVL!$B287,[1]!Data_Loan[TenCongTyID],DTRVL!$B$1,[1]!Data_Loan[Thang.Nam],DTRVL!AG$254)</f>
        <v>0</v>
      </c>
      <c r="AH287" s="352">
        <f>SUMIFS([1]!Data_Loan[Value],[1]!Data_Loan[Index Loan],DTRVL!$B287,[1]!Data_Loan[TenCongTyID],DTRVL!$B$1,[1]!Data_Loan[Thang.Nam],DTRVL!AH$254)</f>
        <v>0</v>
      </c>
      <c r="AI287" s="352">
        <f>SUMIFS([1]!Data_Loan[Value],[1]!Data_Loan[Index Loan],DTRVL!$B287,[1]!Data_Loan[TenCongTyID],DTRVL!$B$1,[1]!Data_Loan[Thang.Nam],DTRVL!AI$254)</f>
        <v>0</v>
      </c>
      <c r="AJ287" s="352">
        <f>SUMIFS([1]!Data_Loan[Value],[1]!Data_Loan[Index Loan],DTRVL!$B287,[1]!Data_Loan[TenCongTyID],DTRVL!$B$1,[1]!Data_Loan[Thang.Nam],DTRVL!AJ$254)</f>
        <v>0</v>
      </c>
      <c r="AK287" s="352">
        <f>SUMIFS([1]!Data_Loan[Value],[1]!Data_Loan[Index Loan],DTRVL!$B287,[1]!Data_Loan[TenCongTyID],DTRVL!$B$1,[1]!Data_Loan[Thang.Nam],DTRVL!AK$254)</f>
        <v>0</v>
      </c>
      <c r="AL287" s="352">
        <f>SUMIFS([1]!Data_Loan[Value],[1]!Data_Loan[Index Loan],DTRVL!$B287,[1]!Data_Loan[TenCongTyID],DTRVL!$B$1,[1]!Data_Loan[Thang.Nam],DTRVL!AL$254)</f>
        <v>0</v>
      </c>
    </row>
    <row r="288" spans="1:38" ht="15" customHeight="1">
      <c r="A288" s="200" t="s">
        <v>346</v>
      </c>
      <c r="B288" s="329">
        <v>34</v>
      </c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352">
        <v>0</v>
      </c>
      <c r="AA288" s="352">
        <f>SUMIFS([1]!Data_Loan[Value],[1]!Data_Loan[Index Loan],DTRVL!$B288,[1]!Data_Loan[TenCongTyID],DTRVL!$B$1,[1]!Data_Loan[Thang.Nam],DTRVL!AA$254)</f>
        <v>0</v>
      </c>
      <c r="AB288" s="352">
        <f>SUMIFS([1]!Data_Loan[Value],[1]!Data_Loan[Index Loan],DTRVL!$B288,[1]!Data_Loan[TenCongTyID],DTRVL!$B$1,[1]!Data_Loan[Thang.Nam],DTRVL!AB$254)</f>
        <v>0</v>
      </c>
      <c r="AC288" s="352">
        <f>SUMIFS([1]!Data_Loan[Value],[1]!Data_Loan[Index Loan],DTRVL!$B288,[1]!Data_Loan[TenCongTyID],DTRVL!$B$1,[1]!Data_Loan[Thang.Nam],DTRVL!AC$254)</f>
        <v>0</v>
      </c>
      <c r="AD288" s="352">
        <f>SUMIFS([1]!Data_Loan[Value],[1]!Data_Loan[Index Loan],DTRVL!$B288,[1]!Data_Loan[TenCongTyID],DTRVL!$B$1,[1]!Data_Loan[Thang.Nam],DTRVL!AD$254)</f>
        <v>0</v>
      </c>
      <c r="AE288" s="352">
        <f>SUMIFS([1]!Data_Loan[Value],[1]!Data_Loan[Index Loan],DTRVL!$B288,[1]!Data_Loan[TenCongTyID],DTRVL!$B$1,[1]!Data_Loan[Thang.Nam],DTRVL!AE$254)</f>
        <v>0</v>
      </c>
      <c r="AF288" s="352">
        <f>SUMIFS([1]!Data_Loan[Value],[1]!Data_Loan[Index Loan],DTRVL!$B288,[1]!Data_Loan[TenCongTyID],DTRVL!$B$1,[1]!Data_Loan[Thang.Nam],DTRVL!AF$254)</f>
        <v>0</v>
      </c>
      <c r="AG288" s="352">
        <f>SUMIFS([1]!Data_Loan[Value],[1]!Data_Loan[Index Loan],DTRVL!$B288,[1]!Data_Loan[TenCongTyID],DTRVL!$B$1,[1]!Data_Loan[Thang.Nam],DTRVL!AG$254)</f>
        <v>0</v>
      </c>
      <c r="AH288" s="352">
        <f>SUMIFS([1]!Data_Loan[Value],[1]!Data_Loan[Index Loan],DTRVL!$B288,[1]!Data_Loan[TenCongTyID],DTRVL!$B$1,[1]!Data_Loan[Thang.Nam],DTRVL!AH$254)</f>
        <v>0</v>
      </c>
      <c r="AI288" s="352">
        <f>SUMIFS([1]!Data_Loan[Value],[1]!Data_Loan[Index Loan],DTRVL!$B288,[1]!Data_Loan[TenCongTyID],DTRVL!$B$1,[1]!Data_Loan[Thang.Nam],DTRVL!AI$254)</f>
        <v>0</v>
      </c>
      <c r="AJ288" s="352">
        <f>SUMIFS([1]!Data_Loan[Value],[1]!Data_Loan[Index Loan],DTRVL!$B288,[1]!Data_Loan[TenCongTyID],DTRVL!$B$1,[1]!Data_Loan[Thang.Nam],DTRVL!AJ$254)</f>
        <v>0</v>
      </c>
      <c r="AK288" s="352">
        <f>SUMIFS([1]!Data_Loan[Value],[1]!Data_Loan[Index Loan],DTRVL!$B288,[1]!Data_Loan[TenCongTyID],DTRVL!$B$1,[1]!Data_Loan[Thang.Nam],DTRVL!AK$254)</f>
        <v>0</v>
      </c>
      <c r="AL288" s="352">
        <f>SUMIFS([1]!Data_Loan[Value],[1]!Data_Loan[Index Loan],DTRVL!$B288,[1]!Data_Loan[TenCongTyID],DTRVL!$B$1,[1]!Data_Loan[Thang.Nam],DTRVL!AL$254)</f>
        <v>0</v>
      </c>
    </row>
    <row r="289" spans="1:38" ht="15" customHeight="1">
      <c r="A289" s="200" t="s">
        <v>347</v>
      </c>
      <c r="B289" s="329">
        <v>35</v>
      </c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352">
        <v>0</v>
      </c>
      <c r="AA289" s="352">
        <f>SUMIFS([1]!Data_Loan[Value],[1]!Data_Loan[Index Loan],DTRVL!$B289,[1]!Data_Loan[TenCongTyID],DTRVL!$B$1,[1]!Data_Loan[Thang.Nam],DTRVL!AA$254)</f>
        <v>0</v>
      </c>
      <c r="AB289" s="352">
        <f>SUMIFS([1]!Data_Loan[Value],[1]!Data_Loan[Index Loan],DTRVL!$B289,[1]!Data_Loan[TenCongTyID],DTRVL!$B$1,[1]!Data_Loan[Thang.Nam],DTRVL!AB$254)</f>
        <v>0</v>
      </c>
      <c r="AC289" s="352">
        <f>SUMIFS([1]!Data_Loan[Value],[1]!Data_Loan[Index Loan],DTRVL!$B289,[1]!Data_Loan[TenCongTyID],DTRVL!$B$1,[1]!Data_Loan[Thang.Nam],DTRVL!AC$254)</f>
        <v>0</v>
      </c>
      <c r="AD289" s="352">
        <f>SUMIFS([1]!Data_Loan[Value],[1]!Data_Loan[Index Loan],DTRVL!$B289,[1]!Data_Loan[TenCongTyID],DTRVL!$B$1,[1]!Data_Loan[Thang.Nam],DTRVL!AD$254)</f>
        <v>0</v>
      </c>
      <c r="AE289" s="352">
        <f>SUMIFS([1]!Data_Loan[Value],[1]!Data_Loan[Index Loan],DTRVL!$B289,[1]!Data_Loan[TenCongTyID],DTRVL!$B$1,[1]!Data_Loan[Thang.Nam],DTRVL!AE$254)</f>
        <v>0</v>
      </c>
      <c r="AF289" s="352">
        <f>SUMIFS([1]!Data_Loan[Value],[1]!Data_Loan[Index Loan],DTRVL!$B289,[1]!Data_Loan[TenCongTyID],DTRVL!$B$1,[1]!Data_Loan[Thang.Nam],DTRVL!AF$254)</f>
        <v>0</v>
      </c>
      <c r="AG289" s="352">
        <f>SUMIFS([1]!Data_Loan[Value],[1]!Data_Loan[Index Loan],DTRVL!$B289,[1]!Data_Loan[TenCongTyID],DTRVL!$B$1,[1]!Data_Loan[Thang.Nam],DTRVL!AG$254)</f>
        <v>0</v>
      </c>
      <c r="AH289" s="352">
        <f>SUMIFS([1]!Data_Loan[Value],[1]!Data_Loan[Index Loan],DTRVL!$B289,[1]!Data_Loan[TenCongTyID],DTRVL!$B$1,[1]!Data_Loan[Thang.Nam],DTRVL!AH$254)</f>
        <v>0</v>
      </c>
      <c r="AI289" s="352">
        <f>SUMIFS([1]!Data_Loan[Value],[1]!Data_Loan[Index Loan],DTRVL!$B289,[1]!Data_Loan[TenCongTyID],DTRVL!$B$1,[1]!Data_Loan[Thang.Nam],DTRVL!AI$254)</f>
        <v>0</v>
      </c>
      <c r="AJ289" s="352">
        <f>SUMIFS([1]!Data_Loan[Value],[1]!Data_Loan[Index Loan],DTRVL!$B289,[1]!Data_Loan[TenCongTyID],DTRVL!$B$1,[1]!Data_Loan[Thang.Nam],DTRVL!AJ$254)</f>
        <v>0</v>
      </c>
      <c r="AK289" s="352">
        <f>SUMIFS([1]!Data_Loan[Value],[1]!Data_Loan[Index Loan],DTRVL!$B289,[1]!Data_Loan[TenCongTyID],DTRVL!$B$1,[1]!Data_Loan[Thang.Nam],DTRVL!AK$254)</f>
        <v>0</v>
      </c>
      <c r="AL289" s="352">
        <f>SUMIFS([1]!Data_Loan[Value],[1]!Data_Loan[Index Loan],DTRVL!$B289,[1]!Data_Loan[TenCongTyID],DTRVL!$B$1,[1]!Data_Loan[Thang.Nam],DTRVL!AL$254)</f>
        <v>0</v>
      </c>
    </row>
    <row r="290" spans="1:38" ht="15" customHeight="1">
      <c r="B290" s="329">
        <v>36</v>
      </c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352">
        <v>0</v>
      </c>
      <c r="AA290" s="352">
        <f>SUMIFS([1]!Data_Loan[Value],[1]!Data_Loan[Index Loan],DTRVL!$B290,[1]!Data_Loan[TenCongTyID],DTRVL!$B$1,[1]!Data_Loan[Thang.Nam],DTRVL!AA$254)</f>
        <v>0</v>
      </c>
      <c r="AB290" s="352">
        <f>SUMIFS([1]!Data_Loan[Value],[1]!Data_Loan[Index Loan],DTRVL!$B290,[1]!Data_Loan[TenCongTyID],DTRVL!$B$1,[1]!Data_Loan[Thang.Nam],DTRVL!AB$254)</f>
        <v>0</v>
      </c>
      <c r="AC290" s="352">
        <f>SUMIFS([1]!Data_Loan[Value],[1]!Data_Loan[Index Loan],DTRVL!$B290,[1]!Data_Loan[TenCongTyID],DTRVL!$B$1,[1]!Data_Loan[Thang.Nam],DTRVL!AC$254)</f>
        <v>0</v>
      </c>
      <c r="AD290" s="352">
        <f>SUMIFS([1]!Data_Loan[Value],[1]!Data_Loan[Index Loan],DTRVL!$B290,[1]!Data_Loan[TenCongTyID],DTRVL!$B$1,[1]!Data_Loan[Thang.Nam],DTRVL!AD$254)</f>
        <v>0</v>
      </c>
      <c r="AE290" s="352">
        <f>SUMIFS([1]!Data_Loan[Value],[1]!Data_Loan[Index Loan],DTRVL!$B290,[1]!Data_Loan[TenCongTyID],DTRVL!$B$1,[1]!Data_Loan[Thang.Nam],DTRVL!AE$254)</f>
        <v>0</v>
      </c>
      <c r="AF290" s="352">
        <f>SUMIFS([1]!Data_Loan[Value],[1]!Data_Loan[Index Loan],DTRVL!$B290,[1]!Data_Loan[TenCongTyID],DTRVL!$B$1,[1]!Data_Loan[Thang.Nam],DTRVL!AF$254)</f>
        <v>0</v>
      </c>
      <c r="AG290" s="352">
        <f>SUMIFS([1]!Data_Loan[Value],[1]!Data_Loan[Index Loan],DTRVL!$B290,[1]!Data_Loan[TenCongTyID],DTRVL!$B$1,[1]!Data_Loan[Thang.Nam],DTRVL!AG$254)</f>
        <v>0</v>
      </c>
      <c r="AH290" s="352">
        <f>SUMIFS([1]!Data_Loan[Value],[1]!Data_Loan[Index Loan],DTRVL!$B290,[1]!Data_Loan[TenCongTyID],DTRVL!$B$1,[1]!Data_Loan[Thang.Nam],DTRVL!AH$254)</f>
        <v>0</v>
      </c>
      <c r="AI290" s="352">
        <f>SUMIFS([1]!Data_Loan[Value],[1]!Data_Loan[Index Loan],DTRVL!$B290,[1]!Data_Loan[TenCongTyID],DTRVL!$B$1,[1]!Data_Loan[Thang.Nam],DTRVL!AI$254)</f>
        <v>0</v>
      </c>
      <c r="AJ290" s="352">
        <f>SUMIFS([1]!Data_Loan[Value],[1]!Data_Loan[Index Loan],DTRVL!$B290,[1]!Data_Loan[TenCongTyID],DTRVL!$B$1,[1]!Data_Loan[Thang.Nam],DTRVL!AJ$254)</f>
        <v>0</v>
      </c>
      <c r="AK290" s="352">
        <f>SUMIFS([1]!Data_Loan[Value],[1]!Data_Loan[Index Loan],DTRVL!$B290,[1]!Data_Loan[TenCongTyID],DTRVL!$B$1,[1]!Data_Loan[Thang.Nam],DTRVL!AK$254)</f>
        <v>0</v>
      </c>
      <c r="AL290" s="352">
        <f>SUMIFS([1]!Data_Loan[Value],[1]!Data_Loan[Index Loan],DTRVL!$B290,[1]!Data_Loan[TenCongTyID],DTRVL!$B$1,[1]!Data_Loan[Thang.Nam],DTRVL!AL$254)</f>
        <v>0</v>
      </c>
    </row>
    <row r="291" spans="1:38" ht="15" customHeight="1">
      <c r="A291" s="202" t="s">
        <v>350</v>
      </c>
      <c r="B291" s="330">
        <v>37</v>
      </c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352">
        <v>0</v>
      </c>
      <c r="AA291" s="352">
        <f>SUMIFS([1]!Data_Loan[Value],[1]!Data_Loan[Index Loan],DTRVL!$B291,[1]!Data_Loan[TenCongTyID],DTRVL!$B$1,[1]!Data_Loan[Thang.Nam],DTRVL!AA$254)</f>
        <v>0</v>
      </c>
      <c r="AB291" s="352">
        <f>SUMIFS([1]!Data_Loan[Value],[1]!Data_Loan[Index Loan],DTRVL!$B291,[1]!Data_Loan[TenCongTyID],DTRVL!$B$1,[1]!Data_Loan[Thang.Nam],DTRVL!AB$254)</f>
        <v>0</v>
      </c>
      <c r="AC291" s="352">
        <f>SUMIFS([1]!Data_Loan[Value],[1]!Data_Loan[Index Loan],DTRVL!$B291,[1]!Data_Loan[TenCongTyID],DTRVL!$B$1,[1]!Data_Loan[Thang.Nam],DTRVL!AC$254)</f>
        <v>0</v>
      </c>
      <c r="AD291" s="352">
        <f>SUMIFS([1]!Data_Loan[Value],[1]!Data_Loan[Index Loan],DTRVL!$B291,[1]!Data_Loan[TenCongTyID],DTRVL!$B$1,[1]!Data_Loan[Thang.Nam],DTRVL!AD$254)</f>
        <v>0</v>
      </c>
      <c r="AE291" s="352">
        <f>SUMIFS([1]!Data_Loan[Value],[1]!Data_Loan[Index Loan],DTRVL!$B291,[1]!Data_Loan[TenCongTyID],DTRVL!$B$1,[1]!Data_Loan[Thang.Nam],DTRVL!AE$254)</f>
        <v>0</v>
      </c>
      <c r="AF291" s="352">
        <f>SUMIFS([1]!Data_Loan[Value],[1]!Data_Loan[Index Loan],DTRVL!$B291,[1]!Data_Loan[TenCongTyID],DTRVL!$B$1,[1]!Data_Loan[Thang.Nam],DTRVL!AF$254)</f>
        <v>0</v>
      </c>
      <c r="AG291" s="352">
        <f>SUMIFS([1]!Data_Loan[Value],[1]!Data_Loan[Index Loan],DTRVL!$B291,[1]!Data_Loan[TenCongTyID],DTRVL!$B$1,[1]!Data_Loan[Thang.Nam],DTRVL!AG$254)</f>
        <v>0</v>
      </c>
      <c r="AH291" s="352">
        <f>SUMIFS([1]!Data_Loan[Value],[1]!Data_Loan[Index Loan],DTRVL!$B291,[1]!Data_Loan[TenCongTyID],DTRVL!$B$1,[1]!Data_Loan[Thang.Nam],DTRVL!AH$254)</f>
        <v>0</v>
      </c>
      <c r="AI291" s="352">
        <f>SUMIFS([1]!Data_Loan[Value],[1]!Data_Loan[Index Loan],DTRVL!$B291,[1]!Data_Loan[TenCongTyID],DTRVL!$B$1,[1]!Data_Loan[Thang.Nam],DTRVL!AI$254)</f>
        <v>0</v>
      </c>
      <c r="AJ291" s="352">
        <f>SUMIFS([1]!Data_Loan[Value],[1]!Data_Loan[Index Loan],DTRVL!$B291,[1]!Data_Loan[TenCongTyID],DTRVL!$B$1,[1]!Data_Loan[Thang.Nam],DTRVL!AJ$254)</f>
        <v>0</v>
      </c>
      <c r="AK291" s="352">
        <f>SUMIFS([1]!Data_Loan[Value],[1]!Data_Loan[Index Loan],DTRVL!$B291,[1]!Data_Loan[TenCongTyID],DTRVL!$B$1,[1]!Data_Loan[Thang.Nam],DTRVL!AK$254)</f>
        <v>0</v>
      </c>
      <c r="AL291" s="352">
        <f>SUMIFS([1]!Data_Loan[Value],[1]!Data_Loan[Index Loan],DTRVL!$B291,[1]!Data_Loan[TenCongTyID],DTRVL!$B$1,[1]!Data_Loan[Thang.Nam],DTRVL!AL$254)</f>
        <v>0</v>
      </c>
    </row>
    <row r="292" spans="1:38" ht="15" customHeight="1">
      <c r="A292" s="200" t="str">
        <f>A283</f>
        <v>ACB</v>
      </c>
      <c r="B292" s="329">
        <v>38</v>
      </c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352">
        <v>0</v>
      </c>
      <c r="AA292" s="352">
        <f>SUMIFS([1]!Data_Loan[Value],[1]!Data_Loan[Index Loan],DTRVL!$B292,[1]!Data_Loan[TenCongTyID],DTRVL!$B$1,[1]!Data_Loan[Thang.Nam],DTRVL!AA$254)</f>
        <v>0</v>
      </c>
      <c r="AB292" s="352">
        <f>SUMIFS([1]!Data_Loan[Value],[1]!Data_Loan[Index Loan],DTRVL!$B292,[1]!Data_Loan[TenCongTyID],DTRVL!$B$1,[1]!Data_Loan[Thang.Nam],DTRVL!AB$254)</f>
        <v>0</v>
      </c>
      <c r="AC292" s="352">
        <f>SUMIFS([1]!Data_Loan[Value],[1]!Data_Loan[Index Loan],DTRVL!$B292,[1]!Data_Loan[TenCongTyID],DTRVL!$B$1,[1]!Data_Loan[Thang.Nam],DTRVL!AC$254)</f>
        <v>0</v>
      </c>
      <c r="AD292" s="352">
        <f>SUMIFS([1]!Data_Loan[Value],[1]!Data_Loan[Index Loan],DTRVL!$B292,[1]!Data_Loan[TenCongTyID],DTRVL!$B$1,[1]!Data_Loan[Thang.Nam],DTRVL!AD$254)</f>
        <v>0</v>
      </c>
      <c r="AE292" s="352">
        <f>SUMIFS([1]!Data_Loan[Value],[1]!Data_Loan[Index Loan],DTRVL!$B292,[1]!Data_Loan[TenCongTyID],DTRVL!$B$1,[1]!Data_Loan[Thang.Nam],DTRVL!AE$254)</f>
        <v>0</v>
      </c>
      <c r="AF292" s="352">
        <f>SUMIFS([1]!Data_Loan[Value],[1]!Data_Loan[Index Loan],DTRVL!$B292,[1]!Data_Loan[TenCongTyID],DTRVL!$B$1,[1]!Data_Loan[Thang.Nam],DTRVL!AF$254)</f>
        <v>0</v>
      </c>
      <c r="AG292" s="352">
        <f>SUMIFS([1]!Data_Loan[Value],[1]!Data_Loan[Index Loan],DTRVL!$B292,[1]!Data_Loan[TenCongTyID],DTRVL!$B$1,[1]!Data_Loan[Thang.Nam],DTRVL!AG$254)</f>
        <v>0</v>
      </c>
      <c r="AH292" s="352">
        <f>SUMIFS([1]!Data_Loan[Value],[1]!Data_Loan[Index Loan],DTRVL!$B292,[1]!Data_Loan[TenCongTyID],DTRVL!$B$1,[1]!Data_Loan[Thang.Nam],DTRVL!AH$254)</f>
        <v>0</v>
      </c>
      <c r="AI292" s="352">
        <f>SUMIFS([1]!Data_Loan[Value],[1]!Data_Loan[Index Loan],DTRVL!$B292,[1]!Data_Loan[TenCongTyID],DTRVL!$B$1,[1]!Data_Loan[Thang.Nam],DTRVL!AI$254)</f>
        <v>0</v>
      </c>
      <c r="AJ292" s="352">
        <f>SUMIFS([1]!Data_Loan[Value],[1]!Data_Loan[Index Loan],DTRVL!$B292,[1]!Data_Loan[TenCongTyID],DTRVL!$B$1,[1]!Data_Loan[Thang.Nam],DTRVL!AJ$254)</f>
        <v>0</v>
      </c>
      <c r="AK292" s="352">
        <f>SUMIFS([1]!Data_Loan[Value],[1]!Data_Loan[Index Loan],DTRVL!$B292,[1]!Data_Loan[TenCongTyID],DTRVL!$B$1,[1]!Data_Loan[Thang.Nam],DTRVL!AK$254)</f>
        <v>0</v>
      </c>
      <c r="AL292" s="352">
        <f>SUMIFS([1]!Data_Loan[Value],[1]!Data_Loan[Index Loan],DTRVL!$B292,[1]!Data_Loan[TenCongTyID],DTRVL!$B$1,[1]!Data_Loan[Thang.Nam],DTRVL!AL$254)</f>
        <v>0</v>
      </c>
    </row>
    <row r="293" spans="1:38" ht="15" customHeight="1">
      <c r="A293" s="200" t="str">
        <f t="shared" ref="A293:A299" si="61">A284</f>
        <v>VietinBank</v>
      </c>
      <c r="B293" s="329">
        <v>39</v>
      </c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352">
        <v>0</v>
      </c>
      <c r="AA293" s="352">
        <f>SUMIFS([1]!Data_Loan[Value],[1]!Data_Loan[Index Loan],DTRVL!$B293,[1]!Data_Loan[TenCongTyID],DTRVL!$B$1,[1]!Data_Loan[Thang.Nam],DTRVL!AA$254)</f>
        <v>0</v>
      </c>
      <c r="AB293" s="352">
        <f>SUMIFS([1]!Data_Loan[Value],[1]!Data_Loan[Index Loan],DTRVL!$B293,[1]!Data_Loan[TenCongTyID],DTRVL!$B$1,[1]!Data_Loan[Thang.Nam],DTRVL!AB$254)</f>
        <v>0</v>
      </c>
      <c r="AC293" s="352">
        <f>SUMIFS([1]!Data_Loan[Value],[1]!Data_Loan[Index Loan],DTRVL!$B293,[1]!Data_Loan[TenCongTyID],DTRVL!$B$1,[1]!Data_Loan[Thang.Nam],DTRVL!AC$254)</f>
        <v>0</v>
      </c>
      <c r="AD293" s="352">
        <f>SUMIFS([1]!Data_Loan[Value],[1]!Data_Loan[Index Loan],DTRVL!$B293,[1]!Data_Loan[TenCongTyID],DTRVL!$B$1,[1]!Data_Loan[Thang.Nam],DTRVL!AD$254)</f>
        <v>0</v>
      </c>
      <c r="AE293" s="352">
        <f>SUMIFS([1]!Data_Loan[Value],[1]!Data_Loan[Index Loan],DTRVL!$B293,[1]!Data_Loan[TenCongTyID],DTRVL!$B$1,[1]!Data_Loan[Thang.Nam],DTRVL!AE$254)</f>
        <v>0</v>
      </c>
      <c r="AF293" s="352">
        <f>SUMIFS([1]!Data_Loan[Value],[1]!Data_Loan[Index Loan],DTRVL!$B293,[1]!Data_Loan[TenCongTyID],DTRVL!$B$1,[1]!Data_Loan[Thang.Nam],DTRVL!AF$254)</f>
        <v>0</v>
      </c>
      <c r="AG293" s="352">
        <f>SUMIFS([1]!Data_Loan[Value],[1]!Data_Loan[Index Loan],DTRVL!$B293,[1]!Data_Loan[TenCongTyID],DTRVL!$B$1,[1]!Data_Loan[Thang.Nam],DTRVL!AG$254)</f>
        <v>0</v>
      </c>
      <c r="AH293" s="352">
        <f>SUMIFS([1]!Data_Loan[Value],[1]!Data_Loan[Index Loan],DTRVL!$B293,[1]!Data_Loan[TenCongTyID],DTRVL!$B$1,[1]!Data_Loan[Thang.Nam],DTRVL!AH$254)</f>
        <v>0</v>
      </c>
      <c r="AI293" s="352">
        <f>SUMIFS([1]!Data_Loan[Value],[1]!Data_Loan[Index Loan],DTRVL!$B293,[1]!Data_Loan[TenCongTyID],DTRVL!$B$1,[1]!Data_Loan[Thang.Nam],DTRVL!AI$254)</f>
        <v>0</v>
      </c>
      <c r="AJ293" s="352">
        <f>SUMIFS([1]!Data_Loan[Value],[1]!Data_Loan[Index Loan],DTRVL!$B293,[1]!Data_Loan[TenCongTyID],DTRVL!$B$1,[1]!Data_Loan[Thang.Nam],DTRVL!AJ$254)</f>
        <v>0</v>
      </c>
      <c r="AK293" s="352">
        <f>SUMIFS([1]!Data_Loan[Value],[1]!Data_Loan[Index Loan],DTRVL!$B293,[1]!Data_Loan[TenCongTyID],DTRVL!$B$1,[1]!Data_Loan[Thang.Nam],DTRVL!AK$254)</f>
        <v>0</v>
      </c>
      <c r="AL293" s="352">
        <f>SUMIFS([1]!Data_Loan[Value],[1]!Data_Loan[Index Loan],DTRVL!$B293,[1]!Data_Loan[TenCongTyID],DTRVL!$B$1,[1]!Data_Loan[Thang.Nam],DTRVL!AL$254)</f>
        <v>0</v>
      </c>
    </row>
    <row r="294" spans="1:38" ht="15" customHeight="1">
      <c r="A294" s="200" t="str">
        <f t="shared" si="61"/>
        <v>Vietcombank</v>
      </c>
      <c r="B294" s="329">
        <v>40</v>
      </c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352">
        <v>0</v>
      </c>
      <c r="AA294" s="352">
        <f>SUMIFS([1]!Data_Loan[Value],[1]!Data_Loan[Index Loan],DTRVL!$B294,[1]!Data_Loan[TenCongTyID],DTRVL!$B$1,[1]!Data_Loan[Thang.Nam],DTRVL!AA$254)</f>
        <v>0</v>
      </c>
      <c r="AB294" s="352">
        <f>SUMIFS([1]!Data_Loan[Value],[1]!Data_Loan[Index Loan],DTRVL!$B294,[1]!Data_Loan[TenCongTyID],DTRVL!$B$1,[1]!Data_Loan[Thang.Nam],DTRVL!AB$254)</f>
        <v>0</v>
      </c>
      <c r="AC294" s="352">
        <f>SUMIFS([1]!Data_Loan[Value],[1]!Data_Loan[Index Loan],DTRVL!$B294,[1]!Data_Loan[TenCongTyID],DTRVL!$B$1,[1]!Data_Loan[Thang.Nam],DTRVL!AC$254)</f>
        <v>0</v>
      </c>
      <c r="AD294" s="352">
        <f>SUMIFS([1]!Data_Loan[Value],[1]!Data_Loan[Index Loan],DTRVL!$B294,[1]!Data_Loan[TenCongTyID],DTRVL!$B$1,[1]!Data_Loan[Thang.Nam],DTRVL!AD$254)</f>
        <v>0</v>
      </c>
      <c r="AE294" s="352">
        <f>SUMIFS([1]!Data_Loan[Value],[1]!Data_Loan[Index Loan],DTRVL!$B294,[1]!Data_Loan[TenCongTyID],DTRVL!$B$1,[1]!Data_Loan[Thang.Nam],DTRVL!AE$254)</f>
        <v>0</v>
      </c>
      <c r="AF294" s="352">
        <f>SUMIFS([1]!Data_Loan[Value],[1]!Data_Loan[Index Loan],DTRVL!$B294,[1]!Data_Loan[TenCongTyID],DTRVL!$B$1,[1]!Data_Loan[Thang.Nam],DTRVL!AF$254)</f>
        <v>0</v>
      </c>
      <c r="AG294" s="352">
        <f>SUMIFS([1]!Data_Loan[Value],[1]!Data_Loan[Index Loan],DTRVL!$B294,[1]!Data_Loan[TenCongTyID],DTRVL!$B$1,[1]!Data_Loan[Thang.Nam],DTRVL!AG$254)</f>
        <v>0</v>
      </c>
      <c r="AH294" s="352">
        <f>SUMIFS([1]!Data_Loan[Value],[1]!Data_Loan[Index Loan],DTRVL!$B294,[1]!Data_Loan[TenCongTyID],DTRVL!$B$1,[1]!Data_Loan[Thang.Nam],DTRVL!AH$254)</f>
        <v>0</v>
      </c>
      <c r="AI294" s="352">
        <f>SUMIFS([1]!Data_Loan[Value],[1]!Data_Loan[Index Loan],DTRVL!$B294,[1]!Data_Loan[TenCongTyID],DTRVL!$B$1,[1]!Data_Loan[Thang.Nam],DTRVL!AI$254)</f>
        <v>0</v>
      </c>
      <c r="AJ294" s="352">
        <f>SUMIFS([1]!Data_Loan[Value],[1]!Data_Loan[Index Loan],DTRVL!$B294,[1]!Data_Loan[TenCongTyID],DTRVL!$B$1,[1]!Data_Loan[Thang.Nam],DTRVL!AJ$254)</f>
        <v>0</v>
      </c>
      <c r="AK294" s="352">
        <f>SUMIFS([1]!Data_Loan[Value],[1]!Data_Loan[Index Loan],DTRVL!$B294,[1]!Data_Loan[TenCongTyID],DTRVL!$B$1,[1]!Data_Loan[Thang.Nam],DTRVL!AK$254)</f>
        <v>0</v>
      </c>
      <c r="AL294" s="352">
        <f>SUMIFS([1]!Data_Loan[Value],[1]!Data_Loan[Index Loan],DTRVL!$B294,[1]!Data_Loan[TenCongTyID],DTRVL!$B$1,[1]!Data_Loan[Thang.Nam],DTRVL!AL$254)</f>
        <v>0</v>
      </c>
    </row>
    <row r="295" spans="1:38" ht="15" customHeight="1">
      <c r="A295" s="200" t="str">
        <f t="shared" si="61"/>
        <v>BIDV</v>
      </c>
      <c r="B295" s="329">
        <v>41</v>
      </c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352">
        <v>0</v>
      </c>
      <c r="AA295" s="352">
        <f>SUMIFS([1]!Data_Loan[Value],[1]!Data_Loan[Index Loan],DTRVL!$B295,[1]!Data_Loan[TenCongTyID],DTRVL!$B$1,[1]!Data_Loan[Thang.Nam],DTRVL!AA$254)</f>
        <v>0</v>
      </c>
      <c r="AB295" s="352">
        <f>SUMIFS([1]!Data_Loan[Value],[1]!Data_Loan[Index Loan],DTRVL!$B295,[1]!Data_Loan[TenCongTyID],DTRVL!$B$1,[1]!Data_Loan[Thang.Nam],DTRVL!AB$254)</f>
        <v>0</v>
      </c>
      <c r="AC295" s="352">
        <f>SUMIFS([1]!Data_Loan[Value],[1]!Data_Loan[Index Loan],DTRVL!$B295,[1]!Data_Loan[TenCongTyID],DTRVL!$B$1,[1]!Data_Loan[Thang.Nam],DTRVL!AC$254)</f>
        <v>0</v>
      </c>
      <c r="AD295" s="352">
        <f>SUMIFS([1]!Data_Loan[Value],[1]!Data_Loan[Index Loan],DTRVL!$B295,[1]!Data_Loan[TenCongTyID],DTRVL!$B$1,[1]!Data_Loan[Thang.Nam],DTRVL!AD$254)</f>
        <v>0</v>
      </c>
      <c r="AE295" s="352">
        <f>SUMIFS([1]!Data_Loan[Value],[1]!Data_Loan[Index Loan],DTRVL!$B295,[1]!Data_Loan[TenCongTyID],DTRVL!$B$1,[1]!Data_Loan[Thang.Nam],DTRVL!AE$254)</f>
        <v>0</v>
      </c>
      <c r="AF295" s="352">
        <f>SUMIFS([1]!Data_Loan[Value],[1]!Data_Loan[Index Loan],DTRVL!$B295,[1]!Data_Loan[TenCongTyID],DTRVL!$B$1,[1]!Data_Loan[Thang.Nam],DTRVL!AF$254)</f>
        <v>0</v>
      </c>
      <c r="AG295" s="352">
        <f>SUMIFS([1]!Data_Loan[Value],[1]!Data_Loan[Index Loan],DTRVL!$B295,[1]!Data_Loan[TenCongTyID],DTRVL!$B$1,[1]!Data_Loan[Thang.Nam],DTRVL!AG$254)</f>
        <v>0</v>
      </c>
      <c r="AH295" s="352">
        <f>SUMIFS([1]!Data_Loan[Value],[1]!Data_Loan[Index Loan],DTRVL!$B295,[1]!Data_Loan[TenCongTyID],DTRVL!$B$1,[1]!Data_Loan[Thang.Nam],DTRVL!AH$254)</f>
        <v>0</v>
      </c>
      <c r="AI295" s="352">
        <f>SUMIFS([1]!Data_Loan[Value],[1]!Data_Loan[Index Loan],DTRVL!$B295,[1]!Data_Loan[TenCongTyID],DTRVL!$B$1,[1]!Data_Loan[Thang.Nam],DTRVL!AI$254)</f>
        <v>0</v>
      </c>
      <c r="AJ295" s="352">
        <f>SUMIFS([1]!Data_Loan[Value],[1]!Data_Loan[Index Loan],DTRVL!$B295,[1]!Data_Loan[TenCongTyID],DTRVL!$B$1,[1]!Data_Loan[Thang.Nam],DTRVL!AJ$254)</f>
        <v>0</v>
      </c>
      <c r="AK295" s="352">
        <f>SUMIFS([1]!Data_Loan[Value],[1]!Data_Loan[Index Loan],DTRVL!$B295,[1]!Data_Loan[TenCongTyID],DTRVL!$B$1,[1]!Data_Loan[Thang.Nam],DTRVL!AK$254)</f>
        <v>0</v>
      </c>
      <c r="AL295" s="352">
        <f>SUMIFS([1]!Data_Loan[Value],[1]!Data_Loan[Index Loan],DTRVL!$B295,[1]!Data_Loan[TenCongTyID],DTRVL!$B$1,[1]!Data_Loan[Thang.Nam],DTRVL!AL$254)</f>
        <v>0</v>
      </c>
    </row>
    <row r="296" spans="1:38" ht="15" customHeight="1">
      <c r="A296" s="200" t="str">
        <f t="shared" si="61"/>
        <v>Standard Chartered</v>
      </c>
      <c r="B296" s="329">
        <v>42</v>
      </c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352">
        <v>0</v>
      </c>
      <c r="AA296" s="352">
        <f>SUMIFS([1]!Data_Loan[Value],[1]!Data_Loan[Index Loan],DTRVL!$B296,[1]!Data_Loan[TenCongTyID],DTRVL!$B$1,[1]!Data_Loan[Thang.Nam],DTRVL!AA$254)</f>
        <v>0</v>
      </c>
      <c r="AB296" s="352">
        <f>SUMIFS([1]!Data_Loan[Value],[1]!Data_Loan[Index Loan],DTRVL!$B296,[1]!Data_Loan[TenCongTyID],DTRVL!$B$1,[1]!Data_Loan[Thang.Nam],DTRVL!AB$254)</f>
        <v>0</v>
      </c>
      <c r="AC296" s="352">
        <f>SUMIFS([1]!Data_Loan[Value],[1]!Data_Loan[Index Loan],DTRVL!$B296,[1]!Data_Loan[TenCongTyID],DTRVL!$B$1,[1]!Data_Loan[Thang.Nam],DTRVL!AC$254)</f>
        <v>0</v>
      </c>
      <c r="AD296" s="352">
        <f>SUMIFS([1]!Data_Loan[Value],[1]!Data_Loan[Index Loan],DTRVL!$B296,[1]!Data_Loan[TenCongTyID],DTRVL!$B$1,[1]!Data_Loan[Thang.Nam],DTRVL!AD$254)</f>
        <v>0</v>
      </c>
      <c r="AE296" s="352">
        <f>SUMIFS([1]!Data_Loan[Value],[1]!Data_Loan[Index Loan],DTRVL!$B296,[1]!Data_Loan[TenCongTyID],DTRVL!$B$1,[1]!Data_Loan[Thang.Nam],DTRVL!AE$254)</f>
        <v>0</v>
      </c>
      <c r="AF296" s="352">
        <f>SUMIFS([1]!Data_Loan[Value],[1]!Data_Loan[Index Loan],DTRVL!$B296,[1]!Data_Loan[TenCongTyID],DTRVL!$B$1,[1]!Data_Loan[Thang.Nam],DTRVL!AF$254)</f>
        <v>0</v>
      </c>
      <c r="AG296" s="352">
        <f>SUMIFS([1]!Data_Loan[Value],[1]!Data_Loan[Index Loan],DTRVL!$B296,[1]!Data_Loan[TenCongTyID],DTRVL!$B$1,[1]!Data_Loan[Thang.Nam],DTRVL!AG$254)</f>
        <v>0</v>
      </c>
      <c r="AH296" s="352">
        <f>SUMIFS([1]!Data_Loan[Value],[1]!Data_Loan[Index Loan],DTRVL!$B296,[1]!Data_Loan[TenCongTyID],DTRVL!$B$1,[1]!Data_Loan[Thang.Nam],DTRVL!AH$254)</f>
        <v>0</v>
      </c>
      <c r="AI296" s="352">
        <f>SUMIFS([1]!Data_Loan[Value],[1]!Data_Loan[Index Loan],DTRVL!$B296,[1]!Data_Loan[TenCongTyID],DTRVL!$B$1,[1]!Data_Loan[Thang.Nam],DTRVL!AI$254)</f>
        <v>0</v>
      </c>
      <c r="AJ296" s="352">
        <f>SUMIFS([1]!Data_Loan[Value],[1]!Data_Loan[Index Loan],DTRVL!$B296,[1]!Data_Loan[TenCongTyID],DTRVL!$B$1,[1]!Data_Loan[Thang.Nam],DTRVL!AJ$254)</f>
        <v>0</v>
      </c>
      <c r="AK296" s="352">
        <f>SUMIFS([1]!Data_Loan[Value],[1]!Data_Loan[Index Loan],DTRVL!$B296,[1]!Data_Loan[TenCongTyID],DTRVL!$B$1,[1]!Data_Loan[Thang.Nam],DTRVL!AK$254)</f>
        <v>0</v>
      </c>
      <c r="AL296" s="352">
        <f>SUMIFS([1]!Data_Loan[Value],[1]!Data_Loan[Index Loan],DTRVL!$B296,[1]!Data_Loan[TenCongTyID],DTRVL!$B$1,[1]!Data_Loan[Thang.Nam],DTRVL!AL$254)</f>
        <v>0</v>
      </c>
    </row>
    <row r="297" spans="1:38" ht="15" customHeight="1">
      <c r="A297" s="200" t="str">
        <f t="shared" si="61"/>
        <v>VILC</v>
      </c>
      <c r="B297" s="329">
        <v>43</v>
      </c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352">
        <v>0</v>
      </c>
      <c r="AA297" s="352">
        <f>SUMIFS([1]!Data_Loan[Value],[1]!Data_Loan[Index Loan],DTRVL!$B297,[1]!Data_Loan[TenCongTyID],DTRVL!$B$1,[1]!Data_Loan[Thang.Nam],DTRVL!AA$254)</f>
        <v>0</v>
      </c>
      <c r="AB297" s="352">
        <f>SUMIFS([1]!Data_Loan[Value],[1]!Data_Loan[Index Loan],DTRVL!$B297,[1]!Data_Loan[TenCongTyID],DTRVL!$B$1,[1]!Data_Loan[Thang.Nam],DTRVL!AB$254)</f>
        <v>0</v>
      </c>
      <c r="AC297" s="352">
        <f>SUMIFS([1]!Data_Loan[Value],[1]!Data_Loan[Index Loan],DTRVL!$B297,[1]!Data_Loan[TenCongTyID],DTRVL!$B$1,[1]!Data_Loan[Thang.Nam],DTRVL!AC$254)</f>
        <v>0</v>
      </c>
      <c r="AD297" s="352">
        <f>SUMIFS([1]!Data_Loan[Value],[1]!Data_Loan[Index Loan],DTRVL!$B297,[1]!Data_Loan[TenCongTyID],DTRVL!$B$1,[1]!Data_Loan[Thang.Nam],DTRVL!AD$254)</f>
        <v>0</v>
      </c>
      <c r="AE297" s="352">
        <f>SUMIFS([1]!Data_Loan[Value],[1]!Data_Loan[Index Loan],DTRVL!$B297,[1]!Data_Loan[TenCongTyID],DTRVL!$B$1,[1]!Data_Loan[Thang.Nam],DTRVL!AE$254)</f>
        <v>0</v>
      </c>
      <c r="AF297" s="352">
        <f>SUMIFS([1]!Data_Loan[Value],[1]!Data_Loan[Index Loan],DTRVL!$B297,[1]!Data_Loan[TenCongTyID],DTRVL!$B$1,[1]!Data_Loan[Thang.Nam],DTRVL!AF$254)</f>
        <v>0</v>
      </c>
      <c r="AG297" s="352">
        <f>SUMIFS([1]!Data_Loan[Value],[1]!Data_Loan[Index Loan],DTRVL!$B297,[1]!Data_Loan[TenCongTyID],DTRVL!$B$1,[1]!Data_Loan[Thang.Nam],DTRVL!AG$254)</f>
        <v>0</v>
      </c>
      <c r="AH297" s="352">
        <f>SUMIFS([1]!Data_Loan[Value],[1]!Data_Loan[Index Loan],DTRVL!$B297,[1]!Data_Loan[TenCongTyID],DTRVL!$B$1,[1]!Data_Loan[Thang.Nam],DTRVL!AH$254)</f>
        <v>0</v>
      </c>
      <c r="AI297" s="352">
        <f>SUMIFS([1]!Data_Loan[Value],[1]!Data_Loan[Index Loan],DTRVL!$B297,[1]!Data_Loan[TenCongTyID],DTRVL!$B$1,[1]!Data_Loan[Thang.Nam],DTRVL!AI$254)</f>
        <v>0</v>
      </c>
      <c r="AJ297" s="352">
        <f>SUMIFS([1]!Data_Loan[Value],[1]!Data_Loan[Index Loan],DTRVL!$B297,[1]!Data_Loan[TenCongTyID],DTRVL!$B$1,[1]!Data_Loan[Thang.Nam],DTRVL!AJ$254)</f>
        <v>0</v>
      </c>
      <c r="AK297" s="352">
        <f>SUMIFS([1]!Data_Loan[Value],[1]!Data_Loan[Index Loan],DTRVL!$B297,[1]!Data_Loan[TenCongTyID],DTRVL!$B$1,[1]!Data_Loan[Thang.Nam],DTRVL!AK$254)</f>
        <v>0</v>
      </c>
      <c r="AL297" s="352">
        <f>SUMIFS([1]!Data_Loan[Value],[1]!Data_Loan[Index Loan],DTRVL!$B297,[1]!Data_Loan[TenCongTyID],DTRVL!$B$1,[1]!Data_Loan[Thang.Nam],DTRVL!AL$254)</f>
        <v>0</v>
      </c>
    </row>
    <row r="298" spans="1:38" ht="15" customHeight="1">
      <c r="A298" s="200" t="str">
        <f t="shared" si="61"/>
        <v>IVB</v>
      </c>
      <c r="B298" s="329">
        <v>44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352">
        <v>0</v>
      </c>
      <c r="AA298" s="352">
        <f>SUMIFS([1]!Data_Loan[Value],[1]!Data_Loan[Index Loan],DTRVL!$B298,[1]!Data_Loan[TenCongTyID],DTRVL!$B$1,[1]!Data_Loan[Thang.Nam],DTRVL!AA$254)</f>
        <v>0</v>
      </c>
      <c r="AB298" s="352">
        <f>SUMIFS([1]!Data_Loan[Value],[1]!Data_Loan[Index Loan],DTRVL!$B298,[1]!Data_Loan[TenCongTyID],DTRVL!$B$1,[1]!Data_Loan[Thang.Nam],DTRVL!AB$254)</f>
        <v>0</v>
      </c>
      <c r="AC298" s="352">
        <f>SUMIFS([1]!Data_Loan[Value],[1]!Data_Loan[Index Loan],DTRVL!$B298,[1]!Data_Loan[TenCongTyID],DTRVL!$B$1,[1]!Data_Loan[Thang.Nam],DTRVL!AC$254)</f>
        <v>0</v>
      </c>
      <c r="AD298" s="352">
        <f>SUMIFS([1]!Data_Loan[Value],[1]!Data_Loan[Index Loan],DTRVL!$B298,[1]!Data_Loan[TenCongTyID],DTRVL!$B$1,[1]!Data_Loan[Thang.Nam],DTRVL!AD$254)</f>
        <v>0</v>
      </c>
      <c r="AE298" s="352">
        <f>SUMIFS([1]!Data_Loan[Value],[1]!Data_Loan[Index Loan],DTRVL!$B298,[1]!Data_Loan[TenCongTyID],DTRVL!$B$1,[1]!Data_Loan[Thang.Nam],DTRVL!AE$254)</f>
        <v>0</v>
      </c>
      <c r="AF298" s="352">
        <f>SUMIFS([1]!Data_Loan[Value],[1]!Data_Loan[Index Loan],DTRVL!$B298,[1]!Data_Loan[TenCongTyID],DTRVL!$B$1,[1]!Data_Loan[Thang.Nam],DTRVL!AF$254)</f>
        <v>0</v>
      </c>
      <c r="AG298" s="352">
        <f>SUMIFS([1]!Data_Loan[Value],[1]!Data_Loan[Index Loan],DTRVL!$B298,[1]!Data_Loan[TenCongTyID],DTRVL!$B$1,[1]!Data_Loan[Thang.Nam],DTRVL!AG$254)</f>
        <v>0</v>
      </c>
      <c r="AH298" s="352">
        <f>SUMIFS([1]!Data_Loan[Value],[1]!Data_Loan[Index Loan],DTRVL!$B298,[1]!Data_Loan[TenCongTyID],DTRVL!$B$1,[1]!Data_Loan[Thang.Nam],DTRVL!AH$254)</f>
        <v>0</v>
      </c>
      <c r="AI298" s="352">
        <f>SUMIFS([1]!Data_Loan[Value],[1]!Data_Loan[Index Loan],DTRVL!$B298,[1]!Data_Loan[TenCongTyID],DTRVL!$B$1,[1]!Data_Loan[Thang.Nam],DTRVL!AI$254)</f>
        <v>0</v>
      </c>
      <c r="AJ298" s="352">
        <f>SUMIFS([1]!Data_Loan[Value],[1]!Data_Loan[Index Loan],DTRVL!$B298,[1]!Data_Loan[TenCongTyID],DTRVL!$B$1,[1]!Data_Loan[Thang.Nam],DTRVL!AJ$254)</f>
        <v>0</v>
      </c>
      <c r="AK298" s="352">
        <f>SUMIFS([1]!Data_Loan[Value],[1]!Data_Loan[Index Loan],DTRVL!$B298,[1]!Data_Loan[TenCongTyID],DTRVL!$B$1,[1]!Data_Loan[Thang.Nam],DTRVL!AK$254)</f>
        <v>0</v>
      </c>
      <c r="AL298" s="352">
        <f>SUMIFS([1]!Data_Loan[Value],[1]!Data_Loan[Index Loan],DTRVL!$B298,[1]!Data_Loan[TenCongTyID],DTRVL!$B$1,[1]!Data_Loan[Thang.Nam],DTRVL!AL$254)</f>
        <v>0</v>
      </c>
    </row>
    <row r="299" spans="1:38" ht="15" customHeight="1">
      <c r="A299" s="200">
        <f t="shared" si="61"/>
        <v>0</v>
      </c>
      <c r="B299" s="329">
        <v>45</v>
      </c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352">
        <v>0</v>
      </c>
      <c r="AA299" s="352">
        <f>SUMIFS([1]!Data_Loan[Value],[1]!Data_Loan[Index Loan],DTRVL!$B299,[1]!Data_Loan[TenCongTyID],DTRVL!$B$1,[1]!Data_Loan[Thang.Nam],DTRVL!AA$254)</f>
        <v>0</v>
      </c>
      <c r="AB299" s="352">
        <f>SUMIFS([1]!Data_Loan[Value],[1]!Data_Loan[Index Loan],DTRVL!$B299,[1]!Data_Loan[TenCongTyID],DTRVL!$B$1,[1]!Data_Loan[Thang.Nam],DTRVL!AB$254)</f>
        <v>0</v>
      </c>
      <c r="AC299" s="352">
        <f>SUMIFS([1]!Data_Loan[Value],[1]!Data_Loan[Index Loan],DTRVL!$B299,[1]!Data_Loan[TenCongTyID],DTRVL!$B$1,[1]!Data_Loan[Thang.Nam],DTRVL!AC$254)</f>
        <v>0</v>
      </c>
      <c r="AD299" s="352">
        <f>SUMIFS([1]!Data_Loan[Value],[1]!Data_Loan[Index Loan],DTRVL!$B299,[1]!Data_Loan[TenCongTyID],DTRVL!$B$1,[1]!Data_Loan[Thang.Nam],DTRVL!AD$254)</f>
        <v>0</v>
      </c>
      <c r="AE299" s="352">
        <f>SUMIFS([1]!Data_Loan[Value],[1]!Data_Loan[Index Loan],DTRVL!$B299,[1]!Data_Loan[TenCongTyID],DTRVL!$B$1,[1]!Data_Loan[Thang.Nam],DTRVL!AE$254)</f>
        <v>0</v>
      </c>
      <c r="AF299" s="352">
        <f>SUMIFS([1]!Data_Loan[Value],[1]!Data_Loan[Index Loan],DTRVL!$B299,[1]!Data_Loan[TenCongTyID],DTRVL!$B$1,[1]!Data_Loan[Thang.Nam],DTRVL!AF$254)</f>
        <v>0</v>
      </c>
      <c r="AG299" s="352">
        <f>SUMIFS([1]!Data_Loan[Value],[1]!Data_Loan[Index Loan],DTRVL!$B299,[1]!Data_Loan[TenCongTyID],DTRVL!$B$1,[1]!Data_Loan[Thang.Nam],DTRVL!AG$254)</f>
        <v>0</v>
      </c>
      <c r="AH299" s="352">
        <f>SUMIFS([1]!Data_Loan[Value],[1]!Data_Loan[Index Loan],DTRVL!$B299,[1]!Data_Loan[TenCongTyID],DTRVL!$B$1,[1]!Data_Loan[Thang.Nam],DTRVL!AH$254)</f>
        <v>0</v>
      </c>
      <c r="AI299" s="352">
        <f>SUMIFS([1]!Data_Loan[Value],[1]!Data_Loan[Index Loan],DTRVL!$B299,[1]!Data_Loan[TenCongTyID],DTRVL!$B$1,[1]!Data_Loan[Thang.Nam],DTRVL!AI$254)</f>
        <v>0</v>
      </c>
      <c r="AJ299" s="352">
        <f>SUMIFS([1]!Data_Loan[Value],[1]!Data_Loan[Index Loan],DTRVL!$B299,[1]!Data_Loan[TenCongTyID],DTRVL!$B$1,[1]!Data_Loan[Thang.Nam],DTRVL!AJ$254)</f>
        <v>0</v>
      </c>
      <c r="AK299" s="352">
        <f>SUMIFS([1]!Data_Loan[Value],[1]!Data_Loan[Index Loan],DTRVL!$B299,[1]!Data_Loan[TenCongTyID],DTRVL!$B$1,[1]!Data_Loan[Thang.Nam],DTRVL!AK$254)</f>
        <v>0</v>
      </c>
      <c r="AL299" s="352">
        <f>SUMIFS([1]!Data_Loan[Value],[1]!Data_Loan[Index Loan],DTRVL!$B299,[1]!Data_Loan[TenCongTyID],DTRVL!$B$1,[1]!Data_Loan[Thang.Nam],DTRVL!AL$254)</f>
        <v>0</v>
      </c>
    </row>
    <row r="300" spans="1:38" ht="15" customHeight="1" thickBot="1">
      <c r="A300" s="203" t="s">
        <v>371</v>
      </c>
      <c r="B300" s="332">
        <v>46</v>
      </c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>
        <v>0</v>
      </c>
      <c r="AA300" s="205">
        <f>SUMIFS([1]!Data_Loan[Value],[1]!Data_Loan[Index Loan],DTRVL!$B300,[1]!Data_Loan[TenCongTyID],DTRVL!$B$1,[1]!Data_Loan[Thang.Nam],DTRVL!AA$254)</f>
        <v>0</v>
      </c>
      <c r="AB300" s="205">
        <f>SUMIFS([1]!Data_Loan[Value],[1]!Data_Loan[Index Loan],DTRVL!$B300,[1]!Data_Loan[TenCongTyID],DTRVL!$B$1,[1]!Data_Loan[Thang.Nam],DTRVL!AB$254)</f>
        <v>0</v>
      </c>
      <c r="AC300" s="205">
        <f>SUMIFS([1]!Data_Loan[Value],[1]!Data_Loan[Index Loan],DTRVL!$B300,[1]!Data_Loan[TenCongTyID],DTRVL!$B$1,[1]!Data_Loan[Thang.Nam],DTRVL!AC$254)</f>
        <v>0</v>
      </c>
      <c r="AD300" s="205">
        <f>SUMIFS([1]!Data_Loan[Value],[1]!Data_Loan[Index Loan],DTRVL!$B300,[1]!Data_Loan[TenCongTyID],DTRVL!$B$1,[1]!Data_Loan[Thang.Nam],DTRVL!AD$254)</f>
        <v>0</v>
      </c>
      <c r="AE300" s="205">
        <f>SUMIFS([1]!Data_Loan[Value],[1]!Data_Loan[Index Loan],DTRVL!$B300,[1]!Data_Loan[TenCongTyID],DTRVL!$B$1,[1]!Data_Loan[Thang.Nam],DTRVL!AE$254)</f>
        <v>0</v>
      </c>
      <c r="AF300" s="205">
        <f>SUMIFS([1]!Data_Loan[Value],[1]!Data_Loan[Index Loan],DTRVL!$B300,[1]!Data_Loan[TenCongTyID],DTRVL!$B$1,[1]!Data_Loan[Thang.Nam],DTRVL!AF$254)</f>
        <v>0</v>
      </c>
      <c r="AG300" s="205">
        <f>SUMIFS([1]!Data_Loan[Value],[1]!Data_Loan[Index Loan],DTRVL!$B300,[1]!Data_Loan[TenCongTyID],DTRVL!$B$1,[1]!Data_Loan[Thang.Nam],DTRVL!AG$254)</f>
        <v>0</v>
      </c>
      <c r="AH300" s="205">
        <f>SUMIFS([1]!Data_Loan[Value],[1]!Data_Loan[Index Loan],DTRVL!$B300,[1]!Data_Loan[TenCongTyID],DTRVL!$B$1,[1]!Data_Loan[Thang.Nam],DTRVL!AH$254)</f>
        <v>0</v>
      </c>
      <c r="AI300" s="205">
        <f>SUMIFS([1]!Data_Loan[Value],[1]!Data_Loan[Index Loan],DTRVL!$B300,[1]!Data_Loan[TenCongTyID],DTRVL!$B$1,[1]!Data_Loan[Thang.Nam],DTRVL!AI$254)</f>
        <v>0</v>
      </c>
      <c r="AJ300" s="205">
        <f>SUMIFS([1]!Data_Loan[Value],[1]!Data_Loan[Index Loan],DTRVL!$B300,[1]!Data_Loan[TenCongTyID],DTRVL!$B$1,[1]!Data_Loan[Thang.Nam],DTRVL!AJ$254)</f>
        <v>0</v>
      </c>
      <c r="AK300" s="205">
        <f>SUMIFS([1]!Data_Loan[Value],[1]!Data_Loan[Index Loan],DTRVL!$B300,[1]!Data_Loan[TenCongTyID],DTRVL!$B$1,[1]!Data_Loan[Thang.Nam],DTRVL!AK$254)</f>
        <v>0</v>
      </c>
      <c r="AL300" s="205">
        <f>SUMIFS([1]!Data_Loan[Value],[1]!Data_Loan[Index Loan],DTRVL!$B300,[1]!Data_Loan[TenCongTyID],DTRVL!$B$1,[1]!Data_Loan[Thang.Nam],DTRVL!AL$254)</f>
        <v>0</v>
      </c>
    </row>
    <row r="301" spans="1:38" ht="15" customHeight="1" thickTop="1">
      <c r="A301" s="200" t="str">
        <f t="shared" ref="A301:A306" si="62">A283</f>
        <v>ACB</v>
      </c>
      <c r="B301" s="329">
        <v>47</v>
      </c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352">
        <v>0</v>
      </c>
      <c r="AA301" s="352">
        <f>SUMIFS([1]!Data_Loan[Value],[1]!Data_Loan[Index Loan],DTRVL!$B301,[1]!Data_Loan[TenCongTyID],DTRVL!$B$1,[1]!Data_Loan[Thang.Nam],DTRVL!AA$254)</f>
        <v>0</v>
      </c>
      <c r="AB301" s="352">
        <f>SUMIFS([1]!Data_Loan[Value],[1]!Data_Loan[Index Loan],DTRVL!$B301,[1]!Data_Loan[TenCongTyID],DTRVL!$B$1,[1]!Data_Loan[Thang.Nam],DTRVL!AB$254)</f>
        <v>0</v>
      </c>
      <c r="AC301" s="352">
        <f>SUMIFS([1]!Data_Loan[Value],[1]!Data_Loan[Index Loan],DTRVL!$B301,[1]!Data_Loan[TenCongTyID],DTRVL!$B$1,[1]!Data_Loan[Thang.Nam],DTRVL!AC$254)</f>
        <v>0</v>
      </c>
      <c r="AD301" s="352">
        <f>SUMIFS([1]!Data_Loan[Value],[1]!Data_Loan[Index Loan],DTRVL!$B301,[1]!Data_Loan[TenCongTyID],DTRVL!$B$1,[1]!Data_Loan[Thang.Nam],DTRVL!AD$254)</f>
        <v>0</v>
      </c>
      <c r="AE301" s="352">
        <f>SUMIFS([1]!Data_Loan[Value],[1]!Data_Loan[Index Loan],DTRVL!$B301,[1]!Data_Loan[TenCongTyID],DTRVL!$B$1,[1]!Data_Loan[Thang.Nam],DTRVL!AE$254)</f>
        <v>0</v>
      </c>
      <c r="AF301" s="352">
        <f>SUMIFS([1]!Data_Loan[Value],[1]!Data_Loan[Index Loan],DTRVL!$B301,[1]!Data_Loan[TenCongTyID],DTRVL!$B$1,[1]!Data_Loan[Thang.Nam],DTRVL!AF$254)</f>
        <v>0</v>
      </c>
      <c r="AG301" s="352">
        <f>SUMIFS([1]!Data_Loan[Value],[1]!Data_Loan[Index Loan],DTRVL!$B301,[1]!Data_Loan[TenCongTyID],DTRVL!$B$1,[1]!Data_Loan[Thang.Nam],DTRVL!AG$254)</f>
        <v>0</v>
      </c>
      <c r="AH301" s="352">
        <f>SUMIFS([1]!Data_Loan[Value],[1]!Data_Loan[Index Loan],DTRVL!$B301,[1]!Data_Loan[TenCongTyID],DTRVL!$B$1,[1]!Data_Loan[Thang.Nam],DTRVL!AH$254)</f>
        <v>0</v>
      </c>
      <c r="AI301" s="352">
        <f>SUMIFS([1]!Data_Loan[Value],[1]!Data_Loan[Index Loan],DTRVL!$B301,[1]!Data_Loan[TenCongTyID],DTRVL!$B$1,[1]!Data_Loan[Thang.Nam],DTRVL!AI$254)</f>
        <v>0</v>
      </c>
      <c r="AJ301" s="352">
        <f>SUMIFS([1]!Data_Loan[Value],[1]!Data_Loan[Index Loan],DTRVL!$B301,[1]!Data_Loan[TenCongTyID],DTRVL!$B$1,[1]!Data_Loan[Thang.Nam],DTRVL!AJ$254)</f>
        <v>0</v>
      </c>
      <c r="AK301" s="352">
        <f>SUMIFS([1]!Data_Loan[Value],[1]!Data_Loan[Index Loan],DTRVL!$B301,[1]!Data_Loan[TenCongTyID],DTRVL!$B$1,[1]!Data_Loan[Thang.Nam],DTRVL!AK$254)</f>
        <v>0</v>
      </c>
      <c r="AL301" s="352">
        <f>SUMIFS([1]!Data_Loan[Value],[1]!Data_Loan[Index Loan],DTRVL!$B301,[1]!Data_Loan[TenCongTyID],DTRVL!$B$1,[1]!Data_Loan[Thang.Nam],DTRVL!AL$254)</f>
        <v>0</v>
      </c>
    </row>
    <row r="302" spans="1:38" ht="15" customHeight="1">
      <c r="A302" s="200" t="str">
        <f t="shared" si="62"/>
        <v>VietinBank</v>
      </c>
      <c r="B302" s="329">
        <v>48</v>
      </c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352">
        <v>0</v>
      </c>
      <c r="AA302" s="352">
        <f>SUMIFS([1]!Data_Loan[Value],[1]!Data_Loan[Index Loan],DTRVL!$B302,[1]!Data_Loan[TenCongTyID],DTRVL!$B$1,[1]!Data_Loan[Thang.Nam],DTRVL!AA$254)</f>
        <v>0</v>
      </c>
      <c r="AB302" s="352">
        <f>SUMIFS([1]!Data_Loan[Value],[1]!Data_Loan[Index Loan],DTRVL!$B302,[1]!Data_Loan[TenCongTyID],DTRVL!$B$1,[1]!Data_Loan[Thang.Nam],DTRVL!AB$254)</f>
        <v>0</v>
      </c>
      <c r="AC302" s="352">
        <f>SUMIFS([1]!Data_Loan[Value],[1]!Data_Loan[Index Loan],DTRVL!$B302,[1]!Data_Loan[TenCongTyID],DTRVL!$B$1,[1]!Data_Loan[Thang.Nam],DTRVL!AC$254)</f>
        <v>0</v>
      </c>
      <c r="AD302" s="352">
        <f>SUMIFS([1]!Data_Loan[Value],[1]!Data_Loan[Index Loan],DTRVL!$B302,[1]!Data_Loan[TenCongTyID],DTRVL!$B$1,[1]!Data_Loan[Thang.Nam],DTRVL!AD$254)</f>
        <v>0</v>
      </c>
      <c r="AE302" s="352">
        <f>SUMIFS([1]!Data_Loan[Value],[1]!Data_Loan[Index Loan],DTRVL!$B302,[1]!Data_Loan[TenCongTyID],DTRVL!$B$1,[1]!Data_Loan[Thang.Nam],DTRVL!AE$254)</f>
        <v>0</v>
      </c>
      <c r="AF302" s="352">
        <f>SUMIFS([1]!Data_Loan[Value],[1]!Data_Loan[Index Loan],DTRVL!$B302,[1]!Data_Loan[TenCongTyID],DTRVL!$B$1,[1]!Data_Loan[Thang.Nam],DTRVL!AF$254)</f>
        <v>0</v>
      </c>
      <c r="AG302" s="352">
        <f>SUMIFS([1]!Data_Loan[Value],[1]!Data_Loan[Index Loan],DTRVL!$B302,[1]!Data_Loan[TenCongTyID],DTRVL!$B$1,[1]!Data_Loan[Thang.Nam],DTRVL!AG$254)</f>
        <v>0</v>
      </c>
      <c r="AH302" s="352">
        <f>SUMIFS([1]!Data_Loan[Value],[1]!Data_Loan[Index Loan],DTRVL!$B302,[1]!Data_Loan[TenCongTyID],DTRVL!$B$1,[1]!Data_Loan[Thang.Nam],DTRVL!AH$254)</f>
        <v>0</v>
      </c>
      <c r="AI302" s="352">
        <f>SUMIFS([1]!Data_Loan[Value],[1]!Data_Loan[Index Loan],DTRVL!$B302,[1]!Data_Loan[TenCongTyID],DTRVL!$B$1,[1]!Data_Loan[Thang.Nam],DTRVL!AI$254)</f>
        <v>0</v>
      </c>
      <c r="AJ302" s="352">
        <f>SUMIFS([1]!Data_Loan[Value],[1]!Data_Loan[Index Loan],DTRVL!$B302,[1]!Data_Loan[TenCongTyID],DTRVL!$B$1,[1]!Data_Loan[Thang.Nam],DTRVL!AJ$254)</f>
        <v>0</v>
      </c>
      <c r="AK302" s="352">
        <f>SUMIFS([1]!Data_Loan[Value],[1]!Data_Loan[Index Loan],DTRVL!$B302,[1]!Data_Loan[TenCongTyID],DTRVL!$B$1,[1]!Data_Loan[Thang.Nam],DTRVL!AK$254)</f>
        <v>0</v>
      </c>
      <c r="AL302" s="352">
        <f>SUMIFS([1]!Data_Loan[Value],[1]!Data_Loan[Index Loan],DTRVL!$B302,[1]!Data_Loan[TenCongTyID],DTRVL!$B$1,[1]!Data_Loan[Thang.Nam],DTRVL!AL$254)</f>
        <v>0</v>
      </c>
    </row>
    <row r="303" spans="1:38" ht="15" customHeight="1">
      <c r="A303" s="200" t="str">
        <f t="shared" si="62"/>
        <v>Vietcombank</v>
      </c>
      <c r="B303" s="329">
        <v>49</v>
      </c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352">
        <v>0</v>
      </c>
      <c r="AA303" s="352">
        <f>SUMIFS([1]!Data_Loan[Value],[1]!Data_Loan[Index Loan],DTRVL!$B303,[1]!Data_Loan[TenCongTyID],DTRVL!$B$1,[1]!Data_Loan[Thang.Nam],DTRVL!AA$254)</f>
        <v>0</v>
      </c>
      <c r="AB303" s="352">
        <f>SUMIFS([1]!Data_Loan[Value],[1]!Data_Loan[Index Loan],DTRVL!$B303,[1]!Data_Loan[TenCongTyID],DTRVL!$B$1,[1]!Data_Loan[Thang.Nam],DTRVL!AB$254)</f>
        <v>0</v>
      </c>
      <c r="AC303" s="352">
        <f>SUMIFS([1]!Data_Loan[Value],[1]!Data_Loan[Index Loan],DTRVL!$B303,[1]!Data_Loan[TenCongTyID],DTRVL!$B$1,[1]!Data_Loan[Thang.Nam],DTRVL!AC$254)</f>
        <v>0</v>
      </c>
      <c r="AD303" s="352">
        <f>SUMIFS([1]!Data_Loan[Value],[1]!Data_Loan[Index Loan],DTRVL!$B303,[1]!Data_Loan[TenCongTyID],DTRVL!$B$1,[1]!Data_Loan[Thang.Nam],DTRVL!AD$254)</f>
        <v>0</v>
      </c>
      <c r="AE303" s="352">
        <f>SUMIFS([1]!Data_Loan[Value],[1]!Data_Loan[Index Loan],DTRVL!$B303,[1]!Data_Loan[TenCongTyID],DTRVL!$B$1,[1]!Data_Loan[Thang.Nam],DTRVL!AE$254)</f>
        <v>0</v>
      </c>
      <c r="AF303" s="352">
        <f>SUMIFS([1]!Data_Loan[Value],[1]!Data_Loan[Index Loan],DTRVL!$B303,[1]!Data_Loan[TenCongTyID],DTRVL!$B$1,[1]!Data_Loan[Thang.Nam],DTRVL!AF$254)</f>
        <v>0</v>
      </c>
      <c r="AG303" s="352">
        <f>SUMIFS([1]!Data_Loan[Value],[1]!Data_Loan[Index Loan],DTRVL!$B303,[1]!Data_Loan[TenCongTyID],DTRVL!$B$1,[1]!Data_Loan[Thang.Nam],DTRVL!AG$254)</f>
        <v>0</v>
      </c>
      <c r="AH303" s="352">
        <f>SUMIFS([1]!Data_Loan[Value],[1]!Data_Loan[Index Loan],DTRVL!$B303,[1]!Data_Loan[TenCongTyID],DTRVL!$B$1,[1]!Data_Loan[Thang.Nam],DTRVL!AH$254)</f>
        <v>0</v>
      </c>
      <c r="AI303" s="352">
        <f>SUMIFS([1]!Data_Loan[Value],[1]!Data_Loan[Index Loan],DTRVL!$B303,[1]!Data_Loan[TenCongTyID],DTRVL!$B$1,[1]!Data_Loan[Thang.Nam],DTRVL!AI$254)</f>
        <v>0</v>
      </c>
      <c r="AJ303" s="352">
        <f>SUMIFS([1]!Data_Loan[Value],[1]!Data_Loan[Index Loan],DTRVL!$B303,[1]!Data_Loan[TenCongTyID],DTRVL!$B$1,[1]!Data_Loan[Thang.Nam],DTRVL!AJ$254)</f>
        <v>0</v>
      </c>
      <c r="AK303" s="352">
        <f>SUMIFS([1]!Data_Loan[Value],[1]!Data_Loan[Index Loan],DTRVL!$B303,[1]!Data_Loan[TenCongTyID],DTRVL!$B$1,[1]!Data_Loan[Thang.Nam],DTRVL!AK$254)</f>
        <v>0</v>
      </c>
      <c r="AL303" s="352">
        <f>SUMIFS([1]!Data_Loan[Value],[1]!Data_Loan[Index Loan],DTRVL!$B303,[1]!Data_Loan[TenCongTyID],DTRVL!$B$1,[1]!Data_Loan[Thang.Nam],DTRVL!AL$254)</f>
        <v>0</v>
      </c>
    </row>
    <row r="304" spans="1:38" ht="15" customHeight="1">
      <c r="A304" s="200" t="str">
        <f t="shared" si="62"/>
        <v>BIDV</v>
      </c>
      <c r="B304" s="329">
        <v>50</v>
      </c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352">
        <v>0</v>
      </c>
      <c r="AA304" s="352">
        <f>SUMIFS([1]!Data_Loan[Value],[1]!Data_Loan[Index Loan],DTRVL!$B304,[1]!Data_Loan[TenCongTyID],DTRVL!$B$1,[1]!Data_Loan[Thang.Nam],DTRVL!AA$254)</f>
        <v>0</v>
      </c>
      <c r="AB304" s="352">
        <f>SUMIFS([1]!Data_Loan[Value],[1]!Data_Loan[Index Loan],DTRVL!$B304,[1]!Data_Loan[TenCongTyID],DTRVL!$B$1,[1]!Data_Loan[Thang.Nam],DTRVL!AB$254)</f>
        <v>0</v>
      </c>
      <c r="AC304" s="352">
        <f>SUMIFS([1]!Data_Loan[Value],[1]!Data_Loan[Index Loan],DTRVL!$B304,[1]!Data_Loan[TenCongTyID],DTRVL!$B$1,[1]!Data_Loan[Thang.Nam],DTRVL!AC$254)</f>
        <v>0</v>
      </c>
      <c r="AD304" s="352">
        <f>SUMIFS([1]!Data_Loan[Value],[1]!Data_Loan[Index Loan],DTRVL!$B304,[1]!Data_Loan[TenCongTyID],DTRVL!$B$1,[1]!Data_Loan[Thang.Nam],DTRVL!AD$254)</f>
        <v>0</v>
      </c>
      <c r="AE304" s="352">
        <f>SUMIFS([1]!Data_Loan[Value],[1]!Data_Loan[Index Loan],DTRVL!$B304,[1]!Data_Loan[TenCongTyID],DTRVL!$B$1,[1]!Data_Loan[Thang.Nam],DTRVL!AE$254)</f>
        <v>0</v>
      </c>
      <c r="AF304" s="352">
        <f>SUMIFS([1]!Data_Loan[Value],[1]!Data_Loan[Index Loan],DTRVL!$B304,[1]!Data_Loan[TenCongTyID],DTRVL!$B$1,[1]!Data_Loan[Thang.Nam],DTRVL!AF$254)</f>
        <v>0</v>
      </c>
      <c r="AG304" s="352">
        <f>SUMIFS([1]!Data_Loan[Value],[1]!Data_Loan[Index Loan],DTRVL!$B304,[1]!Data_Loan[TenCongTyID],DTRVL!$B$1,[1]!Data_Loan[Thang.Nam],DTRVL!AG$254)</f>
        <v>0</v>
      </c>
      <c r="AH304" s="352">
        <f>SUMIFS([1]!Data_Loan[Value],[1]!Data_Loan[Index Loan],DTRVL!$B304,[1]!Data_Loan[TenCongTyID],DTRVL!$B$1,[1]!Data_Loan[Thang.Nam],DTRVL!AH$254)</f>
        <v>0</v>
      </c>
      <c r="AI304" s="352">
        <f>SUMIFS([1]!Data_Loan[Value],[1]!Data_Loan[Index Loan],DTRVL!$B304,[1]!Data_Loan[TenCongTyID],DTRVL!$B$1,[1]!Data_Loan[Thang.Nam],DTRVL!AI$254)</f>
        <v>0</v>
      </c>
      <c r="AJ304" s="352">
        <f>SUMIFS([1]!Data_Loan[Value],[1]!Data_Loan[Index Loan],DTRVL!$B304,[1]!Data_Loan[TenCongTyID],DTRVL!$B$1,[1]!Data_Loan[Thang.Nam],DTRVL!AJ$254)</f>
        <v>0</v>
      </c>
      <c r="AK304" s="352">
        <f>SUMIFS([1]!Data_Loan[Value],[1]!Data_Loan[Index Loan],DTRVL!$B304,[1]!Data_Loan[TenCongTyID],DTRVL!$B$1,[1]!Data_Loan[Thang.Nam],DTRVL!AK$254)</f>
        <v>0</v>
      </c>
      <c r="AL304" s="352">
        <f>SUMIFS([1]!Data_Loan[Value],[1]!Data_Loan[Index Loan],DTRVL!$B304,[1]!Data_Loan[TenCongTyID],DTRVL!$B$1,[1]!Data_Loan[Thang.Nam],DTRVL!AL$254)</f>
        <v>0</v>
      </c>
    </row>
    <row r="305" spans="1:38" ht="15" customHeight="1">
      <c r="A305" s="200" t="str">
        <f t="shared" si="62"/>
        <v>Standard Chartered</v>
      </c>
      <c r="B305" s="329">
        <v>51</v>
      </c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352">
        <v>0</v>
      </c>
      <c r="AA305" s="352">
        <f>SUMIFS([1]!Data_Loan[Value],[1]!Data_Loan[Index Loan],DTRVL!$B305,[1]!Data_Loan[TenCongTyID],DTRVL!$B$1,[1]!Data_Loan[Thang.Nam],DTRVL!AA$254)</f>
        <v>0</v>
      </c>
      <c r="AB305" s="352">
        <f>SUMIFS([1]!Data_Loan[Value],[1]!Data_Loan[Index Loan],DTRVL!$B305,[1]!Data_Loan[TenCongTyID],DTRVL!$B$1,[1]!Data_Loan[Thang.Nam],DTRVL!AB$254)</f>
        <v>0</v>
      </c>
      <c r="AC305" s="352">
        <f>SUMIFS([1]!Data_Loan[Value],[1]!Data_Loan[Index Loan],DTRVL!$B305,[1]!Data_Loan[TenCongTyID],DTRVL!$B$1,[1]!Data_Loan[Thang.Nam],DTRVL!AC$254)</f>
        <v>0</v>
      </c>
      <c r="AD305" s="352">
        <f>SUMIFS([1]!Data_Loan[Value],[1]!Data_Loan[Index Loan],DTRVL!$B305,[1]!Data_Loan[TenCongTyID],DTRVL!$B$1,[1]!Data_Loan[Thang.Nam],DTRVL!AD$254)</f>
        <v>0</v>
      </c>
      <c r="AE305" s="352">
        <f>SUMIFS([1]!Data_Loan[Value],[1]!Data_Loan[Index Loan],DTRVL!$B305,[1]!Data_Loan[TenCongTyID],DTRVL!$B$1,[1]!Data_Loan[Thang.Nam],DTRVL!AE$254)</f>
        <v>0</v>
      </c>
      <c r="AF305" s="352">
        <f>SUMIFS([1]!Data_Loan[Value],[1]!Data_Loan[Index Loan],DTRVL!$B305,[1]!Data_Loan[TenCongTyID],DTRVL!$B$1,[1]!Data_Loan[Thang.Nam],DTRVL!AF$254)</f>
        <v>0</v>
      </c>
      <c r="AG305" s="352">
        <f>SUMIFS([1]!Data_Loan[Value],[1]!Data_Loan[Index Loan],DTRVL!$B305,[1]!Data_Loan[TenCongTyID],DTRVL!$B$1,[1]!Data_Loan[Thang.Nam],DTRVL!AG$254)</f>
        <v>0</v>
      </c>
      <c r="AH305" s="352">
        <f>SUMIFS([1]!Data_Loan[Value],[1]!Data_Loan[Index Loan],DTRVL!$B305,[1]!Data_Loan[TenCongTyID],DTRVL!$B$1,[1]!Data_Loan[Thang.Nam],DTRVL!AH$254)</f>
        <v>0</v>
      </c>
      <c r="AI305" s="352">
        <f>SUMIFS([1]!Data_Loan[Value],[1]!Data_Loan[Index Loan],DTRVL!$B305,[1]!Data_Loan[TenCongTyID],DTRVL!$B$1,[1]!Data_Loan[Thang.Nam],DTRVL!AI$254)</f>
        <v>0</v>
      </c>
      <c r="AJ305" s="352">
        <f>SUMIFS([1]!Data_Loan[Value],[1]!Data_Loan[Index Loan],DTRVL!$B305,[1]!Data_Loan[TenCongTyID],DTRVL!$B$1,[1]!Data_Loan[Thang.Nam],DTRVL!AJ$254)</f>
        <v>0</v>
      </c>
      <c r="AK305" s="352">
        <f>SUMIFS([1]!Data_Loan[Value],[1]!Data_Loan[Index Loan],DTRVL!$B305,[1]!Data_Loan[TenCongTyID],DTRVL!$B$1,[1]!Data_Loan[Thang.Nam],DTRVL!AK$254)</f>
        <v>0</v>
      </c>
      <c r="AL305" s="352">
        <f>SUMIFS([1]!Data_Loan[Value],[1]!Data_Loan[Index Loan],DTRVL!$B305,[1]!Data_Loan[TenCongTyID],DTRVL!$B$1,[1]!Data_Loan[Thang.Nam],DTRVL!AL$254)</f>
        <v>0</v>
      </c>
    </row>
    <row r="306" spans="1:38" ht="15" customHeight="1">
      <c r="A306" s="200" t="str">
        <f t="shared" si="62"/>
        <v>VILC</v>
      </c>
      <c r="B306" s="329">
        <v>52</v>
      </c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352">
        <v>0</v>
      </c>
      <c r="AA306" s="352">
        <f>SUMIFS([1]!Data_Loan[Value],[1]!Data_Loan[Index Loan],DTRVL!$B306,[1]!Data_Loan[TenCongTyID],DTRVL!$B$1,[1]!Data_Loan[Thang.Nam],DTRVL!AA$254)</f>
        <v>0</v>
      </c>
      <c r="AB306" s="352">
        <f>SUMIFS([1]!Data_Loan[Value],[1]!Data_Loan[Index Loan],DTRVL!$B306,[1]!Data_Loan[TenCongTyID],DTRVL!$B$1,[1]!Data_Loan[Thang.Nam],DTRVL!AB$254)</f>
        <v>0</v>
      </c>
      <c r="AC306" s="352">
        <f>SUMIFS([1]!Data_Loan[Value],[1]!Data_Loan[Index Loan],DTRVL!$B306,[1]!Data_Loan[TenCongTyID],DTRVL!$B$1,[1]!Data_Loan[Thang.Nam],DTRVL!AC$254)</f>
        <v>0</v>
      </c>
      <c r="AD306" s="352">
        <f>SUMIFS([1]!Data_Loan[Value],[1]!Data_Loan[Index Loan],DTRVL!$B306,[1]!Data_Loan[TenCongTyID],DTRVL!$B$1,[1]!Data_Loan[Thang.Nam],DTRVL!AD$254)</f>
        <v>0</v>
      </c>
      <c r="AE306" s="352">
        <f>SUMIFS([1]!Data_Loan[Value],[1]!Data_Loan[Index Loan],DTRVL!$B306,[1]!Data_Loan[TenCongTyID],DTRVL!$B$1,[1]!Data_Loan[Thang.Nam],DTRVL!AE$254)</f>
        <v>0</v>
      </c>
      <c r="AF306" s="352">
        <f>SUMIFS([1]!Data_Loan[Value],[1]!Data_Loan[Index Loan],DTRVL!$B306,[1]!Data_Loan[TenCongTyID],DTRVL!$B$1,[1]!Data_Loan[Thang.Nam],DTRVL!AF$254)</f>
        <v>0</v>
      </c>
      <c r="AG306" s="352">
        <f>SUMIFS([1]!Data_Loan[Value],[1]!Data_Loan[Index Loan],DTRVL!$B306,[1]!Data_Loan[TenCongTyID],DTRVL!$B$1,[1]!Data_Loan[Thang.Nam],DTRVL!AG$254)</f>
        <v>0</v>
      </c>
      <c r="AH306" s="352">
        <f>SUMIFS([1]!Data_Loan[Value],[1]!Data_Loan[Index Loan],DTRVL!$B306,[1]!Data_Loan[TenCongTyID],DTRVL!$B$1,[1]!Data_Loan[Thang.Nam],DTRVL!AH$254)</f>
        <v>0</v>
      </c>
      <c r="AI306" s="352">
        <f>SUMIFS([1]!Data_Loan[Value],[1]!Data_Loan[Index Loan],DTRVL!$B306,[1]!Data_Loan[TenCongTyID],DTRVL!$B$1,[1]!Data_Loan[Thang.Nam],DTRVL!AI$254)</f>
        <v>0</v>
      </c>
      <c r="AJ306" s="352">
        <f>SUMIFS([1]!Data_Loan[Value],[1]!Data_Loan[Index Loan],DTRVL!$B306,[1]!Data_Loan[TenCongTyID],DTRVL!$B$1,[1]!Data_Loan[Thang.Nam],DTRVL!AJ$254)</f>
        <v>0</v>
      </c>
      <c r="AK306" s="352">
        <f>SUMIFS([1]!Data_Loan[Value],[1]!Data_Loan[Index Loan],DTRVL!$B306,[1]!Data_Loan[TenCongTyID],DTRVL!$B$1,[1]!Data_Loan[Thang.Nam],DTRVL!AK$254)</f>
        <v>0</v>
      </c>
      <c r="AL306" s="352">
        <f>SUMIFS([1]!Data_Loan[Value],[1]!Data_Loan[Index Loan],DTRVL!$B306,[1]!Data_Loan[TenCongTyID],DTRVL!$B$1,[1]!Data_Loan[Thang.Nam],DTRVL!AL$254)</f>
        <v>0</v>
      </c>
    </row>
    <row r="307" spans="1:38" ht="15" customHeight="1">
      <c r="A307" s="200" t="s">
        <v>347</v>
      </c>
      <c r="B307" s="329">
        <v>53</v>
      </c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352">
        <v>0</v>
      </c>
      <c r="AA307" s="352">
        <f>SUMIFS([1]!Data_Loan[Value],[1]!Data_Loan[Index Loan],DTRVL!$B307,[1]!Data_Loan[TenCongTyID],DTRVL!$B$1,[1]!Data_Loan[Thang.Nam],DTRVL!AA$254)</f>
        <v>0</v>
      </c>
      <c r="AB307" s="352">
        <f>SUMIFS([1]!Data_Loan[Value],[1]!Data_Loan[Index Loan],DTRVL!$B307,[1]!Data_Loan[TenCongTyID],DTRVL!$B$1,[1]!Data_Loan[Thang.Nam],DTRVL!AB$254)</f>
        <v>0</v>
      </c>
      <c r="AC307" s="352">
        <f>SUMIFS([1]!Data_Loan[Value],[1]!Data_Loan[Index Loan],DTRVL!$B307,[1]!Data_Loan[TenCongTyID],DTRVL!$B$1,[1]!Data_Loan[Thang.Nam],DTRVL!AC$254)</f>
        <v>0</v>
      </c>
      <c r="AD307" s="352">
        <f>SUMIFS([1]!Data_Loan[Value],[1]!Data_Loan[Index Loan],DTRVL!$B307,[1]!Data_Loan[TenCongTyID],DTRVL!$B$1,[1]!Data_Loan[Thang.Nam],DTRVL!AD$254)</f>
        <v>0</v>
      </c>
      <c r="AE307" s="352">
        <f>SUMIFS([1]!Data_Loan[Value],[1]!Data_Loan[Index Loan],DTRVL!$B307,[1]!Data_Loan[TenCongTyID],DTRVL!$B$1,[1]!Data_Loan[Thang.Nam],DTRVL!AE$254)</f>
        <v>0</v>
      </c>
      <c r="AF307" s="352">
        <f>SUMIFS([1]!Data_Loan[Value],[1]!Data_Loan[Index Loan],DTRVL!$B307,[1]!Data_Loan[TenCongTyID],DTRVL!$B$1,[1]!Data_Loan[Thang.Nam],DTRVL!AF$254)</f>
        <v>0</v>
      </c>
      <c r="AG307" s="352">
        <f>SUMIFS([1]!Data_Loan[Value],[1]!Data_Loan[Index Loan],DTRVL!$B307,[1]!Data_Loan[TenCongTyID],DTRVL!$B$1,[1]!Data_Loan[Thang.Nam],DTRVL!AG$254)</f>
        <v>0</v>
      </c>
      <c r="AH307" s="352">
        <f>SUMIFS([1]!Data_Loan[Value],[1]!Data_Loan[Index Loan],DTRVL!$B307,[1]!Data_Loan[TenCongTyID],DTRVL!$B$1,[1]!Data_Loan[Thang.Nam],DTRVL!AH$254)</f>
        <v>0</v>
      </c>
      <c r="AI307" s="352">
        <f>SUMIFS([1]!Data_Loan[Value],[1]!Data_Loan[Index Loan],DTRVL!$B307,[1]!Data_Loan[TenCongTyID],DTRVL!$B$1,[1]!Data_Loan[Thang.Nam],DTRVL!AI$254)</f>
        <v>0</v>
      </c>
      <c r="AJ307" s="352">
        <f>SUMIFS([1]!Data_Loan[Value],[1]!Data_Loan[Index Loan],DTRVL!$B307,[1]!Data_Loan[TenCongTyID],DTRVL!$B$1,[1]!Data_Loan[Thang.Nam],DTRVL!AJ$254)</f>
        <v>0</v>
      </c>
      <c r="AK307" s="352">
        <f>SUMIFS([1]!Data_Loan[Value],[1]!Data_Loan[Index Loan],DTRVL!$B307,[1]!Data_Loan[TenCongTyID],DTRVL!$B$1,[1]!Data_Loan[Thang.Nam],DTRVL!AK$254)</f>
        <v>0</v>
      </c>
      <c r="AL307" s="352">
        <f>SUMIFS([1]!Data_Loan[Value],[1]!Data_Loan[Index Loan],DTRVL!$B307,[1]!Data_Loan[TenCongTyID],DTRVL!$B$1,[1]!Data_Loan[Thang.Nam],DTRVL!AL$254)</f>
        <v>0</v>
      </c>
    </row>
    <row r="308" spans="1:38" ht="15" customHeight="1">
      <c r="B308" s="335">
        <v>54</v>
      </c>
      <c r="Z308" s="49">
        <v>0</v>
      </c>
      <c r="AA308" s="49">
        <f>SUMIFS([1]!Data_Loan[Value],[1]!Data_Loan[Index Loan],DTRVL!$B308,[1]!Data_Loan[TenCongTyID],DTRVL!$B$1,[1]!Data_Loan[Thang.Nam],DTRVL!AA$254)</f>
        <v>0</v>
      </c>
      <c r="AB308" s="49">
        <f>SUMIFS([1]!Data_Loan[Value],[1]!Data_Loan[Index Loan],DTRVL!$B308,[1]!Data_Loan[TenCongTyID],DTRVL!$B$1,[1]!Data_Loan[Thang.Nam],DTRVL!AB$254)</f>
        <v>0</v>
      </c>
      <c r="AC308" s="49">
        <f>SUMIFS([1]!Data_Loan[Value],[1]!Data_Loan[Index Loan],DTRVL!$B308,[1]!Data_Loan[TenCongTyID],DTRVL!$B$1,[1]!Data_Loan[Thang.Nam],DTRVL!AC$254)</f>
        <v>0</v>
      </c>
      <c r="AD308" s="49">
        <f>SUMIFS([1]!Data_Loan[Value],[1]!Data_Loan[Index Loan],DTRVL!$B308,[1]!Data_Loan[TenCongTyID],DTRVL!$B$1,[1]!Data_Loan[Thang.Nam],DTRVL!AD$254)</f>
        <v>0</v>
      </c>
      <c r="AE308" s="49">
        <f>SUMIFS([1]!Data_Loan[Value],[1]!Data_Loan[Index Loan],DTRVL!$B308,[1]!Data_Loan[TenCongTyID],DTRVL!$B$1,[1]!Data_Loan[Thang.Nam],DTRVL!AE$254)</f>
        <v>0</v>
      </c>
      <c r="AF308" s="49">
        <f>SUMIFS([1]!Data_Loan[Value],[1]!Data_Loan[Index Loan],DTRVL!$B308,[1]!Data_Loan[TenCongTyID],DTRVL!$B$1,[1]!Data_Loan[Thang.Nam],DTRVL!AF$254)</f>
        <v>0</v>
      </c>
      <c r="AG308" s="49">
        <f>SUMIFS([1]!Data_Loan[Value],[1]!Data_Loan[Index Loan],DTRVL!$B308,[1]!Data_Loan[TenCongTyID],DTRVL!$B$1,[1]!Data_Loan[Thang.Nam],DTRVL!AG$254)</f>
        <v>0</v>
      </c>
      <c r="AH308" s="49">
        <f>SUMIFS([1]!Data_Loan[Value],[1]!Data_Loan[Index Loan],DTRVL!$B308,[1]!Data_Loan[TenCongTyID],DTRVL!$B$1,[1]!Data_Loan[Thang.Nam],DTRVL!AH$254)</f>
        <v>0</v>
      </c>
      <c r="AI308" s="49">
        <f>SUMIFS([1]!Data_Loan[Value],[1]!Data_Loan[Index Loan],DTRVL!$B308,[1]!Data_Loan[TenCongTyID],DTRVL!$B$1,[1]!Data_Loan[Thang.Nam],DTRVL!AI$254)</f>
        <v>0</v>
      </c>
      <c r="AJ308" s="49">
        <f>SUMIFS([1]!Data_Loan[Value],[1]!Data_Loan[Index Loan],DTRVL!$B308,[1]!Data_Loan[TenCongTyID],DTRVL!$B$1,[1]!Data_Loan[Thang.Nam],DTRVL!AJ$254)</f>
        <v>0</v>
      </c>
      <c r="AK308" s="49">
        <f>SUMIFS([1]!Data_Loan[Value],[1]!Data_Loan[Index Loan],DTRVL!$B308,[1]!Data_Loan[TenCongTyID],DTRVL!$B$1,[1]!Data_Loan[Thang.Nam],DTRVL!AK$254)</f>
        <v>0</v>
      </c>
      <c r="AL308" s="49">
        <f>SUMIFS([1]!Data_Loan[Value],[1]!Data_Loan[Index Loan],DTRVL!$B308,[1]!Data_Loan[TenCongTyID],DTRVL!$B$1,[1]!Data_Loan[Thang.Nam],DTRVL!AL$254)</f>
        <v>0</v>
      </c>
    </row>
    <row r="309" spans="1:38" ht="15" customHeight="1" thickBot="1">
      <c r="A309" s="203" t="s">
        <v>372</v>
      </c>
      <c r="B309" s="332">
        <v>55</v>
      </c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>
        <f>SUM(Y310:Y317)</f>
        <v>403525189</v>
      </c>
      <c r="Z309" s="205">
        <v>0</v>
      </c>
      <c r="AA309" s="205">
        <f>SUMIFS([1]!Data_Loan[Value],[1]!Data_Loan[Index Loan],DTRVL!$B309,[1]!Data_Loan[TenCongTyID],DTRVL!$B$1,[1]!Data_Loan[Thang.Nam],DTRVL!AA$254)</f>
        <v>0</v>
      </c>
      <c r="AB309" s="205">
        <f>SUMIFS([1]!Data_Loan[Value],[1]!Data_Loan[Index Loan],DTRVL!$B309,[1]!Data_Loan[TenCongTyID],DTRVL!$B$1,[1]!Data_Loan[Thang.Nam],DTRVL!AB$254)</f>
        <v>0</v>
      </c>
      <c r="AC309" s="205">
        <f>SUMIFS([1]!Data_Loan[Value],[1]!Data_Loan[Index Loan],DTRVL!$B309,[1]!Data_Loan[TenCongTyID],DTRVL!$B$1,[1]!Data_Loan[Thang.Nam],DTRVL!AC$254)</f>
        <v>0</v>
      </c>
      <c r="AD309" s="205">
        <f>SUMIFS([1]!Data_Loan[Value],[1]!Data_Loan[Index Loan],DTRVL!$B309,[1]!Data_Loan[TenCongTyID],DTRVL!$B$1,[1]!Data_Loan[Thang.Nam],DTRVL!AD$254)</f>
        <v>0</v>
      </c>
      <c r="AE309" s="205">
        <f>SUMIFS([1]!Data_Loan[Value],[1]!Data_Loan[Index Loan],DTRVL!$B309,[1]!Data_Loan[TenCongTyID],DTRVL!$B$1,[1]!Data_Loan[Thang.Nam],DTRVL!AE$254)</f>
        <v>0</v>
      </c>
      <c r="AF309" s="205">
        <f>SUMIFS([1]!Data_Loan[Value],[1]!Data_Loan[Index Loan],DTRVL!$B309,[1]!Data_Loan[TenCongTyID],DTRVL!$B$1,[1]!Data_Loan[Thang.Nam],DTRVL!AF$254)</f>
        <v>0</v>
      </c>
      <c r="AG309" s="205">
        <f>SUMIFS([1]!Data_Loan[Value],[1]!Data_Loan[Index Loan],DTRVL!$B309,[1]!Data_Loan[TenCongTyID],DTRVL!$B$1,[1]!Data_Loan[Thang.Nam],DTRVL!AG$254)</f>
        <v>0</v>
      </c>
      <c r="AH309" s="205">
        <f>SUMIFS([1]!Data_Loan[Value],[1]!Data_Loan[Index Loan],DTRVL!$B309,[1]!Data_Loan[TenCongTyID],DTRVL!$B$1,[1]!Data_Loan[Thang.Nam],DTRVL!AH$254)</f>
        <v>0</v>
      </c>
      <c r="AI309" s="205">
        <f>SUMIFS([1]!Data_Loan[Value],[1]!Data_Loan[Index Loan],DTRVL!$B309,[1]!Data_Loan[TenCongTyID],DTRVL!$B$1,[1]!Data_Loan[Thang.Nam],DTRVL!AI$254)</f>
        <v>0</v>
      </c>
      <c r="AJ309" s="205">
        <f>SUMIFS([1]!Data_Loan[Value],[1]!Data_Loan[Index Loan],DTRVL!$B309,[1]!Data_Loan[TenCongTyID],DTRVL!$B$1,[1]!Data_Loan[Thang.Nam],DTRVL!AJ$254)</f>
        <v>0</v>
      </c>
      <c r="AK309" s="205">
        <f>SUMIFS([1]!Data_Loan[Value],[1]!Data_Loan[Index Loan],DTRVL!$B309,[1]!Data_Loan[TenCongTyID],DTRVL!$B$1,[1]!Data_Loan[Thang.Nam],DTRVL!AK$254)</f>
        <v>0</v>
      </c>
      <c r="AL309" s="205">
        <f>SUMIFS([1]!Data_Loan[Value],[1]!Data_Loan[Index Loan],DTRVL!$B309,[1]!Data_Loan[TenCongTyID],DTRVL!$B$1,[1]!Data_Loan[Thang.Nam],DTRVL!AL$254)</f>
        <v>0</v>
      </c>
    </row>
    <row r="310" spans="1:38" ht="15" customHeight="1" thickTop="1">
      <c r="A310" s="200" t="str">
        <f t="shared" ref="A310:A315" si="63">A292</f>
        <v>ACB</v>
      </c>
      <c r="B310" s="335">
        <v>56</v>
      </c>
      <c r="Y310" s="201">
        <v>403525189</v>
      </c>
      <c r="Z310" s="201">
        <v>0</v>
      </c>
      <c r="AA310" s="201">
        <f>SUMIFS([1]!Data_Loan[Value],[1]!Data_Loan[Index Loan],DTRVL!$B310,[1]!Data_Loan[TenCongTyID],DTRVL!$B$1,[1]!Data_Loan[Thang.Nam],DTRVL!AA$254)</f>
        <v>0</v>
      </c>
      <c r="AB310" s="201">
        <f>SUMIFS([1]!Data_Loan[Value],[1]!Data_Loan[Index Loan],DTRVL!$B310,[1]!Data_Loan[TenCongTyID],DTRVL!$B$1,[1]!Data_Loan[Thang.Nam],DTRVL!AB$254)</f>
        <v>0</v>
      </c>
      <c r="AC310" s="201">
        <f>SUMIFS([1]!Data_Loan[Value],[1]!Data_Loan[Index Loan],DTRVL!$B310,[1]!Data_Loan[TenCongTyID],DTRVL!$B$1,[1]!Data_Loan[Thang.Nam],DTRVL!AC$254)</f>
        <v>0</v>
      </c>
      <c r="AD310" s="201">
        <f>SUMIFS([1]!Data_Loan[Value],[1]!Data_Loan[Index Loan],DTRVL!$B310,[1]!Data_Loan[TenCongTyID],DTRVL!$B$1,[1]!Data_Loan[Thang.Nam],DTRVL!AD$254)</f>
        <v>0</v>
      </c>
      <c r="AE310" s="201">
        <f>SUMIFS([1]!Data_Loan[Value],[1]!Data_Loan[Index Loan],DTRVL!$B310,[1]!Data_Loan[TenCongTyID],DTRVL!$B$1,[1]!Data_Loan[Thang.Nam],DTRVL!AE$254)</f>
        <v>0</v>
      </c>
      <c r="AF310" s="201">
        <f>SUMIFS([1]!Data_Loan[Value],[1]!Data_Loan[Index Loan],DTRVL!$B310,[1]!Data_Loan[TenCongTyID],DTRVL!$B$1,[1]!Data_Loan[Thang.Nam],DTRVL!AF$254)</f>
        <v>0</v>
      </c>
      <c r="AG310" s="201">
        <f>SUMIFS([1]!Data_Loan[Value],[1]!Data_Loan[Index Loan],DTRVL!$B310,[1]!Data_Loan[TenCongTyID],DTRVL!$B$1,[1]!Data_Loan[Thang.Nam],DTRVL!AG$254)</f>
        <v>0</v>
      </c>
      <c r="AH310" s="201">
        <f>SUMIFS([1]!Data_Loan[Value],[1]!Data_Loan[Index Loan],DTRVL!$B310,[1]!Data_Loan[TenCongTyID],DTRVL!$B$1,[1]!Data_Loan[Thang.Nam],DTRVL!AH$254)</f>
        <v>0</v>
      </c>
      <c r="AI310" s="201">
        <f>SUMIFS([1]!Data_Loan[Value],[1]!Data_Loan[Index Loan],DTRVL!$B310,[1]!Data_Loan[TenCongTyID],DTRVL!$B$1,[1]!Data_Loan[Thang.Nam],DTRVL!AI$254)</f>
        <v>0</v>
      </c>
      <c r="AJ310" s="201">
        <f>SUMIFS([1]!Data_Loan[Value],[1]!Data_Loan[Index Loan],DTRVL!$B310,[1]!Data_Loan[TenCongTyID],DTRVL!$B$1,[1]!Data_Loan[Thang.Nam],DTRVL!AJ$254)</f>
        <v>0</v>
      </c>
      <c r="AK310" s="201">
        <f>SUMIFS([1]!Data_Loan[Value],[1]!Data_Loan[Index Loan],DTRVL!$B310,[1]!Data_Loan[TenCongTyID],DTRVL!$B$1,[1]!Data_Loan[Thang.Nam],DTRVL!AK$254)</f>
        <v>0</v>
      </c>
      <c r="AL310" s="201">
        <f>SUMIFS([1]!Data_Loan[Value],[1]!Data_Loan[Index Loan],DTRVL!$B310,[1]!Data_Loan[TenCongTyID],DTRVL!$B$1,[1]!Data_Loan[Thang.Nam],DTRVL!AL$254)</f>
        <v>0</v>
      </c>
    </row>
    <row r="311" spans="1:38" ht="15" customHeight="1">
      <c r="A311" s="200" t="str">
        <f t="shared" si="63"/>
        <v>VietinBank</v>
      </c>
      <c r="B311" s="335">
        <v>57</v>
      </c>
      <c r="Y311" s="201"/>
      <c r="Z311" s="201">
        <v>0</v>
      </c>
      <c r="AA311" s="201">
        <f>SUMIFS([1]!Data_Loan[Value],[1]!Data_Loan[Index Loan],DTRVL!$B311,[1]!Data_Loan[TenCongTyID],DTRVL!$B$1,[1]!Data_Loan[Thang.Nam],DTRVL!AA$254)</f>
        <v>0</v>
      </c>
      <c r="AB311" s="201">
        <f>SUMIFS([1]!Data_Loan[Value],[1]!Data_Loan[Index Loan],DTRVL!$B311,[1]!Data_Loan[TenCongTyID],DTRVL!$B$1,[1]!Data_Loan[Thang.Nam],DTRVL!AB$254)</f>
        <v>0</v>
      </c>
      <c r="AC311" s="201">
        <f>SUMIFS([1]!Data_Loan[Value],[1]!Data_Loan[Index Loan],DTRVL!$B311,[1]!Data_Loan[TenCongTyID],DTRVL!$B$1,[1]!Data_Loan[Thang.Nam],DTRVL!AC$254)</f>
        <v>0</v>
      </c>
      <c r="AD311" s="201">
        <f>SUMIFS([1]!Data_Loan[Value],[1]!Data_Loan[Index Loan],DTRVL!$B311,[1]!Data_Loan[TenCongTyID],DTRVL!$B$1,[1]!Data_Loan[Thang.Nam],DTRVL!AD$254)</f>
        <v>0</v>
      </c>
      <c r="AE311" s="201">
        <f>SUMIFS([1]!Data_Loan[Value],[1]!Data_Loan[Index Loan],DTRVL!$B311,[1]!Data_Loan[TenCongTyID],DTRVL!$B$1,[1]!Data_Loan[Thang.Nam],DTRVL!AE$254)</f>
        <v>0</v>
      </c>
      <c r="AF311" s="201">
        <f>SUMIFS([1]!Data_Loan[Value],[1]!Data_Loan[Index Loan],DTRVL!$B311,[1]!Data_Loan[TenCongTyID],DTRVL!$B$1,[1]!Data_Loan[Thang.Nam],DTRVL!AF$254)</f>
        <v>0</v>
      </c>
      <c r="AG311" s="201">
        <f>SUMIFS([1]!Data_Loan[Value],[1]!Data_Loan[Index Loan],DTRVL!$B311,[1]!Data_Loan[TenCongTyID],DTRVL!$B$1,[1]!Data_Loan[Thang.Nam],DTRVL!AG$254)</f>
        <v>0</v>
      </c>
      <c r="AH311" s="201">
        <f>SUMIFS([1]!Data_Loan[Value],[1]!Data_Loan[Index Loan],DTRVL!$B311,[1]!Data_Loan[TenCongTyID],DTRVL!$B$1,[1]!Data_Loan[Thang.Nam],DTRVL!AH$254)</f>
        <v>0</v>
      </c>
      <c r="AI311" s="201">
        <f>SUMIFS([1]!Data_Loan[Value],[1]!Data_Loan[Index Loan],DTRVL!$B311,[1]!Data_Loan[TenCongTyID],DTRVL!$B$1,[1]!Data_Loan[Thang.Nam],DTRVL!AI$254)</f>
        <v>0</v>
      </c>
      <c r="AJ311" s="201">
        <f>SUMIFS([1]!Data_Loan[Value],[1]!Data_Loan[Index Loan],DTRVL!$B311,[1]!Data_Loan[TenCongTyID],DTRVL!$B$1,[1]!Data_Loan[Thang.Nam],DTRVL!AJ$254)</f>
        <v>0</v>
      </c>
      <c r="AK311" s="201">
        <f>SUMIFS([1]!Data_Loan[Value],[1]!Data_Loan[Index Loan],DTRVL!$B311,[1]!Data_Loan[TenCongTyID],DTRVL!$B$1,[1]!Data_Loan[Thang.Nam],DTRVL!AK$254)</f>
        <v>0</v>
      </c>
      <c r="AL311" s="201">
        <f>SUMIFS([1]!Data_Loan[Value],[1]!Data_Loan[Index Loan],DTRVL!$B311,[1]!Data_Loan[TenCongTyID],DTRVL!$B$1,[1]!Data_Loan[Thang.Nam],DTRVL!AL$254)</f>
        <v>0</v>
      </c>
    </row>
    <row r="312" spans="1:38" ht="15" customHeight="1">
      <c r="A312" s="200" t="str">
        <f t="shared" si="63"/>
        <v>Vietcombank</v>
      </c>
      <c r="B312" s="335">
        <v>58</v>
      </c>
      <c r="Y312" s="201"/>
      <c r="Z312" s="201">
        <v>0</v>
      </c>
      <c r="AA312" s="201">
        <f>SUMIFS([1]!Data_Loan[Value],[1]!Data_Loan[Index Loan],DTRVL!$B312,[1]!Data_Loan[TenCongTyID],DTRVL!$B$1,[1]!Data_Loan[Thang.Nam],DTRVL!AA$254)</f>
        <v>0</v>
      </c>
      <c r="AB312" s="201">
        <f>SUMIFS([1]!Data_Loan[Value],[1]!Data_Loan[Index Loan],DTRVL!$B312,[1]!Data_Loan[TenCongTyID],DTRVL!$B$1,[1]!Data_Loan[Thang.Nam],DTRVL!AB$254)</f>
        <v>0</v>
      </c>
      <c r="AC312" s="201">
        <f>SUMIFS([1]!Data_Loan[Value],[1]!Data_Loan[Index Loan],DTRVL!$B312,[1]!Data_Loan[TenCongTyID],DTRVL!$B$1,[1]!Data_Loan[Thang.Nam],DTRVL!AC$254)</f>
        <v>0</v>
      </c>
      <c r="AD312" s="201">
        <f>SUMIFS([1]!Data_Loan[Value],[1]!Data_Loan[Index Loan],DTRVL!$B312,[1]!Data_Loan[TenCongTyID],DTRVL!$B$1,[1]!Data_Loan[Thang.Nam],DTRVL!AD$254)</f>
        <v>0</v>
      </c>
      <c r="AE312" s="201">
        <f>SUMIFS([1]!Data_Loan[Value],[1]!Data_Loan[Index Loan],DTRVL!$B312,[1]!Data_Loan[TenCongTyID],DTRVL!$B$1,[1]!Data_Loan[Thang.Nam],DTRVL!AE$254)</f>
        <v>0</v>
      </c>
      <c r="AF312" s="201">
        <f>SUMIFS([1]!Data_Loan[Value],[1]!Data_Loan[Index Loan],DTRVL!$B312,[1]!Data_Loan[TenCongTyID],DTRVL!$B$1,[1]!Data_Loan[Thang.Nam],DTRVL!AF$254)</f>
        <v>0</v>
      </c>
      <c r="AG312" s="201">
        <f>SUMIFS([1]!Data_Loan[Value],[1]!Data_Loan[Index Loan],DTRVL!$B312,[1]!Data_Loan[TenCongTyID],DTRVL!$B$1,[1]!Data_Loan[Thang.Nam],DTRVL!AG$254)</f>
        <v>0</v>
      </c>
      <c r="AH312" s="201">
        <f>SUMIFS([1]!Data_Loan[Value],[1]!Data_Loan[Index Loan],DTRVL!$B312,[1]!Data_Loan[TenCongTyID],DTRVL!$B$1,[1]!Data_Loan[Thang.Nam],DTRVL!AH$254)</f>
        <v>0</v>
      </c>
      <c r="AI312" s="201">
        <f>SUMIFS([1]!Data_Loan[Value],[1]!Data_Loan[Index Loan],DTRVL!$B312,[1]!Data_Loan[TenCongTyID],DTRVL!$B$1,[1]!Data_Loan[Thang.Nam],DTRVL!AI$254)</f>
        <v>0</v>
      </c>
      <c r="AJ312" s="201">
        <f>SUMIFS([1]!Data_Loan[Value],[1]!Data_Loan[Index Loan],DTRVL!$B312,[1]!Data_Loan[TenCongTyID],DTRVL!$B$1,[1]!Data_Loan[Thang.Nam],DTRVL!AJ$254)</f>
        <v>0</v>
      </c>
      <c r="AK312" s="201">
        <f>SUMIFS([1]!Data_Loan[Value],[1]!Data_Loan[Index Loan],DTRVL!$B312,[1]!Data_Loan[TenCongTyID],DTRVL!$B$1,[1]!Data_Loan[Thang.Nam],DTRVL!AK$254)</f>
        <v>0</v>
      </c>
      <c r="AL312" s="201">
        <f>SUMIFS([1]!Data_Loan[Value],[1]!Data_Loan[Index Loan],DTRVL!$B312,[1]!Data_Loan[TenCongTyID],DTRVL!$B$1,[1]!Data_Loan[Thang.Nam],DTRVL!AL$254)</f>
        <v>0</v>
      </c>
    </row>
    <row r="313" spans="1:38" ht="15" customHeight="1">
      <c r="A313" s="200" t="str">
        <f t="shared" si="63"/>
        <v>BIDV</v>
      </c>
      <c r="B313" s="335">
        <v>59</v>
      </c>
      <c r="Y313" s="201"/>
      <c r="Z313" s="201">
        <v>0</v>
      </c>
      <c r="AA313" s="201">
        <f>SUMIFS([1]!Data_Loan[Value],[1]!Data_Loan[Index Loan],DTRVL!$B313,[1]!Data_Loan[TenCongTyID],DTRVL!$B$1,[1]!Data_Loan[Thang.Nam],DTRVL!AA$254)</f>
        <v>0</v>
      </c>
      <c r="AB313" s="201">
        <f>SUMIFS([1]!Data_Loan[Value],[1]!Data_Loan[Index Loan],DTRVL!$B313,[1]!Data_Loan[TenCongTyID],DTRVL!$B$1,[1]!Data_Loan[Thang.Nam],DTRVL!AB$254)</f>
        <v>0</v>
      </c>
      <c r="AC313" s="201">
        <f>SUMIFS([1]!Data_Loan[Value],[1]!Data_Loan[Index Loan],DTRVL!$B313,[1]!Data_Loan[TenCongTyID],DTRVL!$B$1,[1]!Data_Loan[Thang.Nam],DTRVL!AC$254)</f>
        <v>0</v>
      </c>
      <c r="AD313" s="201">
        <f>SUMIFS([1]!Data_Loan[Value],[1]!Data_Loan[Index Loan],DTRVL!$B313,[1]!Data_Loan[TenCongTyID],DTRVL!$B$1,[1]!Data_Loan[Thang.Nam],DTRVL!AD$254)</f>
        <v>0</v>
      </c>
      <c r="AE313" s="201">
        <f>SUMIFS([1]!Data_Loan[Value],[1]!Data_Loan[Index Loan],DTRVL!$B313,[1]!Data_Loan[TenCongTyID],DTRVL!$B$1,[1]!Data_Loan[Thang.Nam],DTRVL!AE$254)</f>
        <v>0</v>
      </c>
      <c r="AF313" s="201">
        <f>SUMIFS([1]!Data_Loan[Value],[1]!Data_Loan[Index Loan],DTRVL!$B313,[1]!Data_Loan[TenCongTyID],DTRVL!$B$1,[1]!Data_Loan[Thang.Nam],DTRVL!AF$254)</f>
        <v>0</v>
      </c>
      <c r="AG313" s="201">
        <f>SUMIFS([1]!Data_Loan[Value],[1]!Data_Loan[Index Loan],DTRVL!$B313,[1]!Data_Loan[TenCongTyID],DTRVL!$B$1,[1]!Data_Loan[Thang.Nam],DTRVL!AG$254)</f>
        <v>0</v>
      </c>
      <c r="AH313" s="201">
        <f>SUMIFS([1]!Data_Loan[Value],[1]!Data_Loan[Index Loan],DTRVL!$B313,[1]!Data_Loan[TenCongTyID],DTRVL!$B$1,[1]!Data_Loan[Thang.Nam],DTRVL!AH$254)</f>
        <v>0</v>
      </c>
      <c r="AI313" s="201">
        <f>SUMIFS([1]!Data_Loan[Value],[1]!Data_Loan[Index Loan],DTRVL!$B313,[1]!Data_Loan[TenCongTyID],DTRVL!$B$1,[1]!Data_Loan[Thang.Nam],DTRVL!AI$254)</f>
        <v>0</v>
      </c>
      <c r="AJ313" s="201">
        <f>SUMIFS([1]!Data_Loan[Value],[1]!Data_Loan[Index Loan],DTRVL!$B313,[1]!Data_Loan[TenCongTyID],DTRVL!$B$1,[1]!Data_Loan[Thang.Nam],DTRVL!AJ$254)</f>
        <v>0</v>
      </c>
      <c r="AK313" s="201">
        <f>SUMIFS([1]!Data_Loan[Value],[1]!Data_Loan[Index Loan],DTRVL!$B313,[1]!Data_Loan[TenCongTyID],DTRVL!$B$1,[1]!Data_Loan[Thang.Nam],DTRVL!AK$254)</f>
        <v>0</v>
      </c>
      <c r="AL313" s="201">
        <f>SUMIFS([1]!Data_Loan[Value],[1]!Data_Loan[Index Loan],DTRVL!$B313,[1]!Data_Loan[TenCongTyID],DTRVL!$B$1,[1]!Data_Loan[Thang.Nam],DTRVL!AL$254)</f>
        <v>0</v>
      </c>
    </row>
    <row r="314" spans="1:38" ht="15" customHeight="1">
      <c r="A314" s="200" t="str">
        <f t="shared" si="63"/>
        <v>Standard Chartered</v>
      </c>
      <c r="B314" s="335">
        <v>60</v>
      </c>
      <c r="Y314" s="201"/>
      <c r="Z314" s="201">
        <v>0</v>
      </c>
      <c r="AA314" s="201">
        <f>SUMIFS([1]!Data_Loan[Value],[1]!Data_Loan[Index Loan],DTRVL!$B314,[1]!Data_Loan[TenCongTyID],DTRVL!$B$1,[1]!Data_Loan[Thang.Nam],DTRVL!AA$254)</f>
        <v>0</v>
      </c>
      <c r="AB314" s="201">
        <f>SUMIFS([1]!Data_Loan[Value],[1]!Data_Loan[Index Loan],DTRVL!$B314,[1]!Data_Loan[TenCongTyID],DTRVL!$B$1,[1]!Data_Loan[Thang.Nam],DTRVL!AB$254)</f>
        <v>0</v>
      </c>
      <c r="AC314" s="201">
        <f>SUMIFS([1]!Data_Loan[Value],[1]!Data_Loan[Index Loan],DTRVL!$B314,[1]!Data_Loan[TenCongTyID],DTRVL!$B$1,[1]!Data_Loan[Thang.Nam],DTRVL!AC$254)</f>
        <v>0</v>
      </c>
      <c r="AD314" s="201">
        <f>SUMIFS([1]!Data_Loan[Value],[1]!Data_Loan[Index Loan],DTRVL!$B314,[1]!Data_Loan[TenCongTyID],DTRVL!$B$1,[1]!Data_Loan[Thang.Nam],DTRVL!AD$254)</f>
        <v>0</v>
      </c>
      <c r="AE314" s="201">
        <f>SUMIFS([1]!Data_Loan[Value],[1]!Data_Loan[Index Loan],DTRVL!$B314,[1]!Data_Loan[TenCongTyID],DTRVL!$B$1,[1]!Data_Loan[Thang.Nam],DTRVL!AE$254)</f>
        <v>0</v>
      </c>
      <c r="AF314" s="201">
        <f>SUMIFS([1]!Data_Loan[Value],[1]!Data_Loan[Index Loan],DTRVL!$B314,[1]!Data_Loan[TenCongTyID],DTRVL!$B$1,[1]!Data_Loan[Thang.Nam],DTRVL!AF$254)</f>
        <v>0</v>
      </c>
      <c r="AG314" s="201">
        <f>SUMIFS([1]!Data_Loan[Value],[1]!Data_Loan[Index Loan],DTRVL!$B314,[1]!Data_Loan[TenCongTyID],DTRVL!$B$1,[1]!Data_Loan[Thang.Nam],DTRVL!AG$254)</f>
        <v>0</v>
      </c>
      <c r="AH314" s="201">
        <f>SUMIFS([1]!Data_Loan[Value],[1]!Data_Loan[Index Loan],DTRVL!$B314,[1]!Data_Loan[TenCongTyID],DTRVL!$B$1,[1]!Data_Loan[Thang.Nam],DTRVL!AH$254)</f>
        <v>0</v>
      </c>
      <c r="AI314" s="201">
        <f>SUMIFS([1]!Data_Loan[Value],[1]!Data_Loan[Index Loan],DTRVL!$B314,[1]!Data_Loan[TenCongTyID],DTRVL!$B$1,[1]!Data_Loan[Thang.Nam],DTRVL!AI$254)</f>
        <v>0</v>
      </c>
      <c r="AJ314" s="201">
        <f>SUMIFS([1]!Data_Loan[Value],[1]!Data_Loan[Index Loan],DTRVL!$B314,[1]!Data_Loan[TenCongTyID],DTRVL!$B$1,[1]!Data_Loan[Thang.Nam],DTRVL!AJ$254)</f>
        <v>0</v>
      </c>
      <c r="AK314" s="201">
        <f>SUMIFS([1]!Data_Loan[Value],[1]!Data_Loan[Index Loan],DTRVL!$B314,[1]!Data_Loan[TenCongTyID],DTRVL!$B$1,[1]!Data_Loan[Thang.Nam],DTRVL!AK$254)</f>
        <v>0</v>
      </c>
      <c r="AL314" s="201">
        <f>SUMIFS([1]!Data_Loan[Value],[1]!Data_Loan[Index Loan],DTRVL!$B314,[1]!Data_Loan[TenCongTyID],DTRVL!$B$1,[1]!Data_Loan[Thang.Nam],DTRVL!AL$254)</f>
        <v>0</v>
      </c>
    </row>
    <row r="315" spans="1:38" ht="15" customHeight="1">
      <c r="A315" s="200" t="str">
        <f t="shared" si="63"/>
        <v>VILC</v>
      </c>
      <c r="B315" s="335">
        <v>61</v>
      </c>
      <c r="Y315" s="201"/>
      <c r="Z315" s="201">
        <v>0</v>
      </c>
      <c r="AA315" s="201">
        <f>SUMIFS([1]!Data_Loan[Value],[1]!Data_Loan[Index Loan],DTRVL!$B315,[1]!Data_Loan[TenCongTyID],DTRVL!$B$1,[1]!Data_Loan[Thang.Nam],DTRVL!AA$254)</f>
        <v>0</v>
      </c>
      <c r="AB315" s="201">
        <f>SUMIFS([1]!Data_Loan[Value],[1]!Data_Loan[Index Loan],DTRVL!$B315,[1]!Data_Loan[TenCongTyID],DTRVL!$B$1,[1]!Data_Loan[Thang.Nam],DTRVL!AB$254)</f>
        <v>0</v>
      </c>
      <c r="AC315" s="201">
        <f>SUMIFS([1]!Data_Loan[Value],[1]!Data_Loan[Index Loan],DTRVL!$B315,[1]!Data_Loan[TenCongTyID],DTRVL!$B$1,[1]!Data_Loan[Thang.Nam],DTRVL!AC$254)</f>
        <v>0</v>
      </c>
      <c r="AD315" s="201">
        <f>SUMIFS([1]!Data_Loan[Value],[1]!Data_Loan[Index Loan],DTRVL!$B315,[1]!Data_Loan[TenCongTyID],DTRVL!$B$1,[1]!Data_Loan[Thang.Nam],DTRVL!AD$254)</f>
        <v>0</v>
      </c>
      <c r="AE315" s="201">
        <f>SUMIFS([1]!Data_Loan[Value],[1]!Data_Loan[Index Loan],DTRVL!$B315,[1]!Data_Loan[TenCongTyID],DTRVL!$B$1,[1]!Data_Loan[Thang.Nam],DTRVL!AE$254)</f>
        <v>0</v>
      </c>
      <c r="AF315" s="201">
        <f>SUMIFS([1]!Data_Loan[Value],[1]!Data_Loan[Index Loan],DTRVL!$B315,[1]!Data_Loan[TenCongTyID],DTRVL!$B$1,[1]!Data_Loan[Thang.Nam],DTRVL!AF$254)</f>
        <v>0</v>
      </c>
      <c r="AG315" s="201">
        <f>SUMIFS([1]!Data_Loan[Value],[1]!Data_Loan[Index Loan],DTRVL!$B315,[1]!Data_Loan[TenCongTyID],DTRVL!$B$1,[1]!Data_Loan[Thang.Nam],DTRVL!AG$254)</f>
        <v>0</v>
      </c>
      <c r="AH315" s="201">
        <f>SUMIFS([1]!Data_Loan[Value],[1]!Data_Loan[Index Loan],DTRVL!$B315,[1]!Data_Loan[TenCongTyID],DTRVL!$B$1,[1]!Data_Loan[Thang.Nam],DTRVL!AH$254)</f>
        <v>0</v>
      </c>
      <c r="AI315" s="201">
        <f>SUMIFS([1]!Data_Loan[Value],[1]!Data_Loan[Index Loan],DTRVL!$B315,[1]!Data_Loan[TenCongTyID],DTRVL!$B$1,[1]!Data_Loan[Thang.Nam],DTRVL!AI$254)</f>
        <v>0</v>
      </c>
      <c r="AJ315" s="201">
        <f>SUMIFS([1]!Data_Loan[Value],[1]!Data_Loan[Index Loan],DTRVL!$B315,[1]!Data_Loan[TenCongTyID],DTRVL!$B$1,[1]!Data_Loan[Thang.Nam],DTRVL!AJ$254)</f>
        <v>0</v>
      </c>
      <c r="AK315" s="201">
        <f>SUMIFS([1]!Data_Loan[Value],[1]!Data_Loan[Index Loan],DTRVL!$B315,[1]!Data_Loan[TenCongTyID],DTRVL!$B$1,[1]!Data_Loan[Thang.Nam],DTRVL!AK$254)</f>
        <v>0</v>
      </c>
      <c r="AL315" s="201">
        <f>SUMIFS([1]!Data_Loan[Value],[1]!Data_Loan[Index Loan],DTRVL!$B315,[1]!Data_Loan[TenCongTyID],DTRVL!$B$1,[1]!Data_Loan[Thang.Nam],DTRVL!AL$254)</f>
        <v>0</v>
      </c>
    </row>
    <row r="316" spans="1:38" ht="15" customHeight="1">
      <c r="A316" s="200" t="s">
        <v>347</v>
      </c>
      <c r="B316" s="335">
        <v>62</v>
      </c>
      <c r="Y316" s="201"/>
      <c r="Z316" s="201">
        <v>0</v>
      </c>
      <c r="AA316" s="201">
        <f>SUMIFS([1]!Data_Loan[Value],[1]!Data_Loan[Index Loan],DTRVL!$B316,[1]!Data_Loan[TenCongTyID],DTRVL!$B$1,[1]!Data_Loan[Thang.Nam],DTRVL!AA$254)</f>
        <v>0</v>
      </c>
      <c r="AB316" s="201">
        <f>SUMIFS([1]!Data_Loan[Value],[1]!Data_Loan[Index Loan],DTRVL!$B316,[1]!Data_Loan[TenCongTyID],DTRVL!$B$1,[1]!Data_Loan[Thang.Nam],DTRVL!AB$254)</f>
        <v>0</v>
      </c>
      <c r="AC316" s="201">
        <f>SUMIFS([1]!Data_Loan[Value],[1]!Data_Loan[Index Loan],DTRVL!$B316,[1]!Data_Loan[TenCongTyID],DTRVL!$B$1,[1]!Data_Loan[Thang.Nam],DTRVL!AC$254)</f>
        <v>0</v>
      </c>
      <c r="AD316" s="201">
        <f>SUMIFS([1]!Data_Loan[Value],[1]!Data_Loan[Index Loan],DTRVL!$B316,[1]!Data_Loan[TenCongTyID],DTRVL!$B$1,[1]!Data_Loan[Thang.Nam],DTRVL!AD$254)</f>
        <v>0</v>
      </c>
      <c r="AE316" s="201">
        <f>SUMIFS([1]!Data_Loan[Value],[1]!Data_Loan[Index Loan],DTRVL!$B316,[1]!Data_Loan[TenCongTyID],DTRVL!$B$1,[1]!Data_Loan[Thang.Nam],DTRVL!AE$254)</f>
        <v>0</v>
      </c>
      <c r="AF316" s="201">
        <f>SUMIFS([1]!Data_Loan[Value],[1]!Data_Loan[Index Loan],DTRVL!$B316,[1]!Data_Loan[TenCongTyID],DTRVL!$B$1,[1]!Data_Loan[Thang.Nam],DTRVL!AF$254)</f>
        <v>0</v>
      </c>
      <c r="AG316" s="201">
        <f>SUMIFS([1]!Data_Loan[Value],[1]!Data_Loan[Index Loan],DTRVL!$B316,[1]!Data_Loan[TenCongTyID],DTRVL!$B$1,[1]!Data_Loan[Thang.Nam],DTRVL!AG$254)</f>
        <v>0</v>
      </c>
      <c r="AH316" s="201">
        <f>SUMIFS([1]!Data_Loan[Value],[1]!Data_Loan[Index Loan],DTRVL!$B316,[1]!Data_Loan[TenCongTyID],DTRVL!$B$1,[1]!Data_Loan[Thang.Nam],DTRVL!AH$254)</f>
        <v>0</v>
      </c>
      <c r="AI316" s="201">
        <f>SUMIFS([1]!Data_Loan[Value],[1]!Data_Loan[Index Loan],DTRVL!$B316,[1]!Data_Loan[TenCongTyID],DTRVL!$B$1,[1]!Data_Loan[Thang.Nam],DTRVL!AI$254)</f>
        <v>0</v>
      </c>
      <c r="AJ316" s="201">
        <f>SUMIFS([1]!Data_Loan[Value],[1]!Data_Loan[Index Loan],DTRVL!$B316,[1]!Data_Loan[TenCongTyID],DTRVL!$B$1,[1]!Data_Loan[Thang.Nam],DTRVL!AJ$254)</f>
        <v>0</v>
      </c>
      <c r="AK316" s="201">
        <f>SUMIFS([1]!Data_Loan[Value],[1]!Data_Loan[Index Loan],DTRVL!$B316,[1]!Data_Loan[TenCongTyID],DTRVL!$B$1,[1]!Data_Loan[Thang.Nam],DTRVL!AK$254)</f>
        <v>0</v>
      </c>
      <c r="AL316" s="201">
        <f>SUMIFS([1]!Data_Loan[Value],[1]!Data_Loan[Index Loan],DTRVL!$B316,[1]!Data_Loan[TenCongTyID],DTRVL!$B$1,[1]!Data_Loan[Thang.Nam],DTRVL!AL$254)</f>
        <v>0</v>
      </c>
    </row>
    <row r="317" spans="1:38" ht="15" customHeight="1">
      <c r="B317" s="335">
        <v>63</v>
      </c>
      <c r="Y317" s="201"/>
      <c r="Z317" s="201">
        <v>0</v>
      </c>
      <c r="AA317" s="201">
        <f>SUMIFS([1]!Data_Loan[Value],[1]!Data_Loan[Index Loan],DTRVL!$B317,[1]!Data_Loan[TenCongTyID],DTRVL!$B$1,[1]!Data_Loan[Thang.Nam],DTRVL!AA$254)</f>
        <v>0</v>
      </c>
      <c r="AB317" s="201">
        <f>SUMIFS([1]!Data_Loan[Value],[1]!Data_Loan[Index Loan],DTRVL!$B317,[1]!Data_Loan[TenCongTyID],DTRVL!$B$1,[1]!Data_Loan[Thang.Nam],DTRVL!AB$254)</f>
        <v>0</v>
      </c>
      <c r="AC317" s="201">
        <f>SUMIFS([1]!Data_Loan[Value],[1]!Data_Loan[Index Loan],DTRVL!$B317,[1]!Data_Loan[TenCongTyID],DTRVL!$B$1,[1]!Data_Loan[Thang.Nam],DTRVL!AC$254)</f>
        <v>0</v>
      </c>
      <c r="AD317" s="201">
        <f>SUMIFS([1]!Data_Loan[Value],[1]!Data_Loan[Index Loan],DTRVL!$B317,[1]!Data_Loan[TenCongTyID],DTRVL!$B$1,[1]!Data_Loan[Thang.Nam],DTRVL!AD$254)</f>
        <v>0</v>
      </c>
      <c r="AE317" s="201">
        <f>SUMIFS([1]!Data_Loan[Value],[1]!Data_Loan[Index Loan],DTRVL!$B317,[1]!Data_Loan[TenCongTyID],DTRVL!$B$1,[1]!Data_Loan[Thang.Nam],DTRVL!AE$254)</f>
        <v>0</v>
      </c>
      <c r="AF317" s="201">
        <f>SUMIFS([1]!Data_Loan[Value],[1]!Data_Loan[Index Loan],DTRVL!$B317,[1]!Data_Loan[TenCongTyID],DTRVL!$B$1,[1]!Data_Loan[Thang.Nam],DTRVL!AF$254)</f>
        <v>0</v>
      </c>
      <c r="AG317" s="201">
        <f>SUMIFS([1]!Data_Loan[Value],[1]!Data_Loan[Index Loan],DTRVL!$B317,[1]!Data_Loan[TenCongTyID],DTRVL!$B$1,[1]!Data_Loan[Thang.Nam],DTRVL!AG$254)</f>
        <v>0</v>
      </c>
      <c r="AH317" s="201">
        <f>SUMIFS([1]!Data_Loan[Value],[1]!Data_Loan[Index Loan],DTRVL!$B317,[1]!Data_Loan[TenCongTyID],DTRVL!$B$1,[1]!Data_Loan[Thang.Nam],DTRVL!AH$254)</f>
        <v>0</v>
      </c>
      <c r="AI317" s="201">
        <f>SUMIFS([1]!Data_Loan[Value],[1]!Data_Loan[Index Loan],DTRVL!$B317,[1]!Data_Loan[TenCongTyID],DTRVL!$B$1,[1]!Data_Loan[Thang.Nam],DTRVL!AI$254)</f>
        <v>0</v>
      </c>
      <c r="AJ317" s="201">
        <f>SUMIFS([1]!Data_Loan[Value],[1]!Data_Loan[Index Loan],DTRVL!$B317,[1]!Data_Loan[TenCongTyID],DTRVL!$B$1,[1]!Data_Loan[Thang.Nam],DTRVL!AJ$254)</f>
        <v>0</v>
      </c>
      <c r="AK317" s="201">
        <f>SUMIFS([1]!Data_Loan[Value],[1]!Data_Loan[Index Loan],DTRVL!$B317,[1]!Data_Loan[TenCongTyID],DTRVL!$B$1,[1]!Data_Loan[Thang.Nam],DTRVL!AK$254)</f>
        <v>0</v>
      </c>
      <c r="AL317" s="201">
        <f>SUMIFS([1]!Data_Loan[Value],[1]!Data_Loan[Index Loan],DTRVL!$B317,[1]!Data_Loan[TenCongTyID],DTRVL!$B$1,[1]!Data_Loan[Thang.Nam],DTRVL!AL$254)</f>
        <v>0</v>
      </c>
    </row>
    <row r="318" spans="1:38" ht="15" customHeight="1" thickBot="1">
      <c r="A318" s="203" t="s">
        <v>373</v>
      </c>
      <c r="B318" s="332">
        <v>64</v>
      </c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>
        <v>0</v>
      </c>
      <c r="AA318" s="205">
        <f>SUMIFS([1]!Data_Loan[Value],[1]!Data_Loan[Index Loan],DTRVL!$B318,[1]!Data_Loan[TenCongTyID],DTRVL!$B$1,[1]!Data_Loan[Thang.Nam],DTRVL!AA$254)</f>
        <v>0</v>
      </c>
      <c r="AB318" s="205">
        <f>SUMIFS([1]!Data_Loan[Value],[1]!Data_Loan[Index Loan],DTRVL!$B318,[1]!Data_Loan[TenCongTyID],DTRVL!$B$1,[1]!Data_Loan[Thang.Nam],DTRVL!AB$254)</f>
        <v>0</v>
      </c>
      <c r="AC318" s="205">
        <f>SUMIFS([1]!Data_Loan[Value],[1]!Data_Loan[Index Loan],DTRVL!$B318,[1]!Data_Loan[TenCongTyID],DTRVL!$B$1,[1]!Data_Loan[Thang.Nam],DTRVL!AC$254)</f>
        <v>0</v>
      </c>
      <c r="AD318" s="205">
        <f>SUMIFS([1]!Data_Loan[Value],[1]!Data_Loan[Index Loan],DTRVL!$B318,[1]!Data_Loan[TenCongTyID],DTRVL!$B$1,[1]!Data_Loan[Thang.Nam],DTRVL!AD$254)</f>
        <v>0</v>
      </c>
      <c r="AE318" s="205">
        <f>SUMIFS([1]!Data_Loan[Value],[1]!Data_Loan[Index Loan],DTRVL!$B318,[1]!Data_Loan[TenCongTyID],DTRVL!$B$1,[1]!Data_Loan[Thang.Nam],DTRVL!AE$254)</f>
        <v>0</v>
      </c>
      <c r="AF318" s="205">
        <f>SUMIFS([1]!Data_Loan[Value],[1]!Data_Loan[Index Loan],DTRVL!$B318,[1]!Data_Loan[TenCongTyID],DTRVL!$B$1,[1]!Data_Loan[Thang.Nam],DTRVL!AF$254)</f>
        <v>0</v>
      </c>
      <c r="AG318" s="205">
        <f>SUMIFS([1]!Data_Loan[Value],[1]!Data_Loan[Index Loan],DTRVL!$B318,[1]!Data_Loan[TenCongTyID],DTRVL!$B$1,[1]!Data_Loan[Thang.Nam],DTRVL!AG$254)</f>
        <v>0</v>
      </c>
      <c r="AH318" s="205">
        <f>SUMIFS([1]!Data_Loan[Value],[1]!Data_Loan[Index Loan],DTRVL!$B318,[1]!Data_Loan[TenCongTyID],DTRVL!$B$1,[1]!Data_Loan[Thang.Nam],DTRVL!AH$254)</f>
        <v>0</v>
      </c>
      <c r="AI318" s="205">
        <f>SUMIFS([1]!Data_Loan[Value],[1]!Data_Loan[Index Loan],DTRVL!$B318,[1]!Data_Loan[TenCongTyID],DTRVL!$B$1,[1]!Data_Loan[Thang.Nam],DTRVL!AI$254)</f>
        <v>0</v>
      </c>
      <c r="AJ318" s="205">
        <f>SUMIFS([1]!Data_Loan[Value],[1]!Data_Loan[Index Loan],DTRVL!$B318,[1]!Data_Loan[TenCongTyID],DTRVL!$B$1,[1]!Data_Loan[Thang.Nam],DTRVL!AJ$254)</f>
        <v>0</v>
      </c>
      <c r="AK318" s="205">
        <f>SUMIFS([1]!Data_Loan[Value],[1]!Data_Loan[Index Loan],DTRVL!$B318,[1]!Data_Loan[TenCongTyID],DTRVL!$B$1,[1]!Data_Loan[Thang.Nam],DTRVL!AK$254)</f>
        <v>0</v>
      </c>
      <c r="AL318" s="205">
        <f>SUMIFS([1]!Data_Loan[Value],[1]!Data_Loan[Index Loan],DTRVL!$B318,[1]!Data_Loan[TenCongTyID],DTRVL!$B$1,[1]!Data_Loan[Thang.Nam],DTRVL!AL$254)</f>
        <v>0</v>
      </c>
    </row>
    <row r="319" spans="1:38" ht="15" customHeight="1" thickTop="1">
      <c r="A319" s="200" t="str">
        <f t="shared" ref="A319:A324" si="64">A301</f>
        <v>ACB</v>
      </c>
      <c r="B319" s="335">
        <v>65</v>
      </c>
      <c r="Z319" s="49">
        <v>0</v>
      </c>
      <c r="AA319" s="49">
        <f>SUMIFS([1]!Data_Loan[Value],[1]!Data_Loan[Index Loan],DTRVL!$B319,[1]!Data_Loan[TenCongTyID],DTRVL!$B$1,[1]!Data_Loan[Thang.Nam],DTRVL!AA$254)</f>
        <v>0</v>
      </c>
      <c r="AB319" s="49">
        <f>SUMIFS([1]!Data_Loan[Value],[1]!Data_Loan[Index Loan],DTRVL!$B319,[1]!Data_Loan[TenCongTyID],DTRVL!$B$1,[1]!Data_Loan[Thang.Nam],DTRVL!AB$254)</f>
        <v>0</v>
      </c>
      <c r="AC319" s="49">
        <f>SUMIFS([1]!Data_Loan[Value],[1]!Data_Loan[Index Loan],DTRVL!$B319,[1]!Data_Loan[TenCongTyID],DTRVL!$B$1,[1]!Data_Loan[Thang.Nam],DTRVL!AC$254)</f>
        <v>0</v>
      </c>
      <c r="AD319" s="49">
        <f>SUMIFS([1]!Data_Loan[Value],[1]!Data_Loan[Index Loan],DTRVL!$B319,[1]!Data_Loan[TenCongTyID],DTRVL!$B$1,[1]!Data_Loan[Thang.Nam],DTRVL!AD$254)</f>
        <v>0</v>
      </c>
      <c r="AE319" s="49">
        <f>SUMIFS([1]!Data_Loan[Value],[1]!Data_Loan[Index Loan],DTRVL!$B319,[1]!Data_Loan[TenCongTyID],DTRVL!$B$1,[1]!Data_Loan[Thang.Nam],DTRVL!AE$254)</f>
        <v>0</v>
      </c>
      <c r="AF319" s="49">
        <f>SUMIFS([1]!Data_Loan[Value],[1]!Data_Loan[Index Loan],DTRVL!$B319,[1]!Data_Loan[TenCongTyID],DTRVL!$B$1,[1]!Data_Loan[Thang.Nam],DTRVL!AF$254)</f>
        <v>0</v>
      </c>
      <c r="AG319" s="49">
        <f>SUMIFS([1]!Data_Loan[Value],[1]!Data_Loan[Index Loan],DTRVL!$B319,[1]!Data_Loan[TenCongTyID],DTRVL!$B$1,[1]!Data_Loan[Thang.Nam],DTRVL!AG$254)</f>
        <v>0</v>
      </c>
      <c r="AH319" s="49">
        <f>SUMIFS([1]!Data_Loan[Value],[1]!Data_Loan[Index Loan],DTRVL!$B319,[1]!Data_Loan[TenCongTyID],DTRVL!$B$1,[1]!Data_Loan[Thang.Nam],DTRVL!AH$254)</f>
        <v>0</v>
      </c>
      <c r="AI319" s="49">
        <f>SUMIFS([1]!Data_Loan[Value],[1]!Data_Loan[Index Loan],DTRVL!$B319,[1]!Data_Loan[TenCongTyID],DTRVL!$B$1,[1]!Data_Loan[Thang.Nam],DTRVL!AI$254)</f>
        <v>0</v>
      </c>
      <c r="AJ319" s="49">
        <f>SUMIFS([1]!Data_Loan[Value],[1]!Data_Loan[Index Loan],DTRVL!$B319,[1]!Data_Loan[TenCongTyID],DTRVL!$B$1,[1]!Data_Loan[Thang.Nam],DTRVL!AJ$254)</f>
        <v>0</v>
      </c>
      <c r="AK319" s="49">
        <f>SUMIFS([1]!Data_Loan[Value],[1]!Data_Loan[Index Loan],DTRVL!$B319,[1]!Data_Loan[TenCongTyID],DTRVL!$B$1,[1]!Data_Loan[Thang.Nam],DTRVL!AK$254)</f>
        <v>0</v>
      </c>
      <c r="AL319" s="49">
        <f>SUMIFS([1]!Data_Loan[Value],[1]!Data_Loan[Index Loan],DTRVL!$B319,[1]!Data_Loan[TenCongTyID],DTRVL!$B$1,[1]!Data_Loan[Thang.Nam],DTRVL!AL$254)</f>
        <v>0</v>
      </c>
    </row>
    <row r="320" spans="1:38" ht="15" customHeight="1">
      <c r="A320" s="200" t="str">
        <f t="shared" si="64"/>
        <v>VietinBank</v>
      </c>
      <c r="B320" s="335">
        <v>66</v>
      </c>
      <c r="Z320" s="49">
        <v>0</v>
      </c>
      <c r="AA320" s="49">
        <f>SUMIFS([1]!Data_Loan[Value],[1]!Data_Loan[Index Loan],DTRVL!$B320,[1]!Data_Loan[TenCongTyID],DTRVL!$B$1,[1]!Data_Loan[Thang.Nam],DTRVL!AA$254)</f>
        <v>0</v>
      </c>
      <c r="AB320" s="49">
        <f>SUMIFS([1]!Data_Loan[Value],[1]!Data_Loan[Index Loan],DTRVL!$B320,[1]!Data_Loan[TenCongTyID],DTRVL!$B$1,[1]!Data_Loan[Thang.Nam],DTRVL!AB$254)</f>
        <v>0</v>
      </c>
      <c r="AC320" s="49">
        <f>SUMIFS([1]!Data_Loan[Value],[1]!Data_Loan[Index Loan],DTRVL!$B320,[1]!Data_Loan[TenCongTyID],DTRVL!$B$1,[1]!Data_Loan[Thang.Nam],DTRVL!AC$254)</f>
        <v>0</v>
      </c>
      <c r="AD320" s="49">
        <f>SUMIFS([1]!Data_Loan[Value],[1]!Data_Loan[Index Loan],DTRVL!$B320,[1]!Data_Loan[TenCongTyID],DTRVL!$B$1,[1]!Data_Loan[Thang.Nam],DTRVL!AD$254)</f>
        <v>0</v>
      </c>
      <c r="AE320" s="49">
        <f>SUMIFS([1]!Data_Loan[Value],[1]!Data_Loan[Index Loan],DTRVL!$B320,[1]!Data_Loan[TenCongTyID],DTRVL!$B$1,[1]!Data_Loan[Thang.Nam],DTRVL!AE$254)</f>
        <v>0</v>
      </c>
      <c r="AF320" s="49">
        <f>SUMIFS([1]!Data_Loan[Value],[1]!Data_Loan[Index Loan],DTRVL!$B320,[1]!Data_Loan[TenCongTyID],DTRVL!$B$1,[1]!Data_Loan[Thang.Nam],DTRVL!AF$254)</f>
        <v>0</v>
      </c>
      <c r="AG320" s="49">
        <f>SUMIFS([1]!Data_Loan[Value],[1]!Data_Loan[Index Loan],DTRVL!$B320,[1]!Data_Loan[TenCongTyID],DTRVL!$B$1,[1]!Data_Loan[Thang.Nam],DTRVL!AG$254)</f>
        <v>0</v>
      </c>
      <c r="AH320" s="49">
        <f>SUMIFS([1]!Data_Loan[Value],[1]!Data_Loan[Index Loan],DTRVL!$B320,[1]!Data_Loan[TenCongTyID],DTRVL!$B$1,[1]!Data_Loan[Thang.Nam],DTRVL!AH$254)</f>
        <v>0</v>
      </c>
      <c r="AI320" s="49">
        <f>SUMIFS([1]!Data_Loan[Value],[1]!Data_Loan[Index Loan],DTRVL!$B320,[1]!Data_Loan[TenCongTyID],DTRVL!$B$1,[1]!Data_Loan[Thang.Nam],DTRVL!AI$254)</f>
        <v>0</v>
      </c>
      <c r="AJ320" s="49">
        <f>SUMIFS([1]!Data_Loan[Value],[1]!Data_Loan[Index Loan],DTRVL!$B320,[1]!Data_Loan[TenCongTyID],DTRVL!$B$1,[1]!Data_Loan[Thang.Nam],DTRVL!AJ$254)</f>
        <v>0</v>
      </c>
      <c r="AK320" s="49">
        <f>SUMIFS([1]!Data_Loan[Value],[1]!Data_Loan[Index Loan],DTRVL!$B320,[1]!Data_Loan[TenCongTyID],DTRVL!$B$1,[1]!Data_Loan[Thang.Nam],DTRVL!AK$254)</f>
        <v>0</v>
      </c>
      <c r="AL320" s="49">
        <f>SUMIFS([1]!Data_Loan[Value],[1]!Data_Loan[Index Loan],DTRVL!$B320,[1]!Data_Loan[TenCongTyID],DTRVL!$B$1,[1]!Data_Loan[Thang.Nam],DTRVL!AL$254)</f>
        <v>0</v>
      </c>
    </row>
    <row r="321" spans="1:38" ht="15" customHeight="1">
      <c r="A321" s="200" t="str">
        <f t="shared" si="64"/>
        <v>Vietcombank</v>
      </c>
      <c r="B321" s="335">
        <v>67</v>
      </c>
      <c r="Z321" s="49">
        <v>0</v>
      </c>
      <c r="AA321" s="49">
        <f>SUMIFS([1]!Data_Loan[Value],[1]!Data_Loan[Index Loan],DTRVL!$B321,[1]!Data_Loan[TenCongTyID],DTRVL!$B$1,[1]!Data_Loan[Thang.Nam],DTRVL!AA$254)</f>
        <v>0</v>
      </c>
      <c r="AB321" s="49">
        <f>SUMIFS([1]!Data_Loan[Value],[1]!Data_Loan[Index Loan],DTRVL!$B321,[1]!Data_Loan[TenCongTyID],DTRVL!$B$1,[1]!Data_Loan[Thang.Nam],DTRVL!AB$254)</f>
        <v>0</v>
      </c>
      <c r="AC321" s="49">
        <f>SUMIFS([1]!Data_Loan[Value],[1]!Data_Loan[Index Loan],DTRVL!$B321,[1]!Data_Loan[TenCongTyID],DTRVL!$B$1,[1]!Data_Loan[Thang.Nam],DTRVL!AC$254)</f>
        <v>0</v>
      </c>
      <c r="AD321" s="49">
        <f>SUMIFS([1]!Data_Loan[Value],[1]!Data_Loan[Index Loan],DTRVL!$B321,[1]!Data_Loan[TenCongTyID],DTRVL!$B$1,[1]!Data_Loan[Thang.Nam],DTRVL!AD$254)</f>
        <v>0</v>
      </c>
      <c r="AE321" s="49">
        <f>SUMIFS([1]!Data_Loan[Value],[1]!Data_Loan[Index Loan],DTRVL!$B321,[1]!Data_Loan[TenCongTyID],DTRVL!$B$1,[1]!Data_Loan[Thang.Nam],DTRVL!AE$254)</f>
        <v>0</v>
      </c>
      <c r="AF321" s="49">
        <f>SUMIFS([1]!Data_Loan[Value],[1]!Data_Loan[Index Loan],DTRVL!$B321,[1]!Data_Loan[TenCongTyID],DTRVL!$B$1,[1]!Data_Loan[Thang.Nam],DTRVL!AF$254)</f>
        <v>0</v>
      </c>
      <c r="AG321" s="49">
        <f>SUMIFS([1]!Data_Loan[Value],[1]!Data_Loan[Index Loan],DTRVL!$B321,[1]!Data_Loan[TenCongTyID],DTRVL!$B$1,[1]!Data_Loan[Thang.Nam],DTRVL!AG$254)</f>
        <v>0</v>
      </c>
      <c r="AH321" s="49">
        <f>SUMIFS([1]!Data_Loan[Value],[1]!Data_Loan[Index Loan],DTRVL!$B321,[1]!Data_Loan[TenCongTyID],DTRVL!$B$1,[1]!Data_Loan[Thang.Nam],DTRVL!AH$254)</f>
        <v>0</v>
      </c>
      <c r="AI321" s="49">
        <f>SUMIFS([1]!Data_Loan[Value],[1]!Data_Loan[Index Loan],DTRVL!$B321,[1]!Data_Loan[TenCongTyID],DTRVL!$B$1,[1]!Data_Loan[Thang.Nam],DTRVL!AI$254)</f>
        <v>0</v>
      </c>
      <c r="AJ321" s="49">
        <f>SUMIFS([1]!Data_Loan[Value],[1]!Data_Loan[Index Loan],DTRVL!$B321,[1]!Data_Loan[TenCongTyID],DTRVL!$B$1,[1]!Data_Loan[Thang.Nam],DTRVL!AJ$254)</f>
        <v>0</v>
      </c>
      <c r="AK321" s="49">
        <f>SUMIFS([1]!Data_Loan[Value],[1]!Data_Loan[Index Loan],DTRVL!$B321,[1]!Data_Loan[TenCongTyID],DTRVL!$B$1,[1]!Data_Loan[Thang.Nam],DTRVL!AK$254)</f>
        <v>0</v>
      </c>
      <c r="AL321" s="49">
        <f>SUMIFS([1]!Data_Loan[Value],[1]!Data_Loan[Index Loan],DTRVL!$B321,[1]!Data_Loan[TenCongTyID],DTRVL!$B$1,[1]!Data_Loan[Thang.Nam],DTRVL!AL$254)</f>
        <v>0</v>
      </c>
    </row>
    <row r="322" spans="1:38" ht="15" customHeight="1">
      <c r="A322" s="200" t="str">
        <f t="shared" si="64"/>
        <v>BIDV</v>
      </c>
      <c r="B322" s="335">
        <v>68</v>
      </c>
      <c r="Z322" s="49">
        <v>0</v>
      </c>
      <c r="AA322" s="49">
        <f>SUMIFS([1]!Data_Loan[Value],[1]!Data_Loan[Index Loan],DTRVL!$B322,[1]!Data_Loan[TenCongTyID],DTRVL!$B$1,[1]!Data_Loan[Thang.Nam],DTRVL!AA$254)</f>
        <v>0</v>
      </c>
      <c r="AB322" s="49">
        <f>SUMIFS([1]!Data_Loan[Value],[1]!Data_Loan[Index Loan],DTRVL!$B322,[1]!Data_Loan[TenCongTyID],DTRVL!$B$1,[1]!Data_Loan[Thang.Nam],DTRVL!AB$254)</f>
        <v>0</v>
      </c>
      <c r="AC322" s="49">
        <f>SUMIFS([1]!Data_Loan[Value],[1]!Data_Loan[Index Loan],DTRVL!$B322,[1]!Data_Loan[TenCongTyID],DTRVL!$B$1,[1]!Data_Loan[Thang.Nam],DTRVL!AC$254)</f>
        <v>0</v>
      </c>
      <c r="AD322" s="49">
        <f>SUMIFS([1]!Data_Loan[Value],[1]!Data_Loan[Index Loan],DTRVL!$B322,[1]!Data_Loan[TenCongTyID],DTRVL!$B$1,[1]!Data_Loan[Thang.Nam],DTRVL!AD$254)</f>
        <v>0</v>
      </c>
      <c r="AE322" s="49">
        <f>SUMIFS([1]!Data_Loan[Value],[1]!Data_Loan[Index Loan],DTRVL!$B322,[1]!Data_Loan[TenCongTyID],DTRVL!$B$1,[1]!Data_Loan[Thang.Nam],DTRVL!AE$254)</f>
        <v>0</v>
      </c>
      <c r="AF322" s="49">
        <f>SUMIFS([1]!Data_Loan[Value],[1]!Data_Loan[Index Loan],DTRVL!$B322,[1]!Data_Loan[TenCongTyID],DTRVL!$B$1,[1]!Data_Loan[Thang.Nam],DTRVL!AF$254)</f>
        <v>0</v>
      </c>
      <c r="AG322" s="49">
        <f>SUMIFS([1]!Data_Loan[Value],[1]!Data_Loan[Index Loan],DTRVL!$B322,[1]!Data_Loan[TenCongTyID],DTRVL!$B$1,[1]!Data_Loan[Thang.Nam],DTRVL!AG$254)</f>
        <v>0</v>
      </c>
      <c r="AH322" s="49">
        <f>SUMIFS([1]!Data_Loan[Value],[1]!Data_Loan[Index Loan],DTRVL!$B322,[1]!Data_Loan[TenCongTyID],DTRVL!$B$1,[1]!Data_Loan[Thang.Nam],DTRVL!AH$254)</f>
        <v>0</v>
      </c>
      <c r="AI322" s="49">
        <f>SUMIFS([1]!Data_Loan[Value],[1]!Data_Loan[Index Loan],DTRVL!$B322,[1]!Data_Loan[TenCongTyID],DTRVL!$B$1,[1]!Data_Loan[Thang.Nam],DTRVL!AI$254)</f>
        <v>0</v>
      </c>
      <c r="AJ322" s="49">
        <f>SUMIFS([1]!Data_Loan[Value],[1]!Data_Loan[Index Loan],DTRVL!$B322,[1]!Data_Loan[TenCongTyID],DTRVL!$B$1,[1]!Data_Loan[Thang.Nam],DTRVL!AJ$254)</f>
        <v>0</v>
      </c>
      <c r="AK322" s="49">
        <f>SUMIFS([1]!Data_Loan[Value],[1]!Data_Loan[Index Loan],DTRVL!$B322,[1]!Data_Loan[TenCongTyID],DTRVL!$B$1,[1]!Data_Loan[Thang.Nam],DTRVL!AK$254)</f>
        <v>0</v>
      </c>
      <c r="AL322" s="49">
        <f>SUMIFS([1]!Data_Loan[Value],[1]!Data_Loan[Index Loan],DTRVL!$B322,[1]!Data_Loan[TenCongTyID],DTRVL!$B$1,[1]!Data_Loan[Thang.Nam],DTRVL!AL$254)</f>
        <v>0</v>
      </c>
    </row>
    <row r="323" spans="1:38" ht="15" customHeight="1">
      <c r="A323" s="200" t="str">
        <f t="shared" si="64"/>
        <v>Standard Chartered</v>
      </c>
      <c r="B323" s="335">
        <v>69</v>
      </c>
      <c r="Z323" s="49">
        <v>0</v>
      </c>
      <c r="AA323" s="49">
        <f>SUMIFS([1]!Data_Loan[Value],[1]!Data_Loan[Index Loan],DTRVL!$B323,[1]!Data_Loan[TenCongTyID],DTRVL!$B$1,[1]!Data_Loan[Thang.Nam],DTRVL!AA$254)</f>
        <v>0</v>
      </c>
      <c r="AB323" s="49">
        <f>SUMIFS([1]!Data_Loan[Value],[1]!Data_Loan[Index Loan],DTRVL!$B323,[1]!Data_Loan[TenCongTyID],DTRVL!$B$1,[1]!Data_Loan[Thang.Nam],DTRVL!AB$254)</f>
        <v>0</v>
      </c>
      <c r="AC323" s="49">
        <f>SUMIFS([1]!Data_Loan[Value],[1]!Data_Loan[Index Loan],DTRVL!$B323,[1]!Data_Loan[TenCongTyID],DTRVL!$B$1,[1]!Data_Loan[Thang.Nam],DTRVL!AC$254)</f>
        <v>0</v>
      </c>
      <c r="AD323" s="49">
        <f>SUMIFS([1]!Data_Loan[Value],[1]!Data_Loan[Index Loan],DTRVL!$B323,[1]!Data_Loan[TenCongTyID],DTRVL!$B$1,[1]!Data_Loan[Thang.Nam],DTRVL!AD$254)</f>
        <v>0</v>
      </c>
      <c r="AE323" s="49">
        <f>SUMIFS([1]!Data_Loan[Value],[1]!Data_Loan[Index Loan],DTRVL!$B323,[1]!Data_Loan[TenCongTyID],DTRVL!$B$1,[1]!Data_Loan[Thang.Nam],DTRVL!AE$254)</f>
        <v>0</v>
      </c>
      <c r="AF323" s="49">
        <f>SUMIFS([1]!Data_Loan[Value],[1]!Data_Loan[Index Loan],DTRVL!$B323,[1]!Data_Loan[TenCongTyID],DTRVL!$B$1,[1]!Data_Loan[Thang.Nam],DTRVL!AF$254)</f>
        <v>0</v>
      </c>
      <c r="AG323" s="49">
        <f>SUMIFS([1]!Data_Loan[Value],[1]!Data_Loan[Index Loan],DTRVL!$B323,[1]!Data_Loan[TenCongTyID],DTRVL!$B$1,[1]!Data_Loan[Thang.Nam],DTRVL!AG$254)</f>
        <v>0</v>
      </c>
      <c r="AH323" s="49">
        <f>SUMIFS([1]!Data_Loan[Value],[1]!Data_Loan[Index Loan],DTRVL!$B323,[1]!Data_Loan[TenCongTyID],DTRVL!$B$1,[1]!Data_Loan[Thang.Nam],DTRVL!AH$254)</f>
        <v>0</v>
      </c>
      <c r="AI323" s="49">
        <f>SUMIFS([1]!Data_Loan[Value],[1]!Data_Loan[Index Loan],DTRVL!$B323,[1]!Data_Loan[TenCongTyID],DTRVL!$B$1,[1]!Data_Loan[Thang.Nam],DTRVL!AI$254)</f>
        <v>0</v>
      </c>
      <c r="AJ323" s="49">
        <f>SUMIFS([1]!Data_Loan[Value],[1]!Data_Loan[Index Loan],DTRVL!$B323,[1]!Data_Loan[TenCongTyID],DTRVL!$B$1,[1]!Data_Loan[Thang.Nam],DTRVL!AJ$254)</f>
        <v>0</v>
      </c>
      <c r="AK323" s="49">
        <f>SUMIFS([1]!Data_Loan[Value],[1]!Data_Loan[Index Loan],DTRVL!$B323,[1]!Data_Loan[TenCongTyID],DTRVL!$B$1,[1]!Data_Loan[Thang.Nam],DTRVL!AK$254)</f>
        <v>0</v>
      </c>
      <c r="AL323" s="49">
        <f>SUMIFS([1]!Data_Loan[Value],[1]!Data_Loan[Index Loan],DTRVL!$B323,[1]!Data_Loan[TenCongTyID],DTRVL!$B$1,[1]!Data_Loan[Thang.Nam],DTRVL!AL$254)</f>
        <v>0</v>
      </c>
    </row>
    <row r="324" spans="1:38" ht="15" customHeight="1">
      <c r="A324" s="200" t="str">
        <f t="shared" si="64"/>
        <v>VILC</v>
      </c>
      <c r="B324" s="335">
        <v>70</v>
      </c>
      <c r="Z324" s="49">
        <v>0</v>
      </c>
      <c r="AA324" s="49">
        <f>SUMIFS([1]!Data_Loan[Value],[1]!Data_Loan[Index Loan],DTRVL!$B324,[1]!Data_Loan[TenCongTyID],DTRVL!$B$1,[1]!Data_Loan[Thang.Nam],DTRVL!AA$254)</f>
        <v>0</v>
      </c>
      <c r="AB324" s="49">
        <f>SUMIFS([1]!Data_Loan[Value],[1]!Data_Loan[Index Loan],DTRVL!$B324,[1]!Data_Loan[TenCongTyID],DTRVL!$B$1,[1]!Data_Loan[Thang.Nam],DTRVL!AB$254)</f>
        <v>0</v>
      </c>
      <c r="AC324" s="49">
        <f>SUMIFS([1]!Data_Loan[Value],[1]!Data_Loan[Index Loan],DTRVL!$B324,[1]!Data_Loan[TenCongTyID],DTRVL!$B$1,[1]!Data_Loan[Thang.Nam],DTRVL!AC$254)</f>
        <v>0</v>
      </c>
      <c r="AD324" s="49">
        <f>SUMIFS([1]!Data_Loan[Value],[1]!Data_Loan[Index Loan],DTRVL!$B324,[1]!Data_Loan[TenCongTyID],DTRVL!$B$1,[1]!Data_Loan[Thang.Nam],DTRVL!AD$254)</f>
        <v>0</v>
      </c>
      <c r="AE324" s="49">
        <f>SUMIFS([1]!Data_Loan[Value],[1]!Data_Loan[Index Loan],DTRVL!$B324,[1]!Data_Loan[TenCongTyID],DTRVL!$B$1,[1]!Data_Loan[Thang.Nam],DTRVL!AE$254)</f>
        <v>0</v>
      </c>
      <c r="AF324" s="49">
        <f>SUMIFS([1]!Data_Loan[Value],[1]!Data_Loan[Index Loan],DTRVL!$B324,[1]!Data_Loan[TenCongTyID],DTRVL!$B$1,[1]!Data_Loan[Thang.Nam],DTRVL!AF$254)</f>
        <v>0</v>
      </c>
      <c r="AG324" s="49">
        <f>SUMIFS([1]!Data_Loan[Value],[1]!Data_Loan[Index Loan],DTRVL!$B324,[1]!Data_Loan[TenCongTyID],DTRVL!$B$1,[1]!Data_Loan[Thang.Nam],DTRVL!AG$254)</f>
        <v>0</v>
      </c>
      <c r="AH324" s="49">
        <f>SUMIFS([1]!Data_Loan[Value],[1]!Data_Loan[Index Loan],DTRVL!$B324,[1]!Data_Loan[TenCongTyID],DTRVL!$B$1,[1]!Data_Loan[Thang.Nam],DTRVL!AH$254)</f>
        <v>0</v>
      </c>
      <c r="AI324" s="49">
        <f>SUMIFS([1]!Data_Loan[Value],[1]!Data_Loan[Index Loan],DTRVL!$B324,[1]!Data_Loan[TenCongTyID],DTRVL!$B$1,[1]!Data_Loan[Thang.Nam],DTRVL!AI$254)</f>
        <v>0</v>
      </c>
      <c r="AJ324" s="49">
        <f>SUMIFS([1]!Data_Loan[Value],[1]!Data_Loan[Index Loan],DTRVL!$B324,[1]!Data_Loan[TenCongTyID],DTRVL!$B$1,[1]!Data_Loan[Thang.Nam],DTRVL!AJ$254)</f>
        <v>0</v>
      </c>
      <c r="AK324" s="49">
        <f>SUMIFS([1]!Data_Loan[Value],[1]!Data_Loan[Index Loan],DTRVL!$B324,[1]!Data_Loan[TenCongTyID],DTRVL!$B$1,[1]!Data_Loan[Thang.Nam],DTRVL!AK$254)</f>
        <v>0</v>
      </c>
      <c r="AL324" s="49">
        <f>SUMIFS([1]!Data_Loan[Value],[1]!Data_Loan[Index Loan],DTRVL!$B324,[1]!Data_Loan[TenCongTyID],DTRVL!$B$1,[1]!Data_Loan[Thang.Nam],DTRVL!AL$254)</f>
        <v>0</v>
      </c>
    </row>
    <row r="325" spans="1:38" ht="15" customHeight="1">
      <c r="A325" s="200" t="s">
        <v>347</v>
      </c>
      <c r="B325" s="335">
        <v>71</v>
      </c>
      <c r="Z325" s="49">
        <v>0</v>
      </c>
      <c r="AA325" s="49">
        <f>SUMIFS([1]!Data_Loan[Value],[1]!Data_Loan[Index Loan],DTRVL!$B325,[1]!Data_Loan[TenCongTyID],DTRVL!$B$1,[1]!Data_Loan[Thang.Nam],DTRVL!AA$254)</f>
        <v>0</v>
      </c>
      <c r="AB325" s="49">
        <f>SUMIFS([1]!Data_Loan[Value],[1]!Data_Loan[Index Loan],DTRVL!$B325,[1]!Data_Loan[TenCongTyID],DTRVL!$B$1,[1]!Data_Loan[Thang.Nam],DTRVL!AB$254)</f>
        <v>0</v>
      </c>
      <c r="AC325" s="49">
        <f>SUMIFS([1]!Data_Loan[Value],[1]!Data_Loan[Index Loan],DTRVL!$B325,[1]!Data_Loan[TenCongTyID],DTRVL!$B$1,[1]!Data_Loan[Thang.Nam],DTRVL!AC$254)</f>
        <v>0</v>
      </c>
      <c r="AD325" s="49">
        <f>SUMIFS([1]!Data_Loan[Value],[1]!Data_Loan[Index Loan],DTRVL!$B325,[1]!Data_Loan[TenCongTyID],DTRVL!$B$1,[1]!Data_Loan[Thang.Nam],DTRVL!AD$254)</f>
        <v>0</v>
      </c>
      <c r="AE325" s="49">
        <f>SUMIFS([1]!Data_Loan[Value],[1]!Data_Loan[Index Loan],DTRVL!$B325,[1]!Data_Loan[TenCongTyID],DTRVL!$B$1,[1]!Data_Loan[Thang.Nam],DTRVL!AE$254)</f>
        <v>0</v>
      </c>
      <c r="AF325" s="49">
        <f>SUMIFS([1]!Data_Loan[Value],[1]!Data_Loan[Index Loan],DTRVL!$B325,[1]!Data_Loan[TenCongTyID],DTRVL!$B$1,[1]!Data_Loan[Thang.Nam],DTRVL!AF$254)</f>
        <v>0</v>
      </c>
      <c r="AG325" s="49">
        <f>SUMIFS([1]!Data_Loan[Value],[1]!Data_Loan[Index Loan],DTRVL!$B325,[1]!Data_Loan[TenCongTyID],DTRVL!$B$1,[1]!Data_Loan[Thang.Nam],DTRVL!AG$254)</f>
        <v>0</v>
      </c>
      <c r="AH325" s="49">
        <f>SUMIFS([1]!Data_Loan[Value],[1]!Data_Loan[Index Loan],DTRVL!$B325,[1]!Data_Loan[TenCongTyID],DTRVL!$B$1,[1]!Data_Loan[Thang.Nam],DTRVL!AH$254)</f>
        <v>0</v>
      </c>
      <c r="AI325" s="49">
        <f>SUMIFS([1]!Data_Loan[Value],[1]!Data_Loan[Index Loan],DTRVL!$B325,[1]!Data_Loan[TenCongTyID],DTRVL!$B$1,[1]!Data_Loan[Thang.Nam],DTRVL!AI$254)</f>
        <v>0</v>
      </c>
      <c r="AJ325" s="49">
        <f>SUMIFS([1]!Data_Loan[Value],[1]!Data_Loan[Index Loan],DTRVL!$B325,[1]!Data_Loan[TenCongTyID],DTRVL!$B$1,[1]!Data_Loan[Thang.Nam],DTRVL!AJ$254)</f>
        <v>0</v>
      </c>
      <c r="AK325" s="49">
        <f>SUMIFS([1]!Data_Loan[Value],[1]!Data_Loan[Index Loan],DTRVL!$B325,[1]!Data_Loan[TenCongTyID],DTRVL!$B$1,[1]!Data_Loan[Thang.Nam],DTRVL!AK$254)</f>
        <v>0</v>
      </c>
      <c r="AL325" s="49">
        <f>SUMIFS([1]!Data_Loan[Value],[1]!Data_Loan[Index Loan],DTRVL!$B325,[1]!Data_Loan[TenCongTyID],DTRVL!$B$1,[1]!Data_Loan[Thang.Nam],DTRVL!AL$254)</f>
        <v>0</v>
      </c>
    </row>
  </sheetData>
  <autoFilter ref="A5:N232" xr:uid="{00000000-0009-0000-0000-00000C000000}"/>
  <pageMargins left="0.18" right="0.2" top="0.18" bottom="0.16" header="0.17" footer="0.16"/>
  <pageSetup paperSize="9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DCD27A8A7B141A6E71B357F4D5746" ma:contentTypeVersion="0" ma:contentTypeDescription="Create a new document." ma:contentTypeScope="" ma:versionID="b5334053633837e1772a048162bbb26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2F1D43-557E-41D0-BE2D-A324AE5EAA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B916CEB-7027-400E-8BD9-9F9750304B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0D1823E-95C9-4731-A858-6775CDFC52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Hop nhat</vt:lpstr>
      <vt:lpstr>Hop cong</vt:lpstr>
      <vt:lpstr>GDNB</vt:lpstr>
      <vt:lpstr>DTR</vt:lpstr>
      <vt:lpstr>Dai Loc</vt:lpstr>
      <vt:lpstr>Dong Lam</vt:lpstr>
      <vt:lpstr>Khanh Nga</vt:lpstr>
      <vt:lpstr>TDP</vt:lpstr>
      <vt:lpstr>DTRVL</vt:lpstr>
      <vt:lpstr>'Dai Loc'!month</vt:lpstr>
      <vt:lpstr>'Dong Lam'!month</vt:lpstr>
      <vt:lpstr>DTR!month</vt:lpstr>
      <vt:lpstr>DTRVL!month</vt:lpstr>
      <vt:lpstr>'Hop cong'!month</vt:lpstr>
      <vt:lpstr>'Hop nhat'!month</vt:lpstr>
      <vt:lpstr>'Khanh Nga'!month</vt:lpstr>
      <vt:lpstr>TDP!month</vt:lpstr>
      <vt:lpstr>'Dai Loc'!year</vt:lpstr>
      <vt:lpstr>'Dong Lam'!year</vt:lpstr>
      <vt:lpstr>DTR!year</vt:lpstr>
      <vt:lpstr>DTRVL!year</vt:lpstr>
      <vt:lpstr>'Hop cong'!year</vt:lpstr>
      <vt:lpstr>'Hop nhat'!year</vt:lpstr>
      <vt:lpstr>'Khanh Nga'!year</vt:lpstr>
      <vt:lpstr>TDP!year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Thọ, Trần Hữu</dc:creator>
  <cp:lastModifiedBy>Cư, Lê Hoành</cp:lastModifiedBy>
  <dcterms:created xsi:type="dcterms:W3CDTF">2026-02-12T06:06:02Z</dcterms:created>
  <dcterms:modified xsi:type="dcterms:W3CDTF">2026-06-02T03:49:17Z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0x0101003AADCD27A8A7B141A6E71B357F4D5746</vt:lpwstr>
  </property>
</Properties>
</file>